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omments3.xml" ContentType="application/vnd.openxmlformats-officedocument.spreadsheetml.comments+xml"/>
  <Override PartName="/xl/comments4.xml" ContentType="application/vnd.openxmlformats-officedocument.spreadsheetml.comment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CLIMADA\climada_data\entities\"/>
    </mc:Choice>
  </mc:AlternateContent>
  <bookViews>
    <workbookView xWindow="0" yWindow="0" windowWidth="17250" windowHeight="5775" tabRatio="766" activeTab="1"/>
  </bookViews>
  <sheets>
    <sheet name="assets" sheetId="1" r:id="rId1"/>
    <sheet name="damagefunctions" sheetId="2" r:id="rId2"/>
    <sheet name="measures" sheetId="3" r:id="rId3"/>
    <sheet name="discount" sheetId="4" r:id="rId4"/>
    <sheet name="_pivot_assets" sheetId="5" r:id="rId5"/>
    <sheet name="_readme" sheetId="6" r:id="rId6"/>
  </sheets>
  <calcPr calcId="0"/>
  <pivotCaches>
    <pivotCache cacheId="2" r:id="rId7"/>
  </pivotCaches>
</workbook>
</file>

<file path=xl/calcChain.xml><?xml version="1.0" encoding="utf-8"?>
<calcChain xmlns="http://schemas.openxmlformats.org/spreadsheetml/2006/main">
  <c r="F2" i="1" l="1"/>
  <c r="H2" i="1"/>
  <c r="F3" i="1"/>
  <c r="H3" i="1"/>
  <c r="F4" i="1"/>
  <c r="H4" i="1"/>
  <c r="F5" i="1"/>
  <c r="H5" i="1"/>
  <c r="F6" i="1"/>
  <c r="H6" i="1"/>
  <c r="F7" i="1"/>
  <c r="H7" i="1"/>
  <c r="F8" i="1"/>
  <c r="H8" i="1"/>
  <c r="F9" i="1"/>
  <c r="H9" i="1"/>
  <c r="F10" i="1"/>
  <c r="H10" i="1"/>
  <c r="F11" i="1"/>
  <c r="H11" i="1"/>
  <c r="F12" i="1"/>
  <c r="H12" i="1"/>
  <c r="F13" i="1"/>
  <c r="H13" i="1"/>
  <c r="L13" i="1"/>
  <c r="F14" i="1"/>
  <c r="H14" i="1"/>
  <c r="F15" i="1"/>
  <c r="H15" i="1"/>
  <c r="F16" i="1"/>
  <c r="H16" i="1"/>
  <c r="F17" i="1"/>
  <c r="H17" i="1"/>
  <c r="F18" i="1"/>
  <c r="H18" i="1"/>
  <c r="F19" i="1"/>
  <c r="H19" i="1"/>
  <c r="F20" i="1"/>
  <c r="H20" i="1"/>
  <c r="F21" i="1"/>
  <c r="H21" i="1"/>
  <c r="F22" i="1"/>
  <c r="H22" i="1"/>
  <c r="F23" i="1"/>
  <c r="H23" i="1"/>
  <c r="F24" i="1"/>
  <c r="H24" i="1"/>
  <c r="F25" i="1"/>
  <c r="H25" i="1"/>
  <c r="F26" i="1"/>
  <c r="H26" i="1"/>
  <c r="F27" i="1"/>
  <c r="H27" i="1"/>
  <c r="F28" i="1"/>
  <c r="H28" i="1"/>
  <c r="F29" i="1"/>
  <c r="H29" i="1"/>
  <c r="F30" i="1"/>
  <c r="H30" i="1"/>
  <c r="F31" i="1"/>
  <c r="H31" i="1"/>
  <c r="F32" i="1"/>
  <c r="H32" i="1"/>
  <c r="F33" i="1"/>
  <c r="H33" i="1"/>
  <c r="F34" i="1"/>
  <c r="H34" i="1"/>
  <c r="F35" i="1"/>
  <c r="H35" i="1"/>
  <c r="F36" i="1"/>
  <c r="H36" i="1"/>
  <c r="F37" i="1"/>
  <c r="H37" i="1"/>
  <c r="F38" i="1"/>
  <c r="H38" i="1"/>
  <c r="F39" i="1"/>
  <c r="H39" i="1"/>
  <c r="F40" i="1"/>
  <c r="H40" i="1"/>
  <c r="F41" i="1"/>
  <c r="H41" i="1"/>
  <c r="F42" i="1"/>
  <c r="H42" i="1"/>
  <c r="F43" i="1"/>
  <c r="H43" i="1"/>
  <c r="F44" i="1"/>
  <c r="H44" i="1"/>
  <c r="F45" i="1"/>
  <c r="H45" i="1"/>
  <c r="F46" i="1"/>
  <c r="H46" i="1"/>
  <c r="F47" i="1"/>
  <c r="H47" i="1"/>
  <c r="F48" i="1"/>
  <c r="H48" i="1"/>
  <c r="F49" i="1"/>
  <c r="H49" i="1"/>
  <c r="F50" i="1"/>
  <c r="H50" i="1"/>
  <c r="F51" i="1"/>
  <c r="H51" i="1"/>
  <c r="F52" i="1"/>
  <c r="H52" i="1"/>
  <c r="F53" i="1"/>
  <c r="H53" i="1"/>
  <c r="F54" i="1"/>
  <c r="H54" i="1"/>
  <c r="F55" i="1"/>
  <c r="H55" i="1"/>
  <c r="F56" i="1"/>
  <c r="H56" i="1"/>
  <c r="F57" i="1"/>
  <c r="H57" i="1"/>
  <c r="F58" i="1"/>
  <c r="H58" i="1"/>
  <c r="F59" i="1"/>
  <c r="H59" i="1"/>
  <c r="F60" i="1"/>
  <c r="H60" i="1"/>
  <c r="F61" i="1"/>
  <c r="H61" i="1"/>
  <c r="F62" i="1"/>
  <c r="H62" i="1"/>
  <c r="F63" i="1"/>
  <c r="H63" i="1"/>
  <c r="F64" i="1"/>
  <c r="H64" i="1"/>
  <c r="F65" i="1"/>
  <c r="H65" i="1"/>
  <c r="F66" i="1"/>
  <c r="H66" i="1"/>
  <c r="F67" i="1"/>
  <c r="H67" i="1"/>
  <c r="F68" i="1"/>
  <c r="H68" i="1"/>
  <c r="F69" i="1"/>
  <c r="H69" i="1"/>
  <c r="F70" i="1"/>
  <c r="H70" i="1"/>
  <c r="F71" i="1"/>
  <c r="H71" i="1"/>
  <c r="F72" i="1"/>
  <c r="H72" i="1"/>
  <c r="F73" i="1"/>
  <c r="H73" i="1"/>
  <c r="F74" i="1"/>
  <c r="H74" i="1"/>
  <c r="F75" i="1"/>
  <c r="H75" i="1"/>
  <c r="F76" i="1"/>
  <c r="H76" i="1"/>
  <c r="F77" i="1"/>
  <c r="H77" i="1"/>
  <c r="F78" i="1"/>
  <c r="H78" i="1"/>
  <c r="F79" i="1"/>
  <c r="H79" i="1"/>
  <c r="F80" i="1"/>
  <c r="H80" i="1"/>
  <c r="F81" i="1"/>
  <c r="H81" i="1"/>
  <c r="F82" i="1"/>
  <c r="H82" i="1"/>
  <c r="F83" i="1"/>
  <c r="H83" i="1"/>
  <c r="F84" i="1"/>
  <c r="H84" i="1"/>
  <c r="F85" i="1"/>
  <c r="H85" i="1"/>
  <c r="F86" i="1"/>
  <c r="H86" i="1"/>
  <c r="F87" i="1"/>
  <c r="H87" i="1"/>
  <c r="F88" i="1"/>
  <c r="H88" i="1"/>
  <c r="F89" i="1"/>
  <c r="H89" i="1"/>
  <c r="F90" i="1"/>
  <c r="H90" i="1"/>
  <c r="F91" i="1"/>
  <c r="H91" i="1"/>
  <c r="F92" i="1"/>
  <c r="H92" i="1"/>
  <c r="F93" i="1"/>
  <c r="H93" i="1"/>
  <c r="F94" i="1"/>
  <c r="H94" i="1"/>
  <c r="F95" i="1"/>
  <c r="H95" i="1"/>
  <c r="F96" i="1"/>
  <c r="H96" i="1"/>
  <c r="F97" i="1"/>
  <c r="H97" i="1"/>
  <c r="F98" i="1"/>
  <c r="H98" i="1"/>
  <c r="F99" i="1"/>
  <c r="H99" i="1"/>
  <c r="F100" i="1"/>
  <c r="H100" i="1"/>
  <c r="F101" i="1"/>
  <c r="H101" i="1"/>
  <c r="F102" i="1"/>
  <c r="H102" i="1"/>
  <c r="F103" i="1"/>
  <c r="H103" i="1"/>
  <c r="F104" i="1"/>
  <c r="H104" i="1"/>
  <c r="F105" i="1"/>
  <c r="H105" i="1"/>
  <c r="F106" i="1"/>
  <c r="H106" i="1"/>
  <c r="F107" i="1"/>
  <c r="H107" i="1"/>
  <c r="F108" i="1"/>
  <c r="H108" i="1"/>
  <c r="F109" i="1"/>
  <c r="H109" i="1"/>
  <c r="F110" i="1"/>
  <c r="H110" i="1"/>
  <c r="F111" i="1"/>
  <c r="H111" i="1"/>
  <c r="F112" i="1"/>
  <c r="H112" i="1"/>
  <c r="F113" i="1"/>
  <c r="H113" i="1"/>
  <c r="F114" i="1"/>
  <c r="H114" i="1"/>
  <c r="F115" i="1"/>
  <c r="H115" i="1"/>
  <c r="F116" i="1"/>
  <c r="H116" i="1"/>
  <c r="F117" i="1"/>
  <c r="H117" i="1"/>
  <c r="F118" i="1"/>
  <c r="H118" i="1"/>
  <c r="F119" i="1"/>
  <c r="H119" i="1"/>
  <c r="F120" i="1"/>
  <c r="H120" i="1"/>
  <c r="F121" i="1"/>
  <c r="H121" i="1"/>
  <c r="F122" i="1"/>
  <c r="H122" i="1"/>
  <c r="F123" i="1"/>
  <c r="H123" i="1"/>
  <c r="F124" i="1"/>
  <c r="H124" i="1"/>
  <c r="F125" i="1"/>
  <c r="H125" i="1"/>
  <c r="F126" i="1"/>
  <c r="H126" i="1"/>
  <c r="F127" i="1"/>
  <c r="H127" i="1"/>
  <c r="F128" i="1"/>
  <c r="H128" i="1"/>
  <c r="F129" i="1"/>
  <c r="H129" i="1"/>
  <c r="F130" i="1"/>
  <c r="H130" i="1"/>
  <c r="F131" i="1"/>
  <c r="H131" i="1"/>
  <c r="F132" i="1"/>
  <c r="H132" i="1"/>
  <c r="F133" i="1"/>
  <c r="H133" i="1"/>
  <c r="F134" i="1"/>
  <c r="H134" i="1"/>
  <c r="F135" i="1"/>
  <c r="H135" i="1"/>
  <c r="F136" i="1"/>
  <c r="H136" i="1"/>
  <c r="F137" i="1"/>
  <c r="H137" i="1"/>
  <c r="F138" i="1"/>
  <c r="H138" i="1"/>
  <c r="F139" i="1"/>
  <c r="H139" i="1"/>
  <c r="F140" i="1"/>
  <c r="H140" i="1"/>
  <c r="F141" i="1"/>
  <c r="H141" i="1"/>
  <c r="F142" i="1"/>
  <c r="H142" i="1"/>
  <c r="F143" i="1"/>
  <c r="H143" i="1"/>
  <c r="F144" i="1"/>
  <c r="H144" i="1"/>
  <c r="F145" i="1"/>
  <c r="H145" i="1"/>
  <c r="F146" i="1"/>
  <c r="H146" i="1"/>
  <c r="F147" i="1"/>
  <c r="H147" i="1"/>
  <c r="F148" i="1"/>
  <c r="H148" i="1"/>
  <c r="F149" i="1"/>
  <c r="H149" i="1"/>
  <c r="F150" i="1"/>
  <c r="H150" i="1"/>
  <c r="F151" i="1"/>
  <c r="H151" i="1"/>
  <c r="F152" i="1"/>
  <c r="H152" i="1"/>
  <c r="F153" i="1"/>
  <c r="H153" i="1"/>
  <c r="F154" i="1"/>
  <c r="H154" i="1"/>
  <c r="F155" i="1"/>
  <c r="H155" i="1"/>
  <c r="F156" i="1"/>
  <c r="H156" i="1"/>
  <c r="F157" i="1"/>
  <c r="H157" i="1"/>
  <c r="F158" i="1"/>
  <c r="H158" i="1"/>
  <c r="F159" i="1"/>
  <c r="H159" i="1"/>
  <c r="F160" i="1"/>
  <c r="H160" i="1"/>
  <c r="F161" i="1"/>
  <c r="H161" i="1"/>
  <c r="F162" i="1"/>
  <c r="H162" i="1"/>
  <c r="F163" i="1"/>
  <c r="H163" i="1"/>
  <c r="F164" i="1"/>
  <c r="H164" i="1"/>
  <c r="F165" i="1"/>
  <c r="H165" i="1"/>
  <c r="F166" i="1"/>
  <c r="H166" i="1"/>
  <c r="F167" i="1"/>
  <c r="H167" i="1"/>
  <c r="F168" i="1"/>
  <c r="H168" i="1"/>
  <c r="F169" i="1"/>
  <c r="H169" i="1"/>
  <c r="F170" i="1"/>
  <c r="H170" i="1"/>
  <c r="F171" i="1"/>
  <c r="H171" i="1"/>
  <c r="F172" i="1"/>
  <c r="H172" i="1"/>
  <c r="F173" i="1"/>
  <c r="H173" i="1"/>
  <c r="F174" i="1"/>
  <c r="H174" i="1"/>
  <c r="F175" i="1"/>
  <c r="H175" i="1"/>
  <c r="F176" i="1"/>
  <c r="H176" i="1"/>
  <c r="F177" i="1"/>
  <c r="H177" i="1"/>
  <c r="F178" i="1"/>
  <c r="H178" i="1"/>
  <c r="F179" i="1"/>
  <c r="H179" i="1"/>
  <c r="F180" i="1"/>
  <c r="H180" i="1"/>
  <c r="F181" i="1"/>
  <c r="H181" i="1"/>
  <c r="F182" i="1"/>
  <c r="H182" i="1"/>
  <c r="F183" i="1"/>
  <c r="H183" i="1"/>
  <c r="F184" i="1"/>
  <c r="H184" i="1"/>
  <c r="F185" i="1"/>
  <c r="H185" i="1"/>
  <c r="F186" i="1"/>
  <c r="H186" i="1"/>
  <c r="F187" i="1"/>
  <c r="H187" i="1"/>
  <c r="F188" i="1"/>
  <c r="H188" i="1"/>
  <c r="F189" i="1"/>
  <c r="H189" i="1"/>
  <c r="F190" i="1"/>
  <c r="H190" i="1"/>
  <c r="F191" i="1"/>
  <c r="H191" i="1"/>
  <c r="F192" i="1"/>
  <c r="H192" i="1"/>
  <c r="F193" i="1"/>
  <c r="H193" i="1"/>
  <c r="F194" i="1"/>
  <c r="H194" i="1"/>
  <c r="F195" i="1"/>
  <c r="H195" i="1"/>
  <c r="F196" i="1"/>
  <c r="H196" i="1"/>
  <c r="F197" i="1"/>
  <c r="H197" i="1"/>
  <c r="F198" i="1"/>
  <c r="H198" i="1"/>
  <c r="F199" i="1"/>
  <c r="H199" i="1"/>
  <c r="F200" i="1"/>
  <c r="H200" i="1"/>
  <c r="F201" i="1"/>
  <c r="H201" i="1"/>
  <c r="F202" i="1"/>
  <c r="H202" i="1"/>
  <c r="F203" i="1"/>
  <c r="H203" i="1"/>
  <c r="F204" i="1"/>
  <c r="H204" i="1"/>
  <c r="F205" i="1"/>
  <c r="H205" i="1"/>
  <c r="F206" i="1"/>
  <c r="H206" i="1"/>
  <c r="F207" i="1"/>
  <c r="H207" i="1"/>
  <c r="F208" i="1"/>
  <c r="H208" i="1"/>
  <c r="F209" i="1"/>
  <c r="H209" i="1"/>
  <c r="F210" i="1"/>
  <c r="H210" i="1"/>
  <c r="F211" i="1"/>
  <c r="H211" i="1"/>
  <c r="F212" i="1"/>
  <c r="H212" i="1"/>
  <c r="F213" i="1"/>
  <c r="H213" i="1"/>
  <c r="F214" i="1"/>
  <c r="H214" i="1"/>
  <c r="F215" i="1"/>
  <c r="H215" i="1"/>
  <c r="F216" i="1"/>
  <c r="H216" i="1"/>
  <c r="F217" i="1"/>
  <c r="H217" i="1"/>
  <c r="F218" i="1"/>
  <c r="H218" i="1"/>
  <c r="F219" i="1"/>
  <c r="H219" i="1"/>
  <c r="F220" i="1"/>
  <c r="H220" i="1"/>
  <c r="F221" i="1"/>
  <c r="H221" i="1"/>
  <c r="F222" i="1"/>
  <c r="H222" i="1"/>
  <c r="F223" i="1"/>
  <c r="H223" i="1"/>
  <c r="F224" i="1"/>
  <c r="H224" i="1"/>
  <c r="F225" i="1"/>
  <c r="H225" i="1"/>
  <c r="F226" i="1"/>
  <c r="H226" i="1"/>
  <c r="F227" i="1"/>
  <c r="H227" i="1"/>
  <c r="F228" i="1"/>
  <c r="H228" i="1"/>
  <c r="F229" i="1"/>
  <c r="H229" i="1"/>
  <c r="F230" i="1"/>
  <c r="H230" i="1"/>
  <c r="F231" i="1"/>
  <c r="H231" i="1"/>
  <c r="F232" i="1"/>
  <c r="H232" i="1"/>
  <c r="F233" i="1"/>
  <c r="H233" i="1"/>
  <c r="F234" i="1"/>
  <c r="H234" i="1"/>
  <c r="F235" i="1"/>
  <c r="H235" i="1"/>
  <c r="F236" i="1"/>
  <c r="H236" i="1"/>
  <c r="F237" i="1"/>
  <c r="H237" i="1"/>
  <c r="F238" i="1"/>
  <c r="H238" i="1"/>
  <c r="F239" i="1"/>
  <c r="H239" i="1"/>
  <c r="F240" i="1"/>
  <c r="H240" i="1"/>
  <c r="F241" i="1"/>
  <c r="H241" i="1"/>
  <c r="F242" i="1"/>
  <c r="H242" i="1"/>
  <c r="F243" i="1"/>
  <c r="H243" i="1"/>
  <c r="F244" i="1"/>
  <c r="H244" i="1"/>
  <c r="F245" i="1"/>
  <c r="H245" i="1"/>
  <c r="F246" i="1"/>
  <c r="H246" i="1"/>
  <c r="F247" i="1"/>
  <c r="H247" i="1"/>
  <c r="F248" i="1"/>
  <c r="H248" i="1"/>
  <c r="F249" i="1"/>
  <c r="H249" i="1"/>
  <c r="F250" i="1"/>
  <c r="H250" i="1"/>
  <c r="F251" i="1"/>
  <c r="H251" i="1"/>
  <c r="F252" i="1"/>
  <c r="H252" i="1"/>
  <c r="F253" i="1"/>
  <c r="H253" i="1"/>
  <c r="F254" i="1"/>
  <c r="H254" i="1"/>
  <c r="F255" i="1"/>
  <c r="H255" i="1"/>
  <c r="F256" i="1"/>
  <c r="H256" i="1"/>
  <c r="F257" i="1"/>
  <c r="H257" i="1"/>
  <c r="F258" i="1"/>
  <c r="H258" i="1"/>
  <c r="F259" i="1"/>
  <c r="H259" i="1"/>
  <c r="F260" i="1"/>
  <c r="H260" i="1"/>
  <c r="F261" i="1"/>
  <c r="H261" i="1"/>
  <c r="F262" i="1"/>
  <c r="H262" i="1"/>
  <c r="F263" i="1"/>
  <c r="H263" i="1"/>
  <c r="F264" i="1"/>
  <c r="H264" i="1"/>
  <c r="F265" i="1"/>
  <c r="H265" i="1"/>
  <c r="F266" i="1"/>
  <c r="H266" i="1"/>
  <c r="F267" i="1"/>
  <c r="H267" i="1"/>
  <c r="F268" i="1"/>
  <c r="H268" i="1"/>
  <c r="F269" i="1"/>
  <c r="H269" i="1"/>
  <c r="F270" i="1"/>
  <c r="H270" i="1"/>
  <c r="F271" i="1"/>
  <c r="H271" i="1"/>
  <c r="F272" i="1"/>
  <c r="H272" i="1"/>
  <c r="F273" i="1"/>
  <c r="H273" i="1"/>
  <c r="F274" i="1"/>
  <c r="H274" i="1"/>
  <c r="F275" i="1"/>
  <c r="H275" i="1"/>
  <c r="F276" i="1"/>
  <c r="H276" i="1"/>
  <c r="F277" i="1"/>
  <c r="H277" i="1"/>
  <c r="F278" i="1"/>
  <c r="H278" i="1"/>
  <c r="F279" i="1"/>
  <c r="H279" i="1"/>
  <c r="F280" i="1"/>
  <c r="H280" i="1"/>
  <c r="F281" i="1"/>
  <c r="H281" i="1"/>
  <c r="F282" i="1"/>
  <c r="H282" i="1"/>
  <c r="F283" i="1"/>
  <c r="H283" i="1"/>
  <c r="F284" i="1"/>
  <c r="H284" i="1"/>
  <c r="F285" i="1"/>
  <c r="H285" i="1"/>
  <c r="F286" i="1"/>
  <c r="H286" i="1"/>
  <c r="F287" i="1"/>
  <c r="H287" i="1"/>
  <c r="F288" i="1"/>
  <c r="H288" i="1"/>
  <c r="F289" i="1"/>
  <c r="H289" i="1"/>
  <c r="F290" i="1"/>
  <c r="H290" i="1"/>
  <c r="F291" i="1"/>
  <c r="H291" i="1"/>
  <c r="F292" i="1"/>
  <c r="H292" i="1"/>
  <c r="F293" i="1"/>
  <c r="H293" i="1"/>
  <c r="F294" i="1"/>
  <c r="H294" i="1"/>
  <c r="F295" i="1"/>
  <c r="H295" i="1"/>
  <c r="F296" i="1"/>
  <c r="H296" i="1"/>
  <c r="F297" i="1"/>
  <c r="H297" i="1"/>
  <c r="F298" i="1"/>
  <c r="H298" i="1"/>
  <c r="F299" i="1"/>
  <c r="H299" i="1"/>
  <c r="F300" i="1"/>
  <c r="H300" i="1"/>
  <c r="F301" i="1"/>
  <c r="H301" i="1"/>
  <c r="F302" i="1"/>
  <c r="H302" i="1"/>
  <c r="F303" i="1"/>
  <c r="H303" i="1"/>
  <c r="F304" i="1"/>
  <c r="H304" i="1"/>
  <c r="F305" i="1"/>
  <c r="H305" i="1"/>
  <c r="F306" i="1"/>
  <c r="H306" i="1"/>
  <c r="F307" i="1"/>
  <c r="H307" i="1"/>
  <c r="F308" i="1"/>
  <c r="H308" i="1"/>
  <c r="F309" i="1"/>
  <c r="H309" i="1"/>
  <c r="F310" i="1"/>
  <c r="H310" i="1"/>
  <c r="F311" i="1"/>
  <c r="H311" i="1"/>
  <c r="F312" i="1"/>
  <c r="H312" i="1"/>
  <c r="F313" i="1"/>
  <c r="H313" i="1"/>
  <c r="F314" i="1"/>
  <c r="H314" i="1"/>
  <c r="F315" i="1"/>
  <c r="H315" i="1"/>
  <c r="F316" i="1"/>
  <c r="H316" i="1"/>
  <c r="F317" i="1"/>
  <c r="H317" i="1"/>
  <c r="F318" i="1"/>
  <c r="H318" i="1"/>
  <c r="F319" i="1"/>
  <c r="H319" i="1"/>
  <c r="F320" i="1"/>
  <c r="H320" i="1"/>
  <c r="F321" i="1"/>
  <c r="H321" i="1"/>
  <c r="F322" i="1"/>
  <c r="H322" i="1"/>
  <c r="F323" i="1"/>
  <c r="H323" i="1"/>
  <c r="F324" i="1"/>
  <c r="H324" i="1"/>
  <c r="F325" i="1"/>
  <c r="H325" i="1"/>
  <c r="F326" i="1"/>
  <c r="H326" i="1"/>
  <c r="F327" i="1"/>
  <c r="H327" i="1"/>
  <c r="F328" i="1"/>
  <c r="H328" i="1"/>
  <c r="F329" i="1"/>
  <c r="H329" i="1"/>
  <c r="F330" i="1"/>
  <c r="H330" i="1"/>
  <c r="F331" i="1"/>
  <c r="H331" i="1"/>
  <c r="F332" i="1"/>
  <c r="H332" i="1"/>
  <c r="F333" i="1"/>
  <c r="H333" i="1"/>
  <c r="F334" i="1"/>
  <c r="H334" i="1"/>
  <c r="F335" i="1"/>
  <c r="H335" i="1"/>
  <c r="F336" i="1"/>
  <c r="H336" i="1"/>
  <c r="F337" i="1"/>
  <c r="H337" i="1"/>
  <c r="F338" i="1"/>
  <c r="H338" i="1"/>
  <c r="F339" i="1"/>
  <c r="H339" i="1"/>
  <c r="F340" i="1"/>
  <c r="H340" i="1"/>
  <c r="F341" i="1"/>
  <c r="H341" i="1"/>
  <c r="F342" i="1"/>
  <c r="H342" i="1"/>
  <c r="F343" i="1"/>
  <c r="H343" i="1"/>
  <c r="F344" i="1"/>
  <c r="H344" i="1"/>
  <c r="F345" i="1"/>
  <c r="H345" i="1"/>
  <c r="F346" i="1"/>
  <c r="H346" i="1"/>
  <c r="F347" i="1"/>
  <c r="H347" i="1"/>
  <c r="F348" i="1"/>
  <c r="H348" i="1"/>
  <c r="F349" i="1"/>
  <c r="H349" i="1"/>
  <c r="F350" i="1"/>
  <c r="H350" i="1"/>
  <c r="F351" i="1"/>
  <c r="H351" i="1"/>
  <c r="F352" i="1"/>
  <c r="H352" i="1"/>
  <c r="F353" i="1"/>
  <c r="H353" i="1"/>
  <c r="F354" i="1"/>
  <c r="H354" i="1"/>
  <c r="F355" i="1"/>
  <c r="H355" i="1"/>
  <c r="F356" i="1"/>
  <c r="H356" i="1"/>
  <c r="F357" i="1"/>
  <c r="H357" i="1"/>
  <c r="F358" i="1"/>
  <c r="H358" i="1"/>
  <c r="F359" i="1"/>
  <c r="H359" i="1"/>
  <c r="F360" i="1"/>
  <c r="H360" i="1"/>
  <c r="F361" i="1"/>
  <c r="H361" i="1"/>
  <c r="F362" i="1"/>
  <c r="H362" i="1"/>
  <c r="F363" i="1"/>
  <c r="H363" i="1"/>
  <c r="F364" i="1"/>
  <c r="H364" i="1"/>
  <c r="F365" i="1"/>
  <c r="H365" i="1"/>
  <c r="F366" i="1"/>
  <c r="H366" i="1"/>
  <c r="F367" i="1"/>
  <c r="H367" i="1"/>
  <c r="F368" i="1"/>
  <c r="H368" i="1"/>
  <c r="F369" i="1"/>
  <c r="H369" i="1"/>
  <c r="F370" i="1"/>
  <c r="H370" i="1"/>
  <c r="F371" i="1"/>
  <c r="H371" i="1"/>
  <c r="F372" i="1"/>
  <c r="H372" i="1"/>
  <c r="F373" i="1"/>
  <c r="H373" i="1"/>
  <c r="F374" i="1"/>
  <c r="H374" i="1"/>
  <c r="F375" i="1"/>
  <c r="H375" i="1"/>
  <c r="F376" i="1"/>
  <c r="H376" i="1"/>
  <c r="F377" i="1"/>
  <c r="H377" i="1"/>
  <c r="F378" i="1"/>
  <c r="H378" i="1"/>
  <c r="F379" i="1"/>
  <c r="H379" i="1"/>
  <c r="F380" i="1"/>
  <c r="H380" i="1"/>
  <c r="F381" i="1"/>
  <c r="H381" i="1"/>
  <c r="F382" i="1"/>
  <c r="H382" i="1"/>
  <c r="F383" i="1"/>
  <c r="H383" i="1"/>
  <c r="F384" i="1"/>
  <c r="H384" i="1"/>
  <c r="F385" i="1"/>
  <c r="H385" i="1"/>
  <c r="F386" i="1"/>
  <c r="H386" i="1"/>
  <c r="F387" i="1"/>
  <c r="H387" i="1"/>
  <c r="F388" i="1"/>
  <c r="H388" i="1"/>
  <c r="F389" i="1"/>
  <c r="H389" i="1"/>
  <c r="F390" i="1"/>
  <c r="H390" i="1"/>
  <c r="F391" i="1"/>
  <c r="H391" i="1"/>
  <c r="F392" i="1"/>
  <c r="H392" i="1"/>
  <c r="F393" i="1"/>
  <c r="H393" i="1"/>
  <c r="F394" i="1"/>
  <c r="H394" i="1"/>
  <c r="F395" i="1"/>
  <c r="H395" i="1"/>
  <c r="F396" i="1"/>
  <c r="H396" i="1"/>
  <c r="F397" i="1"/>
  <c r="H397" i="1"/>
  <c r="F398" i="1"/>
  <c r="H398" i="1"/>
  <c r="F399" i="1"/>
  <c r="H399" i="1"/>
  <c r="F400" i="1"/>
  <c r="H400" i="1"/>
  <c r="F401" i="1"/>
  <c r="H401" i="1"/>
  <c r="F402" i="1"/>
  <c r="H402" i="1"/>
  <c r="F403" i="1"/>
  <c r="H403" i="1"/>
  <c r="F404" i="1"/>
  <c r="H404" i="1"/>
  <c r="F405" i="1"/>
  <c r="H405" i="1"/>
  <c r="F406" i="1"/>
  <c r="H406" i="1"/>
  <c r="F407" i="1"/>
  <c r="H407" i="1"/>
  <c r="F408" i="1"/>
  <c r="H408" i="1"/>
  <c r="F409" i="1"/>
  <c r="H409" i="1"/>
  <c r="F410" i="1"/>
  <c r="H410" i="1"/>
  <c r="F411" i="1"/>
  <c r="H411" i="1"/>
  <c r="F412" i="1"/>
  <c r="H412" i="1"/>
  <c r="F413" i="1"/>
  <c r="H413" i="1"/>
  <c r="F414" i="1"/>
  <c r="H414" i="1"/>
  <c r="F415" i="1"/>
  <c r="H415" i="1"/>
  <c r="F416" i="1"/>
  <c r="H416" i="1"/>
  <c r="F417" i="1"/>
  <c r="H417" i="1"/>
  <c r="F418" i="1"/>
  <c r="H418" i="1"/>
  <c r="F419" i="1"/>
  <c r="H419" i="1"/>
  <c r="F420" i="1"/>
  <c r="H420" i="1"/>
  <c r="F421" i="1"/>
  <c r="H421" i="1"/>
  <c r="F422" i="1"/>
  <c r="H422" i="1"/>
  <c r="F423" i="1"/>
  <c r="H423" i="1"/>
  <c r="F424" i="1"/>
  <c r="H424" i="1"/>
  <c r="F425" i="1"/>
  <c r="H425" i="1"/>
  <c r="F426" i="1"/>
  <c r="H426" i="1"/>
  <c r="F427" i="1"/>
  <c r="H427" i="1"/>
  <c r="F428" i="1"/>
  <c r="H428" i="1"/>
  <c r="F429" i="1"/>
  <c r="H429" i="1"/>
  <c r="F430" i="1"/>
  <c r="H430" i="1"/>
  <c r="F431" i="1"/>
  <c r="H431" i="1"/>
  <c r="F432" i="1"/>
  <c r="H432" i="1"/>
  <c r="F433" i="1"/>
  <c r="H433" i="1"/>
  <c r="F434" i="1"/>
  <c r="H434" i="1"/>
  <c r="F435" i="1"/>
  <c r="H435" i="1"/>
  <c r="F436" i="1"/>
  <c r="H436" i="1"/>
  <c r="F437" i="1"/>
  <c r="H437" i="1"/>
  <c r="F438" i="1"/>
  <c r="H438" i="1"/>
  <c r="F439" i="1"/>
  <c r="H439" i="1"/>
  <c r="F440" i="1"/>
  <c r="H440" i="1"/>
  <c r="F441" i="1"/>
  <c r="H441" i="1"/>
  <c r="F442" i="1"/>
  <c r="H442" i="1"/>
  <c r="F443" i="1"/>
  <c r="H443" i="1"/>
  <c r="F444" i="1"/>
  <c r="H444" i="1"/>
  <c r="F445" i="1"/>
  <c r="H445" i="1"/>
  <c r="F446" i="1"/>
  <c r="H446" i="1"/>
  <c r="F447" i="1"/>
  <c r="H447" i="1"/>
  <c r="F448" i="1"/>
  <c r="H448" i="1"/>
  <c r="F449" i="1"/>
  <c r="H449" i="1"/>
  <c r="F450" i="1"/>
  <c r="H450" i="1"/>
  <c r="F451" i="1"/>
  <c r="H451" i="1"/>
  <c r="F452" i="1"/>
  <c r="H452" i="1"/>
  <c r="F453" i="1"/>
  <c r="H453" i="1"/>
  <c r="F454" i="1"/>
  <c r="H454" i="1"/>
  <c r="F455" i="1"/>
  <c r="H455" i="1"/>
  <c r="F456" i="1"/>
  <c r="H456" i="1"/>
  <c r="F457" i="1"/>
  <c r="H457" i="1"/>
  <c r="F458" i="1"/>
  <c r="H458" i="1"/>
  <c r="F459" i="1"/>
  <c r="H459" i="1"/>
  <c r="F460" i="1"/>
  <c r="H460" i="1"/>
  <c r="F461" i="1"/>
  <c r="H461" i="1"/>
  <c r="F462" i="1"/>
  <c r="H462" i="1"/>
  <c r="F463" i="1"/>
  <c r="H463" i="1"/>
  <c r="F464" i="1"/>
  <c r="H464" i="1"/>
  <c r="F465" i="1"/>
  <c r="H465" i="1"/>
  <c r="F466" i="1"/>
  <c r="H466" i="1"/>
  <c r="F467" i="1"/>
  <c r="H467" i="1"/>
  <c r="F468" i="1"/>
  <c r="H468" i="1"/>
  <c r="F469" i="1"/>
  <c r="H469" i="1"/>
  <c r="F470" i="1"/>
  <c r="H470" i="1"/>
  <c r="F471" i="1"/>
  <c r="H471" i="1"/>
  <c r="F472" i="1"/>
  <c r="H472" i="1"/>
  <c r="F473" i="1"/>
  <c r="H473" i="1"/>
  <c r="F474" i="1"/>
  <c r="H474" i="1"/>
  <c r="F475" i="1"/>
  <c r="H475" i="1"/>
  <c r="F476" i="1"/>
  <c r="H476" i="1"/>
  <c r="F477" i="1"/>
  <c r="H477" i="1"/>
  <c r="F478" i="1"/>
  <c r="H478" i="1"/>
  <c r="F479" i="1"/>
  <c r="H479" i="1"/>
  <c r="F480" i="1"/>
  <c r="H480" i="1"/>
  <c r="F481" i="1"/>
  <c r="H481" i="1"/>
  <c r="F482" i="1"/>
  <c r="H482" i="1"/>
  <c r="F483" i="1"/>
  <c r="H483" i="1"/>
  <c r="F484" i="1"/>
  <c r="H484" i="1"/>
  <c r="F485" i="1"/>
  <c r="H485" i="1"/>
  <c r="F486" i="1"/>
  <c r="H486" i="1"/>
  <c r="F487" i="1"/>
  <c r="H487" i="1"/>
  <c r="F488" i="1"/>
  <c r="H488" i="1"/>
  <c r="F489" i="1"/>
  <c r="H489" i="1"/>
  <c r="F490" i="1"/>
  <c r="H490" i="1"/>
  <c r="F491" i="1"/>
  <c r="H491" i="1"/>
  <c r="F492" i="1"/>
  <c r="H492" i="1"/>
  <c r="F493" i="1"/>
  <c r="H493" i="1"/>
  <c r="F494" i="1"/>
  <c r="H494" i="1"/>
  <c r="F495" i="1"/>
  <c r="H495" i="1"/>
  <c r="F496" i="1"/>
  <c r="H496" i="1"/>
  <c r="F497" i="1"/>
  <c r="H497" i="1"/>
  <c r="F498" i="1"/>
  <c r="H498" i="1"/>
  <c r="F499" i="1"/>
  <c r="H499" i="1"/>
  <c r="F500" i="1"/>
  <c r="H500" i="1"/>
  <c r="F501" i="1"/>
  <c r="H501" i="1"/>
  <c r="F502" i="1"/>
  <c r="H502" i="1"/>
  <c r="F503" i="1"/>
  <c r="H503" i="1"/>
  <c r="F504" i="1"/>
  <c r="H504" i="1"/>
  <c r="F505" i="1"/>
  <c r="H505" i="1"/>
  <c r="F506" i="1"/>
  <c r="H506" i="1"/>
  <c r="F507" i="1"/>
  <c r="H507" i="1"/>
  <c r="F508" i="1"/>
  <c r="H508" i="1"/>
  <c r="F509" i="1"/>
  <c r="H509" i="1"/>
  <c r="F510" i="1"/>
  <c r="H510" i="1"/>
  <c r="F511" i="1"/>
  <c r="H511" i="1"/>
  <c r="F512" i="1"/>
  <c r="H512" i="1"/>
  <c r="F513" i="1"/>
  <c r="H513" i="1"/>
  <c r="F514" i="1"/>
  <c r="H514" i="1"/>
  <c r="F515" i="1"/>
  <c r="H515" i="1"/>
  <c r="F516" i="1"/>
  <c r="H516" i="1"/>
  <c r="F517" i="1"/>
  <c r="H517" i="1"/>
  <c r="F518" i="1"/>
  <c r="H518" i="1"/>
  <c r="F519" i="1"/>
  <c r="H519" i="1"/>
  <c r="F520" i="1"/>
  <c r="H520" i="1"/>
  <c r="F521" i="1"/>
  <c r="H521" i="1"/>
  <c r="F522" i="1"/>
  <c r="H522" i="1"/>
  <c r="F523" i="1"/>
  <c r="H523" i="1"/>
  <c r="F524" i="1"/>
  <c r="H524" i="1"/>
  <c r="F525" i="1"/>
  <c r="H525" i="1"/>
  <c r="F526" i="1"/>
  <c r="H526" i="1"/>
  <c r="F527" i="1"/>
  <c r="H527" i="1"/>
  <c r="F528" i="1"/>
  <c r="H528" i="1"/>
  <c r="F529" i="1"/>
  <c r="H529" i="1"/>
  <c r="F530" i="1"/>
  <c r="H530" i="1"/>
  <c r="F531" i="1"/>
  <c r="H531" i="1"/>
  <c r="F532" i="1"/>
  <c r="H532" i="1"/>
  <c r="F533" i="1"/>
  <c r="H533" i="1"/>
  <c r="F534" i="1"/>
  <c r="H534" i="1"/>
  <c r="F535" i="1"/>
  <c r="H535" i="1"/>
  <c r="F536" i="1"/>
  <c r="H536" i="1"/>
  <c r="F537" i="1"/>
  <c r="H537" i="1"/>
  <c r="F538" i="1"/>
  <c r="H538" i="1"/>
  <c r="F539" i="1"/>
  <c r="H539" i="1"/>
  <c r="F540" i="1"/>
  <c r="H540" i="1"/>
  <c r="F541" i="1"/>
  <c r="H541" i="1"/>
  <c r="F542" i="1"/>
  <c r="H542" i="1"/>
  <c r="F543" i="1"/>
  <c r="H543" i="1"/>
  <c r="F544" i="1"/>
  <c r="H544" i="1"/>
  <c r="F545" i="1"/>
  <c r="H545" i="1"/>
  <c r="F546" i="1"/>
  <c r="H546" i="1"/>
  <c r="F547" i="1"/>
  <c r="H547" i="1"/>
  <c r="F548" i="1"/>
  <c r="H548" i="1"/>
  <c r="F549" i="1"/>
  <c r="H549" i="1"/>
  <c r="F550" i="1"/>
  <c r="H550" i="1"/>
  <c r="F551" i="1"/>
  <c r="H551" i="1"/>
  <c r="F552" i="1"/>
  <c r="H552" i="1"/>
  <c r="F553" i="1"/>
  <c r="H553" i="1"/>
  <c r="F554" i="1"/>
  <c r="H554" i="1"/>
  <c r="F555" i="1"/>
  <c r="H555" i="1"/>
  <c r="F556" i="1"/>
  <c r="H556" i="1"/>
  <c r="F557" i="1"/>
  <c r="H557" i="1"/>
  <c r="F558" i="1"/>
  <c r="H558" i="1"/>
  <c r="F559" i="1"/>
  <c r="H559" i="1"/>
  <c r="F560" i="1"/>
  <c r="H560" i="1"/>
  <c r="F561" i="1"/>
  <c r="H561" i="1"/>
  <c r="F562" i="1"/>
  <c r="H562" i="1"/>
  <c r="F563" i="1"/>
  <c r="H563" i="1"/>
  <c r="F564" i="1"/>
  <c r="H564" i="1"/>
  <c r="F565" i="1"/>
  <c r="H565" i="1"/>
  <c r="F566" i="1"/>
  <c r="H566" i="1"/>
  <c r="F567" i="1"/>
  <c r="H567" i="1"/>
  <c r="F568" i="1"/>
  <c r="H568" i="1"/>
  <c r="F569" i="1"/>
  <c r="H569" i="1"/>
  <c r="F570" i="1"/>
  <c r="H570" i="1"/>
  <c r="F571" i="1"/>
  <c r="H571" i="1"/>
  <c r="F572" i="1"/>
  <c r="H572" i="1"/>
  <c r="F573" i="1"/>
  <c r="H573" i="1"/>
  <c r="F574" i="1"/>
  <c r="H574" i="1"/>
  <c r="F575" i="1"/>
  <c r="H575" i="1"/>
  <c r="F576" i="1"/>
  <c r="H576" i="1"/>
  <c r="F577" i="1"/>
  <c r="H577" i="1"/>
  <c r="F578" i="1"/>
  <c r="H578" i="1"/>
  <c r="F579" i="1"/>
  <c r="H579" i="1"/>
  <c r="F580" i="1"/>
  <c r="H580" i="1"/>
  <c r="F581" i="1"/>
  <c r="H581" i="1"/>
  <c r="F582" i="1"/>
  <c r="H582" i="1"/>
  <c r="F583" i="1"/>
  <c r="H583" i="1"/>
  <c r="F584" i="1"/>
  <c r="H584" i="1"/>
  <c r="F585" i="1"/>
  <c r="H585" i="1"/>
  <c r="F586" i="1"/>
  <c r="H586" i="1"/>
  <c r="F587" i="1"/>
  <c r="H587" i="1"/>
  <c r="F588" i="1"/>
  <c r="H588" i="1"/>
  <c r="F589" i="1"/>
  <c r="H589" i="1"/>
  <c r="F590" i="1"/>
  <c r="H590" i="1"/>
  <c r="F591" i="1"/>
  <c r="H591" i="1"/>
  <c r="F592" i="1"/>
  <c r="H592" i="1"/>
  <c r="F593" i="1"/>
  <c r="H593" i="1"/>
  <c r="F594" i="1"/>
  <c r="H594" i="1"/>
  <c r="F595" i="1"/>
  <c r="H595" i="1"/>
  <c r="F596" i="1"/>
  <c r="H596" i="1"/>
  <c r="F597" i="1"/>
  <c r="H597" i="1"/>
  <c r="F598" i="1"/>
  <c r="H598" i="1"/>
  <c r="F599" i="1"/>
  <c r="H599" i="1"/>
  <c r="F600" i="1"/>
  <c r="H600" i="1"/>
  <c r="F601" i="1"/>
  <c r="H601" i="1"/>
  <c r="F602" i="1"/>
  <c r="H602" i="1"/>
  <c r="F603" i="1"/>
  <c r="H603" i="1"/>
  <c r="F604" i="1"/>
  <c r="H604" i="1"/>
  <c r="F605" i="1"/>
  <c r="H605" i="1"/>
  <c r="F606" i="1"/>
  <c r="H606" i="1"/>
  <c r="F607" i="1"/>
  <c r="H607" i="1"/>
  <c r="F608" i="1"/>
  <c r="H608" i="1"/>
  <c r="F609" i="1"/>
  <c r="H609" i="1"/>
  <c r="F610" i="1"/>
  <c r="H610" i="1"/>
  <c r="F611" i="1"/>
  <c r="H611" i="1"/>
  <c r="F612" i="1"/>
  <c r="H612" i="1"/>
  <c r="F613" i="1"/>
  <c r="H613" i="1"/>
  <c r="F614" i="1"/>
  <c r="H614" i="1"/>
  <c r="F615" i="1"/>
  <c r="H615" i="1"/>
  <c r="F616" i="1"/>
  <c r="H616" i="1"/>
  <c r="F617" i="1"/>
  <c r="H617" i="1"/>
  <c r="F618" i="1"/>
  <c r="H618" i="1"/>
  <c r="F619" i="1"/>
  <c r="H619" i="1"/>
  <c r="F620" i="1"/>
  <c r="H620" i="1"/>
  <c r="F621" i="1"/>
  <c r="H621" i="1"/>
  <c r="F622" i="1"/>
  <c r="H622" i="1"/>
  <c r="F623" i="1"/>
  <c r="H623" i="1"/>
  <c r="F624" i="1"/>
  <c r="H624" i="1"/>
  <c r="F625" i="1"/>
  <c r="H625" i="1"/>
  <c r="F626" i="1"/>
  <c r="H626" i="1"/>
  <c r="F627" i="1"/>
  <c r="H627" i="1"/>
  <c r="F628" i="1"/>
  <c r="H628" i="1"/>
  <c r="F629" i="1"/>
  <c r="H629" i="1"/>
  <c r="F630" i="1"/>
  <c r="H630" i="1"/>
  <c r="F631" i="1"/>
  <c r="H631" i="1"/>
  <c r="F632" i="1"/>
  <c r="H632" i="1"/>
  <c r="F633" i="1"/>
  <c r="H633" i="1"/>
  <c r="F634" i="1"/>
  <c r="H634" i="1"/>
  <c r="F635" i="1"/>
  <c r="H635" i="1"/>
  <c r="F636" i="1"/>
  <c r="H636" i="1"/>
  <c r="F637" i="1"/>
  <c r="H637" i="1"/>
  <c r="F638" i="1"/>
  <c r="H638" i="1"/>
  <c r="F639" i="1"/>
  <c r="H639" i="1"/>
  <c r="F640" i="1"/>
  <c r="H640" i="1"/>
  <c r="F641" i="1"/>
  <c r="H641" i="1"/>
  <c r="F642" i="1"/>
  <c r="H642" i="1"/>
  <c r="F643" i="1"/>
  <c r="H643" i="1"/>
  <c r="F644" i="1"/>
  <c r="H644" i="1"/>
  <c r="F645" i="1"/>
  <c r="H645" i="1"/>
  <c r="F646" i="1"/>
  <c r="H646" i="1"/>
  <c r="F647" i="1"/>
  <c r="H647" i="1"/>
  <c r="F648" i="1"/>
  <c r="H648" i="1"/>
  <c r="F649" i="1"/>
  <c r="H649" i="1"/>
  <c r="F650" i="1"/>
  <c r="H650" i="1"/>
  <c r="F651" i="1"/>
  <c r="H651" i="1"/>
  <c r="F652" i="1"/>
  <c r="H652" i="1"/>
  <c r="F653" i="1"/>
  <c r="H653" i="1"/>
  <c r="F654" i="1"/>
  <c r="H654" i="1"/>
  <c r="F655" i="1"/>
  <c r="H655" i="1"/>
  <c r="F656" i="1"/>
  <c r="H656" i="1"/>
  <c r="F657" i="1"/>
  <c r="H657" i="1"/>
  <c r="F658" i="1"/>
  <c r="H658" i="1"/>
  <c r="F659" i="1"/>
  <c r="H659" i="1"/>
  <c r="F660" i="1"/>
  <c r="H660" i="1"/>
  <c r="F661" i="1"/>
  <c r="H661" i="1"/>
  <c r="F662" i="1"/>
  <c r="H662" i="1"/>
  <c r="F663" i="1"/>
  <c r="H663" i="1"/>
  <c r="F664" i="1"/>
  <c r="H664" i="1"/>
  <c r="F665" i="1"/>
  <c r="H665" i="1"/>
  <c r="F666" i="1"/>
  <c r="H666" i="1"/>
  <c r="F667" i="1"/>
  <c r="H667" i="1"/>
  <c r="F668" i="1"/>
  <c r="H668" i="1"/>
  <c r="F669" i="1"/>
  <c r="H669" i="1"/>
  <c r="F670" i="1"/>
  <c r="H670" i="1"/>
  <c r="F671" i="1"/>
  <c r="H671" i="1"/>
  <c r="F672" i="1"/>
  <c r="H672" i="1"/>
  <c r="F673" i="1"/>
  <c r="H673" i="1"/>
  <c r="F674" i="1"/>
  <c r="H674" i="1"/>
  <c r="F675" i="1"/>
  <c r="H675" i="1"/>
  <c r="F676" i="1"/>
  <c r="H676" i="1"/>
  <c r="F677" i="1"/>
  <c r="H677" i="1"/>
  <c r="F678" i="1"/>
  <c r="H678" i="1"/>
  <c r="F679" i="1"/>
  <c r="H679" i="1"/>
  <c r="F680" i="1"/>
  <c r="H680" i="1"/>
  <c r="F681" i="1"/>
  <c r="H681" i="1"/>
  <c r="F682" i="1"/>
  <c r="H682" i="1"/>
  <c r="F683" i="1"/>
  <c r="H683" i="1"/>
  <c r="F684" i="1"/>
  <c r="H684" i="1"/>
  <c r="F685" i="1"/>
  <c r="H685" i="1"/>
  <c r="F686" i="1"/>
  <c r="H686" i="1"/>
  <c r="F687" i="1"/>
  <c r="H687" i="1"/>
  <c r="F688" i="1"/>
  <c r="H688" i="1"/>
  <c r="F689" i="1"/>
  <c r="H689" i="1"/>
  <c r="F690" i="1"/>
  <c r="H690" i="1"/>
  <c r="F691" i="1"/>
  <c r="H691" i="1"/>
  <c r="F692" i="1"/>
  <c r="H692" i="1"/>
  <c r="F693" i="1"/>
  <c r="H693" i="1"/>
  <c r="F694" i="1"/>
  <c r="H694" i="1"/>
  <c r="F695" i="1"/>
  <c r="H695" i="1"/>
  <c r="F696" i="1"/>
  <c r="H696" i="1"/>
  <c r="F697" i="1"/>
  <c r="H697" i="1"/>
  <c r="F698" i="1"/>
  <c r="H698" i="1"/>
  <c r="F699" i="1"/>
  <c r="H699" i="1"/>
  <c r="F700" i="1"/>
  <c r="H700" i="1"/>
  <c r="F701" i="1"/>
  <c r="H701" i="1"/>
  <c r="F702" i="1"/>
  <c r="H702" i="1"/>
  <c r="F703" i="1"/>
  <c r="H703" i="1"/>
  <c r="F704" i="1"/>
  <c r="H704" i="1"/>
  <c r="F705" i="1"/>
  <c r="H705" i="1"/>
  <c r="F706" i="1"/>
  <c r="H706" i="1"/>
  <c r="F707" i="1"/>
  <c r="H707" i="1"/>
  <c r="F708" i="1"/>
  <c r="H708" i="1"/>
  <c r="F709" i="1"/>
  <c r="H709" i="1"/>
  <c r="F710" i="1"/>
  <c r="H710" i="1"/>
  <c r="F711" i="1"/>
  <c r="H711" i="1"/>
  <c r="F712" i="1"/>
  <c r="H712" i="1"/>
  <c r="F713" i="1"/>
  <c r="H713" i="1"/>
  <c r="F714" i="1"/>
  <c r="H714" i="1"/>
  <c r="F715" i="1"/>
  <c r="H715" i="1"/>
  <c r="F716" i="1"/>
  <c r="H716" i="1"/>
  <c r="F717" i="1"/>
  <c r="H717" i="1"/>
  <c r="F718" i="1"/>
  <c r="H718" i="1"/>
  <c r="F719" i="1"/>
  <c r="H719" i="1"/>
  <c r="F720" i="1"/>
  <c r="H720" i="1"/>
  <c r="F721" i="1"/>
  <c r="H721" i="1"/>
  <c r="F722" i="1"/>
  <c r="H722" i="1"/>
  <c r="F723" i="1"/>
  <c r="H723" i="1"/>
  <c r="F724" i="1"/>
  <c r="H724" i="1"/>
  <c r="F725" i="1"/>
  <c r="H725" i="1"/>
  <c r="F726" i="1"/>
  <c r="H726" i="1"/>
  <c r="F727" i="1"/>
  <c r="H727" i="1"/>
  <c r="F728" i="1"/>
  <c r="H728" i="1"/>
  <c r="F729" i="1"/>
  <c r="H729" i="1"/>
  <c r="F730" i="1"/>
  <c r="H730" i="1"/>
  <c r="F731" i="1"/>
  <c r="H731" i="1"/>
  <c r="F732" i="1"/>
  <c r="H732" i="1"/>
  <c r="F733" i="1"/>
  <c r="H733" i="1"/>
  <c r="F734" i="1"/>
  <c r="H734" i="1"/>
  <c r="F735" i="1"/>
  <c r="H735" i="1"/>
  <c r="F736" i="1"/>
  <c r="H736" i="1"/>
  <c r="F737" i="1"/>
  <c r="H737" i="1"/>
  <c r="F738" i="1"/>
  <c r="H738" i="1"/>
  <c r="F739" i="1"/>
  <c r="H739" i="1"/>
  <c r="F740" i="1"/>
  <c r="H740" i="1"/>
  <c r="F741" i="1"/>
  <c r="H741" i="1"/>
  <c r="F742" i="1"/>
  <c r="H742" i="1"/>
  <c r="F743" i="1"/>
  <c r="H743" i="1"/>
  <c r="F744" i="1"/>
  <c r="H744" i="1"/>
  <c r="F745" i="1"/>
  <c r="H745" i="1"/>
  <c r="F746" i="1"/>
  <c r="H746" i="1"/>
  <c r="F747" i="1"/>
  <c r="H747" i="1"/>
  <c r="F748" i="1"/>
  <c r="H748" i="1"/>
  <c r="F749" i="1"/>
  <c r="H749" i="1"/>
  <c r="F750" i="1"/>
  <c r="H750" i="1"/>
  <c r="F751" i="1"/>
  <c r="H751" i="1"/>
  <c r="F752" i="1"/>
  <c r="H752" i="1"/>
  <c r="F753" i="1"/>
  <c r="H753" i="1"/>
  <c r="F754" i="1"/>
  <c r="H754" i="1"/>
  <c r="F755" i="1"/>
  <c r="H755" i="1"/>
  <c r="F756" i="1"/>
  <c r="H756" i="1"/>
  <c r="F757" i="1"/>
  <c r="H757" i="1"/>
  <c r="F758" i="1"/>
  <c r="H758" i="1"/>
  <c r="F759" i="1"/>
  <c r="H759" i="1"/>
  <c r="F760" i="1"/>
  <c r="H760" i="1"/>
  <c r="F761" i="1"/>
  <c r="H761" i="1"/>
  <c r="F762" i="1"/>
  <c r="H762" i="1"/>
  <c r="F763" i="1"/>
  <c r="H763" i="1"/>
  <c r="F764" i="1"/>
  <c r="H764" i="1"/>
  <c r="F765" i="1"/>
  <c r="H765" i="1"/>
  <c r="F766" i="1"/>
  <c r="H766" i="1"/>
  <c r="F767" i="1"/>
  <c r="H767" i="1"/>
  <c r="F768" i="1"/>
  <c r="H768" i="1"/>
  <c r="F769" i="1"/>
  <c r="H769" i="1"/>
  <c r="F770" i="1"/>
  <c r="H770" i="1"/>
  <c r="F771" i="1"/>
  <c r="H771" i="1"/>
  <c r="F772" i="1"/>
  <c r="H772" i="1"/>
  <c r="F773" i="1"/>
  <c r="H773" i="1"/>
  <c r="F774" i="1"/>
  <c r="H774" i="1"/>
  <c r="F775" i="1"/>
  <c r="H775" i="1"/>
  <c r="F776" i="1"/>
  <c r="H776" i="1"/>
  <c r="F777" i="1"/>
  <c r="H777" i="1"/>
  <c r="F778" i="1"/>
  <c r="H778" i="1"/>
  <c r="F779" i="1"/>
  <c r="H779" i="1"/>
  <c r="F780" i="1"/>
  <c r="H780" i="1"/>
  <c r="F781" i="1"/>
  <c r="H781" i="1"/>
  <c r="F782" i="1"/>
  <c r="H782" i="1"/>
  <c r="F783" i="1"/>
  <c r="H783" i="1"/>
  <c r="F784" i="1"/>
  <c r="H784" i="1"/>
  <c r="F785" i="1"/>
  <c r="H785" i="1"/>
  <c r="F786" i="1"/>
  <c r="H786" i="1"/>
  <c r="F787" i="1"/>
  <c r="H787" i="1"/>
  <c r="F788" i="1"/>
  <c r="H788" i="1"/>
  <c r="F789" i="1"/>
  <c r="H789" i="1"/>
  <c r="F790" i="1"/>
  <c r="H790" i="1"/>
  <c r="F791" i="1"/>
  <c r="H791" i="1"/>
  <c r="F792" i="1"/>
  <c r="H792" i="1"/>
  <c r="F793" i="1"/>
  <c r="H793" i="1"/>
  <c r="F794" i="1"/>
  <c r="H794" i="1"/>
  <c r="F795" i="1"/>
  <c r="H795" i="1"/>
  <c r="F796" i="1"/>
  <c r="H796" i="1"/>
  <c r="F797" i="1"/>
  <c r="H797" i="1"/>
  <c r="F798" i="1"/>
  <c r="H798" i="1"/>
  <c r="F799" i="1"/>
  <c r="H799" i="1"/>
  <c r="F800" i="1"/>
  <c r="H800" i="1"/>
  <c r="F801" i="1"/>
  <c r="H801" i="1"/>
  <c r="F802" i="1"/>
  <c r="H802" i="1"/>
  <c r="F803" i="1"/>
  <c r="H803" i="1"/>
  <c r="F804" i="1"/>
  <c r="H804" i="1"/>
  <c r="F805" i="1"/>
  <c r="H805" i="1"/>
  <c r="F806" i="1"/>
  <c r="H806" i="1"/>
  <c r="F807" i="1"/>
  <c r="H807" i="1"/>
  <c r="F808" i="1"/>
  <c r="H808" i="1"/>
  <c r="F809" i="1"/>
  <c r="H809" i="1"/>
  <c r="F810" i="1"/>
  <c r="H810" i="1"/>
  <c r="F811" i="1"/>
  <c r="H811" i="1"/>
  <c r="F812" i="1"/>
  <c r="H812" i="1"/>
  <c r="F813" i="1"/>
  <c r="H813" i="1"/>
  <c r="F814" i="1"/>
  <c r="H814" i="1"/>
  <c r="F815" i="1"/>
  <c r="H815" i="1"/>
  <c r="F816" i="1"/>
  <c r="H816" i="1"/>
  <c r="F817" i="1"/>
  <c r="H817" i="1"/>
  <c r="F818" i="1"/>
  <c r="H818" i="1"/>
  <c r="F819" i="1"/>
  <c r="H819" i="1"/>
  <c r="F820" i="1"/>
  <c r="H820" i="1"/>
  <c r="F821" i="1"/>
  <c r="H821" i="1"/>
  <c r="F822" i="1"/>
  <c r="H822" i="1"/>
  <c r="F823" i="1"/>
  <c r="H823" i="1"/>
  <c r="F824" i="1"/>
  <c r="H824" i="1"/>
  <c r="F825" i="1"/>
  <c r="H825" i="1"/>
  <c r="F826" i="1"/>
  <c r="H826" i="1"/>
  <c r="F827" i="1"/>
  <c r="H827" i="1"/>
  <c r="F828" i="1"/>
  <c r="H828" i="1"/>
  <c r="F829" i="1"/>
  <c r="H829" i="1"/>
  <c r="F830" i="1"/>
  <c r="H830" i="1"/>
  <c r="F831" i="1"/>
  <c r="H831" i="1"/>
  <c r="F832" i="1"/>
  <c r="H832" i="1"/>
  <c r="F833" i="1"/>
  <c r="H833" i="1"/>
  <c r="F834" i="1"/>
  <c r="H834" i="1"/>
  <c r="F835" i="1"/>
  <c r="H835" i="1"/>
  <c r="F836" i="1"/>
  <c r="H836" i="1"/>
  <c r="F837" i="1"/>
  <c r="H837" i="1"/>
  <c r="F838" i="1"/>
  <c r="H838" i="1"/>
  <c r="F839" i="1"/>
  <c r="H839" i="1"/>
  <c r="F840" i="1"/>
  <c r="H840" i="1"/>
  <c r="F841" i="1"/>
  <c r="H841" i="1"/>
  <c r="F842" i="1"/>
  <c r="H842" i="1"/>
  <c r="F843" i="1"/>
  <c r="H843" i="1"/>
  <c r="F844" i="1"/>
  <c r="H844" i="1"/>
  <c r="F845" i="1"/>
  <c r="H845" i="1"/>
  <c r="F846" i="1"/>
  <c r="H846" i="1"/>
  <c r="F847" i="1"/>
  <c r="H847" i="1"/>
  <c r="F848" i="1"/>
  <c r="H848" i="1"/>
  <c r="F849" i="1"/>
  <c r="H849" i="1"/>
  <c r="F850" i="1"/>
  <c r="H850" i="1"/>
  <c r="F851" i="1"/>
  <c r="H851" i="1"/>
  <c r="F852" i="1"/>
  <c r="H852" i="1"/>
  <c r="F853" i="1"/>
  <c r="H853" i="1"/>
  <c r="F854" i="1"/>
  <c r="H854" i="1"/>
  <c r="F855" i="1"/>
  <c r="H855" i="1"/>
  <c r="F856" i="1"/>
  <c r="H856" i="1"/>
  <c r="F857" i="1"/>
  <c r="H857" i="1"/>
  <c r="F858" i="1"/>
  <c r="H858" i="1"/>
  <c r="F859" i="1"/>
  <c r="H859" i="1"/>
  <c r="F860" i="1"/>
  <c r="H860" i="1"/>
  <c r="F861" i="1"/>
  <c r="H861" i="1"/>
  <c r="F862" i="1"/>
  <c r="H862" i="1"/>
  <c r="F863" i="1"/>
  <c r="H863" i="1"/>
  <c r="F864" i="1"/>
  <c r="H864" i="1"/>
  <c r="F865" i="1"/>
  <c r="H865" i="1"/>
  <c r="F866" i="1"/>
  <c r="H866" i="1"/>
  <c r="F867" i="1"/>
  <c r="H867" i="1"/>
  <c r="F868" i="1"/>
  <c r="H868" i="1"/>
  <c r="F869" i="1"/>
  <c r="H869" i="1"/>
  <c r="F870" i="1"/>
  <c r="H870" i="1"/>
  <c r="F871" i="1"/>
  <c r="H871" i="1"/>
  <c r="F872" i="1"/>
  <c r="H872" i="1"/>
  <c r="F873" i="1"/>
  <c r="H873" i="1"/>
  <c r="F874" i="1"/>
  <c r="H874" i="1"/>
  <c r="F875" i="1"/>
  <c r="H875" i="1"/>
  <c r="F876" i="1"/>
  <c r="H876" i="1"/>
  <c r="F877" i="1"/>
  <c r="H877" i="1"/>
  <c r="F878" i="1"/>
  <c r="H878" i="1"/>
  <c r="F879" i="1"/>
  <c r="H879" i="1"/>
  <c r="F880" i="1"/>
  <c r="H880" i="1"/>
  <c r="F881" i="1"/>
  <c r="H881" i="1"/>
  <c r="F882" i="1"/>
  <c r="H882" i="1"/>
  <c r="F883" i="1"/>
  <c r="H883" i="1"/>
  <c r="F884" i="1"/>
  <c r="H884" i="1"/>
  <c r="F885" i="1"/>
  <c r="H885" i="1"/>
  <c r="F886" i="1"/>
  <c r="H886" i="1"/>
  <c r="F887" i="1"/>
  <c r="H887" i="1"/>
  <c r="F888" i="1"/>
  <c r="H888" i="1"/>
  <c r="F889" i="1"/>
  <c r="H889" i="1"/>
  <c r="F890" i="1"/>
  <c r="H890" i="1"/>
  <c r="F891" i="1"/>
  <c r="H891" i="1"/>
  <c r="F892" i="1"/>
  <c r="H892" i="1"/>
  <c r="F893" i="1"/>
  <c r="H893" i="1"/>
  <c r="F894" i="1"/>
  <c r="H894" i="1"/>
  <c r="F895" i="1"/>
  <c r="H895" i="1"/>
  <c r="F896" i="1"/>
  <c r="H896" i="1"/>
  <c r="F897" i="1"/>
  <c r="H897" i="1"/>
  <c r="F898" i="1"/>
  <c r="H898" i="1"/>
  <c r="F899" i="1"/>
  <c r="H899" i="1"/>
  <c r="F900" i="1"/>
  <c r="H900" i="1"/>
  <c r="F901" i="1"/>
  <c r="H901" i="1"/>
  <c r="F902" i="1"/>
  <c r="H902" i="1"/>
  <c r="F903" i="1"/>
  <c r="H903" i="1"/>
  <c r="F904" i="1"/>
  <c r="H904" i="1"/>
  <c r="F905" i="1"/>
  <c r="H905" i="1"/>
  <c r="F906" i="1"/>
  <c r="H906" i="1"/>
  <c r="F907" i="1"/>
  <c r="H907" i="1"/>
  <c r="F908" i="1"/>
  <c r="H908" i="1"/>
  <c r="F909" i="1"/>
  <c r="H909" i="1"/>
  <c r="F910" i="1"/>
  <c r="H910" i="1"/>
  <c r="F911" i="1"/>
  <c r="H911" i="1"/>
  <c r="F912" i="1"/>
  <c r="H912" i="1"/>
  <c r="F913" i="1"/>
  <c r="H913" i="1"/>
  <c r="F914" i="1"/>
  <c r="H914" i="1"/>
  <c r="F915" i="1"/>
  <c r="H915" i="1"/>
  <c r="F916" i="1"/>
  <c r="H916" i="1"/>
  <c r="F917" i="1"/>
  <c r="H917" i="1"/>
  <c r="F918" i="1"/>
  <c r="H918" i="1"/>
  <c r="F919" i="1"/>
  <c r="H919" i="1"/>
  <c r="F920" i="1"/>
  <c r="H920" i="1"/>
  <c r="F921" i="1"/>
  <c r="H921" i="1"/>
  <c r="F922" i="1"/>
  <c r="H922" i="1"/>
  <c r="F923" i="1"/>
  <c r="H923" i="1"/>
  <c r="F924" i="1"/>
  <c r="H924" i="1"/>
  <c r="F925" i="1"/>
  <c r="H925" i="1"/>
  <c r="F926" i="1"/>
  <c r="H926" i="1"/>
  <c r="F927" i="1"/>
  <c r="H927" i="1"/>
  <c r="F928" i="1"/>
  <c r="H928" i="1"/>
  <c r="F929" i="1"/>
  <c r="H929" i="1"/>
  <c r="F930" i="1"/>
  <c r="H930" i="1"/>
  <c r="F931" i="1"/>
  <c r="H931" i="1"/>
  <c r="F932" i="1"/>
  <c r="H932" i="1"/>
  <c r="F933" i="1"/>
  <c r="H933" i="1"/>
  <c r="F934" i="1"/>
  <c r="H934" i="1"/>
  <c r="F935" i="1"/>
  <c r="H935" i="1"/>
  <c r="F936" i="1"/>
  <c r="H936" i="1"/>
  <c r="F937" i="1"/>
  <c r="H937" i="1"/>
  <c r="F938" i="1"/>
  <c r="H938" i="1"/>
  <c r="F939" i="1"/>
  <c r="H939" i="1"/>
  <c r="F940" i="1"/>
  <c r="H940" i="1"/>
  <c r="F941" i="1"/>
  <c r="H941" i="1"/>
  <c r="F942" i="1"/>
  <c r="H942" i="1"/>
  <c r="F943" i="1"/>
  <c r="H943" i="1"/>
  <c r="F944" i="1"/>
  <c r="H944" i="1"/>
  <c r="F945" i="1"/>
  <c r="H945" i="1"/>
  <c r="F946" i="1"/>
  <c r="H946" i="1"/>
  <c r="F947" i="1"/>
  <c r="H947" i="1"/>
  <c r="F948" i="1"/>
  <c r="H948" i="1"/>
  <c r="F949" i="1"/>
  <c r="H949" i="1"/>
  <c r="F950" i="1"/>
  <c r="H950" i="1"/>
  <c r="F951" i="1"/>
  <c r="H951" i="1"/>
  <c r="F952" i="1"/>
  <c r="H952" i="1"/>
  <c r="F953" i="1"/>
  <c r="H953" i="1"/>
  <c r="F954" i="1"/>
  <c r="H954" i="1"/>
  <c r="F955" i="1"/>
  <c r="H955" i="1"/>
  <c r="F956" i="1"/>
  <c r="H956" i="1"/>
  <c r="F957" i="1"/>
  <c r="H957" i="1"/>
  <c r="F958" i="1"/>
  <c r="H958" i="1"/>
  <c r="F959" i="1"/>
  <c r="H959" i="1"/>
  <c r="F960" i="1"/>
  <c r="H960" i="1"/>
  <c r="F961" i="1"/>
  <c r="H961" i="1"/>
  <c r="F962" i="1"/>
  <c r="H962" i="1"/>
  <c r="F963" i="1"/>
  <c r="H963" i="1"/>
  <c r="F964" i="1"/>
  <c r="H964" i="1"/>
  <c r="F965" i="1"/>
  <c r="H965" i="1"/>
  <c r="F966" i="1"/>
  <c r="H966" i="1"/>
  <c r="F967" i="1"/>
  <c r="H967" i="1"/>
  <c r="F968" i="1"/>
  <c r="H968" i="1"/>
  <c r="F969" i="1"/>
  <c r="H969" i="1"/>
  <c r="F970" i="1"/>
  <c r="H970" i="1"/>
  <c r="F971" i="1"/>
  <c r="H971" i="1"/>
  <c r="F972" i="1"/>
  <c r="H972" i="1"/>
  <c r="F973" i="1"/>
  <c r="H973" i="1"/>
  <c r="F974" i="1"/>
  <c r="H974" i="1"/>
  <c r="F975" i="1"/>
  <c r="H975" i="1"/>
  <c r="F976" i="1"/>
  <c r="H976" i="1"/>
  <c r="F977" i="1"/>
  <c r="H977" i="1"/>
  <c r="F978" i="1"/>
  <c r="H978" i="1"/>
  <c r="F979" i="1"/>
  <c r="H979" i="1"/>
  <c r="F980" i="1"/>
  <c r="H980" i="1"/>
  <c r="F981" i="1"/>
  <c r="H981" i="1"/>
  <c r="F982" i="1"/>
  <c r="H982" i="1"/>
  <c r="F983" i="1"/>
  <c r="H983" i="1"/>
  <c r="F984" i="1"/>
  <c r="H984" i="1"/>
  <c r="F985" i="1"/>
  <c r="H985" i="1"/>
  <c r="F986" i="1"/>
  <c r="H986" i="1"/>
  <c r="F987" i="1"/>
  <c r="H987" i="1"/>
  <c r="F988" i="1"/>
  <c r="H988" i="1"/>
  <c r="F989" i="1"/>
  <c r="H989" i="1"/>
  <c r="F990" i="1"/>
  <c r="H990" i="1"/>
  <c r="F991" i="1"/>
  <c r="H991" i="1"/>
  <c r="F992" i="1"/>
  <c r="H992" i="1"/>
  <c r="F993" i="1"/>
  <c r="H993" i="1"/>
  <c r="F994" i="1"/>
  <c r="H994" i="1"/>
  <c r="F995" i="1"/>
  <c r="H995" i="1"/>
  <c r="F996" i="1"/>
  <c r="H996" i="1"/>
  <c r="F997" i="1"/>
  <c r="H997" i="1"/>
  <c r="F998" i="1"/>
  <c r="H998" i="1"/>
  <c r="F999" i="1"/>
  <c r="H999" i="1"/>
  <c r="F1000" i="1"/>
  <c r="H1000" i="1"/>
  <c r="F1001" i="1"/>
  <c r="H1001" i="1"/>
  <c r="F1002" i="1"/>
  <c r="H1002" i="1"/>
  <c r="F1003" i="1"/>
  <c r="H1003" i="1"/>
  <c r="F1004" i="1"/>
  <c r="H1004" i="1"/>
  <c r="F1005" i="1"/>
  <c r="H1005" i="1"/>
  <c r="F1006" i="1"/>
  <c r="H1006" i="1"/>
  <c r="F1007" i="1"/>
  <c r="H1007" i="1"/>
  <c r="F1008" i="1"/>
  <c r="H1008" i="1"/>
  <c r="F1009" i="1"/>
  <c r="H1009" i="1"/>
  <c r="F1010" i="1"/>
  <c r="H1010" i="1"/>
  <c r="F1011" i="1"/>
  <c r="H1011" i="1"/>
  <c r="F1012" i="1"/>
  <c r="H1012" i="1"/>
  <c r="F1013" i="1"/>
  <c r="H1013" i="1"/>
  <c r="F1014" i="1"/>
  <c r="H1014" i="1"/>
  <c r="F1015" i="1"/>
  <c r="H1015" i="1"/>
  <c r="F1016" i="1"/>
  <c r="H1016" i="1"/>
  <c r="F1017" i="1"/>
  <c r="H1017" i="1"/>
  <c r="F1018" i="1"/>
  <c r="H1018" i="1"/>
  <c r="F1019" i="1"/>
  <c r="H1019" i="1"/>
  <c r="F1020" i="1"/>
  <c r="H1020" i="1"/>
  <c r="F1021" i="1"/>
  <c r="H1021" i="1"/>
  <c r="F1022" i="1"/>
  <c r="H1022" i="1"/>
  <c r="F1023" i="1"/>
  <c r="H1023" i="1"/>
  <c r="F1024" i="1"/>
  <c r="H1024" i="1"/>
  <c r="F1025" i="1"/>
  <c r="H1025" i="1"/>
  <c r="F1026" i="1"/>
  <c r="H1026" i="1"/>
  <c r="F1027" i="1"/>
  <c r="H1027" i="1"/>
  <c r="F1028" i="1"/>
  <c r="H1028" i="1"/>
  <c r="F1029" i="1"/>
  <c r="H1029" i="1"/>
  <c r="F1030" i="1"/>
  <c r="H1030" i="1"/>
  <c r="F1031" i="1"/>
  <c r="H1031" i="1"/>
  <c r="F1032" i="1"/>
  <c r="H1032" i="1"/>
  <c r="F1033" i="1"/>
  <c r="H1033" i="1"/>
  <c r="F1034" i="1"/>
  <c r="H1034" i="1"/>
  <c r="F1035" i="1"/>
  <c r="H1035" i="1"/>
  <c r="F1036" i="1"/>
  <c r="H1036" i="1"/>
  <c r="F1037" i="1"/>
  <c r="H1037" i="1"/>
  <c r="F1038" i="1"/>
  <c r="H1038" i="1"/>
  <c r="F1039" i="1"/>
  <c r="H1039" i="1"/>
  <c r="F1040" i="1"/>
  <c r="H1040" i="1"/>
  <c r="F1041" i="1"/>
  <c r="H1041" i="1"/>
  <c r="F1042" i="1"/>
  <c r="H1042" i="1"/>
  <c r="F1043" i="1"/>
  <c r="H1043" i="1"/>
  <c r="F1044" i="1"/>
  <c r="H1044" i="1"/>
  <c r="F1045" i="1"/>
  <c r="H1045" i="1"/>
  <c r="F1046" i="1"/>
  <c r="H1046" i="1"/>
  <c r="F1047" i="1"/>
  <c r="H1047" i="1"/>
  <c r="F1048" i="1"/>
  <c r="H1048" i="1"/>
  <c r="F1049" i="1"/>
  <c r="H1049" i="1"/>
  <c r="F1050" i="1"/>
  <c r="H1050" i="1"/>
  <c r="F1051" i="1"/>
  <c r="H1051" i="1"/>
  <c r="F1052" i="1"/>
  <c r="H1052" i="1"/>
  <c r="F1053" i="1"/>
  <c r="H1053" i="1"/>
  <c r="F1054" i="1"/>
  <c r="H1054" i="1"/>
  <c r="F1055" i="1"/>
  <c r="H1055" i="1"/>
  <c r="F1056" i="1"/>
  <c r="H1056" i="1"/>
  <c r="F1057" i="1"/>
  <c r="H1057" i="1"/>
  <c r="F1058" i="1"/>
  <c r="H1058" i="1"/>
  <c r="F1059" i="1"/>
  <c r="H1059" i="1"/>
  <c r="F1060" i="1"/>
  <c r="H1060" i="1"/>
  <c r="F1061" i="1"/>
  <c r="H1061" i="1"/>
  <c r="F1062" i="1"/>
  <c r="H1062" i="1"/>
  <c r="F1063" i="1"/>
  <c r="H1063" i="1"/>
  <c r="F1064" i="1"/>
  <c r="H1064" i="1"/>
  <c r="F1065" i="1"/>
  <c r="H1065" i="1"/>
  <c r="F1066" i="1"/>
  <c r="H1066" i="1"/>
  <c r="F1067" i="1"/>
  <c r="H1067" i="1"/>
  <c r="F1068" i="1"/>
  <c r="H1068" i="1"/>
  <c r="F1069" i="1"/>
  <c r="H1069" i="1"/>
  <c r="F1070" i="1"/>
  <c r="H1070" i="1"/>
  <c r="F1071" i="1"/>
  <c r="H1071" i="1"/>
  <c r="F1072" i="1"/>
  <c r="H1072" i="1"/>
  <c r="F1073" i="1"/>
  <c r="H1073" i="1"/>
  <c r="F1074" i="1"/>
  <c r="H1074" i="1"/>
  <c r="F1075" i="1"/>
  <c r="H1075" i="1"/>
  <c r="F1076" i="1"/>
  <c r="H1076" i="1"/>
  <c r="F1077" i="1"/>
  <c r="H1077" i="1"/>
  <c r="F1078" i="1"/>
  <c r="H1078" i="1"/>
  <c r="F1079" i="1"/>
  <c r="H1079" i="1"/>
  <c r="F1080" i="1"/>
  <c r="H1080" i="1"/>
  <c r="F1081" i="1"/>
  <c r="H1081" i="1"/>
  <c r="F1082" i="1"/>
  <c r="H1082" i="1"/>
  <c r="F1083" i="1"/>
  <c r="H1083" i="1"/>
  <c r="F1084" i="1"/>
  <c r="H1084" i="1"/>
  <c r="F1085" i="1"/>
  <c r="H1085" i="1"/>
  <c r="F1086" i="1"/>
  <c r="H1086" i="1"/>
  <c r="F1087" i="1"/>
  <c r="H1087" i="1"/>
  <c r="F1088" i="1"/>
  <c r="H1088" i="1"/>
  <c r="F1089" i="1"/>
  <c r="H1089" i="1"/>
  <c r="F1090" i="1"/>
  <c r="H1090" i="1"/>
  <c r="F1091" i="1"/>
  <c r="H1091" i="1"/>
  <c r="F1092" i="1"/>
  <c r="H1092" i="1"/>
  <c r="F1093" i="1"/>
  <c r="H1093" i="1"/>
  <c r="F1094" i="1"/>
  <c r="H1094" i="1"/>
  <c r="F1095" i="1"/>
  <c r="H1095" i="1"/>
  <c r="F1096" i="1"/>
  <c r="H1096" i="1"/>
  <c r="F1097" i="1"/>
  <c r="H1097" i="1"/>
  <c r="F1098" i="1"/>
  <c r="H1098" i="1"/>
  <c r="F1099" i="1"/>
  <c r="H1099" i="1"/>
  <c r="F1100" i="1"/>
  <c r="H1100" i="1"/>
  <c r="F1101" i="1"/>
  <c r="H1101" i="1"/>
  <c r="F1102" i="1"/>
  <c r="H1102" i="1"/>
  <c r="F1103" i="1"/>
  <c r="H1103" i="1"/>
  <c r="F1104" i="1"/>
  <c r="H1104" i="1"/>
  <c r="F1105" i="1"/>
  <c r="H1105" i="1"/>
  <c r="F1106" i="1"/>
  <c r="H1106" i="1"/>
  <c r="F1107" i="1"/>
  <c r="H1107" i="1"/>
  <c r="F1108" i="1"/>
  <c r="H1108" i="1"/>
  <c r="F1109" i="1"/>
  <c r="H1109" i="1"/>
  <c r="F1110" i="1"/>
  <c r="H1110" i="1"/>
  <c r="F1111" i="1"/>
  <c r="H1111" i="1"/>
  <c r="F1112" i="1"/>
  <c r="H1112" i="1"/>
  <c r="F1113" i="1"/>
  <c r="H1113" i="1"/>
  <c r="F1114" i="1"/>
  <c r="H1114" i="1"/>
  <c r="F1115" i="1"/>
  <c r="H1115" i="1"/>
  <c r="F1116" i="1"/>
  <c r="H1116" i="1"/>
  <c r="F1117" i="1"/>
  <c r="H1117" i="1"/>
  <c r="F1118" i="1"/>
  <c r="H1118" i="1"/>
  <c r="F1119" i="1"/>
  <c r="H1119" i="1"/>
  <c r="F1120" i="1"/>
  <c r="H1120" i="1"/>
  <c r="F1121" i="1"/>
  <c r="H1121" i="1"/>
  <c r="F1122" i="1"/>
  <c r="H1122" i="1"/>
  <c r="F1123" i="1"/>
  <c r="H1123" i="1"/>
  <c r="F1124" i="1"/>
  <c r="H1124" i="1"/>
  <c r="F1125" i="1"/>
  <c r="H1125" i="1"/>
  <c r="F1126" i="1"/>
  <c r="H1126" i="1"/>
  <c r="F1127" i="1"/>
  <c r="H1127" i="1"/>
  <c r="F1128" i="1"/>
  <c r="H1128" i="1"/>
  <c r="F1129" i="1"/>
  <c r="H1129" i="1"/>
  <c r="F1130" i="1"/>
  <c r="H1130" i="1"/>
  <c r="F1131" i="1"/>
  <c r="H1131" i="1"/>
  <c r="F1132" i="1"/>
  <c r="H1132" i="1"/>
  <c r="F1133" i="1"/>
  <c r="H1133" i="1"/>
  <c r="F1134" i="1"/>
  <c r="H1134" i="1"/>
  <c r="F1135" i="1"/>
  <c r="H1135" i="1"/>
  <c r="F1136" i="1"/>
  <c r="H1136" i="1"/>
  <c r="F1137" i="1"/>
  <c r="H1137" i="1"/>
  <c r="F1138" i="1"/>
  <c r="H1138" i="1"/>
  <c r="F1139" i="1"/>
  <c r="H1139" i="1"/>
  <c r="F1140" i="1"/>
  <c r="H1140" i="1"/>
  <c r="F1141" i="1"/>
  <c r="H1141" i="1"/>
  <c r="F1142" i="1"/>
  <c r="H1142" i="1"/>
  <c r="F1143" i="1"/>
  <c r="H1143" i="1"/>
  <c r="F1144" i="1"/>
  <c r="H1144" i="1"/>
  <c r="F1145" i="1"/>
  <c r="H1145" i="1"/>
  <c r="F1146" i="1"/>
  <c r="H1146" i="1"/>
  <c r="F1147" i="1"/>
  <c r="H1147" i="1"/>
  <c r="F1148" i="1"/>
  <c r="H1148" i="1"/>
  <c r="F1149" i="1"/>
  <c r="H1149" i="1"/>
  <c r="F1150" i="1"/>
  <c r="H1150" i="1"/>
  <c r="F1151" i="1"/>
  <c r="H1151" i="1"/>
  <c r="F1152" i="1"/>
  <c r="H1152" i="1"/>
  <c r="F1153" i="1"/>
  <c r="H1153" i="1"/>
  <c r="F1154" i="1"/>
  <c r="H1154" i="1"/>
  <c r="F1155" i="1"/>
  <c r="H1155" i="1"/>
  <c r="F1156" i="1"/>
  <c r="H1156" i="1"/>
  <c r="F1157" i="1"/>
  <c r="H1157" i="1"/>
  <c r="F1158" i="1"/>
  <c r="H1158" i="1"/>
  <c r="F1159" i="1"/>
  <c r="H1159" i="1"/>
  <c r="F1160" i="1"/>
  <c r="H1160" i="1"/>
  <c r="F1161" i="1"/>
  <c r="H1161" i="1"/>
  <c r="F1162" i="1"/>
  <c r="H1162" i="1"/>
  <c r="F1163" i="1"/>
  <c r="H1163" i="1"/>
  <c r="F1164" i="1"/>
  <c r="H1164" i="1"/>
  <c r="F1165" i="1"/>
  <c r="H1165" i="1"/>
  <c r="F1166" i="1"/>
  <c r="H1166" i="1"/>
  <c r="F1167" i="1"/>
  <c r="H1167" i="1"/>
  <c r="F1168" i="1"/>
  <c r="H1168" i="1"/>
  <c r="F1169" i="1"/>
  <c r="H1169" i="1"/>
  <c r="F1170" i="1"/>
  <c r="H1170" i="1"/>
  <c r="F1171" i="1"/>
  <c r="H1171" i="1"/>
  <c r="F1172" i="1"/>
  <c r="H1172" i="1"/>
  <c r="F1173" i="1"/>
  <c r="H1173" i="1"/>
  <c r="F1174" i="1"/>
  <c r="H1174" i="1"/>
  <c r="F1175" i="1"/>
  <c r="H1175" i="1"/>
  <c r="F1176" i="1"/>
  <c r="H1176" i="1"/>
  <c r="F1177" i="1"/>
  <c r="H1177" i="1"/>
  <c r="F1178" i="1"/>
  <c r="H1178" i="1"/>
  <c r="F1179" i="1"/>
  <c r="H1179" i="1"/>
  <c r="F1180" i="1"/>
  <c r="H1180" i="1"/>
  <c r="F1181" i="1"/>
  <c r="H1181" i="1"/>
  <c r="F1182" i="1"/>
  <c r="H1182" i="1"/>
  <c r="F1183" i="1"/>
  <c r="H1183" i="1"/>
  <c r="F1184" i="1"/>
  <c r="H1184" i="1"/>
  <c r="F1185" i="1"/>
  <c r="H1185" i="1"/>
  <c r="F1186" i="1"/>
  <c r="H1186" i="1"/>
  <c r="F1187" i="1"/>
  <c r="H1187" i="1"/>
  <c r="F1188" i="1"/>
  <c r="H1188" i="1"/>
  <c r="F1189" i="1"/>
  <c r="H1189" i="1"/>
  <c r="F1190" i="1"/>
  <c r="H1190" i="1"/>
  <c r="F1191" i="1"/>
  <c r="H1191" i="1"/>
  <c r="F1192" i="1"/>
  <c r="H1192" i="1"/>
  <c r="F1193" i="1"/>
  <c r="H1193" i="1"/>
  <c r="F1194" i="1"/>
  <c r="H1194" i="1"/>
  <c r="F1195" i="1"/>
  <c r="H1195" i="1"/>
  <c r="F1196" i="1"/>
  <c r="H1196" i="1"/>
  <c r="F1197" i="1"/>
  <c r="H1197" i="1"/>
  <c r="F1198" i="1"/>
  <c r="H1198" i="1"/>
  <c r="F1199" i="1"/>
  <c r="H1199" i="1"/>
  <c r="F1200" i="1"/>
  <c r="H1200" i="1"/>
  <c r="F1201" i="1"/>
  <c r="H1201" i="1"/>
  <c r="F1202" i="1"/>
  <c r="H1202" i="1"/>
  <c r="F1203" i="1"/>
  <c r="H1203" i="1"/>
  <c r="F1204" i="1"/>
  <c r="H1204" i="1"/>
  <c r="F1205" i="1"/>
  <c r="H1205" i="1"/>
  <c r="F1206" i="1"/>
  <c r="H1206" i="1"/>
  <c r="F1207" i="1"/>
  <c r="H1207" i="1"/>
  <c r="F1208" i="1"/>
  <c r="H1208" i="1"/>
  <c r="F1209" i="1"/>
  <c r="H1209" i="1"/>
  <c r="F1210" i="1"/>
  <c r="H1210" i="1"/>
  <c r="F1211" i="1"/>
  <c r="H1211" i="1"/>
  <c r="F1212" i="1"/>
  <c r="H1212" i="1"/>
  <c r="F1213" i="1"/>
  <c r="H1213" i="1"/>
  <c r="F1214" i="1"/>
  <c r="H1214" i="1"/>
  <c r="F1215" i="1"/>
  <c r="H1215" i="1"/>
  <c r="F1216" i="1"/>
  <c r="H1216" i="1"/>
  <c r="F1217" i="1"/>
  <c r="H1217" i="1"/>
  <c r="F1218" i="1"/>
  <c r="H1218" i="1"/>
  <c r="F1219" i="1"/>
  <c r="H1219" i="1"/>
  <c r="F1220" i="1"/>
  <c r="H1220" i="1"/>
  <c r="F1221" i="1"/>
  <c r="H1221" i="1"/>
  <c r="F1222" i="1"/>
  <c r="H1222" i="1"/>
  <c r="F1223" i="1"/>
  <c r="H1223" i="1"/>
  <c r="F1224" i="1"/>
  <c r="H1224" i="1"/>
  <c r="F1225" i="1"/>
  <c r="H1225" i="1"/>
  <c r="F1226" i="1"/>
  <c r="H1226" i="1"/>
  <c r="F1227" i="1"/>
  <c r="H1227" i="1"/>
  <c r="F1228" i="1"/>
  <c r="H1228" i="1"/>
  <c r="F1229" i="1"/>
  <c r="H1229" i="1"/>
  <c r="F1230" i="1"/>
  <c r="H1230" i="1"/>
  <c r="F1231" i="1"/>
  <c r="H1231" i="1"/>
  <c r="F1232" i="1"/>
  <c r="H1232" i="1"/>
  <c r="F1233" i="1"/>
  <c r="H1233" i="1"/>
  <c r="F1234" i="1"/>
  <c r="H1234" i="1"/>
  <c r="F1235" i="1"/>
  <c r="H1235" i="1"/>
  <c r="F1236" i="1"/>
  <c r="H1236" i="1"/>
  <c r="F1237" i="1"/>
  <c r="H1237" i="1"/>
  <c r="F1238" i="1"/>
  <c r="H1238" i="1"/>
  <c r="F1239" i="1"/>
  <c r="H1239" i="1"/>
  <c r="F1240" i="1"/>
  <c r="H1240" i="1"/>
  <c r="F1241" i="1"/>
  <c r="H1241" i="1"/>
  <c r="F1242" i="1"/>
  <c r="H1242" i="1"/>
  <c r="F1243" i="1"/>
  <c r="H1243" i="1"/>
  <c r="F1244" i="1"/>
  <c r="H1244" i="1"/>
  <c r="F1245" i="1"/>
  <c r="H1245" i="1"/>
  <c r="F1246" i="1"/>
  <c r="H1246" i="1"/>
  <c r="F1247" i="1"/>
  <c r="H1247" i="1"/>
  <c r="F1248" i="1"/>
  <c r="H1248" i="1"/>
  <c r="F1249" i="1"/>
  <c r="H1249" i="1"/>
  <c r="F1250" i="1"/>
  <c r="H1250" i="1"/>
  <c r="F1251" i="1"/>
  <c r="H1251" i="1"/>
  <c r="F1252" i="1"/>
  <c r="H1252" i="1"/>
  <c r="F1253" i="1"/>
  <c r="H1253" i="1"/>
  <c r="F1254" i="1"/>
  <c r="H1254" i="1"/>
  <c r="F1255" i="1"/>
  <c r="H1255" i="1"/>
  <c r="F1256" i="1"/>
  <c r="H1256" i="1"/>
  <c r="F1257" i="1"/>
  <c r="H1257" i="1"/>
  <c r="F1258" i="1"/>
  <c r="H1258" i="1"/>
  <c r="F1259" i="1"/>
  <c r="H1259" i="1"/>
  <c r="F1260" i="1"/>
  <c r="H1260" i="1"/>
  <c r="F1261" i="1"/>
  <c r="H1261" i="1"/>
  <c r="F1262" i="1"/>
  <c r="H1262" i="1"/>
  <c r="F1263" i="1"/>
  <c r="H1263" i="1"/>
  <c r="F1264" i="1"/>
  <c r="H1264" i="1"/>
  <c r="F1265" i="1"/>
  <c r="H1265" i="1"/>
  <c r="F1266" i="1"/>
  <c r="H1266" i="1"/>
  <c r="F1267" i="1"/>
  <c r="H1267" i="1"/>
  <c r="F1268" i="1"/>
  <c r="H1268" i="1"/>
  <c r="F1269" i="1"/>
  <c r="H1269" i="1"/>
  <c r="F1270" i="1"/>
  <c r="H1270" i="1"/>
  <c r="F1271" i="1"/>
  <c r="H1271" i="1"/>
  <c r="F1272" i="1"/>
  <c r="H1272" i="1"/>
  <c r="F1273" i="1"/>
  <c r="H1273" i="1"/>
  <c r="F1274" i="1"/>
  <c r="H1274" i="1"/>
  <c r="F1275" i="1"/>
  <c r="H1275" i="1"/>
  <c r="F1276" i="1"/>
  <c r="H1276" i="1"/>
  <c r="F1277" i="1"/>
  <c r="H1277" i="1"/>
  <c r="F1278" i="1"/>
  <c r="H1278" i="1"/>
  <c r="F1279" i="1"/>
  <c r="H1279" i="1"/>
  <c r="F1280" i="1"/>
  <c r="H1280" i="1"/>
  <c r="F1281" i="1"/>
  <c r="H1281" i="1"/>
  <c r="F1282" i="1"/>
  <c r="H1282" i="1"/>
  <c r="F1283" i="1"/>
  <c r="H1283" i="1"/>
  <c r="F1284" i="1"/>
  <c r="H1284" i="1"/>
  <c r="F1285" i="1"/>
  <c r="H1285" i="1"/>
  <c r="F1286" i="1"/>
  <c r="H1286" i="1"/>
  <c r="F1287" i="1"/>
  <c r="H1287" i="1"/>
  <c r="F1288" i="1"/>
  <c r="H1288" i="1"/>
  <c r="F1289" i="1"/>
  <c r="H1289" i="1"/>
  <c r="F1290" i="1"/>
  <c r="H1290" i="1"/>
  <c r="F1291" i="1"/>
  <c r="H1291" i="1"/>
  <c r="F1292" i="1"/>
  <c r="H1292" i="1"/>
  <c r="F1293" i="1"/>
  <c r="H1293" i="1"/>
  <c r="F1294" i="1"/>
  <c r="H1294" i="1"/>
  <c r="F1295" i="1"/>
  <c r="H1295" i="1"/>
  <c r="F1296" i="1"/>
  <c r="H1296" i="1"/>
  <c r="F1297" i="1"/>
  <c r="H1297" i="1"/>
  <c r="F1298" i="1"/>
  <c r="H1298" i="1"/>
  <c r="F1299" i="1"/>
  <c r="H1299" i="1"/>
  <c r="F1300" i="1"/>
  <c r="H1300" i="1"/>
  <c r="F1301" i="1"/>
  <c r="H1301" i="1"/>
  <c r="F1302" i="1"/>
  <c r="H1302" i="1"/>
  <c r="D2" i="3"/>
  <c r="E2" i="3"/>
  <c r="F2" i="3"/>
  <c r="G2" i="3"/>
  <c r="D3" i="3"/>
  <c r="E3" i="3"/>
  <c r="F3" i="3"/>
  <c r="G3" i="3"/>
  <c r="D4" i="3"/>
  <c r="E4" i="3"/>
  <c r="F4" i="3"/>
  <c r="G4" i="3"/>
  <c r="V4" i="3"/>
  <c r="W4" i="3"/>
  <c r="D5" i="3"/>
  <c r="E5" i="3"/>
  <c r="F5" i="3"/>
  <c r="G5" i="3"/>
  <c r="D6" i="3"/>
  <c r="E6" i="3"/>
  <c r="F6" i="3"/>
  <c r="G6" i="3"/>
  <c r="D7" i="3"/>
  <c r="E7" i="3"/>
  <c r="F7" i="3"/>
  <c r="G7" i="3"/>
  <c r="D8" i="3"/>
  <c r="E8" i="3"/>
  <c r="F8" i="3"/>
  <c r="G8" i="3"/>
  <c r="D9" i="3"/>
  <c r="E9" i="3"/>
  <c r="F9" i="3"/>
  <c r="G9" i="3"/>
  <c r="D10" i="3"/>
  <c r="E10" i="3"/>
  <c r="F10" i="3"/>
  <c r="G10" i="3"/>
  <c r="D11" i="3"/>
  <c r="E11" i="3"/>
  <c r="F11" i="3"/>
  <c r="G11" i="3"/>
  <c r="D12" i="3"/>
  <c r="E12" i="3"/>
  <c r="F12" i="3"/>
  <c r="G12" i="3"/>
  <c r="D13" i="3"/>
  <c r="E13" i="3"/>
  <c r="F13" i="3"/>
  <c r="G13" i="3"/>
</calcChain>
</file>

<file path=xl/comments1.xml><?xml version="1.0" encoding="utf-8"?>
<comments xmlns="http://schemas.openxmlformats.org/spreadsheetml/2006/main">
  <authors>
    <author/>
  </authors>
  <commentList>
    <comment ref="B1" authorId="0" shapeId="0">
      <text>
        <r>
          <rPr>
            <sz val="9"/>
            <color indexed="81"/>
            <rFont val="Tahoma"/>
            <family val="2"/>
          </rPr>
          <t>Latitude in decimal, i.e. 45N 30' is 45.5</t>
        </r>
      </text>
    </comment>
    <comment ref="C1" authorId="0" shapeId="0">
      <text>
        <r>
          <rPr>
            <sz val="9"/>
            <color indexed="81"/>
            <rFont val="Tahoma"/>
            <family val="2"/>
          </rPr>
          <t>Longitude in decimal</t>
        </r>
      </text>
    </comment>
    <comment ref="D1" authorId="0" shapeId="0">
      <text>
        <r>
          <rPr>
            <sz val="9"/>
            <color indexed="81"/>
            <rFont val="Tahoma"/>
            <family val="2"/>
          </rPr>
          <t>asset Value (any denomination, just make sure you are consistent, i.e. if Value are number of people living at a place, all calculacitons will be in units of number of people.</t>
        </r>
      </text>
    </comment>
    <comment ref="E1" authorId="0" shapeId="0">
      <text>
        <r>
          <rPr>
            <sz val="9"/>
            <color indexed="81"/>
            <rFont val="Tahoma"/>
            <family val="2"/>
          </rPr>
          <t>Deductible (in units of Value). Deductible is applied at the affected assets (see PAA in tab damagefunctions)</t>
        </r>
      </text>
    </comment>
    <comment ref="G1" authorId="0" shapeId="0">
      <text>
        <r>
          <rPr>
            <sz val="9"/>
            <color indexed="81"/>
            <rFont val="Tahoma"/>
            <family val="2"/>
          </rPr>
          <t>The damage function ID that links to tab damagefunctions</t>
        </r>
      </text>
    </comment>
  </commentList>
</comments>
</file>

<file path=xl/comments2.xml><?xml version="1.0" encoding="utf-8"?>
<comments xmlns="http://schemas.openxmlformats.org/spreadsheetml/2006/main">
  <authors>
    <author/>
  </authors>
  <commentList>
    <comment ref="A1" authorId="0" shapeId="0">
      <text>
        <r>
          <rPr>
            <sz val="9"/>
            <color indexed="81"/>
            <rFont val="Tahoma"/>
            <family val="2"/>
          </rPr>
          <t>Read only this tab with climada_damagefunctiuons_read
display all functions with climada_damagefunctions_plot
Replace existing damagefunctions in an encoded entity with these damagefunctions with climada_damagefunctions_map</t>
        </r>
      </text>
    </comment>
    <comment ref="B1" authorId="0" shapeId="0">
      <text>
        <r>
          <rPr>
            <sz val="9"/>
            <color indexed="81"/>
            <rFont val="Tahoma"/>
            <family val="2"/>
          </rPr>
          <t>The hazard intensity, i.e. has to correspond to the values in hazard.intensity</t>
        </r>
      </text>
    </comment>
    <comment ref="C1" authorId="0" shapeId="0">
      <text>
        <r>
          <rPr>
            <sz val="9"/>
            <color indexed="81"/>
            <rFont val="Tahoma"/>
            <family val="2"/>
          </rPr>
          <t>The Mean Damage Degree (the damage for a given intensity at an affected asset) - how strongly an asset is damaged. Range 0..1 (from none to total destruction)</t>
        </r>
      </text>
    </comment>
    <comment ref="D1" authorId="0" shapeId="0">
      <text>
        <r>
          <rPr>
            <sz val="9"/>
            <color indexed="81"/>
            <rFont val="Tahoma"/>
            <family val="2"/>
          </rPr>
          <t>The Percentage of Assets Affected  (the percentage of assets affected for a given hazard intensity) - how many assets are affected. Range 0..1 (from none affected to all affected)</t>
        </r>
      </text>
    </comment>
    <comment ref="E1" authorId="0" shapeId="0">
      <text>
        <r>
          <rPr>
            <sz val="9"/>
            <color indexed="81"/>
            <rFont val="Tahoma"/>
            <family val="2"/>
          </rPr>
          <t>the 2-digit peril identifier, e.g. TC for Tropical Cyclone wind, TS for surge, TR for rain, WS for European winter strom, EQ for earthquake. Matches with hazard.peril_ID. If empty, use the damage function irrespective of peril (i.e. the user needs to know which entity to expose to which peril)</t>
        </r>
      </text>
    </comment>
    <comment ref="F1" authorId="0" shapeId="0">
      <text>
        <r>
          <rPr>
            <sz val="9"/>
            <color indexed="81"/>
            <rFont val="Tahoma"/>
            <family val="2"/>
          </rPr>
          <t>Lea Müller:
not mandatory field</t>
        </r>
      </text>
    </comment>
    <comment ref="G1" authorId="0" shapeId="0">
      <text>
        <r>
          <rPr>
            <sz val="9"/>
            <color indexed="81"/>
            <rFont val="Tahoma"/>
            <family val="2"/>
          </rPr>
          <t>Lea Müller:
not mandatory field</t>
        </r>
      </text>
    </comment>
    <comment ref="E2" authorId="0" shapeId="0">
      <text>
        <r>
          <rPr>
            <sz val="9"/>
            <color indexed="81"/>
            <rFont val="Tahoma"/>
            <family val="2"/>
          </rPr>
          <t>Lea Müller:
FL stands for Flood, TC stands for tropical cyclones</t>
        </r>
      </text>
    </comment>
  </commentList>
</comments>
</file>

<file path=xl/comments3.xml><?xml version="1.0" encoding="utf-8"?>
<comments xmlns="http://schemas.openxmlformats.org/spreadsheetml/2006/main">
  <authors>
    <author/>
  </authors>
  <commentList>
    <comment ref="A1" authorId="0" shapeId="0">
      <text>
        <r>
          <rPr>
            <sz val="9"/>
            <color indexed="81"/>
            <rFont val="Tahoma"/>
            <family val="2"/>
          </rPr>
          <t>this name appears later on the adaptation cost curve, so please keep it short</t>
        </r>
      </text>
    </comment>
    <comment ref="B1" authorId="0" shapeId="0">
      <text>
        <r>
          <rPr>
            <sz val="9"/>
            <color indexed="81"/>
            <rFont val="Tahoma"/>
            <family val="2"/>
          </rPr>
          <t>used when plotting the adaptation cost curve, an RGB triple, with R G B values separated by a space</t>
        </r>
      </text>
    </comment>
    <comment ref="C1" authorId="0" shapeId="0">
      <text>
        <r>
          <rPr>
            <sz val="9"/>
            <color indexed="81"/>
            <rFont val="Tahoma"/>
            <family val="2"/>
          </rPr>
          <t>the cost to realize this measure in the same currency (and currency unit) as the assets</t>
        </r>
      </text>
    </comment>
    <comment ref="J1" authorId="0" shapeId="0">
      <text>
        <r>
          <rPr>
            <sz val="9"/>
            <color indexed="81"/>
            <rFont val="Tahoma"/>
            <family val="2"/>
          </rPr>
          <t xml:space="preserve">In order to use a measure-specific hazard event set, the user can specifiy the filename (enter nil not to use this option). If a filename is specified, it is searched for in the same folder as the hazard used for the rest of the analysis. If a filename with path is specified, the measure-specific hazard can reside any place. Please note that if the same measures file is used with hazard sets representative for different times, e.g. once a hazard set representative for today, then one for 2030, the measure-specific hazard event set is likely not to be the same. But usually, the entity file is for a specific time (e.g. 2030), and so will be the measure-specific hazard event set specified within.
</t>
        </r>
      </text>
    </comment>
    <comment ref="O1" authorId="0" shapeId="0">
      <text>
        <r>
          <rPr>
            <sz val="9"/>
            <color indexed="81"/>
            <rFont val="Tahoma"/>
            <family val="2"/>
          </rPr>
          <t xml:space="preserve">a list to map existing on new damage function of the form XtoY with 
X the existing DamageFunID as in tab assets and Y the new DamageFunID as in the present file's damagefunctions tab. The user is responsible for avoiding DamageFunID conflicts. 
If more than one mapping, separate by semicolon, like (no semicolon at the end):
1to3;3to4
Enter nil if no mapping for a given measure.
default=nil
</t>
        </r>
      </text>
    </comment>
    <comment ref="Q1" authorId="0" shapeId="0">
      <text>
        <r>
          <rPr>
            <sz val="9"/>
            <color indexed="81"/>
            <rFont val="Tahoma"/>
            <family val="2"/>
          </rPr>
          <t>attachement point of risk transfer (CatXL)
default=0</t>
        </r>
      </text>
    </comment>
    <comment ref="R1" authorId="0" shapeId="0">
      <text>
        <r>
          <rPr>
            <sz val="9"/>
            <color indexed="81"/>
            <rFont val="Tahoma"/>
            <family val="2"/>
          </rPr>
          <t>cover of risk transfer
default=0</t>
        </r>
      </text>
    </comment>
    <comment ref="S1" authorId="0" shapeId="0">
      <text>
        <r>
          <rPr>
            <sz val="9"/>
            <color indexed="81"/>
            <rFont val="Tahoma"/>
            <family val="2"/>
          </rPr>
          <t xml:space="preserve">the 2-digit peril identifier, e.g. TC for Tropical Cyclone wind, TS for surge, TR for rain, WS for European winter strom, EQ for earthquake. Just needs to match with hazard.peril_ID. If AA, use the measure  irrespective of peril (i.e. the user needs to know which entity to expose to which peril)
</t>
        </r>
      </text>
    </comment>
  </commentList>
</comments>
</file>

<file path=xl/comments4.xml><?xml version="1.0" encoding="utf-8"?>
<comments xmlns="http://schemas.openxmlformats.org/spreadsheetml/2006/main">
  <authors>
    <author/>
  </authors>
  <commentList>
    <comment ref="A1" authorId="0" shapeId="0">
      <text>
        <r>
          <rPr>
            <sz val="9"/>
            <color indexed="81"/>
            <rFont val="Tahoma"/>
            <family val="2"/>
          </rPr>
          <t>yield curve ID (currently core climada supports yield curve ID 1, but the user might want to specify different curves and switch within climada</t>
        </r>
      </text>
    </comment>
    <comment ref="C1" authorId="0" shapeId="0">
      <text>
        <r>
          <rPr>
            <sz val="9"/>
            <color indexed="81"/>
            <rFont val="Tahoma"/>
            <family val="2"/>
          </rPr>
          <t>discount rate for given year (can vary from year to year, in order to really provide yield curve(s)</t>
        </r>
      </text>
    </comment>
  </commentList>
</comments>
</file>

<file path=xl/sharedStrings.xml><?xml version="1.0" encoding="utf-8"?>
<sst xmlns="http://schemas.openxmlformats.org/spreadsheetml/2006/main" count="758" uniqueCount="120">
  <si>
    <t>Category</t>
  </si>
  <si>
    <t>Latitude</t>
  </si>
  <si>
    <t>Longitude</t>
  </si>
  <si>
    <t>Value</t>
  </si>
  <si>
    <t>Deductible</t>
  </si>
  <si>
    <t>Cover</t>
  </si>
  <si>
    <t>DamageFunID</t>
  </si>
  <si>
    <t>Value_unit</t>
  </si>
  <si>
    <t>Region</t>
  </si>
  <si>
    <t>Acelhuate</t>
  </si>
  <si>
    <t>FLOODING</t>
  </si>
  <si>
    <t>Unit</t>
  </si>
  <si>
    <t>Housing AUPs</t>
  </si>
  <si>
    <t>USD</t>
  </si>
  <si>
    <t>Housing</t>
  </si>
  <si>
    <t>Hospitals</t>
  </si>
  <si>
    <t>Schools</t>
  </si>
  <si>
    <t>Roads</t>
  </si>
  <si>
    <t>Buildings</t>
  </si>
  <si>
    <t>People AUPs</t>
  </si>
  <si>
    <t>People</t>
  </si>
  <si>
    <t>People (outside AUPs)</t>
  </si>
  <si>
    <t>TOTAL</t>
  </si>
  <si>
    <t>Intensity</t>
  </si>
  <si>
    <t>MDD</t>
  </si>
  <si>
    <t>PAA</t>
  </si>
  <si>
    <t>peril_ID</t>
  </si>
  <si>
    <t>Description</t>
  </si>
  <si>
    <t>Intensity unit</t>
  </si>
  <si>
    <t>FL</t>
  </si>
  <si>
    <t>Flooding  - AUP House</t>
  </si>
  <si>
    <t>m</t>
  </si>
  <si>
    <t>Flooding  - Health Facilities</t>
  </si>
  <si>
    <t>Flooding  - School</t>
  </si>
  <si>
    <t>Flooding  - House</t>
  </si>
  <si>
    <t>Flooding  - Building</t>
  </si>
  <si>
    <t>Flooding  - Main Roads</t>
  </si>
  <si>
    <t>Flooding  - Mortality index</t>
  </si>
  <si>
    <t>name</t>
  </si>
  <si>
    <t>color</t>
  </si>
  <si>
    <t>cost</t>
  </si>
  <si>
    <t>hazard intensity impact a</t>
  </si>
  <si>
    <t>hazard intensity impact a moderate cc</t>
  </si>
  <si>
    <t>hazard intensity impact a extreme cc</t>
  </si>
  <si>
    <t>hazard intensity impact a old</t>
  </si>
  <si>
    <t>hazard intensity impact b</t>
  </si>
  <si>
    <t>hazard high frequency cutoff</t>
  </si>
  <si>
    <t>hazard event set</t>
  </si>
  <si>
    <t>MDD impact a</t>
  </si>
  <si>
    <t>MDD impact b</t>
  </si>
  <si>
    <t>PAA impact a</t>
  </si>
  <si>
    <t>PAA impact b</t>
  </si>
  <si>
    <t>damagefunctions map</t>
  </si>
  <si>
    <t>assets file</t>
  </si>
  <si>
    <t>risk transfer attachement</t>
  </si>
  <si>
    <t>risk transfer cover</t>
  </si>
  <si>
    <t>Sanitarios de descarga Dual (A)</t>
  </si>
  <si>
    <t>0.90 0.70 0.60</t>
  </si>
  <si>
    <t>nil</t>
  </si>
  <si>
    <t>2040 moderate cc</t>
  </si>
  <si>
    <t>extreme cc</t>
  </si>
  <si>
    <t>Sanitarios de descarga Dual (B)</t>
  </si>
  <si>
    <t>0.89 0.89 0.70</t>
  </si>
  <si>
    <t>Ahorradores en Agua en casas (A)</t>
  </si>
  <si>
    <t>Ahorradores en Agua en casas (B)</t>
  </si>
  <si>
    <t>0.80 0.80 0.30</t>
  </si>
  <si>
    <t>No descargas en Lluvia (A)</t>
  </si>
  <si>
    <t>0.90 0.34 0.60</t>
  </si>
  <si>
    <t>No descargas en Lluvia (B)</t>
  </si>
  <si>
    <t>0.32 0.70 0.43</t>
  </si>
  <si>
    <t>Reuso de agua de enjuage (B)</t>
  </si>
  <si>
    <t>0.84 0.89 0.23</t>
  </si>
  <si>
    <t>Reuso de agua de enjuage (A)</t>
  </si>
  <si>
    <t>0.90 0.40 0.40</t>
  </si>
  <si>
    <t>Puentes sin basura (A)</t>
  </si>
  <si>
    <t>0.35 0.74 0.77</t>
  </si>
  <si>
    <t>Puentes sin basura (B)</t>
  </si>
  <si>
    <t>0.20 0.45 0.25</t>
  </si>
  <si>
    <t>Captacion de agua de techos (A)</t>
  </si>
  <si>
    <t>0.90 0.75 0.77</t>
  </si>
  <si>
    <t>Captacion de agua de techos (B)</t>
  </si>
  <si>
    <t>0.23 0.75 0.17</t>
  </si>
  <si>
    <t>yield_ID</t>
  </si>
  <si>
    <t>year</t>
  </si>
  <si>
    <t>discount_rate</t>
  </si>
  <si>
    <t>Data</t>
  </si>
  <si>
    <t>Sum of Value</t>
  </si>
  <si>
    <t>Sum of Latitude</t>
  </si>
  <si>
    <t>Sum of Longitude</t>
  </si>
  <si>
    <t>Sum of DamageFunID</t>
  </si>
  <si>
    <t>Sum of Deductible</t>
  </si>
  <si>
    <t>Sum of Cover</t>
  </si>
  <si>
    <t>US$</t>
  </si>
  <si>
    <t>Persons AUPs</t>
  </si>
  <si>
    <t>Persons</t>
  </si>
  <si>
    <t>Persons (outside AUPs)</t>
  </si>
  <si>
    <t>Grand Total</t>
  </si>
  <si>
    <t>a TEST file to check FL Acelhuate, run the following commans in climada:</t>
  </si>
  <si>
    <t>&gt;&gt; hazard=climada_hazard_load('Salvador_hazard_FL_2015');</t>
  </si>
  <si>
    <t>&gt;&gt; entity=climada_entity_read('FL_entity_Acelhuate_TEST',hazard);</t>
  </si>
  <si>
    <t>&gt;&gt; measures_impact=climada_measures_impact(entity,hazard,'no’);</t>
  </si>
  <si>
    <t>&gt;&gt; climada_adaptation_cost_curve(measures_impact);</t>
  </si>
  <si>
    <t>tab measures is a copy of FL_measures_part_1.xls in order to have all in one Excel (for tests)</t>
  </si>
  <si>
    <t>which should result in the following (last) output to stdout in MATLAB:</t>
  </si>
  <si>
    <t>FL_entity_Acelhuate_xls95 | Salvador_hazard_FL_2015 :</t>
  </si>
  <si>
    <t xml:space="preserve"> Measure </t>
  </si>
  <si>
    <t xml:space="preserve">   Cost (USD mio)  Benefit (USD mio)  Benefit/Cost</t>
  </si>
  <si>
    <t xml:space="preserve"> Sanitarios de descarga Du 0.27              15               3.8e+02</t>
  </si>
  <si>
    <t xml:space="preserve"> Sanitarios de descarga Du 0.093              14               1.5e+02</t>
  </si>
  <si>
    <t xml:space="preserve"> Ahorradores en Agua en ca 0.41              15               1.3e+02</t>
  </si>
  <si>
    <t xml:space="preserve"> Ahorradores en Agua en ca 0.14              15               1.1e+02</t>
  </si>
  <si>
    <t xml:space="preserve"> No descargas en Lluvia (A 0.12              16                 57</t>
  </si>
  <si>
    <t xml:space="preserve"> No descargas en Lluvia (B 0.042              16                 53</t>
  </si>
  <si>
    <t xml:space="preserve"> Reuso de agua de enjuage  0.31              14                 46</t>
  </si>
  <si>
    <t xml:space="preserve"> Reuso de agua de enjuage  0.26              15                 39</t>
  </si>
  <si>
    <t xml:space="preserve"> Puentes sin basura (A)     1.1              15                 36</t>
  </si>
  <si>
    <t xml:space="preserve"> Puentes sin basura (B)    0.38              15                 13</t>
  </si>
  <si>
    <t xml:space="preserve"> Captacion de agua de tech  5.3              20                8.2</t>
  </si>
  <si>
    <t xml:space="preserve"> Captacion de agua de tech  1.8              15                3.8</t>
  </si>
  <si>
    <t xml:space="preserve"> *Residual damage                         *-1.3e+02*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</si>
</sst>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1" formatCode="_(* #,##0.00_);_(* \(#,##0.00\);_(* &quot;-&quot;??_);_(@_)"/>
    <numFmt numFmtId="180" formatCode="_(* #,##0_);_(* \(#,##0\);_(* &quot;-&quot;??_);_(@_)"/>
    <numFmt numFmtId="182" formatCode="0.0%"/>
  </numFmts>
  <fonts count="23">
    <font>
      <sz val="10"/>
      <name val="Arial"/>
      <family val="2"/>
    </font>
    <font>
      <sz val="10"/>
      <name val="Arial"/>
      <family val="2"/>
    </font>
    <font>
      <sz val="10"/>
      <name val="Arial"/>
      <family val="2"/>
    </font>
    <font>
      <sz val="10"/>
      <name val="Arial"/>
      <family val="2"/>
    </font>
    <font>
      <sz val="10"/>
      <color indexed="8"/>
      <name val="Arial"/>
      <family val="2"/>
    </font>
    <font>
      <sz val="10"/>
      <color indexed="8"/>
      <name val="Arial"/>
      <family val="2"/>
    </font>
    <font>
      <sz val="10"/>
      <name val="Arial"/>
      <family val="2"/>
    </font>
    <font>
      <b/>
      <sz val="11"/>
      <name val="Arial"/>
      <family val="2"/>
    </font>
    <font>
      <sz val="11"/>
      <color indexed="8"/>
      <name val="Calibri"/>
      <family val="2"/>
    </font>
    <font>
      <sz val="10"/>
      <color indexed="22"/>
      <name val="Arial"/>
      <family val="2"/>
    </font>
    <font>
      <b/>
      <sz val="11"/>
      <color indexed="8"/>
      <name val="Calibri"/>
      <family val="2"/>
    </font>
    <font>
      <sz val="11"/>
      <color indexed="8"/>
      <name val="Calibri"/>
      <family val="2"/>
    </font>
    <font>
      <b/>
      <sz val="10"/>
      <name val="Arial"/>
      <family val="2"/>
    </font>
    <font>
      <b/>
      <sz val="10"/>
      <color indexed="55"/>
      <name val="Arial"/>
      <family val="2"/>
    </font>
    <font>
      <sz val="11"/>
      <name val="Arial"/>
      <family val="2"/>
    </font>
    <font>
      <b/>
      <sz val="10"/>
      <color indexed="8"/>
      <name val="Arial"/>
      <family val="2"/>
    </font>
    <font>
      <sz val="10"/>
      <color indexed="8"/>
      <name val="Calibri"/>
      <family val="2"/>
    </font>
    <font>
      <sz val="10"/>
      <color indexed="55"/>
      <name val="Arial"/>
      <family val="2"/>
    </font>
    <font>
      <b/>
      <sz val="10"/>
      <name val="Courier New"/>
      <family val="3"/>
    </font>
    <font>
      <sz val="11"/>
      <name val="Calibri"/>
      <family val="2"/>
      <charset val="1"/>
    </font>
    <font>
      <sz val="9"/>
      <color indexed="81"/>
      <name val="Tahoma"/>
      <family val="2"/>
    </font>
    <font>
      <sz val="11"/>
      <color theme="1"/>
      <name val="SwissReSans"/>
      <family val="2"/>
    </font>
    <font>
      <sz val="11"/>
      <color theme="1"/>
      <name val="Calibri"/>
      <family val="2"/>
      <scheme val="minor"/>
    </font>
  </fonts>
  <fills count="11">
    <fill>
      <patternFill patternType="none"/>
    </fill>
    <fill>
      <patternFill patternType="gray125"/>
    </fill>
    <fill>
      <patternFill patternType="solid">
        <fgColor indexed="13"/>
        <bgColor indexed="64"/>
      </patternFill>
    </fill>
    <fill>
      <patternFill patternType="solid">
        <fgColor indexed="53"/>
        <bgColor indexed="64"/>
      </patternFill>
    </fill>
    <fill>
      <patternFill patternType="solid">
        <fgColor indexed="22"/>
        <bgColor indexed="64"/>
      </patternFill>
    </fill>
    <fill>
      <patternFill patternType="solid">
        <fgColor indexed="42"/>
        <bgColor indexed="64"/>
      </patternFill>
    </fill>
    <fill>
      <patternFill patternType="solid">
        <fgColor indexed="44"/>
        <bgColor indexed="64"/>
      </patternFill>
    </fill>
    <fill>
      <patternFill patternType="solid">
        <fgColor indexed="29"/>
        <bgColor indexed="64"/>
      </patternFill>
    </fill>
    <fill>
      <patternFill patternType="solid">
        <fgColor indexed="43"/>
        <bgColor indexed="64"/>
      </patternFill>
    </fill>
    <fill>
      <patternFill patternType="solid">
        <fgColor indexed="49"/>
        <bgColor indexed="64"/>
      </patternFill>
    </fill>
    <fill>
      <patternFill patternType="solid">
        <fgColor indexed="26"/>
        <bgColor indexed="64"/>
      </patternFill>
    </fill>
  </fills>
  <borders count="2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style="medium">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22"/>
      </left>
      <right/>
      <top style="thin">
        <color indexed="22"/>
      </top>
      <bottom/>
      <diagonal/>
    </border>
    <border>
      <left style="thin">
        <color indexed="65"/>
      </left>
      <right/>
      <top style="thin">
        <color indexed="22"/>
      </top>
      <bottom/>
      <diagonal/>
    </border>
    <border>
      <left style="thin">
        <color indexed="65"/>
      </left>
      <right style="thin">
        <color indexed="22"/>
      </right>
      <top style="thin">
        <color indexed="22"/>
      </top>
      <bottom/>
      <diagonal/>
    </border>
    <border>
      <left style="thin">
        <color indexed="22"/>
      </left>
      <right/>
      <top style="thin">
        <color indexed="22"/>
      </top>
      <bottom style="thin">
        <color indexed="22"/>
      </bottom>
      <diagonal/>
    </border>
    <border>
      <left style="thin">
        <color indexed="22"/>
      </left>
      <right/>
      <top/>
      <bottom/>
      <diagonal/>
    </border>
    <border>
      <left/>
      <right style="thin">
        <color indexed="22"/>
      </right>
      <top style="thin">
        <color indexed="22"/>
      </top>
      <bottom/>
      <diagonal/>
    </border>
    <border>
      <left/>
      <right/>
      <top style="thin">
        <color indexed="22"/>
      </top>
      <bottom/>
      <diagonal/>
    </border>
    <border>
      <left/>
      <right style="thin">
        <color indexed="22"/>
      </right>
      <top/>
      <bottom/>
      <diagonal/>
    </border>
    <border>
      <left/>
      <right/>
      <top style="thin">
        <color indexed="22"/>
      </top>
      <bottom style="thin">
        <color indexed="22"/>
      </bottom>
      <diagonal/>
    </border>
    <border>
      <left/>
      <right style="thin">
        <color indexed="22"/>
      </right>
      <top style="thin">
        <color indexed="22"/>
      </top>
      <bottom style="thin">
        <color indexed="22"/>
      </bottom>
      <diagonal/>
    </border>
    <border>
      <left/>
      <right/>
      <top/>
      <bottom style="thin">
        <color indexed="64"/>
      </bottom>
      <diagonal/>
    </border>
  </borders>
  <cellStyleXfs count="18">
    <xf numFmtId="0" fontId="0" fillId="0" borderId="0"/>
    <xf numFmtId="171" fontId="3" fillId="0" borderId="0" applyFont="0" applyFill="0" applyBorder="0" applyAlignment="0" applyProtection="0"/>
    <xf numFmtId="171" fontId="2"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3" fillId="0" borderId="0"/>
    <xf numFmtId="0" fontId="2" fillId="0" borderId="0"/>
    <xf numFmtId="0" fontId="6" fillId="0" borderId="0"/>
    <xf numFmtId="0" fontId="1" fillId="0" borderId="0"/>
    <xf numFmtId="0" fontId="21" fillId="0" borderId="0"/>
    <xf numFmtId="0" fontId="22"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11" fillId="0" borderId="0" applyFont="0" applyFill="0" applyBorder="0" applyAlignment="0" applyProtection="0"/>
  </cellStyleXfs>
  <cellXfs count="73">
    <xf numFmtId="0" fontId="0" fillId="0" borderId="0" xfId="0"/>
    <xf numFmtId="0" fontId="5" fillId="0" borderId="0" xfId="0" applyFont="1" applyFill="1" applyBorder="1"/>
    <xf numFmtId="9" fontId="5" fillId="0" borderId="0" xfId="0" applyNumberFormat="1" applyFont="1" applyFill="1" applyBorder="1"/>
    <xf numFmtId="0" fontId="5" fillId="0" borderId="0" xfId="0" applyFont="1" applyFill="1"/>
    <xf numFmtId="0" fontId="4" fillId="2" borderId="0" xfId="0" applyFont="1" applyFill="1"/>
    <xf numFmtId="0" fontId="4" fillId="0" borderId="0" xfId="0" applyFont="1" applyFill="1"/>
    <xf numFmtId="0" fontId="4" fillId="2" borderId="1" xfId="0" applyFont="1" applyFill="1" applyBorder="1"/>
    <xf numFmtId="0" fontId="5" fillId="2" borderId="2" xfId="0" applyFont="1" applyFill="1" applyBorder="1"/>
    <xf numFmtId="0" fontId="4" fillId="2" borderId="3" xfId="0" applyFont="1" applyFill="1" applyBorder="1"/>
    <xf numFmtId="0" fontId="5" fillId="2" borderId="4" xfId="0" applyFont="1" applyFill="1" applyBorder="1"/>
    <xf numFmtId="0" fontId="4" fillId="2" borderId="0" xfId="0" applyFont="1" applyFill="1" applyBorder="1"/>
    <xf numFmtId="0" fontId="4" fillId="2" borderId="5" xfId="0" applyFont="1" applyFill="1" applyBorder="1"/>
    <xf numFmtId="0" fontId="4" fillId="2" borderId="6" xfId="0" applyFont="1" applyFill="1" applyBorder="1"/>
    <xf numFmtId="0" fontId="5" fillId="2" borderId="7" xfId="0" applyFont="1" applyFill="1" applyBorder="1"/>
    <xf numFmtId="0" fontId="4" fillId="2" borderId="8" xfId="0" applyFont="1" applyFill="1" applyBorder="1"/>
    <xf numFmtId="0" fontId="5" fillId="2" borderId="0" xfId="0" applyNumberFormat="1" applyFont="1" applyFill="1"/>
    <xf numFmtId="0" fontId="4" fillId="2" borderId="0" xfId="0" applyNumberFormat="1" applyFont="1" applyFill="1"/>
    <xf numFmtId="0" fontId="4" fillId="3" borderId="0" xfId="0" applyFont="1" applyFill="1"/>
    <xf numFmtId="0" fontId="5" fillId="3" borderId="0" xfId="0" applyFont="1" applyFill="1"/>
    <xf numFmtId="0" fontId="9" fillId="0" borderId="0" xfId="5" applyFont="1" applyFill="1"/>
    <xf numFmtId="0" fontId="1" fillId="0" borderId="0" xfId="5" applyNumberFormat="1" applyFont="1" applyFill="1"/>
    <xf numFmtId="0" fontId="0" fillId="0" borderId="9" xfId="0" applyBorder="1"/>
    <xf numFmtId="0" fontId="0" fillId="0" borderId="10" xfId="0" applyBorder="1"/>
    <xf numFmtId="0" fontId="0" fillId="0" borderId="11" xfId="0" applyBorder="1"/>
    <xf numFmtId="0" fontId="0" fillId="0" borderId="9" xfId="0" pivotButton="1" applyBorder="1"/>
    <xf numFmtId="0" fontId="0" fillId="0" borderId="12" xfId="0" applyBorder="1"/>
    <xf numFmtId="0" fontId="0" fillId="0" borderId="13" xfId="0" applyBorder="1"/>
    <xf numFmtId="0" fontId="0" fillId="0" borderId="14" xfId="0" applyBorder="1"/>
    <xf numFmtId="0" fontId="0" fillId="0" borderId="15" xfId="0" applyBorder="1"/>
    <xf numFmtId="180" fontId="0" fillId="0" borderId="9" xfId="0" applyNumberFormat="1" applyBorder="1"/>
    <xf numFmtId="180" fontId="0" fillId="0" borderId="15" xfId="0" applyNumberFormat="1" applyBorder="1"/>
    <xf numFmtId="180" fontId="0" fillId="0" borderId="14" xfId="0" applyNumberFormat="1" applyBorder="1"/>
    <xf numFmtId="180" fontId="0" fillId="0" borderId="13" xfId="0" applyNumberFormat="1" applyBorder="1"/>
    <xf numFmtId="180" fontId="0" fillId="0" borderId="0" xfId="0" applyNumberFormat="1"/>
    <xf numFmtId="180" fontId="0" fillId="0" borderId="16" xfId="0" applyNumberFormat="1" applyBorder="1"/>
    <xf numFmtId="180" fontId="0" fillId="0" borderId="12" xfId="0" applyNumberFormat="1" applyBorder="1"/>
    <xf numFmtId="180" fontId="0" fillId="0" borderId="17" xfId="0" applyNumberFormat="1" applyBorder="1"/>
    <xf numFmtId="180" fontId="0" fillId="0" borderId="18" xfId="0" applyNumberFormat="1" applyBorder="1"/>
    <xf numFmtId="0" fontId="22" fillId="0" borderId="0" xfId="10"/>
    <xf numFmtId="2" fontId="22" fillId="0" borderId="0" xfId="10" applyNumberFormat="1"/>
    <xf numFmtId="0" fontId="22" fillId="2" borderId="0" xfId="10" applyFill="1"/>
    <xf numFmtId="0" fontId="8" fillId="0" borderId="0" xfId="10" applyFont="1" applyFill="1"/>
    <xf numFmtId="0" fontId="10" fillId="4" borderId="0" xfId="10" applyFont="1" applyFill="1"/>
    <xf numFmtId="0" fontId="7" fillId="4" borderId="19" xfId="7" applyFont="1" applyFill="1" applyBorder="1"/>
    <xf numFmtId="0" fontId="12" fillId="0" borderId="0" xfId="10" applyFont="1" applyFill="1" applyBorder="1" applyAlignment="1">
      <alignment wrapText="1"/>
    </xf>
    <xf numFmtId="0" fontId="12" fillId="0" borderId="0" xfId="10" applyFont="1" applyFill="1" applyBorder="1"/>
    <xf numFmtId="0" fontId="12" fillId="5" borderId="0" xfId="10" applyFont="1" applyFill="1" applyBorder="1" applyAlignment="1">
      <alignment wrapText="1"/>
    </xf>
    <xf numFmtId="0" fontId="13" fillId="5" borderId="0" xfId="10" applyFont="1" applyFill="1" applyBorder="1" applyAlignment="1">
      <alignment wrapText="1"/>
    </xf>
    <xf numFmtId="0" fontId="1" fillId="5" borderId="0" xfId="10" applyFont="1" applyFill="1" applyAlignment="1">
      <alignment wrapText="1"/>
    </xf>
    <xf numFmtId="0" fontId="12" fillId="6" borderId="0" xfId="10" applyFont="1" applyFill="1" applyBorder="1" applyAlignment="1">
      <alignment wrapText="1"/>
    </xf>
    <xf numFmtId="0" fontId="12" fillId="7" borderId="0" xfId="10" applyFont="1" applyFill="1" applyBorder="1" applyAlignment="1">
      <alignment wrapText="1"/>
    </xf>
    <xf numFmtId="0" fontId="12" fillId="8" borderId="0" xfId="10" applyFont="1" applyFill="1" applyBorder="1" applyAlignment="1">
      <alignment wrapText="1"/>
    </xf>
    <xf numFmtId="0" fontId="14" fillId="0" borderId="0" xfId="8" applyFont="1" applyBorder="1" applyAlignment="1">
      <alignment wrapText="1"/>
    </xf>
    <xf numFmtId="0" fontId="15" fillId="0" borderId="0" xfId="10" applyFont="1" applyFill="1" applyBorder="1" applyAlignment="1">
      <alignment wrapText="1"/>
    </xf>
    <xf numFmtId="0" fontId="16" fillId="9" borderId="0" xfId="8" applyFont="1" applyFill="1" applyBorder="1"/>
    <xf numFmtId="0" fontId="1" fillId="0" borderId="0" xfId="8" applyFont="1" applyFill="1" applyBorder="1"/>
    <xf numFmtId="3" fontId="1" fillId="0" borderId="0" xfId="10" applyNumberFormat="1" applyFont="1" applyFill="1" applyBorder="1" applyAlignment="1">
      <alignment horizontal="right"/>
    </xf>
    <xf numFmtId="182" fontId="1" fillId="0" borderId="0" xfId="17" applyNumberFormat="1" applyFont="1" applyFill="1" applyBorder="1"/>
    <xf numFmtId="9" fontId="17" fillId="0" borderId="0" xfId="17" applyFont="1" applyFill="1" applyBorder="1"/>
    <xf numFmtId="0" fontId="17" fillId="0" borderId="0" xfId="10" applyFont="1" applyFill="1" applyBorder="1"/>
    <xf numFmtId="0" fontId="1" fillId="0" borderId="0" xfId="10" applyFont="1"/>
    <xf numFmtId="0" fontId="4" fillId="0" borderId="0" xfId="10" applyFont="1" applyFill="1" applyBorder="1"/>
    <xf numFmtId="0" fontId="1" fillId="0" borderId="0" xfId="10" applyFont="1" applyFill="1" applyBorder="1"/>
    <xf numFmtId="0" fontId="16" fillId="0" borderId="0" xfId="8" applyFont="1" applyFill="1" applyBorder="1"/>
    <xf numFmtId="0" fontId="1" fillId="0" borderId="0" xfId="10" applyFont="1" applyFill="1"/>
    <xf numFmtId="0" fontId="4" fillId="10" borderId="0" xfId="10" applyFont="1" applyFill="1" applyBorder="1"/>
    <xf numFmtId="0" fontId="17" fillId="10" borderId="0" xfId="10" applyFont="1" applyFill="1" applyBorder="1"/>
    <xf numFmtId="0" fontId="9" fillId="0" borderId="0" xfId="10" applyFont="1" applyFill="1" applyBorder="1"/>
    <xf numFmtId="0" fontId="18" fillId="0" borderId="0" xfId="0" applyFont="1"/>
    <xf numFmtId="0" fontId="1" fillId="0" borderId="0" xfId="14" applyFont="1" applyFill="1" applyBorder="1" applyAlignment="1" applyProtection="1"/>
    <xf numFmtId="0" fontId="1" fillId="0" borderId="0" xfId="3" applyFont="1" applyFill="1" applyBorder="1" applyAlignment="1" applyProtection="1"/>
    <xf numFmtId="2" fontId="19" fillId="0" borderId="0" xfId="0" applyNumberFormat="1" applyFont="1" applyFill="1" applyAlignment="1">
      <alignment horizontal="center"/>
    </xf>
    <xf numFmtId="0" fontId="0" fillId="0" borderId="0" xfId="0" applyNumberFormat="1"/>
  </cellXfs>
  <cellStyles count="18">
    <cellStyle name="Comma 2" xfId="1"/>
    <cellStyle name="Comma 3" xfId="2"/>
    <cellStyle name="Normal" xfId="0" builtinId="0"/>
    <cellStyle name="Normal 10" xfId="3"/>
    <cellStyle name="Normal 11" xfId="4"/>
    <cellStyle name="Normal 2" xfId="5"/>
    <cellStyle name="Normal 3" xfId="6"/>
    <cellStyle name="Normal 3 2" xfId="7"/>
    <cellStyle name="Normal 3 3" xfId="8"/>
    <cellStyle name="Normal 4" xfId="9"/>
    <cellStyle name="Normal 5" xfId="10"/>
    <cellStyle name="Normal 6" xfId="11"/>
    <cellStyle name="Normal 7" xfId="12"/>
    <cellStyle name="Normal 8" xfId="13"/>
    <cellStyle name="Normal 9" xfId="14"/>
    <cellStyle name="Percent 2" xfId="15"/>
    <cellStyle name="Percent 3" xfId="16"/>
    <cellStyle name="Percent 4" xfId="17"/>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9583333333333334E-2"/>
          <c:y val="5.2083333333333336E-2"/>
          <c:w val="0.70625000000000004"/>
          <c:h val="0.84027777777777779"/>
        </c:manualLayout>
      </c:layout>
      <c:lineChart>
        <c:grouping val="standard"/>
        <c:varyColors val="0"/>
        <c:ser>
          <c:idx val="1"/>
          <c:order val="0"/>
          <c:spPr>
            <a:ln w="25400">
              <a:solidFill>
                <a:srgbClr val="993366"/>
              </a:solidFill>
              <a:prstDash val="solid"/>
            </a:ln>
          </c:spPr>
          <c:marker>
            <c:symbol val="none"/>
          </c:marker>
          <c:val>
            <c:numRef>
              <c:f>damagefunctions!$C$167:$C$193</c:f>
              <c:numCache>
                <c:formatCode>0.00</c:formatCode>
                <c:ptCount val="27"/>
                <c:pt idx="0">
                  <c:v>0</c:v>
                </c:pt>
                <c:pt idx="1">
                  <c:v>0</c:v>
                </c:pt>
                <c:pt idx="2">
                  <c:v>0</c:v>
                </c:pt>
                <c:pt idx="3">
                  <c:v>0</c:v>
                </c:pt>
                <c:pt idx="4">
                  <c:v>0</c:v>
                </c:pt>
                <c:pt idx="5">
                  <c:v>0</c:v>
                </c:pt>
                <c:pt idx="6">
                  <c:v>5.0000000000000001E-3</c:v>
                </c:pt>
                <c:pt idx="7">
                  <c:v>7.0000000000000001E-3</c:v>
                </c:pt>
                <c:pt idx="8">
                  <c:v>0.03</c:v>
                </c:pt>
                <c:pt idx="9">
                  <c:v>0.06</c:v>
                </c:pt>
                <c:pt idx="10">
                  <c:v>0.1</c:v>
                </c:pt>
                <c:pt idx="11">
                  <c:v>0.16</c:v>
                </c:pt>
                <c:pt idx="12">
                  <c:v>0.22</c:v>
                </c:pt>
                <c:pt idx="13">
                  <c:v>0.28000000000000003</c:v>
                </c:pt>
                <c:pt idx="14">
                  <c:v>0.35</c:v>
                </c:pt>
                <c:pt idx="15">
                  <c:v>0.41</c:v>
                </c:pt>
                <c:pt idx="16">
                  <c:v>0.5</c:v>
                </c:pt>
                <c:pt idx="17">
                  <c:v>0.6</c:v>
                </c:pt>
                <c:pt idx="18">
                  <c:v>0.68</c:v>
                </c:pt>
                <c:pt idx="19">
                  <c:v>0.77</c:v>
                </c:pt>
                <c:pt idx="20">
                  <c:v>0.85</c:v>
                </c:pt>
                <c:pt idx="21">
                  <c:v>0.91</c:v>
                </c:pt>
                <c:pt idx="22">
                  <c:v>0.94</c:v>
                </c:pt>
                <c:pt idx="23">
                  <c:v>0.97</c:v>
                </c:pt>
                <c:pt idx="24">
                  <c:v>0.98</c:v>
                </c:pt>
                <c:pt idx="25">
                  <c:v>0.99</c:v>
                </c:pt>
                <c:pt idx="26">
                  <c:v>0.99562756707767397</c:v>
                </c:pt>
              </c:numCache>
            </c:numRef>
          </c:val>
          <c:smooth val="0"/>
          <c:extLst>
            <c:ext xmlns:c16="http://schemas.microsoft.com/office/drawing/2014/chart" uri="{C3380CC4-5D6E-409C-BE32-E72D297353CC}">
              <c16:uniqueId val="{00000000-4BFD-4D5F-A4B0-C93F5ADE2835}"/>
            </c:ext>
          </c:extLst>
        </c:ser>
        <c:dLbls>
          <c:showLegendKey val="0"/>
          <c:showVal val="0"/>
          <c:showCatName val="0"/>
          <c:showSerName val="0"/>
          <c:showPercent val="0"/>
          <c:showBubbleSize val="0"/>
        </c:dLbls>
        <c:smooth val="0"/>
        <c:axId val="983588751"/>
        <c:axId val="1"/>
      </c:lineChart>
      <c:catAx>
        <c:axId val="983588751"/>
        <c:scaling>
          <c:orientation val="minMax"/>
        </c:scaling>
        <c:delete val="0"/>
        <c:axPos val="b"/>
        <c:numFmt formatCode="General" sourceLinked="1"/>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s-SV"/>
          </a:p>
        </c:txPr>
        <c:crossAx val="1"/>
        <c:crosses val="autoZero"/>
        <c:auto val="0"/>
        <c:lblAlgn val="ctr"/>
        <c:lblOffset val="100"/>
        <c:tickLblSkip val="2"/>
        <c:tickMarkSkip val="1"/>
        <c:noMultiLvlLbl val="0"/>
      </c:catAx>
      <c:valAx>
        <c:axId val="1"/>
        <c:scaling>
          <c:orientation val="minMax"/>
        </c:scaling>
        <c:delete val="0"/>
        <c:axPos val="l"/>
        <c:majorGridlines>
          <c:spPr>
            <a:ln w="3175">
              <a:solidFill>
                <a:srgbClr val="808080"/>
              </a:solidFill>
              <a:prstDash val="solid"/>
            </a:ln>
          </c:spPr>
        </c:majorGridlines>
        <c:numFmt formatCode="0.00" sourceLinked="1"/>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s-SV"/>
          </a:p>
        </c:txPr>
        <c:crossAx val="983588751"/>
        <c:crosses val="autoZero"/>
        <c:crossBetween val="between"/>
      </c:valAx>
      <c:spPr>
        <a:solidFill>
          <a:srgbClr val="FFFFFF"/>
        </a:solidFill>
        <a:ln w="25400">
          <a:noFill/>
        </a:ln>
      </c:spPr>
    </c:plotArea>
    <c:legend>
      <c:legendPos val="r"/>
      <c:layout>
        <c:manualLayout>
          <c:xMode val="edge"/>
          <c:yMode val="edge"/>
          <c:x val="0.81458333333333333"/>
          <c:y val="0.44791666666666669"/>
          <c:w val="0.16458333333333333"/>
          <c:h val="7.6388888888888895E-2"/>
        </c:manualLayout>
      </c:layout>
      <c:overlay val="0"/>
      <c:spPr>
        <a:noFill/>
        <a:ln w="25400">
          <a:noFill/>
        </a:ln>
      </c:spPr>
      <c:txPr>
        <a:bodyPr/>
        <a:lstStyle/>
        <a:p>
          <a:pPr>
            <a:defRPr sz="290" b="0" i="0" u="none" strike="noStrike" baseline="0">
              <a:solidFill>
                <a:srgbClr val="000000"/>
              </a:solidFill>
              <a:latin typeface="Calibri"/>
              <a:ea typeface="Calibri"/>
              <a:cs typeface="Calibri"/>
            </a:defRPr>
          </a:pPr>
          <a:endParaRPr lang="es-SV"/>
        </a:p>
      </c:txPr>
    </c:legend>
    <c:plotVisOnly val="1"/>
    <c:dispBlanksAs val="gap"/>
    <c:showDLblsOverMax val="0"/>
  </c:chart>
  <c:spPr>
    <a:solidFill>
      <a:srgbClr val="FFFFFF"/>
    </a:solidFill>
    <a:ln w="12700">
      <a:solidFill>
        <a:srgbClr val="000000"/>
      </a:solidFill>
      <a:prstDash val="solid"/>
    </a:ln>
  </c:spPr>
  <c:txPr>
    <a:bodyPr/>
    <a:lstStyle/>
    <a:p>
      <a:pPr>
        <a:defRPr sz="1000" b="0" i="0" u="none" strike="noStrike" baseline="0">
          <a:solidFill>
            <a:srgbClr val="000000"/>
          </a:solidFill>
          <a:latin typeface="Calibri"/>
          <a:ea typeface="Calibri"/>
          <a:cs typeface="Calibri"/>
        </a:defRPr>
      </a:pPr>
      <a:endParaRPr lang="es-SV"/>
    </a:p>
  </c:txPr>
  <c:printSettings>
    <c:headerFooter alignWithMargins="0"/>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7291666666666667"/>
          <c:y val="2.7777777777777776E-2"/>
        </c:manualLayout>
      </c:layout>
      <c:overlay val="0"/>
      <c:spPr>
        <a:noFill/>
        <a:ln w="25400">
          <a:noFill/>
        </a:ln>
      </c:spPr>
      <c:txPr>
        <a:bodyPr/>
        <a:lstStyle/>
        <a:p>
          <a:pPr>
            <a:defRPr sz="1400" b="0" i="0" u="none" strike="noStrike" baseline="0">
              <a:solidFill>
                <a:srgbClr val="333333"/>
              </a:solidFill>
              <a:latin typeface="Calibri"/>
              <a:ea typeface="Calibri"/>
              <a:cs typeface="Calibri"/>
            </a:defRPr>
          </a:pPr>
          <a:endParaRPr lang="es-SV"/>
        </a:p>
      </c:txPr>
    </c:title>
    <c:autoTitleDeleted val="0"/>
    <c:plotArea>
      <c:layout>
        <c:manualLayout>
          <c:layoutTarget val="inner"/>
          <c:xMode val="edge"/>
          <c:yMode val="edge"/>
          <c:x val="7.0833333333333331E-2"/>
          <c:y val="0.1701388888888889"/>
          <c:w val="0.88958333333333328"/>
          <c:h val="0.71875"/>
        </c:manualLayout>
      </c:layout>
      <c:scatterChart>
        <c:scatterStyle val="lineMarker"/>
        <c:varyColors val="0"/>
        <c:ser>
          <c:idx val="0"/>
          <c:order val="0"/>
          <c:spPr>
            <a:ln w="12700">
              <a:solidFill>
                <a:srgbClr val="33CCCC"/>
              </a:solidFill>
              <a:prstDash val="solid"/>
            </a:ln>
          </c:spPr>
          <c:marker>
            <c:symbol val="none"/>
          </c:marker>
          <c:xVal>
            <c:numRef>
              <c:f>damagefunctions!$B$2:$B$31</c:f>
              <c:numCache>
                <c:formatCode>General</c:formatCode>
                <c:ptCount val="30"/>
                <c:pt idx="0">
                  <c:v>0</c:v>
                </c:pt>
                <c:pt idx="1">
                  <c:v>9.6600000000000005E-2</c:v>
                </c:pt>
                <c:pt idx="2">
                  <c:v>0.19309999999999999</c:v>
                </c:pt>
                <c:pt idx="3">
                  <c:v>0.28970000000000001</c:v>
                </c:pt>
                <c:pt idx="4">
                  <c:v>0.38619999999999999</c:v>
                </c:pt>
                <c:pt idx="5">
                  <c:v>0.48280000000000001</c:v>
                </c:pt>
                <c:pt idx="6">
                  <c:v>0.57930000000000004</c:v>
                </c:pt>
                <c:pt idx="7">
                  <c:v>0.67589999999999995</c:v>
                </c:pt>
                <c:pt idx="8">
                  <c:v>0.77239999999999998</c:v>
                </c:pt>
                <c:pt idx="9">
                  <c:v>0.86899999999999999</c:v>
                </c:pt>
                <c:pt idx="10">
                  <c:v>0.96550000000000002</c:v>
                </c:pt>
                <c:pt idx="11">
                  <c:v>1.0621</c:v>
                </c:pt>
                <c:pt idx="12">
                  <c:v>1.1586000000000001</c:v>
                </c:pt>
                <c:pt idx="13">
                  <c:v>1.2552000000000001</c:v>
                </c:pt>
                <c:pt idx="14">
                  <c:v>1.3516999999999999</c:v>
                </c:pt>
                <c:pt idx="15">
                  <c:v>1.4482999999999999</c:v>
                </c:pt>
                <c:pt idx="16">
                  <c:v>1.5448</c:v>
                </c:pt>
                <c:pt idx="17">
                  <c:v>1.6414</c:v>
                </c:pt>
                <c:pt idx="18">
                  <c:v>1.7379</c:v>
                </c:pt>
                <c:pt idx="19">
                  <c:v>1.8345</c:v>
                </c:pt>
                <c:pt idx="20">
                  <c:v>1.931</c:v>
                </c:pt>
                <c:pt idx="21">
                  <c:v>2.0276000000000001</c:v>
                </c:pt>
                <c:pt idx="22">
                  <c:v>2.1240999999999999</c:v>
                </c:pt>
                <c:pt idx="23">
                  <c:v>2.2206999999999999</c:v>
                </c:pt>
                <c:pt idx="24">
                  <c:v>2.3172000000000001</c:v>
                </c:pt>
                <c:pt idx="25">
                  <c:v>2.4138000000000002</c:v>
                </c:pt>
                <c:pt idx="26">
                  <c:v>2.5103</c:v>
                </c:pt>
                <c:pt idx="27">
                  <c:v>2.6069</c:v>
                </c:pt>
                <c:pt idx="28">
                  <c:v>2.7033999999999998</c:v>
                </c:pt>
                <c:pt idx="29">
                  <c:v>2.8</c:v>
                </c:pt>
              </c:numCache>
            </c:numRef>
          </c:xVal>
          <c:yVal>
            <c:numRef>
              <c:f>damagefunctions!$C$2:$C$31</c:f>
              <c:numCache>
                <c:formatCode>General</c:formatCode>
                <c:ptCount val="30"/>
                <c:pt idx="0">
                  <c:v>0</c:v>
                </c:pt>
                <c:pt idx="1">
                  <c:v>5.0000000000000001E-4</c:v>
                </c:pt>
                <c:pt idx="2">
                  <c:v>3.0000000000000001E-3</c:v>
                </c:pt>
                <c:pt idx="3">
                  <c:v>1.0500000000000001E-2</c:v>
                </c:pt>
                <c:pt idx="4">
                  <c:v>2.4E-2</c:v>
                </c:pt>
                <c:pt idx="5">
                  <c:v>4.5999999999999999E-2</c:v>
                </c:pt>
                <c:pt idx="6">
                  <c:v>7.6999999999999999E-2</c:v>
                </c:pt>
                <c:pt idx="7">
                  <c:v>0.11700000000000001</c:v>
                </c:pt>
                <c:pt idx="8">
                  <c:v>0.16400000000000001</c:v>
                </c:pt>
                <c:pt idx="9">
                  <c:v>0.216</c:v>
                </c:pt>
                <c:pt idx="10">
                  <c:v>0.27</c:v>
                </c:pt>
                <c:pt idx="11">
                  <c:v>0.32200000000000001</c:v>
                </c:pt>
                <c:pt idx="12">
                  <c:v>0.36899999999999999</c:v>
                </c:pt>
                <c:pt idx="13">
                  <c:v>0.40899999999999997</c:v>
                </c:pt>
                <c:pt idx="14">
                  <c:v>0.4405</c:v>
                </c:pt>
                <c:pt idx="15">
                  <c:v>0.46350000000000002</c:v>
                </c:pt>
                <c:pt idx="16">
                  <c:v>0.47899999999999998</c:v>
                </c:pt>
                <c:pt idx="17">
                  <c:v>0.48899999999999999</c:v>
                </c:pt>
                <c:pt idx="18">
                  <c:v>0.4945</c:v>
                </c:pt>
                <c:pt idx="19">
                  <c:v>0.4975</c:v>
                </c:pt>
                <c:pt idx="20">
                  <c:v>0.499</c:v>
                </c:pt>
                <c:pt idx="21">
                  <c:v>0.4995</c:v>
                </c:pt>
                <c:pt idx="22">
                  <c:v>0.5</c:v>
                </c:pt>
                <c:pt idx="23">
                  <c:v>0.5</c:v>
                </c:pt>
                <c:pt idx="24">
                  <c:v>0.5</c:v>
                </c:pt>
                <c:pt idx="25">
                  <c:v>0.5</c:v>
                </c:pt>
                <c:pt idx="26">
                  <c:v>0.5</c:v>
                </c:pt>
                <c:pt idx="27">
                  <c:v>0.5</c:v>
                </c:pt>
                <c:pt idx="28">
                  <c:v>0.5</c:v>
                </c:pt>
                <c:pt idx="29">
                  <c:v>0.5</c:v>
                </c:pt>
              </c:numCache>
            </c:numRef>
          </c:yVal>
          <c:smooth val="0"/>
          <c:extLst>
            <c:ext xmlns:c16="http://schemas.microsoft.com/office/drawing/2014/chart" uri="{C3380CC4-5D6E-409C-BE32-E72D297353CC}">
              <c16:uniqueId val="{00000000-7F69-4555-9E9D-27AEB1FD4DB7}"/>
            </c:ext>
          </c:extLst>
        </c:ser>
        <c:dLbls>
          <c:showLegendKey val="0"/>
          <c:showVal val="0"/>
          <c:showCatName val="0"/>
          <c:showSerName val="0"/>
          <c:showPercent val="0"/>
          <c:showBubbleSize val="0"/>
        </c:dLbls>
        <c:axId val="983597071"/>
        <c:axId val="1"/>
      </c:scatterChart>
      <c:valAx>
        <c:axId val="983597071"/>
        <c:scaling>
          <c:orientation val="minMax"/>
        </c:scaling>
        <c:delete val="0"/>
        <c:axPos val="b"/>
        <c:majorGridlines>
          <c:spPr>
            <a:ln w="3175">
              <a:solidFill>
                <a:srgbClr val="E3E3E3"/>
              </a:solidFill>
              <a:prstDash val="solid"/>
            </a:ln>
          </c:spPr>
        </c:majorGridlines>
        <c:numFmt formatCode="General" sourceLinked="1"/>
        <c:majorTickMark val="none"/>
        <c:minorTickMark val="none"/>
        <c:tickLblPos val="nextTo"/>
        <c:spPr>
          <a:ln w="3175">
            <a:solidFill>
              <a:srgbClr val="C0C0C0"/>
            </a:solidFill>
            <a:prstDash val="solid"/>
          </a:ln>
        </c:spPr>
        <c:txPr>
          <a:bodyPr rot="0" vert="horz"/>
          <a:lstStyle/>
          <a:p>
            <a:pPr>
              <a:defRPr sz="900" b="0" i="0" u="none" strike="noStrike" baseline="0">
                <a:solidFill>
                  <a:srgbClr val="333333"/>
                </a:solidFill>
                <a:latin typeface="Calibri"/>
                <a:ea typeface="Calibri"/>
                <a:cs typeface="Calibri"/>
              </a:defRPr>
            </a:pPr>
            <a:endParaRPr lang="es-SV"/>
          </a:p>
        </c:txPr>
        <c:crossAx val="1"/>
        <c:crosses val="autoZero"/>
        <c:crossBetween val="midCat"/>
      </c:valAx>
      <c:valAx>
        <c:axId val="1"/>
        <c:scaling>
          <c:orientation val="minMax"/>
        </c:scaling>
        <c:delete val="0"/>
        <c:axPos val="l"/>
        <c:majorGridlines>
          <c:spPr>
            <a:ln w="3175">
              <a:solidFill>
                <a:srgbClr val="E3E3E3"/>
              </a:solidFill>
              <a:prstDash val="solid"/>
            </a:ln>
          </c:spPr>
        </c:majorGridlines>
        <c:numFmt formatCode="General" sourceLinked="1"/>
        <c:majorTickMark val="none"/>
        <c:minorTickMark val="none"/>
        <c:tickLblPos val="nextTo"/>
        <c:spPr>
          <a:ln w="3175">
            <a:solidFill>
              <a:srgbClr val="C0C0C0"/>
            </a:solidFill>
            <a:prstDash val="solid"/>
          </a:ln>
        </c:spPr>
        <c:txPr>
          <a:bodyPr rot="0" vert="horz"/>
          <a:lstStyle/>
          <a:p>
            <a:pPr>
              <a:defRPr sz="900" b="0" i="0" u="none" strike="noStrike" baseline="0">
                <a:solidFill>
                  <a:srgbClr val="333333"/>
                </a:solidFill>
                <a:latin typeface="Calibri"/>
                <a:ea typeface="Calibri"/>
                <a:cs typeface="Calibri"/>
              </a:defRPr>
            </a:pPr>
            <a:endParaRPr lang="es-SV"/>
          </a:p>
        </c:txPr>
        <c:crossAx val="983597071"/>
        <c:crosses val="autoZero"/>
        <c:crossBetween val="midCat"/>
      </c:valAx>
      <c:spPr>
        <a:noFill/>
        <a:ln w="25400">
          <a:noFill/>
        </a:ln>
      </c:spPr>
    </c:plotArea>
    <c:plotVisOnly val="1"/>
    <c:dispBlanksAs val="gap"/>
    <c:showDLblsOverMax val="0"/>
  </c:chart>
  <c:spPr>
    <a:solidFill>
      <a:srgbClr val="FFFFFF"/>
    </a:solidFill>
    <a:ln w="12700">
      <a:solidFill>
        <a:srgbClr val="000000"/>
      </a:solidFill>
      <a:prstDash val="solid"/>
    </a:ln>
  </c:spPr>
  <c:txPr>
    <a:bodyPr/>
    <a:lstStyle/>
    <a:p>
      <a:pPr>
        <a:defRPr sz="1000" b="0" i="0" u="none" strike="noStrike" baseline="0">
          <a:solidFill>
            <a:srgbClr val="000000"/>
          </a:solidFill>
          <a:latin typeface="Calibri"/>
          <a:ea typeface="Calibri"/>
          <a:cs typeface="Calibri"/>
        </a:defRPr>
      </a:pPr>
      <a:endParaRPr lang="es-SV"/>
    </a:p>
  </c:txPr>
  <c:printSettings>
    <c:headerFooter alignWithMargins="0"/>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247650</xdr:colOff>
      <xdr:row>167</xdr:row>
      <xdr:rowOff>76200</xdr:rowOff>
    </xdr:from>
    <xdr:to>
      <xdr:col>15</xdr:col>
      <xdr:colOff>247650</xdr:colOff>
      <xdr:row>181</xdr:row>
      <xdr:rowOff>152400</xdr:rowOff>
    </xdr:to>
    <xdr:graphicFrame macro="">
      <xdr:nvGraphicFramePr>
        <xdr:cNvPr id="1183" name="Diagramm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47625</xdr:colOff>
      <xdr:row>3</xdr:row>
      <xdr:rowOff>28575</xdr:rowOff>
    </xdr:from>
    <xdr:to>
      <xdr:col>20</xdr:col>
      <xdr:colOff>47625</xdr:colOff>
      <xdr:row>17</xdr:row>
      <xdr:rowOff>104775</xdr:rowOff>
    </xdr:to>
    <xdr:graphicFrame macro="">
      <xdr:nvGraphicFramePr>
        <xdr:cNvPr id="1184" name="Gráfico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a Müller" refreshedDate="0" createdVersion="1" recordCount="45530" upgradeOnRefresh="1">
  <cacheSource type="worksheet">
    <worksheetSource ref="A1:H65536" sheet="assets"/>
  </cacheSource>
  <cacheFields count="8">
    <cacheField name="Category" numFmtId="0">
      <sharedItems containsSemiMixedTypes="0" containsString="0" containsNumber="1" containsInteger="1" minValue="1" maxValue="8" count="8">
        <n v="1"/>
        <n v="2"/>
        <n v="3"/>
        <n v="4"/>
        <n v="5"/>
        <n v="6"/>
        <n v="7"/>
        <n v="8"/>
      </sharedItems>
    </cacheField>
    <cacheField name="Latitude" numFmtId="0">
      <sharedItems containsSemiMixedTypes="0" containsString="0" containsNumber="1" minValue="13.6716" maxValue="13.702199999999999"/>
    </cacheField>
    <cacheField name="Longitude" numFmtId="0">
      <sharedItems containsSemiMixedTypes="0" containsString="0" containsNumber="1" minValue="-89.252600000000001" maxValue="-89.163399999999996"/>
    </cacheField>
    <cacheField name="Value" numFmtId="0">
      <sharedItems containsSemiMixedTypes="0" containsString="0" containsNumber="1" minValue="0" maxValue="4749150"/>
    </cacheField>
    <cacheField name="Deductible" numFmtId="0">
      <sharedItems containsSemiMixedTypes="0" containsString="0" containsNumber="1" containsInteger="1" minValue="0" maxValue="0"/>
    </cacheField>
    <cacheField name="Cover" numFmtId="0">
      <sharedItems containsSemiMixedTypes="0" containsString="0" containsNumber="1" containsInteger="1" minValue="0" maxValue="0"/>
    </cacheField>
    <cacheField name="DamageFunID" numFmtId="0">
      <sharedItems containsSemiMixedTypes="0" containsString="0" containsNumber="1" containsInteger="1" minValue="101" maxValue="107"/>
    </cacheField>
    <cacheField name="Value_unit"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5530">
  <r>
    <x v="0"/>
    <n v="13.689500000000001"/>
    <n v="-89.180800000000005"/>
    <n v="6105.62"/>
    <n v="0"/>
    <n v="0"/>
    <n v="101"/>
    <s v="_x0000_US"/>
  </r>
  <r>
    <x v="0"/>
    <n v="13.6869"/>
    <n v="-89.197500000000005"/>
    <n v="6309.79"/>
    <n v="0"/>
    <n v="0"/>
    <n v="101"/>
    <s v="_x0000_US"/>
  </r>
  <r>
    <x v="0"/>
    <n v="13.6952"/>
    <n v="-89.174099999999996"/>
    <n v="6412.75"/>
    <n v="0"/>
    <n v="0"/>
    <n v="101"/>
    <s v="_x0000_US"/>
  </r>
  <r>
    <x v="0"/>
    <n v="13.680999999999999"/>
    <n v="-89.1982"/>
    <n v="6535.1"/>
    <n v="0"/>
    <n v="0"/>
    <n v="101"/>
    <s v="_x0000_US"/>
  </r>
  <r>
    <x v="0"/>
    <n v="13.693099999999999"/>
    <n v="-89.176199999999994"/>
    <n v="6563.85"/>
    <n v="0"/>
    <n v="0"/>
    <n v="101"/>
    <s v="_x0000_US"/>
  </r>
  <r>
    <x v="0"/>
    <n v="13.6799"/>
    <n v="-89.195300000000003"/>
    <n v="6586.88"/>
    <n v="0"/>
    <n v="0"/>
    <n v="101"/>
    <s v="_x0000_US"/>
  </r>
  <r>
    <x v="0"/>
    <n v="13.6896"/>
    <n v="-89.235500000000002"/>
    <n v="6651"/>
    <n v="0"/>
    <n v="0"/>
    <n v="101"/>
    <s v="_x0000_US"/>
  </r>
  <r>
    <x v="0"/>
    <n v="13.6812"/>
    <n v="-89.195400000000006"/>
    <n v="6719.41"/>
    <n v="0"/>
    <n v="0"/>
    <n v="101"/>
    <s v="_x0000_US"/>
  </r>
  <r>
    <x v="0"/>
    <n v="13.689299999999999"/>
    <n v="-89.204899999999995"/>
    <n v="6727.76"/>
    <n v="0"/>
    <n v="0"/>
    <n v="101"/>
    <s v="_x0000_US"/>
  </r>
  <r>
    <x v="0"/>
    <n v="13.694900000000001"/>
    <n v="-89.183300000000003"/>
    <n v="6771.74"/>
    <n v="0"/>
    <n v="0"/>
    <n v="101"/>
    <s v="_x0000_US"/>
  </r>
  <r>
    <x v="0"/>
    <n v="13.685600000000001"/>
    <n v="-89.212000000000003"/>
    <n v="6774.03"/>
    <n v="0"/>
    <n v="0"/>
    <n v="101"/>
    <s v="_x0000_US"/>
  </r>
  <r>
    <x v="0"/>
    <n v="13.690799999999999"/>
    <n v="-89.232699999999994"/>
    <n v="6799.75"/>
    <n v="0"/>
    <n v="0"/>
    <n v="101"/>
    <s v="_x0000_US"/>
  </r>
  <r>
    <x v="0"/>
    <n v="13.695600000000001"/>
    <n v="-89.174499999999995"/>
    <n v="6800.67"/>
    <n v="0"/>
    <n v="0"/>
    <n v="101"/>
    <s v="_x0000_US"/>
  </r>
  <r>
    <x v="0"/>
    <n v="13.694699999999999"/>
    <n v="-89.183499999999995"/>
    <n v="6825.22"/>
    <n v="0"/>
    <n v="0"/>
    <n v="101"/>
    <s v="_x0000_US"/>
  </r>
  <r>
    <x v="0"/>
    <n v="13.6891"/>
    <n v="-89.184200000000004"/>
    <n v="6876.81"/>
    <n v="0"/>
    <n v="0"/>
    <n v="101"/>
    <s v="_x0000_US"/>
  </r>
  <r>
    <x v="0"/>
    <n v="13.687099999999999"/>
    <n v="-89.202100000000002"/>
    <n v="6880.06"/>
    <n v="0"/>
    <n v="0"/>
    <n v="101"/>
    <s v="_x0000_US"/>
  </r>
  <r>
    <x v="0"/>
    <n v="13.687099999999999"/>
    <n v="-89.191699999999997"/>
    <n v="6883.46"/>
    <n v="0"/>
    <n v="0"/>
    <n v="101"/>
    <s v="_x0000_US"/>
  </r>
  <r>
    <x v="0"/>
    <n v="13.6896"/>
    <n v="-89.179500000000004"/>
    <n v="6943.96"/>
    <n v="0"/>
    <n v="0"/>
    <n v="101"/>
    <s v="_x0000_US"/>
  </r>
  <r>
    <x v="0"/>
    <n v="13.6891"/>
    <n v="-89.191199999999995"/>
    <n v="6956.29"/>
    <n v="0"/>
    <n v="0"/>
    <n v="101"/>
    <s v="_x0000_US"/>
  </r>
  <r>
    <x v="0"/>
    <n v="13.690899999999999"/>
    <n v="-89.190700000000007"/>
    <n v="6958.34"/>
    <n v="0"/>
    <n v="0"/>
    <n v="101"/>
    <s v="_x0000_US"/>
  </r>
  <r>
    <x v="0"/>
    <n v="13.6806"/>
    <n v="-89.1982"/>
    <n v="6969.08"/>
    <n v="0"/>
    <n v="0"/>
    <n v="101"/>
    <s v="_x0000_US"/>
  </r>
  <r>
    <x v="0"/>
    <n v="13.686400000000001"/>
    <n v="-89.213800000000006"/>
    <n v="6971.94"/>
    <n v="0"/>
    <n v="0"/>
    <n v="101"/>
    <s v="_x0000_US"/>
  </r>
  <r>
    <x v="0"/>
    <n v="13.686999999999999"/>
    <n v="-89.196600000000004"/>
    <n v="6978.25"/>
    <n v="0"/>
    <n v="0"/>
    <n v="101"/>
    <s v="_x0000_US"/>
  </r>
  <r>
    <x v="0"/>
    <n v="13.6861"/>
    <n v="-89.213999999999999"/>
    <n v="6986.6"/>
    <n v="0"/>
    <n v="0"/>
    <n v="101"/>
    <s v="_x0000_US"/>
  </r>
  <r>
    <x v="0"/>
    <n v="13.6959"/>
    <n v="-89.173199999999994"/>
    <n v="6997.25"/>
    <n v="0"/>
    <n v="0"/>
    <n v="101"/>
    <s v="_x0000_US"/>
  </r>
  <r>
    <x v="0"/>
    <n v="13.6853"/>
    <n v="-89.202200000000005"/>
    <n v="7037.49"/>
    <n v="0"/>
    <n v="0"/>
    <n v="101"/>
    <s v="_x0000_US"/>
  </r>
  <r>
    <x v="0"/>
    <n v="13.6912"/>
    <n v="-89.234200000000001"/>
    <n v="7061.59"/>
    <n v="0"/>
    <n v="0"/>
    <n v="101"/>
    <s v="_x0000_US"/>
  </r>
  <r>
    <x v="0"/>
    <n v="13.691700000000001"/>
    <n v="-89.226299999999995"/>
    <n v="7063.16"/>
    <n v="0"/>
    <n v="0"/>
    <n v="101"/>
    <s v="_x0000_US"/>
  </r>
  <r>
    <x v="0"/>
    <n v="13.6767"/>
    <n v="-89.200100000000006"/>
    <n v="7067.7"/>
    <n v="0"/>
    <n v="0"/>
    <n v="101"/>
    <s v="_x0000_US"/>
  </r>
  <r>
    <x v="0"/>
    <n v="13.690300000000001"/>
    <n v="-89.188999999999993"/>
    <n v="7084.49"/>
    <n v="0"/>
    <n v="0"/>
    <n v="101"/>
    <s v="_x0000_US"/>
  </r>
  <r>
    <x v="0"/>
    <n v="13.6876"/>
    <n v="-89.194599999999994"/>
    <n v="7086.19"/>
    <n v="0"/>
    <n v="0"/>
    <n v="101"/>
    <s v="_x0000_US"/>
  </r>
  <r>
    <x v="0"/>
    <n v="13.6875"/>
    <n v="-89.180999999999997"/>
    <n v="7106.59"/>
    <n v="0"/>
    <n v="0"/>
    <n v="101"/>
    <s v="_x0000_US"/>
  </r>
  <r>
    <x v="0"/>
    <n v="13.6911"/>
    <n v="-89.187799999999996"/>
    <n v="7115.52"/>
    <n v="0"/>
    <n v="0"/>
    <n v="101"/>
    <s v="_x0000_US"/>
  </r>
  <r>
    <x v="0"/>
    <n v="13.6945"/>
    <n v="-89.174099999999996"/>
    <n v="7131.85"/>
    <n v="0"/>
    <n v="0"/>
    <n v="101"/>
    <s v="_x0000_US"/>
  </r>
  <r>
    <x v="0"/>
    <n v="13.6942"/>
    <n v="-89.173400000000001"/>
    <n v="7161.51"/>
    <n v="0"/>
    <n v="0"/>
    <n v="101"/>
    <s v="_x0000_US"/>
  </r>
  <r>
    <x v="0"/>
    <n v="13.689399999999999"/>
    <n v="-89.177700000000002"/>
    <n v="7178.08"/>
    <n v="0"/>
    <n v="0"/>
    <n v="101"/>
    <s v="_x0000_US"/>
  </r>
  <r>
    <x v="0"/>
    <n v="13.6873"/>
    <n v="-89.197699999999998"/>
    <n v="7185.32"/>
    <n v="0"/>
    <n v="0"/>
    <n v="101"/>
    <s v="_x0000_US"/>
  </r>
  <r>
    <x v="0"/>
    <n v="13.6866"/>
    <n v="-89.215699999999998"/>
    <n v="7201.15"/>
    <n v="0"/>
    <n v="0"/>
    <n v="101"/>
    <s v="_x0000_US"/>
  </r>
  <r>
    <x v="0"/>
    <n v="13.685600000000001"/>
    <n v="-89.214699999999993"/>
    <n v="7204.83"/>
    <n v="0"/>
    <n v="0"/>
    <n v="101"/>
    <s v="_x0000_US"/>
  </r>
  <r>
    <x v="0"/>
    <n v="13.6921"/>
    <n v="-89.222300000000004"/>
    <n v="7207.98"/>
    <n v="0"/>
    <n v="0"/>
    <n v="101"/>
    <s v="_x0000_US"/>
  </r>
  <r>
    <x v="0"/>
    <n v="13.6904"/>
    <n v="-89.1892"/>
    <n v="7217.27"/>
    <n v="0"/>
    <n v="0"/>
    <n v="101"/>
    <s v="_x0000_US"/>
  </r>
  <r>
    <x v="0"/>
    <n v="13.694800000000001"/>
    <n v="-89.174300000000002"/>
    <n v="7231.62"/>
    <n v="0"/>
    <n v="0"/>
    <n v="101"/>
    <s v="_x0000_US"/>
  </r>
  <r>
    <x v="0"/>
    <n v="13.692"/>
    <n v="-89.223600000000005"/>
    <n v="7232.46"/>
    <n v="0"/>
    <n v="0"/>
    <n v="101"/>
    <s v="_x0000_US"/>
  </r>
  <r>
    <x v="0"/>
    <n v="13.6943"/>
    <n v="-89.188699999999997"/>
    <n v="7232.64"/>
    <n v="0"/>
    <n v="0"/>
    <n v="101"/>
    <s v="_x0000_US"/>
  </r>
  <r>
    <x v="0"/>
    <n v="13.692"/>
    <n v="-89.196200000000005"/>
    <n v="7242.21"/>
    <n v="0"/>
    <n v="0"/>
    <n v="101"/>
    <s v="_x0000_US"/>
  </r>
  <r>
    <x v="0"/>
    <n v="13.691599999999999"/>
    <n v="-89.183599999999998"/>
    <n v="7251.4"/>
    <n v="0"/>
    <n v="0"/>
    <n v="101"/>
    <s v="_x0000_US"/>
  </r>
  <r>
    <x v="0"/>
    <n v="13.691700000000001"/>
    <n v="-89.1785"/>
    <n v="7255.64"/>
    <n v="0"/>
    <n v="0"/>
    <n v="101"/>
    <s v="_x0000_US"/>
  </r>
  <r>
    <x v="0"/>
    <n v="13.695399999999999"/>
    <n v="-89.173500000000004"/>
    <n v="7257"/>
    <n v="0"/>
    <n v="0"/>
    <n v="101"/>
    <s v="_x0000_US"/>
  </r>
  <r>
    <x v="0"/>
    <n v="13.692"/>
    <n v="-89.196799999999996"/>
    <n v="7259.82"/>
    <n v="0"/>
    <n v="0"/>
    <n v="101"/>
    <s v="_x0000_US"/>
  </r>
  <r>
    <x v="0"/>
    <n v="13.696"/>
    <n v="-89.166700000000006"/>
    <n v="7264.82"/>
    <n v="0"/>
    <n v="0"/>
    <n v="101"/>
    <s v="_x0000_US"/>
  </r>
  <r>
    <x v="0"/>
    <n v="13.6747"/>
    <n v="-89.252399999999994"/>
    <n v="7269.53"/>
    <n v="0"/>
    <n v="0"/>
    <n v="101"/>
    <s v="_x0000_US"/>
  </r>
  <r>
    <x v="0"/>
    <n v="13.687099999999999"/>
    <n v="-89.197400000000002"/>
    <n v="7282.59"/>
    <n v="0"/>
    <n v="0"/>
    <n v="101"/>
    <s v="_x0000_US"/>
  </r>
  <r>
    <x v="0"/>
    <n v="13.6951"/>
    <n v="-89.174999999999997"/>
    <n v="7284.24"/>
    <n v="0"/>
    <n v="0"/>
    <n v="101"/>
    <s v="_x0000_US"/>
  </r>
  <r>
    <x v="0"/>
    <n v="13.6945"/>
    <n v="-89.174800000000005"/>
    <n v="7285.83"/>
    <n v="0"/>
    <n v="0"/>
    <n v="101"/>
    <s v="_x0000_US"/>
  </r>
  <r>
    <x v="0"/>
    <n v="13.678000000000001"/>
    <n v="-89.246499999999997"/>
    <n v="7298.84"/>
    <n v="0"/>
    <n v="0"/>
    <n v="101"/>
    <s v="_x0000_US"/>
  </r>
  <r>
    <x v="0"/>
    <n v="13.6913"/>
    <n v="-89.226500000000001"/>
    <n v="7300.35"/>
    <n v="0"/>
    <n v="0"/>
    <n v="101"/>
    <s v="_x0000_US"/>
  </r>
  <r>
    <x v="0"/>
    <n v="13.6905"/>
    <n v="-89.234300000000005"/>
    <n v="7301.55"/>
    <n v="0"/>
    <n v="0"/>
    <n v="101"/>
    <s v="_x0000_US"/>
  </r>
  <r>
    <x v="0"/>
    <n v="13.6905"/>
    <n v="-89.233699999999999"/>
    <n v="7304.04"/>
    <n v="0"/>
    <n v="0"/>
    <n v="101"/>
    <s v="_x0000_US"/>
  </r>
  <r>
    <x v="0"/>
    <n v="13.69"/>
    <n v="-89.228700000000003"/>
    <n v="7305.91"/>
    <n v="0"/>
    <n v="0"/>
    <n v="101"/>
    <s v="_x0000_US"/>
  </r>
  <r>
    <x v="0"/>
    <n v="13.6745"/>
    <n v="-89.252099999999999"/>
    <n v="7307.71"/>
    <n v="0"/>
    <n v="0"/>
    <n v="101"/>
    <s v="_x0000_US"/>
  </r>
  <r>
    <x v="0"/>
    <n v="13.6853"/>
    <n v="-89.203500000000005"/>
    <n v="7324.45"/>
    <n v="0"/>
    <n v="0"/>
    <n v="101"/>
    <s v="_x0000_US"/>
  </r>
  <r>
    <x v="0"/>
    <n v="13.674300000000001"/>
    <n v="-89.251199999999997"/>
    <n v="7342.77"/>
    <n v="0"/>
    <n v="0"/>
    <n v="101"/>
    <s v="_x0000_US"/>
  </r>
  <r>
    <x v="0"/>
    <n v="13.687200000000001"/>
    <n v="-89.194500000000005"/>
    <n v="7345.98"/>
    <n v="0"/>
    <n v="0"/>
    <n v="101"/>
    <s v="_x0000_US"/>
  </r>
  <r>
    <x v="0"/>
    <n v="13.673999999999999"/>
    <n v="-89.202299999999994"/>
    <n v="7355.61"/>
    <n v="0"/>
    <n v="0"/>
    <n v="101"/>
    <s v="_x0000_US"/>
  </r>
  <r>
    <x v="0"/>
    <n v="13.6913"/>
    <n v="-89.234200000000001"/>
    <n v="7358.06"/>
    <n v="0"/>
    <n v="0"/>
    <n v="101"/>
    <s v="_x0000_US"/>
  </r>
  <r>
    <x v="0"/>
    <n v="13.694699999999999"/>
    <n v="-89.183899999999994"/>
    <n v="7358.38"/>
    <n v="0"/>
    <n v="0"/>
    <n v="101"/>
    <s v="_x0000_US"/>
  </r>
  <r>
    <x v="0"/>
    <n v="13.6869"/>
    <n v="-89.205200000000005"/>
    <n v="7362.23"/>
    <n v="0"/>
    <n v="0"/>
    <n v="101"/>
    <s v="_x0000_US"/>
  </r>
  <r>
    <x v="0"/>
    <n v="13.6876"/>
    <n v="-89.179599999999994"/>
    <n v="7364.37"/>
    <n v="0"/>
    <n v="0"/>
    <n v="101"/>
    <s v="_x0000_US"/>
  </r>
  <r>
    <x v="0"/>
    <n v="13.688000000000001"/>
    <n v="-89.181100000000001"/>
    <n v="7368.22"/>
    <n v="0"/>
    <n v="0"/>
    <n v="101"/>
    <s v="_x0000_US"/>
  </r>
  <r>
    <x v="0"/>
    <n v="13.69"/>
    <n v="-89.235299999999995"/>
    <n v="7371.99"/>
    <n v="0"/>
    <n v="0"/>
    <n v="101"/>
    <s v="_x0000_US"/>
  </r>
  <r>
    <x v="0"/>
    <n v="13.6884"/>
    <n v="-89.212000000000003"/>
    <n v="7384.49"/>
    <n v="0"/>
    <n v="0"/>
    <n v="101"/>
    <s v="_x0000_US"/>
  </r>
  <r>
    <x v="0"/>
    <n v="13.691800000000001"/>
    <n v="-89.227199999999996"/>
    <n v="7391.36"/>
    <n v="0"/>
    <n v="0"/>
    <n v="101"/>
    <s v="_x0000_US"/>
  </r>
  <r>
    <x v="0"/>
    <n v="13.6747"/>
    <n v="-89.199200000000005"/>
    <n v="7397.7"/>
    <n v="0"/>
    <n v="0"/>
    <n v="101"/>
    <s v="_x0000_US"/>
  </r>
  <r>
    <x v="0"/>
    <n v="13.6899"/>
    <n v="-89.195800000000006"/>
    <n v="7399.15"/>
    <n v="0"/>
    <n v="0"/>
    <n v="101"/>
    <s v="_x0000_US"/>
  </r>
  <r>
    <x v="0"/>
    <n v="13.686199999999999"/>
    <n v="-89.195400000000006"/>
    <n v="7403.95"/>
    <n v="0"/>
    <n v="0"/>
    <n v="101"/>
    <s v="_x0000_US"/>
  </r>
  <r>
    <x v="0"/>
    <n v="13.689"/>
    <n v="-89.214699999999993"/>
    <n v="7408.16"/>
    <n v="0"/>
    <n v="0"/>
    <n v="101"/>
    <s v="_x0000_US"/>
  </r>
  <r>
    <x v="0"/>
    <n v="13.6875"/>
    <n v="-89.205100000000002"/>
    <n v="7415.21"/>
    <n v="0"/>
    <n v="0"/>
    <n v="101"/>
    <s v="_x0000_US"/>
  </r>
  <r>
    <x v="0"/>
    <n v="13.6891"/>
    <n v="-89.184200000000004"/>
    <n v="7419.49"/>
    <n v="0"/>
    <n v="0"/>
    <n v="101"/>
    <s v="_x0000_US"/>
  </r>
  <r>
    <x v="0"/>
    <n v="13.685499999999999"/>
    <n v="-89.215199999999996"/>
    <n v="7427.02"/>
    <n v="0"/>
    <n v="0"/>
    <n v="101"/>
    <s v="_x0000_US"/>
  </r>
  <r>
    <x v="0"/>
    <n v="13.6906"/>
    <n v="-89.231800000000007"/>
    <n v="7434.7"/>
    <n v="0"/>
    <n v="0"/>
    <n v="101"/>
    <s v="_x0000_US"/>
  </r>
  <r>
    <x v="0"/>
    <n v="13.695"/>
    <n v="-89.182400000000001"/>
    <n v="7438.22"/>
    <n v="0"/>
    <n v="0"/>
    <n v="101"/>
    <s v="_x0000_US"/>
  </r>
  <r>
    <x v="0"/>
    <n v="13.689399999999999"/>
    <n v="-89.207899999999995"/>
    <n v="7438.32"/>
    <n v="0"/>
    <n v="0"/>
    <n v="101"/>
    <s v="_x0000_US"/>
  </r>
  <r>
    <x v="0"/>
    <n v="13.687200000000001"/>
    <n v="-89.180899999999994"/>
    <n v="7443.98"/>
    <n v="0"/>
    <n v="0"/>
    <n v="101"/>
    <s v="_x0000_US"/>
  </r>
  <r>
    <x v="0"/>
    <n v="13.6937"/>
    <n v="-89.175700000000006"/>
    <n v="7449.72"/>
    <n v="0"/>
    <n v="0"/>
    <n v="101"/>
    <s v="_x0000_US"/>
  </r>
  <r>
    <x v="0"/>
    <n v="13.690300000000001"/>
    <n v="-89.187700000000007"/>
    <n v="7450.89"/>
    <n v="0"/>
    <n v="0"/>
    <n v="101"/>
    <s v="_x0000_US"/>
  </r>
  <r>
    <x v="0"/>
    <n v="13.696099999999999"/>
    <n v="-89.171899999999994"/>
    <n v="7459.97"/>
    <n v="0"/>
    <n v="0"/>
    <n v="101"/>
    <s v="_x0000_US"/>
  </r>
  <r>
    <x v="0"/>
    <n v="13.6891"/>
    <n v="-89.2363"/>
    <n v="7461.4"/>
    <n v="0"/>
    <n v="0"/>
    <n v="101"/>
    <s v="_x0000_US"/>
  </r>
  <r>
    <x v="0"/>
    <n v="13.6793"/>
    <n v="-89.197100000000006"/>
    <n v="7465.01"/>
    <n v="0"/>
    <n v="0"/>
    <n v="101"/>
    <s v="_x0000_US"/>
  </r>
  <r>
    <x v="0"/>
    <n v="13.679"/>
    <n v="-89.196600000000004"/>
    <n v="7472.57"/>
    <n v="0"/>
    <n v="0"/>
    <n v="101"/>
    <s v="_x0000_US"/>
  </r>
  <r>
    <x v="0"/>
    <n v="13.6919"/>
    <n v="-89.224299999999999"/>
    <n v="7475.53"/>
    <n v="0"/>
    <n v="0"/>
    <n v="101"/>
    <s v="_x0000_US"/>
  </r>
  <r>
    <x v="0"/>
    <n v="13.6928"/>
    <n v="-89.224299999999999"/>
    <n v="7484.68"/>
    <n v="0"/>
    <n v="0"/>
    <n v="101"/>
    <s v="_x0000_US"/>
  </r>
  <r>
    <x v="0"/>
    <n v="13.6914"/>
    <n v="-89.189499999999995"/>
    <n v="7497.16"/>
    <n v="0"/>
    <n v="0"/>
    <n v="101"/>
    <s v="_x0000_US"/>
  </r>
  <r>
    <x v="0"/>
    <n v="13.689299999999999"/>
    <n v="-89.180899999999994"/>
    <n v="7507.78"/>
    <n v="0"/>
    <n v="0"/>
    <n v="101"/>
    <s v="_x0000_US"/>
  </r>
  <r>
    <x v="0"/>
    <n v="13.686299999999999"/>
    <n v="-89.193799999999996"/>
    <n v="7517.42"/>
    <n v="0"/>
    <n v="0"/>
    <n v="101"/>
    <s v="_x0000_US"/>
  </r>
  <r>
    <x v="0"/>
    <n v="13.687099999999999"/>
    <n v="-89.182900000000004"/>
    <n v="7522.95"/>
    <n v="0"/>
    <n v="0"/>
    <n v="101"/>
    <s v="_x0000_US"/>
  </r>
  <r>
    <x v="0"/>
    <n v="13.689399999999999"/>
    <n v="-89.229399999999998"/>
    <n v="7523.69"/>
    <n v="0"/>
    <n v="0"/>
    <n v="101"/>
    <s v="_x0000_US"/>
  </r>
  <r>
    <x v="0"/>
    <n v="13.6746"/>
    <n v="-89.202600000000004"/>
    <n v="7525.43"/>
    <n v="0"/>
    <n v="0"/>
    <n v="101"/>
    <s v="_x0000_US"/>
  </r>
  <r>
    <x v="0"/>
    <n v="13.6943"/>
    <n v="-89.175200000000004"/>
    <n v="7526.15"/>
    <n v="0"/>
    <n v="0"/>
    <n v="101"/>
    <s v="_x0000_US"/>
  </r>
  <r>
    <x v="0"/>
    <n v="13.69"/>
    <n v="-89.190100000000001"/>
    <n v="7530.36"/>
    <n v="0"/>
    <n v="0"/>
    <n v="101"/>
    <s v="_x0000_US"/>
  </r>
  <r>
    <x v="0"/>
    <n v="13.6912"/>
    <n v="-89.220200000000006"/>
    <n v="7532.87"/>
    <n v="0"/>
    <n v="0"/>
    <n v="101"/>
    <s v="_x0000_US"/>
  </r>
  <r>
    <x v="0"/>
    <n v="13.6952"/>
    <n v="-89.183199999999999"/>
    <n v="7542.24"/>
    <n v="0"/>
    <n v="0"/>
    <n v="101"/>
    <s v="_x0000_US"/>
  </r>
  <r>
    <x v="0"/>
    <n v="13.687099999999999"/>
    <n v="-89.215900000000005"/>
    <n v="7543.23"/>
    <n v="0"/>
    <n v="0"/>
    <n v="101"/>
    <s v="_x0000_US"/>
  </r>
  <r>
    <x v="0"/>
    <n v="13.6746"/>
    <n v="-89.199399999999997"/>
    <n v="7557.06"/>
    <n v="0"/>
    <n v="0"/>
    <n v="101"/>
    <s v="_x0000_US"/>
  </r>
  <r>
    <x v="0"/>
    <n v="13.691800000000001"/>
    <n v="-89.181700000000006"/>
    <n v="7561.17"/>
    <n v="0"/>
    <n v="0"/>
    <n v="101"/>
    <s v="_x0000_US"/>
  </r>
  <r>
    <x v="0"/>
    <n v="13.6911"/>
    <n v="-89.235600000000005"/>
    <n v="7570.82"/>
    <n v="0"/>
    <n v="0"/>
    <n v="101"/>
    <s v="_x0000_US"/>
  </r>
  <r>
    <x v="0"/>
    <n v="13.694100000000001"/>
    <n v="-89.175700000000006"/>
    <n v="7572.31"/>
    <n v="0"/>
    <n v="0"/>
    <n v="101"/>
    <s v="_x0000_US"/>
  </r>
  <r>
    <x v="0"/>
    <n v="13.6875"/>
    <n v="-89.216499999999996"/>
    <n v="7572.73"/>
    <n v="0"/>
    <n v="0"/>
    <n v="101"/>
    <s v="_x0000_US"/>
  </r>
  <r>
    <x v="0"/>
    <n v="13.6976"/>
    <n v="-89.171000000000006"/>
    <n v="7574.79"/>
    <n v="0"/>
    <n v="0"/>
    <n v="101"/>
    <s v="_x0000_US"/>
  </r>
  <r>
    <x v="0"/>
    <n v="13.694100000000001"/>
    <n v="-89.176400000000001"/>
    <n v="7584.12"/>
    <n v="0"/>
    <n v="0"/>
    <n v="101"/>
    <s v="_x0000_US"/>
  </r>
  <r>
    <x v="0"/>
    <n v="13.6869"/>
    <n v="-89.181200000000004"/>
    <n v="7584.26"/>
    <n v="0"/>
    <n v="0"/>
    <n v="101"/>
    <s v="_x0000_US"/>
  </r>
  <r>
    <x v="0"/>
    <n v="13.6905"/>
    <n v="-89.186400000000006"/>
    <n v="7589.41"/>
    <n v="0"/>
    <n v="0"/>
    <n v="101"/>
    <s v="_x0000_US"/>
  </r>
  <r>
    <x v="0"/>
    <n v="13.686500000000001"/>
    <n v="-89.203699999999998"/>
    <n v="7591.71"/>
    <n v="0"/>
    <n v="0"/>
    <n v="101"/>
    <s v="_x0000_US"/>
  </r>
  <r>
    <x v="0"/>
    <n v="13.685600000000001"/>
    <n v="-89.215800000000002"/>
    <n v="7593.68"/>
    <n v="0"/>
    <n v="0"/>
    <n v="101"/>
    <s v="_x0000_US"/>
  </r>
  <r>
    <x v="0"/>
    <n v="13.6858"/>
    <n v="-89.212299999999999"/>
    <n v="7612.23"/>
    <n v="0"/>
    <n v="0"/>
    <n v="101"/>
    <s v="_x0000_US"/>
  </r>
  <r>
    <x v="0"/>
    <n v="13.6873"/>
    <n v="-89.194900000000004"/>
    <n v="7612.44"/>
    <n v="0"/>
    <n v="0"/>
    <n v="101"/>
    <s v="_x0000_US"/>
  </r>
  <r>
    <x v="0"/>
    <n v="13.692600000000001"/>
    <n v="-89.224999999999994"/>
    <n v="7620"/>
    <n v="0"/>
    <n v="0"/>
    <n v="101"/>
    <s v="_x0000_US"/>
  </r>
  <r>
    <x v="0"/>
    <n v="13.6913"/>
    <n v="-89.185699999999997"/>
    <n v="7624.86"/>
    <n v="0"/>
    <n v="0"/>
    <n v="101"/>
    <s v="_x0000_US"/>
  </r>
  <r>
    <x v="0"/>
    <n v="13.6904"/>
    <n v="-89.235200000000006"/>
    <n v="7626.72"/>
    <n v="0"/>
    <n v="0"/>
    <n v="101"/>
    <s v="_x0000_US"/>
  </r>
  <r>
    <x v="0"/>
    <n v="13.687200000000001"/>
    <n v="-89.197800000000001"/>
    <n v="7632.75"/>
    <n v="0"/>
    <n v="0"/>
    <n v="101"/>
    <s v="_x0000_US"/>
  </r>
  <r>
    <x v="0"/>
    <n v="13.691000000000001"/>
    <n v="-89.219800000000006"/>
    <n v="7633.34"/>
    <n v="0"/>
    <n v="0"/>
    <n v="101"/>
    <s v="_x0000_US"/>
  </r>
  <r>
    <x v="0"/>
    <n v="13.689"/>
    <n v="-89.236000000000004"/>
    <n v="7636.46"/>
    <n v="0"/>
    <n v="0"/>
    <n v="101"/>
    <s v="_x0000_US"/>
  </r>
  <r>
    <x v="0"/>
    <n v="13.687099999999999"/>
    <n v="-89.183400000000006"/>
    <n v="7637.08"/>
    <n v="0"/>
    <n v="0"/>
    <n v="101"/>
    <s v="_x0000_US"/>
  </r>
  <r>
    <x v="0"/>
    <n v="13.68"/>
    <n v="-89.196399999999997"/>
    <n v="7641.1"/>
    <n v="0"/>
    <n v="0"/>
    <n v="101"/>
    <s v="_x0000_US"/>
  </r>
  <r>
    <x v="0"/>
    <n v="13.6876"/>
    <n v="-89.181600000000003"/>
    <n v="7641.39"/>
    <n v="0"/>
    <n v="0"/>
    <n v="101"/>
    <s v="_x0000_US"/>
  </r>
  <r>
    <x v="0"/>
    <n v="13.6973"/>
    <n v="-89.171599999999998"/>
    <n v="7645.06"/>
    <n v="0"/>
    <n v="0"/>
    <n v="101"/>
    <s v="_x0000_US"/>
  </r>
  <r>
    <x v="0"/>
    <n v="13.6957"/>
    <n v="-89.173400000000001"/>
    <n v="7650.88"/>
    <n v="0"/>
    <n v="0"/>
    <n v="101"/>
    <s v="_x0000_US"/>
  </r>
  <r>
    <x v="0"/>
    <n v="13.691599999999999"/>
    <n v="-89.179699999999997"/>
    <n v="7661.34"/>
    <n v="0"/>
    <n v="0"/>
    <n v="101"/>
    <s v="_x0000_US"/>
  </r>
  <r>
    <x v="0"/>
    <n v="13.690799999999999"/>
    <n v="-89.190700000000007"/>
    <n v="7668.26"/>
    <n v="0"/>
    <n v="0"/>
    <n v="101"/>
    <s v="_x0000_US"/>
  </r>
  <r>
    <x v="0"/>
    <n v="13.6905"/>
    <n v="-89.228099999999998"/>
    <n v="7676.46"/>
    <n v="0"/>
    <n v="0"/>
    <n v="101"/>
    <s v="_x0000_US"/>
  </r>
  <r>
    <x v="0"/>
    <n v="13.686"/>
    <n v="-89.216300000000004"/>
    <n v="7676.55"/>
    <n v="0"/>
    <n v="0"/>
    <n v="101"/>
    <s v="_x0000_US"/>
  </r>
  <r>
    <x v="0"/>
    <n v="13.6936"/>
    <n v="-89.172899999999998"/>
    <n v="7677.01"/>
    <n v="0"/>
    <n v="0"/>
    <n v="101"/>
    <s v="_x0000_US"/>
  </r>
  <r>
    <x v="0"/>
    <n v="13.6919"/>
    <n v="-89.224699999999999"/>
    <n v="7678.68"/>
    <n v="0"/>
    <n v="0"/>
    <n v="101"/>
    <s v="_x0000_US"/>
  </r>
  <r>
    <x v="0"/>
    <n v="13.6852"/>
    <n v="-89.215299999999999"/>
    <n v="7682.33"/>
    <n v="0"/>
    <n v="0"/>
    <n v="101"/>
    <s v="_x0000_US"/>
  </r>
  <r>
    <x v="0"/>
    <n v="13.687200000000001"/>
    <n v="-89.191400000000002"/>
    <n v="7682.83"/>
    <n v="0"/>
    <n v="0"/>
    <n v="101"/>
    <s v="_x0000_US"/>
  </r>
  <r>
    <x v="0"/>
    <n v="13.6914"/>
    <n v="-89.226100000000002"/>
    <n v="7690.59"/>
    <n v="0"/>
    <n v="0"/>
    <n v="101"/>
    <s v="_x0000_US"/>
  </r>
  <r>
    <x v="0"/>
    <n v="13.6783"/>
    <n v="-89.245400000000004"/>
    <n v="7695.94"/>
    <n v="0"/>
    <n v="0"/>
    <n v="101"/>
    <s v="_x0000_US"/>
  </r>
  <r>
    <x v="0"/>
    <n v="13.690899999999999"/>
    <n v="-89.190299999999993"/>
    <n v="7697.99"/>
    <n v="0"/>
    <n v="0"/>
    <n v="101"/>
    <s v="_x0000_US"/>
  </r>
  <r>
    <x v="0"/>
    <n v="13.690899999999999"/>
    <n v="-89.194500000000005"/>
    <n v="7708.22"/>
    <n v="0"/>
    <n v="0"/>
    <n v="101"/>
    <s v="_x0000_US"/>
  </r>
  <r>
    <x v="0"/>
    <n v="13.695499999999999"/>
    <n v="-89.173599999999993"/>
    <n v="7714"/>
    <n v="0"/>
    <n v="0"/>
    <n v="101"/>
    <s v="_x0000_US"/>
  </r>
  <r>
    <x v="0"/>
    <n v="13.6897"/>
    <n v="-89.177800000000005"/>
    <n v="7715.04"/>
    <n v="0"/>
    <n v="0"/>
    <n v="101"/>
    <s v="_x0000_US"/>
  </r>
  <r>
    <x v="0"/>
    <n v="13.690300000000001"/>
    <n v="-89.1892"/>
    <n v="7720.81"/>
    <n v="0"/>
    <n v="0"/>
    <n v="101"/>
    <s v="_x0000_US"/>
  </r>
  <r>
    <x v="0"/>
    <n v="13.692600000000001"/>
    <n v="-89.179299999999998"/>
    <n v="7722.08"/>
    <n v="0"/>
    <n v="0"/>
    <n v="101"/>
    <s v="_x0000_US"/>
  </r>
  <r>
    <x v="0"/>
    <n v="13.6777"/>
    <n v="-89.247399999999999"/>
    <n v="7722.23"/>
    <n v="0"/>
    <n v="0"/>
    <n v="101"/>
    <s v="_x0000_US"/>
  </r>
  <r>
    <x v="0"/>
    <n v="13.6922"/>
    <n v="-89.222499999999997"/>
    <n v="7726.18"/>
    <n v="0"/>
    <n v="0"/>
    <n v="101"/>
    <s v="_x0000_US"/>
  </r>
  <r>
    <x v="0"/>
    <n v="13.685499999999999"/>
    <n v="-89.201499999999996"/>
    <n v="7726.43"/>
    <n v="0"/>
    <n v="0"/>
    <n v="101"/>
    <s v="_x0000_US"/>
  </r>
  <r>
    <x v="0"/>
    <n v="13.6968"/>
    <n v="-89.1721"/>
    <n v="7729.5"/>
    <n v="0"/>
    <n v="0"/>
    <n v="101"/>
    <s v="_x0000_US"/>
  </r>
  <r>
    <x v="0"/>
    <n v="13.694599999999999"/>
    <n v="-89.185299999999998"/>
    <n v="7734.28"/>
    <n v="0"/>
    <n v="0"/>
    <n v="101"/>
    <s v="_x0000_US"/>
  </r>
  <r>
    <x v="0"/>
    <n v="13.6881"/>
    <n v="-89.205100000000002"/>
    <n v="7734.31"/>
    <n v="0"/>
    <n v="0"/>
    <n v="101"/>
    <s v="_x0000_US"/>
  </r>
  <r>
    <x v="0"/>
    <n v="13.691000000000001"/>
    <n v="-89.234700000000004"/>
    <n v="7734.87"/>
    <n v="0"/>
    <n v="0"/>
    <n v="101"/>
    <s v="_x0000_US"/>
  </r>
  <r>
    <x v="0"/>
    <n v="13.6904"/>
    <n v="-89.188900000000004"/>
    <n v="7738.85"/>
    <n v="0"/>
    <n v="0"/>
    <n v="101"/>
    <s v="_x0000_US"/>
  </r>
  <r>
    <x v="0"/>
    <n v="13.6891"/>
    <n v="-89.178799999999995"/>
    <n v="7739.4"/>
    <n v="0"/>
    <n v="0"/>
    <n v="101"/>
    <s v="_x0000_US"/>
  </r>
  <r>
    <x v="0"/>
    <n v="13.674799999999999"/>
    <n v="-89.199700000000007"/>
    <n v="7745.41"/>
    <n v="0"/>
    <n v="0"/>
    <n v="101"/>
    <s v="_x0000_US"/>
  </r>
  <r>
    <x v="0"/>
    <n v="13.6805"/>
    <n v="-89.1982"/>
    <n v="7747.11"/>
    <n v="0"/>
    <n v="0"/>
    <n v="101"/>
    <s v="_x0000_US"/>
  </r>
  <r>
    <x v="0"/>
    <n v="13.6958"/>
    <n v="-89.166300000000007"/>
    <n v="7748.38"/>
    <n v="0"/>
    <n v="0"/>
    <n v="101"/>
    <s v="_x0000_US"/>
  </r>
  <r>
    <x v="0"/>
    <n v="13.6896"/>
    <n v="-89.206599999999995"/>
    <n v="7751.16"/>
    <n v="0"/>
    <n v="0"/>
    <n v="101"/>
    <s v="_x0000_US"/>
  </r>
  <r>
    <x v="0"/>
    <n v="13.6898"/>
    <n v="-89.189599999999999"/>
    <n v="7762.72"/>
    <n v="0"/>
    <n v="0"/>
    <n v="101"/>
    <s v="_x0000_US"/>
  </r>
  <r>
    <x v="0"/>
    <n v="13.687200000000001"/>
    <n v="-89.197900000000004"/>
    <n v="7762.95"/>
    <n v="0"/>
    <n v="0"/>
    <n v="101"/>
    <s v="_x0000_US"/>
  </r>
  <r>
    <x v="0"/>
    <n v="13.6952"/>
    <n v="-89.173400000000001"/>
    <n v="7769.77"/>
    <n v="0"/>
    <n v="0"/>
    <n v="101"/>
    <s v="_x0000_US"/>
  </r>
  <r>
    <x v="0"/>
    <n v="13.6912"/>
    <n v="-89.232699999999994"/>
    <n v="7777.23"/>
    <n v="0"/>
    <n v="0"/>
    <n v="101"/>
    <s v="_x0000_US"/>
  </r>
  <r>
    <x v="0"/>
    <n v="13.6853"/>
    <n v="-89.192899999999995"/>
    <n v="7779.32"/>
    <n v="0"/>
    <n v="0"/>
    <n v="101"/>
    <s v="_x0000_US"/>
  </r>
  <r>
    <x v="0"/>
    <n v="13.690899999999999"/>
    <n v="-89.183599999999998"/>
    <n v="7780.93"/>
    <n v="0"/>
    <n v="0"/>
    <n v="101"/>
    <s v="_x0000_US"/>
  </r>
  <r>
    <x v="0"/>
    <n v="13.686999999999999"/>
    <n v="-89.197500000000005"/>
    <n v="7782.76"/>
    <n v="0"/>
    <n v="0"/>
    <n v="101"/>
    <s v="_x0000_US"/>
  </r>
  <r>
    <x v="0"/>
    <n v="13.687799999999999"/>
    <n v="-89.179699999999997"/>
    <n v="7784.59"/>
    <n v="0"/>
    <n v="0"/>
    <n v="101"/>
    <s v="_x0000_US"/>
  </r>
  <r>
    <x v="0"/>
    <n v="13.691700000000001"/>
    <n v="-89.185299999999998"/>
    <n v="7784.94"/>
    <n v="0"/>
    <n v="0"/>
    <n v="101"/>
    <s v="_x0000_US"/>
  </r>
  <r>
    <x v="0"/>
    <n v="13.6889"/>
    <n v="-89.198499999999996"/>
    <n v="7785.78"/>
    <n v="0"/>
    <n v="0"/>
    <n v="101"/>
    <s v="_x0000_US"/>
  </r>
  <r>
    <x v="0"/>
    <n v="13.691000000000001"/>
    <n v="-89.234399999999994"/>
    <n v="7787.94"/>
    <n v="0"/>
    <n v="0"/>
    <n v="101"/>
    <s v="_x0000_US"/>
  </r>
  <r>
    <x v="0"/>
    <n v="13.6913"/>
    <n v="-89.234099999999998"/>
    <n v="7788.08"/>
    <n v="0"/>
    <n v="0"/>
    <n v="101"/>
    <s v="_x0000_US"/>
  </r>
  <r>
    <x v="0"/>
    <n v="13.6898"/>
    <n v="-89.190399999999997"/>
    <n v="7793.18"/>
    <n v="0"/>
    <n v="0"/>
    <n v="101"/>
    <s v="_x0000_US"/>
  </r>
  <r>
    <x v="0"/>
    <n v="13.691000000000001"/>
    <n v="-89.234399999999994"/>
    <n v="7793.25"/>
    <n v="0"/>
    <n v="0"/>
    <n v="101"/>
    <s v="_x0000_US"/>
  </r>
  <r>
    <x v="0"/>
    <n v="13.690899999999999"/>
    <n v="-89.229299999999995"/>
    <n v="7793.7"/>
    <n v="0"/>
    <n v="0"/>
    <n v="101"/>
    <s v="_x0000_US"/>
  </r>
  <r>
    <x v="0"/>
    <n v="13.691700000000001"/>
    <n v="-89.186000000000007"/>
    <n v="7797.24"/>
    <n v="0"/>
    <n v="0"/>
    <n v="101"/>
    <s v="_x0000_US"/>
  </r>
  <r>
    <x v="0"/>
    <n v="13.6898"/>
    <n v="-89.194000000000003"/>
    <n v="7800.4"/>
    <n v="0"/>
    <n v="0"/>
    <n v="101"/>
    <s v="_x0000_US"/>
  </r>
  <r>
    <x v="0"/>
    <n v="13.6943"/>
    <n v="-89.186300000000003"/>
    <n v="7801.72"/>
    <n v="0"/>
    <n v="0"/>
    <n v="101"/>
    <s v="_x0000_US"/>
  </r>
  <r>
    <x v="0"/>
    <n v="13.6874"/>
    <n v="-89.195700000000002"/>
    <n v="7801.73"/>
    <n v="0"/>
    <n v="0"/>
    <n v="101"/>
    <s v="_x0000_US"/>
  </r>
  <r>
    <x v="0"/>
    <n v="13.6769"/>
    <n v="-89.248400000000004"/>
    <n v="7802.55"/>
    <n v="0"/>
    <n v="0"/>
    <n v="101"/>
    <s v="_x0000_US"/>
  </r>
  <r>
    <x v="0"/>
    <n v="13.685600000000001"/>
    <n v="-89.211200000000005"/>
    <n v="7802.78"/>
    <n v="0"/>
    <n v="0"/>
    <n v="101"/>
    <s v="_x0000_US"/>
  </r>
  <r>
    <x v="0"/>
    <n v="13.685"/>
    <n v="-89.211500000000001"/>
    <n v="7813.21"/>
    <n v="0"/>
    <n v="0"/>
    <n v="101"/>
    <s v="_x0000_US"/>
  </r>
  <r>
    <x v="0"/>
    <n v="13.6852"/>
    <n v="-89.212800000000001"/>
    <n v="7814.8"/>
    <n v="0"/>
    <n v="0"/>
    <n v="101"/>
    <s v="_x0000_US"/>
  </r>
  <r>
    <x v="0"/>
    <n v="13.694900000000001"/>
    <n v="-89.175399999999996"/>
    <n v="7830.17"/>
    <n v="0"/>
    <n v="0"/>
    <n v="101"/>
    <s v="_x0000_US"/>
  </r>
  <r>
    <x v="0"/>
    <n v="13.6891"/>
    <n v="-89.203000000000003"/>
    <n v="7843.31"/>
    <n v="0"/>
    <n v="0"/>
    <n v="101"/>
    <s v="_x0000_US"/>
  </r>
  <r>
    <x v="0"/>
    <n v="13.6875"/>
    <n v="-89.214200000000005"/>
    <n v="7847.09"/>
    <n v="0"/>
    <n v="0"/>
    <n v="101"/>
    <s v="_x0000_US"/>
  </r>
  <r>
    <x v="0"/>
    <n v="13.692600000000001"/>
    <n v="-89.175700000000006"/>
    <n v="7847.86"/>
    <n v="0"/>
    <n v="0"/>
    <n v="101"/>
    <s v="_x0000_US"/>
  </r>
  <r>
    <x v="0"/>
    <n v="13.689399999999999"/>
    <n v="-89.197299999999998"/>
    <n v="7851.72"/>
    <n v="0"/>
    <n v="0"/>
    <n v="101"/>
    <s v="_x0000_US"/>
  </r>
  <r>
    <x v="0"/>
    <n v="13.6945"/>
    <n v="-89.185400000000001"/>
    <n v="7852.28"/>
    <n v="0"/>
    <n v="0"/>
    <n v="101"/>
    <s v="_x0000_US"/>
  </r>
  <r>
    <x v="0"/>
    <n v="13.6945"/>
    <n v="-89.182699999999997"/>
    <n v="7858.04"/>
    <n v="0"/>
    <n v="0"/>
    <n v="101"/>
    <s v="_x0000_US"/>
  </r>
  <r>
    <x v="0"/>
    <n v="13.6934"/>
    <n v="-89.173199999999994"/>
    <n v="7858.23"/>
    <n v="0"/>
    <n v="0"/>
    <n v="101"/>
    <s v="_x0000_US"/>
  </r>
  <r>
    <x v="0"/>
    <n v="13.6891"/>
    <n v="-89.178399999999996"/>
    <n v="7858.34"/>
    <n v="0"/>
    <n v="0"/>
    <n v="101"/>
    <s v="_x0000_US"/>
  </r>
  <r>
    <x v="0"/>
    <n v="13.6922"/>
    <n v="-89.225800000000007"/>
    <n v="7858.99"/>
    <n v="0"/>
    <n v="0"/>
    <n v="101"/>
    <s v="_x0000_US"/>
  </r>
  <r>
    <x v="0"/>
    <n v="13.6774"/>
    <n v="-89.248000000000005"/>
    <n v="7865.37"/>
    <n v="0"/>
    <n v="0"/>
    <n v="101"/>
    <s v="_x0000_US"/>
  </r>
  <r>
    <x v="0"/>
    <n v="13.6911"/>
    <n v="-89.228700000000003"/>
    <n v="7866.73"/>
    <n v="0"/>
    <n v="0"/>
    <n v="101"/>
    <s v="_x0000_US"/>
  </r>
  <r>
    <x v="0"/>
    <n v="13.6919"/>
    <n v="-89.224199999999996"/>
    <n v="7867.89"/>
    <n v="0"/>
    <n v="0"/>
    <n v="101"/>
    <s v="_x0000_US"/>
  </r>
  <r>
    <x v="0"/>
    <n v="13.689299999999999"/>
    <n v="-89.236199999999997"/>
    <n v="7870.73"/>
    <n v="0"/>
    <n v="0"/>
    <n v="101"/>
    <s v="_x0000_US"/>
  </r>
  <r>
    <x v="0"/>
    <n v="13.6907"/>
    <n v="-89.190700000000007"/>
    <n v="7873.49"/>
    <n v="0"/>
    <n v="0"/>
    <n v="101"/>
    <s v="_x0000_US"/>
  </r>
  <r>
    <x v="0"/>
    <n v="13.6911"/>
    <n v="-89.190200000000004"/>
    <n v="7874.4"/>
    <n v="0"/>
    <n v="0"/>
    <n v="101"/>
    <s v="_x0000_US"/>
  </r>
  <r>
    <x v="0"/>
    <n v="13.687200000000001"/>
    <n v="-89.194900000000004"/>
    <n v="7879.47"/>
    <n v="0"/>
    <n v="0"/>
    <n v="101"/>
    <s v="_x0000_US"/>
  </r>
  <r>
    <x v="0"/>
    <n v="13.6922"/>
    <n v="-89.225099999999998"/>
    <n v="7880.76"/>
    <n v="0"/>
    <n v="0"/>
    <n v="101"/>
    <s v="_x0000_US"/>
  </r>
  <r>
    <x v="0"/>
    <n v="13.674799999999999"/>
    <n v="-89.202500000000001"/>
    <n v="7881.63"/>
    <n v="0"/>
    <n v="0"/>
    <n v="101"/>
    <s v="_x0000_US"/>
  </r>
  <r>
    <x v="0"/>
    <n v="13.688000000000001"/>
    <n v="-89.215800000000002"/>
    <n v="7887.83"/>
    <n v="0"/>
    <n v="0"/>
    <n v="101"/>
    <s v="_x0000_US"/>
  </r>
  <r>
    <x v="0"/>
    <n v="13.6852"/>
    <n v="-89.194100000000006"/>
    <n v="7888.12"/>
    <n v="0"/>
    <n v="0"/>
    <n v="101"/>
    <s v="_x0000_US"/>
  </r>
  <r>
    <x v="0"/>
    <n v="13.6868"/>
    <n v="-89.192899999999995"/>
    <n v="7889.88"/>
    <n v="0"/>
    <n v="0"/>
    <n v="101"/>
    <s v="_x0000_US"/>
  </r>
  <r>
    <x v="0"/>
    <n v="13.687200000000001"/>
    <n v="-89.214600000000004"/>
    <n v="7890.19"/>
    <n v="0"/>
    <n v="0"/>
    <n v="101"/>
    <s v="_x0000_US"/>
  </r>
  <r>
    <x v="0"/>
    <n v="13.6793"/>
    <n v="-89.197100000000006"/>
    <n v="7890.23"/>
    <n v="0"/>
    <n v="0"/>
    <n v="101"/>
    <s v="_x0000_US"/>
  </r>
  <r>
    <x v="0"/>
    <n v="13.6934"/>
    <n v="-89.1738"/>
    <n v="7892.29"/>
    <n v="0"/>
    <n v="0"/>
    <n v="101"/>
    <s v="_x0000_US"/>
  </r>
  <r>
    <x v="0"/>
    <n v="13.6913"/>
    <n v="-89.233699999999999"/>
    <n v="7893.22"/>
    <n v="0"/>
    <n v="0"/>
    <n v="101"/>
    <s v="_x0000_US"/>
  </r>
  <r>
    <x v="0"/>
    <n v="13.6846"/>
    <n v="-89.216800000000006"/>
    <n v="7903.11"/>
    <n v="0"/>
    <n v="0"/>
    <n v="101"/>
    <s v="_x0000_US"/>
  </r>
  <r>
    <x v="0"/>
    <n v="13.6913"/>
    <n v="-89.189499999999995"/>
    <n v="7903.18"/>
    <n v="0"/>
    <n v="0"/>
    <n v="101"/>
    <s v="_x0000_US"/>
  </r>
  <r>
    <x v="0"/>
    <n v="13.673"/>
    <n v="-89.203500000000005"/>
    <n v="7913.24"/>
    <n v="0"/>
    <n v="0"/>
    <n v="101"/>
    <s v="_x0000_US"/>
  </r>
  <r>
    <x v="0"/>
    <n v="13.6791"/>
    <n v="-89.196399999999997"/>
    <n v="7916.24"/>
    <n v="0"/>
    <n v="0"/>
    <n v="101"/>
    <s v="_x0000_US"/>
  </r>
  <r>
    <x v="0"/>
    <n v="13.6944"/>
    <n v="-89.188999999999993"/>
    <n v="7917.24"/>
    <n v="0"/>
    <n v="0"/>
    <n v="101"/>
    <s v="_x0000_US"/>
  </r>
  <r>
    <x v="0"/>
    <n v="13.689399999999999"/>
    <n v="-89.207499999999996"/>
    <n v="7917.32"/>
    <n v="0"/>
    <n v="0"/>
    <n v="101"/>
    <s v="_x0000_US"/>
  </r>
  <r>
    <x v="0"/>
    <n v="13.691000000000001"/>
    <n v="-89.190600000000003"/>
    <n v="7918.09"/>
    <n v="0"/>
    <n v="0"/>
    <n v="101"/>
    <s v="_x0000_US"/>
  </r>
  <r>
    <x v="0"/>
    <n v="13.6889"/>
    <n v="-89.19"/>
    <n v="7920.2"/>
    <n v="0"/>
    <n v="0"/>
    <n v="101"/>
    <s v="_x0000_US"/>
  </r>
  <r>
    <x v="0"/>
    <n v="13.687200000000001"/>
    <n v="-89.211100000000002"/>
    <n v="7921.79"/>
    <n v="0"/>
    <n v="0"/>
    <n v="101"/>
    <s v="_x0000_US"/>
  </r>
  <r>
    <x v="0"/>
    <n v="13.6906"/>
    <n v="-89.196200000000005"/>
    <n v="7924.05"/>
    <n v="0"/>
    <n v="0"/>
    <n v="101"/>
    <s v="_x0000_US"/>
  </r>
  <r>
    <x v="0"/>
    <n v="13.6876"/>
    <n v="-89.196799999999996"/>
    <n v="7924.54"/>
    <n v="0"/>
    <n v="0"/>
    <n v="101"/>
    <s v="_x0000_US"/>
  </r>
  <r>
    <x v="0"/>
    <n v="13.690300000000001"/>
    <n v="-89.177700000000002"/>
    <n v="7926.39"/>
    <n v="0"/>
    <n v="0"/>
    <n v="101"/>
    <s v="_x0000_US"/>
  </r>
  <r>
    <x v="0"/>
    <n v="13.694000000000001"/>
    <n v="-89.1751"/>
    <n v="7933.94"/>
    <n v="0"/>
    <n v="0"/>
    <n v="101"/>
    <s v="_x0000_US"/>
  </r>
  <r>
    <x v="0"/>
    <n v="13.6854"/>
    <n v="-89.193600000000004"/>
    <n v="7935.26"/>
    <n v="0"/>
    <n v="0"/>
    <n v="101"/>
    <s v="_x0000_US"/>
  </r>
  <r>
    <x v="0"/>
    <n v="13.6965"/>
    <n v="-89.171499999999995"/>
    <n v="7935.33"/>
    <n v="0"/>
    <n v="0"/>
    <n v="101"/>
    <s v="_x0000_US"/>
  </r>
  <r>
    <x v="0"/>
    <n v="13.6966"/>
    <n v="-89.171800000000005"/>
    <n v="7936.51"/>
    <n v="0"/>
    <n v="0"/>
    <n v="101"/>
    <s v="_x0000_US"/>
  </r>
  <r>
    <x v="0"/>
    <n v="13.6921"/>
    <n v="-89.196600000000004"/>
    <n v="7937"/>
    <n v="0"/>
    <n v="0"/>
    <n v="101"/>
    <s v="_x0000_US"/>
  </r>
  <r>
    <x v="0"/>
    <n v="13.6889"/>
    <n v="-89.236099999999993"/>
    <n v="7938.44"/>
    <n v="0"/>
    <n v="0"/>
    <n v="101"/>
    <s v="_x0000_US"/>
  </r>
  <r>
    <x v="0"/>
    <n v="13.6875"/>
    <n v="-89.194500000000005"/>
    <n v="7940.13"/>
    <n v="0"/>
    <n v="0"/>
    <n v="101"/>
    <s v="_x0000_US"/>
  </r>
  <r>
    <x v="0"/>
    <n v="13.6919"/>
    <n v="-89.226600000000005"/>
    <n v="7941.55"/>
    <n v="0"/>
    <n v="0"/>
    <n v="101"/>
    <s v="_x0000_US"/>
  </r>
  <r>
    <x v="0"/>
    <n v="13.694699999999999"/>
    <n v="-89.174199999999999"/>
    <n v="7942.13"/>
    <n v="0"/>
    <n v="0"/>
    <n v="101"/>
    <s v="_x0000_US"/>
  </r>
  <r>
    <x v="0"/>
    <n v="13.6911"/>
    <n v="-89.232600000000005"/>
    <n v="7944.99"/>
    <n v="0"/>
    <n v="0"/>
    <n v="101"/>
    <s v="_x0000_US"/>
  </r>
  <r>
    <x v="0"/>
    <n v="13.6898"/>
    <n v="-89.189300000000003"/>
    <n v="7946.55"/>
    <n v="0"/>
    <n v="0"/>
    <n v="101"/>
    <s v="_x0000_US"/>
  </r>
  <r>
    <x v="0"/>
    <n v="13.685700000000001"/>
    <n v="-89.212100000000007"/>
    <n v="7946.55"/>
    <n v="0"/>
    <n v="0"/>
    <n v="101"/>
    <s v="_x0000_US"/>
  </r>
  <r>
    <x v="0"/>
    <n v="13.688000000000001"/>
    <n v="-89.237300000000005"/>
    <n v="7949.21"/>
    <n v="0"/>
    <n v="0"/>
    <n v="101"/>
    <s v="_x0000_US"/>
  </r>
  <r>
    <x v="0"/>
    <n v="13.691800000000001"/>
    <n v="-89.2209"/>
    <n v="7950.3"/>
    <n v="0"/>
    <n v="0"/>
    <n v="101"/>
    <s v="_x0000_US"/>
  </r>
  <r>
    <x v="0"/>
    <n v="13.684900000000001"/>
    <n v="-89.216499999999996"/>
    <n v="7952.88"/>
    <n v="0"/>
    <n v="0"/>
    <n v="101"/>
    <s v="_x0000_US"/>
  </r>
  <r>
    <x v="0"/>
    <n v="13.6905"/>
    <n v="-89.195400000000006"/>
    <n v="7953.55"/>
    <n v="0"/>
    <n v="0"/>
    <n v="101"/>
    <s v="_x0000_US"/>
  </r>
  <r>
    <x v="0"/>
    <n v="13.686999999999999"/>
    <n v="-89.216999999999999"/>
    <n v="7956.24"/>
    <n v="0"/>
    <n v="0"/>
    <n v="101"/>
    <s v="_x0000_US"/>
  </r>
  <r>
    <x v="0"/>
    <n v="13.6874"/>
    <n v="-89.194699999999997"/>
    <n v="7958.85"/>
    <n v="0"/>
    <n v="0"/>
    <n v="101"/>
    <s v="_x0000_US"/>
  </r>
  <r>
    <x v="0"/>
    <n v="13.6915"/>
    <n v="-89.193399999999997"/>
    <n v="7960.72"/>
    <n v="0"/>
    <n v="0"/>
    <n v="101"/>
    <s v="_x0000_US"/>
  </r>
  <r>
    <x v="0"/>
    <n v="13.6883"/>
    <n v="-89.215500000000006"/>
    <n v="7970.78"/>
    <n v="0"/>
    <n v="0"/>
    <n v="101"/>
    <s v="_x0000_US"/>
  </r>
  <r>
    <x v="0"/>
    <n v="13.690099999999999"/>
    <n v="-89.197500000000005"/>
    <n v="7975.76"/>
    <n v="0"/>
    <n v="0"/>
    <n v="101"/>
    <s v="_x0000_US"/>
  </r>
  <r>
    <x v="0"/>
    <n v="13.692299999999999"/>
    <n v="-89.177899999999994"/>
    <n v="7976.34"/>
    <n v="0"/>
    <n v="0"/>
    <n v="101"/>
    <s v="_x0000_US"/>
  </r>
  <r>
    <x v="0"/>
    <n v="13.6723"/>
    <n v="-89.204599999999999"/>
    <n v="7980.4"/>
    <n v="0"/>
    <n v="0"/>
    <n v="101"/>
    <s v="_x0000_US"/>
  </r>
  <r>
    <x v="0"/>
    <n v="13.6915"/>
    <n v="-89.193399999999997"/>
    <n v="7981.62"/>
    <n v="0"/>
    <n v="0"/>
    <n v="101"/>
    <s v="_x0000_US"/>
  </r>
  <r>
    <x v="0"/>
    <n v="13.694599999999999"/>
    <n v="-89.185500000000005"/>
    <n v="7985.61"/>
    <n v="0"/>
    <n v="0"/>
    <n v="101"/>
    <s v="_x0000_US"/>
  </r>
  <r>
    <x v="0"/>
    <n v="13.674899999999999"/>
    <n v="-89.251499999999993"/>
    <n v="7987.34"/>
    <n v="0"/>
    <n v="0"/>
    <n v="101"/>
    <s v="_x0000_US"/>
  </r>
  <r>
    <x v="0"/>
    <n v="13.6935"/>
    <n v="-89.1768"/>
    <n v="7988.88"/>
    <n v="0"/>
    <n v="0"/>
    <n v="101"/>
    <s v="_x0000_US"/>
  </r>
  <r>
    <x v="0"/>
    <n v="13.689399999999999"/>
    <n v="-89.229299999999995"/>
    <n v="7990.99"/>
    <n v="0"/>
    <n v="0"/>
    <n v="101"/>
    <s v="_x0000_US"/>
  </r>
  <r>
    <x v="0"/>
    <n v="13.687099999999999"/>
    <n v="-89.212199999999996"/>
    <n v="7993.17"/>
    <n v="0"/>
    <n v="0"/>
    <n v="101"/>
    <s v="_x0000_US"/>
  </r>
  <r>
    <x v="0"/>
    <n v="13.6845"/>
    <n v="-89.211600000000004"/>
    <n v="7995.64"/>
    <n v="0"/>
    <n v="0"/>
    <n v="101"/>
    <s v="_x0000_US"/>
  </r>
  <r>
    <x v="0"/>
    <n v="13.6915"/>
    <n v="-89.233400000000003"/>
    <n v="7996.38"/>
    <n v="0"/>
    <n v="0"/>
    <n v="101"/>
    <s v="_x0000_US"/>
  </r>
  <r>
    <x v="0"/>
    <n v="13.6896"/>
    <n v="-89.188800000000001"/>
    <n v="7999.05"/>
    <n v="0"/>
    <n v="0"/>
    <n v="101"/>
    <s v="_x0000_US"/>
  </r>
  <r>
    <x v="0"/>
    <n v="13.6852"/>
    <n v="-89.217200000000005"/>
    <n v="8000.65"/>
    <n v="0"/>
    <n v="0"/>
    <n v="101"/>
    <s v="_x0000_US"/>
  </r>
  <r>
    <x v="0"/>
    <n v="13.6753"/>
    <n v="-89.25"/>
    <n v="8006.98"/>
    <n v="0"/>
    <n v="0"/>
    <n v="101"/>
    <s v="_x0000_US"/>
  </r>
  <r>
    <x v="0"/>
    <n v="13.686"/>
    <n v="-89.193899999999999"/>
    <n v="8008.15"/>
    <n v="0"/>
    <n v="0"/>
    <n v="101"/>
    <s v="_x0000_US"/>
  </r>
  <r>
    <x v="0"/>
    <n v="13.687200000000001"/>
    <n v="-89.197299999999998"/>
    <n v="8011.36"/>
    <n v="0"/>
    <n v="0"/>
    <n v="101"/>
    <s v="_x0000_US"/>
  </r>
  <r>
    <x v="0"/>
    <n v="13.6793"/>
    <n v="-89.197100000000006"/>
    <n v="8012.2"/>
    <n v="0"/>
    <n v="0"/>
    <n v="101"/>
    <s v="_x0000_US"/>
  </r>
  <r>
    <x v="0"/>
    <n v="13.688499999999999"/>
    <n v="-89.215999999999994"/>
    <n v="8013.2"/>
    <n v="0"/>
    <n v="0"/>
    <n v="101"/>
    <s v="_x0000_US"/>
  </r>
  <r>
    <x v="0"/>
    <n v="13.6944"/>
    <n v="-89.183099999999996"/>
    <n v="8015.83"/>
    <n v="0"/>
    <n v="0"/>
    <n v="101"/>
    <s v="_x0000_US"/>
  </r>
  <r>
    <x v="0"/>
    <n v="13.6874"/>
    <n v="-89.197299999999998"/>
    <n v="8019.98"/>
    <n v="0"/>
    <n v="0"/>
    <n v="101"/>
    <s v="_x0000_US"/>
  </r>
  <r>
    <x v="0"/>
    <n v="13.690899999999999"/>
    <n v="-89.188599999999994"/>
    <n v="8021.2"/>
    <n v="0"/>
    <n v="0"/>
    <n v="101"/>
    <s v="_x0000_US"/>
  </r>
  <r>
    <x v="0"/>
    <n v="13.6861"/>
    <n v="-89.215999999999994"/>
    <n v="8022.01"/>
    <n v="0"/>
    <n v="0"/>
    <n v="101"/>
    <s v="_x0000_US"/>
  </r>
  <r>
    <x v="0"/>
    <n v="13.6845"/>
    <n v="-89.213499999999996"/>
    <n v="8023.45"/>
    <n v="0"/>
    <n v="0"/>
    <n v="101"/>
    <s v="_x0000_US"/>
  </r>
  <r>
    <x v="0"/>
    <n v="13.696"/>
    <n v="-89.165999999999997"/>
    <n v="8023.73"/>
    <n v="0"/>
    <n v="0"/>
    <n v="101"/>
    <s v="_x0000_US"/>
  </r>
  <r>
    <x v="0"/>
    <n v="13.6911"/>
    <n v="-89.233800000000002"/>
    <n v="8027.86"/>
    <n v="0"/>
    <n v="0"/>
    <n v="101"/>
    <s v="_x0000_US"/>
  </r>
  <r>
    <x v="0"/>
    <n v="13.691000000000001"/>
    <n v="-89.220100000000002"/>
    <n v="8029.64"/>
    <n v="0"/>
    <n v="0"/>
    <n v="101"/>
    <s v="_x0000_US"/>
  </r>
  <r>
    <x v="0"/>
    <n v="13.692"/>
    <n v="-89.227500000000006"/>
    <n v="8029.67"/>
    <n v="0"/>
    <n v="0"/>
    <n v="101"/>
    <s v="_x0000_US"/>
  </r>
  <r>
    <x v="0"/>
    <n v="13.6898"/>
    <n v="-89.197400000000002"/>
    <n v="8030.83"/>
    <n v="0"/>
    <n v="0"/>
    <n v="101"/>
    <s v="_x0000_US"/>
  </r>
  <r>
    <x v="0"/>
    <n v="13.691000000000001"/>
    <n v="-89.227000000000004"/>
    <n v="8033.2"/>
    <n v="0"/>
    <n v="0"/>
    <n v="101"/>
    <s v="_x0000_US"/>
  </r>
  <r>
    <x v="0"/>
    <n v="13.693300000000001"/>
    <n v="-89.188800000000001"/>
    <n v="8035.06"/>
    <n v="0"/>
    <n v="0"/>
    <n v="101"/>
    <s v="_x0000_US"/>
  </r>
  <r>
    <x v="0"/>
    <n v="13.689299999999999"/>
    <n v="-89.207999999999998"/>
    <n v="8035.47"/>
    <n v="0"/>
    <n v="0"/>
    <n v="101"/>
    <s v="_x0000_US"/>
  </r>
  <r>
    <x v="0"/>
    <n v="13.6876"/>
    <n v="-89.215699999999998"/>
    <n v="8036.48"/>
    <n v="0"/>
    <n v="0"/>
    <n v="101"/>
    <s v="_x0000_US"/>
  </r>
  <r>
    <x v="0"/>
    <n v="13.6911"/>
    <n v="-89.228899999999996"/>
    <n v="8038.42"/>
    <n v="0"/>
    <n v="0"/>
    <n v="101"/>
    <s v="_x0000_US"/>
  </r>
  <r>
    <x v="0"/>
    <n v="13.6845"/>
    <n v="-89.215400000000002"/>
    <n v="8040.06"/>
    <n v="0"/>
    <n v="0"/>
    <n v="101"/>
    <s v="_x0000_US"/>
  </r>
  <r>
    <x v="0"/>
    <n v="13.687799999999999"/>
    <n v="-89.181399999999996"/>
    <n v="8042.24"/>
    <n v="0"/>
    <n v="0"/>
    <n v="101"/>
    <s v="_x0000_US"/>
  </r>
  <r>
    <x v="0"/>
    <n v="13.6907"/>
    <n v="-89.185199999999995"/>
    <n v="8048.27"/>
    <n v="0"/>
    <n v="0"/>
    <n v="101"/>
    <s v="_x0000_US"/>
  </r>
  <r>
    <x v="0"/>
    <n v="13.691700000000001"/>
    <n v="-89.179699999999997"/>
    <n v="8049.49"/>
    <n v="0"/>
    <n v="0"/>
    <n v="101"/>
    <s v="_x0000_US"/>
  </r>
  <r>
    <x v="0"/>
    <n v="13.6904"/>
    <n v="-89.194699999999997"/>
    <n v="8050.96"/>
    <n v="0"/>
    <n v="0"/>
    <n v="101"/>
    <s v="_x0000_US"/>
  </r>
  <r>
    <x v="0"/>
    <n v="13.694100000000001"/>
    <n v="-89.174999999999997"/>
    <n v="8052.9"/>
    <n v="0"/>
    <n v="0"/>
    <n v="101"/>
    <s v="_x0000_US"/>
  </r>
  <r>
    <x v="0"/>
    <n v="13.6852"/>
    <n v="-89.193700000000007"/>
    <n v="8054.16"/>
    <n v="0"/>
    <n v="0"/>
    <n v="101"/>
    <s v="_x0000_US"/>
  </r>
  <r>
    <x v="0"/>
    <n v="13.677099999999999"/>
    <n v="-89.247799999999998"/>
    <n v="8055.96"/>
    <n v="0"/>
    <n v="0"/>
    <n v="101"/>
    <s v="_x0000_US"/>
  </r>
  <r>
    <x v="0"/>
    <n v="13.687200000000001"/>
    <n v="-89.195599999999999"/>
    <n v="8057.93"/>
    <n v="0"/>
    <n v="0"/>
    <n v="101"/>
    <s v="_x0000_US"/>
  </r>
  <r>
    <x v="0"/>
    <n v="13.687200000000001"/>
    <n v="-89.197100000000006"/>
    <n v="8064.09"/>
    <n v="0"/>
    <n v="0"/>
    <n v="101"/>
    <s v="_x0000_US"/>
  </r>
  <r>
    <x v="0"/>
    <n v="13.6851"/>
    <n v="-89.217299999999994"/>
    <n v="8064.29"/>
    <n v="0"/>
    <n v="0"/>
    <n v="101"/>
    <s v="_x0000_US"/>
  </r>
  <r>
    <x v="0"/>
    <n v="13.686199999999999"/>
    <n v="-89.201099999999997"/>
    <n v="8064.98"/>
    <n v="0"/>
    <n v="0"/>
    <n v="101"/>
    <s v="_x0000_US"/>
  </r>
  <r>
    <x v="0"/>
    <n v="13.6927"/>
    <n v="-89.179100000000005"/>
    <n v="8065.49"/>
    <n v="0"/>
    <n v="0"/>
    <n v="101"/>
    <s v="_x0000_US"/>
  </r>
  <r>
    <x v="0"/>
    <n v="13.693300000000001"/>
    <n v="-89.176599999999993"/>
    <n v="8068.24"/>
    <n v="0"/>
    <n v="0"/>
    <n v="101"/>
    <s v="_x0000_US"/>
  </r>
  <r>
    <x v="0"/>
    <n v="13.6907"/>
    <n v="-89.191000000000003"/>
    <n v="8068.39"/>
    <n v="0"/>
    <n v="0"/>
    <n v="101"/>
    <s v="_x0000_US"/>
  </r>
  <r>
    <x v="0"/>
    <n v="13.685"/>
    <n v="-89.2119"/>
    <n v="8072.1"/>
    <n v="0"/>
    <n v="0"/>
    <n v="101"/>
    <s v="_x0000_US"/>
  </r>
  <r>
    <x v="0"/>
    <n v="13.6934"/>
    <n v="-89.176500000000004"/>
    <n v="8074.69"/>
    <n v="0"/>
    <n v="0"/>
    <n v="101"/>
    <s v="_x0000_US"/>
  </r>
  <r>
    <x v="0"/>
    <n v="13.6873"/>
    <n v="-89.197100000000006"/>
    <n v="8077.41"/>
    <n v="0"/>
    <n v="0"/>
    <n v="101"/>
    <s v="_x0000_US"/>
  </r>
  <r>
    <x v="0"/>
    <n v="13.695399999999999"/>
    <n v="-89.174499999999995"/>
    <n v="8080.7"/>
    <n v="0"/>
    <n v="0"/>
    <n v="101"/>
    <s v="_x0000_US"/>
  </r>
  <r>
    <x v="0"/>
    <n v="13.6943"/>
    <n v="-89.1751"/>
    <n v="8081.81"/>
    <n v="0"/>
    <n v="0"/>
    <n v="101"/>
    <s v="_x0000_US"/>
  </r>
  <r>
    <x v="0"/>
    <n v="13.6911"/>
    <n v="-89.220200000000006"/>
    <n v="8082.55"/>
    <n v="0"/>
    <n v="0"/>
    <n v="101"/>
    <s v="_x0000_US"/>
  </r>
  <r>
    <x v="0"/>
    <n v="13.6874"/>
    <n v="-89.192300000000003"/>
    <n v="8084.29"/>
    <n v="0"/>
    <n v="0"/>
    <n v="101"/>
    <s v="_x0000_US"/>
  </r>
  <r>
    <x v="0"/>
    <n v="13.687200000000001"/>
    <n v="-89.183499999999995"/>
    <n v="8085.48"/>
    <n v="0"/>
    <n v="0"/>
    <n v="101"/>
    <s v="_x0000_US"/>
  </r>
  <r>
    <x v="0"/>
    <n v="13.6891"/>
    <n v="-89.183899999999994"/>
    <n v="8086.07"/>
    <n v="0"/>
    <n v="0"/>
    <n v="101"/>
    <s v="_x0000_US"/>
  </r>
  <r>
    <x v="0"/>
    <n v="13.6752"/>
    <n v="-89.250200000000007"/>
    <n v="8086.67"/>
    <n v="0"/>
    <n v="0"/>
    <n v="101"/>
    <s v="_x0000_US"/>
  </r>
  <r>
    <x v="0"/>
    <n v="13.696"/>
    <n v="-89.172899999999998"/>
    <n v="8088.36"/>
    <n v="0"/>
    <n v="0"/>
    <n v="101"/>
    <s v="_x0000_US"/>
  </r>
  <r>
    <x v="0"/>
    <n v="13.6937"/>
    <n v="-89.176699999999997"/>
    <n v="8091.71"/>
    <n v="0"/>
    <n v="0"/>
    <n v="101"/>
    <s v="_x0000_US"/>
  </r>
  <r>
    <x v="0"/>
    <n v="13.687200000000001"/>
    <n v="-89.211399999999998"/>
    <n v="8092.26"/>
    <n v="0"/>
    <n v="0"/>
    <n v="101"/>
    <s v="_x0000_US"/>
  </r>
  <r>
    <x v="0"/>
    <n v="13.6907"/>
    <n v="-89.194199999999995"/>
    <n v="8093.54"/>
    <n v="0"/>
    <n v="0"/>
    <n v="101"/>
    <s v="_x0000_US"/>
  </r>
  <r>
    <x v="0"/>
    <n v="13.6883"/>
    <n v="-89.180999999999997"/>
    <n v="8094.5"/>
    <n v="0"/>
    <n v="0"/>
    <n v="101"/>
    <s v="_x0000_US"/>
  </r>
  <r>
    <x v="0"/>
    <n v="13.6921"/>
    <n v="-89.1858"/>
    <n v="8094.94"/>
    <n v="0"/>
    <n v="0"/>
    <n v="101"/>
    <s v="_x0000_US"/>
  </r>
  <r>
    <x v="0"/>
    <n v="13.6866"/>
    <n v="-89.212299999999999"/>
    <n v="8095.69"/>
    <n v="0"/>
    <n v="0"/>
    <n v="101"/>
    <s v="_x0000_US"/>
  </r>
  <r>
    <x v="0"/>
    <n v="13.6906"/>
    <n v="-89.234099999999998"/>
    <n v="8097.79"/>
    <n v="0"/>
    <n v="0"/>
    <n v="101"/>
    <s v="_x0000_US"/>
  </r>
  <r>
    <x v="0"/>
    <n v="13.687900000000001"/>
    <n v="-89.204899999999995"/>
    <n v="8099.91"/>
    <n v="0"/>
    <n v="0"/>
    <n v="101"/>
    <s v="_x0000_US"/>
  </r>
  <r>
    <x v="0"/>
    <n v="13.6867"/>
    <n v="-89.191500000000005"/>
    <n v="8101.8"/>
    <n v="0"/>
    <n v="0"/>
    <n v="101"/>
    <s v="_x0000_US"/>
  </r>
  <r>
    <x v="0"/>
    <n v="13.691800000000001"/>
    <n v="-89.226200000000006"/>
    <n v="8101.95"/>
    <n v="0"/>
    <n v="0"/>
    <n v="101"/>
    <s v="_x0000_US"/>
  </r>
  <r>
    <x v="0"/>
    <n v="13.6952"/>
    <n v="-89.174199999999999"/>
    <n v="8103.68"/>
    <n v="0"/>
    <n v="0"/>
    <n v="101"/>
    <s v="_x0000_US"/>
  </r>
  <r>
    <x v="0"/>
    <n v="13.687200000000001"/>
    <n v="-89.182599999999994"/>
    <n v="8106.15"/>
    <n v="0"/>
    <n v="0"/>
    <n v="101"/>
    <s v="_x0000_US"/>
  </r>
  <r>
    <x v="0"/>
    <n v="13.6915"/>
    <n v="-89.186000000000007"/>
    <n v="8111.25"/>
    <n v="0"/>
    <n v="0"/>
    <n v="101"/>
    <s v="_x0000_US"/>
  </r>
  <r>
    <x v="0"/>
    <n v="13.692"/>
    <n v="-89.182000000000002"/>
    <n v="8112.03"/>
    <n v="0"/>
    <n v="0"/>
    <n v="101"/>
    <s v="_x0000_US"/>
  </r>
  <r>
    <x v="0"/>
    <n v="13.6874"/>
    <n v="-89.196799999999996"/>
    <n v="8112.3"/>
    <n v="0"/>
    <n v="0"/>
    <n v="101"/>
    <s v="_x0000_US"/>
  </r>
  <r>
    <x v="0"/>
    <n v="13.6875"/>
    <n v="-89.194400000000002"/>
    <n v="8113.8"/>
    <n v="0"/>
    <n v="0"/>
    <n v="101"/>
    <s v="_x0000_US"/>
  </r>
  <r>
    <x v="0"/>
    <n v="13.691000000000001"/>
    <n v="-89.232900000000001"/>
    <n v="8113.92"/>
    <n v="0"/>
    <n v="0"/>
    <n v="101"/>
    <s v="_x0000_US"/>
  </r>
  <r>
    <x v="0"/>
    <n v="13.6851"/>
    <n v="-89.201999999999998"/>
    <n v="8114.28"/>
    <n v="0"/>
    <n v="0"/>
    <n v="101"/>
    <s v="_x0000_US"/>
  </r>
  <r>
    <x v="0"/>
    <n v="13.692"/>
    <n v="-89.175799999999995"/>
    <n v="8115.88"/>
    <n v="0"/>
    <n v="0"/>
    <n v="101"/>
    <s v="_x0000_US"/>
  </r>
  <r>
    <x v="0"/>
    <n v="13.690799999999999"/>
    <n v="-89.188699999999997"/>
    <n v="8117.96"/>
    <n v="0"/>
    <n v="0"/>
    <n v="101"/>
    <s v="_x0000_US"/>
  </r>
  <r>
    <x v="0"/>
    <n v="13.679600000000001"/>
    <n v="-89.197199999999995"/>
    <n v="8120.14"/>
    <n v="0"/>
    <n v="0"/>
    <n v="101"/>
    <s v="_x0000_US"/>
  </r>
  <r>
    <x v="0"/>
    <n v="13.6747"/>
    <n v="-89.252200000000002"/>
    <n v="8120.47"/>
    <n v="0"/>
    <n v="0"/>
    <n v="101"/>
    <s v="_x0000_US"/>
  </r>
  <r>
    <x v="0"/>
    <n v="13.6913"/>
    <n v="-89.220699999999994"/>
    <n v="8121.57"/>
    <n v="0"/>
    <n v="0"/>
    <n v="101"/>
    <s v="_x0000_US"/>
  </r>
  <r>
    <x v="0"/>
    <n v="13.6882"/>
    <n v="-89.193799999999996"/>
    <n v="8121.64"/>
    <n v="0"/>
    <n v="0"/>
    <n v="101"/>
    <s v="_x0000_US"/>
  </r>
  <r>
    <x v="0"/>
    <n v="13.6922"/>
    <n v="-89.185000000000002"/>
    <n v="8126.08"/>
    <n v="0"/>
    <n v="0"/>
    <n v="101"/>
    <s v="_x0000_US"/>
  </r>
  <r>
    <x v="0"/>
    <n v="13.6922"/>
    <n v="-89.222200000000001"/>
    <n v="8127.65"/>
    <n v="0"/>
    <n v="0"/>
    <n v="101"/>
    <s v="_x0000_US"/>
  </r>
  <r>
    <x v="0"/>
    <n v="13.686999999999999"/>
    <n v="-89.211399999999998"/>
    <n v="8128.84"/>
    <n v="0"/>
    <n v="0"/>
    <n v="101"/>
    <s v="_x0000_US"/>
  </r>
  <r>
    <x v="0"/>
    <n v="13.694000000000001"/>
    <n v="-89.175899999999999"/>
    <n v="8129.56"/>
    <n v="0"/>
    <n v="0"/>
    <n v="101"/>
    <s v="_x0000_US"/>
  </r>
  <r>
    <x v="0"/>
    <n v="13.673999999999999"/>
    <n v="-89.203199999999995"/>
    <n v="8130.14"/>
    <n v="0"/>
    <n v="0"/>
    <n v="101"/>
    <s v="_x0000_US"/>
  </r>
  <r>
    <x v="0"/>
    <n v="13.6784"/>
    <n v="-89.245500000000007"/>
    <n v="8131.08"/>
    <n v="0"/>
    <n v="0"/>
    <n v="101"/>
    <s v="_x0000_US"/>
  </r>
  <r>
    <x v="0"/>
    <n v="13.680899999999999"/>
    <n v="-89.195899999999995"/>
    <n v="8136.08"/>
    <n v="0"/>
    <n v="0"/>
    <n v="101"/>
    <s v="_x0000_US"/>
  </r>
  <r>
    <x v="0"/>
    <n v="13.687799999999999"/>
    <n v="-89.205100000000002"/>
    <n v="8136.66"/>
    <n v="0"/>
    <n v="0"/>
    <n v="101"/>
    <s v="_x0000_US"/>
  </r>
  <r>
    <x v="0"/>
    <n v="13.687799999999999"/>
    <n v="-89.195599999999999"/>
    <n v="8137.1"/>
    <n v="0"/>
    <n v="0"/>
    <n v="101"/>
    <s v="_x0000_US"/>
  </r>
  <r>
    <x v="0"/>
    <n v="13.690799999999999"/>
    <n v="-89.231899999999996"/>
    <n v="8137.56"/>
    <n v="0"/>
    <n v="0"/>
    <n v="101"/>
    <s v="_x0000_US"/>
  </r>
  <r>
    <x v="0"/>
    <n v="13.6905"/>
    <n v="-89.231700000000004"/>
    <n v="8138.49"/>
    <n v="0"/>
    <n v="0"/>
    <n v="101"/>
    <s v="_x0000_US"/>
  </r>
  <r>
    <x v="0"/>
    <n v="13.6896"/>
    <n v="-89.206299999999999"/>
    <n v="8139.36"/>
    <n v="0"/>
    <n v="0"/>
    <n v="101"/>
    <s v="_x0000_US"/>
  </r>
  <r>
    <x v="0"/>
    <n v="13.6904"/>
    <n v="-89.235799999999998"/>
    <n v="8140.4"/>
    <n v="0"/>
    <n v="0"/>
    <n v="101"/>
    <s v="_x0000_US"/>
  </r>
  <r>
    <x v="0"/>
    <n v="13.690799999999999"/>
    <n v="-89.235500000000002"/>
    <n v="8140.5"/>
    <n v="0"/>
    <n v="0"/>
    <n v="101"/>
    <s v="_x0000_US"/>
  </r>
  <r>
    <x v="0"/>
    <n v="13.6884"/>
    <n v="-89.236400000000003"/>
    <n v="8140.54"/>
    <n v="0"/>
    <n v="0"/>
    <n v="101"/>
    <s v="_x0000_US"/>
  </r>
  <r>
    <x v="0"/>
    <n v="13.69"/>
    <n v="-89.236000000000004"/>
    <n v="8140.55"/>
    <n v="0"/>
    <n v="0"/>
    <n v="101"/>
    <s v="_x0000_US"/>
  </r>
  <r>
    <x v="0"/>
    <n v="13.688700000000001"/>
    <n v="-89.189899999999994"/>
    <n v="8141.19"/>
    <n v="0"/>
    <n v="0"/>
    <n v="101"/>
    <s v="_x0000_US"/>
  </r>
  <r>
    <x v="0"/>
    <n v="13.693099999999999"/>
    <n v="-89.189499999999995"/>
    <n v="8141.81"/>
    <n v="0"/>
    <n v="0"/>
    <n v="101"/>
    <s v="_x0000_US"/>
  </r>
  <r>
    <x v="0"/>
    <n v="13.6891"/>
    <n v="-89.183599999999998"/>
    <n v="8143.94"/>
    <n v="0"/>
    <n v="0"/>
    <n v="101"/>
    <s v="_x0000_US"/>
  </r>
  <r>
    <x v="0"/>
    <n v="13.687799999999999"/>
    <n v="-89.195300000000003"/>
    <n v="8145.66"/>
    <n v="0"/>
    <n v="0"/>
    <n v="101"/>
    <s v="_x0000_US"/>
  </r>
  <r>
    <x v="0"/>
    <n v="13.6869"/>
    <n v="-89.197400000000002"/>
    <n v="8147.37"/>
    <n v="0"/>
    <n v="0"/>
    <n v="101"/>
    <s v="_x0000_US"/>
  </r>
  <r>
    <x v="0"/>
    <n v="13.6899"/>
    <n v="-89.236099999999993"/>
    <n v="8149.11"/>
    <n v="0"/>
    <n v="0"/>
    <n v="101"/>
    <s v="_x0000_US"/>
  </r>
  <r>
    <x v="0"/>
    <n v="13.6854"/>
    <n v="-89.201400000000007"/>
    <n v="8151.08"/>
    <n v="0"/>
    <n v="0"/>
    <n v="101"/>
    <s v="_x0000_US"/>
  </r>
  <r>
    <x v="0"/>
    <n v="13.6919"/>
    <n v="-89.186000000000007"/>
    <n v="8151.22"/>
    <n v="0"/>
    <n v="0"/>
    <n v="101"/>
    <s v="_x0000_US"/>
  </r>
  <r>
    <x v="0"/>
    <n v="13.694800000000001"/>
    <n v="-89.174000000000007"/>
    <n v="8152.89"/>
    <n v="0"/>
    <n v="0"/>
    <n v="101"/>
    <s v="_x0000_US"/>
  </r>
  <r>
    <x v="0"/>
    <n v="13.6873"/>
    <n v="-89.197299999999998"/>
    <n v="8153.1"/>
    <n v="0"/>
    <n v="0"/>
    <n v="101"/>
    <s v="_x0000_US"/>
  </r>
  <r>
    <x v="0"/>
    <n v="13.6776"/>
    <n v="-89.246600000000001"/>
    <n v="8155.06"/>
    <n v="0"/>
    <n v="0"/>
    <n v="101"/>
    <s v="_x0000_US"/>
  </r>
  <r>
    <x v="0"/>
    <n v="13.674899999999999"/>
    <n v="-89.249200000000002"/>
    <n v="8155.36"/>
    <n v="0"/>
    <n v="0"/>
    <n v="101"/>
    <s v="_x0000_US"/>
  </r>
  <r>
    <x v="0"/>
    <n v="13.685"/>
    <n v="-89.215400000000002"/>
    <n v="8158.08"/>
    <n v="0"/>
    <n v="0"/>
    <n v="101"/>
    <s v="_x0000_US"/>
  </r>
  <r>
    <x v="0"/>
    <n v="13.6944"/>
    <n v="-89.174599999999998"/>
    <n v="8159.36"/>
    <n v="0"/>
    <n v="0"/>
    <n v="101"/>
    <s v="_x0000_US"/>
  </r>
  <r>
    <x v="0"/>
    <n v="13.680099999999999"/>
    <n v="-89.194500000000005"/>
    <n v="8162.01"/>
    <n v="0"/>
    <n v="0"/>
    <n v="101"/>
    <s v="_x0000_US"/>
  </r>
  <r>
    <x v="0"/>
    <n v="13.675000000000001"/>
    <n v="-89.252099999999999"/>
    <n v="8162.33"/>
    <n v="0"/>
    <n v="0"/>
    <n v="101"/>
    <s v="_x0000_US"/>
  </r>
  <r>
    <x v="0"/>
    <n v="13.6911"/>
    <n v="-89.233800000000002"/>
    <n v="8164.39"/>
    <n v="0"/>
    <n v="0"/>
    <n v="101"/>
    <s v="_x0000_US"/>
  </r>
  <r>
    <x v="0"/>
    <n v="13.6896"/>
    <n v="-89.2059"/>
    <n v="8171.14"/>
    <n v="0"/>
    <n v="0"/>
    <n v="101"/>
    <s v="_x0000_US"/>
  </r>
  <r>
    <x v="0"/>
    <n v="13.691700000000001"/>
    <n v="-89.225800000000007"/>
    <n v="8171.75"/>
    <n v="0"/>
    <n v="0"/>
    <n v="101"/>
    <s v="_x0000_US"/>
  </r>
  <r>
    <x v="0"/>
    <n v="13.674300000000001"/>
    <n v="-89.202200000000005"/>
    <n v="8171.77"/>
    <n v="0"/>
    <n v="0"/>
    <n v="101"/>
    <s v="_x0000_US"/>
  </r>
  <r>
    <x v="0"/>
    <n v="13.680300000000001"/>
    <n v="-89.198599999999999"/>
    <n v="8172.25"/>
    <n v="0"/>
    <n v="0"/>
    <n v="101"/>
    <s v="_x0000_US"/>
  </r>
  <r>
    <x v="0"/>
    <n v="13.690799999999999"/>
    <n v="-89.232600000000005"/>
    <n v="8172.74"/>
    <n v="0"/>
    <n v="0"/>
    <n v="101"/>
    <s v="_x0000_US"/>
  </r>
  <r>
    <x v="0"/>
    <n v="13.690899999999999"/>
    <n v="-89.183899999999994"/>
    <n v="8174.46"/>
    <n v="0"/>
    <n v="0"/>
    <n v="101"/>
    <s v="_x0000_US"/>
  </r>
  <r>
    <x v="0"/>
    <n v="13.6905"/>
    <n v="-89.234300000000005"/>
    <n v="8176.31"/>
    <n v="0"/>
    <n v="0"/>
    <n v="101"/>
    <s v="_x0000_US"/>
  </r>
  <r>
    <x v="0"/>
    <n v="13.6866"/>
    <n v="-89.216200000000001"/>
    <n v="8179.14"/>
    <n v="0"/>
    <n v="0"/>
    <n v="101"/>
    <s v="_x0000_US"/>
  </r>
  <r>
    <x v="0"/>
    <n v="13.6907"/>
    <n v="-89.231899999999996"/>
    <n v="8179.43"/>
    <n v="0"/>
    <n v="0"/>
    <n v="101"/>
    <s v="_x0000_US"/>
  </r>
  <r>
    <x v="0"/>
    <n v="13.6852"/>
    <n v="-89.217100000000002"/>
    <n v="8182.39"/>
    <n v="0"/>
    <n v="0"/>
    <n v="101"/>
    <s v="_x0000_US"/>
  </r>
  <r>
    <x v="0"/>
    <n v="13.6904"/>
    <n v="-89.217500000000001"/>
    <n v="8183.7"/>
    <n v="0"/>
    <n v="0"/>
    <n v="101"/>
    <s v="_x0000_US"/>
  </r>
  <r>
    <x v="0"/>
    <n v="13.687099999999999"/>
    <n v="-89.215599999999995"/>
    <n v="8184.27"/>
    <n v="0"/>
    <n v="0"/>
    <n v="101"/>
    <s v="_x0000_US"/>
  </r>
  <r>
    <x v="0"/>
    <n v="13.690899999999999"/>
    <n v="-89.235399999999998"/>
    <n v="8188.59"/>
    <n v="0"/>
    <n v="0"/>
    <n v="101"/>
    <s v="_x0000_US"/>
  </r>
  <r>
    <x v="0"/>
    <n v="13.688700000000001"/>
    <n v="-89.204099999999997"/>
    <n v="8190.34"/>
    <n v="0"/>
    <n v="0"/>
    <n v="101"/>
    <s v="_x0000_US"/>
  </r>
  <r>
    <x v="0"/>
    <n v="13.6912"/>
    <n v="-89.232699999999994"/>
    <n v="8191.9"/>
    <n v="0"/>
    <n v="0"/>
    <n v="101"/>
    <s v="_x0000_US"/>
  </r>
  <r>
    <x v="0"/>
    <n v="13.692"/>
    <n v="-89.221800000000002"/>
    <n v="8193.0300000000007"/>
    <n v="0"/>
    <n v="0"/>
    <n v="101"/>
    <s v="_x0000_US"/>
  </r>
  <r>
    <x v="0"/>
    <n v="13.690300000000001"/>
    <n v="-89.181200000000004"/>
    <n v="8194.19"/>
    <n v="0"/>
    <n v="0"/>
    <n v="101"/>
    <s v="_x0000_US"/>
  </r>
  <r>
    <x v="0"/>
    <n v="13.69"/>
    <n v="-89.184799999999996"/>
    <n v="8194.19"/>
    <n v="0"/>
    <n v="0"/>
    <n v="101"/>
    <s v="_x0000_US"/>
  </r>
  <r>
    <x v="0"/>
    <n v="13.690300000000001"/>
    <n v="-89.228300000000004"/>
    <n v="8200.5499999999993"/>
    <n v="0"/>
    <n v="0"/>
    <n v="101"/>
    <s v="_x0000_US"/>
  </r>
  <r>
    <x v="0"/>
    <n v="13.691700000000001"/>
    <n v="-89.181600000000003"/>
    <n v="8201.9699999999993"/>
    <n v="0"/>
    <n v="0"/>
    <n v="101"/>
    <s v="_x0000_US"/>
  </r>
  <r>
    <x v="0"/>
    <n v="13.6747"/>
    <n v="-89.199299999999994"/>
    <n v="8202.1200000000008"/>
    <n v="0"/>
    <n v="0"/>
    <n v="101"/>
    <s v="_x0000_US"/>
  </r>
  <r>
    <x v="0"/>
    <n v="13.688599999999999"/>
    <n v="-89.189700000000002"/>
    <n v="8202.24"/>
    <n v="0"/>
    <n v="0"/>
    <n v="101"/>
    <s v="_x0000_US"/>
  </r>
  <r>
    <x v="0"/>
    <n v="13.69"/>
    <n v="-89.235399999999998"/>
    <n v="8203.43"/>
    <n v="0"/>
    <n v="0"/>
    <n v="101"/>
    <s v="_x0000_US"/>
  </r>
  <r>
    <x v="0"/>
    <n v="13.687799999999999"/>
    <n v="-89.205399999999997"/>
    <n v="8204.75"/>
    <n v="0"/>
    <n v="0"/>
    <n v="101"/>
    <s v="_x0000_US"/>
  </r>
  <r>
    <x v="0"/>
    <n v="13.6913"/>
    <n v="-89.234300000000005"/>
    <n v="8206.0400000000009"/>
    <n v="0"/>
    <n v="0"/>
    <n v="101"/>
    <s v="_x0000_US"/>
  </r>
  <r>
    <x v="0"/>
    <n v="13.677199999999999"/>
    <n v="-89.247399999999999"/>
    <n v="8206.4699999999993"/>
    <n v="0"/>
    <n v="0"/>
    <n v="101"/>
    <s v="_x0000_US"/>
  </r>
  <r>
    <x v="0"/>
    <n v="13.685"/>
    <n v="-89.216899999999995"/>
    <n v="8210.11"/>
    <n v="0"/>
    <n v="0"/>
    <n v="101"/>
    <s v="_x0000_US"/>
  </r>
  <r>
    <x v="0"/>
    <n v="13.689"/>
    <n v="-89.184200000000004"/>
    <n v="8210.35"/>
    <n v="0"/>
    <n v="0"/>
    <n v="101"/>
    <s v="_x0000_US"/>
  </r>
  <r>
    <x v="0"/>
    <n v="13.6915"/>
    <n v="-89.234899999999996"/>
    <n v="8210.9500000000007"/>
    <n v="0"/>
    <n v="0"/>
    <n v="101"/>
    <s v="_x0000_US"/>
  </r>
  <r>
    <x v="0"/>
    <n v="13.6913"/>
    <n v="-89.189499999999995"/>
    <n v="8216.2999999999993"/>
    <n v="0"/>
    <n v="0"/>
    <n v="101"/>
    <s v="_x0000_US"/>
  </r>
  <r>
    <x v="0"/>
    <n v="13.690799999999999"/>
    <n v="-89.232399999999998"/>
    <n v="8216.49"/>
    <n v="0"/>
    <n v="0"/>
    <n v="101"/>
    <s v="_x0000_US"/>
  </r>
  <r>
    <x v="0"/>
    <n v="13.6853"/>
    <n v="-89.211100000000002"/>
    <n v="8218.32"/>
    <n v="0"/>
    <n v="0"/>
    <n v="101"/>
    <s v="_x0000_US"/>
  </r>
  <r>
    <x v="0"/>
    <n v="13.686500000000001"/>
    <n v="-89.212599999999995"/>
    <n v="8220.49"/>
    <n v="0"/>
    <n v="0"/>
    <n v="101"/>
    <s v="_x0000_US"/>
  </r>
  <r>
    <x v="0"/>
    <n v="13.6919"/>
    <n v="-89.225399999999993"/>
    <n v="8220.7099999999991"/>
    <n v="0"/>
    <n v="0"/>
    <n v="101"/>
    <s v="_x0000_US"/>
  </r>
  <r>
    <x v="0"/>
    <n v="13.6913"/>
    <n v="-89.233599999999996"/>
    <n v="8220.81"/>
    <n v="0"/>
    <n v="0"/>
    <n v="101"/>
    <s v="_x0000_US"/>
  </r>
  <r>
    <x v="0"/>
    <n v="13.6907"/>
    <n v="-89.179000000000002"/>
    <n v="8223"/>
    <n v="0"/>
    <n v="0"/>
    <n v="101"/>
    <s v="_x0000_US"/>
  </r>
  <r>
    <x v="0"/>
    <n v="13.6922"/>
    <n v="-89.186199999999999"/>
    <n v="8224.7199999999993"/>
    <n v="0"/>
    <n v="0"/>
    <n v="101"/>
    <s v="_x0000_US"/>
  </r>
  <r>
    <x v="0"/>
    <n v="13.690899999999999"/>
    <n v="-89.187899999999999"/>
    <n v="8226.7099999999991"/>
    <n v="0"/>
    <n v="0"/>
    <n v="101"/>
    <s v="_x0000_US"/>
  </r>
  <r>
    <x v="0"/>
    <n v="13.6906"/>
    <n v="-89.195899999999995"/>
    <n v="8233.73"/>
    <n v="0"/>
    <n v="0"/>
    <n v="101"/>
    <s v="_x0000_US"/>
  </r>
  <r>
    <x v="0"/>
    <n v="13.686500000000001"/>
    <n v="-89.214399999999998"/>
    <n v="8235.5400000000009"/>
    <n v="0"/>
    <n v="0"/>
    <n v="101"/>
    <s v="_x0000_US"/>
  </r>
  <r>
    <x v="0"/>
    <n v="13.693"/>
    <n v="-89.186300000000003"/>
    <n v="8235.58"/>
    <n v="0"/>
    <n v="0"/>
    <n v="101"/>
    <s v="_x0000_US"/>
  </r>
  <r>
    <x v="0"/>
    <n v="13.6896"/>
    <n v="-89.235500000000002"/>
    <n v="8238.17"/>
    <n v="0"/>
    <n v="0"/>
    <n v="101"/>
    <s v="_x0000_US"/>
  </r>
  <r>
    <x v="0"/>
    <n v="13.6951"/>
    <n v="-89.173599999999993"/>
    <n v="8239.2000000000007"/>
    <n v="0"/>
    <n v="0"/>
    <n v="101"/>
    <s v="_x0000_US"/>
  </r>
  <r>
    <x v="0"/>
    <n v="13.6858"/>
    <n v="-89.212199999999996"/>
    <n v="8239.66"/>
    <n v="0"/>
    <n v="0"/>
    <n v="101"/>
    <s v="_x0000_US"/>
  </r>
  <r>
    <x v="0"/>
    <n v="13.693300000000001"/>
    <n v="-89.178200000000004"/>
    <n v="8241.3700000000008"/>
    <n v="0"/>
    <n v="0"/>
    <n v="101"/>
    <s v="_x0000_US"/>
  </r>
  <r>
    <x v="0"/>
    <n v="13.6907"/>
    <n v="-89.227699999999999"/>
    <n v="8242.42"/>
    <n v="0"/>
    <n v="0"/>
    <n v="101"/>
    <s v="_x0000_US"/>
  </r>
  <r>
    <x v="0"/>
    <n v="13.6934"/>
    <n v="-89.192400000000006"/>
    <n v="8242.58"/>
    <n v="0"/>
    <n v="0"/>
    <n v="101"/>
    <s v="_x0000_US"/>
  </r>
  <r>
    <x v="0"/>
    <n v="13.679500000000001"/>
    <n v="-89.196399999999997"/>
    <n v="8243.7199999999993"/>
    <n v="0"/>
    <n v="0"/>
    <n v="101"/>
    <s v="_x0000_US"/>
  </r>
  <r>
    <x v="0"/>
    <n v="13.690099999999999"/>
    <n v="-89.189800000000005"/>
    <n v="8244.5400000000009"/>
    <n v="0"/>
    <n v="0"/>
    <n v="101"/>
    <s v="_x0000_US"/>
  </r>
  <r>
    <x v="0"/>
    <n v="13.692399999999999"/>
    <n v="-89.223399999999998"/>
    <n v="8244.85"/>
    <n v="0"/>
    <n v="0"/>
    <n v="101"/>
    <s v="_x0000_US"/>
  </r>
  <r>
    <x v="0"/>
    <n v="13.6937"/>
    <n v="-89.176299999999998"/>
    <n v="8245.1200000000008"/>
    <n v="0"/>
    <n v="0"/>
    <n v="101"/>
    <s v="_x0000_US"/>
  </r>
  <r>
    <x v="0"/>
    <n v="13.690899999999999"/>
    <n v="-89.2273"/>
    <n v="8248.18"/>
    <n v="0"/>
    <n v="0"/>
    <n v="101"/>
    <s v="_x0000_US"/>
  </r>
  <r>
    <x v="0"/>
    <n v="13.688800000000001"/>
    <n v="-89.229399999999998"/>
    <n v="8250.02"/>
    <n v="0"/>
    <n v="0"/>
    <n v="101"/>
    <s v="_x0000_US"/>
  </r>
  <r>
    <x v="0"/>
    <n v="13.695399999999999"/>
    <n v="-89.174700000000001"/>
    <n v="8252.4699999999993"/>
    <n v="0"/>
    <n v="0"/>
    <n v="101"/>
    <s v="_x0000_US"/>
  </r>
  <r>
    <x v="0"/>
    <n v="13.6952"/>
    <n v="-89.171700000000001"/>
    <n v="8254.76"/>
    <n v="0"/>
    <n v="0"/>
    <n v="101"/>
    <s v="_x0000_US"/>
  </r>
  <r>
    <x v="0"/>
    <n v="13.6897"/>
    <n v="-89.206299999999999"/>
    <n v="8255.2000000000007"/>
    <n v="0"/>
    <n v="0"/>
    <n v="101"/>
    <s v="_x0000_US"/>
  </r>
  <r>
    <x v="0"/>
    <n v="13.690200000000001"/>
    <n v="-89.235299999999995"/>
    <n v="8255.2099999999991"/>
    <n v="0"/>
    <n v="0"/>
    <n v="101"/>
    <s v="_x0000_US"/>
  </r>
  <r>
    <x v="0"/>
    <n v="13.692500000000001"/>
    <n v="-89.223600000000005"/>
    <n v="8256.08"/>
    <n v="0"/>
    <n v="0"/>
    <n v="101"/>
    <s v="_x0000_US"/>
  </r>
  <r>
    <x v="0"/>
    <n v="13.6928"/>
    <n v="-89.176699999999997"/>
    <n v="8257.18"/>
    <n v="0"/>
    <n v="0"/>
    <n v="101"/>
    <s v="_x0000_US"/>
  </r>
  <r>
    <x v="0"/>
    <n v="13.6853"/>
    <n v="-89.203999999999994"/>
    <n v="8267.01"/>
    <n v="0"/>
    <n v="0"/>
    <n v="101"/>
    <s v="_x0000_US"/>
  </r>
  <r>
    <x v="0"/>
    <n v="13.686999999999999"/>
    <n v="-89.194800000000001"/>
    <n v="8269.26"/>
    <n v="0"/>
    <n v="0"/>
    <n v="101"/>
    <s v="_x0000_US"/>
  </r>
  <r>
    <x v="0"/>
    <n v="13.6914"/>
    <n v="-89.186400000000006"/>
    <n v="8269.68"/>
    <n v="0"/>
    <n v="0"/>
    <n v="101"/>
    <s v="_x0000_US"/>
  </r>
  <r>
    <x v="0"/>
    <n v="13.6951"/>
    <n v="-89.174899999999994"/>
    <n v="8269.75"/>
    <n v="0"/>
    <n v="0"/>
    <n v="101"/>
    <s v="_x0000_US"/>
  </r>
  <r>
    <x v="0"/>
    <n v="13.692"/>
    <n v="-89.194299999999998"/>
    <n v="8270.35"/>
    <n v="0"/>
    <n v="0"/>
    <n v="101"/>
    <s v="_x0000_US"/>
  </r>
  <r>
    <x v="0"/>
    <n v="13.687099999999999"/>
    <n v="-89.204400000000007"/>
    <n v="8271.58"/>
    <n v="0"/>
    <n v="0"/>
    <n v="101"/>
    <s v="_x0000_US"/>
  </r>
  <r>
    <x v="0"/>
    <n v="13.6913"/>
    <n v="-89.189499999999995"/>
    <n v="8271.68"/>
    <n v="0"/>
    <n v="0"/>
    <n v="101"/>
    <s v="_x0000_US"/>
  </r>
  <r>
    <x v="0"/>
    <n v="13.685499999999999"/>
    <n v="-89.216399999999993"/>
    <n v="8272.98"/>
    <n v="0"/>
    <n v="0"/>
    <n v="101"/>
    <s v="_x0000_US"/>
  </r>
  <r>
    <x v="0"/>
    <n v="13.6943"/>
    <n v="-89.188699999999997"/>
    <n v="8275.77"/>
    <n v="0"/>
    <n v="0"/>
    <n v="101"/>
    <s v="_x0000_US"/>
  </r>
  <r>
    <x v="0"/>
    <n v="13.674099999999999"/>
    <n v="-89.201999999999998"/>
    <n v="8276.83"/>
    <n v="0"/>
    <n v="0"/>
    <n v="101"/>
    <s v="_x0000_US"/>
  </r>
  <r>
    <x v="0"/>
    <n v="13.6747"/>
    <n v="-89.250799999999998"/>
    <n v="8277.42"/>
    <n v="0"/>
    <n v="0"/>
    <n v="101"/>
    <s v="_x0000_US"/>
  </r>
  <r>
    <x v="0"/>
    <n v="13.6877"/>
    <n v="-89.197100000000006"/>
    <n v="8277.74"/>
    <n v="0"/>
    <n v="0"/>
    <n v="101"/>
    <s v="_x0000_US"/>
  </r>
  <r>
    <x v="0"/>
    <n v="13.6861"/>
    <n v="-89.1982"/>
    <n v="8278.1299999999992"/>
    <n v="0"/>
    <n v="0"/>
    <n v="101"/>
    <s v="_x0000_US"/>
  </r>
  <r>
    <x v="0"/>
    <n v="13.692"/>
    <n v="-89.225300000000004"/>
    <n v="8278.27"/>
    <n v="0"/>
    <n v="0"/>
    <n v="101"/>
    <s v="_x0000_US"/>
  </r>
  <r>
    <x v="0"/>
    <n v="13.6876"/>
    <n v="-89.194999999999993"/>
    <n v="8278.5300000000007"/>
    <n v="0"/>
    <n v="0"/>
    <n v="101"/>
    <s v="_x0000_US"/>
  </r>
  <r>
    <x v="0"/>
    <n v="13.6935"/>
    <n v="-89.176699999999997"/>
    <n v="8279.11"/>
    <n v="0"/>
    <n v="0"/>
    <n v="101"/>
    <s v="_x0000_US"/>
  </r>
  <r>
    <x v="0"/>
    <n v="13.6915"/>
    <n v="-89.176699999999997"/>
    <n v="8280.3799999999992"/>
    <n v="0"/>
    <n v="0"/>
    <n v="101"/>
    <s v="_x0000_US"/>
  </r>
  <r>
    <x v="0"/>
    <n v="13.6737"/>
    <n v="-89.202799999999996"/>
    <n v="8281.1"/>
    <n v="0"/>
    <n v="0"/>
    <n v="101"/>
    <s v="_x0000_US"/>
  </r>
  <r>
    <x v="0"/>
    <n v="13.688499999999999"/>
    <n v="-89.2166"/>
    <n v="8281.67"/>
    <n v="0"/>
    <n v="0"/>
    <n v="101"/>
    <s v="_x0000_US"/>
  </r>
  <r>
    <x v="0"/>
    <n v="13.6911"/>
    <n v="-89.229299999999995"/>
    <n v="8283.24"/>
    <n v="0"/>
    <n v="0"/>
    <n v="101"/>
    <s v="_x0000_US"/>
  </r>
  <r>
    <x v="0"/>
    <n v="13.6892"/>
    <n v="-89.183999999999997"/>
    <n v="8284.06"/>
    <n v="0"/>
    <n v="0"/>
    <n v="101"/>
    <s v="_x0000_US"/>
  </r>
  <r>
    <x v="0"/>
    <n v="13.6859"/>
    <n v="-89.211500000000001"/>
    <n v="8284.1200000000008"/>
    <n v="0"/>
    <n v="0"/>
    <n v="101"/>
    <s v="_x0000_US"/>
  </r>
  <r>
    <x v="0"/>
    <n v="13.687799999999999"/>
    <n v="-89.181399999999996"/>
    <n v="8284.7800000000007"/>
    <n v="0"/>
    <n v="0"/>
    <n v="101"/>
    <s v="_x0000_US"/>
  </r>
  <r>
    <x v="0"/>
    <n v="13.691599999999999"/>
    <n v="-89.2256"/>
    <n v="8284.8799999999992"/>
    <n v="0"/>
    <n v="0"/>
    <n v="101"/>
    <s v="_x0000_US"/>
  </r>
  <r>
    <x v="0"/>
    <n v="13.691599999999999"/>
    <n v="-89.233699999999999"/>
    <n v="8285.86"/>
    <n v="0"/>
    <n v="0"/>
    <n v="101"/>
    <s v="_x0000_US"/>
  </r>
  <r>
    <x v="0"/>
    <n v="13.677199999999999"/>
    <n v="-89.247799999999998"/>
    <n v="8286.32"/>
    <n v="0"/>
    <n v="0"/>
    <n v="101"/>
    <s v="_x0000_US"/>
  </r>
  <r>
    <x v="0"/>
    <n v="13.6882"/>
    <n v="-89.180099999999996"/>
    <n v="8286.52"/>
    <n v="0"/>
    <n v="0"/>
    <n v="101"/>
    <s v="_x0000_US"/>
  </r>
  <r>
    <x v="0"/>
    <n v="13.6892"/>
    <n v="-89.184100000000001"/>
    <n v="8286.84"/>
    <n v="0"/>
    <n v="0"/>
    <n v="101"/>
    <s v="_x0000_US"/>
  </r>
  <r>
    <x v="0"/>
    <n v="13.693899999999999"/>
    <n v="-89.175600000000003"/>
    <n v="8287.9500000000007"/>
    <n v="0"/>
    <n v="0"/>
    <n v="101"/>
    <s v="_x0000_US"/>
  </r>
  <r>
    <x v="0"/>
    <n v="13.685"/>
    <n v="-89.216200000000001"/>
    <n v="8288.2099999999991"/>
    <n v="0"/>
    <n v="0"/>
    <n v="101"/>
    <s v="_x0000_US"/>
  </r>
  <r>
    <x v="0"/>
    <n v="13.6907"/>
    <n v="-89.233400000000003"/>
    <n v="8289.6200000000008"/>
    <n v="0"/>
    <n v="0"/>
    <n v="101"/>
    <s v="_x0000_US"/>
  </r>
  <r>
    <x v="0"/>
    <n v="13.6752"/>
    <n v="-89.1999"/>
    <n v="8289.81"/>
    <n v="0"/>
    <n v="0"/>
    <n v="101"/>
    <s v="_x0000_US"/>
  </r>
  <r>
    <x v="0"/>
    <n v="13.6896"/>
    <n v="-89.1982"/>
    <n v="8291.81"/>
    <n v="0"/>
    <n v="0"/>
    <n v="101"/>
    <s v="_x0000_US"/>
  </r>
  <r>
    <x v="0"/>
    <n v="13.691800000000001"/>
    <n v="-89.176199999999994"/>
    <n v="8291.83"/>
    <n v="0"/>
    <n v="0"/>
    <n v="101"/>
    <s v="_x0000_US"/>
  </r>
  <r>
    <x v="0"/>
    <n v="13.693"/>
    <n v="-89.183599999999998"/>
    <n v="8292.11"/>
    <n v="0"/>
    <n v="0"/>
    <n v="101"/>
    <s v="_x0000_US"/>
  </r>
  <r>
    <x v="0"/>
    <n v="13.691700000000001"/>
    <n v="-89.1798"/>
    <n v="8293.0300000000007"/>
    <n v="0"/>
    <n v="0"/>
    <n v="101"/>
    <s v="_x0000_US"/>
  </r>
  <r>
    <x v="0"/>
    <n v="13.687799999999999"/>
    <n v="-89.194599999999994"/>
    <n v="8293.81"/>
    <n v="0"/>
    <n v="0"/>
    <n v="101"/>
    <s v="_x0000_US"/>
  </r>
  <r>
    <x v="0"/>
    <n v="13.690799999999999"/>
    <n v="-89.234499999999997"/>
    <n v="8293.9599999999991"/>
    <n v="0"/>
    <n v="0"/>
    <n v="101"/>
    <s v="_x0000_US"/>
  </r>
  <r>
    <x v="0"/>
    <n v="13.6935"/>
    <n v="-89.175799999999995"/>
    <n v="8294.32"/>
    <n v="0"/>
    <n v="0"/>
    <n v="101"/>
    <s v="_x0000_US"/>
  </r>
  <r>
    <x v="0"/>
    <n v="13.6877"/>
    <n v="-89.1815"/>
    <n v="8294.6"/>
    <n v="0"/>
    <n v="0"/>
    <n v="101"/>
    <s v="_x0000_US"/>
  </r>
  <r>
    <x v="0"/>
    <n v="13.677"/>
    <n v="-89.248199999999997"/>
    <n v="8294.77"/>
    <n v="0"/>
    <n v="0"/>
    <n v="101"/>
    <s v="_x0000_US"/>
  </r>
  <r>
    <x v="0"/>
    <n v="13.6921"/>
    <n v="-89.179500000000004"/>
    <n v="8295.1299999999992"/>
    <n v="0"/>
    <n v="0"/>
    <n v="101"/>
    <s v="_x0000_US"/>
  </r>
  <r>
    <x v="0"/>
    <n v="13.686199999999999"/>
    <n v="-89.201400000000007"/>
    <n v="8295.18"/>
    <n v="0"/>
    <n v="0"/>
    <n v="101"/>
    <s v="_x0000_US"/>
  </r>
  <r>
    <x v="0"/>
    <n v="13.6911"/>
    <n v="-89.232600000000005"/>
    <n v="8298.0400000000009"/>
    <n v="0"/>
    <n v="0"/>
    <n v="101"/>
    <s v="_x0000_US"/>
  </r>
  <r>
    <x v="0"/>
    <n v="13.693099999999999"/>
    <n v="-89.173900000000003"/>
    <n v="8298.6200000000008"/>
    <n v="0"/>
    <n v="0"/>
    <n v="101"/>
    <s v="_x0000_US"/>
  </r>
  <r>
    <x v="0"/>
    <n v="13.6884"/>
    <n v="-89.1905"/>
    <n v="8299.4599999999991"/>
    <n v="0"/>
    <n v="0"/>
    <n v="101"/>
    <s v="_x0000_US"/>
  </r>
  <r>
    <x v="0"/>
    <n v="13.691700000000001"/>
    <n v="-89.232799999999997"/>
    <n v="8300.41"/>
    <n v="0"/>
    <n v="0"/>
    <n v="101"/>
    <s v="_x0000_US"/>
  </r>
  <r>
    <x v="0"/>
    <n v="13.6927"/>
    <n v="-89.184799999999996"/>
    <n v="8300.92"/>
    <n v="0"/>
    <n v="0"/>
    <n v="101"/>
    <s v="_x0000_US"/>
  </r>
  <r>
    <x v="0"/>
    <n v="13.6943"/>
    <n v="-89.185400000000001"/>
    <n v="8302.9"/>
    <n v="0"/>
    <n v="0"/>
    <n v="101"/>
    <s v="_x0000_US"/>
  </r>
  <r>
    <x v="0"/>
    <n v="13.689299999999999"/>
    <n v="-89.178399999999996"/>
    <n v="8306.35"/>
    <n v="0"/>
    <n v="0"/>
    <n v="101"/>
    <s v="_x0000_US"/>
  </r>
  <r>
    <x v="0"/>
    <n v="13.6884"/>
    <n v="-89.215999999999994"/>
    <n v="8306.6299999999992"/>
    <n v="0"/>
    <n v="0"/>
    <n v="101"/>
    <s v="_x0000_US"/>
  </r>
  <r>
    <x v="0"/>
    <n v="13.690899999999999"/>
    <n v="-89.229299999999995"/>
    <n v="8306.83"/>
    <n v="0"/>
    <n v="0"/>
    <n v="101"/>
    <s v="_x0000_US"/>
  </r>
  <r>
    <x v="0"/>
    <n v="13.6868"/>
    <n v="-89.211600000000004"/>
    <n v="8308.0400000000009"/>
    <n v="0"/>
    <n v="0"/>
    <n v="101"/>
    <s v="_x0000_US"/>
  </r>
  <r>
    <x v="0"/>
    <n v="13.6915"/>
    <n v="-89.186000000000007"/>
    <n v="8309.15"/>
    <n v="0"/>
    <n v="0"/>
    <n v="101"/>
    <s v="_x0000_US"/>
  </r>
  <r>
    <x v="0"/>
    <n v="13.6904"/>
    <n v="-89.234499999999997"/>
    <n v="8309.3700000000008"/>
    <n v="0"/>
    <n v="0"/>
    <n v="101"/>
    <s v="_x0000_US"/>
  </r>
  <r>
    <x v="0"/>
    <n v="13.690300000000001"/>
    <n v="-89.197400000000002"/>
    <n v="8310.6299999999992"/>
    <n v="0"/>
    <n v="0"/>
    <n v="101"/>
    <s v="_x0000_US"/>
  </r>
  <r>
    <x v="0"/>
    <n v="13.6936"/>
    <n v="-89.176100000000005"/>
    <n v="8310.8700000000008"/>
    <n v="0"/>
    <n v="0"/>
    <n v="101"/>
    <s v="_x0000_US"/>
  </r>
  <r>
    <x v="0"/>
    <n v="13.6935"/>
    <n v="-89.185500000000005"/>
    <n v="8313.59"/>
    <n v="0"/>
    <n v="0"/>
    <n v="101"/>
    <s v="_x0000_US"/>
  </r>
  <r>
    <x v="0"/>
    <n v="13.6861"/>
    <n v="-89.1982"/>
    <n v="8315.2900000000009"/>
    <n v="0"/>
    <n v="0"/>
    <n v="101"/>
    <s v="_x0000_US"/>
  </r>
  <r>
    <x v="0"/>
    <n v="13.6875"/>
    <n v="-89.215199999999996"/>
    <n v="8315.7800000000007"/>
    <n v="0"/>
    <n v="0"/>
    <n v="101"/>
    <s v="_x0000_US"/>
  </r>
  <r>
    <x v="0"/>
    <n v="13.6846"/>
    <n v="-89.213399999999993"/>
    <n v="8316.31"/>
    <n v="0"/>
    <n v="0"/>
    <n v="101"/>
    <s v="_x0000_US"/>
  </r>
  <r>
    <x v="0"/>
    <n v="13.6937"/>
    <n v="-89.176500000000004"/>
    <n v="8316.4"/>
    <n v="0"/>
    <n v="0"/>
    <n v="101"/>
    <s v="_x0000_US"/>
  </r>
  <r>
    <x v="0"/>
    <n v="13.6919"/>
    <n v="-89.179100000000005"/>
    <n v="8316.84"/>
    <n v="0"/>
    <n v="0"/>
    <n v="101"/>
    <s v="_x0000_US"/>
  </r>
  <r>
    <x v="0"/>
    <n v="13.6898"/>
    <n v="-89.194199999999995"/>
    <n v="8318.07"/>
    <n v="0"/>
    <n v="0"/>
    <n v="101"/>
    <s v="_x0000_US"/>
  </r>
  <r>
    <x v="0"/>
    <n v="13.6972"/>
    <n v="-89.171499999999995"/>
    <n v="8319.67"/>
    <n v="0"/>
    <n v="0"/>
    <n v="101"/>
    <s v="_x0000_US"/>
  </r>
  <r>
    <x v="0"/>
    <n v="13.689399999999999"/>
    <n v="-89.207700000000003"/>
    <n v="8320.15"/>
    <n v="0"/>
    <n v="0"/>
    <n v="101"/>
    <s v="_x0000_US"/>
  </r>
  <r>
    <x v="0"/>
    <n v="13.6861"/>
    <n v="-89.214299999999994"/>
    <n v="8320.66"/>
    <n v="0"/>
    <n v="0"/>
    <n v="101"/>
    <s v="_x0000_US"/>
  </r>
  <r>
    <x v="0"/>
    <n v="13.691599999999999"/>
    <n v="-89.186000000000007"/>
    <n v="8320.83"/>
    <n v="0"/>
    <n v="0"/>
    <n v="101"/>
    <s v="_x0000_US"/>
  </r>
  <r>
    <x v="0"/>
    <n v="13.674799999999999"/>
    <n v="-89.251900000000006"/>
    <n v="8322.02"/>
    <n v="0"/>
    <n v="0"/>
    <n v="101"/>
    <s v="_x0000_US"/>
  </r>
  <r>
    <x v="0"/>
    <n v="13.6912"/>
    <n v="-89.179299999999998"/>
    <n v="8323.31"/>
    <n v="0"/>
    <n v="0"/>
    <n v="101"/>
    <s v="_x0000_US"/>
  </r>
  <r>
    <x v="0"/>
    <n v="13.695399999999999"/>
    <n v="-89.174400000000006"/>
    <n v="8323.73"/>
    <n v="0"/>
    <n v="0"/>
    <n v="101"/>
    <s v="_x0000_US"/>
  </r>
  <r>
    <x v="0"/>
    <n v="13.678599999999999"/>
    <n v="-89.245400000000004"/>
    <n v="8323.85"/>
    <n v="0"/>
    <n v="0"/>
    <n v="101"/>
    <s v="_x0000_US"/>
  </r>
  <r>
    <x v="0"/>
    <n v="13.6873"/>
    <n v="-89.215100000000007"/>
    <n v="8323.98"/>
    <n v="0"/>
    <n v="0"/>
    <n v="101"/>
    <s v="_x0000_US"/>
  </r>
  <r>
    <x v="0"/>
    <n v="13.6897"/>
    <n v="-89.194100000000006"/>
    <n v="8324.09"/>
    <n v="0"/>
    <n v="0"/>
    <n v="101"/>
    <s v="_x0000_US"/>
  </r>
  <r>
    <x v="0"/>
    <n v="13.6751"/>
    <n v="-89.248599999999996"/>
    <n v="8324.67"/>
    <n v="0"/>
    <n v="0"/>
    <n v="101"/>
    <s v="_x0000_US"/>
  </r>
  <r>
    <x v="0"/>
    <n v="13.6896"/>
    <n v="-89.216399999999993"/>
    <n v="8325.09"/>
    <n v="0"/>
    <n v="0"/>
    <n v="101"/>
    <s v="_x0000_US"/>
  </r>
  <r>
    <x v="0"/>
    <n v="13.691700000000001"/>
    <n v="-89.225999999999999"/>
    <n v="8325.27"/>
    <n v="0"/>
    <n v="0"/>
    <n v="101"/>
    <s v="_x0000_US"/>
  </r>
  <r>
    <x v="0"/>
    <n v="13.6869"/>
    <n v="-89.194599999999994"/>
    <n v="8326.7900000000009"/>
    <n v="0"/>
    <n v="0"/>
    <n v="101"/>
    <s v="_x0000_US"/>
  </r>
  <r>
    <x v="0"/>
    <n v="13.686199999999999"/>
    <n v="-89.197999999999993"/>
    <n v="8327.8799999999992"/>
    <n v="0"/>
    <n v="0"/>
    <n v="101"/>
    <s v="_x0000_US"/>
  </r>
  <r>
    <x v="0"/>
    <n v="13.6881"/>
    <n v="-89.19"/>
    <n v="8328.6"/>
    <n v="0"/>
    <n v="0"/>
    <n v="101"/>
    <s v="_x0000_US"/>
  </r>
  <r>
    <x v="0"/>
    <n v="13.690799999999999"/>
    <n v="-89.1905"/>
    <n v="8329.41"/>
    <n v="0"/>
    <n v="0"/>
    <n v="101"/>
    <s v="_x0000_US"/>
  </r>
  <r>
    <x v="0"/>
    <n v="13.687900000000001"/>
    <n v="-89.197000000000003"/>
    <n v="8330.74"/>
    <n v="0"/>
    <n v="0"/>
    <n v="101"/>
    <s v="_x0000_US"/>
  </r>
  <r>
    <x v="0"/>
    <n v="13.691800000000001"/>
    <n v="-89.178600000000003"/>
    <n v="8332.15"/>
    <n v="0"/>
    <n v="0"/>
    <n v="101"/>
    <s v="_x0000_US"/>
  </r>
  <r>
    <x v="0"/>
    <n v="13.685700000000001"/>
    <n v="-89.215199999999996"/>
    <n v="8333.9599999999991"/>
    <n v="0"/>
    <n v="0"/>
    <n v="101"/>
    <s v="_x0000_US"/>
  </r>
  <r>
    <x v="0"/>
    <n v="13.6891"/>
    <n v="-89.206500000000005"/>
    <n v="8335.94"/>
    <n v="0"/>
    <n v="0"/>
    <n v="101"/>
    <s v="_x0000_US"/>
  </r>
  <r>
    <x v="0"/>
    <n v="13.6943"/>
    <n v="-89.172499999999999"/>
    <n v="8337.42"/>
    <n v="0"/>
    <n v="0"/>
    <n v="101"/>
    <s v="_x0000_US"/>
  </r>
  <r>
    <x v="0"/>
    <n v="13.690899999999999"/>
    <n v="-89.179299999999998"/>
    <n v="8339.57"/>
    <n v="0"/>
    <n v="0"/>
    <n v="101"/>
    <s v="_x0000_US"/>
  </r>
  <r>
    <x v="0"/>
    <n v="13.6882"/>
    <n v="-89.190899999999999"/>
    <n v="8346.57"/>
    <n v="0"/>
    <n v="0"/>
    <n v="101"/>
    <s v="_x0000_US"/>
  </r>
  <r>
    <x v="0"/>
    <n v="13.6906"/>
    <n v="-89.178899999999999"/>
    <n v="8346.67"/>
    <n v="0"/>
    <n v="0"/>
    <n v="101"/>
    <s v="_x0000_US"/>
  </r>
  <r>
    <x v="0"/>
    <n v="13.686500000000001"/>
    <n v="-89.215999999999994"/>
    <n v="8346.8700000000008"/>
    <n v="0"/>
    <n v="0"/>
    <n v="101"/>
    <s v="_x0000_US"/>
  </r>
  <r>
    <x v="0"/>
    <n v="13.6868"/>
    <n v="-89.2166"/>
    <n v="8347.65"/>
    <n v="0"/>
    <n v="0"/>
    <n v="101"/>
    <s v="_x0000_US"/>
  </r>
  <r>
    <x v="0"/>
    <n v="13.6897"/>
    <n v="-89.179500000000004"/>
    <n v="8348.01"/>
    <n v="0"/>
    <n v="0"/>
    <n v="101"/>
    <s v="_x0000_US"/>
  </r>
  <r>
    <x v="0"/>
    <n v="13.692"/>
    <n v="-89.193799999999996"/>
    <n v="8350.2800000000007"/>
    <n v="0"/>
    <n v="0"/>
    <n v="101"/>
    <s v="_x0000_US"/>
  </r>
  <r>
    <x v="0"/>
    <n v="13.6873"/>
    <n v="-89.195499999999996"/>
    <n v="8352.23"/>
    <n v="0"/>
    <n v="0"/>
    <n v="101"/>
    <s v="_x0000_US"/>
  </r>
  <r>
    <x v="0"/>
    <n v="13.696099999999999"/>
    <n v="-89.172600000000003"/>
    <n v="8353.83"/>
    <n v="0"/>
    <n v="0"/>
    <n v="101"/>
    <s v="_x0000_US"/>
  </r>
  <r>
    <x v="0"/>
    <n v="13.6854"/>
    <n v="-89.201899999999995"/>
    <n v="8354.69"/>
    <n v="0"/>
    <n v="0"/>
    <n v="101"/>
    <s v="_x0000_US"/>
  </r>
  <r>
    <x v="0"/>
    <n v="13.6874"/>
    <n v="-89.197299999999998"/>
    <n v="8354.7199999999993"/>
    <n v="0"/>
    <n v="0"/>
    <n v="101"/>
    <s v="_x0000_US"/>
  </r>
  <r>
    <x v="0"/>
    <n v="13.691599999999999"/>
    <n v="-89.233000000000004"/>
    <n v="8356.0300000000007"/>
    <n v="0"/>
    <n v="0"/>
    <n v="101"/>
    <s v="_x0000_US"/>
  </r>
  <r>
    <x v="0"/>
    <n v="13.6934"/>
    <n v="-89.177199999999999"/>
    <n v="8357.27"/>
    <n v="0"/>
    <n v="0"/>
    <n v="101"/>
    <s v="_x0000_US"/>
  </r>
  <r>
    <x v="0"/>
    <n v="13.6915"/>
    <n v="-89.1935"/>
    <n v="8358.73"/>
    <n v="0"/>
    <n v="0"/>
    <n v="101"/>
    <s v="_x0000_US"/>
  </r>
  <r>
    <x v="0"/>
    <n v="13.6867"/>
    <n v="-89.181600000000003"/>
    <n v="8359.77"/>
    <n v="0"/>
    <n v="0"/>
    <n v="101"/>
    <s v="_x0000_US"/>
  </r>
  <r>
    <x v="0"/>
    <n v="13.679"/>
    <n v="-89.1965"/>
    <n v="8360.7099999999991"/>
    <n v="0"/>
    <n v="0"/>
    <n v="101"/>
    <s v="_x0000_US"/>
  </r>
  <r>
    <x v="0"/>
    <n v="13.691000000000001"/>
    <n v="-89.235600000000005"/>
    <n v="8360.73"/>
    <n v="0"/>
    <n v="0"/>
    <n v="101"/>
    <s v="_x0000_US"/>
  </r>
  <r>
    <x v="0"/>
    <n v="13.6884"/>
    <n v="-89.229299999999995"/>
    <n v="8361.1"/>
    <n v="0"/>
    <n v="0"/>
    <n v="101"/>
    <s v="_x0000_US"/>
  </r>
  <r>
    <x v="0"/>
    <n v="13.692500000000001"/>
    <n v="-89.184600000000003"/>
    <n v="8361.14"/>
    <n v="0"/>
    <n v="0"/>
    <n v="101"/>
    <s v="_x0000_US"/>
  </r>
  <r>
    <x v="0"/>
    <n v="13.689399999999999"/>
    <n v="-89.235799999999998"/>
    <n v="8362.01"/>
    <n v="0"/>
    <n v="0"/>
    <n v="101"/>
    <s v="_x0000_US"/>
  </r>
  <r>
    <x v="0"/>
    <n v="13.6919"/>
    <n v="-89.221800000000002"/>
    <n v="8362.36"/>
    <n v="0"/>
    <n v="0"/>
    <n v="101"/>
    <s v="_x0000_US"/>
  </r>
  <r>
    <x v="0"/>
    <n v="13.6943"/>
    <n v="-89.189099999999996"/>
    <n v="8362.91"/>
    <n v="0"/>
    <n v="0"/>
    <n v="101"/>
    <s v="_x0000_US"/>
  </r>
  <r>
    <x v="0"/>
    <n v="13.694900000000001"/>
    <n v="-89.175399999999996"/>
    <n v="8362.91"/>
    <n v="0"/>
    <n v="0"/>
    <n v="101"/>
    <s v="_x0000_US"/>
  </r>
  <r>
    <x v="0"/>
    <n v="13.6905"/>
    <n v="-89.194199999999995"/>
    <n v="8364.1"/>
    <n v="0"/>
    <n v="0"/>
    <n v="101"/>
    <s v="_x0000_US"/>
  </r>
  <r>
    <x v="0"/>
    <n v="13.674200000000001"/>
    <n v="-89.252300000000005"/>
    <n v="8364.11"/>
    <n v="0"/>
    <n v="0"/>
    <n v="101"/>
    <s v="_x0000_US"/>
  </r>
  <r>
    <x v="0"/>
    <n v="13.686199999999999"/>
    <n v="-89.215299999999999"/>
    <n v="8364.8799999999992"/>
    <n v="0"/>
    <n v="0"/>
    <n v="101"/>
    <s v="_x0000_US"/>
  </r>
  <r>
    <x v="0"/>
    <n v="13.692"/>
    <n v="-89.177300000000002"/>
    <n v="8365.34"/>
    <n v="0"/>
    <n v="0"/>
    <n v="101"/>
    <s v="_x0000_US"/>
  </r>
  <r>
    <x v="0"/>
    <n v="13.6927"/>
    <n v="-89.225099999999998"/>
    <n v="8366.3799999999992"/>
    <n v="0"/>
    <n v="0"/>
    <n v="101"/>
    <s v="_x0000_US"/>
  </r>
  <r>
    <x v="0"/>
    <n v="13.6912"/>
    <n v="-89.226399999999998"/>
    <n v="8368.4599999999991"/>
    <n v="0"/>
    <n v="0"/>
    <n v="101"/>
    <s v="_x0000_US"/>
  </r>
  <r>
    <x v="0"/>
    <n v="13.6928"/>
    <n v="-89.2256"/>
    <n v="8369.44"/>
    <n v="0"/>
    <n v="0"/>
    <n v="101"/>
    <s v="_x0000_US"/>
  </r>
  <r>
    <x v="0"/>
    <n v="13.6769"/>
    <n v="-89.248000000000005"/>
    <n v="8369.5"/>
    <n v="0"/>
    <n v="0"/>
    <n v="101"/>
    <s v="_x0000_US"/>
  </r>
  <r>
    <x v="0"/>
    <n v="13.694699999999999"/>
    <n v="-89.174099999999996"/>
    <n v="8371.2099999999991"/>
    <n v="0"/>
    <n v="0"/>
    <n v="101"/>
    <s v="_x0000_US"/>
  </r>
  <r>
    <x v="0"/>
    <n v="13.6896"/>
    <n v="-89.183499999999995"/>
    <n v="8372.7900000000009"/>
    <n v="0"/>
    <n v="0"/>
    <n v="101"/>
    <s v="_x0000_US"/>
  </r>
  <r>
    <x v="0"/>
    <n v="13.687099999999999"/>
    <n v="-89.197800000000001"/>
    <n v="8373.31"/>
    <n v="0"/>
    <n v="0"/>
    <n v="101"/>
    <s v="_x0000_US"/>
  </r>
  <r>
    <x v="0"/>
    <n v="13.6914"/>
    <n v="-89.226500000000001"/>
    <n v="8376.66"/>
    <n v="0"/>
    <n v="0"/>
    <n v="101"/>
    <s v="_x0000_US"/>
  </r>
  <r>
    <x v="0"/>
    <n v="13.693"/>
    <n v="-89.178100000000001"/>
    <n v="8376.84"/>
    <n v="0"/>
    <n v="0"/>
    <n v="101"/>
    <s v="_x0000_US"/>
  </r>
  <r>
    <x v="0"/>
    <n v="13.692"/>
    <n v="-89.224699999999999"/>
    <n v="8377.36"/>
    <n v="0"/>
    <n v="0"/>
    <n v="101"/>
    <s v="_x0000_US"/>
  </r>
  <r>
    <x v="0"/>
    <n v="13.6752"/>
    <n v="-89.25"/>
    <n v="8377.69"/>
    <n v="0"/>
    <n v="0"/>
    <n v="101"/>
    <s v="_x0000_US"/>
  </r>
  <r>
    <x v="0"/>
    <n v="13.6859"/>
    <n v="-89.214399999999998"/>
    <n v="8378.02"/>
    <n v="0"/>
    <n v="0"/>
    <n v="101"/>
    <s v="_x0000_US"/>
  </r>
  <r>
    <x v="0"/>
    <n v="13.692"/>
    <n v="-89.221800000000002"/>
    <n v="8378.67"/>
    <n v="0"/>
    <n v="0"/>
    <n v="101"/>
    <s v="_x0000_US"/>
  </r>
  <r>
    <x v="0"/>
    <n v="13.692600000000001"/>
    <n v="-89.224199999999996"/>
    <n v="8378.9"/>
    <n v="0"/>
    <n v="0"/>
    <n v="101"/>
    <s v="_x0000_US"/>
  </r>
  <r>
    <x v="0"/>
    <n v="13.689500000000001"/>
    <n v="-89.208100000000002"/>
    <n v="8380.1200000000008"/>
    <n v="0"/>
    <n v="0"/>
    <n v="101"/>
    <s v="_x0000_US"/>
  </r>
  <r>
    <x v="0"/>
    <n v="13.694900000000001"/>
    <n v="-89.173699999999997"/>
    <n v="8380.8700000000008"/>
    <n v="0"/>
    <n v="0"/>
    <n v="101"/>
    <s v="_x0000_US"/>
  </r>
  <r>
    <x v="0"/>
    <n v="13.6915"/>
    <n v="-89.189400000000006"/>
    <n v="8380.9599999999991"/>
    <n v="0"/>
    <n v="0"/>
    <n v="101"/>
    <s v="_x0000_US"/>
  </r>
  <r>
    <x v="0"/>
    <n v="13.6921"/>
    <n v="-89.185100000000006"/>
    <n v="8383.61"/>
    <n v="0"/>
    <n v="0"/>
    <n v="101"/>
    <s v="_x0000_US"/>
  </r>
  <r>
    <x v="0"/>
    <n v="13.6882"/>
    <n v="-89.216999999999999"/>
    <n v="8384.2999999999993"/>
    <n v="0"/>
    <n v="0"/>
    <n v="101"/>
    <s v="_x0000_US"/>
  </r>
  <r>
    <x v="0"/>
    <n v="13.6898"/>
    <n v="-89.2363"/>
    <n v="8384.7999999999993"/>
    <n v="0"/>
    <n v="0"/>
    <n v="101"/>
    <s v="_x0000_US"/>
  </r>
  <r>
    <x v="0"/>
    <n v="13.690799999999999"/>
    <n v="-89.179299999999998"/>
    <n v="8385.01"/>
    <n v="0"/>
    <n v="0"/>
    <n v="101"/>
    <s v="_x0000_US"/>
  </r>
  <r>
    <x v="0"/>
    <n v="13.691800000000001"/>
    <n v="-89.226799999999997"/>
    <n v="8385.14"/>
    <n v="0"/>
    <n v="0"/>
    <n v="101"/>
    <s v="_x0000_US"/>
  </r>
  <r>
    <x v="0"/>
    <n v="13.689399999999999"/>
    <n v="-89.184899999999999"/>
    <n v="8385.3799999999992"/>
    <n v="0"/>
    <n v="0"/>
    <n v="101"/>
    <s v="_x0000_US"/>
  </r>
  <r>
    <x v="0"/>
    <n v="13.6907"/>
    <n v="-89.190600000000003"/>
    <n v="8385.75"/>
    <n v="0"/>
    <n v="0"/>
    <n v="101"/>
    <s v="_x0000_US"/>
  </r>
  <r>
    <x v="0"/>
    <n v="13.6915"/>
    <n v="-89.185500000000005"/>
    <n v="8385.91"/>
    <n v="0"/>
    <n v="0"/>
    <n v="101"/>
    <s v="_x0000_US"/>
  </r>
  <r>
    <x v="0"/>
    <n v="13.689"/>
    <n v="-89.235900000000001"/>
    <n v="8386.86"/>
    <n v="0"/>
    <n v="0"/>
    <n v="101"/>
    <s v="_x0000_US"/>
  </r>
  <r>
    <x v="0"/>
    <n v="13.688599999999999"/>
    <n v="-89.198300000000003"/>
    <n v="8387.2000000000007"/>
    <n v="0"/>
    <n v="0"/>
    <n v="101"/>
    <s v="_x0000_US"/>
  </r>
  <r>
    <x v="0"/>
    <n v="13.6915"/>
    <n v="-89.186000000000007"/>
    <n v="8388.2999999999993"/>
    <n v="0"/>
    <n v="0"/>
    <n v="101"/>
    <s v="_x0000_US"/>
  </r>
  <r>
    <x v="0"/>
    <n v="13.6921"/>
    <n v="-89.178799999999995"/>
    <n v="8388.43"/>
    <n v="0"/>
    <n v="0"/>
    <n v="101"/>
    <s v="_x0000_US"/>
  </r>
  <r>
    <x v="0"/>
    <n v="13.684200000000001"/>
    <n v="-89.216200000000001"/>
    <n v="8389.16"/>
    <n v="0"/>
    <n v="0"/>
    <n v="101"/>
    <s v="_x0000_US"/>
  </r>
  <r>
    <x v="0"/>
    <n v="13.6746"/>
    <n v="-89.202600000000004"/>
    <n v="8389.25"/>
    <n v="0"/>
    <n v="0"/>
    <n v="101"/>
    <s v="_x0000_US"/>
  </r>
  <r>
    <x v="0"/>
    <n v="13.6868"/>
    <n v="-89.1815"/>
    <n v="8389.61"/>
    <n v="0"/>
    <n v="0"/>
    <n v="101"/>
    <s v="_x0000_US"/>
  </r>
  <r>
    <x v="0"/>
    <n v="13.6907"/>
    <n v="-89.1815"/>
    <n v="8392.48"/>
    <n v="0"/>
    <n v="0"/>
    <n v="101"/>
    <s v="_x0000_US"/>
  </r>
  <r>
    <x v="0"/>
    <n v="13.6905"/>
    <n v="-89.194100000000006"/>
    <n v="8392.5499999999993"/>
    <n v="0"/>
    <n v="0"/>
    <n v="101"/>
    <s v="_x0000_US"/>
  </r>
  <r>
    <x v="0"/>
    <n v="13.687099999999999"/>
    <n v="-89.215999999999994"/>
    <n v="8393.36"/>
    <n v="0"/>
    <n v="0"/>
    <n v="101"/>
    <s v="_x0000_US"/>
  </r>
  <r>
    <x v="0"/>
    <n v="13.6935"/>
    <n v="-89.176299999999998"/>
    <n v="8394.4699999999993"/>
    <n v="0"/>
    <n v="0"/>
    <n v="101"/>
    <s v="_x0000_US"/>
  </r>
  <r>
    <x v="0"/>
    <n v="13.685600000000001"/>
    <n v="-89.216200000000001"/>
    <n v="8394.5300000000007"/>
    <n v="0"/>
    <n v="0"/>
    <n v="101"/>
    <s v="_x0000_US"/>
  </r>
  <r>
    <x v="0"/>
    <n v="13.691599999999999"/>
    <n v="-89.234200000000001"/>
    <n v="8395.39"/>
    <n v="0"/>
    <n v="0"/>
    <n v="101"/>
    <s v="_x0000_US"/>
  </r>
  <r>
    <x v="0"/>
    <n v="13.6854"/>
    <n v="-89.215800000000002"/>
    <n v="8397.5400000000009"/>
    <n v="0"/>
    <n v="0"/>
    <n v="101"/>
    <s v="_x0000_US"/>
  </r>
  <r>
    <x v="0"/>
    <n v="13.694900000000001"/>
    <n v="-89.172300000000007"/>
    <n v="8397.56"/>
    <n v="0"/>
    <n v="0"/>
    <n v="101"/>
    <s v="_x0000_US"/>
  </r>
  <r>
    <x v="0"/>
    <n v="13.69"/>
    <n v="-89.190200000000004"/>
    <n v="8397.7000000000007"/>
    <n v="0"/>
    <n v="0"/>
    <n v="101"/>
    <s v="_x0000_US"/>
  </r>
  <r>
    <x v="0"/>
    <n v="13.692500000000001"/>
    <n v="-89.224199999999996"/>
    <n v="8398.7000000000007"/>
    <n v="0"/>
    <n v="0"/>
    <n v="101"/>
    <s v="_x0000_US"/>
  </r>
  <r>
    <x v="0"/>
    <n v="13.6905"/>
    <n v="-89.233599999999996"/>
    <n v="8398.85"/>
    <n v="0"/>
    <n v="0"/>
    <n v="101"/>
    <s v="_x0000_US"/>
  </r>
  <r>
    <x v="0"/>
    <n v="13.6911"/>
    <n v="-89.178799999999995"/>
    <n v="8399.01"/>
    <n v="0"/>
    <n v="0"/>
    <n v="101"/>
    <s v="_x0000_US"/>
  </r>
  <r>
    <x v="0"/>
    <n v="13.6899"/>
    <n v="-89.188999999999993"/>
    <n v="8399.0300000000007"/>
    <n v="0"/>
    <n v="0"/>
    <n v="101"/>
    <s v="_x0000_US"/>
  </r>
  <r>
    <x v="0"/>
    <n v="13.697100000000001"/>
    <n v="-89.171499999999995"/>
    <n v="8400.6"/>
    <n v="0"/>
    <n v="0"/>
    <n v="101"/>
    <s v="_x0000_US"/>
  </r>
  <r>
    <x v="0"/>
    <n v="13.695"/>
    <n v="-89.174099999999996"/>
    <n v="8400.7099999999991"/>
    <n v="0"/>
    <n v="0"/>
    <n v="101"/>
    <s v="_x0000_US"/>
  </r>
  <r>
    <x v="0"/>
    <n v="13.684200000000001"/>
    <n v="-89.2136"/>
    <n v="8401.84"/>
    <n v="0"/>
    <n v="0"/>
    <n v="101"/>
    <s v="_x0000_US"/>
  </r>
  <r>
    <x v="0"/>
    <n v="13.692600000000001"/>
    <n v="-89.224199999999996"/>
    <n v="8404.25"/>
    <n v="0"/>
    <n v="0"/>
    <n v="101"/>
    <s v="_x0000_US"/>
  </r>
  <r>
    <x v="0"/>
    <n v="13.6913"/>
    <n v="-89.189599999999999"/>
    <n v="8406.4599999999991"/>
    <n v="0"/>
    <n v="0"/>
    <n v="101"/>
    <s v="_x0000_US"/>
  </r>
  <r>
    <x v="0"/>
    <n v="13.6913"/>
    <n v="-89.178600000000003"/>
    <n v="8406.73"/>
    <n v="0"/>
    <n v="0"/>
    <n v="101"/>
    <s v="_x0000_US"/>
  </r>
  <r>
    <x v="0"/>
    <n v="13.679600000000001"/>
    <n v="-89.196899999999999"/>
    <n v="8406.73"/>
    <n v="0"/>
    <n v="0"/>
    <n v="101"/>
    <s v="_x0000_US"/>
  </r>
  <r>
    <x v="0"/>
    <n v="13.69"/>
    <n v="-89.235699999999994"/>
    <n v="8406.9500000000007"/>
    <n v="0"/>
    <n v="0"/>
    <n v="101"/>
    <s v="_x0000_US"/>
  </r>
  <r>
    <x v="0"/>
    <n v="13.685"/>
    <n v="-89.214699999999993"/>
    <n v="8407.01"/>
    <n v="0"/>
    <n v="0"/>
    <n v="101"/>
    <s v="_x0000_US"/>
  </r>
  <r>
    <x v="0"/>
    <n v="13.688499999999999"/>
    <n v="-89.215999999999994"/>
    <n v="8408.6"/>
    <n v="0"/>
    <n v="0"/>
    <n v="101"/>
    <s v="_x0000_US"/>
  </r>
  <r>
    <x v="0"/>
    <n v="13.6913"/>
    <n v="-89.219899999999996"/>
    <n v="8408.91"/>
    <n v="0"/>
    <n v="0"/>
    <n v="101"/>
    <s v="_x0000_US"/>
  </r>
  <r>
    <x v="0"/>
    <n v="13.6899"/>
    <n v="-89.216700000000003"/>
    <n v="8409.6299999999992"/>
    <n v="0"/>
    <n v="0"/>
    <n v="101"/>
    <s v="_x0000_US"/>
  </r>
  <r>
    <x v="0"/>
    <n v="13.6875"/>
    <n v="-89.197299999999998"/>
    <n v="8411.4599999999991"/>
    <n v="0"/>
    <n v="0"/>
    <n v="101"/>
    <s v="_x0000_US"/>
  </r>
  <r>
    <x v="0"/>
    <n v="13.6866"/>
    <n v="-89.202399999999997"/>
    <n v="8412.31"/>
    <n v="0"/>
    <n v="0"/>
    <n v="101"/>
    <s v="_x0000_US"/>
  </r>
  <r>
    <x v="0"/>
    <n v="13.6736"/>
    <n v="-89.251400000000004"/>
    <n v="8412.67"/>
    <n v="0"/>
    <n v="0"/>
    <n v="101"/>
    <s v="_x0000_US"/>
  </r>
  <r>
    <x v="0"/>
    <n v="13.6881"/>
    <n v="-89.194400000000002"/>
    <n v="8413.31"/>
    <n v="0"/>
    <n v="0"/>
    <n v="101"/>
    <s v="_x0000_US"/>
  </r>
  <r>
    <x v="0"/>
    <n v="13.6884"/>
    <n v="-89.1905"/>
    <n v="8414"/>
    <n v="0"/>
    <n v="0"/>
    <n v="101"/>
    <s v="_x0000_US"/>
  </r>
  <r>
    <x v="0"/>
    <n v="13.6922"/>
    <n v="-89.225099999999998"/>
    <n v="8414.2099999999991"/>
    <n v="0"/>
    <n v="0"/>
    <n v="101"/>
    <s v="_x0000_US"/>
  </r>
  <r>
    <x v="0"/>
    <n v="13.690300000000001"/>
    <n v="-89.184799999999996"/>
    <n v="8414.25"/>
    <n v="0"/>
    <n v="0"/>
    <n v="101"/>
    <s v="_x0000_US"/>
  </r>
  <r>
    <x v="0"/>
    <n v="13.6883"/>
    <n v="-89.1815"/>
    <n v="8415.16"/>
    <n v="0"/>
    <n v="0"/>
    <n v="101"/>
    <s v="_x0000_US"/>
  </r>
  <r>
    <x v="0"/>
    <n v="13.6873"/>
    <n v="-89.195800000000006"/>
    <n v="8415.32"/>
    <n v="0"/>
    <n v="0"/>
    <n v="101"/>
    <s v="_x0000_US"/>
  </r>
  <r>
    <x v="0"/>
    <n v="13.688700000000001"/>
    <n v="-89.194500000000005"/>
    <n v="8416.4500000000007"/>
    <n v="0"/>
    <n v="0"/>
    <n v="101"/>
    <s v="_x0000_US"/>
  </r>
  <r>
    <x v="0"/>
    <n v="13.6927"/>
    <n v="-89.225499999999997"/>
    <n v="8416.4500000000007"/>
    <n v="0"/>
    <n v="0"/>
    <n v="101"/>
    <s v="_x0000_US"/>
  </r>
  <r>
    <x v="0"/>
    <n v="13.687099999999999"/>
    <n v="-89.197299999999998"/>
    <n v="8416.5400000000009"/>
    <n v="0"/>
    <n v="0"/>
    <n v="101"/>
    <s v="_x0000_US"/>
  </r>
  <r>
    <x v="0"/>
    <n v="13.685"/>
    <n v="-89.201300000000003"/>
    <n v="8416.74"/>
    <n v="0"/>
    <n v="0"/>
    <n v="101"/>
    <s v="_x0000_US"/>
  </r>
  <r>
    <x v="0"/>
    <n v="13.688599999999999"/>
    <n v="-89.216099999999997"/>
    <n v="8417.4"/>
    <n v="0"/>
    <n v="0"/>
    <n v="101"/>
    <s v="_x0000_US"/>
  </r>
  <r>
    <x v="0"/>
    <n v="13.693899999999999"/>
    <n v="-89.176400000000001"/>
    <n v="8417.5"/>
    <n v="0"/>
    <n v="0"/>
    <n v="101"/>
    <s v="_x0000_US"/>
  </r>
  <r>
    <x v="0"/>
    <n v="13.6914"/>
    <n v="-89.233400000000003"/>
    <n v="8418.2099999999991"/>
    <n v="0"/>
    <n v="0"/>
    <n v="101"/>
    <s v="_x0000_US"/>
  </r>
  <r>
    <x v="0"/>
    <n v="13.685"/>
    <n v="-89.211100000000002"/>
    <n v="8419.82"/>
    <n v="0"/>
    <n v="0"/>
    <n v="101"/>
    <s v="_x0000_US"/>
  </r>
  <r>
    <x v="0"/>
    <n v="13.6812"/>
    <n v="-89.195599999999999"/>
    <n v="8423.02"/>
    <n v="0"/>
    <n v="0"/>
    <n v="101"/>
    <s v="_x0000_US"/>
  </r>
  <r>
    <x v="0"/>
    <n v="13.6873"/>
    <n v="-89.197900000000004"/>
    <n v="8423.7900000000009"/>
    <n v="0"/>
    <n v="0"/>
    <n v="101"/>
    <s v="_x0000_US"/>
  </r>
  <r>
    <x v="0"/>
    <n v="13.6877"/>
    <n v="-89.205200000000005"/>
    <n v="8424.64"/>
    <n v="0"/>
    <n v="0"/>
    <n v="101"/>
    <s v="_x0000_US"/>
  </r>
  <r>
    <x v="0"/>
    <n v="13.690799999999999"/>
    <n v="-89.197500000000005"/>
    <n v="8424.85"/>
    <n v="0"/>
    <n v="0"/>
    <n v="101"/>
    <s v="_x0000_US"/>
  </r>
  <r>
    <x v="0"/>
    <n v="13.6731"/>
    <n v="-89.204400000000007"/>
    <n v="8425.48"/>
    <n v="0"/>
    <n v="0"/>
    <n v="101"/>
    <s v="_x0000_US"/>
  </r>
  <r>
    <x v="0"/>
    <n v="13.692399999999999"/>
    <n v="-89.224000000000004"/>
    <n v="8427.98"/>
    <n v="0"/>
    <n v="0"/>
    <n v="101"/>
    <s v="_x0000_US"/>
  </r>
  <r>
    <x v="0"/>
    <n v="13.677099999999999"/>
    <n v="-89.248199999999997"/>
    <n v="8429.0300000000007"/>
    <n v="0"/>
    <n v="0"/>
    <n v="101"/>
    <s v="_x0000_US"/>
  </r>
  <r>
    <x v="0"/>
    <n v="13.6922"/>
    <n v="-89.178399999999996"/>
    <n v="8429.4"/>
    <n v="0"/>
    <n v="0"/>
    <n v="101"/>
    <s v="_x0000_US"/>
  </r>
  <r>
    <x v="0"/>
    <n v="13.686400000000001"/>
    <n v="-89.216399999999993"/>
    <n v="8430.74"/>
    <n v="0"/>
    <n v="0"/>
    <n v="101"/>
    <s v="_x0000_US"/>
  </r>
  <r>
    <x v="0"/>
    <n v="13.6755"/>
    <n v="-89.247799999999998"/>
    <n v="8433.09"/>
    <n v="0"/>
    <n v="0"/>
    <n v="101"/>
    <s v="_x0000_US"/>
  </r>
  <r>
    <x v="0"/>
    <n v="13.684799999999999"/>
    <n v="-89.215900000000005"/>
    <n v="8433.61"/>
    <n v="0"/>
    <n v="0"/>
    <n v="101"/>
    <s v="_x0000_US"/>
  </r>
  <r>
    <x v="0"/>
    <n v="13.6873"/>
    <n v="-89.211200000000005"/>
    <n v="8434.7000000000007"/>
    <n v="0"/>
    <n v="0"/>
    <n v="101"/>
    <s v="_x0000_US"/>
  </r>
  <r>
    <x v="0"/>
    <n v="13.6891"/>
    <n v="-89.235799999999998"/>
    <n v="8435.2199999999993"/>
    <n v="0"/>
    <n v="0"/>
    <n v="101"/>
    <s v="_x0000_US"/>
  </r>
  <r>
    <x v="0"/>
    <n v="13.6972"/>
    <n v="-89.171099999999996"/>
    <n v="8435.86"/>
    <n v="0"/>
    <n v="0"/>
    <n v="101"/>
    <s v="_x0000_US"/>
  </r>
  <r>
    <x v="0"/>
    <n v="13.6883"/>
    <n v="-89.229399999999998"/>
    <n v="8437.42"/>
    <n v="0"/>
    <n v="0"/>
    <n v="101"/>
    <s v="_x0000_US"/>
  </r>
  <r>
    <x v="0"/>
    <n v="13.6919"/>
    <n v="-89.196700000000007"/>
    <n v="8440.73"/>
    <n v="0"/>
    <n v="0"/>
    <n v="101"/>
    <s v="_x0000_US"/>
  </r>
  <r>
    <x v="0"/>
    <n v="13.6912"/>
    <n v="-89.234899999999996"/>
    <n v="8442.89"/>
    <n v="0"/>
    <n v="0"/>
    <n v="101"/>
    <s v="_x0000_US"/>
  </r>
  <r>
    <x v="0"/>
    <n v="13.6906"/>
    <n v="-89.234099999999998"/>
    <n v="8444.2199999999993"/>
    <n v="0"/>
    <n v="0"/>
    <n v="101"/>
    <s v="_x0000_US"/>
  </r>
  <r>
    <x v="0"/>
    <n v="13.6953"/>
    <n v="-89.173100000000005"/>
    <n v="8445.89"/>
    <n v="0"/>
    <n v="0"/>
    <n v="101"/>
    <s v="_x0000_US"/>
  </r>
  <r>
    <x v="0"/>
    <n v="13.676600000000001"/>
    <n v="-89.200199999999995"/>
    <n v="8450.32"/>
    <n v="0"/>
    <n v="0"/>
    <n v="101"/>
    <s v="_x0000_US"/>
  </r>
  <r>
    <x v="0"/>
    <n v="13.690200000000001"/>
    <n v="-89.1798"/>
    <n v="8451.5499999999993"/>
    <n v="0"/>
    <n v="0"/>
    <n v="101"/>
    <s v="_x0000_US"/>
  </r>
  <r>
    <x v="0"/>
    <n v="13.692500000000001"/>
    <n v="-89.186700000000002"/>
    <n v="8452.06"/>
    <n v="0"/>
    <n v="0"/>
    <n v="101"/>
    <s v="_x0000_US"/>
  </r>
  <r>
    <x v="0"/>
    <n v="13.6919"/>
    <n v="-89.226600000000005"/>
    <n v="8452.15"/>
    <n v="0"/>
    <n v="0"/>
    <n v="101"/>
    <s v="_x0000_US"/>
  </r>
  <r>
    <x v="0"/>
    <n v="13.692500000000001"/>
    <n v="-89.224100000000007"/>
    <n v="8453.67"/>
    <n v="0"/>
    <n v="0"/>
    <n v="101"/>
    <s v="_x0000_US"/>
  </r>
  <r>
    <x v="0"/>
    <n v="13.6913"/>
    <n v="-89.232500000000002"/>
    <n v="8455.59"/>
    <n v="0"/>
    <n v="0"/>
    <n v="101"/>
    <s v="_x0000_US"/>
  </r>
  <r>
    <x v="0"/>
    <n v="13.673299999999999"/>
    <n v="-89.204499999999996"/>
    <n v="8457.36"/>
    <n v="0"/>
    <n v="0"/>
    <n v="101"/>
    <s v="_x0000_US"/>
  </r>
  <r>
    <x v="0"/>
    <n v="13.6892"/>
    <n v="-89.183999999999997"/>
    <n v="8458.66"/>
    <n v="0"/>
    <n v="0"/>
    <n v="101"/>
    <s v="_x0000_US"/>
  </r>
  <r>
    <x v="0"/>
    <n v="13.692299999999999"/>
    <n v="-89.226500000000001"/>
    <n v="8459.35"/>
    <n v="0"/>
    <n v="0"/>
    <n v="101"/>
    <s v="_x0000_US"/>
  </r>
  <r>
    <x v="0"/>
    <n v="13.694800000000001"/>
    <n v="-89.174000000000007"/>
    <n v="8460.7999999999993"/>
    <n v="0"/>
    <n v="0"/>
    <n v="101"/>
    <s v="_x0000_US"/>
  </r>
  <r>
    <x v="0"/>
    <n v="13.6873"/>
    <n v="-89.194599999999994"/>
    <n v="8462.48"/>
    <n v="0"/>
    <n v="0"/>
    <n v="101"/>
    <s v="_x0000_US"/>
  </r>
  <r>
    <x v="0"/>
    <n v="13.6859"/>
    <n v="-89.203100000000006"/>
    <n v="8465.08"/>
    <n v="0"/>
    <n v="0"/>
    <n v="101"/>
    <s v="_x0000_US"/>
  </r>
  <r>
    <x v="0"/>
    <n v="13.6899"/>
    <n v="-89.193899999999999"/>
    <n v="8465.2999999999993"/>
    <n v="0"/>
    <n v="0"/>
    <n v="101"/>
    <s v="_x0000_US"/>
  </r>
  <r>
    <x v="0"/>
    <n v="13.6919"/>
    <n v="-89.179199999999994"/>
    <n v="8465.86"/>
    <n v="0"/>
    <n v="0"/>
    <n v="101"/>
    <s v="_x0000_US"/>
  </r>
  <r>
    <x v="0"/>
    <n v="13.685499999999999"/>
    <n v="-89.203699999999998"/>
    <n v="8466.48"/>
    <n v="0"/>
    <n v="0"/>
    <n v="101"/>
    <s v="_x0000_US"/>
  </r>
  <r>
    <x v="0"/>
    <n v="13.689399999999999"/>
    <n v="-89.179299999999998"/>
    <n v="8470.2199999999993"/>
    <n v="0"/>
    <n v="0"/>
    <n v="101"/>
    <s v="_x0000_US"/>
  </r>
  <r>
    <x v="0"/>
    <n v="13.6873"/>
    <n v="-89.196399999999997"/>
    <n v="8470.76"/>
    <n v="0"/>
    <n v="0"/>
    <n v="101"/>
    <s v="_x0000_US"/>
  </r>
  <r>
    <x v="0"/>
    <n v="13.69"/>
    <n v="-89.179599999999994"/>
    <n v="8471.5499999999993"/>
    <n v="0"/>
    <n v="0"/>
    <n v="101"/>
    <s v="_x0000_US"/>
  </r>
  <r>
    <x v="0"/>
    <n v="13.6904"/>
    <n v="-89.233800000000002"/>
    <n v="8471.99"/>
    <n v="0"/>
    <n v="0"/>
    <n v="101"/>
    <s v="_x0000_US"/>
  </r>
  <r>
    <x v="0"/>
    <n v="13.690899999999999"/>
    <n v="-89.229500000000002"/>
    <n v="8472.7099999999991"/>
    <n v="0"/>
    <n v="0"/>
    <n v="101"/>
    <s v="_x0000_US"/>
  </r>
  <r>
    <x v="0"/>
    <n v="13.6866"/>
    <n v="-89.191000000000003"/>
    <n v="8473.7000000000007"/>
    <n v="0"/>
    <n v="0"/>
    <n v="101"/>
    <s v="_x0000_US"/>
  </r>
  <r>
    <x v="0"/>
    <n v="13.6851"/>
    <n v="-89.216899999999995"/>
    <n v="8473.86"/>
    <n v="0"/>
    <n v="0"/>
    <n v="101"/>
    <s v="_x0000_US"/>
  </r>
  <r>
    <x v="0"/>
    <n v="13.6905"/>
    <n v="-89.194199999999995"/>
    <n v="8474.6299999999992"/>
    <n v="0"/>
    <n v="0"/>
    <n v="101"/>
    <s v="_x0000_US"/>
  </r>
  <r>
    <x v="0"/>
    <n v="13.6868"/>
    <n v="-89.181799999999996"/>
    <n v="8476.8799999999992"/>
    <n v="0"/>
    <n v="0"/>
    <n v="101"/>
    <s v="_x0000_US"/>
  </r>
  <r>
    <x v="0"/>
    <n v="13.6898"/>
    <n v="-89.235299999999995"/>
    <n v="8478.0300000000007"/>
    <n v="0"/>
    <n v="0"/>
    <n v="101"/>
    <s v="_x0000_US"/>
  </r>
  <r>
    <x v="0"/>
    <n v="13.6915"/>
    <n v="-89.235299999999995"/>
    <n v="8478.2800000000007"/>
    <n v="0"/>
    <n v="0"/>
    <n v="101"/>
    <s v="_x0000_US"/>
  </r>
  <r>
    <x v="0"/>
    <n v="13.6892"/>
    <n v="-89.235699999999994"/>
    <n v="8479.06"/>
    <n v="0"/>
    <n v="0"/>
    <n v="101"/>
    <s v="_x0000_US"/>
  </r>
  <r>
    <x v="0"/>
    <n v="13.6873"/>
    <n v="-89.215000000000003"/>
    <n v="8479.61"/>
    <n v="0"/>
    <n v="0"/>
    <n v="101"/>
    <s v="_x0000_US"/>
  </r>
  <r>
    <x v="0"/>
    <n v="13.6912"/>
    <n v="-89.189599999999999"/>
    <n v="8480.4"/>
    <n v="0"/>
    <n v="0"/>
    <n v="101"/>
    <s v="_x0000_US"/>
  </r>
  <r>
    <x v="0"/>
    <n v="13.693"/>
    <n v="-89.186000000000007"/>
    <n v="8480.5400000000009"/>
    <n v="0"/>
    <n v="0"/>
    <n v="101"/>
    <s v="_x0000_US"/>
  </r>
  <r>
    <x v="0"/>
    <n v="13.6858"/>
    <n v="-89.201499999999996"/>
    <n v="8480.91"/>
    <n v="0"/>
    <n v="0"/>
    <n v="101"/>
    <s v="_x0000_US"/>
  </r>
  <r>
    <x v="0"/>
    <n v="13.6919"/>
    <n v="-89.224999999999994"/>
    <n v="8481.1"/>
    <n v="0"/>
    <n v="0"/>
    <n v="101"/>
    <s v="_x0000_US"/>
  </r>
  <r>
    <x v="0"/>
    <n v="13.692399999999999"/>
    <n v="-89.179000000000002"/>
    <n v="8481.4699999999993"/>
    <n v="0"/>
    <n v="0"/>
    <n v="101"/>
    <s v="_x0000_US"/>
  </r>
  <r>
    <x v="0"/>
    <n v="13.690899999999999"/>
    <n v="-89.231499999999997"/>
    <n v="8482.17"/>
    <n v="0"/>
    <n v="0"/>
    <n v="101"/>
    <s v="_x0000_US"/>
  </r>
  <r>
    <x v="0"/>
    <n v="13.691599999999999"/>
    <n v="-89.228399999999993"/>
    <n v="8482.83"/>
    <n v="0"/>
    <n v="0"/>
    <n v="101"/>
    <s v="_x0000_US"/>
  </r>
  <r>
    <x v="0"/>
    <n v="13.6922"/>
    <n v="-89.222499999999997"/>
    <n v="8484.41"/>
    <n v="0"/>
    <n v="0"/>
    <n v="101"/>
    <s v="_x0000_US"/>
  </r>
  <r>
    <x v="0"/>
    <n v="13.6883"/>
    <n v="-89.205500000000001"/>
    <n v="8484.42"/>
    <n v="0"/>
    <n v="0"/>
    <n v="101"/>
    <s v="_x0000_US"/>
  </r>
  <r>
    <x v="0"/>
    <n v="13.687799999999999"/>
    <n v="-89.1798"/>
    <n v="8484.89"/>
    <n v="0"/>
    <n v="0"/>
    <n v="101"/>
    <s v="_x0000_US"/>
  </r>
  <r>
    <x v="0"/>
    <n v="13.6868"/>
    <n v="-89.194599999999994"/>
    <n v="8485.2099999999991"/>
    <n v="0"/>
    <n v="0"/>
    <n v="101"/>
    <s v="_x0000_US"/>
  </r>
  <r>
    <x v="0"/>
    <n v="13.690899999999999"/>
    <n v="-89.181799999999996"/>
    <n v="8485.5400000000009"/>
    <n v="0"/>
    <n v="0"/>
    <n v="101"/>
    <s v="_x0000_US"/>
  </r>
  <r>
    <x v="0"/>
    <n v="13.6935"/>
    <n v="-89.1738"/>
    <n v="8485.66"/>
    <n v="0"/>
    <n v="0"/>
    <n v="101"/>
    <s v="_x0000_US"/>
  </r>
  <r>
    <x v="0"/>
    <n v="13.691000000000001"/>
    <n v="-89.185299999999998"/>
    <n v="8486.17"/>
    <n v="0"/>
    <n v="0"/>
    <n v="101"/>
    <s v="_x0000_US"/>
  </r>
  <r>
    <x v="0"/>
    <n v="13.690799999999999"/>
    <n v="-89.235799999999998"/>
    <n v="8486.9500000000007"/>
    <n v="0"/>
    <n v="0"/>
    <n v="101"/>
    <s v="_x0000_US"/>
  </r>
  <r>
    <x v="0"/>
    <n v="13.6942"/>
    <n v="-89.175399999999996"/>
    <n v="8488.86"/>
    <n v="0"/>
    <n v="0"/>
    <n v="101"/>
    <s v="_x0000_US"/>
  </r>
  <r>
    <x v="0"/>
    <n v="13.6891"/>
    <n v="-89.211399999999998"/>
    <n v="8489.1299999999992"/>
    <n v="0"/>
    <n v="0"/>
    <n v="101"/>
    <s v="_x0000_US"/>
  </r>
  <r>
    <x v="0"/>
    <n v="13.691000000000001"/>
    <n v="-89.219700000000003"/>
    <n v="8490.06"/>
    <n v="0"/>
    <n v="0"/>
    <n v="101"/>
    <s v="_x0000_US"/>
  </r>
  <r>
    <x v="0"/>
    <n v="13.6898"/>
    <n v="-89.193899999999999"/>
    <n v="8490.39"/>
    <n v="0"/>
    <n v="0"/>
    <n v="101"/>
    <s v="_x0000_US"/>
  </r>
  <r>
    <x v="0"/>
    <n v="13.695499999999999"/>
    <n v="-89.173900000000003"/>
    <n v="8491.48"/>
    <n v="0"/>
    <n v="0"/>
    <n v="101"/>
    <s v="_x0000_US"/>
  </r>
  <r>
    <x v="0"/>
    <n v="13.6904"/>
    <n v="-89.179900000000004"/>
    <n v="8493.08"/>
    <n v="0"/>
    <n v="0"/>
    <n v="101"/>
    <s v="_x0000_US"/>
  </r>
  <r>
    <x v="0"/>
    <n v="13.6921"/>
    <n v="-89.183300000000003"/>
    <n v="8493.18"/>
    <n v="0"/>
    <n v="0"/>
    <n v="101"/>
    <s v="_x0000_US"/>
  </r>
  <r>
    <x v="0"/>
    <n v="13.6944"/>
    <n v="-89.182599999999994"/>
    <n v="8494.0400000000009"/>
    <n v="0"/>
    <n v="0"/>
    <n v="101"/>
    <s v="_x0000_US"/>
  </r>
  <r>
    <x v="0"/>
    <n v="13.692399999999999"/>
    <n v="-89.223299999999995"/>
    <n v="8495.23"/>
    <n v="0"/>
    <n v="0"/>
    <n v="101"/>
    <s v="_x0000_US"/>
  </r>
  <r>
    <x v="0"/>
    <n v="13.693"/>
    <n v="-89.185500000000005"/>
    <n v="8496.6299999999992"/>
    <n v="0"/>
    <n v="0"/>
    <n v="101"/>
    <s v="_x0000_US"/>
  </r>
  <r>
    <x v="0"/>
    <n v="13.687200000000001"/>
    <n v="-89.195899999999995"/>
    <n v="8497.94"/>
    <n v="0"/>
    <n v="0"/>
    <n v="101"/>
    <s v="_x0000_US"/>
  </r>
  <r>
    <x v="0"/>
    <n v="13.688599999999999"/>
    <n v="-89.190600000000003"/>
    <n v="8498.11"/>
    <n v="0"/>
    <n v="0"/>
    <n v="101"/>
    <s v="_x0000_US"/>
  </r>
  <r>
    <x v="0"/>
    <n v="13.6914"/>
    <n v="-89.234499999999997"/>
    <n v="8498.73"/>
    <n v="0"/>
    <n v="0"/>
    <n v="101"/>
    <s v="_x0000_US"/>
  </r>
  <r>
    <x v="0"/>
    <n v="13.679600000000001"/>
    <n v="-89.1965"/>
    <n v="8498.7999999999993"/>
    <n v="0"/>
    <n v="0"/>
    <n v="101"/>
    <s v="_x0000_US"/>
  </r>
  <r>
    <x v="0"/>
    <n v="13.6907"/>
    <n v="-89.194100000000006"/>
    <n v="8501.15"/>
    <n v="0"/>
    <n v="0"/>
    <n v="101"/>
    <s v="_x0000_US"/>
  </r>
  <r>
    <x v="0"/>
    <n v="13.690300000000001"/>
    <n v="-89.179699999999997"/>
    <n v="8501.33"/>
    <n v="0"/>
    <n v="0"/>
    <n v="101"/>
    <s v="_x0000_US"/>
  </r>
  <r>
    <x v="0"/>
    <n v="13.687099999999999"/>
    <n v="-89.1965"/>
    <n v="8502.0300000000007"/>
    <n v="0"/>
    <n v="0"/>
    <n v="101"/>
    <s v="_x0000_US"/>
  </r>
  <r>
    <x v="0"/>
    <n v="13.6952"/>
    <n v="-89.174700000000001"/>
    <n v="8502.0400000000009"/>
    <n v="0"/>
    <n v="0"/>
    <n v="101"/>
    <s v="_x0000_US"/>
  </r>
  <r>
    <x v="0"/>
    <n v="13.6778"/>
    <n v="-89.246799999999993"/>
    <n v="8502.9699999999993"/>
    <n v="0"/>
    <n v="0"/>
    <n v="101"/>
    <s v="_x0000_US"/>
  </r>
  <r>
    <x v="0"/>
    <n v="13.691800000000001"/>
    <n v="-89.175899999999999"/>
    <n v="8502.98"/>
    <n v="0"/>
    <n v="0"/>
    <n v="101"/>
    <s v="_x0000_US"/>
  </r>
  <r>
    <x v="0"/>
    <n v="13.6875"/>
    <n v="-89.214799999999997"/>
    <n v="8503.19"/>
    <n v="0"/>
    <n v="0"/>
    <n v="101"/>
    <s v="_x0000_US"/>
  </r>
  <r>
    <x v="0"/>
    <n v="13.6906"/>
    <n v="-89.233699999999999"/>
    <n v="8503.6200000000008"/>
    <n v="0"/>
    <n v="0"/>
    <n v="101"/>
    <s v="_x0000_US"/>
  </r>
  <r>
    <x v="0"/>
    <n v="13.6882"/>
    <n v="-89.194000000000003"/>
    <n v="8503.8799999999992"/>
    <n v="0"/>
    <n v="0"/>
    <n v="101"/>
    <s v="_x0000_US"/>
  </r>
  <r>
    <x v="0"/>
    <n v="13.691000000000001"/>
    <n v="-89.188699999999997"/>
    <n v="8504.25"/>
    <n v="0"/>
    <n v="0"/>
    <n v="101"/>
    <s v="_x0000_US"/>
  </r>
  <r>
    <x v="0"/>
    <n v="13.686999999999999"/>
    <n v="-89.192599999999999"/>
    <n v="8504.67"/>
    <n v="0"/>
    <n v="0"/>
    <n v="101"/>
    <s v="_x0000_US"/>
  </r>
  <r>
    <x v="0"/>
    <n v="13.6906"/>
    <n v="-89.233599999999996"/>
    <n v="8507.5300000000007"/>
    <n v="0"/>
    <n v="0"/>
    <n v="101"/>
    <s v="_x0000_US"/>
  </r>
  <r>
    <x v="0"/>
    <n v="13.6897"/>
    <n v="-89.177599999999998"/>
    <n v="8508.26"/>
    <n v="0"/>
    <n v="0"/>
    <n v="101"/>
    <s v="_x0000_US"/>
  </r>
  <r>
    <x v="0"/>
    <n v="13.685700000000001"/>
    <n v="-89.215100000000007"/>
    <n v="8508.98"/>
    <n v="0"/>
    <n v="0"/>
    <n v="101"/>
    <s v="_x0000_US"/>
  </r>
  <r>
    <x v="0"/>
    <n v="13.678900000000001"/>
    <n v="-89.196399999999997"/>
    <n v="8509.23"/>
    <n v="0"/>
    <n v="0"/>
    <n v="101"/>
    <s v="_x0000_US"/>
  </r>
  <r>
    <x v="0"/>
    <n v="13.6876"/>
    <n v="-89.197199999999995"/>
    <n v="8510.35"/>
    <n v="0"/>
    <n v="0"/>
    <n v="101"/>
    <s v="_x0000_US"/>
  </r>
  <r>
    <x v="0"/>
    <n v="13.6747"/>
    <n v="-89.199600000000004"/>
    <n v="8510.3700000000008"/>
    <n v="0"/>
    <n v="0"/>
    <n v="101"/>
    <s v="_x0000_US"/>
  </r>
  <r>
    <x v="0"/>
    <n v="13.6951"/>
    <n v="-89.173500000000004"/>
    <n v="8511.0400000000009"/>
    <n v="0"/>
    <n v="0"/>
    <n v="101"/>
    <s v="_x0000_US"/>
  </r>
  <r>
    <x v="0"/>
    <n v="13.6905"/>
    <n v="-89.231700000000004"/>
    <n v="8512.4699999999993"/>
    <n v="0"/>
    <n v="0"/>
    <n v="101"/>
    <s v="_x0000_US"/>
  </r>
  <r>
    <x v="0"/>
    <n v="13.6873"/>
    <n v="-89.214799999999997"/>
    <n v="8513.2099999999991"/>
    <n v="0"/>
    <n v="0"/>
    <n v="101"/>
    <s v="_x0000_US"/>
  </r>
  <r>
    <x v="0"/>
    <n v="13.6938"/>
    <n v="-89.172799999999995"/>
    <n v="8514.02"/>
    <n v="0"/>
    <n v="0"/>
    <n v="101"/>
    <s v="_x0000_US"/>
  </r>
  <r>
    <x v="0"/>
    <n v="13.692600000000001"/>
    <n v="-89.178200000000004"/>
    <n v="8516.67"/>
    <n v="0"/>
    <n v="0"/>
    <n v="101"/>
    <s v="_x0000_US"/>
  </r>
  <r>
    <x v="0"/>
    <n v="13.6876"/>
    <n v="-89.216700000000003"/>
    <n v="8517.41"/>
    <n v="0"/>
    <n v="0"/>
    <n v="101"/>
    <s v="_x0000_US"/>
  </r>
  <r>
    <x v="0"/>
    <n v="13.6806"/>
    <n v="-89.198499999999996"/>
    <n v="8517.5300000000007"/>
    <n v="0"/>
    <n v="0"/>
    <n v="101"/>
    <s v="_x0000_US"/>
  </r>
  <r>
    <x v="0"/>
    <n v="13.691800000000001"/>
    <n v="-89.186000000000007"/>
    <n v="8517.73"/>
    <n v="0"/>
    <n v="0"/>
    <n v="101"/>
    <s v="_x0000_US"/>
  </r>
  <r>
    <x v="0"/>
    <n v="13.690899999999999"/>
    <n v="-89.188900000000004"/>
    <n v="8518.06"/>
    <n v="0"/>
    <n v="0"/>
    <n v="101"/>
    <s v="_x0000_US"/>
  </r>
  <r>
    <x v="0"/>
    <n v="13.692500000000001"/>
    <n v="-89.178700000000006"/>
    <n v="8518.4500000000007"/>
    <n v="0"/>
    <n v="0"/>
    <n v="101"/>
    <s v="_x0000_US"/>
  </r>
  <r>
    <x v="0"/>
    <n v="13.691000000000001"/>
    <n v="-89.233999999999995"/>
    <n v="8519.9699999999993"/>
    <n v="0"/>
    <n v="0"/>
    <n v="101"/>
    <s v="_x0000_US"/>
  </r>
  <r>
    <x v="0"/>
    <n v="13.696999999999999"/>
    <n v="-89.171400000000006"/>
    <n v="8521.0499999999993"/>
    <n v="0"/>
    <n v="0"/>
    <n v="101"/>
    <s v="_x0000_US"/>
  </r>
  <r>
    <x v="0"/>
    <n v="13.6915"/>
    <n v="-89.185500000000005"/>
    <n v="8521.26"/>
    <n v="0"/>
    <n v="0"/>
    <n v="101"/>
    <s v="_x0000_US"/>
  </r>
  <r>
    <x v="0"/>
    <n v="13.687200000000001"/>
    <n v="-89.195499999999996"/>
    <n v="8521.34"/>
    <n v="0"/>
    <n v="0"/>
    <n v="101"/>
    <s v="_x0000_US"/>
  </r>
  <r>
    <x v="0"/>
    <n v="13.6929"/>
    <n v="-89.176400000000001"/>
    <n v="8521.41"/>
    <n v="0"/>
    <n v="0"/>
    <n v="101"/>
    <s v="_x0000_US"/>
  </r>
  <r>
    <x v="0"/>
    <n v="13.691700000000001"/>
    <n v="-89.225399999999993"/>
    <n v="8524.61"/>
    <n v="0"/>
    <n v="0"/>
    <n v="101"/>
    <s v="_x0000_US"/>
  </r>
  <r>
    <x v="0"/>
    <n v="13.692399999999999"/>
    <n v="-89.175200000000004"/>
    <n v="8524.94"/>
    <n v="0"/>
    <n v="0"/>
    <n v="101"/>
    <s v="_x0000_US"/>
  </r>
  <r>
    <x v="0"/>
    <n v="13.692399999999999"/>
    <n v="-89.197500000000005"/>
    <n v="8526.86"/>
    <n v="0"/>
    <n v="0"/>
    <n v="101"/>
    <s v="_x0000_US"/>
  </r>
  <r>
    <x v="0"/>
    <n v="13.687099999999999"/>
    <n v="-89.197299999999998"/>
    <n v="8527.43"/>
    <n v="0"/>
    <n v="0"/>
    <n v="101"/>
    <s v="_x0000_US"/>
  </r>
  <r>
    <x v="0"/>
    <n v="13.6959"/>
    <n v="-89.173100000000005"/>
    <n v="8527.84"/>
    <n v="0"/>
    <n v="0"/>
    <n v="101"/>
    <s v="_x0000_US"/>
  </r>
  <r>
    <x v="0"/>
    <n v="13.692600000000001"/>
    <n v="-89.174300000000002"/>
    <n v="8528.16"/>
    <n v="0"/>
    <n v="0"/>
    <n v="101"/>
    <s v="_x0000_US"/>
  </r>
  <r>
    <x v="0"/>
    <n v="13.6904"/>
    <n v="-89.234200000000001"/>
    <n v="8528.99"/>
    <n v="0"/>
    <n v="0"/>
    <n v="101"/>
    <s v="_x0000_US"/>
  </r>
  <r>
    <x v="0"/>
    <n v="13.6912"/>
    <n v="-89.23"/>
    <n v="8529.56"/>
    <n v="0"/>
    <n v="0"/>
    <n v="101"/>
    <s v="_x0000_US"/>
  </r>
  <r>
    <x v="0"/>
    <n v="13.691700000000001"/>
    <n v="-89.183899999999994"/>
    <n v="8529.64"/>
    <n v="0"/>
    <n v="0"/>
    <n v="101"/>
    <s v="_x0000_US"/>
  </r>
  <r>
    <x v="0"/>
    <n v="13.687200000000001"/>
    <n v="-89.182599999999994"/>
    <n v="8530.35"/>
    <n v="0"/>
    <n v="0"/>
    <n v="101"/>
    <s v="_x0000_US"/>
  </r>
  <r>
    <x v="0"/>
    <n v="13.690799999999999"/>
    <n v="-89.233500000000006"/>
    <n v="8530.8700000000008"/>
    <n v="0"/>
    <n v="0"/>
    <n v="101"/>
    <s v="_x0000_US"/>
  </r>
  <r>
    <x v="0"/>
    <n v="13.673299999999999"/>
    <n v="-89.251499999999993"/>
    <n v="8531.69"/>
    <n v="0"/>
    <n v="0"/>
    <n v="101"/>
    <s v="_x0000_US"/>
  </r>
  <r>
    <x v="0"/>
    <n v="13.6922"/>
    <n v="-89.179299999999998"/>
    <n v="8531.84"/>
    <n v="0"/>
    <n v="0"/>
    <n v="101"/>
    <s v="_x0000_US"/>
  </r>
  <r>
    <x v="0"/>
    <n v="13.684699999999999"/>
    <n v="-89.214200000000005"/>
    <n v="8532.1200000000008"/>
    <n v="0"/>
    <n v="0"/>
    <n v="101"/>
    <s v="_x0000_US"/>
  </r>
  <r>
    <x v="0"/>
    <n v="13.6858"/>
    <n v="-89.213499999999996"/>
    <n v="8533.66"/>
    <n v="0"/>
    <n v="0"/>
    <n v="101"/>
    <s v="_x0000_US"/>
  </r>
  <r>
    <x v="0"/>
    <n v="13.6877"/>
    <n v="-89.197000000000003"/>
    <n v="8533.7900000000009"/>
    <n v="0"/>
    <n v="0"/>
    <n v="101"/>
    <s v="_x0000_US"/>
  </r>
  <r>
    <x v="0"/>
    <n v="13.684900000000001"/>
    <n v="-89.194000000000003"/>
    <n v="8535.41"/>
    <n v="0"/>
    <n v="0"/>
    <n v="101"/>
    <s v="_x0000_US"/>
  </r>
  <r>
    <x v="0"/>
    <n v="13.679500000000001"/>
    <n v="-89.196799999999996"/>
    <n v="8537.26"/>
    <n v="0"/>
    <n v="0"/>
    <n v="101"/>
    <s v="_x0000_US"/>
  </r>
  <r>
    <x v="0"/>
    <n v="13.687799999999999"/>
    <n v="-89.194599999999994"/>
    <n v="8538.34"/>
    <n v="0"/>
    <n v="0"/>
    <n v="101"/>
    <s v="_x0000_US"/>
  </r>
  <r>
    <x v="0"/>
    <n v="13.686999999999999"/>
    <n v="-89.183599999999998"/>
    <n v="8539.17"/>
    <n v="0"/>
    <n v="0"/>
    <n v="101"/>
    <s v="_x0000_US"/>
  </r>
  <r>
    <x v="0"/>
    <n v="13.6934"/>
    <n v="-89.177300000000002"/>
    <n v="8539.26"/>
    <n v="0"/>
    <n v="0"/>
    <n v="101"/>
    <s v="_x0000_US"/>
  </r>
  <r>
    <x v="0"/>
    <n v="13.6906"/>
    <n v="-89.235200000000006"/>
    <n v="8541.52"/>
    <n v="0"/>
    <n v="0"/>
    <n v="101"/>
    <s v="_x0000_US"/>
  </r>
  <r>
    <x v="0"/>
    <n v="13.693300000000001"/>
    <n v="-89.183300000000003"/>
    <n v="8543.83"/>
    <n v="0"/>
    <n v="0"/>
    <n v="101"/>
    <s v="_x0000_US"/>
  </r>
  <r>
    <x v="0"/>
    <n v="13.6868"/>
    <n v="-89.212400000000002"/>
    <n v="8543.9500000000007"/>
    <n v="0"/>
    <n v="0"/>
    <n v="101"/>
    <s v="_x0000_US"/>
  </r>
  <r>
    <x v="0"/>
    <n v="13.693899999999999"/>
    <n v="-89.175200000000004"/>
    <n v="8545.2999999999993"/>
    <n v="0"/>
    <n v="0"/>
    <n v="101"/>
    <s v="_x0000_US"/>
  </r>
  <r>
    <x v="0"/>
    <n v="13.692"/>
    <n v="-89.221599999999995"/>
    <n v="8545.82"/>
    <n v="0"/>
    <n v="0"/>
    <n v="101"/>
    <s v="_x0000_US"/>
  </r>
  <r>
    <x v="0"/>
    <n v="13.6943"/>
    <n v="-89.173000000000002"/>
    <n v="8547.9"/>
    <n v="0"/>
    <n v="0"/>
    <n v="101"/>
    <s v="_x0000_US"/>
  </r>
  <r>
    <x v="0"/>
    <n v="13.6746"/>
    <n v="-89.252399999999994"/>
    <n v="8551.01"/>
    <n v="0"/>
    <n v="0"/>
    <n v="101"/>
    <s v="_x0000_US"/>
  </r>
  <r>
    <x v="0"/>
    <n v="13.6907"/>
    <n v="-89.187299999999993"/>
    <n v="8551.7900000000009"/>
    <n v="0"/>
    <n v="0"/>
    <n v="101"/>
    <s v="_x0000_US"/>
  </r>
  <r>
    <x v="0"/>
    <n v="13.690300000000001"/>
    <n v="-89.228300000000004"/>
    <n v="8552.01"/>
    <n v="0"/>
    <n v="0"/>
    <n v="101"/>
    <s v="_x0000_US"/>
  </r>
  <r>
    <x v="0"/>
    <n v="13.6936"/>
    <n v="-89.176699999999997"/>
    <n v="8552.2900000000009"/>
    <n v="0"/>
    <n v="0"/>
    <n v="101"/>
    <s v="_x0000_US"/>
  </r>
  <r>
    <x v="0"/>
    <n v="13.6905"/>
    <n v="-89.232100000000003"/>
    <n v="8552.42"/>
    <n v="0"/>
    <n v="0"/>
    <n v="101"/>
    <s v="_x0000_US"/>
  </r>
  <r>
    <x v="0"/>
    <n v="13.6892"/>
    <n v="-89.229600000000005"/>
    <n v="8552.9699999999993"/>
    <n v="0"/>
    <n v="0"/>
    <n v="101"/>
    <s v="_x0000_US"/>
  </r>
  <r>
    <x v="0"/>
    <n v="13.6935"/>
    <n v="-89.188699999999997"/>
    <n v="8554.44"/>
    <n v="0"/>
    <n v="0"/>
    <n v="101"/>
    <s v="_x0000_US"/>
  </r>
  <r>
    <x v="0"/>
    <n v="13.688700000000001"/>
    <n v="-89.229699999999994"/>
    <n v="8555.19"/>
    <n v="0"/>
    <n v="0"/>
    <n v="101"/>
    <s v="_x0000_US"/>
  </r>
  <r>
    <x v="0"/>
    <n v="13.686400000000001"/>
    <n v="-89.214500000000001"/>
    <n v="8557.67"/>
    <n v="0"/>
    <n v="0"/>
    <n v="101"/>
    <s v="_x0000_US"/>
  </r>
  <r>
    <x v="0"/>
    <n v="13.6874"/>
    <n v="-89.204300000000003"/>
    <n v="8558.3700000000008"/>
    <n v="0"/>
    <n v="0"/>
    <n v="101"/>
    <s v="_x0000_US"/>
  </r>
  <r>
    <x v="0"/>
    <n v="13.6928"/>
    <n v="-89.224000000000004"/>
    <n v="8558.4699999999993"/>
    <n v="0"/>
    <n v="0"/>
    <n v="101"/>
    <s v="_x0000_US"/>
  </r>
  <r>
    <x v="0"/>
    <n v="13.690799999999999"/>
    <n v="-89.197699999999998"/>
    <n v="8559.49"/>
    <n v="0"/>
    <n v="0"/>
    <n v="101"/>
    <s v="_x0000_US"/>
  </r>
  <r>
    <x v="0"/>
    <n v="13.6919"/>
    <n v="-89.196299999999994"/>
    <n v="8560.52"/>
    <n v="0"/>
    <n v="0"/>
    <n v="101"/>
    <s v="_x0000_US"/>
  </r>
  <r>
    <x v="0"/>
    <n v="13.692600000000001"/>
    <n v="-89.226100000000002"/>
    <n v="8560.74"/>
    <n v="0"/>
    <n v="0"/>
    <n v="101"/>
    <s v="_x0000_US"/>
  </r>
  <r>
    <x v="0"/>
    <n v="13.6745"/>
    <n v="-89.199299999999994"/>
    <n v="8562.5499999999993"/>
    <n v="0"/>
    <n v="0"/>
    <n v="101"/>
    <s v="_x0000_US"/>
  </r>
  <r>
    <x v="0"/>
    <n v="13.6927"/>
    <n v="-89.224100000000007"/>
    <n v="8562.5499999999993"/>
    <n v="0"/>
    <n v="0"/>
    <n v="101"/>
    <s v="_x0000_US"/>
  </r>
  <r>
    <x v="0"/>
    <n v="13.6936"/>
    <n v="-89.176500000000004"/>
    <n v="8562.86"/>
    <n v="0"/>
    <n v="0"/>
    <n v="101"/>
    <s v="_x0000_US"/>
  </r>
  <r>
    <x v="0"/>
    <n v="13.6797"/>
    <n v="-89.196799999999996"/>
    <n v="8563.5"/>
    <n v="0"/>
    <n v="0"/>
    <n v="101"/>
    <s v="_x0000_US"/>
  </r>
  <r>
    <x v="0"/>
    <n v="13.691599999999999"/>
    <n v="-89.186000000000007"/>
    <n v="8564.67"/>
    <n v="0"/>
    <n v="0"/>
    <n v="101"/>
    <s v="_x0000_US"/>
  </r>
  <r>
    <x v="0"/>
    <n v="13.6906"/>
    <n v="-89.186700000000002"/>
    <n v="8566.43"/>
    <n v="0"/>
    <n v="0"/>
    <n v="101"/>
    <s v="_x0000_US"/>
  </r>
  <r>
    <x v="0"/>
    <n v="13.692600000000001"/>
    <n v="-89.174099999999996"/>
    <n v="8566.7099999999991"/>
    <n v="0"/>
    <n v="0"/>
    <n v="101"/>
    <s v="_x0000_US"/>
  </r>
  <r>
    <x v="0"/>
    <n v="13.6866"/>
    <n v="-89.216399999999993"/>
    <n v="8566.89"/>
    <n v="0"/>
    <n v="0"/>
    <n v="101"/>
    <s v="_x0000_US"/>
  </r>
  <r>
    <x v="0"/>
    <n v="13.690200000000001"/>
    <n v="-89.235100000000003"/>
    <n v="8567.3799999999992"/>
    <n v="0"/>
    <n v="0"/>
    <n v="101"/>
    <s v="_x0000_US"/>
  </r>
  <r>
    <x v="0"/>
    <n v="13.6859"/>
    <n v="-89.202200000000005"/>
    <n v="8567.7800000000007"/>
    <n v="0"/>
    <n v="0"/>
    <n v="101"/>
    <s v="_x0000_US"/>
  </r>
  <r>
    <x v="0"/>
    <n v="13.6884"/>
    <n v="-89.204700000000003"/>
    <n v="8567.91"/>
    <n v="0"/>
    <n v="0"/>
    <n v="101"/>
    <s v="_x0000_US"/>
  </r>
  <r>
    <x v="0"/>
    <n v="13.6854"/>
    <n v="-89.201800000000006"/>
    <n v="8568.15"/>
    <n v="0"/>
    <n v="0"/>
    <n v="101"/>
    <s v="_x0000_US"/>
  </r>
  <r>
    <x v="0"/>
    <n v="13.6851"/>
    <n v="-89.216999999999999"/>
    <n v="8568.15"/>
    <n v="0"/>
    <n v="0"/>
    <n v="101"/>
    <s v="_x0000_US"/>
  </r>
  <r>
    <x v="0"/>
    <n v="13.690200000000001"/>
    <n v="-89.183199999999999"/>
    <n v="8570.09"/>
    <n v="0"/>
    <n v="0"/>
    <n v="101"/>
    <s v="_x0000_US"/>
  </r>
  <r>
    <x v="0"/>
    <n v="13.690899999999999"/>
    <n v="-89.195400000000006"/>
    <n v="8571.7199999999993"/>
    <n v="0"/>
    <n v="0"/>
    <n v="101"/>
    <s v="_x0000_US"/>
  </r>
  <r>
    <x v="0"/>
    <n v="13.6861"/>
    <n v="-89.195400000000006"/>
    <n v="8572.0400000000009"/>
    <n v="0"/>
    <n v="0"/>
    <n v="101"/>
    <s v="_x0000_US"/>
  </r>
  <r>
    <x v="0"/>
    <n v="13.6957"/>
    <n v="-89.173299999999998"/>
    <n v="8573.68"/>
    <n v="0"/>
    <n v="0"/>
    <n v="101"/>
    <s v="_x0000_US"/>
  </r>
  <r>
    <x v="0"/>
    <n v="13.6736"/>
    <n v="-89.2029"/>
    <n v="8575.34"/>
    <n v="0"/>
    <n v="0"/>
    <n v="101"/>
    <s v="_x0000_US"/>
  </r>
  <r>
    <x v="0"/>
    <n v="13.697100000000001"/>
    <n v="-89.171599999999998"/>
    <n v="8577.58"/>
    <n v="0"/>
    <n v="0"/>
    <n v="101"/>
    <s v="_x0000_US"/>
  </r>
  <r>
    <x v="0"/>
    <n v="13.6907"/>
    <n v="-89.187600000000003"/>
    <n v="8581.25"/>
    <n v="0"/>
    <n v="0"/>
    <n v="101"/>
    <s v="_x0000_US"/>
  </r>
  <r>
    <x v="0"/>
    <n v="13.6927"/>
    <n v="-89.178200000000004"/>
    <n v="8582.65"/>
    <n v="0"/>
    <n v="0"/>
    <n v="101"/>
    <s v="_x0000_US"/>
  </r>
  <r>
    <x v="0"/>
    <n v="13.695"/>
    <n v="-89.171899999999994"/>
    <n v="8583.9699999999993"/>
    <n v="0"/>
    <n v="0"/>
    <n v="101"/>
    <s v="_x0000_US"/>
  </r>
  <r>
    <x v="0"/>
    <n v="13.6904"/>
    <n v="-89.228099999999998"/>
    <n v="8585.52"/>
    <n v="0"/>
    <n v="0"/>
    <n v="101"/>
    <s v="_x0000_US"/>
  </r>
  <r>
    <x v="0"/>
    <n v="13.6877"/>
    <n v="-89.180599999999998"/>
    <n v="8586.5499999999993"/>
    <n v="0"/>
    <n v="0"/>
    <n v="101"/>
    <s v="_x0000_US"/>
  </r>
  <r>
    <x v="0"/>
    <n v="13.695499999999999"/>
    <n v="-89.172899999999998"/>
    <n v="8587.9"/>
    <n v="0"/>
    <n v="0"/>
    <n v="101"/>
    <s v="_x0000_US"/>
  </r>
  <r>
    <x v="0"/>
    <n v="13.689"/>
    <n v="-89.190399999999997"/>
    <n v="8588.17"/>
    <n v="0"/>
    <n v="0"/>
    <n v="101"/>
    <s v="_x0000_US"/>
  </r>
  <r>
    <x v="0"/>
    <n v="13.6752"/>
    <n v="-89.250299999999996"/>
    <n v="8590.5400000000009"/>
    <n v="0"/>
    <n v="0"/>
    <n v="101"/>
    <s v="_x0000_US"/>
  </r>
  <r>
    <x v="0"/>
    <n v="13.6744"/>
    <n v="-89.201899999999995"/>
    <n v="8592.52"/>
    <n v="0"/>
    <n v="0"/>
    <n v="101"/>
    <s v="_x0000_US"/>
  </r>
  <r>
    <x v="0"/>
    <n v="13.686999999999999"/>
    <n v="-89.183800000000005"/>
    <n v="8592.93"/>
    <n v="0"/>
    <n v="0"/>
    <n v="101"/>
    <s v="_x0000_US"/>
  </r>
  <r>
    <x v="0"/>
    <n v="13.687099999999999"/>
    <n v="-89.196899999999999"/>
    <n v="8594.3799999999992"/>
    <n v="0"/>
    <n v="0"/>
    <n v="101"/>
    <s v="_x0000_US"/>
  </r>
  <r>
    <x v="0"/>
    <n v="13.6868"/>
    <n v="-89.194500000000005"/>
    <n v="8594.41"/>
    <n v="0"/>
    <n v="0"/>
    <n v="101"/>
    <s v="_x0000_US"/>
  </r>
  <r>
    <x v="0"/>
    <n v="13.695499999999999"/>
    <n v="-89.173500000000004"/>
    <n v="8594.41"/>
    <n v="0"/>
    <n v="0"/>
    <n v="101"/>
    <s v="_x0000_US"/>
  </r>
  <r>
    <x v="0"/>
    <n v="13.691800000000001"/>
    <n v="-89.221800000000002"/>
    <n v="8594.82"/>
    <n v="0"/>
    <n v="0"/>
    <n v="101"/>
    <s v="_x0000_US"/>
  </r>
  <r>
    <x v="0"/>
    <n v="13.6751"/>
    <n v="-89.1999"/>
    <n v="8595.83"/>
    <n v="0"/>
    <n v="0"/>
    <n v="101"/>
    <s v="_x0000_US"/>
  </r>
  <r>
    <x v="0"/>
    <n v="13.6873"/>
    <n v="-89.194500000000005"/>
    <n v="8596.39"/>
    <n v="0"/>
    <n v="0"/>
    <n v="101"/>
    <s v="_x0000_US"/>
  </r>
  <r>
    <x v="0"/>
    <n v="13.69"/>
    <n v="-89.1798"/>
    <n v="8597.83"/>
    <n v="0"/>
    <n v="0"/>
    <n v="101"/>
    <s v="_x0000_US"/>
  </r>
  <r>
    <x v="0"/>
    <n v="13.6914"/>
    <n v="-89.234700000000004"/>
    <n v="8600.18"/>
    <n v="0"/>
    <n v="0"/>
    <n v="101"/>
    <s v="_x0000_US"/>
  </r>
  <r>
    <x v="0"/>
    <n v="13.6853"/>
    <n v="-89.214200000000005"/>
    <n v="8600.31"/>
    <n v="0"/>
    <n v="0"/>
    <n v="101"/>
    <s v="_x0000_US"/>
  </r>
  <r>
    <x v="0"/>
    <n v="13.6797"/>
    <n v="-89.196799999999996"/>
    <n v="8603.16"/>
    <n v="0"/>
    <n v="0"/>
    <n v="101"/>
    <s v="_x0000_US"/>
  </r>
  <r>
    <x v="0"/>
    <n v="13.690799999999999"/>
    <n v="-89.234999999999999"/>
    <n v="8603.18"/>
    <n v="0"/>
    <n v="0"/>
    <n v="101"/>
    <s v="_x0000_US"/>
  </r>
  <r>
    <x v="0"/>
    <n v="13.696400000000001"/>
    <n v="-89.171700000000001"/>
    <n v="8603.33"/>
    <n v="0"/>
    <n v="0"/>
    <n v="101"/>
    <s v="_x0000_US"/>
  </r>
  <r>
    <x v="0"/>
    <n v="13.6884"/>
    <n v="-89.198400000000007"/>
    <n v="8603.34"/>
    <n v="0"/>
    <n v="0"/>
    <n v="101"/>
    <s v="_x0000_US"/>
  </r>
  <r>
    <x v="0"/>
    <n v="13.688599999999999"/>
    <n v="-89.190299999999993"/>
    <n v="8603.41"/>
    <n v="0"/>
    <n v="0"/>
    <n v="101"/>
    <s v="_x0000_US"/>
  </r>
  <r>
    <x v="0"/>
    <n v="13.6944"/>
    <n v="-89.183300000000003"/>
    <n v="8603.5"/>
    <n v="0"/>
    <n v="0"/>
    <n v="101"/>
    <s v="_x0000_US"/>
  </r>
  <r>
    <x v="0"/>
    <n v="13.6897"/>
    <n v="-89.206199999999995"/>
    <n v="8603.84"/>
    <n v="0"/>
    <n v="0"/>
    <n v="101"/>
    <s v="_x0000_US"/>
  </r>
  <r>
    <x v="0"/>
    <n v="13.686199999999999"/>
    <n v="-89.193899999999999"/>
    <n v="8603.98"/>
    <n v="0"/>
    <n v="0"/>
    <n v="101"/>
    <s v="_x0000_US"/>
  </r>
  <r>
    <x v="0"/>
    <n v="13.674899999999999"/>
    <n v="-89.2517"/>
    <n v="8604.3700000000008"/>
    <n v="0"/>
    <n v="0"/>
    <n v="101"/>
    <s v="_x0000_US"/>
  </r>
  <r>
    <x v="0"/>
    <n v="13.695499999999999"/>
    <n v="-89.174300000000002"/>
    <n v="8604.5499999999993"/>
    <n v="0"/>
    <n v="0"/>
    <n v="101"/>
    <s v="_x0000_US"/>
  </r>
  <r>
    <x v="0"/>
    <n v="13.696099999999999"/>
    <n v="-89.172600000000003"/>
    <n v="8606.5400000000009"/>
    <n v="0"/>
    <n v="0"/>
    <n v="101"/>
    <s v="_x0000_US"/>
  </r>
  <r>
    <x v="0"/>
    <n v="13.6904"/>
    <n v="-89.186899999999994"/>
    <n v="8607.42"/>
    <n v="0"/>
    <n v="0"/>
    <n v="101"/>
    <s v="_x0000_US"/>
  </r>
  <r>
    <x v="0"/>
    <n v="13.691000000000001"/>
    <n v="-89.228800000000007"/>
    <n v="8607.4500000000007"/>
    <n v="0"/>
    <n v="0"/>
    <n v="101"/>
    <s v="_x0000_US"/>
  </r>
  <r>
    <x v="0"/>
    <n v="13.6913"/>
    <n v="-89.232699999999994"/>
    <n v="8608.75"/>
    <n v="0"/>
    <n v="0"/>
    <n v="101"/>
    <s v="_x0000_US"/>
  </r>
  <r>
    <x v="0"/>
    <n v="13.686500000000001"/>
    <n v="-89.201999999999998"/>
    <n v="8610.3700000000008"/>
    <n v="0"/>
    <n v="0"/>
    <n v="101"/>
    <s v="_x0000_US"/>
  </r>
  <r>
    <x v="0"/>
    <n v="13.6883"/>
    <n v="-89.179900000000004"/>
    <n v="8614.15"/>
    <n v="0"/>
    <n v="0"/>
    <n v="101"/>
    <s v="_x0000_US"/>
  </r>
  <r>
    <x v="0"/>
    <n v="13.688800000000001"/>
    <n v="-89.205299999999994"/>
    <n v="8614.4699999999993"/>
    <n v="0"/>
    <n v="0"/>
    <n v="101"/>
    <s v="_x0000_US"/>
  </r>
  <r>
    <x v="0"/>
    <n v="13.6914"/>
    <n v="-89.228399999999993"/>
    <n v="8614.73"/>
    <n v="0"/>
    <n v="0"/>
    <n v="101"/>
    <s v="_x0000_US"/>
  </r>
  <r>
    <x v="0"/>
    <n v="13.688499999999999"/>
    <n v="-89.189700000000002"/>
    <n v="8614.94"/>
    <n v="0"/>
    <n v="0"/>
    <n v="101"/>
    <s v="_x0000_US"/>
  </r>
  <r>
    <x v="0"/>
    <n v="13.689500000000001"/>
    <n v="-89.206100000000006"/>
    <n v="8615.06"/>
    <n v="0"/>
    <n v="0"/>
    <n v="101"/>
    <s v="_x0000_US"/>
  </r>
  <r>
    <x v="0"/>
    <n v="13.6899"/>
    <n v="-89.235399999999998"/>
    <n v="8617.4500000000007"/>
    <n v="0"/>
    <n v="0"/>
    <n v="101"/>
    <s v="_x0000_US"/>
  </r>
  <r>
    <x v="0"/>
    <n v="13.6873"/>
    <n v="-89.198099999999997"/>
    <n v="8618.77"/>
    <n v="0"/>
    <n v="0"/>
    <n v="101"/>
    <s v="_x0000_US"/>
  </r>
  <r>
    <x v="0"/>
    <n v="13.692299999999999"/>
    <n v="-89.224400000000003"/>
    <n v="8619.26"/>
    <n v="0"/>
    <n v="0"/>
    <n v="101"/>
    <s v="_x0000_US"/>
  </r>
  <r>
    <x v="0"/>
    <n v="13.6746"/>
    <n v="-89.251099999999994"/>
    <n v="8619.2900000000009"/>
    <n v="0"/>
    <n v="0"/>
    <n v="101"/>
    <s v="_x0000_US"/>
  </r>
  <r>
    <x v="0"/>
    <n v="13.6813"/>
    <n v="-89.197800000000001"/>
    <n v="8619.3700000000008"/>
    <n v="0"/>
    <n v="0"/>
    <n v="101"/>
    <s v="_x0000_US"/>
  </r>
  <r>
    <x v="0"/>
    <n v="13.6875"/>
    <n v="-89.197100000000006"/>
    <n v="8619.59"/>
    <n v="0"/>
    <n v="0"/>
    <n v="101"/>
    <s v="_x0000_US"/>
  </r>
  <r>
    <x v="0"/>
    <n v="13.6922"/>
    <n v="-89.193700000000007"/>
    <n v="8619.6"/>
    <n v="0"/>
    <n v="0"/>
    <n v="101"/>
    <s v="_x0000_US"/>
  </r>
  <r>
    <x v="0"/>
    <n v="13.6896"/>
    <n v="-89.229100000000003"/>
    <n v="8619.7000000000007"/>
    <n v="0"/>
    <n v="0"/>
    <n v="101"/>
    <s v="_x0000_US"/>
  </r>
  <r>
    <x v="0"/>
    <n v="13.690899999999999"/>
    <n v="-89.233599999999996"/>
    <n v="8619.91"/>
    <n v="0"/>
    <n v="0"/>
    <n v="101"/>
    <s v="_x0000_US"/>
  </r>
  <r>
    <x v="0"/>
    <n v="13.6912"/>
    <n v="-89.233500000000006"/>
    <n v="8620.48"/>
    <n v="0"/>
    <n v="0"/>
    <n v="101"/>
    <s v="_x0000_US"/>
  </r>
  <r>
    <x v="0"/>
    <n v="13.690899999999999"/>
    <n v="-89.188500000000005"/>
    <n v="8621.51"/>
    <n v="0"/>
    <n v="0"/>
    <n v="101"/>
    <s v="_x0000_US"/>
  </r>
  <r>
    <x v="0"/>
    <n v="13.685"/>
    <n v="-89.213999999999999"/>
    <n v="8626.5300000000007"/>
    <n v="0"/>
    <n v="0"/>
    <n v="101"/>
    <s v="_x0000_US"/>
  </r>
  <r>
    <x v="0"/>
    <n v="13.6753"/>
    <n v="-89.25"/>
    <n v="8626.86"/>
    <n v="0"/>
    <n v="0"/>
    <n v="101"/>
    <s v="_x0000_US"/>
  </r>
  <r>
    <x v="0"/>
    <n v="13.688000000000001"/>
    <n v="-89.198700000000002"/>
    <n v="8627.77"/>
    <n v="0"/>
    <n v="0"/>
    <n v="101"/>
    <s v="_x0000_US"/>
  </r>
  <r>
    <x v="0"/>
    <n v="13.690300000000001"/>
    <n v="-89.234800000000007"/>
    <n v="8628.01"/>
    <n v="0"/>
    <n v="0"/>
    <n v="101"/>
    <s v="_x0000_US"/>
  </r>
  <r>
    <x v="0"/>
    <n v="13.692500000000001"/>
    <n v="-89.186599999999999"/>
    <n v="8629.17"/>
    <n v="0"/>
    <n v="0"/>
    <n v="101"/>
    <s v="_x0000_US"/>
  </r>
  <r>
    <x v="0"/>
    <n v="13.692299999999999"/>
    <n v="-89.1751"/>
    <n v="8629.33"/>
    <n v="0"/>
    <n v="0"/>
    <n v="101"/>
    <s v="_x0000_US"/>
  </r>
  <r>
    <x v="0"/>
    <n v="13.6919"/>
    <n v="-89.226900000000001"/>
    <n v="8629.6"/>
    <n v="0"/>
    <n v="0"/>
    <n v="101"/>
    <s v="_x0000_US"/>
  </r>
  <r>
    <x v="0"/>
    <n v="13.6884"/>
    <n v="-89.229900000000001"/>
    <n v="8634.57"/>
    <n v="0"/>
    <n v="0"/>
    <n v="101"/>
    <s v="_x0000_US"/>
  </r>
  <r>
    <x v="0"/>
    <n v="13.6911"/>
    <n v="-89.218900000000005"/>
    <n v="8634.61"/>
    <n v="0"/>
    <n v="0"/>
    <n v="101"/>
    <s v="_x0000_US"/>
  </r>
  <r>
    <x v="0"/>
    <n v="13.6912"/>
    <n v="-89.233099999999993"/>
    <n v="8635.5300000000007"/>
    <n v="0"/>
    <n v="0"/>
    <n v="101"/>
    <s v="_x0000_US"/>
  </r>
  <r>
    <x v="0"/>
    <n v="13.6943"/>
    <n v="-89.189099999999996"/>
    <n v="8636.33"/>
    <n v="0"/>
    <n v="0"/>
    <n v="101"/>
    <s v="_x0000_US"/>
  </r>
  <r>
    <x v="0"/>
    <n v="13.6752"/>
    <n v="-89.248599999999996"/>
    <n v="8637.5"/>
    <n v="0"/>
    <n v="0"/>
    <n v="101"/>
    <s v="_x0000_US"/>
  </r>
  <r>
    <x v="0"/>
    <n v="13.692500000000001"/>
    <n v="-89.223299999999995"/>
    <n v="8639.7900000000009"/>
    <n v="0"/>
    <n v="0"/>
    <n v="101"/>
    <s v="_x0000_US"/>
  </r>
  <r>
    <x v="0"/>
    <n v="13.6851"/>
    <n v="-89.215299999999999"/>
    <n v="8639.9"/>
    <n v="0"/>
    <n v="0"/>
    <n v="101"/>
    <s v="_x0000_US"/>
  </r>
  <r>
    <x v="0"/>
    <n v="13.6859"/>
    <n v="-89.212699999999998"/>
    <n v="8640.18"/>
    <n v="0"/>
    <n v="0"/>
    <n v="101"/>
    <s v="_x0000_US"/>
  </r>
  <r>
    <x v="0"/>
    <n v="13.674099999999999"/>
    <n v="-89.202500000000001"/>
    <n v="8641.33"/>
    <n v="0"/>
    <n v="0"/>
    <n v="101"/>
    <s v="_x0000_US"/>
  </r>
  <r>
    <x v="0"/>
    <n v="13.691000000000001"/>
    <n v="-89.2286"/>
    <n v="8642.19"/>
    <n v="0"/>
    <n v="0"/>
    <n v="101"/>
    <s v="_x0000_US"/>
  </r>
  <r>
    <x v="0"/>
    <n v="13.689500000000001"/>
    <n v="-89.178600000000003"/>
    <n v="8642.75"/>
    <n v="0"/>
    <n v="0"/>
    <n v="101"/>
    <s v="_x0000_US"/>
  </r>
  <r>
    <x v="0"/>
    <n v="13.677899999999999"/>
    <n v="-89.246300000000005"/>
    <n v="8643.61"/>
    <n v="0"/>
    <n v="0"/>
    <n v="101"/>
    <s v="_x0000_US"/>
  </r>
  <r>
    <x v="0"/>
    <n v="13.6869"/>
    <n v="-89.194400000000002"/>
    <n v="8643.8799999999992"/>
    <n v="0"/>
    <n v="0"/>
    <n v="101"/>
    <s v="_x0000_US"/>
  </r>
  <r>
    <x v="0"/>
    <n v="13.6882"/>
    <n v="-89.190299999999993"/>
    <n v="8644.52"/>
    <n v="0"/>
    <n v="0"/>
    <n v="101"/>
    <s v="_x0000_US"/>
  </r>
  <r>
    <x v="0"/>
    <n v="13.690899999999999"/>
    <n v="-89.181200000000004"/>
    <n v="8644.65"/>
    <n v="0"/>
    <n v="0"/>
    <n v="101"/>
    <s v="_x0000_US"/>
  </r>
  <r>
    <x v="0"/>
    <n v="13.690799999999999"/>
    <n v="-89.194500000000005"/>
    <n v="8644.9599999999991"/>
    <n v="0"/>
    <n v="0"/>
    <n v="101"/>
    <s v="_x0000_US"/>
  </r>
  <r>
    <x v="0"/>
    <n v="13.687799999999999"/>
    <n v="-89.1815"/>
    <n v="8646.2099999999991"/>
    <n v="0"/>
    <n v="0"/>
    <n v="101"/>
    <s v="_x0000_US"/>
  </r>
  <r>
    <x v="0"/>
    <n v="13.685"/>
    <n v="-89.201499999999996"/>
    <n v="8647.64"/>
    <n v="0"/>
    <n v="0"/>
    <n v="101"/>
    <s v="_x0000_US"/>
  </r>
  <r>
    <x v="0"/>
    <n v="13.694599999999999"/>
    <n v="-89.174300000000002"/>
    <n v="8648.74"/>
    <n v="0"/>
    <n v="0"/>
    <n v="101"/>
    <s v="_x0000_US"/>
  </r>
  <r>
    <x v="0"/>
    <n v="13.6904"/>
    <n v="-89.183800000000005"/>
    <n v="8649.6"/>
    <n v="0"/>
    <n v="0"/>
    <n v="101"/>
    <s v="_x0000_US"/>
  </r>
  <r>
    <x v="0"/>
    <n v="13.692"/>
    <n v="-89.223399999999998"/>
    <n v="8649.86"/>
    <n v="0"/>
    <n v="0"/>
    <n v="101"/>
    <s v="_x0000_US"/>
  </r>
  <r>
    <x v="0"/>
    <n v="13.690300000000001"/>
    <n v="-89.185100000000006"/>
    <n v="8650.08"/>
    <n v="0"/>
    <n v="0"/>
    <n v="101"/>
    <s v="_x0000_US"/>
  </r>
  <r>
    <x v="0"/>
    <n v="13.6915"/>
    <n v="-89.2333"/>
    <n v="8650.92"/>
    <n v="0"/>
    <n v="0"/>
    <n v="101"/>
    <s v="_x0000_US"/>
  </r>
  <r>
    <x v="0"/>
    <n v="13.6906"/>
    <n v="-89.183099999999996"/>
    <n v="8650.93"/>
    <n v="0"/>
    <n v="0"/>
    <n v="101"/>
    <s v="_x0000_US"/>
  </r>
  <r>
    <x v="0"/>
    <n v="13.690300000000001"/>
    <n v="-89.181200000000004"/>
    <n v="8652.1200000000008"/>
    <n v="0"/>
    <n v="0"/>
    <n v="101"/>
    <s v="_x0000_US"/>
  </r>
  <r>
    <x v="0"/>
    <n v="13.6769"/>
    <n v="-89.247200000000007"/>
    <n v="8652.74"/>
    <n v="0"/>
    <n v="0"/>
    <n v="101"/>
    <s v="_x0000_US"/>
  </r>
  <r>
    <x v="0"/>
    <n v="13.6868"/>
    <n v="-89.181700000000006"/>
    <n v="8655.49"/>
    <n v="0"/>
    <n v="0"/>
    <n v="101"/>
    <s v="_x0000_US"/>
  </r>
  <r>
    <x v="0"/>
    <n v="13.6942"/>
    <n v="-89.174499999999995"/>
    <n v="8655.84"/>
    <n v="0"/>
    <n v="0"/>
    <n v="101"/>
    <s v="_x0000_US"/>
  </r>
  <r>
    <x v="0"/>
    <n v="13.692"/>
    <n v="-89.178600000000003"/>
    <n v="8655.9599999999991"/>
    <n v="0"/>
    <n v="0"/>
    <n v="101"/>
    <s v="_x0000_US"/>
  </r>
  <r>
    <x v="0"/>
    <n v="13.686999999999999"/>
    <n v="-89.201999999999998"/>
    <n v="8656.15"/>
    <n v="0"/>
    <n v="0"/>
    <n v="101"/>
    <s v="_x0000_US"/>
  </r>
  <r>
    <x v="0"/>
    <n v="13.6942"/>
    <n v="-89.190200000000004"/>
    <n v="8657.0499999999993"/>
    <n v="0"/>
    <n v="0"/>
    <n v="101"/>
    <s v="_x0000_US"/>
  </r>
  <r>
    <x v="0"/>
    <n v="13.6897"/>
    <n v="-89.185699999999997"/>
    <n v="8661"/>
    <n v="0"/>
    <n v="0"/>
    <n v="101"/>
    <s v="_x0000_US"/>
  </r>
  <r>
    <x v="0"/>
    <n v="13.6853"/>
    <n v="-89.211799999999997"/>
    <n v="8662.61"/>
    <n v="0"/>
    <n v="0"/>
    <n v="101"/>
    <s v="_x0000_US"/>
  </r>
  <r>
    <x v="0"/>
    <n v="13.6904"/>
    <n v="-89.177599999999998"/>
    <n v="8662.85"/>
    <n v="0"/>
    <n v="0"/>
    <n v="101"/>
    <s v="_x0000_US"/>
  </r>
  <r>
    <x v="0"/>
    <n v="13.6752"/>
    <n v="-89.250299999999996"/>
    <n v="8663.99"/>
    <n v="0"/>
    <n v="0"/>
    <n v="101"/>
    <s v="_x0000_US"/>
  </r>
  <r>
    <x v="0"/>
    <n v="13.688800000000001"/>
    <n v="-89.194800000000001"/>
    <n v="8664.07"/>
    <n v="0"/>
    <n v="0"/>
    <n v="101"/>
    <s v="_x0000_US"/>
  </r>
  <r>
    <x v="0"/>
    <n v="13.687200000000001"/>
    <n v="-89.211299999999994"/>
    <n v="8665.0300000000007"/>
    <n v="0"/>
    <n v="0"/>
    <n v="101"/>
    <s v="_x0000_US"/>
  </r>
  <r>
    <x v="0"/>
    <n v="13.6907"/>
    <n v="-89.187299999999993"/>
    <n v="8665.1200000000008"/>
    <n v="0"/>
    <n v="0"/>
    <n v="101"/>
    <s v="_x0000_US"/>
  </r>
  <r>
    <x v="0"/>
    <n v="13.6883"/>
    <n v="-89.193799999999996"/>
    <n v="8665.5300000000007"/>
    <n v="0"/>
    <n v="0"/>
    <n v="101"/>
    <s v="_x0000_US"/>
  </r>
  <r>
    <x v="0"/>
    <n v="13.6913"/>
    <n v="-89.179400000000001"/>
    <n v="8666.4599999999991"/>
    <n v="0"/>
    <n v="0"/>
    <n v="101"/>
    <s v="_x0000_US"/>
  </r>
  <r>
    <x v="0"/>
    <n v="13.6858"/>
    <n v="-89.193899999999999"/>
    <n v="8666.51"/>
    <n v="0"/>
    <n v="0"/>
    <n v="101"/>
    <s v="_x0000_US"/>
  </r>
  <r>
    <x v="0"/>
    <n v="13.6892"/>
    <n v="-89.235699999999994"/>
    <n v="8666.64"/>
    <n v="0"/>
    <n v="0"/>
    <n v="101"/>
    <s v="_x0000_US"/>
  </r>
  <r>
    <x v="0"/>
    <n v="13.692500000000001"/>
    <n v="-89.174899999999994"/>
    <n v="8667.2800000000007"/>
    <n v="0"/>
    <n v="0"/>
    <n v="101"/>
    <s v="_x0000_US"/>
  </r>
  <r>
    <x v="0"/>
    <n v="13.692299999999999"/>
    <n v="-89.175299999999993"/>
    <n v="8667.39"/>
    <n v="0"/>
    <n v="0"/>
    <n v="101"/>
    <s v="_x0000_US"/>
  </r>
  <r>
    <x v="0"/>
    <n v="13.6877"/>
    <n v="-89.194599999999994"/>
    <n v="8668.49"/>
    <n v="0"/>
    <n v="0"/>
    <n v="101"/>
    <s v="_x0000_US"/>
  </r>
  <r>
    <x v="0"/>
    <n v="13.6921"/>
    <n v="-89.183199999999999"/>
    <n v="8669.69"/>
    <n v="0"/>
    <n v="0"/>
    <n v="101"/>
    <s v="_x0000_US"/>
  </r>
  <r>
    <x v="0"/>
    <n v="13.690099999999999"/>
    <n v="-89.185000000000002"/>
    <n v="8669.8799999999992"/>
    <n v="0"/>
    <n v="0"/>
    <n v="101"/>
    <s v="_x0000_US"/>
  </r>
  <r>
    <x v="0"/>
    <n v="13.690899999999999"/>
    <n v="-89.185100000000006"/>
    <n v="8670.4599999999991"/>
    <n v="0"/>
    <n v="0"/>
    <n v="101"/>
    <s v="_x0000_US"/>
  </r>
  <r>
    <x v="0"/>
    <n v="13.690899999999999"/>
    <n v="-89.190299999999993"/>
    <n v="8671.16"/>
    <n v="0"/>
    <n v="0"/>
    <n v="101"/>
    <s v="_x0000_US"/>
  </r>
  <r>
    <x v="0"/>
    <n v="13.691800000000001"/>
    <n v="-89.186499999999995"/>
    <n v="8671.4500000000007"/>
    <n v="0"/>
    <n v="0"/>
    <n v="101"/>
    <s v="_x0000_US"/>
  </r>
  <r>
    <x v="0"/>
    <n v="13.681100000000001"/>
    <n v="-89.195800000000006"/>
    <n v="8672.15"/>
    <n v="0"/>
    <n v="0"/>
    <n v="101"/>
    <s v="_x0000_US"/>
  </r>
  <r>
    <x v="0"/>
    <n v="13.6874"/>
    <n v="-89.195700000000002"/>
    <n v="8672.25"/>
    <n v="0"/>
    <n v="0"/>
    <n v="101"/>
    <s v="_x0000_US"/>
  </r>
  <r>
    <x v="0"/>
    <n v="13.686"/>
    <n v="-89.198499999999996"/>
    <n v="8673.25"/>
    <n v="0"/>
    <n v="0"/>
    <n v="101"/>
    <s v="_x0000_US"/>
  </r>
  <r>
    <x v="0"/>
    <n v="13.692399999999999"/>
    <n v="-89.174300000000002"/>
    <n v="8673.3700000000008"/>
    <n v="0"/>
    <n v="0"/>
    <n v="101"/>
    <s v="_x0000_US"/>
  </r>
  <r>
    <x v="0"/>
    <n v="13.6752"/>
    <n v="-89.250299999999996"/>
    <n v="8673.5300000000007"/>
    <n v="0"/>
    <n v="0"/>
    <n v="101"/>
    <s v="_x0000_US"/>
  </r>
  <r>
    <x v="0"/>
    <n v="13.6854"/>
    <n v="-89.210899999999995"/>
    <n v="8673.6200000000008"/>
    <n v="0"/>
    <n v="0"/>
    <n v="101"/>
    <s v="_x0000_US"/>
  </r>
  <r>
    <x v="0"/>
    <n v="13.677199999999999"/>
    <n v="-89.247500000000002"/>
    <n v="8675.48"/>
    <n v="0"/>
    <n v="0"/>
    <n v="101"/>
    <s v="_x0000_US"/>
  </r>
  <r>
    <x v="0"/>
    <n v="13.6905"/>
    <n v="-89.234499999999997"/>
    <n v="8676.17"/>
    <n v="0"/>
    <n v="0"/>
    <n v="101"/>
    <s v="_x0000_US"/>
  </r>
  <r>
    <x v="0"/>
    <n v="13.685700000000001"/>
    <n v="-89.194000000000003"/>
    <n v="8676.2900000000009"/>
    <n v="0"/>
    <n v="0"/>
    <n v="101"/>
    <s v="_x0000_US"/>
  </r>
  <r>
    <x v="0"/>
    <n v="13.6905"/>
    <n v="-89.1798"/>
    <n v="8676.36"/>
    <n v="0"/>
    <n v="0"/>
    <n v="101"/>
    <s v="_x0000_US"/>
  </r>
  <r>
    <x v="0"/>
    <n v="13.691800000000001"/>
    <n v="-89.225300000000004"/>
    <n v="8676.9"/>
    <n v="0"/>
    <n v="0"/>
    <n v="101"/>
    <s v="_x0000_US"/>
  </r>
  <r>
    <x v="0"/>
    <n v="13.6914"/>
    <n v="-89.220399999999998"/>
    <n v="8678"/>
    <n v="0"/>
    <n v="0"/>
    <n v="101"/>
    <s v="_x0000_US"/>
  </r>
  <r>
    <x v="0"/>
    <n v="13.6873"/>
    <n v="-89.210999999999999"/>
    <n v="8678.1"/>
    <n v="0"/>
    <n v="0"/>
    <n v="101"/>
    <s v="_x0000_US"/>
  </r>
  <r>
    <x v="0"/>
    <n v="13.692500000000001"/>
    <n v="-89.224299999999999"/>
    <n v="8679.16"/>
    <n v="0"/>
    <n v="0"/>
    <n v="101"/>
    <s v="_x0000_US"/>
  </r>
  <r>
    <x v="0"/>
    <n v="13.694800000000001"/>
    <n v="-89.1828"/>
    <n v="8679.51"/>
    <n v="0"/>
    <n v="0"/>
    <n v="101"/>
    <s v="_x0000_US"/>
  </r>
  <r>
    <x v="0"/>
    <n v="13.693300000000001"/>
    <n v="-89.185500000000005"/>
    <n v="8681.5499999999993"/>
    <n v="0"/>
    <n v="0"/>
    <n v="101"/>
    <s v="_x0000_US"/>
  </r>
  <r>
    <x v="0"/>
    <n v="13.688000000000001"/>
    <n v="-89.182699999999997"/>
    <n v="8681.58"/>
    <n v="0"/>
    <n v="0"/>
    <n v="101"/>
    <s v="_x0000_US"/>
  </r>
  <r>
    <x v="0"/>
    <n v="13.684900000000001"/>
    <n v="-89.212999999999994"/>
    <n v="8682.4500000000007"/>
    <n v="0"/>
    <n v="0"/>
    <n v="101"/>
    <s v="_x0000_US"/>
  </r>
  <r>
    <x v="0"/>
    <n v="13.685499999999999"/>
    <n v="-89.201400000000007"/>
    <n v="8683.3799999999992"/>
    <n v="0"/>
    <n v="0"/>
    <n v="101"/>
    <s v="_x0000_US"/>
  </r>
  <r>
    <x v="0"/>
    <n v="13.690799999999999"/>
    <n v="-89.187600000000003"/>
    <n v="8684.02"/>
    <n v="0"/>
    <n v="0"/>
    <n v="101"/>
    <s v="_x0000_US"/>
  </r>
  <r>
    <x v="0"/>
    <n v="13.6904"/>
    <n v="-89.183300000000003"/>
    <n v="8684.2999999999993"/>
    <n v="0"/>
    <n v="0"/>
    <n v="101"/>
    <s v="_x0000_US"/>
  </r>
  <r>
    <x v="0"/>
    <n v="13.6896"/>
    <n v="-89.194100000000006"/>
    <n v="8684.36"/>
    <n v="0"/>
    <n v="0"/>
    <n v="101"/>
    <s v="_x0000_US"/>
  </r>
  <r>
    <x v="0"/>
    <n v="13.6967"/>
    <n v="-89.171300000000002"/>
    <n v="8684.42"/>
    <n v="0"/>
    <n v="0"/>
    <n v="101"/>
    <s v="_x0000_US"/>
  </r>
  <r>
    <x v="0"/>
    <n v="13.6899"/>
    <n v="-89.1935"/>
    <n v="8685.23"/>
    <n v="0"/>
    <n v="0"/>
    <n v="101"/>
    <s v="_x0000_US"/>
  </r>
  <r>
    <x v="0"/>
    <n v="13.6907"/>
    <n v="-89.233500000000006"/>
    <n v="8685.92"/>
    <n v="0"/>
    <n v="0"/>
    <n v="101"/>
    <s v="_x0000_US"/>
  </r>
  <r>
    <x v="0"/>
    <n v="13.6874"/>
    <n v="-89.1828"/>
    <n v="8686.8799999999992"/>
    <n v="0"/>
    <n v="0"/>
    <n v="101"/>
    <s v="_x0000_US"/>
  </r>
  <r>
    <x v="0"/>
    <n v="13.6777"/>
    <n v="-89.247399999999999"/>
    <n v="8688.2099999999991"/>
    <n v="0"/>
    <n v="0"/>
    <n v="101"/>
    <s v="_x0000_US"/>
  </r>
  <r>
    <x v="0"/>
    <n v="13.69"/>
    <n v="-89.186999999999998"/>
    <n v="8689.0499999999993"/>
    <n v="0"/>
    <n v="0"/>
    <n v="101"/>
    <s v="_x0000_US"/>
  </r>
  <r>
    <x v="0"/>
    <n v="13.6768"/>
    <n v="-89.247299999999996"/>
    <n v="8689.74"/>
    <n v="0"/>
    <n v="0"/>
    <n v="101"/>
    <s v="_x0000_US"/>
  </r>
  <r>
    <x v="0"/>
    <n v="13.686400000000001"/>
    <n v="-89.215400000000002"/>
    <n v="8692.81"/>
    <n v="0"/>
    <n v="0"/>
    <n v="101"/>
    <s v="_x0000_US"/>
  </r>
  <r>
    <x v="0"/>
    <n v="13.691000000000001"/>
    <n v="-89.189300000000003"/>
    <n v="8692.8799999999992"/>
    <n v="0"/>
    <n v="0"/>
    <n v="101"/>
    <s v="_x0000_US"/>
  </r>
  <r>
    <x v="0"/>
    <n v="13.689299999999999"/>
    <n v="-89.207800000000006"/>
    <n v="8693.58"/>
    <n v="0"/>
    <n v="0"/>
    <n v="101"/>
    <s v="_x0000_US"/>
  </r>
  <r>
    <x v="0"/>
    <n v="13.6876"/>
    <n v="-89.194999999999993"/>
    <n v="8693.59"/>
    <n v="0"/>
    <n v="0"/>
    <n v="101"/>
    <s v="_x0000_US"/>
  </r>
  <r>
    <x v="0"/>
    <n v="13.690300000000001"/>
    <n v="-89.195700000000002"/>
    <n v="8693.9500000000007"/>
    <n v="0"/>
    <n v="0"/>
    <n v="101"/>
    <s v="_x0000_US"/>
  </r>
  <r>
    <x v="0"/>
    <n v="13.674099999999999"/>
    <n v="-89.252300000000005"/>
    <n v="8694.9599999999991"/>
    <n v="0"/>
    <n v="0"/>
    <n v="101"/>
    <s v="_x0000_US"/>
  </r>
  <r>
    <x v="0"/>
    <n v="13.6866"/>
    <n v="-89.212500000000006"/>
    <n v="8695.27"/>
    <n v="0"/>
    <n v="0"/>
    <n v="101"/>
    <s v="_x0000_US"/>
  </r>
  <r>
    <x v="0"/>
    <n v="13.688499999999999"/>
    <n v="-89.216300000000004"/>
    <n v="8697.1"/>
    <n v="0"/>
    <n v="0"/>
    <n v="101"/>
    <s v="_x0000_US"/>
  </r>
  <r>
    <x v="0"/>
    <n v="13.692399999999999"/>
    <n v="-89.176599999999993"/>
    <n v="8698.19"/>
    <n v="0"/>
    <n v="0"/>
    <n v="101"/>
    <s v="_x0000_US"/>
  </r>
  <r>
    <x v="0"/>
    <n v="13.69"/>
    <n v="-89.235299999999995"/>
    <n v="8698.49"/>
    <n v="0"/>
    <n v="0"/>
    <n v="101"/>
    <s v="_x0000_US"/>
  </r>
  <r>
    <x v="0"/>
    <n v="13.6912"/>
    <n v="-89.2346"/>
    <n v="8699.34"/>
    <n v="0"/>
    <n v="0"/>
    <n v="101"/>
    <s v="_x0000_US"/>
  </r>
  <r>
    <x v="0"/>
    <n v="13.686400000000001"/>
    <n v="-89.193200000000004"/>
    <n v="8699.5499999999993"/>
    <n v="0"/>
    <n v="0"/>
    <n v="101"/>
    <s v="_x0000_US"/>
  </r>
  <r>
    <x v="0"/>
    <n v="13.6875"/>
    <n v="-89.197199999999995"/>
    <n v="8699.7999999999993"/>
    <n v="0"/>
    <n v="0"/>
    <n v="101"/>
    <s v="_x0000_US"/>
  </r>
  <r>
    <x v="0"/>
    <n v="13.692"/>
    <n v="-89.185900000000004"/>
    <n v="8699.89"/>
    <n v="0"/>
    <n v="0"/>
    <n v="101"/>
    <s v="_x0000_US"/>
  </r>
  <r>
    <x v="0"/>
    <n v="13.696300000000001"/>
    <n v="-89.172799999999995"/>
    <n v="8700.0499999999993"/>
    <n v="0"/>
    <n v="0"/>
    <n v="101"/>
    <s v="_x0000_US"/>
  </r>
  <r>
    <x v="0"/>
    <n v="13.673"/>
    <n v="-89.204400000000007"/>
    <n v="8700.9"/>
    <n v="0"/>
    <n v="0"/>
    <n v="101"/>
    <s v="_x0000_US"/>
  </r>
  <r>
    <x v="0"/>
    <n v="13.6942"/>
    <n v="-89.174499999999995"/>
    <n v="8701.35"/>
    <n v="0"/>
    <n v="0"/>
    <n v="101"/>
    <s v="_x0000_US"/>
  </r>
  <r>
    <x v="0"/>
    <n v="13.6751"/>
    <n v="-89.251900000000006"/>
    <n v="8702.0400000000009"/>
    <n v="0"/>
    <n v="0"/>
    <n v="101"/>
    <s v="_x0000_US"/>
  </r>
  <r>
    <x v="0"/>
    <n v="13.692399999999999"/>
    <n v="-89.224599999999995"/>
    <n v="8702.74"/>
    <n v="0"/>
    <n v="0"/>
    <n v="101"/>
    <s v="_x0000_US"/>
  </r>
  <r>
    <x v="0"/>
    <n v="13.688499999999999"/>
    <n v="-89.204099999999997"/>
    <n v="8702.9"/>
    <n v="0"/>
    <n v="0"/>
    <n v="101"/>
    <s v="_x0000_US"/>
  </r>
  <r>
    <x v="0"/>
    <n v="13.6934"/>
    <n v="-89.188699999999997"/>
    <n v="8705.51"/>
    <n v="0"/>
    <n v="0"/>
    <n v="101"/>
    <s v="_x0000_US"/>
  </r>
  <r>
    <x v="0"/>
    <n v="13.6858"/>
    <n v="-89.215500000000006"/>
    <n v="8706.18"/>
    <n v="0"/>
    <n v="0"/>
    <n v="101"/>
    <s v="_x0000_US"/>
  </r>
  <r>
    <x v="0"/>
    <n v="13.693099999999999"/>
    <n v="-89.189700000000002"/>
    <n v="8707.14"/>
    <n v="0"/>
    <n v="0"/>
    <n v="101"/>
    <s v="_x0000_US"/>
  </r>
  <r>
    <x v="0"/>
    <n v="13.693099999999999"/>
    <n v="-89.177099999999996"/>
    <n v="8708.5"/>
    <n v="0"/>
    <n v="0"/>
    <n v="101"/>
    <s v="_x0000_US"/>
  </r>
  <r>
    <x v="0"/>
    <n v="13.6897"/>
    <n v="-89.177400000000006"/>
    <n v="8708.9500000000007"/>
    <n v="0"/>
    <n v="0"/>
    <n v="101"/>
    <s v="_x0000_US"/>
  </r>
  <r>
    <x v="0"/>
    <n v="13.6868"/>
    <n v="-89.192800000000005"/>
    <n v="8709.2800000000007"/>
    <n v="0"/>
    <n v="0"/>
    <n v="101"/>
    <s v="_x0000_US"/>
  </r>
  <r>
    <x v="0"/>
    <n v="13.689399999999999"/>
    <n v="-89.184600000000003"/>
    <n v="8709.59"/>
    <n v="0"/>
    <n v="0"/>
    <n v="101"/>
    <s v="_x0000_US"/>
  </r>
  <r>
    <x v="0"/>
    <n v="13.693300000000001"/>
    <n v="-89.178600000000003"/>
    <n v="8710.51"/>
    <n v="0"/>
    <n v="0"/>
    <n v="101"/>
    <s v="_x0000_US"/>
  </r>
  <r>
    <x v="0"/>
    <n v="13.677"/>
    <n v="-89.247600000000006"/>
    <n v="8711.42"/>
    <n v="0"/>
    <n v="0"/>
    <n v="101"/>
    <s v="_x0000_US"/>
  </r>
  <r>
    <x v="0"/>
    <n v="13.6782"/>
    <n v="-89.196299999999994"/>
    <n v="8711.68"/>
    <n v="0"/>
    <n v="0"/>
    <n v="101"/>
    <s v="_x0000_US"/>
  </r>
  <r>
    <x v="0"/>
    <n v="13.6896"/>
    <n v="-89.235799999999998"/>
    <n v="8711.76"/>
    <n v="0"/>
    <n v="0"/>
    <n v="101"/>
    <s v="_x0000_US"/>
  </r>
  <r>
    <x v="0"/>
    <n v="13.6875"/>
    <n v="-89.194400000000002"/>
    <n v="8712.3700000000008"/>
    <n v="0"/>
    <n v="0"/>
    <n v="101"/>
    <s v="_x0000_US"/>
  </r>
  <r>
    <x v="0"/>
    <n v="13.675000000000001"/>
    <n v="-89.251800000000003"/>
    <n v="8712.8700000000008"/>
    <n v="0"/>
    <n v="0"/>
    <n v="101"/>
    <s v="_x0000_US"/>
  </r>
  <r>
    <x v="0"/>
    <n v="13.6874"/>
    <n v="-89.179900000000004"/>
    <n v="8712.98"/>
    <n v="0"/>
    <n v="0"/>
    <n v="101"/>
    <s v="_x0000_US"/>
  </r>
  <r>
    <x v="0"/>
    <n v="13.688499999999999"/>
    <n v="-89.204099999999997"/>
    <n v="8713.7199999999993"/>
    <n v="0"/>
    <n v="0"/>
    <n v="101"/>
    <s v="_x0000_US"/>
  </r>
  <r>
    <x v="0"/>
    <n v="13.6892"/>
    <n v="-89.1905"/>
    <n v="8714.3700000000008"/>
    <n v="0"/>
    <n v="0"/>
    <n v="101"/>
    <s v="_x0000_US"/>
  </r>
  <r>
    <x v="0"/>
    <n v="13.675000000000001"/>
    <n v="-89.202399999999997"/>
    <n v="8715.3700000000008"/>
    <n v="0"/>
    <n v="0"/>
    <n v="101"/>
    <s v="_x0000_US"/>
  </r>
  <r>
    <x v="0"/>
    <n v="13.696"/>
    <n v="-89.172700000000006"/>
    <n v="8715.89"/>
    <n v="0"/>
    <n v="0"/>
    <n v="101"/>
    <s v="_x0000_US"/>
  </r>
  <r>
    <x v="0"/>
    <n v="13.695"/>
    <n v="-89.1751"/>
    <n v="8716.2900000000009"/>
    <n v="0"/>
    <n v="0"/>
    <n v="101"/>
    <s v="_x0000_US"/>
  </r>
  <r>
    <x v="0"/>
    <n v="13.675000000000001"/>
    <n v="-89.252099999999999"/>
    <n v="8717.57"/>
    <n v="0"/>
    <n v="0"/>
    <n v="101"/>
    <s v="_x0000_US"/>
  </r>
  <r>
    <x v="0"/>
    <n v="13.692600000000001"/>
    <n v="-89.183899999999994"/>
    <n v="8717.77"/>
    <n v="0"/>
    <n v="0"/>
    <n v="101"/>
    <s v="_x0000_US"/>
  </r>
  <r>
    <x v="0"/>
    <n v="13.6914"/>
    <n v="-89.225999999999999"/>
    <n v="8720.1200000000008"/>
    <n v="0"/>
    <n v="0"/>
    <n v="101"/>
    <s v="_x0000_US"/>
  </r>
  <r>
    <x v="0"/>
    <n v="13.697100000000001"/>
    <n v="-89.171099999999996"/>
    <n v="8720.27"/>
    <n v="0"/>
    <n v="0"/>
    <n v="101"/>
    <s v="_x0000_US"/>
  </r>
  <r>
    <x v="0"/>
    <n v="13.6889"/>
    <n v="-89.229100000000003"/>
    <n v="8720.43"/>
    <n v="0"/>
    <n v="0"/>
    <n v="101"/>
    <s v="_x0000_US"/>
  </r>
  <r>
    <x v="0"/>
    <n v="13.6874"/>
    <n v="-89.182699999999997"/>
    <n v="8720.7099999999991"/>
    <n v="0"/>
    <n v="0"/>
    <n v="101"/>
    <s v="_x0000_US"/>
  </r>
  <r>
    <x v="0"/>
    <n v="13.6935"/>
    <n v="-89.177000000000007"/>
    <n v="8720.77"/>
    <n v="0"/>
    <n v="0"/>
    <n v="101"/>
    <s v="_x0000_US"/>
  </r>
  <r>
    <x v="0"/>
    <n v="13.691800000000001"/>
    <n v="-89.221199999999996"/>
    <n v="8721.2000000000007"/>
    <n v="0"/>
    <n v="0"/>
    <n v="101"/>
    <s v="_x0000_US"/>
  </r>
  <r>
    <x v="0"/>
    <n v="13.6754"/>
    <n v="-89.249899999999997"/>
    <n v="8722.99"/>
    <n v="0"/>
    <n v="0"/>
    <n v="101"/>
    <s v="_x0000_US"/>
  </r>
  <r>
    <x v="0"/>
    <n v="13.6942"/>
    <n v="-89.176299999999998"/>
    <n v="8723.36"/>
    <n v="0"/>
    <n v="0"/>
    <n v="101"/>
    <s v="_x0000_US"/>
  </r>
  <r>
    <x v="0"/>
    <n v="13.6892"/>
    <n v="-89.177499999999995"/>
    <n v="8723.43"/>
    <n v="0"/>
    <n v="0"/>
    <n v="101"/>
    <s v="_x0000_US"/>
  </r>
  <r>
    <x v="0"/>
    <n v="13.6905"/>
    <n v="-89.195700000000002"/>
    <n v="8724.34"/>
    <n v="0"/>
    <n v="0"/>
    <n v="101"/>
    <s v="_x0000_US"/>
  </r>
  <r>
    <x v="0"/>
    <n v="13.691700000000001"/>
    <n v="-89.233999999999995"/>
    <n v="8724.5400000000009"/>
    <n v="0"/>
    <n v="0"/>
    <n v="101"/>
    <s v="_x0000_US"/>
  </r>
  <r>
    <x v="0"/>
    <n v="13.6812"/>
    <n v="-89.195499999999996"/>
    <n v="8724.98"/>
    <n v="0"/>
    <n v="0"/>
    <n v="101"/>
    <s v="_x0000_US"/>
  </r>
  <r>
    <x v="0"/>
    <n v="13.695399999999999"/>
    <n v="-89.172899999999998"/>
    <n v="8725.51"/>
    <n v="0"/>
    <n v="0"/>
    <n v="101"/>
    <s v="_x0000_US"/>
  </r>
  <r>
    <x v="0"/>
    <n v="13.6952"/>
    <n v="-89.174499999999995"/>
    <n v="8725.81"/>
    <n v="0"/>
    <n v="0"/>
    <n v="101"/>
    <s v="_x0000_US"/>
  </r>
  <r>
    <x v="0"/>
    <n v="13.6884"/>
    <n v="-89.2042"/>
    <n v="8726.31"/>
    <n v="0"/>
    <n v="0"/>
    <n v="101"/>
    <s v="_x0000_US"/>
  </r>
  <r>
    <x v="0"/>
    <n v="13.6851"/>
    <n v="-89.2029"/>
    <n v="8726.43"/>
    <n v="0"/>
    <n v="0"/>
    <n v="101"/>
    <s v="_x0000_US"/>
  </r>
  <r>
    <x v="0"/>
    <n v="13.69"/>
    <n v="-89.183700000000002"/>
    <n v="8727.52"/>
    <n v="0"/>
    <n v="0"/>
    <n v="101"/>
    <s v="_x0000_US"/>
  </r>
  <r>
    <x v="0"/>
    <n v="13.6866"/>
    <n v="-89.216200000000001"/>
    <n v="8728.44"/>
    <n v="0"/>
    <n v="0"/>
    <n v="101"/>
    <s v="_x0000_US"/>
  </r>
  <r>
    <x v="0"/>
    <n v="13.6747"/>
    <n v="-89.199700000000007"/>
    <n v="8729.9599999999991"/>
    <n v="0"/>
    <n v="0"/>
    <n v="101"/>
    <s v="_x0000_US"/>
  </r>
  <r>
    <x v="0"/>
    <n v="13.690200000000001"/>
    <n v="-89.184200000000004"/>
    <n v="8730.8799999999992"/>
    <n v="0"/>
    <n v="0"/>
    <n v="101"/>
    <s v="_x0000_US"/>
  </r>
  <r>
    <x v="0"/>
    <n v="13.6906"/>
    <n v="-89.186899999999994"/>
    <n v="8731.49"/>
    <n v="0"/>
    <n v="0"/>
    <n v="101"/>
    <s v="_x0000_US"/>
  </r>
  <r>
    <x v="0"/>
    <n v="13.6945"/>
    <n v="-89.183199999999999"/>
    <n v="8732.66"/>
    <n v="0"/>
    <n v="0"/>
    <n v="101"/>
    <s v="_x0000_US"/>
  </r>
  <r>
    <x v="0"/>
    <n v="13.6799"/>
    <n v="-89.195099999999996"/>
    <n v="8734.2900000000009"/>
    <n v="0"/>
    <n v="0"/>
    <n v="101"/>
    <s v="_x0000_US"/>
  </r>
  <r>
    <x v="0"/>
    <n v="13.674899999999999"/>
    <n v="-89.250100000000003"/>
    <n v="8734.39"/>
    <n v="0"/>
    <n v="0"/>
    <n v="101"/>
    <s v="_x0000_US"/>
  </r>
  <r>
    <x v="0"/>
    <n v="13.692500000000001"/>
    <n v="-89.223200000000006"/>
    <n v="8734.91"/>
    <n v="0"/>
    <n v="0"/>
    <n v="101"/>
    <s v="_x0000_US"/>
  </r>
  <r>
    <x v="0"/>
    <n v="13.6877"/>
    <n v="-89.181700000000006"/>
    <n v="8737.2999999999993"/>
    <n v="0"/>
    <n v="0"/>
    <n v="101"/>
    <s v="_x0000_US"/>
  </r>
  <r>
    <x v="0"/>
    <n v="13.6915"/>
    <n v="-89.233000000000004"/>
    <n v="8737.5"/>
    <n v="0"/>
    <n v="0"/>
    <n v="101"/>
    <s v="_x0000_US"/>
  </r>
  <r>
    <x v="0"/>
    <n v="13.689399999999999"/>
    <n v="-89.208100000000002"/>
    <n v="8737.57"/>
    <n v="0"/>
    <n v="0"/>
    <n v="101"/>
    <s v="_x0000_US"/>
  </r>
  <r>
    <x v="0"/>
    <n v="13.6747"/>
    <n v="-89.252200000000002"/>
    <n v="8738.2199999999993"/>
    <n v="0"/>
    <n v="0"/>
    <n v="101"/>
    <s v="_x0000_US"/>
  </r>
  <r>
    <x v="0"/>
    <n v="13.690300000000001"/>
    <n v="-89.228399999999993"/>
    <n v="8739.08"/>
    <n v="0"/>
    <n v="0"/>
    <n v="101"/>
    <s v="_x0000_US"/>
  </r>
  <r>
    <x v="0"/>
    <n v="13.6777"/>
    <n v="-89.245900000000006"/>
    <n v="8739.18"/>
    <n v="0"/>
    <n v="0"/>
    <n v="101"/>
    <s v="_x0000_US"/>
  </r>
  <r>
    <x v="0"/>
    <n v="13.6912"/>
    <n v="-89.219399999999993"/>
    <n v="8739.41"/>
    <n v="0"/>
    <n v="0"/>
    <n v="101"/>
    <s v="_x0000_US"/>
  </r>
  <r>
    <x v="0"/>
    <n v="13.6884"/>
    <n v="-89.212000000000003"/>
    <n v="8740.19"/>
    <n v="0"/>
    <n v="0"/>
    <n v="101"/>
    <s v="_x0000_US"/>
  </r>
  <r>
    <x v="0"/>
    <n v="13.6911"/>
    <n v="-89.229100000000003"/>
    <n v="8740.43"/>
    <n v="0"/>
    <n v="0"/>
    <n v="101"/>
    <s v="_x0000_US"/>
  </r>
  <r>
    <x v="0"/>
    <n v="13.6942"/>
    <n v="-89.190200000000004"/>
    <n v="8740.77"/>
    <n v="0"/>
    <n v="0"/>
    <n v="101"/>
    <s v="_x0000_US"/>
  </r>
  <r>
    <x v="0"/>
    <n v="13.674799999999999"/>
    <n v="-89.249799999999993"/>
    <n v="8742.82"/>
    <n v="0"/>
    <n v="0"/>
    <n v="101"/>
    <s v="_x0000_US"/>
  </r>
  <r>
    <x v="0"/>
    <n v="13.6898"/>
    <n v="-89.194000000000003"/>
    <n v="8743.93"/>
    <n v="0"/>
    <n v="0"/>
    <n v="101"/>
    <s v="_x0000_US"/>
  </r>
  <r>
    <x v="0"/>
    <n v="13.690799999999999"/>
    <n v="-89.234999999999999"/>
    <n v="8745.89"/>
    <n v="0"/>
    <n v="0"/>
    <n v="101"/>
    <s v="_x0000_US"/>
  </r>
  <r>
    <x v="0"/>
    <n v="13.6881"/>
    <n v="-89.180099999999996"/>
    <n v="8747.1299999999992"/>
    <n v="0"/>
    <n v="0"/>
    <n v="101"/>
    <s v="_x0000_US"/>
  </r>
  <r>
    <x v="0"/>
    <n v="13.6739"/>
    <n v="-89.202699999999993"/>
    <n v="8747.58"/>
    <n v="0"/>
    <n v="0"/>
    <n v="101"/>
    <s v="_x0000_US"/>
  </r>
  <r>
    <x v="0"/>
    <n v="13.679500000000001"/>
    <n v="-89.197299999999998"/>
    <n v="8748.89"/>
    <n v="0"/>
    <n v="0"/>
    <n v="101"/>
    <s v="_x0000_US"/>
  </r>
  <r>
    <x v="0"/>
    <n v="13.6899"/>
    <n v="-89.179400000000001"/>
    <n v="8749.2199999999993"/>
    <n v="0"/>
    <n v="0"/>
    <n v="101"/>
    <s v="_x0000_US"/>
  </r>
  <r>
    <x v="0"/>
    <n v="13.6958"/>
    <n v="-89.173400000000001"/>
    <n v="8749.89"/>
    <n v="0"/>
    <n v="0"/>
    <n v="101"/>
    <s v="_x0000_US"/>
  </r>
  <r>
    <x v="0"/>
    <n v="13.6881"/>
    <n v="-89.198700000000002"/>
    <n v="8750.4599999999991"/>
    <n v="0"/>
    <n v="0"/>
    <n v="101"/>
    <s v="_x0000_US"/>
  </r>
  <r>
    <x v="0"/>
    <n v="13.689399999999999"/>
    <n v="-89.203000000000003"/>
    <n v="8750.89"/>
    <n v="0"/>
    <n v="0"/>
    <n v="101"/>
    <s v="_x0000_US"/>
  </r>
  <r>
    <x v="0"/>
    <n v="13.6882"/>
    <n v="-89.216999999999999"/>
    <n v="8751.5"/>
    <n v="0"/>
    <n v="0"/>
    <n v="101"/>
    <s v="_x0000_US"/>
  </r>
  <r>
    <x v="0"/>
    <n v="13.6851"/>
    <n v="-89.217399999999998"/>
    <n v="8751.51"/>
    <n v="0"/>
    <n v="0"/>
    <n v="101"/>
    <s v="_x0000_US"/>
  </r>
  <r>
    <x v="0"/>
    <n v="13.689500000000001"/>
    <n v="-89.177700000000002"/>
    <n v="8752.26"/>
    <n v="0"/>
    <n v="0"/>
    <n v="101"/>
    <s v="_x0000_US"/>
  </r>
  <r>
    <x v="0"/>
    <n v="13.6751"/>
    <n v="-89.251999999999995"/>
    <n v="8752.26"/>
    <n v="0"/>
    <n v="0"/>
    <n v="101"/>
    <s v="_x0000_US"/>
  </r>
  <r>
    <x v="0"/>
    <n v="13.6891"/>
    <n v="-89.184100000000001"/>
    <n v="8754.15"/>
    <n v="0"/>
    <n v="0"/>
    <n v="101"/>
    <s v="_x0000_US"/>
  </r>
  <r>
    <x v="0"/>
    <n v="13.6922"/>
    <n v="-89.225300000000004"/>
    <n v="8755.17"/>
    <n v="0"/>
    <n v="0"/>
    <n v="101"/>
    <s v="_x0000_US"/>
  </r>
  <r>
    <x v="0"/>
    <n v="13.6942"/>
    <n v="-89.175799999999995"/>
    <n v="8756.4599999999991"/>
    <n v="0"/>
    <n v="0"/>
    <n v="101"/>
    <s v="_x0000_US"/>
  </r>
  <r>
    <x v="0"/>
    <n v="13.6874"/>
    <n v="-89.1798"/>
    <n v="8756.58"/>
    <n v="0"/>
    <n v="0"/>
    <n v="101"/>
    <s v="_x0000_US"/>
  </r>
  <r>
    <x v="0"/>
    <n v="13.6739"/>
    <n v="-89.251000000000005"/>
    <n v="8758.0300000000007"/>
    <n v="0"/>
    <n v="0"/>
    <n v="101"/>
    <s v="_x0000_US"/>
  </r>
  <r>
    <x v="0"/>
    <n v="13.692399999999999"/>
    <n v="-89.224800000000002"/>
    <n v="8758.9699999999993"/>
    <n v="0"/>
    <n v="0"/>
    <n v="101"/>
    <s v="_x0000_US"/>
  </r>
  <r>
    <x v="0"/>
    <n v="13.693199999999999"/>
    <n v="-89.188500000000005"/>
    <n v="8759.2199999999993"/>
    <n v="0"/>
    <n v="0"/>
    <n v="101"/>
    <s v="_x0000_US"/>
  </r>
  <r>
    <x v="0"/>
    <n v="13.684699999999999"/>
    <n v="-89.216099999999997"/>
    <n v="8759.43"/>
    <n v="0"/>
    <n v="0"/>
    <n v="101"/>
    <s v="_x0000_US"/>
  </r>
  <r>
    <x v="0"/>
    <n v="13.690799999999999"/>
    <n v="-89.187399999999997"/>
    <n v="8759.4699999999993"/>
    <n v="0"/>
    <n v="0"/>
    <n v="101"/>
    <s v="_x0000_US"/>
  </r>
  <r>
    <x v="0"/>
    <n v="13.6913"/>
    <n v="-89.181600000000003"/>
    <n v="8759.67"/>
    <n v="0"/>
    <n v="0"/>
    <n v="101"/>
    <s v="_x0000_US"/>
  </r>
  <r>
    <x v="0"/>
    <n v="13.690899999999999"/>
    <n v="-89.195400000000006"/>
    <n v="8760.0400000000009"/>
    <n v="0"/>
    <n v="0"/>
    <n v="101"/>
    <s v="_x0000_US"/>
  </r>
  <r>
    <x v="0"/>
    <n v="13.6853"/>
    <n v="-89.215800000000002"/>
    <n v="8760.9"/>
    <n v="0"/>
    <n v="0"/>
    <n v="101"/>
    <s v="_x0000_US"/>
  </r>
  <r>
    <x v="0"/>
    <n v="13.6874"/>
    <n v="-89.195400000000006"/>
    <n v="8761.91"/>
    <n v="0"/>
    <n v="0"/>
    <n v="101"/>
    <s v="_x0000_US"/>
  </r>
  <r>
    <x v="0"/>
    <n v="13.689299999999999"/>
    <n v="-89.229600000000005"/>
    <n v="8762.34"/>
    <n v="0"/>
    <n v="0"/>
    <n v="101"/>
    <s v="_x0000_US"/>
  </r>
  <r>
    <x v="0"/>
    <n v="13.6869"/>
    <n v="-89.2042"/>
    <n v="8763.25"/>
    <n v="0"/>
    <n v="0"/>
    <n v="101"/>
    <s v="_x0000_US"/>
  </r>
  <r>
    <x v="0"/>
    <n v="13.688499999999999"/>
    <n v="-89.180999999999997"/>
    <n v="8764.4500000000007"/>
    <n v="0"/>
    <n v="0"/>
    <n v="101"/>
    <s v="_x0000_US"/>
  </r>
  <r>
    <x v="0"/>
    <n v="13.690899999999999"/>
    <n v="-89.232500000000002"/>
    <n v="8765.34"/>
    <n v="0"/>
    <n v="0"/>
    <n v="101"/>
    <s v="_x0000_US"/>
  </r>
  <r>
    <x v="0"/>
    <n v="13.694800000000001"/>
    <n v="-89.172300000000007"/>
    <n v="8765.35"/>
    <n v="0"/>
    <n v="0"/>
    <n v="101"/>
    <s v="_x0000_US"/>
  </r>
  <r>
    <x v="0"/>
    <n v="13.6911"/>
    <n v="-89.232900000000001"/>
    <n v="8765.9699999999993"/>
    <n v="0"/>
    <n v="0"/>
    <n v="101"/>
    <s v="_x0000_US"/>
  </r>
  <r>
    <x v="0"/>
    <n v="13.6915"/>
    <n v="-89.220699999999994"/>
    <n v="8767.07"/>
    <n v="0"/>
    <n v="0"/>
    <n v="101"/>
    <s v="_x0000_US"/>
  </r>
  <r>
    <x v="0"/>
    <n v="13.691700000000001"/>
    <n v="-89.186599999999999"/>
    <n v="8767.33"/>
    <n v="0"/>
    <n v="0"/>
    <n v="101"/>
    <s v="_x0000_US"/>
  </r>
  <r>
    <x v="0"/>
    <n v="13.6959"/>
    <n v="-89.165800000000004"/>
    <n v="8768.41"/>
    <n v="0"/>
    <n v="0"/>
    <n v="101"/>
    <s v="_x0000_US"/>
  </r>
  <r>
    <x v="0"/>
    <n v="13.689299999999999"/>
    <n v="-89.207999999999998"/>
    <n v="8768.69"/>
    <n v="0"/>
    <n v="0"/>
    <n v="101"/>
    <s v="_x0000_US"/>
  </r>
  <r>
    <x v="0"/>
    <n v="13.690899999999999"/>
    <n v="-89.186300000000003"/>
    <n v="8769.4"/>
    <n v="0"/>
    <n v="0"/>
    <n v="101"/>
    <s v="_x0000_US"/>
  </r>
  <r>
    <x v="0"/>
    <n v="13.687799999999999"/>
    <n v="-89.216700000000003"/>
    <n v="8770.31"/>
    <n v="0"/>
    <n v="0"/>
    <n v="101"/>
    <s v="_x0000_US"/>
  </r>
  <r>
    <x v="0"/>
    <n v="13.695499999999999"/>
    <n v="-89.166799999999995"/>
    <n v="8770.76"/>
    <n v="0"/>
    <n v="0"/>
    <n v="101"/>
    <s v="_x0000_US"/>
  </r>
  <r>
    <x v="0"/>
    <n v="13.6907"/>
    <n v="-89.227500000000006"/>
    <n v="8771.33"/>
    <n v="0"/>
    <n v="0"/>
    <n v="101"/>
    <s v="_x0000_US"/>
  </r>
  <r>
    <x v="0"/>
    <n v="13.6953"/>
    <n v="-89.172399999999996"/>
    <n v="8772.68"/>
    <n v="0"/>
    <n v="0"/>
    <n v="101"/>
    <s v="_x0000_US"/>
  </r>
  <r>
    <x v="0"/>
    <n v="13.687799999999999"/>
    <n v="-89.204800000000006"/>
    <n v="8773.23"/>
    <n v="0"/>
    <n v="0"/>
    <n v="101"/>
    <s v="_x0000_US"/>
  </r>
  <r>
    <x v="0"/>
    <n v="13.6915"/>
    <n v="-89.1768"/>
    <n v="8774.24"/>
    <n v="0"/>
    <n v="0"/>
    <n v="101"/>
    <s v="_x0000_US"/>
  </r>
  <r>
    <x v="0"/>
    <n v="13.6882"/>
    <n v="-89.180599999999998"/>
    <n v="8774.4599999999991"/>
    <n v="0"/>
    <n v="0"/>
    <n v="101"/>
    <s v="_x0000_US"/>
  </r>
  <r>
    <x v="0"/>
    <n v="13.690799999999999"/>
    <n v="-89.231700000000004"/>
    <n v="8776.08"/>
    <n v="0"/>
    <n v="0"/>
    <n v="101"/>
    <s v="_x0000_US"/>
  </r>
  <r>
    <x v="0"/>
    <n v="13.6898"/>
    <n v="-89.229399999999998"/>
    <n v="8776.42"/>
    <n v="0"/>
    <n v="0"/>
    <n v="101"/>
    <s v="_x0000_US"/>
  </r>
  <r>
    <x v="0"/>
    <n v="13.696"/>
    <n v="-89.171999999999997"/>
    <n v="8776.91"/>
    <n v="0"/>
    <n v="0"/>
    <n v="101"/>
    <s v="_x0000_US"/>
  </r>
  <r>
    <x v="0"/>
    <n v="13.6911"/>
    <n v="-89.188800000000001"/>
    <n v="8777.58"/>
    <n v="0"/>
    <n v="0"/>
    <n v="101"/>
    <s v="_x0000_US"/>
  </r>
  <r>
    <x v="0"/>
    <n v="13.69"/>
    <n v="-89.177499999999995"/>
    <n v="8780.77"/>
    <n v="0"/>
    <n v="0"/>
    <n v="101"/>
    <s v="_x0000_US"/>
  </r>
  <r>
    <x v="0"/>
    <n v="13.687200000000001"/>
    <n v="-89.197000000000003"/>
    <n v="8781.34"/>
    <n v="0"/>
    <n v="0"/>
    <n v="101"/>
    <s v="_x0000_US"/>
  </r>
  <r>
    <x v="0"/>
    <n v="13.6907"/>
    <n v="-89.184700000000007"/>
    <n v="8781.81"/>
    <n v="0"/>
    <n v="0"/>
    <n v="101"/>
    <s v="_x0000_US"/>
  </r>
  <r>
    <x v="0"/>
    <n v="13.692299999999999"/>
    <n v="-89.184100000000001"/>
    <n v="8782.93"/>
    <n v="0"/>
    <n v="0"/>
    <n v="101"/>
    <s v="_x0000_US"/>
  </r>
  <r>
    <x v="0"/>
    <n v="13.6882"/>
    <n v="-89.198899999999995"/>
    <n v="8783.9699999999993"/>
    <n v="0"/>
    <n v="0"/>
    <n v="101"/>
    <s v="_x0000_US"/>
  </r>
  <r>
    <x v="0"/>
    <n v="13.6866"/>
    <n v="-89.215699999999998"/>
    <n v="8784.02"/>
    <n v="0"/>
    <n v="0"/>
    <n v="101"/>
    <s v="_x0000_US"/>
  </r>
  <r>
    <x v="0"/>
    <n v="13.687200000000001"/>
    <n v="-89.195599999999999"/>
    <n v="8784.5400000000009"/>
    <n v="0"/>
    <n v="0"/>
    <n v="101"/>
    <s v="_x0000_US"/>
  </r>
  <r>
    <x v="0"/>
    <n v="13.6874"/>
    <n v="-89.183000000000007"/>
    <n v="8785.7000000000007"/>
    <n v="0"/>
    <n v="0"/>
    <n v="101"/>
    <s v="_x0000_US"/>
  </r>
  <r>
    <x v="0"/>
    <n v="13.690099999999999"/>
    <n v="-89.1798"/>
    <n v="8786.5"/>
    <n v="0"/>
    <n v="0"/>
    <n v="101"/>
    <s v="_x0000_US"/>
  </r>
  <r>
    <x v="0"/>
    <n v="13.689500000000001"/>
    <n v="-89.184200000000004"/>
    <n v="8786.84"/>
    <n v="0"/>
    <n v="0"/>
    <n v="101"/>
    <s v="_x0000_US"/>
  </r>
  <r>
    <x v="0"/>
    <n v="13.6906"/>
    <n v="-89.235299999999995"/>
    <n v="8787.4699999999993"/>
    <n v="0"/>
    <n v="0"/>
    <n v="101"/>
    <s v="_x0000_US"/>
  </r>
  <r>
    <x v="0"/>
    <n v="13.6775"/>
    <n v="-89.247"/>
    <n v="8787.7000000000007"/>
    <n v="0"/>
    <n v="0"/>
    <n v="101"/>
    <s v="_x0000_US"/>
  </r>
  <r>
    <x v="0"/>
    <n v="13.690799999999999"/>
    <n v="-89.187600000000003"/>
    <n v="8788.01"/>
    <n v="0"/>
    <n v="0"/>
    <n v="101"/>
    <s v="_x0000_US"/>
  </r>
  <r>
    <x v="0"/>
    <n v="13.694699999999999"/>
    <n v="-89.174800000000005"/>
    <n v="8788.83"/>
    <n v="0"/>
    <n v="0"/>
    <n v="101"/>
    <s v="_x0000_US"/>
  </r>
  <r>
    <x v="0"/>
    <n v="13.6875"/>
    <n v="-89.194599999999994"/>
    <n v="8788.93"/>
    <n v="0"/>
    <n v="0"/>
    <n v="101"/>
    <s v="_x0000_US"/>
  </r>
  <r>
    <x v="0"/>
    <n v="13.6913"/>
    <n v="-89.234999999999999"/>
    <n v="8789.58"/>
    <n v="0"/>
    <n v="0"/>
    <n v="101"/>
    <s v="_x0000_US"/>
  </r>
  <r>
    <x v="0"/>
    <n v="13.687900000000001"/>
    <n v="-89.181399999999996"/>
    <n v="8790.1"/>
    <n v="0"/>
    <n v="0"/>
    <n v="101"/>
    <s v="_x0000_US"/>
  </r>
  <r>
    <x v="0"/>
    <n v="13.6846"/>
    <n v="-89.216700000000003"/>
    <n v="8790.1299999999992"/>
    <n v="0"/>
    <n v="0"/>
    <n v="101"/>
    <s v="_x0000_US"/>
  </r>
  <r>
    <x v="0"/>
    <n v="13.6866"/>
    <n v="-89.216200000000001"/>
    <n v="8790.2999999999993"/>
    <n v="0"/>
    <n v="0"/>
    <n v="101"/>
    <s v="_x0000_US"/>
  </r>
  <r>
    <x v="0"/>
    <n v="13.6911"/>
    <n v="-89.178799999999995"/>
    <n v="8790.8799999999992"/>
    <n v="0"/>
    <n v="0"/>
    <n v="101"/>
    <s v="_x0000_US"/>
  </r>
  <r>
    <x v="0"/>
    <n v="13.689299999999999"/>
    <n v="-89.235699999999994"/>
    <n v="8791.39"/>
    <n v="0"/>
    <n v="0"/>
    <n v="101"/>
    <s v="_x0000_US"/>
  </r>
  <r>
    <x v="0"/>
    <n v="13.6867"/>
    <n v="-89.211500000000001"/>
    <n v="8791.58"/>
    <n v="0"/>
    <n v="0"/>
    <n v="101"/>
    <s v="_x0000_US"/>
  </r>
  <r>
    <x v="0"/>
    <n v="13.687200000000001"/>
    <n v="-89.197800000000001"/>
    <n v="8792.01"/>
    <n v="0"/>
    <n v="0"/>
    <n v="101"/>
    <s v="_x0000_US"/>
  </r>
  <r>
    <x v="0"/>
    <n v="13.6915"/>
    <n v="-89.179000000000002"/>
    <n v="8792.61"/>
    <n v="0"/>
    <n v="0"/>
    <n v="101"/>
    <s v="_x0000_US"/>
  </r>
  <r>
    <x v="0"/>
    <n v="13.6921"/>
    <n v="-89.197000000000003"/>
    <n v="8792.84"/>
    <n v="0"/>
    <n v="0"/>
    <n v="101"/>
    <s v="_x0000_US"/>
  </r>
  <r>
    <x v="0"/>
    <n v="13.6919"/>
    <n v="-89.178299999999993"/>
    <n v="8794.24"/>
    <n v="0"/>
    <n v="0"/>
    <n v="101"/>
    <s v="_x0000_US"/>
  </r>
  <r>
    <x v="0"/>
    <n v="13.6913"/>
    <n v="-89.190299999999993"/>
    <n v="8794.51"/>
    <n v="0"/>
    <n v="0"/>
    <n v="101"/>
    <s v="_x0000_US"/>
  </r>
  <r>
    <x v="0"/>
    <n v="13.694000000000001"/>
    <n v="-89.176400000000001"/>
    <n v="8794.81"/>
    <n v="0"/>
    <n v="0"/>
    <n v="101"/>
    <s v="_x0000_US"/>
  </r>
  <r>
    <x v="0"/>
    <n v="13.6876"/>
    <n v="-89.195499999999996"/>
    <n v="8795.6200000000008"/>
    <n v="0"/>
    <n v="0"/>
    <n v="101"/>
    <s v="_x0000_US"/>
  </r>
  <r>
    <x v="0"/>
    <n v="13.686999999999999"/>
    <n v="-89.205200000000005"/>
    <n v="8795.7999999999993"/>
    <n v="0"/>
    <n v="0"/>
    <n v="101"/>
    <s v="_x0000_US"/>
  </r>
  <r>
    <x v="0"/>
    <n v="13.6929"/>
    <n v="-89.184200000000004"/>
    <n v="8795.84"/>
    <n v="0"/>
    <n v="0"/>
    <n v="101"/>
    <s v="_x0000_US"/>
  </r>
  <r>
    <x v="0"/>
    <n v="13.6854"/>
    <n v="-89.210800000000006"/>
    <n v="8796.5"/>
    <n v="0"/>
    <n v="0"/>
    <n v="101"/>
    <s v="_x0000_US"/>
  </r>
  <r>
    <x v="0"/>
    <n v="13.6877"/>
    <n v="-89.194599999999994"/>
    <n v="8796.74"/>
    <n v="0"/>
    <n v="0"/>
    <n v="101"/>
    <s v="_x0000_US"/>
  </r>
  <r>
    <x v="0"/>
    <n v="13.6958"/>
    <n v="-89.172899999999998"/>
    <n v="8796.9699999999993"/>
    <n v="0"/>
    <n v="0"/>
    <n v="101"/>
    <s v="_x0000_US"/>
  </r>
  <r>
    <x v="0"/>
    <n v="13.691599999999999"/>
    <n v="-89.233999999999995"/>
    <n v="8798.16"/>
    <n v="0"/>
    <n v="0"/>
    <n v="101"/>
    <s v="_x0000_US"/>
  </r>
  <r>
    <x v="0"/>
    <n v="13.692299999999999"/>
    <n v="-89.226299999999995"/>
    <n v="8798.58"/>
    <n v="0"/>
    <n v="0"/>
    <n v="101"/>
    <s v="_x0000_US"/>
  </r>
  <r>
    <x v="0"/>
    <n v="13.692299999999999"/>
    <n v="-89.226799999999997"/>
    <n v="8798.7000000000007"/>
    <n v="0"/>
    <n v="0"/>
    <n v="101"/>
    <s v="_x0000_US"/>
  </r>
  <r>
    <x v="0"/>
    <n v="13.6905"/>
    <n v="-89.193399999999997"/>
    <n v="8799.5499999999993"/>
    <n v="0"/>
    <n v="0"/>
    <n v="101"/>
    <s v="_x0000_US"/>
  </r>
  <r>
    <x v="0"/>
    <n v="13.690799999999999"/>
    <n v="-89.233000000000004"/>
    <n v="8800.36"/>
    <n v="0"/>
    <n v="0"/>
    <n v="101"/>
    <s v="_x0000_US"/>
  </r>
  <r>
    <x v="0"/>
    <n v="13.695399999999999"/>
    <n v="-89.173000000000002"/>
    <n v="8800.66"/>
    <n v="0"/>
    <n v="0"/>
    <n v="101"/>
    <s v="_x0000_US"/>
  </r>
  <r>
    <x v="0"/>
    <n v="13.690899999999999"/>
    <n v="-89.234999999999999"/>
    <n v="8800.86"/>
    <n v="0"/>
    <n v="0"/>
    <n v="101"/>
    <s v="_x0000_US"/>
  </r>
  <r>
    <x v="0"/>
    <n v="13.691599999999999"/>
    <n v="-89.178600000000003"/>
    <n v="8801.0400000000009"/>
    <n v="0"/>
    <n v="0"/>
    <n v="101"/>
    <s v="_x0000_US"/>
  </r>
  <r>
    <x v="0"/>
    <n v="13.6936"/>
    <n v="-89.188699999999997"/>
    <n v="8801.3799999999992"/>
    <n v="0"/>
    <n v="0"/>
    <n v="101"/>
    <s v="_x0000_US"/>
  </r>
  <r>
    <x v="0"/>
    <n v="13.6943"/>
    <n v="-89.188900000000004"/>
    <n v="8801.92"/>
    <n v="0"/>
    <n v="0"/>
    <n v="101"/>
    <s v="_x0000_US"/>
  </r>
  <r>
    <x v="0"/>
    <n v="13.69"/>
    <n v="-89.186300000000003"/>
    <n v="8802.08"/>
    <n v="0"/>
    <n v="0"/>
    <n v="101"/>
    <s v="_x0000_US"/>
  </r>
  <r>
    <x v="0"/>
    <n v="13.6858"/>
    <n v="-89.212900000000005"/>
    <n v="8802.4599999999991"/>
    <n v="0"/>
    <n v="0"/>
    <n v="101"/>
    <s v="_x0000_US"/>
  </r>
  <r>
    <x v="0"/>
    <n v="13.695600000000001"/>
    <n v="-89.173100000000005"/>
    <n v="8803.43"/>
    <n v="0"/>
    <n v="0"/>
    <n v="101"/>
    <s v="_x0000_US"/>
  </r>
  <r>
    <x v="0"/>
    <n v="13.691800000000001"/>
    <n v="-89.225300000000004"/>
    <n v="8804.07"/>
    <n v="0"/>
    <n v="0"/>
    <n v="101"/>
    <s v="_x0000_US"/>
  </r>
  <r>
    <x v="0"/>
    <n v="13.6744"/>
    <n v="-89.201999999999998"/>
    <n v="8804.18"/>
    <n v="0"/>
    <n v="0"/>
    <n v="101"/>
    <s v="_x0000_US"/>
  </r>
  <r>
    <x v="0"/>
    <n v="13.692"/>
    <n v="-89.224000000000004"/>
    <n v="8804.61"/>
    <n v="0"/>
    <n v="0"/>
    <n v="101"/>
    <s v="_x0000_US"/>
  </r>
  <r>
    <x v="0"/>
    <n v="13.6861"/>
    <n v="-89.215000000000003"/>
    <n v="8804.84"/>
    <n v="0"/>
    <n v="0"/>
    <n v="101"/>
    <s v="_x0000_US"/>
  </r>
  <r>
    <x v="0"/>
    <n v="13.6907"/>
    <n v="-89.235600000000005"/>
    <n v="8805.4599999999991"/>
    <n v="0"/>
    <n v="0"/>
    <n v="101"/>
    <s v="_x0000_US"/>
  </r>
  <r>
    <x v="0"/>
    <n v="13.6897"/>
    <n v="-89.216899999999995"/>
    <n v="8805.5300000000007"/>
    <n v="0"/>
    <n v="0"/>
    <n v="101"/>
    <s v="_x0000_US"/>
  </r>
  <r>
    <x v="0"/>
    <n v="13.674899999999999"/>
    <n v="-89.200100000000006"/>
    <n v="8806.8700000000008"/>
    <n v="0"/>
    <n v="0"/>
    <n v="101"/>
    <s v="_x0000_US"/>
  </r>
  <r>
    <x v="0"/>
    <n v="13.6874"/>
    <n v="-89.194900000000004"/>
    <n v="8807.41"/>
    <n v="0"/>
    <n v="0"/>
    <n v="101"/>
    <s v="_x0000_US"/>
  </r>
  <r>
    <x v="0"/>
    <n v="13.694800000000001"/>
    <n v="-89.172700000000006"/>
    <n v="8808.01"/>
    <n v="0"/>
    <n v="0"/>
    <n v="101"/>
    <s v="_x0000_US"/>
  </r>
  <r>
    <x v="0"/>
    <n v="13.692399999999999"/>
    <n v="-89.226299999999995"/>
    <n v="8809.6299999999992"/>
    <n v="0"/>
    <n v="0"/>
    <n v="101"/>
    <s v="_x0000_US"/>
  </r>
  <r>
    <x v="0"/>
    <n v="13.691000000000001"/>
    <n v="-89.188500000000005"/>
    <n v="8810.61"/>
    <n v="0"/>
    <n v="0"/>
    <n v="101"/>
    <s v="_x0000_US"/>
  </r>
  <r>
    <x v="0"/>
    <n v="13.6808"/>
    <n v="-89.198300000000003"/>
    <n v="8811.0400000000009"/>
    <n v="0"/>
    <n v="0"/>
    <n v="101"/>
    <s v="_x0000_US"/>
  </r>
  <r>
    <x v="0"/>
    <n v="13.6905"/>
    <n v="-89.194400000000002"/>
    <n v="8812.5300000000007"/>
    <n v="0"/>
    <n v="0"/>
    <n v="101"/>
    <s v="_x0000_US"/>
  </r>
  <r>
    <x v="0"/>
    <n v="13.688599999999999"/>
    <n v="-89.198300000000003"/>
    <n v="8812.57"/>
    <n v="0"/>
    <n v="0"/>
    <n v="101"/>
    <s v="_x0000_US"/>
  </r>
  <r>
    <x v="0"/>
    <n v="13.6889"/>
    <n v="-89.180099999999996"/>
    <n v="8813.2000000000007"/>
    <n v="0"/>
    <n v="0"/>
    <n v="101"/>
    <s v="_x0000_US"/>
  </r>
  <r>
    <x v="0"/>
    <n v="13.69"/>
    <n v="-89.181600000000003"/>
    <n v="8813.8700000000008"/>
    <n v="0"/>
    <n v="0"/>
    <n v="101"/>
    <s v="_x0000_US"/>
  </r>
  <r>
    <x v="0"/>
    <n v="13.684699999999999"/>
    <n v="-89.213300000000004"/>
    <n v="8814.16"/>
    <n v="0"/>
    <n v="0"/>
    <n v="101"/>
    <s v="_x0000_US"/>
  </r>
  <r>
    <x v="0"/>
    <n v="13.691800000000001"/>
    <n v="-89.186499999999995"/>
    <n v="8815.66"/>
    <n v="0"/>
    <n v="0"/>
    <n v="101"/>
    <s v="_x0000_US"/>
  </r>
  <r>
    <x v="0"/>
    <n v="13.686400000000001"/>
    <n v="-89.193299999999994"/>
    <n v="8816.06"/>
    <n v="0"/>
    <n v="0"/>
    <n v="101"/>
    <s v="_x0000_US"/>
  </r>
  <r>
    <x v="0"/>
    <n v="13.6882"/>
    <n v="-89.1828"/>
    <n v="8816.57"/>
    <n v="0"/>
    <n v="0"/>
    <n v="101"/>
    <s v="_x0000_US"/>
  </r>
  <r>
    <x v="0"/>
    <n v="13.6913"/>
    <n v="-89.178799999999995"/>
    <n v="8817.6200000000008"/>
    <n v="0"/>
    <n v="0"/>
    <n v="101"/>
    <s v="_x0000_US"/>
  </r>
  <r>
    <x v="0"/>
    <n v="13.6905"/>
    <n v="-89.217399999999998"/>
    <n v="8817.94"/>
    <n v="0"/>
    <n v="0"/>
    <n v="101"/>
    <s v="_x0000_US"/>
  </r>
  <r>
    <x v="0"/>
    <n v="13.6744"/>
    <n v="-89.251300000000001"/>
    <n v="8818.7099999999991"/>
    <n v="0"/>
    <n v="0"/>
    <n v="101"/>
    <s v="_x0000_US"/>
  </r>
  <r>
    <x v="0"/>
    <n v="13.6914"/>
    <n v="-89.185599999999994"/>
    <n v="8819.26"/>
    <n v="0"/>
    <n v="0"/>
    <n v="101"/>
    <s v="_x0000_US"/>
  </r>
  <r>
    <x v="0"/>
    <n v="13.692299999999999"/>
    <n v="-89.224299999999999"/>
    <n v="8819.26"/>
    <n v="0"/>
    <n v="0"/>
    <n v="101"/>
    <s v="_x0000_US"/>
  </r>
  <r>
    <x v="0"/>
    <n v="13.689500000000001"/>
    <n v="-89.197500000000005"/>
    <n v="8819.57"/>
    <n v="0"/>
    <n v="0"/>
    <n v="101"/>
    <s v="_x0000_US"/>
  </r>
  <r>
    <x v="0"/>
    <n v="13.6928"/>
    <n v="-89.178200000000004"/>
    <n v="8821"/>
    <n v="0"/>
    <n v="0"/>
    <n v="101"/>
    <s v="_x0000_US"/>
  </r>
  <r>
    <x v="0"/>
    <n v="13.691700000000001"/>
    <n v="-89.228300000000004"/>
    <n v="8821.2099999999991"/>
    <n v="0"/>
    <n v="0"/>
    <n v="101"/>
    <s v="_x0000_US"/>
  </r>
  <r>
    <x v="0"/>
    <n v="13.685600000000001"/>
    <n v="-89.202699999999993"/>
    <n v="8821.82"/>
    <n v="0"/>
    <n v="0"/>
    <n v="101"/>
    <s v="_x0000_US"/>
  </r>
  <r>
    <x v="0"/>
    <n v="13.690799999999999"/>
    <n v="-89.185900000000004"/>
    <n v="8822.2099999999991"/>
    <n v="0"/>
    <n v="0"/>
    <n v="101"/>
    <s v="_x0000_US"/>
  </r>
  <r>
    <x v="0"/>
    <n v="13.6852"/>
    <n v="-89.215599999999995"/>
    <n v="8822.43"/>
    <n v="0"/>
    <n v="0"/>
    <n v="101"/>
    <s v="_x0000_US"/>
  </r>
  <r>
    <x v="0"/>
    <n v="13.685700000000001"/>
    <n v="-89.212400000000002"/>
    <n v="8824.02"/>
    <n v="0"/>
    <n v="0"/>
    <n v="101"/>
    <s v="_x0000_US"/>
  </r>
  <r>
    <x v="0"/>
    <n v="13.6875"/>
    <n v="-89.195099999999996"/>
    <n v="8824.82"/>
    <n v="0"/>
    <n v="0"/>
    <n v="101"/>
    <s v="_x0000_US"/>
  </r>
  <r>
    <x v="0"/>
    <n v="13.678000000000001"/>
    <n v="-89.245800000000003"/>
    <n v="8825.08"/>
    <n v="0"/>
    <n v="0"/>
    <n v="101"/>
    <s v="_x0000_US"/>
  </r>
  <r>
    <x v="0"/>
    <n v="13.688700000000001"/>
    <n v="-89.205399999999997"/>
    <n v="8826.67"/>
    <n v="0"/>
    <n v="0"/>
    <n v="101"/>
    <s v="_x0000_US"/>
  </r>
  <r>
    <x v="0"/>
    <n v="13.692299999999999"/>
    <n v="-89.179400000000001"/>
    <n v="8826.9699999999993"/>
    <n v="0"/>
    <n v="0"/>
    <n v="101"/>
    <s v="_x0000_US"/>
  </r>
  <r>
    <x v="0"/>
    <n v="13.6898"/>
    <n v="-89.228800000000007"/>
    <n v="8827.33"/>
    <n v="0"/>
    <n v="0"/>
    <n v="101"/>
    <s v="_x0000_US"/>
  </r>
  <r>
    <x v="0"/>
    <n v="13.6906"/>
    <n v="-89.235100000000003"/>
    <n v="8827.58"/>
    <n v="0"/>
    <n v="0"/>
    <n v="101"/>
    <s v="_x0000_US"/>
  </r>
  <r>
    <x v="0"/>
    <n v="13.6869"/>
    <n v="-89.191299999999998"/>
    <n v="8828.4599999999991"/>
    <n v="0"/>
    <n v="0"/>
    <n v="101"/>
    <s v="_x0000_US"/>
  </r>
  <r>
    <x v="0"/>
    <n v="13.696"/>
    <n v="-89.172499999999999"/>
    <n v="8828.9500000000007"/>
    <n v="0"/>
    <n v="0"/>
    <n v="101"/>
    <s v="_x0000_US"/>
  </r>
  <r>
    <x v="0"/>
    <n v="13.677099999999999"/>
    <n v="-89.248400000000004"/>
    <n v="8829.75"/>
    <n v="0"/>
    <n v="0"/>
    <n v="101"/>
    <s v="_x0000_US"/>
  </r>
  <r>
    <x v="0"/>
    <n v="13.6853"/>
    <n v="-89.194100000000006"/>
    <n v="8829.7999999999993"/>
    <n v="0"/>
    <n v="0"/>
    <n v="101"/>
    <s v="_x0000_US"/>
  </r>
  <r>
    <x v="0"/>
    <n v="13.693"/>
    <n v="-89.177700000000002"/>
    <n v="8830.2099999999991"/>
    <n v="0"/>
    <n v="0"/>
    <n v="101"/>
    <s v="_x0000_US"/>
  </r>
  <r>
    <x v="0"/>
    <n v="13.689399999999999"/>
    <n v="-89.235600000000005"/>
    <n v="8831.67"/>
    <n v="0"/>
    <n v="0"/>
    <n v="101"/>
    <s v="_x0000_US"/>
  </r>
  <r>
    <x v="0"/>
    <n v="13.6927"/>
    <n v="-89.225899999999996"/>
    <n v="8831.91"/>
    <n v="0"/>
    <n v="0"/>
    <n v="101"/>
    <s v="_x0000_US"/>
  </r>
  <r>
    <x v="0"/>
    <n v="13.6875"/>
    <n v="-89.182100000000005"/>
    <n v="8832.0300000000007"/>
    <n v="0"/>
    <n v="0"/>
    <n v="101"/>
    <s v="_x0000_US"/>
  </r>
  <r>
    <x v="0"/>
    <n v="13.687099999999999"/>
    <n v="-89.197800000000001"/>
    <n v="8832.4"/>
    <n v="0"/>
    <n v="0"/>
    <n v="101"/>
    <s v="_x0000_US"/>
  </r>
  <r>
    <x v="0"/>
    <n v="13.6914"/>
    <n v="-89.220500000000001"/>
    <n v="8832.83"/>
    <n v="0"/>
    <n v="0"/>
    <n v="101"/>
    <s v="_x0000_US"/>
  </r>
  <r>
    <x v="0"/>
    <n v="13.690200000000001"/>
    <n v="-89.19"/>
    <n v="8833.81"/>
    <n v="0"/>
    <n v="0"/>
    <n v="101"/>
    <s v="_x0000_US"/>
  </r>
  <r>
    <x v="0"/>
    <n v="13.674099999999999"/>
    <n v="-89.252200000000002"/>
    <n v="8834.15"/>
    <n v="0"/>
    <n v="0"/>
    <n v="101"/>
    <s v="_x0000_US"/>
  </r>
  <r>
    <x v="0"/>
    <n v="13.6797"/>
    <n v="-89.1965"/>
    <n v="8835.2900000000009"/>
    <n v="0"/>
    <n v="0"/>
    <n v="101"/>
    <s v="_x0000_US"/>
  </r>
  <r>
    <x v="0"/>
    <n v="13.691000000000001"/>
    <n v="-89.218599999999995"/>
    <n v="8836.4"/>
    <n v="0"/>
    <n v="0"/>
    <n v="101"/>
    <s v="_x0000_US"/>
  </r>
  <r>
    <x v="0"/>
    <n v="13.6928"/>
    <n v="-89.179199999999994"/>
    <n v="8836.83"/>
    <n v="0"/>
    <n v="0"/>
    <n v="101"/>
    <s v="_x0000_US"/>
  </r>
  <r>
    <x v="0"/>
    <n v="13.692500000000001"/>
    <n v="-89.174199999999999"/>
    <n v="8838.0400000000009"/>
    <n v="0"/>
    <n v="0"/>
    <n v="101"/>
    <s v="_x0000_US"/>
  </r>
  <r>
    <x v="0"/>
    <n v="13.6906"/>
    <n v="-89.233599999999996"/>
    <n v="8838.1"/>
    <n v="0"/>
    <n v="0"/>
    <n v="101"/>
    <s v="_x0000_US"/>
  </r>
  <r>
    <x v="0"/>
    <n v="13.6912"/>
    <n v="-89.233599999999996"/>
    <n v="8838.17"/>
    <n v="0"/>
    <n v="0"/>
    <n v="101"/>
    <s v="_x0000_US"/>
  </r>
  <r>
    <x v="0"/>
    <n v="13.696400000000001"/>
    <n v="-89.171599999999998"/>
    <n v="8838.43"/>
    <n v="0"/>
    <n v="0"/>
    <n v="101"/>
    <s v="_x0000_US"/>
  </r>
  <r>
    <x v="0"/>
    <n v="13.6912"/>
    <n v="-89.181899999999999"/>
    <n v="8838.48"/>
    <n v="0"/>
    <n v="0"/>
    <n v="101"/>
    <s v="_x0000_US"/>
  </r>
  <r>
    <x v="0"/>
    <n v="13.6906"/>
    <n v="-89.233900000000006"/>
    <n v="8838.6200000000008"/>
    <n v="0"/>
    <n v="0"/>
    <n v="101"/>
    <s v="_x0000_US"/>
  </r>
  <r>
    <x v="0"/>
    <n v="13.6875"/>
    <n v="-89.216800000000006"/>
    <n v="8839.7000000000007"/>
    <n v="0"/>
    <n v="0"/>
    <n v="101"/>
    <s v="_x0000_US"/>
  </r>
  <r>
    <x v="0"/>
    <n v="13.6922"/>
    <n v="-89.226200000000006"/>
    <n v="8839.99"/>
    <n v="0"/>
    <n v="0"/>
    <n v="101"/>
    <s v="_x0000_US"/>
  </r>
  <r>
    <x v="0"/>
    <n v="13.692299999999999"/>
    <n v="-89.174899999999994"/>
    <n v="8841.2099999999991"/>
    <n v="0"/>
    <n v="0"/>
    <n v="101"/>
    <s v="_x0000_US"/>
  </r>
  <r>
    <x v="0"/>
    <n v="13.6877"/>
    <n v="-89.179900000000004"/>
    <n v="8841.5"/>
    <n v="0"/>
    <n v="0"/>
    <n v="101"/>
    <s v="_x0000_US"/>
  </r>
  <r>
    <x v="0"/>
    <n v="13.6851"/>
    <n v="-89.217299999999994"/>
    <n v="8843.76"/>
    <n v="0"/>
    <n v="0"/>
    <n v="101"/>
    <s v="_x0000_US"/>
  </r>
  <r>
    <x v="0"/>
    <n v="13.6744"/>
    <n v="-89.252499999999998"/>
    <n v="8844.84"/>
    <n v="0"/>
    <n v="0"/>
    <n v="101"/>
    <s v="_x0000_US"/>
  </r>
  <r>
    <x v="0"/>
    <n v="13.6929"/>
    <n v="-89.224599999999995"/>
    <n v="8845.4599999999991"/>
    <n v="0"/>
    <n v="0"/>
    <n v="101"/>
    <s v="_x0000_US"/>
  </r>
  <r>
    <x v="0"/>
    <n v="13.690300000000001"/>
    <n v="-89.234099999999998"/>
    <n v="8845.94"/>
    <n v="0"/>
    <n v="0"/>
    <n v="101"/>
    <s v="_x0000_US"/>
  </r>
  <r>
    <x v="0"/>
    <n v="13.6942"/>
    <n v="-89.183199999999999"/>
    <n v="8846.59"/>
    <n v="0"/>
    <n v="0"/>
    <n v="101"/>
    <s v="_x0000_US"/>
  </r>
  <r>
    <x v="0"/>
    <n v="13.6877"/>
    <n v="-89.194599999999994"/>
    <n v="8846.61"/>
    <n v="0"/>
    <n v="0"/>
    <n v="101"/>
    <s v="_x0000_US"/>
  </r>
  <r>
    <x v="0"/>
    <n v="13.6922"/>
    <n v="-89.179699999999997"/>
    <n v="8846.9"/>
    <n v="0"/>
    <n v="0"/>
    <n v="101"/>
    <s v="_x0000_US"/>
  </r>
  <r>
    <x v="0"/>
    <n v="13.6737"/>
    <n v="-89.202799999999996"/>
    <n v="8847.17"/>
    <n v="0"/>
    <n v="0"/>
    <n v="101"/>
    <s v="_x0000_US"/>
  </r>
  <r>
    <x v="0"/>
    <n v="13.6935"/>
    <n v="-89.176900000000003"/>
    <n v="8847.25"/>
    <n v="0"/>
    <n v="0"/>
    <n v="101"/>
    <s v="_x0000_US"/>
  </r>
  <r>
    <x v="0"/>
    <n v="13.6907"/>
    <n v="-89.1815"/>
    <n v="8847.2800000000007"/>
    <n v="0"/>
    <n v="0"/>
    <n v="101"/>
    <s v="_x0000_US"/>
  </r>
  <r>
    <x v="0"/>
    <n v="13.685700000000001"/>
    <n v="-89.212699999999998"/>
    <n v="8847.7900000000009"/>
    <n v="0"/>
    <n v="0"/>
    <n v="101"/>
    <s v="_x0000_US"/>
  </r>
  <r>
    <x v="0"/>
    <n v="13.689500000000001"/>
    <n v="-89.205100000000002"/>
    <n v="8847.89"/>
    <n v="0"/>
    <n v="0"/>
    <n v="101"/>
    <s v="_x0000_US"/>
  </r>
  <r>
    <x v="0"/>
    <n v="13.6876"/>
    <n v="-89.216499999999996"/>
    <n v="8848.25"/>
    <n v="0"/>
    <n v="0"/>
    <n v="101"/>
    <s v="_x0000_US"/>
  </r>
  <r>
    <x v="0"/>
    <n v="13.691800000000001"/>
    <n v="-89.226100000000002"/>
    <n v="8848.48"/>
    <n v="0"/>
    <n v="0"/>
    <n v="101"/>
    <s v="_x0000_US"/>
  </r>
  <r>
    <x v="0"/>
    <n v="13.6892"/>
    <n v="-89.229699999999994"/>
    <n v="8849.34"/>
    <n v="0"/>
    <n v="0"/>
    <n v="101"/>
    <s v="_x0000_US"/>
  </r>
  <r>
    <x v="0"/>
    <n v="13.6874"/>
    <n v="-89.194400000000002"/>
    <n v="8849.42"/>
    <n v="0"/>
    <n v="0"/>
    <n v="101"/>
    <s v="_x0000_US"/>
  </r>
  <r>
    <x v="0"/>
    <n v="13.6919"/>
    <n v="-89.225499999999997"/>
    <n v="8849.74"/>
    <n v="0"/>
    <n v="0"/>
    <n v="101"/>
    <s v="_x0000_US"/>
  </r>
  <r>
    <x v="0"/>
    <n v="13.688700000000001"/>
    <n v="-89.18"/>
    <n v="8851.74"/>
    <n v="0"/>
    <n v="0"/>
    <n v="101"/>
    <s v="_x0000_US"/>
  </r>
  <r>
    <x v="0"/>
    <n v="13.689500000000001"/>
    <n v="-89.207999999999998"/>
    <n v="8851.99"/>
    <n v="0"/>
    <n v="0"/>
    <n v="101"/>
    <s v="_x0000_US"/>
  </r>
  <r>
    <x v="0"/>
    <n v="13.6915"/>
    <n v="-89.1935"/>
    <n v="8852.11"/>
    <n v="0"/>
    <n v="0"/>
    <n v="101"/>
    <s v="_x0000_US"/>
  </r>
  <r>
    <x v="0"/>
    <n v="13.6938"/>
    <n v="-89.173699999999997"/>
    <n v="8852.16"/>
    <n v="0"/>
    <n v="0"/>
    <n v="101"/>
    <s v="_x0000_US"/>
  </r>
  <r>
    <x v="0"/>
    <n v="13.6751"/>
    <n v="-89.252099999999999"/>
    <n v="8852.2199999999993"/>
    <n v="0"/>
    <n v="0"/>
    <n v="101"/>
    <s v="_x0000_US"/>
  </r>
  <r>
    <x v="0"/>
    <n v="13.691800000000001"/>
    <n v="-89.179000000000002"/>
    <n v="8852.2900000000009"/>
    <n v="0"/>
    <n v="0"/>
    <n v="101"/>
    <s v="_x0000_US"/>
  </r>
  <r>
    <x v="0"/>
    <n v="13.6943"/>
    <n v="-89.188599999999994"/>
    <n v="8852.4599999999991"/>
    <n v="0"/>
    <n v="0"/>
    <n v="101"/>
    <s v="_x0000_US"/>
  </r>
  <r>
    <x v="0"/>
    <n v="13.688599999999999"/>
    <n v="-89.204700000000003"/>
    <n v="8852.93"/>
    <n v="0"/>
    <n v="0"/>
    <n v="101"/>
    <s v="_x0000_US"/>
  </r>
  <r>
    <x v="0"/>
    <n v="13.6905"/>
    <n v="-89.194299999999998"/>
    <n v="8853.49"/>
    <n v="0"/>
    <n v="0"/>
    <n v="101"/>
    <s v="_x0000_US"/>
  </r>
  <r>
    <x v="0"/>
    <n v="13.693099999999999"/>
    <n v="-89.183800000000005"/>
    <n v="8855.99"/>
    <n v="0"/>
    <n v="0"/>
    <n v="101"/>
    <s v="_x0000_US"/>
  </r>
  <r>
    <x v="0"/>
    <n v="13.692299999999999"/>
    <n v="-89.226299999999995"/>
    <n v="8856.2900000000009"/>
    <n v="0"/>
    <n v="0"/>
    <n v="101"/>
    <s v="_x0000_US"/>
  </r>
  <r>
    <x v="0"/>
    <n v="13.6919"/>
    <n v="-89.226699999999994"/>
    <n v="8856.82"/>
    <n v="0"/>
    <n v="0"/>
    <n v="101"/>
    <s v="_x0000_US"/>
  </r>
  <r>
    <x v="0"/>
    <n v="13.6873"/>
    <n v="-89.197800000000001"/>
    <n v="8859.24"/>
    <n v="0"/>
    <n v="0"/>
    <n v="101"/>
    <s v="_x0000_US"/>
  </r>
  <r>
    <x v="0"/>
    <n v="13.690099999999999"/>
    <n v="-89.1815"/>
    <n v="8859.67"/>
    <n v="0"/>
    <n v="0"/>
    <n v="101"/>
    <s v="_x0000_US"/>
  </r>
  <r>
    <x v="0"/>
    <n v="13.6846"/>
    <n v="-89.217200000000005"/>
    <n v="8860.0499999999993"/>
    <n v="0"/>
    <n v="0"/>
    <n v="101"/>
    <s v="_x0000_US"/>
  </r>
  <r>
    <x v="0"/>
    <n v="13.6852"/>
    <n v="-89.215000000000003"/>
    <n v="8860.1200000000008"/>
    <n v="0"/>
    <n v="0"/>
    <n v="101"/>
    <s v="_x0000_US"/>
  </r>
  <r>
    <x v="0"/>
    <n v="13.691800000000001"/>
    <n v="-89.194299999999998"/>
    <n v="8860.25"/>
    <n v="0"/>
    <n v="0"/>
    <n v="101"/>
    <s v="_x0000_US"/>
  </r>
  <r>
    <x v="0"/>
    <n v="13.6853"/>
    <n v="-89.215000000000003"/>
    <n v="8860.68"/>
    <n v="0"/>
    <n v="0"/>
    <n v="101"/>
    <s v="_x0000_US"/>
  </r>
  <r>
    <x v="0"/>
    <n v="13.690899999999999"/>
    <n v="-89.219800000000006"/>
    <n v="8861.0499999999993"/>
    <n v="0"/>
    <n v="0"/>
    <n v="101"/>
    <s v="_x0000_US"/>
  </r>
  <r>
    <x v="0"/>
    <n v="13.690200000000001"/>
    <n v="-89.179699999999997"/>
    <n v="8862.0400000000009"/>
    <n v="0"/>
    <n v="0"/>
    <n v="101"/>
    <s v="_x0000_US"/>
  </r>
  <r>
    <x v="0"/>
    <n v="13.694599999999999"/>
    <n v="-89.174499999999995"/>
    <n v="8862.06"/>
    <n v="0"/>
    <n v="0"/>
    <n v="101"/>
    <s v="_x0000_US"/>
  </r>
  <r>
    <x v="0"/>
    <n v="13.692"/>
    <n v="-89.225200000000001"/>
    <n v="8862.32"/>
    <n v="0"/>
    <n v="0"/>
    <n v="101"/>
    <s v="_x0000_US"/>
  </r>
  <r>
    <x v="0"/>
    <n v="13.6899"/>
    <n v="-89.177599999999998"/>
    <n v="8865.66"/>
    <n v="0"/>
    <n v="0"/>
    <n v="101"/>
    <s v="_x0000_US"/>
  </r>
  <r>
    <x v="0"/>
    <n v="13.685499999999999"/>
    <n v="-89.211200000000005"/>
    <n v="8866.02"/>
    <n v="0"/>
    <n v="0"/>
    <n v="101"/>
    <s v="_x0000_US"/>
  </r>
  <r>
    <x v="0"/>
    <n v="13.692299999999999"/>
    <n v="-89.222700000000003"/>
    <n v="8866.6"/>
    <n v="0"/>
    <n v="0"/>
    <n v="101"/>
    <s v="_x0000_US"/>
  </r>
  <r>
    <x v="0"/>
    <n v="13.689500000000001"/>
    <n v="-89.206500000000005"/>
    <n v="8866.8799999999992"/>
    <n v="0"/>
    <n v="0"/>
    <n v="101"/>
    <s v="_x0000_US"/>
  </r>
  <r>
    <x v="0"/>
    <n v="13.694699999999999"/>
    <n v="-89.174999999999997"/>
    <n v="8867.11"/>
    <n v="0"/>
    <n v="0"/>
    <n v="101"/>
    <s v="_x0000_US"/>
  </r>
  <r>
    <x v="0"/>
    <n v="13.6751"/>
    <n v="-89.251900000000006"/>
    <n v="8867.4599999999991"/>
    <n v="0"/>
    <n v="0"/>
    <n v="101"/>
    <s v="_x0000_US"/>
  </r>
  <r>
    <x v="0"/>
    <n v="13.691000000000001"/>
    <n v="-89.234800000000007"/>
    <n v="8868.0400000000009"/>
    <n v="0"/>
    <n v="0"/>
    <n v="101"/>
    <s v="_x0000_US"/>
  </r>
  <r>
    <x v="0"/>
    <n v="13.694599999999999"/>
    <n v="-89.174199999999999"/>
    <n v="8870.09"/>
    <n v="0"/>
    <n v="0"/>
    <n v="101"/>
    <s v="_x0000_US"/>
  </r>
  <r>
    <x v="0"/>
    <n v="13.686"/>
    <n v="-89.215699999999998"/>
    <n v="8871.3700000000008"/>
    <n v="0"/>
    <n v="0"/>
    <n v="101"/>
    <s v="_x0000_US"/>
  </r>
  <r>
    <x v="0"/>
    <n v="13.689399999999999"/>
    <n v="-89.202799999999996"/>
    <n v="8871.59"/>
    <n v="0"/>
    <n v="0"/>
    <n v="101"/>
    <s v="_x0000_US"/>
  </r>
  <r>
    <x v="0"/>
    <n v="13.691599999999999"/>
    <n v="-89.179299999999998"/>
    <n v="8872.3700000000008"/>
    <n v="0"/>
    <n v="0"/>
    <n v="101"/>
    <s v="_x0000_US"/>
  </r>
  <r>
    <x v="0"/>
    <n v="13.690899999999999"/>
    <n v="-89.2316"/>
    <n v="8872.4500000000007"/>
    <n v="0"/>
    <n v="0"/>
    <n v="101"/>
    <s v="_x0000_US"/>
  </r>
  <r>
    <x v="0"/>
    <n v="13.692299999999999"/>
    <n v="-89.225700000000003"/>
    <n v="8874.14"/>
    <n v="0"/>
    <n v="0"/>
    <n v="101"/>
    <s v="_x0000_US"/>
  </r>
  <r>
    <x v="0"/>
    <n v="13.6935"/>
    <n v="-89.188800000000001"/>
    <n v="8874.7800000000007"/>
    <n v="0"/>
    <n v="0"/>
    <n v="101"/>
    <s v="_x0000_US"/>
  </r>
  <r>
    <x v="0"/>
    <n v="13.693"/>
    <n v="-89.177000000000007"/>
    <n v="8875.02"/>
    <n v="0"/>
    <n v="0"/>
    <n v="101"/>
    <s v="_x0000_US"/>
  </r>
  <r>
    <x v="0"/>
    <n v="13.6907"/>
    <n v="-89.186000000000007"/>
    <n v="8875.06"/>
    <n v="0"/>
    <n v="0"/>
    <n v="101"/>
    <s v="_x0000_US"/>
  </r>
  <r>
    <x v="0"/>
    <n v="13.6798"/>
    <n v="-89.196700000000007"/>
    <n v="8875.36"/>
    <n v="0"/>
    <n v="0"/>
    <n v="101"/>
    <s v="_x0000_US"/>
  </r>
  <r>
    <x v="0"/>
    <n v="13.688800000000001"/>
    <n v="-89.194800000000001"/>
    <n v="8875.4599999999991"/>
    <n v="0"/>
    <n v="0"/>
    <n v="101"/>
    <s v="_x0000_US"/>
  </r>
  <r>
    <x v="0"/>
    <n v="13.691800000000001"/>
    <n v="-89.224800000000002"/>
    <n v="8875.5300000000007"/>
    <n v="0"/>
    <n v="0"/>
    <n v="101"/>
    <s v="_x0000_US"/>
  </r>
  <r>
    <x v="0"/>
    <n v="13.674200000000001"/>
    <n v="-89.201899999999995"/>
    <n v="8876.32"/>
    <n v="0"/>
    <n v="0"/>
    <n v="101"/>
    <s v="_x0000_US"/>
  </r>
  <r>
    <x v="0"/>
    <n v="13.6873"/>
    <n v="-89.194500000000005"/>
    <n v="8876.5"/>
    <n v="0"/>
    <n v="0"/>
    <n v="101"/>
    <s v="_x0000_US"/>
  </r>
  <r>
    <x v="0"/>
    <n v="13.6745"/>
    <n v="-89.199100000000001"/>
    <n v="8876.6200000000008"/>
    <n v="0"/>
    <n v="0"/>
    <n v="101"/>
    <s v="_x0000_US"/>
  </r>
  <r>
    <x v="0"/>
    <n v="13.6904"/>
    <n v="-89.186099999999996"/>
    <n v="8876.92"/>
    <n v="0"/>
    <n v="0"/>
    <n v="101"/>
    <s v="_x0000_US"/>
  </r>
  <r>
    <x v="0"/>
    <n v="13.6927"/>
    <n v="-89.224999999999994"/>
    <n v="8878.16"/>
    <n v="0"/>
    <n v="0"/>
    <n v="101"/>
    <s v="_x0000_US"/>
  </r>
  <r>
    <x v="0"/>
    <n v="13.677"/>
    <n v="-89.247399999999999"/>
    <n v="8879.2099999999991"/>
    <n v="0"/>
    <n v="0"/>
    <n v="101"/>
    <s v="_x0000_US"/>
  </r>
  <r>
    <x v="0"/>
    <n v="13.6913"/>
    <n v="-89.189400000000006"/>
    <n v="8880.51"/>
    <n v="0"/>
    <n v="0"/>
    <n v="101"/>
    <s v="_x0000_US"/>
  </r>
  <r>
    <x v="0"/>
    <n v="13.6904"/>
    <n v="-89.193299999999994"/>
    <n v="8880.59"/>
    <n v="0"/>
    <n v="0"/>
    <n v="101"/>
    <s v="_x0000_US"/>
  </r>
  <r>
    <x v="0"/>
    <n v="13.6912"/>
    <n v="-89.22"/>
    <n v="8882.2900000000009"/>
    <n v="0"/>
    <n v="0"/>
    <n v="101"/>
    <s v="_x0000_US"/>
  </r>
  <r>
    <x v="0"/>
    <n v="13.6753"/>
    <n v="-89.248199999999997"/>
    <n v="8882.6200000000008"/>
    <n v="0"/>
    <n v="0"/>
    <n v="101"/>
    <s v="_x0000_US"/>
  </r>
  <r>
    <x v="0"/>
    <n v="13.691700000000001"/>
    <n v="-89.181700000000006"/>
    <n v="8883.68"/>
    <n v="0"/>
    <n v="0"/>
    <n v="101"/>
    <s v="_x0000_US"/>
  </r>
  <r>
    <x v="0"/>
    <n v="13.696899999999999"/>
    <n v="-89.171999999999997"/>
    <n v="8883.75"/>
    <n v="0"/>
    <n v="0"/>
    <n v="101"/>
    <s v="_x0000_US"/>
  </r>
  <r>
    <x v="0"/>
    <n v="13.695499999999999"/>
    <n v="-89.166600000000003"/>
    <n v="8883.83"/>
    <n v="0"/>
    <n v="0"/>
    <n v="101"/>
    <s v="_x0000_US"/>
  </r>
  <r>
    <x v="0"/>
    <n v="13.686999999999999"/>
    <n v="-89.197100000000006"/>
    <n v="8884.26"/>
    <n v="0"/>
    <n v="0"/>
    <n v="101"/>
    <s v="_x0000_US"/>
  </r>
  <r>
    <x v="0"/>
    <n v="13.692500000000001"/>
    <n v="-89.183199999999999"/>
    <n v="8884.6"/>
    <n v="0"/>
    <n v="0"/>
    <n v="101"/>
    <s v="_x0000_US"/>
  </r>
  <r>
    <x v="0"/>
    <n v="13.6874"/>
    <n v="-89.196299999999994"/>
    <n v="8884.7099999999991"/>
    <n v="0"/>
    <n v="0"/>
    <n v="101"/>
    <s v="_x0000_US"/>
  </r>
  <r>
    <x v="0"/>
    <n v="13.6877"/>
    <n v="-89.179699999999997"/>
    <n v="8885.32"/>
    <n v="0"/>
    <n v="0"/>
    <n v="101"/>
    <s v="_x0000_US"/>
  </r>
  <r>
    <x v="0"/>
    <n v="13.695499999999999"/>
    <n v="-89.171800000000005"/>
    <n v="8886.2900000000009"/>
    <n v="0"/>
    <n v="0"/>
    <n v="101"/>
    <s v="_x0000_US"/>
  </r>
  <r>
    <x v="0"/>
    <n v="13.6898"/>
    <n v="-89.194100000000006"/>
    <n v="8888.92"/>
    <n v="0"/>
    <n v="0"/>
    <n v="101"/>
    <s v="_x0000_US"/>
  </r>
  <r>
    <x v="0"/>
    <n v="13.677199999999999"/>
    <n v="-89.199700000000007"/>
    <n v="8889.2900000000009"/>
    <n v="0"/>
    <n v="0"/>
    <n v="101"/>
    <s v="_x0000_US"/>
  </r>
  <r>
    <x v="0"/>
    <n v="13.691700000000001"/>
    <n v="-89.183199999999999"/>
    <n v="8890.2099999999991"/>
    <n v="0"/>
    <n v="0"/>
    <n v="101"/>
    <s v="_x0000_US"/>
  </r>
  <r>
    <x v="0"/>
    <n v="13.693099999999999"/>
    <n v="-89.185500000000005"/>
    <n v="8890.59"/>
    <n v="0"/>
    <n v="0"/>
    <n v="101"/>
    <s v="_x0000_US"/>
  </r>
  <r>
    <x v="0"/>
    <n v="13.690300000000001"/>
    <n v="-89.235500000000002"/>
    <n v="8891.27"/>
    <n v="0"/>
    <n v="0"/>
    <n v="101"/>
    <s v="_x0000_US"/>
  </r>
  <r>
    <x v="0"/>
    <n v="13.6912"/>
    <n v="-89.2333"/>
    <n v="8891.7199999999993"/>
    <n v="0"/>
    <n v="0"/>
    <n v="101"/>
    <s v="_x0000_US"/>
  </r>
  <r>
    <x v="0"/>
    <n v="13.6928"/>
    <n v="-89.178100000000001"/>
    <n v="8892.1299999999992"/>
    <n v="0"/>
    <n v="0"/>
    <n v="101"/>
    <s v="_x0000_US"/>
  </r>
  <r>
    <x v="0"/>
    <n v="13.6851"/>
    <n v="-89.217200000000005"/>
    <n v="8892.41"/>
    <n v="0"/>
    <n v="0"/>
    <n v="101"/>
    <s v="_x0000_US"/>
  </r>
  <r>
    <x v="0"/>
    <n v="13.6911"/>
    <n v="-89.233999999999995"/>
    <n v="8893.08"/>
    <n v="0"/>
    <n v="0"/>
    <n v="101"/>
    <s v="_x0000_US"/>
  </r>
  <r>
    <x v="0"/>
    <n v="13.6906"/>
    <n v="-89.184799999999996"/>
    <n v="8893.9699999999993"/>
    <n v="0"/>
    <n v="0"/>
    <n v="101"/>
    <s v="_x0000_US"/>
  </r>
  <r>
    <x v="0"/>
    <n v="13.685499999999999"/>
    <n v="-89.212699999999998"/>
    <n v="8894.39"/>
    <n v="0"/>
    <n v="0"/>
    <n v="101"/>
    <s v="_x0000_US"/>
  </r>
  <r>
    <x v="0"/>
    <n v="13.674899999999999"/>
    <n v="-89.199600000000004"/>
    <n v="8895.35"/>
    <n v="0"/>
    <n v="0"/>
    <n v="101"/>
    <s v="_x0000_US"/>
  </r>
  <r>
    <x v="0"/>
    <n v="13.692399999999999"/>
    <n v="-89.174700000000001"/>
    <n v="8896.61"/>
    <n v="0"/>
    <n v="0"/>
    <n v="101"/>
    <s v="_x0000_US"/>
  </r>
  <r>
    <x v="0"/>
    <n v="13.674099999999999"/>
    <n v="-89.252499999999998"/>
    <n v="8897.59"/>
    <n v="0"/>
    <n v="0"/>
    <n v="101"/>
    <s v="_x0000_US"/>
  </r>
  <r>
    <x v="0"/>
    <n v="13.687799999999999"/>
    <n v="-89.181399999999996"/>
    <n v="8897.7900000000009"/>
    <n v="0"/>
    <n v="0"/>
    <n v="101"/>
    <s v="_x0000_US"/>
  </r>
  <r>
    <x v="0"/>
    <n v="13.6914"/>
    <n v="-89.233999999999995"/>
    <n v="8897.86"/>
    <n v="0"/>
    <n v="0"/>
    <n v="101"/>
    <s v="_x0000_US"/>
  </r>
  <r>
    <x v="0"/>
    <n v="13.689500000000001"/>
    <n v="-89.235399999999998"/>
    <n v="8897.9599999999991"/>
    <n v="0"/>
    <n v="0"/>
    <n v="101"/>
    <s v="_x0000_US"/>
  </r>
  <r>
    <x v="0"/>
    <n v="13.691700000000001"/>
    <n v="-89.1785"/>
    <n v="8898.0300000000007"/>
    <n v="0"/>
    <n v="0"/>
    <n v="101"/>
    <s v="_x0000_US"/>
  </r>
  <r>
    <x v="0"/>
    <n v="13.6911"/>
    <n v="-89.235699999999994"/>
    <n v="8898.06"/>
    <n v="0"/>
    <n v="0"/>
    <n v="101"/>
    <s v="_x0000_US"/>
  </r>
  <r>
    <x v="0"/>
    <n v="13.690799999999999"/>
    <n v="-89.189300000000003"/>
    <n v="8898.5499999999993"/>
    <n v="0"/>
    <n v="0"/>
    <n v="101"/>
    <s v="_x0000_US"/>
  </r>
  <r>
    <x v="0"/>
    <n v="13.6915"/>
    <n v="-89.233400000000003"/>
    <n v="8899.6"/>
    <n v="0"/>
    <n v="0"/>
    <n v="101"/>
    <s v="_x0000_US"/>
  </r>
  <r>
    <x v="0"/>
    <n v="13.688700000000001"/>
    <n v="-89.217200000000005"/>
    <n v="8900.4500000000007"/>
    <n v="0"/>
    <n v="0"/>
    <n v="101"/>
    <s v="_x0000_US"/>
  </r>
  <r>
    <x v="0"/>
    <n v="13.6905"/>
    <n v="-89.227800000000002"/>
    <n v="8900.5300000000007"/>
    <n v="0"/>
    <n v="0"/>
    <n v="101"/>
    <s v="_x0000_US"/>
  </r>
  <r>
    <x v="0"/>
    <n v="13.677199999999999"/>
    <n v="-89.199700000000007"/>
    <n v="8900.66"/>
    <n v="0"/>
    <n v="0"/>
    <n v="101"/>
    <s v="_x0000_US"/>
  </r>
  <r>
    <x v="0"/>
    <n v="13.689299999999999"/>
    <n v="-89.177700000000002"/>
    <n v="8901.08"/>
    <n v="0"/>
    <n v="0"/>
    <n v="101"/>
    <s v="_x0000_US"/>
  </r>
  <r>
    <x v="0"/>
    <n v="13.696899999999999"/>
    <n v="-89.171400000000006"/>
    <n v="8901.89"/>
    <n v="0"/>
    <n v="0"/>
    <n v="101"/>
    <s v="_x0000_US"/>
  </r>
  <r>
    <x v="0"/>
    <n v="13.6859"/>
    <n v="-89.211299999999994"/>
    <n v="8902.99"/>
    <n v="0"/>
    <n v="0"/>
    <n v="101"/>
    <s v="_x0000_US"/>
  </r>
  <r>
    <x v="0"/>
    <n v="13.691000000000001"/>
    <n v="-89.235200000000006"/>
    <n v="8903.81"/>
    <n v="0"/>
    <n v="0"/>
    <n v="101"/>
    <s v="_x0000_US"/>
  </r>
  <r>
    <x v="0"/>
    <n v="13.6736"/>
    <n v="-89.251300000000001"/>
    <n v="8903.85"/>
    <n v="0"/>
    <n v="0"/>
    <n v="101"/>
    <s v="_x0000_US"/>
  </r>
  <r>
    <x v="0"/>
    <n v="13.6907"/>
    <n v="-89.231999999999999"/>
    <n v="8903.8799999999992"/>
    <n v="0"/>
    <n v="0"/>
    <n v="101"/>
    <s v="_x0000_US"/>
  </r>
  <r>
    <x v="0"/>
    <n v="13.689299999999999"/>
    <n v="-89.206100000000006"/>
    <n v="8904.32"/>
    <n v="0"/>
    <n v="0"/>
    <n v="101"/>
    <s v="_x0000_US"/>
  </r>
  <r>
    <x v="0"/>
    <n v="13.694599999999999"/>
    <n v="-89.1828"/>
    <n v="8904.9500000000007"/>
    <n v="0"/>
    <n v="0"/>
    <n v="101"/>
    <s v="_x0000_US"/>
  </r>
  <r>
    <x v="0"/>
    <n v="13.692500000000001"/>
    <n v="-89.225099999999998"/>
    <n v="8905.1299999999992"/>
    <n v="0"/>
    <n v="0"/>
    <n v="101"/>
    <s v="_x0000_US"/>
  </r>
  <r>
    <x v="0"/>
    <n v="13.6944"/>
    <n v="-89.183300000000003"/>
    <n v="8905.33"/>
    <n v="0"/>
    <n v="0"/>
    <n v="101"/>
    <s v="_x0000_US"/>
  </r>
  <r>
    <x v="0"/>
    <n v="13.69"/>
    <n v="-89.184899999999999"/>
    <n v="8906.2000000000007"/>
    <n v="0"/>
    <n v="0"/>
    <n v="101"/>
    <s v="_x0000_US"/>
  </r>
  <r>
    <x v="0"/>
    <n v="13.6875"/>
    <n v="-89.197199999999995"/>
    <n v="8906.41"/>
    <n v="0"/>
    <n v="0"/>
    <n v="101"/>
    <s v="_x0000_US"/>
  </r>
  <r>
    <x v="0"/>
    <n v="13.6907"/>
    <n v="-89.235399999999998"/>
    <n v="8907.02"/>
    <n v="0"/>
    <n v="0"/>
    <n v="101"/>
    <s v="_x0000_US"/>
  </r>
  <r>
    <x v="0"/>
    <n v="13.6883"/>
    <n v="-89.194599999999994"/>
    <n v="8907.7900000000009"/>
    <n v="0"/>
    <n v="0"/>
    <n v="101"/>
    <s v="_x0000_US"/>
  </r>
  <r>
    <x v="0"/>
    <n v="13.687099999999999"/>
    <n v="-89.211200000000005"/>
    <n v="8909.09"/>
    <n v="0"/>
    <n v="0"/>
    <n v="101"/>
    <s v="_x0000_US"/>
  </r>
  <r>
    <x v="0"/>
    <n v="13.690899999999999"/>
    <n v="-89.179199999999994"/>
    <n v="8909.9"/>
    <n v="0"/>
    <n v="0"/>
    <n v="101"/>
    <s v="_x0000_US"/>
  </r>
  <r>
    <x v="0"/>
    <n v="13.6876"/>
    <n v="-89.194299999999998"/>
    <n v="8910.4699999999993"/>
    <n v="0"/>
    <n v="0"/>
    <n v="101"/>
    <s v="_x0000_US"/>
  </r>
  <r>
    <x v="0"/>
    <n v="13.689399999999999"/>
    <n v="-89.197400000000002"/>
    <n v="8910.9500000000007"/>
    <n v="0"/>
    <n v="0"/>
    <n v="101"/>
    <s v="_x0000_US"/>
  </r>
  <r>
    <x v="0"/>
    <n v="13.685"/>
    <n v="-89.193799999999996"/>
    <n v="8911.61"/>
    <n v="0"/>
    <n v="0"/>
    <n v="101"/>
    <s v="_x0000_US"/>
  </r>
  <r>
    <x v="0"/>
    <n v="13.692299999999999"/>
    <n v="-89.179100000000005"/>
    <n v="8911.98"/>
    <n v="0"/>
    <n v="0"/>
    <n v="101"/>
    <s v="_x0000_US"/>
  </r>
  <r>
    <x v="0"/>
    <n v="13.689500000000001"/>
    <n v="-89.235600000000005"/>
    <n v="8912.01"/>
    <n v="0"/>
    <n v="0"/>
    <n v="101"/>
    <s v="_x0000_US"/>
  </r>
  <r>
    <x v="0"/>
    <n v="13.693"/>
    <n v="-89.178100000000001"/>
    <n v="8912.07"/>
    <n v="0"/>
    <n v="0"/>
    <n v="101"/>
    <s v="_x0000_US"/>
  </r>
  <r>
    <x v="0"/>
    <n v="13.690200000000001"/>
    <n v="-89.188400000000001"/>
    <n v="8912.42"/>
    <n v="0"/>
    <n v="0"/>
    <n v="101"/>
    <s v="_x0000_US"/>
  </r>
  <r>
    <x v="0"/>
    <n v="13.688599999999999"/>
    <n v="-89.1905"/>
    <n v="8913.7800000000007"/>
    <n v="0"/>
    <n v="0"/>
    <n v="101"/>
    <s v="_x0000_US"/>
  </r>
  <r>
    <x v="0"/>
    <n v="13.6845"/>
    <n v="-89.211699999999993"/>
    <n v="8913.8700000000008"/>
    <n v="0"/>
    <n v="0"/>
    <n v="101"/>
    <s v="_x0000_US"/>
  </r>
  <r>
    <x v="0"/>
    <n v="13.6861"/>
    <n v="-89.198099999999997"/>
    <n v="8914.5"/>
    <n v="0"/>
    <n v="0"/>
    <n v="101"/>
    <s v="_x0000_US"/>
  </r>
  <r>
    <x v="0"/>
    <n v="13.6721"/>
    <n v="-89.205100000000002"/>
    <n v="8914.76"/>
    <n v="0"/>
    <n v="0"/>
    <n v="101"/>
    <s v="_x0000_US"/>
  </r>
  <r>
    <x v="0"/>
    <n v="13.693"/>
    <n v="-89.189800000000005"/>
    <n v="8915.6299999999992"/>
    <n v="0"/>
    <n v="0"/>
    <n v="101"/>
    <s v="_x0000_US"/>
  </r>
  <r>
    <x v="0"/>
    <n v="13.6915"/>
    <n v="-89.220399999999998"/>
    <n v="8916.48"/>
    <n v="0"/>
    <n v="0"/>
    <n v="101"/>
    <s v="_x0000_US"/>
  </r>
  <r>
    <x v="0"/>
    <n v="13.6935"/>
    <n v="-89.176500000000004"/>
    <n v="8916.92"/>
    <n v="0"/>
    <n v="0"/>
    <n v="101"/>
    <s v="_x0000_US"/>
  </r>
  <r>
    <x v="0"/>
    <n v="13.687200000000001"/>
    <n v="-89.197400000000002"/>
    <n v="8917.7900000000009"/>
    <n v="0"/>
    <n v="0"/>
    <n v="101"/>
    <s v="_x0000_US"/>
  </r>
  <r>
    <x v="0"/>
    <n v="13.6942"/>
    <n v="-89.174700000000001"/>
    <n v="8918.6200000000008"/>
    <n v="0"/>
    <n v="0"/>
    <n v="101"/>
    <s v="_x0000_US"/>
  </r>
  <r>
    <x v="0"/>
    <n v="13.6891"/>
    <n v="-89.236199999999997"/>
    <n v="8918.7900000000009"/>
    <n v="0"/>
    <n v="0"/>
    <n v="101"/>
    <s v="_x0000_US"/>
  </r>
  <r>
    <x v="0"/>
    <n v="13.6898"/>
    <n v="-89.235399999999998"/>
    <n v="8919.0300000000007"/>
    <n v="0"/>
    <n v="0"/>
    <n v="101"/>
    <s v="_x0000_US"/>
  </r>
  <r>
    <x v="0"/>
    <n v="13.6852"/>
    <n v="-89.216800000000006"/>
    <n v="8919.16"/>
    <n v="0"/>
    <n v="0"/>
    <n v="101"/>
    <s v="_x0000_US"/>
  </r>
  <r>
    <x v="0"/>
    <n v="13.6929"/>
    <n v="-89.224000000000004"/>
    <n v="8919.2199999999993"/>
    <n v="0"/>
    <n v="0"/>
    <n v="101"/>
    <s v="_x0000_US"/>
  </r>
  <r>
    <x v="0"/>
    <n v="13.688599999999999"/>
    <n v="-89.206699999999998"/>
    <n v="8919.57"/>
    <n v="0"/>
    <n v="0"/>
    <n v="101"/>
    <s v="_x0000_US"/>
  </r>
  <r>
    <x v="0"/>
    <n v="13.6912"/>
    <n v="-89.190399999999997"/>
    <n v="8919.7099999999991"/>
    <n v="0"/>
    <n v="0"/>
    <n v="101"/>
    <s v="_x0000_US"/>
  </r>
  <r>
    <x v="0"/>
    <n v="13.6882"/>
    <n v="-89.204800000000006"/>
    <n v="8920.7199999999993"/>
    <n v="0"/>
    <n v="0"/>
    <n v="101"/>
    <s v="_x0000_US"/>
  </r>
  <r>
    <x v="0"/>
    <n v="13.679399999999999"/>
    <n v="-89.197299999999998"/>
    <n v="8920.83"/>
    <n v="0"/>
    <n v="0"/>
    <n v="101"/>
    <s v="_x0000_US"/>
  </r>
  <r>
    <x v="0"/>
    <n v="13.6906"/>
    <n v="-89.227699999999999"/>
    <n v="8921.1299999999992"/>
    <n v="0"/>
    <n v="0"/>
    <n v="101"/>
    <s v="_x0000_US"/>
  </r>
  <r>
    <x v="0"/>
    <n v="13.6746"/>
    <n v="-89.199700000000007"/>
    <n v="8922.33"/>
    <n v="0"/>
    <n v="0"/>
    <n v="101"/>
    <s v="_x0000_US"/>
  </r>
  <r>
    <x v="0"/>
    <n v="13.691000000000001"/>
    <n v="-89.185500000000005"/>
    <n v="8922.5"/>
    <n v="0"/>
    <n v="0"/>
    <n v="101"/>
    <s v="_x0000_US"/>
  </r>
  <r>
    <x v="0"/>
    <n v="13.6945"/>
    <n v="-89.185100000000006"/>
    <n v="8922.66"/>
    <n v="0"/>
    <n v="0"/>
    <n v="101"/>
    <s v="_x0000_US"/>
  </r>
  <r>
    <x v="0"/>
    <n v="13.6859"/>
    <n v="-89.214399999999998"/>
    <n v="8922.7000000000007"/>
    <n v="0"/>
    <n v="0"/>
    <n v="101"/>
    <s v="_x0000_US"/>
  </r>
  <r>
    <x v="0"/>
    <n v="13.6919"/>
    <n v="-89.221100000000007"/>
    <n v="8923.42"/>
    <n v="0"/>
    <n v="0"/>
    <n v="101"/>
    <s v="_x0000_US"/>
  </r>
  <r>
    <x v="0"/>
    <n v="13.685600000000001"/>
    <n v="-89.211500000000001"/>
    <n v="8923.58"/>
    <n v="0"/>
    <n v="0"/>
    <n v="101"/>
    <s v="_x0000_US"/>
  </r>
  <r>
    <x v="0"/>
    <n v="13.695399999999999"/>
    <n v="-89.173699999999997"/>
    <n v="8923.7900000000009"/>
    <n v="0"/>
    <n v="0"/>
    <n v="101"/>
    <s v="_x0000_US"/>
  </r>
  <r>
    <x v="0"/>
    <n v="13.6866"/>
    <n v="-89.202200000000005"/>
    <n v="8924.0499999999993"/>
    <n v="0"/>
    <n v="0"/>
    <n v="101"/>
    <s v="_x0000_US"/>
  </r>
  <r>
    <x v="0"/>
    <n v="13.680400000000001"/>
    <n v="-89.197100000000006"/>
    <n v="8924.73"/>
    <n v="0"/>
    <n v="0"/>
    <n v="101"/>
    <s v="_x0000_US"/>
  </r>
  <r>
    <x v="0"/>
    <n v="13.69"/>
    <n v="-89.193600000000004"/>
    <n v="8925.5"/>
    <n v="0"/>
    <n v="0"/>
    <n v="101"/>
    <s v="_x0000_US"/>
  </r>
  <r>
    <x v="0"/>
    <n v="13.6775"/>
    <n v="-89.247200000000007"/>
    <n v="8926.0499999999993"/>
    <n v="0"/>
    <n v="0"/>
    <n v="101"/>
    <s v="_x0000_US"/>
  </r>
  <r>
    <x v="0"/>
    <n v="13.6911"/>
    <n v="-89.181600000000003"/>
    <n v="8926.56"/>
    <n v="0"/>
    <n v="0"/>
    <n v="101"/>
    <s v="_x0000_US"/>
  </r>
  <r>
    <x v="0"/>
    <n v="13.6778"/>
    <n v="-89.246799999999993"/>
    <n v="8927.4599999999991"/>
    <n v="0"/>
    <n v="0"/>
    <n v="101"/>
    <s v="_x0000_US"/>
  </r>
  <r>
    <x v="0"/>
    <n v="13.692399999999999"/>
    <n v="-89.189700000000002"/>
    <n v="8928.2199999999993"/>
    <n v="0"/>
    <n v="0"/>
    <n v="101"/>
    <s v="_x0000_US"/>
  </r>
  <r>
    <x v="0"/>
    <n v="13.687099999999999"/>
    <n v="-89.1828"/>
    <n v="8928.5"/>
    <n v="0"/>
    <n v="0"/>
    <n v="101"/>
    <s v="_x0000_US"/>
  </r>
  <r>
    <x v="0"/>
    <n v="13.684799999999999"/>
    <n v="-89.203199999999995"/>
    <n v="8928.9599999999991"/>
    <n v="0"/>
    <n v="0"/>
    <n v="101"/>
    <s v="_x0000_US"/>
  </r>
  <r>
    <x v="0"/>
    <n v="13.6892"/>
    <n v="-89.183899999999994"/>
    <n v="8929.4699999999993"/>
    <n v="0"/>
    <n v="0"/>
    <n v="101"/>
    <s v="_x0000_US"/>
  </r>
  <r>
    <x v="0"/>
    <n v="13.681100000000001"/>
    <n v="-89.197800000000001"/>
    <n v="8930.15"/>
    <n v="0"/>
    <n v="0"/>
    <n v="101"/>
    <s v="_x0000_US"/>
  </r>
  <r>
    <x v="0"/>
    <n v="13.692399999999999"/>
    <n v="-89.175299999999993"/>
    <n v="8931.02"/>
    <n v="0"/>
    <n v="0"/>
    <n v="101"/>
    <s v="_x0000_US"/>
  </r>
  <r>
    <x v="0"/>
    <n v="13.6883"/>
    <n v="-89.216800000000006"/>
    <n v="8932.07"/>
    <n v="0"/>
    <n v="0"/>
    <n v="101"/>
    <s v="_x0000_US"/>
  </r>
  <r>
    <x v="0"/>
    <n v="13.690200000000001"/>
    <n v="-89.2346"/>
    <n v="8932.1"/>
    <n v="0"/>
    <n v="0"/>
    <n v="101"/>
    <s v="_x0000_US"/>
  </r>
  <r>
    <x v="0"/>
    <n v="13.6746"/>
    <n v="-89.199100000000001"/>
    <n v="8932.41"/>
    <n v="0"/>
    <n v="0"/>
    <n v="101"/>
    <s v="_x0000_US"/>
  </r>
  <r>
    <x v="0"/>
    <n v="13.6937"/>
    <n v="-89.176400000000001"/>
    <n v="8932.42"/>
    <n v="0"/>
    <n v="0"/>
    <n v="101"/>
    <s v="_x0000_US"/>
  </r>
  <r>
    <x v="0"/>
    <n v="13.6755"/>
    <n v="-89.247900000000001"/>
    <n v="8932.56"/>
    <n v="0"/>
    <n v="0"/>
    <n v="101"/>
    <s v="_x0000_US"/>
  </r>
  <r>
    <x v="0"/>
    <n v="13.6957"/>
    <n v="-89.172600000000003"/>
    <n v="8933.1"/>
    <n v="0"/>
    <n v="0"/>
    <n v="101"/>
    <s v="_x0000_US"/>
  </r>
  <r>
    <x v="0"/>
    <n v="13.6873"/>
    <n v="-89.197199999999995"/>
    <n v="8933.2099999999991"/>
    <n v="0"/>
    <n v="0"/>
    <n v="101"/>
    <s v="_x0000_US"/>
  </r>
  <r>
    <x v="0"/>
    <n v="13.687200000000001"/>
    <n v="-89.217100000000002"/>
    <n v="8933.42"/>
    <n v="0"/>
    <n v="0"/>
    <n v="101"/>
    <s v="_x0000_US"/>
  </r>
  <r>
    <x v="0"/>
    <n v="13.6912"/>
    <n v="-89.235299999999995"/>
    <n v="8935.58"/>
    <n v="0"/>
    <n v="0"/>
    <n v="101"/>
    <s v="_x0000_US"/>
  </r>
  <r>
    <x v="0"/>
    <n v="13.6922"/>
    <n v="-89.224000000000004"/>
    <n v="8935.7999999999993"/>
    <n v="0"/>
    <n v="0"/>
    <n v="101"/>
    <s v="_x0000_US"/>
  </r>
  <r>
    <x v="0"/>
    <n v="13.674899999999999"/>
    <n v="-89.249700000000004"/>
    <n v="8936.02"/>
    <n v="0"/>
    <n v="0"/>
    <n v="101"/>
    <s v="_x0000_US"/>
  </r>
  <r>
    <x v="0"/>
    <n v="13.695499999999999"/>
    <n v="-89.172799999999995"/>
    <n v="8937.18"/>
    <n v="0"/>
    <n v="0"/>
    <n v="101"/>
    <s v="_x0000_US"/>
  </r>
  <r>
    <x v="0"/>
    <n v="13.674899999999999"/>
    <n v="-89.249099999999999"/>
    <n v="8937.33"/>
    <n v="0"/>
    <n v="0"/>
    <n v="101"/>
    <s v="_x0000_US"/>
  </r>
  <r>
    <x v="0"/>
    <n v="13.690899999999999"/>
    <n v="-89.234300000000005"/>
    <n v="8938.57"/>
    <n v="0"/>
    <n v="0"/>
    <n v="101"/>
    <s v="_x0000_US"/>
  </r>
  <r>
    <x v="0"/>
    <n v="13.6898"/>
    <n v="-89.197900000000004"/>
    <n v="8938.7900000000009"/>
    <n v="0"/>
    <n v="0"/>
    <n v="101"/>
    <s v="_x0000_US"/>
  </r>
  <r>
    <x v="0"/>
    <n v="13.6929"/>
    <n v="-89.224199999999996"/>
    <n v="8940.49"/>
    <n v="0"/>
    <n v="0"/>
    <n v="101"/>
    <s v="_x0000_US"/>
  </r>
  <r>
    <x v="0"/>
    <n v="13.694000000000001"/>
    <n v="-89.186300000000003"/>
    <n v="8940.68"/>
    <n v="0"/>
    <n v="0"/>
    <n v="101"/>
    <s v="_x0000_US"/>
  </r>
  <r>
    <x v="0"/>
    <n v="13.6912"/>
    <n v="-89.178700000000006"/>
    <n v="8940.7199999999993"/>
    <n v="0"/>
    <n v="0"/>
    <n v="101"/>
    <s v="_x0000_US"/>
  </r>
  <r>
    <x v="0"/>
    <n v="13.692500000000001"/>
    <n v="-89.190200000000004"/>
    <n v="8941.73"/>
    <n v="0"/>
    <n v="0"/>
    <n v="101"/>
    <s v="_x0000_US"/>
  </r>
  <r>
    <x v="0"/>
    <n v="13.6884"/>
    <n v="-89.190799999999996"/>
    <n v="8941.84"/>
    <n v="0"/>
    <n v="0"/>
    <n v="101"/>
    <s v="_x0000_US"/>
  </r>
  <r>
    <x v="0"/>
    <n v="13.6853"/>
    <n v="-89.211299999999994"/>
    <n v="8942.31"/>
    <n v="0"/>
    <n v="0"/>
    <n v="101"/>
    <s v="_x0000_US"/>
  </r>
  <r>
    <x v="0"/>
    <n v="13.6874"/>
    <n v="-89.195800000000006"/>
    <n v="8942.35"/>
    <n v="0"/>
    <n v="0"/>
    <n v="101"/>
    <s v="_x0000_US"/>
  </r>
  <r>
    <x v="0"/>
    <n v="13.6936"/>
    <n v="-89.190299999999993"/>
    <n v="8942.3700000000008"/>
    <n v="0"/>
    <n v="0"/>
    <n v="101"/>
    <s v="_x0000_US"/>
  </r>
  <r>
    <x v="0"/>
    <n v="13.692299999999999"/>
    <n v="-89.222800000000007"/>
    <n v="8942.7000000000007"/>
    <n v="0"/>
    <n v="0"/>
    <n v="101"/>
    <s v="_x0000_US"/>
  </r>
  <r>
    <x v="0"/>
    <n v="13.6915"/>
    <n v="-89.183400000000006"/>
    <n v="8942.9"/>
    <n v="0"/>
    <n v="0"/>
    <n v="101"/>
    <s v="_x0000_US"/>
  </r>
  <r>
    <x v="0"/>
    <n v="13.691599999999999"/>
    <n v="-89.185699999999997"/>
    <n v="8943.5499999999993"/>
    <n v="0"/>
    <n v="0"/>
    <n v="101"/>
    <s v="_x0000_US"/>
  </r>
  <r>
    <x v="0"/>
    <n v="13.692299999999999"/>
    <n v="-89.225200000000001"/>
    <n v="8943.5499999999993"/>
    <n v="0"/>
    <n v="0"/>
    <n v="101"/>
    <s v="_x0000_US"/>
  </r>
  <r>
    <x v="0"/>
    <n v="13.685"/>
    <n v="-89.201499999999996"/>
    <n v="8946.2199999999993"/>
    <n v="0"/>
    <n v="0"/>
    <n v="101"/>
    <s v="_x0000_US"/>
  </r>
  <r>
    <x v="0"/>
    <n v="13.69"/>
    <n v="-89.236000000000004"/>
    <n v="8946.4599999999991"/>
    <n v="0"/>
    <n v="0"/>
    <n v="101"/>
    <s v="_x0000_US"/>
  </r>
  <r>
    <x v="0"/>
    <n v="13.6915"/>
    <n v="-89.220500000000001"/>
    <n v="8946.7800000000007"/>
    <n v="0"/>
    <n v="0"/>
    <n v="101"/>
    <s v="_x0000_US"/>
  </r>
  <r>
    <x v="0"/>
    <n v="13.6869"/>
    <n v="-89.191400000000002"/>
    <n v="8947.36"/>
    <n v="0"/>
    <n v="0"/>
    <n v="101"/>
    <s v="_x0000_US"/>
  </r>
  <r>
    <x v="0"/>
    <n v="13.6935"/>
    <n v="-89.1892"/>
    <n v="8947.84"/>
    <n v="0"/>
    <n v="0"/>
    <n v="101"/>
    <s v="_x0000_US"/>
  </r>
  <r>
    <x v="0"/>
    <n v="13.6876"/>
    <n v="-89.195400000000006"/>
    <n v="8948.27"/>
    <n v="0"/>
    <n v="0"/>
    <n v="101"/>
    <s v="_x0000_US"/>
  </r>
  <r>
    <x v="0"/>
    <n v="13.6896"/>
    <n v="-89.229299999999995"/>
    <n v="8949.0499999999993"/>
    <n v="0"/>
    <n v="0"/>
    <n v="101"/>
    <s v="_x0000_US"/>
  </r>
  <r>
    <x v="0"/>
    <n v="13.688499999999999"/>
    <n v="-89.190799999999996"/>
    <n v="8949.59"/>
    <n v="0"/>
    <n v="0"/>
    <n v="101"/>
    <s v="_x0000_US"/>
  </r>
  <r>
    <x v="0"/>
    <n v="13.690200000000001"/>
    <n v="-89.228499999999997"/>
    <n v="8950.4699999999993"/>
    <n v="0"/>
    <n v="0"/>
    <n v="101"/>
    <s v="_x0000_US"/>
  </r>
  <r>
    <x v="0"/>
    <n v="13.6799"/>
    <n v="-89.1952"/>
    <n v="8950.58"/>
    <n v="0"/>
    <n v="0"/>
    <n v="101"/>
    <s v="_x0000_US"/>
  </r>
  <r>
    <x v="0"/>
    <n v="13.69"/>
    <n v="-89.179900000000004"/>
    <n v="8951.33"/>
    <n v="0"/>
    <n v="0"/>
    <n v="101"/>
    <s v="_x0000_US"/>
  </r>
  <r>
    <x v="0"/>
    <n v="13.694699999999999"/>
    <n v="-89.175200000000004"/>
    <n v="8951.34"/>
    <n v="0"/>
    <n v="0"/>
    <n v="101"/>
    <s v="_x0000_US"/>
  </r>
  <r>
    <x v="0"/>
    <n v="13.6776"/>
    <n v="-89.246399999999994"/>
    <n v="8952.11"/>
    <n v="0"/>
    <n v="0"/>
    <n v="101"/>
    <s v="_x0000_US"/>
  </r>
  <r>
    <x v="0"/>
    <n v="13.685499999999999"/>
    <n v="-89.214799999999997"/>
    <n v="8952.17"/>
    <n v="0"/>
    <n v="0"/>
    <n v="101"/>
    <s v="_x0000_US"/>
  </r>
  <r>
    <x v="0"/>
    <n v="13.6921"/>
    <n v="-89.222200000000001"/>
    <n v="8952.2900000000009"/>
    <n v="0"/>
    <n v="0"/>
    <n v="101"/>
    <s v="_x0000_US"/>
  </r>
  <r>
    <x v="0"/>
    <n v="13.679500000000001"/>
    <n v="-89.197000000000003"/>
    <n v="8953.59"/>
    <n v="0"/>
    <n v="0"/>
    <n v="101"/>
    <s v="_x0000_US"/>
  </r>
  <r>
    <x v="0"/>
    <n v="13.687200000000001"/>
    <n v="-89.195499999999996"/>
    <n v="8954.4"/>
    <n v="0"/>
    <n v="0"/>
    <n v="101"/>
    <s v="_x0000_US"/>
  </r>
  <r>
    <x v="0"/>
    <n v="13.6807"/>
    <n v="-89.195999999999998"/>
    <n v="8954.4599999999991"/>
    <n v="0"/>
    <n v="0"/>
    <n v="101"/>
    <s v="_x0000_US"/>
  </r>
  <r>
    <x v="0"/>
    <n v="13.692399999999999"/>
    <n v="-89.186800000000005"/>
    <n v="8954.51"/>
    <n v="0"/>
    <n v="0"/>
    <n v="101"/>
    <s v="_x0000_US"/>
  </r>
  <r>
    <x v="0"/>
    <n v="13.6899"/>
    <n v="-89.194100000000006"/>
    <n v="8956.2000000000007"/>
    <n v="0"/>
    <n v="0"/>
    <n v="101"/>
    <s v="_x0000_US"/>
  </r>
  <r>
    <x v="0"/>
    <n v="13.6914"/>
    <n v="-89.233400000000003"/>
    <n v="8956.3700000000008"/>
    <n v="0"/>
    <n v="0"/>
    <n v="101"/>
    <s v="_x0000_US"/>
  </r>
  <r>
    <x v="0"/>
    <n v="13.692600000000001"/>
    <n v="-89.179199999999994"/>
    <n v="8956.5300000000007"/>
    <n v="0"/>
    <n v="0"/>
    <n v="101"/>
    <s v="_x0000_US"/>
  </r>
  <r>
    <x v="0"/>
    <n v="13.6873"/>
    <n v="-89.194400000000002"/>
    <n v="8959.43"/>
    <n v="0"/>
    <n v="0"/>
    <n v="101"/>
    <s v="_x0000_US"/>
  </r>
  <r>
    <x v="0"/>
    <n v="13.693"/>
    <n v="-89.176299999999998"/>
    <n v="8959.59"/>
    <n v="0"/>
    <n v="0"/>
    <n v="101"/>
    <s v="_x0000_US"/>
  </r>
  <r>
    <x v="0"/>
    <n v="13.6951"/>
    <n v="-89.175200000000004"/>
    <n v="8960.56"/>
    <n v="0"/>
    <n v="0"/>
    <n v="101"/>
    <s v="_x0000_US"/>
  </r>
  <r>
    <x v="0"/>
    <n v="13.696999999999999"/>
    <n v="-89.171899999999994"/>
    <n v="8961.74"/>
    <n v="0"/>
    <n v="0"/>
    <n v="101"/>
    <s v="_x0000_US"/>
  </r>
  <r>
    <x v="0"/>
    <n v="13.6953"/>
    <n v="-89.173400000000001"/>
    <n v="8961.93"/>
    <n v="0"/>
    <n v="0"/>
    <n v="101"/>
    <s v="_x0000_US"/>
  </r>
  <r>
    <x v="0"/>
    <n v="13.6846"/>
    <n v="-89.212599999999995"/>
    <n v="8962.33"/>
    <n v="0"/>
    <n v="0"/>
    <n v="101"/>
    <s v="_x0000_US"/>
  </r>
  <r>
    <x v="0"/>
    <n v="13.692600000000001"/>
    <n v="-89.189899999999994"/>
    <n v="8962.48"/>
    <n v="0"/>
    <n v="0"/>
    <n v="101"/>
    <s v="_x0000_US"/>
  </r>
  <r>
    <x v="0"/>
    <n v="13.690099999999999"/>
    <n v="-89.236099999999993"/>
    <n v="8962.77"/>
    <n v="0"/>
    <n v="0"/>
    <n v="101"/>
    <s v="_x0000_US"/>
  </r>
  <r>
    <x v="0"/>
    <n v="13.688499999999999"/>
    <n v="-89.204300000000003"/>
    <n v="8962.83"/>
    <n v="0"/>
    <n v="0"/>
    <n v="101"/>
    <s v="_x0000_US"/>
  </r>
  <r>
    <x v="0"/>
    <n v="13.6899"/>
    <n v="-89.217299999999994"/>
    <n v="8962.93"/>
    <n v="0"/>
    <n v="0"/>
    <n v="101"/>
    <s v="_x0000_US"/>
  </r>
  <r>
    <x v="0"/>
    <n v="13.690200000000001"/>
    <n v="-89.193899999999999"/>
    <n v="8963.1"/>
    <n v="0"/>
    <n v="0"/>
    <n v="101"/>
    <s v="_x0000_US"/>
  </r>
  <r>
    <x v="0"/>
    <n v="13.6919"/>
    <n v="-89.194100000000006"/>
    <n v="8963.4599999999991"/>
    <n v="0"/>
    <n v="0"/>
    <n v="101"/>
    <s v="_x0000_US"/>
  </r>
  <r>
    <x v="0"/>
    <n v="13.691000000000001"/>
    <n v="-89.230999999999995"/>
    <n v="8964"/>
    <n v="0"/>
    <n v="0"/>
    <n v="101"/>
    <s v="_x0000_US"/>
  </r>
  <r>
    <x v="0"/>
    <n v="13.6904"/>
    <n v="-89.187600000000003"/>
    <n v="8964.17"/>
    <n v="0"/>
    <n v="0"/>
    <n v="101"/>
    <s v="_x0000_US"/>
  </r>
  <r>
    <x v="0"/>
    <n v="13.6875"/>
    <n v="-89.214500000000001"/>
    <n v="8964.35"/>
    <n v="0"/>
    <n v="0"/>
    <n v="101"/>
    <s v="_x0000_US"/>
  </r>
  <r>
    <x v="0"/>
    <n v="13.6868"/>
    <n v="-89.194299999999998"/>
    <n v="8965.0300000000007"/>
    <n v="0"/>
    <n v="0"/>
    <n v="101"/>
    <s v="_x0000_US"/>
  </r>
  <r>
    <x v="0"/>
    <n v="13.6911"/>
    <n v="-89.226900000000001"/>
    <n v="8966.32"/>
    <n v="0"/>
    <n v="0"/>
    <n v="101"/>
    <s v="_x0000_US"/>
  </r>
  <r>
    <x v="0"/>
    <n v="13.6913"/>
    <n v="-89.189400000000006"/>
    <n v="8966.9599999999991"/>
    <n v="0"/>
    <n v="0"/>
    <n v="101"/>
    <s v="_x0000_US"/>
  </r>
  <r>
    <x v="0"/>
    <n v="13.6875"/>
    <n v="-89.180199999999999"/>
    <n v="8969.85"/>
    <n v="0"/>
    <n v="0"/>
    <n v="101"/>
    <s v="_x0000_US"/>
  </r>
  <r>
    <x v="0"/>
    <n v="13.6911"/>
    <n v="-89.2333"/>
    <n v="8970.85"/>
    <n v="0"/>
    <n v="0"/>
    <n v="101"/>
    <s v="_x0000_US"/>
  </r>
  <r>
    <x v="0"/>
    <n v="13.6904"/>
    <n v="-89.235600000000005"/>
    <n v="8971.07"/>
    <n v="0"/>
    <n v="0"/>
    <n v="101"/>
    <s v="_x0000_US"/>
  </r>
  <r>
    <x v="0"/>
    <n v="13.692299999999999"/>
    <n v="-89.1785"/>
    <n v="8971.1200000000008"/>
    <n v="0"/>
    <n v="0"/>
    <n v="101"/>
    <s v="_x0000_US"/>
  </r>
  <r>
    <x v="0"/>
    <n v="13.685"/>
    <n v="-89.213499999999996"/>
    <n v="8971.14"/>
    <n v="0"/>
    <n v="0"/>
    <n v="101"/>
    <s v="_x0000_US"/>
  </r>
  <r>
    <x v="0"/>
    <n v="13.689399999999999"/>
    <n v="-89.197400000000002"/>
    <n v="8971.2000000000007"/>
    <n v="0"/>
    <n v="0"/>
    <n v="101"/>
    <s v="_x0000_US"/>
  </r>
  <r>
    <x v="0"/>
    <n v="13.689"/>
    <n v="-89.204899999999995"/>
    <n v="8971.44"/>
    <n v="0"/>
    <n v="0"/>
    <n v="101"/>
    <s v="_x0000_US"/>
  </r>
  <r>
    <x v="0"/>
    <n v="13.687799999999999"/>
    <n v="-89.193799999999996"/>
    <n v="8971.89"/>
    <n v="0"/>
    <n v="0"/>
    <n v="101"/>
    <s v="_x0000_US"/>
  </r>
  <r>
    <x v="0"/>
    <n v="13.6915"/>
    <n v="-89.185699999999997"/>
    <n v="8972.49"/>
    <n v="0"/>
    <n v="0"/>
    <n v="101"/>
    <s v="_x0000_US"/>
  </r>
  <r>
    <x v="0"/>
    <n v="13.690200000000001"/>
    <n v="-89.193200000000004"/>
    <n v="8973.32"/>
    <n v="0"/>
    <n v="0"/>
    <n v="101"/>
    <s v="_x0000_US"/>
  </r>
  <r>
    <x v="0"/>
    <n v="13.690899999999999"/>
    <n v="-89.183099999999996"/>
    <n v="8973.3700000000008"/>
    <n v="0"/>
    <n v="0"/>
    <n v="101"/>
    <s v="_x0000_US"/>
  </r>
  <r>
    <x v="0"/>
    <n v="13.690799999999999"/>
    <n v="-89.231499999999997"/>
    <n v="8973.65"/>
    <n v="0"/>
    <n v="0"/>
    <n v="101"/>
    <s v="_x0000_US"/>
  </r>
  <r>
    <x v="0"/>
    <n v="13.692600000000001"/>
    <n v="-89.179299999999998"/>
    <n v="8973.92"/>
    <n v="0"/>
    <n v="0"/>
    <n v="101"/>
    <s v="_x0000_US"/>
  </r>
  <r>
    <x v="0"/>
    <n v="13.6896"/>
    <n v="-89.184299999999993"/>
    <n v="8974.2999999999993"/>
    <n v="0"/>
    <n v="0"/>
    <n v="101"/>
    <s v="_x0000_US"/>
  </r>
  <r>
    <x v="0"/>
    <n v="13.6911"/>
    <n v="-89.178899999999999"/>
    <n v="8974.35"/>
    <n v="0"/>
    <n v="0"/>
    <n v="101"/>
    <s v="_x0000_US"/>
  </r>
  <r>
    <x v="0"/>
    <n v="13.6914"/>
    <n v="-89.234200000000001"/>
    <n v="8976.4599999999991"/>
    <n v="0"/>
    <n v="0"/>
    <n v="101"/>
    <s v="_x0000_US"/>
  </r>
  <r>
    <x v="0"/>
    <n v="13.691000000000001"/>
    <n v="-89.219800000000006"/>
    <n v="8976.75"/>
    <n v="0"/>
    <n v="0"/>
    <n v="101"/>
    <s v="_x0000_US"/>
  </r>
  <r>
    <x v="0"/>
    <n v="13.6747"/>
    <n v="-89.199799999999996"/>
    <n v="8977.7099999999991"/>
    <n v="0"/>
    <n v="0"/>
    <n v="101"/>
    <s v="_x0000_US"/>
  </r>
  <r>
    <x v="0"/>
    <n v="13.6869"/>
    <n v="-89.182599999999994"/>
    <n v="8978.84"/>
    <n v="0"/>
    <n v="0"/>
    <n v="101"/>
    <s v="_x0000_US"/>
  </r>
  <r>
    <x v="0"/>
    <n v="13.689"/>
    <n v="-89.183999999999997"/>
    <n v="8979.14"/>
    <n v="0"/>
    <n v="0"/>
    <n v="101"/>
    <s v="_x0000_US"/>
  </r>
  <r>
    <x v="0"/>
    <n v="13.695600000000001"/>
    <n v="-89.172899999999998"/>
    <n v="8979.52"/>
    <n v="0"/>
    <n v="0"/>
    <n v="101"/>
    <s v="_x0000_US"/>
  </r>
  <r>
    <x v="0"/>
    <n v="13.674300000000001"/>
    <n v="-89.202200000000005"/>
    <n v="8980.11"/>
    <n v="0"/>
    <n v="0"/>
    <n v="101"/>
    <s v="_x0000_US"/>
  </r>
  <r>
    <x v="0"/>
    <n v="13.685"/>
    <n v="-89.216800000000006"/>
    <n v="8980.73"/>
    <n v="0"/>
    <n v="0"/>
    <n v="101"/>
    <s v="_x0000_US"/>
  </r>
  <r>
    <x v="0"/>
    <n v="13.6906"/>
    <n v="-89.235100000000003"/>
    <n v="8981.24"/>
    <n v="0"/>
    <n v="0"/>
    <n v="101"/>
    <s v="_x0000_US"/>
  </r>
  <r>
    <x v="0"/>
    <n v="13.693099999999999"/>
    <n v="-89.177099999999996"/>
    <n v="8981.9"/>
    <n v="0"/>
    <n v="0"/>
    <n v="101"/>
    <s v="_x0000_US"/>
  </r>
  <r>
    <x v="0"/>
    <n v="13.6897"/>
    <n v="-89.189599999999999"/>
    <n v="8981.98"/>
    <n v="0"/>
    <n v="0"/>
    <n v="101"/>
    <s v="_x0000_US"/>
  </r>
  <r>
    <x v="0"/>
    <n v="13.6874"/>
    <n v="-89.1935"/>
    <n v="8982.2099999999991"/>
    <n v="0"/>
    <n v="0"/>
    <n v="101"/>
    <s v="_x0000_US"/>
  </r>
  <r>
    <x v="0"/>
    <n v="13.6907"/>
    <n v="-89.1905"/>
    <n v="8983.11"/>
    <n v="0"/>
    <n v="0"/>
    <n v="101"/>
    <s v="_x0000_US"/>
  </r>
  <r>
    <x v="0"/>
    <n v="13.6921"/>
    <n v="-89.196399999999997"/>
    <n v="8983.92"/>
    <n v="0"/>
    <n v="0"/>
    <n v="101"/>
    <s v="_x0000_US"/>
  </r>
  <r>
    <x v="0"/>
    <n v="13.685"/>
    <n v="-89.201599999999999"/>
    <n v="8984.07"/>
    <n v="0"/>
    <n v="0"/>
    <n v="101"/>
    <s v="_x0000_US"/>
  </r>
  <r>
    <x v="0"/>
    <n v="13.6915"/>
    <n v="-89.228200000000001"/>
    <n v="8984.65"/>
    <n v="0"/>
    <n v="0"/>
    <n v="101"/>
    <s v="_x0000_US"/>
  </r>
  <r>
    <x v="0"/>
    <n v="13.6929"/>
    <n v="-89.224400000000003"/>
    <n v="8984.85"/>
    <n v="0"/>
    <n v="0"/>
    <n v="101"/>
    <s v="_x0000_US"/>
  </r>
  <r>
    <x v="0"/>
    <n v="13.691000000000001"/>
    <n v="-89.220200000000006"/>
    <n v="8985.01"/>
    <n v="0"/>
    <n v="0"/>
    <n v="101"/>
    <s v="_x0000_US"/>
  </r>
  <r>
    <x v="0"/>
    <n v="13.6905"/>
    <n v="-89.195499999999996"/>
    <n v="8985.19"/>
    <n v="0"/>
    <n v="0"/>
    <n v="101"/>
    <s v="_x0000_US"/>
  </r>
  <r>
    <x v="0"/>
    <n v="13.6746"/>
    <n v="-89.199700000000007"/>
    <n v="8985.31"/>
    <n v="0"/>
    <n v="0"/>
    <n v="101"/>
    <s v="_x0000_US"/>
  </r>
  <r>
    <x v="0"/>
    <n v="13.6876"/>
    <n v="-89.197000000000003"/>
    <n v="8985.34"/>
    <n v="0"/>
    <n v="0"/>
    <n v="101"/>
    <s v="_x0000_US"/>
  </r>
  <r>
    <x v="0"/>
    <n v="13.6907"/>
    <n v="-89.233500000000006"/>
    <n v="8985.36"/>
    <n v="0"/>
    <n v="0"/>
    <n v="101"/>
    <s v="_x0000_US"/>
  </r>
  <r>
    <x v="0"/>
    <n v="13.680899999999999"/>
    <n v="-89.195800000000006"/>
    <n v="8987.1200000000008"/>
    <n v="0"/>
    <n v="0"/>
    <n v="101"/>
    <s v="_x0000_US"/>
  </r>
  <r>
    <x v="0"/>
    <n v="13.6897"/>
    <n v="-89.1982"/>
    <n v="8989.07"/>
    <n v="0"/>
    <n v="0"/>
    <n v="101"/>
    <s v="_x0000_US"/>
  </r>
  <r>
    <x v="0"/>
    <n v="13.6747"/>
    <n v="-89.251999999999995"/>
    <n v="8989.3700000000008"/>
    <n v="0"/>
    <n v="0"/>
    <n v="101"/>
    <s v="_x0000_US"/>
  </r>
  <r>
    <x v="0"/>
    <n v="13.6945"/>
    <n v="-89.183300000000003"/>
    <n v="8989.81"/>
    <n v="0"/>
    <n v="0"/>
    <n v="101"/>
    <s v="_x0000_US"/>
  </r>
  <r>
    <x v="0"/>
    <n v="13.691000000000001"/>
    <n v="-89.233400000000003"/>
    <n v="8989.99"/>
    <n v="0"/>
    <n v="0"/>
    <n v="101"/>
    <s v="_x0000_US"/>
  </r>
  <r>
    <x v="0"/>
    <n v="13.6922"/>
    <n v="-89.175200000000004"/>
    <n v="8990.64"/>
    <n v="0"/>
    <n v="0"/>
    <n v="101"/>
    <s v="_x0000_US"/>
  </r>
  <r>
    <x v="0"/>
    <n v="13.6891"/>
    <n v="-89.191100000000006"/>
    <n v="8990.86"/>
    <n v="0"/>
    <n v="0"/>
    <n v="101"/>
    <s v="_x0000_US"/>
  </r>
  <r>
    <x v="0"/>
    <n v="13.6891"/>
    <n v="-89.229399999999998"/>
    <n v="8991.0300000000007"/>
    <n v="0"/>
    <n v="0"/>
    <n v="101"/>
    <s v="_x0000_US"/>
  </r>
  <r>
    <x v="0"/>
    <n v="13.689299999999999"/>
    <n v="-89.185500000000005"/>
    <n v="8991.16"/>
    <n v="0"/>
    <n v="0"/>
    <n v="101"/>
    <s v="_x0000_US"/>
  </r>
  <r>
    <x v="0"/>
    <n v="13.675000000000001"/>
    <n v="-89.252200000000002"/>
    <n v="8991.4599999999991"/>
    <n v="0"/>
    <n v="0"/>
    <n v="101"/>
    <s v="_x0000_US"/>
  </r>
  <r>
    <x v="0"/>
    <n v="13.6913"/>
    <n v="-89.234999999999999"/>
    <n v="8991.93"/>
    <n v="0"/>
    <n v="0"/>
    <n v="101"/>
    <s v="_x0000_US"/>
  </r>
  <r>
    <x v="0"/>
    <n v="13.690899999999999"/>
    <n v="-89.185400000000001"/>
    <n v="8992.9500000000007"/>
    <n v="0"/>
    <n v="0"/>
    <n v="101"/>
    <s v="_x0000_US"/>
  </r>
  <r>
    <x v="0"/>
    <n v="13.6853"/>
    <n v="-89.203500000000005"/>
    <n v="8993"/>
    <n v="0"/>
    <n v="0"/>
    <n v="101"/>
    <s v="_x0000_US"/>
  </r>
  <r>
    <x v="0"/>
    <n v="13.685700000000001"/>
    <n v="-89.215199999999996"/>
    <n v="8994.2000000000007"/>
    <n v="0"/>
    <n v="0"/>
    <n v="101"/>
    <s v="_x0000_US"/>
  </r>
  <r>
    <x v="0"/>
    <n v="13.6874"/>
    <n v="-89.216800000000006"/>
    <n v="8994.32"/>
    <n v="0"/>
    <n v="0"/>
    <n v="101"/>
    <s v="_x0000_US"/>
  </r>
  <r>
    <x v="0"/>
    <n v="13.6853"/>
    <n v="-89.194100000000006"/>
    <n v="8994.83"/>
    <n v="0"/>
    <n v="0"/>
    <n v="101"/>
    <s v="_x0000_US"/>
  </r>
  <r>
    <x v="0"/>
    <n v="13.6952"/>
    <n v="-89.172300000000007"/>
    <n v="8995.51"/>
    <n v="0"/>
    <n v="0"/>
    <n v="101"/>
    <s v="_x0000_US"/>
  </r>
  <r>
    <x v="0"/>
    <n v="13.6793"/>
    <n v="-89.197100000000006"/>
    <n v="8995.61"/>
    <n v="0"/>
    <n v="0"/>
    <n v="101"/>
    <s v="_x0000_US"/>
  </r>
  <r>
    <x v="0"/>
    <n v="13.6768"/>
    <n v="-89.199399999999997"/>
    <n v="8995.89"/>
    <n v="0"/>
    <n v="0"/>
    <n v="101"/>
    <s v="_x0000_US"/>
  </r>
  <r>
    <x v="0"/>
    <n v="13.689"/>
    <n v="-89.2149"/>
    <n v="8996.09"/>
    <n v="0"/>
    <n v="0"/>
    <n v="101"/>
    <s v="_x0000_US"/>
  </r>
  <r>
    <x v="0"/>
    <n v="13.6907"/>
    <n v="-89.234499999999997"/>
    <n v="8996.36"/>
    <n v="0"/>
    <n v="0"/>
    <n v="101"/>
    <s v="_x0000_US"/>
  </r>
  <r>
    <x v="0"/>
    <n v="13.6858"/>
    <n v="-89.201800000000006"/>
    <n v="8997.25"/>
    <n v="0"/>
    <n v="0"/>
    <n v="101"/>
    <s v="_x0000_US"/>
  </r>
  <r>
    <x v="0"/>
    <n v="13.690799999999999"/>
    <n v="-89.186000000000007"/>
    <n v="8998.2999999999993"/>
    <n v="0"/>
    <n v="0"/>
    <n v="101"/>
    <s v="_x0000_US"/>
  </r>
  <r>
    <x v="0"/>
    <n v="13.6907"/>
    <n v="-89.178799999999995"/>
    <n v="8999.27"/>
    <n v="0"/>
    <n v="0"/>
    <n v="101"/>
    <s v="_x0000_US"/>
  </r>
  <r>
    <x v="0"/>
    <n v="13.6915"/>
    <n v="-89.220100000000002"/>
    <n v="8999.39"/>
    <n v="0"/>
    <n v="0"/>
    <n v="101"/>
    <s v="_x0000_US"/>
  </r>
  <r>
    <x v="0"/>
    <n v="13.690300000000001"/>
    <n v="-89.235200000000006"/>
    <n v="9000.8799999999992"/>
    <n v="0"/>
    <n v="0"/>
    <n v="101"/>
    <s v="_x0000_US"/>
  </r>
  <r>
    <x v="0"/>
    <n v="13.692"/>
    <n v="-89.224100000000007"/>
    <n v="9002.0400000000009"/>
    <n v="0"/>
    <n v="0"/>
    <n v="101"/>
    <s v="_x0000_US"/>
  </r>
  <r>
    <x v="0"/>
    <n v="13.690899999999999"/>
    <n v="-89.189099999999996"/>
    <n v="9002.1299999999992"/>
    <n v="0"/>
    <n v="0"/>
    <n v="101"/>
    <s v="_x0000_US"/>
  </r>
  <r>
    <x v="0"/>
    <n v="13.672800000000001"/>
    <n v="-89.203699999999998"/>
    <n v="9004.1"/>
    <n v="0"/>
    <n v="0"/>
    <n v="101"/>
    <s v="_x0000_US"/>
  </r>
  <r>
    <x v="0"/>
    <n v="13.6873"/>
    <n v="-89.196399999999997"/>
    <n v="9004.2199999999993"/>
    <n v="0"/>
    <n v="0"/>
    <n v="101"/>
    <s v="_x0000_US"/>
  </r>
  <r>
    <x v="0"/>
    <n v="13.6858"/>
    <n v="-89.194000000000003"/>
    <n v="9004.61"/>
    <n v="0"/>
    <n v="0"/>
    <n v="101"/>
    <s v="_x0000_US"/>
  </r>
  <r>
    <x v="0"/>
    <n v="13.691599999999999"/>
    <n v="-89.188000000000002"/>
    <n v="9005.24"/>
    <n v="0"/>
    <n v="0"/>
    <n v="101"/>
    <s v="_x0000_US"/>
  </r>
  <r>
    <x v="0"/>
    <n v="13.6914"/>
    <n v="-89.178899999999999"/>
    <n v="9006.0400000000009"/>
    <n v="0"/>
    <n v="0"/>
    <n v="101"/>
    <s v="_x0000_US"/>
  </r>
  <r>
    <x v="0"/>
    <n v="13.690300000000001"/>
    <n v="-89.179900000000004"/>
    <n v="9006.27"/>
    <n v="0"/>
    <n v="0"/>
    <n v="101"/>
    <s v="_x0000_US"/>
  </r>
  <r>
    <x v="0"/>
    <n v="13.6927"/>
    <n v="-89.224599999999995"/>
    <n v="9006.5499999999993"/>
    <n v="0"/>
    <n v="0"/>
    <n v="101"/>
    <s v="_x0000_US"/>
  </r>
  <r>
    <x v="0"/>
    <n v="13.689"/>
    <n v="-89.229200000000006"/>
    <n v="9006.58"/>
    <n v="0"/>
    <n v="0"/>
    <n v="101"/>
    <s v="_x0000_US"/>
  </r>
  <r>
    <x v="0"/>
    <n v="13.687200000000001"/>
    <n v="-89.194699999999997"/>
    <n v="9006.7800000000007"/>
    <n v="0"/>
    <n v="0"/>
    <n v="101"/>
    <s v="_x0000_US"/>
  </r>
  <r>
    <x v="0"/>
    <n v="13.6968"/>
    <n v="-89.171700000000001"/>
    <n v="9006.89"/>
    <n v="0"/>
    <n v="0"/>
    <n v="101"/>
    <s v="_x0000_US"/>
  </r>
  <r>
    <x v="0"/>
    <n v="13.6914"/>
    <n v="-89.233000000000004"/>
    <n v="9006.99"/>
    <n v="0"/>
    <n v="0"/>
    <n v="101"/>
    <s v="_x0000_US"/>
  </r>
  <r>
    <x v="0"/>
    <n v="13.692"/>
    <n v="-89.223699999999994"/>
    <n v="9007.2900000000009"/>
    <n v="0"/>
    <n v="0"/>
    <n v="101"/>
    <s v="_x0000_US"/>
  </r>
  <r>
    <x v="0"/>
    <n v="13.687099999999999"/>
    <n v="-89.196700000000007"/>
    <n v="9007.85"/>
    <n v="0"/>
    <n v="0"/>
    <n v="101"/>
    <s v="_x0000_US"/>
  </r>
  <r>
    <x v="0"/>
    <n v="13.6919"/>
    <n v="-89.1935"/>
    <n v="9010.0400000000009"/>
    <n v="0"/>
    <n v="0"/>
    <n v="101"/>
    <s v="_x0000_US"/>
  </r>
  <r>
    <x v="0"/>
    <n v="13.6906"/>
    <n v="-89.234899999999996"/>
    <n v="9010.2800000000007"/>
    <n v="0"/>
    <n v="0"/>
    <n v="101"/>
    <s v="_x0000_US"/>
  </r>
  <r>
    <x v="0"/>
    <n v="13.6929"/>
    <n v="-89.183300000000003"/>
    <n v="9011.4"/>
    <n v="0"/>
    <n v="0"/>
    <n v="101"/>
    <s v="_x0000_US"/>
  </r>
  <r>
    <x v="0"/>
    <n v="13.6935"/>
    <n v="-89.188699999999997"/>
    <n v="9011.66"/>
    <n v="0"/>
    <n v="0"/>
    <n v="101"/>
    <s v="_x0000_US"/>
  </r>
  <r>
    <x v="0"/>
    <n v="13.693199999999999"/>
    <n v="-89.19"/>
    <n v="9011.94"/>
    <n v="0"/>
    <n v="0"/>
    <n v="101"/>
    <s v="_x0000_US"/>
  </r>
  <r>
    <x v="0"/>
    <n v="13.690099999999999"/>
    <n v="-89.2286"/>
    <n v="9012.15"/>
    <n v="0"/>
    <n v="0"/>
    <n v="101"/>
    <s v="_x0000_US"/>
  </r>
  <r>
    <x v="0"/>
    <n v="13.685600000000001"/>
    <n v="-89.212900000000005"/>
    <n v="9012.8700000000008"/>
    <n v="0"/>
    <n v="0"/>
    <n v="101"/>
    <s v="_x0000_US"/>
  </r>
  <r>
    <x v="0"/>
    <n v="13.685499999999999"/>
    <n v="-89.215100000000007"/>
    <n v="9013.1200000000008"/>
    <n v="0"/>
    <n v="0"/>
    <n v="101"/>
    <s v="_x0000_US"/>
  </r>
  <r>
    <x v="0"/>
    <n v="13.674799999999999"/>
    <n v="-89.251499999999993"/>
    <n v="9013.2999999999993"/>
    <n v="0"/>
    <n v="0"/>
    <n v="101"/>
    <s v="_x0000_US"/>
  </r>
  <r>
    <x v="0"/>
    <n v="13.696"/>
    <n v="-89.172399999999996"/>
    <n v="9014.7099999999991"/>
    <n v="0"/>
    <n v="0"/>
    <n v="101"/>
    <s v="_x0000_US"/>
  </r>
  <r>
    <x v="0"/>
    <n v="13.688800000000001"/>
    <n v="-89.215199999999996"/>
    <n v="9015.0400000000009"/>
    <n v="0"/>
    <n v="0"/>
    <n v="101"/>
    <s v="_x0000_US"/>
  </r>
  <r>
    <x v="0"/>
    <n v="13.6746"/>
    <n v="-89.2517"/>
    <n v="9015.15"/>
    <n v="0"/>
    <n v="0"/>
    <n v="101"/>
    <s v="_x0000_US"/>
  </r>
  <r>
    <x v="0"/>
    <n v="13.6875"/>
    <n v="-89.194400000000002"/>
    <n v="9016.89"/>
    <n v="0"/>
    <n v="0"/>
    <n v="101"/>
    <s v="_x0000_US"/>
  </r>
  <r>
    <x v="0"/>
    <n v="13.6936"/>
    <n v="-89.176699999999997"/>
    <n v="9017.1"/>
    <n v="0"/>
    <n v="0"/>
    <n v="101"/>
    <s v="_x0000_US"/>
  </r>
  <r>
    <x v="0"/>
    <n v="13.6945"/>
    <n v="-89.188900000000004"/>
    <n v="9017.75"/>
    <n v="0"/>
    <n v="0"/>
    <n v="101"/>
    <s v="_x0000_US"/>
  </r>
  <r>
    <x v="0"/>
    <n v="13.69"/>
    <n v="-89.228499999999997"/>
    <n v="9018.42"/>
    <n v="0"/>
    <n v="0"/>
    <n v="101"/>
    <s v="_x0000_US"/>
  </r>
  <r>
    <x v="0"/>
    <n v="13.6867"/>
    <n v="-89.211600000000004"/>
    <n v="9018.69"/>
    <n v="0"/>
    <n v="0"/>
    <n v="101"/>
    <s v="_x0000_US"/>
  </r>
  <r>
    <x v="0"/>
    <n v="13.692500000000001"/>
    <n v="-89.224400000000003"/>
    <n v="9018.74"/>
    <n v="0"/>
    <n v="0"/>
    <n v="101"/>
    <s v="_x0000_US"/>
  </r>
  <r>
    <x v="0"/>
    <n v="13.6921"/>
    <n v="-89.223200000000006"/>
    <n v="9018.92"/>
    <n v="0"/>
    <n v="0"/>
    <n v="101"/>
    <s v="_x0000_US"/>
  </r>
  <r>
    <x v="0"/>
    <n v="13.6928"/>
    <n v="-89.224900000000005"/>
    <n v="9019.06"/>
    <n v="0"/>
    <n v="0"/>
    <n v="101"/>
    <s v="_x0000_US"/>
  </r>
  <r>
    <x v="0"/>
    <n v="13.6881"/>
    <n v="-89.229399999999998"/>
    <n v="9019.16"/>
    <n v="0"/>
    <n v="0"/>
    <n v="101"/>
    <s v="_x0000_US"/>
  </r>
  <r>
    <x v="0"/>
    <n v="13.6889"/>
    <n v="-89.198599999999999"/>
    <n v="9019.27"/>
    <n v="0"/>
    <n v="0"/>
    <n v="101"/>
    <s v="_x0000_US"/>
  </r>
  <r>
    <x v="0"/>
    <n v="13.6875"/>
    <n v="-89.180999999999997"/>
    <n v="9019.3700000000008"/>
    <n v="0"/>
    <n v="0"/>
    <n v="101"/>
    <s v="_x0000_US"/>
  </r>
  <r>
    <x v="0"/>
    <n v="13.693"/>
    <n v="-89.177999999999997"/>
    <n v="9019.52"/>
    <n v="0"/>
    <n v="0"/>
    <n v="101"/>
    <s v="_x0000_US"/>
  </r>
  <r>
    <x v="0"/>
    <n v="13.690799999999999"/>
    <n v="-89.194400000000002"/>
    <n v="9020.34"/>
    <n v="0"/>
    <n v="0"/>
    <n v="101"/>
    <s v="_x0000_US"/>
  </r>
  <r>
    <x v="0"/>
    <n v="13.6919"/>
    <n v="-89.194400000000002"/>
    <n v="9020.86"/>
    <n v="0"/>
    <n v="0"/>
    <n v="101"/>
    <s v="_x0000_US"/>
  </r>
  <r>
    <x v="0"/>
    <n v="13.689299999999999"/>
    <n v="-89.189700000000002"/>
    <n v="9021.01"/>
    <n v="0"/>
    <n v="0"/>
    <n v="101"/>
    <s v="_x0000_US"/>
  </r>
  <r>
    <x v="0"/>
    <n v="13.692500000000001"/>
    <n v="-89.225200000000001"/>
    <n v="9021.25"/>
    <n v="0"/>
    <n v="0"/>
    <n v="101"/>
    <s v="_x0000_US"/>
  </r>
  <r>
    <x v="0"/>
    <n v="13.687200000000001"/>
    <n v="-89.196200000000005"/>
    <n v="9021.61"/>
    <n v="0"/>
    <n v="0"/>
    <n v="101"/>
    <s v="_x0000_US"/>
  </r>
  <r>
    <x v="0"/>
    <n v="13.687200000000001"/>
    <n v="-89.193799999999996"/>
    <n v="9022.15"/>
    <n v="0"/>
    <n v="0"/>
    <n v="101"/>
    <s v="_x0000_US"/>
  </r>
  <r>
    <x v="0"/>
    <n v="13.6922"/>
    <n v="-89.177800000000005"/>
    <n v="9023.39"/>
    <n v="0"/>
    <n v="0"/>
    <n v="101"/>
    <s v="_x0000_US"/>
  </r>
  <r>
    <x v="0"/>
    <n v="13.6907"/>
    <n v="-89.195300000000003"/>
    <n v="9023.43"/>
    <n v="0"/>
    <n v="0"/>
    <n v="101"/>
    <s v="_x0000_US"/>
  </r>
  <r>
    <x v="0"/>
    <n v="13.673"/>
    <n v="-89.203500000000005"/>
    <n v="9023.85"/>
    <n v="0"/>
    <n v="0"/>
    <n v="101"/>
    <s v="_x0000_US"/>
  </r>
  <r>
    <x v="0"/>
    <n v="13.691800000000001"/>
    <n v="-89.226900000000001"/>
    <n v="9024.9500000000007"/>
    <n v="0"/>
    <n v="0"/>
    <n v="101"/>
    <s v="_x0000_US"/>
  </r>
  <r>
    <x v="0"/>
    <n v="13.6853"/>
    <n v="-89.2012"/>
    <n v="9025.5499999999993"/>
    <n v="0"/>
    <n v="0"/>
    <n v="101"/>
    <s v="_x0000_US"/>
  </r>
  <r>
    <x v="0"/>
    <n v="13.690899999999999"/>
    <n v="-89.235200000000006"/>
    <n v="9026.0400000000009"/>
    <n v="0"/>
    <n v="0"/>
    <n v="101"/>
    <s v="_x0000_US"/>
  </r>
  <r>
    <x v="0"/>
    <n v="13.689299999999999"/>
    <n v="-89.228899999999996"/>
    <n v="9026.83"/>
    <n v="0"/>
    <n v="0"/>
    <n v="101"/>
    <s v="_x0000_US"/>
  </r>
  <r>
    <x v="0"/>
    <n v="13.690899999999999"/>
    <n v="-89.233800000000002"/>
    <n v="9027.68"/>
    <n v="0"/>
    <n v="0"/>
    <n v="101"/>
    <s v="_x0000_US"/>
  </r>
  <r>
    <x v="0"/>
    <n v="13.6769"/>
    <n v="-89.247799999999998"/>
    <n v="9027.7199999999993"/>
    <n v="0"/>
    <n v="0"/>
    <n v="101"/>
    <s v="_x0000_US"/>
  </r>
  <r>
    <x v="0"/>
    <n v="13.695"/>
    <n v="-89.182599999999994"/>
    <n v="9027.99"/>
    <n v="0"/>
    <n v="0"/>
    <n v="101"/>
    <s v="_x0000_US"/>
  </r>
  <r>
    <x v="0"/>
    <n v="13.69"/>
    <n v="-89.183599999999998"/>
    <n v="9028.17"/>
    <n v="0"/>
    <n v="0"/>
    <n v="101"/>
    <s v="_x0000_US"/>
  </r>
  <r>
    <x v="0"/>
    <n v="13.6953"/>
    <n v="-89.174000000000007"/>
    <n v="9028.4500000000007"/>
    <n v="0"/>
    <n v="0"/>
    <n v="101"/>
    <s v="_x0000_US"/>
  </r>
  <r>
    <x v="0"/>
    <n v="13.6884"/>
    <n v="-89.1982"/>
    <n v="9028.68"/>
    <n v="0"/>
    <n v="0"/>
    <n v="101"/>
    <s v="_x0000_US"/>
  </r>
  <r>
    <x v="0"/>
    <n v="13.6915"/>
    <n v="-89.188199999999995"/>
    <n v="9028.84"/>
    <n v="0"/>
    <n v="0"/>
    <n v="101"/>
    <s v="_x0000_US"/>
  </r>
  <r>
    <x v="0"/>
    <n v="13.6921"/>
    <n v="-89.225399999999993"/>
    <n v="9029.15"/>
    <n v="0"/>
    <n v="0"/>
    <n v="101"/>
    <s v="_x0000_US"/>
  </r>
  <r>
    <x v="0"/>
    <n v="13.684799999999999"/>
    <n v="-89.193899999999999"/>
    <n v="9029.26"/>
    <n v="0"/>
    <n v="0"/>
    <n v="101"/>
    <s v="_x0000_US"/>
  </r>
  <r>
    <x v="0"/>
    <n v="13.6921"/>
    <n v="-89.178600000000003"/>
    <n v="9029.4599999999991"/>
    <n v="0"/>
    <n v="0"/>
    <n v="101"/>
    <s v="_x0000_US"/>
  </r>
  <r>
    <x v="0"/>
    <n v="13.690799999999999"/>
    <n v="-89.1875"/>
    <n v="9029.6"/>
    <n v="0"/>
    <n v="0"/>
    <n v="101"/>
    <s v="_x0000_US"/>
  </r>
  <r>
    <x v="0"/>
    <n v="13.692299999999999"/>
    <n v="-89.179299999999998"/>
    <n v="9030.2800000000007"/>
    <n v="0"/>
    <n v="0"/>
    <n v="101"/>
    <s v="_x0000_US"/>
  </r>
  <r>
    <x v="0"/>
    <n v="13.6915"/>
    <n v="-89.1768"/>
    <n v="9030.48"/>
    <n v="0"/>
    <n v="0"/>
    <n v="101"/>
    <s v="_x0000_US"/>
  </r>
  <r>
    <x v="0"/>
    <n v="13.6889"/>
    <n v="-89.190399999999997"/>
    <n v="9030.6299999999992"/>
    <n v="0"/>
    <n v="0"/>
    <n v="101"/>
    <s v="_x0000_US"/>
  </r>
  <r>
    <x v="0"/>
    <n v="13.6882"/>
    <n v="-89.194400000000002"/>
    <n v="9030.7000000000007"/>
    <n v="0"/>
    <n v="0"/>
    <n v="101"/>
    <s v="_x0000_US"/>
  </r>
  <r>
    <x v="0"/>
    <n v="13.6913"/>
    <n v="-89.226299999999995"/>
    <n v="9030.76"/>
    <n v="0"/>
    <n v="0"/>
    <n v="101"/>
    <s v="_x0000_US"/>
  </r>
  <r>
    <x v="0"/>
    <n v="13.6793"/>
    <n v="-89.196899999999999"/>
    <n v="9031.25"/>
    <n v="0"/>
    <n v="0"/>
    <n v="101"/>
    <s v="_x0000_US"/>
  </r>
  <r>
    <x v="0"/>
    <n v="13.684900000000001"/>
    <n v="-89.216999999999999"/>
    <n v="9031.35"/>
    <n v="0"/>
    <n v="0"/>
    <n v="101"/>
    <s v="_x0000_US"/>
  </r>
  <r>
    <x v="0"/>
    <n v="13.6913"/>
    <n v="-89.188599999999994"/>
    <n v="9031.5499999999993"/>
    <n v="0"/>
    <n v="0"/>
    <n v="101"/>
    <s v="_x0000_US"/>
  </r>
  <r>
    <x v="0"/>
    <n v="13.687099999999999"/>
    <n v="-89.192499999999995"/>
    <n v="9031.83"/>
    <n v="0"/>
    <n v="0"/>
    <n v="101"/>
    <s v="_x0000_US"/>
  </r>
  <r>
    <x v="0"/>
    <n v="13.687200000000001"/>
    <n v="-89.194599999999994"/>
    <n v="9031.86"/>
    <n v="0"/>
    <n v="0"/>
    <n v="101"/>
    <s v="_x0000_US"/>
  </r>
  <r>
    <x v="0"/>
    <n v="13.689500000000001"/>
    <n v="-89.206100000000006"/>
    <n v="9031.9500000000007"/>
    <n v="0"/>
    <n v="0"/>
    <n v="101"/>
    <s v="_x0000_US"/>
  </r>
  <r>
    <x v="0"/>
    <n v="13.6859"/>
    <n v="-89.193899999999999"/>
    <n v="9031.98"/>
    <n v="0"/>
    <n v="0"/>
    <n v="101"/>
    <s v="_x0000_US"/>
  </r>
  <r>
    <x v="0"/>
    <n v="13.6852"/>
    <n v="-89.194199999999995"/>
    <n v="9033.3700000000008"/>
    <n v="0"/>
    <n v="0"/>
    <n v="101"/>
    <s v="_x0000_US"/>
  </r>
  <r>
    <x v="0"/>
    <n v="13.694699999999999"/>
    <n v="-89.172899999999998"/>
    <n v="9034.32"/>
    <n v="0"/>
    <n v="0"/>
    <n v="101"/>
    <s v="_x0000_US"/>
  </r>
  <r>
    <x v="0"/>
    <n v="13.673299999999999"/>
    <n v="-89.251400000000004"/>
    <n v="9035.2199999999993"/>
    <n v="0"/>
    <n v="0"/>
    <n v="101"/>
    <s v="_x0000_US"/>
  </r>
  <r>
    <x v="0"/>
    <n v="13.6958"/>
    <n v="-89.173199999999994"/>
    <n v="9035.4"/>
    <n v="0"/>
    <n v="0"/>
    <n v="101"/>
    <s v="_x0000_US"/>
  </r>
  <r>
    <x v="0"/>
    <n v="13.693899999999999"/>
    <n v="-89.173500000000004"/>
    <n v="9036"/>
    <n v="0"/>
    <n v="0"/>
    <n v="101"/>
    <s v="_x0000_US"/>
  </r>
  <r>
    <x v="0"/>
    <n v="13.692399999999999"/>
    <n v="-89.184399999999997"/>
    <n v="9036.26"/>
    <n v="0"/>
    <n v="0"/>
    <n v="101"/>
    <s v="_x0000_US"/>
  </r>
  <r>
    <x v="0"/>
    <n v="13.6915"/>
    <n v="-89.197400000000002"/>
    <n v="9037.4699999999993"/>
    <n v="0"/>
    <n v="0"/>
    <n v="101"/>
    <s v="_x0000_US"/>
  </r>
  <r>
    <x v="0"/>
    <n v="13.6874"/>
    <n v="-89.196299999999994"/>
    <n v="9037.51"/>
    <n v="0"/>
    <n v="0"/>
    <n v="101"/>
    <s v="_x0000_US"/>
  </r>
  <r>
    <x v="0"/>
    <n v="13.6791"/>
    <n v="-89.196399999999997"/>
    <n v="9037.51"/>
    <n v="0"/>
    <n v="0"/>
    <n v="101"/>
    <s v="_x0000_US"/>
  </r>
  <r>
    <x v="0"/>
    <n v="13.6945"/>
    <n v="-89.183199999999999"/>
    <n v="9038.42"/>
    <n v="0"/>
    <n v="0"/>
    <n v="101"/>
    <s v="_x0000_US"/>
  </r>
  <r>
    <x v="0"/>
    <n v="13.674099999999999"/>
    <n v="-89.252300000000005"/>
    <n v="9038.48"/>
    <n v="0"/>
    <n v="0"/>
    <n v="101"/>
    <s v="_x0000_US"/>
  </r>
  <r>
    <x v="0"/>
    <n v="13.6943"/>
    <n v="-89.174800000000005"/>
    <n v="9038.7800000000007"/>
    <n v="0"/>
    <n v="0"/>
    <n v="101"/>
    <s v="_x0000_US"/>
  </r>
  <r>
    <x v="0"/>
    <n v="13.6876"/>
    <n v="-89.195099999999996"/>
    <n v="9039.15"/>
    <n v="0"/>
    <n v="0"/>
    <n v="101"/>
    <s v="_x0000_US"/>
  </r>
  <r>
    <x v="0"/>
    <n v="13.692299999999999"/>
    <n v="-89.194500000000005"/>
    <n v="9040.1299999999992"/>
    <n v="0"/>
    <n v="0"/>
    <n v="101"/>
    <s v="_x0000_US"/>
  </r>
  <r>
    <x v="0"/>
    <n v="13.6775"/>
    <n v="-89.246799999999993"/>
    <n v="9040.19"/>
    <n v="0"/>
    <n v="0"/>
    <n v="101"/>
    <s v="_x0000_US"/>
  </r>
  <r>
    <x v="0"/>
    <n v="13.69"/>
    <n v="-89.235699999999994"/>
    <n v="9040.5"/>
    <n v="0"/>
    <n v="0"/>
    <n v="101"/>
    <s v="_x0000_US"/>
  </r>
  <r>
    <x v="0"/>
    <n v="13.6907"/>
    <n v="-89.185400000000001"/>
    <n v="9040.59"/>
    <n v="0"/>
    <n v="0"/>
    <n v="101"/>
    <s v="_x0000_US"/>
  </r>
  <r>
    <x v="0"/>
    <n v="13.684900000000001"/>
    <n v="-89.216899999999995"/>
    <n v="9041.1299999999992"/>
    <n v="0"/>
    <n v="0"/>
    <n v="101"/>
    <s v="_x0000_US"/>
  </r>
  <r>
    <x v="0"/>
    <n v="13.6921"/>
    <n v="-89.180099999999996"/>
    <n v="9042.61"/>
    <n v="0"/>
    <n v="0"/>
    <n v="101"/>
    <s v="_x0000_US"/>
  </r>
  <r>
    <x v="0"/>
    <n v="13.696300000000001"/>
    <n v="-89.172799999999995"/>
    <n v="9042.92"/>
    <n v="0"/>
    <n v="0"/>
    <n v="101"/>
    <s v="_x0000_US"/>
  </r>
  <r>
    <x v="0"/>
    <n v="13.685499999999999"/>
    <n v="-89.203699999999998"/>
    <n v="9043.69"/>
    <n v="0"/>
    <n v="0"/>
    <n v="101"/>
    <s v="_x0000_US"/>
  </r>
  <r>
    <x v="0"/>
    <n v="13.693199999999999"/>
    <n v="-89.188900000000004"/>
    <n v="9044.01"/>
    <n v="0"/>
    <n v="0"/>
    <n v="101"/>
    <s v="_x0000_US"/>
  </r>
  <r>
    <x v="0"/>
    <n v="13.6907"/>
    <n v="-89.2316"/>
    <n v="9044.5300000000007"/>
    <n v="0"/>
    <n v="0"/>
    <n v="101"/>
    <s v="_x0000_US"/>
  </r>
  <r>
    <x v="0"/>
    <n v="13.692"/>
    <n v="-89.223799999999997"/>
    <n v="9045.17"/>
    <n v="0"/>
    <n v="0"/>
    <n v="101"/>
    <s v="_x0000_US"/>
  </r>
  <r>
    <x v="0"/>
    <n v="13.6851"/>
    <n v="-89.213099999999997"/>
    <n v="9046.32"/>
    <n v="0"/>
    <n v="0"/>
    <n v="101"/>
    <s v="_x0000_US"/>
  </r>
  <r>
    <x v="0"/>
    <n v="13.6854"/>
    <n v="-89.201499999999996"/>
    <n v="9046.4599999999991"/>
    <n v="0"/>
    <n v="0"/>
    <n v="101"/>
    <s v="_x0000_US"/>
  </r>
  <r>
    <x v="0"/>
    <n v="13.69"/>
    <n v="-89.236199999999997"/>
    <n v="9047.14"/>
    <n v="0"/>
    <n v="0"/>
    <n v="101"/>
    <s v="_x0000_US"/>
  </r>
  <r>
    <x v="0"/>
    <n v="13.6867"/>
    <n v="-89.194500000000005"/>
    <n v="9047.26"/>
    <n v="0"/>
    <n v="0"/>
    <n v="101"/>
    <s v="_x0000_US"/>
  </r>
  <r>
    <x v="0"/>
    <n v="13.692"/>
    <n v="-89.227500000000006"/>
    <n v="9047.2800000000007"/>
    <n v="0"/>
    <n v="0"/>
    <n v="101"/>
    <s v="_x0000_US"/>
  </r>
  <r>
    <x v="0"/>
    <n v="13.6907"/>
    <n v="-89.188699999999997"/>
    <n v="9047.6"/>
    <n v="0"/>
    <n v="0"/>
    <n v="101"/>
    <s v="_x0000_US"/>
  </r>
  <r>
    <x v="0"/>
    <n v="13.679600000000001"/>
    <n v="-89.197199999999995"/>
    <n v="9047.99"/>
    <n v="0"/>
    <n v="0"/>
    <n v="101"/>
    <s v="_x0000_US"/>
  </r>
  <r>
    <x v="0"/>
    <n v="13.690300000000001"/>
    <n v="-89.1798"/>
    <n v="9048.1200000000008"/>
    <n v="0"/>
    <n v="0"/>
    <n v="101"/>
    <s v="_x0000_US"/>
  </r>
  <r>
    <x v="0"/>
    <n v="13.688000000000001"/>
    <n v="-89.205500000000001"/>
    <n v="9048.31"/>
    <n v="0"/>
    <n v="0"/>
    <n v="101"/>
    <s v="_x0000_US"/>
  </r>
  <r>
    <x v="0"/>
    <n v="13.690200000000001"/>
    <n v="-89.235500000000002"/>
    <n v="9048.85"/>
    <n v="0"/>
    <n v="0"/>
    <n v="101"/>
    <s v="_x0000_US"/>
  </r>
  <r>
    <x v="0"/>
    <n v="13.687900000000001"/>
    <n v="-89.205799999999996"/>
    <n v="9048.9599999999991"/>
    <n v="0"/>
    <n v="0"/>
    <n v="101"/>
    <s v="_x0000_US"/>
  </r>
  <r>
    <x v="0"/>
    <n v="13.6911"/>
    <n v="-89.226699999999994"/>
    <n v="9050.0499999999993"/>
    <n v="0"/>
    <n v="0"/>
    <n v="101"/>
    <s v="_x0000_US"/>
  </r>
  <r>
    <x v="0"/>
    <n v="13.694699999999999"/>
    <n v="-89.185400000000001"/>
    <n v="9050.61"/>
    <n v="0"/>
    <n v="0"/>
    <n v="101"/>
    <s v="_x0000_US"/>
  </r>
  <r>
    <x v="0"/>
    <n v="13.6868"/>
    <n v="-89.215000000000003"/>
    <n v="9050.6299999999992"/>
    <n v="0"/>
    <n v="0"/>
    <n v="101"/>
    <s v="_x0000_US"/>
  </r>
  <r>
    <x v="0"/>
    <n v="13.6943"/>
    <n v="-89.174800000000005"/>
    <n v="9050.75"/>
    <n v="0"/>
    <n v="0"/>
    <n v="101"/>
    <s v="_x0000_US"/>
  </r>
  <r>
    <x v="0"/>
    <n v="13.687099999999999"/>
    <n v="-89.216499999999996"/>
    <n v="9050.9"/>
    <n v="0"/>
    <n v="0"/>
    <n v="101"/>
    <s v="_x0000_US"/>
  </r>
  <r>
    <x v="0"/>
    <n v="13.686400000000001"/>
    <n v="-89.203900000000004"/>
    <n v="9051.18"/>
    <n v="0"/>
    <n v="0"/>
    <n v="101"/>
    <s v="_x0000_US"/>
  </r>
  <r>
    <x v="0"/>
    <n v="13.6892"/>
    <n v="-89.206000000000003"/>
    <n v="9051.2900000000009"/>
    <n v="0"/>
    <n v="0"/>
    <n v="101"/>
    <s v="_x0000_US"/>
  </r>
  <r>
    <x v="0"/>
    <n v="13.6875"/>
    <n v="-89.195400000000006"/>
    <n v="9051.69"/>
    <n v="0"/>
    <n v="0"/>
    <n v="101"/>
    <s v="_x0000_US"/>
  </r>
  <r>
    <x v="0"/>
    <n v="13.6852"/>
    <n v="-89.193700000000007"/>
    <n v="9051.82"/>
    <n v="0"/>
    <n v="0"/>
    <n v="101"/>
    <s v="_x0000_US"/>
  </r>
  <r>
    <x v="0"/>
    <n v="13.678000000000001"/>
    <n v="-89.245500000000007"/>
    <n v="9051.8799999999992"/>
    <n v="0"/>
    <n v="0"/>
    <n v="101"/>
    <s v="_x0000_US"/>
  </r>
  <r>
    <x v="0"/>
    <n v="13.6884"/>
    <n v="-89.229399999999998"/>
    <n v="9052.1"/>
    <n v="0"/>
    <n v="0"/>
    <n v="101"/>
    <s v="_x0000_US"/>
  </r>
  <r>
    <x v="0"/>
    <n v="13.686199999999999"/>
    <n v="-89.212500000000006"/>
    <n v="9052.3700000000008"/>
    <n v="0"/>
    <n v="0"/>
    <n v="101"/>
    <s v="_x0000_US"/>
  </r>
  <r>
    <x v="0"/>
    <n v="13.6891"/>
    <n v="-89.229100000000003"/>
    <n v="9053.07"/>
    <n v="0"/>
    <n v="0"/>
    <n v="101"/>
    <s v="_x0000_US"/>
  </r>
  <r>
    <x v="0"/>
    <n v="13.679399999999999"/>
    <n v="-89.196700000000007"/>
    <n v="9053.35"/>
    <n v="0"/>
    <n v="0"/>
    <n v="101"/>
    <s v="_x0000_US"/>
  </r>
  <r>
    <x v="0"/>
    <n v="13.695600000000001"/>
    <n v="-89.171599999999998"/>
    <n v="9053.56"/>
    <n v="0"/>
    <n v="0"/>
    <n v="101"/>
    <s v="_x0000_US"/>
  </r>
  <r>
    <x v="0"/>
    <n v="13.689"/>
    <n v="-89.211500000000001"/>
    <n v="9055.68"/>
    <n v="0"/>
    <n v="0"/>
    <n v="101"/>
    <s v="_x0000_US"/>
  </r>
  <r>
    <x v="0"/>
    <n v="13.6768"/>
    <n v="-89.2"/>
    <n v="9057.1"/>
    <n v="0"/>
    <n v="0"/>
    <n v="101"/>
    <s v="_x0000_US"/>
  </r>
  <r>
    <x v="0"/>
    <n v="13.69"/>
    <n v="-89.1798"/>
    <n v="9057.3799999999992"/>
    <n v="0"/>
    <n v="0"/>
    <n v="101"/>
    <s v="_x0000_US"/>
  </r>
  <r>
    <x v="0"/>
    <n v="13.6752"/>
    <n v="-89.248500000000007"/>
    <n v="9057.41"/>
    <n v="0"/>
    <n v="0"/>
    <n v="101"/>
    <s v="_x0000_US"/>
  </r>
  <r>
    <x v="0"/>
    <n v="13.6904"/>
    <n v="-89.178399999999996"/>
    <n v="9058.01"/>
    <n v="0"/>
    <n v="0"/>
    <n v="101"/>
    <s v="_x0000_US"/>
  </r>
  <r>
    <x v="0"/>
    <n v="13.695"/>
    <n v="-89.1721"/>
    <n v="9058.4500000000007"/>
    <n v="0"/>
    <n v="0"/>
    <n v="101"/>
    <s v="_x0000_US"/>
  </r>
  <r>
    <x v="0"/>
    <n v="13.6945"/>
    <n v="-89.174099999999996"/>
    <n v="9058.5400000000009"/>
    <n v="0"/>
    <n v="0"/>
    <n v="101"/>
    <s v="_x0000_US"/>
  </r>
  <r>
    <x v="0"/>
    <n v="13.6915"/>
    <n v="-89.189300000000003"/>
    <n v="9059.44"/>
    <n v="0"/>
    <n v="0"/>
    <n v="101"/>
    <s v="_x0000_US"/>
  </r>
  <r>
    <x v="0"/>
    <n v="13.691599999999999"/>
    <n v="-89.233800000000002"/>
    <n v="9059.5300000000007"/>
    <n v="0"/>
    <n v="0"/>
    <n v="101"/>
    <s v="_x0000_US"/>
  </r>
  <r>
    <x v="0"/>
    <n v="13.690899999999999"/>
    <n v="-89.229600000000005"/>
    <n v="9060.86"/>
    <n v="0"/>
    <n v="0"/>
    <n v="101"/>
    <s v="_x0000_US"/>
  </r>
  <r>
    <x v="0"/>
    <n v="13.690899999999999"/>
    <n v="-89.188500000000005"/>
    <n v="9062.8700000000008"/>
    <n v="0"/>
    <n v="0"/>
    <n v="101"/>
    <s v="_x0000_US"/>
  </r>
  <r>
    <x v="0"/>
    <n v="13.6891"/>
    <n v="-89.191100000000006"/>
    <n v="9062.98"/>
    <n v="0"/>
    <n v="0"/>
    <n v="101"/>
    <s v="_x0000_US"/>
  </r>
  <r>
    <x v="0"/>
    <n v="13.6869"/>
    <n v="-89.183599999999998"/>
    <n v="9063.0499999999993"/>
    <n v="0"/>
    <n v="0"/>
    <n v="101"/>
    <s v="_x0000_US"/>
  </r>
  <r>
    <x v="0"/>
    <n v="13.691700000000001"/>
    <n v="-89.232600000000005"/>
    <n v="9063.08"/>
    <n v="0"/>
    <n v="0"/>
    <n v="101"/>
    <s v="_x0000_US"/>
  </r>
  <r>
    <x v="0"/>
    <n v="13.692299999999999"/>
    <n v="-89.178799999999995"/>
    <n v="9063.2199999999993"/>
    <n v="0"/>
    <n v="0"/>
    <n v="101"/>
    <s v="_x0000_US"/>
  </r>
  <r>
    <x v="0"/>
    <n v="13.6844"/>
    <n v="-89.217100000000002"/>
    <n v="9063.42"/>
    <n v="0"/>
    <n v="0"/>
    <n v="101"/>
    <s v="_x0000_US"/>
  </r>
  <r>
    <x v="0"/>
    <n v="13.6943"/>
    <n v="-89.188699999999997"/>
    <n v="9065.0400000000009"/>
    <n v="0"/>
    <n v="0"/>
    <n v="101"/>
    <s v="_x0000_US"/>
  </r>
  <r>
    <x v="0"/>
    <n v="13.692299999999999"/>
    <n v="-89.225800000000007"/>
    <n v="9065.26"/>
    <n v="0"/>
    <n v="0"/>
    <n v="101"/>
    <s v="_x0000_US"/>
  </r>
  <r>
    <x v="0"/>
    <n v="13.6958"/>
    <n v="-89.172399999999996"/>
    <n v="9065.99"/>
    <n v="0"/>
    <n v="0"/>
    <n v="101"/>
    <s v="_x0000_US"/>
  </r>
  <r>
    <x v="0"/>
    <n v="13.688700000000001"/>
    <n v="-89.205500000000001"/>
    <n v="9066.98"/>
    <n v="0"/>
    <n v="0"/>
    <n v="101"/>
    <s v="_x0000_US"/>
  </r>
  <r>
    <x v="0"/>
    <n v="13.6928"/>
    <n v="-89.183999999999997"/>
    <n v="9067.2999999999993"/>
    <n v="0"/>
    <n v="0"/>
    <n v="101"/>
    <s v="_x0000_US"/>
  </r>
  <r>
    <x v="0"/>
    <n v="13.6945"/>
    <n v="-89.175299999999993"/>
    <n v="9067.42"/>
    <n v="0"/>
    <n v="0"/>
    <n v="101"/>
    <s v="_x0000_US"/>
  </r>
  <r>
    <x v="0"/>
    <n v="13.69"/>
    <n v="-89.188500000000005"/>
    <n v="9068.17"/>
    <n v="0"/>
    <n v="0"/>
    <n v="101"/>
    <s v="_x0000_US"/>
  </r>
  <r>
    <x v="0"/>
    <n v="13.6945"/>
    <n v="-89.172899999999998"/>
    <n v="9071.1200000000008"/>
    <n v="0"/>
    <n v="0"/>
    <n v="101"/>
    <s v="_x0000_US"/>
  </r>
  <r>
    <x v="0"/>
    <n v="13.692"/>
    <n v="-89.224100000000007"/>
    <n v="9071.23"/>
    <n v="0"/>
    <n v="0"/>
    <n v="101"/>
    <s v="_x0000_US"/>
  </r>
  <r>
    <x v="0"/>
    <n v="13.6854"/>
    <n v="-89.213800000000006"/>
    <n v="9071.26"/>
    <n v="0"/>
    <n v="0"/>
    <n v="101"/>
    <s v="_x0000_US"/>
  </r>
  <r>
    <x v="0"/>
    <n v="13.6875"/>
    <n v="-89.216899999999995"/>
    <n v="9071.42"/>
    <n v="0"/>
    <n v="0"/>
    <n v="101"/>
    <s v="_x0000_US"/>
  </r>
  <r>
    <x v="0"/>
    <n v="13.690300000000001"/>
    <n v="-89.197699999999998"/>
    <n v="9071.73"/>
    <n v="0"/>
    <n v="0"/>
    <n v="101"/>
    <s v="_x0000_US"/>
  </r>
  <r>
    <x v="0"/>
    <n v="13.6915"/>
    <n v="-89.228300000000004"/>
    <n v="9071.76"/>
    <n v="0"/>
    <n v="0"/>
    <n v="101"/>
    <s v="_x0000_US"/>
  </r>
  <r>
    <x v="0"/>
    <n v="13.6912"/>
    <n v="-89.229200000000006"/>
    <n v="9071.7900000000009"/>
    <n v="0"/>
    <n v="0"/>
    <n v="101"/>
    <s v="_x0000_US"/>
  </r>
  <r>
    <x v="0"/>
    <n v="13.6896"/>
    <n v="-89.235699999999994"/>
    <n v="9073.08"/>
    <n v="0"/>
    <n v="0"/>
    <n v="101"/>
    <s v="_x0000_US"/>
  </r>
  <r>
    <x v="0"/>
    <n v="13.688499999999999"/>
    <n v="-89.190799999999996"/>
    <n v="9073.41"/>
    <n v="0"/>
    <n v="0"/>
    <n v="101"/>
    <s v="_x0000_US"/>
  </r>
  <r>
    <x v="0"/>
    <n v="13.672000000000001"/>
    <n v="-89.203800000000001"/>
    <n v="9073.51"/>
    <n v="0"/>
    <n v="0"/>
    <n v="101"/>
    <s v="_x0000_US"/>
  </r>
  <r>
    <x v="0"/>
    <n v="13.6905"/>
    <n v="-89.181299999999993"/>
    <n v="9073.57"/>
    <n v="0"/>
    <n v="0"/>
    <n v="101"/>
    <s v="_x0000_US"/>
  </r>
  <r>
    <x v="0"/>
    <n v="13.6906"/>
    <n v="-89.190799999999996"/>
    <n v="9073.84"/>
    <n v="0"/>
    <n v="0"/>
    <n v="101"/>
    <s v="_x0000_US"/>
  </r>
  <r>
    <x v="0"/>
    <n v="13.6892"/>
    <n v="-89.205600000000004"/>
    <n v="9074.2099999999991"/>
    <n v="0"/>
    <n v="0"/>
    <n v="101"/>
    <s v="_x0000_US"/>
  </r>
  <r>
    <x v="0"/>
    <n v="13.686999999999999"/>
    <n v="-89.182400000000001"/>
    <n v="9074.4599999999991"/>
    <n v="0"/>
    <n v="0"/>
    <n v="101"/>
    <s v="_x0000_US"/>
  </r>
  <r>
    <x v="0"/>
    <n v="13.6906"/>
    <n v="-89.186300000000003"/>
    <n v="9075.32"/>
    <n v="0"/>
    <n v="0"/>
    <n v="101"/>
    <s v="_x0000_US"/>
  </r>
  <r>
    <x v="0"/>
    <n v="13.674799999999999"/>
    <n v="-89.249300000000005"/>
    <n v="9075.9699999999993"/>
    <n v="0"/>
    <n v="0"/>
    <n v="101"/>
    <s v="_x0000_US"/>
  </r>
  <r>
    <x v="0"/>
    <n v="13.685700000000001"/>
    <n v="-89.202399999999997"/>
    <n v="9075.98"/>
    <n v="0"/>
    <n v="0"/>
    <n v="101"/>
    <s v="_x0000_US"/>
  </r>
  <r>
    <x v="0"/>
    <n v="13.689500000000001"/>
    <n v="-89.194100000000006"/>
    <n v="9076.91"/>
    <n v="0"/>
    <n v="0"/>
    <n v="101"/>
    <s v="_x0000_US"/>
  </r>
  <r>
    <x v="0"/>
    <n v="13.689399999999999"/>
    <n v="-89.206699999999998"/>
    <n v="9077.1200000000008"/>
    <n v="0"/>
    <n v="0"/>
    <n v="101"/>
    <s v="_x0000_US"/>
  </r>
  <r>
    <x v="0"/>
    <n v="13.690200000000001"/>
    <n v="-89.197800000000001"/>
    <n v="9078.2199999999993"/>
    <n v="0"/>
    <n v="0"/>
    <n v="101"/>
    <s v="_x0000_US"/>
  </r>
  <r>
    <x v="0"/>
    <n v="13.688000000000001"/>
    <n v="-89.179699999999997"/>
    <n v="9079.9500000000007"/>
    <n v="0"/>
    <n v="0"/>
    <n v="101"/>
    <s v="_x0000_US"/>
  </r>
  <r>
    <x v="0"/>
    <n v="13.674200000000001"/>
    <n v="-89.202399999999997"/>
    <n v="9080.1200000000008"/>
    <n v="0"/>
    <n v="0"/>
    <n v="101"/>
    <s v="_x0000_US"/>
  </r>
  <r>
    <x v="0"/>
    <n v="13.6912"/>
    <n v="-89.226399999999998"/>
    <n v="9080.1299999999992"/>
    <n v="0"/>
    <n v="0"/>
    <n v="101"/>
    <s v="_x0000_US"/>
  </r>
  <r>
    <x v="0"/>
    <n v="13.689500000000001"/>
    <n v="-89.206599999999995"/>
    <n v="9080.27"/>
    <n v="0"/>
    <n v="0"/>
    <n v="101"/>
    <s v="_x0000_US"/>
  </r>
  <r>
    <x v="0"/>
    <n v="13.6959"/>
    <n v="-89.165899999999993"/>
    <n v="9080.82"/>
    <n v="0"/>
    <n v="0"/>
    <n v="101"/>
    <s v="_x0000_US"/>
  </r>
  <r>
    <x v="0"/>
    <n v="13.6915"/>
    <n v="-89.226500000000001"/>
    <n v="9080.98"/>
    <n v="0"/>
    <n v="0"/>
    <n v="101"/>
    <s v="_x0000_US"/>
  </r>
  <r>
    <x v="0"/>
    <n v="13.687200000000001"/>
    <n v="-89.194800000000001"/>
    <n v="9081.3799999999992"/>
    <n v="0"/>
    <n v="0"/>
    <n v="101"/>
    <s v="_x0000_US"/>
  </r>
  <r>
    <x v="0"/>
    <n v="13.6904"/>
    <n v="-89.235299999999995"/>
    <n v="9083.83"/>
    <n v="0"/>
    <n v="0"/>
    <n v="101"/>
    <s v="_x0000_US"/>
  </r>
  <r>
    <x v="0"/>
    <n v="13.689299999999999"/>
    <n v="-89.185299999999998"/>
    <n v="9083.89"/>
    <n v="0"/>
    <n v="0"/>
    <n v="101"/>
    <s v="_x0000_US"/>
  </r>
  <r>
    <x v="0"/>
    <n v="13.692600000000001"/>
    <n v="-89.223500000000001"/>
    <n v="9083.9500000000007"/>
    <n v="0"/>
    <n v="0"/>
    <n v="101"/>
    <s v="_x0000_US"/>
  </r>
  <r>
    <x v="0"/>
    <n v="13.6915"/>
    <n v="-89.185500000000005"/>
    <n v="9084.3799999999992"/>
    <n v="0"/>
    <n v="0"/>
    <n v="101"/>
    <s v="_x0000_US"/>
  </r>
  <r>
    <x v="0"/>
    <n v="13.678599999999999"/>
    <n v="-89.245500000000007"/>
    <n v="9084.3799999999992"/>
    <n v="0"/>
    <n v="0"/>
    <n v="101"/>
    <s v="_x0000_US"/>
  </r>
  <r>
    <x v="0"/>
    <n v="13.690899999999999"/>
    <n v="-89.232600000000005"/>
    <n v="9084.9599999999991"/>
    <n v="0"/>
    <n v="0"/>
    <n v="101"/>
    <s v="_x0000_US"/>
  </r>
  <r>
    <x v="0"/>
    <n v="13.689299999999999"/>
    <n v="-89.184799999999996"/>
    <n v="9085.9"/>
    <n v="0"/>
    <n v="0"/>
    <n v="101"/>
    <s v="_x0000_US"/>
  </r>
  <r>
    <x v="0"/>
    <n v="13.6876"/>
    <n v="-89.1798"/>
    <n v="9085.9699999999993"/>
    <n v="0"/>
    <n v="0"/>
    <n v="101"/>
    <s v="_x0000_US"/>
  </r>
  <r>
    <x v="0"/>
    <n v="13.681100000000001"/>
    <n v="-89.195499999999996"/>
    <n v="9085.98"/>
    <n v="0"/>
    <n v="0"/>
    <n v="101"/>
    <s v="_x0000_US"/>
  </r>
  <r>
    <x v="0"/>
    <n v="13.690099999999999"/>
    <n v="-89.184899999999999"/>
    <n v="9086.2000000000007"/>
    <n v="0"/>
    <n v="0"/>
    <n v="101"/>
    <s v="_x0000_US"/>
  </r>
  <r>
    <x v="0"/>
    <n v="13.6905"/>
    <n v="-89.188999999999993"/>
    <n v="9086.93"/>
    <n v="0"/>
    <n v="0"/>
    <n v="101"/>
    <s v="_x0000_US"/>
  </r>
  <r>
    <x v="0"/>
    <n v="13.6892"/>
    <n v="-89.236099999999993"/>
    <n v="9087.6"/>
    <n v="0"/>
    <n v="0"/>
    <n v="101"/>
    <s v="_x0000_US"/>
  </r>
  <r>
    <x v="0"/>
    <n v="13.695399999999999"/>
    <n v="-89.174400000000006"/>
    <n v="9090.68"/>
    <n v="0"/>
    <n v="0"/>
    <n v="101"/>
    <s v="_x0000_US"/>
  </r>
  <r>
    <x v="0"/>
    <n v="13.6957"/>
    <n v="-89.172799999999995"/>
    <n v="9091.41"/>
    <n v="0"/>
    <n v="0"/>
    <n v="101"/>
    <s v="_x0000_US"/>
  </r>
  <r>
    <x v="0"/>
    <n v="13.6882"/>
    <n v="-89.216700000000003"/>
    <n v="9092.5400000000009"/>
    <n v="0"/>
    <n v="0"/>
    <n v="101"/>
    <s v="_x0000_US"/>
  </r>
  <r>
    <x v="0"/>
    <n v="13.685700000000001"/>
    <n v="-89.211200000000005"/>
    <n v="9093.07"/>
    <n v="0"/>
    <n v="0"/>
    <n v="101"/>
    <s v="_x0000_US"/>
  </r>
  <r>
    <x v="0"/>
    <n v="13.6935"/>
    <n v="-89.188800000000001"/>
    <n v="9093.1299999999992"/>
    <n v="0"/>
    <n v="0"/>
    <n v="101"/>
    <s v="_x0000_US"/>
  </r>
  <r>
    <x v="0"/>
    <n v="13.684100000000001"/>
    <n v="-89.216300000000004"/>
    <n v="9093.5"/>
    <n v="0"/>
    <n v="0"/>
    <n v="101"/>
    <s v="_x0000_US"/>
  </r>
  <r>
    <x v="0"/>
    <n v="13.691700000000001"/>
    <n v="-89.232600000000005"/>
    <n v="9093.8700000000008"/>
    <n v="0"/>
    <n v="0"/>
    <n v="101"/>
    <s v="_x0000_US"/>
  </r>
  <r>
    <x v="0"/>
    <n v="13.690899999999999"/>
    <n v="-89.229100000000003"/>
    <n v="9094.23"/>
    <n v="0"/>
    <n v="0"/>
    <n v="101"/>
    <s v="_x0000_US"/>
  </r>
  <r>
    <x v="0"/>
    <n v="13.693300000000001"/>
    <n v="-89.183300000000003"/>
    <n v="9095.2000000000007"/>
    <n v="0"/>
    <n v="0"/>
    <n v="101"/>
    <s v="_x0000_US"/>
  </r>
  <r>
    <x v="0"/>
    <n v="13.6906"/>
    <n v="-89.234999999999999"/>
    <n v="9096.0499999999993"/>
    <n v="0"/>
    <n v="0"/>
    <n v="101"/>
    <s v="_x0000_US"/>
  </r>
  <r>
    <x v="0"/>
    <n v="13.695499999999999"/>
    <n v="-89.174000000000007"/>
    <n v="9097.33"/>
    <n v="0"/>
    <n v="0"/>
    <n v="101"/>
    <s v="_x0000_US"/>
  </r>
  <r>
    <x v="0"/>
    <n v="13.6874"/>
    <n v="-89.193700000000007"/>
    <n v="9098.07"/>
    <n v="0"/>
    <n v="0"/>
    <n v="101"/>
    <s v="_x0000_US"/>
  </r>
  <r>
    <x v="0"/>
    <n v="13.6892"/>
    <n v="-89.180999999999997"/>
    <n v="9099.1200000000008"/>
    <n v="0"/>
    <n v="0"/>
    <n v="101"/>
    <s v="_x0000_US"/>
  </r>
  <r>
    <x v="0"/>
    <n v="13.694100000000001"/>
    <n v="-89.176199999999994"/>
    <n v="9099.19"/>
    <n v="0"/>
    <n v="0"/>
    <n v="101"/>
    <s v="_x0000_US"/>
  </r>
  <r>
    <x v="0"/>
    <n v="13.6913"/>
    <n v="-89.232699999999994"/>
    <n v="9099.25"/>
    <n v="0"/>
    <n v="0"/>
    <n v="101"/>
    <s v="_x0000_US"/>
  </r>
  <r>
    <x v="0"/>
    <n v="13.6911"/>
    <n v="-89.188699999999997"/>
    <n v="9099.4500000000007"/>
    <n v="0"/>
    <n v="0"/>
    <n v="101"/>
    <s v="_x0000_US"/>
  </r>
  <r>
    <x v="0"/>
    <n v="13.6873"/>
    <n v="-89.215299999999999"/>
    <n v="9099.58"/>
    <n v="0"/>
    <n v="0"/>
    <n v="101"/>
    <s v="_x0000_US"/>
  </r>
  <r>
    <x v="0"/>
    <n v="13.689399999999999"/>
    <n v="-89.216899999999995"/>
    <n v="9099.91"/>
    <n v="0"/>
    <n v="0"/>
    <n v="101"/>
    <s v="_x0000_US"/>
  </r>
  <r>
    <x v="0"/>
    <n v="13.6898"/>
    <n v="-89.188500000000005"/>
    <n v="9100"/>
    <n v="0"/>
    <n v="0"/>
    <n v="101"/>
    <s v="_x0000_US"/>
  </r>
  <r>
    <x v="0"/>
    <n v="13.6868"/>
    <n v="-89.182500000000005"/>
    <n v="9100.9"/>
    <n v="0"/>
    <n v="0"/>
    <n v="101"/>
    <s v="_x0000_US"/>
  </r>
  <r>
    <x v="0"/>
    <n v="13.691800000000001"/>
    <n v="-89.186499999999995"/>
    <n v="9102.09"/>
    <n v="0"/>
    <n v="0"/>
    <n v="101"/>
    <s v="_x0000_US"/>
  </r>
  <r>
    <x v="0"/>
    <n v="13.6915"/>
    <n v="-89.233999999999995"/>
    <n v="9102.1299999999992"/>
    <n v="0"/>
    <n v="0"/>
    <n v="101"/>
    <s v="_x0000_US"/>
  </r>
  <r>
    <x v="0"/>
    <n v="13.6867"/>
    <n v="-89.181399999999996"/>
    <n v="9102.39"/>
    <n v="0"/>
    <n v="0"/>
    <n v="101"/>
    <s v="_x0000_US"/>
  </r>
  <r>
    <x v="0"/>
    <n v="13.685700000000001"/>
    <n v="-89.193899999999999"/>
    <n v="9103.56"/>
    <n v="0"/>
    <n v="0"/>
    <n v="101"/>
    <s v="_x0000_US"/>
  </r>
  <r>
    <x v="0"/>
    <n v="13.689399999999999"/>
    <n v="-89.184899999999999"/>
    <n v="9103.68"/>
    <n v="0"/>
    <n v="0"/>
    <n v="101"/>
    <s v="_x0000_US"/>
  </r>
  <r>
    <x v="0"/>
    <n v="13.689299999999999"/>
    <n v="-89.236099999999993"/>
    <n v="9103.7000000000007"/>
    <n v="0"/>
    <n v="0"/>
    <n v="101"/>
    <s v="_x0000_US"/>
  </r>
  <r>
    <x v="0"/>
    <n v="13.6896"/>
    <n v="-89.229299999999995"/>
    <n v="9104.65"/>
    <n v="0"/>
    <n v="0"/>
    <n v="101"/>
    <s v="_x0000_US"/>
  </r>
  <r>
    <x v="0"/>
    <n v="13.697699999999999"/>
    <n v="-89.171199999999999"/>
    <n v="9104.9699999999993"/>
    <n v="0"/>
    <n v="0"/>
    <n v="101"/>
    <s v="_x0000_US"/>
  </r>
  <r>
    <x v="0"/>
    <n v="13.685499999999999"/>
    <n v="-89.1935"/>
    <n v="9105.23"/>
    <n v="0"/>
    <n v="0"/>
    <n v="101"/>
    <s v="_x0000_US"/>
  </r>
  <r>
    <x v="0"/>
    <n v="13.6751"/>
    <n v="-89.199799999999996"/>
    <n v="9105.25"/>
    <n v="0"/>
    <n v="0"/>
    <n v="101"/>
    <s v="_x0000_US"/>
  </r>
  <r>
    <x v="0"/>
    <n v="13.687200000000001"/>
    <n v="-89.216800000000006"/>
    <n v="9105.93"/>
    <n v="0"/>
    <n v="0"/>
    <n v="101"/>
    <s v="_x0000_US"/>
  </r>
  <r>
    <x v="0"/>
    <n v="13.6907"/>
    <n v="-89.178700000000006"/>
    <n v="9105.9599999999991"/>
    <n v="0"/>
    <n v="0"/>
    <n v="101"/>
    <s v="_x0000_US"/>
  </r>
  <r>
    <x v="0"/>
    <n v="13.6928"/>
    <n v="-89.189599999999999"/>
    <n v="9106"/>
    <n v="0"/>
    <n v="0"/>
    <n v="101"/>
    <s v="_x0000_US"/>
  </r>
  <r>
    <x v="0"/>
    <n v="13.6812"/>
    <n v="-89.197900000000004"/>
    <n v="9106"/>
    <n v="0"/>
    <n v="0"/>
    <n v="101"/>
    <s v="_x0000_US"/>
  </r>
  <r>
    <x v="0"/>
    <n v="13.6913"/>
    <n v="-89.234399999999994"/>
    <n v="9106.58"/>
    <n v="0"/>
    <n v="0"/>
    <n v="101"/>
    <s v="_x0000_US"/>
  </r>
  <r>
    <x v="0"/>
    <n v="13.674300000000001"/>
    <n v="-89.252099999999999"/>
    <n v="9107.0400000000009"/>
    <n v="0"/>
    <n v="0"/>
    <n v="101"/>
    <s v="_x0000_US"/>
  </r>
  <r>
    <x v="0"/>
    <n v="13.6905"/>
    <n v="-89.193399999999997"/>
    <n v="9107.4500000000007"/>
    <n v="0"/>
    <n v="0"/>
    <n v="101"/>
    <s v="_x0000_US"/>
  </r>
  <r>
    <x v="0"/>
    <n v="13.6957"/>
    <n v="-89.172799999999995"/>
    <n v="9108.49"/>
    <n v="0"/>
    <n v="0"/>
    <n v="101"/>
    <s v="_x0000_US"/>
  </r>
  <r>
    <x v="0"/>
    <n v="13.6914"/>
    <n v="-89.179699999999997"/>
    <n v="9108.66"/>
    <n v="0"/>
    <n v="0"/>
    <n v="101"/>
    <s v="_x0000_US"/>
  </r>
  <r>
    <x v="0"/>
    <n v="13.6853"/>
    <n v="-89.217200000000005"/>
    <n v="9108.7999999999993"/>
    <n v="0"/>
    <n v="0"/>
    <n v="101"/>
    <s v="_x0000_US"/>
  </r>
  <r>
    <x v="0"/>
    <n v="13.6892"/>
    <n v="-89.229100000000003"/>
    <n v="9110.4500000000007"/>
    <n v="0"/>
    <n v="0"/>
    <n v="101"/>
    <s v="_x0000_US"/>
  </r>
  <r>
    <x v="0"/>
    <n v="13.6874"/>
    <n v="-89.195400000000006"/>
    <n v="9110.75"/>
    <n v="0"/>
    <n v="0"/>
    <n v="101"/>
    <s v="_x0000_US"/>
  </r>
  <r>
    <x v="0"/>
    <n v="13.696"/>
    <n v="-89.172700000000006"/>
    <n v="9111"/>
    <n v="0"/>
    <n v="0"/>
    <n v="101"/>
    <s v="_x0000_US"/>
  </r>
  <r>
    <x v="0"/>
    <n v="13.690200000000001"/>
    <n v="-89.193200000000004"/>
    <n v="9111.41"/>
    <n v="0"/>
    <n v="0"/>
    <n v="101"/>
    <s v="_x0000_US"/>
  </r>
  <r>
    <x v="0"/>
    <n v="13.687200000000001"/>
    <n v="-89.191599999999994"/>
    <n v="9111.6299999999992"/>
    <n v="0"/>
    <n v="0"/>
    <n v="101"/>
    <s v="_x0000_US"/>
  </r>
  <r>
    <x v="0"/>
    <n v="13.693"/>
    <n v="-89.183199999999999"/>
    <n v="9113.16"/>
    <n v="0"/>
    <n v="0"/>
    <n v="101"/>
    <s v="_x0000_US"/>
  </r>
  <r>
    <x v="0"/>
    <n v="13.6934"/>
    <n v="-89.178299999999993"/>
    <n v="9113.2800000000007"/>
    <n v="0"/>
    <n v="0"/>
    <n v="101"/>
    <s v="_x0000_US"/>
  </r>
  <r>
    <x v="0"/>
    <n v="13.688700000000001"/>
    <n v="-89.189800000000005"/>
    <n v="9114.09"/>
    <n v="0"/>
    <n v="0"/>
    <n v="101"/>
    <s v="_x0000_US"/>
  </r>
  <r>
    <x v="0"/>
    <n v="13.6873"/>
    <n v="-89.196299999999994"/>
    <n v="9114.61"/>
    <n v="0"/>
    <n v="0"/>
    <n v="101"/>
    <s v="_x0000_US"/>
  </r>
  <r>
    <x v="0"/>
    <n v="13.687200000000001"/>
    <n v="-89.194500000000005"/>
    <n v="9114.9599999999991"/>
    <n v="0"/>
    <n v="0"/>
    <n v="101"/>
    <s v="_x0000_US"/>
  </r>
  <r>
    <x v="0"/>
    <n v="13.6873"/>
    <n v="-89.194400000000002"/>
    <n v="9115.17"/>
    <n v="0"/>
    <n v="0"/>
    <n v="101"/>
    <s v="_x0000_US"/>
  </r>
  <r>
    <x v="0"/>
    <n v="13.691000000000001"/>
    <n v="-89.233500000000006"/>
    <n v="9115.27"/>
    <n v="0"/>
    <n v="0"/>
    <n v="101"/>
    <s v="_x0000_US"/>
  </r>
  <r>
    <x v="0"/>
    <n v="13.6914"/>
    <n v="-89.219800000000006"/>
    <n v="9115.2800000000007"/>
    <n v="0"/>
    <n v="0"/>
    <n v="101"/>
    <s v="_x0000_US"/>
  </r>
  <r>
    <x v="0"/>
    <n v="13.690200000000001"/>
    <n v="-89.193200000000004"/>
    <n v="9116.08"/>
    <n v="0"/>
    <n v="0"/>
    <n v="101"/>
    <s v="_x0000_US"/>
  </r>
  <r>
    <x v="0"/>
    <n v="13.688599999999999"/>
    <n v="-89.216200000000001"/>
    <n v="9116.2000000000007"/>
    <n v="0"/>
    <n v="0"/>
    <n v="101"/>
    <s v="_x0000_US"/>
  </r>
  <r>
    <x v="0"/>
    <n v="13.6875"/>
    <n v="-89.195499999999996"/>
    <n v="9117.14"/>
    <n v="0"/>
    <n v="0"/>
    <n v="101"/>
    <s v="_x0000_US"/>
  </r>
  <r>
    <x v="0"/>
    <n v="13.6899"/>
    <n v="-89.189300000000003"/>
    <n v="9117.2000000000007"/>
    <n v="0"/>
    <n v="0"/>
    <n v="101"/>
    <s v="_x0000_US"/>
  </r>
  <r>
    <x v="0"/>
    <n v="13.6912"/>
    <n v="-89.229900000000001"/>
    <n v="9117.83"/>
    <n v="0"/>
    <n v="0"/>
    <n v="101"/>
    <s v="_x0000_US"/>
  </r>
  <r>
    <x v="0"/>
    <n v="13.6912"/>
    <n v="-89.235100000000003"/>
    <n v="9118.23"/>
    <n v="0"/>
    <n v="0"/>
    <n v="101"/>
    <s v="_x0000_US"/>
  </r>
  <r>
    <x v="0"/>
    <n v="13.6874"/>
    <n v="-89.215900000000005"/>
    <n v="9118.9500000000007"/>
    <n v="0"/>
    <n v="0"/>
    <n v="101"/>
    <s v="_x0000_US"/>
  </r>
  <r>
    <x v="0"/>
    <n v="13.692500000000001"/>
    <n v="-89.175700000000006"/>
    <n v="9119.26"/>
    <n v="0"/>
    <n v="0"/>
    <n v="101"/>
    <s v="_x0000_US"/>
  </r>
  <r>
    <x v="0"/>
    <n v="13.686999999999999"/>
    <n v="-89.192599999999999"/>
    <n v="9119.5"/>
    <n v="0"/>
    <n v="0"/>
    <n v="101"/>
    <s v="_x0000_US"/>
  </r>
  <r>
    <x v="0"/>
    <n v="13.6981"/>
    <n v="-89.169300000000007"/>
    <n v="9119.68"/>
    <n v="0"/>
    <n v="0"/>
    <n v="101"/>
    <s v="_x0000_US"/>
  </r>
  <r>
    <x v="0"/>
    <n v="13.6858"/>
    <n v="-89.214799999999997"/>
    <n v="9120.67"/>
    <n v="0"/>
    <n v="0"/>
    <n v="101"/>
    <s v="_x0000_US"/>
  </r>
  <r>
    <x v="0"/>
    <n v="13.697100000000001"/>
    <n v="-89.171700000000001"/>
    <n v="9121.02"/>
    <n v="0"/>
    <n v="0"/>
    <n v="101"/>
    <s v="_x0000_US"/>
  </r>
  <r>
    <x v="0"/>
    <n v="13.687099999999999"/>
    <n v="-89.215900000000005"/>
    <n v="9121.11"/>
    <n v="0"/>
    <n v="0"/>
    <n v="101"/>
    <s v="_x0000_US"/>
  </r>
  <r>
    <x v="0"/>
    <n v="13.6922"/>
    <n v="-89.184100000000001"/>
    <n v="9121.3700000000008"/>
    <n v="0"/>
    <n v="0"/>
    <n v="101"/>
    <s v="_x0000_US"/>
  </r>
  <r>
    <x v="0"/>
    <n v="13.6884"/>
    <n v="-89.194699999999997"/>
    <n v="9124.01"/>
    <n v="0"/>
    <n v="0"/>
    <n v="101"/>
    <s v="_x0000_US"/>
  </r>
  <r>
    <x v="0"/>
    <n v="13.6883"/>
    <n v="-89.215400000000002"/>
    <n v="9124.07"/>
    <n v="0"/>
    <n v="0"/>
    <n v="101"/>
    <s v="_x0000_US"/>
  </r>
  <r>
    <x v="0"/>
    <n v="13.6911"/>
    <n v="-89.220399999999998"/>
    <n v="9124.65"/>
    <n v="0"/>
    <n v="0"/>
    <n v="101"/>
    <s v="_x0000_US"/>
  </r>
  <r>
    <x v="0"/>
    <n v="13.6938"/>
    <n v="-89.186400000000006"/>
    <n v="9124.9599999999991"/>
    <n v="0"/>
    <n v="0"/>
    <n v="101"/>
    <s v="_x0000_US"/>
  </r>
  <r>
    <x v="0"/>
    <n v="13.6911"/>
    <n v="-89.233800000000002"/>
    <n v="9126.0300000000007"/>
    <n v="0"/>
    <n v="0"/>
    <n v="101"/>
    <s v="_x0000_US"/>
  </r>
  <r>
    <x v="0"/>
    <n v="13.689399999999999"/>
    <n v="-89.196700000000007"/>
    <n v="9126.36"/>
    <n v="0"/>
    <n v="0"/>
    <n v="101"/>
    <s v="_x0000_US"/>
  </r>
  <r>
    <x v="0"/>
    <n v="13.688800000000001"/>
    <n v="-89.217200000000005"/>
    <n v="9126.6200000000008"/>
    <n v="0"/>
    <n v="0"/>
    <n v="101"/>
    <s v="_x0000_US"/>
  </r>
  <r>
    <x v="0"/>
    <n v="13.6914"/>
    <n v="-89.234999999999999"/>
    <n v="9126.9699999999993"/>
    <n v="0"/>
    <n v="0"/>
    <n v="101"/>
    <s v="_x0000_US"/>
  </r>
  <r>
    <x v="0"/>
    <n v="13.690300000000001"/>
    <n v="-89.188400000000001"/>
    <n v="9127.42"/>
    <n v="0"/>
    <n v="0"/>
    <n v="101"/>
    <s v="_x0000_US"/>
  </r>
  <r>
    <x v="0"/>
    <n v="13.693"/>
    <n v="-89.177800000000005"/>
    <n v="9129.84"/>
    <n v="0"/>
    <n v="0"/>
    <n v="101"/>
    <s v="_x0000_US"/>
  </r>
  <r>
    <x v="0"/>
    <n v="13.687200000000001"/>
    <n v="-89.197999999999993"/>
    <n v="9130.01"/>
    <n v="0"/>
    <n v="0"/>
    <n v="101"/>
    <s v="_x0000_US"/>
  </r>
  <r>
    <x v="0"/>
    <n v="13.675599999999999"/>
    <n v="-89.247600000000006"/>
    <n v="9130.81"/>
    <n v="0"/>
    <n v="0"/>
    <n v="101"/>
    <s v="_x0000_US"/>
  </r>
  <r>
    <x v="0"/>
    <n v="13.690799999999999"/>
    <n v="-89.233400000000003"/>
    <n v="9130.83"/>
    <n v="0"/>
    <n v="0"/>
    <n v="101"/>
    <s v="_x0000_US"/>
  </r>
  <r>
    <x v="0"/>
    <n v="13.6905"/>
    <n v="-89.194199999999995"/>
    <n v="9130.8700000000008"/>
    <n v="0"/>
    <n v="0"/>
    <n v="101"/>
    <s v="_x0000_US"/>
  </r>
  <r>
    <x v="0"/>
    <n v="13.6914"/>
    <n v="-89.19"/>
    <n v="9131.74"/>
    <n v="0"/>
    <n v="0"/>
    <n v="101"/>
    <s v="_x0000_US"/>
  </r>
  <r>
    <x v="0"/>
    <n v="13.689299999999999"/>
    <n v="-89.229299999999995"/>
    <n v="9131.75"/>
    <n v="0"/>
    <n v="0"/>
    <n v="101"/>
    <s v="_x0000_US"/>
  </r>
  <r>
    <x v="0"/>
    <n v="13.685600000000001"/>
    <n v="-89.202500000000001"/>
    <n v="9131.9699999999993"/>
    <n v="0"/>
    <n v="0"/>
    <n v="101"/>
    <s v="_x0000_US"/>
  </r>
  <r>
    <x v="0"/>
    <n v="13.688800000000001"/>
    <n v="-89.197999999999993"/>
    <n v="9132.9"/>
    <n v="0"/>
    <n v="0"/>
    <n v="101"/>
    <s v="_x0000_US"/>
  </r>
  <r>
    <x v="0"/>
    <n v="13.6875"/>
    <n v="-89.194599999999994"/>
    <n v="9134.26"/>
    <n v="0"/>
    <n v="0"/>
    <n v="101"/>
    <s v="_x0000_US"/>
  </r>
  <r>
    <x v="0"/>
    <n v="13.6968"/>
    <n v="-89.171700000000001"/>
    <n v="9135.06"/>
    <n v="0"/>
    <n v="0"/>
    <n v="101"/>
    <s v="_x0000_US"/>
  </r>
  <r>
    <x v="0"/>
    <n v="13.689299999999999"/>
    <n v="-89.207999999999998"/>
    <n v="9135.09"/>
    <n v="0"/>
    <n v="0"/>
    <n v="101"/>
    <s v="_x0000_US"/>
  </r>
  <r>
    <x v="0"/>
    <n v="13.687799999999999"/>
    <n v="-89.197100000000006"/>
    <n v="9135.94"/>
    <n v="0"/>
    <n v="0"/>
    <n v="101"/>
    <s v="_x0000_US"/>
  </r>
  <r>
    <x v="0"/>
    <n v="13.679399999999999"/>
    <n v="-89.196799999999996"/>
    <n v="9136.34"/>
    <n v="0"/>
    <n v="0"/>
    <n v="101"/>
    <s v="_x0000_US"/>
  </r>
  <r>
    <x v="0"/>
    <n v="13.692399999999999"/>
    <n v="-89.174899999999994"/>
    <n v="9136.73"/>
    <n v="0"/>
    <n v="0"/>
    <n v="101"/>
    <s v="_x0000_US"/>
  </r>
  <r>
    <x v="0"/>
    <n v="13.688000000000001"/>
    <n v="-89.237200000000001"/>
    <n v="9137.32"/>
    <n v="0"/>
    <n v="0"/>
    <n v="101"/>
    <s v="_x0000_US"/>
  </r>
  <r>
    <x v="0"/>
    <n v="13.6919"/>
    <n v="-89.194299999999998"/>
    <n v="9137.5"/>
    <n v="0"/>
    <n v="0"/>
    <n v="101"/>
    <s v="_x0000_US"/>
  </r>
  <r>
    <x v="0"/>
    <n v="13.689500000000001"/>
    <n v="-89.184299999999993"/>
    <n v="9138"/>
    <n v="0"/>
    <n v="0"/>
    <n v="101"/>
    <s v="_x0000_US"/>
  </r>
  <r>
    <x v="0"/>
    <n v="13.691599999999999"/>
    <n v="-89.220799999999997"/>
    <n v="9138.34"/>
    <n v="0"/>
    <n v="0"/>
    <n v="101"/>
    <s v="_x0000_US"/>
  </r>
  <r>
    <x v="0"/>
    <n v="13.693199999999999"/>
    <n v="-89.176900000000003"/>
    <n v="9138.48"/>
    <n v="0"/>
    <n v="0"/>
    <n v="101"/>
    <s v="_x0000_US"/>
  </r>
  <r>
    <x v="0"/>
    <n v="13.6853"/>
    <n v="-89.216899999999995"/>
    <n v="9138.51"/>
    <n v="0"/>
    <n v="0"/>
    <n v="101"/>
    <s v="_x0000_US"/>
  </r>
  <r>
    <x v="0"/>
    <n v="13.690300000000001"/>
    <n v="-89.179699999999997"/>
    <n v="9138.56"/>
    <n v="0"/>
    <n v="0"/>
    <n v="101"/>
    <s v="_x0000_US"/>
  </r>
  <r>
    <x v="0"/>
    <n v="13.6891"/>
    <n v="-89.180899999999994"/>
    <n v="9139.3700000000008"/>
    <n v="0"/>
    <n v="0"/>
    <n v="101"/>
    <s v="_x0000_US"/>
  </r>
  <r>
    <x v="0"/>
    <n v="13.6898"/>
    <n v="-89.229100000000003"/>
    <n v="9141.32"/>
    <n v="0"/>
    <n v="0"/>
    <n v="101"/>
    <s v="_x0000_US"/>
  </r>
  <r>
    <x v="0"/>
    <n v="13.689"/>
    <n v="-89.229399999999998"/>
    <n v="9141.49"/>
    <n v="0"/>
    <n v="0"/>
    <n v="101"/>
    <s v="_x0000_US"/>
  </r>
  <r>
    <x v="0"/>
    <n v="13.6936"/>
    <n v="-89.1738"/>
    <n v="9141.65"/>
    <n v="0"/>
    <n v="0"/>
    <n v="101"/>
    <s v="_x0000_US"/>
  </r>
  <r>
    <x v="0"/>
    <n v="13.687799999999999"/>
    <n v="-89.194599999999994"/>
    <n v="9141.74"/>
    <n v="0"/>
    <n v="0"/>
    <n v="101"/>
    <s v="_x0000_US"/>
  </r>
  <r>
    <x v="0"/>
    <n v="13.689"/>
    <n v="-89.215599999999995"/>
    <n v="9143.2000000000007"/>
    <n v="0"/>
    <n v="0"/>
    <n v="101"/>
    <s v="_x0000_US"/>
  </r>
  <r>
    <x v="0"/>
    <n v="13.686500000000001"/>
    <n v="-89.211399999999998"/>
    <n v="9143.65"/>
    <n v="0"/>
    <n v="0"/>
    <n v="101"/>
    <s v="_x0000_US"/>
  </r>
  <r>
    <x v="0"/>
    <n v="13.675000000000001"/>
    <n v="-89.200100000000006"/>
    <n v="9144.41"/>
    <n v="0"/>
    <n v="0"/>
    <n v="101"/>
    <s v="_x0000_US"/>
  </r>
  <r>
    <x v="0"/>
    <n v="13.690200000000001"/>
    <n v="-89.184899999999999"/>
    <n v="9144.77"/>
    <n v="0"/>
    <n v="0"/>
    <n v="101"/>
    <s v="_x0000_US"/>
  </r>
  <r>
    <x v="0"/>
    <n v="13.6883"/>
    <n v="-89.216700000000003"/>
    <n v="9145.66"/>
    <n v="0"/>
    <n v="0"/>
    <n v="101"/>
    <s v="_x0000_US"/>
  </r>
  <r>
    <x v="0"/>
    <n v="13.687200000000001"/>
    <n v="-89.197299999999998"/>
    <n v="9146.2999999999993"/>
    <n v="0"/>
    <n v="0"/>
    <n v="101"/>
    <s v="_x0000_US"/>
  </r>
  <r>
    <x v="0"/>
    <n v="13.693099999999999"/>
    <n v="-89.185900000000004"/>
    <n v="9146.35"/>
    <n v="0"/>
    <n v="0"/>
    <n v="101"/>
    <s v="_x0000_US"/>
  </r>
  <r>
    <x v="0"/>
    <n v="13.6783"/>
    <n v="-89.246200000000002"/>
    <n v="9146.93"/>
    <n v="0"/>
    <n v="0"/>
    <n v="101"/>
    <s v="_x0000_US"/>
  </r>
  <r>
    <x v="0"/>
    <n v="13.688599999999999"/>
    <n v="-89.204599999999999"/>
    <n v="9146.9500000000007"/>
    <n v="0"/>
    <n v="0"/>
    <n v="101"/>
    <s v="_x0000_US"/>
  </r>
  <r>
    <x v="0"/>
    <n v="13.674200000000001"/>
    <n v="-89.202200000000005"/>
    <n v="9147.01"/>
    <n v="0"/>
    <n v="0"/>
    <n v="101"/>
    <s v="_x0000_US"/>
  </r>
  <r>
    <x v="0"/>
    <n v="13.694699999999999"/>
    <n v="-89.185199999999995"/>
    <n v="9147.2099999999991"/>
    <n v="0"/>
    <n v="0"/>
    <n v="101"/>
    <s v="_x0000_US"/>
  </r>
  <r>
    <x v="0"/>
    <n v="13.694100000000001"/>
    <n v="-89.182400000000001"/>
    <n v="9147.5400000000009"/>
    <n v="0"/>
    <n v="0"/>
    <n v="101"/>
    <s v="_x0000_US"/>
  </r>
  <r>
    <x v="0"/>
    <n v="13.6975"/>
    <n v="-89.171000000000006"/>
    <n v="9147.7199999999993"/>
    <n v="0"/>
    <n v="0"/>
    <n v="101"/>
    <s v="_x0000_US"/>
  </r>
  <r>
    <x v="0"/>
    <n v="13.6958"/>
    <n v="-89.172499999999999"/>
    <n v="9148.1200000000008"/>
    <n v="0"/>
    <n v="0"/>
    <n v="101"/>
    <s v="_x0000_US"/>
  </r>
  <r>
    <x v="0"/>
    <n v="13.689299999999999"/>
    <n v="-89.185400000000001"/>
    <n v="9149.11"/>
    <n v="0"/>
    <n v="0"/>
    <n v="101"/>
    <s v="_x0000_US"/>
  </r>
  <r>
    <x v="0"/>
    <n v="13.6914"/>
    <n v="-89.228999999999999"/>
    <n v="9149.5300000000007"/>
    <n v="0"/>
    <n v="0"/>
    <n v="101"/>
    <s v="_x0000_US"/>
  </r>
  <r>
    <x v="0"/>
    <n v="13.6889"/>
    <n v="-89.229600000000005"/>
    <n v="9149.93"/>
    <n v="0"/>
    <n v="0"/>
    <n v="101"/>
    <s v="_x0000_US"/>
  </r>
  <r>
    <x v="0"/>
    <n v="13.6778"/>
    <n v="-89.246200000000002"/>
    <n v="9150.5400000000009"/>
    <n v="0"/>
    <n v="0"/>
    <n v="101"/>
    <s v="_x0000_US"/>
  </r>
  <r>
    <x v="0"/>
    <n v="13.6951"/>
    <n v="-89.182699999999997"/>
    <n v="9150.65"/>
    <n v="0"/>
    <n v="0"/>
    <n v="101"/>
    <s v="_x0000_US"/>
  </r>
  <r>
    <x v="0"/>
    <n v="13.690300000000001"/>
    <n v="-89.228200000000001"/>
    <n v="9150.77"/>
    <n v="0"/>
    <n v="0"/>
    <n v="101"/>
    <s v="_x0000_US"/>
  </r>
  <r>
    <x v="0"/>
    <n v="13.6853"/>
    <n v="-89.204099999999997"/>
    <n v="9151"/>
    <n v="0"/>
    <n v="0"/>
    <n v="101"/>
    <s v="_x0000_US"/>
  </r>
  <r>
    <x v="0"/>
    <n v="13.679500000000001"/>
    <n v="-89.197299999999998"/>
    <n v="9151.0499999999993"/>
    <n v="0"/>
    <n v="0"/>
    <n v="101"/>
    <s v="_x0000_US"/>
  </r>
  <r>
    <x v="0"/>
    <n v="13.6844"/>
    <n v="-89.213099999999997"/>
    <n v="9152.39"/>
    <n v="0"/>
    <n v="0"/>
    <n v="101"/>
    <s v="_x0000_US"/>
  </r>
  <r>
    <x v="0"/>
    <n v="13.6904"/>
    <n v="-89.186199999999999"/>
    <n v="9153.77"/>
    <n v="0"/>
    <n v="0"/>
    <n v="101"/>
    <s v="_x0000_US"/>
  </r>
  <r>
    <x v="0"/>
    <n v="13.690899999999999"/>
    <n v="-89.187700000000007"/>
    <n v="9153.91"/>
    <n v="0"/>
    <n v="0"/>
    <n v="101"/>
    <s v="_x0000_US"/>
  </r>
  <r>
    <x v="0"/>
    <n v="13.692"/>
    <n v="-89.224900000000005"/>
    <n v="9154.7999999999993"/>
    <n v="0"/>
    <n v="0"/>
    <n v="101"/>
    <s v="_x0000_US"/>
  </r>
  <r>
    <x v="0"/>
    <n v="13.6858"/>
    <n v="-89.194000000000003"/>
    <n v="9155.7000000000007"/>
    <n v="0"/>
    <n v="0"/>
    <n v="101"/>
    <s v="_x0000_US"/>
  </r>
  <r>
    <x v="0"/>
    <n v="13.6937"/>
    <n v="-89.176699999999997"/>
    <n v="9156.07"/>
    <n v="0"/>
    <n v="0"/>
    <n v="101"/>
    <s v="_x0000_US"/>
  </r>
  <r>
    <x v="0"/>
    <n v="13.6892"/>
    <n v="-89.228899999999996"/>
    <n v="9157.2999999999993"/>
    <n v="0"/>
    <n v="0"/>
    <n v="101"/>
    <s v="_x0000_US"/>
  </r>
  <r>
    <x v="0"/>
    <n v="13.69"/>
    <n v="-89.193899999999999"/>
    <n v="9158.7000000000007"/>
    <n v="0"/>
    <n v="0"/>
    <n v="101"/>
    <s v="_x0000_US"/>
  </r>
  <r>
    <x v="0"/>
    <n v="13.687099999999999"/>
    <n v="-89.193899999999999"/>
    <n v="9158.73"/>
    <n v="0"/>
    <n v="0"/>
    <n v="101"/>
    <s v="_x0000_US"/>
  </r>
  <r>
    <x v="0"/>
    <n v="13.6882"/>
    <n v="-89.195099999999996"/>
    <n v="9158.7900000000009"/>
    <n v="0"/>
    <n v="0"/>
    <n v="101"/>
    <s v="_x0000_US"/>
  </r>
  <r>
    <x v="0"/>
    <n v="13.6958"/>
    <n v="-89.172600000000003"/>
    <n v="9159.07"/>
    <n v="0"/>
    <n v="0"/>
    <n v="101"/>
    <s v="_x0000_US"/>
  </r>
  <r>
    <x v="0"/>
    <n v="13.686"/>
    <n v="-89.201899999999995"/>
    <n v="9159.1299999999992"/>
    <n v="0"/>
    <n v="0"/>
    <n v="101"/>
    <s v="_x0000_US"/>
  </r>
  <r>
    <x v="0"/>
    <n v="13.695499999999999"/>
    <n v="-89.171800000000005"/>
    <n v="9159.23"/>
    <n v="0"/>
    <n v="0"/>
    <n v="101"/>
    <s v="_x0000_US"/>
  </r>
  <r>
    <x v="0"/>
    <n v="13.688800000000001"/>
    <n v="-89.204700000000003"/>
    <n v="9163.3799999999992"/>
    <n v="0"/>
    <n v="0"/>
    <n v="101"/>
    <s v="_x0000_US"/>
  </r>
  <r>
    <x v="0"/>
    <n v="13.6929"/>
    <n v="-89.1738"/>
    <n v="9164.1200000000008"/>
    <n v="0"/>
    <n v="0"/>
    <n v="101"/>
    <s v="_x0000_US"/>
  </r>
  <r>
    <x v="0"/>
    <n v="13.6929"/>
    <n v="-89.1738"/>
    <n v="9164.32"/>
    <n v="0"/>
    <n v="0"/>
    <n v="101"/>
    <s v="_x0000_US"/>
  </r>
  <r>
    <x v="0"/>
    <n v="13.689299999999999"/>
    <n v="-89.229399999999998"/>
    <n v="9164.75"/>
    <n v="0"/>
    <n v="0"/>
    <n v="101"/>
    <s v="_x0000_US"/>
  </r>
  <r>
    <x v="0"/>
    <n v="13.6934"/>
    <n v="-89.192400000000006"/>
    <n v="9164.93"/>
    <n v="0"/>
    <n v="0"/>
    <n v="101"/>
    <s v="_x0000_US"/>
  </r>
  <r>
    <x v="0"/>
    <n v="13.685700000000001"/>
    <n v="-89.215999999999994"/>
    <n v="9165.66"/>
    <n v="0"/>
    <n v="0"/>
    <n v="101"/>
    <s v="_x0000_US"/>
  </r>
  <r>
    <x v="0"/>
    <n v="13.687200000000001"/>
    <n v="-89.211500000000001"/>
    <n v="9165.85"/>
    <n v="0"/>
    <n v="0"/>
    <n v="101"/>
    <s v="_x0000_US"/>
  </r>
  <r>
    <x v="0"/>
    <n v="13.685"/>
    <n v="-89.212599999999995"/>
    <n v="9167.42"/>
    <n v="0"/>
    <n v="0"/>
    <n v="101"/>
    <s v="_x0000_US"/>
  </r>
  <r>
    <x v="0"/>
    <n v="13.686299999999999"/>
    <n v="-89.212199999999996"/>
    <n v="9167.6299999999992"/>
    <n v="0"/>
    <n v="0"/>
    <n v="101"/>
    <s v="_x0000_US"/>
  </r>
  <r>
    <x v="0"/>
    <n v="13.6883"/>
    <n v="-89.216700000000003"/>
    <n v="9168.19"/>
    <n v="0"/>
    <n v="0"/>
    <n v="101"/>
    <s v="_x0000_US"/>
  </r>
  <r>
    <x v="0"/>
    <n v="13.687099999999999"/>
    <n v="-89.181100000000001"/>
    <n v="9168.44"/>
    <n v="0"/>
    <n v="0"/>
    <n v="101"/>
    <s v="_x0000_US"/>
  </r>
  <r>
    <x v="0"/>
    <n v="13.689"/>
    <n v="-89.214600000000004"/>
    <n v="9169.4500000000007"/>
    <n v="0"/>
    <n v="0"/>
    <n v="101"/>
    <s v="_x0000_US"/>
  </r>
  <r>
    <x v="0"/>
    <n v="13.6874"/>
    <n v="-89.197199999999995"/>
    <n v="9169.5400000000009"/>
    <n v="0"/>
    <n v="0"/>
    <n v="101"/>
    <s v="_x0000_US"/>
  </r>
  <r>
    <x v="0"/>
    <n v="13.6845"/>
    <n v="-89.211699999999993"/>
    <n v="9169.7099999999991"/>
    <n v="0"/>
    <n v="0"/>
    <n v="101"/>
    <s v="_x0000_US"/>
  </r>
  <r>
    <x v="0"/>
    <n v="13.6905"/>
    <n v="-89.194400000000002"/>
    <n v="9170.24"/>
    <n v="0"/>
    <n v="0"/>
    <n v="101"/>
    <s v="_x0000_US"/>
  </r>
  <r>
    <x v="0"/>
    <n v="13.6744"/>
    <n v="-89.199200000000005"/>
    <n v="9170.42"/>
    <n v="0"/>
    <n v="0"/>
    <n v="101"/>
    <s v="_x0000_US"/>
  </r>
  <r>
    <x v="0"/>
    <n v="13.6912"/>
    <n v="-89.178799999999995"/>
    <n v="9171.7900000000009"/>
    <n v="0"/>
    <n v="0"/>
    <n v="101"/>
    <s v="_x0000_US"/>
  </r>
  <r>
    <x v="0"/>
    <n v="13.6914"/>
    <n v="-89.189400000000006"/>
    <n v="9172.19"/>
    <n v="0"/>
    <n v="0"/>
    <n v="101"/>
    <s v="_x0000_US"/>
  </r>
  <r>
    <x v="0"/>
    <n v="13.684799999999999"/>
    <n v="-89.216800000000006"/>
    <n v="9172.26"/>
    <n v="0"/>
    <n v="0"/>
    <n v="101"/>
    <s v="_x0000_US"/>
  </r>
  <r>
    <x v="0"/>
    <n v="13.694599999999999"/>
    <n v="-89.182599999999994"/>
    <n v="9172.9"/>
    <n v="0"/>
    <n v="0"/>
    <n v="101"/>
    <s v="_x0000_US"/>
  </r>
  <r>
    <x v="0"/>
    <n v="13.693300000000001"/>
    <n v="-89.188299999999998"/>
    <n v="9173.1"/>
    <n v="0"/>
    <n v="0"/>
    <n v="101"/>
    <s v="_x0000_US"/>
  </r>
  <r>
    <x v="0"/>
    <n v="13.6866"/>
    <n v="-89.212500000000006"/>
    <n v="9173.31"/>
    <n v="0"/>
    <n v="0"/>
    <n v="101"/>
    <s v="_x0000_US"/>
  </r>
  <r>
    <x v="0"/>
    <n v="13.6798"/>
    <n v="-89.196799999999996"/>
    <n v="9173.7800000000007"/>
    <n v="0"/>
    <n v="0"/>
    <n v="101"/>
    <s v="_x0000_US"/>
  </r>
  <r>
    <x v="0"/>
    <n v="13.6911"/>
    <n v="-89.235900000000001"/>
    <n v="9173.86"/>
    <n v="0"/>
    <n v="0"/>
    <n v="101"/>
    <s v="_x0000_US"/>
  </r>
  <r>
    <x v="0"/>
    <n v="13.6915"/>
    <n v="-89.234899999999996"/>
    <n v="9173.89"/>
    <n v="0"/>
    <n v="0"/>
    <n v="101"/>
    <s v="_x0000_US"/>
  </r>
  <r>
    <x v="0"/>
    <n v="13.6906"/>
    <n v="-89.235500000000002"/>
    <n v="9174.69"/>
    <n v="0"/>
    <n v="0"/>
    <n v="101"/>
    <s v="_x0000_US"/>
  </r>
  <r>
    <x v="0"/>
    <n v="13.679600000000001"/>
    <n v="-89.197299999999998"/>
    <n v="9175.58"/>
    <n v="0"/>
    <n v="0"/>
    <n v="101"/>
    <s v="_x0000_US"/>
  </r>
  <r>
    <x v="0"/>
    <n v="13.6853"/>
    <n v="-89.201400000000007"/>
    <n v="9176.5"/>
    <n v="0"/>
    <n v="0"/>
    <n v="101"/>
    <s v="_x0000_US"/>
  </r>
  <r>
    <x v="0"/>
    <n v="13.693099999999999"/>
    <n v="-89.174099999999996"/>
    <n v="9177.44"/>
    <n v="0"/>
    <n v="0"/>
    <n v="101"/>
    <s v="_x0000_US"/>
  </r>
  <r>
    <x v="0"/>
    <n v="13.6896"/>
    <n v="-89.190100000000001"/>
    <n v="9177.91"/>
    <n v="0"/>
    <n v="0"/>
    <n v="101"/>
    <s v="_x0000_US"/>
  </r>
  <r>
    <x v="0"/>
    <n v="13.696899999999999"/>
    <n v="-89.171800000000005"/>
    <n v="9178"/>
    <n v="0"/>
    <n v="0"/>
    <n v="101"/>
    <s v="_x0000_US"/>
  </r>
  <r>
    <x v="0"/>
    <n v="13.685700000000001"/>
    <n v="-89.2042"/>
    <n v="9178.14"/>
    <n v="0"/>
    <n v="0"/>
    <n v="101"/>
    <s v="_x0000_US"/>
  </r>
  <r>
    <x v="0"/>
    <n v="13.6912"/>
    <n v="-89.219399999999993"/>
    <n v="9178.58"/>
    <n v="0"/>
    <n v="0"/>
    <n v="101"/>
    <s v="_x0000_US"/>
  </r>
  <r>
    <x v="0"/>
    <n v="13.6957"/>
    <n v="-89.173400000000001"/>
    <n v="9178.6"/>
    <n v="0"/>
    <n v="0"/>
    <n v="101"/>
    <s v="_x0000_US"/>
  </r>
  <r>
    <x v="0"/>
    <n v="13.695"/>
    <n v="-89.173699999999997"/>
    <n v="9178.67"/>
    <n v="0"/>
    <n v="0"/>
    <n v="101"/>
    <s v="_x0000_US"/>
  </r>
  <r>
    <x v="0"/>
    <n v="13.688700000000001"/>
    <n v="-89.1982"/>
    <n v="9179.07"/>
    <n v="0"/>
    <n v="0"/>
    <n v="101"/>
    <s v="_x0000_US"/>
  </r>
  <r>
    <x v="0"/>
    <n v="13.6928"/>
    <n v="-89.224199999999996"/>
    <n v="9180.41"/>
    <n v="0"/>
    <n v="0"/>
    <n v="101"/>
    <s v="_x0000_US"/>
  </r>
  <r>
    <x v="0"/>
    <n v="13.691000000000001"/>
    <n v="-89.1905"/>
    <n v="9180.6"/>
    <n v="0"/>
    <n v="0"/>
    <n v="101"/>
    <s v="_x0000_US"/>
  </r>
  <r>
    <x v="0"/>
    <n v="13.6942"/>
    <n v="-89.175799999999995"/>
    <n v="9181.42"/>
    <n v="0"/>
    <n v="0"/>
    <n v="101"/>
    <s v="_x0000_US"/>
  </r>
  <r>
    <x v="0"/>
    <n v="13.679500000000001"/>
    <n v="-89.1965"/>
    <n v="9181.57"/>
    <n v="0"/>
    <n v="0"/>
    <n v="101"/>
    <s v="_x0000_US"/>
  </r>
  <r>
    <x v="0"/>
    <n v="13.6912"/>
    <n v="-89.228399999999993"/>
    <n v="9181.58"/>
    <n v="0"/>
    <n v="0"/>
    <n v="101"/>
    <s v="_x0000_US"/>
  </r>
  <r>
    <x v="0"/>
    <n v="13.677300000000001"/>
    <n v="-89.247900000000001"/>
    <n v="9182"/>
    <n v="0"/>
    <n v="0"/>
    <n v="101"/>
    <s v="_x0000_US"/>
  </r>
  <r>
    <x v="0"/>
    <n v="13.6884"/>
    <n v="-89.2042"/>
    <n v="9183.2199999999993"/>
    <n v="0"/>
    <n v="0"/>
    <n v="101"/>
    <s v="_x0000_US"/>
  </r>
  <r>
    <x v="0"/>
    <n v="13.6967"/>
    <n v="-89.171700000000001"/>
    <n v="9183.2800000000007"/>
    <n v="0"/>
    <n v="0"/>
    <n v="101"/>
    <s v="_x0000_US"/>
  </r>
  <r>
    <x v="0"/>
    <n v="13.6974"/>
    <n v="-89.171700000000001"/>
    <n v="9183.9"/>
    <n v="0"/>
    <n v="0"/>
    <n v="101"/>
    <s v="_x0000_US"/>
  </r>
  <r>
    <x v="0"/>
    <n v="13.686500000000001"/>
    <n v="-89.2119"/>
    <n v="9184.07"/>
    <n v="0"/>
    <n v="0"/>
    <n v="101"/>
    <s v="_x0000_US"/>
  </r>
  <r>
    <x v="0"/>
    <n v="13.693899999999999"/>
    <n v="-89.176299999999998"/>
    <n v="9184.15"/>
    <n v="0"/>
    <n v="0"/>
    <n v="101"/>
    <s v="_x0000_US"/>
  </r>
  <r>
    <x v="0"/>
    <n v="13.69"/>
    <n v="-89.217399999999998"/>
    <n v="9184.6299999999992"/>
    <n v="0"/>
    <n v="0"/>
    <n v="101"/>
    <s v="_x0000_US"/>
  </r>
  <r>
    <x v="0"/>
    <n v="13.6874"/>
    <n v="-89.194800000000001"/>
    <n v="9184.81"/>
    <n v="0"/>
    <n v="0"/>
    <n v="101"/>
    <s v="_x0000_US"/>
  </r>
  <r>
    <x v="0"/>
    <n v="13.688599999999999"/>
    <n v="-89.229399999999998"/>
    <n v="9184.83"/>
    <n v="0"/>
    <n v="0"/>
    <n v="101"/>
    <s v="_x0000_US"/>
  </r>
  <r>
    <x v="0"/>
    <n v="13.6867"/>
    <n v="-89.214799999999997"/>
    <n v="9185.27"/>
    <n v="0"/>
    <n v="0"/>
    <n v="101"/>
    <s v="_x0000_US"/>
  </r>
  <r>
    <x v="0"/>
    <n v="13.6927"/>
    <n v="-89.179199999999994"/>
    <n v="9186.2099999999991"/>
    <n v="0"/>
    <n v="0"/>
    <n v="101"/>
    <s v="_x0000_US"/>
  </r>
  <r>
    <x v="0"/>
    <n v="13.688800000000001"/>
    <n v="-89.178200000000004"/>
    <n v="9186.43"/>
    <n v="0"/>
    <n v="0"/>
    <n v="101"/>
    <s v="_x0000_US"/>
  </r>
  <r>
    <x v="0"/>
    <n v="13.674799999999999"/>
    <n v="-89.1999"/>
    <n v="9187.2000000000007"/>
    <n v="0"/>
    <n v="0"/>
    <n v="101"/>
    <s v="_x0000_US"/>
  </r>
  <r>
    <x v="0"/>
    <n v="13.6868"/>
    <n v="-89.2029"/>
    <n v="9187.2999999999993"/>
    <n v="0"/>
    <n v="0"/>
    <n v="101"/>
    <s v="_x0000_US"/>
  </r>
  <r>
    <x v="0"/>
    <n v="13.6907"/>
    <n v="-89.187299999999993"/>
    <n v="9188.01"/>
    <n v="0"/>
    <n v="0"/>
    <n v="101"/>
    <s v="_x0000_US"/>
  </r>
  <r>
    <x v="0"/>
    <n v="13.6746"/>
    <n v="-89.2517"/>
    <n v="9188.1"/>
    <n v="0"/>
    <n v="0"/>
    <n v="101"/>
    <s v="_x0000_US"/>
  </r>
  <r>
    <x v="0"/>
    <n v="13.6911"/>
    <n v="-89.219700000000003"/>
    <n v="9188.4500000000007"/>
    <n v="0"/>
    <n v="0"/>
    <n v="101"/>
    <s v="_x0000_US"/>
  </r>
  <r>
    <x v="0"/>
    <n v="13.6868"/>
    <n v="-89.191699999999997"/>
    <n v="9189.27"/>
    <n v="0"/>
    <n v="0"/>
    <n v="101"/>
    <s v="_x0000_US"/>
  </r>
  <r>
    <x v="0"/>
    <n v="13.694900000000001"/>
    <n v="-89.174199999999999"/>
    <n v="9189.4599999999991"/>
    <n v="0"/>
    <n v="0"/>
    <n v="101"/>
    <s v="_x0000_US"/>
  </r>
  <r>
    <x v="0"/>
    <n v="13.690099999999999"/>
    <n v="-89.189899999999994"/>
    <n v="9189.59"/>
    <n v="0"/>
    <n v="0"/>
    <n v="101"/>
    <s v="_x0000_US"/>
  </r>
  <r>
    <x v="0"/>
    <n v="13.6876"/>
    <n v="-89.194299999999998"/>
    <n v="9189.77"/>
    <n v="0"/>
    <n v="0"/>
    <n v="101"/>
    <s v="_x0000_US"/>
  </r>
  <r>
    <x v="0"/>
    <n v="13.674099999999999"/>
    <n v="-89.202600000000004"/>
    <n v="9189.8799999999992"/>
    <n v="0"/>
    <n v="0"/>
    <n v="101"/>
    <s v="_x0000_US"/>
  </r>
  <r>
    <x v="0"/>
    <n v="13.688499999999999"/>
    <n v="-89.216200000000001"/>
    <n v="9190.33"/>
    <n v="0"/>
    <n v="0"/>
    <n v="101"/>
    <s v="_x0000_US"/>
  </r>
  <r>
    <x v="0"/>
    <n v="13.6877"/>
    <n v="-89.179699999999997"/>
    <n v="9190.9599999999991"/>
    <n v="0"/>
    <n v="0"/>
    <n v="101"/>
    <s v="_x0000_US"/>
  </r>
  <r>
    <x v="0"/>
    <n v="13.687200000000001"/>
    <n v="-89.202299999999994"/>
    <n v="9191.0300000000007"/>
    <n v="0"/>
    <n v="0"/>
    <n v="101"/>
    <s v="_x0000_US"/>
  </r>
  <r>
    <x v="0"/>
    <n v="13.6875"/>
    <n v="-89.194900000000004"/>
    <n v="9191.2900000000009"/>
    <n v="0"/>
    <n v="0"/>
    <n v="101"/>
    <s v="_x0000_US"/>
  </r>
  <r>
    <x v="0"/>
    <n v="13.6913"/>
    <n v="-89.188500000000005"/>
    <n v="9191.98"/>
    <n v="0"/>
    <n v="0"/>
    <n v="101"/>
    <s v="_x0000_US"/>
  </r>
  <r>
    <x v="0"/>
    <n v="13.686999999999999"/>
    <n v="-89.201700000000002"/>
    <n v="9193.11"/>
    <n v="0"/>
    <n v="0"/>
    <n v="101"/>
    <s v="_x0000_US"/>
  </r>
  <r>
    <x v="0"/>
    <n v="13.694599999999999"/>
    <n v="-89.172700000000006"/>
    <n v="9193.92"/>
    <n v="0"/>
    <n v="0"/>
    <n v="101"/>
    <s v="_x0000_US"/>
  </r>
  <r>
    <x v="0"/>
    <n v="13.6929"/>
    <n v="-89.186199999999999"/>
    <n v="9194.5"/>
    <n v="0"/>
    <n v="0"/>
    <n v="101"/>
    <s v="_x0000_US"/>
  </r>
  <r>
    <x v="0"/>
    <n v="13.6874"/>
    <n v="-89.194699999999997"/>
    <n v="9194.6299999999992"/>
    <n v="0"/>
    <n v="0"/>
    <n v="101"/>
    <s v="_x0000_US"/>
  </r>
  <r>
    <x v="0"/>
    <n v="13.6934"/>
    <n v="-89.188699999999997"/>
    <n v="9194.7999999999993"/>
    <n v="0"/>
    <n v="0"/>
    <n v="101"/>
    <s v="_x0000_US"/>
  </r>
  <r>
    <x v="0"/>
    <n v="13.6791"/>
    <n v="-89.1965"/>
    <n v="9194.85"/>
    <n v="0"/>
    <n v="0"/>
    <n v="101"/>
    <s v="_x0000_US"/>
  </r>
  <r>
    <x v="0"/>
    <n v="13.691599999999999"/>
    <n v="-89.226500000000001"/>
    <n v="9195.25"/>
    <n v="0"/>
    <n v="0"/>
    <n v="101"/>
    <s v="_x0000_US"/>
  </r>
  <r>
    <x v="0"/>
    <n v="13.692600000000001"/>
    <n v="-89.224800000000002"/>
    <n v="9195.44"/>
    <n v="0"/>
    <n v="0"/>
    <n v="101"/>
    <s v="_x0000_US"/>
  </r>
  <r>
    <x v="0"/>
    <n v="13.6845"/>
    <n v="-89.217299999999994"/>
    <n v="9195.49"/>
    <n v="0"/>
    <n v="0"/>
    <n v="101"/>
    <s v="_x0000_US"/>
  </r>
  <r>
    <x v="0"/>
    <n v="13.6907"/>
    <n v="-89.235399999999998"/>
    <n v="9195.52"/>
    <n v="0"/>
    <n v="0"/>
    <n v="101"/>
    <s v="_x0000_US"/>
  </r>
  <r>
    <x v="0"/>
    <n v="13.686299999999999"/>
    <n v="-89.2029"/>
    <n v="9195.82"/>
    <n v="0"/>
    <n v="0"/>
    <n v="101"/>
    <s v="_x0000_US"/>
  </r>
  <r>
    <x v="0"/>
    <n v="13.6927"/>
    <n v="-89.193799999999996"/>
    <n v="9195.9599999999991"/>
    <n v="0"/>
    <n v="0"/>
    <n v="101"/>
    <s v="_x0000_US"/>
  </r>
  <r>
    <x v="0"/>
    <n v="13.6914"/>
    <n v="-89.197100000000006"/>
    <n v="9196.3799999999992"/>
    <n v="0"/>
    <n v="0"/>
    <n v="101"/>
    <s v="_x0000_US"/>
  </r>
  <r>
    <x v="0"/>
    <n v="13.677199999999999"/>
    <n v="-89.199100000000001"/>
    <n v="9196.94"/>
    <n v="0"/>
    <n v="0"/>
    <n v="101"/>
    <s v="_x0000_US"/>
  </r>
  <r>
    <x v="0"/>
    <n v="13.689399999999999"/>
    <n v="-89.190299999999993"/>
    <n v="9197.08"/>
    <n v="0"/>
    <n v="0"/>
    <n v="101"/>
    <s v="_x0000_US"/>
  </r>
  <r>
    <x v="0"/>
    <n v="13.695600000000001"/>
    <n v="-89.172799999999995"/>
    <n v="9197.73"/>
    <n v="0"/>
    <n v="0"/>
    <n v="101"/>
    <s v="_x0000_US"/>
  </r>
  <r>
    <x v="0"/>
    <n v="13.688499999999999"/>
    <n v="-89.1982"/>
    <n v="9198.4500000000007"/>
    <n v="0"/>
    <n v="0"/>
    <n v="101"/>
    <s v="_x0000_US"/>
  </r>
  <r>
    <x v="0"/>
    <n v="13.6921"/>
    <n v="-89.1785"/>
    <n v="9199.09"/>
    <n v="0"/>
    <n v="0"/>
    <n v="101"/>
    <s v="_x0000_US"/>
  </r>
  <r>
    <x v="0"/>
    <n v="13.673299999999999"/>
    <n v="-89.203800000000001"/>
    <n v="9199.34"/>
    <n v="0"/>
    <n v="0"/>
    <n v="101"/>
    <s v="_x0000_US"/>
  </r>
  <r>
    <x v="0"/>
    <n v="13.6913"/>
    <n v="-89.235200000000006"/>
    <n v="9199.44"/>
    <n v="0"/>
    <n v="0"/>
    <n v="101"/>
    <s v="_x0000_US"/>
  </r>
  <r>
    <x v="0"/>
    <n v="13.690300000000001"/>
    <n v="-89.188500000000005"/>
    <n v="9200.73"/>
    <n v="0"/>
    <n v="0"/>
    <n v="101"/>
    <s v="_x0000_US"/>
  </r>
  <r>
    <x v="0"/>
    <n v="13.6775"/>
    <n v="-89.246200000000002"/>
    <n v="9200.92"/>
    <n v="0"/>
    <n v="0"/>
    <n v="101"/>
    <s v="_x0000_US"/>
  </r>
  <r>
    <x v="0"/>
    <n v="13.6911"/>
    <n v="-89.233000000000004"/>
    <n v="9201.56"/>
    <n v="0"/>
    <n v="0"/>
    <n v="101"/>
    <s v="_x0000_US"/>
  </r>
  <r>
    <x v="0"/>
    <n v="13.690799999999999"/>
    <n v="-89.1905"/>
    <n v="9202.52"/>
    <n v="0"/>
    <n v="0"/>
    <n v="101"/>
    <s v="_x0000_US"/>
  </r>
  <r>
    <x v="0"/>
    <n v="13.6914"/>
    <n v="-89.234800000000007"/>
    <n v="9202.69"/>
    <n v="0"/>
    <n v="0"/>
    <n v="101"/>
    <s v="_x0000_US"/>
  </r>
  <r>
    <x v="0"/>
    <n v="13.6853"/>
    <n v="-89.215599999999995"/>
    <n v="9203.34"/>
    <n v="0"/>
    <n v="0"/>
    <n v="101"/>
    <s v="_x0000_US"/>
  </r>
  <r>
    <x v="0"/>
    <n v="13.6945"/>
    <n v="-89.185500000000005"/>
    <n v="9203.7099999999991"/>
    <n v="0"/>
    <n v="0"/>
    <n v="101"/>
    <s v="_x0000_US"/>
  </r>
  <r>
    <x v="0"/>
    <n v="13.681100000000001"/>
    <n v="-89.195499999999996"/>
    <n v="9204.4599999999991"/>
    <n v="0"/>
    <n v="0"/>
    <n v="101"/>
    <s v="_x0000_US"/>
  </r>
  <r>
    <x v="0"/>
    <n v="13.686400000000001"/>
    <n v="-89.212900000000005"/>
    <n v="9204.65"/>
    <n v="0"/>
    <n v="0"/>
    <n v="101"/>
    <s v="_x0000_US"/>
  </r>
  <r>
    <x v="0"/>
    <n v="13.694599999999999"/>
    <n v="-89.185500000000005"/>
    <n v="9204.74"/>
    <n v="0"/>
    <n v="0"/>
    <n v="101"/>
    <s v="_x0000_US"/>
  </r>
  <r>
    <x v="0"/>
    <n v="13.6915"/>
    <n v="-89.226299999999995"/>
    <n v="9205.19"/>
    <n v="0"/>
    <n v="0"/>
    <n v="101"/>
    <s v="_x0000_US"/>
  </r>
  <r>
    <x v="0"/>
    <n v="13.6914"/>
    <n v="-89.2346"/>
    <n v="9206.76"/>
    <n v="0"/>
    <n v="0"/>
    <n v="101"/>
    <s v="_x0000_US"/>
  </r>
  <r>
    <x v="0"/>
    <n v="13.693300000000001"/>
    <n v="-89.176199999999994"/>
    <n v="9206.99"/>
    <n v="0"/>
    <n v="0"/>
    <n v="101"/>
    <s v="_x0000_US"/>
  </r>
  <r>
    <x v="0"/>
    <n v="13.6937"/>
    <n v="-89.1768"/>
    <n v="9206.99"/>
    <n v="0"/>
    <n v="0"/>
    <n v="101"/>
    <s v="_x0000_US"/>
  </r>
  <r>
    <x v="0"/>
    <n v="13.685"/>
    <n v="-89.212299999999999"/>
    <n v="9207.3700000000008"/>
    <n v="0"/>
    <n v="0"/>
    <n v="101"/>
    <s v="_x0000_US"/>
  </r>
  <r>
    <x v="0"/>
    <n v="13.6907"/>
    <n v="-89.234700000000004"/>
    <n v="9207.64"/>
    <n v="0"/>
    <n v="0"/>
    <n v="101"/>
    <s v="_x0000_US"/>
  </r>
  <r>
    <x v="0"/>
    <n v="13.6874"/>
    <n v="-89.194699999999997"/>
    <n v="9208.3799999999992"/>
    <n v="0"/>
    <n v="0"/>
    <n v="101"/>
    <s v="_x0000_US"/>
  </r>
  <r>
    <x v="0"/>
    <n v="13.686999999999999"/>
    <n v="-89.183499999999995"/>
    <n v="9208.61"/>
    <n v="0"/>
    <n v="0"/>
    <n v="101"/>
    <s v="_x0000_US"/>
  </r>
  <r>
    <x v="0"/>
    <n v="13.6874"/>
    <n v="-89.197299999999998"/>
    <n v="9209.01"/>
    <n v="0"/>
    <n v="0"/>
    <n v="101"/>
    <s v="_x0000_US"/>
  </r>
  <r>
    <x v="0"/>
    <n v="13.6744"/>
    <n v="-89.252200000000002"/>
    <n v="9209.02"/>
    <n v="0"/>
    <n v="0"/>
    <n v="101"/>
    <s v="_x0000_US"/>
  </r>
  <r>
    <x v="0"/>
    <n v="13.691599999999999"/>
    <n v="-89.226299999999995"/>
    <n v="9209.1299999999992"/>
    <n v="0"/>
    <n v="0"/>
    <n v="101"/>
    <s v="_x0000_US"/>
  </r>
  <r>
    <x v="0"/>
    <n v="13.6853"/>
    <n v="-89.202399999999997"/>
    <n v="9210.59"/>
    <n v="0"/>
    <n v="0"/>
    <n v="101"/>
    <s v="_x0000_US"/>
  </r>
  <r>
    <x v="0"/>
    <n v="13.6873"/>
    <n v="-89.211500000000001"/>
    <n v="9210.7199999999993"/>
    <n v="0"/>
    <n v="0"/>
    <n v="101"/>
    <s v="_x0000_US"/>
  </r>
  <r>
    <x v="0"/>
    <n v="13.6867"/>
    <n v="-89.191400000000002"/>
    <n v="9210.98"/>
    <n v="0"/>
    <n v="0"/>
    <n v="101"/>
    <s v="_x0000_US"/>
  </r>
  <r>
    <x v="0"/>
    <n v="13.692"/>
    <n v="-89.225700000000003"/>
    <n v="9211.34"/>
    <n v="0"/>
    <n v="0"/>
    <n v="101"/>
    <s v="_x0000_US"/>
  </r>
  <r>
    <x v="0"/>
    <n v="13.6952"/>
    <n v="-89.173500000000004"/>
    <n v="9211.7099999999991"/>
    <n v="0"/>
    <n v="0"/>
    <n v="101"/>
    <s v="_x0000_US"/>
  </r>
  <r>
    <x v="0"/>
    <n v="13.6919"/>
    <n v="-89.186899999999994"/>
    <n v="9212.15"/>
    <n v="0"/>
    <n v="0"/>
    <n v="101"/>
    <s v="_x0000_US"/>
  </r>
  <r>
    <x v="0"/>
    <n v="13.6892"/>
    <n v="-89.180199999999999"/>
    <n v="9212.39"/>
    <n v="0"/>
    <n v="0"/>
    <n v="101"/>
    <s v="_x0000_US"/>
  </r>
  <r>
    <x v="0"/>
    <n v="13.6745"/>
    <n v="-89.1995"/>
    <n v="9212.44"/>
    <n v="0"/>
    <n v="0"/>
    <n v="101"/>
    <s v="_x0000_US"/>
  </r>
  <r>
    <x v="0"/>
    <n v="13.692299999999999"/>
    <n v="-89.223699999999994"/>
    <n v="9213.17"/>
    <n v="0"/>
    <n v="0"/>
    <n v="101"/>
    <s v="_x0000_US"/>
  </r>
  <r>
    <x v="0"/>
    <n v="13.691599999999999"/>
    <n v="-89.179900000000004"/>
    <n v="9213.2999999999993"/>
    <n v="0"/>
    <n v="0"/>
    <n v="101"/>
    <s v="_x0000_US"/>
  </r>
  <r>
    <x v="0"/>
    <n v="13.6936"/>
    <n v="-89.176900000000003"/>
    <n v="9213.7900000000009"/>
    <n v="0"/>
    <n v="0"/>
    <n v="101"/>
    <s v="_x0000_US"/>
  </r>
  <r>
    <x v="0"/>
    <n v="13.6913"/>
    <n v="-89.226399999999998"/>
    <n v="9213.93"/>
    <n v="0"/>
    <n v="0"/>
    <n v="101"/>
    <s v="_x0000_US"/>
  </r>
  <r>
    <x v="0"/>
    <n v="13.687799999999999"/>
    <n v="-89.194599999999994"/>
    <n v="9214.2800000000007"/>
    <n v="0"/>
    <n v="0"/>
    <n v="101"/>
    <s v="_x0000_US"/>
  </r>
  <r>
    <x v="0"/>
    <n v="13.6869"/>
    <n v="-89.197400000000002"/>
    <n v="9214.58"/>
    <n v="0"/>
    <n v="0"/>
    <n v="101"/>
    <s v="_x0000_US"/>
  </r>
  <r>
    <x v="0"/>
    <n v="13.692299999999999"/>
    <n v="-89.186599999999999"/>
    <n v="9215.01"/>
    <n v="0"/>
    <n v="0"/>
    <n v="101"/>
    <s v="_x0000_US"/>
  </r>
  <r>
    <x v="0"/>
    <n v="13.691599999999999"/>
    <n v="-89.226799999999997"/>
    <n v="9215.43"/>
    <n v="0"/>
    <n v="0"/>
    <n v="101"/>
    <s v="_x0000_US"/>
  </r>
  <r>
    <x v="0"/>
    <n v="13.6898"/>
    <n v="-89.193899999999999"/>
    <n v="9216.35"/>
    <n v="0"/>
    <n v="0"/>
    <n v="101"/>
    <s v="_x0000_US"/>
  </r>
  <r>
    <x v="0"/>
    <n v="13.6913"/>
    <n v="-89.228899999999996"/>
    <n v="9216.5"/>
    <n v="0"/>
    <n v="0"/>
    <n v="101"/>
    <s v="_x0000_US"/>
  </r>
  <r>
    <x v="0"/>
    <n v="13.692299999999999"/>
    <n v="-89.189700000000002"/>
    <n v="9217.07"/>
    <n v="0"/>
    <n v="0"/>
    <n v="101"/>
    <s v="_x0000_US"/>
  </r>
  <r>
    <x v="0"/>
    <n v="13.6883"/>
    <n v="-89.19"/>
    <n v="9217.33"/>
    <n v="0"/>
    <n v="0"/>
    <n v="101"/>
    <s v="_x0000_US"/>
  </r>
  <r>
    <x v="0"/>
    <n v="13.6858"/>
    <n v="-89.215199999999996"/>
    <n v="9217.44"/>
    <n v="0"/>
    <n v="0"/>
    <n v="101"/>
    <s v="_x0000_US"/>
  </r>
  <r>
    <x v="0"/>
    <n v="13.686999999999999"/>
    <n v="-89.194599999999994"/>
    <n v="9217.93"/>
    <n v="0"/>
    <n v="0"/>
    <n v="101"/>
    <s v="_x0000_US"/>
  </r>
  <r>
    <x v="0"/>
    <n v="13.694900000000001"/>
    <n v="-89.171700000000001"/>
    <n v="9217.9599999999991"/>
    <n v="0"/>
    <n v="0"/>
    <n v="101"/>
    <s v="_x0000_US"/>
  </r>
  <r>
    <x v="0"/>
    <n v="13.6897"/>
    <n v="-89.190399999999997"/>
    <n v="9218.06"/>
    <n v="0"/>
    <n v="0"/>
    <n v="101"/>
    <s v="_x0000_US"/>
  </r>
  <r>
    <x v="0"/>
    <n v="13.6875"/>
    <n v="-89.216700000000003"/>
    <n v="9218.31"/>
    <n v="0"/>
    <n v="0"/>
    <n v="101"/>
    <s v="_x0000_US"/>
  </r>
  <r>
    <x v="0"/>
    <n v="13.6896"/>
    <n v="-89.188900000000004"/>
    <n v="9219.11"/>
    <n v="0"/>
    <n v="0"/>
    <n v="101"/>
    <s v="_x0000_US"/>
  </r>
  <r>
    <x v="0"/>
    <n v="13.687099999999999"/>
    <n v="-89.215900000000005"/>
    <n v="9219.24"/>
    <n v="0"/>
    <n v="0"/>
    <n v="101"/>
    <s v="_x0000_US"/>
  </r>
  <r>
    <x v="0"/>
    <n v="13.6873"/>
    <n v="-89.2166"/>
    <n v="9220.14"/>
    <n v="0"/>
    <n v="0"/>
    <n v="101"/>
    <s v="_x0000_US"/>
  </r>
  <r>
    <x v="0"/>
    <n v="13.685600000000001"/>
    <n v="-89.212900000000005"/>
    <n v="9220.4599999999991"/>
    <n v="0"/>
    <n v="0"/>
    <n v="101"/>
    <s v="_x0000_US"/>
  </r>
  <r>
    <x v="0"/>
    <n v="13.6747"/>
    <n v="-89.252099999999999"/>
    <n v="9220.4599999999991"/>
    <n v="0"/>
    <n v="0"/>
    <n v="101"/>
    <s v="_x0000_US"/>
  </r>
  <r>
    <x v="0"/>
    <n v="13.69"/>
    <n v="-89.1845"/>
    <n v="9220.99"/>
    <n v="0"/>
    <n v="0"/>
    <n v="101"/>
    <s v="_x0000_US"/>
  </r>
  <r>
    <x v="0"/>
    <n v="13.6968"/>
    <n v="-89.171300000000002"/>
    <n v="9221.11"/>
    <n v="0"/>
    <n v="0"/>
    <n v="101"/>
    <s v="_x0000_US"/>
  </r>
  <r>
    <x v="0"/>
    <n v="13.691000000000001"/>
    <n v="-89.232900000000001"/>
    <n v="9221.18"/>
    <n v="0"/>
    <n v="0"/>
    <n v="101"/>
    <s v="_x0000_US"/>
  </r>
  <r>
    <x v="0"/>
    <n v="13.6927"/>
    <n v="-89.178399999999996"/>
    <n v="9221.25"/>
    <n v="0"/>
    <n v="0"/>
    <n v="101"/>
    <s v="_x0000_US"/>
  </r>
  <r>
    <x v="0"/>
    <n v="13.6915"/>
    <n v="-89.185199999999995"/>
    <n v="9222.66"/>
    <n v="0"/>
    <n v="0"/>
    <n v="101"/>
    <s v="_x0000_US"/>
  </r>
  <r>
    <x v="0"/>
    <n v="13.6859"/>
    <n v="-89.211699999999993"/>
    <n v="9223.2099999999991"/>
    <n v="0"/>
    <n v="0"/>
    <n v="101"/>
    <s v="_x0000_US"/>
  </r>
  <r>
    <x v="0"/>
    <n v="13.6873"/>
    <n v="-89.182599999999994"/>
    <n v="9223.57"/>
    <n v="0"/>
    <n v="0"/>
    <n v="101"/>
    <s v="_x0000_US"/>
  </r>
  <r>
    <x v="0"/>
    <n v="13.6914"/>
    <n v="-89.233199999999997"/>
    <n v="9223.59"/>
    <n v="0"/>
    <n v="0"/>
    <n v="101"/>
    <s v="_x0000_US"/>
  </r>
  <r>
    <x v="0"/>
    <n v="13.674899999999999"/>
    <n v="-89.251800000000003"/>
    <n v="9224.0499999999993"/>
    <n v="0"/>
    <n v="0"/>
    <n v="101"/>
    <s v="_x0000_US"/>
  </r>
  <r>
    <x v="0"/>
    <n v="13.687799999999999"/>
    <n v="-89.1815"/>
    <n v="9224.09"/>
    <n v="0"/>
    <n v="0"/>
    <n v="101"/>
    <s v="_x0000_US"/>
  </r>
  <r>
    <x v="0"/>
    <n v="13.691000000000001"/>
    <n v="-89.229200000000006"/>
    <n v="9224.57"/>
    <n v="0"/>
    <n v="0"/>
    <n v="101"/>
    <s v="_x0000_US"/>
  </r>
  <r>
    <x v="0"/>
    <n v="13.690899999999999"/>
    <n v="-89.229399999999998"/>
    <n v="9225.0499999999993"/>
    <n v="0"/>
    <n v="0"/>
    <n v="101"/>
    <s v="_x0000_US"/>
  </r>
  <r>
    <x v="0"/>
    <n v="13.6942"/>
    <n v="-89.190200000000004"/>
    <n v="9225.34"/>
    <n v="0"/>
    <n v="0"/>
    <n v="101"/>
    <s v="_x0000_US"/>
  </r>
  <r>
    <x v="0"/>
    <n v="13.6935"/>
    <n v="-89.188800000000001"/>
    <n v="9226.02"/>
    <n v="0"/>
    <n v="0"/>
    <n v="101"/>
    <s v="_x0000_US"/>
  </r>
  <r>
    <x v="0"/>
    <n v="13.6892"/>
    <n v="-89.229200000000006"/>
    <n v="9226.2099999999991"/>
    <n v="0"/>
    <n v="0"/>
    <n v="101"/>
    <s v="_x0000_US"/>
  </r>
  <r>
    <x v="0"/>
    <n v="13.6907"/>
    <n v="-89.186700000000002"/>
    <n v="9226.74"/>
    <n v="0"/>
    <n v="0"/>
    <n v="101"/>
    <s v="_x0000_US"/>
  </r>
  <r>
    <x v="0"/>
    <n v="13.6929"/>
    <n v="-89.1768"/>
    <n v="9226.92"/>
    <n v="0"/>
    <n v="0"/>
    <n v="101"/>
    <s v="_x0000_US"/>
  </r>
  <r>
    <x v="0"/>
    <n v="13.6914"/>
    <n v="-89.193299999999994"/>
    <n v="9227.24"/>
    <n v="0"/>
    <n v="0"/>
    <n v="101"/>
    <s v="_x0000_US"/>
  </r>
  <r>
    <x v="0"/>
    <n v="13.684200000000001"/>
    <n v="-89.216399999999993"/>
    <n v="9227.7099999999991"/>
    <n v="0"/>
    <n v="0"/>
    <n v="101"/>
    <s v="_x0000_US"/>
  </r>
  <r>
    <x v="0"/>
    <n v="13.685700000000001"/>
    <n v="-89.193899999999999"/>
    <n v="9228.43"/>
    <n v="0"/>
    <n v="0"/>
    <n v="101"/>
    <s v="_x0000_US"/>
  </r>
  <r>
    <x v="0"/>
    <n v="13.6777"/>
    <n v="-89.247500000000002"/>
    <n v="9228.43"/>
    <n v="0"/>
    <n v="0"/>
    <n v="101"/>
    <s v="_x0000_US"/>
  </r>
  <r>
    <x v="0"/>
    <n v="13.6721"/>
    <n v="-89.203800000000001"/>
    <n v="9228.68"/>
    <n v="0"/>
    <n v="0"/>
    <n v="101"/>
    <s v="_x0000_US"/>
  </r>
  <r>
    <x v="0"/>
    <n v="13.6882"/>
    <n v="-89.217100000000002"/>
    <n v="9230.07"/>
    <n v="0"/>
    <n v="0"/>
    <n v="101"/>
    <s v="_x0000_US"/>
  </r>
  <r>
    <x v="0"/>
    <n v="13.6911"/>
    <n v="-89.2333"/>
    <n v="9230.82"/>
    <n v="0"/>
    <n v="0"/>
    <n v="101"/>
    <s v="_x0000_US"/>
  </r>
  <r>
    <x v="0"/>
    <n v="13.6912"/>
    <n v="-89.220399999999998"/>
    <n v="9231.7800000000007"/>
    <n v="0"/>
    <n v="0"/>
    <n v="101"/>
    <s v="_x0000_US"/>
  </r>
  <r>
    <x v="0"/>
    <n v="13.693"/>
    <n v="-89.176299999999998"/>
    <n v="9232.18"/>
    <n v="0"/>
    <n v="0"/>
    <n v="101"/>
    <s v="_x0000_US"/>
  </r>
  <r>
    <x v="0"/>
    <n v="13.696099999999999"/>
    <n v="-89.172899999999998"/>
    <n v="9232.2900000000009"/>
    <n v="0"/>
    <n v="0"/>
    <n v="101"/>
    <s v="_x0000_US"/>
  </r>
  <r>
    <x v="0"/>
    <n v="13.690799999999999"/>
    <n v="-89.195300000000003"/>
    <n v="9233.69"/>
    <n v="0"/>
    <n v="0"/>
    <n v="101"/>
    <s v="_x0000_US"/>
  </r>
  <r>
    <x v="0"/>
    <n v="13.6897"/>
    <n v="-89.194000000000003"/>
    <n v="9233.7800000000007"/>
    <n v="0"/>
    <n v="0"/>
    <n v="101"/>
    <s v="_x0000_US"/>
  </r>
  <r>
    <x v="0"/>
    <n v="13.675599999999999"/>
    <n v="-89.247500000000002"/>
    <n v="9234.39"/>
    <n v="0"/>
    <n v="0"/>
    <n v="101"/>
    <s v="_x0000_US"/>
  </r>
  <r>
    <x v="0"/>
    <n v="13.685600000000001"/>
    <n v="-89.193899999999999"/>
    <n v="9234.7999999999993"/>
    <n v="0"/>
    <n v="0"/>
    <n v="101"/>
    <s v="_x0000_US"/>
  </r>
  <r>
    <x v="0"/>
    <n v="13.687200000000001"/>
    <n v="-89.194500000000005"/>
    <n v="9234.92"/>
    <n v="0"/>
    <n v="0"/>
    <n v="101"/>
    <s v="_x0000_US"/>
  </r>
  <r>
    <x v="0"/>
    <n v="13.6874"/>
    <n v="-89.183899999999994"/>
    <n v="9235.19"/>
    <n v="0"/>
    <n v="0"/>
    <n v="101"/>
    <s v="_x0000_US"/>
  </r>
  <r>
    <x v="0"/>
    <n v="13.6921"/>
    <n v="-89.222399999999993"/>
    <n v="9235.49"/>
    <n v="0"/>
    <n v="0"/>
    <n v="101"/>
    <s v="_x0000_US"/>
  </r>
  <r>
    <x v="0"/>
    <n v="13.684900000000001"/>
    <n v="-89.217100000000002"/>
    <n v="9235.85"/>
    <n v="0"/>
    <n v="0"/>
    <n v="101"/>
    <s v="_x0000_US"/>
  </r>
  <r>
    <x v="0"/>
    <n v="13.6914"/>
    <n v="-89.233599999999996"/>
    <n v="9235.92"/>
    <n v="0"/>
    <n v="0"/>
    <n v="101"/>
    <s v="_x0000_US"/>
  </r>
  <r>
    <x v="0"/>
    <n v="13.6876"/>
    <n v="-89.194699999999997"/>
    <n v="9235.9699999999993"/>
    <n v="0"/>
    <n v="0"/>
    <n v="101"/>
    <s v="_x0000_US"/>
  </r>
  <r>
    <x v="0"/>
    <n v="13.691000000000001"/>
    <n v="-89.233900000000006"/>
    <n v="9236.0300000000007"/>
    <n v="0"/>
    <n v="0"/>
    <n v="101"/>
    <s v="_x0000_US"/>
  </r>
  <r>
    <x v="0"/>
    <n v="13.6944"/>
    <n v="-89.188900000000004"/>
    <n v="9236.25"/>
    <n v="0"/>
    <n v="0"/>
    <n v="101"/>
    <s v="_x0000_US"/>
  </r>
  <r>
    <x v="0"/>
    <n v="13.6881"/>
    <n v="-89.180599999999998"/>
    <n v="9236.59"/>
    <n v="0"/>
    <n v="0"/>
    <n v="101"/>
    <s v="_x0000_US"/>
  </r>
  <r>
    <x v="0"/>
    <n v="13.6912"/>
    <n v="-89.229900000000001"/>
    <n v="9237.56"/>
    <n v="0"/>
    <n v="0"/>
    <n v="101"/>
    <s v="_x0000_US"/>
  </r>
  <r>
    <x v="0"/>
    <n v="13.6914"/>
    <n v="-89.189499999999995"/>
    <n v="9239.2800000000007"/>
    <n v="0"/>
    <n v="0"/>
    <n v="101"/>
    <s v="_x0000_US"/>
  </r>
  <r>
    <x v="0"/>
    <n v="13.6921"/>
    <n v="-89.193799999999996"/>
    <n v="9239.52"/>
    <n v="0"/>
    <n v="0"/>
    <n v="101"/>
    <s v="_x0000_US"/>
  </r>
  <r>
    <x v="0"/>
    <n v="13.686500000000001"/>
    <n v="-89.193100000000001"/>
    <n v="9239.69"/>
    <n v="0"/>
    <n v="0"/>
    <n v="101"/>
    <s v="_x0000_US"/>
  </r>
  <r>
    <x v="0"/>
    <n v="13.687799999999999"/>
    <n v="-89.179699999999997"/>
    <n v="9239.7099999999991"/>
    <n v="0"/>
    <n v="0"/>
    <n v="101"/>
    <s v="_x0000_US"/>
  </r>
  <r>
    <x v="0"/>
    <n v="13.6951"/>
    <n v="-89.1828"/>
    <n v="9239.8700000000008"/>
    <n v="0"/>
    <n v="0"/>
    <n v="101"/>
    <s v="_x0000_US"/>
  </r>
  <r>
    <x v="0"/>
    <n v="13.690899999999999"/>
    <n v="-89.190399999999997"/>
    <n v="9240.01"/>
    <n v="0"/>
    <n v="0"/>
    <n v="101"/>
    <s v="_x0000_US"/>
  </r>
  <r>
    <x v="0"/>
    <n v="13.6912"/>
    <n v="-89.178600000000003"/>
    <n v="9240.32"/>
    <n v="0"/>
    <n v="0"/>
    <n v="101"/>
    <s v="_x0000_US"/>
  </r>
  <r>
    <x v="0"/>
    <n v="13.691800000000001"/>
    <n v="-89.194400000000002"/>
    <n v="9240.5300000000007"/>
    <n v="0"/>
    <n v="0"/>
    <n v="101"/>
    <s v="_x0000_US"/>
  </r>
  <r>
    <x v="0"/>
    <n v="13.692299999999999"/>
    <n v="-89.185000000000002"/>
    <n v="9240.85"/>
    <n v="0"/>
    <n v="0"/>
    <n v="101"/>
    <s v="_x0000_US"/>
  </r>
  <r>
    <x v="0"/>
    <n v="13.6928"/>
    <n v="-89.179199999999994"/>
    <n v="9241.19"/>
    <n v="0"/>
    <n v="0"/>
    <n v="101"/>
    <s v="_x0000_US"/>
  </r>
  <r>
    <x v="0"/>
    <n v="13.692500000000001"/>
    <n v="-89.175899999999999"/>
    <n v="9241.5"/>
    <n v="0"/>
    <n v="0"/>
    <n v="101"/>
    <s v="_x0000_US"/>
  </r>
  <r>
    <x v="0"/>
    <n v="13.686999999999999"/>
    <n v="-89.216800000000006"/>
    <n v="9242.35"/>
    <n v="0"/>
    <n v="0"/>
    <n v="101"/>
    <s v="_x0000_US"/>
  </r>
  <r>
    <x v="0"/>
    <n v="13.6912"/>
    <n v="-89.234800000000007"/>
    <n v="9242.36"/>
    <n v="0"/>
    <n v="0"/>
    <n v="101"/>
    <s v="_x0000_US"/>
  </r>
  <r>
    <x v="0"/>
    <n v="13.6858"/>
    <n v="-89.194100000000006"/>
    <n v="9243.61"/>
    <n v="0"/>
    <n v="0"/>
    <n v="101"/>
    <s v="_x0000_US"/>
  </r>
  <r>
    <x v="0"/>
    <n v="13.6882"/>
    <n v="-89.216899999999995"/>
    <n v="9243.61"/>
    <n v="0"/>
    <n v="0"/>
    <n v="101"/>
    <s v="_x0000_US"/>
  </r>
  <r>
    <x v="0"/>
    <n v="13.692500000000001"/>
    <n v="-89.224199999999996"/>
    <n v="9244.51"/>
    <n v="0"/>
    <n v="0"/>
    <n v="101"/>
    <s v="_x0000_US"/>
  </r>
  <r>
    <x v="0"/>
    <n v="13.690200000000001"/>
    <n v="-89.185000000000002"/>
    <n v="9245.68"/>
    <n v="0"/>
    <n v="0"/>
    <n v="101"/>
    <s v="_x0000_US"/>
  </r>
  <r>
    <x v="0"/>
    <n v="13.690099999999999"/>
    <n v="-89.1905"/>
    <n v="9246.06"/>
    <n v="0"/>
    <n v="0"/>
    <n v="101"/>
    <s v="_x0000_US"/>
  </r>
  <r>
    <x v="0"/>
    <n v="13.6936"/>
    <n v="-89.183400000000006"/>
    <n v="9247.1"/>
    <n v="0"/>
    <n v="0"/>
    <n v="101"/>
    <s v="_x0000_US"/>
  </r>
  <r>
    <x v="0"/>
    <n v="13.686500000000001"/>
    <n v="-89.2119"/>
    <n v="9247.11"/>
    <n v="0"/>
    <n v="0"/>
    <n v="101"/>
    <s v="_x0000_US"/>
  </r>
  <r>
    <x v="0"/>
    <n v="13.6891"/>
    <n v="-89.211399999999998"/>
    <n v="9247.11"/>
    <n v="0"/>
    <n v="0"/>
    <n v="101"/>
    <s v="_x0000_US"/>
  </r>
  <r>
    <x v="0"/>
    <n v="13.6867"/>
    <n v="-89.181399999999996"/>
    <n v="9247.35"/>
    <n v="0"/>
    <n v="0"/>
    <n v="101"/>
    <s v="_x0000_US"/>
  </r>
  <r>
    <x v="0"/>
    <n v="13.690300000000001"/>
    <n v="-89.181299999999993"/>
    <n v="9247.56"/>
    <n v="0"/>
    <n v="0"/>
    <n v="101"/>
    <s v="_x0000_US"/>
  </r>
  <r>
    <x v="0"/>
    <n v="13.674300000000001"/>
    <n v="-89.202299999999994"/>
    <n v="9247.56"/>
    <n v="0"/>
    <n v="0"/>
    <n v="101"/>
    <s v="_x0000_US"/>
  </r>
  <r>
    <x v="0"/>
    <n v="13.691599999999999"/>
    <n v="-89.232900000000001"/>
    <n v="9247.7099999999991"/>
    <n v="0"/>
    <n v="0"/>
    <n v="101"/>
    <s v="_x0000_US"/>
  </r>
  <r>
    <x v="0"/>
    <n v="13.689299999999999"/>
    <n v="-89.206000000000003"/>
    <n v="9248.65"/>
    <n v="0"/>
    <n v="0"/>
    <n v="101"/>
    <s v="_x0000_US"/>
  </r>
  <r>
    <x v="0"/>
    <n v="13.6892"/>
    <n v="-89.184799999999996"/>
    <n v="9249.1299999999992"/>
    <n v="0"/>
    <n v="0"/>
    <n v="101"/>
    <s v="_x0000_US"/>
  </r>
  <r>
    <x v="0"/>
    <n v="13.694900000000001"/>
    <n v="-89.175399999999996"/>
    <n v="9249.15"/>
    <n v="0"/>
    <n v="0"/>
    <n v="101"/>
    <s v="_x0000_US"/>
  </r>
  <r>
    <x v="0"/>
    <n v="13.6922"/>
    <n v="-89.174999999999997"/>
    <n v="9249.43"/>
    <n v="0"/>
    <n v="0"/>
    <n v="101"/>
    <s v="_x0000_US"/>
  </r>
  <r>
    <x v="0"/>
    <n v="13.693099999999999"/>
    <n v="-89.189700000000002"/>
    <n v="9250.08"/>
    <n v="0"/>
    <n v="0"/>
    <n v="101"/>
    <s v="_x0000_US"/>
  </r>
  <r>
    <x v="0"/>
    <n v="13.6953"/>
    <n v="-89.173900000000003"/>
    <n v="9250.1"/>
    <n v="0"/>
    <n v="0"/>
    <n v="101"/>
    <s v="_x0000_US"/>
  </r>
  <r>
    <x v="0"/>
    <n v="13.6953"/>
    <n v="-89.174000000000007"/>
    <n v="9250.1200000000008"/>
    <n v="0"/>
    <n v="0"/>
    <n v="101"/>
    <s v="_x0000_US"/>
  </r>
  <r>
    <x v="0"/>
    <n v="13.696"/>
    <n v="-89.172300000000007"/>
    <n v="9251.85"/>
    <n v="0"/>
    <n v="0"/>
    <n v="101"/>
    <s v="_x0000_US"/>
  </r>
  <r>
    <x v="0"/>
    <n v="13.6874"/>
    <n v="-89.181799999999996"/>
    <n v="9252.2099999999991"/>
    <n v="0"/>
    <n v="0"/>
    <n v="101"/>
    <s v="_x0000_US"/>
  </r>
  <r>
    <x v="0"/>
    <n v="13.6874"/>
    <n v="-89.194400000000002"/>
    <n v="9252.49"/>
    <n v="0"/>
    <n v="0"/>
    <n v="101"/>
    <s v="_x0000_US"/>
  </r>
  <r>
    <x v="0"/>
    <n v="13.6874"/>
    <n v="-89.193799999999996"/>
    <n v="9252.5300000000007"/>
    <n v="0"/>
    <n v="0"/>
    <n v="101"/>
    <s v="_x0000_US"/>
  </r>
  <r>
    <x v="0"/>
    <n v="13.692500000000001"/>
    <n v="-89.186400000000006"/>
    <n v="9253.08"/>
    <n v="0"/>
    <n v="0"/>
    <n v="101"/>
    <s v="_x0000_US"/>
  </r>
  <r>
    <x v="0"/>
    <n v="13.6883"/>
    <n v="-89.1982"/>
    <n v="9254.16"/>
    <n v="0"/>
    <n v="0"/>
    <n v="101"/>
    <s v="_x0000_US"/>
  </r>
  <r>
    <x v="0"/>
    <n v="13.6897"/>
    <n v="-89.185500000000005"/>
    <n v="9254.35"/>
    <n v="0"/>
    <n v="0"/>
    <n v="101"/>
    <s v="_x0000_US"/>
  </r>
  <r>
    <x v="0"/>
    <n v="13.687200000000001"/>
    <n v="-89.194599999999994"/>
    <n v="9254.4699999999993"/>
    <n v="0"/>
    <n v="0"/>
    <n v="101"/>
    <s v="_x0000_US"/>
  </r>
  <r>
    <x v="0"/>
    <n v="13.6911"/>
    <n v="-89.234499999999997"/>
    <n v="9255.16"/>
    <n v="0"/>
    <n v="0"/>
    <n v="101"/>
    <s v="_x0000_US"/>
  </r>
  <r>
    <x v="0"/>
    <n v="13.6915"/>
    <n v="-89.234499999999997"/>
    <n v="9256.27"/>
    <n v="0"/>
    <n v="0"/>
    <n v="101"/>
    <s v="_x0000_US"/>
  </r>
  <r>
    <x v="0"/>
    <n v="13.684699999999999"/>
    <n v="-89.213399999999993"/>
    <n v="9257.2099999999991"/>
    <n v="0"/>
    <n v="0"/>
    <n v="101"/>
    <s v="_x0000_US"/>
  </r>
  <r>
    <x v="0"/>
    <n v="13.693899999999999"/>
    <n v="-89.175600000000003"/>
    <n v="9258.44"/>
    <n v="0"/>
    <n v="0"/>
    <n v="101"/>
    <s v="_x0000_US"/>
  </r>
  <r>
    <x v="0"/>
    <n v="13.6911"/>
    <n v="-89.229600000000005"/>
    <n v="9258.5499999999993"/>
    <n v="0"/>
    <n v="0"/>
    <n v="101"/>
    <s v="_x0000_US"/>
  </r>
  <r>
    <x v="0"/>
    <n v="13.6907"/>
    <n v="-89.194199999999995"/>
    <n v="9258.91"/>
    <n v="0"/>
    <n v="0"/>
    <n v="101"/>
    <s v="_x0000_US"/>
  </r>
  <r>
    <x v="0"/>
    <n v="13.6852"/>
    <n v="-89.211200000000005"/>
    <n v="9259.2099999999991"/>
    <n v="0"/>
    <n v="0"/>
    <n v="101"/>
    <s v="_x0000_US"/>
  </r>
  <r>
    <x v="0"/>
    <n v="13.6883"/>
    <n v="-89.182400000000001"/>
    <n v="9259.2900000000009"/>
    <n v="0"/>
    <n v="0"/>
    <n v="101"/>
    <s v="_x0000_US"/>
  </r>
  <r>
    <x v="0"/>
    <n v="13.6911"/>
    <n v="-89.234899999999996"/>
    <n v="9259.5"/>
    <n v="0"/>
    <n v="0"/>
    <n v="101"/>
    <s v="_x0000_US"/>
  </r>
  <r>
    <x v="0"/>
    <n v="13.6854"/>
    <n v="-89.201499999999996"/>
    <n v="9259.51"/>
    <n v="0"/>
    <n v="0"/>
    <n v="101"/>
    <s v="_x0000_US"/>
  </r>
  <r>
    <x v="0"/>
    <n v="13.690799999999999"/>
    <n v="-89.194900000000004"/>
    <n v="9260.07"/>
    <n v="0"/>
    <n v="0"/>
    <n v="101"/>
    <s v="_x0000_US"/>
  </r>
  <r>
    <x v="0"/>
    <n v="13.6928"/>
    <n v="-89.224699999999999"/>
    <n v="9260.24"/>
    <n v="0"/>
    <n v="0"/>
    <n v="101"/>
    <s v="_x0000_US"/>
  </r>
  <r>
    <x v="0"/>
    <n v="13.6882"/>
    <n v="-89.1828"/>
    <n v="9260.27"/>
    <n v="0"/>
    <n v="0"/>
    <n v="101"/>
    <s v="_x0000_US"/>
  </r>
  <r>
    <x v="0"/>
    <n v="13.693099999999999"/>
    <n v="-89.1858"/>
    <n v="9260.74"/>
    <n v="0"/>
    <n v="0"/>
    <n v="101"/>
    <s v="_x0000_US"/>
  </r>
  <r>
    <x v="0"/>
    <n v="13.692"/>
    <n v="-89.194400000000002"/>
    <n v="9260.76"/>
    <n v="0"/>
    <n v="0"/>
    <n v="101"/>
    <s v="_x0000_US"/>
  </r>
  <r>
    <x v="0"/>
    <n v="13.6875"/>
    <n v="-89.196600000000004"/>
    <n v="9260.9500000000007"/>
    <n v="0"/>
    <n v="0"/>
    <n v="101"/>
    <s v="_x0000_US"/>
  </r>
  <r>
    <x v="0"/>
    <n v="13.685700000000001"/>
    <n v="-89.211600000000004"/>
    <n v="9261.08"/>
    <n v="0"/>
    <n v="0"/>
    <n v="101"/>
    <s v="_x0000_US"/>
  </r>
  <r>
    <x v="0"/>
    <n v="13.6953"/>
    <n v="-89.173500000000004"/>
    <n v="9261.7099999999991"/>
    <n v="0"/>
    <n v="0"/>
    <n v="101"/>
    <s v="_x0000_US"/>
  </r>
  <r>
    <x v="0"/>
    <n v="13.6915"/>
    <n v="-89.232500000000002"/>
    <n v="9261.73"/>
    <n v="0"/>
    <n v="0"/>
    <n v="101"/>
    <s v="_x0000_US"/>
  </r>
  <r>
    <x v="0"/>
    <n v="13.690300000000001"/>
    <n v="-89.235699999999994"/>
    <n v="9261.83"/>
    <n v="0"/>
    <n v="0"/>
    <n v="101"/>
    <s v="_x0000_US"/>
  </r>
  <r>
    <x v="0"/>
    <n v="13.6952"/>
    <n v="-89.1721"/>
    <n v="9262.33"/>
    <n v="0"/>
    <n v="0"/>
    <n v="101"/>
    <s v="_x0000_US"/>
  </r>
  <r>
    <x v="0"/>
    <n v="13.691000000000001"/>
    <n v="-89.228899999999996"/>
    <n v="9262.48"/>
    <n v="0"/>
    <n v="0"/>
    <n v="101"/>
    <s v="_x0000_US"/>
  </r>
  <r>
    <x v="0"/>
    <n v="13.6799"/>
    <n v="-89.195899999999995"/>
    <n v="9262.76"/>
    <n v="0"/>
    <n v="0"/>
    <n v="101"/>
    <s v="_x0000_US"/>
  </r>
  <r>
    <x v="0"/>
    <n v="13.6944"/>
    <n v="-89.183099999999996"/>
    <n v="9263.98"/>
    <n v="0"/>
    <n v="0"/>
    <n v="101"/>
    <s v="_x0000_US"/>
  </r>
  <r>
    <x v="0"/>
    <n v="13.6744"/>
    <n v="-89.251999999999995"/>
    <n v="9264.42"/>
    <n v="0"/>
    <n v="0"/>
    <n v="101"/>
    <s v="_x0000_US"/>
  </r>
  <r>
    <x v="0"/>
    <n v="13.6896"/>
    <n v="-89.216300000000004"/>
    <n v="9265.07"/>
    <n v="0"/>
    <n v="0"/>
    <n v="101"/>
    <s v="_x0000_US"/>
  </r>
  <r>
    <x v="0"/>
    <n v="13.6873"/>
    <n v="-89.196299999999994"/>
    <n v="9265.66"/>
    <n v="0"/>
    <n v="0"/>
    <n v="101"/>
    <s v="_x0000_US"/>
  </r>
  <r>
    <x v="0"/>
    <n v="13.6919"/>
    <n v="-89.225099999999998"/>
    <n v="9266.4500000000007"/>
    <n v="0"/>
    <n v="0"/>
    <n v="101"/>
    <s v="_x0000_US"/>
  </r>
  <r>
    <x v="0"/>
    <n v="13.6968"/>
    <n v="-89.171999999999997"/>
    <n v="9266.7000000000007"/>
    <n v="0"/>
    <n v="0"/>
    <n v="101"/>
    <s v="_x0000_US"/>
  </r>
  <r>
    <x v="0"/>
    <n v="13.690899999999999"/>
    <n v="-89.2196"/>
    <n v="9267.06"/>
    <n v="0"/>
    <n v="0"/>
    <n v="101"/>
    <s v="_x0000_US"/>
  </r>
  <r>
    <x v="0"/>
    <n v="13.692"/>
    <n v="-89.196200000000005"/>
    <n v="9267.66"/>
    <n v="0"/>
    <n v="0"/>
    <n v="101"/>
    <s v="_x0000_US"/>
  </r>
  <r>
    <x v="0"/>
    <n v="13.6914"/>
    <n v="-89.188100000000006"/>
    <n v="9267.73"/>
    <n v="0"/>
    <n v="0"/>
    <n v="101"/>
    <s v="_x0000_US"/>
  </r>
  <r>
    <x v="0"/>
    <n v="13.6944"/>
    <n v="-89.174899999999994"/>
    <n v="9267.81"/>
    <n v="0"/>
    <n v="0"/>
    <n v="101"/>
    <s v="_x0000_US"/>
  </r>
  <r>
    <x v="0"/>
    <n v="13.6867"/>
    <n v="-89.213300000000004"/>
    <n v="9268.02"/>
    <n v="0"/>
    <n v="0"/>
    <n v="101"/>
    <s v="_x0000_US"/>
  </r>
  <r>
    <x v="0"/>
    <n v="13.687099999999999"/>
    <n v="-89.216800000000006"/>
    <n v="9268.24"/>
    <n v="0"/>
    <n v="0"/>
    <n v="101"/>
    <s v="_x0000_US"/>
  </r>
  <r>
    <x v="0"/>
    <n v="13.6911"/>
    <n v="-89.219099999999997"/>
    <n v="9268.31"/>
    <n v="0"/>
    <n v="0"/>
    <n v="101"/>
    <s v="_x0000_US"/>
  </r>
  <r>
    <x v="0"/>
    <n v="13.6914"/>
    <n v="-89.233699999999999"/>
    <n v="9268.4699999999993"/>
    <n v="0"/>
    <n v="0"/>
    <n v="101"/>
    <s v="_x0000_US"/>
  </r>
  <r>
    <x v="0"/>
    <n v="13.687799999999999"/>
    <n v="-89.215199999999996"/>
    <n v="9268.75"/>
    <n v="0"/>
    <n v="0"/>
    <n v="101"/>
    <s v="_x0000_US"/>
  </r>
  <r>
    <x v="0"/>
    <n v="13.6914"/>
    <n v="-89.233400000000003"/>
    <n v="9268.84"/>
    <n v="0"/>
    <n v="0"/>
    <n v="101"/>
    <s v="_x0000_US"/>
  </r>
  <r>
    <x v="0"/>
    <n v="13.6913"/>
    <n v="-89.234499999999997"/>
    <n v="9269.9599999999991"/>
    <n v="0"/>
    <n v="0"/>
    <n v="101"/>
    <s v="_x0000_US"/>
  </r>
  <r>
    <x v="0"/>
    <n v="13.6914"/>
    <n v="-89.226200000000006"/>
    <n v="9269.99"/>
    <n v="0"/>
    <n v="0"/>
    <n v="101"/>
    <s v="_x0000_US"/>
  </r>
  <r>
    <x v="0"/>
    <n v="13.6873"/>
    <n v="-89.194800000000001"/>
    <n v="9270.2999999999993"/>
    <n v="0"/>
    <n v="0"/>
    <n v="101"/>
    <s v="_x0000_US"/>
  </r>
  <r>
    <x v="0"/>
    <n v="13.690300000000001"/>
    <n v="-89.228399999999993"/>
    <n v="9270.35"/>
    <n v="0"/>
    <n v="0"/>
    <n v="101"/>
    <s v="_x0000_US"/>
  </r>
  <r>
    <x v="0"/>
    <n v="13.684699999999999"/>
    <n v="-89.216999999999999"/>
    <n v="9270.74"/>
    <n v="0"/>
    <n v="0"/>
    <n v="101"/>
    <s v="_x0000_US"/>
  </r>
  <r>
    <x v="0"/>
    <n v="13.6935"/>
    <n v="-89.192300000000003"/>
    <n v="9270.81"/>
    <n v="0"/>
    <n v="0"/>
    <n v="101"/>
    <s v="_x0000_US"/>
  </r>
  <r>
    <x v="0"/>
    <n v="13.6744"/>
    <n v="-89.199200000000005"/>
    <n v="9270.9"/>
    <n v="0"/>
    <n v="0"/>
    <n v="101"/>
    <s v="_x0000_US"/>
  </r>
  <r>
    <x v="0"/>
    <n v="13.6915"/>
    <n v="-89.232500000000002"/>
    <n v="9271.8799999999992"/>
    <n v="0"/>
    <n v="0"/>
    <n v="101"/>
    <s v="_x0000_US"/>
  </r>
  <r>
    <x v="0"/>
    <n v="13.6911"/>
    <n v="-89.183300000000003"/>
    <n v="9272.41"/>
    <n v="0"/>
    <n v="0"/>
    <n v="101"/>
    <s v="_x0000_US"/>
  </r>
  <r>
    <x v="0"/>
    <n v="13.686999999999999"/>
    <n v="-89.201999999999998"/>
    <n v="9272.4500000000007"/>
    <n v="0"/>
    <n v="0"/>
    <n v="101"/>
    <s v="_x0000_US"/>
  </r>
  <r>
    <x v="0"/>
    <n v="13.6915"/>
    <n v="-89.232900000000001"/>
    <n v="9273.44"/>
    <n v="0"/>
    <n v="0"/>
    <n v="101"/>
    <s v="_x0000_US"/>
  </r>
  <r>
    <x v="0"/>
    <n v="13.674799999999999"/>
    <n v="-89.251900000000006"/>
    <n v="9273.7900000000009"/>
    <n v="0"/>
    <n v="0"/>
    <n v="101"/>
    <s v="_x0000_US"/>
  </r>
  <r>
    <x v="0"/>
    <n v="13.69"/>
    <n v="-89.1798"/>
    <n v="9274.32"/>
    <n v="0"/>
    <n v="0"/>
    <n v="101"/>
    <s v="_x0000_US"/>
  </r>
  <r>
    <x v="0"/>
    <n v="13.690799999999999"/>
    <n v="-89.194500000000005"/>
    <n v="9275.68"/>
    <n v="0"/>
    <n v="0"/>
    <n v="101"/>
    <s v="_x0000_US"/>
  </r>
  <r>
    <x v="0"/>
    <n v="13.6744"/>
    <n v="-89.251800000000003"/>
    <n v="9276.41"/>
    <n v="0"/>
    <n v="0"/>
    <n v="101"/>
    <s v="_x0000_US"/>
  </r>
  <r>
    <x v="0"/>
    <n v="13.692299999999999"/>
    <n v="-89.184600000000003"/>
    <n v="9276.92"/>
    <n v="0"/>
    <n v="0"/>
    <n v="101"/>
    <s v="_x0000_US"/>
  </r>
  <r>
    <x v="0"/>
    <n v="13.696899999999999"/>
    <n v="-89.171899999999994"/>
    <n v="9277.17"/>
    <n v="0"/>
    <n v="0"/>
    <n v="101"/>
    <s v="_x0000_US"/>
  </r>
  <r>
    <x v="0"/>
    <n v="13.6851"/>
    <n v="-89.203500000000005"/>
    <n v="9277.93"/>
    <n v="0"/>
    <n v="0"/>
    <n v="101"/>
    <s v="_x0000_US"/>
  </r>
  <r>
    <x v="0"/>
    <n v="13.6904"/>
    <n v="-89.236099999999993"/>
    <n v="9278.16"/>
    <n v="0"/>
    <n v="0"/>
    <n v="101"/>
    <s v="_x0000_US"/>
  </r>
  <r>
    <x v="0"/>
    <n v="13.6889"/>
    <n v="-89.190399999999997"/>
    <n v="9278.33"/>
    <n v="0"/>
    <n v="0"/>
    <n v="101"/>
    <s v="_x0000_US"/>
  </r>
  <r>
    <x v="0"/>
    <n v="13.6875"/>
    <n v="-89.1922"/>
    <n v="9278.5499999999993"/>
    <n v="0"/>
    <n v="0"/>
    <n v="101"/>
    <s v="_x0000_US"/>
  </r>
  <r>
    <x v="0"/>
    <n v="13.6884"/>
    <n v="-89.204300000000003"/>
    <n v="9278.59"/>
    <n v="0"/>
    <n v="0"/>
    <n v="101"/>
    <s v="_x0000_US"/>
  </r>
  <r>
    <x v="0"/>
    <n v="13.6905"/>
    <n v="-89.188800000000001"/>
    <n v="9278.66"/>
    <n v="0"/>
    <n v="0"/>
    <n v="101"/>
    <s v="_x0000_US"/>
  </r>
  <r>
    <x v="0"/>
    <n v="13.6877"/>
    <n v="-89.217100000000002"/>
    <n v="9279.1"/>
    <n v="0"/>
    <n v="0"/>
    <n v="101"/>
    <s v="_x0000_US"/>
  </r>
  <r>
    <x v="0"/>
    <n v="13.690799999999999"/>
    <n v="-89.235900000000001"/>
    <n v="9279.2800000000007"/>
    <n v="0"/>
    <n v="0"/>
    <n v="101"/>
    <s v="_x0000_US"/>
  </r>
  <r>
    <x v="0"/>
    <n v="13.690099999999999"/>
    <n v="-89.184200000000004"/>
    <n v="9279.67"/>
    <n v="0"/>
    <n v="0"/>
    <n v="101"/>
    <s v="_x0000_US"/>
  </r>
  <r>
    <x v="0"/>
    <n v="13.687900000000001"/>
    <n v="-89.205100000000002"/>
    <n v="9280.36"/>
    <n v="0"/>
    <n v="0"/>
    <n v="101"/>
    <s v="_x0000_US"/>
  </r>
  <r>
    <x v="0"/>
    <n v="13.6897"/>
    <n v="-89.179500000000004"/>
    <n v="9280.41"/>
    <n v="0"/>
    <n v="0"/>
    <n v="101"/>
    <s v="_x0000_US"/>
  </r>
  <r>
    <x v="0"/>
    <n v="13.6731"/>
    <n v="-89.203999999999994"/>
    <n v="9281.07"/>
    <n v="0"/>
    <n v="0"/>
    <n v="101"/>
    <s v="_x0000_US"/>
  </r>
  <r>
    <x v="0"/>
    <n v="13.674099999999999"/>
    <n v="-89.2029"/>
    <n v="9281.25"/>
    <n v="0"/>
    <n v="0"/>
    <n v="101"/>
    <s v="_x0000_US"/>
  </r>
  <r>
    <x v="0"/>
    <n v="13.6919"/>
    <n v="-89.180199999999999"/>
    <n v="9282.0300000000007"/>
    <n v="0"/>
    <n v="0"/>
    <n v="101"/>
    <s v="_x0000_US"/>
  </r>
  <r>
    <x v="0"/>
    <n v="13.6915"/>
    <n v="-89.2346"/>
    <n v="9282.1"/>
    <n v="0"/>
    <n v="0"/>
    <n v="101"/>
    <s v="_x0000_US"/>
  </r>
  <r>
    <x v="0"/>
    <n v="13.6892"/>
    <n v="-89.178899999999999"/>
    <n v="9282.57"/>
    <n v="0"/>
    <n v="0"/>
    <n v="101"/>
    <s v="_x0000_US"/>
  </r>
  <r>
    <x v="0"/>
    <n v="13.687900000000001"/>
    <n v="-89.212100000000007"/>
    <n v="9282.75"/>
    <n v="0"/>
    <n v="0"/>
    <n v="101"/>
    <s v="_x0000_US"/>
  </r>
  <r>
    <x v="0"/>
    <n v="13.695399999999999"/>
    <n v="-89.173599999999993"/>
    <n v="9283.82"/>
    <n v="0"/>
    <n v="0"/>
    <n v="101"/>
    <s v="_x0000_US"/>
  </r>
  <r>
    <x v="0"/>
    <n v="13.686999999999999"/>
    <n v="-89.197400000000002"/>
    <n v="9284.35"/>
    <n v="0"/>
    <n v="0"/>
    <n v="101"/>
    <s v="_x0000_US"/>
  </r>
  <r>
    <x v="0"/>
    <n v="13.6919"/>
    <n v="-89.187799999999996"/>
    <n v="9284.59"/>
    <n v="0"/>
    <n v="0"/>
    <n v="101"/>
    <s v="_x0000_US"/>
  </r>
  <r>
    <x v="0"/>
    <n v="13.6951"/>
    <n v="-89.183099999999996"/>
    <n v="9284.85"/>
    <n v="0"/>
    <n v="0"/>
    <n v="101"/>
    <s v="_x0000_US"/>
  </r>
  <r>
    <x v="0"/>
    <n v="13.695399999999999"/>
    <n v="-89.1738"/>
    <n v="9285.08"/>
    <n v="0"/>
    <n v="0"/>
    <n v="101"/>
    <s v="_x0000_US"/>
  </r>
  <r>
    <x v="0"/>
    <n v="13.6875"/>
    <n v="-89.180199999999999"/>
    <n v="9285.34"/>
    <n v="0"/>
    <n v="0"/>
    <n v="101"/>
    <s v="_x0000_US"/>
  </r>
  <r>
    <x v="0"/>
    <n v="13.690099999999999"/>
    <n v="-89.190299999999993"/>
    <n v="9285.59"/>
    <n v="0"/>
    <n v="0"/>
    <n v="101"/>
    <s v="_x0000_US"/>
  </r>
  <r>
    <x v="0"/>
    <n v="13.694000000000001"/>
    <n v="-89.176199999999994"/>
    <n v="9286.7900000000009"/>
    <n v="0"/>
    <n v="0"/>
    <n v="101"/>
    <s v="_x0000_US"/>
  </r>
  <r>
    <x v="0"/>
    <n v="13.6846"/>
    <n v="-89.217100000000002"/>
    <n v="9286.83"/>
    <n v="0"/>
    <n v="0"/>
    <n v="101"/>
    <s v="_x0000_US"/>
  </r>
  <r>
    <x v="0"/>
    <n v="13.691700000000001"/>
    <n v="-89.220600000000005"/>
    <n v="9287.33"/>
    <n v="0"/>
    <n v="0"/>
    <n v="101"/>
    <s v="_x0000_US"/>
  </r>
  <r>
    <x v="0"/>
    <n v="13.674799999999999"/>
    <n v="-89.251800000000003"/>
    <n v="9287.39"/>
    <n v="0"/>
    <n v="0"/>
    <n v="101"/>
    <s v="_x0000_US"/>
  </r>
  <r>
    <x v="0"/>
    <n v="13.6881"/>
    <n v="-89.19"/>
    <n v="9287.59"/>
    <n v="0"/>
    <n v="0"/>
    <n v="101"/>
    <s v="_x0000_US"/>
  </r>
  <r>
    <x v="0"/>
    <n v="13.6927"/>
    <n v="-89.189499999999995"/>
    <n v="9288.16"/>
    <n v="0"/>
    <n v="0"/>
    <n v="101"/>
    <s v="_x0000_US"/>
  </r>
  <r>
    <x v="0"/>
    <n v="13.696"/>
    <n v="-89.166200000000003"/>
    <n v="9288.51"/>
    <n v="0"/>
    <n v="0"/>
    <n v="101"/>
    <s v="_x0000_US"/>
  </r>
  <r>
    <x v="0"/>
    <n v="13.6884"/>
    <n v="-89.190799999999996"/>
    <n v="9290.11"/>
    <n v="0"/>
    <n v="0"/>
    <n v="101"/>
    <s v="_x0000_US"/>
  </r>
  <r>
    <x v="0"/>
    <n v="13.6905"/>
    <n v="-89.227999999999994"/>
    <n v="9290.5"/>
    <n v="0"/>
    <n v="0"/>
    <n v="101"/>
    <s v="_x0000_US"/>
  </r>
  <r>
    <x v="0"/>
    <n v="13.686500000000001"/>
    <n v="-89.215699999999998"/>
    <n v="9290.5499999999993"/>
    <n v="0"/>
    <n v="0"/>
    <n v="101"/>
    <s v="_x0000_US"/>
  </r>
  <r>
    <x v="0"/>
    <n v="13.684799999999999"/>
    <n v="-89.216700000000003"/>
    <n v="9291.6299999999992"/>
    <n v="0"/>
    <n v="0"/>
    <n v="101"/>
    <s v="_x0000_US"/>
  </r>
  <r>
    <x v="0"/>
    <n v="13.6868"/>
    <n v="-89.215199999999996"/>
    <n v="9292.2800000000007"/>
    <n v="0"/>
    <n v="0"/>
    <n v="101"/>
    <s v="_x0000_US"/>
  </r>
  <r>
    <x v="0"/>
    <n v="13.692299999999999"/>
    <n v="-89.185000000000002"/>
    <n v="9292.32"/>
    <n v="0"/>
    <n v="0"/>
    <n v="101"/>
    <s v="_x0000_US"/>
  </r>
  <r>
    <x v="0"/>
    <n v="13.6928"/>
    <n v="-89.224100000000007"/>
    <n v="9293"/>
    <n v="0"/>
    <n v="0"/>
    <n v="101"/>
    <s v="_x0000_US"/>
  </r>
  <r>
    <x v="0"/>
    <n v="13.6868"/>
    <n v="-89.183099999999996"/>
    <n v="9293.48"/>
    <n v="0"/>
    <n v="0"/>
    <n v="101"/>
    <s v="_x0000_US"/>
  </r>
  <r>
    <x v="0"/>
    <n v="13.6898"/>
    <n v="-89.206199999999995"/>
    <n v="9294.44"/>
    <n v="0"/>
    <n v="0"/>
    <n v="101"/>
    <s v="_x0000_US"/>
  </r>
  <r>
    <x v="0"/>
    <n v="13.6876"/>
    <n v="-89.181799999999996"/>
    <n v="9294.5"/>
    <n v="0"/>
    <n v="0"/>
    <n v="101"/>
    <s v="_x0000_US"/>
  </r>
  <r>
    <x v="0"/>
    <n v="13.6882"/>
    <n v="-89.215500000000006"/>
    <n v="9295.2099999999991"/>
    <n v="0"/>
    <n v="0"/>
    <n v="101"/>
    <s v="_x0000_US"/>
  </r>
  <r>
    <x v="0"/>
    <n v="13.6907"/>
    <n v="-89.179100000000005"/>
    <n v="9295.98"/>
    <n v="0"/>
    <n v="0"/>
    <n v="101"/>
    <s v="_x0000_US"/>
  </r>
  <r>
    <x v="0"/>
    <n v="13.685"/>
    <n v="-89.212199999999996"/>
    <n v="9296.09"/>
    <n v="0"/>
    <n v="0"/>
    <n v="101"/>
    <s v="_x0000_US"/>
  </r>
  <r>
    <x v="0"/>
    <n v="13.6853"/>
    <n v="-89.212599999999995"/>
    <n v="9296.44"/>
    <n v="0"/>
    <n v="0"/>
    <n v="101"/>
    <s v="_x0000_US"/>
  </r>
  <r>
    <x v="0"/>
    <n v="13.6853"/>
    <n v="-89.212500000000006"/>
    <n v="9296.51"/>
    <n v="0"/>
    <n v="0"/>
    <n v="101"/>
    <s v="_x0000_US"/>
  </r>
  <r>
    <x v="0"/>
    <n v="13.6907"/>
    <n v="-89.233699999999999"/>
    <n v="9296.73"/>
    <n v="0"/>
    <n v="0"/>
    <n v="101"/>
    <s v="_x0000_US"/>
  </r>
  <r>
    <x v="0"/>
    <n v="13.6884"/>
    <n v="-89.2042"/>
    <n v="9297.44"/>
    <n v="0"/>
    <n v="0"/>
    <n v="101"/>
    <s v="_x0000_US"/>
  </r>
  <r>
    <x v="0"/>
    <n v="13.6873"/>
    <n v="-89.215699999999998"/>
    <n v="9297.6200000000008"/>
    <n v="0"/>
    <n v="0"/>
    <n v="101"/>
    <s v="_x0000_US"/>
  </r>
  <r>
    <x v="0"/>
    <n v="13.691800000000001"/>
    <n v="-89.225200000000001"/>
    <n v="9298.16"/>
    <n v="0"/>
    <n v="0"/>
    <n v="101"/>
    <s v="_x0000_US"/>
  </r>
  <r>
    <x v="0"/>
    <n v="13.6899"/>
    <n v="-89.197699999999998"/>
    <n v="9298.57"/>
    <n v="0"/>
    <n v="0"/>
    <n v="101"/>
    <s v="_x0000_US"/>
  </r>
  <r>
    <x v="0"/>
    <n v="13.6892"/>
    <n v="-89.229399999999998"/>
    <n v="9298.91"/>
    <n v="0"/>
    <n v="0"/>
    <n v="101"/>
    <s v="_x0000_US"/>
  </r>
  <r>
    <x v="0"/>
    <n v="13.6889"/>
    <n v="-89.229399999999998"/>
    <n v="9299.19"/>
    <n v="0"/>
    <n v="0"/>
    <n v="101"/>
    <s v="_x0000_US"/>
  </r>
  <r>
    <x v="0"/>
    <n v="13.6915"/>
    <n v="-89.226399999999998"/>
    <n v="9300.94"/>
    <n v="0"/>
    <n v="0"/>
    <n v="101"/>
    <s v="_x0000_US"/>
  </r>
  <r>
    <x v="0"/>
    <n v="13.675000000000001"/>
    <n v="-89.251599999999996"/>
    <n v="9301.6"/>
    <n v="0"/>
    <n v="0"/>
    <n v="101"/>
    <s v="_x0000_US"/>
  </r>
  <r>
    <x v="0"/>
    <n v="13.691800000000001"/>
    <n v="-89.196100000000001"/>
    <n v="9301.76"/>
    <n v="0"/>
    <n v="0"/>
    <n v="101"/>
    <s v="_x0000_US"/>
  </r>
  <r>
    <x v="0"/>
    <n v="13.6915"/>
    <n v="-89.227000000000004"/>
    <n v="9301.9699999999993"/>
    <n v="0"/>
    <n v="0"/>
    <n v="101"/>
    <s v="_x0000_US"/>
  </r>
  <r>
    <x v="0"/>
    <n v="13.691000000000001"/>
    <n v="-89.183999999999997"/>
    <n v="9302.1200000000008"/>
    <n v="0"/>
    <n v="0"/>
    <n v="101"/>
    <s v="_x0000_US"/>
  </r>
  <r>
    <x v="0"/>
    <n v="13.6935"/>
    <n v="-89.173299999999998"/>
    <n v="9302.4599999999991"/>
    <n v="0"/>
    <n v="0"/>
    <n v="101"/>
    <s v="_x0000_US"/>
  </r>
  <r>
    <x v="0"/>
    <n v="13.69"/>
    <n v="-89.177599999999998"/>
    <n v="9302.6200000000008"/>
    <n v="0"/>
    <n v="0"/>
    <n v="101"/>
    <s v="_x0000_US"/>
  </r>
  <r>
    <x v="0"/>
    <n v="13.6869"/>
    <n v="-89.203500000000005"/>
    <n v="9302.7199999999993"/>
    <n v="0"/>
    <n v="0"/>
    <n v="101"/>
    <s v="_x0000_US"/>
  </r>
  <r>
    <x v="0"/>
    <n v="13.691000000000001"/>
    <n v="-89.228800000000007"/>
    <n v="9303.86"/>
    <n v="0"/>
    <n v="0"/>
    <n v="101"/>
    <s v="_x0000_US"/>
  </r>
  <r>
    <x v="0"/>
    <n v="13.6851"/>
    <n v="-89.217100000000002"/>
    <n v="9304.67"/>
    <n v="0"/>
    <n v="0"/>
    <n v="101"/>
    <s v="_x0000_US"/>
  </r>
  <r>
    <x v="0"/>
    <n v="13.688700000000001"/>
    <n v="-89.204499999999996"/>
    <n v="9305.06"/>
    <n v="0"/>
    <n v="0"/>
    <n v="101"/>
    <s v="_x0000_US"/>
  </r>
  <r>
    <x v="0"/>
    <n v="13.6874"/>
    <n v="-89.193700000000007"/>
    <n v="9305.9599999999991"/>
    <n v="0"/>
    <n v="0"/>
    <n v="101"/>
    <s v="_x0000_US"/>
  </r>
  <r>
    <x v="0"/>
    <n v="13.6859"/>
    <n v="-89.203299999999999"/>
    <n v="9306.2800000000007"/>
    <n v="0"/>
    <n v="0"/>
    <n v="101"/>
    <s v="_x0000_US"/>
  </r>
  <r>
    <x v="0"/>
    <n v="13.6877"/>
    <n v="-89.180599999999998"/>
    <n v="9306.64"/>
    <n v="0"/>
    <n v="0"/>
    <n v="101"/>
    <s v="_x0000_US"/>
  </r>
  <r>
    <x v="0"/>
    <n v="13.689399999999999"/>
    <n v="-89.180300000000003"/>
    <n v="9306.81"/>
    <n v="0"/>
    <n v="0"/>
    <n v="101"/>
    <s v="_x0000_US"/>
  </r>
  <r>
    <x v="0"/>
    <n v="13.6844"/>
    <n v="-89.217200000000005"/>
    <n v="9307.23"/>
    <n v="0"/>
    <n v="0"/>
    <n v="101"/>
    <s v="_x0000_US"/>
  </r>
  <r>
    <x v="0"/>
    <n v="13.689"/>
    <n v="-89.190100000000001"/>
    <n v="9307.59"/>
    <n v="0"/>
    <n v="0"/>
    <n v="101"/>
    <s v="_x0000_US"/>
  </r>
  <r>
    <x v="0"/>
    <n v="13.6911"/>
    <n v="-89.189300000000003"/>
    <n v="9307.77"/>
    <n v="0"/>
    <n v="0"/>
    <n v="101"/>
    <s v="_x0000_US"/>
  </r>
  <r>
    <x v="0"/>
    <n v="13.6958"/>
    <n v="-89.172899999999998"/>
    <n v="9308.83"/>
    <n v="0"/>
    <n v="0"/>
    <n v="101"/>
    <s v="_x0000_US"/>
  </r>
  <r>
    <x v="0"/>
    <n v="13.6737"/>
    <n v="-89.251099999999994"/>
    <n v="9310.27"/>
    <n v="0"/>
    <n v="0"/>
    <n v="101"/>
    <s v="_x0000_US"/>
  </r>
  <r>
    <x v="0"/>
    <n v="13.692600000000001"/>
    <n v="-89.197000000000003"/>
    <n v="9310.42"/>
    <n v="0"/>
    <n v="0"/>
    <n v="101"/>
    <s v="_x0000_US"/>
  </r>
  <r>
    <x v="0"/>
    <n v="13.696899999999999"/>
    <n v="-89.171499999999995"/>
    <n v="9310.68"/>
    <n v="0"/>
    <n v="0"/>
    <n v="101"/>
    <s v="_x0000_US"/>
  </r>
  <r>
    <x v="0"/>
    <n v="13.6904"/>
    <n v="-89.177700000000002"/>
    <n v="9311.41"/>
    <n v="0"/>
    <n v="0"/>
    <n v="101"/>
    <s v="_x0000_US"/>
  </r>
  <r>
    <x v="0"/>
    <n v="13.692500000000001"/>
    <n v="-89.226399999999998"/>
    <n v="9311.59"/>
    <n v="0"/>
    <n v="0"/>
    <n v="101"/>
    <s v="_x0000_US"/>
  </r>
  <r>
    <x v="0"/>
    <n v="13.689399999999999"/>
    <n v="-89.236000000000004"/>
    <n v="9312.24"/>
    <n v="0"/>
    <n v="0"/>
    <n v="101"/>
    <s v="_x0000_US"/>
  </r>
  <r>
    <x v="0"/>
    <n v="13.688499999999999"/>
    <n v="-89.206800000000001"/>
    <n v="9312.31"/>
    <n v="0"/>
    <n v="0"/>
    <n v="101"/>
    <s v="_x0000_US"/>
  </r>
  <r>
    <x v="0"/>
    <n v="13.6922"/>
    <n v="-89.196899999999999"/>
    <n v="9312.39"/>
    <n v="0"/>
    <n v="0"/>
    <n v="101"/>
    <s v="_x0000_US"/>
  </r>
  <r>
    <x v="0"/>
    <n v="13.687799999999999"/>
    <n v="-89.197100000000006"/>
    <n v="9312.5400000000009"/>
    <n v="0"/>
    <n v="0"/>
    <n v="101"/>
    <s v="_x0000_US"/>
  </r>
  <r>
    <x v="0"/>
    <n v="13.695499999999999"/>
    <n v="-89.173100000000005"/>
    <n v="9312.91"/>
    <n v="0"/>
    <n v="0"/>
    <n v="101"/>
    <s v="_x0000_US"/>
  </r>
  <r>
    <x v="0"/>
    <n v="13.691700000000001"/>
    <n v="-89.233500000000006"/>
    <n v="9312.98"/>
    <n v="0"/>
    <n v="0"/>
    <n v="101"/>
    <s v="_x0000_US"/>
  </r>
  <r>
    <x v="0"/>
    <n v="13.6942"/>
    <n v="-89.175299999999993"/>
    <n v="9313.4500000000007"/>
    <n v="0"/>
    <n v="0"/>
    <n v="101"/>
    <s v="_x0000_US"/>
  </r>
  <r>
    <x v="0"/>
    <n v="13.688700000000001"/>
    <n v="-89.204499999999996"/>
    <n v="9313.48"/>
    <n v="0"/>
    <n v="0"/>
    <n v="101"/>
    <s v="_x0000_US"/>
  </r>
  <r>
    <x v="0"/>
    <n v="13.6914"/>
    <n v="-89.233599999999996"/>
    <n v="9313.68"/>
    <n v="0"/>
    <n v="0"/>
    <n v="101"/>
    <s v="_x0000_US"/>
  </r>
  <r>
    <x v="0"/>
    <n v="13.692299999999999"/>
    <n v="-89.179000000000002"/>
    <n v="9313.75"/>
    <n v="0"/>
    <n v="0"/>
    <n v="101"/>
    <s v="_x0000_US"/>
  </r>
  <r>
    <x v="0"/>
    <n v="13.674799999999999"/>
    <n v="-89.252300000000005"/>
    <n v="9314.5499999999993"/>
    <n v="0"/>
    <n v="0"/>
    <n v="101"/>
    <s v="_x0000_US"/>
  </r>
  <r>
    <x v="0"/>
    <n v="13.690799999999999"/>
    <n v="-89.183499999999995"/>
    <n v="9314.6200000000008"/>
    <n v="0"/>
    <n v="0"/>
    <n v="101"/>
    <s v="_x0000_US"/>
  </r>
  <r>
    <x v="0"/>
    <n v="13.688499999999999"/>
    <n v="-89.198099999999997"/>
    <n v="9314.65"/>
    <n v="0"/>
    <n v="0"/>
    <n v="101"/>
    <s v="_x0000_US"/>
  </r>
  <r>
    <x v="0"/>
    <n v="13.688000000000001"/>
    <n v="-89.1798"/>
    <n v="9314.67"/>
    <n v="0"/>
    <n v="0"/>
    <n v="101"/>
    <s v="_x0000_US"/>
  </r>
  <r>
    <x v="0"/>
    <n v="13.691700000000001"/>
    <n v="-89.233800000000002"/>
    <n v="9314.9599999999991"/>
    <n v="0"/>
    <n v="0"/>
    <n v="101"/>
    <s v="_x0000_US"/>
  </r>
  <r>
    <x v="0"/>
    <n v="13.6934"/>
    <n v="-89.176199999999994"/>
    <n v="9315.24"/>
    <n v="0"/>
    <n v="0"/>
    <n v="101"/>
    <s v="_x0000_US"/>
  </r>
  <r>
    <x v="0"/>
    <n v="13.687200000000001"/>
    <n v="-89.194900000000004"/>
    <n v="9315.7199999999993"/>
    <n v="0"/>
    <n v="0"/>
    <n v="101"/>
    <s v="_x0000_US"/>
  </r>
  <r>
    <x v="0"/>
    <n v="13.696"/>
    <n v="-89.1678"/>
    <n v="9315.7800000000007"/>
    <n v="0"/>
    <n v="0"/>
    <n v="101"/>
    <s v="_x0000_US"/>
  </r>
  <r>
    <x v="0"/>
    <n v="13.685600000000001"/>
    <n v="-89.201999999999998"/>
    <n v="9315.84"/>
    <n v="0"/>
    <n v="0"/>
    <n v="101"/>
    <s v="_x0000_US"/>
  </r>
  <r>
    <x v="0"/>
    <n v="13.696400000000001"/>
    <n v="-89.171700000000001"/>
    <n v="9315.84"/>
    <n v="0"/>
    <n v="0"/>
    <n v="101"/>
    <s v="_x0000_US"/>
  </r>
  <r>
    <x v="0"/>
    <n v="13.678800000000001"/>
    <n v="-89.1965"/>
    <n v="9315.91"/>
    <n v="0"/>
    <n v="0"/>
    <n v="101"/>
    <s v="_x0000_US"/>
  </r>
  <r>
    <x v="0"/>
    <n v="13.6883"/>
    <n v="-89.216899999999995"/>
    <n v="9316.01"/>
    <n v="0"/>
    <n v="0"/>
    <n v="101"/>
    <s v="_x0000_US"/>
  </r>
  <r>
    <x v="0"/>
    <n v="13.692299999999999"/>
    <n v="-89.184399999999997"/>
    <n v="9316.24"/>
    <n v="0"/>
    <n v="0"/>
    <n v="101"/>
    <s v="_x0000_US"/>
  </r>
  <r>
    <x v="0"/>
    <n v="13.6875"/>
    <n v="-89.195099999999996"/>
    <n v="9316.42"/>
    <n v="0"/>
    <n v="0"/>
    <n v="101"/>
    <s v="_x0000_US"/>
  </r>
  <r>
    <x v="0"/>
    <n v="13.690799999999999"/>
    <n v="-89.194100000000006"/>
    <n v="9317.48"/>
    <n v="0"/>
    <n v="0"/>
    <n v="101"/>
    <s v="_x0000_US"/>
  </r>
  <r>
    <x v="0"/>
    <n v="13.688800000000001"/>
    <n v="-89.204800000000006"/>
    <n v="9318.6200000000008"/>
    <n v="0"/>
    <n v="0"/>
    <n v="101"/>
    <s v="_x0000_US"/>
  </r>
  <r>
    <x v="0"/>
    <n v="13.6792"/>
    <n v="-89.193899999999999"/>
    <n v="9319.58"/>
    <n v="0"/>
    <n v="0"/>
    <n v="101"/>
    <s v="_x0000_US"/>
  </r>
  <r>
    <x v="0"/>
    <n v="13.6922"/>
    <n v="-89.178700000000006"/>
    <n v="9319.7000000000007"/>
    <n v="0"/>
    <n v="0"/>
    <n v="101"/>
    <s v="_x0000_US"/>
  </r>
  <r>
    <x v="0"/>
    <n v="13.6934"/>
    <n v="-89.173400000000001"/>
    <n v="9319.83"/>
    <n v="0"/>
    <n v="0"/>
    <n v="101"/>
    <s v="_x0000_US"/>
  </r>
  <r>
    <x v="0"/>
    <n v="13.6919"/>
    <n v="-89.221100000000007"/>
    <n v="9319.85"/>
    <n v="0"/>
    <n v="0"/>
    <n v="101"/>
    <s v="_x0000_US"/>
  </r>
  <r>
    <x v="0"/>
    <n v="13.674099999999999"/>
    <n v="-89.2029"/>
    <n v="9320.0400000000009"/>
    <n v="0"/>
    <n v="0"/>
    <n v="101"/>
    <s v="_x0000_US"/>
  </r>
  <r>
    <x v="0"/>
    <n v="13.693899999999999"/>
    <n v="-89.175899999999999"/>
    <n v="9320.24"/>
    <n v="0"/>
    <n v="0"/>
    <n v="101"/>
    <s v="_x0000_US"/>
  </r>
  <r>
    <x v="0"/>
    <n v="13.6927"/>
    <n v="-89.184299999999993"/>
    <n v="9321.6299999999992"/>
    <n v="0"/>
    <n v="0"/>
    <n v="101"/>
    <s v="_x0000_US"/>
  </r>
  <r>
    <x v="0"/>
    <n v="13.6874"/>
    <n v="-89.198400000000007"/>
    <n v="9323.1"/>
    <n v="0"/>
    <n v="0"/>
    <n v="101"/>
    <s v="_x0000_US"/>
  </r>
  <r>
    <x v="0"/>
    <n v="13.6897"/>
    <n v="-89.193799999999996"/>
    <n v="9323.16"/>
    <n v="0"/>
    <n v="0"/>
    <n v="101"/>
    <s v="_x0000_US"/>
  </r>
  <r>
    <x v="0"/>
    <n v="13.6882"/>
    <n v="-89.205699999999993"/>
    <n v="9324.11"/>
    <n v="0"/>
    <n v="0"/>
    <n v="101"/>
    <s v="_x0000_US"/>
  </r>
  <r>
    <x v="0"/>
    <n v="13.6922"/>
    <n v="-89.225800000000007"/>
    <n v="9324.2000000000007"/>
    <n v="0"/>
    <n v="0"/>
    <n v="101"/>
    <s v="_x0000_US"/>
  </r>
  <r>
    <x v="0"/>
    <n v="13.6874"/>
    <n v="-89.194500000000005"/>
    <n v="9325.43"/>
    <n v="0"/>
    <n v="0"/>
    <n v="101"/>
    <s v="_x0000_US"/>
  </r>
  <r>
    <x v="0"/>
    <n v="13.687099999999999"/>
    <n v="-89.204599999999999"/>
    <n v="9325.83"/>
    <n v="0"/>
    <n v="0"/>
    <n v="101"/>
    <s v="_x0000_US"/>
  </r>
  <r>
    <x v="0"/>
    <n v="13.6972"/>
    <n v="-89.171800000000005"/>
    <n v="9325.8700000000008"/>
    <n v="0"/>
    <n v="0"/>
    <n v="101"/>
    <s v="_x0000_US"/>
  </r>
  <r>
    <x v="0"/>
    <n v="13.6876"/>
    <n v="-89.194299999999998"/>
    <n v="9326.74"/>
    <n v="0"/>
    <n v="0"/>
    <n v="101"/>
    <s v="_x0000_US"/>
  </r>
  <r>
    <x v="0"/>
    <n v="13.687200000000001"/>
    <n v="-89.194599999999994"/>
    <n v="9326.81"/>
    <n v="0"/>
    <n v="0"/>
    <n v="101"/>
    <s v="_x0000_US"/>
  </r>
  <r>
    <x v="0"/>
    <n v="13.691800000000001"/>
    <n v="-89.196700000000007"/>
    <n v="9327.69"/>
    <n v="0"/>
    <n v="0"/>
    <n v="101"/>
    <s v="_x0000_US"/>
  </r>
  <r>
    <x v="0"/>
    <n v="13.6873"/>
    <n v="-89.197199999999995"/>
    <n v="9328"/>
    <n v="0"/>
    <n v="0"/>
    <n v="101"/>
    <s v="_x0000_US"/>
  </r>
  <r>
    <x v="0"/>
    <n v="13.6944"/>
    <n v="-89.185400000000001"/>
    <n v="9328.08"/>
    <n v="0"/>
    <n v="0"/>
    <n v="101"/>
    <s v="_x0000_US"/>
  </r>
  <r>
    <x v="0"/>
    <n v="13.686"/>
    <n v="-89.194000000000003"/>
    <n v="9328.27"/>
    <n v="0"/>
    <n v="0"/>
    <n v="101"/>
    <s v="_x0000_US"/>
  </r>
  <r>
    <x v="0"/>
    <n v="13.678900000000001"/>
    <n v="-89.1965"/>
    <n v="9328.2999999999993"/>
    <n v="0"/>
    <n v="0"/>
    <n v="101"/>
    <s v="_x0000_US"/>
  </r>
  <r>
    <x v="0"/>
    <n v="13.6928"/>
    <n v="-89.19"/>
    <n v="9329"/>
    <n v="0"/>
    <n v="0"/>
    <n v="101"/>
    <s v="_x0000_US"/>
  </r>
  <r>
    <x v="0"/>
    <n v="13.6882"/>
    <n v="-89.216200000000001"/>
    <n v="9329.16"/>
    <n v="0"/>
    <n v="0"/>
    <n v="101"/>
    <s v="_x0000_US"/>
  </r>
  <r>
    <x v="0"/>
    <n v="13.686999999999999"/>
    <n v="-89.205200000000005"/>
    <n v="9330.2000000000007"/>
    <n v="0"/>
    <n v="0"/>
    <n v="101"/>
    <s v="_x0000_US"/>
  </r>
  <r>
    <x v="0"/>
    <n v="13.677"/>
    <n v="-89.248500000000007"/>
    <n v="9330.23"/>
    <n v="0"/>
    <n v="0"/>
    <n v="101"/>
    <s v="_x0000_US"/>
  </r>
  <r>
    <x v="0"/>
    <n v="13.6867"/>
    <n v="-89.191199999999995"/>
    <n v="9330.4599999999991"/>
    <n v="0"/>
    <n v="0"/>
    <n v="101"/>
    <s v="_x0000_US"/>
  </r>
  <r>
    <x v="0"/>
    <n v="13.689"/>
    <n v="-89.229299999999995"/>
    <n v="9330.57"/>
    <n v="0"/>
    <n v="0"/>
    <n v="101"/>
    <s v="_x0000_US"/>
  </r>
  <r>
    <x v="0"/>
    <n v="13.6892"/>
    <n v="-89.180099999999996"/>
    <n v="9330.69"/>
    <n v="0"/>
    <n v="0"/>
    <n v="101"/>
    <s v="_x0000_US"/>
  </r>
  <r>
    <x v="0"/>
    <n v="13.6884"/>
    <n v="-89.198599999999999"/>
    <n v="9331.0499999999993"/>
    <n v="0"/>
    <n v="0"/>
    <n v="101"/>
    <s v="_x0000_US"/>
  </r>
  <r>
    <x v="0"/>
    <n v="13.687200000000001"/>
    <n v="-89.194500000000005"/>
    <n v="9331.48"/>
    <n v="0"/>
    <n v="0"/>
    <n v="101"/>
    <s v="_x0000_US"/>
  </r>
  <r>
    <x v="0"/>
    <n v="13.689299999999999"/>
    <n v="-89.205399999999997"/>
    <n v="9331.65"/>
    <n v="0"/>
    <n v="0"/>
    <n v="101"/>
    <s v="_x0000_US"/>
  </r>
  <r>
    <x v="0"/>
    <n v="13.687799999999999"/>
    <n v="-89.217100000000002"/>
    <n v="9331.75"/>
    <n v="0"/>
    <n v="0"/>
    <n v="101"/>
    <s v="_x0000_US"/>
  </r>
  <r>
    <x v="0"/>
    <n v="13.690300000000001"/>
    <n v="-89.235100000000003"/>
    <n v="9332.65"/>
    <n v="0"/>
    <n v="0"/>
    <n v="101"/>
    <s v="_x0000_US"/>
  </r>
  <r>
    <x v="0"/>
    <n v="13.6861"/>
    <n v="-89.193899999999999"/>
    <n v="9333.0300000000007"/>
    <n v="0"/>
    <n v="0"/>
    <n v="101"/>
    <s v="_x0000_US"/>
  </r>
  <r>
    <x v="0"/>
    <n v="13.691700000000001"/>
    <n v="-89.226500000000001"/>
    <n v="9333.6299999999992"/>
    <n v="0"/>
    <n v="0"/>
    <n v="101"/>
    <s v="_x0000_US"/>
  </r>
  <r>
    <x v="0"/>
    <n v="13.6874"/>
    <n v="-89.197199999999995"/>
    <n v="9333.9599999999991"/>
    <n v="0"/>
    <n v="0"/>
    <n v="101"/>
    <s v="_x0000_US"/>
  </r>
  <r>
    <x v="0"/>
    <n v="13.69"/>
    <n v="-89.197699999999998"/>
    <n v="9334.2900000000009"/>
    <n v="0"/>
    <n v="0"/>
    <n v="101"/>
    <s v="_x0000_US"/>
  </r>
  <r>
    <x v="0"/>
    <n v="13.692"/>
    <n v="-89.179500000000004"/>
    <n v="9334.57"/>
    <n v="0"/>
    <n v="0"/>
    <n v="101"/>
    <s v="_x0000_US"/>
  </r>
  <r>
    <x v="0"/>
    <n v="13.6875"/>
    <n v="-89.215599999999995"/>
    <n v="9334.93"/>
    <n v="0"/>
    <n v="0"/>
    <n v="101"/>
    <s v="_x0000_US"/>
  </r>
  <r>
    <x v="0"/>
    <n v="13.685700000000001"/>
    <n v="-89.193799999999996"/>
    <n v="9335.77"/>
    <n v="0"/>
    <n v="0"/>
    <n v="101"/>
    <s v="_x0000_US"/>
  </r>
  <r>
    <x v="0"/>
    <n v="13.693300000000001"/>
    <n v="-89.188900000000004"/>
    <n v="9336"/>
    <n v="0"/>
    <n v="0"/>
    <n v="101"/>
    <s v="_x0000_US"/>
  </r>
  <r>
    <x v="0"/>
    <n v="13.6958"/>
    <n v="-89.173299999999998"/>
    <n v="9336.18"/>
    <n v="0"/>
    <n v="0"/>
    <n v="101"/>
    <s v="_x0000_US"/>
  </r>
  <r>
    <x v="0"/>
    <n v="13.676600000000001"/>
    <n v="-89.199600000000004"/>
    <n v="9336.31"/>
    <n v="0"/>
    <n v="0"/>
    <n v="101"/>
    <s v="_x0000_US"/>
  </r>
  <r>
    <x v="0"/>
    <n v="13.691599999999999"/>
    <n v="-89.2209"/>
    <n v="9336.52"/>
    <n v="0"/>
    <n v="0"/>
    <n v="101"/>
    <s v="_x0000_US"/>
  </r>
  <r>
    <x v="0"/>
    <n v="13.691000000000001"/>
    <n v="-89.1905"/>
    <n v="9337.82"/>
    <n v="0"/>
    <n v="0"/>
    <n v="101"/>
    <s v="_x0000_US"/>
  </r>
  <r>
    <x v="0"/>
    <n v="13.6892"/>
    <n v="-89.197299999999998"/>
    <n v="9337.92"/>
    <n v="0"/>
    <n v="0"/>
    <n v="101"/>
    <s v="_x0000_US"/>
  </r>
  <r>
    <x v="0"/>
    <n v="13.689399999999999"/>
    <n v="-89.204999999999998"/>
    <n v="9337.9500000000007"/>
    <n v="0"/>
    <n v="0"/>
    <n v="101"/>
    <s v="_x0000_US"/>
  </r>
  <r>
    <x v="0"/>
    <n v="13.6874"/>
    <n v="-89.192300000000003"/>
    <n v="9338.01"/>
    <n v="0"/>
    <n v="0"/>
    <n v="101"/>
    <s v="_x0000_US"/>
  </r>
  <r>
    <x v="0"/>
    <n v="13.686199999999999"/>
    <n v="-89.213200000000001"/>
    <n v="9338.42"/>
    <n v="0"/>
    <n v="0"/>
    <n v="101"/>
    <s v="_x0000_US"/>
  </r>
  <r>
    <x v="0"/>
    <n v="13.696099999999999"/>
    <n v="-89.171800000000005"/>
    <n v="9338.44"/>
    <n v="0"/>
    <n v="0"/>
    <n v="101"/>
    <s v="_x0000_US"/>
  </r>
  <r>
    <x v="0"/>
    <n v="13.687099999999999"/>
    <n v="-89.196600000000004"/>
    <n v="9338.6200000000008"/>
    <n v="0"/>
    <n v="0"/>
    <n v="101"/>
    <s v="_x0000_US"/>
  </r>
  <r>
    <x v="0"/>
    <n v="13.690300000000001"/>
    <n v="-89.235100000000003"/>
    <n v="9338.6299999999992"/>
    <n v="0"/>
    <n v="0"/>
    <n v="101"/>
    <s v="_x0000_US"/>
  </r>
  <r>
    <x v="0"/>
    <n v="13.696"/>
    <n v="-89.172700000000006"/>
    <n v="9338.67"/>
    <n v="0"/>
    <n v="0"/>
    <n v="101"/>
    <s v="_x0000_US"/>
  </r>
  <r>
    <x v="0"/>
    <n v="13.684900000000001"/>
    <n v="-89.202699999999993"/>
    <n v="9338.7199999999993"/>
    <n v="0"/>
    <n v="0"/>
    <n v="101"/>
    <s v="_x0000_US"/>
  </r>
  <r>
    <x v="0"/>
    <n v="13.693"/>
    <n v="-89.174099999999996"/>
    <n v="9339.09"/>
    <n v="0"/>
    <n v="0"/>
    <n v="101"/>
    <s v="_x0000_US"/>
  </r>
  <r>
    <x v="0"/>
    <n v="13.6905"/>
    <n v="-89.227900000000005"/>
    <n v="9340.06"/>
    <n v="0"/>
    <n v="0"/>
    <n v="101"/>
    <s v="_x0000_US"/>
  </r>
  <r>
    <x v="0"/>
    <n v="13.6913"/>
    <n v="-89.186700000000002"/>
    <n v="9341.17"/>
    <n v="0"/>
    <n v="0"/>
    <n v="101"/>
    <s v="_x0000_US"/>
  </r>
  <r>
    <x v="0"/>
    <n v="13.6792"/>
    <n v="-89.196799999999996"/>
    <n v="9341.32"/>
    <n v="0"/>
    <n v="0"/>
    <n v="101"/>
    <s v="_x0000_US"/>
  </r>
  <r>
    <x v="0"/>
    <n v="13.6897"/>
    <n v="-89.235500000000002"/>
    <n v="9341.48"/>
    <n v="0"/>
    <n v="0"/>
    <n v="101"/>
    <s v="_x0000_US"/>
  </r>
  <r>
    <x v="0"/>
    <n v="13.6974"/>
    <n v="-89.171000000000006"/>
    <n v="9341.56"/>
    <n v="0"/>
    <n v="0"/>
    <n v="101"/>
    <s v="_x0000_US"/>
  </r>
  <r>
    <x v="0"/>
    <n v="13.6861"/>
    <n v="-89.215100000000007"/>
    <n v="9341.7000000000007"/>
    <n v="0"/>
    <n v="0"/>
    <n v="101"/>
    <s v="_x0000_US"/>
  </r>
  <r>
    <x v="0"/>
    <n v="13.6892"/>
    <n v="-89.203000000000003"/>
    <n v="9342.06"/>
    <n v="0"/>
    <n v="0"/>
    <n v="101"/>
    <s v="_x0000_US"/>
  </r>
  <r>
    <x v="0"/>
    <n v="13.6868"/>
    <n v="-89.194599999999994"/>
    <n v="9342.27"/>
    <n v="0"/>
    <n v="0"/>
    <n v="101"/>
    <s v="_x0000_US"/>
  </r>
  <r>
    <x v="0"/>
    <n v="13.691599999999999"/>
    <n v="-89.227099999999993"/>
    <n v="9342.7900000000009"/>
    <n v="0"/>
    <n v="0"/>
    <n v="101"/>
    <s v="_x0000_US"/>
  </r>
  <r>
    <x v="0"/>
    <n v="13.674300000000001"/>
    <n v="-89.202399999999997"/>
    <n v="9342.7999999999993"/>
    <n v="0"/>
    <n v="0"/>
    <n v="101"/>
    <s v="_x0000_US"/>
  </r>
  <r>
    <x v="0"/>
    <n v="13.6853"/>
    <n v="-89.193100000000001"/>
    <n v="9342.83"/>
    <n v="0"/>
    <n v="0"/>
    <n v="101"/>
    <s v="_x0000_US"/>
  </r>
  <r>
    <x v="0"/>
    <n v="13.6896"/>
    <n v="-89.185500000000005"/>
    <n v="9343.0300000000007"/>
    <n v="0"/>
    <n v="0"/>
    <n v="101"/>
    <s v="_x0000_US"/>
  </r>
  <r>
    <x v="0"/>
    <n v="13.6905"/>
    <n v="-89.188800000000001"/>
    <n v="9343.0400000000009"/>
    <n v="0"/>
    <n v="0"/>
    <n v="101"/>
    <s v="_x0000_US"/>
  </r>
  <r>
    <x v="0"/>
    <n v="13.686400000000001"/>
    <n v="-89.215299999999999"/>
    <n v="9343.31"/>
    <n v="0"/>
    <n v="0"/>
    <n v="101"/>
    <s v="_x0000_US"/>
  </r>
  <r>
    <x v="0"/>
    <n v="13.6906"/>
    <n v="-89.234499999999997"/>
    <n v="9343.91"/>
    <n v="0"/>
    <n v="0"/>
    <n v="101"/>
    <s v="_x0000_US"/>
  </r>
  <r>
    <x v="0"/>
    <n v="13.6861"/>
    <n v="-89.201700000000002"/>
    <n v="9343.99"/>
    <n v="0"/>
    <n v="0"/>
    <n v="101"/>
    <s v="_x0000_US"/>
  </r>
  <r>
    <x v="0"/>
    <n v="13.680099999999999"/>
    <n v="-89.195999999999998"/>
    <n v="9344.57"/>
    <n v="0"/>
    <n v="0"/>
    <n v="101"/>
    <s v="_x0000_US"/>
  </r>
  <r>
    <x v="0"/>
    <n v="13.690099999999999"/>
    <n v="-89.228499999999997"/>
    <n v="9345.23"/>
    <n v="0"/>
    <n v="0"/>
    <n v="101"/>
    <s v="_x0000_US"/>
  </r>
  <r>
    <x v="0"/>
    <n v="13.6874"/>
    <n v="-89.195599999999999"/>
    <n v="9345.4699999999993"/>
    <n v="0"/>
    <n v="0"/>
    <n v="101"/>
    <s v="_x0000_US"/>
  </r>
  <r>
    <x v="0"/>
    <n v="13.692500000000001"/>
    <n v="-89.178100000000001"/>
    <n v="9345.92"/>
    <n v="0"/>
    <n v="0"/>
    <n v="101"/>
    <s v="_x0000_US"/>
  </r>
  <r>
    <x v="0"/>
    <n v="13.690799999999999"/>
    <n v="-89.231899999999996"/>
    <n v="9345.99"/>
    <n v="0"/>
    <n v="0"/>
    <n v="101"/>
    <s v="_x0000_US"/>
  </r>
  <r>
    <x v="0"/>
    <n v="13.687799999999999"/>
    <n v="-89.215400000000002"/>
    <n v="9346.83"/>
    <n v="0"/>
    <n v="0"/>
    <n v="101"/>
    <s v="_x0000_US"/>
  </r>
  <r>
    <x v="0"/>
    <n v="13.687200000000001"/>
    <n v="-89.195899999999995"/>
    <n v="9347.57"/>
    <n v="0"/>
    <n v="0"/>
    <n v="101"/>
    <s v="_x0000_US"/>
  </r>
  <r>
    <x v="0"/>
    <n v="13.672700000000001"/>
    <n v="-89.204599999999999"/>
    <n v="9347.58"/>
    <n v="0"/>
    <n v="0"/>
    <n v="101"/>
    <s v="_x0000_US"/>
  </r>
  <r>
    <x v="0"/>
    <n v="13.6774"/>
    <n v="-89.246600000000001"/>
    <n v="9348.41"/>
    <n v="0"/>
    <n v="0"/>
    <n v="101"/>
    <s v="_x0000_US"/>
  </r>
  <r>
    <x v="0"/>
    <n v="13.692399999999999"/>
    <n v="-89.222399999999993"/>
    <n v="9348.4500000000007"/>
    <n v="0"/>
    <n v="0"/>
    <n v="101"/>
    <s v="_x0000_US"/>
  </r>
  <r>
    <x v="0"/>
    <n v="13.696"/>
    <n v="-89.1721"/>
    <n v="9349.4599999999991"/>
    <n v="0"/>
    <n v="0"/>
    <n v="101"/>
    <s v="_x0000_US"/>
  </r>
  <r>
    <x v="0"/>
    <n v="13.686999999999999"/>
    <n v="-89.194100000000006"/>
    <n v="9349.6200000000008"/>
    <n v="0"/>
    <n v="0"/>
    <n v="101"/>
    <s v="_x0000_US"/>
  </r>
  <r>
    <x v="0"/>
    <n v="13.6851"/>
    <n v="-89.2119"/>
    <n v="9349.7900000000009"/>
    <n v="0"/>
    <n v="0"/>
    <n v="101"/>
    <s v="_x0000_US"/>
  </r>
  <r>
    <x v="0"/>
    <n v="13.6866"/>
    <n v="-89.192999999999998"/>
    <n v="9350.39"/>
    <n v="0"/>
    <n v="0"/>
    <n v="101"/>
    <s v="_x0000_US"/>
  </r>
  <r>
    <x v="0"/>
    <n v="13.691599999999999"/>
    <n v="-89.188100000000006"/>
    <n v="9350.83"/>
    <n v="0"/>
    <n v="0"/>
    <n v="101"/>
    <s v="_x0000_US"/>
  </r>
  <r>
    <x v="0"/>
    <n v="13.6868"/>
    <n v="-89.182400000000001"/>
    <n v="9351.42"/>
    <n v="0"/>
    <n v="0"/>
    <n v="101"/>
    <s v="_x0000_US"/>
  </r>
  <r>
    <x v="0"/>
    <n v="13.6873"/>
    <n v="-89.193899999999999"/>
    <n v="9351.74"/>
    <n v="0"/>
    <n v="0"/>
    <n v="101"/>
    <s v="_x0000_US"/>
  </r>
  <r>
    <x v="0"/>
    <n v="13.6935"/>
    <n v="-89.173199999999994"/>
    <n v="9352.6200000000008"/>
    <n v="0"/>
    <n v="0"/>
    <n v="101"/>
    <s v="_x0000_US"/>
  </r>
  <r>
    <x v="0"/>
    <n v="13.6875"/>
    <n v="-89.1965"/>
    <n v="9352.81"/>
    <n v="0"/>
    <n v="0"/>
    <n v="101"/>
    <s v="_x0000_US"/>
  </r>
  <r>
    <x v="0"/>
    <n v="13.6935"/>
    <n v="-89.177199999999999"/>
    <n v="9353.16"/>
    <n v="0"/>
    <n v="0"/>
    <n v="101"/>
    <s v="_x0000_US"/>
  </r>
  <r>
    <x v="0"/>
    <n v="13.6873"/>
    <n v="-89.211299999999994"/>
    <n v="9353.67"/>
    <n v="0"/>
    <n v="0"/>
    <n v="101"/>
    <s v="_x0000_US"/>
  </r>
  <r>
    <x v="0"/>
    <n v="13.692"/>
    <n v="-89.223399999999998"/>
    <n v="9353.73"/>
    <n v="0"/>
    <n v="0"/>
    <n v="101"/>
    <s v="_x0000_US"/>
  </r>
  <r>
    <x v="0"/>
    <n v="13.690799999999999"/>
    <n v="-89.197599999999994"/>
    <n v="9353.7900000000009"/>
    <n v="0"/>
    <n v="0"/>
    <n v="101"/>
    <s v="_x0000_US"/>
  </r>
  <r>
    <x v="0"/>
    <n v="13.690899999999999"/>
    <n v="-89.235900000000001"/>
    <n v="9353.93"/>
    <n v="0"/>
    <n v="0"/>
    <n v="101"/>
    <s v="_x0000_US"/>
  </r>
  <r>
    <x v="0"/>
    <n v="13.691599999999999"/>
    <n v="-89.179599999999994"/>
    <n v="9354.73"/>
    <n v="0"/>
    <n v="0"/>
    <n v="101"/>
    <s v="_x0000_US"/>
  </r>
  <r>
    <x v="0"/>
    <n v="13.6877"/>
    <n v="-89.194599999999994"/>
    <n v="9355.33"/>
    <n v="0"/>
    <n v="0"/>
    <n v="101"/>
    <s v="_x0000_US"/>
  </r>
  <r>
    <x v="0"/>
    <n v="13.6905"/>
    <n v="-89.196100000000001"/>
    <n v="9356.06"/>
    <n v="0"/>
    <n v="0"/>
    <n v="101"/>
    <s v="_x0000_US"/>
  </r>
  <r>
    <x v="0"/>
    <n v="13.685499999999999"/>
    <n v="-89.193600000000004"/>
    <n v="9356.07"/>
    <n v="0"/>
    <n v="0"/>
    <n v="101"/>
    <s v="_x0000_US"/>
  </r>
  <r>
    <x v="0"/>
    <n v="13.6922"/>
    <n v="-89.223299999999995"/>
    <n v="9356.94"/>
    <n v="0"/>
    <n v="0"/>
    <n v="101"/>
    <s v="_x0000_US"/>
  </r>
  <r>
    <x v="0"/>
    <n v="13.6752"/>
    <n v="-89.248500000000007"/>
    <n v="9357.7199999999993"/>
    <n v="0"/>
    <n v="0"/>
    <n v="101"/>
    <s v="_x0000_US"/>
  </r>
  <r>
    <x v="0"/>
    <n v="13.6921"/>
    <n v="-89.222099999999998"/>
    <n v="9357.7999999999993"/>
    <n v="0"/>
    <n v="0"/>
    <n v="101"/>
    <s v="_x0000_US"/>
  </r>
  <r>
    <x v="0"/>
    <n v="13.672000000000001"/>
    <n v="-89.204999999999998"/>
    <n v="9358.2800000000007"/>
    <n v="0"/>
    <n v="0"/>
    <n v="101"/>
    <s v="_x0000_US"/>
  </r>
  <r>
    <x v="0"/>
    <n v="13.679500000000001"/>
    <n v="-89.197199999999995"/>
    <n v="9359.31"/>
    <n v="0"/>
    <n v="0"/>
    <n v="101"/>
    <s v="_x0000_US"/>
  </r>
  <r>
    <x v="0"/>
    <n v="13.694599999999999"/>
    <n v="-89.183000000000007"/>
    <n v="9359.44"/>
    <n v="0"/>
    <n v="0"/>
    <n v="101"/>
    <s v="_x0000_US"/>
  </r>
  <r>
    <x v="0"/>
    <n v="13.673400000000001"/>
    <n v="-89.251499999999993"/>
    <n v="9359.64"/>
    <n v="0"/>
    <n v="0"/>
    <n v="101"/>
    <s v="_x0000_US"/>
  </r>
  <r>
    <x v="0"/>
    <n v="13.688499999999999"/>
    <n v="-89.180899999999994"/>
    <n v="9360.75"/>
    <n v="0"/>
    <n v="0"/>
    <n v="101"/>
    <s v="_x0000_US"/>
  </r>
  <r>
    <x v="0"/>
    <n v="13.69"/>
    <n v="-89.235900000000001"/>
    <n v="9362.06"/>
    <n v="0"/>
    <n v="0"/>
    <n v="101"/>
    <s v="_x0000_US"/>
  </r>
  <r>
    <x v="0"/>
    <n v="13.687799999999999"/>
    <n v="-89.181399999999996"/>
    <n v="9362.32"/>
    <n v="0"/>
    <n v="0"/>
    <n v="101"/>
    <s v="_x0000_US"/>
  </r>
  <r>
    <x v="0"/>
    <n v="13.6883"/>
    <n v="-89.217100000000002"/>
    <n v="9362.7199999999993"/>
    <n v="0"/>
    <n v="0"/>
    <n v="101"/>
    <s v="_x0000_US"/>
  </r>
  <r>
    <x v="0"/>
    <n v="13.6914"/>
    <n v="-89.186599999999999"/>
    <n v="9362.8700000000008"/>
    <n v="0"/>
    <n v="0"/>
    <n v="101"/>
    <s v="_x0000_US"/>
  </r>
  <r>
    <x v="0"/>
    <n v="13.6746"/>
    <n v="-89.251999999999995"/>
    <n v="9363.73"/>
    <n v="0"/>
    <n v="0"/>
    <n v="101"/>
    <s v="_x0000_US"/>
  </r>
  <r>
    <x v="0"/>
    <n v="13.690799999999999"/>
    <n v="-89.190700000000007"/>
    <n v="9363.82"/>
    <n v="0"/>
    <n v="0"/>
    <n v="101"/>
    <s v="_x0000_US"/>
  </r>
  <r>
    <x v="0"/>
    <n v="13.690799999999999"/>
    <n v="-89.228999999999999"/>
    <n v="9364.58"/>
    <n v="0"/>
    <n v="0"/>
    <n v="101"/>
    <s v="_x0000_US"/>
  </r>
  <r>
    <x v="0"/>
    <n v="13.684900000000001"/>
    <n v="-89.213700000000003"/>
    <n v="9364.7900000000009"/>
    <n v="0"/>
    <n v="0"/>
    <n v="101"/>
    <s v="_x0000_US"/>
  </r>
  <r>
    <x v="0"/>
    <n v="13.6813"/>
    <n v="-89.1952"/>
    <n v="9364.9599999999991"/>
    <n v="0"/>
    <n v="0"/>
    <n v="101"/>
    <s v="_x0000_US"/>
  </r>
  <r>
    <x v="0"/>
    <n v="13.696199999999999"/>
    <n v="-89.171999999999997"/>
    <n v="9366.02"/>
    <n v="0"/>
    <n v="0"/>
    <n v="101"/>
    <s v="_x0000_US"/>
  </r>
  <r>
    <x v="0"/>
    <n v="13.6907"/>
    <n v="-89.194199999999995"/>
    <n v="9366.85"/>
    <n v="0"/>
    <n v="0"/>
    <n v="101"/>
    <s v="_x0000_US"/>
  </r>
  <r>
    <x v="0"/>
    <n v="13.6945"/>
    <n v="-89.183300000000003"/>
    <n v="9367.11"/>
    <n v="0"/>
    <n v="0"/>
    <n v="101"/>
    <s v="_x0000_US"/>
  </r>
  <r>
    <x v="0"/>
    <n v="13.6921"/>
    <n v="-89.1785"/>
    <n v="9367.7000000000007"/>
    <n v="0"/>
    <n v="0"/>
    <n v="101"/>
    <s v="_x0000_US"/>
  </r>
  <r>
    <x v="0"/>
    <n v="13.6905"/>
    <n v="-89.189099999999996"/>
    <n v="9368.69"/>
    <n v="0"/>
    <n v="0"/>
    <n v="101"/>
    <s v="_x0000_US"/>
  </r>
  <r>
    <x v="0"/>
    <n v="13.6951"/>
    <n v="-89.174899999999994"/>
    <n v="9369.85"/>
    <n v="0"/>
    <n v="0"/>
    <n v="101"/>
    <s v="_x0000_US"/>
  </r>
  <r>
    <x v="0"/>
    <n v="13.6958"/>
    <n v="-89.173299999999998"/>
    <n v="9369.9599999999991"/>
    <n v="0"/>
    <n v="0"/>
    <n v="101"/>
    <s v="_x0000_US"/>
  </r>
  <r>
    <x v="0"/>
    <n v="13.686400000000001"/>
    <n v="-89.215999999999994"/>
    <n v="9370.0300000000007"/>
    <n v="0"/>
    <n v="0"/>
    <n v="101"/>
    <s v="_x0000_US"/>
  </r>
  <r>
    <x v="0"/>
    <n v="13.6912"/>
    <n v="-89.2196"/>
    <n v="9370.1"/>
    <n v="0"/>
    <n v="0"/>
    <n v="101"/>
    <s v="_x0000_US"/>
  </r>
  <r>
    <x v="0"/>
    <n v="13.6915"/>
    <n v="-89.233400000000003"/>
    <n v="9371.09"/>
    <n v="0"/>
    <n v="0"/>
    <n v="101"/>
    <s v="_x0000_US"/>
  </r>
  <r>
    <x v="0"/>
    <n v="13.6959"/>
    <n v="-89.165899999999993"/>
    <n v="9371.25"/>
    <n v="0"/>
    <n v="0"/>
    <n v="101"/>
    <s v="_x0000_US"/>
  </r>
  <r>
    <x v="0"/>
    <n v="13.6945"/>
    <n v="-89.183300000000003"/>
    <n v="9371.31"/>
    <n v="0"/>
    <n v="0"/>
    <n v="101"/>
    <s v="_x0000_US"/>
  </r>
  <r>
    <x v="0"/>
    <n v="13.6868"/>
    <n v="-89.182900000000004"/>
    <n v="9371.56"/>
    <n v="0"/>
    <n v="0"/>
    <n v="101"/>
    <s v="_x0000_US"/>
  </r>
  <r>
    <x v="0"/>
    <n v="13.692"/>
    <n v="-89.194299999999998"/>
    <n v="9373.02"/>
    <n v="0"/>
    <n v="0"/>
    <n v="101"/>
    <s v="_x0000_US"/>
  </r>
  <r>
    <x v="0"/>
    <n v="13.678100000000001"/>
    <n v="-89.1965"/>
    <n v="9374.06"/>
    <n v="0"/>
    <n v="0"/>
    <n v="101"/>
    <s v="_x0000_US"/>
  </r>
  <r>
    <x v="0"/>
    <n v="13.6921"/>
    <n v="-89.224000000000004"/>
    <n v="9374.25"/>
    <n v="0"/>
    <n v="0"/>
    <n v="101"/>
    <s v="_x0000_US"/>
  </r>
  <r>
    <x v="0"/>
    <n v="13.6934"/>
    <n v="-89.188699999999997"/>
    <n v="9374.3700000000008"/>
    <n v="0"/>
    <n v="0"/>
    <n v="101"/>
    <s v="_x0000_US"/>
  </r>
  <r>
    <x v="0"/>
    <n v="13.689500000000001"/>
    <n v="-89.179199999999994"/>
    <n v="9374.58"/>
    <n v="0"/>
    <n v="0"/>
    <n v="101"/>
    <s v="_x0000_US"/>
  </r>
  <r>
    <x v="0"/>
    <n v="13.6904"/>
    <n v="-89.217399999999998"/>
    <n v="9375.15"/>
    <n v="0"/>
    <n v="0"/>
    <n v="101"/>
    <s v="_x0000_US"/>
  </r>
  <r>
    <x v="0"/>
    <n v="13.685700000000001"/>
    <n v="-89.214799999999997"/>
    <n v="9375.4699999999993"/>
    <n v="0"/>
    <n v="0"/>
    <n v="101"/>
    <s v="_x0000_US"/>
  </r>
  <r>
    <x v="0"/>
    <n v="13.6875"/>
    <n v="-89.195700000000002"/>
    <n v="9375.6"/>
    <n v="0"/>
    <n v="0"/>
    <n v="101"/>
    <s v="_x0000_US"/>
  </r>
  <r>
    <x v="0"/>
    <n v="13.6769"/>
    <n v="-89.247299999999996"/>
    <n v="9377.8700000000008"/>
    <n v="0"/>
    <n v="0"/>
    <n v="101"/>
    <s v="_x0000_US"/>
  </r>
  <r>
    <x v="0"/>
    <n v="13.696"/>
    <n v="-89.172499999999999"/>
    <n v="9378.6200000000008"/>
    <n v="0"/>
    <n v="0"/>
    <n v="101"/>
    <s v="_x0000_US"/>
  </r>
  <r>
    <x v="0"/>
    <n v="13.69"/>
    <n v="-89.236099999999993"/>
    <n v="9378.7099999999991"/>
    <n v="0"/>
    <n v="0"/>
    <n v="101"/>
    <s v="_x0000_US"/>
  </r>
  <r>
    <x v="0"/>
    <n v="13.690899999999999"/>
    <n v="-89.228800000000007"/>
    <n v="9378.7199999999993"/>
    <n v="0"/>
    <n v="0"/>
    <n v="101"/>
    <s v="_x0000_US"/>
  </r>
  <r>
    <x v="0"/>
    <n v="13.6845"/>
    <n v="-89.211699999999993"/>
    <n v="9378.89"/>
    <n v="0"/>
    <n v="0"/>
    <n v="101"/>
    <s v="_x0000_US"/>
  </r>
  <r>
    <x v="0"/>
    <n v="13.6914"/>
    <n v="-89.225999999999999"/>
    <n v="9379.85"/>
    <n v="0"/>
    <n v="0"/>
    <n v="101"/>
    <s v="_x0000_US"/>
  </r>
  <r>
    <x v="0"/>
    <n v="13.687099999999999"/>
    <n v="-89.182400000000001"/>
    <n v="9381.57"/>
    <n v="0"/>
    <n v="0"/>
    <n v="101"/>
    <s v="_x0000_US"/>
  </r>
  <r>
    <x v="0"/>
    <n v="13.6921"/>
    <n v="-89.194400000000002"/>
    <n v="9381.66"/>
    <n v="0"/>
    <n v="0"/>
    <n v="101"/>
    <s v="_x0000_US"/>
  </r>
  <r>
    <x v="0"/>
    <n v="13.689299999999999"/>
    <n v="-89.207800000000006"/>
    <n v="9381.98"/>
    <n v="0"/>
    <n v="0"/>
    <n v="101"/>
    <s v="_x0000_US"/>
  </r>
  <r>
    <x v="0"/>
    <n v="13.6874"/>
    <n v="-89.1935"/>
    <n v="9382.31"/>
    <n v="0"/>
    <n v="0"/>
    <n v="101"/>
    <s v="_x0000_US"/>
  </r>
  <r>
    <x v="0"/>
    <n v="13.6967"/>
    <n v="-89.171700000000001"/>
    <n v="9382.3700000000008"/>
    <n v="0"/>
    <n v="0"/>
    <n v="101"/>
    <s v="_x0000_US"/>
  </r>
  <r>
    <x v="0"/>
    <n v="13.6905"/>
    <n v="-89.231999999999999"/>
    <n v="9382.74"/>
    <n v="0"/>
    <n v="0"/>
    <n v="101"/>
    <s v="_x0000_US"/>
  </r>
  <r>
    <x v="0"/>
    <n v="13.693899999999999"/>
    <n v="-89.173199999999994"/>
    <n v="9382.8799999999992"/>
    <n v="0"/>
    <n v="0"/>
    <n v="101"/>
    <s v="_x0000_US"/>
  </r>
  <r>
    <x v="0"/>
    <n v="13.6873"/>
    <n v="-89.193899999999999"/>
    <n v="9382.94"/>
    <n v="0"/>
    <n v="0"/>
    <n v="101"/>
    <s v="_x0000_US"/>
  </r>
  <r>
    <x v="0"/>
    <n v="13.6747"/>
    <n v="-89.252200000000002"/>
    <n v="9383.23"/>
    <n v="0"/>
    <n v="0"/>
    <n v="101"/>
    <s v="_x0000_US"/>
  </r>
  <r>
    <x v="0"/>
    <n v="13.6874"/>
    <n v="-89.196700000000007"/>
    <n v="9383.75"/>
    <n v="0"/>
    <n v="0"/>
    <n v="101"/>
    <s v="_x0000_US"/>
  </r>
  <r>
    <x v="0"/>
    <n v="13.6981"/>
    <n v="-89.169300000000007"/>
    <n v="9383.8799999999992"/>
    <n v="0"/>
    <n v="0"/>
    <n v="101"/>
    <s v="_x0000_US"/>
  </r>
  <r>
    <x v="0"/>
    <n v="13.686500000000001"/>
    <n v="-89.216399999999993"/>
    <n v="9384.06"/>
    <n v="0"/>
    <n v="0"/>
    <n v="101"/>
    <s v="_x0000_US"/>
  </r>
  <r>
    <x v="0"/>
    <n v="13.687799999999999"/>
    <n v="-89.196899999999999"/>
    <n v="9384.7000000000007"/>
    <n v="0"/>
    <n v="0"/>
    <n v="101"/>
    <s v="_x0000_US"/>
  </r>
  <r>
    <x v="0"/>
    <n v="13.692299999999999"/>
    <n v="-89.184700000000007"/>
    <n v="9385.06"/>
    <n v="0"/>
    <n v="0"/>
    <n v="101"/>
    <s v="_x0000_US"/>
  </r>
  <r>
    <x v="0"/>
    <n v="13.6775"/>
    <n v="-89.246700000000004"/>
    <n v="9385.14"/>
    <n v="0"/>
    <n v="0"/>
    <n v="101"/>
    <s v="_x0000_US"/>
  </r>
  <r>
    <x v="0"/>
    <n v="13.6853"/>
    <n v="-89.217399999999998"/>
    <n v="9385.4699999999993"/>
    <n v="0"/>
    <n v="0"/>
    <n v="101"/>
    <s v="_x0000_US"/>
  </r>
  <r>
    <x v="0"/>
    <n v="13.686"/>
    <n v="-89.211200000000005"/>
    <n v="9385.89"/>
    <n v="0"/>
    <n v="0"/>
    <n v="101"/>
    <s v="_x0000_US"/>
  </r>
  <r>
    <x v="0"/>
    <n v="13.686400000000001"/>
    <n v="-89.2119"/>
    <n v="9386.02"/>
    <n v="0"/>
    <n v="0"/>
    <n v="101"/>
    <s v="_x0000_US"/>
  </r>
  <r>
    <x v="0"/>
    <n v="13.6778"/>
    <n v="-89.245800000000003"/>
    <n v="9386.3700000000008"/>
    <n v="0"/>
    <n v="0"/>
    <n v="101"/>
    <s v="_x0000_US"/>
  </r>
  <r>
    <x v="0"/>
    <n v="13.672499999999999"/>
    <n v="-89.204599999999999"/>
    <n v="9386.7099999999991"/>
    <n v="0"/>
    <n v="0"/>
    <n v="101"/>
    <s v="_x0000_US"/>
  </r>
  <r>
    <x v="0"/>
    <n v="13.687799999999999"/>
    <n v="-89.205100000000002"/>
    <n v="9386.8799999999992"/>
    <n v="0"/>
    <n v="0"/>
    <n v="101"/>
    <s v="_x0000_US"/>
  </r>
  <r>
    <x v="0"/>
    <n v="13.6752"/>
    <n v="-89.200100000000006"/>
    <n v="9386.93"/>
    <n v="0"/>
    <n v="0"/>
    <n v="101"/>
    <s v="_x0000_US"/>
  </r>
  <r>
    <x v="0"/>
    <n v="13.693199999999999"/>
    <n v="-89.177499999999995"/>
    <n v="9387.39"/>
    <n v="0"/>
    <n v="0"/>
    <n v="101"/>
    <s v="_x0000_US"/>
  </r>
  <r>
    <x v="0"/>
    <n v="13.6858"/>
    <n v="-89.215500000000006"/>
    <n v="9387.4500000000007"/>
    <n v="0"/>
    <n v="0"/>
    <n v="101"/>
    <s v="_x0000_US"/>
  </r>
  <r>
    <x v="0"/>
    <n v="13.6896"/>
    <n v="-89.189499999999995"/>
    <n v="9387.5499999999993"/>
    <n v="0"/>
    <n v="0"/>
    <n v="101"/>
    <s v="_x0000_US"/>
  </r>
  <r>
    <x v="0"/>
    <n v="13.6852"/>
    <n v="-89.217200000000005"/>
    <n v="9387.56"/>
    <n v="0"/>
    <n v="0"/>
    <n v="101"/>
    <s v="_x0000_US"/>
  </r>
  <r>
    <x v="0"/>
    <n v="13.691599999999999"/>
    <n v="-89.233199999999997"/>
    <n v="9388.18"/>
    <n v="0"/>
    <n v="0"/>
    <n v="101"/>
    <s v="_x0000_US"/>
  </r>
  <r>
    <x v="0"/>
    <n v="13.6927"/>
    <n v="-89.175899999999999"/>
    <n v="9388.57"/>
    <n v="0"/>
    <n v="0"/>
    <n v="101"/>
    <s v="_x0000_US"/>
  </r>
  <r>
    <x v="0"/>
    <n v="13.690899999999999"/>
    <n v="-89.179199999999994"/>
    <n v="9388.58"/>
    <n v="0"/>
    <n v="0"/>
    <n v="101"/>
    <s v="_x0000_US"/>
  </r>
  <r>
    <x v="0"/>
    <n v="13.685499999999999"/>
    <n v="-89.211200000000005"/>
    <n v="9388.85"/>
    <n v="0"/>
    <n v="0"/>
    <n v="101"/>
    <s v="_x0000_US"/>
  </r>
  <r>
    <x v="0"/>
    <n v="13.685499999999999"/>
    <n v="-89.211399999999998"/>
    <n v="9388.8799999999992"/>
    <n v="0"/>
    <n v="0"/>
    <n v="101"/>
    <s v="_x0000_US"/>
  </r>
  <r>
    <x v="0"/>
    <n v="13.690200000000001"/>
    <n v="-89.190100000000001"/>
    <n v="9388.9"/>
    <n v="0"/>
    <n v="0"/>
    <n v="101"/>
    <s v="_x0000_US"/>
  </r>
  <r>
    <x v="0"/>
    <n v="13.6898"/>
    <n v="-89.197800000000001"/>
    <n v="9390.25"/>
    <n v="0"/>
    <n v="0"/>
    <n v="101"/>
    <s v="_x0000_US"/>
  </r>
  <r>
    <x v="0"/>
    <n v="13.6911"/>
    <n v="-89.229799999999997"/>
    <n v="9392.1200000000008"/>
    <n v="0"/>
    <n v="0"/>
    <n v="101"/>
    <s v="_x0000_US"/>
  </r>
  <r>
    <x v="0"/>
    <n v="13.6921"/>
    <n v="-89.223799999999997"/>
    <n v="9392.33"/>
    <n v="0"/>
    <n v="0"/>
    <n v="101"/>
    <s v="_x0000_US"/>
  </r>
  <r>
    <x v="0"/>
    <n v="13.694900000000001"/>
    <n v="-89.174300000000002"/>
    <n v="9393.32"/>
    <n v="0"/>
    <n v="0"/>
    <n v="101"/>
    <s v="_x0000_US"/>
  </r>
  <r>
    <x v="0"/>
    <n v="13.6905"/>
    <n v="-89.235500000000002"/>
    <n v="9393.3799999999992"/>
    <n v="0"/>
    <n v="0"/>
    <n v="101"/>
    <s v="_x0000_US"/>
  </r>
  <r>
    <x v="0"/>
    <n v="13.6868"/>
    <n v="-89.194400000000002"/>
    <n v="9393.68"/>
    <n v="0"/>
    <n v="0"/>
    <n v="101"/>
    <s v="_x0000_US"/>
  </r>
  <r>
    <x v="0"/>
    <n v="13.688000000000001"/>
    <n v="-89.198899999999995"/>
    <n v="9393.98"/>
    <n v="0"/>
    <n v="0"/>
    <n v="101"/>
    <s v="_x0000_US"/>
  </r>
  <r>
    <x v="0"/>
    <n v="13.6868"/>
    <n v="-89.214699999999993"/>
    <n v="9394.42"/>
    <n v="0"/>
    <n v="0"/>
    <n v="101"/>
    <s v="_x0000_US"/>
  </r>
  <r>
    <x v="0"/>
    <n v="13.6869"/>
    <n v="-89.181200000000004"/>
    <n v="9394.4500000000007"/>
    <n v="0"/>
    <n v="0"/>
    <n v="101"/>
    <s v="_x0000_US"/>
  </r>
  <r>
    <x v="0"/>
    <n v="13.6944"/>
    <n v="-89.185400000000001"/>
    <n v="9394.98"/>
    <n v="0"/>
    <n v="0"/>
    <n v="101"/>
    <s v="_x0000_US"/>
  </r>
  <r>
    <x v="0"/>
    <n v="13.690899999999999"/>
    <n v="-89.232799999999997"/>
    <n v="9395.0300000000007"/>
    <n v="0"/>
    <n v="0"/>
    <n v="101"/>
    <s v="_x0000_US"/>
  </r>
  <r>
    <x v="0"/>
    <n v="13.695499999999999"/>
    <n v="-89.174499999999995"/>
    <n v="9395.17"/>
    <n v="0"/>
    <n v="0"/>
    <n v="101"/>
    <s v="_x0000_US"/>
  </r>
  <r>
    <x v="0"/>
    <n v="13.6869"/>
    <n v="-89.183800000000005"/>
    <n v="9395.4500000000007"/>
    <n v="0"/>
    <n v="0"/>
    <n v="101"/>
    <s v="_x0000_US"/>
  </r>
  <r>
    <x v="0"/>
    <n v="13.6953"/>
    <n v="-89.174099999999996"/>
    <n v="9396.0499999999993"/>
    <n v="0"/>
    <n v="0"/>
    <n v="101"/>
    <s v="_x0000_US"/>
  </r>
  <r>
    <x v="0"/>
    <n v="13.690899999999999"/>
    <n v="-89.190600000000003"/>
    <n v="9396.14"/>
    <n v="0"/>
    <n v="0"/>
    <n v="101"/>
    <s v="_x0000_US"/>
  </r>
  <r>
    <x v="0"/>
    <n v="13.6959"/>
    <n v="-89.172399999999996"/>
    <n v="9396.57"/>
    <n v="0"/>
    <n v="0"/>
    <n v="101"/>
    <s v="_x0000_US"/>
  </r>
  <r>
    <x v="0"/>
    <n v="13.6913"/>
    <n v="-89.228499999999997"/>
    <n v="9396.65"/>
    <n v="0"/>
    <n v="0"/>
    <n v="101"/>
    <s v="_x0000_US"/>
  </r>
  <r>
    <x v="0"/>
    <n v="13.685700000000001"/>
    <n v="-89.202100000000002"/>
    <n v="9396.85"/>
    <n v="0"/>
    <n v="0"/>
    <n v="101"/>
    <s v="_x0000_US"/>
  </r>
  <r>
    <x v="0"/>
    <n v="13.6914"/>
    <n v="-89.178700000000006"/>
    <n v="9397.41"/>
    <n v="0"/>
    <n v="0"/>
    <n v="101"/>
    <s v="_x0000_US"/>
  </r>
  <r>
    <x v="0"/>
    <n v="13.6874"/>
    <n v="-89.191500000000005"/>
    <n v="9397.77"/>
    <n v="0"/>
    <n v="0"/>
    <n v="101"/>
    <s v="_x0000_US"/>
  </r>
  <r>
    <x v="0"/>
    <n v="13.692600000000001"/>
    <n v="-89.175700000000006"/>
    <n v="9399.5"/>
    <n v="0"/>
    <n v="0"/>
    <n v="101"/>
    <s v="_x0000_US"/>
  </r>
  <r>
    <x v="0"/>
    <n v="13.6915"/>
    <n v="-89.233800000000002"/>
    <n v="9399.68"/>
    <n v="0"/>
    <n v="0"/>
    <n v="101"/>
    <s v="_x0000_US"/>
  </r>
  <r>
    <x v="0"/>
    <n v="13.690899999999999"/>
    <n v="-89.231399999999994"/>
    <n v="9400.52"/>
    <n v="0"/>
    <n v="0"/>
    <n v="101"/>
    <s v="_x0000_US"/>
  </r>
  <r>
    <x v="0"/>
    <n v="13.6882"/>
    <n v="-89.215299999999999"/>
    <n v="9400.57"/>
    <n v="0"/>
    <n v="0"/>
    <n v="101"/>
    <s v="_x0000_US"/>
  </r>
  <r>
    <x v="0"/>
    <n v="13.6896"/>
    <n v="-89.216899999999995"/>
    <n v="9400.86"/>
    <n v="0"/>
    <n v="0"/>
    <n v="101"/>
    <s v="_x0000_US"/>
  </r>
  <r>
    <x v="0"/>
    <n v="13.6912"/>
    <n v="-89.2346"/>
    <n v="9400.8799999999992"/>
    <n v="0"/>
    <n v="0"/>
    <n v="101"/>
    <s v="_x0000_US"/>
  </r>
  <r>
    <x v="0"/>
    <n v="13.694100000000001"/>
    <n v="-89.176500000000004"/>
    <n v="9401.19"/>
    <n v="0"/>
    <n v="0"/>
    <n v="101"/>
    <s v="_x0000_US"/>
  </r>
  <r>
    <x v="0"/>
    <n v="13.6914"/>
    <n v="-89.228499999999997"/>
    <n v="9401.3799999999992"/>
    <n v="0"/>
    <n v="0"/>
    <n v="101"/>
    <s v="_x0000_US"/>
  </r>
  <r>
    <x v="0"/>
    <n v="13.6898"/>
    <n v="-89.184899999999999"/>
    <n v="9401.82"/>
    <n v="0"/>
    <n v="0"/>
    <n v="101"/>
    <s v="_x0000_US"/>
  </r>
  <r>
    <x v="0"/>
    <n v="13.6913"/>
    <n v="-89.233599999999996"/>
    <n v="9401.86"/>
    <n v="0"/>
    <n v="0"/>
    <n v="101"/>
    <s v="_x0000_US"/>
  </r>
  <r>
    <x v="0"/>
    <n v="13.6944"/>
    <n v="-89.183300000000003"/>
    <n v="9402.41"/>
    <n v="0"/>
    <n v="0"/>
    <n v="101"/>
    <s v="_x0000_US"/>
  </r>
  <r>
    <x v="0"/>
    <n v="13.692500000000001"/>
    <n v="-89.223799999999997"/>
    <n v="9402.5499999999993"/>
    <n v="0"/>
    <n v="0"/>
    <n v="101"/>
    <s v="_x0000_US"/>
  </r>
  <r>
    <x v="0"/>
    <n v="13.674200000000001"/>
    <n v="-89.252499999999998"/>
    <n v="9402.7099999999991"/>
    <n v="0"/>
    <n v="0"/>
    <n v="101"/>
    <s v="_x0000_US"/>
  </r>
  <r>
    <x v="0"/>
    <n v="13.6904"/>
    <n v="-89.2346"/>
    <n v="9403.49"/>
    <n v="0"/>
    <n v="0"/>
    <n v="101"/>
    <s v="_x0000_US"/>
  </r>
  <r>
    <x v="0"/>
    <n v="13.693199999999999"/>
    <n v="-89.174099999999996"/>
    <n v="9403.67"/>
    <n v="0"/>
    <n v="0"/>
    <n v="101"/>
    <s v="_x0000_US"/>
  </r>
  <r>
    <x v="0"/>
    <n v="13.6854"/>
    <n v="-89.203500000000005"/>
    <n v="9403.68"/>
    <n v="0"/>
    <n v="0"/>
    <n v="101"/>
    <s v="_x0000_US"/>
  </r>
  <r>
    <x v="0"/>
    <n v="13.674799999999999"/>
    <n v="-89.251999999999995"/>
    <n v="9404.02"/>
    <n v="0"/>
    <n v="0"/>
    <n v="101"/>
    <s v="_x0000_US"/>
  </r>
  <r>
    <x v="0"/>
    <n v="13.6851"/>
    <n v="-89.216099999999997"/>
    <n v="9404.65"/>
    <n v="0"/>
    <n v="0"/>
    <n v="101"/>
    <s v="_x0000_US"/>
  </r>
  <r>
    <x v="0"/>
    <n v="13.690799999999999"/>
    <n v="-89.186400000000006"/>
    <n v="9405.52"/>
    <n v="0"/>
    <n v="0"/>
    <n v="101"/>
    <s v="_x0000_US"/>
  </r>
  <r>
    <x v="0"/>
    <n v="13.691000000000001"/>
    <n v="-89.233199999999997"/>
    <n v="9405.8700000000008"/>
    <n v="0"/>
    <n v="0"/>
    <n v="101"/>
    <s v="_x0000_US"/>
  </r>
  <r>
    <x v="0"/>
    <n v="13.6942"/>
    <n v="-89.175200000000004"/>
    <n v="9407.51"/>
    <n v="0"/>
    <n v="0"/>
    <n v="101"/>
    <s v="_x0000_US"/>
  </r>
  <r>
    <x v="0"/>
    <n v="13.690799999999999"/>
    <n v="-89.232500000000002"/>
    <n v="9408.09"/>
    <n v="0"/>
    <n v="0"/>
    <n v="101"/>
    <s v="_x0000_US"/>
  </r>
  <r>
    <x v="0"/>
    <n v="13.6935"/>
    <n v="-89.176400000000001"/>
    <n v="9408.19"/>
    <n v="0"/>
    <n v="0"/>
    <n v="101"/>
    <s v="_x0000_US"/>
  </r>
  <r>
    <x v="0"/>
    <n v="13.680400000000001"/>
    <n v="-89.198599999999999"/>
    <n v="9408.23"/>
    <n v="0"/>
    <n v="0"/>
    <n v="101"/>
    <s v="_x0000_US"/>
  </r>
  <r>
    <x v="0"/>
    <n v="13.689299999999999"/>
    <n v="-89.185000000000002"/>
    <n v="9409.0400000000009"/>
    <n v="0"/>
    <n v="0"/>
    <n v="101"/>
    <s v="_x0000_US"/>
  </r>
  <r>
    <x v="0"/>
    <n v="13.679500000000001"/>
    <n v="-89.197400000000002"/>
    <n v="9409.1"/>
    <n v="0"/>
    <n v="0"/>
    <n v="101"/>
    <s v="_x0000_US"/>
  </r>
  <r>
    <x v="0"/>
    <n v="13.6785"/>
    <n v="-89.245400000000004"/>
    <n v="9409.7999999999993"/>
    <n v="0"/>
    <n v="0"/>
    <n v="101"/>
    <s v="_x0000_US"/>
  </r>
  <r>
    <x v="0"/>
    <n v="13.691599999999999"/>
    <n v="-89.228200000000001"/>
    <n v="9410.0300000000007"/>
    <n v="0"/>
    <n v="0"/>
    <n v="101"/>
    <s v="_x0000_US"/>
  </r>
  <r>
    <x v="0"/>
    <n v="13.6792"/>
    <n v="-89.196600000000004"/>
    <n v="9410.76"/>
    <n v="0"/>
    <n v="0"/>
    <n v="101"/>
    <s v="_x0000_US"/>
  </r>
  <r>
    <x v="0"/>
    <n v="13.694599999999999"/>
    <n v="-89.175399999999996"/>
    <n v="9411.0300000000007"/>
    <n v="0"/>
    <n v="0"/>
    <n v="101"/>
    <s v="_x0000_US"/>
  </r>
  <r>
    <x v="0"/>
    <n v="13.6912"/>
    <n v="-89.230099999999993"/>
    <n v="9411.3700000000008"/>
    <n v="0"/>
    <n v="0"/>
    <n v="101"/>
    <s v="_x0000_US"/>
  </r>
  <r>
    <x v="0"/>
    <n v="13.6936"/>
    <n v="-89.176699999999997"/>
    <n v="9411.86"/>
    <n v="0"/>
    <n v="0"/>
    <n v="101"/>
    <s v="_x0000_US"/>
  </r>
  <r>
    <x v="0"/>
    <n v="13.689500000000001"/>
    <n v="-89.180700000000002"/>
    <n v="9412.0499999999993"/>
    <n v="0"/>
    <n v="0"/>
    <n v="101"/>
    <s v="_x0000_US"/>
  </r>
  <r>
    <x v="0"/>
    <n v="13.6899"/>
    <n v="-89.183899999999994"/>
    <n v="9412.64"/>
    <n v="0"/>
    <n v="0"/>
    <n v="101"/>
    <s v="_x0000_US"/>
  </r>
  <r>
    <x v="0"/>
    <n v="13.6958"/>
    <n v="-89.165700000000001"/>
    <n v="9412.7800000000007"/>
    <n v="0"/>
    <n v="0"/>
    <n v="101"/>
    <s v="_x0000_US"/>
  </r>
  <r>
    <x v="0"/>
    <n v="13.6892"/>
    <n v="-89.183899999999994"/>
    <n v="9412.7900000000009"/>
    <n v="0"/>
    <n v="0"/>
    <n v="101"/>
    <s v="_x0000_US"/>
  </r>
  <r>
    <x v="0"/>
    <n v="13.685700000000001"/>
    <n v="-89.212199999999996"/>
    <n v="9412.7900000000009"/>
    <n v="0"/>
    <n v="0"/>
    <n v="101"/>
    <s v="_x0000_US"/>
  </r>
  <r>
    <x v="0"/>
    <n v="13.6914"/>
    <n v="-89.181799999999996"/>
    <n v="9413.64"/>
    <n v="0"/>
    <n v="0"/>
    <n v="101"/>
    <s v="_x0000_US"/>
  </r>
  <r>
    <x v="0"/>
    <n v="13.695600000000001"/>
    <n v="-89.172600000000003"/>
    <n v="9413.69"/>
    <n v="0"/>
    <n v="0"/>
    <n v="101"/>
    <s v="_x0000_US"/>
  </r>
  <r>
    <x v="0"/>
    <n v="13.6913"/>
    <n v="-89.232600000000005"/>
    <n v="9413.82"/>
    <n v="0"/>
    <n v="0"/>
    <n v="101"/>
    <s v="_x0000_US"/>
  </r>
  <r>
    <x v="0"/>
    <n v="13.69"/>
    <n v="-89.235200000000006"/>
    <n v="9413.8700000000008"/>
    <n v="0"/>
    <n v="0"/>
    <n v="101"/>
    <s v="_x0000_US"/>
  </r>
  <r>
    <x v="0"/>
    <n v="13.6858"/>
    <n v="-89.2136"/>
    <n v="9413.8799999999992"/>
    <n v="0"/>
    <n v="0"/>
    <n v="101"/>
    <s v="_x0000_US"/>
  </r>
  <r>
    <x v="0"/>
    <n v="13.6921"/>
    <n v="-89.225999999999999"/>
    <n v="9415"/>
    <n v="0"/>
    <n v="0"/>
    <n v="101"/>
    <s v="_x0000_US"/>
  </r>
  <r>
    <x v="0"/>
    <n v="13.6799"/>
    <n v="-89.195400000000006"/>
    <n v="9415.07"/>
    <n v="0"/>
    <n v="0"/>
    <n v="101"/>
    <s v="_x0000_US"/>
  </r>
  <r>
    <x v="0"/>
    <n v="13.6854"/>
    <n v="-89.215100000000007"/>
    <n v="9415.31"/>
    <n v="0"/>
    <n v="0"/>
    <n v="101"/>
    <s v="_x0000_US"/>
  </r>
  <r>
    <x v="0"/>
    <n v="13.691599999999999"/>
    <n v="-89.2209"/>
    <n v="9416.08"/>
    <n v="0"/>
    <n v="0"/>
    <n v="101"/>
    <s v="_x0000_US"/>
  </r>
  <r>
    <x v="0"/>
    <n v="13.686299999999999"/>
    <n v="-89.213499999999996"/>
    <n v="9416.27"/>
    <n v="0"/>
    <n v="0"/>
    <n v="101"/>
    <s v="_x0000_US"/>
  </r>
  <r>
    <x v="0"/>
    <n v="13.6981"/>
    <n v="-89.1691"/>
    <n v="9416.43"/>
    <n v="0"/>
    <n v="0"/>
    <n v="101"/>
    <s v="_x0000_US"/>
  </r>
  <r>
    <x v="0"/>
    <n v="13.6859"/>
    <n v="-89.211699999999993"/>
    <n v="9418.09"/>
    <n v="0"/>
    <n v="0"/>
    <n v="101"/>
    <s v="_x0000_US"/>
  </r>
  <r>
    <x v="0"/>
    <n v="13.674200000000001"/>
    <n v="-89.252499999999998"/>
    <n v="9418.09"/>
    <n v="0"/>
    <n v="0"/>
    <n v="101"/>
    <s v="_x0000_US"/>
  </r>
  <r>
    <x v="0"/>
    <n v="13.6974"/>
    <n v="-89.171199999999999"/>
    <n v="9418.41"/>
    <n v="0"/>
    <n v="0"/>
    <n v="101"/>
    <s v="_x0000_US"/>
  </r>
  <r>
    <x v="0"/>
    <n v="13.6912"/>
    <n v="-89.226699999999994"/>
    <n v="9418.5499999999993"/>
    <n v="0"/>
    <n v="0"/>
    <n v="101"/>
    <s v="_x0000_US"/>
  </r>
  <r>
    <x v="0"/>
    <n v="13.689500000000001"/>
    <n v="-89.185400000000001"/>
    <n v="9418.59"/>
    <n v="0"/>
    <n v="0"/>
    <n v="101"/>
    <s v="_x0000_US"/>
  </r>
  <r>
    <x v="0"/>
    <n v="13.679600000000001"/>
    <n v="-89.197199999999995"/>
    <n v="9418.74"/>
    <n v="0"/>
    <n v="0"/>
    <n v="101"/>
    <s v="_x0000_US"/>
  </r>
  <r>
    <x v="0"/>
    <n v="13.6722"/>
    <n v="-89.203999999999994"/>
    <n v="9419.0300000000007"/>
    <n v="0"/>
    <n v="0"/>
    <n v="101"/>
    <s v="_x0000_US"/>
  </r>
  <r>
    <x v="0"/>
    <n v="13.692600000000001"/>
    <n v="-89.226200000000006"/>
    <n v="9419.2000000000007"/>
    <n v="0"/>
    <n v="0"/>
    <n v="101"/>
    <s v="_x0000_US"/>
  </r>
  <r>
    <x v="0"/>
    <n v="13.690899999999999"/>
    <n v="-89.1875"/>
    <n v="9419.42"/>
    <n v="0"/>
    <n v="0"/>
    <n v="101"/>
    <s v="_x0000_US"/>
  </r>
  <r>
    <x v="0"/>
    <n v="13.6745"/>
    <n v="-89.251900000000006"/>
    <n v="9420.11"/>
    <n v="0"/>
    <n v="0"/>
    <n v="101"/>
    <s v="_x0000_US"/>
  </r>
  <r>
    <x v="0"/>
    <n v="13.691000000000001"/>
    <n v="-89.181899999999999"/>
    <n v="9420.61"/>
    <n v="0"/>
    <n v="0"/>
    <n v="101"/>
    <s v="_x0000_US"/>
  </r>
  <r>
    <x v="0"/>
    <n v="13.688000000000001"/>
    <n v="-89.181899999999999"/>
    <n v="9420.9"/>
    <n v="0"/>
    <n v="0"/>
    <n v="101"/>
    <s v="_x0000_US"/>
  </r>
  <r>
    <x v="0"/>
    <n v="13.6851"/>
    <n v="-89.213200000000001"/>
    <n v="9421.19"/>
    <n v="0"/>
    <n v="0"/>
    <n v="101"/>
    <s v="_x0000_US"/>
  </r>
  <r>
    <x v="0"/>
    <n v="13.6915"/>
    <n v="-89.220299999999995"/>
    <n v="9422.5300000000007"/>
    <n v="0"/>
    <n v="0"/>
    <n v="101"/>
    <s v="_x0000_US"/>
  </r>
  <r>
    <x v="0"/>
    <n v="13.6921"/>
    <n v="-89.225399999999993"/>
    <n v="9423"/>
    <n v="0"/>
    <n v="0"/>
    <n v="101"/>
    <s v="_x0000_US"/>
  </r>
  <r>
    <x v="0"/>
    <n v="13.690799999999999"/>
    <n v="-89.194199999999995"/>
    <n v="9423.4"/>
    <n v="0"/>
    <n v="0"/>
    <n v="101"/>
    <s v="_x0000_US"/>
  </r>
  <r>
    <x v="0"/>
    <n v="13.690300000000001"/>
    <n v="-89.188500000000005"/>
    <n v="9423.5"/>
    <n v="0"/>
    <n v="0"/>
    <n v="101"/>
    <s v="_x0000_US"/>
  </r>
  <r>
    <x v="0"/>
    <n v="13.695"/>
    <n v="-89.174199999999999"/>
    <n v="9424.1200000000008"/>
    <n v="0"/>
    <n v="0"/>
    <n v="101"/>
    <s v="_x0000_US"/>
  </r>
  <r>
    <x v="0"/>
    <n v="13.692399999999999"/>
    <n v="-89.189899999999994"/>
    <n v="9424.2999999999993"/>
    <n v="0"/>
    <n v="0"/>
    <n v="101"/>
    <s v="_x0000_US"/>
  </r>
  <r>
    <x v="0"/>
    <n v="13.689299999999999"/>
    <n v="-89.229699999999994"/>
    <n v="9424.76"/>
    <n v="0"/>
    <n v="0"/>
    <n v="101"/>
    <s v="_x0000_US"/>
  </r>
  <r>
    <x v="0"/>
    <n v="13.689500000000001"/>
    <n v="-89.205600000000004"/>
    <n v="9424.7800000000007"/>
    <n v="0"/>
    <n v="0"/>
    <n v="101"/>
    <s v="_x0000_US"/>
  </r>
  <r>
    <x v="0"/>
    <n v="13.690899999999999"/>
    <n v="-89.188500000000005"/>
    <n v="9424.82"/>
    <n v="0"/>
    <n v="0"/>
    <n v="101"/>
    <s v="_x0000_US"/>
  </r>
  <r>
    <x v="0"/>
    <n v="13.6959"/>
    <n v="-89.173000000000002"/>
    <n v="9424.83"/>
    <n v="0"/>
    <n v="0"/>
    <n v="101"/>
    <s v="_x0000_US"/>
  </r>
  <r>
    <x v="0"/>
    <n v="13.6751"/>
    <n v="-89.248800000000003"/>
    <n v="9424.9"/>
    <n v="0"/>
    <n v="0"/>
    <n v="101"/>
    <s v="_x0000_US"/>
  </r>
  <r>
    <x v="0"/>
    <n v="13.6873"/>
    <n v="-89.215699999999998"/>
    <n v="9425.35"/>
    <n v="0"/>
    <n v="0"/>
    <n v="101"/>
    <s v="_x0000_US"/>
  </r>
  <r>
    <x v="0"/>
    <n v="13.6912"/>
    <n v="-89.228499999999997"/>
    <n v="9425.6200000000008"/>
    <n v="0"/>
    <n v="0"/>
    <n v="101"/>
    <s v="_x0000_US"/>
  </r>
  <r>
    <x v="0"/>
    <n v="13.6915"/>
    <n v="-89.228700000000003"/>
    <n v="9426.0300000000007"/>
    <n v="0"/>
    <n v="0"/>
    <n v="101"/>
    <s v="_x0000_US"/>
  </r>
  <r>
    <x v="0"/>
    <n v="13.6881"/>
    <n v="-89.236900000000006"/>
    <n v="9426.07"/>
    <n v="0"/>
    <n v="0"/>
    <n v="101"/>
    <s v="_x0000_US"/>
  </r>
  <r>
    <x v="0"/>
    <n v="13.691599999999999"/>
    <n v="-89.226200000000006"/>
    <n v="9426.08"/>
    <n v="0"/>
    <n v="0"/>
    <n v="101"/>
    <s v="_x0000_US"/>
  </r>
  <r>
    <x v="0"/>
    <n v="13.691700000000001"/>
    <n v="-89.226900000000001"/>
    <n v="9426.24"/>
    <n v="0"/>
    <n v="0"/>
    <n v="101"/>
    <s v="_x0000_US"/>
  </r>
  <r>
    <x v="0"/>
    <n v="13.687200000000001"/>
    <n v="-89.197000000000003"/>
    <n v="9426.2999999999993"/>
    <n v="0"/>
    <n v="0"/>
    <n v="101"/>
    <s v="_x0000_US"/>
  </r>
  <r>
    <x v="0"/>
    <n v="13.686999999999999"/>
    <n v="-89.191699999999997"/>
    <n v="9426.36"/>
    <n v="0"/>
    <n v="0"/>
    <n v="101"/>
    <s v="_x0000_US"/>
  </r>
  <r>
    <x v="0"/>
    <n v="13.693099999999999"/>
    <n v="-89.177599999999998"/>
    <n v="9426.8700000000008"/>
    <n v="0"/>
    <n v="0"/>
    <n v="101"/>
    <s v="_x0000_US"/>
  </r>
  <r>
    <x v="0"/>
    <n v="13.6936"/>
    <n v="-89.1768"/>
    <n v="9427.01"/>
    <n v="0"/>
    <n v="0"/>
    <n v="101"/>
    <s v="_x0000_US"/>
  </r>
  <r>
    <x v="0"/>
    <n v="13.692500000000001"/>
    <n v="-89.223200000000006"/>
    <n v="9427.4699999999993"/>
    <n v="0"/>
    <n v="0"/>
    <n v="101"/>
    <s v="_x0000_US"/>
  </r>
  <r>
    <x v="0"/>
    <n v="13.6869"/>
    <n v="-89.215900000000005"/>
    <n v="9427.58"/>
    <n v="0"/>
    <n v="0"/>
    <n v="101"/>
    <s v="_x0000_US"/>
  </r>
  <r>
    <x v="0"/>
    <n v="13.6907"/>
    <n v="-89.231499999999997"/>
    <n v="9428.7999999999993"/>
    <n v="0"/>
    <n v="0"/>
    <n v="101"/>
    <s v="_x0000_US"/>
  </r>
  <r>
    <x v="0"/>
    <n v="13.688700000000001"/>
    <n v="-89.190299999999993"/>
    <n v="9428.91"/>
    <n v="0"/>
    <n v="0"/>
    <n v="101"/>
    <s v="_x0000_US"/>
  </r>
  <r>
    <x v="0"/>
    <n v="13.6919"/>
    <n v="-89.179000000000002"/>
    <n v="9429.36"/>
    <n v="0"/>
    <n v="0"/>
    <n v="101"/>
    <s v="_x0000_US"/>
  </r>
  <r>
    <x v="0"/>
    <n v="13.690099999999999"/>
    <n v="-89.184100000000001"/>
    <n v="9429.6200000000008"/>
    <n v="0"/>
    <n v="0"/>
    <n v="101"/>
    <s v="_x0000_US"/>
  </r>
  <r>
    <x v="0"/>
    <n v="13.6913"/>
    <n v="-89.228499999999997"/>
    <n v="9429.7000000000007"/>
    <n v="0"/>
    <n v="0"/>
    <n v="101"/>
    <s v="_x0000_US"/>
  </r>
  <r>
    <x v="0"/>
    <n v="13.691000000000001"/>
    <n v="-89.234099999999998"/>
    <n v="9431.16"/>
    <n v="0"/>
    <n v="0"/>
    <n v="101"/>
    <s v="_x0000_US"/>
  </r>
  <r>
    <x v="0"/>
    <n v="13.6875"/>
    <n v="-89.216800000000006"/>
    <n v="9431.2999999999993"/>
    <n v="0"/>
    <n v="0"/>
    <n v="101"/>
    <s v="_x0000_US"/>
  </r>
  <r>
    <x v="0"/>
    <n v="13.6858"/>
    <n v="-89.211500000000001"/>
    <n v="9431.34"/>
    <n v="0"/>
    <n v="0"/>
    <n v="101"/>
    <s v="_x0000_US"/>
  </r>
  <r>
    <x v="0"/>
    <n v="13.6915"/>
    <n v="-89.227199999999996"/>
    <n v="9431.9599999999991"/>
    <n v="0"/>
    <n v="0"/>
    <n v="101"/>
    <s v="_x0000_US"/>
  </r>
  <r>
    <x v="0"/>
    <n v="13.673400000000001"/>
    <n v="-89.251499999999993"/>
    <n v="9432"/>
    <n v="0"/>
    <n v="0"/>
    <n v="101"/>
    <s v="_x0000_US"/>
  </r>
  <r>
    <x v="0"/>
    <n v="13.6915"/>
    <n v="-89.197299999999998"/>
    <n v="9433.19"/>
    <n v="0"/>
    <n v="0"/>
    <n v="101"/>
    <s v="_x0000_US"/>
  </r>
  <r>
    <x v="0"/>
    <n v="13.688599999999999"/>
    <n v="-89.216399999999993"/>
    <n v="9433.3799999999992"/>
    <n v="0"/>
    <n v="0"/>
    <n v="101"/>
    <s v="_x0000_US"/>
  </r>
  <r>
    <x v="0"/>
    <n v="13.695"/>
    <n v="-89.173500000000004"/>
    <n v="9433.52"/>
    <n v="0"/>
    <n v="0"/>
    <n v="101"/>
    <s v="_x0000_US"/>
  </r>
  <r>
    <x v="0"/>
    <n v="13.691000000000001"/>
    <n v="-89.186400000000006"/>
    <n v="9434"/>
    <n v="0"/>
    <n v="0"/>
    <n v="101"/>
    <s v="_x0000_US"/>
  </r>
  <r>
    <x v="0"/>
    <n v="13.6873"/>
    <n v="-89.194500000000005"/>
    <n v="9434.1299999999992"/>
    <n v="0"/>
    <n v="0"/>
    <n v="101"/>
    <s v="_x0000_US"/>
  </r>
  <r>
    <x v="0"/>
    <n v="13.688599999999999"/>
    <n v="-89.190600000000003"/>
    <n v="9434.33"/>
    <n v="0"/>
    <n v="0"/>
    <n v="101"/>
    <s v="_x0000_US"/>
  </r>
  <r>
    <x v="0"/>
    <n v="13.690300000000001"/>
    <n v="-89.235699999999994"/>
    <n v="9434.36"/>
    <n v="0"/>
    <n v="0"/>
    <n v="101"/>
    <s v="_x0000_US"/>
  </r>
  <r>
    <x v="0"/>
    <n v="13.6905"/>
    <n v="-89.233800000000002"/>
    <n v="9435.08"/>
    <n v="0"/>
    <n v="0"/>
    <n v="101"/>
    <s v="_x0000_US"/>
  </r>
  <r>
    <x v="0"/>
    <n v="13.691000000000001"/>
    <n v="-89.230400000000003"/>
    <n v="9435.74"/>
    <n v="0"/>
    <n v="0"/>
    <n v="101"/>
    <s v="_x0000_US"/>
  </r>
  <r>
    <x v="0"/>
    <n v="13.6953"/>
    <n v="-89.174300000000002"/>
    <n v="9436.02"/>
    <n v="0"/>
    <n v="0"/>
    <n v="101"/>
    <s v="_x0000_US"/>
  </r>
  <r>
    <x v="0"/>
    <n v="13.6915"/>
    <n v="-89.233599999999996"/>
    <n v="9436.27"/>
    <n v="0"/>
    <n v="0"/>
    <n v="101"/>
    <s v="_x0000_US"/>
  </r>
  <r>
    <x v="0"/>
    <n v="13.69"/>
    <n v="-89.235200000000006"/>
    <n v="9436.2999999999993"/>
    <n v="0"/>
    <n v="0"/>
    <n v="101"/>
    <s v="_x0000_US"/>
  </r>
  <r>
    <x v="0"/>
    <n v="13.685600000000001"/>
    <n v="-89.216399999999993"/>
    <n v="9436.57"/>
    <n v="0"/>
    <n v="0"/>
    <n v="101"/>
    <s v="_x0000_US"/>
  </r>
  <r>
    <x v="0"/>
    <n v="13.6881"/>
    <n v="-89.19"/>
    <n v="9436.68"/>
    <n v="0"/>
    <n v="0"/>
    <n v="101"/>
    <s v="_x0000_US"/>
  </r>
  <r>
    <x v="0"/>
    <n v="13.694599999999999"/>
    <n v="-89.183199999999999"/>
    <n v="9436.94"/>
    <n v="0"/>
    <n v="0"/>
    <n v="101"/>
    <s v="_x0000_US"/>
  </r>
  <r>
    <x v="0"/>
    <n v="13.6859"/>
    <n v="-89.211200000000005"/>
    <n v="9437.2199999999993"/>
    <n v="0"/>
    <n v="0"/>
    <n v="101"/>
    <s v="_x0000_US"/>
  </r>
  <r>
    <x v="0"/>
    <n v="13.6851"/>
    <n v="-89.202600000000004"/>
    <n v="9437.9"/>
    <n v="0"/>
    <n v="0"/>
    <n v="101"/>
    <s v="_x0000_US"/>
  </r>
  <r>
    <x v="0"/>
    <n v="13.6873"/>
    <n v="-89.194100000000006"/>
    <n v="9438.44"/>
    <n v="0"/>
    <n v="0"/>
    <n v="101"/>
    <s v="_x0000_US"/>
  </r>
  <r>
    <x v="0"/>
    <n v="13.692399999999999"/>
    <n v="-89.224100000000007"/>
    <n v="9439.01"/>
    <n v="0"/>
    <n v="0"/>
    <n v="101"/>
    <s v="_x0000_US"/>
  </r>
  <r>
    <x v="0"/>
    <n v="13.6929"/>
    <n v="-89.176900000000003"/>
    <n v="9439.2099999999991"/>
    <n v="0"/>
    <n v="0"/>
    <n v="101"/>
    <s v="_x0000_US"/>
  </r>
  <r>
    <x v="0"/>
    <n v="13.691599999999999"/>
    <n v="-89.226399999999998"/>
    <n v="9439.33"/>
    <n v="0"/>
    <n v="0"/>
    <n v="101"/>
    <s v="_x0000_US"/>
  </r>
  <r>
    <x v="0"/>
    <n v="13.6898"/>
    <n v="-89.193899999999999"/>
    <n v="9439.83"/>
    <n v="0"/>
    <n v="0"/>
    <n v="101"/>
    <s v="_x0000_US"/>
  </r>
  <r>
    <x v="0"/>
    <n v="13.6851"/>
    <n v="-89.193799999999996"/>
    <n v="9439.99"/>
    <n v="0"/>
    <n v="0"/>
    <n v="101"/>
    <s v="_x0000_US"/>
  </r>
  <r>
    <x v="0"/>
    <n v="13.674200000000001"/>
    <n v="-89.252399999999994"/>
    <n v="9440.06"/>
    <n v="0"/>
    <n v="0"/>
    <n v="101"/>
    <s v="_x0000_US"/>
  </r>
  <r>
    <x v="0"/>
    <n v="13.679600000000001"/>
    <n v="-89.194299999999998"/>
    <n v="9440.19"/>
    <n v="0"/>
    <n v="0"/>
    <n v="101"/>
    <s v="_x0000_US"/>
  </r>
  <r>
    <x v="0"/>
    <n v="13.6875"/>
    <n v="-89.194800000000001"/>
    <n v="9440.26"/>
    <n v="0"/>
    <n v="0"/>
    <n v="101"/>
    <s v="_x0000_US"/>
  </r>
  <r>
    <x v="0"/>
    <n v="13.6869"/>
    <n v="-89.182500000000005"/>
    <n v="9440.61"/>
    <n v="0"/>
    <n v="0"/>
    <n v="101"/>
    <s v="_x0000_US"/>
  </r>
  <r>
    <x v="0"/>
    <n v="13.6953"/>
    <n v="-89.172300000000007"/>
    <n v="9441"/>
    <n v="0"/>
    <n v="0"/>
    <n v="101"/>
    <s v="_x0000_US"/>
  </r>
  <r>
    <x v="0"/>
    <n v="13.690200000000001"/>
    <n v="-89.195899999999995"/>
    <n v="9441.3799999999992"/>
    <n v="0"/>
    <n v="0"/>
    <n v="101"/>
    <s v="_x0000_US"/>
  </r>
  <r>
    <x v="0"/>
    <n v="13.696999999999999"/>
    <n v="-89.171700000000001"/>
    <n v="9441.52"/>
    <n v="0"/>
    <n v="0"/>
    <n v="101"/>
    <s v="_x0000_US"/>
  </r>
  <r>
    <x v="0"/>
    <n v="13.684900000000001"/>
    <n v="-89.213300000000004"/>
    <n v="9441.5499999999993"/>
    <n v="0"/>
    <n v="0"/>
    <n v="101"/>
    <s v="_x0000_US"/>
  </r>
  <r>
    <x v="0"/>
    <n v="13.6899"/>
    <n v="-89.235500000000002"/>
    <n v="9441.56"/>
    <n v="0"/>
    <n v="0"/>
    <n v="101"/>
    <s v="_x0000_US"/>
  </r>
  <r>
    <x v="0"/>
    <n v="13.6873"/>
    <n v="-89.191599999999994"/>
    <n v="9441.73"/>
    <n v="0"/>
    <n v="0"/>
    <n v="101"/>
    <s v="_x0000_US"/>
  </r>
  <r>
    <x v="0"/>
    <n v="13.6882"/>
    <n v="-89.216899999999995"/>
    <n v="9442.26"/>
    <n v="0"/>
    <n v="0"/>
    <n v="101"/>
    <s v="_x0000_US"/>
  </r>
  <r>
    <x v="0"/>
    <n v="13.690899999999999"/>
    <n v="-89.235600000000005"/>
    <n v="9442.2800000000007"/>
    <n v="0"/>
    <n v="0"/>
    <n v="101"/>
    <s v="_x0000_US"/>
  </r>
  <r>
    <x v="0"/>
    <n v="13.687200000000001"/>
    <n v="-89.194699999999997"/>
    <n v="9442.34"/>
    <n v="0"/>
    <n v="0"/>
    <n v="101"/>
    <s v="_x0000_US"/>
  </r>
  <r>
    <x v="0"/>
    <n v="13.6853"/>
    <n v="-89.215299999999999"/>
    <n v="9442.64"/>
    <n v="0"/>
    <n v="0"/>
    <n v="101"/>
    <s v="_x0000_US"/>
  </r>
  <r>
    <x v="0"/>
    <n v="13.691800000000001"/>
    <n v="-89.194400000000002"/>
    <n v="9443.16"/>
    <n v="0"/>
    <n v="0"/>
    <n v="101"/>
    <s v="_x0000_US"/>
  </r>
  <r>
    <x v="0"/>
    <n v="13.6858"/>
    <n v="-89.211500000000001"/>
    <n v="9444.24"/>
    <n v="0"/>
    <n v="0"/>
    <n v="101"/>
    <s v="_x0000_US"/>
  </r>
  <r>
    <x v="0"/>
    <n v="13.6912"/>
    <n v="-89.2196"/>
    <n v="9444.35"/>
    <n v="0"/>
    <n v="0"/>
    <n v="101"/>
    <s v="_x0000_US"/>
  </r>
  <r>
    <x v="0"/>
    <n v="13.685499999999999"/>
    <n v="-89.211200000000005"/>
    <n v="9444.49"/>
    <n v="0"/>
    <n v="0"/>
    <n v="101"/>
    <s v="_x0000_US"/>
  </r>
  <r>
    <x v="0"/>
    <n v="13.695"/>
    <n v="-89.173699999999997"/>
    <n v="9444.9699999999993"/>
    <n v="0"/>
    <n v="0"/>
    <n v="101"/>
    <s v="_x0000_US"/>
  </r>
  <r>
    <x v="0"/>
    <n v="13.685700000000001"/>
    <n v="-89.213899999999995"/>
    <n v="9445.5"/>
    <n v="0"/>
    <n v="0"/>
    <n v="101"/>
    <s v="_x0000_US"/>
  </r>
  <r>
    <x v="0"/>
    <n v="13.6914"/>
    <n v="-89.227099999999993"/>
    <n v="9445.76"/>
    <n v="0"/>
    <n v="0"/>
    <n v="101"/>
    <s v="_x0000_US"/>
  </r>
  <r>
    <x v="0"/>
    <n v="13.690300000000001"/>
    <n v="-89.179900000000004"/>
    <n v="9445.9699999999993"/>
    <n v="0"/>
    <n v="0"/>
    <n v="101"/>
    <s v="_x0000_US"/>
  </r>
  <r>
    <x v="0"/>
    <n v="13.6853"/>
    <n v="-89.211299999999994"/>
    <n v="9446.0300000000007"/>
    <n v="0"/>
    <n v="0"/>
    <n v="101"/>
    <s v="_x0000_US"/>
  </r>
  <r>
    <x v="0"/>
    <n v="13.674899999999999"/>
    <n v="-89.199600000000004"/>
    <n v="9446.27"/>
    <n v="0"/>
    <n v="0"/>
    <n v="101"/>
    <s v="_x0000_US"/>
  </r>
  <r>
    <x v="0"/>
    <n v="13.691599999999999"/>
    <n v="-89.185500000000005"/>
    <n v="9446.34"/>
    <n v="0"/>
    <n v="0"/>
    <n v="101"/>
    <s v="_x0000_US"/>
  </r>
  <r>
    <x v="0"/>
    <n v="13.6751"/>
    <n v="-89.25"/>
    <n v="9446.76"/>
    <n v="0"/>
    <n v="0"/>
    <n v="101"/>
    <s v="_x0000_US"/>
  </r>
  <r>
    <x v="0"/>
    <n v="13.6907"/>
    <n v="-89.190600000000003"/>
    <n v="9446.81"/>
    <n v="0"/>
    <n v="0"/>
    <n v="101"/>
    <s v="_x0000_US"/>
  </r>
  <r>
    <x v="0"/>
    <n v="13.6928"/>
    <n v="-89.224599999999995"/>
    <n v="9447.2000000000007"/>
    <n v="0"/>
    <n v="0"/>
    <n v="101"/>
    <s v="_x0000_US"/>
  </r>
  <r>
    <x v="0"/>
    <n v="13.690099999999999"/>
    <n v="-89.236000000000004"/>
    <n v="9447.33"/>
    <n v="0"/>
    <n v="0"/>
    <n v="101"/>
    <s v="_x0000_US"/>
  </r>
  <r>
    <x v="0"/>
    <n v="13.6928"/>
    <n v="-89.224699999999999"/>
    <n v="9447.36"/>
    <n v="0"/>
    <n v="0"/>
    <n v="101"/>
    <s v="_x0000_US"/>
  </r>
  <r>
    <x v="0"/>
    <n v="13.692"/>
    <n v="-89.221800000000002"/>
    <n v="9447.5499999999993"/>
    <n v="0"/>
    <n v="0"/>
    <n v="101"/>
    <s v="_x0000_US"/>
  </r>
  <r>
    <x v="0"/>
    <n v="13.690200000000001"/>
    <n v="-89.179599999999994"/>
    <n v="9447.77"/>
    <n v="0"/>
    <n v="0"/>
    <n v="101"/>
    <s v="_x0000_US"/>
  </r>
  <r>
    <x v="0"/>
    <n v="13.6883"/>
    <n v="-89.216700000000003"/>
    <n v="9447.84"/>
    <n v="0"/>
    <n v="0"/>
    <n v="101"/>
    <s v="_x0000_US"/>
  </r>
  <r>
    <x v="0"/>
    <n v="13.6774"/>
    <n v="-89.246700000000004"/>
    <n v="9448.0300000000007"/>
    <n v="0"/>
    <n v="0"/>
    <n v="101"/>
    <s v="_x0000_US"/>
  </r>
  <r>
    <x v="0"/>
    <n v="13.6967"/>
    <n v="-89.171499999999995"/>
    <n v="9448.41"/>
    <n v="0"/>
    <n v="0"/>
    <n v="101"/>
    <s v="_x0000_US"/>
  </r>
  <r>
    <x v="0"/>
    <n v="13.6883"/>
    <n v="-89.205600000000004"/>
    <n v="9450.06"/>
    <n v="0"/>
    <n v="0"/>
    <n v="101"/>
    <s v="_x0000_US"/>
  </r>
  <r>
    <x v="0"/>
    <n v="13.6868"/>
    <n v="-89.194500000000005"/>
    <n v="9450.17"/>
    <n v="0"/>
    <n v="0"/>
    <n v="101"/>
    <s v="_x0000_US"/>
  </r>
  <r>
    <x v="0"/>
    <n v="13.691700000000001"/>
    <n v="-89.225499999999997"/>
    <n v="9450.4500000000007"/>
    <n v="0"/>
    <n v="0"/>
    <n v="101"/>
    <s v="_x0000_US"/>
  </r>
  <r>
    <x v="0"/>
    <n v="13.6896"/>
    <n v="-89.188900000000004"/>
    <n v="9450.49"/>
    <n v="0"/>
    <n v="0"/>
    <n v="101"/>
    <s v="_x0000_US"/>
  </r>
  <r>
    <x v="0"/>
    <n v="13.6906"/>
    <n v="-89.194299999999998"/>
    <n v="9450.56"/>
    <n v="0"/>
    <n v="0"/>
    <n v="101"/>
    <s v="_x0000_US"/>
  </r>
  <r>
    <x v="0"/>
    <n v="13.694000000000001"/>
    <n v="-89.175299999999993"/>
    <n v="9450.9599999999991"/>
    <n v="0"/>
    <n v="0"/>
    <n v="101"/>
    <s v="_x0000_US"/>
  </r>
  <r>
    <x v="0"/>
    <n v="13.674799999999999"/>
    <n v="-89.251999999999995"/>
    <n v="9451.43"/>
    <n v="0"/>
    <n v="0"/>
    <n v="101"/>
    <s v="_x0000_US"/>
  </r>
  <r>
    <x v="0"/>
    <n v="13.696"/>
    <n v="-89.172499999999999"/>
    <n v="9451.75"/>
    <n v="0"/>
    <n v="0"/>
    <n v="101"/>
    <s v="_x0000_US"/>
  </r>
  <r>
    <x v="0"/>
    <n v="13.692600000000001"/>
    <n v="-89.225800000000007"/>
    <n v="9451.98"/>
    <n v="0"/>
    <n v="0"/>
    <n v="101"/>
    <s v="_x0000_US"/>
  </r>
  <r>
    <x v="0"/>
    <n v="13.6896"/>
    <n v="-89.235699999999994"/>
    <n v="9452.06"/>
    <n v="0"/>
    <n v="0"/>
    <n v="101"/>
    <s v="_x0000_US"/>
  </r>
  <r>
    <x v="0"/>
    <n v="13.6868"/>
    <n v="-89.2149"/>
    <n v="9452.82"/>
    <n v="0"/>
    <n v="0"/>
    <n v="101"/>
    <s v="_x0000_US"/>
  </r>
  <r>
    <x v="0"/>
    <n v="13.692600000000001"/>
    <n v="-89.224800000000002"/>
    <n v="9454.23"/>
    <n v="0"/>
    <n v="0"/>
    <n v="101"/>
    <s v="_x0000_US"/>
  </r>
  <r>
    <x v="0"/>
    <n v="13.6945"/>
    <n v="-89.188999999999993"/>
    <n v="9454.2999999999993"/>
    <n v="0"/>
    <n v="0"/>
    <n v="101"/>
    <s v="_x0000_US"/>
  </r>
  <r>
    <x v="0"/>
    <n v="13.6853"/>
    <n v="-89.217299999999994"/>
    <n v="9454.44"/>
    <n v="0"/>
    <n v="0"/>
    <n v="101"/>
    <s v="_x0000_US"/>
  </r>
  <r>
    <x v="0"/>
    <n v="13.6897"/>
    <n v="-89.193899999999999"/>
    <n v="9454.58"/>
    <n v="0"/>
    <n v="0"/>
    <n v="101"/>
    <s v="_x0000_US"/>
  </r>
  <r>
    <x v="0"/>
    <n v="13.686"/>
    <n v="-89.211299999999994"/>
    <n v="9454.98"/>
    <n v="0"/>
    <n v="0"/>
    <n v="101"/>
    <s v="_x0000_US"/>
  </r>
  <r>
    <x v="0"/>
    <n v="13.6854"/>
    <n v="-89.202399999999997"/>
    <n v="9455.07"/>
    <n v="0"/>
    <n v="0"/>
    <n v="101"/>
    <s v="_x0000_US"/>
  </r>
  <r>
    <x v="0"/>
    <n v="13.6915"/>
    <n v="-89.226900000000001"/>
    <n v="9455.84"/>
    <n v="0"/>
    <n v="0"/>
    <n v="101"/>
    <s v="_x0000_US"/>
  </r>
  <r>
    <x v="0"/>
    <n v="13.6953"/>
    <n v="-89.174199999999999"/>
    <n v="9456.1299999999992"/>
    <n v="0"/>
    <n v="0"/>
    <n v="101"/>
    <s v="_x0000_US"/>
  </r>
  <r>
    <x v="0"/>
    <n v="13.690799999999999"/>
    <n v="-89.194599999999994"/>
    <n v="9456.35"/>
    <n v="0"/>
    <n v="0"/>
    <n v="101"/>
    <s v="_x0000_US"/>
  </r>
  <r>
    <x v="0"/>
    <n v="13.6919"/>
    <n v="-89.183199999999999"/>
    <n v="9456.41"/>
    <n v="0"/>
    <n v="0"/>
    <n v="101"/>
    <s v="_x0000_US"/>
  </r>
  <r>
    <x v="0"/>
    <n v="13.696199999999999"/>
    <n v="-89.171800000000005"/>
    <n v="9456.77"/>
    <n v="0"/>
    <n v="0"/>
    <n v="101"/>
    <s v="_x0000_US"/>
  </r>
  <r>
    <x v="0"/>
    <n v="13.687200000000001"/>
    <n v="-89.1965"/>
    <n v="9457.24"/>
    <n v="0"/>
    <n v="0"/>
    <n v="101"/>
    <s v="_x0000_US"/>
  </r>
  <r>
    <x v="0"/>
    <n v="13.689299999999999"/>
    <n v="-89.207999999999998"/>
    <n v="9457.2900000000009"/>
    <n v="0"/>
    <n v="0"/>
    <n v="101"/>
    <s v="_x0000_US"/>
  </r>
  <r>
    <x v="0"/>
    <n v="13.688499999999999"/>
    <n v="-89.198300000000003"/>
    <n v="9458.58"/>
    <n v="0"/>
    <n v="0"/>
    <n v="101"/>
    <s v="_x0000_US"/>
  </r>
  <r>
    <x v="0"/>
    <n v="13.690899999999999"/>
    <n v="-89.232799999999997"/>
    <n v="9458.68"/>
    <n v="0"/>
    <n v="0"/>
    <n v="101"/>
    <s v="_x0000_US"/>
  </r>
  <r>
    <x v="0"/>
    <n v="13.6799"/>
    <n v="-89.197100000000006"/>
    <n v="9459.11"/>
    <n v="0"/>
    <n v="0"/>
    <n v="101"/>
    <s v="_x0000_US"/>
  </r>
  <r>
    <x v="0"/>
    <n v="13.6868"/>
    <n v="-89.202600000000004"/>
    <n v="9459.36"/>
    <n v="0"/>
    <n v="0"/>
    <n v="101"/>
    <s v="_x0000_US"/>
  </r>
  <r>
    <x v="0"/>
    <n v="13.6883"/>
    <n v="-89.198099999999997"/>
    <n v="9459.56"/>
    <n v="0"/>
    <n v="0"/>
    <n v="101"/>
    <s v="_x0000_US"/>
  </r>
  <r>
    <x v="0"/>
    <n v="13.6945"/>
    <n v="-89.175299999999993"/>
    <n v="9459.7199999999993"/>
    <n v="0"/>
    <n v="0"/>
    <n v="101"/>
    <s v="_x0000_US"/>
  </r>
  <r>
    <x v="0"/>
    <n v="13.6944"/>
    <n v="-89.183099999999996"/>
    <n v="9459.76"/>
    <n v="0"/>
    <n v="0"/>
    <n v="101"/>
    <s v="_x0000_US"/>
  </r>
  <r>
    <x v="0"/>
    <n v="13.690300000000001"/>
    <n v="-89.184299999999993"/>
    <n v="9459.85"/>
    <n v="0"/>
    <n v="0"/>
    <n v="101"/>
    <s v="_x0000_US"/>
  </r>
  <r>
    <x v="0"/>
    <n v="13.695399999999999"/>
    <n v="-89.173299999999998"/>
    <n v="9460.16"/>
    <n v="0"/>
    <n v="0"/>
    <n v="101"/>
    <s v="_x0000_US"/>
  </r>
  <r>
    <x v="0"/>
    <n v="13.6907"/>
    <n v="-89.235200000000006"/>
    <n v="9460.16"/>
    <n v="0"/>
    <n v="0"/>
    <n v="101"/>
    <s v="_x0000_US"/>
  </r>
  <r>
    <x v="0"/>
    <n v="13.685700000000001"/>
    <n v="-89.201999999999998"/>
    <n v="9460.31"/>
    <n v="0"/>
    <n v="0"/>
    <n v="101"/>
    <s v="_x0000_US"/>
  </r>
  <r>
    <x v="0"/>
    <n v="13.6896"/>
    <n v="-89.228800000000007"/>
    <n v="9460.68"/>
    <n v="0"/>
    <n v="0"/>
    <n v="101"/>
    <s v="_x0000_US"/>
  </r>
  <r>
    <x v="0"/>
    <n v="13.698"/>
    <n v="-89.168700000000001"/>
    <n v="9460.77"/>
    <n v="0"/>
    <n v="0"/>
    <n v="101"/>
    <s v="_x0000_US"/>
  </r>
  <r>
    <x v="0"/>
    <n v="13.6905"/>
    <n v="-89.235399999999998"/>
    <n v="9460.98"/>
    <n v="0"/>
    <n v="0"/>
    <n v="101"/>
    <s v="_x0000_US"/>
  </r>
  <r>
    <x v="0"/>
    <n v="13.694599999999999"/>
    <n v="-89.174099999999996"/>
    <n v="9461.02"/>
    <n v="0"/>
    <n v="0"/>
    <n v="101"/>
    <s v="_x0000_US"/>
  </r>
  <r>
    <x v="0"/>
    <n v="13.690899999999999"/>
    <n v="-89.232699999999994"/>
    <n v="9461.31"/>
    <n v="0"/>
    <n v="0"/>
    <n v="101"/>
    <s v="_x0000_US"/>
  </r>
  <r>
    <x v="0"/>
    <n v="13.6913"/>
    <n v="-89.219800000000006"/>
    <n v="9461.6200000000008"/>
    <n v="0"/>
    <n v="0"/>
    <n v="101"/>
    <s v="_x0000_US"/>
  </r>
  <r>
    <x v="0"/>
    <n v="13.687099999999999"/>
    <n v="-89.181100000000001"/>
    <n v="9462.52"/>
    <n v="0"/>
    <n v="0"/>
    <n v="101"/>
    <s v="_x0000_US"/>
  </r>
  <r>
    <x v="0"/>
    <n v="13.6959"/>
    <n v="-89.165899999999993"/>
    <n v="9462.5400000000009"/>
    <n v="0"/>
    <n v="0"/>
    <n v="101"/>
    <s v="_x0000_US"/>
  </r>
  <r>
    <x v="0"/>
    <n v="13.6747"/>
    <n v="-89.199399999999997"/>
    <n v="9462.58"/>
    <n v="0"/>
    <n v="0"/>
    <n v="101"/>
    <s v="_x0000_US"/>
  </r>
  <r>
    <x v="0"/>
    <n v="13.686999999999999"/>
    <n v="-89.201499999999996"/>
    <n v="9462.9500000000007"/>
    <n v="0"/>
    <n v="0"/>
    <n v="101"/>
    <s v="_x0000_US"/>
  </r>
  <r>
    <x v="0"/>
    <n v="13.6907"/>
    <n v="-89.187299999999993"/>
    <n v="9463.0400000000009"/>
    <n v="0"/>
    <n v="0"/>
    <n v="101"/>
    <s v="_x0000_US"/>
  </r>
  <r>
    <x v="0"/>
    <n v="13.6915"/>
    <n v="-89.185500000000005"/>
    <n v="9463.26"/>
    <n v="0"/>
    <n v="0"/>
    <n v="101"/>
    <s v="_x0000_US"/>
  </r>
  <r>
    <x v="0"/>
    <n v="13.6898"/>
    <n v="-89.193899999999999"/>
    <n v="9464.14"/>
    <n v="0"/>
    <n v="0"/>
    <n v="101"/>
    <s v="_x0000_US"/>
  </r>
  <r>
    <x v="0"/>
    <n v="13.691700000000001"/>
    <n v="-89.220799999999997"/>
    <n v="9464.2199999999993"/>
    <n v="0"/>
    <n v="0"/>
    <n v="101"/>
    <s v="_x0000_US"/>
  </r>
  <r>
    <x v="0"/>
    <n v="13.6875"/>
    <n v="-89.1815"/>
    <n v="9464.2800000000007"/>
    <n v="0"/>
    <n v="0"/>
    <n v="101"/>
    <s v="_x0000_US"/>
  </r>
  <r>
    <x v="0"/>
    <n v="13.6852"/>
    <n v="-89.216300000000004"/>
    <n v="9465.66"/>
    <n v="0"/>
    <n v="0"/>
    <n v="101"/>
    <s v="_x0000_US"/>
  </r>
  <r>
    <x v="0"/>
    <n v="13.690799999999999"/>
    <n v="-89.235100000000003"/>
    <n v="9466.1299999999992"/>
    <n v="0"/>
    <n v="0"/>
    <n v="101"/>
    <s v="_x0000_US"/>
  </r>
  <r>
    <x v="0"/>
    <n v="13.6921"/>
    <n v="-89.179199999999994"/>
    <n v="9466.64"/>
    <n v="0"/>
    <n v="0"/>
    <n v="101"/>
    <s v="_x0000_US"/>
  </r>
  <r>
    <x v="0"/>
    <n v="13.688800000000001"/>
    <n v="-89.204400000000007"/>
    <n v="9466.7999999999993"/>
    <n v="0"/>
    <n v="0"/>
    <n v="101"/>
    <s v="_x0000_US"/>
  </r>
  <r>
    <x v="0"/>
    <n v="13.689399999999999"/>
    <n v="-89.228999999999999"/>
    <n v="9467.02"/>
    <n v="0"/>
    <n v="0"/>
    <n v="101"/>
    <s v="_x0000_US"/>
  </r>
  <r>
    <x v="0"/>
    <n v="13.689500000000001"/>
    <n v="-89.188900000000004"/>
    <n v="9467.07"/>
    <n v="0"/>
    <n v="0"/>
    <n v="101"/>
    <s v="_x0000_US"/>
  </r>
  <r>
    <x v="0"/>
    <n v="13.6869"/>
    <n v="-89.194299999999998"/>
    <n v="9467.36"/>
    <n v="0"/>
    <n v="0"/>
    <n v="101"/>
    <s v="_x0000_US"/>
  </r>
  <r>
    <x v="0"/>
    <n v="13.6752"/>
    <n v="-89.250200000000007"/>
    <n v="9467.36"/>
    <n v="0"/>
    <n v="0"/>
    <n v="101"/>
    <s v="_x0000_US"/>
  </r>
  <r>
    <x v="0"/>
    <n v="13.6907"/>
    <n v="-89.181299999999993"/>
    <n v="9467.59"/>
    <n v="0"/>
    <n v="0"/>
    <n v="101"/>
    <s v="_x0000_US"/>
  </r>
  <r>
    <x v="0"/>
    <n v="13.6906"/>
    <n v="-89.181299999999993"/>
    <n v="9468.1"/>
    <n v="0"/>
    <n v="0"/>
    <n v="101"/>
    <s v="_x0000_US"/>
  </r>
  <r>
    <x v="0"/>
    <n v="13.689399999999999"/>
    <n v="-89.229100000000003"/>
    <n v="9468.56"/>
    <n v="0"/>
    <n v="0"/>
    <n v="101"/>
    <s v="_x0000_US"/>
  </r>
  <r>
    <x v="0"/>
    <n v="13.692600000000001"/>
    <n v="-89.179299999999998"/>
    <n v="9468.84"/>
    <n v="0"/>
    <n v="0"/>
    <n v="101"/>
    <s v="_x0000_US"/>
  </r>
  <r>
    <x v="0"/>
    <n v="13.6935"/>
    <n v="-89.176000000000002"/>
    <n v="9469.16"/>
    <n v="0"/>
    <n v="0"/>
    <n v="101"/>
    <s v="_x0000_US"/>
  </r>
  <r>
    <x v="0"/>
    <n v="13.686299999999999"/>
    <n v="-89.203000000000003"/>
    <n v="9469.2000000000007"/>
    <n v="0"/>
    <n v="0"/>
    <n v="101"/>
    <s v="_x0000_US"/>
  </r>
  <r>
    <x v="0"/>
    <n v="13.6798"/>
    <n v="-89.195400000000006"/>
    <n v="9469.2999999999993"/>
    <n v="0"/>
    <n v="0"/>
    <n v="101"/>
    <s v="_x0000_US"/>
  </r>
  <r>
    <x v="0"/>
    <n v="13.689399999999999"/>
    <n v="-89.180700000000002"/>
    <n v="9469.32"/>
    <n v="0"/>
    <n v="0"/>
    <n v="101"/>
    <s v="_x0000_US"/>
  </r>
  <r>
    <x v="0"/>
    <n v="13.6798"/>
    <n v="-89.194500000000005"/>
    <n v="9469.4500000000007"/>
    <n v="0"/>
    <n v="0"/>
    <n v="101"/>
    <s v="_x0000_US"/>
  </r>
  <r>
    <x v="0"/>
    <n v="13.697100000000001"/>
    <n v="-89.171700000000001"/>
    <n v="9469.4699999999993"/>
    <n v="0"/>
    <n v="0"/>
    <n v="101"/>
    <s v="_x0000_US"/>
  </r>
  <r>
    <x v="0"/>
    <n v="13.6943"/>
    <n v="-89.183300000000003"/>
    <n v="9469.5400000000009"/>
    <n v="0"/>
    <n v="0"/>
    <n v="101"/>
    <s v="_x0000_US"/>
  </r>
  <r>
    <x v="0"/>
    <n v="13.6891"/>
    <n v="-89.205100000000002"/>
    <n v="9469.7800000000007"/>
    <n v="0"/>
    <n v="0"/>
    <n v="101"/>
    <s v="_x0000_US"/>
  </r>
  <r>
    <x v="0"/>
    <n v="13.6892"/>
    <n v="-89.178100000000001"/>
    <n v="9470.1200000000008"/>
    <n v="0"/>
    <n v="0"/>
    <n v="101"/>
    <s v="_x0000_US"/>
  </r>
  <r>
    <x v="0"/>
    <n v="13.6753"/>
    <n v="-89.250200000000007"/>
    <n v="9470.18"/>
    <n v="0"/>
    <n v="0"/>
    <n v="101"/>
    <s v="_x0000_US"/>
  </r>
  <r>
    <x v="0"/>
    <n v="13.6851"/>
    <n v="-89.217100000000002"/>
    <n v="9471.06"/>
    <n v="0"/>
    <n v="0"/>
    <n v="101"/>
    <s v="_x0000_US"/>
  </r>
  <r>
    <x v="0"/>
    <n v="13.6951"/>
    <n v="-89.172499999999999"/>
    <n v="9471.81"/>
    <n v="0"/>
    <n v="0"/>
    <n v="101"/>
    <s v="_x0000_US"/>
  </r>
  <r>
    <x v="0"/>
    <n v="13.6911"/>
    <n v="-89.220399999999998"/>
    <n v="9472.59"/>
    <n v="0"/>
    <n v="0"/>
    <n v="101"/>
    <s v="_x0000_US"/>
  </r>
  <r>
    <x v="0"/>
    <n v="13.6904"/>
    <n v="-89.194699999999997"/>
    <n v="9473.61"/>
    <n v="0"/>
    <n v="0"/>
    <n v="101"/>
    <s v="_x0000_US"/>
  </r>
  <r>
    <x v="0"/>
    <n v="13.6927"/>
    <n v="-89.179000000000002"/>
    <n v="9473.74"/>
    <n v="0"/>
    <n v="0"/>
    <n v="101"/>
    <s v="_x0000_US"/>
  </r>
  <r>
    <x v="0"/>
    <n v="13.688800000000001"/>
    <n v="-89.215400000000002"/>
    <n v="9474.02"/>
    <n v="0"/>
    <n v="0"/>
    <n v="101"/>
    <s v="_x0000_US"/>
  </r>
  <r>
    <x v="0"/>
    <n v="13.6914"/>
    <n v="-89.185699999999997"/>
    <n v="9474.09"/>
    <n v="0"/>
    <n v="0"/>
    <n v="101"/>
    <s v="_x0000_US"/>
  </r>
  <r>
    <x v="0"/>
    <n v="13.6873"/>
    <n v="-89.197900000000004"/>
    <n v="9474.23"/>
    <n v="0"/>
    <n v="0"/>
    <n v="101"/>
    <s v="_x0000_US"/>
  </r>
  <r>
    <x v="0"/>
    <n v="13.692299999999999"/>
    <n v="-89.174700000000001"/>
    <n v="9474.61"/>
    <n v="0"/>
    <n v="0"/>
    <n v="101"/>
    <s v="_x0000_US"/>
  </r>
  <r>
    <x v="0"/>
    <n v="13.6921"/>
    <n v="-89.185699999999997"/>
    <n v="9475.2199999999993"/>
    <n v="0"/>
    <n v="0"/>
    <n v="101"/>
    <s v="_x0000_US"/>
  </r>
  <r>
    <x v="0"/>
    <n v="13.6929"/>
    <n v="-89.178200000000004"/>
    <n v="9475.2900000000009"/>
    <n v="0"/>
    <n v="0"/>
    <n v="101"/>
    <s v="_x0000_US"/>
  </r>
  <r>
    <x v="0"/>
    <n v="13.6943"/>
    <n v="-89.188999999999993"/>
    <n v="9475.56"/>
    <n v="0"/>
    <n v="0"/>
    <n v="101"/>
    <s v="_x0000_US"/>
  </r>
  <r>
    <x v="0"/>
    <n v="13.6798"/>
    <n v="-89.194999999999993"/>
    <n v="9475.6"/>
    <n v="0"/>
    <n v="0"/>
    <n v="101"/>
    <s v="_x0000_US"/>
  </r>
  <r>
    <x v="0"/>
    <n v="13.673299999999999"/>
    <n v="-89.204300000000003"/>
    <n v="9476.5300000000007"/>
    <n v="0"/>
    <n v="0"/>
    <n v="101"/>
    <s v="_x0000_US"/>
  </r>
  <r>
    <x v="0"/>
    <n v="13.6972"/>
    <n v="-89.171199999999999"/>
    <n v="9476.89"/>
    <n v="0"/>
    <n v="0"/>
    <n v="101"/>
    <s v="_x0000_US"/>
  </r>
  <r>
    <x v="0"/>
    <n v="13.6889"/>
    <n v="-89.229399999999998"/>
    <n v="9477.33"/>
    <n v="0"/>
    <n v="0"/>
    <n v="101"/>
    <s v="_x0000_US"/>
  </r>
  <r>
    <x v="0"/>
    <n v="13.689299999999999"/>
    <n v="-89.2363"/>
    <n v="9477.35"/>
    <n v="0"/>
    <n v="0"/>
    <n v="101"/>
    <s v="_x0000_US"/>
  </r>
  <r>
    <x v="0"/>
    <n v="13.689500000000001"/>
    <n v="-89.184600000000003"/>
    <n v="9477.73"/>
    <n v="0"/>
    <n v="0"/>
    <n v="101"/>
    <s v="_x0000_US"/>
  </r>
  <r>
    <x v="0"/>
    <n v="13.6912"/>
    <n v="-89.190299999999993"/>
    <n v="9477.85"/>
    <n v="0"/>
    <n v="0"/>
    <n v="101"/>
    <s v="_x0000_US"/>
  </r>
  <r>
    <x v="0"/>
    <n v="13.695600000000001"/>
    <n v="-89.174000000000007"/>
    <n v="9478.31"/>
    <n v="0"/>
    <n v="0"/>
    <n v="101"/>
    <s v="_x0000_US"/>
  </r>
  <r>
    <x v="0"/>
    <n v="13.6911"/>
    <n v="-89.188500000000005"/>
    <n v="9478.76"/>
    <n v="0"/>
    <n v="0"/>
    <n v="101"/>
    <s v="_x0000_US"/>
  </r>
  <r>
    <x v="0"/>
    <n v="13.691000000000001"/>
    <n v="-89.2333"/>
    <n v="9479.77"/>
    <n v="0"/>
    <n v="0"/>
    <n v="101"/>
    <s v="_x0000_US"/>
  </r>
  <r>
    <x v="0"/>
    <n v="13.6883"/>
    <n v="-89.204400000000007"/>
    <n v="9480.99"/>
    <n v="0"/>
    <n v="0"/>
    <n v="101"/>
    <s v="_x0000_US"/>
  </r>
  <r>
    <x v="0"/>
    <n v="13.6921"/>
    <n v="-89.223399999999998"/>
    <n v="9481.49"/>
    <n v="0"/>
    <n v="0"/>
    <n v="101"/>
    <s v="_x0000_US"/>
  </r>
  <r>
    <x v="0"/>
    <n v="13.690300000000001"/>
    <n v="-89.217500000000001"/>
    <n v="9481.59"/>
    <n v="0"/>
    <n v="0"/>
    <n v="101"/>
    <s v="_x0000_US"/>
  </r>
  <r>
    <x v="0"/>
    <n v="13.6913"/>
    <n v="-89.219700000000003"/>
    <n v="9482.43"/>
    <n v="0"/>
    <n v="0"/>
    <n v="101"/>
    <s v="_x0000_US"/>
  </r>
  <r>
    <x v="0"/>
    <n v="13.6934"/>
    <n v="-89.188800000000001"/>
    <n v="9482.5300000000007"/>
    <n v="0"/>
    <n v="0"/>
    <n v="101"/>
    <s v="_x0000_US"/>
  </r>
  <r>
    <x v="0"/>
    <n v="13.6959"/>
    <n v="-89.172200000000004"/>
    <n v="9483.41"/>
    <n v="0"/>
    <n v="0"/>
    <n v="101"/>
    <s v="_x0000_US"/>
  </r>
  <r>
    <x v="0"/>
    <n v="13.6915"/>
    <n v="-89.197400000000002"/>
    <n v="9483.85"/>
    <n v="0"/>
    <n v="0"/>
    <n v="101"/>
    <s v="_x0000_US"/>
  </r>
  <r>
    <x v="0"/>
    <n v="13.688800000000001"/>
    <n v="-89.211699999999993"/>
    <n v="9484.11"/>
    <n v="0"/>
    <n v="0"/>
    <n v="101"/>
    <s v="_x0000_US"/>
  </r>
  <r>
    <x v="0"/>
    <n v="13.690899999999999"/>
    <n v="-89.190700000000007"/>
    <n v="9484.56"/>
    <n v="0"/>
    <n v="0"/>
    <n v="101"/>
    <s v="_x0000_US"/>
  </r>
  <r>
    <x v="0"/>
    <n v="13.6943"/>
    <n v="-89.174999999999997"/>
    <n v="9485.6200000000008"/>
    <n v="0"/>
    <n v="0"/>
    <n v="101"/>
    <s v="_x0000_US"/>
  </r>
  <r>
    <x v="0"/>
    <n v="13.691700000000001"/>
    <n v="-89.1785"/>
    <n v="9485.81"/>
    <n v="0"/>
    <n v="0"/>
    <n v="101"/>
    <s v="_x0000_US"/>
  </r>
  <r>
    <x v="0"/>
    <n v="13.690899999999999"/>
    <n v="-89.187200000000004"/>
    <n v="9486.77"/>
    <n v="0"/>
    <n v="0"/>
    <n v="101"/>
    <s v="_x0000_US"/>
  </r>
  <r>
    <x v="0"/>
    <n v="13.6875"/>
    <n v="-89.194500000000005"/>
    <n v="9487.01"/>
    <n v="0"/>
    <n v="0"/>
    <n v="101"/>
    <s v="_x0000_US"/>
  </r>
  <r>
    <x v="0"/>
    <n v="13.6922"/>
    <n v="-89.196899999999999"/>
    <n v="9487.25"/>
    <n v="0"/>
    <n v="0"/>
    <n v="101"/>
    <s v="_x0000_US"/>
  </r>
  <r>
    <x v="0"/>
    <n v="13.6859"/>
    <n v="-89.214799999999997"/>
    <n v="9487.26"/>
    <n v="0"/>
    <n v="0"/>
    <n v="101"/>
    <s v="_x0000_US"/>
  </r>
  <r>
    <x v="0"/>
    <n v="13.6934"/>
    <n v="-89.188299999999998"/>
    <n v="9487.61"/>
    <n v="0"/>
    <n v="0"/>
    <n v="101"/>
    <s v="_x0000_US"/>
  </r>
  <r>
    <x v="0"/>
    <n v="13.685499999999999"/>
    <n v="-89.201499999999996"/>
    <n v="9487.8700000000008"/>
    <n v="0"/>
    <n v="0"/>
    <n v="101"/>
    <s v="_x0000_US"/>
  </r>
  <r>
    <x v="0"/>
    <n v="13.6891"/>
    <n v="-89.18"/>
    <n v="9489.01"/>
    <n v="0"/>
    <n v="0"/>
    <n v="101"/>
    <s v="_x0000_US"/>
  </r>
  <r>
    <x v="0"/>
    <n v="13.6904"/>
    <n v="-89.233800000000002"/>
    <n v="9489.2199999999993"/>
    <n v="0"/>
    <n v="0"/>
    <n v="101"/>
    <s v="_x0000_US"/>
  </r>
  <r>
    <x v="0"/>
    <n v="13.6899"/>
    <n v="-89.189400000000006"/>
    <n v="9489.4500000000007"/>
    <n v="0"/>
    <n v="0"/>
    <n v="101"/>
    <s v="_x0000_US"/>
  </r>
  <r>
    <x v="0"/>
    <n v="13.692500000000001"/>
    <n v="-89.226100000000002"/>
    <n v="9489.93"/>
    <n v="0"/>
    <n v="0"/>
    <n v="101"/>
    <s v="_x0000_US"/>
  </r>
  <r>
    <x v="0"/>
    <n v="13.6912"/>
    <n v="-89.229600000000005"/>
    <n v="9490.35"/>
    <n v="0"/>
    <n v="0"/>
    <n v="101"/>
    <s v="_x0000_US"/>
  </r>
  <r>
    <x v="0"/>
    <n v="13.691000000000001"/>
    <n v="-89.228700000000003"/>
    <n v="9490.3799999999992"/>
    <n v="0"/>
    <n v="0"/>
    <n v="101"/>
    <s v="_x0000_US"/>
  </r>
  <r>
    <x v="0"/>
    <n v="13.6934"/>
    <n v="-89.176299999999998"/>
    <n v="9490.4"/>
    <n v="0"/>
    <n v="0"/>
    <n v="101"/>
    <s v="_x0000_US"/>
  </r>
  <r>
    <x v="0"/>
    <n v="13.6915"/>
    <n v="-89.228700000000003"/>
    <n v="9490.4699999999993"/>
    <n v="0"/>
    <n v="0"/>
    <n v="101"/>
    <s v="_x0000_US"/>
  </r>
  <r>
    <x v="0"/>
    <n v="13.688000000000001"/>
    <n v="-89.237099999999998"/>
    <n v="9490.52"/>
    <n v="0"/>
    <n v="0"/>
    <n v="101"/>
    <s v="_x0000_US"/>
  </r>
  <r>
    <x v="0"/>
    <n v="13.6943"/>
    <n v="-89.172600000000003"/>
    <n v="9491.1299999999992"/>
    <n v="0"/>
    <n v="0"/>
    <n v="101"/>
    <s v="_x0000_US"/>
  </r>
  <r>
    <x v="0"/>
    <n v="13.692299999999999"/>
    <n v="-89.184799999999996"/>
    <n v="9491.31"/>
    <n v="0"/>
    <n v="0"/>
    <n v="101"/>
    <s v="_x0000_US"/>
  </r>
  <r>
    <x v="0"/>
    <n v="13.688499999999999"/>
    <n v="-89.216099999999997"/>
    <n v="9491.41"/>
    <n v="0"/>
    <n v="0"/>
    <n v="101"/>
    <s v="_x0000_US"/>
  </r>
  <r>
    <x v="0"/>
    <n v="13.6914"/>
    <n v="-89.228800000000007"/>
    <n v="9491.6299999999992"/>
    <n v="0"/>
    <n v="0"/>
    <n v="101"/>
    <s v="_x0000_US"/>
  </r>
  <r>
    <x v="0"/>
    <n v="13.687099999999999"/>
    <n v="-89.1828"/>
    <n v="9491.68"/>
    <n v="0"/>
    <n v="0"/>
    <n v="101"/>
    <s v="_x0000_US"/>
  </r>
  <r>
    <x v="0"/>
    <n v="13.691700000000001"/>
    <n v="-89.232399999999998"/>
    <n v="9491.89"/>
    <n v="0"/>
    <n v="0"/>
    <n v="101"/>
    <s v="_x0000_US"/>
  </r>
  <r>
    <x v="0"/>
    <n v="13.689299999999999"/>
    <n v="-89.207499999999996"/>
    <n v="9492.14"/>
    <n v="0"/>
    <n v="0"/>
    <n v="101"/>
    <s v="_x0000_US"/>
  </r>
  <r>
    <x v="0"/>
    <n v="13.6897"/>
    <n v="-89.229100000000003"/>
    <n v="9492.51"/>
    <n v="0"/>
    <n v="0"/>
    <n v="101"/>
    <s v="_x0000_US"/>
  </r>
  <r>
    <x v="0"/>
    <n v="13.6929"/>
    <n v="-89.177899999999994"/>
    <n v="9492.64"/>
    <n v="0"/>
    <n v="0"/>
    <n v="101"/>
    <s v="_x0000_US"/>
  </r>
  <r>
    <x v="0"/>
    <n v="13.6911"/>
    <n v="-89.218800000000002"/>
    <n v="9492.8799999999992"/>
    <n v="0"/>
    <n v="0"/>
    <n v="101"/>
    <s v="_x0000_US"/>
  </r>
  <r>
    <x v="0"/>
    <n v="13.6915"/>
    <n v="-89.189300000000003"/>
    <n v="9493.81"/>
    <n v="0"/>
    <n v="0"/>
    <n v="101"/>
    <s v="_x0000_US"/>
  </r>
  <r>
    <x v="0"/>
    <n v="13.692600000000001"/>
    <n v="-89.179400000000001"/>
    <n v="9494.2999999999993"/>
    <n v="0"/>
    <n v="0"/>
    <n v="101"/>
    <s v="_x0000_US"/>
  </r>
  <r>
    <x v="0"/>
    <n v="13.6747"/>
    <n v="-89.1995"/>
    <n v="9494.91"/>
    <n v="0"/>
    <n v="0"/>
    <n v="101"/>
    <s v="_x0000_US"/>
  </r>
  <r>
    <x v="0"/>
    <n v="13.692500000000001"/>
    <n v="-89.223399999999998"/>
    <n v="9495.0400000000009"/>
    <n v="0"/>
    <n v="0"/>
    <n v="101"/>
    <s v="_x0000_US"/>
  </r>
  <r>
    <x v="0"/>
    <n v="13.6873"/>
    <n v="-89.181700000000006"/>
    <n v="9495.17"/>
    <n v="0"/>
    <n v="0"/>
    <n v="101"/>
    <s v="_x0000_US"/>
  </r>
  <r>
    <x v="0"/>
    <n v="13.6944"/>
    <n v="-89.188999999999993"/>
    <n v="9495.18"/>
    <n v="0"/>
    <n v="0"/>
    <n v="101"/>
    <s v="_x0000_US"/>
  </r>
  <r>
    <x v="0"/>
    <n v="13.6914"/>
    <n v="-89.185299999999998"/>
    <n v="9495.3700000000008"/>
    <n v="0"/>
    <n v="0"/>
    <n v="101"/>
    <s v="_x0000_US"/>
  </r>
  <r>
    <x v="0"/>
    <n v="13.694900000000001"/>
    <n v="-89.172200000000004"/>
    <n v="9495.83"/>
    <n v="0"/>
    <n v="0"/>
    <n v="101"/>
    <s v="_x0000_US"/>
  </r>
  <r>
    <x v="0"/>
    <n v="13.6861"/>
    <n v="-89.215999999999994"/>
    <n v="9495.9599999999991"/>
    <n v="0"/>
    <n v="0"/>
    <n v="101"/>
    <s v="_x0000_US"/>
  </r>
  <r>
    <x v="0"/>
    <n v="13.6738"/>
    <n v="-89.2029"/>
    <n v="9496.0499999999993"/>
    <n v="0"/>
    <n v="0"/>
    <n v="101"/>
    <s v="_x0000_US"/>
  </r>
  <r>
    <x v="0"/>
    <n v="13.692399999999999"/>
    <n v="-89.183400000000006"/>
    <n v="9496.99"/>
    <n v="0"/>
    <n v="0"/>
    <n v="101"/>
    <s v="_x0000_US"/>
  </r>
  <r>
    <x v="0"/>
    <n v="13.6891"/>
    <n v="-89.178700000000006"/>
    <n v="9497.93"/>
    <n v="0"/>
    <n v="0"/>
    <n v="101"/>
    <s v="_x0000_US"/>
  </r>
  <r>
    <x v="0"/>
    <n v="13.688000000000001"/>
    <n v="-89.215599999999995"/>
    <n v="9497.99"/>
    <n v="0"/>
    <n v="0"/>
    <n v="101"/>
    <s v="_x0000_US"/>
  </r>
  <r>
    <x v="0"/>
    <n v="13.6945"/>
    <n v="-89.185299999999998"/>
    <n v="9498.91"/>
    <n v="0"/>
    <n v="0"/>
    <n v="101"/>
    <s v="_x0000_US"/>
  </r>
  <r>
    <x v="0"/>
    <n v="13.687799999999999"/>
    <n v="-89.216200000000001"/>
    <n v="9499.27"/>
    <n v="0"/>
    <n v="0"/>
    <n v="101"/>
    <s v="_x0000_US"/>
  </r>
  <r>
    <x v="0"/>
    <n v="13.6858"/>
    <n v="-89.202500000000001"/>
    <n v="9499.36"/>
    <n v="0"/>
    <n v="0"/>
    <n v="101"/>
    <s v="_x0000_US"/>
  </r>
  <r>
    <x v="0"/>
    <n v="13.6873"/>
    <n v="-89.195700000000002"/>
    <n v="9499.82"/>
    <n v="0"/>
    <n v="0"/>
    <n v="101"/>
    <s v="_x0000_US"/>
  </r>
  <r>
    <x v="0"/>
    <n v="13.695600000000001"/>
    <n v="-89.173199999999994"/>
    <n v="9500.42"/>
    <n v="0"/>
    <n v="0"/>
    <n v="101"/>
    <s v="_x0000_US"/>
  </r>
  <r>
    <x v="0"/>
    <n v="13.689299999999999"/>
    <n v="-89.184200000000004"/>
    <n v="9500.4500000000007"/>
    <n v="0"/>
    <n v="0"/>
    <n v="101"/>
    <s v="_x0000_US"/>
  </r>
  <r>
    <x v="0"/>
    <n v="13.6912"/>
    <n v="-89.235100000000003"/>
    <n v="9500.5499999999993"/>
    <n v="0"/>
    <n v="0"/>
    <n v="101"/>
    <s v="_x0000_US"/>
  </r>
  <r>
    <x v="0"/>
    <n v="13.6904"/>
    <n v="-89.194800000000001"/>
    <n v="9500.7900000000009"/>
    <n v="0"/>
    <n v="0"/>
    <n v="101"/>
    <s v="_x0000_US"/>
  </r>
  <r>
    <x v="0"/>
    <n v="13.689500000000001"/>
    <n v="-89.235900000000001"/>
    <n v="9501.1200000000008"/>
    <n v="0"/>
    <n v="0"/>
    <n v="101"/>
    <s v="_x0000_US"/>
  </r>
  <r>
    <x v="0"/>
    <n v="13.6906"/>
    <n v="-89.234999999999999"/>
    <n v="9501.89"/>
    <n v="0"/>
    <n v="0"/>
    <n v="101"/>
    <s v="_x0000_US"/>
  </r>
  <r>
    <x v="0"/>
    <n v="13.692"/>
    <n v="-89.185500000000005"/>
    <n v="9504.36"/>
    <n v="0"/>
    <n v="0"/>
    <n v="101"/>
    <s v="_x0000_US"/>
  </r>
  <r>
    <x v="0"/>
    <n v="13.6904"/>
    <n v="-89.194500000000005"/>
    <n v="9504.57"/>
    <n v="0"/>
    <n v="0"/>
    <n v="101"/>
    <s v="_x0000_US"/>
  </r>
  <r>
    <x v="0"/>
    <n v="13.6873"/>
    <n v="-89.203999999999994"/>
    <n v="9505.42"/>
    <n v="0"/>
    <n v="0"/>
    <n v="101"/>
    <s v="_x0000_US"/>
  </r>
  <r>
    <x v="0"/>
    <n v="13.686299999999999"/>
    <n v="-89.212500000000006"/>
    <n v="9505.5"/>
    <n v="0"/>
    <n v="0"/>
    <n v="101"/>
    <s v="_x0000_US"/>
  </r>
  <r>
    <x v="0"/>
    <n v="13.6958"/>
    <n v="-89.165499999999994"/>
    <n v="9507.14"/>
    <n v="0"/>
    <n v="0"/>
    <n v="101"/>
    <s v="_x0000_US"/>
  </r>
  <r>
    <x v="0"/>
    <n v="13.6906"/>
    <n v="-89.178799999999995"/>
    <n v="9507.18"/>
    <n v="0"/>
    <n v="0"/>
    <n v="101"/>
    <s v="_x0000_US"/>
  </r>
  <r>
    <x v="0"/>
    <n v="13.691599999999999"/>
    <n v="-89.220500000000001"/>
    <n v="9507.77"/>
    <n v="0"/>
    <n v="0"/>
    <n v="101"/>
    <s v="_x0000_US"/>
  </r>
  <r>
    <x v="0"/>
    <n v="13.6921"/>
    <n v="-89.178799999999995"/>
    <n v="9507.81"/>
    <n v="0"/>
    <n v="0"/>
    <n v="101"/>
    <s v="_x0000_US"/>
  </r>
  <r>
    <x v="0"/>
    <n v="13.6875"/>
    <n v="-89.197199999999995"/>
    <n v="9507.84"/>
    <n v="0"/>
    <n v="0"/>
    <n v="101"/>
    <s v="_x0000_US"/>
  </r>
  <r>
    <x v="0"/>
    <n v="13.6904"/>
    <n v="-89.186700000000002"/>
    <n v="9508.06"/>
    <n v="0"/>
    <n v="0"/>
    <n v="101"/>
    <s v="_x0000_US"/>
  </r>
  <r>
    <x v="0"/>
    <n v="13.6922"/>
    <n v="-89.226200000000006"/>
    <n v="9508.1"/>
    <n v="0"/>
    <n v="0"/>
    <n v="101"/>
    <s v="_x0000_US"/>
  </r>
  <r>
    <x v="0"/>
    <n v="13.677099999999999"/>
    <n v="-89.247299999999996"/>
    <n v="9508.64"/>
    <n v="0"/>
    <n v="0"/>
    <n v="101"/>
    <s v="_x0000_US"/>
  </r>
  <r>
    <x v="0"/>
    <n v="13.6912"/>
    <n v="-89.234499999999997"/>
    <n v="9508.67"/>
    <n v="0"/>
    <n v="0"/>
    <n v="101"/>
    <s v="_x0000_US"/>
  </r>
  <r>
    <x v="0"/>
    <n v="13.6746"/>
    <n v="-89.199600000000004"/>
    <n v="9508.9"/>
    <n v="0"/>
    <n v="0"/>
    <n v="101"/>
    <s v="_x0000_US"/>
  </r>
  <r>
    <x v="0"/>
    <n v="13.6898"/>
    <n v="-89.177499999999995"/>
    <n v="9509.31"/>
    <n v="0"/>
    <n v="0"/>
    <n v="101"/>
    <s v="_x0000_US"/>
  </r>
  <r>
    <x v="0"/>
    <n v="13.6869"/>
    <n v="-89.201499999999996"/>
    <n v="9510.7199999999993"/>
    <n v="0"/>
    <n v="0"/>
    <n v="101"/>
    <s v="_x0000_US"/>
  </r>
  <r>
    <x v="0"/>
    <n v="13.675599999999999"/>
    <n v="-89.247399999999999"/>
    <n v="9510.8700000000008"/>
    <n v="0"/>
    <n v="0"/>
    <n v="101"/>
    <s v="_x0000_US"/>
  </r>
  <r>
    <x v="0"/>
    <n v="13.674799999999999"/>
    <n v="-89.252099999999999"/>
    <n v="9510.89"/>
    <n v="0"/>
    <n v="0"/>
    <n v="101"/>
    <s v="_x0000_US"/>
  </r>
  <r>
    <x v="0"/>
    <n v="13.6922"/>
    <n v="-89.184899999999999"/>
    <n v="9511.02"/>
    <n v="0"/>
    <n v="0"/>
    <n v="101"/>
    <s v="_x0000_US"/>
  </r>
  <r>
    <x v="0"/>
    <n v="13.6951"/>
    <n v="-89.174899999999994"/>
    <n v="9512.17"/>
    <n v="0"/>
    <n v="0"/>
    <n v="101"/>
    <s v="_x0000_US"/>
  </r>
  <r>
    <x v="0"/>
    <n v="13.690899999999999"/>
    <n v="-89.234999999999999"/>
    <n v="9512.48"/>
    <n v="0"/>
    <n v="0"/>
    <n v="101"/>
    <s v="_x0000_US"/>
  </r>
  <r>
    <x v="0"/>
    <n v="13.673"/>
    <n v="-89.204400000000007"/>
    <n v="9512.81"/>
    <n v="0"/>
    <n v="0"/>
    <n v="101"/>
    <s v="_x0000_US"/>
  </r>
  <r>
    <x v="0"/>
    <n v="13.6906"/>
    <n v="-89.235100000000003"/>
    <n v="9513.41"/>
    <n v="0"/>
    <n v="0"/>
    <n v="101"/>
    <s v="_x0000_US"/>
  </r>
  <r>
    <x v="0"/>
    <n v="13.6944"/>
    <n v="-89.175200000000004"/>
    <n v="9513.42"/>
    <n v="0"/>
    <n v="0"/>
    <n v="101"/>
    <s v="_x0000_US"/>
  </r>
  <r>
    <x v="0"/>
    <n v="13.6907"/>
    <n v="-89.234899999999996"/>
    <n v="9513.49"/>
    <n v="0"/>
    <n v="0"/>
    <n v="101"/>
    <s v="_x0000_US"/>
  </r>
  <r>
    <x v="0"/>
    <n v="13.6928"/>
    <n v="-89.183700000000002"/>
    <n v="9513.73"/>
    <n v="0"/>
    <n v="0"/>
    <n v="101"/>
    <s v="_x0000_US"/>
  </r>
  <r>
    <x v="0"/>
    <n v="13.6896"/>
    <n v="-89.185299999999998"/>
    <n v="9513.9599999999991"/>
    <n v="0"/>
    <n v="0"/>
    <n v="101"/>
    <s v="_x0000_US"/>
  </r>
  <r>
    <x v="0"/>
    <n v="13.6907"/>
    <n v="-89.235699999999994"/>
    <n v="9514"/>
    <n v="0"/>
    <n v="0"/>
    <n v="101"/>
    <s v="_x0000_US"/>
  </r>
  <r>
    <x v="0"/>
    <n v="13.687200000000001"/>
    <n v="-89.181799999999996"/>
    <n v="9514.2000000000007"/>
    <n v="0"/>
    <n v="0"/>
    <n v="101"/>
    <s v="_x0000_US"/>
  </r>
  <r>
    <x v="0"/>
    <n v="13.6919"/>
    <n v="-89.221699999999998"/>
    <n v="9514.44"/>
    <n v="0"/>
    <n v="0"/>
    <n v="101"/>
    <s v="_x0000_US"/>
  </r>
  <r>
    <x v="0"/>
    <n v="13.677"/>
    <n v="-89.2483"/>
    <n v="9514.91"/>
    <n v="0"/>
    <n v="0"/>
    <n v="101"/>
    <s v="_x0000_US"/>
  </r>
  <r>
    <x v="0"/>
    <n v="13.6858"/>
    <n v="-89.215299999999999"/>
    <n v="9515.01"/>
    <n v="0"/>
    <n v="0"/>
    <n v="101"/>
    <s v="_x0000_US"/>
  </r>
  <r>
    <x v="0"/>
    <n v="13.6965"/>
    <n v="-89.171800000000005"/>
    <n v="9515.25"/>
    <n v="0"/>
    <n v="0"/>
    <n v="101"/>
    <s v="_x0000_US"/>
  </r>
  <r>
    <x v="0"/>
    <n v="13.680899999999999"/>
    <n v="-89.195899999999995"/>
    <n v="9515.34"/>
    <n v="0"/>
    <n v="0"/>
    <n v="101"/>
    <s v="_x0000_US"/>
  </r>
  <r>
    <x v="0"/>
    <n v="13.6913"/>
    <n v="-89.183999999999997"/>
    <n v="9515.98"/>
    <n v="0"/>
    <n v="0"/>
    <n v="101"/>
    <s v="_x0000_US"/>
  </r>
  <r>
    <x v="0"/>
    <n v="13.6919"/>
    <n v="-89.194299999999998"/>
    <n v="9515.99"/>
    <n v="0"/>
    <n v="0"/>
    <n v="101"/>
    <s v="_x0000_US"/>
  </r>
  <r>
    <x v="0"/>
    <n v="13.6928"/>
    <n v="-89.178200000000004"/>
    <n v="9516.58"/>
    <n v="0"/>
    <n v="0"/>
    <n v="101"/>
    <s v="_x0000_US"/>
  </r>
  <r>
    <x v="0"/>
    <n v="13.6877"/>
    <n v="-89.215800000000002"/>
    <n v="9516.91"/>
    <n v="0"/>
    <n v="0"/>
    <n v="101"/>
    <s v="_x0000_US"/>
  </r>
  <r>
    <x v="0"/>
    <n v="13.6877"/>
    <n v="-89.181399999999996"/>
    <n v="9517.24"/>
    <n v="0"/>
    <n v="0"/>
    <n v="101"/>
    <s v="_x0000_US"/>
  </r>
  <r>
    <x v="0"/>
    <n v="13.6866"/>
    <n v="-89.203800000000001"/>
    <n v="9518.01"/>
    <n v="0"/>
    <n v="0"/>
    <n v="101"/>
    <s v="_x0000_US"/>
  </r>
  <r>
    <x v="0"/>
    <n v="13.6869"/>
    <n v="-89.215199999999996"/>
    <n v="9518.68"/>
    <n v="0"/>
    <n v="0"/>
    <n v="101"/>
    <s v="_x0000_US"/>
  </r>
  <r>
    <x v="0"/>
    <n v="13.69"/>
    <n v="-89.197699999999998"/>
    <n v="9518.73"/>
    <n v="0"/>
    <n v="0"/>
    <n v="101"/>
    <s v="_x0000_US"/>
  </r>
  <r>
    <x v="0"/>
    <n v="13.6873"/>
    <n v="-89.194000000000003"/>
    <n v="9518.81"/>
    <n v="0"/>
    <n v="0"/>
    <n v="101"/>
    <s v="_x0000_US"/>
  </r>
  <r>
    <x v="0"/>
    <n v="13.6967"/>
    <n v="-89.171599999999998"/>
    <n v="9518.86"/>
    <n v="0"/>
    <n v="0"/>
    <n v="101"/>
    <s v="_x0000_US"/>
  </r>
  <r>
    <x v="0"/>
    <n v="13.6853"/>
    <n v="-89.212100000000007"/>
    <n v="9519.36"/>
    <n v="0"/>
    <n v="0"/>
    <n v="101"/>
    <s v="_x0000_US"/>
  </r>
  <r>
    <x v="0"/>
    <n v="13.693199999999999"/>
    <n v="-89.189899999999994"/>
    <n v="9519.5499999999993"/>
    <n v="0"/>
    <n v="0"/>
    <n v="101"/>
    <s v="_x0000_US"/>
  </r>
  <r>
    <x v="0"/>
    <n v="13.6869"/>
    <n v="-89.204400000000007"/>
    <n v="9519.94"/>
    <n v="0"/>
    <n v="0"/>
    <n v="101"/>
    <s v="_x0000_US"/>
  </r>
  <r>
    <x v="0"/>
    <n v="13.6892"/>
    <n v="-89.190100000000001"/>
    <n v="9519.99"/>
    <n v="0"/>
    <n v="0"/>
    <n v="101"/>
    <s v="_x0000_US"/>
  </r>
  <r>
    <x v="0"/>
    <n v="13.6919"/>
    <n v="-89.221599999999995"/>
    <n v="9520.14"/>
    <n v="0"/>
    <n v="0"/>
    <n v="101"/>
    <s v="_x0000_US"/>
  </r>
  <r>
    <x v="0"/>
    <n v="13.693"/>
    <n v="-89.176599999999993"/>
    <n v="9520.27"/>
    <n v="0"/>
    <n v="0"/>
    <n v="101"/>
    <s v="_x0000_US"/>
  </r>
  <r>
    <x v="0"/>
    <n v="13.6876"/>
    <n v="-89.214600000000004"/>
    <n v="9520.2999999999993"/>
    <n v="0"/>
    <n v="0"/>
    <n v="101"/>
    <s v="_x0000_US"/>
  </r>
  <r>
    <x v="0"/>
    <n v="13.6767"/>
    <n v="-89.247900000000001"/>
    <n v="9520.76"/>
    <n v="0"/>
    <n v="0"/>
    <n v="101"/>
    <s v="_x0000_US"/>
  </r>
  <r>
    <x v="0"/>
    <n v="13.690799999999999"/>
    <n v="-89.232900000000001"/>
    <n v="9521.0499999999993"/>
    <n v="0"/>
    <n v="0"/>
    <n v="101"/>
    <s v="_x0000_US"/>
  </r>
  <r>
    <x v="0"/>
    <n v="13.679"/>
    <n v="-89.196399999999997"/>
    <n v="9521.14"/>
    <n v="0"/>
    <n v="0"/>
    <n v="101"/>
    <s v="_x0000_US"/>
  </r>
  <r>
    <x v="0"/>
    <n v="13.6745"/>
    <n v="-89.1995"/>
    <n v="9521.6200000000008"/>
    <n v="0"/>
    <n v="0"/>
    <n v="101"/>
    <s v="_x0000_US"/>
  </r>
  <r>
    <x v="0"/>
    <n v="13.696400000000001"/>
    <n v="-89.171700000000001"/>
    <n v="9522.07"/>
    <n v="0"/>
    <n v="0"/>
    <n v="101"/>
    <s v="_x0000_US"/>
  </r>
  <r>
    <x v="0"/>
    <n v="13.695"/>
    <n v="-89.171800000000005"/>
    <n v="9522.15"/>
    <n v="0"/>
    <n v="0"/>
    <n v="101"/>
    <s v="_x0000_US"/>
  </r>
  <r>
    <x v="0"/>
    <n v="13.690099999999999"/>
    <n v="-89.177499999999995"/>
    <n v="9522.25"/>
    <n v="0"/>
    <n v="0"/>
    <n v="101"/>
    <s v="_x0000_US"/>
  </r>
  <r>
    <x v="0"/>
    <n v="13.6944"/>
    <n v="-89.174899999999994"/>
    <n v="9522.33"/>
    <n v="0"/>
    <n v="0"/>
    <n v="101"/>
    <s v="_x0000_US"/>
  </r>
  <r>
    <x v="0"/>
    <n v="13.6883"/>
    <n v="-89.198300000000003"/>
    <n v="9522.51"/>
    <n v="0"/>
    <n v="0"/>
    <n v="101"/>
    <s v="_x0000_US"/>
  </r>
  <r>
    <x v="0"/>
    <n v="13.6792"/>
    <n v="-89.196600000000004"/>
    <n v="9523.4699999999993"/>
    <n v="0"/>
    <n v="0"/>
    <n v="101"/>
    <s v="_x0000_US"/>
  </r>
  <r>
    <x v="0"/>
    <n v="13.6936"/>
    <n v="-89.176199999999994"/>
    <n v="9523.67"/>
    <n v="0"/>
    <n v="0"/>
    <n v="101"/>
    <s v="_x0000_US"/>
  </r>
  <r>
    <x v="0"/>
    <n v="13.6859"/>
    <n v="-89.201800000000006"/>
    <n v="9523.94"/>
    <n v="0"/>
    <n v="0"/>
    <n v="101"/>
    <s v="_x0000_US"/>
  </r>
  <r>
    <x v="0"/>
    <n v="13.691700000000001"/>
    <n v="-89.185500000000005"/>
    <n v="9523.98"/>
    <n v="0"/>
    <n v="0"/>
    <n v="101"/>
    <s v="_x0000_US"/>
  </r>
  <r>
    <x v="0"/>
    <n v="13.6858"/>
    <n v="-89.215500000000006"/>
    <n v="9524.2999999999993"/>
    <n v="0"/>
    <n v="0"/>
    <n v="101"/>
    <s v="_x0000_US"/>
  </r>
  <r>
    <x v="0"/>
    <n v="13.694699999999999"/>
    <n v="-89.172300000000007"/>
    <n v="9525.6"/>
    <n v="0"/>
    <n v="0"/>
    <n v="101"/>
    <s v="_x0000_US"/>
  </r>
  <r>
    <x v="0"/>
    <n v="13.6869"/>
    <n v="-89.201499999999996"/>
    <n v="9525.9500000000007"/>
    <n v="0"/>
    <n v="0"/>
    <n v="101"/>
    <s v="_x0000_US"/>
  </r>
  <r>
    <x v="0"/>
    <n v="13.694100000000001"/>
    <n v="-89.174800000000005"/>
    <n v="9526.32"/>
    <n v="0"/>
    <n v="0"/>
    <n v="101"/>
    <s v="_x0000_US"/>
  </r>
  <r>
    <x v="0"/>
    <n v="13.6965"/>
    <n v="-89.172499999999999"/>
    <n v="9526.43"/>
    <n v="0"/>
    <n v="0"/>
    <n v="101"/>
    <s v="_x0000_US"/>
  </r>
  <r>
    <x v="0"/>
    <n v="13.690300000000001"/>
    <n v="-89.194699999999997"/>
    <n v="9528.9"/>
    <n v="0"/>
    <n v="0"/>
    <n v="101"/>
    <s v="_x0000_US"/>
  </r>
  <r>
    <x v="0"/>
    <n v="13.690099999999999"/>
    <n v="-89.188900000000004"/>
    <n v="9529.2199999999993"/>
    <n v="0"/>
    <n v="0"/>
    <n v="101"/>
    <s v="_x0000_US"/>
  </r>
  <r>
    <x v="0"/>
    <n v="13.691700000000001"/>
    <n v="-89.227099999999993"/>
    <n v="9529.5499999999993"/>
    <n v="0"/>
    <n v="0"/>
    <n v="101"/>
    <s v="_x0000_US"/>
  </r>
  <r>
    <x v="0"/>
    <n v="13.6874"/>
    <n v="-89.194400000000002"/>
    <n v="9529.57"/>
    <n v="0"/>
    <n v="0"/>
    <n v="101"/>
    <s v="_x0000_US"/>
  </r>
  <r>
    <x v="0"/>
    <n v="13.688499999999999"/>
    <n v="-89.190799999999996"/>
    <n v="9529.59"/>
    <n v="0"/>
    <n v="0"/>
    <n v="101"/>
    <s v="_x0000_US"/>
  </r>
  <r>
    <x v="0"/>
    <n v="13.691800000000001"/>
    <n v="-89.186000000000007"/>
    <n v="9529.8700000000008"/>
    <n v="0"/>
    <n v="0"/>
    <n v="101"/>
    <s v="_x0000_US"/>
  </r>
  <r>
    <x v="0"/>
    <n v="13.690899999999999"/>
    <n v="-89.194299999999998"/>
    <n v="9530.41"/>
    <n v="0"/>
    <n v="0"/>
    <n v="101"/>
    <s v="_x0000_US"/>
  </r>
  <r>
    <x v="0"/>
    <n v="13.686"/>
    <n v="-89.214399999999998"/>
    <n v="9531.2000000000007"/>
    <n v="0"/>
    <n v="0"/>
    <n v="101"/>
    <s v="_x0000_US"/>
  </r>
  <r>
    <x v="0"/>
    <n v="13.6858"/>
    <n v="-89.212400000000002"/>
    <n v="9531.98"/>
    <n v="0"/>
    <n v="0"/>
    <n v="101"/>
    <s v="_x0000_US"/>
  </r>
  <r>
    <x v="0"/>
    <n v="13.689"/>
    <n v="-89.183700000000002"/>
    <n v="9532.44"/>
    <n v="0"/>
    <n v="0"/>
    <n v="101"/>
    <s v="_x0000_US"/>
  </r>
  <r>
    <x v="0"/>
    <n v="13.6861"/>
    <n v="-89.212000000000003"/>
    <n v="9533.43"/>
    <n v="0"/>
    <n v="0"/>
    <n v="101"/>
    <s v="_x0000_US"/>
  </r>
  <r>
    <x v="0"/>
    <n v="13.6852"/>
    <n v="-89.203500000000005"/>
    <n v="9533.5"/>
    <n v="0"/>
    <n v="0"/>
    <n v="101"/>
    <s v="_x0000_US"/>
  </r>
  <r>
    <x v="0"/>
    <n v="13.685499999999999"/>
    <n v="-89.2136"/>
    <n v="9533.86"/>
    <n v="0"/>
    <n v="0"/>
    <n v="101"/>
    <s v="_x0000_US"/>
  </r>
  <r>
    <x v="0"/>
    <n v="13.688499999999999"/>
    <n v="-89.229399999999998"/>
    <n v="9534"/>
    <n v="0"/>
    <n v="0"/>
    <n v="101"/>
    <s v="_x0000_US"/>
  </r>
  <r>
    <x v="0"/>
    <n v="13.686999999999999"/>
    <n v="-89.182900000000004"/>
    <n v="9534.0400000000009"/>
    <n v="0"/>
    <n v="0"/>
    <n v="101"/>
    <s v="_x0000_US"/>
  </r>
  <r>
    <x v="0"/>
    <n v="13.689399999999999"/>
    <n v="-89.198099999999997"/>
    <n v="9534.27"/>
    <n v="0"/>
    <n v="0"/>
    <n v="101"/>
    <s v="_x0000_US"/>
  </r>
  <r>
    <x v="0"/>
    <n v="13.692399999999999"/>
    <n v="-89.186300000000003"/>
    <n v="9534.5400000000009"/>
    <n v="0"/>
    <n v="0"/>
    <n v="101"/>
    <s v="_x0000_US"/>
  </r>
  <r>
    <x v="0"/>
    <n v="13.690899999999999"/>
    <n v="-89.187700000000007"/>
    <n v="9534.5499999999993"/>
    <n v="0"/>
    <n v="0"/>
    <n v="101"/>
    <s v="_x0000_US"/>
  </r>
  <r>
    <x v="0"/>
    <n v="13.6896"/>
    <n v="-89.235600000000005"/>
    <n v="9536.27"/>
    <n v="0"/>
    <n v="0"/>
    <n v="101"/>
    <s v="_x0000_US"/>
  </r>
  <r>
    <x v="0"/>
    <n v="13.688599999999999"/>
    <n v="-89.198400000000007"/>
    <n v="9536.35"/>
    <n v="0"/>
    <n v="0"/>
    <n v="101"/>
    <s v="_x0000_US"/>
  </r>
  <r>
    <x v="0"/>
    <n v="13.6937"/>
    <n v="-89.183599999999998"/>
    <n v="9536.42"/>
    <n v="0"/>
    <n v="0"/>
    <n v="101"/>
    <s v="_x0000_US"/>
  </r>
  <r>
    <x v="0"/>
    <n v="13.6892"/>
    <n v="-89.197100000000006"/>
    <n v="9537"/>
    <n v="0"/>
    <n v="0"/>
    <n v="101"/>
    <s v="_x0000_US"/>
  </r>
  <r>
    <x v="0"/>
    <n v="13.674899999999999"/>
    <n v="-89.251400000000004"/>
    <n v="9537"/>
    <n v="0"/>
    <n v="0"/>
    <n v="101"/>
    <s v="_x0000_US"/>
  </r>
  <r>
    <x v="0"/>
    <n v="13.6873"/>
    <n v="-89.197699999999998"/>
    <n v="9537.0400000000009"/>
    <n v="0"/>
    <n v="0"/>
    <n v="101"/>
    <s v="_x0000_US"/>
  </r>
  <r>
    <x v="0"/>
    <n v="13.679600000000001"/>
    <n v="-89.196600000000004"/>
    <n v="9537.2000000000007"/>
    <n v="0"/>
    <n v="0"/>
    <n v="101"/>
    <s v="_x0000_US"/>
  </r>
  <r>
    <x v="0"/>
    <n v="13.690099999999999"/>
    <n v="-89.195700000000002"/>
    <n v="9537.26"/>
    <n v="0"/>
    <n v="0"/>
    <n v="101"/>
    <s v="_x0000_US"/>
  </r>
  <r>
    <x v="0"/>
    <n v="13.6874"/>
    <n v="-89.194599999999994"/>
    <n v="9537.56"/>
    <n v="0"/>
    <n v="0"/>
    <n v="101"/>
    <s v="_x0000_US"/>
  </r>
  <r>
    <x v="0"/>
    <n v="13.684900000000001"/>
    <n v="-89.213399999999993"/>
    <n v="9537.89"/>
    <n v="0"/>
    <n v="0"/>
    <n v="101"/>
    <s v="_x0000_US"/>
  </r>
  <r>
    <x v="0"/>
    <n v="13.689299999999999"/>
    <n v="-89.229299999999995"/>
    <n v="9538.56"/>
    <n v="0"/>
    <n v="0"/>
    <n v="101"/>
    <s v="_x0000_US"/>
  </r>
  <r>
    <x v="0"/>
    <n v="13.6873"/>
    <n v="-89.195499999999996"/>
    <n v="9538.84"/>
    <n v="0"/>
    <n v="0"/>
    <n v="101"/>
    <s v="_x0000_US"/>
  </r>
  <r>
    <x v="0"/>
    <n v="13.685"/>
    <n v="-89.212500000000006"/>
    <n v="9539.5499999999993"/>
    <n v="0"/>
    <n v="0"/>
    <n v="101"/>
    <s v="_x0000_US"/>
  </r>
  <r>
    <x v="0"/>
    <n v="13.690799999999999"/>
    <n v="-89.187600000000003"/>
    <n v="9539.66"/>
    <n v="0"/>
    <n v="0"/>
    <n v="101"/>
    <s v="_x0000_US"/>
  </r>
  <r>
    <x v="0"/>
    <n v="13.688000000000001"/>
    <n v="-89.2149"/>
    <n v="9540.33"/>
    <n v="0"/>
    <n v="0"/>
    <n v="101"/>
    <s v="_x0000_US"/>
  </r>
  <r>
    <x v="0"/>
    <n v="13.679600000000001"/>
    <n v="-89.197199999999995"/>
    <n v="9540.7999999999993"/>
    <n v="0"/>
    <n v="0"/>
    <n v="101"/>
    <s v="_x0000_US"/>
  </r>
  <r>
    <x v="0"/>
    <n v="13.6875"/>
    <n v="-89.194299999999998"/>
    <n v="9540.93"/>
    <n v="0"/>
    <n v="0"/>
    <n v="101"/>
    <s v="_x0000_US"/>
  </r>
  <r>
    <x v="0"/>
    <n v="13.6873"/>
    <n v="-89.216499999999996"/>
    <n v="9540.9699999999993"/>
    <n v="0"/>
    <n v="0"/>
    <n v="101"/>
    <s v="_x0000_US"/>
  </r>
  <r>
    <x v="0"/>
    <n v="13.6915"/>
    <n v="-89.233999999999995"/>
    <n v="9541.2099999999991"/>
    <n v="0"/>
    <n v="0"/>
    <n v="101"/>
    <s v="_x0000_US"/>
  </r>
  <r>
    <x v="0"/>
    <n v="13.6935"/>
    <n v="-89.176400000000001"/>
    <n v="9541.7000000000007"/>
    <n v="0"/>
    <n v="0"/>
    <n v="101"/>
    <s v="_x0000_US"/>
  </r>
  <r>
    <x v="0"/>
    <n v="13.688000000000001"/>
    <n v="-89.237099999999998"/>
    <n v="9542.42"/>
    <n v="0"/>
    <n v="0"/>
    <n v="101"/>
    <s v="_x0000_US"/>
  </r>
  <r>
    <x v="0"/>
    <n v="13.692600000000001"/>
    <n v="-89.183000000000007"/>
    <n v="9542.5300000000007"/>
    <n v="0"/>
    <n v="0"/>
    <n v="101"/>
    <s v="_x0000_US"/>
  </r>
  <r>
    <x v="0"/>
    <n v="13.684900000000001"/>
    <n v="-89.213700000000003"/>
    <n v="9542.57"/>
    <n v="0"/>
    <n v="0"/>
    <n v="101"/>
    <s v="_x0000_US"/>
  </r>
  <r>
    <x v="0"/>
    <n v="13.6944"/>
    <n v="-89.188800000000001"/>
    <n v="9542.6200000000008"/>
    <n v="0"/>
    <n v="0"/>
    <n v="101"/>
    <s v="_x0000_US"/>
  </r>
  <r>
    <x v="0"/>
    <n v="13.688499999999999"/>
    <n v="-89.229900000000001"/>
    <n v="9542.9599999999991"/>
    <n v="0"/>
    <n v="0"/>
    <n v="101"/>
    <s v="_x0000_US"/>
  </r>
  <r>
    <x v="0"/>
    <n v="13.6927"/>
    <n v="-89.2239"/>
    <n v="9544.49"/>
    <n v="0"/>
    <n v="0"/>
    <n v="101"/>
    <s v="_x0000_US"/>
  </r>
  <r>
    <x v="0"/>
    <n v="13.686400000000001"/>
    <n v="-89.213200000000001"/>
    <n v="9545.32"/>
    <n v="0"/>
    <n v="0"/>
    <n v="101"/>
    <s v="_x0000_US"/>
  </r>
  <r>
    <x v="0"/>
    <n v="13.691599999999999"/>
    <n v="-89.225800000000007"/>
    <n v="9545.6"/>
    <n v="0"/>
    <n v="0"/>
    <n v="101"/>
    <s v="_x0000_US"/>
  </r>
  <r>
    <x v="0"/>
    <n v="13.6904"/>
    <n v="-89.194800000000001"/>
    <n v="9545.9"/>
    <n v="0"/>
    <n v="0"/>
    <n v="101"/>
    <s v="_x0000_US"/>
  </r>
  <r>
    <x v="0"/>
    <n v="13.6913"/>
    <n v="-89.219499999999996"/>
    <n v="9545.91"/>
    <n v="0"/>
    <n v="0"/>
    <n v="101"/>
    <s v="_x0000_US"/>
  </r>
  <r>
    <x v="0"/>
    <n v="13.6899"/>
    <n v="-89.234899999999996"/>
    <n v="9546.01"/>
    <n v="0"/>
    <n v="0"/>
    <n v="101"/>
    <s v="_x0000_US"/>
  </r>
  <r>
    <x v="0"/>
    <n v="13.688800000000001"/>
    <n v="-89.203999999999994"/>
    <n v="9546.07"/>
    <n v="0"/>
    <n v="0"/>
    <n v="101"/>
    <s v="_x0000_US"/>
  </r>
  <r>
    <x v="0"/>
    <n v="13.686400000000001"/>
    <n v="-89.216300000000004"/>
    <n v="9546.2900000000009"/>
    <n v="0"/>
    <n v="0"/>
    <n v="101"/>
    <s v="_x0000_US"/>
  </r>
  <r>
    <x v="0"/>
    <n v="13.693199999999999"/>
    <n v="-89.177499999999995"/>
    <n v="9546.7999999999993"/>
    <n v="0"/>
    <n v="0"/>
    <n v="101"/>
    <s v="_x0000_US"/>
  </r>
  <r>
    <x v="0"/>
    <n v="13.690799999999999"/>
    <n v="-89.188500000000005"/>
    <n v="9546.91"/>
    <n v="0"/>
    <n v="0"/>
    <n v="101"/>
    <s v="_x0000_US"/>
  </r>
  <r>
    <x v="0"/>
    <n v="13.6854"/>
    <n v="-89.201700000000002"/>
    <n v="9547.4599999999991"/>
    <n v="0"/>
    <n v="0"/>
    <n v="101"/>
    <s v="_x0000_US"/>
  </r>
  <r>
    <x v="0"/>
    <n v="13.6905"/>
    <n v="-89.183800000000005"/>
    <n v="9547.65"/>
    <n v="0"/>
    <n v="0"/>
    <n v="101"/>
    <s v="_x0000_US"/>
  </r>
  <r>
    <x v="0"/>
    <n v="13.6915"/>
    <n v="-89.232600000000005"/>
    <n v="9547.69"/>
    <n v="0"/>
    <n v="0"/>
    <n v="101"/>
    <s v="_x0000_US"/>
  </r>
  <r>
    <x v="0"/>
    <n v="13.690200000000001"/>
    <n v="-89.217200000000005"/>
    <n v="9547.81"/>
    <n v="0"/>
    <n v="0"/>
    <n v="101"/>
    <s v="_x0000_US"/>
  </r>
  <r>
    <x v="0"/>
    <n v="13.6898"/>
    <n v="-89.183400000000006"/>
    <n v="9547.91"/>
    <n v="0"/>
    <n v="0"/>
    <n v="101"/>
    <s v="_x0000_US"/>
  </r>
  <r>
    <x v="0"/>
    <n v="13.687099999999999"/>
    <n v="-89.215699999999998"/>
    <n v="9548.18"/>
    <n v="0"/>
    <n v="0"/>
    <n v="101"/>
    <s v="_x0000_US"/>
  </r>
  <r>
    <x v="0"/>
    <n v="13.6919"/>
    <n v="-89.224400000000003"/>
    <n v="9548.2900000000009"/>
    <n v="0"/>
    <n v="0"/>
    <n v="101"/>
    <s v="_x0000_US"/>
  </r>
  <r>
    <x v="0"/>
    <n v="13.6906"/>
    <n v="-89.194400000000002"/>
    <n v="9548.4500000000007"/>
    <n v="0"/>
    <n v="0"/>
    <n v="101"/>
    <s v="_x0000_US"/>
  </r>
  <r>
    <x v="0"/>
    <n v="13.692399999999999"/>
    <n v="-89.223799999999997"/>
    <n v="9548.69"/>
    <n v="0"/>
    <n v="0"/>
    <n v="101"/>
    <s v="_x0000_US"/>
  </r>
  <r>
    <x v="0"/>
    <n v="13.6889"/>
    <n v="-89.229200000000006"/>
    <n v="9548.7800000000007"/>
    <n v="0"/>
    <n v="0"/>
    <n v="101"/>
    <s v="_x0000_US"/>
  </r>
  <r>
    <x v="0"/>
    <n v="13.6851"/>
    <n v="-89.215800000000002"/>
    <n v="9549.26"/>
    <n v="0"/>
    <n v="0"/>
    <n v="101"/>
    <s v="_x0000_US"/>
  </r>
  <r>
    <x v="0"/>
    <n v="13.6922"/>
    <n v="-89.174800000000005"/>
    <n v="9549.85"/>
    <n v="0"/>
    <n v="0"/>
    <n v="101"/>
    <s v="_x0000_US"/>
  </r>
  <r>
    <x v="0"/>
    <n v="13.693300000000001"/>
    <n v="-89.177400000000006"/>
    <n v="9550"/>
    <n v="0"/>
    <n v="0"/>
    <n v="101"/>
    <s v="_x0000_US"/>
  </r>
  <r>
    <x v="0"/>
    <n v="13.6927"/>
    <n v="-89.183099999999996"/>
    <n v="9550.17"/>
    <n v="0"/>
    <n v="0"/>
    <n v="101"/>
    <s v="_x0000_US"/>
  </r>
  <r>
    <x v="0"/>
    <n v="13.696099999999999"/>
    <n v="-89.1721"/>
    <n v="9550.52"/>
    <n v="0"/>
    <n v="0"/>
    <n v="101"/>
    <s v="_x0000_US"/>
  </r>
  <r>
    <x v="0"/>
    <n v="13.684900000000001"/>
    <n v="-89.202100000000002"/>
    <n v="9551.07"/>
    <n v="0"/>
    <n v="0"/>
    <n v="101"/>
    <s v="_x0000_US"/>
  </r>
  <r>
    <x v="0"/>
    <n v="13.690799999999999"/>
    <n v="-89.233000000000004"/>
    <n v="9551.61"/>
    <n v="0"/>
    <n v="0"/>
    <n v="101"/>
    <s v="_x0000_US"/>
  </r>
  <r>
    <x v="0"/>
    <n v="13.685499999999999"/>
    <n v="-89.201400000000007"/>
    <n v="9552.17"/>
    <n v="0"/>
    <n v="0"/>
    <n v="101"/>
    <s v="_x0000_US"/>
  </r>
  <r>
    <x v="0"/>
    <n v="13.6919"/>
    <n v="-89.187700000000007"/>
    <n v="9552.76"/>
    <n v="0"/>
    <n v="0"/>
    <n v="101"/>
    <s v="_x0000_US"/>
  </r>
  <r>
    <x v="0"/>
    <n v="13.691599999999999"/>
    <n v="-89.232600000000005"/>
    <n v="9552.81"/>
    <n v="0"/>
    <n v="0"/>
    <n v="101"/>
    <s v="_x0000_US"/>
  </r>
  <r>
    <x v="0"/>
    <n v="13.6937"/>
    <n v="-89.176599999999993"/>
    <n v="9553.11"/>
    <n v="0"/>
    <n v="0"/>
    <n v="101"/>
    <s v="_x0000_US"/>
  </r>
  <r>
    <x v="0"/>
    <n v="13.686500000000001"/>
    <n v="-89.202100000000002"/>
    <n v="9553.35"/>
    <n v="0"/>
    <n v="0"/>
    <n v="101"/>
    <s v="_x0000_US"/>
  </r>
  <r>
    <x v="0"/>
    <n v="13.690799999999999"/>
    <n v="-89.195400000000006"/>
    <n v="9554.6200000000008"/>
    <n v="0"/>
    <n v="0"/>
    <n v="101"/>
    <s v="_x0000_US"/>
  </r>
  <r>
    <x v="0"/>
    <n v="13.692600000000001"/>
    <n v="-89.179500000000004"/>
    <n v="9554.91"/>
    <n v="0"/>
    <n v="0"/>
    <n v="101"/>
    <s v="_x0000_US"/>
  </r>
  <r>
    <x v="0"/>
    <n v="13.691000000000001"/>
    <n v="-89.234899999999996"/>
    <n v="9555.2999999999993"/>
    <n v="0"/>
    <n v="0"/>
    <n v="101"/>
    <s v="_x0000_US"/>
  </r>
  <r>
    <x v="0"/>
    <n v="13.687900000000001"/>
    <n v="-89.180099999999996"/>
    <n v="9555.39"/>
    <n v="0"/>
    <n v="0"/>
    <n v="101"/>
    <s v="_x0000_US"/>
  </r>
  <r>
    <x v="0"/>
    <n v="13.688800000000001"/>
    <n v="-89.217200000000005"/>
    <n v="9555.69"/>
    <n v="0"/>
    <n v="0"/>
    <n v="101"/>
    <s v="_x0000_US"/>
  </r>
  <r>
    <x v="0"/>
    <n v="13.6774"/>
    <n v="-89.247399999999999"/>
    <n v="9556.4699999999993"/>
    <n v="0"/>
    <n v="0"/>
    <n v="101"/>
    <s v="_x0000_US"/>
  </r>
  <r>
    <x v="0"/>
    <n v="13.6777"/>
    <n v="-89.247100000000003"/>
    <n v="9557.0400000000009"/>
    <n v="0"/>
    <n v="0"/>
    <n v="101"/>
    <s v="_x0000_US"/>
  </r>
  <r>
    <x v="0"/>
    <n v="13.687900000000001"/>
    <n v="-89.179500000000004"/>
    <n v="9557.49"/>
    <n v="0"/>
    <n v="0"/>
    <n v="101"/>
    <s v="_x0000_US"/>
  </r>
  <r>
    <x v="0"/>
    <n v="13.6767"/>
    <n v="-89.1995"/>
    <n v="9558.1"/>
    <n v="0"/>
    <n v="0"/>
    <n v="101"/>
    <s v="_x0000_US"/>
  </r>
  <r>
    <x v="0"/>
    <n v="13.6914"/>
    <n v="-89.185400000000001"/>
    <n v="9558.9699999999993"/>
    <n v="0"/>
    <n v="0"/>
    <n v="101"/>
    <s v="_x0000_US"/>
  </r>
  <r>
    <x v="0"/>
    <n v="13.6912"/>
    <n v="-89.183999999999997"/>
    <n v="9559.19"/>
    <n v="0"/>
    <n v="0"/>
    <n v="101"/>
    <s v="_x0000_US"/>
  </r>
  <r>
    <x v="0"/>
    <n v="13.6957"/>
    <n v="-89.173699999999997"/>
    <n v="9559.57"/>
    <n v="0"/>
    <n v="0"/>
    <n v="101"/>
    <s v="_x0000_US"/>
  </r>
  <r>
    <x v="0"/>
    <n v="13.6942"/>
    <n v="-89.186300000000003"/>
    <n v="9559.59"/>
    <n v="0"/>
    <n v="0"/>
    <n v="101"/>
    <s v="_x0000_US"/>
  </r>
  <r>
    <x v="0"/>
    <n v="13.685600000000001"/>
    <n v="-89.194100000000006"/>
    <n v="9560.51"/>
    <n v="0"/>
    <n v="0"/>
    <n v="101"/>
    <s v="_x0000_US"/>
  </r>
  <r>
    <x v="0"/>
    <n v="13.6897"/>
    <n v="-89.229299999999995"/>
    <n v="9560.74"/>
    <n v="0"/>
    <n v="0"/>
    <n v="101"/>
    <s v="_x0000_US"/>
  </r>
  <r>
    <x v="0"/>
    <n v="13.6953"/>
    <n v="-89.174099999999996"/>
    <n v="9560.77"/>
    <n v="0"/>
    <n v="0"/>
    <n v="101"/>
    <s v="_x0000_US"/>
  </r>
  <r>
    <x v="0"/>
    <n v="13.690799999999999"/>
    <n v="-89.187600000000003"/>
    <n v="9561.2900000000009"/>
    <n v="0"/>
    <n v="0"/>
    <n v="101"/>
    <s v="_x0000_US"/>
  </r>
  <r>
    <x v="0"/>
    <n v="13.6853"/>
    <n v="-89.213099999999997"/>
    <n v="9561.34"/>
    <n v="0"/>
    <n v="0"/>
    <n v="101"/>
    <s v="_x0000_US"/>
  </r>
  <r>
    <x v="0"/>
    <n v="13.695600000000001"/>
    <n v="-89.174099999999996"/>
    <n v="9561.4500000000007"/>
    <n v="0"/>
    <n v="0"/>
    <n v="101"/>
    <s v="_x0000_US"/>
  </r>
  <r>
    <x v="0"/>
    <n v="13.6854"/>
    <n v="-89.214200000000005"/>
    <n v="9561.82"/>
    <n v="0"/>
    <n v="0"/>
    <n v="101"/>
    <s v="_x0000_US"/>
  </r>
  <r>
    <x v="0"/>
    <n v="13.6898"/>
    <n v="-89.179100000000005"/>
    <n v="9562.14"/>
    <n v="0"/>
    <n v="0"/>
    <n v="101"/>
    <s v="_x0000_US"/>
  </r>
  <r>
    <x v="0"/>
    <n v="13.6876"/>
    <n v="-89.179699999999997"/>
    <n v="9562.24"/>
    <n v="0"/>
    <n v="0"/>
    <n v="101"/>
    <s v="_x0000_US"/>
  </r>
  <r>
    <x v="0"/>
    <n v="13.6919"/>
    <n v="-89.193600000000004"/>
    <n v="9562.3799999999992"/>
    <n v="0"/>
    <n v="0"/>
    <n v="101"/>
    <s v="_x0000_US"/>
  </r>
  <r>
    <x v="0"/>
    <n v="13.6745"/>
    <n v="-89.202600000000004"/>
    <n v="9562.39"/>
    <n v="0"/>
    <n v="0"/>
    <n v="101"/>
    <s v="_x0000_US"/>
  </r>
  <r>
    <x v="0"/>
    <n v="13.687200000000001"/>
    <n v="-89.197100000000006"/>
    <n v="9562.4500000000007"/>
    <n v="0"/>
    <n v="0"/>
    <n v="101"/>
    <s v="_x0000_US"/>
  </r>
  <r>
    <x v="0"/>
    <n v="13.679500000000001"/>
    <n v="-89.196700000000007"/>
    <n v="9562.4500000000007"/>
    <n v="0"/>
    <n v="0"/>
    <n v="101"/>
    <s v="_x0000_US"/>
  </r>
  <r>
    <x v="0"/>
    <n v="13.6904"/>
    <n v="-89.193399999999997"/>
    <n v="9562.94"/>
    <n v="0"/>
    <n v="0"/>
    <n v="101"/>
    <s v="_x0000_US"/>
  </r>
  <r>
    <x v="0"/>
    <n v="13.6891"/>
    <n v="-89.180599999999998"/>
    <n v="9563.58"/>
    <n v="0"/>
    <n v="0"/>
    <n v="101"/>
    <s v="_x0000_US"/>
  </r>
  <r>
    <x v="0"/>
    <n v="13.692"/>
    <n v="-89.180400000000006"/>
    <n v="9564.17"/>
    <n v="0"/>
    <n v="0"/>
    <n v="101"/>
    <s v="_x0000_US"/>
  </r>
  <r>
    <x v="0"/>
    <n v="13.688000000000001"/>
    <n v="-89.181799999999996"/>
    <n v="9564.43"/>
    <n v="0"/>
    <n v="0"/>
    <n v="101"/>
    <s v="_x0000_US"/>
  </r>
  <r>
    <x v="0"/>
    <n v="13.6915"/>
    <n v="-89.220699999999994"/>
    <n v="9564.98"/>
    <n v="0"/>
    <n v="0"/>
    <n v="101"/>
    <s v="_x0000_US"/>
  </r>
  <r>
    <x v="0"/>
    <n v="13.6905"/>
    <n v="-89.235900000000001"/>
    <n v="9565.43"/>
    <n v="0"/>
    <n v="0"/>
    <n v="101"/>
    <s v="_x0000_US"/>
  </r>
  <r>
    <x v="0"/>
    <n v="13.6907"/>
    <n v="-89.234700000000004"/>
    <n v="9565.82"/>
    <n v="0"/>
    <n v="0"/>
    <n v="101"/>
    <s v="_x0000_US"/>
  </r>
  <r>
    <x v="0"/>
    <n v="13.687900000000001"/>
    <n v="-89.182699999999997"/>
    <n v="9566.2199999999993"/>
    <n v="0"/>
    <n v="0"/>
    <n v="101"/>
    <s v="_x0000_US"/>
  </r>
  <r>
    <x v="0"/>
    <n v="13.687900000000001"/>
    <n v="-89.205299999999994"/>
    <n v="9566.3700000000008"/>
    <n v="0"/>
    <n v="0"/>
    <n v="101"/>
    <s v="_x0000_US"/>
  </r>
  <r>
    <x v="0"/>
    <n v="13.684200000000001"/>
    <n v="-89.213399999999993"/>
    <n v="9566.48"/>
    <n v="0"/>
    <n v="0"/>
    <n v="101"/>
    <s v="_x0000_US"/>
  </r>
  <r>
    <x v="0"/>
    <n v="13.688700000000001"/>
    <n v="-89.229699999999994"/>
    <n v="9567.11"/>
    <n v="0"/>
    <n v="0"/>
    <n v="101"/>
    <s v="_x0000_US"/>
  </r>
  <r>
    <x v="0"/>
    <n v="13.6929"/>
    <n v="-89.224400000000003"/>
    <n v="9567.17"/>
    <n v="0"/>
    <n v="0"/>
    <n v="101"/>
    <s v="_x0000_US"/>
  </r>
  <r>
    <x v="0"/>
    <n v="13.6919"/>
    <n v="-89.224699999999999"/>
    <n v="9567.3799999999992"/>
    <n v="0"/>
    <n v="0"/>
    <n v="101"/>
    <s v="_x0000_US"/>
  </r>
  <r>
    <x v="0"/>
    <n v="13.6873"/>
    <n v="-89.195700000000002"/>
    <n v="9567.48"/>
    <n v="0"/>
    <n v="0"/>
    <n v="101"/>
    <s v="_x0000_US"/>
  </r>
  <r>
    <x v="0"/>
    <n v="13.6905"/>
    <n v="-89.234499999999997"/>
    <n v="9568.08"/>
    <n v="0"/>
    <n v="0"/>
    <n v="101"/>
    <s v="_x0000_US"/>
  </r>
  <r>
    <x v="0"/>
    <n v="13.689299999999999"/>
    <n v="-89.229500000000002"/>
    <n v="9568.1"/>
    <n v="0"/>
    <n v="0"/>
    <n v="101"/>
    <s v="_x0000_US"/>
  </r>
  <r>
    <x v="0"/>
    <n v="13.6898"/>
    <n v="-89.229299999999995"/>
    <n v="9568.32"/>
    <n v="0"/>
    <n v="0"/>
    <n v="101"/>
    <s v="_x0000_US"/>
  </r>
  <r>
    <x v="0"/>
    <n v="13.6913"/>
    <n v="-89.233099999999993"/>
    <n v="9568.3700000000008"/>
    <n v="0"/>
    <n v="0"/>
    <n v="101"/>
    <s v="_x0000_US"/>
  </r>
  <r>
    <x v="0"/>
    <n v="13.6869"/>
    <n v="-89.212400000000002"/>
    <n v="9568.66"/>
    <n v="0"/>
    <n v="0"/>
    <n v="101"/>
    <s v="_x0000_US"/>
  </r>
  <r>
    <x v="0"/>
    <n v="13.691700000000001"/>
    <n v="-89.232500000000002"/>
    <n v="9568.7099999999991"/>
    <n v="0"/>
    <n v="0"/>
    <n v="101"/>
    <s v="_x0000_US"/>
  </r>
  <r>
    <x v="0"/>
    <n v="13.6896"/>
    <n v="-89.185400000000001"/>
    <n v="9568.73"/>
    <n v="0"/>
    <n v="0"/>
    <n v="101"/>
    <s v="_x0000_US"/>
  </r>
  <r>
    <x v="0"/>
    <n v="13.679"/>
    <n v="-89.196399999999997"/>
    <n v="9568.8700000000008"/>
    <n v="0"/>
    <n v="0"/>
    <n v="101"/>
    <s v="_x0000_US"/>
  </r>
  <r>
    <x v="0"/>
    <n v="13.6915"/>
    <n v="-89.227000000000004"/>
    <n v="9569.0300000000007"/>
    <n v="0"/>
    <n v="0"/>
    <n v="101"/>
    <s v="_x0000_US"/>
  </r>
  <r>
    <x v="0"/>
    <n v="13.6914"/>
    <n v="-89.235100000000003"/>
    <n v="9569.66"/>
    <n v="0"/>
    <n v="0"/>
    <n v="101"/>
    <s v="_x0000_US"/>
  </r>
  <r>
    <x v="0"/>
    <n v="13.690099999999999"/>
    <n v="-89.184899999999999"/>
    <n v="9569.82"/>
    <n v="0"/>
    <n v="0"/>
    <n v="101"/>
    <s v="_x0000_US"/>
  </r>
  <r>
    <x v="0"/>
    <n v="13.6861"/>
    <n v="-89.198300000000003"/>
    <n v="9570"/>
    <n v="0"/>
    <n v="0"/>
    <n v="101"/>
    <s v="_x0000_US"/>
  </r>
  <r>
    <x v="0"/>
    <n v="13.6958"/>
    <n v="-89.172600000000003"/>
    <n v="9572.06"/>
    <n v="0"/>
    <n v="0"/>
    <n v="101"/>
    <s v="_x0000_US"/>
  </r>
  <r>
    <x v="0"/>
    <n v="13.685700000000001"/>
    <n v="-89.204099999999997"/>
    <n v="9572.35"/>
    <n v="0"/>
    <n v="0"/>
    <n v="101"/>
    <s v="_x0000_US"/>
  </r>
  <r>
    <x v="0"/>
    <n v="13.690799999999999"/>
    <n v="-89.235900000000001"/>
    <n v="9573.2000000000007"/>
    <n v="0"/>
    <n v="0"/>
    <n v="101"/>
    <s v="_x0000_US"/>
  </r>
  <r>
    <x v="0"/>
    <n v="13.690099999999999"/>
    <n v="-89.235100000000003"/>
    <n v="9573.24"/>
    <n v="0"/>
    <n v="0"/>
    <n v="101"/>
    <s v="_x0000_US"/>
  </r>
  <r>
    <x v="0"/>
    <n v="13.692"/>
    <n v="-89.179199999999994"/>
    <n v="9573.5499999999993"/>
    <n v="0"/>
    <n v="0"/>
    <n v="101"/>
    <s v="_x0000_US"/>
  </r>
  <r>
    <x v="0"/>
    <n v="13.6914"/>
    <n v="-89.228800000000007"/>
    <n v="9575.0400000000009"/>
    <n v="0"/>
    <n v="0"/>
    <n v="101"/>
    <s v="_x0000_US"/>
  </r>
  <r>
    <x v="0"/>
    <n v="13.6904"/>
    <n v="-89.177499999999995"/>
    <n v="9575.1200000000008"/>
    <n v="0"/>
    <n v="0"/>
    <n v="101"/>
    <s v="_x0000_US"/>
  </r>
  <r>
    <x v="0"/>
    <n v="13.695600000000001"/>
    <n v="-89.173500000000004"/>
    <n v="9575.65"/>
    <n v="0"/>
    <n v="0"/>
    <n v="101"/>
    <s v="_x0000_US"/>
  </r>
  <r>
    <x v="0"/>
    <n v="13.6799"/>
    <n v="-89.197199999999995"/>
    <n v="9575.8799999999992"/>
    <n v="0"/>
    <n v="0"/>
    <n v="101"/>
    <s v="_x0000_US"/>
  </r>
  <r>
    <x v="0"/>
    <n v="13.675000000000001"/>
    <n v="-89.200100000000006"/>
    <n v="9576.65"/>
    <n v="0"/>
    <n v="0"/>
    <n v="101"/>
    <s v="_x0000_US"/>
  </r>
  <r>
    <x v="0"/>
    <n v="13.694000000000001"/>
    <n v="-89.174999999999997"/>
    <n v="9576.7999999999993"/>
    <n v="0"/>
    <n v="0"/>
    <n v="101"/>
    <s v="_x0000_US"/>
  </r>
  <r>
    <x v="0"/>
    <n v="13.687900000000001"/>
    <n v="-89.195499999999996"/>
    <n v="9576.86"/>
    <n v="0"/>
    <n v="0"/>
    <n v="101"/>
    <s v="_x0000_US"/>
  </r>
  <r>
    <x v="0"/>
    <n v="13.689399999999999"/>
    <n v="-89.190200000000004"/>
    <n v="9576.92"/>
    <n v="0"/>
    <n v="0"/>
    <n v="101"/>
    <s v="_x0000_US"/>
  </r>
  <r>
    <x v="0"/>
    <n v="13.690300000000001"/>
    <n v="-89.193299999999994"/>
    <n v="9576.9500000000007"/>
    <n v="0"/>
    <n v="0"/>
    <n v="101"/>
    <s v="_x0000_US"/>
  </r>
  <r>
    <x v="0"/>
    <n v="13.695499999999999"/>
    <n v="-89.174000000000007"/>
    <n v="9577.85"/>
    <n v="0"/>
    <n v="0"/>
    <n v="101"/>
    <s v="_x0000_US"/>
  </r>
  <r>
    <x v="0"/>
    <n v="13.6869"/>
    <n v="-89.194699999999997"/>
    <n v="9578.82"/>
    <n v="0"/>
    <n v="0"/>
    <n v="101"/>
    <s v="_x0000_US"/>
  </r>
  <r>
    <x v="0"/>
    <n v="13.6874"/>
    <n v="-89.203999999999994"/>
    <n v="9579.24"/>
    <n v="0"/>
    <n v="0"/>
    <n v="101"/>
    <s v="_x0000_US"/>
  </r>
  <r>
    <x v="0"/>
    <n v="13.6883"/>
    <n v="-89.217100000000002"/>
    <n v="9579.5"/>
    <n v="0"/>
    <n v="0"/>
    <n v="101"/>
    <s v="_x0000_US"/>
  </r>
  <r>
    <x v="0"/>
    <n v="13.690799999999999"/>
    <n v="-89.194299999999998"/>
    <n v="9579.74"/>
    <n v="0"/>
    <n v="0"/>
    <n v="101"/>
    <s v="_x0000_US"/>
  </r>
  <r>
    <x v="0"/>
    <n v="13.6928"/>
    <n v="-89.224199999999996"/>
    <n v="9580.56"/>
    <n v="0"/>
    <n v="0"/>
    <n v="101"/>
    <s v="_x0000_US"/>
  </r>
  <r>
    <x v="0"/>
    <n v="13.679500000000001"/>
    <n v="-89.197199999999995"/>
    <n v="9580.82"/>
    <n v="0"/>
    <n v="0"/>
    <n v="101"/>
    <s v="_x0000_US"/>
  </r>
  <r>
    <x v="0"/>
    <n v="13.6873"/>
    <n v="-89.180300000000003"/>
    <n v="9581.24"/>
    <n v="0"/>
    <n v="0"/>
    <n v="101"/>
    <s v="_x0000_US"/>
  </r>
  <r>
    <x v="0"/>
    <n v="13.690899999999999"/>
    <n v="-89.235699999999994"/>
    <n v="9582.11"/>
    <n v="0"/>
    <n v="0"/>
    <n v="101"/>
    <s v="_x0000_US"/>
  </r>
  <r>
    <x v="0"/>
    <n v="13.690899999999999"/>
    <n v="-89.235299999999995"/>
    <n v="9582.2000000000007"/>
    <n v="0"/>
    <n v="0"/>
    <n v="101"/>
    <s v="_x0000_US"/>
  </r>
  <r>
    <x v="0"/>
    <n v="13.6905"/>
    <n v="-89.235200000000006"/>
    <n v="9582.4699999999993"/>
    <n v="0"/>
    <n v="0"/>
    <n v="101"/>
    <s v="_x0000_US"/>
  </r>
  <r>
    <x v="0"/>
    <n v="13.6873"/>
    <n v="-89.197299999999998"/>
    <n v="9582.94"/>
    <n v="0"/>
    <n v="0"/>
    <n v="101"/>
    <s v="_x0000_US"/>
  </r>
  <r>
    <x v="0"/>
    <n v="13.692399999999999"/>
    <n v="-89.225800000000007"/>
    <n v="9583.11"/>
    <n v="0"/>
    <n v="0"/>
    <n v="101"/>
    <s v="_x0000_US"/>
  </r>
  <r>
    <x v="0"/>
    <n v="13.6874"/>
    <n v="-89.197299999999998"/>
    <n v="9583.1200000000008"/>
    <n v="0"/>
    <n v="0"/>
    <n v="101"/>
    <s v="_x0000_US"/>
  </r>
  <r>
    <x v="0"/>
    <n v="13.6915"/>
    <n v="-89.188199999999995"/>
    <n v="9583.36"/>
    <n v="0"/>
    <n v="0"/>
    <n v="101"/>
    <s v="_x0000_US"/>
  </r>
  <r>
    <x v="0"/>
    <n v="13.693199999999999"/>
    <n v="-89.188400000000001"/>
    <n v="9583.6200000000008"/>
    <n v="0"/>
    <n v="0"/>
    <n v="101"/>
    <s v="_x0000_US"/>
  </r>
  <r>
    <x v="0"/>
    <n v="13.692399999999999"/>
    <n v="-89.183000000000007"/>
    <n v="9583.73"/>
    <n v="0"/>
    <n v="0"/>
    <n v="101"/>
    <s v="_x0000_US"/>
  </r>
  <r>
    <x v="0"/>
    <n v="13.674899999999999"/>
    <n v="-89.252300000000005"/>
    <n v="9583.9500000000007"/>
    <n v="0"/>
    <n v="0"/>
    <n v="101"/>
    <s v="_x0000_US"/>
  </r>
  <r>
    <x v="0"/>
    <n v="13.6913"/>
    <n v="-89.189499999999995"/>
    <n v="9584.0400000000009"/>
    <n v="0"/>
    <n v="0"/>
    <n v="101"/>
    <s v="_x0000_US"/>
  </r>
  <r>
    <x v="0"/>
    <n v="13.691000000000001"/>
    <n v="-89.229299999999995"/>
    <n v="9584.8799999999992"/>
    <n v="0"/>
    <n v="0"/>
    <n v="101"/>
    <s v="_x0000_US"/>
  </r>
  <r>
    <x v="0"/>
    <n v="13.677099999999999"/>
    <n v="-89.247699999999995"/>
    <n v="9585.7999999999993"/>
    <n v="0"/>
    <n v="0"/>
    <n v="101"/>
    <s v="_x0000_US"/>
  </r>
  <r>
    <x v="0"/>
    <n v="13.696"/>
    <n v="-89.1678"/>
    <n v="9586.09"/>
    <n v="0"/>
    <n v="0"/>
    <n v="101"/>
    <s v="_x0000_US"/>
  </r>
  <r>
    <x v="0"/>
    <n v="13.687200000000001"/>
    <n v="-89.211200000000005"/>
    <n v="9586.3799999999992"/>
    <n v="0"/>
    <n v="0"/>
    <n v="101"/>
    <s v="_x0000_US"/>
  </r>
  <r>
    <x v="0"/>
    <n v="13.689500000000001"/>
    <n v="-89.216300000000004"/>
    <n v="9586.7000000000007"/>
    <n v="0"/>
    <n v="0"/>
    <n v="101"/>
    <s v="_x0000_US"/>
  </r>
  <r>
    <x v="0"/>
    <n v="13.6892"/>
    <n v="-89.180899999999994"/>
    <n v="9587.15"/>
    <n v="0"/>
    <n v="0"/>
    <n v="101"/>
    <s v="_x0000_US"/>
  </r>
  <r>
    <x v="0"/>
    <n v="13.693"/>
    <n v="-89.183700000000002"/>
    <n v="9587.7000000000007"/>
    <n v="0"/>
    <n v="0"/>
    <n v="101"/>
    <s v="_x0000_US"/>
  </r>
  <r>
    <x v="0"/>
    <n v="13.675000000000001"/>
    <n v="-89.250100000000003"/>
    <n v="9587.9500000000007"/>
    <n v="0"/>
    <n v="0"/>
    <n v="101"/>
    <s v="_x0000_US"/>
  </r>
  <r>
    <x v="0"/>
    <n v="13.690899999999999"/>
    <n v="-89.2286"/>
    <n v="9588.02"/>
    <n v="0"/>
    <n v="0"/>
    <n v="101"/>
    <s v="_x0000_US"/>
  </r>
  <r>
    <x v="0"/>
    <n v="13.692299999999999"/>
    <n v="-89.186400000000006"/>
    <n v="9588.17"/>
    <n v="0"/>
    <n v="0"/>
    <n v="101"/>
    <s v="_x0000_US"/>
  </r>
  <r>
    <x v="0"/>
    <n v="13.6859"/>
    <n v="-89.193899999999999"/>
    <n v="9588.66"/>
    <n v="0"/>
    <n v="0"/>
    <n v="101"/>
    <s v="_x0000_US"/>
  </r>
  <r>
    <x v="0"/>
    <n v="13.6883"/>
    <n v="-89.181600000000003"/>
    <n v="9588.75"/>
    <n v="0"/>
    <n v="0"/>
    <n v="101"/>
    <s v="_x0000_US"/>
  </r>
  <r>
    <x v="0"/>
    <n v="13.677099999999999"/>
    <n v="-89.198899999999995"/>
    <n v="9589.01"/>
    <n v="0"/>
    <n v="0"/>
    <n v="101"/>
    <s v="_x0000_US"/>
  </r>
  <r>
    <x v="0"/>
    <n v="13.6744"/>
    <n v="-89.202100000000002"/>
    <n v="9589.1"/>
    <n v="0"/>
    <n v="0"/>
    <n v="101"/>
    <s v="_x0000_US"/>
  </r>
  <r>
    <x v="0"/>
    <n v="13.6858"/>
    <n v="-89.211299999999994"/>
    <n v="9589.24"/>
    <n v="0"/>
    <n v="0"/>
    <n v="101"/>
    <s v="_x0000_US"/>
  </r>
  <r>
    <x v="0"/>
    <n v="13.6959"/>
    <n v="-89.173400000000001"/>
    <n v="9589.25"/>
    <n v="0"/>
    <n v="0"/>
    <n v="101"/>
    <s v="_x0000_US"/>
  </r>
  <r>
    <x v="0"/>
    <n v="13.6881"/>
    <n v="-89.182599999999994"/>
    <n v="9589.85"/>
    <n v="0"/>
    <n v="0"/>
    <n v="101"/>
    <s v="_x0000_US"/>
  </r>
  <r>
    <x v="0"/>
    <n v="13.690799999999999"/>
    <n v="-89.231999999999999"/>
    <n v="9590.33"/>
    <n v="0"/>
    <n v="0"/>
    <n v="101"/>
    <s v="_x0000_US"/>
  </r>
  <r>
    <x v="0"/>
    <n v="13.6913"/>
    <n v="-89.233000000000004"/>
    <n v="9591.17"/>
    <n v="0"/>
    <n v="0"/>
    <n v="101"/>
    <s v="_x0000_US"/>
  </r>
  <r>
    <x v="0"/>
    <n v="13.688700000000001"/>
    <n v="-89.216300000000004"/>
    <n v="9591.57"/>
    <n v="0"/>
    <n v="0"/>
    <n v="101"/>
    <s v="_x0000_US"/>
  </r>
  <r>
    <x v="0"/>
    <n v="13.6884"/>
    <n v="-89.217100000000002"/>
    <n v="9591.89"/>
    <n v="0"/>
    <n v="0"/>
    <n v="101"/>
    <s v="_x0000_US"/>
  </r>
  <r>
    <x v="0"/>
    <n v="13.6882"/>
    <n v="-89.182100000000005"/>
    <n v="9592.06"/>
    <n v="0"/>
    <n v="0"/>
    <n v="101"/>
    <s v="_x0000_US"/>
  </r>
  <r>
    <x v="0"/>
    <n v="13.6881"/>
    <n v="-89.194400000000002"/>
    <n v="9592.4500000000007"/>
    <n v="0"/>
    <n v="0"/>
    <n v="101"/>
    <s v="_x0000_US"/>
  </r>
  <r>
    <x v="0"/>
    <n v="13.694900000000001"/>
    <n v="-89.171700000000001"/>
    <n v="9592.4699999999993"/>
    <n v="0"/>
    <n v="0"/>
    <n v="101"/>
    <s v="_x0000_US"/>
  </r>
  <r>
    <x v="0"/>
    <n v="13.680300000000001"/>
    <n v="-89.1982"/>
    <n v="9592.92"/>
    <n v="0"/>
    <n v="0"/>
    <n v="101"/>
    <s v="_x0000_US"/>
  </r>
  <r>
    <x v="0"/>
    <n v="13.6919"/>
    <n v="-89.179199999999994"/>
    <n v="9593.5400000000009"/>
    <n v="0"/>
    <n v="0"/>
    <n v="101"/>
    <s v="_x0000_US"/>
  </r>
  <r>
    <x v="0"/>
    <n v="13.686500000000001"/>
    <n v="-89.201599999999999"/>
    <n v="9594.36"/>
    <n v="0"/>
    <n v="0"/>
    <n v="101"/>
    <s v="_x0000_US"/>
  </r>
  <r>
    <x v="0"/>
    <n v="13.6845"/>
    <n v="-89.214699999999993"/>
    <n v="9594.4500000000007"/>
    <n v="0"/>
    <n v="0"/>
    <n v="101"/>
    <s v="_x0000_US"/>
  </r>
  <r>
    <x v="0"/>
    <n v="13.6914"/>
    <n v="-89.235299999999995"/>
    <n v="9594.7999999999993"/>
    <n v="0"/>
    <n v="0"/>
    <n v="101"/>
    <s v="_x0000_US"/>
  </r>
  <r>
    <x v="0"/>
    <n v="13.6866"/>
    <n v="-89.214399999999998"/>
    <n v="9595.48"/>
    <n v="0"/>
    <n v="0"/>
    <n v="101"/>
    <s v="_x0000_US"/>
  </r>
  <r>
    <x v="0"/>
    <n v="13.687799999999999"/>
    <n v="-89.204300000000003"/>
    <n v="9595.7900000000009"/>
    <n v="0"/>
    <n v="0"/>
    <n v="101"/>
    <s v="_x0000_US"/>
  </r>
  <r>
    <x v="0"/>
    <n v="13.684900000000001"/>
    <n v="-89.217100000000002"/>
    <n v="9595.99"/>
    <n v="0"/>
    <n v="0"/>
    <n v="101"/>
    <s v="_x0000_US"/>
  </r>
  <r>
    <x v="0"/>
    <n v="13.691800000000001"/>
    <n v="-89.221599999999995"/>
    <n v="9596.33"/>
    <n v="0"/>
    <n v="0"/>
    <n v="101"/>
    <s v="_x0000_US"/>
  </r>
  <r>
    <x v="0"/>
    <n v="13.6884"/>
    <n v="-89.198700000000002"/>
    <n v="9597.0499999999993"/>
    <n v="0"/>
    <n v="0"/>
    <n v="101"/>
    <s v="_x0000_US"/>
  </r>
  <r>
    <x v="0"/>
    <n v="13.6965"/>
    <n v="-89.171999999999997"/>
    <n v="9597.2999999999993"/>
    <n v="0"/>
    <n v="0"/>
    <n v="101"/>
    <s v="_x0000_US"/>
  </r>
  <r>
    <x v="0"/>
    <n v="13.6968"/>
    <n v="-89.171700000000001"/>
    <n v="9597.41"/>
    <n v="0"/>
    <n v="0"/>
    <n v="101"/>
    <s v="_x0000_US"/>
  </r>
  <r>
    <x v="0"/>
    <n v="13.6859"/>
    <n v="-89.212500000000006"/>
    <n v="9597.44"/>
    <n v="0"/>
    <n v="0"/>
    <n v="101"/>
    <s v="_x0000_US"/>
  </r>
  <r>
    <x v="0"/>
    <n v="13.6869"/>
    <n v="-89.214299999999994"/>
    <n v="9597.52"/>
    <n v="0"/>
    <n v="0"/>
    <n v="101"/>
    <s v="_x0000_US"/>
  </r>
  <r>
    <x v="0"/>
    <n v="13.686199999999999"/>
    <n v="-89.212999999999994"/>
    <n v="9597.59"/>
    <n v="0"/>
    <n v="0"/>
    <n v="101"/>
    <s v="_x0000_US"/>
  </r>
  <r>
    <x v="0"/>
    <n v="13.6867"/>
    <n v="-89.211600000000004"/>
    <n v="9597.92"/>
    <n v="0"/>
    <n v="0"/>
    <n v="101"/>
    <s v="_x0000_US"/>
  </r>
  <r>
    <x v="0"/>
    <n v="13.6899"/>
    <n v="-89.1892"/>
    <n v="9598.9"/>
    <n v="0"/>
    <n v="0"/>
    <n v="101"/>
    <s v="_x0000_US"/>
  </r>
  <r>
    <x v="0"/>
    <n v="13.692399999999999"/>
    <n v="-89.225499999999997"/>
    <n v="9598.92"/>
    <n v="0"/>
    <n v="0"/>
    <n v="101"/>
    <s v="_x0000_US"/>
  </r>
  <r>
    <x v="0"/>
    <n v="13.688499999999999"/>
    <n v="-89.1982"/>
    <n v="9599.23"/>
    <n v="0"/>
    <n v="0"/>
    <n v="101"/>
    <s v="_x0000_US"/>
  </r>
  <r>
    <x v="0"/>
    <n v="13.687200000000001"/>
    <n v="-89.181799999999996"/>
    <n v="9599.7000000000007"/>
    <n v="0"/>
    <n v="0"/>
    <n v="101"/>
    <s v="_x0000_US"/>
  </r>
  <r>
    <x v="0"/>
    <n v="13.692500000000001"/>
    <n v="-89.179000000000002"/>
    <n v="9600.24"/>
    <n v="0"/>
    <n v="0"/>
    <n v="101"/>
    <s v="_x0000_US"/>
  </r>
  <r>
    <x v="0"/>
    <n v="13.6899"/>
    <n v="-89.190399999999997"/>
    <n v="9600.51"/>
    <n v="0"/>
    <n v="0"/>
    <n v="101"/>
    <s v="_x0000_US"/>
  </r>
  <r>
    <x v="0"/>
    <n v="13.684900000000001"/>
    <n v="-89.216999999999999"/>
    <n v="9600.74"/>
    <n v="0"/>
    <n v="0"/>
    <n v="101"/>
    <s v="_x0000_US"/>
  </r>
  <r>
    <x v="0"/>
    <n v="13.6768"/>
    <n v="-89.199200000000005"/>
    <n v="9600.7800000000007"/>
    <n v="0"/>
    <n v="0"/>
    <n v="101"/>
    <s v="_x0000_US"/>
  </r>
  <r>
    <x v="0"/>
    <n v="13.6913"/>
    <n v="-89.219899999999996"/>
    <n v="9600.9699999999993"/>
    <n v="0"/>
    <n v="0"/>
    <n v="101"/>
    <s v="_x0000_US"/>
  </r>
  <r>
    <x v="0"/>
    <n v="13.6919"/>
    <n v="-89.221299999999999"/>
    <n v="9601.3799999999992"/>
    <n v="0"/>
    <n v="0"/>
    <n v="101"/>
    <s v="_x0000_US"/>
  </r>
  <r>
    <x v="0"/>
    <n v="13.678000000000001"/>
    <n v="-89.246799999999993"/>
    <n v="9601.58"/>
    <n v="0"/>
    <n v="0"/>
    <n v="101"/>
    <s v="_x0000_US"/>
  </r>
  <r>
    <x v="0"/>
    <n v="13.689299999999999"/>
    <n v="-89.196700000000007"/>
    <n v="9601.76"/>
    <n v="0"/>
    <n v="0"/>
    <n v="101"/>
    <s v="_x0000_US"/>
  </r>
  <r>
    <x v="0"/>
    <n v="13.6912"/>
    <n v="-89.235200000000006"/>
    <n v="9601.9699999999993"/>
    <n v="0"/>
    <n v="0"/>
    <n v="101"/>
    <s v="_x0000_US"/>
  </r>
  <r>
    <x v="0"/>
    <n v="13.6883"/>
    <n v="-89.1905"/>
    <n v="9602.01"/>
    <n v="0"/>
    <n v="0"/>
    <n v="101"/>
    <s v="_x0000_US"/>
  </r>
  <r>
    <x v="0"/>
    <n v="13.690099999999999"/>
    <n v="-89.236000000000004"/>
    <n v="9602.1200000000008"/>
    <n v="0"/>
    <n v="0"/>
    <n v="101"/>
    <s v="_x0000_US"/>
  </r>
  <r>
    <x v="0"/>
    <n v="13.6892"/>
    <n v="-89.18"/>
    <n v="9602.9"/>
    <n v="0"/>
    <n v="0"/>
    <n v="101"/>
    <s v="_x0000_US"/>
  </r>
  <r>
    <x v="0"/>
    <n v="13.695"/>
    <n v="-89.171999999999997"/>
    <n v="9603.08"/>
    <n v="0"/>
    <n v="0"/>
    <n v="101"/>
    <s v="_x0000_US"/>
  </r>
  <r>
    <x v="0"/>
    <n v="13.694100000000001"/>
    <n v="-89.173500000000004"/>
    <n v="9603.51"/>
    <n v="0"/>
    <n v="0"/>
    <n v="101"/>
    <s v="_x0000_US"/>
  </r>
  <r>
    <x v="0"/>
    <n v="13.6883"/>
    <n v="-89.205299999999994"/>
    <n v="9603.69"/>
    <n v="0"/>
    <n v="0"/>
    <n v="101"/>
    <s v="_x0000_US"/>
  </r>
  <r>
    <x v="0"/>
    <n v="13.6873"/>
    <n v="-89.197699999999998"/>
    <n v="9603.9699999999993"/>
    <n v="0"/>
    <n v="0"/>
    <n v="101"/>
    <s v="_x0000_US"/>
  </r>
  <r>
    <x v="0"/>
    <n v="13.687200000000001"/>
    <n v="-89.195499999999996"/>
    <n v="9604.6200000000008"/>
    <n v="0"/>
    <n v="0"/>
    <n v="101"/>
    <s v="_x0000_US"/>
  </r>
  <r>
    <x v="0"/>
    <n v="13.690200000000001"/>
    <n v="-89.177800000000005"/>
    <n v="9605.18"/>
    <n v="0"/>
    <n v="0"/>
    <n v="101"/>
    <s v="_x0000_US"/>
  </r>
  <r>
    <x v="0"/>
    <n v="13.689"/>
    <n v="-89.194299999999998"/>
    <n v="9605.27"/>
    <n v="0"/>
    <n v="0"/>
    <n v="101"/>
    <s v="_x0000_US"/>
  </r>
  <r>
    <x v="0"/>
    <n v="13.686999999999999"/>
    <n v="-89.197100000000006"/>
    <n v="9606.08"/>
    <n v="0"/>
    <n v="0"/>
    <n v="101"/>
    <s v="_x0000_US"/>
  </r>
  <r>
    <x v="0"/>
    <n v="13.692"/>
    <n v="-89.194299999999998"/>
    <n v="9606.1299999999992"/>
    <n v="0"/>
    <n v="0"/>
    <n v="101"/>
    <s v="_x0000_US"/>
  </r>
  <r>
    <x v="0"/>
    <n v="13.6861"/>
    <n v="-89.203599999999994"/>
    <n v="9606.5499999999993"/>
    <n v="0"/>
    <n v="0"/>
    <n v="101"/>
    <s v="_x0000_US"/>
  </r>
  <r>
    <x v="0"/>
    <n v="13.688000000000001"/>
    <n v="-89.205799999999996"/>
    <n v="9607.17"/>
    <n v="0"/>
    <n v="0"/>
    <n v="101"/>
    <s v="_x0000_US"/>
  </r>
  <r>
    <x v="0"/>
    <n v="13.691700000000001"/>
    <n v="-89.185400000000001"/>
    <n v="9608.2900000000009"/>
    <n v="0"/>
    <n v="0"/>
    <n v="101"/>
    <s v="_x0000_US"/>
  </r>
  <r>
    <x v="0"/>
    <n v="13.6853"/>
    <n v="-89.194100000000006"/>
    <n v="9609.27"/>
    <n v="0"/>
    <n v="0"/>
    <n v="101"/>
    <s v="_x0000_US"/>
  </r>
  <r>
    <x v="0"/>
    <n v="13.687900000000001"/>
    <n v="-89.194100000000006"/>
    <n v="9609.81"/>
    <n v="0"/>
    <n v="0"/>
    <n v="101"/>
    <s v="_x0000_US"/>
  </r>
  <r>
    <x v="0"/>
    <n v="13.679500000000001"/>
    <n v="-89.194199999999995"/>
    <n v="9609.84"/>
    <n v="0"/>
    <n v="0"/>
    <n v="101"/>
    <s v="_x0000_US"/>
  </r>
  <r>
    <x v="0"/>
    <n v="13.695"/>
    <n v="-89.174999999999997"/>
    <n v="9610.59"/>
    <n v="0"/>
    <n v="0"/>
    <n v="101"/>
    <s v="_x0000_US"/>
  </r>
  <r>
    <x v="0"/>
    <n v="13.6951"/>
    <n v="-89.182699999999997"/>
    <n v="9611.14"/>
    <n v="0"/>
    <n v="0"/>
    <n v="101"/>
    <s v="_x0000_US"/>
  </r>
  <r>
    <x v="0"/>
    <n v="13.6912"/>
    <n v="-89.233699999999999"/>
    <n v="9611.2900000000009"/>
    <n v="0"/>
    <n v="0"/>
    <n v="101"/>
    <s v="_x0000_US"/>
  </r>
  <r>
    <x v="0"/>
    <n v="13.6876"/>
    <n v="-89.194299999999998"/>
    <n v="9611.33"/>
    <n v="0"/>
    <n v="0"/>
    <n v="101"/>
    <s v="_x0000_US"/>
  </r>
  <r>
    <x v="0"/>
    <n v="13.6877"/>
    <n v="-89.179599999999994"/>
    <n v="9612.68"/>
    <n v="0"/>
    <n v="0"/>
    <n v="101"/>
    <s v="_x0000_US"/>
  </r>
  <r>
    <x v="0"/>
    <n v="13.6922"/>
    <n v="-89.2256"/>
    <n v="9612.9699999999993"/>
    <n v="0"/>
    <n v="0"/>
    <n v="101"/>
    <s v="_x0000_US"/>
  </r>
  <r>
    <x v="0"/>
    <n v="13.693199999999999"/>
    <n v="-89.176299999999998"/>
    <n v="9613.16"/>
    <n v="0"/>
    <n v="0"/>
    <n v="101"/>
    <s v="_x0000_US"/>
  </r>
  <r>
    <x v="0"/>
    <n v="13.674799999999999"/>
    <n v="-89.199799999999996"/>
    <n v="9613.39"/>
    <n v="0"/>
    <n v="0"/>
    <n v="101"/>
    <s v="_x0000_US"/>
  </r>
  <r>
    <x v="0"/>
    <n v="13.6873"/>
    <n v="-89.194900000000004"/>
    <n v="9613.66"/>
    <n v="0"/>
    <n v="0"/>
    <n v="101"/>
    <s v="_x0000_US"/>
  </r>
  <r>
    <x v="0"/>
    <n v="13.688000000000001"/>
    <n v="-89.212800000000001"/>
    <n v="9613.9500000000007"/>
    <n v="0"/>
    <n v="0"/>
    <n v="101"/>
    <s v="_x0000_US"/>
  </r>
  <r>
    <x v="0"/>
    <n v="13.6928"/>
    <n v="-89.186400000000006"/>
    <n v="9614.18"/>
    <n v="0"/>
    <n v="0"/>
    <n v="101"/>
    <s v="_x0000_US"/>
  </r>
  <r>
    <x v="0"/>
    <n v="13.6898"/>
    <n v="-89.2363"/>
    <n v="9614.18"/>
    <n v="0"/>
    <n v="0"/>
    <n v="101"/>
    <s v="_x0000_US"/>
  </r>
  <r>
    <x v="0"/>
    <n v="13.688499999999999"/>
    <n v="-89.181600000000003"/>
    <n v="9614.19"/>
    <n v="0"/>
    <n v="0"/>
    <n v="101"/>
    <s v="_x0000_US"/>
  </r>
  <r>
    <x v="0"/>
    <n v="13.6957"/>
    <n v="-89.171700000000001"/>
    <n v="9614.24"/>
    <n v="0"/>
    <n v="0"/>
    <n v="101"/>
    <s v="_x0000_US"/>
  </r>
  <r>
    <x v="0"/>
    <n v="13.693099999999999"/>
    <n v="-89.176699999999997"/>
    <n v="9614.5499999999993"/>
    <n v="0"/>
    <n v="0"/>
    <n v="101"/>
    <s v="_x0000_US"/>
  </r>
  <r>
    <x v="0"/>
    <n v="13.6912"/>
    <n v="-89.232900000000001"/>
    <n v="9614.56"/>
    <n v="0"/>
    <n v="0"/>
    <n v="101"/>
    <s v="_x0000_US"/>
  </r>
  <r>
    <x v="0"/>
    <n v="13.688800000000001"/>
    <n v="-89.216700000000003"/>
    <n v="9614.6200000000008"/>
    <n v="0"/>
    <n v="0"/>
    <n v="101"/>
    <s v="_x0000_US"/>
  </r>
  <r>
    <x v="0"/>
    <n v="13.686199999999999"/>
    <n v="-89.201499999999996"/>
    <n v="9615.1"/>
    <n v="0"/>
    <n v="0"/>
    <n v="101"/>
    <s v="_x0000_US"/>
  </r>
  <r>
    <x v="0"/>
    <n v="13.6898"/>
    <n v="-89.193799999999996"/>
    <n v="9615.1299999999992"/>
    <n v="0"/>
    <n v="0"/>
    <n v="101"/>
    <s v="_x0000_US"/>
  </r>
  <r>
    <x v="0"/>
    <n v="13.694000000000001"/>
    <n v="-89.176299999999998"/>
    <n v="9615.4"/>
    <n v="0"/>
    <n v="0"/>
    <n v="101"/>
    <s v="_x0000_US"/>
  </r>
  <r>
    <x v="0"/>
    <n v="13.688499999999999"/>
    <n v="-89.190899999999999"/>
    <n v="9615.58"/>
    <n v="0"/>
    <n v="0"/>
    <n v="101"/>
    <s v="_x0000_US"/>
  </r>
  <r>
    <x v="0"/>
    <n v="13.6799"/>
    <n v="-89.195800000000006"/>
    <n v="9615.84"/>
    <n v="0"/>
    <n v="0"/>
    <n v="101"/>
    <s v="_x0000_US"/>
  </r>
  <r>
    <x v="0"/>
    <n v="13.694599999999999"/>
    <n v="-89.183199999999999"/>
    <n v="9616.07"/>
    <n v="0"/>
    <n v="0"/>
    <n v="101"/>
    <s v="_x0000_US"/>
  </r>
  <r>
    <x v="0"/>
    <n v="13.690799999999999"/>
    <n v="-89.232600000000005"/>
    <n v="9616.25"/>
    <n v="0"/>
    <n v="0"/>
    <n v="101"/>
    <s v="_x0000_US"/>
  </r>
  <r>
    <x v="0"/>
    <n v="13.69"/>
    <n v="-89.217399999999998"/>
    <n v="9616.39"/>
    <n v="0"/>
    <n v="0"/>
    <n v="101"/>
    <s v="_x0000_US"/>
  </r>
  <r>
    <x v="0"/>
    <n v="13.6927"/>
    <n v="-89.189499999999995"/>
    <n v="9616.9"/>
    <n v="0"/>
    <n v="0"/>
    <n v="101"/>
    <s v="_x0000_US"/>
  </r>
  <r>
    <x v="0"/>
    <n v="13.6873"/>
    <n v="-89.192400000000006"/>
    <n v="9617.36"/>
    <n v="0"/>
    <n v="0"/>
    <n v="101"/>
    <s v="_x0000_US"/>
  </r>
  <r>
    <x v="0"/>
    <n v="13.689"/>
    <n v="-89.180199999999999"/>
    <n v="9617.52"/>
    <n v="0"/>
    <n v="0"/>
    <n v="101"/>
    <s v="_x0000_US"/>
  </r>
  <r>
    <x v="0"/>
    <n v="13.6934"/>
    <n v="-89.177099999999996"/>
    <n v="9617.89"/>
    <n v="0"/>
    <n v="0"/>
    <n v="101"/>
    <s v="_x0000_US"/>
  </r>
  <r>
    <x v="0"/>
    <n v="13.693199999999999"/>
    <n v="-89.189700000000002"/>
    <n v="9618.32"/>
    <n v="0"/>
    <n v="0"/>
    <n v="101"/>
    <s v="_x0000_US"/>
  </r>
  <r>
    <x v="0"/>
    <n v="13.690899999999999"/>
    <n v="-89.227400000000003"/>
    <n v="9619.07"/>
    <n v="0"/>
    <n v="0"/>
    <n v="101"/>
    <s v="_x0000_US"/>
  </r>
  <r>
    <x v="0"/>
    <n v="13.6914"/>
    <n v="-89.188100000000006"/>
    <n v="9619.4500000000007"/>
    <n v="0"/>
    <n v="0"/>
    <n v="101"/>
    <s v="_x0000_US"/>
  </r>
  <r>
    <x v="0"/>
    <n v="13.6915"/>
    <n v="-89.178600000000003"/>
    <n v="9619.58"/>
    <n v="0"/>
    <n v="0"/>
    <n v="101"/>
    <s v="_x0000_US"/>
  </r>
  <r>
    <x v="0"/>
    <n v="13.6873"/>
    <n v="-89.194800000000001"/>
    <n v="9619.6200000000008"/>
    <n v="0"/>
    <n v="0"/>
    <n v="101"/>
    <s v="_x0000_US"/>
  </r>
  <r>
    <x v="0"/>
    <n v="13.694800000000001"/>
    <n v="-89.183000000000007"/>
    <n v="9619.65"/>
    <n v="0"/>
    <n v="0"/>
    <n v="101"/>
    <s v="_x0000_US"/>
  </r>
  <r>
    <x v="0"/>
    <n v="13.6882"/>
    <n v="-89.216200000000001"/>
    <n v="9619.8700000000008"/>
    <n v="0"/>
    <n v="0"/>
    <n v="101"/>
    <s v="_x0000_US"/>
  </r>
  <r>
    <x v="0"/>
    <n v="13.6951"/>
    <n v="-89.174700000000001"/>
    <n v="9619.92"/>
    <n v="0"/>
    <n v="0"/>
    <n v="101"/>
    <s v="_x0000_US"/>
  </r>
  <r>
    <x v="0"/>
    <n v="13.690899999999999"/>
    <n v="-89.235100000000003"/>
    <n v="9619.99"/>
    <n v="0"/>
    <n v="0"/>
    <n v="101"/>
    <s v="_x0000_US"/>
  </r>
  <r>
    <x v="0"/>
    <n v="13.694599999999999"/>
    <n v="-89.174000000000007"/>
    <n v="9620.26"/>
    <n v="0"/>
    <n v="0"/>
    <n v="101"/>
    <s v="_x0000_US"/>
  </r>
  <r>
    <x v="0"/>
    <n v="13.6867"/>
    <n v="-89.191100000000006"/>
    <n v="9620.48"/>
    <n v="0"/>
    <n v="0"/>
    <n v="101"/>
    <s v="_x0000_US"/>
  </r>
  <r>
    <x v="0"/>
    <n v="13.687099999999999"/>
    <n v="-89.213899999999995"/>
    <n v="9620.67"/>
    <n v="0"/>
    <n v="0"/>
    <n v="101"/>
    <s v="_x0000_US"/>
  </r>
  <r>
    <x v="0"/>
    <n v="13.6927"/>
    <n v="-89.179500000000004"/>
    <n v="9620.83"/>
    <n v="0"/>
    <n v="0"/>
    <n v="101"/>
    <s v="_x0000_US"/>
  </r>
  <r>
    <x v="0"/>
    <n v="13.690099999999999"/>
    <n v="-89.177599999999998"/>
    <n v="9620.8700000000008"/>
    <n v="0"/>
    <n v="0"/>
    <n v="101"/>
    <s v="_x0000_US"/>
  </r>
  <r>
    <x v="0"/>
    <n v="13.6912"/>
    <n v="-89.226699999999994"/>
    <n v="9621.0499999999993"/>
    <n v="0"/>
    <n v="0"/>
    <n v="101"/>
    <s v="_x0000_US"/>
  </r>
  <r>
    <x v="0"/>
    <n v="13.685499999999999"/>
    <n v="-89.215500000000006"/>
    <n v="9621.15"/>
    <n v="0"/>
    <n v="0"/>
    <n v="101"/>
    <s v="_x0000_US"/>
  </r>
  <r>
    <x v="0"/>
    <n v="13.674300000000001"/>
    <n v="-89.251300000000001"/>
    <n v="9621.48"/>
    <n v="0"/>
    <n v="0"/>
    <n v="101"/>
    <s v="_x0000_US"/>
  </r>
  <r>
    <x v="0"/>
    <n v="13.689"/>
    <n v="-89.183599999999998"/>
    <n v="9621.52"/>
    <n v="0"/>
    <n v="0"/>
    <n v="101"/>
    <s v="_x0000_US"/>
  </r>
  <r>
    <x v="0"/>
    <n v="13.687799999999999"/>
    <n v="-89.216200000000001"/>
    <n v="9621.57"/>
    <n v="0"/>
    <n v="0"/>
    <n v="101"/>
    <s v="_x0000_US"/>
  </r>
  <r>
    <x v="0"/>
    <n v="13.6867"/>
    <n v="-89.194500000000005"/>
    <n v="9621.91"/>
    <n v="0"/>
    <n v="0"/>
    <n v="101"/>
    <s v="_x0000_US"/>
  </r>
  <r>
    <x v="0"/>
    <n v="13.684200000000001"/>
    <n v="-89.216800000000006"/>
    <n v="9623.0499999999993"/>
    <n v="0"/>
    <n v="0"/>
    <n v="101"/>
    <s v="_x0000_US"/>
  </r>
  <r>
    <x v="0"/>
    <n v="13.678100000000001"/>
    <n v="-89.196399999999997"/>
    <n v="9623.2099999999991"/>
    <n v="0"/>
    <n v="0"/>
    <n v="101"/>
    <s v="_x0000_US"/>
  </r>
  <r>
    <x v="0"/>
    <n v="13.6881"/>
    <n v="-89.182000000000002"/>
    <n v="9625.17"/>
    <n v="0"/>
    <n v="0"/>
    <n v="101"/>
    <s v="_x0000_US"/>
  </r>
  <r>
    <x v="0"/>
    <n v="13.686500000000001"/>
    <n v="-89.211500000000001"/>
    <n v="9625.51"/>
    <n v="0"/>
    <n v="0"/>
    <n v="101"/>
    <s v="_x0000_US"/>
  </r>
  <r>
    <x v="0"/>
    <n v="13.6852"/>
    <n v="-89.203199999999995"/>
    <n v="9625.5400000000009"/>
    <n v="0"/>
    <n v="0"/>
    <n v="101"/>
    <s v="_x0000_US"/>
  </r>
  <r>
    <x v="0"/>
    <n v="13.689500000000001"/>
    <n v="-89.235699999999994"/>
    <n v="9625.98"/>
    <n v="0"/>
    <n v="0"/>
    <n v="101"/>
    <s v="_x0000_US"/>
  </r>
  <r>
    <x v="0"/>
    <n v="13.689500000000001"/>
    <n v="-89.181100000000001"/>
    <n v="9626.19"/>
    <n v="0"/>
    <n v="0"/>
    <n v="101"/>
    <s v="_x0000_US"/>
  </r>
  <r>
    <x v="0"/>
    <n v="13.690200000000001"/>
    <n v="-89.188299999999998"/>
    <n v="9626.7099999999991"/>
    <n v="0"/>
    <n v="0"/>
    <n v="101"/>
    <s v="_x0000_US"/>
  </r>
  <r>
    <x v="0"/>
    <n v="13.6913"/>
    <n v="-89.229299999999995"/>
    <n v="9627.14"/>
    <n v="0"/>
    <n v="0"/>
    <n v="101"/>
    <s v="_x0000_US"/>
  </r>
  <r>
    <x v="0"/>
    <n v="13.6747"/>
    <n v="-89.199299999999994"/>
    <n v="9627.52"/>
    <n v="0"/>
    <n v="0"/>
    <n v="101"/>
    <s v="_x0000_US"/>
  </r>
  <r>
    <x v="0"/>
    <n v="13.6874"/>
    <n v="-89.197800000000001"/>
    <n v="9627.9500000000007"/>
    <n v="0"/>
    <n v="0"/>
    <n v="101"/>
    <s v="_x0000_US"/>
  </r>
  <r>
    <x v="0"/>
    <n v="13.6873"/>
    <n v="-89.211100000000002"/>
    <n v="9628.4500000000007"/>
    <n v="0"/>
    <n v="0"/>
    <n v="101"/>
    <s v="_x0000_US"/>
  </r>
  <r>
    <x v="0"/>
    <n v="13.685600000000001"/>
    <n v="-89.193799999999996"/>
    <n v="9628.98"/>
    <n v="0"/>
    <n v="0"/>
    <n v="101"/>
    <s v="_x0000_US"/>
  </r>
  <r>
    <x v="0"/>
    <n v="13.6907"/>
    <n v="-89.235900000000001"/>
    <n v="9629.1200000000008"/>
    <n v="0"/>
    <n v="0"/>
    <n v="101"/>
    <s v="_x0000_US"/>
  </r>
  <r>
    <x v="0"/>
    <n v="13.6905"/>
    <n v="-89.233800000000002"/>
    <n v="9629.6200000000008"/>
    <n v="0"/>
    <n v="0"/>
    <n v="101"/>
    <s v="_x0000_US"/>
  </r>
  <r>
    <x v="0"/>
    <n v="13.6861"/>
    <n v="-89.197900000000004"/>
    <n v="9629.76"/>
    <n v="0"/>
    <n v="0"/>
    <n v="101"/>
    <s v="_x0000_US"/>
  </r>
  <r>
    <x v="0"/>
    <n v="13.6844"/>
    <n v="-89.213499999999996"/>
    <n v="9629.82"/>
    <n v="0"/>
    <n v="0"/>
    <n v="101"/>
    <s v="_x0000_US"/>
  </r>
  <r>
    <x v="0"/>
    <n v="13.688800000000001"/>
    <n v="-89.229600000000005"/>
    <n v="9630.1299999999992"/>
    <n v="0"/>
    <n v="0"/>
    <n v="101"/>
    <s v="_x0000_US"/>
  </r>
  <r>
    <x v="0"/>
    <n v="13.6875"/>
    <n v="-89.183099999999996"/>
    <n v="9630.4699999999993"/>
    <n v="0"/>
    <n v="0"/>
    <n v="101"/>
    <s v="_x0000_US"/>
  </r>
  <r>
    <x v="0"/>
    <n v="13.6913"/>
    <n v="-89.189400000000006"/>
    <n v="9630.73"/>
    <n v="0"/>
    <n v="0"/>
    <n v="101"/>
    <s v="_x0000_US"/>
  </r>
  <r>
    <x v="0"/>
    <n v="13.6881"/>
    <n v="-89.216499999999996"/>
    <n v="9630.93"/>
    <n v="0"/>
    <n v="0"/>
    <n v="101"/>
    <s v="_x0000_US"/>
  </r>
  <r>
    <x v="0"/>
    <n v="13.6944"/>
    <n v="-89.189099999999996"/>
    <n v="9631.58"/>
    <n v="0"/>
    <n v="0"/>
    <n v="101"/>
    <s v="_x0000_US"/>
  </r>
  <r>
    <x v="0"/>
    <n v="13.6875"/>
    <n v="-89.194699999999997"/>
    <n v="9631.66"/>
    <n v="0"/>
    <n v="0"/>
    <n v="101"/>
    <s v="_x0000_US"/>
  </r>
  <r>
    <x v="0"/>
    <n v="13.691599999999999"/>
    <n v="-89.197400000000002"/>
    <n v="9632.06"/>
    <n v="0"/>
    <n v="0"/>
    <n v="101"/>
    <s v="_x0000_US"/>
  </r>
  <r>
    <x v="0"/>
    <n v="13.6896"/>
    <n v="-89.190399999999997"/>
    <n v="9632.1200000000008"/>
    <n v="0"/>
    <n v="0"/>
    <n v="101"/>
    <s v="_x0000_US"/>
  </r>
  <r>
    <x v="0"/>
    <n v="13.688700000000001"/>
    <n v="-89.217100000000002"/>
    <n v="9632.31"/>
    <n v="0"/>
    <n v="0"/>
    <n v="101"/>
    <s v="_x0000_US"/>
  </r>
  <r>
    <x v="0"/>
    <n v="13.684900000000001"/>
    <n v="-89.216800000000006"/>
    <n v="9632.7099999999991"/>
    <n v="0"/>
    <n v="0"/>
    <n v="101"/>
    <s v="_x0000_US"/>
  </r>
  <r>
    <x v="0"/>
    <n v="13.6915"/>
    <n v="-89.189400000000006"/>
    <n v="9632.7999999999993"/>
    <n v="0"/>
    <n v="0"/>
    <n v="101"/>
    <s v="_x0000_US"/>
  </r>
  <r>
    <x v="0"/>
    <n v="13.6767"/>
    <n v="-89.247600000000006"/>
    <n v="9632.92"/>
    <n v="0"/>
    <n v="0"/>
    <n v="101"/>
    <s v="_x0000_US"/>
  </r>
  <r>
    <x v="0"/>
    <n v="13.6936"/>
    <n v="-89.1785"/>
    <n v="9633.1"/>
    <n v="0"/>
    <n v="0"/>
    <n v="101"/>
    <s v="_x0000_US"/>
  </r>
  <r>
    <x v="0"/>
    <n v="13.6898"/>
    <n v="-89.195599999999999"/>
    <n v="9633.11"/>
    <n v="0"/>
    <n v="0"/>
    <n v="101"/>
    <s v="_x0000_US"/>
  </r>
  <r>
    <x v="0"/>
    <n v="13.692299999999999"/>
    <n v="-89.225499999999997"/>
    <n v="9633.14"/>
    <n v="0"/>
    <n v="0"/>
    <n v="101"/>
    <s v="_x0000_US"/>
  </r>
  <r>
    <x v="0"/>
    <n v="13.6869"/>
    <n v="-89.191299999999998"/>
    <n v="9633.7199999999993"/>
    <n v="0"/>
    <n v="0"/>
    <n v="101"/>
    <s v="_x0000_US"/>
  </r>
  <r>
    <x v="0"/>
    <n v="13.696400000000001"/>
    <n v="-89.1721"/>
    <n v="9633.7999999999993"/>
    <n v="0"/>
    <n v="0"/>
    <n v="101"/>
    <s v="_x0000_US"/>
  </r>
  <r>
    <x v="0"/>
    <n v="13.6882"/>
    <n v="-89.205299999999994"/>
    <n v="9633.99"/>
    <n v="0"/>
    <n v="0"/>
    <n v="101"/>
    <s v="_x0000_US"/>
  </r>
  <r>
    <x v="0"/>
    <n v="13.6915"/>
    <n v="-89.225700000000003"/>
    <n v="9634.24"/>
    <n v="0"/>
    <n v="0"/>
    <n v="101"/>
    <s v="_x0000_US"/>
  </r>
  <r>
    <x v="0"/>
    <n v="13.692500000000001"/>
    <n v="-89.176699999999997"/>
    <n v="9634.2999999999993"/>
    <n v="0"/>
    <n v="0"/>
    <n v="101"/>
    <s v="_x0000_US"/>
  </r>
  <r>
    <x v="0"/>
    <n v="13.6905"/>
    <n v="-89.186499999999995"/>
    <n v="9634.3700000000008"/>
    <n v="0"/>
    <n v="0"/>
    <n v="101"/>
    <s v="_x0000_US"/>
  </r>
  <r>
    <x v="0"/>
    <n v="13.6883"/>
    <n v="-89.180599999999998"/>
    <n v="9634.9500000000007"/>
    <n v="0"/>
    <n v="0"/>
    <n v="101"/>
    <s v="_x0000_US"/>
  </r>
  <r>
    <x v="0"/>
    <n v="13.6912"/>
    <n v="-89.181600000000003"/>
    <n v="9635.56"/>
    <n v="0"/>
    <n v="0"/>
    <n v="101"/>
    <s v="_x0000_US"/>
  </r>
  <r>
    <x v="0"/>
    <n v="13.6914"/>
    <n v="-89.220399999999998"/>
    <n v="9636.09"/>
    <n v="0"/>
    <n v="0"/>
    <n v="101"/>
    <s v="_x0000_US"/>
  </r>
  <r>
    <x v="0"/>
    <n v="13.692399999999999"/>
    <n v="-89.223200000000006"/>
    <n v="9637.4500000000007"/>
    <n v="0"/>
    <n v="0"/>
    <n v="101"/>
    <s v="_x0000_US"/>
  </r>
  <r>
    <x v="0"/>
    <n v="13.687099999999999"/>
    <n v="-89.191500000000005"/>
    <n v="9637.8799999999992"/>
    <n v="0"/>
    <n v="0"/>
    <n v="101"/>
    <s v="_x0000_US"/>
  </r>
  <r>
    <x v="0"/>
    <n v="13.684900000000001"/>
    <n v="-89.217200000000005"/>
    <n v="9638.0400000000009"/>
    <n v="0"/>
    <n v="0"/>
    <n v="101"/>
    <s v="_x0000_US"/>
  </r>
  <r>
    <x v="0"/>
    <n v="13.6745"/>
    <n v="-89.199299999999994"/>
    <n v="9638.4500000000007"/>
    <n v="0"/>
    <n v="0"/>
    <n v="101"/>
    <s v="_x0000_US"/>
  </r>
  <r>
    <x v="0"/>
    <n v="13.6957"/>
    <n v="-89.173100000000005"/>
    <n v="9638.4500000000007"/>
    <n v="0"/>
    <n v="0"/>
    <n v="101"/>
    <s v="_x0000_US"/>
  </r>
  <r>
    <x v="0"/>
    <n v="13.6913"/>
    <n v="-89.229200000000006"/>
    <n v="9639.64"/>
    <n v="0"/>
    <n v="0"/>
    <n v="101"/>
    <s v="_x0000_US"/>
  </r>
  <r>
    <x v="0"/>
    <n v="13.6914"/>
    <n v="-89.232900000000001"/>
    <n v="9640.02"/>
    <n v="0"/>
    <n v="0"/>
    <n v="101"/>
    <s v="_x0000_US"/>
  </r>
  <r>
    <x v="0"/>
    <n v="13.690899999999999"/>
    <n v="-89.185199999999995"/>
    <n v="9640.09"/>
    <n v="0"/>
    <n v="0"/>
    <n v="101"/>
    <s v="_x0000_US"/>
  </r>
  <r>
    <x v="0"/>
    <n v="13.6873"/>
    <n v="-89.194100000000006"/>
    <n v="9640.2199999999993"/>
    <n v="0"/>
    <n v="0"/>
    <n v="101"/>
    <s v="_x0000_US"/>
  </r>
  <r>
    <x v="0"/>
    <n v="13.6935"/>
    <n v="-89.192400000000006"/>
    <n v="9640.2800000000007"/>
    <n v="0"/>
    <n v="0"/>
    <n v="101"/>
    <s v="_x0000_US"/>
  </r>
  <r>
    <x v="0"/>
    <n v="13.6907"/>
    <n v="-89.183899999999994"/>
    <n v="9640.5400000000009"/>
    <n v="0"/>
    <n v="0"/>
    <n v="101"/>
    <s v="_x0000_US"/>
  </r>
  <r>
    <x v="0"/>
    <n v="13.6944"/>
    <n v="-89.175200000000004"/>
    <n v="9640.83"/>
    <n v="0"/>
    <n v="0"/>
    <n v="101"/>
    <s v="_x0000_US"/>
  </r>
  <r>
    <x v="0"/>
    <n v="13.692399999999999"/>
    <n v="-89.224100000000007"/>
    <n v="9641.18"/>
    <n v="0"/>
    <n v="0"/>
    <n v="101"/>
    <s v="_x0000_US"/>
  </r>
  <r>
    <x v="0"/>
    <n v="13.692399999999999"/>
    <n v="-89.224800000000002"/>
    <n v="9641.2800000000007"/>
    <n v="0"/>
    <n v="0"/>
    <n v="101"/>
    <s v="_x0000_US"/>
  </r>
  <r>
    <x v="0"/>
    <n v="13.686999999999999"/>
    <n v="-89.183199999999999"/>
    <n v="9641.49"/>
    <n v="0"/>
    <n v="0"/>
    <n v="101"/>
    <s v="_x0000_US"/>
  </r>
  <r>
    <x v="0"/>
    <n v="13.6899"/>
    <n v="-89.236199999999997"/>
    <n v="9641.5300000000007"/>
    <n v="0"/>
    <n v="0"/>
    <n v="101"/>
    <s v="_x0000_US"/>
  </r>
  <r>
    <x v="0"/>
    <n v="13.684900000000001"/>
    <n v="-89.212000000000003"/>
    <n v="9641.7800000000007"/>
    <n v="0"/>
    <n v="0"/>
    <n v="101"/>
    <s v="_x0000_US"/>
  </r>
  <r>
    <x v="0"/>
    <n v="13.6769"/>
    <n v="-89.199700000000007"/>
    <n v="9641.99"/>
    <n v="0"/>
    <n v="0"/>
    <n v="101"/>
    <s v="_x0000_US"/>
  </r>
  <r>
    <x v="0"/>
    <n v="13.6907"/>
    <n v="-89.235500000000002"/>
    <n v="9642.14"/>
    <n v="0"/>
    <n v="0"/>
    <n v="101"/>
    <s v="_x0000_US"/>
  </r>
  <r>
    <x v="0"/>
    <n v="13.689500000000001"/>
    <n v="-89.202699999999993"/>
    <n v="9642.31"/>
    <n v="0"/>
    <n v="0"/>
    <n v="101"/>
    <s v="_x0000_US"/>
  </r>
  <r>
    <x v="0"/>
    <n v="13.691000000000001"/>
    <n v="-89.183099999999996"/>
    <n v="9642.4"/>
    <n v="0"/>
    <n v="0"/>
    <n v="101"/>
    <s v="_x0000_US"/>
  </r>
  <r>
    <x v="0"/>
    <n v="13.6945"/>
    <n v="-89.174199999999999"/>
    <n v="9642.4599999999991"/>
    <n v="0"/>
    <n v="0"/>
    <n v="101"/>
    <s v="_x0000_US"/>
  </r>
  <r>
    <x v="0"/>
    <n v="13.673"/>
    <n v="-89.203699999999998"/>
    <n v="9643.3700000000008"/>
    <n v="0"/>
    <n v="0"/>
    <n v="101"/>
    <s v="_x0000_US"/>
  </r>
  <r>
    <x v="0"/>
    <n v="13.690099999999999"/>
    <n v="-89.195700000000002"/>
    <n v="9643.73"/>
    <n v="0"/>
    <n v="0"/>
    <n v="101"/>
    <s v="_x0000_US"/>
  </r>
  <r>
    <x v="0"/>
    <n v="13.674200000000001"/>
    <n v="-89.252099999999999"/>
    <n v="9643.7900000000009"/>
    <n v="0"/>
    <n v="0"/>
    <n v="101"/>
    <s v="_x0000_US"/>
  </r>
  <r>
    <x v="0"/>
    <n v="13.688700000000001"/>
    <n v="-89.205200000000005"/>
    <n v="9643.85"/>
    <n v="0"/>
    <n v="0"/>
    <n v="101"/>
    <s v="_x0000_US"/>
  </r>
  <r>
    <x v="0"/>
    <n v="13.684699999999999"/>
    <n v="-89.213700000000003"/>
    <n v="9644.2099999999991"/>
    <n v="0"/>
    <n v="0"/>
    <n v="101"/>
    <s v="_x0000_US"/>
  </r>
  <r>
    <x v="0"/>
    <n v="13.684900000000001"/>
    <n v="-89.215900000000005"/>
    <n v="9644.32"/>
    <n v="0"/>
    <n v="0"/>
    <n v="101"/>
    <s v="_x0000_US"/>
  </r>
  <r>
    <x v="0"/>
    <n v="13.690300000000001"/>
    <n v="-89.234300000000005"/>
    <n v="9644.3700000000008"/>
    <n v="0"/>
    <n v="0"/>
    <n v="101"/>
    <s v="_x0000_US"/>
  </r>
  <r>
    <x v="0"/>
    <n v="13.688800000000001"/>
    <n v="-89.229699999999994"/>
    <n v="9644.59"/>
    <n v="0"/>
    <n v="0"/>
    <n v="101"/>
    <s v="_x0000_US"/>
  </r>
  <r>
    <x v="0"/>
    <n v="13.691599999999999"/>
    <n v="-89.181799999999996"/>
    <n v="9644.66"/>
    <n v="0"/>
    <n v="0"/>
    <n v="101"/>
    <s v="_x0000_US"/>
  </r>
  <r>
    <x v="0"/>
    <n v="13.692500000000001"/>
    <n v="-89.175399999999996"/>
    <n v="9645.11"/>
    <n v="0"/>
    <n v="0"/>
    <n v="101"/>
    <s v="_x0000_US"/>
  </r>
  <r>
    <x v="0"/>
    <n v="13.6875"/>
    <n v="-89.194599999999994"/>
    <n v="9645.2800000000007"/>
    <n v="0"/>
    <n v="0"/>
    <n v="101"/>
    <s v="_x0000_US"/>
  </r>
  <r>
    <x v="0"/>
    <n v="13.679500000000001"/>
    <n v="-89.197199999999995"/>
    <n v="9645.52"/>
    <n v="0"/>
    <n v="0"/>
    <n v="101"/>
    <s v="_x0000_US"/>
  </r>
  <r>
    <x v="0"/>
    <n v="13.6875"/>
    <n v="-89.195099999999996"/>
    <n v="9645.9"/>
    <n v="0"/>
    <n v="0"/>
    <n v="101"/>
    <s v="_x0000_US"/>
  </r>
  <r>
    <x v="0"/>
    <n v="13.6927"/>
    <n v="-89.176500000000004"/>
    <n v="9646.2000000000007"/>
    <n v="0"/>
    <n v="0"/>
    <n v="101"/>
    <s v="_x0000_US"/>
  </r>
  <r>
    <x v="0"/>
    <n v="13.6867"/>
    <n v="-89.214299999999994"/>
    <n v="9646.91"/>
    <n v="0"/>
    <n v="0"/>
    <n v="101"/>
    <s v="_x0000_US"/>
  </r>
  <r>
    <x v="0"/>
    <n v="13.691800000000001"/>
    <n v="-89.221299999999999"/>
    <n v="9647.19"/>
    <n v="0"/>
    <n v="0"/>
    <n v="101"/>
    <s v="_x0000_US"/>
  </r>
  <r>
    <x v="0"/>
    <n v="13.690200000000001"/>
    <n v="-89.177400000000006"/>
    <n v="9647.33"/>
    <n v="0"/>
    <n v="0"/>
    <n v="101"/>
    <s v="_x0000_US"/>
  </r>
  <r>
    <x v="0"/>
    <n v="13.6892"/>
    <n v="-89.196899999999999"/>
    <n v="9647.9500000000007"/>
    <n v="0"/>
    <n v="0"/>
    <n v="101"/>
    <s v="_x0000_US"/>
  </r>
  <r>
    <x v="0"/>
    <n v="13.694699999999999"/>
    <n v="-89.183700000000002"/>
    <n v="9648.0499999999993"/>
    <n v="0"/>
    <n v="0"/>
    <n v="101"/>
    <s v="_x0000_US"/>
  </r>
  <r>
    <x v="0"/>
    <n v="13.69"/>
    <n v="-89.189899999999994"/>
    <n v="9648.43"/>
    <n v="0"/>
    <n v="0"/>
    <n v="101"/>
    <s v="_x0000_US"/>
  </r>
  <r>
    <x v="0"/>
    <n v="13.6877"/>
    <n v="-89.182000000000002"/>
    <n v="9648.83"/>
    <n v="0"/>
    <n v="0"/>
    <n v="101"/>
    <s v="_x0000_US"/>
  </r>
  <r>
    <x v="0"/>
    <n v="13.691700000000001"/>
    <n v="-89.228099999999998"/>
    <n v="9649.07"/>
    <n v="0"/>
    <n v="0"/>
    <n v="101"/>
    <s v="_x0000_US"/>
  </r>
  <r>
    <x v="0"/>
    <n v="13.690200000000001"/>
    <n v="-89.184799999999996"/>
    <n v="9649.5499999999993"/>
    <n v="0"/>
    <n v="0"/>
    <n v="101"/>
    <s v="_x0000_US"/>
  </r>
  <r>
    <x v="0"/>
    <n v="13.676399999999999"/>
    <n v="-89.2"/>
    <n v="9649.61"/>
    <n v="0"/>
    <n v="0"/>
    <n v="101"/>
    <s v="_x0000_US"/>
  </r>
  <r>
    <x v="0"/>
    <n v="13.69"/>
    <n v="-89.216800000000006"/>
    <n v="9649.69"/>
    <n v="0"/>
    <n v="0"/>
    <n v="101"/>
    <s v="_x0000_US"/>
  </r>
  <r>
    <x v="0"/>
    <n v="13.688499999999999"/>
    <n v="-89.18"/>
    <n v="9649.73"/>
    <n v="0"/>
    <n v="0"/>
    <n v="101"/>
    <s v="_x0000_US"/>
  </r>
  <r>
    <x v="0"/>
    <n v="13.6973"/>
    <n v="-89.171400000000006"/>
    <n v="9650.4500000000007"/>
    <n v="0"/>
    <n v="0"/>
    <n v="101"/>
    <s v="_x0000_US"/>
  </r>
  <r>
    <x v="0"/>
    <n v="13.691700000000001"/>
    <n v="-89.186499999999995"/>
    <n v="9651.2099999999991"/>
    <n v="0"/>
    <n v="0"/>
    <n v="101"/>
    <s v="_x0000_US"/>
  </r>
  <r>
    <x v="0"/>
    <n v="13.692"/>
    <n v="-89.221500000000006"/>
    <n v="9651.25"/>
    <n v="0"/>
    <n v="0"/>
    <n v="101"/>
    <s v="_x0000_US"/>
  </r>
  <r>
    <x v="0"/>
    <n v="13.686199999999999"/>
    <n v="-89.212599999999995"/>
    <n v="9651.7199999999993"/>
    <n v="0"/>
    <n v="0"/>
    <n v="101"/>
    <s v="_x0000_US"/>
  </r>
  <r>
    <x v="0"/>
    <n v="13.674899999999999"/>
    <n v="-89.251000000000005"/>
    <n v="9652.11"/>
    <n v="0"/>
    <n v="0"/>
    <n v="101"/>
    <s v="_x0000_US"/>
  </r>
  <r>
    <x v="0"/>
    <n v="13.6896"/>
    <n v="-89.185299999999998"/>
    <n v="9652.4"/>
    <n v="0"/>
    <n v="0"/>
    <n v="101"/>
    <s v="_x0000_US"/>
  </r>
  <r>
    <x v="0"/>
    <n v="13.6921"/>
    <n v="-89.223799999999997"/>
    <n v="9652.75"/>
    <n v="0"/>
    <n v="0"/>
    <n v="101"/>
    <s v="_x0000_US"/>
  </r>
  <r>
    <x v="0"/>
    <n v="13.6745"/>
    <n v="-89.202799999999996"/>
    <n v="9652.91"/>
    <n v="0"/>
    <n v="0"/>
    <n v="101"/>
    <s v="_x0000_US"/>
  </r>
  <r>
    <x v="0"/>
    <n v="13.690300000000001"/>
    <n v="-89.188100000000006"/>
    <n v="9652.9699999999993"/>
    <n v="0"/>
    <n v="0"/>
    <n v="101"/>
    <s v="_x0000_US"/>
  </r>
  <r>
    <x v="0"/>
    <n v="13.691000000000001"/>
    <n v="-89.232500000000002"/>
    <n v="9653.06"/>
    <n v="0"/>
    <n v="0"/>
    <n v="101"/>
    <s v="_x0000_US"/>
  </r>
  <r>
    <x v="0"/>
    <n v="13.6858"/>
    <n v="-89.212999999999994"/>
    <n v="9653.07"/>
    <n v="0"/>
    <n v="0"/>
    <n v="101"/>
    <s v="_x0000_US"/>
  </r>
  <r>
    <x v="0"/>
    <n v="13.687200000000001"/>
    <n v="-89.203999999999994"/>
    <n v="9654.2099999999991"/>
    <n v="0"/>
    <n v="0"/>
    <n v="101"/>
    <s v="_x0000_US"/>
  </r>
  <r>
    <x v="0"/>
    <n v="13.687799999999999"/>
    <n v="-89.195599999999999"/>
    <n v="9655.24"/>
    <n v="0"/>
    <n v="0"/>
    <n v="101"/>
    <s v="_x0000_US"/>
  </r>
  <r>
    <x v="0"/>
    <n v="13.6943"/>
    <n v="-89.188900000000004"/>
    <n v="9655.24"/>
    <n v="0"/>
    <n v="0"/>
    <n v="101"/>
    <s v="_x0000_US"/>
  </r>
  <r>
    <x v="0"/>
    <n v="13.692"/>
    <n v="-89.1965"/>
    <n v="9655.57"/>
    <n v="0"/>
    <n v="0"/>
    <n v="101"/>
    <s v="_x0000_US"/>
  </r>
  <r>
    <x v="0"/>
    <n v="13.692"/>
    <n v="-89.227599999999995"/>
    <n v="9655.67"/>
    <n v="0"/>
    <n v="0"/>
    <n v="101"/>
    <s v="_x0000_US"/>
  </r>
  <r>
    <x v="0"/>
    <n v="13.696300000000001"/>
    <n v="-89.172499999999999"/>
    <n v="9655.7199999999993"/>
    <n v="0"/>
    <n v="0"/>
    <n v="101"/>
    <s v="_x0000_US"/>
  </r>
  <r>
    <x v="0"/>
    <n v="13.6881"/>
    <n v="-89.215800000000002"/>
    <n v="9656.23"/>
    <n v="0"/>
    <n v="0"/>
    <n v="101"/>
    <s v="_x0000_US"/>
  </r>
  <r>
    <x v="0"/>
    <n v="13.6882"/>
    <n v="-89.212000000000003"/>
    <n v="9656.65"/>
    <n v="0"/>
    <n v="0"/>
    <n v="101"/>
    <s v="_x0000_US"/>
  </r>
  <r>
    <x v="0"/>
    <n v="13.689500000000001"/>
    <n v="-89.179599999999994"/>
    <n v="9656.9599999999991"/>
    <n v="0"/>
    <n v="0"/>
    <n v="101"/>
    <s v="_x0000_US"/>
  </r>
  <r>
    <x v="0"/>
    <n v="13.6844"/>
    <n v="-89.216800000000006"/>
    <n v="9657.06"/>
    <n v="0"/>
    <n v="0"/>
    <n v="101"/>
    <s v="_x0000_US"/>
  </r>
  <r>
    <x v="0"/>
    <n v="13.6915"/>
    <n v="-89.185500000000005"/>
    <n v="9657.43"/>
    <n v="0"/>
    <n v="0"/>
    <n v="101"/>
    <s v="_x0000_US"/>
  </r>
  <r>
    <x v="0"/>
    <n v="13.6776"/>
    <n v="-89.245900000000006"/>
    <n v="9657.48"/>
    <n v="0"/>
    <n v="0"/>
    <n v="101"/>
    <s v="_x0000_US"/>
  </r>
  <r>
    <x v="0"/>
    <n v="13.691800000000001"/>
    <n v="-89.196200000000005"/>
    <n v="9657.6200000000008"/>
    <n v="0"/>
    <n v="0"/>
    <n v="101"/>
    <s v="_x0000_US"/>
  </r>
  <r>
    <x v="0"/>
    <n v="13.696899999999999"/>
    <n v="-89.171700000000001"/>
    <n v="9658.17"/>
    <n v="0"/>
    <n v="0"/>
    <n v="101"/>
    <s v="_x0000_US"/>
  </r>
  <r>
    <x v="0"/>
    <n v="13.6877"/>
    <n v="-89.216800000000006"/>
    <n v="9658.35"/>
    <n v="0"/>
    <n v="0"/>
    <n v="101"/>
    <s v="_x0000_US"/>
  </r>
  <r>
    <x v="0"/>
    <n v="13.6927"/>
    <n v="-89.178799999999995"/>
    <n v="9658.36"/>
    <n v="0"/>
    <n v="0"/>
    <n v="101"/>
    <s v="_x0000_US"/>
  </r>
  <r>
    <x v="0"/>
    <n v="13.6934"/>
    <n v="-89.178299999999993"/>
    <n v="9658.4699999999993"/>
    <n v="0"/>
    <n v="0"/>
    <n v="101"/>
    <s v="_x0000_US"/>
  </r>
  <r>
    <x v="0"/>
    <n v="13.6919"/>
    <n v="-89.179599999999994"/>
    <n v="9658.59"/>
    <n v="0"/>
    <n v="0"/>
    <n v="101"/>
    <s v="_x0000_US"/>
  </r>
  <r>
    <x v="0"/>
    <n v="13.6777"/>
    <n v="-89.247"/>
    <n v="9659.1200000000008"/>
    <n v="0"/>
    <n v="0"/>
    <n v="101"/>
    <s v="_x0000_US"/>
  </r>
  <r>
    <x v="0"/>
    <n v="13.680099999999999"/>
    <n v="-89.194599999999994"/>
    <n v="9659.2000000000007"/>
    <n v="0"/>
    <n v="0"/>
    <n v="101"/>
    <s v="_x0000_US"/>
  </r>
  <r>
    <x v="0"/>
    <n v="13.692399999999999"/>
    <n v="-89.225499999999997"/>
    <n v="9659.8799999999992"/>
    <n v="0"/>
    <n v="0"/>
    <n v="101"/>
    <s v="_x0000_US"/>
  </r>
  <r>
    <x v="0"/>
    <n v="13.6911"/>
    <n v="-89.234499999999997"/>
    <n v="9659.9699999999993"/>
    <n v="0"/>
    <n v="0"/>
    <n v="101"/>
    <s v="_x0000_US"/>
  </r>
  <r>
    <x v="0"/>
    <n v="13.6874"/>
    <n v="-89.215699999999998"/>
    <n v="9660.17"/>
    <n v="0"/>
    <n v="0"/>
    <n v="101"/>
    <s v="_x0000_US"/>
  </r>
  <r>
    <x v="0"/>
    <n v="13.6905"/>
    <n v="-89.236000000000004"/>
    <n v="9660.27"/>
    <n v="0"/>
    <n v="0"/>
    <n v="101"/>
    <s v="_x0000_US"/>
  </r>
  <r>
    <x v="0"/>
    <n v="13.6921"/>
    <n v="-89.225499999999997"/>
    <n v="9660.5300000000007"/>
    <n v="0"/>
    <n v="0"/>
    <n v="101"/>
    <s v="_x0000_US"/>
  </r>
  <r>
    <x v="0"/>
    <n v="13.691800000000001"/>
    <n v="-89.226600000000005"/>
    <n v="9661.5"/>
    <n v="0"/>
    <n v="0"/>
    <n v="101"/>
    <s v="_x0000_US"/>
  </r>
  <r>
    <x v="0"/>
    <n v="13.6915"/>
    <n v="-89.189499999999995"/>
    <n v="9661.83"/>
    <n v="0"/>
    <n v="0"/>
    <n v="101"/>
    <s v="_x0000_US"/>
  </r>
  <r>
    <x v="0"/>
    <n v="13.679500000000001"/>
    <n v="-89.197299999999998"/>
    <n v="9661.99"/>
    <n v="0"/>
    <n v="0"/>
    <n v="101"/>
    <s v="_x0000_US"/>
  </r>
  <r>
    <x v="0"/>
    <n v="13.691599999999999"/>
    <n v="-89.186000000000007"/>
    <n v="9662.15"/>
    <n v="0"/>
    <n v="0"/>
    <n v="101"/>
    <s v="_x0000_US"/>
  </r>
  <r>
    <x v="0"/>
    <n v="13.6782"/>
    <n v="-89.245999999999995"/>
    <n v="9662.39"/>
    <n v="0"/>
    <n v="0"/>
    <n v="101"/>
    <s v="_x0000_US"/>
  </r>
  <r>
    <x v="0"/>
    <n v="13.679399999999999"/>
    <n v="-89.1965"/>
    <n v="9662.4599999999991"/>
    <n v="0"/>
    <n v="0"/>
    <n v="101"/>
    <s v="_x0000_US"/>
  </r>
  <r>
    <x v="0"/>
    <n v="13.692"/>
    <n v="-89.224800000000002"/>
    <n v="9663.42"/>
    <n v="0"/>
    <n v="0"/>
    <n v="101"/>
    <s v="_x0000_US"/>
  </r>
  <r>
    <x v="0"/>
    <n v="13.686400000000001"/>
    <n v="-89.216300000000004"/>
    <n v="9663.61"/>
    <n v="0"/>
    <n v="0"/>
    <n v="101"/>
    <s v="_x0000_US"/>
  </r>
  <r>
    <x v="0"/>
    <n v="13.691599999999999"/>
    <n v="-89.233599999999996"/>
    <n v="9663.7099999999991"/>
    <n v="0"/>
    <n v="0"/>
    <n v="101"/>
    <s v="_x0000_US"/>
  </r>
  <r>
    <x v="0"/>
    <n v="13.6911"/>
    <n v="-89.219200000000001"/>
    <n v="9663.7800000000007"/>
    <n v="0"/>
    <n v="0"/>
    <n v="101"/>
    <s v="_x0000_US"/>
  </r>
  <r>
    <x v="0"/>
    <n v="13.694000000000001"/>
    <n v="-89.173500000000004"/>
    <n v="9664.35"/>
    <n v="0"/>
    <n v="0"/>
    <n v="101"/>
    <s v="_x0000_US"/>
  </r>
  <r>
    <x v="0"/>
    <n v="13.6905"/>
    <n v="-89.234700000000004"/>
    <n v="9664.98"/>
    <n v="0"/>
    <n v="0"/>
    <n v="101"/>
    <s v="_x0000_US"/>
  </r>
  <r>
    <x v="0"/>
    <n v="13.694000000000001"/>
    <n v="-89.176299999999998"/>
    <n v="9665.02"/>
    <n v="0"/>
    <n v="0"/>
    <n v="101"/>
    <s v="_x0000_US"/>
  </r>
  <r>
    <x v="0"/>
    <n v="13.6911"/>
    <n v="-89.229500000000002"/>
    <n v="9665.06"/>
    <n v="0"/>
    <n v="0"/>
    <n v="101"/>
    <s v="_x0000_US"/>
  </r>
  <r>
    <x v="0"/>
    <n v="13.6877"/>
    <n v="-89.180700000000002"/>
    <n v="9665.36"/>
    <n v="0"/>
    <n v="0"/>
    <n v="101"/>
    <s v="_x0000_US"/>
  </r>
  <r>
    <x v="0"/>
    <n v="13.6943"/>
    <n v="-89.183300000000003"/>
    <n v="9666.1200000000008"/>
    <n v="0"/>
    <n v="0"/>
    <n v="101"/>
    <s v="_x0000_US"/>
  </r>
  <r>
    <x v="0"/>
    <n v="13.6861"/>
    <n v="-89.193899999999999"/>
    <n v="9666.6"/>
    <n v="0"/>
    <n v="0"/>
    <n v="101"/>
    <s v="_x0000_US"/>
  </r>
  <r>
    <x v="0"/>
    <n v="13.6881"/>
    <n v="-89.216700000000003"/>
    <n v="9668.02"/>
    <n v="0"/>
    <n v="0"/>
    <n v="101"/>
    <s v="_x0000_US"/>
  </r>
  <r>
    <x v="0"/>
    <n v="13.684900000000001"/>
    <n v="-89.212199999999996"/>
    <n v="9668.4699999999993"/>
    <n v="0"/>
    <n v="0"/>
    <n v="101"/>
    <s v="_x0000_US"/>
  </r>
  <r>
    <x v="0"/>
    <n v="13.685"/>
    <n v="-89.217100000000002"/>
    <n v="9668.5"/>
    <n v="0"/>
    <n v="0"/>
    <n v="101"/>
    <s v="_x0000_US"/>
  </r>
  <r>
    <x v="0"/>
    <n v="13.6919"/>
    <n v="-89.224500000000006"/>
    <n v="9668.84"/>
    <n v="0"/>
    <n v="0"/>
    <n v="101"/>
    <s v="_x0000_US"/>
  </r>
  <r>
    <x v="0"/>
    <n v="13.688499999999999"/>
    <n v="-89.182100000000005"/>
    <n v="9668.89"/>
    <n v="0"/>
    <n v="0"/>
    <n v="101"/>
    <s v="_x0000_US"/>
  </r>
  <r>
    <x v="0"/>
    <n v="13.688700000000001"/>
    <n v="-89.205299999999994"/>
    <n v="9669.1200000000008"/>
    <n v="0"/>
    <n v="0"/>
    <n v="101"/>
    <s v="_x0000_US"/>
  </r>
  <r>
    <x v="0"/>
    <n v="13.690200000000001"/>
    <n v="-89.195800000000006"/>
    <n v="9669.42"/>
    <n v="0"/>
    <n v="0"/>
    <n v="101"/>
    <s v="_x0000_US"/>
  </r>
  <r>
    <x v="0"/>
    <n v="13.687200000000001"/>
    <n v="-89.1965"/>
    <n v="9669.69"/>
    <n v="0"/>
    <n v="0"/>
    <n v="101"/>
    <s v="_x0000_US"/>
  </r>
  <r>
    <x v="0"/>
    <n v="13.691700000000001"/>
    <n v="-89.176500000000004"/>
    <n v="9669.77"/>
    <n v="0"/>
    <n v="0"/>
    <n v="101"/>
    <s v="_x0000_US"/>
  </r>
  <r>
    <x v="0"/>
    <n v="13.6921"/>
    <n v="-89.222700000000003"/>
    <n v="9670.1200000000008"/>
    <n v="0"/>
    <n v="0"/>
    <n v="101"/>
    <s v="_x0000_US"/>
  </r>
  <r>
    <x v="0"/>
    <n v="13.688499999999999"/>
    <n v="-89.229500000000002"/>
    <n v="9670.84"/>
    <n v="0"/>
    <n v="0"/>
    <n v="101"/>
    <s v="_x0000_US"/>
  </r>
  <r>
    <x v="0"/>
    <n v="13.692600000000001"/>
    <n v="-89.178299999999993"/>
    <n v="9670.9"/>
    <n v="0"/>
    <n v="0"/>
    <n v="101"/>
    <s v="_x0000_US"/>
  </r>
  <r>
    <x v="0"/>
    <n v="13.688000000000001"/>
    <n v="-89.216099999999997"/>
    <n v="9671.4"/>
    <n v="0"/>
    <n v="0"/>
    <n v="101"/>
    <s v="_x0000_US"/>
  </r>
  <r>
    <x v="0"/>
    <n v="13.6915"/>
    <n v="-89.220100000000002"/>
    <n v="9671.48"/>
    <n v="0"/>
    <n v="0"/>
    <n v="101"/>
    <s v="_x0000_US"/>
  </r>
  <r>
    <x v="0"/>
    <n v="13.6882"/>
    <n v="-89.180199999999999"/>
    <n v="9671.6299999999992"/>
    <n v="0"/>
    <n v="0"/>
    <n v="101"/>
    <s v="_x0000_US"/>
  </r>
  <r>
    <x v="0"/>
    <n v="13.6912"/>
    <n v="-89.235100000000003"/>
    <n v="9671.9699999999993"/>
    <n v="0"/>
    <n v="0"/>
    <n v="101"/>
    <s v="_x0000_US"/>
  </r>
  <r>
    <x v="0"/>
    <n v="13.6875"/>
    <n v="-89.194400000000002"/>
    <n v="9672.08"/>
    <n v="0"/>
    <n v="0"/>
    <n v="101"/>
    <s v="_x0000_US"/>
  </r>
  <r>
    <x v="0"/>
    <n v="13.6943"/>
    <n v="-89.188699999999997"/>
    <n v="9672.31"/>
    <n v="0"/>
    <n v="0"/>
    <n v="101"/>
    <s v="_x0000_US"/>
  </r>
  <r>
    <x v="0"/>
    <n v="13.689500000000001"/>
    <n v="-89.235699999999994"/>
    <n v="9672.31"/>
    <n v="0"/>
    <n v="0"/>
    <n v="101"/>
    <s v="_x0000_US"/>
  </r>
  <r>
    <x v="0"/>
    <n v="13.6881"/>
    <n v="-89.189899999999994"/>
    <n v="9672.4"/>
    <n v="0"/>
    <n v="0"/>
    <n v="101"/>
    <s v="_x0000_US"/>
  </r>
  <r>
    <x v="0"/>
    <n v="13.6774"/>
    <n v="-89.247600000000006"/>
    <n v="9672.4599999999991"/>
    <n v="0"/>
    <n v="0"/>
    <n v="101"/>
    <s v="_x0000_US"/>
  </r>
  <r>
    <x v="0"/>
    <n v="13.694699999999999"/>
    <n v="-89.182599999999994"/>
    <n v="9672.5"/>
    <n v="0"/>
    <n v="0"/>
    <n v="101"/>
    <s v="_x0000_US"/>
  </r>
  <r>
    <x v="0"/>
    <n v="13.674099999999999"/>
    <n v="-89.202600000000004"/>
    <n v="9672.74"/>
    <n v="0"/>
    <n v="0"/>
    <n v="101"/>
    <s v="_x0000_US"/>
  </r>
  <r>
    <x v="0"/>
    <n v="13.690300000000001"/>
    <n v="-89.183199999999999"/>
    <n v="9672.9"/>
    <n v="0"/>
    <n v="0"/>
    <n v="101"/>
    <s v="_x0000_US"/>
  </r>
  <r>
    <x v="0"/>
    <n v="13.673999999999999"/>
    <n v="-89.252300000000005"/>
    <n v="9672.9599999999991"/>
    <n v="0"/>
    <n v="0"/>
    <n v="101"/>
    <s v="_x0000_US"/>
  </r>
  <r>
    <x v="0"/>
    <n v="13.6912"/>
    <n v="-89.190200000000004"/>
    <n v="9673.1"/>
    <n v="0"/>
    <n v="0"/>
    <n v="101"/>
    <s v="_x0000_US"/>
  </r>
  <r>
    <x v="0"/>
    <n v="13.6907"/>
    <n v="-89.235900000000001"/>
    <n v="9673.2999999999993"/>
    <n v="0"/>
    <n v="0"/>
    <n v="101"/>
    <s v="_x0000_US"/>
  </r>
  <r>
    <x v="0"/>
    <n v="13.688700000000001"/>
    <n v="-89.180199999999999"/>
    <n v="9673.58"/>
    <n v="0"/>
    <n v="0"/>
    <n v="101"/>
    <s v="_x0000_US"/>
  </r>
  <r>
    <x v="0"/>
    <n v="13.690799999999999"/>
    <n v="-89.232699999999994"/>
    <n v="9673.65"/>
    <n v="0"/>
    <n v="0"/>
    <n v="101"/>
    <s v="_x0000_US"/>
  </r>
  <r>
    <x v="0"/>
    <n v="13.690099999999999"/>
    <n v="-89.197599999999994"/>
    <n v="9673.73"/>
    <n v="0"/>
    <n v="0"/>
    <n v="101"/>
    <s v="_x0000_US"/>
  </r>
  <r>
    <x v="0"/>
    <n v="13.6905"/>
    <n v="-89.235200000000006"/>
    <n v="9674.27"/>
    <n v="0"/>
    <n v="0"/>
    <n v="101"/>
    <s v="_x0000_US"/>
  </r>
  <r>
    <x v="0"/>
    <n v="13.692500000000001"/>
    <n v="-89.176000000000002"/>
    <n v="9674.8700000000008"/>
    <n v="0"/>
    <n v="0"/>
    <n v="101"/>
    <s v="_x0000_US"/>
  </r>
  <r>
    <x v="0"/>
    <n v="13.69"/>
    <n v="-89.234999999999999"/>
    <n v="9674.9699999999993"/>
    <n v="0"/>
    <n v="0"/>
    <n v="101"/>
    <s v="_x0000_US"/>
  </r>
  <r>
    <x v="0"/>
    <n v="13.6914"/>
    <n v="-89.234899999999996"/>
    <n v="9675.0300000000007"/>
    <n v="0"/>
    <n v="0"/>
    <n v="101"/>
    <s v="_x0000_US"/>
  </r>
  <r>
    <x v="0"/>
    <n v="13.6892"/>
    <n v="-89.235799999999998"/>
    <n v="9675.2800000000007"/>
    <n v="0"/>
    <n v="0"/>
    <n v="101"/>
    <s v="_x0000_US"/>
  </r>
  <r>
    <x v="0"/>
    <n v="13.673999999999999"/>
    <n v="-89.202399999999997"/>
    <n v="9675.41"/>
    <n v="0"/>
    <n v="0"/>
    <n v="101"/>
    <s v="_x0000_US"/>
  </r>
  <r>
    <x v="0"/>
    <n v="13.6799"/>
    <n v="-89.196200000000005"/>
    <n v="9675.7099999999991"/>
    <n v="0"/>
    <n v="0"/>
    <n v="101"/>
    <s v="_x0000_US"/>
  </r>
  <r>
    <x v="0"/>
    <n v="13.6874"/>
    <n v="-89.196299999999994"/>
    <n v="9676.11"/>
    <n v="0"/>
    <n v="0"/>
    <n v="101"/>
    <s v="_x0000_US"/>
  </r>
  <r>
    <x v="0"/>
    <n v="13.688499999999999"/>
    <n v="-89.217100000000002"/>
    <n v="9676.19"/>
    <n v="0"/>
    <n v="0"/>
    <n v="101"/>
    <s v="_x0000_US"/>
  </r>
  <r>
    <x v="0"/>
    <n v="13.6873"/>
    <n v="-89.216899999999995"/>
    <n v="9676.84"/>
    <n v="0"/>
    <n v="0"/>
    <n v="101"/>
    <s v="_x0000_US"/>
  </r>
  <r>
    <x v="0"/>
    <n v="13.686"/>
    <n v="-89.203900000000004"/>
    <n v="9676.9500000000007"/>
    <n v="0"/>
    <n v="0"/>
    <n v="101"/>
    <s v="_x0000_US"/>
  </r>
  <r>
    <x v="0"/>
    <n v="13.692299999999999"/>
    <n v="-89.175799999999995"/>
    <n v="9677.2999999999993"/>
    <n v="0"/>
    <n v="0"/>
    <n v="101"/>
    <s v="_x0000_US"/>
  </r>
  <r>
    <x v="0"/>
    <n v="13.686"/>
    <n v="-89.198300000000003"/>
    <n v="9677.42"/>
    <n v="0"/>
    <n v="0"/>
    <n v="101"/>
    <s v="_x0000_US"/>
  </r>
  <r>
    <x v="0"/>
    <n v="13.674300000000001"/>
    <n v="-89.251199999999997"/>
    <n v="9677.7199999999993"/>
    <n v="0"/>
    <n v="0"/>
    <n v="101"/>
    <s v="_x0000_US"/>
  </r>
  <r>
    <x v="0"/>
    <n v="13.695499999999999"/>
    <n v="-89.166899999999998"/>
    <n v="9678.66"/>
    <n v="0"/>
    <n v="0"/>
    <n v="101"/>
    <s v="_x0000_US"/>
  </r>
  <r>
    <x v="0"/>
    <n v="13.690899999999999"/>
    <n v="-89.232600000000005"/>
    <n v="9678.69"/>
    <n v="0"/>
    <n v="0"/>
    <n v="101"/>
    <s v="_x0000_US"/>
  </r>
  <r>
    <x v="0"/>
    <n v="13.6912"/>
    <n v="-89.219800000000006"/>
    <n v="9678.7000000000007"/>
    <n v="0"/>
    <n v="0"/>
    <n v="101"/>
    <s v="_x0000_US"/>
  </r>
  <r>
    <x v="0"/>
    <n v="13.6907"/>
    <n v="-89.231700000000004"/>
    <n v="9679.15"/>
    <n v="0"/>
    <n v="0"/>
    <n v="101"/>
    <s v="_x0000_US"/>
  </r>
  <r>
    <x v="0"/>
    <n v="13.6891"/>
    <n v="-89.189700000000002"/>
    <n v="9679.68"/>
    <n v="0"/>
    <n v="0"/>
    <n v="101"/>
    <s v="_x0000_US"/>
  </r>
  <r>
    <x v="0"/>
    <n v="13.691700000000001"/>
    <n v="-89.225899999999996"/>
    <n v="9679.73"/>
    <n v="0"/>
    <n v="0"/>
    <n v="101"/>
    <s v="_x0000_US"/>
  </r>
  <r>
    <x v="0"/>
    <n v="13.6739"/>
    <n v="-89.202699999999993"/>
    <n v="9679.76"/>
    <n v="0"/>
    <n v="0"/>
    <n v="101"/>
    <s v="_x0000_US"/>
  </r>
  <r>
    <x v="0"/>
    <n v="13.6897"/>
    <n v="-89.19"/>
    <n v="9679.84"/>
    <n v="0"/>
    <n v="0"/>
    <n v="101"/>
    <s v="_x0000_US"/>
  </r>
  <r>
    <x v="0"/>
    <n v="13.6951"/>
    <n v="-89.183300000000003"/>
    <n v="9680.59"/>
    <n v="0"/>
    <n v="0"/>
    <n v="101"/>
    <s v="_x0000_US"/>
  </r>
  <r>
    <x v="0"/>
    <n v="13.6945"/>
    <n v="-89.184600000000003"/>
    <n v="9681.1299999999992"/>
    <n v="0"/>
    <n v="0"/>
    <n v="101"/>
    <s v="_x0000_US"/>
  </r>
  <r>
    <x v="0"/>
    <n v="13.685700000000001"/>
    <n v="-89.211299999999994"/>
    <n v="9681.19"/>
    <n v="0"/>
    <n v="0"/>
    <n v="101"/>
    <s v="_x0000_US"/>
  </r>
  <r>
    <x v="0"/>
    <n v="13.6873"/>
    <n v="-89.194400000000002"/>
    <n v="9681.2199999999993"/>
    <n v="0"/>
    <n v="0"/>
    <n v="101"/>
    <s v="_x0000_US"/>
  </r>
  <r>
    <x v="0"/>
    <n v="13.6912"/>
    <n v="-89.226299999999995"/>
    <n v="9681.58"/>
    <n v="0"/>
    <n v="0"/>
    <n v="101"/>
    <s v="_x0000_US"/>
  </r>
  <r>
    <x v="0"/>
    <n v="13.692600000000001"/>
    <n v="-89.224199999999996"/>
    <n v="9681.93"/>
    <n v="0"/>
    <n v="0"/>
    <n v="101"/>
    <s v="_x0000_US"/>
  </r>
  <r>
    <x v="0"/>
    <n v="13.674200000000001"/>
    <n v="-89.202600000000004"/>
    <n v="9682.27"/>
    <n v="0"/>
    <n v="0"/>
    <n v="101"/>
    <s v="_x0000_US"/>
  </r>
  <r>
    <x v="0"/>
    <n v="13.689299999999999"/>
    <n v="-89.205600000000004"/>
    <n v="9683.34"/>
    <n v="0"/>
    <n v="0"/>
    <n v="101"/>
    <s v="_x0000_US"/>
  </r>
  <r>
    <x v="0"/>
    <n v="13.6915"/>
    <n v="-89.189400000000006"/>
    <n v="9683.7199999999993"/>
    <n v="0"/>
    <n v="0"/>
    <n v="101"/>
    <s v="_x0000_US"/>
  </r>
  <r>
    <x v="0"/>
    <n v="13.688499999999999"/>
    <n v="-89.1905"/>
    <n v="9683.85"/>
    <n v="0"/>
    <n v="0"/>
    <n v="101"/>
    <s v="_x0000_US"/>
  </r>
  <r>
    <x v="0"/>
    <n v="13.690799999999999"/>
    <n v="-89.190399999999997"/>
    <n v="9684.31"/>
    <n v="0"/>
    <n v="0"/>
    <n v="101"/>
    <s v="_x0000_US"/>
  </r>
  <r>
    <x v="0"/>
    <n v="13.692399999999999"/>
    <n v="-89.224599999999995"/>
    <n v="9684.41"/>
    <n v="0"/>
    <n v="0"/>
    <n v="101"/>
    <s v="_x0000_US"/>
  </r>
  <r>
    <x v="0"/>
    <n v="13.6904"/>
    <n v="-89.234700000000004"/>
    <n v="9684.5499999999993"/>
    <n v="0"/>
    <n v="0"/>
    <n v="101"/>
    <s v="_x0000_US"/>
  </r>
  <r>
    <x v="0"/>
    <n v="13.6769"/>
    <n v="-89.1999"/>
    <n v="9685.65"/>
    <n v="0"/>
    <n v="0"/>
    <n v="101"/>
    <s v="_x0000_US"/>
  </r>
  <r>
    <x v="0"/>
    <n v="13.6904"/>
    <n v="-89.228200000000001"/>
    <n v="9685.69"/>
    <n v="0"/>
    <n v="0"/>
    <n v="101"/>
    <s v="_x0000_US"/>
  </r>
  <r>
    <x v="0"/>
    <n v="13.6846"/>
    <n v="-89.216700000000003"/>
    <n v="9685.83"/>
    <n v="0"/>
    <n v="0"/>
    <n v="101"/>
    <s v="_x0000_US"/>
  </r>
  <r>
    <x v="0"/>
    <n v="13.684200000000001"/>
    <n v="-89.216499999999996"/>
    <n v="9685.89"/>
    <n v="0"/>
    <n v="0"/>
    <n v="101"/>
    <s v="_x0000_US"/>
  </r>
  <r>
    <x v="0"/>
    <n v="13.695"/>
    <n v="-89.1751"/>
    <n v="9686.19"/>
    <n v="0"/>
    <n v="0"/>
    <n v="101"/>
    <s v="_x0000_US"/>
  </r>
  <r>
    <x v="0"/>
    <n v="13.6919"/>
    <n v="-89.221299999999999"/>
    <n v="9686.5"/>
    <n v="0"/>
    <n v="0"/>
    <n v="101"/>
    <s v="_x0000_US"/>
  </r>
  <r>
    <x v="0"/>
    <n v="13.687099999999999"/>
    <n v="-89.182100000000005"/>
    <n v="9686.5300000000007"/>
    <n v="0"/>
    <n v="0"/>
    <n v="101"/>
    <s v="_x0000_US"/>
  </r>
  <r>
    <x v="0"/>
    <n v="13.6874"/>
    <n v="-89.194699999999997"/>
    <n v="9687.34"/>
    <n v="0"/>
    <n v="0"/>
    <n v="101"/>
    <s v="_x0000_US"/>
  </r>
  <r>
    <x v="0"/>
    <n v="13.6912"/>
    <n v="-89.230199999999996"/>
    <n v="9687.4"/>
    <n v="0"/>
    <n v="0"/>
    <n v="101"/>
    <s v="_x0000_US"/>
  </r>
  <r>
    <x v="0"/>
    <n v="13.688000000000001"/>
    <n v="-89.236900000000006"/>
    <n v="9688.14"/>
    <n v="0"/>
    <n v="0"/>
    <n v="101"/>
    <s v="_x0000_US"/>
  </r>
  <r>
    <x v="0"/>
    <n v="13.6911"/>
    <n v="-89.233099999999993"/>
    <n v="9688.16"/>
    <n v="0"/>
    <n v="0"/>
    <n v="101"/>
    <s v="_x0000_US"/>
  </r>
  <r>
    <x v="0"/>
    <n v="13.6869"/>
    <n v="-89.215699999999998"/>
    <n v="9688.58"/>
    <n v="0"/>
    <n v="0"/>
    <n v="101"/>
    <s v="_x0000_US"/>
  </r>
  <r>
    <x v="0"/>
    <n v="13.6912"/>
    <n v="-89.227099999999993"/>
    <n v="9688.6"/>
    <n v="0"/>
    <n v="0"/>
    <n v="101"/>
    <s v="_x0000_US"/>
  </r>
  <r>
    <x v="0"/>
    <n v="13.6884"/>
    <n v="-89.204700000000003"/>
    <n v="9689.0400000000009"/>
    <n v="0"/>
    <n v="0"/>
    <n v="101"/>
    <s v="_x0000_US"/>
  </r>
  <r>
    <x v="0"/>
    <n v="13.685700000000001"/>
    <n v="-89.211200000000005"/>
    <n v="9689.26"/>
    <n v="0"/>
    <n v="0"/>
    <n v="101"/>
    <s v="_x0000_US"/>
  </r>
  <r>
    <x v="0"/>
    <n v="13.673999999999999"/>
    <n v="-89.203000000000003"/>
    <n v="9689.44"/>
    <n v="0"/>
    <n v="0"/>
    <n v="101"/>
    <s v="_x0000_US"/>
  </r>
  <r>
    <x v="0"/>
    <n v="13.6906"/>
    <n v="-89.185900000000004"/>
    <n v="9689.49"/>
    <n v="0"/>
    <n v="0"/>
    <n v="101"/>
    <s v="_x0000_US"/>
  </r>
  <r>
    <x v="0"/>
    <n v="13.6921"/>
    <n v="-89.222099999999998"/>
    <n v="9690.0300000000007"/>
    <n v="0"/>
    <n v="0"/>
    <n v="101"/>
    <s v="_x0000_US"/>
  </r>
  <r>
    <x v="0"/>
    <n v="13.692600000000001"/>
    <n v="-89.184299999999993"/>
    <n v="9690.7900000000009"/>
    <n v="0"/>
    <n v="0"/>
    <n v="101"/>
    <s v="_x0000_US"/>
  </r>
  <r>
    <x v="0"/>
    <n v="13.6911"/>
    <n v="-89.232399999999998"/>
    <n v="9690.7900000000009"/>
    <n v="0"/>
    <n v="0"/>
    <n v="101"/>
    <s v="_x0000_US"/>
  </r>
  <r>
    <x v="0"/>
    <n v="13.6915"/>
    <n v="-89.196899999999999"/>
    <n v="9691.27"/>
    <n v="0"/>
    <n v="0"/>
    <n v="101"/>
    <s v="_x0000_US"/>
  </r>
  <r>
    <x v="0"/>
    <n v="13.6866"/>
    <n v="-89.213499999999996"/>
    <n v="9691.3700000000008"/>
    <n v="0"/>
    <n v="0"/>
    <n v="101"/>
    <s v="_x0000_US"/>
  </r>
  <r>
    <x v="0"/>
    <n v="13.6919"/>
    <n v="-89.185500000000005"/>
    <n v="9691.42"/>
    <n v="0"/>
    <n v="0"/>
    <n v="101"/>
    <s v="_x0000_US"/>
  </r>
  <r>
    <x v="0"/>
    <n v="13.6927"/>
    <n v="-89.179199999999994"/>
    <n v="9691.44"/>
    <n v="0"/>
    <n v="0"/>
    <n v="101"/>
    <s v="_x0000_US"/>
  </r>
  <r>
    <x v="0"/>
    <n v="13.6876"/>
    <n v="-89.195700000000002"/>
    <n v="9691.4500000000007"/>
    <n v="0"/>
    <n v="0"/>
    <n v="101"/>
    <s v="_x0000_US"/>
  </r>
  <r>
    <x v="0"/>
    <n v="13.689500000000001"/>
    <n v="-89.1982"/>
    <n v="9691.5499999999993"/>
    <n v="0"/>
    <n v="0"/>
    <n v="101"/>
    <s v="_x0000_US"/>
  </r>
  <r>
    <x v="0"/>
    <n v="13.6882"/>
    <n v="-89.198400000000007"/>
    <n v="9691.7900000000009"/>
    <n v="0"/>
    <n v="0"/>
    <n v="101"/>
    <s v="_x0000_US"/>
  </r>
  <r>
    <x v="0"/>
    <n v="13.6907"/>
    <n v="-89.234700000000004"/>
    <n v="9692.33"/>
    <n v="0"/>
    <n v="0"/>
    <n v="101"/>
    <s v="_x0000_US"/>
  </r>
  <r>
    <x v="0"/>
    <n v="13.6882"/>
    <n v="-89.182500000000005"/>
    <n v="9693.42"/>
    <n v="0"/>
    <n v="0"/>
    <n v="101"/>
    <s v="_x0000_US"/>
  </r>
  <r>
    <x v="0"/>
    <n v="13.6897"/>
    <n v="-89.206599999999995"/>
    <n v="9693.49"/>
    <n v="0"/>
    <n v="0"/>
    <n v="101"/>
    <s v="_x0000_US"/>
  </r>
  <r>
    <x v="0"/>
    <n v="13.6898"/>
    <n v="-89.235399999999998"/>
    <n v="9693.7099999999991"/>
    <n v="0"/>
    <n v="0"/>
    <n v="101"/>
    <s v="_x0000_US"/>
  </r>
  <r>
    <x v="0"/>
    <n v="13.6737"/>
    <n v="-89.203199999999995"/>
    <n v="9693.83"/>
    <n v="0"/>
    <n v="0"/>
    <n v="101"/>
    <s v="_x0000_US"/>
  </r>
  <r>
    <x v="0"/>
    <n v="13.6867"/>
    <n v="-89.181399999999996"/>
    <n v="9693.8700000000008"/>
    <n v="0"/>
    <n v="0"/>
    <n v="101"/>
    <s v="_x0000_US"/>
  </r>
  <r>
    <x v="0"/>
    <n v="13.6945"/>
    <n v="-89.183099999999996"/>
    <n v="9694.2000000000007"/>
    <n v="0"/>
    <n v="0"/>
    <n v="101"/>
    <s v="_x0000_US"/>
  </r>
  <r>
    <x v="0"/>
    <n v="13.6747"/>
    <n v="-89.202500000000001"/>
    <n v="9694.49"/>
    <n v="0"/>
    <n v="0"/>
    <n v="101"/>
    <s v="_x0000_US"/>
  </r>
  <r>
    <x v="0"/>
    <n v="13.695"/>
    <n v="-89.182699999999997"/>
    <n v="9694.58"/>
    <n v="0"/>
    <n v="0"/>
    <n v="101"/>
    <s v="_x0000_US"/>
  </r>
  <r>
    <x v="0"/>
    <n v="13.689"/>
    <n v="-89.183800000000005"/>
    <n v="9694.8700000000008"/>
    <n v="0"/>
    <n v="0"/>
    <n v="101"/>
    <s v="_x0000_US"/>
  </r>
  <r>
    <x v="0"/>
    <n v="13.6892"/>
    <n v="-89.206500000000005"/>
    <n v="9694.9699999999993"/>
    <n v="0"/>
    <n v="0"/>
    <n v="101"/>
    <s v="_x0000_US"/>
  </r>
  <r>
    <x v="0"/>
    <n v="13.695"/>
    <n v="-89.174800000000005"/>
    <n v="9695.2099999999991"/>
    <n v="0"/>
    <n v="0"/>
    <n v="101"/>
    <s v="_x0000_US"/>
  </r>
  <r>
    <x v="0"/>
    <n v="13.686500000000001"/>
    <n v="-89.212100000000007"/>
    <n v="9695.2199999999993"/>
    <n v="0"/>
    <n v="0"/>
    <n v="101"/>
    <s v="_x0000_US"/>
  </r>
  <r>
    <x v="0"/>
    <n v="13.6882"/>
    <n v="-89.190200000000004"/>
    <n v="9695.25"/>
    <n v="0"/>
    <n v="0"/>
    <n v="101"/>
    <s v="_x0000_US"/>
  </r>
  <r>
    <x v="0"/>
    <n v="13.692600000000001"/>
    <n v="-89.226200000000006"/>
    <n v="9695.4599999999991"/>
    <n v="0"/>
    <n v="0"/>
    <n v="101"/>
    <s v="_x0000_US"/>
  </r>
  <r>
    <x v="0"/>
    <n v="13.684699999999999"/>
    <n v="-89.216700000000003"/>
    <n v="9695.68"/>
    <n v="0"/>
    <n v="0"/>
    <n v="101"/>
    <s v="_x0000_US"/>
  </r>
  <r>
    <x v="0"/>
    <n v="13.6858"/>
    <n v="-89.202200000000005"/>
    <n v="9696.36"/>
    <n v="0"/>
    <n v="0"/>
    <n v="101"/>
    <s v="_x0000_US"/>
  </r>
  <r>
    <x v="0"/>
    <n v="13.6874"/>
    <n v="-89.216899999999995"/>
    <n v="9696.51"/>
    <n v="0"/>
    <n v="0"/>
    <n v="101"/>
    <s v="_x0000_US"/>
  </r>
  <r>
    <x v="0"/>
    <n v="13.6912"/>
    <n v="-89.229100000000003"/>
    <n v="9696.64"/>
    <n v="0"/>
    <n v="0"/>
    <n v="101"/>
    <s v="_x0000_US"/>
  </r>
  <r>
    <x v="0"/>
    <n v="13.694699999999999"/>
    <n v="-89.183199999999999"/>
    <n v="9696.73"/>
    <n v="0"/>
    <n v="0"/>
    <n v="101"/>
    <s v="_x0000_US"/>
  </r>
  <r>
    <x v="0"/>
    <n v="13.6792"/>
    <n v="-89.196799999999996"/>
    <n v="9696.99"/>
    <n v="0"/>
    <n v="0"/>
    <n v="101"/>
    <s v="_x0000_US"/>
  </r>
  <r>
    <x v="0"/>
    <n v="13.687200000000001"/>
    <n v="-89.196600000000004"/>
    <n v="9697.18"/>
    <n v="0"/>
    <n v="0"/>
    <n v="101"/>
    <s v="_x0000_US"/>
  </r>
  <r>
    <x v="0"/>
    <n v="13.6873"/>
    <n v="-89.205200000000005"/>
    <n v="9697.26"/>
    <n v="0"/>
    <n v="0"/>
    <n v="101"/>
    <s v="_x0000_US"/>
  </r>
  <r>
    <x v="0"/>
    <n v="13.690300000000001"/>
    <n v="-89.234200000000001"/>
    <n v="9698.57"/>
    <n v="0"/>
    <n v="0"/>
    <n v="101"/>
    <s v="_x0000_US"/>
  </r>
  <r>
    <x v="0"/>
    <n v="13.6904"/>
    <n v="-89.195599999999999"/>
    <n v="9698.61"/>
    <n v="0"/>
    <n v="0"/>
    <n v="101"/>
    <s v="_x0000_US"/>
  </r>
  <r>
    <x v="0"/>
    <n v="13.6922"/>
    <n v="-89.181899999999999"/>
    <n v="9698.98"/>
    <n v="0"/>
    <n v="0"/>
    <n v="101"/>
    <s v="_x0000_US"/>
  </r>
  <r>
    <x v="0"/>
    <n v="13.6904"/>
    <n v="-89.2346"/>
    <n v="9699.4"/>
    <n v="0"/>
    <n v="0"/>
    <n v="101"/>
    <s v="_x0000_US"/>
  </r>
  <r>
    <x v="0"/>
    <n v="13.689399999999999"/>
    <n v="-89.229399999999998"/>
    <n v="9699.52"/>
    <n v="0"/>
    <n v="0"/>
    <n v="101"/>
    <s v="_x0000_US"/>
  </r>
  <r>
    <x v="0"/>
    <n v="13.6904"/>
    <n v="-89.195700000000002"/>
    <n v="9700.0499999999993"/>
    <n v="0"/>
    <n v="0"/>
    <n v="101"/>
    <s v="_x0000_US"/>
  </r>
  <r>
    <x v="0"/>
    <n v="13.687200000000001"/>
    <n v="-89.194500000000005"/>
    <n v="9700.27"/>
    <n v="0"/>
    <n v="0"/>
    <n v="101"/>
    <s v="_x0000_US"/>
  </r>
  <r>
    <x v="0"/>
    <n v="13.688599999999999"/>
    <n v="-89.204599999999999"/>
    <n v="9700.32"/>
    <n v="0"/>
    <n v="0"/>
    <n v="101"/>
    <s v="_x0000_US"/>
  </r>
  <r>
    <x v="0"/>
    <n v="13.6942"/>
    <n v="-89.1755"/>
    <n v="9700.7099999999991"/>
    <n v="0"/>
    <n v="0"/>
    <n v="101"/>
    <s v="_x0000_US"/>
  </r>
  <r>
    <x v="0"/>
    <n v="13.6891"/>
    <n v="-89.183700000000002"/>
    <n v="9701.89"/>
    <n v="0"/>
    <n v="0"/>
    <n v="101"/>
    <s v="_x0000_US"/>
  </r>
  <r>
    <x v="0"/>
    <n v="13.6907"/>
    <n v="-89.197500000000005"/>
    <n v="9701.9599999999991"/>
    <n v="0"/>
    <n v="0"/>
    <n v="101"/>
    <s v="_x0000_US"/>
  </r>
  <r>
    <x v="0"/>
    <n v="13.690899999999999"/>
    <n v="-89.2333"/>
    <n v="9702.5300000000007"/>
    <n v="0"/>
    <n v="0"/>
    <n v="101"/>
    <s v="_x0000_US"/>
  </r>
  <r>
    <x v="0"/>
    <n v="13.6858"/>
    <n v="-89.194000000000003"/>
    <n v="9702.7000000000007"/>
    <n v="0"/>
    <n v="0"/>
    <n v="101"/>
    <s v="_x0000_US"/>
  </r>
  <r>
    <x v="0"/>
    <n v="13.688000000000001"/>
    <n v="-89.205100000000002"/>
    <n v="9702.77"/>
    <n v="0"/>
    <n v="0"/>
    <n v="101"/>
    <s v="_x0000_US"/>
  </r>
  <r>
    <x v="0"/>
    <n v="13.6905"/>
    <n v="-89.194299999999998"/>
    <n v="9702.7900000000009"/>
    <n v="0"/>
    <n v="0"/>
    <n v="101"/>
    <s v="_x0000_US"/>
  </r>
  <r>
    <x v="0"/>
    <n v="13.690899999999999"/>
    <n v="-89.187399999999997"/>
    <n v="9702.93"/>
    <n v="0"/>
    <n v="0"/>
    <n v="101"/>
    <s v="_x0000_US"/>
  </r>
  <r>
    <x v="0"/>
    <n v="13.6861"/>
    <n v="-89.212400000000002"/>
    <n v="9703.15"/>
    <n v="0"/>
    <n v="0"/>
    <n v="101"/>
    <s v="_x0000_US"/>
  </r>
  <r>
    <x v="0"/>
    <n v="13.6877"/>
    <n v="-89.197100000000006"/>
    <n v="9703.24"/>
    <n v="0"/>
    <n v="0"/>
    <n v="101"/>
    <s v="_x0000_US"/>
  </r>
  <r>
    <x v="0"/>
    <n v="13.6881"/>
    <n v="-89.193700000000007"/>
    <n v="9703.84"/>
    <n v="0"/>
    <n v="0"/>
    <n v="101"/>
    <s v="_x0000_US"/>
  </r>
  <r>
    <x v="0"/>
    <n v="13.694900000000001"/>
    <n v="-89.175200000000004"/>
    <n v="9704.15"/>
    <n v="0"/>
    <n v="0"/>
    <n v="101"/>
    <s v="_x0000_US"/>
  </r>
  <r>
    <x v="0"/>
    <n v="13.686999999999999"/>
    <n v="-89.212999999999994"/>
    <n v="9704.16"/>
    <n v="0"/>
    <n v="0"/>
    <n v="101"/>
    <s v="_x0000_US"/>
  </r>
  <r>
    <x v="0"/>
    <n v="13.6844"/>
    <n v="-89.216999999999999"/>
    <n v="9704.42"/>
    <n v="0"/>
    <n v="0"/>
    <n v="101"/>
    <s v="_x0000_US"/>
  </r>
  <r>
    <x v="0"/>
    <n v="13.6938"/>
    <n v="-89.176199999999994"/>
    <n v="9705.2999999999993"/>
    <n v="0"/>
    <n v="0"/>
    <n v="101"/>
    <s v="_x0000_US"/>
  </r>
  <r>
    <x v="0"/>
    <n v="13.674200000000001"/>
    <n v="-89.2029"/>
    <n v="9706.4599999999991"/>
    <n v="0"/>
    <n v="0"/>
    <n v="101"/>
    <s v="_x0000_US"/>
  </r>
  <r>
    <x v="0"/>
    <n v="13.6914"/>
    <n v="-89.233000000000004"/>
    <n v="9706.5"/>
    <n v="0"/>
    <n v="0"/>
    <n v="101"/>
    <s v="_x0000_US"/>
  </r>
  <r>
    <x v="0"/>
    <n v="13.691599999999999"/>
    <n v="-89.185500000000005"/>
    <n v="9708.02"/>
    <n v="0"/>
    <n v="0"/>
    <n v="101"/>
    <s v="_x0000_US"/>
  </r>
  <r>
    <x v="0"/>
    <n v="13.6936"/>
    <n v="-89.188699999999997"/>
    <n v="9708.7199999999993"/>
    <n v="0"/>
    <n v="0"/>
    <n v="101"/>
    <s v="_x0000_US"/>
  </r>
  <r>
    <x v="0"/>
    <n v="13.685600000000001"/>
    <n v="-89.201899999999995"/>
    <n v="9708.7900000000009"/>
    <n v="0"/>
    <n v="0"/>
    <n v="101"/>
    <s v="_x0000_US"/>
  </r>
  <r>
    <x v="0"/>
    <n v="13.686999999999999"/>
    <n v="-89.204599999999999"/>
    <n v="9709.01"/>
    <n v="0"/>
    <n v="0"/>
    <n v="101"/>
    <s v="_x0000_US"/>
  </r>
  <r>
    <x v="0"/>
    <n v="13.693199999999999"/>
    <n v="-89.1768"/>
    <n v="9709.02"/>
    <n v="0"/>
    <n v="0"/>
    <n v="101"/>
    <s v="_x0000_US"/>
  </r>
  <r>
    <x v="0"/>
    <n v="13.6898"/>
    <n v="-89.184899999999999"/>
    <n v="9709.23"/>
    <n v="0"/>
    <n v="0"/>
    <n v="101"/>
    <s v="_x0000_US"/>
  </r>
  <r>
    <x v="0"/>
    <n v="13.684799999999999"/>
    <n v="-89.216800000000006"/>
    <n v="9709.9599999999991"/>
    <n v="0"/>
    <n v="0"/>
    <n v="101"/>
    <s v="_x0000_US"/>
  </r>
  <r>
    <x v="0"/>
    <n v="13.6934"/>
    <n v="-89.173599999999993"/>
    <n v="9709.9699999999993"/>
    <n v="0"/>
    <n v="0"/>
    <n v="101"/>
    <s v="_x0000_US"/>
  </r>
  <r>
    <x v="0"/>
    <n v="13.6919"/>
    <n v="-89.186000000000007"/>
    <n v="9710.1"/>
    <n v="0"/>
    <n v="0"/>
    <n v="101"/>
    <s v="_x0000_US"/>
  </r>
  <r>
    <x v="0"/>
    <n v="13.689299999999999"/>
    <n v="-89.208200000000005"/>
    <n v="9710.2099999999991"/>
    <n v="0"/>
    <n v="0"/>
    <n v="101"/>
    <s v="_x0000_US"/>
  </r>
  <r>
    <x v="0"/>
    <n v="13.6943"/>
    <n v="-89.183199999999999"/>
    <n v="9710.49"/>
    <n v="0"/>
    <n v="0"/>
    <n v="101"/>
    <s v="_x0000_US"/>
  </r>
  <r>
    <x v="0"/>
    <n v="13.692399999999999"/>
    <n v="-89.174199999999999"/>
    <n v="9710.69"/>
    <n v="0"/>
    <n v="0"/>
    <n v="101"/>
    <s v="_x0000_US"/>
  </r>
  <r>
    <x v="0"/>
    <n v="13.6899"/>
    <n v="-89.195800000000006"/>
    <n v="9711.6200000000008"/>
    <n v="0"/>
    <n v="0"/>
    <n v="101"/>
    <s v="_x0000_US"/>
  </r>
  <r>
    <x v="0"/>
    <n v="13.6906"/>
    <n v="-89.234099999999998"/>
    <n v="9711.6200000000008"/>
    <n v="0"/>
    <n v="0"/>
    <n v="101"/>
    <s v="_x0000_US"/>
  </r>
  <r>
    <x v="0"/>
    <n v="13.6896"/>
    <n v="-89.229500000000002"/>
    <n v="9711.75"/>
    <n v="0"/>
    <n v="0"/>
    <n v="101"/>
    <s v="_x0000_US"/>
  </r>
  <r>
    <x v="0"/>
    <n v="13.687099999999999"/>
    <n v="-89.211299999999994"/>
    <n v="9712.1"/>
    <n v="0"/>
    <n v="0"/>
    <n v="101"/>
    <s v="_x0000_US"/>
  </r>
  <r>
    <x v="0"/>
    <n v="13.6808"/>
    <n v="-89.197800000000001"/>
    <n v="9712.2000000000007"/>
    <n v="0"/>
    <n v="0"/>
    <n v="101"/>
    <s v="_x0000_US"/>
  </r>
  <r>
    <x v="0"/>
    <n v="13.684699999999999"/>
    <n v="-89.213399999999993"/>
    <n v="9712.2000000000007"/>
    <n v="0"/>
    <n v="0"/>
    <n v="101"/>
    <s v="_x0000_US"/>
  </r>
  <r>
    <x v="0"/>
    <n v="13.691700000000001"/>
    <n v="-89.221000000000004"/>
    <n v="9712.56"/>
    <n v="0"/>
    <n v="0"/>
    <n v="101"/>
    <s v="_x0000_US"/>
  </r>
  <r>
    <x v="0"/>
    <n v="13.695"/>
    <n v="-89.182500000000005"/>
    <n v="9713.7199999999993"/>
    <n v="0"/>
    <n v="0"/>
    <n v="101"/>
    <s v="_x0000_US"/>
  </r>
  <r>
    <x v="0"/>
    <n v="13.6915"/>
    <n v="-89.179299999999998"/>
    <n v="9713.84"/>
    <n v="0"/>
    <n v="0"/>
    <n v="101"/>
    <s v="_x0000_US"/>
  </r>
  <r>
    <x v="0"/>
    <n v="13.690799999999999"/>
    <n v="-89.190700000000007"/>
    <n v="9714.44"/>
    <n v="0"/>
    <n v="0"/>
    <n v="101"/>
    <s v="_x0000_US"/>
  </r>
  <r>
    <x v="0"/>
    <n v="13.6913"/>
    <n v="-89.188199999999995"/>
    <n v="9714.59"/>
    <n v="0"/>
    <n v="0"/>
    <n v="101"/>
    <s v="_x0000_US"/>
  </r>
  <r>
    <x v="0"/>
    <n v="13.6907"/>
    <n v="-89.235299999999995"/>
    <n v="9714.61"/>
    <n v="0"/>
    <n v="0"/>
    <n v="101"/>
    <s v="_x0000_US"/>
  </r>
  <r>
    <x v="0"/>
    <n v="13.689299999999999"/>
    <n v="-89.197599999999994"/>
    <n v="9714.67"/>
    <n v="0"/>
    <n v="0"/>
    <n v="101"/>
    <s v="_x0000_US"/>
  </r>
  <r>
    <x v="0"/>
    <n v="13.6883"/>
    <n v="-89.229600000000005"/>
    <n v="9715.06"/>
    <n v="0"/>
    <n v="0"/>
    <n v="101"/>
    <s v="_x0000_US"/>
  </r>
  <r>
    <x v="0"/>
    <n v="13.689500000000001"/>
    <n v="-89.235699999999994"/>
    <n v="9715.16"/>
    <n v="0"/>
    <n v="0"/>
    <n v="101"/>
    <s v="_x0000_US"/>
  </r>
  <r>
    <x v="0"/>
    <n v="13.6882"/>
    <n v="-89.194400000000002"/>
    <n v="9715.31"/>
    <n v="0"/>
    <n v="0"/>
    <n v="101"/>
    <s v="_x0000_US"/>
  </r>
  <r>
    <x v="0"/>
    <n v="13.688599999999999"/>
    <n v="-89.229799999999997"/>
    <n v="9715.58"/>
    <n v="0"/>
    <n v="0"/>
    <n v="101"/>
    <s v="_x0000_US"/>
  </r>
  <r>
    <x v="0"/>
    <n v="13.690200000000001"/>
    <n v="-89.217500000000001"/>
    <n v="9715.67"/>
    <n v="0"/>
    <n v="0"/>
    <n v="101"/>
    <s v="_x0000_US"/>
  </r>
  <r>
    <x v="0"/>
    <n v="13.689399999999999"/>
    <n v="-89.235500000000002"/>
    <n v="9716.39"/>
    <n v="0"/>
    <n v="0"/>
    <n v="101"/>
    <s v="_x0000_US"/>
  </r>
  <r>
    <x v="0"/>
    <n v="13.6915"/>
    <n v="-89.183899999999994"/>
    <n v="9717.6200000000008"/>
    <n v="0"/>
    <n v="0"/>
    <n v="101"/>
    <s v="_x0000_US"/>
  </r>
  <r>
    <x v="0"/>
    <n v="13.6934"/>
    <n v="-89.176599999999993"/>
    <n v="9718.19"/>
    <n v="0"/>
    <n v="0"/>
    <n v="101"/>
    <s v="_x0000_US"/>
  </r>
  <r>
    <x v="0"/>
    <n v="13.691599999999999"/>
    <n v="-89.235299999999995"/>
    <n v="9718.3799999999992"/>
    <n v="0"/>
    <n v="0"/>
    <n v="101"/>
    <s v="_x0000_US"/>
  </r>
  <r>
    <x v="0"/>
    <n v="13.691800000000001"/>
    <n v="-89.2209"/>
    <n v="9718.8700000000008"/>
    <n v="0"/>
    <n v="0"/>
    <n v="101"/>
    <s v="_x0000_US"/>
  </r>
  <r>
    <x v="0"/>
    <n v="13.696400000000001"/>
    <n v="-89.171899999999994"/>
    <n v="9718.9599999999991"/>
    <n v="0"/>
    <n v="0"/>
    <n v="101"/>
    <s v="_x0000_US"/>
  </r>
  <r>
    <x v="0"/>
    <n v="13.6898"/>
    <n v="-89.194199999999995"/>
    <n v="9718.99"/>
    <n v="0"/>
    <n v="0"/>
    <n v="101"/>
    <s v="_x0000_US"/>
  </r>
  <r>
    <x v="0"/>
    <n v="13.6899"/>
    <n v="-89.177499999999995"/>
    <n v="9719.4"/>
    <n v="0"/>
    <n v="0"/>
    <n v="101"/>
    <s v="_x0000_US"/>
  </r>
  <r>
    <x v="0"/>
    <n v="13.691800000000001"/>
    <n v="-89.226299999999995"/>
    <n v="9719.5"/>
    <n v="0"/>
    <n v="0"/>
    <n v="101"/>
    <s v="_x0000_US"/>
  </r>
  <r>
    <x v="0"/>
    <n v="13.6907"/>
    <n v="-89.235200000000006"/>
    <n v="9719.68"/>
    <n v="0"/>
    <n v="0"/>
    <n v="101"/>
    <s v="_x0000_US"/>
  </r>
  <r>
    <x v="0"/>
    <n v="13.688499999999999"/>
    <n v="-89.190700000000007"/>
    <n v="9719.69"/>
    <n v="0"/>
    <n v="0"/>
    <n v="101"/>
    <s v="_x0000_US"/>
  </r>
  <r>
    <x v="0"/>
    <n v="13.6942"/>
    <n v="-89.183199999999999"/>
    <n v="9720.6200000000008"/>
    <n v="0"/>
    <n v="0"/>
    <n v="101"/>
    <s v="_x0000_US"/>
  </r>
  <r>
    <x v="0"/>
    <n v="13.6983"/>
    <n v="-89.169399999999996"/>
    <n v="9720.92"/>
    <n v="0"/>
    <n v="0"/>
    <n v="101"/>
    <s v="_x0000_US"/>
  </r>
  <r>
    <x v="0"/>
    <n v="13.6889"/>
    <n v="-89.178299999999993"/>
    <n v="9720.99"/>
    <n v="0"/>
    <n v="0"/>
    <n v="101"/>
    <s v="_x0000_US"/>
  </r>
  <r>
    <x v="0"/>
    <n v="13.687200000000001"/>
    <n v="-89.181200000000004"/>
    <n v="9721.48"/>
    <n v="0"/>
    <n v="0"/>
    <n v="101"/>
    <s v="_x0000_US"/>
  </r>
  <r>
    <x v="0"/>
    <n v="13.691000000000001"/>
    <n v="-89.226900000000001"/>
    <n v="9721.64"/>
    <n v="0"/>
    <n v="0"/>
    <n v="101"/>
    <s v="_x0000_US"/>
  </r>
  <r>
    <x v="0"/>
    <n v="13.6913"/>
    <n v="-89.189499999999995"/>
    <n v="9721.85"/>
    <n v="0"/>
    <n v="0"/>
    <n v="101"/>
    <s v="_x0000_US"/>
  </r>
  <r>
    <x v="0"/>
    <n v="13.6875"/>
    <n v="-89.197199999999995"/>
    <n v="9721.94"/>
    <n v="0"/>
    <n v="0"/>
    <n v="101"/>
    <s v="_x0000_US"/>
  </r>
  <r>
    <x v="0"/>
    <n v="13.686"/>
    <n v="-89.201999999999998"/>
    <n v="9722.33"/>
    <n v="0"/>
    <n v="0"/>
    <n v="101"/>
    <s v="_x0000_US"/>
  </r>
  <r>
    <x v="0"/>
    <n v="13.6907"/>
    <n v="-89.235600000000005"/>
    <n v="9722.8799999999992"/>
    <n v="0"/>
    <n v="0"/>
    <n v="101"/>
    <s v="_x0000_US"/>
  </r>
  <r>
    <x v="0"/>
    <n v="13.688499999999999"/>
    <n v="-89.2042"/>
    <n v="9723.31"/>
    <n v="0"/>
    <n v="0"/>
    <n v="101"/>
    <s v="_x0000_US"/>
  </r>
  <r>
    <x v="0"/>
    <n v="13.6852"/>
    <n v="-89.216399999999993"/>
    <n v="9724.2900000000009"/>
    <n v="0"/>
    <n v="0"/>
    <n v="101"/>
    <s v="_x0000_US"/>
  </r>
  <r>
    <x v="0"/>
    <n v="13.6877"/>
    <n v="-89.204700000000003"/>
    <n v="9724.42"/>
    <n v="0"/>
    <n v="0"/>
    <n v="101"/>
    <s v="_x0000_US"/>
  </r>
  <r>
    <x v="0"/>
    <n v="13.677199999999999"/>
    <n v="-89.1995"/>
    <n v="9724.4500000000007"/>
    <n v="0"/>
    <n v="0"/>
    <n v="101"/>
    <s v="_x0000_US"/>
  </r>
  <r>
    <x v="0"/>
    <n v="13.6868"/>
    <n v="-89.194500000000005"/>
    <n v="9724.5499999999993"/>
    <n v="0"/>
    <n v="0"/>
    <n v="101"/>
    <s v="_x0000_US"/>
  </r>
  <r>
    <x v="0"/>
    <n v="13.695499999999999"/>
    <n v="-89.174300000000002"/>
    <n v="9724.9599999999991"/>
    <n v="0"/>
    <n v="0"/>
    <n v="101"/>
    <s v="_x0000_US"/>
  </r>
  <r>
    <x v="0"/>
    <n v="13.691800000000001"/>
    <n v="-89.186199999999999"/>
    <n v="9725.34"/>
    <n v="0"/>
    <n v="0"/>
    <n v="101"/>
    <s v="_x0000_US"/>
  </r>
  <r>
    <x v="0"/>
    <n v="13.687099999999999"/>
    <n v="-89.180999999999997"/>
    <n v="9725.36"/>
    <n v="0"/>
    <n v="0"/>
    <n v="101"/>
    <s v="_x0000_US"/>
  </r>
  <r>
    <x v="0"/>
    <n v="13.6883"/>
    <n v="-89.182699999999997"/>
    <n v="9725.6"/>
    <n v="0"/>
    <n v="0"/>
    <n v="101"/>
    <s v="_x0000_US"/>
  </r>
  <r>
    <x v="0"/>
    <n v="13.6928"/>
    <n v="-89.224599999999995"/>
    <n v="9726.2800000000007"/>
    <n v="0"/>
    <n v="0"/>
    <n v="101"/>
    <s v="_x0000_US"/>
  </r>
  <r>
    <x v="0"/>
    <n v="13.6892"/>
    <n v="-89.207499999999996"/>
    <n v="9726.31"/>
    <n v="0"/>
    <n v="0"/>
    <n v="101"/>
    <s v="_x0000_US"/>
  </r>
  <r>
    <x v="0"/>
    <n v="13.6723"/>
    <n v="-89.205399999999997"/>
    <n v="9726.58"/>
    <n v="0"/>
    <n v="0"/>
    <n v="101"/>
    <s v="_x0000_US"/>
  </r>
  <r>
    <x v="0"/>
    <n v="13.688599999999999"/>
    <n v="-89.1905"/>
    <n v="9726.83"/>
    <n v="0"/>
    <n v="0"/>
    <n v="101"/>
    <s v="_x0000_US"/>
  </r>
  <r>
    <x v="0"/>
    <n v="13.691800000000001"/>
    <n v="-89.178799999999995"/>
    <n v="9727.08"/>
    <n v="0"/>
    <n v="0"/>
    <n v="101"/>
    <s v="_x0000_US"/>
  </r>
  <r>
    <x v="0"/>
    <n v="13.674300000000001"/>
    <n v="-89.251300000000001"/>
    <n v="9727.08"/>
    <n v="0"/>
    <n v="0"/>
    <n v="101"/>
    <s v="_x0000_US"/>
  </r>
  <r>
    <x v="0"/>
    <n v="13.694900000000001"/>
    <n v="-89.174099999999996"/>
    <n v="9727.39"/>
    <n v="0"/>
    <n v="0"/>
    <n v="101"/>
    <s v="_x0000_US"/>
  </r>
  <r>
    <x v="0"/>
    <n v="13.687200000000001"/>
    <n v="-89.194800000000001"/>
    <n v="9728.14"/>
    <n v="0"/>
    <n v="0"/>
    <n v="101"/>
    <s v="_x0000_US"/>
  </r>
  <r>
    <x v="0"/>
    <n v="13.6861"/>
    <n v="-89.214299999999994"/>
    <n v="9728.14"/>
    <n v="0"/>
    <n v="0"/>
    <n v="101"/>
    <s v="_x0000_US"/>
  </r>
  <r>
    <x v="0"/>
    <n v="13.673999999999999"/>
    <n v="-89.203199999999995"/>
    <n v="9728.18"/>
    <n v="0"/>
    <n v="0"/>
    <n v="101"/>
    <s v="_x0000_US"/>
  </r>
  <r>
    <x v="0"/>
    <n v="13.68"/>
    <n v="-89.195899999999995"/>
    <n v="9728.19"/>
    <n v="0"/>
    <n v="0"/>
    <n v="101"/>
    <s v="_x0000_US"/>
  </r>
  <r>
    <x v="0"/>
    <n v="13.692600000000001"/>
    <n v="-89.1845"/>
    <n v="9728.36"/>
    <n v="0"/>
    <n v="0"/>
    <n v="101"/>
    <s v="_x0000_US"/>
  </r>
  <r>
    <x v="0"/>
    <n v="13.6744"/>
    <n v="-89.251099999999994"/>
    <n v="9728.91"/>
    <n v="0"/>
    <n v="0"/>
    <n v="101"/>
    <s v="_x0000_US"/>
  </r>
  <r>
    <x v="0"/>
    <n v="13.6928"/>
    <n v="-89.224500000000006"/>
    <n v="9729.01"/>
    <n v="0"/>
    <n v="0"/>
    <n v="101"/>
    <s v="_x0000_US"/>
  </r>
  <r>
    <x v="0"/>
    <n v="13.6861"/>
    <n v="-89.2149"/>
    <n v="9729.2999999999993"/>
    <n v="0"/>
    <n v="0"/>
    <n v="101"/>
    <s v="_x0000_US"/>
  </r>
  <r>
    <x v="0"/>
    <n v="13.692"/>
    <n v="-89.175799999999995"/>
    <n v="9729.3700000000008"/>
    <n v="0"/>
    <n v="0"/>
    <n v="101"/>
    <s v="_x0000_US"/>
  </r>
  <r>
    <x v="0"/>
    <n v="13.690799999999999"/>
    <n v="-89.194400000000002"/>
    <n v="9730.0499999999993"/>
    <n v="0"/>
    <n v="0"/>
    <n v="101"/>
    <s v="_x0000_US"/>
  </r>
  <r>
    <x v="0"/>
    <n v="13.6866"/>
    <n v="-89.212400000000002"/>
    <n v="9730.35"/>
    <n v="0"/>
    <n v="0"/>
    <n v="101"/>
    <s v="_x0000_US"/>
  </r>
  <r>
    <x v="0"/>
    <n v="13.6881"/>
    <n v="-89.182900000000004"/>
    <n v="9730.7099999999991"/>
    <n v="0"/>
    <n v="0"/>
    <n v="101"/>
    <s v="_x0000_US"/>
  </r>
  <r>
    <x v="0"/>
    <n v="13.6899"/>
    <n v="-89.194000000000003"/>
    <n v="9731.34"/>
    <n v="0"/>
    <n v="0"/>
    <n v="101"/>
    <s v="_x0000_US"/>
  </r>
  <r>
    <x v="0"/>
    <n v="13.6892"/>
    <n v="-89.236000000000004"/>
    <n v="9731.9"/>
    <n v="0"/>
    <n v="0"/>
    <n v="101"/>
    <s v="_x0000_US"/>
  </r>
  <r>
    <x v="0"/>
    <n v="13.687099999999999"/>
    <n v="-89.216499999999996"/>
    <n v="9732.08"/>
    <n v="0"/>
    <n v="0"/>
    <n v="101"/>
    <s v="_x0000_US"/>
  </r>
  <r>
    <x v="0"/>
    <n v="13.694900000000001"/>
    <n v="-89.171800000000005"/>
    <n v="9732.1"/>
    <n v="0"/>
    <n v="0"/>
    <n v="101"/>
    <s v="_x0000_US"/>
  </r>
  <r>
    <x v="0"/>
    <n v="13.6927"/>
    <n v="-89.225999999999999"/>
    <n v="9732.5400000000009"/>
    <n v="0"/>
    <n v="0"/>
    <n v="101"/>
    <s v="_x0000_US"/>
  </r>
  <r>
    <x v="0"/>
    <n v="13.686999999999999"/>
    <n v="-89.201599999999999"/>
    <n v="9733.0499999999993"/>
    <n v="0"/>
    <n v="0"/>
    <n v="101"/>
    <s v="_x0000_US"/>
  </r>
  <r>
    <x v="0"/>
    <n v="13.6911"/>
    <n v="-89.183000000000007"/>
    <n v="9733.2099999999991"/>
    <n v="0"/>
    <n v="0"/>
    <n v="101"/>
    <s v="_x0000_US"/>
  </r>
  <r>
    <x v="0"/>
    <n v="13.6898"/>
    <n v="-89.185699999999997"/>
    <n v="9734.07"/>
    <n v="0"/>
    <n v="0"/>
    <n v="101"/>
    <s v="_x0000_US"/>
  </r>
  <r>
    <x v="0"/>
    <n v="13.687099999999999"/>
    <n v="-89.202600000000004"/>
    <n v="9734.56"/>
    <n v="0"/>
    <n v="0"/>
    <n v="101"/>
    <s v="_x0000_US"/>
  </r>
  <r>
    <x v="0"/>
    <n v="13.6799"/>
    <n v="-89.195700000000002"/>
    <n v="9734.61"/>
    <n v="0"/>
    <n v="0"/>
    <n v="101"/>
    <s v="_x0000_US"/>
  </r>
  <r>
    <x v="0"/>
    <n v="13.6754"/>
    <n v="-89.202200000000005"/>
    <n v="9734.6299999999992"/>
    <n v="0"/>
    <n v="0"/>
    <n v="101"/>
    <s v="_x0000_US"/>
  </r>
  <r>
    <x v="0"/>
    <n v="13.690300000000001"/>
    <n v="-89.195700000000002"/>
    <n v="9734.69"/>
    <n v="0"/>
    <n v="0"/>
    <n v="101"/>
    <s v="_x0000_US"/>
  </r>
  <r>
    <x v="0"/>
    <n v="13.6915"/>
    <n v="-89.220299999999995"/>
    <n v="9734.7199999999993"/>
    <n v="0"/>
    <n v="0"/>
    <n v="101"/>
    <s v="_x0000_US"/>
  </r>
  <r>
    <x v="0"/>
    <n v="13.6897"/>
    <n v="-89.235600000000005"/>
    <n v="9734.7900000000009"/>
    <n v="0"/>
    <n v="0"/>
    <n v="101"/>
    <s v="_x0000_US"/>
  </r>
  <r>
    <x v="0"/>
    <n v="13.6906"/>
    <n v="-89.183099999999996"/>
    <n v="9734.82"/>
    <n v="0"/>
    <n v="0"/>
    <n v="101"/>
    <s v="_x0000_US"/>
  </r>
  <r>
    <x v="0"/>
    <n v="13.674099999999999"/>
    <n v="-89.202399999999997"/>
    <n v="9734.8799999999992"/>
    <n v="0"/>
    <n v="0"/>
    <n v="101"/>
    <s v="_x0000_US"/>
  </r>
  <r>
    <x v="0"/>
    <n v="13.690200000000001"/>
    <n v="-89.188299999999998"/>
    <n v="9735.42"/>
    <n v="0"/>
    <n v="0"/>
    <n v="101"/>
    <s v="_x0000_US"/>
  </r>
  <r>
    <x v="0"/>
    <n v="13.6911"/>
    <n v="-89.2346"/>
    <n v="9735.6299999999992"/>
    <n v="0"/>
    <n v="0"/>
    <n v="101"/>
    <s v="_x0000_US"/>
  </r>
  <r>
    <x v="0"/>
    <n v="13.6896"/>
    <n v="-89.194000000000003"/>
    <n v="9736.2800000000007"/>
    <n v="0"/>
    <n v="0"/>
    <n v="101"/>
    <s v="_x0000_US"/>
  </r>
  <r>
    <x v="0"/>
    <n v="13.6912"/>
    <n v="-89.177199999999999"/>
    <n v="9736.32"/>
    <n v="0"/>
    <n v="0"/>
    <n v="101"/>
    <s v="_x0000_US"/>
  </r>
  <r>
    <x v="0"/>
    <n v="13.6912"/>
    <n v="-89.2286"/>
    <n v="9736.83"/>
    <n v="0"/>
    <n v="0"/>
    <n v="101"/>
    <s v="_x0000_US"/>
  </r>
  <r>
    <x v="0"/>
    <n v="13.691599999999999"/>
    <n v="-89.193100000000001"/>
    <n v="9737.1"/>
    <n v="0"/>
    <n v="0"/>
    <n v="101"/>
    <s v="_x0000_US"/>
  </r>
  <r>
    <x v="0"/>
    <n v="13.678599999999999"/>
    <n v="-89.196399999999997"/>
    <n v="9738.2199999999993"/>
    <n v="0"/>
    <n v="0"/>
    <n v="101"/>
    <s v="_x0000_US"/>
  </r>
  <r>
    <x v="0"/>
    <n v="13.6852"/>
    <n v="-89.212999999999994"/>
    <n v="9738.2800000000007"/>
    <n v="0"/>
    <n v="0"/>
    <n v="101"/>
    <s v="_x0000_US"/>
  </r>
  <r>
    <x v="0"/>
    <n v="13.6751"/>
    <n v="-89.248800000000003"/>
    <n v="9738.42"/>
    <n v="0"/>
    <n v="0"/>
    <n v="101"/>
    <s v="_x0000_US"/>
  </r>
  <r>
    <x v="0"/>
    <n v="13.6896"/>
    <n v="-89.190100000000001"/>
    <n v="9738.52"/>
    <n v="0"/>
    <n v="0"/>
    <n v="101"/>
    <s v="_x0000_US"/>
  </r>
  <r>
    <x v="0"/>
    <n v="13.6884"/>
    <n v="-89.229299999999995"/>
    <n v="9738.74"/>
    <n v="0"/>
    <n v="0"/>
    <n v="101"/>
    <s v="_x0000_US"/>
  </r>
  <r>
    <x v="0"/>
    <n v="13.693899999999999"/>
    <n v="-89.176400000000001"/>
    <n v="9739.1200000000008"/>
    <n v="0"/>
    <n v="0"/>
    <n v="101"/>
    <s v="_x0000_US"/>
  </r>
  <r>
    <x v="0"/>
    <n v="13.6882"/>
    <n v="-89.180400000000006"/>
    <n v="9739.57"/>
    <n v="0"/>
    <n v="0"/>
    <n v="101"/>
    <s v="_x0000_US"/>
  </r>
  <r>
    <x v="0"/>
    <n v="13.6875"/>
    <n v="-89.194900000000004"/>
    <n v="9739.6"/>
    <n v="0"/>
    <n v="0"/>
    <n v="101"/>
    <s v="_x0000_US"/>
  </r>
  <r>
    <x v="0"/>
    <n v="13.6736"/>
    <n v="-89.251199999999997"/>
    <n v="9739.81"/>
    <n v="0"/>
    <n v="0"/>
    <n v="101"/>
    <s v="_x0000_US"/>
  </r>
  <r>
    <x v="0"/>
    <n v="13.687099999999999"/>
    <n v="-89.194800000000001"/>
    <n v="9740"/>
    <n v="0"/>
    <n v="0"/>
    <n v="101"/>
    <s v="_x0000_US"/>
  </r>
  <r>
    <x v="0"/>
    <n v="13.6874"/>
    <n v="-89.197100000000006"/>
    <n v="9740.66"/>
    <n v="0"/>
    <n v="0"/>
    <n v="101"/>
    <s v="_x0000_US"/>
  </r>
  <r>
    <x v="0"/>
    <n v="13.695499999999999"/>
    <n v="-89.174199999999999"/>
    <n v="9740.84"/>
    <n v="0"/>
    <n v="0"/>
    <n v="101"/>
    <s v="_x0000_US"/>
  </r>
  <r>
    <x v="0"/>
    <n v="13.692500000000001"/>
    <n v="-89.197100000000006"/>
    <n v="9740.94"/>
    <n v="0"/>
    <n v="0"/>
    <n v="101"/>
    <s v="_x0000_US"/>
  </r>
  <r>
    <x v="0"/>
    <n v="13.692600000000001"/>
    <n v="-89.223600000000005"/>
    <n v="9741.86"/>
    <n v="0"/>
    <n v="0"/>
    <n v="101"/>
    <s v="_x0000_US"/>
  </r>
  <r>
    <x v="0"/>
    <n v="13.6914"/>
    <n v="-89.233699999999999"/>
    <n v="9742.11"/>
    <n v="0"/>
    <n v="0"/>
    <n v="101"/>
    <s v="_x0000_US"/>
  </r>
  <r>
    <x v="0"/>
    <n v="13.6892"/>
    <n v="-89.236000000000004"/>
    <n v="9742.41"/>
    <n v="0"/>
    <n v="0"/>
    <n v="101"/>
    <s v="_x0000_US"/>
  </r>
  <r>
    <x v="0"/>
    <n v="13.6928"/>
    <n v="-89.184100000000001"/>
    <n v="9742.57"/>
    <n v="0"/>
    <n v="0"/>
    <n v="101"/>
    <s v="_x0000_US"/>
  </r>
  <r>
    <x v="0"/>
    <n v="13.6776"/>
    <n v="-89.247299999999996"/>
    <n v="9743.06"/>
    <n v="0"/>
    <n v="0"/>
    <n v="101"/>
    <s v="_x0000_US"/>
  </r>
  <r>
    <x v="0"/>
    <n v="13.6953"/>
    <n v="-89.174000000000007"/>
    <n v="9743.25"/>
    <n v="0"/>
    <n v="0"/>
    <n v="101"/>
    <s v="_x0000_US"/>
  </r>
  <r>
    <x v="0"/>
    <n v="13.6957"/>
    <n v="-89.173000000000002"/>
    <n v="9743.25"/>
    <n v="0"/>
    <n v="0"/>
    <n v="101"/>
    <s v="_x0000_US"/>
  </r>
  <r>
    <x v="0"/>
    <n v="13.6904"/>
    <n v="-89.228200000000001"/>
    <n v="9743.49"/>
    <n v="0"/>
    <n v="0"/>
    <n v="101"/>
    <s v="_x0000_US"/>
  </r>
  <r>
    <x v="0"/>
    <n v="13.6911"/>
    <n v="-89.229900000000001"/>
    <n v="9743.98"/>
    <n v="0"/>
    <n v="0"/>
    <n v="101"/>
    <s v="_x0000_US"/>
  </r>
  <r>
    <x v="0"/>
    <n v="13.684900000000001"/>
    <n v="-89.212000000000003"/>
    <n v="9744.09"/>
    <n v="0"/>
    <n v="0"/>
    <n v="101"/>
    <s v="_x0000_US"/>
  </r>
  <r>
    <x v="0"/>
    <n v="13.6973"/>
    <n v="-89.171400000000006"/>
    <n v="9744.51"/>
    <n v="0"/>
    <n v="0"/>
    <n v="101"/>
    <s v="_x0000_US"/>
  </r>
  <r>
    <x v="0"/>
    <n v="13.6891"/>
    <n v="-89.235699999999994"/>
    <n v="9745.1"/>
    <n v="0"/>
    <n v="0"/>
    <n v="101"/>
    <s v="_x0000_US"/>
  </r>
  <r>
    <x v="0"/>
    <n v="13.6914"/>
    <n v="-89.226200000000006"/>
    <n v="9745.15"/>
    <n v="0"/>
    <n v="0"/>
    <n v="101"/>
    <s v="_x0000_US"/>
  </r>
  <r>
    <x v="0"/>
    <n v="13.6907"/>
    <n v="-89.234899999999996"/>
    <n v="9745.2900000000009"/>
    <n v="0"/>
    <n v="0"/>
    <n v="101"/>
    <s v="_x0000_US"/>
  </r>
  <r>
    <x v="0"/>
    <n v="13.679600000000001"/>
    <n v="-89.197299999999998"/>
    <n v="9745.44"/>
    <n v="0"/>
    <n v="0"/>
    <n v="101"/>
    <s v="_x0000_US"/>
  </r>
  <r>
    <x v="0"/>
    <n v="13.686500000000001"/>
    <n v="-89.204300000000003"/>
    <n v="9745.86"/>
    <n v="0"/>
    <n v="0"/>
    <n v="101"/>
    <s v="_x0000_US"/>
  </r>
  <r>
    <x v="0"/>
    <n v="13.6911"/>
    <n v="-89.226600000000005"/>
    <n v="9746.1200000000008"/>
    <n v="0"/>
    <n v="0"/>
    <n v="101"/>
    <s v="_x0000_US"/>
  </r>
  <r>
    <x v="0"/>
    <n v="13.6846"/>
    <n v="-89.193899999999999"/>
    <n v="9746.7099999999991"/>
    <n v="0"/>
    <n v="0"/>
    <n v="101"/>
    <s v="_x0000_US"/>
  </r>
  <r>
    <x v="0"/>
    <n v="13.6942"/>
    <n v="-89.185400000000001"/>
    <n v="9747.0400000000009"/>
    <n v="0"/>
    <n v="0"/>
    <n v="101"/>
    <s v="_x0000_US"/>
  </r>
  <r>
    <x v="0"/>
    <n v="13.6861"/>
    <n v="-89.197999999999993"/>
    <n v="9747.08"/>
    <n v="0"/>
    <n v="0"/>
    <n v="101"/>
    <s v="_x0000_US"/>
  </r>
  <r>
    <x v="0"/>
    <n v="13.6927"/>
    <n v="-89.179000000000002"/>
    <n v="9747.1299999999992"/>
    <n v="0"/>
    <n v="0"/>
    <n v="101"/>
    <s v="_x0000_US"/>
  </r>
  <r>
    <x v="0"/>
    <n v="13.6874"/>
    <n v="-89.193700000000007"/>
    <n v="9747.18"/>
    <n v="0"/>
    <n v="0"/>
    <n v="101"/>
    <s v="_x0000_US"/>
  </r>
  <r>
    <x v="0"/>
    <n v="13.6972"/>
    <n v="-89.171400000000006"/>
    <n v="9747.25"/>
    <n v="0"/>
    <n v="0"/>
    <n v="101"/>
    <s v="_x0000_US"/>
  </r>
  <r>
    <x v="0"/>
    <n v="13.6959"/>
    <n v="-89.1721"/>
    <n v="9747.33"/>
    <n v="0"/>
    <n v="0"/>
    <n v="101"/>
    <s v="_x0000_US"/>
  </r>
  <r>
    <x v="0"/>
    <n v="13.6844"/>
    <n v="-89.216499999999996"/>
    <n v="9748.35"/>
    <n v="0"/>
    <n v="0"/>
    <n v="101"/>
    <s v="_x0000_US"/>
  </r>
  <r>
    <x v="0"/>
    <n v="13.6943"/>
    <n v="-89.185500000000005"/>
    <n v="9748.58"/>
    <n v="0"/>
    <n v="0"/>
    <n v="101"/>
    <s v="_x0000_US"/>
  </r>
  <r>
    <x v="0"/>
    <n v="13.6953"/>
    <n v="-89.174499999999995"/>
    <n v="9748.58"/>
    <n v="0"/>
    <n v="0"/>
    <n v="101"/>
    <s v="_x0000_US"/>
  </r>
  <r>
    <x v="0"/>
    <n v="13.685"/>
    <n v="-89.203500000000005"/>
    <n v="9748.66"/>
    <n v="0"/>
    <n v="0"/>
    <n v="101"/>
    <s v="_x0000_US"/>
  </r>
  <r>
    <x v="0"/>
    <n v="13.692399999999999"/>
    <n v="-89.184600000000003"/>
    <n v="9749.0400000000009"/>
    <n v="0"/>
    <n v="0"/>
    <n v="101"/>
    <s v="_x0000_US"/>
  </r>
  <r>
    <x v="0"/>
    <n v="13.6883"/>
    <n v="-89.215400000000002"/>
    <n v="9749.7900000000009"/>
    <n v="0"/>
    <n v="0"/>
    <n v="101"/>
    <s v="_x0000_US"/>
  </r>
  <r>
    <x v="0"/>
    <n v="13.674899999999999"/>
    <n v="-89.249200000000002"/>
    <n v="9750.18"/>
    <n v="0"/>
    <n v="0"/>
    <n v="101"/>
    <s v="_x0000_US"/>
  </r>
  <r>
    <x v="0"/>
    <n v="13.6874"/>
    <n v="-89.1815"/>
    <n v="9750.19"/>
    <n v="0"/>
    <n v="0"/>
    <n v="101"/>
    <s v="_x0000_US"/>
  </r>
  <r>
    <x v="0"/>
    <n v="13.6905"/>
    <n v="-89.181399999999996"/>
    <n v="9750.2000000000007"/>
    <n v="0"/>
    <n v="0"/>
    <n v="101"/>
    <s v="_x0000_US"/>
  </r>
  <r>
    <x v="0"/>
    <n v="13.6845"/>
    <n v="-89.211699999999993"/>
    <n v="9750.25"/>
    <n v="0"/>
    <n v="0"/>
    <n v="101"/>
    <s v="_x0000_US"/>
  </r>
  <r>
    <x v="0"/>
    <n v="13.69"/>
    <n v="-89.234899999999996"/>
    <n v="9750.26"/>
    <n v="0"/>
    <n v="0"/>
    <n v="101"/>
    <s v="_x0000_US"/>
  </r>
  <r>
    <x v="0"/>
    <n v="13.677899999999999"/>
    <n v="-89.245800000000003"/>
    <n v="9750.32"/>
    <n v="0"/>
    <n v="0"/>
    <n v="101"/>
    <s v="_x0000_US"/>
  </r>
  <r>
    <x v="0"/>
    <n v="13.695"/>
    <n v="-89.183300000000003"/>
    <n v="9750.57"/>
    <n v="0"/>
    <n v="0"/>
    <n v="101"/>
    <s v="_x0000_US"/>
  </r>
  <r>
    <x v="0"/>
    <n v="13.6927"/>
    <n v="-89.223799999999997"/>
    <n v="9750.73"/>
    <n v="0"/>
    <n v="0"/>
    <n v="101"/>
    <s v="_x0000_US"/>
  </r>
  <r>
    <x v="0"/>
    <n v="13.690899999999999"/>
    <n v="-89.232799999999997"/>
    <n v="9750.75"/>
    <n v="0"/>
    <n v="0"/>
    <n v="101"/>
    <s v="_x0000_US"/>
  </r>
  <r>
    <x v="0"/>
    <n v="13.6919"/>
    <n v="-89.194299999999998"/>
    <n v="9752"/>
    <n v="0"/>
    <n v="0"/>
    <n v="101"/>
    <s v="_x0000_US"/>
  </r>
  <r>
    <x v="0"/>
    <n v="13.674899999999999"/>
    <n v="-89.251099999999994"/>
    <n v="9752.67"/>
    <n v="0"/>
    <n v="0"/>
    <n v="101"/>
    <s v="_x0000_US"/>
  </r>
  <r>
    <x v="0"/>
    <n v="13.6881"/>
    <n v="-89.180700000000002"/>
    <n v="9752.73"/>
    <n v="0"/>
    <n v="0"/>
    <n v="101"/>
    <s v="_x0000_US"/>
  </r>
  <r>
    <x v="0"/>
    <n v="13.6929"/>
    <n v="-89.177800000000005"/>
    <n v="9753.41"/>
    <n v="0"/>
    <n v="0"/>
    <n v="101"/>
    <s v="_x0000_US"/>
  </r>
  <r>
    <x v="0"/>
    <n v="13.6897"/>
    <n v="-89.189499999999995"/>
    <n v="9754.17"/>
    <n v="0"/>
    <n v="0"/>
    <n v="101"/>
    <s v="_x0000_US"/>
  </r>
  <r>
    <x v="0"/>
    <n v="13.6914"/>
    <n v="-89.189400000000006"/>
    <n v="9754.2199999999993"/>
    <n v="0"/>
    <n v="0"/>
    <n v="101"/>
    <s v="_x0000_US"/>
  </r>
  <r>
    <x v="0"/>
    <n v="13.690799999999999"/>
    <n v="-89.186700000000002"/>
    <n v="9754.57"/>
    <n v="0"/>
    <n v="0"/>
    <n v="101"/>
    <s v="_x0000_US"/>
  </r>
  <r>
    <x v="0"/>
    <n v="13.691700000000001"/>
    <n v="-89.226100000000002"/>
    <n v="9754.7199999999993"/>
    <n v="0"/>
    <n v="0"/>
    <n v="101"/>
    <s v="_x0000_US"/>
  </r>
  <r>
    <x v="0"/>
    <n v="13.6914"/>
    <n v="-89.189300000000003"/>
    <n v="9754.73"/>
    <n v="0"/>
    <n v="0"/>
    <n v="101"/>
    <s v="_x0000_US"/>
  </r>
  <r>
    <x v="0"/>
    <n v="13.6966"/>
    <n v="-89.171899999999994"/>
    <n v="9754.77"/>
    <n v="0"/>
    <n v="0"/>
    <n v="101"/>
    <s v="_x0000_US"/>
  </r>
  <r>
    <x v="0"/>
    <n v="13.6934"/>
    <n v="-89.173500000000004"/>
    <n v="9755"/>
    <n v="0"/>
    <n v="0"/>
    <n v="101"/>
    <s v="_x0000_US"/>
  </r>
  <r>
    <x v="0"/>
    <n v="13.686400000000001"/>
    <n v="-89.213300000000004"/>
    <n v="9755.1200000000008"/>
    <n v="0"/>
    <n v="0"/>
    <n v="101"/>
    <s v="_x0000_US"/>
  </r>
  <r>
    <x v="0"/>
    <n v="13.6911"/>
    <n v="-89.186700000000002"/>
    <n v="9756.16"/>
    <n v="0"/>
    <n v="0"/>
    <n v="101"/>
    <s v="_x0000_US"/>
  </r>
  <r>
    <x v="0"/>
    <n v="13.695399999999999"/>
    <n v="-89.173100000000005"/>
    <n v="9756.39"/>
    <n v="0"/>
    <n v="0"/>
    <n v="101"/>
    <s v="_x0000_US"/>
  </r>
  <r>
    <x v="0"/>
    <n v="13.691800000000001"/>
    <n v="-89.186000000000007"/>
    <n v="9756.5300000000007"/>
    <n v="0"/>
    <n v="0"/>
    <n v="101"/>
    <s v="_x0000_US"/>
  </r>
  <r>
    <x v="0"/>
    <n v="13.692299999999999"/>
    <n v="-89.194400000000002"/>
    <n v="9756.82"/>
    <n v="0"/>
    <n v="0"/>
    <n v="101"/>
    <s v="_x0000_US"/>
  </r>
  <r>
    <x v="0"/>
    <n v="13.674899999999999"/>
    <n v="-89.1995"/>
    <n v="9756.92"/>
    <n v="0"/>
    <n v="0"/>
    <n v="101"/>
    <s v="_x0000_US"/>
  </r>
  <r>
    <x v="0"/>
    <n v="13.694699999999999"/>
    <n v="-89.174000000000007"/>
    <n v="9757.2199999999993"/>
    <n v="0"/>
    <n v="0"/>
    <n v="101"/>
    <s v="_x0000_US"/>
  </r>
  <r>
    <x v="0"/>
    <n v="13.6883"/>
    <n v="-89.182599999999994"/>
    <n v="9757.2800000000007"/>
    <n v="0"/>
    <n v="0"/>
    <n v="101"/>
    <s v="_x0000_US"/>
  </r>
  <r>
    <x v="0"/>
    <n v="13.6873"/>
    <n v="-89.194900000000004"/>
    <n v="9757.31"/>
    <n v="0"/>
    <n v="0"/>
    <n v="101"/>
    <s v="_x0000_US"/>
  </r>
  <r>
    <x v="0"/>
    <n v="13.6884"/>
    <n v="-89.198599999999999"/>
    <n v="9757.49"/>
    <n v="0"/>
    <n v="0"/>
    <n v="101"/>
    <s v="_x0000_US"/>
  </r>
  <r>
    <x v="0"/>
    <n v="13.6884"/>
    <n v="-89.198300000000003"/>
    <n v="9757.65"/>
    <n v="0"/>
    <n v="0"/>
    <n v="101"/>
    <s v="_x0000_US"/>
  </r>
  <r>
    <x v="0"/>
    <n v="13.690200000000001"/>
    <n v="-89.184200000000004"/>
    <n v="9757.83"/>
    <n v="0"/>
    <n v="0"/>
    <n v="101"/>
    <s v="_x0000_US"/>
  </r>
  <r>
    <x v="0"/>
    <n v="13.6907"/>
    <n v="-89.185500000000005"/>
    <n v="9758.0400000000009"/>
    <n v="0"/>
    <n v="0"/>
    <n v="101"/>
    <s v="_x0000_US"/>
  </r>
  <r>
    <x v="0"/>
    <n v="13.6951"/>
    <n v="-89.1738"/>
    <n v="9758.7000000000007"/>
    <n v="0"/>
    <n v="0"/>
    <n v="101"/>
    <s v="_x0000_US"/>
  </r>
  <r>
    <x v="0"/>
    <n v="13.696099999999999"/>
    <n v="-89.1721"/>
    <n v="9759.31"/>
    <n v="0"/>
    <n v="0"/>
    <n v="101"/>
    <s v="_x0000_US"/>
  </r>
  <r>
    <x v="0"/>
    <n v="13.688700000000001"/>
    <n v="-89.216800000000006"/>
    <n v="9759.31"/>
    <n v="0"/>
    <n v="0"/>
    <n v="101"/>
    <s v="_x0000_US"/>
  </r>
  <r>
    <x v="0"/>
    <n v="13.690099999999999"/>
    <n v="-89.185000000000002"/>
    <n v="9759.57"/>
    <n v="0"/>
    <n v="0"/>
    <n v="101"/>
    <s v="_x0000_US"/>
  </r>
  <r>
    <x v="0"/>
    <n v="13.6868"/>
    <n v="-89.194599999999994"/>
    <n v="9759.58"/>
    <n v="0"/>
    <n v="0"/>
    <n v="101"/>
    <s v="_x0000_US"/>
  </r>
  <r>
    <x v="0"/>
    <n v="13.684900000000001"/>
    <n v="-89.213200000000001"/>
    <n v="9759.68"/>
    <n v="0"/>
    <n v="0"/>
    <n v="101"/>
    <s v="_x0000_US"/>
  </r>
  <r>
    <x v="0"/>
    <n v="13.6845"/>
    <n v="-89.217200000000005"/>
    <n v="9759.92"/>
    <n v="0"/>
    <n v="0"/>
    <n v="101"/>
    <s v="_x0000_US"/>
  </r>
  <r>
    <x v="0"/>
    <n v="13.6869"/>
    <n v="-89.201599999999999"/>
    <n v="9759.93"/>
    <n v="0"/>
    <n v="0"/>
    <n v="101"/>
    <s v="_x0000_US"/>
  </r>
  <r>
    <x v="0"/>
    <n v="13.691800000000001"/>
    <n v="-89.180899999999994"/>
    <n v="9760.1200000000008"/>
    <n v="0"/>
    <n v="0"/>
    <n v="101"/>
    <s v="_x0000_US"/>
  </r>
  <r>
    <x v="0"/>
    <n v="13.691800000000001"/>
    <n v="-89.186000000000007"/>
    <n v="9760.8700000000008"/>
    <n v="0"/>
    <n v="0"/>
    <n v="101"/>
    <s v="_x0000_US"/>
  </r>
  <r>
    <x v="0"/>
    <n v="13.674799999999999"/>
    <n v="-89.252200000000002"/>
    <n v="9761.91"/>
    <n v="0"/>
    <n v="0"/>
    <n v="101"/>
    <s v="_x0000_US"/>
  </r>
  <r>
    <x v="0"/>
    <n v="13.677199999999999"/>
    <n v="-89.198899999999995"/>
    <n v="9762.17"/>
    <n v="0"/>
    <n v="0"/>
    <n v="101"/>
    <s v="_x0000_US"/>
  </r>
  <r>
    <x v="0"/>
    <n v="13.6914"/>
    <n v="-89.2346"/>
    <n v="9762.17"/>
    <n v="0"/>
    <n v="0"/>
    <n v="101"/>
    <s v="_x0000_US"/>
  </r>
  <r>
    <x v="0"/>
    <n v="13.6911"/>
    <n v="-89.232900000000001"/>
    <n v="9763.56"/>
    <n v="0"/>
    <n v="0"/>
    <n v="101"/>
    <s v="_x0000_US"/>
  </r>
  <r>
    <x v="0"/>
    <n v="13.6921"/>
    <n v="-89.225300000000004"/>
    <n v="9763.73"/>
    <n v="0"/>
    <n v="0"/>
    <n v="101"/>
    <s v="_x0000_US"/>
  </r>
  <r>
    <x v="0"/>
    <n v="13.689399999999999"/>
    <n v="-89.197500000000005"/>
    <n v="9763.93"/>
    <n v="0"/>
    <n v="0"/>
    <n v="101"/>
    <s v="_x0000_US"/>
  </r>
  <r>
    <x v="0"/>
    <n v="13.691700000000001"/>
    <n v="-89.220699999999994"/>
    <n v="9763.9500000000007"/>
    <n v="0"/>
    <n v="0"/>
    <n v="101"/>
    <s v="_x0000_US"/>
  </r>
  <r>
    <x v="0"/>
    <n v="13.688800000000001"/>
    <n v="-89.216800000000006"/>
    <n v="9764.07"/>
    <n v="0"/>
    <n v="0"/>
    <n v="101"/>
    <s v="_x0000_US"/>
  </r>
  <r>
    <x v="0"/>
    <n v="13.6875"/>
    <n v="-89.179699999999997"/>
    <n v="9765.98"/>
    <n v="0"/>
    <n v="0"/>
    <n v="101"/>
    <s v="_x0000_US"/>
  </r>
  <r>
    <x v="0"/>
    <n v="13.6935"/>
    <n v="-89.192400000000006"/>
    <n v="9766"/>
    <n v="0"/>
    <n v="0"/>
    <n v="101"/>
    <s v="_x0000_US"/>
  </r>
  <r>
    <x v="0"/>
    <n v="13.6852"/>
    <n v="-89.216999999999999"/>
    <n v="9766.18"/>
    <n v="0"/>
    <n v="0"/>
    <n v="101"/>
    <s v="_x0000_US"/>
  </r>
  <r>
    <x v="0"/>
    <n v="13.675599999999999"/>
    <n v="-89.247500000000002"/>
    <n v="9766.39"/>
    <n v="0"/>
    <n v="0"/>
    <n v="101"/>
    <s v="_x0000_US"/>
  </r>
  <r>
    <x v="0"/>
    <n v="13.6877"/>
    <n v="-89.205399999999997"/>
    <n v="9766.56"/>
    <n v="0"/>
    <n v="0"/>
    <n v="101"/>
    <s v="_x0000_US"/>
  </r>
  <r>
    <x v="0"/>
    <n v="13.689"/>
    <n v="-89.236000000000004"/>
    <n v="9766.59"/>
    <n v="0"/>
    <n v="0"/>
    <n v="101"/>
    <s v="_x0000_US"/>
  </r>
  <r>
    <x v="0"/>
    <n v="13.692600000000001"/>
    <n v="-89.176699999999997"/>
    <n v="9766.7999999999993"/>
    <n v="0"/>
    <n v="0"/>
    <n v="101"/>
    <s v="_x0000_US"/>
  </r>
  <r>
    <x v="0"/>
    <n v="13.694599999999999"/>
    <n v="-89.183199999999999"/>
    <n v="9767.77"/>
    <n v="0"/>
    <n v="0"/>
    <n v="101"/>
    <s v="_x0000_US"/>
  </r>
  <r>
    <x v="0"/>
    <n v="13.6799"/>
    <n v="-89.1952"/>
    <n v="9768.49"/>
    <n v="0"/>
    <n v="0"/>
    <n v="101"/>
    <s v="_x0000_US"/>
  </r>
  <r>
    <x v="0"/>
    <n v="13.6873"/>
    <n v="-89.195700000000002"/>
    <n v="9768.61"/>
    <n v="0"/>
    <n v="0"/>
    <n v="101"/>
    <s v="_x0000_US"/>
  </r>
  <r>
    <x v="0"/>
    <n v="13.6934"/>
    <n v="-89.183000000000007"/>
    <n v="9768.9"/>
    <n v="0"/>
    <n v="0"/>
    <n v="101"/>
    <s v="_x0000_US"/>
  </r>
  <r>
    <x v="0"/>
    <n v="13.690799999999999"/>
    <n v="-89.185199999999995"/>
    <n v="9769.4699999999993"/>
    <n v="0"/>
    <n v="0"/>
    <n v="101"/>
    <s v="_x0000_US"/>
  </r>
  <r>
    <x v="0"/>
    <n v="13.6945"/>
    <n v="-89.174099999999996"/>
    <n v="9770.24"/>
    <n v="0"/>
    <n v="0"/>
    <n v="101"/>
    <s v="_x0000_US"/>
  </r>
  <r>
    <x v="0"/>
    <n v="13.693"/>
    <n v="-89.184700000000007"/>
    <n v="9770.36"/>
    <n v="0"/>
    <n v="0"/>
    <n v="101"/>
    <s v="_x0000_US"/>
  </r>
  <r>
    <x v="0"/>
    <n v="13.6922"/>
    <n v="-89.180199999999999"/>
    <n v="9770.43"/>
    <n v="0"/>
    <n v="0"/>
    <n v="101"/>
    <s v="_x0000_US"/>
  </r>
  <r>
    <x v="0"/>
    <n v="13.691800000000001"/>
    <n v="-89.224900000000005"/>
    <n v="9770.52"/>
    <n v="0"/>
    <n v="0"/>
    <n v="101"/>
    <s v="_x0000_US"/>
  </r>
  <r>
    <x v="0"/>
    <n v="13.6874"/>
    <n v="-89.195700000000002"/>
    <n v="9770.66"/>
    <n v="0"/>
    <n v="0"/>
    <n v="101"/>
    <s v="_x0000_US"/>
  </r>
  <r>
    <x v="0"/>
    <n v="13.6898"/>
    <n v="-89.190399999999997"/>
    <n v="9771.64"/>
    <n v="0"/>
    <n v="0"/>
    <n v="101"/>
    <s v="_x0000_US"/>
  </r>
  <r>
    <x v="0"/>
    <n v="13.6876"/>
    <n v="-89.194299999999998"/>
    <n v="9771.7000000000007"/>
    <n v="0"/>
    <n v="0"/>
    <n v="101"/>
    <s v="_x0000_US"/>
  </r>
  <r>
    <x v="0"/>
    <n v="13.6953"/>
    <n v="-89.1738"/>
    <n v="9771.73"/>
    <n v="0"/>
    <n v="0"/>
    <n v="101"/>
    <s v="_x0000_US"/>
  </r>
  <r>
    <x v="0"/>
    <n v="13.6861"/>
    <n v="-89.197900000000004"/>
    <n v="9771.93"/>
    <n v="0"/>
    <n v="0"/>
    <n v="101"/>
    <s v="_x0000_US"/>
  </r>
  <r>
    <x v="0"/>
    <n v="13.696199999999999"/>
    <n v="-89.172799999999995"/>
    <n v="9772.0400000000009"/>
    <n v="0"/>
    <n v="0"/>
    <n v="101"/>
    <s v="_x0000_US"/>
  </r>
  <r>
    <x v="0"/>
    <n v="13.6866"/>
    <n v="-89.201800000000006"/>
    <n v="9772.2800000000007"/>
    <n v="0"/>
    <n v="0"/>
    <n v="101"/>
    <s v="_x0000_US"/>
  </r>
  <r>
    <x v="0"/>
    <n v="13.6898"/>
    <n v="-89.177800000000005"/>
    <n v="9772.41"/>
    <n v="0"/>
    <n v="0"/>
    <n v="101"/>
    <s v="_x0000_US"/>
  </r>
  <r>
    <x v="0"/>
    <n v="13.692600000000001"/>
    <n v="-89.184299999999993"/>
    <n v="9774.0400000000009"/>
    <n v="0"/>
    <n v="0"/>
    <n v="101"/>
    <s v="_x0000_US"/>
  </r>
  <r>
    <x v="0"/>
    <n v="13.6904"/>
    <n v="-89.188800000000001"/>
    <n v="9774.2900000000009"/>
    <n v="0"/>
    <n v="0"/>
    <n v="101"/>
    <s v="_x0000_US"/>
  </r>
  <r>
    <x v="0"/>
    <n v="13.6934"/>
    <n v="-89.173100000000005"/>
    <n v="9774.35"/>
    <n v="0"/>
    <n v="0"/>
    <n v="101"/>
    <s v="_x0000_US"/>
  </r>
  <r>
    <x v="0"/>
    <n v="13.6913"/>
    <n v="-89.220100000000002"/>
    <n v="9774.6"/>
    <n v="0"/>
    <n v="0"/>
    <n v="101"/>
    <s v="_x0000_US"/>
  </r>
  <r>
    <x v="0"/>
    <n v="13.6874"/>
    <n v="-89.216999999999999"/>
    <n v="9774.65"/>
    <n v="0"/>
    <n v="0"/>
    <n v="101"/>
    <s v="_x0000_US"/>
  </r>
  <r>
    <x v="0"/>
    <n v="13.6739"/>
    <n v="-89.203199999999995"/>
    <n v="9775.69"/>
    <n v="0"/>
    <n v="0"/>
    <n v="101"/>
    <s v="_x0000_US"/>
  </r>
  <r>
    <x v="0"/>
    <n v="13.6907"/>
    <n v="-89.227699999999999"/>
    <n v="9775.7099999999991"/>
    <n v="0"/>
    <n v="0"/>
    <n v="101"/>
    <s v="_x0000_US"/>
  </r>
  <r>
    <x v="0"/>
    <n v="13.674799999999999"/>
    <n v="-89.249799999999993"/>
    <n v="9775.77"/>
    <n v="0"/>
    <n v="0"/>
    <n v="101"/>
    <s v="_x0000_US"/>
  </r>
  <r>
    <x v="0"/>
    <n v="13.695399999999999"/>
    <n v="-89.174099999999996"/>
    <n v="9775.92"/>
    <n v="0"/>
    <n v="0"/>
    <n v="101"/>
    <s v="_x0000_US"/>
  </r>
  <r>
    <x v="0"/>
    <n v="13.6744"/>
    <n v="-89.251300000000001"/>
    <n v="9776.1"/>
    <n v="0"/>
    <n v="0"/>
    <n v="101"/>
    <s v="_x0000_US"/>
  </r>
  <r>
    <x v="0"/>
    <n v="13.6896"/>
    <n v="-89.228999999999999"/>
    <n v="9776.11"/>
    <n v="0"/>
    <n v="0"/>
    <n v="101"/>
    <s v="_x0000_US"/>
  </r>
  <r>
    <x v="0"/>
    <n v="13.6883"/>
    <n v="-89.204300000000003"/>
    <n v="9776.67"/>
    <n v="0"/>
    <n v="0"/>
    <n v="101"/>
    <s v="_x0000_US"/>
  </r>
  <r>
    <x v="0"/>
    <n v="13.6911"/>
    <n v="-89.178700000000006"/>
    <n v="9777.5300000000007"/>
    <n v="0"/>
    <n v="0"/>
    <n v="101"/>
    <s v="_x0000_US"/>
  </r>
  <r>
    <x v="0"/>
    <n v="13.6873"/>
    <n v="-89.216499999999996"/>
    <n v="9777.86"/>
    <n v="0"/>
    <n v="0"/>
    <n v="101"/>
    <s v="_x0000_US"/>
  </r>
  <r>
    <x v="0"/>
    <n v="13.6852"/>
    <n v="-89.216899999999995"/>
    <n v="9778"/>
    <n v="0"/>
    <n v="0"/>
    <n v="101"/>
    <s v="_x0000_US"/>
  </r>
  <r>
    <x v="0"/>
    <n v="13.6944"/>
    <n v="-89.173299999999998"/>
    <n v="9778.01"/>
    <n v="0"/>
    <n v="0"/>
    <n v="101"/>
    <s v="_x0000_US"/>
  </r>
  <r>
    <x v="0"/>
    <n v="13.6897"/>
    <n v="-89.189599999999999"/>
    <n v="9778.2099999999991"/>
    <n v="0"/>
    <n v="0"/>
    <n v="101"/>
    <s v="_x0000_US"/>
  </r>
  <r>
    <x v="0"/>
    <n v="13.690200000000001"/>
    <n v="-89.234499999999997"/>
    <n v="9778.23"/>
    <n v="0"/>
    <n v="0"/>
    <n v="101"/>
    <s v="_x0000_US"/>
  </r>
  <r>
    <x v="0"/>
    <n v="13.689500000000001"/>
    <n v="-89.183499999999995"/>
    <n v="9778.58"/>
    <n v="0"/>
    <n v="0"/>
    <n v="101"/>
    <s v="_x0000_US"/>
  </r>
  <r>
    <x v="0"/>
    <n v="13.6906"/>
    <n v="-89.194599999999994"/>
    <n v="9778.65"/>
    <n v="0"/>
    <n v="0"/>
    <n v="101"/>
    <s v="_x0000_US"/>
  </r>
  <r>
    <x v="0"/>
    <n v="13.692399999999999"/>
    <n v="-89.178700000000006"/>
    <n v="9778.84"/>
    <n v="0"/>
    <n v="0"/>
    <n v="101"/>
    <s v="_x0000_US"/>
  </r>
  <r>
    <x v="0"/>
    <n v="13.685"/>
    <n v="-89.2136"/>
    <n v="9778.8700000000008"/>
    <n v="0"/>
    <n v="0"/>
    <n v="101"/>
    <s v="_x0000_US"/>
  </r>
  <r>
    <x v="0"/>
    <n v="13.6869"/>
    <n v="-89.202399999999997"/>
    <n v="9778.8799999999992"/>
    <n v="0"/>
    <n v="0"/>
    <n v="101"/>
    <s v="_x0000_US"/>
  </r>
  <r>
    <x v="0"/>
    <n v="13.6898"/>
    <n v="-89.177400000000006"/>
    <n v="9779.0300000000007"/>
    <n v="0"/>
    <n v="0"/>
    <n v="101"/>
    <s v="_x0000_US"/>
  </r>
  <r>
    <x v="0"/>
    <n v="13.690799999999999"/>
    <n v="-89.186099999999996"/>
    <n v="9779.6"/>
    <n v="0"/>
    <n v="0"/>
    <n v="101"/>
    <s v="_x0000_US"/>
  </r>
  <r>
    <x v="0"/>
    <n v="13.680099999999999"/>
    <n v="-89.194500000000005"/>
    <n v="9779.86"/>
    <n v="0"/>
    <n v="0"/>
    <n v="101"/>
    <s v="_x0000_US"/>
  </r>
  <r>
    <x v="0"/>
    <n v="13.6883"/>
    <n v="-89.194299999999998"/>
    <n v="9779.98"/>
    <n v="0"/>
    <n v="0"/>
    <n v="101"/>
    <s v="_x0000_US"/>
  </r>
  <r>
    <x v="0"/>
    <n v="13.6898"/>
    <n v="-89.195800000000006"/>
    <n v="9780.0300000000007"/>
    <n v="0"/>
    <n v="0"/>
    <n v="101"/>
    <s v="_x0000_US"/>
  </r>
  <r>
    <x v="0"/>
    <n v="13.6942"/>
    <n v="-89.1751"/>
    <n v="9780.0499999999993"/>
    <n v="0"/>
    <n v="0"/>
    <n v="101"/>
    <s v="_x0000_US"/>
  </r>
  <r>
    <x v="0"/>
    <n v="13.691000000000001"/>
    <n v="-89.229299999999995"/>
    <n v="9780.1299999999992"/>
    <n v="0"/>
    <n v="0"/>
    <n v="101"/>
    <s v="_x0000_US"/>
  </r>
  <r>
    <x v="0"/>
    <n v="13.684200000000001"/>
    <n v="-89.217500000000001"/>
    <n v="9780.16"/>
    <n v="0"/>
    <n v="0"/>
    <n v="101"/>
    <s v="_x0000_US"/>
  </r>
  <r>
    <x v="0"/>
    <n v="13.6883"/>
    <n v="-89.204300000000003"/>
    <n v="9780.7099999999991"/>
    <n v="0"/>
    <n v="0"/>
    <n v="101"/>
    <s v="_x0000_US"/>
  </r>
  <r>
    <x v="0"/>
    <n v="13.69"/>
    <n v="-89.193899999999999"/>
    <n v="9780.99"/>
    <n v="0"/>
    <n v="0"/>
    <n v="101"/>
    <s v="_x0000_US"/>
  </r>
  <r>
    <x v="0"/>
    <n v="13.6858"/>
    <n v="-89.213200000000001"/>
    <n v="9781.7099999999991"/>
    <n v="0"/>
    <n v="0"/>
    <n v="101"/>
    <s v="_x0000_US"/>
  </r>
  <r>
    <x v="0"/>
    <n v="13.691800000000001"/>
    <n v="-89.225099999999998"/>
    <n v="9781.9500000000007"/>
    <n v="0"/>
    <n v="0"/>
    <n v="101"/>
    <s v="_x0000_US"/>
  </r>
  <r>
    <x v="0"/>
    <n v="13.690899999999999"/>
    <n v="-89.233199999999997"/>
    <n v="9781.9500000000007"/>
    <n v="0"/>
    <n v="0"/>
    <n v="101"/>
    <s v="_x0000_US"/>
  </r>
  <r>
    <x v="0"/>
    <n v="13.686500000000001"/>
    <n v="-89.201800000000006"/>
    <n v="9782.15"/>
    <n v="0"/>
    <n v="0"/>
    <n v="101"/>
    <s v="_x0000_US"/>
  </r>
  <r>
    <x v="0"/>
    <n v="13.6967"/>
    <n v="-89.171400000000006"/>
    <n v="9782.44"/>
    <n v="0"/>
    <n v="0"/>
    <n v="101"/>
    <s v="_x0000_US"/>
  </r>
  <r>
    <x v="0"/>
    <n v="13.6922"/>
    <n v="-89.196799999999996"/>
    <n v="9782.76"/>
    <n v="0"/>
    <n v="0"/>
    <n v="101"/>
    <s v="_x0000_US"/>
  </r>
  <r>
    <x v="0"/>
    <n v="13.6736"/>
    <n v="-89.2029"/>
    <n v="9783.11"/>
    <n v="0"/>
    <n v="0"/>
    <n v="101"/>
    <s v="_x0000_US"/>
  </r>
  <r>
    <x v="0"/>
    <n v="13.672000000000001"/>
    <n v="-89.203999999999994"/>
    <n v="9783.35"/>
    <n v="0"/>
    <n v="0"/>
    <n v="101"/>
    <s v="_x0000_US"/>
  </r>
  <r>
    <x v="0"/>
    <n v="13.698"/>
    <n v="-89.168800000000005"/>
    <n v="9783.86"/>
    <n v="0"/>
    <n v="0"/>
    <n v="101"/>
    <s v="_x0000_US"/>
  </r>
  <r>
    <x v="0"/>
    <n v="13.6892"/>
    <n v="-89.207400000000007"/>
    <n v="9783.9599999999991"/>
    <n v="0"/>
    <n v="0"/>
    <n v="101"/>
    <s v="_x0000_US"/>
  </r>
  <r>
    <x v="0"/>
    <n v="13.690899999999999"/>
    <n v="-89.195400000000006"/>
    <n v="9784.0400000000009"/>
    <n v="0"/>
    <n v="0"/>
    <n v="101"/>
    <s v="_x0000_US"/>
  </r>
  <r>
    <x v="0"/>
    <n v="13.6898"/>
    <n v="-89.189499999999995"/>
    <n v="9784.09"/>
    <n v="0"/>
    <n v="0"/>
    <n v="101"/>
    <s v="_x0000_US"/>
  </r>
  <r>
    <x v="0"/>
    <n v="13.6915"/>
    <n v="-89.181600000000003"/>
    <n v="9784.2000000000007"/>
    <n v="0"/>
    <n v="0"/>
    <n v="101"/>
    <s v="_x0000_US"/>
  </r>
  <r>
    <x v="0"/>
    <n v="13.690099999999999"/>
    <n v="-89.234999999999999"/>
    <n v="9784.32"/>
    <n v="0"/>
    <n v="0"/>
    <n v="101"/>
    <s v="_x0000_US"/>
  </r>
  <r>
    <x v="0"/>
    <n v="13.6913"/>
    <n v="-89.234499999999997"/>
    <n v="9784.41"/>
    <n v="0"/>
    <n v="0"/>
    <n v="101"/>
    <s v="_x0000_US"/>
  </r>
  <r>
    <x v="0"/>
    <n v="13.6943"/>
    <n v="-89.183300000000003"/>
    <n v="9785.08"/>
    <n v="0"/>
    <n v="0"/>
    <n v="101"/>
    <s v="_x0000_US"/>
  </r>
  <r>
    <x v="0"/>
    <n v="13.686999999999999"/>
    <n v="-89.181299999999993"/>
    <n v="9785.16"/>
    <n v="0"/>
    <n v="0"/>
    <n v="101"/>
    <s v="_x0000_US"/>
  </r>
  <r>
    <x v="0"/>
    <n v="13.687200000000001"/>
    <n v="-89.212800000000001"/>
    <n v="9785.17"/>
    <n v="0"/>
    <n v="0"/>
    <n v="101"/>
    <s v="_x0000_US"/>
  </r>
  <r>
    <x v="0"/>
    <n v="13.6972"/>
    <n v="-89.171700000000001"/>
    <n v="9785.18"/>
    <n v="0"/>
    <n v="0"/>
    <n v="101"/>
    <s v="_x0000_US"/>
  </r>
  <r>
    <x v="0"/>
    <n v="13.687099999999999"/>
    <n v="-89.2166"/>
    <n v="9785.5"/>
    <n v="0"/>
    <n v="0"/>
    <n v="101"/>
    <s v="_x0000_US"/>
  </r>
  <r>
    <x v="0"/>
    <n v="13.6859"/>
    <n v="-89.204400000000007"/>
    <n v="9785.74"/>
    <n v="0"/>
    <n v="0"/>
    <n v="101"/>
    <s v="_x0000_US"/>
  </r>
  <r>
    <x v="0"/>
    <n v="13.6911"/>
    <n v="-89.2333"/>
    <n v="9785.9599999999991"/>
    <n v="0"/>
    <n v="0"/>
    <n v="101"/>
    <s v="_x0000_US"/>
  </r>
  <r>
    <x v="0"/>
    <n v="13.691599999999999"/>
    <n v="-89.225700000000003"/>
    <n v="9786.1200000000008"/>
    <n v="0"/>
    <n v="0"/>
    <n v="101"/>
    <s v="_x0000_US"/>
  </r>
  <r>
    <x v="0"/>
    <n v="13.692299999999999"/>
    <n v="-89.189800000000005"/>
    <n v="9786.51"/>
    <n v="0"/>
    <n v="0"/>
    <n v="101"/>
    <s v="_x0000_US"/>
  </r>
  <r>
    <x v="0"/>
    <n v="13.687200000000001"/>
    <n v="-89.194800000000001"/>
    <n v="9786.67"/>
    <n v="0"/>
    <n v="0"/>
    <n v="101"/>
    <s v="_x0000_US"/>
  </r>
  <r>
    <x v="0"/>
    <n v="13.6944"/>
    <n v="-89.185500000000005"/>
    <n v="9786.77"/>
    <n v="0"/>
    <n v="0"/>
    <n v="101"/>
    <s v="_x0000_US"/>
  </r>
  <r>
    <x v="0"/>
    <n v="13.6914"/>
    <n v="-89.189499999999995"/>
    <n v="9787.2099999999991"/>
    <n v="0"/>
    <n v="0"/>
    <n v="101"/>
    <s v="_x0000_US"/>
  </r>
  <r>
    <x v="0"/>
    <n v="13.6874"/>
    <n v="-89.196600000000004"/>
    <n v="9787.41"/>
    <n v="0"/>
    <n v="0"/>
    <n v="101"/>
    <s v="_x0000_US"/>
  </r>
  <r>
    <x v="0"/>
    <n v="13.695399999999999"/>
    <n v="-89.174700000000001"/>
    <n v="9787.91"/>
    <n v="0"/>
    <n v="0"/>
    <n v="101"/>
    <s v="_x0000_US"/>
  </r>
  <r>
    <x v="0"/>
    <n v="13.6914"/>
    <n v="-89.183899999999994"/>
    <n v="9787.93"/>
    <n v="0"/>
    <n v="0"/>
    <n v="101"/>
    <s v="_x0000_US"/>
  </r>
  <r>
    <x v="0"/>
    <n v="13.6913"/>
    <n v="-89.220500000000001"/>
    <n v="9788.24"/>
    <n v="0"/>
    <n v="0"/>
    <n v="101"/>
    <s v="_x0000_US"/>
  </r>
  <r>
    <x v="0"/>
    <n v="13.688700000000001"/>
    <n v="-89.198300000000003"/>
    <n v="9788.73"/>
    <n v="0"/>
    <n v="0"/>
    <n v="101"/>
    <s v="_x0000_US"/>
  </r>
  <r>
    <x v="0"/>
    <n v="13.6912"/>
    <n v="-89.235299999999995"/>
    <n v="9788.9599999999991"/>
    <n v="0"/>
    <n v="0"/>
    <n v="101"/>
    <s v="_x0000_US"/>
  </r>
  <r>
    <x v="0"/>
    <n v="13.6934"/>
    <n v="-89.176199999999994"/>
    <n v="9789.2199999999993"/>
    <n v="0"/>
    <n v="0"/>
    <n v="101"/>
    <s v="_x0000_US"/>
  </r>
  <r>
    <x v="0"/>
    <n v="13.686999999999999"/>
    <n v="-89.215000000000003"/>
    <n v="9789.3700000000008"/>
    <n v="0"/>
    <n v="0"/>
    <n v="101"/>
    <s v="_x0000_US"/>
  </r>
  <r>
    <x v="0"/>
    <n v="13.687799999999999"/>
    <n v="-89.194999999999993"/>
    <n v="9789.41"/>
    <n v="0"/>
    <n v="0"/>
    <n v="101"/>
    <s v="_x0000_US"/>
  </r>
  <r>
    <x v="0"/>
    <n v="13.677099999999999"/>
    <n v="-89.247399999999999"/>
    <n v="9789.48"/>
    <n v="0"/>
    <n v="0"/>
    <n v="101"/>
    <s v="_x0000_US"/>
  </r>
  <r>
    <x v="0"/>
    <n v="13.6934"/>
    <n v="-89.173299999999998"/>
    <n v="9789.5"/>
    <n v="0"/>
    <n v="0"/>
    <n v="101"/>
    <s v="_x0000_US"/>
  </r>
  <r>
    <x v="0"/>
    <n v="13.692399999999999"/>
    <n v="-89.175799999999995"/>
    <n v="9789.7800000000007"/>
    <n v="0"/>
    <n v="0"/>
    <n v="101"/>
    <s v="_x0000_US"/>
  </r>
  <r>
    <x v="0"/>
    <n v="13.6905"/>
    <n v="-89.234099999999998"/>
    <n v="9790.15"/>
    <n v="0"/>
    <n v="0"/>
    <n v="101"/>
    <s v="_x0000_US"/>
  </r>
  <r>
    <x v="0"/>
    <n v="13.6905"/>
    <n v="-89.231999999999999"/>
    <n v="9790.58"/>
    <n v="0"/>
    <n v="0"/>
    <n v="101"/>
    <s v="_x0000_US"/>
  </r>
  <r>
    <x v="0"/>
    <n v="13.6899"/>
    <n v="-89.194000000000003"/>
    <n v="9790.6200000000008"/>
    <n v="0"/>
    <n v="0"/>
    <n v="101"/>
    <s v="_x0000_US"/>
  </r>
  <r>
    <x v="0"/>
    <n v="13.6844"/>
    <n v="-89.215999999999994"/>
    <n v="9791.07"/>
    <n v="0"/>
    <n v="0"/>
    <n v="101"/>
    <s v="_x0000_US"/>
  </r>
  <r>
    <x v="0"/>
    <n v="13.679500000000001"/>
    <n v="-89.197199999999995"/>
    <n v="9791.15"/>
    <n v="0"/>
    <n v="0"/>
    <n v="101"/>
    <s v="_x0000_US"/>
  </r>
  <r>
    <x v="0"/>
    <n v="13.689299999999999"/>
    <n v="-89.194299999999998"/>
    <n v="9791.19"/>
    <n v="0"/>
    <n v="0"/>
    <n v="101"/>
    <s v="_x0000_US"/>
  </r>
  <r>
    <x v="0"/>
    <n v="13.6911"/>
    <n v="-89.228800000000007"/>
    <n v="9791.31"/>
    <n v="0"/>
    <n v="0"/>
    <n v="101"/>
    <s v="_x0000_US"/>
  </r>
  <r>
    <x v="0"/>
    <n v="13.6904"/>
    <n v="-89.235799999999998"/>
    <n v="9792.36"/>
    <n v="0"/>
    <n v="0"/>
    <n v="101"/>
    <s v="_x0000_US"/>
  </r>
  <r>
    <x v="0"/>
    <n v="13.6892"/>
    <n v="-89.191299999999998"/>
    <n v="9792.84"/>
    <n v="0"/>
    <n v="0"/>
    <n v="101"/>
    <s v="_x0000_US"/>
  </r>
  <r>
    <x v="0"/>
    <n v="13.674099999999999"/>
    <n v="-89.252399999999994"/>
    <n v="9793.1299999999992"/>
    <n v="0"/>
    <n v="0"/>
    <n v="101"/>
    <s v="_x0000_US"/>
  </r>
  <r>
    <x v="0"/>
    <n v="13.6876"/>
    <n v="-89.216399999999993"/>
    <n v="9793.57"/>
    <n v="0"/>
    <n v="0"/>
    <n v="101"/>
    <s v="_x0000_US"/>
  </r>
  <r>
    <x v="0"/>
    <n v="13.6929"/>
    <n v="-89.184299999999993"/>
    <n v="9794.32"/>
    <n v="0"/>
    <n v="0"/>
    <n v="101"/>
    <s v="_x0000_US"/>
  </r>
  <r>
    <x v="0"/>
    <n v="13.6921"/>
    <n v="-89.179599999999994"/>
    <n v="9794.4699999999993"/>
    <n v="0"/>
    <n v="0"/>
    <n v="101"/>
    <s v="_x0000_US"/>
  </r>
  <r>
    <x v="0"/>
    <n v="13.687099999999999"/>
    <n v="-89.181100000000001"/>
    <n v="9794.56"/>
    <n v="0"/>
    <n v="0"/>
    <n v="101"/>
    <s v="_x0000_US"/>
  </r>
  <r>
    <x v="0"/>
    <n v="13.6914"/>
    <n v="-89.234899999999996"/>
    <n v="9794.61"/>
    <n v="0"/>
    <n v="0"/>
    <n v="101"/>
    <s v="_x0000_US"/>
  </r>
  <r>
    <x v="0"/>
    <n v="13.6854"/>
    <n v="-89.2012"/>
    <n v="9795.8799999999992"/>
    <n v="0"/>
    <n v="0"/>
    <n v="101"/>
    <s v="_x0000_US"/>
  </r>
  <r>
    <x v="0"/>
    <n v="13.6919"/>
    <n v="-89.178700000000006"/>
    <n v="9795.9599999999991"/>
    <n v="0"/>
    <n v="0"/>
    <n v="101"/>
    <s v="_x0000_US"/>
  </r>
  <r>
    <x v="0"/>
    <n v="13.69"/>
    <n v="-89.188500000000005"/>
    <n v="9796.4599999999991"/>
    <n v="0"/>
    <n v="0"/>
    <n v="101"/>
    <s v="_x0000_US"/>
  </r>
  <r>
    <x v="0"/>
    <n v="13.696300000000001"/>
    <n v="-89.172700000000006"/>
    <n v="9796.9699999999993"/>
    <n v="0"/>
    <n v="0"/>
    <n v="101"/>
    <s v="_x0000_US"/>
  </r>
  <r>
    <x v="0"/>
    <n v="13.691700000000001"/>
    <n v="-89.178700000000006"/>
    <n v="9797.36"/>
    <n v="0"/>
    <n v="0"/>
    <n v="101"/>
    <s v="_x0000_US"/>
  </r>
  <r>
    <x v="0"/>
    <n v="13.692500000000001"/>
    <n v="-89.2239"/>
    <n v="9797.6"/>
    <n v="0"/>
    <n v="0"/>
    <n v="101"/>
    <s v="_x0000_US"/>
  </r>
  <r>
    <x v="0"/>
    <n v="13.6854"/>
    <n v="-89.214799999999997"/>
    <n v="9797.69"/>
    <n v="0"/>
    <n v="0"/>
    <n v="101"/>
    <s v="_x0000_US"/>
  </r>
  <r>
    <x v="0"/>
    <n v="13.6891"/>
    <n v="-89.190299999999993"/>
    <n v="9798.17"/>
    <n v="0"/>
    <n v="0"/>
    <n v="101"/>
    <s v="_x0000_US"/>
  </r>
  <r>
    <x v="0"/>
    <n v="13.695600000000001"/>
    <n v="-89.172700000000006"/>
    <n v="9798.34"/>
    <n v="0"/>
    <n v="0"/>
    <n v="101"/>
    <s v="_x0000_US"/>
  </r>
  <r>
    <x v="0"/>
    <n v="13.6943"/>
    <n v="-89.172899999999998"/>
    <n v="9798.58"/>
    <n v="0"/>
    <n v="0"/>
    <n v="101"/>
    <s v="_x0000_US"/>
  </r>
  <r>
    <x v="0"/>
    <n v="13.679399999999999"/>
    <n v="-89.196299999999994"/>
    <n v="9798.6"/>
    <n v="0"/>
    <n v="0"/>
    <n v="101"/>
    <s v="_x0000_US"/>
  </r>
  <r>
    <x v="0"/>
    <n v="13.6853"/>
    <n v="-89.201800000000006"/>
    <n v="9799.57"/>
    <n v="0"/>
    <n v="0"/>
    <n v="101"/>
    <s v="_x0000_US"/>
  </r>
  <r>
    <x v="0"/>
    <n v="13.686999999999999"/>
    <n v="-89.197500000000005"/>
    <n v="9799.9599999999991"/>
    <n v="0"/>
    <n v="0"/>
    <n v="101"/>
    <s v="_x0000_US"/>
  </r>
  <r>
    <x v="0"/>
    <n v="13.6938"/>
    <n v="-89.175399999999996"/>
    <n v="9800.23"/>
    <n v="0"/>
    <n v="0"/>
    <n v="101"/>
    <s v="_x0000_US"/>
  </r>
  <r>
    <x v="0"/>
    <n v="13.6905"/>
    <n v="-89.196100000000001"/>
    <n v="9800.2999999999993"/>
    <n v="0"/>
    <n v="0"/>
    <n v="101"/>
    <s v="_x0000_US"/>
  </r>
  <r>
    <x v="0"/>
    <n v="13.6952"/>
    <n v="-89.174800000000005"/>
    <n v="9800.58"/>
    <n v="0"/>
    <n v="0"/>
    <n v="101"/>
    <s v="_x0000_US"/>
  </r>
  <r>
    <x v="0"/>
    <n v="13.694900000000001"/>
    <n v="-89.174999999999997"/>
    <n v="9800.61"/>
    <n v="0"/>
    <n v="0"/>
    <n v="101"/>
    <s v="_x0000_US"/>
  </r>
  <r>
    <x v="0"/>
    <n v="13.6951"/>
    <n v="-89.173500000000004"/>
    <n v="9801.2000000000007"/>
    <n v="0"/>
    <n v="0"/>
    <n v="101"/>
    <s v="_x0000_US"/>
  </r>
  <r>
    <x v="0"/>
    <n v="13.674799999999999"/>
    <n v="-89.202600000000004"/>
    <n v="9801.49"/>
    <n v="0"/>
    <n v="0"/>
    <n v="101"/>
    <s v="_x0000_US"/>
  </r>
  <r>
    <x v="0"/>
    <n v="13.691700000000001"/>
    <n v="-89.1935"/>
    <n v="9801.57"/>
    <n v="0"/>
    <n v="0"/>
    <n v="101"/>
    <s v="_x0000_US"/>
  </r>
  <r>
    <x v="0"/>
    <n v="13.6907"/>
    <n v="-89.187299999999993"/>
    <n v="9802.2099999999991"/>
    <n v="0"/>
    <n v="0"/>
    <n v="101"/>
    <s v="_x0000_US"/>
  </r>
  <r>
    <x v="0"/>
    <n v="13.6921"/>
    <n v="-89.178799999999995"/>
    <n v="9802.3700000000008"/>
    <n v="0"/>
    <n v="0"/>
    <n v="101"/>
    <s v="_x0000_US"/>
  </r>
  <r>
    <x v="0"/>
    <n v="13.6906"/>
    <n v="-89.227800000000002"/>
    <n v="9802.4500000000007"/>
    <n v="0"/>
    <n v="0"/>
    <n v="101"/>
    <s v="_x0000_US"/>
  </r>
  <r>
    <x v="0"/>
    <n v="13.6945"/>
    <n v="-89.188699999999997"/>
    <n v="9802.75"/>
    <n v="0"/>
    <n v="0"/>
    <n v="101"/>
    <s v="_x0000_US"/>
  </r>
  <r>
    <x v="0"/>
    <n v="13.6922"/>
    <n v="-89.1798"/>
    <n v="9803.39"/>
    <n v="0"/>
    <n v="0"/>
    <n v="101"/>
    <s v="_x0000_US"/>
  </r>
  <r>
    <x v="0"/>
    <n v="13.6904"/>
    <n v="-89.234300000000005"/>
    <n v="9803.6299999999992"/>
    <n v="0"/>
    <n v="0"/>
    <n v="101"/>
    <s v="_x0000_US"/>
  </r>
  <r>
    <x v="0"/>
    <n v="13.6958"/>
    <n v="-89.165700000000001"/>
    <n v="9803.86"/>
    <n v="0"/>
    <n v="0"/>
    <n v="101"/>
    <s v="_x0000_US"/>
  </r>
  <r>
    <x v="0"/>
    <n v="13.686400000000001"/>
    <n v="-89.216399999999993"/>
    <n v="9804.14"/>
    <n v="0"/>
    <n v="0"/>
    <n v="101"/>
    <s v="_x0000_US"/>
  </r>
  <r>
    <x v="0"/>
    <n v="13.684900000000001"/>
    <n v="-89.214399999999998"/>
    <n v="9804.68"/>
    <n v="0"/>
    <n v="0"/>
    <n v="101"/>
    <s v="_x0000_US"/>
  </r>
  <r>
    <x v="0"/>
    <n v="13.690099999999999"/>
    <n v="-89.235299999999995"/>
    <n v="9804.7000000000007"/>
    <n v="0"/>
    <n v="0"/>
    <n v="101"/>
    <s v="_x0000_US"/>
  </r>
  <r>
    <x v="0"/>
    <n v="13.691800000000001"/>
    <n v="-89.179299999999998"/>
    <n v="9804.7199999999993"/>
    <n v="0"/>
    <n v="0"/>
    <n v="101"/>
    <s v="_x0000_US"/>
  </r>
  <r>
    <x v="0"/>
    <n v="13.6861"/>
    <n v="-89.212400000000002"/>
    <n v="9804.9599999999991"/>
    <n v="0"/>
    <n v="0"/>
    <n v="101"/>
    <s v="_x0000_US"/>
  </r>
  <r>
    <x v="0"/>
    <n v="13.690799999999999"/>
    <n v="-89.231999999999999"/>
    <n v="9805.4"/>
    <n v="0"/>
    <n v="0"/>
    <n v="101"/>
    <s v="_x0000_US"/>
  </r>
  <r>
    <x v="0"/>
    <n v="13.6744"/>
    <n v="-89.251199999999997"/>
    <n v="9806.1200000000008"/>
    <n v="0"/>
    <n v="0"/>
    <n v="101"/>
    <s v="_x0000_US"/>
  </r>
  <r>
    <x v="0"/>
    <n v="13.6904"/>
    <n v="-89.186800000000005"/>
    <n v="9806.15"/>
    <n v="0"/>
    <n v="0"/>
    <n v="101"/>
    <s v="_x0000_US"/>
  </r>
  <r>
    <x v="0"/>
    <n v="13.6851"/>
    <n v="-89.217100000000002"/>
    <n v="9806.49"/>
    <n v="0"/>
    <n v="0"/>
    <n v="101"/>
    <s v="_x0000_US"/>
  </r>
  <r>
    <x v="0"/>
    <n v="13.693199999999999"/>
    <n v="-89.185500000000005"/>
    <n v="9806.74"/>
    <n v="0"/>
    <n v="0"/>
    <n v="101"/>
    <s v="_x0000_US"/>
  </r>
  <r>
    <x v="0"/>
    <n v="13.6904"/>
    <n v="-89.193299999999994"/>
    <n v="9806.75"/>
    <n v="0"/>
    <n v="0"/>
    <n v="101"/>
    <s v="_x0000_US"/>
  </r>
  <r>
    <x v="0"/>
    <n v="13.6858"/>
    <n v="-89.211399999999998"/>
    <n v="9807.14"/>
    <n v="0"/>
    <n v="0"/>
    <n v="101"/>
    <s v="_x0000_US"/>
  </r>
  <r>
    <x v="0"/>
    <n v="13.692299999999999"/>
    <n v="-89.183000000000007"/>
    <n v="9808.33"/>
    <n v="0"/>
    <n v="0"/>
    <n v="101"/>
    <s v="_x0000_US"/>
  </r>
  <r>
    <x v="0"/>
    <n v="13.6769"/>
    <n v="-89.247799999999998"/>
    <n v="9808.57"/>
    <n v="0"/>
    <n v="0"/>
    <n v="101"/>
    <s v="_x0000_US"/>
  </r>
  <r>
    <x v="0"/>
    <n v="13.6911"/>
    <n v="-89.234899999999996"/>
    <n v="9808.69"/>
    <n v="0"/>
    <n v="0"/>
    <n v="101"/>
    <s v="_x0000_US"/>
  </r>
  <r>
    <x v="0"/>
    <n v="13.689500000000001"/>
    <n v="-89.202699999999993"/>
    <n v="9809.17"/>
    <n v="0"/>
    <n v="0"/>
    <n v="101"/>
    <s v="_x0000_US"/>
  </r>
  <r>
    <x v="0"/>
    <n v="13.6843"/>
    <n v="-89.215999999999994"/>
    <n v="9809.2900000000009"/>
    <n v="0"/>
    <n v="0"/>
    <n v="101"/>
    <s v="_x0000_US"/>
  </r>
  <r>
    <x v="0"/>
    <n v="13.6913"/>
    <n v="-89.228399999999993"/>
    <n v="9809.3700000000008"/>
    <n v="0"/>
    <n v="0"/>
    <n v="101"/>
    <s v="_x0000_US"/>
  </r>
  <r>
    <x v="0"/>
    <n v="13.688499999999999"/>
    <n v="-89.229200000000006"/>
    <n v="9809.52"/>
    <n v="0"/>
    <n v="0"/>
    <n v="101"/>
    <s v="_x0000_US"/>
  </r>
  <r>
    <x v="0"/>
    <n v="13.688000000000001"/>
    <n v="-89.194500000000005"/>
    <n v="9809.66"/>
    <n v="0"/>
    <n v="0"/>
    <n v="101"/>
    <s v="_x0000_US"/>
  </r>
  <r>
    <x v="0"/>
    <n v="13.687799999999999"/>
    <n v="-89.194400000000002"/>
    <n v="9809.7199999999993"/>
    <n v="0"/>
    <n v="0"/>
    <n v="101"/>
    <s v="_x0000_US"/>
  </r>
  <r>
    <x v="0"/>
    <n v="13.6907"/>
    <n v="-89.196200000000005"/>
    <n v="9809.77"/>
    <n v="0"/>
    <n v="0"/>
    <n v="101"/>
    <s v="_x0000_US"/>
  </r>
  <r>
    <x v="0"/>
    <n v="13.6851"/>
    <n v="-89.203000000000003"/>
    <n v="9809.85"/>
    <n v="0"/>
    <n v="0"/>
    <n v="101"/>
    <s v="_x0000_US"/>
  </r>
  <r>
    <x v="0"/>
    <n v="13.691700000000001"/>
    <n v="-89.1798"/>
    <n v="9810.1"/>
    <n v="0"/>
    <n v="0"/>
    <n v="101"/>
    <s v="_x0000_US"/>
  </r>
  <r>
    <x v="0"/>
    <n v="13.687799999999999"/>
    <n v="-89.193700000000007"/>
    <n v="9810.31"/>
    <n v="0"/>
    <n v="0"/>
    <n v="101"/>
    <s v="_x0000_US"/>
  </r>
  <r>
    <x v="0"/>
    <n v="13.6791"/>
    <n v="-89.196399999999997"/>
    <n v="9811.57"/>
    <n v="0"/>
    <n v="0"/>
    <n v="101"/>
    <s v="_x0000_US"/>
  </r>
  <r>
    <x v="0"/>
    <n v="13.6875"/>
    <n v="-89.194699999999997"/>
    <n v="9812.18"/>
    <n v="0"/>
    <n v="0"/>
    <n v="101"/>
    <s v="_x0000_US"/>
  </r>
  <r>
    <x v="0"/>
    <n v="13.6876"/>
    <n v="-89.181100000000001"/>
    <n v="9812.2199999999993"/>
    <n v="0"/>
    <n v="0"/>
    <n v="101"/>
    <s v="_x0000_US"/>
  </r>
  <r>
    <x v="0"/>
    <n v="13.6913"/>
    <n v="-89.226200000000006"/>
    <n v="9812.24"/>
    <n v="0"/>
    <n v="0"/>
    <n v="101"/>
    <s v="_x0000_US"/>
  </r>
  <r>
    <x v="0"/>
    <n v="13.6859"/>
    <n v="-89.215400000000002"/>
    <n v="9812.59"/>
    <n v="0"/>
    <n v="0"/>
    <n v="101"/>
    <s v="_x0000_US"/>
  </r>
  <r>
    <x v="0"/>
    <n v="13.6799"/>
    <n v="-89.196600000000004"/>
    <n v="9812.6299999999992"/>
    <n v="0"/>
    <n v="0"/>
    <n v="101"/>
    <s v="_x0000_US"/>
  </r>
  <r>
    <x v="0"/>
    <n v="13.688700000000001"/>
    <n v="-89.189800000000005"/>
    <n v="9813.17"/>
    <n v="0"/>
    <n v="0"/>
    <n v="101"/>
    <s v="_x0000_US"/>
  </r>
  <r>
    <x v="0"/>
    <n v="13.6873"/>
    <n v="-89.197100000000006"/>
    <n v="9813.25"/>
    <n v="0"/>
    <n v="0"/>
    <n v="101"/>
    <s v="_x0000_US"/>
  </r>
  <r>
    <x v="0"/>
    <n v="13.692600000000001"/>
    <n v="-89.178399999999996"/>
    <n v="9814.32"/>
    <n v="0"/>
    <n v="0"/>
    <n v="101"/>
    <s v="_x0000_US"/>
  </r>
  <r>
    <x v="0"/>
    <n v="13.6912"/>
    <n v="-89.230199999999996"/>
    <n v="9814.48"/>
    <n v="0"/>
    <n v="0"/>
    <n v="101"/>
    <s v="_x0000_US"/>
  </r>
  <r>
    <x v="0"/>
    <n v="13.684799999999999"/>
    <n v="-89.213499999999996"/>
    <n v="9814.52"/>
    <n v="0"/>
    <n v="0"/>
    <n v="101"/>
    <s v="_x0000_US"/>
  </r>
  <r>
    <x v="0"/>
    <n v="13.6875"/>
    <n v="-89.194800000000001"/>
    <n v="9814.59"/>
    <n v="0"/>
    <n v="0"/>
    <n v="101"/>
    <s v="_x0000_US"/>
  </r>
  <r>
    <x v="0"/>
    <n v="13.6889"/>
    <n v="-89.194699999999997"/>
    <n v="9815.36"/>
    <n v="0"/>
    <n v="0"/>
    <n v="101"/>
    <s v="_x0000_US"/>
  </r>
  <r>
    <x v="0"/>
    <n v="13.6797"/>
    <n v="-89.194400000000002"/>
    <n v="9815.65"/>
    <n v="0"/>
    <n v="0"/>
    <n v="101"/>
    <s v="_x0000_US"/>
  </r>
  <r>
    <x v="0"/>
    <n v="13.690200000000001"/>
    <n v="-89.234899999999996"/>
    <n v="9816.75"/>
    <n v="0"/>
    <n v="0"/>
    <n v="101"/>
    <s v="_x0000_US"/>
  </r>
  <r>
    <x v="0"/>
    <n v="13.690300000000001"/>
    <n v="-89.234399999999994"/>
    <n v="9816.99"/>
    <n v="0"/>
    <n v="0"/>
    <n v="101"/>
    <s v="_x0000_US"/>
  </r>
  <r>
    <x v="0"/>
    <n v="13.686"/>
    <n v="-89.215800000000002"/>
    <n v="9817.06"/>
    <n v="0"/>
    <n v="0"/>
    <n v="101"/>
    <s v="_x0000_US"/>
  </r>
  <r>
    <x v="0"/>
    <n v="13.6934"/>
    <n v="-89.177199999999999"/>
    <n v="9817.5400000000009"/>
    <n v="0"/>
    <n v="0"/>
    <n v="101"/>
    <s v="_x0000_US"/>
  </r>
  <r>
    <x v="0"/>
    <n v="13.6875"/>
    <n v="-89.194699999999997"/>
    <n v="9817.98"/>
    <n v="0"/>
    <n v="0"/>
    <n v="101"/>
    <s v="_x0000_US"/>
  </r>
  <r>
    <x v="0"/>
    <n v="13.690799999999999"/>
    <n v="-89.227599999999995"/>
    <n v="9818.69"/>
    <n v="0"/>
    <n v="0"/>
    <n v="101"/>
    <s v="_x0000_US"/>
  </r>
  <r>
    <x v="0"/>
    <n v="13.684699999999999"/>
    <n v="-89.203900000000004"/>
    <n v="9818.77"/>
    <n v="0"/>
    <n v="0"/>
    <n v="101"/>
    <s v="_x0000_US"/>
  </r>
  <r>
    <x v="0"/>
    <n v="13.6876"/>
    <n v="-89.197000000000003"/>
    <n v="9818.9500000000007"/>
    <n v="0"/>
    <n v="0"/>
    <n v="101"/>
    <s v="_x0000_US"/>
  </r>
  <r>
    <x v="0"/>
    <n v="13.687200000000001"/>
    <n v="-89.197100000000006"/>
    <n v="9819.19"/>
    <n v="0"/>
    <n v="0"/>
    <n v="101"/>
    <s v="_x0000_US"/>
  </r>
  <r>
    <x v="0"/>
    <n v="13.6919"/>
    <n v="-89.194299999999998"/>
    <n v="9819.2000000000007"/>
    <n v="0"/>
    <n v="0"/>
    <n v="101"/>
    <s v="_x0000_US"/>
  </r>
  <r>
    <x v="0"/>
    <n v="13.691599999999999"/>
    <n v="-89.185400000000001"/>
    <n v="9819.51"/>
    <n v="0"/>
    <n v="0"/>
    <n v="101"/>
    <s v="_x0000_US"/>
  </r>
  <r>
    <x v="0"/>
    <n v="13.6876"/>
    <n v="-89.195099999999996"/>
    <n v="9819.7900000000009"/>
    <n v="0"/>
    <n v="0"/>
    <n v="101"/>
    <s v="_x0000_US"/>
  </r>
  <r>
    <x v="0"/>
    <n v="13.674200000000001"/>
    <n v="-89.202100000000002"/>
    <n v="9819.9599999999991"/>
    <n v="0"/>
    <n v="0"/>
    <n v="101"/>
    <s v="_x0000_US"/>
  </r>
  <r>
    <x v="0"/>
    <n v="13.691800000000001"/>
    <n v="-89.221100000000007"/>
    <n v="9820.34"/>
    <n v="0"/>
    <n v="0"/>
    <n v="101"/>
    <s v="_x0000_US"/>
  </r>
  <r>
    <x v="0"/>
    <n v="13.6922"/>
    <n v="-89.227199999999996"/>
    <n v="9820.98"/>
    <n v="0"/>
    <n v="0"/>
    <n v="101"/>
    <s v="_x0000_US"/>
  </r>
  <r>
    <x v="0"/>
    <n v="13.6927"/>
    <n v="-89.224900000000005"/>
    <n v="9820.99"/>
    <n v="0"/>
    <n v="0"/>
    <n v="101"/>
    <s v="_x0000_US"/>
  </r>
  <r>
    <x v="0"/>
    <n v="13.6937"/>
    <n v="-89.185299999999998"/>
    <n v="9821.09"/>
    <n v="0"/>
    <n v="0"/>
    <n v="101"/>
    <s v="_x0000_US"/>
  </r>
  <r>
    <x v="0"/>
    <n v="13.6768"/>
    <n v="-89.248000000000005"/>
    <n v="9821.39"/>
    <n v="0"/>
    <n v="0"/>
    <n v="101"/>
    <s v="_x0000_US"/>
  </r>
  <r>
    <x v="0"/>
    <n v="13.692399999999999"/>
    <n v="-89.176599999999993"/>
    <n v="9821.44"/>
    <n v="0"/>
    <n v="0"/>
    <n v="101"/>
    <s v="_x0000_US"/>
  </r>
  <r>
    <x v="0"/>
    <n v="13.6859"/>
    <n v="-89.204099999999997"/>
    <n v="9821.5300000000007"/>
    <n v="0"/>
    <n v="0"/>
    <n v="101"/>
    <s v="_x0000_US"/>
  </r>
  <r>
    <x v="0"/>
    <n v="13.6884"/>
    <n v="-89.190600000000003"/>
    <n v="9821.77"/>
    <n v="0"/>
    <n v="0"/>
    <n v="101"/>
    <s v="_x0000_US"/>
  </r>
  <r>
    <x v="0"/>
    <n v="13.6919"/>
    <n v="-89.224500000000006"/>
    <n v="9821.7800000000007"/>
    <n v="0"/>
    <n v="0"/>
    <n v="101"/>
    <s v="_x0000_US"/>
  </r>
  <r>
    <x v="0"/>
    <n v="13.6889"/>
    <n v="-89.19"/>
    <n v="9821.8700000000008"/>
    <n v="0"/>
    <n v="0"/>
    <n v="101"/>
    <s v="_x0000_US"/>
  </r>
  <r>
    <x v="0"/>
    <n v="13.6889"/>
    <n v="-89.204800000000006"/>
    <n v="9821.9"/>
    <n v="0"/>
    <n v="0"/>
    <n v="101"/>
    <s v="_x0000_US"/>
  </r>
  <r>
    <x v="0"/>
    <n v="13.686"/>
    <n v="-89.202299999999994"/>
    <n v="9822.0300000000007"/>
    <n v="0"/>
    <n v="0"/>
    <n v="101"/>
    <s v="_x0000_US"/>
  </r>
  <r>
    <x v="0"/>
    <n v="13.6869"/>
    <n v="-89.197999999999993"/>
    <n v="9822.33"/>
    <n v="0"/>
    <n v="0"/>
    <n v="101"/>
    <s v="_x0000_US"/>
  </r>
  <r>
    <x v="0"/>
    <n v="13.688700000000001"/>
    <n v="-89.205100000000002"/>
    <n v="9822.3700000000008"/>
    <n v="0"/>
    <n v="0"/>
    <n v="101"/>
    <s v="_x0000_US"/>
  </r>
  <r>
    <x v="0"/>
    <n v="13.6905"/>
    <n v="-89.186899999999994"/>
    <n v="9822.3799999999992"/>
    <n v="0"/>
    <n v="0"/>
    <n v="101"/>
    <s v="_x0000_US"/>
  </r>
  <r>
    <x v="0"/>
    <n v="13.687099999999999"/>
    <n v="-89.182599999999994"/>
    <n v="9822.39"/>
    <n v="0"/>
    <n v="0"/>
    <n v="101"/>
    <s v="_x0000_US"/>
  </r>
  <r>
    <x v="0"/>
    <n v="13.6944"/>
    <n v="-89.183300000000003"/>
    <n v="9822.44"/>
    <n v="0"/>
    <n v="0"/>
    <n v="101"/>
    <s v="_x0000_US"/>
  </r>
  <r>
    <x v="0"/>
    <n v="13.6851"/>
    <n v="-89.215400000000002"/>
    <n v="9822.67"/>
    <n v="0"/>
    <n v="0"/>
    <n v="101"/>
    <s v="_x0000_US"/>
  </r>
  <r>
    <x v="0"/>
    <n v="13.6897"/>
    <n v="-89.179900000000004"/>
    <n v="9823.23"/>
    <n v="0"/>
    <n v="0"/>
    <n v="101"/>
    <s v="_x0000_US"/>
  </r>
  <r>
    <x v="0"/>
    <n v="13.679600000000001"/>
    <n v="-89.196600000000004"/>
    <n v="9823.61"/>
    <n v="0"/>
    <n v="0"/>
    <n v="101"/>
    <s v="_x0000_US"/>
  </r>
  <r>
    <x v="0"/>
    <n v="13.685499999999999"/>
    <n v="-89.193700000000007"/>
    <n v="9823.9"/>
    <n v="0"/>
    <n v="0"/>
    <n v="101"/>
    <s v="_x0000_US"/>
  </r>
  <r>
    <x v="0"/>
    <n v="13.6793"/>
    <n v="-89.196600000000004"/>
    <n v="9824.5400000000009"/>
    <n v="0"/>
    <n v="0"/>
    <n v="101"/>
    <s v="_x0000_US"/>
  </r>
  <r>
    <x v="0"/>
    <n v="13.687200000000001"/>
    <n v="-89.182400000000001"/>
    <n v="9824.66"/>
    <n v="0"/>
    <n v="0"/>
    <n v="101"/>
    <s v="_x0000_US"/>
  </r>
  <r>
    <x v="0"/>
    <n v="13.6915"/>
    <n v="-89.188199999999995"/>
    <n v="9825.86"/>
    <n v="0"/>
    <n v="0"/>
    <n v="101"/>
    <s v="_x0000_US"/>
  </r>
  <r>
    <x v="0"/>
    <n v="13.693199999999999"/>
    <n v="-89.183700000000002"/>
    <n v="9827.0300000000007"/>
    <n v="0"/>
    <n v="0"/>
    <n v="101"/>
    <s v="_x0000_US"/>
  </r>
  <r>
    <x v="0"/>
    <n v="13.6921"/>
    <n v="-89.223299999999995"/>
    <n v="9827.09"/>
    <n v="0"/>
    <n v="0"/>
    <n v="101"/>
    <s v="_x0000_US"/>
  </r>
  <r>
    <x v="0"/>
    <n v="13.6914"/>
    <n v="-89.233400000000003"/>
    <n v="9827.34"/>
    <n v="0"/>
    <n v="0"/>
    <n v="101"/>
    <s v="_x0000_US"/>
  </r>
  <r>
    <x v="0"/>
    <n v="13.6907"/>
    <n v="-89.186000000000007"/>
    <n v="9827.7000000000007"/>
    <n v="0"/>
    <n v="0"/>
    <n v="101"/>
    <s v="_x0000_US"/>
  </r>
  <r>
    <x v="0"/>
    <n v="13.674799999999999"/>
    <n v="-89.251900000000006"/>
    <n v="9828.07"/>
    <n v="0"/>
    <n v="0"/>
    <n v="101"/>
    <s v="_x0000_US"/>
  </r>
  <r>
    <x v="0"/>
    <n v="13.6951"/>
    <n v="-89.172499999999999"/>
    <n v="9828.4599999999991"/>
    <n v="0"/>
    <n v="0"/>
    <n v="101"/>
    <s v="_x0000_US"/>
  </r>
  <r>
    <x v="0"/>
    <n v="13.6877"/>
    <n v="-89.197000000000003"/>
    <n v="9828.51"/>
    <n v="0"/>
    <n v="0"/>
    <n v="101"/>
    <s v="_x0000_US"/>
  </r>
  <r>
    <x v="0"/>
    <n v="13.690300000000001"/>
    <n v="-89.234899999999996"/>
    <n v="9828.7199999999993"/>
    <n v="0"/>
    <n v="0"/>
    <n v="101"/>
    <s v="_x0000_US"/>
  </r>
  <r>
    <x v="0"/>
    <n v="13.686999999999999"/>
    <n v="-89.182900000000004"/>
    <n v="9829.35"/>
    <n v="0"/>
    <n v="0"/>
    <n v="101"/>
    <s v="_x0000_US"/>
  </r>
  <r>
    <x v="0"/>
    <n v="13.6914"/>
    <n v="-89.189499999999995"/>
    <n v="9829.7900000000009"/>
    <n v="0"/>
    <n v="0"/>
    <n v="101"/>
    <s v="_x0000_US"/>
  </r>
  <r>
    <x v="0"/>
    <n v="13.691800000000001"/>
    <n v="-89.186499999999995"/>
    <n v="9829.7999999999993"/>
    <n v="0"/>
    <n v="0"/>
    <n v="101"/>
    <s v="_x0000_US"/>
  </r>
  <r>
    <x v="0"/>
    <n v="13.6891"/>
    <n v="-89.205200000000005"/>
    <n v="9830.0300000000007"/>
    <n v="0"/>
    <n v="0"/>
    <n v="101"/>
    <s v="_x0000_US"/>
  </r>
  <r>
    <x v="0"/>
    <n v="13.6952"/>
    <n v="-89.173699999999997"/>
    <n v="9830.3700000000008"/>
    <n v="0"/>
    <n v="0"/>
    <n v="101"/>
    <s v="_x0000_US"/>
  </r>
  <r>
    <x v="0"/>
    <n v="13.6905"/>
    <n v="-89.2346"/>
    <n v="9830.69"/>
    <n v="0"/>
    <n v="0"/>
    <n v="101"/>
    <s v="_x0000_US"/>
  </r>
  <r>
    <x v="0"/>
    <n v="13.6798"/>
    <n v="-89.197100000000006"/>
    <n v="9830.92"/>
    <n v="0"/>
    <n v="0"/>
    <n v="101"/>
    <s v="_x0000_US"/>
  </r>
  <r>
    <x v="0"/>
    <n v="13.688000000000001"/>
    <n v="-89.213200000000001"/>
    <n v="9831.7999999999993"/>
    <n v="0"/>
    <n v="0"/>
    <n v="101"/>
    <s v="_x0000_US"/>
  </r>
  <r>
    <x v="0"/>
    <n v="13.690899999999999"/>
    <n v="-89.190600000000003"/>
    <n v="9832.06"/>
    <n v="0"/>
    <n v="0"/>
    <n v="101"/>
    <s v="_x0000_US"/>
  </r>
  <r>
    <x v="0"/>
    <n v="13.6913"/>
    <n v="-89.179299999999998"/>
    <n v="9832.14"/>
    <n v="0"/>
    <n v="0"/>
    <n v="101"/>
    <s v="_x0000_US"/>
  </r>
  <r>
    <x v="0"/>
    <n v="13.6881"/>
    <n v="-89.180199999999999"/>
    <n v="9832.23"/>
    <n v="0"/>
    <n v="0"/>
    <n v="101"/>
    <s v="_x0000_US"/>
  </r>
  <r>
    <x v="0"/>
    <n v="13.677099999999999"/>
    <n v="-89.247500000000002"/>
    <n v="9833"/>
    <n v="0"/>
    <n v="0"/>
    <n v="101"/>
    <s v="_x0000_US"/>
  </r>
  <r>
    <x v="0"/>
    <n v="13.685700000000001"/>
    <n v="-89.202299999999994"/>
    <n v="9833.49"/>
    <n v="0"/>
    <n v="0"/>
    <n v="101"/>
    <s v="_x0000_US"/>
  </r>
  <r>
    <x v="0"/>
    <n v="13.6914"/>
    <n v="-89.193399999999997"/>
    <n v="9833.6"/>
    <n v="0"/>
    <n v="0"/>
    <n v="101"/>
    <s v="_x0000_US"/>
  </r>
  <r>
    <x v="0"/>
    <n v="13.691700000000001"/>
    <n v="-89.1935"/>
    <n v="9833.67"/>
    <n v="0"/>
    <n v="0"/>
    <n v="101"/>
    <s v="_x0000_US"/>
  </r>
  <r>
    <x v="0"/>
    <n v="13.687900000000001"/>
    <n v="-89.212599999999995"/>
    <n v="9833.9599999999991"/>
    <n v="0"/>
    <n v="0"/>
    <n v="101"/>
    <s v="_x0000_US"/>
  </r>
  <r>
    <x v="0"/>
    <n v="13.689299999999999"/>
    <n v="-89.197100000000006"/>
    <n v="9834.0300000000007"/>
    <n v="0"/>
    <n v="0"/>
    <n v="101"/>
    <s v="_x0000_US"/>
  </r>
  <r>
    <x v="0"/>
    <n v="13.6869"/>
    <n v="-89.197500000000005"/>
    <n v="9834.2000000000007"/>
    <n v="0"/>
    <n v="0"/>
    <n v="101"/>
    <s v="_x0000_US"/>
  </r>
  <r>
    <x v="0"/>
    <n v="13.6853"/>
    <n v="-89.202600000000004"/>
    <n v="9834.65"/>
    <n v="0"/>
    <n v="0"/>
    <n v="101"/>
    <s v="_x0000_US"/>
  </r>
  <r>
    <x v="0"/>
    <n v="13.6942"/>
    <n v="-89.183099999999996"/>
    <n v="9834.7000000000007"/>
    <n v="0"/>
    <n v="0"/>
    <n v="101"/>
    <s v="_x0000_US"/>
  </r>
  <r>
    <x v="0"/>
    <n v="13.696"/>
    <n v="-89.171999999999997"/>
    <n v="9834.73"/>
    <n v="0"/>
    <n v="0"/>
    <n v="101"/>
    <s v="_x0000_US"/>
  </r>
  <r>
    <x v="0"/>
    <n v="13.687099999999999"/>
    <n v="-89.183499999999995"/>
    <n v="9834.74"/>
    <n v="0"/>
    <n v="0"/>
    <n v="101"/>
    <s v="_x0000_US"/>
  </r>
  <r>
    <x v="0"/>
    <n v="13.6904"/>
    <n v="-89.235299999999995"/>
    <n v="9834.76"/>
    <n v="0"/>
    <n v="0"/>
    <n v="101"/>
    <s v="_x0000_US"/>
  </r>
  <r>
    <x v="0"/>
    <n v="13.6914"/>
    <n v="-89.233400000000003"/>
    <n v="9834.93"/>
    <n v="0"/>
    <n v="0"/>
    <n v="101"/>
    <s v="_x0000_US"/>
  </r>
  <r>
    <x v="0"/>
    <n v="13.6911"/>
    <n v="-89.233599999999996"/>
    <n v="9834.9500000000007"/>
    <n v="0"/>
    <n v="0"/>
    <n v="101"/>
    <s v="_x0000_US"/>
  </r>
  <r>
    <x v="0"/>
    <n v="13.690300000000001"/>
    <n v="-89.186800000000005"/>
    <n v="9835.1299999999992"/>
    <n v="0"/>
    <n v="0"/>
    <n v="101"/>
    <s v="_x0000_US"/>
  </r>
  <r>
    <x v="0"/>
    <n v="13.686"/>
    <n v="-89.201300000000003"/>
    <n v="9835.16"/>
    <n v="0"/>
    <n v="0"/>
    <n v="101"/>
    <s v="_x0000_US"/>
  </r>
  <r>
    <x v="0"/>
    <n v="13.6912"/>
    <n v="-89.226600000000005"/>
    <n v="9835.17"/>
    <n v="0"/>
    <n v="0"/>
    <n v="101"/>
    <s v="_x0000_US"/>
  </r>
  <r>
    <x v="0"/>
    <n v="13.6768"/>
    <n v="-89.248199999999997"/>
    <n v="9835.52"/>
    <n v="0"/>
    <n v="0"/>
    <n v="101"/>
    <s v="_x0000_US"/>
  </r>
  <r>
    <x v="0"/>
    <n v="13.685499999999999"/>
    <n v="-89.211299999999994"/>
    <n v="9835.85"/>
    <n v="0"/>
    <n v="0"/>
    <n v="101"/>
    <s v="_x0000_US"/>
  </r>
  <r>
    <x v="0"/>
    <n v="13.6793"/>
    <n v="-89.196299999999994"/>
    <n v="9835.94"/>
    <n v="0"/>
    <n v="0"/>
    <n v="101"/>
    <s v="_x0000_US"/>
  </r>
  <r>
    <x v="0"/>
    <n v="13.6907"/>
    <n v="-89.190700000000007"/>
    <n v="9836.2900000000009"/>
    <n v="0"/>
    <n v="0"/>
    <n v="101"/>
    <s v="_x0000_US"/>
  </r>
  <r>
    <x v="0"/>
    <n v="13.6853"/>
    <n v="-89.211399999999998"/>
    <n v="9836.4"/>
    <n v="0"/>
    <n v="0"/>
    <n v="101"/>
    <s v="_x0000_US"/>
  </r>
  <r>
    <x v="0"/>
    <n v="13.689"/>
    <n v="-89.190399999999997"/>
    <n v="9836.65"/>
    <n v="0"/>
    <n v="0"/>
    <n v="101"/>
    <s v="_x0000_US"/>
  </r>
  <r>
    <x v="0"/>
    <n v="13.674200000000001"/>
    <n v="-89.199299999999994"/>
    <n v="9836.68"/>
    <n v="0"/>
    <n v="0"/>
    <n v="101"/>
    <s v="_x0000_US"/>
  </r>
  <r>
    <x v="0"/>
    <n v="13.6905"/>
    <n v="-89.233900000000006"/>
    <n v="9837.1200000000008"/>
    <n v="0"/>
    <n v="0"/>
    <n v="101"/>
    <s v="_x0000_US"/>
  </r>
  <r>
    <x v="0"/>
    <n v="13.673500000000001"/>
    <n v="-89.251300000000001"/>
    <n v="9837.35"/>
    <n v="0"/>
    <n v="0"/>
    <n v="101"/>
    <s v="_x0000_US"/>
  </r>
  <r>
    <x v="0"/>
    <n v="13.691000000000001"/>
    <n v="-89.188999999999993"/>
    <n v="9837.3700000000008"/>
    <n v="0"/>
    <n v="0"/>
    <n v="101"/>
    <s v="_x0000_US"/>
  </r>
  <r>
    <x v="0"/>
    <n v="13.6914"/>
    <n v="-89.232600000000005"/>
    <n v="9837.44"/>
    <n v="0"/>
    <n v="0"/>
    <n v="101"/>
    <s v="_x0000_US"/>
  </r>
  <r>
    <x v="0"/>
    <n v="13.691700000000001"/>
    <n v="-89.225499999999997"/>
    <n v="9837.65"/>
    <n v="0"/>
    <n v="0"/>
    <n v="101"/>
    <s v="_x0000_US"/>
  </r>
  <r>
    <x v="0"/>
    <n v="13.6911"/>
    <n v="-89.183999999999997"/>
    <n v="9837.8799999999992"/>
    <n v="0"/>
    <n v="0"/>
    <n v="101"/>
    <s v="_x0000_US"/>
  </r>
  <r>
    <x v="0"/>
    <n v="13.6907"/>
    <n v="-89.187299999999993"/>
    <n v="9837.98"/>
    <n v="0"/>
    <n v="0"/>
    <n v="101"/>
    <s v="_x0000_US"/>
  </r>
  <r>
    <x v="0"/>
    <n v="13.689500000000001"/>
    <n v="-89.236000000000004"/>
    <n v="9838"/>
    <n v="0"/>
    <n v="0"/>
    <n v="101"/>
    <s v="_x0000_US"/>
  </r>
  <r>
    <x v="0"/>
    <n v="13.6867"/>
    <n v="-89.181399999999996"/>
    <n v="9838.0300000000007"/>
    <n v="0"/>
    <n v="0"/>
    <n v="101"/>
    <s v="_x0000_US"/>
  </r>
  <r>
    <x v="0"/>
    <n v="13.6919"/>
    <n v="-89.179400000000001"/>
    <n v="9838.25"/>
    <n v="0"/>
    <n v="0"/>
    <n v="101"/>
    <s v="_x0000_US"/>
  </r>
  <r>
    <x v="0"/>
    <n v="13.6891"/>
    <n v="-89.215100000000007"/>
    <n v="9838.3799999999992"/>
    <n v="0"/>
    <n v="0"/>
    <n v="101"/>
    <s v="_x0000_US"/>
  </r>
  <r>
    <x v="0"/>
    <n v="13.6883"/>
    <n v="-89.180099999999996"/>
    <n v="9838.43"/>
    <n v="0"/>
    <n v="0"/>
    <n v="101"/>
    <s v="_x0000_US"/>
  </r>
  <r>
    <x v="0"/>
    <n v="13.684900000000001"/>
    <n v="-89.212299999999999"/>
    <n v="9839.85"/>
    <n v="0"/>
    <n v="0"/>
    <n v="101"/>
    <s v="_x0000_US"/>
  </r>
  <r>
    <x v="0"/>
    <n v="13.685600000000001"/>
    <n v="-89.193799999999996"/>
    <n v="9840.07"/>
    <n v="0"/>
    <n v="0"/>
    <n v="101"/>
    <s v="_x0000_US"/>
  </r>
  <r>
    <x v="0"/>
    <n v="13.6953"/>
    <n v="-89.174300000000002"/>
    <n v="9840.31"/>
    <n v="0"/>
    <n v="0"/>
    <n v="101"/>
    <s v="_x0000_US"/>
  </r>
  <r>
    <x v="0"/>
    <n v="13.691000000000001"/>
    <n v="-89.231099999999998"/>
    <n v="9840.4699999999993"/>
    <n v="0"/>
    <n v="0"/>
    <n v="101"/>
    <s v="_x0000_US"/>
  </r>
  <r>
    <x v="0"/>
    <n v="13.6906"/>
    <n v="-89.194199999999995"/>
    <n v="9840.76"/>
    <n v="0"/>
    <n v="0"/>
    <n v="101"/>
    <s v="_x0000_US"/>
  </r>
  <r>
    <x v="0"/>
    <n v="13.6915"/>
    <n v="-89.235200000000006"/>
    <n v="9840.77"/>
    <n v="0"/>
    <n v="0"/>
    <n v="101"/>
    <s v="_x0000_US"/>
  </r>
  <r>
    <x v="0"/>
    <n v="13.687799999999999"/>
    <n v="-89.181299999999993"/>
    <n v="9841.4699999999993"/>
    <n v="0"/>
    <n v="0"/>
    <n v="101"/>
    <s v="_x0000_US"/>
  </r>
  <r>
    <x v="0"/>
    <n v="13.687200000000001"/>
    <n v="-89.197299999999998"/>
    <n v="9842.48"/>
    <n v="0"/>
    <n v="0"/>
    <n v="101"/>
    <s v="_x0000_US"/>
  </r>
  <r>
    <x v="0"/>
    <n v="13.685"/>
    <n v="-89.212599999999995"/>
    <n v="9842.76"/>
    <n v="0"/>
    <n v="0"/>
    <n v="101"/>
    <s v="_x0000_US"/>
  </r>
  <r>
    <x v="0"/>
    <n v="13.6943"/>
    <n v="-89.188800000000001"/>
    <n v="9843.01"/>
    <n v="0"/>
    <n v="0"/>
    <n v="101"/>
    <s v="_x0000_US"/>
  </r>
  <r>
    <x v="0"/>
    <n v="13.6889"/>
    <n v="-89.177999999999997"/>
    <n v="9843.0300000000007"/>
    <n v="0"/>
    <n v="0"/>
    <n v="101"/>
    <s v="_x0000_US"/>
  </r>
  <r>
    <x v="0"/>
    <n v="13.6899"/>
    <n v="-89.185900000000004"/>
    <n v="9843.07"/>
    <n v="0"/>
    <n v="0"/>
    <n v="101"/>
    <s v="_x0000_US"/>
  </r>
  <r>
    <x v="0"/>
    <n v="13.6952"/>
    <n v="-89.173299999999998"/>
    <n v="9843.27"/>
    <n v="0"/>
    <n v="0"/>
    <n v="101"/>
    <s v="_x0000_US"/>
  </r>
  <r>
    <x v="0"/>
    <n v="13.6891"/>
    <n v="-89.229299999999995"/>
    <n v="9843.68"/>
    <n v="0"/>
    <n v="0"/>
    <n v="101"/>
    <s v="_x0000_US"/>
  </r>
  <r>
    <x v="0"/>
    <n v="13.6935"/>
    <n v="-89.176500000000004"/>
    <n v="9844.25"/>
    <n v="0"/>
    <n v="0"/>
    <n v="101"/>
    <s v="_x0000_US"/>
  </r>
  <r>
    <x v="0"/>
    <n v="13.6869"/>
    <n v="-89.183400000000006"/>
    <n v="9844.56"/>
    <n v="0"/>
    <n v="0"/>
    <n v="101"/>
    <s v="_x0000_US"/>
  </r>
  <r>
    <x v="0"/>
    <n v="13.6858"/>
    <n v="-89.212500000000006"/>
    <n v="9845.15"/>
    <n v="0"/>
    <n v="0"/>
    <n v="101"/>
    <s v="_x0000_US"/>
  </r>
  <r>
    <x v="0"/>
    <n v="13.6861"/>
    <n v="-89.211600000000004"/>
    <n v="9845.25"/>
    <n v="0"/>
    <n v="0"/>
    <n v="101"/>
    <s v="_x0000_US"/>
  </r>
  <r>
    <x v="0"/>
    <n v="13.6929"/>
    <n v="-89.1768"/>
    <n v="9845.83"/>
    <n v="0"/>
    <n v="0"/>
    <n v="101"/>
    <s v="_x0000_US"/>
  </r>
  <r>
    <x v="0"/>
    <n v="13.6889"/>
    <n v="-89.180899999999994"/>
    <n v="9845.9500000000007"/>
    <n v="0"/>
    <n v="0"/>
    <n v="101"/>
    <s v="_x0000_US"/>
  </r>
  <r>
    <x v="0"/>
    <n v="13.6938"/>
    <n v="-89.189099999999996"/>
    <n v="9846.6"/>
    <n v="0"/>
    <n v="0"/>
    <n v="101"/>
    <s v="_x0000_US"/>
  </r>
  <r>
    <x v="0"/>
    <n v="13.674799999999999"/>
    <n v="-89.199600000000004"/>
    <n v="9847.18"/>
    <n v="0"/>
    <n v="0"/>
    <n v="101"/>
    <s v="_x0000_US"/>
  </r>
  <r>
    <x v="0"/>
    <n v="13.690899999999999"/>
    <n v="-89.189700000000002"/>
    <n v="9847.5"/>
    <n v="0"/>
    <n v="0"/>
    <n v="101"/>
    <s v="_x0000_US"/>
  </r>
  <r>
    <x v="0"/>
    <n v="13.687200000000001"/>
    <n v="-89.197699999999998"/>
    <n v="9848.2800000000007"/>
    <n v="0"/>
    <n v="0"/>
    <n v="101"/>
    <s v="_x0000_US"/>
  </r>
  <r>
    <x v="0"/>
    <n v="13.687799999999999"/>
    <n v="-89.196299999999994"/>
    <n v="9848.32"/>
    <n v="0"/>
    <n v="0"/>
    <n v="101"/>
    <s v="_x0000_US"/>
  </r>
  <r>
    <x v="0"/>
    <n v="13.693"/>
    <n v="-89.183499999999995"/>
    <n v="9848.59"/>
    <n v="0"/>
    <n v="0"/>
    <n v="101"/>
    <s v="_x0000_US"/>
  </r>
  <r>
    <x v="0"/>
    <n v="13.688599999999999"/>
    <n v="-89.1982"/>
    <n v="9848.9599999999991"/>
    <n v="0"/>
    <n v="0"/>
    <n v="101"/>
    <s v="_x0000_US"/>
  </r>
  <r>
    <x v="0"/>
    <n v="13.6891"/>
    <n v="-89.181100000000001"/>
    <n v="9848.98"/>
    <n v="0"/>
    <n v="0"/>
    <n v="101"/>
    <s v="_x0000_US"/>
  </r>
  <r>
    <x v="0"/>
    <n v="13.691000000000001"/>
    <n v="-89.233999999999995"/>
    <n v="9849.15"/>
    <n v="0"/>
    <n v="0"/>
    <n v="101"/>
    <s v="_x0000_US"/>
  </r>
  <r>
    <x v="0"/>
    <n v="13.687799999999999"/>
    <n v="-89.197100000000006"/>
    <n v="9849.23"/>
    <n v="0"/>
    <n v="0"/>
    <n v="101"/>
    <s v="_x0000_US"/>
  </r>
  <r>
    <x v="0"/>
    <n v="13.6877"/>
    <n v="-89.197000000000003"/>
    <n v="9850.83"/>
    <n v="0"/>
    <n v="0"/>
    <n v="101"/>
    <s v="_x0000_US"/>
  </r>
  <r>
    <x v="0"/>
    <n v="13.6922"/>
    <n v="-89.193299999999994"/>
    <n v="9850.9"/>
    <n v="0"/>
    <n v="0"/>
    <n v="101"/>
    <s v="_x0000_US"/>
  </r>
  <r>
    <x v="0"/>
    <n v="13.6914"/>
    <n v="-89.232699999999994"/>
    <n v="9851.09"/>
    <n v="0"/>
    <n v="0"/>
    <n v="101"/>
    <s v="_x0000_US"/>
  </r>
  <r>
    <x v="0"/>
    <n v="13.6868"/>
    <n v="-89.194599999999994"/>
    <n v="9852.27"/>
    <n v="0"/>
    <n v="0"/>
    <n v="101"/>
    <s v="_x0000_US"/>
  </r>
  <r>
    <x v="0"/>
    <n v="13.6915"/>
    <n v="-89.189800000000005"/>
    <n v="9852.8700000000008"/>
    <n v="0"/>
    <n v="0"/>
    <n v="101"/>
    <s v="_x0000_US"/>
  </r>
  <r>
    <x v="0"/>
    <n v="13.6928"/>
    <n v="-89.179000000000002"/>
    <n v="9853.5499999999993"/>
    <n v="0"/>
    <n v="0"/>
    <n v="101"/>
    <s v="_x0000_US"/>
  </r>
  <r>
    <x v="0"/>
    <n v="13.6897"/>
    <n v="-89.181600000000003"/>
    <n v="9853.6299999999992"/>
    <n v="0"/>
    <n v="0"/>
    <n v="101"/>
    <s v="_x0000_US"/>
  </r>
  <r>
    <x v="0"/>
    <n v="13.6881"/>
    <n v="-89.216200000000001"/>
    <n v="9853.82"/>
    <n v="0"/>
    <n v="0"/>
    <n v="101"/>
    <s v="_x0000_US"/>
  </r>
  <r>
    <x v="0"/>
    <n v="13.676299999999999"/>
    <n v="-89.199700000000007"/>
    <n v="9854.07"/>
    <n v="0"/>
    <n v="0"/>
    <n v="101"/>
    <s v="_x0000_US"/>
  </r>
  <r>
    <x v="0"/>
    <n v="13.688499999999999"/>
    <n v="-89.229299999999995"/>
    <n v="9854.7099999999991"/>
    <n v="0"/>
    <n v="0"/>
    <n v="101"/>
    <s v="_x0000_US"/>
  </r>
  <r>
    <x v="0"/>
    <n v="13.692399999999999"/>
    <n v="-89.184299999999993"/>
    <n v="9854.7999999999993"/>
    <n v="0"/>
    <n v="0"/>
    <n v="101"/>
    <s v="_x0000_US"/>
  </r>
  <r>
    <x v="0"/>
    <n v="13.6873"/>
    <n v="-89.216499999999996"/>
    <n v="9854.85"/>
    <n v="0"/>
    <n v="0"/>
    <n v="101"/>
    <s v="_x0000_US"/>
  </r>
  <r>
    <x v="0"/>
    <n v="13.6851"/>
    <n v="-89.211399999999998"/>
    <n v="9855.94"/>
    <n v="0"/>
    <n v="0"/>
    <n v="101"/>
    <s v="_x0000_US"/>
  </r>
  <r>
    <x v="0"/>
    <n v="13.6883"/>
    <n v="-89.181700000000006"/>
    <n v="9856.4"/>
    <n v="0"/>
    <n v="0"/>
    <n v="101"/>
    <s v="_x0000_US"/>
  </r>
  <r>
    <x v="0"/>
    <n v="13.6913"/>
    <n v="-89.188100000000006"/>
    <n v="9856.41"/>
    <n v="0"/>
    <n v="0"/>
    <n v="101"/>
    <s v="_x0000_US"/>
  </r>
  <r>
    <x v="0"/>
    <n v="13.691700000000001"/>
    <n v="-89.221299999999999"/>
    <n v="9856.94"/>
    <n v="0"/>
    <n v="0"/>
    <n v="101"/>
    <s v="_x0000_US"/>
  </r>
  <r>
    <x v="0"/>
    <n v="13.6873"/>
    <n v="-89.194500000000005"/>
    <n v="9857.0300000000007"/>
    <n v="0"/>
    <n v="0"/>
    <n v="101"/>
    <s v="_x0000_US"/>
  </r>
  <r>
    <x v="0"/>
    <n v="13.6747"/>
    <n v="-89.252300000000005"/>
    <n v="9857.27"/>
    <n v="0"/>
    <n v="0"/>
    <n v="101"/>
    <s v="_x0000_US"/>
  </r>
  <r>
    <x v="0"/>
    <n v="13.688000000000001"/>
    <n v="-89.194299999999998"/>
    <n v="9857.6299999999992"/>
    <n v="0"/>
    <n v="0"/>
    <n v="101"/>
    <s v="_x0000_US"/>
  </r>
  <r>
    <x v="0"/>
    <n v="13.6911"/>
    <n v="-89.234700000000004"/>
    <n v="9857.68"/>
    <n v="0"/>
    <n v="0"/>
    <n v="101"/>
    <s v="_x0000_US"/>
  </r>
  <r>
    <x v="0"/>
    <n v="13.6852"/>
    <n v="-89.214200000000005"/>
    <n v="9857.73"/>
    <n v="0"/>
    <n v="0"/>
    <n v="101"/>
    <s v="_x0000_US"/>
  </r>
  <r>
    <x v="0"/>
    <n v="13.6899"/>
    <n v="-89.188699999999997"/>
    <n v="9857.7999999999993"/>
    <n v="0"/>
    <n v="0"/>
    <n v="101"/>
    <s v="_x0000_US"/>
  </r>
  <r>
    <x v="0"/>
    <n v="13.6869"/>
    <n v="-89.183400000000006"/>
    <n v="9857.9"/>
    <n v="0"/>
    <n v="0"/>
    <n v="101"/>
    <s v="_x0000_US"/>
  </r>
  <r>
    <x v="0"/>
    <n v="13.6852"/>
    <n v="-89.194199999999995"/>
    <n v="9858.32"/>
    <n v="0"/>
    <n v="0"/>
    <n v="101"/>
    <s v="_x0000_US"/>
  </r>
  <r>
    <x v="0"/>
    <n v="13.6914"/>
    <n v="-89.189400000000006"/>
    <n v="9858.58"/>
    <n v="0"/>
    <n v="0"/>
    <n v="101"/>
    <s v="_x0000_US"/>
  </r>
  <r>
    <x v="0"/>
    <n v="13.691000000000001"/>
    <n v="-89.228999999999999"/>
    <n v="9858.7800000000007"/>
    <n v="0"/>
    <n v="0"/>
    <n v="101"/>
    <s v="_x0000_US"/>
  </r>
  <r>
    <x v="0"/>
    <n v="13.692399999999999"/>
    <n v="-89.175899999999999"/>
    <n v="9859.75"/>
    <n v="0"/>
    <n v="0"/>
    <n v="101"/>
    <s v="_x0000_US"/>
  </r>
  <r>
    <x v="0"/>
    <n v="13.69"/>
    <n v="-89.180099999999996"/>
    <n v="9859.82"/>
    <n v="0"/>
    <n v="0"/>
    <n v="101"/>
    <s v="_x0000_US"/>
  </r>
  <r>
    <x v="0"/>
    <n v="13.6968"/>
    <n v="-89.171800000000005"/>
    <n v="9860.24"/>
    <n v="0"/>
    <n v="0"/>
    <n v="101"/>
    <s v="_x0000_US"/>
  </r>
  <r>
    <x v="0"/>
    <n v="13.6891"/>
    <n v="-89.177899999999994"/>
    <n v="9860.5300000000007"/>
    <n v="0"/>
    <n v="0"/>
    <n v="101"/>
    <s v="_x0000_US"/>
  </r>
  <r>
    <x v="0"/>
    <n v="13.689299999999999"/>
    <n v="-89.235900000000001"/>
    <n v="9860.6200000000008"/>
    <n v="0"/>
    <n v="0"/>
    <n v="101"/>
    <s v="_x0000_US"/>
  </r>
  <r>
    <x v="0"/>
    <n v="13.69"/>
    <n v="-89.236199999999997"/>
    <n v="9860.7199999999993"/>
    <n v="0"/>
    <n v="0"/>
    <n v="101"/>
    <s v="_x0000_US"/>
  </r>
  <r>
    <x v="0"/>
    <n v="13.689"/>
    <n v="-89.229600000000005"/>
    <n v="9860.73"/>
    <n v="0"/>
    <n v="0"/>
    <n v="101"/>
    <s v="_x0000_US"/>
  </r>
  <r>
    <x v="0"/>
    <n v="13.684799999999999"/>
    <n v="-89.213499999999996"/>
    <n v="9861.1200000000008"/>
    <n v="0"/>
    <n v="0"/>
    <n v="101"/>
    <s v="_x0000_US"/>
  </r>
  <r>
    <x v="0"/>
    <n v="13.6724"/>
    <n v="-89.204099999999997"/>
    <n v="9861.17"/>
    <n v="0"/>
    <n v="0"/>
    <n v="101"/>
    <s v="_x0000_US"/>
  </r>
  <r>
    <x v="0"/>
    <n v="13.6867"/>
    <n v="-89.194500000000005"/>
    <n v="9861.27"/>
    <n v="0"/>
    <n v="0"/>
    <n v="101"/>
    <s v="_x0000_US"/>
  </r>
  <r>
    <x v="0"/>
    <n v="13.6892"/>
    <n v="-89.236000000000004"/>
    <n v="9861.3700000000008"/>
    <n v="0"/>
    <n v="0"/>
    <n v="101"/>
    <s v="_x0000_US"/>
  </r>
  <r>
    <x v="0"/>
    <n v="13.690899999999999"/>
    <n v="-89.185000000000002"/>
    <n v="9862.1299999999992"/>
    <n v="0"/>
    <n v="0"/>
    <n v="101"/>
    <s v="_x0000_US"/>
  </r>
  <r>
    <x v="0"/>
    <n v="13.684699999999999"/>
    <n v="-89.213200000000001"/>
    <n v="9862.26"/>
    <n v="0"/>
    <n v="0"/>
    <n v="101"/>
    <s v="_x0000_US"/>
  </r>
  <r>
    <x v="0"/>
    <n v="13.6858"/>
    <n v="-89.203699999999998"/>
    <n v="9862.34"/>
    <n v="0"/>
    <n v="0"/>
    <n v="101"/>
    <s v="_x0000_US"/>
  </r>
  <r>
    <x v="0"/>
    <n v="13.6913"/>
    <n v="-89.235100000000003"/>
    <n v="9862.42"/>
    <n v="0"/>
    <n v="0"/>
    <n v="101"/>
    <s v="_x0000_US"/>
  </r>
  <r>
    <x v="0"/>
    <n v="13.6945"/>
    <n v="-89.175399999999996"/>
    <n v="9862.5499999999993"/>
    <n v="0"/>
    <n v="0"/>
    <n v="101"/>
    <s v="_x0000_US"/>
  </r>
  <r>
    <x v="0"/>
    <n v="13.6896"/>
    <n v="-89.235500000000002"/>
    <n v="9862.5499999999993"/>
    <n v="0"/>
    <n v="0"/>
    <n v="101"/>
    <s v="_x0000_US"/>
  </r>
  <r>
    <x v="0"/>
    <n v="13.6889"/>
    <n v="-89.177899999999994"/>
    <n v="9862.7800000000007"/>
    <n v="0"/>
    <n v="0"/>
    <n v="101"/>
    <s v="_x0000_US"/>
  </r>
  <r>
    <x v="0"/>
    <n v="13.6874"/>
    <n v="-89.194299999999998"/>
    <n v="9863.66"/>
    <n v="0"/>
    <n v="0"/>
    <n v="101"/>
    <s v="_x0000_US"/>
  </r>
  <r>
    <x v="0"/>
    <n v="13.688800000000001"/>
    <n v="-89.229100000000003"/>
    <n v="9863.67"/>
    <n v="0"/>
    <n v="0"/>
    <n v="101"/>
    <s v="_x0000_US"/>
  </r>
  <r>
    <x v="0"/>
    <n v="13.6868"/>
    <n v="-89.182900000000004"/>
    <n v="9863.7000000000007"/>
    <n v="0"/>
    <n v="0"/>
    <n v="101"/>
    <s v="_x0000_US"/>
  </r>
  <r>
    <x v="0"/>
    <n v="13.6915"/>
    <n v="-89.189300000000003"/>
    <n v="9863.98"/>
    <n v="0"/>
    <n v="0"/>
    <n v="101"/>
    <s v="_x0000_US"/>
  </r>
  <r>
    <x v="0"/>
    <n v="13.6911"/>
    <n v="-89.189300000000003"/>
    <n v="9864.2099999999991"/>
    <n v="0"/>
    <n v="0"/>
    <n v="101"/>
    <s v="_x0000_US"/>
  </r>
  <r>
    <x v="0"/>
    <n v="13.6751"/>
    <n v="-89.248699999999999"/>
    <n v="9864.31"/>
    <n v="0"/>
    <n v="0"/>
    <n v="101"/>
    <s v="_x0000_US"/>
  </r>
  <r>
    <x v="0"/>
    <n v="13.6859"/>
    <n v="-89.202699999999993"/>
    <n v="9864.3700000000008"/>
    <n v="0"/>
    <n v="0"/>
    <n v="101"/>
    <s v="_x0000_US"/>
  </r>
  <r>
    <x v="0"/>
    <n v="13.6877"/>
    <n v="-89.195499999999996"/>
    <n v="9864.42"/>
    <n v="0"/>
    <n v="0"/>
    <n v="101"/>
    <s v="_x0000_US"/>
  </r>
  <r>
    <x v="0"/>
    <n v="13.691700000000001"/>
    <n v="-89.188000000000002"/>
    <n v="9864.7900000000009"/>
    <n v="0"/>
    <n v="0"/>
    <n v="101"/>
    <s v="_x0000_US"/>
  </r>
  <r>
    <x v="0"/>
    <n v="13.674899999999999"/>
    <n v="-89.249099999999999"/>
    <n v="9864.99"/>
    <n v="0"/>
    <n v="0"/>
    <n v="101"/>
    <s v="_x0000_US"/>
  </r>
  <r>
    <x v="0"/>
    <n v="13.6898"/>
    <n v="-89.177499999999995"/>
    <n v="9865.07"/>
    <n v="0"/>
    <n v="0"/>
    <n v="101"/>
    <s v="_x0000_US"/>
  </r>
  <r>
    <x v="0"/>
    <n v="13.6798"/>
    <n v="-89.194900000000004"/>
    <n v="9865.89"/>
    <n v="0"/>
    <n v="0"/>
    <n v="101"/>
    <s v="_x0000_US"/>
  </r>
  <r>
    <x v="0"/>
    <n v="13.677099999999999"/>
    <n v="-89.1995"/>
    <n v="9866.0499999999993"/>
    <n v="0"/>
    <n v="0"/>
    <n v="101"/>
    <s v="_x0000_US"/>
  </r>
  <r>
    <x v="0"/>
    <n v="13.686500000000001"/>
    <n v="-89.203500000000005"/>
    <n v="9866.0499999999993"/>
    <n v="0"/>
    <n v="0"/>
    <n v="101"/>
    <s v="_x0000_US"/>
  </r>
  <r>
    <x v="0"/>
    <n v="13.691700000000001"/>
    <n v="-89.221000000000004"/>
    <n v="9866.06"/>
    <n v="0"/>
    <n v="0"/>
    <n v="101"/>
    <s v="_x0000_US"/>
  </r>
  <r>
    <x v="0"/>
    <n v="13.690200000000001"/>
    <n v="-89.228499999999997"/>
    <n v="9866.66"/>
    <n v="0"/>
    <n v="0"/>
    <n v="101"/>
    <s v="_x0000_US"/>
  </r>
  <r>
    <x v="0"/>
    <n v="13.6913"/>
    <n v="-89.189499999999995"/>
    <n v="9866.7999999999993"/>
    <n v="0"/>
    <n v="0"/>
    <n v="101"/>
    <s v="_x0000_US"/>
  </r>
  <r>
    <x v="0"/>
    <n v="13.6936"/>
    <n v="-89.188699999999997"/>
    <n v="9866.8799999999992"/>
    <n v="0"/>
    <n v="0"/>
    <n v="101"/>
    <s v="_x0000_US"/>
  </r>
  <r>
    <x v="0"/>
    <n v="13.691000000000001"/>
    <n v="-89.186199999999999"/>
    <n v="9866.9"/>
    <n v="0"/>
    <n v="0"/>
    <n v="101"/>
    <s v="_x0000_US"/>
  </r>
  <r>
    <x v="0"/>
    <n v="13.6922"/>
    <n v="-89.196899999999999"/>
    <n v="9867.23"/>
    <n v="0"/>
    <n v="0"/>
    <n v="101"/>
    <s v="_x0000_US"/>
  </r>
  <r>
    <x v="0"/>
    <n v="13.6911"/>
    <n v="-89.228499999999997"/>
    <n v="9867.26"/>
    <n v="0"/>
    <n v="0"/>
    <n v="101"/>
    <s v="_x0000_US"/>
  </r>
  <r>
    <x v="0"/>
    <n v="13.691700000000001"/>
    <n v="-89.232600000000005"/>
    <n v="9867.3799999999992"/>
    <n v="0"/>
    <n v="0"/>
    <n v="101"/>
    <s v="_x0000_US"/>
  </r>
  <r>
    <x v="0"/>
    <n v="13.691700000000001"/>
    <n v="-89.2256"/>
    <n v="9867.39"/>
    <n v="0"/>
    <n v="0"/>
    <n v="101"/>
    <s v="_x0000_US"/>
  </r>
  <r>
    <x v="0"/>
    <n v="13.6806"/>
    <n v="-89.195999999999998"/>
    <n v="9867.76"/>
    <n v="0"/>
    <n v="0"/>
    <n v="101"/>
    <s v="_x0000_US"/>
  </r>
  <r>
    <x v="0"/>
    <n v="13.6876"/>
    <n v="-89.197100000000006"/>
    <n v="9868.2900000000009"/>
    <n v="0"/>
    <n v="0"/>
    <n v="101"/>
    <s v="_x0000_US"/>
  </r>
  <r>
    <x v="0"/>
    <n v="13.6915"/>
    <n v="-89.186000000000007"/>
    <n v="9868.36"/>
    <n v="0"/>
    <n v="0"/>
    <n v="101"/>
    <s v="_x0000_US"/>
  </r>
  <r>
    <x v="0"/>
    <n v="13.686299999999999"/>
    <n v="-89.211399999999998"/>
    <n v="9868.61"/>
    <n v="0"/>
    <n v="0"/>
    <n v="101"/>
    <s v="_x0000_US"/>
  </r>
  <r>
    <x v="0"/>
    <n v="13.6911"/>
    <n v="-89.232900000000001"/>
    <n v="9869.51"/>
    <n v="0"/>
    <n v="0"/>
    <n v="101"/>
    <s v="_x0000_US"/>
  </r>
  <r>
    <x v="0"/>
    <n v="13.6915"/>
    <n v="-89.234099999999998"/>
    <n v="9869.5499999999993"/>
    <n v="0"/>
    <n v="0"/>
    <n v="101"/>
    <s v="_x0000_US"/>
  </r>
  <r>
    <x v="0"/>
    <n v="13.6934"/>
    <n v="-89.188699999999997"/>
    <n v="9869.74"/>
    <n v="0"/>
    <n v="0"/>
    <n v="101"/>
    <s v="_x0000_US"/>
  </r>
  <r>
    <x v="0"/>
    <n v="13.6911"/>
    <n v="-89.229299999999995"/>
    <n v="9869.76"/>
    <n v="0"/>
    <n v="0"/>
    <n v="101"/>
    <s v="_x0000_US"/>
  </r>
  <r>
    <x v="0"/>
    <n v="13.6874"/>
    <n v="-89.194599999999994"/>
    <n v="9869.77"/>
    <n v="0"/>
    <n v="0"/>
    <n v="101"/>
    <s v="_x0000_US"/>
  </r>
  <r>
    <x v="0"/>
    <n v="13.690799999999999"/>
    <n v="-89.234999999999999"/>
    <n v="9872.4500000000007"/>
    <n v="0"/>
    <n v="0"/>
    <n v="101"/>
    <s v="_x0000_US"/>
  </r>
  <r>
    <x v="0"/>
    <n v="13.692600000000001"/>
    <n v="-89.224100000000007"/>
    <n v="9872.84"/>
    <n v="0"/>
    <n v="0"/>
    <n v="101"/>
    <s v="_x0000_US"/>
  </r>
  <r>
    <x v="0"/>
    <n v="13.687799999999999"/>
    <n v="-89.197199999999995"/>
    <n v="9872.98"/>
    <n v="0"/>
    <n v="0"/>
    <n v="101"/>
    <s v="_x0000_US"/>
  </r>
  <r>
    <x v="0"/>
    <n v="13.6876"/>
    <n v="-89.197100000000006"/>
    <n v="9873.25"/>
    <n v="0"/>
    <n v="0"/>
    <n v="101"/>
    <s v="_x0000_US"/>
  </r>
  <r>
    <x v="0"/>
    <n v="13.6877"/>
    <n v="-89.179599999999994"/>
    <n v="9873.35"/>
    <n v="0"/>
    <n v="0"/>
    <n v="101"/>
    <s v="_x0000_US"/>
  </r>
  <r>
    <x v="0"/>
    <n v="13.6914"/>
    <n v="-89.234499999999997"/>
    <n v="9873.5"/>
    <n v="0"/>
    <n v="0"/>
    <n v="101"/>
    <s v="_x0000_US"/>
  </r>
  <r>
    <x v="0"/>
    <n v="13.6898"/>
    <n v="-89.194000000000003"/>
    <n v="9873.98"/>
    <n v="0"/>
    <n v="0"/>
    <n v="101"/>
    <s v="_x0000_US"/>
  </r>
  <r>
    <x v="0"/>
    <n v="13.690300000000001"/>
    <n v="-89.236099999999993"/>
    <n v="9873.99"/>
    <n v="0"/>
    <n v="0"/>
    <n v="101"/>
    <s v="_x0000_US"/>
  </r>
  <r>
    <x v="0"/>
    <n v="13.693300000000001"/>
    <n v="-89.192400000000006"/>
    <n v="9874.11"/>
    <n v="0"/>
    <n v="0"/>
    <n v="101"/>
    <s v="_x0000_US"/>
  </r>
  <r>
    <x v="0"/>
    <n v="13.673999999999999"/>
    <n v="-89.202600000000004"/>
    <n v="9874.2900000000009"/>
    <n v="0"/>
    <n v="0"/>
    <n v="101"/>
    <s v="_x0000_US"/>
  </r>
  <r>
    <x v="0"/>
    <n v="13.6915"/>
    <n v="-89.227099999999993"/>
    <n v="9874.36"/>
    <n v="0"/>
    <n v="0"/>
    <n v="101"/>
    <s v="_x0000_US"/>
  </r>
  <r>
    <x v="0"/>
    <n v="13.6919"/>
    <n v="-89.185500000000005"/>
    <n v="9874.93"/>
    <n v="0"/>
    <n v="0"/>
    <n v="101"/>
    <s v="_x0000_US"/>
  </r>
  <r>
    <x v="0"/>
    <n v="13.686400000000001"/>
    <n v="-89.204300000000003"/>
    <n v="9875.67"/>
    <n v="0"/>
    <n v="0"/>
    <n v="101"/>
    <s v="_x0000_US"/>
  </r>
  <r>
    <x v="0"/>
    <n v="13.6869"/>
    <n v="-89.191299999999998"/>
    <n v="9875.9500000000007"/>
    <n v="0"/>
    <n v="0"/>
    <n v="101"/>
    <s v="_x0000_US"/>
  </r>
  <r>
    <x v="0"/>
    <n v="13.6951"/>
    <n v="-89.173699999999997"/>
    <n v="9876.0300000000007"/>
    <n v="0"/>
    <n v="0"/>
    <n v="101"/>
    <s v="_x0000_US"/>
  </r>
  <r>
    <x v="0"/>
    <n v="13.684699999999999"/>
    <n v="-89.213099999999997"/>
    <n v="9876.58"/>
    <n v="0"/>
    <n v="0"/>
    <n v="101"/>
    <s v="_x0000_US"/>
  </r>
  <r>
    <x v="0"/>
    <n v="13.687200000000001"/>
    <n v="-89.196399999999997"/>
    <n v="9876.6299999999992"/>
    <n v="0"/>
    <n v="0"/>
    <n v="101"/>
    <s v="_x0000_US"/>
  </r>
  <r>
    <x v="0"/>
    <n v="13.690200000000001"/>
    <n v="-89.188400000000001"/>
    <n v="9876.7099999999991"/>
    <n v="0"/>
    <n v="0"/>
    <n v="101"/>
    <s v="_x0000_US"/>
  </r>
  <r>
    <x v="0"/>
    <n v="13.6904"/>
    <n v="-89.178700000000006"/>
    <n v="9876.9500000000007"/>
    <n v="0"/>
    <n v="0"/>
    <n v="101"/>
    <s v="_x0000_US"/>
  </r>
  <r>
    <x v="0"/>
    <n v="13.687900000000001"/>
    <n v="-89.179599999999994"/>
    <n v="9877.16"/>
    <n v="0"/>
    <n v="0"/>
    <n v="101"/>
    <s v="_x0000_US"/>
  </r>
  <r>
    <x v="0"/>
    <n v="13.6891"/>
    <n v="-89.215000000000003"/>
    <n v="9877.57"/>
    <n v="0"/>
    <n v="0"/>
    <n v="101"/>
    <s v="_x0000_US"/>
  </r>
  <r>
    <x v="0"/>
    <n v="13.6906"/>
    <n v="-89.194299999999998"/>
    <n v="9878.3700000000008"/>
    <n v="0"/>
    <n v="0"/>
    <n v="101"/>
    <s v="_x0000_US"/>
  </r>
  <r>
    <x v="0"/>
    <n v="13.6921"/>
    <n v="-89.1798"/>
    <n v="9878.56"/>
    <n v="0"/>
    <n v="0"/>
    <n v="101"/>
    <s v="_x0000_US"/>
  </r>
  <r>
    <x v="0"/>
    <n v="13.692399999999999"/>
    <n v="-89.1768"/>
    <n v="9878.7800000000007"/>
    <n v="0"/>
    <n v="0"/>
    <n v="101"/>
    <s v="_x0000_US"/>
  </r>
  <r>
    <x v="0"/>
    <n v="13.691599999999999"/>
    <n v="-89.185500000000005"/>
    <n v="9879.11"/>
    <n v="0"/>
    <n v="0"/>
    <n v="101"/>
    <s v="_x0000_US"/>
  </r>
  <r>
    <x v="0"/>
    <n v="13.687200000000001"/>
    <n v="-89.205399999999997"/>
    <n v="9879.64"/>
    <n v="0"/>
    <n v="0"/>
    <n v="101"/>
    <s v="_x0000_US"/>
  </r>
  <r>
    <x v="0"/>
    <n v="13.674099999999999"/>
    <n v="-89.202200000000005"/>
    <n v="9880.08"/>
    <n v="0"/>
    <n v="0"/>
    <n v="101"/>
    <s v="_x0000_US"/>
  </r>
  <r>
    <x v="0"/>
    <n v="13.686199999999999"/>
    <n v="-89.212900000000005"/>
    <n v="9880.15"/>
    <n v="0"/>
    <n v="0"/>
    <n v="101"/>
    <s v="_x0000_US"/>
  </r>
  <r>
    <x v="0"/>
    <n v="13.689"/>
    <n v="-89.190100000000001"/>
    <n v="9880.2800000000007"/>
    <n v="0"/>
    <n v="0"/>
    <n v="101"/>
    <s v="_x0000_US"/>
  </r>
  <r>
    <x v="0"/>
    <n v="13.690899999999999"/>
    <n v="-89.233099999999993"/>
    <n v="9880.34"/>
    <n v="0"/>
    <n v="0"/>
    <n v="101"/>
    <s v="_x0000_US"/>
  </r>
  <r>
    <x v="0"/>
    <n v="13.691700000000001"/>
    <n v="-89.1815"/>
    <n v="9880.76"/>
    <n v="0"/>
    <n v="0"/>
    <n v="101"/>
    <s v="_x0000_US"/>
  </r>
  <r>
    <x v="0"/>
    <n v="13.674899999999999"/>
    <n v="-89.251499999999993"/>
    <n v="9880.9699999999993"/>
    <n v="0"/>
    <n v="0"/>
    <n v="101"/>
    <s v="_x0000_US"/>
  </r>
  <r>
    <x v="0"/>
    <n v="13.6937"/>
    <n v="-89.190299999999993"/>
    <n v="9881.15"/>
    <n v="0"/>
    <n v="0"/>
    <n v="101"/>
    <s v="_x0000_US"/>
  </r>
  <r>
    <x v="0"/>
    <n v="13.6957"/>
    <n v="-89.172700000000006"/>
    <n v="9881.5300000000007"/>
    <n v="0"/>
    <n v="0"/>
    <n v="101"/>
    <s v="_x0000_US"/>
  </r>
  <r>
    <x v="0"/>
    <n v="13.687099999999999"/>
    <n v="-89.194699999999997"/>
    <n v="9881.64"/>
    <n v="0"/>
    <n v="0"/>
    <n v="101"/>
    <s v="_x0000_US"/>
  </r>
  <r>
    <x v="0"/>
    <n v="13.6889"/>
    <n v="-89.229699999999994"/>
    <n v="9881.74"/>
    <n v="0"/>
    <n v="0"/>
    <n v="101"/>
    <s v="_x0000_US"/>
  </r>
  <r>
    <x v="0"/>
    <n v="13.691599999999999"/>
    <n v="-89.183199999999999"/>
    <n v="9882.44"/>
    <n v="0"/>
    <n v="0"/>
    <n v="101"/>
    <s v="_x0000_US"/>
  </r>
  <r>
    <x v="0"/>
    <n v="13.690899999999999"/>
    <n v="-89.233199999999997"/>
    <n v="9882.6"/>
    <n v="0"/>
    <n v="0"/>
    <n v="101"/>
    <s v="_x0000_US"/>
  </r>
  <r>
    <x v="0"/>
    <n v="13.692299999999999"/>
    <n v="-89.174999999999997"/>
    <n v="9882.86"/>
    <n v="0"/>
    <n v="0"/>
    <n v="101"/>
    <s v="_x0000_US"/>
  </r>
  <r>
    <x v="0"/>
    <n v="13.6897"/>
    <n v="-89.1935"/>
    <n v="9882.9500000000007"/>
    <n v="0"/>
    <n v="0"/>
    <n v="101"/>
    <s v="_x0000_US"/>
  </r>
  <r>
    <x v="0"/>
    <n v="13.691599999999999"/>
    <n v="-89.234499999999997"/>
    <n v="9882.9599999999991"/>
    <n v="0"/>
    <n v="0"/>
    <n v="101"/>
    <s v="_x0000_US"/>
  </r>
  <r>
    <x v="0"/>
    <n v="13.684900000000001"/>
    <n v="-89.216700000000003"/>
    <n v="9883.18"/>
    <n v="0"/>
    <n v="0"/>
    <n v="101"/>
    <s v="_x0000_US"/>
  </r>
  <r>
    <x v="0"/>
    <n v="13.6898"/>
    <n v="-89.193899999999999"/>
    <n v="9883.5499999999993"/>
    <n v="0"/>
    <n v="0"/>
    <n v="101"/>
    <s v="_x0000_US"/>
  </r>
  <r>
    <x v="0"/>
    <n v="13.6936"/>
    <n v="-89.175600000000003"/>
    <n v="9883.65"/>
    <n v="0"/>
    <n v="0"/>
    <n v="101"/>
    <s v="_x0000_US"/>
  </r>
  <r>
    <x v="0"/>
    <n v="13.6869"/>
    <n v="-89.194400000000002"/>
    <n v="9883.9500000000007"/>
    <n v="0"/>
    <n v="0"/>
    <n v="101"/>
    <s v="_x0000_US"/>
  </r>
  <r>
    <x v="0"/>
    <n v="13.6852"/>
    <n v="-89.211200000000005"/>
    <n v="9883.99"/>
    <n v="0"/>
    <n v="0"/>
    <n v="101"/>
    <s v="_x0000_US"/>
  </r>
  <r>
    <x v="0"/>
    <n v="13.6889"/>
    <n v="-89.214500000000001"/>
    <n v="9884.0499999999993"/>
    <n v="0"/>
    <n v="0"/>
    <n v="101"/>
    <s v="_x0000_US"/>
  </r>
  <r>
    <x v="0"/>
    <n v="13.691599999999999"/>
    <n v="-89.232699999999994"/>
    <n v="9884.4"/>
    <n v="0"/>
    <n v="0"/>
    <n v="101"/>
    <s v="_x0000_US"/>
  </r>
  <r>
    <x v="0"/>
    <n v="13.691700000000001"/>
    <n v="-89.186499999999995"/>
    <n v="9885.5"/>
    <n v="0"/>
    <n v="0"/>
    <n v="101"/>
    <s v="_x0000_US"/>
  </r>
  <r>
    <x v="0"/>
    <n v="13.686199999999999"/>
    <n v="-89.203699999999998"/>
    <n v="9885.68"/>
    <n v="0"/>
    <n v="0"/>
    <n v="101"/>
    <s v="_x0000_US"/>
  </r>
  <r>
    <x v="0"/>
    <n v="13.6911"/>
    <n v="-89.234499999999997"/>
    <n v="9885.68"/>
    <n v="0"/>
    <n v="0"/>
    <n v="101"/>
    <s v="_x0000_US"/>
  </r>
  <r>
    <x v="0"/>
    <n v="13.6899"/>
    <n v="-89.194100000000006"/>
    <n v="9885.75"/>
    <n v="0"/>
    <n v="0"/>
    <n v="101"/>
    <s v="_x0000_US"/>
  </r>
  <r>
    <x v="0"/>
    <n v="13.687200000000001"/>
    <n v="-89.195800000000006"/>
    <n v="9885.7800000000007"/>
    <n v="0"/>
    <n v="0"/>
    <n v="101"/>
    <s v="_x0000_US"/>
  </r>
  <r>
    <x v="0"/>
    <n v="13.686"/>
    <n v="-89.201099999999997"/>
    <n v="9885.99"/>
    <n v="0"/>
    <n v="0"/>
    <n v="101"/>
    <s v="_x0000_US"/>
  </r>
  <r>
    <x v="0"/>
    <n v="13.685"/>
    <n v="-89.216499999999996"/>
    <n v="9886.33"/>
    <n v="0"/>
    <n v="0"/>
    <n v="101"/>
    <s v="_x0000_US"/>
  </r>
  <r>
    <x v="0"/>
    <n v="13.6851"/>
    <n v="-89.217200000000005"/>
    <n v="9886.75"/>
    <n v="0"/>
    <n v="0"/>
    <n v="101"/>
    <s v="_x0000_US"/>
  </r>
  <r>
    <x v="0"/>
    <n v="13.692500000000001"/>
    <n v="-89.226500000000001"/>
    <n v="9886.9"/>
    <n v="0"/>
    <n v="0"/>
    <n v="101"/>
    <s v="_x0000_US"/>
  </r>
  <r>
    <x v="0"/>
    <n v="13.6898"/>
    <n v="-89.193799999999996"/>
    <n v="9887.01"/>
    <n v="0"/>
    <n v="0"/>
    <n v="101"/>
    <s v="_x0000_US"/>
  </r>
  <r>
    <x v="0"/>
    <n v="13.6944"/>
    <n v="-89.1751"/>
    <n v="9887.44"/>
    <n v="0"/>
    <n v="0"/>
    <n v="101"/>
    <s v="_x0000_US"/>
  </r>
  <r>
    <x v="0"/>
    <n v="13.691800000000001"/>
    <n v="-89.221299999999999"/>
    <n v="9887.5"/>
    <n v="0"/>
    <n v="0"/>
    <n v="101"/>
    <s v="_x0000_US"/>
  </r>
  <r>
    <x v="0"/>
    <n v="13.685700000000001"/>
    <n v="-89.204400000000007"/>
    <n v="9887.8799999999992"/>
    <n v="0"/>
    <n v="0"/>
    <n v="101"/>
    <s v="_x0000_US"/>
  </r>
  <r>
    <x v="0"/>
    <n v="13.6745"/>
    <n v="-89.251300000000001"/>
    <n v="9888.19"/>
    <n v="0"/>
    <n v="0"/>
    <n v="101"/>
    <s v="_x0000_US"/>
  </r>
  <r>
    <x v="0"/>
    <n v="13.688700000000001"/>
    <n v="-89.216700000000003"/>
    <n v="9888.85"/>
    <n v="0"/>
    <n v="0"/>
    <n v="101"/>
    <s v="_x0000_US"/>
  </r>
  <r>
    <x v="0"/>
    <n v="13.68"/>
    <n v="-89.194599999999994"/>
    <n v="9889.39"/>
    <n v="0"/>
    <n v="0"/>
    <n v="101"/>
    <s v="_x0000_US"/>
  </r>
  <r>
    <x v="0"/>
    <n v="13.6921"/>
    <n v="-89.175799999999995"/>
    <n v="9890.18"/>
    <n v="0"/>
    <n v="0"/>
    <n v="101"/>
    <s v="_x0000_US"/>
  </r>
  <r>
    <x v="0"/>
    <n v="13.6913"/>
    <n v="-89.220299999999995"/>
    <n v="9890.31"/>
    <n v="0"/>
    <n v="0"/>
    <n v="101"/>
    <s v="_x0000_US"/>
  </r>
  <r>
    <x v="0"/>
    <n v="13.6945"/>
    <n v="-89.183199999999999"/>
    <n v="9890.7000000000007"/>
    <n v="0"/>
    <n v="0"/>
    <n v="101"/>
    <s v="_x0000_US"/>
  </r>
  <r>
    <x v="0"/>
    <n v="13.690200000000001"/>
    <n v="-89.235500000000002"/>
    <n v="9890.7800000000007"/>
    <n v="0"/>
    <n v="0"/>
    <n v="101"/>
    <s v="_x0000_US"/>
  </r>
  <r>
    <x v="0"/>
    <n v="13.6873"/>
    <n v="-89.181200000000004"/>
    <n v="9890.85"/>
    <n v="0"/>
    <n v="0"/>
    <n v="101"/>
    <s v="_x0000_US"/>
  </r>
  <r>
    <x v="0"/>
    <n v="13.6945"/>
    <n v="-89.174999999999997"/>
    <n v="9891.06"/>
    <n v="0"/>
    <n v="0"/>
    <n v="101"/>
    <s v="_x0000_US"/>
  </r>
  <r>
    <x v="0"/>
    <n v="13.687200000000001"/>
    <n v="-89.196399999999997"/>
    <n v="9891.57"/>
    <n v="0"/>
    <n v="0"/>
    <n v="101"/>
    <s v="_x0000_US"/>
  </r>
  <r>
    <x v="0"/>
    <n v="13.6873"/>
    <n v="-89.197900000000004"/>
    <n v="9891.7000000000007"/>
    <n v="0"/>
    <n v="0"/>
    <n v="101"/>
    <s v="_x0000_US"/>
  </r>
  <r>
    <x v="0"/>
    <n v="13.6945"/>
    <n v="-89.185500000000005"/>
    <n v="9892.0400000000009"/>
    <n v="0"/>
    <n v="0"/>
    <n v="101"/>
    <s v="_x0000_US"/>
  </r>
  <r>
    <x v="0"/>
    <n v="13.677099999999999"/>
    <n v="-89.247900000000001"/>
    <n v="9893.1200000000008"/>
    <n v="0"/>
    <n v="0"/>
    <n v="101"/>
    <s v="_x0000_US"/>
  </r>
  <r>
    <x v="0"/>
    <n v="13.689299999999999"/>
    <n v="-89.235600000000005"/>
    <n v="9893.2000000000007"/>
    <n v="0"/>
    <n v="0"/>
    <n v="101"/>
    <s v="_x0000_US"/>
  </r>
  <r>
    <x v="0"/>
    <n v="13.6884"/>
    <n v="-89.229900000000001"/>
    <n v="9893.4699999999993"/>
    <n v="0"/>
    <n v="0"/>
    <n v="101"/>
    <s v="_x0000_US"/>
  </r>
  <r>
    <x v="0"/>
    <n v="13.6921"/>
    <n v="-89.193100000000001"/>
    <n v="9894.0499999999993"/>
    <n v="0"/>
    <n v="0"/>
    <n v="101"/>
    <s v="_x0000_US"/>
  </r>
  <r>
    <x v="0"/>
    <n v="13.6942"/>
    <n v="-89.185500000000005"/>
    <n v="9894.57"/>
    <n v="0"/>
    <n v="0"/>
    <n v="101"/>
    <s v="_x0000_US"/>
  </r>
  <r>
    <x v="0"/>
    <n v="13.6905"/>
    <n v="-89.177499999999995"/>
    <n v="9894.7900000000009"/>
    <n v="0"/>
    <n v="0"/>
    <n v="101"/>
    <s v="_x0000_US"/>
  </r>
  <r>
    <x v="0"/>
    <n v="13.692399999999999"/>
    <n v="-89.197000000000003"/>
    <n v="9895.0400000000009"/>
    <n v="0"/>
    <n v="0"/>
    <n v="101"/>
    <s v="_x0000_US"/>
  </r>
  <r>
    <x v="0"/>
    <n v="13.688499999999999"/>
    <n v="-89.2042"/>
    <n v="9895.0400000000009"/>
    <n v="0"/>
    <n v="0"/>
    <n v="101"/>
    <s v="_x0000_US"/>
  </r>
  <r>
    <x v="0"/>
    <n v="13.6884"/>
    <n v="-89.189899999999994"/>
    <n v="9895.42"/>
    <n v="0"/>
    <n v="0"/>
    <n v="101"/>
    <s v="_x0000_US"/>
  </r>
  <r>
    <x v="0"/>
    <n v="13.6914"/>
    <n v="-89.234999999999999"/>
    <n v="9895.68"/>
    <n v="0"/>
    <n v="0"/>
    <n v="101"/>
    <s v="_x0000_US"/>
  </r>
  <r>
    <x v="0"/>
    <n v="13.689500000000001"/>
    <n v="-89.229600000000005"/>
    <n v="9895.82"/>
    <n v="0"/>
    <n v="0"/>
    <n v="101"/>
    <s v="_x0000_US"/>
  </r>
  <r>
    <x v="0"/>
    <n v="13.691599999999999"/>
    <n v="-89.179599999999994"/>
    <n v="9896.08"/>
    <n v="0"/>
    <n v="0"/>
    <n v="101"/>
    <s v="_x0000_US"/>
  </r>
  <r>
    <x v="0"/>
    <n v="13.692600000000001"/>
    <n v="-89.225099999999998"/>
    <n v="9897.09"/>
    <n v="0"/>
    <n v="0"/>
    <n v="101"/>
    <s v="_x0000_US"/>
  </r>
  <r>
    <x v="0"/>
    <n v="13.6858"/>
    <n v="-89.211200000000005"/>
    <n v="9897.24"/>
    <n v="0"/>
    <n v="0"/>
    <n v="101"/>
    <s v="_x0000_US"/>
  </r>
  <r>
    <x v="0"/>
    <n v="13.690099999999999"/>
    <n v="-89.236199999999997"/>
    <n v="9897.48"/>
    <n v="0"/>
    <n v="0"/>
    <n v="101"/>
    <s v="_x0000_US"/>
  </r>
  <r>
    <x v="0"/>
    <n v="13.689"/>
    <n v="-89.215500000000006"/>
    <n v="9897.99"/>
    <n v="0"/>
    <n v="0"/>
    <n v="101"/>
    <s v="_x0000_US"/>
  </r>
  <r>
    <x v="0"/>
    <n v="13.696400000000001"/>
    <n v="-89.172499999999999"/>
    <n v="9898.2800000000007"/>
    <n v="0"/>
    <n v="0"/>
    <n v="101"/>
    <s v="_x0000_US"/>
  </r>
  <r>
    <x v="0"/>
    <n v="13.686299999999999"/>
    <n v="-89.212100000000007"/>
    <n v="9898.76"/>
    <n v="0"/>
    <n v="0"/>
    <n v="101"/>
    <s v="_x0000_US"/>
  </r>
  <r>
    <x v="0"/>
    <n v="13.692600000000001"/>
    <n v="-89.224500000000006"/>
    <n v="9898.7900000000009"/>
    <n v="0"/>
    <n v="0"/>
    <n v="101"/>
    <s v="_x0000_US"/>
  </r>
  <r>
    <x v="0"/>
    <n v="13.6904"/>
    <n v="-89.227999999999994"/>
    <n v="9898.83"/>
    <n v="0"/>
    <n v="0"/>
    <n v="101"/>
    <s v="_x0000_US"/>
  </r>
  <r>
    <x v="0"/>
    <n v="13.6966"/>
    <n v="-89.171999999999997"/>
    <n v="9899.4599999999991"/>
    <n v="0"/>
    <n v="0"/>
    <n v="101"/>
    <s v="_x0000_US"/>
  </r>
  <r>
    <x v="0"/>
    <n v="13.6928"/>
    <n v="-89.225399999999993"/>
    <n v="9899.5400000000009"/>
    <n v="0"/>
    <n v="0"/>
    <n v="101"/>
    <s v="_x0000_US"/>
  </r>
  <r>
    <x v="0"/>
    <n v="13.689"/>
    <n v="-89.1905"/>
    <n v="9899.58"/>
    <n v="0"/>
    <n v="0"/>
    <n v="101"/>
    <s v="_x0000_US"/>
  </r>
  <r>
    <x v="0"/>
    <n v="13.6911"/>
    <n v="-89.179299999999998"/>
    <n v="9899.7199999999993"/>
    <n v="0"/>
    <n v="0"/>
    <n v="101"/>
    <s v="_x0000_US"/>
  </r>
  <r>
    <x v="0"/>
    <n v="13.690799999999999"/>
    <n v="-89.189300000000003"/>
    <n v="9900.32"/>
    <n v="0"/>
    <n v="0"/>
    <n v="101"/>
    <s v="_x0000_US"/>
  </r>
  <r>
    <x v="0"/>
    <n v="13.691000000000001"/>
    <n v="-89.186300000000003"/>
    <n v="9900.5"/>
    <n v="0"/>
    <n v="0"/>
    <n v="101"/>
    <s v="_x0000_US"/>
  </r>
  <r>
    <x v="0"/>
    <n v="13.687099999999999"/>
    <n v="-89.193700000000007"/>
    <n v="9900.6200000000008"/>
    <n v="0"/>
    <n v="0"/>
    <n v="101"/>
    <s v="_x0000_US"/>
  </r>
  <r>
    <x v="0"/>
    <n v="13.692600000000001"/>
    <n v="-89.179100000000005"/>
    <n v="9900.69"/>
    <n v="0"/>
    <n v="0"/>
    <n v="101"/>
    <s v="_x0000_US"/>
  </r>
  <r>
    <x v="0"/>
    <n v="13.6747"/>
    <n v="-89.199299999999994"/>
    <n v="9900.9"/>
    <n v="0"/>
    <n v="0"/>
    <n v="101"/>
    <s v="_x0000_US"/>
  </r>
  <r>
    <x v="0"/>
    <n v="13.6858"/>
    <n v="-89.213300000000004"/>
    <n v="9901.02"/>
    <n v="0"/>
    <n v="0"/>
    <n v="101"/>
    <s v="_x0000_US"/>
  </r>
  <r>
    <x v="0"/>
    <n v="13.6904"/>
    <n v="-89.186999999999998"/>
    <n v="9901.17"/>
    <n v="0"/>
    <n v="0"/>
    <n v="101"/>
    <s v="_x0000_US"/>
  </r>
  <r>
    <x v="0"/>
    <n v="13.687099999999999"/>
    <n v="-89.194599999999994"/>
    <n v="9901.58"/>
    <n v="0"/>
    <n v="0"/>
    <n v="101"/>
    <s v="_x0000_US"/>
  </r>
  <r>
    <x v="0"/>
    <n v="13.6945"/>
    <n v="-89.172499999999999"/>
    <n v="9901.69"/>
    <n v="0"/>
    <n v="0"/>
    <n v="101"/>
    <s v="_x0000_US"/>
  </r>
  <r>
    <x v="0"/>
    <n v="13.6915"/>
    <n v="-89.185299999999998"/>
    <n v="9901.8700000000008"/>
    <n v="0"/>
    <n v="0"/>
    <n v="101"/>
    <s v="_x0000_US"/>
  </r>
  <r>
    <x v="0"/>
    <n v="13.694800000000001"/>
    <n v="-89.186300000000003"/>
    <n v="9902.58"/>
    <n v="0"/>
    <n v="0"/>
    <n v="101"/>
    <s v="_x0000_US"/>
  </r>
  <r>
    <x v="0"/>
    <n v="13.674899999999999"/>
    <n v="-89.250299999999996"/>
    <n v="9903.11"/>
    <n v="0"/>
    <n v="0"/>
    <n v="101"/>
    <s v="_x0000_US"/>
  </r>
  <r>
    <x v="0"/>
    <n v="13.692399999999999"/>
    <n v="-89.184899999999999"/>
    <n v="9903.15"/>
    <n v="0"/>
    <n v="0"/>
    <n v="101"/>
    <s v="_x0000_US"/>
  </r>
  <r>
    <x v="0"/>
    <n v="13.6854"/>
    <n v="-89.212400000000002"/>
    <n v="9903.2900000000009"/>
    <n v="0"/>
    <n v="0"/>
    <n v="101"/>
    <s v="_x0000_US"/>
  </r>
  <r>
    <x v="0"/>
    <n v="13.6921"/>
    <n v="-89.182900000000004"/>
    <n v="9903.67"/>
    <n v="0"/>
    <n v="0"/>
    <n v="101"/>
    <s v="_x0000_US"/>
  </r>
  <r>
    <x v="0"/>
    <n v="13.692"/>
    <n v="-89.176100000000005"/>
    <n v="9903.8799999999992"/>
    <n v="0"/>
    <n v="0"/>
    <n v="101"/>
    <s v="_x0000_US"/>
  </r>
  <r>
    <x v="0"/>
    <n v="13.689399999999999"/>
    <n v="-89.184200000000004"/>
    <n v="9903.91"/>
    <n v="0"/>
    <n v="0"/>
    <n v="101"/>
    <s v="_x0000_US"/>
  </r>
  <r>
    <x v="0"/>
    <n v="13.6922"/>
    <n v="-89.193600000000004"/>
    <n v="9904.34"/>
    <n v="0"/>
    <n v="0"/>
    <n v="101"/>
    <s v="_x0000_US"/>
  </r>
  <r>
    <x v="0"/>
    <n v="13.6896"/>
    <n v="-89.235900000000001"/>
    <n v="9904.7999999999993"/>
    <n v="0"/>
    <n v="0"/>
    <n v="101"/>
    <s v="_x0000_US"/>
  </r>
  <r>
    <x v="0"/>
    <n v="13.6975"/>
    <n v="-89.171599999999998"/>
    <n v="9905.33"/>
    <n v="0"/>
    <n v="0"/>
    <n v="101"/>
    <s v="_x0000_US"/>
  </r>
  <r>
    <x v="0"/>
    <n v="13.6882"/>
    <n v="-89.190200000000004"/>
    <n v="9905.4500000000007"/>
    <n v="0"/>
    <n v="0"/>
    <n v="101"/>
    <s v="_x0000_US"/>
  </r>
  <r>
    <x v="0"/>
    <n v="13.689399999999999"/>
    <n v="-89.235900000000001"/>
    <n v="9905.48"/>
    <n v="0"/>
    <n v="0"/>
    <n v="101"/>
    <s v="_x0000_US"/>
  </r>
  <r>
    <x v="0"/>
    <n v="13.6753"/>
    <n v="-89.25"/>
    <n v="9906.76"/>
    <n v="0"/>
    <n v="0"/>
    <n v="101"/>
    <s v="_x0000_US"/>
  </r>
  <r>
    <x v="0"/>
    <n v="13.6952"/>
    <n v="-89.174199999999999"/>
    <n v="9906.81"/>
    <n v="0"/>
    <n v="0"/>
    <n v="101"/>
    <s v="_x0000_US"/>
  </r>
  <r>
    <x v="0"/>
    <n v="13.675000000000001"/>
    <n v="-89.202299999999994"/>
    <n v="9906.99"/>
    <n v="0"/>
    <n v="0"/>
    <n v="101"/>
    <s v="_x0000_US"/>
  </r>
  <r>
    <x v="0"/>
    <n v="13.6881"/>
    <n v="-89.198599999999999"/>
    <n v="9907.24"/>
    <n v="0"/>
    <n v="0"/>
    <n v="101"/>
    <s v="_x0000_US"/>
  </r>
  <r>
    <x v="0"/>
    <n v="13.674799999999999"/>
    <n v="-89.249700000000004"/>
    <n v="9907.32"/>
    <n v="0"/>
    <n v="0"/>
    <n v="101"/>
    <s v="_x0000_US"/>
  </r>
  <r>
    <x v="0"/>
    <n v="13.687200000000001"/>
    <n v="-89.1965"/>
    <n v="9907.48"/>
    <n v="0"/>
    <n v="0"/>
    <n v="101"/>
    <s v="_x0000_US"/>
  </r>
  <r>
    <x v="0"/>
    <n v="13.6876"/>
    <n v="-89.204800000000006"/>
    <n v="9907.83"/>
    <n v="0"/>
    <n v="0"/>
    <n v="101"/>
    <s v="_x0000_US"/>
  </r>
  <r>
    <x v="0"/>
    <n v="13.691000000000001"/>
    <n v="-89.235900000000001"/>
    <n v="9908.43"/>
    <n v="0"/>
    <n v="0"/>
    <n v="101"/>
    <s v="_x0000_US"/>
  </r>
  <r>
    <x v="0"/>
    <n v="13.6911"/>
    <n v="-89.226799999999997"/>
    <n v="9909.17"/>
    <n v="0"/>
    <n v="0"/>
    <n v="101"/>
    <s v="_x0000_US"/>
  </r>
  <r>
    <x v="0"/>
    <n v="13.687200000000001"/>
    <n v="-89.193600000000004"/>
    <n v="9909.2199999999993"/>
    <n v="0"/>
    <n v="0"/>
    <n v="101"/>
    <s v="_x0000_US"/>
  </r>
  <r>
    <x v="0"/>
    <n v="13.691000000000001"/>
    <n v="-89.230999999999995"/>
    <n v="9909.83"/>
    <n v="0"/>
    <n v="0"/>
    <n v="101"/>
    <s v="_x0000_US"/>
  </r>
  <r>
    <x v="0"/>
    <n v="13.689399999999999"/>
    <n v="-89.206400000000002"/>
    <n v="9910.85"/>
    <n v="0"/>
    <n v="0"/>
    <n v="101"/>
    <s v="_x0000_US"/>
  </r>
  <r>
    <x v="0"/>
    <n v="13.693199999999999"/>
    <n v="-89.176400000000001"/>
    <n v="9910.9500000000007"/>
    <n v="0"/>
    <n v="0"/>
    <n v="101"/>
    <s v="_x0000_US"/>
  </r>
  <r>
    <x v="0"/>
    <n v="13.691700000000001"/>
    <n v="-89.186400000000006"/>
    <n v="9911.01"/>
    <n v="0"/>
    <n v="0"/>
    <n v="101"/>
    <s v="_x0000_US"/>
  </r>
  <r>
    <x v="0"/>
    <n v="13.6928"/>
    <n v="-89.225399999999993"/>
    <n v="9911.07"/>
    <n v="0"/>
    <n v="0"/>
    <n v="101"/>
    <s v="_x0000_US"/>
  </r>
  <r>
    <x v="0"/>
    <n v="13.6747"/>
    <n v="-89.249499999999998"/>
    <n v="9911.14"/>
    <n v="0"/>
    <n v="0"/>
    <n v="101"/>
    <s v="_x0000_US"/>
  </r>
  <r>
    <x v="0"/>
    <n v="13.6907"/>
    <n v="-89.235100000000003"/>
    <n v="9911.18"/>
    <n v="0"/>
    <n v="0"/>
    <n v="101"/>
    <s v="_x0000_US"/>
  </r>
  <r>
    <x v="0"/>
    <n v="13.6914"/>
    <n v="-89.234300000000005"/>
    <n v="9911.26"/>
    <n v="0"/>
    <n v="0"/>
    <n v="101"/>
    <s v="_x0000_US"/>
  </r>
  <r>
    <x v="0"/>
    <n v="13.688000000000001"/>
    <n v="-89.215400000000002"/>
    <n v="9911.32"/>
    <n v="0"/>
    <n v="0"/>
    <n v="101"/>
    <s v="_x0000_US"/>
  </r>
  <r>
    <x v="0"/>
    <n v="13.692399999999999"/>
    <n v="-89.226200000000006"/>
    <n v="9911.48"/>
    <n v="0"/>
    <n v="0"/>
    <n v="101"/>
    <s v="_x0000_US"/>
  </r>
  <r>
    <x v="0"/>
    <n v="13.690799999999999"/>
    <n v="-89.1952"/>
    <n v="9911.7099999999991"/>
    <n v="0"/>
    <n v="0"/>
    <n v="101"/>
    <s v="_x0000_US"/>
  </r>
  <r>
    <x v="0"/>
    <n v="13.687900000000001"/>
    <n v="-89.205399999999997"/>
    <n v="9911.9"/>
    <n v="0"/>
    <n v="0"/>
    <n v="101"/>
    <s v="_x0000_US"/>
  </r>
  <r>
    <x v="0"/>
    <n v="13.687200000000001"/>
    <n v="-89.197400000000002"/>
    <n v="9911.99"/>
    <n v="0"/>
    <n v="0"/>
    <n v="101"/>
    <s v="_x0000_US"/>
  </r>
  <r>
    <x v="0"/>
    <n v="13.6884"/>
    <n v="-89.1982"/>
    <n v="9912"/>
    <n v="0"/>
    <n v="0"/>
    <n v="101"/>
    <s v="_x0000_US"/>
  </r>
  <r>
    <x v="0"/>
    <n v="13.6911"/>
    <n v="-89.233000000000004"/>
    <n v="9912.0300000000007"/>
    <n v="0"/>
    <n v="0"/>
    <n v="101"/>
    <s v="_x0000_US"/>
  </r>
  <r>
    <x v="0"/>
    <n v="13.6915"/>
    <n v="-89.225800000000007"/>
    <n v="9912.06"/>
    <n v="0"/>
    <n v="0"/>
    <n v="101"/>
    <s v="_x0000_US"/>
  </r>
  <r>
    <x v="0"/>
    <n v="13.6896"/>
    <n v="-89.185500000000005"/>
    <n v="9912.2199999999993"/>
    <n v="0"/>
    <n v="0"/>
    <n v="101"/>
    <s v="_x0000_US"/>
  </r>
  <r>
    <x v="0"/>
    <n v="13.6906"/>
    <n v="-89.185299999999998"/>
    <n v="9912.41"/>
    <n v="0"/>
    <n v="0"/>
    <n v="101"/>
    <s v="_x0000_US"/>
  </r>
  <r>
    <x v="0"/>
    <n v="13.692500000000001"/>
    <n v="-89.225999999999999"/>
    <n v="9912.5"/>
    <n v="0"/>
    <n v="0"/>
    <n v="101"/>
    <s v="_x0000_US"/>
  </r>
  <r>
    <x v="0"/>
    <n v="13.6915"/>
    <n v="-89.179400000000001"/>
    <n v="9912.7199999999993"/>
    <n v="0"/>
    <n v="0"/>
    <n v="101"/>
    <s v="_x0000_US"/>
  </r>
  <r>
    <x v="0"/>
    <n v="13.686400000000001"/>
    <n v="-89.1935"/>
    <n v="9912.85"/>
    <n v="0"/>
    <n v="0"/>
    <n v="101"/>
    <s v="_x0000_US"/>
  </r>
  <r>
    <x v="0"/>
    <n v="13.691000000000001"/>
    <n v="-89.229399999999998"/>
    <n v="9912.89"/>
    <n v="0"/>
    <n v="0"/>
    <n v="101"/>
    <s v="_x0000_US"/>
  </r>
  <r>
    <x v="0"/>
    <n v="13.686999999999999"/>
    <n v="-89.194699999999997"/>
    <n v="9912.9"/>
    <n v="0"/>
    <n v="0"/>
    <n v="101"/>
    <s v="_x0000_US"/>
  </r>
  <r>
    <x v="0"/>
    <n v="13.6907"/>
    <n v="-89.195300000000003"/>
    <n v="9913.0300000000007"/>
    <n v="0"/>
    <n v="0"/>
    <n v="101"/>
    <s v="_x0000_US"/>
  </r>
  <r>
    <x v="0"/>
    <n v="13.6775"/>
    <n v="-89.247399999999999"/>
    <n v="9913.16"/>
    <n v="0"/>
    <n v="0"/>
    <n v="101"/>
    <s v="_x0000_US"/>
  </r>
  <r>
    <x v="0"/>
    <n v="13.6958"/>
    <n v="-89.172700000000006"/>
    <n v="9913.44"/>
    <n v="0"/>
    <n v="0"/>
    <n v="101"/>
    <s v="_x0000_US"/>
  </r>
  <r>
    <x v="0"/>
    <n v="13.6898"/>
    <n v="-89.179599999999994"/>
    <n v="9913.68"/>
    <n v="0"/>
    <n v="0"/>
    <n v="101"/>
    <s v="_x0000_US"/>
  </r>
  <r>
    <x v="0"/>
    <n v="13.693300000000001"/>
    <n v="-89.183700000000002"/>
    <n v="9914.15"/>
    <n v="0"/>
    <n v="0"/>
    <n v="101"/>
    <s v="_x0000_US"/>
  </r>
  <r>
    <x v="0"/>
    <n v="13.687200000000001"/>
    <n v="-89.197000000000003"/>
    <n v="9914.36"/>
    <n v="0"/>
    <n v="0"/>
    <n v="101"/>
    <s v="_x0000_US"/>
  </r>
  <r>
    <x v="0"/>
    <n v="13.6896"/>
    <n v="-89.179199999999994"/>
    <n v="9914.7900000000009"/>
    <n v="0"/>
    <n v="0"/>
    <n v="101"/>
    <s v="_x0000_US"/>
  </r>
  <r>
    <x v="0"/>
    <n v="13.689399999999999"/>
    <n v="-89.183800000000005"/>
    <n v="9914.82"/>
    <n v="0"/>
    <n v="0"/>
    <n v="101"/>
    <s v="_x0000_US"/>
  </r>
  <r>
    <x v="0"/>
    <n v="13.6899"/>
    <n v="-89.228700000000003"/>
    <n v="9914.99"/>
    <n v="0"/>
    <n v="0"/>
    <n v="101"/>
    <s v="_x0000_US"/>
  </r>
  <r>
    <x v="0"/>
    <n v="13.6968"/>
    <n v="-89.171899999999994"/>
    <n v="9915.42"/>
    <n v="0"/>
    <n v="0"/>
    <n v="101"/>
    <s v="_x0000_US"/>
  </r>
  <r>
    <x v="0"/>
    <n v="13.6896"/>
    <n v="-89.180899999999994"/>
    <n v="9915.48"/>
    <n v="0"/>
    <n v="0"/>
    <n v="101"/>
    <s v="_x0000_US"/>
  </r>
  <r>
    <x v="0"/>
    <n v="13.687099999999999"/>
    <n v="-89.198099999999997"/>
    <n v="9915.7800000000007"/>
    <n v="0"/>
    <n v="0"/>
    <n v="101"/>
    <s v="_x0000_US"/>
  </r>
  <r>
    <x v="0"/>
    <n v="13.6869"/>
    <n v="-89.182000000000002"/>
    <n v="9915.83"/>
    <n v="0"/>
    <n v="0"/>
    <n v="101"/>
    <s v="_x0000_US"/>
  </r>
  <r>
    <x v="0"/>
    <n v="13.6883"/>
    <n v="-89.1828"/>
    <n v="9916.51"/>
    <n v="0"/>
    <n v="0"/>
    <n v="101"/>
    <s v="_x0000_US"/>
  </r>
  <r>
    <x v="0"/>
    <n v="13.685700000000001"/>
    <n v="-89.211399999999998"/>
    <n v="9916.66"/>
    <n v="0"/>
    <n v="0"/>
    <n v="101"/>
    <s v="_x0000_US"/>
  </r>
  <r>
    <x v="0"/>
    <n v="13.690200000000001"/>
    <n v="-89.234800000000007"/>
    <n v="9916.91"/>
    <n v="0"/>
    <n v="0"/>
    <n v="101"/>
    <s v="_x0000_US"/>
  </r>
  <r>
    <x v="0"/>
    <n v="13.6869"/>
    <n v="-89.212500000000006"/>
    <n v="9917"/>
    <n v="0"/>
    <n v="0"/>
    <n v="101"/>
    <s v="_x0000_US"/>
  </r>
  <r>
    <x v="0"/>
    <n v="13.6943"/>
    <n v="-89.188900000000004"/>
    <n v="9917.01"/>
    <n v="0"/>
    <n v="0"/>
    <n v="101"/>
    <s v="_x0000_US"/>
  </r>
  <r>
    <x v="0"/>
    <n v="13.6906"/>
    <n v="-89.194100000000006"/>
    <n v="9917.3700000000008"/>
    <n v="0"/>
    <n v="0"/>
    <n v="101"/>
    <s v="_x0000_US"/>
  </r>
  <r>
    <x v="0"/>
    <n v="13.694800000000001"/>
    <n v="-89.182400000000001"/>
    <n v="9917.74"/>
    <n v="0"/>
    <n v="0"/>
    <n v="101"/>
    <s v="_x0000_US"/>
  </r>
  <r>
    <x v="0"/>
    <n v="13.692399999999999"/>
    <n v="-89.223500000000001"/>
    <n v="9918.08"/>
    <n v="0"/>
    <n v="0"/>
    <n v="101"/>
    <s v="_x0000_US"/>
  </r>
  <r>
    <x v="0"/>
    <n v="13.686999999999999"/>
    <n v="-89.197500000000005"/>
    <n v="9918.1"/>
    <n v="0"/>
    <n v="0"/>
    <n v="101"/>
    <s v="_x0000_US"/>
  </r>
  <r>
    <x v="0"/>
    <n v="13.6724"/>
    <n v="-89.203999999999994"/>
    <n v="9918.1"/>
    <n v="0"/>
    <n v="0"/>
    <n v="101"/>
    <s v="_x0000_US"/>
  </r>
  <r>
    <x v="0"/>
    <n v="13.691800000000001"/>
    <n v="-89.178899999999999"/>
    <n v="9918.83"/>
    <n v="0"/>
    <n v="0"/>
    <n v="101"/>
    <s v="_x0000_US"/>
  </r>
  <r>
    <x v="0"/>
    <n v="13.692299999999999"/>
    <n v="-89.222499999999997"/>
    <n v="9919.36"/>
    <n v="0"/>
    <n v="0"/>
    <n v="101"/>
    <s v="_x0000_US"/>
  </r>
  <r>
    <x v="0"/>
    <n v="13.6751"/>
    <n v="-89.250799999999998"/>
    <n v="9919.5499999999993"/>
    <n v="0"/>
    <n v="0"/>
    <n v="101"/>
    <s v="_x0000_US"/>
  </r>
  <r>
    <x v="0"/>
    <n v="13.694599999999999"/>
    <n v="-89.174400000000006"/>
    <n v="9920.2099999999991"/>
    <n v="0"/>
    <n v="0"/>
    <n v="101"/>
    <s v="_x0000_US"/>
  </r>
  <r>
    <x v="0"/>
    <n v="13.6851"/>
    <n v="-89.213300000000004"/>
    <n v="9920.6200000000008"/>
    <n v="0"/>
    <n v="0"/>
    <n v="101"/>
    <s v="_x0000_US"/>
  </r>
  <r>
    <x v="0"/>
    <n v="13.690899999999999"/>
    <n v="-89.232900000000001"/>
    <n v="9920.7900000000009"/>
    <n v="0"/>
    <n v="0"/>
    <n v="101"/>
    <s v="_x0000_US"/>
  </r>
  <r>
    <x v="0"/>
    <n v="13.692"/>
    <n v="-89.1798"/>
    <n v="9920.93"/>
    <n v="0"/>
    <n v="0"/>
    <n v="101"/>
    <s v="_x0000_US"/>
  </r>
  <r>
    <x v="0"/>
    <n v="13.688499999999999"/>
    <n v="-89.198300000000003"/>
    <n v="9921.24"/>
    <n v="0"/>
    <n v="0"/>
    <n v="101"/>
    <s v="_x0000_US"/>
  </r>
  <r>
    <x v="0"/>
    <n v="13.6906"/>
    <n v="-89.227900000000005"/>
    <n v="9921.26"/>
    <n v="0"/>
    <n v="0"/>
    <n v="101"/>
    <s v="_x0000_US"/>
  </r>
  <r>
    <x v="0"/>
    <n v="13.6892"/>
    <n v="-89.207400000000007"/>
    <n v="9921.36"/>
    <n v="0"/>
    <n v="0"/>
    <n v="101"/>
    <s v="_x0000_US"/>
  </r>
  <r>
    <x v="0"/>
    <n v="13.688700000000001"/>
    <n v="-89.181100000000001"/>
    <n v="9921.67"/>
    <n v="0"/>
    <n v="0"/>
    <n v="101"/>
    <s v="_x0000_US"/>
  </r>
  <r>
    <x v="0"/>
    <n v="13.6883"/>
    <n v="-89.216999999999999"/>
    <n v="9921.69"/>
    <n v="0"/>
    <n v="0"/>
    <n v="101"/>
    <s v="_x0000_US"/>
  </r>
  <r>
    <x v="0"/>
    <n v="13.6911"/>
    <n v="-89.198499999999996"/>
    <n v="9921.7099999999991"/>
    <n v="0"/>
    <n v="0"/>
    <n v="101"/>
    <s v="_x0000_US"/>
  </r>
  <r>
    <x v="0"/>
    <n v="13.692299999999999"/>
    <n v="-89.174800000000005"/>
    <n v="9921.73"/>
    <n v="0"/>
    <n v="0"/>
    <n v="101"/>
    <s v="_x0000_US"/>
  </r>
  <r>
    <x v="0"/>
    <n v="13.69"/>
    <n v="-89.193100000000001"/>
    <n v="9921.81"/>
    <n v="0"/>
    <n v="0"/>
    <n v="101"/>
    <s v="_x0000_US"/>
  </r>
  <r>
    <x v="0"/>
    <n v="13.6896"/>
    <n v="-89.190600000000003"/>
    <n v="9922.4599999999991"/>
    <n v="0"/>
    <n v="0"/>
    <n v="101"/>
    <s v="_x0000_US"/>
  </r>
  <r>
    <x v="0"/>
    <n v="13.6843"/>
    <n v="-89.216800000000006"/>
    <n v="9922.64"/>
    <n v="0"/>
    <n v="0"/>
    <n v="101"/>
    <s v="_x0000_US"/>
  </r>
  <r>
    <x v="0"/>
    <n v="13.6905"/>
    <n v="-89.186599999999999"/>
    <n v="9922.83"/>
    <n v="0"/>
    <n v="0"/>
    <n v="101"/>
    <s v="_x0000_US"/>
  </r>
  <r>
    <x v="0"/>
    <n v="13.690300000000001"/>
    <n v="-89.217200000000005"/>
    <n v="9923.16"/>
    <n v="0"/>
    <n v="0"/>
    <n v="101"/>
    <s v="_x0000_US"/>
  </r>
  <r>
    <x v="0"/>
    <n v="13.6845"/>
    <n v="-89.213499999999996"/>
    <n v="9923.19"/>
    <n v="0"/>
    <n v="0"/>
    <n v="101"/>
    <s v="_x0000_US"/>
  </r>
  <r>
    <x v="0"/>
    <n v="13.692"/>
    <n v="-89.1935"/>
    <n v="9923.2099999999991"/>
    <n v="0"/>
    <n v="0"/>
    <n v="101"/>
    <s v="_x0000_US"/>
  </r>
  <r>
    <x v="0"/>
    <n v="13.691700000000001"/>
    <n v="-89.225399999999993"/>
    <n v="9923.5400000000009"/>
    <n v="0"/>
    <n v="0"/>
    <n v="101"/>
    <s v="_x0000_US"/>
  </r>
  <r>
    <x v="0"/>
    <n v="13.687099999999999"/>
    <n v="-89.183499999999995"/>
    <n v="9924.01"/>
    <n v="0"/>
    <n v="0"/>
    <n v="101"/>
    <s v="_x0000_US"/>
  </r>
  <r>
    <x v="0"/>
    <n v="13.6913"/>
    <n v="-89.226200000000006"/>
    <n v="9924.33"/>
    <n v="0"/>
    <n v="0"/>
    <n v="101"/>
    <s v="_x0000_US"/>
  </r>
  <r>
    <x v="0"/>
    <n v="13.6938"/>
    <n v="-89.1755"/>
    <n v="9925.7099999999991"/>
    <n v="0"/>
    <n v="0"/>
    <n v="101"/>
    <s v="_x0000_US"/>
  </r>
  <r>
    <x v="0"/>
    <n v="13.684799999999999"/>
    <n v="-89.212900000000005"/>
    <n v="9925.75"/>
    <n v="0"/>
    <n v="0"/>
    <n v="101"/>
    <s v="_x0000_US"/>
  </r>
  <r>
    <x v="0"/>
    <n v="13.691000000000001"/>
    <n v="-89.228899999999996"/>
    <n v="9927.16"/>
    <n v="0"/>
    <n v="0"/>
    <n v="101"/>
    <s v="_x0000_US"/>
  </r>
  <r>
    <x v="0"/>
    <n v="13.6877"/>
    <n v="-89.196600000000004"/>
    <n v="9927.2000000000007"/>
    <n v="0"/>
    <n v="0"/>
    <n v="101"/>
    <s v="_x0000_US"/>
  </r>
  <r>
    <x v="0"/>
    <n v="13.6904"/>
    <n v="-89.194800000000001"/>
    <n v="9927.51"/>
    <n v="0"/>
    <n v="0"/>
    <n v="101"/>
    <s v="_x0000_US"/>
  </r>
  <r>
    <x v="0"/>
    <n v="13.6919"/>
    <n v="-89.186000000000007"/>
    <n v="9927.6"/>
    <n v="0"/>
    <n v="0"/>
    <n v="101"/>
    <s v="_x0000_US"/>
  </r>
  <r>
    <x v="0"/>
    <n v="13.6897"/>
    <n v="-89.189800000000005"/>
    <n v="9927.67"/>
    <n v="0"/>
    <n v="0"/>
    <n v="101"/>
    <s v="_x0000_US"/>
  </r>
  <r>
    <x v="0"/>
    <n v="13.6896"/>
    <n v="-89.228999999999999"/>
    <n v="9927.7800000000007"/>
    <n v="0"/>
    <n v="0"/>
    <n v="101"/>
    <s v="_x0000_US"/>
  </r>
  <r>
    <x v="0"/>
    <n v="13.689"/>
    <n v="-89.181299999999993"/>
    <n v="9928.15"/>
    <n v="0"/>
    <n v="0"/>
    <n v="101"/>
    <s v="_x0000_US"/>
  </r>
  <r>
    <x v="0"/>
    <n v="13.692600000000001"/>
    <n v="-89.224400000000003"/>
    <n v="9928.34"/>
    <n v="0"/>
    <n v="0"/>
    <n v="101"/>
    <s v="_x0000_US"/>
  </r>
  <r>
    <x v="0"/>
    <n v="13.687099999999999"/>
    <n v="-89.197100000000006"/>
    <n v="9928.39"/>
    <n v="0"/>
    <n v="0"/>
    <n v="101"/>
    <s v="_x0000_US"/>
  </r>
  <r>
    <x v="0"/>
    <n v="13.690899999999999"/>
    <n v="-89.187399999999997"/>
    <n v="9928.57"/>
    <n v="0"/>
    <n v="0"/>
    <n v="101"/>
    <s v="_x0000_US"/>
  </r>
  <r>
    <x v="0"/>
    <n v="13.6746"/>
    <n v="-89.250799999999998"/>
    <n v="9928.9699999999993"/>
    <n v="0"/>
    <n v="0"/>
    <n v="101"/>
    <s v="_x0000_US"/>
  </r>
  <r>
    <x v="0"/>
    <n v="13.673999999999999"/>
    <n v="-89.2029"/>
    <n v="9929.16"/>
    <n v="0"/>
    <n v="0"/>
    <n v="101"/>
    <s v="_x0000_US"/>
  </r>
  <r>
    <x v="0"/>
    <n v="13.6912"/>
    <n v="-89.219700000000003"/>
    <n v="9929.17"/>
    <n v="0"/>
    <n v="0"/>
    <n v="101"/>
    <s v="_x0000_US"/>
  </r>
  <r>
    <x v="0"/>
    <n v="13.686"/>
    <n v="-89.216399999999993"/>
    <n v="9929.25"/>
    <n v="0"/>
    <n v="0"/>
    <n v="101"/>
    <s v="_x0000_US"/>
  </r>
  <r>
    <x v="0"/>
    <n v="13.6899"/>
    <n v="-89.177599999999998"/>
    <n v="9929.4699999999993"/>
    <n v="0"/>
    <n v="0"/>
    <n v="101"/>
    <s v="_x0000_US"/>
  </r>
  <r>
    <x v="0"/>
    <n v="13.685499999999999"/>
    <n v="-89.203199999999995"/>
    <n v="9929.48"/>
    <n v="0"/>
    <n v="0"/>
    <n v="101"/>
    <s v="_x0000_US"/>
  </r>
  <r>
    <x v="0"/>
    <n v="13.6937"/>
    <n v="-89.186400000000006"/>
    <n v="9929.7800000000007"/>
    <n v="0"/>
    <n v="0"/>
    <n v="101"/>
    <s v="_x0000_US"/>
  </r>
  <r>
    <x v="0"/>
    <n v="13.688599999999999"/>
    <n v="-89.198499999999996"/>
    <n v="9929.7999999999993"/>
    <n v="0"/>
    <n v="0"/>
    <n v="101"/>
    <s v="_x0000_US"/>
  </r>
  <r>
    <x v="0"/>
    <n v="13.690799999999999"/>
    <n v="-89.219499999999996"/>
    <n v="9929.82"/>
    <n v="0"/>
    <n v="0"/>
    <n v="101"/>
    <s v="_x0000_US"/>
  </r>
  <r>
    <x v="0"/>
    <n v="13.689"/>
    <n v="-89.228999999999999"/>
    <n v="9930.26"/>
    <n v="0"/>
    <n v="0"/>
    <n v="101"/>
    <s v="_x0000_US"/>
  </r>
  <r>
    <x v="0"/>
    <n v="13.6936"/>
    <n v="-89.183300000000003"/>
    <n v="9930.6299999999992"/>
    <n v="0"/>
    <n v="0"/>
    <n v="101"/>
    <s v="_x0000_US"/>
  </r>
  <r>
    <x v="0"/>
    <n v="13.6914"/>
    <n v="-89.188199999999995"/>
    <n v="9930.67"/>
    <n v="0"/>
    <n v="0"/>
    <n v="101"/>
    <s v="_x0000_US"/>
  </r>
  <r>
    <x v="0"/>
    <n v="13.6898"/>
    <n v="-89.194000000000003"/>
    <n v="9930.8700000000008"/>
    <n v="0"/>
    <n v="0"/>
    <n v="101"/>
    <s v="_x0000_US"/>
  </r>
  <r>
    <x v="0"/>
    <n v="13.688700000000001"/>
    <n v="-89.216200000000001"/>
    <n v="9931.2800000000007"/>
    <n v="0"/>
    <n v="0"/>
    <n v="101"/>
    <s v="_x0000_US"/>
  </r>
  <r>
    <x v="0"/>
    <n v="13.6732"/>
    <n v="-89.204099999999997"/>
    <n v="9931.4699999999993"/>
    <n v="0"/>
    <n v="0"/>
    <n v="101"/>
    <s v="_x0000_US"/>
  </r>
  <r>
    <x v="0"/>
    <n v="13.689399999999999"/>
    <n v="-89.235299999999995"/>
    <n v="9931.84"/>
    <n v="0"/>
    <n v="0"/>
    <n v="101"/>
    <s v="_x0000_US"/>
  </r>
  <r>
    <x v="0"/>
    <n v="13.687099999999999"/>
    <n v="-89.197299999999998"/>
    <n v="9931.91"/>
    <n v="0"/>
    <n v="0"/>
    <n v="101"/>
    <s v="_x0000_US"/>
  </r>
  <r>
    <x v="0"/>
    <n v="13.690200000000001"/>
    <n v="-89.188500000000005"/>
    <n v="9932.34"/>
    <n v="0"/>
    <n v="0"/>
    <n v="101"/>
    <s v="_x0000_US"/>
  </r>
  <r>
    <x v="0"/>
    <n v="13.6869"/>
    <n v="-89.192800000000005"/>
    <n v="9933.1200000000008"/>
    <n v="0"/>
    <n v="0"/>
    <n v="101"/>
    <s v="_x0000_US"/>
  </r>
  <r>
    <x v="0"/>
    <n v="13.691000000000001"/>
    <n v="-89.233000000000004"/>
    <n v="9933.58"/>
    <n v="0"/>
    <n v="0"/>
    <n v="101"/>
    <s v="_x0000_US"/>
  </r>
  <r>
    <x v="0"/>
    <n v="13.6874"/>
    <n v="-89.193700000000007"/>
    <n v="9933.6200000000008"/>
    <n v="0"/>
    <n v="0"/>
    <n v="101"/>
    <s v="_x0000_US"/>
  </r>
  <r>
    <x v="0"/>
    <n v="13.6869"/>
    <n v="-89.194299999999998"/>
    <n v="9933.6299999999992"/>
    <n v="0"/>
    <n v="0"/>
    <n v="101"/>
    <s v="_x0000_US"/>
  </r>
  <r>
    <x v="0"/>
    <n v="13.689299999999999"/>
    <n v="-89.235900000000001"/>
    <n v="9933.69"/>
    <n v="0"/>
    <n v="0"/>
    <n v="101"/>
    <s v="_x0000_US"/>
  </r>
  <r>
    <x v="0"/>
    <n v="13.6906"/>
    <n v="-89.233699999999999"/>
    <n v="9933.98"/>
    <n v="0"/>
    <n v="0"/>
    <n v="101"/>
    <s v="_x0000_US"/>
  </r>
  <r>
    <x v="0"/>
    <n v="13.6891"/>
    <n v="-89.184700000000007"/>
    <n v="9934.39"/>
    <n v="0"/>
    <n v="0"/>
    <n v="101"/>
    <s v="_x0000_US"/>
  </r>
  <r>
    <x v="0"/>
    <n v="13.6953"/>
    <n v="-89.171800000000005"/>
    <n v="9934.44"/>
    <n v="0"/>
    <n v="0"/>
    <n v="101"/>
    <s v="_x0000_US"/>
  </r>
  <r>
    <x v="0"/>
    <n v="13.691800000000001"/>
    <n v="-89.225499999999997"/>
    <n v="9934.7000000000007"/>
    <n v="0"/>
    <n v="0"/>
    <n v="101"/>
    <s v="_x0000_US"/>
  </r>
  <r>
    <x v="0"/>
    <n v="13.691800000000001"/>
    <n v="-89.196600000000004"/>
    <n v="9935.1"/>
    <n v="0"/>
    <n v="0"/>
    <n v="101"/>
    <s v="_x0000_US"/>
  </r>
  <r>
    <x v="0"/>
    <n v="13.689299999999999"/>
    <n v="-89.207499999999996"/>
    <n v="9935.8700000000008"/>
    <n v="0"/>
    <n v="0"/>
    <n v="101"/>
    <s v="_x0000_US"/>
  </r>
  <r>
    <x v="0"/>
    <n v="13.6958"/>
    <n v="-89.173299999999998"/>
    <n v="9935.9699999999993"/>
    <n v="0"/>
    <n v="0"/>
    <n v="101"/>
    <s v="_x0000_US"/>
  </r>
  <r>
    <x v="0"/>
    <n v="13.691700000000001"/>
    <n v="-89.227199999999996"/>
    <n v="9936.16"/>
    <n v="0"/>
    <n v="0"/>
    <n v="101"/>
    <s v="_x0000_US"/>
  </r>
  <r>
    <x v="0"/>
    <n v="13.6965"/>
    <n v="-89.171499999999995"/>
    <n v="9936.33"/>
    <n v="0"/>
    <n v="0"/>
    <n v="101"/>
    <s v="_x0000_US"/>
  </r>
  <r>
    <x v="0"/>
    <n v="13.6915"/>
    <n v="-89.188000000000002"/>
    <n v="9936.39"/>
    <n v="0"/>
    <n v="0"/>
    <n v="101"/>
    <s v="_x0000_US"/>
  </r>
  <r>
    <x v="0"/>
    <n v="13.6898"/>
    <n v="-89.206199999999995"/>
    <n v="9936.7900000000009"/>
    <n v="0"/>
    <n v="0"/>
    <n v="101"/>
    <s v="_x0000_US"/>
  </r>
  <r>
    <x v="0"/>
    <n v="13.6892"/>
    <n v="-89.183800000000005"/>
    <n v="9936.86"/>
    <n v="0"/>
    <n v="0"/>
    <n v="101"/>
    <s v="_x0000_US"/>
  </r>
  <r>
    <x v="0"/>
    <n v="13.6882"/>
    <n v="-89.216700000000003"/>
    <n v="9937.07"/>
    <n v="0"/>
    <n v="0"/>
    <n v="101"/>
    <s v="_x0000_US"/>
  </r>
  <r>
    <x v="0"/>
    <n v="13.6892"/>
    <n v="-89.184200000000004"/>
    <n v="9937.2800000000007"/>
    <n v="0"/>
    <n v="0"/>
    <n v="101"/>
    <s v="_x0000_US"/>
  </r>
  <r>
    <x v="0"/>
    <n v="13.6943"/>
    <n v="-89.172700000000006"/>
    <n v="9937.5499999999993"/>
    <n v="0"/>
    <n v="0"/>
    <n v="101"/>
    <s v="_x0000_US"/>
  </r>
  <r>
    <x v="0"/>
    <n v="13.6937"/>
    <n v="-89.172899999999998"/>
    <n v="9937.91"/>
    <n v="0"/>
    <n v="0"/>
    <n v="101"/>
    <s v="_x0000_US"/>
  </r>
  <r>
    <x v="0"/>
    <n v="13.6854"/>
    <n v="-89.213800000000006"/>
    <n v="9938.01"/>
    <n v="0"/>
    <n v="0"/>
    <n v="101"/>
    <s v="_x0000_US"/>
  </r>
  <r>
    <x v="0"/>
    <n v="13.6874"/>
    <n v="-89.1815"/>
    <n v="9938.0499999999993"/>
    <n v="0"/>
    <n v="0"/>
    <n v="101"/>
    <s v="_x0000_US"/>
  </r>
  <r>
    <x v="0"/>
    <n v="13.6874"/>
    <n v="-89.194000000000003"/>
    <n v="9938.07"/>
    <n v="0"/>
    <n v="0"/>
    <n v="101"/>
    <s v="_x0000_US"/>
  </r>
  <r>
    <x v="0"/>
    <n v="13.692299999999999"/>
    <n v="-89.226699999999994"/>
    <n v="9938.35"/>
    <n v="0"/>
    <n v="0"/>
    <n v="101"/>
    <s v="_x0000_US"/>
  </r>
  <r>
    <x v="0"/>
    <n v="13.688499999999999"/>
    <n v="-89.216899999999995"/>
    <n v="9938.36"/>
    <n v="0"/>
    <n v="0"/>
    <n v="101"/>
    <s v="_x0000_US"/>
  </r>
  <r>
    <x v="0"/>
    <n v="13.685600000000001"/>
    <n v="-89.211299999999994"/>
    <n v="9938.4599999999991"/>
    <n v="0"/>
    <n v="0"/>
    <n v="101"/>
    <s v="_x0000_US"/>
  </r>
  <r>
    <x v="0"/>
    <n v="13.692600000000001"/>
    <n v="-89.2256"/>
    <n v="9939.89"/>
    <n v="0"/>
    <n v="0"/>
    <n v="101"/>
    <s v="_x0000_US"/>
  </r>
  <r>
    <x v="0"/>
    <n v="13.6882"/>
    <n v="-89.216899999999995"/>
    <n v="9940.35"/>
    <n v="0"/>
    <n v="0"/>
    <n v="101"/>
    <s v="_x0000_US"/>
  </r>
  <r>
    <x v="0"/>
    <n v="13.6907"/>
    <n v="-89.186499999999995"/>
    <n v="9940.6200000000008"/>
    <n v="0"/>
    <n v="0"/>
    <n v="101"/>
    <s v="_x0000_US"/>
  </r>
  <r>
    <x v="0"/>
    <n v="13.6935"/>
    <n v="-89.188999999999993"/>
    <n v="9940.91"/>
    <n v="0"/>
    <n v="0"/>
    <n v="101"/>
    <s v="_x0000_US"/>
  </r>
  <r>
    <x v="0"/>
    <n v="13.69"/>
    <n v="-89.183800000000005"/>
    <n v="9941.0499999999993"/>
    <n v="0"/>
    <n v="0"/>
    <n v="101"/>
    <s v="_x0000_US"/>
  </r>
  <r>
    <x v="0"/>
    <n v="13.69"/>
    <n v="-89.217299999999994"/>
    <n v="9941.1"/>
    <n v="0"/>
    <n v="0"/>
    <n v="101"/>
    <s v="_x0000_US"/>
  </r>
  <r>
    <x v="0"/>
    <n v="13.691000000000001"/>
    <n v="-89.186599999999999"/>
    <n v="9941.44"/>
    <n v="0"/>
    <n v="0"/>
    <n v="101"/>
    <s v="_x0000_US"/>
  </r>
  <r>
    <x v="0"/>
    <n v="13.68"/>
    <n v="-89.197100000000006"/>
    <n v="9941.49"/>
    <n v="0"/>
    <n v="0"/>
    <n v="101"/>
    <s v="_x0000_US"/>
  </r>
  <r>
    <x v="0"/>
    <n v="13.6868"/>
    <n v="-89.183700000000002"/>
    <n v="9941.5400000000009"/>
    <n v="0"/>
    <n v="0"/>
    <n v="101"/>
    <s v="_x0000_US"/>
  </r>
  <r>
    <x v="0"/>
    <n v="13.691000000000001"/>
    <n v="-89.228899999999996"/>
    <n v="9941.6200000000008"/>
    <n v="0"/>
    <n v="0"/>
    <n v="101"/>
    <s v="_x0000_US"/>
  </r>
  <r>
    <x v="0"/>
    <n v="13.694699999999999"/>
    <n v="-89.185400000000001"/>
    <n v="9941.65"/>
    <n v="0"/>
    <n v="0"/>
    <n v="101"/>
    <s v="_x0000_US"/>
  </r>
  <r>
    <x v="0"/>
    <n v="13.691800000000001"/>
    <n v="-89.221000000000004"/>
    <n v="9942.11"/>
    <n v="0"/>
    <n v="0"/>
    <n v="101"/>
    <s v="_x0000_US"/>
  </r>
  <r>
    <x v="0"/>
    <n v="13.6906"/>
    <n v="-89.233599999999996"/>
    <n v="9942.25"/>
    <n v="0"/>
    <n v="0"/>
    <n v="101"/>
    <s v="_x0000_US"/>
  </r>
  <r>
    <x v="0"/>
    <n v="13.6913"/>
    <n v="-89.227099999999993"/>
    <n v="9942.2900000000009"/>
    <n v="0"/>
    <n v="0"/>
    <n v="101"/>
    <s v="_x0000_US"/>
  </r>
  <r>
    <x v="0"/>
    <n v="13.6905"/>
    <n v="-89.186700000000002"/>
    <n v="9942.48"/>
    <n v="0"/>
    <n v="0"/>
    <n v="101"/>
    <s v="_x0000_US"/>
  </r>
  <r>
    <x v="0"/>
    <n v="13.687200000000001"/>
    <n v="-89.212800000000001"/>
    <n v="9942.5400000000009"/>
    <n v="0"/>
    <n v="0"/>
    <n v="101"/>
    <s v="_x0000_US"/>
  </r>
  <r>
    <x v="0"/>
    <n v="13.6904"/>
    <n v="-89.188999999999993"/>
    <n v="9943.2800000000007"/>
    <n v="0"/>
    <n v="0"/>
    <n v="101"/>
    <s v="_x0000_US"/>
  </r>
  <r>
    <x v="0"/>
    <n v="13.6884"/>
    <n v="-89.2042"/>
    <n v="9943.33"/>
    <n v="0"/>
    <n v="0"/>
    <n v="101"/>
    <s v="_x0000_US"/>
  </r>
  <r>
    <x v="0"/>
    <n v="13.6905"/>
    <n v="-89.231899999999996"/>
    <n v="9943.7900000000009"/>
    <n v="0"/>
    <n v="0"/>
    <n v="101"/>
    <s v="_x0000_US"/>
  </r>
  <r>
    <x v="0"/>
    <n v="13.6913"/>
    <n v="-89.185900000000004"/>
    <n v="9943.9599999999991"/>
    <n v="0"/>
    <n v="0"/>
    <n v="101"/>
    <s v="_x0000_US"/>
  </r>
  <r>
    <x v="0"/>
    <n v="13.6922"/>
    <n v="-89.194500000000005"/>
    <n v="9943.98"/>
    <n v="0"/>
    <n v="0"/>
    <n v="101"/>
    <s v="_x0000_US"/>
  </r>
  <r>
    <x v="0"/>
    <n v="13.69"/>
    <n v="-89.217200000000005"/>
    <n v="9944.5300000000007"/>
    <n v="0"/>
    <n v="0"/>
    <n v="101"/>
    <s v="_x0000_US"/>
  </r>
  <r>
    <x v="0"/>
    <n v="13.6912"/>
    <n v="-89.233000000000004"/>
    <n v="9944.9699999999993"/>
    <n v="0"/>
    <n v="0"/>
    <n v="101"/>
    <s v="_x0000_US"/>
  </r>
  <r>
    <x v="0"/>
    <n v="13.6957"/>
    <n v="-89.173000000000002"/>
    <n v="9944.98"/>
    <n v="0"/>
    <n v="0"/>
    <n v="101"/>
    <s v="_x0000_US"/>
  </r>
  <r>
    <x v="0"/>
    <n v="13.69"/>
    <n v="-89.183599999999998"/>
    <n v="9945.02"/>
    <n v="0"/>
    <n v="0"/>
    <n v="101"/>
    <s v="_x0000_US"/>
  </r>
  <r>
    <x v="0"/>
    <n v="13.690899999999999"/>
    <n v="-89.189400000000006"/>
    <n v="9945.06"/>
    <n v="0"/>
    <n v="0"/>
    <n v="101"/>
    <s v="_x0000_US"/>
  </r>
  <r>
    <x v="0"/>
    <n v="13.690099999999999"/>
    <n v="-89.234899999999996"/>
    <n v="9945.41"/>
    <n v="0"/>
    <n v="0"/>
    <n v="101"/>
    <s v="_x0000_US"/>
  </r>
  <r>
    <x v="0"/>
    <n v="13.688700000000001"/>
    <n v="-89.229200000000006"/>
    <n v="9945.56"/>
    <n v="0"/>
    <n v="0"/>
    <n v="101"/>
    <s v="_x0000_US"/>
  </r>
  <r>
    <x v="0"/>
    <n v="13.692"/>
    <n v="-89.193700000000007"/>
    <n v="9946.0499999999993"/>
    <n v="0"/>
    <n v="0"/>
    <n v="101"/>
    <s v="_x0000_US"/>
  </r>
  <r>
    <x v="0"/>
    <n v="13.6915"/>
    <n v="-89.185299999999998"/>
    <n v="9946.4699999999993"/>
    <n v="0"/>
    <n v="0"/>
    <n v="101"/>
    <s v="_x0000_US"/>
  </r>
  <r>
    <x v="0"/>
    <n v="13.6974"/>
    <n v="-89.171199999999999"/>
    <n v="9946.93"/>
    <n v="0"/>
    <n v="0"/>
    <n v="101"/>
    <s v="_x0000_US"/>
  </r>
  <r>
    <x v="0"/>
    <n v="13.6843"/>
    <n v="-89.216899999999995"/>
    <n v="9947"/>
    <n v="0"/>
    <n v="0"/>
    <n v="101"/>
    <s v="_x0000_US"/>
  </r>
  <r>
    <x v="0"/>
    <n v="13.687200000000001"/>
    <n v="-89.191599999999994"/>
    <n v="9948.64"/>
    <n v="0"/>
    <n v="0"/>
    <n v="101"/>
    <s v="_x0000_US"/>
  </r>
  <r>
    <x v="0"/>
    <n v="13.693300000000001"/>
    <n v="-89.178200000000004"/>
    <n v="9948.76"/>
    <n v="0"/>
    <n v="0"/>
    <n v="101"/>
    <s v="_x0000_US"/>
  </r>
  <r>
    <x v="0"/>
    <n v="13.6899"/>
    <n v="-89.184799999999996"/>
    <n v="9948.81"/>
    <n v="0"/>
    <n v="0"/>
    <n v="101"/>
    <s v="_x0000_US"/>
  </r>
  <r>
    <x v="0"/>
    <n v="13.688800000000001"/>
    <n v="-89.217200000000005"/>
    <n v="9948.86"/>
    <n v="0"/>
    <n v="0"/>
    <n v="101"/>
    <s v="_x0000_US"/>
  </r>
  <r>
    <x v="0"/>
    <n v="13.691800000000001"/>
    <n v="-89.225200000000001"/>
    <n v="9949"/>
    <n v="0"/>
    <n v="0"/>
    <n v="101"/>
    <s v="_x0000_US"/>
  </r>
  <r>
    <x v="0"/>
    <n v="13.674899999999999"/>
    <n v="-89.249700000000004"/>
    <n v="9949.11"/>
    <n v="0"/>
    <n v="0"/>
    <n v="101"/>
    <s v="_x0000_US"/>
  </r>
  <r>
    <x v="0"/>
    <n v="13.6852"/>
    <n v="-89.202600000000004"/>
    <n v="9949.23"/>
    <n v="0"/>
    <n v="0"/>
    <n v="101"/>
    <s v="_x0000_US"/>
  </r>
  <r>
    <x v="0"/>
    <n v="13.696899999999999"/>
    <n v="-89.1721"/>
    <n v="9949.25"/>
    <n v="0"/>
    <n v="0"/>
    <n v="101"/>
    <s v="_x0000_US"/>
  </r>
  <r>
    <x v="0"/>
    <n v="13.690799999999999"/>
    <n v="-89.194199999999995"/>
    <n v="9949.44"/>
    <n v="0"/>
    <n v="0"/>
    <n v="101"/>
    <s v="_x0000_US"/>
  </r>
  <r>
    <x v="0"/>
    <n v="13.6867"/>
    <n v="-89.214299999999994"/>
    <n v="9949.5"/>
    <n v="0"/>
    <n v="0"/>
    <n v="101"/>
    <s v="_x0000_US"/>
  </r>
  <r>
    <x v="0"/>
    <n v="13.690200000000001"/>
    <n v="-89.177599999999998"/>
    <n v="9949.98"/>
    <n v="0"/>
    <n v="0"/>
    <n v="101"/>
    <s v="_x0000_US"/>
  </r>
  <r>
    <x v="0"/>
    <n v="13.693300000000001"/>
    <n v="-89.192800000000005"/>
    <n v="9950.01"/>
    <n v="0"/>
    <n v="0"/>
    <n v="101"/>
    <s v="_x0000_US"/>
  </r>
  <r>
    <x v="0"/>
    <n v="13.686999999999999"/>
    <n v="-89.182000000000002"/>
    <n v="9950.41"/>
    <n v="0"/>
    <n v="0"/>
    <n v="101"/>
    <s v="_x0000_US"/>
  </r>
  <r>
    <x v="0"/>
    <n v="13.686999999999999"/>
    <n v="-89.194599999999994"/>
    <n v="9950.51"/>
    <n v="0"/>
    <n v="0"/>
    <n v="101"/>
    <s v="_x0000_US"/>
  </r>
  <r>
    <x v="0"/>
    <n v="13.674899999999999"/>
    <n v="-89.251900000000006"/>
    <n v="9950.6200000000008"/>
    <n v="0"/>
    <n v="0"/>
    <n v="101"/>
    <s v="_x0000_US"/>
  </r>
  <r>
    <x v="0"/>
    <n v="13.6935"/>
    <n v="-89.173599999999993"/>
    <n v="9950.68"/>
    <n v="0"/>
    <n v="0"/>
    <n v="101"/>
    <s v="_x0000_US"/>
  </r>
  <r>
    <x v="0"/>
    <n v="13.692600000000001"/>
    <n v="-89.175700000000006"/>
    <n v="9951.17"/>
    <n v="0"/>
    <n v="0"/>
    <n v="101"/>
    <s v="_x0000_US"/>
  </r>
  <r>
    <x v="0"/>
    <n v="13.6912"/>
    <n v="-89.233999999999995"/>
    <n v="9951.2800000000007"/>
    <n v="0"/>
    <n v="0"/>
    <n v="101"/>
    <s v="_x0000_US"/>
  </r>
  <r>
    <x v="0"/>
    <n v="13.6745"/>
    <n v="-89.2517"/>
    <n v="9951.5"/>
    <n v="0"/>
    <n v="0"/>
    <n v="101"/>
    <s v="_x0000_US"/>
  </r>
  <r>
    <x v="0"/>
    <n v="13.696300000000001"/>
    <n v="-89.171999999999997"/>
    <n v="9952.43"/>
    <n v="0"/>
    <n v="0"/>
    <n v="101"/>
    <s v="_x0000_US"/>
  </r>
  <r>
    <x v="0"/>
    <n v="13.6851"/>
    <n v="-89.211299999999994"/>
    <n v="9952.43"/>
    <n v="0"/>
    <n v="0"/>
    <n v="101"/>
    <s v="_x0000_US"/>
  </r>
  <r>
    <x v="0"/>
    <n v="13.687200000000001"/>
    <n v="-89.195899999999995"/>
    <n v="9952.4599999999991"/>
    <n v="0"/>
    <n v="0"/>
    <n v="101"/>
    <s v="_x0000_US"/>
  </r>
  <r>
    <x v="0"/>
    <n v="13.6876"/>
    <n v="-89.194299999999998"/>
    <n v="9953.2999999999993"/>
    <n v="0"/>
    <n v="0"/>
    <n v="101"/>
    <s v="_x0000_US"/>
  </r>
  <r>
    <x v="0"/>
    <n v="13.6881"/>
    <n v="-89.229500000000002"/>
    <n v="9953.59"/>
    <n v="0"/>
    <n v="0"/>
    <n v="101"/>
    <s v="_x0000_US"/>
  </r>
  <r>
    <x v="0"/>
    <n v="13.6915"/>
    <n v="-89.178600000000003"/>
    <n v="9953.75"/>
    <n v="0"/>
    <n v="0"/>
    <n v="101"/>
    <s v="_x0000_US"/>
  </r>
  <r>
    <x v="0"/>
    <n v="13.6899"/>
    <n v="-89.177700000000002"/>
    <n v="9954.01"/>
    <n v="0"/>
    <n v="0"/>
    <n v="101"/>
    <s v="_x0000_US"/>
  </r>
  <r>
    <x v="0"/>
    <n v="13.693199999999999"/>
    <n v="-89.189800000000005"/>
    <n v="9954.0300000000007"/>
    <n v="0"/>
    <n v="0"/>
    <n v="101"/>
    <s v="_x0000_US"/>
  </r>
  <r>
    <x v="0"/>
    <n v="13.693199999999999"/>
    <n v="-89.177300000000002"/>
    <n v="9954.08"/>
    <n v="0"/>
    <n v="0"/>
    <n v="101"/>
    <s v="_x0000_US"/>
  </r>
  <r>
    <x v="0"/>
    <n v="13.6905"/>
    <n v="-89.235299999999995"/>
    <n v="9954.56"/>
    <n v="0"/>
    <n v="0"/>
    <n v="101"/>
    <s v="_x0000_US"/>
  </r>
  <r>
    <x v="0"/>
    <n v="13.6877"/>
    <n v="-89.197100000000006"/>
    <n v="9954.77"/>
    <n v="0"/>
    <n v="0"/>
    <n v="101"/>
    <s v="_x0000_US"/>
  </r>
  <r>
    <x v="0"/>
    <n v="13.687200000000001"/>
    <n v="-89.211399999999998"/>
    <n v="9954.94"/>
    <n v="0"/>
    <n v="0"/>
    <n v="101"/>
    <s v="_x0000_US"/>
  </r>
  <r>
    <x v="0"/>
    <n v="13.6913"/>
    <n v="-89.179199999999994"/>
    <n v="9955.5300000000007"/>
    <n v="0"/>
    <n v="0"/>
    <n v="101"/>
    <s v="_x0000_US"/>
  </r>
  <r>
    <x v="0"/>
    <n v="13.686999999999999"/>
    <n v="-89.194599999999994"/>
    <n v="9955.93"/>
    <n v="0"/>
    <n v="0"/>
    <n v="101"/>
    <s v="_x0000_US"/>
  </r>
  <r>
    <x v="0"/>
    <n v="13.689399999999999"/>
    <n v="-89.180199999999999"/>
    <n v="9956.09"/>
    <n v="0"/>
    <n v="0"/>
    <n v="101"/>
    <s v="_x0000_US"/>
  </r>
  <r>
    <x v="0"/>
    <n v="13.696199999999999"/>
    <n v="-89.171700000000001"/>
    <n v="9956.1"/>
    <n v="0"/>
    <n v="0"/>
    <n v="101"/>
    <s v="_x0000_US"/>
  </r>
  <r>
    <x v="0"/>
    <n v="13.6858"/>
    <n v="-89.215699999999998"/>
    <n v="9956.1"/>
    <n v="0"/>
    <n v="0"/>
    <n v="101"/>
    <s v="_x0000_US"/>
  </r>
  <r>
    <x v="0"/>
    <n v="13.6904"/>
    <n v="-89.194699999999997"/>
    <n v="9956.14"/>
    <n v="0"/>
    <n v="0"/>
    <n v="101"/>
    <s v="_x0000_US"/>
  </r>
  <r>
    <x v="0"/>
    <n v="13.6882"/>
    <n v="-89.194400000000002"/>
    <n v="9956.4"/>
    <n v="0"/>
    <n v="0"/>
    <n v="101"/>
    <s v="_x0000_US"/>
  </r>
  <r>
    <x v="0"/>
    <n v="13.6875"/>
    <n v="-89.196399999999997"/>
    <n v="9956.4599999999991"/>
    <n v="0"/>
    <n v="0"/>
    <n v="101"/>
    <s v="_x0000_US"/>
  </r>
  <r>
    <x v="0"/>
    <n v="13.6922"/>
    <n v="-89.183000000000007"/>
    <n v="9956.7900000000009"/>
    <n v="0"/>
    <n v="0"/>
    <n v="101"/>
    <s v="_x0000_US"/>
  </r>
  <r>
    <x v="0"/>
    <n v="13.692399999999999"/>
    <n v="-89.189700000000002"/>
    <n v="9957.18"/>
    <n v="0"/>
    <n v="0"/>
    <n v="101"/>
    <s v="_x0000_US"/>
  </r>
  <r>
    <x v="0"/>
    <n v="13.685600000000001"/>
    <n v="-89.194000000000003"/>
    <n v="9957.39"/>
    <n v="0"/>
    <n v="0"/>
    <n v="101"/>
    <s v="_x0000_US"/>
  </r>
  <r>
    <x v="0"/>
    <n v="13.6904"/>
    <n v="-89.1798"/>
    <n v="9957.58"/>
    <n v="0"/>
    <n v="0"/>
    <n v="101"/>
    <s v="_x0000_US"/>
  </r>
  <r>
    <x v="0"/>
    <n v="13.674799999999999"/>
    <n v="-89.252300000000005"/>
    <n v="9957.58"/>
    <n v="0"/>
    <n v="0"/>
    <n v="101"/>
    <s v="_x0000_US"/>
  </r>
  <r>
    <x v="0"/>
    <n v="13.6898"/>
    <n v="-89.190100000000001"/>
    <n v="9957.7900000000009"/>
    <n v="0"/>
    <n v="0"/>
    <n v="101"/>
    <s v="_x0000_US"/>
  </r>
  <r>
    <x v="0"/>
    <n v="13.6906"/>
    <n v="-89.183800000000005"/>
    <n v="9957.82"/>
    <n v="0"/>
    <n v="0"/>
    <n v="101"/>
    <s v="_x0000_US"/>
  </r>
  <r>
    <x v="0"/>
    <n v="13.691599999999999"/>
    <n v="-89.232500000000002"/>
    <n v="9958.01"/>
    <n v="0"/>
    <n v="0"/>
    <n v="101"/>
    <s v="_x0000_US"/>
  </r>
  <r>
    <x v="0"/>
    <n v="13.691700000000001"/>
    <n v="-89.178700000000006"/>
    <n v="9958.23"/>
    <n v="0"/>
    <n v="0"/>
    <n v="101"/>
    <s v="_x0000_US"/>
  </r>
  <r>
    <x v="0"/>
    <n v="13.6877"/>
    <n v="-89.1815"/>
    <n v="9958.4"/>
    <n v="0"/>
    <n v="0"/>
    <n v="101"/>
    <s v="_x0000_US"/>
  </r>
  <r>
    <x v="0"/>
    <n v="13.6906"/>
    <n v="-89.195700000000002"/>
    <n v="9958.58"/>
    <n v="0"/>
    <n v="0"/>
    <n v="101"/>
    <s v="_x0000_US"/>
  </r>
  <r>
    <x v="0"/>
    <n v="13.693"/>
    <n v="-89.189899999999994"/>
    <n v="9958.65"/>
    <n v="0"/>
    <n v="0"/>
    <n v="101"/>
    <s v="_x0000_US"/>
  </r>
  <r>
    <x v="0"/>
    <n v="13.696"/>
    <n v="-89.172799999999995"/>
    <n v="9959.4500000000007"/>
    <n v="0"/>
    <n v="0"/>
    <n v="101"/>
    <s v="_x0000_US"/>
  </r>
  <r>
    <x v="0"/>
    <n v="13.6914"/>
    <n v="-89.189300000000003"/>
    <n v="9960.06"/>
    <n v="0"/>
    <n v="0"/>
    <n v="101"/>
    <s v="_x0000_US"/>
  </r>
  <r>
    <x v="0"/>
    <n v="13.6876"/>
    <n v="-89.204800000000006"/>
    <n v="9960.33"/>
    <n v="0"/>
    <n v="0"/>
    <n v="101"/>
    <s v="_x0000_US"/>
  </r>
  <r>
    <x v="0"/>
    <n v="13.694599999999999"/>
    <n v="-89.183099999999996"/>
    <n v="9960.93"/>
    <n v="0"/>
    <n v="0"/>
    <n v="101"/>
    <s v="_x0000_US"/>
  </r>
  <r>
    <x v="0"/>
    <n v="13.688599999999999"/>
    <n v="-89.229299999999995"/>
    <n v="9961.17"/>
    <n v="0"/>
    <n v="0"/>
    <n v="101"/>
    <s v="_x0000_US"/>
  </r>
  <r>
    <x v="0"/>
    <n v="13.6913"/>
    <n v="-89.189400000000006"/>
    <n v="9961.27"/>
    <n v="0"/>
    <n v="0"/>
    <n v="101"/>
    <s v="_x0000_US"/>
  </r>
  <r>
    <x v="0"/>
    <n v="13.673400000000001"/>
    <n v="-89.251400000000004"/>
    <n v="9961.35"/>
    <n v="0"/>
    <n v="0"/>
    <n v="101"/>
    <s v="_x0000_US"/>
  </r>
  <r>
    <x v="0"/>
    <n v="13.6729"/>
    <n v="-89.204099999999997"/>
    <n v="9961.3799999999992"/>
    <n v="0"/>
    <n v="0"/>
    <n v="101"/>
    <s v="_x0000_US"/>
  </r>
  <r>
    <x v="0"/>
    <n v="13.6904"/>
    <n v="-89.186700000000002"/>
    <n v="9961.48"/>
    <n v="0"/>
    <n v="0"/>
    <n v="101"/>
    <s v="_x0000_US"/>
  </r>
  <r>
    <x v="0"/>
    <n v="13.6873"/>
    <n v="-89.195499999999996"/>
    <n v="9961.7900000000009"/>
    <n v="0"/>
    <n v="0"/>
    <n v="101"/>
    <s v="_x0000_US"/>
  </r>
  <r>
    <x v="0"/>
    <n v="13.6905"/>
    <n v="-89.193299999999994"/>
    <n v="9961.93"/>
    <n v="0"/>
    <n v="0"/>
    <n v="101"/>
    <s v="_x0000_US"/>
  </r>
  <r>
    <x v="0"/>
    <n v="13.684900000000001"/>
    <n v="-89.211200000000005"/>
    <n v="9962.36"/>
    <n v="0"/>
    <n v="0"/>
    <n v="101"/>
    <s v="_x0000_US"/>
  </r>
  <r>
    <x v="0"/>
    <n v="13.6869"/>
    <n v="-89.191400000000002"/>
    <n v="9962.44"/>
    <n v="0"/>
    <n v="0"/>
    <n v="101"/>
    <s v="_x0000_US"/>
  </r>
  <r>
    <x v="0"/>
    <n v="13.691700000000001"/>
    <n v="-89.186199999999999"/>
    <n v="9962.93"/>
    <n v="0"/>
    <n v="0"/>
    <n v="101"/>
    <s v="_x0000_US"/>
  </r>
  <r>
    <x v="0"/>
    <n v="13.6736"/>
    <n v="-89.204400000000007"/>
    <n v="9963.19"/>
    <n v="0"/>
    <n v="0"/>
    <n v="101"/>
    <s v="_x0000_US"/>
  </r>
  <r>
    <x v="0"/>
    <n v="13.6907"/>
    <n v="-89.194100000000006"/>
    <n v="9963.4"/>
    <n v="0"/>
    <n v="0"/>
    <n v="101"/>
    <s v="_x0000_US"/>
  </r>
  <r>
    <x v="0"/>
    <n v="13.6854"/>
    <n v="-89.213300000000004"/>
    <n v="9963.75"/>
    <n v="0"/>
    <n v="0"/>
    <n v="101"/>
    <s v="_x0000_US"/>
  </r>
  <r>
    <x v="0"/>
    <n v="13.6904"/>
    <n v="-89.236000000000004"/>
    <n v="9963.77"/>
    <n v="0"/>
    <n v="0"/>
    <n v="101"/>
    <s v="_x0000_US"/>
  </r>
  <r>
    <x v="0"/>
    <n v="13.6934"/>
    <n v="-89.192800000000005"/>
    <n v="9964.0499999999993"/>
    <n v="0"/>
    <n v="0"/>
    <n v="101"/>
    <s v="_x0000_US"/>
  </r>
  <r>
    <x v="0"/>
    <n v="13.6859"/>
    <n v="-89.193799999999996"/>
    <n v="9964.1200000000008"/>
    <n v="0"/>
    <n v="0"/>
    <n v="101"/>
    <s v="_x0000_US"/>
  </r>
  <r>
    <x v="0"/>
    <n v="13.6929"/>
    <n v="-89.224900000000005"/>
    <n v="9964.14"/>
    <n v="0"/>
    <n v="0"/>
    <n v="101"/>
    <s v="_x0000_US"/>
  </r>
  <r>
    <x v="0"/>
    <n v="13.6876"/>
    <n v="-89.204700000000003"/>
    <n v="9964.66"/>
    <n v="0"/>
    <n v="0"/>
    <n v="101"/>
    <s v="_x0000_US"/>
  </r>
  <r>
    <x v="0"/>
    <n v="13.6907"/>
    <n v="-89.232200000000006"/>
    <n v="9964.75"/>
    <n v="0"/>
    <n v="0"/>
    <n v="101"/>
    <s v="_x0000_US"/>
  </r>
  <r>
    <x v="0"/>
    <n v="13.691800000000001"/>
    <n v="-89.221199999999996"/>
    <n v="9965.77"/>
    <n v="0"/>
    <n v="0"/>
    <n v="101"/>
    <s v="_x0000_US"/>
  </r>
  <r>
    <x v="0"/>
    <n v="13.688000000000001"/>
    <n v="-89.180499999999995"/>
    <n v="9965.94"/>
    <n v="0"/>
    <n v="0"/>
    <n v="101"/>
    <s v="_x0000_US"/>
  </r>
  <r>
    <x v="0"/>
    <n v="13.6907"/>
    <n v="-89.1875"/>
    <n v="9966.07"/>
    <n v="0"/>
    <n v="0"/>
    <n v="101"/>
    <s v="_x0000_US"/>
  </r>
  <r>
    <x v="0"/>
    <n v="13.6913"/>
    <n v="-89.220500000000001"/>
    <n v="9966.1299999999992"/>
    <n v="0"/>
    <n v="0"/>
    <n v="101"/>
    <s v="_x0000_US"/>
  </r>
  <r>
    <x v="0"/>
    <n v="13.6913"/>
    <n v="-89.226600000000005"/>
    <n v="9966.26"/>
    <n v="0"/>
    <n v="0"/>
    <n v="101"/>
    <s v="_x0000_US"/>
  </r>
  <r>
    <x v="0"/>
    <n v="13.674899999999999"/>
    <n v="-89.251199999999997"/>
    <n v="9966.2999999999993"/>
    <n v="0"/>
    <n v="0"/>
    <n v="101"/>
    <s v="_x0000_US"/>
  </r>
  <r>
    <x v="0"/>
    <n v="13.678900000000001"/>
    <n v="-89.1965"/>
    <n v="9966.49"/>
    <n v="0"/>
    <n v="0"/>
    <n v="101"/>
    <s v="_x0000_US"/>
  </r>
  <r>
    <x v="0"/>
    <n v="13.6889"/>
    <n v="-89.180800000000005"/>
    <n v="9966.77"/>
    <n v="0"/>
    <n v="0"/>
    <n v="101"/>
    <s v="_x0000_US"/>
  </r>
  <r>
    <x v="0"/>
    <n v="13.674899999999999"/>
    <n v="-89.199799999999996"/>
    <n v="9966.91"/>
    <n v="0"/>
    <n v="0"/>
    <n v="101"/>
    <s v="_x0000_US"/>
  </r>
  <r>
    <x v="0"/>
    <n v="13.689299999999999"/>
    <n v="-89.203100000000006"/>
    <n v="9967.0400000000009"/>
    <n v="0"/>
    <n v="0"/>
    <n v="101"/>
    <s v="_x0000_US"/>
  </r>
  <r>
    <x v="0"/>
    <n v="13.6883"/>
    <n v="-89.193799999999996"/>
    <n v="9967.1200000000008"/>
    <n v="0"/>
    <n v="0"/>
    <n v="101"/>
    <s v="_x0000_US"/>
  </r>
  <r>
    <x v="0"/>
    <n v="13.6858"/>
    <n v="-89.203599999999994"/>
    <n v="9967.6200000000008"/>
    <n v="0"/>
    <n v="0"/>
    <n v="101"/>
    <s v="_x0000_US"/>
  </r>
  <r>
    <x v="0"/>
    <n v="13.690899999999999"/>
    <n v="-89.231399999999994"/>
    <n v="9967.6299999999992"/>
    <n v="0"/>
    <n v="0"/>
    <n v="101"/>
    <s v="_x0000_US"/>
  </r>
  <r>
    <x v="0"/>
    <n v="13.6913"/>
    <n v="-89.189499999999995"/>
    <n v="9967.83"/>
    <n v="0"/>
    <n v="0"/>
    <n v="101"/>
    <s v="_x0000_US"/>
  </r>
  <r>
    <x v="0"/>
    <n v="13.6911"/>
    <n v="-89.220299999999995"/>
    <n v="9967.8700000000008"/>
    <n v="0"/>
    <n v="0"/>
    <n v="101"/>
    <s v="_x0000_US"/>
  </r>
  <r>
    <x v="0"/>
    <n v="13.6892"/>
    <n v="-89.185199999999995"/>
    <n v="9968.0400000000009"/>
    <n v="0"/>
    <n v="0"/>
    <n v="101"/>
    <s v="_x0000_US"/>
  </r>
  <r>
    <x v="0"/>
    <n v="13.691000000000001"/>
    <n v="-89.226900000000001"/>
    <n v="9968.06"/>
    <n v="0"/>
    <n v="0"/>
    <n v="101"/>
    <s v="_x0000_US"/>
  </r>
  <r>
    <x v="0"/>
    <n v="13.690799999999999"/>
    <n v="-89.196200000000005"/>
    <n v="9968.2999999999993"/>
    <n v="0"/>
    <n v="0"/>
    <n v="101"/>
    <s v="_x0000_US"/>
  </r>
  <r>
    <x v="0"/>
    <n v="13.684799999999999"/>
    <n v="-89.212699999999998"/>
    <n v="9968.52"/>
    <n v="0"/>
    <n v="0"/>
    <n v="101"/>
    <s v="_x0000_US"/>
  </r>
  <r>
    <x v="0"/>
    <n v="13.6859"/>
    <n v="-89.211299999999994"/>
    <n v="9969.2999999999993"/>
    <n v="0"/>
    <n v="0"/>
    <n v="101"/>
    <s v="_x0000_US"/>
  </r>
  <r>
    <x v="0"/>
    <n v="13.6904"/>
    <n v="-89.231800000000007"/>
    <n v="9969.31"/>
    <n v="0"/>
    <n v="0"/>
    <n v="101"/>
    <s v="_x0000_US"/>
  </r>
  <r>
    <x v="0"/>
    <n v="13.6914"/>
    <n v="-89.189400000000006"/>
    <n v="9969.4500000000007"/>
    <n v="0"/>
    <n v="0"/>
    <n v="101"/>
    <s v="_x0000_US"/>
  </r>
  <r>
    <x v="0"/>
    <n v="13.689399999999999"/>
    <n v="-89.189700000000002"/>
    <n v="9969.51"/>
    <n v="0"/>
    <n v="0"/>
    <n v="101"/>
    <s v="_x0000_US"/>
  </r>
  <r>
    <x v="0"/>
    <n v="13.6874"/>
    <n v="-89.194400000000002"/>
    <n v="9969.61"/>
    <n v="0"/>
    <n v="0"/>
    <n v="101"/>
    <s v="_x0000_US"/>
  </r>
  <r>
    <x v="0"/>
    <n v="13.690200000000001"/>
    <n v="-89.236099999999993"/>
    <n v="9969.77"/>
    <n v="0"/>
    <n v="0"/>
    <n v="101"/>
    <s v="_x0000_US"/>
  </r>
  <r>
    <x v="0"/>
    <n v="13.6844"/>
    <n v="-89.216899999999995"/>
    <n v="9970.0400000000009"/>
    <n v="0"/>
    <n v="0"/>
    <n v="101"/>
    <s v="_x0000_US"/>
  </r>
  <r>
    <x v="0"/>
    <n v="13.6912"/>
    <n v="-89.219200000000001"/>
    <n v="9970.68"/>
    <n v="0"/>
    <n v="0"/>
    <n v="101"/>
    <s v="_x0000_US"/>
  </r>
  <r>
    <x v="0"/>
    <n v="13.6936"/>
    <n v="-89.173199999999994"/>
    <n v="9971.08"/>
    <n v="0"/>
    <n v="0"/>
    <n v="101"/>
    <s v="_x0000_US"/>
  </r>
  <r>
    <x v="0"/>
    <n v="13.6929"/>
    <n v="-89.184399999999997"/>
    <n v="9971.16"/>
    <n v="0"/>
    <n v="0"/>
    <n v="101"/>
    <s v="_x0000_US"/>
  </r>
  <r>
    <x v="0"/>
    <n v="13.6929"/>
    <n v="-89.225099999999998"/>
    <n v="9971.18"/>
    <n v="0"/>
    <n v="0"/>
    <n v="101"/>
    <s v="_x0000_US"/>
  </r>
  <r>
    <x v="0"/>
    <n v="13.687200000000001"/>
    <n v="-89.216899999999995"/>
    <n v="9972.11"/>
    <n v="0"/>
    <n v="0"/>
    <n v="101"/>
    <s v="_x0000_US"/>
  </r>
  <r>
    <x v="0"/>
    <n v="13.6942"/>
    <n v="-89.173400000000001"/>
    <n v="9972.4599999999991"/>
    <n v="0"/>
    <n v="0"/>
    <n v="101"/>
    <s v="_x0000_US"/>
  </r>
  <r>
    <x v="0"/>
    <n v="13.690799999999999"/>
    <n v="-89.1952"/>
    <n v="9972.49"/>
    <n v="0"/>
    <n v="0"/>
    <n v="101"/>
    <s v="_x0000_US"/>
  </r>
  <r>
    <x v="0"/>
    <n v="13.692"/>
    <n v="-89.221500000000006"/>
    <n v="9972.74"/>
    <n v="0"/>
    <n v="0"/>
    <n v="101"/>
    <s v="_x0000_US"/>
  </r>
  <r>
    <x v="0"/>
    <n v="13.690799999999999"/>
    <n v="-89.2333"/>
    <n v="9972.93"/>
    <n v="0"/>
    <n v="0"/>
    <n v="101"/>
    <s v="_x0000_US"/>
  </r>
  <r>
    <x v="0"/>
    <n v="13.690799999999999"/>
    <n v="-89.235600000000005"/>
    <n v="9973.9699999999993"/>
    <n v="0"/>
    <n v="0"/>
    <n v="101"/>
    <s v="_x0000_US"/>
  </r>
  <r>
    <x v="0"/>
    <n v="13.690899999999999"/>
    <n v="-89.187600000000003"/>
    <n v="9974.09"/>
    <n v="0"/>
    <n v="0"/>
    <n v="101"/>
    <s v="_x0000_US"/>
  </r>
  <r>
    <x v="0"/>
    <n v="13.6881"/>
    <n v="-89.216499999999996"/>
    <n v="9974.1299999999992"/>
    <n v="0"/>
    <n v="0"/>
    <n v="101"/>
    <s v="_x0000_US"/>
  </r>
  <r>
    <x v="0"/>
    <n v="13.6898"/>
    <n v="-89.189700000000002"/>
    <n v="9974.4500000000007"/>
    <n v="0"/>
    <n v="0"/>
    <n v="101"/>
    <s v="_x0000_US"/>
  </r>
  <r>
    <x v="0"/>
    <n v="13.694599999999999"/>
    <n v="-89.185299999999998"/>
    <n v="9974.4500000000007"/>
    <n v="0"/>
    <n v="0"/>
    <n v="101"/>
    <s v="_x0000_US"/>
  </r>
  <r>
    <x v="0"/>
    <n v="13.6912"/>
    <n v="-89.219399999999993"/>
    <n v="9974.85"/>
    <n v="0"/>
    <n v="0"/>
    <n v="101"/>
    <s v="_x0000_US"/>
  </r>
  <r>
    <x v="0"/>
    <n v="13.691800000000001"/>
    <n v="-89.224900000000005"/>
    <n v="9975.33"/>
    <n v="0"/>
    <n v="0"/>
    <n v="101"/>
    <s v="_x0000_US"/>
  </r>
  <r>
    <x v="0"/>
    <n v="13.692"/>
    <n v="-89.2273"/>
    <n v="9975.3799999999992"/>
    <n v="0"/>
    <n v="0"/>
    <n v="101"/>
    <s v="_x0000_US"/>
  </r>
  <r>
    <x v="0"/>
    <n v="13.690200000000001"/>
    <n v="-89.188199999999995"/>
    <n v="9975.68"/>
    <n v="0"/>
    <n v="0"/>
    <n v="101"/>
    <s v="_x0000_US"/>
  </r>
  <r>
    <x v="0"/>
    <n v="13.687200000000001"/>
    <n v="-89.194900000000004"/>
    <n v="9975.7900000000009"/>
    <n v="0"/>
    <n v="0"/>
    <n v="101"/>
    <s v="_x0000_US"/>
  </r>
  <r>
    <x v="0"/>
    <n v="13.6912"/>
    <n v="-89.234700000000004"/>
    <n v="9976.14"/>
    <n v="0"/>
    <n v="0"/>
    <n v="101"/>
    <s v="_x0000_US"/>
  </r>
  <r>
    <x v="0"/>
    <n v="13.691800000000001"/>
    <n v="-89.2256"/>
    <n v="9976.24"/>
    <n v="0"/>
    <n v="0"/>
    <n v="101"/>
    <s v="_x0000_US"/>
  </r>
  <r>
    <x v="0"/>
    <n v="13.674799999999999"/>
    <n v="-89.199399999999997"/>
    <n v="9976.4"/>
    <n v="0"/>
    <n v="0"/>
    <n v="101"/>
    <s v="_x0000_US"/>
  </r>
  <r>
    <x v="0"/>
    <n v="13.692600000000001"/>
    <n v="-89.224900000000005"/>
    <n v="9977.15"/>
    <n v="0"/>
    <n v="0"/>
    <n v="101"/>
    <s v="_x0000_US"/>
  </r>
  <r>
    <x v="0"/>
    <n v="13.687200000000001"/>
    <n v="-89.183199999999999"/>
    <n v="9977.2000000000007"/>
    <n v="0"/>
    <n v="0"/>
    <n v="101"/>
    <s v="_x0000_US"/>
  </r>
  <r>
    <x v="0"/>
    <n v="13.6892"/>
    <n v="-89.184200000000004"/>
    <n v="9977.92"/>
    <n v="0"/>
    <n v="0"/>
    <n v="101"/>
    <s v="_x0000_US"/>
  </r>
  <r>
    <x v="0"/>
    <n v="13.6873"/>
    <n v="-89.183300000000003"/>
    <n v="9978.06"/>
    <n v="0"/>
    <n v="0"/>
    <n v="101"/>
    <s v="_x0000_US"/>
  </r>
  <r>
    <x v="0"/>
    <n v="13.6966"/>
    <n v="-89.171800000000005"/>
    <n v="9978.2900000000009"/>
    <n v="0"/>
    <n v="0"/>
    <n v="101"/>
    <s v="_x0000_US"/>
  </r>
  <r>
    <x v="0"/>
    <n v="13.6892"/>
    <n v="-89.183800000000005"/>
    <n v="9978.58"/>
    <n v="0"/>
    <n v="0"/>
    <n v="101"/>
    <s v="_x0000_US"/>
  </r>
  <r>
    <x v="0"/>
    <n v="13.674099999999999"/>
    <n v="-89.252600000000001"/>
    <n v="9978.7800000000007"/>
    <n v="0"/>
    <n v="0"/>
    <n v="101"/>
    <s v="_x0000_US"/>
  </r>
  <r>
    <x v="0"/>
    <n v="13.691800000000001"/>
    <n v="-89.1785"/>
    <n v="9979.02"/>
    <n v="0"/>
    <n v="0"/>
    <n v="101"/>
    <s v="_x0000_US"/>
  </r>
  <r>
    <x v="0"/>
    <n v="13.6936"/>
    <n v="-89.176400000000001"/>
    <n v="9979.11"/>
    <n v="0"/>
    <n v="0"/>
    <n v="101"/>
    <s v="_x0000_US"/>
  </r>
  <r>
    <x v="0"/>
    <n v="13.6942"/>
    <n v="-89.183099999999996"/>
    <n v="9979.2000000000007"/>
    <n v="0"/>
    <n v="0"/>
    <n v="101"/>
    <s v="_x0000_US"/>
  </r>
  <r>
    <x v="0"/>
    <n v="13.6861"/>
    <n v="-89.211799999999997"/>
    <n v="9979.7900000000009"/>
    <n v="0"/>
    <n v="0"/>
    <n v="101"/>
    <s v="_x0000_US"/>
  </r>
  <r>
    <x v="0"/>
    <n v="13.678699999999999"/>
    <n v="-89.196399999999997"/>
    <n v="9980.2999999999993"/>
    <n v="0"/>
    <n v="0"/>
    <n v="101"/>
    <s v="_x0000_US"/>
  </r>
  <r>
    <x v="0"/>
    <n v="13.691700000000001"/>
    <n v="-89.186499999999995"/>
    <n v="9980.36"/>
    <n v="0"/>
    <n v="0"/>
    <n v="101"/>
    <s v="_x0000_US"/>
  </r>
  <r>
    <x v="0"/>
    <n v="13.6754"/>
    <n v="-89.248099999999994"/>
    <n v="9980.41"/>
    <n v="0"/>
    <n v="0"/>
    <n v="101"/>
    <s v="_x0000_US"/>
  </r>
  <r>
    <x v="0"/>
    <n v="13.6889"/>
    <n v="-89.215199999999996"/>
    <n v="9980.5499999999993"/>
    <n v="0"/>
    <n v="0"/>
    <n v="101"/>
    <s v="_x0000_US"/>
  </r>
  <r>
    <x v="0"/>
    <n v="13.685700000000001"/>
    <n v="-89.212500000000006"/>
    <n v="9981.1"/>
    <n v="0"/>
    <n v="0"/>
    <n v="101"/>
    <s v="_x0000_US"/>
  </r>
  <r>
    <x v="0"/>
    <n v="13.692299999999999"/>
    <n v="-89.194500000000005"/>
    <n v="9981.4699999999993"/>
    <n v="0"/>
    <n v="0"/>
    <n v="101"/>
    <s v="_x0000_US"/>
  </r>
  <r>
    <x v="0"/>
    <n v="13.692"/>
    <n v="-89.183199999999999"/>
    <n v="9982.6"/>
    <n v="0"/>
    <n v="0"/>
    <n v="101"/>
    <s v="_x0000_US"/>
  </r>
  <r>
    <x v="0"/>
    <n v="13.6911"/>
    <n v="-89.229100000000003"/>
    <n v="9982.8700000000008"/>
    <n v="0"/>
    <n v="0"/>
    <n v="101"/>
    <s v="_x0000_US"/>
  </r>
  <r>
    <x v="0"/>
    <n v="13.6869"/>
    <n v="-89.182500000000005"/>
    <n v="9983.2900000000009"/>
    <n v="0"/>
    <n v="0"/>
    <n v="101"/>
    <s v="_x0000_US"/>
  </r>
  <r>
    <x v="0"/>
    <n v="13.684799999999999"/>
    <n v="-89.217100000000002"/>
    <n v="9983.69"/>
    <n v="0"/>
    <n v="0"/>
    <n v="101"/>
    <s v="_x0000_US"/>
  </r>
  <r>
    <x v="0"/>
    <n v="13.6913"/>
    <n v="-89.232399999999998"/>
    <n v="9984.26"/>
    <n v="0"/>
    <n v="0"/>
    <n v="101"/>
    <s v="_x0000_US"/>
  </r>
  <r>
    <x v="0"/>
    <n v="13.6798"/>
    <n v="-89.195700000000002"/>
    <n v="9984.2800000000007"/>
    <n v="0"/>
    <n v="0"/>
    <n v="101"/>
    <s v="_x0000_US"/>
  </r>
  <r>
    <x v="0"/>
    <n v="13.684699999999999"/>
    <n v="-89.2136"/>
    <n v="9985.34"/>
    <n v="0"/>
    <n v="0"/>
    <n v="101"/>
    <s v="_x0000_US"/>
  </r>
  <r>
    <x v="0"/>
    <n v="13.687099999999999"/>
    <n v="-89.197299999999998"/>
    <n v="9986.26"/>
    <n v="0"/>
    <n v="0"/>
    <n v="101"/>
    <s v="_x0000_US"/>
  </r>
  <r>
    <x v="0"/>
    <n v="13.6905"/>
    <n v="-89.235399999999998"/>
    <n v="9986.6"/>
    <n v="0"/>
    <n v="0"/>
    <n v="101"/>
    <s v="_x0000_US"/>
  </r>
  <r>
    <x v="0"/>
    <n v="13.6912"/>
    <n v="-89.233699999999999"/>
    <n v="9986.93"/>
    <n v="0"/>
    <n v="0"/>
    <n v="101"/>
    <s v="_x0000_US"/>
  </r>
  <r>
    <x v="0"/>
    <n v="13.6904"/>
    <n v="-89.234099999999998"/>
    <n v="9987.49"/>
    <n v="0"/>
    <n v="0"/>
    <n v="101"/>
    <s v="_x0000_US"/>
  </r>
  <r>
    <x v="0"/>
    <n v="13.686999999999999"/>
    <n v="-89.216899999999995"/>
    <n v="9988.19"/>
    <n v="0"/>
    <n v="0"/>
    <n v="101"/>
    <s v="_x0000_US"/>
  </r>
  <r>
    <x v="0"/>
    <n v="13.6843"/>
    <n v="-89.213200000000001"/>
    <n v="9988.2099999999991"/>
    <n v="0"/>
    <n v="0"/>
    <n v="101"/>
    <s v="_x0000_US"/>
  </r>
  <r>
    <x v="0"/>
    <n v="13.696"/>
    <n v="-89.167699999999996"/>
    <n v="9988.27"/>
    <n v="0"/>
    <n v="0"/>
    <n v="101"/>
    <s v="_x0000_US"/>
  </r>
  <r>
    <x v="0"/>
    <n v="13.680899999999999"/>
    <n v="-89.195800000000006"/>
    <n v="9988.2900000000009"/>
    <n v="0"/>
    <n v="0"/>
    <n v="101"/>
    <s v="_x0000_US"/>
  </r>
  <r>
    <x v="0"/>
    <n v="13.6899"/>
    <n v="-89.189400000000006"/>
    <n v="9988.4599999999991"/>
    <n v="0"/>
    <n v="0"/>
    <n v="101"/>
    <s v="_x0000_US"/>
  </r>
  <r>
    <x v="0"/>
    <n v="13.6845"/>
    <n v="-89.215599999999995"/>
    <n v="9988.61"/>
    <n v="0"/>
    <n v="0"/>
    <n v="101"/>
    <s v="_x0000_US"/>
  </r>
  <r>
    <x v="0"/>
    <n v="13.685499999999999"/>
    <n v="-89.194100000000006"/>
    <n v="9988.92"/>
    <n v="0"/>
    <n v="0"/>
    <n v="101"/>
    <s v="_x0000_US"/>
  </r>
  <r>
    <x v="0"/>
    <n v="13.6922"/>
    <n v="-89.223399999999998"/>
    <n v="9988.92"/>
    <n v="0"/>
    <n v="0"/>
    <n v="101"/>
    <s v="_x0000_US"/>
  </r>
  <r>
    <x v="0"/>
    <n v="13.6907"/>
    <n v="-89.2346"/>
    <n v="9989.1"/>
    <n v="0"/>
    <n v="0"/>
    <n v="101"/>
    <s v="_x0000_US"/>
  </r>
  <r>
    <x v="0"/>
    <n v="13.694800000000001"/>
    <n v="-89.186300000000003"/>
    <n v="9989.19"/>
    <n v="0"/>
    <n v="0"/>
    <n v="101"/>
    <s v="_x0000_US"/>
  </r>
  <r>
    <x v="0"/>
    <n v="13.684699999999999"/>
    <n v="-89.211600000000004"/>
    <n v="9989.27"/>
    <n v="0"/>
    <n v="0"/>
    <n v="101"/>
    <s v="_x0000_US"/>
  </r>
  <r>
    <x v="0"/>
    <n v="13.674200000000001"/>
    <n v="-89.252399999999994"/>
    <n v="9989.93"/>
    <n v="0"/>
    <n v="0"/>
    <n v="101"/>
    <s v="_x0000_US"/>
  </r>
  <r>
    <x v="0"/>
    <n v="13.6934"/>
    <n v="-89.188299999999998"/>
    <n v="9990.27"/>
    <n v="0"/>
    <n v="0"/>
    <n v="101"/>
    <s v="_x0000_US"/>
  </r>
  <r>
    <x v="0"/>
    <n v="13.6911"/>
    <n v="-89.228800000000007"/>
    <n v="9990.35"/>
    <n v="0"/>
    <n v="0"/>
    <n v="101"/>
    <s v="_x0000_US"/>
  </r>
  <r>
    <x v="0"/>
    <n v="13.684699999999999"/>
    <n v="-89.216800000000006"/>
    <n v="9990.3799999999992"/>
    <n v="0"/>
    <n v="0"/>
    <n v="101"/>
    <s v="_x0000_US"/>
  </r>
  <r>
    <x v="0"/>
    <n v="13.6919"/>
    <n v="-89.182000000000002"/>
    <n v="9990.69"/>
    <n v="0"/>
    <n v="0"/>
    <n v="101"/>
    <s v="_x0000_US"/>
  </r>
  <r>
    <x v="0"/>
    <n v="13.692399999999999"/>
    <n v="-89.184200000000004"/>
    <n v="9991.17"/>
    <n v="0"/>
    <n v="0"/>
    <n v="101"/>
    <s v="_x0000_US"/>
  </r>
  <r>
    <x v="0"/>
    <n v="13.6739"/>
    <n v="-89.203000000000003"/>
    <n v="9991.99"/>
    <n v="0"/>
    <n v="0"/>
    <n v="101"/>
    <s v="_x0000_US"/>
  </r>
  <r>
    <x v="0"/>
    <n v="13.694699999999999"/>
    <n v="-89.174099999999996"/>
    <n v="9992.11"/>
    <n v="0"/>
    <n v="0"/>
    <n v="101"/>
    <s v="_x0000_US"/>
  </r>
  <r>
    <x v="0"/>
    <n v="13.6896"/>
    <n v="-89.235600000000005"/>
    <n v="9992.41"/>
    <n v="0"/>
    <n v="0"/>
    <n v="101"/>
    <s v="_x0000_US"/>
  </r>
  <r>
    <x v="0"/>
    <n v="13.6876"/>
    <n v="-89.181799999999996"/>
    <n v="9993.34"/>
    <n v="0"/>
    <n v="0"/>
    <n v="101"/>
    <s v="_x0000_US"/>
  </r>
  <r>
    <x v="0"/>
    <n v="13.687099999999999"/>
    <n v="-89.193899999999999"/>
    <n v="9993.44"/>
    <n v="0"/>
    <n v="0"/>
    <n v="101"/>
    <s v="_x0000_US"/>
  </r>
  <r>
    <x v="0"/>
    <n v="13.6915"/>
    <n v="-89.225999999999999"/>
    <n v="9993.4500000000007"/>
    <n v="0"/>
    <n v="0"/>
    <n v="101"/>
    <s v="_x0000_US"/>
  </r>
  <r>
    <x v="0"/>
    <n v="13.6911"/>
    <n v="-89.232600000000005"/>
    <n v="9993.5300000000007"/>
    <n v="0"/>
    <n v="0"/>
    <n v="101"/>
    <s v="_x0000_US"/>
  </r>
  <r>
    <x v="0"/>
    <n v="13.6853"/>
    <n v="-89.2149"/>
    <n v="9993.61"/>
    <n v="0"/>
    <n v="0"/>
    <n v="101"/>
    <s v="_x0000_US"/>
  </r>
  <r>
    <x v="0"/>
    <n v="13.689500000000001"/>
    <n v="-89.235500000000002"/>
    <n v="9995.0300000000007"/>
    <n v="0"/>
    <n v="0"/>
    <n v="101"/>
    <s v="_x0000_US"/>
  </r>
  <r>
    <x v="0"/>
    <n v="13.6892"/>
    <n v="-89.229699999999994"/>
    <n v="9995.24"/>
    <n v="0"/>
    <n v="0"/>
    <n v="101"/>
    <s v="_x0000_US"/>
  </r>
  <r>
    <x v="0"/>
    <n v="13.686500000000001"/>
    <n v="-89.193100000000001"/>
    <n v="9995.36"/>
    <n v="0"/>
    <n v="0"/>
    <n v="101"/>
    <s v="_x0000_US"/>
  </r>
  <r>
    <x v="0"/>
    <n v="13.686199999999999"/>
    <n v="-89.193799999999996"/>
    <n v="9995.51"/>
    <n v="0"/>
    <n v="0"/>
    <n v="101"/>
    <s v="_x0000_US"/>
  </r>
  <r>
    <x v="0"/>
    <n v="13.6965"/>
    <n v="-89.172399999999996"/>
    <n v="9996.4699999999993"/>
    <n v="0"/>
    <n v="0"/>
    <n v="101"/>
    <s v="_x0000_US"/>
  </r>
  <r>
    <x v="0"/>
    <n v="13.687099999999999"/>
    <n v="-89.197400000000002"/>
    <n v="9996.5499999999993"/>
    <n v="0"/>
    <n v="0"/>
    <n v="101"/>
    <s v="_x0000_US"/>
  </r>
  <r>
    <x v="0"/>
    <n v="13.686"/>
    <n v="-89.213200000000001"/>
    <n v="9997.24"/>
    <n v="0"/>
    <n v="0"/>
    <n v="101"/>
    <s v="_x0000_US"/>
  </r>
  <r>
    <x v="0"/>
    <n v="13.6882"/>
    <n v="-89.216700000000003"/>
    <n v="9997.4500000000007"/>
    <n v="0"/>
    <n v="0"/>
    <n v="101"/>
    <s v="_x0000_US"/>
  </r>
  <r>
    <x v="0"/>
    <n v="13.692600000000001"/>
    <n v="-89.184600000000003"/>
    <n v="9998.0400000000009"/>
    <n v="0"/>
    <n v="0"/>
    <n v="101"/>
    <s v="_x0000_US"/>
  </r>
  <r>
    <x v="0"/>
    <n v="13.692500000000001"/>
    <n v="-89.225700000000003"/>
    <n v="9998.67"/>
    <n v="0"/>
    <n v="0"/>
    <n v="101"/>
    <s v="_x0000_US"/>
  </r>
  <r>
    <x v="0"/>
    <n v="13.688700000000001"/>
    <n v="-89.204499999999996"/>
    <n v="9999.43"/>
    <n v="0"/>
    <n v="0"/>
    <n v="101"/>
    <s v="_x0000_US"/>
  </r>
  <r>
    <x v="0"/>
    <n v="13.695600000000001"/>
    <n v="-89.174099999999996"/>
    <n v="9999.6299999999992"/>
    <n v="0"/>
    <n v="0"/>
    <n v="101"/>
    <s v="_x0000_US"/>
  </r>
  <r>
    <x v="0"/>
    <n v="13.687200000000001"/>
    <n v="-89.195800000000006"/>
    <n v="10000"/>
    <n v="0"/>
    <n v="0"/>
    <n v="101"/>
    <s v="_x0000_US"/>
  </r>
  <r>
    <x v="0"/>
    <n v="13.692399999999999"/>
    <n v="-89.175899999999999"/>
    <n v="10000.299999999999"/>
    <n v="0"/>
    <n v="0"/>
    <n v="101"/>
    <s v="_x0000_US"/>
  </r>
  <r>
    <x v="0"/>
    <n v="13.688599999999999"/>
    <n v="-89.198800000000006"/>
    <n v="10000.9"/>
    <n v="0"/>
    <n v="0"/>
    <n v="101"/>
    <s v="_x0000_US"/>
  </r>
  <r>
    <x v="0"/>
    <n v="13.673"/>
    <n v="-89.204599999999999"/>
    <n v="10001"/>
    <n v="0"/>
    <n v="0"/>
    <n v="101"/>
    <s v="_x0000_US"/>
  </r>
  <r>
    <x v="0"/>
    <n v="13.6793"/>
    <n v="-89.194000000000003"/>
    <n v="10001.200000000001"/>
    <n v="0"/>
    <n v="0"/>
    <n v="101"/>
    <s v="_x0000_US"/>
  </r>
  <r>
    <x v="0"/>
    <n v="13.6739"/>
    <n v="-89.202799999999996"/>
    <n v="10001.4"/>
    <n v="0"/>
    <n v="0"/>
    <n v="101"/>
    <s v="_x0000_US"/>
  </r>
  <r>
    <x v="0"/>
    <n v="13.6914"/>
    <n v="-89.235299999999995"/>
    <n v="10001.4"/>
    <n v="0"/>
    <n v="0"/>
    <n v="101"/>
    <s v="_x0000_US"/>
  </r>
  <r>
    <x v="0"/>
    <n v="13.689500000000001"/>
    <n v="-89.235299999999995"/>
    <n v="10001.5"/>
    <n v="0"/>
    <n v="0"/>
    <n v="101"/>
    <s v="_x0000_US"/>
  </r>
  <r>
    <x v="0"/>
    <n v="13.6898"/>
    <n v="-89.216800000000006"/>
    <n v="10001.700000000001"/>
    <n v="0"/>
    <n v="0"/>
    <n v="101"/>
    <s v="_x0000_US"/>
  </r>
  <r>
    <x v="0"/>
    <n v="13.6914"/>
    <n v="-89.233599999999996"/>
    <n v="10001.799999999999"/>
    <n v="0"/>
    <n v="0"/>
    <n v="101"/>
    <s v="_x0000_US"/>
  </r>
  <r>
    <x v="0"/>
    <n v="13.6927"/>
    <n v="-89.174000000000007"/>
    <n v="10001.9"/>
    <n v="0"/>
    <n v="0"/>
    <n v="101"/>
    <s v="_x0000_US"/>
  </r>
  <r>
    <x v="0"/>
    <n v="13.6867"/>
    <n v="-89.191299999999998"/>
    <n v="10003.1"/>
    <n v="0"/>
    <n v="0"/>
    <n v="101"/>
    <s v="_x0000_US"/>
  </r>
  <r>
    <x v="0"/>
    <n v="13.6943"/>
    <n v="-89.173400000000001"/>
    <n v="10003.200000000001"/>
    <n v="0"/>
    <n v="0"/>
    <n v="101"/>
    <s v="_x0000_US"/>
  </r>
  <r>
    <x v="0"/>
    <n v="13.6907"/>
    <n v="-89.186199999999999"/>
    <n v="10004.700000000001"/>
    <n v="0"/>
    <n v="0"/>
    <n v="101"/>
    <s v="_x0000_US"/>
  </r>
  <r>
    <x v="0"/>
    <n v="13.690899999999999"/>
    <n v="-89.181600000000003"/>
    <n v="10004.700000000001"/>
    <n v="0"/>
    <n v="0"/>
    <n v="101"/>
    <s v="_x0000_US"/>
  </r>
  <r>
    <x v="0"/>
    <n v="13.6937"/>
    <n v="-89.173299999999998"/>
    <n v="10004.9"/>
    <n v="0"/>
    <n v="0"/>
    <n v="101"/>
    <s v="_x0000_US"/>
  </r>
  <r>
    <x v="0"/>
    <n v="13.6914"/>
    <n v="-89.188199999999995"/>
    <n v="10005.200000000001"/>
    <n v="0"/>
    <n v="0"/>
    <n v="101"/>
    <s v="_x0000_US"/>
  </r>
  <r>
    <x v="0"/>
    <n v="13.674799999999999"/>
    <n v="-89.249499999999998"/>
    <n v="10005.200000000001"/>
    <n v="0"/>
    <n v="0"/>
    <n v="101"/>
    <s v="_x0000_US"/>
  </r>
  <r>
    <x v="0"/>
    <n v="13.673999999999999"/>
    <n v="-89.252300000000005"/>
    <n v="10005.6"/>
    <n v="0"/>
    <n v="0"/>
    <n v="101"/>
    <s v="_x0000_US"/>
  </r>
  <r>
    <x v="0"/>
    <n v="13.692"/>
    <n v="-89.193600000000004"/>
    <n v="10005.9"/>
    <n v="0"/>
    <n v="0"/>
    <n v="101"/>
    <s v="_x0000_US"/>
  </r>
  <r>
    <x v="0"/>
    <n v="13.691000000000001"/>
    <n v="-89.186599999999999"/>
    <n v="10006.6"/>
    <n v="0"/>
    <n v="0"/>
    <n v="101"/>
    <s v="_x0000_US"/>
  </r>
  <r>
    <x v="0"/>
    <n v="13.6798"/>
    <n v="-89.195800000000006"/>
    <n v="10006.6"/>
    <n v="0"/>
    <n v="0"/>
    <n v="101"/>
    <s v="_x0000_US"/>
  </r>
  <r>
    <x v="0"/>
    <n v="13.693099999999999"/>
    <n v="-89.189899999999994"/>
    <n v="10007.299999999999"/>
    <n v="0"/>
    <n v="0"/>
    <n v="101"/>
    <s v="_x0000_US"/>
  </r>
  <r>
    <x v="0"/>
    <n v="13.690899999999999"/>
    <n v="-89.233099999999993"/>
    <n v="10007.4"/>
    <n v="0"/>
    <n v="0"/>
    <n v="101"/>
    <s v="_x0000_US"/>
  </r>
  <r>
    <x v="0"/>
    <n v="13.690300000000001"/>
    <n v="-89.188500000000005"/>
    <n v="10008"/>
    <n v="0"/>
    <n v="0"/>
    <n v="101"/>
    <s v="_x0000_US"/>
  </r>
  <r>
    <x v="0"/>
    <n v="13.6911"/>
    <n v="-89.226500000000001"/>
    <n v="10008.200000000001"/>
    <n v="0"/>
    <n v="0"/>
    <n v="101"/>
    <s v="_x0000_US"/>
  </r>
  <r>
    <x v="0"/>
    <n v="13.690200000000001"/>
    <n v="-89.195899999999995"/>
    <n v="10008.700000000001"/>
    <n v="0"/>
    <n v="0"/>
    <n v="101"/>
    <s v="_x0000_US"/>
  </r>
  <r>
    <x v="0"/>
    <n v="13.686999999999999"/>
    <n v="-89.197299999999998"/>
    <n v="10008.700000000001"/>
    <n v="0"/>
    <n v="0"/>
    <n v="101"/>
    <s v="_x0000_US"/>
  </r>
  <r>
    <x v="0"/>
    <n v="13.691599999999999"/>
    <n v="-89.186000000000007"/>
    <n v="10008.700000000001"/>
    <n v="0"/>
    <n v="0"/>
    <n v="101"/>
    <s v="_x0000_US"/>
  </r>
  <r>
    <x v="0"/>
    <n v="13.674300000000001"/>
    <n v="-89.251000000000005"/>
    <n v="10009"/>
    <n v="0"/>
    <n v="0"/>
    <n v="101"/>
    <s v="_x0000_US"/>
  </r>
  <r>
    <x v="0"/>
    <n v="13.6904"/>
    <n v="-89.235600000000005"/>
    <n v="10009.200000000001"/>
    <n v="0"/>
    <n v="0"/>
    <n v="101"/>
    <s v="_x0000_US"/>
  </r>
  <r>
    <x v="0"/>
    <n v="13.6874"/>
    <n v="-89.1828"/>
    <n v="10009.4"/>
    <n v="0"/>
    <n v="0"/>
    <n v="101"/>
    <s v="_x0000_US"/>
  </r>
  <r>
    <x v="0"/>
    <n v="13.690899999999999"/>
    <n v="-89.190799999999996"/>
    <n v="10009.799999999999"/>
    <n v="0"/>
    <n v="0"/>
    <n v="101"/>
    <s v="_x0000_US"/>
  </r>
  <r>
    <x v="0"/>
    <n v="13.6974"/>
    <n v="-89.171400000000006"/>
    <n v="10010"/>
    <n v="0"/>
    <n v="0"/>
    <n v="101"/>
    <s v="_x0000_US"/>
  </r>
  <r>
    <x v="0"/>
    <n v="13.691700000000001"/>
    <n v="-89.186000000000007"/>
    <n v="10010.1"/>
    <n v="0"/>
    <n v="0"/>
    <n v="101"/>
    <s v="_x0000_US"/>
  </r>
  <r>
    <x v="0"/>
    <n v="13.6898"/>
    <n v="-89.185900000000004"/>
    <n v="10010.200000000001"/>
    <n v="0"/>
    <n v="0"/>
    <n v="101"/>
    <s v="_x0000_US"/>
  </r>
  <r>
    <x v="0"/>
    <n v="13.684900000000001"/>
    <n v="-89.203500000000005"/>
    <n v="10010.4"/>
    <n v="0"/>
    <n v="0"/>
    <n v="101"/>
    <s v="_x0000_US"/>
  </r>
  <r>
    <x v="0"/>
    <n v="13.691599999999999"/>
    <n v="-89.233400000000003"/>
    <n v="10010.4"/>
    <n v="0"/>
    <n v="0"/>
    <n v="101"/>
    <s v="_x0000_US"/>
  </r>
  <r>
    <x v="0"/>
    <n v="13.6958"/>
    <n v="-89.165599999999998"/>
    <n v="10010.700000000001"/>
    <n v="0"/>
    <n v="0"/>
    <n v="101"/>
    <s v="_x0000_US"/>
  </r>
  <r>
    <x v="0"/>
    <n v="13.6875"/>
    <n v="-89.194400000000002"/>
    <n v="10011.5"/>
    <n v="0"/>
    <n v="0"/>
    <n v="101"/>
    <s v="_x0000_US"/>
  </r>
  <r>
    <x v="0"/>
    <n v="13.6868"/>
    <n v="-89.212599999999995"/>
    <n v="10011.6"/>
    <n v="0"/>
    <n v="0"/>
    <n v="101"/>
    <s v="_x0000_US"/>
  </r>
  <r>
    <x v="0"/>
    <n v="13.6919"/>
    <n v="-89.224000000000004"/>
    <n v="10011.799999999999"/>
    <n v="0"/>
    <n v="0"/>
    <n v="101"/>
    <s v="_x0000_US"/>
  </r>
  <r>
    <x v="0"/>
    <n v="13.6852"/>
    <n v="-89.194000000000003"/>
    <n v="10011.9"/>
    <n v="0"/>
    <n v="0"/>
    <n v="101"/>
    <s v="_x0000_US"/>
  </r>
  <r>
    <x v="0"/>
    <n v="13.6868"/>
    <n v="-89.211600000000004"/>
    <n v="10011.9"/>
    <n v="0"/>
    <n v="0"/>
    <n v="101"/>
    <s v="_x0000_US"/>
  </r>
  <r>
    <x v="0"/>
    <n v="13.6922"/>
    <n v="-89.222200000000001"/>
    <n v="10012.299999999999"/>
    <n v="0"/>
    <n v="0"/>
    <n v="101"/>
    <s v="_x0000_US"/>
  </r>
  <r>
    <x v="0"/>
    <n v="13.686999999999999"/>
    <n v="-89.197100000000006"/>
    <n v="10012.4"/>
    <n v="0"/>
    <n v="0"/>
    <n v="101"/>
    <s v="_x0000_US"/>
  </r>
  <r>
    <x v="0"/>
    <n v="13.692299999999999"/>
    <n v="-89.223600000000005"/>
    <n v="10012.6"/>
    <n v="0"/>
    <n v="0"/>
    <n v="101"/>
    <s v="_x0000_US"/>
  </r>
  <r>
    <x v="0"/>
    <n v="13.6942"/>
    <n v="-89.175299999999993"/>
    <n v="10013.200000000001"/>
    <n v="0"/>
    <n v="0"/>
    <n v="101"/>
    <s v="_x0000_US"/>
  </r>
  <r>
    <x v="0"/>
    <n v="13.6899"/>
    <n v="-89.184700000000007"/>
    <n v="10013.6"/>
    <n v="0"/>
    <n v="0"/>
    <n v="101"/>
    <s v="_x0000_US"/>
  </r>
  <r>
    <x v="0"/>
    <n v="13.6854"/>
    <n v="-89.215800000000002"/>
    <n v="10013.799999999999"/>
    <n v="0"/>
    <n v="0"/>
    <n v="101"/>
    <s v="_x0000_US"/>
  </r>
  <r>
    <x v="0"/>
    <n v="13.691700000000001"/>
    <n v="-89.233099999999993"/>
    <n v="10013.9"/>
    <n v="0"/>
    <n v="0"/>
    <n v="101"/>
    <s v="_x0000_US"/>
  </r>
  <r>
    <x v="0"/>
    <n v="13.691599999999999"/>
    <n v="-89.233900000000006"/>
    <n v="10014"/>
    <n v="0"/>
    <n v="0"/>
    <n v="101"/>
    <s v="_x0000_US"/>
  </r>
  <r>
    <x v="0"/>
    <n v="13.6922"/>
    <n v="-89.175200000000004"/>
    <n v="10014.9"/>
    <n v="0"/>
    <n v="0"/>
    <n v="101"/>
    <s v="_x0000_US"/>
  </r>
  <r>
    <x v="0"/>
    <n v="13.692399999999999"/>
    <n v="-89.184700000000007"/>
    <n v="10015.6"/>
    <n v="0"/>
    <n v="0"/>
    <n v="101"/>
    <s v="_x0000_US"/>
  </r>
  <r>
    <x v="0"/>
    <n v="13.695600000000001"/>
    <n v="-89.173500000000004"/>
    <n v="10015.6"/>
    <n v="0"/>
    <n v="0"/>
    <n v="101"/>
    <s v="_x0000_US"/>
  </r>
  <r>
    <x v="0"/>
    <n v="13.6884"/>
    <n v="-89.2042"/>
    <n v="10016.1"/>
    <n v="0"/>
    <n v="0"/>
    <n v="101"/>
    <s v="_x0000_US"/>
  </r>
  <r>
    <x v="0"/>
    <n v="13.6739"/>
    <n v="-89.2029"/>
    <n v="10016.200000000001"/>
    <n v="0"/>
    <n v="0"/>
    <n v="101"/>
    <s v="_x0000_US"/>
  </r>
  <r>
    <x v="0"/>
    <n v="13.686"/>
    <n v="-89.216300000000004"/>
    <n v="10016.299999999999"/>
    <n v="0"/>
    <n v="0"/>
    <n v="101"/>
    <s v="_x0000_US"/>
  </r>
  <r>
    <x v="0"/>
    <n v="13.686500000000001"/>
    <n v="-89.192999999999998"/>
    <n v="10016.4"/>
    <n v="0"/>
    <n v="0"/>
    <n v="101"/>
    <s v="_x0000_US"/>
  </r>
  <r>
    <x v="0"/>
    <n v="13.686299999999999"/>
    <n v="-89.204300000000003"/>
    <n v="10016.5"/>
    <n v="0"/>
    <n v="0"/>
    <n v="101"/>
    <s v="_x0000_US"/>
  </r>
  <r>
    <x v="0"/>
    <n v="13.691700000000001"/>
    <n v="-89.179599999999994"/>
    <n v="10016.6"/>
    <n v="0"/>
    <n v="0"/>
    <n v="101"/>
    <s v="_x0000_US"/>
  </r>
  <r>
    <x v="0"/>
    <n v="13.6873"/>
    <n v="-89.196299999999994"/>
    <n v="10016.9"/>
    <n v="0"/>
    <n v="0"/>
    <n v="101"/>
    <s v="_x0000_US"/>
  </r>
  <r>
    <x v="0"/>
    <n v="13.674099999999999"/>
    <n v="-89.252200000000002"/>
    <n v="10017"/>
    <n v="0"/>
    <n v="0"/>
    <n v="101"/>
    <s v="_x0000_US"/>
  </r>
  <r>
    <x v="0"/>
    <n v="13.6745"/>
    <n v="-89.199600000000004"/>
    <n v="10017.5"/>
    <n v="0"/>
    <n v="0"/>
    <n v="101"/>
    <s v="_x0000_US"/>
  </r>
  <r>
    <x v="0"/>
    <n v="13.687900000000001"/>
    <n v="-89.212500000000006"/>
    <n v="10017.700000000001"/>
    <n v="0"/>
    <n v="0"/>
    <n v="101"/>
    <s v="_x0000_US"/>
  </r>
  <r>
    <x v="0"/>
    <n v="13.6881"/>
    <n v="-89.189899999999994"/>
    <n v="10017.799999999999"/>
    <n v="0"/>
    <n v="0"/>
    <n v="101"/>
    <s v="_x0000_US"/>
  </r>
  <r>
    <x v="0"/>
    <n v="13.6899"/>
    <n v="-89.177800000000005"/>
    <n v="10018.1"/>
    <n v="0"/>
    <n v="0"/>
    <n v="101"/>
    <s v="_x0000_US"/>
  </r>
  <r>
    <x v="0"/>
    <n v="13.694900000000001"/>
    <n v="-89.175299999999993"/>
    <n v="10019.200000000001"/>
    <n v="0"/>
    <n v="0"/>
    <n v="101"/>
    <s v="_x0000_US"/>
  </r>
  <r>
    <x v="0"/>
    <n v="13.6907"/>
    <n v="-89.234399999999994"/>
    <n v="10019.6"/>
    <n v="0"/>
    <n v="0"/>
    <n v="101"/>
    <s v="_x0000_US"/>
  </r>
  <r>
    <x v="0"/>
    <n v="13.674300000000001"/>
    <n v="-89.251999999999995"/>
    <n v="10019.6"/>
    <n v="0"/>
    <n v="0"/>
    <n v="101"/>
    <s v="_x0000_US"/>
  </r>
  <r>
    <x v="0"/>
    <n v="13.6907"/>
    <n v="-89.183599999999998"/>
    <n v="10019.700000000001"/>
    <n v="0"/>
    <n v="0"/>
    <n v="101"/>
    <s v="_x0000_US"/>
  </r>
  <r>
    <x v="0"/>
    <n v="13.6905"/>
    <n v="-89.227800000000002"/>
    <n v="10019.700000000001"/>
    <n v="0"/>
    <n v="0"/>
    <n v="101"/>
    <s v="_x0000_US"/>
  </r>
  <r>
    <x v="0"/>
    <n v="13.691000000000001"/>
    <n v="-89.232600000000005"/>
    <n v="10019.9"/>
    <n v="0"/>
    <n v="0"/>
    <n v="101"/>
    <s v="_x0000_US"/>
  </r>
  <r>
    <x v="0"/>
    <n v="13.6927"/>
    <n v="-89.183199999999999"/>
    <n v="10021.6"/>
    <n v="0"/>
    <n v="0"/>
    <n v="101"/>
    <s v="_x0000_US"/>
  </r>
  <r>
    <x v="0"/>
    <n v="13.6915"/>
    <n v="-89.232900000000001"/>
    <n v="10021.799999999999"/>
    <n v="0"/>
    <n v="0"/>
    <n v="101"/>
    <s v="_x0000_US"/>
  </r>
  <r>
    <x v="0"/>
    <n v="13.691700000000001"/>
    <n v="-89.186000000000007"/>
    <n v="10022"/>
    <n v="0"/>
    <n v="0"/>
    <n v="101"/>
    <s v="_x0000_US"/>
  </r>
  <r>
    <x v="0"/>
    <n v="13.6913"/>
    <n v="-89.232900000000001"/>
    <n v="10022.299999999999"/>
    <n v="0"/>
    <n v="0"/>
    <n v="101"/>
    <s v="_x0000_US"/>
  </r>
  <r>
    <x v="0"/>
    <n v="13.6914"/>
    <n v="-89.22"/>
    <n v="10022.700000000001"/>
    <n v="0"/>
    <n v="0"/>
    <n v="101"/>
    <s v="_x0000_US"/>
  </r>
  <r>
    <x v="0"/>
    <n v="13.688700000000001"/>
    <n v="-89.229299999999995"/>
    <n v="10022.700000000001"/>
    <n v="0"/>
    <n v="0"/>
    <n v="101"/>
    <s v="_x0000_US"/>
  </r>
  <r>
    <x v="0"/>
    <n v="13.690099999999999"/>
    <n v="-89.2286"/>
    <n v="10022.799999999999"/>
    <n v="0"/>
    <n v="0"/>
    <n v="101"/>
    <s v="_x0000_US"/>
  </r>
  <r>
    <x v="0"/>
    <n v="13.691599999999999"/>
    <n v="-89.232699999999994"/>
    <n v="10022.799999999999"/>
    <n v="0"/>
    <n v="0"/>
    <n v="101"/>
    <s v="_x0000_US"/>
  </r>
  <r>
    <x v="0"/>
    <n v="13.695"/>
    <n v="-89.182500000000005"/>
    <n v="10022.9"/>
    <n v="0"/>
    <n v="0"/>
    <n v="101"/>
    <s v="_x0000_US"/>
  </r>
  <r>
    <x v="0"/>
    <n v="13.691599999999999"/>
    <n v="-89.225499999999997"/>
    <n v="10023.1"/>
    <n v="0"/>
    <n v="0"/>
    <n v="101"/>
    <s v="_x0000_US"/>
  </r>
  <r>
    <x v="0"/>
    <n v="13.6858"/>
    <n v="-89.215400000000002"/>
    <n v="10023.200000000001"/>
    <n v="0"/>
    <n v="0"/>
    <n v="101"/>
    <s v="_x0000_US"/>
  </r>
  <r>
    <x v="0"/>
    <n v="13.686"/>
    <n v="-89.215199999999996"/>
    <n v="10023.4"/>
    <n v="0"/>
    <n v="0"/>
    <n v="101"/>
    <s v="_x0000_US"/>
  </r>
  <r>
    <x v="0"/>
    <n v="13.6877"/>
    <n v="-89.179699999999997"/>
    <n v="10023.5"/>
    <n v="0"/>
    <n v="0"/>
    <n v="101"/>
    <s v="_x0000_US"/>
  </r>
  <r>
    <x v="0"/>
    <n v="13.684900000000001"/>
    <n v="-89.213499999999996"/>
    <n v="10023.5"/>
    <n v="0"/>
    <n v="0"/>
    <n v="101"/>
    <s v="_x0000_US"/>
  </r>
  <r>
    <x v="0"/>
    <n v="13.690799999999999"/>
    <n v="-89.227599999999995"/>
    <n v="10023.5"/>
    <n v="0"/>
    <n v="0"/>
    <n v="101"/>
    <s v="_x0000_US"/>
  </r>
  <r>
    <x v="0"/>
    <n v="13.691000000000001"/>
    <n v="-89.233999999999995"/>
    <n v="10024"/>
    <n v="0"/>
    <n v="0"/>
    <n v="101"/>
    <s v="_x0000_US"/>
  </r>
  <r>
    <x v="0"/>
    <n v="13.6935"/>
    <n v="-89.176699999999997"/>
    <n v="10024.799999999999"/>
    <n v="0"/>
    <n v="0"/>
    <n v="101"/>
    <s v="_x0000_US"/>
  </r>
  <r>
    <x v="0"/>
    <n v="13.689299999999999"/>
    <n v="-89.235799999999998"/>
    <n v="10024.9"/>
    <n v="0"/>
    <n v="0"/>
    <n v="101"/>
    <s v="_x0000_US"/>
  </r>
  <r>
    <x v="0"/>
    <n v="13.6874"/>
    <n v="-89.182400000000001"/>
    <n v="10026.200000000001"/>
    <n v="0"/>
    <n v="0"/>
    <n v="101"/>
    <s v="_x0000_US"/>
  </r>
  <r>
    <x v="0"/>
    <n v="13.694599999999999"/>
    <n v="-89.174199999999999"/>
    <n v="10026.200000000001"/>
    <n v="0"/>
    <n v="0"/>
    <n v="101"/>
    <s v="_x0000_US"/>
  </r>
  <r>
    <x v="0"/>
    <n v="13.694699999999999"/>
    <n v="-89.174899999999994"/>
    <n v="10026.4"/>
    <n v="0"/>
    <n v="0"/>
    <n v="101"/>
    <s v="_x0000_US"/>
  </r>
  <r>
    <x v="0"/>
    <n v="13.691599999999999"/>
    <n v="-89.186000000000007"/>
    <n v="10026.6"/>
    <n v="0"/>
    <n v="0"/>
    <n v="101"/>
    <s v="_x0000_US"/>
  </r>
  <r>
    <x v="0"/>
    <n v="13.6912"/>
    <n v="-89.233199999999997"/>
    <n v="10026.6"/>
    <n v="0"/>
    <n v="0"/>
    <n v="101"/>
    <s v="_x0000_US"/>
  </r>
  <r>
    <x v="0"/>
    <n v="13.6914"/>
    <n v="-89.183199999999999"/>
    <n v="10027.1"/>
    <n v="0"/>
    <n v="0"/>
    <n v="101"/>
    <s v="_x0000_US"/>
  </r>
  <r>
    <x v="0"/>
    <n v="13.693300000000001"/>
    <n v="-89.176699999999997"/>
    <n v="10027.799999999999"/>
    <n v="0"/>
    <n v="0"/>
    <n v="101"/>
    <s v="_x0000_US"/>
  </r>
  <r>
    <x v="0"/>
    <n v="13.685499999999999"/>
    <n v="-89.211299999999994"/>
    <n v="10028.299999999999"/>
    <n v="0"/>
    <n v="0"/>
    <n v="101"/>
    <s v="_x0000_US"/>
  </r>
  <r>
    <x v="0"/>
    <n v="13.692600000000001"/>
    <n v="-89.225200000000001"/>
    <n v="10028.6"/>
    <n v="0"/>
    <n v="0"/>
    <n v="101"/>
    <s v="_x0000_US"/>
  </r>
  <r>
    <x v="0"/>
    <n v="13.687200000000001"/>
    <n v="-89.197699999999998"/>
    <n v="10028.700000000001"/>
    <n v="0"/>
    <n v="0"/>
    <n v="101"/>
    <s v="_x0000_US"/>
  </r>
  <r>
    <x v="0"/>
    <n v="13.679399999999999"/>
    <n v="-89.197100000000006"/>
    <n v="10029"/>
    <n v="0"/>
    <n v="0"/>
    <n v="101"/>
    <s v="_x0000_US"/>
  </r>
  <r>
    <x v="0"/>
    <n v="13.6851"/>
    <n v="-89.217299999999994"/>
    <n v="10029.299999999999"/>
    <n v="0"/>
    <n v="0"/>
    <n v="101"/>
    <s v="_x0000_US"/>
  </r>
  <r>
    <x v="0"/>
    <n v="13.6915"/>
    <n v="-89.1892"/>
    <n v="10029.5"/>
    <n v="0"/>
    <n v="0"/>
    <n v="101"/>
    <s v="_x0000_US"/>
  </r>
  <r>
    <x v="0"/>
    <n v="13.6915"/>
    <n v="-89.185500000000005"/>
    <n v="10029.6"/>
    <n v="0"/>
    <n v="0"/>
    <n v="101"/>
    <s v="_x0000_US"/>
  </r>
  <r>
    <x v="0"/>
    <n v="13.690200000000001"/>
    <n v="-89.235900000000001"/>
    <n v="10030.200000000001"/>
    <n v="0"/>
    <n v="0"/>
    <n v="101"/>
    <s v="_x0000_US"/>
  </r>
  <r>
    <x v="0"/>
    <n v="13.686199999999999"/>
    <n v="-89.211500000000001"/>
    <n v="10030.200000000001"/>
    <n v="0"/>
    <n v="0"/>
    <n v="101"/>
    <s v="_x0000_US"/>
  </r>
  <r>
    <x v="0"/>
    <n v="13.6898"/>
    <n v="-89.189099999999996"/>
    <n v="10030.5"/>
    <n v="0"/>
    <n v="0"/>
    <n v="101"/>
    <s v="_x0000_US"/>
  </r>
  <r>
    <x v="0"/>
    <n v="13.69"/>
    <n v="-89.236000000000004"/>
    <n v="10030.5"/>
    <n v="0"/>
    <n v="0"/>
    <n v="101"/>
    <s v="_x0000_US"/>
  </r>
  <r>
    <x v="0"/>
    <n v="13.6913"/>
    <n v="-89.194400000000002"/>
    <n v="10030.6"/>
    <n v="0"/>
    <n v="0"/>
    <n v="101"/>
    <s v="_x0000_US"/>
  </r>
  <r>
    <x v="0"/>
    <n v="13.6851"/>
    <n v="-89.214600000000004"/>
    <n v="10031"/>
    <n v="0"/>
    <n v="0"/>
    <n v="101"/>
    <s v="_x0000_US"/>
  </r>
  <r>
    <x v="0"/>
    <n v="13.6854"/>
    <n v="-89.203199999999995"/>
    <n v="10031.200000000001"/>
    <n v="0"/>
    <n v="0"/>
    <n v="101"/>
    <s v="_x0000_US"/>
  </r>
  <r>
    <x v="0"/>
    <n v="13.6875"/>
    <n v="-89.179599999999994"/>
    <n v="10031.299999999999"/>
    <n v="0"/>
    <n v="0"/>
    <n v="101"/>
    <s v="_x0000_US"/>
  </r>
  <r>
    <x v="0"/>
    <n v="13.6876"/>
    <n v="-89.195099999999996"/>
    <n v="10031.6"/>
    <n v="0"/>
    <n v="0"/>
    <n v="101"/>
    <s v="_x0000_US"/>
  </r>
  <r>
    <x v="0"/>
    <n v="13.6873"/>
    <n v="-89.211500000000001"/>
    <n v="10031.799999999999"/>
    <n v="0"/>
    <n v="0"/>
    <n v="101"/>
    <s v="_x0000_US"/>
  </r>
  <r>
    <x v="0"/>
    <n v="13.689500000000001"/>
    <n v="-89.235699999999994"/>
    <n v="10032.5"/>
    <n v="0"/>
    <n v="0"/>
    <n v="101"/>
    <s v="_x0000_US"/>
  </r>
  <r>
    <x v="0"/>
    <n v="13.690899999999999"/>
    <n v="-89.231200000000001"/>
    <n v="10032.6"/>
    <n v="0"/>
    <n v="0"/>
    <n v="101"/>
    <s v="_x0000_US"/>
  </r>
  <r>
    <x v="0"/>
    <n v="13.6966"/>
    <n v="-89.171400000000006"/>
    <n v="10032.9"/>
    <n v="0"/>
    <n v="0"/>
    <n v="101"/>
    <s v="_x0000_US"/>
  </r>
  <r>
    <x v="0"/>
    <n v="13.6854"/>
    <n v="-89.193200000000004"/>
    <n v="10033.1"/>
    <n v="0"/>
    <n v="0"/>
    <n v="101"/>
    <s v="_x0000_US"/>
  </r>
  <r>
    <x v="0"/>
    <n v="13.6922"/>
    <n v="-89.175399999999996"/>
    <n v="10033.1"/>
    <n v="0"/>
    <n v="0"/>
    <n v="101"/>
    <s v="_x0000_US"/>
  </r>
  <r>
    <x v="0"/>
    <n v="13.6859"/>
    <n v="-89.204099999999997"/>
    <n v="10033.4"/>
    <n v="0"/>
    <n v="0"/>
    <n v="101"/>
    <s v="_x0000_US"/>
  </r>
  <r>
    <x v="0"/>
    <n v="13.6875"/>
    <n v="-89.196600000000004"/>
    <n v="10033.799999999999"/>
    <n v="0"/>
    <n v="0"/>
    <n v="101"/>
    <s v="_x0000_US"/>
  </r>
  <r>
    <x v="0"/>
    <n v="13.6914"/>
    <n v="-89.220600000000005"/>
    <n v="10033.9"/>
    <n v="0"/>
    <n v="0"/>
    <n v="101"/>
    <s v="_x0000_US"/>
  </r>
  <r>
    <x v="0"/>
    <n v="13.6957"/>
    <n v="-89.173000000000002"/>
    <n v="10034"/>
    <n v="0"/>
    <n v="0"/>
    <n v="101"/>
    <s v="_x0000_US"/>
  </r>
  <r>
    <x v="0"/>
    <n v="13.6943"/>
    <n v="-89.175799999999995"/>
    <n v="10034.200000000001"/>
    <n v="0"/>
    <n v="0"/>
    <n v="101"/>
    <s v="_x0000_US"/>
  </r>
  <r>
    <x v="0"/>
    <n v="13.690099999999999"/>
    <n v="-89.235699999999994"/>
    <n v="10034.200000000001"/>
    <n v="0"/>
    <n v="0"/>
    <n v="101"/>
    <s v="_x0000_US"/>
  </r>
  <r>
    <x v="0"/>
    <n v="13.6904"/>
    <n v="-89.186199999999999"/>
    <n v="10034.4"/>
    <n v="0"/>
    <n v="0"/>
    <n v="101"/>
    <s v="_x0000_US"/>
  </r>
  <r>
    <x v="0"/>
    <n v="13.6812"/>
    <n v="-89.195300000000003"/>
    <n v="10034.4"/>
    <n v="0"/>
    <n v="0"/>
    <n v="101"/>
    <s v="_x0000_US"/>
  </r>
  <r>
    <x v="0"/>
    <n v="13.6907"/>
    <n v="-89.232399999999998"/>
    <n v="10034.5"/>
    <n v="0"/>
    <n v="0"/>
    <n v="101"/>
    <s v="_x0000_US"/>
  </r>
  <r>
    <x v="0"/>
    <n v="13.691800000000001"/>
    <n v="-89.186499999999995"/>
    <n v="10034.9"/>
    <n v="0"/>
    <n v="0"/>
    <n v="101"/>
    <s v="_x0000_US"/>
  </r>
  <r>
    <x v="0"/>
    <n v="13.695499999999999"/>
    <n v="-89.173100000000005"/>
    <n v="10035.1"/>
    <n v="0"/>
    <n v="0"/>
    <n v="101"/>
    <s v="_x0000_US"/>
  </r>
  <r>
    <x v="0"/>
    <n v="13.6861"/>
    <n v="-89.198300000000003"/>
    <n v="10035.6"/>
    <n v="0"/>
    <n v="0"/>
    <n v="101"/>
    <s v="_x0000_US"/>
  </r>
  <r>
    <x v="0"/>
    <n v="13.692399999999999"/>
    <n v="-89.225399999999993"/>
    <n v="10035.9"/>
    <n v="0"/>
    <n v="0"/>
    <n v="101"/>
    <s v="_x0000_US"/>
  </r>
  <r>
    <x v="0"/>
    <n v="13.689500000000001"/>
    <n v="-89.208100000000002"/>
    <n v="10036.200000000001"/>
    <n v="0"/>
    <n v="0"/>
    <n v="101"/>
    <s v="_x0000_US"/>
  </r>
  <r>
    <x v="0"/>
    <n v="13.677099999999999"/>
    <n v="-89.247699999999995"/>
    <n v="10036.200000000001"/>
    <n v="0"/>
    <n v="0"/>
    <n v="101"/>
    <s v="_x0000_US"/>
  </r>
  <r>
    <x v="0"/>
    <n v="13.6919"/>
    <n v="-89.175899999999999"/>
    <n v="10036.299999999999"/>
    <n v="0"/>
    <n v="0"/>
    <n v="101"/>
    <s v="_x0000_US"/>
  </r>
  <r>
    <x v="0"/>
    <n v="13.690099999999999"/>
    <n v="-89.18"/>
    <n v="10036.799999999999"/>
    <n v="0"/>
    <n v="0"/>
    <n v="101"/>
    <s v="_x0000_US"/>
  </r>
  <r>
    <x v="0"/>
    <n v="13.689500000000001"/>
    <n v="-89.228899999999996"/>
    <n v="10037.1"/>
    <n v="0"/>
    <n v="0"/>
    <n v="101"/>
    <s v="_x0000_US"/>
  </r>
  <r>
    <x v="0"/>
    <n v="13.6867"/>
    <n v="-89.192899999999995"/>
    <n v="10037.200000000001"/>
    <n v="0"/>
    <n v="0"/>
    <n v="101"/>
    <s v="_x0000_US"/>
  </r>
  <r>
    <x v="0"/>
    <n v="13.686199999999999"/>
    <n v="-89.193899999999999"/>
    <n v="10037.299999999999"/>
    <n v="0"/>
    <n v="0"/>
    <n v="101"/>
    <s v="_x0000_US"/>
  </r>
  <r>
    <x v="0"/>
    <n v="13.692600000000001"/>
    <n v="-89.225200000000001"/>
    <n v="10037.4"/>
    <n v="0"/>
    <n v="0"/>
    <n v="101"/>
    <s v="_x0000_US"/>
  </r>
  <r>
    <x v="0"/>
    <n v="13.6951"/>
    <n v="-89.174599999999998"/>
    <n v="10037.5"/>
    <n v="0"/>
    <n v="0"/>
    <n v="101"/>
    <s v="_x0000_US"/>
  </r>
  <r>
    <x v="0"/>
    <n v="13.6914"/>
    <n v="-89.2286"/>
    <n v="10037.700000000001"/>
    <n v="0"/>
    <n v="0"/>
    <n v="101"/>
    <s v="_x0000_US"/>
  </r>
  <r>
    <x v="0"/>
    <n v="13.696099999999999"/>
    <n v="-89.172600000000003"/>
    <n v="10038.299999999999"/>
    <n v="0"/>
    <n v="0"/>
    <n v="101"/>
    <s v="_x0000_US"/>
  </r>
  <r>
    <x v="0"/>
    <n v="13.690200000000001"/>
    <n v="-89.186400000000006"/>
    <n v="10038.4"/>
    <n v="0"/>
    <n v="0"/>
    <n v="101"/>
    <s v="_x0000_US"/>
  </r>
  <r>
    <x v="0"/>
    <n v="13.692"/>
    <n v="-89.224199999999996"/>
    <n v="10038.4"/>
    <n v="0"/>
    <n v="0"/>
    <n v="101"/>
    <s v="_x0000_US"/>
  </r>
  <r>
    <x v="0"/>
    <n v="13.690099999999999"/>
    <n v="-89.235799999999998"/>
    <n v="10038.4"/>
    <n v="0"/>
    <n v="0"/>
    <n v="101"/>
    <s v="_x0000_US"/>
  </r>
  <r>
    <x v="0"/>
    <n v="13.6921"/>
    <n v="-89.196299999999994"/>
    <n v="10038.5"/>
    <n v="0"/>
    <n v="0"/>
    <n v="101"/>
    <s v="_x0000_US"/>
  </r>
  <r>
    <x v="0"/>
    <n v="13.685499999999999"/>
    <n v="-89.213800000000006"/>
    <n v="10038.6"/>
    <n v="0"/>
    <n v="0"/>
    <n v="101"/>
    <s v="_x0000_US"/>
  </r>
  <r>
    <x v="0"/>
    <n v="13.6754"/>
    <n v="-89.202299999999994"/>
    <n v="10039.299999999999"/>
    <n v="0"/>
    <n v="0"/>
    <n v="101"/>
    <s v="_x0000_US"/>
  </r>
  <r>
    <x v="0"/>
    <n v="13.686299999999999"/>
    <n v="-89.193799999999996"/>
    <n v="10039.700000000001"/>
    <n v="0"/>
    <n v="0"/>
    <n v="101"/>
    <s v="_x0000_US"/>
  </r>
  <r>
    <x v="0"/>
    <n v="13.693199999999999"/>
    <n v="-89.177400000000006"/>
    <n v="10040"/>
    <n v="0"/>
    <n v="0"/>
    <n v="101"/>
    <s v="_x0000_US"/>
  </r>
  <r>
    <x v="0"/>
    <n v="13.691800000000001"/>
    <n v="-89.196100000000001"/>
    <n v="10040.1"/>
    <n v="0"/>
    <n v="0"/>
    <n v="101"/>
    <s v="_x0000_US"/>
  </r>
  <r>
    <x v="0"/>
    <n v="13.6792"/>
    <n v="-89.196899999999999"/>
    <n v="10040.299999999999"/>
    <n v="0"/>
    <n v="0"/>
    <n v="101"/>
    <s v="_x0000_US"/>
  </r>
  <r>
    <x v="0"/>
    <n v="13.6854"/>
    <n v="-89.211299999999994"/>
    <n v="10040.700000000001"/>
    <n v="0"/>
    <n v="0"/>
    <n v="101"/>
    <s v="_x0000_US"/>
  </r>
  <r>
    <x v="0"/>
    <n v="13.690099999999999"/>
    <n v="-89.181600000000003"/>
    <n v="10041.1"/>
    <n v="0"/>
    <n v="0"/>
    <n v="101"/>
    <s v="_x0000_US"/>
  </r>
  <r>
    <x v="0"/>
    <n v="13.6874"/>
    <n v="-89.216899999999995"/>
    <n v="10042"/>
    <n v="0"/>
    <n v="0"/>
    <n v="101"/>
    <s v="_x0000_US"/>
  </r>
  <r>
    <x v="0"/>
    <n v="13.684900000000001"/>
    <n v="-89.216300000000004"/>
    <n v="10042"/>
    <n v="0"/>
    <n v="0"/>
    <n v="101"/>
    <s v="_x0000_US"/>
  </r>
  <r>
    <x v="0"/>
    <n v="13.6896"/>
    <n v="-89.185699999999997"/>
    <n v="10042.299999999999"/>
    <n v="0"/>
    <n v="0"/>
    <n v="101"/>
    <s v="_x0000_US"/>
  </r>
  <r>
    <x v="0"/>
    <n v="13.6905"/>
    <n v="-89.234999999999999"/>
    <n v="10042.9"/>
    <n v="0"/>
    <n v="0"/>
    <n v="101"/>
    <s v="_x0000_US"/>
  </r>
  <r>
    <x v="0"/>
    <n v="13.690899999999999"/>
    <n v="-89.235299999999995"/>
    <n v="10043"/>
    <n v="0"/>
    <n v="0"/>
    <n v="101"/>
    <s v="_x0000_US"/>
  </r>
  <r>
    <x v="0"/>
    <n v="13.6907"/>
    <n v="-89.183700000000002"/>
    <n v="10043.299999999999"/>
    <n v="0"/>
    <n v="0"/>
    <n v="101"/>
    <s v="_x0000_US"/>
  </r>
  <r>
    <x v="0"/>
    <n v="13.6913"/>
    <n v="-89.228800000000007"/>
    <n v="10043.5"/>
    <n v="0"/>
    <n v="0"/>
    <n v="101"/>
    <s v="_x0000_US"/>
  </r>
  <r>
    <x v="0"/>
    <n v="13.686999999999999"/>
    <n v="-89.180999999999997"/>
    <n v="10044.4"/>
    <n v="0"/>
    <n v="0"/>
    <n v="101"/>
    <s v="_x0000_US"/>
  </r>
  <r>
    <x v="0"/>
    <n v="13.691599999999999"/>
    <n v="-89.232500000000002"/>
    <n v="10044.4"/>
    <n v="0"/>
    <n v="0"/>
    <n v="101"/>
    <s v="_x0000_US"/>
  </r>
  <r>
    <x v="0"/>
    <n v="13.690799999999999"/>
    <n v="-89.235500000000002"/>
    <n v="10044.6"/>
    <n v="0"/>
    <n v="0"/>
    <n v="101"/>
    <s v="_x0000_US"/>
  </r>
  <r>
    <x v="0"/>
    <n v="13.6959"/>
    <n v="-89.166700000000006"/>
    <n v="10045"/>
    <n v="0"/>
    <n v="0"/>
    <n v="101"/>
    <s v="_x0000_US"/>
  </r>
  <r>
    <x v="0"/>
    <n v="13.6874"/>
    <n v="-89.197199999999995"/>
    <n v="10045.700000000001"/>
    <n v="0"/>
    <n v="0"/>
    <n v="101"/>
    <s v="_x0000_US"/>
  </r>
  <r>
    <x v="0"/>
    <n v="13.694599999999999"/>
    <n v="-89.183099999999996"/>
    <n v="10046.1"/>
    <n v="0"/>
    <n v="0"/>
    <n v="101"/>
    <s v="_x0000_US"/>
  </r>
  <r>
    <x v="0"/>
    <n v="13.688599999999999"/>
    <n v="-89.1815"/>
    <n v="10046.4"/>
    <n v="0"/>
    <n v="0"/>
    <n v="101"/>
    <s v="_x0000_US"/>
  </r>
  <r>
    <x v="0"/>
    <n v="13.686400000000001"/>
    <n v="-89.193399999999997"/>
    <n v="10046.9"/>
    <n v="0"/>
    <n v="0"/>
    <n v="101"/>
    <s v="_x0000_US"/>
  </r>
  <r>
    <x v="0"/>
    <n v="13.6915"/>
    <n v="-89.186499999999995"/>
    <n v="10047"/>
    <n v="0"/>
    <n v="0"/>
    <n v="101"/>
    <s v="_x0000_US"/>
  </r>
  <r>
    <x v="0"/>
    <n v="13.6935"/>
    <n v="-89.192400000000006"/>
    <n v="10047.1"/>
    <n v="0"/>
    <n v="0"/>
    <n v="101"/>
    <s v="_x0000_US"/>
  </r>
  <r>
    <x v="0"/>
    <n v="13.688000000000001"/>
    <n v="-89.180400000000006"/>
    <n v="10047.4"/>
    <n v="0"/>
    <n v="0"/>
    <n v="101"/>
    <s v="_x0000_US"/>
  </r>
  <r>
    <x v="0"/>
    <n v="13.686400000000001"/>
    <n v="-89.193200000000004"/>
    <n v="10047.6"/>
    <n v="0"/>
    <n v="0"/>
    <n v="101"/>
    <s v="_x0000_US"/>
  </r>
  <r>
    <x v="0"/>
    <n v="13.692399999999999"/>
    <n v="-89.192499999999995"/>
    <n v="10047.9"/>
    <n v="0"/>
    <n v="0"/>
    <n v="101"/>
    <s v="_x0000_US"/>
  </r>
  <r>
    <x v="0"/>
    <n v="13.692600000000001"/>
    <n v="-89.175600000000003"/>
    <n v="10048"/>
    <n v="0"/>
    <n v="0"/>
    <n v="101"/>
    <s v="_x0000_US"/>
  </r>
  <r>
    <x v="0"/>
    <n v="13.6915"/>
    <n v="-89.189400000000006"/>
    <n v="10048.6"/>
    <n v="0"/>
    <n v="0"/>
    <n v="101"/>
    <s v="_x0000_US"/>
  </r>
  <r>
    <x v="0"/>
    <n v="13.695499999999999"/>
    <n v="-89.173699999999997"/>
    <n v="10048.799999999999"/>
    <n v="0"/>
    <n v="0"/>
    <n v="101"/>
    <s v="_x0000_US"/>
  </r>
  <r>
    <x v="0"/>
    <n v="13.6912"/>
    <n v="-89.2286"/>
    <n v="10048.9"/>
    <n v="0"/>
    <n v="0"/>
    <n v="101"/>
    <s v="_x0000_US"/>
  </r>
  <r>
    <x v="0"/>
    <n v="13.6915"/>
    <n v="-89.179100000000005"/>
    <n v="10049"/>
    <n v="0"/>
    <n v="0"/>
    <n v="101"/>
    <s v="_x0000_US"/>
  </r>
  <r>
    <x v="0"/>
    <n v="13.6943"/>
    <n v="-89.188699999999997"/>
    <n v="10049"/>
    <n v="0"/>
    <n v="0"/>
    <n v="101"/>
    <s v="_x0000_US"/>
  </r>
  <r>
    <x v="0"/>
    <n v="13.6921"/>
    <n v="-89.175899999999999"/>
    <n v="10049.1"/>
    <n v="0"/>
    <n v="0"/>
    <n v="101"/>
    <s v="_x0000_US"/>
  </r>
  <r>
    <x v="0"/>
    <n v="13.6853"/>
    <n v="-89.202200000000005"/>
    <n v="10049.200000000001"/>
    <n v="0"/>
    <n v="0"/>
    <n v="101"/>
    <s v="_x0000_US"/>
  </r>
  <r>
    <x v="0"/>
    <n v="13.6752"/>
    <n v="-89.25"/>
    <n v="10049.5"/>
    <n v="0"/>
    <n v="0"/>
    <n v="101"/>
    <s v="_x0000_US"/>
  </r>
  <r>
    <x v="0"/>
    <n v="13.6911"/>
    <n v="-89.234200000000001"/>
    <n v="10049.6"/>
    <n v="0"/>
    <n v="0"/>
    <n v="101"/>
    <s v="_x0000_US"/>
  </r>
  <r>
    <x v="0"/>
    <n v="13.6921"/>
    <n v="-89.183400000000006"/>
    <n v="10050.4"/>
    <n v="0"/>
    <n v="0"/>
    <n v="101"/>
    <s v="_x0000_US"/>
  </r>
  <r>
    <x v="0"/>
    <n v="13.688800000000001"/>
    <n v="-89.180700000000002"/>
    <n v="10051.1"/>
    <n v="0"/>
    <n v="0"/>
    <n v="101"/>
    <s v="_x0000_US"/>
  </r>
  <r>
    <x v="0"/>
    <n v="13.6914"/>
    <n v="-89.232500000000002"/>
    <n v="10051.299999999999"/>
    <n v="0"/>
    <n v="0"/>
    <n v="101"/>
    <s v="_x0000_US"/>
  </r>
  <r>
    <x v="0"/>
    <n v="13.689299999999999"/>
    <n v="-89.183800000000005"/>
    <n v="10051.9"/>
    <n v="0"/>
    <n v="0"/>
    <n v="101"/>
    <s v="_x0000_US"/>
  </r>
  <r>
    <x v="0"/>
    <n v="13.691700000000001"/>
    <n v="-89.186000000000007"/>
    <n v="10052"/>
    <n v="0"/>
    <n v="0"/>
    <n v="101"/>
    <s v="_x0000_US"/>
  </r>
  <r>
    <x v="0"/>
    <n v="13.6907"/>
    <n v="-89.235200000000006"/>
    <n v="10052"/>
    <n v="0"/>
    <n v="0"/>
    <n v="101"/>
    <s v="_x0000_US"/>
  </r>
  <r>
    <x v="0"/>
    <n v="13.69"/>
    <n v="-89.234999999999999"/>
    <n v="10053"/>
    <n v="0"/>
    <n v="0"/>
    <n v="101"/>
    <s v="_x0000_US"/>
  </r>
  <r>
    <x v="0"/>
    <n v="13.6915"/>
    <n v="-89.189700000000002"/>
    <n v="10053.1"/>
    <n v="0"/>
    <n v="0"/>
    <n v="101"/>
    <s v="_x0000_US"/>
  </r>
  <r>
    <x v="0"/>
    <n v="13.6854"/>
    <n v="-89.201300000000003"/>
    <n v="10053.1"/>
    <n v="0"/>
    <n v="0"/>
    <n v="101"/>
    <s v="_x0000_US"/>
  </r>
  <r>
    <x v="0"/>
    <n v="13.689299999999999"/>
    <n v="-89.185100000000006"/>
    <n v="10053.4"/>
    <n v="0"/>
    <n v="0"/>
    <n v="101"/>
    <s v="_x0000_US"/>
  </r>
  <r>
    <x v="0"/>
    <n v="13.690899999999999"/>
    <n v="-89.234899999999996"/>
    <n v="10054.1"/>
    <n v="0"/>
    <n v="0"/>
    <n v="101"/>
    <s v="_x0000_US"/>
  </r>
  <r>
    <x v="0"/>
    <n v="13.692399999999999"/>
    <n v="-89.224400000000003"/>
    <n v="10054.5"/>
    <n v="0"/>
    <n v="0"/>
    <n v="101"/>
    <s v="_x0000_US"/>
  </r>
  <r>
    <x v="0"/>
    <n v="13.687099999999999"/>
    <n v="-89.194800000000001"/>
    <n v="10055.5"/>
    <n v="0"/>
    <n v="0"/>
    <n v="101"/>
    <s v="_x0000_US"/>
  </r>
  <r>
    <x v="0"/>
    <n v="13.6808"/>
    <n v="-89.195999999999998"/>
    <n v="10055.6"/>
    <n v="0"/>
    <n v="0"/>
    <n v="101"/>
    <s v="_x0000_US"/>
  </r>
  <r>
    <x v="0"/>
    <n v="13.6904"/>
    <n v="-89.184299999999993"/>
    <n v="10055.700000000001"/>
    <n v="0"/>
    <n v="0"/>
    <n v="101"/>
    <s v="_x0000_US"/>
  </r>
  <r>
    <x v="0"/>
    <n v="13.690200000000001"/>
    <n v="-89.186800000000005"/>
    <n v="10055.799999999999"/>
    <n v="0"/>
    <n v="0"/>
    <n v="101"/>
    <s v="_x0000_US"/>
  </r>
  <r>
    <x v="0"/>
    <n v="13.690899999999999"/>
    <n v="-89.1875"/>
    <n v="10056"/>
    <n v="0"/>
    <n v="0"/>
    <n v="101"/>
    <s v="_x0000_US"/>
  </r>
  <r>
    <x v="0"/>
    <n v="13.690099999999999"/>
    <n v="-89.235100000000003"/>
    <n v="10056.299999999999"/>
    <n v="0"/>
    <n v="0"/>
    <n v="101"/>
    <s v="_x0000_US"/>
  </r>
  <r>
    <x v="0"/>
    <n v="13.6959"/>
    <n v="-89.173199999999994"/>
    <n v="10056.4"/>
    <n v="0"/>
    <n v="0"/>
    <n v="101"/>
    <s v="_x0000_US"/>
  </r>
  <r>
    <x v="0"/>
    <n v="13.691000000000001"/>
    <n v="-89.1905"/>
    <n v="10056.6"/>
    <n v="0"/>
    <n v="0"/>
    <n v="101"/>
    <s v="_x0000_US"/>
  </r>
  <r>
    <x v="0"/>
    <n v="13.689"/>
    <n v="-89.184100000000001"/>
    <n v="10057"/>
    <n v="0"/>
    <n v="0"/>
    <n v="101"/>
    <s v="_x0000_US"/>
  </r>
  <r>
    <x v="0"/>
    <n v="13.6877"/>
    <n v="-89.180099999999996"/>
    <n v="10057.200000000001"/>
    <n v="0"/>
    <n v="0"/>
    <n v="101"/>
    <s v="_x0000_US"/>
  </r>
  <r>
    <x v="0"/>
    <n v="13.6921"/>
    <n v="-89.179400000000001"/>
    <n v="10057.6"/>
    <n v="0"/>
    <n v="0"/>
    <n v="101"/>
    <s v="_x0000_US"/>
  </r>
  <r>
    <x v="0"/>
    <n v="13.678800000000001"/>
    <n v="-89.196399999999997"/>
    <n v="10058.1"/>
    <n v="0"/>
    <n v="0"/>
    <n v="101"/>
    <s v="_x0000_US"/>
  </r>
  <r>
    <x v="0"/>
    <n v="13.696099999999999"/>
    <n v="-89.167199999999994"/>
    <n v="10058.6"/>
    <n v="0"/>
    <n v="0"/>
    <n v="101"/>
    <s v="_x0000_US"/>
  </r>
  <r>
    <x v="0"/>
    <n v="13.690799999999999"/>
    <n v="-89.179299999999998"/>
    <n v="10059.1"/>
    <n v="0"/>
    <n v="0"/>
    <n v="101"/>
    <s v="_x0000_US"/>
  </r>
  <r>
    <x v="0"/>
    <n v="13.689500000000001"/>
    <n v="-89.179000000000002"/>
    <n v="10059.299999999999"/>
    <n v="0"/>
    <n v="0"/>
    <n v="101"/>
    <s v="_x0000_US"/>
  </r>
  <r>
    <x v="0"/>
    <n v="13.6928"/>
    <n v="-89.225499999999997"/>
    <n v="10059.4"/>
    <n v="0"/>
    <n v="0"/>
    <n v="101"/>
    <s v="_x0000_US"/>
  </r>
  <r>
    <x v="0"/>
    <n v="13.6907"/>
    <n v="-89.188000000000002"/>
    <n v="10060.5"/>
    <n v="0"/>
    <n v="0"/>
    <n v="101"/>
    <s v="_x0000_US"/>
  </r>
  <r>
    <x v="0"/>
    <n v="13.690200000000001"/>
    <n v="-89.195800000000006"/>
    <n v="10060.700000000001"/>
    <n v="0"/>
    <n v="0"/>
    <n v="101"/>
    <s v="_x0000_US"/>
  </r>
  <r>
    <x v="0"/>
    <n v="13.6868"/>
    <n v="-89.202399999999997"/>
    <n v="10061.1"/>
    <n v="0"/>
    <n v="0"/>
    <n v="101"/>
    <s v="_x0000_US"/>
  </r>
  <r>
    <x v="0"/>
    <n v="13.6891"/>
    <n v="-89.183999999999997"/>
    <n v="10061.5"/>
    <n v="0"/>
    <n v="0"/>
    <n v="101"/>
    <s v="_x0000_US"/>
  </r>
  <r>
    <x v="0"/>
    <n v="13.6898"/>
    <n v="-89.206299999999999"/>
    <n v="10061.6"/>
    <n v="0"/>
    <n v="0"/>
    <n v="101"/>
    <s v="_x0000_US"/>
  </r>
  <r>
    <x v="0"/>
    <n v="13.690899999999999"/>
    <n v="-89.184799999999996"/>
    <n v="10061.799999999999"/>
    <n v="0"/>
    <n v="0"/>
    <n v="101"/>
    <s v="_x0000_US"/>
  </r>
  <r>
    <x v="0"/>
    <n v="13.6898"/>
    <n v="-89.177700000000002"/>
    <n v="10062.1"/>
    <n v="0"/>
    <n v="0"/>
    <n v="101"/>
    <s v="_x0000_US"/>
  </r>
  <r>
    <x v="0"/>
    <n v="13.6914"/>
    <n v="-89.188199999999995"/>
    <n v="10062.200000000001"/>
    <n v="0"/>
    <n v="0"/>
    <n v="101"/>
    <s v="_x0000_US"/>
  </r>
  <r>
    <x v="0"/>
    <n v="13.690200000000001"/>
    <n v="-89.186400000000006"/>
    <n v="10062.4"/>
    <n v="0"/>
    <n v="0"/>
    <n v="101"/>
    <s v="_x0000_US"/>
  </r>
  <r>
    <x v="0"/>
    <n v="13.6777"/>
    <n v="-89.245800000000003"/>
    <n v="10062.6"/>
    <n v="0"/>
    <n v="0"/>
    <n v="101"/>
    <s v="_x0000_US"/>
  </r>
  <r>
    <x v="0"/>
    <n v="13.684699999999999"/>
    <n v="-89.213200000000001"/>
    <n v="10062.6"/>
    <n v="0"/>
    <n v="0"/>
    <n v="101"/>
    <s v="_x0000_US"/>
  </r>
  <r>
    <x v="0"/>
    <n v="13.6873"/>
    <n v="-89.195700000000002"/>
    <n v="10062.700000000001"/>
    <n v="0"/>
    <n v="0"/>
    <n v="101"/>
    <s v="_x0000_US"/>
  </r>
  <r>
    <x v="0"/>
    <n v="13.685"/>
    <n v="-89.193799999999996"/>
    <n v="10063.1"/>
    <n v="0"/>
    <n v="0"/>
    <n v="101"/>
    <s v="_x0000_US"/>
  </r>
  <r>
    <x v="0"/>
    <n v="13.6791"/>
    <n v="-89.1965"/>
    <n v="10063.799999999999"/>
    <n v="0"/>
    <n v="0"/>
    <n v="101"/>
    <s v="_x0000_US"/>
  </r>
  <r>
    <x v="0"/>
    <n v="13.6845"/>
    <n v="-89.216399999999993"/>
    <n v="10063.9"/>
    <n v="0"/>
    <n v="0"/>
    <n v="101"/>
    <s v="_x0000_US"/>
  </r>
  <r>
    <x v="0"/>
    <n v="13.6805"/>
    <n v="-89.196100000000001"/>
    <n v="10064.299999999999"/>
    <n v="0"/>
    <n v="0"/>
    <n v="101"/>
    <s v="_x0000_US"/>
  </r>
  <r>
    <x v="0"/>
    <n v="13.6883"/>
    <n v="-89.216899999999995"/>
    <n v="10064.4"/>
    <n v="0"/>
    <n v="0"/>
    <n v="101"/>
    <s v="_x0000_US"/>
  </r>
  <r>
    <x v="0"/>
    <n v="13.6905"/>
    <n v="-89.233599999999996"/>
    <n v="10064.4"/>
    <n v="0"/>
    <n v="0"/>
    <n v="101"/>
    <s v="_x0000_US"/>
  </r>
  <r>
    <x v="0"/>
    <n v="13.6798"/>
    <n v="-89.197199999999995"/>
    <n v="10065"/>
    <n v="0"/>
    <n v="0"/>
    <n v="101"/>
    <s v="_x0000_US"/>
  </r>
  <r>
    <x v="0"/>
    <n v="13.686299999999999"/>
    <n v="-89.193600000000004"/>
    <n v="10065.200000000001"/>
    <n v="0"/>
    <n v="0"/>
    <n v="101"/>
    <s v="_x0000_US"/>
  </r>
  <r>
    <x v="0"/>
    <n v="13.687900000000001"/>
    <n v="-89.181600000000003"/>
    <n v="10065.299999999999"/>
    <n v="0"/>
    <n v="0"/>
    <n v="101"/>
    <s v="_x0000_US"/>
  </r>
  <r>
    <x v="0"/>
    <n v="13.6927"/>
    <n v="-89.184100000000001"/>
    <n v="10065.5"/>
    <n v="0"/>
    <n v="0"/>
    <n v="101"/>
    <s v="_x0000_US"/>
  </r>
  <r>
    <x v="0"/>
    <n v="13.689"/>
    <n v="-89.183999999999997"/>
    <n v="10065.5"/>
    <n v="0"/>
    <n v="0"/>
    <n v="101"/>
    <s v="_x0000_US"/>
  </r>
  <r>
    <x v="0"/>
    <n v="13.692500000000001"/>
    <n v="-89.192800000000005"/>
    <n v="10065.6"/>
    <n v="0"/>
    <n v="0"/>
    <n v="101"/>
    <s v="_x0000_US"/>
  </r>
  <r>
    <x v="0"/>
    <n v="13.692600000000001"/>
    <n v="-89.178899999999999"/>
    <n v="10065.799999999999"/>
    <n v="0"/>
    <n v="0"/>
    <n v="101"/>
    <s v="_x0000_US"/>
  </r>
  <r>
    <x v="0"/>
    <n v="13.694599999999999"/>
    <n v="-89.174499999999995"/>
    <n v="10065.9"/>
    <n v="0"/>
    <n v="0"/>
    <n v="101"/>
    <s v="_x0000_US"/>
  </r>
  <r>
    <x v="0"/>
    <n v="13.6899"/>
    <n v="-89.195700000000002"/>
    <n v="10066"/>
    <n v="0"/>
    <n v="0"/>
    <n v="101"/>
    <s v="_x0000_US"/>
  </r>
  <r>
    <x v="0"/>
    <n v="13.6967"/>
    <n v="-89.171999999999997"/>
    <n v="10067.299999999999"/>
    <n v="0"/>
    <n v="0"/>
    <n v="101"/>
    <s v="_x0000_US"/>
  </r>
  <r>
    <x v="0"/>
    <n v="13.689500000000001"/>
    <n v="-89.229100000000003"/>
    <n v="10067.700000000001"/>
    <n v="0"/>
    <n v="0"/>
    <n v="101"/>
    <s v="_x0000_US"/>
  </r>
  <r>
    <x v="0"/>
    <n v="13.6869"/>
    <n v="-89.183099999999996"/>
    <n v="10067.9"/>
    <n v="0"/>
    <n v="0"/>
    <n v="101"/>
    <s v="_x0000_US"/>
  </r>
  <r>
    <x v="0"/>
    <n v="13.6913"/>
    <n v="-89.177099999999996"/>
    <n v="10067.9"/>
    <n v="0"/>
    <n v="0"/>
    <n v="101"/>
    <s v="_x0000_US"/>
  </r>
  <r>
    <x v="0"/>
    <n v="13.691599999999999"/>
    <n v="-89.233500000000006"/>
    <n v="10067.9"/>
    <n v="0"/>
    <n v="0"/>
    <n v="101"/>
    <s v="_x0000_US"/>
  </r>
  <r>
    <x v="0"/>
    <n v="13.6914"/>
    <n v="-89.189499999999995"/>
    <n v="10068.1"/>
    <n v="0"/>
    <n v="0"/>
    <n v="101"/>
    <s v="_x0000_US"/>
  </r>
  <r>
    <x v="0"/>
    <n v="13.692500000000001"/>
    <n v="-89.223299999999995"/>
    <n v="10068.4"/>
    <n v="0"/>
    <n v="0"/>
    <n v="101"/>
    <s v="_x0000_US"/>
  </r>
  <r>
    <x v="0"/>
    <n v="13.687200000000001"/>
    <n v="-89.197299999999998"/>
    <n v="10068.5"/>
    <n v="0"/>
    <n v="0"/>
    <n v="101"/>
    <s v="_x0000_US"/>
  </r>
  <r>
    <x v="0"/>
    <n v="13.691000000000001"/>
    <n v="-89.229100000000003"/>
    <n v="10068.799999999999"/>
    <n v="0"/>
    <n v="0"/>
    <n v="101"/>
    <s v="_x0000_US"/>
  </r>
  <r>
    <x v="0"/>
    <n v="13.6921"/>
    <n v="-89.194500000000005"/>
    <n v="10069.4"/>
    <n v="0"/>
    <n v="0"/>
    <n v="101"/>
    <s v="_x0000_US"/>
  </r>
  <r>
    <x v="0"/>
    <n v="13.693"/>
    <n v="-89.174099999999996"/>
    <n v="10069.4"/>
    <n v="0"/>
    <n v="0"/>
    <n v="101"/>
    <s v="_x0000_US"/>
  </r>
  <r>
    <x v="0"/>
    <n v="13.6915"/>
    <n v="-89.226500000000001"/>
    <n v="10069.4"/>
    <n v="0"/>
    <n v="0"/>
    <n v="101"/>
    <s v="_x0000_US"/>
  </r>
  <r>
    <x v="0"/>
    <n v="13.6905"/>
    <n v="-89.235200000000006"/>
    <n v="10069.4"/>
    <n v="0"/>
    <n v="0"/>
    <n v="101"/>
    <s v="_x0000_US"/>
  </r>
  <r>
    <x v="0"/>
    <n v="13.696099999999999"/>
    <n v="-89.167100000000005"/>
    <n v="10070.200000000001"/>
    <n v="0"/>
    <n v="0"/>
    <n v="101"/>
    <s v="_x0000_US"/>
  </r>
  <r>
    <x v="0"/>
    <n v="13.688000000000001"/>
    <n v="-89.216999999999999"/>
    <n v="10070.200000000001"/>
    <n v="0"/>
    <n v="0"/>
    <n v="101"/>
    <s v="_x0000_US"/>
  </r>
  <r>
    <x v="0"/>
    <n v="13.685600000000001"/>
    <n v="-89.211299999999994"/>
    <n v="10070.5"/>
    <n v="0"/>
    <n v="0"/>
    <n v="101"/>
    <s v="_x0000_US"/>
  </r>
  <r>
    <x v="0"/>
    <n v="13.6911"/>
    <n v="-89.229699999999994"/>
    <n v="10070.6"/>
    <n v="0"/>
    <n v="0"/>
    <n v="101"/>
    <s v="_x0000_US"/>
  </r>
  <r>
    <x v="0"/>
    <n v="13.6943"/>
    <n v="-89.175399999999996"/>
    <n v="10070.700000000001"/>
    <n v="0"/>
    <n v="0"/>
    <n v="101"/>
    <s v="_x0000_US"/>
  </r>
  <r>
    <x v="0"/>
    <n v="13.6898"/>
    <n v="-89.2286"/>
    <n v="10071.4"/>
    <n v="0"/>
    <n v="0"/>
    <n v="101"/>
    <s v="_x0000_US"/>
  </r>
  <r>
    <x v="0"/>
    <n v="13.688499999999999"/>
    <n v="-89.229299999999995"/>
    <n v="10071.6"/>
    <n v="0"/>
    <n v="0"/>
    <n v="101"/>
    <s v="_x0000_US"/>
  </r>
  <r>
    <x v="0"/>
    <n v="13.6882"/>
    <n v="-89.190200000000004"/>
    <n v="10071.9"/>
    <n v="0"/>
    <n v="0"/>
    <n v="101"/>
    <s v="_x0000_US"/>
  </r>
  <r>
    <x v="0"/>
    <n v="13.6869"/>
    <n v="-89.183000000000007"/>
    <n v="10072.1"/>
    <n v="0"/>
    <n v="0"/>
    <n v="101"/>
    <s v="_x0000_US"/>
  </r>
  <r>
    <x v="0"/>
    <n v="13.6875"/>
    <n v="-89.216200000000001"/>
    <n v="10072.1"/>
    <n v="0"/>
    <n v="0"/>
    <n v="101"/>
    <s v="_x0000_US"/>
  </r>
  <r>
    <x v="0"/>
    <n v="13.6874"/>
    <n v="-89.195599999999999"/>
    <n v="10072.6"/>
    <n v="0"/>
    <n v="0"/>
    <n v="101"/>
    <s v="_x0000_US"/>
  </r>
  <r>
    <x v="0"/>
    <n v="13.692399999999999"/>
    <n v="-89.222899999999996"/>
    <n v="10072.6"/>
    <n v="0"/>
    <n v="0"/>
    <n v="101"/>
    <s v="_x0000_US"/>
  </r>
  <r>
    <x v="0"/>
    <n v="13.6883"/>
    <n v="-89.2166"/>
    <n v="10072.799999999999"/>
    <n v="0"/>
    <n v="0"/>
    <n v="101"/>
    <s v="_x0000_US"/>
  </r>
  <r>
    <x v="0"/>
    <n v="13.687900000000001"/>
    <n v="-89.195599999999999"/>
    <n v="10073.200000000001"/>
    <n v="0"/>
    <n v="0"/>
    <n v="101"/>
    <s v="_x0000_US"/>
  </r>
  <r>
    <x v="0"/>
    <n v="13.6875"/>
    <n v="-89.198300000000003"/>
    <n v="10073.200000000001"/>
    <n v="0"/>
    <n v="0"/>
    <n v="101"/>
    <s v="_x0000_US"/>
  </r>
  <r>
    <x v="0"/>
    <n v="13.692299999999999"/>
    <n v="-89.176599999999993"/>
    <n v="10073.299999999999"/>
    <n v="0"/>
    <n v="0"/>
    <n v="101"/>
    <s v="_x0000_US"/>
  </r>
  <r>
    <x v="0"/>
    <n v="13.690899999999999"/>
    <n v="-89.231300000000005"/>
    <n v="10073.6"/>
    <n v="0"/>
    <n v="0"/>
    <n v="101"/>
    <s v="_x0000_US"/>
  </r>
  <r>
    <x v="0"/>
    <n v="13.6867"/>
    <n v="-89.1815"/>
    <n v="10074.5"/>
    <n v="0"/>
    <n v="0"/>
    <n v="101"/>
    <s v="_x0000_US"/>
  </r>
  <r>
    <x v="0"/>
    <n v="13.686"/>
    <n v="-89.201300000000003"/>
    <n v="10074.5"/>
    <n v="0"/>
    <n v="0"/>
    <n v="101"/>
    <s v="_x0000_US"/>
  </r>
  <r>
    <x v="0"/>
    <n v="13.6873"/>
    <n v="-89.215000000000003"/>
    <n v="10074.5"/>
    <n v="0"/>
    <n v="0"/>
    <n v="101"/>
    <s v="_x0000_US"/>
  </r>
  <r>
    <x v="0"/>
    <n v="13.6922"/>
    <n v="-89.193799999999996"/>
    <n v="10074.6"/>
    <n v="0"/>
    <n v="0"/>
    <n v="101"/>
    <s v="_x0000_US"/>
  </r>
  <r>
    <x v="0"/>
    <n v="13.6875"/>
    <n v="-89.194900000000004"/>
    <n v="10074.799999999999"/>
    <n v="0"/>
    <n v="0"/>
    <n v="101"/>
    <s v="_x0000_US"/>
  </r>
  <r>
    <x v="0"/>
    <n v="13.694599999999999"/>
    <n v="-89.183099999999996"/>
    <n v="10075"/>
    <n v="0"/>
    <n v="0"/>
    <n v="101"/>
    <s v="_x0000_US"/>
  </r>
  <r>
    <x v="0"/>
    <n v="13.679600000000001"/>
    <n v="-89.197199999999995"/>
    <n v="10075.1"/>
    <n v="0"/>
    <n v="0"/>
    <n v="101"/>
    <s v="_x0000_US"/>
  </r>
  <r>
    <x v="0"/>
    <n v="13.685"/>
    <n v="-89.201999999999998"/>
    <n v="10075.299999999999"/>
    <n v="0"/>
    <n v="0"/>
    <n v="101"/>
    <s v="_x0000_US"/>
  </r>
  <r>
    <x v="0"/>
    <n v="13.688499999999999"/>
    <n v="-89.180899999999994"/>
    <n v="10075.700000000001"/>
    <n v="0"/>
    <n v="0"/>
    <n v="101"/>
    <s v="_x0000_US"/>
  </r>
  <r>
    <x v="0"/>
    <n v="13.6958"/>
    <n v="-89.173400000000001"/>
    <n v="10075.9"/>
    <n v="0"/>
    <n v="0"/>
    <n v="101"/>
    <s v="_x0000_US"/>
  </r>
  <r>
    <x v="0"/>
    <n v="13.6944"/>
    <n v="-89.188800000000001"/>
    <n v="10076.1"/>
    <n v="0"/>
    <n v="0"/>
    <n v="101"/>
    <s v="_x0000_US"/>
  </r>
  <r>
    <x v="0"/>
    <n v="13.691000000000001"/>
    <n v="-89.188500000000005"/>
    <n v="10076.6"/>
    <n v="0"/>
    <n v="0"/>
    <n v="101"/>
    <s v="_x0000_US"/>
  </r>
  <r>
    <x v="0"/>
    <n v="13.6859"/>
    <n v="-89.211600000000004"/>
    <n v="10076.9"/>
    <n v="0"/>
    <n v="0"/>
    <n v="101"/>
    <s v="_x0000_US"/>
  </r>
  <r>
    <x v="0"/>
    <n v="13.691599999999999"/>
    <n v="-89.220799999999997"/>
    <n v="10077.1"/>
    <n v="0"/>
    <n v="0"/>
    <n v="101"/>
    <s v="_x0000_US"/>
  </r>
  <r>
    <x v="0"/>
    <n v="13.688000000000001"/>
    <n v="-89.182000000000002"/>
    <n v="10077.6"/>
    <n v="0"/>
    <n v="0"/>
    <n v="101"/>
    <s v="_x0000_US"/>
  </r>
  <r>
    <x v="0"/>
    <n v="13.694699999999999"/>
    <n v="-89.1751"/>
    <n v="10077.6"/>
    <n v="0"/>
    <n v="0"/>
    <n v="101"/>
    <s v="_x0000_US"/>
  </r>
  <r>
    <x v="0"/>
    <n v="13.6845"/>
    <n v="-89.213499999999996"/>
    <n v="10077.799999999999"/>
    <n v="0"/>
    <n v="0"/>
    <n v="101"/>
    <s v="_x0000_US"/>
  </r>
  <r>
    <x v="0"/>
    <n v="13.6913"/>
    <n v="-89.189400000000006"/>
    <n v="10077.9"/>
    <n v="0"/>
    <n v="0"/>
    <n v="101"/>
    <s v="_x0000_US"/>
  </r>
  <r>
    <x v="0"/>
    <n v="13.6919"/>
    <n v="-89.180099999999996"/>
    <n v="10078.5"/>
    <n v="0"/>
    <n v="0"/>
    <n v="101"/>
    <s v="_x0000_US"/>
  </r>
  <r>
    <x v="0"/>
    <n v="13.6951"/>
    <n v="-89.1751"/>
    <n v="10078.9"/>
    <n v="0"/>
    <n v="0"/>
    <n v="101"/>
    <s v="_x0000_US"/>
  </r>
  <r>
    <x v="0"/>
    <n v="13.6854"/>
    <n v="-89.201599999999999"/>
    <n v="10079"/>
    <n v="0"/>
    <n v="0"/>
    <n v="101"/>
    <s v="_x0000_US"/>
  </r>
  <r>
    <x v="0"/>
    <n v="13.6915"/>
    <n v="-89.197599999999994"/>
    <n v="10079.4"/>
    <n v="0"/>
    <n v="0"/>
    <n v="101"/>
    <s v="_x0000_US"/>
  </r>
  <r>
    <x v="0"/>
    <n v="13.6919"/>
    <n v="-89.183000000000007"/>
    <n v="10079.4"/>
    <n v="0"/>
    <n v="0"/>
    <n v="101"/>
    <s v="_x0000_US"/>
  </r>
  <r>
    <x v="0"/>
    <n v="13.674099999999999"/>
    <n v="-89.203100000000006"/>
    <n v="10079.700000000001"/>
    <n v="0"/>
    <n v="0"/>
    <n v="101"/>
    <s v="_x0000_US"/>
  </r>
  <r>
    <x v="0"/>
    <n v="13.6852"/>
    <n v="-89.212199999999996"/>
    <n v="10079.700000000001"/>
    <n v="0"/>
    <n v="0"/>
    <n v="101"/>
    <s v="_x0000_US"/>
  </r>
  <r>
    <x v="0"/>
    <n v="13.6915"/>
    <n v="-89.188199999999995"/>
    <n v="10079.799999999999"/>
    <n v="0"/>
    <n v="0"/>
    <n v="101"/>
    <s v="_x0000_US"/>
  </r>
  <r>
    <x v="0"/>
    <n v="13.690799999999999"/>
    <n v="-89.233000000000004"/>
    <n v="10079.799999999999"/>
    <n v="0"/>
    <n v="0"/>
    <n v="101"/>
    <s v="_x0000_US"/>
  </r>
  <r>
    <x v="0"/>
    <n v="13.690200000000001"/>
    <n v="-89.235200000000006"/>
    <n v="10079.9"/>
    <n v="0"/>
    <n v="0"/>
    <n v="101"/>
    <s v="_x0000_US"/>
  </r>
  <r>
    <x v="0"/>
    <n v="13.6738"/>
    <n v="-89.202600000000004"/>
    <n v="10080.200000000001"/>
    <n v="0"/>
    <n v="0"/>
    <n v="101"/>
    <s v="_x0000_US"/>
  </r>
  <r>
    <x v="0"/>
    <n v="13.6852"/>
    <n v="-89.217399999999998"/>
    <n v="10080.200000000001"/>
    <n v="0"/>
    <n v="0"/>
    <n v="101"/>
    <s v="_x0000_US"/>
  </r>
  <r>
    <x v="0"/>
    <n v="13.694699999999999"/>
    <n v="-89.185500000000005"/>
    <n v="10080.299999999999"/>
    <n v="0"/>
    <n v="0"/>
    <n v="101"/>
    <s v="_x0000_US"/>
  </r>
  <r>
    <x v="0"/>
    <n v="13.687799999999999"/>
    <n v="-89.197000000000003"/>
    <n v="10080.4"/>
    <n v="0"/>
    <n v="0"/>
    <n v="101"/>
    <s v="_x0000_US"/>
  </r>
  <r>
    <x v="0"/>
    <n v="13.673999999999999"/>
    <n v="-89.202500000000001"/>
    <n v="10080.5"/>
    <n v="0"/>
    <n v="0"/>
    <n v="101"/>
    <s v="_x0000_US"/>
  </r>
  <r>
    <x v="0"/>
    <n v="13.687799999999999"/>
    <n v="-89.204899999999995"/>
    <n v="10080.799999999999"/>
    <n v="0"/>
    <n v="0"/>
    <n v="101"/>
    <s v="_x0000_US"/>
  </r>
  <r>
    <x v="0"/>
    <n v="13.689"/>
    <n v="-89.229699999999994"/>
    <n v="10080.799999999999"/>
    <n v="0"/>
    <n v="0"/>
    <n v="101"/>
    <s v="_x0000_US"/>
  </r>
  <r>
    <x v="0"/>
    <n v="13.6912"/>
    <n v="-89.233400000000003"/>
    <n v="10080.9"/>
    <n v="0"/>
    <n v="0"/>
    <n v="101"/>
    <s v="_x0000_US"/>
  </r>
  <r>
    <x v="0"/>
    <n v="13.687099999999999"/>
    <n v="-89.215999999999994"/>
    <n v="10081.5"/>
    <n v="0"/>
    <n v="0"/>
    <n v="101"/>
    <s v="_x0000_US"/>
  </r>
  <r>
    <x v="0"/>
    <n v="13.6928"/>
    <n v="-89.225300000000004"/>
    <n v="10081.700000000001"/>
    <n v="0"/>
    <n v="0"/>
    <n v="101"/>
    <s v="_x0000_US"/>
  </r>
  <r>
    <x v="0"/>
    <n v="13.693899999999999"/>
    <n v="-89.175299999999993"/>
    <n v="10082.299999999999"/>
    <n v="0"/>
    <n v="0"/>
    <n v="101"/>
    <s v="_x0000_US"/>
  </r>
  <r>
    <x v="0"/>
    <n v="13.6904"/>
    <n v="-89.234700000000004"/>
    <n v="10082.299999999999"/>
    <n v="0"/>
    <n v="0"/>
    <n v="101"/>
    <s v="_x0000_US"/>
  </r>
  <r>
    <x v="0"/>
    <n v="13.688599999999999"/>
    <n v="-89.204400000000007"/>
    <n v="10082.6"/>
    <n v="0"/>
    <n v="0"/>
    <n v="101"/>
    <s v="_x0000_US"/>
  </r>
  <r>
    <x v="0"/>
    <n v="13.6896"/>
    <n v="-89.185400000000001"/>
    <n v="10084.4"/>
    <n v="0"/>
    <n v="0"/>
    <n v="101"/>
    <s v="_x0000_US"/>
  </r>
  <r>
    <x v="0"/>
    <n v="13.6884"/>
    <n v="-89.229500000000002"/>
    <n v="10084.5"/>
    <n v="0"/>
    <n v="0"/>
    <n v="101"/>
    <s v="_x0000_US"/>
  </r>
  <r>
    <x v="0"/>
    <n v="13.6944"/>
    <n v="-89.1751"/>
    <n v="10084.700000000001"/>
    <n v="0"/>
    <n v="0"/>
    <n v="101"/>
    <s v="_x0000_US"/>
  </r>
  <r>
    <x v="0"/>
    <n v="13.6913"/>
    <n v="-89.183999999999997"/>
    <n v="10084.799999999999"/>
    <n v="0"/>
    <n v="0"/>
    <n v="101"/>
    <s v="_x0000_US"/>
  </r>
  <r>
    <x v="0"/>
    <n v="13.687099999999999"/>
    <n v="-89.194800000000001"/>
    <n v="10085.200000000001"/>
    <n v="0"/>
    <n v="0"/>
    <n v="101"/>
    <s v="_x0000_US"/>
  </r>
  <r>
    <x v="0"/>
    <n v="13.6928"/>
    <n v="-89.225499999999997"/>
    <n v="10085.5"/>
    <n v="0"/>
    <n v="0"/>
    <n v="101"/>
    <s v="_x0000_US"/>
  </r>
  <r>
    <x v="0"/>
    <n v="13.6884"/>
    <n v="-89.229699999999994"/>
    <n v="10085.799999999999"/>
    <n v="0"/>
    <n v="0"/>
    <n v="101"/>
    <s v="_x0000_US"/>
  </r>
  <r>
    <x v="0"/>
    <n v="13.693099999999999"/>
    <n v="-89.174099999999996"/>
    <n v="10086.200000000001"/>
    <n v="0"/>
    <n v="0"/>
    <n v="101"/>
    <s v="_x0000_US"/>
  </r>
  <r>
    <x v="0"/>
    <n v="13.684799999999999"/>
    <n v="-89.216099999999997"/>
    <n v="10086.799999999999"/>
    <n v="0"/>
    <n v="0"/>
    <n v="101"/>
    <s v="_x0000_US"/>
  </r>
  <r>
    <x v="0"/>
    <n v="13.692600000000001"/>
    <n v="-89.184399999999997"/>
    <n v="10086.9"/>
    <n v="0"/>
    <n v="0"/>
    <n v="101"/>
    <s v="_x0000_US"/>
  </r>
  <r>
    <x v="0"/>
    <n v="13.6906"/>
    <n v="-89.1845"/>
    <n v="10087"/>
    <n v="0"/>
    <n v="0"/>
    <n v="101"/>
    <s v="_x0000_US"/>
  </r>
  <r>
    <x v="0"/>
    <n v="13.687099999999999"/>
    <n v="-89.197800000000001"/>
    <n v="10087.200000000001"/>
    <n v="0"/>
    <n v="0"/>
    <n v="101"/>
    <s v="_x0000_US"/>
  </r>
  <r>
    <x v="0"/>
    <n v="13.674799999999999"/>
    <n v="-89.251400000000004"/>
    <n v="10087.200000000001"/>
    <n v="0"/>
    <n v="0"/>
    <n v="101"/>
    <s v="_x0000_US"/>
  </r>
  <r>
    <x v="0"/>
    <n v="13.694599999999999"/>
    <n v="-89.174199999999999"/>
    <n v="10087.299999999999"/>
    <n v="0"/>
    <n v="0"/>
    <n v="101"/>
    <s v="_x0000_US"/>
  </r>
  <r>
    <x v="0"/>
    <n v="13.689"/>
    <n v="-89.190299999999993"/>
    <n v="10087.9"/>
    <n v="0"/>
    <n v="0"/>
    <n v="101"/>
    <s v="_x0000_US"/>
  </r>
  <r>
    <x v="0"/>
    <n v="13.695499999999999"/>
    <n v="-89.173400000000001"/>
    <n v="10088"/>
    <n v="0"/>
    <n v="0"/>
    <n v="101"/>
    <s v="_x0000_US"/>
  </r>
  <r>
    <x v="0"/>
    <n v="13.6911"/>
    <n v="-89.229200000000006"/>
    <n v="10088.1"/>
    <n v="0"/>
    <n v="0"/>
    <n v="101"/>
    <s v="_x0000_US"/>
  </r>
  <r>
    <x v="0"/>
    <n v="13.6913"/>
    <n v="-89.228700000000003"/>
    <n v="10088.6"/>
    <n v="0"/>
    <n v="0"/>
    <n v="101"/>
    <s v="_x0000_US"/>
  </r>
  <r>
    <x v="0"/>
    <n v="13.6751"/>
    <n v="-89.199700000000007"/>
    <n v="10088.799999999999"/>
    <n v="0"/>
    <n v="0"/>
    <n v="101"/>
    <s v="_x0000_US"/>
  </r>
  <r>
    <x v="0"/>
    <n v="13.6853"/>
    <n v="-89.215100000000007"/>
    <n v="10088.9"/>
    <n v="0"/>
    <n v="0"/>
    <n v="101"/>
    <s v="_x0000_US"/>
  </r>
  <r>
    <x v="0"/>
    <n v="13.693099999999999"/>
    <n v="-89.177899999999994"/>
    <n v="10089"/>
    <n v="0"/>
    <n v="0"/>
    <n v="101"/>
    <s v="_x0000_US"/>
  </r>
  <r>
    <x v="0"/>
    <n v="13.6845"/>
    <n v="-89.214399999999998"/>
    <n v="10089.200000000001"/>
    <n v="0"/>
    <n v="0"/>
    <n v="101"/>
    <s v="_x0000_US"/>
  </r>
  <r>
    <x v="0"/>
    <n v="13.6905"/>
    <n v="-89.177499999999995"/>
    <n v="10089.299999999999"/>
    <n v="0"/>
    <n v="0"/>
    <n v="101"/>
    <s v="_x0000_US"/>
  </r>
  <r>
    <x v="0"/>
    <n v="13.695499999999999"/>
    <n v="-89.173299999999998"/>
    <n v="10089.5"/>
    <n v="0"/>
    <n v="0"/>
    <n v="101"/>
    <s v="_x0000_US"/>
  </r>
  <r>
    <x v="0"/>
    <n v="13.6881"/>
    <n v="-89.198899999999995"/>
    <n v="10089.700000000001"/>
    <n v="0"/>
    <n v="0"/>
    <n v="101"/>
    <s v="_x0000_US"/>
  </r>
  <r>
    <x v="0"/>
    <n v="13.6867"/>
    <n v="-89.211399999999998"/>
    <n v="10089.700000000001"/>
    <n v="0"/>
    <n v="0"/>
    <n v="101"/>
    <s v="_x0000_US"/>
  </r>
  <r>
    <x v="0"/>
    <n v="13.692500000000001"/>
    <n v="-89.186800000000005"/>
    <n v="10090"/>
    <n v="0"/>
    <n v="0"/>
    <n v="101"/>
    <s v="_x0000_US"/>
  </r>
  <r>
    <x v="0"/>
    <n v="13.6976"/>
    <n v="-89.171199999999999"/>
    <n v="10090"/>
    <n v="0"/>
    <n v="0"/>
    <n v="101"/>
    <s v="_x0000_US"/>
  </r>
  <r>
    <x v="0"/>
    <n v="13.6869"/>
    <n v="-89.215900000000005"/>
    <n v="10090"/>
    <n v="0"/>
    <n v="0"/>
    <n v="101"/>
    <s v="_x0000_US"/>
  </r>
  <r>
    <x v="0"/>
    <n v="13.684900000000001"/>
    <n v="-89.213399999999993"/>
    <n v="10090.1"/>
    <n v="0"/>
    <n v="0"/>
    <n v="101"/>
    <s v="_x0000_US"/>
  </r>
  <r>
    <x v="0"/>
    <n v="13.6852"/>
    <n v="-89.202100000000002"/>
    <n v="10090.200000000001"/>
    <n v="0"/>
    <n v="0"/>
    <n v="101"/>
    <s v="_x0000_US"/>
  </r>
  <r>
    <x v="0"/>
    <n v="13.6875"/>
    <n v="-89.194699999999997"/>
    <n v="10090.4"/>
    <n v="0"/>
    <n v="0"/>
    <n v="101"/>
    <s v="_x0000_US"/>
  </r>
  <r>
    <x v="0"/>
    <n v="13.694599999999999"/>
    <n v="-89.172300000000007"/>
    <n v="10090.6"/>
    <n v="0"/>
    <n v="0"/>
    <n v="101"/>
    <s v="_x0000_US"/>
  </r>
  <r>
    <x v="0"/>
    <n v="13.696"/>
    <n v="-89.171999999999997"/>
    <n v="10090.799999999999"/>
    <n v="0"/>
    <n v="0"/>
    <n v="101"/>
    <s v="_x0000_US"/>
  </r>
  <r>
    <x v="0"/>
    <n v="13.678800000000001"/>
    <n v="-89.1965"/>
    <n v="10090.9"/>
    <n v="0"/>
    <n v="0"/>
    <n v="101"/>
    <s v="_x0000_US"/>
  </r>
  <r>
    <x v="0"/>
    <n v="13.690799999999999"/>
    <n v="-89.234399999999994"/>
    <n v="10091"/>
    <n v="0"/>
    <n v="0"/>
    <n v="101"/>
    <s v="_x0000_US"/>
  </r>
  <r>
    <x v="0"/>
    <n v="13.688499999999999"/>
    <n v="-89.1982"/>
    <n v="10091.299999999999"/>
    <n v="0"/>
    <n v="0"/>
    <n v="101"/>
    <s v="_x0000_US"/>
  </r>
  <r>
    <x v="0"/>
    <n v="13.6884"/>
    <n v="-89.180899999999994"/>
    <n v="10091.5"/>
    <n v="0"/>
    <n v="0"/>
    <n v="101"/>
    <s v="_x0000_US"/>
  </r>
  <r>
    <x v="0"/>
    <n v="13.687200000000001"/>
    <n v="-89.194800000000001"/>
    <n v="10091.5"/>
    <n v="0"/>
    <n v="0"/>
    <n v="101"/>
    <s v="_x0000_US"/>
  </r>
  <r>
    <x v="0"/>
    <n v="13.6913"/>
    <n v="-89.181600000000003"/>
    <n v="10091.700000000001"/>
    <n v="0"/>
    <n v="0"/>
    <n v="101"/>
    <s v="_x0000_US"/>
  </r>
  <r>
    <x v="0"/>
    <n v="13.692500000000001"/>
    <n v="-89.223799999999997"/>
    <n v="10091.9"/>
    <n v="0"/>
    <n v="0"/>
    <n v="101"/>
    <s v="_x0000_US"/>
  </r>
  <r>
    <x v="0"/>
    <n v="13.693300000000001"/>
    <n v="-89.178299999999993"/>
    <n v="10092"/>
    <n v="0"/>
    <n v="0"/>
    <n v="101"/>
    <s v="_x0000_US"/>
  </r>
  <r>
    <x v="0"/>
    <n v="13.6906"/>
    <n v="-89.232299999999995"/>
    <n v="10092.1"/>
    <n v="0"/>
    <n v="0"/>
    <n v="101"/>
    <s v="_x0000_US"/>
  </r>
  <r>
    <x v="0"/>
    <n v="13.687799999999999"/>
    <n v="-89.205699999999993"/>
    <n v="10092.4"/>
    <n v="0"/>
    <n v="0"/>
    <n v="101"/>
    <s v="_x0000_US"/>
  </r>
  <r>
    <x v="0"/>
    <n v="13.6928"/>
    <n v="-89.224000000000004"/>
    <n v="10092.5"/>
    <n v="0"/>
    <n v="0"/>
    <n v="101"/>
    <s v="_x0000_US"/>
  </r>
  <r>
    <x v="0"/>
    <n v="13.678699999999999"/>
    <n v="-89.196399999999997"/>
    <n v="10092.9"/>
    <n v="0"/>
    <n v="0"/>
    <n v="101"/>
    <s v="_x0000_US"/>
  </r>
  <r>
    <x v="0"/>
    <n v="13.6793"/>
    <n v="-89.197199999999995"/>
    <n v="10092.9"/>
    <n v="0"/>
    <n v="0"/>
    <n v="101"/>
    <s v="_x0000_US"/>
  </r>
  <r>
    <x v="0"/>
    <n v="13.6883"/>
    <n v="-89.194400000000002"/>
    <n v="10093"/>
    <n v="0"/>
    <n v="0"/>
    <n v="101"/>
    <s v="_x0000_US"/>
  </r>
  <r>
    <x v="0"/>
    <n v="13.687200000000001"/>
    <n v="-89.194500000000005"/>
    <n v="10093"/>
    <n v="0"/>
    <n v="0"/>
    <n v="101"/>
    <s v="_x0000_US"/>
  </r>
  <r>
    <x v="0"/>
    <n v="13.690899999999999"/>
    <n v="-89.234999999999999"/>
    <n v="10093.1"/>
    <n v="0"/>
    <n v="0"/>
    <n v="101"/>
    <s v="_x0000_US"/>
  </r>
  <r>
    <x v="0"/>
    <n v="13.691000000000001"/>
    <n v="-89.229299999999995"/>
    <n v="10094.5"/>
    <n v="0"/>
    <n v="0"/>
    <n v="101"/>
    <s v="_x0000_US"/>
  </r>
  <r>
    <x v="0"/>
    <n v="13.6921"/>
    <n v="-89.221900000000005"/>
    <n v="10094.700000000001"/>
    <n v="0"/>
    <n v="0"/>
    <n v="101"/>
    <s v="_x0000_US"/>
  </r>
  <r>
    <x v="0"/>
    <n v="13.684699999999999"/>
    <n v="-89.216099999999997"/>
    <n v="10095"/>
    <n v="0"/>
    <n v="0"/>
    <n v="101"/>
    <s v="_x0000_US"/>
  </r>
  <r>
    <x v="0"/>
    <n v="13.692"/>
    <n v="-89.224000000000004"/>
    <n v="10095.299999999999"/>
    <n v="0"/>
    <n v="0"/>
    <n v="101"/>
    <s v="_x0000_US"/>
  </r>
  <r>
    <x v="0"/>
    <n v="13.6922"/>
    <n v="-89.178100000000001"/>
    <n v="10095.6"/>
    <n v="0"/>
    <n v="0"/>
    <n v="101"/>
    <s v="_x0000_US"/>
  </r>
  <r>
    <x v="0"/>
    <n v="13.693300000000001"/>
    <n v="-89.176900000000003"/>
    <n v="10095.700000000001"/>
    <n v="0"/>
    <n v="0"/>
    <n v="101"/>
    <s v="_x0000_US"/>
  </r>
  <r>
    <x v="0"/>
    <n v="13.6912"/>
    <n v="-89.232799999999997"/>
    <n v="10095.700000000001"/>
    <n v="0"/>
    <n v="0"/>
    <n v="101"/>
    <s v="_x0000_US"/>
  </r>
  <r>
    <x v="0"/>
    <n v="13.685"/>
    <n v="-89.216099999999997"/>
    <n v="10095.799999999999"/>
    <n v="0"/>
    <n v="0"/>
    <n v="101"/>
    <s v="_x0000_US"/>
  </r>
  <r>
    <x v="0"/>
    <n v="13.691800000000001"/>
    <n v="-89.225399999999993"/>
    <n v="10096.1"/>
    <n v="0"/>
    <n v="0"/>
    <n v="101"/>
    <s v="_x0000_US"/>
  </r>
  <r>
    <x v="0"/>
    <n v="13.6851"/>
    <n v="-89.215999999999994"/>
    <n v="10096.200000000001"/>
    <n v="0"/>
    <n v="0"/>
    <n v="101"/>
    <s v="_x0000_US"/>
  </r>
  <r>
    <x v="0"/>
    <n v="13.692600000000001"/>
    <n v="-89.184700000000007"/>
    <n v="10096.299999999999"/>
    <n v="0"/>
    <n v="0"/>
    <n v="101"/>
    <s v="_x0000_US"/>
  </r>
  <r>
    <x v="0"/>
    <n v="13.6744"/>
    <n v="-89.198999999999998"/>
    <n v="10096.6"/>
    <n v="0"/>
    <n v="0"/>
    <n v="101"/>
    <s v="_x0000_US"/>
  </r>
  <r>
    <x v="0"/>
    <n v="13.690200000000001"/>
    <n v="-89.179500000000004"/>
    <n v="10096.700000000001"/>
    <n v="0"/>
    <n v="0"/>
    <n v="101"/>
    <s v="_x0000_US"/>
  </r>
  <r>
    <x v="0"/>
    <n v="13.689"/>
    <n v="-89.181299999999993"/>
    <n v="10096.799999999999"/>
    <n v="0"/>
    <n v="0"/>
    <n v="101"/>
    <s v="_x0000_US"/>
  </r>
  <r>
    <x v="0"/>
    <n v="13.6867"/>
    <n v="-89.194500000000005"/>
    <n v="10096.9"/>
    <n v="0"/>
    <n v="0"/>
    <n v="101"/>
    <s v="_x0000_US"/>
  </r>
  <r>
    <x v="0"/>
    <n v="13.692"/>
    <n v="-89.194100000000006"/>
    <n v="10098.200000000001"/>
    <n v="0"/>
    <n v="0"/>
    <n v="101"/>
    <s v="_x0000_US"/>
  </r>
  <r>
    <x v="0"/>
    <n v="13.6911"/>
    <n v="-89.232699999999994"/>
    <n v="10098.200000000001"/>
    <n v="0"/>
    <n v="0"/>
    <n v="101"/>
    <s v="_x0000_US"/>
  </r>
  <r>
    <x v="0"/>
    <n v="13.6869"/>
    <n v="-89.194699999999997"/>
    <n v="10098.299999999999"/>
    <n v="0"/>
    <n v="0"/>
    <n v="101"/>
    <s v="_x0000_US"/>
  </r>
  <r>
    <x v="0"/>
    <n v="13.6898"/>
    <n v="-89.1935"/>
    <n v="10098.799999999999"/>
    <n v="0"/>
    <n v="0"/>
    <n v="101"/>
    <s v="_x0000_US"/>
  </r>
  <r>
    <x v="0"/>
    <n v="13.6944"/>
    <n v="-89.183199999999999"/>
    <n v="10099"/>
    <n v="0"/>
    <n v="0"/>
    <n v="101"/>
    <s v="_x0000_US"/>
  </r>
  <r>
    <x v="0"/>
    <n v="13.6861"/>
    <n v="-89.215100000000007"/>
    <n v="10099"/>
    <n v="0"/>
    <n v="0"/>
    <n v="101"/>
    <s v="_x0000_US"/>
  </r>
  <r>
    <x v="0"/>
    <n v="13.692399999999999"/>
    <n v="-89.184600000000003"/>
    <n v="10099.1"/>
    <n v="0"/>
    <n v="0"/>
    <n v="101"/>
    <s v="_x0000_US"/>
  </r>
  <r>
    <x v="0"/>
    <n v="13.689"/>
    <n v="-89.207300000000004"/>
    <n v="10099.200000000001"/>
    <n v="0"/>
    <n v="0"/>
    <n v="101"/>
    <s v="_x0000_US"/>
  </r>
  <r>
    <x v="0"/>
    <n v="13.6873"/>
    <n v="-89.196899999999999"/>
    <n v="10099.5"/>
    <n v="0"/>
    <n v="0"/>
    <n v="101"/>
    <s v="_x0000_US"/>
  </r>
  <r>
    <x v="0"/>
    <n v="13.691599999999999"/>
    <n v="-89.196899999999999"/>
    <n v="10099.9"/>
    <n v="0"/>
    <n v="0"/>
    <n v="101"/>
    <s v="_x0000_US"/>
  </r>
  <r>
    <x v="0"/>
    <n v="13.685700000000001"/>
    <n v="-89.211500000000001"/>
    <n v="10100.1"/>
    <n v="0"/>
    <n v="0"/>
    <n v="101"/>
    <s v="_x0000_US"/>
  </r>
  <r>
    <x v="0"/>
    <n v="13.688499999999999"/>
    <n v="-89.190600000000003"/>
    <n v="10100.200000000001"/>
    <n v="0"/>
    <n v="0"/>
    <n v="101"/>
    <s v="_x0000_US"/>
  </r>
  <r>
    <x v="0"/>
    <n v="13.691800000000001"/>
    <n v="-89.194400000000002"/>
    <n v="10100.700000000001"/>
    <n v="0"/>
    <n v="0"/>
    <n v="101"/>
    <s v="_x0000_US"/>
  </r>
  <r>
    <x v="0"/>
    <n v="13.692399999999999"/>
    <n v="-89.183700000000002"/>
    <n v="10100.799999999999"/>
    <n v="0"/>
    <n v="0"/>
    <n v="101"/>
    <s v="_x0000_US"/>
  </r>
  <r>
    <x v="0"/>
    <n v="13.685499999999999"/>
    <n v="-89.213399999999993"/>
    <n v="10101.1"/>
    <n v="0"/>
    <n v="0"/>
    <n v="101"/>
    <s v="_x0000_US"/>
  </r>
  <r>
    <x v="0"/>
    <n v="13.6844"/>
    <n v="-89.211699999999993"/>
    <n v="10101.200000000001"/>
    <n v="0"/>
    <n v="0"/>
    <n v="101"/>
    <s v="_x0000_US"/>
  </r>
  <r>
    <x v="0"/>
    <n v="13.692299999999999"/>
    <n v="-89.174599999999998"/>
    <n v="10101.4"/>
    <n v="0"/>
    <n v="0"/>
    <n v="101"/>
    <s v="_x0000_US"/>
  </r>
  <r>
    <x v="0"/>
    <n v="13.692299999999999"/>
    <n v="-89.181899999999999"/>
    <n v="10101.9"/>
    <n v="0"/>
    <n v="0"/>
    <n v="101"/>
    <s v="_x0000_US"/>
  </r>
  <r>
    <x v="0"/>
    <n v="13.6912"/>
    <n v="-89.232900000000001"/>
    <n v="10101.9"/>
    <n v="0"/>
    <n v="0"/>
    <n v="101"/>
    <s v="_x0000_US"/>
  </r>
  <r>
    <x v="0"/>
    <n v="13.6877"/>
    <n v="-89.194599999999994"/>
    <n v="10102"/>
    <n v="0"/>
    <n v="0"/>
    <n v="101"/>
    <s v="_x0000_US"/>
  </r>
  <r>
    <x v="0"/>
    <n v="13.690200000000001"/>
    <n v="-89.183800000000005"/>
    <n v="10102.200000000001"/>
    <n v="0"/>
    <n v="0"/>
    <n v="101"/>
    <s v="_x0000_US"/>
  </r>
  <r>
    <x v="0"/>
    <n v="13.692299999999999"/>
    <n v="-89.226900000000001"/>
    <n v="10102.299999999999"/>
    <n v="0"/>
    <n v="0"/>
    <n v="101"/>
    <s v="_x0000_US"/>
  </r>
  <r>
    <x v="0"/>
    <n v="13.6911"/>
    <n v="-89.1905"/>
    <n v="10102.700000000001"/>
    <n v="0"/>
    <n v="0"/>
    <n v="101"/>
    <s v="_x0000_US"/>
  </r>
  <r>
    <x v="0"/>
    <n v="13.6874"/>
    <n v="-89.195599999999999"/>
    <n v="10102.9"/>
    <n v="0"/>
    <n v="0"/>
    <n v="101"/>
    <s v="_x0000_US"/>
  </r>
  <r>
    <x v="0"/>
    <n v="13.686999999999999"/>
    <n v="-89.2149"/>
    <n v="10103"/>
    <n v="0"/>
    <n v="0"/>
    <n v="101"/>
    <s v="_x0000_US"/>
  </r>
  <r>
    <x v="0"/>
    <n v="13.6911"/>
    <n v="-89.181600000000003"/>
    <n v="10103.200000000001"/>
    <n v="0"/>
    <n v="0"/>
    <n v="101"/>
    <s v="_x0000_US"/>
  </r>
  <r>
    <x v="0"/>
    <n v="13.6929"/>
    <n v="-89.173900000000003"/>
    <n v="10103.9"/>
    <n v="0"/>
    <n v="0"/>
    <n v="101"/>
    <s v="_x0000_US"/>
  </r>
  <r>
    <x v="0"/>
    <n v="13.6914"/>
    <n v="-89.189300000000003"/>
    <n v="10104.799999999999"/>
    <n v="0"/>
    <n v="0"/>
    <n v="101"/>
    <s v="_x0000_US"/>
  </r>
  <r>
    <x v="0"/>
    <n v="13.690099999999999"/>
    <n v="-89.234999999999999"/>
    <n v="10104.799999999999"/>
    <n v="0"/>
    <n v="0"/>
    <n v="101"/>
    <s v="_x0000_US"/>
  </r>
  <r>
    <x v="0"/>
    <n v="13.690300000000001"/>
    <n v="-89.1798"/>
    <n v="10105.200000000001"/>
    <n v="0"/>
    <n v="0"/>
    <n v="101"/>
    <s v="_x0000_US"/>
  </r>
  <r>
    <x v="0"/>
    <n v="13.6877"/>
    <n v="-89.194599999999994"/>
    <n v="10105.5"/>
    <n v="0"/>
    <n v="0"/>
    <n v="101"/>
    <s v="_x0000_US"/>
  </r>
  <r>
    <x v="0"/>
    <n v="13.675599999999999"/>
    <n v="-89.247500000000002"/>
    <n v="10105.5"/>
    <n v="0"/>
    <n v="0"/>
    <n v="101"/>
    <s v="_x0000_US"/>
  </r>
  <r>
    <x v="0"/>
    <n v="13.6958"/>
    <n v="-89.172499999999999"/>
    <n v="10106.1"/>
    <n v="0"/>
    <n v="0"/>
    <n v="101"/>
    <s v="_x0000_US"/>
  </r>
  <r>
    <x v="0"/>
    <n v="13.691700000000001"/>
    <n v="-89.2333"/>
    <n v="10106.1"/>
    <n v="0"/>
    <n v="0"/>
    <n v="101"/>
    <s v="_x0000_US"/>
  </r>
  <r>
    <x v="0"/>
    <n v="13.6858"/>
    <n v="-89.215000000000003"/>
    <n v="10106.299999999999"/>
    <n v="0"/>
    <n v="0"/>
    <n v="101"/>
    <s v="_x0000_US"/>
  </r>
  <r>
    <x v="0"/>
    <n v="13.6891"/>
    <n v="-89.236199999999997"/>
    <n v="10107.299999999999"/>
    <n v="0"/>
    <n v="0"/>
    <n v="101"/>
    <s v="_x0000_US"/>
  </r>
  <r>
    <x v="0"/>
    <n v="13.6934"/>
    <n v="-89.176199999999994"/>
    <n v="10107.4"/>
    <n v="0"/>
    <n v="0"/>
    <n v="101"/>
    <s v="_x0000_US"/>
  </r>
  <r>
    <x v="0"/>
    <n v="13.6929"/>
    <n v="-89.183199999999999"/>
    <n v="10107.6"/>
    <n v="0"/>
    <n v="0"/>
    <n v="101"/>
    <s v="_x0000_US"/>
  </r>
  <r>
    <x v="0"/>
    <n v="13.6936"/>
    <n v="-89.188699999999997"/>
    <n v="10107.6"/>
    <n v="0"/>
    <n v="0"/>
    <n v="101"/>
    <s v="_x0000_US"/>
  </r>
  <r>
    <x v="0"/>
    <n v="13.690300000000001"/>
    <n v="-89.183800000000005"/>
    <n v="10107.6"/>
    <n v="0"/>
    <n v="0"/>
    <n v="101"/>
    <s v="_x0000_US"/>
  </r>
  <r>
    <x v="0"/>
    <n v="13.691000000000001"/>
    <n v="-89.229600000000005"/>
    <n v="10107.9"/>
    <n v="0"/>
    <n v="0"/>
    <n v="101"/>
    <s v="_x0000_US"/>
  </r>
  <r>
    <x v="0"/>
    <n v="13.684699999999999"/>
    <n v="-89.213300000000004"/>
    <n v="10108"/>
    <n v="0"/>
    <n v="0"/>
    <n v="101"/>
    <s v="_x0000_US"/>
  </r>
  <r>
    <x v="0"/>
    <n v="13.6889"/>
    <n v="-89.229299999999995"/>
    <n v="10108"/>
    <n v="0"/>
    <n v="0"/>
    <n v="101"/>
    <s v="_x0000_US"/>
  </r>
  <r>
    <x v="0"/>
    <n v="13.686299999999999"/>
    <n v="-89.212900000000005"/>
    <n v="10108.1"/>
    <n v="0"/>
    <n v="0"/>
    <n v="101"/>
    <s v="_x0000_US"/>
  </r>
  <r>
    <x v="0"/>
    <n v="13.6928"/>
    <n v="-89.178299999999993"/>
    <n v="10108.5"/>
    <n v="0"/>
    <n v="0"/>
    <n v="101"/>
    <s v="_x0000_US"/>
  </r>
  <r>
    <x v="0"/>
    <n v="13.6899"/>
    <n v="-89.177499999999995"/>
    <n v="10109"/>
    <n v="0"/>
    <n v="0"/>
    <n v="101"/>
    <s v="_x0000_US"/>
  </r>
  <r>
    <x v="0"/>
    <n v="13.689500000000001"/>
    <n v="-89.229399999999998"/>
    <n v="10109"/>
    <n v="0"/>
    <n v="0"/>
    <n v="101"/>
    <s v="_x0000_US"/>
  </r>
  <r>
    <x v="0"/>
    <n v="13.6892"/>
    <n v="-89.2363"/>
    <n v="10110"/>
    <n v="0"/>
    <n v="0"/>
    <n v="101"/>
    <s v="_x0000_US"/>
  </r>
  <r>
    <x v="0"/>
    <n v="13.691800000000001"/>
    <n v="-89.194100000000006"/>
    <n v="10110.799999999999"/>
    <n v="0"/>
    <n v="0"/>
    <n v="101"/>
    <s v="_x0000_US"/>
  </r>
  <r>
    <x v="0"/>
    <n v="13.6843"/>
    <n v="-89.217200000000005"/>
    <n v="10110.799999999999"/>
    <n v="0"/>
    <n v="0"/>
    <n v="101"/>
    <s v="_x0000_US"/>
  </r>
  <r>
    <x v="0"/>
    <n v="13.6875"/>
    <n v="-89.214399999999998"/>
    <n v="10111.299999999999"/>
    <n v="0"/>
    <n v="0"/>
    <n v="101"/>
    <s v="_x0000_US"/>
  </r>
  <r>
    <x v="0"/>
    <n v="13.692299999999999"/>
    <n v="-89.226500000000001"/>
    <n v="10111.5"/>
    <n v="0"/>
    <n v="0"/>
    <n v="101"/>
    <s v="_x0000_US"/>
  </r>
  <r>
    <x v="0"/>
    <n v="13.6891"/>
    <n v="-89.205399999999997"/>
    <n v="10111.700000000001"/>
    <n v="0"/>
    <n v="0"/>
    <n v="101"/>
    <s v="_x0000_US"/>
  </r>
  <r>
    <x v="0"/>
    <n v="13.6874"/>
    <n v="-89.195499999999996"/>
    <n v="10111.799999999999"/>
    <n v="0"/>
    <n v="0"/>
    <n v="101"/>
    <s v="_x0000_US"/>
  </r>
  <r>
    <x v="0"/>
    <n v="13.6752"/>
    <n v="-89.202299999999994"/>
    <n v="10111.9"/>
    <n v="0"/>
    <n v="0"/>
    <n v="101"/>
    <s v="_x0000_US"/>
  </r>
  <r>
    <x v="0"/>
    <n v="13.6891"/>
    <n v="-89.207400000000007"/>
    <n v="10112.1"/>
    <n v="0"/>
    <n v="0"/>
    <n v="101"/>
    <s v="_x0000_US"/>
  </r>
  <r>
    <x v="0"/>
    <n v="13.6952"/>
    <n v="-89.173599999999993"/>
    <n v="10112.1"/>
    <n v="0"/>
    <n v="0"/>
    <n v="101"/>
    <s v="_x0000_US"/>
  </r>
  <r>
    <x v="0"/>
    <n v="13.6873"/>
    <n v="-89.192300000000003"/>
    <n v="10112.200000000001"/>
    <n v="0"/>
    <n v="0"/>
    <n v="101"/>
    <s v="_x0000_US"/>
  </r>
  <r>
    <x v="0"/>
    <n v="13.6891"/>
    <n v="-89.205299999999994"/>
    <n v="10112.4"/>
    <n v="0"/>
    <n v="0"/>
    <n v="101"/>
    <s v="_x0000_US"/>
  </r>
  <r>
    <x v="0"/>
    <n v="13.6875"/>
    <n v="-89.194699999999997"/>
    <n v="10112.5"/>
    <n v="0"/>
    <n v="0"/>
    <n v="101"/>
    <s v="_x0000_US"/>
  </r>
  <r>
    <x v="0"/>
    <n v="13.6884"/>
    <n v="-89.204300000000003"/>
    <n v="10112.5"/>
    <n v="0"/>
    <n v="0"/>
    <n v="101"/>
    <s v="_x0000_US"/>
  </r>
  <r>
    <x v="0"/>
    <n v="13.6942"/>
    <n v="-89.174599999999998"/>
    <n v="10112.5"/>
    <n v="0"/>
    <n v="0"/>
    <n v="101"/>
    <s v="_x0000_US"/>
  </r>
  <r>
    <x v="0"/>
    <n v="13.6927"/>
    <n v="-89.224000000000004"/>
    <n v="10112.6"/>
    <n v="0"/>
    <n v="0"/>
    <n v="101"/>
    <s v="_x0000_US"/>
  </r>
  <r>
    <x v="0"/>
    <n v="13.6934"/>
    <n v="-89.188800000000001"/>
    <n v="10112.799999999999"/>
    <n v="0"/>
    <n v="0"/>
    <n v="101"/>
    <s v="_x0000_US"/>
  </r>
  <r>
    <x v="0"/>
    <n v="13.6869"/>
    <n v="-89.215100000000007"/>
    <n v="10112.9"/>
    <n v="0"/>
    <n v="0"/>
    <n v="101"/>
    <s v="_x0000_US"/>
  </r>
  <r>
    <x v="0"/>
    <n v="13.675000000000001"/>
    <n v="-89.199700000000007"/>
    <n v="10113.4"/>
    <n v="0"/>
    <n v="0"/>
    <n v="101"/>
    <s v="_x0000_US"/>
  </r>
  <r>
    <x v="0"/>
    <n v="13.696"/>
    <n v="-89.172399999999996"/>
    <n v="10114.200000000001"/>
    <n v="0"/>
    <n v="0"/>
    <n v="101"/>
    <s v="_x0000_US"/>
  </r>
  <r>
    <x v="0"/>
    <n v="13.6913"/>
    <n v="-89.1858"/>
    <n v="10114.4"/>
    <n v="0"/>
    <n v="0"/>
    <n v="101"/>
    <s v="_x0000_US"/>
  </r>
  <r>
    <x v="0"/>
    <n v="13.6945"/>
    <n v="-89.171599999999998"/>
    <n v="10114.799999999999"/>
    <n v="0"/>
    <n v="0"/>
    <n v="101"/>
    <s v="_x0000_US"/>
  </r>
  <r>
    <x v="0"/>
    <n v="13.6874"/>
    <n v="-89.196799999999996"/>
    <n v="10115.200000000001"/>
    <n v="0"/>
    <n v="0"/>
    <n v="101"/>
    <s v="_x0000_US"/>
  </r>
  <r>
    <x v="0"/>
    <n v="13.6738"/>
    <n v="-89.202799999999996"/>
    <n v="10115.5"/>
    <n v="0"/>
    <n v="0"/>
    <n v="101"/>
    <s v="_x0000_US"/>
  </r>
  <r>
    <x v="0"/>
    <n v="13.690799999999999"/>
    <n v="-89.187399999999997"/>
    <n v="10115.9"/>
    <n v="0"/>
    <n v="0"/>
    <n v="101"/>
    <s v="_x0000_US"/>
  </r>
  <r>
    <x v="0"/>
    <n v="13.6945"/>
    <n v="-89.189099999999996"/>
    <n v="10116.299999999999"/>
    <n v="0"/>
    <n v="0"/>
    <n v="101"/>
    <s v="_x0000_US"/>
  </r>
  <r>
    <x v="0"/>
    <n v="13.6874"/>
    <n v="-89.197199999999995"/>
    <n v="10116.6"/>
    <n v="0"/>
    <n v="0"/>
    <n v="101"/>
    <s v="_x0000_US"/>
  </r>
  <r>
    <x v="0"/>
    <n v="13.690899999999999"/>
    <n v="-89.235799999999998"/>
    <n v="10116.799999999999"/>
    <n v="0"/>
    <n v="0"/>
    <n v="101"/>
    <s v="_x0000_US"/>
  </r>
  <r>
    <x v="0"/>
    <n v="13.691599999999999"/>
    <n v="-89.226600000000005"/>
    <n v="10117.799999999999"/>
    <n v="0"/>
    <n v="0"/>
    <n v="101"/>
    <s v="_x0000_US"/>
  </r>
  <r>
    <x v="0"/>
    <n v="13.686999999999999"/>
    <n v="-89.194599999999994"/>
    <n v="10118.1"/>
    <n v="0"/>
    <n v="0"/>
    <n v="101"/>
    <s v="_x0000_US"/>
  </r>
  <r>
    <x v="0"/>
    <n v="13.6912"/>
    <n v="-89.220399999999998"/>
    <n v="10118.6"/>
    <n v="0"/>
    <n v="0"/>
    <n v="101"/>
    <s v="_x0000_US"/>
  </r>
  <r>
    <x v="0"/>
    <n v="13.688000000000001"/>
    <n v="-89.180099999999996"/>
    <n v="10118.799999999999"/>
    <n v="0"/>
    <n v="0"/>
    <n v="101"/>
    <s v="_x0000_US"/>
  </r>
  <r>
    <x v="0"/>
    <n v="13.6752"/>
    <n v="-89.250100000000003"/>
    <n v="10118.799999999999"/>
    <n v="0"/>
    <n v="0"/>
    <n v="101"/>
    <s v="_x0000_US"/>
  </r>
  <r>
    <x v="0"/>
    <n v="13.6935"/>
    <n v="-89.188199999999995"/>
    <n v="10119"/>
    <n v="0"/>
    <n v="0"/>
    <n v="101"/>
    <s v="_x0000_US"/>
  </r>
  <r>
    <x v="0"/>
    <n v="13.691000000000001"/>
    <n v="-89.198499999999996"/>
    <n v="10119.1"/>
    <n v="0"/>
    <n v="0"/>
    <n v="101"/>
    <s v="_x0000_US"/>
  </r>
  <r>
    <x v="0"/>
    <n v="13.685499999999999"/>
    <n v="-89.204499999999996"/>
    <n v="10119.200000000001"/>
    <n v="0"/>
    <n v="0"/>
    <n v="101"/>
    <s v="_x0000_US"/>
  </r>
  <r>
    <x v="0"/>
    <n v="13.6883"/>
    <n v="-89.229799999999997"/>
    <n v="10119.4"/>
    <n v="0"/>
    <n v="0"/>
    <n v="101"/>
    <s v="_x0000_US"/>
  </r>
  <r>
    <x v="0"/>
    <n v="13.6861"/>
    <n v="-89.204400000000007"/>
    <n v="10119.799999999999"/>
    <n v="0"/>
    <n v="0"/>
    <n v="101"/>
    <s v="_x0000_US"/>
  </r>
  <r>
    <x v="0"/>
    <n v="13.6899"/>
    <n v="-89.197800000000001"/>
    <n v="10120.200000000001"/>
    <n v="0"/>
    <n v="0"/>
    <n v="101"/>
    <s v="_x0000_US"/>
  </r>
  <r>
    <x v="0"/>
    <n v="13.696899999999999"/>
    <n v="-89.171499999999995"/>
    <n v="10120.299999999999"/>
    <n v="0"/>
    <n v="0"/>
    <n v="101"/>
    <s v="_x0000_US"/>
  </r>
  <r>
    <x v="0"/>
    <n v="13.690200000000001"/>
    <n v="-89.1798"/>
    <n v="10120.4"/>
    <n v="0"/>
    <n v="0"/>
    <n v="101"/>
    <s v="_x0000_US"/>
  </r>
  <r>
    <x v="0"/>
    <n v="13.6905"/>
    <n v="-89.186599999999999"/>
    <n v="10120.5"/>
    <n v="0"/>
    <n v="0"/>
    <n v="101"/>
    <s v="_x0000_US"/>
  </r>
  <r>
    <x v="0"/>
    <n v="13.6905"/>
    <n v="-89.235699999999994"/>
    <n v="10120.5"/>
    <n v="0"/>
    <n v="0"/>
    <n v="101"/>
    <s v="_x0000_US"/>
  </r>
  <r>
    <x v="0"/>
    <n v="13.6922"/>
    <n v="-89.222499999999997"/>
    <n v="10121.299999999999"/>
    <n v="0"/>
    <n v="0"/>
    <n v="101"/>
    <s v="_x0000_US"/>
  </r>
  <r>
    <x v="0"/>
    <n v="13.6922"/>
    <n v="-89.179400000000001"/>
    <n v="10121.5"/>
    <n v="0"/>
    <n v="0"/>
    <n v="101"/>
    <s v="_x0000_US"/>
  </r>
  <r>
    <x v="0"/>
    <n v="13.6928"/>
    <n v="-89.176699999999997"/>
    <n v="10122.299999999999"/>
    <n v="0"/>
    <n v="0"/>
    <n v="101"/>
    <s v="_x0000_US"/>
  </r>
  <r>
    <x v="0"/>
    <n v="13.6892"/>
    <n v="-89.197500000000005"/>
    <n v="10122.4"/>
    <n v="0"/>
    <n v="0"/>
    <n v="101"/>
    <s v="_x0000_US"/>
  </r>
  <r>
    <x v="0"/>
    <n v="13.6744"/>
    <n v="-89.251900000000006"/>
    <n v="10122.9"/>
    <n v="0"/>
    <n v="0"/>
    <n v="101"/>
    <s v="_x0000_US"/>
  </r>
  <r>
    <x v="0"/>
    <n v="13.687099999999999"/>
    <n v="-89.197100000000006"/>
    <n v="10123.1"/>
    <n v="0"/>
    <n v="0"/>
    <n v="101"/>
    <s v="_x0000_US"/>
  </r>
  <r>
    <x v="0"/>
    <n v="13.6753"/>
    <n v="-89.249899999999997"/>
    <n v="10123.4"/>
    <n v="0"/>
    <n v="0"/>
    <n v="101"/>
    <s v="_x0000_US"/>
  </r>
  <r>
    <x v="0"/>
    <n v="13.6875"/>
    <n v="-89.214100000000002"/>
    <n v="10123.4"/>
    <n v="0"/>
    <n v="0"/>
    <n v="101"/>
    <s v="_x0000_US"/>
  </r>
  <r>
    <x v="0"/>
    <n v="13.676500000000001"/>
    <n v="-89.1995"/>
    <n v="10123.5"/>
    <n v="0"/>
    <n v="0"/>
    <n v="101"/>
    <s v="_x0000_US"/>
  </r>
  <r>
    <x v="0"/>
    <n v="13.694800000000001"/>
    <n v="-89.174400000000006"/>
    <n v="10123.700000000001"/>
    <n v="0"/>
    <n v="0"/>
    <n v="101"/>
    <s v="_x0000_US"/>
  </r>
  <r>
    <x v="0"/>
    <n v="13.6914"/>
    <n v="-89.2333"/>
    <n v="10123.700000000001"/>
    <n v="0"/>
    <n v="0"/>
    <n v="101"/>
    <s v="_x0000_US"/>
  </r>
  <r>
    <x v="0"/>
    <n v="13.694800000000001"/>
    <n v="-89.174099999999996"/>
    <n v="10123.799999999999"/>
    <n v="0"/>
    <n v="0"/>
    <n v="101"/>
    <s v="_x0000_US"/>
  </r>
  <r>
    <x v="0"/>
    <n v="13.6874"/>
    <n v="-89.194599999999994"/>
    <n v="10124.1"/>
    <n v="0"/>
    <n v="0"/>
    <n v="101"/>
    <s v="_x0000_US"/>
  </r>
  <r>
    <x v="0"/>
    <n v="13.6746"/>
    <n v="-89.252300000000005"/>
    <n v="10124.299999999999"/>
    <n v="0"/>
    <n v="0"/>
    <n v="101"/>
    <s v="_x0000_US"/>
  </r>
  <r>
    <x v="0"/>
    <n v="13.691000000000001"/>
    <n v="-89.2273"/>
    <n v="10124.6"/>
    <n v="0"/>
    <n v="0"/>
    <n v="101"/>
    <s v="_x0000_US"/>
  </r>
  <r>
    <x v="0"/>
    <n v="13.690099999999999"/>
    <n v="-89.186800000000005"/>
    <n v="10124.9"/>
    <n v="0"/>
    <n v="0"/>
    <n v="101"/>
    <s v="_x0000_US"/>
  </r>
  <r>
    <x v="0"/>
    <n v="13.692399999999999"/>
    <n v="-89.192599999999999"/>
    <n v="10125.1"/>
    <n v="0"/>
    <n v="0"/>
    <n v="101"/>
    <s v="_x0000_US"/>
  </r>
  <r>
    <x v="0"/>
    <n v="13.6852"/>
    <n v="-89.213999999999999"/>
    <n v="10125.4"/>
    <n v="0"/>
    <n v="0"/>
    <n v="101"/>
    <s v="_x0000_US"/>
  </r>
  <r>
    <x v="0"/>
    <n v="13.686"/>
    <n v="-89.202200000000005"/>
    <n v="10125.700000000001"/>
    <n v="0"/>
    <n v="0"/>
    <n v="101"/>
    <s v="_x0000_US"/>
  </r>
  <r>
    <x v="0"/>
    <n v="13.687799999999999"/>
    <n v="-89.181799999999996"/>
    <n v="10126.200000000001"/>
    <n v="0"/>
    <n v="0"/>
    <n v="101"/>
    <s v="_x0000_US"/>
  </r>
  <r>
    <x v="0"/>
    <n v="13.6873"/>
    <n v="-89.191400000000002"/>
    <n v="10127.200000000001"/>
    <n v="0"/>
    <n v="0"/>
    <n v="101"/>
    <s v="_x0000_US"/>
  </r>
  <r>
    <x v="0"/>
    <n v="13.6877"/>
    <n v="-89.197199999999995"/>
    <n v="10127.4"/>
    <n v="0"/>
    <n v="0"/>
    <n v="101"/>
    <s v="_x0000_US"/>
  </r>
  <r>
    <x v="0"/>
    <n v="13.688499999999999"/>
    <n v="-89.198400000000007"/>
    <n v="10127.799999999999"/>
    <n v="0"/>
    <n v="0"/>
    <n v="101"/>
    <s v="_x0000_US"/>
  </r>
  <r>
    <x v="0"/>
    <n v="13.6921"/>
    <n v="-89.194400000000002"/>
    <n v="10128.299999999999"/>
    <n v="0"/>
    <n v="0"/>
    <n v="101"/>
    <s v="_x0000_US"/>
  </r>
  <r>
    <x v="0"/>
    <n v="13.689500000000001"/>
    <n v="-89.197100000000006"/>
    <n v="10128.4"/>
    <n v="0"/>
    <n v="0"/>
    <n v="101"/>
    <s v="_x0000_US"/>
  </r>
  <r>
    <x v="0"/>
    <n v="13.686999999999999"/>
    <n v="-89.212999999999994"/>
    <n v="10128.4"/>
    <n v="0"/>
    <n v="0"/>
    <n v="101"/>
    <s v="_x0000_US"/>
  </r>
  <r>
    <x v="0"/>
    <n v="13.6896"/>
    <n v="-89.229600000000005"/>
    <n v="10128.6"/>
    <n v="0"/>
    <n v="0"/>
    <n v="101"/>
    <s v="_x0000_US"/>
  </r>
  <r>
    <x v="0"/>
    <n v="13.694599999999999"/>
    <n v="-89.174999999999997"/>
    <n v="10128.799999999999"/>
    <n v="0"/>
    <n v="0"/>
    <n v="101"/>
    <s v="_x0000_US"/>
  </r>
  <r>
    <x v="0"/>
    <n v="13.6805"/>
    <n v="-89.198099999999997"/>
    <n v="10129.299999999999"/>
    <n v="0"/>
    <n v="0"/>
    <n v="101"/>
    <s v="_x0000_US"/>
  </r>
  <r>
    <x v="0"/>
    <n v="13.692500000000001"/>
    <n v="-89.183099999999996"/>
    <n v="10129.4"/>
    <n v="0"/>
    <n v="0"/>
    <n v="101"/>
    <s v="_x0000_US"/>
  </r>
  <r>
    <x v="0"/>
    <n v="13.6897"/>
    <n v="-89.235600000000005"/>
    <n v="10129.4"/>
    <n v="0"/>
    <n v="0"/>
    <n v="101"/>
    <s v="_x0000_US"/>
  </r>
  <r>
    <x v="0"/>
    <n v="13.6874"/>
    <n v="-89.198300000000003"/>
    <n v="10129.9"/>
    <n v="0"/>
    <n v="0"/>
    <n v="101"/>
    <s v="_x0000_US"/>
  </r>
  <r>
    <x v="0"/>
    <n v="13.6881"/>
    <n v="-89.205299999999994"/>
    <n v="10129.9"/>
    <n v="0"/>
    <n v="0"/>
    <n v="101"/>
    <s v="_x0000_US"/>
  </r>
  <r>
    <x v="0"/>
    <n v="13.689500000000001"/>
    <n v="-89.208100000000002"/>
    <n v="10130"/>
    <n v="0"/>
    <n v="0"/>
    <n v="101"/>
    <s v="_x0000_US"/>
  </r>
  <r>
    <x v="0"/>
    <n v="13.686299999999999"/>
    <n v="-89.213399999999993"/>
    <n v="10130.9"/>
    <n v="0"/>
    <n v="0"/>
    <n v="101"/>
    <s v="_x0000_US"/>
  </r>
  <r>
    <x v="0"/>
    <n v="13.6921"/>
    <n v="-89.226900000000001"/>
    <n v="10131.1"/>
    <n v="0"/>
    <n v="0"/>
    <n v="101"/>
    <s v="_x0000_US"/>
  </r>
  <r>
    <x v="0"/>
    <n v="13.690899999999999"/>
    <n v="-89.194400000000002"/>
    <n v="10131.9"/>
    <n v="0"/>
    <n v="0"/>
    <n v="101"/>
    <s v="_x0000_US"/>
  </r>
  <r>
    <x v="0"/>
    <n v="13.693300000000001"/>
    <n v="-89.178299999999993"/>
    <n v="10132.5"/>
    <n v="0"/>
    <n v="0"/>
    <n v="101"/>
    <s v="_x0000_US"/>
  </r>
  <r>
    <x v="0"/>
    <n v="13.696999999999999"/>
    <n v="-89.171400000000006"/>
    <n v="10132.6"/>
    <n v="0"/>
    <n v="0"/>
    <n v="101"/>
    <s v="_x0000_US"/>
  </r>
  <r>
    <x v="0"/>
    <n v="13.691599999999999"/>
    <n v="-89.227199999999996"/>
    <n v="10133.5"/>
    <n v="0"/>
    <n v="0"/>
    <n v="101"/>
    <s v="_x0000_US"/>
  </r>
  <r>
    <x v="0"/>
    <n v="13.693199999999999"/>
    <n v="-89.190299999999993"/>
    <n v="10134"/>
    <n v="0"/>
    <n v="0"/>
    <n v="101"/>
    <s v="_x0000_US"/>
  </r>
  <r>
    <x v="0"/>
    <n v="13.677300000000001"/>
    <n v="-89.247399999999999"/>
    <n v="10134"/>
    <n v="0"/>
    <n v="0"/>
    <n v="101"/>
    <s v="_x0000_US"/>
  </r>
  <r>
    <x v="0"/>
    <n v="13.6752"/>
    <n v="-89.250200000000007"/>
    <n v="10134.1"/>
    <n v="0"/>
    <n v="0"/>
    <n v="101"/>
    <s v="_x0000_US"/>
  </r>
  <r>
    <x v="0"/>
    <n v="13.687799999999999"/>
    <n v="-89.215299999999999"/>
    <n v="10134.4"/>
    <n v="0"/>
    <n v="0"/>
    <n v="101"/>
    <s v="_x0000_US"/>
  </r>
  <r>
    <x v="0"/>
    <n v="13.6907"/>
    <n v="-89.234200000000001"/>
    <n v="10134.5"/>
    <n v="0"/>
    <n v="0"/>
    <n v="101"/>
    <s v="_x0000_US"/>
  </r>
  <r>
    <x v="0"/>
    <n v="13.6898"/>
    <n v="-89.189700000000002"/>
    <n v="10134.6"/>
    <n v="0"/>
    <n v="0"/>
    <n v="101"/>
    <s v="_x0000_US"/>
  </r>
  <r>
    <x v="0"/>
    <n v="13.696099999999999"/>
    <n v="-89.172399999999996"/>
    <n v="10134.9"/>
    <n v="0"/>
    <n v="0"/>
    <n v="101"/>
    <s v="_x0000_US"/>
  </r>
  <r>
    <x v="0"/>
    <n v="13.6911"/>
    <n v="-89.188699999999997"/>
    <n v="10135"/>
    <n v="0"/>
    <n v="0"/>
    <n v="101"/>
    <s v="_x0000_US"/>
  </r>
  <r>
    <x v="0"/>
    <n v="13.6875"/>
    <n v="-89.182900000000004"/>
    <n v="10135.1"/>
    <n v="0"/>
    <n v="0"/>
    <n v="101"/>
    <s v="_x0000_US"/>
  </r>
  <r>
    <x v="0"/>
    <n v="13.687200000000001"/>
    <n v="-89.194800000000001"/>
    <n v="10135.1"/>
    <n v="0"/>
    <n v="0"/>
    <n v="101"/>
    <s v="_x0000_US"/>
  </r>
  <r>
    <x v="0"/>
    <n v="13.6866"/>
    <n v="-89.215999999999994"/>
    <n v="10135.1"/>
    <n v="0"/>
    <n v="0"/>
    <n v="101"/>
    <s v="_x0000_US"/>
  </r>
  <r>
    <x v="0"/>
    <n v="13.689399999999999"/>
    <n v="-89.205100000000002"/>
    <n v="10135.700000000001"/>
    <n v="0"/>
    <n v="0"/>
    <n v="101"/>
    <s v="_x0000_US"/>
  </r>
  <r>
    <x v="0"/>
    <n v="13.6874"/>
    <n v="-89.197699999999998"/>
    <n v="10137.299999999999"/>
    <n v="0"/>
    <n v="0"/>
    <n v="101"/>
    <s v="_x0000_US"/>
  </r>
  <r>
    <x v="0"/>
    <n v="13.686999999999999"/>
    <n v="-89.196600000000004"/>
    <n v="10137.799999999999"/>
    <n v="0"/>
    <n v="0"/>
    <n v="101"/>
    <s v="_x0000_US"/>
  </r>
  <r>
    <x v="0"/>
    <n v="13.691599999999999"/>
    <n v="-89.234999999999999"/>
    <n v="10138.1"/>
    <n v="0"/>
    <n v="0"/>
    <n v="101"/>
    <s v="_x0000_US"/>
  </r>
  <r>
    <x v="0"/>
    <n v="13.6896"/>
    <n v="-89.235399999999998"/>
    <n v="10138.4"/>
    <n v="0"/>
    <n v="0"/>
    <n v="101"/>
    <s v="_x0000_US"/>
  </r>
  <r>
    <x v="0"/>
    <n v="13.692299999999999"/>
    <n v="-89.225999999999999"/>
    <n v="10138.799999999999"/>
    <n v="0"/>
    <n v="0"/>
    <n v="101"/>
    <s v="_x0000_US"/>
  </r>
  <r>
    <x v="0"/>
    <n v="13.6905"/>
    <n v="-89.177499999999995"/>
    <n v="10138.9"/>
    <n v="0"/>
    <n v="0"/>
    <n v="101"/>
    <s v="_x0000_US"/>
  </r>
  <r>
    <x v="0"/>
    <n v="13.696999999999999"/>
    <n v="-89.171800000000005"/>
    <n v="10138.9"/>
    <n v="0"/>
    <n v="0"/>
    <n v="101"/>
    <s v="_x0000_US"/>
  </r>
  <r>
    <x v="0"/>
    <n v="13.695499999999999"/>
    <n v="-89.166700000000006"/>
    <n v="10139.1"/>
    <n v="0"/>
    <n v="0"/>
    <n v="101"/>
    <s v="_x0000_US"/>
  </r>
  <r>
    <x v="0"/>
    <n v="13.6905"/>
    <n v="-89.193299999999994"/>
    <n v="10139.200000000001"/>
    <n v="0"/>
    <n v="0"/>
    <n v="101"/>
    <s v="_x0000_US"/>
  </r>
  <r>
    <x v="0"/>
    <n v="13.690899999999999"/>
    <n v="-89.187299999999993"/>
    <n v="10139.5"/>
    <n v="0"/>
    <n v="0"/>
    <n v="101"/>
    <s v="_x0000_US"/>
  </r>
  <r>
    <x v="0"/>
    <n v="13.6919"/>
    <n v="-89.224599999999995"/>
    <n v="10139.9"/>
    <n v="0"/>
    <n v="0"/>
    <n v="101"/>
    <s v="_x0000_US"/>
  </r>
  <r>
    <x v="0"/>
    <n v="13.687200000000001"/>
    <n v="-89.197800000000001"/>
    <n v="10140.1"/>
    <n v="0"/>
    <n v="0"/>
    <n v="101"/>
    <s v="_x0000_US"/>
  </r>
  <r>
    <x v="0"/>
    <n v="13.6859"/>
    <n v="-89.203299999999999"/>
    <n v="10140.299999999999"/>
    <n v="0"/>
    <n v="0"/>
    <n v="101"/>
    <s v="_x0000_US"/>
  </r>
  <r>
    <x v="0"/>
    <n v="13.6884"/>
    <n v="-89.229399999999998"/>
    <n v="10140.5"/>
    <n v="0"/>
    <n v="0"/>
    <n v="101"/>
    <s v="_x0000_US"/>
  </r>
  <r>
    <x v="0"/>
    <n v="13.6929"/>
    <n v="-89.183999999999997"/>
    <n v="10140.6"/>
    <n v="0"/>
    <n v="0"/>
    <n v="101"/>
    <s v="_x0000_US"/>
  </r>
  <r>
    <x v="0"/>
    <n v="13.6927"/>
    <n v="-89.1845"/>
    <n v="10141.1"/>
    <n v="0"/>
    <n v="0"/>
    <n v="101"/>
    <s v="_x0000_US"/>
  </r>
  <r>
    <x v="0"/>
    <n v="13.6896"/>
    <n v="-89.235799999999998"/>
    <n v="10141.799999999999"/>
    <n v="0"/>
    <n v="0"/>
    <n v="101"/>
    <s v="_x0000_US"/>
  </r>
  <r>
    <x v="0"/>
    <n v="13.6899"/>
    <n v="-89.235600000000005"/>
    <n v="10141.9"/>
    <n v="0"/>
    <n v="0"/>
    <n v="101"/>
    <s v="_x0000_US"/>
  </r>
  <r>
    <x v="0"/>
    <n v="13.686299999999999"/>
    <n v="-89.211699999999993"/>
    <n v="10142.1"/>
    <n v="0"/>
    <n v="0"/>
    <n v="101"/>
    <s v="_x0000_US"/>
  </r>
  <r>
    <x v="0"/>
    <n v="13.688599999999999"/>
    <n v="-89.229799999999997"/>
    <n v="10142.200000000001"/>
    <n v="0"/>
    <n v="0"/>
    <n v="101"/>
    <s v="_x0000_US"/>
  </r>
  <r>
    <x v="0"/>
    <n v="13.687200000000001"/>
    <n v="-89.196700000000007"/>
    <n v="10143.299999999999"/>
    <n v="0"/>
    <n v="0"/>
    <n v="101"/>
    <s v="_x0000_US"/>
  </r>
  <r>
    <x v="0"/>
    <n v="13.6877"/>
    <n v="-89.215999999999994"/>
    <n v="10143.299999999999"/>
    <n v="0"/>
    <n v="0"/>
    <n v="101"/>
    <s v="_x0000_US"/>
  </r>
  <r>
    <x v="0"/>
    <n v="13.6876"/>
    <n v="-89.194699999999997"/>
    <n v="10143.4"/>
    <n v="0"/>
    <n v="0"/>
    <n v="101"/>
    <s v="_x0000_US"/>
  </r>
  <r>
    <x v="0"/>
    <n v="13.691000000000001"/>
    <n v="-89.234200000000001"/>
    <n v="10143.4"/>
    <n v="0"/>
    <n v="0"/>
    <n v="101"/>
    <s v="_x0000_US"/>
  </r>
  <r>
    <x v="0"/>
    <n v="13.6884"/>
    <n v="-89.182199999999995"/>
    <n v="10143.700000000001"/>
    <n v="0"/>
    <n v="0"/>
    <n v="101"/>
    <s v="_x0000_US"/>
  </r>
  <r>
    <x v="0"/>
    <n v="13.691700000000001"/>
    <n v="-89.185299999999998"/>
    <n v="10143.9"/>
    <n v="0"/>
    <n v="0"/>
    <n v="101"/>
    <s v="_x0000_US"/>
  </r>
  <r>
    <x v="0"/>
    <n v="13.694000000000001"/>
    <n v="-89.1755"/>
    <n v="10144"/>
    <n v="0"/>
    <n v="0"/>
    <n v="101"/>
    <s v="_x0000_US"/>
  </r>
  <r>
    <x v="0"/>
    <n v="13.6843"/>
    <n v="-89.211799999999997"/>
    <n v="10144.4"/>
    <n v="0"/>
    <n v="0"/>
    <n v="101"/>
    <s v="_x0000_US"/>
  </r>
  <r>
    <x v="0"/>
    <n v="13.675000000000001"/>
    <n v="-89.199799999999996"/>
    <n v="10144.700000000001"/>
    <n v="0"/>
    <n v="0"/>
    <n v="101"/>
    <s v="_x0000_US"/>
  </r>
  <r>
    <x v="0"/>
    <n v="13.6915"/>
    <n v="-89.185599999999994"/>
    <n v="10144.799999999999"/>
    <n v="0"/>
    <n v="0"/>
    <n v="101"/>
    <s v="_x0000_US"/>
  </r>
  <r>
    <x v="0"/>
    <n v="13.6868"/>
    <n v="-89.215000000000003"/>
    <n v="10145"/>
    <n v="0"/>
    <n v="0"/>
    <n v="101"/>
    <s v="_x0000_US"/>
  </r>
  <r>
    <x v="0"/>
    <n v="13.691800000000001"/>
    <n v="-89.220799999999997"/>
    <n v="10145.200000000001"/>
    <n v="0"/>
    <n v="0"/>
    <n v="101"/>
    <s v="_x0000_US"/>
  </r>
  <r>
    <x v="0"/>
    <n v="13.691599999999999"/>
    <n v="-89.183899999999994"/>
    <n v="10145.6"/>
    <n v="0"/>
    <n v="0"/>
    <n v="101"/>
    <s v="_x0000_US"/>
  </r>
  <r>
    <x v="0"/>
    <n v="13.688800000000001"/>
    <n v="-89.229699999999994"/>
    <n v="10145.6"/>
    <n v="0"/>
    <n v="0"/>
    <n v="101"/>
    <s v="_x0000_US"/>
  </r>
  <r>
    <x v="0"/>
    <n v="13.690099999999999"/>
    <n v="-89.236000000000004"/>
    <n v="10145.799999999999"/>
    <n v="0"/>
    <n v="0"/>
    <n v="101"/>
    <s v="_x0000_US"/>
  </r>
  <r>
    <x v="0"/>
    <n v="13.6921"/>
    <n v="-89.2239"/>
    <n v="10146"/>
    <n v="0"/>
    <n v="0"/>
    <n v="101"/>
    <s v="_x0000_US"/>
  </r>
  <r>
    <x v="0"/>
    <n v="13.689399999999999"/>
    <n v="-89.235900000000001"/>
    <n v="10146.200000000001"/>
    <n v="0"/>
    <n v="0"/>
    <n v="101"/>
    <s v="_x0000_US"/>
  </r>
  <r>
    <x v="0"/>
    <n v="13.6904"/>
    <n v="-89.186899999999994"/>
    <n v="10146.299999999999"/>
    <n v="0"/>
    <n v="0"/>
    <n v="101"/>
    <s v="_x0000_US"/>
  </r>
  <r>
    <x v="0"/>
    <n v="13.6896"/>
    <n v="-89.193899999999999"/>
    <n v="10146.9"/>
    <n v="0"/>
    <n v="0"/>
    <n v="101"/>
    <s v="_x0000_US"/>
  </r>
  <r>
    <x v="0"/>
    <n v="13.6873"/>
    <n v="-89.196399999999997"/>
    <n v="10146.9"/>
    <n v="0"/>
    <n v="0"/>
    <n v="101"/>
    <s v="_x0000_US"/>
  </r>
  <r>
    <x v="0"/>
    <n v="13.6919"/>
    <n v="-89.178600000000003"/>
    <n v="10147.6"/>
    <n v="0"/>
    <n v="0"/>
    <n v="101"/>
    <s v="_x0000_US"/>
  </r>
  <r>
    <x v="0"/>
    <n v="13.684799999999999"/>
    <n v="-89.211399999999998"/>
    <n v="10147.700000000001"/>
    <n v="0"/>
    <n v="0"/>
    <n v="101"/>
    <s v="_x0000_US"/>
  </r>
  <r>
    <x v="0"/>
    <n v="13.690899999999999"/>
    <n v="-89.194699999999997"/>
    <n v="10148.4"/>
    <n v="0"/>
    <n v="0"/>
    <n v="101"/>
    <s v="_x0000_US"/>
  </r>
  <r>
    <x v="0"/>
    <n v="13.6854"/>
    <n v="-89.210700000000003"/>
    <n v="10148.4"/>
    <n v="0"/>
    <n v="0"/>
    <n v="101"/>
    <s v="_x0000_US"/>
  </r>
  <r>
    <x v="0"/>
    <n v="13.686999999999999"/>
    <n v="-89.212500000000006"/>
    <n v="10148.4"/>
    <n v="0"/>
    <n v="0"/>
    <n v="101"/>
    <s v="_x0000_US"/>
  </r>
  <r>
    <x v="0"/>
    <n v="13.6905"/>
    <n v="-89.234499999999997"/>
    <n v="10148.9"/>
    <n v="0"/>
    <n v="0"/>
    <n v="101"/>
    <s v="_x0000_US"/>
  </r>
  <r>
    <x v="0"/>
    <n v="13.679600000000001"/>
    <n v="-89.194299999999998"/>
    <n v="10149.1"/>
    <n v="0"/>
    <n v="0"/>
    <n v="101"/>
    <s v="_x0000_US"/>
  </r>
  <r>
    <x v="0"/>
    <n v="13.691599999999999"/>
    <n v="-89.221000000000004"/>
    <n v="10149.1"/>
    <n v="0"/>
    <n v="0"/>
    <n v="101"/>
    <s v="_x0000_US"/>
  </r>
  <r>
    <x v="0"/>
    <n v="13.693300000000001"/>
    <n v="-89.178299999999993"/>
    <n v="10150.200000000001"/>
    <n v="0"/>
    <n v="0"/>
    <n v="101"/>
    <s v="_x0000_US"/>
  </r>
  <r>
    <x v="0"/>
    <n v="13.693099999999999"/>
    <n v="-89.176400000000001"/>
    <n v="10150.200000000001"/>
    <n v="0"/>
    <n v="0"/>
    <n v="101"/>
    <s v="_x0000_US"/>
  </r>
  <r>
    <x v="0"/>
    <n v="13.679500000000001"/>
    <n v="-89.196700000000007"/>
    <n v="10150.5"/>
    <n v="0"/>
    <n v="0"/>
    <n v="101"/>
    <s v="_x0000_US"/>
  </r>
  <r>
    <x v="0"/>
    <n v="13.677"/>
    <n v="-89.248400000000004"/>
    <n v="10150.700000000001"/>
    <n v="0"/>
    <n v="0"/>
    <n v="101"/>
    <s v="_x0000_US"/>
  </r>
  <r>
    <x v="0"/>
    <n v="13.6914"/>
    <n v="-89.226299999999995"/>
    <n v="10151.299999999999"/>
    <n v="0"/>
    <n v="0"/>
    <n v="101"/>
    <s v="_x0000_US"/>
  </r>
  <r>
    <x v="0"/>
    <n v="13.686400000000001"/>
    <n v="-89.214799999999997"/>
    <n v="10152.4"/>
    <n v="0"/>
    <n v="0"/>
    <n v="101"/>
    <s v="_x0000_US"/>
  </r>
  <r>
    <x v="0"/>
    <n v="13.692399999999999"/>
    <n v="-89.223600000000005"/>
    <n v="10152.799999999999"/>
    <n v="0"/>
    <n v="0"/>
    <n v="101"/>
    <s v="_x0000_US"/>
  </r>
  <r>
    <x v="0"/>
    <n v="13.6875"/>
    <n v="-89.216499999999996"/>
    <n v="10153"/>
    <n v="0"/>
    <n v="0"/>
    <n v="101"/>
    <s v="_x0000_US"/>
  </r>
  <r>
    <x v="0"/>
    <n v="13.689500000000001"/>
    <n v="-89.229399999999998"/>
    <n v="10153.299999999999"/>
    <n v="0"/>
    <n v="0"/>
    <n v="101"/>
    <s v="_x0000_US"/>
  </r>
  <r>
    <x v="0"/>
    <n v="13.691700000000001"/>
    <n v="-89.186599999999999"/>
    <n v="10153.4"/>
    <n v="0"/>
    <n v="0"/>
    <n v="101"/>
    <s v="_x0000_US"/>
  </r>
  <r>
    <x v="0"/>
    <n v="13.6915"/>
    <n v="-89.185900000000004"/>
    <n v="10153.4"/>
    <n v="0"/>
    <n v="0"/>
    <n v="101"/>
    <s v="_x0000_US"/>
  </r>
  <r>
    <x v="0"/>
    <n v="13.6907"/>
    <n v="-89.235200000000006"/>
    <n v="10153.4"/>
    <n v="0"/>
    <n v="0"/>
    <n v="101"/>
    <s v="_x0000_US"/>
  </r>
  <r>
    <x v="0"/>
    <n v="13.690300000000001"/>
    <n v="-89.186700000000002"/>
    <n v="10153.5"/>
    <n v="0"/>
    <n v="0"/>
    <n v="101"/>
    <s v="_x0000_US"/>
  </r>
  <r>
    <x v="0"/>
    <n v="13.691000000000001"/>
    <n v="-89.190200000000004"/>
    <n v="10154"/>
    <n v="0"/>
    <n v="0"/>
    <n v="101"/>
    <s v="_x0000_US"/>
  </r>
  <r>
    <x v="0"/>
    <n v="13.6919"/>
    <n v="-89.225700000000003"/>
    <n v="10155.200000000001"/>
    <n v="0"/>
    <n v="0"/>
    <n v="101"/>
    <s v="_x0000_US"/>
  </r>
  <r>
    <x v="0"/>
    <n v="13.687200000000001"/>
    <n v="-89.193799999999996"/>
    <n v="10155.5"/>
    <n v="0"/>
    <n v="0"/>
    <n v="101"/>
    <s v="_x0000_US"/>
  </r>
  <r>
    <x v="0"/>
    <n v="13.696300000000001"/>
    <n v="-89.172700000000006"/>
    <n v="10155.5"/>
    <n v="0"/>
    <n v="0"/>
    <n v="101"/>
    <s v="_x0000_US"/>
  </r>
  <r>
    <x v="0"/>
    <n v="13.6904"/>
    <n v="-89.193299999999994"/>
    <n v="10155.6"/>
    <n v="0"/>
    <n v="0"/>
    <n v="101"/>
    <s v="_x0000_US"/>
  </r>
  <r>
    <x v="0"/>
    <n v="13.6921"/>
    <n v="-89.225300000000004"/>
    <n v="10155.6"/>
    <n v="0"/>
    <n v="0"/>
    <n v="101"/>
    <s v="_x0000_US"/>
  </r>
  <r>
    <x v="0"/>
    <n v="13.691800000000001"/>
    <n v="-89.2256"/>
    <n v="10156.1"/>
    <n v="0"/>
    <n v="0"/>
    <n v="101"/>
    <s v="_x0000_US"/>
  </r>
  <r>
    <x v="0"/>
    <n v="13.6858"/>
    <n v="-89.214399999999998"/>
    <n v="10156.1"/>
    <n v="0"/>
    <n v="0"/>
    <n v="101"/>
    <s v="_x0000_US"/>
  </r>
  <r>
    <x v="0"/>
    <n v="13.6936"/>
    <n v="-89.188800000000001"/>
    <n v="10156.5"/>
    <n v="0"/>
    <n v="0"/>
    <n v="101"/>
    <s v="_x0000_US"/>
  </r>
  <r>
    <x v="0"/>
    <n v="13.6922"/>
    <n v="-89.1798"/>
    <n v="10156.5"/>
    <n v="0"/>
    <n v="0"/>
    <n v="101"/>
    <s v="_x0000_US"/>
  </r>
  <r>
    <x v="0"/>
    <n v="13.689299999999999"/>
    <n v="-89.185599999999994"/>
    <n v="10156.9"/>
    <n v="0"/>
    <n v="0"/>
    <n v="101"/>
    <s v="_x0000_US"/>
  </r>
  <r>
    <x v="0"/>
    <n v="13.6927"/>
    <n v="-89.179599999999994"/>
    <n v="10157.1"/>
    <n v="0"/>
    <n v="0"/>
    <n v="101"/>
    <s v="_x0000_US"/>
  </r>
  <r>
    <x v="0"/>
    <n v="13.6912"/>
    <n v="-89.229699999999994"/>
    <n v="10157.200000000001"/>
    <n v="0"/>
    <n v="0"/>
    <n v="101"/>
    <s v="_x0000_US"/>
  </r>
  <r>
    <x v="0"/>
    <n v="13.6957"/>
    <n v="-89.173500000000004"/>
    <n v="10157.6"/>
    <n v="0"/>
    <n v="0"/>
    <n v="101"/>
    <s v="_x0000_US"/>
  </r>
  <r>
    <x v="0"/>
    <n v="13.690200000000001"/>
    <n v="-89.179900000000004"/>
    <n v="10158.200000000001"/>
    <n v="0"/>
    <n v="0"/>
    <n v="101"/>
    <s v="_x0000_US"/>
  </r>
  <r>
    <x v="0"/>
    <n v="13.690200000000001"/>
    <n v="-89.185100000000006"/>
    <n v="10158.299999999999"/>
    <n v="0"/>
    <n v="0"/>
    <n v="101"/>
    <s v="_x0000_US"/>
  </r>
  <r>
    <x v="0"/>
    <n v="13.679399999999999"/>
    <n v="-89.197299999999998"/>
    <n v="10158.4"/>
    <n v="0"/>
    <n v="0"/>
    <n v="101"/>
    <s v="_x0000_US"/>
  </r>
  <r>
    <x v="0"/>
    <n v="13.6907"/>
    <n v="-89.232299999999995"/>
    <n v="10159.200000000001"/>
    <n v="0"/>
    <n v="0"/>
    <n v="101"/>
    <s v="_x0000_US"/>
  </r>
  <r>
    <x v="0"/>
    <n v="13.6881"/>
    <n v="-89.193799999999996"/>
    <n v="10159.4"/>
    <n v="0"/>
    <n v="0"/>
    <n v="101"/>
    <s v="_x0000_US"/>
  </r>
  <r>
    <x v="0"/>
    <n v="13.691700000000001"/>
    <n v="-89.186000000000007"/>
    <n v="10159.4"/>
    <n v="0"/>
    <n v="0"/>
    <n v="101"/>
    <s v="_x0000_US"/>
  </r>
  <r>
    <x v="0"/>
    <n v="13.6914"/>
    <n v="-89.189499999999995"/>
    <n v="10159.6"/>
    <n v="0"/>
    <n v="0"/>
    <n v="101"/>
    <s v="_x0000_US"/>
  </r>
  <r>
    <x v="0"/>
    <n v="13.6797"/>
    <n v="-89.197299999999998"/>
    <n v="10159.799999999999"/>
    <n v="0"/>
    <n v="0"/>
    <n v="101"/>
    <s v="_x0000_US"/>
  </r>
  <r>
    <x v="0"/>
    <n v="13.689399999999999"/>
    <n v="-89.235399999999998"/>
    <n v="10160.200000000001"/>
    <n v="0"/>
    <n v="0"/>
    <n v="101"/>
    <s v="_x0000_US"/>
  </r>
  <r>
    <x v="0"/>
    <n v="13.686999999999999"/>
    <n v="-89.194699999999997"/>
    <n v="10160.5"/>
    <n v="0"/>
    <n v="0"/>
    <n v="101"/>
    <s v="_x0000_US"/>
  </r>
  <r>
    <x v="0"/>
    <n v="13.687099999999999"/>
    <n v="-89.197100000000006"/>
    <n v="10160.700000000001"/>
    <n v="0"/>
    <n v="0"/>
    <n v="101"/>
    <s v="_x0000_US"/>
  </r>
  <r>
    <x v="0"/>
    <n v="13.677199999999999"/>
    <n v="-89.247600000000006"/>
    <n v="10161.5"/>
    <n v="0"/>
    <n v="0"/>
    <n v="101"/>
    <s v="_x0000_US"/>
  </r>
  <r>
    <x v="0"/>
    <n v="13.6915"/>
    <n v="-89.2286"/>
    <n v="10161.5"/>
    <n v="0"/>
    <n v="0"/>
    <n v="101"/>
    <s v="_x0000_US"/>
  </r>
  <r>
    <x v="0"/>
    <n v="13.6915"/>
    <n v="-89.220600000000005"/>
    <n v="10161.5"/>
    <n v="0"/>
    <n v="0"/>
    <n v="101"/>
    <s v="_x0000_US"/>
  </r>
  <r>
    <x v="0"/>
    <n v="13.6957"/>
    <n v="-89.172399999999996"/>
    <n v="10161.6"/>
    <n v="0"/>
    <n v="0"/>
    <n v="101"/>
    <s v="_x0000_US"/>
  </r>
  <r>
    <x v="0"/>
    <n v="13.690099999999999"/>
    <n v="-89.186899999999994"/>
    <n v="10161.700000000001"/>
    <n v="0"/>
    <n v="0"/>
    <n v="101"/>
    <s v="_x0000_US"/>
  </r>
  <r>
    <x v="0"/>
    <n v="13.687099999999999"/>
    <n v="-89.205200000000005"/>
    <n v="10161.700000000001"/>
    <n v="0"/>
    <n v="0"/>
    <n v="101"/>
    <s v="_x0000_US"/>
  </r>
  <r>
    <x v="0"/>
    <n v="13.692"/>
    <n v="-89.221900000000005"/>
    <n v="10161.700000000001"/>
    <n v="0"/>
    <n v="0"/>
    <n v="101"/>
    <s v="_x0000_US"/>
  </r>
  <r>
    <x v="0"/>
    <n v="13.6875"/>
    <n v="-89.196799999999996"/>
    <n v="10161.9"/>
    <n v="0"/>
    <n v="0"/>
    <n v="101"/>
    <s v="_x0000_US"/>
  </r>
  <r>
    <x v="0"/>
    <n v="13.691800000000001"/>
    <n v="-89.196100000000001"/>
    <n v="10162"/>
    <n v="0"/>
    <n v="0"/>
    <n v="101"/>
    <s v="_x0000_US"/>
  </r>
  <r>
    <x v="0"/>
    <n v="13.6896"/>
    <n v="-89.178899999999999"/>
    <n v="10162.700000000001"/>
    <n v="0"/>
    <n v="0"/>
    <n v="101"/>
    <s v="_x0000_US"/>
  </r>
  <r>
    <x v="0"/>
    <n v="13.6861"/>
    <n v="-89.213999999999999"/>
    <n v="10162.799999999999"/>
    <n v="0"/>
    <n v="0"/>
    <n v="101"/>
    <s v="_x0000_US"/>
  </r>
  <r>
    <x v="0"/>
    <n v="13.691000000000001"/>
    <n v="-89.227500000000006"/>
    <n v="10163.299999999999"/>
    <n v="0"/>
    <n v="0"/>
    <n v="101"/>
    <s v="_x0000_US"/>
  </r>
  <r>
    <x v="0"/>
    <n v="13.6891"/>
    <n v="-89.190299999999993"/>
    <n v="10163.4"/>
    <n v="0"/>
    <n v="0"/>
    <n v="101"/>
    <s v="_x0000_US"/>
  </r>
  <r>
    <x v="0"/>
    <n v="13.6907"/>
    <n v="-89.227500000000006"/>
    <n v="10163.4"/>
    <n v="0"/>
    <n v="0"/>
    <n v="101"/>
    <s v="_x0000_US"/>
  </r>
  <r>
    <x v="0"/>
    <n v="13.685600000000001"/>
    <n v="-89.212199999999996"/>
    <n v="10164"/>
    <n v="0"/>
    <n v="0"/>
    <n v="101"/>
    <s v="_x0000_US"/>
  </r>
  <r>
    <x v="0"/>
    <n v="13.692"/>
    <n v="-89.194299999999998"/>
    <n v="10164.200000000001"/>
    <n v="0"/>
    <n v="0"/>
    <n v="101"/>
    <s v="_x0000_US"/>
  </r>
  <r>
    <x v="0"/>
    <n v="13.687099999999999"/>
    <n v="-89.211200000000005"/>
    <n v="10164.700000000001"/>
    <n v="0"/>
    <n v="0"/>
    <n v="101"/>
    <s v="_x0000_US"/>
  </r>
  <r>
    <x v="0"/>
    <n v="13.6928"/>
    <n v="-89.189800000000005"/>
    <n v="10164.9"/>
    <n v="0"/>
    <n v="0"/>
    <n v="101"/>
    <s v="_x0000_US"/>
  </r>
  <r>
    <x v="0"/>
    <n v="13.691700000000001"/>
    <n v="-89.225899999999996"/>
    <n v="10165.1"/>
    <n v="0"/>
    <n v="0"/>
    <n v="101"/>
    <s v="_x0000_US"/>
  </r>
  <r>
    <x v="0"/>
    <n v="13.688800000000001"/>
    <n v="-89.198300000000003"/>
    <n v="10165.200000000001"/>
    <n v="0"/>
    <n v="0"/>
    <n v="101"/>
    <s v="_x0000_US"/>
  </r>
  <r>
    <x v="0"/>
    <n v="13.692299999999999"/>
    <n v="-89.186499999999995"/>
    <n v="10165.5"/>
    <n v="0"/>
    <n v="0"/>
    <n v="101"/>
    <s v="_x0000_US"/>
  </r>
  <r>
    <x v="0"/>
    <n v="13.6914"/>
    <n v="-89.228300000000004"/>
    <n v="10165.5"/>
    <n v="0"/>
    <n v="0"/>
    <n v="101"/>
    <s v="_x0000_US"/>
  </r>
  <r>
    <x v="0"/>
    <n v="13.684799999999999"/>
    <n v="-89.215299999999999"/>
    <n v="10165.6"/>
    <n v="0"/>
    <n v="0"/>
    <n v="101"/>
    <s v="_x0000_US"/>
  </r>
  <r>
    <x v="0"/>
    <n v="13.6913"/>
    <n v="-89.178799999999995"/>
    <n v="10165.9"/>
    <n v="0"/>
    <n v="0"/>
    <n v="101"/>
    <s v="_x0000_US"/>
  </r>
  <r>
    <x v="0"/>
    <n v="13.6919"/>
    <n v="-89.225200000000001"/>
    <n v="10165.9"/>
    <n v="0"/>
    <n v="0"/>
    <n v="101"/>
    <s v="_x0000_US"/>
  </r>
  <r>
    <x v="0"/>
    <n v="13.6869"/>
    <n v="-89.183300000000003"/>
    <n v="10166.200000000001"/>
    <n v="0"/>
    <n v="0"/>
    <n v="101"/>
    <s v="_x0000_US"/>
  </r>
  <r>
    <x v="0"/>
    <n v="13.6873"/>
    <n v="-89.194900000000004"/>
    <n v="10167.700000000001"/>
    <n v="0"/>
    <n v="0"/>
    <n v="101"/>
    <s v="_x0000_US"/>
  </r>
  <r>
    <x v="0"/>
    <n v="13.694000000000001"/>
    <n v="-89.173199999999994"/>
    <n v="10167.700000000001"/>
    <n v="0"/>
    <n v="0"/>
    <n v="101"/>
    <s v="_x0000_US"/>
  </r>
  <r>
    <x v="0"/>
    <n v="13.690799999999999"/>
    <n v="-89.1905"/>
    <n v="10167.799999999999"/>
    <n v="0"/>
    <n v="0"/>
    <n v="101"/>
    <s v="_x0000_US"/>
  </r>
  <r>
    <x v="0"/>
    <n v="13.6919"/>
    <n v="-89.1815"/>
    <n v="10167.799999999999"/>
    <n v="0"/>
    <n v="0"/>
    <n v="101"/>
    <s v="_x0000_US"/>
  </r>
  <r>
    <x v="0"/>
    <n v="13.6873"/>
    <n v="-89.194900000000004"/>
    <n v="10168.1"/>
    <n v="0"/>
    <n v="0"/>
    <n v="101"/>
    <s v="_x0000_US"/>
  </r>
  <r>
    <x v="0"/>
    <n v="13.6905"/>
    <n v="-89.234999999999999"/>
    <n v="10168.200000000001"/>
    <n v="0"/>
    <n v="0"/>
    <n v="101"/>
    <s v="_x0000_US"/>
  </r>
  <r>
    <x v="0"/>
    <n v="13.6914"/>
    <n v="-89.197000000000003"/>
    <n v="10168.299999999999"/>
    <n v="0"/>
    <n v="0"/>
    <n v="101"/>
    <s v="_x0000_US"/>
  </r>
  <r>
    <x v="0"/>
    <n v="13.6899"/>
    <n v="-89.217399999999998"/>
    <n v="10168.5"/>
    <n v="0"/>
    <n v="0"/>
    <n v="101"/>
    <s v="_x0000_US"/>
  </r>
  <r>
    <x v="0"/>
    <n v="13.689500000000001"/>
    <n v="-89.197400000000002"/>
    <n v="10168.6"/>
    <n v="0"/>
    <n v="0"/>
    <n v="101"/>
    <s v="_x0000_US"/>
  </r>
  <r>
    <x v="0"/>
    <n v="13.6866"/>
    <n v="-89.2119"/>
    <n v="10168.9"/>
    <n v="0"/>
    <n v="0"/>
    <n v="101"/>
    <s v="_x0000_US"/>
  </r>
  <r>
    <x v="0"/>
    <n v="13.6899"/>
    <n v="-89.183999999999997"/>
    <n v="10169.1"/>
    <n v="0"/>
    <n v="0"/>
    <n v="101"/>
    <s v="_x0000_US"/>
  </r>
  <r>
    <x v="0"/>
    <n v="13.692600000000001"/>
    <n v="-89.184100000000001"/>
    <n v="10169.5"/>
    <n v="0"/>
    <n v="0"/>
    <n v="101"/>
    <s v="_x0000_US"/>
  </r>
  <r>
    <x v="0"/>
    <n v="13.691000000000001"/>
    <n v="-89.186099999999996"/>
    <n v="10170.1"/>
    <n v="0"/>
    <n v="0"/>
    <n v="101"/>
    <s v="_x0000_US"/>
  </r>
  <r>
    <x v="0"/>
    <n v="13.6953"/>
    <n v="-89.174599999999998"/>
    <n v="10170.799999999999"/>
    <n v="0"/>
    <n v="0"/>
    <n v="101"/>
    <s v="_x0000_US"/>
  </r>
  <r>
    <x v="0"/>
    <n v="13.6874"/>
    <n v="-89.182500000000005"/>
    <n v="10171.1"/>
    <n v="0"/>
    <n v="0"/>
    <n v="101"/>
    <s v="_x0000_US"/>
  </r>
  <r>
    <x v="0"/>
    <n v="13.6884"/>
    <n v="-89.1905"/>
    <n v="10171.6"/>
    <n v="0"/>
    <n v="0"/>
    <n v="101"/>
    <s v="_x0000_US"/>
  </r>
  <r>
    <x v="0"/>
    <n v="13.673999999999999"/>
    <n v="-89.2029"/>
    <n v="10171.6"/>
    <n v="0"/>
    <n v="0"/>
    <n v="101"/>
    <s v="_x0000_US"/>
  </r>
  <r>
    <x v="0"/>
    <n v="13.687799999999999"/>
    <n v="-89.194500000000005"/>
    <n v="10171.799999999999"/>
    <n v="0"/>
    <n v="0"/>
    <n v="101"/>
    <s v="_x0000_US"/>
  </r>
  <r>
    <x v="0"/>
    <n v="13.685"/>
    <n v="-89.216200000000001"/>
    <n v="10171.9"/>
    <n v="0"/>
    <n v="0"/>
    <n v="101"/>
    <s v="_x0000_US"/>
  </r>
  <r>
    <x v="0"/>
    <n v="13.6906"/>
    <n v="-89.234300000000005"/>
    <n v="10172.299999999999"/>
    <n v="0"/>
    <n v="0"/>
    <n v="101"/>
    <s v="_x0000_US"/>
  </r>
  <r>
    <x v="0"/>
    <n v="13.6911"/>
    <n v="-89.179100000000005"/>
    <n v="10172.5"/>
    <n v="0"/>
    <n v="0"/>
    <n v="101"/>
    <s v="_x0000_US"/>
  </r>
  <r>
    <x v="0"/>
    <n v="13.691000000000001"/>
    <n v="-89.181200000000004"/>
    <n v="10172.9"/>
    <n v="0"/>
    <n v="0"/>
    <n v="101"/>
    <s v="_x0000_US"/>
  </r>
  <r>
    <x v="0"/>
    <n v="13.690799999999999"/>
    <n v="-89.235600000000005"/>
    <n v="10172.9"/>
    <n v="0"/>
    <n v="0"/>
    <n v="101"/>
    <s v="_x0000_US"/>
  </r>
  <r>
    <x v="0"/>
    <n v="13.6877"/>
    <n v="-89.1798"/>
    <n v="10173.4"/>
    <n v="0"/>
    <n v="0"/>
    <n v="101"/>
    <s v="_x0000_US"/>
  </r>
  <r>
    <x v="0"/>
    <n v="13.6897"/>
    <n v="-89.193899999999999"/>
    <n v="10173.6"/>
    <n v="0"/>
    <n v="0"/>
    <n v="101"/>
    <s v="_x0000_US"/>
  </r>
  <r>
    <x v="0"/>
    <n v="13.688000000000001"/>
    <n v="-89.215999999999994"/>
    <n v="10173.700000000001"/>
    <n v="0"/>
    <n v="0"/>
    <n v="101"/>
    <s v="_x0000_US"/>
  </r>
  <r>
    <x v="0"/>
    <n v="13.6935"/>
    <n v="-89.177000000000007"/>
    <n v="10173.799999999999"/>
    <n v="0"/>
    <n v="0"/>
    <n v="101"/>
    <s v="_x0000_US"/>
  </r>
  <r>
    <x v="0"/>
    <n v="13.691800000000001"/>
    <n v="-89.179699999999997"/>
    <n v="10174.1"/>
    <n v="0"/>
    <n v="0"/>
    <n v="101"/>
    <s v="_x0000_US"/>
  </r>
  <r>
    <x v="0"/>
    <n v="13.6958"/>
    <n v="-89.173199999999994"/>
    <n v="10174.6"/>
    <n v="0"/>
    <n v="0"/>
    <n v="101"/>
    <s v="_x0000_US"/>
  </r>
  <r>
    <x v="0"/>
    <n v="13.6922"/>
    <n v="-89.178700000000006"/>
    <n v="10174.799999999999"/>
    <n v="0"/>
    <n v="0"/>
    <n v="101"/>
    <s v="_x0000_US"/>
  </r>
  <r>
    <x v="0"/>
    <n v="13.6721"/>
    <n v="-89.205200000000005"/>
    <n v="10175.200000000001"/>
    <n v="0"/>
    <n v="0"/>
    <n v="101"/>
    <s v="_x0000_US"/>
  </r>
  <r>
    <x v="0"/>
    <n v="13.6913"/>
    <n v="-89.226799999999997"/>
    <n v="10175.5"/>
    <n v="0"/>
    <n v="0"/>
    <n v="101"/>
    <s v="_x0000_US"/>
  </r>
  <r>
    <x v="0"/>
    <n v="13.687200000000001"/>
    <n v="-89.194500000000005"/>
    <n v="10175.700000000001"/>
    <n v="0"/>
    <n v="0"/>
    <n v="101"/>
    <s v="_x0000_US"/>
  </r>
  <r>
    <x v="0"/>
    <n v="13.686500000000001"/>
    <n v="-89.211699999999993"/>
    <n v="10175.700000000001"/>
    <n v="0"/>
    <n v="0"/>
    <n v="101"/>
    <s v="_x0000_US"/>
  </r>
  <r>
    <x v="0"/>
    <n v="13.6904"/>
    <n v="-89.235100000000003"/>
    <n v="10176.799999999999"/>
    <n v="0"/>
    <n v="0"/>
    <n v="101"/>
    <s v="_x0000_US"/>
  </r>
  <r>
    <x v="0"/>
    <n v="13.6904"/>
    <n v="-89.186099999999996"/>
    <n v="10177"/>
    <n v="0"/>
    <n v="0"/>
    <n v="101"/>
    <s v="_x0000_US"/>
  </r>
  <r>
    <x v="0"/>
    <n v="13.6875"/>
    <n v="-89.215299999999999"/>
    <n v="10177.1"/>
    <n v="0"/>
    <n v="0"/>
    <n v="101"/>
    <s v="_x0000_US"/>
  </r>
  <r>
    <x v="0"/>
    <n v="13.691700000000001"/>
    <n v="-89.185400000000001"/>
    <n v="10178.1"/>
    <n v="0"/>
    <n v="0"/>
    <n v="101"/>
    <s v="_x0000_US"/>
  </r>
  <r>
    <x v="0"/>
    <n v="13.695399999999999"/>
    <n v="-89.173100000000005"/>
    <n v="10178.5"/>
    <n v="0"/>
    <n v="0"/>
    <n v="101"/>
    <s v="_x0000_US"/>
  </r>
  <r>
    <x v="0"/>
    <n v="13.6897"/>
    <n v="-89.193600000000004"/>
    <n v="10178.9"/>
    <n v="0"/>
    <n v="0"/>
    <n v="101"/>
    <s v="_x0000_US"/>
  </r>
  <r>
    <x v="0"/>
    <n v="13.6937"/>
    <n v="-89.176299999999998"/>
    <n v="10179"/>
    <n v="0"/>
    <n v="0"/>
    <n v="101"/>
    <s v="_x0000_US"/>
  </r>
  <r>
    <x v="0"/>
    <n v="13.690899999999999"/>
    <n v="-89.187600000000003"/>
    <n v="10179.1"/>
    <n v="0"/>
    <n v="0"/>
    <n v="101"/>
    <s v="_x0000_US"/>
  </r>
  <r>
    <x v="0"/>
    <n v="13.691599999999999"/>
    <n v="-89.226299999999995"/>
    <n v="10179.1"/>
    <n v="0"/>
    <n v="0"/>
    <n v="101"/>
    <s v="_x0000_US"/>
  </r>
  <r>
    <x v="0"/>
    <n v="13.6905"/>
    <n v="-89.235799999999998"/>
    <n v="10179.200000000001"/>
    <n v="0"/>
    <n v="0"/>
    <n v="101"/>
    <s v="_x0000_US"/>
  </r>
  <r>
    <x v="0"/>
    <n v="13.686999999999999"/>
    <n v="-89.197400000000002"/>
    <n v="10179.6"/>
    <n v="0"/>
    <n v="0"/>
    <n v="101"/>
    <s v="_x0000_US"/>
  </r>
  <r>
    <x v="0"/>
    <n v="13.6881"/>
    <n v="-89.182100000000005"/>
    <n v="10179.799999999999"/>
    <n v="0"/>
    <n v="0"/>
    <n v="101"/>
    <s v="_x0000_US"/>
  </r>
  <r>
    <x v="0"/>
    <n v="13.6919"/>
    <n v="-89.221699999999998"/>
    <n v="10180"/>
    <n v="0"/>
    <n v="0"/>
    <n v="101"/>
    <s v="_x0000_US"/>
  </r>
  <r>
    <x v="0"/>
    <n v="13.6892"/>
    <n v="-89.190399999999997"/>
    <n v="10180.1"/>
    <n v="0"/>
    <n v="0"/>
    <n v="101"/>
    <s v="_x0000_US"/>
  </r>
  <r>
    <x v="0"/>
    <n v="13.6907"/>
    <n v="-89.235500000000002"/>
    <n v="10180.799999999999"/>
    <n v="0"/>
    <n v="0"/>
    <n v="101"/>
    <s v="_x0000_US"/>
  </r>
  <r>
    <x v="0"/>
    <n v="13.6937"/>
    <n v="-89.173599999999993"/>
    <n v="10180.9"/>
    <n v="0"/>
    <n v="0"/>
    <n v="101"/>
    <s v="_x0000_US"/>
  </r>
  <r>
    <x v="0"/>
    <n v="13.679399999999999"/>
    <n v="-89.194000000000003"/>
    <n v="10181.200000000001"/>
    <n v="0"/>
    <n v="0"/>
    <n v="101"/>
    <s v="_x0000_US"/>
  </r>
  <r>
    <x v="0"/>
    <n v="13.687099999999999"/>
    <n v="-89.183499999999995"/>
    <n v="10182.9"/>
    <n v="0"/>
    <n v="0"/>
    <n v="101"/>
    <s v="_x0000_US"/>
  </r>
  <r>
    <x v="0"/>
    <n v="13.688700000000001"/>
    <n v="-89.198400000000007"/>
    <n v="10182.9"/>
    <n v="0"/>
    <n v="0"/>
    <n v="101"/>
    <s v="_x0000_US"/>
  </r>
  <r>
    <x v="0"/>
    <n v="13.6882"/>
    <n v="-89.182599999999994"/>
    <n v="10183.1"/>
    <n v="0"/>
    <n v="0"/>
    <n v="101"/>
    <s v="_x0000_US"/>
  </r>
  <r>
    <x v="0"/>
    <n v="13.690799999999999"/>
    <n v="-89.194599999999994"/>
    <n v="10183.1"/>
    <n v="0"/>
    <n v="0"/>
    <n v="101"/>
    <s v="_x0000_US"/>
  </r>
  <r>
    <x v="0"/>
    <n v="13.6952"/>
    <n v="-89.173699999999997"/>
    <n v="10183.200000000001"/>
    <n v="0"/>
    <n v="0"/>
    <n v="101"/>
    <s v="_x0000_US"/>
  </r>
  <r>
    <x v="0"/>
    <n v="13.69"/>
    <n v="-89.189700000000002"/>
    <n v="10183.299999999999"/>
    <n v="0"/>
    <n v="0"/>
    <n v="101"/>
    <s v="_x0000_US"/>
  </r>
  <r>
    <x v="0"/>
    <n v="13.6915"/>
    <n v="-89.189499999999995"/>
    <n v="10183.5"/>
    <n v="0"/>
    <n v="0"/>
    <n v="101"/>
    <s v="_x0000_US"/>
  </r>
  <r>
    <x v="0"/>
    <n v="13.6751"/>
    <n v="-89.251999999999995"/>
    <n v="10183.5"/>
    <n v="0"/>
    <n v="0"/>
    <n v="101"/>
    <s v="_x0000_US"/>
  </r>
  <r>
    <x v="0"/>
    <n v="13.6897"/>
    <n v="-89.228700000000003"/>
    <n v="10183.6"/>
    <n v="0"/>
    <n v="0"/>
    <n v="101"/>
    <s v="_x0000_US"/>
  </r>
  <r>
    <x v="0"/>
    <n v="13.692"/>
    <n v="-89.187600000000003"/>
    <n v="10183.700000000001"/>
    <n v="0"/>
    <n v="0"/>
    <n v="101"/>
    <s v="_x0000_US"/>
  </r>
  <r>
    <x v="0"/>
    <n v="13.6906"/>
    <n v="-89.2346"/>
    <n v="10184.299999999999"/>
    <n v="0"/>
    <n v="0"/>
    <n v="101"/>
    <s v="_x0000_US"/>
  </r>
  <r>
    <x v="0"/>
    <n v="13.6858"/>
    <n v="-89.215500000000006"/>
    <n v="10184.799999999999"/>
    <n v="0"/>
    <n v="0"/>
    <n v="101"/>
    <s v="_x0000_US"/>
  </r>
  <r>
    <x v="0"/>
    <n v="13.688599999999999"/>
    <n v="-89.198400000000007"/>
    <n v="10184.9"/>
    <n v="0"/>
    <n v="0"/>
    <n v="101"/>
    <s v="_x0000_US"/>
  </r>
  <r>
    <x v="0"/>
    <n v="13.690099999999999"/>
    <n v="-89.179299999999998"/>
    <n v="10185.1"/>
    <n v="0"/>
    <n v="0"/>
    <n v="101"/>
    <s v="_x0000_US"/>
  </r>
  <r>
    <x v="0"/>
    <n v="13.6913"/>
    <n v="-89.229200000000006"/>
    <n v="10185.1"/>
    <n v="0"/>
    <n v="0"/>
    <n v="101"/>
    <s v="_x0000_US"/>
  </r>
  <r>
    <x v="0"/>
    <n v="13.6919"/>
    <n v="-89.224100000000007"/>
    <n v="10185.4"/>
    <n v="0"/>
    <n v="0"/>
    <n v="101"/>
    <s v="_x0000_US"/>
  </r>
  <r>
    <x v="0"/>
    <n v="13.6913"/>
    <n v="-89.179299999999998"/>
    <n v="10185.700000000001"/>
    <n v="0"/>
    <n v="0"/>
    <n v="101"/>
    <s v="_x0000_US"/>
  </r>
  <r>
    <x v="0"/>
    <n v="13.6912"/>
    <n v="-89.178700000000006"/>
    <n v="10185.700000000001"/>
    <n v="0"/>
    <n v="0"/>
    <n v="101"/>
    <s v="_x0000_US"/>
  </r>
  <r>
    <x v="0"/>
    <n v="13.6911"/>
    <n v="-89.219800000000006"/>
    <n v="10185.799999999999"/>
    <n v="0"/>
    <n v="0"/>
    <n v="101"/>
    <s v="_x0000_US"/>
  </r>
  <r>
    <x v="0"/>
    <n v="13.6906"/>
    <n v="-89.231899999999996"/>
    <n v="10185.9"/>
    <n v="0"/>
    <n v="0"/>
    <n v="101"/>
    <s v="_x0000_US"/>
  </r>
  <r>
    <x v="0"/>
    <n v="13.6891"/>
    <n v="-89.203100000000006"/>
    <n v="10186.700000000001"/>
    <n v="0"/>
    <n v="0"/>
    <n v="101"/>
    <s v="_x0000_US"/>
  </r>
  <r>
    <x v="0"/>
    <n v="13.6913"/>
    <n v="-89.2346"/>
    <n v="10186.700000000001"/>
    <n v="0"/>
    <n v="0"/>
    <n v="101"/>
    <s v="_x0000_US"/>
  </r>
  <r>
    <x v="0"/>
    <n v="13.6875"/>
    <n v="-89.196700000000007"/>
    <n v="10186.9"/>
    <n v="0"/>
    <n v="0"/>
    <n v="101"/>
    <s v="_x0000_US"/>
  </r>
  <r>
    <x v="0"/>
    <n v="13.686999999999999"/>
    <n v="-89.1828"/>
    <n v="10188"/>
    <n v="0"/>
    <n v="0"/>
    <n v="101"/>
    <s v="_x0000_US"/>
  </r>
  <r>
    <x v="0"/>
    <n v="13.693199999999999"/>
    <n v="-89.177599999999998"/>
    <n v="10188"/>
    <n v="0"/>
    <n v="0"/>
    <n v="101"/>
    <s v="_x0000_US"/>
  </r>
  <r>
    <x v="0"/>
    <n v="13.674200000000001"/>
    <n v="-89.199200000000005"/>
    <n v="10188.5"/>
    <n v="0"/>
    <n v="0"/>
    <n v="101"/>
    <s v="_x0000_US"/>
  </r>
  <r>
    <x v="0"/>
    <n v="13.6754"/>
    <n v="-89.249899999999997"/>
    <n v="10189.1"/>
    <n v="0"/>
    <n v="0"/>
    <n v="101"/>
    <s v="_x0000_US"/>
  </r>
  <r>
    <x v="0"/>
    <n v="13.692600000000001"/>
    <n v="-89.224400000000003"/>
    <n v="10189.6"/>
    <n v="0"/>
    <n v="0"/>
    <n v="101"/>
    <s v="_x0000_US"/>
  </r>
  <r>
    <x v="0"/>
    <n v="13.6851"/>
    <n v="-89.213499999999996"/>
    <n v="10190.200000000001"/>
    <n v="0"/>
    <n v="0"/>
    <n v="101"/>
    <s v="_x0000_US"/>
  </r>
  <r>
    <x v="0"/>
    <n v="13.687099999999999"/>
    <n v="-89.181100000000001"/>
    <n v="10190.5"/>
    <n v="0"/>
    <n v="0"/>
    <n v="101"/>
    <s v="_x0000_US"/>
  </r>
  <r>
    <x v="0"/>
    <n v="13.6906"/>
    <n v="-89.186400000000006"/>
    <n v="10190.700000000001"/>
    <n v="0"/>
    <n v="0"/>
    <n v="101"/>
    <s v="_x0000_US"/>
  </r>
  <r>
    <x v="0"/>
    <n v="13.6753"/>
    <n v="-89.249899999999997"/>
    <n v="10190.700000000001"/>
    <n v="0"/>
    <n v="0"/>
    <n v="101"/>
    <s v="_x0000_US"/>
  </r>
  <r>
    <x v="0"/>
    <n v="13.696199999999999"/>
    <n v="-89.168199999999999"/>
    <n v="10191.200000000001"/>
    <n v="0"/>
    <n v="0"/>
    <n v="101"/>
    <s v="_x0000_US"/>
  </r>
  <r>
    <x v="0"/>
    <n v="13.6881"/>
    <n v="-89.198499999999996"/>
    <n v="10191.9"/>
    <n v="0"/>
    <n v="0"/>
    <n v="101"/>
    <s v="_x0000_US"/>
  </r>
  <r>
    <x v="0"/>
    <n v="13.692"/>
    <n v="-89.227500000000006"/>
    <n v="10192.4"/>
    <n v="0"/>
    <n v="0"/>
    <n v="101"/>
    <s v="_x0000_US"/>
  </r>
  <r>
    <x v="0"/>
    <n v="13.685"/>
    <n v="-89.193899999999999"/>
    <n v="10192.9"/>
    <n v="0"/>
    <n v="0"/>
    <n v="101"/>
    <s v="_x0000_US"/>
  </r>
  <r>
    <x v="0"/>
    <n v="13.6915"/>
    <n v="-89.185299999999998"/>
    <n v="10193.6"/>
    <n v="0"/>
    <n v="0"/>
    <n v="101"/>
    <s v="_x0000_US"/>
  </r>
  <r>
    <x v="0"/>
    <n v="13.674200000000001"/>
    <n v="-89.202299999999994"/>
    <n v="10193.6"/>
    <n v="0"/>
    <n v="0"/>
    <n v="101"/>
    <s v="_x0000_US"/>
  </r>
  <r>
    <x v="0"/>
    <n v="13.6906"/>
    <n v="-89.186400000000006"/>
    <n v="10193.700000000001"/>
    <n v="0"/>
    <n v="0"/>
    <n v="101"/>
    <s v="_x0000_US"/>
  </r>
  <r>
    <x v="0"/>
    <n v="13.690799999999999"/>
    <n v="-89.233099999999993"/>
    <n v="10194.1"/>
    <n v="0"/>
    <n v="0"/>
    <n v="101"/>
    <s v="_x0000_US"/>
  </r>
  <r>
    <x v="0"/>
    <n v="13.6753"/>
    <n v="-89.25"/>
    <n v="10194.200000000001"/>
    <n v="0"/>
    <n v="0"/>
    <n v="101"/>
    <s v="_x0000_US"/>
  </r>
  <r>
    <x v="0"/>
    <n v="13.6747"/>
    <n v="-89.249700000000004"/>
    <n v="10194.5"/>
    <n v="0"/>
    <n v="0"/>
    <n v="101"/>
    <s v="_x0000_US"/>
  </r>
  <r>
    <x v="0"/>
    <n v="13.6927"/>
    <n v="-89.189599999999999"/>
    <n v="10194.700000000001"/>
    <n v="0"/>
    <n v="0"/>
    <n v="101"/>
    <s v="_x0000_US"/>
  </r>
  <r>
    <x v="0"/>
    <n v="13.690099999999999"/>
    <n v="-89.193100000000001"/>
    <n v="10194.799999999999"/>
    <n v="0"/>
    <n v="0"/>
    <n v="101"/>
    <s v="_x0000_US"/>
  </r>
  <r>
    <x v="0"/>
    <n v="13.693"/>
    <n v="-89.177499999999995"/>
    <n v="10195.1"/>
    <n v="0"/>
    <n v="0"/>
    <n v="101"/>
    <s v="_x0000_US"/>
  </r>
  <r>
    <x v="0"/>
    <n v="13.688700000000001"/>
    <n v="-89.204899999999995"/>
    <n v="10195.700000000001"/>
    <n v="0"/>
    <n v="0"/>
    <n v="101"/>
    <s v="_x0000_US"/>
  </r>
  <r>
    <x v="0"/>
    <n v="13.6919"/>
    <n v="-89.193600000000004"/>
    <n v="10195.799999999999"/>
    <n v="0"/>
    <n v="0"/>
    <n v="101"/>
    <s v="_x0000_US"/>
  </r>
  <r>
    <x v="0"/>
    <n v="13.6919"/>
    <n v="-89.175799999999995"/>
    <n v="10195.799999999999"/>
    <n v="0"/>
    <n v="0"/>
    <n v="101"/>
    <s v="_x0000_US"/>
  </r>
  <r>
    <x v="0"/>
    <n v="13.688499999999999"/>
    <n v="-89.190700000000007"/>
    <n v="10195.9"/>
    <n v="0"/>
    <n v="0"/>
    <n v="101"/>
    <s v="_x0000_US"/>
  </r>
  <r>
    <x v="0"/>
    <n v="13.690099999999999"/>
    <n v="-89.235200000000006"/>
    <n v="10196.4"/>
    <n v="0"/>
    <n v="0"/>
    <n v="101"/>
    <s v="_x0000_US"/>
  </r>
  <r>
    <x v="0"/>
    <n v="13.6798"/>
    <n v="-89.196600000000004"/>
    <n v="10196.5"/>
    <n v="0"/>
    <n v="0"/>
    <n v="101"/>
    <s v="_x0000_US"/>
  </r>
  <r>
    <x v="0"/>
    <n v="13.688000000000001"/>
    <n v="-89.181100000000001"/>
    <n v="10196.6"/>
    <n v="0"/>
    <n v="0"/>
    <n v="101"/>
    <s v="_x0000_US"/>
  </r>
  <r>
    <x v="0"/>
    <n v="13.6905"/>
    <n v="-89.194100000000006"/>
    <n v="10197.1"/>
    <n v="0"/>
    <n v="0"/>
    <n v="101"/>
    <s v="_x0000_US"/>
  </r>
  <r>
    <x v="0"/>
    <n v="13.6747"/>
    <n v="-89.251900000000006"/>
    <n v="10197.700000000001"/>
    <n v="0"/>
    <n v="0"/>
    <n v="101"/>
    <s v="_x0000_US"/>
  </r>
  <r>
    <x v="0"/>
    <n v="13.690799999999999"/>
    <n v="-89.197699999999998"/>
    <n v="10197.799999999999"/>
    <n v="0"/>
    <n v="0"/>
    <n v="101"/>
    <s v="_x0000_US"/>
  </r>
  <r>
    <x v="0"/>
    <n v="13.692"/>
    <n v="-89.194199999999995"/>
    <n v="10197.9"/>
    <n v="0"/>
    <n v="0"/>
    <n v="101"/>
    <s v="_x0000_US"/>
  </r>
  <r>
    <x v="0"/>
    <n v="13.689299999999999"/>
    <n v="-89.229500000000002"/>
    <n v="10197.9"/>
    <n v="0"/>
    <n v="0"/>
    <n v="101"/>
    <s v="_x0000_US"/>
  </r>
  <r>
    <x v="0"/>
    <n v="13.696099999999999"/>
    <n v="-89.172200000000004"/>
    <n v="10198.200000000001"/>
    <n v="0"/>
    <n v="0"/>
    <n v="101"/>
    <s v="_x0000_US"/>
  </r>
  <r>
    <x v="0"/>
    <n v="13.673299999999999"/>
    <n v="-89.251499999999993"/>
    <n v="10198.200000000001"/>
    <n v="0"/>
    <n v="0"/>
    <n v="101"/>
    <s v="_x0000_US"/>
  </r>
  <r>
    <x v="0"/>
    <n v="13.6896"/>
    <n v="-89.1798"/>
    <n v="10198.5"/>
    <n v="0"/>
    <n v="0"/>
    <n v="101"/>
    <s v="_x0000_US"/>
  </r>
  <r>
    <x v="0"/>
    <n v="13.690799999999999"/>
    <n v="-89.227400000000003"/>
    <n v="10198.5"/>
    <n v="0"/>
    <n v="0"/>
    <n v="101"/>
    <s v="_x0000_US"/>
  </r>
  <r>
    <x v="0"/>
    <n v="13.690899999999999"/>
    <n v="-89.234200000000001"/>
    <n v="10198.700000000001"/>
    <n v="0"/>
    <n v="0"/>
    <n v="101"/>
    <s v="_x0000_US"/>
  </r>
  <r>
    <x v="0"/>
    <n v="13.6912"/>
    <n v="-89.228399999999993"/>
    <n v="10198.799999999999"/>
    <n v="0"/>
    <n v="0"/>
    <n v="101"/>
    <s v="_x0000_US"/>
  </r>
  <r>
    <x v="0"/>
    <n v="13.690899999999999"/>
    <n v="-89.188599999999994"/>
    <n v="10198.9"/>
    <n v="0"/>
    <n v="0"/>
    <n v="101"/>
    <s v="_x0000_US"/>
  </r>
  <r>
    <x v="0"/>
    <n v="13.6943"/>
    <n v="-89.188999999999993"/>
    <n v="10199"/>
    <n v="0"/>
    <n v="0"/>
    <n v="101"/>
    <s v="_x0000_US"/>
  </r>
  <r>
    <x v="0"/>
    <n v="13.6927"/>
    <n v="-89.224599999999995"/>
    <n v="10199"/>
    <n v="0"/>
    <n v="0"/>
    <n v="101"/>
    <s v="_x0000_US"/>
  </r>
  <r>
    <x v="0"/>
    <n v="13.6906"/>
    <n v="-89.179000000000002"/>
    <n v="10199.1"/>
    <n v="0"/>
    <n v="0"/>
    <n v="101"/>
    <s v="_x0000_US"/>
  </r>
  <r>
    <x v="0"/>
    <n v="13.6799"/>
    <n v="-89.195700000000002"/>
    <n v="10199.1"/>
    <n v="0"/>
    <n v="0"/>
    <n v="101"/>
    <s v="_x0000_US"/>
  </r>
  <r>
    <x v="0"/>
    <n v="13.69"/>
    <n v="-89.1798"/>
    <n v="10200"/>
    <n v="0"/>
    <n v="0"/>
    <n v="101"/>
    <s v="_x0000_US"/>
  </r>
  <r>
    <x v="0"/>
    <n v="13.6869"/>
    <n v="-89.201899999999995"/>
    <n v="10200.1"/>
    <n v="0"/>
    <n v="0"/>
    <n v="101"/>
    <s v="_x0000_US"/>
  </r>
  <r>
    <x v="0"/>
    <n v="13.688599999999999"/>
    <n v="-89.198700000000002"/>
    <n v="10200.299999999999"/>
    <n v="0"/>
    <n v="0"/>
    <n v="101"/>
    <s v="_x0000_US"/>
  </r>
  <r>
    <x v="0"/>
    <n v="13.685600000000001"/>
    <n v="-89.216300000000004"/>
    <n v="10200.6"/>
    <n v="0"/>
    <n v="0"/>
    <n v="101"/>
    <s v="_x0000_US"/>
  </r>
  <r>
    <x v="0"/>
    <n v="13.6867"/>
    <n v="-89.194500000000005"/>
    <n v="10201"/>
    <n v="0"/>
    <n v="0"/>
    <n v="101"/>
    <s v="_x0000_US"/>
  </r>
  <r>
    <x v="0"/>
    <n v="13.689500000000001"/>
    <n v="-89.205500000000001"/>
    <n v="10201.200000000001"/>
    <n v="0"/>
    <n v="0"/>
    <n v="101"/>
    <s v="_x0000_US"/>
  </r>
  <r>
    <x v="0"/>
    <n v="13.691599999999999"/>
    <n v="-89.226200000000006"/>
    <n v="10201.200000000001"/>
    <n v="0"/>
    <n v="0"/>
    <n v="101"/>
    <s v="_x0000_US"/>
  </r>
  <r>
    <x v="0"/>
    <n v="13.690799999999999"/>
    <n v="-89.233099999999993"/>
    <n v="10201.299999999999"/>
    <n v="0"/>
    <n v="0"/>
    <n v="101"/>
    <s v="_x0000_US"/>
  </r>
  <r>
    <x v="0"/>
    <n v="13.688499999999999"/>
    <n v="-89.190799999999996"/>
    <n v="10201.5"/>
    <n v="0"/>
    <n v="0"/>
    <n v="101"/>
    <s v="_x0000_US"/>
  </r>
  <r>
    <x v="0"/>
    <n v="13.687200000000001"/>
    <n v="-89.191500000000005"/>
    <n v="10201.700000000001"/>
    <n v="0"/>
    <n v="0"/>
    <n v="101"/>
    <s v="_x0000_US"/>
  </r>
  <r>
    <x v="0"/>
    <n v="13.687900000000001"/>
    <n v="-89.196700000000007"/>
    <n v="10202.5"/>
    <n v="0"/>
    <n v="0"/>
    <n v="101"/>
    <s v="_x0000_US"/>
  </r>
  <r>
    <x v="0"/>
    <n v="13.6876"/>
    <n v="-89.196899999999999"/>
    <n v="10202.6"/>
    <n v="0"/>
    <n v="0"/>
    <n v="101"/>
    <s v="_x0000_US"/>
  </r>
  <r>
    <x v="0"/>
    <n v="13.6882"/>
    <n v="-89.217100000000002"/>
    <n v="10202.799999999999"/>
    <n v="0"/>
    <n v="0"/>
    <n v="101"/>
    <s v="_x0000_US"/>
  </r>
  <r>
    <x v="0"/>
    <n v="13.6869"/>
    <n v="-89.204599999999999"/>
    <n v="10203"/>
    <n v="0"/>
    <n v="0"/>
    <n v="101"/>
    <s v="_x0000_US"/>
  </r>
  <r>
    <x v="0"/>
    <n v="13.690099999999999"/>
    <n v="-89.179599999999994"/>
    <n v="10203.6"/>
    <n v="0"/>
    <n v="0"/>
    <n v="101"/>
    <s v="_x0000_US"/>
  </r>
  <r>
    <x v="0"/>
    <n v="13.6854"/>
    <n v="-89.201499999999996"/>
    <n v="10203.6"/>
    <n v="0"/>
    <n v="0"/>
    <n v="101"/>
    <s v="_x0000_US"/>
  </r>
  <r>
    <x v="0"/>
    <n v="13.691700000000001"/>
    <n v="-89.228300000000004"/>
    <n v="10203.700000000001"/>
    <n v="0"/>
    <n v="0"/>
    <n v="101"/>
    <s v="_x0000_US"/>
  </r>
  <r>
    <x v="0"/>
    <n v="13.6853"/>
    <n v="-89.202100000000002"/>
    <n v="10203.799999999999"/>
    <n v="0"/>
    <n v="0"/>
    <n v="101"/>
    <s v="_x0000_US"/>
  </r>
  <r>
    <x v="0"/>
    <n v="13.6911"/>
    <n v="-89.218800000000002"/>
    <n v="10204"/>
    <n v="0"/>
    <n v="0"/>
    <n v="101"/>
    <s v="_x0000_US"/>
  </r>
  <r>
    <x v="0"/>
    <n v="13.6883"/>
    <n v="-89.216399999999993"/>
    <n v="10204.6"/>
    <n v="0"/>
    <n v="0"/>
    <n v="101"/>
    <s v="_x0000_US"/>
  </r>
  <r>
    <x v="0"/>
    <n v="13.6959"/>
    <n v="-89.172300000000007"/>
    <n v="10204.799999999999"/>
    <n v="0"/>
    <n v="0"/>
    <n v="101"/>
    <s v="_x0000_US"/>
  </r>
  <r>
    <x v="0"/>
    <n v="13.6936"/>
    <n v="-89.183700000000002"/>
    <n v="10205.4"/>
    <n v="0"/>
    <n v="0"/>
    <n v="101"/>
    <s v="_x0000_US"/>
  </r>
  <r>
    <x v="0"/>
    <n v="13.691000000000001"/>
    <n v="-89.1905"/>
    <n v="10205.6"/>
    <n v="0"/>
    <n v="0"/>
    <n v="101"/>
    <s v="_x0000_US"/>
  </r>
  <r>
    <x v="0"/>
    <n v="13.69"/>
    <n v="-89.184100000000001"/>
    <n v="10205.700000000001"/>
    <n v="0"/>
    <n v="0"/>
    <n v="101"/>
    <s v="_x0000_US"/>
  </r>
  <r>
    <x v="0"/>
    <n v="13.687900000000001"/>
    <n v="-89.193799999999996"/>
    <n v="10205.799999999999"/>
    <n v="0"/>
    <n v="0"/>
    <n v="101"/>
    <s v="_x0000_US"/>
  </r>
  <r>
    <x v="0"/>
    <n v="13.6914"/>
    <n v="-89.226100000000002"/>
    <n v="10207.4"/>
    <n v="0"/>
    <n v="0"/>
    <n v="101"/>
    <s v="_x0000_US"/>
  </r>
  <r>
    <x v="0"/>
    <n v="13.690799999999999"/>
    <n v="-89.235299999999995"/>
    <n v="10207.4"/>
    <n v="0"/>
    <n v="0"/>
    <n v="101"/>
    <s v="_x0000_US"/>
  </r>
  <r>
    <x v="0"/>
    <n v="13.6868"/>
    <n v="-89.213300000000004"/>
    <n v="10207.5"/>
    <n v="0"/>
    <n v="0"/>
    <n v="101"/>
    <s v="_x0000_US"/>
  </r>
  <r>
    <x v="0"/>
    <n v="13.689500000000001"/>
    <n v="-89.183700000000002"/>
    <n v="10207.6"/>
    <n v="0"/>
    <n v="0"/>
    <n v="101"/>
    <s v="_x0000_US"/>
  </r>
  <r>
    <x v="0"/>
    <n v="13.6911"/>
    <n v="-89.228800000000007"/>
    <n v="10208"/>
    <n v="0"/>
    <n v="0"/>
    <n v="101"/>
    <s v="_x0000_US"/>
  </r>
  <r>
    <x v="0"/>
    <n v="13.696300000000001"/>
    <n v="-89.171899999999994"/>
    <n v="10208.299999999999"/>
    <n v="0"/>
    <n v="0"/>
    <n v="101"/>
    <s v="_x0000_US"/>
  </r>
  <r>
    <x v="0"/>
    <n v="13.690899999999999"/>
    <n v="-89.233199999999997"/>
    <n v="10208.299999999999"/>
    <n v="0"/>
    <n v="0"/>
    <n v="101"/>
    <s v="_x0000_US"/>
  </r>
  <r>
    <x v="0"/>
    <n v="13.693300000000001"/>
    <n v="-89.176199999999994"/>
    <n v="10209.200000000001"/>
    <n v="0"/>
    <n v="0"/>
    <n v="101"/>
    <s v="_x0000_US"/>
  </r>
  <r>
    <x v="0"/>
    <n v="13.690300000000001"/>
    <n v="-89.1798"/>
    <n v="10209.4"/>
    <n v="0"/>
    <n v="0"/>
    <n v="101"/>
    <s v="_x0000_US"/>
  </r>
  <r>
    <x v="0"/>
    <n v="13.69"/>
    <n v="-89.195700000000002"/>
    <n v="10209.5"/>
    <n v="0"/>
    <n v="0"/>
    <n v="101"/>
    <s v="_x0000_US"/>
  </r>
  <r>
    <x v="0"/>
    <n v="13.6875"/>
    <n v="-89.195099999999996"/>
    <n v="10209.5"/>
    <n v="0"/>
    <n v="0"/>
    <n v="101"/>
    <s v="_x0000_US"/>
  </r>
  <r>
    <x v="0"/>
    <n v="13.691599999999999"/>
    <n v="-89.225499999999997"/>
    <n v="10209.6"/>
    <n v="0"/>
    <n v="0"/>
    <n v="101"/>
    <s v="_x0000_US"/>
  </r>
  <r>
    <x v="0"/>
    <n v="13.6874"/>
    <n v="-89.194699999999997"/>
    <n v="10209.799999999999"/>
    <n v="0"/>
    <n v="0"/>
    <n v="101"/>
    <s v="_x0000_US"/>
  </r>
  <r>
    <x v="0"/>
    <n v="13.689399999999999"/>
    <n v="-89.207800000000006"/>
    <n v="10210.4"/>
    <n v="0"/>
    <n v="0"/>
    <n v="101"/>
    <s v="_x0000_US"/>
  </r>
  <r>
    <x v="0"/>
    <n v="13.6874"/>
    <n v="-89.180899999999994"/>
    <n v="10210.700000000001"/>
    <n v="0"/>
    <n v="0"/>
    <n v="101"/>
    <s v="_x0000_US"/>
  </r>
  <r>
    <x v="0"/>
    <n v="13.6882"/>
    <n v="-89.229600000000005"/>
    <n v="10210.9"/>
    <n v="0"/>
    <n v="0"/>
    <n v="101"/>
    <s v="_x0000_US"/>
  </r>
  <r>
    <x v="0"/>
    <n v="13.6799"/>
    <n v="-89.194599999999994"/>
    <n v="10211"/>
    <n v="0"/>
    <n v="0"/>
    <n v="101"/>
    <s v="_x0000_US"/>
  </r>
  <r>
    <x v="0"/>
    <n v="13.6747"/>
    <n v="-89.251800000000003"/>
    <n v="10211"/>
    <n v="0"/>
    <n v="0"/>
    <n v="101"/>
    <s v="_x0000_US"/>
  </r>
  <r>
    <x v="0"/>
    <n v="13.6913"/>
    <n v="-89.189499999999995"/>
    <n v="10211.1"/>
    <n v="0"/>
    <n v="0"/>
    <n v="101"/>
    <s v="_x0000_US"/>
  </r>
  <r>
    <x v="0"/>
    <n v="13.674099999999999"/>
    <n v="-89.2029"/>
    <n v="10211.700000000001"/>
    <n v="0"/>
    <n v="0"/>
    <n v="101"/>
    <s v="_x0000_US"/>
  </r>
  <r>
    <x v="0"/>
    <n v="13.674099999999999"/>
    <n v="-89.203000000000003"/>
    <n v="10211.799999999999"/>
    <n v="0"/>
    <n v="0"/>
    <n v="101"/>
    <s v="_x0000_US"/>
  </r>
  <r>
    <x v="0"/>
    <n v="13.6942"/>
    <n v="-89.174899999999994"/>
    <n v="10211.799999999999"/>
    <n v="0"/>
    <n v="0"/>
    <n v="101"/>
    <s v="_x0000_US"/>
  </r>
  <r>
    <x v="0"/>
    <n v="13.6896"/>
    <n v="-89.216399999999993"/>
    <n v="10211.9"/>
    <n v="0"/>
    <n v="0"/>
    <n v="101"/>
    <s v="_x0000_US"/>
  </r>
  <r>
    <x v="0"/>
    <n v="13.6919"/>
    <n v="-89.184200000000004"/>
    <n v="10212"/>
    <n v="0"/>
    <n v="0"/>
    <n v="101"/>
    <s v="_x0000_US"/>
  </r>
  <r>
    <x v="0"/>
    <n v="13.6905"/>
    <n v="-89.234099999999998"/>
    <n v="10212.200000000001"/>
    <n v="0"/>
    <n v="0"/>
    <n v="101"/>
    <s v="_x0000_US"/>
  </r>
  <r>
    <x v="0"/>
    <n v="13.690099999999999"/>
    <n v="-89.185000000000002"/>
    <n v="10212.299999999999"/>
    <n v="0"/>
    <n v="0"/>
    <n v="101"/>
    <s v="_x0000_US"/>
  </r>
  <r>
    <x v="0"/>
    <n v="13.6944"/>
    <n v="-89.183099999999996"/>
    <n v="10212.5"/>
    <n v="0"/>
    <n v="0"/>
    <n v="101"/>
    <s v="_x0000_US"/>
  </r>
  <r>
    <x v="0"/>
    <n v="13.6959"/>
    <n v="-89.172799999999995"/>
    <n v="10212.799999999999"/>
    <n v="0"/>
    <n v="0"/>
    <n v="101"/>
    <s v="_x0000_US"/>
  </r>
  <r>
    <x v="0"/>
    <n v="13.685499999999999"/>
    <n v="-89.202600000000004"/>
    <n v="10213.299999999999"/>
    <n v="0"/>
    <n v="0"/>
    <n v="101"/>
    <s v="_x0000_US"/>
  </r>
  <r>
    <x v="0"/>
    <n v="13.6875"/>
    <n v="-89.194900000000004"/>
    <n v="10213.6"/>
    <n v="0"/>
    <n v="0"/>
    <n v="101"/>
    <s v="_x0000_US"/>
  </r>
  <r>
    <x v="0"/>
    <n v="13.6882"/>
    <n v="-89.190299999999993"/>
    <n v="10213.700000000001"/>
    <n v="0"/>
    <n v="0"/>
    <n v="101"/>
    <s v="_x0000_US"/>
  </r>
  <r>
    <x v="0"/>
    <n v="13.6927"/>
    <n v="-89.189599999999999"/>
    <n v="10213.9"/>
    <n v="0"/>
    <n v="0"/>
    <n v="101"/>
    <s v="_x0000_US"/>
  </r>
  <r>
    <x v="0"/>
    <n v="13.686"/>
    <n v="-89.2136"/>
    <n v="10214"/>
    <n v="0"/>
    <n v="0"/>
    <n v="101"/>
    <s v="_x0000_US"/>
  </r>
  <r>
    <x v="0"/>
    <n v="13.6884"/>
    <n v="-89.190299999999993"/>
    <n v="10214.299999999999"/>
    <n v="0"/>
    <n v="0"/>
    <n v="101"/>
    <s v="_x0000_US"/>
  </r>
  <r>
    <x v="0"/>
    <n v="13.6914"/>
    <n v="-89.233199999999997"/>
    <n v="10214.4"/>
    <n v="0"/>
    <n v="0"/>
    <n v="101"/>
    <s v="_x0000_US"/>
  </r>
  <r>
    <x v="0"/>
    <n v="13.6936"/>
    <n v="-89.176500000000004"/>
    <n v="10214.6"/>
    <n v="0"/>
    <n v="0"/>
    <n v="101"/>
    <s v="_x0000_US"/>
  </r>
  <r>
    <x v="0"/>
    <n v="13.685"/>
    <n v="-89.212000000000003"/>
    <n v="10214.6"/>
    <n v="0"/>
    <n v="0"/>
    <n v="101"/>
    <s v="_x0000_US"/>
  </r>
  <r>
    <x v="0"/>
    <n v="13.6907"/>
    <n v="-89.195400000000006"/>
    <n v="10214.799999999999"/>
    <n v="0"/>
    <n v="0"/>
    <n v="101"/>
    <s v="_x0000_US"/>
  </r>
  <r>
    <x v="0"/>
    <n v="13.689500000000001"/>
    <n v="-89.205500000000001"/>
    <n v="10214.9"/>
    <n v="0"/>
    <n v="0"/>
    <n v="101"/>
    <s v="_x0000_US"/>
  </r>
  <r>
    <x v="0"/>
    <n v="13.696099999999999"/>
    <n v="-89.173000000000002"/>
    <n v="10215.9"/>
    <n v="0"/>
    <n v="0"/>
    <n v="101"/>
    <s v="_x0000_US"/>
  </r>
  <r>
    <x v="0"/>
    <n v="13.6914"/>
    <n v="-89.227000000000004"/>
    <n v="10215.9"/>
    <n v="0"/>
    <n v="0"/>
    <n v="101"/>
    <s v="_x0000_US"/>
  </r>
  <r>
    <x v="0"/>
    <n v="13.6919"/>
    <n v="-89.184299999999993"/>
    <n v="10216.1"/>
    <n v="0"/>
    <n v="0"/>
    <n v="101"/>
    <s v="_x0000_US"/>
  </r>
  <r>
    <x v="0"/>
    <n v="13.690099999999999"/>
    <n v="-89.177800000000005"/>
    <n v="10216.200000000001"/>
    <n v="0"/>
    <n v="0"/>
    <n v="101"/>
    <s v="_x0000_US"/>
  </r>
  <r>
    <x v="0"/>
    <n v="13.6913"/>
    <n v="-89.226699999999994"/>
    <n v="10216.200000000001"/>
    <n v="0"/>
    <n v="0"/>
    <n v="101"/>
    <s v="_x0000_US"/>
  </r>
  <r>
    <x v="0"/>
    <n v="13.6753"/>
    <n v="-89.202200000000005"/>
    <n v="10217.299999999999"/>
    <n v="0"/>
    <n v="0"/>
    <n v="101"/>
    <s v="_x0000_US"/>
  </r>
  <r>
    <x v="0"/>
    <n v="13.6911"/>
    <n v="-89.235299999999995"/>
    <n v="10217.5"/>
    <n v="0"/>
    <n v="0"/>
    <n v="101"/>
    <s v="_x0000_US"/>
  </r>
  <r>
    <x v="0"/>
    <n v="13.6914"/>
    <n v="-89.189400000000006"/>
    <n v="10217.6"/>
    <n v="0"/>
    <n v="0"/>
    <n v="101"/>
    <s v="_x0000_US"/>
  </r>
  <r>
    <x v="0"/>
    <n v="13.6868"/>
    <n v="-89.202799999999996"/>
    <n v="10217.9"/>
    <n v="0"/>
    <n v="0"/>
    <n v="101"/>
    <s v="_x0000_US"/>
  </r>
  <r>
    <x v="0"/>
    <n v="13.684699999999999"/>
    <n v="-89.211200000000005"/>
    <n v="10218"/>
    <n v="0"/>
    <n v="0"/>
    <n v="101"/>
    <s v="_x0000_US"/>
  </r>
  <r>
    <x v="0"/>
    <n v="13.690799999999999"/>
    <n v="-89.231399999999994"/>
    <n v="10218.1"/>
    <n v="0"/>
    <n v="0"/>
    <n v="101"/>
    <s v="_x0000_US"/>
  </r>
  <r>
    <x v="0"/>
    <n v="13.6883"/>
    <n v="-89.181399999999996"/>
    <n v="10218.4"/>
    <n v="0"/>
    <n v="0"/>
    <n v="101"/>
    <s v="_x0000_US"/>
  </r>
  <r>
    <x v="0"/>
    <n v="13.6869"/>
    <n v="-89.183099999999996"/>
    <n v="10219.200000000001"/>
    <n v="0"/>
    <n v="0"/>
    <n v="101"/>
    <s v="_x0000_US"/>
  </r>
  <r>
    <x v="0"/>
    <n v="13.6852"/>
    <n v="-89.213800000000006"/>
    <n v="10219.299999999999"/>
    <n v="0"/>
    <n v="0"/>
    <n v="101"/>
    <s v="_x0000_US"/>
  </r>
  <r>
    <x v="0"/>
    <n v="13.6752"/>
    <n v="-89.252099999999999"/>
    <n v="10219.5"/>
    <n v="0"/>
    <n v="0"/>
    <n v="101"/>
    <s v="_x0000_US"/>
  </r>
  <r>
    <x v="0"/>
    <n v="13.674799999999999"/>
    <n v="-89.252099999999999"/>
    <n v="10219.799999999999"/>
    <n v="0"/>
    <n v="0"/>
    <n v="101"/>
    <s v="_x0000_US"/>
  </r>
  <r>
    <x v="0"/>
    <n v="13.6845"/>
    <n v="-89.211799999999997"/>
    <n v="10220"/>
    <n v="0"/>
    <n v="0"/>
    <n v="101"/>
    <s v="_x0000_US"/>
  </r>
  <r>
    <x v="0"/>
    <n v="13.692299999999999"/>
    <n v="-89.174999999999997"/>
    <n v="10220.299999999999"/>
    <n v="0"/>
    <n v="0"/>
    <n v="101"/>
    <s v="_x0000_US"/>
  </r>
  <r>
    <x v="0"/>
    <n v="13.686400000000001"/>
    <n v="-89.203400000000002"/>
    <n v="10220.5"/>
    <n v="0"/>
    <n v="0"/>
    <n v="101"/>
    <s v="_x0000_US"/>
  </r>
  <r>
    <x v="0"/>
    <n v="13.691800000000001"/>
    <n v="-89.178700000000006"/>
    <n v="10220.6"/>
    <n v="0"/>
    <n v="0"/>
    <n v="101"/>
    <s v="_x0000_US"/>
  </r>
  <r>
    <x v="0"/>
    <n v="13.6927"/>
    <n v="-89.225499999999997"/>
    <n v="10220.6"/>
    <n v="0"/>
    <n v="0"/>
    <n v="101"/>
    <s v="_x0000_US"/>
  </r>
  <r>
    <x v="0"/>
    <n v="13.6899"/>
    <n v="-89.189700000000002"/>
    <n v="10220.700000000001"/>
    <n v="0"/>
    <n v="0"/>
    <n v="101"/>
    <s v="_x0000_US"/>
  </r>
  <r>
    <x v="0"/>
    <n v="13.6914"/>
    <n v="-89.188400000000001"/>
    <n v="10221"/>
    <n v="0"/>
    <n v="0"/>
    <n v="101"/>
    <s v="_x0000_US"/>
  </r>
  <r>
    <x v="0"/>
    <n v="13.6808"/>
    <n v="-89.195899999999995"/>
    <n v="10221.9"/>
    <n v="0"/>
    <n v="0"/>
    <n v="101"/>
    <s v="_x0000_US"/>
  </r>
  <r>
    <x v="0"/>
    <n v="13.690899999999999"/>
    <n v="-89.233099999999993"/>
    <n v="10221.9"/>
    <n v="0"/>
    <n v="0"/>
    <n v="101"/>
    <s v="_x0000_US"/>
  </r>
  <r>
    <x v="0"/>
    <n v="13.6915"/>
    <n v="-89.220399999999998"/>
    <n v="10222.1"/>
    <n v="0"/>
    <n v="0"/>
    <n v="101"/>
    <s v="_x0000_US"/>
  </r>
  <r>
    <x v="0"/>
    <n v="13.674799999999999"/>
    <n v="-89.249700000000004"/>
    <n v="10222.4"/>
    <n v="0"/>
    <n v="0"/>
    <n v="101"/>
    <s v="_x0000_US"/>
  </r>
  <r>
    <x v="0"/>
    <n v="13.689299999999999"/>
    <n v="-89.235699999999994"/>
    <n v="10222.700000000001"/>
    <n v="0"/>
    <n v="0"/>
    <n v="101"/>
    <s v="_x0000_US"/>
  </r>
  <r>
    <x v="0"/>
    <n v="13.6875"/>
    <n v="-89.197299999999998"/>
    <n v="10222.799999999999"/>
    <n v="0"/>
    <n v="0"/>
    <n v="101"/>
    <s v="_x0000_US"/>
  </r>
  <r>
    <x v="0"/>
    <n v="13.6921"/>
    <n v="-89.185900000000004"/>
    <n v="10223"/>
    <n v="0"/>
    <n v="0"/>
    <n v="101"/>
    <s v="_x0000_US"/>
  </r>
  <r>
    <x v="0"/>
    <n v="13.6859"/>
    <n v="-89.211500000000001"/>
    <n v="10223.200000000001"/>
    <n v="0"/>
    <n v="0"/>
    <n v="101"/>
    <s v="_x0000_US"/>
  </r>
  <r>
    <x v="0"/>
    <n v="13.6843"/>
    <n v="-89.216899999999995"/>
    <n v="10224.1"/>
    <n v="0"/>
    <n v="0"/>
    <n v="101"/>
    <s v="_x0000_US"/>
  </r>
  <r>
    <x v="0"/>
    <n v="13.690200000000001"/>
    <n v="-89.186499999999995"/>
    <n v="10224.4"/>
    <n v="0"/>
    <n v="0"/>
    <n v="101"/>
    <s v="_x0000_US"/>
  </r>
  <r>
    <x v="0"/>
    <n v="13.6927"/>
    <n v="-89.183599999999998"/>
    <n v="10224.6"/>
    <n v="0"/>
    <n v="0"/>
    <n v="101"/>
    <s v="_x0000_US"/>
  </r>
  <r>
    <x v="0"/>
    <n v="13.6851"/>
    <n v="-89.203199999999995"/>
    <n v="10225"/>
    <n v="0"/>
    <n v="0"/>
    <n v="101"/>
    <s v="_x0000_US"/>
  </r>
  <r>
    <x v="0"/>
    <n v="13.690300000000001"/>
    <n v="-89.178399999999996"/>
    <n v="10225.5"/>
    <n v="0"/>
    <n v="0"/>
    <n v="101"/>
    <s v="_x0000_US"/>
  </r>
  <r>
    <x v="0"/>
    <n v="13.6938"/>
    <n v="-89.176400000000001"/>
    <n v="10225.700000000001"/>
    <n v="0"/>
    <n v="0"/>
    <n v="101"/>
    <s v="_x0000_US"/>
  </r>
  <r>
    <x v="0"/>
    <n v="13.690899999999999"/>
    <n v="-89.235600000000005"/>
    <n v="10225.799999999999"/>
    <n v="0"/>
    <n v="0"/>
    <n v="101"/>
    <s v="_x0000_US"/>
  </r>
  <r>
    <x v="0"/>
    <n v="13.696300000000001"/>
    <n v="-89.172499999999999"/>
    <n v="10226.700000000001"/>
    <n v="0"/>
    <n v="0"/>
    <n v="101"/>
    <s v="_x0000_US"/>
  </r>
  <r>
    <x v="0"/>
    <n v="13.6958"/>
    <n v="-89.173599999999993"/>
    <n v="10227.200000000001"/>
    <n v="0"/>
    <n v="0"/>
    <n v="101"/>
    <s v="_x0000_US"/>
  </r>
  <r>
    <x v="0"/>
    <n v="13.6913"/>
    <n v="-89.189400000000006"/>
    <n v="10227.6"/>
    <n v="0"/>
    <n v="0"/>
    <n v="101"/>
    <s v="_x0000_US"/>
  </r>
  <r>
    <x v="0"/>
    <n v="13.684699999999999"/>
    <n v="-89.203800000000001"/>
    <n v="10228"/>
    <n v="0"/>
    <n v="0"/>
    <n v="101"/>
    <s v="_x0000_US"/>
  </r>
  <r>
    <x v="0"/>
    <n v="13.6953"/>
    <n v="-89.173500000000004"/>
    <n v="10228.1"/>
    <n v="0"/>
    <n v="0"/>
    <n v="101"/>
    <s v="_x0000_US"/>
  </r>
  <r>
    <x v="0"/>
    <n v="13.6913"/>
    <n v="-89.234700000000004"/>
    <n v="10228.200000000001"/>
    <n v="0"/>
    <n v="0"/>
    <n v="101"/>
    <s v="_x0000_US"/>
  </r>
  <r>
    <x v="0"/>
    <n v="13.678599999999999"/>
    <n v="-89.196299999999994"/>
    <n v="10228.6"/>
    <n v="0"/>
    <n v="0"/>
    <n v="101"/>
    <s v="_x0000_US"/>
  </r>
  <r>
    <x v="0"/>
    <n v="13.6945"/>
    <n v="-89.185500000000005"/>
    <n v="10229.1"/>
    <n v="0"/>
    <n v="0"/>
    <n v="101"/>
    <s v="_x0000_US"/>
  </r>
  <r>
    <x v="0"/>
    <n v="13.685600000000001"/>
    <n v="-89.202699999999993"/>
    <n v="10229.1"/>
    <n v="0"/>
    <n v="0"/>
    <n v="101"/>
    <s v="_x0000_US"/>
  </r>
  <r>
    <x v="0"/>
    <n v="13.691000000000001"/>
    <n v="-89.226799999999997"/>
    <n v="10229.6"/>
    <n v="0"/>
    <n v="0"/>
    <n v="101"/>
    <s v="_x0000_US"/>
  </r>
  <r>
    <x v="0"/>
    <n v="13.6907"/>
    <n v="-89.232299999999995"/>
    <n v="10230.200000000001"/>
    <n v="0"/>
    <n v="0"/>
    <n v="101"/>
    <s v="_x0000_US"/>
  </r>
  <r>
    <x v="0"/>
    <n v="13.6899"/>
    <n v="-89.185000000000002"/>
    <n v="10230.700000000001"/>
    <n v="0"/>
    <n v="0"/>
    <n v="101"/>
    <s v="_x0000_US"/>
  </r>
  <r>
    <x v="0"/>
    <n v="13.6799"/>
    <n v="-89.1965"/>
    <n v="10230.799999999999"/>
    <n v="0"/>
    <n v="0"/>
    <n v="101"/>
    <s v="_x0000_US"/>
  </r>
  <r>
    <x v="0"/>
    <n v="13.680300000000001"/>
    <n v="-89.196100000000001"/>
    <n v="10231"/>
    <n v="0"/>
    <n v="0"/>
    <n v="101"/>
    <s v="_x0000_US"/>
  </r>
  <r>
    <x v="0"/>
    <n v="13.687200000000001"/>
    <n v="-89.182699999999997"/>
    <n v="10231.4"/>
    <n v="0"/>
    <n v="0"/>
    <n v="101"/>
    <s v="_x0000_US"/>
  </r>
  <r>
    <x v="0"/>
    <n v="13.6813"/>
    <n v="-89.195300000000003"/>
    <n v="10231.4"/>
    <n v="0"/>
    <n v="0"/>
    <n v="101"/>
    <s v="_x0000_US"/>
  </r>
  <r>
    <x v="0"/>
    <n v="13.689399999999999"/>
    <n v="-89.184200000000004"/>
    <n v="10231.6"/>
    <n v="0"/>
    <n v="0"/>
    <n v="101"/>
    <s v="_x0000_US"/>
  </r>
  <r>
    <x v="0"/>
    <n v="13.690099999999999"/>
    <n v="-89.193899999999999"/>
    <n v="10231.9"/>
    <n v="0"/>
    <n v="0"/>
    <n v="101"/>
    <s v="_x0000_US"/>
  </r>
  <r>
    <x v="0"/>
    <n v="13.687200000000001"/>
    <n v="-89.196200000000005"/>
    <n v="10232.4"/>
    <n v="0"/>
    <n v="0"/>
    <n v="101"/>
    <s v="_x0000_US"/>
  </r>
  <r>
    <x v="0"/>
    <n v="13.691700000000001"/>
    <n v="-89.197000000000003"/>
    <n v="10232.6"/>
    <n v="0"/>
    <n v="0"/>
    <n v="101"/>
    <s v="_x0000_US"/>
  </r>
  <r>
    <x v="0"/>
    <n v="13.6921"/>
    <n v="-89.179500000000004"/>
    <n v="10233"/>
    <n v="0"/>
    <n v="0"/>
    <n v="101"/>
    <s v="_x0000_US"/>
  </r>
  <r>
    <x v="0"/>
    <n v="13.689500000000001"/>
    <n v="-89.235900000000001"/>
    <n v="10233.200000000001"/>
    <n v="0"/>
    <n v="0"/>
    <n v="101"/>
    <s v="_x0000_US"/>
  </r>
  <r>
    <x v="0"/>
    <n v="13.691599999999999"/>
    <n v="-89.228399999999993"/>
    <n v="10233.299999999999"/>
    <n v="0"/>
    <n v="0"/>
    <n v="101"/>
    <s v="_x0000_US"/>
  </r>
  <r>
    <x v="0"/>
    <n v="13.690099999999999"/>
    <n v="-89.234700000000004"/>
    <n v="10233.5"/>
    <n v="0"/>
    <n v="0"/>
    <n v="101"/>
    <s v="_x0000_US"/>
  </r>
  <r>
    <x v="0"/>
    <n v="13.693"/>
    <n v="-89.173900000000003"/>
    <n v="10234.1"/>
    <n v="0"/>
    <n v="0"/>
    <n v="101"/>
    <s v="_x0000_US"/>
  </r>
  <r>
    <x v="0"/>
    <n v="13.690200000000001"/>
    <n v="-89.235699999999994"/>
    <n v="10234.299999999999"/>
    <n v="0"/>
    <n v="0"/>
    <n v="101"/>
    <s v="_x0000_US"/>
  </r>
  <r>
    <x v="0"/>
    <n v="13.6907"/>
    <n v="-89.233999999999995"/>
    <n v="10234.6"/>
    <n v="0"/>
    <n v="0"/>
    <n v="101"/>
    <s v="_x0000_US"/>
  </r>
  <r>
    <x v="0"/>
    <n v="13.6776"/>
    <n v="-89.247100000000003"/>
    <n v="10234.9"/>
    <n v="0"/>
    <n v="0"/>
    <n v="101"/>
    <s v="_x0000_US"/>
  </r>
  <r>
    <x v="0"/>
    <n v="13.692600000000001"/>
    <n v="-89.176699999999997"/>
    <n v="10235"/>
    <n v="0"/>
    <n v="0"/>
    <n v="101"/>
    <s v="_x0000_US"/>
  </r>
  <r>
    <x v="0"/>
    <n v="13.6966"/>
    <n v="-89.171499999999995"/>
    <n v="10235.1"/>
    <n v="0"/>
    <n v="0"/>
    <n v="101"/>
    <s v="_x0000_US"/>
  </r>
  <r>
    <x v="0"/>
    <n v="13.691000000000001"/>
    <n v="-89.186700000000002"/>
    <n v="10235.200000000001"/>
    <n v="0"/>
    <n v="0"/>
    <n v="101"/>
    <s v="_x0000_US"/>
  </r>
  <r>
    <x v="0"/>
    <n v="13.672000000000001"/>
    <n v="-89.204599999999999"/>
    <n v="10235.4"/>
    <n v="0"/>
    <n v="0"/>
    <n v="101"/>
    <s v="_x0000_US"/>
  </r>
  <r>
    <x v="0"/>
    <n v="13.691599999999999"/>
    <n v="-89.178700000000006"/>
    <n v="10235.9"/>
    <n v="0"/>
    <n v="0"/>
    <n v="101"/>
    <s v="_x0000_US"/>
  </r>
  <r>
    <x v="0"/>
    <n v="13.6907"/>
    <n v="-89.187299999999993"/>
    <n v="10235.9"/>
    <n v="0"/>
    <n v="0"/>
    <n v="101"/>
    <s v="_x0000_US"/>
  </r>
  <r>
    <x v="0"/>
    <n v="13.6915"/>
    <n v="-89.189300000000003"/>
    <n v="10236"/>
    <n v="0"/>
    <n v="0"/>
    <n v="101"/>
    <s v="_x0000_US"/>
  </r>
  <r>
    <x v="0"/>
    <n v="13.6959"/>
    <n v="-89.173000000000002"/>
    <n v="10236.299999999999"/>
    <n v="0"/>
    <n v="0"/>
    <n v="101"/>
    <s v="_x0000_US"/>
  </r>
  <r>
    <x v="0"/>
    <n v="13.6883"/>
    <n v="-89.216499999999996"/>
    <n v="10236.299999999999"/>
    <n v="0"/>
    <n v="0"/>
    <n v="101"/>
    <s v="_x0000_US"/>
  </r>
  <r>
    <x v="0"/>
    <n v="13.685"/>
    <n v="-89.203199999999995"/>
    <n v="10236.4"/>
    <n v="0"/>
    <n v="0"/>
    <n v="101"/>
    <s v="_x0000_US"/>
  </r>
  <r>
    <x v="0"/>
    <n v="13.6915"/>
    <n v="-89.228499999999997"/>
    <n v="10236.5"/>
    <n v="0"/>
    <n v="0"/>
    <n v="101"/>
    <s v="_x0000_US"/>
  </r>
  <r>
    <x v="0"/>
    <n v="13.688499999999999"/>
    <n v="-89.206699999999998"/>
    <n v="10236.9"/>
    <n v="0"/>
    <n v="0"/>
    <n v="101"/>
    <s v="_x0000_US"/>
  </r>
  <r>
    <x v="0"/>
    <n v="13.691599999999999"/>
    <n v="-89.193399999999997"/>
    <n v="10237.200000000001"/>
    <n v="0"/>
    <n v="0"/>
    <n v="101"/>
    <s v="_x0000_US"/>
  </r>
  <r>
    <x v="0"/>
    <n v="13.687200000000001"/>
    <n v="-89.191299999999998"/>
    <n v="10237.299999999999"/>
    <n v="0"/>
    <n v="0"/>
    <n v="101"/>
    <s v="_x0000_US"/>
  </r>
  <r>
    <x v="0"/>
    <n v="13.6907"/>
    <n v="-89.187399999999997"/>
    <n v="10237.299999999999"/>
    <n v="0"/>
    <n v="0"/>
    <n v="101"/>
    <s v="_x0000_US"/>
  </r>
  <r>
    <x v="0"/>
    <n v="13.6914"/>
    <n v="-89.235200000000006"/>
    <n v="10237.299999999999"/>
    <n v="0"/>
    <n v="0"/>
    <n v="101"/>
    <s v="_x0000_US"/>
  </r>
  <r>
    <x v="0"/>
    <n v="13.679500000000001"/>
    <n v="-89.194199999999995"/>
    <n v="10238.5"/>
    <n v="0"/>
    <n v="0"/>
    <n v="101"/>
    <s v="_x0000_US"/>
  </r>
  <r>
    <x v="0"/>
    <n v="13.6868"/>
    <n v="-89.2149"/>
    <n v="10238.5"/>
    <n v="0"/>
    <n v="0"/>
    <n v="101"/>
    <s v="_x0000_US"/>
  </r>
  <r>
    <x v="0"/>
    <n v="13.6875"/>
    <n v="-89.216999999999999"/>
    <n v="10239.4"/>
    <n v="0"/>
    <n v="0"/>
    <n v="101"/>
    <s v="_x0000_US"/>
  </r>
  <r>
    <x v="0"/>
    <n v="13.691700000000001"/>
    <n v="-89.227099999999993"/>
    <n v="10239.4"/>
    <n v="0"/>
    <n v="0"/>
    <n v="101"/>
    <s v="_x0000_US"/>
  </r>
  <r>
    <x v="0"/>
    <n v="13.6745"/>
    <n v="-89.251800000000003"/>
    <n v="10240.1"/>
    <n v="0"/>
    <n v="0"/>
    <n v="101"/>
    <s v="_x0000_US"/>
  </r>
  <r>
    <x v="0"/>
    <n v="13.6904"/>
    <n v="-89.188900000000004"/>
    <n v="10240.200000000001"/>
    <n v="0"/>
    <n v="0"/>
    <n v="101"/>
    <s v="_x0000_US"/>
  </r>
  <r>
    <x v="0"/>
    <n v="13.691599999999999"/>
    <n v="-89.220600000000005"/>
    <n v="10240.5"/>
    <n v="0"/>
    <n v="0"/>
    <n v="101"/>
    <s v="_x0000_US"/>
  </r>
  <r>
    <x v="0"/>
    <n v="13.6868"/>
    <n v="-89.215400000000002"/>
    <n v="10240.5"/>
    <n v="0"/>
    <n v="0"/>
    <n v="101"/>
    <s v="_x0000_US"/>
  </r>
  <r>
    <x v="0"/>
    <n v="13.688599999999999"/>
    <n v="-89.216200000000001"/>
    <n v="10241.1"/>
    <n v="0"/>
    <n v="0"/>
    <n v="101"/>
    <s v="_x0000_US"/>
  </r>
  <r>
    <x v="0"/>
    <n v="13.6905"/>
    <n v="-89.195499999999996"/>
    <n v="10241.200000000001"/>
    <n v="0"/>
    <n v="0"/>
    <n v="101"/>
    <s v="_x0000_US"/>
  </r>
  <r>
    <x v="0"/>
    <n v="13.6873"/>
    <n v="-89.196600000000004"/>
    <n v="10241.9"/>
    <n v="0"/>
    <n v="0"/>
    <n v="101"/>
    <s v="_x0000_US"/>
  </r>
  <r>
    <x v="0"/>
    <n v="13.6813"/>
    <n v="-89.1952"/>
    <n v="10241.9"/>
    <n v="0"/>
    <n v="0"/>
    <n v="101"/>
    <s v="_x0000_US"/>
  </r>
  <r>
    <x v="0"/>
    <n v="13.685499999999999"/>
    <n v="-89.201400000000007"/>
    <n v="10242.1"/>
    <n v="0"/>
    <n v="0"/>
    <n v="101"/>
    <s v="_x0000_US"/>
  </r>
  <r>
    <x v="0"/>
    <n v="13.6911"/>
    <n v="-89.229200000000006"/>
    <n v="10242.200000000001"/>
    <n v="0"/>
    <n v="0"/>
    <n v="101"/>
    <s v="_x0000_US"/>
  </r>
  <r>
    <x v="0"/>
    <n v="13.691800000000001"/>
    <n v="-89.194400000000002"/>
    <n v="10242.4"/>
    <n v="0"/>
    <n v="0"/>
    <n v="101"/>
    <s v="_x0000_US"/>
  </r>
  <r>
    <x v="0"/>
    <n v="13.684900000000001"/>
    <n v="-89.213099999999997"/>
    <n v="10242.4"/>
    <n v="0"/>
    <n v="0"/>
    <n v="101"/>
    <s v="_x0000_US"/>
  </r>
  <r>
    <x v="0"/>
    <n v="13.692299999999999"/>
    <n v="-89.2226"/>
    <n v="10243"/>
    <n v="0"/>
    <n v="0"/>
    <n v="101"/>
    <s v="_x0000_US"/>
  </r>
  <r>
    <x v="0"/>
    <n v="13.69"/>
    <n v="-89.184899999999999"/>
    <n v="10243.5"/>
    <n v="0"/>
    <n v="0"/>
    <n v="101"/>
    <s v="_x0000_US"/>
  </r>
  <r>
    <x v="0"/>
    <n v="13.687099999999999"/>
    <n v="-89.197400000000002"/>
    <n v="10244.1"/>
    <n v="0"/>
    <n v="0"/>
    <n v="101"/>
    <s v="_x0000_US"/>
  </r>
  <r>
    <x v="0"/>
    <n v="13.6919"/>
    <n v="-89.179400000000001"/>
    <n v="10244.200000000001"/>
    <n v="0"/>
    <n v="0"/>
    <n v="101"/>
    <s v="_x0000_US"/>
  </r>
  <r>
    <x v="0"/>
    <n v="13.6858"/>
    <n v="-89.201599999999999"/>
    <n v="10244.4"/>
    <n v="0"/>
    <n v="0"/>
    <n v="101"/>
    <s v="_x0000_US"/>
  </r>
  <r>
    <x v="0"/>
    <n v="13.69"/>
    <n v="-89.190399999999997"/>
    <n v="10244.6"/>
    <n v="0"/>
    <n v="0"/>
    <n v="101"/>
    <s v="_x0000_US"/>
  </r>
  <r>
    <x v="0"/>
    <n v="13.6943"/>
    <n v="-89.175899999999999"/>
    <n v="10244.6"/>
    <n v="0"/>
    <n v="0"/>
    <n v="101"/>
    <s v="_x0000_US"/>
  </r>
  <r>
    <x v="0"/>
    <n v="13.691700000000001"/>
    <n v="-89.178799999999995"/>
    <n v="10245"/>
    <n v="0"/>
    <n v="0"/>
    <n v="101"/>
    <s v="_x0000_US"/>
  </r>
  <r>
    <x v="0"/>
    <n v="13.6891"/>
    <n v="-89.177800000000005"/>
    <n v="10245.5"/>
    <n v="0"/>
    <n v="0"/>
    <n v="101"/>
    <s v="_x0000_US"/>
  </r>
  <r>
    <x v="0"/>
    <n v="13.690300000000001"/>
    <n v="-89.193299999999994"/>
    <n v="10246.1"/>
    <n v="0"/>
    <n v="0"/>
    <n v="101"/>
    <s v="_x0000_US"/>
  </r>
  <r>
    <x v="0"/>
    <n v="13.688700000000001"/>
    <n v="-89.189800000000005"/>
    <n v="10246.4"/>
    <n v="0"/>
    <n v="0"/>
    <n v="101"/>
    <s v="_x0000_US"/>
  </r>
  <r>
    <x v="0"/>
    <n v="13.6945"/>
    <n v="-89.188999999999993"/>
    <n v="10246.6"/>
    <n v="0"/>
    <n v="0"/>
    <n v="101"/>
    <s v="_x0000_US"/>
  </r>
  <r>
    <x v="0"/>
    <n v="13.679500000000001"/>
    <n v="-89.1965"/>
    <n v="10246.9"/>
    <n v="0"/>
    <n v="0"/>
    <n v="101"/>
    <s v="_x0000_US"/>
  </r>
  <r>
    <x v="0"/>
    <n v="13.692600000000001"/>
    <n v="-89.174099999999996"/>
    <n v="10246.9"/>
    <n v="0"/>
    <n v="0"/>
    <n v="101"/>
    <s v="_x0000_US"/>
  </r>
  <r>
    <x v="0"/>
    <n v="13.692600000000001"/>
    <n v="-89.225200000000001"/>
    <n v="10247.200000000001"/>
    <n v="0"/>
    <n v="0"/>
    <n v="101"/>
    <s v="_x0000_US"/>
  </r>
  <r>
    <x v="0"/>
    <n v="13.693300000000001"/>
    <n v="-89.188699999999997"/>
    <n v="10247.299999999999"/>
    <n v="0"/>
    <n v="0"/>
    <n v="101"/>
    <s v="_x0000_US"/>
  </r>
  <r>
    <x v="0"/>
    <n v="13.6844"/>
    <n v="-89.194000000000003"/>
    <n v="10247.4"/>
    <n v="0"/>
    <n v="0"/>
    <n v="101"/>
    <s v="_x0000_US"/>
  </r>
  <r>
    <x v="0"/>
    <n v="13.690200000000001"/>
    <n v="-89.197500000000005"/>
    <n v="10248.4"/>
    <n v="0"/>
    <n v="0"/>
    <n v="101"/>
    <s v="_x0000_US"/>
  </r>
  <r>
    <x v="0"/>
    <n v="13.6914"/>
    <n v="-89.228399999999993"/>
    <n v="10248.5"/>
    <n v="0"/>
    <n v="0"/>
    <n v="101"/>
    <s v="_x0000_US"/>
  </r>
  <r>
    <x v="0"/>
    <n v="13.684699999999999"/>
    <n v="-89.211500000000001"/>
    <n v="10248.6"/>
    <n v="0"/>
    <n v="0"/>
    <n v="101"/>
    <s v="_x0000_US"/>
  </r>
  <r>
    <x v="0"/>
    <n v="13.6873"/>
    <n v="-89.194400000000002"/>
    <n v="10248.9"/>
    <n v="0"/>
    <n v="0"/>
    <n v="101"/>
    <s v="_x0000_US"/>
  </r>
  <r>
    <x v="0"/>
    <n v="13.6892"/>
    <n v="-89.206100000000006"/>
    <n v="10249.1"/>
    <n v="0"/>
    <n v="0"/>
    <n v="101"/>
    <s v="_x0000_US"/>
  </r>
  <r>
    <x v="0"/>
    <n v="13.692299999999999"/>
    <n v="-89.179299999999998"/>
    <n v="10250.299999999999"/>
    <n v="0"/>
    <n v="0"/>
    <n v="101"/>
    <s v="_x0000_US"/>
  </r>
  <r>
    <x v="0"/>
    <n v="13.6905"/>
    <n v="-89.178799999999995"/>
    <n v="10250.4"/>
    <n v="0"/>
    <n v="0"/>
    <n v="101"/>
    <s v="_x0000_US"/>
  </r>
  <r>
    <x v="0"/>
    <n v="13.692399999999999"/>
    <n v="-89.196899999999999"/>
    <n v="10250.799999999999"/>
    <n v="0"/>
    <n v="0"/>
    <n v="101"/>
    <s v="_x0000_US"/>
  </r>
  <r>
    <x v="0"/>
    <n v="13.6745"/>
    <n v="-89.251099999999994"/>
    <n v="10251.200000000001"/>
    <n v="0"/>
    <n v="0"/>
    <n v="101"/>
    <s v="_x0000_US"/>
  </r>
  <r>
    <x v="0"/>
    <n v="13.6876"/>
    <n v="-89.194299999999998"/>
    <n v="10251.299999999999"/>
    <n v="0"/>
    <n v="0"/>
    <n v="101"/>
    <s v="_x0000_US"/>
  </r>
  <r>
    <x v="0"/>
    <n v="13.690799999999999"/>
    <n v="-89.195400000000006"/>
    <n v="10251.299999999999"/>
    <n v="0"/>
    <n v="0"/>
    <n v="101"/>
    <s v="_x0000_US"/>
  </r>
  <r>
    <x v="0"/>
    <n v="13.6944"/>
    <n v="-89.175799999999995"/>
    <n v="10251.299999999999"/>
    <n v="0"/>
    <n v="0"/>
    <n v="101"/>
    <s v="_x0000_US"/>
  </r>
  <r>
    <x v="0"/>
    <n v="13.6912"/>
    <n v="-89.228899999999996"/>
    <n v="10251.700000000001"/>
    <n v="0"/>
    <n v="0"/>
    <n v="101"/>
    <s v="_x0000_US"/>
  </r>
  <r>
    <x v="0"/>
    <n v="13.690899999999999"/>
    <n v="-89.219700000000003"/>
    <n v="10251.700000000001"/>
    <n v="0"/>
    <n v="0"/>
    <n v="101"/>
    <s v="_x0000_US"/>
  </r>
  <r>
    <x v="0"/>
    <n v="13.6853"/>
    <n v="-89.212699999999998"/>
    <n v="10251.9"/>
    <n v="0"/>
    <n v="0"/>
    <n v="101"/>
    <s v="_x0000_US"/>
  </r>
  <r>
    <x v="0"/>
    <n v="13.691599999999999"/>
    <n v="-89.225999999999999"/>
    <n v="10252.1"/>
    <n v="0"/>
    <n v="0"/>
    <n v="101"/>
    <s v="_x0000_US"/>
  </r>
  <r>
    <x v="0"/>
    <n v="13.6911"/>
    <n v="-89.232600000000005"/>
    <n v="10252.4"/>
    <n v="0"/>
    <n v="0"/>
    <n v="101"/>
    <s v="_x0000_US"/>
  </r>
  <r>
    <x v="0"/>
    <n v="13.688800000000001"/>
    <n v="-89.190399999999997"/>
    <n v="10252.6"/>
    <n v="0"/>
    <n v="0"/>
    <n v="101"/>
    <s v="_x0000_US"/>
  </r>
  <r>
    <x v="0"/>
    <n v="13.692399999999999"/>
    <n v="-89.226699999999994"/>
    <n v="10253.1"/>
    <n v="0"/>
    <n v="0"/>
    <n v="101"/>
    <s v="_x0000_US"/>
  </r>
  <r>
    <x v="0"/>
    <n v="13.6957"/>
    <n v="-89.172899999999998"/>
    <n v="10253.200000000001"/>
    <n v="0"/>
    <n v="0"/>
    <n v="101"/>
    <s v="_x0000_US"/>
  </r>
  <r>
    <x v="0"/>
    <n v="13.6899"/>
    <n v="-89.2363"/>
    <n v="10253.299999999999"/>
    <n v="0"/>
    <n v="0"/>
    <n v="101"/>
    <s v="_x0000_US"/>
  </r>
  <r>
    <x v="0"/>
    <n v="13.6944"/>
    <n v="-89.185400000000001"/>
    <n v="10253.5"/>
    <n v="0"/>
    <n v="0"/>
    <n v="101"/>
    <s v="_x0000_US"/>
  </r>
  <r>
    <x v="0"/>
    <n v="13.6884"/>
    <n v="-89.204400000000007"/>
    <n v="10253.700000000001"/>
    <n v="0"/>
    <n v="0"/>
    <n v="101"/>
    <s v="_x0000_US"/>
  </r>
  <r>
    <x v="0"/>
    <n v="13.674899999999999"/>
    <n v="-89.199700000000007"/>
    <n v="10253.9"/>
    <n v="0"/>
    <n v="0"/>
    <n v="101"/>
    <s v="_x0000_US"/>
  </r>
  <r>
    <x v="0"/>
    <n v="13.690899999999999"/>
    <n v="-89.231800000000007"/>
    <n v="10254"/>
    <n v="0"/>
    <n v="0"/>
    <n v="101"/>
    <s v="_x0000_US"/>
  </r>
  <r>
    <x v="0"/>
    <n v="13.6906"/>
    <n v="-89.233699999999999"/>
    <n v="10255.5"/>
    <n v="0"/>
    <n v="0"/>
    <n v="101"/>
    <s v="_x0000_US"/>
  </r>
  <r>
    <x v="0"/>
    <n v="13.6752"/>
    <n v="-89.1999"/>
    <n v="10255.700000000001"/>
    <n v="0"/>
    <n v="0"/>
    <n v="101"/>
    <s v="_x0000_US"/>
  </r>
  <r>
    <x v="0"/>
    <n v="13.6907"/>
    <n v="-89.234800000000007"/>
    <n v="10255.799999999999"/>
    <n v="0"/>
    <n v="0"/>
    <n v="101"/>
    <s v="_x0000_US"/>
  </r>
  <r>
    <x v="0"/>
    <n v="13.6944"/>
    <n v="-89.185500000000005"/>
    <n v="10256.6"/>
    <n v="0"/>
    <n v="0"/>
    <n v="101"/>
    <s v="_x0000_US"/>
  </r>
  <r>
    <x v="0"/>
    <n v="13.6915"/>
    <n v="-89.189300000000003"/>
    <n v="10256.6"/>
    <n v="0"/>
    <n v="0"/>
    <n v="101"/>
    <s v="_x0000_US"/>
  </r>
  <r>
    <x v="0"/>
    <n v="13.690799999999999"/>
    <n v="-89.194299999999998"/>
    <n v="10256.799999999999"/>
    <n v="0"/>
    <n v="0"/>
    <n v="101"/>
    <s v="_x0000_US"/>
  </r>
  <r>
    <x v="0"/>
    <n v="13.690899999999999"/>
    <n v="-89.228700000000003"/>
    <n v="10257"/>
    <n v="0"/>
    <n v="0"/>
    <n v="101"/>
    <s v="_x0000_US"/>
  </r>
  <r>
    <x v="0"/>
    <n v="13.69"/>
    <n v="-89.184700000000007"/>
    <n v="10257.6"/>
    <n v="0"/>
    <n v="0"/>
    <n v="101"/>
    <s v="_x0000_US"/>
  </r>
  <r>
    <x v="0"/>
    <n v="13.6882"/>
    <n v="-89.198400000000007"/>
    <n v="10257.6"/>
    <n v="0"/>
    <n v="0"/>
    <n v="101"/>
    <s v="_x0000_US"/>
  </r>
  <r>
    <x v="0"/>
    <n v="13.6845"/>
    <n v="-89.216200000000001"/>
    <n v="10257.700000000001"/>
    <n v="0"/>
    <n v="0"/>
    <n v="101"/>
    <s v="_x0000_US"/>
  </r>
  <r>
    <x v="0"/>
    <n v="13.6911"/>
    <n v="-89.226900000000001"/>
    <n v="10257.799999999999"/>
    <n v="0"/>
    <n v="0"/>
    <n v="101"/>
    <s v="_x0000_US"/>
  </r>
  <r>
    <x v="0"/>
    <n v="13.6876"/>
    <n v="-89.196600000000004"/>
    <n v="10258"/>
    <n v="0"/>
    <n v="0"/>
    <n v="101"/>
    <s v="_x0000_US"/>
  </r>
  <r>
    <x v="0"/>
    <n v="13.674799999999999"/>
    <n v="-89.202500000000001"/>
    <n v="10258.299999999999"/>
    <n v="0"/>
    <n v="0"/>
    <n v="101"/>
    <s v="_x0000_US"/>
  </r>
  <r>
    <x v="0"/>
    <n v="13.6874"/>
    <n v="-89.194699999999997"/>
    <n v="10258.4"/>
    <n v="0"/>
    <n v="0"/>
    <n v="101"/>
    <s v="_x0000_US"/>
  </r>
  <r>
    <x v="0"/>
    <n v="13.69"/>
    <n v="-89.235500000000002"/>
    <n v="10258.799999999999"/>
    <n v="0"/>
    <n v="0"/>
    <n v="101"/>
    <s v="_x0000_US"/>
  </r>
  <r>
    <x v="0"/>
    <n v="13.687099999999999"/>
    <n v="-89.197400000000002"/>
    <n v="10258.9"/>
    <n v="0"/>
    <n v="0"/>
    <n v="101"/>
    <s v="_x0000_US"/>
  </r>
  <r>
    <x v="0"/>
    <n v="13.6945"/>
    <n v="-89.185500000000005"/>
    <n v="10260"/>
    <n v="0"/>
    <n v="0"/>
    <n v="101"/>
    <s v="_x0000_US"/>
  </r>
  <r>
    <x v="0"/>
    <n v="13.674899999999999"/>
    <n v="-89.251599999999996"/>
    <n v="10260.1"/>
    <n v="0"/>
    <n v="0"/>
    <n v="101"/>
    <s v="_x0000_US"/>
  </r>
  <r>
    <x v="0"/>
    <n v="13.6914"/>
    <n v="-89.228800000000007"/>
    <n v="10260.4"/>
    <n v="0"/>
    <n v="0"/>
    <n v="101"/>
    <s v="_x0000_US"/>
  </r>
  <r>
    <x v="0"/>
    <n v="13.690799999999999"/>
    <n v="-89.2333"/>
    <n v="10260.4"/>
    <n v="0"/>
    <n v="0"/>
    <n v="101"/>
    <s v="_x0000_US"/>
  </r>
  <r>
    <x v="0"/>
    <n v="13.694599999999999"/>
    <n v="-89.1755"/>
    <n v="10260.700000000001"/>
    <n v="0"/>
    <n v="0"/>
    <n v="101"/>
    <s v="_x0000_US"/>
  </r>
  <r>
    <x v="0"/>
    <n v="13.690799999999999"/>
    <n v="-89.185000000000002"/>
    <n v="10261"/>
    <n v="0"/>
    <n v="0"/>
    <n v="101"/>
    <s v="_x0000_US"/>
  </r>
  <r>
    <x v="0"/>
    <n v="13.6943"/>
    <n v="-89.174400000000006"/>
    <n v="10262.6"/>
    <n v="0"/>
    <n v="0"/>
    <n v="101"/>
    <s v="_x0000_US"/>
  </r>
  <r>
    <x v="0"/>
    <n v="13.6896"/>
    <n v="-89.18"/>
    <n v="10262.9"/>
    <n v="0"/>
    <n v="0"/>
    <n v="101"/>
    <s v="_x0000_US"/>
  </r>
  <r>
    <x v="0"/>
    <n v="13.6921"/>
    <n v="-89.180400000000006"/>
    <n v="10263"/>
    <n v="0"/>
    <n v="0"/>
    <n v="101"/>
    <s v="_x0000_US"/>
  </r>
  <r>
    <x v="0"/>
    <n v="13.692399999999999"/>
    <n v="-89.184600000000003"/>
    <n v="10263.9"/>
    <n v="0"/>
    <n v="0"/>
    <n v="101"/>
    <s v="_x0000_US"/>
  </r>
  <r>
    <x v="0"/>
    <n v="13.680300000000001"/>
    <n v="-89.1982"/>
    <n v="10263.9"/>
    <n v="0"/>
    <n v="0"/>
    <n v="101"/>
    <s v="_x0000_US"/>
  </r>
  <r>
    <x v="0"/>
    <n v="13.6899"/>
    <n v="-89.217299999999994"/>
    <n v="10264.4"/>
    <n v="0"/>
    <n v="0"/>
    <n v="101"/>
    <s v="_x0000_US"/>
  </r>
  <r>
    <x v="0"/>
    <n v="13.690899999999999"/>
    <n v="-89.235299999999995"/>
    <n v="10265.1"/>
    <n v="0"/>
    <n v="0"/>
    <n v="101"/>
    <s v="_x0000_US"/>
  </r>
  <r>
    <x v="0"/>
    <n v="13.6904"/>
    <n v="-89.194599999999994"/>
    <n v="10265.4"/>
    <n v="0"/>
    <n v="0"/>
    <n v="101"/>
    <s v="_x0000_US"/>
  </r>
  <r>
    <x v="0"/>
    <n v="13.688499999999999"/>
    <n v="-89.206699999999998"/>
    <n v="10265.6"/>
    <n v="0"/>
    <n v="0"/>
    <n v="101"/>
    <s v="_x0000_US"/>
  </r>
  <r>
    <x v="0"/>
    <n v="13.692600000000001"/>
    <n v="-89.224999999999994"/>
    <n v="10266.1"/>
    <n v="0"/>
    <n v="0"/>
    <n v="101"/>
    <s v="_x0000_US"/>
  </r>
  <r>
    <x v="0"/>
    <n v="13.6881"/>
    <n v="-89.182699999999997"/>
    <n v="10267.1"/>
    <n v="0"/>
    <n v="0"/>
    <n v="101"/>
    <s v="_x0000_US"/>
  </r>
  <r>
    <x v="0"/>
    <n v="13.692500000000001"/>
    <n v="-89.178799999999995"/>
    <n v="10267.200000000001"/>
    <n v="0"/>
    <n v="0"/>
    <n v="101"/>
    <s v="_x0000_US"/>
  </r>
  <r>
    <x v="0"/>
    <n v="13.6913"/>
    <n v="-89.189400000000006"/>
    <n v="10267.200000000001"/>
    <n v="0"/>
    <n v="0"/>
    <n v="101"/>
    <s v="_x0000_US"/>
  </r>
  <r>
    <x v="0"/>
    <n v="13.6898"/>
    <n v="-89.184700000000007"/>
    <n v="10267.5"/>
    <n v="0"/>
    <n v="0"/>
    <n v="101"/>
    <s v="_x0000_US"/>
  </r>
  <r>
    <x v="0"/>
    <n v="13.692399999999999"/>
    <n v="-89.223799999999997"/>
    <n v="10267.799999999999"/>
    <n v="0"/>
    <n v="0"/>
    <n v="101"/>
    <s v="_x0000_US"/>
  </r>
  <r>
    <x v="0"/>
    <n v="13.6921"/>
    <n v="-89.2273"/>
    <n v="10268"/>
    <n v="0"/>
    <n v="0"/>
    <n v="101"/>
    <s v="_x0000_US"/>
  </r>
  <r>
    <x v="0"/>
    <n v="13.6973"/>
    <n v="-89.171199999999999"/>
    <n v="10268.1"/>
    <n v="0"/>
    <n v="0"/>
    <n v="101"/>
    <s v="_x0000_US"/>
  </r>
  <r>
    <x v="0"/>
    <n v="13.6747"/>
    <n v="-89.199399999999997"/>
    <n v="10268.200000000001"/>
    <n v="0"/>
    <n v="0"/>
    <n v="101"/>
    <s v="_x0000_US"/>
  </r>
  <r>
    <x v="0"/>
    <n v="13.6792"/>
    <n v="-89.196399999999997"/>
    <n v="10269.4"/>
    <n v="0"/>
    <n v="0"/>
    <n v="101"/>
    <s v="_x0000_US"/>
  </r>
  <r>
    <x v="0"/>
    <n v="13.6904"/>
    <n v="-89.235399999999998"/>
    <n v="10269.799999999999"/>
    <n v="0"/>
    <n v="0"/>
    <n v="101"/>
    <s v="_x0000_US"/>
  </r>
  <r>
    <x v="0"/>
    <n v="13.6884"/>
    <n v="-89.194999999999993"/>
    <n v="10269.9"/>
    <n v="0"/>
    <n v="0"/>
    <n v="101"/>
    <s v="_x0000_US"/>
  </r>
  <r>
    <x v="0"/>
    <n v="13.691800000000001"/>
    <n v="-89.194299999999998"/>
    <n v="10270.1"/>
    <n v="0"/>
    <n v="0"/>
    <n v="101"/>
    <s v="_x0000_US"/>
  </r>
  <r>
    <x v="0"/>
    <n v="13.691000000000001"/>
    <n v="-89.190600000000003"/>
    <n v="10270.200000000001"/>
    <n v="0"/>
    <n v="0"/>
    <n v="101"/>
    <s v="_x0000_US"/>
  </r>
  <r>
    <x v="0"/>
    <n v="13.692600000000001"/>
    <n v="-89.189700000000002"/>
    <n v="10270.299999999999"/>
    <n v="0"/>
    <n v="0"/>
    <n v="101"/>
    <s v="_x0000_US"/>
  </r>
  <r>
    <x v="0"/>
    <n v="13.679500000000001"/>
    <n v="-89.197199999999995"/>
    <n v="10270.299999999999"/>
    <n v="0"/>
    <n v="0"/>
    <n v="101"/>
    <s v="_x0000_US"/>
  </r>
  <r>
    <x v="0"/>
    <n v="13.6881"/>
    <n v="-89.204499999999996"/>
    <n v="10270.299999999999"/>
    <n v="0"/>
    <n v="0"/>
    <n v="101"/>
    <s v="_x0000_US"/>
  </r>
  <r>
    <x v="0"/>
    <n v="13.692500000000001"/>
    <n v="-89.224999999999994"/>
    <n v="10270.5"/>
    <n v="0"/>
    <n v="0"/>
    <n v="101"/>
    <s v="_x0000_US"/>
  </r>
  <r>
    <x v="0"/>
    <n v="13.690799999999999"/>
    <n v="-89.233699999999999"/>
    <n v="10270.799999999999"/>
    <n v="0"/>
    <n v="0"/>
    <n v="101"/>
    <s v="_x0000_US"/>
  </r>
  <r>
    <x v="0"/>
    <n v="13.6874"/>
    <n v="-89.197100000000006"/>
    <n v="10270.9"/>
    <n v="0"/>
    <n v="0"/>
    <n v="101"/>
    <s v="_x0000_US"/>
  </r>
  <r>
    <x v="0"/>
    <n v="13.692"/>
    <n v="-89.185900000000004"/>
    <n v="10270.9"/>
    <n v="0"/>
    <n v="0"/>
    <n v="101"/>
    <s v="_x0000_US"/>
  </r>
  <r>
    <x v="0"/>
    <n v="13.693300000000001"/>
    <n v="-89.178200000000004"/>
    <n v="10270.9"/>
    <n v="0"/>
    <n v="0"/>
    <n v="101"/>
    <s v="_x0000_US"/>
  </r>
  <r>
    <x v="0"/>
    <n v="13.6852"/>
    <n v="-89.194000000000003"/>
    <n v="10271"/>
    <n v="0"/>
    <n v="0"/>
    <n v="101"/>
    <s v="_x0000_US"/>
  </r>
  <r>
    <x v="0"/>
    <n v="13.690099999999999"/>
    <n v="-89.217500000000001"/>
    <n v="10271.299999999999"/>
    <n v="0"/>
    <n v="0"/>
    <n v="101"/>
    <s v="_x0000_US"/>
  </r>
  <r>
    <x v="0"/>
    <n v="13.686999999999999"/>
    <n v="-89.194699999999997"/>
    <n v="10271.5"/>
    <n v="0"/>
    <n v="0"/>
    <n v="101"/>
    <s v="_x0000_US"/>
  </r>
  <r>
    <x v="0"/>
    <n v="13.692"/>
    <n v="-89.221699999999998"/>
    <n v="10272"/>
    <n v="0"/>
    <n v="0"/>
    <n v="101"/>
    <s v="_x0000_US"/>
  </r>
  <r>
    <x v="0"/>
    <n v="13.686999999999999"/>
    <n v="-89.197299999999998"/>
    <n v="10272.200000000001"/>
    <n v="0"/>
    <n v="0"/>
    <n v="101"/>
    <s v="_x0000_US"/>
  </r>
  <r>
    <x v="0"/>
    <n v="13.6922"/>
    <n v="-89.186999999999998"/>
    <n v="10272.299999999999"/>
    <n v="0"/>
    <n v="0"/>
    <n v="101"/>
    <s v="_x0000_US"/>
  </r>
  <r>
    <x v="0"/>
    <n v="13.691800000000001"/>
    <n v="-89.179199999999994"/>
    <n v="10272.299999999999"/>
    <n v="0"/>
    <n v="0"/>
    <n v="101"/>
    <s v="_x0000_US"/>
  </r>
  <r>
    <x v="0"/>
    <n v="13.6907"/>
    <n v="-89.185100000000006"/>
    <n v="10272.299999999999"/>
    <n v="0"/>
    <n v="0"/>
    <n v="101"/>
    <s v="_x0000_US"/>
  </r>
  <r>
    <x v="0"/>
    <n v="13.687099999999999"/>
    <n v="-89.202299999999994"/>
    <n v="10272.6"/>
    <n v="0"/>
    <n v="0"/>
    <n v="101"/>
    <s v="_x0000_US"/>
  </r>
  <r>
    <x v="0"/>
    <n v="13.690899999999999"/>
    <n v="-89.195300000000003"/>
    <n v="10273.200000000001"/>
    <n v="0"/>
    <n v="0"/>
    <n v="101"/>
    <s v="_x0000_US"/>
  </r>
  <r>
    <x v="0"/>
    <n v="13.692600000000001"/>
    <n v="-89.181899999999999"/>
    <n v="10273.200000000001"/>
    <n v="0"/>
    <n v="0"/>
    <n v="101"/>
    <s v="_x0000_US"/>
  </r>
  <r>
    <x v="0"/>
    <n v="13.688700000000001"/>
    <n v="-89.205600000000004"/>
    <n v="10273.299999999999"/>
    <n v="0"/>
    <n v="0"/>
    <n v="101"/>
    <s v="_x0000_US"/>
  </r>
  <r>
    <x v="0"/>
    <n v="13.694699999999999"/>
    <n v="-89.183400000000006"/>
    <n v="10273.700000000001"/>
    <n v="0"/>
    <n v="0"/>
    <n v="101"/>
    <s v="_x0000_US"/>
  </r>
  <r>
    <x v="0"/>
    <n v="13.693"/>
    <n v="-89.183800000000005"/>
    <n v="10273.700000000001"/>
    <n v="0"/>
    <n v="0"/>
    <n v="101"/>
    <s v="_x0000_US"/>
  </r>
  <r>
    <x v="0"/>
    <n v="13.695399999999999"/>
    <n v="-89.1738"/>
    <n v="10273.799999999999"/>
    <n v="0"/>
    <n v="0"/>
    <n v="101"/>
    <s v="_x0000_US"/>
  </r>
  <r>
    <x v="0"/>
    <n v="13.692399999999999"/>
    <n v="-89.197100000000006"/>
    <n v="10274.4"/>
    <n v="0"/>
    <n v="0"/>
    <n v="101"/>
    <s v="_x0000_US"/>
  </r>
  <r>
    <x v="0"/>
    <n v="13.6897"/>
    <n v="-89.190100000000001"/>
    <n v="10274.4"/>
    <n v="0"/>
    <n v="0"/>
    <n v="101"/>
    <s v="_x0000_US"/>
  </r>
  <r>
    <x v="0"/>
    <n v="13.6911"/>
    <n v="-89.220299999999995"/>
    <n v="10274.700000000001"/>
    <n v="0"/>
    <n v="0"/>
    <n v="101"/>
    <s v="_x0000_US"/>
  </r>
  <r>
    <x v="0"/>
    <n v="13.6853"/>
    <n v="-89.217299999999994"/>
    <n v="10274.700000000001"/>
    <n v="0"/>
    <n v="0"/>
    <n v="101"/>
    <s v="_x0000_US"/>
  </r>
  <r>
    <x v="0"/>
    <n v="13.6904"/>
    <n v="-89.183800000000005"/>
    <n v="10276"/>
    <n v="0"/>
    <n v="0"/>
    <n v="101"/>
    <s v="_x0000_US"/>
  </r>
  <r>
    <x v="0"/>
    <n v="13.6853"/>
    <n v="-89.213200000000001"/>
    <n v="10276.200000000001"/>
    <n v="0"/>
    <n v="0"/>
    <n v="101"/>
    <s v="_x0000_US"/>
  </r>
  <r>
    <x v="0"/>
    <n v="13.691000000000001"/>
    <n v="-89.232799999999997"/>
    <n v="10276.5"/>
    <n v="0"/>
    <n v="0"/>
    <n v="101"/>
    <s v="_x0000_US"/>
  </r>
  <r>
    <x v="0"/>
    <n v="13.6919"/>
    <n v="-89.197599999999994"/>
    <n v="10276.700000000001"/>
    <n v="0"/>
    <n v="0"/>
    <n v="101"/>
    <s v="_x0000_US"/>
  </r>
  <r>
    <x v="0"/>
    <n v="13.6921"/>
    <n v="-89.226299999999995"/>
    <n v="10277.200000000001"/>
    <n v="0"/>
    <n v="0"/>
    <n v="101"/>
    <s v="_x0000_US"/>
  </r>
  <r>
    <x v="0"/>
    <n v="13.6874"/>
    <n v="-89.194699999999997"/>
    <n v="10278.1"/>
    <n v="0"/>
    <n v="0"/>
    <n v="101"/>
    <s v="_x0000_US"/>
  </r>
  <r>
    <x v="0"/>
    <n v="13.6952"/>
    <n v="-89.173199999999994"/>
    <n v="10278.1"/>
    <n v="0"/>
    <n v="0"/>
    <n v="101"/>
    <s v="_x0000_US"/>
  </r>
  <r>
    <x v="0"/>
    <n v="13.691000000000001"/>
    <n v="-89.228999999999999"/>
    <n v="10278.1"/>
    <n v="0"/>
    <n v="0"/>
    <n v="101"/>
    <s v="_x0000_US"/>
  </r>
  <r>
    <x v="0"/>
    <n v="13.6873"/>
    <n v="-89.194400000000002"/>
    <n v="10278.299999999999"/>
    <n v="0"/>
    <n v="0"/>
    <n v="101"/>
    <s v="_x0000_US"/>
  </r>
  <r>
    <x v="0"/>
    <n v="13.6914"/>
    <n v="-89.179699999999997"/>
    <n v="10278.5"/>
    <n v="0"/>
    <n v="0"/>
    <n v="101"/>
    <s v="_x0000_US"/>
  </r>
  <r>
    <x v="0"/>
    <n v="13.6905"/>
    <n v="-89.236000000000004"/>
    <n v="10278.9"/>
    <n v="0"/>
    <n v="0"/>
    <n v="101"/>
    <s v="_x0000_US"/>
  </r>
  <r>
    <x v="0"/>
    <n v="13.6945"/>
    <n v="-89.183099999999996"/>
    <n v="10279.1"/>
    <n v="0"/>
    <n v="0"/>
    <n v="101"/>
    <s v="_x0000_US"/>
  </r>
  <r>
    <x v="0"/>
    <n v="13.6912"/>
    <n v="-89.229500000000002"/>
    <n v="10279.299999999999"/>
    <n v="0"/>
    <n v="0"/>
    <n v="101"/>
    <s v="_x0000_US"/>
  </r>
  <r>
    <x v="0"/>
    <n v="13.6899"/>
    <n v="-89.228800000000007"/>
    <n v="10279.6"/>
    <n v="0"/>
    <n v="0"/>
    <n v="101"/>
    <s v="_x0000_US"/>
  </r>
  <r>
    <x v="0"/>
    <n v="13.6919"/>
    <n v="-89.183499999999995"/>
    <n v="10279.700000000001"/>
    <n v="0"/>
    <n v="0"/>
    <n v="101"/>
    <s v="_x0000_US"/>
  </r>
  <r>
    <x v="0"/>
    <n v="13.6853"/>
    <n v="-89.216999999999999"/>
    <n v="10279.700000000001"/>
    <n v="0"/>
    <n v="0"/>
    <n v="101"/>
    <s v="_x0000_US"/>
  </r>
  <r>
    <x v="0"/>
    <n v="13.6934"/>
    <n v="-89.1768"/>
    <n v="10279.799999999999"/>
    <n v="0"/>
    <n v="0"/>
    <n v="101"/>
    <s v="_x0000_US"/>
  </r>
  <r>
    <x v="0"/>
    <n v="13.691000000000001"/>
    <n v="-89.190399999999997"/>
    <n v="10280"/>
    <n v="0"/>
    <n v="0"/>
    <n v="101"/>
    <s v="_x0000_US"/>
  </r>
  <r>
    <x v="0"/>
    <n v="13.687799999999999"/>
    <n v="-89.1815"/>
    <n v="10280.200000000001"/>
    <n v="0"/>
    <n v="0"/>
    <n v="101"/>
    <s v="_x0000_US"/>
  </r>
  <r>
    <x v="0"/>
    <n v="13.6891"/>
    <n v="-89.184200000000004"/>
    <n v="10280.6"/>
    <n v="0"/>
    <n v="0"/>
    <n v="101"/>
    <s v="_x0000_US"/>
  </r>
  <r>
    <x v="0"/>
    <n v="13.6868"/>
    <n v="-89.181799999999996"/>
    <n v="10280.700000000001"/>
    <n v="0"/>
    <n v="0"/>
    <n v="101"/>
    <s v="_x0000_US"/>
  </r>
  <r>
    <x v="0"/>
    <n v="13.6873"/>
    <n v="-89.216700000000003"/>
    <n v="10280.799999999999"/>
    <n v="0"/>
    <n v="0"/>
    <n v="101"/>
    <s v="_x0000_US"/>
  </r>
  <r>
    <x v="0"/>
    <n v="13.6911"/>
    <n v="-89.234999999999999"/>
    <n v="10281.1"/>
    <n v="0"/>
    <n v="0"/>
    <n v="101"/>
    <s v="_x0000_US"/>
  </r>
  <r>
    <x v="0"/>
    <n v="13.691700000000001"/>
    <n v="-89.186499999999995"/>
    <n v="10282.9"/>
    <n v="0"/>
    <n v="0"/>
    <n v="101"/>
    <s v="_x0000_US"/>
  </r>
  <r>
    <x v="0"/>
    <n v="13.6913"/>
    <n v="-89.232900000000001"/>
    <n v="10283.299999999999"/>
    <n v="0"/>
    <n v="0"/>
    <n v="101"/>
    <s v="_x0000_US"/>
  </r>
  <r>
    <x v="0"/>
    <n v="13.674300000000001"/>
    <n v="-89.252099999999999"/>
    <n v="10283.299999999999"/>
    <n v="0"/>
    <n v="0"/>
    <n v="101"/>
    <s v="_x0000_US"/>
  </r>
  <r>
    <x v="0"/>
    <n v="13.690300000000001"/>
    <n v="-89.195800000000006"/>
    <n v="10283.700000000001"/>
    <n v="0"/>
    <n v="0"/>
    <n v="101"/>
    <s v="_x0000_US"/>
  </r>
  <r>
    <x v="0"/>
    <n v="13.6911"/>
    <n v="-89.234200000000001"/>
    <n v="10283.799999999999"/>
    <n v="0"/>
    <n v="0"/>
    <n v="101"/>
    <s v="_x0000_US"/>
  </r>
  <r>
    <x v="0"/>
    <n v="13.6914"/>
    <n v="-89.228499999999997"/>
    <n v="10284"/>
    <n v="0"/>
    <n v="0"/>
    <n v="101"/>
    <s v="_x0000_US"/>
  </r>
  <r>
    <x v="0"/>
    <n v="13.6927"/>
    <n v="-89.223699999999994"/>
    <n v="10284"/>
    <n v="0"/>
    <n v="0"/>
    <n v="101"/>
    <s v="_x0000_US"/>
  </r>
  <r>
    <x v="0"/>
    <n v="13.675000000000001"/>
    <n v="-89.252200000000002"/>
    <n v="10284.200000000001"/>
    <n v="0"/>
    <n v="0"/>
    <n v="101"/>
    <s v="_x0000_US"/>
  </r>
  <r>
    <x v="0"/>
    <n v="13.6859"/>
    <n v="-89.202200000000005"/>
    <n v="10284.700000000001"/>
    <n v="0"/>
    <n v="0"/>
    <n v="101"/>
    <s v="_x0000_US"/>
  </r>
  <r>
    <x v="0"/>
    <n v="13.691800000000001"/>
    <n v="-89.2256"/>
    <n v="10284.799999999999"/>
    <n v="0"/>
    <n v="0"/>
    <n v="101"/>
    <s v="_x0000_US"/>
  </r>
  <r>
    <x v="0"/>
    <n v="13.6905"/>
    <n v="-89.178799999999995"/>
    <n v="10285"/>
    <n v="0"/>
    <n v="0"/>
    <n v="101"/>
    <s v="_x0000_US"/>
  </r>
  <r>
    <x v="0"/>
    <n v="13.694599999999999"/>
    <n v="-89.174999999999997"/>
    <n v="10285.700000000001"/>
    <n v="0"/>
    <n v="0"/>
    <n v="101"/>
    <s v="_x0000_US"/>
  </r>
  <r>
    <x v="0"/>
    <n v="13.6915"/>
    <n v="-89.226600000000005"/>
    <n v="10285.700000000001"/>
    <n v="0"/>
    <n v="0"/>
    <n v="101"/>
    <s v="_x0000_US"/>
  </r>
  <r>
    <x v="0"/>
    <n v="13.692500000000001"/>
    <n v="-89.223100000000002"/>
    <n v="10285.799999999999"/>
    <n v="0"/>
    <n v="0"/>
    <n v="101"/>
    <s v="_x0000_US"/>
  </r>
  <r>
    <x v="0"/>
    <n v="13.686400000000001"/>
    <n v="-89.211699999999993"/>
    <n v="10286"/>
    <n v="0"/>
    <n v="0"/>
    <n v="101"/>
    <s v="_x0000_US"/>
  </r>
  <r>
    <x v="0"/>
    <n v="13.687799999999999"/>
    <n v="-89.194500000000005"/>
    <n v="10286.4"/>
    <n v="0"/>
    <n v="0"/>
    <n v="101"/>
    <s v="_x0000_US"/>
  </r>
  <r>
    <x v="0"/>
    <n v="13.694000000000001"/>
    <n v="-89.174999999999997"/>
    <n v="10286.6"/>
    <n v="0"/>
    <n v="0"/>
    <n v="101"/>
    <s v="_x0000_US"/>
  </r>
  <r>
    <x v="0"/>
    <n v="13.695600000000001"/>
    <n v="-89.172799999999995"/>
    <n v="10287"/>
    <n v="0"/>
    <n v="0"/>
    <n v="101"/>
    <s v="_x0000_US"/>
  </r>
  <r>
    <x v="0"/>
    <n v="13.692500000000001"/>
    <n v="-89.189899999999994"/>
    <n v="10287.1"/>
    <n v="0"/>
    <n v="0"/>
    <n v="101"/>
    <s v="_x0000_US"/>
  </r>
  <r>
    <x v="0"/>
    <n v="13.6899"/>
    <n v="-89.197599999999994"/>
    <n v="10287.299999999999"/>
    <n v="0"/>
    <n v="0"/>
    <n v="101"/>
    <s v="_x0000_US"/>
  </r>
  <r>
    <x v="0"/>
    <n v="13.691800000000001"/>
    <n v="-89.178899999999999"/>
    <n v="10287.4"/>
    <n v="0"/>
    <n v="0"/>
    <n v="101"/>
    <s v="_x0000_US"/>
  </r>
  <r>
    <x v="0"/>
    <n v="13.690799999999999"/>
    <n v="-89.219499999999996"/>
    <n v="10287.4"/>
    <n v="0"/>
    <n v="0"/>
    <n v="101"/>
    <s v="_x0000_US"/>
  </r>
  <r>
    <x v="0"/>
    <n v="13.687799999999999"/>
    <n v="-89.180199999999999"/>
    <n v="10287.6"/>
    <n v="0"/>
    <n v="0"/>
    <n v="101"/>
    <s v="_x0000_US"/>
  </r>
  <r>
    <x v="0"/>
    <n v="13.6915"/>
    <n v="-89.22"/>
    <n v="10287.799999999999"/>
    <n v="0"/>
    <n v="0"/>
    <n v="101"/>
    <s v="_x0000_US"/>
  </r>
  <r>
    <x v="0"/>
    <n v="13.6876"/>
    <n v="-89.179599999999994"/>
    <n v="10288"/>
    <n v="0"/>
    <n v="0"/>
    <n v="101"/>
    <s v="_x0000_US"/>
  </r>
  <r>
    <x v="0"/>
    <n v="13.6746"/>
    <n v="-89.199200000000005"/>
    <n v="10288"/>
    <n v="0"/>
    <n v="0"/>
    <n v="101"/>
    <s v="_x0000_US"/>
  </r>
  <r>
    <x v="0"/>
    <n v="13.6798"/>
    <n v="-89.195800000000006"/>
    <n v="10288.700000000001"/>
    <n v="0"/>
    <n v="0"/>
    <n v="101"/>
    <s v="_x0000_US"/>
  </r>
  <r>
    <x v="0"/>
    <n v="13.686400000000001"/>
    <n v="-89.214699999999993"/>
    <n v="10288.700000000001"/>
    <n v="0"/>
    <n v="0"/>
    <n v="101"/>
    <s v="_x0000_US"/>
  </r>
  <r>
    <x v="0"/>
    <n v="13.6891"/>
    <n v="-89.235799999999998"/>
    <n v="10290"/>
    <n v="0"/>
    <n v="0"/>
    <n v="101"/>
    <s v="_x0000_US"/>
  </r>
  <r>
    <x v="0"/>
    <n v="13.677"/>
    <n v="-89.199200000000005"/>
    <n v="10290.299999999999"/>
    <n v="0"/>
    <n v="0"/>
    <n v="101"/>
    <s v="_x0000_US"/>
  </r>
  <r>
    <x v="0"/>
    <n v="13.6884"/>
    <n v="-89.198899999999995"/>
    <n v="10290.799999999999"/>
    <n v="0"/>
    <n v="0"/>
    <n v="101"/>
    <s v="_x0000_US"/>
  </r>
  <r>
    <x v="0"/>
    <n v="13.690099999999999"/>
    <n v="-89.193100000000001"/>
    <n v="10291.1"/>
    <n v="0"/>
    <n v="0"/>
    <n v="101"/>
    <s v="_x0000_US"/>
  </r>
  <r>
    <x v="0"/>
    <n v="13.6922"/>
    <n v="-89.223399999999998"/>
    <n v="10291.6"/>
    <n v="0"/>
    <n v="0"/>
    <n v="101"/>
    <s v="_x0000_US"/>
  </r>
  <r>
    <x v="0"/>
    <n v="13.6905"/>
    <n v="-89.234800000000007"/>
    <n v="10291.9"/>
    <n v="0"/>
    <n v="0"/>
    <n v="101"/>
    <s v="_x0000_US"/>
  </r>
  <r>
    <x v="0"/>
    <n v="13.6881"/>
    <n v="-89.204499999999996"/>
    <n v="10292.299999999999"/>
    <n v="0"/>
    <n v="0"/>
    <n v="101"/>
    <s v="_x0000_US"/>
  </r>
  <r>
    <x v="0"/>
    <n v="13.6907"/>
    <n v="-89.235799999999998"/>
    <n v="10292.4"/>
    <n v="0"/>
    <n v="0"/>
    <n v="101"/>
    <s v="_x0000_US"/>
  </r>
  <r>
    <x v="0"/>
    <n v="13.694599999999999"/>
    <n v="-89.171800000000005"/>
    <n v="10292.6"/>
    <n v="0"/>
    <n v="0"/>
    <n v="101"/>
    <s v="_x0000_US"/>
  </r>
  <r>
    <x v="0"/>
    <n v="13.685499999999999"/>
    <n v="-89.201899999999995"/>
    <n v="10292.700000000001"/>
    <n v="0"/>
    <n v="0"/>
    <n v="101"/>
    <s v="_x0000_US"/>
  </r>
  <r>
    <x v="0"/>
    <n v="13.690899999999999"/>
    <n v="-89.183599999999998"/>
    <n v="10292.799999999999"/>
    <n v="0"/>
    <n v="0"/>
    <n v="101"/>
    <s v="_x0000_US"/>
  </r>
  <r>
    <x v="0"/>
    <n v="13.6915"/>
    <n v="-89.185500000000005"/>
    <n v="10293.4"/>
    <n v="0"/>
    <n v="0"/>
    <n v="101"/>
    <s v="_x0000_US"/>
  </r>
  <r>
    <x v="0"/>
    <n v="13.694000000000001"/>
    <n v="-89.175200000000004"/>
    <n v="10293.4"/>
    <n v="0"/>
    <n v="0"/>
    <n v="101"/>
    <s v="_x0000_US"/>
  </r>
  <r>
    <x v="0"/>
    <n v="13.6912"/>
    <n v="-89.219700000000003"/>
    <n v="10293.5"/>
    <n v="0"/>
    <n v="0"/>
    <n v="101"/>
    <s v="_x0000_US"/>
  </r>
  <r>
    <x v="0"/>
    <n v="13.6869"/>
    <n v="-89.191299999999998"/>
    <n v="10293.6"/>
    <n v="0"/>
    <n v="0"/>
    <n v="101"/>
    <s v="_x0000_US"/>
  </r>
  <r>
    <x v="0"/>
    <n v="13.689500000000001"/>
    <n v="-89.235600000000005"/>
    <n v="10293.6"/>
    <n v="0"/>
    <n v="0"/>
    <n v="101"/>
    <s v="_x0000_US"/>
  </r>
  <r>
    <x v="0"/>
    <n v="13.6935"/>
    <n v="-89.192499999999995"/>
    <n v="10293.799999999999"/>
    <n v="0"/>
    <n v="0"/>
    <n v="101"/>
    <s v="_x0000_US"/>
  </r>
  <r>
    <x v="0"/>
    <n v="13.6889"/>
    <n v="-89.229699999999994"/>
    <n v="10293.799999999999"/>
    <n v="0"/>
    <n v="0"/>
    <n v="101"/>
    <s v="_x0000_US"/>
  </r>
  <r>
    <x v="0"/>
    <n v="13.6912"/>
    <n v="-89.234800000000007"/>
    <n v="10294"/>
    <n v="0"/>
    <n v="0"/>
    <n v="101"/>
    <s v="_x0000_US"/>
  </r>
  <r>
    <x v="0"/>
    <n v="13.687900000000001"/>
    <n v="-89.195400000000006"/>
    <n v="10294.200000000001"/>
    <n v="0"/>
    <n v="0"/>
    <n v="101"/>
    <s v="_x0000_US"/>
  </r>
  <r>
    <x v="0"/>
    <n v="13.691000000000001"/>
    <n v="-89.22"/>
    <n v="10294.799999999999"/>
    <n v="0"/>
    <n v="0"/>
    <n v="101"/>
    <s v="_x0000_US"/>
  </r>
  <r>
    <x v="0"/>
    <n v="13.685"/>
    <n v="-89.203000000000003"/>
    <n v="10295.299999999999"/>
    <n v="0"/>
    <n v="0"/>
    <n v="101"/>
    <s v="_x0000_US"/>
  </r>
  <r>
    <x v="0"/>
    <n v="13.6906"/>
    <n v="-89.194800000000001"/>
    <n v="10295.4"/>
    <n v="0"/>
    <n v="0"/>
    <n v="101"/>
    <s v="_x0000_US"/>
  </r>
  <r>
    <x v="0"/>
    <n v="13.6861"/>
    <n v="-89.212699999999998"/>
    <n v="10296"/>
    <n v="0"/>
    <n v="0"/>
    <n v="101"/>
    <s v="_x0000_US"/>
  </r>
  <r>
    <x v="0"/>
    <n v="13.691800000000001"/>
    <n v="-89.179900000000004"/>
    <n v="10296.1"/>
    <n v="0"/>
    <n v="0"/>
    <n v="101"/>
    <s v="_x0000_US"/>
  </r>
  <r>
    <x v="0"/>
    <n v="13.6915"/>
    <n v="-89.220699999999994"/>
    <n v="10296.299999999999"/>
    <n v="0"/>
    <n v="0"/>
    <n v="101"/>
    <s v="_x0000_US"/>
  </r>
  <r>
    <x v="0"/>
    <n v="13.6952"/>
    <n v="-89.171899999999994"/>
    <n v="10296.700000000001"/>
    <n v="0"/>
    <n v="0"/>
    <n v="101"/>
    <s v="_x0000_US"/>
  </r>
  <r>
    <x v="0"/>
    <n v="13.694000000000001"/>
    <n v="-89.173000000000002"/>
    <n v="10297.700000000001"/>
    <n v="0"/>
    <n v="0"/>
    <n v="101"/>
    <s v="_x0000_US"/>
  </r>
  <r>
    <x v="0"/>
    <n v="13.6868"/>
    <n v="-89.212400000000002"/>
    <n v="10298.1"/>
    <n v="0"/>
    <n v="0"/>
    <n v="101"/>
    <s v="_x0000_US"/>
  </r>
  <r>
    <x v="0"/>
    <n v="13.690300000000001"/>
    <n v="-89.235900000000001"/>
    <n v="10298.200000000001"/>
    <n v="0"/>
    <n v="0"/>
    <n v="101"/>
    <s v="_x0000_US"/>
  </r>
  <r>
    <x v="0"/>
    <n v="13.684799999999999"/>
    <n v="-89.211299999999994"/>
    <n v="10298.299999999999"/>
    <n v="0"/>
    <n v="0"/>
    <n v="101"/>
    <s v="_x0000_US"/>
  </r>
  <r>
    <x v="0"/>
    <n v="13.687200000000001"/>
    <n v="-89.194599999999994"/>
    <n v="10298.5"/>
    <n v="0"/>
    <n v="0"/>
    <n v="101"/>
    <s v="_x0000_US"/>
  </r>
  <r>
    <x v="0"/>
    <n v="13.688700000000001"/>
    <n v="-89.206699999999998"/>
    <n v="10298.5"/>
    <n v="0"/>
    <n v="0"/>
    <n v="101"/>
    <s v="_x0000_US"/>
  </r>
  <r>
    <x v="0"/>
    <n v="13.677099999999999"/>
    <n v="-89.198999999999998"/>
    <n v="10299.799999999999"/>
    <n v="0"/>
    <n v="0"/>
    <n v="101"/>
    <s v="_x0000_US"/>
  </r>
  <r>
    <x v="0"/>
    <n v="13.696"/>
    <n v="-89.172600000000003"/>
    <n v="10300.200000000001"/>
    <n v="0"/>
    <n v="0"/>
    <n v="101"/>
    <s v="_x0000_US"/>
  </r>
  <r>
    <x v="0"/>
    <n v="13.690200000000001"/>
    <n v="-89.181399999999996"/>
    <n v="10300.4"/>
    <n v="0"/>
    <n v="0"/>
    <n v="101"/>
    <s v="_x0000_US"/>
  </r>
  <r>
    <x v="0"/>
    <n v="13.6744"/>
    <n v="-89.1995"/>
    <n v="10300.799999999999"/>
    <n v="0"/>
    <n v="0"/>
    <n v="101"/>
    <s v="_x0000_US"/>
  </r>
  <r>
    <x v="0"/>
    <n v="13.689500000000001"/>
    <n v="-89.2029"/>
    <n v="10300.9"/>
    <n v="0"/>
    <n v="0"/>
    <n v="101"/>
    <s v="_x0000_US"/>
  </r>
  <r>
    <x v="0"/>
    <n v="13.6913"/>
    <n v="-89.228300000000004"/>
    <n v="10301"/>
    <n v="0"/>
    <n v="0"/>
    <n v="101"/>
    <s v="_x0000_US"/>
  </r>
  <r>
    <x v="0"/>
    <n v="13.687900000000001"/>
    <n v="-89.215699999999998"/>
    <n v="10301.1"/>
    <n v="0"/>
    <n v="0"/>
    <n v="101"/>
    <s v="_x0000_US"/>
  </r>
  <r>
    <x v="0"/>
    <n v="13.686999999999999"/>
    <n v="-89.182400000000001"/>
    <n v="10301.4"/>
    <n v="0"/>
    <n v="0"/>
    <n v="101"/>
    <s v="_x0000_US"/>
  </r>
  <r>
    <x v="0"/>
    <n v="13.6907"/>
    <n v="-89.186099999999996"/>
    <n v="10301.700000000001"/>
    <n v="0"/>
    <n v="0"/>
    <n v="101"/>
    <s v="_x0000_US"/>
  </r>
  <r>
    <x v="0"/>
    <n v="13.6911"/>
    <n v="-89.235299999999995"/>
    <n v="10302.6"/>
    <n v="0"/>
    <n v="0"/>
    <n v="101"/>
    <s v="_x0000_US"/>
  </r>
  <r>
    <x v="0"/>
    <n v="13.6912"/>
    <n v="-89.178600000000003"/>
    <n v="10303.200000000001"/>
    <n v="0"/>
    <n v="0"/>
    <n v="101"/>
    <s v="_x0000_US"/>
  </r>
  <r>
    <x v="0"/>
    <n v="13.6874"/>
    <n v="-89.197100000000006"/>
    <n v="10303.299999999999"/>
    <n v="0"/>
    <n v="0"/>
    <n v="101"/>
    <s v="_x0000_US"/>
  </r>
  <r>
    <x v="0"/>
    <n v="13.691700000000001"/>
    <n v="-89.178899999999999"/>
    <n v="10303.4"/>
    <n v="0"/>
    <n v="0"/>
    <n v="101"/>
    <s v="_x0000_US"/>
  </r>
  <r>
    <x v="0"/>
    <n v="13.686400000000001"/>
    <n v="-89.215199999999996"/>
    <n v="10303.4"/>
    <n v="0"/>
    <n v="0"/>
    <n v="101"/>
    <s v="_x0000_US"/>
  </r>
  <r>
    <x v="0"/>
    <n v="13.6907"/>
    <n v="-89.186400000000006"/>
    <n v="10303.9"/>
    <n v="0"/>
    <n v="0"/>
    <n v="101"/>
    <s v="_x0000_US"/>
  </r>
  <r>
    <x v="0"/>
    <n v="13.6913"/>
    <n v="-89.183499999999995"/>
    <n v="10304.700000000001"/>
    <n v="0"/>
    <n v="0"/>
    <n v="101"/>
    <s v="_x0000_US"/>
  </r>
  <r>
    <x v="0"/>
    <n v="13.687200000000001"/>
    <n v="-89.197100000000006"/>
    <n v="10305.4"/>
    <n v="0"/>
    <n v="0"/>
    <n v="101"/>
    <s v="_x0000_US"/>
  </r>
  <r>
    <x v="0"/>
    <n v="13.692"/>
    <n v="-89.184200000000004"/>
    <n v="10306.4"/>
    <n v="0"/>
    <n v="0"/>
    <n v="101"/>
    <s v="_x0000_US"/>
  </r>
  <r>
    <x v="0"/>
    <n v="13.6928"/>
    <n v="-89.224500000000006"/>
    <n v="10307"/>
    <n v="0"/>
    <n v="0"/>
    <n v="101"/>
    <s v="_x0000_US"/>
  </r>
  <r>
    <x v="0"/>
    <n v="13.696400000000001"/>
    <n v="-89.172600000000003"/>
    <n v="10307.200000000001"/>
    <n v="0"/>
    <n v="0"/>
    <n v="101"/>
    <s v="_x0000_US"/>
  </r>
  <r>
    <x v="0"/>
    <n v="13.690899999999999"/>
    <n v="-89.232699999999994"/>
    <n v="10307.5"/>
    <n v="0"/>
    <n v="0"/>
    <n v="101"/>
    <s v="_x0000_US"/>
  </r>
  <r>
    <x v="0"/>
    <n v="13.6922"/>
    <n v="-89.194500000000005"/>
    <n v="10307.799999999999"/>
    <n v="0"/>
    <n v="0"/>
    <n v="101"/>
    <s v="_x0000_US"/>
  </r>
  <r>
    <x v="0"/>
    <n v="13.6858"/>
    <n v="-89.214699999999993"/>
    <n v="10308.299999999999"/>
    <n v="0"/>
    <n v="0"/>
    <n v="101"/>
    <s v="_x0000_US"/>
  </r>
  <r>
    <x v="0"/>
    <n v="13.690799999999999"/>
    <n v="-89.187600000000003"/>
    <n v="10308.6"/>
    <n v="0"/>
    <n v="0"/>
    <n v="101"/>
    <s v="_x0000_US"/>
  </r>
  <r>
    <x v="0"/>
    <n v="13.6866"/>
    <n v="-89.201599999999999"/>
    <n v="10308.9"/>
    <n v="0"/>
    <n v="0"/>
    <n v="101"/>
    <s v="_x0000_US"/>
  </r>
  <r>
    <x v="0"/>
    <n v="13.689"/>
    <n v="-89.189599999999999"/>
    <n v="10309.299999999999"/>
    <n v="0"/>
    <n v="0"/>
    <n v="101"/>
    <s v="_x0000_US"/>
  </r>
  <r>
    <x v="0"/>
    <n v="13.6875"/>
    <n v="-89.194400000000002"/>
    <n v="10309.299999999999"/>
    <n v="0"/>
    <n v="0"/>
    <n v="101"/>
    <s v="_x0000_US"/>
  </r>
  <r>
    <x v="0"/>
    <n v="13.675000000000001"/>
    <n v="-89.250799999999998"/>
    <n v="10309.6"/>
    <n v="0"/>
    <n v="0"/>
    <n v="101"/>
    <s v="_x0000_US"/>
  </r>
  <r>
    <x v="0"/>
    <n v="13.693199999999999"/>
    <n v="-89.176199999999994"/>
    <n v="10309.9"/>
    <n v="0"/>
    <n v="0"/>
    <n v="101"/>
    <s v="_x0000_US"/>
  </r>
  <r>
    <x v="0"/>
    <n v="13.696400000000001"/>
    <n v="-89.171999999999997"/>
    <n v="10310"/>
    <n v="0"/>
    <n v="0"/>
    <n v="101"/>
    <s v="_x0000_US"/>
  </r>
  <r>
    <x v="0"/>
    <n v="13.6882"/>
    <n v="-89.193799999999996"/>
    <n v="10311"/>
    <n v="0"/>
    <n v="0"/>
    <n v="101"/>
    <s v="_x0000_US"/>
  </r>
  <r>
    <x v="0"/>
    <n v="13.690899999999999"/>
    <n v="-89.234800000000007"/>
    <n v="10311"/>
    <n v="0"/>
    <n v="0"/>
    <n v="101"/>
    <s v="_x0000_US"/>
  </r>
  <r>
    <x v="0"/>
    <n v="13.687200000000001"/>
    <n v="-89.180999999999997"/>
    <n v="10311.6"/>
    <n v="0"/>
    <n v="0"/>
    <n v="101"/>
    <s v="_x0000_US"/>
  </r>
  <r>
    <x v="0"/>
    <n v="13.6897"/>
    <n v="-89.229500000000002"/>
    <n v="10311.6"/>
    <n v="0"/>
    <n v="0"/>
    <n v="101"/>
    <s v="_x0000_US"/>
  </r>
  <r>
    <x v="0"/>
    <n v="13.692500000000001"/>
    <n v="-89.225099999999998"/>
    <n v="10311.9"/>
    <n v="0"/>
    <n v="0"/>
    <n v="101"/>
    <s v="_x0000_US"/>
  </r>
  <r>
    <x v="0"/>
    <n v="13.6736"/>
    <n v="-89.251499999999993"/>
    <n v="10312"/>
    <n v="0"/>
    <n v="0"/>
    <n v="101"/>
    <s v="_x0000_US"/>
  </r>
  <r>
    <x v="0"/>
    <n v="13.694800000000001"/>
    <n v="-89.171899999999994"/>
    <n v="10312.200000000001"/>
    <n v="0"/>
    <n v="0"/>
    <n v="101"/>
    <s v="_x0000_US"/>
  </r>
  <r>
    <x v="0"/>
    <n v="13.6898"/>
    <n v="-89.188900000000004"/>
    <n v="10312.4"/>
    <n v="0"/>
    <n v="0"/>
    <n v="101"/>
    <s v="_x0000_US"/>
  </r>
  <r>
    <x v="0"/>
    <n v="13.677"/>
    <n v="-89.247299999999996"/>
    <n v="10312.9"/>
    <n v="0"/>
    <n v="0"/>
    <n v="101"/>
    <s v="_x0000_US"/>
  </r>
  <r>
    <x v="0"/>
    <n v="13.6877"/>
    <n v="-89.197100000000006"/>
    <n v="10313.1"/>
    <n v="0"/>
    <n v="0"/>
    <n v="101"/>
    <s v="_x0000_US"/>
  </r>
  <r>
    <x v="0"/>
    <n v="13.691800000000001"/>
    <n v="-89.186400000000006"/>
    <n v="10313.200000000001"/>
    <n v="0"/>
    <n v="0"/>
    <n v="101"/>
    <s v="_x0000_US"/>
  </r>
  <r>
    <x v="0"/>
    <n v="13.686500000000001"/>
    <n v="-89.216099999999997"/>
    <n v="10313.299999999999"/>
    <n v="0"/>
    <n v="0"/>
    <n v="101"/>
    <s v="_x0000_US"/>
  </r>
  <r>
    <x v="0"/>
    <n v="13.6896"/>
    <n v="-89.229100000000003"/>
    <n v="10313.5"/>
    <n v="0"/>
    <n v="0"/>
    <n v="101"/>
    <s v="_x0000_US"/>
  </r>
  <r>
    <x v="0"/>
    <n v="13.685600000000001"/>
    <n v="-89.2136"/>
    <n v="10313.6"/>
    <n v="0"/>
    <n v="0"/>
    <n v="101"/>
    <s v="_x0000_US"/>
  </r>
  <r>
    <x v="0"/>
    <n v="13.690899999999999"/>
    <n v="-89.1952"/>
    <n v="10313.700000000001"/>
    <n v="0"/>
    <n v="0"/>
    <n v="101"/>
    <s v="_x0000_US"/>
  </r>
  <r>
    <x v="0"/>
    <n v="13.6858"/>
    <n v="-89.215299999999999"/>
    <n v="10314"/>
    <n v="0"/>
    <n v="0"/>
    <n v="101"/>
    <s v="_x0000_US"/>
  </r>
  <r>
    <x v="0"/>
    <n v="13.679399999999999"/>
    <n v="-89.196600000000004"/>
    <n v="10314.200000000001"/>
    <n v="0"/>
    <n v="0"/>
    <n v="101"/>
    <s v="_x0000_US"/>
  </r>
  <r>
    <x v="0"/>
    <n v="13.691800000000001"/>
    <n v="-89.194299999999998"/>
    <n v="10314.4"/>
    <n v="0"/>
    <n v="0"/>
    <n v="101"/>
    <s v="_x0000_US"/>
  </r>
  <r>
    <x v="0"/>
    <n v="13.688499999999999"/>
    <n v="-89.2042"/>
    <n v="10314.4"/>
    <n v="0"/>
    <n v="0"/>
    <n v="101"/>
    <s v="_x0000_US"/>
  </r>
  <r>
    <x v="0"/>
    <n v="13.6891"/>
    <n v="-89.236000000000004"/>
    <n v="10314.4"/>
    <n v="0"/>
    <n v="0"/>
    <n v="101"/>
    <s v="_x0000_US"/>
  </r>
  <r>
    <x v="0"/>
    <n v="13.686500000000001"/>
    <n v="-89.212000000000003"/>
    <n v="10315"/>
    <n v="0"/>
    <n v="0"/>
    <n v="101"/>
    <s v="_x0000_US"/>
  </r>
  <r>
    <x v="0"/>
    <n v="13.674799999999999"/>
    <n v="-89.251900000000006"/>
    <n v="10315.5"/>
    <n v="0"/>
    <n v="0"/>
    <n v="101"/>
    <s v="_x0000_US"/>
  </r>
  <r>
    <x v="0"/>
    <n v="13.691000000000001"/>
    <n v="-89.179000000000002"/>
    <n v="10315.799999999999"/>
    <n v="0"/>
    <n v="0"/>
    <n v="101"/>
    <s v="_x0000_US"/>
  </r>
  <r>
    <x v="0"/>
    <n v="13.694000000000001"/>
    <n v="-89.172899999999998"/>
    <n v="10315.9"/>
    <n v="0"/>
    <n v="0"/>
    <n v="101"/>
    <s v="_x0000_US"/>
  </r>
  <r>
    <x v="0"/>
    <n v="13.6869"/>
    <n v="-89.197400000000002"/>
    <n v="10316"/>
    <n v="0"/>
    <n v="0"/>
    <n v="101"/>
    <s v="_x0000_US"/>
  </r>
  <r>
    <x v="0"/>
    <n v="13.6897"/>
    <n v="-89.229299999999995"/>
    <n v="10316"/>
    <n v="0"/>
    <n v="0"/>
    <n v="101"/>
    <s v="_x0000_US"/>
  </r>
  <r>
    <x v="0"/>
    <n v="13.6966"/>
    <n v="-89.171400000000006"/>
    <n v="10316.200000000001"/>
    <n v="0"/>
    <n v="0"/>
    <n v="101"/>
    <s v="_x0000_US"/>
  </r>
  <r>
    <x v="0"/>
    <n v="13.685700000000001"/>
    <n v="-89.193799999999996"/>
    <n v="10316.4"/>
    <n v="0"/>
    <n v="0"/>
    <n v="101"/>
    <s v="_x0000_US"/>
  </r>
  <r>
    <x v="0"/>
    <n v="13.696400000000001"/>
    <n v="-89.171800000000005"/>
    <n v="10316.6"/>
    <n v="0"/>
    <n v="0"/>
    <n v="101"/>
    <s v="_x0000_US"/>
  </r>
  <r>
    <x v="0"/>
    <n v="13.6906"/>
    <n v="-89.194599999999994"/>
    <n v="10317"/>
    <n v="0"/>
    <n v="0"/>
    <n v="101"/>
    <s v="_x0000_US"/>
  </r>
  <r>
    <x v="0"/>
    <n v="13.688499999999999"/>
    <n v="-89.1982"/>
    <n v="10317.200000000001"/>
    <n v="0"/>
    <n v="0"/>
    <n v="101"/>
    <s v="_x0000_US"/>
  </r>
  <r>
    <x v="0"/>
    <n v="13.6921"/>
    <n v="-89.179000000000002"/>
    <n v="10317.299999999999"/>
    <n v="0"/>
    <n v="0"/>
    <n v="101"/>
    <s v="_x0000_US"/>
  </r>
  <r>
    <x v="0"/>
    <n v="13.6915"/>
    <n v="-89.2209"/>
    <n v="10317.299999999999"/>
    <n v="0"/>
    <n v="0"/>
    <n v="101"/>
    <s v="_x0000_US"/>
  </r>
  <r>
    <x v="0"/>
    <n v="13.687099999999999"/>
    <n v="-89.183000000000007"/>
    <n v="10317.5"/>
    <n v="0"/>
    <n v="0"/>
    <n v="101"/>
    <s v="_x0000_US"/>
  </r>
  <r>
    <x v="0"/>
    <n v="13.6877"/>
    <n v="-89.191999999999993"/>
    <n v="10317.5"/>
    <n v="0"/>
    <n v="0"/>
    <n v="101"/>
    <s v="_x0000_US"/>
  </r>
  <r>
    <x v="0"/>
    <n v="13.690300000000001"/>
    <n v="-89.183999999999997"/>
    <n v="10317.799999999999"/>
    <n v="0"/>
    <n v="0"/>
    <n v="101"/>
    <s v="_x0000_US"/>
  </r>
  <r>
    <x v="0"/>
    <n v="13.6875"/>
    <n v="-89.193700000000007"/>
    <n v="10317.9"/>
    <n v="0"/>
    <n v="0"/>
    <n v="101"/>
    <s v="_x0000_US"/>
  </r>
  <r>
    <x v="0"/>
    <n v="13.6919"/>
    <n v="-89.186000000000007"/>
    <n v="10318"/>
    <n v="0"/>
    <n v="0"/>
    <n v="101"/>
    <s v="_x0000_US"/>
  </r>
  <r>
    <x v="0"/>
    <n v="13.691800000000001"/>
    <n v="-89.221400000000003"/>
    <n v="10318.299999999999"/>
    <n v="0"/>
    <n v="0"/>
    <n v="101"/>
    <s v="_x0000_US"/>
  </r>
  <r>
    <x v="0"/>
    <n v="13.688800000000001"/>
    <n v="-89.205200000000005"/>
    <n v="10318.4"/>
    <n v="0"/>
    <n v="0"/>
    <n v="101"/>
    <s v="_x0000_US"/>
  </r>
  <r>
    <x v="0"/>
    <n v="13.6852"/>
    <n v="-89.2166"/>
    <n v="10318.6"/>
    <n v="0"/>
    <n v="0"/>
    <n v="101"/>
    <s v="_x0000_US"/>
  </r>
  <r>
    <x v="0"/>
    <n v="13.691000000000001"/>
    <n v="-89.2346"/>
    <n v="10318.799999999999"/>
    <n v="0"/>
    <n v="0"/>
    <n v="101"/>
    <s v="_x0000_US"/>
  </r>
  <r>
    <x v="0"/>
    <n v="13.688700000000001"/>
    <n v="-89.229500000000002"/>
    <n v="10318.799999999999"/>
    <n v="0"/>
    <n v="0"/>
    <n v="101"/>
    <s v="_x0000_US"/>
  </r>
  <r>
    <x v="0"/>
    <n v="13.693199999999999"/>
    <n v="-89.189599999999999"/>
    <n v="10318.9"/>
    <n v="0"/>
    <n v="0"/>
    <n v="101"/>
    <s v="_x0000_US"/>
  </r>
  <r>
    <x v="0"/>
    <n v="13.6911"/>
    <n v="-89.229200000000006"/>
    <n v="10319"/>
    <n v="0"/>
    <n v="0"/>
    <n v="101"/>
    <s v="_x0000_US"/>
  </r>
  <r>
    <x v="0"/>
    <n v="13.6873"/>
    <n v="-89.197599999999994"/>
    <n v="10319.5"/>
    <n v="0"/>
    <n v="0"/>
    <n v="101"/>
    <s v="_x0000_US"/>
  </r>
  <r>
    <x v="0"/>
    <n v="13.6859"/>
    <n v="-89.203800000000001"/>
    <n v="10319.5"/>
    <n v="0"/>
    <n v="0"/>
    <n v="101"/>
    <s v="_x0000_US"/>
  </r>
  <r>
    <x v="0"/>
    <n v="13.689500000000001"/>
    <n v="-89.205200000000005"/>
    <n v="10319.799999999999"/>
    <n v="0"/>
    <n v="0"/>
    <n v="101"/>
    <s v="_x0000_US"/>
  </r>
  <r>
    <x v="0"/>
    <n v="13.673500000000001"/>
    <n v="-89.251400000000004"/>
    <n v="10319.9"/>
    <n v="0"/>
    <n v="0"/>
    <n v="101"/>
    <s v="_x0000_US"/>
  </r>
  <r>
    <x v="0"/>
    <n v="13.6904"/>
    <n v="-89.236000000000004"/>
    <n v="10320.700000000001"/>
    <n v="0"/>
    <n v="0"/>
    <n v="101"/>
    <s v="_x0000_US"/>
  </r>
  <r>
    <x v="0"/>
    <n v="13.6906"/>
    <n v="-89.227599999999995"/>
    <n v="10320.700000000001"/>
    <n v="0"/>
    <n v="0"/>
    <n v="101"/>
    <s v="_x0000_US"/>
  </r>
  <r>
    <x v="0"/>
    <n v="13.6913"/>
    <n v="-89.233400000000003"/>
    <n v="10320.9"/>
    <n v="0"/>
    <n v="0"/>
    <n v="101"/>
    <s v="_x0000_US"/>
  </r>
  <r>
    <x v="0"/>
    <n v="13.6869"/>
    <n v="-89.191500000000005"/>
    <n v="10321.799999999999"/>
    <n v="0"/>
    <n v="0"/>
    <n v="101"/>
    <s v="_x0000_US"/>
  </r>
  <r>
    <x v="0"/>
    <n v="13.687799999999999"/>
    <n v="-89.215599999999995"/>
    <n v="10322.299999999999"/>
    <n v="0"/>
    <n v="0"/>
    <n v="101"/>
    <s v="_x0000_US"/>
  </r>
  <r>
    <x v="0"/>
    <n v="13.6869"/>
    <n v="-89.211699999999993"/>
    <n v="10322.6"/>
    <n v="0"/>
    <n v="0"/>
    <n v="101"/>
    <s v="_x0000_US"/>
  </r>
  <r>
    <x v="0"/>
    <n v="13.689299999999999"/>
    <n v="-89.205299999999994"/>
    <n v="10322.700000000001"/>
    <n v="0"/>
    <n v="0"/>
    <n v="101"/>
    <s v="_x0000_US"/>
  </r>
  <r>
    <x v="0"/>
    <n v="13.6913"/>
    <n v="-89.229100000000003"/>
    <n v="10322.9"/>
    <n v="0"/>
    <n v="0"/>
    <n v="101"/>
    <s v="_x0000_US"/>
  </r>
  <r>
    <x v="0"/>
    <n v="13.691800000000001"/>
    <n v="-89.178700000000006"/>
    <n v="10323"/>
    <n v="0"/>
    <n v="0"/>
    <n v="101"/>
    <s v="_x0000_US"/>
  </r>
  <r>
    <x v="0"/>
    <n v="13.6874"/>
    <n v="-89.197100000000006"/>
    <n v="10323.1"/>
    <n v="0"/>
    <n v="0"/>
    <n v="101"/>
    <s v="_x0000_US"/>
  </r>
  <r>
    <x v="0"/>
    <n v="13.6868"/>
    <n v="-89.203999999999994"/>
    <n v="10323.6"/>
    <n v="0"/>
    <n v="0"/>
    <n v="101"/>
    <s v="_x0000_US"/>
  </r>
  <r>
    <x v="0"/>
    <n v="13.674899999999999"/>
    <n v="-89.250799999999998"/>
    <n v="10323.6"/>
    <n v="0"/>
    <n v="0"/>
    <n v="101"/>
    <s v="_x0000_US"/>
  </r>
  <r>
    <x v="0"/>
    <n v="13.6921"/>
    <n v="-89.2226"/>
    <n v="10323.6"/>
    <n v="0"/>
    <n v="0"/>
    <n v="101"/>
    <s v="_x0000_US"/>
  </r>
  <r>
    <x v="0"/>
    <n v="13.674300000000001"/>
    <n v="-89.199100000000001"/>
    <n v="10323.700000000001"/>
    <n v="0"/>
    <n v="0"/>
    <n v="101"/>
    <s v="_x0000_US"/>
  </r>
  <r>
    <x v="0"/>
    <n v="13.6866"/>
    <n v="-89.214699999999993"/>
    <n v="10323.700000000001"/>
    <n v="0"/>
    <n v="0"/>
    <n v="101"/>
    <s v="_x0000_US"/>
  </r>
  <r>
    <x v="0"/>
    <n v="13.692299999999999"/>
    <n v="-89.183199999999999"/>
    <n v="10324.1"/>
    <n v="0"/>
    <n v="0"/>
    <n v="101"/>
    <s v="_x0000_US"/>
  </r>
  <r>
    <x v="0"/>
    <n v="13.6858"/>
    <n v="-89.213399999999993"/>
    <n v="10325.1"/>
    <n v="0"/>
    <n v="0"/>
    <n v="101"/>
    <s v="_x0000_US"/>
  </r>
  <r>
    <x v="0"/>
    <n v="13.684100000000001"/>
    <n v="-89.213200000000001"/>
    <n v="10325.6"/>
    <n v="0"/>
    <n v="0"/>
    <n v="101"/>
    <s v="_x0000_US"/>
  </r>
  <r>
    <x v="0"/>
    <n v="13.687099999999999"/>
    <n v="-89.197100000000006"/>
    <n v="10326"/>
    <n v="0"/>
    <n v="0"/>
    <n v="101"/>
    <s v="_x0000_US"/>
  </r>
  <r>
    <x v="0"/>
    <n v="13.6912"/>
    <n v="-89.228499999999997"/>
    <n v="10326"/>
    <n v="0"/>
    <n v="0"/>
    <n v="101"/>
    <s v="_x0000_US"/>
  </r>
  <r>
    <x v="0"/>
    <n v="13.6876"/>
    <n v="-89.180300000000003"/>
    <n v="10326.4"/>
    <n v="0"/>
    <n v="0"/>
    <n v="101"/>
    <s v="_x0000_US"/>
  </r>
  <r>
    <x v="0"/>
    <n v="13.692"/>
    <n v="-89.224100000000007"/>
    <n v="10327"/>
    <n v="0"/>
    <n v="0"/>
    <n v="101"/>
    <s v="_x0000_US"/>
  </r>
  <r>
    <x v="0"/>
    <n v="13.679600000000001"/>
    <n v="-89.197400000000002"/>
    <n v="10327.4"/>
    <n v="0"/>
    <n v="0"/>
    <n v="101"/>
    <s v="_x0000_US"/>
  </r>
  <r>
    <x v="0"/>
    <n v="13.696899999999999"/>
    <n v="-89.171999999999997"/>
    <n v="10327.4"/>
    <n v="0"/>
    <n v="0"/>
    <n v="101"/>
    <s v="_x0000_US"/>
  </r>
  <r>
    <x v="0"/>
    <n v="13.6876"/>
    <n v="-89.1935"/>
    <n v="10327.6"/>
    <n v="0"/>
    <n v="0"/>
    <n v="101"/>
    <s v="_x0000_US"/>
  </r>
  <r>
    <x v="0"/>
    <n v="13.6914"/>
    <n v="-89.2333"/>
    <n v="10327.6"/>
    <n v="0"/>
    <n v="0"/>
    <n v="101"/>
    <s v="_x0000_US"/>
  </r>
  <r>
    <x v="0"/>
    <n v="13.6874"/>
    <n v="-89.1982"/>
    <n v="10327.9"/>
    <n v="0"/>
    <n v="0"/>
    <n v="101"/>
    <s v="_x0000_US"/>
  </r>
  <r>
    <x v="0"/>
    <n v="13.679500000000001"/>
    <n v="-89.197299999999998"/>
    <n v="10327.9"/>
    <n v="0"/>
    <n v="0"/>
    <n v="101"/>
    <s v="_x0000_US"/>
  </r>
  <r>
    <x v="0"/>
    <n v="13.684100000000001"/>
    <n v="-89.212800000000001"/>
    <n v="10328"/>
    <n v="0"/>
    <n v="0"/>
    <n v="101"/>
    <s v="_x0000_US"/>
  </r>
  <r>
    <x v="0"/>
    <n v="13.690899999999999"/>
    <n v="-89.183899999999994"/>
    <n v="10328.4"/>
    <n v="0"/>
    <n v="0"/>
    <n v="101"/>
    <s v="_x0000_US"/>
  </r>
  <r>
    <x v="0"/>
    <n v="13.6892"/>
    <n v="-89.206599999999995"/>
    <n v="10329.4"/>
    <n v="0"/>
    <n v="0"/>
    <n v="101"/>
    <s v="_x0000_US"/>
  </r>
  <r>
    <x v="0"/>
    <n v="13.6854"/>
    <n v="-89.202600000000004"/>
    <n v="10329.4"/>
    <n v="0"/>
    <n v="0"/>
    <n v="101"/>
    <s v="_x0000_US"/>
  </r>
  <r>
    <x v="0"/>
    <n v="13.6867"/>
    <n v="-89.194500000000005"/>
    <n v="10329.9"/>
    <n v="0"/>
    <n v="0"/>
    <n v="101"/>
    <s v="_x0000_US"/>
  </r>
  <r>
    <x v="0"/>
    <n v="13.6952"/>
    <n v="-89.174800000000005"/>
    <n v="10329.9"/>
    <n v="0"/>
    <n v="0"/>
    <n v="101"/>
    <s v="_x0000_US"/>
  </r>
  <r>
    <x v="0"/>
    <n v="13.688499999999999"/>
    <n v="-89.190600000000003"/>
    <n v="10330"/>
    <n v="0"/>
    <n v="0"/>
    <n v="101"/>
    <s v="_x0000_US"/>
  </r>
  <r>
    <x v="0"/>
    <n v="13.6899"/>
    <n v="-89.190299999999993"/>
    <n v="10330"/>
    <n v="0"/>
    <n v="0"/>
    <n v="101"/>
    <s v="_x0000_US"/>
  </r>
  <r>
    <x v="0"/>
    <n v="13.685600000000001"/>
    <n v="-89.211399999999998"/>
    <n v="10330.1"/>
    <n v="0"/>
    <n v="0"/>
    <n v="101"/>
    <s v="_x0000_US"/>
  </r>
  <r>
    <x v="0"/>
    <n v="13.6775"/>
    <n v="-89.247100000000003"/>
    <n v="10330.200000000001"/>
    <n v="0"/>
    <n v="0"/>
    <n v="101"/>
    <s v="_x0000_US"/>
  </r>
  <r>
    <x v="0"/>
    <n v="13.690099999999999"/>
    <n v="-89.193700000000007"/>
    <n v="10330.299999999999"/>
    <n v="0"/>
    <n v="0"/>
    <n v="101"/>
    <s v="_x0000_US"/>
  </r>
  <r>
    <x v="0"/>
    <n v="13.6927"/>
    <n v="-89.184600000000003"/>
    <n v="10330.4"/>
    <n v="0"/>
    <n v="0"/>
    <n v="101"/>
    <s v="_x0000_US"/>
  </r>
  <r>
    <x v="0"/>
    <n v="13.691700000000001"/>
    <n v="-89.225300000000004"/>
    <n v="10330.4"/>
    <n v="0"/>
    <n v="0"/>
    <n v="101"/>
    <s v="_x0000_US"/>
  </r>
  <r>
    <x v="0"/>
    <n v="13.690799999999999"/>
    <n v="-89.234899999999996"/>
    <n v="10330.700000000001"/>
    <n v="0"/>
    <n v="0"/>
    <n v="101"/>
    <s v="_x0000_US"/>
  </r>
  <r>
    <x v="0"/>
    <n v="13.690899999999999"/>
    <n v="-89.183300000000003"/>
    <n v="10330.799999999999"/>
    <n v="0"/>
    <n v="0"/>
    <n v="101"/>
    <s v="_x0000_US"/>
  </r>
  <r>
    <x v="0"/>
    <n v="13.6881"/>
    <n v="-89.193799999999996"/>
    <n v="10330.9"/>
    <n v="0"/>
    <n v="0"/>
    <n v="101"/>
    <s v="_x0000_US"/>
  </r>
  <r>
    <x v="0"/>
    <n v="13.684799999999999"/>
    <n v="-89.217399999999998"/>
    <n v="10331.799999999999"/>
    <n v="0"/>
    <n v="0"/>
    <n v="101"/>
    <s v="_x0000_US"/>
  </r>
  <r>
    <x v="0"/>
    <n v="13.693199999999999"/>
    <n v="-89.177700000000002"/>
    <n v="10331.9"/>
    <n v="0"/>
    <n v="0"/>
    <n v="101"/>
    <s v="_x0000_US"/>
  </r>
  <r>
    <x v="0"/>
    <n v="13.6899"/>
    <n v="-89.235500000000002"/>
    <n v="10332"/>
    <n v="0"/>
    <n v="0"/>
    <n v="101"/>
    <s v="_x0000_US"/>
  </r>
  <r>
    <x v="0"/>
    <n v="13.6919"/>
    <n v="-89.196100000000001"/>
    <n v="10332.1"/>
    <n v="0"/>
    <n v="0"/>
    <n v="101"/>
    <s v="_x0000_US"/>
  </r>
  <r>
    <x v="0"/>
    <n v="13.691000000000001"/>
    <n v="-89.190399999999997"/>
    <n v="10332.200000000001"/>
    <n v="0"/>
    <n v="0"/>
    <n v="101"/>
    <s v="_x0000_US"/>
  </r>
  <r>
    <x v="0"/>
    <n v="13.6798"/>
    <n v="-89.194400000000002"/>
    <n v="10332.299999999999"/>
    <n v="0"/>
    <n v="0"/>
    <n v="101"/>
    <s v="_x0000_US"/>
  </r>
  <r>
    <x v="0"/>
    <n v="13.685600000000001"/>
    <n v="-89.213800000000006"/>
    <n v="10333.200000000001"/>
    <n v="0"/>
    <n v="0"/>
    <n v="101"/>
    <s v="_x0000_US"/>
  </r>
  <r>
    <x v="0"/>
    <n v="13.6905"/>
    <n v="-89.178899999999999"/>
    <n v="10333.799999999999"/>
    <n v="0"/>
    <n v="0"/>
    <n v="101"/>
    <s v="_x0000_US"/>
  </r>
  <r>
    <x v="0"/>
    <n v="13.6812"/>
    <n v="-89.195499999999996"/>
    <n v="10333.9"/>
    <n v="0"/>
    <n v="0"/>
    <n v="101"/>
    <s v="_x0000_US"/>
  </r>
  <r>
    <x v="0"/>
    <n v="13.689299999999999"/>
    <n v="-89.197100000000006"/>
    <n v="10334.1"/>
    <n v="0"/>
    <n v="0"/>
    <n v="101"/>
    <s v="_x0000_US"/>
  </r>
  <r>
    <x v="0"/>
    <n v="13.6922"/>
    <n v="-89.225099999999998"/>
    <n v="10334.6"/>
    <n v="0"/>
    <n v="0"/>
    <n v="101"/>
    <s v="_x0000_US"/>
  </r>
  <r>
    <x v="0"/>
    <n v="13.6907"/>
    <n v="-89.185199999999995"/>
    <n v="10334.700000000001"/>
    <n v="0"/>
    <n v="0"/>
    <n v="101"/>
    <s v="_x0000_US"/>
  </r>
  <r>
    <x v="0"/>
    <n v="13.6912"/>
    <n v="-89.234999999999999"/>
    <n v="10334.700000000001"/>
    <n v="0"/>
    <n v="0"/>
    <n v="101"/>
    <s v="_x0000_US"/>
  </r>
  <r>
    <x v="0"/>
    <n v="13.6935"/>
    <n v="-89.176299999999998"/>
    <n v="10334.799999999999"/>
    <n v="0"/>
    <n v="0"/>
    <n v="101"/>
    <s v="_x0000_US"/>
  </r>
  <r>
    <x v="0"/>
    <n v="13.6913"/>
    <n v="-89.188100000000006"/>
    <n v="10335"/>
    <n v="0"/>
    <n v="0"/>
    <n v="101"/>
    <s v="_x0000_US"/>
  </r>
  <r>
    <x v="0"/>
    <n v="13.6731"/>
    <n v="-89.203900000000004"/>
    <n v="10335.299999999999"/>
    <n v="0"/>
    <n v="0"/>
    <n v="101"/>
    <s v="_x0000_US"/>
  </r>
  <r>
    <x v="0"/>
    <n v="13.6861"/>
    <n v="-89.198499999999996"/>
    <n v="10335.4"/>
    <n v="0"/>
    <n v="0"/>
    <n v="101"/>
    <s v="_x0000_US"/>
  </r>
  <r>
    <x v="0"/>
    <n v="13.6944"/>
    <n v="-89.183099999999996"/>
    <n v="10335.700000000001"/>
    <n v="0"/>
    <n v="0"/>
    <n v="101"/>
    <s v="_x0000_US"/>
  </r>
  <r>
    <x v="0"/>
    <n v="13.691599999999999"/>
    <n v="-89.1935"/>
    <n v="10335.9"/>
    <n v="0"/>
    <n v="0"/>
    <n v="101"/>
    <s v="_x0000_US"/>
  </r>
  <r>
    <x v="0"/>
    <n v="13.6959"/>
    <n v="-89.172799999999995"/>
    <n v="10335.9"/>
    <n v="0"/>
    <n v="0"/>
    <n v="101"/>
    <s v="_x0000_US"/>
  </r>
  <r>
    <x v="0"/>
    <n v="13.6873"/>
    <n v="-89.197100000000006"/>
    <n v="10336.200000000001"/>
    <n v="0"/>
    <n v="0"/>
    <n v="101"/>
    <s v="_x0000_US"/>
  </r>
  <r>
    <x v="0"/>
    <n v="13.690300000000001"/>
    <n v="-89.181200000000004"/>
    <n v="10336.4"/>
    <n v="0"/>
    <n v="0"/>
    <n v="101"/>
    <s v="_x0000_US"/>
  </r>
  <r>
    <x v="0"/>
    <n v="13.6845"/>
    <n v="-89.215299999999999"/>
    <n v="10336.6"/>
    <n v="0"/>
    <n v="0"/>
    <n v="101"/>
    <s v="_x0000_US"/>
  </r>
  <r>
    <x v="0"/>
    <n v="13.6873"/>
    <n v="-89.191299999999998"/>
    <n v="10337"/>
    <n v="0"/>
    <n v="0"/>
    <n v="101"/>
    <s v="_x0000_US"/>
  </r>
  <r>
    <x v="0"/>
    <n v="13.6881"/>
    <n v="-89.217100000000002"/>
    <n v="10337.299999999999"/>
    <n v="0"/>
    <n v="0"/>
    <n v="101"/>
    <s v="_x0000_US"/>
  </r>
  <r>
    <x v="0"/>
    <n v="13.690300000000001"/>
    <n v="-89.186400000000006"/>
    <n v="10337.5"/>
    <n v="0"/>
    <n v="0"/>
    <n v="101"/>
    <s v="_x0000_US"/>
  </r>
  <r>
    <x v="0"/>
    <n v="13.686500000000001"/>
    <n v="-89.190799999999996"/>
    <n v="10337.799999999999"/>
    <n v="0"/>
    <n v="0"/>
    <n v="101"/>
    <s v="_x0000_US"/>
  </r>
  <r>
    <x v="0"/>
    <n v="13.6867"/>
    <n v="-89.201899999999995"/>
    <n v="10338.1"/>
    <n v="0"/>
    <n v="0"/>
    <n v="101"/>
    <s v="_x0000_US"/>
  </r>
  <r>
    <x v="0"/>
    <n v="13.6922"/>
    <n v="-89.221599999999995"/>
    <n v="10338.299999999999"/>
    <n v="0"/>
    <n v="0"/>
    <n v="101"/>
    <s v="_x0000_US"/>
  </r>
  <r>
    <x v="0"/>
    <n v="13.689299999999999"/>
    <n v="-89.207800000000006"/>
    <n v="10338.700000000001"/>
    <n v="0"/>
    <n v="0"/>
    <n v="101"/>
    <s v="_x0000_US"/>
  </r>
  <r>
    <x v="0"/>
    <n v="13.6936"/>
    <n v="-89.177000000000007"/>
    <n v="10339.4"/>
    <n v="0"/>
    <n v="0"/>
    <n v="101"/>
    <s v="_x0000_US"/>
  </r>
  <r>
    <x v="0"/>
    <n v="13.6846"/>
    <n v="-89.211600000000004"/>
    <n v="10339.5"/>
    <n v="0"/>
    <n v="0"/>
    <n v="101"/>
    <s v="_x0000_US"/>
  </r>
  <r>
    <x v="0"/>
    <n v="13.6907"/>
    <n v="-89.233699999999999"/>
    <n v="10340.1"/>
    <n v="0"/>
    <n v="0"/>
    <n v="101"/>
    <s v="_x0000_US"/>
  </r>
  <r>
    <x v="0"/>
    <n v="13.673299999999999"/>
    <n v="-89.204599999999999"/>
    <n v="10340.200000000001"/>
    <n v="0"/>
    <n v="0"/>
    <n v="101"/>
    <s v="_x0000_US"/>
  </r>
  <r>
    <x v="0"/>
    <n v="13.6951"/>
    <n v="-89.174099999999996"/>
    <n v="10340.5"/>
    <n v="0"/>
    <n v="0"/>
    <n v="101"/>
    <s v="_x0000_US"/>
  </r>
  <r>
    <x v="0"/>
    <n v="13.677"/>
    <n v="-89.198999999999998"/>
    <n v="10340.799999999999"/>
    <n v="0"/>
    <n v="0"/>
    <n v="101"/>
    <s v="_x0000_US"/>
  </r>
  <r>
    <x v="0"/>
    <n v="13.690300000000001"/>
    <n v="-89.217399999999998"/>
    <n v="10341.200000000001"/>
    <n v="0"/>
    <n v="0"/>
    <n v="101"/>
    <s v="_x0000_US"/>
  </r>
  <r>
    <x v="0"/>
    <n v="13.6953"/>
    <n v="-89.171899999999994"/>
    <n v="10341.6"/>
    <n v="0"/>
    <n v="0"/>
    <n v="101"/>
    <s v="_x0000_US"/>
  </r>
  <r>
    <x v="0"/>
    <n v="13.674799999999999"/>
    <n v="-89.199600000000004"/>
    <n v="10341.799999999999"/>
    <n v="0"/>
    <n v="0"/>
    <n v="101"/>
    <s v="_x0000_US"/>
  </r>
  <r>
    <x v="0"/>
    <n v="13.679600000000001"/>
    <n v="-89.194299999999998"/>
    <n v="10342"/>
    <n v="0"/>
    <n v="0"/>
    <n v="101"/>
    <s v="_x0000_US"/>
  </r>
  <r>
    <x v="0"/>
    <n v="13.694599999999999"/>
    <n v="-89.174099999999996"/>
    <n v="10342.200000000001"/>
    <n v="0"/>
    <n v="0"/>
    <n v="101"/>
    <s v="_x0000_US"/>
  </r>
  <r>
    <x v="0"/>
    <n v="13.696"/>
    <n v="-89.172600000000003"/>
    <n v="10342.4"/>
    <n v="0"/>
    <n v="0"/>
    <n v="101"/>
    <s v="_x0000_US"/>
  </r>
  <r>
    <x v="0"/>
    <n v="13.691700000000001"/>
    <n v="-89.232699999999994"/>
    <n v="10342.4"/>
    <n v="0"/>
    <n v="0"/>
    <n v="101"/>
    <s v="_x0000_US"/>
  </r>
  <r>
    <x v="0"/>
    <n v="13.6915"/>
    <n v="-89.233099999999993"/>
    <n v="10342.4"/>
    <n v="0"/>
    <n v="0"/>
    <n v="101"/>
    <s v="_x0000_US"/>
  </r>
  <r>
    <x v="0"/>
    <n v="13.6906"/>
    <n v="-89.183400000000006"/>
    <n v="10342.5"/>
    <n v="0"/>
    <n v="0"/>
    <n v="101"/>
    <s v="_x0000_US"/>
  </r>
  <r>
    <x v="0"/>
    <n v="13.6915"/>
    <n v="-89.234499999999997"/>
    <n v="10342.5"/>
    <n v="0"/>
    <n v="0"/>
    <n v="101"/>
    <s v="_x0000_US"/>
  </r>
  <r>
    <x v="0"/>
    <n v="13.6899"/>
    <n v="-89.180099999999996"/>
    <n v="10342.700000000001"/>
    <n v="0"/>
    <n v="0"/>
    <n v="101"/>
    <s v="_x0000_US"/>
  </r>
  <r>
    <x v="0"/>
    <n v="13.6915"/>
    <n v="-89.226799999999997"/>
    <n v="10342.799999999999"/>
    <n v="0"/>
    <n v="0"/>
    <n v="101"/>
    <s v="_x0000_US"/>
  </r>
  <r>
    <x v="0"/>
    <n v="13.6957"/>
    <n v="-89.166200000000003"/>
    <n v="10342.9"/>
    <n v="0"/>
    <n v="0"/>
    <n v="101"/>
    <s v="_x0000_US"/>
  </r>
  <r>
    <x v="0"/>
    <n v="13.695399999999999"/>
    <n v="-89.171899999999994"/>
    <n v="10343.299999999999"/>
    <n v="0"/>
    <n v="0"/>
    <n v="101"/>
    <s v="_x0000_US"/>
  </r>
  <r>
    <x v="0"/>
    <n v="13.6912"/>
    <n v="-89.232900000000001"/>
    <n v="10343.4"/>
    <n v="0"/>
    <n v="0"/>
    <n v="101"/>
    <s v="_x0000_US"/>
  </r>
  <r>
    <x v="0"/>
    <n v="13.6851"/>
    <n v="-89.212800000000001"/>
    <n v="10343.799999999999"/>
    <n v="0"/>
    <n v="0"/>
    <n v="101"/>
    <s v="_x0000_US"/>
  </r>
  <r>
    <x v="0"/>
    <n v="13.692500000000001"/>
    <n v="-89.175799999999995"/>
    <n v="10343.9"/>
    <n v="0"/>
    <n v="0"/>
    <n v="101"/>
    <s v="_x0000_US"/>
  </r>
  <r>
    <x v="0"/>
    <n v="13.693"/>
    <n v="-89.173900000000003"/>
    <n v="10344.1"/>
    <n v="0"/>
    <n v="0"/>
    <n v="101"/>
    <s v="_x0000_US"/>
  </r>
  <r>
    <x v="0"/>
    <n v="13.696300000000001"/>
    <n v="-89.171700000000001"/>
    <n v="10344.200000000001"/>
    <n v="0"/>
    <n v="0"/>
    <n v="101"/>
    <s v="_x0000_US"/>
  </r>
  <r>
    <x v="0"/>
    <n v="13.689299999999999"/>
    <n v="-89.180800000000005"/>
    <n v="10344.4"/>
    <n v="0"/>
    <n v="0"/>
    <n v="101"/>
    <s v="_x0000_US"/>
  </r>
  <r>
    <x v="0"/>
    <n v="13.688000000000001"/>
    <n v="-89.193799999999996"/>
    <n v="10344.4"/>
    <n v="0"/>
    <n v="0"/>
    <n v="101"/>
    <s v="_x0000_US"/>
  </r>
  <r>
    <x v="0"/>
    <n v="13.689"/>
    <n v="-89.190399999999997"/>
    <n v="10344.5"/>
    <n v="0"/>
    <n v="0"/>
    <n v="101"/>
    <s v="_x0000_US"/>
  </r>
  <r>
    <x v="0"/>
    <n v="13.691599999999999"/>
    <n v="-89.220399999999998"/>
    <n v="10344.700000000001"/>
    <n v="0"/>
    <n v="0"/>
    <n v="101"/>
    <s v="_x0000_US"/>
  </r>
  <r>
    <x v="0"/>
    <n v="13.678800000000001"/>
    <n v="-89.196299999999994"/>
    <n v="10344.799999999999"/>
    <n v="0"/>
    <n v="0"/>
    <n v="101"/>
    <s v="_x0000_US"/>
  </r>
  <r>
    <x v="0"/>
    <n v="13.686999999999999"/>
    <n v="-89.197400000000002"/>
    <n v="10344.9"/>
    <n v="0"/>
    <n v="0"/>
    <n v="101"/>
    <s v="_x0000_US"/>
  </r>
  <r>
    <x v="0"/>
    <n v="13.6751"/>
    <n v="-89.200199999999995"/>
    <n v="10345"/>
    <n v="0"/>
    <n v="0"/>
    <n v="101"/>
    <s v="_x0000_US"/>
  </r>
  <r>
    <x v="0"/>
    <n v="13.6853"/>
    <n v="-89.217100000000002"/>
    <n v="10345.1"/>
    <n v="0"/>
    <n v="0"/>
    <n v="101"/>
    <s v="_x0000_US"/>
  </r>
  <r>
    <x v="0"/>
    <n v="13.697100000000001"/>
    <n v="-89.171899999999994"/>
    <n v="10345.200000000001"/>
    <n v="0"/>
    <n v="0"/>
    <n v="101"/>
    <s v="_x0000_US"/>
  </r>
  <r>
    <x v="0"/>
    <n v="13.690099999999999"/>
    <n v="-89.235399999999998"/>
    <n v="10345.700000000001"/>
    <n v="0"/>
    <n v="0"/>
    <n v="101"/>
    <s v="_x0000_US"/>
  </r>
  <r>
    <x v="0"/>
    <n v="13.695399999999999"/>
    <n v="-89.174199999999999"/>
    <n v="10346"/>
    <n v="0"/>
    <n v="0"/>
    <n v="101"/>
    <s v="_x0000_US"/>
  </r>
  <r>
    <x v="0"/>
    <n v="13.692299999999999"/>
    <n v="-89.223699999999994"/>
    <n v="10346"/>
    <n v="0"/>
    <n v="0"/>
    <n v="101"/>
    <s v="_x0000_US"/>
  </r>
  <r>
    <x v="0"/>
    <n v="13.6911"/>
    <n v="-89.232500000000002"/>
    <n v="10346.1"/>
    <n v="0"/>
    <n v="0"/>
    <n v="101"/>
    <s v="_x0000_US"/>
  </r>
  <r>
    <x v="0"/>
    <n v="13.692"/>
    <n v="-89.193899999999999"/>
    <n v="10346.5"/>
    <n v="0"/>
    <n v="0"/>
    <n v="101"/>
    <s v="_x0000_US"/>
  </r>
  <r>
    <x v="0"/>
    <n v="13.692399999999999"/>
    <n v="-89.224000000000004"/>
    <n v="10346.5"/>
    <n v="0"/>
    <n v="0"/>
    <n v="101"/>
    <s v="_x0000_US"/>
  </r>
  <r>
    <x v="0"/>
    <n v="13.6927"/>
    <n v="-89.184600000000003"/>
    <n v="10347.1"/>
    <n v="0"/>
    <n v="0"/>
    <n v="101"/>
    <s v="_x0000_US"/>
  </r>
  <r>
    <x v="0"/>
    <n v="13.690899999999999"/>
    <n v="-89.178899999999999"/>
    <n v="10347.6"/>
    <n v="0"/>
    <n v="0"/>
    <n v="101"/>
    <s v="_x0000_US"/>
  </r>
  <r>
    <x v="0"/>
    <n v="13.6883"/>
    <n v="-89.216899999999995"/>
    <n v="10347.9"/>
    <n v="0"/>
    <n v="0"/>
    <n v="101"/>
    <s v="_x0000_US"/>
  </r>
  <r>
    <x v="0"/>
    <n v="13.688800000000001"/>
    <n v="-89.190299999999993"/>
    <n v="10348"/>
    <n v="0"/>
    <n v="0"/>
    <n v="101"/>
    <s v="_x0000_US"/>
  </r>
  <r>
    <x v="0"/>
    <n v="13.684699999999999"/>
    <n v="-89.216700000000003"/>
    <n v="10348.200000000001"/>
    <n v="0"/>
    <n v="0"/>
    <n v="101"/>
    <s v="_x0000_US"/>
  </r>
  <r>
    <x v="0"/>
    <n v="13.6874"/>
    <n v="-89.194400000000002"/>
    <n v="10348.299999999999"/>
    <n v="0"/>
    <n v="0"/>
    <n v="101"/>
    <s v="_x0000_US"/>
  </r>
  <r>
    <x v="0"/>
    <n v="13.6752"/>
    <n v="-89.200100000000006"/>
    <n v="10348.4"/>
    <n v="0"/>
    <n v="0"/>
    <n v="101"/>
    <s v="_x0000_US"/>
  </r>
  <r>
    <x v="0"/>
    <n v="13.6876"/>
    <n v="-89.195400000000006"/>
    <n v="10348.799999999999"/>
    <n v="0"/>
    <n v="0"/>
    <n v="101"/>
    <s v="_x0000_US"/>
  </r>
  <r>
    <x v="0"/>
    <n v="13.6911"/>
    <n v="-89.233999999999995"/>
    <n v="10349.4"/>
    <n v="0"/>
    <n v="0"/>
    <n v="101"/>
    <s v="_x0000_US"/>
  </r>
  <r>
    <x v="0"/>
    <n v="13.6914"/>
    <n v="-89.226299999999995"/>
    <n v="10350"/>
    <n v="0"/>
    <n v="0"/>
    <n v="101"/>
    <s v="_x0000_US"/>
  </r>
  <r>
    <x v="0"/>
    <n v="13.6915"/>
    <n v="-89.234200000000001"/>
    <n v="10350.5"/>
    <n v="0"/>
    <n v="0"/>
    <n v="101"/>
    <s v="_x0000_US"/>
  </r>
  <r>
    <x v="0"/>
    <n v="13.6892"/>
    <n v="-89.207400000000007"/>
    <n v="10350.700000000001"/>
    <n v="0"/>
    <n v="0"/>
    <n v="101"/>
    <s v="_x0000_US"/>
  </r>
  <r>
    <x v="0"/>
    <n v="13.685499999999999"/>
    <n v="-89.213800000000006"/>
    <n v="10350.700000000001"/>
    <n v="0"/>
    <n v="0"/>
    <n v="101"/>
    <s v="_x0000_US"/>
  </r>
  <r>
    <x v="0"/>
    <n v="13.693"/>
    <n v="-89.183000000000007"/>
    <n v="10350.799999999999"/>
    <n v="0"/>
    <n v="0"/>
    <n v="101"/>
    <s v="_x0000_US"/>
  </r>
  <r>
    <x v="0"/>
    <n v="13.6868"/>
    <n v="-89.201899999999995"/>
    <n v="10351.200000000001"/>
    <n v="0"/>
    <n v="0"/>
    <n v="101"/>
    <s v="_x0000_US"/>
  </r>
  <r>
    <x v="0"/>
    <n v="13.6952"/>
    <n v="-89.1721"/>
    <n v="10351.200000000001"/>
    <n v="0"/>
    <n v="0"/>
    <n v="101"/>
    <s v="_x0000_US"/>
  </r>
  <r>
    <x v="0"/>
    <n v="13.6913"/>
    <n v="-89.186899999999994"/>
    <n v="10351.299999999999"/>
    <n v="0"/>
    <n v="0"/>
    <n v="101"/>
    <s v="_x0000_US"/>
  </r>
  <r>
    <x v="0"/>
    <n v="13.696099999999999"/>
    <n v="-89.172300000000007"/>
    <n v="10351.5"/>
    <n v="0"/>
    <n v="0"/>
    <n v="101"/>
    <s v="_x0000_US"/>
  </r>
  <r>
    <x v="0"/>
    <n v="13.6915"/>
    <n v="-89.226600000000005"/>
    <n v="10351.6"/>
    <n v="0"/>
    <n v="0"/>
    <n v="101"/>
    <s v="_x0000_US"/>
  </r>
  <r>
    <x v="0"/>
    <n v="13.689500000000001"/>
    <n v="-89.205200000000005"/>
    <n v="10351.799999999999"/>
    <n v="0"/>
    <n v="0"/>
    <n v="101"/>
    <s v="_x0000_US"/>
  </r>
  <r>
    <x v="0"/>
    <n v="13.687200000000001"/>
    <n v="-89.214699999999993"/>
    <n v="10351.799999999999"/>
    <n v="0"/>
    <n v="0"/>
    <n v="101"/>
    <s v="_x0000_US"/>
  </r>
  <r>
    <x v="0"/>
    <n v="13.6874"/>
    <n v="-89.197299999999998"/>
    <n v="10352.5"/>
    <n v="0"/>
    <n v="0"/>
    <n v="101"/>
    <s v="_x0000_US"/>
  </r>
  <r>
    <x v="0"/>
    <n v="13.695"/>
    <n v="-89.172700000000006"/>
    <n v="10352.700000000001"/>
    <n v="0"/>
    <n v="0"/>
    <n v="101"/>
    <s v="_x0000_US"/>
  </r>
  <r>
    <x v="0"/>
    <n v="13.690300000000001"/>
    <n v="-89.217399999999998"/>
    <n v="10352.799999999999"/>
    <n v="0"/>
    <n v="0"/>
    <n v="101"/>
    <s v="_x0000_US"/>
  </r>
  <r>
    <x v="0"/>
    <n v="13.679600000000001"/>
    <n v="-89.194299999999998"/>
    <n v="10352.9"/>
    <n v="0"/>
    <n v="0"/>
    <n v="101"/>
    <s v="_x0000_US"/>
  </r>
  <r>
    <x v="0"/>
    <n v="13.6882"/>
    <n v="-89.190100000000001"/>
    <n v="10353"/>
    <n v="0"/>
    <n v="0"/>
    <n v="101"/>
    <s v="_x0000_US"/>
  </r>
  <r>
    <x v="0"/>
    <n v="13.696400000000001"/>
    <n v="-89.172200000000004"/>
    <n v="10353.200000000001"/>
    <n v="0"/>
    <n v="0"/>
    <n v="101"/>
    <s v="_x0000_US"/>
  </r>
  <r>
    <x v="0"/>
    <n v="13.6853"/>
    <n v="-89.194100000000006"/>
    <n v="10353.299999999999"/>
    <n v="0"/>
    <n v="0"/>
    <n v="101"/>
    <s v="_x0000_US"/>
  </r>
  <r>
    <x v="0"/>
    <n v="13.6792"/>
    <n v="-89.196799999999996"/>
    <n v="10353.6"/>
    <n v="0"/>
    <n v="0"/>
    <n v="101"/>
    <s v="_x0000_US"/>
  </r>
  <r>
    <x v="0"/>
    <n v="13.6875"/>
    <n v="-89.181299999999993"/>
    <n v="10353.799999999999"/>
    <n v="0"/>
    <n v="0"/>
    <n v="101"/>
    <s v="_x0000_US"/>
  </r>
  <r>
    <x v="0"/>
    <n v="13.6746"/>
    <n v="-89.251900000000006"/>
    <n v="10354.5"/>
    <n v="0"/>
    <n v="0"/>
    <n v="101"/>
    <s v="_x0000_US"/>
  </r>
  <r>
    <x v="0"/>
    <n v="13.688000000000001"/>
    <n v="-89.180999999999997"/>
    <n v="10354.700000000001"/>
    <n v="0"/>
    <n v="0"/>
    <n v="101"/>
    <s v="_x0000_US"/>
  </r>
  <r>
    <x v="0"/>
    <n v="13.684200000000001"/>
    <n v="-89.217500000000001"/>
    <n v="10355"/>
    <n v="0"/>
    <n v="0"/>
    <n v="101"/>
    <s v="_x0000_US"/>
  </r>
  <r>
    <x v="0"/>
    <n v="13.691800000000001"/>
    <n v="-89.186000000000007"/>
    <n v="10355.299999999999"/>
    <n v="0"/>
    <n v="0"/>
    <n v="101"/>
    <s v="_x0000_US"/>
  </r>
  <r>
    <x v="0"/>
    <n v="13.6873"/>
    <n v="-89.1982"/>
    <n v="10356.4"/>
    <n v="0"/>
    <n v="0"/>
    <n v="101"/>
    <s v="_x0000_US"/>
  </r>
  <r>
    <x v="0"/>
    <n v="13.690899999999999"/>
    <n v="-89.188400000000001"/>
    <n v="10356.5"/>
    <n v="0"/>
    <n v="0"/>
    <n v="101"/>
    <s v="_x0000_US"/>
  </r>
  <r>
    <x v="0"/>
    <n v="13.69"/>
    <n v="-89.188500000000005"/>
    <n v="10356.799999999999"/>
    <n v="0"/>
    <n v="0"/>
    <n v="101"/>
    <s v="_x0000_US"/>
  </r>
  <r>
    <x v="0"/>
    <n v="13.689"/>
    <n v="-89.183800000000005"/>
    <n v="10357.1"/>
    <n v="0"/>
    <n v="0"/>
    <n v="101"/>
    <s v="_x0000_US"/>
  </r>
  <r>
    <x v="0"/>
    <n v="13.6906"/>
    <n v="-89.234399999999994"/>
    <n v="10357.1"/>
    <n v="0"/>
    <n v="0"/>
    <n v="101"/>
    <s v="_x0000_US"/>
  </r>
  <r>
    <x v="0"/>
    <n v="13.6767"/>
    <n v="-89.199200000000005"/>
    <n v="10357.200000000001"/>
    <n v="0"/>
    <n v="0"/>
    <n v="101"/>
    <s v="_x0000_US"/>
  </r>
  <r>
    <x v="0"/>
    <n v="13.691700000000001"/>
    <n v="-89.186000000000007"/>
    <n v="10357.299999999999"/>
    <n v="0"/>
    <n v="0"/>
    <n v="101"/>
    <s v="_x0000_US"/>
  </r>
  <r>
    <x v="0"/>
    <n v="13.694100000000001"/>
    <n v="-89.175899999999999"/>
    <n v="10357.299999999999"/>
    <n v="0"/>
    <n v="0"/>
    <n v="101"/>
    <s v="_x0000_US"/>
  </r>
  <r>
    <x v="0"/>
    <n v="13.6897"/>
    <n v="-89.229200000000006"/>
    <n v="10357.700000000001"/>
    <n v="0"/>
    <n v="0"/>
    <n v="101"/>
    <s v="_x0000_US"/>
  </r>
  <r>
    <x v="0"/>
    <n v="13.6883"/>
    <n v="-89.181299999999993"/>
    <n v="10357.9"/>
    <n v="0"/>
    <n v="0"/>
    <n v="101"/>
    <s v="_x0000_US"/>
  </r>
  <r>
    <x v="0"/>
    <n v="13.686999999999999"/>
    <n v="-89.214100000000002"/>
    <n v="10358.200000000001"/>
    <n v="0"/>
    <n v="0"/>
    <n v="101"/>
    <s v="_x0000_US"/>
  </r>
  <r>
    <x v="0"/>
    <n v="13.691700000000001"/>
    <n v="-89.186400000000006"/>
    <n v="10358.299999999999"/>
    <n v="0"/>
    <n v="0"/>
    <n v="101"/>
    <s v="_x0000_US"/>
  </r>
  <r>
    <x v="0"/>
    <n v="13.694800000000001"/>
    <n v="-89.172600000000003"/>
    <n v="10358.4"/>
    <n v="0"/>
    <n v="0"/>
    <n v="101"/>
    <s v="_x0000_US"/>
  </r>
  <r>
    <x v="0"/>
    <n v="13.6851"/>
    <n v="-89.2136"/>
    <n v="10358.5"/>
    <n v="0"/>
    <n v="0"/>
    <n v="101"/>
    <s v="_x0000_US"/>
  </r>
  <r>
    <x v="0"/>
    <n v="13.691000000000001"/>
    <n v="-89.1905"/>
    <n v="10358.6"/>
    <n v="0"/>
    <n v="0"/>
    <n v="101"/>
    <s v="_x0000_US"/>
  </r>
  <r>
    <x v="0"/>
    <n v="13.692399999999999"/>
    <n v="-89.224500000000006"/>
    <n v="10358.6"/>
    <n v="0"/>
    <n v="0"/>
    <n v="101"/>
    <s v="_x0000_US"/>
  </r>
  <r>
    <x v="0"/>
    <n v="13.691700000000001"/>
    <n v="-89.226600000000005"/>
    <n v="10359.1"/>
    <n v="0"/>
    <n v="0"/>
    <n v="101"/>
    <s v="_x0000_US"/>
  </r>
  <r>
    <x v="0"/>
    <n v="13.6747"/>
    <n v="-89.252200000000002"/>
    <n v="10359.1"/>
    <n v="0"/>
    <n v="0"/>
    <n v="101"/>
    <s v="_x0000_US"/>
  </r>
  <r>
    <x v="0"/>
    <n v="13.6873"/>
    <n v="-89.183300000000003"/>
    <n v="10359.200000000001"/>
    <n v="0"/>
    <n v="0"/>
    <n v="101"/>
    <s v="_x0000_US"/>
  </r>
  <r>
    <x v="0"/>
    <n v="13.6881"/>
    <n v="-89.215999999999994"/>
    <n v="10359.6"/>
    <n v="0"/>
    <n v="0"/>
    <n v="101"/>
    <s v="_x0000_US"/>
  </r>
  <r>
    <x v="0"/>
    <n v="13.6883"/>
    <n v="-89.216700000000003"/>
    <n v="10360.9"/>
    <n v="0"/>
    <n v="0"/>
    <n v="101"/>
    <s v="_x0000_US"/>
  </r>
  <r>
    <x v="0"/>
    <n v="13.6722"/>
    <n v="-89.205299999999994"/>
    <n v="10361"/>
    <n v="0"/>
    <n v="0"/>
    <n v="101"/>
    <s v="_x0000_US"/>
  </r>
  <r>
    <x v="0"/>
    <n v="13.6911"/>
    <n v="-89.2303"/>
    <n v="10361.200000000001"/>
    <n v="0"/>
    <n v="0"/>
    <n v="101"/>
    <s v="_x0000_US"/>
  </r>
  <r>
    <x v="0"/>
    <n v="13.6873"/>
    <n v="-89.197299999999998"/>
    <n v="10361.5"/>
    <n v="0"/>
    <n v="0"/>
    <n v="101"/>
    <s v="_x0000_US"/>
  </r>
  <r>
    <x v="0"/>
    <n v="13.6852"/>
    <n v="-89.215100000000007"/>
    <n v="10362"/>
    <n v="0"/>
    <n v="0"/>
    <n v="101"/>
    <s v="_x0000_US"/>
  </r>
  <r>
    <x v="0"/>
    <n v="13.690899999999999"/>
    <n v="-89.231700000000004"/>
    <n v="10362.299999999999"/>
    <n v="0"/>
    <n v="0"/>
    <n v="101"/>
    <s v="_x0000_US"/>
  </r>
  <r>
    <x v="0"/>
    <n v="13.6739"/>
    <n v="-89.202600000000004"/>
    <n v="10362.4"/>
    <n v="0"/>
    <n v="0"/>
    <n v="101"/>
    <s v="_x0000_US"/>
  </r>
  <r>
    <x v="0"/>
    <n v="13.6874"/>
    <n v="-89.196600000000004"/>
    <n v="10362.9"/>
    <n v="0"/>
    <n v="0"/>
    <n v="101"/>
    <s v="_x0000_US"/>
  </r>
  <r>
    <x v="0"/>
    <n v="13.691800000000001"/>
    <n v="-89.225200000000001"/>
    <n v="10362.9"/>
    <n v="0"/>
    <n v="0"/>
    <n v="101"/>
    <s v="_x0000_US"/>
  </r>
  <r>
    <x v="0"/>
    <n v="13.690799999999999"/>
    <n v="-89.234800000000007"/>
    <n v="10362.9"/>
    <n v="0"/>
    <n v="0"/>
    <n v="101"/>
    <s v="_x0000_US"/>
  </r>
  <r>
    <x v="0"/>
    <n v="13.6919"/>
    <n v="-89.179900000000004"/>
    <n v="10363.700000000001"/>
    <n v="0"/>
    <n v="0"/>
    <n v="101"/>
    <s v="_x0000_US"/>
  </r>
  <r>
    <x v="0"/>
    <n v="13.6906"/>
    <n v="-89.235299999999995"/>
    <n v="10363.700000000001"/>
    <n v="0"/>
    <n v="0"/>
    <n v="101"/>
    <s v="_x0000_US"/>
  </r>
  <r>
    <x v="0"/>
    <n v="13.690799999999999"/>
    <n v="-89.178799999999995"/>
    <n v="10363.799999999999"/>
    <n v="0"/>
    <n v="0"/>
    <n v="101"/>
    <s v="_x0000_US"/>
  </r>
  <r>
    <x v="0"/>
    <n v="13.695600000000001"/>
    <n v="-89.173900000000003"/>
    <n v="10364.1"/>
    <n v="0"/>
    <n v="0"/>
    <n v="101"/>
    <s v="_x0000_US"/>
  </r>
  <r>
    <x v="0"/>
    <n v="13.688499999999999"/>
    <n v="-89.189899999999994"/>
    <n v="10364.299999999999"/>
    <n v="0"/>
    <n v="0"/>
    <n v="101"/>
    <s v="_x0000_US"/>
  </r>
  <r>
    <x v="0"/>
    <n v="13.6898"/>
    <n v="-89.184600000000003"/>
    <n v="10364.9"/>
    <n v="0"/>
    <n v="0"/>
    <n v="101"/>
    <s v="_x0000_US"/>
  </r>
  <r>
    <x v="0"/>
    <n v="13.6929"/>
    <n v="-89.178299999999993"/>
    <n v="10365.1"/>
    <n v="0"/>
    <n v="0"/>
    <n v="101"/>
    <s v="_x0000_US"/>
  </r>
  <r>
    <x v="0"/>
    <n v="13.689299999999999"/>
    <n v="-89.197199999999995"/>
    <n v="10365.5"/>
    <n v="0"/>
    <n v="0"/>
    <n v="101"/>
    <s v="_x0000_US"/>
  </r>
  <r>
    <x v="0"/>
    <n v="13.6936"/>
    <n v="-89.174300000000002"/>
    <n v="10366.6"/>
    <n v="0"/>
    <n v="0"/>
    <n v="101"/>
    <s v="_x0000_US"/>
  </r>
  <r>
    <x v="0"/>
    <n v="13.6798"/>
    <n v="-89.194500000000005"/>
    <n v="10366.799999999999"/>
    <n v="0"/>
    <n v="0"/>
    <n v="101"/>
    <s v="_x0000_US"/>
  </r>
  <r>
    <x v="0"/>
    <n v="13.691000000000001"/>
    <n v="-89.189700000000002"/>
    <n v="10366.9"/>
    <n v="0"/>
    <n v="0"/>
    <n v="101"/>
    <s v="_x0000_US"/>
  </r>
  <r>
    <x v="0"/>
    <n v="13.6882"/>
    <n v="-89.204599999999999"/>
    <n v="10366.9"/>
    <n v="0"/>
    <n v="0"/>
    <n v="101"/>
    <s v="_x0000_US"/>
  </r>
  <r>
    <x v="0"/>
    <n v="13.6935"/>
    <n v="-89.183099999999996"/>
    <n v="10367.299999999999"/>
    <n v="0"/>
    <n v="0"/>
    <n v="101"/>
    <s v="_x0000_US"/>
  </r>
  <r>
    <x v="0"/>
    <n v="13.6905"/>
    <n v="-89.194100000000006"/>
    <n v="10367.700000000001"/>
    <n v="0"/>
    <n v="0"/>
    <n v="101"/>
    <s v="_x0000_US"/>
  </r>
  <r>
    <x v="0"/>
    <n v="13.6875"/>
    <n v="-89.197100000000006"/>
    <n v="10368.1"/>
    <n v="0"/>
    <n v="0"/>
    <n v="101"/>
    <s v="_x0000_US"/>
  </r>
  <r>
    <x v="0"/>
    <n v="13.6942"/>
    <n v="-89.175700000000006"/>
    <n v="10368.6"/>
    <n v="0"/>
    <n v="0"/>
    <n v="101"/>
    <s v="_x0000_US"/>
  </r>
  <r>
    <x v="0"/>
    <n v="13.6875"/>
    <n v="-89.181600000000003"/>
    <n v="10369"/>
    <n v="0"/>
    <n v="0"/>
    <n v="101"/>
    <s v="_x0000_US"/>
  </r>
  <r>
    <x v="0"/>
    <n v="13.674300000000001"/>
    <n v="-89.201999999999998"/>
    <n v="10369.200000000001"/>
    <n v="0"/>
    <n v="0"/>
    <n v="101"/>
    <s v="_x0000_US"/>
  </r>
  <r>
    <x v="0"/>
    <n v="13.6731"/>
    <n v="-89.2042"/>
    <n v="10369.200000000001"/>
    <n v="0"/>
    <n v="0"/>
    <n v="101"/>
    <s v="_x0000_US"/>
  </r>
  <r>
    <x v="0"/>
    <n v="13.685499999999999"/>
    <n v="-89.193600000000004"/>
    <n v="10369.299999999999"/>
    <n v="0"/>
    <n v="0"/>
    <n v="101"/>
    <s v="_x0000_US"/>
  </r>
  <r>
    <x v="0"/>
    <n v="13.695399999999999"/>
    <n v="-89.174099999999996"/>
    <n v="10369.299999999999"/>
    <n v="0"/>
    <n v="0"/>
    <n v="101"/>
    <s v="_x0000_US"/>
  </r>
  <r>
    <x v="0"/>
    <n v="13.690300000000001"/>
    <n v="-89.181299999999993"/>
    <n v="10369.4"/>
    <n v="0"/>
    <n v="0"/>
    <n v="101"/>
    <s v="_x0000_US"/>
  </r>
  <r>
    <x v="0"/>
    <n v="13.6952"/>
    <n v="-89.1738"/>
    <n v="10369.5"/>
    <n v="0"/>
    <n v="0"/>
    <n v="101"/>
    <s v="_x0000_US"/>
  </r>
  <r>
    <x v="0"/>
    <n v="13.68"/>
    <n v="-89.196799999999996"/>
    <n v="10369.700000000001"/>
    <n v="0"/>
    <n v="0"/>
    <n v="101"/>
    <s v="_x0000_US"/>
  </r>
  <r>
    <x v="0"/>
    <n v="13.6906"/>
    <n v="-89.185599999999994"/>
    <n v="10370"/>
    <n v="0"/>
    <n v="0"/>
    <n v="101"/>
    <s v="_x0000_US"/>
  </r>
  <r>
    <x v="0"/>
    <n v="13.692299999999999"/>
    <n v="-89.174599999999998"/>
    <n v="10370"/>
    <n v="0"/>
    <n v="0"/>
    <n v="101"/>
    <s v="_x0000_US"/>
  </r>
  <r>
    <x v="0"/>
    <n v="13.6906"/>
    <n v="-89.179000000000002"/>
    <n v="10370.200000000001"/>
    <n v="0"/>
    <n v="0"/>
    <n v="101"/>
    <s v="_x0000_US"/>
  </r>
  <r>
    <x v="0"/>
    <n v="13.674799999999999"/>
    <n v="-89.199700000000007"/>
    <n v="10370.200000000001"/>
    <n v="0"/>
    <n v="0"/>
    <n v="101"/>
    <s v="_x0000_US"/>
  </r>
  <r>
    <x v="0"/>
    <n v="13.691000000000001"/>
    <n v="-89.235399999999998"/>
    <n v="10370.200000000001"/>
    <n v="0"/>
    <n v="0"/>
    <n v="101"/>
    <s v="_x0000_US"/>
  </r>
  <r>
    <x v="0"/>
    <n v="13.6899"/>
    <n v="-89.195800000000006"/>
    <n v="10370.5"/>
    <n v="0"/>
    <n v="0"/>
    <n v="101"/>
    <s v="_x0000_US"/>
  </r>
  <r>
    <x v="0"/>
    <n v="13.692399999999999"/>
    <n v="-89.224900000000005"/>
    <n v="10370.5"/>
    <n v="0"/>
    <n v="0"/>
    <n v="101"/>
    <s v="_x0000_US"/>
  </r>
  <r>
    <x v="0"/>
    <n v="13.687200000000001"/>
    <n v="-89.183400000000006"/>
    <n v="10370.700000000001"/>
    <n v="0"/>
    <n v="0"/>
    <n v="101"/>
    <s v="_x0000_US"/>
  </r>
  <r>
    <x v="0"/>
    <n v="13.687200000000001"/>
    <n v="-89.202100000000002"/>
    <n v="10370.700000000001"/>
    <n v="0"/>
    <n v="0"/>
    <n v="101"/>
    <s v="_x0000_US"/>
  </r>
  <r>
    <x v="0"/>
    <n v="13.696899999999999"/>
    <n v="-89.171599999999998"/>
    <n v="10370.700000000001"/>
    <n v="0"/>
    <n v="0"/>
    <n v="101"/>
    <s v="_x0000_US"/>
  </r>
  <r>
    <x v="0"/>
    <n v="13.6752"/>
    <n v="-89.251999999999995"/>
    <n v="10370.799999999999"/>
    <n v="0"/>
    <n v="0"/>
    <n v="101"/>
    <s v="_x0000_US"/>
  </r>
  <r>
    <x v="0"/>
    <n v="13.690200000000001"/>
    <n v="-89.235399999999998"/>
    <n v="10370.9"/>
    <n v="0"/>
    <n v="0"/>
    <n v="101"/>
    <s v="_x0000_US"/>
  </r>
  <r>
    <x v="0"/>
    <n v="13.687200000000001"/>
    <n v="-89.197900000000004"/>
    <n v="10371"/>
    <n v="0"/>
    <n v="0"/>
    <n v="101"/>
    <s v="_x0000_US"/>
  </r>
  <r>
    <x v="0"/>
    <n v="13.6869"/>
    <n v="-89.191500000000005"/>
    <n v="10371"/>
    <n v="0"/>
    <n v="0"/>
    <n v="101"/>
    <s v="_x0000_US"/>
  </r>
  <r>
    <x v="0"/>
    <n v="13.6859"/>
    <n v="-89.202200000000005"/>
    <n v="10371.1"/>
    <n v="0"/>
    <n v="0"/>
    <n v="101"/>
    <s v="_x0000_US"/>
  </r>
  <r>
    <x v="0"/>
    <n v="13.694699999999999"/>
    <n v="-89.172200000000004"/>
    <n v="10371.5"/>
    <n v="0"/>
    <n v="0"/>
    <n v="101"/>
    <s v="_x0000_US"/>
  </r>
  <r>
    <x v="0"/>
    <n v="13.6906"/>
    <n v="-89.194199999999995"/>
    <n v="10371.6"/>
    <n v="0"/>
    <n v="0"/>
    <n v="101"/>
    <s v="_x0000_US"/>
  </r>
  <r>
    <x v="0"/>
    <n v="13.687900000000001"/>
    <n v="-89.212299999999999"/>
    <n v="10371.6"/>
    <n v="0"/>
    <n v="0"/>
    <n v="101"/>
    <s v="_x0000_US"/>
  </r>
  <r>
    <x v="0"/>
    <n v="13.693300000000001"/>
    <n v="-89.192800000000005"/>
    <n v="10371.700000000001"/>
    <n v="0"/>
    <n v="0"/>
    <n v="101"/>
    <s v="_x0000_US"/>
  </r>
  <r>
    <x v="0"/>
    <n v="13.691800000000001"/>
    <n v="-89.224900000000005"/>
    <n v="10371.700000000001"/>
    <n v="0"/>
    <n v="0"/>
    <n v="101"/>
    <s v="_x0000_US"/>
  </r>
  <r>
    <x v="0"/>
    <n v="13.6937"/>
    <n v="-89.1892"/>
    <n v="10372.5"/>
    <n v="0"/>
    <n v="0"/>
    <n v="101"/>
    <s v="_x0000_US"/>
  </r>
  <r>
    <x v="0"/>
    <n v="13.6912"/>
    <n v="-89.233900000000006"/>
    <n v="10372.700000000001"/>
    <n v="0"/>
    <n v="0"/>
    <n v="101"/>
    <s v="_x0000_US"/>
  </r>
  <r>
    <x v="0"/>
    <n v="13.686400000000001"/>
    <n v="-89.213499999999996"/>
    <n v="10372.799999999999"/>
    <n v="0"/>
    <n v="0"/>
    <n v="101"/>
    <s v="_x0000_US"/>
  </r>
  <r>
    <x v="0"/>
    <n v="13.6898"/>
    <n v="-89.197599999999994"/>
    <n v="10373"/>
    <n v="0"/>
    <n v="0"/>
    <n v="101"/>
    <s v="_x0000_US"/>
  </r>
  <r>
    <x v="0"/>
    <n v="13.6905"/>
    <n v="-89.178700000000006"/>
    <n v="10373.200000000001"/>
    <n v="0"/>
    <n v="0"/>
    <n v="101"/>
    <s v="_x0000_US"/>
  </r>
  <r>
    <x v="0"/>
    <n v="13.689500000000001"/>
    <n v="-89.179599999999994"/>
    <n v="10373.5"/>
    <n v="0"/>
    <n v="0"/>
    <n v="101"/>
    <s v="_x0000_US"/>
  </r>
  <r>
    <x v="0"/>
    <n v="13.6959"/>
    <n v="-89.173000000000002"/>
    <n v="10374.700000000001"/>
    <n v="0"/>
    <n v="0"/>
    <n v="101"/>
    <s v="_x0000_US"/>
  </r>
  <r>
    <x v="0"/>
    <n v="13.691700000000001"/>
    <n v="-89.197100000000006"/>
    <n v="10374.799999999999"/>
    <n v="0"/>
    <n v="0"/>
    <n v="101"/>
    <s v="_x0000_US"/>
  </r>
  <r>
    <x v="0"/>
    <n v="13.690799999999999"/>
    <n v="-89.233400000000003"/>
    <n v="10374.799999999999"/>
    <n v="0"/>
    <n v="0"/>
    <n v="101"/>
    <s v="_x0000_US"/>
  </r>
  <r>
    <x v="0"/>
    <n v="13.688499999999999"/>
    <n v="-89.2042"/>
    <n v="10375.1"/>
    <n v="0"/>
    <n v="0"/>
    <n v="101"/>
    <s v="_x0000_US"/>
  </r>
  <r>
    <x v="0"/>
    <n v="13.6913"/>
    <n v="-89.235299999999995"/>
    <n v="10375.200000000001"/>
    <n v="0"/>
    <n v="0"/>
    <n v="101"/>
    <s v="_x0000_US"/>
  </r>
  <r>
    <x v="0"/>
    <n v="13.6914"/>
    <n v="-89.232500000000002"/>
    <n v="10375.4"/>
    <n v="0"/>
    <n v="0"/>
    <n v="101"/>
    <s v="_x0000_US"/>
  </r>
  <r>
    <x v="0"/>
    <n v="13.694100000000001"/>
    <n v="-89.173000000000002"/>
    <n v="10375.5"/>
    <n v="0"/>
    <n v="0"/>
    <n v="101"/>
    <s v="_x0000_US"/>
  </r>
  <r>
    <x v="0"/>
    <n v="13.6852"/>
    <n v="-89.215199999999996"/>
    <n v="10375.5"/>
    <n v="0"/>
    <n v="0"/>
    <n v="101"/>
    <s v="_x0000_US"/>
  </r>
  <r>
    <x v="0"/>
    <n v="13.6793"/>
    <n v="-89.196399999999997"/>
    <n v="10375.700000000001"/>
    <n v="0"/>
    <n v="0"/>
    <n v="101"/>
    <s v="_x0000_US"/>
  </r>
  <r>
    <x v="0"/>
    <n v="13.685700000000001"/>
    <n v="-89.203900000000004"/>
    <n v="10375.700000000001"/>
    <n v="0"/>
    <n v="0"/>
    <n v="101"/>
    <s v="_x0000_US"/>
  </r>
  <r>
    <x v="0"/>
    <n v="13.6912"/>
    <n v="-89.219499999999996"/>
    <n v="10375.700000000001"/>
    <n v="0"/>
    <n v="0"/>
    <n v="101"/>
    <s v="_x0000_US"/>
  </r>
  <r>
    <x v="0"/>
    <n v="13.6868"/>
    <n v="-89.194500000000005"/>
    <n v="10377.6"/>
    <n v="0"/>
    <n v="0"/>
    <n v="101"/>
    <s v="_x0000_US"/>
  </r>
  <r>
    <x v="0"/>
    <n v="13.685600000000001"/>
    <n v="-89.193700000000007"/>
    <n v="10377.6"/>
    <n v="0"/>
    <n v="0"/>
    <n v="101"/>
    <s v="_x0000_US"/>
  </r>
  <r>
    <x v="0"/>
    <n v="13.696999999999999"/>
    <n v="-89.171700000000001"/>
    <n v="10377.6"/>
    <n v="0"/>
    <n v="0"/>
    <n v="101"/>
    <s v="_x0000_US"/>
  </r>
  <r>
    <x v="0"/>
    <n v="13.674300000000001"/>
    <n v="-89.199100000000001"/>
    <n v="10377.9"/>
    <n v="0"/>
    <n v="0"/>
    <n v="101"/>
    <s v="_x0000_US"/>
  </r>
  <r>
    <x v="0"/>
    <n v="13.6911"/>
    <n v="-89.179100000000005"/>
    <n v="10378.299999999999"/>
    <n v="0"/>
    <n v="0"/>
    <n v="101"/>
    <s v="_x0000_US"/>
  </r>
  <r>
    <x v="0"/>
    <n v="13.691599999999999"/>
    <n v="-89.186000000000007"/>
    <n v="10378.6"/>
    <n v="0"/>
    <n v="0"/>
    <n v="101"/>
    <s v="_x0000_US"/>
  </r>
  <r>
    <x v="0"/>
    <n v="13.6905"/>
    <n v="-89.232100000000003"/>
    <n v="10378.700000000001"/>
    <n v="0"/>
    <n v="0"/>
    <n v="101"/>
    <s v="_x0000_US"/>
  </r>
  <r>
    <x v="0"/>
    <n v="13.687799999999999"/>
    <n v="-89.197100000000006"/>
    <n v="10378.799999999999"/>
    <n v="0"/>
    <n v="0"/>
    <n v="101"/>
    <s v="_x0000_US"/>
  </r>
  <r>
    <x v="0"/>
    <n v="13.69"/>
    <n v="-89.234899999999996"/>
    <n v="10379"/>
    <n v="0"/>
    <n v="0"/>
    <n v="101"/>
    <s v="_x0000_US"/>
  </r>
  <r>
    <x v="0"/>
    <n v="13.690799999999999"/>
    <n v="-89.185599999999994"/>
    <n v="10379.299999999999"/>
    <n v="0"/>
    <n v="0"/>
    <n v="101"/>
    <s v="_x0000_US"/>
  </r>
  <r>
    <x v="0"/>
    <n v="13.687200000000001"/>
    <n v="-89.197299999999998"/>
    <n v="10379.299999999999"/>
    <n v="0"/>
    <n v="0"/>
    <n v="101"/>
    <s v="_x0000_US"/>
  </r>
  <r>
    <x v="0"/>
    <n v="13.688000000000001"/>
    <n v="-89.182699999999997"/>
    <n v="10379.299999999999"/>
    <n v="0"/>
    <n v="0"/>
    <n v="101"/>
    <s v="_x0000_US"/>
  </r>
  <r>
    <x v="0"/>
    <n v="13.692600000000001"/>
    <n v="-89.2239"/>
    <n v="10379.6"/>
    <n v="0"/>
    <n v="0"/>
    <n v="101"/>
    <s v="_x0000_US"/>
  </r>
  <r>
    <x v="0"/>
    <n v="13.692500000000001"/>
    <n v="-89.174300000000002"/>
    <n v="10379.700000000001"/>
    <n v="0"/>
    <n v="0"/>
    <n v="101"/>
    <s v="_x0000_US"/>
  </r>
  <r>
    <x v="0"/>
    <n v="13.688700000000001"/>
    <n v="-89.217200000000005"/>
    <n v="10380.299999999999"/>
    <n v="0"/>
    <n v="0"/>
    <n v="101"/>
    <s v="_x0000_US"/>
  </r>
  <r>
    <x v="0"/>
    <n v="13.6945"/>
    <n v="-89.175700000000006"/>
    <n v="10380.4"/>
    <n v="0"/>
    <n v="0"/>
    <n v="101"/>
    <s v="_x0000_US"/>
  </r>
  <r>
    <x v="0"/>
    <n v="13.6875"/>
    <n v="-89.2149"/>
    <n v="10380.9"/>
    <n v="0"/>
    <n v="0"/>
    <n v="101"/>
    <s v="_x0000_US"/>
  </r>
  <r>
    <x v="0"/>
    <n v="13.6866"/>
    <n v="-89.215800000000002"/>
    <n v="10381.700000000001"/>
    <n v="0"/>
    <n v="0"/>
    <n v="101"/>
    <s v="_x0000_US"/>
  </r>
  <r>
    <x v="0"/>
    <n v="13.6914"/>
    <n v="-89.178899999999999"/>
    <n v="10383.1"/>
    <n v="0"/>
    <n v="0"/>
    <n v="101"/>
    <s v="_x0000_US"/>
  </r>
  <r>
    <x v="0"/>
    <n v="13.69"/>
    <n v="-89.1845"/>
    <n v="10383.200000000001"/>
    <n v="0"/>
    <n v="0"/>
    <n v="101"/>
    <s v="_x0000_US"/>
  </r>
  <r>
    <x v="0"/>
    <n v="13.6922"/>
    <n v="-89.221400000000003"/>
    <n v="10383.5"/>
    <n v="0"/>
    <n v="0"/>
    <n v="101"/>
    <s v="_x0000_US"/>
  </r>
  <r>
    <x v="0"/>
    <n v="13.6737"/>
    <n v="-89.202699999999993"/>
    <n v="10383.6"/>
    <n v="0"/>
    <n v="0"/>
    <n v="101"/>
    <s v="_x0000_US"/>
  </r>
  <r>
    <x v="0"/>
    <n v="13.6943"/>
    <n v="-89.188800000000001"/>
    <n v="10383.799999999999"/>
    <n v="0"/>
    <n v="0"/>
    <n v="101"/>
    <s v="_x0000_US"/>
  </r>
  <r>
    <x v="0"/>
    <n v="13.6959"/>
    <n v="-89.172200000000004"/>
    <n v="10383.799999999999"/>
    <n v="0"/>
    <n v="0"/>
    <n v="101"/>
    <s v="_x0000_US"/>
  </r>
  <r>
    <x v="0"/>
    <n v="13.677099999999999"/>
    <n v="-89.247299999999996"/>
    <n v="10383.9"/>
    <n v="0"/>
    <n v="0"/>
    <n v="101"/>
    <s v="_x0000_US"/>
  </r>
  <r>
    <x v="0"/>
    <n v="13.6882"/>
    <n v="-89.180899999999994"/>
    <n v="10384.700000000001"/>
    <n v="0"/>
    <n v="0"/>
    <n v="101"/>
    <s v="_x0000_US"/>
  </r>
  <r>
    <x v="0"/>
    <n v="13.6905"/>
    <n v="-89.233999999999995"/>
    <n v="10385.5"/>
    <n v="0"/>
    <n v="0"/>
    <n v="101"/>
    <s v="_x0000_US"/>
  </r>
  <r>
    <x v="0"/>
    <n v="13.6919"/>
    <n v="-89.186800000000005"/>
    <n v="10385.6"/>
    <n v="0"/>
    <n v="0"/>
    <n v="101"/>
    <s v="_x0000_US"/>
  </r>
  <r>
    <x v="0"/>
    <n v="13.694800000000001"/>
    <n v="-89.174000000000007"/>
    <n v="10385.799999999999"/>
    <n v="0"/>
    <n v="0"/>
    <n v="101"/>
    <s v="_x0000_US"/>
  </r>
  <r>
    <x v="0"/>
    <n v="13.686299999999999"/>
    <n v="-89.212000000000003"/>
    <n v="10386.4"/>
    <n v="0"/>
    <n v="0"/>
    <n v="101"/>
    <s v="_x0000_US"/>
  </r>
  <r>
    <x v="0"/>
    <n v="13.6896"/>
    <n v="-89.229200000000006"/>
    <n v="10386.9"/>
    <n v="0"/>
    <n v="0"/>
    <n v="101"/>
    <s v="_x0000_US"/>
  </r>
  <r>
    <x v="0"/>
    <n v="13.696999999999999"/>
    <n v="-89.171300000000002"/>
    <n v="10387"/>
    <n v="0"/>
    <n v="0"/>
    <n v="101"/>
    <s v="_x0000_US"/>
  </r>
  <r>
    <x v="0"/>
    <n v="13.6884"/>
    <n v="-89.212000000000003"/>
    <n v="10387"/>
    <n v="0"/>
    <n v="0"/>
    <n v="101"/>
    <s v="_x0000_US"/>
  </r>
  <r>
    <x v="0"/>
    <n v="13.6974"/>
    <n v="-89.171400000000006"/>
    <n v="10387.200000000001"/>
    <n v="0"/>
    <n v="0"/>
    <n v="101"/>
    <s v="_x0000_US"/>
  </r>
  <r>
    <x v="0"/>
    <n v="13.6899"/>
    <n v="-89.2286"/>
    <n v="10387.200000000001"/>
    <n v="0"/>
    <n v="0"/>
    <n v="101"/>
    <s v="_x0000_US"/>
  </r>
  <r>
    <x v="0"/>
    <n v="13.688000000000001"/>
    <n v="-89.216800000000006"/>
    <n v="10388.4"/>
    <n v="0"/>
    <n v="0"/>
    <n v="101"/>
    <s v="_x0000_US"/>
  </r>
  <r>
    <x v="0"/>
    <n v="13.690899999999999"/>
    <n v="-89.228899999999996"/>
    <n v="10388.4"/>
    <n v="0"/>
    <n v="0"/>
    <n v="101"/>
    <s v="_x0000_US"/>
  </r>
  <r>
    <x v="0"/>
    <n v="13.6912"/>
    <n v="-89.2286"/>
    <n v="10388.799999999999"/>
    <n v="0"/>
    <n v="0"/>
    <n v="101"/>
    <s v="_x0000_US"/>
  </r>
  <r>
    <x v="0"/>
    <n v="13.6876"/>
    <n v="-89.181299999999993"/>
    <n v="10389.200000000001"/>
    <n v="0"/>
    <n v="0"/>
    <n v="101"/>
    <s v="_x0000_US"/>
  </r>
  <r>
    <x v="0"/>
    <n v="13.684799999999999"/>
    <n v="-89.214299999999994"/>
    <n v="10389.299999999999"/>
    <n v="0"/>
    <n v="0"/>
    <n v="101"/>
    <s v="_x0000_US"/>
  </r>
  <r>
    <x v="0"/>
    <n v="13.6854"/>
    <n v="-89.2042"/>
    <n v="10389.4"/>
    <n v="0"/>
    <n v="0"/>
    <n v="101"/>
    <s v="_x0000_US"/>
  </r>
  <r>
    <x v="0"/>
    <n v="13.6929"/>
    <n v="-89.183000000000007"/>
    <n v="10389.700000000001"/>
    <n v="0"/>
    <n v="0"/>
    <n v="101"/>
    <s v="_x0000_US"/>
  </r>
  <r>
    <x v="0"/>
    <n v="13.6792"/>
    <n v="-89.196700000000007"/>
    <n v="10390"/>
    <n v="0"/>
    <n v="0"/>
    <n v="101"/>
    <s v="_x0000_US"/>
  </r>
  <r>
    <x v="0"/>
    <n v="13.688700000000001"/>
    <n v="-89.216700000000003"/>
    <n v="10390.5"/>
    <n v="0"/>
    <n v="0"/>
    <n v="101"/>
    <s v="_x0000_US"/>
  </r>
  <r>
    <x v="0"/>
    <n v="13.6884"/>
    <n v="-89.2042"/>
    <n v="10390.9"/>
    <n v="0"/>
    <n v="0"/>
    <n v="101"/>
    <s v="_x0000_US"/>
  </r>
  <r>
    <x v="0"/>
    <n v="13.686999999999999"/>
    <n v="-89.2042"/>
    <n v="10391.1"/>
    <n v="0"/>
    <n v="0"/>
    <n v="101"/>
    <s v="_x0000_US"/>
  </r>
  <r>
    <x v="0"/>
    <n v="13.692"/>
    <n v="-89.1798"/>
    <n v="10391.299999999999"/>
    <n v="0"/>
    <n v="0"/>
    <n v="101"/>
    <s v="_x0000_US"/>
  </r>
  <r>
    <x v="0"/>
    <n v="13.6891"/>
    <n v="-89.204899999999995"/>
    <n v="10391.5"/>
    <n v="0"/>
    <n v="0"/>
    <n v="101"/>
    <s v="_x0000_US"/>
  </r>
  <r>
    <x v="0"/>
    <n v="13.6891"/>
    <n v="-89.178100000000001"/>
    <n v="10392.1"/>
    <n v="0"/>
    <n v="0"/>
    <n v="101"/>
    <s v="_x0000_US"/>
  </r>
  <r>
    <x v="0"/>
    <n v="13.691599999999999"/>
    <n v="-89.197100000000006"/>
    <n v="10392.200000000001"/>
    <n v="0"/>
    <n v="0"/>
    <n v="101"/>
    <s v="_x0000_US"/>
  </r>
  <r>
    <x v="0"/>
    <n v="13.6889"/>
    <n v="-89.190399999999997"/>
    <n v="10392.200000000001"/>
    <n v="0"/>
    <n v="0"/>
    <n v="101"/>
    <s v="_x0000_US"/>
  </r>
  <r>
    <x v="0"/>
    <n v="13.6915"/>
    <n v="-89.185199999999995"/>
    <n v="10392.200000000001"/>
    <n v="0"/>
    <n v="0"/>
    <n v="101"/>
    <s v="_x0000_US"/>
  </r>
  <r>
    <x v="0"/>
    <n v="13.6882"/>
    <n v="-89.1815"/>
    <n v="10392.4"/>
    <n v="0"/>
    <n v="0"/>
    <n v="101"/>
    <s v="_x0000_US"/>
  </r>
  <r>
    <x v="0"/>
    <n v="13.692"/>
    <n v="-89.193700000000007"/>
    <n v="10392.6"/>
    <n v="0"/>
    <n v="0"/>
    <n v="101"/>
    <s v="_x0000_US"/>
  </r>
  <r>
    <x v="0"/>
    <n v="13.690899999999999"/>
    <n v="-89.190700000000007"/>
    <n v="10392.700000000001"/>
    <n v="0"/>
    <n v="0"/>
    <n v="101"/>
    <s v="_x0000_US"/>
  </r>
  <r>
    <x v="0"/>
    <n v="13.6846"/>
    <n v="-89.211299999999994"/>
    <n v="10392.9"/>
    <n v="0"/>
    <n v="0"/>
    <n v="101"/>
    <s v="_x0000_US"/>
  </r>
  <r>
    <x v="0"/>
    <n v="13.6904"/>
    <n v="-89.234899999999996"/>
    <n v="10393"/>
    <n v="0"/>
    <n v="0"/>
    <n v="101"/>
    <s v="_x0000_US"/>
  </r>
  <r>
    <x v="0"/>
    <n v="13.6897"/>
    <n v="-89.183400000000006"/>
    <n v="10393.1"/>
    <n v="0"/>
    <n v="0"/>
    <n v="101"/>
    <s v="_x0000_US"/>
  </r>
  <r>
    <x v="0"/>
    <n v="13.691599999999999"/>
    <n v="-89.1798"/>
    <n v="10393.1"/>
    <n v="0"/>
    <n v="0"/>
    <n v="101"/>
    <s v="_x0000_US"/>
  </r>
  <r>
    <x v="0"/>
    <n v="13.6929"/>
    <n v="-89.184600000000003"/>
    <n v="10393.200000000001"/>
    <n v="0"/>
    <n v="0"/>
    <n v="101"/>
    <s v="_x0000_US"/>
  </r>
  <r>
    <x v="0"/>
    <n v="13.693099999999999"/>
    <n v="-89.185900000000004"/>
    <n v="10393.4"/>
    <n v="0"/>
    <n v="0"/>
    <n v="101"/>
    <s v="_x0000_US"/>
  </r>
  <r>
    <x v="0"/>
    <n v="13.6965"/>
    <n v="-89.172499999999999"/>
    <n v="10393.4"/>
    <n v="0"/>
    <n v="0"/>
    <n v="101"/>
    <s v="_x0000_US"/>
  </r>
  <r>
    <x v="0"/>
    <n v="13.692500000000001"/>
    <n v="-89.179100000000005"/>
    <n v="10393.5"/>
    <n v="0"/>
    <n v="0"/>
    <n v="101"/>
    <s v="_x0000_US"/>
  </r>
  <r>
    <x v="0"/>
    <n v="13.6914"/>
    <n v="-89.177000000000007"/>
    <n v="10393.6"/>
    <n v="0"/>
    <n v="0"/>
    <n v="101"/>
    <s v="_x0000_US"/>
  </r>
  <r>
    <x v="0"/>
    <n v="13.691700000000001"/>
    <n v="-89.183000000000007"/>
    <n v="10393.700000000001"/>
    <n v="0"/>
    <n v="0"/>
    <n v="101"/>
    <s v="_x0000_US"/>
  </r>
  <r>
    <x v="0"/>
    <n v="13.687200000000001"/>
    <n v="-89.182400000000001"/>
    <n v="10394"/>
    <n v="0"/>
    <n v="0"/>
    <n v="101"/>
    <s v="_x0000_US"/>
  </r>
  <r>
    <x v="0"/>
    <n v="13.687900000000001"/>
    <n v="-89.212400000000002"/>
    <n v="10394.4"/>
    <n v="0"/>
    <n v="0"/>
    <n v="101"/>
    <s v="_x0000_US"/>
  </r>
  <r>
    <x v="0"/>
    <n v="13.687099999999999"/>
    <n v="-89.216700000000003"/>
    <n v="10394.5"/>
    <n v="0"/>
    <n v="0"/>
    <n v="101"/>
    <s v="_x0000_US"/>
  </r>
  <r>
    <x v="0"/>
    <n v="13.685600000000001"/>
    <n v="-89.202600000000004"/>
    <n v="10394.6"/>
    <n v="0"/>
    <n v="0"/>
    <n v="101"/>
    <s v="_x0000_US"/>
  </r>
  <r>
    <x v="0"/>
    <n v="13.686500000000001"/>
    <n v="-89.216300000000004"/>
    <n v="10395"/>
    <n v="0"/>
    <n v="0"/>
    <n v="101"/>
    <s v="_x0000_US"/>
  </r>
  <r>
    <x v="0"/>
    <n v="13.684699999999999"/>
    <n v="-89.212999999999994"/>
    <n v="10395.200000000001"/>
    <n v="0"/>
    <n v="0"/>
    <n v="101"/>
    <s v="_x0000_US"/>
  </r>
  <r>
    <x v="0"/>
    <n v="13.692"/>
    <n v="-89.225399999999993"/>
    <n v="10395.299999999999"/>
    <n v="0"/>
    <n v="0"/>
    <n v="101"/>
    <s v="_x0000_US"/>
  </r>
  <r>
    <x v="0"/>
    <n v="13.6799"/>
    <n v="-89.195700000000002"/>
    <n v="10395.4"/>
    <n v="0"/>
    <n v="0"/>
    <n v="101"/>
    <s v="_x0000_US"/>
  </r>
  <r>
    <x v="0"/>
    <n v="13.6883"/>
    <n v="-89.229799999999997"/>
    <n v="10396"/>
    <n v="0"/>
    <n v="0"/>
    <n v="101"/>
    <s v="_x0000_US"/>
  </r>
  <r>
    <x v="0"/>
    <n v="13.6943"/>
    <n v="-89.188800000000001"/>
    <n v="10396.5"/>
    <n v="0"/>
    <n v="0"/>
    <n v="101"/>
    <s v="_x0000_US"/>
  </r>
  <r>
    <x v="0"/>
    <n v="13.684699999999999"/>
    <n v="-89.212800000000001"/>
    <n v="10396.5"/>
    <n v="0"/>
    <n v="0"/>
    <n v="101"/>
    <s v="_x0000_US"/>
  </r>
  <r>
    <x v="0"/>
    <n v="13.6911"/>
    <n v="-89.234899999999996"/>
    <n v="10397.200000000001"/>
    <n v="0"/>
    <n v="0"/>
    <n v="101"/>
    <s v="_x0000_US"/>
  </r>
  <r>
    <x v="0"/>
    <n v="13.6877"/>
    <n v="-89.205600000000004"/>
    <n v="10397.4"/>
    <n v="0"/>
    <n v="0"/>
    <n v="101"/>
    <s v="_x0000_US"/>
  </r>
  <r>
    <x v="0"/>
    <n v="13.692399999999999"/>
    <n v="-89.2239"/>
    <n v="10397.5"/>
    <n v="0"/>
    <n v="0"/>
    <n v="101"/>
    <s v="_x0000_US"/>
  </r>
  <r>
    <x v="0"/>
    <n v="13.692"/>
    <n v="-89.2239"/>
    <n v="10398"/>
    <n v="0"/>
    <n v="0"/>
    <n v="101"/>
    <s v="_x0000_US"/>
  </r>
  <r>
    <x v="0"/>
    <n v="13.6911"/>
    <n v="-89.232799999999997"/>
    <n v="10398.200000000001"/>
    <n v="0"/>
    <n v="0"/>
    <n v="101"/>
    <s v="_x0000_US"/>
  </r>
  <r>
    <x v="0"/>
    <n v="13.690200000000001"/>
    <n v="-89.187399999999997"/>
    <n v="10398.4"/>
    <n v="0"/>
    <n v="0"/>
    <n v="101"/>
    <s v="_x0000_US"/>
  </r>
  <r>
    <x v="0"/>
    <n v="13.6945"/>
    <n v="-89.175600000000003"/>
    <n v="10398.700000000001"/>
    <n v="0"/>
    <n v="0"/>
    <n v="101"/>
    <s v="_x0000_US"/>
  </r>
  <r>
    <x v="0"/>
    <n v="13.6968"/>
    <n v="-89.171899999999994"/>
    <n v="10398.799999999999"/>
    <n v="0"/>
    <n v="0"/>
    <n v="101"/>
    <s v="_x0000_US"/>
  </r>
  <r>
    <x v="0"/>
    <n v="13.691599999999999"/>
    <n v="-89.228499999999997"/>
    <n v="10399.1"/>
    <n v="0"/>
    <n v="0"/>
    <n v="101"/>
    <s v="_x0000_US"/>
  </r>
  <r>
    <x v="0"/>
    <n v="13.6907"/>
    <n v="-89.186300000000003"/>
    <n v="10399.4"/>
    <n v="0"/>
    <n v="0"/>
    <n v="101"/>
    <s v="_x0000_US"/>
  </r>
  <r>
    <x v="0"/>
    <n v="13.6913"/>
    <n v="-89.220399999999998"/>
    <n v="10399.5"/>
    <n v="0"/>
    <n v="0"/>
    <n v="101"/>
    <s v="_x0000_US"/>
  </r>
  <r>
    <x v="0"/>
    <n v="13.690799999999999"/>
    <n v="-89.1815"/>
    <n v="10399.6"/>
    <n v="0"/>
    <n v="0"/>
    <n v="101"/>
    <s v="_x0000_US"/>
  </r>
  <r>
    <x v="0"/>
    <n v="13.6896"/>
    <n v="-89.180800000000005"/>
    <n v="10399.799999999999"/>
    <n v="0"/>
    <n v="0"/>
    <n v="101"/>
    <s v="_x0000_US"/>
  </r>
  <r>
    <x v="0"/>
    <n v="13.6934"/>
    <n v="-89.192599999999999"/>
    <n v="10399.9"/>
    <n v="0"/>
    <n v="0"/>
    <n v="101"/>
    <s v="_x0000_US"/>
  </r>
  <r>
    <x v="0"/>
    <n v="13.6867"/>
    <n v="-89.203900000000004"/>
    <n v="10400"/>
    <n v="0"/>
    <n v="0"/>
    <n v="101"/>
    <s v="_x0000_US"/>
  </r>
  <r>
    <x v="0"/>
    <n v="13.6874"/>
    <n v="-89.194299999999998"/>
    <n v="10400.200000000001"/>
    <n v="0"/>
    <n v="0"/>
    <n v="101"/>
    <s v="_x0000_US"/>
  </r>
  <r>
    <x v="0"/>
    <n v="13.691700000000001"/>
    <n v="-89.196200000000005"/>
    <n v="10400.6"/>
    <n v="0"/>
    <n v="0"/>
    <n v="101"/>
    <s v="_x0000_US"/>
  </r>
  <r>
    <x v="0"/>
    <n v="13.684799999999999"/>
    <n v="-89.193899999999999"/>
    <n v="10401"/>
    <n v="0"/>
    <n v="0"/>
    <n v="101"/>
    <s v="_x0000_US"/>
  </r>
  <r>
    <x v="0"/>
    <n v="13.6906"/>
    <n v="-89.188900000000004"/>
    <n v="10401.299999999999"/>
    <n v="0"/>
    <n v="0"/>
    <n v="101"/>
    <s v="_x0000_US"/>
  </r>
  <r>
    <x v="0"/>
    <n v="13.695499999999999"/>
    <n v="-89.173100000000005"/>
    <n v="10401.299999999999"/>
    <n v="0"/>
    <n v="0"/>
    <n v="101"/>
    <s v="_x0000_US"/>
  </r>
  <r>
    <x v="0"/>
    <n v="13.6913"/>
    <n v="-89.228999999999999"/>
    <n v="10401.6"/>
    <n v="0"/>
    <n v="0"/>
    <n v="101"/>
    <s v="_x0000_US"/>
  </r>
  <r>
    <x v="0"/>
    <n v="13.6912"/>
    <n v="-89.188599999999994"/>
    <n v="10401.700000000001"/>
    <n v="0"/>
    <n v="0"/>
    <n v="101"/>
    <s v="_x0000_US"/>
  </r>
  <r>
    <x v="0"/>
    <n v="13.6899"/>
    <n v="-89.193899999999999"/>
    <n v="10401.9"/>
    <n v="0"/>
    <n v="0"/>
    <n v="101"/>
    <s v="_x0000_US"/>
  </r>
  <r>
    <x v="0"/>
    <n v="13.6922"/>
    <n v="-89.194500000000005"/>
    <n v="10401.9"/>
    <n v="0"/>
    <n v="0"/>
    <n v="101"/>
    <s v="_x0000_US"/>
  </r>
  <r>
    <x v="0"/>
    <n v="13.6896"/>
    <n v="-89.228800000000007"/>
    <n v="10402.299999999999"/>
    <n v="0"/>
    <n v="0"/>
    <n v="101"/>
    <s v="_x0000_US"/>
  </r>
  <r>
    <x v="0"/>
    <n v="13.690099999999999"/>
    <n v="-89.193700000000007"/>
    <n v="10402.6"/>
    <n v="0"/>
    <n v="0"/>
    <n v="101"/>
    <s v="_x0000_US"/>
  </r>
  <r>
    <x v="0"/>
    <n v="13.6897"/>
    <n v="-89.229200000000006"/>
    <n v="10403"/>
    <n v="0"/>
    <n v="0"/>
    <n v="101"/>
    <s v="_x0000_US"/>
  </r>
  <r>
    <x v="0"/>
    <n v="13.690300000000001"/>
    <n v="-89.236000000000004"/>
    <n v="10403.6"/>
    <n v="0"/>
    <n v="0"/>
    <n v="101"/>
    <s v="_x0000_US"/>
  </r>
  <r>
    <x v="0"/>
    <n v="13.692600000000001"/>
    <n v="-89.184299999999993"/>
    <n v="10403.700000000001"/>
    <n v="0"/>
    <n v="0"/>
    <n v="101"/>
    <s v="_x0000_US"/>
  </r>
  <r>
    <x v="0"/>
    <n v="13.6966"/>
    <n v="-89.1721"/>
    <n v="10403.799999999999"/>
    <n v="0"/>
    <n v="0"/>
    <n v="101"/>
    <s v="_x0000_US"/>
  </r>
  <r>
    <x v="0"/>
    <n v="13.6846"/>
    <n v="-89.217399999999998"/>
    <n v="10403.9"/>
    <n v="0"/>
    <n v="0"/>
    <n v="101"/>
    <s v="_x0000_US"/>
  </r>
  <r>
    <x v="0"/>
    <n v="13.6869"/>
    <n v="-89.1828"/>
    <n v="10404.4"/>
    <n v="0"/>
    <n v="0"/>
    <n v="101"/>
    <s v="_x0000_US"/>
  </r>
  <r>
    <x v="0"/>
    <n v="13.691000000000001"/>
    <n v="-89.233000000000004"/>
    <n v="10404.799999999999"/>
    <n v="0"/>
    <n v="0"/>
    <n v="101"/>
    <s v="_x0000_US"/>
  </r>
  <r>
    <x v="0"/>
    <n v="13.6921"/>
    <n v="-89.186199999999999"/>
    <n v="10405.5"/>
    <n v="0"/>
    <n v="0"/>
    <n v="101"/>
    <s v="_x0000_US"/>
  </r>
  <r>
    <x v="0"/>
    <n v="13.6942"/>
    <n v="-89.185500000000005"/>
    <n v="10405.9"/>
    <n v="0"/>
    <n v="0"/>
    <n v="101"/>
    <s v="_x0000_US"/>
  </r>
  <r>
    <x v="0"/>
    <n v="13.690799999999999"/>
    <n v="-89.179299999999998"/>
    <n v="10406"/>
    <n v="0"/>
    <n v="0"/>
    <n v="101"/>
    <s v="_x0000_US"/>
  </r>
  <r>
    <x v="0"/>
    <n v="13.6919"/>
    <n v="-89.225300000000004"/>
    <n v="10406.4"/>
    <n v="0"/>
    <n v="0"/>
    <n v="101"/>
    <s v="_x0000_US"/>
  </r>
  <r>
    <x v="0"/>
    <n v="13.6859"/>
    <n v="-89.215500000000006"/>
    <n v="10406.799999999999"/>
    <n v="0"/>
    <n v="0"/>
    <n v="101"/>
    <s v="_x0000_US"/>
  </r>
  <r>
    <x v="0"/>
    <n v="13.6874"/>
    <n v="-89.197800000000001"/>
    <n v="10407.299999999999"/>
    <n v="0"/>
    <n v="0"/>
    <n v="101"/>
    <s v="_x0000_US"/>
  </r>
  <r>
    <x v="0"/>
    <n v="13.6853"/>
    <n v="-89.214799999999997"/>
    <n v="10407.6"/>
    <n v="0"/>
    <n v="0"/>
    <n v="101"/>
    <s v="_x0000_US"/>
  </r>
  <r>
    <x v="0"/>
    <n v="13.6938"/>
    <n v="-89.176299999999998"/>
    <n v="10407.9"/>
    <n v="0"/>
    <n v="0"/>
    <n v="101"/>
    <s v="_x0000_US"/>
  </r>
  <r>
    <x v="0"/>
    <n v="13.692500000000001"/>
    <n v="-89.175600000000003"/>
    <n v="10407.9"/>
    <n v="0"/>
    <n v="0"/>
    <n v="101"/>
    <s v="_x0000_US"/>
  </r>
  <r>
    <x v="0"/>
    <n v="13.687200000000001"/>
    <n v="-89.181799999999996"/>
    <n v="10408.200000000001"/>
    <n v="0"/>
    <n v="0"/>
    <n v="101"/>
    <s v="_x0000_US"/>
  </r>
  <r>
    <x v="0"/>
    <n v="13.687099999999999"/>
    <n v="-89.181100000000001"/>
    <n v="10408.5"/>
    <n v="0"/>
    <n v="0"/>
    <n v="101"/>
    <s v="_x0000_US"/>
  </r>
  <r>
    <x v="0"/>
    <n v="13.6853"/>
    <n v="-89.202200000000005"/>
    <n v="10408.700000000001"/>
    <n v="0"/>
    <n v="0"/>
    <n v="101"/>
    <s v="_x0000_US"/>
  </r>
  <r>
    <x v="0"/>
    <n v="13.681100000000001"/>
    <n v="-89.195599999999999"/>
    <n v="10408.9"/>
    <n v="0"/>
    <n v="0"/>
    <n v="101"/>
    <s v="_x0000_US"/>
  </r>
  <r>
    <x v="0"/>
    <n v="13.690799999999999"/>
    <n v="-89.233999999999995"/>
    <n v="10409"/>
    <n v="0"/>
    <n v="0"/>
    <n v="101"/>
    <s v="_x0000_US"/>
  </r>
  <r>
    <x v="0"/>
    <n v="13.6753"/>
    <n v="-89.202399999999997"/>
    <n v="10409.1"/>
    <n v="0"/>
    <n v="0"/>
    <n v="101"/>
    <s v="_x0000_US"/>
  </r>
  <r>
    <x v="0"/>
    <n v="13.6907"/>
    <n v="-89.235699999999994"/>
    <n v="10409.799999999999"/>
    <n v="0"/>
    <n v="0"/>
    <n v="101"/>
    <s v="_x0000_US"/>
  </r>
  <r>
    <x v="0"/>
    <n v="13.679600000000001"/>
    <n v="-89.196899999999999"/>
    <n v="10410.200000000001"/>
    <n v="0"/>
    <n v="0"/>
    <n v="101"/>
    <s v="_x0000_US"/>
  </r>
  <r>
    <x v="0"/>
    <n v="13.692399999999999"/>
    <n v="-89.224199999999996"/>
    <n v="10410.299999999999"/>
    <n v="0"/>
    <n v="0"/>
    <n v="101"/>
    <s v="_x0000_US"/>
  </r>
  <r>
    <x v="0"/>
    <n v="13.6943"/>
    <n v="-89.183300000000003"/>
    <n v="10410.9"/>
    <n v="0"/>
    <n v="0"/>
    <n v="101"/>
    <s v="_x0000_US"/>
  </r>
  <r>
    <x v="0"/>
    <n v="13.680199999999999"/>
    <n v="-89.197100000000006"/>
    <n v="10410.9"/>
    <n v="0"/>
    <n v="0"/>
    <n v="101"/>
    <s v="_x0000_US"/>
  </r>
  <r>
    <x v="0"/>
    <n v="13.6911"/>
    <n v="-89.229200000000006"/>
    <n v="10410.9"/>
    <n v="0"/>
    <n v="0"/>
    <n v="101"/>
    <s v="_x0000_US"/>
  </r>
  <r>
    <x v="0"/>
    <n v="13.692399999999999"/>
    <n v="-89.189700000000002"/>
    <n v="10411.1"/>
    <n v="0"/>
    <n v="0"/>
    <n v="101"/>
    <s v="_x0000_US"/>
  </r>
  <r>
    <x v="0"/>
    <n v="13.689500000000001"/>
    <n v="-89.185100000000006"/>
    <n v="10411.200000000001"/>
    <n v="0"/>
    <n v="0"/>
    <n v="101"/>
    <s v="_x0000_US"/>
  </r>
  <r>
    <x v="0"/>
    <n v="13.687200000000001"/>
    <n v="-89.216200000000001"/>
    <n v="10411.6"/>
    <n v="0"/>
    <n v="0"/>
    <n v="101"/>
    <s v="_x0000_US"/>
  </r>
  <r>
    <x v="0"/>
    <n v="13.686999999999999"/>
    <n v="-89.194599999999994"/>
    <n v="10411.9"/>
    <n v="0"/>
    <n v="0"/>
    <n v="101"/>
    <s v="_x0000_US"/>
  </r>
  <r>
    <x v="0"/>
    <n v="13.690799999999999"/>
    <n v="-89.185500000000005"/>
    <n v="10412"/>
    <n v="0"/>
    <n v="0"/>
    <n v="101"/>
    <s v="_x0000_US"/>
  </r>
  <r>
    <x v="0"/>
    <n v="13.690799999999999"/>
    <n v="-89.233400000000003"/>
    <n v="10412.1"/>
    <n v="0"/>
    <n v="0"/>
    <n v="101"/>
    <s v="_x0000_US"/>
  </r>
  <r>
    <x v="0"/>
    <n v="13.6744"/>
    <n v="-89.251900000000006"/>
    <n v="10412.1"/>
    <n v="0"/>
    <n v="0"/>
    <n v="101"/>
    <s v="_x0000_US"/>
  </r>
  <r>
    <x v="0"/>
    <n v="13.689299999999999"/>
    <n v="-89.178200000000004"/>
    <n v="10412.700000000001"/>
    <n v="0"/>
    <n v="0"/>
    <n v="101"/>
    <s v="_x0000_US"/>
  </r>
  <r>
    <x v="0"/>
    <n v="13.690799999999999"/>
    <n v="-89.197599999999994"/>
    <n v="10413"/>
    <n v="0"/>
    <n v="0"/>
    <n v="101"/>
    <s v="_x0000_US"/>
  </r>
  <r>
    <x v="0"/>
    <n v="13.6852"/>
    <n v="-89.217299999999994"/>
    <n v="10413.299999999999"/>
    <n v="0"/>
    <n v="0"/>
    <n v="101"/>
    <s v="_x0000_US"/>
  </r>
  <r>
    <x v="0"/>
    <n v="13.6891"/>
    <n v="-89.184299999999993"/>
    <n v="10413.6"/>
    <n v="0"/>
    <n v="0"/>
    <n v="101"/>
    <s v="_x0000_US"/>
  </r>
  <r>
    <x v="0"/>
    <n v="13.694599999999999"/>
    <n v="-89.175200000000004"/>
    <n v="10413.6"/>
    <n v="0"/>
    <n v="0"/>
    <n v="101"/>
    <s v="_x0000_US"/>
  </r>
  <r>
    <x v="0"/>
    <n v="13.691599999999999"/>
    <n v="-89.186300000000003"/>
    <n v="10413.799999999999"/>
    <n v="0"/>
    <n v="0"/>
    <n v="101"/>
    <s v="_x0000_US"/>
  </r>
  <r>
    <x v="0"/>
    <n v="13.69"/>
    <n v="-89.1798"/>
    <n v="10414"/>
    <n v="0"/>
    <n v="0"/>
    <n v="101"/>
    <s v="_x0000_US"/>
  </r>
  <r>
    <x v="0"/>
    <n v="13.691000000000001"/>
    <n v="-89.198099999999997"/>
    <n v="10414.200000000001"/>
    <n v="0"/>
    <n v="0"/>
    <n v="101"/>
    <s v="_x0000_US"/>
  </r>
  <r>
    <x v="0"/>
    <n v="13.6943"/>
    <n v="-89.1751"/>
    <n v="10414.299999999999"/>
    <n v="0"/>
    <n v="0"/>
    <n v="101"/>
    <s v="_x0000_US"/>
  </r>
  <r>
    <x v="0"/>
    <n v="13.6968"/>
    <n v="-89.171599999999998"/>
    <n v="10414.5"/>
    <n v="0"/>
    <n v="0"/>
    <n v="101"/>
    <s v="_x0000_US"/>
  </r>
  <r>
    <x v="0"/>
    <n v="13.688000000000001"/>
    <n v="-89.180199999999999"/>
    <n v="10414.6"/>
    <n v="0"/>
    <n v="0"/>
    <n v="101"/>
    <s v="_x0000_US"/>
  </r>
  <r>
    <x v="0"/>
    <n v="13.6869"/>
    <n v="-89.205200000000005"/>
    <n v="10414.6"/>
    <n v="0"/>
    <n v="0"/>
    <n v="101"/>
    <s v="_x0000_US"/>
  </r>
  <r>
    <x v="0"/>
    <n v="13.6943"/>
    <n v="-89.183300000000003"/>
    <n v="10415.1"/>
    <n v="0"/>
    <n v="0"/>
    <n v="101"/>
    <s v="_x0000_US"/>
  </r>
  <r>
    <x v="0"/>
    <n v="13.686500000000001"/>
    <n v="-89.211699999999993"/>
    <n v="10415.5"/>
    <n v="0"/>
    <n v="0"/>
    <n v="101"/>
    <s v="_x0000_US"/>
  </r>
  <r>
    <x v="0"/>
    <n v="13.6754"/>
    <n v="-89.249799999999993"/>
    <n v="10415.799999999999"/>
    <n v="0"/>
    <n v="0"/>
    <n v="101"/>
    <s v="_x0000_US"/>
  </r>
  <r>
    <x v="0"/>
    <n v="13.685499999999999"/>
    <n v="-89.215500000000006"/>
    <n v="10415.799999999999"/>
    <n v="0"/>
    <n v="0"/>
    <n v="101"/>
    <s v="_x0000_US"/>
  </r>
  <r>
    <x v="0"/>
    <n v="13.6904"/>
    <n v="-89.234499999999997"/>
    <n v="10416"/>
    <n v="0"/>
    <n v="0"/>
    <n v="101"/>
    <s v="_x0000_US"/>
  </r>
  <r>
    <x v="0"/>
    <n v="13.6944"/>
    <n v="-89.174700000000001"/>
    <n v="10416.1"/>
    <n v="0"/>
    <n v="0"/>
    <n v="101"/>
    <s v="_x0000_US"/>
  </r>
  <r>
    <x v="0"/>
    <n v="13.686400000000001"/>
    <n v="-89.213200000000001"/>
    <n v="10416.6"/>
    <n v="0"/>
    <n v="0"/>
    <n v="101"/>
    <s v="_x0000_US"/>
  </r>
  <r>
    <x v="0"/>
    <n v="13.6907"/>
    <n v="-89.194100000000006"/>
    <n v="10417.5"/>
    <n v="0"/>
    <n v="0"/>
    <n v="101"/>
    <s v="_x0000_US"/>
  </r>
  <r>
    <x v="0"/>
    <n v="13.6919"/>
    <n v="-89.225399999999993"/>
    <n v="10417.799999999999"/>
    <n v="0"/>
    <n v="0"/>
    <n v="101"/>
    <s v="_x0000_US"/>
  </r>
  <r>
    <x v="0"/>
    <n v="13.690300000000001"/>
    <n v="-89.193700000000007"/>
    <n v="10418.200000000001"/>
    <n v="0"/>
    <n v="0"/>
    <n v="101"/>
    <s v="_x0000_US"/>
  </r>
  <r>
    <x v="0"/>
    <n v="13.6904"/>
    <n v="-89.235200000000006"/>
    <n v="10418.4"/>
    <n v="0"/>
    <n v="0"/>
    <n v="101"/>
    <s v="_x0000_US"/>
  </r>
  <r>
    <x v="0"/>
    <n v="13.6927"/>
    <n v="-89.175700000000006"/>
    <n v="10418.799999999999"/>
    <n v="0"/>
    <n v="0"/>
    <n v="101"/>
    <s v="_x0000_US"/>
  </r>
  <r>
    <x v="0"/>
    <n v="13.692399999999999"/>
    <n v="-89.1768"/>
    <n v="10419"/>
    <n v="0"/>
    <n v="0"/>
    <n v="101"/>
    <s v="_x0000_US"/>
  </r>
  <r>
    <x v="0"/>
    <n v="13.686999999999999"/>
    <n v="-89.212400000000002"/>
    <n v="10419.1"/>
    <n v="0"/>
    <n v="0"/>
    <n v="101"/>
    <s v="_x0000_US"/>
  </r>
  <r>
    <x v="0"/>
    <n v="13.692399999999999"/>
    <n v="-89.178899999999999"/>
    <n v="10419.299999999999"/>
    <n v="0"/>
    <n v="0"/>
    <n v="101"/>
    <s v="_x0000_US"/>
  </r>
  <r>
    <x v="0"/>
    <n v="13.6913"/>
    <n v="-89.226399999999998"/>
    <n v="10419.299999999999"/>
    <n v="0"/>
    <n v="0"/>
    <n v="101"/>
    <s v="_x0000_US"/>
  </r>
  <r>
    <x v="0"/>
    <n v="13.6913"/>
    <n v="-89.234300000000005"/>
    <n v="10419.299999999999"/>
    <n v="0"/>
    <n v="0"/>
    <n v="101"/>
    <s v="_x0000_US"/>
  </r>
  <r>
    <x v="0"/>
    <n v="13.6922"/>
    <n v="-89.196799999999996"/>
    <n v="10419.4"/>
    <n v="0"/>
    <n v="0"/>
    <n v="101"/>
    <s v="_x0000_US"/>
  </r>
  <r>
    <x v="0"/>
    <n v="13.691700000000001"/>
    <n v="-89.227000000000004"/>
    <n v="10420.700000000001"/>
    <n v="0"/>
    <n v="0"/>
    <n v="101"/>
    <s v="_x0000_US"/>
  </r>
  <r>
    <x v="0"/>
    <n v="13.6922"/>
    <n v="-89.222700000000003"/>
    <n v="10420.799999999999"/>
    <n v="0"/>
    <n v="0"/>
    <n v="101"/>
    <s v="_x0000_US"/>
  </r>
  <r>
    <x v="0"/>
    <n v="13.689299999999999"/>
    <n v="-89.207800000000006"/>
    <n v="10421.1"/>
    <n v="0"/>
    <n v="0"/>
    <n v="101"/>
    <s v="_x0000_US"/>
  </r>
  <r>
    <x v="0"/>
    <n v="13.690099999999999"/>
    <n v="-89.193100000000001"/>
    <n v="10421.6"/>
    <n v="0"/>
    <n v="0"/>
    <n v="101"/>
    <s v="_x0000_US"/>
  </r>
  <r>
    <x v="0"/>
    <n v="13.6906"/>
    <n v="-89.195499999999996"/>
    <n v="10421.6"/>
    <n v="0"/>
    <n v="0"/>
    <n v="101"/>
    <s v="_x0000_US"/>
  </r>
  <r>
    <x v="0"/>
    <n v="13.6927"/>
    <n v="-89.189499999999995"/>
    <n v="10422.4"/>
    <n v="0"/>
    <n v="0"/>
    <n v="101"/>
    <s v="_x0000_US"/>
  </r>
  <r>
    <x v="0"/>
    <n v="13.6859"/>
    <n v="-89.211399999999998"/>
    <n v="10422.4"/>
    <n v="0"/>
    <n v="0"/>
    <n v="101"/>
    <s v="_x0000_US"/>
  </r>
  <r>
    <x v="0"/>
    <n v="13.690799999999999"/>
    <n v="-89.1952"/>
    <n v="10422.5"/>
    <n v="0"/>
    <n v="0"/>
    <n v="101"/>
    <s v="_x0000_US"/>
  </r>
  <r>
    <x v="0"/>
    <n v="13.6874"/>
    <n v="-89.197299999999998"/>
    <n v="10422.6"/>
    <n v="0"/>
    <n v="0"/>
    <n v="101"/>
    <s v="_x0000_US"/>
  </r>
  <r>
    <x v="0"/>
    <n v="13.6868"/>
    <n v="-89.191199999999995"/>
    <n v="10422.700000000001"/>
    <n v="0"/>
    <n v="0"/>
    <n v="101"/>
    <s v="_x0000_US"/>
  </r>
  <r>
    <x v="0"/>
    <n v="13.685499999999999"/>
    <n v="-89.202399999999997"/>
    <n v="10422.700000000001"/>
    <n v="0"/>
    <n v="0"/>
    <n v="101"/>
    <s v="_x0000_US"/>
  </r>
  <r>
    <x v="0"/>
    <n v="13.6906"/>
    <n v="-89.179100000000005"/>
    <n v="10422.9"/>
    <n v="0"/>
    <n v="0"/>
    <n v="101"/>
    <s v="_x0000_US"/>
  </r>
  <r>
    <x v="0"/>
    <n v="13.688000000000001"/>
    <n v="-89.180400000000006"/>
    <n v="10423.799999999999"/>
    <n v="0"/>
    <n v="0"/>
    <n v="101"/>
    <s v="_x0000_US"/>
  </r>
  <r>
    <x v="0"/>
    <n v="13.6914"/>
    <n v="-89.179599999999994"/>
    <n v="10424.1"/>
    <n v="0"/>
    <n v="0"/>
    <n v="101"/>
    <s v="_x0000_US"/>
  </r>
  <r>
    <x v="0"/>
    <n v="13.6927"/>
    <n v="-89.1785"/>
    <n v="10424.200000000001"/>
    <n v="0"/>
    <n v="0"/>
    <n v="101"/>
    <s v="_x0000_US"/>
  </r>
  <r>
    <x v="0"/>
    <n v="13.6927"/>
    <n v="-89.184399999999997"/>
    <n v="10424.299999999999"/>
    <n v="0"/>
    <n v="0"/>
    <n v="101"/>
    <s v="_x0000_US"/>
  </r>
  <r>
    <x v="0"/>
    <n v="13.6905"/>
    <n v="-89.188900000000004"/>
    <n v="10424.4"/>
    <n v="0"/>
    <n v="0"/>
    <n v="101"/>
    <s v="_x0000_US"/>
  </r>
  <r>
    <x v="0"/>
    <n v="13.6861"/>
    <n v="-89.2136"/>
    <n v="10424.5"/>
    <n v="0"/>
    <n v="0"/>
    <n v="101"/>
    <s v="_x0000_US"/>
  </r>
  <r>
    <x v="0"/>
    <n v="13.6898"/>
    <n v="-89.189599999999999"/>
    <n v="10424.6"/>
    <n v="0"/>
    <n v="0"/>
    <n v="101"/>
    <s v="_x0000_US"/>
  </r>
  <r>
    <x v="0"/>
    <n v="13.692399999999999"/>
    <n v="-89.174300000000002"/>
    <n v="10425.1"/>
    <n v="0"/>
    <n v="0"/>
    <n v="101"/>
    <s v="_x0000_US"/>
  </r>
  <r>
    <x v="0"/>
    <n v="13.6769"/>
    <n v="-89.2"/>
    <n v="10425.6"/>
    <n v="0"/>
    <n v="0"/>
    <n v="101"/>
    <s v="_x0000_US"/>
  </r>
  <r>
    <x v="0"/>
    <n v="13.6922"/>
    <n v="-89.193700000000007"/>
    <n v="10425.700000000001"/>
    <n v="0"/>
    <n v="0"/>
    <n v="101"/>
    <s v="_x0000_US"/>
  </r>
  <r>
    <x v="0"/>
    <n v="13.689299999999999"/>
    <n v="-89.184200000000004"/>
    <n v="10426"/>
    <n v="0"/>
    <n v="0"/>
    <n v="101"/>
    <s v="_x0000_US"/>
  </r>
  <r>
    <x v="0"/>
    <n v="13.6913"/>
    <n v="-89.188199999999995"/>
    <n v="10426.1"/>
    <n v="0"/>
    <n v="0"/>
    <n v="101"/>
    <s v="_x0000_US"/>
  </r>
  <r>
    <x v="0"/>
    <n v="13.692299999999999"/>
    <n v="-89.174499999999995"/>
    <n v="10426.200000000001"/>
    <n v="0"/>
    <n v="0"/>
    <n v="101"/>
    <s v="_x0000_US"/>
  </r>
  <r>
    <x v="0"/>
    <n v="13.6882"/>
    <n v="-89.216700000000003"/>
    <n v="10426.5"/>
    <n v="0"/>
    <n v="0"/>
    <n v="101"/>
    <s v="_x0000_US"/>
  </r>
  <r>
    <x v="0"/>
    <n v="13.6905"/>
    <n v="-89.227800000000002"/>
    <n v="10427.1"/>
    <n v="0"/>
    <n v="0"/>
    <n v="101"/>
    <s v="_x0000_US"/>
  </r>
  <r>
    <x v="0"/>
    <n v="13.6928"/>
    <n v="-89.225300000000004"/>
    <n v="10427.799999999999"/>
    <n v="0"/>
    <n v="0"/>
    <n v="101"/>
    <s v="_x0000_US"/>
  </r>
  <r>
    <x v="0"/>
    <n v="13.6883"/>
    <n v="-89.1982"/>
    <n v="10428.5"/>
    <n v="0"/>
    <n v="0"/>
    <n v="101"/>
    <s v="_x0000_US"/>
  </r>
  <r>
    <x v="0"/>
    <n v="13.696099999999999"/>
    <n v="-89.172700000000006"/>
    <n v="10428.6"/>
    <n v="0"/>
    <n v="0"/>
    <n v="101"/>
    <s v="_x0000_US"/>
  </r>
  <r>
    <x v="0"/>
    <n v="13.689399999999999"/>
    <n v="-89.185699999999997"/>
    <n v="10429.200000000001"/>
    <n v="0"/>
    <n v="0"/>
    <n v="101"/>
    <s v="_x0000_US"/>
  </r>
  <r>
    <x v="0"/>
    <n v="13.691800000000001"/>
    <n v="-89.197299999999998"/>
    <n v="10429.5"/>
    <n v="0"/>
    <n v="0"/>
    <n v="101"/>
    <s v="_x0000_US"/>
  </r>
  <r>
    <x v="0"/>
    <n v="13.6922"/>
    <n v="-89.227099999999993"/>
    <n v="10429.5"/>
    <n v="0"/>
    <n v="0"/>
    <n v="101"/>
    <s v="_x0000_US"/>
  </r>
  <r>
    <x v="0"/>
    <n v="13.688000000000001"/>
    <n v="-89.193700000000007"/>
    <n v="10430.299999999999"/>
    <n v="0"/>
    <n v="0"/>
    <n v="101"/>
    <s v="_x0000_US"/>
  </r>
  <r>
    <x v="0"/>
    <n v="13.6768"/>
    <n v="-89.2483"/>
    <n v="10430.4"/>
    <n v="0"/>
    <n v="0"/>
    <n v="101"/>
    <s v="_x0000_US"/>
  </r>
  <r>
    <x v="0"/>
    <n v="13.6904"/>
    <n v="-89.195999999999998"/>
    <n v="10430.5"/>
    <n v="0"/>
    <n v="0"/>
    <n v="101"/>
    <s v="_x0000_US"/>
  </r>
  <r>
    <x v="0"/>
    <n v="13.673400000000001"/>
    <n v="-89.204400000000007"/>
    <n v="10431"/>
    <n v="0"/>
    <n v="0"/>
    <n v="101"/>
    <s v="_x0000_US"/>
  </r>
  <r>
    <x v="0"/>
    <n v="13.6889"/>
    <n v="-89.205500000000001"/>
    <n v="10431.5"/>
    <n v="0"/>
    <n v="0"/>
    <n v="101"/>
    <s v="_x0000_US"/>
  </r>
  <r>
    <x v="0"/>
    <n v="13.687200000000001"/>
    <n v="-89.197699999999998"/>
    <n v="10432.4"/>
    <n v="0"/>
    <n v="0"/>
    <n v="101"/>
    <s v="_x0000_US"/>
  </r>
  <r>
    <x v="0"/>
    <n v="13.686999999999999"/>
    <n v="-89.2166"/>
    <n v="10432.799999999999"/>
    <n v="0"/>
    <n v="0"/>
    <n v="101"/>
    <s v="_x0000_US"/>
  </r>
  <r>
    <x v="0"/>
    <n v="13.691599999999999"/>
    <n v="-89.2346"/>
    <n v="10432.9"/>
    <n v="0"/>
    <n v="0"/>
    <n v="101"/>
    <s v="_x0000_US"/>
  </r>
  <r>
    <x v="0"/>
    <n v="13.688800000000001"/>
    <n v="-89.198099999999997"/>
    <n v="10433.299999999999"/>
    <n v="0"/>
    <n v="0"/>
    <n v="101"/>
    <s v="_x0000_US"/>
  </r>
  <r>
    <x v="0"/>
    <n v="13.6867"/>
    <n v="-89.201899999999995"/>
    <n v="10433.299999999999"/>
    <n v="0"/>
    <n v="0"/>
    <n v="101"/>
    <s v="_x0000_US"/>
  </r>
  <r>
    <x v="0"/>
    <n v="13.6914"/>
    <n v="-89.188100000000006"/>
    <n v="10433.4"/>
    <n v="0"/>
    <n v="0"/>
    <n v="101"/>
    <s v="_x0000_US"/>
  </r>
  <r>
    <x v="0"/>
    <n v="13.6911"/>
    <n v="-89.23"/>
    <n v="10433.799999999999"/>
    <n v="0"/>
    <n v="0"/>
    <n v="101"/>
    <s v="_x0000_US"/>
  </r>
  <r>
    <x v="0"/>
    <n v="13.6882"/>
    <n v="-89.215800000000002"/>
    <n v="10434"/>
    <n v="0"/>
    <n v="0"/>
    <n v="101"/>
    <s v="_x0000_US"/>
  </r>
  <r>
    <x v="0"/>
    <n v="13.691000000000001"/>
    <n v="-89.233199999999997"/>
    <n v="10434.299999999999"/>
    <n v="0"/>
    <n v="0"/>
    <n v="101"/>
    <s v="_x0000_US"/>
  </r>
  <r>
    <x v="0"/>
    <n v="13.691599999999999"/>
    <n v="-89.235100000000003"/>
    <n v="10434.700000000001"/>
    <n v="0"/>
    <n v="0"/>
    <n v="101"/>
    <s v="_x0000_US"/>
  </r>
  <r>
    <x v="0"/>
    <n v="13.69"/>
    <n v="-89.188599999999994"/>
    <n v="10434.799999999999"/>
    <n v="0"/>
    <n v="0"/>
    <n v="101"/>
    <s v="_x0000_US"/>
  </r>
  <r>
    <x v="0"/>
    <n v="13.6868"/>
    <n v="-89.212900000000005"/>
    <n v="10435.1"/>
    <n v="0"/>
    <n v="0"/>
    <n v="101"/>
    <s v="_x0000_US"/>
  </r>
  <r>
    <x v="0"/>
    <n v="13.6874"/>
    <n v="-89.196600000000004"/>
    <n v="10435.200000000001"/>
    <n v="0"/>
    <n v="0"/>
    <n v="101"/>
    <s v="_x0000_US"/>
  </r>
  <r>
    <x v="0"/>
    <n v="13.693099999999999"/>
    <n v="-89.186300000000003"/>
    <n v="10435.200000000001"/>
    <n v="0"/>
    <n v="0"/>
    <n v="101"/>
    <s v="_x0000_US"/>
  </r>
  <r>
    <x v="0"/>
    <n v="13.691800000000001"/>
    <n v="-89.225399999999993"/>
    <n v="10435.6"/>
    <n v="0"/>
    <n v="0"/>
    <n v="101"/>
    <s v="_x0000_US"/>
  </r>
  <r>
    <x v="0"/>
    <n v="13.691700000000001"/>
    <n v="-89.232399999999998"/>
    <n v="10435.700000000001"/>
    <n v="0"/>
    <n v="0"/>
    <n v="101"/>
    <s v="_x0000_US"/>
  </r>
  <r>
    <x v="0"/>
    <n v="13.6876"/>
    <n v="-89.2042"/>
    <n v="10435.9"/>
    <n v="0"/>
    <n v="0"/>
    <n v="101"/>
    <s v="_x0000_US"/>
  </r>
  <r>
    <x v="0"/>
    <n v="13.689500000000001"/>
    <n v="-89.185199999999995"/>
    <n v="10436.4"/>
    <n v="0"/>
    <n v="0"/>
    <n v="101"/>
    <s v="_x0000_US"/>
  </r>
  <r>
    <x v="0"/>
    <n v="13.6892"/>
    <n v="-89.235799999999998"/>
    <n v="10436.6"/>
    <n v="0"/>
    <n v="0"/>
    <n v="101"/>
    <s v="_x0000_US"/>
  </r>
  <r>
    <x v="0"/>
    <n v="13.687099999999999"/>
    <n v="-89.197199999999995"/>
    <n v="10436.9"/>
    <n v="0"/>
    <n v="0"/>
    <n v="101"/>
    <s v="_x0000_US"/>
  </r>
  <r>
    <x v="0"/>
    <n v="13.692500000000001"/>
    <n v="-89.224400000000003"/>
    <n v="10436.9"/>
    <n v="0"/>
    <n v="0"/>
    <n v="101"/>
    <s v="_x0000_US"/>
  </r>
  <r>
    <x v="0"/>
    <n v="13.6913"/>
    <n v="-89.235200000000006"/>
    <n v="10436.9"/>
    <n v="0"/>
    <n v="0"/>
    <n v="101"/>
    <s v="_x0000_US"/>
  </r>
  <r>
    <x v="0"/>
    <n v="13.688000000000001"/>
    <n v="-89.216800000000006"/>
    <n v="10437.5"/>
    <n v="0"/>
    <n v="0"/>
    <n v="101"/>
    <s v="_x0000_US"/>
  </r>
  <r>
    <x v="0"/>
    <n v="13.692500000000001"/>
    <n v="-89.223500000000001"/>
    <n v="10438"/>
    <n v="0"/>
    <n v="0"/>
    <n v="101"/>
    <s v="_x0000_US"/>
  </r>
  <r>
    <x v="0"/>
    <n v="13.689399999999999"/>
    <n v="-89.183800000000005"/>
    <n v="10438.4"/>
    <n v="0"/>
    <n v="0"/>
    <n v="101"/>
    <s v="_x0000_US"/>
  </r>
  <r>
    <x v="0"/>
    <n v="13.686"/>
    <n v="-89.198499999999996"/>
    <n v="10438.799999999999"/>
    <n v="0"/>
    <n v="0"/>
    <n v="101"/>
    <s v="_x0000_US"/>
  </r>
  <r>
    <x v="0"/>
    <n v="13.6914"/>
    <n v="-89.219899999999996"/>
    <n v="10439.4"/>
    <n v="0"/>
    <n v="0"/>
    <n v="101"/>
    <s v="_x0000_US"/>
  </r>
  <r>
    <x v="0"/>
    <n v="13.686999999999999"/>
    <n v="-89.211299999999994"/>
    <n v="10439.799999999999"/>
    <n v="0"/>
    <n v="0"/>
    <n v="101"/>
    <s v="_x0000_US"/>
  </r>
  <r>
    <x v="0"/>
    <n v="13.6913"/>
    <n v="-89.234999999999999"/>
    <n v="10440.200000000001"/>
    <n v="0"/>
    <n v="0"/>
    <n v="101"/>
    <s v="_x0000_US"/>
  </r>
  <r>
    <x v="0"/>
    <n v="13.6874"/>
    <n v="-89.182100000000005"/>
    <n v="10440.299999999999"/>
    <n v="0"/>
    <n v="0"/>
    <n v="101"/>
    <s v="_x0000_US"/>
  </r>
  <r>
    <x v="0"/>
    <n v="13.6845"/>
    <n v="-89.2136"/>
    <n v="10440.4"/>
    <n v="0"/>
    <n v="0"/>
    <n v="101"/>
    <s v="_x0000_US"/>
  </r>
  <r>
    <x v="0"/>
    <n v="13.6942"/>
    <n v="-89.185500000000005"/>
    <n v="10441.5"/>
    <n v="0"/>
    <n v="0"/>
    <n v="101"/>
    <s v="_x0000_US"/>
  </r>
  <r>
    <x v="0"/>
    <n v="13.6915"/>
    <n v="-89.234099999999998"/>
    <n v="10441.6"/>
    <n v="0"/>
    <n v="0"/>
    <n v="101"/>
    <s v="_x0000_US"/>
  </r>
  <r>
    <x v="0"/>
    <n v="13.690799999999999"/>
    <n v="-89.186199999999999"/>
    <n v="10441.700000000001"/>
    <n v="0"/>
    <n v="0"/>
    <n v="101"/>
    <s v="_x0000_US"/>
  </r>
  <r>
    <x v="0"/>
    <n v="13.685700000000001"/>
    <n v="-89.202200000000005"/>
    <n v="10441.700000000001"/>
    <n v="0"/>
    <n v="0"/>
    <n v="101"/>
    <s v="_x0000_US"/>
  </r>
  <r>
    <x v="0"/>
    <n v="13.6754"/>
    <n v="-89.249899999999997"/>
    <n v="10441.799999999999"/>
    <n v="0"/>
    <n v="0"/>
    <n v="101"/>
    <s v="_x0000_US"/>
  </r>
  <r>
    <x v="0"/>
    <n v="13.684900000000001"/>
    <n v="-89.216700000000003"/>
    <n v="10441.9"/>
    <n v="0"/>
    <n v="0"/>
    <n v="101"/>
    <s v="_x0000_US"/>
  </r>
  <r>
    <x v="0"/>
    <n v="13.694699999999999"/>
    <n v="-89.183300000000003"/>
    <n v="10442.299999999999"/>
    <n v="0"/>
    <n v="0"/>
    <n v="101"/>
    <s v="_x0000_US"/>
  </r>
  <r>
    <x v="0"/>
    <n v="13.6731"/>
    <n v="-89.204499999999996"/>
    <n v="10442.6"/>
    <n v="0"/>
    <n v="0"/>
    <n v="101"/>
    <s v="_x0000_US"/>
  </r>
  <r>
    <x v="0"/>
    <n v="13.679600000000001"/>
    <n v="-89.197199999999995"/>
    <n v="10442.700000000001"/>
    <n v="0"/>
    <n v="0"/>
    <n v="101"/>
    <s v="_x0000_US"/>
  </r>
  <r>
    <x v="0"/>
    <n v="13.6739"/>
    <n v="-89.202600000000004"/>
    <n v="10442.799999999999"/>
    <n v="0"/>
    <n v="0"/>
    <n v="101"/>
    <s v="_x0000_US"/>
  </r>
  <r>
    <x v="0"/>
    <n v="13.6927"/>
    <n v="-89.223699999999994"/>
    <n v="10442.799999999999"/>
    <n v="0"/>
    <n v="0"/>
    <n v="101"/>
    <s v="_x0000_US"/>
  </r>
  <r>
    <x v="0"/>
    <n v="13.6873"/>
    <n v="-89.194400000000002"/>
    <n v="10443"/>
    <n v="0"/>
    <n v="0"/>
    <n v="101"/>
    <s v="_x0000_US"/>
  </r>
  <r>
    <x v="0"/>
    <n v="13.6911"/>
    <n v="-89.228800000000007"/>
    <n v="10443.1"/>
    <n v="0"/>
    <n v="0"/>
    <n v="101"/>
    <s v="_x0000_US"/>
  </r>
  <r>
    <x v="0"/>
    <n v="13.676500000000001"/>
    <n v="-89.2"/>
    <n v="10443.299999999999"/>
    <n v="0"/>
    <n v="0"/>
    <n v="101"/>
    <s v="_x0000_US"/>
  </r>
  <r>
    <x v="0"/>
    <n v="13.688700000000001"/>
    <n v="-89.206999999999994"/>
    <n v="10443.5"/>
    <n v="0"/>
    <n v="0"/>
    <n v="101"/>
    <s v="_x0000_US"/>
  </r>
  <r>
    <x v="0"/>
    <n v="13.691800000000001"/>
    <n v="-89.221000000000004"/>
    <n v="10443.6"/>
    <n v="0"/>
    <n v="0"/>
    <n v="101"/>
    <s v="_x0000_US"/>
  </r>
  <r>
    <x v="0"/>
    <n v="13.6966"/>
    <n v="-89.172200000000004"/>
    <n v="10443.700000000001"/>
    <n v="0"/>
    <n v="0"/>
    <n v="101"/>
    <s v="_x0000_US"/>
  </r>
  <r>
    <x v="0"/>
    <n v="13.691000000000001"/>
    <n v="-89.234999999999999"/>
    <n v="10443.799999999999"/>
    <n v="0"/>
    <n v="0"/>
    <n v="101"/>
    <s v="_x0000_US"/>
  </r>
  <r>
    <x v="0"/>
    <n v="13.6899"/>
    <n v="-89.194100000000006"/>
    <n v="10444.1"/>
    <n v="0"/>
    <n v="0"/>
    <n v="101"/>
    <s v="_x0000_US"/>
  </r>
  <r>
    <x v="0"/>
    <n v="13.6874"/>
    <n v="-89.216899999999995"/>
    <n v="10444.700000000001"/>
    <n v="0"/>
    <n v="0"/>
    <n v="101"/>
    <s v="_x0000_US"/>
  </r>
  <r>
    <x v="0"/>
    <n v="13.695600000000001"/>
    <n v="-89.171999999999997"/>
    <n v="10444.799999999999"/>
    <n v="0"/>
    <n v="0"/>
    <n v="101"/>
    <s v="_x0000_US"/>
  </r>
  <r>
    <x v="0"/>
    <n v="13.691000000000001"/>
    <n v="-89.229399999999998"/>
    <n v="10445"/>
    <n v="0"/>
    <n v="0"/>
    <n v="101"/>
    <s v="_x0000_US"/>
  </r>
  <r>
    <x v="0"/>
    <n v="13.697100000000001"/>
    <n v="-89.171599999999998"/>
    <n v="10445.1"/>
    <n v="0"/>
    <n v="0"/>
    <n v="101"/>
    <s v="_x0000_US"/>
  </r>
  <r>
    <x v="0"/>
    <n v="13.687200000000001"/>
    <n v="-89.205399999999997"/>
    <n v="10445.4"/>
    <n v="0"/>
    <n v="0"/>
    <n v="101"/>
    <s v="_x0000_US"/>
  </r>
  <r>
    <x v="0"/>
    <n v="13.6875"/>
    <n v="-89.194299999999998"/>
    <n v="10445.6"/>
    <n v="0"/>
    <n v="0"/>
    <n v="101"/>
    <s v="_x0000_US"/>
  </r>
  <r>
    <x v="0"/>
    <n v="13.6723"/>
    <n v="-89.205200000000005"/>
    <n v="10446.299999999999"/>
    <n v="0"/>
    <n v="0"/>
    <n v="101"/>
    <s v="_x0000_US"/>
  </r>
  <r>
    <x v="0"/>
    <n v="13.6959"/>
    <n v="-89.173000000000002"/>
    <n v="10447.1"/>
    <n v="0"/>
    <n v="0"/>
    <n v="101"/>
    <s v="_x0000_US"/>
  </r>
  <r>
    <x v="0"/>
    <n v="13.688599999999999"/>
    <n v="-89.229600000000005"/>
    <n v="10447.799999999999"/>
    <n v="0"/>
    <n v="0"/>
    <n v="101"/>
    <s v="_x0000_US"/>
  </r>
  <r>
    <x v="0"/>
    <n v="13.6891"/>
    <n v="-89.183899999999994"/>
    <n v="10448.200000000001"/>
    <n v="0"/>
    <n v="0"/>
    <n v="101"/>
    <s v="_x0000_US"/>
  </r>
  <r>
    <x v="0"/>
    <n v="13.6873"/>
    <n v="-89.194500000000005"/>
    <n v="10448.200000000001"/>
    <n v="0"/>
    <n v="0"/>
    <n v="101"/>
    <s v="_x0000_US"/>
  </r>
  <r>
    <x v="0"/>
    <n v="13.6868"/>
    <n v="-89.181299999999993"/>
    <n v="10449.4"/>
    <n v="0"/>
    <n v="0"/>
    <n v="101"/>
    <s v="_x0000_US"/>
  </r>
  <r>
    <x v="0"/>
    <n v="13.690099999999999"/>
    <n v="-89.188400000000001"/>
    <n v="10449.4"/>
    <n v="0"/>
    <n v="0"/>
    <n v="101"/>
    <s v="_x0000_US"/>
  </r>
  <r>
    <x v="0"/>
    <n v="13.684699999999999"/>
    <n v="-89.213200000000001"/>
    <n v="10449.5"/>
    <n v="0"/>
    <n v="0"/>
    <n v="101"/>
    <s v="_x0000_US"/>
  </r>
  <r>
    <x v="0"/>
    <n v="13.6914"/>
    <n v="-89.185299999999998"/>
    <n v="10449.799999999999"/>
    <n v="0"/>
    <n v="0"/>
    <n v="101"/>
    <s v="_x0000_US"/>
  </r>
  <r>
    <x v="0"/>
    <n v="13.6873"/>
    <n v="-89.215900000000005"/>
    <n v="10449.9"/>
    <n v="0"/>
    <n v="0"/>
    <n v="101"/>
    <s v="_x0000_US"/>
  </r>
  <r>
    <x v="0"/>
    <n v="13.6944"/>
    <n v="-89.189099999999996"/>
    <n v="10450.200000000001"/>
    <n v="0"/>
    <n v="0"/>
    <n v="101"/>
    <s v="_x0000_US"/>
  </r>
  <r>
    <x v="0"/>
    <n v="13.680300000000001"/>
    <n v="-89.197999999999993"/>
    <n v="10450.799999999999"/>
    <n v="0"/>
    <n v="0"/>
    <n v="101"/>
    <s v="_x0000_US"/>
  </r>
  <r>
    <x v="0"/>
    <n v="13.6874"/>
    <n v="-89.197800000000001"/>
    <n v="10451.200000000001"/>
    <n v="0"/>
    <n v="0"/>
    <n v="101"/>
    <s v="_x0000_US"/>
  </r>
  <r>
    <x v="0"/>
    <n v="13.691599999999999"/>
    <n v="-89.1935"/>
    <n v="10451.299999999999"/>
    <n v="0"/>
    <n v="0"/>
    <n v="101"/>
    <s v="_x0000_US"/>
  </r>
  <r>
    <x v="0"/>
    <n v="13.691800000000001"/>
    <n v="-89.176100000000005"/>
    <n v="10451.6"/>
    <n v="0"/>
    <n v="0"/>
    <n v="101"/>
    <s v="_x0000_US"/>
  </r>
  <r>
    <x v="0"/>
    <n v="13.691599999999999"/>
    <n v="-89.197100000000006"/>
    <n v="10451.799999999999"/>
    <n v="0"/>
    <n v="0"/>
    <n v="101"/>
    <s v="_x0000_US"/>
  </r>
  <r>
    <x v="0"/>
    <n v="13.6889"/>
    <n v="-89.198400000000007"/>
    <n v="10451.9"/>
    <n v="0"/>
    <n v="0"/>
    <n v="101"/>
    <s v="_x0000_US"/>
  </r>
  <r>
    <x v="0"/>
    <n v="13.6723"/>
    <n v="-89.204899999999995"/>
    <n v="10452.1"/>
    <n v="0"/>
    <n v="0"/>
    <n v="101"/>
    <s v="_x0000_US"/>
  </r>
  <r>
    <x v="0"/>
    <n v="13.695399999999999"/>
    <n v="-89.173599999999993"/>
    <n v="10452.1"/>
    <n v="0"/>
    <n v="0"/>
    <n v="101"/>
    <s v="_x0000_US"/>
  </r>
  <r>
    <x v="0"/>
    <n v="13.6875"/>
    <n v="-89.194900000000004"/>
    <n v="10452.200000000001"/>
    <n v="0"/>
    <n v="0"/>
    <n v="101"/>
    <s v="_x0000_US"/>
  </r>
  <r>
    <x v="0"/>
    <n v="13.691599999999999"/>
    <n v="-89.234899999999996"/>
    <n v="10452.9"/>
    <n v="0"/>
    <n v="0"/>
    <n v="101"/>
    <s v="_x0000_US"/>
  </r>
  <r>
    <x v="0"/>
    <n v="13.686"/>
    <n v="-89.213099999999997"/>
    <n v="10452.9"/>
    <n v="0"/>
    <n v="0"/>
    <n v="101"/>
    <s v="_x0000_US"/>
  </r>
  <r>
    <x v="0"/>
    <n v="13.690799999999999"/>
    <n v="-89.190799999999996"/>
    <n v="10453.299999999999"/>
    <n v="0"/>
    <n v="0"/>
    <n v="101"/>
    <s v="_x0000_US"/>
  </r>
  <r>
    <x v="0"/>
    <n v="13.692299999999999"/>
    <n v="-89.177899999999994"/>
    <n v="10453.700000000001"/>
    <n v="0"/>
    <n v="0"/>
    <n v="101"/>
    <s v="_x0000_US"/>
  </r>
  <r>
    <x v="0"/>
    <n v="13.6921"/>
    <n v="-89.225200000000001"/>
    <n v="10454"/>
    <n v="0"/>
    <n v="0"/>
    <n v="101"/>
    <s v="_x0000_US"/>
  </r>
  <r>
    <x v="0"/>
    <n v="13.690799999999999"/>
    <n v="-89.227099999999993"/>
    <n v="10454.1"/>
    <n v="0"/>
    <n v="0"/>
    <n v="101"/>
    <s v="_x0000_US"/>
  </r>
  <r>
    <x v="0"/>
    <n v="13.6911"/>
    <n v="-89.1905"/>
    <n v="10454.299999999999"/>
    <n v="0"/>
    <n v="0"/>
    <n v="101"/>
    <s v="_x0000_US"/>
  </r>
  <r>
    <x v="0"/>
    <n v="13.692500000000001"/>
    <n v="-89.226200000000006"/>
    <n v="10454.700000000001"/>
    <n v="0"/>
    <n v="0"/>
    <n v="101"/>
    <s v="_x0000_US"/>
  </r>
  <r>
    <x v="0"/>
    <n v="13.6912"/>
    <n v="-89.233400000000003"/>
    <n v="10455.6"/>
    <n v="0"/>
    <n v="0"/>
    <n v="101"/>
    <s v="_x0000_US"/>
  </r>
  <r>
    <x v="0"/>
    <n v="13.6934"/>
    <n v="-89.188699999999997"/>
    <n v="10456.1"/>
    <n v="0"/>
    <n v="0"/>
    <n v="101"/>
    <s v="_x0000_US"/>
  </r>
  <r>
    <x v="0"/>
    <n v="13.6858"/>
    <n v="-89.214399999999998"/>
    <n v="10456.5"/>
    <n v="0"/>
    <n v="0"/>
    <n v="101"/>
    <s v="_x0000_US"/>
  </r>
  <r>
    <x v="0"/>
    <n v="13.6859"/>
    <n v="-89.193899999999999"/>
    <n v="10456.6"/>
    <n v="0"/>
    <n v="0"/>
    <n v="101"/>
    <s v="_x0000_US"/>
  </r>
  <r>
    <x v="0"/>
    <n v="13.6898"/>
    <n v="-89.194000000000003"/>
    <n v="10456.9"/>
    <n v="0"/>
    <n v="0"/>
    <n v="101"/>
    <s v="_x0000_US"/>
  </r>
  <r>
    <x v="0"/>
    <n v="13.6877"/>
    <n v="-89.180999999999997"/>
    <n v="10456.9"/>
    <n v="0"/>
    <n v="0"/>
    <n v="101"/>
    <s v="_x0000_US"/>
  </r>
  <r>
    <x v="0"/>
    <n v="13.679500000000001"/>
    <n v="-89.197199999999995"/>
    <n v="10457"/>
    <n v="0"/>
    <n v="0"/>
    <n v="101"/>
    <s v="_x0000_US"/>
  </r>
  <r>
    <x v="0"/>
    <n v="13.6798"/>
    <n v="-89.196799999999996"/>
    <n v="10457.4"/>
    <n v="0"/>
    <n v="0"/>
    <n v="101"/>
    <s v="_x0000_US"/>
  </r>
  <r>
    <x v="0"/>
    <n v="13.6861"/>
    <n v="-89.213899999999995"/>
    <n v="10457.5"/>
    <n v="0"/>
    <n v="0"/>
    <n v="101"/>
    <s v="_x0000_US"/>
  </r>
  <r>
    <x v="0"/>
    <n v="13.6905"/>
    <n v="-89.183300000000003"/>
    <n v="10457.700000000001"/>
    <n v="0"/>
    <n v="0"/>
    <n v="101"/>
    <s v="_x0000_US"/>
  </r>
  <r>
    <x v="0"/>
    <n v="13.6778"/>
    <n v="-89.245699999999999"/>
    <n v="10457.700000000001"/>
    <n v="0"/>
    <n v="0"/>
    <n v="101"/>
    <s v="_x0000_US"/>
  </r>
  <r>
    <x v="0"/>
    <n v="13.689500000000001"/>
    <n v="-89.184600000000003"/>
    <n v="10457.799999999999"/>
    <n v="0"/>
    <n v="0"/>
    <n v="101"/>
    <s v="_x0000_US"/>
  </r>
  <r>
    <x v="0"/>
    <n v="13.691700000000001"/>
    <n v="-89.220600000000005"/>
    <n v="10458"/>
    <n v="0"/>
    <n v="0"/>
    <n v="101"/>
    <s v="_x0000_US"/>
  </r>
  <r>
    <x v="0"/>
    <n v="13.6927"/>
    <n v="-89.178299999999993"/>
    <n v="10458.4"/>
    <n v="0"/>
    <n v="0"/>
    <n v="101"/>
    <s v="_x0000_US"/>
  </r>
  <r>
    <x v="0"/>
    <n v="13.6859"/>
    <n v="-89.202200000000005"/>
    <n v="10458.4"/>
    <n v="0"/>
    <n v="0"/>
    <n v="101"/>
    <s v="_x0000_US"/>
  </r>
  <r>
    <x v="0"/>
    <n v="13.689299999999999"/>
    <n v="-89.183800000000005"/>
    <n v="10458.6"/>
    <n v="0"/>
    <n v="0"/>
    <n v="101"/>
    <s v="_x0000_US"/>
  </r>
  <r>
    <x v="0"/>
    <n v="13.692500000000001"/>
    <n v="-89.184600000000003"/>
    <n v="10460.200000000001"/>
    <n v="0"/>
    <n v="0"/>
    <n v="101"/>
    <s v="_x0000_US"/>
  </r>
  <r>
    <x v="0"/>
    <n v="13.6912"/>
    <n v="-89.178600000000003"/>
    <n v="10460.200000000001"/>
    <n v="0"/>
    <n v="0"/>
    <n v="101"/>
    <s v="_x0000_US"/>
  </r>
  <r>
    <x v="0"/>
    <n v="13.6953"/>
    <n v="-89.173299999999998"/>
    <n v="10460.299999999999"/>
    <n v="0"/>
    <n v="0"/>
    <n v="101"/>
    <s v="_x0000_US"/>
  </r>
  <r>
    <x v="0"/>
    <n v="13.6912"/>
    <n v="-89.230099999999993"/>
    <n v="10460.4"/>
    <n v="0"/>
    <n v="0"/>
    <n v="101"/>
    <s v="_x0000_US"/>
  </r>
  <r>
    <x v="0"/>
    <n v="13.692299999999999"/>
    <n v="-89.189599999999999"/>
    <n v="10460.799999999999"/>
    <n v="0"/>
    <n v="0"/>
    <n v="101"/>
    <s v="_x0000_US"/>
  </r>
  <r>
    <x v="0"/>
    <n v="13.6867"/>
    <n v="-89.190799999999996"/>
    <n v="10461.299999999999"/>
    <n v="0"/>
    <n v="0"/>
    <n v="101"/>
    <s v="_x0000_US"/>
  </r>
  <r>
    <x v="0"/>
    <n v="13.690300000000001"/>
    <n v="-89.181299999999993"/>
    <n v="10461.299999999999"/>
    <n v="0"/>
    <n v="0"/>
    <n v="101"/>
    <s v="_x0000_US"/>
  </r>
  <r>
    <x v="0"/>
    <n v="13.6914"/>
    <n v="-89.235299999999995"/>
    <n v="10461.4"/>
    <n v="0"/>
    <n v="0"/>
    <n v="101"/>
    <s v="_x0000_US"/>
  </r>
  <r>
    <x v="0"/>
    <n v="13.692500000000001"/>
    <n v="-89.224599999999995"/>
    <n v="10461.9"/>
    <n v="0"/>
    <n v="0"/>
    <n v="101"/>
    <s v="_x0000_US"/>
  </r>
  <r>
    <x v="0"/>
    <n v="13.691000000000001"/>
    <n v="-89.179199999999994"/>
    <n v="10462.5"/>
    <n v="0"/>
    <n v="0"/>
    <n v="101"/>
    <s v="_x0000_US"/>
  </r>
  <r>
    <x v="0"/>
    <n v="13.690799999999999"/>
    <n v="-89.187100000000001"/>
    <n v="10462.6"/>
    <n v="0"/>
    <n v="0"/>
    <n v="101"/>
    <s v="_x0000_US"/>
  </r>
  <r>
    <x v="0"/>
    <n v="13.6953"/>
    <n v="-89.173599999999993"/>
    <n v="10462.799999999999"/>
    <n v="0"/>
    <n v="0"/>
    <n v="101"/>
    <s v="_x0000_US"/>
  </r>
  <r>
    <x v="0"/>
    <n v="13.6797"/>
    <n v="-89.197199999999995"/>
    <n v="10462.9"/>
    <n v="0"/>
    <n v="0"/>
    <n v="101"/>
    <s v="_x0000_US"/>
  </r>
  <r>
    <x v="0"/>
    <n v="13.674300000000001"/>
    <n v="-89.202100000000002"/>
    <n v="10463.299999999999"/>
    <n v="0"/>
    <n v="0"/>
    <n v="101"/>
    <s v="_x0000_US"/>
  </r>
  <r>
    <x v="0"/>
    <n v="13.6854"/>
    <n v="-89.211299999999994"/>
    <n v="10463.4"/>
    <n v="0"/>
    <n v="0"/>
    <n v="101"/>
    <s v="_x0000_US"/>
  </r>
  <r>
    <x v="0"/>
    <n v="13.6869"/>
    <n v="-89.214200000000005"/>
    <n v="10463.5"/>
    <n v="0"/>
    <n v="0"/>
    <n v="101"/>
    <s v="_x0000_US"/>
  </r>
  <r>
    <x v="0"/>
    <n v="13.689"/>
    <n v="-89.194199999999995"/>
    <n v="10463.9"/>
    <n v="0"/>
    <n v="0"/>
    <n v="101"/>
    <s v="_x0000_US"/>
  </r>
  <r>
    <x v="0"/>
    <n v="13.6911"/>
    <n v="-89.219899999999996"/>
    <n v="10463.9"/>
    <n v="0"/>
    <n v="0"/>
    <n v="101"/>
    <s v="_x0000_US"/>
  </r>
  <r>
    <x v="0"/>
    <n v="13.692500000000001"/>
    <n v="-89.175600000000003"/>
    <n v="10464.200000000001"/>
    <n v="0"/>
    <n v="0"/>
    <n v="101"/>
    <s v="_x0000_US"/>
  </r>
  <r>
    <x v="0"/>
    <n v="13.688800000000001"/>
    <n v="-89.205200000000005"/>
    <n v="10464.299999999999"/>
    <n v="0"/>
    <n v="0"/>
    <n v="101"/>
    <s v="_x0000_US"/>
  </r>
  <r>
    <x v="0"/>
    <n v="13.690899999999999"/>
    <n v="-89.185299999999998"/>
    <n v="10464.4"/>
    <n v="0"/>
    <n v="0"/>
    <n v="101"/>
    <s v="_x0000_US"/>
  </r>
  <r>
    <x v="0"/>
    <n v="13.690899999999999"/>
    <n v="-89.229500000000002"/>
    <n v="10464.5"/>
    <n v="0"/>
    <n v="0"/>
    <n v="101"/>
    <s v="_x0000_US"/>
  </r>
  <r>
    <x v="0"/>
    <n v="13.690300000000001"/>
    <n v="-89.193100000000001"/>
    <n v="10464.700000000001"/>
    <n v="0"/>
    <n v="0"/>
    <n v="101"/>
    <s v="_x0000_US"/>
  </r>
  <r>
    <x v="0"/>
    <n v="13.688800000000001"/>
    <n v="-89.204999999999998"/>
    <n v="10465.1"/>
    <n v="0"/>
    <n v="0"/>
    <n v="101"/>
    <s v="_x0000_US"/>
  </r>
  <r>
    <x v="0"/>
    <n v="13.6889"/>
    <n v="-89.198599999999999"/>
    <n v="10465.200000000001"/>
    <n v="0"/>
    <n v="0"/>
    <n v="101"/>
    <s v="_x0000_US"/>
  </r>
  <r>
    <x v="0"/>
    <n v="13.687200000000001"/>
    <n v="-89.194900000000004"/>
    <n v="10465.6"/>
    <n v="0"/>
    <n v="0"/>
    <n v="101"/>
    <s v="_x0000_US"/>
  </r>
  <r>
    <x v="0"/>
    <n v="13.690200000000001"/>
    <n v="-89.235600000000005"/>
    <n v="10465.9"/>
    <n v="0"/>
    <n v="0"/>
    <n v="101"/>
    <s v="_x0000_US"/>
  </r>
  <r>
    <x v="0"/>
    <n v="13.6911"/>
    <n v="-89.234800000000007"/>
    <n v="10465.9"/>
    <n v="0"/>
    <n v="0"/>
    <n v="101"/>
    <s v="_x0000_US"/>
  </r>
  <r>
    <x v="0"/>
    <n v="13.691700000000001"/>
    <n v="-89.225999999999999"/>
    <n v="10466.5"/>
    <n v="0"/>
    <n v="0"/>
    <n v="101"/>
    <s v="_x0000_US"/>
  </r>
  <r>
    <x v="0"/>
    <n v="13.6913"/>
    <n v="-89.179000000000002"/>
    <n v="10466.6"/>
    <n v="0"/>
    <n v="0"/>
    <n v="101"/>
    <s v="_x0000_US"/>
  </r>
  <r>
    <x v="0"/>
    <n v="13.677199999999999"/>
    <n v="-89.198700000000002"/>
    <n v="10467.1"/>
    <n v="0"/>
    <n v="0"/>
    <n v="101"/>
    <s v="_x0000_US"/>
  </r>
  <r>
    <x v="0"/>
    <n v="13.691700000000001"/>
    <n v="-89.179900000000004"/>
    <n v="10467.4"/>
    <n v="0"/>
    <n v="0"/>
    <n v="101"/>
    <s v="_x0000_US"/>
  </r>
  <r>
    <x v="0"/>
    <n v="13.693"/>
    <n v="-89.178100000000001"/>
    <n v="10467.6"/>
    <n v="0"/>
    <n v="0"/>
    <n v="101"/>
    <s v="_x0000_US"/>
  </r>
  <r>
    <x v="0"/>
    <n v="13.692299999999999"/>
    <n v="-89.177800000000005"/>
    <n v="10467.6"/>
    <n v="0"/>
    <n v="0"/>
    <n v="101"/>
    <s v="_x0000_US"/>
  </r>
  <r>
    <x v="0"/>
    <n v="13.6927"/>
    <n v="-89.184299999999993"/>
    <n v="10468"/>
    <n v="0"/>
    <n v="0"/>
    <n v="101"/>
    <s v="_x0000_US"/>
  </r>
  <r>
    <x v="0"/>
    <n v="13.6785"/>
    <n v="-89.196299999999994"/>
    <n v="10468.299999999999"/>
    <n v="0"/>
    <n v="0"/>
    <n v="101"/>
    <s v="_x0000_US"/>
  </r>
  <r>
    <x v="0"/>
    <n v="13.6892"/>
    <n v="-89.194500000000005"/>
    <n v="10468.4"/>
    <n v="0"/>
    <n v="0"/>
    <n v="101"/>
    <s v="_x0000_US"/>
  </r>
  <r>
    <x v="0"/>
    <n v="13.692299999999999"/>
    <n v="-89.175799999999995"/>
    <n v="10469.1"/>
    <n v="0"/>
    <n v="0"/>
    <n v="101"/>
    <s v="_x0000_US"/>
  </r>
  <r>
    <x v="0"/>
    <n v="13.690899999999999"/>
    <n v="-89.190600000000003"/>
    <n v="10469.4"/>
    <n v="0"/>
    <n v="0"/>
    <n v="101"/>
    <s v="_x0000_US"/>
  </r>
  <r>
    <x v="0"/>
    <n v="13.673999999999999"/>
    <n v="-89.203100000000006"/>
    <n v="10469.5"/>
    <n v="0"/>
    <n v="0"/>
    <n v="101"/>
    <s v="_x0000_US"/>
  </r>
  <r>
    <x v="0"/>
    <n v="13.679399999999999"/>
    <n v="-89.197199999999995"/>
    <n v="10469.700000000001"/>
    <n v="0"/>
    <n v="0"/>
    <n v="101"/>
    <s v="_x0000_US"/>
  </r>
  <r>
    <x v="0"/>
    <n v="13.690899999999999"/>
    <n v="-89.185000000000002"/>
    <n v="10469.799999999999"/>
    <n v="0"/>
    <n v="0"/>
    <n v="101"/>
    <s v="_x0000_US"/>
  </r>
  <r>
    <x v="0"/>
    <n v="13.6913"/>
    <n v="-89.226500000000001"/>
    <n v="10470.4"/>
    <n v="0"/>
    <n v="0"/>
    <n v="101"/>
    <s v="_x0000_US"/>
  </r>
  <r>
    <x v="0"/>
    <n v="13.6845"/>
    <n v="-89.211799999999997"/>
    <n v="10470.6"/>
    <n v="0"/>
    <n v="0"/>
    <n v="101"/>
    <s v="_x0000_US"/>
  </r>
  <r>
    <x v="0"/>
    <n v="13.6736"/>
    <n v="-89.204499999999996"/>
    <n v="10470.700000000001"/>
    <n v="0"/>
    <n v="0"/>
    <n v="101"/>
    <s v="_x0000_US"/>
  </r>
  <r>
    <x v="0"/>
    <n v="13.6798"/>
    <n v="-89.1965"/>
    <n v="10470.799999999999"/>
    <n v="0"/>
    <n v="0"/>
    <n v="101"/>
    <s v="_x0000_US"/>
  </r>
  <r>
    <x v="0"/>
    <n v="13.6914"/>
    <n v="-89.220799999999997"/>
    <n v="10470.799999999999"/>
    <n v="0"/>
    <n v="0"/>
    <n v="101"/>
    <s v="_x0000_US"/>
  </r>
  <r>
    <x v="0"/>
    <n v="13.6938"/>
    <n v="-89.176299999999998"/>
    <n v="10471.200000000001"/>
    <n v="0"/>
    <n v="0"/>
    <n v="101"/>
    <s v="_x0000_US"/>
  </r>
  <r>
    <x v="0"/>
    <n v="13.691800000000001"/>
    <n v="-89.194400000000002"/>
    <n v="10471.799999999999"/>
    <n v="0"/>
    <n v="0"/>
    <n v="101"/>
    <s v="_x0000_US"/>
  </r>
  <r>
    <x v="0"/>
    <n v="13.691599999999999"/>
    <n v="-89.233599999999996"/>
    <n v="10471.799999999999"/>
    <n v="0"/>
    <n v="0"/>
    <n v="101"/>
    <s v="_x0000_US"/>
  </r>
  <r>
    <x v="0"/>
    <n v="13.6881"/>
    <n v="-89.205799999999996"/>
    <n v="10471.9"/>
    <n v="0"/>
    <n v="0"/>
    <n v="101"/>
    <s v="_x0000_US"/>
  </r>
  <r>
    <x v="0"/>
    <n v="13.6968"/>
    <n v="-89.172200000000004"/>
    <n v="10471.9"/>
    <n v="0"/>
    <n v="0"/>
    <n v="101"/>
    <s v="_x0000_US"/>
  </r>
  <r>
    <x v="0"/>
    <n v="13.6899"/>
    <n v="-89.235699999999994"/>
    <n v="10471.9"/>
    <n v="0"/>
    <n v="0"/>
    <n v="101"/>
    <s v="_x0000_US"/>
  </r>
  <r>
    <x v="0"/>
    <n v="13.6897"/>
    <n v="-89.235500000000002"/>
    <n v="10472.799999999999"/>
    <n v="0"/>
    <n v="0"/>
    <n v="101"/>
    <s v="_x0000_US"/>
  </r>
  <r>
    <x v="0"/>
    <n v="13.688499999999999"/>
    <n v="-89.2042"/>
    <n v="10472.9"/>
    <n v="0"/>
    <n v="0"/>
    <n v="101"/>
    <s v="_x0000_US"/>
  </r>
  <r>
    <x v="0"/>
    <n v="13.6799"/>
    <n v="-89.196700000000007"/>
    <n v="10473.1"/>
    <n v="0"/>
    <n v="0"/>
    <n v="101"/>
    <s v="_x0000_US"/>
  </r>
  <r>
    <x v="0"/>
    <n v="13.6784"/>
    <n v="-89.196399999999997"/>
    <n v="10473.299999999999"/>
    <n v="0"/>
    <n v="0"/>
    <n v="101"/>
    <s v="_x0000_US"/>
  </r>
  <r>
    <x v="0"/>
    <n v="13.674899999999999"/>
    <n v="-89.202500000000001"/>
    <n v="10473.4"/>
    <n v="0"/>
    <n v="0"/>
    <n v="101"/>
    <s v="_x0000_US"/>
  </r>
  <r>
    <x v="0"/>
    <n v="13.692399999999999"/>
    <n v="-89.224500000000006"/>
    <n v="10473.6"/>
    <n v="0"/>
    <n v="0"/>
    <n v="101"/>
    <s v="_x0000_US"/>
  </r>
  <r>
    <x v="0"/>
    <n v="13.691700000000001"/>
    <n v="-89.233599999999996"/>
    <n v="10473.6"/>
    <n v="0"/>
    <n v="0"/>
    <n v="101"/>
    <s v="_x0000_US"/>
  </r>
  <r>
    <x v="0"/>
    <n v="13.6915"/>
    <n v="-89.228200000000001"/>
    <n v="10474.200000000001"/>
    <n v="0"/>
    <n v="0"/>
    <n v="101"/>
    <s v="_x0000_US"/>
  </r>
  <r>
    <x v="0"/>
    <n v="13.6934"/>
    <n v="-89.188199999999995"/>
    <n v="10474.5"/>
    <n v="0"/>
    <n v="0"/>
    <n v="101"/>
    <s v="_x0000_US"/>
  </r>
  <r>
    <x v="0"/>
    <n v="13.6914"/>
    <n v="-89.226600000000005"/>
    <n v="10474.5"/>
    <n v="0"/>
    <n v="0"/>
    <n v="101"/>
    <s v="_x0000_US"/>
  </r>
  <r>
    <x v="0"/>
    <n v="13.687900000000001"/>
    <n v="-89.181299999999993"/>
    <n v="10474.6"/>
    <n v="0"/>
    <n v="0"/>
    <n v="101"/>
    <s v="_x0000_US"/>
  </r>
  <r>
    <x v="0"/>
    <n v="13.690300000000001"/>
    <n v="-89.228200000000001"/>
    <n v="10474.6"/>
    <n v="0"/>
    <n v="0"/>
    <n v="101"/>
    <s v="_x0000_US"/>
  </r>
  <r>
    <x v="0"/>
    <n v="13.6876"/>
    <n v="-89.194699999999997"/>
    <n v="10474.700000000001"/>
    <n v="0"/>
    <n v="0"/>
    <n v="101"/>
    <s v="_x0000_US"/>
  </r>
  <r>
    <x v="0"/>
    <n v="13.689299999999999"/>
    <n v="-89.236400000000003"/>
    <n v="10474.700000000001"/>
    <n v="0"/>
    <n v="0"/>
    <n v="101"/>
    <s v="_x0000_US"/>
  </r>
  <r>
    <x v="0"/>
    <n v="13.686199999999999"/>
    <n v="-89.193799999999996"/>
    <n v="10475"/>
    <n v="0"/>
    <n v="0"/>
    <n v="101"/>
    <s v="_x0000_US"/>
  </r>
  <r>
    <x v="0"/>
    <n v="13.6873"/>
    <n v="-89.194400000000002"/>
    <n v="10475.200000000001"/>
    <n v="0"/>
    <n v="0"/>
    <n v="101"/>
    <s v="_x0000_US"/>
  </r>
  <r>
    <x v="0"/>
    <n v="13.6873"/>
    <n v="-89.196600000000004"/>
    <n v="10475.299999999999"/>
    <n v="0"/>
    <n v="0"/>
    <n v="101"/>
    <s v="_x0000_US"/>
  </r>
  <r>
    <x v="0"/>
    <n v="13.672499999999999"/>
    <n v="-89.204899999999995"/>
    <n v="10475.299999999999"/>
    <n v="0"/>
    <n v="0"/>
    <n v="101"/>
    <s v="_x0000_US"/>
  </r>
  <r>
    <x v="0"/>
    <n v="13.6951"/>
    <n v="-89.173699999999997"/>
    <n v="10475.299999999999"/>
    <n v="0"/>
    <n v="0"/>
    <n v="101"/>
    <s v="_x0000_US"/>
  </r>
  <r>
    <x v="0"/>
    <n v="13.6736"/>
    <n v="-89.204599999999999"/>
    <n v="10475.4"/>
    <n v="0"/>
    <n v="0"/>
    <n v="101"/>
    <s v="_x0000_US"/>
  </r>
  <r>
    <x v="0"/>
    <n v="13.6873"/>
    <n v="-89.213800000000006"/>
    <n v="10475.799999999999"/>
    <n v="0"/>
    <n v="0"/>
    <n v="101"/>
    <s v="_x0000_US"/>
  </r>
  <r>
    <x v="0"/>
    <n v="13.690200000000001"/>
    <n v="-89.193799999999996"/>
    <n v="10476.200000000001"/>
    <n v="0"/>
    <n v="0"/>
    <n v="101"/>
    <s v="_x0000_US"/>
  </r>
  <r>
    <x v="0"/>
    <n v="13.6852"/>
    <n v="-89.202100000000002"/>
    <n v="10476.4"/>
    <n v="0"/>
    <n v="0"/>
    <n v="101"/>
    <s v="_x0000_US"/>
  </r>
  <r>
    <x v="0"/>
    <n v="13.692299999999999"/>
    <n v="-89.226399999999998"/>
    <n v="10476.4"/>
    <n v="0"/>
    <n v="0"/>
    <n v="101"/>
    <s v="_x0000_US"/>
  </r>
  <r>
    <x v="0"/>
    <n v="13.6911"/>
    <n v="-89.226600000000005"/>
    <n v="10476.5"/>
    <n v="0"/>
    <n v="0"/>
    <n v="101"/>
    <s v="_x0000_US"/>
  </r>
  <r>
    <x v="0"/>
    <n v="13.689500000000001"/>
    <n v="-89.235799999999998"/>
    <n v="10476.700000000001"/>
    <n v="0"/>
    <n v="0"/>
    <n v="101"/>
    <s v="_x0000_US"/>
  </r>
  <r>
    <x v="0"/>
    <n v="13.687900000000001"/>
    <n v="-89.197100000000006"/>
    <n v="10477.4"/>
    <n v="0"/>
    <n v="0"/>
    <n v="101"/>
    <s v="_x0000_US"/>
  </r>
  <r>
    <x v="0"/>
    <n v="13.692299999999999"/>
    <n v="-89.225800000000007"/>
    <n v="10477.6"/>
    <n v="0"/>
    <n v="0"/>
    <n v="101"/>
    <s v="_x0000_US"/>
  </r>
  <r>
    <x v="0"/>
    <n v="13.690799999999999"/>
    <n v="-89.233500000000006"/>
    <n v="10477.6"/>
    <n v="0"/>
    <n v="0"/>
    <n v="101"/>
    <s v="_x0000_US"/>
  </r>
  <r>
    <x v="0"/>
    <n v="13.6913"/>
    <n v="-89.232600000000005"/>
    <n v="10477.9"/>
    <n v="0"/>
    <n v="0"/>
    <n v="101"/>
    <s v="_x0000_US"/>
  </r>
  <r>
    <x v="0"/>
    <n v="13.6745"/>
    <n v="-89.251900000000006"/>
    <n v="10478"/>
    <n v="0"/>
    <n v="0"/>
    <n v="101"/>
    <s v="_x0000_US"/>
  </r>
  <r>
    <x v="0"/>
    <n v="13.690799999999999"/>
    <n v="-89.187600000000003"/>
    <n v="10478.299999999999"/>
    <n v="0"/>
    <n v="0"/>
    <n v="101"/>
    <s v="_x0000_US"/>
  </r>
  <r>
    <x v="0"/>
    <n v="13.6861"/>
    <n v="-89.198099999999997"/>
    <n v="10478.4"/>
    <n v="0"/>
    <n v="0"/>
    <n v="101"/>
    <s v="_x0000_US"/>
  </r>
  <r>
    <x v="0"/>
    <n v="13.690799999999999"/>
    <n v="-89.190700000000007"/>
    <n v="10478.6"/>
    <n v="0"/>
    <n v="0"/>
    <n v="101"/>
    <s v="_x0000_US"/>
  </r>
  <r>
    <x v="0"/>
    <n v="13.6747"/>
    <n v="-89.1995"/>
    <n v="10478.6"/>
    <n v="0"/>
    <n v="0"/>
    <n v="101"/>
    <s v="_x0000_US"/>
  </r>
  <r>
    <x v="0"/>
    <n v="13.686"/>
    <n v="-89.2149"/>
    <n v="10478.799999999999"/>
    <n v="0"/>
    <n v="0"/>
    <n v="101"/>
    <s v="_x0000_US"/>
  </r>
  <r>
    <x v="0"/>
    <n v="13.690899999999999"/>
    <n v="-89.190700000000007"/>
    <n v="10479.200000000001"/>
    <n v="0"/>
    <n v="0"/>
    <n v="101"/>
    <s v="_x0000_US"/>
  </r>
  <r>
    <x v="0"/>
    <n v="13.69"/>
    <n v="-89.190299999999993"/>
    <n v="10479.6"/>
    <n v="0"/>
    <n v="0"/>
    <n v="101"/>
    <s v="_x0000_US"/>
  </r>
  <r>
    <x v="0"/>
    <n v="13.6907"/>
    <n v="-89.179100000000005"/>
    <n v="10480"/>
    <n v="0"/>
    <n v="0"/>
    <n v="101"/>
    <s v="_x0000_US"/>
  </r>
  <r>
    <x v="0"/>
    <n v="13.6866"/>
    <n v="-89.212999999999994"/>
    <n v="10480.4"/>
    <n v="0"/>
    <n v="0"/>
    <n v="101"/>
    <s v="_x0000_US"/>
  </r>
  <r>
    <x v="0"/>
    <n v="13.688599999999999"/>
    <n v="-89.216300000000004"/>
    <n v="10480.9"/>
    <n v="0"/>
    <n v="0"/>
    <n v="101"/>
    <s v="_x0000_US"/>
  </r>
  <r>
    <x v="0"/>
    <n v="13.6905"/>
    <n v="-89.197500000000005"/>
    <n v="10481.5"/>
    <n v="0"/>
    <n v="0"/>
    <n v="101"/>
    <s v="_x0000_US"/>
  </r>
  <r>
    <x v="0"/>
    <n v="13.696099999999999"/>
    <n v="-89.172700000000006"/>
    <n v="10482.6"/>
    <n v="0"/>
    <n v="0"/>
    <n v="101"/>
    <s v="_x0000_US"/>
  </r>
  <r>
    <x v="0"/>
    <n v="13.6897"/>
    <n v="-89.229500000000002"/>
    <n v="10483.200000000001"/>
    <n v="0"/>
    <n v="0"/>
    <n v="101"/>
    <s v="_x0000_US"/>
  </r>
  <r>
    <x v="0"/>
    <n v="13.6876"/>
    <n v="-89.194999999999993"/>
    <n v="10483.9"/>
    <n v="0"/>
    <n v="0"/>
    <n v="101"/>
    <s v="_x0000_US"/>
  </r>
  <r>
    <x v="0"/>
    <n v="13.6846"/>
    <n v="-89.216899999999995"/>
    <n v="10484.299999999999"/>
    <n v="0"/>
    <n v="0"/>
    <n v="101"/>
    <s v="_x0000_US"/>
  </r>
  <r>
    <x v="0"/>
    <n v="13.6914"/>
    <n v="-89.1785"/>
    <n v="10484.4"/>
    <n v="0"/>
    <n v="0"/>
    <n v="101"/>
    <s v="_x0000_US"/>
  </r>
  <r>
    <x v="0"/>
    <n v="13.6798"/>
    <n v="-89.195499999999996"/>
    <n v="10484.799999999999"/>
    <n v="0"/>
    <n v="0"/>
    <n v="101"/>
    <s v="_x0000_US"/>
  </r>
  <r>
    <x v="0"/>
    <n v="13.6906"/>
    <n v="-89.186599999999999"/>
    <n v="10485.1"/>
    <n v="0"/>
    <n v="0"/>
    <n v="101"/>
    <s v="_x0000_US"/>
  </r>
  <r>
    <x v="0"/>
    <n v="13.6747"/>
    <n v="-89.251099999999994"/>
    <n v="10485.200000000001"/>
    <n v="0"/>
    <n v="0"/>
    <n v="101"/>
    <s v="_x0000_US"/>
  </r>
  <r>
    <x v="0"/>
    <n v="13.6911"/>
    <n v="-89.233199999999997"/>
    <n v="10485.299999999999"/>
    <n v="0"/>
    <n v="0"/>
    <n v="101"/>
    <s v="_x0000_US"/>
  </r>
  <r>
    <x v="0"/>
    <n v="13.6943"/>
    <n v="-89.185500000000005"/>
    <n v="10485.700000000001"/>
    <n v="0"/>
    <n v="0"/>
    <n v="101"/>
    <s v="_x0000_US"/>
  </r>
  <r>
    <x v="0"/>
    <n v="13.6905"/>
    <n v="-89.178899999999999"/>
    <n v="10485.700000000001"/>
    <n v="0"/>
    <n v="0"/>
    <n v="101"/>
    <s v="_x0000_US"/>
  </r>
  <r>
    <x v="0"/>
    <n v="13.6935"/>
    <n v="-89.176199999999994"/>
    <n v="10486.3"/>
    <n v="0"/>
    <n v="0"/>
    <n v="101"/>
    <s v="_x0000_US"/>
  </r>
  <r>
    <x v="0"/>
    <n v="13.6858"/>
    <n v="-89.211600000000004"/>
    <n v="10486.3"/>
    <n v="0"/>
    <n v="0"/>
    <n v="101"/>
    <s v="_x0000_US"/>
  </r>
  <r>
    <x v="0"/>
    <n v="13.6874"/>
    <n v="-89.214299999999994"/>
    <n v="10486.6"/>
    <n v="0"/>
    <n v="0"/>
    <n v="101"/>
    <s v="_x0000_US"/>
  </r>
  <r>
    <x v="0"/>
    <n v="13.6914"/>
    <n v="-89.234200000000001"/>
    <n v="10486.9"/>
    <n v="0"/>
    <n v="0"/>
    <n v="101"/>
    <s v="_x0000_US"/>
  </r>
  <r>
    <x v="0"/>
    <n v="13.6911"/>
    <n v="-89.232500000000002"/>
    <n v="10487.1"/>
    <n v="0"/>
    <n v="0"/>
    <n v="101"/>
    <s v="_x0000_US"/>
  </r>
  <r>
    <x v="0"/>
    <n v="13.686199999999999"/>
    <n v="-89.197999999999993"/>
    <n v="10487.2"/>
    <n v="0"/>
    <n v="0"/>
    <n v="101"/>
    <s v="_x0000_US"/>
  </r>
  <r>
    <x v="0"/>
    <n v="13.686999999999999"/>
    <n v="-89.183199999999999"/>
    <n v="10487.2"/>
    <n v="0"/>
    <n v="0"/>
    <n v="101"/>
    <s v="_x0000_US"/>
  </r>
  <r>
    <x v="0"/>
    <n v="13.689"/>
    <n v="-89.178299999999993"/>
    <n v="10487.4"/>
    <n v="0"/>
    <n v="0"/>
    <n v="101"/>
    <s v="_x0000_US"/>
  </r>
  <r>
    <x v="0"/>
    <n v="13.6934"/>
    <n v="-89.176500000000004"/>
    <n v="10487.9"/>
    <n v="0"/>
    <n v="0"/>
    <n v="101"/>
    <s v="_x0000_US"/>
  </r>
  <r>
    <x v="0"/>
    <n v="13.6913"/>
    <n v="-89.190299999999993"/>
    <n v="10488.2"/>
    <n v="0"/>
    <n v="0"/>
    <n v="101"/>
    <s v="_x0000_US"/>
  </r>
  <r>
    <x v="0"/>
    <n v="13.678900000000001"/>
    <n v="-89.196399999999997"/>
    <n v="10488.5"/>
    <n v="0"/>
    <n v="0"/>
    <n v="101"/>
    <s v="_x0000_US"/>
  </r>
  <r>
    <x v="0"/>
    <n v="13.6907"/>
    <n v="-89.231800000000007"/>
    <n v="10488.8"/>
    <n v="0"/>
    <n v="0"/>
    <n v="101"/>
    <s v="_x0000_US"/>
  </r>
  <r>
    <x v="0"/>
    <n v="13.689299999999999"/>
    <n v="-89.208100000000002"/>
    <n v="10488.9"/>
    <n v="0"/>
    <n v="0"/>
    <n v="101"/>
    <s v="_x0000_US"/>
  </r>
  <r>
    <x v="0"/>
    <n v="13.6899"/>
    <n v="-89.179599999999994"/>
    <n v="10489.2"/>
    <n v="0"/>
    <n v="0"/>
    <n v="101"/>
    <s v="_x0000_US"/>
  </r>
  <r>
    <x v="0"/>
    <n v="13.6915"/>
    <n v="-89.193399999999997"/>
    <n v="10489.7"/>
    <n v="0"/>
    <n v="0"/>
    <n v="101"/>
    <s v="_x0000_US"/>
  </r>
  <r>
    <x v="0"/>
    <n v="13.688800000000001"/>
    <n v="-89.229100000000003"/>
    <n v="10489.7"/>
    <n v="0"/>
    <n v="0"/>
    <n v="101"/>
    <s v="_x0000_US"/>
  </r>
  <r>
    <x v="0"/>
    <n v="13.692299999999999"/>
    <n v="-89.226200000000006"/>
    <n v="10489.8"/>
    <n v="0"/>
    <n v="0"/>
    <n v="101"/>
    <s v="_x0000_US"/>
  </r>
  <r>
    <x v="0"/>
    <n v="13.691599999999999"/>
    <n v="-89.234999999999999"/>
    <n v="10489.9"/>
    <n v="0"/>
    <n v="0"/>
    <n v="101"/>
    <s v="_x0000_US"/>
  </r>
  <r>
    <x v="0"/>
    <n v="13.6914"/>
    <n v="-89.189899999999994"/>
    <n v="10490.8"/>
    <n v="0"/>
    <n v="0"/>
    <n v="101"/>
    <s v="_x0000_US"/>
  </r>
  <r>
    <x v="0"/>
    <n v="13.679399999999999"/>
    <n v="-89.1965"/>
    <n v="10490.8"/>
    <n v="0"/>
    <n v="0"/>
    <n v="101"/>
    <s v="_x0000_US"/>
  </r>
  <r>
    <x v="0"/>
    <n v="13.6913"/>
    <n v="-89.22"/>
    <n v="10491.2"/>
    <n v="0"/>
    <n v="0"/>
    <n v="101"/>
    <s v="_x0000_US"/>
  </r>
  <r>
    <x v="0"/>
    <n v="13.6942"/>
    <n v="-89.173000000000002"/>
    <n v="10491.4"/>
    <n v="0"/>
    <n v="0"/>
    <n v="101"/>
    <s v="_x0000_US"/>
  </r>
  <r>
    <x v="0"/>
    <n v="13.691000000000001"/>
    <n v="-89.233800000000002"/>
    <n v="10491.4"/>
    <n v="0"/>
    <n v="0"/>
    <n v="101"/>
    <s v="_x0000_US"/>
  </r>
  <r>
    <x v="0"/>
    <n v="13.6905"/>
    <n v="-89.231899999999996"/>
    <n v="10492.2"/>
    <n v="0"/>
    <n v="0"/>
    <n v="101"/>
    <s v="_x0000_US"/>
  </r>
  <r>
    <x v="0"/>
    <n v="13.679399999999999"/>
    <n v="-89.196799999999996"/>
    <n v="10492.3"/>
    <n v="0"/>
    <n v="0"/>
    <n v="101"/>
    <s v="_x0000_US"/>
  </r>
  <r>
    <x v="0"/>
    <n v="13.6922"/>
    <n v="-89.223299999999995"/>
    <n v="10492.7"/>
    <n v="0"/>
    <n v="0"/>
    <n v="101"/>
    <s v="_x0000_US"/>
  </r>
  <r>
    <x v="0"/>
    <n v="13.690899999999999"/>
    <n v="-89.181700000000006"/>
    <n v="10492.8"/>
    <n v="0"/>
    <n v="0"/>
    <n v="101"/>
    <s v="_x0000_US"/>
  </r>
  <r>
    <x v="0"/>
    <n v="13.684799999999999"/>
    <n v="-89.203100000000006"/>
    <n v="10493.1"/>
    <n v="0"/>
    <n v="0"/>
    <n v="101"/>
    <s v="_x0000_US"/>
  </r>
  <r>
    <x v="0"/>
    <n v="13.692399999999999"/>
    <n v="-89.174999999999997"/>
    <n v="10493.2"/>
    <n v="0"/>
    <n v="0"/>
    <n v="101"/>
    <s v="_x0000_US"/>
  </r>
  <r>
    <x v="0"/>
    <n v="13.6869"/>
    <n v="-89.216200000000001"/>
    <n v="10493.2"/>
    <n v="0"/>
    <n v="0"/>
    <n v="101"/>
    <s v="_x0000_US"/>
  </r>
  <r>
    <x v="0"/>
    <n v="13.684900000000001"/>
    <n v="-89.216800000000006"/>
    <n v="10493.7"/>
    <n v="0"/>
    <n v="0"/>
    <n v="101"/>
    <s v="_x0000_US"/>
  </r>
  <r>
    <x v="0"/>
    <n v="13.6921"/>
    <n v="-89.185900000000004"/>
    <n v="10494.7"/>
    <n v="0"/>
    <n v="0"/>
    <n v="101"/>
    <s v="_x0000_US"/>
  </r>
  <r>
    <x v="0"/>
    <n v="13.677199999999999"/>
    <n v="-89.199100000000001"/>
    <n v="10494.8"/>
    <n v="0"/>
    <n v="0"/>
    <n v="101"/>
    <s v="_x0000_US"/>
  </r>
  <r>
    <x v="0"/>
    <n v="13.6858"/>
    <n v="-89.215500000000006"/>
    <n v="10494.9"/>
    <n v="0"/>
    <n v="0"/>
    <n v="101"/>
    <s v="_x0000_US"/>
  </r>
  <r>
    <x v="0"/>
    <n v="13.694599999999999"/>
    <n v="-89.185500000000005"/>
    <n v="10495.1"/>
    <n v="0"/>
    <n v="0"/>
    <n v="101"/>
    <s v="_x0000_US"/>
  </r>
  <r>
    <x v="0"/>
    <n v="13.6915"/>
    <n v="-89.183199999999999"/>
    <n v="10495.3"/>
    <n v="0"/>
    <n v="0"/>
    <n v="101"/>
    <s v="_x0000_US"/>
  </r>
  <r>
    <x v="0"/>
    <n v="13.6884"/>
    <n v="-89.216899999999995"/>
    <n v="10495.3"/>
    <n v="0"/>
    <n v="0"/>
    <n v="101"/>
    <s v="_x0000_US"/>
  </r>
  <r>
    <x v="0"/>
    <n v="13.6913"/>
    <n v="-89.235100000000003"/>
    <n v="10495.4"/>
    <n v="0"/>
    <n v="0"/>
    <n v="101"/>
    <s v="_x0000_US"/>
  </r>
  <r>
    <x v="0"/>
    <n v="13.674099999999999"/>
    <n v="-89.252099999999999"/>
    <n v="10495.7"/>
    <n v="0"/>
    <n v="0"/>
    <n v="101"/>
    <s v="_x0000_US"/>
  </r>
  <r>
    <x v="0"/>
    <n v="13.6904"/>
    <n v="-89.194900000000004"/>
    <n v="10495.8"/>
    <n v="0"/>
    <n v="0"/>
    <n v="101"/>
    <s v="_x0000_US"/>
  </r>
  <r>
    <x v="0"/>
    <n v="13.6752"/>
    <n v="-89.2"/>
    <n v="10496.5"/>
    <n v="0"/>
    <n v="0"/>
    <n v="101"/>
    <s v="_x0000_US"/>
  </r>
  <r>
    <x v="0"/>
    <n v="13.6965"/>
    <n v="-89.171700000000001"/>
    <n v="10497.2"/>
    <n v="0"/>
    <n v="0"/>
    <n v="101"/>
    <s v="_x0000_US"/>
  </r>
  <r>
    <x v="0"/>
    <n v="13.690300000000001"/>
    <n v="-89.2346"/>
    <n v="10497.6"/>
    <n v="0"/>
    <n v="0"/>
    <n v="101"/>
    <s v="_x0000_US"/>
  </r>
  <r>
    <x v="0"/>
    <n v="13.6854"/>
    <n v="-89.2136"/>
    <n v="10498"/>
    <n v="0"/>
    <n v="0"/>
    <n v="101"/>
    <s v="_x0000_US"/>
  </r>
  <r>
    <x v="0"/>
    <n v="13.690200000000001"/>
    <n v="-89.228300000000004"/>
    <n v="10498.2"/>
    <n v="0"/>
    <n v="0"/>
    <n v="101"/>
    <s v="_x0000_US"/>
  </r>
  <r>
    <x v="0"/>
    <n v="13.684799999999999"/>
    <n v="-89.194000000000003"/>
    <n v="10498.4"/>
    <n v="0"/>
    <n v="0"/>
    <n v="101"/>
    <s v="_x0000_US"/>
  </r>
  <r>
    <x v="0"/>
    <n v="13.6958"/>
    <n v="-89.173100000000005"/>
    <n v="10499.6"/>
    <n v="0"/>
    <n v="0"/>
    <n v="101"/>
    <s v="_x0000_US"/>
  </r>
  <r>
    <x v="0"/>
    <n v="13.6882"/>
    <n v="-89.194000000000003"/>
    <n v="10500"/>
    <n v="0"/>
    <n v="0"/>
    <n v="101"/>
    <s v="_x0000_US"/>
  </r>
  <r>
    <x v="0"/>
    <n v="13.6906"/>
    <n v="-89.193399999999997"/>
    <n v="10500.2"/>
    <n v="0"/>
    <n v="0"/>
    <n v="101"/>
    <s v="_x0000_US"/>
  </r>
  <r>
    <x v="0"/>
    <n v="13.6896"/>
    <n v="-89.179199999999994"/>
    <n v="10500.2"/>
    <n v="0"/>
    <n v="0"/>
    <n v="101"/>
    <s v="_x0000_US"/>
  </r>
  <r>
    <x v="0"/>
    <n v="13.6891"/>
    <n v="-89.205500000000001"/>
    <n v="10500.2"/>
    <n v="0"/>
    <n v="0"/>
    <n v="101"/>
    <s v="_x0000_US"/>
  </r>
  <r>
    <x v="0"/>
    <n v="13.6746"/>
    <n v="-89.202699999999993"/>
    <n v="10500.3"/>
    <n v="0"/>
    <n v="0"/>
    <n v="101"/>
    <s v="_x0000_US"/>
  </r>
  <r>
    <x v="0"/>
    <n v="13.6881"/>
    <n v="-89.180800000000005"/>
    <n v="10500.4"/>
    <n v="0"/>
    <n v="0"/>
    <n v="101"/>
    <s v="_x0000_US"/>
  </r>
  <r>
    <x v="0"/>
    <n v="13.676600000000001"/>
    <n v="-89.199399999999997"/>
    <n v="10500.8"/>
    <n v="0"/>
    <n v="0"/>
    <n v="101"/>
    <s v="_x0000_US"/>
  </r>
  <r>
    <x v="0"/>
    <n v="13.6851"/>
    <n v="-89.212299999999999"/>
    <n v="10501.1"/>
    <n v="0"/>
    <n v="0"/>
    <n v="101"/>
    <s v="_x0000_US"/>
  </r>
  <r>
    <x v="0"/>
    <n v="13.6854"/>
    <n v="-89.215299999999999"/>
    <n v="10502.3"/>
    <n v="0"/>
    <n v="0"/>
    <n v="101"/>
    <s v="_x0000_US"/>
  </r>
  <r>
    <x v="0"/>
    <n v="13.6898"/>
    <n v="-89.179900000000004"/>
    <n v="10502.7"/>
    <n v="0"/>
    <n v="0"/>
    <n v="101"/>
    <s v="_x0000_US"/>
  </r>
  <r>
    <x v="0"/>
    <n v="13.6897"/>
    <n v="-89.229500000000002"/>
    <n v="10502.9"/>
    <n v="0"/>
    <n v="0"/>
    <n v="101"/>
    <s v="_x0000_US"/>
  </r>
  <r>
    <x v="0"/>
    <n v="13.694699999999999"/>
    <n v="-89.174400000000006"/>
    <n v="10503.9"/>
    <n v="0"/>
    <n v="0"/>
    <n v="101"/>
    <s v="_x0000_US"/>
  </r>
  <r>
    <x v="0"/>
    <n v="13.6799"/>
    <n v="-89.194500000000005"/>
    <n v="10505.2"/>
    <n v="0"/>
    <n v="0"/>
    <n v="101"/>
    <s v="_x0000_US"/>
  </r>
  <r>
    <x v="0"/>
    <n v="13.684799999999999"/>
    <n v="-89.211699999999993"/>
    <n v="10505.6"/>
    <n v="0"/>
    <n v="0"/>
    <n v="101"/>
    <s v="_x0000_US"/>
  </r>
  <r>
    <x v="0"/>
    <n v="13.6745"/>
    <n v="-89.199100000000001"/>
    <n v="10506.7"/>
    <n v="0"/>
    <n v="0"/>
    <n v="101"/>
    <s v="_x0000_US"/>
  </r>
  <r>
    <x v="0"/>
    <n v="13.6869"/>
    <n v="-89.2166"/>
    <n v="10507"/>
    <n v="0"/>
    <n v="0"/>
    <n v="101"/>
    <s v="_x0000_US"/>
  </r>
  <r>
    <x v="0"/>
    <n v="13.6744"/>
    <n v="-89.251300000000001"/>
    <n v="10507.3"/>
    <n v="0"/>
    <n v="0"/>
    <n v="101"/>
    <s v="_x0000_US"/>
  </r>
  <r>
    <x v="0"/>
    <n v="13.689299999999999"/>
    <n v="-89.181200000000004"/>
    <n v="10507.5"/>
    <n v="0"/>
    <n v="0"/>
    <n v="101"/>
    <s v="_x0000_US"/>
  </r>
  <r>
    <x v="0"/>
    <n v="13.689399999999999"/>
    <n v="-89.185400000000001"/>
    <n v="10507.9"/>
    <n v="0"/>
    <n v="0"/>
    <n v="101"/>
    <s v="_x0000_US"/>
  </r>
  <r>
    <x v="0"/>
    <n v="13.689299999999999"/>
    <n v="-89.229299999999995"/>
    <n v="10507.9"/>
    <n v="0"/>
    <n v="0"/>
    <n v="101"/>
    <s v="_x0000_US"/>
  </r>
  <r>
    <x v="0"/>
    <n v="13.6913"/>
    <n v="-89.228800000000007"/>
    <n v="10508.1"/>
    <n v="0"/>
    <n v="0"/>
    <n v="101"/>
    <s v="_x0000_US"/>
  </r>
  <r>
    <x v="0"/>
    <n v="13.6914"/>
    <n v="-89.226900000000001"/>
    <n v="10508.2"/>
    <n v="0"/>
    <n v="0"/>
    <n v="101"/>
    <s v="_x0000_US"/>
  </r>
  <r>
    <x v="0"/>
    <n v="13.6899"/>
    <n v="-89.236199999999997"/>
    <n v="10508.3"/>
    <n v="0"/>
    <n v="0"/>
    <n v="101"/>
    <s v="_x0000_US"/>
  </r>
  <r>
    <x v="0"/>
    <n v="13.6927"/>
    <n v="-89.184100000000001"/>
    <n v="10508.8"/>
    <n v="0"/>
    <n v="0"/>
    <n v="101"/>
    <s v="_x0000_US"/>
  </r>
  <r>
    <x v="0"/>
    <n v="13.6922"/>
    <n v="-89.225800000000007"/>
    <n v="10508.8"/>
    <n v="0"/>
    <n v="0"/>
    <n v="101"/>
    <s v="_x0000_US"/>
  </r>
  <r>
    <x v="0"/>
    <n v="13.6793"/>
    <n v="-89.196799999999996"/>
    <n v="10509.3"/>
    <n v="0"/>
    <n v="0"/>
    <n v="101"/>
    <s v="_x0000_US"/>
  </r>
  <r>
    <x v="0"/>
    <n v="13.6952"/>
    <n v="-89.173599999999993"/>
    <n v="10509.8"/>
    <n v="0"/>
    <n v="0"/>
    <n v="101"/>
    <s v="_x0000_US"/>
  </r>
  <r>
    <x v="0"/>
    <n v="13.6952"/>
    <n v="-89.174700000000001"/>
    <n v="10509.9"/>
    <n v="0"/>
    <n v="0"/>
    <n v="101"/>
    <s v="_x0000_US"/>
  </r>
  <r>
    <x v="0"/>
    <n v="13.690799999999999"/>
    <n v="-89.219399999999993"/>
    <n v="10510.1"/>
    <n v="0"/>
    <n v="0"/>
    <n v="101"/>
    <s v="_x0000_US"/>
  </r>
  <r>
    <x v="0"/>
    <n v="13.6881"/>
    <n v="-89.193799999999996"/>
    <n v="10510.5"/>
    <n v="0"/>
    <n v="0"/>
    <n v="101"/>
    <s v="_x0000_US"/>
  </r>
  <r>
    <x v="0"/>
    <n v="13.6747"/>
    <n v="-89.251099999999994"/>
    <n v="10510.9"/>
    <n v="0"/>
    <n v="0"/>
    <n v="101"/>
    <s v="_x0000_US"/>
  </r>
  <r>
    <x v="0"/>
    <n v="13.6853"/>
    <n v="-89.203000000000003"/>
    <n v="10511.1"/>
    <n v="0"/>
    <n v="0"/>
    <n v="101"/>
    <s v="_x0000_US"/>
  </r>
  <r>
    <x v="0"/>
    <n v="13.685499999999999"/>
    <n v="-89.201499999999996"/>
    <n v="10511.1"/>
    <n v="0"/>
    <n v="0"/>
    <n v="101"/>
    <s v="_x0000_US"/>
  </r>
  <r>
    <x v="0"/>
    <n v="13.6899"/>
    <n v="-89.190299999999993"/>
    <n v="10511.5"/>
    <n v="0"/>
    <n v="0"/>
    <n v="101"/>
    <s v="_x0000_US"/>
  </r>
  <r>
    <x v="0"/>
    <n v="13.679600000000001"/>
    <n v="-89.197199999999995"/>
    <n v="10511.8"/>
    <n v="0"/>
    <n v="0"/>
    <n v="101"/>
    <s v="_x0000_US"/>
  </r>
  <r>
    <x v="0"/>
    <n v="13.6943"/>
    <n v="-89.183099999999996"/>
    <n v="10512.1"/>
    <n v="0"/>
    <n v="0"/>
    <n v="101"/>
    <s v="_x0000_US"/>
  </r>
  <r>
    <x v="0"/>
    <n v="13.687200000000001"/>
    <n v="-89.194599999999994"/>
    <n v="10512.1"/>
    <n v="0"/>
    <n v="0"/>
    <n v="101"/>
    <s v="_x0000_US"/>
  </r>
  <r>
    <x v="0"/>
    <n v="13.6898"/>
    <n v="-89.194100000000006"/>
    <n v="10512.2"/>
    <n v="0"/>
    <n v="0"/>
    <n v="101"/>
    <s v="_x0000_US"/>
  </r>
  <r>
    <x v="0"/>
    <n v="13.687900000000001"/>
    <n v="-89.196899999999999"/>
    <n v="10512.5"/>
    <n v="0"/>
    <n v="0"/>
    <n v="101"/>
    <s v="_x0000_US"/>
  </r>
  <r>
    <x v="0"/>
    <n v="13.6861"/>
    <n v="-89.214200000000005"/>
    <n v="10512.7"/>
    <n v="0"/>
    <n v="0"/>
    <n v="101"/>
    <s v="_x0000_US"/>
  </r>
  <r>
    <x v="0"/>
    <n v="13.6874"/>
    <n v="-89.193899999999999"/>
    <n v="10513.5"/>
    <n v="0"/>
    <n v="0"/>
    <n v="101"/>
    <s v="_x0000_US"/>
  </r>
  <r>
    <x v="0"/>
    <n v="13.6777"/>
    <n v="-89.245800000000003"/>
    <n v="10513.6"/>
    <n v="0"/>
    <n v="0"/>
    <n v="101"/>
    <s v="_x0000_US"/>
  </r>
  <r>
    <x v="0"/>
    <n v="13.6907"/>
    <n v="-89.235500000000002"/>
    <n v="10513.7"/>
    <n v="0"/>
    <n v="0"/>
    <n v="101"/>
    <s v="_x0000_US"/>
  </r>
  <r>
    <x v="0"/>
    <n v="13.690899999999999"/>
    <n v="-89.194599999999994"/>
    <n v="10513.8"/>
    <n v="0"/>
    <n v="0"/>
    <n v="101"/>
    <s v="_x0000_US"/>
  </r>
  <r>
    <x v="0"/>
    <n v="13.693199999999999"/>
    <n v="-89.177400000000006"/>
    <n v="10514.4"/>
    <n v="0"/>
    <n v="0"/>
    <n v="101"/>
    <s v="_x0000_US"/>
  </r>
  <r>
    <x v="0"/>
    <n v="13.6868"/>
    <n v="-89.194599999999994"/>
    <n v="10515.8"/>
    <n v="0"/>
    <n v="0"/>
    <n v="101"/>
    <s v="_x0000_US"/>
  </r>
  <r>
    <x v="0"/>
    <n v="13.6875"/>
    <n v="-89.194599999999994"/>
    <n v="10516"/>
    <n v="0"/>
    <n v="0"/>
    <n v="101"/>
    <s v="_x0000_US"/>
  </r>
  <r>
    <x v="0"/>
    <n v="13.690099999999999"/>
    <n v="-89.195700000000002"/>
    <n v="10516.5"/>
    <n v="0"/>
    <n v="0"/>
    <n v="101"/>
    <s v="_x0000_US"/>
  </r>
  <r>
    <x v="0"/>
    <n v="13.6911"/>
    <n v="-89.232500000000002"/>
    <n v="10517.3"/>
    <n v="0"/>
    <n v="0"/>
    <n v="101"/>
    <s v="_x0000_US"/>
  </r>
  <r>
    <x v="0"/>
    <n v="13.6907"/>
    <n v="-89.231700000000004"/>
    <n v="10517.6"/>
    <n v="0"/>
    <n v="0"/>
    <n v="101"/>
    <s v="_x0000_US"/>
  </r>
  <r>
    <x v="0"/>
    <n v="13.686199999999999"/>
    <n v="-89.213899999999995"/>
    <n v="10517.6"/>
    <n v="0"/>
    <n v="0"/>
    <n v="101"/>
    <s v="_x0000_US"/>
  </r>
  <r>
    <x v="0"/>
    <n v="13.6889"/>
    <n v="-89.204800000000006"/>
    <n v="10518"/>
    <n v="0"/>
    <n v="0"/>
    <n v="101"/>
    <s v="_x0000_US"/>
  </r>
  <r>
    <x v="0"/>
    <n v="13.684200000000001"/>
    <n v="-89.212800000000001"/>
    <n v="10518.7"/>
    <n v="0"/>
    <n v="0"/>
    <n v="101"/>
    <s v="_x0000_US"/>
  </r>
  <r>
    <x v="0"/>
    <n v="13.6919"/>
    <n v="-89.196399999999997"/>
    <n v="10519.1"/>
    <n v="0"/>
    <n v="0"/>
    <n v="101"/>
    <s v="_x0000_US"/>
  </r>
  <r>
    <x v="0"/>
    <n v="13.6911"/>
    <n v="-89.178700000000006"/>
    <n v="10519.2"/>
    <n v="0"/>
    <n v="0"/>
    <n v="101"/>
    <s v="_x0000_US"/>
  </r>
  <r>
    <x v="0"/>
    <n v="13.6922"/>
    <n v="-89.222800000000007"/>
    <n v="10519.3"/>
    <n v="0"/>
    <n v="0"/>
    <n v="101"/>
    <s v="_x0000_US"/>
  </r>
  <r>
    <x v="0"/>
    <n v="13.6867"/>
    <n v="-89.2119"/>
    <n v="10520.1"/>
    <n v="0"/>
    <n v="0"/>
    <n v="101"/>
    <s v="_x0000_US"/>
  </r>
  <r>
    <x v="0"/>
    <n v="13.691800000000001"/>
    <n v="-89.197599999999994"/>
    <n v="10520.4"/>
    <n v="0"/>
    <n v="0"/>
    <n v="101"/>
    <s v="_x0000_US"/>
  </r>
  <r>
    <x v="0"/>
    <n v="13.692"/>
    <n v="-89.226699999999994"/>
    <n v="10520.8"/>
    <n v="0"/>
    <n v="0"/>
    <n v="101"/>
    <s v="_x0000_US"/>
  </r>
  <r>
    <x v="0"/>
    <n v="13.690799999999999"/>
    <n v="-89.234099999999998"/>
    <n v="10520.9"/>
    <n v="0"/>
    <n v="0"/>
    <n v="101"/>
    <s v="_x0000_US"/>
  </r>
  <r>
    <x v="0"/>
    <n v="13.6745"/>
    <n v="-89.199299999999994"/>
    <n v="10521"/>
    <n v="0"/>
    <n v="0"/>
    <n v="101"/>
    <s v="_x0000_US"/>
  </r>
  <r>
    <x v="0"/>
    <n v="13.6912"/>
    <n v="-89.232600000000005"/>
    <n v="10521"/>
    <n v="0"/>
    <n v="0"/>
    <n v="101"/>
    <s v="_x0000_US"/>
  </r>
  <r>
    <x v="0"/>
    <n v="13.6745"/>
    <n v="-89.251099999999994"/>
    <n v="10521.1"/>
    <n v="0"/>
    <n v="0"/>
    <n v="101"/>
    <s v="_x0000_US"/>
  </r>
  <r>
    <x v="0"/>
    <n v="13.6866"/>
    <n v="-89.203800000000001"/>
    <n v="10521.7"/>
    <n v="0"/>
    <n v="0"/>
    <n v="101"/>
    <s v="_x0000_US"/>
  </r>
  <r>
    <x v="0"/>
    <n v="13.6906"/>
    <n v="-89.227900000000005"/>
    <n v="10522.3"/>
    <n v="0"/>
    <n v="0"/>
    <n v="101"/>
    <s v="_x0000_US"/>
  </r>
  <r>
    <x v="0"/>
    <n v="13.690799999999999"/>
    <n v="-89.233199999999997"/>
    <n v="10522.5"/>
    <n v="0"/>
    <n v="0"/>
    <n v="101"/>
    <s v="_x0000_US"/>
  </r>
  <r>
    <x v="0"/>
    <n v="13.6942"/>
    <n v="-89.185500000000005"/>
    <n v="10522.6"/>
    <n v="0"/>
    <n v="0"/>
    <n v="101"/>
    <s v="_x0000_US"/>
  </r>
  <r>
    <x v="0"/>
    <n v="13.692500000000001"/>
    <n v="-89.176699999999997"/>
    <n v="10522.7"/>
    <n v="0"/>
    <n v="0"/>
    <n v="101"/>
    <s v="_x0000_US"/>
  </r>
  <r>
    <x v="0"/>
    <n v="13.6911"/>
    <n v="-89.198499999999996"/>
    <n v="10522.7"/>
    <n v="0"/>
    <n v="0"/>
    <n v="101"/>
    <s v="_x0000_US"/>
  </r>
  <r>
    <x v="0"/>
    <n v="13.687200000000001"/>
    <n v="-89.194599999999994"/>
    <n v="10523.1"/>
    <n v="0"/>
    <n v="0"/>
    <n v="101"/>
    <s v="_x0000_US"/>
  </r>
  <r>
    <x v="0"/>
    <n v="13.694599999999999"/>
    <n v="-89.175700000000006"/>
    <n v="10523.7"/>
    <n v="0"/>
    <n v="0"/>
    <n v="101"/>
    <s v="_x0000_US"/>
  </r>
  <r>
    <x v="0"/>
    <n v="13.695"/>
    <n v="-89.175299999999993"/>
    <n v="10523.8"/>
    <n v="0"/>
    <n v="0"/>
    <n v="101"/>
    <s v="_x0000_US"/>
  </r>
  <r>
    <x v="0"/>
    <n v="13.690799999999999"/>
    <n v="-89.186400000000006"/>
    <n v="10524.1"/>
    <n v="0"/>
    <n v="0"/>
    <n v="101"/>
    <s v="_x0000_US"/>
  </r>
  <r>
    <x v="0"/>
    <n v="13.6845"/>
    <n v="-89.193899999999999"/>
    <n v="10524.6"/>
    <n v="0"/>
    <n v="0"/>
    <n v="101"/>
    <s v="_x0000_US"/>
  </r>
  <r>
    <x v="0"/>
    <n v="13.6873"/>
    <n v="-89.197999999999993"/>
    <n v="10524.7"/>
    <n v="0"/>
    <n v="0"/>
    <n v="101"/>
    <s v="_x0000_US"/>
  </r>
  <r>
    <x v="0"/>
    <n v="13.688800000000001"/>
    <n v="-89.204300000000003"/>
    <n v="10524.7"/>
    <n v="0"/>
    <n v="0"/>
    <n v="101"/>
    <s v="_x0000_US"/>
  </r>
  <r>
    <x v="0"/>
    <n v="13.693099999999999"/>
    <n v="-89.189899999999994"/>
    <n v="10524.8"/>
    <n v="0"/>
    <n v="0"/>
    <n v="101"/>
    <s v="_x0000_US"/>
  </r>
  <r>
    <x v="0"/>
    <n v="13.692399999999999"/>
    <n v="-89.181899999999999"/>
    <n v="10525"/>
    <n v="0"/>
    <n v="0"/>
    <n v="101"/>
    <s v="_x0000_US"/>
  </r>
  <r>
    <x v="0"/>
    <n v="13.686500000000001"/>
    <n v="-89.204099999999997"/>
    <n v="10525.6"/>
    <n v="0"/>
    <n v="0"/>
    <n v="101"/>
    <s v="_x0000_US"/>
  </r>
  <r>
    <x v="0"/>
    <n v="13.6861"/>
    <n v="-89.216099999999997"/>
    <n v="10526.6"/>
    <n v="0"/>
    <n v="0"/>
    <n v="101"/>
    <s v="_x0000_US"/>
  </r>
  <r>
    <x v="0"/>
    <n v="13.687099999999999"/>
    <n v="-89.194699999999997"/>
    <n v="10526.8"/>
    <n v="0"/>
    <n v="0"/>
    <n v="101"/>
    <s v="_x0000_US"/>
  </r>
  <r>
    <x v="0"/>
    <n v="13.690899999999999"/>
    <n v="-89.228700000000003"/>
    <n v="10527.7"/>
    <n v="0"/>
    <n v="0"/>
    <n v="101"/>
    <s v="_x0000_US"/>
  </r>
  <r>
    <x v="0"/>
    <n v="13.6929"/>
    <n v="-89.173900000000003"/>
    <n v="10527.9"/>
    <n v="0"/>
    <n v="0"/>
    <n v="101"/>
    <s v="_x0000_US"/>
  </r>
  <r>
    <x v="0"/>
    <n v="13.691000000000001"/>
    <n v="-89.233900000000006"/>
    <n v="10528.1"/>
    <n v="0"/>
    <n v="0"/>
    <n v="101"/>
    <s v="_x0000_US"/>
  </r>
  <r>
    <x v="0"/>
    <n v="13.685499999999999"/>
    <n v="-89.2136"/>
    <n v="10528.2"/>
    <n v="0"/>
    <n v="0"/>
    <n v="101"/>
    <s v="_x0000_US"/>
  </r>
  <r>
    <x v="0"/>
    <n v="13.6915"/>
    <n v="-89.228499999999997"/>
    <n v="10528.4"/>
    <n v="0"/>
    <n v="0"/>
    <n v="101"/>
    <s v="_x0000_US"/>
  </r>
  <r>
    <x v="0"/>
    <n v="13.694000000000001"/>
    <n v="-89.176100000000005"/>
    <n v="10528.6"/>
    <n v="0"/>
    <n v="0"/>
    <n v="101"/>
    <s v="_x0000_US"/>
  </r>
  <r>
    <x v="0"/>
    <n v="13.6915"/>
    <n v="-89.1935"/>
    <n v="10529.1"/>
    <n v="0"/>
    <n v="0"/>
    <n v="101"/>
    <s v="_x0000_US"/>
  </r>
  <r>
    <x v="0"/>
    <n v="13.692600000000001"/>
    <n v="-89.224699999999999"/>
    <n v="10529.2"/>
    <n v="0"/>
    <n v="0"/>
    <n v="101"/>
    <s v="_x0000_US"/>
  </r>
  <r>
    <x v="0"/>
    <n v="13.6915"/>
    <n v="-89.189300000000003"/>
    <n v="10529.3"/>
    <n v="0"/>
    <n v="0"/>
    <n v="101"/>
    <s v="_x0000_US"/>
  </r>
  <r>
    <x v="0"/>
    <n v="13.6867"/>
    <n v="-89.211600000000004"/>
    <n v="10529.5"/>
    <n v="0"/>
    <n v="0"/>
    <n v="101"/>
    <s v="_x0000_US"/>
  </r>
  <r>
    <x v="0"/>
    <n v="13.6898"/>
    <n v="-89.179699999999997"/>
    <n v="10529.8"/>
    <n v="0"/>
    <n v="0"/>
    <n v="101"/>
    <s v="_x0000_US"/>
  </r>
  <r>
    <x v="0"/>
    <n v="13.692600000000001"/>
    <n v="-89.223699999999994"/>
    <n v="10529.9"/>
    <n v="0"/>
    <n v="0"/>
    <n v="101"/>
    <s v="_x0000_US"/>
  </r>
  <r>
    <x v="0"/>
    <n v="13.6861"/>
    <n v="-89.197999999999993"/>
    <n v="10530.3"/>
    <n v="0"/>
    <n v="0"/>
    <n v="101"/>
    <s v="_x0000_US"/>
  </r>
  <r>
    <x v="0"/>
    <n v="13.6892"/>
    <n v="-89.236400000000003"/>
    <n v="10530.5"/>
    <n v="0"/>
    <n v="0"/>
    <n v="101"/>
    <s v="_x0000_US"/>
  </r>
  <r>
    <x v="0"/>
    <n v="13.6892"/>
    <n v="-89.229500000000002"/>
    <n v="10530.8"/>
    <n v="0"/>
    <n v="0"/>
    <n v="101"/>
    <s v="_x0000_US"/>
  </r>
  <r>
    <x v="0"/>
    <n v="13.6919"/>
    <n v="-89.194299999999998"/>
    <n v="10531"/>
    <n v="0"/>
    <n v="0"/>
    <n v="101"/>
    <s v="_x0000_US"/>
  </r>
  <r>
    <x v="0"/>
    <n v="13.677099999999999"/>
    <n v="-89.247399999999999"/>
    <n v="10531.9"/>
    <n v="0"/>
    <n v="0"/>
    <n v="101"/>
    <s v="_x0000_US"/>
  </r>
  <r>
    <x v="0"/>
    <n v="13.690899999999999"/>
    <n v="-89.1875"/>
    <n v="10532.4"/>
    <n v="0"/>
    <n v="0"/>
    <n v="101"/>
    <s v="_x0000_US"/>
  </r>
  <r>
    <x v="0"/>
    <n v="13.6873"/>
    <n v="-89.197000000000003"/>
    <n v="10532.4"/>
    <n v="0"/>
    <n v="0"/>
    <n v="101"/>
    <s v="_x0000_US"/>
  </r>
  <r>
    <x v="0"/>
    <n v="13.6919"/>
    <n v="-89.225099999999998"/>
    <n v="10532.7"/>
    <n v="0"/>
    <n v="0"/>
    <n v="101"/>
    <s v="_x0000_US"/>
  </r>
  <r>
    <x v="0"/>
    <n v="13.6884"/>
    <n v="-89.229600000000005"/>
    <n v="10532.7"/>
    <n v="0"/>
    <n v="0"/>
    <n v="101"/>
    <s v="_x0000_US"/>
  </r>
  <r>
    <x v="0"/>
    <n v="13.691800000000001"/>
    <n v="-89.225300000000004"/>
    <n v="10532.8"/>
    <n v="0"/>
    <n v="0"/>
    <n v="101"/>
    <s v="_x0000_US"/>
  </r>
  <r>
    <x v="0"/>
    <n v="13.6927"/>
    <n v="-89.178299999999993"/>
    <n v="10533.2"/>
    <n v="0"/>
    <n v="0"/>
    <n v="101"/>
    <s v="_x0000_US"/>
  </r>
  <r>
    <x v="0"/>
    <n v="13.694599999999999"/>
    <n v="-89.174599999999998"/>
    <n v="10533.2"/>
    <n v="0"/>
    <n v="0"/>
    <n v="101"/>
    <s v="_x0000_US"/>
  </r>
  <r>
    <x v="0"/>
    <n v="13.690799999999999"/>
    <n v="-89.186199999999999"/>
    <n v="10533.4"/>
    <n v="0"/>
    <n v="0"/>
    <n v="101"/>
    <s v="_x0000_US"/>
  </r>
  <r>
    <x v="0"/>
    <n v="13.6919"/>
    <n v="-89.224999999999994"/>
    <n v="10533.9"/>
    <n v="0"/>
    <n v="0"/>
    <n v="101"/>
    <s v="_x0000_US"/>
  </r>
  <r>
    <x v="0"/>
    <n v="13.687900000000001"/>
    <n v="-89.212299999999999"/>
    <n v="10534.2"/>
    <n v="0"/>
    <n v="0"/>
    <n v="101"/>
    <s v="_x0000_US"/>
  </r>
  <r>
    <x v="0"/>
    <n v="13.690099999999999"/>
    <n v="-89.235600000000005"/>
    <n v="10534.3"/>
    <n v="0"/>
    <n v="0"/>
    <n v="101"/>
    <s v="_x0000_US"/>
  </r>
  <r>
    <x v="0"/>
    <n v="13.6783"/>
    <n v="-89.196399999999997"/>
    <n v="10534.5"/>
    <n v="0"/>
    <n v="0"/>
    <n v="101"/>
    <s v="_x0000_US"/>
  </r>
  <r>
    <x v="0"/>
    <n v="13.6906"/>
    <n v="-89.194699999999997"/>
    <n v="10535.4"/>
    <n v="0"/>
    <n v="0"/>
    <n v="101"/>
    <s v="_x0000_US"/>
  </r>
  <r>
    <x v="0"/>
    <n v="13.6852"/>
    <n v="-89.216700000000003"/>
    <n v="10535.5"/>
    <n v="0"/>
    <n v="0"/>
    <n v="101"/>
    <s v="_x0000_US"/>
  </r>
  <r>
    <x v="0"/>
    <n v="13.691700000000001"/>
    <n v="-89.226600000000005"/>
    <n v="10535.7"/>
    <n v="0"/>
    <n v="0"/>
    <n v="101"/>
    <s v="_x0000_US"/>
  </r>
  <r>
    <x v="0"/>
    <n v="13.6904"/>
    <n v="-89.193299999999994"/>
    <n v="10535.8"/>
    <n v="0"/>
    <n v="0"/>
    <n v="101"/>
    <s v="_x0000_US"/>
  </r>
  <r>
    <x v="0"/>
    <n v="13.6899"/>
    <n v="-89.197699999999998"/>
    <n v="10535.9"/>
    <n v="0"/>
    <n v="0"/>
    <n v="101"/>
    <s v="_x0000_US"/>
  </r>
  <r>
    <x v="0"/>
    <n v="13.692600000000001"/>
    <n v="-89.224000000000004"/>
    <n v="10535.9"/>
    <n v="0"/>
    <n v="0"/>
    <n v="101"/>
    <s v="_x0000_US"/>
  </r>
  <r>
    <x v="0"/>
    <n v="13.691700000000001"/>
    <n v="-89.186000000000007"/>
    <n v="10536"/>
    <n v="0"/>
    <n v="0"/>
    <n v="101"/>
    <s v="_x0000_US"/>
  </r>
  <r>
    <x v="0"/>
    <n v="13.689399999999999"/>
    <n v="-89.197100000000006"/>
    <n v="10536.1"/>
    <n v="0"/>
    <n v="0"/>
    <n v="101"/>
    <s v="_x0000_US"/>
  </r>
  <r>
    <x v="0"/>
    <n v="13.687099999999999"/>
    <n v="-89.194800000000001"/>
    <n v="10536.5"/>
    <n v="0"/>
    <n v="0"/>
    <n v="101"/>
    <s v="_x0000_US"/>
  </r>
  <r>
    <x v="0"/>
    <n v="13.691700000000001"/>
    <n v="-89.179699999999997"/>
    <n v="10536.6"/>
    <n v="0"/>
    <n v="0"/>
    <n v="101"/>
    <s v="_x0000_US"/>
  </r>
  <r>
    <x v="0"/>
    <n v="13.6944"/>
    <n v="-89.185400000000001"/>
    <n v="10537.3"/>
    <n v="0"/>
    <n v="0"/>
    <n v="101"/>
    <s v="_x0000_US"/>
  </r>
  <r>
    <x v="0"/>
    <n v="13.6927"/>
    <n v="-89.192999999999998"/>
    <n v="10537.7"/>
    <n v="0"/>
    <n v="0"/>
    <n v="101"/>
    <s v="_x0000_US"/>
  </r>
  <r>
    <x v="0"/>
    <n v="13.6866"/>
    <n v="-89.2166"/>
    <n v="10537.8"/>
    <n v="0"/>
    <n v="0"/>
    <n v="101"/>
    <s v="_x0000_US"/>
  </r>
  <r>
    <x v="0"/>
    <n v="13.686400000000001"/>
    <n v="-89.1935"/>
    <n v="10538.1"/>
    <n v="0"/>
    <n v="0"/>
    <n v="101"/>
    <s v="_x0000_US"/>
  </r>
  <r>
    <x v="0"/>
    <n v="13.692600000000001"/>
    <n v="-89.1845"/>
    <n v="10538.3"/>
    <n v="0"/>
    <n v="0"/>
    <n v="101"/>
    <s v="_x0000_US"/>
  </r>
  <r>
    <x v="0"/>
    <n v="13.6905"/>
    <n v="-89.178700000000006"/>
    <n v="10538.3"/>
    <n v="0"/>
    <n v="0"/>
    <n v="101"/>
    <s v="_x0000_US"/>
  </r>
  <r>
    <x v="0"/>
    <n v="13.687099999999999"/>
    <n v="-89.1982"/>
    <n v="10538.6"/>
    <n v="0"/>
    <n v="0"/>
    <n v="101"/>
    <s v="_x0000_US"/>
  </r>
  <r>
    <x v="0"/>
    <n v="13.691700000000001"/>
    <n v="-89.196200000000005"/>
    <n v="10538.8"/>
    <n v="0"/>
    <n v="0"/>
    <n v="101"/>
    <s v="_x0000_US"/>
  </r>
  <r>
    <x v="0"/>
    <n v="13.685600000000001"/>
    <n v="-89.202200000000005"/>
    <n v="10538.8"/>
    <n v="0"/>
    <n v="0"/>
    <n v="101"/>
    <s v="_x0000_US"/>
  </r>
  <r>
    <x v="0"/>
    <n v="13.6899"/>
    <n v="-89.195700000000002"/>
    <n v="10539"/>
    <n v="0"/>
    <n v="0"/>
    <n v="101"/>
    <s v="_x0000_US"/>
  </r>
  <r>
    <x v="0"/>
    <n v="13.6854"/>
    <n v="-89.213200000000001"/>
    <n v="10540.2"/>
    <n v="0"/>
    <n v="0"/>
    <n v="101"/>
    <s v="_x0000_US"/>
  </r>
  <r>
    <x v="0"/>
    <n v="13.6905"/>
    <n v="-89.233699999999999"/>
    <n v="10540.7"/>
    <n v="0"/>
    <n v="0"/>
    <n v="101"/>
    <s v="_x0000_US"/>
  </r>
  <r>
    <x v="0"/>
    <n v="13.691599999999999"/>
    <n v="-89.183499999999995"/>
    <n v="10541.1"/>
    <n v="0"/>
    <n v="0"/>
    <n v="101"/>
    <s v="_x0000_US"/>
  </r>
  <r>
    <x v="0"/>
    <n v="13.694599999999999"/>
    <n v="-89.1751"/>
    <n v="10541.1"/>
    <n v="0"/>
    <n v="0"/>
    <n v="101"/>
    <s v="_x0000_US"/>
  </r>
  <r>
    <x v="0"/>
    <n v="13.6891"/>
    <n v="-89.183800000000005"/>
    <n v="10541.3"/>
    <n v="0"/>
    <n v="0"/>
    <n v="101"/>
    <s v="_x0000_US"/>
  </r>
  <r>
    <x v="0"/>
    <n v="13.6921"/>
    <n v="-89.223699999999994"/>
    <n v="10541.3"/>
    <n v="0"/>
    <n v="0"/>
    <n v="101"/>
    <s v="_x0000_US"/>
  </r>
  <r>
    <x v="0"/>
    <n v="13.691599999999999"/>
    <n v="-89.179699999999997"/>
    <n v="10541.4"/>
    <n v="0"/>
    <n v="0"/>
    <n v="101"/>
    <s v="_x0000_US"/>
  </r>
  <r>
    <x v="0"/>
    <n v="13.6869"/>
    <n v="-89.213200000000001"/>
    <n v="10541.4"/>
    <n v="0"/>
    <n v="0"/>
    <n v="101"/>
    <s v="_x0000_US"/>
  </r>
  <r>
    <x v="0"/>
    <n v="13.6913"/>
    <n v="-89.188100000000006"/>
    <n v="10542"/>
    <n v="0"/>
    <n v="0"/>
    <n v="101"/>
    <s v="_x0000_US"/>
  </r>
  <r>
    <x v="0"/>
    <n v="13.6974"/>
    <n v="-89.171499999999995"/>
    <n v="10542"/>
    <n v="0"/>
    <n v="0"/>
    <n v="101"/>
    <s v="_x0000_US"/>
  </r>
  <r>
    <x v="0"/>
    <n v="13.6907"/>
    <n v="-89.1952"/>
    <n v="10542.5"/>
    <n v="0"/>
    <n v="0"/>
    <n v="101"/>
    <s v="_x0000_US"/>
  </r>
  <r>
    <x v="0"/>
    <n v="13.6898"/>
    <n v="-89.229299999999995"/>
    <n v="10543.9"/>
    <n v="0"/>
    <n v="0"/>
    <n v="101"/>
    <s v="_x0000_US"/>
  </r>
  <r>
    <x v="0"/>
    <n v="13.6906"/>
    <n v="-89.189700000000002"/>
    <n v="10544.2"/>
    <n v="0"/>
    <n v="0"/>
    <n v="101"/>
    <s v="_x0000_US"/>
  </r>
  <r>
    <x v="0"/>
    <n v="13.688800000000001"/>
    <n v="-89.190100000000001"/>
    <n v="10544.6"/>
    <n v="0"/>
    <n v="0"/>
    <n v="101"/>
    <s v="_x0000_US"/>
  </r>
  <r>
    <x v="0"/>
    <n v="13.6891"/>
    <n v="-89.235799999999998"/>
    <n v="10544.6"/>
    <n v="0"/>
    <n v="0"/>
    <n v="101"/>
    <s v="_x0000_US"/>
  </r>
  <r>
    <x v="0"/>
    <n v="13.6944"/>
    <n v="-89.188999999999993"/>
    <n v="10544.9"/>
    <n v="0"/>
    <n v="0"/>
    <n v="101"/>
    <s v="_x0000_US"/>
  </r>
  <r>
    <x v="0"/>
    <n v="13.674200000000001"/>
    <n v="-89.251099999999994"/>
    <n v="10544.9"/>
    <n v="0"/>
    <n v="0"/>
    <n v="101"/>
    <s v="_x0000_US"/>
  </r>
  <r>
    <x v="0"/>
    <n v="13.692500000000001"/>
    <n v="-89.224500000000006"/>
    <n v="10545.2"/>
    <n v="0"/>
    <n v="0"/>
    <n v="101"/>
    <s v="_x0000_US"/>
  </r>
  <r>
    <x v="0"/>
    <n v="13.677099999999999"/>
    <n v="-89.199799999999996"/>
    <n v="10545.4"/>
    <n v="0"/>
    <n v="0"/>
    <n v="101"/>
    <s v="_x0000_US"/>
  </r>
  <r>
    <x v="0"/>
    <n v="13.688599999999999"/>
    <n v="-89.198300000000003"/>
    <n v="10545.6"/>
    <n v="0"/>
    <n v="0"/>
    <n v="101"/>
    <s v="_x0000_US"/>
  </r>
  <r>
    <x v="0"/>
    <n v="13.6911"/>
    <n v="-89.188699999999997"/>
    <n v="10545.7"/>
    <n v="0"/>
    <n v="0"/>
    <n v="101"/>
    <s v="_x0000_US"/>
  </r>
  <r>
    <x v="0"/>
    <n v="13.685499999999999"/>
    <n v="-89.215900000000005"/>
    <n v="10545.8"/>
    <n v="0"/>
    <n v="0"/>
    <n v="101"/>
    <s v="_x0000_US"/>
  </r>
  <r>
    <x v="0"/>
    <n v="13.686500000000001"/>
    <n v="-89.201599999999999"/>
    <n v="10546.7"/>
    <n v="0"/>
    <n v="0"/>
    <n v="101"/>
    <s v="_x0000_US"/>
  </r>
  <r>
    <x v="0"/>
    <n v="13.690200000000001"/>
    <n v="-89.186300000000003"/>
    <n v="10546.8"/>
    <n v="0"/>
    <n v="0"/>
    <n v="101"/>
    <s v="_x0000_US"/>
  </r>
  <r>
    <x v="0"/>
    <n v="13.691000000000001"/>
    <n v="-89.183700000000002"/>
    <n v="10547.5"/>
    <n v="0"/>
    <n v="0"/>
    <n v="101"/>
    <s v="_x0000_US"/>
  </r>
  <r>
    <x v="0"/>
    <n v="13.6899"/>
    <n v="-89.193899999999999"/>
    <n v="10547.7"/>
    <n v="0"/>
    <n v="0"/>
    <n v="101"/>
    <s v="_x0000_US"/>
  </r>
  <r>
    <x v="0"/>
    <n v="13.685600000000001"/>
    <n v="-89.204499999999996"/>
    <n v="10547.8"/>
    <n v="0"/>
    <n v="0"/>
    <n v="101"/>
    <s v="_x0000_US"/>
  </r>
  <r>
    <x v="0"/>
    <n v="13.6942"/>
    <n v="-89.173000000000002"/>
    <n v="10547.8"/>
    <n v="0"/>
    <n v="0"/>
    <n v="101"/>
    <s v="_x0000_US"/>
  </r>
  <r>
    <x v="0"/>
    <n v="13.688800000000001"/>
    <n v="-89.194400000000002"/>
    <n v="10548"/>
    <n v="0"/>
    <n v="0"/>
    <n v="101"/>
    <s v="_x0000_US"/>
  </r>
  <r>
    <x v="0"/>
    <n v="13.6957"/>
    <n v="-89.165999999999997"/>
    <n v="10548"/>
    <n v="0"/>
    <n v="0"/>
    <n v="101"/>
    <s v="_x0000_US"/>
  </r>
  <r>
    <x v="0"/>
    <n v="13.6919"/>
    <n v="-89.196299999999994"/>
    <n v="10548.2"/>
    <n v="0"/>
    <n v="0"/>
    <n v="101"/>
    <s v="_x0000_US"/>
  </r>
  <r>
    <x v="0"/>
    <n v="13.6868"/>
    <n v="-89.182699999999997"/>
    <n v="10548.2"/>
    <n v="0"/>
    <n v="0"/>
    <n v="101"/>
    <s v="_x0000_US"/>
  </r>
  <r>
    <x v="0"/>
    <n v="13.694699999999999"/>
    <n v="-89.185599999999994"/>
    <n v="10548.4"/>
    <n v="0"/>
    <n v="0"/>
    <n v="101"/>
    <s v="_x0000_US"/>
  </r>
  <r>
    <x v="0"/>
    <n v="13.692"/>
    <n v="-89.179100000000005"/>
    <n v="10549"/>
    <n v="0"/>
    <n v="0"/>
    <n v="101"/>
    <s v="_x0000_US"/>
  </r>
  <r>
    <x v="0"/>
    <n v="13.691700000000001"/>
    <n v="-89.221100000000007"/>
    <n v="10549"/>
    <n v="0"/>
    <n v="0"/>
    <n v="101"/>
    <s v="_x0000_US"/>
  </r>
  <r>
    <x v="0"/>
    <n v="13.6944"/>
    <n v="-89.183300000000003"/>
    <n v="10549.7"/>
    <n v="0"/>
    <n v="0"/>
    <n v="101"/>
    <s v="_x0000_US"/>
  </r>
  <r>
    <x v="0"/>
    <n v="13.6945"/>
    <n v="-89.173000000000002"/>
    <n v="10550"/>
    <n v="0"/>
    <n v="0"/>
    <n v="101"/>
    <s v="_x0000_US"/>
  </r>
  <r>
    <x v="0"/>
    <n v="13.6846"/>
    <n v="-89.215599999999995"/>
    <n v="10550.5"/>
    <n v="0"/>
    <n v="0"/>
    <n v="101"/>
    <s v="_x0000_US"/>
  </r>
  <r>
    <x v="0"/>
    <n v="13.686500000000001"/>
    <n v="-89.213099999999997"/>
    <n v="10550.8"/>
    <n v="0"/>
    <n v="0"/>
    <n v="101"/>
    <s v="_x0000_US"/>
  </r>
  <r>
    <x v="0"/>
    <n v="13.6973"/>
    <n v="-89.171700000000001"/>
    <n v="10550.9"/>
    <n v="0"/>
    <n v="0"/>
    <n v="101"/>
    <s v="_x0000_US"/>
  </r>
  <r>
    <x v="0"/>
    <n v="13.6919"/>
    <n v="-89.179100000000005"/>
    <n v="10551.1"/>
    <n v="0"/>
    <n v="0"/>
    <n v="101"/>
    <s v="_x0000_US"/>
  </r>
  <r>
    <x v="0"/>
    <n v="13.688599999999999"/>
    <n v="-89.216300000000004"/>
    <n v="10551.5"/>
    <n v="0"/>
    <n v="0"/>
    <n v="101"/>
    <s v="_x0000_US"/>
  </r>
  <r>
    <x v="0"/>
    <n v="13.691000000000001"/>
    <n v="-89.232799999999997"/>
    <n v="10551.7"/>
    <n v="0"/>
    <n v="0"/>
    <n v="101"/>
    <s v="_x0000_US"/>
  </r>
  <r>
    <x v="0"/>
    <n v="13.6906"/>
    <n v="-89.235299999999995"/>
    <n v="10551.8"/>
    <n v="0"/>
    <n v="0"/>
    <n v="101"/>
    <s v="_x0000_US"/>
  </r>
  <r>
    <x v="0"/>
    <n v="13.686999999999999"/>
    <n v="-89.194800000000001"/>
    <n v="10552.1"/>
    <n v="0"/>
    <n v="0"/>
    <n v="101"/>
    <s v="_x0000_US"/>
  </r>
  <r>
    <x v="0"/>
    <n v="13.693"/>
    <n v="-89.176400000000001"/>
    <n v="10552.2"/>
    <n v="0"/>
    <n v="0"/>
    <n v="101"/>
    <s v="_x0000_US"/>
  </r>
  <r>
    <x v="0"/>
    <n v="13.690799999999999"/>
    <n v="-89.179100000000005"/>
    <n v="10553.1"/>
    <n v="0"/>
    <n v="0"/>
    <n v="101"/>
    <s v="_x0000_US"/>
  </r>
  <r>
    <x v="0"/>
    <n v="13.6936"/>
    <n v="-89.176599999999993"/>
    <n v="10553.3"/>
    <n v="0"/>
    <n v="0"/>
    <n v="101"/>
    <s v="_x0000_US"/>
  </r>
  <r>
    <x v="0"/>
    <n v="13.6907"/>
    <n v="-89.194299999999998"/>
    <n v="10553.7"/>
    <n v="0"/>
    <n v="0"/>
    <n v="101"/>
    <s v="_x0000_US"/>
  </r>
  <r>
    <x v="0"/>
    <n v="13.6889"/>
    <n v="-89.190299999999993"/>
    <n v="10554.2"/>
    <n v="0"/>
    <n v="0"/>
    <n v="101"/>
    <s v="_x0000_US"/>
  </r>
  <r>
    <x v="0"/>
    <n v="13.6876"/>
    <n v="-89.194299999999998"/>
    <n v="10554.2"/>
    <n v="0"/>
    <n v="0"/>
    <n v="101"/>
    <s v="_x0000_US"/>
  </r>
  <r>
    <x v="0"/>
    <n v="13.6942"/>
    <n v="-89.172799999999995"/>
    <n v="10554.5"/>
    <n v="0"/>
    <n v="0"/>
    <n v="101"/>
    <s v="_x0000_US"/>
  </r>
  <r>
    <x v="0"/>
    <n v="13.687200000000001"/>
    <n v="-89.195800000000006"/>
    <n v="10554.8"/>
    <n v="0"/>
    <n v="0"/>
    <n v="101"/>
    <s v="_x0000_US"/>
  </r>
  <r>
    <x v="0"/>
    <n v="13.688700000000001"/>
    <n v="-89.205699999999993"/>
    <n v="10555.2"/>
    <n v="0"/>
    <n v="0"/>
    <n v="101"/>
    <s v="_x0000_US"/>
  </r>
  <r>
    <x v="0"/>
    <n v="13.689399999999999"/>
    <n v="-89.235900000000001"/>
    <n v="10555.3"/>
    <n v="0"/>
    <n v="0"/>
    <n v="101"/>
    <s v="_x0000_US"/>
  </r>
  <r>
    <x v="0"/>
    <n v="13.6776"/>
    <n v="-89.247399999999999"/>
    <n v="10555.5"/>
    <n v="0"/>
    <n v="0"/>
    <n v="101"/>
    <s v="_x0000_US"/>
  </r>
  <r>
    <x v="0"/>
    <n v="13.691700000000001"/>
    <n v="-89.2209"/>
    <n v="10555.5"/>
    <n v="0"/>
    <n v="0"/>
    <n v="101"/>
    <s v="_x0000_US"/>
  </r>
  <r>
    <x v="0"/>
    <n v="13.679"/>
    <n v="-89.1965"/>
    <n v="10555.8"/>
    <n v="0"/>
    <n v="0"/>
    <n v="101"/>
    <s v="_x0000_US"/>
  </r>
  <r>
    <x v="0"/>
    <n v="13.687200000000001"/>
    <n v="-89.195700000000002"/>
    <n v="10556"/>
    <n v="0"/>
    <n v="0"/>
    <n v="101"/>
    <s v="_x0000_US"/>
  </r>
  <r>
    <x v="0"/>
    <n v="13.6934"/>
    <n v="-89.176900000000003"/>
    <n v="10556.4"/>
    <n v="0"/>
    <n v="0"/>
    <n v="101"/>
    <s v="_x0000_US"/>
  </r>
  <r>
    <x v="0"/>
    <n v="13.6881"/>
    <n v="-89.180099999999996"/>
    <n v="10556.6"/>
    <n v="0"/>
    <n v="0"/>
    <n v="101"/>
    <s v="_x0000_US"/>
  </r>
  <r>
    <x v="0"/>
    <n v="13.686400000000001"/>
    <n v="-89.204300000000003"/>
    <n v="10556.8"/>
    <n v="0"/>
    <n v="0"/>
    <n v="101"/>
    <s v="_x0000_US"/>
  </r>
  <r>
    <x v="0"/>
    <n v="13.6906"/>
    <n v="-89.186099999999996"/>
    <n v="10557.1"/>
    <n v="0"/>
    <n v="0"/>
    <n v="101"/>
    <s v="_x0000_US"/>
  </r>
  <r>
    <x v="0"/>
    <n v="13.686500000000001"/>
    <n v="-89.216300000000004"/>
    <n v="10557.3"/>
    <n v="0"/>
    <n v="0"/>
    <n v="101"/>
    <s v="_x0000_US"/>
  </r>
  <r>
    <x v="0"/>
    <n v="13.692500000000001"/>
    <n v="-89.184100000000001"/>
    <n v="10557.4"/>
    <n v="0"/>
    <n v="0"/>
    <n v="101"/>
    <s v="_x0000_US"/>
  </r>
  <r>
    <x v="0"/>
    <n v="13.691800000000001"/>
    <n v="-89.1935"/>
    <n v="10557.4"/>
    <n v="0"/>
    <n v="0"/>
    <n v="101"/>
    <s v="_x0000_US"/>
  </r>
  <r>
    <x v="0"/>
    <n v="13.6913"/>
    <n v="-89.189400000000006"/>
    <n v="10558.1"/>
    <n v="0"/>
    <n v="0"/>
    <n v="101"/>
    <s v="_x0000_US"/>
  </r>
  <r>
    <x v="0"/>
    <n v="13.692399999999999"/>
    <n v="-89.226399999999998"/>
    <n v="10558.6"/>
    <n v="0"/>
    <n v="0"/>
    <n v="101"/>
    <s v="_x0000_US"/>
  </r>
  <r>
    <x v="0"/>
    <n v="13.6877"/>
    <n v="-89.197100000000006"/>
    <n v="10558.8"/>
    <n v="0"/>
    <n v="0"/>
    <n v="101"/>
    <s v="_x0000_US"/>
  </r>
  <r>
    <x v="0"/>
    <n v="13.6775"/>
    <n v="-89.246899999999997"/>
    <n v="10559"/>
    <n v="0"/>
    <n v="0"/>
    <n v="101"/>
    <s v="_x0000_US"/>
  </r>
  <r>
    <x v="0"/>
    <n v="13.692"/>
    <n v="-89.185599999999994"/>
    <n v="10559.8"/>
    <n v="0"/>
    <n v="0"/>
    <n v="101"/>
    <s v="_x0000_US"/>
  </r>
  <r>
    <x v="0"/>
    <n v="13.6943"/>
    <n v="-89.183300000000003"/>
    <n v="10560"/>
    <n v="0"/>
    <n v="0"/>
    <n v="101"/>
    <s v="_x0000_US"/>
  </r>
  <r>
    <x v="0"/>
    <n v="13.691000000000001"/>
    <n v="-89.229500000000002"/>
    <n v="10560.1"/>
    <n v="0"/>
    <n v="0"/>
    <n v="101"/>
    <s v="_x0000_US"/>
  </r>
  <r>
    <x v="0"/>
    <n v="13.6906"/>
    <n v="-89.2346"/>
    <n v="10561"/>
    <n v="0"/>
    <n v="0"/>
    <n v="101"/>
    <s v="_x0000_US"/>
  </r>
  <r>
    <x v="0"/>
    <n v="13.6913"/>
    <n v="-89.188000000000002"/>
    <n v="10561.4"/>
    <n v="0"/>
    <n v="0"/>
    <n v="101"/>
    <s v="_x0000_US"/>
  </r>
  <r>
    <x v="0"/>
    <n v="13.6922"/>
    <n v="-89.2226"/>
    <n v="10561.6"/>
    <n v="0"/>
    <n v="0"/>
    <n v="101"/>
    <s v="_x0000_US"/>
  </r>
  <r>
    <x v="0"/>
    <n v="13.6868"/>
    <n v="-89.194199999999995"/>
    <n v="10561.8"/>
    <n v="0"/>
    <n v="0"/>
    <n v="101"/>
    <s v="_x0000_US"/>
  </r>
  <r>
    <x v="0"/>
    <n v="13.6919"/>
    <n v="-89.224199999999996"/>
    <n v="10562.1"/>
    <n v="0"/>
    <n v="0"/>
    <n v="101"/>
    <s v="_x0000_US"/>
  </r>
  <r>
    <x v="0"/>
    <n v="13.691000000000001"/>
    <n v="-89.183300000000003"/>
    <n v="10562.3"/>
    <n v="0"/>
    <n v="0"/>
    <n v="101"/>
    <s v="_x0000_US"/>
  </r>
  <r>
    <x v="0"/>
    <n v="13.6913"/>
    <n v="-89.226500000000001"/>
    <n v="10562.3"/>
    <n v="0"/>
    <n v="0"/>
    <n v="101"/>
    <s v="_x0000_US"/>
  </r>
  <r>
    <x v="0"/>
    <n v="13.6899"/>
    <n v="-89.186099999999996"/>
    <n v="10562.8"/>
    <n v="0"/>
    <n v="0"/>
    <n v="101"/>
    <s v="_x0000_US"/>
  </r>
  <r>
    <x v="0"/>
    <n v="13.689399999999999"/>
    <n v="-89.185599999999994"/>
    <n v="10562.9"/>
    <n v="0"/>
    <n v="0"/>
    <n v="101"/>
    <s v="_x0000_US"/>
  </r>
  <r>
    <x v="0"/>
    <n v="13.6965"/>
    <n v="-89.1721"/>
    <n v="10562.9"/>
    <n v="0"/>
    <n v="0"/>
    <n v="101"/>
    <s v="_x0000_US"/>
  </r>
  <r>
    <x v="0"/>
    <n v="13.6943"/>
    <n v="-89.183300000000003"/>
    <n v="10563"/>
    <n v="0"/>
    <n v="0"/>
    <n v="101"/>
    <s v="_x0000_US"/>
  </r>
  <r>
    <x v="0"/>
    <n v="13.692600000000001"/>
    <n v="-89.223399999999998"/>
    <n v="10563.1"/>
    <n v="0"/>
    <n v="0"/>
    <n v="101"/>
    <s v="_x0000_US"/>
  </r>
  <r>
    <x v="0"/>
    <n v="13.691700000000001"/>
    <n v="-89.179199999999994"/>
    <n v="10563.2"/>
    <n v="0"/>
    <n v="0"/>
    <n v="101"/>
    <s v="_x0000_US"/>
  </r>
  <r>
    <x v="0"/>
    <n v="13.6945"/>
    <n v="-89.185500000000005"/>
    <n v="10563.4"/>
    <n v="0"/>
    <n v="0"/>
    <n v="101"/>
    <s v="_x0000_US"/>
  </r>
  <r>
    <x v="0"/>
    <n v="13.688000000000001"/>
    <n v="-89.217100000000002"/>
    <n v="10563.6"/>
    <n v="0"/>
    <n v="0"/>
    <n v="101"/>
    <s v="_x0000_US"/>
  </r>
  <r>
    <x v="0"/>
    <n v="13.6929"/>
    <n v="-89.224800000000002"/>
    <n v="10563.6"/>
    <n v="0"/>
    <n v="0"/>
    <n v="101"/>
    <s v="_x0000_US"/>
  </r>
  <r>
    <x v="0"/>
    <n v="13.692"/>
    <n v="-89.223500000000001"/>
    <n v="10564.2"/>
    <n v="0"/>
    <n v="0"/>
    <n v="101"/>
    <s v="_x0000_US"/>
  </r>
  <r>
    <x v="0"/>
    <n v="13.690899999999999"/>
    <n v="-89.189700000000002"/>
    <n v="10564.3"/>
    <n v="0"/>
    <n v="0"/>
    <n v="101"/>
    <s v="_x0000_US"/>
  </r>
  <r>
    <x v="0"/>
    <n v="13.690300000000001"/>
    <n v="-89.234200000000001"/>
    <n v="10564.3"/>
    <n v="0"/>
    <n v="0"/>
    <n v="101"/>
    <s v="_x0000_US"/>
  </r>
  <r>
    <x v="0"/>
    <n v="13.686999999999999"/>
    <n v="-89.194599999999994"/>
    <n v="10564.5"/>
    <n v="0"/>
    <n v="0"/>
    <n v="101"/>
    <s v="_x0000_US"/>
  </r>
  <r>
    <x v="0"/>
    <n v="13.6899"/>
    <n v="-89.190200000000004"/>
    <n v="10564.6"/>
    <n v="0"/>
    <n v="0"/>
    <n v="101"/>
    <s v="_x0000_US"/>
  </r>
  <r>
    <x v="0"/>
    <n v="13.689500000000001"/>
    <n v="-89.185500000000005"/>
    <n v="10565.2"/>
    <n v="0"/>
    <n v="0"/>
    <n v="101"/>
    <s v="_x0000_US"/>
  </r>
  <r>
    <x v="0"/>
    <n v="13.6913"/>
    <n v="-89.2196"/>
    <n v="10565.2"/>
    <n v="0"/>
    <n v="0"/>
    <n v="101"/>
    <s v="_x0000_US"/>
  </r>
  <r>
    <x v="0"/>
    <n v="13.6921"/>
    <n v="-89.223500000000001"/>
    <n v="10566"/>
    <n v="0"/>
    <n v="0"/>
    <n v="101"/>
    <s v="_x0000_US"/>
  </r>
  <r>
    <x v="0"/>
    <n v="13.6753"/>
    <n v="-89.2"/>
    <n v="10566.5"/>
    <n v="0"/>
    <n v="0"/>
    <n v="101"/>
    <s v="_x0000_US"/>
  </r>
  <r>
    <x v="0"/>
    <n v="13.6799"/>
    <n v="-89.194599999999994"/>
    <n v="10566.7"/>
    <n v="0"/>
    <n v="0"/>
    <n v="101"/>
    <s v="_x0000_US"/>
  </r>
  <r>
    <x v="0"/>
    <n v="13.6905"/>
    <n v="-89.195700000000002"/>
    <n v="10566.9"/>
    <n v="0"/>
    <n v="0"/>
    <n v="101"/>
    <s v="_x0000_US"/>
  </r>
  <r>
    <x v="0"/>
    <n v="13.6905"/>
    <n v="-89.181399999999996"/>
    <n v="10567.2"/>
    <n v="0"/>
    <n v="0"/>
    <n v="101"/>
    <s v="_x0000_US"/>
  </r>
  <r>
    <x v="0"/>
    <n v="13.69"/>
    <n v="-89.236199999999997"/>
    <n v="10567.2"/>
    <n v="0"/>
    <n v="0"/>
    <n v="101"/>
    <s v="_x0000_US"/>
  </r>
  <r>
    <x v="0"/>
    <n v="13.692399999999999"/>
    <n v="-89.222800000000007"/>
    <n v="10567.3"/>
    <n v="0"/>
    <n v="0"/>
    <n v="101"/>
    <s v="_x0000_US"/>
  </r>
  <r>
    <x v="0"/>
    <n v="13.687799999999999"/>
    <n v="-89.1798"/>
    <n v="10567.6"/>
    <n v="0"/>
    <n v="0"/>
    <n v="101"/>
    <s v="_x0000_US"/>
  </r>
  <r>
    <x v="0"/>
    <n v="13.6752"/>
    <n v="-89.199700000000007"/>
    <n v="10567.7"/>
    <n v="0"/>
    <n v="0"/>
    <n v="101"/>
    <s v="_x0000_US"/>
  </r>
  <r>
    <x v="0"/>
    <n v="13.6854"/>
    <n v="-89.193299999999994"/>
    <n v="10568"/>
    <n v="0"/>
    <n v="0"/>
    <n v="101"/>
    <s v="_x0000_US"/>
  </r>
  <r>
    <x v="0"/>
    <n v="13.6899"/>
    <n v="-89.193299999999994"/>
    <n v="10568.7"/>
    <n v="0"/>
    <n v="0"/>
    <n v="101"/>
    <s v="_x0000_US"/>
  </r>
  <r>
    <x v="0"/>
    <n v="13.6852"/>
    <n v="-89.216800000000006"/>
    <n v="10569"/>
    <n v="0"/>
    <n v="0"/>
    <n v="101"/>
    <s v="_x0000_US"/>
  </r>
  <r>
    <x v="0"/>
    <n v="13.689500000000001"/>
    <n v="-89.1798"/>
    <n v="10569.1"/>
    <n v="0"/>
    <n v="0"/>
    <n v="101"/>
    <s v="_x0000_US"/>
  </r>
  <r>
    <x v="0"/>
    <n v="13.6914"/>
    <n v="-89.196899999999999"/>
    <n v="10569.3"/>
    <n v="0"/>
    <n v="0"/>
    <n v="101"/>
    <s v="_x0000_US"/>
  </r>
  <r>
    <x v="0"/>
    <n v="13.6874"/>
    <n v="-89.193700000000007"/>
    <n v="10569.3"/>
    <n v="0"/>
    <n v="0"/>
    <n v="101"/>
    <s v="_x0000_US"/>
  </r>
  <r>
    <x v="0"/>
    <n v="13.6884"/>
    <n v="-89.2042"/>
    <n v="10569.8"/>
    <n v="0"/>
    <n v="0"/>
    <n v="101"/>
    <s v="_x0000_US"/>
  </r>
  <r>
    <x v="0"/>
    <n v="13.6852"/>
    <n v="-89.217399999999998"/>
    <n v="10569.8"/>
    <n v="0"/>
    <n v="0"/>
    <n v="101"/>
    <s v="_x0000_US"/>
  </r>
  <r>
    <x v="0"/>
    <n v="13.6876"/>
    <n v="-89.1935"/>
    <n v="10570.9"/>
    <n v="0"/>
    <n v="0"/>
    <n v="101"/>
    <s v="_x0000_US"/>
  </r>
  <r>
    <x v="0"/>
    <n v="13.687200000000001"/>
    <n v="-89.194100000000006"/>
    <n v="10571"/>
    <n v="0"/>
    <n v="0"/>
    <n v="101"/>
    <s v="_x0000_US"/>
  </r>
  <r>
    <x v="0"/>
    <n v="13.690300000000001"/>
    <n v="-89.184200000000004"/>
    <n v="10571.2"/>
    <n v="0"/>
    <n v="0"/>
    <n v="101"/>
    <s v="_x0000_US"/>
  </r>
  <r>
    <x v="0"/>
    <n v="13.6869"/>
    <n v="-89.214799999999997"/>
    <n v="10571.2"/>
    <n v="0"/>
    <n v="0"/>
    <n v="101"/>
    <s v="_x0000_US"/>
  </r>
  <r>
    <x v="0"/>
    <n v="13.684900000000001"/>
    <n v="-89.210899999999995"/>
    <n v="10571.4"/>
    <n v="0"/>
    <n v="0"/>
    <n v="101"/>
    <s v="_x0000_US"/>
  </r>
  <r>
    <x v="0"/>
    <n v="13.6915"/>
    <n v="-89.233199999999997"/>
    <n v="10571.9"/>
    <n v="0"/>
    <n v="0"/>
    <n v="101"/>
    <s v="_x0000_US"/>
  </r>
  <r>
    <x v="0"/>
    <n v="13.693"/>
    <n v="-89.184799999999996"/>
    <n v="10572.2"/>
    <n v="0"/>
    <n v="0"/>
    <n v="101"/>
    <s v="_x0000_US"/>
  </r>
  <r>
    <x v="0"/>
    <n v="13.691000000000001"/>
    <n v="-89.233699999999999"/>
    <n v="10572.5"/>
    <n v="0"/>
    <n v="0"/>
    <n v="101"/>
    <s v="_x0000_US"/>
  </r>
  <r>
    <x v="0"/>
    <n v="13.691599999999999"/>
    <n v="-89.185199999999995"/>
    <n v="10572.6"/>
    <n v="0"/>
    <n v="0"/>
    <n v="101"/>
    <s v="_x0000_US"/>
  </r>
  <r>
    <x v="0"/>
    <n v="13.686"/>
    <n v="-89.193899999999999"/>
    <n v="10572.8"/>
    <n v="0"/>
    <n v="0"/>
    <n v="101"/>
    <s v="_x0000_US"/>
  </r>
  <r>
    <x v="0"/>
    <n v="13.685499999999999"/>
    <n v="-89.216300000000004"/>
    <n v="10572.9"/>
    <n v="0"/>
    <n v="0"/>
    <n v="101"/>
    <s v="_x0000_US"/>
  </r>
  <r>
    <x v="0"/>
    <n v="13.6953"/>
    <n v="-89.171899999999994"/>
    <n v="10573"/>
    <n v="0"/>
    <n v="0"/>
    <n v="101"/>
    <s v="_x0000_US"/>
  </r>
  <r>
    <x v="0"/>
    <n v="13.692500000000001"/>
    <n v="-89.174099999999996"/>
    <n v="10573.5"/>
    <n v="0"/>
    <n v="0"/>
    <n v="101"/>
    <s v="_x0000_US"/>
  </r>
  <r>
    <x v="0"/>
    <n v="13.691700000000001"/>
    <n v="-89.197599999999994"/>
    <n v="10573.6"/>
    <n v="0"/>
    <n v="0"/>
    <n v="101"/>
    <s v="_x0000_US"/>
  </r>
  <r>
    <x v="0"/>
    <n v="13.691000000000001"/>
    <n v="-89.233699999999999"/>
    <n v="10573.6"/>
    <n v="0"/>
    <n v="0"/>
    <n v="101"/>
    <s v="_x0000_US"/>
  </r>
  <r>
    <x v="0"/>
    <n v="13.690200000000001"/>
    <n v="-89.195700000000002"/>
    <n v="10573.7"/>
    <n v="0"/>
    <n v="0"/>
    <n v="101"/>
    <s v="_x0000_US"/>
  </r>
  <r>
    <x v="0"/>
    <n v="13.6913"/>
    <n v="-89.226900000000001"/>
    <n v="10574.2"/>
    <n v="0"/>
    <n v="0"/>
    <n v="101"/>
    <s v="_x0000_US"/>
  </r>
  <r>
    <x v="0"/>
    <n v="13.6873"/>
    <n v="-89.2149"/>
    <n v="10574.3"/>
    <n v="0"/>
    <n v="0"/>
    <n v="101"/>
    <s v="_x0000_US"/>
  </r>
  <r>
    <x v="0"/>
    <n v="13.691700000000001"/>
    <n v="-89.232900000000001"/>
    <n v="10574.3"/>
    <n v="0"/>
    <n v="0"/>
    <n v="101"/>
    <s v="_x0000_US"/>
  </r>
  <r>
    <x v="0"/>
    <n v="13.688000000000001"/>
    <n v="-89.1815"/>
    <n v="10574.4"/>
    <n v="0"/>
    <n v="0"/>
    <n v="101"/>
    <s v="_x0000_US"/>
  </r>
  <r>
    <x v="0"/>
    <n v="13.6934"/>
    <n v="-89.190600000000003"/>
    <n v="10574.4"/>
    <n v="0"/>
    <n v="0"/>
    <n v="101"/>
    <s v="_x0000_US"/>
  </r>
  <r>
    <x v="0"/>
    <n v="13.685"/>
    <n v="-89.212400000000002"/>
    <n v="10574.6"/>
    <n v="0"/>
    <n v="0"/>
    <n v="101"/>
    <s v="_x0000_US"/>
  </r>
  <r>
    <x v="0"/>
    <n v="13.673"/>
    <n v="-89.204300000000003"/>
    <n v="10574.7"/>
    <n v="0"/>
    <n v="0"/>
    <n v="101"/>
    <s v="_x0000_US"/>
  </r>
  <r>
    <x v="0"/>
    <n v="13.6906"/>
    <n v="-89.185400000000001"/>
    <n v="10574.8"/>
    <n v="0"/>
    <n v="0"/>
    <n v="101"/>
    <s v="_x0000_US"/>
  </r>
  <r>
    <x v="0"/>
    <n v="13.694100000000001"/>
    <n v="-89.175200000000004"/>
    <n v="10574.8"/>
    <n v="0"/>
    <n v="0"/>
    <n v="101"/>
    <s v="_x0000_US"/>
  </r>
  <r>
    <x v="0"/>
    <n v="13.6915"/>
    <n v="-89.189400000000006"/>
    <n v="10574.9"/>
    <n v="0"/>
    <n v="0"/>
    <n v="101"/>
    <s v="_x0000_US"/>
  </r>
  <r>
    <x v="0"/>
    <n v="13.6914"/>
    <n v="-89.186400000000006"/>
    <n v="10575.1"/>
    <n v="0"/>
    <n v="0"/>
    <n v="101"/>
    <s v="_x0000_US"/>
  </r>
  <r>
    <x v="0"/>
    <n v="13.685499999999999"/>
    <n v="-89.214200000000005"/>
    <n v="10575.3"/>
    <n v="0"/>
    <n v="0"/>
    <n v="101"/>
    <s v="_x0000_US"/>
  </r>
  <r>
    <x v="0"/>
    <n v="13.6906"/>
    <n v="-89.186000000000007"/>
    <n v="10575.7"/>
    <n v="0"/>
    <n v="0"/>
    <n v="101"/>
    <s v="_x0000_US"/>
  </r>
  <r>
    <x v="0"/>
    <n v="13.684699999999999"/>
    <n v="-89.211699999999993"/>
    <n v="10576.4"/>
    <n v="0"/>
    <n v="0"/>
    <n v="101"/>
    <s v="_x0000_US"/>
  </r>
  <r>
    <x v="0"/>
    <n v="13.6851"/>
    <n v="-89.2136"/>
    <n v="10576.5"/>
    <n v="0"/>
    <n v="0"/>
    <n v="101"/>
    <s v="_x0000_US"/>
  </r>
  <r>
    <x v="0"/>
    <n v="13.679399999999999"/>
    <n v="-89.194100000000006"/>
    <n v="10576.6"/>
    <n v="0"/>
    <n v="0"/>
    <n v="101"/>
    <s v="_x0000_US"/>
  </r>
  <r>
    <x v="0"/>
    <n v="13.6876"/>
    <n v="-89.179699999999997"/>
    <n v="10576.9"/>
    <n v="0"/>
    <n v="0"/>
    <n v="101"/>
    <s v="_x0000_US"/>
  </r>
  <r>
    <x v="0"/>
    <n v="13.692"/>
    <n v="-89.224900000000005"/>
    <n v="10577.2"/>
    <n v="0"/>
    <n v="0"/>
    <n v="101"/>
    <s v="_x0000_US"/>
  </r>
  <r>
    <x v="0"/>
    <n v="13.6724"/>
    <n v="-89.204400000000007"/>
    <n v="10577.6"/>
    <n v="0"/>
    <n v="0"/>
    <n v="101"/>
    <s v="_x0000_US"/>
  </r>
  <r>
    <x v="0"/>
    <n v="13.6914"/>
    <n v="-89.233800000000002"/>
    <n v="10577.6"/>
    <n v="0"/>
    <n v="0"/>
    <n v="101"/>
    <s v="_x0000_US"/>
  </r>
  <r>
    <x v="0"/>
    <n v="13.6873"/>
    <n v="-89.195700000000002"/>
    <n v="10577.7"/>
    <n v="0"/>
    <n v="0"/>
    <n v="101"/>
    <s v="_x0000_US"/>
  </r>
  <r>
    <x v="0"/>
    <n v="13.6744"/>
    <n v="-89.1995"/>
    <n v="10577.7"/>
    <n v="0"/>
    <n v="0"/>
    <n v="101"/>
    <s v="_x0000_US"/>
  </r>
  <r>
    <x v="0"/>
    <n v="13.687200000000001"/>
    <n v="-89.213999999999999"/>
    <n v="10578"/>
    <n v="0"/>
    <n v="0"/>
    <n v="101"/>
    <s v="_x0000_US"/>
  </r>
  <r>
    <x v="0"/>
    <n v="13.6854"/>
    <n v="-89.204400000000007"/>
    <n v="10578.2"/>
    <n v="0"/>
    <n v="0"/>
    <n v="101"/>
    <s v="_x0000_US"/>
  </r>
  <r>
    <x v="0"/>
    <n v="13.6851"/>
    <n v="-89.202100000000002"/>
    <n v="10578.6"/>
    <n v="0"/>
    <n v="0"/>
    <n v="101"/>
    <s v="_x0000_US"/>
  </r>
  <r>
    <x v="0"/>
    <n v="13.6965"/>
    <n v="-89.172200000000004"/>
    <n v="10578.7"/>
    <n v="0"/>
    <n v="0"/>
    <n v="101"/>
    <s v="_x0000_US"/>
  </r>
  <r>
    <x v="0"/>
    <n v="13.6919"/>
    <n v="-89.194400000000002"/>
    <n v="10578.8"/>
    <n v="0"/>
    <n v="0"/>
    <n v="101"/>
    <s v="_x0000_US"/>
  </r>
  <r>
    <x v="0"/>
    <n v="13.696"/>
    <n v="-89.172200000000004"/>
    <n v="10578.9"/>
    <n v="0"/>
    <n v="0"/>
    <n v="101"/>
    <s v="_x0000_US"/>
  </r>
  <r>
    <x v="0"/>
    <n v="13.6868"/>
    <n v="-89.182199999999995"/>
    <n v="10579.2"/>
    <n v="0"/>
    <n v="0"/>
    <n v="101"/>
    <s v="_x0000_US"/>
  </r>
  <r>
    <x v="0"/>
    <n v="13.692"/>
    <n v="-89.179500000000004"/>
    <n v="10580"/>
    <n v="0"/>
    <n v="0"/>
    <n v="101"/>
    <s v="_x0000_US"/>
  </r>
  <r>
    <x v="0"/>
    <n v="13.6876"/>
    <n v="-89.216499999999996"/>
    <n v="10580.4"/>
    <n v="0"/>
    <n v="0"/>
    <n v="101"/>
    <s v="_x0000_US"/>
  </r>
  <r>
    <x v="0"/>
    <n v="13.6868"/>
    <n v="-89.181399999999996"/>
    <n v="10580.6"/>
    <n v="0"/>
    <n v="0"/>
    <n v="101"/>
    <s v="_x0000_US"/>
  </r>
  <r>
    <x v="0"/>
    <n v="13.687200000000001"/>
    <n v="-89.182299999999998"/>
    <n v="10581"/>
    <n v="0"/>
    <n v="0"/>
    <n v="101"/>
    <s v="_x0000_US"/>
  </r>
  <r>
    <x v="0"/>
    <n v="13.695399999999999"/>
    <n v="-89.1738"/>
    <n v="10582.2"/>
    <n v="0"/>
    <n v="0"/>
    <n v="101"/>
    <s v="_x0000_US"/>
  </r>
  <r>
    <x v="0"/>
    <n v="13.6904"/>
    <n v="-89.233800000000002"/>
    <n v="10582.2"/>
    <n v="0"/>
    <n v="0"/>
    <n v="101"/>
    <s v="_x0000_US"/>
  </r>
  <r>
    <x v="0"/>
    <n v="13.6799"/>
    <n v="-89.195599999999999"/>
    <n v="10582.4"/>
    <n v="0"/>
    <n v="0"/>
    <n v="101"/>
    <s v="_x0000_US"/>
  </r>
  <r>
    <x v="0"/>
    <n v="13.693199999999999"/>
    <n v="-89.177499999999995"/>
    <n v="10583.1"/>
    <n v="0"/>
    <n v="0"/>
    <n v="101"/>
    <s v="_x0000_US"/>
  </r>
  <r>
    <x v="0"/>
    <n v="13.694599999999999"/>
    <n v="-89.174000000000007"/>
    <n v="10583.6"/>
    <n v="0"/>
    <n v="0"/>
    <n v="101"/>
    <s v="_x0000_US"/>
  </r>
  <r>
    <x v="0"/>
    <n v="13.6859"/>
    <n v="-89.214299999999994"/>
    <n v="10583.8"/>
    <n v="0"/>
    <n v="0"/>
    <n v="101"/>
    <s v="_x0000_US"/>
  </r>
  <r>
    <x v="0"/>
    <n v="13.6792"/>
    <n v="-89.196600000000004"/>
    <n v="10584.4"/>
    <n v="0"/>
    <n v="0"/>
    <n v="101"/>
    <s v="_x0000_US"/>
  </r>
  <r>
    <x v="0"/>
    <n v="13.6906"/>
    <n v="-89.189099999999996"/>
    <n v="10584.8"/>
    <n v="0"/>
    <n v="0"/>
    <n v="101"/>
    <s v="_x0000_US"/>
  </r>
  <r>
    <x v="0"/>
    <n v="13.6934"/>
    <n v="-89.176000000000002"/>
    <n v="10584.9"/>
    <n v="0"/>
    <n v="0"/>
    <n v="101"/>
    <s v="_x0000_US"/>
  </r>
  <r>
    <x v="0"/>
    <n v="13.6866"/>
    <n v="-89.190899999999999"/>
    <n v="10585.5"/>
    <n v="0"/>
    <n v="0"/>
    <n v="101"/>
    <s v="_x0000_US"/>
  </r>
  <r>
    <x v="0"/>
    <n v="13.686400000000001"/>
    <n v="-89.203199999999995"/>
    <n v="10585.7"/>
    <n v="0"/>
    <n v="0"/>
    <n v="101"/>
    <s v="_x0000_US"/>
  </r>
  <r>
    <x v="0"/>
    <n v="13.6898"/>
    <n v="-89.177700000000002"/>
    <n v="10586"/>
    <n v="0"/>
    <n v="0"/>
    <n v="101"/>
    <s v="_x0000_US"/>
  </r>
  <r>
    <x v="0"/>
    <n v="13.6744"/>
    <n v="-89.199200000000005"/>
    <n v="10586.6"/>
    <n v="0"/>
    <n v="0"/>
    <n v="101"/>
    <s v="_x0000_US"/>
  </r>
  <r>
    <x v="0"/>
    <n v="13.6889"/>
    <n v="-89.203999999999994"/>
    <n v="10586.6"/>
    <n v="0"/>
    <n v="0"/>
    <n v="101"/>
    <s v="_x0000_US"/>
  </r>
  <r>
    <x v="0"/>
    <n v="13.6867"/>
    <n v="-89.201499999999996"/>
    <n v="10587.1"/>
    <n v="0"/>
    <n v="0"/>
    <n v="101"/>
    <s v="_x0000_US"/>
  </r>
  <r>
    <x v="0"/>
    <n v="13.6914"/>
    <n v="-89.233099999999993"/>
    <n v="10587.1"/>
    <n v="0"/>
    <n v="0"/>
    <n v="101"/>
    <s v="_x0000_US"/>
  </r>
  <r>
    <x v="0"/>
    <n v="13.6953"/>
    <n v="-89.1738"/>
    <n v="10587.2"/>
    <n v="0"/>
    <n v="0"/>
    <n v="101"/>
    <s v="_x0000_US"/>
  </r>
  <r>
    <x v="0"/>
    <n v="13.6945"/>
    <n v="-89.173000000000002"/>
    <n v="10587.2"/>
    <n v="0"/>
    <n v="0"/>
    <n v="101"/>
    <s v="_x0000_US"/>
  </r>
  <r>
    <x v="0"/>
    <n v="13.674200000000001"/>
    <n v="-89.251099999999994"/>
    <n v="10587.4"/>
    <n v="0"/>
    <n v="0"/>
    <n v="101"/>
    <s v="_x0000_US"/>
  </r>
  <r>
    <x v="0"/>
    <n v="13.677199999999999"/>
    <n v="-89.247500000000002"/>
    <n v="10587.5"/>
    <n v="0"/>
    <n v="0"/>
    <n v="101"/>
    <s v="_x0000_US"/>
  </r>
  <r>
    <x v="0"/>
    <n v="13.6774"/>
    <n v="-89.246300000000005"/>
    <n v="10587.8"/>
    <n v="0"/>
    <n v="0"/>
    <n v="101"/>
    <s v="_x0000_US"/>
  </r>
  <r>
    <x v="0"/>
    <n v="13.687799999999999"/>
    <n v="-89.18"/>
    <n v="10587.9"/>
    <n v="0"/>
    <n v="0"/>
    <n v="101"/>
    <s v="_x0000_US"/>
  </r>
  <r>
    <x v="0"/>
    <n v="13.680899999999999"/>
    <n v="-89.195800000000006"/>
    <n v="10588.2"/>
    <n v="0"/>
    <n v="0"/>
    <n v="101"/>
    <s v="_x0000_US"/>
  </r>
  <r>
    <x v="0"/>
    <n v="13.6869"/>
    <n v="-89.213399999999993"/>
    <n v="10588.4"/>
    <n v="0"/>
    <n v="0"/>
    <n v="101"/>
    <s v="_x0000_US"/>
  </r>
  <r>
    <x v="0"/>
    <n v="13.689500000000001"/>
    <n v="-89.185199999999995"/>
    <n v="10589"/>
    <n v="0"/>
    <n v="0"/>
    <n v="101"/>
    <s v="_x0000_US"/>
  </r>
  <r>
    <x v="0"/>
    <n v="13.695"/>
    <n v="-89.174000000000007"/>
    <n v="10589.6"/>
    <n v="0"/>
    <n v="0"/>
    <n v="101"/>
    <s v="_x0000_US"/>
  </r>
  <r>
    <x v="0"/>
    <n v="13.6898"/>
    <n v="-89.216700000000003"/>
    <n v="10590"/>
    <n v="0"/>
    <n v="0"/>
    <n v="101"/>
    <s v="_x0000_US"/>
  </r>
  <r>
    <x v="0"/>
    <n v="13.691700000000001"/>
    <n v="-89.186499999999995"/>
    <n v="10590.1"/>
    <n v="0"/>
    <n v="0"/>
    <n v="101"/>
    <s v="_x0000_US"/>
  </r>
  <r>
    <x v="0"/>
    <n v="13.6877"/>
    <n v="-89.180499999999995"/>
    <n v="10590.4"/>
    <n v="0"/>
    <n v="0"/>
    <n v="101"/>
    <s v="_x0000_US"/>
  </r>
  <r>
    <x v="0"/>
    <n v="13.686400000000001"/>
    <n v="-89.213399999999993"/>
    <n v="10590.4"/>
    <n v="0"/>
    <n v="0"/>
    <n v="101"/>
    <s v="_x0000_US"/>
  </r>
  <r>
    <x v="0"/>
    <n v="13.6928"/>
    <n v="-89.189899999999994"/>
    <n v="10591"/>
    <n v="0"/>
    <n v="0"/>
    <n v="101"/>
    <s v="_x0000_US"/>
  </r>
  <r>
    <x v="0"/>
    <n v="13.6915"/>
    <n v="-89.189300000000003"/>
    <n v="10591.1"/>
    <n v="0"/>
    <n v="0"/>
    <n v="101"/>
    <s v="_x0000_US"/>
  </r>
  <r>
    <x v="0"/>
    <n v="13.6927"/>
    <n v="-89.179500000000004"/>
    <n v="10591.3"/>
    <n v="0"/>
    <n v="0"/>
    <n v="101"/>
    <s v="_x0000_US"/>
  </r>
  <r>
    <x v="0"/>
    <n v="13.6876"/>
    <n v="-89.179699999999997"/>
    <n v="10591.4"/>
    <n v="0"/>
    <n v="0"/>
    <n v="101"/>
    <s v="_x0000_US"/>
  </r>
  <r>
    <x v="0"/>
    <n v="13.672599999999999"/>
    <n v="-89.204700000000003"/>
    <n v="10591.7"/>
    <n v="0"/>
    <n v="0"/>
    <n v="101"/>
    <s v="_x0000_US"/>
  </r>
  <r>
    <x v="0"/>
    <n v="13.674200000000001"/>
    <n v="-89.201800000000006"/>
    <n v="10591.7"/>
    <n v="0"/>
    <n v="0"/>
    <n v="101"/>
    <s v="_x0000_US"/>
  </r>
  <r>
    <x v="0"/>
    <n v="13.6922"/>
    <n v="-89.178899999999999"/>
    <n v="10592"/>
    <n v="0"/>
    <n v="0"/>
    <n v="101"/>
    <s v="_x0000_US"/>
  </r>
  <r>
    <x v="0"/>
    <n v="13.6921"/>
    <n v="-89.222300000000004"/>
    <n v="10592"/>
    <n v="0"/>
    <n v="0"/>
    <n v="101"/>
    <s v="_x0000_US"/>
  </r>
  <r>
    <x v="0"/>
    <n v="13.69"/>
    <n v="-89.234700000000004"/>
    <n v="10592.2"/>
    <n v="0"/>
    <n v="0"/>
    <n v="101"/>
    <s v="_x0000_US"/>
  </r>
  <r>
    <x v="0"/>
    <n v="13.689500000000001"/>
    <n v="-89.203000000000003"/>
    <n v="10592.4"/>
    <n v="0"/>
    <n v="0"/>
    <n v="101"/>
    <s v="_x0000_US"/>
  </r>
  <r>
    <x v="0"/>
    <n v="13.6911"/>
    <n v="-89.234399999999994"/>
    <n v="10592.5"/>
    <n v="0"/>
    <n v="0"/>
    <n v="101"/>
    <s v="_x0000_US"/>
  </r>
  <r>
    <x v="0"/>
    <n v="13.692600000000001"/>
    <n v="-89.223500000000001"/>
    <n v="10592.5"/>
    <n v="0"/>
    <n v="0"/>
    <n v="101"/>
    <s v="_x0000_US"/>
  </r>
  <r>
    <x v="0"/>
    <n v="13.6873"/>
    <n v="-89.215599999999995"/>
    <n v="10592.8"/>
    <n v="0"/>
    <n v="0"/>
    <n v="101"/>
    <s v="_x0000_US"/>
  </r>
  <r>
    <x v="0"/>
    <n v="13.6853"/>
    <n v="-89.2166"/>
    <n v="10592.8"/>
    <n v="0"/>
    <n v="0"/>
    <n v="101"/>
    <s v="_x0000_US"/>
  </r>
  <r>
    <x v="0"/>
    <n v="13.6907"/>
    <n v="-89.187399999999997"/>
    <n v="10593"/>
    <n v="0"/>
    <n v="0"/>
    <n v="101"/>
    <s v="_x0000_US"/>
  </r>
  <r>
    <x v="0"/>
    <n v="13.6877"/>
    <n v="-89.194599999999994"/>
    <n v="10593.3"/>
    <n v="0"/>
    <n v="0"/>
    <n v="101"/>
    <s v="_x0000_US"/>
  </r>
  <r>
    <x v="0"/>
    <n v="13.6898"/>
    <n v="-89.189700000000002"/>
    <n v="10593.4"/>
    <n v="0"/>
    <n v="0"/>
    <n v="101"/>
    <s v="_x0000_US"/>
  </r>
  <r>
    <x v="0"/>
    <n v="13.686400000000001"/>
    <n v="-89.215000000000003"/>
    <n v="10593.8"/>
    <n v="0"/>
    <n v="0"/>
    <n v="101"/>
    <s v="_x0000_US"/>
  </r>
  <r>
    <x v="0"/>
    <n v="13.6957"/>
    <n v="-89.173599999999993"/>
    <n v="10594.6"/>
    <n v="0"/>
    <n v="0"/>
    <n v="101"/>
    <s v="_x0000_US"/>
  </r>
  <r>
    <x v="0"/>
    <n v="13.6897"/>
    <n v="-89.193799999999996"/>
    <n v="10595.4"/>
    <n v="0"/>
    <n v="0"/>
    <n v="101"/>
    <s v="_x0000_US"/>
  </r>
  <r>
    <x v="0"/>
    <n v="13.6873"/>
    <n v="-89.194100000000006"/>
    <n v="10595.4"/>
    <n v="0"/>
    <n v="0"/>
    <n v="101"/>
    <s v="_x0000_US"/>
  </r>
  <r>
    <x v="0"/>
    <n v="13.6922"/>
    <n v="-89.194599999999994"/>
    <n v="10595.6"/>
    <n v="0"/>
    <n v="0"/>
    <n v="101"/>
    <s v="_x0000_US"/>
  </r>
  <r>
    <x v="0"/>
    <n v="13.694900000000001"/>
    <n v="-89.174899999999994"/>
    <n v="10595.6"/>
    <n v="0"/>
    <n v="0"/>
    <n v="101"/>
    <s v="_x0000_US"/>
  </r>
  <r>
    <x v="0"/>
    <n v="13.6966"/>
    <n v="-89.171700000000001"/>
    <n v="10595.6"/>
    <n v="0"/>
    <n v="0"/>
    <n v="101"/>
    <s v="_x0000_US"/>
  </r>
  <r>
    <x v="0"/>
    <n v="13.6846"/>
    <n v="-89.212800000000001"/>
    <n v="10596.2"/>
    <n v="0"/>
    <n v="0"/>
    <n v="101"/>
    <s v="_x0000_US"/>
  </r>
  <r>
    <x v="0"/>
    <n v="13.686999999999999"/>
    <n v="-89.197299999999998"/>
    <n v="10596.3"/>
    <n v="0"/>
    <n v="0"/>
    <n v="101"/>
    <s v="_x0000_US"/>
  </r>
  <r>
    <x v="0"/>
    <n v="13.6861"/>
    <n v="-89.204099999999997"/>
    <n v="10597.1"/>
    <n v="0"/>
    <n v="0"/>
    <n v="101"/>
    <s v="_x0000_US"/>
  </r>
  <r>
    <x v="0"/>
    <n v="13.695499999999999"/>
    <n v="-89.173900000000003"/>
    <n v="10598"/>
    <n v="0"/>
    <n v="0"/>
    <n v="101"/>
    <s v="_x0000_US"/>
  </r>
  <r>
    <x v="0"/>
    <n v="13.685"/>
    <n v="-89.201499999999996"/>
    <n v="10598.3"/>
    <n v="0"/>
    <n v="0"/>
    <n v="101"/>
    <s v="_x0000_US"/>
  </r>
  <r>
    <x v="0"/>
    <n v="13.6906"/>
    <n v="-89.235900000000001"/>
    <n v="10598.3"/>
    <n v="0"/>
    <n v="0"/>
    <n v="101"/>
    <s v="_x0000_US"/>
  </r>
  <r>
    <x v="0"/>
    <n v="13.6927"/>
    <n v="-89.1845"/>
    <n v="10598.5"/>
    <n v="0"/>
    <n v="0"/>
    <n v="101"/>
    <s v="_x0000_US"/>
  </r>
  <r>
    <x v="0"/>
    <n v="13.6899"/>
    <n v="-89.216700000000003"/>
    <n v="10598.5"/>
    <n v="0"/>
    <n v="0"/>
    <n v="101"/>
    <s v="_x0000_US"/>
  </r>
  <r>
    <x v="0"/>
    <n v="13.6851"/>
    <n v="-89.217299999999994"/>
    <n v="10599.2"/>
    <n v="0"/>
    <n v="0"/>
    <n v="101"/>
    <s v="_x0000_US"/>
  </r>
  <r>
    <x v="0"/>
    <n v="13.6945"/>
    <n v="-89.188800000000001"/>
    <n v="10599.3"/>
    <n v="0"/>
    <n v="0"/>
    <n v="101"/>
    <s v="_x0000_US"/>
  </r>
  <r>
    <x v="0"/>
    <n v="13.697100000000001"/>
    <n v="-89.171899999999994"/>
    <n v="10599.3"/>
    <n v="0"/>
    <n v="0"/>
    <n v="101"/>
    <s v="_x0000_US"/>
  </r>
  <r>
    <x v="0"/>
    <n v="13.6913"/>
    <n v="-89.229299999999995"/>
    <n v="10599.3"/>
    <n v="0"/>
    <n v="0"/>
    <n v="101"/>
    <s v="_x0000_US"/>
  </r>
  <r>
    <x v="0"/>
    <n v="13.6882"/>
    <n v="-89.2166"/>
    <n v="10599.4"/>
    <n v="0"/>
    <n v="0"/>
    <n v="101"/>
    <s v="_x0000_US"/>
  </r>
  <r>
    <x v="0"/>
    <n v="13.694900000000001"/>
    <n v="-89.174999999999997"/>
    <n v="10600.3"/>
    <n v="0"/>
    <n v="0"/>
    <n v="101"/>
    <s v="_x0000_US"/>
  </r>
  <r>
    <x v="0"/>
    <n v="13.6852"/>
    <n v="-89.194100000000006"/>
    <n v="10600.4"/>
    <n v="0"/>
    <n v="0"/>
    <n v="101"/>
    <s v="_x0000_US"/>
  </r>
  <r>
    <x v="0"/>
    <n v="13.6892"/>
    <n v="-89.235900000000001"/>
    <n v="10600.5"/>
    <n v="0"/>
    <n v="0"/>
    <n v="101"/>
    <s v="_x0000_US"/>
  </r>
  <r>
    <x v="0"/>
    <n v="13.6919"/>
    <n v="-89.227599999999995"/>
    <n v="10601"/>
    <n v="0"/>
    <n v="0"/>
    <n v="101"/>
    <s v="_x0000_US"/>
  </r>
  <r>
    <x v="0"/>
    <n v="13.6906"/>
    <n v="-89.178799999999995"/>
    <n v="10601.2"/>
    <n v="0"/>
    <n v="0"/>
    <n v="101"/>
    <s v="_x0000_US"/>
  </r>
  <r>
    <x v="0"/>
    <n v="13.6913"/>
    <n v="-89.234499999999997"/>
    <n v="10601.2"/>
    <n v="0"/>
    <n v="0"/>
    <n v="101"/>
    <s v="_x0000_US"/>
  </r>
  <r>
    <x v="0"/>
    <n v="13.685700000000001"/>
    <n v="-89.193899999999999"/>
    <n v="10601.7"/>
    <n v="0"/>
    <n v="0"/>
    <n v="101"/>
    <s v="_x0000_US"/>
  </r>
  <r>
    <x v="0"/>
    <n v="13.6911"/>
    <n v="-89.23"/>
    <n v="10602"/>
    <n v="0"/>
    <n v="0"/>
    <n v="101"/>
    <s v="_x0000_US"/>
  </r>
  <r>
    <x v="0"/>
    <n v="13.690099999999999"/>
    <n v="-89.188299999999998"/>
    <n v="10602.8"/>
    <n v="0"/>
    <n v="0"/>
    <n v="101"/>
    <s v="_x0000_US"/>
  </r>
  <r>
    <x v="0"/>
    <n v="13.6919"/>
    <n v="-89.226399999999998"/>
    <n v="10602.8"/>
    <n v="0"/>
    <n v="0"/>
    <n v="101"/>
    <s v="_x0000_US"/>
  </r>
  <r>
    <x v="0"/>
    <n v="13.689299999999999"/>
    <n v="-89.189800000000005"/>
    <n v="10603.3"/>
    <n v="0"/>
    <n v="0"/>
    <n v="101"/>
    <s v="_x0000_US"/>
  </r>
  <r>
    <x v="0"/>
    <n v="13.6913"/>
    <n v="-89.220200000000006"/>
    <n v="10603.3"/>
    <n v="0"/>
    <n v="0"/>
    <n v="101"/>
    <s v="_x0000_US"/>
  </r>
  <r>
    <x v="0"/>
    <n v="13.6874"/>
    <n v="-89.195499999999996"/>
    <n v="10603.5"/>
    <n v="0"/>
    <n v="0"/>
    <n v="101"/>
    <s v="_x0000_US"/>
  </r>
  <r>
    <x v="0"/>
    <n v="13.6896"/>
    <n v="-89.216800000000006"/>
    <n v="10603.5"/>
    <n v="0"/>
    <n v="0"/>
    <n v="101"/>
    <s v="_x0000_US"/>
  </r>
  <r>
    <x v="0"/>
    <n v="13.686999999999999"/>
    <n v="-89.197199999999995"/>
    <n v="10603.7"/>
    <n v="0"/>
    <n v="0"/>
    <n v="101"/>
    <s v="_x0000_US"/>
  </r>
  <r>
    <x v="0"/>
    <n v="13.688800000000001"/>
    <n v="-89.205100000000002"/>
    <n v="10604.3"/>
    <n v="0"/>
    <n v="0"/>
    <n v="101"/>
    <s v="_x0000_US"/>
  </r>
  <r>
    <x v="0"/>
    <n v="13.691700000000001"/>
    <n v="-89.196899999999999"/>
    <n v="10604.6"/>
    <n v="0"/>
    <n v="0"/>
    <n v="101"/>
    <s v="_x0000_US"/>
  </r>
  <r>
    <x v="0"/>
    <n v="13.6753"/>
    <n v="-89.248199999999997"/>
    <n v="10604.9"/>
    <n v="0"/>
    <n v="0"/>
    <n v="101"/>
    <s v="_x0000_US"/>
  </r>
  <r>
    <x v="0"/>
    <n v="13.6921"/>
    <n v="-89.223299999999995"/>
    <n v="10605.6"/>
    <n v="0"/>
    <n v="0"/>
    <n v="101"/>
    <s v="_x0000_US"/>
  </r>
  <r>
    <x v="0"/>
    <n v="13.6915"/>
    <n v="-89.220399999999998"/>
    <n v="10606.1"/>
    <n v="0"/>
    <n v="0"/>
    <n v="101"/>
    <s v="_x0000_US"/>
  </r>
  <r>
    <x v="0"/>
    <n v="13.6922"/>
    <n v="-89.186300000000003"/>
    <n v="10606.5"/>
    <n v="0"/>
    <n v="0"/>
    <n v="101"/>
    <s v="_x0000_US"/>
  </r>
  <r>
    <x v="0"/>
    <n v="13.685499999999999"/>
    <n v="-89.201300000000003"/>
    <n v="10606.6"/>
    <n v="0"/>
    <n v="0"/>
    <n v="101"/>
    <s v="_x0000_US"/>
  </r>
  <r>
    <x v="0"/>
    <n v="13.6744"/>
    <n v="-89.251300000000001"/>
    <n v="10606.9"/>
    <n v="0"/>
    <n v="0"/>
    <n v="101"/>
    <s v="_x0000_US"/>
  </r>
  <r>
    <x v="0"/>
    <n v="13.6882"/>
    <n v="-89.194400000000002"/>
    <n v="10607.4"/>
    <n v="0"/>
    <n v="0"/>
    <n v="101"/>
    <s v="_x0000_US"/>
  </r>
  <r>
    <x v="0"/>
    <n v="13.691800000000001"/>
    <n v="-89.226200000000006"/>
    <n v="10607.9"/>
    <n v="0"/>
    <n v="0"/>
    <n v="101"/>
    <s v="_x0000_US"/>
  </r>
  <r>
    <x v="0"/>
    <n v="13.692500000000001"/>
    <n v="-89.224199999999996"/>
    <n v="10607.9"/>
    <n v="0"/>
    <n v="0"/>
    <n v="101"/>
    <s v="_x0000_US"/>
  </r>
  <r>
    <x v="0"/>
    <n v="13.691700000000001"/>
    <n v="-89.227099999999993"/>
    <n v="10608"/>
    <n v="0"/>
    <n v="0"/>
    <n v="101"/>
    <s v="_x0000_US"/>
  </r>
  <r>
    <x v="0"/>
    <n v="13.6935"/>
    <n v="-89.1768"/>
    <n v="10608.2"/>
    <n v="0"/>
    <n v="0"/>
    <n v="101"/>
    <s v="_x0000_US"/>
  </r>
  <r>
    <x v="0"/>
    <n v="13.6873"/>
    <n v="-89.183899999999994"/>
    <n v="10608.3"/>
    <n v="0"/>
    <n v="0"/>
    <n v="101"/>
    <s v="_x0000_US"/>
  </r>
  <r>
    <x v="0"/>
    <n v="13.6851"/>
    <n v="-89.217200000000005"/>
    <n v="10608.3"/>
    <n v="0"/>
    <n v="0"/>
    <n v="101"/>
    <s v="_x0000_US"/>
  </r>
  <r>
    <x v="0"/>
    <n v="13.694599999999999"/>
    <n v="-89.185299999999998"/>
    <n v="10608.4"/>
    <n v="0"/>
    <n v="0"/>
    <n v="101"/>
    <s v="_x0000_US"/>
  </r>
  <r>
    <x v="0"/>
    <n v="13.6896"/>
    <n v="-89.183599999999998"/>
    <n v="10609"/>
    <n v="0"/>
    <n v="0"/>
    <n v="101"/>
    <s v="_x0000_US"/>
  </r>
  <r>
    <x v="0"/>
    <n v="13.6913"/>
    <n v="-89.234099999999998"/>
    <n v="10609.6"/>
    <n v="0"/>
    <n v="0"/>
    <n v="101"/>
    <s v="_x0000_US"/>
  </r>
  <r>
    <x v="0"/>
    <n v="13.6873"/>
    <n v="-89.216999999999999"/>
    <n v="10609.7"/>
    <n v="0"/>
    <n v="0"/>
    <n v="101"/>
    <s v="_x0000_US"/>
  </r>
  <r>
    <x v="0"/>
    <n v="13.692"/>
    <n v="-89.185400000000001"/>
    <n v="10610.2"/>
    <n v="0"/>
    <n v="0"/>
    <n v="101"/>
    <s v="_x0000_US"/>
  </r>
  <r>
    <x v="0"/>
    <n v="13.6911"/>
    <n v="-89.233500000000006"/>
    <n v="10610.2"/>
    <n v="0"/>
    <n v="0"/>
    <n v="101"/>
    <s v="_x0000_US"/>
  </r>
  <r>
    <x v="0"/>
    <n v="13.687799999999999"/>
    <n v="-89.194500000000005"/>
    <n v="10610.3"/>
    <n v="0"/>
    <n v="0"/>
    <n v="101"/>
    <s v="_x0000_US"/>
  </r>
  <r>
    <x v="0"/>
    <n v="13.6912"/>
    <n v="-89.233999999999995"/>
    <n v="10610.3"/>
    <n v="0"/>
    <n v="0"/>
    <n v="101"/>
    <s v="_x0000_US"/>
  </r>
  <r>
    <x v="0"/>
    <n v="13.6915"/>
    <n v="-89.176699999999997"/>
    <n v="10610.7"/>
    <n v="0"/>
    <n v="0"/>
    <n v="101"/>
    <s v="_x0000_US"/>
  </r>
  <r>
    <x v="0"/>
    <n v="13.688000000000001"/>
    <n v="-89.180300000000003"/>
    <n v="10611.1"/>
    <n v="0"/>
    <n v="0"/>
    <n v="101"/>
    <s v="_x0000_US"/>
  </r>
  <r>
    <x v="0"/>
    <n v="13.685499999999999"/>
    <n v="-89.201499999999996"/>
    <n v="10611.6"/>
    <n v="0"/>
    <n v="0"/>
    <n v="101"/>
    <s v="_x0000_US"/>
  </r>
  <r>
    <x v="0"/>
    <n v="13.6928"/>
    <n v="-89.225200000000001"/>
    <n v="10612.2"/>
    <n v="0"/>
    <n v="0"/>
    <n v="101"/>
    <s v="_x0000_US"/>
  </r>
  <r>
    <x v="0"/>
    <n v="13.677300000000001"/>
    <n v="-89.199600000000004"/>
    <n v="10612.3"/>
    <n v="0"/>
    <n v="0"/>
    <n v="101"/>
    <s v="_x0000_US"/>
  </r>
  <r>
    <x v="0"/>
    <n v="13.6913"/>
    <n v="-89.189499999999995"/>
    <n v="10613.1"/>
    <n v="0"/>
    <n v="0"/>
    <n v="101"/>
    <s v="_x0000_US"/>
  </r>
  <r>
    <x v="0"/>
    <n v="13.685600000000001"/>
    <n v="-89.212699999999998"/>
    <n v="10613.1"/>
    <n v="0"/>
    <n v="0"/>
    <n v="101"/>
    <s v="_x0000_US"/>
  </r>
  <r>
    <x v="0"/>
    <n v="13.6898"/>
    <n v="-89.229299999999995"/>
    <n v="10613.2"/>
    <n v="0"/>
    <n v="0"/>
    <n v="101"/>
    <s v="_x0000_US"/>
  </r>
  <r>
    <x v="0"/>
    <n v="13.688800000000001"/>
    <n v="-89.190399999999997"/>
    <n v="10613.3"/>
    <n v="0"/>
    <n v="0"/>
    <n v="101"/>
    <s v="_x0000_US"/>
  </r>
  <r>
    <x v="0"/>
    <n v="13.6913"/>
    <n v="-89.235100000000003"/>
    <n v="10613.6"/>
    <n v="0"/>
    <n v="0"/>
    <n v="101"/>
    <s v="_x0000_US"/>
  </r>
  <r>
    <x v="0"/>
    <n v="13.6889"/>
    <n v="-89.19"/>
    <n v="10613.9"/>
    <n v="0"/>
    <n v="0"/>
    <n v="101"/>
    <s v="_x0000_US"/>
  </r>
  <r>
    <x v="0"/>
    <n v="13.686500000000001"/>
    <n v="-89.211600000000004"/>
    <n v="10614.2"/>
    <n v="0"/>
    <n v="0"/>
    <n v="101"/>
    <s v="_x0000_US"/>
  </r>
  <r>
    <x v="0"/>
    <n v="13.6892"/>
    <n v="-89.211299999999994"/>
    <n v="10614.2"/>
    <n v="0"/>
    <n v="0"/>
    <n v="101"/>
    <s v="_x0000_US"/>
  </r>
  <r>
    <x v="0"/>
    <n v="13.6937"/>
    <n v="-89.176500000000004"/>
    <n v="10614.4"/>
    <n v="0"/>
    <n v="0"/>
    <n v="101"/>
    <s v="_x0000_US"/>
  </r>
  <r>
    <x v="0"/>
    <n v="13.691000000000001"/>
    <n v="-89.229600000000005"/>
    <n v="10614.5"/>
    <n v="0"/>
    <n v="0"/>
    <n v="101"/>
    <s v="_x0000_US"/>
  </r>
  <r>
    <x v="0"/>
    <n v="13.674099999999999"/>
    <n v="-89.202799999999996"/>
    <n v="10615.3"/>
    <n v="0"/>
    <n v="0"/>
    <n v="101"/>
    <s v="_x0000_US"/>
  </r>
  <r>
    <x v="0"/>
    <n v="13.692399999999999"/>
    <n v="-89.224900000000005"/>
    <n v="10615.8"/>
    <n v="0"/>
    <n v="0"/>
    <n v="101"/>
    <s v="_x0000_US"/>
  </r>
  <r>
    <x v="0"/>
    <n v="13.690899999999999"/>
    <n v="-89.2273"/>
    <n v="10616"/>
    <n v="0"/>
    <n v="0"/>
    <n v="101"/>
    <s v="_x0000_US"/>
  </r>
  <r>
    <x v="0"/>
    <n v="13.684900000000001"/>
    <n v="-89.216300000000004"/>
    <n v="10616.2"/>
    <n v="0"/>
    <n v="0"/>
    <n v="101"/>
    <s v="_x0000_US"/>
  </r>
  <r>
    <x v="0"/>
    <n v="13.690799999999999"/>
    <n v="-89.190700000000007"/>
    <n v="10616.3"/>
    <n v="0"/>
    <n v="0"/>
    <n v="101"/>
    <s v="_x0000_US"/>
  </r>
  <r>
    <x v="0"/>
    <n v="13.68"/>
    <n v="-89.196600000000004"/>
    <n v="10616.3"/>
    <n v="0"/>
    <n v="0"/>
    <n v="101"/>
    <s v="_x0000_US"/>
  </r>
  <r>
    <x v="0"/>
    <n v="13.674200000000001"/>
    <n v="-89.251199999999997"/>
    <n v="10616.3"/>
    <n v="0"/>
    <n v="0"/>
    <n v="101"/>
    <s v="_x0000_US"/>
  </r>
  <r>
    <x v="0"/>
    <n v="13.6873"/>
    <n v="-89.194500000000005"/>
    <n v="10616.4"/>
    <n v="0"/>
    <n v="0"/>
    <n v="101"/>
    <s v="_x0000_US"/>
  </r>
  <r>
    <x v="0"/>
    <n v="13.6791"/>
    <n v="-89.196700000000007"/>
    <n v="10616.6"/>
    <n v="0"/>
    <n v="0"/>
    <n v="101"/>
    <s v="_x0000_US"/>
  </r>
  <r>
    <x v="0"/>
    <n v="13.6919"/>
    <n v="-89.187899999999999"/>
    <n v="10617.2"/>
    <n v="0"/>
    <n v="0"/>
    <n v="101"/>
    <s v="_x0000_US"/>
  </r>
  <r>
    <x v="0"/>
    <n v="13.692299999999999"/>
    <n v="-89.1751"/>
    <n v="10617.2"/>
    <n v="0"/>
    <n v="0"/>
    <n v="101"/>
    <s v="_x0000_US"/>
  </r>
  <r>
    <x v="0"/>
    <n v="13.692299999999999"/>
    <n v="-89.226799999999997"/>
    <n v="10617.3"/>
    <n v="0"/>
    <n v="0"/>
    <n v="101"/>
    <s v="_x0000_US"/>
  </r>
  <r>
    <x v="0"/>
    <n v="13.692"/>
    <n v="-89.223500000000001"/>
    <n v="10617.5"/>
    <n v="0"/>
    <n v="0"/>
    <n v="101"/>
    <s v="_x0000_US"/>
  </r>
  <r>
    <x v="0"/>
    <n v="13.6875"/>
    <n v="-89.195099999999996"/>
    <n v="10617.7"/>
    <n v="0"/>
    <n v="0"/>
    <n v="101"/>
    <s v="_x0000_US"/>
  </r>
  <r>
    <x v="0"/>
    <n v="13.695399999999999"/>
    <n v="-89.173199999999994"/>
    <n v="10617.8"/>
    <n v="0"/>
    <n v="0"/>
    <n v="101"/>
    <s v="_x0000_US"/>
  </r>
  <r>
    <x v="0"/>
    <n v="13.689299999999999"/>
    <n v="-89.184700000000007"/>
    <n v="10618.5"/>
    <n v="0"/>
    <n v="0"/>
    <n v="101"/>
    <s v="_x0000_US"/>
  </r>
  <r>
    <x v="0"/>
    <n v="13.6915"/>
    <n v="-89.232500000000002"/>
    <n v="10618.7"/>
    <n v="0"/>
    <n v="0"/>
    <n v="101"/>
    <s v="_x0000_US"/>
  </r>
  <r>
    <x v="0"/>
    <n v="13.692399999999999"/>
    <n v="-89.196700000000007"/>
    <n v="10618.9"/>
    <n v="0"/>
    <n v="0"/>
    <n v="101"/>
    <s v="_x0000_US"/>
  </r>
  <r>
    <x v="0"/>
    <n v="13.6928"/>
    <n v="-89.178700000000006"/>
    <n v="10619.1"/>
    <n v="0"/>
    <n v="0"/>
    <n v="101"/>
    <s v="_x0000_US"/>
  </r>
  <r>
    <x v="0"/>
    <n v="13.674200000000001"/>
    <n v="-89.199299999999994"/>
    <n v="10620.1"/>
    <n v="0"/>
    <n v="0"/>
    <n v="101"/>
    <s v="_x0000_US"/>
  </r>
  <r>
    <x v="0"/>
    <n v="13.687900000000001"/>
    <n v="-89.182699999999997"/>
    <n v="10620.9"/>
    <n v="0"/>
    <n v="0"/>
    <n v="101"/>
    <s v="_x0000_US"/>
  </r>
  <r>
    <x v="0"/>
    <n v="13.688499999999999"/>
    <n v="-89.216899999999995"/>
    <n v="10621.1"/>
    <n v="0"/>
    <n v="0"/>
    <n v="101"/>
    <s v="_x0000_US"/>
  </r>
  <r>
    <x v="0"/>
    <n v="13.6942"/>
    <n v="-89.174800000000005"/>
    <n v="10621.2"/>
    <n v="0"/>
    <n v="0"/>
    <n v="101"/>
    <s v="_x0000_US"/>
  </r>
  <r>
    <x v="0"/>
    <n v="13.685700000000001"/>
    <n v="-89.211200000000005"/>
    <n v="10621.3"/>
    <n v="0"/>
    <n v="0"/>
    <n v="101"/>
    <s v="_x0000_US"/>
  </r>
  <r>
    <x v="0"/>
    <n v="13.6913"/>
    <n v="-89.226600000000005"/>
    <n v="10621.3"/>
    <n v="0"/>
    <n v="0"/>
    <n v="101"/>
    <s v="_x0000_US"/>
  </r>
  <r>
    <x v="0"/>
    <n v="13.689500000000001"/>
    <n v="-89.177499999999995"/>
    <n v="10621.4"/>
    <n v="0"/>
    <n v="0"/>
    <n v="101"/>
    <s v="_x0000_US"/>
  </r>
  <r>
    <x v="0"/>
    <n v="13.689399999999999"/>
    <n v="-89.197100000000006"/>
    <n v="10621.9"/>
    <n v="0"/>
    <n v="0"/>
    <n v="101"/>
    <s v="_x0000_US"/>
  </r>
  <r>
    <x v="0"/>
    <n v="13.691800000000001"/>
    <n v="-89.186499999999995"/>
    <n v="10621.9"/>
    <n v="0"/>
    <n v="0"/>
    <n v="101"/>
    <s v="_x0000_US"/>
  </r>
  <r>
    <x v="0"/>
    <n v="13.6914"/>
    <n v="-89.22"/>
    <n v="10622.3"/>
    <n v="0"/>
    <n v="0"/>
    <n v="101"/>
    <s v="_x0000_US"/>
  </r>
  <r>
    <x v="0"/>
    <n v="13.6907"/>
    <n v="-89.197900000000004"/>
    <n v="10622.5"/>
    <n v="0"/>
    <n v="0"/>
    <n v="101"/>
    <s v="_x0000_US"/>
  </r>
  <r>
    <x v="0"/>
    <n v="13.690200000000001"/>
    <n v="-89.185000000000002"/>
    <n v="10622.6"/>
    <n v="0"/>
    <n v="0"/>
    <n v="101"/>
    <s v="_x0000_US"/>
  </r>
  <r>
    <x v="0"/>
    <n v="13.686199999999999"/>
    <n v="-89.204099999999997"/>
    <n v="10622.6"/>
    <n v="0"/>
    <n v="0"/>
    <n v="101"/>
    <s v="_x0000_US"/>
  </r>
  <r>
    <x v="0"/>
    <n v="13.689"/>
    <n v="-89.19"/>
    <n v="10622.7"/>
    <n v="0"/>
    <n v="0"/>
    <n v="101"/>
    <s v="_x0000_US"/>
  </r>
  <r>
    <x v="0"/>
    <n v="13.6922"/>
    <n v="-89.183499999999995"/>
    <n v="10622.7"/>
    <n v="0"/>
    <n v="0"/>
    <n v="101"/>
    <s v="_x0000_US"/>
  </r>
  <r>
    <x v="0"/>
    <n v="13.6897"/>
    <n v="-89.193899999999999"/>
    <n v="10623.3"/>
    <n v="0"/>
    <n v="0"/>
    <n v="101"/>
    <s v="_x0000_US"/>
  </r>
  <r>
    <x v="0"/>
    <n v="13.6891"/>
    <n v="-89.211500000000001"/>
    <n v="10623.7"/>
    <n v="0"/>
    <n v="0"/>
    <n v="101"/>
    <s v="_x0000_US"/>
  </r>
  <r>
    <x v="0"/>
    <n v="13.6873"/>
    <n v="-89.196700000000007"/>
    <n v="10624.2"/>
    <n v="0"/>
    <n v="0"/>
    <n v="101"/>
    <s v="_x0000_US"/>
  </r>
  <r>
    <x v="0"/>
    <n v="13.693300000000001"/>
    <n v="-89.176299999999998"/>
    <n v="10624.4"/>
    <n v="0"/>
    <n v="0"/>
    <n v="101"/>
    <s v="_x0000_US"/>
  </r>
  <r>
    <x v="0"/>
    <n v="13.675000000000001"/>
    <n v="-89.2"/>
    <n v="10624.5"/>
    <n v="0"/>
    <n v="0"/>
    <n v="101"/>
    <s v="_x0000_US"/>
  </r>
  <r>
    <x v="0"/>
    <n v="13.6892"/>
    <n v="-89.236000000000004"/>
    <n v="10624.9"/>
    <n v="0"/>
    <n v="0"/>
    <n v="101"/>
    <s v="_x0000_US"/>
  </r>
  <r>
    <x v="0"/>
    <n v="13.691800000000001"/>
    <n v="-89.1815"/>
    <n v="10625.1"/>
    <n v="0"/>
    <n v="0"/>
    <n v="101"/>
    <s v="_x0000_US"/>
  </r>
  <r>
    <x v="0"/>
    <n v="13.696"/>
    <n v="-89.172399999999996"/>
    <n v="10625.1"/>
    <n v="0"/>
    <n v="0"/>
    <n v="101"/>
    <s v="_x0000_US"/>
  </r>
  <r>
    <x v="0"/>
    <n v="13.690899999999999"/>
    <n v="-89.235200000000006"/>
    <n v="10625.1"/>
    <n v="0"/>
    <n v="0"/>
    <n v="101"/>
    <s v="_x0000_US"/>
  </r>
  <r>
    <x v="0"/>
    <n v="13.6845"/>
    <n v="-89.194299999999998"/>
    <n v="10625.4"/>
    <n v="0"/>
    <n v="0"/>
    <n v="101"/>
    <s v="_x0000_US"/>
  </r>
  <r>
    <x v="0"/>
    <n v="13.684699999999999"/>
    <n v="-89.216999999999999"/>
    <n v="10625.6"/>
    <n v="0"/>
    <n v="0"/>
    <n v="101"/>
    <s v="_x0000_US"/>
  </r>
  <r>
    <x v="0"/>
    <n v="13.6897"/>
    <n v="-89.228999999999999"/>
    <n v="10625.8"/>
    <n v="0"/>
    <n v="0"/>
    <n v="101"/>
    <s v="_x0000_US"/>
  </r>
  <r>
    <x v="0"/>
    <n v="13.691800000000001"/>
    <n v="-89.179400000000001"/>
    <n v="10625.9"/>
    <n v="0"/>
    <n v="0"/>
    <n v="101"/>
    <s v="_x0000_US"/>
  </r>
  <r>
    <x v="0"/>
    <n v="13.687099999999999"/>
    <n v="-89.212400000000002"/>
    <n v="10625.9"/>
    <n v="0"/>
    <n v="0"/>
    <n v="101"/>
    <s v="_x0000_US"/>
  </r>
  <r>
    <x v="0"/>
    <n v="13.6775"/>
    <n v="-89.246099999999998"/>
    <n v="10626"/>
    <n v="0"/>
    <n v="0"/>
    <n v="101"/>
    <s v="_x0000_US"/>
  </r>
  <r>
    <x v="0"/>
    <n v="13.6896"/>
    <n v="-89.19"/>
    <n v="10626.7"/>
    <n v="0"/>
    <n v="0"/>
    <n v="101"/>
    <s v="_x0000_US"/>
  </r>
  <r>
    <x v="0"/>
    <n v="13.6875"/>
    <n v="-89.181100000000001"/>
    <n v="10627"/>
    <n v="0"/>
    <n v="0"/>
    <n v="101"/>
    <s v="_x0000_US"/>
  </r>
  <r>
    <x v="0"/>
    <n v="13.689"/>
    <n v="-89.190200000000004"/>
    <n v="10627.5"/>
    <n v="0"/>
    <n v="0"/>
    <n v="101"/>
    <s v="_x0000_US"/>
  </r>
  <r>
    <x v="0"/>
    <n v="13.690899999999999"/>
    <n v="-89.231099999999998"/>
    <n v="10627.5"/>
    <n v="0"/>
    <n v="0"/>
    <n v="101"/>
    <s v="_x0000_US"/>
  </r>
  <r>
    <x v="0"/>
    <n v="13.677"/>
    <n v="-89.247399999999999"/>
    <n v="10627.6"/>
    <n v="0"/>
    <n v="0"/>
    <n v="101"/>
    <s v="_x0000_US"/>
  </r>
  <r>
    <x v="0"/>
    <n v="13.6846"/>
    <n v="-89.211600000000004"/>
    <n v="10628.2"/>
    <n v="0"/>
    <n v="0"/>
    <n v="101"/>
    <s v="_x0000_US"/>
  </r>
  <r>
    <x v="0"/>
    <n v="13.691599999999999"/>
    <n v="-89.1785"/>
    <n v="10628.6"/>
    <n v="0"/>
    <n v="0"/>
    <n v="101"/>
    <s v="_x0000_US"/>
  </r>
  <r>
    <x v="0"/>
    <n v="13.6877"/>
    <n v="-89.205500000000001"/>
    <n v="10628.7"/>
    <n v="0"/>
    <n v="0"/>
    <n v="101"/>
    <s v="_x0000_US"/>
  </r>
  <r>
    <x v="0"/>
    <n v="13.6921"/>
    <n v="-89.225200000000001"/>
    <n v="10628.9"/>
    <n v="0"/>
    <n v="0"/>
    <n v="101"/>
    <s v="_x0000_US"/>
  </r>
  <r>
    <x v="0"/>
    <n v="13.690899999999999"/>
    <n v="-89.194599999999994"/>
    <n v="10629.1"/>
    <n v="0"/>
    <n v="0"/>
    <n v="101"/>
    <s v="_x0000_US"/>
  </r>
  <r>
    <x v="0"/>
    <n v="13.693199999999999"/>
    <n v="-89.177499999999995"/>
    <n v="10629.2"/>
    <n v="0"/>
    <n v="0"/>
    <n v="101"/>
    <s v="_x0000_US"/>
  </r>
  <r>
    <x v="0"/>
    <n v="13.6937"/>
    <n v="-89.178399999999996"/>
    <n v="10629.3"/>
    <n v="0"/>
    <n v="0"/>
    <n v="101"/>
    <s v="_x0000_US"/>
  </r>
  <r>
    <x v="0"/>
    <n v="13.6868"/>
    <n v="-89.194299999999998"/>
    <n v="10629.4"/>
    <n v="0"/>
    <n v="0"/>
    <n v="101"/>
    <s v="_x0000_US"/>
  </r>
  <r>
    <x v="0"/>
    <n v="13.692399999999999"/>
    <n v="-89.175799999999995"/>
    <n v="10629.4"/>
    <n v="0"/>
    <n v="0"/>
    <n v="101"/>
    <s v="_x0000_US"/>
  </r>
  <r>
    <x v="0"/>
    <n v="13.6919"/>
    <n v="-89.225300000000004"/>
    <n v="10629.8"/>
    <n v="0"/>
    <n v="0"/>
    <n v="101"/>
    <s v="_x0000_US"/>
  </r>
  <r>
    <x v="0"/>
    <n v="13.690899999999999"/>
    <n v="-89.190299999999993"/>
    <n v="10630.2"/>
    <n v="0"/>
    <n v="0"/>
    <n v="101"/>
    <s v="_x0000_US"/>
  </r>
  <r>
    <x v="0"/>
    <n v="13.6892"/>
    <n v="-89.184200000000004"/>
    <n v="10630.5"/>
    <n v="0"/>
    <n v="0"/>
    <n v="101"/>
    <s v="_x0000_US"/>
  </r>
  <r>
    <x v="0"/>
    <n v="13.671900000000001"/>
    <n v="-89.203699999999998"/>
    <n v="10630.5"/>
    <n v="0"/>
    <n v="0"/>
    <n v="101"/>
    <s v="_x0000_US"/>
  </r>
  <r>
    <x v="0"/>
    <n v="13.6911"/>
    <n v="-89.234700000000004"/>
    <n v="10630.7"/>
    <n v="0"/>
    <n v="0"/>
    <n v="101"/>
    <s v="_x0000_US"/>
  </r>
  <r>
    <x v="0"/>
    <n v="13.6921"/>
    <n v="-89.182000000000002"/>
    <n v="10630.8"/>
    <n v="0"/>
    <n v="0"/>
    <n v="101"/>
    <s v="_x0000_US"/>
  </r>
  <r>
    <x v="0"/>
    <n v="13.6912"/>
    <n v="-89.219300000000004"/>
    <n v="10631.1"/>
    <n v="0"/>
    <n v="0"/>
    <n v="101"/>
    <s v="_x0000_US"/>
  </r>
  <r>
    <x v="0"/>
    <n v="13.6858"/>
    <n v="-89.202200000000005"/>
    <n v="10631.2"/>
    <n v="0"/>
    <n v="0"/>
    <n v="101"/>
    <s v="_x0000_US"/>
  </r>
  <r>
    <x v="0"/>
    <n v="13.6854"/>
    <n v="-89.201499999999996"/>
    <n v="10631.2"/>
    <n v="0"/>
    <n v="0"/>
    <n v="101"/>
    <s v="_x0000_US"/>
  </r>
  <r>
    <x v="0"/>
    <n v="13.6753"/>
    <n v="-89.250100000000003"/>
    <n v="10631.4"/>
    <n v="0"/>
    <n v="0"/>
    <n v="101"/>
    <s v="_x0000_US"/>
  </r>
  <r>
    <x v="0"/>
    <n v="13.690899999999999"/>
    <n v="-89.179400000000001"/>
    <n v="10631.5"/>
    <n v="0"/>
    <n v="0"/>
    <n v="101"/>
    <s v="_x0000_US"/>
  </r>
  <r>
    <x v="0"/>
    <n v="13.692600000000001"/>
    <n v="-89.225499999999997"/>
    <n v="10631.9"/>
    <n v="0"/>
    <n v="0"/>
    <n v="101"/>
    <s v="_x0000_US"/>
  </r>
  <r>
    <x v="0"/>
    <n v="13.6853"/>
    <n v="-89.211799999999997"/>
    <n v="10632.4"/>
    <n v="0"/>
    <n v="0"/>
    <n v="101"/>
    <s v="_x0000_US"/>
  </r>
  <r>
    <x v="0"/>
    <n v="13.6906"/>
    <n v="-89.178899999999999"/>
    <n v="10632.9"/>
    <n v="0"/>
    <n v="0"/>
    <n v="101"/>
    <s v="_x0000_US"/>
  </r>
  <r>
    <x v="0"/>
    <n v="13.686299999999999"/>
    <n v="-89.193600000000004"/>
    <n v="10633"/>
    <n v="0"/>
    <n v="0"/>
    <n v="101"/>
    <s v="_x0000_US"/>
  </r>
  <r>
    <x v="0"/>
    <n v="13.6899"/>
    <n v="-89.181600000000003"/>
    <n v="10633.3"/>
    <n v="0"/>
    <n v="0"/>
    <n v="101"/>
    <s v="_x0000_US"/>
  </r>
  <r>
    <x v="0"/>
    <n v="13.6876"/>
    <n v="-89.194299999999998"/>
    <n v="10633.7"/>
    <n v="0"/>
    <n v="0"/>
    <n v="101"/>
    <s v="_x0000_US"/>
  </r>
  <r>
    <x v="0"/>
    <n v="13.690899999999999"/>
    <n v="-89.190399999999997"/>
    <n v="10633.8"/>
    <n v="0"/>
    <n v="0"/>
    <n v="101"/>
    <s v="_x0000_US"/>
  </r>
  <r>
    <x v="0"/>
    <n v="13.694599999999999"/>
    <n v="-89.183000000000007"/>
    <n v="10633.9"/>
    <n v="0"/>
    <n v="0"/>
    <n v="101"/>
    <s v="_x0000_US"/>
  </r>
  <r>
    <x v="0"/>
    <n v="13.6976"/>
    <n v="-89.171199999999999"/>
    <n v="10634.1"/>
    <n v="0"/>
    <n v="0"/>
    <n v="101"/>
    <s v="_x0000_US"/>
  </r>
  <r>
    <x v="0"/>
    <n v="13.686999999999999"/>
    <n v="-89.205200000000005"/>
    <n v="10634.4"/>
    <n v="0"/>
    <n v="0"/>
    <n v="101"/>
    <s v="_x0000_US"/>
  </r>
  <r>
    <x v="0"/>
    <n v="13.6922"/>
    <n v="-89.225300000000004"/>
    <n v="10634.4"/>
    <n v="0"/>
    <n v="0"/>
    <n v="101"/>
    <s v="_x0000_US"/>
  </r>
  <r>
    <x v="0"/>
    <n v="13.6874"/>
    <n v="-89.1965"/>
    <n v="10634.6"/>
    <n v="0"/>
    <n v="0"/>
    <n v="101"/>
    <s v="_x0000_US"/>
  </r>
  <r>
    <x v="0"/>
    <n v="13.692399999999999"/>
    <n v="-89.179100000000005"/>
    <n v="10635.5"/>
    <n v="0"/>
    <n v="0"/>
    <n v="101"/>
    <s v="_x0000_US"/>
  </r>
  <r>
    <x v="0"/>
    <n v="13.689399999999999"/>
    <n v="-89.185199999999995"/>
    <n v="10635.6"/>
    <n v="0"/>
    <n v="0"/>
    <n v="101"/>
    <s v="_x0000_US"/>
  </r>
  <r>
    <x v="0"/>
    <n v="13.687200000000001"/>
    <n v="-89.195800000000006"/>
    <n v="10635.6"/>
    <n v="0"/>
    <n v="0"/>
    <n v="101"/>
    <s v="_x0000_US"/>
  </r>
  <r>
    <x v="0"/>
    <n v="13.6919"/>
    <n v="-89.186000000000007"/>
    <n v="10635.6"/>
    <n v="0"/>
    <n v="0"/>
    <n v="101"/>
    <s v="_x0000_US"/>
  </r>
  <r>
    <x v="0"/>
    <n v="13.6914"/>
    <n v="-89.188100000000006"/>
    <n v="10635.7"/>
    <n v="0"/>
    <n v="0"/>
    <n v="101"/>
    <s v="_x0000_US"/>
  </r>
  <r>
    <x v="0"/>
    <n v="13.6852"/>
    <n v="-89.216499999999996"/>
    <n v="10636.6"/>
    <n v="0"/>
    <n v="0"/>
    <n v="101"/>
    <s v="_x0000_US"/>
  </r>
  <r>
    <x v="0"/>
    <n v="13.6907"/>
    <n v="-89.231999999999999"/>
    <n v="10637.3"/>
    <n v="0"/>
    <n v="0"/>
    <n v="101"/>
    <s v="_x0000_US"/>
  </r>
  <r>
    <x v="0"/>
    <n v="13.690799999999999"/>
    <n v="-89.234899999999996"/>
    <n v="10637.5"/>
    <n v="0"/>
    <n v="0"/>
    <n v="101"/>
    <s v="_x0000_US"/>
  </r>
  <r>
    <x v="0"/>
    <n v="13.6861"/>
    <n v="-89.193799999999996"/>
    <n v="10637.6"/>
    <n v="0"/>
    <n v="0"/>
    <n v="101"/>
    <s v="_x0000_US"/>
  </r>
  <r>
    <x v="0"/>
    <n v="13.695"/>
    <n v="-89.171800000000005"/>
    <n v="10637.6"/>
    <n v="0"/>
    <n v="0"/>
    <n v="101"/>
    <s v="_x0000_US"/>
  </r>
  <r>
    <x v="0"/>
    <n v="13.6873"/>
    <n v="-89.195899999999995"/>
    <n v="10638.1"/>
    <n v="0"/>
    <n v="0"/>
    <n v="101"/>
    <s v="_x0000_US"/>
  </r>
  <r>
    <x v="0"/>
    <n v="13.689500000000001"/>
    <n v="-89.178600000000003"/>
    <n v="10638.2"/>
    <n v="0"/>
    <n v="0"/>
    <n v="101"/>
    <s v="_x0000_US"/>
  </r>
  <r>
    <x v="0"/>
    <n v="13.679500000000001"/>
    <n v="-89.197199999999995"/>
    <n v="10639"/>
    <n v="0"/>
    <n v="0"/>
    <n v="101"/>
    <s v="_x0000_US"/>
  </r>
  <r>
    <x v="0"/>
    <n v="13.6922"/>
    <n v="-89.226399999999998"/>
    <n v="10639"/>
    <n v="0"/>
    <n v="0"/>
    <n v="101"/>
    <s v="_x0000_US"/>
  </r>
  <r>
    <x v="0"/>
    <n v="13.6907"/>
    <n v="-89.235500000000002"/>
    <n v="10639.1"/>
    <n v="0"/>
    <n v="0"/>
    <n v="101"/>
    <s v="_x0000_US"/>
  </r>
  <r>
    <x v="0"/>
    <n v="13.689299999999999"/>
    <n v="-89.180999999999997"/>
    <n v="10639.2"/>
    <n v="0"/>
    <n v="0"/>
    <n v="101"/>
    <s v="_x0000_US"/>
  </r>
  <r>
    <x v="0"/>
    <n v="13.6914"/>
    <n v="-89.183999999999997"/>
    <n v="10639.2"/>
    <n v="0"/>
    <n v="0"/>
    <n v="101"/>
    <s v="_x0000_US"/>
  </r>
  <r>
    <x v="0"/>
    <n v="13.690099999999999"/>
    <n v="-89.184200000000004"/>
    <n v="10639.5"/>
    <n v="0"/>
    <n v="0"/>
    <n v="101"/>
    <s v="_x0000_US"/>
  </r>
  <r>
    <x v="0"/>
    <n v="13.679600000000001"/>
    <n v="-89.197199999999995"/>
    <n v="10639.9"/>
    <n v="0"/>
    <n v="0"/>
    <n v="101"/>
    <s v="_x0000_US"/>
  </r>
  <r>
    <x v="0"/>
    <n v="13.692"/>
    <n v="-89.194299999999998"/>
    <n v="10640.3"/>
    <n v="0"/>
    <n v="0"/>
    <n v="101"/>
    <s v="_x0000_US"/>
  </r>
  <r>
    <x v="0"/>
    <n v="13.6913"/>
    <n v="-89.233800000000002"/>
    <n v="10640.3"/>
    <n v="0"/>
    <n v="0"/>
    <n v="101"/>
    <s v="_x0000_US"/>
  </r>
  <r>
    <x v="0"/>
    <n v="13.68"/>
    <n v="-89.195999999999998"/>
    <n v="10640.5"/>
    <n v="0"/>
    <n v="0"/>
    <n v="101"/>
    <s v="_x0000_US"/>
  </r>
  <r>
    <x v="0"/>
    <n v="13.690300000000001"/>
    <n v="-89.177400000000006"/>
    <n v="10640.9"/>
    <n v="0"/>
    <n v="0"/>
    <n v="101"/>
    <s v="_x0000_US"/>
  </r>
  <r>
    <x v="0"/>
    <n v="13.6958"/>
    <n v="-89.172799999999995"/>
    <n v="10640.9"/>
    <n v="0"/>
    <n v="0"/>
    <n v="101"/>
    <s v="_x0000_US"/>
  </r>
  <r>
    <x v="0"/>
    <n v="13.686400000000001"/>
    <n v="-89.214799999999997"/>
    <n v="10641.4"/>
    <n v="0"/>
    <n v="0"/>
    <n v="101"/>
    <s v="_x0000_US"/>
  </r>
  <r>
    <x v="0"/>
    <n v="13.690799999999999"/>
    <n v="-89.231499999999997"/>
    <n v="10641.6"/>
    <n v="0"/>
    <n v="0"/>
    <n v="101"/>
    <s v="_x0000_US"/>
  </r>
  <r>
    <x v="0"/>
    <n v="13.6968"/>
    <n v="-89.171899999999994"/>
    <n v="10642"/>
    <n v="0"/>
    <n v="0"/>
    <n v="101"/>
    <s v="_x0000_US"/>
  </r>
  <r>
    <x v="0"/>
    <n v="13.6919"/>
    <n v="-89.221500000000006"/>
    <n v="10642"/>
    <n v="0"/>
    <n v="0"/>
    <n v="101"/>
    <s v="_x0000_US"/>
  </r>
  <r>
    <x v="0"/>
    <n v="13.6851"/>
    <n v="-89.212999999999994"/>
    <n v="10642.1"/>
    <n v="0"/>
    <n v="0"/>
    <n v="101"/>
    <s v="_x0000_US"/>
  </r>
  <r>
    <x v="0"/>
    <n v="13.6912"/>
    <n v="-89.228700000000003"/>
    <n v="10642.1"/>
    <n v="0"/>
    <n v="0"/>
    <n v="101"/>
    <s v="_x0000_US"/>
  </r>
  <r>
    <x v="0"/>
    <n v="13.6921"/>
    <n v="-89.225099999999998"/>
    <n v="10642.1"/>
    <n v="0"/>
    <n v="0"/>
    <n v="101"/>
    <s v="_x0000_US"/>
  </r>
  <r>
    <x v="0"/>
    <n v="13.6854"/>
    <n v="-89.216300000000004"/>
    <n v="10643.2"/>
    <n v="0"/>
    <n v="0"/>
    <n v="101"/>
    <s v="_x0000_US"/>
  </r>
  <r>
    <x v="0"/>
    <n v="13.690200000000001"/>
    <n v="-89.177400000000006"/>
    <n v="10643.7"/>
    <n v="0"/>
    <n v="0"/>
    <n v="101"/>
    <s v="_x0000_US"/>
  </r>
  <r>
    <x v="0"/>
    <n v="13.692500000000001"/>
    <n v="-89.186499999999995"/>
    <n v="10644.2"/>
    <n v="0"/>
    <n v="0"/>
    <n v="101"/>
    <s v="_x0000_US"/>
  </r>
  <r>
    <x v="0"/>
    <n v="13.692"/>
    <n v="-89.227099999999993"/>
    <n v="10644.2"/>
    <n v="0"/>
    <n v="0"/>
    <n v="101"/>
    <s v="_x0000_US"/>
  </r>
  <r>
    <x v="0"/>
    <n v="13.692500000000001"/>
    <n v="-89.2239"/>
    <n v="10644.2"/>
    <n v="0"/>
    <n v="0"/>
    <n v="101"/>
    <s v="_x0000_US"/>
  </r>
  <r>
    <x v="0"/>
    <n v="13.6874"/>
    <n v="-89.194999999999993"/>
    <n v="10644.9"/>
    <n v="0"/>
    <n v="0"/>
    <n v="101"/>
    <s v="_x0000_US"/>
  </r>
  <r>
    <x v="0"/>
    <n v="13.679600000000001"/>
    <n v="-89.197299999999998"/>
    <n v="10645.1"/>
    <n v="0"/>
    <n v="0"/>
    <n v="101"/>
    <s v="_x0000_US"/>
  </r>
  <r>
    <x v="0"/>
    <n v="13.6873"/>
    <n v="-89.215599999999995"/>
    <n v="10645.2"/>
    <n v="0"/>
    <n v="0"/>
    <n v="101"/>
    <s v="_x0000_US"/>
  </r>
  <r>
    <x v="0"/>
    <n v="13.687200000000001"/>
    <n v="-89.196399999999997"/>
    <n v="10645.4"/>
    <n v="0"/>
    <n v="0"/>
    <n v="101"/>
    <s v="_x0000_US"/>
  </r>
  <r>
    <x v="0"/>
    <n v="13.6936"/>
    <n v="-89.176900000000003"/>
    <n v="10645.4"/>
    <n v="0"/>
    <n v="0"/>
    <n v="101"/>
    <s v="_x0000_US"/>
  </r>
  <r>
    <x v="0"/>
    <n v="13.693300000000001"/>
    <n v="-89.189099999999996"/>
    <n v="10646.2"/>
    <n v="0"/>
    <n v="0"/>
    <n v="101"/>
    <s v="_x0000_US"/>
  </r>
  <r>
    <x v="0"/>
    <n v="13.692299999999999"/>
    <n v="-89.226600000000005"/>
    <n v="10646.2"/>
    <n v="0"/>
    <n v="0"/>
    <n v="101"/>
    <s v="_x0000_US"/>
  </r>
  <r>
    <x v="0"/>
    <n v="13.6938"/>
    <n v="-89.183599999999998"/>
    <n v="10646.6"/>
    <n v="0"/>
    <n v="0"/>
    <n v="101"/>
    <s v="_x0000_US"/>
  </r>
  <r>
    <x v="0"/>
    <n v="13.688000000000001"/>
    <n v="-89.212000000000003"/>
    <n v="10646.6"/>
    <n v="0"/>
    <n v="0"/>
    <n v="101"/>
    <s v="_x0000_US"/>
  </r>
  <r>
    <x v="0"/>
    <n v="13.6914"/>
    <n v="-89.181899999999999"/>
    <n v="10647.1"/>
    <n v="0"/>
    <n v="0"/>
    <n v="101"/>
    <s v="_x0000_US"/>
  </r>
  <r>
    <x v="0"/>
    <n v="13.686999999999999"/>
    <n v="-89.205399999999997"/>
    <n v="10647.1"/>
    <n v="0"/>
    <n v="0"/>
    <n v="101"/>
    <s v="_x0000_US"/>
  </r>
  <r>
    <x v="0"/>
    <n v="13.687099999999999"/>
    <n v="-89.194599999999994"/>
    <n v="10647.3"/>
    <n v="0"/>
    <n v="0"/>
    <n v="101"/>
    <s v="_x0000_US"/>
  </r>
  <r>
    <x v="0"/>
    <n v="13.685"/>
    <n v="-89.202500000000001"/>
    <n v="10647.4"/>
    <n v="0"/>
    <n v="0"/>
    <n v="101"/>
    <s v="_x0000_US"/>
  </r>
  <r>
    <x v="0"/>
    <n v="13.6874"/>
    <n v="-89.210899999999995"/>
    <n v="10647.6"/>
    <n v="0"/>
    <n v="0"/>
    <n v="101"/>
    <s v="_x0000_US"/>
  </r>
  <r>
    <x v="0"/>
    <n v="13.690799999999999"/>
    <n v="-89.233599999999996"/>
    <n v="10647.6"/>
    <n v="0"/>
    <n v="0"/>
    <n v="101"/>
    <s v="_x0000_US"/>
  </r>
  <r>
    <x v="0"/>
    <n v="13.6915"/>
    <n v="-89.186499999999995"/>
    <n v="10647.7"/>
    <n v="0"/>
    <n v="0"/>
    <n v="101"/>
    <s v="_x0000_US"/>
  </r>
  <r>
    <x v="0"/>
    <n v="13.6927"/>
    <n v="-89.225200000000001"/>
    <n v="10647.7"/>
    <n v="0"/>
    <n v="0"/>
    <n v="101"/>
    <s v="_x0000_US"/>
  </r>
  <r>
    <x v="0"/>
    <n v="13.6867"/>
    <n v="-89.194500000000005"/>
    <n v="10648.2"/>
    <n v="0"/>
    <n v="0"/>
    <n v="101"/>
    <s v="_x0000_US"/>
  </r>
  <r>
    <x v="0"/>
    <n v="13.6942"/>
    <n v="-89.173500000000004"/>
    <n v="10648.4"/>
    <n v="0"/>
    <n v="0"/>
    <n v="101"/>
    <s v="_x0000_US"/>
  </r>
  <r>
    <x v="0"/>
    <n v="13.6907"/>
    <n v="-89.233999999999995"/>
    <n v="10649"/>
    <n v="0"/>
    <n v="0"/>
    <n v="101"/>
    <s v="_x0000_US"/>
  </r>
  <r>
    <x v="0"/>
    <n v="13.687099999999999"/>
    <n v="-89.204300000000003"/>
    <n v="10649.1"/>
    <n v="0"/>
    <n v="0"/>
    <n v="101"/>
    <s v="_x0000_US"/>
  </r>
  <r>
    <x v="0"/>
    <n v="13.692"/>
    <n v="-89.2239"/>
    <n v="10649.8"/>
    <n v="0"/>
    <n v="0"/>
    <n v="101"/>
    <s v="_x0000_US"/>
  </r>
  <r>
    <x v="0"/>
    <n v="13.6905"/>
    <n v="-89.227900000000005"/>
    <n v="10650"/>
    <n v="0"/>
    <n v="0"/>
    <n v="101"/>
    <s v="_x0000_US"/>
  </r>
  <r>
    <x v="0"/>
    <n v="13.6874"/>
    <n v="-89.180199999999999"/>
    <n v="10650.4"/>
    <n v="0"/>
    <n v="0"/>
    <n v="101"/>
    <s v="_x0000_US"/>
  </r>
  <r>
    <x v="0"/>
    <n v="13.6915"/>
    <n v="-89.185299999999998"/>
    <n v="10650.8"/>
    <n v="0"/>
    <n v="0"/>
    <n v="101"/>
    <s v="_x0000_US"/>
  </r>
  <r>
    <x v="0"/>
    <n v="13.6868"/>
    <n v="-89.1828"/>
    <n v="10650.8"/>
    <n v="0"/>
    <n v="0"/>
    <n v="101"/>
    <s v="_x0000_US"/>
  </r>
  <r>
    <x v="0"/>
    <n v="13.686999999999999"/>
    <n v="-89.212800000000001"/>
    <n v="10650.9"/>
    <n v="0"/>
    <n v="0"/>
    <n v="101"/>
    <s v="_x0000_US"/>
  </r>
  <r>
    <x v="0"/>
    <n v="13.691000000000001"/>
    <n v="-89.190600000000003"/>
    <n v="10651.1"/>
    <n v="0"/>
    <n v="0"/>
    <n v="101"/>
    <s v="_x0000_US"/>
  </r>
  <r>
    <x v="0"/>
    <n v="13.688800000000001"/>
    <n v="-89.229399999999998"/>
    <n v="10651.4"/>
    <n v="0"/>
    <n v="0"/>
    <n v="101"/>
    <s v="_x0000_US"/>
  </r>
  <r>
    <x v="0"/>
    <n v="13.6883"/>
    <n v="-89.236599999999996"/>
    <n v="10651.7"/>
    <n v="0"/>
    <n v="0"/>
    <n v="101"/>
    <s v="_x0000_US"/>
  </r>
  <r>
    <x v="0"/>
    <n v="13.675000000000001"/>
    <n v="-89.251900000000006"/>
    <n v="10651.7"/>
    <n v="0"/>
    <n v="0"/>
    <n v="101"/>
    <s v="_x0000_US"/>
  </r>
  <r>
    <x v="0"/>
    <n v="13.686999999999999"/>
    <n v="-89.205200000000005"/>
    <n v="10652.2"/>
    <n v="0"/>
    <n v="0"/>
    <n v="101"/>
    <s v="_x0000_US"/>
  </r>
  <r>
    <x v="0"/>
    <n v="13.689500000000001"/>
    <n v="-89.235500000000002"/>
    <n v="10652.4"/>
    <n v="0"/>
    <n v="0"/>
    <n v="101"/>
    <s v="_x0000_US"/>
  </r>
  <r>
    <x v="0"/>
    <n v="13.690899999999999"/>
    <n v="-89.190600000000003"/>
    <n v="10652.6"/>
    <n v="0"/>
    <n v="0"/>
    <n v="101"/>
    <s v="_x0000_US"/>
  </r>
  <r>
    <x v="0"/>
    <n v="13.6869"/>
    <n v="-89.216300000000004"/>
    <n v="10652.7"/>
    <n v="0"/>
    <n v="0"/>
    <n v="101"/>
    <s v="_x0000_US"/>
  </r>
  <r>
    <x v="0"/>
    <n v="13.69"/>
    <n v="-89.184700000000007"/>
    <n v="10652.8"/>
    <n v="0"/>
    <n v="0"/>
    <n v="101"/>
    <s v="_x0000_US"/>
  </r>
  <r>
    <x v="0"/>
    <n v="13.6945"/>
    <n v="-89.183499999999995"/>
    <n v="10652.9"/>
    <n v="0"/>
    <n v="0"/>
    <n v="101"/>
    <s v="_x0000_US"/>
  </r>
  <r>
    <x v="0"/>
    <n v="13.6911"/>
    <n v="-89.190100000000001"/>
    <n v="10652.9"/>
    <n v="0"/>
    <n v="0"/>
    <n v="101"/>
    <s v="_x0000_US"/>
  </r>
  <r>
    <x v="0"/>
    <n v="13.688499999999999"/>
    <n v="-89.198099999999997"/>
    <n v="10652.9"/>
    <n v="0"/>
    <n v="0"/>
    <n v="101"/>
    <s v="_x0000_US"/>
  </r>
  <r>
    <x v="0"/>
    <n v="13.685700000000001"/>
    <n v="-89.214699999999993"/>
    <n v="10653"/>
    <n v="0"/>
    <n v="0"/>
    <n v="101"/>
    <s v="_x0000_US"/>
  </r>
  <r>
    <x v="0"/>
    <n v="13.688700000000001"/>
    <n v="-89.216499999999996"/>
    <n v="10653.6"/>
    <n v="0"/>
    <n v="0"/>
    <n v="101"/>
    <s v="_x0000_US"/>
  </r>
  <r>
    <x v="0"/>
    <n v="13.686199999999999"/>
    <n v="-89.201300000000003"/>
    <n v="10653.7"/>
    <n v="0"/>
    <n v="0"/>
    <n v="101"/>
    <s v="_x0000_US"/>
  </r>
  <r>
    <x v="0"/>
    <n v="13.695600000000001"/>
    <n v="-89.173000000000002"/>
    <n v="10654"/>
    <n v="0"/>
    <n v="0"/>
    <n v="101"/>
    <s v="_x0000_US"/>
  </r>
  <r>
    <x v="0"/>
    <n v="13.692"/>
    <n v="-89.179299999999998"/>
    <n v="10654.3"/>
    <n v="0"/>
    <n v="0"/>
    <n v="101"/>
    <s v="_x0000_US"/>
  </r>
  <r>
    <x v="0"/>
    <n v="13.6884"/>
    <n v="-89.1982"/>
    <n v="10654.4"/>
    <n v="0"/>
    <n v="0"/>
    <n v="101"/>
    <s v="_x0000_US"/>
  </r>
  <r>
    <x v="0"/>
    <n v="13.6782"/>
    <n v="-89.1965"/>
    <n v="10655.2"/>
    <n v="0"/>
    <n v="0"/>
    <n v="101"/>
    <s v="_x0000_US"/>
  </r>
  <r>
    <x v="0"/>
    <n v="13.6927"/>
    <n v="-89.175799999999995"/>
    <n v="10655.2"/>
    <n v="0"/>
    <n v="0"/>
    <n v="101"/>
    <s v="_x0000_US"/>
  </r>
  <r>
    <x v="0"/>
    <n v="13.685499999999999"/>
    <n v="-89.201300000000003"/>
    <n v="10655.5"/>
    <n v="0"/>
    <n v="0"/>
    <n v="101"/>
    <s v="_x0000_US"/>
  </r>
  <r>
    <x v="0"/>
    <n v="13.6881"/>
    <n v="-89.237099999999998"/>
    <n v="10655.9"/>
    <n v="0"/>
    <n v="0"/>
    <n v="101"/>
    <s v="_x0000_US"/>
  </r>
  <r>
    <x v="0"/>
    <n v="13.692600000000001"/>
    <n v="-89.184899999999999"/>
    <n v="10656"/>
    <n v="0"/>
    <n v="0"/>
    <n v="101"/>
    <s v="_x0000_US"/>
  </r>
  <r>
    <x v="0"/>
    <n v="13.688000000000001"/>
    <n v="-89.215900000000005"/>
    <n v="10656.5"/>
    <n v="0"/>
    <n v="0"/>
    <n v="101"/>
    <s v="_x0000_US"/>
  </r>
  <r>
    <x v="0"/>
    <n v="13.691800000000001"/>
    <n v="-89.179199999999994"/>
    <n v="10656.8"/>
    <n v="0"/>
    <n v="0"/>
    <n v="101"/>
    <s v="_x0000_US"/>
  </r>
  <r>
    <x v="0"/>
    <n v="13.691599999999999"/>
    <n v="-89.2333"/>
    <n v="10657.3"/>
    <n v="0"/>
    <n v="0"/>
    <n v="101"/>
    <s v="_x0000_US"/>
  </r>
  <r>
    <x v="0"/>
    <n v="13.686"/>
    <n v="-89.198400000000007"/>
    <n v="10657.9"/>
    <n v="0"/>
    <n v="0"/>
    <n v="101"/>
    <s v="_x0000_US"/>
  </r>
  <r>
    <x v="0"/>
    <n v="13.687799999999999"/>
    <n v="-89.2166"/>
    <n v="10658.7"/>
    <n v="0"/>
    <n v="0"/>
    <n v="101"/>
    <s v="_x0000_US"/>
  </r>
  <r>
    <x v="0"/>
    <n v="13.6907"/>
    <n v="-89.186400000000006"/>
    <n v="10659.9"/>
    <n v="0"/>
    <n v="0"/>
    <n v="101"/>
    <s v="_x0000_US"/>
  </r>
  <r>
    <x v="0"/>
    <n v="13.696"/>
    <n v="-89.172799999999995"/>
    <n v="10660.2"/>
    <n v="0"/>
    <n v="0"/>
    <n v="101"/>
    <s v="_x0000_US"/>
  </r>
  <r>
    <x v="0"/>
    <n v="13.692399999999999"/>
    <n v="-89.178799999999995"/>
    <n v="10660.4"/>
    <n v="0"/>
    <n v="0"/>
    <n v="101"/>
    <s v="_x0000_US"/>
  </r>
  <r>
    <x v="0"/>
    <n v="13.694900000000001"/>
    <n v="-89.174899999999994"/>
    <n v="10660.4"/>
    <n v="0"/>
    <n v="0"/>
    <n v="101"/>
    <s v="_x0000_US"/>
  </r>
  <r>
    <x v="0"/>
    <n v="13.684799999999999"/>
    <n v="-89.215599999999995"/>
    <n v="10660.6"/>
    <n v="0"/>
    <n v="0"/>
    <n v="101"/>
    <s v="_x0000_US"/>
  </r>
  <r>
    <x v="0"/>
    <n v="13.691700000000001"/>
    <n v="-89.232399999999998"/>
    <n v="10660.6"/>
    <n v="0"/>
    <n v="0"/>
    <n v="101"/>
    <s v="_x0000_US"/>
  </r>
  <r>
    <x v="0"/>
    <n v="13.687099999999999"/>
    <n v="-89.197500000000005"/>
    <n v="10660.7"/>
    <n v="0"/>
    <n v="0"/>
    <n v="101"/>
    <s v="_x0000_US"/>
  </r>
  <r>
    <x v="0"/>
    <n v="13.6934"/>
    <n v="-89.173500000000004"/>
    <n v="10661.2"/>
    <n v="0"/>
    <n v="0"/>
    <n v="101"/>
    <s v="_x0000_US"/>
  </r>
  <r>
    <x v="0"/>
    <n v="13.6884"/>
    <n v="-89.204300000000003"/>
    <n v="10662.1"/>
    <n v="0"/>
    <n v="0"/>
    <n v="101"/>
    <s v="_x0000_US"/>
  </r>
  <r>
    <x v="0"/>
    <n v="13.6867"/>
    <n v="-89.182599999999994"/>
    <n v="10662.5"/>
    <n v="0"/>
    <n v="0"/>
    <n v="101"/>
    <s v="_x0000_US"/>
  </r>
  <r>
    <x v="0"/>
    <n v="13.687099999999999"/>
    <n v="-89.197699999999998"/>
    <n v="10662.7"/>
    <n v="0"/>
    <n v="0"/>
    <n v="101"/>
    <s v="_x0000_US"/>
  </r>
  <r>
    <x v="0"/>
    <n v="13.692299999999999"/>
    <n v="-89.2226"/>
    <n v="10662.7"/>
    <n v="0"/>
    <n v="0"/>
    <n v="101"/>
    <s v="_x0000_US"/>
  </r>
  <r>
    <x v="0"/>
    <n v="13.6873"/>
    <n v="-89.1935"/>
    <n v="10663.3"/>
    <n v="0"/>
    <n v="0"/>
    <n v="101"/>
    <s v="_x0000_US"/>
  </r>
  <r>
    <x v="0"/>
    <n v="13.6944"/>
    <n v="-89.185500000000005"/>
    <n v="10663.4"/>
    <n v="0"/>
    <n v="0"/>
    <n v="101"/>
    <s v="_x0000_US"/>
  </r>
  <r>
    <x v="0"/>
    <n v="13.6859"/>
    <n v="-89.211399999999998"/>
    <n v="10663.6"/>
    <n v="0"/>
    <n v="0"/>
    <n v="101"/>
    <s v="_x0000_US"/>
  </r>
  <r>
    <x v="0"/>
    <n v="13.6919"/>
    <n v="-89.221599999999995"/>
    <n v="10663.7"/>
    <n v="0"/>
    <n v="0"/>
    <n v="101"/>
    <s v="_x0000_US"/>
  </r>
  <r>
    <x v="0"/>
    <n v="13.6881"/>
    <n v="-89.180999999999997"/>
    <n v="10663.8"/>
    <n v="0"/>
    <n v="0"/>
    <n v="101"/>
    <s v="_x0000_US"/>
  </r>
  <r>
    <x v="0"/>
    <n v="13.6899"/>
    <n v="-89.216899999999995"/>
    <n v="10664"/>
    <n v="0"/>
    <n v="0"/>
    <n v="101"/>
    <s v="_x0000_US"/>
  </r>
  <r>
    <x v="0"/>
    <n v="13.6912"/>
    <n v="-89.228499999999997"/>
    <n v="10664"/>
    <n v="0"/>
    <n v="0"/>
    <n v="101"/>
    <s v="_x0000_US"/>
  </r>
  <r>
    <x v="0"/>
    <n v="13.6904"/>
    <n v="-89.183400000000006"/>
    <n v="10664.4"/>
    <n v="0"/>
    <n v="0"/>
    <n v="101"/>
    <s v="_x0000_US"/>
  </r>
  <r>
    <x v="0"/>
    <n v="13.6854"/>
    <n v="-89.201800000000006"/>
    <n v="10664.8"/>
    <n v="0"/>
    <n v="0"/>
    <n v="101"/>
    <s v="_x0000_US"/>
  </r>
  <r>
    <x v="0"/>
    <n v="13.693099999999999"/>
    <n v="-89.189800000000005"/>
    <n v="10664.9"/>
    <n v="0"/>
    <n v="0"/>
    <n v="101"/>
    <s v="_x0000_US"/>
  </r>
  <r>
    <x v="0"/>
    <n v="13.6746"/>
    <n v="-89.199399999999997"/>
    <n v="10664.9"/>
    <n v="0"/>
    <n v="0"/>
    <n v="101"/>
    <s v="_x0000_US"/>
  </r>
  <r>
    <x v="0"/>
    <n v="13.691700000000001"/>
    <n v="-89.232699999999994"/>
    <n v="10665.3"/>
    <n v="0"/>
    <n v="0"/>
    <n v="101"/>
    <s v="_x0000_US"/>
  </r>
  <r>
    <x v="0"/>
    <n v="13.684900000000001"/>
    <n v="-89.201800000000006"/>
    <n v="10665.4"/>
    <n v="0"/>
    <n v="0"/>
    <n v="101"/>
    <s v="_x0000_US"/>
  </r>
  <r>
    <x v="0"/>
    <n v="13.6875"/>
    <n v="-89.194800000000001"/>
    <n v="10665.8"/>
    <n v="0"/>
    <n v="0"/>
    <n v="101"/>
    <s v="_x0000_US"/>
  </r>
  <r>
    <x v="0"/>
    <n v="13.688599999999999"/>
    <n v="-89.180400000000006"/>
    <n v="10666.2"/>
    <n v="0"/>
    <n v="0"/>
    <n v="101"/>
    <s v="_x0000_US"/>
  </r>
  <r>
    <x v="0"/>
    <n v="13.6945"/>
    <n v="-89.185299999999998"/>
    <n v="10666.3"/>
    <n v="0"/>
    <n v="0"/>
    <n v="101"/>
    <s v="_x0000_US"/>
  </r>
  <r>
    <x v="0"/>
    <n v="13.686999999999999"/>
    <n v="-89.194699999999997"/>
    <n v="10666.5"/>
    <n v="0"/>
    <n v="0"/>
    <n v="101"/>
    <s v="_x0000_US"/>
  </r>
  <r>
    <x v="0"/>
    <n v="13.686400000000001"/>
    <n v="-89.203299999999999"/>
    <n v="10666.9"/>
    <n v="0"/>
    <n v="0"/>
    <n v="101"/>
    <s v="_x0000_US"/>
  </r>
  <r>
    <x v="0"/>
    <n v="13.689399999999999"/>
    <n v="-89.184799999999996"/>
    <n v="10667.1"/>
    <n v="0"/>
    <n v="0"/>
    <n v="101"/>
    <s v="_x0000_US"/>
  </r>
  <r>
    <x v="0"/>
    <n v="13.692500000000001"/>
    <n v="-89.226299999999995"/>
    <n v="10667.3"/>
    <n v="0"/>
    <n v="0"/>
    <n v="101"/>
    <s v="_x0000_US"/>
  </r>
  <r>
    <x v="0"/>
    <n v="13.6874"/>
    <n v="-89.194999999999993"/>
    <n v="10667.6"/>
    <n v="0"/>
    <n v="0"/>
    <n v="101"/>
    <s v="_x0000_US"/>
  </r>
  <r>
    <x v="0"/>
    <n v="13.6919"/>
    <n v="-89.183499999999995"/>
    <n v="10668.1"/>
    <n v="0"/>
    <n v="0"/>
    <n v="101"/>
    <s v="_x0000_US"/>
  </r>
  <r>
    <x v="0"/>
    <n v="13.6853"/>
    <n v="-89.202100000000002"/>
    <n v="10668.1"/>
    <n v="0"/>
    <n v="0"/>
    <n v="101"/>
    <s v="_x0000_US"/>
  </r>
  <r>
    <x v="0"/>
    <n v="13.692399999999999"/>
    <n v="-89.223200000000006"/>
    <n v="10668.3"/>
    <n v="0"/>
    <n v="0"/>
    <n v="101"/>
    <s v="_x0000_US"/>
  </r>
  <r>
    <x v="0"/>
    <n v="13.6913"/>
    <n v="-89.228899999999996"/>
    <n v="10668.4"/>
    <n v="0"/>
    <n v="0"/>
    <n v="101"/>
    <s v="_x0000_US"/>
  </r>
  <r>
    <x v="0"/>
    <n v="13.685600000000001"/>
    <n v="-89.193600000000004"/>
    <n v="10669.2"/>
    <n v="0"/>
    <n v="0"/>
    <n v="101"/>
    <s v="_x0000_US"/>
  </r>
  <r>
    <x v="0"/>
    <n v="13.6904"/>
    <n v="-89.235699999999994"/>
    <n v="10669.5"/>
    <n v="0"/>
    <n v="0"/>
    <n v="101"/>
    <s v="_x0000_US"/>
  </r>
  <r>
    <x v="0"/>
    <n v="13.691599999999999"/>
    <n v="-89.193399999999997"/>
    <n v="10669.9"/>
    <n v="0"/>
    <n v="0"/>
    <n v="101"/>
    <s v="_x0000_US"/>
  </r>
  <r>
    <x v="0"/>
    <n v="13.6889"/>
    <n v="-89.205399999999997"/>
    <n v="10670.3"/>
    <n v="0"/>
    <n v="0"/>
    <n v="101"/>
    <s v="_x0000_US"/>
  </r>
  <r>
    <x v="0"/>
    <n v="13.693199999999999"/>
    <n v="-89.176500000000004"/>
    <n v="10670.3"/>
    <n v="0"/>
    <n v="0"/>
    <n v="101"/>
    <s v="_x0000_US"/>
  </r>
  <r>
    <x v="0"/>
    <n v="13.6877"/>
    <n v="-89.1798"/>
    <n v="10670.6"/>
    <n v="0"/>
    <n v="0"/>
    <n v="101"/>
    <s v="_x0000_US"/>
  </r>
  <r>
    <x v="0"/>
    <n v="13.6907"/>
    <n v="-89.1875"/>
    <n v="10670.9"/>
    <n v="0"/>
    <n v="0"/>
    <n v="101"/>
    <s v="_x0000_US"/>
  </r>
  <r>
    <x v="0"/>
    <n v="13.692399999999999"/>
    <n v="-89.225899999999996"/>
    <n v="10671"/>
    <n v="0"/>
    <n v="0"/>
    <n v="101"/>
    <s v="_x0000_US"/>
  </r>
  <r>
    <x v="0"/>
    <n v="13.6914"/>
    <n v="-89.232399999999998"/>
    <n v="10671"/>
    <n v="0"/>
    <n v="0"/>
    <n v="101"/>
    <s v="_x0000_US"/>
  </r>
  <r>
    <x v="0"/>
    <n v="13.6859"/>
    <n v="-89.211600000000004"/>
    <n v="10671.5"/>
    <n v="0"/>
    <n v="0"/>
    <n v="101"/>
    <s v="_x0000_US"/>
  </r>
  <r>
    <x v="0"/>
    <n v="13.675000000000001"/>
    <n v="-89.250900000000001"/>
    <n v="10671.6"/>
    <n v="0"/>
    <n v="0"/>
    <n v="101"/>
    <s v="_x0000_US"/>
  </r>
  <r>
    <x v="0"/>
    <n v="13.686999999999999"/>
    <n v="-89.205500000000001"/>
    <n v="10672.5"/>
    <n v="0"/>
    <n v="0"/>
    <n v="101"/>
    <s v="_x0000_US"/>
  </r>
  <r>
    <x v="0"/>
    <n v="13.687099999999999"/>
    <n v="-89.1815"/>
    <n v="10672.8"/>
    <n v="0"/>
    <n v="0"/>
    <n v="101"/>
    <s v="_x0000_US"/>
  </r>
  <r>
    <x v="0"/>
    <n v="13.684699999999999"/>
    <n v="-89.215500000000006"/>
    <n v="10673.1"/>
    <n v="0"/>
    <n v="0"/>
    <n v="101"/>
    <s v="_x0000_US"/>
  </r>
  <r>
    <x v="0"/>
    <n v="13.687200000000001"/>
    <n v="-89.180999999999997"/>
    <n v="10673.3"/>
    <n v="0"/>
    <n v="0"/>
    <n v="101"/>
    <s v="_x0000_US"/>
  </r>
  <r>
    <x v="0"/>
    <n v="13.691000000000001"/>
    <n v="-89.219800000000006"/>
    <n v="10673.3"/>
    <n v="0"/>
    <n v="0"/>
    <n v="101"/>
    <s v="_x0000_US"/>
  </r>
  <r>
    <x v="0"/>
    <n v="13.688800000000001"/>
    <n v="-89.181399999999996"/>
    <n v="10673.4"/>
    <n v="0"/>
    <n v="0"/>
    <n v="101"/>
    <s v="_x0000_US"/>
  </r>
  <r>
    <x v="0"/>
    <n v="13.689399999999999"/>
    <n v="-89.197699999999998"/>
    <n v="10673.7"/>
    <n v="0"/>
    <n v="0"/>
    <n v="101"/>
    <s v="_x0000_US"/>
  </r>
  <r>
    <x v="0"/>
    <n v="13.679600000000001"/>
    <n v="-89.196700000000007"/>
    <n v="10673.9"/>
    <n v="0"/>
    <n v="0"/>
    <n v="101"/>
    <s v="_x0000_US"/>
  </r>
  <r>
    <x v="0"/>
    <n v="13.687799999999999"/>
    <n v="-89.204800000000006"/>
    <n v="10674"/>
    <n v="0"/>
    <n v="0"/>
    <n v="101"/>
    <s v="_x0000_US"/>
  </r>
  <r>
    <x v="0"/>
    <n v="13.6922"/>
    <n v="-89.179900000000004"/>
    <n v="10674.2"/>
    <n v="0"/>
    <n v="0"/>
    <n v="101"/>
    <s v="_x0000_US"/>
  </r>
  <r>
    <x v="0"/>
    <n v="13.692"/>
    <n v="-89.178799999999995"/>
    <n v="10674.9"/>
    <n v="0"/>
    <n v="0"/>
    <n v="101"/>
    <s v="_x0000_US"/>
  </r>
  <r>
    <x v="0"/>
    <n v="13.691000000000001"/>
    <n v="-89.234800000000007"/>
    <n v="10675.3"/>
    <n v="0"/>
    <n v="0"/>
    <n v="101"/>
    <s v="_x0000_US"/>
  </r>
  <r>
    <x v="0"/>
    <n v="13.6768"/>
    <n v="-89.199299999999994"/>
    <n v="10675.5"/>
    <n v="0"/>
    <n v="0"/>
    <n v="101"/>
    <s v="_x0000_US"/>
  </r>
  <r>
    <x v="0"/>
    <n v="13.6867"/>
    <n v="-89.194500000000005"/>
    <n v="10675.7"/>
    <n v="0"/>
    <n v="0"/>
    <n v="101"/>
    <s v="_x0000_US"/>
  </r>
  <r>
    <x v="0"/>
    <n v="13.6927"/>
    <n v="-89.184299999999993"/>
    <n v="10676"/>
    <n v="0"/>
    <n v="0"/>
    <n v="101"/>
    <s v="_x0000_US"/>
  </r>
  <r>
    <x v="0"/>
    <n v="13.690799999999999"/>
    <n v="-89.1905"/>
    <n v="10676"/>
    <n v="0"/>
    <n v="0"/>
    <n v="101"/>
    <s v="_x0000_US"/>
  </r>
  <r>
    <x v="0"/>
    <n v="13.692299999999999"/>
    <n v="-89.224100000000007"/>
    <n v="10676.1"/>
    <n v="0"/>
    <n v="0"/>
    <n v="101"/>
    <s v="_x0000_US"/>
  </r>
  <r>
    <x v="0"/>
    <n v="13.6914"/>
    <n v="-89.177000000000007"/>
    <n v="10676.4"/>
    <n v="0"/>
    <n v="0"/>
    <n v="101"/>
    <s v="_x0000_US"/>
  </r>
  <r>
    <x v="0"/>
    <n v="13.6799"/>
    <n v="-89.195800000000006"/>
    <n v="10676.4"/>
    <n v="0"/>
    <n v="0"/>
    <n v="101"/>
    <s v="_x0000_US"/>
  </r>
  <r>
    <x v="0"/>
    <n v="13.6877"/>
    <n v="-89.194599999999994"/>
    <n v="10676.9"/>
    <n v="0"/>
    <n v="0"/>
    <n v="101"/>
    <s v="_x0000_US"/>
  </r>
  <r>
    <x v="0"/>
    <n v="13.6919"/>
    <n v="-89.224699999999999"/>
    <n v="10677.7"/>
    <n v="0"/>
    <n v="0"/>
    <n v="101"/>
    <s v="_x0000_US"/>
  </r>
  <r>
    <x v="0"/>
    <n v="13.6919"/>
    <n v="-89.221699999999998"/>
    <n v="10677.8"/>
    <n v="0"/>
    <n v="0"/>
    <n v="101"/>
    <s v="_x0000_US"/>
  </r>
  <r>
    <x v="0"/>
    <n v="13.6769"/>
    <n v="-89.248400000000004"/>
    <n v="10677.9"/>
    <n v="0"/>
    <n v="0"/>
    <n v="101"/>
    <s v="_x0000_US"/>
  </r>
  <r>
    <x v="0"/>
    <n v="13.694599999999999"/>
    <n v="-89.185299999999998"/>
    <n v="10678.4"/>
    <n v="0"/>
    <n v="0"/>
    <n v="101"/>
    <s v="_x0000_US"/>
  </r>
  <r>
    <x v="0"/>
    <n v="13.6944"/>
    <n v="-89.174999999999997"/>
    <n v="10679.1"/>
    <n v="0"/>
    <n v="0"/>
    <n v="101"/>
    <s v="_x0000_US"/>
  </r>
  <r>
    <x v="0"/>
    <n v="13.691599999999999"/>
    <n v="-89.228200000000001"/>
    <n v="10679.2"/>
    <n v="0"/>
    <n v="0"/>
    <n v="101"/>
    <s v="_x0000_US"/>
  </r>
  <r>
    <x v="0"/>
    <n v="13.687099999999999"/>
    <n v="-89.203999999999994"/>
    <n v="10679.3"/>
    <n v="0"/>
    <n v="0"/>
    <n v="101"/>
    <s v="_x0000_US"/>
  </r>
  <r>
    <x v="0"/>
    <n v="13.674899999999999"/>
    <n v="-89.2517"/>
    <n v="10680"/>
    <n v="0"/>
    <n v="0"/>
    <n v="101"/>
    <s v="_x0000_US"/>
  </r>
  <r>
    <x v="0"/>
    <n v="13.6907"/>
    <n v="-89.187200000000004"/>
    <n v="10680.1"/>
    <n v="0"/>
    <n v="0"/>
    <n v="101"/>
    <s v="_x0000_US"/>
  </r>
  <r>
    <x v="0"/>
    <n v="13.687799999999999"/>
    <n v="-89.216800000000006"/>
    <n v="10680.3"/>
    <n v="0"/>
    <n v="0"/>
    <n v="101"/>
    <s v="_x0000_US"/>
  </r>
  <r>
    <x v="0"/>
    <n v="13.6914"/>
    <n v="-89.232799999999997"/>
    <n v="10680.3"/>
    <n v="0"/>
    <n v="0"/>
    <n v="101"/>
    <s v="_x0000_US"/>
  </r>
  <r>
    <x v="0"/>
    <n v="13.6861"/>
    <n v="-89.215199999999996"/>
    <n v="10680.4"/>
    <n v="0"/>
    <n v="0"/>
    <n v="101"/>
    <s v="_x0000_US"/>
  </r>
  <r>
    <x v="0"/>
    <n v="13.6875"/>
    <n v="-89.196399999999997"/>
    <n v="10681"/>
    <n v="0"/>
    <n v="0"/>
    <n v="101"/>
    <s v="_x0000_US"/>
  </r>
  <r>
    <x v="0"/>
    <n v="13.692500000000001"/>
    <n v="-89.225300000000004"/>
    <n v="10681"/>
    <n v="0"/>
    <n v="0"/>
    <n v="101"/>
    <s v="_x0000_US"/>
  </r>
  <r>
    <x v="0"/>
    <n v="13.689399999999999"/>
    <n v="-89.181100000000001"/>
    <n v="10681.1"/>
    <n v="0"/>
    <n v="0"/>
    <n v="101"/>
    <s v="_x0000_US"/>
  </r>
  <r>
    <x v="0"/>
    <n v="13.686999999999999"/>
    <n v="-89.197400000000002"/>
    <n v="10681.3"/>
    <n v="0"/>
    <n v="0"/>
    <n v="101"/>
    <s v="_x0000_US"/>
  </r>
  <r>
    <x v="0"/>
    <n v="13.6851"/>
    <n v="-89.215199999999996"/>
    <n v="10681.4"/>
    <n v="0"/>
    <n v="0"/>
    <n v="101"/>
    <s v="_x0000_US"/>
  </r>
  <r>
    <x v="0"/>
    <n v="13.690200000000001"/>
    <n v="-89.193200000000004"/>
    <n v="10681.6"/>
    <n v="0"/>
    <n v="0"/>
    <n v="101"/>
    <s v="_x0000_US"/>
  </r>
  <r>
    <x v="0"/>
    <n v="13.6919"/>
    <n v="-89.226399999999998"/>
    <n v="10681.7"/>
    <n v="0"/>
    <n v="0"/>
    <n v="101"/>
    <s v="_x0000_US"/>
  </r>
  <r>
    <x v="0"/>
    <n v="13.681100000000001"/>
    <n v="-89.195599999999999"/>
    <n v="10681.8"/>
    <n v="0"/>
    <n v="0"/>
    <n v="101"/>
    <s v="_x0000_US"/>
  </r>
  <r>
    <x v="0"/>
    <n v="13.687200000000001"/>
    <n v="-89.194500000000005"/>
    <n v="10681.9"/>
    <n v="0"/>
    <n v="0"/>
    <n v="101"/>
    <s v="_x0000_US"/>
  </r>
  <r>
    <x v="0"/>
    <n v="13.688800000000001"/>
    <n v="-89.2166"/>
    <n v="10682"/>
    <n v="0"/>
    <n v="0"/>
    <n v="101"/>
    <s v="_x0000_US"/>
  </r>
  <r>
    <x v="0"/>
    <n v="13.6898"/>
    <n v="-89.188800000000001"/>
    <n v="10682.7"/>
    <n v="0"/>
    <n v="0"/>
    <n v="101"/>
    <s v="_x0000_US"/>
  </r>
  <r>
    <x v="0"/>
    <n v="13.6854"/>
    <n v="-89.211799999999997"/>
    <n v="10683.9"/>
    <n v="0"/>
    <n v="0"/>
    <n v="101"/>
    <s v="_x0000_US"/>
  </r>
  <r>
    <x v="0"/>
    <n v="13.6921"/>
    <n v="-89.195999999999998"/>
    <n v="10684.1"/>
    <n v="0"/>
    <n v="0"/>
    <n v="101"/>
    <s v="_x0000_US"/>
  </r>
  <r>
    <x v="0"/>
    <n v="13.692"/>
    <n v="-89.224299999999999"/>
    <n v="10684.4"/>
    <n v="0"/>
    <n v="0"/>
    <n v="101"/>
    <s v="_x0000_US"/>
  </r>
  <r>
    <x v="0"/>
    <n v="13.6891"/>
    <n v="-89.184399999999997"/>
    <n v="10684.8"/>
    <n v="0"/>
    <n v="0"/>
    <n v="101"/>
    <s v="_x0000_US"/>
  </r>
  <r>
    <x v="0"/>
    <n v="13.685600000000001"/>
    <n v="-89.202399999999997"/>
    <n v="10685.6"/>
    <n v="0"/>
    <n v="0"/>
    <n v="101"/>
    <s v="_x0000_US"/>
  </r>
  <r>
    <x v="0"/>
    <n v="13.690099999999999"/>
    <n v="-89.235699999999994"/>
    <n v="10685.6"/>
    <n v="0"/>
    <n v="0"/>
    <n v="101"/>
    <s v="_x0000_US"/>
  </r>
  <r>
    <x v="0"/>
    <n v="13.6792"/>
    <n v="-89.196700000000007"/>
    <n v="10686"/>
    <n v="0"/>
    <n v="0"/>
    <n v="101"/>
    <s v="_x0000_US"/>
  </r>
  <r>
    <x v="0"/>
    <n v="13.689299999999999"/>
    <n v="-89.184100000000001"/>
    <n v="10686.6"/>
    <n v="0"/>
    <n v="0"/>
    <n v="101"/>
    <s v="_x0000_US"/>
  </r>
  <r>
    <x v="0"/>
    <n v="13.6874"/>
    <n v="-89.195599999999999"/>
    <n v="10686.7"/>
    <n v="0"/>
    <n v="0"/>
    <n v="101"/>
    <s v="_x0000_US"/>
  </r>
  <r>
    <x v="0"/>
    <n v="13.685"/>
    <n v="-89.211600000000004"/>
    <n v="10687"/>
    <n v="0"/>
    <n v="0"/>
    <n v="101"/>
    <s v="_x0000_US"/>
  </r>
  <r>
    <x v="0"/>
    <n v="13.6922"/>
    <n v="-89.175299999999993"/>
    <n v="10687.1"/>
    <n v="0"/>
    <n v="0"/>
    <n v="101"/>
    <s v="_x0000_US"/>
  </r>
  <r>
    <x v="0"/>
    <n v="13.6873"/>
    <n v="-89.194000000000003"/>
    <n v="10687.8"/>
    <n v="0"/>
    <n v="0"/>
    <n v="101"/>
    <s v="_x0000_US"/>
  </r>
  <r>
    <x v="0"/>
    <n v="13.691800000000001"/>
    <n v="-89.225099999999998"/>
    <n v="10687.9"/>
    <n v="0"/>
    <n v="0"/>
    <n v="101"/>
    <s v="_x0000_US"/>
  </r>
  <r>
    <x v="0"/>
    <n v="13.6898"/>
    <n v="-89.194000000000003"/>
    <n v="10688"/>
    <n v="0"/>
    <n v="0"/>
    <n v="101"/>
    <s v="_x0000_US"/>
  </r>
  <r>
    <x v="0"/>
    <n v="13.690899999999999"/>
    <n v="-89.234499999999997"/>
    <n v="10688.6"/>
    <n v="0"/>
    <n v="0"/>
    <n v="101"/>
    <s v="_x0000_US"/>
  </r>
  <r>
    <x v="0"/>
    <n v="13.6858"/>
    <n v="-89.215400000000002"/>
    <n v="10689"/>
    <n v="0"/>
    <n v="0"/>
    <n v="101"/>
    <s v="_x0000_US"/>
  </r>
  <r>
    <x v="0"/>
    <n v="13.6945"/>
    <n v="-89.174199999999999"/>
    <n v="10689.3"/>
    <n v="0"/>
    <n v="0"/>
    <n v="101"/>
    <s v="_x0000_US"/>
  </r>
  <r>
    <x v="0"/>
    <n v="13.6869"/>
    <n v="-89.194699999999997"/>
    <n v="10689.5"/>
    <n v="0"/>
    <n v="0"/>
    <n v="101"/>
    <s v="_x0000_US"/>
  </r>
  <r>
    <x v="0"/>
    <n v="13.6861"/>
    <n v="-89.216300000000004"/>
    <n v="10689.9"/>
    <n v="0"/>
    <n v="0"/>
    <n v="101"/>
    <s v="_x0000_US"/>
  </r>
  <r>
    <x v="0"/>
    <n v="13.685600000000001"/>
    <n v="-89.211799999999997"/>
    <n v="10690.3"/>
    <n v="0"/>
    <n v="0"/>
    <n v="101"/>
    <s v="_x0000_US"/>
  </r>
  <r>
    <x v="0"/>
    <n v="13.687200000000001"/>
    <n v="-89.215699999999998"/>
    <n v="10690.7"/>
    <n v="0"/>
    <n v="0"/>
    <n v="101"/>
    <s v="_x0000_US"/>
  </r>
  <r>
    <x v="0"/>
    <n v="13.6899"/>
    <n v="-89.197999999999993"/>
    <n v="10691.7"/>
    <n v="0"/>
    <n v="0"/>
    <n v="101"/>
    <s v="_x0000_US"/>
  </r>
  <r>
    <x v="0"/>
    <n v="13.6752"/>
    <n v="-89.251999999999995"/>
    <n v="10692"/>
    <n v="0"/>
    <n v="0"/>
    <n v="101"/>
    <s v="_x0000_US"/>
  </r>
  <r>
    <x v="0"/>
    <n v="13.693199999999999"/>
    <n v="-89.177700000000002"/>
    <n v="10692.1"/>
    <n v="0"/>
    <n v="0"/>
    <n v="101"/>
    <s v="_x0000_US"/>
  </r>
  <r>
    <x v="0"/>
    <n v="13.6957"/>
    <n v="-89.171800000000005"/>
    <n v="10692.1"/>
    <n v="0"/>
    <n v="0"/>
    <n v="101"/>
    <s v="_x0000_US"/>
  </r>
  <r>
    <x v="0"/>
    <n v="13.694599999999999"/>
    <n v="-89.174800000000005"/>
    <n v="10693.3"/>
    <n v="0"/>
    <n v="0"/>
    <n v="101"/>
    <s v="_x0000_US"/>
  </r>
  <r>
    <x v="0"/>
    <n v="13.690899999999999"/>
    <n v="-89.190600000000003"/>
    <n v="10693.6"/>
    <n v="0"/>
    <n v="0"/>
    <n v="101"/>
    <s v="_x0000_US"/>
  </r>
  <r>
    <x v="0"/>
    <n v="13.686999999999999"/>
    <n v="-89.194599999999994"/>
    <n v="10694.2"/>
    <n v="0"/>
    <n v="0"/>
    <n v="101"/>
    <s v="_x0000_US"/>
  </r>
  <r>
    <x v="0"/>
    <n v="13.6896"/>
    <n v="-89.181100000000001"/>
    <n v="10694.2"/>
    <n v="0"/>
    <n v="0"/>
    <n v="101"/>
    <s v="_x0000_US"/>
  </r>
  <r>
    <x v="0"/>
    <n v="13.687099999999999"/>
    <n v="-89.194699999999997"/>
    <n v="10695.2"/>
    <n v="0"/>
    <n v="0"/>
    <n v="101"/>
    <s v="_x0000_US"/>
  </r>
  <r>
    <x v="0"/>
    <n v="13.691000000000001"/>
    <n v="-89.228700000000003"/>
    <n v="10695.4"/>
    <n v="0"/>
    <n v="0"/>
    <n v="101"/>
    <s v="_x0000_US"/>
  </r>
  <r>
    <x v="0"/>
    <n v="13.691700000000001"/>
    <n v="-89.226799999999997"/>
    <n v="10695.5"/>
    <n v="0"/>
    <n v="0"/>
    <n v="101"/>
    <s v="_x0000_US"/>
  </r>
  <r>
    <x v="0"/>
    <n v="13.6907"/>
    <n v="-89.186499999999995"/>
    <n v="10695.7"/>
    <n v="0"/>
    <n v="0"/>
    <n v="101"/>
    <s v="_x0000_US"/>
  </r>
  <r>
    <x v="0"/>
    <n v="13.6952"/>
    <n v="-89.173900000000003"/>
    <n v="10695.9"/>
    <n v="0"/>
    <n v="0"/>
    <n v="101"/>
    <s v="_x0000_US"/>
  </r>
  <r>
    <x v="0"/>
    <n v="13.691700000000001"/>
    <n v="-89.225700000000003"/>
    <n v="10695.9"/>
    <n v="0"/>
    <n v="0"/>
    <n v="101"/>
    <s v="_x0000_US"/>
  </r>
  <r>
    <x v="0"/>
    <n v="13.69"/>
    <n v="-89.217200000000005"/>
    <n v="10696.4"/>
    <n v="0"/>
    <n v="0"/>
    <n v="101"/>
    <s v="_x0000_US"/>
  </r>
  <r>
    <x v="0"/>
    <n v="13.694800000000001"/>
    <n v="-89.174999999999997"/>
    <n v="10696.5"/>
    <n v="0"/>
    <n v="0"/>
    <n v="101"/>
    <s v="_x0000_US"/>
  </r>
  <r>
    <x v="0"/>
    <n v="13.69"/>
    <n v="-89.179599999999994"/>
    <n v="10696.8"/>
    <n v="0"/>
    <n v="0"/>
    <n v="101"/>
    <s v="_x0000_US"/>
  </r>
  <r>
    <x v="0"/>
    <n v="13.686999999999999"/>
    <n v="-89.204599999999999"/>
    <n v="10696.8"/>
    <n v="0"/>
    <n v="0"/>
    <n v="101"/>
    <s v="_x0000_US"/>
  </r>
  <r>
    <x v="0"/>
    <n v="13.6935"/>
    <n v="-89.188699999999997"/>
    <n v="10697.5"/>
    <n v="0"/>
    <n v="0"/>
    <n v="101"/>
    <s v="_x0000_US"/>
  </r>
  <r>
    <x v="0"/>
    <n v="13.6921"/>
    <n v="-89.185900000000004"/>
    <n v="10697.5"/>
    <n v="0"/>
    <n v="0"/>
    <n v="101"/>
    <s v="_x0000_US"/>
  </r>
  <r>
    <x v="0"/>
    <n v="13.6912"/>
    <n v="-89.228800000000007"/>
    <n v="10697.8"/>
    <n v="0"/>
    <n v="0"/>
    <n v="101"/>
    <s v="_x0000_US"/>
  </r>
  <r>
    <x v="0"/>
    <n v="13.694100000000001"/>
    <n v="-89.182400000000001"/>
    <n v="10698.5"/>
    <n v="0"/>
    <n v="0"/>
    <n v="101"/>
    <s v="_x0000_US"/>
  </r>
  <r>
    <x v="0"/>
    <n v="13.695499999999999"/>
    <n v="-89.173400000000001"/>
    <n v="10698.6"/>
    <n v="0"/>
    <n v="0"/>
    <n v="101"/>
    <s v="_x0000_US"/>
  </r>
  <r>
    <x v="0"/>
    <n v="13.6907"/>
    <n v="-89.186899999999994"/>
    <n v="10699"/>
    <n v="0"/>
    <n v="0"/>
    <n v="101"/>
    <s v="_x0000_US"/>
  </r>
  <r>
    <x v="0"/>
    <n v="13.69"/>
    <n v="-89.234800000000007"/>
    <n v="10699.2"/>
    <n v="0"/>
    <n v="0"/>
    <n v="101"/>
    <s v="_x0000_US"/>
  </r>
  <r>
    <x v="0"/>
    <n v="13.690200000000001"/>
    <n v="-89.179699999999997"/>
    <n v="10701.4"/>
    <n v="0"/>
    <n v="0"/>
    <n v="101"/>
    <s v="_x0000_US"/>
  </r>
  <r>
    <x v="0"/>
    <n v="13.6921"/>
    <n v="-89.180400000000006"/>
    <n v="10701.5"/>
    <n v="0"/>
    <n v="0"/>
    <n v="101"/>
    <s v="_x0000_US"/>
  </r>
  <r>
    <x v="0"/>
    <n v="13.6737"/>
    <n v="-89.251199999999997"/>
    <n v="10701.8"/>
    <n v="0"/>
    <n v="0"/>
    <n v="101"/>
    <s v="_x0000_US"/>
  </r>
  <r>
    <x v="0"/>
    <n v="13.6892"/>
    <n v="-89.178299999999993"/>
    <n v="10701.9"/>
    <n v="0"/>
    <n v="0"/>
    <n v="101"/>
    <s v="_x0000_US"/>
  </r>
  <r>
    <x v="0"/>
    <n v="13.6928"/>
    <n v="-89.224400000000003"/>
    <n v="10701.9"/>
    <n v="0"/>
    <n v="0"/>
    <n v="101"/>
    <s v="_x0000_US"/>
  </r>
  <r>
    <x v="0"/>
    <n v="13.687200000000001"/>
    <n v="-89.204599999999999"/>
    <n v="10702.1"/>
    <n v="0"/>
    <n v="0"/>
    <n v="101"/>
    <s v="_x0000_US"/>
  </r>
  <r>
    <x v="0"/>
    <n v="13.6881"/>
    <n v="-89.216399999999993"/>
    <n v="10702.1"/>
    <n v="0"/>
    <n v="0"/>
    <n v="101"/>
    <s v="_x0000_US"/>
  </r>
  <r>
    <x v="0"/>
    <n v="13.6873"/>
    <n v="-89.197299999999998"/>
    <n v="10702.4"/>
    <n v="0"/>
    <n v="0"/>
    <n v="101"/>
    <s v="_x0000_US"/>
  </r>
  <r>
    <x v="0"/>
    <n v="13.680999999999999"/>
    <n v="-89.195700000000002"/>
    <n v="10702.4"/>
    <n v="0"/>
    <n v="0"/>
    <n v="101"/>
    <s v="_x0000_US"/>
  </r>
  <r>
    <x v="0"/>
    <n v="13.687099999999999"/>
    <n v="-89.193799999999996"/>
    <n v="10702.5"/>
    <n v="0"/>
    <n v="0"/>
    <n v="101"/>
    <s v="_x0000_US"/>
  </r>
  <r>
    <x v="0"/>
    <n v="13.6922"/>
    <n v="-89.176699999999997"/>
    <n v="10702.6"/>
    <n v="0"/>
    <n v="0"/>
    <n v="101"/>
    <s v="_x0000_US"/>
  </r>
  <r>
    <x v="0"/>
    <n v="13.686199999999999"/>
    <n v="-89.198099999999997"/>
    <n v="10703.4"/>
    <n v="0"/>
    <n v="0"/>
    <n v="101"/>
    <s v="_x0000_US"/>
  </r>
  <r>
    <x v="0"/>
    <n v="13.6883"/>
    <n v="-89.193799999999996"/>
    <n v="10703.9"/>
    <n v="0"/>
    <n v="0"/>
    <n v="101"/>
    <s v="_x0000_US"/>
  </r>
  <r>
    <x v="0"/>
    <n v="13.6943"/>
    <n v="-89.188999999999993"/>
    <n v="10704"/>
    <n v="0"/>
    <n v="0"/>
    <n v="101"/>
    <s v="_x0000_US"/>
  </r>
  <r>
    <x v="0"/>
    <n v="13.6911"/>
    <n v="-89.183999999999997"/>
    <n v="10704.3"/>
    <n v="0"/>
    <n v="0"/>
    <n v="101"/>
    <s v="_x0000_US"/>
  </r>
  <r>
    <x v="0"/>
    <n v="13.6732"/>
    <n v="-89.2042"/>
    <n v="10704.4"/>
    <n v="0"/>
    <n v="0"/>
    <n v="101"/>
    <s v="_x0000_US"/>
  </r>
  <r>
    <x v="0"/>
    <n v="13.6922"/>
    <n v="-89.2226"/>
    <n v="10704.4"/>
    <n v="0"/>
    <n v="0"/>
    <n v="101"/>
    <s v="_x0000_US"/>
  </r>
  <r>
    <x v="0"/>
    <n v="13.6853"/>
    <n v="-89.215800000000002"/>
    <n v="10704.8"/>
    <n v="0"/>
    <n v="0"/>
    <n v="101"/>
    <s v="_x0000_US"/>
  </r>
  <r>
    <x v="0"/>
    <n v="13.6958"/>
    <n v="-89.1661"/>
    <n v="10704.9"/>
    <n v="0"/>
    <n v="0"/>
    <n v="101"/>
    <s v="_x0000_US"/>
  </r>
  <r>
    <x v="0"/>
    <n v="13.6898"/>
    <n v="-89.229100000000003"/>
    <n v="10705.3"/>
    <n v="0"/>
    <n v="0"/>
    <n v="101"/>
    <s v="_x0000_US"/>
  </r>
  <r>
    <x v="0"/>
    <n v="13.6861"/>
    <n v="-89.216399999999993"/>
    <n v="10705.5"/>
    <n v="0"/>
    <n v="0"/>
    <n v="101"/>
    <s v="_x0000_US"/>
  </r>
  <r>
    <x v="0"/>
    <n v="13.6873"/>
    <n v="-89.204499999999996"/>
    <n v="10705.6"/>
    <n v="0"/>
    <n v="0"/>
    <n v="101"/>
    <s v="_x0000_US"/>
  </r>
  <r>
    <x v="0"/>
    <n v="13.6936"/>
    <n v="-89.188800000000001"/>
    <n v="10705.9"/>
    <n v="0"/>
    <n v="0"/>
    <n v="101"/>
    <s v="_x0000_US"/>
  </r>
  <r>
    <x v="0"/>
    <n v="13.687200000000001"/>
    <n v="-89.197100000000006"/>
    <n v="10706.2"/>
    <n v="0"/>
    <n v="0"/>
    <n v="101"/>
    <s v="_x0000_US"/>
  </r>
  <r>
    <x v="0"/>
    <n v="13.6906"/>
    <n v="-89.196200000000005"/>
    <n v="10706.9"/>
    <n v="0"/>
    <n v="0"/>
    <n v="101"/>
    <s v="_x0000_US"/>
  </r>
  <r>
    <x v="0"/>
    <n v="13.6935"/>
    <n v="-89.188699999999997"/>
    <n v="10706.9"/>
    <n v="0"/>
    <n v="0"/>
    <n v="101"/>
    <s v="_x0000_US"/>
  </r>
  <r>
    <x v="0"/>
    <n v="13.6876"/>
    <n v="-89.196899999999999"/>
    <n v="10707.1"/>
    <n v="0"/>
    <n v="0"/>
    <n v="101"/>
    <s v="_x0000_US"/>
  </r>
  <r>
    <x v="0"/>
    <n v="13.691800000000001"/>
    <n v="-89.225099999999998"/>
    <n v="10707.3"/>
    <n v="0"/>
    <n v="0"/>
    <n v="101"/>
    <s v="_x0000_US"/>
  </r>
  <r>
    <x v="0"/>
    <n v="13.691800000000001"/>
    <n v="-89.178399999999996"/>
    <n v="10707.6"/>
    <n v="0"/>
    <n v="0"/>
    <n v="101"/>
    <s v="_x0000_US"/>
  </r>
  <r>
    <x v="0"/>
    <n v="13.6845"/>
    <n v="-89.217200000000005"/>
    <n v="10707.6"/>
    <n v="0"/>
    <n v="0"/>
    <n v="101"/>
    <s v="_x0000_US"/>
  </r>
  <r>
    <x v="0"/>
    <n v="13.6906"/>
    <n v="-89.232299999999995"/>
    <n v="10707.8"/>
    <n v="0"/>
    <n v="0"/>
    <n v="101"/>
    <s v="_x0000_US"/>
  </r>
  <r>
    <x v="0"/>
    <n v="13.6972"/>
    <n v="-89.171700000000001"/>
    <n v="10707.9"/>
    <n v="0"/>
    <n v="0"/>
    <n v="101"/>
    <s v="_x0000_US"/>
  </r>
  <r>
    <x v="0"/>
    <n v="13.6911"/>
    <n v="-89.188900000000004"/>
    <n v="10708.1"/>
    <n v="0"/>
    <n v="0"/>
    <n v="101"/>
    <s v="_x0000_US"/>
  </r>
  <r>
    <x v="0"/>
    <n v="13.691000000000001"/>
    <n v="-89.219700000000003"/>
    <n v="10708.7"/>
    <n v="0"/>
    <n v="0"/>
    <n v="101"/>
    <s v="_x0000_US"/>
  </r>
  <r>
    <x v="0"/>
    <n v="13.6928"/>
    <n v="-89.189700000000002"/>
    <n v="10708.8"/>
    <n v="0"/>
    <n v="0"/>
    <n v="101"/>
    <s v="_x0000_US"/>
  </r>
  <r>
    <x v="0"/>
    <n v="13.691000000000001"/>
    <n v="-89.188699999999997"/>
    <n v="10708.9"/>
    <n v="0"/>
    <n v="0"/>
    <n v="101"/>
    <s v="_x0000_US"/>
  </r>
  <r>
    <x v="0"/>
    <n v="13.684900000000001"/>
    <n v="-89.193899999999999"/>
    <n v="10708.9"/>
    <n v="0"/>
    <n v="0"/>
    <n v="101"/>
    <s v="_x0000_US"/>
  </r>
  <r>
    <x v="0"/>
    <n v="13.6869"/>
    <n v="-89.216099999999997"/>
    <n v="10709.2"/>
    <n v="0"/>
    <n v="0"/>
    <n v="101"/>
    <s v="_x0000_US"/>
  </r>
  <r>
    <x v="0"/>
    <n v="13.675000000000001"/>
    <n v="-89.199600000000004"/>
    <n v="10709.3"/>
    <n v="0"/>
    <n v="0"/>
    <n v="101"/>
    <s v="_x0000_US"/>
  </r>
  <r>
    <x v="0"/>
    <n v="13.6868"/>
    <n v="-89.194500000000005"/>
    <n v="10709.6"/>
    <n v="0"/>
    <n v="0"/>
    <n v="101"/>
    <s v="_x0000_US"/>
  </r>
  <r>
    <x v="0"/>
    <n v="13.6874"/>
    <n v="-89.197299999999998"/>
    <n v="10709.7"/>
    <n v="0"/>
    <n v="0"/>
    <n v="101"/>
    <s v="_x0000_US"/>
  </r>
  <r>
    <x v="0"/>
    <n v="13.674099999999999"/>
    <n v="-89.252300000000005"/>
    <n v="10709.7"/>
    <n v="0"/>
    <n v="0"/>
    <n v="101"/>
    <s v="_x0000_US"/>
  </r>
  <r>
    <x v="0"/>
    <n v="13.6891"/>
    <n v="-89.190299999999993"/>
    <n v="10710.3"/>
    <n v="0"/>
    <n v="0"/>
    <n v="101"/>
    <s v="_x0000_US"/>
  </r>
  <r>
    <x v="0"/>
    <n v="13.6868"/>
    <n v="-89.183300000000003"/>
    <n v="10710.4"/>
    <n v="0"/>
    <n v="0"/>
    <n v="101"/>
    <s v="_x0000_US"/>
  </r>
  <r>
    <x v="0"/>
    <n v="13.6897"/>
    <n v="-89.192499999999995"/>
    <n v="10710.7"/>
    <n v="0"/>
    <n v="0"/>
    <n v="101"/>
    <s v="_x0000_US"/>
  </r>
  <r>
    <x v="0"/>
    <n v="13.695600000000001"/>
    <n v="-89.173500000000004"/>
    <n v="10710.9"/>
    <n v="0"/>
    <n v="0"/>
    <n v="101"/>
    <s v="_x0000_US"/>
  </r>
  <r>
    <x v="0"/>
    <n v="13.6889"/>
    <n v="-89.198800000000006"/>
    <n v="10711.3"/>
    <n v="0"/>
    <n v="0"/>
    <n v="101"/>
    <s v="_x0000_US"/>
  </r>
  <r>
    <x v="0"/>
    <n v="13.6874"/>
    <n v="-89.195599999999999"/>
    <n v="10711.6"/>
    <n v="0"/>
    <n v="0"/>
    <n v="101"/>
    <s v="_x0000_US"/>
  </r>
  <r>
    <x v="0"/>
    <n v="13.6942"/>
    <n v="-89.185500000000005"/>
    <n v="10711.6"/>
    <n v="0"/>
    <n v="0"/>
    <n v="101"/>
    <s v="_x0000_US"/>
  </r>
  <r>
    <x v="0"/>
    <n v="13.694800000000001"/>
    <n v="-89.174999999999997"/>
    <n v="10711.7"/>
    <n v="0"/>
    <n v="0"/>
    <n v="101"/>
    <s v="_x0000_US"/>
  </r>
  <r>
    <x v="0"/>
    <n v="13.6891"/>
    <n v="-89.180800000000005"/>
    <n v="10712"/>
    <n v="0"/>
    <n v="0"/>
    <n v="101"/>
    <s v="_x0000_US"/>
  </r>
  <r>
    <x v="0"/>
    <n v="13.690799999999999"/>
    <n v="-89.1952"/>
    <n v="10712.1"/>
    <n v="0"/>
    <n v="0"/>
    <n v="101"/>
    <s v="_x0000_US"/>
  </r>
  <r>
    <x v="0"/>
    <n v="13.6912"/>
    <n v="-89.233800000000002"/>
    <n v="10712.1"/>
    <n v="0"/>
    <n v="0"/>
    <n v="101"/>
    <s v="_x0000_US"/>
  </r>
  <r>
    <x v="0"/>
    <n v="13.6875"/>
    <n v="-89.197000000000003"/>
    <n v="10712.3"/>
    <n v="0"/>
    <n v="0"/>
    <n v="101"/>
    <s v="_x0000_US"/>
  </r>
  <r>
    <x v="0"/>
    <n v="13.692299999999999"/>
    <n v="-89.177999999999997"/>
    <n v="10712.4"/>
    <n v="0"/>
    <n v="0"/>
    <n v="101"/>
    <s v="_x0000_US"/>
  </r>
  <r>
    <x v="0"/>
    <n v="13.689500000000001"/>
    <n v="-89.202699999999993"/>
    <n v="10712.6"/>
    <n v="0"/>
    <n v="0"/>
    <n v="101"/>
    <s v="_x0000_US"/>
  </r>
  <r>
    <x v="0"/>
    <n v="13.694000000000001"/>
    <n v="-89.176400000000001"/>
    <n v="10712.6"/>
    <n v="0"/>
    <n v="0"/>
    <n v="101"/>
    <s v="_x0000_US"/>
  </r>
  <r>
    <x v="0"/>
    <n v="13.686400000000001"/>
    <n v="-89.203299999999999"/>
    <n v="10712.8"/>
    <n v="0"/>
    <n v="0"/>
    <n v="101"/>
    <s v="_x0000_US"/>
  </r>
  <r>
    <x v="0"/>
    <n v="13.6945"/>
    <n v="-89.188999999999993"/>
    <n v="10712.9"/>
    <n v="0"/>
    <n v="0"/>
    <n v="101"/>
    <s v="_x0000_US"/>
  </r>
  <r>
    <x v="0"/>
    <n v="13.685"/>
    <n v="-89.214200000000005"/>
    <n v="10713.1"/>
    <n v="0"/>
    <n v="0"/>
    <n v="101"/>
    <s v="_x0000_US"/>
  </r>
  <r>
    <x v="0"/>
    <n v="13.685700000000001"/>
    <n v="-89.203999999999994"/>
    <n v="10713.7"/>
    <n v="0"/>
    <n v="0"/>
    <n v="101"/>
    <s v="_x0000_US"/>
  </r>
  <r>
    <x v="0"/>
    <n v="13.6859"/>
    <n v="-89.201999999999998"/>
    <n v="10714.1"/>
    <n v="0"/>
    <n v="0"/>
    <n v="101"/>
    <s v="_x0000_US"/>
  </r>
  <r>
    <x v="0"/>
    <n v="13.694900000000001"/>
    <n v="-89.174899999999994"/>
    <n v="10714.1"/>
    <n v="0"/>
    <n v="0"/>
    <n v="101"/>
    <s v="_x0000_US"/>
  </r>
  <r>
    <x v="0"/>
    <n v="13.692600000000001"/>
    <n v="-89.224800000000002"/>
    <n v="10714.2"/>
    <n v="0"/>
    <n v="0"/>
    <n v="101"/>
    <s v="_x0000_US"/>
  </r>
  <r>
    <x v="0"/>
    <n v="13.679500000000001"/>
    <n v="-89.197299999999998"/>
    <n v="10714.4"/>
    <n v="0"/>
    <n v="0"/>
    <n v="101"/>
    <s v="_x0000_US"/>
  </r>
  <r>
    <x v="0"/>
    <n v="13.6736"/>
    <n v="-89.203100000000006"/>
    <n v="10714.5"/>
    <n v="0"/>
    <n v="0"/>
    <n v="101"/>
    <s v="_x0000_US"/>
  </r>
  <r>
    <x v="0"/>
    <n v="13.689500000000001"/>
    <n v="-89.235299999999995"/>
    <n v="10714.5"/>
    <n v="0"/>
    <n v="0"/>
    <n v="101"/>
    <s v="_x0000_US"/>
  </r>
  <r>
    <x v="0"/>
    <n v="13.692"/>
    <n v="-89.225200000000001"/>
    <n v="10714.8"/>
    <n v="0"/>
    <n v="0"/>
    <n v="101"/>
    <s v="_x0000_US"/>
  </r>
  <r>
    <x v="0"/>
    <n v="13.674799999999999"/>
    <n v="-89.251499999999993"/>
    <n v="10715.6"/>
    <n v="0"/>
    <n v="0"/>
    <n v="101"/>
    <s v="_x0000_US"/>
  </r>
  <r>
    <x v="0"/>
    <n v="13.6889"/>
    <n v="-89.216999999999999"/>
    <n v="10715.7"/>
    <n v="0"/>
    <n v="0"/>
    <n v="101"/>
    <s v="_x0000_US"/>
  </r>
  <r>
    <x v="0"/>
    <n v="13.691800000000001"/>
    <n v="-89.178899999999999"/>
    <n v="10715.9"/>
    <n v="0"/>
    <n v="0"/>
    <n v="101"/>
    <s v="_x0000_US"/>
  </r>
  <r>
    <x v="0"/>
    <n v="13.6907"/>
    <n v="-89.234399999999994"/>
    <n v="10716"/>
    <n v="0"/>
    <n v="0"/>
    <n v="101"/>
    <s v="_x0000_US"/>
  </r>
  <r>
    <x v="0"/>
    <n v="13.692500000000001"/>
    <n v="-89.178799999999995"/>
    <n v="10716.3"/>
    <n v="0"/>
    <n v="0"/>
    <n v="101"/>
    <s v="_x0000_US"/>
  </r>
  <r>
    <x v="0"/>
    <n v="13.685499999999999"/>
    <n v="-89.193399999999997"/>
    <n v="10716.3"/>
    <n v="0"/>
    <n v="0"/>
    <n v="101"/>
    <s v="_x0000_US"/>
  </r>
  <r>
    <x v="0"/>
    <n v="13.6896"/>
    <n v="-89.177800000000005"/>
    <n v="10717"/>
    <n v="0"/>
    <n v="0"/>
    <n v="101"/>
    <s v="_x0000_US"/>
  </r>
  <r>
    <x v="0"/>
    <n v="13.6843"/>
    <n v="-89.217299999999994"/>
    <n v="10717.2"/>
    <n v="0"/>
    <n v="0"/>
    <n v="101"/>
    <s v="_x0000_US"/>
  </r>
  <r>
    <x v="0"/>
    <n v="13.686199999999999"/>
    <n v="-89.193899999999999"/>
    <n v="10717.3"/>
    <n v="0"/>
    <n v="0"/>
    <n v="101"/>
    <s v="_x0000_US"/>
  </r>
  <r>
    <x v="0"/>
    <n v="13.6911"/>
    <n v="-89.235500000000002"/>
    <n v="10717.7"/>
    <n v="0"/>
    <n v="0"/>
    <n v="101"/>
    <s v="_x0000_US"/>
  </r>
  <r>
    <x v="0"/>
    <n v="13.6944"/>
    <n v="-89.188900000000004"/>
    <n v="10718"/>
    <n v="0"/>
    <n v="0"/>
    <n v="101"/>
    <s v="_x0000_US"/>
  </r>
  <r>
    <x v="0"/>
    <n v="13.6721"/>
    <n v="-89.204899999999995"/>
    <n v="10718.7"/>
    <n v="0"/>
    <n v="0"/>
    <n v="101"/>
    <s v="_x0000_US"/>
  </r>
  <r>
    <x v="0"/>
    <n v="13.692"/>
    <n v="-89.224400000000003"/>
    <n v="10718.8"/>
    <n v="0"/>
    <n v="0"/>
    <n v="101"/>
    <s v="_x0000_US"/>
  </r>
  <r>
    <x v="0"/>
    <n v="13.687200000000001"/>
    <n v="-89.214600000000004"/>
    <n v="10719.2"/>
    <n v="0"/>
    <n v="0"/>
    <n v="101"/>
    <s v="_x0000_US"/>
  </r>
  <r>
    <x v="0"/>
    <n v="13.679399999999999"/>
    <n v="-89.196899999999999"/>
    <n v="10719.3"/>
    <n v="0"/>
    <n v="0"/>
    <n v="101"/>
    <s v="_x0000_US"/>
  </r>
  <r>
    <x v="0"/>
    <n v="13.691800000000001"/>
    <n v="-89.2273"/>
    <n v="10719.3"/>
    <n v="0"/>
    <n v="0"/>
    <n v="101"/>
    <s v="_x0000_US"/>
  </r>
  <r>
    <x v="0"/>
    <n v="13.688599999999999"/>
    <n v="-89.189700000000002"/>
    <n v="10719.6"/>
    <n v="0"/>
    <n v="0"/>
    <n v="101"/>
    <s v="_x0000_US"/>
  </r>
  <r>
    <x v="0"/>
    <n v="13.6891"/>
    <n v="-89.235799999999998"/>
    <n v="10720.1"/>
    <n v="0"/>
    <n v="0"/>
    <n v="101"/>
    <s v="_x0000_US"/>
  </r>
  <r>
    <x v="0"/>
    <n v="13.6869"/>
    <n v="-89.197299999999998"/>
    <n v="10720.3"/>
    <n v="0"/>
    <n v="0"/>
    <n v="101"/>
    <s v="_x0000_US"/>
  </r>
  <r>
    <x v="0"/>
    <n v="13.6906"/>
    <n v="-89.178899999999999"/>
    <n v="10720.6"/>
    <n v="0"/>
    <n v="0"/>
    <n v="101"/>
    <s v="_x0000_US"/>
  </r>
  <r>
    <x v="0"/>
    <n v="13.690300000000001"/>
    <n v="-89.181299999999993"/>
    <n v="10720.8"/>
    <n v="0"/>
    <n v="0"/>
    <n v="101"/>
    <s v="_x0000_US"/>
  </r>
  <r>
    <x v="0"/>
    <n v="13.675000000000001"/>
    <n v="-89.250900000000001"/>
    <n v="10720.8"/>
    <n v="0"/>
    <n v="0"/>
    <n v="101"/>
    <s v="_x0000_US"/>
  </r>
  <r>
    <x v="0"/>
    <n v="13.6889"/>
    <n v="-89.203999999999994"/>
    <n v="10721.5"/>
    <n v="0"/>
    <n v="0"/>
    <n v="101"/>
    <s v="_x0000_US"/>
  </r>
  <r>
    <x v="0"/>
    <n v="13.69"/>
    <n v="-89.216700000000003"/>
    <n v="10721.5"/>
    <n v="0"/>
    <n v="0"/>
    <n v="101"/>
    <s v="_x0000_US"/>
  </r>
  <r>
    <x v="0"/>
    <n v="13.685499999999999"/>
    <n v="-89.211200000000005"/>
    <n v="10722.1"/>
    <n v="0"/>
    <n v="0"/>
    <n v="101"/>
    <s v="_x0000_US"/>
  </r>
  <r>
    <x v="0"/>
    <n v="13.6907"/>
    <n v="-89.235299999999995"/>
    <n v="10723.1"/>
    <n v="0"/>
    <n v="0"/>
    <n v="101"/>
    <s v="_x0000_US"/>
  </r>
  <r>
    <x v="0"/>
    <n v="13.6869"/>
    <n v="-89.211699999999993"/>
    <n v="10723.3"/>
    <n v="0"/>
    <n v="0"/>
    <n v="101"/>
    <s v="_x0000_US"/>
  </r>
  <r>
    <x v="0"/>
    <n v="13.6912"/>
    <n v="-89.186800000000005"/>
    <n v="10723.5"/>
    <n v="0"/>
    <n v="0"/>
    <n v="101"/>
    <s v="_x0000_US"/>
  </r>
  <r>
    <x v="0"/>
    <n v="13.688499999999999"/>
    <n v="-89.194999999999993"/>
    <n v="10723.6"/>
    <n v="0"/>
    <n v="0"/>
    <n v="101"/>
    <s v="_x0000_US"/>
  </r>
  <r>
    <x v="0"/>
    <n v="13.6942"/>
    <n v="-89.183099999999996"/>
    <n v="10723.6"/>
    <n v="0"/>
    <n v="0"/>
    <n v="101"/>
    <s v="_x0000_US"/>
  </r>
  <r>
    <x v="0"/>
    <n v="13.6935"/>
    <n v="-89.173900000000003"/>
    <n v="10723.6"/>
    <n v="0"/>
    <n v="0"/>
    <n v="101"/>
    <s v="_x0000_US"/>
  </r>
  <r>
    <x v="0"/>
    <n v="13.6881"/>
    <n v="-89.212000000000003"/>
    <n v="10724.2"/>
    <n v="0"/>
    <n v="0"/>
    <n v="101"/>
    <s v="_x0000_US"/>
  </r>
  <r>
    <x v="0"/>
    <n v="13.690300000000001"/>
    <n v="-89.193399999999997"/>
    <n v="10724.4"/>
    <n v="0"/>
    <n v="0"/>
    <n v="101"/>
    <s v="_x0000_US"/>
  </r>
  <r>
    <x v="0"/>
    <n v="13.6906"/>
    <n v="-89.231899999999996"/>
    <n v="10724.4"/>
    <n v="0"/>
    <n v="0"/>
    <n v="101"/>
    <s v="_x0000_US"/>
  </r>
  <r>
    <x v="0"/>
    <n v="13.6884"/>
    <n v="-89.204099999999997"/>
    <n v="10725.5"/>
    <n v="0"/>
    <n v="0"/>
    <n v="101"/>
    <s v="_x0000_US"/>
  </r>
  <r>
    <x v="0"/>
    <n v="13.6889"/>
    <n v="-89.229500000000002"/>
    <n v="10725.6"/>
    <n v="0"/>
    <n v="0"/>
    <n v="101"/>
    <s v="_x0000_US"/>
  </r>
  <r>
    <x v="0"/>
    <n v="13.6936"/>
    <n v="-89.176199999999994"/>
    <n v="10726"/>
    <n v="0"/>
    <n v="0"/>
    <n v="101"/>
    <s v="_x0000_US"/>
  </r>
  <r>
    <x v="0"/>
    <n v="13.685700000000001"/>
    <n v="-89.211299999999994"/>
    <n v="10726.2"/>
    <n v="0"/>
    <n v="0"/>
    <n v="101"/>
    <s v="_x0000_US"/>
  </r>
  <r>
    <x v="0"/>
    <n v="13.6911"/>
    <n v="-89.190399999999997"/>
    <n v="10726.3"/>
    <n v="0"/>
    <n v="0"/>
    <n v="101"/>
    <s v="_x0000_US"/>
  </r>
  <r>
    <x v="0"/>
    <n v="13.691700000000001"/>
    <n v="-89.233599999999996"/>
    <n v="10726.9"/>
    <n v="0"/>
    <n v="0"/>
    <n v="101"/>
    <s v="_x0000_US"/>
  </r>
  <r>
    <x v="0"/>
    <n v="13.689299999999999"/>
    <n v="-89.229200000000006"/>
    <n v="10727.8"/>
    <n v="0"/>
    <n v="0"/>
    <n v="101"/>
    <s v="_x0000_US"/>
  </r>
  <r>
    <x v="0"/>
    <n v="13.6906"/>
    <n v="-89.187200000000004"/>
    <n v="10728.2"/>
    <n v="0"/>
    <n v="0"/>
    <n v="101"/>
    <s v="_x0000_US"/>
  </r>
  <r>
    <x v="0"/>
    <n v="13.677199999999999"/>
    <n v="-89.248400000000004"/>
    <n v="10728.7"/>
    <n v="0"/>
    <n v="0"/>
    <n v="101"/>
    <s v="_x0000_US"/>
  </r>
  <r>
    <x v="0"/>
    <n v="13.6915"/>
    <n v="-89.179599999999994"/>
    <n v="10729.1"/>
    <n v="0"/>
    <n v="0"/>
    <n v="101"/>
    <s v="_x0000_US"/>
  </r>
  <r>
    <x v="0"/>
    <n v="13.696"/>
    <n v="-89.172200000000004"/>
    <n v="10729.2"/>
    <n v="0"/>
    <n v="0"/>
    <n v="101"/>
    <s v="_x0000_US"/>
  </r>
  <r>
    <x v="0"/>
    <n v="13.6892"/>
    <n v="-89.180300000000003"/>
    <n v="10729.7"/>
    <n v="0"/>
    <n v="0"/>
    <n v="101"/>
    <s v="_x0000_US"/>
  </r>
  <r>
    <x v="0"/>
    <n v="13.6906"/>
    <n v="-89.194299999999998"/>
    <n v="10730"/>
    <n v="0"/>
    <n v="0"/>
    <n v="101"/>
    <s v="_x0000_US"/>
  </r>
  <r>
    <x v="0"/>
    <n v="13.692500000000001"/>
    <n v="-89.224699999999999"/>
    <n v="10730.1"/>
    <n v="0"/>
    <n v="0"/>
    <n v="101"/>
    <s v="_x0000_US"/>
  </r>
  <r>
    <x v="0"/>
    <n v="13.6858"/>
    <n v="-89.215100000000007"/>
    <n v="10730.5"/>
    <n v="0"/>
    <n v="0"/>
    <n v="101"/>
    <s v="_x0000_US"/>
  </r>
  <r>
    <x v="0"/>
    <n v="13.690200000000001"/>
    <n v="-89.234399999999994"/>
    <n v="10730.6"/>
    <n v="0"/>
    <n v="0"/>
    <n v="101"/>
    <s v="_x0000_US"/>
  </r>
  <r>
    <x v="0"/>
    <n v="13.687900000000001"/>
    <n v="-89.181799999999996"/>
    <n v="10731.2"/>
    <n v="0"/>
    <n v="0"/>
    <n v="101"/>
    <s v="_x0000_US"/>
  </r>
  <r>
    <x v="0"/>
    <n v="13.6854"/>
    <n v="-89.201499999999996"/>
    <n v="10731.2"/>
    <n v="0"/>
    <n v="0"/>
    <n v="101"/>
    <s v="_x0000_US"/>
  </r>
  <r>
    <x v="0"/>
    <n v="13.6913"/>
    <n v="-89.220299999999995"/>
    <n v="10731.4"/>
    <n v="0"/>
    <n v="0"/>
    <n v="101"/>
    <s v="_x0000_US"/>
  </r>
  <r>
    <x v="0"/>
    <n v="13.6913"/>
    <n v="-89.189599999999999"/>
    <n v="10731.5"/>
    <n v="0"/>
    <n v="0"/>
    <n v="101"/>
    <s v="_x0000_US"/>
  </r>
  <r>
    <x v="0"/>
    <n v="13.691000000000001"/>
    <n v="-89.228800000000007"/>
    <n v="10731.5"/>
    <n v="0"/>
    <n v="0"/>
    <n v="101"/>
    <s v="_x0000_US"/>
  </r>
  <r>
    <x v="0"/>
    <n v="13.6907"/>
    <n v="-89.185500000000005"/>
    <n v="10731.8"/>
    <n v="0"/>
    <n v="0"/>
    <n v="101"/>
    <s v="_x0000_US"/>
  </r>
  <r>
    <x v="0"/>
    <n v="13.6951"/>
    <n v="-89.173900000000003"/>
    <n v="10732"/>
    <n v="0"/>
    <n v="0"/>
    <n v="101"/>
    <s v="_x0000_US"/>
  </r>
  <r>
    <x v="0"/>
    <n v="13.6942"/>
    <n v="-89.173500000000004"/>
    <n v="10732.3"/>
    <n v="0"/>
    <n v="0"/>
    <n v="101"/>
    <s v="_x0000_US"/>
  </r>
  <r>
    <x v="0"/>
    <n v="13.6915"/>
    <n v="-89.233099999999993"/>
    <n v="10732.3"/>
    <n v="0"/>
    <n v="0"/>
    <n v="101"/>
    <s v="_x0000_US"/>
  </r>
  <r>
    <x v="0"/>
    <n v="13.691800000000001"/>
    <n v="-89.232399999999998"/>
    <n v="10732.8"/>
    <n v="0"/>
    <n v="0"/>
    <n v="101"/>
    <s v="_x0000_US"/>
  </r>
  <r>
    <x v="0"/>
    <n v="13.6945"/>
    <n v="-89.185299999999998"/>
    <n v="10733.6"/>
    <n v="0"/>
    <n v="0"/>
    <n v="101"/>
    <s v="_x0000_US"/>
  </r>
  <r>
    <x v="0"/>
    <n v="13.688499999999999"/>
    <n v="-89.2119"/>
    <n v="10733.9"/>
    <n v="0"/>
    <n v="0"/>
    <n v="101"/>
    <s v="_x0000_US"/>
  </r>
  <r>
    <x v="0"/>
    <n v="13.691599999999999"/>
    <n v="-89.183899999999994"/>
    <n v="10734.8"/>
    <n v="0"/>
    <n v="0"/>
    <n v="101"/>
    <s v="_x0000_US"/>
  </r>
  <r>
    <x v="0"/>
    <n v="13.691700000000001"/>
    <n v="-89.1798"/>
    <n v="10735.3"/>
    <n v="0"/>
    <n v="0"/>
    <n v="101"/>
    <s v="_x0000_US"/>
  </r>
  <r>
    <x v="0"/>
    <n v="13.690799999999999"/>
    <n v="-89.197699999999998"/>
    <n v="10735.4"/>
    <n v="0"/>
    <n v="0"/>
    <n v="101"/>
    <s v="_x0000_US"/>
  </r>
  <r>
    <x v="0"/>
    <n v="13.6869"/>
    <n v="-89.183000000000007"/>
    <n v="10735.7"/>
    <n v="0"/>
    <n v="0"/>
    <n v="101"/>
    <s v="_x0000_US"/>
  </r>
  <r>
    <x v="0"/>
    <n v="13.6911"/>
    <n v="-89.232699999999994"/>
    <n v="10735.8"/>
    <n v="0"/>
    <n v="0"/>
    <n v="101"/>
    <s v="_x0000_US"/>
  </r>
  <r>
    <x v="0"/>
    <n v="13.6934"/>
    <n v="-89.185500000000005"/>
    <n v="10735.9"/>
    <n v="0"/>
    <n v="0"/>
    <n v="101"/>
    <s v="_x0000_US"/>
  </r>
  <r>
    <x v="0"/>
    <n v="13.6866"/>
    <n v="-89.194999999999993"/>
    <n v="10736.1"/>
    <n v="0"/>
    <n v="0"/>
    <n v="101"/>
    <s v="_x0000_US"/>
  </r>
  <r>
    <x v="0"/>
    <n v="13.6928"/>
    <n v="-89.184100000000001"/>
    <n v="10736.5"/>
    <n v="0"/>
    <n v="0"/>
    <n v="101"/>
    <s v="_x0000_US"/>
  </r>
  <r>
    <x v="0"/>
    <n v="13.694599999999999"/>
    <n v="-89.175299999999993"/>
    <n v="10736.9"/>
    <n v="0"/>
    <n v="0"/>
    <n v="101"/>
    <s v="_x0000_US"/>
  </r>
  <r>
    <x v="0"/>
    <n v="13.691000000000001"/>
    <n v="-89.235100000000003"/>
    <n v="10737.5"/>
    <n v="0"/>
    <n v="0"/>
    <n v="101"/>
    <s v="_x0000_US"/>
  </r>
  <r>
    <x v="0"/>
    <n v="13.6852"/>
    <n v="-89.201999999999998"/>
    <n v="10737.6"/>
    <n v="0"/>
    <n v="0"/>
    <n v="101"/>
    <s v="_x0000_US"/>
  </r>
  <r>
    <x v="0"/>
    <n v="13.6937"/>
    <n v="-89.176199999999994"/>
    <n v="10738"/>
    <n v="0"/>
    <n v="0"/>
    <n v="101"/>
    <s v="_x0000_US"/>
  </r>
  <r>
    <x v="0"/>
    <n v="13.689"/>
    <n v="-89.190399999999997"/>
    <n v="10738.1"/>
    <n v="0"/>
    <n v="0"/>
    <n v="101"/>
    <s v="_x0000_US"/>
  </r>
  <r>
    <x v="0"/>
    <n v="13.6877"/>
    <n v="-89.215500000000006"/>
    <n v="10738.1"/>
    <n v="0"/>
    <n v="0"/>
    <n v="101"/>
    <s v="_x0000_US"/>
  </r>
  <r>
    <x v="0"/>
    <n v="13.6747"/>
    <n v="-89.252300000000005"/>
    <n v="10738.4"/>
    <n v="0"/>
    <n v="0"/>
    <n v="101"/>
    <s v="_x0000_US"/>
  </r>
  <r>
    <x v="0"/>
    <n v="13.689"/>
    <n v="-89.229600000000005"/>
    <n v="10738.6"/>
    <n v="0"/>
    <n v="0"/>
    <n v="101"/>
    <s v="_x0000_US"/>
  </r>
  <r>
    <x v="0"/>
    <n v="13.6913"/>
    <n v="-89.227099999999993"/>
    <n v="10739.8"/>
    <n v="0"/>
    <n v="0"/>
    <n v="101"/>
    <s v="_x0000_US"/>
  </r>
  <r>
    <x v="0"/>
    <n v="13.6912"/>
    <n v="-89.229100000000003"/>
    <n v="10740.1"/>
    <n v="0"/>
    <n v="0"/>
    <n v="101"/>
    <s v="_x0000_US"/>
  </r>
  <r>
    <x v="0"/>
    <n v="13.684900000000001"/>
    <n v="-89.212199999999996"/>
    <n v="10740.5"/>
    <n v="0"/>
    <n v="0"/>
    <n v="101"/>
    <s v="_x0000_US"/>
  </r>
  <r>
    <x v="0"/>
    <n v="13.6851"/>
    <n v="-89.194000000000003"/>
    <n v="10740.9"/>
    <n v="0"/>
    <n v="0"/>
    <n v="101"/>
    <s v="_x0000_US"/>
  </r>
  <r>
    <x v="0"/>
    <n v="13.6914"/>
    <n v="-89.189400000000006"/>
    <n v="10741.2"/>
    <n v="0"/>
    <n v="0"/>
    <n v="101"/>
    <s v="_x0000_US"/>
  </r>
  <r>
    <x v="0"/>
    <n v="13.692"/>
    <n v="-89.175700000000006"/>
    <n v="10741.4"/>
    <n v="0"/>
    <n v="0"/>
    <n v="101"/>
    <s v="_x0000_US"/>
  </r>
  <r>
    <x v="0"/>
    <n v="13.696199999999999"/>
    <n v="-89.172399999999996"/>
    <n v="10741.5"/>
    <n v="0"/>
    <n v="0"/>
    <n v="101"/>
    <s v="_x0000_US"/>
  </r>
  <r>
    <x v="0"/>
    <n v="13.692399999999999"/>
    <n v="-89.197199999999995"/>
    <n v="10741.6"/>
    <n v="0"/>
    <n v="0"/>
    <n v="101"/>
    <s v="_x0000_US"/>
  </r>
  <r>
    <x v="0"/>
    <n v="13.690799999999999"/>
    <n v="-89.194100000000006"/>
    <n v="10742.7"/>
    <n v="0"/>
    <n v="0"/>
    <n v="101"/>
    <s v="_x0000_US"/>
  </r>
  <r>
    <x v="0"/>
    <n v="13.687200000000001"/>
    <n v="-89.194599999999994"/>
    <n v="10742.7"/>
    <n v="0"/>
    <n v="0"/>
    <n v="101"/>
    <s v="_x0000_US"/>
  </r>
  <r>
    <x v="0"/>
    <n v="13.6921"/>
    <n v="-89.178600000000003"/>
    <n v="10742.9"/>
    <n v="0"/>
    <n v="0"/>
    <n v="101"/>
    <s v="_x0000_US"/>
  </r>
  <r>
    <x v="0"/>
    <n v="13.6914"/>
    <n v="-89.186700000000002"/>
    <n v="10743"/>
    <n v="0"/>
    <n v="0"/>
    <n v="101"/>
    <s v="_x0000_US"/>
  </r>
  <r>
    <x v="0"/>
    <n v="13.690799999999999"/>
    <n v="-89.231700000000004"/>
    <n v="10743"/>
    <n v="0"/>
    <n v="0"/>
    <n v="101"/>
    <s v="_x0000_US"/>
  </r>
  <r>
    <x v="0"/>
    <n v="13.687200000000001"/>
    <n v="-89.215900000000005"/>
    <n v="10743.2"/>
    <n v="0"/>
    <n v="0"/>
    <n v="101"/>
    <s v="_x0000_US"/>
  </r>
  <r>
    <x v="0"/>
    <n v="13.6882"/>
    <n v="-89.190200000000004"/>
    <n v="10743.4"/>
    <n v="0"/>
    <n v="0"/>
    <n v="101"/>
    <s v="_x0000_US"/>
  </r>
  <r>
    <x v="0"/>
    <n v="13.6868"/>
    <n v="-89.215100000000007"/>
    <n v="10743.4"/>
    <n v="0"/>
    <n v="0"/>
    <n v="101"/>
    <s v="_x0000_US"/>
  </r>
  <r>
    <x v="0"/>
    <n v="13.6928"/>
    <n v="-89.175700000000006"/>
    <n v="10743.7"/>
    <n v="0"/>
    <n v="0"/>
    <n v="101"/>
    <s v="_x0000_US"/>
  </r>
  <r>
    <x v="0"/>
    <n v="13.691700000000001"/>
    <n v="-89.220600000000005"/>
    <n v="10743.7"/>
    <n v="0"/>
    <n v="0"/>
    <n v="101"/>
    <s v="_x0000_US"/>
  </r>
  <r>
    <x v="0"/>
    <n v="13.6744"/>
    <n v="-89.252099999999999"/>
    <n v="10744.5"/>
    <n v="0"/>
    <n v="0"/>
    <n v="101"/>
    <s v="_x0000_US"/>
  </r>
  <r>
    <x v="0"/>
    <n v="13.6914"/>
    <n v="-89.220200000000006"/>
    <n v="10744.9"/>
    <n v="0"/>
    <n v="0"/>
    <n v="101"/>
    <s v="_x0000_US"/>
  </r>
  <r>
    <x v="0"/>
    <n v="13.68"/>
    <n v="-89.195800000000006"/>
    <n v="10745"/>
    <n v="0"/>
    <n v="0"/>
    <n v="101"/>
    <s v="_x0000_US"/>
  </r>
  <r>
    <x v="0"/>
    <n v="13.686"/>
    <n v="-89.215000000000003"/>
    <n v="10745.3"/>
    <n v="0"/>
    <n v="0"/>
    <n v="101"/>
    <s v="_x0000_US"/>
  </r>
  <r>
    <x v="0"/>
    <n v="13.687900000000001"/>
    <n v="-89.195700000000002"/>
    <n v="10745.6"/>
    <n v="0"/>
    <n v="0"/>
    <n v="101"/>
    <s v="_x0000_US"/>
  </r>
  <r>
    <x v="0"/>
    <n v="13.6897"/>
    <n v="-89.177899999999994"/>
    <n v="10746.2"/>
    <n v="0"/>
    <n v="0"/>
    <n v="101"/>
    <s v="_x0000_US"/>
  </r>
  <r>
    <x v="0"/>
    <n v="13.6945"/>
    <n v="-89.174800000000005"/>
    <n v="10746.2"/>
    <n v="0"/>
    <n v="0"/>
    <n v="101"/>
    <s v="_x0000_US"/>
  </r>
  <r>
    <x v="0"/>
    <n v="13.6911"/>
    <n v="-89.226900000000001"/>
    <n v="10746.3"/>
    <n v="0"/>
    <n v="0"/>
    <n v="101"/>
    <s v="_x0000_US"/>
  </r>
  <r>
    <x v="0"/>
    <n v="13.6776"/>
    <n v="-89.246099999999998"/>
    <n v="10746.5"/>
    <n v="0"/>
    <n v="0"/>
    <n v="101"/>
    <s v="_x0000_US"/>
  </r>
  <r>
    <x v="0"/>
    <n v="13.692600000000001"/>
    <n v="-89.184899999999999"/>
    <n v="10746.8"/>
    <n v="0"/>
    <n v="0"/>
    <n v="101"/>
    <s v="_x0000_US"/>
  </r>
  <r>
    <x v="0"/>
    <n v="13.691700000000001"/>
    <n v="-89.186499999999995"/>
    <n v="10746.8"/>
    <n v="0"/>
    <n v="0"/>
    <n v="101"/>
    <s v="_x0000_US"/>
  </r>
  <r>
    <x v="0"/>
    <n v="13.693300000000001"/>
    <n v="-89.177499999999995"/>
    <n v="10747"/>
    <n v="0"/>
    <n v="0"/>
    <n v="101"/>
    <s v="_x0000_US"/>
  </r>
  <r>
    <x v="0"/>
    <n v="13.6904"/>
    <n v="-89.235399999999998"/>
    <n v="10747.3"/>
    <n v="0"/>
    <n v="0"/>
    <n v="101"/>
    <s v="_x0000_US"/>
  </r>
  <r>
    <x v="0"/>
    <n v="13.693199999999999"/>
    <n v="-89.189700000000002"/>
    <n v="10747.7"/>
    <n v="0"/>
    <n v="0"/>
    <n v="101"/>
    <s v="_x0000_US"/>
  </r>
  <r>
    <x v="0"/>
    <n v="13.690899999999999"/>
    <n v="-89.195599999999999"/>
    <n v="10747.9"/>
    <n v="0"/>
    <n v="0"/>
    <n v="101"/>
    <s v="_x0000_US"/>
  </r>
  <r>
    <x v="0"/>
    <n v="13.6911"/>
    <n v="-89.218999999999994"/>
    <n v="10748.3"/>
    <n v="0"/>
    <n v="0"/>
    <n v="101"/>
    <s v="_x0000_US"/>
  </r>
  <r>
    <x v="0"/>
    <n v="13.6853"/>
    <n v="-89.217200000000005"/>
    <n v="10748.3"/>
    <n v="0"/>
    <n v="0"/>
    <n v="101"/>
    <s v="_x0000_US"/>
  </r>
  <r>
    <x v="0"/>
    <n v="13.692399999999999"/>
    <n v="-89.184600000000003"/>
    <n v="10748.9"/>
    <n v="0"/>
    <n v="0"/>
    <n v="101"/>
    <s v="_x0000_US"/>
  </r>
  <r>
    <x v="0"/>
    <n v="13.6884"/>
    <n v="-89.217100000000002"/>
    <n v="10748.9"/>
    <n v="0"/>
    <n v="0"/>
    <n v="101"/>
    <s v="_x0000_US"/>
  </r>
  <r>
    <x v="0"/>
    <n v="13.6851"/>
    <n v="-89.213200000000001"/>
    <n v="10749.1"/>
    <n v="0"/>
    <n v="0"/>
    <n v="101"/>
    <s v="_x0000_US"/>
  </r>
  <r>
    <x v="0"/>
    <n v="13.6874"/>
    <n v="-89.197100000000006"/>
    <n v="10749.3"/>
    <n v="0"/>
    <n v="0"/>
    <n v="101"/>
    <s v="_x0000_US"/>
  </r>
  <r>
    <x v="0"/>
    <n v="13.6876"/>
    <n v="-89.194999999999993"/>
    <n v="10750.5"/>
    <n v="0"/>
    <n v="0"/>
    <n v="101"/>
    <s v="_x0000_US"/>
  </r>
  <r>
    <x v="0"/>
    <n v="13.686199999999999"/>
    <n v="-89.212999999999994"/>
    <n v="10750.9"/>
    <n v="0"/>
    <n v="0"/>
    <n v="101"/>
    <s v="_x0000_US"/>
  </r>
  <r>
    <x v="0"/>
    <n v="13.687200000000001"/>
    <n v="-89.215699999999998"/>
    <n v="10751.3"/>
    <n v="0"/>
    <n v="0"/>
    <n v="101"/>
    <s v="_x0000_US"/>
  </r>
  <r>
    <x v="0"/>
    <n v="13.6869"/>
    <n v="-89.211600000000004"/>
    <n v="10751.6"/>
    <n v="0"/>
    <n v="0"/>
    <n v="101"/>
    <s v="_x0000_US"/>
  </r>
  <r>
    <x v="0"/>
    <n v="13.6897"/>
    <n v="-89.188699999999997"/>
    <n v="10751.9"/>
    <n v="0"/>
    <n v="0"/>
    <n v="101"/>
    <s v="_x0000_US"/>
  </r>
  <r>
    <x v="0"/>
    <n v="13.6919"/>
    <n v="-89.224199999999996"/>
    <n v="10752.4"/>
    <n v="0"/>
    <n v="0"/>
    <n v="101"/>
    <s v="_x0000_US"/>
  </r>
  <r>
    <x v="0"/>
    <n v="13.690099999999999"/>
    <n v="-89.184700000000007"/>
    <n v="10752.5"/>
    <n v="0"/>
    <n v="0"/>
    <n v="101"/>
    <s v="_x0000_US"/>
  </r>
  <r>
    <x v="0"/>
    <n v="13.6945"/>
    <n v="-89.183099999999996"/>
    <n v="10752.7"/>
    <n v="0"/>
    <n v="0"/>
    <n v="101"/>
    <s v="_x0000_US"/>
  </r>
  <r>
    <x v="0"/>
    <n v="13.690099999999999"/>
    <n v="-89.235600000000005"/>
    <n v="10752.8"/>
    <n v="0"/>
    <n v="0"/>
    <n v="101"/>
    <s v="_x0000_US"/>
  </r>
  <r>
    <x v="0"/>
    <n v="13.696"/>
    <n v="-89.173000000000002"/>
    <n v="10752.9"/>
    <n v="0"/>
    <n v="0"/>
    <n v="101"/>
    <s v="_x0000_US"/>
  </r>
  <r>
    <x v="0"/>
    <n v="13.689399999999999"/>
    <n v="-89.180700000000002"/>
    <n v="10753.8"/>
    <n v="0"/>
    <n v="0"/>
    <n v="101"/>
    <s v="_x0000_US"/>
  </r>
  <r>
    <x v="0"/>
    <n v="13.692"/>
    <n v="-89.179199999999994"/>
    <n v="10753.9"/>
    <n v="0"/>
    <n v="0"/>
    <n v="101"/>
    <s v="_x0000_US"/>
  </r>
  <r>
    <x v="0"/>
    <n v="13.6906"/>
    <n v="-89.236000000000004"/>
    <n v="10754"/>
    <n v="0"/>
    <n v="0"/>
    <n v="101"/>
    <s v="_x0000_US"/>
  </r>
  <r>
    <x v="0"/>
    <n v="13.6915"/>
    <n v="-89.188199999999995"/>
    <n v="10754.3"/>
    <n v="0"/>
    <n v="0"/>
    <n v="101"/>
    <s v="_x0000_US"/>
  </r>
  <r>
    <x v="0"/>
    <n v="13.689"/>
    <n v="-89.229299999999995"/>
    <n v="10754.5"/>
    <n v="0"/>
    <n v="0"/>
    <n v="101"/>
    <s v="_x0000_US"/>
  </r>
  <r>
    <x v="0"/>
    <n v="13.6853"/>
    <n v="-89.216800000000006"/>
    <n v="10754.6"/>
    <n v="0"/>
    <n v="0"/>
    <n v="101"/>
    <s v="_x0000_US"/>
  </r>
  <r>
    <x v="0"/>
    <n v="13.6911"/>
    <n v="-89.234399999999994"/>
    <n v="10754.8"/>
    <n v="0"/>
    <n v="0"/>
    <n v="101"/>
    <s v="_x0000_US"/>
  </r>
  <r>
    <x v="0"/>
    <n v="13.688499999999999"/>
    <n v="-89.229500000000002"/>
    <n v="10754.9"/>
    <n v="0"/>
    <n v="0"/>
    <n v="101"/>
    <s v="_x0000_US"/>
  </r>
  <r>
    <x v="0"/>
    <n v="13.6853"/>
    <n v="-89.216999999999999"/>
    <n v="10755.4"/>
    <n v="0"/>
    <n v="0"/>
    <n v="101"/>
    <s v="_x0000_US"/>
  </r>
  <r>
    <x v="0"/>
    <n v="13.6906"/>
    <n v="-89.232200000000006"/>
    <n v="10755.7"/>
    <n v="0"/>
    <n v="0"/>
    <n v="101"/>
    <s v="_x0000_US"/>
  </r>
  <r>
    <x v="0"/>
    <n v="13.6911"/>
    <n v="-89.229399999999998"/>
    <n v="10756.5"/>
    <n v="0"/>
    <n v="0"/>
    <n v="101"/>
    <s v="_x0000_US"/>
  </r>
  <r>
    <x v="0"/>
    <n v="13.685700000000001"/>
    <n v="-89.212599999999995"/>
    <n v="10756.8"/>
    <n v="0"/>
    <n v="0"/>
    <n v="101"/>
    <s v="_x0000_US"/>
  </r>
  <r>
    <x v="0"/>
    <n v="13.6935"/>
    <n v="-89.1768"/>
    <n v="10757"/>
    <n v="0"/>
    <n v="0"/>
    <n v="101"/>
    <s v="_x0000_US"/>
  </r>
  <r>
    <x v="0"/>
    <n v="13.686999999999999"/>
    <n v="-89.202200000000005"/>
    <n v="10757.1"/>
    <n v="0"/>
    <n v="0"/>
    <n v="101"/>
    <s v="_x0000_US"/>
  </r>
  <r>
    <x v="0"/>
    <n v="13.687099999999999"/>
    <n v="-89.194599999999994"/>
    <n v="10757.3"/>
    <n v="0"/>
    <n v="0"/>
    <n v="101"/>
    <s v="_x0000_US"/>
  </r>
  <r>
    <x v="0"/>
    <n v="13.6883"/>
    <n v="-89.229699999999994"/>
    <n v="10757.3"/>
    <n v="0"/>
    <n v="0"/>
    <n v="101"/>
    <s v="_x0000_US"/>
  </r>
  <r>
    <x v="0"/>
    <n v="13.6921"/>
    <n v="-89.197299999999998"/>
    <n v="10758.1"/>
    <n v="0"/>
    <n v="0"/>
    <n v="101"/>
    <s v="_x0000_US"/>
  </r>
  <r>
    <x v="0"/>
    <n v="13.6914"/>
    <n v="-89.228700000000003"/>
    <n v="10758.1"/>
    <n v="0"/>
    <n v="0"/>
    <n v="101"/>
    <s v="_x0000_US"/>
  </r>
  <r>
    <x v="0"/>
    <n v="13.6913"/>
    <n v="-89.229399999999998"/>
    <n v="10759"/>
    <n v="0"/>
    <n v="0"/>
    <n v="101"/>
    <s v="_x0000_US"/>
  </r>
  <r>
    <x v="0"/>
    <n v="13.692399999999999"/>
    <n v="-89.225999999999999"/>
    <n v="10759.1"/>
    <n v="0"/>
    <n v="0"/>
    <n v="101"/>
    <s v="_x0000_US"/>
  </r>
  <r>
    <x v="0"/>
    <n v="13.6769"/>
    <n v="-89.248400000000004"/>
    <n v="10759.5"/>
    <n v="0"/>
    <n v="0"/>
    <n v="101"/>
    <s v="_x0000_US"/>
  </r>
  <r>
    <x v="0"/>
    <n v="13.690099999999999"/>
    <n v="-89.193100000000001"/>
    <n v="10759.7"/>
    <n v="0"/>
    <n v="0"/>
    <n v="101"/>
    <s v="_x0000_US"/>
  </r>
  <r>
    <x v="0"/>
    <n v="13.691000000000001"/>
    <n v="-89.226799999999997"/>
    <n v="10759.7"/>
    <n v="0"/>
    <n v="0"/>
    <n v="101"/>
    <s v="_x0000_US"/>
  </r>
  <r>
    <x v="0"/>
    <n v="13.6891"/>
    <n v="-89.229200000000006"/>
    <n v="10759.7"/>
    <n v="0"/>
    <n v="0"/>
    <n v="101"/>
    <s v="_x0000_US"/>
  </r>
  <r>
    <x v="0"/>
    <n v="13.692299999999999"/>
    <n v="-89.194500000000005"/>
    <n v="10760.3"/>
    <n v="0"/>
    <n v="0"/>
    <n v="101"/>
    <s v="_x0000_US"/>
  </r>
  <r>
    <x v="0"/>
    <n v="13.6905"/>
    <n v="-89.235799999999998"/>
    <n v="10760.7"/>
    <n v="0"/>
    <n v="0"/>
    <n v="101"/>
    <s v="_x0000_US"/>
  </r>
  <r>
    <x v="0"/>
    <n v="13.687799999999999"/>
    <n v="-89.180999999999997"/>
    <n v="10760.8"/>
    <n v="0"/>
    <n v="0"/>
    <n v="101"/>
    <s v="_x0000_US"/>
  </r>
  <r>
    <x v="0"/>
    <n v="13.686999999999999"/>
    <n v="-89.194599999999994"/>
    <n v="10761.5"/>
    <n v="0"/>
    <n v="0"/>
    <n v="101"/>
    <s v="_x0000_US"/>
  </r>
  <r>
    <x v="0"/>
    <n v="13.694900000000001"/>
    <n v="-89.174899999999994"/>
    <n v="10762"/>
    <n v="0"/>
    <n v="0"/>
    <n v="101"/>
    <s v="_x0000_US"/>
  </r>
  <r>
    <x v="0"/>
    <n v="13.696199999999999"/>
    <n v="-89.171800000000005"/>
    <n v="10762"/>
    <n v="0"/>
    <n v="0"/>
    <n v="101"/>
    <s v="_x0000_US"/>
  </r>
  <r>
    <x v="0"/>
    <n v="13.690899999999999"/>
    <n v="-89.194199999999995"/>
    <n v="10762.6"/>
    <n v="0"/>
    <n v="0"/>
    <n v="101"/>
    <s v="_x0000_US"/>
  </r>
  <r>
    <x v="0"/>
    <n v="13.684799999999999"/>
    <n v="-89.210999999999999"/>
    <n v="10763.7"/>
    <n v="0"/>
    <n v="0"/>
    <n v="101"/>
    <s v="_x0000_US"/>
  </r>
  <r>
    <x v="0"/>
    <n v="13.6914"/>
    <n v="-89.188100000000006"/>
    <n v="10763.8"/>
    <n v="0"/>
    <n v="0"/>
    <n v="101"/>
    <s v="_x0000_US"/>
  </r>
  <r>
    <x v="0"/>
    <n v="13.693099999999999"/>
    <n v="-89.177400000000006"/>
    <n v="10763.9"/>
    <n v="0"/>
    <n v="0"/>
    <n v="101"/>
    <s v="_x0000_US"/>
  </r>
  <r>
    <x v="0"/>
    <n v="13.6874"/>
    <n v="-89.204400000000007"/>
    <n v="10764"/>
    <n v="0"/>
    <n v="0"/>
    <n v="101"/>
    <s v="_x0000_US"/>
  </r>
  <r>
    <x v="0"/>
    <n v="13.6867"/>
    <n v="-89.191500000000005"/>
    <n v="10764.3"/>
    <n v="0"/>
    <n v="0"/>
    <n v="101"/>
    <s v="_x0000_US"/>
  </r>
  <r>
    <x v="0"/>
    <n v="13.672599999999999"/>
    <n v="-89.204599999999999"/>
    <n v="10764.5"/>
    <n v="0"/>
    <n v="0"/>
    <n v="101"/>
    <s v="_x0000_US"/>
  </r>
  <r>
    <x v="0"/>
    <n v="13.6899"/>
    <n v="-89.177400000000006"/>
    <n v="10765.3"/>
    <n v="0"/>
    <n v="0"/>
    <n v="101"/>
    <s v="_x0000_US"/>
  </r>
  <r>
    <x v="0"/>
    <n v="13.688499999999999"/>
    <n v="-89.204099999999997"/>
    <n v="10765.4"/>
    <n v="0"/>
    <n v="0"/>
    <n v="101"/>
    <s v="_x0000_US"/>
  </r>
  <r>
    <x v="0"/>
    <n v="13.674799999999999"/>
    <n v="-89.250900000000001"/>
    <n v="10765.4"/>
    <n v="0"/>
    <n v="0"/>
    <n v="101"/>
    <s v="_x0000_US"/>
  </r>
  <r>
    <x v="0"/>
    <n v="13.690300000000001"/>
    <n v="-89.181299999999993"/>
    <n v="10765.5"/>
    <n v="0"/>
    <n v="0"/>
    <n v="101"/>
    <s v="_x0000_US"/>
  </r>
  <r>
    <x v="0"/>
    <n v="13.6942"/>
    <n v="-89.176000000000002"/>
    <n v="10765.8"/>
    <n v="0"/>
    <n v="0"/>
    <n v="101"/>
    <s v="_x0000_US"/>
  </r>
  <r>
    <x v="0"/>
    <n v="13.677"/>
    <n v="-89.199600000000004"/>
    <n v="10766.2"/>
    <n v="0"/>
    <n v="0"/>
    <n v="101"/>
    <s v="_x0000_US"/>
  </r>
  <r>
    <x v="0"/>
    <n v="13.6891"/>
    <n v="-89.191199999999995"/>
    <n v="10766.3"/>
    <n v="0"/>
    <n v="0"/>
    <n v="101"/>
    <s v="_x0000_US"/>
  </r>
  <r>
    <x v="0"/>
    <n v="13.6868"/>
    <n v="-89.182500000000005"/>
    <n v="10766.7"/>
    <n v="0"/>
    <n v="0"/>
    <n v="101"/>
    <s v="_x0000_US"/>
  </r>
  <r>
    <x v="0"/>
    <n v="13.690200000000001"/>
    <n v="-89.195700000000002"/>
    <n v="10766.9"/>
    <n v="0"/>
    <n v="0"/>
    <n v="101"/>
    <s v="_x0000_US"/>
  </r>
  <r>
    <x v="0"/>
    <n v="13.6875"/>
    <n v="-89.205399999999997"/>
    <n v="10766.9"/>
    <n v="0"/>
    <n v="0"/>
    <n v="101"/>
    <s v="_x0000_US"/>
  </r>
  <r>
    <x v="0"/>
    <n v="13.6876"/>
    <n v="-89.195700000000002"/>
    <n v="10767.9"/>
    <n v="0"/>
    <n v="0"/>
    <n v="101"/>
    <s v="_x0000_US"/>
  </r>
  <r>
    <x v="0"/>
    <n v="13.6911"/>
    <n v="-89.229399999999998"/>
    <n v="10768.3"/>
    <n v="0"/>
    <n v="0"/>
    <n v="101"/>
    <s v="_x0000_US"/>
  </r>
  <r>
    <x v="0"/>
    <n v="13.6874"/>
    <n v="-89.211200000000005"/>
    <n v="10768.5"/>
    <n v="0"/>
    <n v="0"/>
    <n v="101"/>
    <s v="_x0000_US"/>
  </r>
  <r>
    <x v="0"/>
    <n v="13.6911"/>
    <n v="-89.188500000000005"/>
    <n v="10768.8"/>
    <n v="0"/>
    <n v="0"/>
    <n v="101"/>
    <s v="_x0000_US"/>
  </r>
  <r>
    <x v="0"/>
    <n v="13.680099999999999"/>
    <n v="-89.194599999999994"/>
    <n v="10768.8"/>
    <n v="0"/>
    <n v="0"/>
    <n v="101"/>
    <s v="_x0000_US"/>
  </r>
  <r>
    <x v="0"/>
    <n v="13.691599999999999"/>
    <n v="-89.179199999999994"/>
    <n v="10768.9"/>
    <n v="0"/>
    <n v="0"/>
    <n v="101"/>
    <s v="_x0000_US"/>
  </r>
  <r>
    <x v="0"/>
    <n v="13.6876"/>
    <n v="-89.194299999999998"/>
    <n v="10769.3"/>
    <n v="0"/>
    <n v="0"/>
    <n v="101"/>
    <s v="_x0000_US"/>
  </r>
  <r>
    <x v="0"/>
    <n v="13.689399999999999"/>
    <n v="-89.207999999999998"/>
    <n v="10769.4"/>
    <n v="0"/>
    <n v="0"/>
    <n v="101"/>
    <s v="_x0000_US"/>
  </r>
  <r>
    <x v="0"/>
    <n v="13.696199999999999"/>
    <n v="-89.172499999999999"/>
    <n v="10769.8"/>
    <n v="0"/>
    <n v="0"/>
    <n v="101"/>
    <s v="_x0000_US"/>
  </r>
  <r>
    <x v="0"/>
    <n v="13.6854"/>
    <n v="-89.201499999999996"/>
    <n v="10770"/>
    <n v="0"/>
    <n v="0"/>
    <n v="101"/>
    <s v="_x0000_US"/>
  </r>
  <r>
    <x v="0"/>
    <n v="13.687200000000001"/>
    <n v="-89.194500000000005"/>
    <n v="10770.2"/>
    <n v="0"/>
    <n v="0"/>
    <n v="101"/>
    <s v="_x0000_US"/>
  </r>
  <r>
    <x v="0"/>
    <n v="13.6911"/>
    <n v="-89.179299999999998"/>
    <n v="10770.3"/>
    <n v="0"/>
    <n v="0"/>
    <n v="101"/>
    <s v="_x0000_US"/>
  </r>
  <r>
    <x v="0"/>
    <n v="13.6869"/>
    <n v="-89.194599999999994"/>
    <n v="10771"/>
    <n v="0"/>
    <n v="0"/>
    <n v="101"/>
    <s v="_x0000_US"/>
  </r>
  <r>
    <x v="0"/>
    <n v="13.687799999999999"/>
    <n v="-89.197000000000003"/>
    <n v="10771.1"/>
    <n v="0"/>
    <n v="0"/>
    <n v="101"/>
    <s v="_x0000_US"/>
  </r>
  <r>
    <x v="0"/>
    <n v="13.684900000000001"/>
    <n v="-89.213200000000001"/>
    <n v="10771.2"/>
    <n v="0"/>
    <n v="0"/>
    <n v="101"/>
    <s v="_x0000_US"/>
  </r>
  <r>
    <x v="0"/>
    <n v="13.6874"/>
    <n v="-89.182299999999998"/>
    <n v="10771.4"/>
    <n v="0"/>
    <n v="0"/>
    <n v="101"/>
    <s v="_x0000_US"/>
  </r>
  <r>
    <x v="0"/>
    <n v="13.6876"/>
    <n v="-89.179699999999997"/>
    <n v="10771.4"/>
    <n v="0"/>
    <n v="0"/>
    <n v="101"/>
    <s v="_x0000_US"/>
  </r>
  <r>
    <x v="0"/>
    <n v="13.6972"/>
    <n v="-89.171599999999998"/>
    <n v="10771.4"/>
    <n v="0"/>
    <n v="0"/>
    <n v="101"/>
    <s v="_x0000_US"/>
  </r>
  <r>
    <x v="0"/>
    <n v="13.689299999999999"/>
    <n v="-89.184200000000004"/>
    <n v="10771.5"/>
    <n v="0"/>
    <n v="0"/>
    <n v="101"/>
    <s v="_x0000_US"/>
  </r>
  <r>
    <x v="0"/>
    <n v="13.6883"/>
    <n v="-89.181899999999999"/>
    <n v="10771.7"/>
    <n v="0"/>
    <n v="0"/>
    <n v="101"/>
    <s v="_x0000_US"/>
  </r>
  <r>
    <x v="0"/>
    <n v="13.687900000000001"/>
    <n v="-89.215400000000002"/>
    <n v="10772"/>
    <n v="0"/>
    <n v="0"/>
    <n v="101"/>
    <s v="_x0000_US"/>
  </r>
  <r>
    <x v="0"/>
    <n v="13.689399999999999"/>
    <n v="-89.197500000000005"/>
    <n v="10774"/>
    <n v="0"/>
    <n v="0"/>
    <n v="101"/>
    <s v="_x0000_US"/>
  </r>
  <r>
    <x v="0"/>
    <n v="13.6891"/>
    <n v="-89.1905"/>
    <n v="10774.6"/>
    <n v="0"/>
    <n v="0"/>
    <n v="101"/>
    <s v="_x0000_US"/>
  </r>
  <r>
    <x v="0"/>
    <n v="13.6807"/>
    <n v="-89.197800000000001"/>
    <n v="10774.6"/>
    <n v="0"/>
    <n v="0"/>
    <n v="101"/>
    <s v="_x0000_US"/>
  </r>
  <r>
    <x v="0"/>
    <n v="13.6874"/>
    <n v="-89.194400000000002"/>
    <n v="10774.7"/>
    <n v="0"/>
    <n v="0"/>
    <n v="101"/>
    <s v="_x0000_US"/>
  </r>
  <r>
    <x v="0"/>
    <n v="13.678800000000001"/>
    <n v="-89.245199999999997"/>
    <n v="10775.7"/>
    <n v="0"/>
    <n v="0"/>
    <n v="101"/>
    <s v="_x0000_US"/>
  </r>
  <r>
    <x v="0"/>
    <n v="13.687099999999999"/>
    <n v="-89.213999999999999"/>
    <n v="10776.1"/>
    <n v="0"/>
    <n v="0"/>
    <n v="101"/>
    <s v="_x0000_US"/>
  </r>
  <r>
    <x v="0"/>
    <n v="13.688599999999999"/>
    <n v="-89.1815"/>
    <n v="10776.2"/>
    <n v="0"/>
    <n v="0"/>
    <n v="101"/>
    <s v="_x0000_US"/>
  </r>
  <r>
    <x v="0"/>
    <n v="13.693300000000001"/>
    <n v="-89.188699999999997"/>
    <n v="10776.4"/>
    <n v="0"/>
    <n v="0"/>
    <n v="101"/>
    <s v="_x0000_US"/>
  </r>
  <r>
    <x v="0"/>
    <n v="13.691700000000001"/>
    <n v="-89.186499999999995"/>
    <n v="10776.5"/>
    <n v="0"/>
    <n v="0"/>
    <n v="101"/>
    <s v="_x0000_US"/>
  </r>
  <r>
    <x v="0"/>
    <n v="13.6869"/>
    <n v="-89.197500000000005"/>
    <n v="10776.7"/>
    <n v="0"/>
    <n v="0"/>
    <n v="101"/>
    <s v="_x0000_US"/>
  </r>
  <r>
    <x v="0"/>
    <n v="13.6943"/>
    <n v="-89.176100000000005"/>
    <n v="10776.8"/>
    <n v="0"/>
    <n v="0"/>
    <n v="101"/>
    <s v="_x0000_US"/>
  </r>
  <r>
    <x v="0"/>
    <n v="13.6919"/>
    <n v="-89.178399999999996"/>
    <n v="10777.1"/>
    <n v="0"/>
    <n v="0"/>
    <n v="101"/>
    <s v="_x0000_US"/>
  </r>
  <r>
    <x v="0"/>
    <n v="13.6934"/>
    <n v="-89.176199999999994"/>
    <n v="10777.1"/>
    <n v="0"/>
    <n v="0"/>
    <n v="101"/>
    <s v="_x0000_US"/>
  </r>
  <r>
    <x v="0"/>
    <n v="13.6935"/>
    <n v="-89.177000000000007"/>
    <n v="10777.3"/>
    <n v="0"/>
    <n v="0"/>
    <n v="101"/>
    <s v="_x0000_US"/>
  </r>
  <r>
    <x v="0"/>
    <n v="13.6913"/>
    <n v="-89.179599999999994"/>
    <n v="10777.4"/>
    <n v="0"/>
    <n v="0"/>
    <n v="101"/>
    <s v="_x0000_US"/>
  </r>
  <r>
    <x v="0"/>
    <n v="13.6927"/>
    <n v="-89.175799999999995"/>
    <n v="10777.4"/>
    <n v="0"/>
    <n v="0"/>
    <n v="101"/>
    <s v="_x0000_US"/>
  </r>
  <r>
    <x v="0"/>
    <n v="13.6853"/>
    <n v="-89.216899999999995"/>
    <n v="10777.8"/>
    <n v="0"/>
    <n v="0"/>
    <n v="101"/>
    <s v="_x0000_US"/>
  </r>
  <r>
    <x v="0"/>
    <n v="13.6868"/>
    <n v="-89.214299999999994"/>
    <n v="10778"/>
    <n v="0"/>
    <n v="0"/>
    <n v="101"/>
    <s v="_x0000_US"/>
  </r>
  <r>
    <x v="0"/>
    <n v="13.691800000000001"/>
    <n v="-89.185400000000001"/>
    <n v="10778.1"/>
    <n v="0"/>
    <n v="0"/>
    <n v="101"/>
    <s v="_x0000_US"/>
  </r>
  <r>
    <x v="0"/>
    <n v="13.6906"/>
    <n v="-89.235399999999998"/>
    <n v="10778.1"/>
    <n v="0"/>
    <n v="0"/>
    <n v="101"/>
    <s v="_x0000_US"/>
  </r>
  <r>
    <x v="0"/>
    <n v="13.6868"/>
    <n v="-89.182599999999994"/>
    <n v="10778.3"/>
    <n v="0"/>
    <n v="0"/>
    <n v="101"/>
    <s v="_x0000_US"/>
  </r>
  <r>
    <x v="0"/>
    <n v="13.6957"/>
    <n v="-89.172700000000006"/>
    <n v="10778.3"/>
    <n v="0"/>
    <n v="0"/>
    <n v="101"/>
    <s v="_x0000_US"/>
  </r>
  <r>
    <x v="0"/>
    <n v="13.6911"/>
    <n v="-89.233699999999999"/>
    <n v="10778.7"/>
    <n v="0"/>
    <n v="0"/>
    <n v="101"/>
    <s v="_x0000_US"/>
  </r>
  <r>
    <x v="0"/>
    <n v="13.674200000000001"/>
    <n v="-89.202200000000005"/>
    <n v="10779.1"/>
    <n v="0"/>
    <n v="0"/>
    <n v="101"/>
    <s v="_x0000_US"/>
  </r>
  <r>
    <x v="0"/>
    <n v="13.6854"/>
    <n v="-89.201300000000003"/>
    <n v="10780.1"/>
    <n v="0"/>
    <n v="0"/>
    <n v="101"/>
    <s v="_x0000_US"/>
  </r>
  <r>
    <x v="0"/>
    <n v="13.686999999999999"/>
    <n v="-89.183499999999995"/>
    <n v="10780.8"/>
    <n v="0"/>
    <n v="0"/>
    <n v="101"/>
    <s v="_x0000_US"/>
  </r>
  <r>
    <x v="0"/>
    <n v="13.694000000000001"/>
    <n v="-89.174899999999994"/>
    <n v="10781"/>
    <n v="0"/>
    <n v="0"/>
    <n v="101"/>
    <s v="_x0000_US"/>
  </r>
  <r>
    <x v="0"/>
    <n v="13.6859"/>
    <n v="-89.203299999999999"/>
    <n v="10781.3"/>
    <n v="0"/>
    <n v="0"/>
    <n v="101"/>
    <s v="_x0000_US"/>
  </r>
  <r>
    <x v="0"/>
    <n v="13.6874"/>
    <n v="-89.194500000000005"/>
    <n v="10781.7"/>
    <n v="0"/>
    <n v="0"/>
    <n v="101"/>
    <s v="_x0000_US"/>
  </r>
  <r>
    <x v="0"/>
    <n v="13.6958"/>
    <n v="-89.166499999999999"/>
    <n v="10781.7"/>
    <n v="0"/>
    <n v="0"/>
    <n v="101"/>
    <s v="_x0000_US"/>
  </r>
  <r>
    <x v="0"/>
    <n v="13.6851"/>
    <n v="-89.201300000000003"/>
    <n v="10782"/>
    <n v="0"/>
    <n v="0"/>
    <n v="101"/>
    <s v="_x0000_US"/>
  </r>
  <r>
    <x v="0"/>
    <n v="13.6927"/>
    <n v="-89.192999999999998"/>
    <n v="10782.5"/>
    <n v="0"/>
    <n v="0"/>
    <n v="101"/>
    <s v="_x0000_US"/>
  </r>
  <r>
    <x v="0"/>
    <n v="13.689299999999999"/>
    <n v="-89.207700000000003"/>
    <n v="10782.5"/>
    <n v="0"/>
    <n v="0"/>
    <n v="101"/>
    <s v="_x0000_US"/>
  </r>
  <r>
    <x v="0"/>
    <n v="13.6967"/>
    <n v="-89.171999999999997"/>
    <n v="10782.5"/>
    <n v="0"/>
    <n v="0"/>
    <n v="101"/>
    <s v="_x0000_US"/>
  </r>
  <r>
    <x v="0"/>
    <n v="13.6739"/>
    <n v="-89.202799999999996"/>
    <n v="10782.7"/>
    <n v="0"/>
    <n v="0"/>
    <n v="101"/>
    <s v="_x0000_US"/>
  </r>
  <r>
    <x v="0"/>
    <n v="13.6891"/>
    <n v="-89.205299999999994"/>
    <n v="10783"/>
    <n v="0"/>
    <n v="0"/>
    <n v="101"/>
    <s v="_x0000_US"/>
  </r>
  <r>
    <x v="0"/>
    <n v="13.6914"/>
    <n v="-89.189499999999995"/>
    <n v="10783.5"/>
    <n v="0"/>
    <n v="0"/>
    <n v="101"/>
    <s v="_x0000_US"/>
  </r>
  <r>
    <x v="0"/>
    <n v="13.6897"/>
    <n v="-89.193899999999999"/>
    <n v="10783.5"/>
    <n v="0"/>
    <n v="0"/>
    <n v="101"/>
    <s v="_x0000_US"/>
  </r>
  <r>
    <x v="0"/>
    <n v="13.6922"/>
    <n v="-89.194400000000002"/>
    <n v="10783.6"/>
    <n v="0"/>
    <n v="0"/>
    <n v="101"/>
    <s v="_x0000_US"/>
  </r>
  <r>
    <x v="0"/>
    <n v="13.674899999999999"/>
    <n v="-89.249300000000005"/>
    <n v="10783.7"/>
    <n v="0"/>
    <n v="0"/>
    <n v="101"/>
    <s v="_x0000_US"/>
  </r>
  <r>
    <x v="0"/>
    <n v="13.694000000000001"/>
    <n v="-89.173400000000001"/>
    <n v="10784.1"/>
    <n v="0"/>
    <n v="0"/>
    <n v="101"/>
    <s v="_x0000_US"/>
  </r>
  <r>
    <x v="0"/>
    <n v="13.6891"/>
    <n v="-89.190399999999997"/>
    <n v="10784.3"/>
    <n v="0"/>
    <n v="0"/>
    <n v="101"/>
    <s v="_x0000_US"/>
  </r>
  <r>
    <x v="0"/>
    <n v="13.692500000000001"/>
    <n v="-89.1768"/>
    <n v="10785"/>
    <n v="0"/>
    <n v="0"/>
    <n v="101"/>
    <s v="_x0000_US"/>
  </r>
  <r>
    <x v="0"/>
    <n v="13.6905"/>
    <n v="-89.234800000000007"/>
    <n v="10785.5"/>
    <n v="0"/>
    <n v="0"/>
    <n v="101"/>
    <s v="_x0000_US"/>
  </r>
  <r>
    <x v="0"/>
    <n v="13.679399999999999"/>
    <n v="-89.197199999999995"/>
    <n v="10786.3"/>
    <n v="0"/>
    <n v="0"/>
    <n v="101"/>
    <s v="_x0000_US"/>
  </r>
  <r>
    <x v="0"/>
    <n v="13.687200000000001"/>
    <n v="-89.197500000000005"/>
    <n v="10786.5"/>
    <n v="0"/>
    <n v="0"/>
    <n v="101"/>
    <s v="_x0000_US"/>
  </r>
  <r>
    <x v="0"/>
    <n v="13.6858"/>
    <n v="-89.203400000000002"/>
    <n v="10786.9"/>
    <n v="0"/>
    <n v="0"/>
    <n v="101"/>
    <s v="_x0000_US"/>
  </r>
  <r>
    <x v="0"/>
    <n v="13.694599999999999"/>
    <n v="-89.185299999999998"/>
    <n v="10787"/>
    <n v="0"/>
    <n v="0"/>
    <n v="101"/>
    <s v="_x0000_US"/>
  </r>
  <r>
    <x v="0"/>
    <n v="13.695600000000001"/>
    <n v="-89.173000000000002"/>
    <n v="10787.1"/>
    <n v="0"/>
    <n v="0"/>
    <n v="101"/>
    <s v="_x0000_US"/>
  </r>
  <r>
    <x v="0"/>
    <n v="13.692600000000001"/>
    <n v="-89.224000000000004"/>
    <n v="10788.3"/>
    <n v="0"/>
    <n v="0"/>
    <n v="101"/>
    <s v="_x0000_US"/>
  </r>
  <r>
    <x v="0"/>
    <n v="13.6936"/>
    <n v="-89.176599999999993"/>
    <n v="10788.8"/>
    <n v="0"/>
    <n v="0"/>
    <n v="101"/>
    <s v="_x0000_US"/>
  </r>
  <r>
    <x v="0"/>
    <n v="13.692399999999999"/>
    <n v="-89.181899999999999"/>
    <n v="10789.2"/>
    <n v="0"/>
    <n v="0"/>
    <n v="101"/>
    <s v="_x0000_US"/>
  </r>
  <r>
    <x v="0"/>
    <n v="13.688700000000001"/>
    <n v="-89.1982"/>
    <n v="10789.4"/>
    <n v="0"/>
    <n v="0"/>
    <n v="101"/>
    <s v="_x0000_US"/>
  </r>
  <r>
    <x v="0"/>
    <n v="13.6906"/>
    <n v="-89.234800000000007"/>
    <n v="10789.4"/>
    <n v="0"/>
    <n v="0"/>
    <n v="101"/>
    <s v="_x0000_US"/>
  </r>
  <r>
    <x v="0"/>
    <n v="13.689"/>
    <n v="-89.180599999999998"/>
    <n v="10789.5"/>
    <n v="0"/>
    <n v="0"/>
    <n v="101"/>
    <s v="_x0000_US"/>
  </r>
  <r>
    <x v="0"/>
    <n v="13.6913"/>
    <n v="-89.234099999999998"/>
    <n v="10789.8"/>
    <n v="0"/>
    <n v="0"/>
    <n v="101"/>
    <s v="_x0000_US"/>
  </r>
  <r>
    <x v="0"/>
    <n v="13.6915"/>
    <n v="-89.185500000000005"/>
    <n v="10790.3"/>
    <n v="0"/>
    <n v="0"/>
    <n v="101"/>
    <s v="_x0000_US"/>
  </r>
  <r>
    <x v="0"/>
    <n v="13.6799"/>
    <n v="-89.195300000000003"/>
    <n v="10790.3"/>
    <n v="0"/>
    <n v="0"/>
    <n v="101"/>
    <s v="_x0000_US"/>
  </r>
  <r>
    <x v="0"/>
    <n v="13.6852"/>
    <n v="-89.201400000000007"/>
    <n v="10790.9"/>
    <n v="0"/>
    <n v="0"/>
    <n v="101"/>
    <s v="_x0000_US"/>
  </r>
  <r>
    <x v="0"/>
    <n v="13.690899999999999"/>
    <n v="-89.188599999999994"/>
    <n v="10791"/>
    <n v="0"/>
    <n v="0"/>
    <n v="101"/>
    <s v="_x0000_US"/>
  </r>
  <r>
    <x v="0"/>
    <n v="13.691599999999999"/>
    <n v="-89.197199999999995"/>
    <n v="10791.2"/>
    <n v="0"/>
    <n v="0"/>
    <n v="101"/>
    <s v="_x0000_US"/>
  </r>
  <r>
    <x v="0"/>
    <n v="13.6928"/>
    <n v="-89.224800000000002"/>
    <n v="10791.6"/>
    <n v="0"/>
    <n v="0"/>
    <n v="101"/>
    <s v="_x0000_US"/>
  </r>
  <r>
    <x v="0"/>
    <n v="13.694699999999999"/>
    <n v="-89.185299999999998"/>
    <n v="10791.8"/>
    <n v="0"/>
    <n v="0"/>
    <n v="101"/>
    <s v="_x0000_US"/>
  </r>
  <r>
    <x v="0"/>
    <n v="13.680400000000001"/>
    <n v="-89.198499999999996"/>
    <n v="10791.9"/>
    <n v="0"/>
    <n v="0"/>
    <n v="101"/>
    <s v="_x0000_US"/>
  </r>
  <r>
    <x v="0"/>
    <n v="13.6884"/>
    <n v="-89.194699999999997"/>
    <n v="10792.3"/>
    <n v="0"/>
    <n v="0"/>
    <n v="101"/>
    <s v="_x0000_US"/>
  </r>
  <r>
    <x v="0"/>
    <n v="13.686999999999999"/>
    <n v="-89.205200000000005"/>
    <n v="10793"/>
    <n v="0"/>
    <n v="0"/>
    <n v="101"/>
    <s v="_x0000_US"/>
  </r>
  <r>
    <x v="0"/>
    <n v="13.692600000000001"/>
    <n v="-89.224800000000002"/>
    <n v="10793.1"/>
    <n v="0"/>
    <n v="0"/>
    <n v="101"/>
    <s v="_x0000_US"/>
  </r>
  <r>
    <x v="0"/>
    <n v="13.693"/>
    <n v="-89.189899999999994"/>
    <n v="10793.5"/>
    <n v="0"/>
    <n v="0"/>
    <n v="101"/>
    <s v="_x0000_US"/>
  </r>
  <r>
    <x v="0"/>
    <n v="13.6873"/>
    <n v="-89.193899999999999"/>
    <n v="10794"/>
    <n v="0"/>
    <n v="0"/>
    <n v="101"/>
    <s v="_x0000_US"/>
  </r>
  <r>
    <x v="0"/>
    <n v="13.692600000000001"/>
    <n v="-89.196899999999999"/>
    <n v="10794.1"/>
    <n v="0"/>
    <n v="0"/>
    <n v="101"/>
    <s v="_x0000_US"/>
  </r>
  <r>
    <x v="0"/>
    <n v="13.674899999999999"/>
    <n v="-89.1995"/>
    <n v="10794.2"/>
    <n v="0"/>
    <n v="0"/>
    <n v="101"/>
    <s v="_x0000_US"/>
  </r>
  <r>
    <x v="0"/>
    <n v="13.692600000000001"/>
    <n v="-89.224100000000007"/>
    <n v="10794.4"/>
    <n v="0"/>
    <n v="0"/>
    <n v="101"/>
    <s v="_x0000_US"/>
  </r>
  <r>
    <x v="0"/>
    <n v="13.676600000000001"/>
    <n v="-89.200100000000006"/>
    <n v="10794.7"/>
    <n v="0"/>
    <n v="0"/>
    <n v="101"/>
    <s v="_x0000_US"/>
  </r>
  <r>
    <x v="0"/>
    <n v="13.6906"/>
    <n v="-89.236000000000004"/>
    <n v="10795.6"/>
    <n v="0"/>
    <n v="0"/>
    <n v="101"/>
    <s v="_x0000_US"/>
  </r>
  <r>
    <x v="0"/>
    <n v="13.694800000000001"/>
    <n v="-89.174400000000006"/>
    <n v="10795.8"/>
    <n v="0"/>
    <n v="0"/>
    <n v="101"/>
    <s v="_x0000_US"/>
  </r>
  <r>
    <x v="0"/>
    <n v="13.694599999999999"/>
    <n v="-89.174199999999999"/>
    <n v="10795.9"/>
    <n v="0"/>
    <n v="0"/>
    <n v="101"/>
    <s v="_x0000_US"/>
  </r>
  <r>
    <x v="0"/>
    <n v="13.691700000000001"/>
    <n v="-89.225300000000004"/>
    <n v="10796.7"/>
    <n v="0"/>
    <n v="0"/>
    <n v="101"/>
    <s v="_x0000_US"/>
  </r>
  <r>
    <x v="0"/>
    <n v="13.6915"/>
    <n v="-89.189300000000003"/>
    <n v="10797.5"/>
    <n v="0"/>
    <n v="0"/>
    <n v="101"/>
    <s v="_x0000_US"/>
  </r>
  <r>
    <x v="0"/>
    <n v="13.6845"/>
    <n v="-89.211600000000004"/>
    <n v="10797.5"/>
    <n v="0"/>
    <n v="0"/>
    <n v="101"/>
    <s v="_x0000_US"/>
  </r>
  <r>
    <x v="0"/>
    <n v="13.6922"/>
    <n v="-89.1751"/>
    <n v="10797.6"/>
    <n v="0"/>
    <n v="0"/>
    <n v="101"/>
    <s v="_x0000_US"/>
  </r>
  <r>
    <x v="0"/>
    <n v="13.6919"/>
    <n v="-89.194299999999998"/>
    <n v="10797.7"/>
    <n v="0"/>
    <n v="0"/>
    <n v="101"/>
    <s v="_x0000_US"/>
  </r>
  <r>
    <x v="0"/>
    <n v="13.6868"/>
    <n v="-89.202200000000005"/>
    <n v="10797.8"/>
    <n v="0"/>
    <n v="0"/>
    <n v="101"/>
    <s v="_x0000_US"/>
  </r>
  <r>
    <x v="0"/>
    <n v="13.6873"/>
    <n v="-89.216300000000004"/>
    <n v="10797.9"/>
    <n v="0"/>
    <n v="0"/>
    <n v="101"/>
    <s v="_x0000_US"/>
  </r>
  <r>
    <x v="0"/>
    <n v="13.6891"/>
    <n v="-89.215699999999998"/>
    <n v="10798.3"/>
    <n v="0"/>
    <n v="0"/>
    <n v="101"/>
    <s v="_x0000_US"/>
  </r>
  <r>
    <x v="0"/>
    <n v="13.688700000000001"/>
    <n v="-89.214500000000001"/>
    <n v="10798.7"/>
    <n v="0"/>
    <n v="0"/>
    <n v="101"/>
    <s v="_x0000_US"/>
  </r>
  <r>
    <x v="0"/>
    <n v="13.69"/>
    <n v="-89.228700000000003"/>
    <n v="10799"/>
    <n v="0"/>
    <n v="0"/>
    <n v="101"/>
    <s v="_x0000_US"/>
  </r>
  <r>
    <x v="0"/>
    <n v="13.6899"/>
    <n v="-89.179100000000005"/>
    <n v="10799.2"/>
    <n v="0"/>
    <n v="0"/>
    <n v="101"/>
    <s v="_x0000_US"/>
  </r>
  <r>
    <x v="0"/>
    <n v="13.6799"/>
    <n v="-89.195899999999995"/>
    <n v="10799.4"/>
    <n v="0"/>
    <n v="0"/>
    <n v="101"/>
    <s v="_x0000_US"/>
  </r>
  <r>
    <x v="0"/>
    <n v="13.6919"/>
    <n v="-89.224000000000004"/>
    <n v="10799.6"/>
    <n v="0"/>
    <n v="0"/>
    <n v="101"/>
    <s v="_x0000_US"/>
  </r>
  <r>
    <x v="0"/>
    <n v="13.684699999999999"/>
    <n v="-89.216399999999993"/>
    <n v="10801.1"/>
    <n v="0"/>
    <n v="0"/>
    <n v="101"/>
    <s v="_x0000_US"/>
  </r>
  <r>
    <x v="0"/>
    <n v="13.6953"/>
    <n v="-89.173299999999998"/>
    <n v="10801.5"/>
    <n v="0"/>
    <n v="0"/>
    <n v="101"/>
    <s v="_x0000_US"/>
  </r>
  <r>
    <x v="0"/>
    <n v="13.6952"/>
    <n v="-89.174499999999995"/>
    <n v="10801.5"/>
    <n v="0"/>
    <n v="0"/>
    <n v="101"/>
    <s v="_x0000_US"/>
  </r>
  <r>
    <x v="0"/>
    <n v="13.692399999999999"/>
    <n v="-89.192899999999995"/>
    <n v="10801.6"/>
    <n v="0"/>
    <n v="0"/>
    <n v="101"/>
    <s v="_x0000_US"/>
  </r>
  <r>
    <x v="0"/>
    <n v="13.672800000000001"/>
    <n v="-89.203800000000001"/>
    <n v="10802.5"/>
    <n v="0"/>
    <n v="0"/>
    <n v="101"/>
    <s v="_x0000_US"/>
  </r>
  <r>
    <x v="0"/>
    <n v="13.686999999999999"/>
    <n v="-89.181600000000003"/>
    <n v="10802.6"/>
    <n v="0"/>
    <n v="0"/>
    <n v="101"/>
    <s v="_x0000_US"/>
  </r>
  <r>
    <x v="0"/>
    <n v="13.695"/>
    <n v="-89.174700000000001"/>
    <n v="10802.6"/>
    <n v="0"/>
    <n v="0"/>
    <n v="101"/>
    <s v="_x0000_US"/>
  </r>
  <r>
    <x v="0"/>
    <n v="13.6906"/>
    <n v="-89.232200000000006"/>
    <n v="10803.4"/>
    <n v="0"/>
    <n v="0"/>
    <n v="101"/>
    <s v="_x0000_US"/>
  </r>
  <r>
    <x v="0"/>
    <n v="13.6874"/>
    <n v="-89.197199999999995"/>
    <n v="10803.9"/>
    <n v="0"/>
    <n v="0"/>
    <n v="101"/>
    <s v="_x0000_US"/>
  </r>
  <r>
    <x v="0"/>
    <n v="13.696400000000001"/>
    <n v="-89.171700000000001"/>
    <n v="10804.2"/>
    <n v="0"/>
    <n v="0"/>
    <n v="101"/>
    <s v="_x0000_US"/>
  </r>
  <r>
    <x v="0"/>
    <n v="13.6737"/>
    <n v="-89.203400000000002"/>
    <n v="10804.7"/>
    <n v="0"/>
    <n v="0"/>
    <n v="101"/>
    <s v="_x0000_US"/>
  </r>
  <r>
    <x v="0"/>
    <n v="13.6935"/>
    <n v="-89.176299999999998"/>
    <n v="10804.8"/>
    <n v="0"/>
    <n v="0"/>
    <n v="101"/>
    <s v="_x0000_US"/>
  </r>
  <r>
    <x v="0"/>
    <n v="13.6915"/>
    <n v="-89.228300000000004"/>
    <n v="10804.9"/>
    <n v="0"/>
    <n v="0"/>
    <n v="101"/>
    <s v="_x0000_US"/>
  </r>
  <r>
    <x v="0"/>
    <n v="13.6869"/>
    <n v="-89.182699999999997"/>
    <n v="10805.1"/>
    <n v="0"/>
    <n v="0"/>
    <n v="101"/>
    <s v="_x0000_US"/>
  </r>
  <r>
    <x v="0"/>
    <n v="13.6897"/>
    <n v="-89.179199999999994"/>
    <n v="10805.4"/>
    <n v="0"/>
    <n v="0"/>
    <n v="101"/>
    <s v="_x0000_US"/>
  </r>
  <r>
    <x v="0"/>
    <n v="13.691000000000001"/>
    <n v="-89.232500000000002"/>
    <n v="10805.7"/>
    <n v="0"/>
    <n v="0"/>
    <n v="101"/>
    <s v="_x0000_US"/>
  </r>
  <r>
    <x v="0"/>
    <n v="13.684699999999999"/>
    <n v="-89.211699999999993"/>
    <n v="10805.8"/>
    <n v="0"/>
    <n v="0"/>
    <n v="101"/>
    <s v="_x0000_US"/>
  </r>
  <r>
    <x v="0"/>
    <n v="13.6881"/>
    <n v="-89.215400000000002"/>
    <n v="10805.9"/>
    <n v="0"/>
    <n v="0"/>
    <n v="101"/>
    <s v="_x0000_US"/>
  </r>
  <r>
    <x v="0"/>
    <n v="13.6874"/>
    <n v="-89.216200000000001"/>
    <n v="10805.9"/>
    <n v="0"/>
    <n v="0"/>
    <n v="101"/>
    <s v="_x0000_US"/>
  </r>
  <r>
    <x v="0"/>
    <n v="13.692299999999999"/>
    <n v="-89.224000000000004"/>
    <n v="10806.1"/>
    <n v="0"/>
    <n v="0"/>
    <n v="101"/>
    <s v="_x0000_US"/>
  </r>
  <r>
    <x v="0"/>
    <n v="13.6922"/>
    <n v="-89.175600000000003"/>
    <n v="10806.5"/>
    <n v="0"/>
    <n v="0"/>
    <n v="101"/>
    <s v="_x0000_US"/>
  </r>
  <r>
    <x v="0"/>
    <n v="13.691700000000001"/>
    <n v="-89.227099999999993"/>
    <n v="10806.9"/>
    <n v="0"/>
    <n v="0"/>
    <n v="101"/>
    <s v="_x0000_US"/>
  </r>
  <r>
    <x v="0"/>
    <n v="13.692299999999999"/>
    <n v="-89.179299999999998"/>
    <n v="10808.2"/>
    <n v="0"/>
    <n v="0"/>
    <n v="101"/>
    <s v="_x0000_US"/>
  </r>
  <r>
    <x v="0"/>
    <n v="13.689299999999999"/>
    <n v="-89.206800000000001"/>
    <n v="10808.3"/>
    <n v="0"/>
    <n v="0"/>
    <n v="101"/>
    <s v="_x0000_US"/>
  </r>
  <r>
    <x v="0"/>
    <n v="13.6911"/>
    <n v="-89.181200000000004"/>
    <n v="10808.5"/>
    <n v="0"/>
    <n v="0"/>
    <n v="101"/>
    <s v="_x0000_US"/>
  </r>
  <r>
    <x v="0"/>
    <n v="13.6944"/>
    <n v="-89.173400000000001"/>
    <n v="10808.8"/>
    <n v="0"/>
    <n v="0"/>
    <n v="101"/>
    <s v="_x0000_US"/>
  </r>
  <r>
    <x v="0"/>
    <n v="13.6907"/>
    <n v="-89.233500000000006"/>
    <n v="10809.2"/>
    <n v="0"/>
    <n v="0"/>
    <n v="101"/>
    <s v="_x0000_US"/>
  </r>
  <r>
    <x v="0"/>
    <n v="13.689500000000001"/>
    <n v="-89.235900000000001"/>
    <n v="10809.5"/>
    <n v="0"/>
    <n v="0"/>
    <n v="101"/>
    <s v="_x0000_US"/>
  </r>
  <r>
    <x v="0"/>
    <n v="13.6874"/>
    <n v="-89.1982"/>
    <n v="10809.8"/>
    <n v="0"/>
    <n v="0"/>
    <n v="101"/>
    <s v="_x0000_US"/>
  </r>
  <r>
    <x v="0"/>
    <n v="13.689500000000001"/>
    <n v="-89.180499999999995"/>
    <n v="10809.9"/>
    <n v="0"/>
    <n v="0"/>
    <n v="101"/>
    <s v="_x0000_US"/>
  </r>
  <r>
    <x v="0"/>
    <n v="13.6861"/>
    <n v="-89.216300000000004"/>
    <n v="10809.9"/>
    <n v="0"/>
    <n v="0"/>
    <n v="101"/>
    <s v="_x0000_US"/>
  </r>
  <r>
    <x v="0"/>
    <n v="13.692299999999999"/>
    <n v="-89.222899999999996"/>
    <n v="10810"/>
    <n v="0"/>
    <n v="0"/>
    <n v="101"/>
    <s v="_x0000_US"/>
  </r>
  <r>
    <x v="0"/>
    <n v="13.6913"/>
    <n v="-89.219899999999996"/>
    <n v="10810"/>
    <n v="0"/>
    <n v="0"/>
    <n v="101"/>
    <s v="_x0000_US"/>
  </r>
  <r>
    <x v="0"/>
    <n v="13.6883"/>
    <n v="-89.204800000000006"/>
    <n v="10810.9"/>
    <n v="0"/>
    <n v="0"/>
    <n v="101"/>
    <s v="_x0000_US"/>
  </r>
  <r>
    <x v="0"/>
    <n v="13.692299999999999"/>
    <n v="-89.179400000000001"/>
    <n v="10811.1"/>
    <n v="0"/>
    <n v="0"/>
    <n v="101"/>
    <s v="_x0000_US"/>
  </r>
  <r>
    <x v="0"/>
    <n v="13.6899"/>
    <n v="-89.235200000000006"/>
    <n v="10811.2"/>
    <n v="0"/>
    <n v="0"/>
    <n v="101"/>
    <s v="_x0000_US"/>
  </r>
  <r>
    <x v="0"/>
    <n v="13.6942"/>
    <n v="-89.183099999999996"/>
    <n v="10811.3"/>
    <n v="0"/>
    <n v="0"/>
    <n v="101"/>
    <s v="_x0000_US"/>
  </r>
  <r>
    <x v="0"/>
    <n v="13.689"/>
    <n v="-89.183899999999994"/>
    <n v="10811.8"/>
    <n v="0"/>
    <n v="0"/>
    <n v="101"/>
    <s v="_x0000_US"/>
  </r>
  <r>
    <x v="0"/>
    <n v="13.686500000000001"/>
    <n v="-89.203500000000005"/>
    <n v="10812.2"/>
    <n v="0"/>
    <n v="0"/>
    <n v="101"/>
    <s v="_x0000_US"/>
  </r>
  <r>
    <x v="0"/>
    <n v="13.6745"/>
    <n v="-89.252099999999999"/>
    <n v="10812.2"/>
    <n v="0"/>
    <n v="0"/>
    <n v="101"/>
    <s v="_x0000_US"/>
  </r>
  <r>
    <x v="0"/>
    <n v="13.6912"/>
    <n v="-89.233199999999997"/>
    <n v="10812.4"/>
    <n v="0"/>
    <n v="0"/>
    <n v="101"/>
    <s v="_x0000_US"/>
  </r>
  <r>
    <x v="0"/>
    <n v="13.6957"/>
    <n v="-89.173400000000001"/>
    <n v="10812.6"/>
    <n v="0"/>
    <n v="0"/>
    <n v="101"/>
    <s v="_x0000_US"/>
  </r>
  <r>
    <x v="0"/>
    <n v="13.692600000000001"/>
    <n v="-89.225800000000007"/>
    <n v="10812.8"/>
    <n v="0"/>
    <n v="0"/>
    <n v="101"/>
    <s v="_x0000_US"/>
  </r>
  <r>
    <x v="0"/>
    <n v="13.6851"/>
    <n v="-89.215599999999995"/>
    <n v="10812.9"/>
    <n v="0"/>
    <n v="0"/>
    <n v="101"/>
    <s v="_x0000_US"/>
  </r>
  <r>
    <x v="0"/>
    <n v="13.690099999999999"/>
    <n v="-89.217200000000005"/>
    <n v="10813.2"/>
    <n v="0"/>
    <n v="0"/>
    <n v="101"/>
    <s v="_x0000_US"/>
  </r>
  <r>
    <x v="0"/>
    <n v="13.687799999999999"/>
    <n v="-89.197199999999995"/>
    <n v="10813.4"/>
    <n v="0"/>
    <n v="0"/>
    <n v="101"/>
    <s v="_x0000_US"/>
  </r>
  <r>
    <x v="0"/>
    <n v="13.674899999999999"/>
    <n v="-89.251800000000003"/>
    <n v="10813.4"/>
    <n v="0"/>
    <n v="0"/>
    <n v="101"/>
    <s v="_x0000_US"/>
  </r>
  <r>
    <x v="0"/>
    <n v="13.690799999999999"/>
    <n v="-89.234700000000004"/>
    <n v="10814.3"/>
    <n v="0"/>
    <n v="0"/>
    <n v="101"/>
    <s v="_x0000_US"/>
  </r>
  <r>
    <x v="0"/>
    <n v="13.691599999999999"/>
    <n v="-89.176400000000001"/>
    <n v="10814.7"/>
    <n v="0"/>
    <n v="0"/>
    <n v="101"/>
    <s v="_x0000_US"/>
  </r>
  <r>
    <x v="0"/>
    <n v="13.692299999999999"/>
    <n v="-89.1798"/>
    <n v="10814.8"/>
    <n v="0"/>
    <n v="0"/>
    <n v="101"/>
    <s v="_x0000_US"/>
  </r>
  <r>
    <x v="0"/>
    <n v="13.687200000000001"/>
    <n v="-89.183499999999995"/>
    <n v="10815"/>
    <n v="0"/>
    <n v="0"/>
    <n v="101"/>
    <s v="_x0000_US"/>
  </r>
  <r>
    <x v="0"/>
    <n v="13.687200000000001"/>
    <n v="-89.213999999999999"/>
    <n v="10815"/>
    <n v="0"/>
    <n v="0"/>
    <n v="101"/>
    <s v="_x0000_US"/>
  </r>
  <r>
    <x v="0"/>
    <n v="13.6914"/>
    <n v="-89.228899999999996"/>
    <n v="10815.1"/>
    <n v="0"/>
    <n v="0"/>
    <n v="101"/>
    <s v="_x0000_US"/>
  </r>
  <r>
    <x v="0"/>
    <n v="13.6797"/>
    <n v="-89.196600000000004"/>
    <n v="10815.2"/>
    <n v="0"/>
    <n v="0"/>
    <n v="101"/>
    <s v="_x0000_US"/>
  </r>
  <r>
    <x v="0"/>
    <n v="13.692500000000001"/>
    <n v="-89.175899999999999"/>
    <n v="10815.3"/>
    <n v="0"/>
    <n v="0"/>
    <n v="101"/>
    <s v="_x0000_US"/>
  </r>
  <r>
    <x v="0"/>
    <n v="13.689500000000001"/>
    <n v="-89.196899999999999"/>
    <n v="10815.9"/>
    <n v="0"/>
    <n v="0"/>
    <n v="101"/>
    <s v="_x0000_US"/>
  </r>
  <r>
    <x v="0"/>
    <n v="13.687799999999999"/>
    <n v="-89.196799999999996"/>
    <n v="10816"/>
    <n v="0"/>
    <n v="0"/>
    <n v="101"/>
    <s v="_x0000_US"/>
  </r>
  <r>
    <x v="0"/>
    <n v="13.6892"/>
    <n v="-89.204899999999995"/>
    <n v="10816.9"/>
    <n v="0"/>
    <n v="0"/>
    <n v="101"/>
    <s v="_x0000_US"/>
  </r>
  <r>
    <x v="0"/>
    <n v="13.673"/>
    <n v="-89.204499999999996"/>
    <n v="10817.5"/>
    <n v="0"/>
    <n v="0"/>
    <n v="101"/>
    <s v="_x0000_US"/>
  </r>
  <r>
    <x v="0"/>
    <n v="13.692399999999999"/>
    <n v="-89.183199999999999"/>
    <n v="10817.8"/>
    <n v="0"/>
    <n v="0"/>
    <n v="101"/>
    <s v="_x0000_US"/>
  </r>
  <r>
    <x v="0"/>
    <n v="13.6912"/>
    <n v="-89.228999999999999"/>
    <n v="10818"/>
    <n v="0"/>
    <n v="0"/>
    <n v="101"/>
    <s v="_x0000_US"/>
  </r>
  <r>
    <x v="0"/>
    <n v="13.6911"/>
    <n v="-89.232399999999998"/>
    <n v="10818.1"/>
    <n v="0"/>
    <n v="0"/>
    <n v="101"/>
    <s v="_x0000_US"/>
  </r>
  <r>
    <x v="0"/>
    <n v="13.6877"/>
    <n v="-89.216399999999993"/>
    <n v="10818.3"/>
    <n v="0"/>
    <n v="0"/>
    <n v="101"/>
    <s v="_x0000_US"/>
  </r>
  <r>
    <x v="0"/>
    <n v="13.6911"/>
    <n v="-89.229100000000003"/>
    <n v="10818.7"/>
    <n v="0"/>
    <n v="0"/>
    <n v="101"/>
    <s v="_x0000_US"/>
  </r>
  <r>
    <x v="0"/>
    <n v="13.6906"/>
    <n v="-89.234399999999994"/>
    <n v="10819.3"/>
    <n v="0"/>
    <n v="0"/>
    <n v="101"/>
    <s v="_x0000_US"/>
  </r>
  <r>
    <x v="0"/>
    <n v="13.690799999999999"/>
    <n v="-89.195300000000003"/>
    <n v="10819.4"/>
    <n v="0"/>
    <n v="0"/>
    <n v="101"/>
    <s v="_x0000_US"/>
  </r>
  <r>
    <x v="0"/>
    <n v="13.6785"/>
    <n v="-89.245500000000007"/>
    <n v="10819.8"/>
    <n v="0"/>
    <n v="0"/>
    <n v="101"/>
    <s v="_x0000_US"/>
  </r>
  <r>
    <x v="0"/>
    <n v="13.6866"/>
    <n v="-89.215900000000005"/>
    <n v="10820.3"/>
    <n v="0"/>
    <n v="0"/>
    <n v="101"/>
    <s v="_x0000_US"/>
  </r>
  <r>
    <x v="0"/>
    <n v="13.6896"/>
    <n v="-89.235799999999998"/>
    <n v="10820.3"/>
    <n v="0"/>
    <n v="0"/>
    <n v="101"/>
    <s v="_x0000_US"/>
  </r>
  <r>
    <x v="0"/>
    <n v="13.6957"/>
    <n v="-89.165400000000005"/>
    <n v="10820.4"/>
    <n v="0"/>
    <n v="0"/>
    <n v="101"/>
    <s v="_x0000_US"/>
  </r>
  <r>
    <x v="0"/>
    <n v="13.6914"/>
    <n v="-89.220299999999995"/>
    <n v="10820.8"/>
    <n v="0"/>
    <n v="0"/>
    <n v="101"/>
    <s v="_x0000_US"/>
  </r>
  <r>
    <x v="0"/>
    <n v="13.690799999999999"/>
    <n v="-89.234099999999998"/>
    <n v="10821.3"/>
    <n v="0"/>
    <n v="0"/>
    <n v="101"/>
    <s v="_x0000_US"/>
  </r>
  <r>
    <x v="0"/>
    <n v="13.687900000000001"/>
    <n v="-89.204899999999995"/>
    <n v="10821.4"/>
    <n v="0"/>
    <n v="0"/>
    <n v="101"/>
    <s v="_x0000_US"/>
  </r>
  <r>
    <x v="0"/>
    <n v="13.687799999999999"/>
    <n v="-89.181399999999996"/>
    <n v="10821.8"/>
    <n v="0"/>
    <n v="0"/>
    <n v="101"/>
    <s v="_x0000_US"/>
  </r>
  <r>
    <x v="0"/>
    <n v="13.693099999999999"/>
    <n v="-89.177899999999994"/>
    <n v="10821.9"/>
    <n v="0"/>
    <n v="0"/>
    <n v="101"/>
    <s v="_x0000_US"/>
  </r>
  <r>
    <x v="0"/>
    <n v="13.6798"/>
    <n v="-89.194400000000002"/>
    <n v="10822"/>
    <n v="0"/>
    <n v="0"/>
    <n v="101"/>
    <s v="_x0000_US"/>
  </r>
  <r>
    <x v="0"/>
    <n v="13.696899999999999"/>
    <n v="-89.171400000000006"/>
    <n v="10823.1"/>
    <n v="0"/>
    <n v="0"/>
    <n v="101"/>
    <s v="_x0000_US"/>
  </r>
  <r>
    <x v="0"/>
    <n v="13.6858"/>
    <n v="-89.202299999999994"/>
    <n v="10823.9"/>
    <n v="0"/>
    <n v="0"/>
    <n v="101"/>
    <s v="_x0000_US"/>
  </r>
  <r>
    <x v="0"/>
    <n v="13.686"/>
    <n v="-89.202200000000005"/>
    <n v="10824"/>
    <n v="0"/>
    <n v="0"/>
    <n v="101"/>
    <s v="_x0000_US"/>
  </r>
  <r>
    <x v="0"/>
    <n v="13.691599999999999"/>
    <n v="-89.232399999999998"/>
    <n v="10824.3"/>
    <n v="0"/>
    <n v="0"/>
    <n v="101"/>
    <s v="_x0000_US"/>
  </r>
  <r>
    <x v="0"/>
    <n v="13.6753"/>
    <n v="-89.251999999999995"/>
    <n v="10824.4"/>
    <n v="0"/>
    <n v="0"/>
    <n v="101"/>
    <s v="_x0000_US"/>
  </r>
  <r>
    <x v="0"/>
    <n v="13.6912"/>
    <n v="-89.226600000000005"/>
    <n v="10825.7"/>
    <n v="0"/>
    <n v="0"/>
    <n v="101"/>
    <s v="_x0000_US"/>
  </r>
  <r>
    <x v="0"/>
    <n v="13.6922"/>
    <n v="-89.175899999999999"/>
    <n v="10825.9"/>
    <n v="0"/>
    <n v="0"/>
    <n v="101"/>
    <s v="_x0000_US"/>
  </r>
  <r>
    <x v="0"/>
    <n v="13.695399999999999"/>
    <n v="-89.173900000000003"/>
    <n v="10826.1"/>
    <n v="0"/>
    <n v="0"/>
    <n v="101"/>
    <s v="_x0000_US"/>
  </r>
  <r>
    <x v="0"/>
    <n v="13.687099999999999"/>
    <n v="-89.197800000000001"/>
    <n v="10826.2"/>
    <n v="0"/>
    <n v="0"/>
    <n v="101"/>
    <s v="_x0000_US"/>
  </r>
  <r>
    <x v="0"/>
    <n v="13.6897"/>
    <n v="-89.235500000000002"/>
    <n v="10826.7"/>
    <n v="0"/>
    <n v="0"/>
    <n v="101"/>
    <s v="_x0000_US"/>
  </r>
  <r>
    <x v="0"/>
    <n v="13.690899999999999"/>
    <n v="-89.234099999999998"/>
    <n v="10827.6"/>
    <n v="0"/>
    <n v="0"/>
    <n v="101"/>
    <s v="_x0000_US"/>
  </r>
  <r>
    <x v="0"/>
    <n v="13.6906"/>
    <n v="-89.186700000000002"/>
    <n v="10827.7"/>
    <n v="0"/>
    <n v="0"/>
    <n v="101"/>
    <s v="_x0000_US"/>
  </r>
  <r>
    <x v="0"/>
    <n v="13.6897"/>
    <n v="-89.193899999999999"/>
    <n v="10828"/>
    <n v="0"/>
    <n v="0"/>
    <n v="101"/>
    <s v="_x0000_US"/>
  </r>
  <r>
    <x v="0"/>
    <n v="13.690899999999999"/>
    <n v="-89.228999999999999"/>
    <n v="10828"/>
    <n v="0"/>
    <n v="0"/>
    <n v="101"/>
    <s v="_x0000_US"/>
  </r>
  <r>
    <x v="0"/>
    <n v="13.684799999999999"/>
    <n v="-89.216399999999993"/>
    <n v="10829.1"/>
    <n v="0"/>
    <n v="0"/>
    <n v="101"/>
    <s v="_x0000_US"/>
  </r>
  <r>
    <x v="0"/>
    <n v="13.6852"/>
    <n v="-89.216700000000003"/>
    <n v="10829.2"/>
    <n v="0"/>
    <n v="0"/>
    <n v="101"/>
    <s v="_x0000_US"/>
  </r>
  <r>
    <x v="0"/>
    <n v="13.6944"/>
    <n v="-89.188699999999997"/>
    <n v="10829.3"/>
    <n v="0"/>
    <n v="0"/>
    <n v="101"/>
    <s v="_x0000_US"/>
  </r>
  <r>
    <x v="0"/>
    <n v="13.688499999999999"/>
    <n v="-89.216200000000001"/>
    <n v="10829.3"/>
    <n v="0"/>
    <n v="0"/>
    <n v="101"/>
    <s v="_x0000_US"/>
  </r>
  <r>
    <x v="0"/>
    <n v="13.691000000000001"/>
    <n v="-89.235500000000002"/>
    <n v="10829.3"/>
    <n v="0"/>
    <n v="0"/>
    <n v="101"/>
    <s v="_x0000_US"/>
  </r>
  <r>
    <x v="0"/>
    <n v="13.690799999999999"/>
    <n v="-89.186700000000002"/>
    <n v="10829.4"/>
    <n v="0"/>
    <n v="0"/>
    <n v="101"/>
    <s v="_x0000_US"/>
  </r>
  <r>
    <x v="0"/>
    <n v="13.6921"/>
    <n v="-89.1798"/>
    <n v="10829.4"/>
    <n v="0"/>
    <n v="0"/>
    <n v="101"/>
    <s v="_x0000_US"/>
  </r>
  <r>
    <x v="0"/>
    <n v="13.6913"/>
    <n v="-89.2286"/>
    <n v="10829.4"/>
    <n v="0"/>
    <n v="0"/>
    <n v="101"/>
    <s v="_x0000_US"/>
  </r>
  <r>
    <x v="0"/>
    <n v="13.6792"/>
    <n v="-89.1965"/>
    <n v="10829.5"/>
    <n v="0"/>
    <n v="0"/>
    <n v="101"/>
    <s v="_x0000_US"/>
  </r>
  <r>
    <x v="0"/>
    <n v="13.692"/>
    <n v="-89.223200000000006"/>
    <n v="10830.3"/>
    <n v="0"/>
    <n v="0"/>
    <n v="101"/>
    <s v="_x0000_US"/>
  </r>
  <r>
    <x v="0"/>
    <n v="13.6873"/>
    <n v="-89.197699999999998"/>
    <n v="10830.4"/>
    <n v="0"/>
    <n v="0"/>
    <n v="101"/>
    <s v="_x0000_US"/>
  </r>
  <r>
    <x v="0"/>
    <n v="13.6882"/>
    <n v="-89.216200000000001"/>
    <n v="10830.8"/>
    <n v="0"/>
    <n v="0"/>
    <n v="101"/>
    <s v="_x0000_US"/>
  </r>
  <r>
    <x v="0"/>
    <n v="13.691700000000001"/>
    <n v="-89.186000000000007"/>
    <n v="10830.9"/>
    <n v="0"/>
    <n v="0"/>
    <n v="101"/>
    <s v="_x0000_US"/>
  </r>
  <r>
    <x v="0"/>
    <n v="13.690200000000001"/>
    <n v="-89.184700000000007"/>
    <n v="10831"/>
    <n v="0"/>
    <n v="0"/>
    <n v="101"/>
    <s v="_x0000_US"/>
  </r>
  <r>
    <x v="0"/>
    <n v="13.692299999999999"/>
    <n v="-89.223699999999994"/>
    <n v="10831.1"/>
    <n v="0"/>
    <n v="0"/>
    <n v="101"/>
    <s v="_x0000_US"/>
  </r>
  <r>
    <x v="0"/>
    <n v="13.6906"/>
    <n v="-89.235600000000005"/>
    <n v="10831.5"/>
    <n v="0"/>
    <n v="0"/>
    <n v="101"/>
    <s v="_x0000_US"/>
  </r>
  <r>
    <x v="0"/>
    <n v="13.690899999999999"/>
    <n v="-89.235399999999998"/>
    <n v="10831.5"/>
    <n v="0"/>
    <n v="0"/>
    <n v="101"/>
    <s v="_x0000_US"/>
  </r>
  <r>
    <x v="0"/>
    <n v="13.6911"/>
    <n v="-89.218900000000005"/>
    <n v="10832"/>
    <n v="0"/>
    <n v="0"/>
    <n v="101"/>
    <s v="_x0000_US"/>
  </r>
  <r>
    <x v="0"/>
    <n v="13.686999999999999"/>
    <n v="-89.182100000000005"/>
    <n v="10832.2"/>
    <n v="0"/>
    <n v="0"/>
    <n v="101"/>
    <s v="_x0000_US"/>
  </r>
  <r>
    <x v="0"/>
    <n v="13.690899999999999"/>
    <n v="-89.231700000000004"/>
    <n v="10832.6"/>
    <n v="0"/>
    <n v="0"/>
    <n v="101"/>
    <s v="_x0000_US"/>
  </r>
  <r>
    <x v="0"/>
    <n v="13.688700000000001"/>
    <n v="-89.217200000000005"/>
    <n v="10832.7"/>
    <n v="0"/>
    <n v="0"/>
    <n v="101"/>
    <s v="_x0000_US"/>
  </r>
  <r>
    <x v="0"/>
    <n v="13.689399999999999"/>
    <n v="-89.235399999999998"/>
    <n v="10833"/>
    <n v="0"/>
    <n v="0"/>
    <n v="101"/>
    <s v="_x0000_US"/>
  </r>
  <r>
    <x v="0"/>
    <n v="13.678100000000001"/>
    <n v="-89.196299999999994"/>
    <n v="10833.9"/>
    <n v="0"/>
    <n v="0"/>
    <n v="101"/>
    <s v="_x0000_US"/>
  </r>
  <r>
    <x v="0"/>
    <n v="13.689399999999999"/>
    <n v="-89.235900000000001"/>
    <n v="10834.1"/>
    <n v="0"/>
    <n v="0"/>
    <n v="101"/>
    <s v="_x0000_US"/>
  </r>
  <r>
    <x v="0"/>
    <n v="13.688599999999999"/>
    <n v="-89.1982"/>
    <n v="10834.2"/>
    <n v="0"/>
    <n v="0"/>
    <n v="101"/>
    <s v="_x0000_US"/>
  </r>
  <r>
    <x v="0"/>
    <n v="13.691800000000001"/>
    <n v="-89.220799999999997"/>
    <n v="10834.2"/>
    <n v="0"/>
    <n v="0"/>
    <n v="101"/>
    <s v="_x0000_US"/>
  </r>
  <r>
    <x v="0"/>
    <n v="13.6861"/>
    <n v="-89.214399999999998"/>
    <n v="10834.6"/>
    <n v="0"/>
    <n v="0"/>
    <n v="101"/>
    <s v="_x0000_US"/>
  </r>
  <r>
    <x v="0"/>
    <n v="13.6881"/>
    <n v="-89.180599999999998"/>
    <n v="10834.7"/>
    <n v="0"/>
    <n v="0"/>
    <n v="101"/>
    <s v="_x0000_US"/>
  </r>
  <r>
    <x v="0"/>
    <n v="13.6912"/>
    <n v="-89.228700000000003"/>
    <n v="10835"/>
    <n v="0"/>
    <n v="0"/>
    <n v="101"/>
    <s v="_x0000_US"/>
  </r>
  <r>
    <x v="0"/>
    <n v="13.690799999999999"/>
    <n v="-89.188500000000005"/>
    <n v="10835.2"/>
    <n v="0"/>
    <n v="0"/>
    <n v="101"/>
    <s v="_x0000_US"/>
  </r>
  <r>
    <x v="0"/>
    <n v="13.6944"/>
    <n v="-89.188999999999993"/>
    <n v="10835.7"/>
    <n v="0"/>
    <n v="0"/>
    <n v="101"/>
    <s v="_x0000_US"/>
  </r>
  <r>
    <x v="0"/>
    <n v="13.6892"/>
    <n v="-89.184200000000004"/>
    <n v="10835.9"/>
    <n v="0"/>
    <n v="0"/>
    <n v="101"/>
    <s v="_x0000_US"/>
  </r>
  <r>
    <x v="0"/>
    <n v="13.692600000000001"/>
    <n v="-89.225800000000007"/>
    <n v="10836"/>
    <n v="0"/>
    <n v="0"/>
    <n v="101"/>
    <s v="_x0000_US"/>
  </r>
  <r>
    <x v="0"/>
    <n v="13.6907"/>
    <n v="-89.186599999999999"/>
    <n v="10836.1"/>
    <n v="0"/>
    <n v="0"/>
    <n v="101"/>
    <s v="_x0000_US"/>
  </r>
  <r>
    <x v="0"/>
    <n v="13.6912"/>
    <n v="-89.234099999999998"/>
    <n v="10836.8"/>
    <n v="0"/>
    <n v="0"/>
    <n v="101"/>
    <s v="_x0000_US"/>
  </r>
  <r>
    <x v="0"/>
    <n v="13.6873"/>
    <n v="-89.216999999999999"/>
    <n v="10837.3"/>
    <n v="0"/>
    <n v="0"/>
    <n v="101"/>
    <s v="_x0000_US"/>
  </r>
  <r>
    <x v="0"/>
    <n v="13.6935"/>
    <n v="-89.176599999999993"/>
    <n v="10839"/>
    <n v="0"/>
    <n v="0"/>
    <n v="101"/>
    <s v="_x0000_US"/>
  </r>
  <r>
    <x v="0"/>
    <n v="13.6913"/>
    <n v="-89.177099999999996"/>
    <n v="10839.1"/>
    <n v="0"/>
    <n v="0"/>
    <n v="101"/>
    <s v="_x0000_US"/>
  </r>
  <r>
    <x v="0"/>
    <n v="13.692299999999999"/>
    <n v="-89.225099999999998"/>
    <n v="10839.3"/>
    <n v="0"/>
    <n v="0"/>
    <n v="101"/>
    <s v="_x0000_US"/>
  </r>
  <r>
    <x v="0"/>
    <n v="13.690799999999999"/>
    <n v="-89.227400000000003"/>
    <n v="10839.5"/>
    <n v="0"/>
    <n v="0"/>
    <n v="101"/>
    <s v="_x0000_US"/>
  </r>
  <r>
    <x v="0"/>
    <n v="13.691700000000001"/>
    <n v="-89.187600000000003"/>
    <n v="10839.8"/>
    <n v="0"/>
    <n v="0"/>
    <n v="101"/>
    <s v="_x0000_US"/>
  </r>
  <r>
    <x v="0"/>
    <n v="13.687099999999999"/>
    <n v="-89.196399999999997"/>
    <n v="10840"/>
    <n v="0"/>
    <n v="0"/>
    <n v="101"/>
    <s v="_x0000_US"/>
  </r>
  <r>
    <x v="0"/>
    <n v="13.6877"/>
    <n v="-89.1798"/>
    <n v="10840.5"/>
    <n v="0"/>
    <n v="0"/>
    <n v="101"/>
    <s v="_x0000_US"/>
  </r>
  <r>
    <x v="0"/>
    <n v="13.690899999999999"/>
    <n v="-89.188599999999994"/>
    <n v="10840.5"/>
    <n v="0"/>
    <n v="0"/>
    <n v="101"/>
    <s v="_x0000_US"/>
  </r>
  <r>
    <x v="0"/>
    <n v="13.6874"/>
    <n v="-89.214600000000004"/>
    <n v="10841.7"/>
    <n v="0"/>
    <n v="0"/>
    <n v="101"/>
    <s v="_x0000_US"/>
  </r>
  <r>
    <x v="0"/>
    <n v="13.687200000000001"/>
    <n v="-89.213999999999999"/>
    <n v="10841.9"/>
    <n v="0"/>
    <n v="0"/>
    <n v="101"/>
    <s v="_x0000_US"/>
  </r>
  <r>
    <x v="0"/>
    <n v="13.6911"/>
    <n v="-89.228700000000003"/>
    <n v="10842"/>
    <n v="0"/>
    <n v="0"/>
    <n v="101"/>
    <s v="_x0000_US"/>
  </r>
  <r>
    <x v="0"/>
    <n v="13.676299999999999"/>
    <n v="-89.1999"/>
    <n v="10842.2"/>
    <n v="0"/>
    <n v="0"/>
    <n v="101"/>
    <s v="_x0000_US"/>
  </r>
  <r>
    <x v="0"/>
    <n v="13.687200000000001"/>
    <n v="-89.196399999999997"/>
    <n v="10842.6"/>
    <n v="0"/>
    <n v="0"/>
    <n v="101"/>
    <s v="_x0000_US"/>
  </r>
  <r>
    <x v="0"/>
    <n v="13.690200000000001"/>
    <n v="-89.234999999999999"/>
    <n v="10842.7"/>
    <n v="0"/>
    <n v="0"/>
    <n v="101"/>
    <s v="_x0000_US"/>
  </r>
  <r>
    <x v="0"/>
    <n v="13.674099999999999"/>
    <n v="-89.252499999999998"/>
    <n v="10842.9"/>
    <n v="0"/>
    <n v="0"/>
    <n v="101"/>
    <s v="_x0000_US"/>
  </r>
  <r>
    <x v="0"/>
    <n v="13.6877"/>
    <n v="-89.181399999999996"/>
    <n v="10843.3"/>
    <n v="0"/>
    <n v="0"/>
    <n v="101"/>
    <s v="_x0000_US"/>
  </r>
  <r>
    <x v="0"/>
    <n v="13.6959"/>
    <n v="-89.172899999999998"/>
    <n v="10843.5"/>
    <n v="0"/>
    <n v="0"/>
    <n v="101"/>
    <s v="_x0000_US"/>
  </r>
  <r>
    <x v="0"/>
    <n v="13.6905"/>
    <n v="-89.233999999999995"/>
    <n v="10844.1"/>
    <n v="0"/>
    <n v="0"/>
    <n v="101"/>
    <s v="_x0000_US"/>
  </r>
  <r>
    <x v="0"/>
    <n v="13.692500000000001"/>
    <n v="-89.183899999999994"/>
    <n v="10844.5"/>
    <n v="0"/>
    <n v="0"/>
    <n v="101"/>
    <s v="_x0000_US"/>
  </r>
  <r>
    <x v="0"/>
    <n v="13.6907"/>
    <n v="-89.185900000000004"/>
    <n v="10844.5"/>
    <n v="0"/>
    <n v="0"/>
    <n v="101"/>
    <s v="_x0000_US"/>
  </r>
  <r>
    <x v="0"/>
    <n v="13.6892"/>
    <n v="-89.185000000000002"/>
    <n v="10845.4"/>
    <n v="0"/>
    <n v="0"/>
    <n v="101"/>
    <s v="_x0000_US"/>
  </r>
  <r>
    <x v="0"/>
    <n v="13.6755"/>
    <n v="-89.202200000000005"/>
    <n v="10845.4"/>
    <n v="0"/>
    <n v="0"/>
    <n v="101"/>
    <s v="_x0000_US"/>
  </r>
  <r>
    <x v="0"/>
    <n v="13.692399999999999"/>
    <n v="-89.223699999999994"/>
    <n v="10846.3"/>
    <n v="0"/>
    <n v="0"/>
    <n v="101"/>
    <s v="_x0000_US"/>
  </r>
  <r>
    <x v="0"/>
    <n v="13.674300000000001"/>
    <n v="-89.199399999999997"/>
    <n v="10846.5"/>
    <n v="0"/>
    <n v="0"/>
    <n v="101"/>
    <s v="_x0000_US"/>
  </r>
  <r>
    <x v="0"/>
    <n v="13.684900000000001"/>
    <n v="-89.215000000000003"/>
    <n v="10846.7"/>
    <n v="0"/>
    <n v="0"/>
    <n v="101"/>
    <s v="_x0000_US"/>
  </r>
  <r>
    <x v="0"/>
    <n v="13.679600000000001"/>
    <n v="-89.196700000000007"/>
    <n v="10846.9"/>
    <n v="0"/>
    <n v="0"/>
    <n v="101"/>
    <s v="_x0000_US"/>
  </r>
  <r>
    <x v="0"/>
    <n v="13.692399999999999"/>
    <n v="-89.226399999999998"/>
    <n v="10847.2"/>
    <n v="0"/>
    <n v="0"/>
    <n v="101"/>
    <s v="_x0000_US"/>
  </r>
  <r>
    <x v="0"/>
    <n v="13.691700000000001"/>
    <n v="-89.233900000000006"/>
    <n v="10847.5"/>
    <n v="0"/>
    <n v="0"/>
    <n v="101"/>
    <s v="_x0000_US"/>
  </r>
  <r>
    <x v="0"/>
    <n v="13.689299999999999"/>
    <n v="-89.191800000000001"/>
    <n v="10847.9"/>
    <n v="0"/>
    <n v="0"/>
    <n v="101"/>
    <s v="_x0000_US"/>
  </r>
  <r>
    <x v="0"/>
    <n v="13.6889"/>
    <n v="-89.205500000000001"/>
    <n v="10848.1"/>
    <n v="0"/>
    <n v="0"/>
    <n v="101"/>
    <s v="_x0000_US"/>
  </r>
  <r>
    <x v="0"/>
    <n v="13.689399999999999"/>
    <n v="-89.207800000000006"/>
    <n v="10848.5"/>
    <n v="0"/>
    <n v="0"/>
    <n v="101"/>
    <s v="_x0000_US"/>
  </r>
  <r>
    <x v="0"/>
    <n v="13.6873"/>
    <n v="-89.194400000000002"/>
    <n v="10848.6"/>
    <n v="0"/>
    <n v="0"/>
    <n v="101"/>
    <s v="_x0000_US"/>
  </r>
  <r>
    <x v="0"/>
    <n v="13.685700000000001"/>
    <n v="-89.193899999999999"/>
    <n v="10848.6"/>
    <n v="0"/>
    <n v="0"/>
    <n v="101"/>
    <s v="_x0000_US"/>
  </r>
  <r>
    <x v="0"/>
    <n v="13.691599999999999"/>
    <n v="-89.232600000000005"/>
    <n v="10848.7"/>
    <n v="0"/>
    <n v="0"/>
    <n v="101"/>
    <s v="_x0000_US"/>
  </r>
  <r>
    <x v="0"/>
    <n v="13.679600000000001"/>
    <n v="-89.197299999999998"/>
    <n v="10848.9"/>
    <n v="0"/>
    <n v="0"/>
    <n v="101"/>
    <s v="_x0000_US"/>
  </r>
  <r>
    <x v="0"/>
    <n v="13.6892"/>
    <n v="-89.184299999999993"/>
    <n v="10849.9"/>
    <n v="0"/>
    <n v="0"/>
    <n v="101"/>
    <s v="_x0000_US"/>
  </r>
  <r>
    <x v="0"/>
    <n v="13.690099999999999"/>
    <n v="-89.184600000000003"/>
    <n v="10850.2"/>
    <n v="0"/>
    <n v="0"/>
    <n v="101"/>
    <s v="_x0000_US"/>
  </r>
  <r>
    <x v="0"/>
    <n v="13.6732"/>
    <n v="-89.204400000000007"/>
    <n v="10850.2"/>
    <n v="0"/>
    <n v="0"/>
    <n v="101"/>
    <s v="_x0000_US"/>
  </r>
  <r>
    <x v="0"/>
    <n v="13.6919"/>
    <n v="-89.224400000000003"/>
    <n v="10850.2"/>
    <n v="0"/>
    <n v="0"/>
    <n v="101"/>
    <s v="_x0000_US"/>
  </r>
  <r>
    <x v="0"/>
    <n v="13.689"/>
    <n v="-89.229500000000002"/>
    <n v="10850.6"/>
    <n v="0"/>
    <n v="0"/>
    <n v="101"/>
    <s v="_x0000_US"/>
  </r>
  <r>
    <x v="0"/>
    <n v="13.691599999999999"/>
    <n v="-89.186000000000007"/>
    <n v="10851.2"/>
    <n v="0"/>
    <n v="0"/>
    <n v="101"/>
    <s v="_x0000_US"/>
  </r>
  <r>
    <x v="0"/>
    <n v="13.6883"/>
    <n v="-89.229500000000002"/>
    <n v="10851.2"/>
    <n v="0"/>
    <n v="0"/>
    <n v="101"/>
    <s v="_x0000_US"/>
  </r>
  <r>
    <x v="0"/>
    <n v="13.6911"/>
    <n v="-89.233699999999999"/>
    <n v="10851.3"/>
    <n v="0"/>
    <n v="0"/>
    <n v="101"/>
    <s v="_x0000_US"/>
  </r>
  <r>
    <x v="0"/>
    <n v="13.69"/>
    <n v="-89.177800000000005"/>
    <n v="10851.4"/>
    <n v="0"/>
    <n v="0"/>
    <n v="101"/>
    <s v="_x0000_US"/>
  </r>
  <r>
    <x v="0"/>
    <n v="13.685700000000001"/>
    <n v="-89.212500000000006"/>
    <n v="10851.7"/>
    <n v="0"/>
    <n v="0"/>
    <n v="101"/>
    <s v="_x0000_US"/>
  </r>
  <r>
    <x v="0"/>
    <n v="13.685499999999999"/>
    <n v="-89.201499999999996"/>
    <n v="10851.9"/>
    <n v="0"/>
    <n v="0"/>
    <n v="101"/>
    <s v="_x0000_US"/>
  </r>
  <r>
    <x v="0"/>
    <n v="13.688700000000001"/>
    <n v="-89.204700000000003"/>
    <n v="10852.5"/>
    <n v="0"/>
    <n v="0"/>
    <n v="101"/>
    <s v="_x0000_US"/>
  </r>
  <r>
    <x v="0"/>
    <n v="13.6944"/>
    <n v="-89.173199999999994"/>
    <n v="10852.8"/>
    <n v="0"/>
    <n v="0"/>
    <n v="101"/>
    <s v="_x0000_US"/>
  </r>
  <r>
    <x v="0"/>
    <n v="13.6906"/>
    <n v="-89.179100000000005"/>
    <n v="10853.6"/>
    <n v="0"/>
    <n v="0"/>
    <n v="101"/>
    <s v="_x0000_US"/>
  </r>
  <r>
    <x v="0"/>
    <n v="13.687799999999999"/>
    <n v="-89.215000000000003"/>
    <n v="10853.8"/>
    <n v="0"/>
    <n v="0"/>
    <n v="101"/>
    <s v="_x0000_US"/>
  </r>
  <r>
    <x v="0"/>
    <n v="13.6875"/>
    <n v="-89.194299999999998"/>
    <n v="10854.9"/>
    <n v="0"/>
    <n v="0"/>
    <n v="101"/>
    <s v="_x0000_US"/>
  </r>
  <r>
    <x v="0"/>
    <n v="13.6929"/>
    <n v="-89.176299999999998"/>
    <n v="10855.5"/>
    <n v="0"/>
    <n v="0"/>
    <n v="101"/>
    <s v="_x0000_US"/>
  </r>
  <r>
    <x v="0"/>
    <n v="13.6957"/>
    <n v="-89.172899999999998"/>
    <n v="10856"/>
    <n v="0"/>
    <n v="0"/>
    <n v="101"/>
    <s v="_x0000_US"/>
  </r>
  <r>
    <x v="0"/>
    <n v="13.6921"/>
    <n v="-89.2273"/>
    <n v="10856.4"/>
    <n v="0"/>
    <n v="0"/>
    <n v="101"/>
    <s v="_x0000_US"/>
  </r>
  <r>
    <x v="0"/>
    <n v="13.687099999999999"/>
    <n v="-89.197199999999995"/>
    <n v="10856.6"/>
    <n v="0"/>
    <n v="0"/>
    <n v="101"/>
    <s v="_x0000_US"/>
  </r>
  <r>
    <x v="0"/>
    <n v="13.6921"/>
    <n v="-89.175600000000003"/>
    <n v="10856.9"/>
    <n v="0"/>
    <n v="0"/>
    <n v="101"/>
    <s v="_x0000_US"/>
  </r>
  <r>
    <x v="0"/>
    <n v="13.689399999999999"/>
    <n v="-89.228899999999996"/>
    <n v="10858"/>
    <n v="0"/>
    <n v="0"/>
    <n v="101"/>
    <s v="_x0000_US"/>
  </r>
  <r>
    <x v="0"/>
    <n v="13.688499999999999"/>
    <n v="-89.229699999999994"/>
    <n v="10858.1"/>
    <n v="0"/>
    <n v="0"/>
    <n v="101"/>
    <s v="_x0000_US"/>
  </r>
  <r>
    <x v="0"/>
    <n v="13.6913"/>
    <n v="-89.228499999999997"/>
    <n v="10858.2"/>
    <n v="0"/>
    <n v="0"/>
    <n v="101"/>
    <s v="_x0000_US"/>
  </r>
  <r>
    <x v="0"/>
    <n v="13.6905"/>
    <n v="-89.235399999999998"/>
    <n v="10858.2"/>
    <n v="0"/>
    <n v="0"/>
    <n v="101"/>
    <s v="_x0000_US"/>
  </r>
  <r>
    <x v="0"/>
    <n v="13.696099999999999"/>
    <n v="-89.168000000000006"/>
    <n v="10858.4"/>
    <n v="0"/>
    <n v="0"/>
    <n v="101"/>
    <s v="_x0000_US"/>
  </r>
  <r>
    <x v="0"/>
    <n v="13.6746"/>
    <n v="-89.251099999999994"/>
    <n v="10858.4"/>
    <n v="0"/>
    <n v="0"/>
    <n v="101"/>
    <s v="_x0000_US"/>
  </r>
  <r>
    <x v="0"/>
    <n v="13.694100000000001"/>
    <n v="-89.176400000000001"/>
    <n v="10858.5"/>
    <n v="0"/>
    <n v="0"/>
    <n v="101"/>
    <s v="_x0000_US"/>
  </r>
  <r>
    <x v="0"/>
    <n v="13.6915"/>
    <n v="-89.1935"/>
    <n v="10858.8"/>
    <n v="0"/>
    <n v="0"/>
    <n v="101"/>
    <s v="_x0000_US"/>
  </r>
  <r>
    <x v="0"/>
    <n v="13.687200000000001"/>
    <n v="-89.181200000000004"/>
    <n v="10859.9"/>
    <n v="0"/>
    <n v="0"/>
    <n v="101"/>
    <s v="_x0000_US"/>
  </r>
  <r>
    <x v="0"/>
    <n v="13.6873"/>
    <n v="-89.179599999999994"/>
    <n v="10859.9"/>
    <n v="0"/>
    <n v="0"/>
    <n v="101"/>
    <s v="_x0000_US"/>
  </r>
  <r>
    <x v="0"/>
    <n v="13.69"/>
    <n v="-89.197699999999998"/>
    <n v="10860.8"/>
    <n v="0"/>
    <n v="0"/>
    <n v="101"/>
    <s v="_x0000_US"/>
  </r>
  <r>
    <x v="0"/>
    <n v="13.6906"/>
    <n v="-89.233699999999999"/>
    <n v="10861"/>
    <n v="0"/>
    <n v="0"/>
    <n v="101"/>
    <s v="_x0000_US"/>
  </r>
  <r>
    <x v="0"/>
    <n v="13.6919"/>
    <n v="-89.179299999999998"/>
    <n v="10861.1"/>
    <n v="0"/>
    <n v="0"/>
    <n v="101"/>
    <s v="_x0000_US"/>
  </r>
  <r>
    <x v="0"/>
    <n v="13.6915"/>
    <n v="-89.232799999999997"/>
    <n v="10861.1"/>
    <n v="0"/>
    <n v="0"/>
    <n v="101"/>
    <s v="_x0000_US"/>
  </r>
  <r>
    <x v="0"/>
    <n v="13.6904"/>
    <n v="-89.183999999999997"/>
    <n v="10861.4"/>
    <n v="0"/>
    <n v="0"/>
    <n v="101"/>
    <s v="_x0000_US"/>
  </r>
  <r>
    <x v="0"/>
    <n v="13.694599999999999"/>
    <n v="-89.174099999999996"/>
    <n v="10861.7"/>
    <n v="0"/>
    <n v="0"/>
    <n v="101"/>
    <s v="_x0000_US"/>
  </r>
  <r>
    <x v="0"/>
    <n v="13.6881"/>
    <n v="-89.180899999999994"/>
    <n v="10861.9"/>
    <n v="0"/>
    <n v="0"/>
    <n v="101"/>
    <s v="_x0000_US"/>
  </r>
  <r>
    <x v="0"/>
    <n v="13.689299999999999"/>
    <n v="-89.206599999999995"/>
    <n v="10862.2"/>
    <n v="0"/>
    <n v="0"/>
    <n v="101"/>
    <s v="_x0000_US"/>
  </r>
  <r>
    <x v="0"/>
    <n v="13.688000000000001"/>
    <n v="-89.205500000000001"/>
    <n v="10862.5"/>
    <n v="0"/>
    <n v="0"/>
    <n v="101"/>
    <s v="_x0000_US"/>
  </r>
  <r>
    <x v="0"/>
    <n v="13.679500000000001"/>
    <n v="-89.197299999999998"/>
    <n v="10862.8"/>
    <n v="0"/>
    <n v="0"/>
    <n v="101"/>
    <s v="_x0000_US"/>
  </r>
  <r>
    <x v="0"/>
    <n v="13.690799999999999"/>
    <n v="-89.195499999999996"/>
    <n v="10863.8"/>
    <n v="0"/>
    <n v="0"/>
    <n v="101"/>
    <s v="_x0000_US"/>
  </r>
  <r>
    <x v="0"/>
    <n v="13.6912"/>
    <n v="-89.219499999999996"/>
    <n v="10864.2"/>
    <n v="0"/>
    <n v="0"/>
    <n v="101"/>
    <s v="_x0000_US"/>
  </r>
  <r>
    <x v="0"/>
    <n v="13.692299999999999"/>
    <n v="-89.174899999999994"/>
    <n v="10864.4"/>
    <n v="0"/>
    <n v="0"/>
    <n v="101"/>
    <s v="_x0000_US"/>
  </r>
  <r>
    <x v="0"/>
    <n v="13.6751"/>
    <n v="-89.251900000000006"/>
    <n v="10864.6"/>
    <n v="0"/>
    <n v="0"/>
    <n v="101"/>
    <s v="_x0000_US"/>
  </r>
  <r>
    <x v="0"/>
    <n v="13.6913"/>
    <n v="-89.228800000000007"/>
    <n v="10864.9"/>
    <n v="0"/>
    <n v="0"/>
    <n v="101"/>
    <s v="_x0000_US"/>
  </r>
  <r>
    <x v="0"/>
    <n v="13.6873"/>
    <n v="-89.194500000000005"/>
    <n v="10865.1"/>
    <n v="0"/>
    <n v="0"/>
    <n v="101"/>
    <s v="_x0000_US"/>
  </r>
  <r>
    <x v="0"/>
    <n v="13.6966"/>
    <n v="-89.172200000000004"/>
    <n v="10865.1"/>
    <n v="0"/>
    <n v="0"/>
    <n v="101"/>
    <s v="_x0000_US"/>
  </r>
  <r>
    <x v="0"/>
    <n v="13.689"/>
    <n v="-89.180800000000005"/>
    <n v="10865.5"/>
    <n v="0"/>
    <n v="0"/>
    <n v="101"/>
    <s v="_x0000_US"/>
  </r>
  <r>
    <x v="0"/>
    <n v="13.686999999999999"/>
    <n v="-89.197199999999995"/>
    <n v="10865.6"/>
    <n v="0"/>
    <n v="0"/>
    <n v="101"/>
    <s v="_x0000_US"/>
  </r>
  <r>
    <x v="0"/>
    <n v="13.691700000000001"/>
    <n v="-89.186400000000006"/>
    <n v="10865.9"/>
    <n v="0"/>
    <n v="0"/>
    <n v="101"/>
    <s v="_x0000_US"/>
  </r>
  <r>
    <x v="0"/>
    <n v="13.690099999999999"/>
    <n v="-89.177400000000006"/>
    <n v="10866.4"/>
    <n v="0"/>
    <n v="0"/>
    <n v="101"/>
    <s v="_x0000_US"/>
  </r>
  <r>
    <x v="0"/>
    <n v="13.6883"/>
    <n v="-89.215299999999999"/>
    <n v="10866.8"/>
    <n v="0"/>
    <n v="0"/>
    <n v="101"/>
    <s v="_x0000_US"/>
  </r>
  <r>
    <x v="0"/>
    <n v="13.6745"/>
    <n v="-89.251800000000003"/>
    <n v="10866.8"/>
    <n v="0"/>
    <n v="0"/>
    <n v="101"/>
    <s v="_x0000_US"/>
  </r>
  <r>
    <x v="0"/>
    <n v="13.6904"/>
    <n v="-89.195700000000002"/>
    <n v="10867.1"/>
    <n v="0"/>
    <n v="0"/>
    <n v="101"/>
    <s v="_x0000_US"/>
  </r>
  <r>
    <x v="0"/>
    <n v="13.6875"/>
    <n v="-89.2166"/>
    <n v="10867.3"/>
    <n v="0"/>
    <n v="0"/>
    <n v="101"/>
    <s v="_x0000_US"/>
  </r>
  <r>
    <x v="0"/>
    <n v="13.691700000000001"/>
    <n v="-89.226500000000001"/>
    <n v="10867.5"/>
    <n v="0"/>
    <n v="0"/>
    <n v="101"/>
    <s v="_x0000_US"/>
  </r>
  <r>
    <x v="0"/>
    <n v="13.6913"/>
    <n v="-89.2333"/>
    <n v="10867.6"/>
    <n v="0"/>
    <n v="0"/>
    <n v="101"/>
    <s v="_x0000_US"/>
  </r>
  <r>
    <x v="0"/>
    <n v="13.695600000000001"/>
    <n v="-89.173000000000002"/>
    <n v="10868"/>
    <n v="0"/>
    <n v="0"/>
    <n v="101"/>
    <s v="_x0000_US"/>
  </r>
  <r>
    <x v="0"/>
    <n v="13.6873"/>
    <n v="-89.195499999999996"/>
    <n v="10868.1"/>
    <n v="0"/>
    <n v="0"/>
    <n v="101"/>
    <s v="_x0000_US"/>
  </r>
  <r>
    <x v="0"/>
    <n v="13.6853"/>
    <n v="-89.193799999999996"/>
    <n v="10868.6"/>
    <n v="0"/>
    <n v="0"/>
    <n v="101"/>
    <s v="_x0000_US"/>
  </r>
  <r>
    <x v="0"/>
    <n v="13.692399999999999"/>
    <n v="-89.2239"/>
    <n v="10869.4"/>
    <n v="0"/>
    <n v="0"/>
    <n v="101"/>
    <s v="_x0000_US"/>
  </r>
  <r>
    <x v="0"/>
    <n v="13.695499999999999"/>
    <n v="-89.174599999999998"/>
    <n v="10869.6"/>
    <n v="0"/>
    <n v="0"/>
    <n v="101"/>
    <s v="_x0000_US"/>
  </r>
  <r>
    <x v="0"/>
    <n v="13.689299999999999"/>
    <n v="-89.235699999999994"/>
    <n v="10870.5"/>
    <n v="0"/>
    <n v="0"/>
    <n v="101"/>
    <s v="_x0000_US"/>
  </r>
  <r>
    <x v="0"/>
    <n v="13.6966"/>
    <n v="-89.171599999999998"/>
    <n v="10870.6"/>
    <n v="0"/>
    <n v="0"/>
    <n v="101"/>
    <s v="_x0000_US"/>
  </r>
  <r>
    <x v="0"/>
    <n v="13.674300000000001"/>
    <n v="-89.252200000000002"/>
    <n v="10870.8"/>
    <n v="0"/>
    <n v="0"/>
    <n v="101"/>
    <s v="_x0000_US"/>
  </r>
  <r>
    <x v="0"/>
    <n v="13.689"/>
    <n v="-89.190200000000004"/>
    <n v="10871.3"/>
    <n v="0"/>
    <n v="0"/>
    <n v="101"/>
    <s v="_x0000_US"/>
  </r>
  <r>
    <x v="0"/>
    <n v="13.6942"/>
    <n v="-89.175399999999996"/>
    <n v="10871.4"/>
    <n v="0"/>
    <n v="0"/>
    <n v="101"/>
    <s v="_x0000_US"/>
  </r>
  <r>
    <x v="0"/>
    <n v="13.6875"/>
    <n v="-89.197000000000003"/>
    <n v="10871.5"/>
    <n v="0"/>
    <n v="0"/>
    <n v="101"/>
    <s v="_x0000_US"/>
  </r>
  <r>
    <x v="0"/>
    <n v="13.6911"/>
    <n v="-89.233400000000003"/>
    <n v="10871.5"/>
    <n v="0"/>
    <n v="0"/>
    <n v="101"/>
    <s v="_x0000_US"/>
  </r>
  <r>
    <x v="0"/>
    <n v="13.6958"/>
    <n v="-89.172300000000007"/>
    <n v="10871.6"/>
    <n v="0"/>
    <n v="0"/>
    <n v="101"/>
    <s v="_x0000_US"/>
  </r>
  <r>
    <x v="0"/>
    <n v="13.690099999999999"/>
    <n v="-89.188699999999997"/>
    <n v="10871.7"/>
    <n v="0"/>
    <n v="0"/>
    <n v="101"/>
    <s v="_x0000_US"/>
  </r>
  <r>
    <x v="0"/>
    <n v="13.691800000000001"/>
    <n v="-89.185500000000005"/>
    <n v="10872.1"/>
    <n v="0"/>
    <n v="0"/>
    <n v="101"/>
    <s v="_x0000_US"/>
  </r>
  <r>
    <x v="0"/>
    <n v="13.692"/>
    <n v="-89.178700000000006"/>
    <n v="10872.1"/>
    <n v="0"/>
    <n v="0"/>
    <n v="101"/>
    <s v="_x0000_US"/>
  </r>
  <r>
    <x v="0"/>
    <n v="13.684900000000001"/>
    <n v="-89.202799999999996"/>
    <n v="10872.1"/>
    <n v="0"/>
    <n v="0"/>
    <n v="101"/>
    <s v="_x0000_US"/>
  </r>
  <r>
    <x v="0"/>
    <n v="13.679500000000001"/>
    <n v="-89.196600000000004"/>
    <n v="10872.4"/>
    <n v="0"/>
    <n v="0"/>
    <n v="101"/>
    <s v="_x0000_US"/>
  </r>
  <r>
    <x v="0"/>
    <n v="13.6904"/>
    <n v="-89.188999999999993"/>
    <n v="10872.8"/>
    <n v="0"/>
    <n v="0"/>
    <n v="101"/>
    <s v="_x0000_US"/>
  </r>
  <r>
    <x v="0"/>
    <n v="13.6897"/>
    <n v="-89.193899999999999"/>
    <n v="10872.9"/>
    <n v="0"/>
    <n v="0"/>
    <n v="101"/>
    <s v="_x0000_US"/>
  </r>
  <r>
    <x v="0"/>
    <n v="13.690200000000001"/>
    <n v="-89.186599999999999"/>
    <n v="10873"/>
    <n v="0"/>
    <n v="0"/>
    <n v="101"/>
    <s v="_x0000_US"/>
  </r>
  <r>
    <x v="0"/>
    <n v="13.6874"/>
    <n v="-89.215900000000005"/>
    <n v="10873.2"/>
    <n v="0"/>
    <n v="0"/>
    <n v="101"/>
    <s v="_x0000_US"/>
  </r>
  <r>
    <x v="0"/>
    <n v="13.691700000000001"/>
    <n v="-89.220500000000001"/>
    <n v="10873.4"/>
    <n v="0"/>
    <n v="0"/>
    <n v="101"/>
    <s v="_x0000_US"/>
  </r>
  <r>
    <x v="0"/>
    <n v="13.6906"/>
    <n v="-89.227800000000002"/>
    <n v="10873.5"/>
    <n v="0"/>
    <n v="0"/>
    <n v="101"/>
    <s v="_x0000_US"/>
  </r>
  <r>
    <x v="0"/>
    <n v="13.691000000000001"/>
    <n v="-89.233099999999993"/>
    <n v="10873.9"/>
    <n v="0"/>
    <n v="0"/>
    <n v="101"/>
    <s v="_x0000_US"/>
  </r>
  <r>
    <x v="0"/>
    <n v="13.6904"/>
    <n v="-89.227999999999994"/>
    <n v="10874.5"/>
    <n v="0"/>
    <n v="0"/>
    <n v="101"/>
    <s v="_x0000_US"/>
  </r>
  <r>
    <x v="0"/>
    <n v="13.690099999999999"/>
    <n v="-89.236099999999993"/>
    <n v="10874.8"/>
    <n v="0"/>
    <n v="0"/>
    <n v="101"/>
    <s v="_x0000_US"/>
  </r>
  <r>
    <x v="0"/>
    <n v="13.6938"/>
    <n v="-89.176299999999998"/>
    <n v="10874.9"/>
    <n v="0"/>
    <n v="0"/>
    <n v="101"/>
    <s v="_x0000_US"/>
  </r>
  <r>
    <x v="0"/>
    <n v="13.6858"/>
    <n v="-89.213999999999999"/>
    <n v="10875.2"/>
    <n v="0"/>
    <n v="0"/>
    <n v="101"/>
    <s v="_x0000_US"/>
  </r>
  <r>
    <x v="0"/>
    <n v="13.693199999999999"/>
    <n v="-89.188599999999994"/>
    <n v="10875.6"/>
    <n v="0"/>
    <n v="0"/>
    <n v="101"/>
    <s v="_x0000_US"/>
  </r>
  <r>
    <x v="0"/>
    <n v="13.6889"/>
    <n v="-89.205500000000001"/>
    <n v="10875.8"/>
    <n v="0"/>
    <n v="0"/>
    <n v="101"/>
    <s v="_x0000_US"/>
  </r>
  <r>
    <x v="0"/>
    <n v="13.6913"/>
    <n v="-89.189499999999995"/>
    <n v="10876"/>
    <n v="0"/>
    <n v="0"/>
    <n v="101"/>
    <s v="_x0000_US"/>
  </r>
  <r>
    <x v="0"/>
    <n v="13.6915"/>
    <n v="-89.2346"/>
    <n v="10876.1"/>
    <n v="0"/>
    <n v="0"/>
    <n v="101"/>
    <s v="_x0000_US"/>
  </r>
  <r>
    <x v="0"/>
    <n v="13.6874"/>
    <n v="-89.194699999999997"/>
    <n v="10876.5"/>
    <n v="0"/>
    <n v="0"/>
    <n v="101"/>
    <s v="_x0000_US"/>
  </r>
  <r>
    <x v="0"/>
    <n v="13.691599999999999"/>
    <n v="-89.221000000000004"/>
    <n v="10876.8"/>
    <n v="0"/>
    <n v="0"/>
    <n v="101"/>
    <s v="_x0000_US"/>
  </r>
  <r>
    <x v="0"/>
    <n v="13.686999999999999"/>
    <n v="-89.182500000000005"/>
    <n v="10876.9"/>
    <n v="0"/>
    <n v="0"/>
    <n v="101"/>
    <s v="_x0000_US"/>
  </r>
  <r>
    <x v="0"/>
    <n v="13.6785"/>
    <n v="-89.196299999999994"/>
    <n v="10877.1"/>
    <n v="0"/>
    <n v="0"/>
    <n v="101"/>
    <s v="_x0000_US"/>
  </r>
  <r>
    <x v="0"/>
    <n v="13.691000000000001"/>
    <n v="-89.229200000000006"/>
    <n v="10877.1"/>
    <n v="0"/>
    <n v="0"/>
    <n v="101"/>
    <s v="_x0000_US"/>
  </r>
  <r>
    <x v="0"/>
    <n v="13.689399999999999"/>
    <n v="-89.180400000000006"/>
    <n v="10877.4"/>
    <n v="0"/>
    <n v="0"/>
    <n v="101"/>
    <s v="_x0000_US"/>
  </r>
  <r>
    <x v="0"/>
    <n v="13.696899999999999"/>
    <n v="-89.171700000000001"/>
    <n v="10877.8"/>
    <n v="0"/>
    <n v="0"/>
    <n v="101"/>
    <s v="_x0000_US"/>
  </r>
  <r>
    <x v="0"/>
    <n v="13.6904"/>
    <n v="-89.186899999999994"/>
    <n v="10878"/>
    <n v="0"/>
    <n v="0"/>
    <n v="101"/>
    <s v="_x0000_US"/>
  </r>
  <r>
    <x v="0"/>
    <n v="13.6944"/>
    <n v="-89.186300000000003"/>
    <n v="10878.4"/>
    <n v="0"/>
    <n v="0"/>
    <n v="101"/>
    <s v="_x0000_US"/>
  </r>
  <r>
    <x v="0"/>
    <n v="13.6846"/>
    <n v="-89.216800000000006"/>
    <n v="10879.1"/>
    <n v="0"/>
    <n v="0"/>
    <n v="101"/>
    <s v="_x0000_US"/>
  </r>
  <r>
    <x v="0"/>
    <n v="13.6927"/>
    <n v="-89.223699999999994"/>
    <n v="10879.1"/>
    <n v="0"/>
    <n v="0"/>
    <n v="101"/>
    <s v="_x0000_US"/>
  </r>
  <r>
    <x v="0"/>
    <n v="13.6868"/>
    <n v="-89.213300000000004"/>
    <n v="10879.8"/>
    <n v="0"/>
    <n v="0"/>
    <n v="101"/>
    <s v="_x0000_US"/>
  </r>
  <r>
    <x v="0"/>
    <n v="13.692500000000001"/>
    <n v="-89.225499999999997"/>
    <n v="10880.7"/>
    <n v="0"/>
    <n v="0"/>
    <n v="101"/>
    <s v="_x0000_US"/>
  </r>
  <r>
    <x v="0"/>
    <n v="13.692600000000001"/>
    <n v="-89.182900000000004"/>
    <n v="10881.1"/>
    <n v="0"/>
    <n v="0"/>
    <n v="101"/>
    <s v="_x0000_US"/>
  </r>
  <r>
    <x v="0"/>
    <n v="13.6873"/>
    <n v="-89.182500000000005"/>
    <n v="10881.1"/>
    <n v="0"/>
    <n v="0"/>
    <n v="101"/>
    <s v="_x0000_US"/>
  </r>
  <r>
    <x v="0"/>
    <n v="13.692"/>
    <n v="-89.194199999999995"/>
    <n v="10881.2"/>
    <n v="0"/>
    <n v="0"/>
    <n v="101"/>
    <s v="_x0000_US"/>
  </r>
  <r>
    <x v="0"/>
    <n v="13.691599999999999"/>
    <n v="-89.233599999999996"/>
    <n v="10881.3"/>
    <n v="0"/>
    <n v="0"/>
    <n v="101"/>
    <s v="_x0000_US"/>
  </r>
  <r>
    <x v="0"/>
    <n v="13.694800000000001"/>
    <n v="-89.175200000000004"/>
    <n v="10881.4"/>
    <n v="0"/>
    <n v="0"/>
    <n v="101"/>
    <s v="_x0000_US"/>
  </r>
  <r>
    <x v="0"/>
    <n v="13.691599999999999"/>
    <n v="-89.225499999999997"/>
    <n v="10881.6"/>
    <n v="0"/>
    <n v="0"/>
    <n v="101"/>
    <s v="_x0000_US"/>
  </r>
  <r>
    <x v="0"/>
    <n v="13.6852"/>
    <n v="-89.202399999999997"/>
    <n v="10882.9"/>
    <n v="0"/>
    <n v="0"/>
    <n v="101"/>
    <s v="_x0000_US"/>
  </r>
  <r>
    <x v="0"/>
    <n v="13.6882"/>
    <n v="-89.205699999999993"/>
    <n v="10882.9"/>
    <n v="0"/>
    <n v="0"/>
    <n v="101"/>
    <s v="_x0000_US"/>
  </r>
  <r>
    <x v="0"/>
    <n v="13.688700000000001"/>
    <n v="-89.229399999999998"/>
    <n v="10883.2"/>
    <n v="0"/>
    <n v="0"/>
    <n v="101"/>
    <s v="_x0000_US"/>
  </r>
  <r>
    <x v="0"/>
    <n v="13.68"/>
    <n v="-89.196399999999997"/>
    <n v="10883.3"/>
    <n v="0"/>
    <n v="0"/>
    <n v="101"/>
    <s v="_x0000_US"/>
  </r>
  <r>
    <x v="0"/>
    <n v="13.686400000000001"/>
    <n v="-89.212599999999995"/>
    <n v="10883.9"/>
    <n v="0"/>
    <n v="0"/>
    <n v="101"/>
    <s v="_x0000_US"/>
  </r>
  <r>
    <x v="0"/>
    <n v="13.6854"/>
    <n v="-89.202399999999997"/>
    <n v="10884.5"/>
    <n v="0"/>
    <n v="0"/>
    <n v="101"/>
    <s v="_x0000_US"/>
  </r>
  <r>
    <x v="0"/>
    <n v="13.692600000000001"/>
    <n v="-89.189599999999999"/>
    <n v="10884.7"/>
    <n v="0"/>
    <n v="0"/>
    <n v="101"/>
    <s v="_x0000_US"/>
  </r>
  <r>
    <x v="0"/>
    <n v="13.6934"/>
    <n v="-89.188299999999998"/>
    <n v="10884.9"/>
    <n v="0"/>
    <n v="0"/>
    <n v="101"/>
    <s v="_x0000_US"/>
  </r>
  <r>
    <x v="0"/>
    <n v="13.6915"/>
    <n v="-89.2333"/>
    <n v="10884.9"/>
    <n v="0"/>
    <n v="0"/>
    <n v="101"/>
    <s v="_x0000_US"/>
  </r>
  <r>
    <x v="0"/>
    <n v="13.6877"/>
    <n v="-89.195499999999996"/>
    <n v="10885.2"/>
    <n v="0"/>
    <n v="0"/>
    <n v="101"/>
    <s v="_x0000_US"/>
  </r>
  <r>
    <x v="0"/>
    <n v="13.6897"/>
    <n v="-89.228800000000007"/>
    <n v="10886.3"/>
    <n v="0"/>
    <n v="0"/>
    <n v="101"/>
    <s v="_x0000_US"/>
  </r>
  <r>
    <x v="0"/>
    <n v="13.691800000000001"/>
    <n v="-89.186000000000007"/>
    <n v="10886.4"/>
    <n v="0"/>
    <n v="0"/>
    <n v="101"/>
    <s v="_x0000_US"/>
  </r>
  <r>
    <x v="0"/>
    <n v="13.677099999999999"/>
    <n v="-89.247600000000006"/>
    <n v="10886.8"/>
    <n v="0"/>
    <n v="0"/>
    <n v="101"/>
    <s v="_x0000_US"/>
  </r>
  <r>
    <x v="0"/>
    <n v="13.6913"/>
    <n v="-89.186000000000007"/>
    <n v="10886.9"/>
    <n v="0"/>
    <n v="0"/>
    <n v="101"/>
    <s v="_x0000_US"/>
  </r>
  <r>
    <x v="0"/>
    <n v="13.685499999999999"/>
    <n v="-89.1935"/>
    <n v="10886.9"/>
    <n v="0"/>
    <n v="0"/>
    <n v="101"/>
    <s v="_x0000_US"/>
  </r>
  <r>
    <x v="0"/>
    <n v="13.685"/>
    <n v="-89.214100000000002"/>
    <n v="10886.9"/>
    <n v="0"/>
    <n v="0"/>
    <n v="101"/>
    <s v="_x0000_US"/>
  </r>
  <r>
    <x v="0"/>
    <n v="13.686"/>
    <n v="-89.194000000000003"/>
    <n v="10887"/>
    <n v="0"/>
    <n v="0"/>
    <n v="101"/>
    <s v="_x0000_US"/>
  </r>
  <r>
    <x v="0"/>
    <n v="13.688599999999999"/>
    <n v="-89.217200000000005"/>
    <n v="10887.4"/>
    <n v="0"/>
    <n v="0"/>
    <n v="101"/>
    <s v="_x0000_US"/>
  </r>
  <r>
    <x v="0"/>
    <n v="13.6921"/>
    <n v="-89.223399999999998"/>
    <n v="10887.4"/>
    <n v="0"/>
    <n v="0"/>
    <n v="101"/>
    <s v="_x0000_US"/>
  </r>
  <r>
    <x v="0"/>
    <n v="13.693199999999999"/>
    <n v="-89.176699999999997"/>
    <n v="10887.6"/>
    <n v="0"/>
    <n v="0"/>
    <n v="101"/>
    <s v="_x0000_US"/>
  </r>
  <r>
    <x v="0"/>
    <n v="13.6915"/>
    <n v="-89.232799999999997"/>
    <n v="10887.7"/>
    <n v="0"/>
    <n v="0"/>
    <n v="101"/>
    <s v="_x0000_US"/>
  </r>
  <r>
    <x v="0"/>
    <n v="13.6922"/>
    <n v="-89.226299999999995"/>
    <n v="10888.1"/>
    <n v="0"/>
    <n v="0"/>
    <n v="101"/>
    <s v="_x0000_US"/>
  </r>
  <r>
    <x v="0"/>
    <n v="13.689399999999999"/>
    <n v="-89.216700000000003"/>
    <n v="10888.4"/>
    <n v="0"/>
    <n v="0"/>
    <n v="101"/>
    <s v="_x0000_US"/>
  </r>
  <r>
    <x v="0"/>
    <n v="13.6881"/>
    <n v="-89.189899999999994"/>
    <n v="10888.9"/>
    <n v="0"/>
    <n v="0"/>
    <n v="101"/>
    <s v="_x0000_US"/>
  </r>
  <r>
    <x v="0"/>
    <n v="13.6896"/>
    <n v="-89.1858"/>
    <n v="10889.5"/>
    <n v="0"/>
    <n v="0"/>
    <n v="101"/>
    <s v="_x0000_US"/>
  </r>
  <r>
    <x v="0"/>
    <n v="13.6959"/>
    <n v="-89.1721"/>
    <n v="10889.5"/>
    <n v="0"/>
    <n v="0"/>
    <n v="101"/>
    <s v="_x0000_US"/>
  </r>
  <r>
    <x v="0"/>
    <n v="13.689399999999999"/>
    <n v="-89.206500000000005"/>
    <n v="10889.7"/>
    <n v="0"/>
    <n v="0"/>
    <n v="101"/>
    <s v="_x0000_US"/>
  </r>
  <r>
    <x v="0"/>
    <n v="13.6859"/>
    <n v="-89.212599999999995"/>
    <n v="10889.9"/>
    <n v="0"/>
    <n v="0"/>
    <n v="101"/>
    <s v="_x0000_US"/>
  </r>
  <r>
    <x v="0"/>
    <n v="13.6873"/>
    <n v="-89.211200000000005"/>
    <n v="10890"/>
    <n v="0"/>
    <n v="0"/>
    <n v="101"/>
    <s v="_x0000_US"/>
  </r>
  <r>
    <x v="0"/>
    <n v="13.694699999999999"/>
    <n v="-89.174300000000002"/>
    <n v="10890.8"/>
    <n v="0"/>
    <n v="0"/>
    <n v="101"/>
    <s v="_x0000_US"/>
  </r>
  <r>
    <x v="0"/>
    <n v="13.674899999999999"/>
    <n v="-89.250900000000001"/>
    <n v="10891.6"/>
    <n v="0"/>
    <n v="0"/>
    <n v="101"/>
    <s v="_x0000_US"/>
  </r>
  <r>
    <x v="0"/>
    <n v="13.6868"/>
    <n v="-89.201499999999996"/>
    <n v="10891.8"/>
    <n v="0"/>
    <n v="0"/>
    <n v="101"/>
    <s v="_x0000_US"/>
  </r>
  <r>
    <x v="0"/>
    <n v="13.6869"/>
    <n v="-89.194699999999997"/>
    <n v="10892"/>
    <n v="0"/>
    <n v="0"/>
    <n v="101"/>
    <s v="_x0000_US"/>
  </r>
  <r>
    <x v="0"/>
    <n v="13.6914"/>
    <n v="-89.220200000000006"/>
    <n v="10892.2"/>
    <n v="0"/>
    <n v="0"/>
    <n v="101"/>
    <s v="_x0000_US"/>
  </r>
  <r>
    <x v="0"/>
    <n v="13.6883"/>
    <n v="-89.190700000000007"/>
    <n v="10892.3"/>
    <n v="0"/>
    <n v="0"/>
    <n v="101"/>
    <s v="_x0000_US"/>
  </r>
  <r>
    <x v="0"/>
    <n v="13.6912"/>
    <n v="-89.234700000000004"/>
    <n v="10892.7"/>
    <n v="0"/>
    <n v="0"/>
    <n v="101"/>
    <s v="_x0000_US"/>
  </r>
  <r>
    <x v="0"/>
    <n v="13.69"/>
    <n v="-89.177800000000005"/>
    <n v="10893.4"/>
    <n v="0"/>
    <n v="0"/>
    <n v="101"/>
    <s v="_x0000_US"/>
  </r>
  <r>
    <x v="0"/>
    <n v="13.6876"/>
    <n v="-89.191999999999993"/>
    <n v="10893.5"/>
    <n v="0"/>
    <n v="0"/>
    <n v="101"/>
    <s v="_x0000_US"/>
  </r>
  <r>
    <x v="0"/>
    <n v="13.6769"/>
    <n v="-89.2483"/>
    <n v="10893.8"/>
    <n v="0"/>
    <n v="0"/>
    <n v="101"/>
    <s v="_x0000_US"/>
  </r>
  <r>
    <x v="0"/>
    <n v="13.687900000000001"/>
    <n v="-89.215400000000002"/>
    <n v="10894"/>
    <n v="0"/>
    <n v="0"/>
    <n v="101"/>
    <s v="_x0000_US"/>
  </r>
  <r>
    <x v="0"/>
    <n v="13.6944"/>
    <n v="-89.188699999999997"/>
    <n v="10894.2"/>
    <n v="0"/>
    <n v="0"/>
    <n v="101"/>
    <s v="_x0000_US"/>
  </r>
  <r>
    <x v="0"/>
    <n v="13.6861"/>
    <n v="-89.212000000000003"/>
    <n v="10894.4"/>
    <n v="0"/>
    <n v="0"/>
    <n v="101"/>
    <s v="_x0000_US"/>
  </r>
  <r>
    <x v="0"/>
    <n v="13.690200000000001"/>
    <n v="-89.234999999999999"/>
    <n v="10894.5"/>
    <n v="0"/>
    <n v="0"/>
    <n v="101"/>
    <s v="_x0000_US"/>
  </r>
  <r>
    <x v="0"/>
    <n v="13.6914"/>
    <n v="-89.227000000000004"/>
    <n v="10894.7"/>
    <n v="0"/>
    <n v="0"/>
    <n v="101"/>
    <s v="_x0000_US"/>
  </r>
  <r>
    <x v="0"/>
    <n v="13.6915"/>
    <n v="-89.233500000000006"/>
    <n v="10896.2"/>
    <n v="0"/>
    <n v="0"/>
    <n v="101"/>
    <s v="_x0000_US"/>
  </r>
  <r>
    <x v="0"/>
    <n v="13.6892"/>
    <n v="-89.184200000000004"/>
    <n v="10896.4"/>
    <n v="0"/>
    <n v="0"/>
    <n v="101"/>
    <s v="_x0000_US"/>
  </r>
  <r>
    <x v="0"/>
    <n v="13.674899999999999"/>
    <n v="-89.252300000000005"/>
    <n v="10896.7"/>
    <n v="0"/>
    <n v="0"/>
    <n v="101"/>
    <s v="_x0000_US"/>
  </r>
  <r>
    <x v="0"/>
    <n v="13.687200000000001"/>
    <n v="-89.182900000000004"/>
    <n v="10896.9"/>
    <n v="0"/>
    <n v="0"/>
    <n v="101"/>
    <s v="_x0000_US"/>
  </r>
  <r>
    <x v="0"/>
    <n v="13.6769"/>
    <n v="-89.199100000000001"/>
    <n v="10897.2"/>
    <n v="0"/>
    <n v="0"/>
    <n v="101"/>
    <s v="_x0000_US"/>
  </r>
  <r>
    <x v="0"/>
    <n v="13.6724"/>
    <n v="-89.204800000000006"/>
    <n v="10897.7"/>
    <n v="0"/>
    <n v="0"/>
    <n v="101"/>
    <s v="_x0000_US"/>
  </r>
  <r>
    <x v="0"/>
    <n v="13.674200000000001"/>
    <n v="-89.199200000000005"/>
    <n v="10897.9"/>
    <n v="0"/>
    <n v="0"/>
    <n v="101"/>
    <s v="_x0000_US"/>
  </r>
  <r>
    <x v="0"/>
    <n v="13.694800000000001"/>
    <n v="-89.182699999999997"/>
    <n v="10898.1"/>
    <n v="0"/>
    <n v="0"/>
    <n v="101"/>
    <s v="_x0000_US"/>
  </r>
  <r>
    <x v="0"/>
    <n v="13.6881"/>
    <n v="-89.180899999999994"/>
    <n v="10898.7"/>
    <n v="0"/>
    <n v="0"/>
    <n v="101"/>
    <s v="_x0000_US"/>
  </r>
  <r>
    <x v="0"/>
    <n v="13.6867"/>
    <n v="-89.214699999999993"/>
    <n v="10898.8"/>
    <n v="0"/>
    <n v="0"/>
    <n v="101"/>
    <s v="_x0000_US"/>
  </r>
  <r>
    <x v="0"/>
    <n v="13.691700000000001"/>
    <n v="-89.179599999999994"/>
    <n v="10899.3"/>
    <n v="0"/>
    <n v="0"/>
    <n v="101"/>
    <s v="_x0000_US"/>
  </r>
  <r>
    <x v="0"/>
    <n v="13.6851"/>
    <n v="-89.216300000000004"/>
    <n v="10899.8"/>
    <n v="0"/>
    <n v="0"/>
    <n v="101"/>
    <s v="_x0000_US"/>
  </r>
  <r>
    <x v="0"/>
    <n v="13.6869"/>
    <n v="-89.197400000000002"/>
    <n v="10900.3"/>
    <n v="0"/>
    <n v="0"/>
    <n v="101"/>
    <s v="_x0000_US"/>
  </r>
  <r>
    <x v="0"/>
    <n v="13.690899999999999"/>
    <n v="-89.228800000000007"/>
    <n v="10900.6"/>
    <n v="0"/>
    <n v="0"/>
    <n v="101"/>
    <s v="_x0000_US"/>
  </r>
  <r>
    <x v="0"/>
    <n v="13.6899"/>
    <n v="-89.197400000000002"/>
    <n v="10900.8"/>
    <n v="0"/>
    <n v="0"/>
    <n v="101"/>
    <s v="_x0000_US"/>
  </r>
  <r>
    <x v="0"/>
    <n v="13.689500000000001"/>
    <n v="-89.228800000000007"/>
    <n v="10900.9"/>
    <n v="0"/>
    <n v="0"/>
    <n v="101"/>
    <s v="_x0000_US"/>
  </r>
  <r>
    <x v="0"/>
    <n v="13.6919"/>
    <n v="-89.226500000000001"/>
    <n v="10901.4"/>
    <n v="0"/>
    <n v="0"/>
    <n v="101"/>
    <s v="_x0000_US"/>
  </r>
  <r>
    <x v="0"/>
    <n v="13.691000000000001"/>
    <n v="-89.228700000000003"/>
    <n v="10901.5"/>
    <n v="0"/>
    <n v="0"/>
    <n v="101"/>
    <s v="_x0000_US"/>
  </r>
  <r>
    <x v="0"/>
    <n v="13.6907"/>
    <n v="-89.187299999999993"/>
    <n v="10901.9"/>
    <n v="0"/>
    <n v="0"/>
    <n v="101"/>
    <s v="_x0000_US"/>
  </r>
  <r>
    <x v="0"/>
    <n v="13.6882"/>
    <n v="-89.204300000000003"/>
    <n v="10901.9"/>
    <n v="0"/>
    <n v="0"/>
    <n v="101"/>
    <s v="_x0000_US"/>
  </r>
  <r>
    <x v="0"/>
    <n v="13.6913"/>
    <n v="-89.178899999999999"/>
    <n v="10902.4"/>
    <n v="0"/>
    <n v="0"/>
    <n v="101"/>
    <s v="_x0000_US"/>
  </r>
  <r>
    <x v="0"/>
    <n v="13.6877"/>
    <n v="-89.180800000000005"/>
    <n v="10902.8"/>
    <n v="0"/>
    <n v="0"/>
    <n v="101"/>
    <s v="_x0000_US"/>
  </r>
  <r>
    <x v="0"/>
    <n v="13.6921"/>
    <n v="-89.185000000000002"/>
    <n v="10903.8"/>
    <n v="0"/>
    <n v="0"/>
    <n v="101"/>
    <s v="_x0000_US"/>
  </r>
  <r>
    <x v="0"/>
    <n v="13.689"/>
    <n v="-89.206199999999995"/>
    <n v="10903.9"/>
    <n v="0"/>
    <n v="0"/>
    <n v="101"/>
    <s v="_x0000_US"/>
  </r>
  <r>
    <x v="0"/>
    <n v="13.6906"/>
    <n v="-89.194199999999995"/>
    <n v="10904.6"/>
    <n v="0"/>
    <n v="0"/>
    <n v="101"/>
    <s v="_x0000_US"/>
  </r>
  <r>
    <x v="0"/>
    <n v="13.689299999999999"/>
    <n v="-89.207599999999999"/>
    <n v="10904.7"/>
    <n v="0"/>
    <n v="0"/>
    <n v="101"/>
    <s v="_x0000_US"/>
  </r>
  <r>
    <x v="0"/>
    <n v="13.6914"/>
    <n v="-89.234099999999998"/>
    <n v="10904.7"/>
    <n v="0"/>
    <n v="0"/>
    <n v="101"/>
    <s v="_x0000_US"/>
  </r>
  <r>
    <x v="0"/>
    <n v="13.690200000000001"/>
    <n v="-89.189700000000002"/>
    <n v="10904.8"/>
    <n v="0"/>
    <n v="0"/>
    <n v="101"/>
    <s v="_x0000_US"/>
  </r>
  <r>
    <x v="0"/>
    <n v="13.680400000000001"/>
    <n v="-89.196100000000001"/>
    <n v="10905"/>
    <n v="0"/>
    <n v="0"/>
    <n v="101"/>
    <s v="_x0000_US"/>
  </r>
  <r>
    <x v="0"/>
    <n v="13.6868"/>
    <n v="-89.211799999999997"/>
    <n v="10905.6"/>
    <n v="0"/>
    <n v="0"/>
    <n v="101"/>
    <s v="_x0000_US"/>
  </r>
  <r>
    <x v="0"/>
    <n v="13.6914"/>
    <n v="-89.189400000000006"/>
    <n v="10905.7"/>
    <n v="0"/>
    <n v="0"/>
    <n v="101"/>
    <s v="_x0000_US"/>
  </r>
  <r>
    <x v="0"/>
    <n v="13.686299999999999"/>
    <n v="-89.203100000000006"/>
    <n v="10905.8"/>
    <n v="0"/>
    <n v="0"/>
    <n v="101"/>
    <s v="_x0000_US"/>
  </r>
  <r>
    <x v="0"/>
    <n v="13.6882"/>
    <n v="-89.229399999999998"/>
    <n v="10906"/>
    <n v="0"/>
    <n v="0"/>
    <n v="101"/>
    <s v="_x0000_US"/>
  </r>
  <r>
    <x v="0"/>
    <n v="13.685"/>
    <n v="-89.214299999999994"/>
    <n v="10906.1"/>
    <n v="0"/>
    <n v="0"/>
    <n v="101"/>
    <s v="_x0000_US"/>
  </r>
  <r>
    <x v="0"/>
    <n v="13.691599999999999"/>
    <n v="-89.227099999999993"/>
    <n v="10906.4"/>
    <n v="0"/>
    <n v="0"/>
    <n v="101"/>
    <s v="_x0000_US"/>
  </r>
  <r>
    <x v="0"/>
    <n v="13.692399999999999"/>
    <n v="-89.223699999999994"/>
    <n v="10906.9"/>
    <n v="0"/>
    <n v="0"/>
    <n v="101"/>
    <s v="_x0000_US"/>
  </r>
  <r>
    <x v="0"/>
    <n v="13.6906"/>
    <n v="-89.234800000000007"/>
    <n v="10907.1"/>
    <n v="0"/>
    <n v="0"/>
    <n v="101"/>
    <s v="_x0000_US"/>
  </r>
  <r>
    <x v="0"/>
    <n v="13.6851"/>
    <n v="-89.216800000000006"/>
    <n v="10907.6"/>
    <n v="0"/>
    <n v="0"/>
    <n v="101"/>
    <s v="_x0000_US"/>
  </r>
  <r>
    <x v="0"/>
    <n v="13.6945"/>
    <n v="-89.185400000000001"/>
    <n v="10907.8"/>
    <n v="0"/>
    <n v="0"/>
    <n v="101"/>
    <s v="_x0000_US"/>
  </r>
  <r>
    <x v="0"/>
    <n v="13.6928"/>
    <n v="-89.224500000000006"/>
    <n v="10907.9"/>
    <n v="0"/>
    <n v="0"/>
    <n v="101"/>
    <s v="_x0000_US"/>
  </r>
  <r>
    <x v="0"/>
    <n v="13.691700000000001"/>
    <n v="-89.228200000000001"/>
    <n v="10908.2"/>
    <n v="0"/>
    <n v="0"/>
    <n v="101"/>
    <s v="_x0000_US"/>
  </r>
  <r>
    <x v="0"/>
    <n v="13.6911"/>
    <n v="-89.234200000000001"/>
    <n v="10908.9"/>
    <n v="0"/>
    <n v="0"/>
    <n v="101"/>
    <s v="_x0000_US"/>
  </r>
  <r>
    <x v="0"/>
    <n v="13.6896"/>
    <n v="-89.2166"/>
    <n v="10909"/>
    <n v="0"/>
    <n v="0"/>
    <n v="101"/>
    <s v="_x0000_US"/>
  </r>
  <r>
    <x v="0"/>
    <n v="13.694100000000001"/>
    <n v="-89.174999999999997"/>
    <n v="10909.4"/>
    <n v="0"/>
    <n v="0"/>
    <n v="101"/>
    <s v="_x0000_US"/>
  </r>
  <r>
    <x v="0"/>
    <n v="13.6904"/>
    <n v="-89.234200000000001"/>
    <n v="10910.4"/>
    <n v="0"/>
    <n v="0"/>
    <n v="101"/>
    <s v="_x0000_US"/>
  </r>
  <r>
    <x v="0"/>
    <n v="13.691700000000001"/>
    <n v="-89.226399999999998"/>
    <n v="10911.2"/>
    <n v="0"/>
    <n v="0"/>
    <n v="101"/>
    <s v="_x0000_US"/>
  </r>
  <r>
    <x v="0"/>
    <n v="13.691599999999999"/>
    <n v="-89.226399999999998"/>
    <n v="10911.2"/>
    <n v="0"/>
    <n v="0"/>
    <n v="101"/>
    <s v="_x0000_US"/>
  </r>
  <r>
    <x v="0"/>
    <n v="13.689"/>
    <n v="-89.190299999999993"/>
    <n v="10911.4"/>
    <n v="0"/>
    <n v="0"/>
    <n v="101"/>
    <s v="_x0000_US"/>
  </r>
  <r>
    <x v="0"/>
    <n v="13.691700000000001"/>
    <n v="-89.178600000000003"/>
    <n v="10911.5"/>
    <n v="0"/>
    <n v="0"/>
    <n v="101"/>
    <s v="_x0000_US"/>
  </r>
  <r>
    <x v="0"/>
    <n v="13.690300000000001"/>
    <n v="-89.186899999999994"/>
    <n v="10911.8"/>
    <n v="0"/>
    <n v="0"/>
    <n v="101"/>
    <s v="_x0000_US"/>
  </r>
  <r>
    <x v="0"/>
    <n v="13.6852"/>
    <n v="-89.213999999999999"/>
    <n v="10912.1"/>
    <n v="0"/>
    <n v="0"/>
    <n v="101"/>
    <s v="_x0000_US"/>
  </r>
  <r>
    <x v="0"/>
    <n v="13.687099999999999"/>
    <n v="-89.196299999999994"/>
    <n v="10912.4"/>
    <n v="0"/>
    <n v="0"/>
    <n v="101"/>
    <s v="_x0000_US"/>
  </r>
  <r>
    <x v="0"/>
    <n v="13.6875"/>
    <n v="-89.194299999999998"/>
    <n v="10913.2"/>
    <n v="0"/>
    <n v="0"/>
    <n v="101"/>
    <s v="_x0000_US"/>
  </r>
  <r>
    <x v="0"/>
    <n v="13.689"/>
    <n v="-89.214799999999997"/>
    <n v="10913.3"/>
    <n v="0"/>
    <n v="0"/>
    <n v="101"/>
    <s v="_x0000_US"/>
  </r>
  <r>
    <x v="0"/>
    <n v="13.690799999999999"/>
    <n v="-89.194900000000004"/>
    <n v="10914.2"/>
    <n v="0"/>
    <n v="0"/>
    <n v="101"/>
    <s v="_x0000_US"/>
  </r>
  <r>
    <x v="0"/>
    <n v="13.6869"/>
    <n v="-89.201899999999995"/>
    <n v="10914.2"/>
    <n v="0"/>
    <n v="0"/>
    <n v="101"/>
    <s v="_x0000_US"/>
  </r>
  <r>
    <x v="0"/>
    <n v="13.6854"/>
    <n v="-89.193100000000001"/>
    <n v="10914.4"/>
    <n v="0"/>
    <n v="0"/>
    <n v="101"/>
    <s v="_x0000_US"/>
  </r>
  <r>
    <x v="0"/>
    <n v="13.684699999999999"/>
    <n v="-89.217100000000002"/>
    <n v="10914.8"/>
    <n v="0"/>
    <n v="0"/>
    <n v="101"/>
    <s v="_x0000_US"/>
  </r>
  <r>
    <x v="0"/>
    <n v="13.686400000000001"/>
    <n v="-89.216300000000004"/>
    <n v="10915.4"/>
    <n v="0"/>
    <n v="0"/>
    <n v="101"/>
    <s v="_x0000_US"/>
  </r>
  <r>
    <x v="0"/>
    <n v="13.685600000000001"/>
    <n v="-89.203699999999998"/>
    <n v="10915.5"/>
    <n v="0"/>
    <n v="0"/>
    <n v="101"/>
    <s v="_x0000_US"/>
  </r>
  <r>
    <x v="0"/>
    <n v="13.686500000000001"/>
    <n v="-89.203699999999998"/>
    <n v="10915.8"/>
    <n v="0"/>
    <n v="0"/>
    <n v="101"/>
    <s v="_x0000_US"/>
  </r>
  <r>
    <x v="0"/>
    <n v="13.691599999999999"/>
    <n v="-89.226299999999995"/>
    <n v="10915.8"/>
    <n v="0"/>
    <n v="0"/>
    <n v="101"/>
    <s v="_x0000_US"/>
  </r>
  <r>
    <x v="0"/>
    <n v="13.692299999999999"/>
    <n v="-89.194500000000005"/>
    <n v="10916"/>
    <n v="0"/>
    <n v="0"/>
    <n v="101"/>
    <s v="_x0000_US"/>
  </r>
  <r>
    <x v="0"/>
    <n v="13.6845"/>
    <n v="-89.216499999999996"/>
    <n v="10916.3"/>
    <n v="0"/>
    <n v="0"/>
    <n v="101"/>
    <s v="_x0000_US"/>
  </r>
  <r>
    <x v="0"/>
    <n v="13.692"/>
    <n v="-89.185500000000005"/>
    <n v="10916.5"/>
    <n v="0"/>
    <n v="0"/>
    <n v="101"/>
    <s v="_x0000_US"/>
  </r>
  <r>
    <x v="0"/>
    <n v="13.691000000000001"/>
    <n v="-89.181200000000004"/>
    <n v="10916.9"/>
    <n v="0"/>
    <n v="0"/>
    <n v="101"/>
    <s v="_x0000_US"/>
  </r>
  <r>
    <x v="0"/>
    <n v="13.6952"/>
    <n v="-89.173500000000004"/>
    <n v="10917.1"/>
    <n v="0"/>
    <n v="0"/>
    <n v="101"/>
    <s v="_x0000_US"/>
  </r>
  <r>
    <x v="0"/>
    <n v="13.6915"/>
    <n v="-89.189300000000003"/>
    <n v="10917.2"/>
    <n v="0"/>
    <n v="0"/>
    <n v="101"/>
    <s v="_x0000_US"/>
  </r>
  <r>
    <x v="0"/>
    <n v="13.6914"/>
    <n v="-89.235299999999995"/>
    <n v="10917.3"/>
    <n v="0"/>
    <n v="0"/>
    <n v="101"/>
    <s v="_x0000_US"/>
  </r>
  <r>
    <x v="0"/>
    <n v="13.691000000000001"/>
    <n v="-89.235600000000005"/>
    <n v="10917.5"/>
    <n v="0"/>
    <n v="0"/>
    <n v="101"/>
    <s v="_x0000_US"/>
  </r>
  <r>
    <x v="0"/>
    <n v="13.6904"/>
    <n v="-89.1785"/>
    <n v="10918.1"/>
    <n v="0"/>
    <n v="0"/>
    <n v="101"/>
    <s v="_x0000_US"/>
  </r>
  <r>
    <x v="0"/>
    <n v="13.6867"/>
    <n v="-89.1815"/>
    <n v="10918.7"/>
    <n v="0"/>
    <n v="0"/>
    <n v="101"/>
    <s v="_x0000_US"/>
  </r>
  <r>
    <x v="0"/>
    <n v="13.6919"/>
    <n v="-89.221500000000006"/>
    <n v="10919"/>
    <n v="0"/>
    <n v="0"/>
    <n v="101"/>
    <s v="_x0000_US"/>
  </r>
  <r>
    <x v="0"/>
    <n v="13.6915"/>
    <n v="-89.176500000000004"/>
    <n v="10919.4"/>
    <n v="0"/>
    <n v="0"/>
    <n v="101"/>
    <s v="_x0000_US"/>
  </r>
  <r>
    <x v="0"/>
    <n v="13.691599999999999"/>
    <n v="-89.232600000000005"/>
    <n v="10919.8"/>
    <n v="0"/>
    <n v="0"/>
    <n v="101"/>
    <s v="_x0000_US"/>
  </r>
  <r>
    <x v="0"/>
    <n v="13.6913"/>
    <n v="-89.235200000000006"/>
    <n v="10920"/>
    <n v="0"/>
    <n v="0"/>
    <n v="101"/>
    <s v="_x0000_US"/>
  </r>
  <r>
    <x v="0"/>
    <n v="13.6868"/>
    <n v="-89.183000000000007"/>
    <n v="10920.1"/>
    <n v="0"/>
    <n v="0"/>
    <n v="101"/>
    <s v="_x0000_US"/>
  </r>
  <r>
    <x v="0"/>
    <n v="13.691700000000001"/>
    <n v="-89.2256"/>
    <n v="10920.1"/>
    <n v="0"/>
    <n v="0"/>
    <n v="101"/>
    <s v="_x0000_US"/>
  </r>
  <r>
    <x v="0"/>
    <n v="13.6873"/>
    <n v="-89.204400000000007"/>
    <n v="10920.3"/>
    <n v="0"/>
    <n v="0"/>
    <n v="101"/>
    <s v="_x0000_US"/>
  </r>
  <r>
    <x v="0"/>
    <n v="13.6858"/>
    <n v="-89.215100000000007"/>
    <n v="10920.6"/>
    <n v="0"/>
    <n v="0"/>
    <n v="101"/>
    <s v="_x0000_US"/>
  </r>
  <r>
    <x v="0"/>
    <n v="13.6861"/>
    <n v="-89.213899999999995"/>
    <n v="10921"/>
    <n v="0"/>
    <n v="0"/>
    <n v="101"/>
    <s v="_x0000_US"/>
  </r>
  <r>
    <x v="0"/>
    <n v="13.695"/>
    <n v="-89.175200000000004"/>
    <n v="10922"/>
    <n v="0"/>
    <n v="0"/>
    <n v="101"/>
    <s v="_x0000_US"/>
  </r>
  <r>
    <x v="0"/>
    <n v="13.6884"/>
    <n v="-89.2042"/>
    <n v="10922.1"/>
    <n v="0"/>
    <n v="0"/>
    <n v="101"/>
    <s v="_x0000_US"/>
  </r>
  <r>
    <x v="0"/>
    <n v="13.692500000000001"/>
    <n v="-89.19"/>
    <n v="10922.3"/>
    <n v="0"/>
    <n v="0"/>
    <n v="101"/>
    <s v="_x0000_US"/>
  </r>
  <r>
    <x v="0"/>
    <n v="13.676600000000001"/>
    <n v="-89.199299999999994"/>
    <n v="10922.6"/>
    <n v="0"/>
    <n v="0"/>
    <n v="101"/>
    <s v="_x0000_US"/>
  </r>
  <r>
    <x v="0"/>
    <n v="13.6873"/>
    <n v="-89.194900000000004"/>
    <n v="10922.7"/>
    <n v="0"/>
    <n v="0"/>
    <n v="101"/>
    <s v="_x0000_US"/>
  </r>
  <r>
    <x v="0"/>
    <n v="13.6889"/>
    <n v="-89.189899999999994"/>
    <n v="10923.3"/>
    <n v="0"/>
    <n v="0"/>
    <n v="101"/>
    <s v="_x0000_US"/>
  </r>
  <r>
    <x v="0"/>
    <n v="13.6912"/>
    <n v="-89.232399999999998"/>
    <n v="10923.5"/>
    <n v="0"/>
    <n v="0"/>
    <n v="101"/>
    <s v="_x0000_US"/>
  </r>
  <r>
    <x v="0"/>
    <n v="13.6911"/>
    <n v="-89.233000000000004"/>
    <n v="10923.7"/>
    <n v="0"/>
    <n v="0"/>
    <n v="101"/>
    <s v="_x0000_US"/>
  </r>
  <r>
    <x v="0"/>
    <n v="13.6967"/>
    <n v="-89.171899999999994"/>
    <n v="10924.9"/>
    <n v="0"/>
    <n v="0"/>
    <n v="101"/>
    <s v="_x0000_US"/>
  </r>
  <r>
    <x v="0"/>
    <n v="13.6874"/>
    <n v="-89.197199999999995"/>
    <n v="10925.3"/>
    <n v="0"/>
    <n v="0"/>
    <n v="101"/>
    <s v="_x0000_US"/>
  </r>
  <r>
    <x v="0"/>
    <n v="13.687099999999999"/>
    <n v="-89.197400000000002"/>
    <n v="10926"/>
    <n v="0"/>
    <n v="0"/>
    <n v="101"/>
    <s v="_x0000_US"/>
  </r>
  <r>
    <x v="0"/>
    <n v="13.6853"/>
    <n v="-89.210999999999999"/>
    <n v="10926.1"/>
    <n v="0"/>
    <n v="0"/>
    <n v="101"/>
    <s v="_x0000_US"/>
  </r>
  <r>
    <x v="0"/>
    <n v="13.6904"/>
    <n v="-89.197500000000005"/>
    <n v="10926.2"/>
    <n v="0"/>
    <n v="0"/>
    <n v="101"/>
    <s v="_x0000_US"/>
  </r>
  <r>
    <x v="0"/>
    <n v="13.687099999999999"/>
    <n v="-89.181700000000006"/>
    <n v="10926.6"/>
    <n v="0"/>
    <n v="0"/>
    <n v="101"/>
    <s v="_x0000_US"/>
  </r>
  <r>
    <x v="0"/>
    <n v="13.6869"/>
    <n v="-89.197599999999994"/>
    <n v="10926.7"/>
    <n v="0"/>
    <n v="0"/>
    <n v="101"/>
    <s v="_x0000_US"/>
  </r>
  <r>
    <x v="0"/>
    <n v="13.6851"/>
    <n v="-89.193899999999999"/>
    <n v="10927"/>
    <n v="0"/>
    <n v="0"/>
    <n v="101"/>
    <s v="_x0000_US"/>
  </r>
  <r>
    <x v="0"/>
    <n v="13.6797"/>
    <n v="-89.196700000000007"/>
    <n v="10927.4"/>
    <n v="0"/>
    <n v="0"/>
    <n v="101"/>
    <s v="_x0000_US"/>
  </r>
  <r>
    <x v="0"/>
    <n v="13.688599999999999"/>
    <n v="-89.229200000000006"/>
    <n v="10927.5"/>
    <n v="0"/>
    <n v="0"/>
    <n v="101"/>
    <s v="_x0000_US"/>
  </r>
  <r>
    <x v="0"/>
    <n v="13.6911"/>
    <n v="-89.178700000000006"/>
    <n v="10927.7"/>
    <n v="0"/>
    <n v="0"/>
    <n v="101"/>
    <s v="_x0000_US"/>
  </r>
  <r>
    <x v="0"/>
    <n v="13.6873"/>
    <n v="-89.1982"/>
    <n v="10928"/>
    <n v="0"/>
    <n v="0"/>
    <n v="101"/>
    <s v="_x0000_US"/>
  </r>
  <r>
    <x v="0"/>
    <n v="13.696099999999999"/>
    <n v="-89.167199999999994"/>
    <n v="10928"/>
    <n v="0"/>
    <n v="0"/>
    <n v="101"/>
    <s v="_x0000_US"/>
  </r>
  <r>
    <x v="0"/>
    <n v="13.6913"/>
    <n v="-89.178899999999999"/>
    <n v="10928.2"/>
    <n v="0"/>
    <n v="0"/>
    <n v="101"/>
    <s v="_x0000_US"/>
  </r>
  <r>
    <x v="0"/>
    <n v="13.685"/>
    <n v="-89.215500000000006"/>
    <n v="10929"/>
    <n v="0"/>
    <n v="0"/>
    <n v="101"/>
    <s v="_x0000_US"/>
  </r>
  <r>
    <x v="0"/>
    <n v="13.690099999999999"/>
    <n v="-89.193100000000001"/>
    <n v="10929.2"/>
    <n v="0"/>
    <n v="0"/>
    <n v="101"/>
    <s v="_x0000_US"/>
  </r>
  <r>
    <x v="0"/>
    <n v="13.6898"/>
    <n v="-89.183999999999997"/>
    <n v="10929.2"/>
    <n v="0"/>
    <n v="0"/>
    <n v="101"/>
    <s v="_x0000_US"/>
  </r>
  <r>
    <x v="0"/>
    <n v="13.686999999999999"/>
    <n v="-89.214100000000002"/>
    <n v="10930.5"/>
    <n v="0"/>
    <n v="0"/>
    <n v="101"/>
    <s v="_x0000_US"/>
  </r>
  <r>
    <x v="0"/>
    <n v="13.6922"/>
    <n v="-89.179400000000001"/>
    <n v="10930.8"/>
    <n v="0"/>
    <n v="0"/>
    <n v="101"/>
    <s v="_x0000_US"/>
  </r>
  <r>
    <x v="0"/>
    <n v="13.6914"/>
    <n v="-89.2333"/>
    <n v="10931.2"/>
    <n v="0"/>
    <n v="0"/>
    <n v="101"/>
    <s v="_x0000_US"/>
  </r>
  <r>
    <x v="0"/>
    <n v="13.687200000000001"/>
    <n v="-89.196200000000005"/>
    <n v="10932.4"/>
    <n v="0"/>
    <n v="0"/>
    <n v="101"/>
    <s v="_x0000_US"/>
  </r>
  <r>
    <x v="0"/>
    <n v="13.694599999999999"/>
    <n v="-89.172700000000006"/>
    <n v="10932.8"/>
    <n v="0"/>
    <n v="0"/>
    <n v="101"/>
    <s v="_x0000_US"/>
  </r>
  <r>
    <x v="0"/>
    <n v="13.6881"/>
    <n v="-89.182699999999997"/>
    <n v="10933.1"/>
    <n v="0"/>
    <n v="0"/>
    <n v="101"/>
    <s v="_x0000_US"/>
  </r>
  <r>
    <x v="0"/>
    <n v="13.690099999999999"/>
    <n v="-89.177499999999995"/>
    <n v="10933.1"/>
    <n v="0"/>
    <n v="0"/>
    <n v="101"/>
    <s v="_x0000_US"/>
  </r>
  <r>
    <x v="0"/>
    <n v="13.6883"/>
    <n v="-89.193799999999996"/>
    <n v="10933.5"/>
    <n v="0"/>
    <n v="0"/>
    <n v="101"/>
    <s v="_x0000_US"/>
  </r>
  <r>
    <x v="0"/>
    <n v="13.6914"/>
    <n v="-89.227099999999993"/>
    <n v="10934"/>
    <n v="0"/>
    <n v="0"/>
    <n v="101"/>
    <s v="_x0000_US"/>
  </r>
  <r>
    <x v="0"/>
    <n v="13.6899"/>
    <n v="-89.185000000000002"/>
    <n v="10934.1"/>
    <n v="0"/>
    <n v="0"/>
    <n v="101"/>
    <s v="_x0000_US"/>
  </r>
  <r>
    <x v="0"/>
    <n v="13.690799999999999"/>
    <n v="-89.186099999999996"/>
    <n v="10934.7"/>
    <n v="0"/>
    <n v="0"/>
    <n v="101"/>
    <s v="_x0000_US"/>
  </r>
  <r>
    <x v="0"/>
    <n v="13.689299999999999"/>
    <n v="-89.196899999999999"/>
    <n v="10934.8"/>
    <n v="0"/>
    <n v="0"/>
    <n v="101"/>
    <s v="_x0000_US"/>
  </r>
  <r>
    <x v="0"/>
    <n v="13.6873"/>
    <n v="-89.196799999999996"/>
    <n v="10935.4"/>
    <n v="0"/>
    <n v="0"/>
    <n v="101"/>
    <s v="_x0000_US"/>
  </r>
  <r>
    <x v="0"/>
    <n v="13.6945"/>
    <n v="-89.186400000000006"/>
    <n v="10936.9"/>
    <n v="0"/>
    <n v="0"/>
    <n v="101"/>
    <s v="_x0000_US"/>
  </r>
  <r>
    <x v="0"/>
    <n v="13.690899999999999"/>
    <n v="-89.235500000000002"/>
    <n v="10937.1"/>
    <n v="0"/>
    <n v="0"/>
    <n v="101"/>
    <s v="_x0000_US"/>
  </r>
  <r>
    <x v="0"/>
    <n v="13.686400000000001"/>
    <n v="-89.215800000000002"/>
    <n v="10937.7"/>
    <n v="0"/>
    <n v="0"/>
    <n v="101"/>
    <s v="_x0000_US"/>
  </r>
  <r>
    <x v="0"/>
    <n v="13.691700000000001"/>
    <n v="-89.233900000000006"/>
    <n v="10937.7"/>
    <n v="0"/>
    <n v="0"/>
    <n v="101"/>
    <s v="_x0000_US"/>
  </r>
  <r>
    <x v="0"/>
    <n v="13.696"/>
    <n v="-89.166200000000003"/>
    <n v="10937.9"/>
    <n v="0"/>
    <n v="0"/>
    <n v="101"/>
    <s v="_x0000_US"/>
  </r>
  <r>
    <x v="0"/>
    <n v="13.6843"/>
    <n v="-89.215900000000005"/>
    <n v="10937.9"/>
    <n v="0"/>
    <n v="0"/>
    <n v="101"/>
    <s v="_x0000_US"/>
  </r>
  <r>
    <x v="0"/>
    <n v="13.686"/>
    <n v="-89.193799999999996"/>
    <n v="10938"/>
    <n v="0"/>
    <n v="0"/>
    <n v="101"/>
    <s v="_x0000_US"/>
  </r>
  <r>
    <x v="0"/>
    <n v="13.690300000000001"/>
    <n v="-89.181200000000004"/>
    <n v="10938.6"/>
    <n v="0"/>
    <n v="0"/>
    <n v="101"/>
    <s v="_x0000_US"/>
  </r>
  <r>
    <x v="0"/>
    <n v="13.684799999999999"/>
    <n v="-89.216099999999997"/>
    <n v="10940.2"/>
    <n v="0"/>
    <n v="0"/>
    <n v="101"/>
    <s v="_x0000_US"/>
  </r>
  <r>
    <x v="0"/>
    <n v="13.6906"/>
    <n v="-89.234899999999996"/>
    <n v="10940.6"/>
    <n v="0"/>
    <n v="0"/>
    <n v="101"/>
    <s v="_x0000_US"/>
  </r>
  <r>
    <x v="0"/>
    <n v="13.692"/>
    <n v="-89.194299999999998"/>
    <n v="10940.7"/>
    <n v="0"/>
    <n v="0"/>
    <n v="101"/>
    <s v="_x0000_US"/>
  </r>
  <r>
    <x v="0"/>
    <n v="13.6914"/>
    <n v="-89.2286"/>
    <n v="10940.9"/>
    <n v="0"/>
    <n v="0"/>
    <n v="101"/>
    <s v="_x0000_US"/>
  </r>
  <r>
    <x v="0"/>
    <n v="13.6945"/>
    <n v="-89.171899999999994"/>
    <n v="10941"/>
    <n v="0"/>
    <n v="0"/>
    <n v="101"/>
    <s v="_x0000_US"/>
  </r>
  <r>
    <x v="0"/>
    <n v="13.6778"/>
    <n v="-89.246499999999997"/>
    <n v="10941.7"/>
    <n v="0"/>
    <n v="0"/>
    <n v="101"/>
    <s v="_x0000_US"/>
  </r>
  <r>
    <x v="0"/>
    <n v="13.6896"/>
    <n v="-89.235399999999998"/>
    <n v="10941.8"/>
    <n v="0"/>
    <n v="0"/>
    <n v="101"/>
    <s v="_x0000_US"/>
  </r>
  <r>
    <x v="0"/>
    <n v="13.6914"/>
    <n v="-89.228899999999996"/>
    <n v="10941.9"/>
    <n v="0"/>
    <n v="0"/>
    <n v="101"/>
    <s v="_x0000_US"/>
  </r>
  <r>
    <x v="0"/>
    <n v="13.6905"/>
    <n v="-89.178399999999996"/>
    <n v="10942.3"/>
    <n v="0"/>
    <n v="0"/>
    <n v="101"/>
    <s v="_x0000_US"/>
  </r>
  <r>
    <x v="0"/>
    <n v="13.6937"/>
    <n v="-89.174199999999999"/>
    <n v="10942.4"/>
    <n v="0"/>
    <n v="0"/>
    <n v="101"/>
    <s v="_x0000_US"/>
  </r>
  <r>
    <x v="0"/>
    <n v="13.6912"/>
    <n v="-89.234999999999999"/>
    <n v="10943.9"/>
    <n v="0"/>
    <n v="0"/>
    <n v="101"/>
    <s v="_x0000_US"/>
  </r>
  <r>
    <x v="0"/>
    <n v="13.6915"/>
    <n v="-89.197299999999998"/>
    <n v="10944.1"/>
    <n v="0"/>
    <n v="0"/>
    <n v="101"/>
    <s v="_x0000_US"/>
  </r>
  <r>
    <x v="0"/>
    <n v="13.688499999999999"/>
    <n v="-89.190600000000003"/>
    <n v="10944.5"/>
    <n v="0"/>
    <n v="0"/>
    <n v="101"/>
    <s v="_x0000_US"/>
  </r>
  <r>
    <x v="0"/>
    <n v="13.6853"/>
    <n v="-89.203699999999998"/>
    <n v="10944.7"/>
    <n v="0"/>
    <n v="0"/>
    <n v="101"/>
    <s v="_x0000_US"/>
  </r>
  <r>
    <x v="0"/>
    <n v="13.6721"/>
    <n v="-89.2042"/>
    <n v="10944.9"/>
    <n v="0"/>
    <n v="0"/>
    <n v="101"/>
    <s v="_x0000_US"/>
  </r>
  <r>
    <x v="0"/>
    <n v="13.6914"/>
    <n v="-89.225999999999999"/>
    <n v="10945.4"/>
    <n v="0"/>
    <n v="0"/>
    <n v="101"/>
    <s v="_x0000_US"/>
  </r>
  <r>
    <x v="0"/>
    <n v="13.6906"/>
    <n v="-89.185100000000006"/>
    <n v="10945.7"/>
    <n v="0"/>
    <n v="0"/>
    <n v="101"/>
    <s v="_x0000_US"/>
  </r>
  <r>
    <x v="0"/>
    <n v="13.690799999999999"/>
    <n v="-89.185000000000002"/>
    <n v="10945.8"/>
    <n v="0"/>
    <n v="0"/>
    <n v="101"/>
    <s v="_x0000_US"/>
  </r>
  <r>
    <x v="0"/>
    <n v="13.6914"/>
    <n v="-89.226399999999998"/>
    <n v="10945.9"/>
    <n v="0"/>
    <n v="0"/>
    <n v="101"/>
    <s v="_x0000_US"/>
  </r>
  <r>
    <x v="0"/>
    <n v="13.6861"/>
    <n v="-89.216399999999993"/>
    <n v="10946.3"/>
    <n v="0"/>
    <n v="0"/>
    <n v="101"/>
    <s v="_x0000_US"/>
  </r>
  <r>
    <x v="0"/>
    <n v="13.694599999999999"/>
    <n v="-89.183199999999999"/>
    <n v="10947.1"/>
    <n v="0"/>
    <n v="0"/>
    <n v="101"/>
    <s v="_x0000_US"/>
  </r>
  <r>
    <x v="0"/>
    <n v="13.690200000000001"/>
    <n v="-89.183999999999997"/>
    <n v="10947.1"/>
    <n v="0"/>
    <n v="0"/>
    <n v="101"/>
    <s v="_x0000_US"/>
  </r>
  <r>
    <x v="0"/>
    <n v="13.6852"/>
    <n v="-89.216999999999999"/>
    <n v="10947.3"/>
    <n v="0"/>
    <n v="0"/>
    <n v="101"/>
    <s v="_x0000_US"/>
  </r>
  <r>
    <x v="0"/>
    <n v="13.6746"/>
    <n v="-89.202500000000001"/>
    <n v="10947.4"/>
    <n v="0"/>
    <n v="0"/>
    <n v="101"/>
    <s v="_x0000_US"/>
  </r>
  <r>
    <x v="0"/>
    <n v="13.677199999999999"/>
    <n v="-89.248400000000004"/>
    <n v="10947.4"/>
    <n v="0"/>
    <n v="0"/>
    <n v="101"/>
    <s v="_x0000_US"/>
  </r>
  <r>
    <x v="0"/>
    <n v="13.687799999999999"/>
    <n v="-89.194599999999994"/>
    <n v="10947.5"/>
    <n v="0"/>
    <n v="0"/>
    <n v="101"/>
    <s v="_x0000_US"/>
  </r>
  <r>
    <x v="0"/>
    <n v="13.677899999999999"/>
    <n v="-89.246499999999997"/>
    <n v="10947.7"/>
    <n v="0"/>
    <n v="0"/>
    <n v="101"/>
    <s v="_x0000_US"/>
  </r>
  <r>
    <x v="0"/>
    <n v="13.6919"/>
    <n v="-89.226699999999994"/>
    <n v="10948"/>
    <n v="0"/>
    <n v="0"/>
    <n v="101"/>
    <s v="_x0000_US"/>
  </r>
  <r>
    <x v="0"/>
    <n v="13.6899"/>
    <n v="-89.195800000000006"/>
    <n v="10948.2"/>
    <n v="0"/>
    <n v="0"/>
    <n v="101"/>
    <s v="_x0000_US"/>
  </r>
  <r>
    <x v="0"/>
    <n v="13.692500000000001"/>
    <n v="-89.226299999999995"/>
    <n v="10948.3"/>
    <n v="0"/>
    <n v="0"/>
    <n v="101"/>
    <s v="_x0000_US"/>
  </r>
  <r>
    <x v="0"/>
    <n v="13.690899999999999"/>
    <n v="-89.187600000000003"/>
    <n v="10948.4"/>
    <n v="0"/>
    <n v="0"/>
    <n v="101"/>
    <s v="_x0000_US"/>
  </r>
  <r>
    <x v="0"/>
    <n v="13.692500000000001"/>
    <n v="-89.223399999999998"/>
    <n v="10948.6"/>
    <n v="0"/>
    <n v="0"/>
    <n v="101"/>
    <s v="_x0000_US"/>
  </r>
  <r>
    <x v="0"/>
    <n v="13.690899999999999"/>
    <n v="-89.195899999999995"/>
    <n v="10948.7"/>
    <n v="0"/>
    <n v="0"/>
    <n v="101"/>
    <s v="_x0000_US"/>
  </r>
  <r>
    <x v="0"/>
    <n v="13.6898"/>
    <n v="-89.197900000000004"/>
    <n v="10948.7"/>
    <n v="0"/>
    <n v="0"/>
    <n v="101"/>
    <s v="_x0000_US"/>
  </r>
  <r>
    <x v="0"/>
    <n v="13.6943"/>
    <n v="-89.188999999999993"/>
    <n v="10948.9"/>
    <n v="0"/>
    <n v="0"/>
    <n v="101"/>
    <s v="_x0000_US"/>
  </r>
  <r>
    <x v="0"/>
    <n v="13.6869"/>
    <n v="-89.194699999999997"/>
    <n v="10949.3"/>
    <n v="0"/>
    <n v="0"/>
    <n v="101"/>
    <s v="_x0000_US"/>
  </r>
  <r>
    <x v="0"/>
    <n v="13.691700000000001"/>
    <n v="-89.220500000000001"/>
    <n v="10949.7"/>
    <n v="0"/>
    <n v="0"/>
    <n v="101"/>
    <s v="_x0000_US"/>
  </r>
  <r>
    <x v="0"/>
    <n v="13.689399999999999"/>
    <n v="-89.228999999999999"/>
    <n v="10949.7"/>
    <n v="0"/>
    <n v="0"/>
    <n v="101"/>
    <s v="_x0000_US"/>
  </r>
  <r>
    <x v="0"/>
    <n v="13.673299999999999"/>
    <n v="-89.2042"/>
    <n v="10949.8"/>
    <n v="0"/>
    <n v="0"/>
    <n v="101"/>
    <s v="_x0000_US"/>
  </r>
  <r>
    <x v="0"/>
    <n v="13.6914"/>
    <n v="-89.189499999999995"/>
    <n v="10949.9"/>
    <n v="0"/>
    <n v="0"/>
    <n v="101"/>
    <s v="_x0000_US"/>
  </r>
  <r>
    <x v="0"/>
    <n v="13.6934"/>
    <n v="-89.177000000000007"/>
    <n v="10953"/>
    <n v="0"/>
    <n v="0"/>
    <n v="101"/>
    <s v="_x0000_US"/>
  </r>
  <r>
    <x v="0"/>
    <n v="13.6853"/>
    <n v="-89.192899999999995"/>
    <n v="10953"/>
    <n v="0"/>
    <n v="0"/>
    <n v="101"/>
    <s v="_x0000_US"/>
  </r>
  <r>
    <x v="0"/>
    <n v="13.695399999999999"/>
    <n v="-89.174199999999999"/>
    <n v="10953.2"/>
    <n v="0"/>
    <n v="0"/>
    <n v="101"/>
    <s v="_x0000_US"/>
  </r>
  <r>
    <x v="0"/>
    <n v="13.6906"/>
    <n v="-89.227999999999994"/>
    <n v="10953.7"/>
    <n v="0"/>
    <n v="0"/>
    <n v="101"/>
    <s v="_x0000_US"/>
  </r>
  <r>
    <x v="0"/>
    <n v="13.689500000000001"/>
    <n v="-89.180599999999998"/>
    <n v="10955.4"/>
    <n v="0"/>
    <n v="0"/>
    <n v="101"/>
    <s v="_x0000_US"/>
  </r>
  <r>
    <x v="0"/>
    <n v="13.690799999999999"/>
    <n v="-89.195800000000006"/>
    <n v="10955.6"/>
    <n v="0"/>
    <n v="0"/>
    <n v="101"/>
    <s v="_x0000_US"/>
  </r>
  <r>
    <x v="0"/>
    <n v="13.6874"/>
    <n v="-89.1965"/>
    <n v="10955.9"/>
    <n v="0"/>
    <n v="0"/>
    <n v="101"/>
    <s v="_x0000_US"/>
  </r>
  <r>
    <x v="0"/>
    <n v="13.6913"/>
    <n v="-89.2286"/>
    <n v="10956.2"/>
    <n v="0"/>
    <n v="0"/>
    <n v="101"/>
    <s v="_x0000_US"/>
  </r>
  <r>
    <x v="0"/>
    <n v="13.6853"/>
    <n v="-89.203000000000003"/>
    <n v="10956.4"/>
    <n v="0"/>
    <n v="0"/>
    <n v="101"/>
    <s v="_x0000_US"/>
  </r>
  <r>
    <x v="0"/>
    <n v="13.688599999999999"/>
    <n v="-89.198599999999999"/>
    <n v="10956.9"/>
    <n v="0"/>
    <n v="0"/>
    <n v="101"/>
    <s v="_x0000_US"/>
  </r>
  <r>
    <x v="0"/>
    <n v="13.693300000000001"/>
    <n v="-89.178299999999993"/>
    <n v="10957.5"/>
    <n v="0"/>
    <n v="0"/>
    <n v="101"/>
    <s v="_x0000_US"/>
  </r>
  <r>
    <x v="0"/>
    <n v="13.6911"/>
    <n v="-89.232799999999997"/>
    <n v="10957.6"/>
    <n v="0"/>
    <n v="0"/>
    <n v="101"/>
    <s v="_x0000_US"/>
  </r>
  <r>
    <x v="0"/>
    <n v="13.687099999999999"/>
    <n v="-89.196600000000004"/>
    <n v="10958"/>
    <n v="0"/>
    <n v="0"/>
    <n v="101"/>
    <s v="_x0000_US"/>
  </r>
  <r>
    <x v="0"/>
    <n v="13.6751"/>
    <n v="-89.2"/>
    <n v="10958.2"/>
    <n v="0"/>
    <n v="0"/>
    <n v="101"/>
    <s v="_x0000_US"/>
  </r>
  <r>
    <x v="0"/>
    <n v="13.6861"/>
    <n v="-89.1982"/>
    <n v="10958.6"/>
    <n v="0"/>
    <n v="0"/>
    <n v="101"/>
    <s v="_x0000_US"/>
  </r>
  <r>
    <x v="0"/>
    <n v="13.6904"/>
    <n v="-89.178700000000006"/>
    <n v="10958.8"/>
    <n v="0"/>
    <n v="0"/>
    <n v="101"/>
    <s v="_x0000_US"/>
  </r>
  <r>
    <x v="0"/>
    <n v="13.692"/>
    <n v="-89.179900000000004"/>
    <n v="10958.9"/>
    <n v="0"/>
    <n v="0"/>
    <n v="101"/>
    <s v="_x0000_US"/>
  </r>
  <r>
    <x v="0"/>
    <n v="13.688700000000001"/>
    <n v="-89.189800000000005"/>
    <n v="10959.2"/>
    <n v="0"/>
    <n v="0"/>
    <n v="101"/>
    <s v="_x0000_US"/>
  </r>
  <r>
    <x v="0"/>
    <n v="13.691700000000001"/>
    <n v="-89.178799999999995"/>
    <n v="10959.6"/>
    <n v="0"/>
    <n v="0"/>
    <n v="101"/>
    <s v="_x0000_US"/>
  </r>
  <r>
    <x v="0"/>
    <n v="13.689500000000001"/>
    <n v="-89.184200000000004"/>
    <n v="10959.7"/>
    <n v="0"/>
    <n v="0"/>
    <n v="101"/>
    <s v="_x0000_US"/>
  </r>
  <r>
    <x v="0"/>
    <n v="13.6797"/>
    <n v="-89.197199999999995"/>
    <n v="10960.1"/>
    <n v="0"/>
    <n v="0"/>
    <n v="101"/>
    <s v="_x0000_US"/>
  </r>
  <r>
    <x v="0"/>
    <n v="13.689"/>
    <n v="-89.177999999999997"/>
    <n v="10960.4"/>
    <n v="0"/>
    <n v="0"/>
    <n v="101"/>
    <s v="_x0000_US"/>
  </r>
  <r>
    <x v="0"/>
    <n v="13.6747"/>
    <n v="-89.251900000000006"/>
    <n v="10960.9"/>
    <n v="0"/>
    <n v="0"/>
    <n v="101"/>
    <s v="_x0000_US"/>
  </r>
  <r>
    <x v="0"/>
    <n v="13.6746"/>
    <n v="-89.251900000000006"/>
    <n v="10961.3"/>
    <n v="0"/>
    <n v="0"/>
    <n v="101"/>
    <s v="_x0000_US"/>
  </r>
  <r>
    <x v="0"/>
    <n v="13.6919"/>
    <n v="-89.224299999999999"/>
    <n v="10961.9"/>
    <n v="0"/>
    <n v="0"/>
    <n v="101"/>
    <s v="_x0000_US"/>
  </r>
  <r>
    <x v="0"/>
    <n v="13.674300000000001"/>
    <n v="-89.202299999999994"/>
    <n v="10962.1"/>
    <n v="0"/>
    <n v="0"/>
    <n v="101"/>
    <s v="_x0000_US"/>
  </r>
  <r>
    <x v="0"/>
    <n v="13.6883"/>
    <n v="-89.193799999999996"/>
    <n v="10962.6"/>
    <n v="0"/>
    <n v="0"/>
    <n v="101"/>
    <s v="_x0000_US"/>
  </r>
  <r>
    <x v="0"/>
    <n v="13.674899999999999"/>
    <n v="-89.250799999999998"/>
    <n v="10962.6"/>
    <n v="0"/>
    <n v="0"/>
    <n v="101"/>
    <s v="_x0000_US"/>
  </r>
  <r>
    <x v="0"/>
    <n v="13.6907"/>
    <n v="-89.233599999999996"/>
    <n v="10962.7"/>
    <n v="0"/>
    <n v="0"/>
    <n v="101"/>
    <s v="_x0000_US"/>
  </r>
  <r>
    <x v="0"/>
    <n v="13.687799999999999"/>
    <n v="-89.194599999999994"/>
    <n v="10962.8"/>
    <n v="0"/>
    <n v="0"/>
    <n v="101"/>
    <s v="_x0000_US"/>
  </r>
  <r>
    <x v="0"/>
    <n v="13.6859"/>
    <n v="-89.213800000000006"/>
    <n v="10962.9"/>
    <n v="0"/>
    <n v="0"/>
    <n v="101"/>
    <s v="_x0000_US"/>
  </r>
  <r>
    <x v="0"/>
    <n v="13.6892"/>
    <n v="-89.206699999999998"/>
    <n v="10963.5"/>
    <n v="0"/>
    <n v="0"/>
    <n v="101"/>
    <s v="_x0000_US"/>
  </r>
  <r>
    <x v="0"/>
    <n v="13.6952"/>
    <n v="-89.174199999999999"/>
    <n v="10964.1"/>
    <n v="0"/>
    <n v="0"/>
    <n v="101"/>
    <s v="_x0000_US"/>
  </r>
  <r>
    <x v="0"/>
    <n v="13.696"/>
    <n v="-89.173100000000005"/>
    <n v="10964.2"/>
    <n v="0"/>
    <n v="0"/>
    <n v="101"/>
    <s v="_x0000_US"/>
  </r>
  <r>
    <x v="0"/>
    <n v="13.6943"/>
    <n v="-89.190399999999997"/>
    <n v="10964.4"/>
    <n v="0"/>
    <n v="0"/>
    <n v="101"/>
    <s v="_x0000_US"/>
  </r>
  <r>
    <x v="0"/>
    <n v="13.6867"/>
    <n v="-89.2119"/>
    <n v="10964.7"/>
    <n v="0"/>
    <n v="0"/>
    <n v="101"/>
    <s v="_x0000_US"/>
  </r>
  <r>
    <x v="0"/>
    <n v="13.692600000000001"/>
    <n v="-89.223600000000005"/>
    <n v="10964.8"/>
    <n v="0"/>
    <n v="0"/>
    <n v="101"/>
    <s v="_x0000_US"/>
  </r>
  <r>
    <x v="0"/>
    <n v="13.6875"/>
    <n v="-89.205200000000005"/>
    <n v="10964.9"/>
    <n v="0"/>
    <n v="0"/>
    <n v="101"/>
    <s v="_x0000_US"/>
  </r>
  <r>
    <x v="0"/>
    <n v="13.690899999999999"/>
    <n v="-89.197900000000004"/>
    <n v="10965.3"/>
    <n v="0"/>
    <n v="0"/>
    <n v="101"/>
    <s v="_x0000_US"/>
  </r>
  <r>
    <x v="0"/>
    <n v="13.6915"/>
    <n v="-89.1785"/>
    <n v="10965.6"/>
    <n v="0"/>
    <n v="0"/>
    <n v="101"/>
    <s v="_x0000_US"/>
  </r>
  <r>
    <x v="0"/>
    <n v="13.674899999999999"/>
    <n v="-89.251800000000003"/>
    <n v="10965.6"/>
    <n v="0"/>
    <n v="0"/>
    <n v="101"/>
    <s v="_x0000_US"/>
  </r>
  <r>
    <x v="0"/>
    <n v="13.692600000000001"/>
    <n v="-89.179199999999994"/>
    <n v="10966.1"/>
    <n v="0"/>
    <n v="0"/>
    <n v="101"/>
    <s v="_x0000_US"/>
  </r>
  <r>
    <x v="0"/>
    <n v="13.688599999999999"/>
    <n v="-89.194900000000004"/>
    <n v="10967"/>
    <n v="0"/>
    <n v="0"/>
    <n v="101"/>
    <s v="_x0000_US"/>
  </r>
  <r>
    <x v="0"/>
    <n v="13.686500000000001"/>
    <n v="-89.203999999999994"/>
    <n v="10967.7"/>
    <n v="0"/>
    <n v="0"/>
    <n v="101"/>
    <s v="_x0000_US"/>
  </r>
  <r>
    <x v="0"/>
    <n v="13.691599999999999"/>
    <n v="-89.226600000000005"/>
    <n v="10967.7"/>
    <n v="0"/>
    <n v="0"/>
    <n v="101"/>
    <s v="_x0000_US"/>
  </r>
  <r>
    <x v="0"/>
    <n v="13.677"/>
    <n v="-89.247799999999998"/>
    <n v="10968.4"/>
    <n v="0"/>
    <n v="0"/>
    <n v="101"/>
    <s v="_x0000_US"/>
  </r>
  <r>
    <x v="0"/>
    <n v="13.687200000000001"/>
    <n v="-89.194000000000003"/>
    <n v="10968.6"/>
    <n v="0"/>
    <n v="0"/>
    <n v="101"/>
    <s v="_x0000_US"/>
  </r>
  <r>
    <x v="0"/>
    <n v="13.6873"/>
    <n v="-89.195499999999996"/>
    <n v="10969.1"/>
    <n v="0"/>
    <n v="0"/>
    <n v="101"/>
    <s v="_x0000_US"/>
  </r>
  <r>
    <x v="0"/>
    <n v="13.691700000000001"/>
    <n v="-89.179000000000002"/>
    <n v="10969.2"/>
    <n v="0"/>
    <n v="0"/>
    <n v="101"/>
    <s v="_x0000_US"/>
  </r>
  <r>
    <x v="0"/>
    <n v="13.686199999999999"/>
    <n v="-89.2012"/>
    <n v="10969.4"/>
    <n v="0"/>
    <n v="0"/>
    <n v="101"/>
    <s v="_x0000_US"/>
  </r>
  <r>
    <x v="0"/>
    <n v="13.686999999999999"/>
    <n v="-89.183400000000006"/>
    <n v="10969.7"/>
    <n v="0"/>
    <n v="0"/>
    <n v="101"/>
    <s v="_x0000_US"/>
  </r>
  <r>
    <x v="0"/>
    <n v="13.687099999999999"/>
    <n v="-89.205200000000005"/>
    <n v="10969.7"/>
    <n v="0"/>
    <n v="0"/>
    <n v="101"/>
    <s v="_x0000_US"/>
  </r>
  <r>
    <x v="0"/>
    <n v="13.6921"/>
    <n v="-89.1858"/>
    <n v="10969.9"/>
    <n v="0"/>
    <n v="0"/>
    <n v="101"/>
    <s v="_x0000_US"/>
  </r>
  <r>
    <x v="0"/>
    <n v="13.680300000000001"/>
    <n v="-89.198300000000003"/>
    <n v="10970.1"/>
    <n v="0"/>
    <n v="0"/>
    <n v="101"/>
    <s v="_x0000_US"/>
  </r>
  <r>
    <x v="0"/>
    <n v="13.692600000000001"/>
    <n v="-89.184200000000004"/>
    <n v="10970.3"/>
    <n v="0"/>
    <n v="0"/>
    <n v="101"/>
    <s v="_x0000_US"/>
  </r>
  <r>
    <x v="0"/>
    <n v="13.693300000000001"/>
    <n v="-89.177000000000007"/>
    <n v="10970.6"/>
    <n v="0"/>
    <n v="0"/>
    <n v="101"/>
    <s v="_x0000_US"/>
  </r>
  <r>
    <x v="0"/>
    <n v="13.6891"/>
    <n v="-89.206500000000005"/>
    <n v="10970.8"/>
    <n v="0"/>
    <n v="0"/>
    <n v="101"/>
    <s v="_x0000_US"/>
  </r>
  <r>
    <x v="0"/>
    <n v="13.673500000000001"/>
    <n v="-89.2029"/>
    <n v="10971.2"/>
    <n v="0"/>
    <n v="0"/>
    <n v="101"/>
    <s v="_x0000_US"/>
  </r>
  <r>
    <x v="0"/>
    <n v="13.6915"/>
    <n v="-89.186000000000007"/>
    <n v="10972.3"/>
    <n v="0"/>
    <n v="0"/>
    <n v="101"/>
    <s v="_x0000_US"/>
  </r>
  <r>
    <x v="0"/>
    <n v="13.691000000000001"/>
    <n v="-89.229699999999994"/>
    <n v="10972.9"/>
    <n v="0"/>
    <n v="0"/>
    <n v="101"/>
    <s v="_x0000_US"/>
  </r>
  <r>
    <x v="0"/>
    <n v="13.6936"/>
    <n v="-89.177000000000007"/>
    <n v="10973"/>
    <n v="0"/>
    <n v="0"/>
    <n v="101"/>
    <s v="_x0000_US"/>
  </r>
  <r>
    <x v="0"/>
    <n v="13.692600000000001"/>
    <n v="-89.224100000000007"/>
    <n v="10973.2"/>
    <n v="0"/>
    <n v="0"/>
    <n v="101"/>
    <s v="_x0000_US"/>
  </r>
  <r>
    <x v="0"/>
    <n v="13.6913"/>
    <n v="-89.232500000000002"/>
    <n v="10973.3"/>
    <n v="0"/>
    <n v="0"/>
    <n v="101"/>
    <s v="_x0000_US"/>
  </r>
  <r>
    <x v="0"/>
    <n v="13.6906"/>
    <n v="-89.183300000000003"/>
    <n v="10973.6"/>
    <n v="0"/>
    <n v="0"/>
    <n v="101"/>
    <s v="_x0000_US"/>
  </r>
  <r>
    <x v="0"/>
    <n v="13.691800000000001"/>
    <n v="-89.188000000000002"/>
    <n v="10973.7"/>
    <n v="0"/>
    <n v="0"/>
    <n v="101"/>
    <s v="_x0000_US"/>
  </r>
  <r>
    <x v="0"/>
    <n v="13.689299999999999"/>
    <n v="-89.183800000000005"/>
    <n v="10973.8"/>
    <n v="0"/>
    <n v="0"/>
    <n v="101"/>
    <s v="_x0000_US"/>
  </r>
  <r>
    <x v="0"/>
    <n v="13.6869"/>
    <n v="-89.194299999999998"/>
    <n v="10974.3"/>
    <n v="0"/>
    <n v="0"/>
    <n v="101"/>
    <s v="_x0000_US"/>
  </r>
  <r>
    <x v="0"/>
    <n v="13.674300000000001"/>
    <n v="-89.201899999999995"/>
    <n v="10974.4"/>
    <n v="0"/>
    <n v="0"/>
    <n v="101"/>
    <s v="_x0000_US"/>
  </r>
  <r>
    <x v="0"/>
    <n v="13.690300000000001"/>
    <n v="-89.179500000000004"/>
    <n v="10975.1"/>
    <n v="0"/>
    <n v="0"/>
    <n v="101"/>
    <s v="_x0000_US"/>
  </r>
  <r>
    <x v="0"/>
    <n v="13.690899999999999"/>
    <n v="-89.229100000000003"/>
    <n v="10975.1"/>
    <n v="0"/>
    <n v="0"/>
    <n v="101"/>
    <s v="_x0000_US"/>
  </r>
  <r>
    <x v="0"/>
    <n v="13.692399999999999"/>
    <n v="-89.1751"/>
    <n v="10976.7"/>
    <n v="0"/>
    <n v="0"/>
    <n v="101"/>
    <s v="_x0000_US"/>
  </r>
  <r>
    <x v="0"/>
    <n v="13.693"/>
    <n v="-89.177999999999997"/>
    <n v="10977.5"/>
    <n v="0"/>
    <n v="0"/>
    <n v="101"/>
    <s v="_x0000_US"/>
  </r>
  <r>
    <x v="0"/>
    <n v="13.6915"/>
    <n v="-89.233999999999995"/>
    <n v="10977.5"/>
    <n v="0"/>
    <n v="0"/>
    <n v="101"/>
    <s v="_x0000_US"/>
  </r>
  <r>
    <x v="0"/>
    <n v="13.6912"/>
    <n v="-89.2333"/>
    <n v="10977.6"/>
    <n v="0"/>
    <n v="0"/>
    <n v="101"/>
    <s v="_x0000_US"/>
  </r>
  <r>
    <x v="0"/>
    <n v="13.6915"/>
    <n v="-89.234499999999997"/>
    <n v="10978.3"/>
    <n v="0"/>
    <n v="0"/>
    <n v="101"/>
    <s v="_x0000_US"/>
  </r>
  <r>
    <x v="0"/>
    <n v="13.6891"/>
    <n v="-89.190399999999997"/>
    <n v="10978.9"/>
    <n v="0"/>
    <n v="0"/>
    <n v="101"/>
    <s v="_x0000_US"/>
  </r>
  <r>
    <x v="0"/>
    <n v="13.690099999999999"/>
    <n v="-89.188199999999995"/>
    <n v="10978.9"/>
    <n v="0"/>
    <n v="0"/>
    <n v="101"/>
    <s v="_x0000_US"/>
  </r>
  <r>
    <x v="0"/>
    <n v="13.685600000000001"/>
    <n v="-89.203100000000006"/>
    <n v="10979.1"/>
    <n v="0"/>
    <n v="0"/>
    <n v="101"/>
    <s v="_x0000_US"/>
  </r>
  <r>
    <x v="0"/>
    <n v="13.6876"/>
    <n v="-89.195400000000006"/>
    <n v="10979.5"/>
    <n v="0"/>
    <n v="0"/>
    <n v="101"/>
    <s v="_x0000_US"/>
  </r>
  <r>
    <x v="0"/>
    <n v="13.691599999999999"/>
    <n v="-89.2256"/>
    <n v="10979.6"/>
    <n v="0"/>
    <n v="0"/>
    <n v="101"/>
    <s v="_x0000_US"/>
  </r>
  <r>
    <x v="0"/>
    <n v="13.6927"/>
    <n v="-89.183400000000006"/>
    <n v="10979.7"/>
    <n v="0"/>
    <n v="0"/>
    <n v="101"/>
    <s v="_x0000_US"/>
  </r>
  <r>
    <x v="0"/>
    <n v="13.6911"/>
    <n v="-89.186400000000006"/>
    <n v="10979.9"/>
    <n v="0"/>
    <n v="0"/>
    <n v="101"/>
    <s v="_x0000_US"/>
  </r>
  <r>
    <x v="0"/>
    <n v="13.692299999999999"/>
    <n v="-89.179000000000002"/>
    <n v="10980.2"/>
    <n v="0"/>
    <n v="0"/>
    <n v="101"/>
    <s v="_x0000_US"/>
  </r>
  <r>
    <x v="0"/>
    <n v="13.6884"/>
    <n v="-89.204300000000003"/>
    <n v="10980.4"/>
    <n v="0"/>
    <n v="0"/>
    <n v="101"/>
    <s v="_x0000_US"/>
  </r>
  <r>
    <x v="0"/>
    <n v="13.6957"/>
    <n v="-89.165499999999994"/>
    <n v="10981"/>
    <n v="0"/>
    <n v="0"/>
    <n v="101"/>
    <s v="_x0000_US"/>
  </r>
  <r>
    <x v="0"/>
    <n v="13.6874"/>
    <n v="-89.197199999999995"/>
    <n v="10981.4"/>
    <n v="0"/>
    <n v="0"/>
    <n v="101"/>
    <s v="_x0000_US"/>
  </r>
  <r>
    <x v="0"/>
    <n v="13.6907"/>
    <n v="-89.183800000000005"/>
    <n v="10981.4"/>
    <n v="0"/>
    <n v="0"/>
    <n v="101"/>
    <s v="_x0000_US"/>
  </r>
  <r>
    <x v="0"/>
    <n v="13.686400000000001"/>
    <n v="-89.215100000000007"/>
    <n v="10981.4"/>
    <n v="0"/>
    <n v="0"/>
    <n v="101"/>
    <s v="_x0000_US"/>
  </r>
  <r>
    <x v="0"/>
    <n v="13.6854"/>
    <n v="-89.212999999999994"/>
    <n v="10981.7"/>
    <n v="0"/>
    <n v="0"/>
    <n v="101"/>
    <s v="_x0000_US"/>
  </r>
  <r>
    <x v="0"/>
    <n v="13.688499999999999"/>
    <n v="-89.2042"/>
    <n v="10982"/>
    <n v="0"/>
    <n v="0"/>
    <n v="101"/>
    <s v="_x0000_US"/>
  </r>
  <r>
    <x v="0"/>
    <n v="13.692600000000001"/>
    <n v="-89.178899999999999"/>
    <n v="10983"/>
    <n v="0"/>
    <n v="0"/>
    <n v="101"/>
    <s v="_x0000_US"/>
  </r>
  <r>
    <x v="0"/>
    <n v="13.688499999999999"/>
    <n v="-89.2042"/>
    <n v="10983"/>
    <n v="0"/>
    <n v="0"/>
    <n v="101"/>
    <s v="_x0000_US"/>
  </r>
  <r>
    <x v="0"/>
    <n v="13.6899"/>
    <n v="-89.235900000000001"/>
    <n v="10983.2"/>
    <n v="0"/>
    <n v="0"/>
    <n v="101"/>
    <s v="_x0000_US"/>
  </r>
  <r>
    <x v="0"/>
    <n v="13.686"/>
    <n v="-89.215299999999999"/>
    <n v="10983.4"/>
    <n v="0"/>
    <n v="0"/>
    <n v="101"/>
    <s v="_x0000_US"/>
  </r>
  <r>
    <x v="0"/>
    <n v="13.690300000000001"/>
    <n v="-89.234099999999998"/>
    <n v="10983.4"/>
    <n v="0"/>
    <n v="0"/>
    <n v="101"/>
    <s v="_x0000_US"/>
  </r>
  <r>
    <x v="0"/>
    <n v="13.689299999999999"/>
    <n v="-89.184700000000007"/>
    <n v="10984.3"/>
    <n v="0"/>
    <n v="0"/>
    <n v="101"/>
    <s v="_x0000_US"/>
  </r>
  <r>
    <x v="0"/>
    <n v="13.6875"/>
    <n v="-89.1965"/>
    <n v="10984.8"/>
    <n v="0"/>
    <n v="0"/>
    <n v="101"/>
    <s v="_x0000_US"/>
  </r>
  <r>
    <x v="0"/>
    <n v="13.691000000000001"/>
    <n v="-89.179100000000005"/>
    <n v="10986.4"/>
    <n v="0"/>
    <n v="0"/>
    <n v="101"/>
    <s v="_x0000_US"/>
  </r>
  <r>
    <x v="0"/>
    <n v="13.695600000000001"/>
    <n v="-89.173199999999994"/>
    <n v="10986.4"/>
    <n v="0"/>
    <n v="0"/>
    <n v="101"/>
    <s v="_x0000_US"/>
  </r>
  <r>
    <x v="0"/>
    <n v="13.6913"/>
    <n v="-89.235299999999995"/>
    <n v="10986.4"/>
    <n v="0"/>
    <n v="0"/>
    <n v="101"/>
    <s v="_x0000_US"/>
  </r>
  <r>
    <x v="0"/>
    <n v="13.685600000000001"/>
    <n v="-89.203500000000005"/>
    <n v="10986.5"/>
    <n v="0"/>
    <n v="0"/>
    <n v="101"/>
    <s v="_x0000_US"/>
  </r>
  <r>
    <x v="0"/>
    <n v="13.677099999999999"/>
    <n v="-89.2483"/>
    <n v="10987.5"/>
    <n v="0"/>
    <n v="0"/>
    <n v="101"/>
    <s v="_x0000_US"/>
  </r>
  <r>
    <x v="0"/>
    <n v="13.6934"/>
    <n v="-89.188199999999995"/>
    <n v="10987.6"/>
    <n v="0"/>
    <n v="0"/>
    <n v="101"/>
    <s v="_x0000_US"/>
  </r>
  <r>
    <x v="0"/>
    <n v="13.686"/>
    <n v="-89.214600000000004"/>
    <n v="10987.8"/>
    <n v="0"/>
    <n v="0"/>
    <n v="101"/>
    <s v="_x0000_US"/>
  </r>
  <r>
    <x v="0"/>
    <n v="13.6889"/>
    <n v="-89.216899999999995"/>
    <n v="10987.9"/>
    <n v="0"/>
    <n v="0"/>
    <n v="101"/>
    <s v="_x0000_US"/>
  </r>
  <r>
    <x v="0"/>
    <n v="13.6907"/>
    <n v="-89.189400000000006"/>
    <n v="10988"/>
    <n v="0"/>
    <n v="0"/>
    <n v="101"/>
    <s v="_x0000_US"/>
  </r>
  <r>
    <x v="0"/>
    <n v="13.688000000000001"/>
    <n v="-89.212900000000005"/>
    <n v="10988.2"/>
    <n v="0"/>
    <n v="0"/>
    <n v="101"/>
    <s v="_x0000_US"/>
  </r>
  <r>
    <x v="0"/>
    <n v="13.6928"/>
    <n v="-89.189499999999995"/>
    <n v="10988.7"/>
    <n v="0"/>
    <n v="0"/>
    <n v="101"/>
    <s v="_x0000_US"/>
  </r>
  <r>
    <x v="0"/>
    <n v="13.694599999999999"/>
    <n v="-89.174700000000001"/>
    <n v="10988.8"/>
    <n v="0"/>
    <n v="0"/>
    <n v="101"/>
    <s v="_x0000_US"/>
  </r>
  <r>
    <x v="0"/>
    <n v="13.676500000000001"/>
    <n v="-89.249399999999994"/>
    <n v="10988.9"/>
    <n v="0"/>
    <n v="0"/>
    <n v="101"/>
    <s v="_x0000_US"/>
  </r>
  <r>
    <x v="0"/>
    <n v="13.6873"/>
    <n v="-89.1965"/>
    <n v="10989.8"/>
    <n v="0"/>
    <n v="0"/>
    <n v="101"/>
    <s v="_x0000_US"/>
  </r>
  <r>
    <x v="0"/>
    <n v="13.6882"/>
    <n v="-89.180099999999996"/>
    <n v="10990"/>
    <n v="0"/>
    <n v="0"/>
    <n v="101"/>
    <s v="_x0000_US"/>
  </r>
  <r>
    <x v="0"/>
    <n v="13.6852"/>
    <n v="-89.2119"/>
    <n v="10990"/>
    <n v="0"/>
    <n v="0"/>
    <n v="101"/>
    <s v="_x0000_US"/>
  </r>
  <r>
    <x v="0"/>
    <n v="13.6913"/>
    <n v="-89.186800000000005"/>
    <n v="10990.4"/>
    <n v="0"/>
    <n v="0"/>
    <n v="101"/>
    <s v="_x0000_US"/>
  </r>
  <r>
    <x v="0"/>
    <n v="13.6859"/>
    <n v="-89.216399999999993"/>
    <n v="10990.9"/>
    <n v="0"/>
    <n v="0"/>
    <n v="101"/>
    <s v="_x0000_US"/>
  </r>
  <r>
    <x v="0"/>
    <n v="13.685700000000001"/>
    <n v="-89.203400000000002"/>
    <n v="10991"/>
    <n v="0"/>
    <n v="0"/>
    <n v="101"/>
    <s v="_x0000_US"/>
  </r>
  <r>
    <x v="0"/>
    <n v="13.6959"/>
    <n v="-89.172600000000003"/>
    <n v="10991"/>
    <n v="0"/>
    <n v="0"/>
    <n v="101"/>
    <s v="_x0000_US"/>
  </r>
  <r>
    <x v="0"/>
    <n v="13.6868"/>
    <n v="-89.183099999999996"/>
    <n v="10992.1"/>
    <n v="0"/>
    <n v="0"/>
    <n v="101"/>
    <s v="_x0000_US"/>
  </r>
  <r>
    <x v="0"/>
    <n v="13.6913"/>
    <n v="-89.226500000000001"/>
    <n v="10992.2"/>
    <n v="0"/>
    <n v="0"/>
    <n v="101"/>
    <s v="_x0000_US"/>
  </r>
  <r>
    <x v="0"/>
    <n v="13.6875"/>
    <n v="-89.205299999999994"/>
    <n v="10992.7"/>
    <n v="0"/>
    <n v="0"/>
    <n v="101"/>
    <s v="_x0000_US"/>
  </r>
  <r>
    <x v="0"/>
    <n v="13.688000000000001"/>
    <n v="-89.216899999999995"/>
    <n v="10992.7"/>
    <n v="0"/>
    <n v="0"/>
    <n v="101"/>
    <s v="_x0000_US"/>
  </r>
  <r>
    <x v="0"/>
    <n v="13.6889"/>
    <n v="-89.190299999999993"/>
    <n v="10993"/>
    <n v="0"/>
    <n v="0"/>
    <n v="101"/>
    <s v="_x0000_US"/>
  </r>
  <r>
    <x v="0"/>
    <n v="13.6858"/>
    <n v="-89.201700000000002"/>
    <n v="10993.1"/>
    <n v="0"/>
    <n v="0"/>
    <n v="101"/>
    <s v="_x0000_US"/>
  </r>
  <r>
    <x v="0"/>
    <n v="13.6873"/>
    <n v="-89.196700000000007"/>
    <n v="10993.3"/>
    <n v="0"/>
    <n v="0"/>
    <n v="101"/>
    <s v="_x0000_US"/>
  </r>
  <r>
    <x v="0"/>
    <n v="13.6927"/>
    <n v="-89.193799999999996"/>
    <n v="10993.3"/>
    <n v="0"/>
    <n v="0"/>
    <n v="101"/>
    <s v="_x0000_US"/>
  </r>
  <r>
    <x v="0"/>
    <n v="13.6927"/>
    <n v="-89.223600000000005"/>
    <n v="10993.3"/>
    <n v="0"/>
    <n v="0"/>
    <n v="101"/>
    <s v="_x0000_US"/>
  </r>
  <r>
    <x v="0"/>
    <n v="13.695"/>
    <n v="-89.172300000000007"/>
    <n v="10993.7"/>
    <n v="0"/>
    <n v="0"/>
    <n v="101"/>
    <s v="_x0000_US"/>
  </r>
  <r>
    <x v="0"/>
    <n v="13.6874"/>
    <n v="-89.196600000000004"/>
    <n v="10993.8"/>
    <n v="0"/>
    <n v="0"/>
    <n v="101"/>
    <s v="_x0000_US"/>
  </r>
  <r>
    <x v="0"/>
    <n v="13.689399999999999"/>
    <n v="-89.229500000000002"/>
    <n v="10994.3"/>
    <n v="0"/>
    <n v="0"/>
    <n v="101"/>
    <s v="_x0000_US"/>
  </r>
  <r>
    <x v="0"/>
    <n v="13.6911"/>
    <n v="-89.226699999999994"/>
    <n v="10994.4"/>
    <n v="0"/>
    <n v="0"/>
    <n v="101"/>
    <s v="_x0000_US"/>
  </r>
  <r>
    <x v="0"/>
    <n v="13.687799999999999"/>
    <n v="-89.197199999999995"/>
    <n v="10995.3"/>
    <n v="0"/>
    <n v="0"/>
    <n v="101"/>
    <s v="_x0000_US"/>
  </r>
  <r>
    <x v="0"/>
    <n v="13.6936"/>
    <n v="-89.176900000000003"/>
    <n v="10995.8"/>
    <n v="0"/>
    <n v="0"/>
    <n v="101"/>
    <s v="_x0000_US"/>
  </r>
  <r>
    <x v="0"/>
    <n v="13.6798"/>
    <n v="-89.194900000000004"/>
    <n v="10995.9"/>
    <n v="0"/>
    <n v="0"/>
    <n v="101"/>
    <s v="_x0000_US"/>
  </r>
  <r>
    <x v="0"/>
    <n v="13.6953"/>
    <n v="-89.173599999999993"/>
    <n v="10995.9"/>
    <n v="0"/>
    <n v="0"/>
    <n v="101"/>
    <s v="_x0000_US"/>
  </r>
  <r>
    <x v="0"/>
    <n v="13.692500000000001"/>
    <n v="-89.226399999999998"/>
    <n v="10996.1"/>
    <n v="0"/>
    <n v="0"/>
    <n v="101"/>
    <s v="_x0000_US"/>
  </r>
  <r>
    <x v="0"/>
    <n v="13.690099999999999"/>
    <n v="-89.193600000000004"/>
    <n v="10996.4"/>
    <n v="0"/>
    <n v="0"/>
    <n v="101"/>
    <s v="_x0000_US"/>
  </r>
  <r>
    <x v="0"/>
    <n v="13.684799999999999"/>
    <n v="-89.216300000000004"/>
    <n v="10997.4"/>
    <n v="0"/>
    <n v="0"/>
    <n v="101"/>
    <s v="_x0000_US"/>
  </r>
  <r>
    <x v="0"/>
    <n v="13.6869"/>
    <n v="-89.197199999999995"/>
    <n v="10997.5"/>
    <n v="0"/>
    <n v="0"/>
    <n v="101"/>
    <s v="_x0000_US"/>
  </r>
  <r>
    <x v="0"/>
    <n v="13.6911"/>
    <n v="-89.219099999999997"/>
    <n v="10997.5"/>
    <n v="0"/>
    <n v="0"/>
    <n v="101"/>
    <s v="_x0000_US"/>
  </r>
  <r>
    <x v="0"/>
    <n v="13.693099999999999"/>
    <n v="-89.173900000000003"/>
    <n v="10998.4"/>
    <n v="0"/>
    <n v="0"/>
    <n v="101"/>
    <s v="_x0000_US"/>
  </r>
  <r>
    <x v="0"/>
    <n v="13.6891"/>
    <n v="-89.184100000000001"/>
    <n v="10999"/>
    <n v="0"/>
    <n v="0"/>
    <n v="101"/>
    <s v="_x0000_US"/>
  </r>
  <r>
    <x v="0"/>
    <n v="13.690799999999999"/>
    <n v="-89.190399999999997"/>
    <n v="11000"/>
    <n v="0"/>
    <n v="0"/>
    <n v="101"/>
    <s v="_x0000_US"/>
  </r>
  <r>
    <x v="0"/>
    <n v="13.6944"/>
    <n v="-89.188999999999993"/>
    <n v="11000.1"/>
    <n v="0"/>
    <n v="0"/>
    <n v="101"/>
    <s v="_x0000_US"/>
  </r>
  <r>
    <x v="0"/>
    <n v="13.684699999999999"/>
    <n v="-89.217299999999994"/>
    <n v="11000.4"/>
    <n v="0"/>
    <n v="0"/>
    <n v="101"/>
    <s v="_x0000_US"/>
  </r>
  <r>
    <x v="0"/>
    <n v="13.685600000000001"/>
    <n v="-89.215500000000006"/>
    <n v="11000.9"/>
    <n v="0"/>
    <n v="0"/>
    <n v="101"/>
    <s v="_x0000_US"/>
  </r>
  <r>
    <x v="0"/>
    <n v="13.690200000000001"/>
    <n v="-89.188500000000005"/>
    <n v="11001"/>
    <n v="0"/>
    <n v="0"/>
    <n v="101"/>
    <s v="_x0000_US"/>
  </r>
  <r>
    <x v="0"/>
    <n v="13.6854"/>
    <n v="-89.202100000000002"/>
    <n v="11001.1"/>
    <n v="0"/>
    <n v="0"/>
    <n v="101"/>
    <s v="_x0000_US"/>
  </r>
  <r>
    <x v="0"/>
    <n v="13.691800000000001"/>
    <n v="-89.197299999999998"/>
    <n v="11002.3"/>
    <n v="0"/>
    <n v="0"/>
    <n v="101"/>
    <s v="_x0000_US"/>
  </r>
  <r>
    <x v="0"/>
    <n v="13.674300000000001"/>
    <n v="-89.202399999999997"/>
    <n v="11002.6"/>
    <n v="0"/>
    <n v="0"/>
    <n v="101"/>
    <s v="_x0000_US"/>
  </r>
  <r>
    <x v="0"/>
    <n v="13.677300000000001"/>
    <n v="-89.247299999999996"/>
    <n v="11002.7"/>
    <n v="0"/>
    <n v="0"/>
    <n v="101"/>
    <s v="_x0000_US"/>
  </r>
  <r>
    <x v="0"/>
    <n v="13.687200000000001"/>
    <n v="-89.212100000000007"/>
    <n v="11003.3"/>
    <n v="0"/>
    <n v="0"/>
    <n v="101"/>
    <s v="_x0000_US"/>
  </r>
  <r>
    <x v="0"/>
    <n v="13.6889"/>
    <n v="-89.181200000000004"/>
    <n v="11003.8"/>
    <n v="0"/>
    <n v="0"/>
    <n v="101"/>
    <s v="_x0000_US"/>
  </r>
  <r>
    <x v="0"/>
    <n v="13.6907"/>
    <n v="-89.187399999999997"/>
    <n v="11004.3"/>
    <n v="0"/>
    <n v="0"/>
    <n v="101"/>
    <s v="_x0000_US"/>
  </r>
  <r>
    <x v="0"/>
    <n v="13.6921"/>
    <n v="-89.2226"/>
    <n v="11004.3"/>
    <n v="0"/>
    <n v="0"/>
    <n v="101"/>
    <s v="_x0000_US"/>
  </r>
  <r>
    <x v="0"/>
    <n v="13.691599999999999"/>
    <n v="-89.1935"/>
    <n v="11004.4"/>
    <n v="0"/>
    <n v="0"/>
    <n v="101"/>
    <s v="_x0000_US"/>
  </r>
  <r>
    <x v="0"/>
    <n v="13.6919"/>
    <n v="-89.183300000000003"/>
    <n v="11004.7"/>
    <n v="0"/>
    <n v="0"/>
    <n v="101"/>
    <s v="_x0000_US"/>
  </r>
  <r>
    <x v="0"/>
    <n v="13.692399999999999"/>
    <n v="-89.224199999999996"/>
    <n v="11004.8"/>
    <n v="0"/>
    <n v="0"/>
    <n v="101"/>
    <s v="_x0000_US"/>
  </r>
  <r>
    <x v="0"/>
    <n v="13.6936"/>
    <n v="-89.176500000000004"/>
    <n v="11006.5"/>
    <n v="0"/>
    <n v="0"/>
    <n v="101"/>
    <s v="_x0000_US"/>
  </r>
  <r>
    <x v="0"/>
    <n v="13.677099999999999"/>
    <n v="-89.248099999999994"/>
    <n v="11006.5"/>
    <n v="0"/>
    <n v="0"/>
    <n v="101"/>
    <s v="_x0000_US"/>
  </r>
  <r>
    <x v="0"/>
    <n v="13.6919"/>
    <n v="-89.179299999999998"/>
    <n v="11006.6"/>
    <n v="0"/>
    <n v="0"/>
    <n v="101"/>
    <s v="_x0000_US"/>
  </r>
  <r>
    <x v="0"/>
    <n v="13.6897"/>
    <n v="-89.194100000000006"/>
    <n v="11007"/>
    <n v="0"/>
    <n v="0"/>
    <n v="101"/>
    <s v="_x0000_US"/>
  </r>
  <r>
    <x v="0"/>
    <n v="13.693099999999999"/>
    <n v="-89.183300000000003"/>
    <n v="11007.3"/>
    <n v="0"/>
    <n v="0"/>
    <n v="101"/>
    <s v="_x0000_US"/>
  </r>
  <r>
    <x v="0"/>
    <n v="13.690200000000001"/>
    <n v="-89.193200000000004"/>
    <n v="11007.3"/>
    <n v="0"/>
    <n v="0"/>
    <n v="101"/>
    <s v="_x0000_US"/>
  </r>
  <r>
    <x v="0"/>
    <n v="13.6873"/>
    <n v="-89.194100000000006"/>
    <n v="11007.5"/>
    <n v="0"/>
    <n v="0"/>
    <n v="101"/>
    <s v="_x0000_US"/>
  </r>
  <r>
    <x v="0"/>
    <n v="13.6889"/>
    <n v="-89.229299999999995"/>
    <n v="11007.7"/>
    <n v="0"/>
    <n v="0"/>
    <n v="101"/>
    <s v="_x0000_US"/>
  </r>
  <r>
    <x v="0"/>
    <n v="13.6945"/>
    <n v="-89.183300000000003"/>
    <n v="11008.6"/>
    <n v="0"/>
    <n v="0"/>
    <n v="101"/>
    <s v="_x0000_US"/>
  </r>
  <r>
    <x v="0"/>
    <n v="13.6873"/>
    <n v="-89.213899999999995"/>
    <n v="11008.7"/>
    <n v="0"/>
    <n v="0"/>
    <n v="101"/>
    <s v="_x0000_US"/>
  </r>
  <r>
    <x v="0"/>
    <n v="13.6914"/>
    <n v="-89.232799999999997"/>
    <n v="11009"/>
    <n v="0"/>
    <n v="0"/>
    <n v="101"/>
    <s v="_x0000_US"/>
  </r>
  <r>
    <x v="0"/>
    <n v="13.690300000000001"/>
    <n v="-89.181299999999993"/>
    <n v="11009.3"/>
    <n v="0"/>
    <n v="0"/>
    <n v="101"/>
    <s v="_x0000_US"/>
  </r>
  <r>
    <x v="0"/>
    <n v="13.689399999999999"/>
    <n v="-89.196799999999996"/>
    <n v="11009.5"/>
    <n v="0"/>
    <n v="0"/>
    <n v="101"/>
    <s v="_x0000_US"/>
  </r>
  <r>
    <x v="0"/>
    <n v="13.689"/>
    <n v="-89.19"/>
    <n v="11010.8"/>
    <n v="0"/>
    <n v="0"/>
    <n v="101"/>
    <s v="_x0000_US"/>
  </r>
  <r>
    <x v="0"/>
    <n v="13.6912"/>
    <n v="-89.226699999999994"/>
    <n v="11011.1"/>
    <n v="0"/>
    <n v="0"/>
    <n v="101"/>
    <s v="_x0000_US"/>
  </r>
  <r>
    <x v="0"/>
    <n v="13.6907"/>
    <n v="-89.194299999999998"/>
    <n v="11011.6"/>
    <n v="0"/>
    <n v="0"/>
    <n v="101"/>
    <s v="_x0000_US"/>
  </r>
  <r>
    <x v="0"/>
    <n v="13.6915"/>
    <n v="-89.185299999999998"/>
    <n v="11011.6"/>
    <n v="0"/>
    <n v="0"/>
    <n v="101"/>
    <s v="_x0000_US"/>
  </r>
  <r>
    <x v="0"/>
    <n v="13.6873"/>
    <n v="-89.193899999999999"/>
    <n v="11011.8"/>
    <n v="0"/>
    <n v="0"/>
    <n v="101"/>
    <s v="_x0000_US"/>
  </r>
  <r>
    <x v="0"/>
    <n v="13.6881"/>
    <n v="-89.216499999999996"/>
    <n v="11011.8"/>
    <n v="0"/>
    <n v="0"/>
    <n v="101"/>
    <s v="_x0000_US"/>
  </r>
  <r>
    <x v="0"/>
    <n v="13.6905"/>
    <n v="-89.235100000000003"/>
    <n v="11012.7"/>
    <n v="0"/>
    <n v="0"/>
    <n v="101"/>
    <s v="_x0000_US"/>
  </r>
  <r>
    <x v="0"/>
    <n v="13.6907"/>
    <n v="-89.227699999999999"/>
    <n v="11012.7"/>
    <n v="0"/>
    <n v="0"/>
    <n v="101"/>
    <s v="_x0000_US"/>
  </r>
  <r>
    <x v="0"/>
    <n v="13.6882"/>
    <n v="-89.180199999999999"/>
    <n v="11014"/>
    <n v="0"/>
    <n v="0"/>
    <n v="101"/>
    <s v="_x0000_US"/>
  </r>
  <r>
    <x v="0"/>
    <n v="13.692299999999999"/>
    <n v="-89.186700000000002"/>
    <n v="11014.2"/>
    <n v="0"/>
    <n v="0"/>
    <n v="101"/>
    <s v="_x0000_US"/>
  </r>
  <r>
    <x v="0"/>
    <n v="13.69"/>
    <n v="-89.179900000000004"/>
    <n v="11014.5"/>
    <n v="0"/>
    <n v="0"/>
    <n v="101"/>
    <s v="_x0000_US"/>
  </r>
  <r>
    <x v="0"/>
    <n v="13.6799"/>
    <n v="-89.196700000000007"/>
    <n v="11014.5"/>
    <n v="0"/>
    <n v="0"/>
    <n v="101"/>
    <s v="_x0000_US"/>
  </r>
  <r>
    <x v="0"/>
    <n v="13.687900000000001"/>
    <n v="-89.181399999999996"/>
    <n v="11014.7"/>
    <n v="0"/>
    <n v="0"/>
    <n v="101"/>
    <s v="_x0000_US"/>
  </r>
  <r>
    <x v="0"/>
    <n v="13.691700000000001"/>
    <n v="-89.186000000000007"/>
    <n v="11015.1"/>
    <n v="0"/>
    <n v="0"/>
    <n v="101"/>
    <s v="_x0000_US"/>
  </r>
  <r>
    <x v="0"/>
    <n v="13.6937"/>
    <n v="-89.172799999999995"/>
    <n v="11015.1"/>
    <n v="0"/>
    <n v="0"/>
    <n v="101"/>
    <s v="_x0000_US"/>
  </r>
  <r>
    <x v="0"/>
    <n v="13.6876"/>
    <n v="-89.214500000000001"/>
    <n v="11015.5"/>
    <n v="0"/>
    <n v="0"/>
    <n v="101"/>
    <s v="_x0000_US"/>
  </r>
  <r>
    <x v="0"/>
    <n v="13.692500000000001"/>
    <n v="-89.184600000000003"/>
    <n v="11015.8"/>
    <n v="0"/>
    <n v="0"/>
    <n v="101"/>
    <s v="_x0000_US"/>
  </r>
  <r>
    <x v="0"/>
    <n v="13.688499999999999"/>
    <n v="-89.229699999999994"/>
    <n v="11016.3"/>
    <n v="0"/>
    <n v="0"/>
    <n v="101"/>
    <s v="_x0000_US"/>
  </r>
  <r>
    <x v="0"/>
    <n v="13.696999999999999"/>
    <n v="-89.171999999999997"/>
    <n v="11016.4"/>
    <n v="0"/>
    <n v="0"/>
    <n v="101"/>
    <s v="_x0000_US"/>
  </r>
  <r>
    <x v="0"/>
    <n v="13.6882"/>
    <n v="-89.180800000000005"/>
    <n v="11016.5"/>
    <n v="0"/>
    <n v="0"/>
    <n v="101"/>
    <s v="_x0000_US"/>
  </r>
  <r>
    <x v="0"/>
    <n v="13.6896"/>
    <n v="-89.177400000000006"/>
    <n v="11016.6"/>
    <n v="0"/>
    <n v="0"/>
    <n v="101"/>
    <s v="_x0000_US"/>
  </r>
  <r>
    <x v="0"/>
    <n v="13.6843"/>
    <n v="-89.2119"/>
    <n v="11016.7"/>
    <n v="0"/>
    <n v="0"/>
    <n v="101"/>
    <s v="_x0000_US"/>
  </r>
  <r>
    <x v="0"/>
    <n v="13.686"/>
    <n v="-89.204099999999997"/>
    <n v="11016.8"/>
    <n v="0"/>
    <n v="0"/>
    <n v="101"/>
    <s v="_x0000_US"/>
  </r>
  <r>
    <x v="0"/>
    <n v="13.6907"/>
    <n v="-89.195599999999999"/>
    <n v="11017.6"/>
    <n v="0"/>
    <n v="0"/>
    <n v="101"/>
    <s v="_x0000_US"/>
  </r>
  <r>
    <x v="0"/>
    <n v="13.684900000000001"/>
    <n v="-89.216700000000003"/>
    <n v="11018.2"/>
    <n v="0"/>
    <n v="0"/>
    <n v="101"/>
    <s v="_x0000_US"/>
  </r>
  <r>
    <x v="0"/>
    <n v="13.686299999999999"/>
    <n v="-89.193700000000007"/>
    <n v="11018.6"/>
    <n v="0"/>
    <n v="0"/>
    <n v="101"/>
    <s v="_x0000_US"/>
  </r>
  <r>
    <x v="0"/>
    <n v="13.6859"/>
    <n v="-89.202100000000002"/>
    <n v="11018.7"/>
    <n v="0"/>
    <n v="0"/>
    <n v="101"/>
    <s v="_x0000_US"/>
  </r>
  <r>
    <x v="0"/>
    <n v="13.691800000000001"/>
    <n v="-89.179299999999998"/>
    <n v="11018.9"/>
    <n v="0"/>
    <n v="0"/>
    <n v="101"/>
    <s v="_x0000_US"/>
  </r>
  <r>
    <x v="0"/>
    <n v="13.688499999999999"/>
    <n v="-89.1905"/>
    <n v="11019.2"/>
    <n v="0"/>
    <n v="0"/>
    <n v="101"/>
    <s v="_x0000_US"/>
  </r>
  <r>
    <x v="0"/>
    <n v="13.684699999999999"/>
    <n v="-89.203999999999994"/>
    <n v="11019.4"/>
    <n v="0"/>
    <n v="0"/>
    <n v="101"/>
    <s v="_x0000_US"/>
  </r>
  <r>
    <x v="0"/>
    <n v="13.690799999999999"/>
    <n v="-89.234800000000007"/>
    <n v="11019.6"/>
    <n v="0"/>
    <n v="0"/>
    <n v="101"/>
    <s v="_x0000_US"/>
  </r>
  <r>
    <x v="0"/>
    <n v="13.686299999999999"/>
    <n v="-89.193700000000007"/>
    <n v="11020.2"/>
    <n v="0"/>
    <n v="0"/>
    <n v="101"/>
    <s v="_x0000_US"/>
  </r>
  <r>
    <x v="0"/>
    <n v="13.6959"/>
    <n v="-89.172399999999996"/>
    <n v="11021.1"/>
    <n v="0"/>
    <n v="0"/>
    <n v="101"/>
    <s v="_x0000_US"/>
  </r>
  <r>
    <x v="0"/>
    <n v="13.686999999999999"/>
    <n v="-89.197400000000002"/>
    <n v="11021.3"/>
    <n v="0"/>
    <n v="0"/>
    <n v="101"/>
    <s v="_x0000_US"/>
  </r>
  <r>
    <x v="0"/>
    <n v="13.6945"/>
    <n v="-89.171700000000001"/>
    <n v="11021.4"/>
    <n v="0"/>
    <n v="0"/>
    <n v="101"/>
    <s v="_x0000_US"/>
  </r>
  <r>
    <x v="0"/>
    <n v="13.689299999999999"/>
    <n v="-89.180899999999994"/>
    <n v="11021.6"/>
    <n v="0"/>
    <n v="0"/>
    <n v="101"/>
    <s v="_x0000_US"/>
  </r>
  <r>
    <x v="0"/>
    <n v="13.6867"/>
    <n v="-89.215400000000002"/>
    <n v="11021.8"/>
    <n v="0"/>
    <n v="0"/>
    <n v="101"/>
    <s v="_x0000_US"/>
  </r>
  <r>
    <x v="0"/>
    <n v="13.691000000000001"/>
    <n v="-89.233400000000003"/>
    <n v="11021.9"/>
    <n v="0"/>
    <n v="0"/>
    <n v="101"/>
    <s v="_x0000_US"/>
  </r>
  <r>
    <x v="0"/>
    <n v="13.6851"/>
    <n v="-89.202399999999997"/>
    <n v="11022.3"/>
    <n v="0"/>
    <n v="0"/>
    <n v="101"/>
    <s v="_x0000_US"/>
  </r>
  <r>
    <x v="0"/>
    <n v="13.686999999999999"/>
    <n v="-89.197400000000002"/>
    <n v="11022.4"/>
    <n v="0"/>
    <n v="0"/>
    <n v="101"/>
    <s v="_x0000_US"/>
  </r>
  <r>
    <x v="0"/>
    <n v="13.687900000000001"/>
    <n v="-89.212699999999998"/>
    <n v="11022.4"/>
    <n v="0"/>
    <n v="0"/>
    <n v="101"/>
    <s v="_x0000_US"/>
  </r>
  <r>
    <x v="0"/>
    <n v="13.690799999999999"/>
    <n v="-89.197599999999994"/>
    <n v="11022.5"/>
    <n v="0"/>
    <n v="0"/>
    <n v="101"/>
    <s v="_x0000_US"/>
  </r>
  <r>
    <x v="0"/>
    <n v="13.694800000000001"/>
    <n v="-89.182900000000004"/>
    <n v="11022.6"/>
    <n v="0"/>
    <n v="0"/>
    <n v="101"/>
    <s v="_x0000_US"/>
  </r>
  <r>
    <x v="0"/>
    <n v="13.694000000000001"/>
    <n v="-89.174999999999997"/>
    <n v="11022.6"/>
    <n v="0"/>
    <n v="0"/>
    <n v="101"/>
    <s v="_x0000_US"/>
  </r>
  <r>
    <x v="0"/>
    <n v="13.6883"/>
    <n v="-89.229299999999995"/>
    <n v="11022.8"/>
    <n v="0"/>
    <n v="0"/>
    <n v="101"/>
    <s v="_x0000_US"/>
  </r>
  <r>
    <x v="0"/>
    <n v="13.692500000000001"/>
    <n v="-89.224999999999994"/>
    <n v="11023.4"/>
    <n v="0"/>
    <n v="0"/>
    <n v="101"/>
    <s v="_x0000_US"/>
  </r>
  <r>
    <x v="0"/>
    <n v="13.6899"/>
    <n v="-89.184600000000003"/>
    <n v="11023.9"/>
    <n v="0"/>
    <n v="0"/>
    <n v="101"/>
    <s v="_x0000_US"/>
  </r>
  <r>
    <x v="0"/>
    <n v="13.6915"/>
    <n v="-89.2286"/>
    <n v="11024.7"/>
    <n v="0"/>
    <n v="0"/>
    <n v="101"/>
    <s v="_x0000_US"/>
  </r>
  <r>
    <x v="0"/>
    <n v="13.6898"/>
    <n v="-89.189499999999995"/>
    <n v="11024.9"/>
    <n v="0"/>
    <n v="0"/>
    <n v="101"/>
    <s v="_x0000_US"/>
  </r>
  <r>
    <x v="0"/>
    <n v="13.6892"/>
    <n v="-89.236099999999993"/>
    <n v="11025.7"/>
    <n v="0"/>
    <n v="0"/>
    <n v="101"/>
    <s v="_x0000_US"/>
  </r>
  <r>
    <x v="0"/>
    <n v="13.6912"/>
    <n v="-89.232900000000001"/>
    <n v="11026.4"/>
    <n v="0"/>
    <n v="0"/>
    <n v="101"/>
    <s v="_x0000_US"/>
  </r>
  <r>
    <x v="0"/>
    <n v="13.6877"/>
    <n v="-89.180700000000002"/>
    <n v="11026.8"/>
    <n v="0"/>
    <n v="0"/>
    <n v="101"/>
    <s v="_x0000_US"/>
  </r>
  <r>
    <x v="0"/>
    <n v="13.6869"/>
    <n v="-89.197400000000002"/>
    <n v="11027.1"/>
    <n v="0"/>
    <n v="0"/>
    <n v="101"/>
    <s v="_x0000_US"/>
  </r>
  <r>
    <x v="0"/>
    <n v="13.6874"/>
    <n v="-89.194299999999998"/>
    <n v="11027.3"/>
    <n v="0"/>
    <n v="0"/>
    <n v="101"/>
    <s v="_x0000_US"/>
  </r>
  <r>
    <x v="0"/>
    <n v="13.690799999999999"/>
    <n v="-89.194400000000002"/>
    <n v="11027.6"/>
    <n v="0"/>
    <n v="0"/>
    <n v="101"/>
    <s v="_x0000_US"/>
  </r>
  <r>
    <x v="0"/>
    <n v="13.6875"/>
    <n v="-89.215900000000005"/>
    <n v="11027.7"/>
    <n v="0"/>
    <n v="0"/>
    <n v="101"/>
    <s v="_x0000_US"/>
  </r>
  <r>
    <x v="0"/>
    <n v="13.69"/>
    <n v="-89.217399999999998"/>
    <n v="11027.9"/>
    <n v="0"/>
    <n v="0"/>
    <n v="101"/>
    <s v="_x0000_US"/>
  </r>
  <r>
    <x v="0"/>
    <n v="13.6874"/>
    <n v="-89.194400000000002"/>
    <n v="11028.2"/>
    <n v="0"/>
    <n v="0"/>
    <n v="101"/>
    <s v="_x0000_US"/>
  </r>
  <r>
    <x v="0"/>
    <n v="13.6913"/>
    <n v="-89.233000000000004"/>
    <n v="11028.3"/>
    <n v="0"/>
    <n v="0"/>
    <n v="101"/>
    <s v="_x0000_US"/>
  </r>
  <r>
    <x v="0"/>
    <n v="13.6892"/>
    <n v="-89.228999999999999"/>
    <n v="11028.4"/>
    <n v="0"/>
    <n v="0"/>
    <n v="101"/>
    <s v="_x0000_US"/>
  </r>
  <r>
    <x v="0"/>
    <n v="13.6876"/>
    <n v="-89.214500000000001"/>
    <n v="11028.5"/>
    <n v="0"/>
    <n v="0"/>
    <n v="101"/>
    <s v="_x0000_US"/>
  </r>
  <r>
    <x v="0"/>
    <n v="13.6927"/>
    <n v="-89.225899999999996"/>
    <n v="11029"/>
    <n v="0"/>
    <n v="0"/>
    <n v="101"/>
    <s v="_x0000_US"/>
  </r>
  <r>
    <x v="0"/>
    <n v="13.6881"/>
    <n v="-89.18"/>
    <n v="11030"/>
    <n v="0"/>
    <n v="0"/>
    <n v="101"/>
    <s v="_x0000_US"/>
  </r>
  <r>
    <x v="0"/>
    <n v="13.6975"/>
    <n v="-89.171199999999999"/>
    <n v="11030.1"/>
    <n v="0"/>
    <n v="0"/>
    <n v="101"/>
    <s v="_x0000_US"/>
  </r>
  <r>
    <x v="0"/>
    <n v="13.69"/>
    <n v="-89.186899999999994"/>
    <n v="11030.4"/>
    <n v="0"/>
    <n v="0"/>
    <n v="101"/>
    <s v="_x0000_US"/>
  </r>
  <r>
    <x v="0"/>
    <n v="13.6912"/>
    <n v="-89.219300000000004"/>
    <n v="11030.5"/>
    <n v="0"/>
    <n v="0"/>
    <n v="101"/>
    <s v="_x0000_US"/>
  </r>
  <r>
    <x v="0"/>
    <n v="13.691800000000001"/>
    <n v="-89.195999999999998"/>
    <n v="11030.6"/>
    <n v="0"/>
    <n v="0"/>
    <n v="101"/>
    <s v="_x0000_US"/>
  </r>
  <r>
    <x v="0"/>
    <n v="13.6937"/>
    <n v="-89.1768"/>
    <n v="11030.6"/>
    <n v="0"/>
    <n v="0"/>
    <n v="101"/>
    <s v="_x0000_US"/>
  </r>
  <r>
    <x v="0"/>
    <n v="13.6737"/>
    <n v="-89.203000000000003"/>
    <n v="11031.8"/>
    <n v="0"/>
    <n v="0"/>
    <n v="101"/>
    <s v="_x0000_US"/>
  </r>
  <r>
    <x v="0"/>
    <n v="13.6913"/>
    <n v="-89.228999999999999"/>
    <n v="11032.2"/>
    <n v="0"/>
    <n v="0"/>
    <n v="101"/>
    <s v="_x0000_US"/>
  </r>
  <r>
    <x v="0"/>
    <n v="13.6905"/>
    <n v="-89.235200000000006"/>
    <n v="11033.9"/>
    <n v="0"/>
    <n v="0"/>
    <n v="101"/>
    <s v="_x0000_US"/>
  </r>
  <r>
    <x v="0"/>
    <n v="13.6889"/>
    <n v="-89.229100000000003"/>
    <n v="11033.9"/>
    <n v="0"/>
    <n v="0"/>
    <n v="101"/>
    <s v="_x0000_US"/>
  </r>
  <r>
    <x v="0"/>
    <n v="13.689399999999999"/>
    <n v="-89.207499999999996"/>
    <n v="11034"/>
    <n v="0"/>
    <n v="0"/>
    <n v="101"/>
    <s v="_x0000_US"/>
  </r>
  <r>
    <x v="0"/>
    <n v="13.692"/>
    <n v="-89.179000000000002"/>
    <n v="11034.1"/>
    <n v="0"/>
    <n v="0"/>
    <n v="101"/>
    <s v="_x0000_US"/>
  </r>
  <r>
    <x v="0"/>
    <n v="13.6935"/>
    <n v="-89.176299999999998"/>
    <n v="11034.3"/>
    <n v="0"/>
    <n v="0"/>
    <n v="101"/>
    <s v="_x0000_US"/>
  </r>
  <r>
    <x v="0"/>
    <n v="13.686999999999999"/>
    <n v="-89.212900000000005"/>
    <n v="11034.5"/>
    <n v="0"/>
    <n v="0"/>
    <n v="101"/>
    <s v="_x0000_US"/>
  </r>
  <r>
    <x v="0"/>
    <n v="13.6861"/>
    <n v="-89.213499999999996"/>
    <n v="11034.7"/>
    <n v="0"/>
    <n v="0"/>
    <n v="101"/>
    <s v="_x0000_US"/>
  </r>
  <r>
    <x v="0"/>
    <n v="13.6938"/>
    <n v="-89.176500000000004"/>
    <n v="11035"/>
    <n v="0"/>
    <n v="0"/>
    <n v="101"/>
    <s v="_x0000_US"/>
  </r>
  <r>
    <x v="0"/>
    <n v="13.680999999999999"/>
    <n v="-89.197900000000004"/>
    <n v="11036.5"/>
    <n v="0"/>
    <n v="0"/>
    <n v="101"/>
    <s v="_x0000_US"/>
  </r>
  <r>
    <x v="0"/>
    <n v="13.686400000000001"/>
    <n v="-89.213999999999999"/>
    <n v="11037.4"/>
    <n v="0"/>
    <n v="0"/>
    <n v="101"/>
    <s v="_x0000_US"/>
  </r>
  <r>
    <x v="0"/>
    <n v="13.6875"/>
    <n v="-89.194800000000001"/>
    <n v="11038.1"/>
    <n v="0"/>
    <n v="0"/>
    <n v="101"/>
    <s v="_x0000_US"/>
  </r>
  <r>
    <x v="0"/>
    <n v="13.6914"/>
    <n v="-89.22"/>
    <n v="11038.2"/>
    <n v="0"/>
    <n v="0"/>
    <n v="101"/>
    <s v="_x0000_US"/>
  </r>
  <r>
    <x v="0"/>
    <n v="13.6919"/>
    <n v="-89.18"/>
    <n v="11039"/>
    <n v="0"/>
    <n v="0"/>
    <n v="101"/>
    <s v="_x0000_US"/>
  </r>
  <r>
    <x v="0"/>
    <n v="13.674200000000001"/>
    <n v="-89.251999999999995"/>
    <n v="11040"/>
    <n v="0"/>
    <n v="0"/>
    <n v="101"/>
    <s v="_x0000_US"/>
  </r>
  <r>
    <x v="0"/>
    <n v="13.690300000000001"/>
    <n v="-89.217500000000001"/>
    <n v="11040.4"/>
    <n v="0"/>
    <n v="0"/>
    <n v="101"/>
    <s v="_x0000_US"/>
  </r>
  <r>
    <x v="0"/>
    <n v="13.695399999999999"/>
    <n v="-89.174499999999995"/>
    <n v="11040.5"/>
    <n v="0"/>
    <n v="0"/>
    <n v="101"/>
    <s v="_x0000_US"/>
  </r>
  <r>
    <x v="0"/>
    <n v="13.6731"/>
    <n v="-89.204599999999999"/>
    <n v="11041.9"/>
    <n v="0"/>
    <n v="0"/>
    <n v="101"/>
    <s v="_x0000_US"/>
  </r>
  <r>
    <x v="0"/>
    <n v="13.6852"/>
    <n v="-89.203000000000003"/>
    <n v="11042.1"/>
    <n v="0"/>
    <n v="0"/>
    <n v="101"/>
    <s v="_x0000_US"/>
  </r>
  <r>
    <x v="0"/>
    <n v="13.696"/>
    <n v="-89.173100000000005"/>
    <n v="11042.5"/>
    <n v="0"/>
    <n v="0"/>
    <n v="101"/>
    <s v="_x0000_US"/>
  </r>
  <r>
    <x v="0"/>
    <n v="13.691000000000001"/>
    <n v="-89.229900000000001"/>
    <n v="11042.6"/>
    <n v="0"/>
    <n v="0"/>
    <n v="101"/>
    <s v="_x0000_US"/>
  </r>
  <r>
    <x v="0"/>
    <n v="13.6877"/>
    <n v="-89.216800000000006"/>
    <n v="11042.7"/>
    <n v="0"/>
    <n v="0"/>
    <n v="101"/>
    <s v="_x0000_US"/>
  </r>
  <r>
    <x v="0"/>
    <n v="13.690099999999999"/>
    <n v="-89.181600000000003"/>
    <n v="11042.8"/>
    <n v="0"/>
    <n v="0"/>
    <n v="101"/>
    <s v="_x0000_US"/>
  </r>
  <r>
    <x v="0"/>
    <n v="13.6896"/>
    <n v="-89.205500000000001"/>
    <n v="11042.9"/>
    <n v="0"/>
    <n v="0"/>
    <n v="101"/>
    <s v="_x0000_US"/>
  </r>
  <r>
    <x v="0"/>
    <n v="13.694699999999999"/>
    <n v="-89.172799999999995"/>
    <n v="11043.3"/>
    <n v="0"/>
    <n v="0"/>
    <n v="101"/>
    <s v="_x0000_US"/>
  </r>
  <r>
    <x v="0"/>
    <n v="13.6958"/>
    <n v="-89.173100000000005"/>
    <n v="11044.3"/>
    <n v="0"/>
    <n v="0"/>
    <n v="101"/>
    <s v="_x0000_US"/>
  </r>
  <r>
    <x v="0"/>
    <n v="13.6905"/>
    <n v="-89.183099999999996"/>
    <n v="11044.9"/>
    <n v="0"/>
    <n v="0"/>
    <n v="101"/>
    <s v="_x0000_US"/>
  </r>
  <r>
    <x v="0"/>
    <n v="13.691000000000001"/>
    <n v="-89.1815"/>
    <n v="11045.1"/>
    <n v="0"/>
    <n v="0"/>
    <n v="101"/>
    <s v="_x0000_US"/>
  </r>
  <r>
    <x v="0"/>
    <n v="13.6936"/>
    <n v="-89.176599999999993"/>
    <n v="11045.4"/>
    <n v="0"/>
    <n v="0"/>
    <n v="101"/>
    <s v="_x0000_US"/>
  </r>
  <r>
    <x v="0"/>
    <n v="13.6967"/>
    <n v="-89.171400000000006"/>
    <n v="11045.5"/>
    <n v="0"/>
    <n v="0"/>
    <n v="101"/>
    <s v="_x0000_US"/>
  </r>
  <r>
    <x v="0"/>
    <n v="13.6935"/>
    <n v="-89.190700000000007"/>
    <n v="11046"/>
    <n v="0"/>
    <n v="0"/>
    <n v="101"/>
    <s v="_x0000_US"/>
  </r>
  <r>
    <x v="0"/>
    <n v="13.6784"/>
    <n v="-89.196399999999997"/>
    <n v="11046.8"/>
    <n v="0"/>
    <n v="0"/>
    <n v="101"/>
    <s v="_x0000_US"/>
  </r>
  <r>
    <x v="0"/>
    <n v="13.689399999999999"/>
    <n v="-89.177899999999994"/>
    <n v="11047.3"/>
    <n v="0"/>
    <n v="0"/>
    <n v="101"/>
    <s v="_x0000_US"/>
  </r>
  <r>
    <x v="0"/>
    <n v="13.6922"/>
    <n v="-89.194500000000005"/>
    <n v="11047.4"/>
    <n v="0"/>
    <n v="0"/>
    <n v="101"/>
    <s v="_x0000_US"/>
  </r>
  <r>
    <x v="0"/>
    <n v="13.690300000000001"/>
    <n v="-89.186800000000005"/>
    <n v="11047.7"/>
    <n v="0"/>
    <n v="0"/>
    <n v="101"/>
    <s v="_x0000_US"/>
  </r>
  <r>
    <x v="0"/>
    <n v="13.688800000000001"/>
    <n v="-89.190399999999997"/>
    <n v="11047.9"/>
    <n v="0"/>
    <n v="0"/>
    <n v="101"/>
    <s v="_x0000_US"/>
  </r>
  <r>
    <x v="0"/>
    <n v="13.6869"/>
    <n v="-89.194299999999998"/>
    <n v="11047.9"/>
    <n v="0"/>
    <n v="0"/>
    <n v="101"/>
    <s v="_x0000_US"/>
  </r>
  <r>
    <x v="0"/>
    <n v="13.6958"/>
    <n v="-89.172300000000007"/>
    <n v="11048"/>
    <n v="0"/>
    <n v="0"/>
    <n v="101"/>
    <s v="_x0000_US"/>
  </r>
  <r>
    <x v="0"/>
    <n v="13.686400000000001"/>
    <n v="-89.215000000000003"/>
    <n v="11048.6"/>
    <n v="0"/>
    <n v="0"/>
    <n v="101"/>
    <s v="_x0000_US"/>
  </r>
  <r>
    <x v="0"/>
    <n v="13.6899"/>
    <n v="-89.197400000000002"/>
    <n v="11048.7"/>
    <n v="0"/>
    <n v="0"/>
    <n v="101"/>
    <s v="_x0000_US"/>
  </r>
  <r>
    <x v="0"/>
    <n v="13.691800000000001"/>
    <n v="-89.227699999999999"/>
    <n v="11049.8"/>
    <n v="0"/>
    <n v="0"/>
    <n v="101"/>
    <s v="_x0000_US"/>
  </r>
  <r>
    <x v="0"/>
    <n v="13.684900000000001"/>
    <n v="-89.203199999999995"/>
    <n v="11049.9"/>
    <n v="0"/>
    <n v="0"/>
    <n v="101"/>
    <s v="_x0000_US"/>
  </r>
  <r>
    <x v="0"/>
    <n v="13.6868"/>
    <n v="-89.181799999999996"/>
    <n v="11050"/>
    <n v="0"/>
    <n v="0"/>
    <n v="101"/>
    <s v="_x0000_US"/>
  </r>
  <r>
    <x v="0"/>
    <n v="13.689299999999999"/>
    <n v="-89.236000000000004"/>
    <n v="11050.1"/>
    <n v="0"/>
    <n v="0"/>
    <n v="101"/>
    <s v="_x0000_US"/>
  </r>
  <r>
    <x v="0"/>
    <n v="13.691000000000001"/>
    <n v="-89.188699999999997"/>
    <n v="11050.3"/>
    <n v="0"/>
    <n v="0"/>
    <n v="101"/>
    <s v="_x0000_US"/>
  </r>
  <r>
    <x v="0"/>
    <n v="13.689299999999999"/>
    <n v="-89.184600000000003"/>
    <n v="11050.4"/>
    <n v="0"/>
    <n v="0"/>
    <n v="101"/>
    <s v="_x0000_US"/>
  </r>
  <r>
    <x v="0"/>
    <n v="13.687200000000001"/>
    <n v="-89.211699999999993"/>
    <n v="11050.5"/>
    <n v="0"/>
    <n v="0"/>
    <n v="101"/>
    <s v="_x0000_US"/>
  </r>
  <r>
    <x v="0"/>
    <n v="13.6927"/>
    <n v="-89.224500000000006"/>
    <n v="11050.7"/>
    <n v="0"/>
    <n v="0"/>
    <n v="101"/>
    <s v="_x0000_US"/>
  </r>
  <r>
    <x v="0"/>
    <n v="13.69"/>
    <n v="-89.189700000000002"/>
    <n v="11050.9"/>
    <n v="0"/>
    <n v="0"/>
    <n v="101"/>
    <s v="_x0000_US"/>
  </r>
  <r>
    <x v="0"/>
    <n v="13.6912"/>
    <n v="-89.188999999999993"/>
    <n v="11051"/>
    <n v="0"/>
    <n v="0"/>
    <n v="101"/>
    <s v="_x0000_US"/>
  </r>
  <r>
    <x v="0"/>
    <n v="13.691599999999999"/>
    <n v="-89.227099999999993"/>
    <n v="11051"/>
    <n v="0"/>
    <n v="0"/>
    <n v="101"/>
    <s v="_x0000_US"/>
  </r>
  <r>
    <x v="0"/>
    <n v="13.688800000000001"/>
    <n v="-89.229600000000005"/>
    <n v="11051.1"/>
    <n v="0"/>
    <n v="0"/>
    <n v="101"/>
    <s v="_x0000_US"/>
  </r>
  <r>
    <x v="0"/>
    <n v="13.6868"/>
    <n v="-89.183400000000006"/>
    <n v="11051.2"/>
    <n v="0"/>
    <n v="0"/>
    <n v="101"/>
    <s v="_x0000_US"/>
  </r>
  <r>
    <x v="0"/>
    <n v="13.692399999999999"/>
    <n v="-89.175399999999996"/>
    <n v="11051.4"/>
    <n v="0"/>
    <n v="0"/>
    <n v="101"/>
    <s v="_x0000_US"/>
  </r>
  <r>
    <x v="0"/>
    <n v="13.6755"/>
    <n v="-89.202399999999997"/>
    <n v="11051.5"/>
    <n v="0"/>
    <n v="0"/>
    <n v="101"/>
    <s v="_x0000_US"/>
  </r>
  <r>
    <x v="0"/>
    <n v="13.693199999999999"/>
    <n v="-89.178399999999996"/>
    <n v="11052"/>
    <n v="0"/>
    <n v="0"/>
    <n v="101"/>
    <s v="_x0000_US"/>
  </r>
  <r>
    <x v="0"/>
    <n v="13.684799999999999"/>
    <n v="-89.213700000000003"/>
    <n v="11052.4"/>
    <n v="0"/>
    <n v="0"/>
    <n v="101"/>
    <s v="_x0000_US"/>
  </r>
  <r>
    <x v="0"/>
    <n v="13.6906"/>
    <n v="-89.227699999999999"/>
    <n v="11053.5"/>
    <n v="0"/>
    <n v="0"/>
    <n v="101"/>
    <s v="_x0000_US"/>
  </r>
  <r>
    <x v="0"/>
    <n v="13.6934"/>
    <n v="-89.176199999999994"/>
    <n v="11055"/>
    <n v="0"/>
    <n v="0"/>
    <n v="101"/>
    <s v="_x0000_US"/>
  </r>
  <r>
    <x v="0"/>
    <n v="13.6944"/>
    <n v="-89.185400000000001"/>
    <n v="11055.3"/>
    <n v="0"/>
    <n v="0"/>
    <n v="101"/>
    <s v="_x0000_US"/>
  </r>
  <r>
    <x v="0"/>
    <n v="13.691000000000001"/>
    <n v="-89.186800000000005"/>
    <n v="11055.6"/>
    <n v="0"/>
    <n v="0"/>
    <n v="101"/>
    <s v="_x0000_US"/>
  </r>
  <r>
    <x v="0"/>
    <n v="13.6881"/>
    <n v="-89.189899999999994"/>
    <n v="11056.1"/>
    <n v="0"/>
    <n v="0"/>
    <n v="101"/>
    <s v="_x0000_US"/>
  </r>
  <r>
    <x v="0"/>
    <n v="13.6907"/>
    <n v="-89.234999999999999"/>
    <n v="11056.1"/>
    <n v="0"/>
    <n v="0"/>
    <n v="101"/>
    <s v="_x0000_US"/>
  </r>
  <r>
    <x v="0"/>
    <n v="13.6883"/>
    <n v="-89.193799999999996"/>
    <n v="11056.7"/>
    <n v="0"/>
    <n v="0"/>
    <n v="101"/>
    <s v="_x0000_US"/>
  </r>
  <r>
    <x v="0"/>
    <n v="13.690200000000001"/>
    <n v="-89.183400000000006"/>
    <n v="11057"/>
    <n v="0"/>
    <n v="0"/>
    <n v="101"/>
    <s v="_x0000_US"/>
  </r>
  <r>
    <x v="0"/>
    <n v="13.674899999999999"/>
    <n v="-89.1995"/>
    <n v="11057.5"/>
    <n v="0"/>
    <n v="0"/>
    <n v="101"/>
    <s v="_x0000_US"/>
  </r>
  <r>
    <x v="0"/>
    <n v="13.690899999999999"/>
    <n v="-89.234800000000007"/>
    <n v="11057.9"/>
    <n v="0"/>
    <n v="0"/>
    <n v="101"/>
    <s v="_x0000_US"/>
  </r>
  <r>
    <x v="0"/>
    <n v="13.6877"/>
    <n v="-89.2042"/>
    <n v="11058.1"/>
    <n v="0"/>
    <n v="0"/>
    <n v="101"/>
    <s v="_x0000_US"/>
  </r>
  <r>
    <x v="0"/>
    <n v="13.694599999999999"/>
    <n v="-89.175200000000004"/>
    <n v="11058.1"/>
    <n v="0"/>
    <n v="0"/>
    <n v="101"/>
    <s v="_x0000_US"/>
  </r>
  <r>
    <x v="0"/>
    <n v="13.6883"/>
    <n v="-89.2166"/>
    <n v="11058.3"/>
    <n v="0"/>
    <n v="0"/>
    <n v="101"/>
    <s v="_x0000_US"/>
  </r>
  <r>
    <x v="0"/>
    <n v="13.6845"/>
    <n v="-89.211399999999998"/>
    <n v="11058.3"/>
    <n v="0"/>
    <n v="0"/>
    <n v="101"/>
    <s v="_x0000_US"/>
  </r>
  <r>
    <x v="0"/>
    <n v="13.6874"/>
    <n v="-89.183199999999999"/>
    <n v="11058.5"/>
    <n v="0"/>
    <n v="0"/>
    <n v="101"/>
    <s v="_x0000_US"/>
  </r>
  <r>
    <x v="0"/>
    <n v="13.6922"/>
    <n v="-89.225200000000001"/>
    <n v="11058.5"/>
    <n v="0"/>
    <n v="0"/>
    <n v="101"/>
    <s v="_x0000_US"/>
  </r>
  <r>
    <x v="0"/>
    <n v="13.687200000000001"/>
    <n v="-89.182100000000005"/>
    <n v="11059.8"/>
    <n v="0"/>
    <n v="0"/>
    <n v="101"/>
    <s v="_x0000_US"/>
  </r>
  <r>
    <x v="0"/>
    <n v="13.6911"/>
    <n v="-89.219899999999996"/>
    <n v="11059.8"/>
    <n v="0"/>
    <n v="0"/>
    <n v="101"/>
    <s v="_x0000_US"/>
  </r>
  <r>
    <x v="0"/>
    <n v="13.686400000000001"/>
    <n v="-89.215299999999999"/>
    <n v="11060.9"/>
    <n v="0"/>
    <n v="0"/>
    <n v="101"/>
    <s v="_x0000_US"/>
  </r>
  <r>
    <x v="0"/>
    <n v="13.694800000000001"/>
    <n v="-89.171800000000005"/>
    <n v="11061.2"/>
    <n v="0"/>
    <n v="0"/>
    <n v="101"/>
    <s v="_x0000_US"/>
  </r>
  <r>
    <x v="0"/>
    <n v="13.6881"/>
    <n v="-89.182400000000001"/>
    <n v="11061.6"/>
    <n v="0"/>
    <n v="0"/>
    <n v="101"/>
    <s v="_x0000_US"/>
  </r>
  <r>
    <x v="0"/>
    <n v="13.6973"/>
    <n v="-89.171000000000006"/>
    <n v="11061.6"/>
    <n v="0"/>
    <n v="0"/>
    <n v="101"/>
    <s v="_x0000_US"/>
  </r>
  <r>
    <x v="0"/>
    <n v="13.696899999999999"/>
    <n v="-89.171400000000006"/>
    <n v="11062.9"/>
    <n v="0"/>
    <n v="0"/>
    <n v="101"/>
    <s v="_x0000_US"/>
  </r>
  <r>
    <x v="0"/>
    <n v="13.687200000000001"/>
    <n v="-89.191400000000002"/>
    <n v="11063.2"/>
    <n v="0"/>
    <n v="0"/>
    <n v="101"/>
    <s v="_x0000_US"/>
  </r>
  <r>
    <x v="0"/>
    <n v="13.694599999999999"/>
    <n v="-89.174599999999998"/>
    <n v="11063.3"/>
    <n v="0"/>
    <n v="0"/>
    <n v="101"/>
    <s v="_x0000_US"/>
  </r>
  <r>
    <x v="0"/>
    <n v="13.692399999999999"/>
    <n v="-89.175399999999996"/>
    <n v="11063.3"/>
    <n v="0"/>
    <n v="0"/>
    <n v="101"/>
    <s v="_x0000_US"/>
  </r>
  <r>
    <x v="0"/>
    <n v="13.6928"/>
    <n v="-89.2256"/>
    <n v="11063.5"/>
    <n v="0"/>
    <n v="0"/>
    <n v="101"/>
    <s v="_x0000_US"/>
  </r>
  <r>
    <x v="0"/>
    <n v="13.6906"/>
    <n v="-89.232799999999997"/>
    <n v="11063.6"/>
    <n v="0"/>
    <n v="0"/>
    <n v="101"/>
    <s v="_x0000_US"/>
  </r>
  <r>
    <x v="0"/>
    <n v="13.6953"/>
    <n v="-89.174199999999999"/>
    <n v="11064.1"/>
    <n v="0"/>
    <n v="0"/>
    <n v="101"/>
    <s v="_x0000_US"/>
  </r>
  <r>
    <x v="0"/>
    <n v="13.6883"/>
    <n v="-89.215699999999998"/>
    <n v="11065.2"/>
    <n v="0"/>
    <n v="0"/>
    <n v="101"/>
    <s v="_x0000_US"/>
  </r>
  <r>
    <x v="0"/>
    <n v="13.6896"/>
    <n v="-89.18"/>
    <n v="11065.3"/>
    <n v="0"/>
    <n v="0"/>
    <n v="101"/>
    <s v="_x0000_US"/>
  </r>
  <r>
    <x v="0"/>
    <n v="13.6976"/>
    <n v="-89.171000000000006"/>
    <n v="11066"/>
    <n v="0"/>
    <n v="0"/>
    <n v="101"/>
    <s v="_x0000_US"/>
  </r>
  <r>
    <x v="0"/>
    <n v="13.6899"/>
    <n v="-89.193899999999999"/>
    <n v="11066.4"/>
    <n v="0"/>
    <n v="0"/>
    <n v="101"/>
    <s v="_x0000_US"/>
  </r>
  <r>
    <x v="0"/>
    <n v="13.693199999999999"/>
    <n v="-89.176500000000004"/>
    <n v="11067.1"/>
    <n v="0"/>
    <n v="0"/>
    <n v="101"/>
    <s v="_x0000_US"/>
  </r>
  <r>
    <x v="0"/>
    <n v="13.6919"/>
    <n v="-89.221199999999996"/>
    <n v="11067.3"/>
    <n v="0"/>
    <n v="0"/>
    <n v="101"/>
    <s v="_x0000_US"/>
  </r>
  <r>
    <x v="0"/>
    <n v="13.694800000000001"/>
    <n v="-89.175200000000004"/>
    <n v="11067.4"/>
    <n v="0"/>
    <n v="0"/>
    <n v="101"/>
    <s v="_x0000_US"/>
  </r>
  <r>
    <x v="0"/>
    <n v="13.685499999999999"/>
    <n v="-89.212599999999995"/>
    <n v="11067.6"/>
    <n v="0"/>
    <n v="0"/>
    <n v="101"/>
    <s v="_x0000_US"/>
  </r>
  <r>
    <x v="0"/>
    <n v="13.6975"/>
    <n v="-89.171300000000002"/>
    <n v="11067.9"/>
    <n v="0"/>
    <n v="0"/>
    <n v="101"/>
    <s v="_x0000_US"/>
  </r>
  <r>
    <x v="0"/>
    <n v="13.6952"/>
    <n v="-89.174999999999997"/>
    <n v="11068.1"/>
    <n v="0"/>
    <n v="0"/>
    <n v="101"/>
    <s v="_x0000_US"/>
  </r>
  <r>
    <x v="0"/>
    <n v="13.6913"/>
    <n v="-89.228999999999999"/>
    <n v="11068.4"/>
    <n v="0"/>
    <n v="0"/>
    <n v="101"/>
    <s v="_x0000_US"/>
  </r>
  <r>
    <x v="0"/>
    <n v="13.693300000000001"/>
    <n v="-89.188800000000001"/>
    <n v="11069.1"/>
    <n v="0"/>
    <n v="0"/>
    <n v="101"/>
    <s v="_x0000_US"/>
  </r>
  <r>
    <x v="0"/>
    <n v="13.6942"/>
    <n v="-89.172700000000006"/>
    <n v="11069.2"/>
    <n v="0"/>
    <n v="0"/>
    <n v="101"/>
    <s v="_x0000_US"/>
  </r>
  <r>
    <x v="0"/>
    <n v="13.688800000000001"/>
    <n v="-89.207099999999997"/>
    <n v="11070.2"/>
    <n v="0"/>
    <n v="0"/>
    <n v="101"/>
    <s v="_x0000_US"/>
  </r>
  <r>
    <x v="0"/>
    <n v="13.691800000000001"/>
    <n v="-89.183899999999994"/>
    <n v="11070.5"/>
    <n v="0"/>
    <n v="0"/>
    <n v="101"/>
    <s v="_x0000_US"/>
  </r>
  <r>
    <x v="0"/>
    <n v="13.6905"/>
    <n v="-89.177599999999998"/>
    <n v="11070.5"/>
    <n v="0"/>
    <n v="0"/>
    <n v="101"/>
    <s v="_x0000_US"/>
  </r>
  <r>
    <x v="0"/>
    <n v="13.6881"/>
    <n v="-89.194400000000002"/>
    <n v="11070.6"/>
    <n v="0"/>
    <n v="0"/>
    <n v="101"/>
    <s v="_x0000_US"/>
  </r>
  <r>
    <x v="0"/>
    <n v="13.679500000000001"/>
    <n v="-89.197299999999998"/>
    <n v="11070.6"/>
    <n v="0"/>
    <n v="0"/>
    <n v="101"/>
    <s v="_x0000_US"/>
  </r>
  <r>
    <x v="0"/>
    <n v="13.6915"/>
    <n v="-89.225899999999996"/>
    <n v="11071.1"/>
    <n v="0"/>
    <n v="0"/>
    <n v="101"/>
    <s v="_x0000_US"/>
  </r>
  <r>
    <x v="0"/>
    <n v="13.6914"/>
    <n v="-89.225800000000007"/>
    <n v="11071.7"/>
    <n v="0"/>
    <n v="0"/>
    <n v="101"/>
    <s v="_x0000_US"/>
  </r>
  <r>
    <x v="0"/>
    <n v="13.690899999999999"/>
    <n v="-89.2316"/>
    <n v="11073.2"/>
    <n v="0"/>
    <n v="0"/>
    <n v="101"/>
    <s v="_x0000_US"/>
  </r>
  <r>
    <x v="0"/>
    <n v="13.688599999999999"/>
    <n v="-89.181700000000006"/>
    <n v="11073.4"/>
    <n v="0"/>
    <n v="0"/>
    <n v="101"/>
    <s v="_x0000_US"/>
  </r>
  <r>
    <x v="0"/>
    <n v="13.6736"/>
    <n v="-89.251199999999997"/>
    <n v="11074.2"/>
    <n v="0"/>
    <n v="0"/>
    <n v="101"/>
    <s v="_x0000_US"/>
  </r>
  <r>
    <x v="0"/>
    <n v="13.6751"/>
    <n v="-89.200199999999995"/>
    <n v="11074.5"/>
    <n v="0"/>
    <n v="0"/>
    <n v="101"/>
    <s v="_x0000_US"/>
  </r>
  <r>
    <x v="0"/>
    <n v="13.6958"/>
    <n v="-89.173100000000005"/>
    <n v="11075.9"/>
    <n v="0"/>
    <n v="0"/>
    <n v="101"/>
    <s v="_x0000_US"/>
  </r>
  <r>
    <x v="0"/>
    <n v="13.674799999999999"/>
    <n v="-89.249700000000004"/>
    <n v="11076.6"/>
    <n v="0"/>
    <n v="0"/>
    <n v="101"/>
    <s v="_x0000_US"/>
  </r>
  <r>
    <x v="0"/>
    <n v="13.6875"/>
    <n v="-89.195099999999996"/>
    <n v="11076.9"/>
    <n v="0"/>
    <n v="0"/>
    <n v="101"/>
    <s v="_x0000_US"/>
  </r>
  <r>
    <x v="0"/>
    <n v="13.690799999999999"/>
    <n v="-89.2346"/>
    <n v="11077.6"/>
    <n v="0"/>
    <n v="0"/>
    <n v="101"/>
    <s v="_x0000_US"/>
  </r>
  <r>
    <x v="0"/>
    <n v="13.6877"/>
    <n v="-89.180400000000006"/>
    <n v="11078.2"/>
    <n v="0"/>
    <n v="0"/>
    <n v="101"/>
    <s v="_x0000_US"/>
  </r>
  <r>
    <x v="0"/>
    <n v="13.693300000000001"/>
    <n v="-89.183000000000007"/>
    <n v="11078.6"/>
    <n v="0"/>
    <n v="0"/>
    <n v="101"/>
    <s v="_x0000_US"/>
  </r>
  <r>
    <x v="0"/>
    <n v="13.6907"/>
    <n v="-89.179199999999994"/>
    <n v="11079.1"/>
    <n v="0"/>
    <n v="0"/>
    <n v="101"/>
    <s v="_x0000_US"/>
  </r>
  <r>
    <x v="0"/>
    <n v="13.692"/>
    <n v="-89.227599999999995"/>
    <n v="11079.2"/>
    <n v="0"/>
    <n v="0"/>
    <n v="101"/>
    <s v="_x0000_US"/>
  </r>
  <r>
    <x v="0"/>
    <n v="13.6915"/>
    <n v="-89.183000000000007"/>
    <n v="11079.3"/>
    <n v="0"/>
    <n v="0"/>
    <n v="101"/>
    <s v="_x0000_US"/>
  </r>
  <r>
    <x v="0"/>
    <n v="13.6875"/>
    <n v="-89.214699999999993"/>
    <n v="11079.5"/>
    <n v="0"/>
    <n v="0"/>
    <n v="101"/>
    <s v="_x0000_US"/>
  </r>
  <r>
    <x v="0"/>
    <n v="13.6877"/>
    <n v="-89.205299999999994"/>
    <n v="11079.6"/>
    <n v="0"/>
    <n v="0"/>
    <n v="101"/>
    <s v="_x0000_US"/>
  </r>
  <r>
    <x v="0"/>
    <n v="13.684799999999999"/>
    <n v="-89.216899999999995"/>
    <n v="11079.7"/>
    <n v="0"/>
    <n v="0"/>
    <n v="101"/>
    <s v="_x0000_US"/>
  </r>
  <r>
    <x v="0"/>
    <n v="13.689299999999999"/>
    <n v="-89.184899999999999"/>
    <n v="11080.1"/>
    <n v="0"/>
    <n v="0"/>
    <n v="101"/>
    <s v="_x0000_US"/>
  </r>
  <r>
    <x v="0"/>
    <n v="13.694000000000001"/>
    <n v="-89.174800000000005"/>
    <n v="11080.1"/>
    <n v="0"/>
    <n v="0"/>
    <n v="101"/>
    <s v="_x0000_US"/>
  </r>
  <r>
    <x v="0"/>
    <n v="13.6914"/>
    <n v="-89.181600000000003"/>
    <n v="11080.3"/>
    <n v="0"/>
    <n v="0"/>
    <n v="101"/>
    <s v="_x0000_US"/>
  </r>
  <r>
    <x v="0"/>
    <n v="13.6906"/>
    <n v="-89.1845"/>
    <n v="11080.3"/>
    <n v="0"/>
    <n v="0"/>
    <n v="101"/>
    <s v="_x0000_US"/>
  </r>
  <r>
    <x v="0"/>
    <n v="13.6882"/>
    <n v="-89.216999999999999"/>
    <n v="11080.3"/>
    <n v="0"/>
    <n v="0"/>
    <n v="101"/>
    <s v="_x0000_US"/>
  </r>
  <r>
    <x v="0"/>
    <n v="13.687099999999999"/>
    <n v="-89.181299999999993"/>
    <n v="11081.2"/>
    <n v="0"/>
    <n v="0"/>
    <n v="101"/>
    <s v="_x0000_US"/>
  </r>
  <r>
    <x v="0"/>
    <n v="13.6853"/>
    <n v="-89.202299999999994"/>
    <n v="11081.4"/>
    <n v="0"/>
    <n v="0"/>
    <n v="101"/>
    <s v="_x0000_US"/>
  </r>
  <r>
    <x v="0"/>
    <n v="13.6845"/>
    <n v="-89.213200000000001"/>
    <n v="11081.5"/>
    <n v="0"/>
    <n v="0"/>
    <n v="101"/>
    <s v="_x0000_US"/>
  </r>
  <r>
    <x v="0"/>
    <n v="13.6899"/>
    <n v="-89.193899999999999"/>
    <n v="11081.8"/>
    <n v="0"/>
    <n v="0"/>
    <n v="101"/>
    <s v="_x0000_US"/>
  </r>
  <r>
    <x v="0"/>
    <n v="13.686999999999999"/>
    <n v="-89.197400000000002"/>
    <n v="11082.2"/>
    <n v="0"/>
    <n v="0"/>
    <n v="101"/>
    <s v="_x0000_US"/>
  </r>
  <r>
    <x v="0"/>
    <n v="13.6868"/>
    <n v="-89.2119"/>
    <n v="11082.3"/>
    <n v="0"/>
    <n v="0"/>
    <n v="101"/>
    <s v="_x0000_US"/>
  </r>
  <r>
    <x v="0"/>
    <n v="13.694100000000001"/>
    <n v="-89.1751"/>
    <n v="11082.6"/>
    <n v="0"/>
    <n v="0"/>
    <n v="101"/>
    <s v="_x0000_US"/>
  </r>
  <r>
    <x v="0"/>
    <n v="13.6852"/>
    <n v="-89.193899999999999"/>
    <n v="11083"/>
    <n v="0"/>
    <n v="0"/>
    <n v="101"/>
    <s v="_x0000_US"/>
  </r>
  <r>
    <x v="0"/>
    <n v="13.685600000000001"/>
    <n v="-89.213899999999995"/>
    <n v="11083.6"/>
    <n v="0"/>
    <n v="0"/>
    <n v="101"/>
    <s v="_x0000_US"/>
  </r>
  <r>
    <x v="0"/>
    <n v="13.691599999999999"/>
    <n v="-89.1935"/>
    <n v="11083.7"/>
    <n v="0"/>
    <n v="0"/>
    <n v="101"/>
    <s v="_x0000_US"/>
  </r>
  <r>
    <x v="0"/>
    <n v="13.687799999999999"/>
    <n v="-89.194500000000005"/>
    <n v="11083.9"/>
    <n v="0"/>
    <n v="0"/>
    <n v="101"/>
    <s v="_x0000_US"/>
  </r>
  <r>
    <x v="0"/>
    <n v="13.6951"/>
    <n v="-89.175299999999993"/>
    <n v="11084"/>
    <n v="0"/>
    <n v="0"/>
    <n v="101"/>
    <s v="_x0000_US"/>
  </r>
  <r>
    <x v="0"/>
    <n v="13.686400000000001"/>
    <n v="-89.213899999999995"/>
    <n v="11084"/>
    <n v="0"/>
    <n v="0"/>
    <n v="101"/>
    <s v="_x0000_US"/>
  </r>
  <r>
    <x v="0"/>
    <n v="13.674899999999999"/>
    <n v="-89.251900000000006"/>
    <n v="11084"/>
    <n v="0"/>
    <n v="0"/>
    <n v="101"/>
    <s v="_x0000_US"/>
  </r>
  <r>
    <x v="0"/>
    <n v="13.691599999999999"/>
    <n v="-89.234099999999998"/>
    <n v="11084.1"/>
    <n v="0"/>
    <n v="0"/>
    <n v="101"/>
    <s v="_x0000_US"/>
  </r>
  <r>
    <x v="0"/>
    <n v="13.6898"/>
    <n v="-89.179400000000001"/>
    <n v="11084.5"/>
    <n v="0"/>
    <n v="0"/>
    <n v="101"/>
    <s v="_x0000_US"/>
  </r>
  <r>
    <x v="0"/>
    <n v="13.6867"/>
    <n v="-89.182500000000005"/>
    <n v="11084.5"/>
    <n v="0"/>
    <n v="0"/>
    <n v="101"/>
    <s v="_x0000_US"/>
  </r>
  <r>
    <x v="0"/>
    <n v="13.6906"/>
    <n v="-89.186499999999995"/>
    <n v="11085.2"/>
    <n v="0"/>
    <n v="0"/>
    <n v="101"/>
    <s v="_x0000_US"/>
  </r>
  <r>
    <x v="0"/>
    <n v="13.688599999999999"/>
    <n v="-89.190200000000004"/>
    <n v="11085.7"/>
    <n v="0"/>
    <n v="0"/>
    <n v="101"/>
    <s v="_x0000_US"/>
  </r>
  <r>
    <x v="0"/>
    <n v="13.6973"/>
    <n v="-89.171300000000002"/>
    <n v="11086"/>
    <n v="0"/>
    <n v="0"/>
    <n v="101"/>
    <s v="_x0000_US"/>
  </r>
  <r>
    <x v="0"/>
    <n v="13.6884"/>
    <n v="-89.180899999999994"/>
    <n v="11086.2"/>
    <n v="0"/>
    <n v="0"/>
    <n v="101"/>
    <s v="_x0000_US"/>
  </r>
  <r>
    <x v="0"/>
    <n v="13.691599999999999"/>
    <n v="-89.197000000000003"/>
    <n v="11087.2"/>
    <n v="0"/>
    <n v="0"/>
    <n v="101"/>
    <s v="_x0000_US"/>
  </r>
  <r>
    <x v="0"/>
    <n v="13.692500000000001"/>
    <n v="-89.189899999999994"/>
    <n v="11087.3"/>
    <n v="0"/>
    <n v="0"/>
    <n v="101"/>
    <s v="_x0000_US"/>
  </r>
  <r>
    <x v="0"/>
    <n v="13.6922"/>
    <n v="-89.197100000000006"/>
    <n v="11089.9"/>
    <n v="0"/>
    <n v="0"/>
    <n v="101"/>
    <s v="_x0000_US"/>
  </r>
  <r>
    <x v="0"/>
    <n v="13.6959"/>
    <n v="-89.173299999999998"/>
    <n v="11090.1"/>
    <n v="0"/>
    <n v="0"/>
    <n v="101"/>
    <s v="_x0000_US"/>
  </r>
  <r>
    <x v="0"/>
    <n v="13.689399999999999"/>
    <n v="-89.229600000000005"/>
    <n v="11090.2"/>
    <n v="0"/>
    <n v="0"/>
    <n v="101"/>
    <s v="_x0000_US"/>
  </r>
  <r>
    <x v="0"/>
    <n v="13.6867"/>
    <n v="-89.194500000000005"/>
    <n v="11090.5"/>
    <n v="0"/>
    <n v="0"/>
    <n v="101"/>
    <s v="_x0000_US"/>
  </r>
  <r>
    <x v="0"/>
    <n v="13.686999999999999"/>
    <n v="-89.205200000000005"/>
    <n v="11090.5"/>
    <n v="0"/>
    <n v="0"/>
    <n v="101"/>
    <s v="_x0000_US"/>
  </r>
  <r>
    <x v="0"/>
    <n v="13.689500000000001"/>
    <n v="-89.183700000000002"/>
    <n v="11090.8"/>
    <n v="0"/>
    <n v="0"/>
    <n v="101"/>
    <s v="_x0000_US"/>
  </r>
  <r>
    <x v="0"/>
    <n v="13.6853"/>
    <n v="-89.216499999999996"/>
    <n v="11091.6"/>
    <n v="0"/>
    <n v="0"/>
    <n v="101"/>
    <s v="_x0000_US"/>
  </r>
  <r>
    <x v="0"/>
    <n v="13.688700000000001"/>
    <n v="-89.217200000000005"/>
    <n v="11092"/>
    <n v="0"/>
    <n v="0"/>
    <n v="101"/>
    <s v="_x0000_US"/>
  </r>
  <r>
    <x v="0"/>
    <n v="13.69"/>
    <n v="-89.2286"/>
    <n v="11092.2"/>
    <n v="0"/>
    <n v="0"/>
    <n v="101"/>
    <s v="_x0000_US"/>
  </r>
  <r>
    <x v="0"/>
    <n v="13.6883"/>
    <n v="-89.1905"/>
    <n v="11092.3"/>
    <n v="0"/>
    <n v="0"/>
    <n v="101"/>
    <s v="_x0000_US"/>
  </r>
  <r>
    <x v="0"/>
    <n v="13.686400000000001"/>
    <n v="-89.216200000000001"/>
    <n v="11093.1"/>
    <n v="0"/>
    <n v="0"/>
    <n v="101"/>
    <s v="_x0000_US"/>
  </r>
  <r>
    <x v="0"/>
    <n v="13.6914"/>
    <n v="-89.189499999999995"/>
    <n v="11093.6"/>
    <n v="0"/>
    <n v="0"/>
    <n v="101"/>
    <s v="_x0000_US"/>
  </r>
  <r>
    <x v="0"/>
    <n v="13.674899999999999"/>
    <n v="-89.249700000000004"/>
    <n v="11094"/>
    <n v="0"/>
    <n v="0"/>
    <n v="101"/>
    <s v="_x0000_US"/>
  </r>
  <r>
    <x v="0"/>
    <n v="13.6868"/>
    <n v="-89.201700000000002"/>
    <n v="11094.1"/>
    <n v="0"/>
    <n v="0"/>
    <n v="101"/>
    <s v="_x0000_US"/>
  </r>
  <r>
    <x v="0"/>
    <n v="13.690899999999999"/>
    <n v="-89.229299999999995"/>
    <n v="11094.1"/>
    <n v="0"/>
    <n v="0"/>
    <n v="101"/>
    <s v="_x0000_US"/>
  </r>
  <r>
    <x v="0"/>
    <n v="13.6922"/>
    <n v="-89.227099999999993"/>
    <n v="11094.4"/>
    <n v="0"/>
    <n v="0"/>
    <n v="101"/>
    <s v="_x0000_US"/>
  </r>
  <r>
    <x v="0"/>
    <n v="13.687099999999999"/>
    <n v="-89.196899999999999"/>
    <n v="11094.8"/>
    <n v="0"/>
    <n v="0"/>
    <n v="101"/>
    <s v="_x0000_US"/>
  </r>
  <r>
    <x v="0"/>
    <n v="13.693"/>
    <n v="-89.183000000000007"/>
    <n v="11095"/>
    <n v="0"/>
    <n v="0"/>
    <n v="101"/>
    <s v="_x0000_US"/>
  </r>
  <r>
    <x v="0"/>
    <n v="13.6873"/>
    <n v="-89.180999999999997"/>
    <n v="11095.1"/>
    <n v="0"/>
    <n v="0"/>
    <n v="101"/>
    <s v="_x0000_US"/>
  </r>
  <r>
    <x v="0"/>
    <n v="13.6915"/>
    <n v="-89.189400000000006"/>
    <n v="11095.2"/>
    <n v="0"/>
    <n v="0"/>
    <n v="101"/>
    <s v="_x0000_US"/>
  </r>
  <r>
    <x v="0"/>
    <n v="13.695600000000001"/>
    <n v="-89.174499999999995"/>
    <n v="11095.2"/>
    <n v="0"/>
    <n v="0"/>
    <n v="101"/>
    <s v="_x0000_US"/>
  </r>
  <r>
    <x v="0"/>
    <n v="13.692399999999999"/>
    <n v="-89.226699999999994"/>
    <n v="11095.2"/>
    <n v="0"/>
    <n v="0"/>
    <n v="101"/>
    <s v="_x0000_US"/>
  </r>
  <r>
    <x v="0"/>
    <n v="13.6906"/>
    <n v="-89.197500000000005"/>
    <n v="11095.6"/>
    <n v="0"/>
    <n v="0"/>
    <n v="101"/>
    <s v="_x0000_US"/>
  </r>
  <r>
    <x v="0"/>
    <n v="13.6912"/>
    <n v="-89.233500000000006"/>
    <n v="11095.7"/>
    <n v="0"/>
    <n v="0"/>
    <n v="101"/>
    <s v="_x0000_US"/>
  </r>
  <r>
    <x v="0"/>
    <n v="13.688599999999999"/>
    <n v="-89.211799999999997"/>
    <n v="11095.8"/>
    <n v="0"/>
    <n v="0"/>
    <n v="101"/>
    <s v="_x0000_US"/>
  </r>
  <r>
    <x v="0"/>
    <n v="13.6919"/>
    <n v="-89.226799999999997"/>
    <n v="11095.9"/>
    <n v="0"/>
    <n v="0"/>
    <n v="101"/>
    <s v="_x0000_US"/>
  </r>
  <r>
    <x v="0"/>
    <n v="13.6905"/>
    <n v="-89.235699999999994"/>
    <n v="11096.3"/>
    <n v="0"/>
    <n v="0"/>
    <n v="101"/>
    <s v="_x0000_US"/>
  </r>
  <r>
    <x v="0"/>
    <n v="13.6874"/>
    <n v="-89.194500000000005"/>
    <n v="11096.4"/>
    <n v="0"/>
    <n v="0"/>
    <n v="101"/>
    <s v="_x0000_US"/>
  </r>
  <r>
    <x v="0"/>
    <n v="13.6929"/>
    <n v="-89.174099999999996"/>
    <n v="11096.4"/>
    <n v="0"/>
    <n v="0"/>
    <n v="101"/>
    <s v="_x0000_US"/>
  </r>
  <r>
    <x v="0"/>
    <n v="13.676600000000001"/>
    <n v="-89.247900000000001"/>
    <n v="11096.8"/>
    <n v="0"/>
    <n v="0"/>
    <n v="101"/>
    <s v="_x0000_US"/>
  </r>
  <r>
    <x v="0"/>
    <n v="13.6873"/>
    <n v="-89.182900000000004"/>
    <n v="11097"/>
    <n v="0"/>
    <n v="0"/>
    <n v="101"/>
    <s v="_x0000_US"/>
  </r>
  <r>
    <x v="0"/>
    <n v="13.677300000000001"/>
    <n v="-89.1995"/>
    <n v="11097.1"/>
    <n v="0"/>
    <n v="0"/>
    <n v="101"/>
    <s v="_x0000_US"/>
  </r>
  <r>
    <x v="0"/>
    <n v="13.6853"/>
    <n v="-89.203199999999995"/>
    <n v="11097.8"/>
    <n v="0"/>
    <n v="0"/>
    <n v="101"/>
    <s v="_x0000_US"/>
  </r>
  <r>
    <x v="0"/>
    <n v="13.687200000000001"/>
    <n v="-89.194900000000004"/>
    <n v="11098.6"/>
    <n v="0"/>
    <n v="0"/>
    <n v="101"/>
    <s v="_x0000_US"/>
  </r>
  <r>
    <x v="0"/>
    <n v="13.69"/>
    <n v="-89.194000000000003"/>
    <n v="11099"/>
    <n v="0"/>
    <n v="0"/>
    <n v="101"/>
    <s v="_x0000_US"/>
  </r>
  <r>
    <x v="0"/>
    <n v="13.6907"/>
    <n v="-89.232100000000003"/>
    <n v="11099.1"/>
    <n v="0"/>
    <n v="0"/>
    <n v="101"/>
    <s v="_x0000_US"/>
  </r>
  <r>
    <x v="0"/>
    <n v="13.691599999999999"/>
    <n v="-89.233400000000003"/>
    <n v="11099.4"/>
    <n v="0"/>
    <n v="0"/>
    <n v="101"/>
    <s v="_x0000_US"/>
  </r>
  <r>
    <x v="0"/>
    <n v="13.690300000000001"/>
    <n v="-89.178399999999996"/>
    <n v="11099.7"/>
    <n v="0"/>
    <n v="0"/>
    <n v="101"/>
    <s v="_x0000_US"/>
  </r>
  <r>
    <x v="0"/>
    <n v="13.6936"/>
    <n v="-89.1768"/>
    <n v="11099.8"/>
    <n v="0"/>
    <n v="0"/>
    <n v="101"/>
    <s v="_x0000_US"/>
  </r>
  <r>
    <x v="0"/>
    <n v="13.6922"/>
    <n v="-89.183199999999999"/>
    <n v="11099.9"/>
    <n v="0"/>
    <n v="0"/>
    <n v="101"/>
    <s v="_x0000_US"/>
  </r>
  <r>
    <x v="0"/>
    <n v="13.6936"/>
    <n v="-89.188699999999997"/>
    <n v="11100.4"/>
    <n v="0"/>
    <n v="0"/>
    <n v="101"/>
    <s v="_x0000_US"/>
  </r>
  <r>
    <x v="0"/>
    <n v="13.692500000000001"/>
    <n v="-89.179000000000002"/>
    <n v="11100.8"/>
    <n v="0"/>
    <n v="0"/>
    <n v="101"/>
    <s v="_x0000_US"/>
  </r>
  <r>
    <x v="0"/>
    <n v="13.694699999999999"/>
    <n v="-89.1751"/>
    <n v="11101.6"/>
    <n v="0"/>
    <n v="0"/>
    <n v="101"/>
    <s v="_x0000_US"/>
  </r>
  <r>
    <x v="0"/>
    <n v="13.687099999999999"/>
    <n v="-89.197900000000004"/>
    <n v="11102.6"/>
    <n v="0"/>
    <n v="0"/>
    <n v="101"/>
    <s v="_x0000_US"/>
  </r>
  <r>
    <x v="0"/>
    <n v="13.6915"/>
    <n v="-89.233699999999999"/>
    <n v="11102.9"/>
    <n v="0"/>
    <n v="0"/>
    <n v="101"/>
    <s v="_x0000_US"/>
  </r>
  <r>
    <x v="0"/>
    <n v="13.6904"/>
    <n v="-89.177499999999995"/>
    <n v="11103"/>
    <n v="0"/>
    <n v="0"/>
    <n v="101"/>
    <s v="_x0000_US"/>
  </r>
  <r>
    <x v="0"/>
    <n v="13.692"/>
    <n v="-89.179699999999997"/>
    <n v="11103.4"/>
    <n v="0"/>
    <n v="0"/>
    <n v="101"/>
    <s v="_x0000_US"/>
  </r>
  <r>
    <x v="0"/>
    <n v="13.688599999999999"/>
    <n v="-89.198400000000007"/>
    <n v="11103.6"/>
    <n v="0"/>
    <n v="0"/>
    <n v="101"/>
    <s v="_x0000_US"/>
  </r>
  <r>
    <x v="0"/>
    <n v="13.686999999999999"/>
    <n v="-89.197100000000006"/>
    <n v="11103.8"/>
    <n v="0"/>
    <n v="0"/>
    <n v="101"/>
    <s v="_x0000_US"/>
  </r>
  <r>
    <x v="0"/>
    <n v="13.692"/>
    <n v="-89.178899999999999"/>
    <n v="11103.9"/>
    <n v="0"/>
    <n v="0"/>
    <n v="101"/>
    <s v="_x0000_US"/>
  </r>
  <r>
    <x v="0"/>
    <n v="13.6792"/>
    <n v="-89.196299999999994"/>
    <n v="11104.7"/>
    <n v="0"/>
    <n v="0"/>
    <n v="101"/>
    <s v="_x0000_US"/>
  </r>
  <r>
    <x v="0"/>
    <n v="13.684699999999999"/>
    <n v="-89.193899999999999"/>
    <n v="11105"/>
    <n v="0"/>
    <n v="0"/>
    <n v="101"/>
    <s v="_x0000_US"/>
  </r>
  <r>
    <x v="0"/>
    <n v="13.690899999999999"/>
    <n v="-89.188800000000001"/>
    <n v="11105.3"/>
    <n v="0"/>
    <n v="0"/>
    <n v="101"/>
    <s v="_x0000_US"/>
  </r>
  <r>
    <x v="0"/>
    <n v="13.690799999999999"/>
    <n v="-89.234499999999997"/>
    <n v="11105.8"/>
    <n v="0"/>
    <n v="0"/>
    <n v="101"/>
    <s v="_x0000_US"/>
  </r>
  <r>
    <x v="0"/>
    <n v="13.6915"/>
    <n v="-89.226600000000005"/>
    <n v="11106.6"/>
    <n v="0"/>
    <n v="0"/>
    <n v="101"/>
    <s v="_x0000_US"/>
  </r>
  <r>
    <x v="0"/>
    <n v="13.6945"/>
    <n v="-89.174300000000002"/>
    <n v="11106.7"/>
    <n v="0"/>
    <n v="0"/>
    <n v="101"/>
    <s v="_x0000_US"/>
  </r>
  <r>
    <x v="0"/>
    <n v="13.692399999999999"/>
    <n v="-89.174899999999994"/>
    <n v="11107.7"/>
    <n v="0"/>
    <n v="0"/>
    <n v="101"/>
    <s v="_x0000_US"/>
  </r>
  <r>
    <x v="0"/>
    <n v="13.6915"/>
    <n v="-89.197500000000005"/>
    <n v="11108"/>
    <n v="0"/>
    <n v="0"/>
    <n v="101"/>
    <s v="_x0000_US"/>
  </r>
  <r>
    <x v="0"/>
    <n v="13.685700000000001"/>
    <n v="-89.204099999999997"/>
    <n v="11108.7"/>
    <n v="0"/>
    <n v="0"/>
    <n v="101"/>
    <s v="_x0000_US"/>
  </r>
  <r>
    <x v="0"/>
    <n v="13.6883"/>
    <n v="-89.193899999999999"/>
    <n v="11109"/>
    <n v="0"/>
    <n v="0"/>
    <n v="101"/>
    <s v="_x0000_US"/>
  </r>
  <r>
    <x v="0"/>
    <n v="13.6875"/>
    <n v="-89.215000000000003"/>
    <n v="11109.9"/>
    <n v="0"/>
    <n v="0"/>
    <n v="101"/>
    <s v="_x0000_US"/>
  </r>
  <r>
    <x v="0"/>
    <n v="13.6859"/>
    <n v="-89.201700000000002"/>
    <n v="11110.1"/>
    <n v="0"/>
    <n v="0"/>
    <n v="101"/>
    <s v="_x0000_US"/>
  </r>
  <r>
    <x v="0"/>
    <n v="13.687200000000001"/>
    <n v="-89.194800000000001"/>
    <n v="11110.2"/>
    <n v="0"/>
    <n v="0"/>
    <n v="101"/>
    <s v="_x0000_US"/>
  </r>
  <r>
    <x v="0"/>
    <n v="13.6915"/>
    <n v="-89.220200000000006"/>
    <n v="11110.3"/>
    <n v="0"/>
    <n v="0"/>
    <n v="101"/>
    <s v="_x0000_US"/>
  </r>
  <r>
    <x v="0"/>
    <n v="13.689399999999999"/>
    <n v="-89.235600000000005"/>
    <n v="11110.3"/>
    <n v="0"/>
    <n v="0"/>
    <n v="101"/>
    <s v="_x0000_US"/>
  </r>
  <r>
    <x v="0"/>
    <n v="13.6959"/>
    <n v="-89.173000000000002"/>
    <n v="11110.4"/>
    <n v="0"/>
    <n v="0"/>
    <n v="101"/>
    <s v="_x0000_US"/>
  </r>
  <r>
    <x v="0"/>
    <n v="13.6929"/>
    <n v="-89.224500000000006"/>
    <n v="11110.8"/>
    <n v="0"/>
    <n v="0"/>
    <n v="101"/>
    <s v="_x0000_US"/>
  </r>
  <r>
    <x v="0"/>
    <n v="13.6873"/>
    <n v="-89.210999999999999"/>
    <n v="11111.1"/>
    <n v="0"/>
    <n v="0"/>
    <n v="101"/>
    <s v="_x0000_US"/>
  </r>
  <r>
    <x v="0"/>
    <n v="13.685499999999999"/>
    <n v="-89.193299999999994"/>
    <n v="11111.6"/>
    <n v="0"/>
    <n v="0"/>
    <n v="101"/>
    <s v="_x0000_US"/>
  </r>
  <r>
    <x v="0"/>
    <n v="13.6906"/>
    <n v="-89.231800000000007"/>
    <n v="11111.6"/>
    <n v="0"/>
    <n v="0"/>
    <n v="101"/>
    <s v="_x0000_US"/>
  </r>
  <r>
    <x v="0"/>
    <n v="13.694599999999999"/>
    <n v="-89.171899999999994"/>
    <n v="11112.5"/>
    <n v="0"/>
    <n v="0"/>
    <n v="101"/>
    <s v="_x0000_US"/>
  </r>
  <r>
    <x v="0"/>
    <n v="13.696"/>
    <n v="-89.172600000000003"/>
    <n v="11113.4"/>
    <n v="0"/>
    <n v="0"/>
    <n v="101"/>
    <s v="_x0000_US"/>
  </r>
  <r>
    <x v="0"/>
    <n v="13.691700000000001"/>
    <n v="-89.186400000000006"/>
    <n v="11113.6"/>
    <n v="0"/>
    <n v="0"/>
    <n v="101"/>
    <s v="_x0000_US"/>
  </r>
  <r>
    <x v="0"/>
    <n v="13.692399999999999"/>
    <n v="-89.179199999999994"/>
    <n v="11113.8"/>
    <n v="0"/>
    <n v="0"/>
    <n v="101"/>
    <s v="_x0000_US"/>
  </r>
  <r>
    <x v="0"/>
    <n v="13.686999999999999"/>
    <n v="-89.197400000000002"/>
    <n v="11114.1"/>
    <n v="0"/>
    <n v="0"/>
    <n v="101"/>
    <s v="_x0000_US"/>
  </r>
  <r>
    <x v="0"/>
    <n v="13.689399999999999"/>
    <n v="-89.229600000000005"/>
    <n v="11114.1"/>
    <n v="0"/>
    <n v="0"/>
    <n v="101"/>
    <s v="_x0000_US"/>
  </r>
  <r>
    <x v="0"/>
    <n v="13.691800000000001"/>
    <n v="-89.195999999999998"/>
    <n v="11115.1"/>
    <n v="0"/>
    <n v="0"/>
    <n v="101"/>
    <s v="_x0000_US"/>
  </r>
  <r>
    <x v="0"/>
    <n v="13.6891"/>
    <n v="-89.184200000000004"/>
    <n v="11115.4"/>
    <n v="0"/>
    <n v="0"/>
    <n v="101"/>
    <s v="_x0000_US"/>
  </r>
  <r>
    <x v="0"/>
    <n v="13.6945"/>
    <n v="-89.188999999999993"/>
    <n v="11115.6"/>
    <n v="0"/>
    <n v="0"/>
    <n v="101"/>
    <s v="_x0000_US"/>
  </r>
  <r>
    <x v="0"/>
    <n v="13.691700000000001"/>
    <n v="-89.197400000000002"/>
    <n v="11116"/>
    <n v="0"/>
    <n v="0"/>
    <n v="101"/>
    <s v="_x0000_US"/>
  </r>
  <r>
    <x v="0"/>
    <n v="13.6936"/>
    <n v="-89.193299999999994"/>
    <n v="11116.3"/>
    <n v="0"/>
    <n v="0"/>
    <n v="101"/>
    <s v="_x0000_US"/>
  </r>
  <r>
    <x v="0"/>
    <n v="13.690200000000001"/>
    <n v="-89.188400000000001"/>
    <n v="11116.7"/>
    <n v="0"/>
    <n v="0"/>
    <n v="101"/>
    <s v="_x0000_US"/>
  </r>
  <r>
    <x v="0"/>
    <n v="13.688599999999999"/>
    <n v="-89.189700000000002"/>
    <n v="11116.9"/>
    <n v="0"/>
    <n v="0"/>
    <n v="101"/>
    <s v="_x0000_US"/>
  </r>
  <r>
    <x v="0"/>
    <n v="13.691700000000001"/>
    <n v="-89.179000000000002"/>
    <n v="11117.2"/>
    <n v="0"/>
    <n v="0"/>
    <n v="101"/>
    <s v="_x0000_US"/>
  </r>
  <r>
    <x v="0"/>
    <n v="13.6884"/>
    <n v="-89.190799999999996"/>
    <n v="11117.3"/>
    <n v="0"/>
    <n v="0"/>
    <n v="101"/>
    <s v="_x0000_US"/>
  </r>
  <r>
    <x v="0"/>
    <n v="13.6797"/>
    <n v="-89.194500000000005"/>
    <n v="11117.6"/>
    <n v="0"/>
    <n v="0"/>
    <n v="101"/>
    <s v="_x0000_US"/>
  </r>
  <r>
    <x v="0"/>
    <n v="13.6884"/>
    <n v="-89.229600000000005"/>
    <n v="11118.9"/>
    <n v="0"/>
    <n v="0"/>
    <n v="101"/>
    <s v="_x0000_US"/>
  </r>
  <r>
    <x v="0"/>
    <n v="13.6869"/>
    <n v="-89.194299999999998"/>
    <n v="11119.6"/>
    <n v="0"/>
    <n v="0"/>
    <n v="101"/>
    <s v="_x0000_US"/>
  </r>
  <r>
    <x v="0"/>
    <n v="13.690799999999999"/>
    <n v="-89.227599999999995"/>
    <n v="11119.6"/>
    <n v="0"/>
    <n v="0"/>
    <n v="101"/>
    <s v="_x0000_US"/>
  </r>
  <r>
    <x v="0"/>
    <n v="13.6891"/>
    <n v="-89.178299999999993"/>
    <n v="11120"/>
    <n v="0"/>
    <n v="0"/>
    <n v="101"/>
    <s v="_x0000_US"/>
  </r>
  <r>
    <x v="0"/>
    <n v="13.674899999999999"/>
    <n v="-89.251199999999997"/>
    <n v="11120"/>
    <n v="0"/>
    <n v="0"/>
    <n v="101"/>
    <s v="_x0000_US"/>
  </r>
  <r>
    <x v="0"/>
    <n v="13.6911"/>
    <n v="-89.234499999999997"/>
    <n v="11120.2"/>
    <n v="0"/>
    <n v="0"/>
    <n v="101"/>
    <s v="_x0000_US"/>
  </r>
  <r>
    <x v="0"/>
    <n v="13.6904"/>
    <n v="-89.235900000000001"/>
    <n v="11120.9"/>
    <n v="0"/>
    <n v="0"/>
    <n v="101"/>
    <s v="_x0000_US"/>
  </r>
  <r>
    <x v="0"/>
    <n v="13.6904"/>
    <n v="-89.228099999999998"/>
    <n v="11121.5"/>
    <n v="0"/>
    <n v="0"/>
    <n v="101"/>
    <s v="_x0000_US"/>
  </r>
  <r>
    <x v="0"/>
    <n v="13.694000000000001"/>
    <n v="-89.176500000000004"/>
    <n v="11122"/>
    <n v="0"/>
    <n v="0"/>
    <n v="101"/>
    <s v="_x0000_US"/>
  </r>
  <r>
    <x v="0"/>
    <n v="13.6913"/>
    <n v="-89.179500000000004"/>
    <n v="11122.1"/>
    <n v="0"/>
    <n v="0"/>
    <n v="101"/>
    <s v="_x0000_US"/>
  </r>
  <r>
    <x v="0"/>
    <n v="13.6775"/>
    <n v="-89.247299999999996"/>
    <n v="11122.1"/>
    <n v="0"/>
    <n v="0"/>
    <n v="101"/>
    <s v="_x0000_US"/>
  </r>
  <r>
    <x v="0"/>
    <n v="13.6798"/>
    <n v="-89.197100000000006"/>
    <n v="11122.7"/>
    <n v="0"/>
    <n v="0"/>
    <n v="101"/>
    <s v="_x0000_US"/>
  </r>
  <r>
    <x v="0"/>
    <n v="13.6899"/>
    <n v="-89.183499999999995"/>
    <n v="11123.2"/>
    <n v="0"/>
    <n v="0"/>
    <n v="101"/>
    <s v="_x0000_US"/>
  </r>
  <r>
    <x v="0"/>
    <n v="13.6919"/>
    <n v="-89.221500000000006"/>
    <n v="11123.4"/>
    <n v="0"/>
    <n v="0"/>
    <n v="101"/>
    <s v="_x0000_US"/>
  </r>
  <r>
    <x v="0"/>
    <n v="13.6915"/>
    <n v="-89.185299999999998"/>
    <n v="11123.7"/>
    <n v="0"/>
    <n v="0"/>
    <n v="101"/>
    <s v="_x0000_US"/>
  </r>
  <r>
    <x v="0"/>
    <n v="13.6851"/>
    <n v="-89.215500000000006"/>
    <n v="11124"/>
    <n v="0"/>
    <n v="0"/>
    <n v="101"/>
    <s v="_x0000_US"/>
  </r>
  <r>
    <x v="0"/>
    <n v="13.6769"/>
    <n v="-89.199600000000004"/>
    <n v="11125.6"/>
    <n v="0"/>
    <n v="0"/>
    <n v="101"/>
    <s v="_x0000_US"/>
  </r>
  <r>
    <x v="0"/>
    <n v="13.6913"/>
    <n v="-89.189400000000006"/>
    <n v="11125.8"/>
    <n v="0"/>
    <n v="0"/>
    <n v="101"/>
    <s v="_x0000_US"/>
  </r>
  <r>
    <x v="0"/>
    <n v="13.695600000000001"/>
    <n v="-89.1738"/>
    <n v="11126"/>
    <n v="0"/>
    <n v="0"/>
    <n v="101"/>
    <s v="_x0000_US"/>
  </r>
  <r>
    <x v="0"/>
    <n v="13.687200000000001"/>
    <n v="-89.216499999999996"/>
    <n v="11126.3"/>
    <n v="0"/>
    <n v="0"/>
    <n v="101"/>
    <s v="_x0000_US"/>
  </r>
  <r>
    <x v="0"/>
    <n v="13.686"/>
    <n v="-89.202299999999994"/>
    <n v="11126.8"/>
    <n v="0"/>
    <n v="0"/>
    <n v="101"/>
    <s v="_x0000_US"/>
  </r>
  <r>
    <x v="0"/>
    <n v="13.6873"/>
    <n v="-89.205399999999997"/>
    <n v="11127.2"/>
    <n v="0"/>
    <n v="0"/>
    <n v="101"/>
    <s v="_x0000_US"/>
  </r>
  <r>
    <x v="0"/>
    <n v="13.6896"/>
    <n v="-89.216899999999995"/>
    <n v="11127.5"/>
    <n v="0"/>
    <n v="0"/>
    <n v="101"/>
    <s v="_x0000_US"/>
  </r>
  <r>
    <x v="0"/>
    <n v="13.695"/>
    <n v="-89.174999999999997"/>
    <n v="11128.5"/>
    <n v="0"/>
    <n v="0"/>
    <n v="101"/>
    <s v="_x0000_US"/>
  </r>
  <r>
    <x v="0"/>
    <n v="13.687200000000001"/>
    <n v="-89.193799999999996"/>
    <n v="11128.8"/>
    <n v="0"/>
    <n v="0"/>
    <n v="101"/>
    <s v="_x0000_US"/>
  </r>
  <r>
    <x v="0"/>
    <n v="13.693300000000001"/>
    <n v="-89.176400000000001"/>
    <n v="11129.6"/>
    <n v="0"/>
    <n v="0"/>
    <n v="101"/>
    <s v="_x0000_US"/>
  </r>
  <r>
    <x v="0"/>
    <n v="13.6874"/>
    <n v="-89.197199999999995"/>
    <n v="11130.9"/>
    <n v="0"/>
    <n v="0"/>
    <n v="101"/>
    <s v="_x0000_US"/>
  </r>
  <r>
    <x v="0"/>
    <n v="13.6935"/>
    <n v="-89.183700000000002"/>
    <n v="11131.1"/>
    <n v="0"/>
    <n v="0"/>
    <n v="101"/>
    <s v="_x0000_US"/>
  </r>
  <r>
    <x v="0"/>
    <n v="13.691800000000001"/>
    <n v="-89.186700000000002"/>
    <n v="11132.1"/>
    <n v="0"/>
    <n v="0"/>
    <n v="101"/>
    <s v="_x0000_US"/>
  </r>
  <r>
    <x v="0"/>
    <n v="13.6911"/>
    <n v="-89.229500000000002"/>
    <n v="11132.1"/>
    <n v="0"/>
    <n v="0"/>
    <n v="101"/>
    <s v="_x0000_US"/>
  </r>
  <r>
    <x v="0"/>
    <n v="13.690200000000001"/>
    <n v="-89.188299999999998"/>
    <n v="11132.6"/>
    <n v="0"/>
    <n v="0"/>
    <n v="101"/>
    <s v="_x0000_US"/>
  </r>
  <r>
    <x v="0"/>
    <n v="13.6898"/>
    <n v="-89.194000000000003"/>
    <n v="11132.9"/>
    <n v="0"/>
    <n v="0"/>
    <n v="101"/>
    <s v="_x0000_US"/>
  </r>
  <r>
    <x v="0"/>
    <n v="13.692399999999999"/>
    <n v="-89.176599999999993"/>
    <n v="11133.1"/>
    <n v="0"/>
    <n v="0"/>
    <n v="101"/>
    <s v="_x0000_US"/>
  </r>
  <r>
    <x v="0"/>
    <n v="13.6874"/>
    <n v="-89.194400000000002"/>
    <n v="11133.3"/>
    <n v="0"/>
    <n v="0"/>
    <n v="101"/>
    <s v="_x0000_US"/>
  </r>
  <r>
    <x v="0"/>
    <n v="13.692"/>
    <n v="-89.184200000000004"/>
    <n v="11133.4"/>
    <n v="0"/>
    <n v="0"/>
    <n v="101"/>
    <s v="_x0000_US"/>
  </r>
  <r>
    <x v="0"/>
    <n v="13.6959"/>
    <n v="-89.167599999999993"/>
    <n v="11133.4"/>
    <n v="0"/>
    <n v="0"/>
    <n v="101"/>
    <s v="_x0000_US"/>
  </r>
  <r>
    <x v="0"/>
    <n v="13.695"/>
    <n v="-89.173699999999997"/>
    <n v="11134.5"/>
    <n v="0"/>
    <n v="0"/>
    <n v="101"/>
    <s v="_x0000_US"/>
  </r>
  <r>
    <x v="0"/>
    <n v="13.690799999999999"/>
    <n v="-89.233099999999993"/>
    <n v="11136.2"/>
    <n v="0"/>
    <n v="0"/>
    <n v="101"/>
    <s v="_x0000_US"/>
  </r>
  <r>
    <x v="0"/>
    <n v="13.685"/>
    <n v="-89.214100000000002"/>
    <n v="11136.4"/>
    <n v="0"/>
    <n v="0"/>
    <n v="101"/>
    <s v="_x0000_US"/>
  </r>
  <r>
    <x v="0"/>
    <n v="13.6965"/>
    <n v="-89.172200000000004"/>
    <n v="11137"/>
    <n v="0"/>
    <n v="0"/>
    <n v="101"/>
    <s v="_x0000_US"/>
  </r>
  <r>
    <x v="0"/>
    <n v="13.6936"/>
    <n v="-89.173299999999998"/>
    <n v="11137.8"/>
    <n v="0"/>
    <n v="0"/>
    <n v="101"/>
    <s v="_x0000_US"/>
  </r>
  <r>
    <x v="0"/>
    <n v="13.690200000000001"/>
    <n v="-89.179699999999997"/>
    <n v="11138.1"/>
    <n v="0"/>
    <n v="0"/>
    <n v="101"/>
    <s v="_x0000_US"/>
  </r>
  <r>
    <x v="0"/>
    <n v="13.6874"/>
    <n v="-89.1965"/>
    <n v="11138.2"/>
    <n v="0"/>
    <n v="0"/>
    <n v="101"/>
    <s v="_x0000_US"/>
  </r>
  <r>
    <x v="0"/>
    <n v="13.6904"/>
    <n v="-89.177700000000002"/>
    <n v="11138.7"/>
    <n v="0"/>
    <n v="0"/>
    <n v="101"/>
    <s v="_x0000_US"/>
  </r>
  <r>
    <x v="0"/>
    <n v="13.6883"/>
    <n v="-89.193799999999996"/>
    <n v="11139"/>
    <n v="0"/>
    <n v="0"/>
    <n v="101"/>
    <s v="_x0000_US"/>
  </r>
  <r>
    <x v="0"/>
    <n v="13.690799999999999"/>
    <n v="-89.231999999999999"/>
    <n v="11140.2"/>
    <n v="0"/>
    <n v="0"/>
    <n v="101"/>
    <s v="_x0000_US"/>
  </r>
  <r>
    <x v="0"/>
    <n v="13.692299999999999"/>
    <n v="-89.222700000000003"/>
    <n v="11140.8"/>
    <n v="0"/>
    <n v="0"/>
    <n v="101"/>
    <s v="_x0000_US"/>
  </r>
  <r>
    <x v="0"/>
    <n v="13.6907"/>
    <n v="-89.194299999999998"/>
    <n v="11141.3"/>
    <n v="0"/>
    <n v="0"/>
    <n v="101"/>
    <s v="_x0000_US"/>
  </r>
  <r>
    <x v="0"/>
    <n v="13.6875"/>
    <n v="-89.194400000000002"/>
    <n v="11141.4"/>
    <n v="0"/>
    <n v="0"/>
    <n v="101"/>
    <s v="_x0000_US"/>
  </r>
  <r>
    <x v="0"/>
    <n v="13.693"/>
    <n v="-89.184600000000003"/>
    <n v="11141.7"/>
    <n v="0"/>
    <n v="0"/>
    <n v="101"/>
    <s v="_x0000_US"/>
  </r>
  <r>
    <x v="0"/>
    <n v="13.6907"/>
    <n v="-89.186199999999999"/>
    <n v="11141.7"/>
    <n v="0"/>
    <n v="0"/>
    <n v="101"/>
    <s v="_x0000_US"/>
  </r>
  <r>
    <x v="0"/>
    <n v="13.692600000000001"/>
    <n v="-89.183899999999994"/>
    <n v="11142"/>
    <n v="0"/>
    <n v="0"/>
    <n v="101"/>
    <s v="_x0000_US"/>
  </r>
  <r>
    <x v="0"/>
    <n v="13.688700000000001"/>
    <n v="-89.189599999999999"/>
    <n v="11142.5"/>
    <n v="0"/>
    <n v="0"/>
    <n v="101"/>
    <s v="_x0000_US"/>
  </r>
  <r>
    <x v="0"/>
    <n v="13.6861"/>
    <n v="-89.203900000000004"/>
    <n v="11143.3"/>
    <n v="0"/>
    <n v="0"/>
    <n v="101"/>
    <s v="_x0000_US"/>
  </r>
  <r>
    <x v="0"/>
    <n v="13.689399999999999"/>
    <n v="-89.183499999999995"/>
    <n v="11143.6"/>
    <n v="0"/>
    <n v="0"/>
    <n v="101"/>
    <s v="_x0000_US"/>
  </r>
  <r>
    <x v="0"/>
    <n v="13.6874"/>
    <n v="-89.216999999999999"/>
    <n v="11143.8"/>
    <n v="0"/>
    <n v="0"/>
    <n v="101"/>
    <s v="_x0000_US"/>
  </r>
  <r>
    <x v="0"/>
    <n v="13.6904"/>
    <n v="-89.195700000000002"/>
    <n v="11144.1"/>
    <n v="0"/>
    <n v="0"/>
    <n v="101"/>
    <s v="_x0000_US"/>
  </r>
  <r>
    <x v="0"/>
    <n v="13.6922"/>
    <n v="-89.179100000000005"/>
    <n v="11144.1"/>
    <n v="0"/>
    <n v="0"/>
    <n v="101"/>
    <s v="_x0000_US"/>
  </r>
  <r>
    <x v="0"/>
    <n v="13.686"/>
    <n v="-89.198400000000007"/>
    <n v="11144.2"/>
    <n v="0"/>
    <n v="0"/>
    <n v="101"/>
    <s v="_x0000_US"/>
  </r>
  <r>
    <x v="0"/>
    <n v="13.6928"/>
    <n v="-89.225800000000007"/>
    <n v="11144.9"/>
    <n v="0"/>
    <n v="0"/>
    <n v="101"/>
    <s v="_x0000_US"/>
  </r>
  <r>
    <x v="0"/>
    <n v="13.6806"/>
    <n v="-89.195999999999998"/>
    <n v="11145.6"/>
    <n v="0"/>
    <n v="0"/>
    <n v="101"/>
    <s v="_x0000_US"/>
  </r>
  <r>
    <x v="0"/>
    <n v="13.6899"/>
    <n v="-89.189800000000005"/>
    <n v="11145.9"/>
    <n v="0"/>
    <n v="0"/>
    <n v="101"/>
    <s v="_x0000_US"/>
  </r>
  <r>
    <x v="0"/>
    <n v="13.687099999999999"/>
    <n v="-89.197699999999998"/>
    <n v="11146.3"/>
    <n v="0"/>
    <n v="0"/>
    <n v="101"/>
    <s v="_x0000_US"/>
  </r>
  <r>
    <x v="0"/>
    <n v="13.6891"/>
    <n v="-89.204800000000006"/>
    <n v="11146.3"/>
    <n v="0"/>
    <n v="0"/>
    <n v="101"/>
    <s v="_x0000_US"/>
  </r>
  <r>
    <x v="0"/>
    <n v="13.689299999999999"/>
    <n v="-89.206299999999999"/>
    <n v="11147"/>
    <n v="0"/>
    <n v="0"/>
    <n v="101"/>
    <s v="_x0000_US"/>
  </r>
  <r>
    <x v="0"/>
    <n v="13.6945"/>
    <n v="-89.183000000000007"/>
    <n v="11147.8"/>
    <n v="0"/>
    <n v="0"/>
    <n v="101"/>
    <s v="_x0000_US"/>
  </r>
  <r>
    <x v="0"/>
    <n v="13.674799999999999"/>
    <n v="-89.251300000000001"/>
    <n v="11148.7"/>
    <n v="0"/>
    <n v="0"/>
    <n v="101"/>
    <s v="_x0000_US"/>
  </r>
  <r>
    <x v="0"/>
    <n v="13.691700000000001"/>
    <n v="-89.179000000000002"/>
    <n v="11148.8"/>
    <n v="0"/>
    <n v="0"/>
    <n v="101"/>
    <s v="_x0000_US"/>
  </r>
  <r>
    <x v="0"/>
    <n v="13.692600000000001"/>
    <n v="-89.223799999999997"/>
    <n v="11148.8"/>
    <n v="0"/>
    <n v="0"/>
    <n v="101"/>
    <s v="_x0000_US"/>
  </r>
  <r>
    <x v="0"/>
    <n v="13.6944"/>
    <n v="-89.174499999999995"/>
    <n v="11149.7"/>
    <n v="0"/>
    <n v="0"/>
    <n v="101"/>
    <s v="_x0000_US"/>
  </r>
  <r>
    <x v="0"/>
    <n v="13.6747"/>
    <n v="-89.251900000000006"/>
    <n v="11149.8"/>
    <n v="0"/>
    <n v="0"/>
    <n v="101"/>
    <s v="_x0000_US"/>
  </r>
  <r>
    <x v="0"/>
    <n v="13.6966"/>
    <n v="-89.171499999999995"/>
    <n v="11150.6"/>
    <n v="0"/>
    <n v="0"/>
    <n v="101"/>
    <s v="_x0000_US"/>
  </r>
  <r>
    <x v="0"/>
    <n v="13.6861"/>
    <n v="-89.211699999999993"/>
    <n v="11150.6"/>
    <n v="0"/>
    <n v="0"/>
    <n v="101"/>
    <s v="_x0000_US"/>
  </r>
  <r>
    <x v="0"/>
    <n v="13.686999999999999"/>
    <n v="-89.195400000000006"/>
    <n v="11150.7"/>
    <n v="0"/>
    <n v="0"/>
    <n v="101"/>
    <s v="_x0000_US"/>
  </r>
  <r>
    <x v="0"/>
    <n v="13.692"/>
    <n v="-89.226399999999998"/>
    <n v="11150.7"/>
    <n v="0"/>
    <n v="0"/>
    <n v="101"/>
    <s v="_x0000_US"/>
  </r>
  <r>
    <x v="0"/>
    <n v="13.6935"/>
    <n v="-89.185599999999994"/>
    <n v="11151.7"/>
    <n v="0"/>
    <n v="0"/>
    <n v="101"/>
    <s v="_x0000_US"/>
  </r>
  <r>
    <x v="0"/>
    <n v="13.689399999999999"/>
    <n v="-89.207999999999998"/>
    <n v="11151.9"/>
    <n v="0"/>
    <n v="0"/>
    <n v="101"/>
    <s v="_x0000_US"/>
  </r>
  <r>
    <x v="0"/>
    <n v="13.6797"/>
    <n v="-89.197199999999995"/>
    <n v="11152.4"/>
    <n v="0"/>
    <n v="0"/>
    <n v="101"/>
    <s v="_x0000_US"/>
  </r>
  <r>
    <x v="0"/>
    <n v="13.6905"/>
    <n v="-89.194299999999998"/>
    <n v="11152.5"/>
    <n v="0"/>
    <n v="0"/>
    <n v="101"/>
    <s v="_x0000_US"/>
  </r>
  <r>
    <x v="0"/>
    <n v="13.692600000000001"/>
    <n v="-89.225499999999997"/>
    <n v="11152.9"/>
    <n v="0"/>
    <n v="0"/>
    <n v="101"/>
    <s v="_x0000_US"/>
  </r>
  <r>
    <x v="0"/>
    <n v="13.6877"/>
    <n v="-89.1815"/>
    <n v="11153"/>
    <n v="0"/>
    <n v="0"/>
    <n v="101"/>
    <s v="_x0000_US"/>
  </r>
  <r>
    <x v="0"/>
    <n v="13.694800000000001"/>
    <n v="-89.1738"/>
    <n v="11153.5"/>
    <n v="0"/>
    <n v="0"/>
    <n v="101"/>
    <s v="_x0000_US"/>
  </r>
  <r>
    <x v="0"/>
    <n v="13.6783"/>
    <n v="-89.245900000000006"/>
    <n v="11153.7"/>
    <n v="0"/>
    <n v="0"/>
    <n v="101"/>
    <s v="_x0000_US"/>
  </r>
  <r>
    <x v="0"/>
    <n v="13.674300000000001"/>
    <n v="-89.199100000000001"/>
    <n v="11154.2"/>
    <n v="0"/>
    <n v="0"/>
    <n v="101"/>
    <s v="_x0000_US"/>
  </r>
  <r>
    <x v="0"/>
    <n v="13.6881"/>
    <n v="-89.194500000000005"/>
    <n v="11154.3"/>
    <n v="0"/>
    <n v="0"/>
    <n v="101"/>
    <s v="_x0000_US"/>
  </r>
  <r>
    <x v="0"/>
    <n v="13.6853"/>
    <n v="-89.202600000000004"/>
    <n v="11154.3"/>
    <n v="0"/>
    <n v="0"/>
    <n v="101"/>
    <s v="_x0000_US"/>
  </r>
  <r>
    <x v="0"/>
    <n v="13.6906"/>
    <n v="-89.235200000000006"/>
    <n v="11154.3"/>
    <n v="0"/>
    <n v="0"/>
    <n v="101"/>
    <s v="_x0000_US"/>
  </r>
  <r>
    <x v="0"/>
    <n v="13.6873"/>
    <n v="-89.215699999999998"/>
    <n v="11154.6"/>
    <n v="0"/>
    <n v="0"/>
    <n v="101"/>
    <s v="_x0000_US"/>
  </r>
  <r>
    <x v="0"/>
    <n v="13.6922"/>
    <n v="-89.222399999999993"/>
    <n v="11154.6"/>
    <n v="0"/>
    <n v="0"/>
    <n v="101"/>
    <s v="_x0000_US"/>
  </r>
  <r>
    <x v="0"/>
    <n v="13.691800000000001"/>
    <n v="-89.183000000000007"/>
    <n v="11154.8"/>
    <n v="0"/>
    <n v="0"/>
    <n v="101"/>
    <s v="_x0000_US"/>
  </r>
  <r>
    <x v="0"/>
    <n v="13.6843"/>
    <n v="-89.216800000000006"/>
    <n v="11154.9"/>
    <n v="0"/>
    <n v="0"/>
    <n v="101"/>
    <s v="_x0000_US"/>
  </r>
  <r>
    <x v="0"/>
    <n v="13.694699999999999"/>
    <n v="-89.174099999999996"/>
    <n v="11155"/>
    <n v="0"/>
    <n v="0"/>
    <n v="101"/>
    <s v="_x0000_US"/>
  </r>
  <r>
    <x v="0"/>
    <n v="13.674300000000001"/>
    <n v="-89.201899999999995"/>
    <n v="11155.8"/>
    <n v="0"/>
    <n v="0"/>
    <n v="101"/>
    <s v="_x0000_US"/>
  </r>
  <r>
    <x v="0"/>
    <n v="13.6906"/>
    <n v="-89.194500000000005"/>
    <n v="11156.2"/>
    <n v="0"/>
    <n v="0"/>
    <n v="101"/>
    <s v="_x0000_US"/>
  </r>
  <r>
    <x v="0"/>
    <n v="13.6922"/>
    <n v="-89.226200000000006"/>
    <n v="11157"/>
    <n v="0"/>
    <n v="0"/>
    <n v="101"/>
    <s v="_x0000_US"/>
  </r>
  <r>
    <x v="0"/>
    <n v="13.684799999999999"/>
    <n v="-89.214299999999994"/>
    <n v="11157.1"/>
    <n v="0"/>
    <n v="0"/>
    <n v="101"/>
    <s v="_x0000_US"/>
  </r>
  <r>
    <x v="0"/>
    <n v="13.687900000000001"/>
    <n v="-89.215599999999995"/>
    <n v="11157.9"/>
    <n v="0"/>
    <n v="0"/>
    <n v="101"/>
    <s v="_x0000_US"/>
  </r>
  <r>
    <x v="0"/>
    <n v="13.687799999999999"/>
    <n v="-89.181399999999996"/>
    <n v="11159.3"/>
    <n v="0"/>
    <n v="0"/>
    <n v="101"/>
    <s v="_x0000_US"/>
  </r>
  <r>
    <x v="0"/>
    <n v="13.687099999999999"/>
    <n v="-89.194699999999997"/>
    <n v="11159.8"/>
    <n v="0"/>
    <n v="0"/>
    <n v="101"/>
    <s v="_x0000_US"/>
  </r>
  <r>
    <x v="0"/>
    <n v="13.6854"/>
    <n v="-89.215199999999996"/>
    <n v="11159.8"/>
    <n v="0"/>
    <n v="0"/>
    <n v="101"/>
    <s v="_x0000_US"/>
  </r>
  <r>
    <x v="0"/>
    <n v="13.686999999999999"/>
    <n v="-89.197500000000005"/>
    <n v="11160"/>
    <n v="0"/>
    <n v="0"/>
    <n v="101"/>
    <s v="_x0000_US"/>
  </r>
  <r>
    <x v="0"/>
    <n v="13.6937"/>
    <n v="-89.176900000000003"/>
    <n v="11160.3"/>
    <n v="0"/>
    <n v="0"/>
    <n v="101"/>
    <s v="_x0000_US"/>
  </r>
  <r>
    <x v="0"/>
    <n v="13.6897"/>
    <n v="-89.190399999999997"/>
    <n v="11160.6"/>
    <n v="0"/>
    <n v="0"/>
    <n v="101"/>
    <s v="_x0000_US"/>
  </r>
  <r>
    <x v="0"/>
    <n v="13.674200000000001"/>
    <n v="-89.202399999999997"/>
    <n v="11160.7"/>
    <n v="0"/>
    <n v="0"/>
    <n v="101"/>
    <s v="_x0000_US"/>
  </r>
  <r>
    <x v="0"/>
    <n v="13.692399999999999"/>
    <n v="-89.186800000000005"/>
    <n v="11161"/>
    <n v="0"/>
    <n v="0"/>
    <n v="101"/>
    <s v="_x0000_US"/>
  </r>
  <r>
    <x v="0"/>
    <n v="13.6899"/>
    <n v="-89.193299999999994"/>
    <n v="11161"/>
    <n v="0"/>
    <n v="0"/>
    <n v="101"/>
    <s v="_x0000_US"/>
  </r>
  <r>
    <x v="0"/>
    <n v="13.6797"/>
    <n v="-89.194500000000005"/>
    <n v="11161.8"/>
    <n v="0"/>
    <n v="0"/>
    <n v="101"/>
    <s v="_x0000_US"/>
  </r>
  <r>
    <x v="0"/>
    <n v="13.685499999999999"/>
    <n v="-89.203000000000003"/>
    <n v="11161.9"/>
    <n v="0"/>
    <n v="0"/>
    <n v="101"/>
    <s v="_x0000_US"/>
  </r>
  <r>
    <x v="0"/>
    <n v="13.688700000000001"/>
    <n v="-89.180599999999998"/>
    <n v="11162"/>
    <n v="0"/>
    <n v="0"/>
    <n v="101"/>
    <s v="_x0000_US"/>
  </r>
  <r>
    <x v="0"/>
    <n v="13.692399999999999"/>
    <n v="-89.183899999999994"/>
    <n v="11162.2"/>
    <n v="0"/>
    <n v="0"/>
    <n v="101"/>
    <s v="_x0000_US"/>
  </r>
  <r>
    <x v="0"/>
    <n v="13.693199999999999"/>
    <n v="-89.183000000000007"/>
    <n v="11162.4"/>
    <n v="0"/>
    <n v="0"/>
    <n v="101"/>
    <s v="_x0000_US"/>
  </r>
  <r>
    <x v="0"/>
    <n v="13.6891"/>
    <n v="-89.183899999999994"/>
    <n v="11162.5"/>
    <n v="0"/>
    <n v="0"/>
    <n v="101"/>
    <s v="_x0000_US"/>
  </r>
  <r>
    <x v="0"/>
    <n v="13.687200000000001"/>
    <n v="-89.197000000000003"/>
    <n v="11162.8"/>
    <n v="0"/>
    <n v="0"/>
    <n v="101"/>
    <s v="_x0000_US"/>
  </r>
  <r>
    <x v="0"/>
    <n v="13.689399999999999"/>
    <n v="-89.206400000000002"/>
    <n v="11163"/>
    <n v="0"/>
    <n v="0"/>
    <n v="101"/>
    <s v="_x0000_US"/>
  </r>
  <r>
    <x v="0"/>
    <n v="13.6905"/>
    <n v="-89.1845"/>
    <n v="11163.1"/>
    <n v="0"/>
    <n v="0"/>
    <n v="101"/>
    <s v="_x0000_US"/>
  </r>
  <r>
    <x v="0"/>
    <n v="13.6868"/>
    <n v="-89.194299999999998"/>
    <n v="11163.8"/>
    <n v="0"/>
    <n v="0"/>
    <n v="101"/>
    <s v="_x0000_US"/>
  </r>
  <r>
    <x v="0"/>
    <n v="13.693899999999999"/>
    <n v="-89.175399999999996"/>
    <n v="11163.8"/>
    <n v="0"/>
    <n v="0"/>
    <n v="101"/>
    <s v="_x0000_US"/>
  </r>
  <r>
    <x v="0"/>
    <n v="13.6791"/>
    <n v="-89.193899999999999"/>
    <n v="11164.4"/>
    <n v="0"/>
    <n v="0"/>
    <n v="101"/>
    <s v="_x0000_US"/>
  </r>
  <r>
    <x v="0"/>
    <n v="13.6913"/>
    <n v="-89.234899999999996"/>
    <n v="11164.4"/>
    <n v="0"/>
    <n v="0"/>
    <n v="101"/>
    <s v="_x0000_US"/>
  </r>
  <r>
    <x v="0"/>
    <n v="13.692500000000001"/>
    <n v="-89.224900000000005"/>
    <n v="11165.6"/>
    <n v="0"/>
    <n v="0"/>
    <n v="101"/>
    <s v="_x0000_US"/>
  </r>
  <r>
    <x v="0"/>
    <n v="13.690200000000001"/>
    <n v="-89.228499999999997"/>
    <n v="11165.6"/>
    <n v="0"/>
    <n v="0"/>
    <n v="101"/>
    <s v="_x0000_US"/>
  </r>
  <r>
    <x v="0"/>
    <n v="13.6874"/>
    <n v="-89.194699999999997"/>
    <n v="11165.7"/>
    <n v="0"/>
    <n v="0"/>
    <n v="101"/>
    <s v="_x0000_US"/>
  </r>
  <r>
    <x v="0"/>
    <n v="13.6852"/>
    <n v="-89.217100000000002"/>
    <n v="11165.9"/>
    <n v="0"/>
    <n v="0"/>
    <n v="101"/>
    <s v="_x0000_US"/>
  </r>
  <r>
    <x v="0"/>
    <n v="13.689299999999999"/>
    <n v="-89.183499999999995"/>
    <n v="11166"/>
    <n v="0"/>
    <n v="0"/>
    <n v="101"/>
    <s v="_x0000_US"/>
  </r>
  <r>
    <x v="0"/>
    <n v="13.686"/>
    <n v="-89.1982"/>
    <n v="11166.1"/>
    <n v="0"/>
    <n v="0"/>
    <n v="101"/>
    <s v="_x0000_US"/>
  </r>
  <r>
    <x v="0"/>
    <n v="13.6877"/>
    <n v="-89.181700000000006"/>
    <n v="11166.8"/>
    <n v="0"/>
    <n v="0"/>
    <n v="101"/>
    <s v="_x0000_US"/>
  </r>
  <r>
    <x v="0"/>
    <n v="13.686"/>
    <n v="-89.214399999999998"/>
    <n v="11167"/>
    <n v="0"/>
    <n v="0"/>
    <n v="101"/>
    <s v="_x0000_US"/>
  </r>
  <r>
    <x v="0"/>
    <n v="13.691599999999999"/>
    <n v="-89.234800000000007"/>
    <n v="11167.3"/>
    <n v="0"/>
    <n v="0"/>
    <n v="101"/>
    <s v="_x0000_US"/>
  </r>
  <r>
    <x v="0"/>
    <n v="13.690300000000001"/>
    <n v="-89.234700000000004"/>
    <n v="11167.6"/>
    <n v="0"/>
    <n v="0"/>
    <n v="101"/>
    <s v="_x0000_US"/>
  </r>
  <r>
    <x v="0"/>
    <n v="13.6854"/>
    <n v="-89.194000000000003"/>
    <n v="11167.8"/>
    <n v="0"/>
    <n v="0"/>
    <n v="101"/>
    <s v="_x0000_US"/>
  </r>
  <r>
    <x v="0"/>
    <n v="13.691000000000001"/>
    <n v="-89.234999999999999"/>
    <n v="11167.8"/>
    <n v="0"/>
    <n v="0"/>
    <n v="101"/>
    <s v="_x0000_US"/>
  </r>
  <r>
    <x v="0"/>
    <n v="13.6897"/>
    <n v="-89.229100000000003"/>
    <n v="11167.9"/>
    <n v="0"/>
    <n v="0"/>
    <n v="101"/>
    <s v="_x0000_US"/>
  </r>
  <r>
    <x v="0"/>
    <n v="13.691000000000001"/>
    <n v="-89.185400000000001"/>
    <n v="11168"/>
    <n v="0"/>
    <n v="0"/>
    <n v="101"/>
    <s v="_x0000_US"/>
  </r>
  <r>
    <x v="0"/>
    <n v="13.6892"/>
    <n v="-89.204999999999998"/>
    <n v="11168"/>
    <n v="0"/>
    <n v="0"/>
    <n v="101"/>
    <s v="_x0000_US"/>
  </r>
  <r>
    <x v="0"/>
    <n v="13.6745"/>
    <n v="-89.252399999999994"/>
    <n v="11168.1"/>
    <n v="0"/>
    <n v="0"/>
    <n v="101"/>
    <s v="_x0000_US"/>
  </r>
  <r>
    <x v="0"/>
    <n v="13.691000000000001"/>
    <n v="-89.229699999999994"/>
    <n v="11168.4"/>
    <n v="0"/>
    <n v="0"/>
    <n v="101"/>
    <s v="_x0000_US"/>
  </r>
  <r>
    <x v="0"/>
    <n v="13.685600000000001"/>
    <n v="-89.212100000000007"/>
    <n v="11168.7"/>
    <n v="0"/>
    <n v="0"/>
    <n v="101"/>
    <s v="_x0000_US"/>
  </r>
  <r>
    <x v="0"/>
    <n v="13.6915"/>
    <n v="-89.2346"/>
    <n v="11168.7"/>
    <n v="0"/>
    <n v="0"/>
    <n v="101"/>
    <s v="_x0000_US"/>
  </r>
  <r>
    <x v="0"/>
    <n v="13.688599999999999"/>
    <n v="-89.2119"/>
    <n v="11169.2"/>
    <n v="0"/>
    <n v="0"/>
    <n v="101"/>
    <s v="_x0000_US"/>
  </r>
  <r>
    <x v="0"/>
    <n v="13.6874"/>
    <n v="-89.193700000000007"/>
    <n v="11169.4"/>
    <n v="0"/>
    <n v="0"/>
    <n v="101"/>
    <s v="_x0000_US"/>
  </r>
  <r>
    <x v="0"/>
    <n v="13.6915"/>
    <n v="-89.193399999999997"/>
    <n v="11170.2"/>
    <n v="0"/>
    <n v="0"/>
    <n v="101"/>
    <s v="_x0000_US"/>
  </r>
  <r>
    <x v="0"/>
    <n v="13.687200000000001"/>
    <n v="-89.194599999999994"/>
    <n v="11170.9"/>
    <n v="0"/>
    <n v="0"/>
    <n v="101"/>
    <s v="_x0000_US"/>
  </r>
  <r>
    <x v="0"/>
    <n v="13.6877"/>
    <n v="-89.196899999999999"/>
    <n v="11171.1"/>
    <n v="0"/>
    <n v="0"/>
    <n v="101"/>
    <s v="_x0000_US"/>
  </r>
  <r>
    <x v="0"/>
    <n v="13.689500000000001"/>
    <n v="-89.185000000000002"/>
    <n v="11171.3"/>
    <n v="0"/>
    <n v="0"/>
    <n v="101"/>
    <s v="_x0000_US"/>
  </r>
  <r>
    <x v="0"/>
    <n v="13.691599999999999"/>
    <n v="-89.220600000000005"/>
    <n v="11172.3"/>
    <n v="0"/>
    <n v="0"/>
    <n v="101"/>
    <s v="_x0000_US"/>
  </r>
  <r>
    <x v="0"/>
    <n v="13.6914"/>
    <n v="-89.188100000000006"/>
    <n v="11172.4"/>
    <n v="0"/>
    <n v="0"/>
    <n v="101"/>
    <s v="_x0000_US"/>
  </r>
  <r>
    <x v="0"/>
    <n v="13.694599999999999"/>
    <n v="-89.175200000000004"/>
    <n v="11172.5"/>
    <n v="0"/>
    <n v="0"/>
    <n v="101"/>
    <s v="_x0000_US"/>
  </r>
  <r>
    <x v="0"/>
    <n v="13.6806"/>
    <n v="-89.198300000000003"/>
    <n v="11172.7"/>
    <n v="0"/>
    <n v="0"/>
    <n v="101"/>
    <s v="_x0000_US"/>
  </r>
  <r>
    <x v="0"/>
    <n v="13.6867"/>
    <n v="-89.211500000000001"/>
    <n v="11172.9"/>
    <n v="0"/>
    <n v="0"/>
    <n v="101"/>
    <s v="_x0000_US"/>
  </r>
  <r>
    <x v="0"/>
    <n v="13.692399999999999"/>
    <n v="-89.186899999999994"/>
    <n v="11173.1"/>
    <n v="0"/>
    <n v="0"/>
    <n v="101"/>
    <s v="_x0000_US"/>
  </r>
  <r>
    <x v="0"/>
    <n v="13.6751"/>
    <n v="-89.202399999999997"/>
    <n v="11173.1"/>
    <n v="0"/>
    <n v="0"/>
    <n v="101"/>
    <s v="_x0000_US"/>
  </r>
  <r>
    <x v="0"/>
    <n v="13.6882"/>
    <n v="-89.215800000000002"/>
    <n v="11173.2"/>
    <n v="0"/>
    <n v="0"/>
    <n v="101"/>
    <s v="_x0000_US"/>
  </r>
  <r>
    <x v="0"/>
    <n v="13.6921"/>
    <n v="-89.225300000000004"/>
    <n v="11173.5"/>
    <n v="0"/>
    <n v="0"/>
    <n v="101"/>
    <s v="_x0000_US"/>
  </r>
  <r>
    <x v="0"/>
    <n v="13.6906"/>
    <n v="-89.197699999999998"/>
    <n v="11174.2"/>
    <n v="0"/>
    <n v="0"/>
    <n v="101"/>
    <s v="_x0000_US"/>
  </r>
  <r>
    <x v="0"/>
    <n v="13.6934"/>
    <n v="-89.188699999999997"/>
    <n v="11174.3"/>
    <n v="0"/>
    <n v="0"/>
    <n v="101"/>
    <s v="_x0000_US"/>
  </r>
  <r>
    <x v="0"/>
    <n v="13.694100000000001"/>
    <n v="-89.176299999999998"/>
    <n v="11176"/>
    <n v="0"/>
    <n v="0"/>
    <n v="101"/>
    <s v="_x0000_US"/>
  </r>
  <r>
    <x v="0"/>
    <n v="13.674300000000001"/>
    <n v="-89.251999999999995"/>
    <n v="11177.3"/>
    <n v="0"/>
    <n v="0"/>
    <n v="101"/>
    <s v="_x0000_US"/>
  </r>
  <r>
    <x v="0"/>
    <n v="13.690799999999999"/>
    <n v="-89.233800000000002"/>
    <n v="11178.1"/>
    <n v="0"/>
    <n v="0"/>
    <n v="101"/>
    <s v="_x0000_US"/>
  </r>
  <r>
    <x v="0"/>
    <n v="13.6913"/>
    <n v="-89.228800000000007"/>
    <n v="11178.3"/>
    <n v="0"/>
    <n v="0"/>
    <n v="101"/>
    <s v="_x0000_US"/>
  </r>
  <r>
    <x v="0"/>
    <n v="13.6853"/>
    <n v="-89.212400000000002"/>
    <n v="11179.6"/>
    <n v="0"/>
    <n v="0"/>
    <n v="101"/>
    <s v="_x0000_US"/>
  </r>
  <r>
    <x v="0"/>
    <n v="13.6891"/>
    <n v="-89.190299999999993"/>
    <n v="11179.9"/>
    <n v="0"/>
    <n v="0"/>
    <n v="101"/>
    <s v="_x0000_US"/>
  </r>
  <r>
    <x v="0"/>
    <n v="13.6869"/>
    <n v="-89.202200000000005"/>
    <n v="11179.9"/>
    <n v="0"/>
    <n v="0"/>
    <n v="101"/>
    <s v="_x0000_US"/>
  </r>
  <r>
    <x v="0"/>
    <n v="13.6911"/>
    <n v="-89.234300000000005"/>
    <n v="11180.7"/>
    <n v="0"/>
    <n v="0"/>
    <n v="101"/>
    <s v="_x0000_US"/>
  </r>
  <r>
    <x v="0"/>
    <n v="13.6877"/>
    <n v="-89.180999999999997"/>
    <n v="11181.4"/>
    <n v="0"/>
    <n v="0"/>
    <n v="101"/>
    <s v="_x0000_US"/>
  </r>
  <r>
    <x v="0"/>
    <n v="13.6751"/>
    <n v="-89.199799999999996"/>
    <n v="11181.7"/>
    <n v="0"/>
    <n v="0"/>
    <n v="101"/>
    <s v="_x0000_US"/>
  </r>
  <r>
    <x v="0"/>
    <n v="13.690799999999999"/>
    <n v="-89.234200000000001"/>
    <n v="11181.7"/>
    <n v="0"/>
    <n v="0"/>
    <n v="101"/>
    <s v="_x0000_US"/>
  </r>
  <r>
    <x v="0"/>
    <n v="13.690099999999999"/>
    <n v="-89.235100000000003"/>
    <n v="11181.9"/>
    <n v="0"/>
    <n v="0"/>
    <n v="101"/>
    <s v="_x0000_US"/>
  </r>
  <r>
    <x v="0"/>
    <n v="13.6852"/>
    <n v="-89.202500000000001"/>
    <n v="11183.5"/>
    <n v="0"/>
    <n v="0"/>
    <n v="101"/>
    <s v="_x0000_US"/>
  </r>
  <r>
    <x v="0"/>
    <n v="13.689299999999999"/>
    <n v="-89.207700000000003"/>
    <n v="11183.6"/>
    <n v="0"/>
    <n v="0"/>
    <n v="101"/>
    <s v="_x0000_US"/>
  </r>
  <r>
    <x v="0"/>
    <n v="13.6915"/>
    <n v="-89.233999999999995"/>
    <n v="11184.3"/>
    <n v="0"/>
    <n v="0"/>
    <n v="101"/>
    <s v="_x0000_US"/>
  </r>
  <r>
    <x v="0"/>
    <n v="13.692"/>
    <n v="-89.222700000000003"/>
    <n v="11184.8"/>
    <n v="0"/>
    <n v="0"/>
    <n v="101"/>
    <s v="_x0000_US"/>
  </r>
  <r>
    <x v="0"/>
    <n v="13.6875"/>
    <n v="-89.180899999999994"/>
    <n v="11184.9"/>
    <n v="0"/>
    <n v="0"/>
    <n v="101"/>
    <s v="_x0000_US"/>
  </r>
  <r>
    <x v="0"/>
    <n v="13.696400000000001"/>
    <n v="-89.1721"/>
    <n v="11184.9"/>
    <n v="0"/>
    <n v="0"/>
    <n v="101"/>
    <s v="_x0000_US"/>
  </r>
  <r>
    <x v="0"/>
    <n v="13.675000000000001"/>
    <n v="-89.248900000000006"/>
    <n v="11185"/>
    <n v="0"/>
    <n v="0"/>
    <n v="101"/>
    <s v="_x0000_US"/>
  </r>
  <r>
    <x v="0"/>
    <n v="13.6754"/>
    <n v="-89.248000000000005"/>
    <n v="11185"/>
    <n v="0"/>
    <n v="0"/>
    <n v="101"/>
    <s v="_x0000_US"/>
  </r>
  <r>
    <x v="0"/>
    <n v="13.6782"/>
    <n v="-89.245400000000004"/>
    <n v="11185.1"/>
    <n v="0"/>
    <n v="0"/>
    <n v="101"/>
    <s v="_x0000_US"/>
  </r>
  <r>
    <x v="0"/>
    <n v="13.6882"/>
    <n v="-89.194299999999998"/>
    <n v="11186"/>
    <n v="0"/>
    <n v="0"/>
    <n v="101"/>
    <s v="_x0000_US"/>
  </r>
  <r>
    <x v="0"/>
    <n v="13.690899999999999"/>
    <n v="-89.183300000000003"/>
    <n v="11186.2"/>
    <n v="0"/>
    <n v="0"/>
    <n v="101"/>
    <s v="_x0000_US"/>
  </r>
  <r>
    <x v="0"/>
    <n v="13.696400000000001"/>
    <n v="-89.171899999999994"/>
    <n v="11186.4"/>
    <n v="0"/>
    <n v="0"/>
    <n v="101"/>
    <s v="_x0000_US"/>
  </r>
  <r>
    <x v="0"/>
    <n v="13.6907"/>
    <n v="-89.233599999999996"/>
    <n v="11186.5"/>
    <n v="0"/>
    <n v="0"/>
    <n v="101"/>
    <s v="_x0000_US"/>
  </r>
  <r>
    <x v="0"/>
    <n v="13.6898"/>
    <n v="-89.193899999999999"/>
    <n v="11186.6"/>
    <n v="0"/>
    <n v="0"/>
    <n v="101"/>
    <s v="_x0000_US"/>
  </r>
  <r>
    <x v="0"/>
    <n v="13.6793"/>
    <n v="-89.197199999999995"/>
    <n v="11186.8"/>
    <n v="0"/>
    <n v="0"/>
    <n v="101"/>
    <s v="_x0000_US"/>
  </r>
  <r>
    <x v="0"/>
    <n v="13.691599999999999"/>
    <n v="-89.186400000000006"/>
    <n v="11187.2"/>
    <n v="0"/>
    <n v="0"/>
    <n v="101"/>
    <s v="_x0000_US"/>
  </r>
  <r>
    <x v="0"/>
    <n v="13.6896"/>
    <n v="-89.183700000000002"/>
    <n v="11187.3"/>
    <n v="0"/>
    <n v="0"/>
    <n v="101"/>
    <s v="_x0000_US"/>
  </r>
  <r>
    <x v="0"/>
    <n v="13.6883"/>
    <n v="-89.229399999999998"/>
    <n v="11187.3"/>
    <n v="0"/>
    <n v="0"/>
    <n v="101"/>
    <s v="_x0000_US"/>
  </r>
  <r>
    <x v="0"/>
    <n v="13.674899999999999"/>
    <n v="-89.2"/>
    <n v="11187.6"/>
    <n v="0"/>
    <n v="0"/>
    <n v="101"/>
    <s v="_x0000_US"/>
  </r>
  <r>
    <x v="0"/>
    <n v="13.691000000000001"/>
    <n v="-89.189300000000003"/>
    <n v="11188.1"/>
    <n v="0"/>
    <n v="0"/>
    <n v="101"/>
    <s v="_x0000_US"/>
  </r>
  <r>
    <x v="0"/>
    <n v="13.6914"/>
    <n v="-89.179599999999994"/>
    <n v="11188.2"/>
    <n v="0"/>
    <n v="0"/>
    <n v="101"/>
    <s v="_x0000_US"/>
  </r>
  <r>
    <x v="0"/>
    <n v="13.6898"/>
    <n v="-89.179100000000005"/>
    <n v="11188.5"/>
    <n v="0"/>
    <n v="0"/>
    <n v="101"/>
    <s v="_x0000_US"/>
  </r>
  <r>
    <x v="0"/>
    <n v="13.6859"/>
    <n v="-89.211500000000001"/>
    <n v="11189.2"/>
    <n v="0"/>
    <n v="0"/>
    <n v="101"/>
    <s v="_x0000_US"/>
  </r>
  <r>
    <x v="0"/>
    <n v="13.6881"/>
    <n v="-89.19"/>
    <n v="11191"/>
    <n v="0"/>
    <n v="0"/>
    <n v="101"/>
    <s v="_x0000_US"/>
  </r>
  <r>
    <x v="0"/>
    <n v="13.6873"/>
    <n v="-89.205200000000005"/>
    <n v="11191.1"/>
    <n v="0"/>
    <n v="0"/>
    <n v="101"/>
    <s v="_x0000_US"/>
  </r>
  <r>
    <x v="0"/>
    <n v="13.686999999999999"/>
    <n v="-89.183400000000006"/>
    <n v="11191.6"/>
    <n v="0"/>
    <n v="0"/>
    <n v="101"/>
    <s v="_x0000_US"/>
  </r>
  <r>
    <x v="0"/>
    <n v="13.6859"/>
    <n v="-89.214100000000002"/>
    <n v="11191.7"/>
    <n v="0"/>
    <n v="0"/>
    <n v="101"/>
    <s v="_x0000_US"/>
  </r>
  <r>
    <x v="0"/>
    <n v="13.689399999999999"/>
    <n v="-89.180899999999994"/>
    <n v="11191.8"/>
    <n v="0"/>
    <n v="0"/>
    <n v="101"/>
    <s v="_x0000_US"/>
  </r>
  <r>
    <x v="0"/>
    <n v="13.691599999999999"/>
    <n v="-89.178600000000003"/>
    <n v="11192"/>
    <n v="0"/>
    <n v="0"/>
    <n v="101"/>
    <s v="_x0000_US"/>
  </r>
  <r>
    <x v="0"/>
    <n v="13.6914"/>
    <n v="-89.176900000000003"/>
    <n v="11192.1"/>
    <n v="0"/>
    <n v="0"/>
    <n v="101"/>
    <s v="_x0000_US"/>
  </r>
  <r>
    <x v="0"/>
    <n v="13.6912"/>
    <n v="-89.234399999999994"/>
    <n v="11192.2"/>
    <n v="0"/>
    <n v="0"/>
    <n v="101"/>
    <s v="_x0000_US"/>
  </r>
  <r>
    <x v="0"/>
    <n v="13.6744"/>
    <n v="-89.251199999999997"/>
    <n v="11192.5"/>
    <n v="0"/>
    <n v="0"/>
    <n v="101"/>
    <s v="_x0000_US"/>
  </r>
  <r>
    <x v="0"/>
    <n v="13.691800000000001"/>
    <n v="-89.197400000000002"/>
    <n v="11192.9"/>
    <n v="0"/>
    <n v="0"/>
    <n v="101"/>
    <s v="_x0000_US"/>
  </r>
  <r>
    <x v="0"/>
    <n v="13.6914"/>
    <n v="-89.228499999999997"/>
    <n v="11194"/>
    <n v="0"/>
    <n v="0"/>
    <n v="101"/>
    <s v="_x0000_US"/>
  </r>
  <r>
    <x v="0"/>
    <n v="13.685"/>
    <n v="-89.202500000000001"/>
    <n v="11194.4"/>
    <n v="0"/>
    <n v="0"/>
    <n v="101"/>
    <s v="_x0000_US"/>
  </r>
  <r>
    <x v="0"/>
    <n v="13.690300000000001"/>
    <n v="-89.1798"/>
    <n v="11194.9"/>
    <n v="0"/>
    <n v="0"/>
    <n v="101"/>
    <s v="_x0000_US"/>
  </r>
  <r>
    <x v="0"/>
    <n v="13.690799999999999"/>
    <n v="-89.231399999999994"/>
    <n v="11194.9"/>
    <n v="0"/>
    <n v="0"/>
    <n v="101"/>
    <s v="_x0000_US"/>
  </r>
  <r>
    <x v="0"/>
    <n v="13.6927"/>
    <n v="-89.190200000000004"/>
    <n v="11195.4"/>
    <n v="0"/>
    <n v="0"/>
    <n v="101"/>
    <s v="_x0000_US"/>
  </r>
  <r>
    <x v="0"/>
    <n v="13.6914"/>
    <n v="-89.226200000000006"/>
    <n v="11195.8"/>
    <n v="0"/>
    <n v="0"/>
    <n v="101"/>
    <s v="_x0000_US"/>
  </r>
  <r>
    <x v="0"/>
    <n v="13.686999999999999"/>
    <n v="-89.194699999999997"/>
    <n v="11196.3"/>
    <n v="0"/>
    <n v="0"/>
    <n v="101"/>
    <s v="_x0000_US"/>
  </r>
  <r>
    <x v="0"/>
    <n v="13.690799999999999"/>
    <n v="-89.183899999999994"/>
    <n v="11196.7"/>
    <n v="0"/>
    <n v="0"/>
    <n v="101"/>
    <s v="_x0000_US"/>
  </r>
  <r>
    <x v="0"/>
    <n v="13.674799999999999"/>
    <n v="-89.199299999999994"/>
    <n v="11196.8"/>
    <n v="0"/>
    <n v="0"/>
    <n v="101"/>
    <s v="_x0000_US"/>
  </r>
  <r>
    <x v="0"/>
    <n v="13.6907"/>
    <n v="-89.1892"/>
    <n v="11197.1"/>
    <n v="0"/>
    <n v="0"/>
    <n v="101"/>
    <s v="_x0000_US"/>
  </r>
  <r>
    <x v="0"/>
    <n v="13.6896"/>
    <n v="-89.229399999999998"/>
    <n v="11197.3"/>
    <n v="0"/>
    <n v="0"/>
    <n v="101"/>
    <s v="_x0000_US"/>
  </r>
  <r>
    <x v="0"/>
    <n v="13.689399999999999"/>
    <n v="-89.229100000000003"/>
    <n v="11197.5"/>
    <n v="0"/>
    <n v="0"/>
    <n v="101"/>
    <s v="_x0000_US"/>
  </r>
  <r>
    <x v="0"/>
    <n v="13.6883"/>
    <n v="-89.229699999999994"/>
    <n v="11197.6"/>
    <n v="0"/>
    <n v="0"/>
    <n v="101"/>
    <s v="_x0000_US"/>
  </r>
  <r>
    <x v="0"/>
    <n v="13.6906"/>
    <n v="-89.217200000000005"/>
    <n v="11197.7"/>
    <n v="0"/>
    <n v="0"/>
    <n v="101"/>
    <s v="_x0000_US"/>
  </r>
  <r>
    <x v="0"/>
    <n v="13.6907"/>
    <n v="-89.227599999999995"/>
    <n v="11198.2"/>
    <n v="0"/>
    <n v="0"/>
    <n v="101"/>
    <s v="_x0000_US"/>
  </r>
  <r>
    <x v="0"/>
    <n v="13.6754"/>
    <n v="-89.249799999999993"/>
    <n v="11198.8"/>
    <n v="0"/>
    <n v="0"/>
    <n v="101"/>
    <s v="_x0000_US"/>
  </r>
  <r>
    <x v="0"/>
    <n v="13.6913"/>
    <n v="-89.188000000000002"/>
    <n v="11198.9"/>
    <n v="0"/>
    <n v="0"/>
    <n v="101"/>
    <s v="_x0000_US"/>
  </r>
  <r>
    <x v="0"/>
    <n v="13.696300000000001"/>
    <n v="-89.171899999999994"/>
    <n v="11198.9"/>
    <n v="0"/>
    <n v="0"/>
    <n v="101"/>
    <s v="_x0000_US"/>
  </r>
  <r>
    <x v="0"/>
    <n v="13.6927"/>
    <n v="-89.184200000000004"/>
    <n v="11199.3"/>
    <n v="0"/>
    <n v="0"/>
    <n v="101"/>
    <s v="_x0000_US"/>
  </r>
  <r>
    <x v="0"/>
    <n v="13.692399999999999"/>
    <n v="-89.174300000000002"/>
    <n v="11199.3"/>
    <n v="0"/>
    <n v="0"/>
    <n v="101"/>
    <s v="_x0000_US"/>
  </r>
  <r>
    <x v="0"/>
    <n v="13.691000000000001"/>
    <n v="-89.232699999999994"/>
    <n v="11199.5"/>
    <n v="0"/>
    <n v="0"/>
    <n v="101"/>
    <s v="_x0000_US"/>
  </r>
  <r>
    <x v="0"/>
    <n v="13.690799999999999"/>
    <n v="-89.234499999999997"/>
    <n v="11200"/>
    <n v="0"/>
    <n v="0"/>
    <n v="101"/>
    <s v="_x0000_US"/>
  </r>
  <r>
    <x v="0"/>
    <n v="13.6869"/>
    <n v="-89.192700000000002"/>
    <n v="11200.2"/>
    <n v="0"/>
    <n v="0"/>
    <n v="101"/>
    <s v="_x0000_US"/>
  </r>
  <r>
    <x v="0"/>
    <n v="13.688000000000001"/>
    <n v="-89.216700000000003"/>
    <n v="11200.3"/>
    <n v="0"/>
    <n v="0"/>
    <n v="101"/>
    <s v="_x0000_US"/>
  </r>
  <r>
    <x v="0"/>
    <n v="13.690099999999999"/>
    <n v="-89.18"/>
    <n v="11200.5"/>
    <n v="0"/>
    <n v="0"/>
    <n v="101"/>
    <s v="_x0000_US"/>
  </r>
  <r>
    <x v="0"/>
    <n v="13.690799999999999"/>
    <n v="-89.179299999999998"/>
    <n v="11200.7"/>
    <n v="0"/>
    <n v="0"/>
    <n v="101"/>
    <s v="_x0000_US"/>
  </r>
  <r>
    <x v="0"/>
    <n v="13.696199999999999"/>
    <n v="-89.172799999999995"/>
    <n v="11200.7"/>
    <n v="0"/>
    <n v="0"/>
    <n v="101"/>
    <s v="_x0000_US"/>
  </r>
  <r>
    <x v="0"/>
    <n v="13.685700000000001"/>
    <n v="-89.211299999999994"/>
    <n v="11201"/>
    <n v="0"/>
    <n v="0"/>
    <n v="101"/>
    <s v="_x0000_US"/>
  </r>
  <r>
    <x v="0"/>
    <n v="13.689"/>
    <n v="-89.190299999999993"/>
    <n v="11201.3"/>
    <n v="0"/>
    <n v="0"/>
    <n v="101"/>
    <s v="_x0000_US"/>
  </r>
  <r>
    <x v="0"/>
    <n v="13.6906"/>
    <n v="-89.178700000000006"/>
    <n v="11201.3"/>
    <n v="0"/>
    <n v="0"/>
    <n v="101"/>
    <s v="_x0000_US"/>
  </r>
  <r>
    <x v="0"/>
    <n v="13.686299999999999"/>
    <n v="-89.211500000000001"/>
    <n v="11201.3"/>
    <n v="0"/>
    <n v="0"/>
    <n v="101"/>
    <s v="_x0000_US"/>
  </r>
  <r>
    <x v="0"/>
    <n v="13.692399999999999"/>
    <n v="-89.179100000000005"/>
    <n v="11201.6"/>
    <n v="0"/>
    <n v="0"/>
    <n v="101"/>
    <s v="_x0000_US"/>
  </r>
  <r>
    <x v="0"/>
    <n v="13.691800000000001"/>
    <n v="-89.224400000000003"/>
    <n v="11201.6"/>
    <n v="0"/>
    <n v="0"/>
    <n v="101"/>
    <s v="_x0000_US"/>
  </r>
  <r>
    <x v="0"/>
    <n v="13.686999999999999"/>
    <n v="-89.216700000000003"/>
    <n v="11201.8"/>
    <n v="0"/>
    <n v="0"/>
    <n v="101"/>
    <s v="_x0000_US"/>
  </r>
  <r>
    <x v="0"/>
    <n v="13.689299999999999"/>
    <n v="-89.177899999999994"/>
    <n v="11201.9"/>
    <n v="0"/>
    <n v="0"/>
    <n v="101"/>
    <s v="_x0000_US"/>
  </r>
  <r>
    <x v="0"/>
    <n v="13.6942"/>
    <n v="-89.173100000000005"/>
    <n v="11202.3"/>
    <n v="0"/>
    <n v="0"/>
    <n v="101"/>
    <s v="_x0000_US"/>
  </r>
  <r>
    <x v="0"/>
    <n v="13.691800000000001"/>
    <n v="-89.197599999999994"/>
    <n v="11202.4"/>
    <n v="0"/>
    <n v="0"/>
    <n v="101"/>
    <s v="_x0000_US"/>
  </r>
  <r>
    <x v="0"/>
    <n v="13.692"/>
    <n v="-89.186899999999994"/>
    <n v="11202.4"/>
    <n v="0"/>
    <n v="0"/>
    <n v="101"/>
    <s v="_x0000_US"/>
  </r>
  <r>
    <x v="0"/>
    <n v="13.6876"/>
    <n v="-89.181399999999996"/>
    <n v="11202.9"/>
    <n v="0"/>
    <n v="0"/>
    <n v="101"/>
    <s v="_x0000_US"/>
  </r>
  <r>
    <x v="0"/>
    <n v="13.6904"/>
    <n v="-89.234099999999998"/>
    <n v="11203.2"/>
    <n v="0"/>
    <n v="0"/>
    <n v="101"/>
    <s v="_x0000_US"/>
  </r>
  <r>
    <x v="0"/>
    <n v="13.690899999999999"/>
    <n v="-89.233999999999995"/>
    <n v="11203.3"/>
    <n v="0"/>
    <n v="0"/>
    <n v="101"/>
    <s v="_x0000_US"/>
  </r>
  <r>
    <x v="0"/>
    <n v="13.6873"/>
    <n v="-89.181600000000003"/>
    <n v="11203.7"/>
    <n v="0"/>
    <n v="0"/>
    <n v="101"/>
    <s v="_x0000_US"/>
  </r>
  <r>
    <x v="0"/>
    <n v="13.687200000000001"/>
    <n v="-89.182900000000004"/>
    <n v="11204.5"/>
    <n v="0"/>
    <n v="0"/>
    <n v="101"/>
    <s v="_x0000_US"/>
  </r>
  <r>
    <x v="0"/>
    <n v="13.6906"/>
    <n v="-89.193399999999997"/>
    <n v="11204.5"/>
    <n v="0"/>
    <n v="0"/>
    <n v="101"/>
    <s v="_x0000_US"/>
  </r>
  <r>
    <x v="0"/>
    <n v="13.687900000000001"/>
    <n v="-89.1815"/>
    <n v="11204.8"/>
    <n v="0"/>
    <n v="0"/>
    <n v="101"/>
    <s v="_x0000_US"/>
  </r>
  <r>
    <x v="0"/>
    <n v="13.6922"/>
    <n v="-89.225200000000001"/>
    <n v="11204.9"/>
    <n v="0"/>
    <n v="0"/>
    <n v="101"/>
    <s v="_x0000_US"/>
  </r>
  <r>
    <x v="0"/>
    <n v="13.6896"/>
    <n v="-89.235600000000005"/>
    <n v="11204.9"/>
    <n v="0"/>
    <n v="0"/>
    <n v="101"/>
    <s v="_x0000_US"/>
  </r>
  <r>
    <x v="0"/>
    <n v="13.691700000000001"/>
    <n v="-89.179900000000004"/>
    <n v="11205.2"/>
    <n v="0"/>
    <n v="0"/>
    <n v="101"/>
    <s v="_x0000_US"/>
  </r>
  <r>
    <x v="0"/>
    <n v="13.688599999999999"/>
    <n v="-89.216099999999997"/>
    <n v="11205.8"/>
    <n v="0"/>
    <n v="0"/>
    <n v="101"/>
    <s v="_x0000_US"/>
  </r>
  <r>
    <x v="0"/>
    <n v="13.689299999999999"/>
    <n v="-89.229399999999998"/>
    <n v="11205.8"/>
    <n v="0"/>
    <n v="0"/>
    <n v="101"/>
    <s v="_x0000_US"/>
  </r>
  <r>
    <x v="0"/>
    <n v="13.6914"/>
    <n v="-89.179900000000004"/>
    <n v="11207"/>
    <n v="0"/>
    <n v="0"/>
    <n v="101"/>
    <s v="_x0000_US"/>
  </r>
  <r>
    <x v="0"/>
    <n v="13.6846"/>
    <n v="-89.216099999999997"/>
    <n v="11207"/>
    <n v="0"/>
    <n v="0"/>
    <n v="101"/>
    <s v="_x0000_US"/>
  </r>
  <r>
    <x v="0"/>
    <n v="13.6906"/>
    <n v="-89.227599999999995"/>
    <n v="11207.1"/>
    <n v="0"/>
    <n v="0"/>
    <n v="101"/>
    <s v="_x0000_US"/>
  </r>
  <r>
    <x v="0"/>
    <n v="13.6746"/>
    <n v="-89.252099999999999"/>
    <n v="11207.3"/>
    <n v="0"/>
    <n v="0"/>
    <n v="101"/>
    <s v="_x0000_US"/>
  </r>
  <r>
    <x v="0"/>
    <n v="13.6891"/>
    <n v="-89.181200000000004"/>
    <n v="11207.8"/>
    <n v="0"/>
    <n v="0"/>
    <n v="101"/>
    <s v="_x0000_US"/>
  </r>
  <r>
    <x v="0"/>
    <n v="13.688800000000001"/>
    <n v="-89.229200000000006"/>
    <n v="11208.7"/>
    <n v="0"/>
    <n v="0"/>
    <n v="101"/>
    <s v="_x0000_US"/>
  </r>
  <r>
    <x v="0"/>
    <n v="13.690799999999999"/>
    <n v="-89.194599999999994"/>
    <n v="11209.4"/>
    <n v="0"/>
    <n v="0"/>
    <n v="101"/>
    <s v="_x0000_US"/>
  </r>
  <r>
    <x v="0"/>
    <n v="13.6897"/>
    <n v="-89.179699999999997"/>
    <n v="11210.1"/>
    <n v="0"/>
    <n v="0"/>
    <n v="101"/>
    <s v="_x0000_US"/>
  </r>
  <r>
    <x v="0"/>
    <n v="13.6892"/>
    <n v="-89.2029"/>
    <n v="11211.2"/>
    <n v="0"/>
    <n v="0"/>
    <n v="101"/>
    <s v="_x0000_US"/>
  </r>
  <r>
    <x v="0"/>
    <n v="13.6912"/>
    <n v="-89.228999999999999"/>
    <n v="11211.6"/>
    <n v="0"/>
    <n v="0"/>
    <n v="101"/>
    <s v="_x0000_US"/>
  </r>
  <r>
    <x v="0"/>
    <n v="13.690899999999999"/>
    <n v="-89.233900000000006"/>
    <n v="11211.9"/>
    <n v="0"/>
    <n v="0"/>
    <n v="101"/>
    <s v="_x0000_US"/>
  </r>
  <r>
    <x v="0"/>
    <n v="13.6905"/>
    <n v="-89.234800000000007"/>
    <n v="11212.3"/>
    <n v="0"/>
    <n v="0"/>
    <n v="101"/>
    <s v="_x0000_US"/>
  </r>
  <r>
    <x v="0"/>
    <n v="13.690799999999999"/>
    <n v="-89.231999999999999"/>
    <n v="11212.3"/>
    <n v="0"/>
    <n v="0"/>
    <n v="101"/>
    <s v="_x0000_US"/>
  </r>
  <r>
    <x v="0"/>
    <n v="13.6904"/>
    <n v="-89.193399999999997"/>
    <n v="11213.5"/>
    <n v="0"/>
    <n v="0"/>
    <n v="101"/>
    <s v="_x0000_US"/>
  </r>
  <r>
    <x v="0"/>
    <n v="13.690899999999999"/>
    <n v="-89.186400000000006"/>
    <n v="11213.8"/>
    <n v="0"/>
    <n v="0"/>
    <n v="101"/>
    <s v="_x0000_US"/>
  </r>
  <r>
    <x v="0"/>
    <n v="13.6746"/>
    <n v="-89.199700000000007"/>
    <n v="11214"/>
    <n v="0"/>
    <n v="0"/>
    <n v="101"/>
    <s v="_x0000_US"/>
  </r>
  <r>
    <x v="0"/>
    <n v="13.686"/>
    <n v="-89.2012"/>
    <n v="11214.4"/>
    <n v="0"/>
    <n v="0"/>
    <n v="101"/>
    <s v="_x0000_US"/>
  </r>
  <r>
    <x v="0"/>
    <n v="13.6897"/>
    <n v="-89.193899999999999"/>
    <n v="11214.9"/>
    <n v="0"/>
    <n v="0"/>
    <n v="101"/>
    <s v="_x0000_US"/>
  </r>
  <r>
    <x v="0"/>
    <n v="13.690899999999999"/>
    <n v="-89.228800000000007"/>
    <n v="11215.5"/>
    <n v="0"/>
    <n v="0"/>
    <n v="101"/>
    <s v="_x0000_US"/>
  </r>
  <r>
    <x v="0"/>
    <n v="13.693300000000001"/>
    <n v="-89.188999999999993"/>
    <n v="11215.6"/>
    <n v="0"/>
    <n v="0"/>
    <n v="101"/>
    <s v="_x0000_US"/>
  </r>
  <r>
    <x v="0"/>
    <n v="13.692299999999999"/>
    <n v="-89.176699999999997"/>
    <n v="11215.6"/>
    <n v="0"/>
    <n v="0"/>
    <n v="101"/>
    <s v="_x0000_US"/>
  </r>
  <r>
    <x v="0"/>
    <n v="13.6898"/>
    <n v="-89.193899999999999"/>
    <n v="11215.6"/>
    <n v="0"/>
    <n v="0"/>
    <n v="101"/>
    <s v="_x0000_US"/>
  </r>
  <r>
    <x v="0"/>
    <n v="13.690200000000001"/>
    <n v="-89.184200000000004"/>
    <n v="11216"/>
    <n v="0"/>
    <n v="0"/>
    <n v="101"/>
    <s v="_x0000_US"/>
  </r>
  <r>
    <x v="0"/>
    <n v="13.6899"/>
    <n v="-89.193799999999996"/>
    <n v="11216.5"/>
    <n v="0"/>
    <n v="0"/>
    <n v="101"/>
    <s v="_x0000_US"/>
  </r>
  <r>
    <x v="0"/>
    <n v="13.687799999999999"/>
    <n v="-89.191900000000004"/>
    <n v="11216.6"/>
    <n v="0"/>
    <n v="0"/>
    <n v="101"/>
    <s v="_x0000_US"/>
  </r>
  <r>
    <x v="0"/>
    <n v="13.6775"/>
    <n v="-89.247399999999999"/>
    <n v="11216.7"/>
    <n v="0"/>
    <n v="0"/>
    <n v="101"/>
    <s v="_x0000_US"/>
  </r>
  <r>
    <x v="0"/>
    <n v="13.6928"/>
    <n v="-89.224599999999995"/>
    <n v="11216.8"/>
    <n v="0"/>
    <n v="0"/>
    <n v="101"/>
    <s v="_x0000_US"/>
  </r>
  <r>
    <x v="0"/>
    <n v="13.6769"/>
    <n v="-89.247699999999995"/>
    <n v="11217.4"/>
    <n v="0"/>
    <n v="0"/>
    <n v="101"/>
    <s v="_x0000_US"/>
  </r>
  <r>
    <x v="0"/>
    <n v="13.691000000000001"/>
    <n v="-89.229500000000002"/>
    <n v="11217.6"/>
    <n v="0"/>
    <n v="0"/>
    <n v="101"/>
    <s v="_x0000_US"/>
  </r>
  <r>
    <x v="0"/>
    <n v="13.6914"/>
    <n v="-89.233999999999995"/>
    <n v="11217.8"/>
    <n v="0"/>
    <n v="0"/>
    <n v="101"/>
    <s v="_x0000_US"/>
  </r>
  <r>
    <x v="0"/>
    <n v="13.677"/>
    <n v="-89.1999"/>
    <n v="11218.5"/>
    <n v="0"/>
    <n v="0"/>
    <n v="101"/>
    <s v="_x0000_US"/>
  </r>
  <r>
    <x v="0"/>
    <n v="13.6859"/>
    <n v="-89.211299999999994"/>
    <n v="11218.6"/>
    <n v="0"/>
    <n v="0"/>
    <n v="101"/>
    <s v="_x0000_US"/>
  </r>
  <r>
    <x v="0"/>
    <n v="13.6852"/>
    <n v="-89.215800000000002"/>
    <n v="11218.7"/>
    <n v="0"/>
    <n v="0"/>
    <n v="101"/>
    <s v="_x0000_US"/>
  </r>
  <r>
    <x v="0"/>
    <n v="13.689399999999999"/>
    <n v="-89.184200000000004"/>
    <n v="11219"/>
    <n v="0"/>
    <n v="0"/>
    <n v="101"/>
    <s v="_x0000_US"/>
  </r>
  <r>
    <x v="0"/>
    <n v="13.689399999999999"/>
    <n v="-89.235799999999998"/>
    <n v="11219.3"/>
    <n v="0"/>
    <n v="0"/>
    <n v="101"/>
    <s v="_x0000_US"/>
  </r>
  <r>
    <x v="0"/>
    <n v="13.6867"/>
    <n v="-89.1815"/>
    <n v="11219.7"/>
    <n v="0"/>
    <n v="0"/>
    <n v="101"/>
    <s v="_x0000_US"/>
  </r>
  <r>
    <x v="0"/>
    <n v="13.6921"/>
    <n v="-89.194400000000002"/>
    <n v="11220.3"/>
    <n v="0"/>
    <n v="0"/>
    <n v="101"/>
    <s v="_x0000_US"/>
  </r>
  <r>
    <x v="0"/>
    <n v="13.691000000000001"/>
    <n v="-89.198599999999999"/>
    <n v="11220.4"/>
    <n v="0"/>
    <n v="0"/>
    <n v="101"/>
    <s v="_x0000_US"/>
  </r>
  <r>
    <x v="0"/>
    <n v="13.6858"/>
    <n v="-89.215000000000003"/>
    <n v="11220.5"/>
    <n v="0"/>
    <n v="0"/>
    <n v="101"/>
    <s v="_x0000_US"/>
  </r>
  <r>
    <x v="0"/>
    <n v="13.686999999999999"/>
    <n v="-89.205200000000005"/>
    <n v="11221"/>
    <n v="0"/>
    <n v="0"/>
    <n v="101"/>
    <s v="_x0000_US"/>
  </r>
  <r>
    <x v="0"/>
    <n v="13.692399999999999"/>
    <n v="-89.2256"/>
    <n v="11221"/>
    <n v="0"/>
    <n v="0"/>
    <n v="101"/>
    <s v="_x0000_US"/>
  </r>
  <r>
    <x v="0"/>
    <n v="13.688599999999999"/>
    <n v="-89.1982"/>
    <n v="11221.1"/>
    <n v="0"/>
    <n v="0"/>
    <n v="101"/>
    <s v="_x0000_US"/>
  </r>
  <r>
    <x v="0"/>
    <n v="13.6934"/>
    <n v="-89.185299999999998"/>
    <n v="11221.3"/>
    <n v="0"/>
    <n v="0"/>
    <n v="101"/>
    <s v="_x0000_US"/>
  </r>
  <r>
    <x v="0"/>
    <n v="13.6899"/>
    <n v="-89.185900000000004"/>
    <n v="11221.4"/>
    <n v="0"/>
    <n v="0"/>
    <n v="101"/>
    <s v="_x0000_US"/>
  </r>
  <r>
    <x v="0"/>
    <n v="13.687200000000001"/>
    <n v="-89.183099999999996"/>
    <n v="11221.6"/>
    <n v="0"/>
    <n v="0"/>
    <n v="101"/>
    <s v="_x0000_US"/>
  </r>
  <r>
    <x v="0"/>
    <n v="13.6882"/>
    <n v="-89.181899999999999"/>
    <n v="11221.7"/>
    <n v="0"/>
    <n v="0"/>
    <n v="101"/>
    <s v="_x0000_US"/>
  </r>
  <r>
    <x v="0"/>
    <n v="13.6913"/>
    <n v="-89.234499999999997"/>
    <n v="11221.8"/>
    <n v="0"/>
    <n v="0"/>
    <n v="101"/>
    <s v="_x0000_US"/>
  </r>
  <r>
    <x v="0"/>
    <n v="13.679600000000001"/>
    <n v="-89.197400000000002"/>
    <n v="11222.2"/>
    <n v="0"/>
    <n v="0"/>
    <n v="101"/>
    <s v="_x0000_US"/>
  </r>
  <r>
    <x v="0"/>
    <n v="13.6891"/>
    <n v="-89.184100000000001"/>
    <n v="11222.4"/>
    <n v="0"/>
    <n v="0"/>
    <n v="101"/>
    <s v="_x0000_US"/>
  </r>
  <r>
    <x v="0"/>
    <n v="13.6915"/>
    <n v="-89.233400000000003"/>
    <n v="11223.1"/>
    <n v="0"/>
    <n v="0"/>
    <n v="101"/>
    <s v="_x0000_US"/>
  </r>
  <r>
    <x v="0"/>
    <n v="13.693099999999999"/>
    <n v="-89.189800000000005"/>
    <n v="11223.3"/>
    <n v="0"/>
    <n v="0"/>
    <n v="101"/>
    <s v="_x0000_US"/>
  </r>
  <r>
    <x v="0"/>
    <n v="13.690300000000001"/>
    <n v="-89.179699999999997"/>
    <n v="11223.6"/>
    <n v="0"/>
    <n v="0"/>
    <n v="101"/>
    <s v="_x0000_US"/>
  </r>
  <r>
    <x v="0"/>
    <n v="13.687900000000001"/>
    <n v="-89.179500000000004"/>
    <n v="11224"/>
    <n v="0"/>
    <n v="0"/>
    <n v="101"/>
    <s v="_x0000_US"/>
  </r>
  <r>
    <x v="0"/>
    <n v="13.6852"/>
    <n v="-89.201599999999999"/>
    <n v="11224"/>
    <n v="0"/>
    <n v="0"/>
    <n v="101"/>
    <s v="_x0000_US"/>
  </r>
  <r>
    <x v="0"/>
    <n v="13.691800000000001"/>
    <n v="-89.187600000000003"/>
    <n v="11224.9"/>
    <n v="0"/>
    <n v="0"/>
    <n v="101"/>
    <s v="_x0000_US"/>
  </r>
  <r>
    <x v="0"/>
    <n v="13.6877"/>
    <n v="-89.1815"/>
    <n v="11226.6"/>
    <n v="0"/>
    <n v="0"/>
    <n v="101"/>
    <s v="_x0000_US"/>
  </r>
  <r>
    <x v="0"/>
    <n v="13.687099999999999"/>
    <n v="-89.211600000000004"/>
    <n v="11227"/>
    <n v="0"/>
    <n v="0"/>
    <n v="101"/>
    <s v="_x0000_US"/>
  </r>
  <r>
    <x v="0"/>
    <n v="13.691000000000001"/>
    <n v="-89.233599999999996"/>
    <n v="11227.8"/>
    <n v="0"/>
    <n v="0"/>
    <n v="101"/>
    <s v="_x0000_US"/>
  </r>
  <r>
    <x v="0"/>
    <n v="13.6907"/>
    <n v="-89.187700000000007"/>
    <n v="11227.9"/>
    <n v="0"/>
    <n v="0"/>
    <n v="101"/>
    <s v="_x0000_US"/>
  </r>
  <r>
    <x v="0"/>
    <n v="13.692500000000001"/>
    <n v="-89.224900000000005"/>
    <n v="11228.4"/>
    <n v="0"/>
    <n v="0"/>
    <n v="101"/>
    <s v="_x0000_US"/>
  </r>
  <r>
    <x v="0"/>
    <n v="13.691000000000001"/>
    <n v="-89.183700000000002"/>
    <n v="11228.7"/>
    <n v="0"/>
    <n v="0"/>
    <n v="101"/>
    <s v="_x0000_US"/>
  </r>
  <r>
    <x v="0"/>
    <n v="13.6906"/>
    <n v="-89.233699999999999"/>
    <n v="11229.1"/>
    <n v="0"/>
    <n v="0"/>
    <n v="101"/>
    <s v="_x0000_US"/>
  </r>
  <r>
    <x v="0"/>
    <n v="13.675000000000001"/>
    <n v="-89.1995"/>
    <n v="11229.2"/>
    <n v="0"/>
    <n v="0"/>
    <n v="101"/>
    <s v="_x0000_US"/>
  </r>
  <r>
    <x v="0"/>
    <n v="13.684900000000001"/>
    <n v="-89.212400000000002"/>
    <n v="11229.2"/>
    <n v="0"/>
    <n v="0"/>
    <n v="101"/>
    <s v="_x0000_US"/>
  </r>
  <r>
    <x v="0"/>
    <n v="13.6854"/>
    <n v="-89.212100000000007"/>
    <n v="11229.2"/>
    <n v="0"/>
    <n v="0"/>
    <n v="101"/>
    <s v="_x0000_US"/>
  </r>
  <r>
    <x v="0"/>
    <n v="13.693"/>
    <n v="-89.1738"/>
    <n v="11229.3"/>
    <n v="0"/>
    <n v="0"/>
    <n v="101"/>
    <s v="_x0000_US"/>
  </r>
  <r>
    <x v="0"/>
    <n v="13.6774"/>
    <n v="-89.199600000000004"/>
    <n v="11229.7"/>
    <n v="0"/>
    <n v="0"/>
    <n v="101"/>
    <s v="_x0000_US"/>
  </r>
  <r>
    <x v="0"/>
    <n v="13.684799999999999"/>
    <n v="-89.215900000000005"/>
    <n v="11230.3"/>
    <n v="0"/>
    <n v="0"/>
    <n v="101"/>
    <s v="_x0000_US"/>
  </r>
  <r>
    <x v="0"/>
    <n v="13.6882"/>
    <n v="-89.180700000000002"/>
    <n v="11231.2"/>
    <n v="0"/>
    <n v="0"/>
    <n v="101"/>
    <s v="_x0000_US"/>
  </r>
  <r>
    <x v="0"/>
    <n v="13.687900000000001"/>
    <n v="-89.212999999999994"/>
    <n v="11231.6"/>
    <n v="0"/>
    <n v="0"/>
    <n v="101"/>
    <s v="_x0000_US"/>
  </r>
  <r>
    <x v="0"/>
    <n v="13.690200000000001"/>
    <n v="-89.188500000000005"/>
    <n v="11232.3"/>
    <n v="0"/>
    <n v="0"/>
    <n v="101"/>
    <s v="_x0000_US"/>
  </r>
  <r>
    <x v="0"/>
    <n v="13.6897"/>
    <n v="-89.193899999999999"/>
    <n v="11232.4"/>
    <n v="0"/>
    <n v="0"/>
    <n v="101"/>
    <s v="_x0000_US"/>
  </r>
  <r>
    <x v="0"/>
    <n v="13.694699999999999"/>
    <n v="-89.183400000000006"/>
    <n v="11232.5"/>
    <n v="0"/>
    <n v="0"/>
    <n v="101"/>
    <s v="_x0000_US"/>
  </r>
  <r>
    <x v="0"/>
    <n v="13.6944"/>
    <n v="-89.183099999999996"/>
    <n v="11232.6"/>
    <n v="0"/>
    <n v="0"/>
    <n v="101"/>
    <s v="_x0000_US"/>
  </r>
  <r>
    <x v="0"/>
    <n v="13.679500000000001"/>
    <n v="-89.196700000000007"/>
    <n v="11233.6"/>
    <n v="0"/>
    <n v="0"/>
    <n v="101"/>
    <s v="_x0000_US"/>
  </r>
  <r>
    <x v="0"/>
    <n v="13.6769"/>
    <n v="-89.247900000000001"/>
    <n v="11233.6"/>
    <n v="0"/>
    <n v="0"/>
    <n v="101"/>
    <s v="_x0000_US"/>
  </r>
  <r>
    <x v="0"/>
    <n v="13.6919"/>
    <n v="-89.179100000000005"/>
    <n v="11233.7"/>
    <n v="0"/>
    <n v="0"/>
    <n v="101"/>
    <s v="_x0000_US"/>
  </r>
  <r>
    <x v="0"/>
    <n v="13.6927"/>
    <n v="-89.225800000000007"/>
    <n v="11233.8"/>
    <n v="0"/>
    <n v="0"/>
    <n v="101"/>
    <s v="_x0000_US"/>
  </r>
  <r>
    <x v="0"/>
    <n v="13.6861"/>
    <n v="-89.211399999999998"/>
    <n v="11234.4"/>
    <n v="0"/>
    <n v="0"/>
    <n v="101"/>
    <s v="_x0000_US"/>
  </r>
  <r>
    <x v="0"/>
    <n v="13.688700000000001"/>
    <n v="-89.189899999999994"/>
    <n v="11234.8"/>
    <n v="0"/>
    <n v="0"/>
    <n v="101"/>
    <s v="_x0000_US"/>
  </r>
  <r>
    <x v="0"/>
    <n v="13.690099999999999"/>
    <n v="-89.18"/>
    <n v="11234.8"/>
    <n v="0"/>
    <n v="0"/>
    <n v="101"/>
    <s v="_x0000_US"/>
  </r>
  <r>
    <x v="0"/>
    <n v="13.6853"/>
    <n v="-89.212100000000007"/>
    <n v="11235.1"/>
    <n v="0"/>
    <n v="0"/>
    <n v="101"/>
    <s v="_x0000_US"/>
  </r>
  <r>
    <x v="0"/>
    <n v="13.691599999999999"/>
    <n v="-89.220200000000006"/>
    <n v="11235.1"/>
    <n v="0"/>
    <n v="0"/>
    <n v="101"/>
    <s v="_x0000_US"/>
  </r>
  <r>
    <x v="0"/>
    <n v="13.691700000000001"/>
    <n v="-89.233000000000004"/>
    <n v="11235.6"/>
    <n v="0"/>
    <n v="0"/>
    <n v="101"/>
    <s v="_x0000_US"/>
  </r>
  <r>
    <x v="0"/>
    <n v="13.687200000000001"/>
    <n v="-89.197199999999995"/>
    <n v="11235.9"/>
    <n v="0"/>
    <n v="0"/>
    <n v="101"/>
    <s v="_x0000_US"/>
  </r>
  <r>
    <x v="0"/>
    <n v="13.693199999999999"/>
    <n v="-89.188699999999997"/>
    <n v="11236.1"/>
    <n v="0"/>
    <n v="0"/>
    <n v="101"/>
    <s v="_x0000_US"/>
  </r>
  <r>
    <x v="0"/>
    <n v="13.688700000000001"/>
    <n v="-89.189700000000002"/>
    <n v="11236.2"/>
    <n v="0"/>
    <n v="0"/>
    <n v="101"/>
    <s v="_x0000_US"/>
  </r>
  <r>
    <x v="0"/>
    <n v="13.6898"/>
    <n v="-89.177599999999998"/>
    <n v="11236.5"/>
    <n v="0"/>
    <n v="0"/>
    <n v="101"/>
    <s v="_x0000_US"/>
  </r>
  <r>
    <x v="0"/>
    <n v="13.686"/>
    <n v="-89.212900000000005"/>
    <n v="11237.1"/>
    <n v="0"/>
    <n v="0"/>
    <n v="101"/>
    <s v="_x0000_US"/>
  </r>
  <r>
    <x v="0"/>
    <n v="13.6915"/>
    <n v="-89.226100000000002"/>
    <n v="11237.2"/>
    <n v="0"/>
    <n v="0"/>
    <n v="101"/>
    <s v="_x0000_US"/>
  </r>
  <r>
    <x v="0"/>
    <n v="13.684900000000001"/>
    <n v="-89.202200000000005"/>
    <n v="11237.6"/>
    <n v="0"/>
    <n v="0"/>
    <n v="101"/>
    <s v="_x0000_US"/>
  </r>
  <r>
    <x v="0"/>
    <n v="13.674200000000001"/>
    <n v="-89.202500000000001"/>
    <n v="11238.2"/>
    <n v="0"/>
    <n v="0"/>
    <n v="101"/>
    <s v="_x0000_US"/>
  </r>
  <r>
    <x v="0"/>
    <n v="13.6896"/>
    <n v="-89.235900000000001"/>
    <n v="11238.3"/>
    <n v="0"/>
    <n v="0"/>
    <n v="101"/>
    <s v="_x0000_US"/>
  </r>
  <r>
    <x v="0"/>
    <n v="13.6897"/>
    <n v="-89.193799999999996"/>
    <n v="11238.5"/>
    <n v="0"/>
    <n v="0"/>
    <n v="101"/>
    <s v="_x0000_US"/>
  </r>
  <r>
    <x v="0"/>
    <n v="13.691599999999999"/>
    <n v="-89.220500000000001"/>
    <n v="11238.6"/>
    <n v="0"/>
    <n v="0"/>
    <n v="101"/>
    <s v="_x0000_US"/>
  </r>
  <r>
    <x v="0"/>
    <n v="13.674300000000001"/>
    <n v="-89.251199999999997"/>
    <n v="11238.6"/>
    <n v="0"/>
    <n v="0"/>
    <n v="101"/>
    <s v="_x0000_US"/>
  </r>
  <r>
    <x v="0"/>
    <n v="13.690799999999999"/>
    <n v="-89.194299999999998"/>
    <n v="11238.7"/>
    <n v="0"/>
    <n v="0"/>
    <n v="101"/>
    <s v="_x0000_US"/>
  </r>
  <r>
    <x v="0"/>
    <n v="13.690200000000001"/>
    <n v="-89.193100000000001"/>
    <n v="11239.1"/>
    <n v="0"/>
    <n v="0"/>
    <n v="101"/>
    <s v="_x0000_US"/>
  </r>
  <r>
    <x v="0"/>
    <n v="13.691800000000001"/>
    <n v="-89.197199999999995"/>
    <n v="11239.4"/>
    <n v="0"/>
    <n v="0"/>
    <n v="101"/>
    <s v="_x0000_US"/>
  </r>
  <r>
    <x v="0"/>
    <n v="13.6873"/>
    <n v="-89.215699999999998"/>
    <n v="11239.4"/>
    <n v="0"/>
    <n v="0"/>
    <n v="101"/>
    <s v="_x0000_US"/>
  </r>
  <r>
    <x v="0"/>
    <n v="13.6951"/>
    <n v="-89.174599999999998"/>
    <n v="11239.7"/>
    <n v="0"/>
    <n v="0"/>
    <n v="101"/>
    <s v="_x0000_US"/>
  </r>
  <r>
    <x v="0"/>
    <n v="13.690300000000001"/>
    <n v="-89.178399999999996"/>
    <n v="11239.9"/>
    <n v="0"/>
    <n v="0"/>
    <n v="101"/>
    <s v="_x0000_US"/>
  </r>
  <r>
    <x v="0"/>
    <n v="13.690300000000001"/>
    <n v="-89.187700000000007"/>
    <n v="11240.2"/>
    <n v="0"/>
    <n v="0"/>
    <n v="101"/>
    <s v="_x0000_US"/>
  </r>
  <r>
    <x v="0"/>
    <n v="13.69"/>
    <n v="-89.235200000000006"/>
    <n v="11240.4"/>
    <n v="0"/>
    <n v="0"/>
    <n v="101"/>
    <s v="_x0000_US"/>
  </r>
  <r>
    <x v="0"/>
    <n v="13.6915"/>
    <n v="-89.233999999999995"/>
    <n v="11240.6"/>
    <n v="0"/>
    <n v="0"/>
    <n v="101"/>
    <s v="_x0000_US"/>
  </r>
  <r>
    <x v="0"/>
    <n v="13.687200000000001"/>
    <n v="-89.197800000000001"/>
    <n v="11240.7"/>
    <n v="0"/>
    <n v="0"/>
    <n v="101"/>
    <s v="_x0000_US"/>
  </r>
  <r>
    <x v="0"/>
    <n v="13.691000000000001"/>
    <n v="-89.1905"/>
    <n v="11240.7"/>
    <n v="0"/>
    <n v="0"/>
    <n v="101"/>
    <s v="_x0000_US"/>
  </r>
  <r>
    <x v="0"/>
    <n v="13.687200000000001"/>
    <n v="-89.205200000000005"/>
    <n v="11240.7"/>
    <n v="0"/>
    <n v="0"/>
    <n v="101"/>
    <s v="_x0000_US"/>
  </r>
  <r>
    <x v="0"/>
    <n v="13.691700000000001"/>
    <n v="-89.2256"/>
    <n v="11240.8"/>
    <n v="0"/>
    <n v="0"/>
    <n v="101"/>
    <s v="_x0000_US"/>
  </r>
  <r>
    <x v="0"/>
    <n v="13.6928"/>
    <n v="-89.224599999999995"/>
    <n v="11240.9"/>
    <n v="0"/>
    <n v="0"/>
    <n v="101"/>
    <s v="_x0000_US"/>
  </r>
  <r>
    <x v="0"/>
    <n v="13.691000000000001"/>
    <n v="-89.235799999999998"/>
    <n v="11241.1"/>
    <n v="0"/>
    <n v="0"/>
    <n v="101"/>
    <s v="_x0000_US"/>
  </r>
  <r>
    <x v="0"/>
    <n v="13.69"/>
    <n v="-89.193600000000004"/>
    <n v="11241.4"/>
    <n v="0"/>
    <n v="0"/>
    <n v="101"/>
    <s v="_x0000_US"/>
  </r>
  <r>
    <x v="0"/>
    <n v="13.6927"/>
    <n v="-89.184399999999997"/>
    <n v="11242.8"/>
    <n v="0"/>
    <n v="0"/>
    <n v="101"/>
    <s v="_x0000_US"/>
  </r>
  <r>
    <x v="0"/>
    <n v="13.686400000000001"/>
    <n v="-89.213899999999995"/>
    <n v="11243.5"/>
    <n v="0"/>
    <n v="0"/>
    <n v="101"/>
    <s v="_x0000_US"/>
  </r>
  <r>
    <x v="0"/>
    <n v="13.6912"/>
    <n v="-89.234099999999998"/>
    <n v="11243.5"/>
    <n v="0"/>
    <n v="0"/>
    <n v="101"/>
    <s v="_x0000_US"/>
  </r>
  <r>
    <x v="0"/>
    <n v="13.687200000000001"/>
    <n v="-89.192400000000006"/>
    <n v="11243.6"/>
    <n v="0"/>
    <n v="0"/>
    <n v="101"/>
    <s v="_x0000_US"/>
  </r>
  <r>
    <x v="0"/>
    <n v="13.6911"/>
    <n v="-89.185400000000001"/>
    <n v="11243.8"/>
    <n v="0"/>
    <n v="0"/>
    <n v="101"/>
    <s v="_x0000_US"/>
  </r>
  <r>
    <x v="0"/>
    <n v="13.6945"/>
    <n v="-89.189099999999996"/>
    <n v="11244"/>
    <n v="0"/>
    <n v="0"/>
    <n v="101"/>
    <s v="_x0000_US"/>
  </r>
  <r>
    <x v="0"/>
    <n v="13.6943"/>
    <n v="-89.188900000000004"/>
    <n v="11244.1"/>
    <n v="0"/>
    <n v="0"/>
    <n v="101"/>
    <s v="_x0000_US"/>
  </r>
  <r>
    <x v="0"/>
    <n v="13.6859"/>
    <n v="-89.214200000000005"/>
    <n v="11244.1"/>
    <n v="0"/>
    <n v="0"/>
    <n v="101"/>
    <s v="_x0000_US"/>
  </r>
  <r>
    <x v="0"/>
    <n v="13.6968"/>
    <n v="-89.171499999999995"/>
    <n v="11244.2"/>
    <n v="0"/>
    <n v="0"/>
    <n v="101"/>
    <s v="_x0000_US"/>
  </r>
  <r>
    <x v="0"/>
    <n v="13.690799999999999"/>
    <n v="-89.190700000000007"/>
    <n v="11244.7"/>
    <n v="0"/>
    <n v="0"/>
    <n v="101"/>
    <s v="_x0000_US"/>
  </r>
  <r>
    <x v="0"/>
    <n v="13.694699999999999"/>
    <n v="-89.183300000000003"/>
    <n v="11245.2"/>
    <n v="0"/>
    <n v="0"/>
    <n v="101"/>
    <s v="_x0000_US"/>
  </r>
  <r>
    <x v="0"/>
    <n v="13.686299999999999"/>
    <n v="-89.211600000000004"/>
    <n v="11245.9"/>
    <n v="0"/>
    <n v="0"/>
    <n v="101"/>
    <s v="_x0000_US"/>
  </r>
  <r>
    <x v="0"/>
    <n v="13.688499999999999"/>
    <n v="-89.197999999999993"/>
    <n v="11246.1"/>
    <n v="0"/>
    <n v="0"/>
    <n v="101"/>
    <s v="_x0000_US"/>
  </r>
  <r>
    <x v="0"/>
    <n v="13.6721"/>
    <n v="-89.204800000000006"/>
    <n v="11246.8"/>
    <n v="0"/>
    <n v="0"/>
    <n v="101"/>
    <s v="_x0000_US"/>
  </r>
  <r>
    <x v="0"/>
    <n v="13.6898"/>
    <n v="-89.216800000000006"/>
    <n v="11246.8"/>
    <n v="0"/>
    <n v="0"/>
    <n v="101"/>
    <s v="_x0000_US"/>
  </r>
  <r>
    <x v="0"/>
    <n v="13.6776"/>
    <n v="-89.247200000000007"/>
    <n v="11246.9"/>
    <n v="0"/>
    <n v="0"/>
    <n v="101"/>
    <s v="_x0000_US"/>
  </r>
  <r>
    <x v="0"/>
    <n v="13.6785"/>
    <n v="-89.196399999999997"/>
    <n v="11247.8"/>
    <n v="0"/>
    <n v="0"/>
    <n v="101"/>
    <s v="_x0000_US"/>
  </r>
  <r>
    <x v="0"/>
    <n v="13.6897"/>
    <n v="-89.216700000000003"/>
    <n v="11248.8"/>
    <n v="0"/>
    <n v="0"/>
    <n v="101"/>
    <s v="_x0000_US"/>
  </r>
  <r>
    <x v="0"/>
    <n v="13.6897"/>
    <n v="-89.178899999999999"/>
    <n v="11249.3"/>
    <n v="0"/>
    <n v="0"/>
    <n v="101"/>
    <s v="_x0000_US"/>
  </r>
  <r>
    <x v="0"/>
    <n v="13.6877"/>
    <n v="-89.179699999999997"/>
    <n v="11249.4"/>
    <n v="0"/>
    <n v="0"/>
    <n v="101"/>
    <s v="_x0000_US"/>
  </r>
  <r>
    <x v="0"/>
    <n v="13.674200000000001"/>
    <n v="-89.252200000000002"/>
    <n v="11249.9"/>
    <n v="0"/>
    <n v="0"/>
    <n v="101"/>
    <s v="_x0000_US"/>
  </r>
  <r>
    <x v="0"/>
    <n v="13.6746"/>
    <n v="-89.199200000000005"/>
    <n v="11250.7"/>
    <n v="0"/>
    <n v="0"/>
    <n v="101"/>
    <s v="_x0000_US"/>
  </r>
  <r>
    <x v="0"/>
    <n v="13.6911"/>
    <n v="-89.234399999999994"/>
    <n v="11251"/>
    <n v="0"/>
    <n v="0"/>
    <n v="101"/>
    <s v="_x0000_US"/>
  </r>
  <r>
    <x v="0"/>
    <n v="13.6897"/>
    <n v="-89.183599999999998"/>
    <n v="11252.5"/>
    <n v="0"/>
    <n v="0"/>
    <n v="101"/>
    <s v="_x0000_US"/>
  </r>
  <r>
    <x v="0"/>
    <n v="13.6915"/>
    <n v="-89.232399999999998"/>
    <n v="11254.4"/>
    <n v="0"/>
    <n v="0"/>
    <n v="101"/>
    <s v="_x0000_US"/>
  </r>
  <r>
    <x v="0"/>
    <n v="13.6859"/>
    <n v="-89.193899999999999"/>
    <n v="11255"/>
    <n v="0"/>
    <n v="0"/>
    <n v="101"/>
    <s v="_x0000_US"/>
  </r>
  <r>
    <x v="0"/>
    <n v="13.693099999999999"/>
    <n v="-89.183800000000005"/>
    <n v="11255.3"/>
    <n v="0"/>
    <n v="0"/>
    <n v="101"/>
    <s v="_x0000_US"/>
  </r>
  <r>
    <x v="0"/>
    <n v="13.6912"/>
    <n v="-89.234999999999999"/>
    <n v="11255.3"/>
    <n v="0"/>
    <n v="0"/>
    <n v="101"/>
    <s v="_x0000_US"/>
  </r>
  <r>
    <x v="0"/>
    <n v="13.694599999999999"/>
    <n v="-89.185500000000005"/>
    <n v="11255.9"/>
    <n v="0"/>
    <n v="0"/>
    <n v="101"/>
    <s v="_x0000_US"/>
  </r>
  <r>
    <x v="0"/>
    <n v="13.687200000000001"/>
    <n v="-89.194500000000005"/>
    <n v="11256"/>
    <n v="0"/>
    <n v="0"/>
    <n v="101"/>
    <s v="_x0000_US"/>
  </r>
  <r>
    <x v="0"/>
    <n v="13.6912"/>
    <n v="-89.179199999999994"/>
    <n v="11256.3"/>
    <n v="0"/>
    <n v="0"/>
    <n v="101"/>
    <s v="_x0000_US"/>
  </r>
  <r>
    <x v="0"/>
    <n v="13.6927"/>
    <n v="-89.225099999999998"/>
    <n v="11257"/>
    <n v="0"/>
    <n v="0"/>
    <n v="101"/>
    <s v="_x0000_US"/>
  </r>
  <r>
    <x v="0"/>
    <n v="13.691700000000001"/>
    <n v="-89.227000000000004"/>
    <n v="11257.5"/>
    <n v="0"/>
    <n v="0"/>
    <n v="101"/>
    <s v="_x0000_US"/>
  </r>
  <r>
    <x v="0"/>
    <n v="13.690899999999999"/>
    <n v="-89.186400000000006"/>
    <n v="11257.7"/>
    <n v="0"/>
    <n v="0"/>
    <n v="101"/>
    <s v="_x0000_US"/>
  </r>
  <r>
    <x v="0"/>
    <n v="13.6906"/>
    <n v="-89.186300000000003"/>
    <n v="11258.6"/>
    <n v="0"/>
    <n v="0"/>
    <n v="101"/>
    <s v="_x0000_US"/>
  </r>
  <r>
    <x v="0"/>
    <n v="13.6936"/>
    <n v="-89.176299999999998"/>
    <n v="11260"/>
    <n v="0"/>
    <n v="0"/>
    <n v="101"/>
    <s v="_x0000_US"/>
  </r>
  <r>
    <x v="0"/>
    <n v="13.6746"/>
    <n v="-89.252300000000005"/>
    <n v="11260.4"/>
    <n v="0"/>
    <n v="0"/>
    <n v="101"/>
    <s v="_x0000_US"/>
  </r>
  <r>
    <x v="0"/>
    <n v="13.6869"/>
    <n v="-89.197199999999995"/>
    <n v="11260.6"/>
    <n v="0"/>
    <n v="0"/>
    <n v="101"/>
    <s v="_x0000_US"/>
  </r>
  <r>
    <x v="0"/>
    <n v="13.691599999999999"/>
    <n v="-89.220299999999995"/>
    <n v="11260.7"/>
    <n v="0"/>
    <n v="0"/>
    <n v="101"/>
    <s v="_x0000_US"/>
  </r>
  <r>
    <x v="0"/>
    <n v="13.6792"/>
    <n v="-89.193899999999999"/>
    <n v="11261.2"/>
    <n v="0"/>
    <n v="0"/>
    <n v="101"/>
    <s v="_x0000_US"/>
  </r>
  <r>
    <x v="0"/>
    <n v="13.6851"/>
    <n v="-89.215100000000007"/>
    <n v="11261.3"/>
    <n v="0"/>
    <n v="0"/>
    <n v="101"/>
    <s v="_x0000_US"/>
  </r>
  <r>
    <x v="0"/>
    <n v="13.691000000000001"/>
    <n v="-89.22"/>
    <n v="11261.5"/>
    <n v="0"/>
    <n v="0"/>
    <n v="101"/>
    <s v="_x0000_US"/>
  </r>
  <r>
    <x v="0"/>
    <n v="13.6853"/>
    <n v="-89.212999999999994"/>
    <n v="11262.5"/>
    <n v="0"/>
    <n v="0"/>
    <n v="101"/>
    <s v="_x0000_US"/>
  </r>
  <r>
    <x v="0"/>
    <n v="13.686"/>
    <n v="-89.212599999999995"/>
    <n v="11262.5"/>
    <n v="0"/>
    <n v="0"/>
    <n v="101"/>
    <s v="_x0000_US"/>
  </r>
  <r>
    <x v="0"/>
    <n v="13.695600000000001"/>
    <n v="-89.173199999999994"/>
    <n v="11262.6"/>
    <n v="0"/>
    <n v="0"/>
    <n v="101"/>
    <s v="_x0000_US"/>
  </r>
  <r>
    <x v="0"/>
    <n v="13.688700000000001"/>
    <n v="-89.189599999999999"/>
    <n v="11262.7"/>
    <n v="0"/>
    <n v="0"/>
    <n v="101"/>
    <s v="_x0000_US"/>
  </r>
  <r>
    <x v="0"/>
    <n v="13.6899"/>
    <n v="-89.235299999999995"/>
    <n v="11262.9"/>
    <n v="0"/>
    <n v="0"/>
    <n v="101"/>
    <s v="_x0000_US"/>
  </r>
  <r>
    <x v="0"/>
    <n v="13.687200000000001"/>
    <n v="-89.195999999999998"/>
    <n v="11263.2"/>
    <n v="0"/>
    <n v="0"/>
    <n v="101"/>
    <s v="_x0000_US"/>
  </r>
  <r>
    <x v="0"/>
    <n v="13.6898"/>
    <n v="-89.228700000000003"/>
    <n v="11263.5"/>
    <n v="0"/>
    <n v="0"/>
    <n v="101"/>
    <s v="_x0000_US"/>
  </r>
  <r>
    <x v="0"/>
    <n v="13.685600000000001"/>
    <n v="-89.211100000000002"/>
    <n v="11263.8"/>
    <n v="0"/>
    <n v="0"/>
    <n v="101"/>
    <s v="_x0000_US"/>
  </r>
  <r>
    <x v="0"/>
    <n v="13.6784"/>
    <n v="-89.196299999999994"/>
    <n v="11264"/>
    <n v="0"/>
    <n v="0"/>
    <n v="101"/>
    <s v="_x0000_US"/>
  </r>
  <r>
    <x v="0"/>
    <n v="13.689299999999999"/>
    <n v="-89.207400000000007"/>
    <n v="11264.2"/>
    <n v="0"/>
    <n v="0"/>
    <n v="101"/>
    <s v="_x0000_US"/>
  </r>
  <r>
    <x v="0"/>
    <n v="13.6899"/>
    <n v="-89.189599999999999"/>
    <n v="11264.3"/>
    <n v="0"/>
    <n v="0"/>
    <n v="101"/>
    <s v="_x0000_US"/>
  </r>
  <r>
    <x v="0"/>
    <n v="13.692500000000001"/>
    <n v="-89.175600000000003"/>
    <n v="11265.1"/>
    <n v="0"/>
    <n v="0"/>
    <n v="101"/>
    <s v="_x0000_US"/>
  </r>
  <r>
    <x v="0"/>
    <n v="13.692"/>
    <n v="-89.223299999999995"/>
    <n v="11265.2"/>
    <n v="0"/>
    <n v="0"/>
    <n v="101"/>
    <s v="_x0000_US"/>
  </r>
  <r>
    <x v="0"/>
    <n v="13.6904"/>
    <n v="-89.178600000000003"/>
    <n v="11266.4"/>
    <n v="0"/>
    <n v="0"/>
    <n v="101"/>
    <s v="_x0000_US"/>
  </r>
  <r>
    <x v="0"/>
    <n v="13.688800000000001"/>
    <n v="-89.1982"/>
    <n v="11266.9"/>
    <n v="0"/>
    <n v="0"/>
    <n v="101"/>
    <s v="_x0000_US"/>
  </r>
  <r>
    <x v="0"/>
    <n v="13.687200000000001"/>
    <n v="-89.194800000000001"/>
    <n v="11267.5"/>
    <n v="0"/>
    <n v="0"/>
    <n v="101"/>
    <s v="_x0000_US"/>
  </r>
  <r>
    <x v="0"/>
    <n v="13.692600000000001"/>
    <n v="-89.224599999999995"/>
    <n v="11267.5"/>
    <n v="0"/>
    <n v="0"/>
    <n v="101"/>
    <s v="_x0000_US"/>
  </r>
  <r>
    <x v="0"/>
    <n v="13.691700000000001"/>
    <n v="-89.233500000000006"/>
    <n v="11267.5"/>
    <n v="0"/>
    <n v="0"/>
    <n v="101"/>
    <s v="_x0000_US"/>
  </r>
  <r>
    <x v="0"/>
    <n v="13.6747"/>
    <n v="-89.249700000000004"/>
    <n v="11267.8"/>
    <n v="0"/>
    <n v="0"/>
    <n v="101"/>
    <s v="_x0000_US"/>
  </r>
  <r>
    <x v="0"/>
    <n v="13.679399999999999"/>
    <n v="-89.197199999999995"/>
    <n v="11268.3"/>
    <n v="0"/>
    <n v="0"/>
    <n v="101"/>
    <s v="_x0000_US"/>
  </r>
  <r>
    <x v="0"/>
    <n v="13.690899999999999"/>
    <n v="-89.2346"/>
    <n v="11268.4"/>
    <n v="0"/>
    <n v="0"/>
    <n v="101"/>
    <s v="_x0000_US"/>
  </r>
  <r>
    <x v="0"/>
    <n v="13.6873"/>
    <n v="-89.198300000000003"/>
    <n v="11269.4"/>
    <n v="0"/>
    <n v="0"/>
    <n v="101"/>
    <s v="_x0000_US"/>
  </r>
  <r>
    <x v="0"/>
    <n v="13.688000000000001"/>
    <n v="-89.213300000000004"/>
    <n v="11269.5"/>
    <n v="0"/>
    <n v="0"/>
    <n v="101"/>
    <s v="_x0000_US"/>
  </r>
  <r>
    <x v="0"/>
    <n v="13.6891"/>
    <n v="-89.180599999999998"/>
    <n v="11270.2"/>
    <n v="0"/>
    <n v="0"/>
    <n v="101"/>
    <s v="_x0000_US"/>
  </r>
  <r>
    <x v="0"/>
    <n v="13.6768"/>
    <n v="-89.247600000000006"/>
    <n v="11270.5"/>
    <n v="0"/>
    <n v="0"/>
    <n v="101"/>
    <s v="_x0000_US"/>
  </r>
  <r>
    <x v="0"/>
    <n v="13.6874"/>
    <n v="-89.197100000000006"/>
    <n v="11270.9"/>
    <n v="0"/>
    <n v="0"/>
    <n v="101"/>
    <s v="_x0000_US"/>
  </r>
  <r>
    <x v="0"/>
    <n v="13.687099999999999"/>
    <n v="-89.197400000000002"/>
    <n v="11271.4"/>
    <n v="0"/>
    <n v="0"/>
    <n v="101"/>
    <s v="_x0000_US"/>
  </r>
  <r>
    <x v="0"/>
    <n v="13.686199999999999"/>
    <n v="-89.193799999999996"/>
    <n v="11271.5"/>
    <n v="0"/>
    <n v="0"/>
    <n v="101"/>
    <s v="_x0000_US"/>
  </r>
  <r>
    <x v="0"/>
    <n v="13.6944"/>
    <n v="-89.183199999999999"/>
    <n v="11272.3"/>
    <n v="0"/>
    <n v="0"/>
    <n v="101"/>
    <s v="_x0000_US"/>
  </r>
  <r>
    <x v="0"/>
    <n v="13.6912"/>
    <n v="-89.232399999999998"/>
    <n v="11272.5"/>
    <n v="0"/>
    <n v="0"/>
    <n v="101"/>
    <s v="_x0000_US"/>
  </r>
  <r>
    <x v="0"/>
    <n v="13.6965"/>
    <n v="-89.172300000000007"/>
    <n v="11272.7"/>
    <n v="0"/>
    <n v="0"/>
    <n v="101"/>
    <s v="_x0000_US"/>
  </r>
  <r>
    <x v="0"/>
    <n v="13.6861"/>
    <n v="-89.193799999999996"/>
    <n v="11273.2"/>
    <n v="0"/>
    <n v="0"/>
    <n v="101"/>
    <s v="_x0000_US"/>
  </r>
  <r>
    <x v="0"/>
    <n v="13.687200000000001"/>
    <n v="-89.194100000000006"/>
    <n v="11273.6"/>
    <n v="0"/>
    <n v="0"/>
    <n v="101"/>
    <s v="_x0000_US"/>
  </r>
  <r>
    <x v="0"/>
    <n v="13.6892"/>
    <n v="-89.229399999999998"/>
    <n v="11273.6"/>
    <n v="0"/>
    <n v="0"/>
    <n v="101"/>
    <s v="_x0000_US"/>
  </r>
  <r>
    <x v="0"/>
    <n v="13.689500000000001"/>
    <n v="-89.228999999999999"/>
    <n v="11273.8"/>
    <n v="0"/>
    <n v="0"/>
    <n v="101"/>
    <s v="_x0000_US"/>
  </r>
  <r>
    <x v="0"/>
    <n v="13.6845"/>
    <n v="-89.214600000000004"/>
    <n v="11275.4"/>
    <n v="0"/>
    <n v="0"/>
    <n v="101"/>
    <s v="_x0000_US"/>
  </r>
  <r>
    <x v="0"/>
    <n v="13.6905"/>
    <n v="-89.235500000000002"/>
    <n v="11275.9"/>
    <n v="0"/>
    <n v="0"/>
    <n v="101"/>
    <s v="_x0000_US"/>
  </r>
  <r>
    <x v="0"/>
    <n v="13.690799999999999"/>
    <n v="-89.233500000000006"/>
    <n v="11275.9"/>
    <n v="0"/>
    <n v="0"/>
    <n v="101"/>
    <s v="_x0000_US"/>
  </r>
  <r>
    <x v="0"/>
    <n v="13.691700000000001"/>
    <n v="-89.2333"/>
    <n v="11276.5"/>
    <n v="0"/>
    <n v="0"/>
    <n v="101"/>
    <s v="_x0000_US"/>
  </r>
  <r>
    <x v="0"/>
    <n v="13.691800000000001"/>
    <n v="-89.227000000000004"/>
    <n v="11276.9"/>
    <n v="0"/>
    <n v="0"/>
    <n v="101"/>
    <s v="_x0000_US"/>
  </r>
  <r>
    <x v="0"/>
    <n v="13.6915"/>
    <n v="-89.178799999999995"/>
    <n v="11277.4"/>
    <n v="0"/>
    <n v="0"/>
    <n v="101"/>
    <s v="_x0000_US"/>
  </r>
  <r>
    <x v="0"/>
    <n v="13.6938"/>
    <n v="-89.175899999999999"/>
    <n v="11277.8"/>
    <n v="0"/>
    <n v="0"/>
    <n v="101"/>
    <s v="_x0000_US"/>
  </r>
  <r>
    <x v="0"/>
    <n v="13.688800000000001"/>
    <n v="-89.211699999999993"/>
    <n v="11278"/>
    <n v="0"/>
    <n v="0"/>
    <n v="101"/>
    <s v="_x0000_US"/>
  </r>
  <r>
    <x v="0"/>
    <n v="13.690799999999999"/>
    <n v="-89.188800000000001"/>
    <n v="11278.2"/>
    <n v="0"/>
    <n v="0"/>
    <n v="101"/>
    <s v="_x0000_US"/>
  </r>
  <r>
    <x v="0"/>
    <n v="13.687200000000001"/>
    <n v="-89.192499999999995"/>
    <n v="11278.4"/>
    <n v="0"/>
    <n v="0"/>
    <n v="101"/>
    <s v="_x0000_US"/>
  </r>
  <r>
    <x v="0"/>
    <n v="13.6911"/>
    <n v="-89.23"/>
    <n v="11278.9"/>
    <n v="0"/>
    <n v="0"/>
    <n v="101"/>
    <s v="_x0000_US"/>
  </r>
  <r>
    <x v="0"/>
    <n v="13.6905"/>
    <n v="-89.188900000000004"/>
    <n v="11280.7"/>
    <n v="0"/>
    <n v="0"/>
    <n v="101"/>
    <s v="_x0000_US"/>
  </r>
  <r>
    <x v="0"/>
    <n v="13.691700000000001"/>
    <n v="-89.182000000000002"/>
    <n v="11280.7"/>
    <n v="0"/>
    <n v="0"/>
    <n v="101"/>
    <s v="_x0000_US"/>
  </r>
  <r>
    <x v="0"/>
    <n v="13.6896"/>
    <n v="-89.205299999999994"/>
    <n v="11280.7"/>
    <n v="0"/>
    <n v="0"/>
    <n v="101"/>
    <s v="_x0000_US"/>
  </r>
  <r>
    <x v="0"/>
    <n v="13.696999999999999"/>
    <n v="-89.171800000000005"/>
    <n v="11280.7"/>
    <n v="0"/>
    <n v="0"/>
    <n v="101"/>
    <s v="_x0000_US"/>
  </r>
  <r>
    <x v="0"/>
    <n v="13.6753"/>
    <n v="-89.248400000000004"/>
    <n v="11280.8"/>
    <n v="0"/>
    <n v="0"/>
    <n v="101"/>
    <s v="_x0000_US"/>
  </r>
  <r>
    <x v="0"/>
    <n v="13.6876"/>
    <n v="-89.197199999999995"/>
    <n v="11282.5"/>
    <n v="0"/>
    <n v="0"/>
    <n v="101"/>
    <s v="_x0000_US"/>
  </r>
  <r>
    <x v="0"/>
    <n v="13.69"/>
    <n v="-89.234800000000007"/>
    <n v="11282.7"/>
    <n v="0"/>
    <n v="0"/>
    <n v="101"/>
    <s v="_x0000_US"/>
  </r>
  <r>
    <x v="0"/>
    <n v="13.6882"/>
    <n v="-89.180400000000006"/>
    <n v="11282.8"/>
    <n v="0"/>
    <n v="0"/>
    <n v="101"/>
    <s v="_x0000_US"/>
  </r>
  <r>
    <x v="0"/>
    <n v="13.6853"/>
    <n v="-89.211799999999997"/>
    <n v="11282.8"/>
    <n v="0"/>
    <n v="0"/>
    <n v="101"/>
    <s v="_x0000_US"/>
  </r>
  <r>
    <x v="0"/>
    <n v="13.690899999999999"/>
    <n v="-89.229600000000005"/>
    <n v="11282.8"/>
    <n v="0"/>
    <n v="0"/>
    <n v="101"/>
    <s v="_x0000_US"/>
  </r>
  <r>
    <x v="0"/>
    <n v="13.679399999999999"/>
    <n v="-89.197100000000006"/>
    <n v="11283.9"/>
    <n v="0"/>
    <n v="0"/>
    <n v="101"/>
    <s v="_x0000_US"/>
  </r>
  <r>
    <x v="0"/>
    <n v="13.6898"/>
    <n v="-89.194000000000003"/>
    <n v="11284"/>
    <n v="0"/>
    <n v="0"/>
    <n v="101"/>
    <s v="_x0000_US"/>
  </r>
  <r>
    <x v="0"/>
    <n v="13.687799999999999"/>
    <n v="-89.179500000000004"/>
    <n v="11284"/>
    <n v="0"/>
    <n v="0"/>
    <n v="101"/>
    <s v="_x0000_US"/>
  </r>
  <r>
    <x v="0"/>
    <n v="13.691700000000001"/>
    <n v="-89.178899999999999"/>
    <n v="11284.1"/>
    <n v="0"/>
    <n v="0"/>
    <n v="101"/>
    <s v="_x0000_US"/>
  </r>
  <r>
    <x v="0"/>
    <n v="13.690300000000001"/>
    <n v="-89.235799999999998"/>
    <n v="11284.1"/>
    <n v="0"/>
    <n v="0"/>
    <n v="101"/>
    <s v="_x0000_US"/>
  </r>
  <r>
    <x v="0"/>
    <n v="13.6914"/>
    <n v="-89.176900000000003"/>
    <n v="11284.2"/>
    <n v="0"/>
    <n v="0"/>
    <n v="101"/>
    <s v="_x0000_US"/>
  </r>
  <r>
    <x v="0"/>
    <n v="13.6867"/>
    <n v="-89.211699999999993"/>
    <n v="11284.4"/>
    <n v="0"/>
    <n v="0"/>
    <n v="101"/>
    <s v="_x0000_US"/>
  </r>
  <r>
    <x v="0"/>
    <n v="13.692"/>
    <n v="-89.221599999999995"/>
    <n v="11284.8"/>
    <n v="0"/>
    <n v="0"/>
    <n v="101"/>
    <s v="_x0000_US"/>
  </r>
  <r>
    <x v="0"/>
    <n v="13.6874"/>
    <n v="-89.215699999999998"/>
    <n v="11284.9"/>
    <n v="0"/>
    <n v="0"/>
    <n v="101"/>
    <s v="_x0000_US"/>
  </r>
  <r>
    <x v="0"/>
    <n v="13.690899999999999"/>
    <n v="-89.194400000000002"/>
    <n v="11285.2"/>
    <n v="0"/>
    <n v="0"/>
    <n v="101"/>
    <s v="_x0000_US"/>
  </r>
  <r>
    <x v="0"/>
    <n v="13.6859"/>
    <n v="-89.201599999999999"/>
    <n v="11285.3"/>
    <n v="0"/>
    <n v="0"/>
    <n v="101"/>
    <s v="_x0000_US"/>
  </r>
  <r>
    <x v="0"/>
    <n v="13.6945"/>
    <n v="-89.1755"/>
    <n v="11285.5"/>
    <n v="0"/>
    <n v="0"/>
    <n v="101"/>
    <s v="_x0000_US"/>
  </r>
  <r>
    <x v="0"/>
    <n v="13.690300000000001"/>
    <n v="-89.197800000000001"/>
    <n v="11286"/>
    <n v="0"/>
    <n v="0"/>
    <n v="101"/>
    <s v="_x0000_US"/>
  </r>
  <r>
    <x v="0"/>
    <n v="13.690300000000001"/>
    <n v="-89.181200000000004"/>
    <n v="11286.4"/>
    <n v="0"/>
    <n v="0"/>
    <n v="101"/>
    <s v="_x0000_US"/>
  </r>
  <r>
    <x v="0"/>
    <n v="13.6883"/>
    <n v="-89.180800000000005"/>
    <n v="11286.9"/>
    <n v="0"/>
    <n v="0"/>
    <n v="101"/>
    <s v="_x0000_US"/>
  </r>
  <r>
    <x v="0"/>
    <n v="13.687799999999999"/>
    <n v="-89.216499999999996"/>
    <n v="11287.2"/>
    <n v="0"/>
    <n v="0"/>
    <n v="101"/>
    <s v="_x0000_US"/>
  </r>
  <r>
    <x v="0"/>
    <n v="13.687200000000001"/>
    <n v="-89.196700000000007"/>
    <n v="11288.3"/>
    <n v="0"/>
    <n v="0"/>
    <n v="101"/>
    <s v="_x0000_US"/>
  </r>
  <r>
    <x v="0"/>
    <n v="13.691700000000001"/>
    <n v="-89.225999999999999"/>
    <n v="11288.3"/>
    <n v="0"/>
    <n v="0"/>
    <n v="101"/>
    <s v="_x0000_US"/>
  </r>
  <r>
    <x v="0"/>
    <n v="13.687200000000001"/>
    <n v="-89.197400000000002"/>
    <n v="11288.4"/>
    <n v="0"/>
    <n v="0"/>
    <n v="101"/>
    <s v="_x0000_US"/>
  </r>
  <r>
    <x v="0"/>
    <n v="13.6891"/>
    <n v="-89.229699999999994"/>
    <n v="11288.4"/>
    <n v="0"/>
    <n v="0"/>
    <n v="101"/>
    <s v="_x0000_US"/>
  </r>
  <r>
    <x v="0"/>
    <n v="13.690300000000001"/>
    <n v="-89.1798"/>
    <n v="11289.5"/>
    <n v="0"/>
    <n v="0"/>
    <n v="101"/>
    <s v="_x0000_US"/>
  </r>
  <r>
    <x v="0"/>
    <n v="13.6915"/>
    <n v="-89.179699999999997"/>
    <n v="11289.7"/>
    <n v="0"/>
    <n v="0"/>
    <n v="101"/>
    <s v="_x0000_US"/>
  </r>
  <r>
    <x v="0"/>
    <n v="13.686299999999999"/>
    <n v="-89.203800000000001"/>
    <n v="11291.3"/>
    <n v="0"/>
    <n v="0"/>
    <n v="101"/>
    <s v="_x0000_US"/>
  </r>
  <r>
    <x v="0"/>
    <n v="13.6907"/>
    <n v="-89.234999999999999"/>
    <n v="11291.5"/>
    <n v="0"/>
    <n v="0"/>
    <n v="101"/>
    <s v="_x0000_US"/>
  </r>
  <r>
    <x v="0"/>
    <n v="13.691800000000001"/>
    <n v="-89.225499999999997"/>
    <n v="11291.8"/>
    <n v="0"/>
    <n v="0"/>
    <n v="101"/>
    <s v="_x0000_US"/>
  </r>
  <r>
    <x v="0"/>
    <n v="13.6938"/>
    <n v="-89.174099999999996"/>
    <n v="11292.1"/>
    <n v="0"/>
    <n v="0"/>
    <n v="101"/>
    <s v="_x0000_US"/>
  </r>
  <r>
    <x v="0"/>
    <n v="13.6854"/>
    <n v="-89.212500000000006"/>
    <n v="11292.2"/>
    <n v="0"/>
    <n v="0"/>
    <n v="101"/>
    <s v="_x0000_US"/>
  </r>
  <r>
    <x v="0"/>
    <n v="13.686999999999999"/>
    <n v="-89.204300000000003"/>
    <n v="11292.3"/>
    <n v="0"/>
    <n v="0"/>
    <n v="101"/>
    <s v="_x0000_US"/>
  </r>
  <r>
    <x v="0"/>
    <n v="13.684900000000001"/>
    <n v="-89.201599999999999"/>
    <n v="11292.5"/>
    <n v="0"/>
    <n v="0"/>
    <n v="101"/>
    <s v="_x0000_US"/>
  </r>
  <r>
    <x v="0"/>
    <n v="13.686"/>
    <n v="-89.211399999999998"/>
    <n v="11293.1"/>
    <n v="0"/>
    <n v="0"/>
    <n v="101"/>
    <s v="_x0000_US"/>
  </r>
  <r>
    <x v="0"/>
    <n v="13.6915"/>
    <n v="-89.220600000000005"/>
    <n v="11294"/>
    <n v="0"/>
    <n v="0"/>
    <n v="101"/>
    <s v="_x0000_US"/>
  </r>
  <r>
    <x v="0"/>
    <n v="13.687099999999999"/>
    <n v="-89.194800000000001"/>
    <n v="11294.6"/>
    <n v="0"/>
    <n v="0"/>
    <n v="101"/>
    <s v="_x0000_US"/>
  </r>
  <r>
    <x v="0"/>
    <n v="13.6906"/>
    <n v="-89.194199999999995"/>
    <n v="11295.4"/>
    <n v="0"/>
    <n v="0"/>
    <n v="101"/>
    <s v="_x0000_US"/>
  </r>
  <r>
    <x v="0"/>
    <n v="13.6744"/>
    <n v="-89.202200000000005"/>
    <n v="11295.4"/>
    <n v="0"/>
    <n v="0"/>
    <n v="101"/>
    <s v="_x0000_US"/>
  </r>
  <r>
    <x v="0"/>
    <n v="13.6921"/>
    <n v="-89.223299999999995"/>
    <n v="11295.5"/>
    <n v="0"/>
    <n v="0"/>
    <n v="101"/>
    <s v="_x0000_US"/>
  </r>
  <r>
    <x v="0"/>
    <n v="13.6915"/>
    <n v="-89.226699999999994"/>
    <n v="11296.1"/>
    <n v="0"/>
    <n v="0"/>
    <n v="101"/>
    <s v="_x0000_US"/>
  </r>
  <r>
    <x v="0"/>
    <n v="13.690899999999999"/>
    <n v="-89.235699999999994"/>
    <n v="11296.2"/>
    <n v="0"/>
    <n v="0"/>
    <n v="101"/>
    <s v="_x0000_US"/>
  </r>
  <r>
    <x v="0"/>
    <n v="13.6913"/>
    <n v="-89.233500000000006"/>
    <n v="11296.2"/>
    <n v="0"/>
    <n v="0"/>
    <n v="101"/>
    <s v="_x0000_US"/>
  </r>
  <r>
    <x v="0"/>
    <n v="13.6913"/>
    <n v="-89.188699999999997"/>
    <n v="11296.4"/>
    <n v="0"/>
    <n v="0"/>
    <n v="101"/>
    <s v="_x0000_US"/>
  </r>
  <r>
    <x v="0"/>
    <n v="13.694699999999999"/>
    <n v="-89.185500000000005"/>
    <n v="11296.5"/>
    <n v="0"/>
    <n v="0"/>
    <n v="101"/>
    <s v="_x0000_US"/>
  </r>
  <r>
    <x v="0"/>
    <n v="13.6944"/>
    <n v="-89.183199999999999"/>
    <n v="11297.2"/>
    <n v="0"/>
    <n v="0"/>
    <n v="101"/>
    <s v="_x0000_US"/>
  </r>
  <r>
    <x v="0"/>
    <n v="13.6922"/>
    <n v="-89.225700000000003"/>
    <n v="11297.2"/>
    <n v="0"/>
    <n v="0"/>
    <n v="101"/>
    <s v="_x0000_US"/>
  </r>
  <r>
    <x v="0"/>
    <n v="13.6851"/>
    <n v="-89.217299999999994"/>
    <n v="11297.8"/>
    <n v="0"/>
    <n v="0"/>
    <n v="101"/>
    <s v="_x0000_US"/>
  </r>
  <r>
    <x v="0"/>
    <n v="13.694599999999999"/>
    <n v="-89.174199999999999"/>
    <n v="11299"/>
    <n v="0"/>
    <n v="0"/>
    <n v="101"/>
    <s v="_x0000_US"/>
  </r>
  <r>
    <x v="0"/>
    <n v="13.693300000000001"/>
    <n v="-89.177499999999995"/>
    <n v="11299.1"/>
    <n v="0"/>
    <n v="0"/>
    <n v="101"/>
    <s v="_x0000_US"/>
  </r>
  <r>
    <x v="0"/>
    <n v="13.6911"/>
    <n v="-89.229799999999997"/>
    <n v="11299.4"/>
    <n v="0"/>
    <n v="0"/>
    <n v="101"/>
    <s v="_x0000_US"/>
  </r>
  <r>
    <x v="0"/>
    <n v="13.688000000000001"/>
    <n v="-89.237300000000005"/>
    <n v="11299.4"/>
    <n v="0"/>
    <n v="0"/>
    <n v="101"/>
    <s v="_x0000_US"/>
  </r>
  <r>
    <x v="0"/>
    <n v="13.6957"/>
    <n v="-89.174000000000007"/>
    <n v="11300.2"/>
    <n v="0"/>
    <n v="0"/>
    <n v="101"/>
    <s v="_x0000_US"/>
  </r>
  <r>
    <x v="0"/>
    <n v="13.6966"/>
    <n v="-89.172300000000007"/>
    <n v="11300.4"/>
    <n v="0"/>
    <n v="0"/>
    <n v="101"/>
    <s v="_x0000_US"/>
  </r>
  <r>
    <x v="0"/>
    <n v="13.688599999999999"/>
    <n v="-89.198700000000002"/>
    <n v="11300.6"/>
    <n v="0"/>
    <n v="0"/>
    <n v="101"/>
    <s v="_x0000_US"/>
  </r>
  <r>
    <x v="0"/>
    <n v="13.6913"/>
    <n v="-89.187799999999996"/>
    <n v="11301"/>
    <n v="0"/>
    <n v="0"/>
    <n v="101"/>
    <s v="_x0000_US"/>
  </r>
  <r>
    <x v="0"/>
    <n v="13.691599999999999"/>
    <n v="-89.225899999999996"/>
    <n v="11301.2"/>
    <n v="0"/>
    <n v="0"/>
    <n v="101"/>
    <s v="_x0000_US"/>
  </r>
  <r>
    <x v="0"/>
    <n v="13.690799999999999"/>
    <n v="-89.186000000000007"/>
    <n v="11301.4"/>
    <n v="0"/>
    <n v="0"/>
    <n v="101"/>
    <s v="_x0000_US"/>
  </r>
  <r>
    <x v="0"/>
    <n v="13.687099999999999"/>
    <n v="-89.194699999999997"/>
    <n v="11301.9"/>
    <n v="0"/>
    <n v="0"/>
    <n v="101"/>
    <s v="_x0000_US"/>
  </r>
  <r>
    <x v="0"/>
    <n v="13.690799999999999"/>
    <n v="-89.233199999999997"/>
    <n v="11302.2"/>
    <n v="0"/>
    <n v="0"/>
    <n v="101"/>
    <s v="_x0000_US"/>
  </r>
  <r>
    <x v="0"/>
    <n v="13.673"/>
    <n v="-89.204400000000007"/>
    <n v="11302.9"/>
    <n v="0"/>
    <n v="0"/>
    <n v="101"/>
    <s v="_x0000_US"/>
  </r>
  <r>
    <x v="0"/>
    <n v="13.6929"/>
    <n v="-89.224900000000005"/>
    <n v="11303"/>
    <n v="0"/>
    <n v="0"/>
    <n v="101"/>
    <s v="_x0000_US"/>
  </r>
  <r>
    <x v="0"/>
    <n v="13.691800000000001"/>
    <n v="-89.179900000000004"/>
    <n v="11303.3"/>
    <n v="0"/>
    <n v="0"/>
    <n v="101"/>
    <s v="_x0000_US"/>
  </r>
  <r>
    <x v="0"/>
    <n v="13.6753"/>
    <n v="-89.250100000000003"/>
    <n v="11304.3"/>
    <n v="0"/>
    <n v="0"/>
    <n v="101"/>
    <s v="_x0000_US"/>
  </r>
  <r>
    <x v="0"/>
    <n v="13.692399999999999"/>
    <n v="-89.226600000000005"/>
    <n v="11304.6"/>
    <n v="0"/>
    <n v="0"/>
    <n v="101"/>
    <s v="_x0000_US"/>
  </r>
  <r>
    <x v="0"/>
    <n v="13.693199999999999"/>
    <n v="-89.177400000000006"/>
    <n v="11304.8"/>
    <n v="0"/>
    <n v="0"/>
    <n v="101"/>
    <s v="_x0000_US"/>
  </r>
  <r>
    <x v="0"/>
    <n v="13.6876"/>
    <n v="-89.215900000000005"/>
    <n v="11304.9"/>
    <n v="0"/>
    <n v="0"/>
    <n v="101"/>
    <s v="_x0000_US"/>
  </r>
  <r>
    <x v="0"/>
    <n v="13.696099999999999"/>
    <n v="-89.172499999999999"/>
    <n v="11305.1"/>
    <n v="0"/>
    <n v="0"/>
    <n v="101"/>
    <s v="_x0000_US"/>
  </r>
  <r>
    <x v="0"/>
    <n v="13.6852"/>
    <n v="-89.217299999999994"/>
    <n v="11306"/>
    <n v="0"/>
    <n v="0"/>
    <n v="101"/>
    <s v="_x0000_US"/>
  </r>
  <r>
    <x v="0"/>
    <n v="13.6891"/>
    <n v="-89.204999999999998"/>
    <n v="11306.4"/>
    <n v="0"/>
    <n v="0"/>
    <n v="101"/>
    <s v="_x0000_US"/>
  </r>
  <r>
    <x v="0"/>
    <n v="13.6883"/>
    <n v="-89.198099999999997"/>
    <n v="11306.9"/>
    <n v="0"/>
    <n v="0"/>
    <n v="101"/>
    <s v="_x0000_US"/>
  </r>
  <r>
    <x v="0"/>
    <n v="13.6922"/>
    <n v="-89.194400000000002"/>
    <n v="11307.2"/>
    <n v="0"/>
    <n v="0"/>
    <n v="101"/>
    <s v="_x0000_US"/>
  </r>
  <r>
    <x v="0"/>
    <n v="13.6922"/>
    <n v="-89.175700000000006"/>
    <n v="11307.2"/>
    <n v="0"/>
    <n v="0"/>
    <n v="101"/>
    <s v="_x0000_US"/>
  </r>
  <r>
    <x v="0"/>
    <n v="13.679500000000001"/>
    <n v="-89.197000000000003"/>
    <n v="11307.9"/>
    <n v="0"/>
    <n v="0"/>
    <n v="101"/>
    <s v="_x0000_US"/>
  </r>
  <r>
    <x v="0"/>
    <n v="13.690799999999999"/>
    <n v="-89.189300000000003"/>
    <n v="11308.4"/>
    <n v="0"/>
    <n v="0"/>
    <n v="101"/>
    <s v="_x0000_US"/>
  </r>
  <r>
    <x v="0"/>
    <n v="13.688499999999999"/>
    <n v="-89.180800000000005"/>
    <n v="11309"/>
    <n v="0"/>
    <n v="0"/>
    <n v="101"/>
    <s v="_x0000_US"/>
  </r>
  <r>
    <x v="0"/>
    <n v="13.6858"/>
    <n v="-89.193899999999999"/>
    <n v="11309.2"/>
    <n v="0"/>
    <n v="0"/>
    <n v="101"/>
    <s v="_x0000_US"/>
  </r>
  <r>
    <x v="0"/>
    <n v="13.692399999999999"/>
    <n v="-89.174499999999995"/>
    <n v="11309.2"/>
    <n v="0"/>
    <n v="0"/>
    <n v="101"/>
    <s v="_x0000_US"/>
  </r>
  <r>
    <x v="0"/>
    <n v="13.6874"/>
    <n v="-89.194900000000004"/>
    <n v="11310.7"/>
    <n v="0"/>
    <n v="0"/>
    <n v="101"/>
    <s v="_x0000_US"/>
  </r>
  <r>
    <x v="0"/>
    <n v="13.6875"/>
    <n v="-89.194599999999994"/>
    <n v="11311.2"/>
    <n v="0"/>
    <n v="0"/>
    <n v="101"/>
    <s v="_x0000_US"/>
  </r>
  <r>
    <x v="0"/>
    <n v="13.688000000000001"/>
    <n v="-89.181100000000001"/>
    <n v="11311.2"/>
    <n v="0"/>
    <n v="0"/>
    <n v="101"/>
    <s v="_x0000_US"/>
  </r>
  <r>
    <x v="0"/>
    <n v="13.6867"/>
    <n v="-89.216300000000004"/>
    <n v="11313.1"/>
    <n v="0"/>
    <n v="0"/>
    <n v="101"/>
    <s v="_x0000_US"/>
  </r>
  <r>
    <x v="0"/>
    <n v="13.6898"/>
    <n v="-89.179900000000004"/>
    <n v="11313.5"/>
    <n v="0"/>
    <n v="0"/>
    <n v="101"/>
    <s v="_x0000_US"/>
  </r>
  <r>
    <x v="0"/>
    <n v="13.690099999999999"/>
    <n v="-89.228499999999997"/>
    <n v="11313.5"/>
    <n v="0"/>
    <n v="0"/>
    <n v="101"/>
    <s v="_x0000_US"/>
  </r>
  <r>
    <x v="0"/>
    <n v="13.6906"/>
    <n v="-89.232200000000006"/>
    <n v="11313.7"/>
    <n v="0"/>
    <n v="0"/>
    <n v="101"/>
    <s v="_x0000_US"/>
  </r>
  <r>
    <x v="0"/>
    <n v="13.674099999999999"/>
    <n v="-89.202500000000001"/>
    <n v="11314.2"/>
    <n v="0"/>
    <n v="0"/>
    <n v="101"/>
    <s v="_x0000_US"/>
  </r>
  <r>
    <x v="0"/>
    <n v="13.687099999999999"/>
    <n v="-89.213200000000001"/>
    <n v="11314.4"/>
    <n v="0"/>
    <n v="0"/>
    <n v="101"/>
    <s v="_x0000_US"/>
  </r>
  <r>
    <x v="0"/>
    <n v="13.6912"/>
    <n v="-89.229799999999997"/>
    <n v="11314.6"/>
    <n v="0"/>
    <n v="0"/>
    <n v="101"/>
    <s v="_x0000_US"/>
  </r>
  <r>
    <x v="0"/>
    <n v="13.688599999999999"/>
    <n v="-89.198099999999997"/>
    <n v="11315.3"/>
    <n v="0"/>
    <n v="0"/>
    <n v="101"/>
    <s v="_x0000_US"/>
  </r>
  <r>
    <x v="0"/>
    <n v="13.689399999999999"/>
    <n v="-89.205399999999997"/>
    <n v="11316"/>
    <n v="0"/>
    <n v="0"/>
    <n v="101"/>
    <s v="_x0000_US"/>
  </r>
  <r>
    <x v="0"/>
    <n v="13.6866"/>
    <n v="-89.212900000000005"/>
    <n v="11316.3"/>
    <n v="0"/>
    <n v="0"/>
    <n v="101"/>
    <s v="_x0000_US"/>
  </r>
  <r>
    <x v="0"/>
    <n v="13.689500000000001"/>
    <n v="-89.19"/>
    <n v="11316.4"/>
    <n v="0"/>
    <n v="0"/>
    <n v="101"/>
    <s v="_x0000_US"/>
  </r>
  <r>
    <x v="0"/>
    <n v="13.6934"/>
    <n v="-89.176500000000004"/>
    <n v="11316.5"/>
    <n v="0"/>
    <n v="0"/>
    <n v="101"/>
    <s v="_x0000_US"/>
  </r>
  <r>
    <x v="0"/>
    <n v="13.688599999999999"/>
    <n v="-89.204599999999999"/>
    <n v="11316.6"/>
    <n v="0"/>
    <n v="0"/>
    <n v="101"/>
    <s v="_x0000_US"/>
  </r>
  <r>
    <x v="0"/>
    <n v="13.690799999999999"/>
    <n v="-89.197599999999994"/>
    <n v="11317"/>
    <n v="0"/>
    <n v="0"/>
    <n v="101"/>
    <s v="_x0000_US"/>
  </r>
  <r>
    <x v="0"/>
    <n v="13.694900000000001"/>
    <n v="-89.173599999999993"/>
    <n v="11317.4"/>
    <n v="0"/>
    <n v="0"/>
    <n v="101"/>
    <s v="_x0000_US"/>
  </r>
  <r>
    <x v="0"/>
    <n v="13.692600000000001"/>
    <n v="-89.224000000000004"/>
    <n v="11317.7"/>
    <n v="0"/>
    <n v="0"/>
    <n v="101"/>
    <s v="_x0000_US"/>
  </r>
  <r>
    <x v="0"/>
    <n v="13.6914"/>
    <n v="-89.220699999999994"/>
    <n v="11318.1"/>
    <n v="0"/>
    <n v="0"/>
    <n v="101"/>
    <s v="_x0000_US"/>
  </r>
  <r>
    <x v="0"/>
    <n v="13.690200000000001"/>
    <n v="-89.186700000000002"/>
    <n v="11319"/>
    <n v="0"/>
    <n v="0"/>
    <n v="101"/>
    <s v="_x0000_US"/>
  </r>
  <r>
    <x v="0"/>
    <n v="13.692600000000001"/>
    <n v="-89.224400000000003"/>
    <n v="11319.1"/>
    <n v="0"/>
    <n v="0"/>
    <n v="101"/>
    <s v="_x0000_US"/>
  </r>
  <r>
    <x v="0"/>
    <n v="13.6915"/>
    <n v="-89.179100000000005"/>
    <n v="11319.4"/>
    <n v="0"/>
    <n v="0"/>
    <n v="101"/>
    <s v="_x0000_US"/>
  </r>
  <r>
    <x v="0"/>
    <n v="13.6915"/>
    <n v="-89.189400000000006"/>
    <n v="11319.4"/>
    <n v="0"/>
    <n v="0"/>
    <n v="101"/>
    <s v="_x0000_US"/>
  </r>
  <r>
    <x v="0"/>
    <n v="13.6911"/>
    <n v="-89.235100000000003"/>
    <n v="11319.4"/>
    <n v="0"/>
    <n v="0"/>
    <n v="101"/>
    <s v="_x0000_US"/>
  </r>
  <r>
    <x v="0"/>
    <n v="13.691800000000001"/>
    <n v="-89.224999999999994"/>
    <n v="11319.9"/>
    <n v="0"/>
    <n v="0"/>
    <n v="101"/>
    <s v="_x0000_US"/>
  </r>
  <r>
    <x v="0"/>
    <n v="13.691000000000001"/>
    <n v="-89.186499999999995"/>
    <n v="11320.1"/>
    <n v="0"/>
    <n v="0"/>
    <n v="101"/>
    <s v="_x0000_US"/>
  </r>
  <r>
    <x v="0"/>
    <n v="13.696199999999999"/>
    <n v="-89.171899999999994"/>
    <n v="11320.5"/>
    <n v="0"/>
    <n v="0"/>
    <n v="101"/>
    <s v="_x0000_US"/>
  </r>
  <r>
    <x v="0"/>
    <n v="13.6874"/>
    <n v="-89.194000000000003"/>
    <n v="11320.8"/>
    <n v="0"/>
    <n v="0"/>
    <n v="101"/>
    <s v="_x0000_US"/>
  </r>
  <r>
    <x v="0"/>
    <n v="13.686299999999999"/>
    <n v="-89.202799999999996"/>
    <n v="11322.4"/>
    <n v="0"/>
    <n v="0"/>
    <n v="101"/>
    <s v="_x0000_US"/>
  </r>
  <r>
    <x v="0"/>
    <n v="13.692"/>
    <n v="-89.2256"/>
    <n v="11322.6"/>
    <n v="0"/>
    <n v="0"/>
    <n v="101"/>
    <s v="_x0000_US"/>
  </r>
  <r>
    <x v="0"/>
    <n v="13.690099999999999"/>
    <n v="-89.2346"/>
    <n v="11323.5"/>
    <n v="0"/>
    <n v="0"/>
    <n v="101"/>
    <s v="_x0000_US"/>
  </r>
  <r>
    <x v="0"/>
    <n v="13.690099999999999"/>
    <n v="-89.236099999999993"/>
    <n v="11323.8"/>
    <n v="0"/>
    <n v="0"/>
    <n v="101"/>
    <s v="_x0000_US"/>
  </r>
  <r>
    <x v="0"/>
    <n v="13.6914"/>
    <n v="-89.189800000000005"/>
    <n v="11323.9"/>
    <n v="0"/>
    <n v="0"/>
    <n v="101"/>
    <s v="_x0000_US"/>
  </r>
  <r>
    <x v="0"/>
    <n v="13.690200000000001"/>
    <n v="-89.234700000000004"/>
    <n v="11324.3"/>
    <n v="0"/>
    <n v="0"/>
    <n v="101"/>
    <s v="_x0000_US"/>
  </r>
  <r>
    <x v="0"/>
    <n v="13.693199999999999"/>
    <n v="-89.189599999999999"/>
    <n v="11324.7"/>
    <n v="0"/>
    <n v="0"/>
    <n v="101"/>
    <s v="_x0000_US"/>
  </r>
  <r>
    <x v="0"/>
    <n v="13.6853"/>
    <n v="-89.202399999999997"/>
    <n v="11324.8"/>
    <n v="0"/>
    <n v="0"/>
    <n v="101"/>
    <s v="_x0000_US"/>
  </r>
  <r>
    <x v="0"/>
    <n v="13.6873"/>
    <n v="-89.194599999999994"/>
    <n v="11325.4"/>
    <n v="0"/>
    <n v="0"/>
    <n v="101"/>
    <s v="_x0000_US"/>
  </r>
  <r>
    <x v="0"/>
    <n v="13.6869"/>
    <n v="-89.203299999999999"/>
    <n v="11325.4"/>
    <n v="0"/>
    <n v="0"/>
    <n v="101"/>
    <s v="_x0000_US"/>
  </r>
  <r>
    <x v="0"/>
    <n v="13.691800000000001"/>
    <n v="-89.183400000000006"/>
    <n v="11326.7"/>
    <n v="0"/>
    <n v="0"/>
    <n v="101"/>
    <s v="_x0000_US"/>
  </r>
  <r>
    <x v="0"/>
    <n v="13.6859"/>
    <n v="-89.211799999999997"/>
    <n v="11327.5"/>
    <n v="0"/>
    <n v="0"/>
    <n v="101"/>
    <s v="_x0000_US"/>
  </r>
  <r>
    <x v="0"/>
    <n v="13.6912"/>
    <n v="-89.233900000000006"/>
    <n v="11328.2"/>
    <n v="0"/>
    <n v="0"/>
    <n v="101"/>
    <s v="_x0000_US"/>
  </r>
  <r>
    <x v="0"/>
    <n v="13.692600000000001"/>
    <n v="-89.184299999999993"/>
    <n v="11328.6"/>
    <n v="0"/>
    <n v="0"/>
    <n v="101"/>
    <s v="_x0000_US"/>
  </r>
  <r>
    <x v="0"/>
    <n v="13.687200000000001"/>
    <n v="-89.194000000000003"/>
    <n v="11328.7"/>
    <n v="0"/>
    <n v="0"/>
    <n v="101"/>
    <s v="_x0000_US"/>
  </r>
  <r>
    <x v="0"/>
    <n v="13.6958"/>
    <n v="-89.165599999999998"/>
    <n v="11328.7"/>
    <n v="0"/>
    <n v="0"/>
    <n v="101"/>
    <s v="_x0000_US"/>
  </r>
  <r>
    <x v="0"/>
    <n v="13.6904"/>
    <n v="-89.195899999999995"/>
    <n v="11328.8"/>
    <n v="0"/>
    <n v="0"/>
    <n v="101"/>
    <s v="_x0000_US"/>
  </r>
  <r>
    <x v="0"/>
    <n v="13.689500000000001"/>
    <n v="-89.184600000000003"/>
    <n v="11329"/>
    <n v="0"/>
    <n v="0"/>
    <n v="101"/>
    <s v="_x0000_US"/>
  </r>
  <r>
    <x v="0"/>
    <n v="13.692"/>
    <n v="-89.194299999999998"/>
    <n v="11329.5"/>
    <n v="0"/>
    <n v="0"/>
    <n v="101"/>
    <s v="_x0000_US"/>
  </r>
  <r>
    <x v="0"/>
    <n v="13.692600000000001"/>
    <n v="-89.224299999999999"/>
    <n v="11330.1"/>
    <n v="0"/>
    <n v="0"/>
    <n v="101"/>
    <s v="_x0000_US"/>
  </r>
  <r>
    <x v="0"/>
    <n v="13.690200000000001"/>
    <n v="-89.188999999999993"/>
    <n v="11330.7"/>
    <n v="0"/>
    <n v="0"/>
    <n v="101"/>
    <s v="_x0000_US"/>
  </r>
  <r>
    <x v="0"/>
    <n v="13.691700000000001"/>
    <n v="-89.225200000000001"/>
    <n v="11331"/>
    <n v="0"/>
    <n v="0"/>
    <n v="101"/>
    <s v="_x0000_US"/>
  </r>
  <r>
    <x v="0"/>
    <n v="13.691000000000001"/>
    <n v="-89.234200000000001"/>
    <n v="11331.2"/>
    <n v="0"/>
    <n v="0"/>
    <n v="101"/>
    <s v="_x0000_US"/>
  </r>
  <r>
    <x v="0"/>
    <n v="13.6913"/>
    <n v="-89.233099999999993"/>
    <n v="11331.6"/>
    <n v="0"/>
    <n v="0"/>
    <n v="101"/>
    <s v="_x0000_US"/>
  </r>
  <r>
    <x v="0"/>
    <n v="13.685700000000001"/>
    <n v="-89.215100000000007"/>
    <n v="11333.2"/>
    <n v="0"/>
    <n v="0"/>
    <n v="101"/>
    <s v="_x0000_US"/>
  </r>
  <r>
    <x v="0"/>
    <n v="13.689299999999999"/>
    <n v="-89.207599999999999"/>
    <n v="11333.3"/>
    <n v="0"/>
    <n v="0"/>
    <n v="101"/>
    <s v="_x0000_US"/>
  </r>
  <r>
    <x v="0"/>
    <n v="13.6866"/>
    <n v="-89.213200000000001"/>
    <n v="11333.3"/>
    <n v="0"/>
    <n v="0"/>
    <n v="101"/>
    <s v="_x0000_US"/>
  </r>
  <r>
    <x v="0"/>
    <n v="13.6793"/>
    <n v="-89.197299999999998"/>
    <n v="11333.4"/>
    <n v="0"/>
    <n v="0"/>
    <n v="101"/>
    <s v="_x0000_US"/>
  </r>
  <r>
    <x v="0"/>
    <n v="13.691800000000001"/>
    <n v="-89.179199999999994"/>
    <n v="11333.8"/>
    <n v="0"/>
    <n v="0"/>
    <n v="101"/>
    <s v="_x0000_US"/>
  </r>
  <r>
    <x v="0"/>
    <n v="13.6873"/>
    <n v="-89.204300000000003"/>
    <n v="11333.9"/>
    <n v="0"/>
    <n v="0"/>
    <n v="101"/>
    <s v="_x0000_US"/>
  </r>
  <r>
    <x v="0"/>
    <n v="13.6912"/>
    <n v="-89.2333"/>
    <n v="11334.3"/>
    <n v="0"/>
    <n v="0"/>
    <n v="101"/>
    <s v="_x0000_US"/>
  </r>
  <r>
    <x v="0"/>
    <n v="13.6873"/>
    <n v="-89.217100000000002"/>
    <n v="11334.8"/>
    <n v="0"/>
    <n v="0"/>
    <n v="101"/>
    <s v="_x0000_US"/>
  </r>
  <r>
    <x v="0"/>
    <n v="13.6915"/>
    <n v="-89.178700000000006"/>
    <n v="11335.6"/>
    <n v="0"/>
    <n v="0"/>
    <n v="101"/>
    <s v="_x0000_US"/>
  </r>
  <r>
    <x v="0"/>
    <n v="13.692600000000001"/>
    <n v="-89.2256"/>
    <n v="11336"/>
    <n v="0"/>
    <n v="0"/>
    <n v="101"/>
    <s v="_x0000_US"/>
  </r>
  <r>
    <x v="0"/>
    <n v="13.6915"/>
    <n v="-89.185599999999994"/>
    <n v="11336.2"/>
    <n v="0"/>
    <n v="0"/>
    <n v="101"/>
    <s v="_x0000_US"/>
  </r>
  <r>
    <x v="0"/>
    <n v="13.6851"/>
    <n v="-89.216499999999996"/>
    <n v="11336.7"/>
    <n v="0"/>
    <n v="0"/>
    <n v="101"/>
    <s v="_x0000_US"/>
  </r>
  <r>
    <x v="0"/>
    <n v="13.6899"/>
    <n v="-89.235600000000005"/>
    <n v="11336.9"/>
    <n v="0"/>
    <n v="0"/>
    <n v="101"/>
    <s v="_x0000_US"/>
  </r>
  <r>
    <x v="0"/>
    <n v="13.696099999999999"/>
    <n v="-89.171899999999994"/>
    <n v="11337"/>
    <n v="0"/>
    <n v="0"/>
    <n v="101"/>
    <s v="_x0000_US"/>
  </r>
  <r>
    <x v="0"/>
    <n v="13.692500000000001"/>
    <n v="-89.225499999999997"/>
    <n v="11337.4"/>
    <n v="0"/>
    <n v="0"/>
    <n v="101"/>
    <s v="_x0000_US"/>
  </r>
  <r>
    <x v="0"/>
    <n v="13.6745"/>
    <n v="-89.251300000000001"/>
    <n v="11337.4"/>
    <n v="0"/>
    <n v="0"/>
    <n v="101"/>
    <s v="_x0000_US"/>
  </r>
  <r>
    <x v="0"/>
    <n v="13.6747"/>
    <n v="-89.250799999999998"/>
    <n v="11338.1"/>
    <n v="0"/>
    <n v="0"/>
    <n v="101"/>
    <s v="_x0000_US"/>
  </r>
  <r>
    <x v="0"/>
    <n v="13.6899"/>
    <n v="-89.235100000000003"/>
    <n v="11338.1"/>
    <n v="0"/>
    <n v="0"/>
    <n v="101"/>
    <s v="_x0000_US"/>
  </r>
  <r>
    <x v="0"/>
    <n v="13.6876"/>
    <n v="-89.195099999999996"/>
    <n v="11338.8"/>
    <n v="0"/>
    <n v="0"/>
    <n v="101"/>
    <s v="_x0000_US"/>
  </r>
  <r>
    <x v="0"/>
    <n v="13.6877"/>
    <n v="-89.217200000000005"/>
    <n v="11339"/>
    <n v="0"/>
    <n v="0"/>
    <n v="101"/>
    <s v="_x0000_US"/>
  </r>
  <r>
    <x v="0"/>
    <n v="13.6907"/>
    <n v="-89.1875"/>
    <n v="11339.2"/>
    <n v="0"/>
    <n v="0"/>
    <n v="101"/>
    <s v="_x0000_US"/>
  </r>
  <r>
    <x v="0"/>
    <n v="13.6927"/>
    <n v="-89.184299999999993"/>
    <n v="11339.7"/>
    <n v="0"/>
    <n v="0"/>
    <n v="101"/>
    <s v="_x0000_US"/>
  </r>
  <r>
    <x v="0"/>
    <n v="13.6913"/>
    <n v="-89.178899999999999"/>
    <n v="11340.1"/>
    <n v="0"/>
    <n v="0"/>
    <n v="101"/>
    <s v="_x0000_US"/>
  </r>
  <r>
    <x v="0"/>
    <n v="13.6875"/>
    <n v="-89.205200000000005"/>
    <n v="11340.1"/>
    <n v="0"/>
    <n v="0"/>
    <n v="101"/>
    <s v="_x0000_US"/>
  </r>
  <r>
    <x v="0"/>
    <n v="13.6746"/>
    <n v="-89.251099999999994"/>
    <n v="11340.1"/>
    <n v="0"/>
    <n v="0"/>
    <n v="101"/>
    <s v="_x0000_US"/>
  </r>
  <r>
    <x v="0"/>
    <n v="13.6915"/>
    <n v="-89.225800000000007"/>
    <n v="11341.2"/>
    <n v="0"/>
    <n v="0"/>
    <n v="101"/>
    <s v="_x0000_US"/>
  </r>
  <r>
    <x v="0"/>
    <n v="13.6868"/>
    <n v="-89.194599999999994"/>
    <n v="11341.5"/>
    <n v="0"/>
    <n v="0"/>
    <n v="101"/>
    <s v="_x0000_US"/>
  </r>
  <r>
    <x v="0"/>
    <n v="13.6875"/>
    <n v="-89.194599999999994"/>
    <n v="11341.8"/>
    <n v="0"/>
    <n v="0"/>
    <n v="101"/>
    <s v="_x0000_US"/>
  </r>
  <r>
    <x v="0"/>
    <n v="13.6904"/>
    <n v="-89.235799999999998"/>
    <n v="11342"/>
    <n v="0"/>
    <n v="0"/>
    <n v="101"/>
    <s v="_x0000_US"/>
  </r>
  <r>
    <x v="0"/>
    <n v="13.6873"/>
    <n v="-89.194500000000005"/>
    <n v="11342.7"/>
    <n v="0"/>
    <n v="0"/>
    <n v="101"/>
    <s v="_x0000_US"/>
  </r>
  <r>
    <x v="0"/>
    <n v="13.692600000000001"/>
    <n v="-89.178600000000003"/>
    <n v="11342.9"/>
    <n v="0"/>
    <n v="0"/>
    <n v="101"/>
    <s v="_x0000_US"/>
  </r>
  <r>
    <x v="0"/>
    <n v="13.6911"/>
    <n v="-89.218699999999998"/>
    <n v="11343.5"/>
    <n v="0"/>
    <n v="0"/>
    <n v="101"/>
    <s v="_x0000_US"/>
  </r>
  <r>
    <x v="0"/>
    <n v="13.687799999999999"/>
    <n v="-89.1798"/>
    <n v="11343.7"/>
    <n v="0"/>
    <n v="0"/>
    <n v="101"/>
    <s v="_x0000_US"/>
  </r>
  <r>
    <x v="0"/>
    <n v="13.692500000000001"/>
    <n v="-89.225300000000004"/>
    <n v="11344.3"/>
    <n v="0"/>
    <n v="0"/>
    <n v="101"/>
    <s v="_x0000_US"/>
  </r>
  <r>
    <x v="0"/>
    <n v="13.6934"/>
    <n v="-89.188800000000001"/>
    <n v="11344.4"/>
    <n v="0"/>
    <n v="0"/>
    <n v="101"/>
    <s v="_x0000_US"/>
  </r>
  <r>
    <x v="0"/>
    <n v="13.691800000000001"/>
    <n v="-89.185400000000001"/>
    <n v="11346.9"/>
    <n v="0"/>
    <n v="0"/>
    <n v="101"/>
    <s v="_x0000_US"/>
  </r>
  <r>
    <x v="0"/>
    <n v="13.6876"/>
    <n v="-89.196600000000004"/>
    <n v="11347.5"/>
    <n v="0"/>
    <n v="0"/>
    <n v="101"/>
    <s v="_x0000_US"/>
  </r>
  <r>
    <x v="0"/>
    <n v="13.692600000000001"/>
    <n v="-89.225999999999999"/>
    <n v="11347.5"/>
    <n v="0"/>
    <n v="0"/>
    <n v="101"/>
    <s v="_x0000_US"/>
  </r>
  <r>
    <x v="0"/>
    <n v="13.696099999999999"/>
    <n v="-89.1721"/>
    <n v="11348.5"/>
    <n v="0"/>
    <n v="0"/>
    <n v="101"/>
    <s v="_x0000_US"/>
  </r>
  <r>
    <x v="0"/>
    <n v="13.6744"/>
    <n v="-89.252099999999999"/>
    <n v="11350.4"/>
    <n v="0"/>
    <n v="0"/>
    <n v="101"/>
    <s v="_x0000_US"/>
  </r>
  <r>
    <x v="0"/>
    <n v="13.679500000000001"/>
    <n v="-89.194100000000006"/>
    <n v="11350.7"/>
    <n v="0"/>
    <n v="0"/>
    <n v="101"/>
    <s v="_x0000_US"/>
  </r>
  <r>
    <x v="0"/>
    <n v="13.688000000000001"/>
    <n v="-89.181200000000004"/>
    <n v="11352.6"/>
    <n v="0"/>
    <n v="0"/>
    <n v="101"/>
    <s v="_x0000_US"/>
  </r>
  <r>
    <x v="0"/>
    <n v="13.6899"/>
    <n v="-89.1798"/>
    <n v="11352.8"/>
    <n v="0"/>
    <n v="0"/>
    <n v="101"/>
    <s v="_x0000_US"/>
  </r>
  <r>
    <x v="0"/>
    <n v="13.6892"/>
    <n v="-89.180999999999997"/>
    <n v="11353"/>
    <n v="0"/>
    <n v="0"/>
    <n v="101"/>
    <s v="_x0000_US"/>
  </r>
  <r>
    <x v="0"/>
    <n v="13.684900000000001"/>
    <n v="-89.201599999999999"/>
    <n v="11353.2"/>
    <n v="0"/>
    <n v="0"/>
    <n v="101"/>
    <s v="_x0000_US"/>
  </r>
  <r>
    <x v="0"/>
    <n v="13.6852"/>
    <n v="-89.201700000000002"/>
    <n v="11353.7"/>
    <n v="0"/>
    <n v="0"/>
    <n v="101"/>
    <s v="_x0000_US"/>
  </r>
  <r>
    <x v="0"/>
    <n v="13.6942"/>
    <n v="-89.173599999999993"/>
    <n v="11353.8"/>
    <n v="0"/>
    <n v="0"/>
    <n v="101"/>
    <s v="_x0000_US"/>
  </r>
  <r>
    <x v="0"/>
    <n v="13.69"/>
    <n v="-89.2286"/>
    <n v="11354"/>
    <n v="0"/>
    <n v="0"/>
    <n v="101"/>
    <s v="_x0000_US"/>
  </r>
  <r>
    <x v="0"/>
    <n v="13.6876"/>
    <n v="-89.195300000000003"/>
    <n v="11355.1"/>
    <n v="0"/>
    <n v="0"/>
    <n v="101"/>
    <s v="_x0000_US"/>
  </r>
  <r>
    <x v="0"/>
    <n v="13.6876"/>
    <n v="-89.183599999999998"/>
    <n v="11355.5"/>
    <n v="0"/>
    <n v="0"/>
    <n v="101"/>
    <s v="_x0000_US"/>
  </r>
  <r>
    <x v="0"/>
    <n v="13.6952"/>
    <n v="-89.173400000000001"/>
    <n v="11356.2"/>
    <n v="0"/>
    <n v="0"/>
    <n v="101"/>
    <s v="_x0000_US"/>
  </r>
  <r>
    <x v="0"/>
    <n v="13.689299999999999"/>
    <n v="-89.228899999999996"/>
    <n v="11356.4"/>
    <n v="0"/>
    <n v="0"/>
    <n v="101"/>
    <s v="_x0000_US"/>
  </r>
  <r>
    <x v="0"/>
    <n v="13.6914"/>
    <n v="-89.178799999999995"/>
    <n v="11356.5"/>
    <n v="0"/>
    <n v="0"/>
    <n v="101"/>
    <s v="_x0000_US"/>
  </r>
  <r>
    <x v="0"/>
    <n v="13.6913"/>
    <n v="-89.188100000000006"/>
    <n v="11357.3"/>
    <n v="0"/>
    <n v="0"/>
    <n v="101"/>
    <s v="_x0000_US"/>
  </r>
  <r>
    <x v="0"/>
    <n v="13.686500000000001"/>
    <n v="-89.213499999999996"/>
    <n v="11357.3"/>
    <n v="0"/>
    <n v="0"/>
    <n v="101"/>
    <s v="_x0000_US"/>
  </r>
  <r>
    <x v="0"/>
    <n v="13.6907"/>
    <n v="-89.231999999999999"/>
    <n v="11358.6"/>
    <n v="0"/>
    <n v="0"/>
    <n v="101"/>
    <s v="_x0000_US"/>
  </r>
  <r>
    <x v="0"/>
    <n v="13.691800000000001"/>
    <n v="-89.226900000000001"/>
    <n v="11358.9"/>
    <n v="0"/>
    <n v="0"/>
    <n v="101"/>
    <s v="_x0000_US"/>
  </r>
  <r>
    <x v="0"/>
    <n v="13.6873"/>
    <n v="-89.194599999999994"/>
    <n v="11359.5"/>
    <n v="0"/>
    <n v="0"/>
    <n v="101"/>
    <s v="_x0000_US"/>
  </r>
  <r>
    <x v="0"/>
    <n v="13.6921"/>
    <n v="-89.193600000000004"/>
    <n v="11359.6"/>
    <n v="0"/>
    <n v="0"/>
    <n v="101"/>
    <s v="_x0000_US"/>
  </r>
  <r>
    <x v="0"/>
    <n v="13.686199999999999"/>
    <n v="-89.204300000000003"/>
    <n v="11359.7"/>
    <n v="0"/>
    <n v="0"/>
    <n v="101"/>
    <s v="_x0000_US"/>
  </r>
  <r>
    <x v="0"/>
    <n v="13.691599999999999"/>
    <n v="-89.233599999999996"/>
    <n v="11359.8"/>
    <n v="0"/>
    <n v="0"/>
    <n v="101"/>
    <s v="_x0000_US"/>
  </r>
  <r>
    <x v="0"/>
    <n v="13.6927"/>
    <n v="-89.225999999999999"/>
    <n v="11359.9"/>
    <n v="0"/>
    <n v="0"/>
    <n v="101"/>
    <s v="_x0000_US"/>
  </r>
  <r>
    <x v="0"/>
    <n v="13.692299999999999"/>
    <n v="-89.189899999999994"/>
    <n v="11360"/>
    <n v="0"/>
    <n v="0"/>
    <n v="101"/>
    <s v="_x0000_US"/>
  </r>
  <r>
    <x v="0"/>
    <n v="13.694599999999999"/>
    <n v="-89.1751"/>
    <n v="11360"/>
    <n v="0"/>
    <n v="0"/>
    <n v="101"/>
    <s v="_x0000_US"/>
  </r>
  <r>
    <x v="0"/>
    <n v="13.692500000000001"/>
    <n v="-89.176500000000004"/>
    <n v="11360.1"/>
    <n v="0"/>
    <n v="0"/>
    <n v="101"/>
    <s v="_x0000_US"/>
  </r>
  <r>
    <x v="0"/>
    <n v="13.691000000000001"/>
    <n v="-89.188699999999997"/>
    <n v="11360.8"/>
    <n v="0"/>
    <n v="0"/>
    <n v="101"/>
    <s v="_x0000_US"/>
  </r>
  <r>
    <x v="0"/>
    <n v="13.679500000000001"/>
    <n v="-89.196600000000004"/>
    <n v="11361"/>
    <n v="0"/>
    <n v="0"/>
    <n v="101"/>
    <s v="_x0000_US"/>
  </r>
  <r>
    <x v="0"/>
    <n v="13.6876"/>
    <n v="-89.179699999999997"/>
    <n v="11362"/>
    <n v="0"/>
    <n v="0"/>
    <n v="101"/>
    <s v="_x0000_US"/>
  </r>
  <r>
    <x v="0"/>
    <n v="13.691599999999999"/>
    <n v="-89.232500000000002"/>
    <n v="11362.1"/>
    <n v="0"/>
    <n v="0"/>
    <n v="101"/>
    <s v="_x0000_US"/>
  </r>
  <r>
    <x v="0"/>
    <n v="13.690300000000001"/>
    <n v="-89.236099999999993"/>
    <n v="11362.8"/>
    <n v="0"/>
    <n v="0"/>
    <n v="101"/>
    <s v="_x0000_US"/>
  </r>
  <r>
    <x v="0"/>
    <n v="13.6881"/>
    <n v="-89.183000000000007"/>
    <n v="11362.9"/>
    <n v="0"/>
    <n v="0"/>
    <n v="101"/>
    <s v="_x0000_US"/>
  </r>
  <r>
    <x v="0"/>
    <n v="13.6936"/>
    <n v="-89.173500000000004"/>
    <n v="11363.6"/>
    <n v="0"/>
    <n v="0"/>
    <n v="101"/>
    <s v="_x0000_US"/>
  </r>
  <r>
    <x v="0"/>
    <n v="13.6936"/>
    <n v="-89.188800000000001"/>
    <n v="11365.1"/>
    <n v="0"/>
    <n v="0"/>
    <n v="101"/>
    <s v="_x0000_US"/>
  </r>
  <r>
    <x v="0"/>
    <n v="13.6907"/>
    <n v="-89.189700000000002"/>
    <n v="11365.5"/>
    <n v="0"/>
    <n v="0"/>
    <n v="101"/>
    <s v="_x0000_US"/>
  </r>
  <r>
    <x v="0"/>
    <n v="13.6921"/>
    <n v="-89.227400000000003"/>
    <n v="11366.3"/>
    <n v="0"/>
    <n v="0"/>
    <n v="101"/>
    <s v="_x0000_US"/>
  </r>
  <r>
    <x v="0"/>
    <n v="13.6905"/>
    <n v="-89.186300000000003"/>
    <n v="11366.4"/>
    <n v="0"/>
    <n v="0"/>
    <n v="101"/>
    <s v="_x0000_US"/>
  </r>
  <r>
    <x v="0"/>
    <n v="13.6911"/>
    <n v="-89.22"/>
    <n v="11366.5"/>
    <n v="0"/>
    <n v="0"/>
    <n v="101"/>
    <s v="_x0000_US"/>
  </r>
  <r>
    <x v="0"/>
    <n v="13.6934"/>
    <n v="-89.173699999999997"/>
    <n v="11366.6"/>
    <n v="0"/>
    <n v="0"/>
    <n v="101"/>
    <s v="_x0000_US"/>
  </r>
  <r>
    <x v="0"/>
    <n v="13.684799999999999"/>
    <n v="-89.216300000000004"/>
    <n v="11366.7"/>
    <n v="0"/>
    <n v="0"/>
    <n v="101"/>
    <s v="_x0000_US"/>
  </r>
  <r>
    <x v="0"/>
    <n v="13.6882"/>
    <n v="-89.212000000000003"/>
    <n v="11367.1"/>
    <n v="0"/>
    <n v="0"/>
    <n v="101"/>
    <s v="_x0000_US"/>
  </r>
  <r>
    <x v="0"/>
    <n v="13.6746"/>
    <n v="-89.199399999999997"/>
    <n v="11367.2"/>
    <n v="0"/>
    <n v="0"/>
    <n v="101"/>
    <s v="_x0000_US"/>
  </r>
  <r>
    <x v="0"/>
    <n v="13.6915"/>
    <n v="-89.232900000000001"/>
    <n v="11367.4"/>
    <n v="0"/>
    <n v="0"/>
    <n v="101"/>
    <s v="_x0000_US"/>
  </r>
  <r>
    <x v="0"/>
    <n v="13.687200000000001"/>
    <n v="-89.197699999999998"/>
    <n v="11367.5"/>
    <n v="0"/>
    <n v="0"/>
    <n v="101"/>
    <s v="_x0000_US"/>
  </r>
  <r>
    <x v="0"/>
    <n v="13.685600000000001"/>
    <n v="-89.214799999999997"/>
    <n v="11367.7"/>
    <n v="0"/>
    <n v="0"/>
    <n v="101"/>
    <s v="_x0000_US"/>
  </r>
  <r>
    <x v="0"/>
    <n v="13.6912"/>
    <n v="-89.219899999999996"/>
    <n v="11367.8"/>
    <n v="0"/>
    <n v="0"/>
    <n v="101"/>
    <s v="_x0000_US"/>
  </r>
  <r>
    <x v="0"/>
    <n v="13.692500000000001"/>
    <n v="-89.223699999999994"/>
    <n v="11368.4"/>
    <n v="0"/>
    <n v="0"/>
    <n v="101"/>
    <s v="_x0000_US"/>
  </r>
  <r>
    <x v="0"/>
    <n v="13.6798"/>
    <n v="-89.194999999999993"/>
    <n v="11368.9"/>
    <n v="0"/>
    <n v="0"/>
    <n v="101"/>
    <s v="_x0000_US"/>
  </r>
  <r>
    <x v="0"/>
    <n v="13.675599999999999"/>
    <n v="-89.247600000000006"/>
    <n v="11369.1"/>
    <n v="0"/>
    <n v="0"/>
    <n v="101"/>
    <s v="_x0000_US"/>
  </r>
  <r>
    <x v="0"/>
    <n v="13.679600000000001"/>
    <n v="-89.197299999999998"/>
    <n v="11369.4"/>
    <n v="0"/>
    <n v="0"/>
    <n v="101"/>
    <s v="_x0000_US"/>
  </r>
  <r>
    <x v="0"/>
    <n v="13.686299999999999"/>
    <n v="-89.203800000000001"/>
    <n v="11369.5"/>
    <n v="0"/>
    <n v="0"/>
    <n v="101"/>
    <s v="_x0000_US"/>
  </r>
  <r>
    <x v="0"/>
    <n v="13.691800000000001"/>
    <n v="-89.178299999999993"/>
    <n v="11369.6"/>
    <n v="0"/>
    <n v="0"/>
    <n v="101"/>
    <s v="_x0000_US"/>
  </r>
  <r>
    <x v="0"/>
    <n v="13.6899"/>
    <n v="-89.197599999999994"/>
    <n v="11369.7"/>
    <n v="0"/>
    <n v="0"/>
    <n v="101"/>
    <s v="_x0000_US"/>
  </r>
  <r>
    <x v="0"/>
    <n v="13.6927"/>
    <n v="-89.179000000000002"/>
    <n v="11369.8"/>
    <n v="0"/>
    <n v="0"/>
    <n v="101"/>
    <s v="_x0000_US"/>
  </r>
  <r>
    <x v="0"/>
    <n v="13.6868"/>
    <n v="-89.194500000000005"/>
    <n v="11370.2"/>
    <n v="0"/>
    <n v="0"/>
    <n v="101"/>
    <s v="_x0000_US"/>
  </r>
  <r>
    <x v="0"/>
    <n v="13.6934"/>
    <n v="-89.178399999999996"/>
    <n v="11370.3"/>
    <n v="0"/>
    <n v="0"/>
    <n v="101"/>
    <s v="_x0000_US"/>
  </r>
  <r>
    <x v="0"/>
    <n v="13.696099999999999"/>
    <n v="-89.172600000000003"/>
    <n v="11370.5"/>
    <n v="0"/>
    <n v="0"/>
    <n v="101"/>
    <s v="_x0000_US"/>
  </r>
  <r>
    <x v="0"/>
    <n v="13.6874"/>
    <n v="-89.216499999999996"/>
    <n v="11370.8"/>
    <n v="0"/>
    <n v="0"/>
    <n v="101"/>
    <s v="_x0000_US"/>
  </r>
  <r>
    <x v="0"/>
    <n v="13.677"/>
    <n v="-89.248000000000005"/>
    <n v="11372.5"/>
    <n v="0"/>
    <n v="0"/>
    <n v="101"/>
    <s v="_x0000_US"/>
  </r>
  <r>
    <x v="0"/>
    <n v="13.6846"/>
    <n v="-89.211799999999997"/>
    <n v="11372.8"/>
    <n v="0"/>
    <n v="0"/>
    <n v="101"/>
    <s v="_x0000_US"/>
  </r>
  <r>
    <x v="0"/>
    <n v="13.6913"/>
    <n v="-89.189599999999999"/>
    <n v="11374.1"/>
    <n v="0"/>
    <n v="0"/>
    <n v="101"/>
    <s v="_x0000_US"/>
  </r>
  <r>
    <x v="0"/>
    <n v="13.690799999999999"/>
    <n v="-89.233699999999999"/>
    <n v="11374.4"/>
    <n v="0"/>
    <n v="0"/>
    <n v="101"/>
    <s v="_x0000_US"/>
  </r>
  <r>
    <x v="0"/>
    <n v="13.6851"/>
    <n v="-89.203199999999995"/>
    <n v="11375"/>
    <n v="0"/>
    <n v="0"/>
    <n v="101"/>
    <s v="_x0000_US"/>
  </r>
  <r>
    <x v="0"/>
    <n v="13.6929"/>
    <n v="-89.173900000000003"/>
    <n v="11375.5"/>
    <n v="0"/>
    <n v="0"/>
    <n v="101"/>
    <s v="_x0000_US"/>
  </r>
  <r>
    <x v="0"/>
    <n v="13.6911"/>
    <n v="-89.219700000000003"/>
    <n v="11375.8"/>
    <n v="0"/>
    <n v="0"/>
    <n v="101"/>
    <s v="_x0000_US"/>
  </r>
  <r>
    <x v="0"/>
    <n v="13.690899999999999"/>
    <n v="-89.233400000000003"/>
    <n v="11377.3"/>
    <n v="0"/>
    <n v="0"/>
    <n v="101"/>
    <s v="_x0000_US"/>
  </r>
  <r>
    <x v="0"/>
    <n v="13.691800000000001"/>
    <n v="-89.227099999999993"/>
    <n v="11377.9"/>
    <n v="0"/>
    <n v="0"/>
    <n v="101"/>
    <s v="_x0000_US"/>
  </r>
  <r>
    <x v="0"/>
    <n v="13.694599999999999"/>
    <n v="-89.183199999999999"/>
    <n v="11378.1"/>
    <n v="0"/>
    <n v="0"/>
    <n v="101"/>
    <s v="_x0000_US"/>
  </r>
  <r>
    <x v="0"/>
    <n v="13.6919"/>
    <n v="-89.226399999999998"/>
    <n v="11379.5"/>
    <n v="0"/>
    <n v="0"/>
    <n v="101"/>
    <s v="_x0000_US"/>
  </r>
  <r>
    <x v="0"/>
    <n v="13.691800000000001"/>
    <n v="-89.194800000000001"/>
    <n v="11379.6"/>
    <n v="0"/>
    <n v="0"/>
    <n v="101"/>
    <s v="_x0000_US"/>
  </r>
  <r>
    <x v="0"/>
    <n v="13.6922"/>
    <n v="-89.223200000000006"/>
    <n v="11380.6"/>
    <n v="0"/>
    <n v="0"/>
    <n v="101"/>
    <s v="_x0000_US"/>
  </r>
  <r>
    <x v="0"/>
    <n v="13.6911"/>
    <n v="-89.232900000000001"/>
    <n v="11381.3"/>
    <n v="0"/>
    <n v="0"/>
    <n v="101"/>
    <s v="_x0000_US"/>
  </r>
  <r>
    <x v="0"/>
    <n v="13.6859"/>
    <n v="-89.215699999999998"/>
    <n v="11381.3"/>
    <n v="0"/>
    <n v="0"/>
    <n v="101"/>
    <s v="_x0000_US"/>
  </r>
  <r>
    <x v="0"/>
    <n v="13.691599999999999"/>
    <n v="-89.226500000000001"/>
    <n v="11381.4"/>
    <n v="0"/>
    <n v="0"/>
    <n v="101"/>
    <s v="_x0000_US"/>
  </r>
  <r>
    <x v="0"/>
    <n v="13.6915"/>
    <n v="-89.234999999999999"/>
    <n v="11382.4"/>
    <n v="0"/>
    <n v="0"/>
    <n v="101"/>
    <s v="_x0000_US"/>
  </r>
  <r>
    <x v="0"/>
    <n v="13.680099999999999"/>
    <n v="-89.196399999999997"/>
    <n v="11382.7"/>
    <n v="0"/>
    <n v="0"/>
    <n v="101"/>
    <s v="_x0000_US"/>
  </r>
  <r>
    <x v="0"/>
    <n v="13.673999999999999"/>
    <n v="-89.202299999999994"/>
    <n v="11383.1"/>
    <n v="0"/>
    <n v="0"/>
    <n v="101"/>
    <s v="_x0000_US"/>
  </r>
  <r>
    <x v="0"/>
    <n v="13.6919"/>
    <n v="-89.225499999999997"/>
    <n v="11383.9"/>
    <n v="0"/>
    <n v="0"/>
    <n v="101"/>
    <s v="_x0000_US"/>
  </r>
  <r>
    <x v="0"/>
    <n v="13.6928"/>
    <n v="-89.225700000000003"/>
    <n v="11384.5"/>
    <n v="0"/>
    <n v="0"/>
    <n v="101"/>
    <s v="_x0000_US"/>
  </r>
  <r>
    <x v="0"/>
    <n v="13.687099999999999"/>
    <n v="-89.197299999999998"/>
    <n v="11384.8"/>
    <n v="0"/>
    <n v="0"/>
    <n v="101"/>
    <s v="_x0000_US"/>
  </r>
  <r>
    <x v="0"/>
    <n v="13.6869"/>
    <n v="-89.194699999999997"/>
    <n v="11385"/>
    <n v="0"/>
    <n v="0"/>
    <n v="101"/>
    <s v="_x0000_US"/>
  </r>
  <r>
    <x v="0"/>
    <n v="13.687200000000001"/>
    <n v="-89.194599999999994"/>
    <n v="11385.2"/>
    <n v="0"/>
    <n v="0"/>
    <n v="101"/>
    <s v="_x0000_US"/>
  </r>
  <r>
    <x v="0"/>
    <n v="13.6914"/>
    <n v="-89.186800000000005"/>
    <n v="11385.4"/>
    <n v="0"/>
    <n v="0"/>
    <n v="101"/>
    <s v="_x0000_US"/>
  </r>
  <r>
    <x v="0"/>
    <n v="13.688800000000001"/>
    <n v="-89.190299999999993"/>
    <n v="11385.8"/>
    <n v="0"/>
    <n v="0"/>
    <n v="101"/>
    <s v="_x0000_US"/>
  </r>
  <r>
    <x v="0"/>
    <n v="13.6876"/>
    <n v="-89.194299999999998"/>
    <n v="11386.4"/>
    <n v="0"/>
    <n v="0"/>
    <n v="101"/>
    <s v="_x0000_US"/>
  </r>
  <r>
    <x v="0"/>
    <n v="13.6927"/>
    <n v="-89.225300000000004"/>
    <n v="11386.6"/>
    <n v="0"/>
    <n v="0"/>
    <n v="101"/>
    <s v="_x0000_US"/>
  </r>
  <r>
    <x v="0"/>
    <n v="13.6898"/>
    <n v="-89.184700000000007"/>
    <n v="11386.7"/>
    <n v="0"/>
    <n v="0"/>
    <n v="101"/>
    <s v="_x0000_US"/>
  </r>
  <r>
    <x v="0"/>
    <n v="13.6944"/>
    <n v="-89.174499999999995"/>
    <n v="11387"/>
    <n v="0"/>
    <n v="0"/>
    <n v="101"/>
    <s v="_x0000_US"/>
  </r>
  <r>
    <x v="0"/>
    <n v="13.684799999999999"/>
    <n v="-89.215199999999996"/>
    <n v="11387.2"/>
    <n v="0"/>
    <n v="0"/>
    <n v="101"/>
    <s v="_x0000_US"/>
  </r>
  <r>
    <x v="0"/>
    <n v="13.6843"/>
    <n v="-89.216800000000006"/>
    <n v="11389.3"/>
    <n v="0"/>
    <n v="0"/>
    <n v="101"/>
    <s v="_x0000_US"/>
  </r>
  <r>
    <x v="0"/>
    <n v="13.687900000000001"/>
    <n v="-89.197100000000006"/>
    <n v="11389.5"/>
    <n v="0"/>
    <n v="0"/>
    <n v="101"/>
    <s v="_x0000_US"/>
  </r>
  <r>
    <x v="0"/>
    <n v="13.6912"/>
    <n v="-89.183000000000007"/>
    <n v="11391.1"/>
    <n v="0"/>
    <n v="0"/>
    <n v="101"/>
    <s v="_x0000_US"/>
  </r>
  <r>
    <x v="0"/>
    <n v="13.6873"/>
    <n v="-89.1965"/>
    <n v="11391.6"/>
    <n v="0"/>
    <n v="0"/>
    <n v="101"/>
    <s v="_x0000_US"/>
  </r>
  <r>
    <x v="0"/>
    <n v="13.687200000000001"/>
    <n v="-89.194800000000001"/>
    <n v="11391.6"/>
    <n v="0"/>
    <n v="0"/>
    <n v="101"/>
    <s v="_x0000_US"/>
  </r>
  <r>
    <x v="0"/>
    <n v="13.6867"/>
    <n v="-89.191400000000002"/>
    <n v="11392.2"/>
    <n v="0"/>
    <n v="0"/>
    <n v="101"/>
    <s v="_x0000_US"/>
  </r>
  <r>
    <x v="0"/>
    <n v="13.6921"/>
    <n v="-89.177599999999998"/>
    <n v="11392.8"/>
    <n v="0"/>
    <n v="0"/>
    <n v="101"/>
    <s v="_x0000_US"/>
  </r>
  <r>
    <x v="0"/>
    <n v="13.689399999999999"/>
    <n v="-89.208100000000002"/>
    <n v="11393.1"/>
    <n v="0"/>
    <n v="0"/>
    <n v="101"/>
    <s v="_x0000_US"/>
  </r>
  <r>
    <x v="0"/>
    <n v="13.6911"/>
    <n v="-89.190100000000001"/>
    <n v="11393.5"/>
    <n v="0"/>
    <n v="0"/>
    <n v="101"/>
    <s v="_x0000_US"/>
  </r>
  <r>
    <x v="0"/>
    <n v="13.680999999999999"/>
    <n v="-89.195700000000002"/>
    <n v="11394.4"/>
    <n v="0"/>
    <n v="0"/>
    <n v="101"/>
    <s v="_x0000_US"/>
  </r>
  <r>
    <x v="0"/>
    <n v="13.6905"/>
    <n v="-89.235200000000006"/>
    <n v="11394.8"/>
    <n v="0"/>
    <n v="0"/>
    <n v="101"/>
    <s v="_x0000_US"/>
  </r>
  <r>
    <x v="0"/>
    <n v="13.6852"/>
    <n v="-89.193899999999999"/>
    <n v="11396.1"/>
    <n v="0"/>
    <n v="0"/>
    <n v="101"/>
    <s v="_x0000_US"/>
  </r>
  <r>
    <x v="0"/>
    <n v="13.6914"/>
    <n v="-89.220100000000002"/>
    <n v="11396.3"/>
    <n v="0"/>
    <n v="0"/>
    <n v="101"/>
    <s v="_x0000_US"/>
  </r>
  <r>
    <x v="0"/>
    <n v="13.6889"/>
    <n v="-89.215100000000007"/>
    <n v="11396.7"/>
    <n v="0"/>
    <n v="0"/>
    <n v="101"/>
    <s v="_x0000_US"/>
  </r>
  <r>
    <x v="0"/>
    <n v="13.6785"/>
    <n v="-89.196399999999997"/>
    <n v="11397.5"/>
    <n v="0"/>
    <n v="0"/>
    <n v="101"/>
    <s v="_x0000_US"/>
  </r>
  <r>
    <x v="0"/>
    <n v="13.6892"/>
    <n v="-89.236199999999997"/>
    <n v="11398"/>
    <n v="0"/>
    <n v="0"/>
    <n v="101"/>
    <s v="_x0000_US"/>
  </r>
  <r>
    <x v="0"/>
    <n v="13.6921"/>
    <n v="-89.178399999999996"/>
    <n v="11398.1"/>
    <n v="0"/>
    <n v="0"/>
    <n v="101"/>
    <s v="_x0000_US"/>
  </r>
  <r>
    <x v="0"/>
    <n v="13.678100000000001"/>
    <n v="-89.1965"/>
    <n v="11398.1"/>
    <n v="0"/>
    <n v="0"/>
    <n v="101"/>
    <s v="_x0000_US"/>
  </r>
  <r>
    <x v="0"/>
    <n v="13.6919"/>
    <n v="-89.225300000000004"/>
    <n v="11398.3"/>
    <n v="0"/>
    <n v="0"/>
    <n v="101"/>
    <s v="_x0000_US"/>
  </r>
  <r>
    <x v="0"/>
    <n v="13.6899"/>
    <n v="-89.184100000000001"/>
    <n v="11398.8"/>
    <n v="0"/>
    <n v="0"/>
    <n v="101"/>
    <s v="_x0000_US"/>
  </r>
  <r>
    <x v="0"/>
    <n v="13.6904"/>
    <n v="-89.1815"/>
    <n v="11399.1"/>
    <n v="0"/>
    <n v="0"/>
    <n v="101"/>
    <s v="_x0000_US"/>
  </r>
  <r>
    <x v="0"/>
    <n v="13.696400000000001"/>
    <n v="-89.171499999999995"/>
    <n v="11399.3"/>
    <n v="0"/>
    <n v="0"/>
    <n v="101"/>
    <s v="_x0000_US"/>
  </r>
  <r>
    <x v="0"/>
    <n v="13.6943"/>
    <n v="-89.183099999999996"/>
    <n v="11399.5"/>
    <n v="0"/>
    <n v="0"/>
    <n v="101"/>
    <s v="_x0000_US"/>
  </r>
  <r>
    <x v="0"/>
    <n v="13.6904"/>
    <n v="-89.177400000000006"/>
    <n v="11400"/>
    <n v="0"/>
    <n v="0"/>
    <n v="101"/>
    <s v="_x0000_US"/>
  </r>
  <r>
    <x v="0"/>
    <n v="13.6944"/>
    <n v="-89.185500000000005"/>
    <n v="11402.9"/>
    <n v="0"/>
    <n v="0"/>
    <n v="101"/>
    <s v="_x0000_US"/>
  </r>
  <r>
    <x v="0"/>
    <n v="13.69"/>
    <n v="-89.179299999999998"/>
    <n v="11403.5"/>
    <n v="0"/>
    <n v="0"/>
    <n v="101"/>
    <s v="_x0000_US"/>
  </r>
  <r>
    <x v="0"/>
    <n v="13.6935"/>
    <n v="-89.188800000000001"/>
    <n v="11403.6"/>
    <n v="0"/>
    <n v="0"/>
    <n v="101"/>
    <s v="_x0000_US"/>
  </r>
  <r>
    <x v="0"/>
    <n v="13.6907"/>
    <n v="-89.233800000000002"/>
    <n v="11404.5"/>
    <n v="0"/>
    <n v="0"/>
    <n v="101"/>
    <s v="_x0000_US"/>
  </r>
  <r>
    <x v="0"/>
    <n v="13.6899"/>
    <n v="-89.197800000000001"/>
    <n v="11404.7"/>
    <n v="0"/>
    <n v="0"/>
    <n v="101"/>
    <s v="_x0000_US"/>
  </r>
  <r>
    <x v="0"/>
    <n v="13.6896"/>
    <n v="-89.216499999999996"/>
    <n v="11404.8"/>
    <n v="0"/>
    <n v="0"/>
    <n v="101"/>
    <s v="_x0000_US"/>
  </r>
  <r>
    <x v="0"/>
    <n v="13.690099999999999"/>
    <n v="-89.183499999999995"/>
    <n v="11405.3"/>
    <n v="0"/>
    <n v="0"/>
    <n v="101"/>
    <s v="_x0000_US"/>
  </r>
  <r>
    <x v="0"/>
    <n v="13.6845"/>
    <n v="-89.217200000000005"/>
    <n v="11405.3"/>
    <n v="0"/>
    <n v="0"/>
    <n v="101"/>
    <s v="_x0000_US"/>
  </r>
  <r>
    <x v="0"/>
    <n v="13.692"/>
    <n v="-89.194299999999998"/>
    <n v="11405.4"/>
    <n v="0"/>
    <n v="0"/>
    <n v="101"/>
    <s v="_x0000_US"/>
  </r>
  <r>
    <x v="0"/>
    <n v="13.6919"/>
    <n v="-89.221400000000003"/>
    <n v="11406.1"/>
    <n v="0"/>
    <n v="0"/>
    <n v="101"/>
    <s v="_x0000_US"/>
  </r>
  <r>
    <x v="0"/>
    <n v="13.690200000000001"/>
    <n v="-89.235399999999998"/>
    <n v="11406.2"/>
    <n v="0"/>
    <n v="0"/>
    <n v="101"/>
    <s v="_x0000_US"/>
  </r>
  <r>
    <x v="0"/>
    <n v="13.690200000000001"/>
    <n v="-89.193799999999996"/>
    <n v="11406.3"/>
    <n v="0"/>
    <n v="0"/>
    <n v="101"/>
    <s v="_x0000_US"/>
  </r>
  <r>
    <x v="0"/>
    <n v="13.6906"/>
    <n v="-89.194100000000006"/>
    <n v="11406.7"/>
    <n v="0"/>
    <n v="0"/>
    <n v="101"/>
    <s v="_x0000_US"/>
  </r>
  <r>
    <x v="0"/>
    <n v="13.6853"/>
    <n v="-89.216200000000001"/>
    <n v="11406.8"/>
    <n v="0"/>
    <n v="0"/>
    <n v="101"/>
    <s v="_x0000_US"/>
  </r>
  <r>
    <x v="0"/>
    <n v="13.6739"/>
    <n v="-89.202699999999993"/>
    <n v="11407.1"/>
    <n v="0"/>
    <n v="0"/>
    <n v="101"/>
    <s v="_x0000_US"/>
  </r>
  <r>
    <x v="0"/>
    <n v="13.6882"/>
    <n v="-89.180499999999995"/>
    <n v="11407.3"/>
    <n v="0"/>
    <n v="0"/>
    <n v="101"/>
    <s v="_x0000_US"/>
  </r>
  <r>
    <x v="0"/>
    <n v="13.6874"/>
    <n v="-89.181200000000004"/>
    <n v="11407.6"/>
    <n v="0"/>
    <n v="0"/>
    <n v="101"/>
    <s v="_x0000_US"/>
  </r>
  <r>
    <x v="0"/>
    <n v="13.6912"/>
    <n v="-89.179500000000004"/>
    <n v="11407.7"/>
    <n v="0"/>
    <n v="0"/>
    <n v="101"/>
    <s v="_x0000_US"/>
  </r>
  <r>
    <x v="0"/>
    <n v="13.6929"/>
    <n v="-89.184799999999996"/>
    <n v="11408.4"/>
    <n v="0"/>
    <n v="0"/>
    <n v="101"/>
    <s v="_x0000_US"/>
  </r>
  <r>
    <x v="0"/>
    <n v="13.6905"/>
    <n v="-89.233699999999999"/>
    <n v="11409"/>
    <n v="0"/>
    <n v="0"/>
    <n v="101"/>
    <s v="_x0000_US"/>
  </r>
  <r>
    <x v="0"/>
    <n v="13.6943"/>
    <n v="-89.183099999999996"/>
    <n v="11409.4"/>
    <n v="0"/>
    <n v="0"/>
    <n v="101"/>
    <s v="_x0000_US"/>
  </r>
  <r>
    <x v="0"/>
    <n v="13.6906"/>
    <n v="-89.233999999999995"/>
    <n v="11409.9"/>
    <n v="0"/>
    <n v="0"/>
    <n v="101"/>
    <s v="_x0000_US"/>
  </r>
  <r>
    <x v="0"/>
    <n v="13.690799999999999"/>
    <n v="-89.2316"/>
    <n v="11409.9"/>
    <n v="0"/>
    <n v="0"/>
    <n v="101"/>
    <s v="_x0000_US"/>
  </r>
  <r>
    <x v="0"/>
    <n v="13.6914"/>
    <n v="-89.188199999999995"/>
    <n v="11410.1"/>
    <n v="0"/>
    <n v="0"/>
    <n v="101"/>
    <s v="_x0000_US"/>
  </r>
  <r>
    <x v="0"/>
    <n v="13.6778"/>
    <n v="-89.246700000000004"/>
    <n v="11410.3"/>
    <n v="0"/>
    <n v="0"/>
    <n v="101"/>
    <s v="_x0000_US"/>
  </r>
  <r>
    <x v="0"/>
    <n v="13.694100000000001"/>
    <n v="-89.173299999999998"/>
    <n v="11410.4"/>
    <n v="0"/>
    <n v="0"/>
    <n v="101"/>
    <s v="_x0000_US"/>
  </r>
  <r>
    <x v="0"/>
    <n v="13.692500000000001"/>
    <n v="-89.190100000000001"/>
    <n v="11410.9"/>
    <n v="0"/>
    <n v="0"/>
    <n v="101"/>
    <s v="_x0000_US"/>
  </r>
  <r>
    <x v="0"/>
    <n v="13.689399999999999"/>
    <n v="-89.184600000000003"/>
    <n v="11411.5"/>
    <n v="0"/>
    <n v="0"/>
    <n v="101"/>
    <s v="_x0000_US"/>
  </r>
  <r>
    <x v="0"/>
    <n v="13.686"/>
    <n v="-89.215900000000005"/>
    <n v="11411.6"/>
    <n v="0"/>
    <n v="0"/>
    <n v="101"/>
    <s v="_x0000_US"/>
  </r>
  <r>
    <x v="0"/>
    <n v="13.6883"/>
    <n v="-89.190600000000003"/>
    <n v="11412"/>
    <n v="0"/>
    <n v="0"/>
    <n v="101"/>
    <s v="_x0000_US"/>
  </r>
  <r>
    <x v="0"/>
    <n v="13.6843"/>
    <n v="-89.211799999999997"/>
    <n v="11412.2"/>
    <n v="0"/>
    <n v="0"/>
    <n v="101"/>
    <s v="_x0000_US"/>
  </r>
  <r>
    <x v="0"/>
    <n v="13.693"/>
    <n v="-89.185599999999994"/>
    <n v="11412.4"/>
    <n v="0"/>
    <n v="0"/>
    <n v="101"/>
    <s v="_x0000_US"/>
  </r>
  <r>
    <x v="0"/>
    <n v="13.6851"/>
    <n v="-89.193799999999996"/>
    <n v="11412.6"/>
    <n v="0"/>
    <n v="0"/>
    <n v="101"/>
    <s v="_x0000_US"/>
  </r>
  <r>
    <x v="0"/>
    <n v="13.6869"/>
    <n v="-89.192700000000002"/>
    <n v="11413.4"/>
    <n v="0"/>
    <n v="0"/>
    <n v="101"/>
    <s v="_x0000_US"/>
  </r>
  <r>
    <x v="0"/>
    <n v="13.6867"/>
    <n v="-89.214699999999993"/>
    <n v="11413.4"/>
    <n v="0"/>
    <n v="0"/>
    <n v="101"/>
    <s v="_x0000_US"/>
  </r>
  <r>
    <x v="0"/>
    <n v="13.6905"/>
    <n v="-89.217200000000005"/>
    <n v="11414.7"/>
    <n v="0"/>
    <n v="0"/>
    <n v="101"/>
    <s v="_x0000_US"/>
  </r>
  <r>
    <x v="0"/>
    <n v="13.690799999999999"/>
    <n v="-89.227500000000006"/>
    <n v="11415.3"/>
    <n v="0"/>
    <n v="0"/>
    <n v="101"/>
    <s v="_x0000_US"/>
  </r>
  <r>
    <x v="0"/>
    <n v="13.6873"/>
    <n v="-89.197100000000006"/>
    <n v="11415.4"/>
    <n v="0"/>
    <n v="0"/>
    <n v="101"/>
    <s v="_x0000_US"/>
  </r>
  <r>
    <x v="0"/>
    <n v="13.692"/>
    <n v="-89.179299999999998"/>
    <n v="11416"/>
    <n v="0"/>
    <n v="0"/>
    <n v="101"/>
    <s v="_x0000_US"/>
  </r>
  <r>
    <x v="0"/>
    <n v="13.6899"/>
    <n v="-89.189599999999999"/>
    <n v="11416.1"/>
    <n v="0"/>
    <n v="0"/>
    <n v="101"/>
    <s v="_x0000_US"/>
  </r>
  <r>
    <x v="0"/>
    <n v="13.6904"/>
    <n v="-89.186300000000003"/>
    <n v="11416.3"/>
    <n v="0"/>
    <n v="0"/>
    <n v="101"/>
    <s v="_x0000_US"/>
  </r>
  <r>
    <x v="0"/>
    <n v="13.6922"/>
    <n v="-89.226500000000001"/>
    <n v="11417.7"/>
    <n v="0"/>
    <n v="0"/>
    <n v="101"/>
    <s v="_x0000_US"/>
  </r>
  <r>
    <x v="0"/>
    <n v="13.688000000000001"/>
    <n v="-89.216200000000001"/>
    <n v="11419"/>
    <n v="0"/>
    <n v="0"/>
    <n v="101"/>
    <s v="_x0000_US"/>
  </r>
  <r>
    <x v="0"/>
    <n v="13.687200000000001"/>
    <n v="-89.215699999999998"/>
    <n v="11419.2"/>
    <n v="0"/>
    <n v="0"/>
    <n v="101"/>
    <s v="_x0000_US"/>
  </r>
  <r>
    <x v="0"/>
    <n v="13.692"/>
    <n v="-89.221699999999998"/>
    <n v="11419.8"/>
    <n v="0"/>
    <n v="0"/>
    <n v="101"/>
    <s v="_x0000_US"/>
  </r>
  <r>
    <x v="0"/>
    <n v="13.690899999999999"/>
    <n v="-89.233199999999997"/>
    <n v="11420.1"/>
    <n v="0"/>
    <n v="0"/>
    <n v="101"/>
    <s v="_x0000_US"/>
  </r>
  <r>
    <x v="0"/>
    <n v="13.687799999999999"/>
    <n v="-89.216099999999997"/>
    <n v="11420.3"/>
    <n v="0"/>
    <n v="0"/>
    <n v="101"/>
    <s v="_x0000_US"/>
  </r>
  <r>
    <x v="0"/>
    <n v="13.6915"/>
    <n v="-89.235200000000006"/>
    <n v="11420.7"/>
    <n v="0"/>
    <n v="0"/>
    <n v="101"/>
    <s v="_x0000_US"/>
  </r>
  <r>
    <x v="0"/>
    <n v="13.672499999999999"/>
    <n v="-89.2042"/>
    <n v="11421.1"/>
    <n v="0"/>
    <n v="0"/>
    <n v="101"/>
    <s v="_x0000_US"/>
  </r>
  <r>
    <x v="0"/>
    <n v="13.6889"/>
    <n v="-89.215400000000002"/>
    <n v="11421.4"/>
    <n v="0"/>
    <n v="0"/>
    <n v="101"/>
    <s v="_x0000_US"/>
  </r>
  <r>
    <x v="0"/>
    <n v="13.674300000000001"/>
    <n v="-89.201999999999998"/>
    <n v="11421.5"/>
    <n v="0"/>
    <n v="0"/>
    <n v="101"/>
    <s v="_x0000_US"/>
  </r>
  <r>
    <x v="0"/>
    <n v="13.691700000000001"/>
    <n v="-89.226699999999994"/>
    <n v="11421.6"/>
    <n v="0"/>
    <n v="0"/>
    <n v="101"/>
    <s v="_x0000_US"/>
  </r>
  <r>
    <x v="0"/>
    <n v="13.692"/>
    <n v="-89.183000000000007"/>
    <n v="11422.2"/>
    <n v="0"/>
    <n v="0"/>
    <n v="101"/>
    <s v="_x0000_US"/>
  </r>
  <r>
    <x v="0"/>
    <n v="13.691800000000001"/>
    <n v="-89.225399999999993"/>
    <n v="11422.4"/>
    <n v="0"/>
    <n v="0"/>
    <n v="101"/>
    <s v="_x0000_US"/>
  </r>
  <r>
    <x v="0"/>
    <n v="13.696300000000001"/>
    <n v="-89.172600000000003"/>
    <n v="11422.5"/>
    <n v="0"/>
    <n v="0"/>
    <n v="101"/>
    <s v="_x0000_US"/>
  </r>
  <r>
    <x v="0"/>
    <n v="13.687799999999999"/>
    <n v="-89.181399999999996"/>
    <n v="11422.7"/>
    <n v="0"/>
    <n v="0"/>
    <n v="101"/>
    <s v="_x0000_US"/>
  </r>
  <r>
    <x v="0"/>
    <n v="13.684900000000001"/>
    <n v="-89.201800000000006"/>
    <n v="11423"/>
    <n v="0"/>
    <n v="0"/>
    <n v="101"/>
    <s v="_x0000_US"/>
  </r>
  <r>
    <x v="0"/>
    <n v="13.690899999999999"/>
    <n v="-89.1952"/>
    <n v="11423.1"/>
    <n v="0"/>
    <n v="0"/>
    <n v="101"/>
    <s v="_x0000_US"/>
  </r>
  <r>
    <x v="0"/>
    <n v="13.6753"/>
    <n v="-89.1999"/>
    <n v="11423.7"/>
    <n v="0"/>
    <n v="0"/>
    <n v="101"/>
    <s v="_x0000_US"/>
  </r>
  <r>
    <x v="0"/>
    <n v="13.690099999999999"/>
    <n v="-89.234800000000007"/>
    <n v="11423.9"/>
    <n v="0"/>
    <n v="0"/>
    <n v="101"/>
    <s v="_x0000_US"/>
  </r>
  <r>
    <x v="0"/>
    <n v="13.685600000000001"/>
    <n v="-89.202799999999996"/>
    <n v="11424.1"/>
    <n v="0"/>
    <n v="0"/>
    <n v="101"/>
    <s v="_x0000_US"/>
  </r>
  <r>
    <x v="0"/>
    <n v="13.6851"/>
    <n v="-89.202699999999993"/>
    <n v="11424.6"/>
    <n v="0"/>
    <n v="0"/>
    <n v="101"/>
    <s v="_x0000_US"/>
  </r>
  <r>
    <x v="0"/>
    <n v="13.6944"/>
    <n v="-89.183300000000003"/>
    <n v="11425"/>
    <n v="0"/>
    <n v="0"/>
    <n v="101"/>
    <s v="_x0000_US"/>
  </r>
  <r>
    <x v="0"/>
    <n v="13.690300000000001"/>
    <n v="-89.235299999999995"/>
    <n v="11425.3"/>
    <n v="0"/>
    <n v="0"/>
    <n v="101"/>
    <s v="_x0000_US"/>
  </r>
  <r>
    <x v="0"/>
    <n v="13.6876"/>
    <n v="-89.204099999999997"/>
    <n v="11425.6"/>
    <n v="0"/>
    <n v="0"/>
    <n v="101"/>
    <s v="_x0000_US"/>
  </r>
  <r>
    <x v="0"/>
    <n v="13.6881"/>
    <n v="-89.194400000000002"/>
    <n v="11426.2"/>
    <n v="0"/>
    <n v="0"/>
    <n v="101"/>
    <s v="_x0000_US"/>
  </r>
  <r>
    <x v="0"/>
    <n v="13.6875"/>
    <n v="-89.194900000000004"/>
    <n v="11426.7"/>
    <n v="0"/>
    <n v="0"/>
    <n v="101"/>
    <s v="_x0000_US"/>
  </r>
  <r>
    <x v="0"/>
    <n v="13.686999999999999"/>
    <n v="-89.201499999999996"/>
    <n v="11427"/>
    <n v="0"/>
    <n v="0"/>
    <n v="101"/>
    <s v="_x0000_US"/>
  </r>
  <r>
    <x v="0"/>
    <n v="13.6873"/>
    <n v="-89.196600000000004"/>
    <n v="11427.3"/>
    <n v="0"/>
    <n v="0"/>
    <n v="101"/>
    <s v="_x0000_US"/>
  </r>
  <r>
    <x v="0"/>
    <n v="13.686999999999999"/>
    <n v="-89.183099999999996"/>
    <n v="11427.7"/>
    <n v="0"/>
    <n v="0"/>
    <n v="101"/>
    <s v="_x0000_US"/>
  </r>
  <r>
    <x v="0"/>
    <n v="13.690099999999999"/>
    <n v="-89.236199999999997"/>
    <n v="11428"/>
    <n v="0"/>
    <n v="0"/>
    <n v="101"/>
    <s v="_x0000_US"/>
  </r>
  <r>
    <x v="0"/>
    <n v="13.6876"/>
    <n v="-89.182000000000002"/>
    <n v="11428.1"/>
    <n v="0"/>
    <n v="0"/>
    <n v="101"/>
    <s v="_x0000_US"/>
  </r>
  <r>
    <x v="0"/>
    <n v="13.6922"/>
    <n v="-89.224400000000003"/>
    <n v="11428.6"/>
    <n v="0"/>
    <n v="0"/>
    <n v="101"/>
    <s v="_x0000_US"/>
  </r>
  <r>
    <x v="0"/>
    <n v="13.6959"/>
    <n v="-89.173199999999994"/>
    <n v="11428.7"/>
    <n v="0"/>
    <n v="0"/>
    <n v="101"/>
    <s v="_x0000_US"/>
  </r>
  <r>
    <x v="0"/>
    <n v="13.6875"/>
    <n v="-89.196600000000004"/>
    <n v="11428.9"/>
    <n v="0"/>
    <n v="0"/>
    <n v="101"/>
    <s v="_x0000_US"/>
  </r>
  <r>
    <x v="0"/>
    <n v="13.694000000000001"/>
    <n v="-89.1738"/>
    <n v="11429"/>
    <n v="0"/>
    <n v="0"/>
    <n v="101"/>
    <s v="_x0000_US"/>
  </r>
  <r>
    <x v="0"/>
    <n v="13.684699999999999"/>
    <n v="-89.194100000000006"/>
    <n v="11429.2"/>
    <n v="0"/>
    <n v="0"/>
    <n v="101"/>
    <s v="_x0000_US"/>
  </r>
  <r>
    <x v="0"/>
    <n v="13.678699999999999"/>
    <n v="-89.2453"/>
    <n v="11429.7"/>
    <n v="0"/>
    <n v="0"/>
    <n v="101"/>
    <s v="_x0000_US"/>
  </r>
  <r>
    <x v="0"/>
    <n v="13.679500000000001"/>
    <n v="-89.196899999999999"/>
    <n v="11430.8"/>
    <n v="0"/>
    <n v="0"/>
    <n v="101"/>
    <s v="_x0000_US"/>
  </r>
  <r>
    <x v="0"/>
    <n v="13.6869"/>
    <n v="-89.191400000000002"/>
    <n v="11431.6"/>
    <n v="0"/>
    <n v="0"/>
    <n v="101"/>
    <s v="_x0000_US"/>
  </r>
  <r>
    <x v="0"/>
    <n v="13.686"/>
    <n v="-89.203500000000005"/>
    <n v="11431.6"/>
    <n v="0"/>
    <n v="0"/>
    <n v="101"/>
    <s v="_x0000_US"/>
  </r>
  <r>
    <x v="0"/>
    <n v="13.695600000000001"/>
    <n v="-89.174099999999996"/>
    <n v="11432.7"/>
    <n v="0"/>
    <n v="0"/>
    <n v="101"/>
    <s v="_x0000_US"/>
  </r>
  <r>
    <x v="0"/>
    <n v="13.6915"/>
    <n v="-89.176500000000004"/>
    <n v="11433"/>
    <n v="0"/>
    <n v="0"/>
    <n v="101"/>
    <s v="_x0000_US"/>
  </r>
  <r>
    <x v="0"/>
    <n v="13.691000000000001"/>
    <n v="-89.188699999999997"/>
    <n v="11433.3"/>
    <n v="0"/>
    <n v="0"/>
    <n v="101"/>
    <s v="_x0000_US"/>
  </r>
  <r>
    <x v="0"/>
    <n v="13.688599999999999"/>
    <n v="-89.216099999999997"/>
    <n v="11433.3"/>
    <n v="0"/>
    <n v="0"/>
    <n v="101"/>
    <s v="_x0000_US"/>
  </r>
  <r>
    <x v="0"/>
    <n v="13.684900000000001"/>
    <n v="-89.212999999999994"/>
    <n v="11433.9"/>
    <n v="0"/>
    <n v="0"/>
    <n v="101"/>
    <s v="_x0000_US"/>
  </r>
  <r>
    <x v="0"/>
    <n v="13.6914"/>
    <n v="-89.189400000000006"/>
    <n v="11434"/>
    <n v="0"/>
    <n v="0"/>
    <n v="101"/>
    <s v="_x0000_US"/>
  </r>
  <r>
    <x v="0"/>
    <n v="13.691800000000001"/>
    <n v="-89.193899999999999"/>
    <n v="11434.5"/>
    <n v="0"/>
    <n v="0"/>
    <n v="101"/>
    <s v="_x0000_US"/>
  </r>
  <r>
    <x v="0"/>
    <n v="13.690899999999999"/>
    <n v="-89.232900000000001"/>
    <n v="11434.5"/>
    <n v="0"/>
    <n v="0"/>
    <n v="101"/>
    <s v="_x0000_US"/>
  </r>
  <r>
    <x v="0"/>
    <n v="13.6861"/>
    <n v="-89.215299999999999"/>
    <n v="11434.6"/>
    <n v="0"/>
    <n v="0"/>
    <n v="101"/>
    <s v="_x0000_US"/>
  </r>
  <r>
    <x v="0"/>
    <n v="13.6912"/>
    <n v="-89.228800000000007"/>
    <n v="11434.8"/>
    <n v="0"/>
    <n v="0"/>
    <n v="101"/>
    <s v="_x0000_US"/>
  </r>
  <r>
    <x v="0"/>
    <n v="13.6861"/>
    <n v="-89.212199999999996"/>
    <n v="11435"/>
    <n v="0"/>
    <n v="0"/>
    <n v="101"/>
    <s v="_x0000_US"/>
  </r>
  <r>
    <x v="0"/>
    <n v="13.688000000000001"/>
    <n v="-89.198700000000002"/>
    <n v="11435.7"/>
    <n v="0"/>
    <n v="0"/>
    <n v="101"/>
    <s v="_x0000_US"/>
  </r>
  <r>
    <x v="0"/>
    <n v="13.688499999999999"/>
    <n v="-89.204499999999996"/>
    <n v="11435.9"/>
    <n v="0"/>
    <n v="0"/>
    <n v="101"/>
    <s v="_x0000_US"/>
  </r>
  <r>
    <x v="0"/>
    <n v="13.684799999999999"/>
    <n v="-89.216899999999995"/>
    <n v="11436.8"/>
    <n v="0"/>
    <n v="0"/>
    <n v="101"/>
    <s v="_x0000_US"/>
  </r>
  <r>
    <x v="0"/>
    <n v="13.6973"/>
    <n v="-89.171199999999999"/>
    <n v="11437.4"/>
    <n v="0"/>
    <n v="0"/>
    <n v="101"/>
    <s v="_x0000_US"/>
  </r>
  <r>
    <x v="0"/>
    <n v="13.691000000000001"/>
    <n v="-89.179199999999994"/>
    <n v="11437.5"/>
    <n v="0"/>
    <n v="0"/>
    <n v="101"/>
    <s v="_x0000_US"/>
  </r>
  <r>
    <x v="0"/>
    <n v="13.690300000000001"/>
    <n v="-89.235399999999998"/>
    <n v="11437.5"/>
    <n v="0"/>
    <n v="0"/>
    <n v="101"/>
    <s v="_x0000_US"/>
  </r>
  <r>
    <x v="0"/>
    <n v="13.6907"/>
    <n v="-89.1892"/>
    <n v="11437.8"/>
    <n v="0"/>
    <n v="0"/>
    <n v="101"/>
    <s v="_x0000_US"/>
  </r>
  <r>
    <x v="0"/>
    <n v="13.6938"/>
    <n v="-89.175799999999995"/>
    <n v="11437.8"/>
    <n v="0"/>
    <n v="0"/>
    <n v="101"/>
    <s v="_x0000_US"/>
  </r>
  <r>
    <x v="0"/>
    <n v="13.6854"/>
    <n v="-89.203699999999998"/>
    <n v="11438.5"/>
    <n v="0"/>
    <n v="0"/>
    <n v="101"/>
    <s v="_x0000_US"/>
  </r>
  <r>
    <x v="0"/>
    <n v="13.6805"/>
    <n v="-89.197999999999993"/>
    <n v="11440"/>
    <n v="0"/>
    <n v="0"/>
    <n v="101"/>
    <s v="_x0000_US"/>
  </r>
  <r>
    <x v="0"/>
    <n v="13.6874"/>
    <n v="-89.204499999999996"/>
    <n v="11440"/>
    <n v="0"/>
    <n v="0"/>
    <n v="101"/>
    <s v="_x0000_US"/>
  </r>
  <r>
    <x v="0"/>
    <n v="13.692399999999999"/>
    <n v="-89.189899999999994"/>
    <n v="11440.2"/>
    <n v="0"/>
    <n v="0"/>
    <n v="101"/>
    <s v="_x0000_US"/>
  </r>
  <r>
    <x v="0"/>
    <n v="13.690899999999999"/>
    <n v="-89.232900000000001"/>
    <n v="11440.5"/>
    <n v="0"/>
    <n v="0"/>
    <n v="101"/>
    <s v="_x0000_US"/>
  </r>
  <r>
    <x v="0"/>
    <n v="13.686"/>
    <n v="-89.215400000000002"/>
    <n v="11440.6"/>
    <n v="0"/>
    <n v="0"/>
    <n v="101"/>
    <s v="_x0000_US"/>
  </r>
  <r>
    <x v="0"/>
    <n v="13.690899999999999"/>
    <n v="-89.233599999999996"/>
    <n v="11440.9"/>
    <n v="0"/>
    <n v="0"/>
    <n v="101"/>
    <s v="_x0000_US"/>
  </r>
  <r>
    <x v="0"/>
    <n v="13.6899"/>
    <n v="-89.189400000000006"/>
    <n v="11441.3"/>
    <n v="0"/>
    <n v="0"/>
    <n v="101"/>
    <s v="_x0000_US"/>
  </r>
  <r>
    <x v="0"/>
    <n v="13.687200000000001"/>
    <n v="-89.204400000000007"/>
    <n v="11441.7"/>
    <n v="0"/>
    <n v="0"/>
    <n v="101"/>
    <s v="_x0000_US"/>
  </r>
  <r>
    <x v="0"/>
    <n v="13.692500000000001"/>
    <n v="-89.179500000000004"/>
    <n v="11442.2"/>
    <n v="0"/>
    <n v="0"/>
    <n v="101"/>
    <s v="_x0000_US"/>
  </r>
  <r>
    <x v="0"/>
    <n v="13.686999999999999"/>
    <n v="-89.213200000000001"/>
    <n v="11442.9"/>
    <n v="0"/>
    <n v="0"/>
    <n v="101"/>
    <s v="_x0000_US"/>
  </r>
  <r>
    <x v="0"/>
    <n v="13.687099999999999"/>
    <n v="-89.197400000000002"/>
    <n v="11443.2"/>
    <n v="0"/>
    <n v="0"/>
    <n v="101"/>
    <s v="_x0000_US"/>
  </r>
  <r>
    <x v="0"/>
    <n v="13.6927"/>
    <n v="-89.225300000000004"/>
    <n v="11443.2"/>
    <n v="0"/>
    <n v="0"/>
    <n v="101"/>
    <s v="_x0000_US"/>
  </r>
  <r>
    <x v="0"/>
    <n v="13.6922"/>
    <n v="-89.1785"/>
    <n v="11443.9"/>
    <n v="0"/>
    <n v="0"/>
    <n v="101"/>
    <s v="_x0000_US"/>
  </r>
  <r>
    <x v="0"/>
    <n v="13.691000000000001"/>
    <n v="-89.232699999999994"/>
    <n v="11444.5"/>
    <n v="0"/>
    <n v="0"/>
    <n v="101"/>
    <s v="_x0000_US"/>
  </r>
  <r>
    <x v="0"/>
    <n v="13.6927"/>
    <n v="-89.176599999999993"/>
    <n v="11444.7"/>
    <n v="0"/>
    <n v="0"/>
    <n v="101"/>
    <s v="_x0000_US"/>
  </r>
  <r>
    <x v="0"/>
    <n v="13.6913"/>
    <n v="-89.189499999999995"/>
    <n v="11445.7"/>
    <n v="0"/>
    <n v="0"/>
    <n v="101"/>
    <s v="_x0000_US"/>
  </r>
  <r>
    <x v="0"/>
    <n v="13.690799999999999"/>
    <n v="-89.235200000000006"/>
    <n v="11447.1"/>
    <n v="0"/>
    <n v="0"/>
    <n v="101"/>
    <s v="_x0000_US"/>
  </r>
  <r>
    <x v="0"/>
    <n v="13.6875"/>
    <n v="-89.197100000000006"/>
    <n v="11447.2"/>
    <n v="0"/>
    <n v="0"/>
    <n v="101"/>
    <s v="_x0000_US"/>
  </r>
  <r>
    <x v="0"/>
    <n v="13.695"/>
    <n v="-89.174700000000001"/>
    <n v="11447.2"/>
    <n v="0"/>
    <n v="0"/>
    <n v="101"/>
    <s v="_x0000_US"/>
  </r>
  <r>
    <x v="0"/>
    <n v="13.6953"/>
    <n v="-89.174800000000005"/>
    <n v="11447.4"/>
    <n v="0"/>
    <n v="0"/>
    <n v="101"/>
    <s v="_x0000_US"/>
  </r>
  <r>
    <x v="0"/>
    <n v="13.674799999999999"/>
    <n v="-89.251999999999995"/>
    <n v="11448.4"/>
    <n v="0"/>
    <n v="0"/>
    <n v="101"/>
    <s v="_x0000_US"/>
  </r>
  <r>
    <x v="0"/>
    <n v="13.6877"/>
    <n v="-89.197199999999995"/>
    <n v="11449.1"/>
    <n v="0"/>
    <n v="0"/>
    <n v="101"/>
    <s v="_x0000_US"/>
  </r>
  <r>
    <x v="0"/>
    <n v="13.6869"/>
    <n v="-89.215999999999994"/>
    <n v="11449.2"/>
    <n v="0"/>
    <n v="0"/>
    <n v="101"/>
    <s v="_x0000_US"/>
  </r>
  <r>
    <x v="0"/>
    <n v="13.6751"/>
    <n v="-89.2"/>
    <n v="11449.4"/>
    <n v="0"/>
    <n v="0"/>
    <n v="101"/>
    <s v="_x0000_US"/>
  </r>
  <r>
    <x v="0"/>
    <n v="13.692399999999999"/>
    <n v="-89.190299999999993"/>
    <n v="11449.9"/>
    <n v="0"/>
    <n v="0"/>
    <n v="101"/>
    <s v="_x0000_US"/>
  </r>
  <r>
    <x v="0"/>
    <n v="13.689399999999999"/>
    <n v="-89.235600000000005"/>
    <n v="11450.5"/>
    <n v="0"/>
    <n v="0"/>
    <n v="101"/>
    <s v="_x0000_US"/>
  </r>
  <r>
    <x v="0"/>
    <n v="13.692500000000001"/>
    <n v="-89.224699999999999"/>
    <n v="11451"/>
    <n v="0"/>
    <n v="0"/>
    <n v="101"/>
    <s v="_x0000_US"/>
  </r>
  <r>
    <x v="0"/>
    <n v="13.689399999999999"/>
    <n v="-89.235500000000002"/>
    <n v="11451.1"/>
    <n v="0"/>
    <n v="0"/>
    <n v="101"/>
    <s v="_x0000_US"/>
  </r>
  <r>
    <x v="0"/>
    <n v="13.6915"/>
    <n v="-89.234999999999999"/>
    <n v="11451.5"/>
    <n v="0"/>
    <n v="0"/>
    <n v="101"/>
    <s v="_x0000_US"/>
  </r>
  <r>
    <x v="0"/>
    <n v="13.6911"/>
    <n v="-89.233900000000006"/>
    <n v="11451.6"/>
    <n v="0"/>
    <n v="0"/>
    <n v="101"/>
    <s v="_x0000_US"/>
  </r>
  <r>
    <x v="0"/>
    <n v="13.69"/>
    <n v="-89.183899999999994"/>
    <n v="11452.4"/>
    <n v="0"/>
    <n v="0"/>
    <n v="101"/>
    <s v="_x0000_US"/>
  </r>
  <r>
    <x v="0"/>
    <n v="13.687099999999999"/>
    <n v="-89.211600000000004"/>
    <n v="11452.5"/>
    <n v="0"/>
    <n v="0"/>
    <n v="101"/>
    <s v="_x0000_US"/>
  </r>
  <r>
    <x v="0"/>
    <n v="13.687200000000001"/>
    <n v="-89.215699999999998"/>
    <n v="11453"/>
    <n v="0"/>
    <n v="0"/>
    <n v="101"/>
    <s v="_x0000_US"/>
  </r>
  <r>
    <x v="0"/>
    <n v="13.690099999999999"/>
    <n v="-89.193299999999994"/>
    <n v="11453.3"/>
    <n v="0"/>
    <n v="0"/>
    <n v="101"/>
    <s v="_x0000_US"/>
  </r>
  <r>
    <x v="0"/>
    <n v="13.673400000000001"/>
    <n v="-89.251400000000004"/>
    <n v="11453.4"/>
    <n v="0"/>
    <n v="0"/>
    <n v="101"/>
    <s v="_x0000_US"/>
  </r>
  <r>
    <x v="0"/>
    <n v="13.697100000000001"/>
    <n v="-89.171400000000006"/>
    <n v="11454.4"/>
    <n v="0"/>
    <n v="0"/>
    <n v="101"/>
    <s v="_x0000_US"/>
  </r>
  <r>
    <x v="0"/>
    <n v="13.6911"/>
    <n v="-89.234999999999999"/>
    <n v="11454.5"/>
    <n v="0"/>
    <n v="0"/>
    <n v="101"/>
    <s v="_x0000_US"/>
  </r>
  <r>
    <x v="0"/>
    <n v="13.6906"/>
    <n v="-89.231700000000004"/>
    <n v="11454.6"/>
    <n v="0"/>
    <n v="0"/>
    <n v="101"/>
    <s v="_x0000_US"/>
  </r>
  <r>
    <x v="0"/>
    <n v="13.6928"/>
    <n v="-89.178200000000004"/>
    <n v="11454.9"/>
    <n v="0"/>
    <n v="0"/>
    <n v="101"/>
    <s v="_x0000_US"/>
  </r>
  <r>
    <x v="0"/>
    <n v="13.689"/>
    <n v="-89.204899999999995"/>
    <n v="11455.8"/>
    <n v="0"/>
    <n v="0"/>
    <n v="101"/>
    <s v="_x0000_US"/>
  </r>
  <r>
    <x v="0"/>
    <n v="13.689399999999999"/>
    <n v="-89.185299999999998"/>
    <n v="11456"/>
    <n v="0"/>
    <n v="0"/>
    <n v="101"/>
    <s v="_x0000_US"/>
  </r>
  <r>
    <x v="0"/>
    <n v="13.6873"/>
    <n v="-89.195700000000002"/>
    <n v="11456.3"/>
    <n v="0"/>
    <n v="0"/>
    <n v="101"/>
    <s v="_x0000_US"/>
  </r>
  <r>
    <x v="0"/>
    <n v="13.687200000000001"/>
    <n v="-89.196700000000007"/>
    <n v="11456.5"/>
    <n v="0"/>
    <n v="0"/>
    <n v="101"/>
    <s v="_x0000_US"/>
  </r>
  <r>
    <x v="0"/>
    <n v="13.6858"/>
    <n v="-89.201300000000003"/>
    <n v="11456.9"/>
    <n v="0"/>
    <n v="0"/>
    <n v="101"/>
    <s v="_x0000_US"/>
  </r>
  <r>
    <x v="0"/>
    <n v="13.690200000000001"/>
    <n v="-89.228399999999993"/>
    <n v="11457.5"/>
    <n v="0"/>
    <n v="0"/>
    <n v="101"/>
    <s v="_x0000_US"/>
  </r>
  <r>
    <x v="0"/>
    <n v="13.690899999999999"/>
    <n v="-89.190299999999993"/>
    <n v="11457.9"/>
    <n v="0"/>
    <n v="0"/>
    <n v="101"/>
    <s v="_x0000_US"/>
  </r>
  <r>
    <x v="0"/>
    <n v="13.6912"/>
    <n v="-89.220100000000002"/>
    <n v="11458"/>
    <n v="0"/>
    <n v="0"/>
    <n v="101"/>
    <s v="_x0000_US"/>
  </r>
  <r>
    <x v="0"/>
    <n v="13.6899"/>
    <n v="-89.194000000000003"/>
    <n v="11458.9"/>
    <n v="0"/>
    <n v="0"/>
    <n v="101"/>
    <s v="_x0000_US"/>
  </r>
  <r>
    <x v="0"/>
    <n v="13.694599999999999"/>
    <n v="-89.183099999999996"/>
    <n v="11459.8"/>
    <n v="0"/>
    <n v="0"/>
    <n v="101"/>
    <s v="_x0000_US"/>
  </r>
  <r>
    <x v="0"/>
    <n v="13.687200000000001"/>
    <n v="-89.194500000000005"/>
    <n v="11461"/>
    <n v="0"/>
    <n v="0"/>
    <n v="101"/>
    <s v="_x0000_US"/>
  </r>
  <r>
    <x v="0"/>
    <n v="13.6936"/>
    <n v="-89.188699999999997"/>
    <n v="11461.6"/>
    <n v="0"/>
    <n v="0"/>
    <n v="101"/>
    <s v="_x0000_US"/>
  </r>
  <r>
    <x v="0"/>
    <n v="13.6877"/>
    <n v="-89.179699999999997"/>
    <n v="11462.1"/>
    <n v="0"/>
    <n v="0"/>
    <n v="101"/>
    <s v="_x0000_US"/>
  </r>
  <r>
    <x v="0"/>
    <n v="13.6859"/>
    <n v="-89.201499999999996"/>
    <n v="11462.5"/>
    <n v="0"/>
    <n v="0"/>
    <n v="101"/>
    <s v="_x0000_US"/>
  </r>
  <r>
    <x v="0"/>
    <n v="13.688000000000001"/>
    <n v="-89.194299999999998"/>
    <n v="11462.7"/>
    <n v="0"/>
    <n v="0"/>
    <n v="101"/>
    <s v="_x0000_US"/>
  </r>
  <r>
    <x v="0"/>
    <n v="13.6868"/>
    <n v="-89.192800000000005"/>
    <n v="11462.7"/>
    <n v="0"/>
    <n v="0"/>
    <n v="101"/>
    <s v="_x0000_US"/>
  </r>
  <r>
    <x v="0"/>
    <n v="13.673999999999999"/>
    <n v="-89.203100000000006"/>
    <n v="11463.3"/>
    <n v="0"/>
    <n v="0"/>
    <n v="101"/>
    <s v="_x0000_US"/>
  </r>
  <r>
    <x v="0"/>
    <n v="13.678800000000001"/>
    <n v="-89.196399999999997"/>
    <n v="11463.5"/>
    <n v="0"/>
    <n v="0"/>
    <n v="101"/>
    <s v="_x0000_US"/>
  </r>
  <r>
    <x v="0"/>
    <n v="13.686500000000001"/>
    <n v="-89.213800000000006"/>
    <n v="11463.5"/>
    <n v="0"/>
    <n v="0"/>
    <n v="101"/>
    <s v="_x0000_US"/>
  </r>
  <r>
    <x v="0"/>
    <n v="13.691700000000001"/>
    <n v="-89.178399999999996"/>
    <n v="11463.7"/>
    <n v="0"/>
    <n v="0"/>
    <n v="101"/>
    <s v="_x0000_US"/>
  </r>
  <r>
    <x v="0"/>
    <n v="13.6944"/>
    <n v="-89.172499999999999"/>
    <n v="11464"/>
    <n v="0"/>
    <n v="0"/>
    <n v="101"/>
    <s v="_x0000_US"/>
  </r>
  <r>
    <x v="0"/>
    <n v="13.687099999999999"/>
    <n v="-89.181600000000003"/>
    <n v="11464.5"/>
    <n v="0"/>
    <n v="0"/>
    <n v="101"/>
    <s v="_x0000_US"/>
  </r>
  <r>
    <x v="0"/>
    <n v="13.6852"/>
    <n v="-89.216800000000006"/>
    <n v="11464.7"/>
    <n v="0"/>
    <n v="0"/>
    <n v="101"/>
    <s v="_x0000_US"/>
  </r>
  <r>
    <x v="0"/>
    <n v="13.686500000000001"/>
    <n v="-89.201800000000006"/>
    <n v="11464.8"/>
    <n v="0"/>
    <n v="0"/>
    <n v="101"/>
    <s v="_x0000_US"/>
  </r>
  <r>
    <x v="0"/>
    <n v="13.691000000000001"/>
    <n v="-89.1905"/>
    <n v="11465.4"/>
    <n v="0"/>
    <n v="0"/>
    <n v="101"/>
    <s v="_x0000_US"/>
  </r>
  <r>
    <x v="0"/>
    <n v="13.6905"/>
    <n v="-89.234200000000001"/>
    <n v="11466"/>
    <n v="0"/>
    <n v="0"/>
    <n v="101"/>
    <s v="_x0000_US"/>
  </r>
  <r>
    <x v="0"/>
    <n v="13.6935"/>
    <n v="-89.176500000000004"/>
    <n v="11466.4"/>
    <n v="0"/>
    <n v="0"/>
    <n v="101"/>
    <s v="_x0000_US"/>
  </r>
  <r>
    <x v="0"/>
    <n v="13.6891"/>
    <n v="-89.215699999999998"/>
    <n v="11466.6"/>
    <n v="0"/>
    <n v="0"/>
    <n v="101"/>
    <s v="_x0000_US"/>
  </r>
  <r>
    <x v="0"/>
    <n v="13.691000000000001"/>
    <n v="-89.188500000000005"/>
    <n v="11466.7"/>
    <n v="0"/>
    <n v="0"/>
    <n v="101"/>
    <s v="_x0000_US"/>
  </r>
  <r>
    <x v="0"/>
    <n v="13.6744"/>
    <n v="-89.199399999999997"/>
    <n v="11467.5"/>
    <n v="0"/>
    <n v="0"/>
    <n v="101"/>
    <s v="_x0000_US"/>
  </r>
  <r>
    <x v="0"/>
    <n v="13.6967"/>
    <n v="-89.171800000000005"/>
    <n v="11467.6"/>
    <n v="0"/>
    <n v="0"/>
    <n v="101"/>
    <s v="_x0000_US"/>
  </r>
  <r>
    <x v="0"/>
    <n v="13.696099999999999"/>
    <n v="-89.171999999999997"/>
    <n v="11468"/>
    <n v="0"/>
    <n v="0"/>
    <n v="101"/>
    <s v="_x0000_US"/>
  </r>
  <r>
    <x v="0"/>
    <n v="13.6972"/>
    <n v="-89.171300000000002"/>
    <n v="11468"/>
    <n v="0"/>
    <n v="0"/>
    <n v="101"/>
    <s v="_x0000_US"/>
  </r>
  <r>
    <x v="0"/>
    <n v="13.6746"/>
    <n v="-89.251099999999994"/>
    <n v="11468.4"/>
    <n v="0"/>
    <n v="0"/>
    <n v="101"/>
    <s v="_x0000_US"/>
  </r>
  <r>
    <x v="0"/>
    <n v="13.694599999999999"/>
    <n v="-89.1751"/>
    <n v="11469.2"/>
    <n v="0"/>
    <n v="0"/>
    <n v="101"/>
    <s v="_x0000_US"/>
  </r>
  <r>
    <x v="0"/>
    <n v="13.694699999999999"/>
    <n v="-89.183599999999998"/>
    <n v="11470.5"/>
    <n v="0"/>
    <n v="0"/>
    <n v="101"/>
    <s v="_x0000_US"/>
  </r>
  <r>
    <x v="0"/>
    <n v="13.691599999999999"/>
    <n v="-89.2346"/>
    <n v="11470.7"/>
    <n v="0"/>
    <n v="0"/>
    <n v="101"/>
    <s v="_x0000_US"/>
  </r>
  <r>
    <x v="0"/>
    <n v="13.6911"/>
    <n v="-89.229699999999994"/>
    <n v="11471.5"/>
    <n v="0"/>
    <n v="0"/>
    <n v="101"/>
    <s v="_x0000_US"/>
  </r>
  <r>
    <x v="0"/>
    <n v="13.674200000000001"/>
    <n v="-89.202799999999996"/>
    <n v="11471.8"/>
    <n v="0"/>
    <n v="0"/>
    <n v="101"/>
    <s v="_x0000_US"/>
  </r>
  <r>
    <x v="0"/>
    <n v="13.691000000000001"/>
    <n v="-89.232699999999994"/>
    <n v="11472.1"/>
    <n v="0"/>
    <n v="0"/>
    <n v="101"/>
    <s v="_x0000_US"/>
  </r>
  <r>
    <x v="0"/>
    <n v="13.692500000000001"/>
    <n v="-89.183499999999995"/>
    <n v="11472.2"/>
    <n v="0"/>
    <n v="0"/>
    <n v="101"/>
    <s v="_x0000_US"/>
  </r>
  <r>
    <x v="0"/>
    <n v="13.6883"/>
    <n v="-89.181100000000001"/>
    <n v="11472.2"/>
    <n v="0"/>
    <n v="0"/>
    <n v="101"/>
    <s v="_x0000_US"/>
  </r>
  <r>
    <x v="0"/>
    <n v="13.691800000000001"/>
    <n v="-89.179299999999998"/>
    <n v="11472.8"/>
    <n v="0"/>
    <n v="0"/>
    <n v="101"/>
    <s v="_x0000_US"/>
  </r>
  <r>
    <x v="0"/>
    <n v="13.686400000000001"/>
    <n v="-89.215100000000007"/>
    <n v="11472.9"/>
    <n v="0"/>
    <n v="0"/>
    <n v="101"/>
    <s v="_x0000_US"/>
  </r>
  <r>
    <x v="0"/>
    <n v="13.6873"/>
    <n v="-89.197199999999995"/>
    <n v="11473.6"/>
    <n v="0"/>
    <n v="0"/>
    <n v="101"/>
    <s v="_x0000_US"/>
  </r>
  <r>
    <x v="0"/>
    <n v="13.691800000000001"/>
    <n v="-89.185900000000004"/>
    <n v="11473.8"/>
    <n v="0"/>
    <n v="0"/>
    <n v="101"/>
    <s v="_x0000_US"/>
  </r>
  <r>
    <x v="0"/>
    <n v="13.694599999999999"/>
    <n v="-89.175600000000003"/>
    <n v="11474.4"/>
    <n v="0"/>
    <n v="0"/>
    <n v="101"/>
    <s v="_x0000_US"/>
  </r>
  <r>
    <x v="0"/>
    <n v="13.6936"/>
    <n v="-89.188699999999997"/>
    <n v="11474.8"/>
    <n v="0"/>
    <n v="0"/>
    <n v="101"/>
    <s v="_x0000_US"/>
  </r>
  <r>
    <x v="0"/>
    <n v="13.693099999999999"/>
    <n v="-89.176599999999993"/>
    <n v="11475.5"/>
    <n v="0"/>
    <n v="0"/>
    <n v="101"/>
    <s v="_x0000_US"/>
  </r>
  <r>
    <x v="0"/>
    <n v="13.695399999999999"/>
    <n v="-89.172200000000004"/>
    <n v="11475.9"/>
    <n v="0"/>
    <n v="0"/>
    <n v="101"/>
    <s v="_x0000_US"/>
  </r>
  <r>
    <x v="0"/>
    <n v="13.6861"/>
    <n v="-89.211600000000004"/>
    <n v="11476"/>
    <n v="0"/>
    <n v="0"/>
    <n v="101"/>
    <s v="_x0000_US"/>
  </r>
  <r>
    <x v="0"/>
    <n v="13.6883"/>
    <n v="-89.190700000000007"/>
    <n v="11476.5"/>
    <n v="0"/>
    <n v="0"/>
    <n v="101"/>
    <s v="_x0000_US"/>
  </r>
  <r>
    <x v="0"/>
    <n v="13.694100000000001"/>
    <n v="-89.174999999999997"/>
    <n v="11477.1"/>
    <n v="0"/>
    <n v="0"/>
    <n v="101"/>
    <s v="_x0000_US"/>
  </r>
  <r>
    <x v="0"/>
    <n v="13.6876"/>
    <n v="-89.194299999999998"/>
    <n v="11477.6"/>
    <n v="0"/>
    <n v="0"/>
    <n v="101"/>
    <s v="_x0000_US"/>
  </r>
  <r>
    <x v="0"/>
    <n v="13.6891"/>
    <n v="-89.229600000000005"/>
    <n v="11477.7"/>
    <n v="0"/>
    <n v="0"/>
    <n v="101"/>
    <s v="_x0000_US"/>
  </r>
  <r>
    <x v="0"/>
    <n v="13.692299999999999"/>
    <n v="-89.225999999999999"/>
    <n v="11477.8"/>
    <n v="0"/>
    <n v="0"/>
    <n v="101"/>
    <s v="_x0000_US"/>
  </r>
  <r>
    <x v="0"/>
    <n v="13.691000000000001"/>
    <n v="-89.228999999999999"/>
    <n v="11478.1"/>
    <n v="0"/>
    <n v="0"/>
    <n v="101"/>
    <s v="_x0000_US"/>
  </r>
  <r>
    <x v="0"/>
    <n v="13.691599999999999"/>
    <n v="-89.233900000000006"/>
    <n v="11478.1"/>
    <n v="0"/>
    <n v="0"/>
    <n v="101"/>
    <s v="_x0000_US"/>
  </r>
  <r>
    <x v="0"/>
    <n v="13.6799"/>
    <n v="-89.194500000000005"/>
    <n v="11479"/>
    <n v="0"/>
    <n v="0"/>
    <n v="101"/>
    <s v="_x0000_US"/>
  </r>
  <r>
    <x v="0"/>
    <n v="13.692500000000001"/>
    <n v="-89.223399999999998"/>
    <n v="11480.6"/>
    <n v="0"/>
    <n v="0"/>
    <n v="101"/>
    <s v="_x0000_US"/>
  </r>
  <r>
    <x v="0"/>
    <n v="13.689299999999999"/>
    <n v="-89.184299999999993"/>
    <n v="11481.1"/>
    <n v="0"/>
    <n v="0"/>
    <n v="101"/>
    <s v="_x0000_US"/>
  </r>
  <r>
    <x v="0"/>
    <n v="13.6738"/>
    <n v="-89.203000000000003"/>
    <n v="11481.2"/>
    <n v="0"/>
    <n v="0"/>
    <n v="101"/>
    <s v="_x0000_US"/>
  </r>
  <r>
    <x v="0"/>
    <n v="13.6873"/>
    <n v="-89.215199999999996"/>
    <n v="11481.4"/>
    <n v="0"/>
    <n v="0"/>
    <n v="101"/>
    <s v="_x0000_US"/>
  </r>
  <r>
    <x v="0"/>
    <n v="13.6868"/>
    <n v="-89.194500000000005"/>
    <n v="11482.4"/>
    <n v="0"/>
    <n v="0"/>
    <n v="101"/>
    <s v="_x0000_US"/>
  </r>
  <r>
    <x v="0"/>
    <n v="13.690799999999999"/>
    <n v="-89.188699999999997"/>
    <n v="11483.2"/>
    <n v="0"/>
    <n v="0"/>
    <n v="101"/>
    <s v="_x0000_US"/>
  </r>
  <r>
    <x v="0"/>
    <n v="13.689299999999999"/>
    <n v="-89.189800000000005"/>
    <n v="11483.3"/>
    <n v="0"/>
    <n v="0"/>
    <n v="101"/>
    <s v="_x0000_US"/>
  </r>
  <r>
    <x v="0"/>
    <n v="13.691000000000001"/>
    <n v="-89.232500000000002"/>
    <n v="11483.3"/>
    <n v="0"/>
    <n v="0"/>
    <n v="101"/>
    <s v="_x0000_US"/>
  </r>
  <r>
    <x v="0"/>
    <n v="13.69"/>
    <n v="-89.197599999999994"/>
    <n v="11484.5"/>
    <n v="0"/>
    <n v="0"/>
    <n v="101"/>
    <s v="_x0000_US"/>
  </r>
  <r>
    <x v="0"/>
    <n v="13.6891"/>
    <n v="-89.183800000000005"/>
    <n v="11484.9"/>
    <n v="0"/>
    <n v="0"/>
    <n v="101"/>
    <s v="_x0000_US"/>
  </r>
  <r>
    <x v="0"/>
    <n v="13.687200000000001"/>
    <n v="-89.195999999999998"/>
    <n v="11485.3"/>
    <n v="0"/>
    <n v="0"/>
    <n v="101"/>
    <s v="_x0000_US"/>
  </r>
  <r>
    <x v="0"/>
    <n v="13.694800000000001"/>
    <n v="-89.1721"/>
    <n v="11485.4"/>
    <n v="0"/>
    <n v="0"/>
    <n v="101"/>
    <s v="_x0000_US"/>
  </r>
  <r>
    <x v="0"/>
    <n v="13.6904"/>
    <n v="-89.234800000000007"/>
    <n v="11485.4"/>
    <n v="0"/>
    <n v="0"/>
    <n v="101"/>
    <s v="_x0000_US"/>
  </r>
  <r>
    <x v="0"/>
    <n v="13.674200000000001"/>
    <n v="-89.202299999999994"/>
    <n v="11486.1"/>
    <n v="0"/>
    <n v="0"/>
    <n v="101"/>
    <s v="_x0000_US"/>
  </r>
  <r>
    <x v="0"/>
    <n v="13.6966"/>
    <n v="-89.171899999999994"/>
    <n v="11486.5"/>
    <n v="0"/>
    <n v="0"/>
    <n v="101"/>
    <s v="_x0000_US"/>
  </r>
  <r>
    <x v="0"/>
    <n v="13.6907"/>
    <n v="-89.194900000000004"/>
    <n v="11486.9"/>
    <n v="0"/>
    <n v="0"/>
    <n v="101"/>
    <s v="_x0000_US"/>
  </r>
  <r>
    <x v="0"/>
    <n v="13.686999999999999"/>
    <n v="-89.197400000000002"/>
    <n v="11487.3"/>
    <n v="0"/>
    <n v="0"/>
    <n v="101"/>
    <s v="_x0000_US"/>
  </r>
  <r>
    <x v="0"/>
    <n v="13.6921"/>
    <n v="-89.221800000000002"/>
    <n v="11487.7"/>
    <n v="0"/>
    <n v="0"/>
    <n v="101"/>
    <s v="_x0000_US"/>
  </r>
  <r>
    <x v="0"/>
    <n v="13.6851"/>
    <n v="-89.217100000000002"/>
    <n v="11487.8"/>
    <n v="0"/>
    <n v="0"/>
    <n v="101"/>
    <s v="_x0000_US"/>
  </r>
  <r>
    <x v="0"/>
    <n v="13.687099999999999"/>
    <n v="-89.201700000000002"/>
    <n v="11488.8"/>
    <n v="0"/>
    <n v="0"/>
    <n v="101"/>
    <s v="_x0000_US"/>
  </r>
  <r>
    <x v="0"/>
    <n v="13.690899999999999"/>
    <n v="-89.219899999999996"/>
    <n v="11489.1"/>
    <n v="0"/>
    <n v="0"/>
    <n v="101"/>
    <s v="_x0000_US"/>
  </r>
  <r>
    <x v="0"/>
    <n v="13.6922"/>
    <n v="-89.178399999999996"/>
    <n v="11490.3"/>
    <n v="0"/>
    <n v="0"/>
    <n v="101"/>
    <s v="_x0000_US"/>
  </r>
  <r>
    <x v="0"/>
    <n v="13.690899999999999"/>
    <n v="-89.235500000000002"/>
    <n v="11490.4"/>
    <n v="0"/>
    <n v="0"/>
    <n v="101"/>
    <s v="_x0000_US"/>
  </r>
  <r>
    <x v="0"/>
    <n v="13.6737"/>
    <n v="-89.203100000000006"/>
    <n v="11491.2"/>
    <n v="0"/>
    <n v="0"/>
    <n v="101"/>
    <s v="_x0000_US"/>
  </r>
  <r>
    <x v="0"/>
    <n v="13.694699999999999"/>
    <n v="-89.1721"/>
    <n v="11491.4"/>
    <n v="0"/>
    <n v="0"/>
    <n v="101"/>
    <s v="_x0000_US"/>
  </r>
  <r>
    <x v="0"/>
    <n v="13.691800000000001"/>
    <n v="-89.1785"/>
    <n v="11491.5"/>
    <n v="0"/>
    <n v="0"/>
    <n v="101"/>
    <s v="_x0000_US"/>
  </r>
  <r>
    <x v="0"/>
    <n v="13.6912"/>
    <n v="-89.232799999999997"/>
    <n v="11491.8"/>
    <n v="0"/>
    <n v="0"/>
    <n v="101"/>
    <s v="_x0000_US"/>
  </r>
  <r>
    <x v="0"/>
    <n v="13.6792"/>
    <n v="-89.197199999999995"/>
    <n v="11492.1"/>
    <n v="0"/>
    <n v="0"/>
    <n v="101"/>
    <s v="_x0000_US"/>
  </r>
  <r>
    <x v="0"/>
    <n v="13.6899"/>
    <n v="-89.193899999999999"/>
    <n v="11492.3"/>
    <n v="0"/>
    <n v="0"/>
    <n v="101"/>
    <s v="_x0000_US"/>
  </r>
  <r>
    <x v="0"/>
    <n v="13.6899"/>
    <n v="-89.195599999999999"/>
    <n v="11492.5"/>
    <n v="0"/>
    <n v="0"/>
    <n v="101"/>
    <s v="_x0000_US"/>
  </r>
  <r>
    <x v="0"/>
    <n v="13.6889"/>
    <n v="-89.178100000000001"/>
    <n v="11493.1"/>
    <n v="0"/>
    <n v="0"/>
    <n v="101"/>
    <s v="_x0000_US"/>
  </r>
  <r>
    <x v="0"/>
    <n v="13.6965"/>
    <n v="-89.172399999999996"/>
    <n v="11493.6"/>
    <n v="0"/>
    <n v="0"/>
    <n v="101"/>
    <s v="_x0000_US"/>
  </r>
  <r>
    <x v="0"/>
    <n v="13.6854"/>
    <n v="-89.1935"/>
    <n v="11493.8"/>
    <n v="0"/>
    <n v="0"/>
    <n v="101"/>
    <s v="_x0000_US"/>
  </r>
  <r>
    <x v="0"/>
    <n v="13.6911"/>
    <n v="-89.1905"/>
    <n v="11494.2"/>
    <n v="0"/>
    <n v="0"/>
    <n v="101"/>
    <s v="_x0000_US"/>
  </r>
  <r>
    <x v="0"/>
    <n v="13.6904"/>
    <n v="-89.188999999999993"/>
    <n v="11495.1"/>
    <n v="0"/>
    <n v="0"/>
    <n v="101"/>
    <s v="_x0000_US"/>
  </r>
  <r>
    <x v="0"/>
    <n v="13.6915"/>
    <n v="-89.233699999999999"/>
    <n v="11495.5"/>
    <n v="0"/>
    <n v="0"/>
    <n v="101"/>
    <s v="_x0000_US"/>
  </r>
  <r>
    <x v="0"/>
    <n v="13.694100000000001"/>
    <n v="-89.173500000000004"/>
    <n v="11495.8"/>
    <n v="0"/>
    <n v="0"/>
    <n v="101"/>
    <s v="_x0000_US"/>
  </r>
  <r>
    <x v="0"/>
    <n v="13.6875"/>
    <n v="-89.197100000000006"/>
    <n v="11496.9"/>
    <n v="0"/>
    <n v="0"/>
    <n v="101"/>
    <s v="_x0000_US"/>
  </r>
  <r>
    <x v="0"/>
    <n v="13.691000000000001"/>
    <n v="-89.235100000000003"/>
    <n v="11497.5"/>
    <n v="0"/>
    <n v="0"/>
    <n v="101"/>
    <s v="_x0000_US"/>
  </r>
  <r>
    <x v="0"/>
    <n v="13.69"/>
    <n v="-89.185000000000002"/>
    <n v="11497.7"/>
    <n v="0"/>
    <n v="0"/>
    <n v="101"/>
    <s v="_x0000_US"/>
  </r>
  <r>
    <x v="0"/>
    <n v="13.6873"/>
    <n v="-89.216800000000006"/>
    <n v="11497.7"/>
    <n v="0"/>
    <n v="0"/>
    <n v="101"/>
    <s v="_x0000_US"/>
  </r>
  <r>
    <x v="0"/>
    <n v="13.685700000000001"/>
    <n v="-89.211399999999998"/>
    <n v="11498.4"/>
    <n v="0"/>
    <n v="0"/>
    <n v="101"/>
    <s v="_x0000_US"/>
  </r>
  <r>
    <x v="0"/>
    <n v="13.6928"/>
    <n v="-89.1845"/>
    <n v="11498.8"/>
    <n v="0"/>
    <n v="0"/>
    <n v="101"/>
    <s v="_x0000_US"/>
  </r>
  <r>
    <x v="0"/>
    <n v="13.6889"/>
    <n v="-89.229200000000006"/>
    <n v="11499.1"/>
    <n v="0"/>
    <n v="0"/>
    <n v="101"/>
    <s v="_x0000_US"/>
  </r>
  <r>
    <x v="0"/>
    <n v="13.678900000000001"/>
    <n v="-89.196600000000004"/>
    <n v="11499.3"/>
    <n v="0"/>
    <n v="0"/>
    <n v="101"/>
    <s v="_x0000_US"/>
  </r>
  <r>
    <x v="0"/>
    <n v="13.6915"/>
    <n v="-89.226699999999994"/>
    <n v="11499.9"/>
    <n v="0"/>
    <n v="0"/>
    <n v="101"/>
    <s v="_x0000_US"/>
  </r>
  <r>
    <x v="0"/>
    <n v="13.691599999999999"/>
    <n v="-89.193399999999997"/>
    <n v="11500"/>
    <n v="0"/>
    <n v="0"/>
    <n v="101"/>
    <s v="_x0000_US"/>
  </r>
  <r>
    <x v="0"/>
    <n v="13.6869"/>
    <n v="-89.2042"/>
    <n v="11500.8"/>
    <n v="0"/>
    <n v="0"/>
    <n v="101"/>
    <s v="_x0000_US"/>
  </r>
  <r>
    <x v="0"/>
    <n v="13.6912"/>
    <n v="-89.179500000000004"/>
    <n v="11503"/>
    <n v="0"/>
    <n v="0"/>
    <n v="101"/>
    <s v="_x0000_US"/>
  </r>
  <r>
    <x v="0"/>
    <n v="13.690300000000001"/>
    <n v="-89.188599999999994"/>
    <n v="11503.4"/>
    <n v="0"/>
    <n v="0"/>
    <n v="101"/>
    <s v="_x0000_US"/>
  </r>
  <r>
    <x v="0"/>
    <n v="13.6899"/>
    <n v="-89.193700000000007"/>
    <n v="11503.9"/>
    <n v="0"/>
    <n v="0"/>
    <n v="101"/>
    <s v="_x0000_US"/>
  </r>
  <r>
    <x v="0"/>
    <n v="13.687200000000001"/>
    <n v="-89.183499999999995"/>
    <n v="11504.7"/>
    <n v="0"/>
    <n v="0"/>
    <n v="101"/>
    <s v="_x0000_US"/>
  </r>
  <r>
    <x v="0"/>
    <n v="13.6921"/>
    <n v="-89.222800000000007"/>
    <n v="11504.8"/>
    <n v="0"/>
    <n v="0"/>
    <n v="101"/>
    <s v="_x0000_US"/>
  </r>
  <r>
    <x v="0"/>
    <n v="13.691000000000001"/>
    <n v="-89.189700000000002"/>
    <n v="11505.9"/>
    <n v="0"/>
    <n v="0"/>
    <n v="101"/>
    <s v="_x0000_US"/>
  </r>
  <r>
    <x v="0"/>
    <n v="13.693099999999999"/>
    <n v="-89.188000000000002"/>
    <n v="11506.6"/>
    <n v="0"/>
    <n v="0"/>
    <n v="101"/>
    <s v="_x0000_US"/>
  </r>
  <r>
    <x v="0"/>
    <n v="13.6904"/>
    <n v="-89.227900000000005"/>
    <n v="11507.3"/>
    <n v="0"/>
    <n v="0"/>
    <n v="101"/>
    <s v="_x0000_US"/>
  </r>
  <r>
    <x v="0"/>
    <n v="13.686"/>
    <n v="-89.211399999999998"/>
    <n v="11507.4"/>
    <n v="0"/>
    <n v="0"/>
    <n v="101"/>
    <s v="_x0000_US"/>
  </r>
  <r>
    <x v="0"/>
    <n v="13.6907"/>
    <n v="-89.233900000000006"/>
    <n v="11507.8"/>
    <n v="0"/>
    <n v="0"/>
    <n v="101"/>
    <s v="_x0000_US"/>
  </r>
  <r>
    <x v="0"/>
    <n v="13.695499999999999"/>
    <n v="-89.173299999999998"/>
    <n v="11508.5"/>
    <n v="0"/>
    <n v="0"/>
    <n v="101"/>
    <s v="_x0000_US"/>
  </r>
  <r>
    <x v="0"/>
    <n v="13.674899999999999"/>
    <n v="-89.251400000000004"/>
    <n v="11508.9"/>
    <n v="0"/>
    <n v="0"/>
    <n v="101"/>
    <s v="_x0000_US"/>
  </r>
  <r>
    <x v="0"/>
    <n v="13.689299999999999"/>
    <n v="-89.216200000000001"/>
    <n v="11509"/>
    <n v="0"/>
    <n v="0"/>
    <n v="101"/>
    <s v="_x0000_US"/>
  </r>
  <r>
    <x v="0"/>
    <n v="13.6912"/>
    <n v="-89.233099999999993"/>
    <n v="11510.6"/>
    <n v="0"/>
    <n v="0"/>
    <n v="101"/>
    <s v="_x0000_US"/>
  </r>
  <r>
    <x v="0"/>
    <n v="13.694900000000001"/>
    <n v="-89.174300000000002"/>
    <n v="11511.1"/>
    <n v="0"/>
    <n v="0"/>
    <n v="101"/>
    <s v="_x0000_US"/>
  </r>
  <r>
    <x v="0"/>
    <n v="13.691800000000001"/>
    <n v="-89.186400000000006"/>
    <n v="11511.3"/>
    <n v="0"/>
    <n v="0"/>
    <n v="101"/>
    <s v="_x0000_US"/>
  </r>
  <r>
    <x v="0"/>
    <n v="13.6905"/>
    <n v="-89.188800000000001"/>
    <n v="11511.4"/>
    <n v="0"/>
    <n v="0"/>
    <n v="101"/>
    <s v="_x0000_US"/>
  </r>
  <r>
    <x v="0"/>
    <n v="13.687200000000001"/>
    <n v="-89.194699999999997"/>
    <n v="11511.6"/>
    <n v="0"/>
    <n v="0"/>
    <n v="101"/>
    <s v="_x0000_US"/>
  </r>
  <r>
    <x v="0"/>
    <n v="13.6851"/>
    <n v="-89.194000000000003"/>
    <n v="11512"/>
    <n v="0"/>
    <n v="0"/>
    <n v="101"/>
    <s v="_x0000_US"/>
  </r>
  <r>
    <x v="0"/>
    <n v="13.6793"/>
    <n v="-89.196600000000004"/>
    <n v="11512.5"/>
    <n v="0"/>
    <n v="0"/>
    <n v="101"/>
    <s v="_x0000_US"/>
  </r>
  <r>
    <x v="0"/>
    <n v="13.6853"/>
    <n v="-89.212599999999995"/>
    <n v="11512.6"/>
    <n v="0"/>
    <n v="0"/>
    <n v="101"/>
    <s v="_x0000_US"/>
  </r>
  <r>
    <x v="0"/>
    <n v="13.675000000000001"/>
    <n v="-89.199799999999996"/>
    <n v="11513.1"/>
    <n v="0"/>
    <n v="0"/>
    <n v="101"/>
    <s v="_x0000_US"/>
  </r>
  <r>
    <x v="0"/>
    <n v="13.6858"/>
    <n v="-89.215299999999999"/>
    <n v="11513.6"/>
    <n v="0"/>
    <n v="0"/>
    <n v="101"/>
    <s v="_x0000_US"/>
  </r>
  <r>
    <x v="0"/>
    <n v="13.691700000000001"/>
    <n v="-89.193399999999997"/>
    <n v="11513.7"/>
    <n v="0"/>
    <n v="0"/>
    <n v="101"/>
    <s v="_x0000_US"/>
  </r>
  <r>
    <x v="0"/>
    <n v="13.6752"/>
    <n v="-89.200100000000006"/>
    <n v="11513.7"/>
    <n v="0"/>
    <n v="0"/>
    <n v="101"/>
    <s v="_x0000_US"/>
  </r>
  <r>
    <x v="0"/>
    <n v="13.6884"/>
    <n v="-89.182699999999997"/>
    <n v="11514.8"/>
    <n v="0"/>
    <n v="0"/>
    <n v="101"/>
    <s v="_x0000_US"/>
  </r>
  <r>
    <x v="0"/>
    <n v="13.6953"/>
    <n v="-89.173699999999997"/>
    <n v="11515"/>
    <n v="0"/>
    <n v="0"/>
    <n v="101"/>
    <s v="_x0000_US"/>
  </r>
  <r>
    <x v="0"/>
    <n v="13.685600000000001"/>
    <n v="-89.215199999999996"/>
    <n v="11515.3"/>
    <n v="0"/>
    <n v="0"/>
    <n v="101"/>
    <s v="_x0000_US"/>
  </r>
  <r>
    <x v="0"/>
    <n v="13.692399999999999"/>
    <n v="-89.196899999999999"/>
    <n v="11515.5"/>
    <n v="0"/>
    <n v="0"/>
    <n v="101"/>
    <s v="_x0000_US"/>
  </r>
  <r>
    <x v="0"/>
    <n v="13.684699999999999"/>
    <n v="-89.215999999999994"/>
    <n v="11516.1"/>
    <n v="0"/>
    <n v="0"/>
    <n v="101"/>
    <s v="_x0000_US"/>
  </r>
  <r>
    <x v="0"/>
    <n v="13.6959"/>
    <n v="-89.172200000000004"/>
    <n v="11516.4"/>
    <n v="0"/>
    <n v="0"/>
    <n v="101"/>
    <s v="_x0000_US"/>
  </r>
  <r>
    <x v="0"/>
    <n v="13.6905"/>
    <n v="-89.177400000000006"/>
    <n v="11517.5"/>
    <n v="0"/>
    <n v="0"/>
    <n v="101"/>
    <s v="_x0000_US"/>
  </r>
  <r>
    <x v="0"/>
    <n v="13.6914"/>
    <n v="-89.234200000000001"/>
    <n v="11517.5"/>
    <n v="0"/>
    <n v="0"/>
    <n v="101"/>
    <s v="_x0000_US"/>
  </r>
  <r>
    <x v="0"/>
    <n v="13.6921"/>
    <n v="-89.223699999999994"/>
    <n v="11517.6"/>
    <n v="0"/>
    <n v="0"/>
    <n v="101"/>
    <s v="_x0000_US"/>
  </r>
  <r>
    <x v="0"/>
    <n v="13.6808"/>
    <n v="-89.195999999999998"/>
    <n v="11517.8"/>
    <n v="0"/>
    <n v="0"/>
    <n v="101"/>
    <s v="_x0000_US"/>
  </r>
  <r>
    <x v="0"/>
    <n v="13.692299999999999"/>
    <n v="-89.225899999999996"/>
    <n v="11517.9"/>
    <n v="0"/>
    <n v="0"/>
    <n v="101"/>
    <s v="_x0000_US"/>
  </r>
  <r>
    <x v="0"/>
    <n v="13.6936"/>
    <n v="-89.176299999999998"/>
    <n v="11519.1"/>
    <n v="0"/>
    <n v="0"/>
    <n v="101"/>
    <s v="_x0000_US"/>
  </r>
  <r>
    <x v="0"/>
    <n v="13.6942"/>
    <n v="-89.176299999999998"/>
    <n v="11519.8"/>
    <n v="0"/>
    <n v="0"/>
    <n v="101"/>
    <s v="_x0000_US"/>
  </r>
  <r>
    <x v="0"/>
    <n v="13.6874"/>
    <n v="-89.197100000000006"/>
    <n v="11520"/>
    <n v="0"/>
    <n v="0"/>
    <n v="101"/>
    <s v="_x0000_US"/>
  </r>
  <r>
    <x v="0"/>
    <n v="13.691700000000001"/>
    <n v="-89.226100000000002"/>
    <n v="11520.3"/>
    <n v="0"/>
    <n v="0"/>
    <n v="101"/>
    <s v="_x0000_US"/>
  </r>
  <r>
    <x v="0"/>
    <n v="13.692500000000001"/>
    <n v="-89.184899999999999"/>
    <n v="11521.7"/>
    <n v="0"/>
    <n v="0"/>
    <n v="101"/>
    <s v="_x0000_US"/>
  </r>
  <r>
    <x v="0"/>
    <n v="13.684900000000001"/>
    <n v="-89.216899999999995"/>
    <n v="11522.1"/>
    <n v="0"/>
    <n v="0"/>
    <n v="101"/>
    <s v="_x0000_US"/>
  </r>
  <r>
    <x v="0"/>
    <n v="13.6915"/>
    <n v="-89.189400000000006"/>
    <n v="11523.5"/>
    <n v="0"/>
    <n v="0"/>
    <n v="101"/>
    <s v="_x0000_US"/>
  </r>
  <r>
    <x v="0"/>
    <n v="13.692399999999999"/>
    <n v="-89.186999999999998"/>
    <n v="11523.6"/>
    <n v="0"/>
    <n v="0"/>
    <n v="101"/>
    <s v="_x0000_US"/>
  </r>
  <r>
    <x v="0"/>
    <n v="13.694699999999999"/>
    <n v="-89.174800000000005"/>
    <n v="11524.2"/>
    <n v="0"/>
    <n v="0"/>
    <n v="101"/>
    <s v="_x0000_US"/>
  </r>
  <r>
    <x v="0"/>
    <n v="13.697100000000001"/>
    <n v="-89.171499999999995"/>
    <n v="11524.4"/>
    <n v="0"/>
    <n v="0"/>
    <n v="101"/>
    <s v="_x0000_US"/>
  </r>
  <r>
    <x v="0"/>
    <n v="13.692299999999999"/>
    <n v="-89.183599999999998"/>
    <n v="11524.9"/>
    <n v="0"/>
    <n v="0"/>
    <n v="101"/>
    <s v="_x0000_US"/>
  </r>
  <r>
    <x v="0"/>
    <n v="13.694100000000001"/>
    <n v="-89.174899999999994"/>
    <n v="11525.2"/>
    <n v="0"/>
    <n v="0"/>
    <n v="101"/>
    <s v="_x0000_US"/>
  </r>
  <r>
    <x v="0"/>
    <n v="13.6851"/>
    <n v="-89.202399999999997"/>
    <n v="11525.5"/>
    <n v="0"/>
    <n v="0"/>
    <n v="101"/>
    <s v="_x0000_US"/>
  </r>
  <r>
    <x v="0"/>
    <n v="13.6745"/>
    <n v="-89.198999999999998"/>
    <n v="11525.6"/>
    <n v="0"/>
    <n v="0"/>
    <n v="101"/>
    <s v="_x0000_US"/>
  </r>
  <r>
    <x v="0"/>
    <n v="13.677899999999999"/>
    <n v="-89.245599999999996"/>
    <n v="11526.3"/>
    <n v="0"/>
    <n v="0"/>
    <n v="101"/>
    <s v="_x0000_US"/>
  </r>
  <r>
    <x v="0"/>
    <n v="13.6957"/>
    <n v="-89.173400000000001"/>
    <n v="11526.4"/>
    <n v="0"/>
    <n v="0"/>
    <n v="101"/>
    <s v="_x0000_US"/>
  </r>
  <r>
    <x v="0"/>
    <n v="13.6858"/>
    <n v="-89.213700000000003"/>
    <n v="11526.7"/>
    <n v="0"/>
    <n v="0"/>
    <n v="101"/>
    <s v="_x0000_US"/>
  </r>
  <r>
    <x v="0"/>
    <n v="13.6875"/>
    <n v="-89.196799999999996"/>
    <n v="11527.5"/>
    <n v="0"/>
    <n v="0"/>
    <n v="101"/>
    <s v="_x0000_US"/>
  </r>
  <r>
    <x v="0"/>
    <n v="13.6915"/>
    <n v="-89.233599999999996"/>
    <n v="11528.5"/>
    <n v="0"/>
    <n v="0"/>
    <n v="101"/>
    <s v="_x0000_US"/>
  </r>
  <r>
    <x v="0"/>
    <n v="13.6875"/>
    <n v="-89.194900000000004"/>
    <n v="11529.1"/>
    <n v="0"/>
    <n v="0"/>
    <n v="101"/>
    <s v="_x0000_US"/>
  </r>
  <r>
    <x v="0"/>
    <n v="13.6793"/>
    <n v="-89.196799999999996"/>
    <n v="11529.5"/>
    <n v="0"/>
    <n v="0"/>
    <n v="101"/>
    <s v="_x0000_US"/>
  </r>
  <r>
    <x v="0"/>
    <n v="13.6936"/>
    <n v="-89.173699999999997"/>
    <n v="11530"/>
    <n v="0"/>
    <n v="0"/>
    <n v="101"/>
    <s v="_x0000_US"/>
  </r>
  <r>
    <x v="0"/>
    <n v="13.6884"/>
    <n v="-89.229500000000002"/>
    <n v="11530"/>
    <n v="0"/>
    <n v="0"/>
    <n v="101"/>
    <s v="_x0000_US"/>
  </r>
  <r>
    <x v="0"/>
    <n v="13.692399999999999"/>
    <n v="-89.1845"/>
    <n v="11530.7"/>
    <n v="0"/>
    <n v="0"/>
    <n v="101"/>
    <s v="_x0000_US"/>
  </r>
  <r>
    <x v="0"/>
    <n v="13.692"/>
    <n v="-89.227099999999993"/>
    <n v="11530.8"/>
    <n v="0"/>
    <n v="0"/>
    <n v="101"/>
    <s v="_x0000_US"/>
  </r>
  <r>
    <x v="0"/>
    <n v="13.6904"/>
    <n v="-89.234099999999998"/>
    <n v="11531.5"/>
    <n v="0"/>
    <n v="0"/>
    <n v="101"/>
    <s v="_x0000_US"/>
  </r>
  <r>
    <x v="0"/>
    <n v="13.6913"/>
    <n v="-89.234800000000007"/>
    <n v="11531.6"/>
    <n v="0"/>
    <n v="0"/>
    <n v="101"/>
    <s v="_x0000_US"/>
  </r>
  <r>
    <x v="0"/>
    <n v="13.6957"/>
    <n v="-89.1661"/>
    <n v="11531.8"/>
    <n v="0"/>
    <n v="0"/>
    <n v="101"/>
    <s v="_x0000_US"/>
  </r>
  <r>
    <x v="0"/>
    <n v="13.693"/>
    <n v="-89.177000000000007"/>
    <n v="11531.9"/>
    <n v="0"/>
    <n v="0"/>
    <n v="101"/>
    <s v="_x0000_US"/>
  </r>
  <r>
    <x v="0"/>
    <n v="13.6897"/>
    <n v="-89.185599999999994"/>
    <n v="11532.5"/>
    <n v="0"/>
    <n v="0"/>
    <n v="101"/>
    <s v="_x0000_US"/>
  </r>
  <r>
    <x v="0"/>
    <n v="13.6852"/>
    <n v="-89.194000000000003"/>
    <n v="11532.5"/>
    <n v="0"/>
    <n v="0"/>
    <n v="101"/>
    <s v="_x0000_US"/>
  </r>
  <r>
    <x v="0"/>
    <n v="13.6919"/>
    <n v="-89.181700000000006"/>
    <n v="11533.1"/>
    <n v="0"/>
    <n v="0"/>
    <n v="101"/>
    <s v="_x0000_US"/>
  </r>
  <r>
    <x v="0"/>
    <n v="13.6851"/>
    <n v="-89.193700000000007"/>
    <n v="11533.1"/>
    <n v="0"/>
    <n v="0"/>
    <n v="101"/>
    <s v="_x0000_US"/>
  </r>
  <r>
    <x v="0"/>
    <n v="13.693"/>
    <n v="-89.185699999999997"/>
    <n v="11534.3"/>
    <n v="0"/>
    <n v="0"/>
    <n v="101"/>
    <s v="_x0000_US"/>
  </r>
  <r>
    <x v="0"/>
    <n v="13.692399999999999"/>
    <n v="-89.182900000000004"/>
    <n v="11535.7"/>
    <n v="0"/>
    <n v="0"/>
    <n v="101"/>
    <s v="_x0000_US"/>
  </r>
  <r>
    <x v="0"/>
    <n v="13.6739"/>
    <n v="-89.203100000000006"/>
    <n v="11536.1"/>
    <n v="0"/>
    <n v="0"/>
    <n v="101"/>
    <s v="_x0000_US"/>
  </r>
  <r>
    <x v="0"/>
    <n v="13.6873"/>
    <n v="-89.216999999999999"/>
    <n v="11536.1"/>
    <n v="0"/>
    <n v="0"/>
    <n v="101"/>
    <s v="_x0000_US"/>
  </r>
  <r>
    <x v="0"/>
    <n v="13.6942"/>
    <n v="-89.190200000000004"/>
    <n v="11536.3"/>
    <n v="0"/>
    <n v="0"/>
    <n v="101"/>
    <s v="_x0000_US"/>
  </r>
  <r>
    <x v="0"/>
    <n v="13.696199999999999"/>
    <n v="-89.167000000000002"/>
    <n v="11536.3"/>
    <n v="0"/>
    <n v="0"/>
    <n v="101"/>
    <s v="_x0000_US"/>
  </r>
  <r>
    <x v="0"/>
    <n v="13.6915"/>
    <n v="-89.189400000000006"/>
    <n v="11536.6"/>
    <n v="0"/>
    <n v="0"/>
    <n v="101"/>
    <s v="_x0000_US"/>
  </r>
  <r>
    <x v="0"/>
    <n v="13.690799999999999"/>
    <n v="-89.2346"/>
    <n v="11536.8"/>
    <n v="0"/>
    <n v="0"/>
    <n v="101"/>
    <s v="_x0000_US"/>
  </r>
  <r>
    <x v="0"/>
    <n v="13.694800000000001"/>
    <n v="-89.183099999999996"/>
    <n v="11537.1"/>
    <n v="0"/>
    <n v="0"/>
    <n v="101"/>
    <s v="_x0000_US"/>
  </r>
  <r>
    <x v="0"/>
    <n v="13.6873"/>
    <n v="-89.194400000000002"/>
    <n v="11537.2"/>
    <n v="0"/>
    <n v="0"/>
    <n v="101"/>
    <s v="_x0000_US"/>
  </r>
  <r>
    <x v="0"/>
    <n v="13.6874"/>
    <n v="-89.216700000000003"/>
    <n v="11537.2"/>
    <n v="0"/>
    <n v="0"/>
    <n v="101"/>
    <s v="_x0000_US"/>
  </r>
  <r>
    <x v="0"/>
    <n v="13.6861"/>
    <n v="-89.214799999999997"/>
    <n v="11537.2"/>
    <n v="0"/>
    <n v="0"/>
    <n v="101"/>
    <s v="_x0000_US"/>
  </r>
  <r>
    <x v="0"/>
    <n v="13.690799999999999"/>
    <n v="-89.181200000000004"/>
    <n v="11537.5"/>
    <n v="0"/>
    <n v="0"/>
    <n v="101"/>
    <s v="_x0000_US"/>
  </r>
  <r>
    <x v="0"/>
    <n v="13.688800000000001"/>
    <n v="-89.1982"/>
    <n v="11537.6"/>
    <n v="0"/>
    <n v="0"/>
    <n v="101"/>
    <s v="_x0000_US"/>
  </r>
  <r>
    <x v="0"/>
    <n v="13.6898"/>
    <n v="-89.177599999999998"/>
    <n v="11538.3"/>
    <n v="0"/>
    <n v="0"/>
    <n v="101"/>
    <s v="_x0000_US"/>
  </r>
  <r>
    <x v="0"/>
    <n v="13.679600000000001"/>
    <n v="-89.196799999999996"/>
    <n v="11538.5"/>
    <n v="0"/>
    <n v="0"/>
    <n v="101"/>
    <s v="_x0000_US"/>
  </r>
  <r>
    <x v="0"/>
    <n v="13.694000000000001"/>
    <n v="-89.175200000000004"/>
    <n v="11539"/>
    <n v="0"/>
    <n v="0"/>
    <n v="101"/>
    <s v="_x0000_US"/>
  </r>
  <r>
    <x v="0"/>
    <n v="13.6915"/>
    <n v="-89.234999999999999"/>
    <n v="11539.2"/>
    <n v="0"/>
    <n v="0"/>
    <n v="101"/>
    <s v="_x0000_US"/>
  </r>
  <r>
    <x v="0"/>
    <n v="13.6785"/>
    <n v="-89.1965"/>
    <n v="11540.1"/>
    <n v="0"/>
    <n v="0"/>
    <n v="101"/>
    <s v="_x0000_US"/>
  </r>
  <r>
    <x v="0"/>
    <n v="13.696"/>
    <n v="-89.1661"/>
    <n v="11540.9"/>
    <n v="0"/>
    <n v="0"/>
    <n v="101"/>
    <s v="_x0000_US"/>
  </r>
  <r>
    <x v="0"/>
    <n v="13.6927"/>
    <n v="-89.189599999999999"/>
    <n v="11541.2"/>
    <n v="0"/>
    <n v="0"/>
    <n v="101"/>
    <s v="_x0000_US"/>
  </r>
  <r>
    <x v="0"/>
    <n v="13.685499999999999"/>
    <n v="-89.202200000000005"/>
    <n v="11541.3"/>
    <n v="0"/>
    <n v="0"/>
    <n v="101"/>
    <s v="_x0000_US"/>
  </r>
  <r>
    <x v="0"/>
    <n v="13.691700000000001"/>
    <n v="-89.227000000000004"/>
    <n v="11541.7"/>
    <n v="0"/>
    <n v="0"/>
    <n v="101"/>
    <s v="_x0000_US"/>
  </r>
  <r>
    <x v="0"/>
    <n v="13.6858"/>
    <n v="-89.204400000000007"/>
    <n v="11542.7"/>
    <n v="0"/>
    <n v="0"/>
    <n v="101"/>
    <s v="_x0000_US"/>
  </r>
  <r>
    <x v="0"/>
    <n v="13.6907"/>
    <n v="-89.186099999999996"/>
    <n v="11543.7"/>
    <n v="0"/>
    <n v="0"/>
    <n v="101"/>
    <s v="_x0000_US"/>
  </r>
  <r>
    <x v="0"/>
    <n v="13.690300000000001"/>
    <n v="-89.234800000000007"/>
    <n v="11544"/>
    <n v="0"/>
    <n v="0"/>
    <n v="101"/>
    <s v="_x0000_US"/>
  </r>
  <r>
    <x v="0"/>
    <n v="13.689399999999999"/>
    <n v="-89.197400000000002"/>
    <n v="11544.6"/>
    <n v="0"/>
    <n v="0"/>
    <n v="101"/>
    <s v="_x0000_US"/>
  </r>
  <r>
    <x v="0"/>
    <n v="13.6921"/>
    <n v="-89.183400000000006"/>
    <n v="11545.1"/>
    <n v="0"/>
    <n v="0"/>
    <n v="101"/>
    <s v="_x0000_US"/>
  </r>
  <r>
    <x v="0"/>
    <n v="13.6854"/>
    <n v="-89.204499999999996"/>
    <n v="11545.4"/>
    <n v="0"/>
    <n v="0"/>
    <n v="101"/>
    <s v="_x0000_US"/>
  </r>
  <r>
    <x v="0"/>
    <n v="13.6906"/>
    <n v="-89.1815"/>
    <n v="11547.5"/>
    <n v="0"/>
    <n v="0"/>
    <n v="101"/>
    <s v="_x0000_US"/>
  </r>
  <r>
    <x v="0"/>
    <n v="13.692600000000001"/>
    <n v="-89.175799999999995"/>
    <n v="11547.5"/>
    <n v="0"/>
    <n v="0"/>
    <n v="101"/>
    <s v="_x0000_US"/>
  </r>
  <r>
    <x v="0"/>
    <n v="13.6914"/>
    <n v="-89.225800000000007"/>
    <n v="11547.5"/>
    <n v="0"/>
    <n v="0"/>
    <n v="101"/>
    <s v="_x0000_US"/>
  </r>
  <r>
    <x v="0"/>
    <n v="13.688800000000001"/>
    <n v="-89.181399999999996"/>
    <n v="11549.1"/>
    <n v="0"/>
    <n v="0"/>
    <n v="101"/>
    <s v="_x0000_US"/>
  </r>
  <r>
    <x v="0"/>
    <n v="13.6876"/>
    <n v="-89.216800000000006"/>
    <n v="11549.2"/>
    <n v="0"/>
    <n v="0"/>
    <n v="101"/>
    <s v="_x0000_US"/>
  </r>
  <r>
    <x v="0"/>
    <n v="13.6866"/>
    <n v="-89.214399999999998"/>
    <n v="11549.4"/>
    <n v="0"/>
    <n v="0"/>
    <n v="101"/>
    <s v="_x0000_US"/>
  </r>
  <r>
    <x v="0"/>
    <n v="13.686199999999999"/>
    <n v="-89.198099999999997"/>
    <n v="11549.5"/>
    <n v="0"/>
    <n v="0"/>
    <n v="101"/>
    <s v="_x0000_US"/>
  </r>
  <r>
    <x v="0"/>
    <n v="13.6921"/>
    <n v="-89.178600000000003"/>
    <n v="11549.7"/>
    <n v="0"/>
    <n v="0"/>
    <n v="101"/>
    <s v="_x0000_US"/>
  </r>
  <r>
    <x v="0"/>
    <n v="13.6861"/>
    <n v="-89.193899999999999"/>
    <n v="11550.8"/>
    <n v="0"/>
    <n v="0"/>
    <n v="101"/>
    <s v="_x0000_US"/>
  </r>
  <r>
    <x v="0"/>
    <n v="13.6972"/>
    <n v="-89.171400000000006"/>
    <n v="11551.1"/>
    <n v="0"/>
    <n v="0"/>
    <n v="101"/>
    <s v="_x0000_US"/>
  </r>
  <r>
    <x v="0"/>
    <n v="13.686999999999999"/>
    <n v="-89.194599999999994"/>
    <n v="11551.7"/>
    <n v="0"/>
    <n v="0"/>
    <n v="101"/>
    <s v="_x0000_US"/>
  </r>
  <r>
    <x v="0"/>
    <n v="13.6915"/>
    <n v="-89.176599999999993"/>
    <n v="11551.8"/>
    <n v="0"/>
    <n v="0"/>
    <n v="101"/>
    <s v="_x0000_US"/>
  </r>
  <r>
    <x v="0"/>
    <n v="13.686"/>
    <n v="-89.215400000000002"/>
    <n v="11552.4"/>
    <n v="0"/>
    <n v="0"/>
    <n v="101"/>
    <s v="_x0000_US"/>
  </r>
  <r>
    <x v="0"/>
    <n v="13.6927"/>
    <n v="-89.184200000000004"/>
    <n v="11552.5"/>
    <n v="0"/>
    <n v="0"/>
    <n v="101"/>
    <s v="_x0000_US"/>
  </r>
  <r>
    <x v="0"/>
    <n v="13.6929"/>
    <n v="-89.184700000000007"/>
    <n v="11554.2"/>
    <n v="0"/>
    <n v="0"/>
    <n v="101"/>
    <s v="_x0000_US"/>
  </r>
  <r>
    <x v="0"/>
    <n v="13.6869"/>
    <n v="-89.191500000000005"/>
    <n v="11554.3"/>
    <n v="0"/>
    <n v="0"/>
    <n v="101"/>
    <s v="_x0000_US"/>
  </r>
  <r>
    <x v="0"/>
    <n v="13.6877"/>
    <n v="-89.181399999999996"/>
    <n v="11554.4"/>
    <n v="0"/>
    <n v="0"/>
    <n v="101"/>
    <s v="_x0000_US"/>
  </r>
  <r>
    <x v="0"/>
    <n v="13.691800000000001"/>
    <n v="-89.195999999999998"/>
    <n v="11555"/>
    <n v="0"/>
    <n v="0"/>
    <n v="101"/>
    <s v="_x0000_US"/>
  </r>
  <r>
    <x v="0"/>
    <n v="13.685"/>
    <n v="-89.203000000000003"/>
    <n v="11555.1"/>
    <n v="0"/>
    <n v="0"/>
    <n v="101"/>
    <s v="_x0000_US"/>
  </r>
  <r>
    <x v="0"/>
    <n v="13.6942"/>
    <n v="-89.190200000000004"/>
    <n v="11555.6"/>
    <n v="0"/>
    <n v="0"/>
    <n v="101"/>
    <s v="_x0000_US"/>
  </r>
  <r>
    <x v="0"/>
    <n v="13.6882"/>
    <n v="-89.216700000000003"/>
    <n v="11557"/>
    <n v="0"/>
    <n v="0"/>
    <n v="101"/>
    <s v="_x0000_US"/>
  </r>
  <r>
    <x v="0"/>
    <n v="13.675000000000001"/>
    <n v="-89.1999"/>
    <n v="11557.1"/>
    <n v="0"/>
    <n v="0"/>
    <n v="101"/>
    <s v="_x0000_US"/>
  </r>
  <r>
    <x v="0"/>
    <n v="13.6907"/>
    <n v="-89.195499999999996"/>
    <n v="11558.1"/>
    <n v="0"/>
    <n v="0"/>
    <n v="101"/>
    <s v="_x0000_US"/>
  </r>
  <r>
    <x v="0"/>
    <n v="13.6906"/>
    <n v="-89.179000000000002"/>
    <n v="11558.4"/>
    <n v="0"/>
    <n v="0"/>
    <n v="101"/>
    <s v="_x0000_US"/>
  </r>
  <r>
    <x v="0"/>
    <n v="13.691800000000001"/>
    <n v="-89.194299999999998"/>
    <n v="11559.1"/>
    <n v="0"/>
    <n v="0"/>
    <n v="101"/>
    <s v="_x0000_US"/>
  </r>
  <r>
    <x v="0"/>
    <n v="13.6868"/>
    <n v="-89.181700000000006"/>
    <n v="11559.6"/>
    <n v="0"/>
    <n v="0"/>
    <n v="101"/>
    <s v="_x0000_US"/>
  </r>
  <r>
    <x v="0"/>
    <n v="13.6922"/>
    <n v="-89.177999999999997"/>
    <n v="11559.8"/>
    <n v="0"/>
    <n v="0"/>
    <n v="101"/>
    <s v="_x0000_US"/>
  </r>
  <r>
    <x v="0"/>
    <n v="13.692299999999999"/>
    <n v="-89.189700000000002"/>
    <n v="11560"/>
    <n v="0"/>
    <n v="0"/>
    <n v="101"/>
    <s v="_x0000_US"/>
  </r>
  <r>
    <x v="0"/>
    <n v="13.6919"/>
    <n v="-89.225399999999993"/>
    <n v="11560"/>
    <n v="0"/>
    <n v="0"/>
    <n v="101"/>
    <s v="_x0000_US"/>
  </r>
  <r>
    <x v="0"/>
    <n v="13.6952"/>
    <n v="-89.183300000000003"/>
    <n v="11560.2"/>
    <n v="0"/>
    <n v="0"/>
    <n v="101"/>
    <s v="_x0000_US"/>
  </r>
  <r>
    <x v="0"/>
    <n v="13.674799999999999"/>
    <n v="-89.249399999999994"/>
    <n v="11560.3"/>
    <n v="0"/>
    <n v="0"/>
    <n v="101"/>
    <s v="_x0000_US"/>
  </r>
  <r>
    <x v="0"/>
    <n v="13.6752"/>
    <n v="-89.250299999999996"/>
    <n v="11560.5"/>
    <n v="0"/>
    <n v="0"/>
    <n v="101"/>
    <s v="_x0000_US"/>
  </r>
  <r>
    <x v="0"/>
    <n v="13.688000000000001"/>
    <n v="-89.237200000000001"/>
    <n v="11560.6"/>
    <n v="0"/>
    <n v="0"/>
    <n v="101"/>
    <s v="_x0000_US"/>
  </r>
  <r>
    <x v="0"/>
    <n v="13.690300000000001"/>
    <n v="-89.186800000000005"/>
    <n v="11560.9"/>
    <n v="0"/>
    <n v="0"/>
    <n v="101"/>
    <s v="_x0000_US"/>
  </r>
  <r>
    <x v="0"/>
    <n v="13.6754"/>
    <n v="-89.251800000000003"/>
    <n v="11561.1"/>
    <n v="0"/>
    <n v="0"/>
    <n v="101"/>
    <s v="_x0000_US"/>
  </r>
  <r>
    <x v="0"/>
    <n v="13.6906"/>
    <n v="-89.232100000000003"/>
    <n v="11561.8"/>
    <n v="0"/>
    <n v="0"/>
    <n v="101"/>
    <s v="_x0000_US"/>
  </r>
  <r>
    <x v="0"/>
    <n v="13.6752"/>
    <n v="-89.251999999999995"/>
    <n v="11562.7"/>
    <n v="0"/>
    <n v="0"/>
    <n v="101"/>
    <s v="_x0000_US"/>
  </r>
  <r>
    <x v="0"/>
    <n v="13.691599999999999"/>
    <n v="-89.2256"/>
    <n v="11563.4"/>
    <n v="0"/>
    <n v="0"/>
    <n v="101"/>
    <s v="_x0000_US"/>
  </r>
  <r>
    <x v="0"/>
    <n v="13.688599999999999"/>
    <n v="-89.215999999999994"/>
    <n v="11564.5"/>
    <n v="0"/>
    <n v="0"/>
    <n v="101"/>
    <s v="_x0000_US"/>
  </r>
  <r>
    <x v="0"/>
    <n v="13.674200000000001"/>
    <n v="-89.252200000000002"/>
    <n v="11564.6"/>
    <n v="0"/>
    <n v="0"/>
    <n v="101"/>
    <s v="_x0000_US"/>
  </r>
  <r>
    <x v="0"/>
    <n v="13.6859"/>
    <n v="-89.213999999999999"/>
    <n v="11564.8"/>
    <n v="0"/>
    <n v="0"/>
    <n v="101"/>
    <s v="_x0000_US"/>
  </r>
  <r>
    <x v="0"/>
    <n v="13.685700000000001"/>
    <n v="-89.211500000000001"/>
    <n v="11564.9"/>
    <n v="0"/>
    <n v="0"/>
    <n v="101"/>
    <s v="_x0000_US"/>
  </r>
  <r>
    <x v="0"/>
    <n v="13.690799999999999"/>
    <n v="-89.235799999999998"/>
    <n v="11565.4"/>
    <n v="0"/>
    <n v="0"/>
    <n v="101"/>
    <s v="_x0000_US"/>
  </r>
  <r>
    <x v="0"/>
    <n v="13.692600000000001"/>
    <n v="-89.225399999999993"/>
    <n v="11565.5"/>
    <n v="0"/>
    <n v="0"/>
    <n v="101"/>
    <s v="_x0000_US"/>
  </r>
  <r>
    <x v="0"/>
    <n v="13.6874"/>
    <n v="-89.194400000000002"/>
    <n v="11565.7"/>
    <n v="0"/>
    <n v="0"/>
    <n v="101"/>
    <s v="_x0000_US"/>
  </r>
  <r>
    <x v="0"/>
    <n v="13.6854"/>
    <n v="-89.201400000000007"/>
    <n v="11566.6"/>
    <n v="0"/>
    <n v="0"/>
    <n v="101"/>
    <s v="_x0000_US"/>
  </r>
  <r>
    <x v="0"/>
    <n v="13.686999999999999"/>
    <n v="-89.194599999999994"/>
    <n v="11567.3"/>
    <n v="0"/>
    <n v="0"/>
    <n v="101"/>
    <s v="_x0000_US"/>
  </r>
  <r>
    <x v="0"/>
    <n v="13.688000000000001"/>
    <n v="-89.236999999999995"/>
    <n v="11567.4"/>
    <n v="0"/>
    <n v="0"/>
    <n v="101"/>
    <s v="_x0000_US"/>
  </r>
  <r>
    <x v="0"/>
    <n v="13.6882"/>
    <n v="-89.229500000000002"/>
    <n v="11567.5"/>
    <n v="0"/>
    <n v="0"/>
    <n v="101"/>
    <s v="_x0000_US"/>
  </r>
  <r>
    <x v="0"/>
    <n v="13.6866"/>
    <n v="-89.212599999999995"/>
    <n v="11568.7"/>
    <n v="0"/>
    <n v="0"/>
    <n v="101"/>
    <s v="_x0000_US"/>
  </r>
  <r>
    <x v="0"/>
    <n v="13.689299999999999"/>
    <n v="-89.203000000000003"/>
    <n v="11569.4"/>
    <n v="0"/>
    <n v="0"/>
    <n v="101"/>
    <s v="_x0000_US"/>
  </r>
  <r>
    <x v="0"/>
    <n v="13.688599999999999"/>
    <n v="-89.180099999999996"/>
    <n v="11569.5"/>
    <n v="0"/>
    <n v="0"/>
    <n v="101"/>
    <s v="_x0000_US"/>
  </r>
  <r>
    <x v="0"/>
    <n v="13.6883"/>
    <n v="-89.204300000000003"/>
    <n v="11569.6"/>
    <n v="0"/>
    <n v="0"/>
    <n v="101"/>
    <s v="_x0000_US"/>
  </r>
  <r>
    <x v="0"/>
    <n v="13.692399999999999"/>
    <n v="-89.174599999999998"/>
    <n v="11569.9"/>
    <n v="0"/>
    <n v="0"/>
    <n v="101"/>
    <s v="_x0000_US"/>
  </r>
  <r>
    <x v="0"/>
    <n v="13.6959"/>
    <n v="-89.172499999999999"/>
    <n v="11570.2"/>
    <n v="0"/>
    <n v="0"/>
    <n v="101"/>
    <s v="_x0000_US"/>
  </r>
  <r>
    <x v="0"/>
    <n v="13.6869"/>
    <n v="-89.191500000000005"/>
    <n v="11571.4"/>
    <n v="0"/>
    <n v="0"/>
    <n v="101"/>
    <s v="_x0000_US"/>
  </r>
  <r>
    <x v="0"/>
    <n v="13.6846"/>
    <n v="-89.217200000000005"/>
    <n v="11572"/>
    <n v="0"/>
    <n v="0"/>
    <n v="101"/>
    <s v="_x0000_US"/>
  </r>
  <r>
    <x v="0"/>
    <n v="13.684900000000001"/>
    <n v="-89.213999999999999"/>
    <n v="11572.3"/>
    <n v="0"/>
    <n v="0"/>
    <n v="101"/>
    <s v="_x0000_US"/>
  </r>
  <r>
    <x v="0"/>
    <n v="13.6958"/>
    <n v="-89.165599999999998"/>
    <n v="11572.5"/>
    <n v="0"/>
    <n v="0"/>
    <n v="101"/>
    <s v="_x0000_US"/>
  </r>
  <r>
    <x v="0"/>
    <n v="13.6919"/>
    <n v="-89.194100000000006"/>
    <n v="11573.2"/>
    <n v="0"/>
    <n v="0"/>
    <n v="101"/>
    <s v="_x0000_US"/>
  </r>
  <r>
    <x v="0"/>
    <n v="13.6889"/>
    <n v="-89.229600000000005"/>
    <n v="11573.9"/>
    <n v="0"/>
    <n v="0"/>
    <n v="101"/>
    <s v="_x0000_US"/>
  </r>
  <r>
    <x v="0"/>
    <n v="13.6868"/>
    <n v="-89.212999999999994"/>
    <n v="11574.3"/>
    <n v="0"/>
    <n v="0"/>
    <n v="101"/>
    <s v="_x0000_US"/>
  </r>
  <r>
    <x v="0"/>
    <n v="13.6906"/>
    <n v="-89.232100000000003"/>
    <n v="11574.7"/>
    <n v="0"/>
    <n v="0"/>
    <n v="101"/>
    <s v="_x0000_US"/>
  </r>
  <r>
    <x v="0"/>
    <n v="13.6919"/>
    <n v="-89.1815"/>
    <n v="11574.8"/>
    <n v="0"/>
    <n v="0"/>
    <n v="101"/>
    <s v="_x0000_US"/>
  </r>
  <r>
    <x v="0"/>
    <n v="13.674899999999999"/>
    <n v="-89.249799999999993"/>
    <n v="11576"/>
    <n v="0"/>
    <n v="0"/>
    <n v="101"/>
    <s v="_x0000_US"/>
  </r>
  <r>
    <x v="0"/>
    <n v="13.675000000000001"/>
    <n v="-89.252300000000005"/>
    <n v="11576.7"/>
    <n v="0"/>
    <n v="0"/>
    <n v="101"/>
    <s v="_x0000_US"/>
  </r>
  <r>
    <x v="0"/>
    <n v="13.694100000000001"/>
    <n v="-89.176500000000004"/>
    <n v="11577.5"/>
    <n v="0"/>
    <n v="0"/>
    <n v="101"/>
    <s v="_x0000_US"/>
  </r>
  <r>
    <x v="0"/>
    <n v="13.6852"/>
    <n v="-89.211399999999998"/>
    <n v="11578.3"/>
    <n v="0"/>
    <n v="0"/>
    <n v="101"/>
    <s v="_x0000_US"/>
  </r>
  <r>
    <x v="0"/>
    <n v="13.694699999999999"/>
    <n v="-89.185500000000005"/>
    <n v="11579.1"/>
    <n v="0"/>
    <n v="0"/>
    <n v="101"/>
    <s v="_x0000_US"/>
  </r>
  <r>
    <x v="0"/>
    <n v="13.6854"/>
    <n v="-89.211200000000005"/>
    <n v="11579.5"/>
    <n v="0"/>
    <n v="0"/>
    <n v="101"/>
    <s v="_x0000_US"/>
  </r>
  <r>
    <x v="0"/>
    <n v="13.690899999999999"/>
    <n v="-89.235600000000005"/>
    <n v="11579.8"/>
    <n v="0"/>
    <n v="0"/>
    <n v="101"/>
    <s v="_x0000_US"/>
  </r>
  <r>
    <x v="0"/>
    <n v="13.6959"/>
    <n v="-89.173100000000005"/>
    <n v="11580.3"/>
    <n v="0"/>
    <n v="0"/>
    <n v="101"/>
    <s v="_x0000_US"/>
  </r>
  <r>
    <x v="0"/>
    <n v="13.6884"/>
    <n v="-89.204300000000003"/>
    <n v="11580.4"/>
    <n v="0"/>
    <n v="0"/>
    <n v="101"/>
    <s v="_x0000_US"/>
  </r>
  <r>
    <x v="0"/>
    <n v="13.6897"/>
    <n v="-89.228700000000003"/>
    <n v="11581"/>
    <n v="0"/>
    <n v="0"/>
    <n v="101"/>
    <s v="_x0000_US"/>
  </r>
  <r>
    <x v="0"/>
    <n v="13.6898"/>
    <n v="-89.229399999999998"/>
    <n v="11581.7"/>
    <n v="0"/>
    <n v="0"/>
    <n v="101"/>
    <s v="_x0000_US"/>
  </r>
  <r>
    <x v="0"/>
    <n v="13.6769"/>
    <n v="-89.247600000000006"/>
    <n v="11582.1"/>
    <n v="0"/>
    <n v="0"/>
    <n v="101"/>
    <s v="_x0000_US"/>
  </r>
  <r>
    <x v="0"/>
    <n v="13.6846"/>
    <n v="-89.214200000000005"/>
    <n v="11582.2"/>
    <n v="0"/>
    <n v="0"/>
    <n v="101"/>
    <s v="_x0000_US"/>
  </r>
  <r>
    <x v="0"/>
    <n v="13.6915"/>
    <n v="-89.179599999999994"/>
    <n v="11582.4"/>
    <n v="0"/>
    <n v="0"/>
    <n v="101"/>
    <s v="_x0000_US"/>
  </r>
  <r>
    <x v="0"/>
    <n v="13.6915"/>
    <n v="-89.178799999999995"/>
    <n v="11582.6"/>
    <n v="0"/>
    <n v="0"/>
    <n v="101"/>
    <s v="_x0000_US"/>
  </r>
  <r>
    <x v="0"/>
    <n v="13.6899"/>
    <n v="-89.195700000000002"/>
    <n v="11583.4"/>
    <n v="0"/>
    <n v="0"/>
    <n v="101"/>
    <s v="_x0000_US"/>
  </r>
  <r>
    <x v="0"/>
    <n v="13.6792"/>
    <n v="-89.197199999999995"/>
    <n v="11583.8"/>
    <n v="0"/>
    <n v="0"/>
    <n v="101"/>
    <s v="_x0000_US"/>
  </r>
  <r>
    <x v="0"/>
    <n v="13.6907"/>
    <n v="-89.189400000000006"/>
    <n v="11584"/>
    <n v="0"/>
    <n v="0"/>
    <n v="101"/>
    <s v="_x0000_US"/>
  </r>
  <r>
    <x v="0"/>
    <n v="13.674300000000001"/>
    <n v="-89.199299999999994"/>
    <n v="11584.1"/>
    <n v="0"/>
    <n v="0"/>
    <n v="101"/>
    <s v="_x0000_US"/>
  </r>
  <r>
    <x v="0"/>
    <n v="13.6868"/>
    <n v="-89.181799999999996"/>
    <n v="11585.3"/>
    <n v="0"/>
    <n v="0"/>
    <n v="101"/>
    <s v="_x0000_US"/>
  </r>
  <r>
    <x v="0"/>
    <n v="13.694800000000001"/>
    <n v="-89.174300000000002"/>
    <n v="11585.3"/>
    <n v="0"/>
    <n v="0"/>
    <n v="101"/>
    <s v="_x0000_US"/>
  </r>
  <r>
    <x v="0"/>
    <n v="13.688700000000001"/>
    <n v="-89.229600000000005"/>
    <n v="11585.4"/>
    <n v="0"/>
    <n v="0"/>
    <n v="101"/>
    <s v="_x0000_US"/>
  </r>
  <r>
    <x v="0"/>
    <n v="13.691700000000001"/>
    <n v="-89.225399999999993"/>
    <n v="11585.5"/>
    <n v="0"/>
    <n v="0"/>
    <n v="101"/>
    <s v="_x0000_US"/>
  </r>
  <r>
    <x v="0"/>
    <n v="13.6914"/>
    <n v="-89.183000000000007"/>
    <n v="11585.9"/>
    <n v="0"/>
    <n v="0"/>
    <n v="101"/>
    <s v="_x0000_US"/>
  </r>
  <r>
    <x v="0"/>
    <n v="13.687200000000001"/>
    <n v="-89.194599999999994"/>
    <n v="11586.8"/>
    <n v="0"/>
    <n v="0"/>
    <n v="101"/>
    <s v="_x0000_US"/>
  </r>
  <r>
    <x v="0"/>
    <n v="13.692500000000001"/>
    <n v="-89.183300000000003"/>
    <n v="11588.1"/>
    <n v="0"/>
    <n v="0"/>
    <n v="101"/>
    <s v="_x0000_US"/>
  </r>
  <r>
    <x v="0"/>
    <n v="13.6966"/>
    <n v="-89.1721"/>
    <n v="11588.4"/>
    <n v="0"/>
    <n v="0"/>
    <n v="101"/>
    <s v="_x0000_US"/>
  </r>
  <r>
    <x v="0"/>
    <n v="13.6906"/>
    <n v="-89.231800000000007"/>
    <n v="11588.8"/>
    <n v="0"/>
    <n v="0"/>
    <n v="101"/>
    <s v="_x0000_US"/>
  </r>
  <r>
    <x v="0"/>
    <n v="13.6913"/>
    <n v="-89.186199999999999"/>
    <n v="11589.5"/>
    <n v="0"/>
    <n v="0"/>
    <n v="101"/>
    <s v="_x0000_US"/>
  </r>
  <r>
    <x v="0"/>
    <n v="13.6928"/>
    <n v="-89.183999999999997"/>
    <n v="11589.7"/>
    <n v="0"/>
    <n v="0"/>
    <n v="101"/>
    <s v="_x0000_US"/>
  </r>
  <r>
    <x v="0"/>
    <n v="13.689500000000001"/>
    <n v="-89.229299999999995"/>
    <n v="11589.7"/>
    <n v="0"/>
    <n v="0"/>
    <n v="101"/>
    <s v="_x0000_US"/>
  </r>
  <r>
    <x v="0"/>
    <n v="13.6873"/>
    <n v="-89.197599999999994"/>
    <n v="11589.8"/>
    <n v="0"/>
    <n v="0"/>
    <n v="101"/>
    <s v="_x0000_US"/>
  </r>
  <r>
    <x v="0"/>
    <n v="13.6905"/>
    <n v="-89.2346"/>
    <n v="11590"/>
    <n v="0"/>
    <n v="0"/>
    <n v="101"/>
    <s v="_x0000_US"/>
  </r>
  <r>
    <x v="0"/>
    <n v="13.6919"/>
    <n v="-89.194400000000002"/>
    <n v="11590.6"/>
    <n v="0"/>
    <n v="0"/>
    <n v="101"/>
    <s v="_x0000_US"/>
  </r>
  <r>
    <x v="0"/>
    <n v="13.691000000000001"/>
    <n v="-89.233599999999996"/>
    <n v="11591.3"/>
    <n v="0"/>
    <n v="0"/>
    <n v="101"/>
    <s v="_x0000_US"/>
  </r>
  <r>
    <x v="0"/>
    <n v="13.693300000000001"/>
    <n v="-89.1892"/>
    <n v="11591.6"/>
    <n v="0"/>
    <n v="0"/>
    <n v="101"/>
    <s v="_x0000_US"/>
  </r>
  <r>
    <x v="0"/>
    <n v="13.693300000000001"/>
    <n v="-89.1785"/>
    <n v="11591.7"/>
    <n v="0"/>
    <n v="0"/>
    <n v="101"/>
    <s v="_x0000_US"/>
  </r>
  <r>
    <x v="0"/>
    <n v="13.688800000000001"/>
    <n v="-89.203999999999994"/>
    <n v="11592.1"/>
    <n v="0"/>
    <n v="0"/>
    <n v="101"/>
    <s v="_x0000_US"/>
  </r>
  <r>
    <x v="0"/>
    <n v="13.6913"/>
    <n v="-89.234099999999998"/>
    <n v="11592.1"/>
    <n v="0"/>
    <n v="0"/>
    <n v="101"/>
    <s v="_x0000_US"/>
  </r>
  <r>
    <x v="0"/>
    <n v="13.6914"/>
    <n v="-89.219899999999996"/>
    <n v="11593.2"/>
    <n v="0"/>
    <n v="0"/>
    <n v="101"/>
    <s v="_x0000_US"/>
  </r>
  <r>
    <x v="0"/>
    <n v="13.6868"/>
    <n v="-89.202799999999996"/>
    <n v="11594.7"/>
    <n v="0"/>
    <n v="0"/>
    <n v="101"/>
    <s v="_x0000_US"/>
  </r>
  <r>
    <x v="0"/>
    <n v="13.676500000000001"/>
    <n v="-89.247900000000001"/>
    <n v="11595.2"/>
    <n v="0"/>
    <n v="0"/>
    <n v="101"/>
    <s v="_x0000_US"/>
  </r>
  <r>
    <x v="0"/>
    <n v="13.6945"/>
    <n v="-89.172799999999995"/>
    <n v="11595.6"/>
    <n v="0"/>
    <n v="0"/>
    <n v="101"/>
    <s v="_x0000_US"/>
  </r>
  <r>
    <x v="0"/>
    <n v="13.6953"/>
    <n v="-89.173199999999994"/>
    <n v="11595.9"/>
    <n v="0"/>
    <n v="0"/>
    <n v="101"/>
    <s v="_x0000_US"/>
  </r>
  <r>
    <x v="0"/>
    <n v="13.6876"/>
    <n v="-89.192099999999996"/>
    <n v="11596.4"/>
    <n v="0"/>
    <n v="0"/>
    <n v="101"/>
    <s v="_x0000_US"/>
  </r>
  <r>
    <x v="0"/>
    <n v="13.6892"/>
    <n v="-89.235799999999998"/>
    <n v="11596.9"/>
    <n v="0"/>
    <n v="0"/>
    <n v="101"/>
    <s v="_x0000_US"/>
  </r>
  <r>
    <x v="0"/>
    <n v="13.6873"/>
    <n v="-89.197299999999998"/>
    <n v="11597.3"/>
    <n v="0"/>
    <n v="0"/>
    <n v="101"/>
    <s v="_x0000_US"/>
  </r>
  <r>
    <x v="0"/>
    <n v="13.689399999999999"/>
    <n v="-89.196899999999999"/>
    <n v="11599.7"/>
    <n v="0"/>
    <n v="0"/>
    <n v="101"/>
    <s v="_x0000_US"/>
  </r>
  <r>
    <x v="0"/>
    <n v="13.689399999999999"/>
    <n v="-89.183599999999998"/>
    <n v="11600.4"/>
    <n v="0"/>
    <n v="0"/>
    <n v="101"/>
    <s v="_x0000_US"/>
  </r>
  <r>
    <x v="0"/>
    <n v="13.6798"/>
    <n v="-89.196200000000005"/>
    <n v="11601.8"/>
    <n v="0"/>
    <n v="0"/>
    <n v="101"/>
    <s v="_x0000_US"/>
  </r>
  <r>
    <x v="0"/>
    <n v="13.6851"/>
    <n v="-89.214600000000004"/>
    <n v="11601.8"/>
    <n v="0"/>
    <n v="0"/>
    <n v="101"/>
    <s v="_x0000_US"/>
  </r>
  <r>
    <x v="0"/>
    <n v="13.691599999999999"/>
    <n v="-89.181600000000003"/>
    <n v="11602.2"/>
    <n v="0"/>
    <n v="0"/>
    <n v="101"/>
    <s v="_x0000_US"/>
  </r>
  <r>
    <x v="0"/>
    <n v="13.690300000000001"/>
    <n v="-89.177599999999998"/>
    <n v="11602.7"/>
    <n v="0"/>
    <n v="0"/>
    <n v="101"/>
    <s v="_x0000_US"/>
  </r>
  <r>
    <x v="0"/>
    <n v="13.690099999999999"/>
    <n v="-89.235900000000001"/>
    <n v="11602.7"/>
    <n v="0"/>
    <n v="0"/>
    <n v="101"/>
    <s v="_x0000_US"/>
  </r>
  <r>
    <x v="0"/>
    <n v="13.6869"/>
    <n v="-89.216800000000006"/>
    <n v="11603.1"/>
    <n v="0"/>
    <n v="0"/>
    <n v="101"/>
    <s v="_x0000_US"/>
  </r>
  <r>
    <x v="0"/>
    <n v="13.6919"/>
    <n v="-89.225200000000001"/>
    <n v="11603.3"/>
    <n v="0"/>
    <n v="0"/>
    <n v="101"/>
    <s v="_x0000_US"/>
  </r>
  <r>
    <x v="0"/>
    <n v="13.690099999999999"/>
    <n v="-89.235799999999998"/>
    <n v="11604.1"/>
    <n v="0"/>
    <n v="0"/>
    <n v="101"/>
    <s v="_x0000_US"/>
  </r>
  <r>
    <x v="0"/>
    <n v="13.684699999999999"/>
    <n v="-89.217100000000002"/>
    <n v="11605.3"/>
    <n v="0"/>
    <n v="0"/>
    <n v="101"/>
    <s v="_x0000_US"/>
  </r>
  <r>
    <x v="0"/>
    <n v="13.6905"/>
    <n v="-89.178899999999999"/>
    <n v="11605.7"/>
    <n v="0"/>
    <n v="0"/>
    <n v="101"/>
    <s v="_x0000_US"/>
  </r>
  <r>
    <x v="0"/>
    <n v="13.693300000000001"/>
    <n v="-89.178100000000001"/>
    <n v="11606.8"/>
    <n v="0"/>
    <n v="0"/>
    <n v="101"/>
    <s v="_x0000_US"/>
  </r>
  <r>
    <x v="0"/>
    <n v="13.688599999999999"/>
    <n v="-89.229200000000006"/>
    <n v="11608.4"/>
    <n v="0"/>
    <n v="0"/>
    <n v="101"/>
    <s v="_x0000_US"/>
  </r>
  <r>
    <x v="0"/>
    <n v="13.690300000000001"/>
    <n v="-89.187600000000003"/>
    <n v="11608.5"/>
    <n v="0"/>
    <n v="0"/>
    <n v="101"/>
    <s v="_x0000_US"/>
  </r>
  <r>
    <x v="0"/>
    <n v="13.684900000000001"/>
    <n v="-89.194000000000003"/>
    <n v="11608.5"/>
    <n v="0"/>
    <n v="0"/>
    <n v="101"/>
    <s v="_x0000_US"/>
  </r>
  <r>
    <x v="0"/>
    <n v="13.690099999999999"/>
    <n v="-89.193100000000001"/>
    <n v="11609"/>
    <n v="0"/>
    <n v="0"/>
    <n v="101"/>
    <s v="_x0000_US"/>
  </r>
  <r>
    <x v="0"/>
    <n v="13.689399999999999"/>
    <n v="-89.183599999999998"/>
    <n v="11609"/>
    <n v="0"/>
    <n v="0"/>
    <n v="101"/>
    <s v="_x0000_US"/>
  </r>
  <r>
    <x v="0"/>
    <n v="13.6907"/>
    <n v="-89.234700000000004"/>
    <n v="11609"/>
    <n v="0"/>
    <n v="0"/>
    <n v="101"/>
    <s v="_x0000_US"/>
  </r>
  <r>
    <x v="0"/>
    <n v="13.685499999999999"/>
    <n v="-89.211100000000002"/>
    <n v="11609.6"/>
    <n v="0"/>
    <n v="0"/>
    <n v="101"/>
    <s v="_x0000_US"/>
  </r>
  <r>
    <x v="0"/>
    <n v="13.690899999999999"/>
    <n v="-89.188900000000004"/>
    <n v="11609.8"/>
    <n v="0"/>
    <n v="0"/>
    <n v="101"/>
    <s v="_x0000_US"/>
  </r>
  <r>
    <x v="0"/>
    <n v="13.6951"/>
    <n v="-89.171700000000001"/>
    <n v="11610"/>
    <n v="0"/>
    <n v="0"/>
    <n v="101"/>
    <s v="_x0000_US"/>
  </r>
  <r>
    <x v="0"/>
    <n v="13.691700000000001"/>
    <n v="-89.225800000000007"/>
    <n v="11610.8"/>
    <n v="0"/>
    <n v="0"/>
    <n v="101"/>
    <s v="_x0000_US"/>
  </r>
  <r>
    <x v="0"/>
    <n v="13.6844"/>
    <n v="-89.211799999999997"/>
    <n v="11611.5"/>
    <n v="0"/>
    <n v="0"/>
    <n v="101"/>
    <s v="_x0000_US"/>
  </r>
  <r>
    <x v="0"/>
    <n v="13.689399999999999"/>
    <n v="-89.236000000000004"/>
    <n v="11612.6"/>
    <n v="0"/>
    <n v="0"/>
    <n v="101"/>
    <s v="_x0000_US"/>
  </r>
  <r>
    <x v="0"/>
    <n v="13.6914"/>
    <n v="-89.178600000000003"/>
    <n v="11612.7"/>
    <n v="0"/>
    <n v="0"/>
    <n v="101"/>
    <s v="_x0000_US"/>
  </r>
  <r>
    <x v="0"/>
    <n v="13.688700000000001"/>
    <n v="-89.189800000000005"/>
    <n v="11613.1"/>
    <n v="0"/>
    <n v="0"/>
    <n v="101"/>
    <s v="_x0000_US"/>
  </r>
  <r>
    <x v="0"/>
    <n v="13.688499999999999"/>
    <n v="-89.229799999999997"/>
    <n v="11613.1"/>
    <n v="0"/>
    <n v="0"/>
    <n v="101"/>
    <s v="_x0000_US"/>
  </r>
  <r>
    <x v="0"/>
    <n v="13.691599999999999"/>
    <n v="-89.220699999999994"/>
    <n v="11614.8"/>
    <n v="0"/>
    <n v="0"/>
    <n v="101"/>
    <s v="_x0000_US"/>
  </r>
  <r>
    <x v="0"/>
    <n v="13.691800000000001"/>
    <n v="-89.196200000000005"/>
    <n v="11614.9"/>
    <n v="0"/>
    <n v="0"/>
    <n v="101"/>
    <s v="_x0000_US"/>
  </r>
  <r>
    <x v="0"/>
    <n v="13.6812"/>
    <n v="-89.195700000000002"/>
    <n v="11615.2"/>
    <n v="0"/>
    <n v="0"/>
    <n v="101"/>
    <s v="_x0000_US"/>
  </r>
  <r>
    <x v="0"/>
    <n v="13.6928"/>
    <n v="-89.177899999999994"/>
    <n v="11615.7"/>
    <n v="0"/>
    <n v="0"/>
    <n v="101"/>
    <s v="_x0000_US"/>
  </r>
  <r>
    <x v="0"/>
    <n v="13.6891"/>
    <n v="-89.178899999999999"/>
    <n v="11616.1"/>
    <n v="0"/>
    <n v="0"/>
    <n v="101"/>
    <s v="_x0000_US"/>
  </r>
  <r>
    <x v="0"/>
    <n v="13.689500000000001"/>
    <n v="-89.177899999999994"/>
    <n v="11616.3"/>
    <n v="0"/>
    <n v="0"/>
    <n v="101"/>
    <s v="_x0000_US"/>
  </r>
  <r>
    <x v="0"/>
    <n v="13.696899999999999"/>
    <n v="-89.171800000000005"/>
    <n v="11617.1"/>
    <n v="0"/>
    <n v="0"/>
    <n v="101"/>
    <s v="_x0000_US"/>
  </r>
  <r>
    <x v="0"/>
    <n v="13.692299999999999"/>
    <n v="-89.226500000000001"/>
    <n v="11617.4"/>
    <n v="0"/>
    <n v="0"/>
    <n v="101"/>
    <s v="_x0000_US"/>
  </r>
  <r>
    <x v="0"/>
    <n v="13.6873"/>
    <n v="-89.192300000000003"/>
    <n v="11617.8"/>
    <n v="0"/>
    <n v="0"/>
    <n v="101"/>
    <s v="_x0000_US"/>
  </r>
  <r>
    <x v="0"/>
    <n v="13.6791"/>
    <n v="-89.196600000000004"/>
    <n v="11618.2"/>
    <n v="0"/>
    <n v="0"/>
    <n v="101"/>
    <s v="_x0000_US"/>
  </r>
  <r>
    <x v="0"/>
    <n v="13.690799999999999"/>
    <n v="-89.2273"/>
    <n v="11619.2"/>
    <n v="0"/>
    <n v="0"/>
    <n v="101"/>
    <s v="_x0000_US"/>
  </r>
  <r>
    <x v="0"/>
    <n v="13.686"/>
    <n v="-89.201400000000007"/>
    <n v="11619.3"/>
    <n v="0"/>
    <n v="0"/>
    <n v="101"/>
    <s v="_x0000_US"/>
  </r>
  <r>
    <x v="0"/>
    <n v="13.6911"/>
    <n v="-89.235200000000006"/>
    <n v="11619.8"/>
    <n v="0"/>
    <n v="0"/>
    <n v="101"/>
    <s v="_x0000_US"/>
  </r>
  <r>
    <x v="0"/>
    <n v="13.6881"/>
    <n v="-89.198899999999995"/>
    <n v="11619.9"/>
    <n v="0"/>
    <n v="0"/>
    <n v="101"/>
    <s v="_x0000_US"/>
  </r>
  <r>
    <x v="0"/>
    <n v="13.6915"/>
    <n v="-89.185400000000001"/>
    <n v="11620.5"/>
    <n v="0"/>
    <n v="0"/>
    <n v="101"/>
    <s v="_x0000_US"/>
  </r>
  <r>
    <x v="0"/>
    <n v="13.686"/>
    <n v="-89.211299999999994"/>
    <n v="11621.2"/>
    <n v="0"/>
    <n v="0"/>
    <n v="101"/>
    <s v="_x0000_US"/>
  </r>
  <r>
    <x v="0"/>
    <n v="13.6915"/>
    <n v="-89.232600000000005"/>
    <n v="11621.3"/>
    <n v="0"/>
    <n v="0"/>
    <n v="101"/>
    <s v="_x0000_US"/>
  </r>
  <r>
    <x v="0"/>
    <n v="13.696999999999999"/>
    <n v="-89.171599999999998"/>
    <n v="11621.8"/>
    <n v="0"/>
    <n v="0"/>
    <n v="101"/>
    <s v="_x0000_US"/>
  </r>
  <r>
    <x v="0"/>
    <n v="13.6935"/>
    <n v="-89.188199999999995"/>
    <n v="11621.9"/>
    <n v="0"/>
    <n v="0"/>
    <n v="101"/>
    <s v="_x0000_US"/>
  </r>
  <r>
    <x v="0"/>
    <n v="13.692"/>
    <n v="-89.179699999999997"/>
    <n v="11624.1"/>
    <n v="0"/>
    <n v="0"/>
    <n v="101"/>
    <s v="_x0000_US"/>
  </r>
  <r>
    <x v="0"/>
    <n v="13.6884"/>
    <n v="-89.198800000000006"/>
    <n v="11624.7"/>
    <n v="0"/>
    <n v="0"/>
    <n v="101"/>
    <s v="_x0000_US"/>
  </r>
  <r>
    <x v="0"/>
    <n v="13.6945"/>
    <n v="-89.183099999999996"/>
    <n v="11624.9"/>
    <n v="0"/>
    <n v="0"/>
    <n v="101"/>
    <s v="_x0000_US"/>
  </r>
  <r>
    <x v="0"/>
    <n v="13.6944"/>
    <n v="-89.188999999999993"/>
    <n v="11626"/>
    <n v="0"/>
    <n v="0"/>
    <n v="101"/>
    <s v="_x0000_US"/>
  </r>
  <r>
    <x v="0"/>
    <n v="13.6739"/>
    <n v="-89.251099999999994"/>
    <n v="11626"/>
    <n v="0"/>
    <n v="0"/>
    <n v="101"/>
    <s v="_x0000_US"/>
  </r>
  <r>
    <x v="0"/>
    <n v="13.6767"/>
    <n v="-89.247600000000006"/>
    <n v="11627.1"/>
    <n v="0"/>
    <n v="0"/>
    <n v="101"/>
    <s v="_x0000_US"/>
  </r>
  <r>
    <x v="0"/>
    <n v="13.6915"/>
    <n v="-89.234800000000007"/>
    <n v="11627.5"/>
    <n v="0"/>
    <n v="0"/>
    <n v="101"/>
    <s v="_x0000_US"/>
  </r>
  <r>
    <x v="0"/>
    <n v="13.692299999999999"/>
    <n v="-89.226600000000005"/>
    <n v="11627.7"/>
    <n v="0"/>
    <n v="0"/>
    <n v="101"/>
    <s v="_x0000_US"/>
  </r>
  <r>
    <x v="0"/>
    <n v="13.688599999999999"/>
    <n v="-89.229299999999995"/>
    <n v="11628.3"/>
    <n v="0"/>
    <n v="0"/>
    <n v="101"/>
    <s v="_x0000_US"/>
  </r>
  <r>
    <x v="0"/>
    <n v="13.690099999999999"/>
    <n v="-89.235299999999995"/>
    <n v="11630.8"/>
    <n v="0"/>
    <n v="0"/>
    <n v="101"/>
    <s v="_x0000_US"/>
  </r>
  <r>
    <x v="0"/>
    <n v="13.6873"/>
    <n v="-89.215699999999998"/>
    <n v="11632"/>
    <n v="0"/>
    <n v="0"/>
    <n v="101"/>
    <s v="_x0000_US"/>
  </r>
  <r>
    <x v="0"/>
    <n v="13.6907"/>
    <n v="-89.234399999999994"/>
    <n v="11632.4"/>
    <n v="0"/>
    <n v="0"/>
    <n v="101"/>
    <s v="_x0000_US"/>
  </r>
  <r>
    <x v="0"/>
    <n v="13.688700000000001"/>
    <n v="-89.1815"/>
    <n v="11632.8"/>
    <n v="0"/>
    <n v="0"/>
    <n v="101"/>
    <s v="_x0000_US"/>
  </r>
  <r>
    <x v="0"/>
    <n v="13.6891"/>
    <n v="-89.178600000000003"/>
    <n v="11634"/>
    <n v="0"/>
    <n v="0"/>
    <n v="101"/>
    <s v="_x0000_US"/>
  </r>
  <r>
    <x v="0"/>
    <n v="13.689"/>
    <n v="-89.180999999999997"/>
    <n v="11635.3"/>
    <n v="0"/>
    <n v="0"/>
    <n v="101"/>
    <s v="_x0000_US"/>
  </r>
  <r>
    <x v="0"/>
    <n v="13.6891"/>
    <n v="-89.228999999999999"/>
    <n v="11635.3"/>
    <n v="0"/>
    <n v="0"/>
    <n v="101"/>
    <s v="_x0000_US"/>
  </r>
  <r>
    <x v="0"/>
    <n v="13.6898"/>
    <n v="-89.236199999999997"/>
    <n v="11635.5"/>
    <n v="0"/>
    <n v="0"/>
    <n v="101"/>
    <s v="_x0000_US"/>
  </r>
  <r>
    <x v="0"/>
    <n v="13.692"/>
    <n v="-89.2273"/>
    <n v="11636.9"/>
    <n v="0"/>
    <n v="0"/>
    <n v="101"/>
    <s v="_x0000_US"/>
  </r>
  <r>
    <x v="0"/>
    <n v="13.690899999999999"/>
    <n v="-89.229200000000006"/>
    <n v="11637.1"/>
    <n v="0"/>
    <n v="0"/>
    <n v="101"/>
    <s v="_x0000_US"/>
  </r>
  <r>
    <x v="0"/>
    <n v="13.685"/>
    <n v="-89.216899999999995"/>
    <n v="11637.8"/>
    <n v="0"/>
    <n v="0"/>
    <n v="101"/>
    <s v="_x0000_US"/>
  </r>
  <r>
    <x v="0"/>
    <n v="13.690899999999999"/>
    <n v="-89.234300000000005"/>
    <n v="11637.9"/>
    <n v="0"/>
    <n v="0"/>
    <n v="101"/>
    <s v="_x0000_US"/>
  </r>
  <r>
    <x v="0"/>
    <n v="13.6934"/>
    <n v="-89.1785"/>
    <n v="11638.2"/>
    <n v="0"/>
    <n v="0"/>
    <n v="101"/>
    <s v="_x0000_US"/>
  </r>
  <r>
    <x v="0"/>
    <n v="13.687099999999999"/>
    <n v="-89.201899999999995"/>
    <n v="11638.4"/>
    <n v="0"/>
    <n v="0"/>
    <n v="101"/>
    <s v="_x0000_US"/>
  </r>
  <r>
    <x v="0"/>
    <n v="13.693"/>
    <n v="-89.189499999999995"/>
    <n v="11638.6"/>
    <n v="0"/>
    <n v="0"/>
    <n v="101"/>
    <s v="_x0000_US"/>
  </r>
  <r>
    <x v="0"/>
    <n v="13.6852"/>
    <n v="-89.201499999999996"/>
    <n v="11638.7"/>
    <n v="0"/>
    <n v="0"/>
    <n v="101"/>
    <s v="_x0000_US"/>
  </r>
  <r>
    <x v="0"/>
    <n v="13.6881"/>
    <n v="-89.215299999999999"/>
    <n v="11639.5"/>
    <n v="0"/>
    <n v="0"/>
    <n v="101"/>
    <s v="_x0000_US"/>
  </r>
  <r>
    <x v="0"/>
    <n v="13.673400000000001"/>
    <n v="-89.251300000000001"/>
    <n v="11640.2"/>
    <n v="0"/>
    <n v="0"/>
    <n v="101"/>
    <s v="_x0000_US"/>
  </r>
  <r>
    <x v="0"/>
    <n v="13.6874"/>
    <n v="-89.197199999999995"/>
    <n v="11640.4"/>
    <n v="0"/>
    <n v="0"/>
    <n v="101"/>
    <s v="_x0000_US"/>
  </r>
  <r>
    <x v="0"/>
    <n v="13.689299999999999"/>
    <n v="-89.235500000000002"/>
    <n v="11640.5"/>
    <n v="0"/>
    <n v="0"/>
    <n v="101"/>
    <s v="_x0000_US"/>
  </r>
  <r>
    <x v="0"/>
    <n v="13.688499999999999"/>
    <n v="-89.204099999999997"/>
    <n v="11640.7"/>
    <n v="0"/>
    <n v="0"/>
    <n v="101"/>
    <s v="_x0000_US"/>
  </r>
  <r>
    <x v="0"/>
    <n v="13.6959"/>
    <n v="-89.172399999999996"/>
    <n v="11641.9"/>
    <n v="0"/>
    <n v="0"/>
    <n v="101"/>
    <s v="_x0000_US"/>
  </r>
  <r>
    <x v="0"/>
    <n v="13.6875"/>
    <n v="-89.195400000000006"/>
    <n v="11642.5"/>
    <n v="0"/>
    <n v="0"/>
    <n v="101"/>
    <s v="_x0000_US"/>
  </r>
  <r>
    <x v="0"/>
    <n v="13.6919"/>
    <n v="-89.196799999999996"/>
    <n v="11642.9"/>
    <n v="0"/>
    <n v="0"/>
    <n v="101"/>
    <s v="_x0000_US"/>
  </r>
  <r>
    <x v="0"/>
    <n v="13.692299999999999"/>
    <n v="-89.174400000000006"/>
    <n v="11643.7"/>
    <n v="0"/>
    <n v="0"/>
    <n v="101"/>
    <s v="_x0000_US"/>
  </r>
  <r>
    <x v="0"/>
    <n v="13.6922"/>
    <n v="-89.227199999999996"/>
    <n v="11644.6"/>
    <n v="0"/>
    <n v="0"/>
    <n v="101"/>
    <s v="_x0000_US"/>
  </r>
  <r>
    <x v="0"/>
    <n v="13.687200000000001"/>
    <n v="-89.213800000000006"/>
    <n v="11645.4"/>
    <n v="0"/>
    <n v="0"/>
    <n v="101"/>
    <s v="_x0000_US"/>
  </r>
  <r>
    <x v="0"/>
    <n v="13.690799999999999"/>
    <n v="-89.235500000000002"/>
    <n v="11645.6"/>
    <n v="0"/>
    <n v="0"/>
    <n v="101"/>
    <s v="_x0000_US"/>
  </r>
  <r>
    <x v="0"/>
    <n v="13.6874"/>
    <n v="-89.197800000000001"/>
    <n v="11646"/>
    <n v="0"/>
    <n v="0"/>
    <n v="101"/>
    <s v="_x0000_US"/>
  </r>
  <r>
    <x v="0"/>
    <n v="13.690300000000001"/>
    <n v="-89.177800000000005"/>
    <n v="11646"/>
    <n v="0"/>
    <n v="0"/>
    <n v="101"/>
    <s v="_x0000_US"/>
  </r>
  <r>
    <x v="0"/>
    <n v="13.695499999999999"/>
    <n v="-89.173199999999994"/>
    <n v="11646.1"/>
    <n v="0"/>
    <n v="0"/>
    <n v="101"/>
    <s v="_x0000_US"/>
  </r>
  <r>
    <x v="0"/>
    <n v="13.6914"/>
    <n v="-89.233999999999995"/>
    <n v="11648.2"/>
    <n v="0"/>
    <n v="0"/>
    <n v="101"/>
    <s v="_x0000_US"/>
  </r>
  <r>
    <x v="0"/>
    <n v="13.6951"/>
    <n v="-89.1721"/>
    <n v="11648.5"/>
    <n v="0"/>
    <n v="0"/>
    <n v="101"/>
    <s v="_x0000_US"/>
  </r>
  <r>
    <x v="0"/>
    <n v="13.6915"/>
    <n v="-89.176599999999993"/>
    <n v="11648.9"/>
    <n v="0"/>
    <n v="0"/>
    <n v="101"/>
    <s v="_x0000_US"/>
  </r>
  <r>
    <x v="0"/>
    <n v="13.69"/>
    <n v="-89.217399999999998"/>
    <n v="11649.7"/>
    <n v="0"/>
    <n v="0"/>
    <n v="101"/>
    <s v="_x0000_US"/>
  </r>
  <r>
    <x v="0"/>
    <n v="13.6868"/>
    <n v="-89.194299999999998"/>
    <n v="11650.7"/>
    <n v="0"/>
    <n v="0"/>
    <n v="101"/>
    <s v="_x0000_US"/>
  </r>
  <r>
    <x v="0"/>
    <n v="13.690799999999999"/>
    <n v="-89.187399999999997"/>
    <n v="11650.7"/>
    <n v="0"/>
    <n v="0"/>
    <n v="101"/>
    <s v="_x0000_US"/>
  </r>
  <r>
    <x v="0"/>
    <n v="13.6912"/>
    <n v="-89.178799999999995"/>
    <n v="11651.8"/>
    <n v="0"/>
    <n v="0"/>
    <n v="101"/>
    <s v="_x0000_US"/>
  </r>
  <r>
    <x v="0"/>
    <n v="13.6776"/>
    <n v="-89.247"/>
    <n v="11652.1"/>
    <n v="0"/>
    <n v="0"/>
    <n v="101"/>
    <s v="_x0000_US"/>
  </r>
  <r>
    <x v="0"/>
    <n v="13.692299999999999"/>
    <n v="-89.2239"/>
    <n v="11652.4"/>
    <n v="0"/>
    <n v="0"/>
    <n v="101"/>
    <s v="_x0000_US"/>
  </r>
  <r>
    <x v="0"/>
    <n v="13.691599999999999"/>
    <n v="-89.185199999999995"/>
    <n v="11653.3"/>
    <n v="0"/>
    <n v="0"/>
    <n v="101"/>
    <s v="_x0000_US"/>
  </r>
  <r>
    <x v="0"/>
    <n v="13.686299999999999"/>
    <n v="-89.215400000000002"/>
    <n v="11654.6"/>
    <n v="0"/>
    <n v="0"/>
    <n v="101"/>
    <s v="_x0000_US"/>
  </r>
  <r>
    <x v="0"/>
    <n v="13.690799999999999"/>
    <n v="-89.233900000000006"/>
    <n v="11655.1"/>
    <n v="0"/>
    <n v="0"/>
    <n v="101"/>
    <s v="_x0000_US"/>
  </r>
  <r>
    <x v="0"/>
    <n v="13.6873"/>
    <n v="-89.194800000000001"/>
    <n v="11655.2"/>
    <n v="0"/>
    <n v="0"/>
    <n v="101"/>
    <s v="_x0000_US"/>
  </r>
  <r>
    <x v="0"/>
    <n v="13.6869"/>
    <n v="-89.201700000000002"/>
    <n v="11656"/>
    <n v="0"/>
    <n v="0"/>
    <n v="101"/>
    <s v="_x0000_US"/>
  </r>
  <r>
    <x v="0"/>
    <n v="13.6866"/>
    <n v="-89.203599999999994"/>
    <n v="11657.7"/>
    <n v="0"/>
    <n v="0"/>
    <n v="101"/>
    <s v="_x0000_US"/>
  </r>
  <r>
    <x v="0"/>
    <n v="13.6881"/>
    <n v="-89.212000000000003"/>
    <n v="11659.2"/>
    <n v="0"/>
    <n v="0"/>
    <n v="101"/>
    <s v="_x0000_US"/>
  </r>
  <r>
    <x v="0"/>
    <n v="13.692500000000001"/>
    <n v="-89.184600000000003"/>
    <n v="11660.5"/>
    <n v="0"/>
    <n v="0"/>
    <n v="101"/>
    <s v="_x0000_US"/>
  </r>
  <r>
    <x v="0"/>
    <n v="13.688599999999999"/>
    <n v="-89.198300000000003"/>
    <n v="11661"/>
    <n v="0"/>
    <n v="0"/>
    <n v="101"/>
    <s v="_x0000_US"/>
  </r>
  <r>
    <x v="0"/>
    <n v="13.690899999999999"/>
    <n v="-89.190399999999997"/>
    <n v="11661.4"/>
    <n v="0"/>
    <n v="0"/>
    <n v="101"/>
    <s v="_x0000_US"/>
  </r>
  <r>
    <x v="0"/>
    <n v="13.694599999999999"/>
    <n v="-89.174700000000001"/>
    <n v="11661.6"/>
    <n v="0"/>
    <n v="0"/>
    <n v="101"/>
    <s v="_x0000_US"/>
  </r>
  <r>
    <x v="0"/>
    <n v="13.688700000000001"/>
    <n v="-89.216200000000001"/>
    <n v="11661.9"/>
    <n v="0"/>
    <n v="0"/>
    <n v="101"/>
    <s v="_x0000_US"/>
  </r>
  <r>
    <x v="0"/>
    <n v="13.690099999999999"/>
    <n v="-89.188299999999998"/>
    <n v="11663.4"/>
    <n v="0"/>
    <n v="0"/>
    <n v="101"/>
    <s v="_x0000_US"/>
  </r>
  <r>
    <x v="0"/>
    <n v="13.6751"/>
    <n v="-89.199700000000007"/>
    <n v="11663.5"/>
    <n v="0"/>
    <n v="0"/>
    <n v="101"/>
    <s v="_x0000_US"/>
  </r>
  <r>
    <x v="0"/>
    <n v="13.6912"/>
    <n v="-89.233000000000004"/>
    <n v="11664.5"/>
    <n v="0"/>
    <n v="0"/>
    <n v="101"/>
    <s v="_x0000_US"/>
  </r>
  <r>
    <x v="0"/>
    <n v="13.674799999999999"/>
    <n v="-89.251099999999994"/>
    <n v="11665.2"/>
    <n v="0"/>
    <n v="0"/>
    <n v="101"/>
    <s v="_x0000_US"/>
  </r>
  <r>
    <x v="0"/>
    <n v="13.6884"/>
    <n v="-89.197999999999993"/>
    <n v="11665.4"/>
    <n v="0"/>
    <n v="0"/>
    <n v="101"/>
    <s v="_x0000_US"/>
  </r>
  <r>
    <x v="0"/>
    <n v="13.6875"/>
    <n v="-89.181799999999996"/>
    <n v="11666.2"/>
    <n v="0"/>
    <n v="0"/>
    <n v="101"/>
    <s v="_x0000_US"/>
  </r>
  <r>
    <x v="0"/>
    <n v="13.6882"/>
    <n v="-89.182400000000001"/>
    <n v="11667"/>
    <n v="0"/>
    <n v="0"/>
    <n v="101"/>
    <s v="_x0000_US"/>
  </r>
  <r>
    <x v="0"/>
    <n v="13.690200000000001"/>
    <n v="-89.235600000000005"/>
    <n v="11667"/>
    <n v="0"/>
    <n v="0"/>
    <n v="101"/>
    <s v="_x0000_US"/>
  </r>
  <r>
    <x v="0"/>
    <n v="13.688700000000001"/>
    <n v="-89.211799999999997"/>
    <n v="11667.9"/>
    <n v="0"/>
    <n v="0"/>
    <n v="101"/>
    <s v="_x0000_US"/>
  </r>
  <r>
    <x v="0"/>
    <n v="13.6869"/>
    <n v="-89.1828"/>
    <n v="11669.6"/>
    <n v="0"/>
    <n v="0"/>
    <n v="101"/>
    <s v="_x0000_US"/>
  </r>
  <r>
    <x v="0"/>
    <n v="13.680300000000001"/>
    <n v="-89.198099999999997"/>
    <n v="11670.9"/>
    <n v="0"/>
    <n v="0"/>
    <n v="101"/>
    <s v="_x0000_US"/>
  </r>
  <r>
    <x v="0"/>
    <n v="13.6958"/>
    <n v="-89.172499999999999"/>
    <n v="11670.9"/>
    <n v="0"/>
    <n v="0"/>
    <n v="101"/>
    <s v="_x0000_US"/>
  </r>
  <r>
    <x v="0"/>
    <n v="13.6942"/>
    <n v="-89.183199999999999"/>
    <n v="11671.5"/>
    <n v="0"/>
    <n v="0"/>
    <n v="101"/>
    <s v="_x0000_US"/>
  </r>
  <r>
    <x v="0"/>
    <n v="13.690799999999999"/>
    <n v="-89.235399999999998"/>
    <n v="11671.7"/>
    <n v="0"/>
    <n v="0"/>
    <n v="101"/>
    <s v="_x0000_US"/>
  </r>
  <r>
    <x v="0"/>
    <n v="13.695"/>
    <n v="-89.173500000000004"/>
    <n v="11672.4"/>
    <n v="0"/>
    <n v="0"/>
    <n v="101"/>
    <s v="_x0000_US"/>
  </r>
  <r>
    <x v="0"/>
    <n v="13.6845"/>
    <n v="-89.213700000000003"/>
    <n v="11672.5"/>
    <n v="0"/>
    <n v="0"/>
    <n v="101"/>
    <s v="_x0000_US"/>
  </r>
  <r>
    <x v="0"/>
    <n v="13.6906"/>
    <n v="-89.2316"/>
    <n v="11672.8"/>
    <n v="0"/>
    <n v="0"/>
    <n v="101"/>
    <s v="_x0000_US"/>
  </r>
  <r>
    <x v="0"/>
    <n v="13.689399999999999"/>
    <n v="-89.228899999999996"/>
    <n v="11673.1"/>
    <n v="0"/>
    <n v="0"/>
    <n v="101"/>
    <s v="_x0000_US"/>
  </r>
  <r>
    <x v="0"/>
    <n v="13.691700000000001"/>
    <n v="-89.232799999999997"/>
    <n v="11673.6"/>
    <n v="0"/>
    <n v="0"/>
    <n v="101"/>
    <s v="_x0000_US"/>
  </r>
  <r>
    <x v="0"/>
    <n v="13.6912"/>
    <n v="-89.229399999999998"/>
    <n v="11673.8"/>
    <n v="0"/>
    <n v="0"/>
    <n v="101"/>
    <s v="_x0000_US"/>
  </r>
  <r>
    <x v="0"/>
    <n v="13.690200000000001"/>
    <n v="-89.188500000000005"/>
    <n v="11674.7"/>
    <n v="0"/>
    <n v="0"/>
    <n v="101"/>
    <s v="_x0000_US"/>
  </r>
  <r>
    <x v="0"/>
    <n v="13.688800000000001"/>
    <n v="-89.216700000000003"/>
    <n v="11675.6"/>
    <n v="0"/>
    <n v="0"/>
    <n v="101"/>
    <s v="_x0000_US"/>
  </r>
  <r>
    <x v="0"/>
    <n v="13.696899999999999"/>
    <n v="-89.171300000000002"/>
    <n v="11675.8"/>
    <n v="0"/>
    <n v="0"/>
    <n v="101"/>
    <s v="_x0000_US"/>
  </r>
  <r>
    <x v="0"/>
    <n v="13.6875"/>
    <n v="-89.195499999999996"/>
    <n v="11678.4"/>
    <n v="0"/>
    <n v="0"/>
    <n v="101"/>
    <s v="_x0000_US"/>
  </r>
  <r>
    <x v="0"/>
    <n v="13.6874"/>
    <n v="-89.191500000000005"/>
    <n v="11678.4"/>
    <n v="0"/>
    <n v="0"/>
    <n v="101"/>
    <s v="_x0000_US"/>
  </r>
  <r>
    <x v="0"/>
    <n v="13.690099999999999"/>
    <n v="-89.235500000000002"/>
    <n v="11678.4"/>
    <n v="0"/>
    <n v="0"/>
    <n v="101"/>
    <s v="_x0000_US"/>
  </r>
  <r>
    <x v="0"/>
    <n v="13.6915"/>
    <n v="-89.185299999999998"/>
    <n v="11679.4"/>
    <n v="0"/>
    <n v="0"/>
    <n v="101"/>
    <s v="_x0000_US"/>
  </r>
  <r>
    <x v="0"/>
    <n v="13.6905"/>
    <n v="-89.186800000000005"/>
    <n v="11679.5"/>
    <n v="0"/>
    <n v="0"/>
    <n v="101"/>
    <s v="_x0000_US"/>
  </r>
  <r>
    <x v="0"/>
    <n v="13.687200000000001"/>
    <n v="-89.216999999999999"/>
    <n v="11680"/>
    <n v="0"/>
    <n v="0"/>
    <n v="101"/>
    <s v="_x0000_US"/>
  </r>
  <r>
    <x v="0"/>
    <n v="13.695600000000001"/>
    <n v="-89.172600000000003"/>
    <n v="11680.1"/>
    <n v="0"/>
    <n v="0"/>
    <n v="101"/>
    <s v="_x0000_US"/>
  </r>
  <r>
    <x v="0"/>
    <n v="13.6873"/>
    <n v="-89.197100000000006"/>
    <n v="11680.2"/>
    <n v="0"/>
    <n v="0"/>
    <n v="101"/>
    <s v="_x0000_US"/>
  </r>
  <r>
    <x v="0"/>
    <n v="13.687200000000001"/>
    <n v="-89.182100000000005"/>
    <n v="11680.3"/>
    <n v="0"/>
    <n v="0"/>
    <n v="101"/>
    <s v="_x0000_US"/>
  </r>
  <r>
    <x v="0"/>
    <n v="13.6869"/>
    <n v="-89.191400000000002"/>
    <n v="11680.7"/>
    <n v="0"/>
    <n v="0"/>
    <n v="101"/>
    <s v="_x0000_US"/>
  </r>
  <r>
    <x v="0"/>
    <n v="13.690200000000001"/>
    <n v="-89.235299999999995"/>
    <n v="11680.8"/>
    <n v="0"/>
    <n v="0"/>
    <n v="101"/>
    <s v="_x0000_US"/>
  </r>
  <r>
    <x v="0"/>
    <n v="13.689399999999999"/>
    <n v="-89.2166"/>
    <n v="11682.7"/>
    <n v="0"/>
    <n v="0"/>
    <n v="101"/>
    <s v="_x0000_US"/>
  </r>
  <r>
    <x v="0"/>
    <n v="13.691000000000001"/>
    <n v="-89.186499999999995"/>
    <n v="11682.8"/>
    <n v="0"/>
    <n v="0"/>
    <n v="101"/>
    <s v="_x0000_US"/>
  </r>
  <r>
    <x v="0"/>
    <n v="13.6807"/>
    <n v="-89.198400000000007"/>
    <n v="11683.7"/>
    <n v="0"/>
    <n v="0"/>
    <n v="101"/>
    <s v="_x0000_US"/>
  </r>
  <r>
    <x v="0"/>
    <n v="13.688000000000001"/>
    <n v="-89.213099999999997"/>
    <n v="11684.3"/>
    <n v="0"/>
    <n v="0"/>
    <n v="101"/>
    <s v="_x0000_US"/>
  </r>
  <r>
    <x v="0"/>
    <n v="13.6913"/>
    <n v="-89.233900000000006"/>
    <n v="11685.1"/>
    <n v="0"/>
    <n v="0"/>
    <n v="101"/>
    <s v="_x0000_US"/>
  </r>
  <r>
    <x v="0"/>
    <n v="13.6846"/>
    <n v="-89.211699999999993"/>
    <n v="11685.4"/>
    <n v="0"/>
    <n v="0"/>
    <n v="101"/>
    <s v="_x0000_US"/>
  </r>
  <r>
    <x v="0"/>
    <n v="13.6873"/>
    <n v="-89.195800000000006"/>
    <n v="11685.7"/>
    <n v="0"/>
    <n v="0"/>
    <n v="101"/>
    <s v="_x0000_US"/>
  </r>
  <r>
    <x v="0"/>
    <n v="13.69"/>
    <n v="-89.235500000000002"/>
    <n v="11685.9"/>
    <n v="0"/>
    <n v="0"/>
    <n v="101"/>
    <s v="_x0000_US"/>
  </r>
  <r>
    <x v="0"/>
    <n v="13.687799999999999"/>
    <n v="-89.216499999999996"/>
    <n v="11689.8"/>
    <n v="0"/>
    <n v="0"/>
    <n v="101"/>
    <s v="_x0000_US"/>
  </r>
  <r>
    <x v="0"/>
    <n v="13.694599999999999"/>
    <n v="-89.183199999999999"/>
    <n v="11691.9"/>
    <n v="0"/>
    <n v="0"/>
    <n v="101"/>
    <s v="_x0000_US"/>
  </r>
  <r>
    <x v="0"/>
    <n v="13.6911"/>
    <n v="-89.234099999999998"/>
    <n v="11692.8"/>
    <n v="0"/>
    <n v="0"/>
    <n v="101"/>
    <s v="_x0000_US"/>
  </r>
  <r>
    <x v="0"/>
    <n v="13.687900000000001"/>
    <n v="-89.194199999999995"/>
    <n v="11693.3"/>
    <n v="0"/>
    <n v="0"/>
    <n v="101"/>
    <s v="_x0000_US"/>
  </r>
  <r>
    <x v="0"/>
    <n v="13.691800000000001"/>
    <n v="-89.226799999999997"/>
    <n v="11695.4"/>
    <n v="0"/>
    <n v="0"/>
    <n v="101"/>
    <s v="_x0000_US"/>
  </r>
  <r>
    <x v="0"/>
    <n v="13.6874"/>
    <n v="-89.194400000000002"/>
    <n v="11695.8"/>
    <n v="0"/>
    <n v="0"/>
    <n v="101"/>
    <s v="_x0000_US"/>
  </r>
  <r>
    <x v="0"/>
    <n v="13.6751"/>
    <n v="-89.200100000000006"/>
    <n v="11696.4"/>
    <n v="0"/>
    <n v="0"/>
    <n v="101"/>
    <s v="_x0000_US"/>
  </r>
  <r>
    <x v="0"/>
    <n v="13.6952"/>
    <n v="-89.174599999999998"/>
    <n v="11696.8"/>
    <n v="0"/>
    <n v="0"/>
    <n v="101"/>
    <s v="_x0000_US"/>
  </r>
  <r>
    <x v="0"/>
    <n v="13.686"/>
    <n v="-89.213399999999993"/>
    <n v="11697.2"/>
    <n v="0"/>
    <n v="0"/>
    <n v="101"/>
    <s v="_x0000_US"/>
  </r>
  <r>
    <x v="0"/>
    <n v="13.6915"/>
    <n v="-89.228399999999993"/>
    <n v="11698.1"/>
    <n v="0"/>
    <n v="0"/>
    <n v="101"/>
    <s v="_x0000_US"/>
  </r>
  <r>
    <x v="0"/>
    <n v="13.6906"/>
    <n v="-89.233599999999996"/>
    <n v="11699.3"/>
    <n v="0"/>
    <n v="0"/>
    <n v="101"/>
    <s v="_x0000_US"/>
  </r>
  <r>
    <x v="0"/>
    <n v="13.696"/>
    <n v="-89.172700000000006"/>
    <n v="11699.4"/>
    <n v="0"/>
    <n v="0"/>
    <n v="101"/>
    <s v="_x0000_US"/>
  </r>
  <r>
    <x v="0"/>
    <n v="13.6912"/>
    <n v="-89.185699999999997"/>
    <n v="11700.7"/>
    <n v="0"/>
    <n v="0"/>
    <n v="101"/>
    <s v="_x0000_US"/>
  </r>
  <r>
    <x v="0"/>
    <n v="13.6911"/>
    <n v="-89.1982"/>
    <n v="11701.3"/>
    <n v="0"/>
    <n v="0"/>
    <n v="101"/>
    <s v="_x0000_US"/>
  </r>
  <r>
    <x v="0"/>
    <n v="13.6966"/>
    <n v="-89.171899999999994"/>
    <n v="11702"/>
    <n v="0"/>
    <n v="0"/>
    <n v="101"/>
    <s v="_x0000_US"/>
  </r>
  <r>
    <x v="0"/>
    <n v="13.690099999999999"/>
    <n v="-89.234800000000007"/>
    <n v="11702.1"/>
    <n v="0"/>
    <n v="0"/>
    <n v="101"/>
    <s v="_x0000_US"/>
  </r>
  <r>
    <x v="0"/>
    <n v="13.687099999999999"/>
    <n v="-89.194699999999997"/>
    <n v="11702.8"/>
    <n v="0"/>
    <n v="0"/>
    <n v="101"/>
    <s v="_x0000_US"/>
  </r>
  <r>
    <x v="0"/>
    <n v="13.6906"/>
    <n v="-89.189700000000002"/>
    <n v="11703.8"/>
    <n v="0"/>
    <n v="0"/>
    <n v="101"/>
    <s v="_x0000_US"/>
  </r>
  <r>
    <x v="0"/>
    <n v="13.6874"/>
    <n v="-89.194500000000005"/>
    <n v="11703.9"/>
    <n v="0"/>
    <n v="0"/>
    <n v="101"/>
    <s v="_x0000_US"/>
  </r>
  <r>
    <x v="0"/>
    <n v="13.686"/>
    <n v="-89.215100000000007"/>
    <n v="11703.9"/>
    <n v="0"/>
    <n v="0"/>
    <n v="101"/>
    <s v="_x0000_US"/>
  </r>
  <r>
    <x v="0"/>
    <n v="13.6911"/>
    <n v="-89.2286"/>
    <n v="11705.2"/>
    <n v="0"/>
    <n v="0"/>
    <n v="101"/>
    <s v="_x0000_US"/>
  </r>
  <r>
    <x v="0"/>
    <n v="13.6799"/>
    <n v="-89.195800000000006"/>
    <n v="11705.3"/>
    <n v="0"/>
    <n v="0"/>
    <n v="101"/>
    <s v="_x0000_US"/>
  </r>
  <r>
    <x v="0"/>
    <n v="13.692"/>
    <n v="-89.224599999999995"/>
    <n v="11706.3"/>
    <n v="0"/>
    <n v="0"/>
    <n v="101"/>
    <s v="_x0000_US"/>
  </r>
  <r>
    <x v="0"/>
    <n v="13.687799999999999"/>
    <n v="-89.215100000000007"/>
    <n v="11706.9"/>
    <n v="0"/>
    <n v="0"/>
    <n v="101"/>
    <s v="_x0000_US"/>
  </r>
  <r>
    <x v="0"/>
    <n v="13.674200000000001"/>
    <n v="-89.202100000000002"/>
    <n v="11708"/>
    <n v="0"/>
    <n v="0"/>
    <n v="101"/>
    <s v="_x0000_US"/>
  </r>
  <r>
    <x v="0"/>
    <n v="13.690799999999999"/>
    <n v="-89.231999999999999"/>
    <n v="11708.1"/>
    <n v="0"/>
    <n v="0"/>
    <n v="101"/>
    <s v="_x0000_US"/>
  </r>
  <r>
    <x v="0"/>
    <n v="13.6905"/>
    <n v="-89.184399999999997"/>
    <n v="11708.4"/>
    <n v="0"/>
    <n v="0"/>
    <n v="101"/>
    <s v="_x0000_US"/>
  </r>
  <r>
    <x v="0"/>
    <n v="13.686299999999999"/>
    <n v="-89.215599999999995"/>
    <n v="11708.8"/>
    <n v="0"/>
    <n v="0"/>
    <n v="101"/>
    <s v="_x0000_US"/>
  </r>
  <r>
    <x v="0"/>
    <n v="13.691000000000001"/>
    <n v="-89.234499999999997"/>
    <n v="11708.8"/>
    <n v="0"/>
    <n v="0"/>
    <n v="101"/>
    <s v="_x0000_US"/>
  </r>
  <r>
    <x v="0"/>
    <n v="13.692"/>
    <n v="-89.178799999999995"/>
    <n v="11708.9"/>
    <n v="0"/>
    <n v="0"/>
    <n v="101"/>
    <s v="_x0000_US"/>
  </r>
  <r>
    <x v="0"/>
    <n v="13.690899999999999"/>
    <n v="-89.179100000000005"/>
    <n v="11709"/>
    <n v="0"/>
    <n v="0"/>
    <n v="101"/>
    <s v="_x0000_US"/>
  </r>
  <r>
    <x v="0"/>
    <n v="13.6846"/>
    <n v="-89.211699999999993"/>
    <n v="11709.2"/>
    <n v="0"/>
    <n v="0"/>
    <n v="101"/>
    <s v="_x0000_US"/>
  </r>
  <r>
    <x v="0"/>
    <n v="13.687200000000001"/>
    <n v="-89.194500000000005"/>
    <n v="11709.5"/>
    <n v="0"/>
    <n v="0"/>
    <n v="101"/>
    <s v="_x0000_US"/>
  </r>
  <r>
    <x v="0"/>
    <n v="13.689500000000001"/>
    <n v="-89.205500000000001"/>
    <n v="11711.2"/>
    <n v="0"/>
    <n v="0"/>
    <n v="101"/>
    <s v="_x0000_US"/>
  </r>
  <r>
    <x v="0"/>
    <n v="13.691800000000001"/>
    <n v="-89.197400000000002"/>
    <n v="11711.4"/>
    <n v="0"/>
    <n v="0"/>
    <n v="101"/>
    <s v="_x0000_US"/>
  </r>
  <r>
    <x v="0"/>
    <n v="13.6874"/>
    <n v="-89.196600000000004"/>
    <n v="11712"/>
    <n v="0"/>
    <n v="0"/>
    <n v="101"/>
    <s v="_x0000_US"/>
  </r>
  <r>
    <x v="0"/>
    <n v="13.691599999999999"/>
    <n v="-89.228300000000004"/>
    <n v="11712.1"/>
    <n v="0"/>
    <n v="0"/>
    <n v="101"/>
    <s v="_x0000_US"/>
  </r>
  <r>
    <x v="0"/>
    <n v="13.685700000000001"/>
    <n v="-89.216399999999993"/>
    <n v="11712.8"/>
    <n v="0"/>
    <n v="0"/>
    <n v="101"/>
    <s v="_x0000_US"/>
  </r>
  <r>
    <x v="0"/>
    <n v="13.690799999999999"/>
    <n v="-89.195700000000002"/>
    <n v="11713.9"/>
    <n v="0"/>
    <n v="0"/>
    <n v="101"/>
    <s v="_x0000_US"/>
  </r>
  <r>
    <x v="0"/>
    <n v="13.6793"/>
    <n v="-89.1965"/>
    <n v="11713.9"/>
    <n v="0"/>
    <n v="0"/>
    <n v="101"/>
    <s v="_x0000_US"/>
  </r>
  <r>
    <x v="0"/>
    <n v="13.6884"/>
    <n v="-89.189700000000002"/>
    <n v="11714.2"/>
    <n v="0"/>
    <n v="0"/>
    <n v="101"/>
    <s v="_x0000_US"/>
  </r>
  <r>
    <x v="0"/>
    <n v="13.6869"/>
    <n v="-89.194599999999994"/>
    <n v="11715.1"/>
    <n v="0"/>
    <n v="0"/>
    <n v="101"/>
    <s v="_x0000_US"/>
  </r>
  <r>
    <x v="0"/>
    <n v="13.6845"/>
    <n v="-89.194000000000003"/>
    <n v="11715.6"/>
    <n v="0"/>
    <n v="0"/>
    <n v="101"/>
    <s v="_x0000_US"/>
  </r>
  <r>
    <x v="0"/>
    <n v="13.685700000000001"/>
    <n v="-89.213800000000006"/>
    <n v="11716.1"/>
    <n v="0"/>
    <n v="0"/>
    <n v="101"/>
    <s v="_x0000_US"/>
  </r>
  <r>
    <x v="0"/>
    <n v="13.6844"/>
    <n v="-89.213099999999997"/>
    <n v="11716.6"/>
    <n v="0"/>
    <n v="0"/>
    <n v="101"/>
    <s v="_x0000_US"/>
  </r>
  <r>
    <x v="0"/>
    <n v="13.690899999999999"/>
    <n v="-89.179699999999997"/>
    <n v="11717.6"/>
    <n v="0"/>
    <n v="0"/>
    <n v="101"/>
    <s v="_x0000_US"/>
  </r>
  <r>
    <x v="0"/>
    <n v="13.695399999999999"/>
    <n v="-89.173400000000001"/>
    <n v="11717.7"/>
    <n v="0"/>
    <n v="0"/>
    <n v="101"/>
    <s v="_x0000_US"/>
  </r>
  <r>
    <x v="0"/>
    <n v="13.6844"/>
    <n v="-89.216800000000006"/>
    <n v="11717.7"/>
    <n v="0"/>
    <n v="0"/>
    <n v="101"/>
    <s v="_x0000_US"/>
  </r>
  <r>
    <x v="0"/>
    <n v="13.692500000000001"/>
    <n v="-89.197000000000003"/>
    <n v="11717.8"/>
    <n v="0"/>
    <n v="0"/>
    <n v="101"/>
    <s v="_x0000_US"/>
  </r>
  <r>
    <x v="0"/>
    <n v="13.692299999999999"/>
    <n v="-89.178899999999999"/>
    <n v="11718"/>
    <n v="0"/>
    <n v="0"/>
    <n v="101"/>
    <s v="_x0000_US"/>
  </r>
  <r>
    <x v="0"/>
    <n v="13.678900000000001"/>
    <n v="-89.196399999999997"/>
    <n v="11718.1"/>
    <n v="0"/>
    <n v="0"/>
    <n v="101"/>
    <s v="_x0000_US"/>
  </r>
  <r>
    <x v="0"/>
    <n v="13.6966"/>
    <n v="-89.171599999999998"/>
    <n v="11718.5"/>
    <n v="0"/>
    <n v="0"/>
    <n v="101"/>
    <s v="_x0000_US"/>
  </r>
  <r>
    <x v="0"/>
    <n v="13.689399999999999"/>
    <n v="-89.197400000000002"/>
    <n v="11720.6"/>
    <n v="0"/>
    <n v="0"/>
    <n v="101"/>
    <s v="_x0000_US"/>
  </r>
  <r>
    <x v="0"/>
    <n v="13.684799999999999"/>
    <n v="-89.216300000000004"/>
    <n v="11720.9"/>
    <n v="0"/>
    <n v="0"/>
    <n v="101"/>
    <s v="_x0000_US"/>
  </r>
  <r>
    <x v="0"/>
    <n v="13.6953"/>
    <n v="-89.174599999999998"/>
    <n v="11721"/>
    <n v="0"/>
    <n v="0"/>
    <n v="101"/>
    <s v="_x0000_US"/>
  </r>
  <r>
    <x v="0"/>
    <n v="13.6875"/>
    <n v="-89.194599999999994"/>
    <n v="11723"/>
    <n v="0"/>
    <n v="0"/>
    <n v="101"/>
    <s v="_x0000_US"/>
  </r>
  <r>
    <x v="0"/>
    <n v="13.679600000000001"/>
    <n v="-89.197199999999995"/>
    <n v="11723.4"/>
    <n v="0"/>
    <n v="0"/>
    <n v="101"/>
    <s v="_x0000_US"/>
  </r>
  <r>
    <x v="0"/>
    <n v="13.688000000000001"/>
    <n v="-89.181799999999996"/>
    <n v="11724.3"/>
    <n v="0"/>
    <n v="0"/>
    <n v="101"/>
    <s v="_x0000_US"/>
  </r>
  <r>
    <x v="0"/>
    <n v="13.689299999999999"/>
    <n v="-89.206000000000003"/>
    <n v="11724.4"/>
    <n v="0"/>
    <n v="0"/>
    <n v="101"/>
    <s v="_x0000_US"/>
  </r>
  <r>
    <x v="0"/>
    <n v="13.692299999999999"/>
    <n v="-89.178899999999999"/>
    <n v="11724.5"/>
    <n v="0"/>
    <n v="0"/>
    <n v="101"/>
    <s v="_x0000_US"/>
  </r>
  <r>
    <x v="0"/>
    <n v="13.692399999999999"/>
    <n v="-89.226600000000005"/>
    <n v="11724.7"/>
    <n v="0"/>
    <n v="0"/>
    <n v="101"/>
    <s v="_x0000_US"/>
  </r>
  <r>
    <x v="0"/>
    <n v="13.6905"/>
    <n v="-89.1892"/>
    <n v="11724.8"/>
    <n v="0"/>
    <n v="0"/>
    <n v="101"/>
    <s v="_x0000_US"/>
  </r>
  <r>
    <x v="0"/>
    <n v="13.6927"/>
    <n v="-89.184799999999996"/>
    <n v="11725"/>
    <n v="0"/>
    <n v="0"/>
    <n v="101"/>
    <s v="_x0000_US"/>
  </r>
  <r>
    <x v="0"/>
    <n v="13.6881"/>
    <n v="-89.216399999999993"/>
    <n v="11725.6"/>
    <n v="0"/>
    <n v="0"/>
    <n v="101"/>
    <s v="_x0000_US"/>
  </r>
  <r>
    <x v="0"/>
    <n v="13.690899999999999"/>
    <n v="-89.229399999999998"/>
    <n v="11726"/>
    <n v="0"/>
    <n v="0"/>
    <n v="101"/>
    <s v="_x0000_US"/>
  </r>
  <r>
    <x v="0"/>
    <n v="13.6882"/>
    <n v="-89.194400000000002"/>
    <n v="11727.1"/>
    <n v="0"/>
    <n v="0"/>
    <n v="101"/>
    <s v="_x0000_US"/>
  </r>
  <r>
    <x v="0"/>
    <n v="13.692600000000001"/>
    <n v="-89.184299999999993"/>
    <n v="11727.4"/>
    <n v="0"/>
    <n v="0"/>
    <n v="101"/>
    <s v="_x0000_US"/>
  </r>
  <r>
    <x v="0"/>
    <n v="13.6869"/>
    <n v="-89.197299999999998"/>
    <n v="11727.6"/>
    <n v="0"/>
    <n v="0"/>
    <n v="101"/>
    <s v="_x0000_US"/>
  </r>
  <r>
    <x v="0"/>
    <n v="13.6873"/>
    <n v="-89.197299999999998"/>
    <n v="11727.6"/>
    <n v="0"/>
    <n v="0"/>
    <n v="101"/>
    <s v="_x0000_US"/>
  </r>
  <r>
    <x v="0"/>
    <n v="13.6851"/>
    <n v="-89.216899999999995"/>
    <n v="11727.6"/>
    <n v="0"/>
    <n v="0"/>
    <n v="101"/>
    <s v="_x0000_US"/>
  </r>
  <r>
    <x v="0"/>
    <n v="13.6884"/>
    <n v="-89.198400000000007"/>
    <n v="11728"/>
    <n v="0"/>
    <n v="0"/>
    <n v="101"/>
    <s v="_x0000_US"/>
  </r>
  <r>
    <x v="0"/>
    <n v="13.691000000000001"/>
    <n v="-89.1905"/>
    <n v="11728.4"/>
    <n v="0"/>
    <n v="0"/>
    <n v="101"/>
    <s v="_x0000_US"/>
  </r>
  <r>
    <x v="0"/>
    <n v="13.690799999999999"/>
    <n v="-89.231300000000005"/>
    <n v="11728.6"/>
    <n v="0"/>
    <n v="0"/>
    <n v="101"/>
    <s v="_x0000_US"/>
  </r>
  <r>
    <x v="0"/>
    <n v="13.691599999999999"/>
    <n v="-89.232900000000001"/>
    <n v="11729.4"/>
    <n v="0"/>
    <n v="0"/>
    <n v="101"/>
    <s v="_x0000_US"/>
  </r>
  <r>
    <x v="0"/>
    <n v="13.691700000000001"/>
    <n v="-89.234099999999998"/>
    <n v="11730.7"/>
    <n v="0"/>
    <n v="0"/>
    <n v="101"/>
    <s v="_x0000_US"/>
  </r>
  <r>
    <x v="0"/>
    <n v="13.6867"/>
    <n v="-89.191000000000003"/>
    <n v="11732"/>
    <n v="0"/>
    <n v="0"/>
    <n v="101"/>
    <s v="_x0000_US"/>
  </r>
  <r>
    <x v="0"/>
    <n v="13.6912"/>
    <n v="-89.226500000000001"/>
    <n v="11732.4"/>
    <n v="0"/>
    <n v="0"/>
    <n v="101"/>
    <s v="_x0000_US"/>
  </r>
  <r>
    <x v="0"/>
    <n v="13.689"/>
    <n v="-89.236099999999993"/>
    <n v="11732.5"/>
    <n v="0"/>
    <n v="0"/>
    <n v="101"/>
    <s v="_x0000_US"/>
  </r>
  <r>
    <x v="0"/>
    <n v="13.684699999999999"/>
    <n v="-89.213700000000003"/>
    <n v="11732.6"/>
    <n v="0"/>
    <n v="0"/>
    <n v="101"/>
    <s v="_x0000_US"/>
  </r>
  <r>
    <x v="0"/>
    <n v="13.6873"/>
    <n v="-89.1965"/>
    <n v="11733.3"/>
    <n v="0"/>
    <n v="0"/>
    <n v="101"/>
    <s v="_x0000_US"/>
  </r>
  <r>
    <x v="0"/>
    <n v="13.6921"/>
    <n v="-89.221900000000005"/>
    <n v="11733.5"/>
    <n v="0"/>
    <n v="0"/>
    <n v="101"/>
    <s v="_x0000_US"/>
  </r>
  <r>
    <x v="0"/>
    <n v="13.6881"/>
    <n v="-89.182599999999994"/>
    <n v="11733.7"/>
    <n v="0"/>
    <n v="0"/>
    <n v="101"/>
    <s v="_x0000_US"/>
  </r>
  <r>
    <x v="0"/>
    <n v="13.692299999999999"/>
    <n v="-89.189899999999994"/>
    <n v="11734.1"/>
    <n v="0"/>
    <n v="0"/>
    <n v="101"/>
    <s v="_x0000_US"/>
  </r>
  <r>
    <x v="0"/>
    <n v="13.6875"/>
    <n v="-89.198300000000003"/>
    <n v="11734.1"/>
    <n v="0"/>
    <n v="0"/>
    <n v="101"/>
    <s v="_x0000_US"/>
  </r>
  <r>
    <x v="0"/>
    <n v="13.6892"/>
    <n v="-89.183800000000005"/>
    <n v="11734.2"/>
    <n v="0"/>
    <n v="0"/>
    <n v="101"/>
    <s v="_x0000_US"/>
  </r>
  <r>
    <x v="0"/>
    <n v="13.6965"/>
    <n v="-89.171400000000006"/>
    <n v="11734.2"/>
    <n v="0"/>
    <n v="0"/>
    <n v="101"/>
    <s v="_x0000_US"/>
  </r>
  <r>
    <x v="0"/>
    <n v="13.692299999999999"/>
    <n v="-89.179699999999997"/>
    <n v="11734.3"/>
    <n v="0"/>
    <n v="0"/>
    <n v="101"/>
    <s v="_x0000_US"/>
  </r>
  <r>
    <x v="0"/>
    <n v="13.6776"/>
    <n v="-89.246799999999993"/>
    <n v="11734.3"/>
    <n v="0"/>
    <n v="0"/>
    <n v="101"/>
    <s v="_x0000_US"/>
  </r>
  <r>
    <x v="0"/>
    <n v="13.690099999999999"/>
    <n v="-89.188500000000005"/>
    <n v="11734.7"/>
    <n v="0"/>
    <n v="0"/>
    <n v="101"/>
    <s v="_x0000_US"/>
  </r>
  <r>
    <x v="0"/>
    <n v="13.6808"/>
    <n v="-89.195899999999995"/>
    <n v="11734.7"/>
    <n v="0"/>
    <n v="0"/>
    <n v="101"/>
    <s v="_x0000_US"/>
  </r>
  <r>
    <x v="0"/>
    <n v="13.690099999999999"/>
    <n v="-89.190200000000004"/>
    <n v="11736.2"/>
    <n v="0"/>
    <n v="0"/>
    <n v="101"/>
    <s v="_x0000_US"/>
  </r>
  <r>
    <x v="0"/>
    <n v="13.6866"/>
    <n v="-89.201800000000006"/>
    <n v="11736.2"/>
    <n v="0"/>
    <n v="0"/>
    <n v="101"/>
    <s v="_x0000_US"/>
  </r>
  <r>
    <x v="0"/>
    <n v="13.6774"/>
    <n v="-89.247200000000007"/>
    <n v="11736.7"/>
    <n v="0"/>
    <n v="0"/>
    <n v="101"/>
    <s v="_x0000_US"/>
  </r>
  <r>
    <x v="0"/>
    <n v="13.6751"/>
    <n v="-89.251900000000006"/>
    <n v="11737.1"/>
    <n v="0"/>
    <n v="0"/>
    <n v="101"/>
    <s v="_x0000_US"/>
  </r>
  <r>
    <x v="0"/>
    <n v="13.6915"/>
    <n v="-89.189300000000003"/>
    <n v="11739"/>
    <n v="0"/>
    <n v="0"/>
    <n v="101"/>
    <s v="_x0000_US"/>
  </r>
  <r>
    <x v="0"/>
    <n v="13.6798"/>
    <n v="-89.197199999999995"/>
    <n v="11739"/>
    <n v="0"/>
    <n v="0"/>
    <n v="101"/>
    <s v="_x0000_US"/>
  </r>
  <r>
    <x v="0"/>
    <n v="13.674200000000001"/>
    <n v="-89.251999999999995"/>
    <n v="11739.4"/>
    <n v="0"/>
    <n v="0"/>
    <n v="101"/>
    <s v="_x0000_US"/>
  </r>
  <r>
    <x v="0"/>
    <n v="13.6935"/>
    <n v="-89.188699999999997"/>
    <n v="11739.8"/>
    <n v="0"/>
    <n v="0"/>
    <n v="101"/>
    <s v="_x0000_US"/>
  </r>
  <r>
    <x v="0"/>
    <n v="13.6875"/>
    <n v="-89.197199999999995"/>
    <n v="11740.1"/>
    <n v="0"/>
    <n v="0"/>
    <n v="101"/>
    <s v="_x0000_US"/>
  </r>
  <r>
    <x v="0"/>
    <n v="13.6859"/>
    <n v="-89.216399999999993"/>
    <n v="11740.2"/>
    <n v="0"/>
    <n v="0"/>
    <n v="101"/>
    <s v="_x0000_US"/>
  </r>
  <r>
    <x v="0"/>
    <n v="13.691700000000001"/>
    <n v="-89.2209"/>
    <n v="11740.3"/>
    <n v="0"/>
    <n v="0"/>
    <n v="101"/>
    <s v="_x0000_US"/>
  </r>
  <r>
    <x v="0"/>
    <n v="13.6935"/>
    <n v="-89.190299999999993"/>
    <n v="11740.8"/>
    <n v="0"/>
    <n v="0"/>
    <n v="101"/>
    <s v="_x0000_US"/>
  </r>
  <r>
    <x v="0"/>
    <n v="13.6869"/>
    <n v="-89.212800000000001"/>
    <n v="11742.3"/>
    <n v="0"/>
    <n v="0"/>
    <n v="101"/>
    <s v="_x0000_US"/>
  </r>
  <r>
    <x v="0"/>
    <n v="13.686400000000001"/>
    <n v="-89.2149"/>
    <n v="11742.7"/>
    <n v="0"/>
    <n v="0"/>
    <n v="101"/>
    <s v="_x0000_US"/>
  </r>
  <r>
    <x v="0"/>
    <n v="13.6957"/>
    <n v="-89.172499999999999"/>
    <n v="11745.5"/>
    <n v="0"/>
    <n v="0"/>
    <n v="101"/>
    <s v="_x0000_US"/>
  </r>
  <r>
    <x v="0"/>
    <n v="13.6723"/>
    <n v="-89.205100000000002"/>
    <n v="11745.6"/>
    <n v="0"/>
    <n v="0"/>
    <n v="101"/>
    <s v="_x0000_US"/>
  </r>
  <r>
    <x v="0"/>
    <n v="13.687200000000001"/>
    <n v="-89.1828"/>
    <n v="11745.8"/>
    <n v="0"/>
    <n v="0"/>
    <n v="101"/>
    <s v="_x0000_US"/>
  </r>
  <r>
    <x v="0"/>
    <n v="13.687900000000001"/>
    <n v="-89.181100000000001"/>
    <n v="11746.3"/>
    <n v="0"/>
    <n v="0"/>
    <n v="101"/>
    <s v="_x0000_US"/>
  </r>
  <r>
    <x v="0"/>
    <n v="13.6729"/>
    <n v="-89.204499999999996"/>
    <n v="11746.6"/>
    <n v="0"/>
    <n v="0"/>
    <n v="101"/>
    <s v="_x0000_US"/>
  </r>
  <r>
    <x v="0"/>
    <n v="13.6945"/>
    <n v="-89.185299999999998"/>
    <n v="11747.6"/>
    <n v="0"/>
    <n v="0"/>
    <n v="101"/>
    <s v="_x0000_US"/>
  </r>
  <r>
    <x v="0"/>
    <n v="13.695399999999999"/>
    <n v="-89.174800000000005"/>
    <n v="11747.9"/>
    <n v="0"/>
    <n v="0"/>
    <n v="101"/>
    <s v="_x0000_US"/>
  </r>
  <r>
    <x v="0"/>
    <n v="13.690099999999999"/>
    <n v="-89.184600000000003"/>
    <n v="11748.1"/>
    <n v="0"/>
    <n v="0"/>
    <n v="101"/>
    <s v="_x0000_US"/>
  </r>
  <r>
    <x v="0"/>
    <n v="13.6935"/>
    <n v="-89.1892"/>
    <n v="11748.9"/>
    <n v="0"/>
    <n v="0"/>
    <n v="101"/>
    <s v="_x0000_US"/>
  </r>
  <r>
    <x v="0"/>
    <n v="13.6846"/>
    <n v="-89.211699999999993"/>
    <n v="11749.1"/>
    <n v="0"/>
    <n v="0"/>
    <n v="101"/>
    <s v="_x0000_US"/>
  </r>
  <r>
    <x v="0"/>
    <n v="13.6942"/>
    <n v="-89.183099999999996"/>
    <n v="11749.4"/>
    <n v="0"/>
    <n v="0"/>
    <n v="101"/>
    <s v="_x0000_US"/>
  </r>
  <r>
    <x v="0"/>
    <n v="13.689299999999999"/>
    <n v="-89.235900000000001"/>
    <n v="11749.8"/>
    <n v="0"/>
    <n v="0"/>
    <n v="101"/>
    <s v="_x0000_US"/>
  </r>
  <r>
    <x v="0"/>
    <n v="13.6867"/>
    <n v="-89.202200000000005"/>
    <n v="11751.9"/>
    <n v="0"/>
    <n v="0"/>
    <n v="101"/>
    <s v="_x0000_US"/>
  </r>
  <r>
    <x v="0"/>
    <n v="13.6905"/>
    <n v="-89.235399999999998"/>
    <n v="11752.2"/>
    <n v="0"/>
    <n v="0"/>
    <n v="101"/>
    <s v="_x0000_US"/>
  </r>
  <r>
    <x v="0"/>
    <n v="13.6744"/>
    <n v="-89.251999999999995"/>
    <n v="11752.8"/>
    <n v="0"/>
    <n v="0"/>
    <n v="101"/>
    <s v="_x0000_US"/>
  </r>
  <r>
    <x v="0"/>
    <n v="13.6874"/>
    <n v="-89.197999999999993"/>
    <n v="11753.4"/>
    <n v="0"/>
    <n v="0"/>
    <n v="101"/>
    <s v="_x0000_US"/>
  </r>
  <r>
    <x v="0"/>
    <n v="13.6975"/>
    <n v="-89.171400000000006"/>
    <n v="11753.5"/>
    <n v="0"/>
    <n v="0"/>
    <n v="101"/>
    <s v="_x0000_US"/>
  </r>
  <r>
    <x v="0"/>
    <n v="13.686999999999999"/>
    <n v="-89.194599999999994"/>
    <n v="11754.5"/>
    <n v="0"/>
    <n v="0"/>
    <n v="101"/>
    <s v="_x0000_US"/>
  </r>
  <r>
    <x v="0"/>
    <n v="13.691800000000001"/>
    <n v="-89.186000000000007"/>
    <n v="11754.7"/>
    <n v="0"/>
    <n v="0"/>
    <n v="101"/>
    <s v="_x0000_US"/>
  </r>
  <r>
    <x v="0"/>
    <n v="13.691000000000001"/>
    <n v="-89.234300000000005"/>
    <n v="11755.4"/>
    <n v="0"/>
    <n v="0"/>
    <n v="101"/>
    <s v="_x0000_US"/>
  </r>
  <r>
    <x v="0"/>
    <n v="13.69"/>
    <n v="-89.236099999999993"/>
    <n v="11755.6"/>
    <n v="0"/>
    <n v="0"/>
    <n v="101"/>
    <s v="_x0000_US"/>
  </r>
  <r>
    <x v="0"/>
    <n v="13.692"/>
    <n v="-89.2256"/>
    <n v="11756.4"/>
    <n v="0"/>
    <n v="0"/>
    <n v="101"/>
    <s v="_x0000_US"/>
  </r>
  <r>
    <x v="0"/>
    <n v="13.6869"/>
    <n v="-89.215599999999995"/>
    <n v="11757.3"/>
    <n v="0"/>
    <n v="0"/>
    <n v="101"/>
    <s v="_x0000_US"/>
  </r>
  <r>
    <x v="0"/>
    <n v="13.687099999999999"/>
    <n v="-89.183400000000006"/>
    <n v="11757.4"/>
    <n v="0"/>
    <n v="0"/>
    <n v="101"/>
    <s v="_x0000_US"/>
  </r>
  <r>
    <x v="0"/>
    <n v="13.687099999999999"/>
    <n v="-89.197000000000003"/>
    <n v="11759.4"/>
    <n v="0"/>
    <n v="0"/>
    <n v="101"/>
    <s v="_x0000_US"/>
  </r>
  <r>
    <x v="0"/>
    <n v="13.6907"/>
    <n v="-89.227800000000002"/>
    <n v="11759.5"/>
    <n v="0"/>
    <n v="0"/>
    <n v="101"/>
    <s v="_x0000_US"/>
  </r>
  <r>
    <x v="0"/>
    <n v="13.689299999999999"/>
    <n v="-89.184200000000004"/>
    <n v="11759.8"/>
    <n v="0"/>
    <n v="0"/>
    <n v="101"/>
    <s v="_x0000_US"/>
  </r>
  <r>
    <x v="0"/>
    <n v="13.6873"/>
    <n v="-89.194400000000002"/>
    <n v="11759.9"/>
    <n v="0"/>
    <n v="0"/>
    <n v="101"/>
    <s v="_x0000_US"/>
  </r>
  <r>
    <x v="0"/>
    <n v="13.6905"/>
    <n v="-89.233699999999999"/>
    <n v="11760.3"/>
    <n v="0"/>
    <n v="0"/>
    <n v="101"/>
    <s v="_x0000_US"/>
  </r>
  <r>
    <x v="0"/>
    <n v="13.690799999999999"/>
    <n v="-89.194500000000005"/>
    <n v="11760.5"/>
    <n v="0"/>
    <n v="0"/>
    <n v="101"/>
    <s v="_x0000_US"/>
  </r>
  <r>
    <x v="0"/>
    <n v="13.687099999999999"/>
    <n v="-89.195800000000006"/>
    <n v="11760.5"/>
    <n v="0"/>
    <n v="0"/>
    <n v="101"/>
    <s v="_x0000_US"/>
  </r>
  <r>
    <x v="0"/>
    <n v="13.6919"/>
    <n v="-89.194400000000002"/>
    <n v="11760.5"/>
    <n v="0"/>
    <n v="0"/>
    <n v="101"/>
    <s v="_x0000_US"/>
  </r>
  <r>
    <x v="0"/>
    <n v="13.689500000000001"/>
    <n v="-89.177499999999995"/>
    <n v="11760.5"/>
    <n v="0"/>
    <n v="0"/>
    <n v="101"/>
    <s v="_x0000_US"/>
  </r>
  <r>
    <x v="0"/>
    <n v="13.6844"/>
    <n v="-89.211699999999993"/>
    <n v="11761.1"/>
    <n v="0"/>
    <n v="0"/>
    <n v="101"/>
    <s v="_x0000_US"/>
  </r>
  <r>
    <x v="0"/>
    <n v="13.6912"/>
    <n v="-89.186400000000006"/>
    <n v="11761.2"/>
    <n v="0"/>
    <n v="0"/>
    <n v="101"/>
    <s v="_x0000_US"/>
  </r>
  <r>
    <x v="0"/>
    <n v="13.6914"/>
    <n v="-89.189400000000006"/>
    <n v="11761.6"/>
    <n v="0"/>
    <n v="0"/>
    <n v="101"/>
    <s v="_x0000_US"/>
  </r>
  <r>
    <x v="0"/>
    <n v="13.6944"/>
    <n v="-89.188999999999993"/>
    <n v="11761.7"/>
    <n v="0"/>
    <n v="0"/>
    <n v="101"/>
    <s v="_x0000_US"/>
  </r>
  <r>
    <x v="0"/>
    <n v="13.6906"/>
    <n v="-89.186000000000007"/>
    <n v="11762.5"/>
    <n v="0"/>
    <n v="0"/>
    <n v="101"/>
    <s v="_x0000_US"/>
  </r>
  <r>
    <x v="0"/>
    <n v="13.6935"/>
    <n v="-89.192099999999996"/>
    <n v="11762.6"/>
    <n v="0"/>
    <n v="0"/>
    <n v="101"/>
    <s v="_x0000_US"/>
  </r>
  <r>
    <x v="0"/>
    <n v="13.688499999999999"/>
    <n v="-89.216700000000003"/>
    <n v="11763.3"/>
    <n v="0"/>
    <n v="0"/>
    <n v="101"/>
    <s v="_x0000_US"/>
  </r>
  <r>
    <x v="0"/>
    <n v="13.6936"/>
    <n v="-89.173599999999993"/>
    <n v="11763.8"/>
    <n v="0"/>
    <n v="0"/>
    <n v="101"/>
    <s v="_x0000_US"/>
  </r>
  <r>
    <x v="0"/>
    <n v="13.690300000000001"/>
    <n v="-89.184899999999999"/>
    <n v="11764"/>
    <n v="0"/>
    <n v="0"/>
    <n v="101"/>
    <s v="_x0000_US"/>
  </r>
  <r>
    <x v="0"/>
    <n v="13.6876"/>
    <n v="-89.194900000000004"/>
    <n v="11764.3"/>
    <n v="0"/>
    <n v="0"/>
    <n v="101"/>
    <s v="_x0000_US"/>
  </r>
  <r>
    <x v="0"/>
    <n v="13.6736"/>
    <n v="-89.202799999999996"/>
    <n v="11764.3"/>
    <n v="0"/>
    <n v="0"/>
    <n v="101"/>
    <s v="_x0000_US"/>
  </r>
  <r>
    <x v="0"/>
    <n v="13.693199999999999"/>
    <n v="-89.1785"/>
    <n v="11764.6"/>
    <n v="0"/>
    <n v="0"/>
    <n v="101"/>
    <s v="_x0000_US"/>
  </r>
  <r>
    <x v="0"/>
    <n v="13.691700000000001"/>
    <n v="-89.227000000000004"/>
    <n v="11766.1"/>
    <n v="0"/>
    <n v="0"/>
    <n v="101"/>
    <s v="_x0000_US"/>
  </r>
  <r>
    <x v="0"/>
    <n v="13.692500000000001"/>
    <n v="-89.179299999999998"/>
    <n v="11766.4"/>
    <n v="0"/>
    <n v="0"/>
    <n v="101"/>
    <s v="_x0000_US"/>
  </r>
  <r>
    <x v="0"/>
    <n v="13.6845"/>
    <n v="-89.216700000000003"/>
    <n v="11767.3"/>
    <n v="0"/>
    <n v="0"/>
    <n v="101"/>
    <s v="_x0000_US"/>
  </r>
  <r>
    <x v="0"/>
    <n v="13.6854"/>
    <n v="-89.213099999999997"/>
    <n v="11767.4"/>
    <n v="0"/>
    <n v="0"/>
    <n v="101"/>
    <s v="_x0000_US"/>
  </r>
  <r>
    <x v="0"/>
    <n v="13.694000000000001"/>
    <n v="-89.176299999999998"/>
    <n v="11768"/>
    <n v="0"/>
    <n v="0"/>
    <n v="101"/>
    <s v="_x0000_US"/>
  </r>
  <r>
    <x v="0"/>
    <n v="13.6914"/>
    <n v="-89.193700000000007"/>
    <n v="11769.3"/>
    <n v="0"/>
    <n v="0"/>
    <n v="101"/>
    <s v="_x0000_US"/>
  </r>
  <r>
    <x v="0"/>
    <n v="13.694699999999999"/>
    <n v="-89.185400000000001"/>
    <n v="11769.9"/>
    <n v="0"/>
    <n v="0"/>
    <n v="101"/>
    <s v="_x0000_US"/>
  </r>
  <r>
    <x v="0"/>
    <n v="13.6929"/>
    <n v="-89.176400000000001"/>
    <n v="11770.3"/>
    <n v="0"/>
    <n v="0"/>
    <n v="101"/>
    <s v="_x0000_US"/>
  </r>
  <r>
    <x v="0"/>
    <n v="13.6904"/>
    <n v="-89.195599999999999"/>
    <n v="11770.4"/>
    <n v="0"/>
    <n v="0"/>
    <n v="101"/>
    <s v="_x0000_US"/>
  </r>
  <r>
    <x v="0"/>
    <n v="13.6913"/>
    <n v="-89.177099999999996"/>
    <n v="11770.6"/>
    <n v="0"/>
    <n v="0"/>
    <n v="101"/>
    <s v="_x0000_US"/>
  </r>
  <r>
    <x v="0"/>
    <n v="13.684900000000001"/>
    <n v="-89.212299999999999"/>
    <n v="11771.2"/>
    <n v="0"/>
    <n v="0"/>
    <n v="101"/>
    <s v="_x0000_US"/>
  </r>
  <r>
    <x v="0"/>
    <n v="13.675000000000001"/>
    <n v="-89.1999"/>
    <n v="11772.1"/>
    <n v="0"/>
    <n v="0"/>
    <n v="101"/>
    <s v="_x0000_US"/>
  </r>
  <r>
    <x v="0"/>
    <n v="13.687799999999999"/>
    <n v="-89.194500000000005"/>
    <n v="11773.8"/>
    <n v="0"/>
    <n v="0"/>
    <n v="101"/>
    <s v="_x0000_US"/>
  </r>
  <r>
    <x v="0"/>
    <n v="13.6859"/>
    <n v="-89.203900000000004"/>
    <n v="11773.8"/>
    <n v="0"/>
    <n v="0"/>
    <n v="101"/>
    <s v="_x0000_US"/>
  </r>
  <r>
    <x v="0"/>
    <n v="13.691800000000001"/>
    <n v="-89.178399999999996"/>
    <n v="11774.1"/>
    <n v="0"/>
    <n v="0"/>
    <n v="101"/>
    <s v="_x0000_US"/>
  </r>
  <r>
    <x v="0"/>
    <n v="13.6884"/>
    <n v="-89.1905"/>
    <n v="11774.2"/>
    <n v="0"/>
    <n v="0"/>
    <n v="101"/>
    <s v="_x0000_US"/>
  </r>
  <r>
    <x v="0"/>
    <n v="13.6911"/>
    <n v="-89.185599999999994"/>
    <n v="11774.8"/>
    <n v="0"/>
    <n v="0"/>
    <n v="101"/>
    <s v="_x0000_US"/>
  </r>
  <r>
    <x v="0"/>
    <n v="13.6899"/>
    <n v="-89.194100000000006"/>
    <n v="11776.2"/>
    <n v="0"/>
    <n v="0"/>
    <n v="101"/>
    <s v="_x0000_US"/>
  </r>
  <r>
    <x v="0"/>
    <n v="13.691000000000001"/>
    <n v="-89.219899999999996"/>
    <n v="11776.4"/>
    <n v="0"/>
    <n v="0"/>
    <n v="101"/>
    <s v="_x0000_US"/>
  </r>
  <r>
    <x v="0"/>
    <n v="13.6897"/>
    <n v="-89.229100000000003"/>
    <n v="11776.4"/>
    <n v="0"/>
    <n v="0"/>
    <n v="101"/>
    <s v="_x0000_US"/>
  </r>
  <r>
    <x v="0"/>
    <n v="13.6904"/>
    <n v="-89.179599999999994"/>
    <n v="11777.1"/>
    <n v="0"/>
    <n v="0"/>
    <n v="101"/>
    <s v="_x0000_US"/>
  </r>
  <r>
    <x v="0"/>
    <n v="13.686500000000001"/>
    <n v="-89.190799999999996"/>
    <n v="11777.5"/>
    <n v="0"/>
    <n v="0"/>
    <n v="101"/>
    <s v="_x0000_US"/>
  </r>
  <r>
    <x v="0"/>
    <n v="13.689"/>
    <n v="-89.215599999999995"/>
    <n v="11777.5"/>
    <n v="0"/>
    <n v="0"/>
    <n v="101"/>
    <s v="_x0000_US"/>
  </r>
  <r>
    <x v="0"/>
    <n v="13.692"/>
    <n v="-89.194299999999998"/>
    <n v="11780.4"/>
    <n v="0"/>
    <n v="0"/>
    <n v="101"/>
    <s v="_x0000_US"/>
  </r>
  <r>
    <x v="0"/>
    <n v="13.690099999999999"/>
    <n v="-89.193799999999996"/>
    <n v="11780.6"/>
    <n v="0"/>
    <n v="0"/>
    <n v="101"/>
    <s v="_x0000_US"/>
  </r>
  <r>
    <x v="0"/>
    <n v="13.695"/>
    <n v="-89.173599999999993"/>
    <n v="11781.8"/>
    <n v="0"/>
    <n v="0"/>
    <n v="101"/>
    <s v="_x0000_US"/>
  </r>
  <r>
    <x v="0"/>
    <n v="13.6869"/>
    <n v="-89.181899999999999"/>
    <n v="11782"/>
    <n v="0"/>
    <n v="0"/>
    <n v="101"/>
    <s v="_x0000_US"/>
  </r>
  <r>
    <x v="0"/>
    <n v="13.6942"/>
    <n v="-89.183099999999996"/>
    <n v="11782.7"/>
    <n v="0"/>
    <n v="0"/>
    <n v="101"/>
    <s v="_x0000_US"/>
  </r>
  <r>
    <x v="0"/>
    <n v="13.6968"/>
    <n v="-89.171400000000006"/>
    <n v="11783.6"/>
    <n v="0"/>
    <n v="0"/>
    <n v="101"/>
    <s v="_x0000_US"/>
  </r>
  <r>
    <x v="0"/>
    <n v="13.6846"/>
    <n v="-89.211200000000005"/>
    <n v="11783.6"/>
    <n v="0"/>
    <n v="0"/>
    <n v="101"/>
    <s v="_x0000_US"/>
  </r>
  <r>
    <x v="0"/>
    <n v="13.697100000000001"/>
    <n v="-89.171300000000002"/>
    <n v="11783.7"/>
    <n v="0"/>
    <n v="0"/>
    <n v="101"/>
    <s v="_x0000_US"/>
  </r>
  <r>
    <x v="0"/>
    <n v="13.692"/>
    <n v="-89.223200000000006"/>
    <n v="11785.8"/>
    <n v="0"/>
    <n v="0"/>
    <n v="101"/>
    <s v="_x0000_US"/>
  </r>
  <r>
    <x v="0"/>
    <n v="13.687200000000001"/>
    <n v="-89.194599999999994"/>
    <n v="11786.3"/>
    <n v="0"/>
    <n v="0"/>
    <n v="101"/>
    <s v="_x0000_US"/>
  </r>
  <r>
    <x v="0"/>
    <n v="13.688499999999999"/>
    <n v="-89.190600000000003"/>
    <n v="11787.1"/>
    <n v="0"/>
    <n v="0"/>
    <n v="101"/>
    <s v="_x0000_US"/>
  </r>
  <r>
    <x v="0"/>
    <n v="13.6897"/>
    <n v="-89.206400000000002"/>
    <n v="11788.3"/>
    <n v="0"/>
    <n v="0"/>
    <n v="101"/>
    <s v="_x0000_US"/>
  </r>
  <r>
    <x v="0"/>
    <n v="13.687200000000001"/>
    <n v="-89.183000000000007"/>
    <n v="11788.8"/>
    <n v="0"/>
    <n v="0"/>
    <n v="101"/>
    <s v="_x0000_US"/>
  </r>
  <r>
    <x v="0"/>
    <n v="13.6884"/>
    <n v="-89.191000000000003"/>
    <n v="11788.8"/>
    <n v="0"/>
    <n v="0"/>
    <n v="101"/>
    <s v="_x0000_US"/>
  </r>
  <r>
    <x v="0"/>
    <n v="13.694800000000001"/>
    <n v="-89.174099999999996"/>
    <n v="11790"/>
    <n v="0"/>
    <n v="0"/>
    <n v="101"/>
    <s v="_x0000_US"/>
  </r>
  <r>
    <x v="0"/>
    <n v="13.674099999999999"/>
    <n v="-89.202699999999993"/>
    <n v="11790.5"/>
    <n v="0"/>
    <n v="0"/>
    <n v="101"/>
    <s v="_x0000_US"/>
  </r>
  <r>
    <x v="0"/>
    <n v="13.6907"/>
    <n v="-89.231800000000007"/>
    <n v="11790.5"/>
    <n v="0"/>
    <n v="0"/>
    <n v="101"/>
    <s v="_x0000_US"/>
  </r>
  <r>
    <x v="0"/>
    <n v="13.6943"/>
    <n v="-89.183099999999996"/>
    <n v="11791.7"/>
    <n v="0"/>
    <n v="0"/>
    <n v="101"/>
    <s v="_x0000_US"/>
  </r>
  <r>
    <x v="0"/>
    <n v="13.6891"/>
    <n v="-89.1785"/>
    <n v="11792"/>
    <n v="0"/>
    <n v="0"/>
    <n v="101"/>
    <s v="_x0000_US"/>
  </r>
  <r>
    <x v="0"/>
    <n v="13.687099999999999"/>
    <n v="-89.183700000000002"/>
    <n v="11792.7"/>
    <n v="0"/>
    <n v="0"/>
    <n v="101"/>
    <s v="_x0000_US"/>
  </r>
  <r>
    <x v="0"/>
    <n v="13.6783"/>
    <n v="-89.196299999999994"/>
    <n v="11794.6"/>
    <n v="0"/>
    <n v="0"/>
    <n v="101"/>
    <s v="_x0000_US"/>
  </r>
  <r>
    <x v="0"/>
    <n v="13.6851"/>
    <n v="-89.194000000000003"/>
    <n v="11794.8"/>
    <n v="0"/>
    <n v="0"/>
    <n v="101"/>
    <s v="_x0000_US"/>
  </r>
  <r>
    <x v="0"/>
    <n v="13.676600000000001"/>
    <n v="-89.1999"/>
    <n v="11795"/>
    <n v="0"/>
    <n v="0"/>
    <n v="101"/>
    <s v="_x0000_US"/>
  </r>
  <r>
    <x v="0"/>
    <n v="13.691599999999999"/>
    <n v="-89.226699999999994"/>
    <n v="11795"/>
    <n v="0"/>
    <n v="0"/>
    <n v="101"/>
    <s v="_x0000_US"/>
  </r>
  <r>
    <x v="0"/>
    <n v="13.6912"/>
    <n v="-89.232500000000002"/>
    <n v="11795.4"/>
    <n v="0"/>
    <n v="0"/>
    <n v="101"/>
    <s v="_x0000_US"/>
  </r>
  <r>
    <x v="0"/>
    <n v="13.6911"/>
    <n v="-89.183300000000003"/>
    <n v="11796.9"/>
    <n v="0"/>
    <n v="0"/>
    <n v="101"/>
    <s v="_x0000_US"/>
  </r>
  <r>
    <x v="0"/>
    <n v="13.694100000000001"/>
    <n v="-89.175600000000003"/>
    <n v="11797.3"/>
    <n v="0"/>
    <n v="0"/>
    <n v="101"/>
    <s v="_x0000_US"/>
  </r>
  <r>
    <x v="0"/>
    <n v="13.6914"/>
    <n v="-89.220200000000006"/>
    <n v="11798.7"/>
    <n v="0"/>
    <n v="0"/>
    <n v="101"/>
    <s v="_x0000_US"/>
  </r>
  <r>
    <x v="0"/>
    <n v="13.6854"/>
    <n v="-89.212500000000006"/>
    <n v="11798.8"/>
    <n v="0"/>
    <n v="0"/>
    <n v="101"/>
    <s v="_x0000_US"/>
  </r>
  <r>
    <x v="0"/>
    <n v="13.694000000000001"/>
    <n v="-89.176000000000002"/>
    <n v="11799.2"/>
    <n v="0"/>
    <n v="0"/>
    <n v="101"/>
    <s v="_x0000_US"/>
  </r>
  <r>
    <x v="0"/>
    <n v="13.679399999999999"/>
    <n v="-89.196399999999997"/>
    <n v="11799.8"/>
    <n v="0"/>
    <n v="0"/>
    <n v="101"/>
    <s v="_x0000_US"/>
  </r>
  <r>
    <x v="0"/>
    <n v="13.686999999999999"/>
    <n v="-89.205200000000005"/>
    <n v="11800.3"/>
    <n v="0"/>
    <n v="0"/>
    <n v="101"/>
    <s v="_x0000_US"/>
  </r>
  <r>
    <x v="0"/>
    <n v="13.6873"/>
    <n v="-89.194400000000002"/>
    <n v="11800.4"/>
    <n v="0"/>
    <n v="0"/>
    <n v="101"/>
    <s v="_x0000_US"/>
  </r>
  <r>
    <x v="0"/>
    <n v="13.6892"/>
    <n v="-89.229100000000003"/>
    <n v="11800.4"/>
    <n v="0"/>
    <n v="0"/>
    <n v="101"/>
    <s v="_x0000_US"/>
  </r>
  <r>
    <x v="0"/>
    <n v="13.6922"/>
    <n v="-89.175700000000006"/>
    <n v="11801.1"/>
    <n v="0"/>
    <n v="0"/>
    <n v="101"/>
    <s v="_x0000_US"/>
  </r>
  <r>
    <x v="0"/>
    <n v="13.6853"/>
    <n v="-89.213099999999997"/>
    <n v="11802.3"/>
    <n v="0"/>
    <n v="0"/>
    <n v="101"/>
    <s v="_x0000_US"/>
  </r>
  <r>
    <x v="0"/>
    <n v="13.690200000000001"/>
    <n v="-89.235200000000006"/>
    <n v="11805.4"/>
    <n v="0"/>
    <n v="0"/>
    <n v="101"/>
    <s v="_x0000_US"/>
  </r>
  <r>
    <x v="0"/>
    <n v="13.6905"/>
    <n v="-89.179000000000002"/>
    <n v="11805.6"/>
    <n v="0"/>
    <n v="0"/>
    <n v="101"/>
    <s v="_x0000_US"/>
  </r>
  <r>
    <x v="0"/>
    <n v="13.6845"/>
    <n v="-89.216300000000004"/>
    <n v="11805.8"/>
    <n v="0"/>
    <n v="0"/>
    <n v="101"/>
    <s v="_x0000_US"/>
  </r>
  <r>
    <x v="0"/>
    <n v="13.688599999999999"/>
    <n v="-89.206699999999998"/>
    <n v="11806.1"/>
    <n v="0"/>
    <n v="0"/>
    <n v="101"/>
    <s v="_x0000_US"/>
  </r>
  <r>
    <x v="0"/>
    <n v="13.690799999999999"/>
    <n v="-89.194500000000005"/>
    <n v="11806.3"/>
    <n v="0"/>
    <n v="0"/>
    <n v="101"/>
    <s v="_x0000_US"/>
  </r>
  <r>
    <x v="0"/>
    <n v="13.6899"/>
    <n v="-89.183999999999997"/>
    <n v="11806.6"/>
    <n v="0"/>
    <n v="0"/>
    <n v="101"/>
    <s v="_x0000_US"/>
  </r>
  <r>
    <x v="0"/>
    <n v="13.692399999999999"/>
    <n v="-89.224100000000007"/>
    <n v="11806.6"/>
    <n v="0"/>
    <n v="0"/>
    <n v="101"/>
    <s v="_x0000_US"/>
  </r>
  <r>
    <x v="0"/>
    <n v="13.6873"/>
    <n v="-89.191500000000005"/>
    <n v="11807.2"/>
    <n v="0"/>
    <n v="0"/>
    <n v="101"/>
    <s v="_x0000_US"/>
  </r>
  <r>
    <x v="0"/>
    <n v="13.687099999999999"/>
    <n v="-89.183300000000003"/>
    <n v="11807.4"/>
    <n v="0"/>
    <n v="0"/>
    <n v="101"/>
    <s v="_x0000_US"/>
  </r>
  <r>
    <x v="0"/>
    <n v="13.689299999999999"/>
    <n v="-89.235900000000001"/>
    <n v="11807.8"/>
    <n v="0"/>
    <n v="0"/>
    <n v="101"/>
    <s v="_x0000_US"/>
  </r>
  <r>
    <x v="0"/>
    <n v="13.6928"/>
    <n v="-89.178100000000001"/>
    <n v="11808"/>
    <n v="0"/>
    <n v="0"/>
    <n v="101"/>
    <s v="_x0000_US"/>
  </r>
  <r>
    <x v="0"/>
    <n v="13.689299999999999"/>
    <n v="-89.206699999999998"/>
    <n v="11809.3"/>
    <n v="0"/>
    <n v="0"/>
    <n v="101"/>
    <s v="_x0000_US"/>
  </r>
  <r>
    <x v="0"/>
    <n v="13.6881"/>
    <n v="-89.205600000000004"/>
    <n v="11809.3"/>
    <n v="0"/>
    <n v="0"/>
    <n v="101"/>
    <s v="_x0000_US"/>
  </r>
  <r>
    <x v="0"/>
    <n v="13.6897"/>
    <n v="-89.189599999999999"/>
    <n v="11810"/>
    <n v="0"/>
    <n v="0"/>
    <n v="101"/>
    <s v="_x0000_US"/>
  </r>
  <r>
    <x v="0"/>
    <n v="13.6915"/>
    <n v="-89.226100000000002"/>
    <n v="11810.9"/>
    <n v="0"/>
    <n v="0"/>
    <n v="101"/>
    <s v="_x0000_US"/>
  </r>
  <r>
    <x v="0"/>
    <n v="13.6897"/>
    <n v="-89.180999999999997"/>
    <n v="11812.6"/>
    <n v="0"/>
    <n v="0"/>
    <n v="101"/>
    <s v="_x0000_US"/>
  </r>
  <r>
    <x v="0"/>
    <n v="13.6951"/>
    <n v="-89.174800000000005"/>
    <n v="11813.8"/>
    <n v="0"/>
    <n v="0"/>
    <n v="101"/>
    <s v="_x0000_US"/>
  </r>
  <r>
    <x v="0"/>
    <n v="13.6896"/>
    <n v="-89.229399999999998"/>
    <n v="11814.4"/>
    <n v="0"/>
    <n v="0"/>
    <n v="101"/>
    <s v="_x0000_US"/>
  </r>
  <r>
    <x v="0"/>
    <n v="13.6911"/>
    <n v="-89.186599999999999"/>
    <n v="11815.8"/>
    <n v="0"/>
    <n v="0"/>
    <n v="101"/>
    <s v="_x0000_US"/>
  </r>
  <r>
    <x v="0"/>
    <n v="13.6866"/>
    <n v="-89.215900000000005"/>
    <n v="11816.2"/>
    <n v="0"/>
    <n v="0"/>
    <n v="101"/>
    <s v="_x0000_US"/>
  </r>
  <r>
    <x v="0"/>
    <n v="13.678000000000001"/>
    <n v="-89.245599999999996"/>
    <n v="11816.4"/>
    <n v="0"/>
    <n v="0"/>
    <n v="101"/>
    <s v="_x0000_US"/>
  </r>
  <r>
    <x v="0"/>
    <n v="13.691700000000001"/>
    <n v="-89.18"/>
    <n v="11817.5"/>
    <n v="0"/>
    <n v="0"/>
    <n v="101"/>
    <s v="_x0000_US"/>
  </r>
  <r>
    <x v="0"/>
    <n v="13.6913"/>
    <n v="-89.183300000000003"/>
    <n v="11818.5"/>
    <n v="0"/>
    <n v="0"/>
    <n v="101"/>
    <s v="_x0000_US"/>
  </r>
  <r>
    <x v="0"/>
    <n v="13.69"/>
    <n v="-89.177400000000006"/>
    <n v="11818.8"/>
    <n v="0"/>
    <n v="0"/>
    <n v="101"/>
    <s v="_x0000_US"/>
  </r>
  <r>
    <x v="0"/>
    <n v="13.691599999999999"/>
    <n v="-89.186499999999995"/>
    <n v="11819.8"/>
    <n v="0"/>
    <n v="0"/>
    <n v="101"/>
    <s v="_x0000_US"/>
  </r>
  <r>
    <x v="0"/>
    <n v="13.6876"/>
    <n v="-89.197100000000006"/>
    <n v="11821"/>
    <n v="0"/>
    <n v="0"/>
    <n v="101"/>
    <s v="_x0000_US"/>
  </r>
  <r>
    <x v="0"/>
    <n v="13.6898"/>
    <n v="-89.177800000000005"/>
    <n v="11821.4"/>
    <n v="0"/>
    <n v="0"/>
    <n v="101"/>
    <s v="_x0000_US"/>
  </r>
  <r>
    <x v="0"/>
    <n v="13.687200000000001"/>
    <n v="-89.194800000000001"/>
    <n v="11821.9"/>
    <n v="0"/>
    <n v="0"/>
    <n v="101"/>
    <s v="_x0000_US"/>
  </r>
  <r>
    <x v="0"/>
    <n v="13.687799999999999"/>
    <n v="-89.197000000000003"/>
    <n v="11822.7"/>
    <n v="0"/>
    <n v="0"/>
    <n v="101"/>
    <s v="_x0000_US"/>
  </r>
  <r>
    <x v="0"/>
    <n v="13.674099999999999"/>
    <n v="-89.202799999999996"/>
    <n v="11824.4"/>
    <n v="0"/>
    <n v="0"/>
    <n v="101"/>
    <s v="_x0000_US"/>
  </r>
  <r>
    <x v="0"/>
    <n v="13.6875"/>
    <n v="-89.216899999999995"/>
    <n v="11824.4"/>
    <n v="0"/>
    <n v="0"/>
    <n v="101"/>
    <s v="_x0000_US"/>
  </r>
  <r>
    <x v="0"/>
    <n v="13.692299999999999"/>
    <n v="-89.226600000000005"/>
    <n v="11825.2"/>
    <n v="0"/>
    <n v="0"/>
    <n v="101"/>
    <s v="_x0000_US"/>
  </r>
  <r>
    <x v="0"/>
    <n v="13.687200000000001"/>
    <n v="-89.197400000000002"/>
    <n v="11825.7"/>
    <n v="0"/>
    <n v="0"/>
    <n v="101"/>
    <s v="_x0000_US"/>
  </r>
  <r>
    <x v="0"/>
    <n v="13.690899999999999"/>
    <n v="-89.235699999999994"/>
    <n v="11825.9"/>
    <n v="0"/>
    <n v="0"/>
    <n v="101"/>
    <s v="_x0000_US"/>
  </r>
  <r>
    <x v="0"/>
    <n v="13.6915"/>
    <n v="-89.234700000000004"/>
    <n v="11826"/>
    <n v="0"/>
    <n v="0"/>
    <n v="101"/>
    <s v="_x0000_US"/>
  </r>
  <r>
    <x v="0"/>
    <n v="13.6905"/>
    <n v="-89.193399999999997"/>
    <n v="11826.3"/>
    <n v="0"/>
    <n v="0"/>
    <n v="101"/>
    <s v="_x0000_US"/>
  </r>
  <r>
    <x v="0"/>
    <n v="13.693"/>
    <n v="-89.176500000000004"/>
    <n v="11826.4"/>
    <n v="0"/>
    <n v="0"/>
    <n v="101"/>
    <s v="_x0000_US"/>
  </r>
  <r>
    <x v="0"/>
    <n v="13.6943"/>
    <n v="-89.175899999999999"/>
    <n v="11826.6"/>
    <n v="0"/>
    <n v="0"/>
    <n v="101"/>
    <s v="_x0000_US"/>
  </r>
  <r>
    <x v="0"/>
    <n v="13.6877"/>
    <n v="-89.194599999999994"/>
    <n v="11829"/>
    <n v="0"/>
    <n v="0"/>
    <n v="101"/>
    <s v="_x0000_US"/>
  </r>
  <r>
    <x v="0"/>
    <n v="13.6915"/>
    <n v="-89.185599999999994"/>
    <n v="11829.4"/>
    <n v="0"/>
    <n v="0"/>
    <n v="101"/>
    <s v="_x0000_US"/>
  </r>
  <r>
    <x v="0"/>
    <n v="13.6913"/>
    <n v="-89.232699999999994"/>
    <n v="11830"/>
    <n v="0"/>
    <n v="0"/>
    <n v="101"/>
    <s v="_x0000_US"/>
  </r>
  <r>
    <x v="0"/>
    <n v="13.6966"/>
    <n v="-89.171599999999998"/>
    <n v="11830.2"/>
    <n v="0"/>
    <n v="0"/>
    <n v="101"/>
    <s v="_x0000_US"/>
  </r>
  <r>
    <x v="0"/>
    <n v="13.6873"/>
    <n v="-89.182500000000005"/>
    <n v="11830.4"/>
    <n v="0"/>
    <n v="0"/>
    <n v="101"/>
    <s v="_x0000_US"/>
  </r>
  <r>
    <x v="0"/>
    <n v="13.6874"/>
    <n v="-89.194400000000002"/>
    <n v="11831.1"/>
    <n v="0"/>
    <n v="0"/>
    <n v="101"/>
    <s v="_x0000_US"/>
  </r>
  <r>
    <x v="0"/>
    <n v="13.6754"/>
    <n v="-89.202500000000001"/>
    <n v="11831.1"/>
    <n v="0"/>
    <n v="0"/>
    <n v="101"/>
    <s v="_x0000_US"/>
  </r>
  <r>
    <x v="0"/>
    <n v="13.6853"/>
    <n v="-89.201499999999996"/>
    <n v="11831.7"/>
    <n v="0"/>
    <n v="0"/>
    <n v="101"/>
    <s v="_x0000_US"/>
  </r>
  <r>
    <x v="0"/>
    <n v="13.698"/>
    <n v="-89.168800000000005"/>
    <n v="11832.5"/>
    <n v="0"/>
    <n v="0"/>
    <n v="101"/>
    <s v="_x0000_US"/>
  </r>
  <r>
    <x v="0"/>
    <n v="13.687799999999999"/>
    <n v="-89.215400000000002"/>
    <n v="11832.8"/>
    <n v="0"/>
    <n v="0"/>
    <n v="101"/>
    <s v="_x0000_US"/>
  </r>
  <r>
    <x v="0"/>
    <n v="13.6934"/>
    <n v="-89.176400000000001"/>
    <n v="11833.8"/>
    <n v="0"/>
    <n v="0"/>
    <n v="101"/>
    <s v="_x0000_US"/>
  </r>
  <r>
    <x v="0"/>
    <n v="13.6915"/>
    <n v="-89.233800000000002"/>
    <n v="11835.3"/>
    <n v="0"/>
    <n v="0"/>
    <n v="101"/>
    <s v="_x0000_US"/>
  </r>
  <r>
    <x v="0"/>
    <n v="13.6972"/>
    <n v="-89.171599999999998"/>
    <n v="11835.5"/>
    <n v="0"/>
    <n v="0"/>
    <n v="101"/>
    <s v="_x0000_US"/>
  </r>
  <r>
    <x v="0"/>
    <n v="13.6851"/>
    <n v="-89.210800000000006"/>
    <n v="11835.6"/>
    <n v="0"/>
    <n v="0"/>
    <n v="101"/>
    <s v="_x0000_US"/>
  </r>
  <r>
    <x v="0"/>
    <n v="13.694000000000001"/>
    <n v="-89.1751"/>
    <n v="11836.1"/>
    <n v="0"/>
    <n v="0"/>
    <n v="101"/>
    <s v="_x0000_US"/>
  </r>
  <r>
    <x v="0"/>
    <n v="13.685600000000001"/>
    <n v="-89.193700000000007"/>
    <n v="11837.7"/>
    <n v="0"/>
    <n v="0"/>
    <n v="101"/>
    <s v="_x0000_US"/>
  </r>
  <r>
    <x v="0"/>
    <n v="13.6922"/>
    <n v="-89.225899999999996"/>
    <n v="11838"/>
    <n v="0"/>
    <n v="0"/>
    <n v="101"/>
    <s v="_x0000_US"/>
  </r>
  <r>
    <x v="0"/>
    <n v="13.6922"/>
    <n v="-89.1751"/>
    <n v="11838.1"/>
    <n v="0"/>
    <n v="0"/>
    <n v="101"/>
    <s v="_x0000_US"/>
  </r>
  <r>
    <x v="0"/>
    <n v="13.6974"/>
    <n v="-89.171599999999998"/>
    <n v="11838.1"/>
    <n v="0"/>
    <n v="0"/>
    <n v="101"/>
    <s v="_x0000_US"/>
  </r>
  <r>
    <x v="0"/>
    <n v="13.690300000000001"/>
    <n v="-89.197699999999998"/>
    <n v="11841.7"/>
    <n v="0"/>
    <n v="0"/>
    <n v="101"/>
    <s v="_x0000_US"/>
  </r>
  <r>
    <x v="0"/>
    <n v="13.6892"/>
    <n v="-89.207899999999995"/>
    <n v="11842.6"/>
    <n v="0"/>
    <n v="0"/>
    <n v="101"/>
    <s v="_x0000_US"/>
  </r>
  <r>
    <x v="0"/>
    <n v="13.6943"/>
    <n v="-89.188800000000001"/>
    <n v="11843.6"/>
    <n v="0"/>
    <n v="0"/>
    <n v="101"/>
    <s v="_x0000_US"/>
  </r>
  <r>
    <x v="0"/>
    <n v="13.674899999999999"/>
    <n v="-89.250900000000001"/>
    <n v="11844.1"/>
    <n v="0"/>
    <n v="0"/>
    <n v="101"/>
    <s v="_x0000_US"/>
  </r>
  <r>
    <x v="0"/>
    <n v="13.6913"/>
    <n v="-89.178799999999995"/>
    <n v="11844.3"/>
    <n v="0"/>
    <n v="0"/>
    <n v="101"/>
    <s v="_x0000_US"/>
  </r>
  <r>
    <x v="0"/>
    <n v="13.6874"/>
    <n v="-89.195499999999996"/>
    <n v="11844.5"/>
    <n v="0"/>
    <n v="0"/>
    <n v="101"/>
    <s v="_x0000_US"/>
  </r>
  <r>
    <x v="0"/>
    <n v="13.677099999999999"/>
    <n v="-89.199200000000005"/>
    <n v="11844.5"/>
    <n v="0"/>
    <n v="0"/>
    <n v="101"/>
    <s v="_x0000_US"/>
  </r>
  <r>
    <x v="0"/>
    <n v="13.692600000000001"/>
    <n v="-89.175600000000003"/>
    <n v="11844.9"/>
    <n v="0"/>
    <n v="0"/>
    <n v="101"/>
    <s v="_x0000_US"/>
  </r>
  <r>
    <x v="0"/>
    <n v="13.6943"/>
    <n v="-89.175200000000004"/>
    <n v="11845.7"/>
    <n v="0"/>
    <n v="0"/>
    <n v="101"/>
    <s v="_x0000_US"/>
  </r>
  <r>
    <x v="0"/>
    <n v="13.6883"/>
    <n v="-89.205500000000001"/>
    <n v="11845.8"/>
    <n v="0"/>
    <n v="0"/>
    <n v="101"/>
    <s v="_x0000_US"/>
  </r>
  <r>
    <x v="0"/>
    <n v="13.6919"/>
    <n v="-89.181700000000006"/>
    <n v="11846.5"/>
    <n v="0"/>
    <n v="0"/>
    <n v="101"/>
    <s v="_x0000_US"/>
  </r>
  <r>
    <x v="0"/>
    <n v="13.686999999999999"/>
    <n v="-89.194599999999994"/>
    <n v="11847.3"/>
    <n v="0"/>
    <n v="0"/>
    <n v="101"/>
    <s v="_x0000_US"/>
  </r>
  <r>
    <x v="0"/>
    <n v="13.6891"/>
    <n v="-89.2363"/>
    <n v="11848.7"/>
    <n v="0"/>
    <n v="0"/>
    <n v="101"/>
    <s v="_x0000_US"/>
  </r>
  <r>
    <x v="0"/>
    <n v="13.6852"/>
    <n v="-89.213399999999993"/>
    <n v="11848.8"/>
    <n v="0"/>
    <n v="0"/>
    <n v="101"/>
    <s v="_x0000_US"/>
  </r>
  <r>
    <x v="0"/>
    <n v="13.690799999999999"/>
    <n v="-89.197699999999998"/>
    <n v="11849.1"/>
    <n v="0"/>
    <n v="0"/>
    <n v="101"/>
    <s v="_x0000_US"/>
  </r>
  <r>
    <x v="0"/>
    <n v="13.6873"/>
    <n v="-89.182000000000002"/>
    <n v="11850"/>
    <n v="0"/>
    <n v="0"/>
    <n v="101"/>
    <s v="_x0000_US"/>
  </r>
  <r>
    <x v="0"/>
    <n v="13.679500000000001"/>
    <n v="-89.196600000000004"/>
    <n v="11850.4"/>
    <n v="0"/>
    <n v="0"/>
    <n v="101"/>
    <s v="_x0000_US"/>
  </r>
  <r>
    <x v="0"/>
    <n v="13.680899999999999"/>
    <n v="-89.195800000000006"/>
    <n v="11851.1"/>
    <n v="0"/>
    <n v="0"/>
    <n v="101"/>
    <s v="_x0000_US"/>
  </r>
  <r>
    <x v="0"/>
    <n v="13.674300000000001"/>
    <n v="-89.251199999999997"/>
    <n v="11851.8"/>
    <n v="0"/>
    <n v="0"/>
    <n v="101"/>
    <s v="_x0000_US"/>
  </r>
  <r>
    <x v="0"/>
    <n v="13.6873"/>
    <n v="-89.1828"/>
    <n v="11852.7"/>
    <n v="0"/>
    <n v="0"/>
    <n v="101"/>
    <s v="_x0000_US"/>
  </r>
  <r>
    <x v="0"/>
    <n v="13.690899999999999"/>
    <n v="-89.233099999999993"/>
    <n v="11854.1"/>
    <n v="0"/>
    <n v="0"/>
    <n v="101"/>
    <s v="_x0000_US"/>
  </r>
  <r>
    <x v="0"/>
    <n v="13.689"/>
    <n v="-89.184200000000004"/>
    <n v="11854.2"/>
    <n v="0"/>
    <n v="0"/>
    <n v="101"/>
    <s v="_x0000_US"/>
  </r>
  <r>
    <x v="0"/>
    <n v="13.690799999999999"/>
    <n v="-89.233599999999996"/>
    <n v="11854.9"/>
    <n v="0"/>
    <n v="0"/>
    <n v="101"/>
    <s v="_x0000_US"/>
  </r>
  <r>
    <x v="0"/>
    <n v="13.692399999999999"/>
    <n v="-89.224100000000007"/>
    <n v="11855.7"/>
    <n v="0"/>
    <n v="0"/>
    <n v="101"/>
    <s v="_x0000_US"/>
  </r>
  <r>
    <x v="0"/>
    <n v="13.688499999999999"/>
    <n v="-89.216099999999997"/>
    <n v="11856.5"/>
    <n v="0"/>
    <n v="0"/>
    <n v="101"/>
    <s v="_x0000_US"/>
  </r>
  <r>
    <x v="0"/>
    <n v="13.6868"/>
    <n v="-89.2029"/>
    <n v="11856.9"/>
    <n v="0"/>
    <n v="0"/>
    <n v="101"/>
    <s v="_x0000_US"/>
  </r>
  <r>
    <x v="0"/>
    <n v="13.6919"/>
    <n v="-89.186199999999999"/>
    <n v="11858.9"/>
    <n v="0"/>
    <n v="0"/>
    <n v="101"/>
    <s v="_x0000_US"/>
  </r>
  <r>
    <x v="0"/>
    <n v="13.694900000000001"/>
    <n v="-89.1721"/>
    <n v="11859.2"/>
    <n v="0"/>
    <n v="0"/>
    <n v="101"/>
    <s v="_x0000_US"/>
  </r>
  <r>
    <x v="0"/>
    <n v="13.6854"/>
    <n v="-89.201499999999996"/>
    <n v="11860.5"/>
    <n v="0"/>
    <n v="0"/>
    <n v="101"/>
    <s v="_x0000_US"/>
  </r>
  <r>
    <x v="0"/>
    <n v="13.6854"/>
    <n v="-89.2149"/>
    <n v="11860.7"/>
    <n v="0"/>
    <n v="0"/>
    <n v="101"/>
    <s v="_x0000_US"/>
  </r>
  <r>
    <x v="0"/>
    <n v="13.696099999999999"/>
    <n v="-89.167900000000003"/>
    <n v="11861.5"/>
    <n v="0"/>
    <n v="0"/>
    <n v="101"/>
    <s v="_x0000_US"/>
  </r>
  <r>
    <x v="0"/>
    <n v="13.685499999999999"/>
    <n v="-89.213899999999995"/>
    <n v="11861.8"/>
    <n v="0"/>
    <n v="0"/>
    <n v="101"/>
    <s v="_x0000_US"/>
  </r>
  <r>
    <x v="0"/>
    <n v="13.6866"/>
    <n v="-89.215800000000002"/>
    <n v="11861.9"/>
    <n v="0"/>
    <n v="0"/>
    <n v="101"/>
    <s v="_x0000_US"/>
  </r>
  <r>
    <x v="0"/>
    <n v="13.6897"/>
    <n v="-89.197500000000005"/>
    <n v="11862.3"/>
    <n v="0"/>
    <n v="0"/>
    <n v="101"/>
    <s v="_x0000_US"/>
  </r>
  <r>
    <x v="0"/>
    <n v="13.6945"/>
    <n v="-89.188699999999997"/>
    <n v="11863.5"/>
    <n v="0"/>
    <n v="0"/>
    <n v="101"/>
    <s v="_x0000_US"/>
  </r>
  <r>
    <x v="0"/>
    <n v="13.685700000000001"/>
    <n v="-89.194000000000003"/>
    <n v="11864"/>
    <n v="0"/>
    <n v="0"/>
    <n v="101"/>
    <s v="_x0000_US"/>
  </r>
  <r>
    <x v="0"/>
    <n v="13.6957"/>
    <n v="-89.172799999999995"/>
    <n v="11865.4"/>
    <n v="0"/>
    <n v="0"/>
    <n v="101"/>
    <s v="_x0000_US"/>
  </r>
  <r>
    <x v="0"/>
    <n v="13.690799999999999"/>
    <n v="-89.195300000000003"/>
    <n v="11865.8"/>
    <n v="0"/>
    <n v="0"/>
    <n v="101"/>
    <s v="_x0000_US"/>
  </r>
  <r>
    <x v="0"/>
    <n v="13.692"/>
    <n v="-89.194299999999998"/>
    <n v="11866.6"/>
    <n v="0"/>
    <n v="0"/>
    <n v="101"/>
    <s v="_x0000_US"/>
  </r>
  <r>
    <x v="0"/>
    <n v="13.6914"/>
    <n v="-89.1798"/>
    <n v="11867"/>
    <n v="0"/>
    <n v="0"/>
    <n v="101"/>
    <s v="_x0000_US"/>
  </r>
  <r>
    <x v="0"/>
    <n v="13.692299999999999"/>
    <n v="-89.174999999999997"/>
    <n v="11867.2"/>
    <n v="0"/>
    <n v="0"/>
    <n v="101"/>
    <s v="_x0000_US"/>
  </r>
  <r>
    <x v="0"/>
    <n v="13.6942"/>
    <n v="-89.173199999999994"/>
    <n v="11868.3"/>
    <n v="0"/>
    <n v="0"/>
    <n v="101"/>
    <s v="_x0000_US"/>
  </r>
  <r>
    <x v="0"/>
    <n v="13.69"/>
    <n v="-89.186300000000003"/>
    <n v="11868.4"/>
    <n v="0"/>
    <n v="0"/>
    <n v="101"/>
    <s v="_x0000_US"/>
  </r>
  <r>
    <x v="0"/>
    <n v="13.6907"/>
    <n v="-89.194900000000004"/>
    <n v="11868.5"/>
    <n v="0"/>
    <n v="0"/>
    <n v="101"/>
    <s v="_x0000_US"/>
  </r>
  <r>
    <x v="0"/>
    <n v="13.691599999999999"/>
    <n v="-89.178899999999999"/>
    <n v="11870.2"/>
    <n v="0"/>
    <n v="0"/>
    <n v="101"/>
    <s v="_x0000_US"/>
  </r>
  <r>
    <x v="0"/>
    <n v="13.6876"/>
    <n v="-89.194599999999994"/>
    <n v="11871"/>
    <n v="0"/>
    <n v="0"/>
    <n v="101"/>
    <s v="_x0000_US"/>
  </r>
  <r>
    <x v="0"/>
    <n v="13.686999999999999"/>
    <n v="-89.214200000000005"/>
    <n v="11871.3"/>
    <n v="0"/>
    <n v="0"/>
    <n v="101"/>
    <s v="_x0000_US"/>
  </r>
  <r>
    <x v="0"/>
    <n v="13.6877"/>
    <n v="-89.216700000000003"/>
    <n v="11872.5"/>
    <n v="0"/>
    <n v="0"/>
    <n v="101"/>
    <s v="_x0000_US"/>
  </r>
  <r>
    <x v="0"/>
    <n v="13.6807"/>
    <n v="-89.198400000000007"/>
    <n v="11872.7"/>
    <n v="0"/>
    <n v="0"/>
    <n v="101"/>
    <s v="_x0000_US"/>
  </r>
  <r>
    <x v="0"/>
    <n v="13.690200000000001"/>
    <n v="-89.236099999999993"/>
    <n v="11872.9"/>
    <n v="0"/>
    <n v="0"/>
    <n v="101"/>
    <s v="_x0000_US"/>
  </r>
  <r>
    <x v="0"/>
    <n v="13.6767"/>
    <n v="-89.248000000000005"/>
    <n v="11874.1"/>
    <n v="0"/>
    <n v="0"/>
    <n v="101"/>
    <s v="_x0000_US"/>
  </r>
  <r>
    <x v="0"/>
    <n v="13.6906"/>
    <n v="-89.232100000000003"/>
    <n v="11874.9"/>
    <n v="0"/>
    <n v="0"/>
    <n v="101"/>
    <s v="_x0000_US"/>
  </r>
  <r>
    <x v="0"/>
    <n v="13.686999999999999"/>
    <n v="-89.197999999999993"/>
    <n v="11875.8"/>
    <n v="0"/>
    <n v="0"/>
    <n v="101"/>
    <s v="_x0000_US"/>
  </r>
  <r>
    <x v="0"/>
    <n v="13.6889"/>
    <n v="-89.211600000000004"/>
    <n v="11876.1"/>
    <n v="0"/>
    <n v="0"/>
    <n v="101"/>
    <s v="_x0000_US"/>
  </r>
  <r>
    <x v="0"/>
    <n v="13.687799999999999"/>
    <n v="-89.195400000000006"/>
    <n v="11877.4"/>
    <n v="0"/>
    <n v="0"/>
    <n v="101"/>
    <s v="_x0000_US"/>
  </r>
  <r>
    <x v="0"/>
    <n v="13.686199999999999"/>
    <n v="-89.215400000000002"/>
    <n v="11877.6"/>
    <n v="0"/>
    <n v="0"/>
    <n v="101"/>
    <s v="_x0000_US"/>
  </r>
  <r>
    <x v="0"/>
    <n v="13.690200000000001"/>
    <n v="-89.235799999999998"/>
    <n v="11877.8"/>
    <n v="0"/>
    <n v="0"/>
    <n v="101"/>
    <s v="_x0000_US"/>
  </r>
  <r>
    <x v="0"/>
    <n v="13.690799999999999"/>
    <n v="-89.234700000000004"/>
    <n v="11878.8"/>
    <n v="0"/>
    <n v="0"/>
    <n v="101"/>
    <s v="_x0000_US"/>
  </r>
  <r>
    <x v="0"/>
    <n v="13.692500000000001"/>
    <n v="-89.224400000000003"/>
    <n v="11880.7"/>
    <n v="0"/>
    <n v="0"/>
    <n v="101"/>
    <s v="_x0000_US"/>
  </r>
  <r>
    <x v="0"/>
    <n v="13.691599999999999"/>
    <n v="-89.178899999999999"/>
    <n v="11881.1"/>
    <n v="0"/>
    <n v="0"/>
    <n v="101"/>
    <s v="_x0000_US"/>
  </r>
  <r>
    <x v="0"/>
    <n v="13.6911"/>
    <n v="-89.233099999999993"/>
    <n v="11881.1"/>
    <n v="0"/>
    <n v="0"/>
    <n v="101"/>
    <s v="_x0000_US"/>
  </r>
  <r>
    <x v="0"/>
    <n v="13.686999999999999"/>
    <n v="-89.212400000000002"/>
    <n v="11881.9"/>
    <n v="0"/>
    <n v="0"/>
    <n v="101"/>
    <s v="_x0000_US"/>
  </r>
  <r>
    <x v="0"/>
    <n v="13.6905"/>
    <n v="-89.186400000000006"/>
    <n v="11883.2"/>
    <n v="0"/>
    <n v="0"/>
    <n v="101"/>
    <s v="_x0000_US"/>
  </r>
  <r>
    <x v="0"/>
    <n v="13.690899999999999"/>
    <n v="-89.179299999999998"/>
    <n v="11883.4"/>
    <n v="0"/>
    <n v="0"/>
    <n v="101"/>
    <s v="_x0000_US"/>
  </r>
  <r>
    <x v="0"/>
    <n v="13.6904"/>
    <n v="-89.186800000000005"/>
    <n v="11883.6"/>
    <n v="0"/>
    <n v="0"/>
    <n v="101"/>
    <s v="_x0000_US"/>
  </r>
  <r>
    <x v="0"/>
    <n v="13.694900000000001"/>
    <n v="-89.1751"/>
    <n v="11885.4"/>
    <n v="0"/>
    <n v="0"/>
    <n v="101"/>
    <s v="_x0000_US"/>
  </r>
  <r>
    <x v="0"/>
    <n v="13.6906"/>
    <n v="-89.235200000000006"/>
    <n v="11885.5"/>
    <n v="0"/>
    <n v="0"/>
    <n v="101"/>
    <s v="_x0000_US"/>
  </r>
  <r>
    <x v="0"/>
    <n v="13.685600000000001"/>
    <n v="-89.201400000000007"/>
    <n v="11887.2"/>
    <n v="0"/>
    <n v="0"/>
    <n v="101"/>
    <s v="_x0000_US"/>
  </r>
  <r>
    <x v="0"/>
    <n v="13.689299999999999"/>
    <n v="-89.202799999999996"/>
    <n v="11887.2"/>
    <n v="0"/>
    <n v="0"/>
    <n v="101"/>
    <s v="_x0000_US"/>
  </r>
  <r>
    <x v="0"/>
    <n v="13.691599999999999"/>
    <n v="-89.197299999999998"/>
    <n v="11887.6"/>
    <n v="0"/>
    <n v="0"/>
    <n v="101"/>
    <s v="_x0000_US"/>
  </r>
  <r>
    <x v="0"/>
    <n v="13.6911"/>
    <n v="-89.228999999999999"/>
    <n v="11888.5"/>
    <n v="0"/>
    <n v="0"/>
    <n v="101"/>
    <s v="_x0000_US"/>
  </r>
  <r>
    <x v="0"/>
    <n v="13.688499999999999"/>
    <n v="-89.216800000000006"/>
    <n v="11889.3"/>
    <n v="0"/>
    <n v="0"/>
    <n v="101"/>
    <s v="_x0000_US"/>
  </r>
  <r>
    <x v="0"/>
    <n v="13.687900000000001"/>
    <n v="-89.205500000000001"/>
    <n v="11889.7"/>
    <n v="0"/>
    <n v="0"/>
    <n v="101"/>
    <s v="_x0000_US"/>
  </r>
  <r>
    <x v="0"/>
    <n v="13.6858"/>
    <n v="-89.202399999999997"/>
    <n v="11890.1"/>
    <n v="0"/>
    <n v="0"/>
    <n v="101"/>
    <s v="_x0000_US"/>
  </r>
  <r>
    <x v="0"/>
    <n v="13.6898"/>
    <n v="-89.194000000000003"/>
    <n v="11890.3"/>
    <n v="0"/>
    <n v="0"/>
    <n v="101"/>
    <s v="_x0000_US"/>
  </r>
  <r>
    <x v="0"/>
    <n v="13.6777"/>
    <n v="-89.246700000000004"/>
    <n v="11892.7"/>
    <n v="0"/>
    <n v="0"/>
    <n v="101"/>
    <s v="_x0000_US"/>
  </r>
  <r>
    <x v="0"/>
    <n v="13.6907"/>
    <n v="-89.234300000000005"/>
    <n v="11893.2"/>
    <n v="0"/>
    <n v="0"/>
    <n v="101"/>
    <s v="_x0000_US"/>
  </r>
  <r>
    <x v="0"/>
    <n v="13.689500000000001"/>
    <n v="-89.183499999999995"/>
    <n v="11893.3"/>
    <n v="0"/>
    <n v="0"/>
    <n v="101"/>
    <s v="_x0000_US"/>
  </r>
  <r>
    <x v="0"/>
    <n v="13.6858"/>
    <n v="-89.211200000000005"/>
    <n v="11894.4"/>
    <n v="0"/>
    <n v="0"/>
    <n v="101"/>
    <s v="_x0000_US"/>
  </r>
  <r>
    <x v="0"/>
    <n v="13.690799999999999"/>
    <n v="-89.195400000000006"/>
    <n v="11894.6"/>
    <n v="0"/>
    <n v="0"/>
    <n v="101"/>
    <s v="_x0000_US"/>
  </r>
  <r>
    <x v="0"/>
    <n v="13.692"/>
    <n v="-89.225300000000004"/>
    <n v="11895.5"/>
    <n v="0"/>
    <n v="0"/>
    <n v="101"/>
    <s v="_x0000_US"/>
  </r>
  <r>
    <x v="0"/>
    <n v="13.695399999999999"/>
    <n v="-89.173400000000001"/>
    <n v="11896"/>
    <n v="0"/>
    <n v="0"/>
    <n v="101"/>
    <s v="_x0000_US"/>
  </r>
  <r>
    <x v="0"/>
    <n v="13.6875"/>
    <n v="-89.216499999999996"/>
    <n v="11896.7"/>
    <n v="0"/>
    <n v="0"/>
    <n v="101"/>
    <s v="_x0000_US"/>
  </r>
  <r>
    <x v="0"/>
    <n v="13.6911"/>
    <n v="-89.2286"/>
    <n v="11899"/>
    <n v="0"/>
    <n v="0"/>
    <n v="101"/>
    <s v="_x0000_US"/>
  </r>
  <r>
    <x v="0"/>
    <n v="13.6891"/>
    <n v="-89.236099999999993"/>
    <n v="11899.2"/>
    <n v="0"/>
    <n v="0"/>
    <n v="101"/>
    <s v="_x0000_US"/>
  </r>
  <r>
    <x v="0"/>
    <n v="13.6906"/>
    <n v="-89.235699999999994"/>
    <n v="11899.7"/>
    <n v="0"/>
    <n v="0"/>
    <n v="101"/>
    <s v="_x0000_US"/>
  </r>
  <r>
    <x v="0"/>
    <n v="13.6958"/>
    <n v="-89.172700000000006"/>
    <n v="11900.2"/>
    <n v="0"/>
    <n v="0"/>
    <n v="101"/>
    <s v="_x0000_US"/>
  </r>
  <r>
    <x v="0"/>
    <n v="13.6913"/>
    <n v="-89.233400000000003"/>
    <n v="11900.9"/>
    <n v="0"/>
    <n v="0"/>
    <n v="101"/>
    <s v="_x0000_US"/>
  </r>
  <r>
    <x v="0"/>
    <n v="13.6911"/>
    <n v="-89.234899999999996"/>
    <n v="11901.8"/>
    <n v="0"/>
    <n v="0"/>
    <n v="101"/>
    <s v="_x0000_US"/>
  </r>
  <r>
    <x v="0"/>
    <n v="13.6927"/>
    <n v="-89.2256"/>
    <n v="11903.2"/>
    <n v="0"/>
    <n v="0"/>
    <n v="101"/>
    <s v="_x0000_US"/>
  </r>
  <r>
    <x v="0"/>
    <n v="13.690799999999999"/>
    <n v="-89.194800000000001"/>
    <n v="11904"/>
    <n v="0"/>
    <n v="0"/>
    <n v="101"/>
    <s v="_x0000_US"/>
  </r>
  <r>
    <x v="0"/>
    <n v="13.6912"/>
    <n v="-89.188800000000001"/>
    <n v="11904.4"/>
    <n v="0"/>
    <n v="0"/>
    <n v="101"/>
    <s v="_x0000_US"/>
  </r>
  <r>
    <x v="0"/>
    <n v="13.690300000000001"/>
    <n v="-89.217200000000005"/>
    <n v="11905.2"/>
    <n v="0"/>
    <n v="0"/>
    <n v="101"/>
    <s v="_x0000_US"/>
  </r>
  <r>
    <x v="0"/>
    <n v="13.6845"/>
    <n v="-89.194100000000006"/>
    <n v="11906.9"/>
    <n v="0"/>
    <n v="0"/>
    <n v="101"/>
    <s v="_x0000_US"/>
  </r>
  <r>
    <x v="0"/>
    <n v="13.687200000000001"/>
    <n v="-89.195700000000002"/>
    <n v="11907"/>
    <n v="0"/>
    <n v="0"/>
    <n v="101"/>
    <s v="_x0000_US"/>
  </r>
  <r>
    <x v="0"/>
    <n v="13.690899999999999"/>
    <n v="-89.229399999999998"/>
    <n v="11907.3"/>
    <n v="0"/>
    <n v="0"/>
    <n v="101"/>
    <s v="_x0000_US"/>
  </r>
  <r>
    <x v="0"/>
    <n v="13.6881"/>
    <n v="-89.182100000000005"/>
    <n v="11907.4"/>
    <n v="0"/>
    <n v="0"/>
    <n v="101"/>
    <s v="_x0000_US"/>
  </r>
  <r>
    <x v="0"/>
    <n v="13.687200000000001"/>
    <n v="-89.1965"/>
    <n v="11909.4"/>
    <n v="0"/>
    <n v="0"/>
    <n v="101"/>
    <s v="_x0000_US"/>
  </r>
  <r>
    <x v="0"/>
    <n v="13.675000000000001"/>
    <n v="-89.2517"/>
    <n v="11910.2"/>
    <n v="0"/>
    <n v="0"/>
    <n v="101"/>
    <s v="_x0000_US"/>
  </r>
  <r>
    <x v="0"/>
    <n v="13.689299999999999"/>
    <n v="-89.181200000000004"/>
    <n v="11910.8"/>
    <n v="0"/>
    <n v="0"/>
    <n v="101"/>
    <s v="_x0000_US"/>
  </r>
  <r>
    <x v="0"/>
    <n v="13.6882"/>
    <n v="-89.190100000000001"/>
    <n v="11911.8"/>
    <n v="0"/>
    <n v="0"/>
    <n v="101"/>
    <s v="_x0000_US"/>
  </r>
  <r>
    <x v="0"/>
    <n v="13.6906"/>
    <n v="-89.187200000000004"/>
    <n v="11911.9"/>
    <n v="0"/>
    <n v="0"/>
    <n v="101"/>
    <s v="_x0000_US"/>
  </r>
  <r>
    <x v="0"/>
    <n v="13.688800000000001"/>
    <n v="-89.204400000000007"/>
    <n v="11913.2"/>
    <n v="0"/>
    <n v="0"/>
    <n v="101"/>
    <s v="_x0000_US"/>
  </r>
  <r>
    <x v="0"/>
    <n v="13.6922"/>
    <n v="-89.179100000000005"/>
    <n v="11913.6"/>
    <n v="0"/>
    <n v="0"/>
    <n v="101"/>
    <s v="_x0000_US"/>
  </r>
  <r>
    <x v="0"/>
    <n v="13.692299999999999"/>
    <n v="-89.1935"/>
    <n v="11913.9"/>
    <n v="0"/>
    <n v="0"/>
    <n v="101"/>
    <s v="_x0000_US"/>
  </r>
  <r>
    <x v="0"/>
    <n v="13.689399999999999"/>
    <n v="-89.184799999999996"/>
    <n v="11914.8"/>
    <n v="0"/>
    <n v="0"/>
    <n v="101"/>
    <s v="_x0000_US"/>
  </r>
  <r>
    <x v="0"/>
    <n v="13.6852"/>
    <n v="-89.211399999999998"/>
    <n v="11915.6"/>
    <n v="0"/>
    <n v="0"/>
    <n v="101"/>
    <s v="_x0000_US"/>
  </r>
  <r>
    <x v="0"/>
    <n v="13.6896"/>
    <n v="-89.228899999999996"/>
    <n v="11916.3"/>
    <n v="0"/>
    <n v="0"/>
    <n v="101"/>
    <s v="_x0000_US"/>
  </r>
  <r>
    <x v="0"/>
    <n v="13.6914"/>
    <n v="-89.189300000000003"/>
    <n v="11917"/>
    <n v="0"/>
    <n v="0"/>
    <n v="101"/>
    <s v="_x0000_US"/>
  </r>
  <r>
    <x v="0"/>
    <n v="13.6898"/>
    <n v="-89.193799999999996"/>
    <n v="11918.4"/>
    <n v="0"/>
    <n v="0"/>
    <n v="101"/>
    <s v="_x0000_US"/>
  </r>
  <r>
    <x v="0"/>
    <n v="13.6904"/>
    <n v="-89.235500000000002"/>
    <n v="11918.5"/>
    <n v="0"/>
    <n v="0"/>
    <n v="101"/>
    <s v="_x0000_US"/>
  </r>
  <r>
    <x v="0"/>
    <n v="13.6769"/>
    <n v="-89.199299999999994"/>
    <n v="11918.8"/>
    <n v="0"/>
    <n v="0"/>
    <n v="101"/>
    <s v="_x0000_US"/>
  </r>
  <r>
    <x v="0"/>
    <n v="13.689"/>
    <n v="-89.206100000000006"/>
    <n v="11919"/>
    <n v="0"/>
    <n v="0"/>
    <n v="101"/>
    <s v="_x0000_US"/>
  </r>
  <r>
    <x v="0"/>
    <n v="13.689299999999999"/>
    <n v="-89.197999999999993"/>
    <n v="11919.1"/>
    <n v="0"/>
    <n v="0"/>
    <n v="101"/>
    <s v="_x0000_US"/>
  </r>
  <r>
    <x v="0"/>
    <n v="13.674799999999999"/>
    <n v="-89.1999"/>
    <n v="11920.1"/>
    <n v="0"/>
    <n v="0"/>
    <n v="101"/>
    <s v="_x0000_US"/>
  </r>
  <r>
    <x v="0"/>
    <n v="13.6953"/>
    <n v="-89.174599999999998"/>
    <n v="11921"/>
    <n v="0"/>
    <n v="0"/>
    <n v="101"/>
    <s v="_x0000_US"/>
  </r>
  <r>
    <x v="0"/>
    <n v="13.6746"/>
    <n v="-89.251599999999996"/>
    <n v="11921.3"/>
    <n v="0"/>
    <n v="0"/>
    <n v="101"/>
    <s v="_x0000_US"/>
  </r>
  <r>
    <x v="0"/>
    <n v="13.6882"/>
    <n v="-89.229500000000002"/>
    <n v="11921.8"/>
    <n v="0"/>
    <n v="0"/>
    <n v="101"/>
    <s v="_x0000_US"/>
  </r>
  <r>
    <x v="0"/>
    <n v="13.6914"/>
    <n v="-89.185699999999997"/>
    <n v="11922.1"/>
    <n v="0"/>
    <n v="0"/>
    <n v="101"/>
    <s v="_x0000_US"/>
  </r>
  <r>
    <x v="0"/>
    <n v="13.677300000000001"/>
    <n v="-89.248000000000005"/>
    <n v="11922.2"/>
    <n v="0"/>
    <n v="0"/>
    <n v="101"/>
    <s v="_x0000_US"/>
  </r>
  <r>
    <x v="0"/>
    <n v="13.685"/>
    <n v="-89.210999999999999"/>
    <n v="11922.6"/>
    <n v="0"/>
    <n v="0"/>
    <n v="101"/>
    <s v="_x0000_US"/>
  </r>
  <r>
    <x v="0"/>
    <n v="13.6891"/>
    <n v="-89.205100000000002"/>
    <n v="11923.1"/>
    <n v="0"/>
    <n v="0"/>
    <n v="101"/>
    <s v="_x0000_US"/>
  </r>
  <r>
    <x v="0"/>
    <n v="13.689299999999999"/>
    <n v="-89.197800000000001"/>
    <n v="11923.4"/>
    <n v="0"/>
    <n v="0"/>
    <n v="101"/>
    <s v="_x0000_US"/>
  </r>
  <r>
    <x v="0"/>
    <n v="13.692299999999999"/>
    <n v="-89.222999999999999"/>
    <n v="11923.9"/>
    <n v="0"/>
    <n v="0"/>
    <n v="101"/>
    <s v="_x0000_US"/>
  </r>
  <r>
    <x v="0"/>
    <n v="13.6957"/>
    <n v="-89.172499999999999"/>
    <n v="11924.6"/>
    <n v="0"/>
    <n v="0"/>
    <n v="101"/>
    <s v="_x0000_US"/>
  </r>
  <r>
    <x v="0"/>
    <n v="13.6882"/>
    <n v="-89.193700000000007"/>
    <n v="11925"/>
    <n v="0"/>
    <n v="0"/>
    <n v="101"/>
    <s v="_x0000_US"/>
  </r>
  <r>
    <x v="0"/>
    <n v="13.6883"/>
    <n v="-89.215299999999999"/>
    <n v="11925"/>
    <n v="0"/>
    <n v="0"/>
    <n v="101"/>
    <s v="_x0000_US"/>
  </r>
  <r>
    <x v="0"/>
    <n v="13.6968"/>
    <n v="-89.171800000000005"/>
    <n v="11925.1"/>
    <n v="0"/>
    <n v="0"/>
    <n v="101"/>
    <s v="_x0000_US"/>
  </r>
  <r>
    <x v="0"/>
    <n v="13.6914"/>
    <n v="-89.234700000000004"/>
    <n v="11927.7"/>
    <n v="0"/>
    <n v="0"/>
    <n v="101"/>
    <s v="_x0000_US"/>
  </r>
  <r>
    <x v="0"/>
    <n v="13.691000000000001"/>
    <n v="-89.233099999999993"/>
    <n v="11928.7"/>
    <n v="0"/>
    <n v="0"/>
    <n v="101"/>
    <s v="_x0000_US"/>
  </r>
  <r>
    <x v="0"/>
    <n v="13.696099999999999"/>
    <n v="-89.172300000000007"/>
    <n v="11929.7"/>
    <n v="0"/>
    <n v="0"/>
    <n v="101"/>
    <s v="_x0000_US"/>
  </r>
  <r>
    <x v="0"/>
    <n v="13.6914"/>
    <n v="-89.232500000000002"/>
    <n v="11930.3"/>
    <n v="0"/>
    <n v="0"/>
    <n v="101"/>
    <s v="_x0000_US"/>
  </r>
  <r>
    <x v="0"/>
    <n v="13.6907"/>
    <n v="-89.195300000000003"/>
    <n v="11930.9"/>
    <n v="0"/>
    <n v="0"/>
    <n v="101"/>
    <s v="_x0000_US"/>
  </r>
  <r>
    <x v="0"/>
    <n v="13.6876"/>
    <n v="-89.204499999999996"/>
    <n v="11932.1"/>
    <n v="0"/>
    <n v="0"/>
    <n v="101"/>
    <s v="_x0000_US"/>
  </r>
  <r>
    <x v="0"/>
    <n v="13.6853"/>
    <n v="-89.192999999999998"/>
    <n v="11933.8"/>
    <n v="0"/>
    <n v="0"/>
    <n v="101"/>
    <s v="_x0000_US"/>
  </r>
  <r>
    <x v="0"/>
    <n v="13.692600000000001"/>
    <n v="-89.225099999999998"/>
    <n v="11933.8"/>
    <n v="0"/>
    <n v="0"/>
    <n v="101"/>
    <s v="_x0000_US"/>
  </r>
  <r>
    <x v="0"/>
    <n v="13.6851"/>
    <n v="-89.216999999999999"/>
    <n v="11934"/>
    <n v="0"/>
    <n v="0"/>
    <n v="101"/>
    <s v="_x0000_US"/>
  </r>
  <r>
    <x v="0"/>
    <n v="13.6922"/>
    <n v="-89.178600000000003"/>
    <n v="11934.1"/>
    <n v="0"/>
    <n v="0"/>
    <n v="101"/>
    <s v="_x0000_US"/>
  </r>
  <r>
    <x v="0"/>
    <n v="13.6753"/>
    <n v="-89.249799999999993"/>
    <n v="11934.2"/>
    <n v="0"/>
    <n v="0"/>
    <n v="101"/>
    <s v="_x0000_US"/>
  </r>
  <r>
    <x v="0"/>
    <n v="13.686999999999999"/>
    <n v="-89.194800000000001"/>
    <n v="11934.5"/>
    <n v="0"/>
    <n v="0"/>
    <n v="101"/>
    <s v="_x0000_US"/>
  </r>
  <r>
    <x v="0"/>
    <n v="13.692299999999999"/>
    <n v="-89.175600000000003"/>
    <n v="11934.8"/>
    <n v="0"/>
    <n v="0"/>
    <n v="101"/>
    <s v="_x0000_US"/>
  </r>
  <r>
    <x v="0"/>
    <n v="13.688499999999999"/>
    <n v="-89.2166"/>
    <n v="11935.9"/>
    <n v="0"/>
    <n v="0"/>
    <n v="101"/>
    <s v="_x0000_US"/>
  </r>
  <r>
    <x v="0"/>
    <n v="13.6866"/>
    <n v="-89.216099999999997"/>
    <n v="11936.4"/>
    <n v="0"/>
    <n v="0"/>
    <n v="101"/>
    <s v="_x0000_US"/>
  </r>
  <r>
    <x v="0"/>
    <n v="13.690799999999999"/>
    <n v="-89.195300000000003"/>
    <n v="11936.5"/>
    <n v="0"/>
    <n v="0"/>
    <n v="101"/>
    <s v="_x0000_US"/>
  </r>
  <r>
    <x v="0"/>
    <n v="13.696999999999999"/>
    <n v="-89.171800000000005"/>
    <n v="11936.6"/>
    <n v="0"/>
    <n v="0"/>
    <n v="101"/>
    <s v="_x0000_US"/>
  </r>
  <r>
    <x v="0"/>
    <n v="13.691800000000001"/>
    <n v="-89.196700000000007"/>
    <n v="11937.3"/>
    <n v="0"/>
    <n v="0"/>
    <n v="101"/>
    <s v="_x0000_US"/>
  </r>
  <r>
    <x v="0"/>
    <n v="13.679399999999999"/>
    <n v="-89.197199999999995"/>
    <n v="11937.9"/>
    <n v="0"/>
    <n v="0"/>
    <n v="101"/>
    <s v="_x0000_US"/>
  </r>
  <r>
    <x v="0"/>
    <n v="13.693"/>
    <n v="-89.1845"/>
    <n v="11938.2"/>
    <n v="0"/>
    <n v="0"/>
    <n v="101"/>
    <s v="_x0000_US"/>
  </r>
  <r>
    <x v="0"/>
    <n v="13.6738"/>
    <n v="-89.203100000000006"/>
    <n v="11939.3"/>
    <n v="0"/>
    <n v="0"/>
    <n v="101"/>
    <s v="_x0000_US"/>
  </r>
  <r>
    <x v="0"/>
    <n v="13.674300000000001"/>
    <n v="-89.199299999999994"/>
    <n v="11941.3"/>
    <n v="0"/>
    <n v="0"/>
    <n v="101"/>
    <s v="_x0000_US"/>
  </r>
  <r>
    <x v="0"/>
    <n v="13.6904"/>
    <n v="-89.233699999999999"/>
    <n v="11943.8"/>
    <n v="0"/>
    <n v="0"/>
    <n v="101"/>
    <s v="_x0000_US"/>
  </r>
  <r>
    <x v="0"/>
    <n v="13.6858"/>
    <n v="-89.215400000000002"/>
    <n v="11945.1"/>
    <n v="0"/>
    <n v="0"/>
    <n v="101"/>
    <s v="_x0000_US"/>
  </r>
  <r>
    <x v="0"/>
    <n v="13.6851"/>
    <n v="-89.2119"/>
    <n v="11945.2"/>
    <n v="0"/>
    <n v="0"/>
    <n v="101"/>
    <s v="_x0000_US"/>
  </r>
  <r>
    <x v="0"/>
    <n v="13.6884"/>
    <n v="-89.18"/>
    <n v="11945.3"/>
    <n v="0"/>
    <n v="0"/>
    <n v="101"/>
    <s v="_x0000_US"/>
  </r>
  <r>
    <x v="0"/>
    <n v="13.690200000000001"/>
    <n v="-89.193799999999996"/>
    <n v="11945.4"/>
    <n v="0"/>
    <n v="0"/>
    <n v="101"/>
    <s v="_x0000_US"/>
  </r>
  <r>
    <x v="0"/>
    <n v="13.691700000000001"/>
    <n v="-89.226399999999998"/>
    <n v="11945.9"/>
    <n v="0"/>
    <n v="0"/>
    <n v="101"/>
    <s v="_x0000_US"/>
  </r>
  <r>
    <x v="0"/>
    <n v="13.6952"/>
    <n v="-89.174300000000002"/>
    <n v="11947.4"/>
    <n v="0"/>
    <n v="0"/>
    <n v="101"/>
    <s v="_x0000_US"/>
  </r>
  <r>
    <x v="0"/>
    <n v="13.690899999999999"/>
    <n v="-89.186300000000003"/>
    <n v="11949.9"/>
    <n v="0"/>
    <n v="0"/>
    <n v="101"/>
    <s v="_x0000_US"/>
  </r>
  <r>
    <x v="0"/>
    <n v="13.685"/>
    <n v="-89.216200000000001"/>
    <n v="11950"/>
    <n v="0"/>
    <n v="0"/>
    <n v="101"/>
    <s v="_x0000_US"/>
  </r>
  <r>
    <x v="0"/>
    <n v="13.685600000000001"/>
    <n v="-89.213800000000006"/>
    <n v="11953.4"/>
    <n v="0"/>
    <n v="0"/>
    <n v="101"/>
    <s v="_x0000_US"/>
  </r>
  <r>
    <x v="0"/>
    <n v="13.685"/>
    <n v="-89.201599999999999"/>
    <n v="11953.5"/>
    <n v="0"/>
    <n v="0"/>
    <n v="101"/>
    <s v="_x0000_US"/>
  </r>
  <r>
    <x v="0"/>
    <n v="13.692399999999999"/>
    <n v="-89.226200000000006"/>
    <n v="11954.6"/>
    <n v="0"/>
    <n v="0"/>
    <n v="101"/>
    <s v="_x0000_US"/>
  </r>
  <r>
    <x v="0"/>
    <n v="13.687900000000001"/>
    <n v="-89.197199999999995"/>
    <n v="11955.4"/>
    <n v="0"/>
    <n v="0"/>
    <n v="101"/>
    <s v="_x0000_US"/>
  </r>
  <r>
    <x v="0"/>
    <n v="13.692500000000001"/>
    <n v="-89.176000000000002"/>
    <n v="11955.5"/>
    <n v="0"/>
    <n v="0"/>
    <n v="101"/>
    <s v="_x0000_US"/>
  </r>
  <r>
    <x v="0"/>
    <n v="13.6912"/>
    <n v="-89.229799999999997"/>
    <n v="11955.8"/>
    <n v="0"/>
    <n v="0"/>
    <n v="101"/>
    <s v="_x0000_US"/>
  </r>
  <r>
    <x v="0"/>
    <n v="13.6905"/>
    <n v="-89.235100000000003"/>
    <n v="11957.1"/>
    <n v="0"/>
    <n v="0"/>
    <n v="101"/>
    <s v="_x0000_US"/>
  </r>
  <r>
    <x v="0"/>
    <n v="13.6911"/>
    <n v="-89.220100000000002"/>
    <n v="11957.5"/>
    <n v="0"/>
    <n v="0"/>
    <n v="101"/>
    <s v="_x0000_US"/>
  </r>
  <r>
    <x v="0"/>
    <n v="13.6875"/>
    <n v="-89.194699999999997"/>
    <n v="11957.6"/>
    <n v="0"/>
    <n v="0"/>
    <n v="101"/>
    <s v="_x0000_US"/>
  </r>
  <r>
    <x v="0"/>
    <n v="13.691000000000001"/>
    <n v="-89.229799999999997"/>
    <n v="11957.8"/>
    <n v="0"/>
    <n v="0"/>
    <n v="101"/>
    <s v="_x0000_US"/>
  </r>
  <r>
    <x v="0"/>
    <n v="13.688800000000001"/>
    <n v="-89.180800000000005"/>
    <n v="11958.9"/>
    <n v="0"/>
    <n v="0"/>
    <n v="101"/>
    <s v="_x0000_US"/>
  </r>
  <r>
    <x v="0"/>
    <n v="13.6899"/>
    <n v="-89.197400000000002"/>
    <n v="11959.2"/>
    <n v="0"/>
    <n v="0"/>
    <n v="101"/>
    <s v="_x0000_US"/>
  </r>
  <r>
    <x v="0"/>
    <n v="13.686"/>
    <n v="-89.193799999999996"/>
    <n v="11961.8"/>
    <n v="0"/>
    <n v="0"/>
    <n v="101"/>
    <s v="_x0000_US"/>
  </r>
  <r>
    <x v="0"/>
    <n v="13.672499999999999"/>
    <n v="-89.204599999999999"/>
    <n v="11963.4"/>
    <n v="0"/>
    <n v="0"/>
    <n v="101"/>
    <s v="_x0000_US"/>
  </r>
  <r>
    <x v="0"/>
    <n v="13.6732"/>
    <n v="-89.204599999999999"/>
    <n v="11963.5"/>
    <n v="0"/>
    <n v="0"/>
    <n v="101"/>
    <s v="_x0000_US"/>
  </r>
  <r>
    <x v="0"/>
    <n v="13.6875"/>
    <n v="-89.216700000000003"/>
    <n v="11963.9"/>
    <n v="0"/>
    <n v="0"/>
    <n v="101"/>
    <s v="_x0000_US"/>
  </r>
  <r>
    <x v="0"/>
    <n v="13.691800000000001"/>
    <n v="-89.226500000000001"/>
    <n v="11964"/>
    <n v="0"/>
    <n v="0"/>
    <n v="101"/>
    <s v="_x0000_US"/>
  </r>
  <r>
    <x v="0"/>
    <n v="13.6776"/>
    <n v="-89.246899999999997"/>
    <n v="11964.2"/>
    <n v="0"/>
    <n v="0"/>
    <n v="101"/>
    <s v="_x0000_US"/>
  </r>
  <r>
    <x v="0"/>
    <n v="13.6853"/>
    <n v="-89.217100000000002"/>
    <n v="11964.2"/>
    <n v="0"/>
    <n v="0"/>
    <n v="101"/>
    <s v="_x0000_US"/>
  </r>
  <r>
    <x v="0"/>
    <n v="13.6892"/>
    <n v="-89.197599999999994"/>
    <n v="11964.9"/>
    <n v="0"/>
    <n v="0"/>
    <n v="101"/>
    <s v="_x0000_US"/>
  </r>
  <r>
    <x v="0"/>
    <n v="13.6868"/>
    <n v="-89.203000000000003"/>
    <n v="11966.1"/>
    <n v="0"/>
    <n v="0"/>
    <n v="101"/>
    <s v="_x0000_US"/>
  </r>
  <r>
    <x v="0"/>
    <n v="13.6882"/>
    <n v="-89.181600000000003"/>
    <n v="11967.5"/>
    <n v="0"/>
    <n v="0"/>
    <n v="101"/>
    <s v="_x0000_US"/>
  </r>
  <r>
    <x v="0"/>
    <n v="13.6883"/>
    <n v="-89.198899999999995"/>
    <n v="11967.6"/>
    <n v="0"/>
    <n v="0"/>
    <n v="101"/>
    <s v="_x0000_US"/>
  </r>
  <r>
    <x v="0"/>
    <n v="13.6889"/>
    <n v="-89.190200000000004"/>
    <n v="11968.3"/>
    <n v="0"/>
    <n v="0"/>
    <n v="101"/>
    <s v="_x0000_US"/>
  </r>
  <r>
    <x v="0"/>
    <n v="13.693199999999999"/>
    <n v="-89.178200000000004"/>
    <n v="11968.7"/>
    <n v="0"/>
    <n v="0"/>
    <n v="101"/>
    <s v="_x0000_US"/>
  </r>
  <r>
    <x v="0"/>
    <n v="13.69"/>
    <n v="-89.197900000000004"/>
    <n v="11968.8"/>
    <n v="0"/>
    <n v="0"/>
    <n v="101"/>
    <s v="_x0000_US"/>
  </r>
  <r>
    <x v="0"/>
    <n v="13.692299999999999"/>
    <n v="-89.174899999999994"/>
    <n v="11970.3"/>
    <n v="0"/>
    <n v="0"/>
    <n v="101"/>
    <s v="_x0000_US"/>
  </r>
  <r>
    <x v="0"/>
    <n v="13.6967"/>
    <n v="-89.171400000000006"/>
    <n v="11970.5"/>
    <n v="0"/>
    <n v="0"/>
    <n v="101"/>
    <s v="_x0000_US"/>
  </r>
  <r>
    <x v="0"/>
    <n v="13.6891"/>
    <n v="-89.1905"/>
    <n v="11971.5"/>
    <n v="0"/>
    <n v="0"/>
    <n v="101"/>
    <s v="_x0000_US"/>
  </r>
  <r>
    <x v="0"/>
    <n v="13.693300000000001"/>
    <n v="-89.178299999999993"/>
    <n v="11971.9"/>
    <n v="0"/>
    <n v="0"/>
    <n v="101"/>
    <s v="_x0000_US"/>
  </r>
  <r>
    <x v="0"/>
    <n v="13.694599999999999"/>
    <n v="-89.183099999999996"/>
    <n v="11972.4"/>
    <n v="0"/>
    <n v="0"/>
    <n v="101"/>
    <s v="_x0000_US"/>
  </r>
  <r>
    <x v="0"/>
    <n v="13.6914"/>
    <n v="-89.189499999999995"/>
    <n v="11974.6"/>
    <n v="0"/>
    <n v="0"/>
    <n v="101"/>
    <s v="_x0000_US"/>
  </r>
  <r>
    <x v="0"/>
    <n v="13.6906"/>
    <n v="-89.194500000000005"/>
    <n v="11975"/>
    <n v="0"/>
    <n v="0"/>
    <n v="101"/>
    <s v="_x0000_US"/>
  </r>
  <r>
    <x v="0"/>
    <n v="13.6898"/>
    <n v="-89.186000000000007"/>
    <n v="11975.2"/>
    <n v="0"/>
    <n v="0"/>
    <n v="101"/>
    <s v="_x0000_US"/>
  </r>
  <r>
    <x v="0"/>
    <n v="13.6911"/>
    <n v="-89.198099999999997"/>
    <n v="11975.6"/>
    <n v="0"/>
    <n v="0"/>
    <n v="101"/>
    <s v="_x0000_US"/>
  </r>
  <r>
    <x v="0"/>
    <n v="13.6981"/>
    <n v="-89.169399999999996"/>
    <n v="11975.6"/>
    <n v="0"/>
    <n v="0"/>
    <n v="101"/>
    <s v="_x0000_US"/>
  </r>
  <r>
    <x v="0"/>
    <n v="13.696"/>
    <n v="-89.1661"/>
    <n v="11975.7"/>
    <n v="0"/>
    <n v="0"/>
    <n v="101"/>
    <s v="_x0000_US"/>
  </r>
  <r>
    <x v="0"/>
    <n v="13.6843"/>
    <n v="-89.217399999999998"/>
    <n v="11975.8"/>
    <n v="0"/>
    <n v="0"/>
    <n v="101"/>
    <s v="_x0000_US"/>
  </r>
  <r>
    <x v="0"/>
    <n v="13.6912"/>
    <n v="-89.2346"/>
    <n v="11976.1"/>
    <n v="0"/>
    <n v="0"/>
    <n v="101"/>
    <s v="_x0000_US"/>
  </r>
  <r>
    <x v="0"/>
    <n v="13.692399999999999"/>
    <n v="-89.176000000000002"/>
    <n v="11976.4"/>
    <n v="0"/>
    <n v="0"/>
    <n v="101"/>
    <s v="_x0000_US"/>
  </r>
  <r>
    <x v="0"/>
    <n v="13.690799999999999"/>
    <n v="-89.194599999999994"/>
    <n v="11977.5"/>
    <n v="0"/>
    <n v="0"/>
    <n v="101"/>
    <s v="_x0000_US"/>
  </r>
  <r>
    <x v="0"/>
    <n v="13.6899"/>
    <n v="-89.186099999999996"/>
    <n v="11977.8"/>
    <n v="0"/>
    <n v="0"/>
    <n v="101"/>
    <s v="_x0000_US"/>
  </r>
  <r>
    <x v="0"/>
    <n v="13.6782"/>
    <n v="-89.245500000000007"/>
    <n v="11978.1"/>
    <n v="0"/>
    <n v="0"/>
    <n v="101"/>
    <s v="_x0000_US"/>
  </r>
  <r>
    <x v="0"/>
    <n v="13.6927"/>
    <n v="-89.178600000000003"/>
    <n v="11978.6"/>
    <n v="0"/>
    <n v="0"/>
    <n v="101"/>
    <s v="_x0000_US"/>
  </r>
  <r>
    <x v="0"/>
    <n v="13.6922"/>
    <n v="-89.225800000000007"/>
    <n v="11978.7"/>
    <n v="0"/>
    <n v="0"/>
    <n v="101"/>
    <s v="_x0000_US"/>
  </r>
  <r>
    <x v="0"/>
    <n v="13.6874"/>
    <n v="-89.213999999999999"/>
    <n v="11979.3"/>
    <n v="0"/>
    <n v="0"/>
    <n v="101"/>
    <s v="_x0000_US"/>
  </r>
  <r>
    <x v="0"/>
    <n v="13.6915"/>
    <n v="-89.232699999999994"/>
    <n v="11980.3"/>
    <n v="0"/>
    <n v="0"/>
    <n v="101"/>
    <s v="_x0000_US"/>
  </r>
  <r>
    <x v="0"/>
    <n v="13.6929"/>
    <n v="-89.1738"/>
    <n v="11983.3"/>
    <n v="0"/>
    <n v="0"/>
    <n v="101"/>
    <s v="_x0000_US"/>
  </r>
  <r>
    <x v="0"/>
    <n v="13.693300000000001"/>
    <n v="-89.192599999999999"/>
    <n v="11985.1"/>
    <n v="0"/>
    <n v="0"/>
    <n v="101"/>
    <s v="_x0000_US"/>
  </r>
  <r>
    <x v="0"/>
    <n v="13.675000000000001"/>
    <n v="-89.251000000000005"/>
    <n v="11985.5"/>
    <n v="0"/>
    <n v="0"/>
    <n v="101"/>
    <s v="_x0000_US"/>
  </r>
  <r>
    <x v="0"/>
    <n v="13.6852"/>
    <n v="-89.216700000000003"/>
    <n v="11986"/>
    <n v="0"/>
    <n v="0"/>
    <n v="101"/>
    <s v="_x0000_US"/>
  </r>
  <r>
    <x v="0"/>
    <n v="13.6928"/>
    <n v="-89.189599999999999"/>
    <n v="11986.6"/>
    <n v="0"/>
    <n v="0"/>
    <n v="101"/>
    <s v="_x0000_US"/>
  </r>
  <r>
    <x v="0"/>
    <n v="13.687099999999999"/>
    <n v="-89.181600000000003"/>
    <n v="11987.2"/>
    <n v="0"/>
    <n v="0"/>
    <n v="101"/>
    <s v="_x0000_US"/>
  </r>
  <r>
    <x v="0"/>
    <n v="13.690200000000001"/>
    <n v="-89.190200000000004"/>
    <n v="11987.9"/>
    <n v="0"/>
    <n v="0"/>
    <n v="101"/>
    <s v="_x0000_US"/>
  </r>
  <r>
    <x v="0"/>
    <n v="13.6913"/>
    <n v="-89.179000000000002"/>
    <n v="11988.8"/>
    <n v="0"/>
    <n v="0"/>
    <n v="101"/>
    <s v="_x0000_US"/>
  </r>
  <r>
    <x v="0"/>
    <n v="13.696199999999999"/>
    <n v="-89.172399999999996"/>
    <n v="11990.1"/>
    <n v="0"/>
    <n v="0"/>
    <n v="101"/>
    <s v="_x0000_US"/>
  </r>
  <r>
    <x v="0"/>
    <n v="13.692500000000001"/>
    <n v="-89.181899999999999"/>
    <n v="11993.2"/>
    <n v="0"/>
    <n v="0"/>
    <n v="101"/>
    <s v="_x0000_US"/>
  </r>
  <r>
    <x v="0"/>
    <n v="13.6846"/>
    <n v="-89.194000000000003"/>
    <n v="11994.3"/>
    <n v="0"/>
    <n v="0"/>
    <n v="101"/>
    <s v="_x0000_US"/>
  </r>
  <r>
    <x v="0"/>
    <n v="13.6935"/>
    <n v="-89.188699999999997"/>
    <n v="11994.5"/>
    <n v="0"/>
    <n v="0"/>
    <n v="101"/>
    <s v="_x0000_US"/>
  </r>
  <r>
    <x v="0"/>
    <n v="13.6914"/>
    <n v="-89.178600000000003"/>
    <n v="11994.9"/>
    <n v="0"/>
    <n v="0"/>
    <n v="101"/>
    <s v="_x0000_US"/>
  </r>
  <r>
    <x v="0"/>
    <n v="13.6868"/>
    <n v="-89.215199999999996"/>
    <n v="11995.7"/>
    <n v="0"/>
    <n v="0"/>
    <n v="101"/>
    <s v="_x0000_US"/>
  </r>
  <r>
    <x v="0"/>
    <n v="13.694699999999999"/>
    <n v="-89.173000000000002"/>
    <n v="11995.9"/>
    <n v="0"/>
    <n v="0"/>
    <n v="101"/>
    <s v="_x0000_US"/>
  </r>
  <r>
    <x v="0"/>
    <n v="13.6922"/>
    <n v="-89.1785"/>
    <n v="11996.5"/>
    <n v="0"/>
    <n v="0"/>
    <n v="101"/>
    <s v="_x0000_US"/>
  </r>
  <r>
    <x v="0"/>
    <n v="13.6968"/>
    <n v="-89.171400000000006"/>
    <n v="11997.1"/>
    <n v="0"/>
    <n v="0"/>
    <n v="101"/>
    <s v="_x0000_US"/>
  </r>
  <r>
    <x v="0"/>
    <n v="13.6867"/>
    <n v="-89.212000000000003"/>
    <n v="11997.2"/>
    <n v="0"/>
    <n v="0"/>
    <n v="101"/>
    <s v="_x0000_US"/>
  </r>
  <r>
    <x v="0"/>
    <n v="13.689500000000001"/>
    <n v="-89.228999999999999"/>
    <n v="11997.4"/>
    <n v="0"/>
    <n v="0"/>
    <n v="101"/>
    <s v="_x0000_US"/>
  </r>
  <r>
    <x v="0"/>
    <n v="13.6867"/>
    <n v="-89.191599999999994"/>
    <n v="11999.4"/>
    <n v="0"/>
    <n v="0"/>
    <n v="101"/>
    <s v="_x0000_US"/>
  </r>
  <r>
    <x v="0"/>
    <n v="13.69"/>
    <n v="-89.228499999999997"/>
    <n v="11999.9"/>
    <n v="0"/>
    <n v="0"/>
    <n v="101"/>
    <s v="_x0000_US"/>
  </r>
  <r>
    <x v="0"/>
    <n v="13.6869"/>
    <n v="-89.183099999999996"/>
    <n v="12000"/>
    <n v="0"/>
    <n v="0"/>
    <n v="101"/>
    <s v="_x0000_US"/>
  </r>
  <r>
    <x v="0"/>
    <n v="13.6915"/>
    <n v="-89.185299999999998"/>
    <n v="12000.3"/>
    <n v="0"/>
    <n v="0"/>
    <n v="101"/>
    <s v="_x0000_US"/>
  </r>
  <r>
    <x v="0"/>
    <n v="13.6921"/>
    <n v="-89.184899999999999"/>
    <n v="12001"/>
    <n v="0"/>
    <n v="0"/>
    <n v="101"/>
    <s v="_x0000_US"/>
  </r>
  <r>
    <x v="0"/>
    <n v="13.6852"/>
    <n v="-89.216899999999995"/>
    <n v="12002.4"/>
    <n v="0"/>
    <n v="0"/>
    <n v="101"/>
    <s v="_x0000_US"/>
  </r>
  <r>
    <x v="0"/>
    <n v="13.6874"/>
    <n v="-89.196700000000007"/>
    <n v="12003.9"/>
    <n v="0"/>
    <n v="0"/>
    <n v="101"/>
    <s v="_x0000_US"/>
  </r>
  <r>
    <x v="0"/>
    <n v="13.6922"/>
    <n v="-89.179900000000004"/>
    <n v="12004.3"/>
    <n v="0"/>
    <n v="0"/>
    <n v="101"/>
    <s v="_x0000_US"/>
  </r>
  <r>
    <x v="0"/>
    <n v="13.6904"/>
    <n v="-89.235600000000005"/>
    <n v="12004.9"/>
    <n v="0"/>
    <n v="0"/>
    <n v="101"/>
    <s v="_x0000_US"/>
  </r>
  <r>
    <x v="0"/>
    <n v="13.6953"/>
    <n v="-89.173000000000002"/>
    <n v="12006"/>
    <n v="0"/>
    <n v="0"/>
    <n v="101"/>
    <s v="_x0000_US"/>
  </r>
  <r>
    <x v="0"/>
    <n v="13.6744"/>
    <n v="-89.251099999999994"/>
    <n v="12006"/>
    <n v="0"/>
    <n v="0"/>
    <n v="101"/>
    <s v="_x0000_US"/>
  </r>
  <r>
    <x v="0"/>
    <n v="13.686999999999999"/>
    <n v="-89.194699999999997"/>
    <n v="12006.4"/>
    <n v="0"/>
    <n v="0"/>
    <n v="101"/>
    <s v="_x0000_US"/>
  </r>
  <r>
    <x v="0"/>
    <n v="13.690899999999999"/>
    <n v="-89.195300000000003"/>
    <n v="12008.6"/>
    <n v="0"/>
    <n v="0"/>
    <n v="101"/>
    <s v="_x0000_US"/>
  </r>
  <r>
    <x v="0"/>
    <n v="13.685499999999999"/>
    <n v="-89.2012"/>
    <n v="12008.7"/>
    <n v="0"/>
    <n v="0"/>
    <n v="101"/>
    <s v="_x0000_US"/>
  </r>
  <r>
    <x v="0"/>
    <n v="13.6899"/>
    <n v="-89.184799999999996"/>
    <n v="12010.6"/>
    <n v="0"/>
    <n v="0"/>
    <n v="101"/>
    <s v="_x0000_US"/>
  </r>
  <r>
    <x v="0"/>
    <n v="13.6913"/>
    <n v="-89.189400000000006"/>
    <n v="12011.2"/>
    <n v="0"/>
    <n v="0"/>
    <n v="101"/>
    <s v="_x0000_US"/>
  </r>
  <r>
    <x v="0"/>
    <n v="13.6877"/>
    <n v="-89.1798"/>
    <n v="12011.9"/>
    <n v="0"/>
    <n v="0"/>
    <n v="101"/>
    <s v="_x0000_US"/>
  </r>
  <r>
    <x v="0"/>
    <n v="13.6876"/>
    <n v="-89.195300000000003"/>
    <n v="12012.4"/>
    <n v="0"/>
    <n v="0"/>
    <n v="101"/>
    <s v="_x0000_US"/>
  </r>
  <r>
    <x v="0"/>
    <n v="13.691000000000001"/>
    <n v="-89.235600000000005"/>
    <n v="12014"/>
    <n v="0"/>
    <n v="0"/>
    <n v="101"/>
    <s v="_x0000_US"/>
  </r>
  <r>
    <x v="0"/>
    <n v="13.6942"/>
    <n v="-89.174599999999998"/>
    <n v="12014.6"/>
    <n v="0"/>
    <n v="0"/>
    <n v="101"/>
    <s v="_x0000_US"/>
  </r>
  <r>
    <x v="0"/>
    <n v="13.6934"/>
    <n v="-89.188699999999997"/>
    <n v="12015.9"/>
    <n v="0"/>
    <n v="0"/>
    <n v="101"/>
    <s v="_x0000_US"/>
  </r>
  <r>
    <x v="0"/>
    <n v="13.689399999999999"/>
    <n v="-89.228899999999996"/>
    <n v="12016.5"/>
    <n v="0"/>
    <n v="0"/>
    <n v="101"/>
    <s v="_x0000_US"/>
  </r>
  <r>
    <x v="0"/>
    <n v="13.690300000000001"/>
    <n v="-89.181299999999993"/>
    <n v="12017"/>
    <n v="0"/>
    <n v="0"/>
    <n v="101"/>
    <s v="_x0000_US"/>
  </r>
  <r>
    <x v="0"/>
    <n v="13.6915"/>
    <n v="-89.1892"/>
    <n v="12017.3"/>
    <n v="0"/>
    <n v="0"/>
    <n v="101"/>
    <s v="_x0000_US"/>
  </r>
  <r>
    <x v="0"/>
    <n v="13.692600000000001"/>
    <n v="-89.223799999999997"/>
    <n v="12017.5"/>
    <n v="0"/>
    <n v="0"/>
    <n v="101"/>
    <s v="_x0000_US"/>
  </r>
  <r>
    <x v="0"/>
    <n v="13.6927"/>
    <n v="-89.189700000000002"/>
    <n v="12018.2"/>
    <n v="0"/>
    <n v="0"/>
    <n v="101"/>
    <s v="_x0000_US"/>
  </r>
  <r>
    <x v="0"/>
    <n v="13.6934"/>
    <n v="-89.192400000000006"/>
    <n v="12018.2"/>
    <n v="0"/>
    <n v="0"/>
    <n v="101"/>
    <s v="_x0000_US"/>
  </r>
  <r>
    <x v="0"/>
    <n v="13.6858"/>
    <n v="-89.211299999999994"/>
    <n v="12018.4"/>
    <n v="0"/>
    <n v="0"/>
    <n v="101"/>
    <s v="_x0000_US"/>
  </r>
  <r>
    <x v="0"/>
    <n v="13.6851"/>
    <n v="-89.216999999999999"/>
    <n v="12018.9"/>
    <n v="0"/>
    <n v="0"/>
    <n v="101"/>
    <s v="_x0000_US"/>
  </r>
  <r>
    <x v="0"/>
    <n v="13.6891"/>
    <n v="-89.184600000000003"/>
    <n v="12019.2"/>
    <n v="0"/>
    <n v="0"/>
    <n v="101"/>
    <s v="_x0000_US"/>
  </r>
  <r>
    <x v="0"/>
    <n v="13.6873"/>
    <n v="-89.2166"/>
    <n v="12020.3"/>
    <n v="0"/>
    <n v="0"/>
    <n v="101"/>
    <s v="_x0000_US"/>
  </r>
  <r>
    <x v="0"/>
    <n v="13.69"/>
    <n v="-89.193899999999999"/>
    <n v="12021.5"/>
    <n v="0"/>
    <n v="0"/>
    <n v="101"/>
    <s v="_x0000_US"/>
  </r>
  <r>
    <x v="0"/>
    <n v="13.6845"/>
    <n v="-89.216200000000001"/>
    <n v="12023"/>
    <n v="0"/>
    <n v="0"/>
    <n v="101"/>
    <s v="_x0000_US"/>
  </r>
  <r>
    <x v="0"/>
    <n v="13.687799999999999"/>
    <n v="-89.179699999999997"/>
    <n v="12025.7"/>
    <n v="0"/>
    <n v="0"/>
    <n v="101"/>
    <s v="_x0000_US"/>
  </r>
  <r>
    <x v="0"/>
    <n v="13.6905"/>
    <n v="-89.235299999999995"/>
    <n v="12026.3"/>
    <n v="0"/>
    <n v="0"/>
    <n v="101"/>
    <s v="_x0000_US"/>
  </r>
  <r>
    <x v="0"/>
    <n v="13.6869"/>
    <n v="-89.203299999999999"/>
    <n v="12026.7"/>
    <n v="0"/>
    <n v="0"/>
    <n v="101"/>
    <s v="_x0000_US"/>
  </r>
  <r>
    <x v="0"/>
    <n v="13.687900000000001"/>
    <n v="-89.18"/>
    <n v="12027.5"/>
    <n v="0"/>
    <n v="0"/>
    <n v="101"/>
    <s v="_x0000_US"/>
  </r>
  <r>
    <x v="0"/>
    <n v="13.6943"/>
    <n v="-89.174899999999994"/>
    <n v="12028.4"/>
    <n v="0"/>
    <n v="0"/>
    <n v="101"/>
    <s v="_x0000_US"/>
  </r>
  <r>
    <x v="0"/>
    <n v="13.6891"/>
    <n v="-89.183999999999997"/>
    <n v="12030"/>
    <n v="0"/>
    <n v="0"/>
    <n v="101"/>
    <s v="_x0000_US"/>
  </r>
  <r>
    <x v="0"/>
    <n v="13.6883"/>
    <n v="-89.182299999999998"/>
    <n v="12030.4"/>
    <n v="0"/>
    <n v="0"/>
    <n v="101"/>
    <s v="_x0000_US"/>
  </r>
  <r>
    <x v="0"/>
    <n v="13.6921"/>
    <n v="-89.194900000000004"/>
    <n v="12034.1"/>
    <n v="0"/>
    <n v="0"/>
    <n v="101"/>
    <s v="_x0000_US"/>
  </r>
  <r>
    <x v="0"/>
    <n v="13.686999999999999"/>
    <n v="-89.215400000000002"/>
    <n v="12034.7"/>
    <n v="0"/>
    <n v="0"/>
    <n v="101"/>
    <s v="_x0000_US"/>
  </r>
  <r>
    <x v="0"/>
    <n v="13.692399999999999"/>
    <n v="-89.224800000000002"/>
    <n v="12035.7"/>
    <n v="0"/>
    <n v="0"/>
    <n v="101"/>
    <s v="_x0000_US"/>
  </r>
  <r>
    <x v="0"/>
    <n v="13.692399999999999"/>
    <n v="-89.225700000000003"/>
    <n v="12036.5"/>
    <n v="0"/>
    <n v="0"/>
    <n v="101"/>
    <s v="_x0000_US"/>
  </r>
  <r>
    <x v="0"/>
    <n v="13.694800000000001"/>
    <n v="-89.174899999999994"/>
    <n v="12036.7"/>
    <n v="0"/>
    <n v="0"/>
    <n v="101"/>
    <s v="_x0000_US"/>
  </r>
  <r>
    <x v="0"/>
    <n v="13.684799999999999"/>
    <n v="-89.216300000000004"/>
    <n v="12036.9"/>
    <n v="0"/>
    <n v="0"/>
    <n v="101"/>
    <s v="_x0000_US"/>
  </r>
  <r>
    <x v="0"/>
    <n v="13.6844"/>
    <n v="-89.216800000000006"/>
    <n v="12038.6"/>
    <n v="0"/>
    <n v="0"/>
    <n v="101"/>
    <s v="_x0000_US"/>
  </r>
  <r>
    <x v="0"/>
    <n v="13.6866"/>
    <n v="-89.215599999999995"/>
    <n v="12039.8"/>
    <n v="0"/>
    <n v="0"/>
    <n v="101"/>
    <s v="_x0000_US"/>
  </r>
  <r>
    <x v="0"/>
    <n v="13.685600000000001"/>
    <n v="-89.211399999999998"/>
    <n v="12043.4"/>
    <n v="0"/>
    <n v="0"/>
    <n v="101"/>
    <s v="_x0000_US"/>
  </r>
  <r>
    <x v="0"/>
    <n v="13.692299999999999"/>
    <n v="-89.179199999999994"/>
    <n v="12046"/>
    <n v="0"/>
    <n v="0"/>
    <n v="101"/>
    <s v="_x0000_US"/>
  </r>
  <r>
    <x v="0"/>
    <n v="13.686"/>
    <n v="-89.198300000000003"/>
    <n v="12046.6"/>
    <n v="0"/>
    <n v="0"/>
    <n v="101"/>
    <s v="_x0000_US"/>
  </r>
  <r>
    <x v="0"/>
    <n v="13.6914"/>
    <n v="-89.228700000000003"/>
    <n v="12046.8"/>
    <n v="0"/>
    <n v="0"/>
    <n v="101"/>
    <s v="_x0000_US"/>
  </r>
  <r>
    <x v="0"/>
    <n v="13.6943"/>
    <n v="-89.183300000000003"/>
    <n v="12046.9"/>
    <n v="0"/>
    <n v="0"/>
    <n v="101"/>
    <s v="_x0000_US"/>
  </r>
  <r>
    <x v="0"/>
    <n v="13.6913"/>
    <n v="-89.233800000000002"/>
    <n v="12047.2"/>
    <n v="0"/>
    <n v="0"/>
    <n v="101"/>
    <s v="_x0000_US"/>
  </r>
  <r>
    <x v="0"/>
    <n v="13.686199999999999"/>
    <n v="-89.203699999999998"/>
    <n v="12048.3"/>
    <n v="0"/>
    <n v="0"/>
    <n v="101"/>
    <s v="_x0000_US"/>
  </r>
  <r>
    <x v="0"/>
    <n v="13.6897"/>
    <n v="-89.193899999999999"/>
    <n v="12049.1"/>
    <n v="0"/>
    <n v="0"/>
    <n v="101"/>
    <s v="_x0000_US"/>
  </r>
  <r>
    <x v="0"/>
    <n v="13.6875"/>
    <n v="-89.215100000000007"/>
    <n v="12049.4"/>
    <n v="0"/>
    <n v="0"/>
    <n v="101"/>
    <s v="_x0000_US"/>
  </r>
  <r>
    <x v="0"/>
    <n v="13.687799999999999"/>
    <n v="-89.194500000000005"/>
    <n v="12049.9"/>
    <n v="0"/>
    <n v="0"/>
    <n v="101"/>
    <s v="_x0000_US"/>
  </r>
  <r>
    <x v="0"/>
    <n v="13.680999999999999"/>
    <n v="-89.195800000000006"/>
    <n v="12052"/>
    <n v="0"/>
    <n v="0"/>
    <n v="101"/>
    <s v="_x0000_US"/>
  </r>
  <r>
    <x v="0"/>
    <n v="13.6914"/>
    <n v="-89.227099999999993"/>
    <n v="12052.2"/>
    <n v="0"/>
    <n v="0"/>
    <n v="101"/>
    <s v="_x0000_US"/>
  </r>
  <r>
    <x v="0"/>
    <n v="13.6899"/>
    <n v="-89.179400000000001"/>
    <n v="12052.4"/>
    <n v="0"/>
    <n v="0"/>
    <n v="101"/>
    <s v="_x0000_US"/>
  </r>
  <r>
    <x v="0"/>
    <n v="13.686500000000001"/>
    <n v="-89.214500000000001"/>
    <n v="12052.5"/>
    <n v="0"/>
    <n v="0"/>
    <n v="101"/>
    <s v="_x0000_US"/>
  </r>
  <r>
    <x v="0"/>
    <n v="13.691000000000001"/>
    <n v="-89.227400000000003"/>
    <n v="12052.8"/>
    <n v="0"/>
    <n v="0"/>
    <n v="101"/>
    <s v="_x0000_US"/>
  </r>
  <r>
    <x v="0"/>
    <n v="13.688700000000001"/>
    <n v="-89.2166"/>
    <n v="12053.4"/>
    <n v="0"/>
    <n v="0"/>
    <n v="101"/>
    <s v="_x0000_US"/>
  </r>
  <r>
    <x v="0"/>
    <n v="13.6919"/>
    <n v="-89.179400000000001"/>
    <n v="12054.1"/>
    <n v="0"/>
    <n v="0"/>
    <n v="101"/>
    <s v="_x0000_US"/>
  </r>
  <r>
    <x v="0"/>
    <n v="13.694800000000001"/>
    <n v="-89.174199999999999"/>
    <n v="12054.8"/>
    <n v="0"/>
    <n v="0"/>
    <n v="101"/>
    <s v="_x0000_US"/>
  </r>
  <r>
    <x v="0"/>
    <n v="13.689"/>
    <n v="-89.229200000000006"/>
    <n v="12055.6"/>
    <n v="0"/>
    <n v="0"/>
    <n v="101"/>
    <s v="_x0000_US"/>
  </r>
  <r>
    <x v="0"/>
    <n v="13.693199999999999"/>
    <n v="-89.183300000000003"/>
    <n v="12055.8"/>
    <n v="0"/>
    <n v="0"/>
    <n v="101"/>
    <s v="_x0000_US"/>
  </r>
  <r>
    <x v="0"/>
    <n v="13.692299999999999"/>
    <n v="-89.1768"/>
    <n v="12058.5"/>
    <n v="0"/>
    <n v="0"/>
    <n v="101"/>
    <s v="_x0000_US"/>
  </r>
  <r>
    <x v="0"/>
    <n v="13.690300000000001"/>
    <n v="-89.181200000000004"/>
    <n v="12059.4"/>
    <n v="0"/>
    <n v="0"/>
    <n v="101"/>
    <s v="_x0000_US"/>
  </r>
  <r>
    <x v="0"/>
    <n v="13.680300000000001"/>
    <n v="-89.198400000000007"/>
    <n v="12060.4"/>
    <n v="0"/>
    <n v="0"/>
    <n v="101"/>
    <s v="_x0000_US"/>
  </r>
  <r>
    <x v="0"/>
    <n v="13.695600000000001"/>
    <n v="-89.1738"/>
    <n v="12060.6"/>
    <n v="0"/>
    <n v="0"/>
    <n v="101"/>
    <s v="_x0000_US"/>
  </r>
  <r>
    <x v="0"/>
    <n v="13.6854"/>
    <n v="-89.212199999999996"/>
    <n v="12061.7"/>
    <n v="0"/>
    <n v="0"/>
    <n v="101"/>
    <s v="_x0000_US"/>
  </r>
  <r>
    <x v="0"/>
    <n v="13.690899999999999"/>
    <n v="-89.234800000000007"/>
    <n v="12062.2"/>
    <n v="0"/>
    <n v="0"/>
    <n v="101"/>
    <s v="_x0000_US"/>
  </r>
  <r>
    <x v="0"/>
    <n v="13.6866"/>
    <n v="-89.215800000000002"/>
    <n v="12062.4"/>
    <n v="0"/>
    <n v="0"/>
    <n v="101"/>
    <s v="_x0000_US"/>
  </r>
  <r>
    <x v="0"/>
    <n v="13.689"/>
    <n v="-89.177800000000005"/>
    <n v="12063"/>
    <n v="0"/>
    <n v="0"/>
    <n v="101"/>
    <s v="_x0000_US"/>
  </r>
  <r>
    <x v="0"/>
    <n v="13.6876"/>
    <n v="-89.197000000000003"/>
    <n v="12063.7"/>
    <n v="0"/>
    <n v="0"/>
    <n v="101"/>
    <s v="_x0000_US"/>
  </r>
  <r>
    <x v="0"/>
    <n v="13.6911"/>
    <n v="-89.229299999999995"/>
    <n v="12064.2"/>
    <n v="0"/>
    <n v="0"/>
    <n v="101"/>
    <s v="_x0000_US"/>
  </r>
  <r>
    <x v="0"/>
    <n v="13.6906"/>
    <n v="-89.186199999999999"/>
    <n v="12065.4"/>
    <n v="0"/>
    <n v="0"/>
    <n v="101"/>
    <s v="_x0000_US"/>
  </r>
  <r>
    <x v="0"/>
    <n v="13.691800000000001"/>
    <n v="-89.221400000000003"/>
    <n v="12065.8"/>
    <n v="0"/>
    <n v="0"/>
    <n v="101"/>
    <s v="_x0000_US"/>
  </r>
  <r>
    <x v="0"/>
    <n v="13.688599999999999"/>
    <n v="-89.180199999999999"/>
    <n v="12066.2"/>
    <n v="0"/>
    <n v="0"/>
    <n v="101"/>
    <s v="_x0000_US"/>
  </r>
  <r>
    <x v="0"/>
    <n v="13.6904"/>
    <n v="-89.177400000000006"/>
    <n v="12067.3"/>
    <n v="0"/>
    <n v="0"/>
    <n v="101"/>
    <s v="_x0000_US"/>
  </r>
  <r>
    <x v="0"/>
    <n v="13.6974"/>
    <n v="-89.171400000000006"/>
    <n v="12067.9"/>
    <n v="0"/>
    <n v="0"/>
    <n v="101"/>
    <s v="_x0000_US"/>
  </r>
  <r>
    <x v="0"/>
    <n v="13.688499999999999"/>
    <n v="-89.2042"/>
    <n v="12068.5"/>
    <n v="0"/>
    <n v="0"/>
    <n v="101"/>
    <s v="_x0000_US"/>
  </r>
  <r>
    <x v="0"/>
    <n v="13.6935"/>
    <n v="-89.188699999999997"/>
    <n v="12069"/>
    <n v="0"/>
    <n v="0"/>
    <n v="101"/>
    <s v="_x0000_US"/>
  </r>
  <r>
    <x v="0"/>
    <n v="13.6869"/>
    <n v="-89.181899999999999"/>
    <n v="12069.3"/>
    <n v="0"/>
    <n v="0"/>
    <n v="101"/>
    <s v="_x0000_US"/>
  </r>
  <r>
    <x v="0"/>
    <n v="13.6899"/>
    <n v="-89.180099999999996"/>
    <n v="12069.4"/>
    <n v="0"/>
    <n v="0"/>
    <n v="101"/>
    <s v="_x0000_US"/>
  </r>
  <r>
    <x v="0"/>
    <n v="13.6851"/>
    <n v="-89.216800000000006"/>
    <n v="12070.8"/>
    <n v="0"/>
    <n v="0"/>
    <n v="101"/>
    <s v="_x0000_US"/>
  </r>
  <r>
    <x v="0"/>
    <n v="13.692500000000001"/>
    <n v="-89.178600000000003"/>
    <n v="12071.5"/>
    <n v="0"/>
    <n v="0"/>
    <n v="101"/>
    <s v="_x0000_US"/>
  </r>
  <r>
    <x v="0"/>
    <n v="13.690300000000001"/>
    <n v="-89.195599999999999"/>
    <n v="12072.1"/>
    <n v="0"/>
    <n v="0"/>
    <n v="101"/>
    <s v="_x0000_US"/>
  </r>
  <r>
    <x v="0"/>
    <n v="13.695600000000001"/>
    <n v="-89.173599999999993"/>
    <n v="12072.9"/>
    <n v="0"/>
    <n v="0"/>
    <n v="101"/>
    <s v="_x0000_US"/>
  </r>
  <r>
    <x v="0"/>
    <n v="13.691599999999999"/>
    <n v="-89.179699999999997"/>
    <n v="12074.7"/>
    <n v="0"/>
    <n v="0"/>
    <n v="101"/>
    <s v="_x0000_US"/>
  </r>
  <r>
    <x v="0"/>
    <n v="13.6958"/>
    <n v="-89.172399999999996"/>
    <n v="12075.8"/>
    <n v="0"/>
    <n v="0"/>
    <n v="101"/>
    <s v="_x0000_US"/>
  </r>
  <r>
    <x v="0"/>
    <n v="13.6754"/>
    <n v="-89.1999"/>
    <n v="12075.9"/>
    <n v="0"/>
    <n v="0"/>
    <n v="101"/>
    <s v="_x0000_US"/>
  </r>
  <r>
    <x v="0"/>
    <n v="13.690300000000001"/>
    <n v="-89.181200000000004"/>
    <n v="12077.7"/>
    <n v="0"/>
    <n v="0"/>
    <n v="101"/>
    <s v="_x0000_US"/>
  </r>
  <r>
    <x v="0"/>
    <n v="13.6859"/>
    <n v="-89.212999999999994"/>
    <n v="12078.2"/>
    <n v="0"/>
    <n v="0"/>
    <n v="101"/>
    <s v="_x0000_US"/>
  </r>
  <r>
    <x v="0"/>
    <n v="13.6873"/>
    <n v="-89.197699999999998"/>
    <n v="12078.8"/>
    <n v="0"/>
    <n v="0"/>
    <n v="101"/>
    <s v="_x0000_US"/>
  </r>
  <r>
    <x v="0"/>
    <n v="13.691599999999999"/>
    <n v="-89.234700000000004"/>
    <n v="12078.8"/>
    <n v="0"/>
    <n v="0"/>
    <n v="101"/>
    <s v="_x0000_US"/>
  </r>
  <r>
    <x v="0"/>
    <n v="13.6869"/>
    <n v="-89.197500000000005"/>
    <n v="12079.4"/>
    <n v="0"/>
    <n v="0"/>
    <n v="101"/>
    <s v="_x0000_US"/>
  </r>
  <r>
    <x v="0"/>
    <n v="13.693099999999999"/>
    <n v="-89.183000000000007"/>
    <n v="12079.7"/>
    <n v="0"/>
    <n v="0"/>
    <n v="101"/>
    <s v="_x0000_US"/>
  </r>
  <r>
    <x v="0"/>
    <n v="13.694699999999999"/>
    <n v="-89.185500000000005"/>
    <n v="12079.8"/>
    <n v="0"/>
    <n v="0"/>
    <n v="101"/>
    <s v="_x0000_US"/>
  </r>
  <r>
    <x v="0"/>
    <n v="13.692600000000001"/>
    <n v="-89.224599999999995"/>
    <n v="12080.2"/>
    <n v="0"/>
    <n v="0"/>
    <n v="101"/>
    <s v="_x0000_US"/>
  </r>
  <r>
    <x v="0"/>
    <n v="13.687799999999999"/>
    <n v="-89.194900000000004"/>
    <n v="12082.4"/>
    <n v="0"/>
    <n v="0"/>
    <n v="101"/>
    <s v="_x0000_US"/>
  </r>
  <r>
    <x v="0"/>
    <n v="13.6867"/>
    <n v="-89.182599999999994"/>
    <n v="12082.7"/>
    <n v="0"/>
    <n v="0"/>
    <n v="101"/>
    <s v="_x0000_US"/>
  </r>
  <r>
    <x v="0"/>
    <n v="13.694599999999999"/>
    <n v="-89.174700000000001"/>
    <n v="12083.3"/>
    <n v="0"/>
    <n v="0"/>
    <n v="101"/>
    <s v="_x0000_US"/>
  </r>
  <r>
    <x v="0"/>
    <n v="13.6868"/>
    <n v="-89.216300000000004"/>
    <n v="12084"/>
    <n v="0"/>
    <n v="0"/>
    <n v="101"/>
    <s v="_x0000_US"/>
  </r>
  <r>
    <x v="0"/>
    <n v="13.689399999999999"/>
    <n v="-89.1858"/>
    <n v="12084.8"/>
    <n v="0"/>
    <n v="0"/>
    <n v="101"/>
    <s v="_x0000_US"/>
  </r>
  <r>
    <x v="0"/>
    <n v="13.6877"/>
    <n v="-89.196799999999996"/>
    <n v="12085.4"/>
    <n v="0"/>
    <n v="0"/>
    <n v="101"/>
    <s v="_x0000_US"/>
  </r>
  <r>
    <x v="0"/>
    <n v="13.673"/>
    <n v="-89.203800000000001"/>
    <n v="12088.9"/>
    <n v="0"/>
    <n v="0"/>
    <n v="101"/>
    <s v="_x0000_US"/>
  </r>
  <r>
    <x v="0"/>
    <n v="13.6852"/>
    <n v="-89.2012"/>
    <n v="12089.3"/>
    <n v="0"/>
    <n v="0"/>
    <n v="101"/>
    <s v="_x0000_US"/>
  </r>
  <r>
    <x v="0"/>
    <n v="13.692"/>
    <n v="-89.194299999999998"/>
    <n v="12090.6"/>
    <n v="0"/>
    <n v="0"/>
    <n v="101"/>
    <s v="_x0000_US"/>
  </r>
  <r>
    <x v="0"/>
    <n v="13.688000000000001"/>
    <n v="-89.236900000000006"/>
    <n v="12091.1"/>
    <n v="0"/>
    <n v="0"/>
    <n v="101"/>
    <s v="_x0000_US"/>
  </r>
  <r>
    <x v="0"/>
    <n v="13.6934"/>
    <n v="-89.190399999999997"/>
    <n v="12092"/>
    <n v="0"/>
    <n v="0"/>
    <n v="101"/>
    <s v="_x0000_US"/>
  </r>
  <r>
    <x v="0"/>
    <n v="13.6883"/>
    <n v="-89.182500000000005"/>
    <n v="12092.1"/>
    <n v="0"/>
    <n v="0"/>
    <n v="101"/>
    <s v="_x0000_US"/>
  </r>
  <r>
    <x v="0"/>
    <n v="13.687099999999999"/>
    <n v="-89.194000000000003"/>
    <n v="12092.1"/>
    <n v="0"/>
    <n v="0"/>
    <n v="101"/>
    <s v="_x0000_US"/>
  </r>
  <r>
    <x v="0"/>
    <n v="13.691000000000001"/>
    <n v="-89.190600000000003"/>
    <n v="12092.5"/>
    <n v="0"/>
    <n v="0"/>
    <n v="101"/>
    <s v="_x0000_US"/>
  </r>
  <r>
    <x v="0"/>
    <n v="13.6851"/>
    <n v="-89.216099999999997"/>
    <n v="12093.2"/>
    <n v="0"/>
    <n v="0"/>
    <n v="101"/>
    <s v="_x0000_US"/>
  </r>
  <r>
    <x v="0"/>
    <n v="13.6868"/>
    <n v="-89.181600000000003"/>
    <n v="12095.1"/>
    <n v="0"/>
    <n v="0"/>
    <n v="101"/>
    <s v="_x0000_US"/>
  </r>
  <r>
    <x v="0"/>
    <n v="13.689500000000001"/>
    <n v="-89.185599999999994"/>
    <n v="12097"/>
    <n v="0"/>
    <n v="0"/>
    <n v="101"/>
    <s v="_x0000_US"/>
  </r>
  <r>
    <x v="0"/>
    <n v="13.6899"/>
    <n v="-89.189599999999999"/>
    <n v="12098.6"/>
    <n v="0"/>
    <n v="0"/>
    <n v="101"/>
    <s v="_x0000_US"/>
  </r>
  <r>
    <x v="0"/>
    <n v="13.6868"/>
    <n v="-89.194500000000005"/>
    <n v="12099.4"/>
    <n v="0"/>
    <n v="0"/>
    <n v="101"/>
    <s v="_x0000_US"/>
  </r>
  <r>
    <x v="0"/>
    <n v="13.685700000000001"/>
    <n v="-89.194000000000003"/>
    <n v="12100.2"/>
    <n v="0"/>
    <n v="0"/>
    <n v="101"/>
    <s v="_x0000_US"/>
  </r>
  <r>
    <x v="0"/>
    <n v="13.6853"/>
    <n v="-89.214299999999994"/>
    <n v="12100.8"/>
    <n v="0"/>
    <n v="0"/>
    <n v="101"/>
    <s v="_x0000_US"/>
  </r>
  <r>
    <x v="0"/>
    <n v="13.6873"/>
    <n v="-89.194400000000002"/>
    <n v="12100.9"/>
    <n v="0"/>
    <n v="0"/>
    <n v="101"/>
    <s v="_x0000_US"/>
  </r>
  <r>
    <x v="0"/>
    <n v="13.6927"/>
    <n v="-89.197400000000002"/>
    <n v="12101.3"/>
    <n v="0"/>
    <n v="0"/>
    <n v="101"/>
    <s v="_x0000_US"/>
  </r>
  <r>
    <x v="0"/>
    <n v="13.6868"/>
    <n v="-89.194500000000005"/>
    <n v="12102"/>
    <n v="0"/>
    <n v="0"/>
    <n v="101"/>
    <s v="_x0000_US"/>
  </r>
  <r>
    <x v="0"/>
    <n v="13.6929"/>
    <n v="-89.178100000000001"/>
    <n v="12103"/>
    <n v="0"/>
    <n v="0"/>
    <n v="101"/>
    <s v="_x0000_US"/>
  </r>
  <r>
    <x v="0"/>
    <n v="13.6934"/>
    <n v="-89.178299999999993"/>
    <n v="12103.7"/>
    <n v="0"/>
    <n v="0"/>
    <n v="101"/>
    <s v="_x0000_US"/>
  </r>
  <r>
    <x v="0"/>
    <n v="13.673999999999999"/>
    <n v="-89.202699999999993"/>
    <n v="12104.3"/>
    <n v="0"/>
    <n v="0"/>
    <n v="101"/>
    <s v="_x0000_US"/>
  </r>
  <r>
    <x v="0"/>
    <n v="13.69"/>
    <n v="-89.235399999999998"/>
    <n v="12105.6"/>
    <n v="0"/>
    <n v="0"/>
    <n v="101"/>
    <s v="_x0000_US"/>
  </r>
  <r>
    <x v="0"/>
    <n v="13.688599999999999"/>
    <n v="-89.204400000000007"/>
    <n v="12105.8"/>
    <n v="0"/>
    <n v="0"/>
    <n v="101"/>
    <s v="_x0000_US"/>
  </r>
  <r>
    <x v="0"/>
    <n v="13.689500000000001"/>
    <n v="-89.208200000000005"/>
    <n v="12105.9"/>
    <n v="0"/>
    <n v="0"/>
    <n v="101"/>
    <s v="_x0000_US"/>
  </r>
  <r>
    <x v="0"/>
    <n v="13.6921"/>
    <n v="-89.193600000000004"/>
    <n v="12107.7"/>
    <n v="0"/>
    <n v="0"/>
    <n v="101"/>
    <s v="_x0000_US"/>
  </r>
  <r>
    <x v="0"/>
    <n v="13.689399999999999"/>
    <n v="-89.184299999999993"/>
    <n v="12108"/>
    <n v="0"/>
    <n v="0"/>
    <n v="101"/>
    <s v="_x0000_US"/>
  </r>
  <r>
    <x v="0"/>
    <n v="13.694800000000001"/>
    <n v="-89.173699999999997"/>
    <n v="12108.1"/>
    <n v="0"/>
    <n v="0"/>
    <n v="101"/>
    <s v="_x0000_US"/>
  </r>
  <r>
    <x v="0"/>
    <n v="13.6861"/>
    <n v="-89.215199999999996"/>
    <n v="12109"/>
    <n v="0"/>
    <n v="0"/>
    <n v="101"/>
    <s v="_x0000_US"/>
  </r>
  <r>
    <x v="0"/>
    <n v="13.6922"/>
    <n v="-89.225700000000003"/>
    <n v="12109.3"/>
    <n v="0"/>
    <n v="0"/>
    <n v="101"/>
    <s v="_x0000_US"/>
  </r>
  <r>
    <x v="0"/>
    <n v="13.6904"/>
    <n v="-89.188900000000004"/>
    <n v="12109.5"/>
    <n v="0"/>
    <n v="0"/>
    <n v="101"/>
    <s v="_x0000_US"/>
  </r>
  <r>
    <x v="0"/>
    <n v="13.691800000000001"/>
    <n v="-89.1798"/>
    <n v="12109.6"/>
    <n v="0"/>
    <n v="0"/>
    <n v="101"/>
    <s v="_x0000_US"/>
  </r>
  <r>
    <x v="0"/>
    <n v="13.6881"/>
    <n v="-89.181100000000001"/>
    <n v="12109.7"/>
    <n v="0"/>
    <n v="0"/>
    <n v="101"/>
    <s v="_x0000_US"/>
  </r>
  <r>
    <x v="0"/>
    <n v="13.690099999999999"/>
    <n v="-89.2346"/>
    <n v="12110.4"/>
    <n v="0"/>
    <n v="0"/>
    <n v="101"/>
    <s v="_x0000_US"/>
  </r>
  <r>
    <x v="0"/>
    <n v="13.689500000000001"/>
    <n v="-89.185199999999995"/>
    <n v="12111"/>
    <n v="0"/>
    <n v="0"/>
    <n v="101"/>
    <s v="_x0000_US"/>
  </r>
  <r>
    <x v="0"/>
    <n v="13.6874"/>
    <n v="-89.197100000000006"/>
    <n v="12111"/>
    <n v="0"/>
    <n v="0"/>
    <n v="101"/>
    <s v="_x0000_US"/>
  </r>
  <r>
    <x v="0"/>
    <n v="13.6867"/>
    <n v="-89.181700000000006"/>
    <n v="12111.1"/>
    <n v="0"/>
    <n v="0"/>
    <n v="101"/>
    <s v="_x0000_US"/>
  </r>
  <r>
    <x v="0"/>
    <n v="13.697100000000001"/>
    <n v="-89.171300000000002"/>
    <n v="12111.1"/>
    <n v="0"/>
    <n v="0"/>
    <n v="101"/>
    <s v="_x0000_US"/>
  </r>
  <r>
    <x v="0"/>
    <n v="13.6899"/>
    <n v="-89.216899999999995"/>
    <n v="12111.4"/>
    <n v="0"/>
    <n v="0"/>
    <n v="101"/>
    <s v="_x0000_US"/>
  </r>
  <r>
    <x v="0"/>
    <n v="13.6883"/>
    <n v="-89.197999999999993"/>
    <n v="12113"/>
    <n v="0"/>
    <n v="0"/>
    <n v="101"/>
    <s v="_x0000_US"/>
  </r>
  <r>
    <x v="0"/>
    <n v="13.6913"/>
    <n v="-89.227000000000004"/>
    <n v="12113.4"/>
    <n v="0"/>
    <n v="0"/>
    <n v="101"/>
    <s v="_x0000_US"/>
  </r>
  <r>
    <x v="0"/>
    <n v="13.69"/>
    <n v="-89.188400000000001"/>
    <n v="12114.1"/>
    <n v="0"/>
    <n v="0"/>
    <n v="101"/>
    <s v="_x0000_US"/>
  </r>
  <r>
    <x v="0"/>
    <n v="13.675000000000001"/>
    <n v="-89.2517"/>
    <n v="12114.8"/>
    <n v="0"/>
    <n v="0"/>
    <n v="101"/>
    <s v="_x0000_US"/>
  </r>
  <r>
    <x v="0"/>
    <n v="13.6791"/>
    <n v="-89.196399999999997"/>
    <n v="12115"/>
    <n v="0"/>
    <n v="0"/>
    <n v="101"/>
    <s v="_x0000_US"/>
  </r>
  <r>
    <x v="0"/>
    <n v="13.687099999999999"/>
    <n v="-89.197400000000002"/>
    <n v="12115.2"/>
    <n v="0"/>
    <n v="0"/>
    <n v="101"/>
    <s v="_x0000_US"/>
  </r>
  <r>
    <x v="0"/>
    <n v="13.6944"/>
    <n v="-89.188900000000004"/>
    <n v="12115.3"/>
    <n v="0"/>
    <n v="0"/>
    <n v="101"/>
    <s v="_x0000_US"/>
  </r>
  <r>
    <x v="0"/>
    <n v="13.695499999999999"/>
    <n v="-89.173000000000002"/>
    <n v="12115.4"/>
    <n v="0"/>
    <n v="0"/>
    <n v="101"/>
    <s v="_x0000_US"/>
  </r>
  <r>
    <x v="0"/>
    <n v="13.6919"/>
    <n v="-89.176000000000002"/>
    <n v="12115.7"/>
    <n v="0"/>
    <n v="0"/>
    <n v="101"/>
    <s v="_x0000_US"/>
  </r>
  <r>
    <x v="0"/>
    <n v="13.6896"/>
    <n v="-89.228800000000007"/>
    <n v="12115.7"/>
    <n v="0"/>
    <n v="0"/>
    <n v="101"/>
    <s v="_x0000_US"/>
  </r>
  <r>
    <x v="0"/>
    <n v="13.6919"/>
    <n v="-89.224599999999995"/>
    <n v="12116"/>
    <n v="0"/>
    <n v="0"/>
    <n v="101"/>
    <s v="_x0000_US"/>
  </r>
  <r>
    <x v="0"/>
    <n v="13.6812"/>
    <n v="-89.195499999999996"/>
    <n v="12117.6"/>
    <n v="0"/>
    <n v="0"/>
    <n v="101"/>
    <s v="_x0000_US"/>
  </r>
  <r>
    <x v="0"/>
    <n v="13.677099999999999"/>
    <n v="-89.2483"/>
    <n v="12118.2"/>
    <n v="0"/>
    <n v="0"/>
    <n v="101"/>
    <s v="_x0000_US"/>
  </r>
  <r>
    <x v="0"/>
    <n v="13.6852"/>
    <n v="-89.214299999999994"/>
    <n v="12118.6"/>
    <n v="0"/>
    <n v="0"/>
    <n v="101"/>
    <s v="_x0000_US"/>
  </r>
  <r>
    <x v="0"/>
    <n v="13.6913"/>
    <n v="-89.185900000000004"/>
    <n v="12119.4"/>
    <n v="0"/>
    <n v="0"/>
    <n v="101"/>
    <s v="_x0000_US"/>
  </r>
  <r>
    <x v="0"/>
    <n v="13.6922"/>
    <n v="-89.183000000000007"/>
    <n v="12119.8"/>
    <n v="0"/>
    <n v="0"/>
    <n v="101"/>
    <s v="_x0000_US"/>
  </r>
  <r>
    <x v="0"/>
    <n v="13.691599999999999"/>
    <n v="-89.220699999999994"/>
    <n v="12120.8"/>
    <n v="0"/>
    <n v="0"/>
    <n v="101"/>
    <s v="_x0000_US"/>
  </r>
  <r>
    <x v="0"/>
    <n v="13.6869"/>
    <n v="-89.182400000000001"/>
    <n v="12123.1"/>
    <n v="0"/>
    <n v="0"/>
    <n v="101"/>
    <s v="_x0000_US"/>
  </r>
  <r>
    <x v="0"/>
    <n v="13.6896"/>
    <n v="-89.194000000000003"/>
    <n v="12123.4"/>
    <n v="0"/>
    <n v="0"/>
    <n v="101"/>
    <s v="_x0000_US"/>
  </r>
  <r>
    <x v="0"/>
    <n v="13.6921"/>
    <n v="-89.225099999999998"/>
    <n v="12124.7"/>
    <n v="0"/>
    <n v="0"/>
    <n v="101"/>
    <s v="_x0000_US"/>
  </r>
  <r>
    <x v="0"/>
    <n v="13.6851"/>
    <n v="-89.216899999999995"/>
    <n v="12126"/>
    <n v="0"/>
    <n v="0"/>
    <n v="101"/>
    <s v="_x0000_US"/>
  </r>
  <r>
    <x v="0"/>
    <n v="13.695499999999999"/>
    <n v="-89.171999999999997"/>
    <n v="12126.4"/>
    <n v="0"/>
    <n v="0"/>
    <n v="101"/>
    <s v="_x0000_US"/>
  </r>
  <r>
    <x v="0"/>
    <n v="13.6958"/>
    <n v="-89.166700000000006"/>
    <n v="12127.1"/>
    <n v="0"/>
    <n v="0"/>
    <n v="101"/>
    <s v="_x0000_US"/>
  </r>
  <r>
    <x v="0"/>
    <n v="13.6934"/>
    <n v="-89.188800000000001"/>
    <n v="12127.5"/>
    <n v="0"/>
    <n v="0"/>
    <n v="101"/>
    <s v="_x0000_US"/>
  </r>
  <r>
    <x v="0"/>
    <n v="13.6929"/>
    <n v="-89.174099999999996"/>
    <n v="12127.6"/>
    <n v="0"/>
    <n v="0"/>
    <n v="101"/>
    <s v="_x0000_US"/>
  </r>
  <r>
    <x v="0"/>
    <n v="13.6892"/>
    <n v="-89.235699999999994"/>
    <n v="12127.6"/>
    <n v="0"/>
    <n v="0"/>
    <n v="101"/>
    <s v="_x0000_US"/>
  </r>
  <r>
    <x v="0"/>
    <n v="13.6876"/>
    <n v="-89.215999999999994"/>
    <n v="12128.4"/>
    <n v="0"/>
    <n v="0"/>
    <n v="101"/>
    <s v="_x0000_US"/>
  </r>
  <r>
    <x v="0"/>
    <n v="13.6958"/>
    <n v="-89.172700000000006"/>
    <n v="12128.8"/>
    <n v="0"/>
    <n v="0"/>
    <n v="101"/>
    <s v="_x0000_US"/>
  </r>
  <r>
    <x v="0"/>
    <n v="13.6921"/>
    <n v="-89.196799999999996"/>
    <n v="12129.3"/>
    <n v="0"/>
    <n v="0"/>
    <n v="101"/>
    <s v="_x0000_US"/>
  </r>
  <r>
    <x v="0"/>
    <n v="13.6799"/>
    <n v="-89.196200000000005"/>
    <n v="12129.3"/>
    <n v="0"/>
    <n v="0"/>
    <n v="101"/>
    <s v="_x0000_US"/>
  </r>
  <r>
    <x v="0"/>
    <n v="13.690799999999999"/>
    <n v="-89.231800000000007"/>
    <n v="12129.7"/>
    <n v="0"/>
    <n v="0"/>
    <n v="101"/>
    <s v="_x0000_US"/>
  </r>
  <r>
    <x v="0"/>
    <n v="13.691000000000001"/>
    <n v="-89.231099999999998"/>
    <n v="12131"/>
    <n v="0"/>
    <n v="0"/>
    <n v="101"/>
    <s v="_x0000_US"/>
  </r>
  <r>
    <x v="0"/>
    <n v="13.6935"/>
    <n v="-89.176400000000001"/>
    <n v="12131.5"/>
    <n v="0"/>
    <n v="0"/>
    <n v="101"/>
    <s v="_x0000_US"/>
  </r>
  <r>
    <x v="0"/>
    <n v="13.6921"/>
    <n v="-89.184200000000004"/>
    <n v="12131.6"/>
    <n v="0"/>
    <n v="0"/>
    <n v="101"/>
    <s v="_x0000_US"/>
  </r>
  <r>
    <x v="0"/>
    <n v="13.6905"/>
    <n v="-89.193299999999994"/>
    <n v="12133.6"/>
    <n v="0"/>
    <n v="0"/>
    <n v="101"/>
    <s v="_x0000_US"/>
  </r>
  <r>
    <x v="0"/>
    <n v="13.691599999999999"/>
    <n v="-89.226699999999994"/>
    <n v="12134.5"/>
    <n v="0"/>
    <n v="0"/>
    <n v="101"/>
    <s v="_x0000_US"/>
  </r>
  <r>
    <x v="0"/>
    <n v="13.673999999999999"/>
    <n v="-89.202799999999996"/>
    <n v="12135.4"/>
    <n v="0"/>
    <n v="0"/>
    <n v="101"/>
    <s v="_x0000_US"/>
  </r>
  <r>
    <x v="0"/>
    <n v="13.679600000000001"/>
    <n v="-89.196799999999996"/>
    <n v="12138.5"/>
    <n v="0"/>
    <n v="0"/>
    <n v="101"/>
    <s v="_x0000_US"/>
  </r>
  <r>
    <x v="0"/>
    <n v="13.686999999999999"/>
    <n v="-89.197800000000001"/>
    <n v="12138.7"/>
    <n v="0"/>
    <n v="0"/>
    <n v="101"/>
    <s v="_x0000_US"/>
  </r>
  <r>
    <x v="0"/>
    <n v="13.689500000000001"/>
    <n v="-89.179000000000002"/>
    <n v="12138.7"/>
    <n v="0"/>
    <n v="0"/>
    <n v="101"/>
    <s v="_x0000_US"/>
  </r>
  <r>
    <x v="0"/>
    <n v="13.691599999999999"/>
    <n v="-89.183000000000007"/>
    <n v="12138.9"/>
    <n v="0"/>
    <n v="0"/>
    <n v="101"/>
    <s v="_x0000_US"/>
  </r>
  <r>
    <x v="0"/>
    <n v="13.6896"/>
    <n v="-89.235600000000005"/>
    <n v="12138.9"/>
    <n v="0"/>
    <n v="0"/>
    <n v="101"/>
    <s v="_x0000_US"/>
  </r>
  <r>
    <x v="0"/>
    <n v="13.6913"/>
    <n v="-89.219700000000003"/>
    <n v="12142.7"/>
    <n v="0"/>
    <n v="0"/>
    <n v="101"/>
    <s v="_x0000_US"/>
  </r>
  <r>
    <x v="0"/>
    <n v="13.6953"/>
    <n v="-89.1738"/>
    <n v="12145"/>
    <n v="0"/>
    <n v="0"/>
    <n v="101"/>
    <s v="_x0000_US"/>
  </r>
  <r>
    <x v="0"/>
    <n v="13.6892"/>
    <n v="-89.185199999999995"/>
    <n v="12145.1"/>
    <n v="0"/>
    <n v="0"/>
    <n v="101"/>
    <s v="_x0000_US"/>
  </r>
  <r>
    <x v="0"/>
    <n v="13.692600000000001"/>
    <n v="-89.223399999999998"/>
    <n v="12145.3"/>
    <n v="0"/>
    <n v="0"/>
    <n v="101"/>
    <s v="_x0000_US"/>
  </r>
  <r>
    <x v="0"/>
    <n v="13.690099999999999"/>
    <n v="-89.197900000000004"/>
    <n v="12145.5"/>
    <n v="0"/>
    <n v="0"/>
    <n v="101"/>
    <s v="_x0000_US"/>
  </r>
  <r>
    <x v="0"/>
    <n v="13.6877"/>
    <n v="-89.181399999999996"/>
    <n v="12146.9"/>
    <n v="0"/>
    <n v="0"/>
    <n v="101"/>
    <s v="_x0000_US"/>
  </r>
  <r>
    <x v="0"/>
    <n v="13.687200000000001"/>
    <n v="-89.197400000000002"/>
    <n v="12147.9"/>
    <n v="0"/>
    <n v="0"/>
    <n v="101"/>
    <s v="_x0000_US"/>
  </r>
  <r>
    <x v="0"/>
    <n v="13.6907"/>
    <n v="-89.232200000000006"/>
    <n v="12148.1"/>
    <n v="0"/>
    <n v="0"/>
    <n v="101"/>
    <s v="_x0000_US"/>
  </r>
  <r>
    <x v="0"/>
    <n v="13.6935"/>
    <n v="-89.176599999999993"/>
    <n v="12149.1"/>
    <n v="0"/>
    <n v="0"/>
    <n v="101"/>
    <s v="_x0000_US"/>
  </r>
  <r>
    <x v="0"/>
    <n v="13.6973"/>
    <n v="-89.171400000000006"/>
    <n v="12149.2"/>
    <n v="0"/>
    <n v="0"/>
    <n v="101"/>
    <s v="_x0000_US"/>
  </r>
  <r>
    <x v="0"/>
    <n v="13.693199999999999"/>
    <n v="-89.188400000000001"/>
    <n v="12150.2"/>
    <n v="0"/>
    <n v="0"/>
    <n v="101"/>
    <s v="_x0000_US"/>
  </r>
  <r>
    <x v="0"/>
    <n v="13.6943"/>
    <n v="-89.185400000000001"/>
    <n v="12152.4"/>
    <n v="0"/>
    <n v="0"/>
    <n v="101"/>
    <s v="_x0000_US"/>
  </r>
  <r>
    <x v="0"/>
    <n v="13.6899"/>
    <n v="-89.188500000000005"/>
    <n v="12153.8"/>
    <n v="0"/>
    <n v="0"/>
    <n v="101"/>
    <s v="_x0000_US"/>
  </r>
  <r>
    <x v="0"/>
    <n v="13.674099999999999"/>
    <n v="-89.202699999999993"/>
    <n v="12153.8"/>
    <n v="0"/>
    <n v="0"/>
    <n v="101"/>
    <s v="_x0000_US"/>
  </r>
  <r>
    <x v="0"/>
    <n v="13.696099999999999"/>
    <n v="-89.172499999999999"/>
    <n v="12154.3"/>
    <n v="0"/>
    <n v="0"/>
    <n v="101"/>
    <s v="_x0000_US"/>
  </r>
  <r>
    <x v="0"/>
    <n v="13.6912"/>
    <n v="-89.177199999999999"/>
    <n v="12154.9"/>
    <n v="0"/>
    <n v="0"/>
    <n v="101"/>
    <s v="_x0000_US"/>
  </r>
  <r>
    <x v="0"/>
    <n v="13.6907"/>
    <n v="-89.233599999999996"/>
    <n v="12155.9"/>
    <n v="0"/>
    <n v="0"/>
    <n v="101"/>
    <s v="_x0000_US"/>
  </r>
  <r>
    <x v="0"/>
    <n v="13.685499999999999"/>
    <n v="-89.193399999999997"/>
    <n v="12156.8"/>
    <n v="0"/>
    <n v="0"/>
    <n v="101"/>
    <s v="_x0000_US"/>
  </r>
  <r>
    <x v="0"/>
    <n v="13.6873"/>
    <n v="-89.213899999999995"/>
    <n v="12158.6"/>
    <n v="0"/>
    <n v="0"/>
    <n v="101"/>
    <s v="_x0000_US"/>
  </r>
  <r>
    <x v="0"/>
    <n v="13.6874"/>
    <n v="-89.194299999999998"/>
    <n v="12161"/>
    <n v="0"/>
    <n v="0"/>
    <n v="101"/>
    <s v="_x0000_US"/>
  </r>
  <r>
    <x v="0"/>
    <n v="13.6914"/>
    <n v="-89.180099999999996"/>
    <n v="12166.3"/>
    <n v="0"/>
    <n v="0"/>
    <n v="101"/>
    <s v="_x0000_US"/>
  </r>
  <r>
    <x v="0"/>
    <n v="13.687900000000001"/>
    <n v="-89.205100000000002"/>
    <n v="12166.4"/>
    <n v="0"/>
    <n v="0"/>
    <n v="101"/>
    <s v="_x0000_US"/>
  </r>
  <r>
    <x v="0"/>
    <n v="13.6943"/>
    <n v="-89.185500000000005"/>
    <n v="12166.5"/>
    <n v="0"/>
    <n v="0"/>
    <n v="101"/>
    <s v="_x0000_US"/>
  </r>
  <r>
    <x v="0"/>
    <n v="13.690200000000001"/>
    <n v="-89.1798"/>
    <n v="12168.3"/>
    <n v="0"/>
    <n v="0"/>
    <n v="101"/>
    <s v="_x0000_US"/>
  </r>
  <r>
    <x v="0"/>
    <n v="13.6959"/>
    <n v="-89.165800000000004"/>
    <n v="12168.5"/>
    <n v="0"/>
    <n v="0"/>
    <n v="101"/>
    <s v="_x0000_US"/>
  </r>
  <r>
    <x v="0"/>
    <n v="13.691700000000001"/>
    <n v="-89.226699999999994"/>
    <n v="12169.5"/>
    <n v="0"/>
    <n v="0"/>
    <n v="101"/>
    <s v="_x0000_US"/>
  </r>
  <r>
    <x v="0"/>
    <n v="13.689299999999999"/>
    <n v="-89.235900000000001"/>
    <n v="12171.7"/>
    <n v="0"/>
    <n v="0"/>
    <n v="101"/>
    <s v="_x0000_US"/>
  </r>
  <r>
    <x v="0"/>
    <n v="13.6927"/>
    <n v="-89.189700000000002"/>
    <n v="12174.7"/>
    <n v="0"/>
    <n v="0"/>
    <n v="101"/>
    <s v="_x0000_US"/>
  </r>
  <r>
    <x v="0"/>
    <n v="13.692"/>
    <n v="-89.223799999999997"/>
    <n v="12175.8"/>
    <n v="0"/>
    <n v="0"/>
    <n v="101"/>
    <s v="_x0000_US"/>
  </r>
  <r>
    <x v="0"/>
    <n v="13.6919"/>
    <n v="-89.226900000000001"/>
    <n v="12176.6"/>
    <n v="0"/>
    <n v="0"/>
    <n v="101"/>
    <s v="_x0000_US"/>
  </r>
  <r>
    <x v="0"/>
    <n v="13.6922"/>
    <n v="-89.222499999999997"/>
    <n v="12177.5"/>
    <n v="0"/>
    <n v="0"/>
    <n v="101"/>
    <s v="_x0000_US"/>
  </r>
  <r>
    <x v="0"/>
    <n v="13.6967"/>
    <n v="-89.171800000000005"/>
    <n v="12179.2"/>
    <n v="0"/>
    <n v="0"/>
    <n v="101"/>
    <s v="_x0000_US"/>
  </r>
  <r>
    <x v="0"/>
    <n v="13.690200000000001"/>
    <n v="-89.234499999999997"/>
    <n v="12179.7"/>
    <n v="0"/>
    <n v="0"/>
    <n v="101"/>
    <s v="_x0000_US"/>
  </r>
  <r>
    <x v="0"/>
    <n v="13.6736"/>
    <n v="-89.203000000000003"/>
    <n v="12180.6"/>
    <n v="0"/>
    <n v="0"/>
    <n v="101"/>
    <s v="_x0000_US"/>
  </r>
  <r>
    <x v="0"/>
    <n v="13.6767"/>
    <n v="-89.199799999999996"/>
    <n v="12180.8"/>
    <n v="0"/>
    <n v="0"/>
    <n v="101"/>
    <s v="_x0000_US"/>
  </r>
  <r>
    <x v="0"/>
    <n v="13.6937"/>
    <n v="-89.173199999999994"/>
    <n v="12181.3"/>
    <n v="0"/>
    <n v="0"/>
    <n v="101"/>
    <s v="_x0000_US"/>
  </r>
  <r>
    <x v="0"/>
    <n v="13.6859"/>
    <n v="-89.214399999999998"/>
    <n v="12185.5"/>
    <n v="0"/>
    <n v="0"/>
    <n v="101"/>
    <s v="_x0000_US"/>
  </r>
  <r>
    <x v="0"/>
    <n v="13.6905"/>
    <n v="-89.2346"/>
    <n v="12186.4"/>
    <n v="0"/>
    <n v="0"/>
    <n v="101"/>
    <s v="_x0000_US"/>
  </r>
  <r>
    <x v="0"/>
    <n v="13.6854"/>
    <n v="-89.194100000000006"/>
    <n v="12187.4"/>
    <n v="0"/>
    <n v="0"/>
    <n v="101"/>
    <s v="_x0000_US"/>
  </r>
  <r>
    <x v="0"/>
    <n v="13.6899"/>
    <n v="-89.183400000000006"/>
    <n v="12190.3"/>
    <n v="0"/>
    <n v="0"/>
    <n v="101"/>
    <s v="_x0000_US"/>
  </r>
  <r>
    <x v="0"/>
    <n v="13.694599999999999"/>
    <n v="-89.182500000000005"/>
    <n v="12190.4"/>
    <n v="0"/>
    <n v="0"/>
    <n v="101"/>
    <s v="_x0000_US"/>
  </r>
  <r>
    <x v="0"/>
    <n v="13.690899999999999"/>
    <n v="-89.232500000000002"/>
    <n v="12190.9"/>
    <n v="0"/>
    <n v="0"/>
    <n v="101"/>
    <s v="_x0000_US"/>
  </r>
  <r>
    <x v="0"/>
    <n v="13.6921"/>
    <n v="-89.227000000000004"/>
    <n v="12191"/>
    <n v="0"/>
    <n v="0"/>
    <n v="101"/>
    <s v="_x0000_US"/>
  </r>
  <r>
    <x v="0"/>
    <n v="13.6882"/>
    <n v="-89.204599999999999"/>
    <n v="12192.3"/>
    <n v="0"/>
    <n v="0"/>
    <n v="101"/>
    <s v="_x0000_US"/>
  </r>
  <r>
    <x v="0"/>
    <n v="13.693"/>
    <n v="-89.183400000000006"/>
    <n v="12192.7"/>
    <n v="0"/>
    <n v="0"/>
    <n v="101"/>
    <s v="_x0000_US"/>
  </r>
  <r>
    <x v="0"/>
    <n v="13.684699999999999"/>
    <n v="-89.216800000000006"/>
    <n v="12192.7"/>
    <n v="0"/>
    <n v="0"/>
    <n v="101"/>
    <s v="_x0000_US"/>
  </r>
  <r>
    <x v="0"/>
    <n v="13.685499999999999"/>
    <n v="-89.201400000000007"/>
    <n v="12193.4"/>
    <n v="0"/>
    <n v="0"/>
    <n v="101"/>
    <s v="_x0000_US"/>
  </r>
  <r>
    <x v="0"/>
    <n v="13.692399999999999"/>
    <n v="-89.175799999999995"/>
    <n v="12193.9"/>
    <n v="0"/>
    <n v="0"/>
    <n v="101"/>
    <s v="_x0000_US"/>
  </r>
  <r>
    <x v="0"/>
    <n v="13.6912"/>
    <n v="-89.229500000000002"/>
    <n v="12194"/>
    <n v="0"/>
    <n v="0"/>
    <n v="101"/>
    <s v="_x0000_US"/>
  </r>
  <r>
    <x v="0"/>
    <n v="13.690200000000001"/>
    <n v="-89.235900000000001"/>
    <n v="12195.3"/>
    <n v="0"/>
    <n v="0"/>
    <n v="101"/>
    <s v="_x0000_US"/>
  </r>
  <r>
    <x v="0"/>
    <n v="13.692500000000001"/>
    <n v="-89.190299999999993"/>
    <n v="12196.7"/>
    <n v="0"/>
    <n v="0"/>
    <n v="101"/>
    <s v="_x0000_US"/>
  </r>
  <r>
    <x v="0"/>
    <n v="13.691599999999999"/>
    <n v="-89.232600000000005"/>
    <n v="12197.1"/>
    <n v="0"/>
    <n v="0"/>
    <n v="101"/>
    <s v="_x0000_US"/>
  </r>
  <r>
    <x v="0"/>
    <n v="13.6873"/>
    <n v="-89.191400000000002"/>
    <n v="12197.3"/>
    <n v="0"/>
    <n v="0"/>
    <n v="101"/>
    <s v="_x0000_US"/>
  </r>
  <r>
    <x v="0"/>
    <n v="13.691800000000001"/>
    <n v="-89.187700000000007"/>
    <n v="12199"/>
    <n v="0"/>
    <n v="0"/>
    <n v="101"/>
    <s v="_x0000_US"/>
  </r>
  <r>
    <x v="0"/>
    <n v="13.690300000000001"/>
    <n v="-89.181299999999993"/>
    <n v="12200"/>
    <n v="0"/>
    <n v="0"/>
    <n v="101"/>
    <s v="_x0000_US"/>
  </r>
  <r>
    <x v="0"/>
    <n v="13.6944"/>
    <n v="-89.174899999999994"/>
    <n v="12201.1"/>
    <n v="0"/>
    <n v="0"/>
    <n v="101"/>
    <s v="_x0000_US"/>
  </r>
  <r>
    <x v="0"/>
    <n v="13.687099999999999"/>
    <n v="-89.212999999999994"/>
    <n v="12201.3"/>
    <n v="0"/>
    <n v="0"/>
    <n v="101"/>
    <s v="_x0000_US"/>
  </r>
  <r>
    <x v="0"/>
    <n v="13.677"/>
    <n v="-89.248400000000004"/>
    <n v="12201.8"/>
    <n v="0"/>
    <n v="0"/>
    <n v="101"/>
    <s v="_x0000_US"/>
  </r>
  <r>
    <x v="0"/>
    <n v="13.6922"/>
    <n v="-89.179599999999994"/>
    <n v="12202"/>
    <n v="0"/>
    <n v="0"/>
    <n v="101"/>
    <s v="_x0000_US"/>
  </r>
  <r>
    <x v="0"/>
    <n v="13.694800000000001"/>
    <n v="-89.175299999999993"/>
    <n v="12205.5"/>
    <n v="0"/>
    <n v="0"/>
    <n v="101"/>
    <s v="_x0000_US"/>
  </r>
  <r>
    <x v="0"/>
    <n v="13.674899999999999"/>
    <n v="-89.1999"/>
    <n v="12206.2"/>
    <n v="0"/>
    <n v="0"/>
    <n v="101"/>
    <s v="_x0000_US"/>
  </r>
  <r>
    <x v="0"/>
    <n v="13.6899"/>
    <n v="-89.1798"/>
    <n v="12207.4"/>
    <n v="0"/>
    <n v="0"/>
    <n v="101"/>
    <s v="_x0000_US"/>
  </r>
  <r>
    <x v="0"/>
    <n v="13.6915"/>
    <n v="-89.178899999999999"/>
    <n v="12209"/>
    <n v="0"/>
    <n v="0"/>
    <n v="101"/>
    <s v="_x0000_US"/>
  </r>
  <r>
    <x v="0"/>
    <n v="13.6883"/>
    <n v="-89.190299999999993"/>
    <n v="12209.1"/>
    <n v="0"/>
    <n v="0"/>
    <n v="101"/>
    <s v="_x0000_US"/>
  </r>
  <r>
    <x v="0"/>
    <n v="13.6751"/>
    <n v="-89.252200000000002"/>
    <n v="12209.1"/>
    <n v="0"/>
    <n v="0"/>
    <n v="101"/>
    <s v="_x0000_US"/>
  </r>
  <r>
    <x v="0"/>
    <n v="13.685499999999999"/>
    <n v="-89.2012"/>
    <n v="12209.2"/>
    <n v="0"/>
    <n v="0"/>
    <n v="101"/>
    <s v="_x0000_US"/>
  </r>
  <r>
    <x v="0"/>
    <n v="13.689399999999999"/>
    <n v="-89.207599999999999"/>
    <n v="12210.5"/>
    <n v="0"/>
    <n v="0"/>
    <n v="101"/>
    <s v="_x0000_US"/>
  </r>
  <r>
    <x v="0"/>
    <n v="13.6905"/>
    <n v="-89.235699999999994"/>
    <n v="12210.8"/>
    <n v="0"/>
    <n v="0"/>
    <n v="101"/>
    <s v="_x0000_US"/>
  </r>
  <r>
    <x v="0"/>
    <n v="13.675000000000001"/>
    <n v="-89.251800000000003"/>
    <n v="12210.8"/>
    <n v="0"/>
    <n v="0"/>
    <n v="101"/>
    <s v="_x0000_US"/>
  </r>
  <r>
    <x v="0"/>
    <n v="13.686199999999999"/>
    <n v="-89.215400000000002"/>
    <n v="12212.6"/>
    <n v="0"/>
    <n v="0"/>
    <n v="101"/>
    <s v="_x0000_US"/>
  </r>
  <r>
    <x v="0"/>
    <n v="13.6869"/>
    <n v="-89.183899999999994"/>
    <n v="12212.7"/>
    <n v="0"/>
    <n v="0"/>
    <n v="101"/>
    <s v="_x0000_US"/>
  </r>
  <r>
    <x v="0"/>
    <n v="13.6952"/>
    <n v="-89.183300000000003"/>
    <n v="12213.8"/>
    <n v="0"/>
    <n v="0"/>
    <n v="101"/>
    <s v="_x0000_US"/>
  </r>
  <r>
    <x v="0"/>
    <n v="13.689500000000001"/>
    <n v="-89.197599999999994"/>
    <n v="12214"/>
    <n v="0"/>
    <n v="0"/>
    <n v="101"/>
    <s v="_x0000_US"/>
  </r>
  <r>
    <x v="0"/>
    <n v="13.6906"/>
    <n v="-89.186099999999996"/>
    <n v="12214.3"/>
    <n v="0"/>
    <n v="0"/>
    <n v="101"/>
    <s v="_x0000_US"/>
  </r>
  <r>
    <x v="0"/>
    <n v="13.6919"/>
    <n v="-89.178600000000003"/>
    <n v="12214.7"/>
    <n v="0"/>
    <n v="0"/>
    <n v="101"/>
    <s v="_x0000_US"/>
  </r>
  <r>
    <x v="0"/>
    <n v="13.676500000000001"/>
    <n v="-89.199799999999996"/>
    <n v="12216.6"/>
    <n v="0"/>
    <n v="0"/>
    <n v="101"/>
    <s v="_x0000_US"/>
  </r>
  <r>
    <x v="0"/>
    <n v="13.6914"/>
    <n v="-89.233699999999999"/>
    <n v="12216.6"/>
    <n v="0"/>
    <n v="0"/>
    <n v="101"/>
    <s v="_x0000_US"/>
  </r>
  <r>
    <x v="0"/>
    <n v="13.6876"/>
    <n v="-89.215500000000006"/>
    <n v="12217.3"/>
    <n v="0"/>
    <n v="0"/>
    <n v="101"/>
    <s v="_x0000_US"/>
  </r>
  <r>
    <x v="0"/>
    <n v="13.690899999999999"/>
    <n v="-89.233400000000003"/>
    <n v="12217.4"/>
    <n v="0"/>
    <n v="0"/>
    <n v="101"/>
    <s v="_x0000_US"/>
  </r>
  <r>
    <x v="0"/>
    <n v="13.691599999999999"/>
    <n v="-89.188100000000006"/>
    <n v="12217.5"/>
    <n v="0"/>
    <n v="0"/>
    <n v="101"/>
    <s v="_x0000_US"/>
  </r>
  <r>
    <x v="0"/>
    <n v="13.6876"/>
    <n v="-89.179599999999994"/>
    <n v="12218.8"/>
    <n v="0"/>
    <n v="0"/>
    <n v="101"/>
    <s v="_x0000_US"/>
  </r>
  <r>
    <x v="0"/>
    <n v="13.6869"/>
    <n v="-89.216099999999997"/>
    <n v="12223"/>
    <n v="0"/>
    <n v="0"/>
    <n v="101"/>
    <s v="_x0000_US"/>
  </r>
  <r>
    <x v="0"/>
    <n v="13.6937"/>
    <n v="-89.176599999999993"/>
    <n v="12223.2"/>
    <n v="0"/>
    <n v="0"/>
    <n v="101"/>
    <s v="_x0000_US"/>
  </r>
  <r>
    <x v="0"/>
    <n v="13.6913"/>
    <n v="-89.183400000000006"/>
    <n v="12223.5"/>
    <n v="0"/>
    <n v="0"/>
    <n v="101"/>
    <s v="_x0000_US"/>
  </r>
  <r>
    <x v="0"/>
    <n v="13.693199999999999"/>
    <n v="-89.19"/>
    <n v="12224"/>
    <n v="0"/>
    <n v="0"/>
    <n v="101"/>
    <s v="_x0000_US"/>
  </r>
  <r>
    <x v="0"/>
    <n v="13.687200000000001"/>
    <n v="-89.213800000000006"/>
    <n v="12224.4"/>
    <n v="0"/>
    <n v="0"/>
    <n v="101"/>
    <s v="_x0000_US"/>
  </r>
  <r>
    <x v="0"/>
    <n v="13.6898"/>
    <n v="-89.198099999999997"/>
    <n v="12225.5"/>
    <n v="0"/>
    <n v="0"/>
    <n v="101"/>
    <s v="_x0000_US"/>
  </r>
  <r>
    <x v="0"/>
    <n v="13.6913"/>
    <n v="-89.189400000000006"/>
    <n v="12225.8"/>
    <n v="0"/>
    <n v="0"/>
    <n v="101"/>
    <s v="_x0000_US"/>
  </r>
  <r>
    <x v="0"/>
    <n v="13.688700000000001"/>
    <n v="-89.229399999999998"/>
    <n v="12226.1"/>
    <n v="0"/>
    <n v="0"/>
    <n v="101"/>
    <s v="_x0000_US"/>
  </r>
  <r>
    <x v="0"/>
    <n v="13.691700000000001"/>
    <n v="-89.227199999999996"/>
    <n v="12227.6"/>
    <n v="0"/>
    <n v="0"/>
    <n v="101"/>
    <s v="_x0000_US"/>
  </r>
  <r>
    <x v="0"/>
    <n v="13.6958"/>
    <n v="-89.173599999999993"/>
    <n v="12228.1"/>
    <n v="0"/>
    <n v="0"/>
    <n v="101"/>
    <s v="_x0000_US"/>
  </r>
  <r>
    <x v="0"/>
    <n v="13.6906"/>
    <n v="-89.234999999999999"/>
    <n v="12229.2"/>
    <n v="0"/>
    <n v="0"/>
    <n v="101"/>
    <s v="_x0000_US"/>
  </r>
  <r>
    <x v="0"/>
    <n v="13.689399999999999"/>
    <n v="-89.180099999999996"/>
    <n v="12229.8"/>
    <n v="0"/>
    <n v="0"/>
    <n v="101"/>
    <s v="_x0000_US"/>
  </r>
  <r>
    <x v="0"/>
    <n v="13.6938"/>
    <n v="-89.176000000000002"/>
    <n v="12231.7"/>
    <n v="0"/>
    <n v="0"/>
    <n v="101"/>
    <s v="_x0000_US"/>
  </r>
  <r>
    <x v="0"/>
    <n v="13.6936"/>
    <n v="-89.188699999999997"/>
    <n v="12235"/>
    <n v="0"/>
    <n v="0"/>
    <n v="101"/>
    <s v="_x0000_US"/>
  </r>
  <r>
    <x v="0"/>
    <n v="13.6889"/>
    <n v="-89.190399999999997"/>
    <n v="12235.7"/>
    <n v="0"/>
    <n v="0"/>
    <n v="101"/>
    <s v="_x0000_US"/>
  </r>
  <r>
    <x v="0"/>
    <n v="13.692"/>
    <n v="-89.193299999999994"/>
    <n v="12236"/>
    <n v="0"/>
    <n v="0"/>
    <n v="101"/>
    <s v="_x0000_US"/>
  </r>
  <r>
    <x v="0"/>
    <n v="13.6753"/>
    <n v="-89.2483"/>
    <n v="12236.6"/>
    <n v="0"/>
    <n v="0"/>
    <n v="101"/>
    <s v="_x0000_US"/>
  </r>
  <r>
    <x v="0"/>
    <n v="13.6882"/>
    <n v="-89.217100000000002"/>
    <n v="12238.3"/>
    <n v="0"/>
    <n v="0"/>
    <n v="101"/>
    <s v="_x0000_US"/>
  </r>
  <r>
    <x v="0"/>
    <n v="13.6915"/>
    <n v="-89.232799999999997"/>
    <n v="12238.8"/>
    <n v="0"/>
    <n v="0"/>
    <n v="101"/>
    <s v="_x0000_US"/>
  </r>
  <r>
    <x v="0"/>
    <n v="13.6873"/>
    <n v="-89.194400000000002"/>
    <n v="12239.3"/>
    <n v="0"/>
    <n v="0"/>
    <n v="101"/>
    <s v="_x0000_US"/>
  </r>
  <r>
    <x v="0"/>
    <n v="13.6897"/>
    <n v="-89.235600000000005"/>
    <n v="12241.5"/>
    <n v="0"/>
    <n v="0"/>
    <n v="101"/>
    <s v="_x0000_US"/>
  </r>
  <r>
    <x v="0"/>
    <n v="13.6752"/>
    <n v="-89.252099999999999"/>
    <n v="12241.9"/>
    <n v="0"/>
    <n v="0"/>
    <n v="101"/>
    <s v="_x0000_US"/>
  </r>
  <r>
    <x v="0"/>
    <n v="13.688499999999999"/>
    <n v="-89.198300000000003"/>
    <n v="12242.3"/>
    <n v="0"/>
    <n v="0"/>
    <n v="101"/>
    <s v="_x0000_US"/>
  </r>
  <r>
    <x v="0"/>
    <n v="13.688599999999999"/>
    <n v="-89.189700000000002"/>
    <n v="12243.4"/>
    <n v="0"/>
    <n v="0"/>
    <n v="101"/>
    <s v="_x0000_US"/>
  </r>
  <r>
    <x v="0"/>
    <n v="13.693099999999999"/>
    <n v="-89.177199999999999"/>
    <n v="12244.2"/>
    <n v="0"/>
    <n v="0"/>
    <n v="101"/>
    <s v="_x0000_US"/>
  </r>
  <r>
    <x v="0"/>
    <n v="13.692500000000001"/>
    <n v="-89.196899999999999"/>
    <n v="12244.5"/>
    <n v="0"/>
    <n v="0"/>
    <n v="101"/>
    <s v="_x0000_US"/>
  </r>
  <r>
    <x v="0"/>
    <n v="13.695499999999999"/>
    <n v="-89.173299999999998"/>
    <n v="12245.1"/>
    <n v="0"/>
    <n v="0"/>
    <n v="101"/>
    <s v="_x0000_US"/>
  </r>
  <r>
    <x v="0"/>
    <n v="13.6943"/>
    <n v="-89.175299999999993"/>
    <n v="12245.9"/>
    <n v="0"/>
    <n v="0"/>
    <n v="101"/>
    <s v="_x0000_US"/>
  </r>
  <r>
    <x v="0"/>
    <n v="13.6881"/>
    <n v="-89.182000000000002"/>
    <n v="12246.7"/>
    <n v="0"/>
    <n v="0"/>
    <n v="101"/>
    <s v="_x0000_US"/>
  </r>
  <r>
    <x v="0"/>
    <n v="13.6753"/>
    <n v="-89.2"/>
    <n v="12249"/>
    <n v="0"/>
    <n v="0"/>
    <n v="101"/>
    <s v="_x0000_US"/>
  </r>
  <r>
    <x v="0"/>
    <n v="13.6945"/>
    <n v="-89.189099999999996"/>
    <n v="12249.6"/>
    <n v="0"/>
    <n v="0"/>
    <n v="101"/>
    <s v="_x0000_US"/>
  </r>
  <r>
    <x v="0"/>
    <n v="13.6799"/>
    <n v="-89.196299999999994"/>
    <n v="12250.2"/>
    <n v="0"/>
    <n v="0"/>
    <n v="101"/>
    <s v="_x0000_US"/>
  </r>
  <r>
    <x v="0"/>
    <n v="13.6906"/>
    <n v="-89.188900000000004"/>
    <n v="12250.3"/>
    <n v="0"/>
    <n v="0"/>
    <n v="101"/>
    <s v="_x0000_US"/>
  </r>
  <r>
    <x v="0"/>
    <n v="13.6883"/>
    <n v="-89.193799999999996"/>
    <n v="12253.4"/>
    <n v="0"/>
    <n v="0"/>
    <n v="101"/>
    <s v="_x0000_US"/>
  </r>
  <r>
    <x v="0"/>
    <n v="13.692"/>
    <n v="-89.223600000000005"/>
    <n v="12254.1"/>
    <n v="0"/>
    <n v="0"/>
    <n v="101"/>
    <s v="_x0000_US"/>
  </r>
  <r>
    <x v="0"/>
    <n v="13.6845"/>
    <n v="-89.217200000000005"/>
    <n v="12254.3"/>
    <n v="0"/>
    <n v="0"/>
    <n v="101"/>
    <s v="_x0000_US"/>
  </r>
  <r>
    <x v="0"/>
    <n v="13.6745"/>
    <n v="-89.251099999999994"/>
    <n v="12254.6"/>
    <n v="0"/>
    <n v="0"/>
    <n v="101"/>
    <s v="_x0000_US"/>
  </r>
  <r>
    <x v="0"/>
    <n v="13.6867"/>
    <n v="-89.202399999999997"/>
    <n v="12254.9"/>
    <n v="0"/>
    <n v="0"/>
    <n v="101"/>
    <s v="_x0000_US"/>
  </r>
  <r>
    <x v="0"/>
    <n v="13.687200000000001"/>
    <n v="-89.197699999999998"/>
    <n v="12255"/>
    <n v="0"/>
    <n v="0"/>
    <n v="101"/>
    <s v="_x0000_US"/>
  </r>
  <r>
    <x v="0"/>
    <n v="13.6891"/>
    <n v="-89.206599999999995"/>
    <n v="12255.1"/>
    <n v="0"/>
    <n v="0"/>
    <n v="101"/>
    <s v="_x0000_US"/>
  </r>
  <r>
    <x v="0"/>
    <n v="13.687099999999999"/>
    <n v="-89.216700000000003"/>
    <n v="12257.4"/>
    <n v="0"/>
    <n v="0"/>
    <n v="101"/>
    <s v="_x0000_US"/>
  </r>
  <r>
    <x v="0"/>
    <n v="13.6746"/>
    <n v="-89.252099999999999"/>
    <n v="12259"/>
    <n v="0"/>
    <n v="0"/>
    <n v="101"/>
    <s v="_x0000_US"/>
  </r>
  <r>
    <x v="0"/>
    <n v="13.6913"/>
    <n v="-89.219800000000006"/>
    <n v="12265.1"/>
    <n v="0"/>
    <n v="0"/>
    <n v="101"/>
    <s v="_x0000_US"/>
  </r>
  <r>
    <x v="0"/>
    <n v="13.6919"/>
    <n v="-89.226399999999998"/>
    <n v="12265.8"/>
    <n v="0"/>
    <n v="0"/>
    <n v="101"/>
    <s v="_x0000_US"/>
  </r>
  <r>
    <x v="0"/>
    <n v="13.6922"/>
    <n v="-89.183199999999999"/>
    <n v="12267.2"/>
    <n v="0"/>
    <n v="0"/>
    <n v="101"/>
    <s v="_x0000_US"/>
  </r>
  <r>
    <x v="0"/>
    <n v="13.6883"/>
    <n v="-89.1905"/>
    <n v="12268.1"/>
    <n v="0"/>
    <n v="0"/>
    <n v="101"/>
    <s v="_x0000_US"/>
  </r>
  <r>
    <x v="0"/>
    <n v="13.6899"/>
    <n v="-89.235100000000003"/>
    <n v="12268.4"/>
    <n v="0"/>
    <n v="0"/>
    <n v="101"/>
    <s v="_x0000_US"/>
  </r>
  <r>
    <x v="0"/>
    <n v="13.691599999999999"/>
    <n v="-89.186400000000006"/>
    <n v="12268.5"/>
    <n v="0"/>
    <n v="0"/>
    <n v="101"/>
    <s v="_x0000_US"/>
  </r>
  <r>
    <x v="0"/>
    <n v="13.6858"/>
    <n v="-89.213099999999997"/>
    <n v="12270"/>
    <n v="0"/>
    <n v="0"/>
    <n v="101"/>
    <s v="_x0000_US"/>
  </r>
  <r>
    <x v="0"/>
    <n v="13.677199999999999"/>
    <n v="-89.248000000000005"/>
    <n v="12271.9"/>
    <n v="0"/>
    <n v="0"/>
    <n v="101"/>
    <s v="_x0000_US"/>
  </r>
  <r>
    <x v="0"/>
    <n v="13.6899"/>
    <n v="-89.186800000000005"/>
    <n v="12272.8"/>
    <n v="0"/>
    <n v="0"/>
    <n v="101"/>
    <s v="_x0000_US"/>
  </r>
  <r>
    <x v="0"/>
    <n v="13.6915"/>
    <n v="-89.189400000000006"/>
    <n v="12273.5"/>
    <n v="0"/>
    <n v="0"/>
    <n v="101"/>
    <s v="_x0000_US"/>
  </r>
  <r>
    <x v="0"/>
    <n v="13.692399999999999"/>
    <n v="-89.196799999999996"/>
    <n v="12273.8"/>
    <n v="0"/>
    <n v="0"/>
    <n v="101"/>
    <s v="_x0000_US"/>
  </r>
  <r>
    <x v="0"/>
    <n v="13.6922"/>
    <n v="-89.184100000000001"/>
    <n v="12274.2"/>
    <n v="0"/>
    <n v="0"/>
    <n v="101"/>
    <s v="_x0000_US"/>
  </r>
  <r>
    <x v="0"/>
    <n v="13.6873"/>
    <n v="-89.197199999999995"/>
    <n v="12276.6"/>
    <n v="0"/>
    <n v="0"/>
    <n v="101"/>
    <s v="_x0000_US"/>
  </r>
  <r>
    <x v="0"/>
    <n v="13.6877"/>
    <n v="-89.194599999999994"/>
    <n v="12277.3"/>
    <n v="0"/>
    <n v="0"/>
    <n v="101"/>
    <s v="_x0000_US"/>
  </r>
  <r>
    <x v="0"/>
    <n v="13.696"/>
    <n v="-89.173000000000002"/>
    <n v="12279.1"/>
    <n v="0"/>
    <n v="0"/>
    <n v="101"/>
    <s v="_x0000_US"/>
  </r>
  <r>
    <x v="0"/>
    <n v="13.6951"/>
    <n v="-89.172200000000004"/>
    <n v="12281.4"/>
    <n v="0"/>
    <n v="0"/>
    <n v="101"/>
    <s v="_x0000_US"/>
  </r>
  <r>
    <x v="0"/>
    <n v="13.6911"/>
    <n v="-89.183099999999996"/>
    <n v="12282.8"/>
    <n v="0"/>
    <n v="0"/>
    <n v="101"/>
    <s v="_x0000_US"/>
  </r>
  <r>
    <x v="0"/>
    <n v="13.692299999999999"/>
    <n v="-89.222800000000007"/>
    <n v="12283.4"/>
    <n v="0"/>
    <n v="0"/>
    <n v="101"/>
    <s v="_x0000_US"/>
  </r>
  <r>
    <x v="0"/>
    <n v="13.691000000000001"/>
    <n v="-89.229100000000003"/>
    <n v="12285"/>
    <n v="0"/>
    <n v="0"/>
    <n v="101"/>
    <s v="_x0000_US"/>
  </r>
  <r>
    <x v="0"/>
    <n v="13.6915"/>
    <n v="-89.225700000000003"/>
    <n v="12286.2"/>
    <n v="0"/>
    <n v="0"/>
    <n v="101"/>
    <s v="_x0000_US"/>
  </r>
  <r>
    <x v="0"/>
    <n v="13.6965"/>
    <n v="-89.171800000000005"/>
    <n v="12286.8"/>
    <n v="0"/>
    <n v="0"/>
    <n v="101"/>
    <s v="_x0000_US"/>
  </r>
  <r>
    <x v="0"/>
    <n v="13.691700000000001"/>
    <n v="-89.232500000000002"/>
    <n v="12288.3"/>
    <n v="0"/>
    <n v="0"/>
    <n v="101"/>
    <s v="_x0000_US"/>
  </r>
  <r>
    <x v="0"/>
    <n v="13.6915"/>
    <n v="-89.233599999999996"/>
    <n v="12291.1"/>
    <n v="0"/>
    <n v="0"/>
    <n v="101"/>
    <s v="_x0000_US"/>
  </r>
  <r>
    <x v="0"/>
    <n v="13.6868"/>
    <n v="-89.194299999999998"/>
    <n v="12292"/>
    <n v="0"/>
    <n v="0"/>
    <n v="101"/>
    <s v="_x0000_US"/>
  </r>
  <r>
    <x v="0"/>
    <n v="13.674200000000001"/>
    <n v="-89.252499999999998"/>
    <n v="12294.5"/>
    <n v="0"/>
    <n v="0"/>
    <n v="101"/>
    <s v="_x0000_US"/>
  </r>
  <r>
    <x v="0"/>
    <n v="13.6899"/>
    <n v="-89.2286"/>
    <n v="12297"/>
    <n v="0"/>
    <n v="0"/>
    <n v="101"/>
    <s v="_x0000_US"/>
  </r>
  <r>
    <x v="0"/>
    <n v="13.686299999999999"/>
    <n v="-89.193299999999994"/>
    <n v="12299.8"/>
    <n v="0"/>
    <n v="0"/>
    <n v="101"/>
    <s v="_x0000_US"/>
  </r>
  <r>
    <x v="0"/>
    <n v="13.6799"/>
    <n v="-89.196299999999994"/>
    <n v="12304.6"/>
    <n v="0"/>
    <n v="0"/>
    <n v="101"/>
    <s v="_x0000_US"/>
  </r>
  <r>
    <x v="0"/>
    <n v="13.694000000000001"/>
    <n v="-89.186300000000003"/>
    <n v="12305.5"/>
    <n v="0"/>
    <n v="0"/>
    <n v="101"/>
    <s v="_x0000_US"/>
  </r>
  <r>
    <x v="0"/>
    <n v="13.69"/>
    <n v="-89.228499999999997"/>
    <n v="12306"/>
    <n v="0"/>
    <n v="0"/>
    <n v="101"/>
    <s v="_x0000_US"/>
  </r>
  <r>
    <x v="0"/>
    <n v="13.696999999999999"/>
    <n v="-89.171499999999995"/>
    <n v="12306.9"/>
    <n v="0"/>
    <n v="0"/>
    <n v="101"/>
    <s v="_x0000_US"/>
  </r>
  <r>
    <x v="0"/>
    <n v="13.6869"/>
    <n v="-89.214699999999993"/>
    <n v="12308.4"/>
    <n v="0"/>
    <n v="0"/>
    <n v="101"/>
    <s v="_x0000_US"/>
  </r>
  <r>
    <x v="0"/>
    <n v="13.6935"/>
    <n v="-89.188699999999997"/>
    <n v="12309.8"/>
    <n v="0"/>
    <n v="0"/>
    <n v="101"/>
    <s v="_x0000_US"/>
  </r>
  <r>
    <x v="0"/>
    <n v="13.684799999999999"/>
    <n v="-89.216200000000001"/>
    <n v="12310.2"/>
    <n v="0"/>
    <n v="0"/>
    <n v="101"/>
    <s v="_x0000_US"/>
  </r>
  <r>
    <x v="0"/>
    <n v="13.6852"/>
    <n v="-89.201700000000002"/>
    <n v="12312.9"/>
    <n v="0"/>
    <n v="0"/>
    <n v="101"/>
    <s v="_x0000_US"/>
  </r>
  <r>
    <x v="0"/>
    <n v="13.6911"/>
    <n v="-89.234300000000005"/>
    <n v="12313.6"/>
    <n v="0"/>
    <n v="0"/>
    <n v="101"/>
    <s v="_x0000_US"/>
  </r>
  <r>
    <x v="0"/>
    <n v="13.680199999999999"/>
    <n v="-89.196600000000004"/>
    <n v="12314"/>
    <n v="0"/>
    <n v="0"/>
    <n v="101"/>
    <s v="_x0000_US"/>
  </r>
  <r>
    <x v="0"/>
    <n v="13.6861"/>
    <n v="-89.198400000000007"/>
    <n v="12316.9"/>
    <n v="0"/>
    <n v="0"/>
    <n v="101"/>
    <s v="_x0000_US"/>
  </r>
  <r>
    <x v="0"/>
    <n v="13.6884"/>
    <n v="-89.190600000000003"/>
    <n v="12318.8"/>
    <n v="0"/>
    <n v="0"/>
    <n v="101"/>
    <s v="_x0000_US"/>
  </r>
  <r>
    <x v="0"/>
    <n v="13.690200000000001"/>
    <n v="-89.18"/>
    <n v="12319.2"/>
    <n v="0"/>
    <n v="0"/>
    <n v="101"/>
    <s v="_x0000_US"/>
  </r>
  <r>
    <x v="0"/>
    <n v="13.6892"/>
    <n v="-89.183899999999994"/>
    <n v="12324.9"/>
    <n v="0"/>
    <n v="0"/>
    <n v="101"/>
    <s v="_x0000_US"/>
  </r>
  <r>
    <x v="0"/>
    <n v="13.6912"/>
    <n v="-89.232699999999994"/>
    <n v="12325.1"/>
    <n v="0"/>
    <n v="0"/>
    <n v="101"/>
    <s v="_x0000_US"/>
  </r>
  <r>
    <x v="0"/>
    <n v="13.6753"/>
    <n v="-89.2"/>
    <n v="12326.2"/>
    <n v="0"/>
    <n v="0"/>
    <n v="101"/>
    <s v="_x0000_US"/>
  </r>
  <r>
    <x v="0"/>
    <n v="13.6882"/>
    <n v="-89.216899999999995"/>
    <n v="12330.2"/>
    <n v="0"/>
    <n v="0"/>
    <n v="101"/>
    <s v="_x0000_US"/>
  </r>
  <r>
    <x v="0"/>
    <n v="13.6921"/>
    <n v="-89.193700000000007"/>
    <n v="12330.4"/>
    <n v="0"/>
    <n v="0"/>
    <n v="101"/>
    <s v="_x0000_US"/>
  </r>
  <r>
    <x v="0"/>
    <n v="13.692"/>
    <n v="-89.223500000000001"/>
    <n v="12330.8"/>
    <n v="0"/>
    <n v="0"/>
    <n v="101"/>
    <s v="_x0000_US"/>
  </r>
  <r>
    <x v="0"/>
    <n v="13.6927"/>
    <n v="-89.224999999999994"/>
    <n v="12334.8"/>
    <n v="0"/>
    <n v="0"/>
    <n v="101"/>
    <s v="_x0000_US"/>
  </r>
  <r>
    <x v="0"/>
    <n v="13.6853"/>
    <n v="-89.213800000000006"/>
    <n v="12337.1"/>
    <n v="0"/>
    <n v="0"/>
    <n v="101"/>
    <s v="_x0000_US"/>
  </r>
  <r>
    <x v="0"/>
    <n v="13.6896"/>
    <n v="-89.228999999999999"/>
    <n v="12338"/>
    <n v="0"/>
    <n v="0"/>
    <n v="101"/>
    <s v="_x0000_US"/>
  </r>
  <r>
    <x v="0"/>
    <n v="13.689299999999999"/>
    <n v="-89.207400000000007"/>
    <n v="12339.6"/>
    <n v="0"/>
    <n v="0"/>
    <n v="101"/>
    <s v="_x0000_US"/>
  </r>
  <r>
    <x v="0"/>
    <n v="13.6944"/>
    <n v="-89.188999999999993"/>
    <n v="12341"/>
    <n v="0"/>
    <n v="0"/>
    <n v="101"/>
    <s v="_x0000_US"/>
  </r>
  <r>
    <x v="0"/>
    <n v="13.6866"/>
    <n v="-89.216300000000004"/>
    <n v="12344.4"/>
    <n v="0"/>
    <n v="0"/>
    <n v="101"/>
    <s v="_x0000_US"/>
  </r>
  <r>
    <x v="0"/>
    <n v="13.6858"/>
    <n v="-89.202500000000001"/>
    <n v="12346.4"/>
    <n v="0"/>
    <n v="0"/>
    <n v="101"/>
    <s v="_x0000_US"/>
  </r>
  <r>
    <x v="0"/>
    <n v="13.6891"/>
    <n v="-89.184299999999993"/>
    <n v="12347.4"/>
    <n v="0"/>
    <n v="0"/>
    <n v="101"/>
    <s v="_x0000_US"/>
  </r>
  <r>
    <x v="0"/>
    <n v="13.692"/>
    <n v="-89.186000000000007"/>
    <n v="12348.9"/>
    <n v="0"/>
    <n v="0"/>
    <n v="101"/>
    <s v="_x0000_US"/>
  </r>
  <r>
    <x v="0"/>
    <n v="13.6874"/>
    <n v="-89.197199999999995"/>
    <n v="12350.1"/>
    <n v="0"/>
    <n v="0"/>
    <n v="101"/>
    <s v="_x0000_US"/>
  </r>
  <r>
    <x v="0"/>
    <n v="13.693199999999999"/>
    <n v="-89.177499999999995"/>
    <n v="12358.9"/>
    <n v="0"/>
    <n v="0"/>
    <n v="101"/>
    <s v="_x0000_US"/>
  </r>
  <r>
    <x v="0"/>
    <n v="13.6744"/>
    <n v="-89.198999999999998"/>
    <n v="12359.1"/>
    <n v="0"/>
    <n v="0"/>
    <n v="101"/>
    <s v="_x0000_US"/>
  </r>
  <r>
    <x v="0"/>
    <n v="13.6914"/>
    <n v="-89.234300000000005"/>
    <n v="12359.8"/>
    <n v="0"/>
    <n v="0"/>
    <n v="101"/>
    <s v="_x0000_US"/>
  </r>
  <r>
    <x v="0"/>
    <n v="13.6934"/>
    <n v="-89.173000000000002"/>
    <n v="12360.4"/>
    <n v="0"/>
    <n v="0"/>
    <n v="101"/>
    <s v="_x0000_US"/>
  </r>
  <r>
    <x v="0"/>
    <n v="13.686"/>
    <n v="-89.193899999999999"/>
    <n v="12361.3"/>
    <n v="0"/>
    <n v="0"/>
    <n v="101"/>
    <s v="_x0000_US"/>
  </r>
  <r>
    <x v="0"/>
    <n v="13.6915"/>
    <n v="-89.2286"/>
    <n v="12362"/>
    <n v="0"/>
    <n v="0"/>
    <n v="101"/>
    <s v="_x0000_US"/>
  </r>
  <r>
    <x v="0"/>
    <n v="13.6877"/>
    <n v="-89.195400000000006"/>
    <n v="12365.1"/>
    <n v="0"/>
    <n v="0"/>
    <n v="101"/>
    <s v="_x0000_US"/>
  </r>
  <r>
    <x v="0"/>
    <n v="13.692500000000001"/>
    <n v="-89.223299999999995"/>
    <n v="12367.1"/>
    <n v="0"/>
    <n v="0"/>
    <n v="101"/>
    <s v="_x0000_US"/>
  </r>
  <r>
    <x v="0"/>
    <n v="13.695499999999999"/>
    <n v="-89.174199999999999"/>
    <n v="12367.9"/>
    <n v="0"/>
    <n v="0"/>
    <n v="101"/>
    <s v="_x0000_US"/>
  </r>
  <r>
    <x v="0"/>
    <n v="13.690200000000001"/>
    <n v="-89.193100000000001"/>
    <n v="12369.3"/>
    <n v="0"/>
    <n v="0"/>
    <n v="101"/>
    <s v="_x0000_US"/>
  </r>
  <r>
    <x v="0"/>
    <n v="13.689299999999999"/>
    <n v="-89.197900000000004"/>
    <n v="12369.9"/>
    <n v="0"/>
    <n v="0"/>
    <n v="101"/>
    <s v="_x0000_US"/>
  </r>
  <r>
    <x v="0"/>
    <n v="13.692"/>
    <n v="-89.194299999999998"/>
    <n v="12371.5"/>
    <n v="0"/>
    <n v="0"/>
    <n v="101"/>
    <s v="_x0000_US"/>
  </r>
  <r>
    <x v="0"/>
    <n v="13.6897"/>
    <n v="-89.194000000000003"/>
    <n v="12371.8"/>
    <n v="0"/>
    <n v="0"/>
    <n v="101"/>
    <s v="_x0000_US"/>
  </r>
  <r>
    <x v="0"/>
    <n v="13.6928"/>
    <n v="-89.174099999999996"/>
    <n v="12371.8"/>
    <n v="0"/>
    <n v="0"/>
    <n v="101"/>
    <s v="_x0000_US"/>
  </r>
  <r>
    <x v="0"/>
    <n v="13.688599999999999"/>
    <n v="-89.206699999999998"/>
    <n v="12371.9"/>
    <n v="0"/>
    <n v="0"/>
    <n v="101"/>
    <s v="_x0000_US"/>
  </r>
  <r>
    <x v="0"/>
    <n v="13.691800000000001"/>
    <n v="-89.224999999999994"/>
    <n v="12373"/>
    <n v="0"/>
    <n v="0"/>
    <n v="101"/>
    <s v="_x0000_US"/>
  </r>
  <r>
    <x v="0"/>
    <n v="13.6907"/>
    <n v="-89.197599999999994"/>
    <n v="12375.6"/>
    <n v="0"/>
    <n v="0"/>
    <n v="101"/>
    <s v="_x0000_US"/>
  </r>
  <r>
    <x v="0"/>
    <n v="13.6874"/>
    <n v="-89.204499999999996"/>
    <n v="12376.5"/>
    <n v="0"/>
    <n v="0"/>
    <n v="101"/>
    <s v="_x0000_US"/>
  </r>
  <r>
    <x v="0"/>
    <n v="13.688000000000001"/>
    <n v="-89.215599999999995"/>
    <n v="12376.7"/>
    <n v="0"/>
    <n v="0"/>
    <n v="101"/>
    <s v="_x0000_US"/>
  </r>
  <r>
    <x v="0"/>
    <n v="13.69"/>
    <n v="-89.186700000000002"/>
    <n v="12378.7"/>
    <n v="0"/>
    <n v="0"/>
    <n v="101"/>
    <s v="_x0000_US"/>
  </r>
  <r>
    <x v="0"/>
    <n v="13.6904"/>
    <n v="-89.235500000000002"/>
    <n v="12378.8"/>
    <n v="0"/>
    <n v="0"/>
    <n v="101"/>
    <s v="_x0000_US"/>
  </r>
  <r>
    <x v="0"/>
    <n v="13.6877"/>
    <n v="-89.181200000000004"/>
    <n v="12379.5"/>
    <n v="0"/>
    <n v="0"/>
    <n v="101"/>
    <s v="_x0000_US"/>
  </r>
  <r>
    <x v="0"/>
    <n v="13.6798"/>
    <n v="-89.194500000000005"/>
    <n v="12381"/>
    <n v="0"/>
    <n v="0"/>
    <n v="101"/>
    <s v="_x0000_US"/>
  </r>
  <r>
    <x v="0"/>
    <n v="13.6968"/>
    <n v="-89.171599999999998"/>
    <n v="12387.1"/>
    <n v="0"/>
    <n v="0"/>
    <n v="101"/>
    <s v="_x0000_US"/>
  </r>
  <r>
    <x v="0"/>
    <n v="13.6945"/>
    <n v="-89.174300000000002"/>
    <n v="12387.2"/>
    <n v="0"/>
    <n v="0"/>
    <n v="101"/>
    <s v="_x0000_US"/>
  </r>
  <r>
    <x v="0"/>
    <n v="13.6968"/>
    <n v="-89.171599999999998"/>
    <n v="12387.2"/>
    <n v="0"/>
    <n v="0"/>
    <n v="101"/>
    <s v="_x0000_US"/>
  </r>
  <r>
    <x v="0"/>
    <n v="13.675000000000001"/>
    <n v="-89.251800000000003"/>
    <n v="12387.9"/>
    <n v="0"/>
    <n v="0"/>
    <n v="101"/>
    <s v="_x0000_US"/>
  </r>
  <r>
    <x v="0"/>
    <n v="13.6892"/>
    <n v="-89.215999999999994"/>
    <n v="12388.4"/>
    <n v="0"/>
    <n v="0"/>
    <n v="101"/>
    <s v="_x0000_US"/>
  </r>
  <r>
    <x v="0"/>
    <n v="13.686999999999999"/>
    <n v="-89.197699999999998"/>
    <n v="12390.5"/>
    <n v="0"/>
    <n v="0"/>
    <n v="101"/>
    <s v="_x0000_US"/>
  </r>
  <r>
    <x v="0"/>
    <n v="13.6875"/>
    <n v="-89.194500000000005"/>
    <n v="12393.6"/>
    <n v="0"/>
    <n v="0"/>
    <n v="101"/>
    <s v="_x0000_US"/>
  </r>
  <r>
    <x v="0"/>
    <n v="13.6793"/>
    <n v="-89.196899999999999"/>
    <n v="12394.5"/>
    <n v="0"/>
    <n v="0"/>
    <n v="101"/>
    <s v="_x0000_US"/>
  </r>
  <r>
    <x v="0"/>
    <n v="13.6854"/>
    <n v="-89.213899999999995"/>
    <n v="12398.1"/>
    <n v="0"/>
    <n v="0"/>
    <n v="101"/>
    <s v="_x0000_US"/>
  </r>
  <r>
    <x v="0"/>
    <n v="13.692"/>
    <n v="-89.179699999999997"/>
    <n v="12398.2"/>
    <n v="0"/>
    <n v="0"/>
    <n v="101"/>
    <s v="_x0000_US"/>
  </r>
  <r>
    <x v="0"/>
    <n v="13.690799999999999"/>
    <n v="-89.189300000000003"/>
    <n v="12402.3"/>
    <n v="0"/>
    <n v="0"/>
    <n v="101"/>
    <s v="_x0000_US"/>
  </r>
  <r>
    <x v="0"/>
    <n v="13.6882"/>
    <n v="-89.216899999999995"/>
    <n v="12403.7"/>
    <n v="0"/>
    <n v="0"/>
    <n v="101"/>
    <s v="_x0000_US"/>
  </r>
  <r>
    <x v="0"/>
    <n v="13.6936"/>
    <n v="-89.176699999999997"/>
    <n v="12404.4"/>
    <n v="0"/>
    <n v="0"/>
    <n v="101"/>
    <s v="_x0000_US"/>
  </r>
  <r>
    <x v="0"/>
    <n v="13.689299999999999"/>
    <n v="-89.184100000000001"/>
    <n v="12404.6"/>
    <n v="0"/>
    <n v="0"/>
    <n v="101"/>
    <s v="_x0000_US"/>
  </r>
  <r>
    <x v="0"/>
    <n v="13.6921"/>
    <n v="-89.222399999999993"/>
    <n v="12405.6"/>
    <n v="0"/>
    <n v="0"/>
    <n v="101"/>
    <s v="_x0000_US"/>
  </r>
  <r>
    <x v="0"/>
    <n v="13.6905"/>
    <n v="-89.233599999999996"/>
    <n v="12415.7"/>
    <n v="0"/>
    <n v="0"/>
    <n v="101"/>
    <s v="_x0000_US"/>
  </r>
  <r>
    <x v="0"/>
    <n v="13.6883"/>
    <n v="-89.190700000000007"/>
    <n v="12416.7"/>
    <n v="0"/>
    <n v="0"/>
    <n v="101"/>
    <s v="_x0000_US"/>
  </r>
  <r>
    <x v="0"/>
    <n v="13.687099999999999"/>
    <n v="-89.182699999999997"/>
    <n v="12418"/>
    <n v="0"/>
    <n v="0"/>
    <n v="101"/>
    <s v="_x0000_US"/>
  </r>
  <r>
    <x v="0"/>
    <n v="13.690300000000001"/>
    <n v="-89.177499999999995"/>
    <n v="12418"/>
    <n v="0"/>
    <n v="0"/>
    <n v="101"/>
    <s v="_x0000_US"/>
  </r>
  <r>
    <x v="0"/>
    <n v="13.6942"/>
    <n v="-89.176299999999998"/>
    <n v="12418"/>
    <n v="0"/>
    <n v="0"/>
    <n v="101"/>
    <s v="_x0000_US"/>
  </r>
  <r>
    <x v="0"/>
    <n v="13.6912"/>
    <n v="-89.226500000000001"/>
    <n v="12418.4"/>
    <n v="0"/>
    <n v="0"/>
    <n v="101"/>
    <s v="_x0000_US"/>
  </r>
  <r>
    <x v="0"/>
    <n v="13.6793"/>
    <n v="-89.196700000000007"/>
    <n v="12419.2"/>
    <n v="0"/>
    <n v="0"/>
    <n v="101"/>
    <s v="_x0000_US"/>
  </r>
  <r>
    <x v="0"/>
    <n v="13.6914"/>
    <n v="-89.189400000000006"/>
    <n v="12421.2"/>
    <n v="0"/>
    <n v="0"/>
    <n v="101"/>
    <s v="_x0000_US"/>
  </r>
  <r>
    <x v="0"/>
    <n v="13.6866"/>
    <n v="-89.191299999999998"/>
    <n v="12426.9"/>
    <n v="0"/>
    <n v="0"/>
    <n v="101"/>
    <s v="_x0000_US"/>
  </r>
  <r>
    <x v="0"/>
    <n v="13.6861"/>
    <n v="-89.214100000000002"/>
    <n v="12429.2"/>
    <n v="0"/>
    <n v="0"/>
    <n v="101"/>
    <s v="_x0000_US"/>
  </r>
  <r>
    <x v="0"/>
    <n v="13.687099999999999"/>
    <n v="-89.1965"/>
    <n v="12429.6"/>
    <n v="0"/>
    <n v="0"/>
    <n v="101"/>
    <s v="_x0000_US"/>
  </r>
  <r>
    <x v="0"/>
    <n v="13.6876"/>
    <n v="-89.195099999999996"/>
    <n v="12431.9"/>
    <n v="0"/>
    <n v="0"/>
    <n v="101"/>
    <s v="_x0000_US"/>
  </r>
  <r>
    <x v="0"/>
    <n v="13.690099999999999"/>
    <n v="-89.188999999999993"/>
    <n v="12432.2"/>
    <n v="0"/>
    <n v="0"/>
    <n v="101"/>
    <s v="_x0000_US"/>
  </r>
  <r>
    <x v="0"/>
    <n v="13.6927"/>
    <n v="-89.178799999999995"/>
    <n v="12435.3"/>
    <n v="0"/>
    <n v="0"/>
    <n v="101"/>
    <s v="_x0000_US"/>
  </r>
  <r>
    <x v="0"/>
    <n v="13.6913"/>
    <n v="-89.233000000000004"/>
    <n v="12436.9"/>
    <n v="0"/>
    <n v="0"/>
    <n v="101"/>
    <s v="_x0000_US"/>
  </r>
  <r>
    <x v="0"/>
    <n v="13.6905"/>
    <n v="-89.178600000000003"/>
    <n v="12437.7"/>
    <n v="0"/>
    <n v="0"/>
    <n v="101"/>
    <s v="_x0000_US"/>
  </r>
  <r>
    <x v="0"/>
    <n v="13.6873"/>
    <n v="-89.1965"/>
    <n v="12439.9"/>
    <n v="0"/>
    <n v="0"/>
    <n v="101"/>
    <s v="_x0000_US"/>
  </r>
  <r>
    <x v="0"/>
    <n v="13.6904"/>
    <n v="-89.184100000000001"/>
    <n v="12443.3"/>
    <n v="0"/>
    <n v="0"/>
    <n v="101"/>
    <s v="_x0000_US"/>
  </r>
  <r>
    <x v="0"/>
    <n v="13.692600000000001"/>
    <n v="-89.179500000000004"/>
    <n v="12443.5"/>
    <n v="0"/>
    <n v="0"/>
    <n v="101"/>
    <s v="_x0000_US"/>
  </r>
  <r>
    <x v="0"/>
    <n v="13.673999999999999"/>
    <n v="-89.252200000000002"/>
    <n v="12445.8"/>
    <n v="0"/>
    <n v="0"/>
    <n v="101"/>
    <s v="_x0000_US"/>
  </r>
  <r>
    <x v="0"/>
    <n v="13.6869"/>
    <n v="-89.181399999999996"/>
    <n v="12446"/>
    <n v="0"/>
    <n v="0"/>
    <n v="101"/>
    <s v="_x0000_US"/>
  </r>
  <r>
    <x v="0"/>
    <n v="13.690899999999999"/>
    <n v="-89.1815"/>
    <n v="12446.1"/>
    <n v="0"/>
    <n v="0"/>
    <n v="101"/>
    <s v="_x0000_US"/>
  </r>
  <r>
    <x v="0"/>
    <n v="13.6921"/>
    <n v="-89.221900000000005"/>
    <n v="12448"/>
    <n v="0"/>
    <n v="0"/>
    <n v="101"/>
    <s v="_x0000_US"/>
  </r>
  <r>
    <x v="0"/>
    <n v="13.6876"/>
    <n v="-89.195400000000006"/>
    <n v="12448.7"/>
    <n v="0"/>
    <n v="0"/>
    <n v="101"/>
    <s v="_x0000_US"/>
  </r>
  <r>
    <x v="0"/>
    <n v="13.6914"/>
    <n v="-89.234899999999996"/>
    <n v="12449.7"/>
    <n v="0"/>
    <n v="0"/>
    <n v="101"/>
    <s v="_x0000_US"/>
  </r>
  <r>
    <x v="0"/>
    <n v="13.6876"/>
    <n v="-89.216499999999996"/>
    <n v="12450.6"/>
    <n v="0"/>
    <n v="0"/>
    <n v="101"/>
    <s v="_x0000_US"/>
  </r>
  <r>
    <x v="0"/>
    <n v="13.6854"/>
    <n v="-89.215500000000006"/>
    <n v="12450.8"/>
    <n v="0"/>
    <n v="0"/>
    <n v="101"/>
    <s v="_x0000_US"/>
  </r>
  <r>
    <x v="0"/>
    <n v="13.690799999999999"/>
    <n v="-89.234899999999996"/>
    <n v="12452"/>
    <n v="0"/>
    <n v="0"/>
    <n v="101"/>
    <s v="_x0000_US"/>
  </r>
  <r>
    <x v="0"/>
    <n v="13.691000000000001"/>
    <n v="-89.235200000000006"/>
    <n v="12456.5"/>
    <n v="0"/>
    <n v="0"/>
    <n v="101"/>
    <s v="_x0000_US"/>
  </r>
  <r>
    <x v="0"/>
    <n v="13.6945"/>
    <n v="-89.175700000000006"/>
    <n v="12458.9"/>
    <n v="0"/>
    <n v="0"/>
    <n v="101"/>
    <s v="_x0000_US"/>
  </r>
  <r>
    <x v="0"/>
    <n v="13.686400000000001"/>
    <n v="-89.213499999999996"/>
    <n v="12459.6"/>
    <n v="0"/>
    <n v="0"/>
    <n v="101"/>
    <s v="_x0000_US"/>
  </r>
  <r>
    <x v="0"/>
    <n v="13.685700000000001"/>
    <n v="-89.211200000000005"/>
    <n v="12461.7"/>
    <n v="0"/>
    <n v="0"/>
    <n v="101"/>
    <s v="_x0000_US"/>
  </r>
  <r>
    <x v="0"/>
    <n v="13.684900000000001"/>
    <n v="-89.212500000000006"/>
    <n v="12461.8"/>
    <n v="0"/>
    <n v="0"/>
    <n v="101"/>
    <s v="_x0000_US"/>
  </r>
  <r>
    <x v="0"/>
    <n v="13.6883"/>
    <n v="-89.216399999999993"/>
    <n v="12462.7"/>
    <n v="0"/>
    <n v="0"/>
    <n v="101"/>
    <s v="_x0000_US"/>
  </r>
  <r>
    <x v="0"/>
    <n v="13.6738"/>
    <n v="-89.202600000000004"/>
    <n v="12464.4"/>
    <n v="0"/>
    <n v="0"/>
    <n v="101"/>
    <s v="_x0000_US"/>
  </r>
  <r>
    <x v="0"/>
    <n v="13.691700000000001"/>
    <n v="-89.227099999999993"/>
    <n v="12466.2"/>
    <n v="0"/>
    <n v="0"/>
    <n v="101"/>
    <s v="_x0000_US"/>
  </r>
  <r>
    <x v="0"/>
    <n v="13.6853"/>
    <n v="-89.193600000000004"/>
    <n v="12467"/>
    <n v="0"/>
    <n v="0"/>
    <n v="101"/>
    <s v="_x0000_US"/>
  </r>
  <r>
    <x v="0"/>
    <n v="13.685700000000001"/>
    <n v="-89.203000000000003"/>
    <n v="12467.5"/>
    <n v="0"/>
    <n v="0"/>
    <n v="101"/>
    <s v="_x0000_US"/>
  </r>
  <r>
    <x v="0"/>
    <n v="13.692"/>
    <n v="-89.194299999999998"/>
    <n v="12469"/>
    <n v="0"/>
    <n v="0"/>
    <n v="101"/>
    <s v="_x0000_US"/>
  </r>
  <r>
    <x v="0"/>
    <n v="13.6972"/>
    <n v="-89.171800000000005"/>
    <n v="12472.1"/>
    <n v="0"/>
    <n v="0"/>
    <n v="101"/>
    <s v="_x0000_US"/>
  </r>
  <r>
    <x v="0"/>
    <n v="13.6899"/>
    <n v="-89.177599999999998"/>
    <n v="12474"/>
    <n v="0"/>
    <n v="0"/>
    <n v="101"/>
    <s v="_x0000_US"/>
  </r>
  <r>
    <x v="0"/>
    <n v="13.696199999999999"/>
    <n v="-89.172600000000003"/>
    <n v="12475.4"/>
    <n v="0"/>
    <n v="0"/>
    <n v="101"/>
    <s v="_x0000_US"/>
  </r>
  <r>
    <x v="0"/>
    <n v="13.673500000000001"/>
    <n v="-89.251400000000004"/>
    <n v="12479"/>
    <n v="0"/>
    <n v="0"/>
    <n v="101"/>
    <s v="_x0000_US"/>
  </r>
  <r>
    <x v="0"/>
    <n v="13.6943"/>
    <n v="-89.1755"/>
    <n v="12480.2"/>
    <n v="0"/>
    <n v="0"/>
    <n v="101"/>
    <s v="_x0000_US"/>
  </r>
  <r>
    <x v="0"/>
    <n v="13.69"/>
    <n v="-89.216700000000003"/>
    <n v="12480.8"/>
    <n v="0"/>
    <n v="0"/>
    <n v="101"/>
    <s v="_x0000_US"/>
  </r>
  <r>
    <x v="0"/>
    <n v="13.674300000000001"/>
    <n v="-89.252499999999998"/>
    <n v="12481"/>
    <n v="0"/>
    <n v="0"/>
    <n v="101"/>
    <s v="_x0000_US"/>
  </r>
  <r>
    <x v="0"/>
    <n v="13.6914"/>
    <n v="-89.183700000000002"/>
    <n v="12481.9"/>
    <n v="0"/>
    <n v="0"/>
    <n v="101"/>
    <s v="_x0000_US"/>
  </r>
  <r>
    <x v="0"/>
    <n v="13.694599999999999"/>
    <n v="-89.174400000000006"/>
    <n v="12482"/>
    <n v="0"/>
    <n v="0"/>
    <n v="101"/>
    <s v="_x0000_US"/>
  </r>
  <r>
    <x v="0"/>
    <n v="13.6899"/>
    <n v="-89.189400000000006"/>
    <n v="12485.7"/>
    <n v="0"/>
    <n v="0"/>
    <n v="101"/>
    <s v="_x0000_US"/>
  </r>
  <r>
    <x v="0"/>
    <n v="13.6891"/>
    <n v="-89.183899999999994"/>
    <n v="12486.5"/>
    <n v="0"/>
    <n v="0"/>
    <n v="101"/>
    <s v="_x0000_US"/>
  </r>
  <r>
    <x v="0"/>
    <n v="13.6739"/>
    <n v="-89.203000000000003"/>
    <n v="12486.9"/>
    <n v="0"/>
    <n v="0"/>
    <n v="101"/>
    <s v="_x0000_US"/>
  </r>
  <r>
    <x v="0"/>
    <n v="13.687900000000001"/>
    <n v="-89.212199999999996"/>
    <n v="12487.4"/>
    <n v="0"/>
    <n v="0"/>
    <n v="101"/>
    <s v="_x0000_US"/>
  </r>
  <r>
    <x v="0"/>
    <n v="13.6869"/>
    <n v="-89.1815"/>
    <n v="12491"/>
    <n v="0"/>
    <n v="0"/>
    <n v="101"/>
    <s v="_x0000_US"/>
  </r>
  <r>
    <x v="0"/>
    <n v="13.6899"/>
    <n v="-89.229200000000006"/>
    <n v="12491.5"/>
    <n v="0"/>
    <n v="0"/>
    <n v="101"/>
    <s v="_x0000_US"/>
  </r>
  <r>
    <x v="0"/>
    <n v="13.6914"/>
    <n v="-89.194000000000003"/>
    <n v="12493.7"/>
    <n v="0"/>
    <n v="0"/>
    <n v="101"/>
    <s v="_x0000_US"/>
  </r>
  <r>
    <x v="0"/>
    <n v="13.6782"/>
    <n v="-89.196399999999997"/>
    <n v="12495.7"/>
    <n v="0"/>
    <n v="0"/>
    <n v="101"/>
    <s v="_x0000_US"/>
  </r>
  <r>
    <x v="0"/>
    <n v="13.693"/>
    <n v="-89.189800000000005"/>
    <n v="12496.5"/>
    <n v="0"/>
    <n v="0"/>
    <n v="101"/>
    <s v="_x0000_US"/>
  </r>
  <r>
    <x v="0"/>
    <n v="13.677199999999999"/>
    <n v="-89.248099999999994"/>
    <n v="12496.8"/>
    <n v="0"/>
    <n v="0"/>
    <n v="101"/>
    <s v="_x0000_US"/>
  </r>
  <r>
    <x v="0"/>
    <n v="13.685"/>
    <n v="-89.216800000000006"/>
    <n v="12497.7"/>
    <n v="0"/>
    <n v="0"/>
    <n v="101"/>
    <s v="_x0000_US"/>
  </r>
  <r>
    <x v="0"/>
    <n v="13.688599999999999"/>
    <n v="-89.229699999999994"/>
    <n v="12498.1"/>
    <n v="0"/>
    <n v="0"/>
    <n v="101"/>
    <s v="_x0000_US"/>
  </r>
  <r>
    <x v="0"/>
    <n v="13.6859"/>
    <n v="-89.215400000000002"/>
    <n v="12498.3"/>
    <n v="0"/>
    <n v="0"/>
    <n v="101"/>
    <s v="_x0000_US"/>
  </r>
  <r>
    <x v="0"/>
    <n v="13.679600000000001"/>
    <n v="-89.194400000000002"/>
    <n v="12501"/>
    <n v="0"/>
    <n v="0"/>
    <n v="101"/>
    <s v="_x0000_US"/>
  </r>
  <r>
    <x v="0"/>
    <n v="13.69"/>
    <n v="-89.180099999999996"/>
    <n v="12501.2"/>
    <n v="0"/>
    <n v="0"/>
    <n v="101"/>
    <s v="_x0000_US"/>
  </r>
  <r>
    <x v="0"/>
    <n v="13.6942"/>
    <n v="-89.172899999999998"/>
    <n v="12501.4"/>
    <n v="0"/>
    <n v="0"/>
    <n v="101"/>
    <s v="_x0000_US"/>
  </r>
  <r>
    <x v="0"/>
    <n v="13.6859"/>
    <n v="-89.194000000000003"/>
    <n v="12503.4"/>
    <n v="0"/>
    <n v="0"/>
    <n v="101"/>
    <s v="_x0000_US"/>
  </r>
  <r>
    <x v="0"/>
    <n v="13.69"/>
    <n v="-89.184100000000001"/>
    <n v="12503.6"/>
    <n v="0"/>
    <n v="0"/>
    <n v="101"/>
    <s v="_x0000_US"/>
  </r>
  <r>
    <x v="0"/>
    <n v="13.692"/>
    <n v="-89.175600000000003"/>
    <n v="12504.3"/>
    <n v="0"/>
    <n v="0"/>
    <n v="101"/>
    <s v="_x0000_US"/>
  </r>
  <r>
    <x v="0"/>
    <n v="13.6936"/>
    <n v="-89.175899999999999"/>
    <n v="12506"/>
    <n v="0"/>
    <n v="0"/>
    <n v="101"/>
    <s v="_x0000_US"/>
  </r>
  <r>
    <x v="0"/>
    <n v="13.694699999999999"/>
    <n v="-89.174000000000007"/>
    <n v="12508.8"/>
    <n v="0"/>
    <n v="0"/>
    <n v="101"/>
    <s v="_x0000_US"/>
  </r>
  <r>
    <x v="0"/>
    <n v="13.691599999999999"/>
    <n v="-89.233699999999999"/>
    <n v="12510.4"/>
    <n v="0"/>
    <n v="0"/>
    <n v="101"/>
    <s v="_x0000_US"/>
  </r>
  <r>
    <x v="0"/>
    <n v="13.6914"/>
    <n v="-89.233400000000003"/>
    <n v="12512.5"/>
    <n v="0"/>
    <n v="0"/>
    <n v="101"/>
    <s v="_x0000_US"/>
  </r>
  <r>
    <x v="0"/>
    <n v="13.687099999999999"/>
    <n v="-89.194800000000001"/>
    <n v="12513.6"/>
    <n v="0"/>
    <n v="0"/>
    <n v="101"/>
    <s v="_x0000_US"/>
  </r>
  <r>
    <x v="0"/>
    <n v="13.691800000000001"/>
    <n v="-89.182000000000002"/>
    <n v="12515.4"/>
    <n v="0"/>
    <n v="0"/>
    <n v="101"/>
    <s v="_x0000_US"/>
  </r>
  <r>
    <x v="0"/>
    <n v="13.6911"/>
    <n v="-89.228899999999996"/>
    <n v="12515.4"/>
    <n v="0"/>
    <n v="0"/>
    <n v="101"/>
    <s v="_x0000_US"/>
  </r>
  <r>
    <x v="0"/>
    <n v="13.692500000000001"/>
    <n v="-89.174599999999998"/>
    <n v="12515.5"/>
    <n v="0"/>
    <n v="0"/>
    <n v="101"/>
    <s v="_x0000_US"/>
  </r>
  <r>
    <x v="0"/>
    <n v="13.6884"/>
    <n v="-89.204300000000003"/>
    <n v="12518"/>
    <n v="0"/>
    <n v="0"/>
    <n v="101"/>
    <s v="_x0000_US"/>
  </r>
  <r>
    <x v="0"/>
    <n v="13.685"/>
    <n v="-89.216899999999995"/>
    <n v="12518.1"/>
    <n v="0"/>
    <n v="0"/>
    <n v="101"/>
    <s v="_x0000_US"/>
  </r>
  <r>
    <x v="0"/>
    <n v="13.6873"/>
    <n v="-89.194900000000004"/>
    <n v="12521"/>
    <n v="0"/>
    <n v="0"/>
    <n v="101"/>
    <s v="_x0000_US"/>
  </r>
  <r>
    <x v="0"/>
    <n v="13.691700000000001"/>
    <n v="-89.186000000000007"/>
    <n v="12521.4"/>
    <n v="0"/>
    <n v="0"/>
    <n v="101"/>
    <s v="_x0000_US"/>
  </r>
  <r>
    <x v="0"/>
    <n v="13.684699999999999"/>
    <n v="-89.213999999999999"/>
    <n v="12522.5"/>
    <n v="0"/>
    <n v="0"/>
    <n v="101"/>
    <s v="_x0000_US"/>
  </r>
  <r>
    <x v="0"/>
    <n v="13.6911"/>
    <n v="-89.235600000000005"/>
    <n v="12522.7"/>
    <n v="0"/>
    <n v="0"/>
    <n v="101"/>
    <s v="_x0000_US"/>
  </r>
  <r>
    <x v="0"/>
    <n v="13.6928"/>
    <n v="-89.224800000000002"/>
    <n v="12524.5"/>
    <n v="0"/>
    <n v="0"/>
    <n v="101"/>
    <s v="_x0000_US"/>
  </r>
  <r>
    <x v="0"/>
    <n v="13.6929"/>
    <n v="-89.224500000000006"/>
    <n v="12525.1"/>
    <n v="0"/>
    <n v="0"/>
    <n v="101"/>
    <s v="_x0000_US"/>
  </r>
  <r>
    <x v="0"/>
    <n v="13.6875"/>
    <n v="-89.197199999999995"/>
    <n v="12525.6"/>
    <n v="0"/>
    <n v="0"/>
    <n v="101"/>
    <s v="_x0000_US"/>
  </r>
  <r>
    <x v="0"/>
    <n v="13.6877"/>
    <n v="-89.194599999999994"/>
    <n v="12525.8"/>
    <n v="0"/>
    <n v="0"/>
    <n v="101"/>
    <s v="_x0000_US"/>
  </r>
  <r>
    <x v="0"/>
    <n v="13.6907"/>
    <n v="-89.233699999999999"/>
    <n v="12526.2"/>
    <n v="0"/>
    <n v="0"/>
    <n v="101"/>
    <s v="_x0000_US"/>
  </r>
  <r>
    <x v="0"/>
    <n v="13.6919"/>
    <n v="-89.226799999999997"/>
    <n v="12527.4"/>
    <n v="0"/>
    <n v="0"/>
    <n v="101"/>
    <s v="_x0000_US"/>
  </r>
  <r>
    <x v="0"/>
    <n v="13.6755"/>
    <n v="-89.247799999999998"/>
    <n v="12531.5"/>
    <n v="0"/>
    <n v="0"/>
    <n v="101"/>
    <s v="_x0000_US"/>
  </r>
  <r>
    <x v="0"/>
    <n v="13.6967"/>
    <n v="-89.171499999999995"/>
    <n v="12532.4"/>
    <n v="0"/>
    <n v="0"/>
    <n v="101"/>
    <s v="_x0000_US"/>
  </r>
  <r>
    <x v="0"/>
    <n v="13.680999999999999"/>
    <n v="-89.195899999999995"/>
    <n v="12535.9"/>
    <n v="0"/>
    <n v="0"/>
    <n v="101"/>
    <s v="_x0000_US"/>
  </r>
  <r>
    <x v="0"/>
    <n v="13.690300000000001"/>
    <n v="-89.217399999999998"/>
    <n v="12537.7"/>
    <n v="0"/>
    <n v="0"/>
    <n v="101"/>
    <s v="_x0000_US"/>
  </r>
  <r>
    <x v="0"/>
    <n v="13.6854"/>
    <n v="-89.211399999999998"/>
    <n v="12541.3"/>
    <n v="0"/>
    <n v="0"/>
    <n v="101"/>
    <s v="_x0000_US"/>
  </r>
  <r>
    <x v="0"/>
    <n v="13.6928"/>
    <n v="-89.178100000000001"/>
    <n v="12542.1"/>
    <n v="0"/>
    <n v="0"/>
    <n v="101"/>
    <s v="_x0000_US"/>
  </r>
  <r>
    <x v="0"/>
    <n v="13.6899"/>
    <n v="-89.189700000000002"/>
    <n v="12542.2"/>
    <n v="0"/>
    <n v="0"/>
    <n v="101"/>
    <s v="_x0000_US"/>
  </r>
  <r>
    <x v="0"/>
    <n v="13.6911"/>
    <n v="-89.234300000000005"/>
    <n v="12545.4"/>
    <n v="0"/>
    <n v="0"/>
    <n v="101"/>
    <s v="_x0000_US"/>
  </r>
  <r>
    <x v="0"/>
    <n v="13.691800000000001"/>
    <n v="-89.186400000000006"/>
    <n v="12548.8"/>
    <n v="0"/>
    <n v="0"/>
    <n v="101"/>
    <s v="_x0000_US"/>
  </r>
  <r>
    <x v="0"/>
    <n v="13.6892"/>
    <n v="-89.184899999999999"/>
    <n v="12549.2"/>
    <n v="0"/>
    <n v="0"/>
    <n v="101"/>
    <s v="_x0000_US"/>
  </r>
  <r>
    <x v="0"/>
    <n v="13.688700000000001"/>
    <n v="-89.189700000000002"/>
    <n v="12550.9"/>
    <n v="0"/>
    <n v="0"/>
    <n v="101"/>
    <s v="_x0000_US"/>
  </r>
  <r>
    <x v="0"/>
    <n v="13.6936"/>
    <n v="-89.188800000000001"/>
    <n v="12551.2"/>
    <n v="0"/>
    <n v="0"/>
    <n v="101"/>
    <s v="_x0000_US"/>
  </r>
  <r>
    <x v="0"/>
    <n v="13.691000000000001"/>
    <n v="-89.179100000000005"/>
    <n v="12551.3"/>
    <n v="0"/>
    <n v="0"/>
    <n v="101"/>
    <s v="_x0000_US"/>
  </r>
  <r>
    <x v="0"/>
    <n v="13.6897"/>
    <n v="-89.177599999999998"/>
    <n v="12556.8"/>
    <n v="0"/>
    <n v="0"/>
    <n v="101"/>
    <s v="_x0000_US"/>
  </r>
  <r>
    <x v="0"/>
    <n v="13.6911"/>
    <n v="-89.233400000000003"/>
    <n v="12562.3"/>
    <n v="0"/>
    <n v="0"/>
    <n v="101"/>
    <s v="_x0000_US"/>
  </r>
  <r>
    <x v="0"/>
    <n v="13.687900000000001"/>
    <n v="-89.179599999999994"/>
    <n v="12565.6"/>
    <n v="0"/>
    <n v="0"/>
    <n v="101"/>
    <s v="_x0000_US"/>
  </r>
  <r>
    <x v="0"/>
    <n v="13.6938"/>
    <n v="-89.1755"/>
    <n v="12568.3"/>
    <n v="0"/>
    <n v="0"/>
    <n v="101"/>
    <s v="_x0000_US"/>
  </r>
  <r>
    <x v="0"/>
    <n v="13.6896"/>
    <n v="-89.228899999999996"/>
    <n v="12577.4"/>
    <n v="0"/>
    <n v="0"/>
    <n v="101"/>
    <s v="_x0000_US"/>
  </r>
  <r>
    <x v="0"/>
    <n v="13.685600000000001"/>
    <n v="-89.215100000000007"/>
    <n v="12578.3"/>
    <n v="0"/>
    <n v="0"/>
    <n v="101"/>
    <s v="_x0000_US"/>
  </r>
  <r>
    <x v="0"/>
    <n v="13.686999999999999"/>
    <n v="-89.197000000000003"/>
    <n v="12579"/>
    <n v="0"/>
    <n v="0"/>
    <n v="101"/>
    <s v="_x0000_US"/>
  </r>
  <r>
    <x v="0"/>
    <n v="13.694000000000001"/>
    <n v="-89.173299999999998"/>
    <n v="12580.1"/>
    <n v="0"/>
    <n v="0"/>
    <n v="101"/>
    <s v="_x0000_US"/>
  </r>
  <r>
    <x v="0"/>
    <n v="13.6938"/>
    <n v="-89.186400000000006"/>
    <n v="12580.8"/>
    <n v="0"/>
    <n v="0"/>
    <n v="101"/>
    <s v="_x0000_US"/>
  </r>
  <r>
    <x v="0"/>
    <n v="13.6882"/>
    <n v="-89.182699999999997"/>
    <n v="12585.1"/>
    <n v="0"/>
    <n v="0"/>
    <n v="101"/>
    <s v="_x0000_US"/>
  </r>
  <r>
    <x v="0"/>
    <n v="13.689399999999999"/>
    <n v="-89.194299999999998"/>
    <n v="12585.1"/>
    <n v="0"/>
    <n v="0"/>
    <n v="101"/>
    <s v="_x0000_US"/>
  </r>
  <r>
    <x v="0"/>
    <n v="13.6874"/>
    <n v="-89.195599999999999"/>
    <n v="12587.7"/>
    <n v="0"/>
    <n v="0"/>
    <n v="101"/>
    <s v="_x0000_US"/>
  </r>
  <r>
    <x v="0"/>
    <n v="13.69"/>
    <n v="-89.177499999999995"/>
    <n v="12591.5"/>
    <n v="0"/>
    <n v="0"/>
    <n v="101"/>
    <s v="_x0000_US"/>
  </r>
  <r>
    <x v="0"/>
    <n v="13.6913"/>
    <n v="-89.226299999999995"/>
    <n v="12593.6"/>
    <n v="0"/>
    <n v="0"/>
    <n v="101"/>
    <s v="_x0000_US"/>
  </r>
  <r>
    <x v="0"/>
    <n v="13.689500000000001"/>
    <n v="-89.228999999999999"/>
    <n v="12597.6"/>
    <n v="0"/>
    <n v="0"/>
    <n v="101"/>
    <s v="_x0000_US"/>
  </r>
  <r>
    <x v="0"/>
    <n v="13.696300000000001"/>
    <n v="-89.171599999999998"/>
    <n v="12598.1"/>
    <n v="0"/>
    <n v="0"/>
    <n v="101"/>
    <s v="_x0000_US"/>
  </r>
  <r>
    <x v="0"/>
    <n v="13.6904"/>
    <n v="-89.235500000000002"/>
    <n v="12602"/>
    <n v="0"/>
    <n v="0"/>
    <n v="101"/>
    <s v="_x0000_US"/>
  </r>
  <r>
    <x v="0"/>
    <n v="13.6896"/>
    <n v="-89.235699999999994"/>
    <n v="12605.1"/>
    <n v="0"/>
    <n v="0"/>
    <n v="101"/>
    <s v="_x0000_US"/>
  </r>
  <r>
    <x v="0"/>
    <n v="13.696099999999999"/>
    <n v="-89.172899999999998"/>
    <n v="12605.9"/>
    <n v="0"/>
    <n v="0"/>
    <n v="101"/>
    <s v="_x0000_US"/>
  </r>
  <r>
    <x v="0"/>
    <n v="13.6898"/>
    <n v="-89.184799999999996"/>
    <n v="12608.8"/>
    <n v="0"/>
    <n v="0"/>
    <n v="101"/>
    <s v="_x0000_US"/>
  </r>
  <r>
    <x v="0"/>
    <n v="13.6873"/>
    <n v="-89.193399999999997"/>
    <n v="12615.5"/>
    <n v="0"/>
    <n v="0"/>
    <n v="101"/>
    <s v="_x0000_US"/>
  </r>
  <r>
    <x v="0"/>
    <n v="13.689399999999999"/>
    <n v="-89.177499999999995"/>
    <n v="12624.1"/>
    <n v="0"/>
    <n v="0"/>
    <n v="101"/>
    <s v="_x0000_US"/>
  </r>
  <r>
    <x v="0"/>
    <n v="13.692600000000001"/>
    <n v="-89.223299999999995"/>
    <n v="12625.5"/>
    <n v="0"/>
    <n v="0"/>
    <n v="101"/>
    <s v="_x0000_US"/>
  </r>
  <r>
    <x v="0"/>
    <n v="13.6928"/>
    <n v="-89.178399999999996"/>
    <n v="12626.4"/>
    <n v="0"/>
    <n v="0"/>
    <n v="101"/>
    <s v="_x0000_US"/>
  </r>
  <r>
    <x v="0"/>
    <n v="13.6891"/>
    <n v="-89.235900000000001"/>
    <n v="12626.6"/>
    <n v="0"/>
    <n v="0"/>
    <n v="101"/>
    <s v="_x0000_US"/>
  </r>
  <r>
    <x v="0"/>
    <n v="13.686999999999999"/>
    <n v="-89.202500000000001"/>
    <n v="12628.8"/>
    <n v="0"/>
    <n v="0"/>
    <n v="101"/>
    <s v="_x0000_US"/>
  </r>
  <r>
    <x v="0"/>
    <n v="13.6922"/>
    <n v="-89.1935"/>
    <n v="12630.5"/>
    <n v="0"/>
    <n v="0"/>
    <n v="101"/>
    <s v="_x0000_US"/>
  </r>
  <r>
    <x v="0"/>
    <n v="13.6927"/>
    <n v="-89.224699999999999"/>
    <n v="12630.7"/>
    <n v="0"/>
    <n v="0"/>
    <n v="101"/>
    <s v="_x0000_US"/>
  </r>
  <r>
    <x v="0"/>
    <n v="13.694800000000001"/>
    <n v="-89.1751"/>
    <n v="12635.7"/>
    <n v="0"/>
    <n v="0"/>
    <n v="101"/>
    <s v="_x0000_US"/>
  </r>
  <r>
    <x v="0"/>
    <n v="13.6874"/>
    <n v="-89.194800000000001"/>
    <n v="12639.5"/>
    <n v="0"/>
    <n v="0"/>
    <n v="101"/>
    <s v="_x0000_US"/>
  </r>
  <r>
    <x v="0"/>
    <n v="13.6922"/>
    <n v="-89.177700000000002"/>
    <n v="12639.9"/>
    <n v="0"/>
    <n v="0"/>
    <n v="101"/>
    <s v="_x0000_US"/>
  </r>
  <r>
    <x v="0"/>
    <n v="13.692"/>
    <n v="-89.194199999999995"/>
    <n v="12640.3"/>
    <n v="0"/>
    <n v="0"/>
    <n v="101"/>
    <s v="_x0000_US"/>
  </r>
  <r>
    <x v="0"/>
    <n v="13.6922"/>
    <n v="-89.197000000000003"/>
    <n v="12643.2"/>
    <n v="0"/>
    <n v="0"/>
    <n v="101"/>
    <s v="_x0000_US"/>
  </r>
  <r>
    <x v="0"/>
    <n v="13.692"/>
    <n v="-89.180300000000003"/>
    <n v="12644.6"/>
    <n v="0"/>
    <n v="0"/>
    <n v="101"/>
    <s v="_x0000_US"/>
  </r>
  <r>
    <x v="0"/>
    <n v="13.6898"/>
    <n v="-89.181600000000003"/>
    <n v="12646.8"/>
    <n v="0"/>
    <n v="0"/>
    <n v="101"/>
    <s v="_x0000_US"/>
  </r>
  <r>
    <x v="0"/>
    <n v="13.6928"/>
    <n v="-89.224400000000003"/>
    <n v="12647.7"/>
    <n v="0"/>
    <n v="0"/>
    <n v="101"/>
    <s v="_x0000_US"/>
  </r>
  <r>
    <x v="0"/>
    <n v="13.684699999999999"/>
    <n v="-89.211100000000002"/>
    <n v="12650"/>
    <n v="0"/>
    <n v="0"/>
    <n v="101"/>
    <s v="_x0000_US"/>
  </r>
  <r>
    <x v="0"/>
    <n v="13.68"/>
    <n v="-89.196299999999994"/>
    <n v="12650.8"/>
    <n v="0"/>
    <n v="0"/>
    <n v="101"/>
    <s v="_x0000_US"/>
  </r>
  <r>
    <x v="0"/>
    <n v="13.6744"/>
    <n v="-89.202699999999993"/>
    <n v="12652.4"/>
    <n v="0"/>
    <n v="0"/>
    <n v="101"/>
    <s v="_x0000_US"/>
  </r>
  <r>
    <x v="0"/>
    <n v="13.695"/>
    <n v="-89.173900000000003"/>
    <n v="12654.3"/>
    <n v="0"/>
    <n v="0"/>
    <n v="101"/>
    <s v="_x0000_US"/>
  </r>
  <r>
    <x v="0"/>
    <n v="13.6914"/>
    <n v="-89.2286"/>
    <n v="12655.7"/>
    <n v="0"/>
    <n v="0"/>
    <n v="101"/>
    <s v="_x0000_US"/>
  </r>
  <r>
    <x v="0"/>
    <n v="13.6892"/>
    <n v="-89.181200000000004"/>
    <n v="12656.5"/>
    <n v="0"/>
    <n v="0"/>
    <n v="101"/>
    <s v="_x0000_US"/>
  </r>
  <r>
    <x v="0"/>
    <n v="13.6858"/>
    <n v="-89.215400000000002"/>
    <n v="12658.1"/>
    <n v="0"/>
    <n v="0"/>
    <n v="101"/>
    <s v="_x0000_US"/>
  </r>
  <r>
    <x v="0"/>
    <n v="13.6869"/>
    <n v="-89.215699999999998"/>
    <n v="12659"/>
    <n v="0"/>
    <n v="0"/>
    <n v="101"/>
    <s v="_x0000_US"/>
  </r>
  <r>
    <x v="0"/>
    <n v="13.690099999999999"/>
    <n v="-89.235399999999998"/>
    <n v="12661.3"/>
    <n v="0"/>
    <n v="0"/>
    <n v="101"/>
    <s v="_x0000_US"/>
  </r>
  <r>
    <x v="0"/>
    <n v="13.6874"/>
    <n v="-89.182000000000002"/>
    <n v="12664.2"/>
    <n v="0"/>
    <n v="0"/>
    <n v="101"/>
    <s v="_x0000_US"/>
  </r>
  <r>
    <x v="0"/>
    <n v="13.687900000000001"/>
    <n v="-89.180199999999999"/>
    <n v="12664.9"/>
    <n v="0"/>
    <n v="0"/>
    <n v="101"/>
    <s v="_x0000_US"/>
  </r>
  <r>
    <x v="0"/>
    <n v="13.6921"/>
    <n v="-89.222200000000001"/>
    <n v="12666.8"/>
    <n v="0"/>
    <n v="0"/>
    <n v="101"/>
    <s v="_x0000_US"/>
  </r>
  <r>
    <x v="0"/>
    <n v="13.6799"/>
    <n v="-89.195499999999996"/>
    <n v="12667.4"/>
    <n v="0"/>
    <n v="0"/>
    <n v="101"/>
    <s v="_x0000_US"/>
  </r>
  <r>
    <x v="0"/>
    <n v="13.6897"/>
    <n v="-89.180199999999999"/>
    <n v="12674"/>
    <n v="0"/>
    <n v="0"/>
    <n v="101"/>
    <s v="_x0000_US"/>
  </r>
  <r>
    <x v="0"/>
    <n v="13.6907"/>
    <n v="-89.185699999999997"/>
    <n v="12674.8"/>
    <n v="0"/>
    <n v="0"/>
    <n v="101"/>
    <s v="_x0000_US"/>
  </r>
  <r>
    <x v="0"/>
    <n v="13.6881"/>
    <n v="-89.205299999999994"/>
    <n v="12675.1"/>
    <n v="0"/>
    <n v="0"/>
    <n v="101"/>
    <s v="_x0000_US"/>
  </r>
  <r>
    <x v="0"/>
    <n v="13.6896"/>
    <n v="-89.235799999999998"/>
    <n v="12676.2"/>
    <n v="0"/>
    <n v="0"/>
    <n v="101"/>
    <s v="_x0000_US"/>
  </r>
  <r>
    <x v="0"/>
    <n v="13.6922"/>
    <n v="-89.178899999999999"/>
    <n v="12676.6"/>
    <n v="0"/>
    <n v="0"/>
    <n v="101"/>
    <s v="_x0000_US"/>
  </r>
  <r>
    <x v="0"/>
    <n v="13.6853"/>
    <n v="-89.194000000000003"/>
    <n v="12679.3"/>
    <n v="0"/>
    <n v="0"/>
    <n v="101"/>
    <s v="_x0000_US"/>
  </r>
  <r>
    <x v="0"/>
    <n v="13.693300000000001"/>
    <n v="-89.176500000000004"/>
    <n v="12680.8"/>
    <n v="0"/>
    <n v="0"/>
    <n v="101"/>
    <s v="_x0000_US"/>
  </r>
  <r>
    <x v="0"/>
    <n v="13.6913"/>
    <n v="-89.2286"/>
    <n v="12683.1"/>
    <n v="0"/>
    <n v="0"/>
    <n v="101"/>
    <s v="_x0000_US"/>
  </r>
  <r>
    <x v="0"/>
    <n v="13.6922"/>
    <n v="-89.223399999999998"/>
    <n v="12683.2"/>
    <n v="0"/>
    <n v="0"/>
    <n v="101"/>
    <s v="_x0000_US"/>
  </r>
  <r>
    <x v="0"/>
    <n v="13.686400000000001"/>
    <n v="-89.203900000000004"/>
    <n v="12684.5"/>
    <n v="0"/>
    <n v="0"/>
    <n v="101"/>
    <s v="_x0000_US"/>
  </r>
  <r>
    <x v="0"/>
    <n v="13.673400000000001"/>
    <n v="-89.251400000000004"/>
    <n v="12684.5"/>
    <n v="0"/>
    <n v="0"/>
    <n v="101"/>
    <s v="_x0000_US"/>
  </r>
  <r>
    <x v="0"/>
    <n v="13.6858"/>
    <n v="-89.211600000000004"/>
    <n v="12691.2"/>
    <n v="0"/>
    <n v="0"/>
    <n v="101"/>
    <s v="_x0000_US"/>
  </r>
  <r>
    <x v="0"/>
    <n v="13.691599999999999"/>
    <n v="-89.220299999999995"/>
    <n v="12694"/>
    <n v="0"/>
    <n v="0"/>
    <n v="101"/>
    <s v="_x0000_US"/>
  </r>
  <r>
    <x v="0"/>
    <n v="13.6915"/>
    <n v="-89.232500000000002"/>
    <n v="12708.1"/>
    <n v="0"/>
    <n v="0"/>
    <n v="101"/>
    <s v="_x0000_US"/>
  </r>
  <r>
    <x v="0"/>
    <n v="13.6913"/>
    <n v="-89.229299999999995"/>
    <n v="12708.5"/>
    <n v="0"/>
    <n v="0"/>
    <n v="101"/>
    <s v="_x0000_US"/>
  </r>
  <r>
    <x v="0"/>
    <n v="13.687200000000001"/>
    <n v="-89.196399999999997"/>
    <n v="12709.3"/>
    <n v="0"/>
    <n v="0"/>
    <n v="101"/>
    <s v="_x0000_US"/>
  </r>
  <r>
    <x v="0"/>
    <n v="13.6745"/>
    <n v="-89.2517"/>
    <n v="12712"/>
    <n v="0"/>
    <n v="0"/>
    <n v="101"/>
    <s v="_x0000_US"/>
  </r>
  <r>
    <x v="0"/>
    <n v="13.6928"/>
    <n v="-89.224299999999999"/>
    <n v="12712.8"/>
    <n v="0"/>
    <n v="0"/>
    <n v="101"/>
    <s v="_x0000_US"/>
  </r>
  <r>
    <x v="0"/>
    <n v="13.6875"/>
    <n v="-89.194599999999994"/>
    <n v="12715.4"/>
    <n v="0"/>
    <n v="0"/>
    <n v="101"/>
    <s v="_x0000_US"/>
  </r>
  <r>
    <x v="0"/>
    <n v="13.687099999999999"/>
    <n v="-89.197699999999998"/>
    <n v="12717.6"/>
    <n v="0"/>
    <n v="0"/>
    <n v="101"/>
    <s v="_x0000_US"/>
  </r>
  <r>
    <x v="0"/>
    <n v="13.695399999999999"/>
    <n v="-89.1721"/>
    <n v="12717.7"/>
    <n v="0"/>
    <n v="0"/>
    <n v="101"/>
    <s v="_x0000_US"/>
  </r>
  <r>
    <x v="0"/>
    <n v="13.6889"/>
    <n v="-89.190100000000001"/>
    <n v="12722.7"/>
    <n v="0"/>
    <n v="0"/>
    <n v="101"/>
    <s v="_x0000_US"/>
  </r>
  <r>
    <x v="0"/>
    <n v="13.6873"/>
    <n v="-89.194599999999994"/>
    <n v="12725.5"/>
    <n v="0"/>
    <n v="0"/>
    <n v="101"/>
    <s v="_x0000_US"/>
  </r>
  <r>
    <x v="0"/>
    <n v="13.6845"/>
    <n v="-89.217399999999998"/>
    <n v="12729.1"/>
    <n v="0"/>
    <n v="0"/>
    <n v="101"/>
    <s v="_x0000_US"/>
  </r>
  <r>
    <x v="0"/>
    <n v="13.6914"/>
    <n v="-89.189400000000006"/>
    <n v="12729.9"/>
    <n v="0"/>
    <n v="0"/>
    <n v="101"/>
    <s v="_x0000_US"/>
  </r>
  <r>
    <x v="0"/>
    <n v="13.691700000000001"/>
    <n v="-89.186000000000007"/>
    <n v="12730.5"/>
    <n v="0"/>
    <n v="0"/>
    <n v="101"/>
    <s v="_x0000_US"/>
  </r>
  <r>
    <x v="0"/>
    <n v="13.687099999999999"/>
    <n v="-89.196399999999997"/>
    <n v="12730.9"/>
    <n v="0"/>
    <n v="0"/>
    <n v="101"/>
    <s v="_x0000_US"/>
  </r>
  <r>
    <x v="0"/>
    <n v="13.694000000000001"/>
    <n v="-89.176400000000001"/>
    <n v="12731"/>
    <n v="0"/>
    <n v="0"/>
    <n v="101"/>
    <s v="_x0000_US"/>
  </r>
  <r>
    <x v="0"/>
    <n v="13.687799999999999"/>
    <n v="-89.216899999999995"/>
    <n v="12738.6"/>
    <n v="0"/>
    <n v="0"/>
    <n v="101"/>
    <s v="_x0000_US"/>
  </r>
  <r>
    <x v="0"/>
    <n v="13.6746"/>
    <n v="-89.251900000000006"/>
    <n v="12739.3"/>
    <n v="0"/>
    <n v="0"/>
    <n v="101"/>
    <s v="_x0000_US"/>
  </r>
  <r>
    <x v="0"/>
    <n v="13.6934"/>
    <n v="-89.192400000000006"/>
    <n v="12740.7"/>
    <n v="0"/>
    <n v="0"/>
    <n v="101"/>
    <s v="_x0000_US"/>
  </r>
  <r>
    <x v="0"/>
    <n v="13.686400000000001"/>
    <n v="-89.215900000000005"/>
    <n v="12740.8"/>
    <n v="0"/>
    <n v="0"/>
    <n v="101"/>
    <s v="_x0000_US"/>
  </r>
  <r>
    <x v="0"/>
    <n v="13.6919"/>
    <n v="-89.2256"/>
    <n v="12742.6"/>
    <n v="0"/>
    <n v="0"/>
    <n v="101"/>
    <s v="_x0000_US"/>
  </r>
  <r>
    <x v="0"/>
    <n v="13.6935"/>
    <n v="-89.173500000000004"/>
    <n v="12746.1"/>
    <n v="0"/>
    <n v="0"/>
    <n v="101"/>
    <s v="_x0000_US"/>
  </r>
  <r>
    <x v="0"/>
    <n v="13.687200000000001"/>
    <n v="-89.195599999999999"/>
    <n v="12746.5"/>
    <n v="0"/>
    <n v="0"/>
    <n v="101"/>
    <s v="_x0000_US"/>
  </r>
  <r>
    <x v="0"/>
    <n v="13.691000000000001"/>
    <n v="-89.235299999999995"/>
    <n v="12748.8"/>
    <n v="0"/>
    <n v="0"/>
    <n v="101"/>
    <s v="_x0000_US"/>
  </r>
  <r>
    <x v="0"/>
    <n v="13.6851"/>
    <n v="-89.203500000000005"/>
    <n v="12749"/>
    <n v="0"/>
    <n v="0"/>
    <n v="101"/>
    <s v="_x0000_US"/>
  </r>
  <r>
    <x v="0"/>
    <n v="13.6869"/>
    <n v="-89.216899999999995"/>
    <n v="12750.6"/>
    <n v="0"/>
    <n v="0"/>
    <n v="101"/>
    <s v="_x0000_US"/>
  </r>
  <r>
    <x v="0"/>
    <n v="13.687799999999999"/>
    <n v="-89.196700000000007"/>
    <n v="12754"/>
    <n v="0"/>
    <n v="0"/>
    <n v="101"/>
    <s v="_x0000_US"/>
  </r>
  <r>
    <x v="0"/>
    <n v="13.6927"/>
    <n v="-89.174199999999999"/>
    <n v="12760.9"/>
    <n v="0"/>
    <n v="0"/>
    <n v="101"/>
    <s v="_x0000_US"/>
  </r>
  <r>
    <x v="0"/>
    <n v="13.692"/>
    <n v="-89.194299999999998"/>
    <n v="12763.8"/>
    <n v="0"/>
    <n v="0"/>
    <n v="101"/>
    <s v="_x0000_US"/>
  </r>
  <r>
    <x v="0"/>
    <n v="13.686199999999999"/>
    <n v="-89.193899999999999"/>
    <n v="12764.3"/>
    <n v="0"/>
    <n v="0"/>
    <n v="101"/>
    <s v="_x0000_US"/>
  </r>
  <r>
    <x v="0"/>
    <n v="13.6913"/>
    <n v="-89.178600000000003"/>
    <n v="12764.4"/>
    <n v="0"/>
    <n v="0"/>
    <n v="101"/>
    <s v="_x0000_US"/>
  </r>
  <r>
    <x v="0"/>
    <n v="13.688800000000001"/>
    <n v="-89.216800000000006"/>
    <n v="12767"/>
    <n v="0"/>
    <n v="0"/>
    <n v="101"/>
    <s v="_x0000_US"/>
  </r>
  <r>
    <x v="0"/>
    <n v="13.6915"/>
    <n v="-89.179900000000004"/>
    <n v="12779.1"/>
    <n v="0"/>
    <n v="0"/>
    <n v="101"/>
    <s v="_x0000_US"/>
  </r>
  <r>
    <x v="0"/>
    <n v="13.6965"/>
    <n v="-89.171599999999998"/>
    <n v="12781.6"/>
    <n v="0"/>
    <n v="0"/>
    <n v="101"/>
    <s v="_x0000_US"/>
  </r>
  <r>
    <x v="0"/>
    <n v="13.6851"/>
    <n v="-89.216200000000001"/>
    <n v="12782.4"/>
    <n v="0"/>
    <n v="0"/>
    <n v="101"/>
    <s v="_x0000_US"/>
  </r>
  <r>
    <x v="0"/>
    <n v="13.6934"/>
    <n v="-89.188699999999997"/>
    <n v="12785.5"/>
    <n v="0"/>
    <n v="0"/>
    <n v="101"/>
    <s v="_x0000_US"/>
  </r>
  <r>
    <x v="0"/>
    <n v="13.6859"/>
    <n v="-89.215000000000003"/>
    <n v="12785.8"/>
    <n v="0"/>
    <n v="0"/>
    <n v="101"/>
    <s v="_x0000_US"/>
  </r>
  <r>
    <x v="0"/>
    <n v="13.690799999999999"/>
    <n v="-89.234300000000005"/>
    <n v="12786.3"/>
    <n v="0"/>
    <n v="0"/>
    <n v="101"/>
    <s v="_x0000_US"/>
  </r>
  <r>
    <x v="0"/>
    <n v="13.694699999999999"/>
    <n v="-89.182400000000001"/>
    <n v="12787.9"/>
    <n v="0"/>
    <n v="0"/>
    <n v="101"/>
    <s v="_x0000_US"/>
  </r>
  <r>
    <x v="0"/>
    <n v="13.6884"/>
    <n v="-89.190799999999996"/>
    <n v="12792"/>
    <n v="0"/>
    <n v="0"/>
    <n v="101"/>
    <s v="_x0000_US"/>
  </r>
  <r>
    <x v="0"/>
    <n v="13.685700000000001"/>
    <n v="-89.193799999999996"/>
    <n v="12793.3"/>
    <n v="0"/>
    <n v="0"/>
    <n v="101"/>
    <s v="_x0000_US"/>
  </r>
  <r>
    <x v="0"/>
    <n v="13.6944"/>
    <n v="-89.183099999999996"/>
    <n v="12795.3"/>
    <n v="0"/>
    <n v="0"/>
    <n v="101"/>
    <s v="_x0000_US"/>
  </r>
  <r>
    <x v="0"/>
    <n v="13.6897"/>
    <n v="-89.206500000000005"/>
    <n v="12795.9"/>
    <n v="0"/>
    <n v="0"/>
    <n v="101"/>
    <s v="_x0000_US"/>
  </r>
  <r>
    <x v="0"/>
    <n v="13.691000000000001"/>
    <n v="-89.232399999999998"/>
    <n v="12798"/>
    <n v="0"/>
    <n v="0"/>
    <n v="101"/>
    <s v="_x0000_US"/>
  </r>
  <r>
    <x v="0"/>
    <n v="13.690799999999999"/>
    <n v="-89.1905"/>
    <n v="12799.4"/>
    <n v="0"/>
    <n v="0"/>
    <n v="101"/>
    <s v="_x0000_US"/>
  </r>
  <r>
    <x v="0"/>
    <n v="13.690799999999999"/>
    <n v="-89.235500000000002"/>
    <n v="12801.9"/>
    <n v="0"/>
    <n v="0"/>
    <n v="101"/>
    <s v="_x0000_US"/>
  </r>
  <r>
    <x v="0"/>
    <n v="13.690799999999999"/>
    <n v="-89.190399999999997"/>
    <n v="12805.1"/>
    <n v="0"/>
    <n v="0"/>
    <n v="101"/>
    <s v="_x0000_US"/>
  </r>
  <r>
    <x v="0"/>
    <n v="13.6747"/>
    <n v="-89.252300000000005"/>
    <n v="12805.4"/>
    <n v="0"/>
    <n v="0"/>
    <n v="101"/>
    <s v="_x0000_US"/>
  </r>
  <r>
    <x v="0"/>
    <n v="13.6898"/>
    <n v="-89.194000000000003"/>
    <n v="12806.7"/>
    <n v="0"/>
    <n v="0"/>
    <n v="101"/>
    <s v="_x0000_US"/>
  </r>
  <r>
    <x v="0"/>
    <n v="13.687099999999999"/>
    <n v="-89.182900000000004"/>
    <n v="12807.5"/>
    <n v="0"/>
    <n v="0"/>
    <n v="101"/>
    <s v="_x0000_US"/>
  </r>
  <r>
    <x v="0"/>
    <n v="13.685"/>
    <n v="-89.194000000000003"/>
    <n v="12808.2"/>
    <n v="0"/>
    <n v="0"/>
    <n v="101"/>
    <s v="_x0000_US"/>
  </r>
  <r>
    <x v="0"/>
    <n v="13.6904"/>
    <n v="-89.217399999999998"/>
    <n v="12808.6"/>
    <n v="0"/>
    <n v="0"/>
    <n v="101"/>
    <s v="_x0000_US"/>
  </r>
  <r>
    <x v="0"/>
    <n v="13.687900000000001"/>
    <n v="-89.193799999999996"/>
    <n v="12812.1"/>
    <n v="0"/>
    <n v="0"/>
    <n v="101"/>
    <s v="_x0000_US"/>
  </r>
  <r>
    <x v="0"/>
    <n v="13.692600000000001"/>
    <n v="-89.178700000000006"/>
    <n v="12813"/>
    <n v="0"/>
    <n v="0"/>
    <n v="101"/>
    <s v="_x0000_US"/>
  </r>
  <r>
    <x v="0"/>
    <n v="13.693899999999999"/>
    <n v="-89.172799999999995"/>
    <n v="12813.1"/>
    <n v="0"/>
    <n v="0"/>
    <n v="101"/>
    <s v="_x0000_US"/>
  </r>
  <r>
    <x v="0"/>
    <n v="13.6884"/>
    <n v="-89.216999999999999"/>
    <n v="12822.8"/>
    <n v="0"/>
    <n v="0"/>
    <n v="101"/>
    <s v="_x0000_US"/>
  </r>
  <r>
    <x v="0"/>
    <n v="13.6906"/>
    <n v="-89.186499999999995"/>
    <n v="12825.6"/>
    <n v="0"/>
    <n v="0"/>
    <n v="101"/>
    <s v="_x0000_US"/>
  </r>
  <r>
    <x v="0"/>
    <n v="13.692600000000001"/>
    <n v="-89.178700000000006"/>
    <n v="12832.8"/>
    <n v="0"/>
    <n v="0"/>
    <n v="101"/>
    <s v="_x0000_US"/>
  </r>
  <r>
    <x v="0"/>
    <n v="13.690200000000001"/>
    <n v="-89.186300000000003"/>
    <n v="12834.3"/>
    <n v="0"/>
    <n v="0"/>
    <n v="101"/>
    <s v="_x0000_US"/>
  </r>
  <r>
    <x v="0"/>
    <n v="13.6752"/>
    <n v="-89.248400000000004"/>
    <n v="12834.6"/>
    <n v="0"/>
    <n v="0"/>
    <n v="101"/>
    <s v="_x0000_US"/>
  </r>
  <r>
    <x v="0"/>
    <n v="13.6877"/>
    <n v="-89.197100000000006"/>
    <n v="12835.1"/>
    <n v="0"/>
    <n v="0"/>
    <n v="101"/>
    <s v="_x0000_US"/>
  </r>
  <r>
    <x v="0"/>
    <n v="13.694900000000001"/>
    <n v="-89.1738"/>
    <n v="12835.2"/>
    <n v="0"/>
    <n v="0"/>
    <n v="101"/>
    <s v="_x0000_US"/>
  </r>
  <r>
    <x v="0"/>
    <n v="13.6875"/>
    <n v="-89.194900000000004"/>
    <n v="12836.1"/>
    <n v="0"/>
    <n v="0"/>
    <n v="101"/>
    <s v="_x0000_US"/>
  </r>
  <r>
    <x v="0"/>
    <n v="13.690099999999999"/>
    <n v="-89.228399999999993"/>
    <n v="12848.1"/>
    <n v="0"/>
    <n v="0"/>
    <n v="101"/>
    <s v="_x0000_US"/>
  </r>
  <r>
    <x v="0"/>
    <n v="13.692"/>
    <n v="-89.225399999999993"/>
    <n v="12850.1"/>
    <n v="0"/>
    <n v="0"/>
    <n v="101"/>
    <s v="_x0000_US"/>
  </r>
  <r>
    <x v="0"/>
    <n v="13.6911"/>
    <n v="-89.188599999999994"/>
    <n v="12852.1"/>
    <n v="0"/>
    <n v="0"/>
    <n v="101"/>
    <s v="_x0000_US"/>
  </r>
  <r>
    <x v="0"/>
    <n v="13.6889"/>
    <n v="-89.229600000000005"/>
    <n v="12853.6"/>
    <n v="0"/>
    <n v="0"/>
    <n v="101"/>
    <s v="_x0000_US"/>
  </r>
  <r>
    <x v="0"/>
    <n v="13.6729"/>
    <n v="-89.204599999999999"/>
    <n v="12857.1"/>
    <n v="0"/>
    <n v="0"/>
    <n v="101"/>
    <s v="_x0000_US"/>
  </r>
  <r>
    <x v="0"/>
    <n v="13.692500000000001"/>
    <n v="-89.189599999999999"/>
    <n v="12867.5"/>
    <n v="0"/>
    <n v="0"/>
    <n v="101"/>
    <s v="_x0000_US"/>
  </r>
  <r>
    <x v="0"/>
    <n v="13.6907"/>
    <n v="-89.235100000000003"/>
    <n v="12888.3"/>
    <n v="0"/>
    <n v="0"/>
    <n v="101"/>
    <s v="_x0000_US"/>
  </r>
  <r>
    <x v="0"/>
    <n v="13.6884"/>
    <n v="-89.204099999999997"/>
    <n v="12888.8"/>
    <n v="0"/>
    <n v="0"/>
    <n v="101"/>
    <s v="_x0000_US"/>
  </r>
  <r>
    <x v="0"/>
    <n v="13.692500000000001"/>
    <n v="-89.225999999999999"/>
    <n v="12895.9"/>
    <n v="0"/>
    <n v="0"/>
    <n v="101"/>
    <s v="_x0000_US"/>
  </r>
  <r>
    <x v="0"/>
    <n v="13.687099999999999"/>
    <n v="-89.197299999999998"/>
    <n v="12901.9"/>
    <n v="0"/>
    <n v="0"/>
    <n v="101"/>
    <s v="_x0000_US"/>
  </r>
  <r>
    <x v="0"/>
    <n v="13.6889"/>
    <n v="-89.215699999999998"/>
    <n v="12906.4"/>
    <n v="0"/>
    <n v="0"/>
    <n v="101"/>
    <s v="_x0000_US"/>
  </r>
  <r>
    <x v="0"/>
    <n v="13.687799999999999"/>
    <n v="-89.180899999999994"/>
    <n v="12913.6"/>
    <n v="0"/>
    <n v="0"/>
    <n v="101"/>
    <s v="_x0000_US"/>
  </r>
  <r>
    <x v="0"/>
    <n v="13.694800000000001"/>
    <n v="-89.174099999999996"/>
    <n v="12924.8"/>
    <n v="0"/>
    <n v="0"/>
    <n v="101"/>
    <s v="_x0000_US"/>
  </r>
  <r>
    <x v="0"/>
    <n v="13.6731"/>
    <n v="-89.204400000000007"/>
    <n v="12925.7"/>
    <n v="0"/>
    <n v="0"/>
    <n v="101"/>
    <s v="_x0000_US"/>
  </r>
  <r>
    <x v="0"/>
    <n v="13.6881"/>
    <n v="-89.205500000000001"/>
    <n v="12932.7"/>
    <n v="0"/>
    <n v="0"/>
    <n v="101"/>
    <s v="_x0000_US"/>
  </r>
  <r>
    <x v="0"/>
    <n v="13.687200000000001"/>
    <n v="-89.213800000000006"/>
    <n v="12934.7"/>
    <n v="0"/>
    <n v="0"/>
    <n v="101"/>
    <s v="_x0000_US"/>
  </r>
  <r>
    <x v="0"/>
    <n v="13.6967"/>
    <n v="-89.1721"/>
    <n v="12936.3"/>
    <n v="0"/>
    <n v="0"/>
    <n v="101"/>
    <s v="_x0000_US"/>
  </r>
  <r>
    <x v="0"/>
    <n v="13.6768"/>
    <n v="-89.199700000000007"/>
    <n v="12936.8"/>
    <n v="0"/>
    <n v="0"/>
    <n v="101"/>
    <s v="_x0000_US"/>
  </r>
  <r>
    <x v="0"/>
    <n v="13.6929"/>
    <n v="-89.184299999999993"/>
    <n v="12937.9"/>
    <n v="0"/>
    <n v="0"/>
    <n v="101"/>
    <s v="_x0000_US"/>
  </r>
  <r>
    <x v="0"/>
    <n v="13.6891"/>
    <n v="-89.215000000000003"/>
    <n v="12937.9"/>
    <n v="0"/>
    <n v="0"/>
    <n v="101"/>
    <s v="_x0000_US"/>
  </r>
  <r>
    <x v="0"/>
    <n v="13.6876"/>
    <n v="-89.194999999999993"/>
    <n v="12945.4"/>
    <n v="0"/>
    <n v="0"/>
    <n v="101"/>
    <s v="_x0000_US"/>
  </r>
  <r>
    <x v="0"/>
    <n v="13.6921"/>
    <n v="-89.1785"/>
    <n v="12947.3"/>
    <n v="0"/>
    <n v="0"/>
    <n v="101"/>
    <s v="_x0000_US"/>
  </r>
  <r>
    <x v="0"/>
    <n v="13.6777"/>
    <n v="-89.246300000000005"/>
    <n v="12947.6"/>
    <n v="0"/>
    <n v="0"/>
    <n v="101"/>
    <s v="_x0000_US"/>
  </r>
  <r>
    <x v="0"/>
    <n v="13.6913"/>
    <n v="-89.233199999999997"/>
    <n v="12950.7"/>
    <n v="0"/>
    <n v="0"/>
    <n v="101"/>
    <s v="_x0000_US"/>
  </r>
  <r>
    <x v="0"/>
    <n v="13.6911"/>
    <n v="-89.178600000000003"/>
    <n v="12951.6"/>
    <n v="0"/>
    <n v="0"/>
    <n v="101"/>
    <s v="_x0000_US"/>
  </r>
  <r>
    <x v="0"/>
    <n v="13.6935"/>
    <n v="-89.183300000000003"/>
    <n v="12954.8"/>
    <n v="0"/>
    <n v="0"/>
    <n v="101"/>
    <s v="_x0000_US"/>
  </r>
  <r>
    <x v="0"/>
    <n v="13.6912"/>
    <n v="-89.220299999999995"/>
    <n v="12965.6"/>
    <n v="0"/>
    <n v="0"/>
    <n v="101"/>
    <s v="_x0000_US"/>
  </r>
  <r>
    <x v="0"/>
    <n v="13.6972"/>
    <n v="-89.171300000000002"/>
    <n v="12971.3"/>
    <n v="0"/>
    <n v="0"/>
    <n v="101"/>
    <s v="_x0000_US"/>
  </r>
  <r>
    <x v="0"/>
    <n v="13.6897"/>
    <n v="-89.194000000000003"/>
    <n v="12975.8"/>
    <n v="0"/>
    <n v="0"/>
    <n v="101"/>
    <s v="_x0000_US"/>
  </r>
  <r>
    <x v="0"/>
    <n v="13.690799999999999"/>
    <n v="-89.183099999999996"/>
    <n v="12977.6"/>
    <n v="0"/>
    <n v="0"/>
    <n v="101"/>
    <s v="_x0000_US"/>
  </r>
  <r>
    <x v="0"/>
    <n v="13.685700000000001"/>
    <n v="-89.194000000000003"/>
    <n v="12983.7"/>
    <n v="0"/>
    <n v="0"/>
    <n v="101"/>
    <s v="_x0000_US"/>
  </r>
  <r>
    <x v="0"/>
    <n v="13.692"/>
    <n v="-89.224699999999999"/>
    <n v="12988.1"/>
    <n v="0"/>
    <n v="0"/>
    <n v="101"/>
    <s v="_x0000_US"/>
  </r>
  <r>
    <x v="0"/>
    <n v="13.690799999999999"/>
    <n v="-89.1952"/>
    <n v="12992.3"/>
    <n v="0"/>
    <n v="0"/>
    <n v="101"/>
    <s v="_x0000_US"/>
  </r>
  <r>
    <x v="0"/>
    <n v="13.6876"/>
    <n v="-89.197199999999995"/>
    <n v="12993.2"/>
    <n v="0"/>
    <n v="0"/>
    <n v="101"/>
    <s v="_x0000_US"/>
  </r>
  <r>
    <x v="0"/>
    <n v="13.6877"/>
    <n v="-89.191999999999993"/>
    <n v="12994.6"/>
    <n v="0"/>
    <n v="0"/>
    <n v="101"/>
    <s v="_x0000_US"/>
  </r>
  <r>
    <x v="0"/>
    <n v="13.6915"/>
    <n v="-89.189300000000003"/>
    <n v="12997.5"/>
    <n v="0"/>
    <n v="0"/>
    <n v="101"/>
    <s v="_x0000_US"/>
  </r>
  <r>
    <x v="0"/>
    <n v="13.69"/>
    <n v="-89.195700000000002"/>
    <n v="12997.9"/>
    <n v="0"/>
    <n v="0"/>
    <n v="101"/>
    <s v="_x0000_US"/>
  </r>
  <r>
    <x v="0"/>
    <n v="13.685600000000001"/>
    <n v="-89.203500000000005"/>
    <n v="13005.9"/>
    <n v="0"/>
    <n v="0"/>
    <n v="101"/>
    <s v="_x0000_US"/>
  </r>
  <r>
    <x v="0"/>
    <n v="13.692299999999999"/>
    <n v="-89.226600000000005"/>
    <n v="13009.1"/>
    <n v="0"/>
    <n v="0"/>
    <n v="101"/>
    <s v="_x0000_US"/>
  </r>
  <r>
    <x v="0"/>
    <n v="13.6934"/>
    <n v="-89.183700000000002"/>
    <n v="13010.6"/>
    <n v="0"/>
    <n v="0"/>
    <n v="101"/>
    <s v="_x0000_US"/>
  </r>
  <r>
    <x v="0"/>
    <n v="13.6891"/>
    <n v="-89.183599999999998"/>
    <n v="13017.5"/>
    <n v="0"/>
    <n v="0"/>
    <n v="101"/>
    <s v="_x0000_US"/>
  </r>
  <r>
    <x v="0"/>
    <n v="13.6892"/>
    <n v="-89.196700000000007"/>
    <n v="13022.6"/>
    <n v="0"/>
    <n v="0"/>
    <n v="101"/>
    <s v="_x0000_US"/>
  </r>
  <r>
    <x v="0"/>
    <n v="13.6883"/>
    <n v="-89.190700000000007"/>
    <n v="13023.7"/>
    <n v="0"/>
    <n v="0"/>
    <n v="101"/>
    <s v="_x0000_US"/>
  </r>
  <r>
    <x v="0"/>
    <n v="13.692500000000001"/>
    <n v="-89.175899999999999"/>
    <n v="13029.8"/>
    <n v="0"/>
    <n v="0"/>
    <n v="101"/>
    <s v="_x0000_US"/>
  </r>
  <r>
    <x v="0"/>
    <n v="13.679500000000001"/>
    <n v="-89.1965"/>
    <n v="13032.6"/>
    <n v="0"/>
    <n v="0"/>
    <n v="101"/>
    <s v="_x0000_US"/>
  </r>
  <r>
    <x v="0"/>
    <n v="13.6897"/>
    <n v="-89.228800000000007"/>
    <n v="13032.6"/>
    <n v="0"/>
    <n v="0"/>
    <n v="101"/>
    <s v="_x0000_US"/>
  </r>
  <r>
    <x v="0"/>
    <n v="13.687099999999999"/>
    <n v="-89.197000000000003"/>
    <n v="13033.3"/>
    <n v="0"/>
    <n v="0"/>
    <n v="101"/>
    <s v="_x0000_US"/>
  </r>
  <r>
    <x v="0"/>
    <n v="13.694599999999999"/>
    <n v="-89.183000000000007"/>
    <n v="13034.5"/>
    <n v="0"/>
    <n v="0"/>
    <n v="101"/>
    <s v="_x0000_US"/>
  </r>
  <r>
    <x v="0"/>
    <n v="13.6774"/>
    <n v="-89.246399999999994"/>
    <n v="13040.7"/>
    <n v="0"/>
    <n v="0"/>
    <n v="101"/>
    <s v="_x0000_US"/>
  </r>
  <r>
    <x v="0"/>
    <n v="13.688499999999999"/>
    <n v="-89.198099999999997"/>
    <n v="13042.2"/>
    <n v="0"/>
    <n v="0"/>
    <n v="101"/>
    <s v="_x0000_US"/>
  </r>
  <r>
    <x v="0"/>
    <n v="13.6889"/>
    <n v="-89.229399999999998"/>
    <n v="13044.5"/>
    <n v="0"/>
    <n v="0"/>
    <n v="101"/>
    <s v="_x0000_US"/>
  </r>
  <r>
    <x v="0"/>
    <n v="13.694699999999999"/>
    <n v="-89.175299999999993"/>
    <n v="13051.2"/>
    <n v="0"/>
    <n v="0"/>
    <n v="101"/>
    <s v="_x0000_US"/>
  </r>
  <r>
    <x v="0"/>
    <n v="13.694699999999999"/>
    <n v="-89.174000000000007"/>
    <n v="13051.9"/>
    <n v="0"/>
    <n v="0"/>
    <n v="101"/>
    <s v="_x0000_US"/>
  </r>
  <r>
    <x v="0"/>
    <n v="13.6914"/>
    <n v="-89.234800000000007"/>
    <n v="13058.5"/>
    <n v="0"/>
    <n v="0"/>
    <n v="101"/>
    <s v="_x0000_US"/>
  </r>
  <r>
    <x v="0"/>
    <n v="13.6858"/>
    <n v="-89.215299999999999"/>
    <n v="13060.1"/>
    <n v="0"/>
    <n v="0"/>
    <n v="101"/>
    <s v="_x0000_US"/>
  </r>
  <r>
    <x v="0"/>
    <n v="13.691800000000001"/>
    <n v="-89.186000000000007"/>
    <n v="13062.4"/>
    <n v="0"/>
    <n v="0"/>
    <n v="101"/>
    <s v="_x0000_US"/>
  </r>
  <r>
    <x v="0"/>
    <n v="13.6898"/>
    <n v="-89.184600000000003"/>
    <n v="13082.1"/>
    <n v="0"/>
    <n v="0"/>
    <n v="101"/>
    <s v="_x0000_US"/>
  </r>
  <r>
    <x v="0"/>
    <n v="13.6877"/>
    <n v="-89.180400000000006"/>
    <n v="13089.5"/>
    <n v="0"/>
    <n v="0"/>
    <n v="101"/>
    <s v="_x0000_US"/>
  </r>
  <r>
    <x v="0"/>
    <n v="13.689399999999999"/>
    <n v="-89.190299999999993"/>
    <n v="13107.3"/>
    <n v="0"/>
    <n v="0"/>
    <n v="101"/>
    <s v="_x0000_US"/>
  </r>
  <r>
    <x v="0"/>
    <n v="13.6914"/>
    <n v="-89.233999999999995"/>
    <n v="13113.6"/>
    <n v="0"/>
    <n v="0"/>
    <n v="101"/>
    <s v="_x0000_US"/>
  </r>
  <r>
    <x v="0"/>
    <n v="13.690899999999999"/>
    <n v="-89.194500000000005"/>
    <n v="13117"/>
    <n v="0"/>
    <n v="0"/>
    <n v="101"/>
    <s v="_x0000_US"/>
  </r>
  <r>
    <x v="0"/>
    <n v="13.688599999999999"/>
    <n v="-89.206900000000005"/>
    <n v="13119"/>
    <n v="0"/>
    <n v="0"/>
    <n v="101"/>
    <s v="_x0000_US"/>
  </r>
  <r>
    <x v="0"/>
    <n v="13.691700000000001"/>
    <n v="-89.221199999999996"/>
    <n v="13125.3"/>
    <n v="0"/>
    <n v="0"/>
    <n v="101"/>
    <s v="_x0000_US"/>
  </r>
  <r>
    <x v="0"/>
    <n v="13.690899999999999"/>
    <n v="-89.232500000000002"/>
    <n v="13131"/>
    <n v="0"/>
    <n v="0"/>
    <n v="101"/>
    <s v="_x0000_US"/>
  </r>
  <r>
    <x v="0"/>
    <n v="13.690799999999999"/>
    <n v="-89.195499999999996"/>
    <n v="13131.9"/>
    <n v="0"/>
    <n v="0"/>
    <n v="101"/>
    <s v="_x0000_US"/>
  </r>
  <r>
    <x v="0"/>
    <n v="13.6775"/>
    <n v="-89.247500000000002"/>
    <n v="13132.5"/>
    <n v="0"/>
    <n v="0"/>
    <n v="101"/>
    <s v="_x0000_US"/>
  </r>
  <r>
    <x v="0"/>
    <n v="13.674899999999999"/>
    <n v="-89.252099999999999"/>
    <n v="13136"/>
    <n v="0"/>
    <n v="0"/>
    <n v="101"/>
    <s v="_x0000_US"/>
  </r>
  <r>
    <x v="0"/>
    <n v="13.6892"/>
    <n v="-89.183999999999997"/>
    <n v="13147.9"/>
    <n v="0"/>
    <n v="0"/>
    <n v="101"/>
    <s v="_x0000_US"/>
  </r>
  <r>
    <x v="0"/>
    <n v="13.6938"/>
    <n v="-89.173400000000001"/>
    <n v="13152.2"/>
    <n v="0"/>
    <n v="0"/>
    <n v="101"/>
    <s v="_x0000_US"/>
  </r>
  <r>
    <x v="0"/>
    <n v="13.6899"/>
    <n v="-89.217399999999998"/>
    <n v="13160.2"/>
    <n v="0"/>
    <n v="0"/>
    <n v="101"/>
    <s v="_x0000_US"/>
  </r>
  <r>
    <x v="0"/>
    <n v="13.6929"/>
    <n v="-89.178200000000004"/>
    <n v="13179.5"/>
    <n v="0"/>
    <n v="0"/>
    <n v="101"/>
    <s v="_x0000_US"/>
  </r>
  <r>
    <x v="0"/>
    <n v="13.688000000000001"/>
    <n v="-89.193799999999996"/>
    <n v="13182"/>
    <n v="0"/>
    <n v="0"/>
    <n v="101"/>
    <s v="_x0000_US"/>
  </r>
  <r>
    <x v="0"/>
    <n v="13.686"/>
    <n v="-89.214399999999998"/>
    <n v="13183.3"/>
    <n v="0"/>
    <n v="0"/>
    <n v="101"/>
    <s v="_x0000_US"/>
  </r>
  <r>
    <x v="0"/>
    <n v="13.698"/>
    <n v="-89.168999999999997"/>
    <n v="13189.1"/>
    <n v="0"/>
    <n v="0"/>
    <n v="101"/>
    <s v="_x0000_US"/>
  </r>
  <r>
    <x v="0"/>
    <n v="13.6914"/>
    <n v="-89.233699999999999"/>
    <n v="13190"/>
    <n v="0"/>
    <n v="0"/>
    <n v="101"/>
    <s v="_x0000_US"/>
  </r>
  <r>
    <x v="0"/>
    <n v="13.6882"/>
    <n v="-89.181700000000006"/>
    <n v="13190.8"/>
    <n v="0"/>
    <n v="0"/>
    <n v="101"/>
    <s v="_x0000_US"/>
  </r>
  <r>
    <x v="0"/>
    <n v="13.689"/>
    <n v="-89.206500000000005"/>
    <n v="13191.7"/>
    <n v="0"/>
    <n v="0"/>
    <n v="101"/>
    <s v="_x0000_US"/>
  </r>
  <r>
    <x v="0"/>
    <n v="13.6883"/>
    <n v="-89.194000000000003"/>
    <n v="13193.1"/>
    <n v="0"/>
    <n v="0"/>
    <n v="101"/>
    <s v="_x0000_US"/>
  </r>
  <r>
    <x v="0"/>
    <n v="13.6935"/>
    <n v="-89.176100000000005"/>
    <n v="13201.9"/>
    <n v="0"/>
    <n v="0"/>
    <n v="101"/>
    <s v="_x0000_US"/>
  </r>
  <r>
    <x v="0"/>
    <n v="13.6877"/>
    <n v="-89.183499999999995"/>
    <n v="13204.2"/>
    <n v="0"/>
    <n v="0"/>
    <n v="101"/>
    <s v="_x0000_US"/>
  </r>
  <r>
    <x v="0"/>
    <n v="13.6875"/>
    <n v="-89.194699999999997"/>
    <n v="13208.3"/>
    <n v="0"/>
    <n v="0"/>
    <n v="101"/>
    <s v="_x0000_US"/>
  </r>
  <r>
    <x v="0"/>
    <n v="13.6907"/>
    <n v="-89.178600000000003"/>
    <n v="13212.9"/>
    <n v="0"/>
    <n v="0"/>
    <n v="101"/>
    <s v="_x0000_US"/>
  </r>
  <r>
    <x v="0"/>
    <n v="13.689500000000001"/>
    <n v="-89.235500000000002"/>
    <n v="13214.8"/>
    <n v="0"/>
    <n v="0"/>
    <n v="101"/>
    <s v="_x0000_US"/>
  </r>
  <r>
    <x v="0"/>
    <n v="13.6891"/>
    <n v="-89.190399999999997"/>
    <n v="13215.7"/>
    <n v="0"/>
    <n v="0"/>
    <n v="101"/>
    <s v="_x0000_US"/>
  </r>
  <r>
    <x v="0"/>
    <n v="13.690799999999999"/>
    <n v="-89.190399999999997"/>
    <n v="13216.9"/>
    <n v="0"/>
    <n v="0"/>
    <n v="101"/>
    <s v="_x0000_US"/>
  </r>
  <r>
    <x v="0"/>
    <n v="13.6915"/>
    <n v="-89.181600000000003"/>
    <n v="13225"/>
    <n v="0"/>
    <n v="0"/>
    <n v="101"/>
    <s v="_x0000_US"/>
  </r>
  <r>
    <x v="0"/>
    <n v="13.687200000000001"/>
    <n v="-89.194900000000004"/>
    <n v="13233.7"/>
    <n v="0"/>
    <n v="0"/>
    <n v="101"/>
    <s v="_x0000_US"/>
  </r>
  <r>
    <x v="0"/>
    <n v="13.6943"/>
    <n v="-89.183300000000003"/>
    <n v="13236.2"/>
    <n v="0"/>
    <n v="0"/>
    <n v="101"/>
    <s v="_x0000_US"/>
  </r>
  <r>
    <x v="0"/>
    <n v="13.6899"/>
    <n v="-89.197900000000004"/>
    <n v="13238"/>
    <n v="0"/>
    <n v="0"/>
    <n v="101"/>
    <s v="_x0000_US"/>
  </r>
  <r>
    <x v="0"/>
    <n v="13.6904"/>
    <n v="-89.178799999999995"/>
    <n v="13243.1"/>
    <n v="0"/>
    <n v="0"/>
    <n v="101"/>
    <s v="_x0000_US"/>
  </r>
  <r>
    <x v="0"/>
    <n v="13.696899999999999"/>
    <n v="-89.171300000000002"/>
    <n v="13253.5"/>
    <n v="0"/>
    <n v="0"/>
    <n v="101"/>
    <s v="_x0000_US"/>
  </r>
  <r>
    <x v="0"/>
    <n v="13.685499999999999"/>
    <n v="-89.203500000000005"/>
    <n v="13256"/>
    <n v="0"/>
    <n v="0"/>
    <n v="101"/>
    <s v="_x0000_US"/>
  </r>
  <r>
    <x v="0"/>
    <n v="13.680300000000001"/>
    <n v="-89.195999999999998"/>
    <n v="13259.6"/>
    <n v="0"/>
    <n v="0"/>
    <n v="101"/>
    <s v="_x0000_US"/>
  </r>
  <r>
    <x v="0"/>
    <n v="13.673500000000001"/>
    <n v="-89.204499999999996"/>
    <n v="13287.1"/>
    <n v="0"/>
    <n v="0"/>
    <n v="101"/>
    <s v="_x0000_US"/>
  </r>
  <r>
    <x v="0"/>
    <n v="13.6745"/>
    <n v="-89.251199999999997"/>
    <n v="13292.9"/>
    <n v="0"/>
    <n v="0"/>
    <n v="101"/>
    <s v="_x0000_US"/>
  </r>
  <r>
    <x v="0"/>
    <n v="13.689500000000001"/>
    <n v="-89.208100000000002"/>
    <n v="13306.8"/>
    <n v="0"/>
    <n v="0"/>
    <n v="101"/>
    <s v="_x0000_US"/>
  </r>
  <r>
    <x v="0"/>
    <n v="13.6943"/>
    <n v="-89.186300000000003"/>
    <n v="13307.6"/>
    <n v="0"/>
    <n v="0"/>
    <n v="101"/>
    <s v="_x0000_US"/>
  </r>
  <r>
    <x v="0"/>
    <n v="13.6913"/>
    <n v="-89.19"/>
    <n v="13314.4"/>
    <n v="0"/>
    <n v="0"/>
    <n v="101"/>
    <s v="_x0000_US"/>
  </r>
  <r>
    <x v="0"/>
    <n v="13.686999999999999"/>
    <n v="-89.197400000000002"/>
    <n v="13315"/>
    <n v="0"/>
    <n v="0"/>
    <n v="101"/>
    <s v="_x0000_US"/>
  </r>
  <r>
    <x v="0"/>
    <n v="13.692500000000001"/>
    <n v="-89.178799999999995"/>
    <n v="13315.4"/>
    <n v="0"/>
    <n v="0"/>
    <n v="101"/>
    <s v="_x0000_US"/>
  </r>
  <r>
    <x v="0"/>
    <n v="13.6867"/>
    <n v="-89.213399999999993"/>
    <n v="13327.6"/>
    <n v="0"/>
    <n v="0"/>
    <n v="101"/>
    <s v="_x0000_US"/>
  </r>
  <r>
    <x v="0"/>
    <n v="13.6972"/>
    <n v="-89.171499999999995"/>
    <n v="13349.8"/>
    <n v="0"/>
    <n v="0"/>
    <n v="101"/>
    <s v="_x0000_US"/>
  </r>
  <r>
    <x v="0"/>
    <n v="13.6898"/>
    <n v="-89.188599999999994"/>
    <n v="13352.7"/>
    <n v="0"/>
    <n v="0"/>
    <n v="101"/>
    <s v="_x0000_US"/>
  </r>
  <r>
    <x v="0"/>
    <n v="13.6892"/>
    <n v="-89.206299999999999"/>
    <n v="13366.5"/>
    <n v="0"/>
    <n v="0"/>
    <n v="101"/>
    <s v="_x0000_US"/>
  </r>
  <r>
    <x v="0"/>
    <n v="13.690300000000001"/>
    <n v="-89.195899999999995"/>
    <n v="13385.2"/>
    <n v="0"/>
    <n v="0"/>
    <n v="101"/>
    <s v="_x0000_US"/>
  </r>
  <r>
    <x v="0"/>
    <n v="13.688700000000001"/>
    <n v="-89.189800000000005"/>
    <n v="13393.6"/>
    <n v="0"/>
    <n v="0"/>
    <n v="101"/>
    <s v="_x0000_US"/>
  </r>
  <r>
    <x v="0"/>
    <n v="13.690300000000001"/>
    <n v="-89.195800000000006"/>
    <n v="13407.4"/>
    <n v="0"/>
    <n v="0"/>
    <n v="101"/>
    <s v="_x0000_US"/>
  </r>
  <r>
    <x v="0"/>
    <n v="13.691000000000001"/>
    <n v="-89.188800000000001"/>
    <n v="13421.4"/>
    <n v="0"/>
    <n v="0"/>
    <n v="101"/>
    <s v="_x0000_US"/>
  </r>
  <r>
    <x v="0"/>
    <n v="13.688599999999999"/>
    <n v="-89.229699999999994"/>
    <n v="13434"/>
    <n v="0"/>
    <n v="0"/>
    <n v="101"/>
    <s v="_x0000_US"/>
  </r>
  <r>
    <x v="0"/>
    <n v="13.696"/>
    <n v="-89.1721"/>
    <n v="13437.7"/>
    <n v="0"/>
    <n v="0"/>
    <n v="101"/>
    <s v="_x0000_US"/>
  </r>
  <r>
    <x v="0"/>
    <n v="13.6846"/>
    <n v="-89.217200000000005"/>
    <n v="13442.5"/>
    <n v="0"/>
    <n v="0"/>
    <n v="101"/>
    <s v="_x0000_US"/>
  </r>
  <r>
    <x v="0"/>
    <n v="13.6914"/>
    <n v="-89.233199999999997"/>
    <n v="13447.3"/>
    <n v="0"/>
    <n v="0"/>
    <n v="101"/>
    <s v="_x0000_US"/>
  </r>
  <r>
    <x v="0"/>
    <n v="13.694599999999999"/>
    <n v="-89.172499999999999"/>
    <n v="13488.7"/>
    <n v="0"/>
    <n v="0"/>
    <n v="101"/>
    <s v="_x0000_US"/>
  </r>
  <r>
    <x v="0"/>
    <n v="13.679399999999999"/>
    <n v="-89.197199999999995"/>
    <n v="13501.9"/>
    <n v="0"/>
    <n v="0"/>
    <n v="101"/>
    <s v="_x0000_US"/>
  </r>
  <r>
    <x v="0"/>
    <n v="13.685499999999999"/>
    <n v="-89.203100000000006"/>
    <n v="13528.6"/>
    <n v="0"/>
    <n v="0"/>
    <n v="101"/>
    <s v="_x0000_US"/>
  </r>
  <r>
    <x v="0"/>
    <n v="13.6906"/>
    <n v="-89.195499999999996"/>
    <n v="13532.7"/>
    <n v="0"/>
    <n v="0"/>
    <n v="101"/>
    <s v="_x0000_US"/>
  </r>
  <r>
    <x v="0"/>
    <n v="13.6755"/>
    <n v="-89.247699999999995"/>
    <n v="13555.2"/>
    <n v="0"/>
    <n v="0"/>
    <n v="101"/>
    <s v="_x0000_US"/>
  </r>
  <r>
    <x v="0"/>
    <n v="13.696899999999999"/>
    <n v="-89.171800000000005"/>
    <n v="13566.5"/>
    <n v="0"/>
    <n v="0"/>
    <n v="101"/>
    <s v="_x0000_US"/>
  </r>
  <r>
    <x v="0"/>
    <n v="13.6874"/>
    <n v="-89.194400000000002"/>
    <n v="13594.4"/>
    <n v="0"/>
    <n v="0"/>
    <n v="101"/>
    <s v="_x0000_US"/>
  </r>
  <r>
    <x v="0"/>
    <n v="13.6846"/>
    <n v="-89.217100000000002"/>
    <n v="13625.1"/>
    <n v="0"/>
    <n v="0"/>
    <n v="101"/>
    <s v="_x0000_US"/>
  </r>
  <r>
    <x v="0"/>
    <n v="13.690899999999999"/>
    <n v="-89.190799999999996"/>
    <n v="13643.7"/>
    <n v="0"/>
    <n v="0"/>
    <n v="101"/>
    <s v="_x0000_US"/>
  </r>
  <r>
    <x v="0"/>
    <n v="13.688700000000001"/>
    <n v="-89.180499999999995"/>
    <n v="13646.1"/>
    <n v="0"/>
    <n v="0"/>
    <n v="101"/>
    <s v="_x0000_US"/>
  </r>
  <r>
    <x v="0"/>
    <n v="13.6813"/>
    <n v="-89.195400000000006"/>
    <n v="13694.9"/>
    <n v="0"/>
    <n v="0"/>
    <n v="101"/>
    <s v="_x0000_US"/>
  </r>
  <r>
    <x v="0"/>
    <n v="13.6906"/>
    <n v="-89.235200000000006"/>
    <n v="13708.9"/>
    <n v="0"/>
    <n v="0"/>
    <n v="101"/>
    <s v="_x0000_US"/>
  </r>
  <r>
    <x v="0"/>
    <n v="13.689399999999999"/>
    <n v="-89.207599999999999"/>
    <n v="13709.3"/>
    <n v="0"/>
    <n v="0"/>
    <n v="101"/>
    <s v="_x0000_US"/>
  </r>
  <r>
    <x v="0"/>
    <n v="13.69"/>
    <n v="-89.193899999999999"/>
    <n v="13717.2"/>
    <n v="0"/>
    <n v="0"/>
    <n v="101"/>
    <s v="_x0000_US"/>
  </r>
  <r>
    <x v="0"/>
    <n v="13.6958"/>
    <n v="-89.173400000000001"/>
    <n v="13775.2"/>
    <n v="0"/>
    <n v="0"/>
    <n v="101"/>
    <s v="_x0000_US"/>
  </r>
  <r>
    <x v="0"/>
    <n v="13.6876"/>
    <n v="-89.196899999999999"/>
    <n v="13795"/>
    <n v="0"/>
    <n v="0"/>
    <n v="101"/>
    <s v="_x0000_US"/>
  </r>
  <r>
    <x v="0"/>
    <n v="13.6858"/>
    <n v="-89.201400000000007"/>
    <n v="13809.1"/>
    <n v="0"/>
    <n v="0"/>
    <n v="101"/>
    <s v="_x0000_US"/>
  </r>
  <r>
    <x v="0"/>
    <n v="13.6875"/>
    <n v="-89.183499999999995"/>
    <n v="13812"/>
    <n v="0"/>
    <n v="0"/>
    <n v="101"/>
    <s v="_x0000_US"/>
  </r>
  <r>
    <x v="0"/>
    <n v="13.6854"/>
    <n v="-89.211299999999994"/>
    <n v="13812"/>
    <n v="0"/>
    <n v="0"/>
    <n v="101"/>
    <s v="_x0000_US"/>
  </r>
  <r>
    <x v="0"/>
    <n v="13.692399999999999"/>
    <n v="-89.2256"/>
    <n v="13823.4"/>
    <n v="0"/>
    <n v="0"/>
    <n v="101"/>
    <s v="_x0000_US"/>
  </r>
  <r>
    <x v="0"/>
    <n v="13.689399999999999"/>
    <n v="-89.184299999999993"/>
    <n v="13842.2"/>
    <n v="0"/>
    <n v="0"/>
    <n v="101"/>
    <s v="_x0000_US"/>
  </r>
  <r>
    <x v="0"/>
    <n v="13.6913"/>
    <n v="-89.228800000000007"/>
    <n v="13862.4"/>
    <n v="0"/>
    <n v="0"/>
    <n v="101"/>
    <s v="_x0000_US"/>
  </r>
  <r>
    <x v="0"/>
    <n v="13.6897"/>
    <n v="-89.177700000000002"/>
    <n v="13864.6"/>
    <n v="0"/>
    <n v="0"/>
    <n v="101"/>
    <s v="_x0000_US"/>
  </r>
  <r>
    <x v="0"/>
    <n v="13.6929"/>
    <n v="-89.224699999999999"/>
    <n v="13865.4"/>
    <n v="0"/>
    <n v="0"/>
    <n v="101"/>
    <s v="_x0000_US"/>
  </r>
  <r>
    <x v="0"/>
    <n v="13.6919"/>
    <n v="-89.180099999999996"/>
    <n v="13892.4"/>
    <n v="0"/>
    <n v="0"/>
    <n v="101"/>
    <s v="_x0000_US"/>
  </r>
  <r>
    <x v="0"/>
    <n v="13.685600000000001"/>
    <n v="-89.194100000000006"/>
    <n v="13905.2"/>
    <n v="0"/>
    <n v="0"/>
    <n v="101"/>
    <s v="_x0000_US"/>
  </r>
  <r>
    <x v="0"/>
    <n v="13.6876"/>
    <n v="-89.214500000000001"/>
    <n v="13929.2"/>
    <n v="0"/>
    <n v="0"/>
    <n v="101"/>
    <s v="_x0000_US"/>
  </r>
  <r>
    <x v="0"/>
    <n v="13.687099999999999"/>
    <n v="-89.197699999999998"/>
    <n v="13962.3"/>
    <n v="0"/>
    <n v="0"/>
    <n v="101"/>
    <s v="_x0000_US"/>
  </r>
  <r>
    <x v="0"/>
    <n v="13.6904"/>
    <n v="-89.194599999999994"/>
    <n v="13963.8"/>
    <n v="0"/>
    <n v="0"/>
    <n v="101"/>
    <s v="_x0000_US"/>
  </r>
  <r>
    <x v="0"/>
    <n v="13.687900000000001"/>
    <n v="-89.196799999999996"/>
    <n v="13965.6"/>
    <n v="0"/>
    <n v="0"/>
    <n v="101"/>
    <s v="_x0000_US"/>
  </r>
  <r>
    <x v="0"/>
    <n v="13.6853"/>
    <n v="-89.212500000000006"/>
    <n v="14002.1"/>
    <n v="0"/>
    <n v="0"/>
    <n v="101"/>
    <s v="_x0000_US"/>
  </r>
  <r>
    <x v="0"/>
    <n v="13.685"/>
    <n v="-89.213499999999996"/>
    <n v="14044"/>
    <n v="0"/>
    <n v="0"/>
    <n v="101"/>
    <s v="_x0000_US"/>
  </r>
  <r>
    <x v="0"/>
    <n v="13.687799999999999"/>
    <n v="-89.1798"/>
    <n v="14055.1"/>
    <n v="0"/>
    <n v="0"/>
    <n v="101"/>
    <s v="_x0000_US"/>
  </r>
  <r>
    <x v="0"/>
    <n v="13.691599999999999"/>
    <n v="-89.185199999999995"/>
    <n v="14129.7"/>
    <n v="0"/>
    <n v="0"/>
    <n v="101"/>
    <s v="_x0000_US"/>
  </r>
  <r>
    <x v="0"/>
    <n v="13.694699999999999"/>
    <n v="-89.186199999999999"/>
    <n v="14187"/>
    <n v="0"/>
    <n v="0"/>
    <n v="101"/>
    <s v="_x0000_US"/>
  </r>
  <r>
    <x v="0"/>
    <n v="13.6951"/>
    <n v="-89.1738"/>
    <n v="14240.3"/>
    <n v="0"/>
    <n v="0"/>
    <n v="101"/>
    <s v="_x0000_US"/>
  </r>
  <r>
    <x v="0"/>
    <n v="13.689399999999999"/>
    <n v="-89.207700000000003"/>
    <n v="14305.2"/>
    <n v="0"/>
    <n v="0"/>
    <n v="101"/>
    <s v="_x0000_US"/>
  </r>
  <r>
    <x v="0"/>
    <n v="13.685499999999999"/>
    <n v="-89.211299999999994"/>
    <n v="14327.6"/>
    <n v="0"/>
    <n v="0"/>
    <n v="101"/>
    <s v="_x0000_US"/>
  </r>
  <r>
    <x v="0"/>
    <n v="13.691000000000001"/>
    <n v="-89.229600000000005"/>
    <n v="14484.2"/>
    <n v="0"/>
    <n v="0"/>
    <n v="101"/>
    <s v="_x0000_US"/>
  </r>
  <r>
    <x v="0"/>
    <n v="13.6875"/>
    <n v="-89.2166"/>
    <n v="14626.2"/>
    <n v="0"/>
    <n v="0"/>
    <n v="101"/>
    <s v="_x0000_US"/>
  </r>
  <r>
    <x v="1"/>
    <n v="13.6914"/>
    <n v="-89.1965"/>
    <n v="11540"/>
    <n v="0"/>
    <n v="0"/>
    <n v="102"/>
    <s v="_x0000_US"/>
  </r>
  <r>
    <x v="1"/>
    <n v="13.6915"/>
    <n v="-89.196700000000007"/>
    <n v="11540"/>
    <n v="0"/>
    <n v="0"/>
    <n v="102"/>
    <s v="_x0000_US"/>
  </r>
  <r>
    <x v="1"/>
    <n v="13.691599999999999"/>
    <n v="-89.1965"/>
    <n v="11540"/>
    <n v="0"/>
    <n v="0"/>
    <n v="102"/>
    <s v="_x0000_US"/>
  </r>
  <r>
    <x v="1"/>
    <n v="13.6915"/>
    <n v="-89.196399999999997"/>
    <n v="11540"/>
    <n v="0"/>
    <n v="0"/>
    <n v="102"/>
    <s v="_x0000_US"/>
  </r>
  <r>
    <x v="1"/>
    <n v="13.6897"/>
    <n v="-89.195899999999995"/>
    <n v="21700"/>
    <n v="0"/>
    <n v="0"/>
    <n v="102"/>
    <s v="_x0000_US"/>
  </r>
  <r>
    <x v="1"/>
    <n v="13.6896"/>
    <n v="-89.195899999999995"/>
    <n v="21700"/>
    <n v="0"/>
    <n v="0"/>
    <n v="102"/>
    <s v="_x0000_US"/>
  </r>
  <r>
    <x v="1"/>
    <n v="13.6896"/>
    <n v="-89.195899999999995"/>
    <n v="21700"/>
    <n v="0"/>
    <n v="0"/>
    <n v="102"/>
    <s v="_x0000_US"/>
  </r>
  <r>
    <x v="1"/>
    <n v="13.6897"/>
    <n v="-89.195700000000002"/>
    <n v="21700"/>
    <n v="0"/>
    <n v="0"/>
    <n v="102"/>
    <s v="_x0000_US"/>
  </r>
  <r>
    <x v="1"/>
    <n v="13.6897"/>
    <n v="-89.195599999999999"/>
    <n v="21700"/>
    <n v="0"/>
    <n v="0"/>
    <n v="102"/>
    <s v="_x0000_US"/>
  </r>
  <r>
    <x v="1"/>
    <n v="13.6896"/>
    <n v="-89.195499999999996"/>
    <n v="21700"/>
    <n v="0"/>
    <n v="0"/>
    <n v="102"/>
    <s v="_x0000_US"/>
  </r>
  <r>
    <x v="1"/>
    <n v="13.6897"/>
    <n v="-89.195300000000003"/>
    <n v="21700"/>
    <n v="0"/>
    <n v="0"/>
    <n v="102"/>
    <s v="_x0000_US"/>
  </r>
  <r>
    <x v="1"/>
    <n v="13.6896"/>
    <n v="-89.195400000000006"/>
    <n v="21700"/>
    <n v="0"/>
    <n v="0"/>
    <n v="102"/>
    <s v="_x0000_US"/>
  </r>
  <r>
    <x v="1"/>
    <n v="13.6896"/>
    <n v="-89.195400000000006"/>
    <n v="21700"/>
    <n v="0"/>
    <n v="0"/>
    <n v="102"/>
    <s v="_x0000_US"/>
  </r>
  <r>
    <x v="1"/>
    <n v="13.6897"/>
    <n v="-89.1952"/>
    <n v="21700"/>
    <n v="0"/>
    <n v="0"/>
    <n v="102"/>
    <s v="_x0000_US"/>
  </r>
  <r>
    <x v="1"/>
    <n v="13.6897"/>
    <n v="-89.195099999999996"/>
    <n v="21700"/>
    <n v="0"/>
    <n v="0"/>
    <n v="102"/>
    <s v="_x0000_US"/>
  </r>
  <r>
    <x v="1"/>
    <n v="13.6898"/>
    <n v="-89.1952"/>
    <n v="21700"/>
    <n v="0"/>
    <n v="0"/>
    <n v="102"/>
    <s v="_x0000_US"/>
  </r>
  <r>
    <x v="1"/>
    <n v="13.6898"/>
    <n v="-89.195099999999996"/>
    <n v="21700"/>
    <n v="0"/>
    <n v="0"/>
    <n v="102"/>
    <s v="_x0000_US"/>
  </r>
  <r>
    <x v="1"/>
    <n v="13.6898"/>
    <n v="-89.194999999999993"/>
    <n v="21700"/>
    <n v="0"/>
    <n v="0"/>
    <n v="102"/>
    <s v="_x0000_US"/>
  </r>
  <r>
    <x v="1"/>
    <n v="13.6897"/>
    <n v="-89.194999999999993"/>
    <n v="21700"/>
    <n v="0"/>
    <n v="0"/>
    <n v="102"/>
    <s v="_x0000_US"/>
  </r>
  <r>
    <x v="1"/>
    <n v="13.6896"/>
    <n v="-89.195099999999996"/>
    <n v="21700"/>
    <n v="0"/>
    <n v="0"/>
    <n v="102"/>
    <s v="_x0000_US"/>
  </r>
  <r>
    <x v="1"/>
    <n v="13.6896"/>
    <n v="-89.195499999999996"/>
    <n v="21700"/>
    <n v="0"/>
    <n v="0"/>
    <n v="102"/>
    <s v="_x0000_US"/>
  </r>
  <r>
    <x v="1"/>
    <n v="13.6896"/>
    <n v="-89.195499999999996"/>
    <n v="21700"/>
    <n v="0"/>
    <n v="0"/>
    <n v="102"/>
    <s v="_x0000_US"/>
  </r>
  <r>
    <x v="1"/>
    <n v="13.689500000000001"/>
    <n v="-89.195499999999996"/>
    <n v="21700"/>
    <n v="0"/>
    <n v="0"/>
    <n v="102"/>
    <s v="_x0000_US"/>
  </r>
  <r>
    <x v="1"/>
    <n v="13.689500000000001"/>
    <n v="-89.195499999999996"/>
    <n v="21700"/>
    <n v="0"/>
    <n v="0"/>
    <n v="102"/>
    <s v="_x0000_US"/>
  </r>
  <r>
    <x v="1"/>
    <n v="13.689500000000001"/>
    <n v="-89.195499999999996"/>
    <n v="21700"/>
    <n v="0"/>
    <n v="0"/>
    <n v="102"/>
    <s v="_x0000_US"/>
  </r>
  <r>
    <x v="1"/>
    <n v="13.689500000000001"/>
    <n v="-89.195400000000006"/>
    <n v="21700"/>
    <n v="0"/>
    <n v="0"/>
    <n v="102"/>
    <s v="_x0000_US"/>
  </r>
  <r>
    <x v="1"/>
    <n v="13.6896"/>
    <n v="-89.195400000000006"/>
    <n v="21700"/>
    <n v="0"/>
    <n v="0"/>
    <n v="102"/>
    <s v="_x0000_US"/>
  </r>
  <r>
    <x v="1"/>
    <n v="13.6896"/>
    <n v="-89.195099999999996"/>
    <n v="21700"/>
    <n v="0"/>
    <n v="0"/>
    <n v="102"/>
    <s v="_x0000_US"/>
  </r>
  <r>
    <x v="1"/>
    <n v="13.6892"/>
    <n v="-89.195599999999999"/>
    <n v="21700"/>
    <n v="0"/>
    <n v="0"/>
    <n v="102"/>
    <s v="_x0000_US"/>
  </r>
  <r>
    <x v="1"/>
    <n v="13.6892"/>
    <n v="-89.195400000000006"/>
    <n v="21700"/>
    <n v="0"/>
    <n v="0"/>
    <n v="102"/>
    <s v="_x0000_US"/>
  </r>
  <r>
    <x v="1"/>
    <n v="13.6892"/>
    <n v="-89.1952"/>
    <n v="21700"/>
    <n v="0"/>
    <n v="0"/>
    <n v="102"/>
    <s v="_x0000_US"/>
  </r>
  <r>
    <x v="1"/>
    <n v="13.6891"/>
    <n v="-89.196200000000005"/>
    <n v="21700"/>
    <n v="0"/>
    <n v="0"/>
    <n v="102"/>
    <s v="_x0000_US"/>
  </r>
  <r>
    <x v="1"/>
    <n v="13.689"/>
    <n v="-89.196299999999994"/>
    <n v="21700"/>
    <n v="0"/>
    <n v="0"/>
    <n v="102"/>
    <s v="_x0000_US"/>
  </r>
  <r>
    <x v="1"/>
    <n v="13.689"/>
    <n v="-89.196299999999994"/>
    <n v="21700"/>
    <n v="0"/>
    <n v="0"/>
    <n v="102"/>
    <s v="_x0000_US"/>
  </r>
  <r>
    <x v="1"/>
    <n v="13.689"/>
    <n v="-89.196200000000005"/>
    <n v="21700"/>
    <n v="0"/>
    <n v="0"/>
    <n v="102"/>
    <s v="_x0000_US"/>
  </r>
  <r>
    <x v="1"/>
    <n v="13.689"/>
    <n v="-89.196200000000005"/>
    <n v="21700"/>
    <n v="0"/>
    <n v="0"/>
    <n v="102"/>
    <s v="_x0000_US"/>
  </r>
  <r>
    <x v="1"/>
    <n v="13.689"/>
    <n v="-89.196200000000005"/>
    <n v="21700"/>
    <n v="0"/>
    <n v="0"/>
    <n v="102"/>
    <s v="_x0000_US"/>
  </r>
  <r>
    <x v="1"/>
    <n v="13.689"/>
    <n v="-89.196100000000001"/>
    <n v="21700"/>
    <n v="0"/>
    <n v="0"/>
    <n v="102"/>
    <s v="_x0000_US"/>
  </r>
  <r>
    <x v="1"/>
    <n v="13.689"/>
    <n v="-89.196100000000001"/>
    <n v="21700"/>
    <n v="0"/>
    <n v="0"/>
    <n v="102"/>
    <s v="_x0000_US"/>
  </r>
  <r>
    <x v="1"/>
    <n v="13.6891"/>
    <n v="-89.196200000000005"/>
    <n v="21700"/>
    <n v="0"/>
    <n v="0"/>
    <n v="102"/>
    <s v="_x0000_US"/>
  </r>
  <r>
    <x v="1"/>
    <n v="13.6891"/>
    <n v="-89.196200000000005"/>
    <n v="21700"/>
    <n v="0"/>
    <n v="0"/>
    <n v="102"/>
    <s v="_x0000_US"/>
  </r>
  <r>
    <x v="1"/>
    <n v="13.6892"/>
    <n v="-89.196100000000001"/>
    <n v="21700"/>
    <n v="0"/>
    <n v="0"/>
    <n v="102"/>
    <s v="_x0000_US"/>
  </r>
  <r>
    <x v="1"/>
    <n v="13.6892"/>
    <n v="-89.196100000000001"/>
    <n v="21700"/>
    <n v="0"/>
    <n v="0"/>
    <n v="102"/>
    <s v="_x0000_US"/>
  </r>
  <r>
    <x v="1"/>
    <n v="13.6892"/>
    <n v="-89.196100000000001"/>
    <n v="21700"/>
    <n v="0"/>
    <n v="0"/>
    <n v="102"/>
    <s v="_x0000_US"/>
  </r>
  <r>
    <x v="1"/>
    <n v="13.6891"/>
    <n v="-89.196100000000001"/>
    <n v="21700"/>
    <n v="0"/>
    <n v="0"/>
    <n v="102"/>
    <s v="_x0000_US"/>
  </r>
  <r>
    <x v="1"/>
    <n v="13.6891"/>
    <n v="-89.196100000000001"/>
    <n v="21700"/>
    <n v="0"/>
    <n v="0"/>
    <n v="102"/>
    <s v="_x0000_US"/>
  </r>
  <r>
    <x v="1"/>
    <n v="13.6891"/>
    <n v="-89.196100000000001"/>
    <n v="21700"/>
    <n v="0"/>
    <n v="0"/>
    <n v="102"/>
    <s v="_x0000_US"/>
  </r>
  <r>
    <x v="1"/>
    <n v="13.6891"/>
    <n v="-89.196100000000001"/>
    <n v="21700"/>
    <n v="0"/>
    <n v="0"/>
    <n v="102"/>
    <s v="_x0000_US"/>
  </r>
  <r>
    <x v="1"/>
    <n v="13.6892"/>
    <n v="-89.195999999999998"/>
    <n v="21700"/>
    <n v="0"/>
    <n v="0"/>
    <n v="102"/>
    <s v="_x0000_US"/>
  </r>
  <r>
    <x v="1"/>
    <n v="13.6892"/>
    <n v="-89.195999999999998"/>
    <n v="21700"/>
    <n v="0"/>
    <n v="0"/>
    <n v="102"/>
    <s v="_x0000_US"/>
  </r>
  <r>
    <x v="1"/>
    <n v="13.6892"/>
    <n v="-89.195999999999998"/>
    <n v="21700"/>
    <n v="0"/>
    <n v="0"/>
    <n v="102"/>
    <s v="_x0000_US"/>
  </r>
  <r>
    <x v="1"/>
    <n v="13.6892"/>
    <n v="-89.195800000000006"/>
    <n v="21700"/>
    <n v="0"/>
    <n v="0"/>
    <n v="102"/>
    <s v="_x0000_US"/>
  </r>
  <r>
    <x v="1"/>
    <n v="13.6892"/>
    <n v="-89.195700000000002"/>
    <n v="21700"/>
    <n v="0"/>
    <n v="0"/>
    <n v="102"/>
    <s v="_x0000_US"/>
  </r>
  <r>
    <x v="1"/>
    <n v="13.689299999999999"/>
    <n v="-89.196100000000001"/>
    <n v="21700"/>
    <n v="0"/>
    <n v="0"/>
    <n v="102"/>
    <s v="_x0000_US"/>
  </r>
  <r>
    <x v="1"/>
    <n v="13.689299999999999"/>
    <n v="-89.195999999999998"/>
    <n v="21700"/>
    <n v="0"/>
    <n v="0"/>
    <n v="102"/>
    <s v="_x0000_US"/>
  </r>
  <r>
    <x v="1"/>
    <n v="13.689299999999999"/>
    <n v="-89.195999999999998"/>
    <n v="21700"/>
    <n v="0"/>
    <n v="0"/>
    <n v="102"/>
    <s v="_x0000_US"/>
  </r>
  <r>
    <x v="1"/>
    <n v="13.689299999999999"/>
    <n v="-89.195999999999998"/>
    <n v="21700"/>
    <n v="0"/>
    <n v="0"/>
    <n v="102"/>
    <s v="_x0000_US"/>
  </r>
  <r>
    <x v="1"/>
    <n v="13.689399999999999"/>
    <n v="-89.195999999999998"/>
    <n v="21700"/>
    <n v="0"/>
    <n v="0"/>
    <n v="102"/>
    <s v="_x0000_US"/>
  </r>
  <r>
    <x v="1"/>
    <n v="13.689399999999999"/>
    <n v="-89.195999999999998"/>
    <n v="21700"/>
    <n v="0"/>
    <n v="0"/>
    <n v="102"/>
    <s v="_x0000_US"/>
  </r>
  <r>
    <x v="1"/>
    <n v="13.689299999999999"/>
    <n v="-89.195899999999995"/>
    <n v="21700"/>
    <n v="0"/>
    <n v="0"/>
    <n v="102"/>
    <s v="_x0000_US"/>
  </r>
  <r>
    <x v="1"/>
    <n v="13.689500000000001"/>
    <n v="-89.195700000000002"/>
    <n v="21700"/>
    <n v="0"/>
    <n v="0"/>
    <n v="102"/>
    <s v="_x0000_US"/>
  </r>
  <r>
    <x v="1"/>
    <n v="13.6896"/>
    <n v="-89.195800000000006"/>
    <n v="21700"/>
    <n v="0"/>
    <n v="0"/>
    <n v="102"/>
    <s v="_x0000_US"/>
  </r>
  <r>
    <x v="1"/>
    <n v="13.689500000000001"/>
    <n v="-89.195999999999998"/>
    <n v="21700"/>
    <n v="0"/>
    <n v="0"/>
    <n v="102"/>
    <s v="_x0000_US"/>
  </r>
  <r>
    <x v="1"/>
    <n v="13.689500000000001"/>
    <n v="-89.195999999999998"/>
    <n v="21700"/>
    <n v="0"/>
    <n v="0"/>
    <n v="102"/>
    <s v="_x0000_US"/>
  </r>
  <r>
    <x v="1"/>
    <n v="13.689399999999999"/>
    <n v="-89.195999999999998"/>
    <n v="21700"/>
    <n v="0"/>
    <n v="0"/>
    <n v="102"/>
    <s v="_x0000_US"/>
  </r>
  <r>
    <x v="1"/>
    <n v="13.689399999999999"/>
    <n v="-89.195999999999998"/>
    <n v="21700"/>
    <n v="0"/>
    <n v="0"/>
    <n v="102"/>
    <s v="_x0000_US"/>
  </r>
  <r>
    <x v="1"/>
    <n v="13.69"/>
    <n v="-89.194999999999993"/>
    <n v="21700"/>
    <n v="0"/>
    <n v="0"/>
    <n v="102"/>
    <s v="_x0000_US"/>
  </r>
  <r>
    <x v="1"/>
    <n v="13.6899"/>
    <n v="-89.194999999999993"/>
    <n v="21700"/>
    <n v="0"/>
    <n v="0"/>
    <n v="102"/>
    <s v="_x0000_US"/>
  </r>
  <r>
    <x v="1"/>
    <n v="13.6866"/>
    <n v="-89.198499999999996"/>
    <n v="13700"/>
    <n v="0"/>
    <n v="0"/>
    <n v="102"/>
    <s v="_x0000_US"/>
  </r>
  <r>
    <x v="1"/>
    <n v="13.6866"/>
    <n v="-89.198499999999996"/>
    <n v="13700"/>
    <n v="0"/>
    <n v="0"/>
    <n v="102"/>
    <s v="_x0000_US"/>
  </r>
  <r>
    <x v="1"/>
    <n v="13.6866"/>
    <n v="-89.198499999999996"/>
    <n v="13700"/>
    <n v="0"/>
    <n v="0"/>
    <n v="102"/>
    <s v="_x0000_US"/>
  </r>
  <r>
    <x v="1"/>
    <n v="13.6866"/>
    <n v="-89.198400000000007"/>
    <n v="13700"/>
    <n v="0"/>
    <n v="0"/>
    <n v="102"/>
    <s v="_x0000_US"/>
  </r>
  <r>
    <x v="1"/>
    <n v="13.6866"/>
    <n v="-89.198400000000007"/>
    <n v="13700"/>
    <n v="0"/>
    <n v="0"/>
    <n v="102"/>
    <s v="_x0000_US"/>
  </r>
  <r>
    <x v="1"/>
    <n v="13.6866"/>
    <n v="-89.198400000000007"/>
    <n v="13700"/>
    <n v="0"/>
    <n v="0"/>
    <n v="102"/>
    <s v="_x0000_US"/>
  </r>
  <r>
    <x v="1"/>
    <n v="13.6866"/>
    <n v="-89.198400000000007"/>
    <n v="13700"/>
    <n v="0"/>
    <n v="0"/>
    <n v="102"/>
    <s v="_x0000_US"/>
  </r>
  <r>
    <x v="1"/>
    <n v="13.6869"/>
    <n v="-89.198400000000007"/>
    <n v="13700"/>
    <n v="0"/>
    <n v="0"/>
    <n v="102"/>
    <s v="_x0000_US"/>
  </r>
  <r>
    <x v="1"/>
    <n v="13.6869"/>
    <n v="-89.198400000000007"/>
    <n v="13700"/>
    <n v="0"/>
    <n v="0"/>
    <n v="102"/>
    <s v="_x0000_US"/>
  </r>
  <r>
    <x v="1"/>
    <n v="13.6869"/>
    <n v="-89.198400000000007"/>
    <n v="13700"/>
    <n v="0"/>
    <n v="0"/>
    <n v="102"/>
    <s v="_x0000_US"/>
  </r>
  <r>
    <x v="1"/>
    <n v="13.6869"/>
    <n v="-89.198400000000007"/>
    <n v="13700"/>
    <n v="0"/>
    <n v="0"/>
    <n v="102"/>
    <s v="_x0000_US"/>
  </r>
  <r>
    <x v="1"/>
    <n v="13.686"/>
    <n v="-89.198700000000002"/>
    <n v="22540"/>
    <n v="0"/>
    <n v="0"/>
    <n v="102"/>
    <s v="_x0000_US"/>
  </r>
  <r>
    <x v="1"/>
    <n v="13.686199999999999"/>
    <n v="-89.197900000000004"/>
    <n v="32500"/>
    <n v="0"/>
    <n v="0"/>
    <n v="102"/>
    <s v="_x0000_US"/>
  </r>
  <r>
    <x v="1"/>
    <n v="13.686199999999999"/>
    <n v="-89.197999999999993"/>
    <n v="32500"/>
    <n v="0"/>
    <n v="0"/>
    <n v="102"/>
    <s v="_x0000_US"/>
  </r>
  <r>
    <x v="1"/>
    <n v="13.686299999999999"/>
    <n v="-89.197999999999993"/>
    <n v="32500"/>
    <n v="0"/>
    <n v="0"/>
    <n v="102"/>
    <s v="_x0000_US"/>
  </r>
  <r>
    <x v="1"/>
    <n v="13.686199999999999"/>
    <n v="-89.197999999999993"/>
    <n v="32500"/>
    <n v="0"/>
    <n v="0"/>
    <n v="102"/>
    <s v="_x0000_US"/>
  </r>
  <r>
    <x v="1"/>
    <n v="13.686299999999999"/>
    <n v="-89.197999999999993"/>
    <n v="32500"/>
    <n v="0"/>
    <n v="0"/>
    <n v="102"/>
    <s v="_x0000_US"/>
  </r>
  <r>
    <x v="1"/>
    <n v="13.686199999999999"/>
    <n v="-89.198099999999997"/>
    <n v="32500"/>
    <n v="0"/>
    <n v="0"/>
    <n v="102"/>
    <s v="_x0000_US"/>
  </r>
  <r>
    <x v="1"/>
    <n v="13.686299999999999"/>
    <n v="-89.1982"/>
    <n v="32500"/>
    <n v="0"/>
    <n v="0"/>
    <n v="102"/>
    <s v="_x0000_US"/>
  </r>
  <r>
    <x v="1"/>
    <n v="13.686299999999999"/>
    <n v="-89.198099999999997"/>
    <n v="32500"/>
    <n v="0"/>
    <n v="0"/>
    <n v="102"/>
    <s v="_x0000_US"/>
  </r>
  <r>
    <x v="1"/>
    <n v="13.686299999999999"/>
    <n v="-89.1982"/>
    <n v="32500"/>
    <n v="0"/>
    <n v="0"/>
    <n v="102"/>
    <s v="_x0000_US"/>
  </r>
  <r>
    <x v="1"/>
    <n v="13.686299999999999"/>
    <n v="-89.1982"/>
    <n v="32500"/>
    <n v="0"/>
    <n v="0"/>
    <n v="102"/>
    <s v="_x0000_US"/>
  </r>
  <r>
    <x v="1"/>
    <n v="13.686199999999999"/>
    <n v="-89.1982"/>
    <n v="32500"/>
    <n v="0"/>
    <n v="0"/>
    <n v="102"/>
    <s v="_x0000_US"/>
  </r>
  <r>
    <x v="1"/>
    <n v="13.686199999999999"/>
    <n v="-89.198300000000003"/>
    <n v="32500"/>
    <n v="0"/>
    <n v="0"/>
    <n v="102"/>
    <s v="_x0000_US"/>
  </r>
  <r>
    <x v="1"/>
    <n v="13.686299999999999"/>
    <n v="-89.198300000000003"/>
    <n v="32500"/>
    <n v="0"/>
    <n v="0"/>
    <n v="102"/>
    <s v="_x0000_US"/>
  </r>
  <r>
    <x v="1"/>
    <n v="13.686299999999999"/>
    <n v="-89.198300000000003"/>
    <n v="32500"/>
    <n v="0"/>
    <n v="0"/>
    <n v="102"/>
    <s v="_x0000_US"/>
  </r>
  <r>
    <x v="1"/>
    <n v="13.686299999999999"/>
    <n v="-89.197900000000004"/>
    <n v="32500"/>
    <n v="0"/>
    <n v="0"/>
    <n v="102"/>
    <s v="_x0000_US"/>
  </r>
  <r>
    <x v="1"/>
    <n v="13.686199999999999"/>
    <n v="-89.197800000000001"/>
    <n v="32500"/>
    <n v="0"/>
    <n v="0"/>
    <n v="102"/>
    <s v="_x0000_US"/>
  </r>
  <r>
    <x v="1"/>
    <n v="13.686299999999999"/>
    <n v="-89.197800000000001"/>
    <n v="32500"/>
    <n v="0"/>
    <n v="0"/>
    <n v="102"/>
    <s v="_x0000_US"/>
  </r>
  <r>
    <x v="1"/>
    <n v="13.686299999999999"/>
    <n v="-89.197800000000001"/>
    <n v="32500"/>
    <n v="0"/>
    <n v="0"/>
    <n v="102"/>
    <s v="_x0000_US"/>
  </r>
  <r>
    <x v="1"/>
    <n v="13.686299999999999"/>
    <n v="-89.197699999999998"/>
    <n v="32500"/>
    <n v="0"/>
    <n v="0"/>
    <n v="102"/>
    <s v="_x0000_US"/>
  </r>
  <r>
    <x v="1"/>
    <n v="13.686299999999999"/>
    <n v="-89.197699999999998"/>
    <n v="32500"/>
    <n v="0"/>
    <n v="0"/>
    <n v="102"/>
    <s v="_x0000_US"/>
  </r>
  <r>
    <x v="1"/>
    <n v="13.686199999999999"/>
    <n v="-89.197800000000001"/>
    <n v="32500"/>
    <n v="0"/>
    <n v="0"/>
    <n v="102"/>
    <s v="_x0000_US"/>
  </r>
  <r>
    <x v="1"/>
    <n v="13.686199999999999"/>
    <n v="-89.197800000000001"/>
    <n v="32500"/>
    <n v="0"/>
    <n v="0"/>
    <n v="102"/>
    <s v="_x0000_US"/>
  </r>
  <r>
    <x v="1"/>
    <n v="13.686299999999999"/>
    <n v="-89.197599999999994"/>
    <n v="32500"/>
    <n v="0"/>
    <n v="0"/>
    <n v="102"/>
    <s v="_x0000_US"/>
  </r>
  <r>
    <x v="1"/>
    <n v="13.686199999999999"/>
    <n v="-89.197599999999994"/>
    <n v="32500"/>
    <n v="0"/>
    <n v="0"/>
    <n v="102"/>
    <s v="_x0000_US"/>
  </r>
  <r>
    <x v="1"/>
    <n v="13.686199999999999"/>
    <n v="-89.197699999999998"/>
    <n v="32500"/>
    <n v="0"/>
    <n v="0"/>
    <n v="102"/>
    <s v="_x0000_US"/>
  </r>
  <r>
    <x v="1"/>
    <n v="13.6861"/>
    <n v="-89.197699999999998"/>
    <n v="32500"/>
    <n v="0"/>
    <n v="0"/>
    <n v="102"/>
    <s v="_x0000_US"/>
  </r>
  <r>
    <x v="1"/>
    <n v="13.6861"/>
    <n v="-89.197699999999998"/>
    <n v="32500"/>
    <n v="0"/>
    <n v="0"/>
    <n v="102"/>
    <s v="_x0000_US"/>
  </r>
  <r>
    <x v="1"/>
    <n v="13.6861"/>
    <n v="-89.197599999999994"/>
    <n v="32500"/>
    <n v="0"/>
    <n v="0"/>
    <n v="102"/>
    <s v="_x0000_US"/>
  </r>
  <r>
    <x v="1"/>
    <n v="13.6861"/>
    <n v="-89.197599999999994"/>
    <n v="32500"/>
    <n v="0"/>
    <n v="0"/>
    <n v="102"/>
    <s v="_x0000_US"/>
  </r>
  <r>
    <x v="1"/>
    <n v="13.686199999999999"/>
    <n v="-89.197599999999994"/>
    <n v="32500"/>
    <n v="0"/>
    <n v="0"/>
    <n v="102"/>
    <s v="_x0000_US"/>
  </r>
  <r>
    <x v="1"/>
    <n v="13.686199999999999"/>
    <n v="-89.198499999999996"/>
    <n v="32500"/>
    <n v="0"/>
    <n v="0"/>
    <n v="102"/>
    <s v="_x0000_US"/>
  </r>
  <r>
    <x v="1"/>
    <n v="13.6861"/>
    <n v="-89.198499999999996"/>
    <n v="32500"/>
    <n v="0"/>
    <n v="0"/>
    <n v="102"/>
    <s v="_x0000_US"/>
  </r>
  <r>
    <x v="1"/>
    <n v="13.6861"/>
    <n v="-89.198599999999999"/>
    <n v="32500"/>
    <n v="0"/>
    <n v="0"/>
    <n v="102"/>
    <s v="_x0000_US"/>
  </r>
  <r>
    <x v="1"/>
    <n v="13.686"/>
    <n v="-89.198599999999999"/>
    <n v="32500"/>
    <n v="0"/>
    <n v="0"/>
    <n v="102"/>
    <s v="_x0000_US"/>
  </r>
  <r>
    <x v="1"/>
    <n v="13.686299999999999"/>
    <n v="-89.198400000000007"/>
    <n v="32500"/>
    <n v="0"/>
    <n v="0"/>
    <n v="102"/>
    <s v="_x0000_US"/>
  </r>
  <r>
    <x v="1"/>
    <n v="13.686299999999999"/>
    <n v="-89.198400000000007"/>
    <n v="32500"/>
    <n v="0"/>
    <n v="0"/>
    <n v="102"/>
    <s v="_x0000_US"/>
  </r>
  <r>
    <x v="1"/>
    <n v="13.6896"/>
    <n v="-89.194900000000004"/>
    <n v="8550"/>
    <n v="0"/>
    <n v="0"/>
    <n v="102"/>
    <s v="_x0000_US"/>
  </r>
  <r>
    <x v="1"/>
    <n v="13.6897"/>
    <n v="-89.194800000000001"/>
    <n v="8550"/>
    <n v="0"/>
    <n v="0"/>
    <n v="102"/>
    <s v="_x0000_US"/>
  </r>
  <r>
    <x v="1"/>
    <n v="13.6896"/>
    <n v="-89.194699999999997"/>
    <n v="8550"/>
    <n v="0"/>
    <n v="0"/>
    <n v="102"/>
    <s v="_x0000_US"/>
  </r>
  <r>
    <x v="1"/>
    <n v="13.6896"/>
    <n v="-89.194699999999997"/>
    <n v="8550"/>
    <n v="0"/>
    <n v="0"/>
    <n v="102"/>
    <s v="_x0000_US"/>
  </r>
  <r>
    <x v="1"/>
    <n v="13.6896"/>
    <n v="-89.194599999999994"/>
    <n v="8550"/>
    <n v="0"/>
    <n v="0"/>
    <n v="102"/>
    <s v="_x0000_US"/>
  </r>
  <r>
    <x v="1"/>
    <n v="13.6896"/>
    <n v="-89.194699999999997"/>
    <n v="8550"/>
    <n v="0"/>
    <n v="0"/>
    <n v="102"/>
    <s v="_x0000_US"/>
  </r>
  <r>
    <x v="1"/>
    <n v="13.689500000000001"/>
    <n v="-89.194699999999997"/>
    <n v="8550"/>
    <n v="0"/>
    <n v="0"/>
    <n v="102"/>
    <s v="_x0000_US"/>
  </r>
  <r>
    <x v="1"/>
    <n v="13.689500000000001"/>
    <n v="-89.194699999999997"/>
    <n v="8550"/>
    <n v="0"/>
    <n v="0"/>
    <n v="102"/>
    <s v="_x0000_US"/>
  </r>
  <r>
    <x v="1"/>
    <n v="13.689500000000001"/>
    <n v="-89.194699999999997"/>
    <n v="8550"/>
    <n v="0"/>
    <n v="0"/>
    <n v="102"/>
    <s v="_x0000_US"/>
  </r>
  <r>
    <x v="1"/>
    <n v="13.689500000000001"/>
    <n v="-89.194800000000001"/>
    <n v="8550"/>
    <n v="0"/>
    <n v="0"/>
    <n v="102"/>
    <s v="_x0000_US"/>
  </r>
  <r>
    <x v="1"/>
    <n v="13.6896"/>
    <n v="-89.194900000000004"/>
    <n v="8550"/>
    <n v="0"/>
    <n v="0"/>
    <n v="102"/>
    <s v="_x0000_US"/>
  </r>
  <r>
    <x v="1"/>
    <n v="13.689500000000001"/>
    <n v="-89.194900000000004"/>
    <n v="8550"/>
    <n v="0"/>
    <n v="0"/>
    <n v="102"/>
    <s v="_x0000_US"/>
  </r>
  <r>
    <x v="1"/>
    <n v="13.689500000000001"/>
    <n v="-89.194900000000004"/>
    <n v="8550"/>
    <n v="0"/>
    <n v="0"/>
    <n v="102"/>
    <s v="_x0000_US"/>
  </r>
  <r>
    <x v="1"/>
    <n v="13.689399999999999"/>
    <n v="-89.194900000000004"/>
    <n v="8550"/>
    <n v="0"/>
    <n v="0"/>
    <n v="102"/>
    <s v="_x0000_US"/>
  </r>
  <r>
    <x v="1"/>
    <n v="13.689299999999999"/>
    <n v="-89.194999999999993"/>
    <n v="8550"/>
    <n v="0"/>
    <n v="0"/>
    <n v="102"/>
    <s v="_x0000_US"/>
  </r>
  <r>
    <x v="1"/>
    <n v="13.6891"/>
    <n v="-89.194999999999993"/>
    <n v="8550"/>
    <n v="0"/>
    <n v="0"/>
    <n v="102"/>
    <s v="_x0000_US"/>
  </r>
  <r>
    <x v="1"/>
    <n v="13.689"/>
    <n v="-89.194999999999993"/>
    <n v="8550"/>
    <n v="0"/>
    <n v="0"/>
    <n v="102"/>
    <s v="_x0000_US"/>
  </r>
  <r>
    <x v="1"/>
    <n v="13.689"/>
    <n v="-89.194999999999993"/>
    <n v="8550"/>
    <n v="0"/>
    <n v="0"/>
    <n v="102"/>
    <s v="_x0000_US"/>
  </r>
  <r>
    <x v="1"/>
    <n v="13.688700000000001"/>
    <n v="-89.1952"/>
    <n v="8550"/>
    <n v="0"/>
    <n v="0"/>
    <n v="102"/>
    <s v="_x0000_US"/>
  </r>
  <r>
    <x v="1"/>
    <n v="13.688599999999999"/>
    <n v="-89.195099999999996"/>
    <n v="8550"/>
    <n v="0"/>
    <n v="0"/>
    <n v="102"/>
    <s v="_x0000_US"/>
  </r>
  <r>
    <x v="1"/>
    <n v="13.688599999999999"/>
    <n v="-89.1952"/>
    <n v="8550"/>
    <n v="0"/>
    <n v="0"/>
    <n v="102"/>
    <s v="_x0000_US"/>
  </r>
  <r>
    <x v="1"/>
    <n v="13.688599999999999"/>
    <n v="-89.1952"/>
    <n v="8550"/>
    <n v="0"/>
    <n v="0"/>
    <n v="102"/>
    <s v="_x0000_US"/>
  </r>
  <r>
    <x v="1"/>
    <n v="13.688499999999999"/>
    <n v="-89.1952"/>
    <n v="8550"/>
    <n v="0"/>
    <n v="0"/>
    <n v="102"/>
    <s v="_x0000_US"/>
  </r>
  <r>
    <x v="1"/>
    <n v="13.6884"/>
    <n v="-89.195300000000003"/>
    <n v="8550"/>
    <n v="0"/>
    <n v="0"/>
    <n v="102"/>
    <s v="_x0000_US"/>
  </r>
  <r>
    <x v="1"/>
    <n v="13.6884"/>
    <n v="-89.195300000000003"/>
    <n v="8550"/>
    <n v="0"/>
    <n v="0"/>
    <n v="102"/>
    <s v="_x0000_US"/>
  </r>
  <r>
    <x v="1"/>
    <n v="13.6883"/>
    <n v="-89.195300000000003"/>
    <n v="8550"/>
    <n v="0"/>
    <n v="0"/>
    <n v="102"/>
    <s v="_x0000_US"/>
  </r>
  <r>
    <x v="1"/>
    <n v="13.6882"/>
    <n v="-89.195300000000003"/>
    <n v="8550"/>
    <n v="0"/>
    <n v="0"/>
    <n v="102"/>
    <s v="_x0000_US"/>
  </r>
  <r>
    <x v="1"/>
    <n v="13.688000000000001"/>
    <n v="-89.197999999999993"/>
    <n v="8550"/>
    <n v="0"/>
    <n v="0"/>
    <n v="102"/>
    <s v="_x0000_US"/>
  </r>
  <r>
    <x v="1"/>
    <n v="13.6866"/>
    <n v="-89.197199999999995"/>
    <n v="8550"/>
    <n v="0"/>
    <n v="0"/>
    <n v="102"/>
    <s v="_x0000_US"/>
  </r>
  <r>
    <x v="1"/>
    <n v="13.6866"/>
    <n v="-89.197199999999995"/>
    <n v="8550"/>
    <n v="0"/>
    <n v="0"/>
    <n v="102"/>
    <s v="_x0000_US"/>
  </r>
  <r>
    <x v="1"/>
    <n v="13.6866"/>
    <n v="-89.197100000000006"/>
    <n v="8550"/>
    <n v="0"/>
    <n v="0"/>
    <n v="102"/>
    <s v="_x0000_US"/>
  </r>
  <r>
    <x v="1"/>
    <n v="13.6866"/>
    <n v="-89.197100000000006"/>
    <n v="8550"/>
    <n v="0"/>
    <n v="0"/>
    <n v="102"/>
    <s v="_x0000_US"/>
  </r>
  <r>
    <x v="1"/>
    <n v="13.6867"/>
    <n v="-89.197400000000002"/>
    <n v="8550"/>
    <n v="0"/>
    <n v="0"/>
    <n v="102"/>
    <s v="_x0000_US"/>
  </r>
  <r>
    <x v="1"/>
    <n v="13.6866"/>
    <n v="-89.197199999999995"/>
    <n v="8550"/>
    <n v="0"/>
    <n v="0"/>
    <n v="102"/>
    <s v="_x0000_US"/>
  </r>
  <r>
    <x v="1"/>
    <n v="13.6867"/>
    <n v="-89.197199999999995"/>
    <n v="8550"/>
    <n v="0"/>
    <n v="0"/>
    <n v="102"/>
    <s v="_x0000_US"/>
  </r>
  <r>
    <x v="1"/>
    <n v="13.6867"/>
    <n v="-89.197199999999995"/>
    <n v="8550"/>
    <n v="0"/>
    <n v="0"/>
    <n v="102"/>
    <s v="_x0000_US"/>
  </r>
  <r>
    <x v="1"/>
    <n v="13.6867"/>
    <n v="-89.197100000000006"/>
    <n v="8550"/>
    <n v="0"/>
    <n v="0"/>
    <n v="102"/>
    <s v="_x0000_US"/>
  </r>
  <r>
    <x v="1"/>
    <n v="13.6867"/>
    <n v="-89.197100000000006"/>
    <n v="8550"/>
    <n v="0"/>
    <n v="0"/>
    <n v="102"/>
    <s v="_x0000_US"/>
  </r>
  <r>
    <x v="1"/>
    <n v="13.6867"/>
    <n v="-89.197000000000003"/>
    <n v="8550"/>
    <n v="0"/>
    <n v="0"/>
    <n v="102"/>
    <s v="_x0000_US"/>
  </r>
  <r>
    <x v="1"/>
    <n v="13.6866"/>
    <n v="-89.197299999999998"/>
    <n v="8550"/>
    <n v="0"/>
    <n v="0"/>
    <n v="102"/>
    <s v="_x0000_US"/>
  </r>
  <r>
    <x v="1"/>
    <n v="13.6867"/>
    <n v="-89.197299999999998"/>
    <n v="8550"/>
    <n v="0"/>
    <n v="0"/>
    <n v="102"/>
    <s v="_x0000_US"/>
  </r>
  <r>
    <x v="1"/>
    <n v="13.6868"/>
    <n v="-89.197199999999995"/>
    <n v="8550"/>
    <n v="0"/>
    <n v="0"/>
    <n v="102"/>
    <s v="_x0000_US"/>
  </r>
  <r>
    <x v="1"/>
    <n v="13.6868"/>
    <n v="-89.197100000000006"/>
    <n v="8550"/>
    <n v="0"/>
    <n v="0"/>
    <n v="102"/>
    <s v="_x0000_US"/>
  </r>
  <r>
    <x v="1"/>
    <n v="13.6868"/>
    <n v="-89.197000000000003"/>
    <n v="8550"/>
    <n v="0"/>
    <n v="0"/>
    <n v="102"/>
    <s v="_x0000_US"/>
  </r>
  <r>
    <x v="1"/>
    <n v="13.6876"/>
    <n v="-89.197400000000002"/>
    <n v="8550"/>
    <n v="0"/>
    <n v="0"/>
    <n v="102"/>
    <s v="_x0000_US"/>
  </r>
  <r>
    <x v="1"/>
    <n v="13.6876"/>
    <n v="-89.197500000000005"/>
    <n v="8550"/>
    <n v="0"/>
    <n v="0"/>
    <n v="102"/>
    <s v="_x0000_US"/>
  </r>
  <r>
    <x v="1"/>
    <n v="13.687799999999999"/>
    <n v="-89.197299999999998"/>
    <n v="8550"/>
    <n v="0"/>
    <n v="0"/>
    <n v="102"/>
    <s v="_x0000_US"/>
  </r>
  <r>
    <x v="1"/>
    <n v="13.687799999999999"/>
    <n v="-89.197400000000002"/>
    <n v="8550"/>
    <n v="0"/>
    <n v="0"/>
    <n v="102"/>
    <s v="_x0000_US"/>
  </r>
  <r>
    <x v="1"/>
    <n v="13.6877"/>
    <n v="-89.197400000000002"/>
    <n v="8550"/>
    <n v="0"/>
    <n v="0"/>
    <n v="102"/>
    <s v="_x0000_US"/>
  </r>
  <r>
    <x v="1"/>
    <n v="13.687900000000001"/>
    <n v="-89.197599999999994"/>
    <n v="8550"/>
    <n v="0"/>
    <n v="0"/>
    <n v="102"/>
    <s v="_x0000_US"/>
  </r>
  <r>
    <x v="1"/>
    <n v="13.687900000000001"/>
    <n v="-89.197500000000005"/>
    <n v="8550"/>
    <n v="0"/>
    <n v="0"/>
    <n v="102"/>
    <s v="_x0000_US"/>
  </r>
  <r>
    <x v="1"/>
    <n v="13.687799999999999"/>
    <n v="-89.197500000000005"/>
    <n v="8550"/>
    <n v="0"/>
    <n v="0"/>
    <n v="102"/>
    <s v="_x0000_US"/>
  </r>
  <r>
    <x v="1"/>
    <n v="13.687900000000001"/>
    <n v="-89.197400000000002"/>
    <n v="8550"/>
    <n v="0"/>
    <n v="0"/>
    <n v="102"/>
    <s v="_x0000_US"/>
  </r>
  <r>
    <x v="1"/>
    <n v="13.687900000000001"/>
    <n v="-89.197299999999998"/>
    <n v="8550"/>
    <n v="0"/>
    <n v="0"/>
    <n v="102"/>
    <s v="_x0000_US"/>
  </r>
  <r>
    <x v="1"/>
    <n v="13.6877"/>
    <n v="-89.197699999999998"/>
    <n v="8550"/>
    <n v="0"/>
    <n v="0"/>
    <n v="102"/>
    <s v="_x0000_US"/>
  </r>
  <r>
    <x v="1"/>
    <n v="13.6876"/>
    <n v="-89.197500000000005"/>
    <n v="8550"/>
    <n v="0"/>
    <n v="0"/>
    <n v="102"/>
    <s v="_x0000_US"/>
  </r>
  <r>
    <x v="1"/>
    <n v="13.6877"/>
    <n v="-89.197400000000002"/>
    <n v="8550"/>
    <n v="0"/>
    <n v="0"/>
    <n v="102"/>
    <s v="_x0000_US"/>
  </r>
  <r>
    <x v="1"/>
    <n v="13.6876"/>
    <n v="-89.197400000000002"/>
    <n v="8550"/>
    <n v="0"/>
    <n v="0"/>
    <n v="102"/>
    <s v="_x0000_US"/>
  </r>
  <r>
    <x v="1"/>
    <n v="13.6881"/>
    <n v="-89.197699999999998"/>
    <n v="8550"/>
    <n v="0"/>
    <n v="0"/>
    <n v="102"/>
    <s v="_x0000_US"/>
  </r>
  <r>
    <x v="1"/>
    <n v="13.6867"/>
    <n v="-89.197400000000002"/>
    <n v="8550"/>
    <n v="0"/>
    <n v="0"/>
    <n v="102"/>
    <s v="_x0000_US"/>
  </r>
  <r>
    <x v="1"/>
    <n v="13.6904"/>
    <n v="-89.192599999999999"/>
    <n v="8550"/>
    <n v="0"/>
    <n v="0"/>
    <n v="102"/>
    <s v="_x0000_US"/>
  </r>
  <r>
    <x v="1"/>
    <n v="13.6904"/>
    <n v="-89.192400000000006"/>
    <n v="8550"/>
    <n v="0"/>
    <n v="0"/>
    <n v="102"/>
    <s v="_x0000_US"/>
  </r>
  <r>
    <x v="1"/>
    <n v="13.690200000000001"/>
    <n v="-89.192400000000006"/>
    <n v="8550"/>
    <n v="0"/>
    <n v="0"/>
    <n v="102"/>
    <s v="_x0000_US"/>
  </r>
  <r>
    <x v="1"/>
    <n v="13.690200000000001"/>
    <n v="-89.192400000000006"/>
    <n v="8550"/>
    <n v="0"/>
    <n v="0"/>
    <n v="102"/>
    <s v="_x0000_US"/>
  </r>
  <r>
    <x v="1"/>
    <n v="13.690099999999999"/>
    <n v="-89.192400000000006"/>
    <n v="8550"/>
    <n v="0"/>
    <n v="0"/>
    <n v="102"/>
    <s v="_x0000_US"/>
  </r>
  <r>
    <x v="1"/>
    <n v="13.689299999999999"/>
    <n v="-89.194000000000003"/>
    <n v="8550"/>
    <n v="0"/>
    <n v="0"/>
    <n v="102"/>
    <s v="_x0000_US"/>
  </r>
  <r>
    <x v="1"/>
    <n v="13.6892"/>
    <n v="-89.193799999999996"/>
    <n v="8550"/>
    <n v="0"/>
    <n v="0"/>
    <n v="102"/>
    <s v="_x0000_US"/>
  </r>
  <r>
    <x v="1"/>
    <n v="13.6892"/>
    <n v="-89.193799999999996"/>
    <n v="8550"/>
    <n v="0"/>
    <n v="0"/>
    <n v="102"/>
    <s v="_x0000_US"/>
  </r>
  <r>
    <x v="1"/>
    <n v="13.6892"/>
    <n v="-89.193799999999996"/>
    <n v="8550"/>
    <n v="0"/>
    <n v="0"/>
    <n v="102"/>
    <s v="_x0000_US"/>
  </r>
  <r>
    <x v="1"/>
    <n v="13.6892"/>
    <n v="-89.193799999999996"/>
    <n v="8550"/>
    <n v="0"/>
    <n v="0"/>
    <n v="102"/>
    <s v="_x0000_US"/>
  </r>
  <r>
    <x v="1"/>
    <n v="13.6892"/>
    <n v="-89.193799999999996"/>
    <n v="8550"/>
    <n v="0"/>
    <n v="0"/>
    <n v="102"/>
    <s v="_x0000_US"/>
  </r>
  <r>
    <x v="1"/>
    <n v="13.6892"/>
    <n v="-89.193799999999996"/>
    <n v="8550"/>
    <n v="0"/>
    <n v="0"/>
    <n v="102"/>
    <s v="_x0000_US"/>
  </r>
  <r>
    <x v="1"/>
    <n v="13.6891"/>
    <n v="-89.193899999999999"/>
    <n v="8550"/>
    <n v="0"/>
    <n v="0"/>
    <n v="102"/>
    <s v="_x0000_US"/>
  </r>
  <r>
    <x v="1"/>
    <n v="13.6891"/>
    <n v="-89.193899999999999"/>
    <n v="8550"/>
    <n v="0"/>
    <n v="0"/>
    <n v="102"/>
    <s v="_x0000_US"/>
  </r>
  <r>
    <x v="1"/>
    <n v="13.6891"/>
    <n v="-89.193899999999999"/>
    <n v="8550"/>
    <n v="0"/>
    <n v="0"/>
    <n v="102"/>
    <s v="_x0000_US"/>
  </r>
  <r>
    <x v="1"/>
    <n v="13.6891"/>
    <n v="-89.193899999999999"/>
    <n v="8550"/>
    <n v="0"/>
    <n v="0"/>
    <n v="102"/>
    <s v="_x0000_US"/>
  </r>
  <r>
    <x v="1"/>
    <n v="13.6891"/>
    <n v="-89.193899999999999"/>
    <n v="8550"/>
    <n v="0"/>
    <n v="0"/>
    <n v="102"/>
    <s v="_x0000_US"/>
  </r>
  <r>
    <x v="1"/>
    <n v="13.6891"/>
    <n v="-89.193600000000004"/>
    <n v="8550"/>
    <n v="0"/>
    <n v="0"/>
    <n v="102"/>
    <s v="_x0000_US"/>
  </r>
  <r>
    <x v="1"/>
    <n v="13.6891"/>
    <n v="-89.193600000000004"/>
    <n v="8550"/>
    <n v="0"/>
    <n v="0"/>
    <n v="102"/>
    <s v="_x0000_US"/>
  </r>
  <r>
    <x v="1"/>
    <n v="13.6891"/>
    <n v="-89.193600000000004"/>
    <n v="8550"/>
    <n v="0"/>
    <n v="0"/>
    <n v="102"/>
    <s v="_x0000_US"/>
  </r>
  <r>
    <x v="1"/>
    <n v="13.6892"/>
    <n v="-89.193600000000004"/>
    <n v="8550"/>
    <n v="0"/>
    <n v="0"/>
    <n v="102"/>
    <s v="_x0000_US"/>
  </r>
  <r>
    <x v="1"/>
    <n v="13.6892"/>
    <n v="-89.193600000000004"/>
    <n v="8550"/>
    <n v="0"/>
    <n v="0"/>
    <n v="102"/>
    <s v="_x0000_US"/>
  </r>
  <r>
    <x v="1"/>
    <n v="13.6892"/>
    <n v="-89.193600000000004"/>
    <n v="8550"/>
    <n v="0"/>
    <n v="0"/>
    <n v="102"/>
    <s v="_x0000_US"/>
  </r>
  <r>
    <x v="1"/>
    <n v="13.689"/>
    <n v="-89.193799999999996"/>
    <n v="8550"/>
    <n v="0"/>
    <n v="0"/>
    <n v="102"/>
    <s v="_x0000_US"/>
  </r>
  <r>
    <x v="1"/>
    <n v="13.6883"/>
    <n v="-89.193600000000004"/>
    <n v="8550"/>
    <n v="0"/>
    <n v="0"/>
    <n v="102"/>
    <s v="_x0000_US"/>
  </r>
  <r>
    <x v="1"/>
    <n v="13.6883"/>
    <n v="-89.193600000000004"/>
    <n v="8550"/>
    <n v="0"/>
    <n v="0"/>
    <n v="102"/>
    <s v="_x0000_US"/>
  </r>
  <r>
    <x v="1"/>
    <n v="13.6883"/>
    <n v="-89.193600000000004"/>
    <n v="8550"/>
    <n v="0"/>
    <n v="0"/>
    <n v="102"/>
    <s v="_x0000_US"/>
  </r>
  <r>
    <x v="1"/>
    <n v="13.689500000000001"/>
    <n v="-89.190700000000007"/>
    <n v="8550"/>
    <n v="0"/>
    <n v="0"/>
    <n v="102"/>
    <s v="_x0000_US"/>
  </r>
  <r>
    <x v="1"/>
    <n v="13.6866"/>
    <n v="-89.196799999999996"/>
    <n v="9850"/>
    <n v="0"/>
    <n v="0"/>
    <n v="102"/>
    <s v="_x0000_US"/>
  </r>
  <r>
    <x v="1"/>
    <n v="13.686500000000001"/>
    <n v="-89.196799999999996"/>
    <n v="9850"/>
    <n v="0"/>
    <n v="0"/>
    <n v="102"/>
    <s v="_x0000_US"/>
  </r>
  <r>
    <x v="1"/>
    <n v="13.686500000000001"/>
    <n v="-89.196700000000007"/>
    <n v="9850"/>
    <n v="0"/>
    <n v="0"/>
    <n v="102"/>
    <s v="_x0000_US"/>
  </r>
  <r>
    <x v="1"/>
    <n v="13.686500000000001"/>
    <n v="-89.196700000000007"/>
    <n v="9850"/>
    <n v="0"/>
    <n v="0"/>
    <n v="102"/>
    <s v="_x0000_US"/>
  </r>
  <r>
    <x v="1"/>
    <n v="13.686500000000001"/>
    <n v="-89.196700000000007"/>
    <n v="9850"/>
    <n v="0"/>
    <n v="0"/>
    <n v="102"/>
    <s v="_x0000_US"/>
  </r>
  <r>
    <x v="1"/>
    <n v="13.686500000000001"/>
    <n v="-89.196700000000007"/>
    <n v="9850"/>
    <n v="0"/>
    <n v="0"/>
    <n v="102"/>
    <s v="_x0000_US"/>
  </r>
  <r>
    <x v="1"/>
    <n v="13.6866"/>
    <n v="-89.196700000000007"/>
    <n v="9850"/>
    <n v="0"/>
    <n v="0"/>
    <n v="102"/>
    <s v="_x0000_US"/>
  </r>
  <r>
    <x v="1"/>
    <n v="13.6866"/>
    <n v="-89.196700000000007"/>
    <n v="9850"/>
    <n v="0"/>
    <n v="0"/>
    <n v="102"/>
    <s v="_x0000_US"/>
  </r>
  <r>
    <x v="1"/>
    <n v="13.6866"/>
    <n v="-89.196700000000007"/>
    <n v="9850"/>
    <n v="0"/>
    <n v="0"/>
    <n v="102"/>
    <s v="_x0000_US"/>
  </r>
  <r>
    <x v="1"/>
    <n v="13.6867"/>
    <n v="-89.196799999999996"/>
    <n v="9850"/>
    <n v="0"/>
    <n v="0"/>
    <n v="102"/>
    <s v="_x0000_US"/>
  </r>
  <r>
    <x v="1"/>
    <n v="13.6868"/>
    <n v="-89.196700000000007"/>
    <n v="9850"/>
    <n v="0"/>
    <n v="0"/>
    <n v="102"/>
    <s v="_x0000_US"/>
  </r>
  <r>
    <x v="1"/>
    <n v="13.6866"/>
    <n v="-89.196600000000004"/>
    <n v="9850"/>
    <n v="0"/>
    <n v="0"/>
    <n v="102"/>
    <s v="_x0000_US"/>
  </r>
  <r>
    <x v="1"/>
    <n v="13.686500000000001"/>
    <n v="-89.196600000000004"/>
    <n v="9850"/>
    <n v="0"/>
    <n v="0"/>
    <n v="102"/>
    <s v="_x0000_US"/>
  </r>
  <r>
    <x v="1"/>
    <n v="13.6866"/>
    <n v="-89.196799999999996"/>
    <n v="9850"/>
    <n v="0"/>
    <n v="0"/>
    <n v="102"/>
    <s v="_x0000_US"/>
  </r>
  <r>
    <x v="1"/>
    <n v="13.6866"/>
    <n v="-89.196700000000007"/>
    <n v="9850"/>
    <n v="0"/>
    <n v="0"/>
    <n v="102"/>
    <s v="_x0000_US"/>
  </r>
  <r>
    <x v="1"/>
    <n v="13.6866"/>
    <n v="-89.196700000000007"/>
    <n v="9850"/>
    <n v="0"/>
    <n v="0"/>
    <n v="102"/>
    <s v="_x0000_US"/>
  </r>
  <r>
    <x v="1"/>
    <n v="13.6866"/>
    <n v="-89.196700000000007"/>
    <n v="9850"/>
    <n v="0"/>
    <n v="0"/>
    <n v="102"/>
    <s v="_x0000_US"/>
  </r>
  <r>
    <x v="1"/>
    <n v="13.6866"/>
    <n v="-89.197000000000003"/>
    <n v="15380"/>
    <n v="0"/>
    <n v="0"/>
    <n v="102"/>
    <s v="_x0000_US"/>
  </r>
  <r>
    <x v="1"/>
    <n v="13.6866"/>
    <n v="-89.197000000000003"/>
    <n v="15380"/>
    <n v="0"/>
    <n v="0"/>
    <n v="102"/>
    <s v="_x0000_US"/>
  </r>
  <r>
    <x v="1"/>
    <n v="13.6866"/>
    <n v="-89.196899999999999"/>
    <n v="15380"/>
    <n v="0"/>
    <n v="0"/>
    <n v="102"/>
    <s v="_x0000_US"/>
  </r>
  <r>
    <x v="1"/>
    <n v="13.6866"/>
    <n v="-89.196799999999996"/>
    <n v="15380"/>
    <n v="0"/>
    <n v="0"/>
    <n v="102"/>
    <s v="_x0000_US"/>
  </r>
  <r>
    <x v="1"/>
    <n v="13.6867"/>
    <n v="-89.197000000000003"/>
    <n v="15380"/>
    <n v="0"/>
    <n v="0"/>
    <n v="102"/>
    <s v="_x0000_US"/>
  </r>
  <r>
    <x v="1"/>
    <n v="13.6867"/>
    <n v="-89.197000000000003"/>
    <n v="15380"/>
    <n v="0"/>
    <n v="0"/>
    <n v="102"/>
    <s v="_x0000_US"/>
  </r>
  <r>
    <x v="1"/>
    <n v="13.6866"/>
    <n v="-89.196899999999999"/>
    <n v="15380"/>
    <n v="0"/>
    <n v="0"/>
    <n v="102"/>
    <s v="_x0000_US"/>
  </r>
  <r>
    <x v="1"/>
    <n v="13.6866"/>
    <n v="-89.196799999999996"/>
    <n v="15380"/>
    <n v="0"/>
    <n v="0"/>
    <n v="102"/>
    <s v="_x0000_US"/>
  </r>
  <r>
    <x v="1"/>
    <n v="13.6869"/>
    <n v="-89.196600000000004"/>
    <n v="15380"/>
    <n v="0"/>
    <n v="0"/>
    <n v="102"/>
    <s v="_x0000_US"/>
  </r>
  <r>
    <x v="1"/>
    <n v="13.6869"/>
    <n v="-89.196600000000004"/>
    <n v="15380"/>
    <n v="0"/>
    <n v="0"/>
    <n v="102"/>
    <s v="_x0000_US"/>
  </r>
  <r>
    <x v="1"/>
    <n v="13.6868"/>
    <n v="-89.196600000000004"/>
    <n v="15380"/>
    <n v="0"/>
    <n v="0"/>
    <n v="102"/>
    <s v="_x0000_US"/>
  </r>
  <r>
    <x v="1"/>
    <n v="13.6868"/>
    <n v="-89.196600000000004"/>
    <n v="15380"/>
    <n v="0"/>
    <n v="0"/>
    <n v="102"/>
    <s v="_x0000_US"/>
  </r>
  <r>
    <x v="1"/>
    <n v="13.6869"/>
    <n v="-89.196600000000004"/>
    <n v="15380"/>
    <n v="0"/>
    <n v="0"/>
    <n v="102"/>
    <s v="_x0000_US"/>
  </r>
  <r>
    <x v="1"/>
    <n v="13.6869"/>
    <n v="-89.196600000000004"/>
    <n v="15380"/>
    <n v="0"/>
    <n v="0"/>
    <n v="102"/>
    <s v="_x0000_US"/>
  </r>
  <r>
    <x v="1"/>
    <n v="13.6869"/>
    <n v="-89.1965"/>
    <n v="15380"/>
    <n v="0"/>
    <n v="0"/>
    <n v="102"/>
    <s v="_x0000_US"/>
  </r>
  <r>
    <x v="1"/>
    <n v="13.6869"/>
    <n v="-89.196399999999997"/>
    <n v="15380"/>
    <n v="0"/>
    <n v="0"/>
    <n v="102"/>
    <s v="_x0000_US"/>
  </r>
  <r>
    <x v="1"/>
    <n v="13.6868"/>
    <n v="-89.196399999999997"/>
    <n v="15380"/>
    <n v="0"/>
    <n v="0"/>
    <n v="102"/>
    <s v="_x0000_US"/>
  </r>
  <r>
    <x v="1"/>
    <n v="13.6868"/>
    <n v="-89.196399999999997"/>
    <n v="15380"/>
    <n v="0"/>
    <n v="0"/>
    <n v="102"/>
    <s v="_x0000_US"/>
  </r>
  <r>
    <x v="1"/>
    <n v="13.6869"/>
    <n v="-89.196399999999997"/>
    <n v="15380"/>
    <n v="0"/>
    <n v="0"/>
    <n v="102"/>
    <s v="_x0000_US"/>
  </r>
  <r>
    <x v="1"/>
    <n v="13.6869"/>
    <n v="-89.196399999999997"/>
    <n v="15380"/>
    <n v="0"/>
    <n v="0"/>
    <n v="102"/>
    <s v="_x0000_US"/>
  </r>
  <r>
    <x v="1"/>
    <n v="13.6866"/>
    <n v="-89.196600000000004"/>
    <n v="15380"/>
    <n v="0"/>
    <n v="0"/>
    <n v="102"/>
    <s v="_x0000_US"/>
  </r>
  <r>
    <x v="1"/>
    <n v="13.6866"/>
    <n v="-89.196600000000004"/>
    <n v="15380"/>
    <n v="0"/>
    <n v="0"/>
    <n v="102"/>
    <s v="_x0000_US"/>
  </r>
  <r>
    <x v="1"/>
    <n v="13.6866"/>
    <n v="-89.196600000000004"/>
    <n v="15380"/>
    <n v="0"/>
    <n v="0"/>
    <n v="102"/>
    <s v="_x0000_US"/>
  </r>
  <r>
    <x v="1"/>
    <n v="13.686500000000001"/>
    <n v="-89.196600000000004"/>
    <n v="15380"/>
    <n v="0"/>
    <n v="0"/>
    <n v="102"/>
    <s v="_x0000_US"/>
  </r>
  <r>
    <x v="1"/>
    <n v="13.6866"/>
    <n v="-89.196399999999997"/>
    <n v="15380"/>
    <n v="0"/>
    <n v="0"/>
    <n v="102"/>
    <s v="_x0000_US"/>
  </r>
  <r>
    <x v="1"/>
    <n v="13.6866"/>
    <n v="-89.196399999999997"/>
    <n v="15380"/>
    <n v="0"/>
    <n v="0"/>
    <n v="102"/>
    <s v="_x0000_US"/>
  </r>
  <r>
    <x v="1"/>
    <n v="13.6866"/>
    <n v="-89.196399999999997"/>
    <n v="15380"/>
    <n v="0"/>
    <n v="0"/>
    <n v="102"/>
    <s v="_x0000_US"/>
  </r>
  <r>
    <x v="1"/>
    <n v="13.6866"/>
    <n v="-89.196399999999997"/>
    <n v="15380"/>
    <n v="0"/>
    <n v="0"/>
    <n v="102"/>
    <s v="_x0000_US"/>
  </r>
  <r>
    <x v="1"/>
    <n v="13.6867"/>
    <n v="-89.196600000000004"/>
    <n v="15380"/>
    <n v="0"/>
    <n v="0"/>
    <n v="102"/>
    <s v="_x0000_US"/>
  </r>
  <r>
    <x v="1"/>
    <n v="13.6867"/>
    <n v="-89.196600000000004"/>
    <n v="15380"/>
    <n v="0"/>
    <n v="0"/>
    <n v="102"/>
    <s v="_x0000_US"/>
  </r>
  <r>
    <x v="1"/>
    <n v="13.6867"/>
    <n v="-89.196600000000004"/>
    <n v="15380"/>
    <n v="0"/>
    <n v="0"/>
    <n v="102"/>
    <s v="_x0000_US"/>
  </r>
  <r>
    <x v="1"/>
    <n v="13.6867"/>
    <n v="-89.196600000000004"/>
    <n v="15380"/>
    <n v="0"/>
    <n v="0"/>
    <n v="102"/>
    <s v="_x0000_US"/>
  </r>
  <r>
    <x v="1"/>
    <n v="13.6867"/>
    <n v="-89.196600000000004"/>
    <n v="15380"/>
    <n v="0"/>
    <n v="0"/>
    <n v="102"/>
    <s v="_x0000_US"/>
  </r>
  <r>
    <x v="1"/>
    <n v="13.6867"/>
    <n v="-89.196600000000004"/>
    <n v="15380"/>
    <n v="0"/>
    <n v="0"/>
    <n v="102"/>
    <s v="_x0000_US"/>
  </r>
  <r>
    <x v="1"/>
    <n v="13.6866"/>
    <n v="-89.196600000000004"/>
    <n v="15380"/>
    <n v="0"/>
    <n v="0"/>
    <n v="102"/>
    <s v="_x0000_US"/>
  </r>
  <r>
    <x v="1"/>
    <n v="13.6867"/>
    <n v="-89.196399999999997"/>
    <n v="15380"/>
    <n v="0"/>
    <n v="0"/>
    <n v="102"/>
    <s v="_x0000_US"/>
  </r>
  <r>
    <x v="1"/>
    <n v="13.6867"/>
    <n v="-89.196399999999997"/>
    <n v="15380"/>
    <n v="0"/>
    <n v="0"/>
    <n v="102"/>
    <s v="_x0000_US"/>
  </r>
  <r>
    <x v="1"/>
    <n v="13.6867"/>
    <n v="-89.196399999999997"/>
    <n v="15380"/>
    <n v="0"/>
    <n v="0"/>
    <n v="102"/>
    <s v="_x0000_US"/>
  </r>
  <r>
    <x v="1"/>
    <n v="13.6867"/>
    <n v="-89.196399999999997"/>
    <n v="15380"/>
    <n v="0"/>
    <n v="0"/>
    <n v="102"/>
    <s v="_x0000_US"/>
  </r>
  <r>
    <x v="1"/>
    <n v="13.6867"/>
    <n v="-89.196399999999997"/>
    <n v="15380"/>
    <n v="0"/>
    <n v="0"/>
    <n v="102"/>
    <s v="_x0000_US"/>
  </r>
  <r>
    <x v="1"/>
    <n v="13.6867"/>
    <n v="-89.196399999999997"/>
    <n v="15380"/>
    <n v="0"/>
    <n v="0"/>
    <n v="102"/>
    <s v="_x0000_US"/>
  </r>
  <r>
    <x v="1"/>
    <n v="13.6868"/>
    <n v="-89.196600000000004"/>
    <n v="15380"/>
    <n v="0"/>
    <n v="0"/>
    <n v="102"/>
    <s v="_x0000_US"/>
  </r>
  <r>
    <x v="1"/>
    <n v="13.6868"/>
    <n v="-89.196600000000004"/>
    <n v="15380"/>
    <n v="0"/>
    <n v="0"/>
    <n v="102"/>
    <s v="_x0000_US"/>
  </r>
  <r>
    <x v="1"/>
    <n v="13.6868"/>
    <n v="-89.196399999999997"/>
    <n v="15380"/>
    <n v="0"/>
    <n v="0"/>
    <n v="102"/>
    <s v="_x0000_US"/>
  </r>
  <r>
    <x v="1"/>
    <n v="13.6868"/>
    <n v="-89.196399999999997"/>
    <n v="15380"/>
    <n v="0"/>
    <n v="0"/>
    <n v="102"/>
    <s v="_x0000_US"/>
  </r>
  <r>
    <x v="1"/>
    <n v="13.6867"/>
    <n v="-89.197000000000003"/>
    <n v="15380"/>
    <n v="0"/>
    <n v="0"/>
    <n v="102"/>
    <s v="_x0000_US"/>
  </r>
  <r>
    <x v="1"/>
    <n v="13.6867"/>
    <n v="-89.197000000000003"/>
    <n v="15380"/>
    <n v="0"/>
    <n v="0"/>
    <n v="102"/>
    <s v="_x0000_US"/>
  </r>
  <r>
    <x v="1"/>
    <n v="13.6868"/>
    <n v="-89.197000000000003"/>
    <n v="15380"/>
    <n v="0"/>
    <n v="0"/>
    <n v="102"/>
    <s v="_x0000_US"/>
  </r>
  <r>
    <x v="1"/>
    <n v="13.6868"/>
    <n v="-89.196899999999999"/>
    <n v="15380"/>
    <n v="0"/>
    <n v="0"/>
    <n v="102"/>
    <s v="_x0000_US"/>
  </r>
  <r>
    <x v="1"/>
    <n v="13.6867"/>
    <n v="-89.196799999999996"/>
    <n v="15380"/>
    <n v="0"/>
    <n v="0"/>
    <n v="102"/>
    <s v="_x0000_US"/>
  </r>
  <r>
    <x v="1"/>
    <n v="13.6867"/>
    <n v="-89.196799999999996"/>
    <n v="15380"/>
    <n v="0"/>
    <n v="0"/>
    <n v="102"/>
    <s v="_x0000_US"/>
  </r>
  <r>
    <x v="1"/>
    <n v="13.6867"/>
    <n v="-89.196799999999996"/>
    <n v="15380"/>
    <n v="0"/>
    <n v="0"/>
    <n v="102"/>
    <s v="_x0000_US"/>
  </r>
  <r>
    <x v="1"/>
    <n v="13.6867"/>
    <n v="-89.196799999999996"/>
    <n v="15380"/>
    <n v="0"/>
    <n v="0"/>
    <n v="102"/>
    <s v="_x0000_US"/>
  </r>
  <r>
    <x v="1"/>
    <n v="13.6868"/>
    <n v="-89.196799999999996"/>
    <n v="15380"/>
    <n v="0"/>
    <n v="0"/>
    <n v="102"/>
    <s v="_x0000_US"/>
  </r>
  <r>
    <x v="1"/>
    <n v="13.6868"/>
    <n v="-89.196799999999996"/>
    <n v="15380"/>
    <n v="0"/>
    <n v="0"/>
    <n v="102"/>
    <s v="_x0000_US"/>
  </r>
  <r>
    <x v="1"/>
    <n v="13.6869"/>
    <n v="-89.196600000000004"/>
    <n v="15380"/>
    <n v="0"/>
    <n v="0"/>
    <n v="102"/>
    <s v="_x0000_US"/>
  </r>
  <r>
    <x v="1"/>
    <n v="13.6869"/>
    <n v="-89.196600000000004"/>
    <n v="15380"/>
    <n v="0"/>
    <n v="0"/>
    <n v="102"/>
    <s v="_x0000_US"/>
  </r>
  <r>
    <x v="1"/>
    <n v="13.6867"/>
    <n v="-89.1982"/>
    <n v="8550"/>
    <n v="0"/>
    <n v="0"/>
    <n v="102"/>
    <s v="_x0000_US"/>
  </r>
  <r>
    <x v="1"/>
    <n v="13.6868"/>
    <n v="-89.198099999999997"/>
    <n v="8550"/>
    <n v="0"/>
    <n v="0"/>
    <n v="102"/>
    <s v="_x0000_US"/>
  </r>
  <r>
    <x v="1"/>
    <n v="13.6868"/>
    <n v="-89.197999999999993"/>
    <n v="8550"/>
    <n v="0"/>
    <n v="0"/>
    <n v="102"/>
    <s v="_x0000_US"/>
  </r>
  <r>
    <x v="1"/>
    <n v="13.6869"/>
    <n v="-89.198099999999997"/>
    <n v="8550"/>
    <n v="0"/>
    <n v="0"/>
    <n v="102"/>
    <s v="_x0000_US"/>
  </r>
  <r>
    <x v="1"/>
    <n v="13.686500000000001"/>
    <n v="-89.197400000000002"/>
    <n v="8550"/>
    <n v="0"/>
    <n v="0"/>
    <n v="102"/>
    <s v="_x0000_US"/>
  </r>
  <r>
    <x v="1"/>
    <n v="13.686500000000001"/>
    <n v="-89.197299999999998"/>
    <n v="8550"/>
    <n v="0"/>
    <n v="0"/>
    <n v="102"/>
    <s v="_x0000_US"/>
  </r>
  <r>
    <x v="1"/>
    <n v="13.686400000000001"/>
    <n v="-89.197299999999998"/>
    <n v="8550"/>
    <n v="0"/>
    <n v="0"/>
    <n v="102"/>
    <s v="_x0000_US"/>
  </r>
  <r>
    <x v="1"/>
    <n v="13.686400000000001"/>
    <n v="-89.197199999999995"/>
    <n v="8550"/>
    <n v="0"/>
    <n v="0"/>
    <n v="102"/>
    <s v="_x0000_US"/>
  </r>
  <r>
    <x v="1"/>
    <n v="13.686400000000001"/>
    <n v="-89.197100000000006"/>
    <n v="8550"/>
    <n v="0"/>
    <n v="0"/>
    <n v="102"/>
    <s v="_x0000_US"/>
  </r>
  <r>
    <x v="1"/>
    <n v="13.686400000000001"/>
    <n v="-89.197100000000006"/>
    <n v="8550"/>
    <n v="0"/>
    <n v="0"/>
    <n v="102"/>
    <s v="_x0000_US"/>
  </r>
  <r>
    <x v="1"/>
    <n v="13.686500000000001"/>
    <n v="-89.197599999999994"/>
    <n v="8550"/>
    <n v="0"/>
    <n v="0"/>
    <n v="102"/>
    <s v="_x0000_US"/>
  </r>
  <r>
    <x v="1"/>
    <n v="13.6866"/>
    <n v="-89.197599999999994"/>
    <n v="8550"/>
    <n v="0"/>
    <n v="0"/>
    <n v="102"/>
    <s v="_x0000_US"/>
  </r>
  <r>
    <x v="1"/>
    <n v="13.6866"/>
    <n v="-89.197599999999994"/>
    <n v="8550"/>
    <n v="0"/>
    <n v="0"/>
    <n v="102"/>
    <s v="_x0000_US"/>
  </r>
  <r>
    <x v="1"/>
    <n v="13.6866"/>
    <n v="-89.197599999999994"/>
    <n v="8550"/>
    <n v="0"/>
    <n v="0"/>
    <n v="102"/>
    <s v="_x0000_US"/>
  </r>
  <r>
    <x v="1"/>
    <n v="13.686400000000001"/>
    <n v="-89.197000000000003"/>
    <n v="8550"/>
    <n v="0"/>
    <n v="0"/>
    <n v="102"/>
    <s v="_x0000_US"/>
  </r>
  <r>
    <x v="1"/>
    <n v="13.686400000000001"/>
    <n v="-89.197000000000003"/>
    <n v="8550"/>
    <n v="0"/>
    <n v="0"/>
    <n v="102"/>
    <s v="_x0000_US"/>
  </r>
  <r>
    <x v="1"/>
    <n v="13.686299999999999"/>
    <n v="-89.196899999999999"/>
    <n v="8550"/>
    <n v="0"/>
    <n v="0"/>
    <n v="102"/>
    <s v="_x0000_US"/>
  </r>
  <r>
    <x v="1"/>
    <n v="13.686299999999999"/>
    <n v="-89.196799999999996"/>
    <n v="8550"/>
    <n v="0"/>
    <n v="0"/>
    <n v="102"/>
    <s v="_x0000_US"/>
  </r>
  <r>
    <x v="1"/>
    <n v="13.686299999999999"/>
    <n v="-89.196799999999996"/>
    <n v="8550"/>
    <n v="0"/>
    <n v="0"/>
    <n v="102"/>
    <s v="_x0000_US"/>
  </r>
  <r>
    <x v="1"/>
    <n v="13.6861"/>
    <n v="-89.196799999999996"/>
    <n v="8550"/>
    <n v="0"/>
    <n v="0"/>
    <n v="102"/>
    <s v="_x0000_US"/>
  </r>
  <r>
    <x v="1"/>
    <n v="13.686199999999999"/>
    <n v="-89.194699999999997"/>
    <n v="8550"/>
    <n v="0"/>
    <n v="0"/>
    <n v="102"/>
    <s v="_x0000_US"/>
  </r>
  <r>
    <x v="1"/>
    <n v="13.686199999999999"/>
    <n v="-89.194800000000001"/>
    <n v="8550"/>
    <n v="0"/>
    <n v="0"/>
    <n v="102"/>
    <s v="_x0000_US"/>
  </r>
  <r>
    <x v="1"/>
    <n v="13.6861"/>
    <n v="-89.194699999999997"/>
    <n v="8550"/>
    <n v="0"/>
    <n v="0"/>
    <n v="102"/>
    <s v="_x0000_US"/>
  </r>
  <r>
    <x v="1"/>
    <n v="13.689500000000001"/>
    <n v="-89.188400000000001"/>
    <n v="11540"/>
    <n v="0"/>
    <n v="0"/>
    <n v="102"/>
    <s v="_x0000_US"/>
  </r>
  <r>
    <x v="1"/>
    <n v="13.6896"/>
    <n v="-89.182500000000005"/>
    <n v="11540"/>
    <n v="0"/>
    <n v="0"/>
    <n v="102"/>
    <s v="_x0000_US"/>
  </r>
  <r>
    <x v="1"/>
    <n v="13.689500000000001"/>
    <n v="-89.182299999999998"/>
    <n v="11540"/>
    <n v="0"/>
    <n v="0"/>
    <n v="102"/>
    <s v="_x0000_US"/>
  </r>
  <r>
    <x v="1"/>
    <n v="13.6897"/>
    <n v="-89.182599999999994"/>
    <n v="11540"/>
    <n v="0"/>
    <n v="0"/>
    <n v="102"/>
    <s v="_x0000_US"/>
  </r>
  <r>
    <x v="1"/>
    <n v="13.6896"/>
    <n v="-89.182500000000005"/>
    <n v="11540"/>
    <n v="0"/>
    <n v="0"/>
    <n v="102"/>
    <s v="_x0000_US"/>
  </r>
  <r>
    <x v="1"/>
    <n v="13.6896"/>
    <n v="-89.182400000000001"/>
    <n v="11540"/>
    <n v="0"/>
    <n v="0"/>
    <n v="102"/>
    <s v="_x0000_US"/>
  </r>
  <r>
    <x v="1"/>
    <n v="13.6896"/>
    <n v="-89.182400000000001"/>
    <n v="11540"/>
    <n v="0"/>
    <n v="0"/>
    <n v="102"/>
    <s v="_x0000_US"/>
  </r>
  <r>
    <x v="1"/>
    <n v="13.689500000000001"/>
    <n v="-89.182400000000001"/>
    <n v="11540"/>
    <n v="0"/>
    <n v="0"/>
    <n v="102"/>
    <s v="_x0000_US"/>
  </r>
  <r>
    <x v="1"/>
    <n v="13.689500000000001"/>
    <n v="-89.182400000000001"/>
    <n v="11540"/>
    <n v="0"/>
    <n v="0"/>
    <n v="102"/>
    <s v="_x0000_US"/>
  </r>
  <r>
    <x v="1"/>
    <n v="13.689500000000001"/>
    <n v="-89.182400000000001"/>
    <n v="11540"/>
    <n v="0"/>
    <n v="0"/>
    <n v="102"/>
    <s v="_x0000_US"/>
  </r>
  <r>
    <x v="1"/>
    <n v="13.689500000000001"/>
    <n v="-89.182199999999995"/>
    <n v="11540"/>
    <n v="0"/>
    <n v="0"/>
    <n v="102"/>
    <s v="_x0000_US"/>
  </r>
  <r>
    <x v="1"/>
    <n v="13.6896"/>
    <n v="-89.182199999999995"/>
    <n v="11540"/>
    <n v="0"/>
    <n v="0"/>
    <n v="102"/>
    <s v="_x0000_US"/>
  </r>
  <r>
    <x v="1"/>
    <n v="13.6897"/>
    <n v="-89.182199999999995"/>
    <n v="11540"/>
    <n v="0"/>
    <n v="0"/>
    <n v="102"/>
    <s v="_x0000_US"/>
  </r>
  <r>
    <x v="1"/>
    <n v="13.6897"/>
    <n v="-89.182599999999994"/>
    <n v="11540"/>
    <n v="0"/>
    <n v="0"/>
    <n v="102"/>
    <s v="_x0000_US"/>
  </r>
  <r>
    <x v="1"/>
    <n v="13.6898"/>
    <n v="-89.182199999999995"/>
    <n v="11540"/>
    <n v="0"/>
    <n v="0"/>
    <n v="102"/>
    <s v="_x0000_US"/>
  </r>
  <r>
    <x v="1"/>
    <n v="13.6898"/>
    <n v="-89.182699999999997"/>
    <n v="11540"/>
    <n v="0"/>
    <n v="0"/>
    <n v="102"/>
    <s v="_x0000_US"/>
  </r>
  <r>
    <x v="1"/>
    <n v="13.6899"/>
    <n v="-89.182599999999994"/>
    <n v="11540"/>
    <n v="0"/>
    <n v="0"/>
    <n v="102"/>
    <s v="_x0000_US"/>
  </r>
  <r>
    <x v="1"/>
    <n v="13.69"/>
    <n v="-89.182699999999997"/>
    <n v="11540"/>
    <n v="0"/>
    <n v="0"/>
    <n v="102"/>
    <s v="_x0000_US"/>
  </r>
  <r>
    <x v="1"/>
    <n v="13.69"/>
    <n v="-89.182500000000005"/>
    <n v="11540"/>
    <n v="0"/>
    <n v="0"/>
    <n v="102"/>
    <s v="_x0000_US"/>
  </r>
  <r>
    <x v="1"/>
    <n v="13.69"/>
    <n v="-89.182299999999998"/>
    <n v="11540"/>
    <n v="0"/>
    <n v="0"/>
    <n v="102"/>
    <s v="_x0000_US"/>
  </r>
  <r>
    <x v="1"/>
    <n v="13.69"/>
    <n v="-89.182299999999998"/>
    <n v="11540"/>
    <n v="0"/>
    <n v="0"/>
    <n v="102"/>
    <s v="_x0000_US"/>
  </r>
  <r>
    <x v="1"/>
    <n v="13.69"/>
    <n v="-89.182199999999995"/>
    <n v="11540"/>
    <n v="0"/>
    <n v="0"/>
    <n v="102"/>
    <s v="_x0000_US"/>
  </r>
  <r>
    <x v="1"/>
    <n v="13.690200000000001"/>
    <n v="-89.182500000000005"/>
    <n v="11540"/>
    <n v="0"/>
    <n v="0"/>
    <n v="102"/>
    <s v="_x0000_US"/>
  </r>
  <r>
    <x v="1"/>
    <n v="13.690200000000001"/>
    <n v="-89.182500000000005"/>
    <n v="11540"/>
    <n v="0"/>
    <n v="0"/>
    <n v="102"/>
    <s v="_x0000_US"/>
  </r>
  <r>
    <x v="1"/>
    <n v="13.690200000000001"/>
    <n v="-89.182400000000001"/>
    <n v="11540"/>
    <n v="0"/>
    <n v="0"/>
    <n v="102"/>
    <s v="_x0000_US"/>
  </r>
  <r>
    <x v="1"/>
    <n v="13.690200000000001"/>
    <n v="-89.182299999999998"/>
    <n v="11540"/>
    <n v="0"/>
    <n v="0"/>
    <n v="102"/>
    <s v="_x0000_US"/>
  </r>
  <r>
    <x v="1"/>
    <n v="13.690200000000001"/>
    <n v="-89.182199999999995"/>
    <n v="11540"/>
    <n v="0"/>
    <n v="0"/>
    <n v="102"/>
    <s v="_x0000_US"/>
  </r>
  <r>
    <x v="1"/>
    <n v="13.6905"/>
    <n v="-89.182599999999994"/>
    <n v="11540"/>
    <n v="0"/>
    <n v="0"/>
    <n v="102"/>
    <s v="_x0000_US"/>
  </r>
  <r>
    <x v="1"/>
    <n v="13.6904"/>
    <n v="-89.182699999999997"/>
    <n v="11540"/>
    <n v="0"/>
    <n v="0"/>
    <n v="102"/>
    <s v="_x0000_US"/>
  </r>
  <r>
    <x v="1"/>
    <n v="13.6905"/>
    <n v="-89.182199999999995"/>
    <n v="11540"/>
    <n v="0"/>
    <n v="0"/>
    <n v="102"/>
    <s v="_x0000_US"/>
  </r>
  <r>
    <x v="1"/>
    <n v="13.690799999999999"/>
    <n v="-89.182599999999994"/>
    <n v="11540"/>
    <n v="0"/>
    <n v="0"/>
    <n v="102"/>
    <s v="_x0000_US"/>
  </r>
  <r>
    <x v="1"/>
    <n v="13.6907"/>
    <n v="-89.182599999999994"/>
    <n v="11540"/>
    <n v="0"/>
    <n v="0"/>
    <n v="102"/>
    <s v="_x0000_US"/>
  </r>
  <r>
    <x v="1"/>
    <n v="13.6906"/>
    <n v="-89.182599999999994"/>
    <n v="11540"/>
    <n v="0"/>
    <n v="0"/>
    <n v="102"/>
    <s v="_x0000_US"/>
  </r>
  <r>
    <x v="1"/>
    <n v="13.6906"/>
    <n v="-89.182500000000005"/>
    <n v="11540"/>
    <n v="0"/>
    <n v="0"/>
    <n v="102"/>
    <s v="_x0000_US"/>
  </r>
  <r>
    <x v="1"/>
    <n v="13.690899999999999"/>
    <n v="-89.182599999999994"/>
    <n v="11540"/>
    <n v="0"/>
    <n v="0"/>
    <n v="102"/>
    <s v="_x0000_US"/>
  </r>
  <r>
    <x v="1"/>
    <n v="13.691000000000001"/>
    <n v="-89.182599999999994"/>
    <n v="11540"/>
    <n v="0"/>
    <n v="0"/>
    <n v="102"/>
    <s v="_x0000_US"/>
  </r>
  <r>
    <x v="1"/>
    <n v="13.691000000000001"/>
    <n v="-89.182500000000005"/>
    <n v="11540"/>
    <n v="0"/>
    <n v="0"/>
    <n v="102"/>
    <s v="_x0000_US"/>
  </r>
  <r>
    <x v="1"/>
    <n v="13.691000000000001"/>
    <n v="-89.182400000000001"/>
    <n v="11540"/>
    <n v="0"/>
    <n v="0"/>
    <n v="102"/>
    <s v="_x0000_US"/>
  </r>
  <r>
    <x v="1"/>
    <n v="13.691000000000001"/>
    <n v="-89.182299999999998"/>
    <n v="11540"/>
    <n v="0"/>
    <n v="0"/>
    <n v="102"/>
    <s v="_x0000_US"/>
  </r>
  <r>
    <x v="1"/>
    <n v="13.691000000000001"/>
    <n v="-89.182299999999998"/>
    <n v="11540"/>
    <n v="0"/>
    <n v="0"/>
    <n v="102"/>
    <s v="_x0000_US"/>
  </r>
  <r>
    <x v="1"/>
    <n v="13.691000000000001"/>
    <n v="-89.182199999999995"/>
    <n v="11540"/>
    <n v="0"/>
    <n v="0"/>
    <n v="102"/>
    <s v="_x0000_US"/>
  </r>
  <r>
    <x v="1"/>
    <n v="13.6912"/>
    <n v="-89.182500000000005"/>
    <n v="11540"/>
    <n v="0"/>
    <n v="0"/>
    <n v="102"/>
    <s v="_x0000_US"/>
  </r>
  <r>
    <x v="1"/>
    <n v="13.6912"/>
    <n v="-89.182400000000001"/>
    <n v="11540"/>
    <n v="0"/>
    <n v="0"/>
    <n v="102"/>
    <s v="_x0000_US"/>
  </r>
  <r>
    <x v="1"/>
    <n v="13.6912"/>
    <n v="-89.182400000000001"/>
    <n v="11540"/>
    <n v="0"/>
    <n v="0"/>
    <n v="102"/>
    <s v="_x0000_US"/>
  </r>
  <r>
    <x v="1"/>
    <n v="13.6912"/>
    <n v="-89.182299999999998"/>
    <n v="11540"/>
    <n v="0"/>
    <n v="0"/>
    <n v="102"/>
    <s v="_x0000_US"/>
  </r>
  <r>
    <x v="1"/>
    <n v="13.6912"/>
    <n v="-89.182199999999995"/>
    <n v="11540"/>
    <n v="0"/>
    <n v="0"/>
    <n v="102"/>
    <s v="_x0000_US"/>
  </r>
  <r>
    <x v="1"/>
    <n v="13.6913"/>
    <n v="-89.182500000000005"/>
    <n v="11540"/>
    <n v="0"/>
    <n v="0"/>
    <n v="102"/>
    <s v="_x0000_US"/>
  </r>
  <r>
    <x v="1"/>
    <n v="13.6914"/>
    <n v="-89.182500000000005"/>
    <n v="11540"/>
    <n v="0"/>
    <n v="0"/>
    <n v="102"/>
    <s v="_x0000_US"/>
  </r>
  <r>
    <x v="1"/>
    <n v="13.6914"/>
    <n v="-89.182299999999998"/>
    <n v="11540"/>
    <n v="0"/>
    <n v="0"/>
    <n v="102"/>
    <s v="_x0000_US"/>
  </r>
  <r>
    <x v="1"/>
    <n v="13.6913"/>
    <n v="-89.182299999999998"/>
    <n v="11540"/>
    <n v="0"/>
    <n v="0"/>
    <n v="102"/>
    <s v="_x0000_US"/>
  </r>
  <r>
    <x v="1"/>
    <n v="13.6913"/>
    <n v="-89.182199999999995"/>
    <n v="11540"/>
    <n v="0"/>
    <n v="0"/>
    <n v="102"/>
    <s v="_x0000_US"/>
  </r>
  <r>
    <x v="1"/>
    <n v="13.688499999999999"/>
    <n v="-89.1828"/>
    <n v="11150"/>
    <n v="0"/>
    <n v="0"/>
    <n v="102"/>
    <s v="_x0000_US"/>
  </r>
  <r>
    <x v="1"/>
    <n v="13.688499999999999"/>
    <n v="-89.182699999999997"/>
    <n v="11150"/>
    <n v="0"/>
    <n v="0"/>
    <n v="102"/>
    <s v="_x0000_US"/>
  </r>
  <r>
    <x v="1"/>
    <n v="13.688700000000001"/>
    <n v="-89.181600000000003"/>
    <n v="11150"/>
    <n v="0"/>
    <n v="0"/>
    <n v="102"/>
    <s v="_x0000_US"/>
  </r>
  <r>
    <x v="1"/>
    <n v="13.689"/>
    <n v="-89.1815"/>
    <n v="11150"/>
    <n v="0"/>
    <n v="0"/>
    <n v="102"/>
    <s v="_x0000_US"/>
  </r>
  <r>
    <x v="1"/>
    <n v="13.6891"/>
    <n v="-89.1815"/>
    <n v="11150"/>
    <n v="0"/>
    <n v="0"/>
    <n v="102"/>
    <s v="_x0000_US"/>
  </r>
  <r>
    <x v="1"/>
    <n v="13.6892"/>
    <n v="-89.181399999999996"/>
    <n v="11150"/>
    <n v="0"/>
    <n v="0"/>
    <n v="102"/>
    <s v="_x0000_US"/>
  </r>
  <r>
    <x v="1"/>
    <n v="13.6937"/>
    <n v="-89.185000000000002"/>
    <n v="11150"/>
    <n v="0"/>
    <n v="0"/>
    <n v="102"/>
    <s v="_x0000_US"/>
  </r>
  <r>
    <x v="1"/>
    <n v="13.6938"/>
    <n v="-89.184799999999996"/>
    <n v="11150"/>
    <n v="0"/>
    <n v="0"/>
    <n v="102"/>
    <s v="_x0000_US"/>
  </r>
  <r>
    <x v="1"/>
    <n v="13.6938"/>
    <n v="-89.184799999999996"/>
    <n v="11150"/>
    <n v="0"/>
    <n v="0"/>
    <n v="102"/>
    <s v="_x0000_US"/>
  </r>
  <r>
    <x v="1"/>
    <n v="13.6938"/>
    <n v="-89.184700000000007"/>
    <n v="11150"/>
    <n v="0"/>
    <n v="0"/>
    <n v="102"/>
    <s v="_x0000_US"/>
  </r>
  <r>
    <x v="1"/>
    <n v="13.6938"/>
    <n v="-89.184600000000003"/>
    <n v="11150"/>
    <n v="0"/>
    <n v="0"/>
    <n v="102"/>
    <s v="_x0000_US"/>
  </r>
  <r>
    <x v="1"/>
    <n v="13.6937"/>
    <n v="-89.1845"/>
    <n v="11150"/>
    <n v="0"/>
    <n v="0"/>
    <n v="102"/>
    <s v="_x0000_US"/>
  </r>
  <r>
    <x v="1"/>
    <n v="13.6937"/>
    <n v="-89.184200000000004"/>
    <n v="11150"/>
    <n v="0"/>
    <n v="0"/>
    <n v="102"/>
    <s v="_x0000_US"/>
  </r>
  <r>
    <x v="1"/>
    <n v="13.6938"/>
    <n v="-89.184399999999997"/>
    <n v="11150"/>
    <n v="0"/>
    <n v="0"/>
    <n v="102"/>
    <s v="_x0000_US"/>
  </r>
  <r>
    <x v="1"/>
    <n v="13.693899999999999"/>
    <n v="-89.184299999999993"/>
    <n v="11150"/>
    <n v="0"/>
    <n v="0"/>
    <n v="102"/>
    <s v="_x0000_US"/>
  </r>
  <r>
    <x v="1"/>
    <n v="13.6937"/>
    <n v="-89.184200000000004"/>
    <n v="11150"/>
    <n v="0"/>
    <n v="0"/>
    <n v="102"/>
    <s v="_x0000_US"/>
  </r>
  <r>
    <x v="1"/>
    <n v="13.6938"/>
    <n v="-89.184100000000001"/>
    <n v="11150"/>
    <n v="0"/>
    <n v="0"/>
    <n v="102"/>
    <s v="_x0000_US"/>
  </r>
  <r>
    <x v="1"/>
    <n v="13.6938"/>
    <n v="-89.184200000000004"/>
    <n v="11150"/>
    <n v="0"/>
    <n v="0"/>
    <n v="102"/>
    <s v="_x0000_US"/>
  </r>
  <r>
    <x v="1"/>
    <n v="13.693899999999999"/>
    <n v="-89.184200000000004"/>
    <n v="11150"/>
    <n v="0"/>
    <n v="0"/>
    <n v="102"/>
    <s v="_x0000_US"/>
  </r>
  <r>
    <x v="1"/>
    <n v="13.693899999999999"/>
    <n v="-89.185400000000001"/>
    <n v="11150"/>
    <n v="0"/>
    <n v="0"/>
    <n v="102"/>
    <s v="_x0000_US"/>
  </r>
  <r>
    <x v="1"/>
    <n v="13.693899999999999"/>
    <n v="-89.185400000000001"/>
    <n v="11150"/>
    <n v="0"/>
    <n v="0"/>
    <n v="102"/>
    <s v="_x0000_US"/>
  </r>
  <r>
    <x v="1"/>
    <n v="13.694000000000001"/>
    <n v="-89.185299999999998"/>
    <n v="11150"/>
    <n v="0"/>
    <n v="0"/>
    <n v="102"/>
    <s v="_x0000_US"/>
  </r>
  <r>
    <x v="1"/>
    <n v="13.694100000000001"/>
    <n v="-89.185199999999995"/>
    <n v="11150"/>
    <n v="0"/>
    <n v="0"/>
    <n v="102"/>
    <s v="_x0000_US"/>
  </r>
  <r>
    <x v="1"/>
    <n v="13.694000000000001"/>
    <n v="-89.185100000000006"/>
    <n v="11150"/>
    <n v="0"/>
    <n v="0"/>
    <n v="102"/>
    <s v="_x0000_US"/>
  </r>
  <r>
    <x v="1"/>
    <n v="13.6881"/>
    <n v="-89.1828"/>
    <n v="10760"/>
    <n v="0"/>
    <n v="0"/>
    <n v="102"/>
    <s v="_x0000_US"/>
  </r>
  <r>
    <x v="1"/>
    <n v="13.688000000000001"/>
    <n v="-89.1828"/>
    <n v="10760"/>
    <n v="0"/>
    <n v="0"/>
    <n v="102"/>
    <s v="_x0000_US"/>
  </r>
  <r>
    <x v="1"/>
    <n v="13.688000000000001"/>
    <n v="-89.182900000000004"/>
    <n v="10760"/>
    <n v="0"/>
    <n v="0"/>
    <n v="102"/>
    <s v="_x0000_US"/>
  </r>
  <r>
    <x v="1"/>
    <n v="13.6892"/>
    <n v="-89.182299999999998"/>
    <n v="15100"/>
    <n v="0"/>
    <n v="0"/>
    <n v="102"/>
    <s v="_x0000_US"/>
  </r>
  <r>
    <x v="1"/>
    <n v="13.6891"/>
    <n v="-89.182199999999995"/>
    <n v="15100"/>
    <n v="0"/>
    <n v="0"/>
    <n v="102"/>
    <s v="_x0000_US"/>
  </r>
  <r>
    <x v="1"/>
    <n v="13.6891"/>
    <n v="-89.182199999999995"/>
    <n v="15100"/>
    <n v="0"/>
    <n v="0"/>
    <n v="102"/>
    <s v="_x0000_US"/>
  </r>
  <r>
    <x v="1"/>
    <n v="13.6892"/>
    <n v="-89.182100000000005"/>
    <n v="15100"/>
    <n v="0"/>
    <n v="0"/>
    <n v="102"/>
    <s v="_x0000_US"/>
  </r>
  <r>
    <x v="1"/>
    <n v="13.689"/>
    <n v="-89.182400000000001"/>
    <n v="15100"/>
    <n v="0"/>
    <n v="0"/>
    <n v="102"/>
    <s v="_x0000_US"/>
  </r>
  <r>
    <x v="1"/>
    <n v="13.6891"/>
    <n v="-89.182400000000001"/>
    <n v="15100"/>
    <n v="0"/>
    <n v="0"/>
    <n v="102"/>
    <s v="_x0000_US"/>
  </r>
  <r>
    <x v="1"/>
    <n v="13.6891"/>
    <n v="-89.182500000000005"/>
    <n v="15100"/>
    <n v="0"/>
    <n v="0"/>
    <n v="102"/>
    <s v="_x0000_US"/>
  </r>
  <r>
    <x v="1"/>
    <n v="13.6892"/>
    <n v="-89.1828"/>
    <n v="15100"/>
    <n v="0"/>
    <n v="0"/>
    <n v="102"/>
    <s v="_x0000_US"/>
  </r>
  <r>
    <x v="1"/>
    <n v="13.689"/>
    <n v="-89.182699999999997"/>
    <n v="15100"/>
    <n v="0"/>
    <n v="0"/>
    <n v="102"/>
    <s v="_x0000_US"/>
  </r>
  <r>
    <x v="1"/>
    <n v="13.6891"/>
    <n v="-89.182599999999994"/>
    <n v="15100"/>
    <n v="0"/>
    <n v="0"/>
    <n v="102"/>
    <s v="_x0000_US"/>
  </r>
  <r>
    <x v="1"/>
    <n v="13.6892"/>
    <n v="-89.182500000000005"/>
    <n v="15100"/>
    <n v="0"/>
    <n v="0"/>
    <n v="102"/>
    <s v="_x0000_US"/>
  </r>
  <r>
    <x v="1"/>
    <n v="13.689500000000001"/>
    <n v="-89.182900000000004"/>
    <n v="15100"/>
    <n v="0"/>
    <n v="0"/>
    <n v="102"/>
    <s v="_x0000_US"/>
  </r>
  <r>
    <x v="1"/>
    <n v="13.689399999999999"/>
    <n v="-89.1828"/>
    <n v="15100"/>
    <n v="0"/>
    <n v="0"/>
    <n v="102"/>
    <s v="_x0000_US"/>
  </r>
  <r>
    <x v="1"/>
    <n v="13.689500000000001"/>
    <n v="-89.1828"/>
    <n v="15100"/>
    <n v="0"/>
    <n v="0"/>
    <n v="102"/>
    <s v="_x0000_US"/>
  </r>
  <r>
    <x v="1"/>
    <n v="13.6896"/>
    <n v="-89.182699999999997"/>
    <n v="15100"/>
    <n v="0"/>
    <n v="0"/>
    <n v="102"/>
    <s v="_x0000_US"/>
  </r>
  <r>
    <x v="1"/>
    <n v="13.689500000000001"/>
    <n v="-89.182699999999997"/>
    <n v="15100"/>
    <n v="0"/>
    <n v="0"/>
    <n v="102"/>
    <s v="_x0000_US"/>
  </r>
  <r>
    <x v="1"/>
    <n v="13.689500000000001"/>
    <n v="-89.182599999999994"/>
    <n v="15100"/>
    <n v="0"/>
    <n v="0"/>
    <n v="102"/>
    <s v="_x0000_US"/>
  </r>
  <r>
    <x v="1"/>
    <n v="13.689500000000001"/>
    <n v="-89.182500000000005"/>
    <n v="15100"/>
    <n v="0"/>
    <n v="0"/>
    <n v="102"/>
    <s v="_x0000_US"/>
  </r>
  <r>
    <x v="1"/>
    <n v="13.689399999999999"/>
    <n v="-89.182500000000005"/>
    <n v="15100"/>
    <n v="0"/>
    <n v="0"/>
    <n v="102"/>
    <s v="_x0000_US"/>
  </r>
  <r>
    <x v="1"/>
    <n v="13.689299999999999"/>
    <n v="-89.182699999999997"/>
    <n v="15100"/>
    <n v="0"/>
    <n v="0"/>
    <n v="102"/>
    <s v="_x0000_US"/>
  </r>
  <r>
    <x v="1"/>
    <n v="13.689399999999999"/>
    <n v="-89.1828"/>
    <n v="15100"/>
    <n v="0"/>
    <n v="0"/>
    <n v="102"/>
    <s v="_x0000_US"/>
  </r>
  <r>
    <x v="1"/>
    <n v="13.689299999999999"/>
    <n v="-89.182699999999997"/>
    <n v="15100"/>
    <n v="0"/>
    <n v="0"/>
    <n v="102"/>
    <s v="_x0000_US"/>
  </r>
  <r>
    <x v="1"/>
    <n v="13.689299999999999"/>
    <n v="-89.182400000000001"/>
    <n v="15100"/>
    <n v="0"/>
    <n v="0"/>
    <n v="102"/>
    <s v="_x0000_US"/>
  </r>
  <r>
    <x v="1"/>
    <n v="13.689299999999999"/>
    <n v="-89.182299999999998"/>
    <n v="15100"/>
    <n v="0"/>
    <n v="0"/>
    <n v="102"/>
    <s v="_x0000_US"/>
  </r>
  <r>
    <x v="1"/>
    <n v="13.689299999999999"/>
    <n v="-89.182199999999995"/>
    <n v="15100"/>
    <n v="0"/>
    <n v="0"/>
    <n v="102"/>
    <s v="_x0000_US"/>
  </r>
  <r>
    <x v="1"/>
    <n v="13.6896"/>
    <n v="-89.1828"/>
    <n v="15100"/>
    <n v="0"/>
    <n v="0"/>
    <n v="102"/>
    <s v="_x0000_US"/>
  </r>
  <r>
    <x v="1"/>
    <n v="13.6904"/>
    <n v="-89.1828"/>
    <n v="15100"/>
    <n v="0"/>
    <n v="0"/>
    <n v="102"/>
    <s v="_x0000_US"/>
  </r>
  <r>
    <x v="1"/>
    <n v="13.6904"/>
    <n v="-89.1828"/>
    <n v="15100"/>
    <n v="0"/>
    <n v="0"/>
    <n v="102"/>
    <s v="_x0000_US"/>
  </r>
  <r>
    <x v="1"/>
    <n v="13.6905"/>
    <n v="-89.1828"/>
    <n v="15100"/>
    <n v="0"/>
    <n v="0"/>
    <n v="102"/>
    <s v="_x0000_US"/>
  </r>
  <r>
    <x v="1"/>
    <n v="13.6906"/>
    <n v="-89.1828"/>
    <n v="15100"/>
    <n v="0"/>
    <n v="0"/>
    <n v="102"/>
    <s v="_x0000_US"/>
  </r>
  <r>
    <x v="1"/>
    <n v="13.6907"/>
    <n v="-89.1828"/>
    <n v="15100"/>
    <n v="0"/>
    <n v="0"/>
    <n v="102"/>
    <s v="_x0000_US"/>
  </r>
  <r>
    <x v="1"/>
    <n v="13.6911"/>
    <n v="-89.182699999999997"/>
    <n v="15100"/>
    <n v="0"/>
    <n v="0"/>
    <n v="102"/>
    <s v="_x0000_US"/>
  </r>
  <r>
    <x v="1"/>
    <n v="13.6911"/>
    <n v="-89.182699999999997"/>
    <n v="15100"/>
    <n v="0"/>
    <n v="0"/>
    <n v="102"/>
    <s v="_x0000_US"/>
  </r>
  <r>
    <x v="1"/>
    <n v="13.6912"/>
    <n v="-89.182599999999994"/>
    <n v="15100"/>
    <n v="0"/>
    <n v="0"/>
    <n v="102"/>
    <s v="_x0000_US"/>
  </r>
  <r>
    <x v="1"/>
    <n v="13.6861"/>
    <n v="-89.194699999999997"/>
    <n v="10760"/>
    <n v="0"/>
    <n v="0"/>
    <n v="102"/>
    <s v="_x0000_US"/>
  </r>
  <r>
    <x v="1"/>
    <n v="13.686"/>
    <n v="-89.194999999999993"/>
    <n v="10760"/>
    <n v="0"/>
    <n v="0"/>
    <n v="102"/>
    <s v="_x0000_US"/>
  </r>
  <r>
    <x v="1"/>
    <n v="13.686"/>
    <n v="-89.194999999999993"/>
    <n v="10760"/>
    <n v="0"/>
    <n v="0"/>
    <n v="102"/>
    <s v="_x0000_US"/>
  </r>
  <r>
    <x v="1"/>
    <n v="13.686"/>
    <n v="-89.194999999999993"/>
    <n v="10760"/>
    <n v="0"/>
    <n v="0"/>
    <n v="102"/>
    <s v="_x0000_US"/>
  </r>
  <r>
    <x v="1"/>
    <n v="13.686"/>
    <n v="-89.194999999999993"/>
    <n v="10760"/>
    <n v="0"/>
    <n v="0"/>
    <n v="102"/>
    <s v="_x0000_US"/>
  </r>
  <r>
    <x v="1"/>
    <n v="13.686"/>
    <n v="-89.194900000000004"/>
    <n v="10760"/>
    <n v="0"/>
    <n v="0"/>
    <n v="102"/>
    <s v="_x0000_US"/>
  </r>
  <r>
    <x v="1"/>
    <n v="13.686"/>
    <n v="-89.194900000000004"/>
    <n v="10760"/>
    <n v="0"/>
    <n v="0"/>
    <n v="102"/>
    <s v="_x0000_US"/>
  </r>
  <r>
    <x v="1"/>
    <n v="13.686"/>
    <n v="-89.194900000000004"/>
    <n v="10760"/>
    <n v="0"/>
    <n v="0"/>
    <n v="102"/>
    <s v="_x0000_US"/>
  </r>
  <r>
    <x v="1"/>
    <n v="13.686"/>
    <n v="-89.194800000000001"/>
    <n v="10760"/>
    <n v="0"/>
    <n v="0"/>
    <n v="102"/>
    <s v="_x0000_US"/>
  </r>
  <r>
    <x v="1"/>
    <n v="13.686"/>
    <n v="-89.194800000000001"/>
    <n v="10760"/>
    <n v="0"/>
    <n v="0"/>
    <n v="102"/>
    <s v="_x0000_US"/>
  </r>
  <r>
    <x v="1"/>
    <n v="13.686"/>
    <n v="-89.194900000000004"/>
    <n v="10760"/>
    <n v="0"/>
    <n v="0"/>
    <n v="102"/>
    <s v="_x0000_US"/>
  </r>
  <r>
    <x v="1"/>
    <n v="13.686"/>
    <n v="-89.194900000000004"/>
    <n v="10760"/>
    <n v="0"/>
    <n v="0"/>
    <n v="102"/>
    <s v="_x0000_US"/>
  </r>
  <r>
    <x v="1"/>
    <n v="13.686"/>
    <n v="-89.194900000000004"/>
    <n v="10760"/>
    <n v="0"/>
    <n v="0"/>
    <n v="102"/>
    <s v="_x0000_US"/>
  </r>
  <r>
    <x v="1"/>
    <n v="13.6861"/>
    <n v="-89.194800000000001"/>
    <n v="10760"/>
    <n v="0"/>
    <n v="0"/>
    <n v="102"/>
    <s v="_x0000_US"/>
  </r>
  <r>
    <x v="1"/>
    <n v="13.6861"/>
    <n v="-89.194800000000001"/>
    <n v="10760"/>
    <n v="0"/>
    <n v="0"/>
    <n v="102"/>
    <s v="_x0000_US"/>
  </r>
  <r>
    <x v="1"/>
    <n v="13.6861"/>
    <n v="-89.194800000000001"/>
    <n v="10760"/>
    <n v="0"/>
    <n v="0"/>
    <n v="102"/>
    <s v="_x0000_US"/>
  </r>
  <r>
    <x v="1"/>
    <n v="13.6861"/>
    <n v="-89.194800000000001"/>
    <n v="10760"/>
    <n v="0"/>
    <n v="0"/>
    <n v="102"/>
    <s v="_x0000_US"/>
  </r>
  <r>
    <x v="1"/>
    <n v="13.6861"/>
    <n v="-89.194800000000001"/>
    <n v="10760"/>
    <n v="0"/>
    <n v="0"/>
    <n v="102"/>
    <s v="_x0000_US"/>
  </r>
  <r>
    <x v="1"/>
    <n v="13.6861"/>
    <n v="-89.194800000000001"/>
    <n v="10760"/>
    <n v="0"/>
    <n v="0"/>
    <n v="102"/>
    <s v="_x0000_US"/>
  </r>
  <r>
    <x v="1"/>
    <n v="13.6861"/>
    <n v="-89.194800000000001"/>
    <n v="10760"/>
    <n v="0"/>
    <n v="0"/>
    <n v="102"/>
    <s v="_x0000_US"/>
  </r>
  <r>
    <x v="1"/>
    <n v="13.6861"/>
    <n v="-89.194800000000001"/>
    <n v="10760"/>
    <n v="0"/>
    <n v="0"/>
    <n v="102"/>
    <s v="_x0000_US"/>
  </r>
  <r>
    <x v="1"/>
    <n v="13.6861"/>
    <n v="-89.194800000000001"/>
    <n v="10760"/>
    <n v="0"/>
    <n v="0"/>
    <n v="102"/>
    <s v="_x0000_US"/>
  </r>
  <r>
    <x v="1"/>
    <n v="13.6859"/>
    <n v="-89.194900000000004"/>
    <n v="10760"/>
    <n v="0"/>
    <n v="0"/>
    <n v="102"/>
    <s v="_x0000_US"/>
  </r>
  <r>
    <x v="1"/>
    <n v="13.6859"/>
    <n v="-89.194900000000004"/>
    <n v="10760"/>
    <n v="0"/>
    <n v="0"/>
    <n v="102"/>
    <s v="_x0000_US"/>
  </r>
  <r>
    <x v="1"/>
    <n v="13.6859"/>
    <n v="-89.194900000000004"/>
    <n v="10760"/>
    <n v="0"/>
    <n v="0"/>
    <n v="102"/>
    <s v="_x0000_US"/>
  </r>
  <r>
    <x v="1"/>
    <n v="13.6859"/>
    <n v="-89.194900000000004"/>
    <n v="10760"/>
    <n v="0"/>
    <n v="0"/>
    <n v="102"/>
    <s v="_x0000_US"/>
  </r>
  <r>
    <x v="1"/>
    <n v="13.6859"/>
    <n v="-89.194900000000004"/>
    <n v="10760"/>
    <n v="0"/>
    <n v="0"/>
    <n v="102"/>
    <s v="_x0000_US"/>
  </r>
  <r>
    <x v="1"/>
    <n v="13.6859"/>
    <n v="-89.194900000000004"/>
    <n v="10760"/>
    <n v="0"/>
    <n v="0"/>
    <n v="102"/>
    <s v="_x0000_US"/>
  </r>
  <r>
    <x v="1"/>
    <n v="13.686"/>
    <n v="-89.194900000000004"/>
    <n v="10760"/>
    <n v="0"/>
    <n v="0"/>
    <n v="102"/>
    <s v="_x0000_US"/>
  </r>
  <r>
    <x v="1"/>
    <n v="13.686"/>
    <n v="-89.194900000000004"/>
    <n v="10760"/>
    <n v="0"/>
    <n v="0"/>
    <n v="102"/>
    <s v="_x0000_US"/>
  </r>
  <r>
    <x v="1"/>
    <n v="13.6859"/>
    <n v="-89.194800000000001"/>
    <n v="10760"/>
    <n v="0"/>
    <n v="0"/>
    <n v="102"/>
    <s v="_x0000_US"/>
  </r>
  <r>
    <x v="1"/>
    <n v="13.6859"/>
    <n v="-89.194800000000001"/>
    <n v="10760"/>
    <n v="0"/>
    <n v="0"/>
    <n v="102"/>
    <s v="_x0000_US"/>
  </r>
  <r>
    <x v="1"/>
    <n v="13.6859"/>
    <n v="-89.194800000000001"/>
    <n v="10760"/>
    <n v="0"/>
    <n v="0"/>
    <n v="102"/>
    <s v="_x0000_US"/>
  </r>
  <r>
    <x v="1"/>
    <n v="13.6859"/>
    <n v="-89.194800000000001"/>
    <n v="10760"/>
    <n v="0"/>
    <n v="0"/>
    <n v="102"/>
    <s v="_x0000_US"/>
  </r>
  <r>
    <x v="1"/>
    <n v="13.6859"/>
    <n v="-89.195099999999996"/>
    <n v="9200"/>
    <n v="0"/>
    <n v="0"/>
    <n v="102"/>
    <s v="_x0000_US"/>
  </r>
  <r>
    <x v="1"/>
    <n v="13.6859"/>
    <n v="-89.195099999999996"/>
    <n v="9200"/>
    <n v="0"/>
    <n v="0"/>
    <n v="102"/>
    <s v="_x0000_US"/>
  </r>
  <r>
    <x v="1"/>
    <n v="13.6869"/>
    <n v="-89.193899999999999"/>
    <n v="18300"/>
    <n v="0"/>
    <n v="0"/>
    <n v="102"/>
    <s v="_x0000_US"/>
  </r>
  <r>
    <x v="1"/>
    <n v="13.6869"/>
    <n v="-89.193899999999999"/>
    <n v="18300"/>
    <n v="0"/>
    <n v="0"/>
    <n v="102"/>
    <s v="_x0000_US"/>
  </r>
  <r>
    <x v="1"/>
    <n v="13.6869"/>
    <n v="-89.193799999999996"/>
    <n v="18300"/>
    <n v="0"/>
    <n v="0"/>
    <n v="102"/>
    <s v="_x0000_US"/>
  </r>
  <r>
    <x v="1"/>
    <n v="13.6869"/>
    <n v="-89.193799999999996"/>
    <n v="18300"/>
    <n v="0"/>
    <n v="0"/>
    <n v="102"/>
    <s v="_x0000_US"/>
  </r>
  <r>
    <x v="1"/>
    <n v="13.686999999999999"/>
    <n v="-89.193700000000007"/>
    <n v="18300"/>
    <n v="0"/>
    <n v="0"/>
    <n v="102"/>
    <s v="_x0000_US"/>
  </r>
  <r>
    <x v="1"/>
    <n v="13.686999999999999"/>
    <n v="-89.193700000000007"/>
    <n v="18300"/>
    <n v="0"/>
    <n v="0"/>
    <n v="102"/>
    <s v="_x0000_US"/>
  </r>
  <r>
    <x v="1"/>
    <n v="13.686999999999999"/>
    <n v="-89.193700000000007"/>
    <n v="18300"/>
    <n v="0"/>
    <n v="0"/>
    <n v="102"/>
    <s v="_x0000_US"/>
  </r>
  <r>
    <x v="1"/>
    <n v="13.686999999999999"/>
    <n v="-89.193700000000007"/>
    <n v="18300"/>
    <n v="0"/>
    <n v="0"/>
    <n v="102"/>
    <s v="_x0000_US"/>
  </r>
  <r>
    <x v="1"/>
    <n v="13.686999999999999"/>
    <n v="-89.193700000000007"/>
    <n v="18300"/>
    <n v="0"/>
    <n v="0"/>
    <n v="102"/>
    <s v="_x0000_US"/>
  </r>
  <r>
    <x v="1"/>
    <n v="13.686999999999999"/>
    <n v="-89.193700000000007"/>
    <n v="18300"/>
    <n v="0"/>
    <n v="0"/>
    <n v="102"/>
    <s v="_x0000_US"/>
  </r>
  <r>
    <x v="1"/>
    <n v="13.6869"/>
    <n v="-89.193700000000007"/>
    <n v="18300"/>
    <n v="0"/>
    <n v="0"/>
    <n v="102"/>
    <s v="_x0000_US"/>
  </r>
  <r>
    <x v="1"/>
    <n v="13.6869"/>
    <n v="-89.193700000000007"/>
    <n v="18300"/>
    <n v="0"/>
    <n v="0"/>
    <n v="102"/>
    <s v="_x0000_US"/>
  </r>
  <r>
    <x v="1"/>
    <n v="13.6869"/>
    <n v="-89.193700000000007"/>
    <n v="18300"/>
    <n v="0"/>
    <n v="0"/>
    <n v="102"/>
    <s v="_x0000_US"/>
  </r>
  <r>
    <x v="1"/>
    <n v="13.6869"/>
    <n v="-89.193700000000007"/>
    <n v="18300"/>
    <n v="0"/>
    <n v="0"/>
    <n v="102"/>
    <s v="_x0000_US"/>
  </r>
  <r>
    <x v="1"/>
    <n v="13.6869"/>
    <n v="-89.193700000000007"/>
    <n v="18300"/>
    <n v="0"/>
    <n v="0"/>
    <n v="102"/>
    <s v="_x0000_US"/>
  </r>
  <r>
    <x v="1"/>
    <n v="13.6869"/>
    <n v="-89.193700000000007"/>
    <n v="18300"/>
    <n v="0"/>
    <n v="0"/>
    <n v="102"/>
    <s v="_x0000_US"/>
  </r>
  <r>
    <x v="1"/>
    <n v="13.6869"/>
    <n v="-89.193700000000007"/>
    <n v="18300"/>
    <n v="0"/>
    <n v="0"/>
    <n v="102"/>
    <s v="_x0000_US"/>
  </r>
  <r>
    <x v="1"/>
    <n v="13.6869"/>
    <n v="-89.193700000000007"/>
    <n v="18300"/>
    <n v="0"/>
    <n v="0"/>
    <n v="102"/>
    <s v="_x0000_US"/>
  </r>
  <r>
    <x v="1"/>
    <n v="13.6869"/>
    <n v="-89.193700000000007"/>
    <n v="18300"/>
    <n v="0"/>
    <n v="0"/>
    <n v="102"/>
    <s v="_x0000_US"/>
  </r>
  <r>
    <x v="1"/>
    <n v="13.6869"/>
    <n v="-89.193600000000004"/>
    <n v="18300"/>
    <n v="0"/>
    <n v="0"/>
    <n v="102"/>
    <s v="_x0000_US"/>
  </r>
  <r>
    <x v="1"/>
    <n v="13.6869"/>
    <n v="-89.193600000000004"/>
    <n v="18300"/>
    <n v="0"/>
    <n v="0"/>
    <n v="102"/>
    <s v="_x0000_US"/>
  </r>
  <r>
    <x v="1"/>
    <n v="13.6869"/>
    <n v="-89.193600000000004"/>
    <n v="18300"/>
    <n v="0"/>
    <n v="0"/>
    <n v="102"/>
    <s v="_x0000_US"/>
  </r>
  <r>
    <x v="1"/>
    <n v="13.686999999999999"/>
    <n v="-89.193600000000004"/>
    <n v="18300"/>
    <n v="0"/>
    <n v="0"/>
    <n v="102"/>
    <s v="_x0000_US"/>
  </r>
  <r>
    <x v="1"/>
    <n v="13.686999999999999"/>
    <n v="-89.193600000000004"/>
    <n v="18300"/>
    <n v="0"/>
    <n v="0"/>
    <n v="102"/>
    <s v="_x0000_US"/>
  </r>
  <r>
    <x v="1"/>
    <n v="13.6870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7099999999999"/>
    <n v="-89.1935"/>
    <n v="18300"/>
    <n v="0"/>
    <n v="0"/>
    <n v="102"/>
    <s v="_x0000_US"/>
  </r>
  <r>
    <x v="1"/>
    <n v="13.686999999999999"/>
    <n v="-89.193299999999994"/>
    <n v="18300"/>
    <n v="0"/>
    <n v="0"/>
    <n v="102"/>
    <s v="_x0000_US"/>
  </r>
  <r>
    <x v="1"/>
    <n v="13.687099999999999"/>
    <n v="-89.193399999999997"/>
    <n v="18300"/>
    <n v="0"/>
    <n v="0"/>
    <n v="102"/>
    <s v="_x0000_US"/>
  </r>
  <r>
    <x v="1"/>
    <n v="13.69"/>
    <n v="-89.195999999999998"/>
    <n v="13880"/>
    <n v="0"/>
    <n v="0"/>
    <n v="102"/>
    <s v="_x0000_US"/>
  </r>
  <r>
    <x v="1"/>
    <n v="13.690099999999999"/>
    <n v="-89.195999999999998"/>
    <n v="13880"/>
    <n v="0"/>
    <n v="0"/>
    <n v="102"/>
    <s v="_x0000_US"/>
  </r>
  <r>
    <x v="1"/>
    <n v="13.690300000000001"/>
    <n v="-89.196299999999994"/>
    <n v="13880"/>
    <n v="0"/>
    <n v="0"/>
    <n v="102"/>
    <s v="_x0000_US"/>
  </r>
  <r>
    <x v="1"/>
    <n v="13.690300000000001"/>
    <n v="-89.196200000000005"/>
    <n v="13880"/>
    <n v="0"/>
    <n v="0"/>
    <n v="102"/>
    <s v="_x0000_US"/>
  </r>
  <r>
    <x v="1"/>
    <n v="13.690300000000001"/>
    <n v="-89.196200000000005"/>
    <n v="13880"/>
    <n v="0"/>
    <n v="0"/>
    <n v="102"/>
    <s v="_x0000_US"/>
  </r>
  <r>
    <x v="1"/>
    <n v="13.690300000000001"/>
    <n v="-89.196200000000005"/>
    <n v="13880"/>
    <n v="0"/>
    <n v="0"/>
    <n v="102"/>
    <s v="_x0000_US"/>
  </r>
  <r>
    <x v="1"/>
    <n v="13.6904"/>
    <n v="-89.196200000000005"/>
    <n v="13880"/>
    <n v="0"/>
    <n v="0"/>
    <n v="102"/>
    <s v="_x0000_US"/>
  </r>
  <r>
    <x v="1"/>
    <n v="13.6904"/>
    <n v="-89.196200000000005"/>
    <n v="13880"/>
    <n v="0"/>
    <n v="0"/>
    <n v="102"/>
    <s v="_x0000_US"/>
  </r>
  <r>
    <x v="1"/>
    <n v="13.6899"/>
    <n v="-89.196200000000005"/>
    <n v="13880"/>
    <n v="0"/>
    <n v="0"/>
    <n v="102"/>
    <s v="_x0000_US"/>
  </r>
  <r>
    <x v="1"/>
    <n v="13.6899"/>
    <n v="-89.196200000000005"/>
    <n v="13880"/>
    <n v="0"/>
    <n v="0"/>
    <n v="102"/>
    <s v="_x0000_US"/>
  </r>
  <r>
    <x v="1"/>
    <n v="13.6899"/>
    <n v="-89.196100000000001"/>
    <n v="13880"/>
    <n v="0"/>
    <n v="0"/>
    <n v="102"/>
    <s v="_x0000_US"/>
  </r>
  <r>
    <x v="1"/>
    <n v="13.6899"/>
    <n v="-89.196100000000001"/>
    <n v="13880"/>
    <n v="0"/>
    <n v="0"/>
    <n v="102"/>
    <s v="_x0000_US"/>
  </r>
  <r>
    <x v="1"/>
    <n v="13.6899"/>
    <n v="-89.195999999999998"/>
    <n v="13880"/>
    <n v="0"/>
    <n v="0"/>
    <n v="102"/>
    <s v="_x0000_US"/>
  </r>
  <r>
    <x v="1"/>
    <n v="13.69"/>
    <n v="-89.195999999999998"/>
    <n v="13880"/>
    <n v="0"/>
    <n v="0"/>
    <n v="102"/>
    <s v="_x0000_US"/>
  </r>
  <r>
    <x v="1"/>
    <n v="13.6899"/>
    <n v="-89.195899999999995"/>
    <n v="13880"/>
    <n v="0"/>
    <n v="0"/>
    <n v="102"/>
    <s v="_x0000_US"/>
  </r>
  <r>
    <x v="1"/>
    <n v="13.69"/>
    <n v="-89.195899999999995"/>
    <n v="13880"/>
    <n v="0"/>
    <n v="0"/>
    <n v="102"/>
    <s v="_x0000_US"/>
  </r>
  <r>
    <x v="1"/>
    <n v="13.69"/>
    <n v="-89.195899999999995"/>
    <n v="13880"/>
    <n v="0"/>
    <n v="0"/>
    <n v="102"/>
    <s v="_x0000_US"/>
  </r>
  <r>
    <x v="1"/>
    <n v="13.690099999999999"/>
    <n v="-89.195899999999995"/>
    <n v="13880"/>
    <n v="0"/>
    <n v="0"/>
    <n v="102"/>
    <s v="_x0000_US"/>
  </r>
  <r>
    <x v="1"/>
    <n v="13.69"/>
    <n v="-89.196399999999997"/>
    <n v="9460"/>
    <n v="0"/>
    <n v="0"/>
    <n v="102"/>
    <s v="_x0000_US"/>
  </r>
  <r>
    <x v="1"/>
    <n v="13.690099999999999"/>
    <n v="-89.196399999999997"/>
    <n v="9460"/>
    <n v="0"/>
    <n v="0"/>
    <n v="102"/>
    <s v="_x0000_US"/>
  </r>
  <r>
    <x v="1"/>
    <n v="13.690099999999999"/>
    <n v="-89.196399999999997"/>
    <n v="9460"/>
    <n v="0"/>
    <n v="0"/>
    <n v="102"/>
    <s v="_x0000_US"/>
  </r>
  <r>
    <x v="1"/>
    <n v="13.690099999999999"/>
    <n v="-89.1965"/>
    <n v="9460"/>
    <n v="0"/>
    <n v="0"/>
    <n v="102"/>
    <s v="_x0000_US"/>
  </r>
  <r>
    <x v="1"/>
    <n v="13.690200000000001"/>
    <n v="-89.1965"/>
    <n v="9460"/>
    <n v="0"/>
    <n v="0"/>
    <n v="102"/>
    <s v="_x0000_US"/>
  </r>
  <r>
    <x v="1"/>
    <n v="13.690200000000001"/>
    <n v="-89.1965"/>
    <n v="9460"/>
    <n v="0"/>
    <n v="0"/>
    <n v="102"/>
    <s v="_x0000_US"/>
  </r>
  <r>
    <x v="1"/>
    <n v="13.690200000000001"/>
    <n v="-89.1965"/>
    <n v="9460"/>
    <n v="0"/>
    <n v="0"/>
    <n v="102"/>
    <s v="_x0000_US"/>
  </r>
  <r>
    <x v="1"/>
    <n v="13.690200000000001"/>
    <n v="-89.1965"/>
    <n v="9460"/>
    <n v="0"/>
    <n v="0"/>
    <n v="102"/>
    <s v="_x0000_US"/>
  </r>
  <r>
    <x v="1"/>
    <n v="13.690300000000001"/>
    <n v="-89.1965"/>
    <n v="9460"/>
    <n v="0"/>
    <n v="0"/>
    <n v="102"/>
    <s v="_x0000_US"/>
  </r>
  <r>
    <x v="1"/>
    <n v="13.690300000000001"/>
    <n v="-89.1965"/>
    <n v="9460"/>
    <n v="0"/>
    <n v="0"/>
    <n v="102"/>
    <s v="_x0000_US"/>
  </r>
  <r>
    <x v="1"/>
    <n v="13.690300000000001"/>
    <n v="-89.196399999999997"/>
    <n v="9460"/>
    <n v="0"/>
    <n v="0"/>
    <n v="102"/>
    <s v="_x0000_US"/>
  </r>
  <r>
    <x v="1"/>
    <n v="13.690300000000001"/>
    <n v="-89.196399999999997"/>
    <n v="9460"/>
    <n v="0"/>
    <n v="0"/>
    <n v="102"/>
    <s v="_x0000_US"/>
  </r>
  <r>
    <x v="1"/>
    <n v="13.690200000000001"/>
    <n v="-89.196399999999997"/>
    <n v="9460"/>
    <n v="0"/>
    <n v="0"/>
    <n v="102"/>
    <s v="_x0000_US"/>
  </r>
  <r>
    <x v="1"/>
    <n v="13.690099999999999"/>
    <n v="-89.196399999999997"/>
    <n v="9460"/>
    <n v="0"/>
    <n v="0"/>
    <n v="102"/>
    <s v="_x0000_US"/>
  </r>
  <r>
    <x v="1"/>
    <n v="13.690099999999999"/>
    <n v="-89.196399999999997"/>
    <n v="9460"/>
    <n v="0"/>
    <n v="0"/>
    <n v="102"/>
    <s v="_x0000_US"/>
  </r>
  <r>
    <x v="1"/>
    <n v="13.690099999999999"/>
    <n v="-89.196399999999997"/>
    <n v="9460"/>
    <n v="0"/>
    <n v="0"/>
    <n v="102"/>
    <s v="_x0000_US"/>
  </r>
  <r>
    <x v="1"/>
    <n v="13.690099999999999"/>
    <n v="-89.196399999999997"/>
    <n v="9460"/>
    <n v="0"/>
    <n v="0"/>
    <n v="102"/>
    <s v="_x0000_US"/>
  </r>
  <r>
    <x v="1"/>
    <n v="13.690099999999999"/>
    <n v="-89.196299999999994"/>
    <n v="9460"/>
    <n v="0"/>
    <n v="0"/>
    <n v="102"/>
    <s v="_x0000_US"/>
  </r>
  <r>
    <x v="1"/>
    <n v="13.690099999999999"/>
    <n v="-89.196299999999994"/>
    <n v="9460"/>
    <n v="0"/>
    <n v="0"/>
    <n v="102"/>
    <s v="_x0000_US"/>
  </r>
  <r>
    <x v="1"/>
    <n v="13.690099999999999"/>
    <n v="-89.196299999999994"/>
    <n v="9460"/>
    <n v="0"/>
    <n v="0"/>
    <n v="102"/>
    <s v="_x0000_US"/>
  </r>
  <r>
    <x v="1"/>
    <n v="13.690099999999999"/>
    <n v="-89.196299999999994"/>
    <n v="9460"/>
    <n v="0"/>
    <n v="0"/>
    <n v="102"/>
    <s v="_x0000_US"/>
  </r>
  <r>
    <x v="1"/>
    <n v="13.690200000000001"/>
    <n v="-89.196299999999994"/>
    <n v="9460"/>
    <n v="0"/>
    <n v="0"/>
    <n v="102"/>
    <s v="_x0000_US"/>
  </r>
  <r>
    <x v="1"/>
    <n v="13.690300000000001"/>
    <n v="-89.196299999999994"/>
    <n v="9460"/>
    <n v="0"/>
    <n v="0"/>
    <n v="102"/>
    <s v="_x0000_US"/>
  </r>
  <r>
    <x v="1"/>
    <n v="13.690300000000001"/>
    <n v="-89.196299999999994"/>
    <n v="9460"/>
    <n v="0"/>
    <n v="0"/>
    <n v="102"/>
    <s v="_x0000_US"/>
  </r>
  <r>
    <x v="1"/>
    <n v="13.690200000000001"/>
    <n v="-89.196299999999994"/>
    <n v="9460"/>
    <n v="0"/>
    <n v="0"/>
    <n v="102"/>
    <s v="_x0000_US"/>
  </r>
  <r>
    <x v="1"/>
    <n v="13.690200000000001"/>
    <n v="-89.196200000000005"/>
    <n v="9460"/>
    <n v="0"/>
    <n v="0"/>
    <n v="102"/>
    <s v="_x0000_US"/>
  </r>
  <r>
    <x v="1"/>
    <n v="13.690200000000001"/>
    <n v="-89.196299999999994"/>
    <n v="9460"/>
    <n v="0"/>
    <n v="0"/>
    <n v="102"/>
    <s v="_x0000_US"/>
  </r>
  <r>
    <x v="1"/>
    <n v="13.690200000000001"/>
    <n v="-89.196200000000005"/>
    <n v="9460"/>
    <n v="0"/>
    <n v="0"/>
    <n v="102"/>
    <s v="_x0000_US"/>
  </r>
  <r>
    <x v="1"/>
    <n v="13.690300000000001"/>
    <n v="-89.196299999999994"/>
    <n v="9460"/>
    <n v="0"/>
    <n v="0"/>
    <n v="102"/>
    <s v="_x0000_US"/>
  </r>
  <r>
    <x v="1"/>
    <n v="13.690300000000001"/>
    <n v="-89.196200000000005"/>
    <n v="9460"/>
    <n v="0"/>
    <n v="0"/>
    <n v="102"/>
    <s v="_x0000_US"/>
  </r>
  <r>
    <x v="1"/>
    <n v="13.690200000000001"/>
    <n v="-89.196200000000005"/>
    <n v="9460"/>
    <n v="0"/>
    <n v="0"/>
    <n v="102"/>
    <s v="_x0000_US"/>
  </r>
  <r>
    <x v="1"/>
    <n v="13.690200000000001"/>
    <n v="-89.196200000000005"/>
    <n v="9460"/>
    <n v="0"/>
    <n v="0"/>
    <n v="102"/>
    <s v="_x0000_US"/>
  </r>
  <r>
    <x v="1"/>
    <n v="13.690099999999999"/>
    <n v="-89.196200000000005"/>
    <n v="9460"/>
    <n v="0"/>
    <n v="0"/>
    <n v="102"/>
    <s v="_x0000_US"/>
  </r>
  <r>
    <x v="1"/>
    <n v="13.690099999999999"/>
    <n v="-89.196200000000005"/>
    <n v="9460"/>
    <n v="0"/>
    <n v="0"/>
    <n v="102"/>
    <s v="_x0000_US"/>
  </r>
  <r>
    <x v="1"/>
    <n v="13.690099999999999"/>
    <n v="-89.196200000000005"/>
    <n v="9460"/>
    <n v="0"/>
    <n v="0"/>
    <n v="102"/>
    <s v="_x0000_US"/>
  </r>
  <r>
    <x v="1"/>
    <n v="13.69"/>
    <n v="-89.196200000000005"/>
    <n v="9460"/>
    <n v="0"/>
    <n v="0"/>
    <n v="102"/>
    <s v="_x0000_US"/>
  </r>
  <r>
    <x v="1"/>
    <n v="13.69"/>
    <n v="-89.196200000000005"/>
    <n v="9460"/>
    <n v="0"/>
    <n v="0"/>
    <n v="102"/>
    <s v="_x0000_US"/>
  </r>
  <r>
    <x v="1"/>
    <n v="13.69"/>
    <n v="-89.196100000000001"/>
    <n v="9460"/>
    <n v="0"/>
    <n v="0"/>
    <n v="102"/>
    <s v="_x0000_US"/>
  </r>
  <r>
    <x v="1"/>
    <n v="13.690099999999999"/>
    <n v="-89.196100000000001"/>
    <n v="9460"/>
    <n v="0"/>
    <n v="0"/>
    <n v="102"/>
    <s v="_x0000_US"/>
  </r>
  <r>
    <x v="1"/>
    <n v="13.6905"/>
    <n v="-89.196600000000004"/>
    <n v="9460"/>
    <n v="0"/>
    <n v="0"/>
    <n v="102"/>
    <s v="_x0000_US"/>
  </r>
  <r>
    <x v="1"/>
    <n v="13.6905"/>
    <n v="-89.1965"/>
    <n v="9460"/>
    <n v="0"/>
    <n v="0"/>
    <n v="102"/>
    <s v="_x0000_US"/>
  </r>
  <r>
    <x v="1"/>
    <n v="13.6904"/>
    <n v="-89.1965"/>
    <n v="9460"/>
    <n v="0"/>
    <n v="0"/>
    <n v="102"/>
    <s v="_x0000_US"/>
  </r>
  <r>
    <x v="1"/>
    <n v="13.6904"/>
    <n v="-89.1965"/>
    <n v="9460"/>
    <n v="0"/>
    <n v="0"/>
    <n v="102"/>
    <s v="_x0000_US"/>
  </r>
  <r>
    <x v="1"/>
    <n v="13.6904"/>
    <n v="-89.1965"/>
    <n v="9460"/>
    <n v="0"/>
    <n v="0"/>
    <n v="102"/>
    <s v="_x0000_US"/>
  </r>
  <r>
    <x v="1"/>
    <n v="13.6904"/>
    <n v="-89.1965"/>
    <n v="9460"/>
    <n v="0"/>
    <n v="0"/>
    <n v="102"/>
    <s v="_x0000_US"/>
  </r>
  <r>
    <x v="1"/>
    <n v="13.6904"/>
    <n v="-89.1965"/>
    <n v="9460"/>
    <n v="0"/>
    <n v="0"/>
    <n v="102"/>
    <s v="_x0000_US"/>
  </r>
  <r>
    <x v="1"/>
    <n v="13.690300000000001"/>
    <n v="-89.1965"/>
    <n v="9460"/>
    <n v="0"/>
    <n v="0"/>
    <n v="102"/>
    <s v="_x0000_US"/>
  </r>
  <r>
    <x v="1"/>
    <n v="13.690300000000001"/>
    <n v="-89.1965"/>
    <n v="9460"/>
    <n v="0"/>
    <n v="0"/>
    <n v="102"/>
    <s v="_x0000_US"/>
  </r>
  <r>
    <x v="1"/>
    <n v="13.690300000000001"/>
    <n v="-89.196399999999997"/>
    <n v="9460"/>
    <n v="0"/>
    <n v="0"/>
    <n v="102"/>
    <s v="_x0000_US"/>
  </r>
  <r>
    <x v="1"/>
    <n v="13.690300000000001"/>
    <n v="-89.196399999999997"/>
    <n v="9460"/>
    <n v="0"/>
    <n v="0"/>
    <n v="102"/>
    <s v="_x0000_US"/>
  </r>
  <r>
    <x v="1"/>
    <n v="13.6904"/>
    <n v="-89.196399999999997"/>
    <n v="9460"/>
    <n v="0"/>
    <n v="0"/>
    <n v="102"/>
    <s v="_x0000_US"/>
  </r>
  <r>
    <x v="1"/>
    <n v="13.6904"/>
    <n v="-89.196399999999997"/>
    <n v="9460"/>
    <n v="0"/>
    <n v="0"/>
    <n v="102"/>
    <s v="_x0000_US"/>
  </r>
  <r>
    <x v="1"/>
    <n v="13.6904"/>
    <n v="-89.196399999999997"/>
    <n v="9460"/>
    <n v="0"/>
    <n v="0"/>
    <n v="102"/>
    <s v="_x0000_US"/>
  </r>
  <r>
    <x v="1"/>
    <n v="13.6905"/>
    <n v="-89.196399999999997"/>
    <n v="9460"/>
    <n v="0"/>
    <n v="0"/>
    <n v="102"/>
    <s v="_x0000_US"/>
  </r>
  <r>
    <x v="1"/>
    <n v="13.6905"/>
    <n v="-89.196399999999997"/>
    <n v="9460"/>
    <n v="0"/>
    <n v="0"/>
    <n v="102"/>
    <s v="_x0000_US"/>
  </r>
  <r>
    <x v="1"/>
    <n v="13.6905"/>
    <n v="-89.196399999999997"/>
    <n v="9460"/>
    <n v="0"/>
    <n v="0"/>
    <n v="102"/>
    <s v="_x0000_US"/>
  </r>
  <r>
    <x v="1"/>
    <n v="13.6904"/>
    <n v="-89.196399999999997"/>
    <n v="9460"/>
    <n v="0"/>
    <n v="0"/>
    <n v="102"/>
    <s v="_x0000_US"/>
  </r>
  <r>
    <x v="1"/>
    <n v="13.6904"/>
    <n v="-89.196399999999997"/>
    <n v="9460"/>
    <n v="0"/>
    <n v="0"/>
    <n v="102"/>
    <s v="_x0000_US"/>
  </r>
  <r>
    <x v="1"/>
    <n v="13.6904"/>
    <n v="-89.196299999999994"/>
    <n v="9460"/>
    <n v="0"/>
    <n v="0"/>
    <n v="102"/>
    <s v="_x0000_US"/>
  </r>
  <r>
    <x v="1"/>
    <n v="13.6904"/>
    <n v="-89.196299999999994"/>
    <n v="9460"/>
    <n v="0"/>
    <n v="0"/>
    <n v="102"/>
    <s v="_x0000_US"/>
  </r>
  <r>
    <x v="1"/>
    <n v="13.6904"/>
    <n v="-89.196299999999994"/>
    <n v="9460"/>
    <n v="0"/>
    <n v="0"/>
    <n v="102"/>
    <s v="_x0000_US"/>
  </r>
  <r>
    <x v="1"/>
    <n v="13.6904"/>
    <n v="-89.196299999999994"/>
    <n v="9460"/>
    <n v="0"/>
    <n v="0"/>
    <n v="102"/>
    <s v="_x0000_US"/>
  </r>
  <r>
    <x v="1"/>
    <n v="13.6904"/>
    <n v="-89.196299999999994"/>
    <n v="9460"/>
    <n v="0"/>
    <n v="0"/>
    <n v="102"/>
    <s v="_x0000_US"/>
  </r>
  <r>
    <x v="1"/>
    <n v="13.690300000000001"/>
    <n v="-89.196299999999994"/>
    <n v="9460"/>
    <n v="0"/>
    <n v="0"/>
    <n v="102"/>
    <s v="_x0000_US"/>
  </r>
  <r>
    <x v="1"/>
    <n v="13.69"/>
    <n v="-89.196200000000005"/>
    <n v="9460"/>
    <n v="0"/>
    <n v="0"/>
    <n v="102"/>
    <s v="_x0000_US"/>
  </r>
  <r>
    <x v="1"/>
    <n v="13.6905"/>
    <n v="-89.194000000000003"/>
    <n v="16500"/>
    <n v="0"/>
    <n v="0"/>
    <n v="102"/>
    <s v="_x0000_US"/>
  </r>
  <r>
    <x v="1"/>
    <n v="13.6905"/>
    <n v="-89.194000000000003"/>
    <n v="16500"/>
    <n v="0"/>
    <n v="0"/>
    <n v="102"/>
    <s v="_x0000_US"/>
  </r>
  <r>
    <x v="1"/>
    <n v="13.690899999999999"/>
    <n v="-89.194000000000003"/>
    <n v="16500"/>
    <n v="0"/>
    <n v="0"/>
    <n v="102"/>
    <s v="_x0000_US"/>
  </r>
  <r>
    <x v="1"/>
    <n v="13.690799999999999"/>
    <n v="-89.194000000000003"/>
    <n v="16500"/>
    <n v="0"/>
    <n v="0"/>
    <n v="102"/>
    <s v="_x0000_US"/>
  </r>
  <r>
    <x v="1"/>
    <n v="13.690799999999999"/>
    <n v="-89.194000000000003"/>
    <n v="16500"/>
    <n v="0"/>
    <n v="0"/>
    <n v="102"/>
    <s v="_x0000_US"/>
  </r>
  <r>
    <x v="1"/>
    <n v="13.690799999999999"/>
    <n v="-89.194000000000003"/>
    <n v="16500"/>
    <n v="0"/>
    <n v="0"/>
    <n v="102"/>
    <s v="_x0000_US"/>
  </r>
  <r>
    <x v="1"/>
    <n v="13.6907"/>
    <n v="-89.194000000000003"/>
    <n v="16500"/>
    <n v="0"/>
    <n v="0"/>
    <n v="102"/>
    <s v="_x0000_US"/>
  </r>
  <r>
    <x v="1"/>
    <n v="13.6907"/>
    <n v="-89.194000000000003"/>
    <n v="16500"/>
    <n v="0"/>
    <n v="0"/>
    <n v="102"/>
    <s v="_x0000_US"/>
  </r>
  <r>
    <x v="1"/>
    <n v="13.6907"/>
    <n v="-89.194000000000003"/>
    <n v="16500"/>
    <n v="0"/>
    <n v="0"/>
    <n v="102"/>
    <s v="_x0000_US"/>
  </r>
  <r>
    <x v="1"/>
    <n v="13.6907"/>
    <n v="-89.194000000000003"/>
    <n v="16500"/>
    <n v="0"/>
    <n v="0"/>
    <n v="102"/>
    <s v="_x0000_US"/>
  </r>
  <r>
    <x v="1"/>
    <n v="13.690899999999999"/>
    <n v="-89.193899999999999"/>
    <n v="16500"/>
    <n v="0"/>
    <n v="0"/>
    <n v="102"/>
    <s v="_x0000_US"/>
  </r>
  <r>
    <x v="1"/>
    <n v="13.690799999999999"/>
    <n v="-89.193899999999999"/>
    <n v="16500"/>
    <n v="0"/>
    <n v="0"/>
    <n v="102"/>
    <s v="_x0000_US"/>
  </r>
  <r>
    <x v="1"/>
    <n v="13.690799999999999"/>
    <n v="-89.193899999999999"/>
    <n v="16500"/>
    <n v="0"/>
    <n v="0"/>
    <n v="102"/>
    <s v="_x0000_US"/>
  </r>
  <r>
    <x v="1"/>
    <n v="13.690799999999999"/>
    <n v="-89.193899999999999"/>
    <n v="16500"/>
    <n v="0"/>
    <n v="0"/>
    <n v="102"/>
    <s v="_x0000_US"/>
  </r>
  <r>
    <x v="1"/>
    <n v="13.6907"/>
    <n v="-89.193899999999999"/>
    <n v="16500"/>
    <n v="0"/>
    <n v="0"/>
    <n v="102"/>
    <s v="_x0000_US"/>
  </r>
  <r>
    <x v="1"/>
    <n v="13.6907"/>
    <n v="-89.193899999999999"/>
    <n v="16500"/>
    <n v="0"/>
    <n v="0"/>
    <n v="102"/>
    <s v="_x0000_US"/>
  </r>
  <r>
    <x v="1"/>
    <n v="13.6907"/>
    <n v="-89.193899999999999"/>
    <n v="16500"/>
    <n v="0"/>
    <n v="0"/>
    <n v="102"/>
    <s v="_x0000_US"/>
  </r>
  <r>
    <x v="1"/>
    <n v="13.690899999999999"/>
    <n v="-89.193899999999999"/>
    <n v="16500"/>
    <n v="0"/>
    <n v="0"/>
    <n v="102"/>
    <s v="_x0000_US"/>
  </r>
  <r>
    <x v="1"/>
    <n v="13.690899999999999"/>
    <n v="-89.193899999999999"/>
    <n v="16500"/>
    <n v="0"/>
    <n v="0"/>
    <n v="102"/>
    <s v="_x0000_US"/>
  </r>
  <r>
    <x v="1"/>
    <n v="13.690899999999999"/>
    <n v="-89.193899999999999"/>
    <n v="16500"/>
    <n v="0"/>
    <n v="0"/>
    <n v="102"/>
    <s v="_x0000_US"/>
  </r>
  <r>
    <x v="1"/>
    <n v="13.690799999999999"/>
    <n v="-89.193899999999999"/>
    <n v="16500"/>
    <n v="0"/>
    <n v="0"/>
    <n v="102"/>
    <s v="_x0000_US"/>
  </r>
  <r>
    <x v="1"/>
    <n v="13.690799999999999"/>
    <n v="-89.193799999999996"/>
    <n v="16500"/>
    <n v="0"/>
    <n v="0"/>
    <n v="102"/>
    <s v="_x0000_US"/>
  </r>
  <r>
    <x v="1"/>
    <n v="13.690799999999999"/>
    <n v="-89.193799999999996"/>
    <n v="16500"/>
    <n v="0"/>
    <n v="0"/>
    <n v="102"/>
    <s v="_x0000_US"/>
  </r>
  <r>
    <x v="1"/>
    <n v="13.6907"/>
    <n v="-89.193799999999996"/>
    <n v="16500"/>
    <n v="0"/>
    <n v="0"/>
    <n v="102"/>
    <s v="_x0000_US"/>
  </r>
  <r>
    <x v="1"/>
    <n v="13.6907"/>
    <n v="-89.193799999999996"/>
    <n v="16500"/>
    <n v="0"/>
    <n v="0"/>
    <n v="102"/>
    <s v="_x0000_US"/>
  </r>
  <r>
    <x v="1"/>
    <n v="13.6907"/>
    <n v="-89.193799999999996"/>
    <n v="16500"/>
    <n v="0"/>
    <n v="0"/>
    <n v="102"/>
    <s v="_x0000_US"/>
  </r>
  <r>
    <x v="1"/>
    <n v="13.6907"/>
    <n v="-89.193799999999996"/>
    <n v="16500"/>
    <n v="0"/>
    <n v="0"/>
    <n v="102"/>
    <s v="_x0000_US"/>
  </r>
  <r>
    <x v="1"/>
    <n v="13.690899999999999"/>
    <n v="-89.193700000000007"/>
    <n v="16500"/>
    <n v="0"/>
    <n v="0"/>
    <n v="102"/>
    <s v="_x0000_US"/>
  </r>
  <r>
    <x v="1"/>
    <n v="13.690899999999999"/>
    <n v="-89.193700000000007"/>
    <n v="16500"/>
    <n v="0"/>
    <n v="0"/>
    <n v="102"/>
    <s v="_x0000_US"/>
  </r>
  <r>
    <x v="1"/>
    <n v="13.690799999999999"/>
    <n v="-89.193700000000007"/>
    <n v="16500"/>
    <n v="0"/>
    <n v="0"/>
    <n v="102"/>
    <s v="_x0000_US"/>
  </r>
  <r>
    <x v="1"/>
    <n v="13.690799999999999"/>
    <n v="-89.193700000000007"/>
    <n v="16500"/>
    <n v="0"/>
    <n v="0"/>
    <n v="102"/>
    <s v="_x0000_US"/>
  </r>
  <r>
    <x v="1"/>
    <n v="13.690799999999999"/>
    <n v="-89.193700000000007"/>
    <n v="16500"/>
    <n v="0"/>
    <n v="0"/>
    <n v="102"/>
    <s v="_x0000_US"/>
  </r>
  <r>
    <x v="1"/>
    <n v="13.6907"/>
    <n v="-89.193700000000007"/>
    <n v="16500"/>
    <n v="0"/>
    <n v="0"/>
    <n v="102"/>
    <s v="_x0000_US"/>
  </r>
  <r>
    <x v="1"/>
    <n v="13.6907"/>
    <n v="-89.193700000000007"/>
    <n v="16500"/>
    <n v="0"/>
    <n v="0"/>
    <n v="102"/>
    <s v="_x0000_US"/>
  </r>
  <r>
    <x v="1"/>
    <n v="13.690799999999999"/>
    <n v="-89.193600000000004"/>
    <n v="16500"/>
    <n v="0"/>
    <n v="0"/>
    <n v="102"/>
    <s v="_x0000_US"/>
  </r>
  <r>
    <x v="1"/>
    <n v="13.690799999999999"/>
    <n v="-89.193700000000007"/>
    <n v="16500"/>
    <n v="0"/>
    <n v="0"/>
    <n v="102"/>
    <s v="_x0000_US"/>
  </r>
  <r>
    <x v="1"/>
    <n v="13.690799999999999"/>
    <n v="-89.193700000000007"/>
    <n v="16500"/>
    <n v="0"/>
    <n v="0"/>
    <n v="102"/>
    <s v="_x0000_US"/>
  </r>
  <r>
    <x v="1"/>
    <n v="13.690899999999999"/>
    <n v="-89.193700000000007"/>
    <n v="16500"/>
    <n v="0"/>
    <n v="0"/>
    <n v="102"/>
    <s v="_x0000_US"/>
  </r>
  <r>
    <x v="1"/>
    <n v="13.690899999999999"/>
    <n v="-89.193700000000007"/>
    <n v="16500"/>
    <n v="0"/>
    <n v="0"/>
    <n v="102"/>
    <s v="_x0000_US"/>
  </r>
  <r>
    <x v="1"/>
    <n v="13.690899999999999"/>
    <n v="-89.193600000000004"/>
    <n v="16500"/>
    <n v="0"/>
    <n v="0"/>
    <n v="102"/>
    <s v="_x0000_US"/>
  </r>
  <r>
    <x v="1"/>
    <n v="13.690899999999999"/>
    <n v="-89.193600000000004"/>
    <n v="16500"/>
    <n v="0"/>
    <n v="0"/>
    <n v="102"/>
    <s v="_x0000_US"/>
  </r>
  <r>
    <x v="1"/>
    <n v="13.690899999999999"/>
    <n v="-89.193600000000004"/>
    <n v="16500"/>
    <n v="0"/>
    <n v="0"/>
    <n v="102"/>
    <s v="_x0000_US"/>
  </r>
  <r>
    <x v="1"/>
    <n v="13.690799999999999"/>
    <n v="-89.1935"/>
    <n v="16500"/>
    <n v="0"/>
    <n v="0"/>
    <n v="102"/>
    <s v="_x0000_US"/>
  </r>
  <r>
    <x v="1"/>
    <n v="13.690799999999999"/>
    <n v="-89.1935"/>
    <n v="16500"/>
    <n v="0"/>
    <n v="0"/>
    <n v="102"/>
    <s v="_x0000_US"/>
  </r>
  <r>
    <x v="1"/>
    <n v="13.690799999999999"/>
    <n v="-89.1935"/>
    <n v="16500"/>
    <n v="0"/>
    <n v="0"/>
    <n v="102"/>
    <s v="_x0000_US"/>
  </r>
  <r>
    <x v="1"/>
    <n v="13.690899999999999"/>
    <n v="-89.1935"/>
    <n v="16500"/>
    <n v="0"/>
    <n v="0"/>
    <n v="102"/>
    <s v="_x0000_US"/>
  </r>
  <r>
    <x v="1"/>
    <n v="13.690899999999999"/>
    <n v="-89.1935"/>
    <n v="16500"/>
    <n v="0"/>
    <n v="0"/>
    <n v="102"/>
    <s v="_x0000_US"/>
  </r>
  <r>
    <x v="1"/>
    <n v="13.6906"/>
    <n v="-89.194000000000003"/>
    <n v="16500"/>
    <n v="0"/>
    <n v="0"/>
    <n v="102"/>
    <s v="_x0000_US"/>
  </r>
  <r>
    <x v="1"/>
    <n v="13.6906"/>
    <n v="-89.194000000000003"/>
    <n v="16500"/>
    <n v="0"/>
    <n v="0"/>
    <n v="102"/>
    <s v="_x0000_US"/>
  </r>
  <r>
    <x v="1"/>
    <n v="13.6906"/>
    <n v="-89.194000000000003"/>
    <n v="16500"/>
    <n v="0"/>
    <n v="0"/>
    <n v="102"/>
    <s v="_x0000_US"/>
  </r>
  <r>
    <x v="1"/>
    <n v="13.6906"/>
    <n v="-89.193899999999999"/>
    <n v="16500"/>
    <n v="0"/>
    <n v="0"/>
    <n v="102"/>
    <s v="_x0000_US"/>
  </r>
  <r>
    <x v="1"/>
    <n v="13.6906"/>
    <n v="-89.193899999999999"/>
    <n v="16500"/>
    <n v="0"/>
    <n v="0"/>
    <n v="102"/>
    <s v="_x0000_US"/>
  </r>
  <r>
    <x v="1"/>
    <n v="13.6906"/>
    <n v="-89.193899999999999"/>
    <n v="16500"/>
    <n v="0"/>
    <n v="0"/>
    <n v="102"/>
    <s v="_x0000_US"/>
  </r>
  <r>
    <x v="1"/>
    <n v="13.6907"/>
    <n v="-89.193899999999999"/>
    <n v="16500"/>
    <n v="0"/>
    <n v="0"/>
    <n v="102"/>
    <s v="_x0000_US"/>
  </r>
  <r>
    <x v="1"/>
    <n v="13.6898"/>
    <n v="-89.197299999999998"/>
    <n v="11540"/>
    <n v="0"/>
    <n v="0"/>
    <n v="102"/>
    <s v="_x0000_US"/>
  </r>
  <r>
    <x v="1"/>
    <n v="13.6897"/>
    <n v="-89.197299999999998"/>
    <n v="11540"/>
    <n v="0"/>
    <n v="0"/>
    <n v="102"/>
    <s v="_x0000_US"/>
  </r>
  <r>
    <x v="1"/>
    <n v="13.6896"/>
    <n v="-89.196700000000007"/>
    <n v="11540"/>
    <n v="0"/>
    <n v="0"/>
    <n v="102"/>
    <s v="_x0000_US"/>
  </r>
  <r>
    <x v="1"/>
    <n v="13.6896"/>
    <n v="-89.196799999999996"/>
    <n v="11540"/>
    <n v="0"/>
    <n v="0"/>
    <n v="102"/>
    <s v="_x0000_US"/>
  </r>
  <r>
    <x v="1"/>
    <n v="13.6898"/>
    <n v="-89.197100000000006"/>
    <n v="11540"/>
    <n v="0"/>
    <n v="0"/>
    <n v="102"/>
    <s v="_x0000_US"/>
  </r>
  <r>
    <x v="1"/>
    <n v="13.6897"/>
    <n v="-89.197100000000006"/>
    <n v="11540"/>
    <n v="0"/>
    <n v="0"/>
    <n v="102"/>
    <s v="_x0000_US"/>
  </r>
  <r>
    <x v="1"/>
    <n v="13.6896"/>
    <n v="-89.197100000000006"/>
    <n v="11540"/>
    <n v="0"/>
    <n v="0"/>
    <n v="102"/>
    <s v="_x0000_US"/>
  </r>
  <r>
    <x v="1"/>
    <n v="13.6896"/>
    <n v="-89.197100000000006"/>
    <n v="11540"/>
    <n v="0"/>
    <n v="0"/>
    <n v="102"/>
    <s v="_x0000_US"/>
  </r>
  <r>
    <x v="1"/>
    <n v="13.6897"/>
    <n v="-89.196899999999999"/>
    <n v="11540"/>
    <n v="0"/>
    <n v="0"/>
    <n v="102"/>
    <s v="_x0000_US"/>
  </r>
  <r>
    <x v="1"/>
    <n v="13.6898"/>
    <n v="-89.196899999999999"/>
    <n v="11540"/>
    <n v="0"/>
    <n v="0"/>
    <n v="102"/>
    <s v="_x0000_US"/>
  </r>
  <r>
    <x v="1"/>
    <n v="13.6896"/>
    <n v="-89.196700000000007"/>
    <n v="11540"/>
    <n v="0"/>
    <n v="0"/>
    <n v="102"/>
    <s v="_x0000_US"/>
  </r>
  <r>
    <x v="1"/>
    <n v="13.6896"/>
    <n v="-89.196600000000004"/>
    <n v="11540"/>
    <n v="0"/>
    <n v="0"/>
    <n v="102"/>
    <s v="_x0000_US"/>
  </r>
  <r>
    <x v="1"/>
    <n v="13.6896"/>
    <n v="-89.196600000000004"/>
    <n v="11540"/>
    <n v="0"/>
    <n v="0"/>
    <n v="102"/>
    <s v="_x0000_US"/>
  </r>
  <r>
    <x v="1"/>
    <n v="13.6896"/>
    <n v="-89.196600000000004"/>
    <n v="11540"/>
    <n v="0"/>
    <n v="0"/>
    <n v="102"/>
    <s v="_x0000_US"/>
  </r>
  <r>
    <x v="1"/>
    <n v="13.6897"/>
    <n v="-89.196600000000004"/>
    <n v="11540"/>
    <n v="0"/>
    <n v="0"/>
    <n v="102"/>
    <s v="_x0000_US"/>
  </r>
  <r>
    <x v="1"/>
    <n v="13.6898"/>
    <n v="-89.196600000000004"/>
    <n v="11540"/>
    <n v="0"/>
    <n v="0"/>
    <n v="102"/>
    <s v="_x0000_US"/>
  </r>
  <r>
    <x v="1"/>
    <n v="13.6898"/>
    <n v="-89.1965"/>
    <n v="11540"/>
    <n v="0"/>
    <n v="0"/>
    <n v="102"/>
    <s v="_x0000_US"/>
  </r>
  <r>
    <x v="1"/>
    <n v="13.6898"/>
    <n v="-89.1965"/>
    <n v="11540"/>
    <n v="0"/>
    <n v="0"/>
    <n v="102"/>
    <s v="_x0000_US"/>
  </r>
  <r>
    <x v="1"/>
    <n v="13.6899"/>
    <n v="-89.1965"/>
    <n v="11540"/>
    <n v="0"/>
    <n v="0"/>
    <n v="102"/>
    <s v="_x0000_US"/>
  </r>
  <r>
    <x v="1"/>
    <n v="13.6898"/>
    <n v="-89.196399999999997"/>
    <n v="11540"/>
    <n v="0"/>
    <n v="0"/>
    <n v="102"/>
    <s v="_x0000_US"/>
  </r>
  <r>
    <x v="1"/>
    <n v="13.6897"/>
    <n v="-89.196299999999994"/>
    <n v="11540"/>
    <n v="0"/>
    <n v="0"/>
    <n v="102"/>
    <s v="_x0000_US"/>
  </r>
  <r>
    <x v="1"/>
    <n v="13.689299999999999"/>
    <n v="-89.196600000000004"/>
    <n v="11540"/>
    <n v="0"/>
    <n v="0"/>
    <n v="102"/>
    <s v="_x0000_US"/>
  </r>
  <r>
    <x v="1"/>
    <n v="13.689299999999999"/>
    <n v="-89.196600000000004"/>
    <n v="11540"/>
    <n v="0"/>
    <n v="0"/>
    <n v="102"/>
    <s v="_x0000_US"/>
  </r>
  <r>
    <x v="1"/>
    <n v="13.689399999999999"/>
    <n v="-89.1965"/>
    <n v="11540"/>
    <n v="0"/>
    <n v="0"/>
    <n v="102"/>
    <s v="_x0000_US"/>
  </r>
  <r>
    <x v="1"/>
    <n v="13.6896"/>
    <n v="-89.196600000000004"/>
    <n v="11540"/>
    <n v="0"/>
    <n v="0"/>
    <n v="102"/>
    <s v="_x0000_US"/>
  </r>
  <r>
    <x v="1"/>
    <n v="13.6896"/>
    <n v="-89.196399999999997"/>
    <n v="11540"/>
    <n v="0"/>
    <n v="0"/>
    <n v="102"/>
    <s v="_x0000_US"/>
  </r>
  <r>
    <x v="1"/>
    <n v="13.689399999999999"/>
    <n v="-89.196399999999997"/>
    <n v="11540"/>
    <n v="0"/>
    <n v="0"/>
    <n v="102"/>
    <s v="_x0000_US"/>
  </r>
  <r>
    <x v="1"/>
    <n v="13.689399999999999"/>
    <n v="-89.196399999999997"/>
    <n v="11540"/>
    <n v="0"/>
    <n v="0"/>
    <n v="102"/>
    <s v="_x0000_US"/>
  </r>
  <r>
    <x v="1"/>
    <n v="13.690099999999999"/>
    <n v="-89.197199999999995"/>
    <n v="11540"/>
    <n v="0"/>
    <n v="0"/>
    <n v="102"/>
    <s v="_x0000_US"/>
  </r>
  <r>
    <x v="1"/>
    <n v="13.690099999999999"/>
    <n v="-89.197100000000006"/>
    <n v="11540"/>
    <n v="0"/>
    <n v="0"/>
    <n v="102"/>
    <s v="_x0000_US"/>
  </r>
  <r>
    <x v="1"/>
    <n v="13.690099999999999"/>
    <n v="-89.197000000000003"/>
    <n v="11540"/>
    <n v="0"/>
    <n v="0"/>
    <n v="102"/>
    <s v="_x0000_US"/>
  </r>
  <r>
    <x v="1"/>
    <n v="13.690200000000001"/>
    <n v="-89.197100000000006"/>
    <n v="11540"/>
    <n v="0"/>
    <n v="0"/>
    <n v="102"/>
    <s v="_x0000_US"/>
  </r>
  <r>
    <x v="1"/>
    <n v="13.690200000000001"/>
    <n v="-89.197199999999995"/>
    <n v="11540"/>
    <n v="0"/>
    <n v="0"/>
    <n v="102"/>
    <s v="_x0000_US"/>
  </r>
  <r>
    <x v="1"/>
    <n v="13.690200000000001"/>
    <n v="-89.197100000000006"/>
    <n v="11540"/>
    <n v="0"/>
    <n v="0"/>
    <n v="102"/>
    <s v="_x0000_US"/>
  </r>
  <r>
    <x v="1"/>
    <n v="13.690200000000001"/>
    <n v="-89.197299999999998"/>
    <n v="11540"/>
    <n v="0"/>
    <n v="0"/>
    <n v="102"/>
    <s v="_x0000_US"/>
  </r>
  <r>
    <x v="1"/>
    <n v="13.6899"/>
    <n v="-89.197299999999998"/>
    <n v="11540"/>
    <n v="0"/>
    <n v="0"/>
    <n v="102"/>
    <s v="_x0000_US"/>
  </r>
  <r>
    <x v="1"/>
    <n v="13.69"/>
    <n v="-89.197199999999995"/>
    <n v="11540"/>
    <n v="0"/>
    <n v="0"/>
    <n v="102"/>
    <s v="_x0000_US"/>
  </r>
  <r>
    <x v="1"/>
    <n v="13.6899"/>
    <n v="-89.197000000000003"/>
    <n v="11540"/>
    <n v="0"/>
    <n v="0"/>
    <n v="102"/>
    <s v="_x0000_US"/>
  </r>
  <r>
    <x v="1"/>
    <n v="13.690799999999999"/>
    <n v="-89.197299999999998"/>
    <n v="11540"/>
    <n v="0"/>
    <n v="0"/>
    <n v="102"/>
    <s v="_x0000_US"/>
  </r>
  <r>
    <x v="1"/>
    <n v="13.6907"/>
    <n v="-89.197199999999995"/>
    <n v="11540"/>
    <n v="0"/>
    <n v="0"/>
    <n v="102"/>
    <s v="_x0000_US"/>
  </r>
  <r>
    <x v="1"/>
    <n v="13.6907"/>
    <n v="-89.197100000000006"/>
    <n v="11540"/>
    <n v="0"/>
    <n v="0"/>
    <n v="102"/>
    <s v="_x0000_US"/>
  </r>
  <r>
    <x v="1"/>
    <n v="13.6907"/>
    <n v="-89.197000000000003"/>
    <n v="11540"/>
    <n v="0"/>
    <n v="0"/>
    <n v="102"/>
    <s v="_x0000_US"/>
  </r>
  <r>
    <x v="1"/>
    <n v="13.690799999999999"/>
    <n v="-89.196899999999999"/>
    <n v="11540"/>
    <n v="0"/>
    <n v="0"/>
    <n v="102"/>
    <s v="_x0000_US"/>
  </r>
  <r>
    <x v="1"/>
    <n v="13.691000000000001"/>
    <n v="-89.197000000000003"/>
    <n v="11540"/>
    <n v="0"/>
    <n v="0"/>
    <n v="102"/>
    <s v="_x0000_US"/>
  </r>
  <r>
    <x v="1"/>
    <n v="13.691000000000001"/>
    <n v="-89.197100000000006"/>
    <n v="11540"/>
    <n v="0"/>
    <n v="0"/>
    <n v="102"/>
    <s v="_x0000_US"/>
  </r>
  <r>
    <x v="1"/>
    <n v="13.6906"/>
    <n v="-89.197199999999995"/>
    <n v="11540"/>
    <n v="0"/>
    <n v="0"/>
    <n v="102"/>
    <s v="_x0000_US"/>
  </r>
  <r>
    <x v="1"/>
    <n v="13.6906"/>
    <n v="-89.197100000000006"/>
    <n v="11540"/>
    <n v="0"/>
    <n v="0"/>
    <n v="102"/>
    <s v="_x0000_US"/>
  </r>
  <r>
    <x v="1"/>
    <n v="13.6904"/>
    <n v="-89.197299999999998"/>
    <n v="11540"/>
    <n v="0"/>
    <n v="0"/>
    <n v="102"/>
    <s v="_x0000_US"/>
  </r>
  <r>
    <x v="1"/>
    <n v="13.690300000000001"/>
    <n v="-89.197299999999998"/>
    <n v="11540"/>
    <n v="0"/>
    <n v="0"/>
    <n v="102"/>
    <s v="_x0000_US"/>
  </r>
  <r>
    <x v="1"/>
    <n v="13.690300000000001"/>
    <n v="-89.197100000000006"/>
    <n v="11540"/>
    <n v="0"/>
    <n v="0"/>
    <n v="102"/>
    <s v="_x0000_US"/>
  </r>
  <r>
    <x v="1"/>
    <n v="13.690300000000001"/>
    <n v="-89.197000000000003"/>
    <n v="11540"/>
    <n v="0"/>
    <n v="0"/>
    <n v="102"/>
    <s v="_x0000_US"/>
  </r>
  <r>
    <x v="1"/>
    <n v="13.6904"/>
    <n v="-89.197000000000003"/>
    <n v="11540"/>
    <n v="0"/>
    <n v="0"/>
    <n v="102"/>
    <s v="_x0000_US"/>
  </r>
  <r>
    <x v="1"/>
    <n v="13.690300000000001"/>
    <n v="-89.196799999999996"/>
    <n v="11540"/>
    <n v="0"/>
    <n v="0"/>
    <n v="102"/>
    <s v="_x0000_US"/>
  </r>
  <r>
    <x v="1"/>
    <n v="13.690200000000001"/>
    <n v="-89.196899999999999"/>
    <n v="11540"/>
    <n v="0"/>
    <n v="0"/>
    <n v="102"/>
    <s v="_x0000_US"/>
  </r>
  <r>
    <x v="1"/>
    <n v="13.690200000000001"/>
    <n v="-89.196799999999996"/>
    <n v="11540"/>
    <n v="0"/>
    <n v="0"/>
    <n v="102"/>
    <s v="_x0000_US"/>
  </r>
  <r>
    <x v="1"/>
    <n v="13.690099999999999"/>
    <n v="-89.196899999999999"/>
    <n v="11540"/>
    <n v="0"/>
    <n v="0"/>
    <n v="102"/>
    <s v="_x0000_US"/>
  </r>
  <r>
    <x v="1"/>
    <n v="13.690099999999999"/>
    <n v="-89.196700000000007"/>
    <n v="11540"/>
    <n v="0"/>
    <n v="0"/>
    <n v="102"/>
    <s v="_x0000_US"/>
  </r>
  <r>
    <x v="1"/>
    <n v="13.690200000000001"/>
    <n v="-89.196700000000007"/>
    <n v="11540"/>
    <n v="0"/>
    <n v="0"/>
    <n v="102"/>
    <s v="_x0000_US"/>
  </r>
  <r>
    <x v="1"/>
    <n v="13.69"/>
    <n v="-89.196700000000007"/>
    <n v="11540"/>
    <n v="0"/>
    <n v="0"/>
    <n v="102"/>
    <s v="_x0000_US"/>
  </r>
  <r>
    <x v="1"/>
    <n v="13.69"/>
    <n v="-89.196600000000004"/>
    <n v="11540"/>
    <n v="0"/>
    <n v="0"/>
    <n v="102"/>
    <s v="_x0000_US"/>
  </r>
  <r>
    <x v="1"/>
    <n v="13.69"/>
    <n v="-89.196600000000004"/>
    <n v="11540"/>
    <n v="0"/>
    <n v="0"/>
    <n v="102"/>
    <s v="_x0000_US"/>
  </r>
  <r>
    <x v="1"/>
    <n v="13.69"/>
    <n v="-89.1965"/>
    <n v="11540"/>
    <n v="0"/>
    <n v="0"/>
    <n v="102"/>
    <s v="_x0000_US"/>
  </r>
  <r>
    <x v="1"/>
    <n v="13.6899"/>
    <n v="-89.1965"/>
    <n v="11540"/>
    <n v="0"/>
    <n v="0"/>
    <n v="102"/>
    <s v="_x0000_US"/>
  </r>
  <r>
    <x v="1"/>
    <n v="13.6899"/>
    <n v="-89.196600000000004"/>
    <n v="11540"/>
    <n v="0"/>
    <n v="0"/>
    <n v="102"/>
    <s v="_x0000_US"/>
  </r>
  <r>
    <x v="1"/>
    <n v="13.6899"/>
    <n v="-89.196700000000007"/>
    <n v="11540"/>
    <n v="0"/>
    <n v="0"/>
    <n v="102"/>
    <s v="_x0000_US"/>
  </r>
  <r>
    <x v="1"/>
    <n v="13.6899"/>
    <n v="-89.196799999999996"/>
    <n v="11540"/>
    <n v="0"/>
    <n v="0"/>
    <n v="102"/>
    <s v="_x0000_US"/>
  </r>
  <r>
    <x v="1"/>
    <n v="13.6904"/>
    <n v="-89.196700000000007"/>
    <n v="11540"/>
    <n v="0"/>
    <n v="0"/>
    <n v="102"/>
    <s v="_x0000_US"/>
  </r>
  <r>
    <x v="1"/>
    <n v="13.690300000000001"/>
    <n v="-89.196700000000007"/>
    <n v="11540"/>
    <n v="0"/>
    <n v="0"/>
    <n v="102"/>
    <s v="_x0000_US"/>
  </r>
  <r>
    <x v="1"/>
    <n v="13.690300000000001"/>
    <n v="-89.196799999999996"/>
    <n v="11540"/>
    <n v="0"/>
    <n v="0"/>
    <n v="102"/>
    <s v="_x0000_US"/>
  </r>
  <r>
    <x v="1"/>
    <n v="13.6904"/>
    <n v="-89.196799999999996"/>
    <n v="11540"/>
    <n v="0"/>
    <n v="0"/>
    <n v="102"/>
    <s v="_x0000_US"/>
  </r>
  <r>
    <x v="1"/>
    <n v="13.6905"/>
    <n v="-89.196799999999996"/>
    <n v="11540"/>
    <n v="0"/>
    <n v="0"/>
    <n v="102"/>
    <s v="_x0000_US"/>
  </r>
  <r>
    <x v="1"/>
    <n v="13.6907"/>
    <n v="-89.196799999999996"/>
    <n v="11540"/>
    <n v="0"/>
    <n v="0"/>
    <n v="102"/>
    <s v="_x0000_US"/>
  </r>
  <r>
    <x v="1"/>
    <n v="13.6907"/>
    <n v="-89.196700000000007"/>
    <n v="11540"/>
    <n v="0"/>
    <n v="0"/>
    <n v="102"/>
    <s v="_x0000_US"/>
  </r>
  <r>
    <x v="1"/>
    <n v="13.6907"/>
    <n v="-89.196600000000004"/>
    <n v="11540"/>
    <n v="0"/>
    <n v="0"/>
    <n v="102"/>
    <s v="_x0000_US"/>
  </r>
  <r>
    <x v="1"/>
    <n v="13.6907"/>
    <n v="-89.196600000000004"/>
    <n v="11540"/>
    <n v="0"/>
    <n v="0"/>
    <n v="102"/>
    <s v="_x0000_US"/>
  </r>
  <r>
    <x v="1"/>
    <n v="13.6907"/>
    <n v="-89.1965"/>
    <n v="11540"/>
    <n v="0"/>
    <n v="0"/>
    <n v="102"/>
    <s v="_x0000_US"/>
  </r>
  <r>
    <x v="1"/>
    <n v="13.6907"/>
    <n v="-89.196399999999997"/>
    <n v="11540"/>
    <n v="0"/>
    <n v="0"/>
    <n v="102"/>
    <s v="_x0000_US"/>
  </r>
  <r>
    <x v="1"/>
    <n v="13.6907"/>
    <n v="-89.196399999999997"/>
    <n v="11540"/>
    <n v="0"/>
    <n v="0"/>
    <n v="102"/>
    <s v="_x0000_US"/>
  </r>
  <r>
    <x v="1"/>
    <n v="13.6907"/>
    <n v="-89.196299999999994"/>
    <n v="11540"/>
    <n v="0"/>
    <n v="0"/>
    <n v="102"/>
    <s v="_x0000_US"/>
  </r>
  <r>
    <x v="1"/>
    <n v="13.690899999999999"/>
    <n v="-89.196600000000004"/>
    <n v="11540"/>
    <n v="0"/>
    <n v="0"/>
    <n v="102"/>
    <s v="_x0000_US"/>
  </r>
  <r>
    <x v="1"/>
    <n v="13.690899999999999"/>
    <n v="-89.196600000000004"/>
    <n v="11540"/>
    <n v="0"/>
    <n v="0"/>
    <n v="102"/>
    <s v="_x0000_US"/>
  </r>
  <r>
    <x v="1"/>
    <n v="13.690899999999999"/>
    <n v="-89.1965"/>
    <n v="11540"/>
    <n v="0"/>
    <n v="0"/>
    <n v="102"/>
    <s v="_x0000_US"/>
  </r>
  <r>
    <x v="1"/>
    <n v="13.690899999999999"/>
    <n v="-89.196399999999997"/>
    <n v="11540"/>
    <n v="0"/>
    <n v="0"/>
    <n v="102"/>
    <s v="_x0000_US"/>
  </r>
  <r>
    <x v="1"/>
    <n v="13.690899999999999"/>
    <n v="-89.196299999999994"/>
    <n v="11540"/>
    <n v="0"/>
    <n v="0"/>
    <n v="102"/>
    <s v="_x0000_US"/>
  </r>
  <r>
    <x v="1"/>
    <n v="13.6905"/>
    <n v="-89.197000000000003"/>
    <n v="11540"/>
    <n v="0"/>
    <n v="0"/>
    <n v="102"/>
    <s v="_x0000_US"/>
  </r>
  <r>
    <x v="1"/>
    <n v="13.6906"/>
    <n v="-89.196799999999996"/>
    <n v="11540"/>
    <n v="0"/>
    <n v="0"/>
    <n v="102"/>
    <s v="_x0000_US"/>
  </r>
  <r>
    <x v="1"/>
    <n v="13.6905"/>
    <n v="-89.196700000000007"/>
    <n v="11540"/>
    <n v="0"/>
    <n v="0"/>
    <n v="102"/>
    <s v="_x0000_US"/>
  </r>
  <r>
    <x v="1"/>
    <n v="13.6905"/>
    <n v="-89.196600000000004"/>
    <n v="11540"/>
    <n v="0"/>
    <n v="0"/>
    <n v="102"/>
    <s v="_x0000_US"/>
  </r>
  <r>
    <x v="1"/>
    <n v="13.6911"/>
    <n v="-89.196200000000005"/>
    <n v="11540"/>
    <n v="0"/>
    <n v="0"/>
    <n v="102"/>
    <s v="_x0000_US"/>
  </r>
  <r>
    <x v="1"/>
    <n v="13.6912"/>
    <n v="-89.197800000000001"/>
    <n v="11540"/>
    <n v="0"/>
    <n v="0"/>
    <n v="102"/>
    <s v="_x0000_US"/>
  </r>
  <r>
    <x v="1"/>
    <n v="13.6913"/>
    <n v="-89.197800000000001"/>
    <n v="11540"/>
    <n v="0"/>
    <n v="0"/>
    <n v="102"/>
    <s v="_x0000_US"/>
  </r>
  <r>
    <x v="1"/>
    <n v="13.6913"/>
    <n v="-89.197599999999994"/>
    <n v="11540"/>
    <n v="0"/>
    <n v="0"/>
    <n v="102"/>
    <s v="_x0000_US"/>
  </r>
  <r>
    <x v="1"/>
    <n v="13.6912"/>
    <n v="-89.197599999999994"/>
    <n v="11540"/>
    <n v="0"/>
    <n v="0"/>
    <n v="102"/>
    <s v="_x0000_US"/>
  </r>
  <r>
    <x v="1"/>
    <n v="13.6912"/>
    <n v="-89.197500000000005"/>
    <n v="11540"/>
    <n v="0"/>
    <n v="0"/>
    <n v="102"/>
    <s v="_x0000_US"/>
  </r>
  <r>
    <x v="1"/>
    <n v="13.6912"/>
    <n v="-89.197299999999998"/>
    <n v="11540"/>
    <n v="0"/>
    <n v="0"/>
    <n v="102"/>
    <s v="_x0000_US"/>
  </r>
  <r>
    <x v="1"/>
    <n v="13.6913"/>
    <n v="-89.197199999999995"/>
    <n v="11540"/>
    <n v="0"/>
    <n v="0"/>
    <n v="102"/>
    <s v="_x0000_US"/>
  </r>
  <r>
    <x v="1"/>
    <n v="13.6912"/>
    <n v="-89.197199999999995"/>
    <n v="11540"/>
    <n v="0"/>
    <n v="0"/>
    <n v="102"/>
    <s v="_x0000_US"/>
  </r>
  <r>
    <x v="1"/>
    <n v="13.6915"/>
    <n v="-89.1982"/>
    <n v="11540"/>
    <n v="0"/>
    <n v="0"/>
    <n v="102"/>
    <s v="_x0000_US"/>
  </r>
  <r>
    <x v="1"/>
    <n v="13.6915"/>
    <n v="-89.1982"/>
    <n v="11540"/>
    <n v="0"/>
    <n v="0"/>
    <n v="102"/>
    <s v="_x0000_US"/>
  </r>
  <r>
    <x v="1"/>
    <n v="13.6915"/>
    <n v="-89.1982"/>
    <n v="11540"/>
    <n v="0"/>
    <n v="0"/>
    <n v="102"/>
    <s v="_x0000_US"/>
  </r>
  <r>
    <x v="1"/>
    <n v="13.6915"/>
    <n v="-89.198300000000003"/>
    <n v="11540"/>
    <n v="0"/>
    <n v="0"/>
    <n v="102"/>
    <s v="_x0000_US"/>
  </r>
  <r>
    <x v="1"/>
    <n v="13.6914"/>
    <n v="-89.198300000000003"/>
    <n v="11540"/>
    <n v="0"/>
    <n v="0"/>
    <n v="102"/>
    <s v="_x0000_US"/>
  </r>
  <r>
    <x v="1"/>
    <n v="13.6914"/>
    <n v="-89.198300000000003"/>
    <n v="11540"/>
    <n v="0"/>
    <n v="0"/>
    <n v="102"/>
    <s v="_x0000_US"/>
  </r>
  <r>
    <x v="1"/>
    <n v="13.6914"/>
    <n v="-89.198300000000003"/>
    <n v="11540"/>
    <n v="0"/>
    <n v="0"/>
    <n v="102"/>
    <s v="_x0000_US"/>
  </r>
  <r>
    <x v="1"/>
    <n v="13.6915"/>
    <n v="-89.198099999999997"/>
    <n v="11540"/>
    <n v="0"/>
    <n v="0"/>
    <n v="102"/>
    <s v="_x0000_US"/>
  </r>
  <r>
    <x v="1"/>
    <n v="13.6913"/>
    <n v="-89.198099999999997"/>
    <n v="11540"/>
    <n v="0"/>
    <n v="0"/>
    <n v="102"/>
    <s v="_x0000_US"/>
  </r>
  <r>
    <x v="1"/>
    <n v="13.6912"/>
    <n v="-89.197900000000004"/>
    <n v="11540"/>
    <n v="0"/>
    <n v="0"/>
    <n v="102"/>
    <s v="_x0000_US"/>
  </r>
  <r>
    <x v="1"/>
    <n v="13.6914"/>
    <n v="-89.197800000000001"/>
    <n v="11540"/>
    <n v="0"/>
    <n v="0"/>
    <n v="102"/>
    <s v="_x0000_US"/>
  </r>
  <r>
    <x v="1"/>
    <n v="13.6913"/>
    <n v="-89.197599999999994"/>
    <n v="11540"/>
    <n v="0"/>
    <n v="0"/>
    <n v="102"/>
    <s v="_x0000_US"/>
  </r>
  <r>
    <x v="1"/>
    <n v="13.6915"/>
    <n v="-89.198300000000003"/>
    <n v="11540"/>
    <n v="0"/>
    <n v="0"/>
    <n v="102"/>
    <s v="_x0000_US"/>
  </r>
  <r>
    <x v="1"/>
    <n v="13.6915"/>
    <n v="-89.198300000000003"/>
    <n v="11540"/>
    <n v="0"/>
    <n v="0"/>
    <n v="102"/>
    <s v="_x0000_US"/>
  </r>
  <r>
    <x v="1"/>
    <n v="13.691599999999999"/>
    <n v="-89.198300000000003"/>
    <n v="11540"/>
    <n v="0"/>
    <n v="0"/>
    <n v="102"/>
    <s v="_x0000_US"/>
  </r>
  <r>
    <x v="1"/>
    <n v="13.691599999999999"/>
    <n v="-89.1982"/>
    <n v="11540"/>
    <n v="0"/>
    <n v="0"/>
    <n v="102"/>
    <s v="_x0000_US"/>
  </r>
  <r>
    <x v="1"/>
    <n v="13.691599999999999"/>
    <n v="-89.198099999999997"/>
    <n v="11540"/>
    <n v="0"/>
    <n v="0"/>
    <n v="102"/>
    <s v="_x0000_US"/>
  </r>
  <r>
    <x v="1"/>
    <n v="13.6912"/>
    <n v="-89.197000000000003"/>
    <n v="11540"/>
    <n v="0"/>
    <n v="0"/>
    <n v="102"/>
    <s v="_x0000_US"/>
  </r>
  <r>
    <x v="1"/>
    <n v="13.6913"/>
    <n v="-89.197000000000003"/>
    <n v="11540"/>
    <n v="0"/>
    <n v="0"/>
    <n v="102"/>
    <s v="_x0000_US"/>
  </r>
  <r>
    <x v="1"/>
    <n v="13.6913"/>
    <n v="-89.197299999999998"/>
    <n v="11540"/>
    <n v="0"/>
    <n v="0"/>
    <n v="102"/>
    <s v="_x0000_US"/>
  </r>
  <r>
    <x v="1"/>
    <n v="13.6913"/>
    <n v="-89.197500000000005"/>
    <n v="11540"/>
    <n v="0"/>
    <n v="0"/>
    <n v="102"/>
    <s v="_x0000_US"/>
  </r>
  <r>
    <x v="1"/>
    <n v="13.6913"/>
    <n v="-89.197400000000002"/>
    <n v="11540"/>
    <n v="0"/>
    <n v="0"/>
    <n v="102"/>
    <s v="_x0000_US"/>
  </r>
  <r>
    <x v="1"/>
    <n v="13.691000000000001"/>
    <n v="-89.197199999999995"/>
    <n v="11540"/>
    <n v="0"/>
    <n v="0"/>
    <n v="102"/>
    <s v="_x0000_US"/>
  </r>
  <r>
    <x v="1"/>
    <n v="13.691000000000001"/>
    <n v="-89.197000000000003"/>
    <n v="11540"/>
    <n v="0"/>
    <n v="0"/>
    <n v="102"/>
    <s v="_x0000_US"/>
  </r>
  <r>
    <x v="1"/>
    <n v="13.690099999999999"/>
    <n v="-89.195800000000006"/>
    <n v="11540"/>
    <n v="0"/>
    <n v="0"/>
    <n v="102"/>
    <s v="_x0000_US"/>
  </r>
  <r>
    <x v="1"/>
    <n v="13.69"/>
    <n v="-89.195800000000006"/>
    <n v="11540"/>
    <n v="0"/>
    <n v="0"/>
    <n v="102"/>
    <s v="_x0000_US"/>
  </r>
  <r>
    <x v="1"/>
    <n v="13.69"/>
    <n v="-89.195800000000006"/>
    <n v="11540"/>
    <n v="0"/>
    <n v="0"/>
    <n v="102"/>
    <s v="_x0000_US"/>
  </r>
  <r>
    <x v="1"/>
    <n v="13.69"/>
    <n v="-89.195800000000006"/>
    <n v="11540"/>
    <n v="0"/>
    <n v="0"/>
    <n v="102"/>
    <s v="_x0000_US"/>
  </r>
  <r>
    <x v="1"/>
    <n v="13.69"/>
    <n v="-89.195800000000006"/>
    <n v="11540"/>
    <n v="0"/>
    <n v="0"/>
    <n v="102"/>
    <s v="_x0000_US"/>
  </r>
  <r>
    <x v="1"/>
    <n v="13.690099999999999"/>
    <n v="-89.195800000000006"/>
    <n v="11540"/>
    <n v="0"/>
    <n v="0"/>
    <n v="102"/>
    <s v="_x0000_US"/>
  </r>
  <r>
    <x v="1"/>
    <n v="13.6937"/>
    <n v="-89.189899999999994"/>
    <n v="10760"/>
    <n v="0"/>
    <n v="0"/>
    <n v="102"/>
    <s v="_x0000_US"/>
  </r>
  <r>
    <x v="1"/>
    <n v="13.6937"/>
    <n v="-89.189899999999994"/>
    <n v="10760"/>
    <n v="0"/>
    <n v="0"/>
    <n v="102"/>
    <s v="_x0000_US"/>
  </r>
  <r>
    <x v="1"/>
    <n v="13.6937"/>
    <n v="-89.189899999999994"/>
    <n v="10760"/>
    <n v="0"/>
    <n v="0"/>
    <n v="102"/>
    <s v="_x0000_US"/>
  </r>
  <r>
    <x v="1"/>
    <n v="13.6937"/>
    <n v="-89.189899999999994"/>
    <n v="10760"/>
    <n v="0"/>
    <n v="0"/>
    <n v="102"/>
    <s v="_x0000_US"/>
  </r>
  <r>
    <x v="1"/>
    <n v="13.6937"/>
    <n v="-89.189899999999994"/>
    <n v="10760"/>
    <n v="0"/>
    <n v="0"/>
    <n v="102"/>
    <s v="_x0000_US"/>
  </r>
  <r>
    <x v="1"/>
    <n v="13.6937"/>
    <n v="-89.189899999999994"/>
    <n v="10760"/>
    <n v="0"/>
    <n v="0"/>
    <n v="102"/>
    <s v="_x0000_US"/>
  </r>
  <r>
    <x v="1"/>
    <n v="13.6937"/>
    <n v="-89.19"/>
    <n v="10760"/>
    <n v="0"/>
    <n v="0"/>
    <n v="102"/>
    <s v="_x0000_US"/>
  </r>
  <r>
    <x v="1"/>
    <n v="13.6937"/>
    <n v="-89.19"/>
    <n v="10760"/>
    <n v="0"/>
    <n v="0"/>
    <n v="102"/>
    <s v="_x0000_US"/>
  </r>
  <r>
    <x v="1"/>
    <n v="13.6937"/>
    <n v="-89.19"/>
    <n v="10760"/>
    <n v="0"/>
    <n v="0"/>
    <n v="102"/>
    <s v="_x0000_US"/>
  </r>
  <r>
    <x v="1"/>
    <n v="13.6937"/>
    <n v="-89.19"/>
    <n v="10760"/>
    <n v="0"/>
    <n v="0"/>
    <n v="102"/>
    <s v="_x0000_US"/>
  </r>
  <r>
    <x v="1"/>
    <n v="13.6937"/>
    <n v="-89.19"/>
    <n v="10760"/>
    <n v="0"/>
    <n v="0"/>
    <n v="102"/>
    <s v="_x0000_US"/>
  </r>
  <r>
    <x v="1"/>
    <n v="13.6937"/>
    <n v="-89.19"/>
    <n v="10760"/>
    <n v="0"/>
    <n v="0"/>
    <n v="102"/>
    <s v="_x0000_US"/>
  </r>
  <r>
    <x v="1"/>
    <n v="13.6937"/>
    <n v="-89.189800000000005"/>
    <n v="10760"/>
    <n v="0"/>
    <n v="0"/>
    <n v="102"/>
    <s v="_x0000_US"/>
  </r>
  <r>
    <x v="1"/>
    <n v="13.6937"/>
    <n v="-89.189800000000005"/>
    <n v="10760"/>
    <n v="0"/>
    <n v="0"/>
    <n v="102"/>
    <s v="_x0000_US"/>
  </r>
  <r>
    <x v="1"/>
    <n v="13.6937"/>
    <n v="-89.189800000000005"/>
    <n v="10760"/>
    <n v="0"/>
    <n v="0"/>
    <n v="102"/>
    <s v="_x0000_US"/>
  </r>
  <r>
    <x v="1"/>
    <n v="13.6937"/>
    <n v="-89.189800000000005"/>
    <n v="10760"/>
    <n v="0"/>
    <n v="0"/>
    <n v="102"/>
    <s v="_x0000_US"/>
  </r>
  <r>
    <x v="1"/>
    <n v="13.6937"/>
    <n v="-89.189800000000005"/>
    <n v="10760"/>
    <n v="0"/>
    <n v="0"/>
    <n v="102"/>
    <s v="_x0000_US"/>
  </r>
  <r>
    <x v="1"/>
    <n v="13.6937"/>
    <n v="-89.189800000000005"/>
    <n v="10760"/>
    <n v="0"/>
    <n v="0"/>
    <n v="102"/>
    <s v="_x0000_US"/>
  </r>
  <r>
    <x v="1"/>
    <n v="13.6937"/>
    <n v="-89.189800000000005"/>
    <n v="10760"/>
    <n v="0"/>
    <n v="0"/>
    <n v="102"/>
    <s v="_x0000_US"/>
  </r>
  <r>
    <x v="1"/>
    <n v="13.6937"/>
    <n v="-89.189800000000005"/>
    <n v="10760"/>
    <n v="0"/>
    <n v="0"/>
    <n v="102"/>
    <s v="_x0000_US"/>
  </r>
  <r>
    <x v="1"/>
    <n v="13.6937"/>
    <n v="-89.189800000000005"/>
    <n v="10760"/>
    <n v="0"/>
    <n v="0"/>
    <n v="102"/>
    <s v="_x0000_US"/>
  </r>
  <r>
    <x v="1"/>
    <n v="13.6936"/>
    <n v="-89.189899999999994"/>
    <n v="10760"/>
    <n v="0"/>
    <n v="0"/>
    <n v="102"/>
    <s v="_x0000_US"/>
  </r>
  <r>
    <x v="1"/>
    <n v="13.6936"/>
    <n v="-89.189899999999994"/>
    <n v="10760"/>
    <n v="0"/>
    <n v="0"/>
    <n v="102"/>
    <s v="_x0000_US"/>
  </r>
  <r>
    <x v="1"/>
    <n v="13.6936"/>
    <n v="-89.189899999999994"/>
    <n v="10760"/>
    <n v="0"/>
    <n v="0"/>
    <n v="102"/>
    <s v="_x0000_US"/>
  </r>
  <r>
    <x v="1"/>
    <n v="13.6936"/>
    <n v="-89.189800000000005"/>
    <n v="10760"/>
    <n v="0"/>
    <n v="0"/>
    <n v="102"/>
    <s v="_x0000_US"/>
  </r>
  <r>
    <x v="1"/>
    <n v="13.6936"/>
    <n v="-89.189800000000005"/>
    <n v="10760"/>
    <n v="0"/>
    <n v="0"/>
    <n v="102"/>
    <s v="_x0000_US"/>
  </r>
  <r>
    <x v="1"/>
    <n v="13.6936"/>
    <n v="-89.189800000000005"/>
    <n v="10760"/>
    <n v="0"/>
    <n v="0"/>
    <n v="102"/>
    <s v="_x0000_US"/>
  </r>
  <r>
    <x v="1"/>
    <n v="13.6936"/>
    <n v="-89.189800000000005"/>
    <n v="10760"/>
    <n v="0"/>
    <n v="0"/>
    <n v="102"/>
    <s v="_x0000_US"/>
  </r>
  <r>
    <x v="1"/>
    <n v="13.6936"/>
    <n v="-89.189800000000005"/>
    <n v="10760"/>
    <n v="0"/>
    <n v="0"/>
    <n v="102"/>
    <s v="_x0000_US"/>
  </r>
  <r>
    <x v="1"/>
    <n v="13.6935"/>
    <n v="-89.189899999999994"/>
    <n v="10760"/>
    <n v="0"/>
    <n v="0"/>
    <n v="102"/>
    <s v="_x0000_US"/>
  </r>
  <r>
    <x v="1"/>
    <n v="13.6936"/>
    <n v="-89.189899999999994"/>
    <n v="10760"/>
    <n v="0"/>
    <n v="0"/>
    <n v="102"/>
    <s v="_x0000_US"/>
  </r>
  <r>
    <x v="1"/>
    <n v="13.6936"/>
    <n v="-89.189899999999994"/>
    <n v="10760"/>
    <n v="0"/>
    <n v="0"/>
    <n v="102"/>
    <s v="_x0000_US"/>
  </r>
  <r>
    <x v="1"/>
    <n v="13.6936"/>
    <n v="-89.189899999999994"/>
    <n v="10760"/>
    <n v="0"/>
    <n v="0"/>
    <n v="102"/>
    <s v="_x0000_US"/>
  </r>
  <r>
    <x v="1"/>
    <n v="13.6936"/>
    <n v="-89.19"/>
    <n v="10760"/>
    <n v="0"/>
    <n v="0"/>
    <n v="102"/>
    <s v="_x0000_US"/>
  </r>
  <r>
    <x v="1"/>
    <n v="13.6936"/>
    <n v="-89.19"/>
    <n v="10760"/>
    <n v="0"/>
    <n v="0"/>
    <n v="102"/>
    <s v="_x0000_US"/>
  </r>
  <r>
    <x v="1"/>
    <n v="13.6936"/>
    <n v="-89.19"/>
    <n v="10760"/>
    <n v="0"/>
    <n v="0"/>
    <n v="102"/>
    <s v="_x0000_US"/>
  </r>
  <r>
    <x v="1"/>
    <n v="13.6936"/>
    <n v="-89.19"/>
    <n v="10760"/>
    <n v="0"/>
    <n v="0"/>
    <n v="102"/>
    <s v="_x0000_US"/>
  </r>
  <r>
    <x v="1"/>
    <n v="13.6936"/>
    <n v="-89.190100000000001"/>
    <n v="10760"/>
    <n v="0"/>
    <n v="0"/>
    <n v="102"/>
    <s v="_x0000_US"/>
  </r>
  <r>
    <x v="1"/>
    <n v="13.6936"/>
    <n v="-89.190100000000001"/>
    <n v="10760"/>
    <n v="0"/>
    <n v="0"/>
    <n v="102"/>
    <s v="_x0000_US"/>
  </r>
  <r>
    <x v="1"/>
    <n v="13.6936"/>
    <n v="-89.19"/>
    <n v="10760"/>
    <n v="0"/>
    <n v="0"/>
    <n v="102"/>
    <s v="_x0000_US"/>
  </r>
  <r>
    <x v="1"/>
    <n v="13.6936"/>
    <n v="-89.19"/>
    <n v="10760"/>
    <n v="0"/>
    <n v="0"/>
    <n v="102"/>
    <s v="_x0000_US"/>
  </r>
  <r>
    <x v="1"/>
    <n v="13.6936"/>
    <n v="-89.190100000000001"/>
    <n v="10760"/>
    <n v="0"/>
    <n v="0"/>
    <n v="102"/>
    <s v="_x0000_US"/>
  </r>
  <r>
    <x v="1"/>
    <n v="13.6936"/>
    <n v="-89.190100000000001"/>
    <n v="10760"/>
    <n v="0"/>
    <n v="0"/>
    <n v="102"/>
    <s v="_x0000_US"/>
  </r>
  <r>
    <x v="1"/>
    <n v="13.6936"/>
    <n v="-89.190100000000001"/>
    <n v="10760"/>
    <n v="0"/>
    <n v="0"/>
    <n v="102"/>
    <s v="_x0000_US"/>
  </r>
  <r>
    <x v="1"/>
    <n v="13.6936"/>
    <n v="-89.190100000000001"/>
    <n v="10760"/>
    <n v="0"/>
    <n v="0"/>
    <n v="102"/>
    <s v="_x0000_US"/>
  </r>
  <r>
    <x v="1"/>
    <n v="13.6936"/>
    <n v="-89.190100000000001"/>
    <n v="10760"/>
    <n v="0"/>
    <n v="0"/>
    <n v="102"/>
    <s v="_x0000_US"/>
  </r>
  <r>
    <x v="1"/>
    <n v="13.6936"/>
    <n v="-89.190100000000001"/>
    <n v="10760"/>
    <n v="0"/>
    <n v="0"/>
    <n v="102"/>
    <s v="_x0000_US"/>
  </r>
  <r>
    <x v="1"/>
    <n v="13.6935"/>
    <n v="-89.189800000000005"/>
    <n v="16500"/>
    <n v="0"/>
    <n v="0"/>
    <n v="102"/>
    <s v="_x0000_US"/>
  </r>
  <r>
    <x v="1"/>
    <n v="13.6935"/>
    <n v="-89.189800000000005"/>
    <n v="16500"/>
    <n v="0"/>
    <n v="0"/>
    <n v="102"/>
    <s v="_x0000_US"/>
  </r>
  <r>
    <x v="1"/>
    <n v="13.6935"/>
    <n v="-89.189800000000005"/>
    <n v="16500"/>
    <n v="0"/>
    <n v="0"/>
    <n v="102"/>
    <s v="_x0000_US"/>
  </r>
  <r>
    <x v="1"/>
    <n v="13.6935"/>
    <n v="-89.189700000000002"/>
    <n v="16500"/>
    <n v="0"/>
    <n v="0"/>
    <n v="102"/>
    <s v="_x0000_US"/>
  </r>
  <r>
    <x v="1"/>
    <n v="13.6935"/>
    <n v="-89.189700000000002"/>
    <n v="16500"/>
    <n v="0"/>
    <n v="0"/>
    <n v="102"/>
    <s v="_x0000_US"/>
  </r>
  <r>
    <x v="1"/>
    <n v="13.6935"/>
    <n v="-89.189700000000002"/>
    <n v="16500"/>
    <n v="0"/>
    <n v="0"/>
    <n v="102"/>
    <s v="_x0000_US"/>
  </r>
  <r>
    <x v="1"/>
    <n v="13.6935"/>
    <n v="-89.189899999999994"/>
    <n v="9200"/>
    <n v="0"/>
    <n v="0"/>
    <n v="102"/>
    <s v="_x0000_US"/>
  </r>
  <r>
    <x v="1"/>
    <n v="13.6935"/>
    <n v="-89.189899999999994"/>
    <n v="9200"/>
    <n v="0"/>
    <n v="0"/>
    <n v="102"/>
    <s v="_x0000_US"/>
  </r>
  <r>
    <x v="1"/>
    <n v="13.6935"/>
    <n v="-89.189899999999994"/>
    <n v="9200"/>
    <n v="0"/>
    <n v="0"/>
    <n v="102"/>
    <s v="_x0000_US"/>
  </r>
  <r>
    <x v="1"/>
    <n v="13.6935"/>
    <n v="-89.189899999999994"/>
    <n v="9200"/>
    <n v="0"/>
    <n v="0"/>
    <n v="102"/>
    <s v="_x0000_US"/>
  </r>
  <r>
    <x v="1"/>
    <n v="13.6935"/>
    <n v="-89.189899999999994"/>
    <n v="9200"/>
    <n v="0"/>
    <n v="0"/>
    <n v="102"/>
    <s v="_x0000_US"/>
  </r>
  <r>
    <x v="1"/>
    <n v="13.6935"/>
    <n v="-89.189899999999994"/>
    <n v="9200"/>
    <n v="0"/>
    <n v="0"/>
    <n v="102"/>
    <s v="_x0000_US"/>
  </r>
  <r>
    <x v="1"/>
    <n v="13.6935"/>
    <n v="-89.189800000000005"/>
    <n v="9200"/>
    <n v="0"/>
    <n v="0"/>
    <n v="102"/>
    <s v="_x0000_US"/>
  </r>
  <r>
    <x v="1"/>
    <n v="13.6935"/>
    <n v="-89.189800000000005"/>
    <n v="9200"/>
    <n v="0"/>
    <n v="0"/>
    <n v="102"/>
    <s v="_x0000_US"/>
  </r>
  <r>
    <x v="1"/>
    <n v="13.6935"/>
    <n v="-89.189800000000005"/>
    <n v="9200"/>
    <n v="0"/>
    <n v="0"/>
    <n v="102"/>
    <s v="_x0000_US"/>
  </r>
  <r>
    <x v="1"/>
    <n v="13.6935"/>
    <n v="-89.189800000000005"/>
    <n v="9200"/>
    <n v="0"/>
    <n v="0"/>
    <n v="102"/>
    <s v="_x0000_US"/>
  </r>
  <r>
    <x v="1"/>
    <n v="13.6935"/>
    <n v="-89.189800000000005"/>
    <n v="9200"/>
    <n v="0"/>
    <n v="0"/>
    <n v="102"/>
    <s v="_x0000_US"/>
  </r>
  <r>
    <x v="1"/>
    <n v="13.6935"/>
    <n v="-89.189800000000005"/>
    <n v="9200"/>
    <n v="0"/>
    <n v="0"/>
    <n v="102"/>
    <s v="_x0000_US"/>
  </r>
  <r>
    <x v="1"/>
    <n v="13.6934"/>
    <n v="-89.189899999999994"/>
    <n v="9200"/>
    <n v="0"/>
    <n v="0"/>
    <n v="102"/>
    <s v="_x0000_US"/>
  </r>
  <r>
    <x v="1"/>
    <n v="13.693099999999999"/>
    <n v="-89.188800000000001"/>
    <n v="9980"/>
    <n v="0"/>
    <n v="0"/>
    <n v="102"/>
    <s v="_x0000_US"/>
  </r>
  <r>
    <x v="1"/>
    <n v="13.693099999999999"/>
    <n v="-89.1892"/>
    <n v="9980"/>
    <n v="0"/>
    <n v="0"/>
    <n v="102"/>
    <s v="_x0000_US"/>
  </r>
  <r>
    <x v="1"/>
    <n v="13.693099999999999"/>
    <n v="-89.188999999999993"/>
    <n v="9980"/>
    <n v="0"/>
    <n v="0"/>
    <n v="102"/>
    <s v="_x0000_US"/>
  </r>
  <r>
    <x v="1"/>
    <n v="13.693099999999999"/>
    <n v="-89.188900000000004"/>
    <n v="9980"/>
    <n v="0"/>
    <n v="0"/>
    <n v="102"/>
    <s v="_x0000_US"/>
  </r>
  <r>
    <x v="1"/>
    <n v="13.6889"/>
    <n v="-89.195899999999995"/>
    <n v="9980"/>
    <n v="0"/>
    <n v="0"/>
    <n v="102"/>
    <s v="_x0000_US"/>
  </r>
  <r>
    <x v="1"/>
    <n v="13.6889"/>
    <n v="-89.196100000000001"/>
    <n v="9980"/>
    <n v="0"/>
    <n v="0"/>
    <n v="102"/>
    <s v="_x0000_US"/>
  </r>
  <r>
    <x v="1"/>
    <n v="13.6889"/>
    <n v="-89.196100000000001"/>
    <n v="9980"/>
    <n v="0"/>
    <n v="0"/>
    <n v="102"/>
    <s v="_x0000_US"/>
  </r>
  <r>
    <x v="1"/>
    <n v="13.6889"/>
    <n v="-89.196200000000005"/>
    <n v="9980"/>
    <n v="0"/>
    <n v="0"/>
    <n v="102"/>
    <s v="_x0000_US"/>
  </r>
  <r>
    <x v="1"/>
    <n v="13.6889"/>
    <n v="-89.196200000000005"/>
    <n v="9980"/>
    <n v="0"/>
    <n v="0"/>
    <n v="102"/>
    <s v="_x0000_US"/>
  </r>
  <r>
    <x v="1"/>
    <n v="13.6889"/>
    <n v="-89.196200000000005"/>
    <n v="9980"/>
    <n v="0"/>
    <n v="0"/>
    <n v="102"/>
    <s v="_x0000_US"/>
  </r>
  <r>
    <x v="1"/>
    <n v="13.6889"/>
    <n v="-89.196200000000005"/>
    <n v="9980"/>
    <n v="0"/>
    <n v="0"/>
    <n v="102"/>
    <s v="_x0000_US"/>
  </r>
  <r>
    <x v="1"/>
    <n v="13.6889"/>
    <n v="-89.196299999999994"/>
    <n v="9980"/>
    <n v="0"/>
    <n v="0"/>
    <n v="102"/>
    <s v="_x0000_US"/>
  </r>
  <r>
    <x v="1"/>
    <n v="13.6889"/>
    <n v="-89.196399999999997"/>
    <n v="9980"/>
    <n v="0"/>
    <n v="0"/>
    <n v="102"/>
    <s v="_x0000_US"/>
  </r>
  <r>
    <x v="1"/>
    <n v="13.6889"/>
    <n v="-89.196299999999994"/>
    <n v="9980"/>
    <n v="0"/>
    <n v="0"/>
    <n v="102"/>
    <s v="_x0000_US"/>
  </r>
  <r>
    <x v="1"/>
    <n v="13.6889"/>
    <n v="-89.196299999999994"/>
    <n v="9980"/>
    <n v="0"/>
    <n v="0"/>
    <n v="102"/>
    <s v="_x0000_US"/>
  </r>
  <r>
    <x v="1"/>
    <n v="13.688700000000001"/>
    <n v="-89.196100000000001"/>
    <n v="9980"/>
    <n v="0"/>
    <n v="0"/>
    <n v="102"/>
    <s v="_x0000_US"/>
  </r>
  <r>
    <x v="1"/>
    <n v="13.688700000000001"/>
    <n v="-89.196100000000001"/>
    <n v="9980"/>
    <n v="0"/>
    <n v="0"/>
    <n v="102"/>
    <s v="_x0000_US"/>
  </r>
  <r>
    <x v="1"/>
    <n v="13.688700000000001"/>
    <n v="-89.195999999999998"/>
    <n v="9980"/>
    <n v="0"/>
    <n v="0"/>
    <n v="102"/>
    <s v="_x0000_US"/>
  </r>
  <r>
    <x v="1"/>
    <n v="13.688700000000001"/>
    <n v="-89.195899999999995"/>
    <n v="9980"/>
    <n v="0"/>
    <n v="0"/>
    <n v="102"/>
    <s v="_x0000_US"/>
  </r>
  <r>
    <x v="1"/>
    <n v="13.688700000000001"/>
    <n v="-89.195800000000006"/>
    <n v="9980"/>
    <n v="0"/>
    <n v="0"/>
    <n v="102"/>
    <s v="_x0000_US"/>
  </r>
  <r>
    <x v="1"/>
    <n v="13.688700000000001"/>
    <n v="-89.195800000000006"/>
    <n v="9980"/>
    <n v="0"/>
    <n v="0"/>
    <n v="102"/>
    <s v="_x0000_US"/>
  </r>
  <r>
    <x v="1"/>
    <n v="13.688700000000001"/>
    <n v="-89.195700000000002"/>
    <n v="9980"/>
    <n v="0"/>
    <n v="0"/>
    <n v="102"/>
    <s v="_x0000_US"/>
  </r>
  <r>
    <x v="1"/>
    <n v="13.688700000000001"/>
    <n v="-89.195599999999999"/>
    <n v="9980"/>
    <n v="0"/>
    <n v="0"/>
    <n v="102"/>
    <s v="_x0000_US"/>
  </r>
  <r>
    <x v="1"/>
    <n v="13.688700000000001"/>
    <n v="-89.195999999999998"/>
    <n v="9980"/>
    <n v="0"/>
    <n v="0"/>
    <n v="102"/>
    <s v="_x0000_US"/>
  </r>
  <r>
    <x v="1"/>
    <n v="13.688700000000001"/>
    <n v="-89.195899999999995"/>
    <n v="9980"/>
    <n v="0"/>
    <n v="0"/>
    <n v="102"/>
    <s v="_x0000_US"/>
  </r>
  <r>
    <x v="1"/>
    <n v="13.688599999999999"/>
    <n v="-89.195800000000006"/>
    <n v="9980"/>
    <n v="0"/>
    <n v="0"/>
    <n v="102"/>
    <s v="_x0000_US"/>
  </r>
  <r>
    <x v="1"/>
    <n v="13.688599999999999"/>
    <n v="-89.195800000000006"/>
    <n v="9980"/>
    <n v="0"/>
    <n v="0"/>
    <n v="102"/>
    <s v="_x0000_US"/>
  </r>
  <r>
    <x v="1"/>
    <n v="13.688599999999999"/>
    <n v="-89.195700000000002"/>
    <n v="9980"/>
    <n v="0"/>
    <n v="0"/>
    <n v="102"/>
    <s v="_x0000_US"/>
  </r>
  <r>
    <x v="1"/>
    <n v="13.688599999999999"/>
    <n v="-89.195599999999999"/>
    <n v="9980"/>
    <n v="0"/>
    <n v="0"/>
    <n v="102"/>
    <s v="_x0000_US"/>
  </r>
  <r>
    <x v="1"/>
    <n v="13.688599999999999"/>
    <n v="-89.195700000000002"/>
    <n v="9980"/>
    <n v="0"/>
    <n v="0"/>
    <n v="102"/>
    <s v="_x0000_US"/>
  </r>
  <r>
    <x v="1"/>
    <n v="13.688599999999999"/>
    <n v="-89.195599999999999"/>
    <n v="9980"/>
    <n v="0"/>
    <n v="0"/>
    <n v="102"/>
    <s v="_x0000_US"/>
  </r>
  <r>
    <x v="1"/>
    <n v="13.688499999999999"/>
    <n v="-89.195599999999999"/>
    <n v="9980"/>
    <n v="0"/>
    <n v="0"/>
    <n v="102"/>
    <s v="_x0000_US"/>
  </r>
  <r>
    <x v="1"/>
    <n v="13.688499999999999"/>
    <n v="-89.195599999999999"/>
    <n v="9980"/>
    <n v="0"/>
    <n v="0"/>
    <n v="102"/>
    <s v="_x0000_US"/>
  </r>
  <r>
    <x v="1"/>
    <n v="13.688499999999999"/>
    <n v="-89.195700000000002"/>
    <n v="9980"/>
    <n v="0"/>
    <n v="0"/>
    <n v="102"/>
    <s v="_x0000_US"/>
  </r>
  <r>
    <x v="1"/>
    <n v="13.688499999999999"/>
    <n v="-89.195400000000006"/>
    <n v="9980"/>
    <n v="0"/>
    <n v="0"/>
    <n v="102"/>
    <s v="_x0000_US"/>
  </r>
  <r>
    <x v="1"/>
    <n v="13.688599999999999"/>
    <n v="-89.195400000000006"/>
    <n v="9980"/>
    <n v="0"/>
    <n v="0"/>
    <n v="102"/>
    <s v="_x0000_US"/>
  </r>
  <r>
    <x v="1"/>
    <n v="13.6883"/>
    <n v="-89.195800000000006"/>
    <n v="9980"/>
    <n v="0"/>
    <n v="0"/>
    <n v="102"/>
    <s v="_x0000_US"/>
  </r>
  <r>
    <x v="1"/>
    <n v="13.6883"/>
    <n v="-89.195800000000006"/>
    <n v="9980"/>
    <n v="0"/>
    <n v="0"/>
    <n v="102"/>
    <s v="_x0000_US"/>
  </r>
  <r>
    <x v="1"/>
    <n v="13.6883"/>
    <n v="-89.195899999999995"/>
    <n v="9980"/>
    <n v="0"/>
    <n v="0"/>
    <n v="102"/>
    <s v="_x0000_US"/>
  </r>
  <r>
    <x v="1"/>
    <n v="13.6883"/>
    <n v="-89.195899999999995"/>
    <n v="9980"/>
    <n v="0"/>
    <n v="0"/>
    <n v="102"/>
    <s v="_x0000_US"/>
  </r>
  <r>
    <x v="1"/>
    <n v="13.6883"/>
    <n v="-89.195999999999998"/>
    <n v="9980"/>
    <n v="0"/>
    <n v="0"/>
    <n v="102"/>
    <s v="_x0000_US"/>
  </r>
  <r>
    <x v="1"/>
    <n v="13.6883"/>
    <n v="-89.195999999999998"/>
    <n v="9980"/>
    <n v="0"/>
    <n v="0"/>
    <n v="102"/>
    <s v="_x0000_US"/>
  </r>
  <r>
    <x v="1"/>
    <n v="13.6883"/>
    <n v="-89.195999999999998"/>
    <n v="9980"/>
    <n v="0"/>
    <n v="0"/>
    <n v="102"/>
    <s v="_x0000_US"/>
  </r>
  <r>
    <x v="1"/>
    <n v="13.6884"/>
    <n v="-89.195999999999998"/>
    <n v="9980"/>
    <n v="0"/>
    <n v="0"/>
    <n v="102"/>
    <s v="_x0000_US"/>
  </r>
  <r>
    <x v="1"/>
    <n v="13.688499999999999"/>
    <n v="-89.195999999999998"/>
    <n v="9980"/>
    <n v="0"/>
    <n v="0"/>
    <n v="102"/>
    <s v="_x0000_US"/>
  </r>
  <r>
    <x v="1"/>
    <n v="13.688499999999999"/>
    <n v="-89.195999999999998"/>
    <n v="9980"/>
    <n v="0"/>
    <n v="0"/>
    <n v="102"/>
    <s v="_x0000_US"/>
  </r>
  <r>
    <x v="1"/>
    <n v="13.6884"/>
    <n v="-89.195999999999998"/>
    <n v="9980"/>
    <n v="0"/>
    <n v="0"/>
    <n v="102"/>
    <s v="_x0000_US"/>
  </r>
  <r>
    <x v="1"/>
    <n v="13.688499999999999"/>
    <n v="-89.195800000000006"/>
    <n v="9980"/>
    <n v="0"/>
    <n v="0"/>
    <n v="102"/>
    <s v="_x0000_US"/>
  </r>
  <r>
    <x v="1"/>
    <n v="13.6884"/>
    <n v="-89.195800000000006"/>
    <n v="9980"/>
    <n v="0"/>
    <n v="0"/>
    <n v="102"/>
    <s v="_x0000_US"/>
  </r>
  <r>
    <x v="1"/>
    <n v="13.6884"/>
    <n v="-89.195700000000002"/>
    <n v="9980"/>
    <n v="0"/>
    <n v="0"/>
    <n v="102"/>
    <s v="_x0000_US"/>
  </r>
  <r>
    <x v="1"/>
    <n v="13.6884"/>
    <n v="-89.195700000000002"/>
    <n v="9980"/>
    <n v="0"/>
    <n v="0"/>
    <n v="102"/>
    <s v="_x0000_US"/>
  </r>
  <r>
    <x v="1"/>
    <n v="13.6884"/>
    <n v="-89.195700000000002"/>
    <n v="9980"/>
    <n v="0"/>
    <n v="0"/>
    <n v="102"/>
    <s v="_x0000_US"/>
  </r>
  <r>
    <x v="1"/>
    <n v="13.6884"/>
    <n v="-89.195700000000002"/>
    <n v="9980"/>
    <n v="0"/>
    <n v="0"/>
    <n v="102"/>
    <s v="_x0000_US"/>
  </r>
  <r>
    <x v="1"/>
    <n v="13.6882"/>
    <n v="-89.195599999999999"/>
    <n v="9980"/>
    <n v="0"/>
    <n v="0"/>
    <n v="102"/>
    <s v="_x0000_US"/>
  </r>
  <r>
    <x v="1"/>
    <n v="13.688599999999999"/>
    <n v="-89.196100000000001"/>
    <n v="9980"/>
    <n v="0"/>
    <n v="0"/>
    <n v="102"/>
    <s v="_x0000_US"/>
  </r>
  <r>
    <x v="1"/>
    <n v="13.688499999999999"/>
    <n v="-89.196100000000001"/>
    <n v="9980"/>
    <n v="0"/>
    <n v="0"/>
    <n v="102"/>
    <s v="_x0000_US"/>
  </r>
  <r>
    <x v="1"/>
    <n v="13.688499999999999"/>
    <n v="-89.195999999999998"/>
    <n v="9980"/>
    <n v="0"/>
    <n v="0"/>
    <n v="102"/>
    <s v="_x0000_US"/>
  </r>
  <r>
    <x v="1"/>
    <n v="13.688599999999999"/>
    <n v="-89.195999999999998"/>
    <n v="9980"/>
    <n v="0"/>
    <n v="0"/>
    <n v="102"/>
    <s v="_x0000_US"/>
  </r>
  <r>
    <x v="1"/>
    <n v="13.688599999999999"/>
    <n v="-89.195800000000006"/>
    <n v="9980"/>
    <n v="0"/>
    <n v="0"/>
    <n v="102"/>
    <s v="_x0000_US"/>
  </r>
  <r>
    <x v="1"/>
    <n v="13.688499999999999"/>
    <n v="-89.195800000000006"/>
    <n v="9980"/>
    <n v="0"/>
    <n v="0"/>
    <n v="102"/>
    <s v="_x0000_US"/>
  </r>
  <r>
    <x v="1"/>
    <n v="13.6884"/>
    <n v="-89.197900000000004"/>
    <n v="9980"/>
    <n v="0"/>
    <n v="0"/>
    <n v="102"/>
    <s v="_x0000_US"/>
  </r>
  <r>
    <x v="1"/>
    <n v="13.6889"/>
    <n v="-89.195999999999998"/>
    <n v="9850"/>
    <n v="0"/>
    <n v="0"/>
    <n v="102"/>
    <s v="_x0000_US"/>
  </r>
  <r>
    <x v="1"/>
    <n v="13.6892"/>
    <n v="-89.195599999999999"/>
    <n v="9850"/>
    <n v="0"/>
    <n v="0"/>
    <n v="102"/>
    <s v="_x0000_US"/>
  </r>
  <r>
    <x v="1"/>
    <n v="13.6892"/>
    <n v="-89.195499999999996"/>
    <n v="9850"/>
    <n v="0"/>
    <n v="0"/>
    <n v="102"/>
    <s v="_x0000_US"/>
  </r>
  <r>
    <x v="1"/>
    <n v="13.6892"/>
    <n v="-89.195499999999996"/>
    <n v="9850"/>
    <n v="0"/>
    <n v="0"/>
    <n v="102"/>
    <s v="_x0000_US"/>
  </r>
  <r>
    <x v="1"/>
    <n v="13.6892"/>
    <n v="-89.195499999999996"/>
    <n v="9850"/>
    <n v="0"/>
    <n v="0"/>
    <n v="102"/>
    <s v="_x0000_US"/>
  </r>
  <r>
    <x v="1"/>
    <n v="13.6892"/>
    <n v="-89.195400000000006"/>
    <n v="9850"/>
    <n v="0"/>
    <n v="0"/>
    <n v="102"/>
    <s v="_x0000_US"/>
  </r>
  <r>
    <x v="1"/>
    <n v="13.6892"/>
    <n v="-89.195400000000006"/>
    <n v="9850"/>
    <n v="0"/>
    <n v="0"/>
    <n v="102"/>
    <s v="_x0000_US"/>
  </r>
  <r>
    <x v="1"/>
    <n v="13.6892"/>
    <n v="-89.195400000000006"/>
    <n v="9850"/>
    <n v="0"/>
    <n v="0"/>
    <n v="102"/>
    <s v="_x0000_US"/>
  </r>
  <r>
    <x v="1"/>
    <n v="13.6891"/>
    <n v="-89.195300000000003"/>
    <n v="9850"/>
    <n v="0"/>
    <n v="0"/>
    <n v="102"/>
    <s v="_x0000_US"/>
  </r>
  <r>
    <x v="1"/>
    <n v="13.6892"/>
    <n v="-89.1952"/>
    <n v="9850"/>
    <n v="0"/>
    <n v="0"/>
    <n v="102"/>
    <s v="_x0000_US"/>
  </r>
  <r>
    <x v="1"/>
    <n v="13.6892"/>
    <n v="-89.1952"/>
    <n v="9850"/>
    <n v="0"/>
    <n v="0"/>
    <n v="102"/>
    <s v="_x0000_US"/>
  </r>
  <r>
    <x v="1"/>
    <n v="13.6891"/>
    <n v="-89.1952"/>
    <n v="9850"/>
    <n v="0"/>
    <n v="0"/>
    <n v="102"/>
    <s v="_x0000_US"/>
  </r>
  <r>
    <x v="1"/>
    <n v="13.6891"/>
    <n v="-89.1952"/>
    <n v="9850"/>
    <n v="0"/>
    <n v="0"/>
    <n v="102"/>
    <s v="_x0000_US"/>
  </r>
  <r>
    <x v="1"/>
    <n v="13.6891"/>
    <n v="-89.1952"/>
    <n v="9850"/>
    <n v="0"/>
    <n v="0"/>
    <n v="102"/>
    <s v="_x0000_US"/>
  </r>
  <r>
    <x v="1"/>
    <n v="13.6891"/>
    <n v="-89.195300000000003"/>
    <n v="9850"/>
    <n v="0"/>
    <n v="0"/>
    <n v="102"/>
    <s v="_x0000_US"/>
  </r>
  <r>
    <x v="1"/>
    <n v="13.6891"/>
    <n v="-89.195400000000006"/>
    <n v="9850"/>
    <n v="0"/>
    <n v="0"/>
    <n v="102"/>
    <s v="_x0000_US"/>
  </r>
  <r>
    <x v="1"/>
    <n v="13.689"/>
    <n v="-89.195400000000006"/>
    <n v="9850"/>
    <n v="0"/>
    <n v="0"/>
    <n v="102"/>
    <s v="_x0000_US"/>
  </r>
  <r>
    <x v="1"/>
    <n v="13.689"/>
    <n v="-89.195300000000003"/>
    <n v="9850"/>
    <n v="0"/>
    <n v="0"/>
    <n v="102"/>
    <s v="_x0000_US"/>
  </r>
  <r>
    <x v="1"/>
    <n v="13.689"/>
    <n v="-89.195400000000006"/>
    <n v="9850"/>
    <n v="0"/>
    <n v="0"/>
    <n v="102"/>
    <s v="_x0000_US"/>
  </r>
  <r>
    <x v="1"/>
    <n v="13.6891"/>
    <n v="-89.195400000000006"/>
    <n v="9850"/>
    <n v="0"/>
    <n v="0"/>
    <n v="102"/>
    <s v="_x0000_US"/>
  </r>
  <r>
    <x v="1"/>
    <n v="13.6891"/>
    <n v="-89.195499999999996"/>
    <n v="9850"/>
    <n v="0"/>
    <n v="0"/>
    <n v="102"/>
    <s v="_x0000_US"/>
  </r>
  <r>
    <x v="1"/>
    <n v="13.6891"/>
    <n v="-89.195499999999996"/>
    <n v="9850"/>
    <n v="0"/>
    <n v="0"/>
    <n v="102"/>
    <s v="_x0000_US"/>
  </r>
  <r>
    <x v="1"/>
    <n v="13.6891"/>
    <n v="-89.195499999999996"/>
    <n v="9850"/>
    <n v="0"/>
    <n v="0"/>
    <n v="102"/>
    <s v="_x0000_US"/>
  </r>
  <r>
    <x v="1"/>
    <n v="13.6891"/>
    <n v="-89.195499999999996"/>
    <n v="9850"/>
    <n v="0"/>
    <n v="0"/>
    <n v="102"/>
    <s v="_x0000_US"/>
  </r>
  <r>
    <x v="1"/>
    <n v="13.6891"/>
    <n v="-89.195599999999999"/>
    <n v="9850"/>
    <n v="0"/>
    <n v="0"/>
    <n v="102"/>
    <s v="_x0000_US"/>
  </r>
  <r>
    <x v="1"/>
    <n v="13.6891"/>
    <n v="-89.195599999999999"/>
    <n v="9850"/>
    <n v="0"/>
    <n v="0"/>
    <n v="102"/>
    <s v="_x0000_US"/>
  </r>
  <r>
    <x v="1"/>
    <n v="13.6891"/>
    <n v="-89.195599999999999"/>
    <n v="9850"/>
    <n v="0"/>
    <n v="0"/>
    <n v="102"/>
    <s v="_x0000_US"/>
  </r>
  <r>
    <x v="1"/>
    <n v="13.689"/>
    <n v="-89.195599999999999"/>
    <n v="9850"/>
    <n v="0"/>
    <n v="0"/>
    <n v="102"/>
    <s v="_x0000_US"/>
  </r>
  <r>
    <x v="1"/>
    <n v="13.689"/>
    <n v="-89.195599999999999"/>
    <n v="9850"/>
    <n v="0"/>
    <n v="0"/>
    <n v="102"/>
    <s v="_x0000_US"/>
  </r>
  <r>
    <x v="1"/>
    <n v="13.689"/>
    <n v="-89.195599999999999"/>
    <n v="9850"/>
    <n v="0"/>
    <n v="0"/>
    <n v="102"/>
    <s v="_x0000_US"/>
  </r>
  <r>
    <x v="1"/>
    <n v="13.689"/>
    <n v="-89.195499999999996"/>
    <n v="9850"/>
    <n v="0"/>
    <n v="0"/>
    <n v="102"/>
    <s v="_x0000_US"/>
  </r>
  <r>
    <x v="1"/>
    <n v="13.689"/>
    <n v="-89.195499999999996"/>
    <n v="9850"/>
    <n v="0"/>
    <n v="0"/>
    <n v="102"/>
    <s v="_x0000_US"/>
  </r>
  <r>
    <x v="1"/>
    <n v="13.6891"/>
    <n v="-89.195700000000002"/>
    <n v="9850"/>
    <n v="0"/>
    <n v="0"/>
    <n v="102"/>
    <s v="_x0000_US"/>
  </r>
  <r>
    <x v="1"/>
    <n v="13.6891"/>
    <n v="-89.195700000000002"/>
    <n v="9850"/>
    <n v="0"/>
    <n v="0"/>
    <n v="102"/>
    <s v="_x0000_US"/>
  </r>
  <r>
    <x v="1"/>
    <n v="13.6891"/>
    <n v="-89.195700000000002"/>
    <n v="9850"/>
    <n v="0"/>
    <n v="0"/>
    <n v="102"/>
    <s v="_x0000_US"/>
  </r>
  <r>
    <x v="1"/>
    <n v="13.6891"/>
    <n v="-89.195700000000002"/>
    <n v="9850"/>
    <n v="0"/>
    <n v="0"/>
    <n v="102"/>
    <s v="_x0000_US"/>
  </r>
  <r>
    <x v="1"/>
    <n v="13.6891"/>
    <n v="-89.195800000000006"/>
    <n v="9850"/>
    <n v="0"/>
    <n v="0"/>
    <n v="102"/>
    <s v="_x0000_US"/>
  </r>
  <r>
    <x v="1"/>
    <n v="13.6891"/>
    <n v="-89.195800000000006"/>
    <n v="9850"/>
    <n v="0"/>
    <n v="0"/>
    <n v="102"/>
    <s v="_x0000_US"/>
  </r>
  <r>
    <x v="1"/>
    <n v="13.6891"/>
    <n v="-89.195800000000006"/>
    <n v="9850"/>
    <n v="0"/>
    <n v="0"/>
    <n v="102"/>
    <s v="_x0000_US"/>
  </r>
  <r>
    <x v="1"/>
    <n v="13.6891"/>
    <n v="-89.195800000000006"/>
    <n v="9850"/>
    <n v="0"/>
    <n v="0"/>
    <n v="102"/>
    <s v="_x0000_US"/>
  </r>
  <r>
    <x v="1"/>
    <n v="13.689"/>
    <n v="-89.195899999999995"/>
    <n v="9850"/>
    <n v="0"/>
    <n v="0"/>
    <n v="102"/>
    <s v="_x0000_US"/>
  </r>
  <r>
    <x v="1"/>
    <n v="13.689"/>
    <n v="-89.195800000000006"/>
    <n v="9850"/>
    <n v="0"/>
    <n v="0"/>
    <n v="102"/>
    <s v="_x0000_US"/>
  </r>
  <r>
    <x v="1"/>
    <n v="13.689"/>
    <n v="-89.195800000000006"/>
    <n v="9850"/>
    <n v="0"/>
    <n v="0"/>
    <n v="102"/>
    <s v="_x0000_US"/>
  </r>
  <r>
    <x v="1"/>
    <n v="13.689"/>
    <n v="-89.195800000000006"/>
    <n v="9850"/>
    <n v="0"/>
    <n v="0"/>
    <n v="102"/>
    <s v="_x0000_US"/>
  </r>
  <r>
    <x v="1"/>
    <n v="13.689"/>
    <n v="-89.195800000000006"/>
    <n v="9850"/>
    <n v="0"/>
    <n v="0"/>
    <n v="102"/>
    <s v="_x0000_US"/>
  </r>
  <r>
    <x v="1"/>
    <n v="13.689"/>
    <n v="-89.195700000000002"/>
    <n v="9850"/>
    <n v="0"/>
    <n v="0"/>
    <n v="102"/>
    <s v="_x0000_US"/>
  </r>
  <r>
    <x v="1"/>
    <n v="13.689"/>
    <n v="-89.195700000000002"/>
    <n v="9850"/>
    <n v="0"/>
    <n v="0"/>
    <n v="102"/>
    <s v="_x0000_US"/>
  </r>
  <r>
    <x v="1"/>
    <n v="13.689"/>
    <n v="-89.195700000000002"/>
    <n v="9850"/>
    <n v="0"/>
    <n v="0"/>
    <n v="102"/>
    <s v="_x0000_US"/>
  </r>
  <r>
    <x v="1"/>
    <n v="13.689"/>
    <n v="-89.195599999999999"/>
    <n v="9850"/>
    <n v="0"/>
    <n v="0"/>
    <n v="102"/>
    <s v="_x0000_US"/>
  </r>
  <r>
    <x v="1"/>
    <n v="13.689"/>
    <n v="-89.196100000000001"/>
    <n v="9850"/>
    <n v="0"/>
    <n v="0"/>
    <n v="102"/>
    <s v="_x0000_US"/>
  </r>
  <r>
    <x v="1"/>
    <n v="13.689"/>
    <n v="-89.196100000000001"/>
    <n v="9850"/>
    <n v="0"/>
    <n v="0"/>
    <n v="102"/>
    <s v="_x0000_US"/>
  </r>
  <r>
    <x v="1"/>
    <n v="13.689"/>
    <n v="-89.195999999999998"/>
    <n v="9850"/>
    <n v="0"/>
    <n v="0"/>
    <n v="102"/>
    <s v="_x0000_US"/>
  </r>
  <r>
    <x v="1"/>
    <n v="13.6891"/>
    <n v="-89.195999999999998"/>
    <n v="9850"/>
    <n v="0"/>
    <n v="0"/>
    <n v="102"/>
    <s v="_x0000_US"/>
  </r>
  <r>
    <x v="1"/>
    <n v="13.6891"/>
    <n v="-89.195999999999998"/>
    <n v="9850"/>
    <n v="0"/>
    <n v="0"/>
    <n v="102"/>
    <s v="_x0000_US"/>
  </r>
  <r>
    <x v="1"/>
    <n v="13.6891"/>
    <n v="-89.195999999999998"/>
    <n v="9850"/>
    <n v="0"/>
    <n v="0"/>
    <n v="102"/>
    <s v="_x0000_US"/>
  </r>
  <r>
    <x v="1"/>
    <n v="13.6891"/>
    <n v="-89.195899999999995"/>
    <n v="9850"/>
    <n v="0"/>
    <n v="0"/>
    <n v="102"/>
    <s v="_x0000_US"/>
  </r>
  <r>
    <x v="1"/>
    <n v="13.6891"/>
    <n v="-89.195899999999995"/>
    <n v="9850"/>
    <n v="0"/>
    <n v="0"/>
    <n v="102"/>
    <s v="_x0000_US"/>
  </r>
  <r>
    <x v="1"/>
    <n v="13.689"/>
    <n v="-89.195899999999995"/>
    <n v="9850"/>
    <n v="0"/>
    <n v="0"/>
    <n v="102"/>
    <s v="_x0000_US"/>
  </r>
  <r>
    <x v="1"/>
    <n v="13.689"/>
    <n v="-89.195899999999995"/>
    <n v="9850"/>
    <n v="0"/>
    <n v="0"/>
    <n v="102"/>
    <s v="_x0000_US"/>
  </r>
  <r>
    <x v="1"/>
    <n v="13.689"/>
    <n v="-89.195999999999998"/>
    <n v="9850"/>
    <n v="0"/>
    <n v="0"/>
    <n v="102"/>
    <s v="_x0000_US"/>
  </r>
  <r>
    <x v="1"/>
    <n v="13.689"/>
    <n v="-89.195999999999998"/>
    <n v="9850"/>
    <n v="0"/>
    <n v="0"/>
    <n v="102"/>
    <s v="_x0000_US"/>
  </r>
  <r>
    <x v="1"/>
    <n v="13.6892"/>
    <n v="-89.195899999999995"/>
    <n v="9850"/>
    <n v="0"/>
    <n v="0"/>
    <n v="102"/>
    <s v="_x0000_US"/>
  </r>
  <r>
    <x v="1"/>
    <n v="13.6892"/>
    <n v="-89.195899999999995"/>
    <n v="9850"/>
    <n v="0"/>
    <n v="0"/>
    <n v="102"/>
    <s v="_x0000_US"/>
  </r>
  <r>
    <x v="1"/>
    <n v="13.6892"/>
    <n v="-89.195800000000006"/>
    <n v="9850"/>
    <n v="0"/>
    <n v="0"/>
    <n v="102"/>
    <s v="_x0000_US"/>
  </r>
  <r>
    <x v="1"/>
    <n v="13.6892"/>
    <n v="-89.195800000000006"/>
    <n v="9850"/>
    <n v="0"/>
    <n v="0"/>
    <n v="102"/>
    <s v="_x0000_US"/>
  </r>
  <r>
    <x v="1"/>
    <n v="13.6892"/>
    <n v="-89.195800000000006"/>
    <n v="9850"/>
    <n v="0"/>
    <n v="0"/>
    <n v="102"/>
    <s v="_x0000_US"/>
  </r>
  <r>
    <x v="1"/>
    <n v="13.6892"/>
    <n v="-89.195700000000002"/>
    <n v="9850"/>
    <n v="0"/>
    <n v="0"/>
    <n v="102"/>
    <s v="_x0000_US"/>
  </r>
  <r>
    <x v="1"/>
    <n v="13.6892"/>
    <n v="-89.195700000000002"/>
    <n v="9850"/>
    <n v="0"/>
    <n v="0"/>
    <n v="102"/>
    <s v="_x0000_US"/>
  </r>
  <r>
    <x v="1"/>
    <n v="13.6892"/>
    <n v="-89.195700000000002"/>
    <n v="9850"/>
    <n v="0"/>
    <n v="0"/>
    <n v="102"/>
    <s v="_x0000_US"/>
  </r>
  <r>
    <x v="1"/>
    <n v="13.6892"/>
    <n v="-89.195599999999999"/>
    <n v="9850"/>
    <n v="0"/>
    <n v="0"/>
    <n v="102"/>
    <s v="_x0000_US"/>
  </r>
  <r>
    <x v="1"/>
    <n v="13.6889"/>
    <n v="-89.195400000000006"/>
    <n v="9850"/>
    <n v="0"/>
    <n v="0"/>
    <n v="102"/>
    <s v="_x0000_US"/>
  </r>
  <r>
    <x v="1"/>
    <n v="13.6889"/>
    <n v="-89.195400000000006"/>
    <n v="9850"/>
    <n v="0"/>
    <n v="0"/>
    <n v="102"/>
    <s v="_x0000_US"/>
  </r>
  <r>
    <x v="1"/>
    <n v="13.6889"/>
    <n v="-89.195400000000006"/>
    <n v="9850"/>
    <n v="0"/>
    <n v="0"/>
    <n v="102"/>
    <s v="_x0000_US"/>
  </r>
  <r>
    <x v="1"/>
    <n v="13.6889"/>
    <n v="-89.195400000000006"/>
    <n v="9850"/>
    <n v="0"/>
    <n v="0"/>
    <n v="102"/>
    <s v="_x0000_US"/>
  </r>
  <r>
    <x v="1"/>
    <n v="13.688800000000001"/>
    <n v="-89.195400000000006"/>
    <n v="9850"/>
    <n v="0"/>
    <n v="0"/>
    <n v="102"/>
    <s v="_x0000_US"/>
  </r>
  <r>
    <x v="1"/>
    <n v="13.688800000000001"/>
    <n v="-89.195400000000006"/>
    <n v="9850"/>
    <n v="0"/>
    <n v="0"/>
    <n v="102"/>
    <s v="_x0000_US"/>
  </r>
  <r>
    <x v="1"/>
    <n v="13.6889"/>
    <n v="-89.195499999999996"/>
    <n v="9850"/>
    <n v="0"/>
    <n v="0"/>
    <n v="102"/>
    <s v="_x0000_US"/>
  </r>
  <r>
    <x v="1"/>
    <n v="13.6889"/>
    <n v="-89.195499999999996"/>
    <n v="9850"/>
    <n v="0"/>
    <n v="0"/>
    <n v="102"/>
    <s v="_x0000_US"/>
  </r>
  <r>
    <x v="1"/>
    <n v="13.6889"/>
    <n v="-89.195499999999996"/>
    <n v="9850"/>
    <n v="0"/>
    <n v="0"/>
    <n v="102"/>
    <s v="_x0000_US"/>
  </r>
  <r>
    <x v="1"/>
    <n v="13.6889"/>
    <n v="-89.195599999999999"/>
    <n v="9850"/>
    <n v="0"/>
    <n v="0"/>
    <n v="102"/>
    <s v="_x0000_US"/>
  </r>
  <r>
    <x v="1"/>
    <n v="13.6889"/>
    <n v="-89.195599999999999"/>
    <n v="9850"/>
    <n v="0"/>
    <n v="0"/>
    <n v="102"/>
    <s v="_x0000_US"/>
  </r>
  <r>
    <x v="1"/>
    <n v="13.6889"/>
    <n v="-89.195599999999999"/>
    <n v="9850"/>
    <n v="0"/>
    <n v="0"/>
    <n v="102"/>
    <s v="_x0000_US"/>
  </r>
  <r>
    <x v="1"/>
    <n v="13.6889"/>
    <n v="-89.195700000000002"/>
    <n v="9850"/>
    <n v="0"/>
    <n v="0"/>
    <n v="102"/>
    <s v="_x0000_US"/>
  </r>
  <r>
    <x v="1"/>
    <n v="13.6889"/>
    <n v="-89.195700000000002"/>
    <n v="9850"/>
    <n v="0"/>
    <n v="0"/>
    <n v="102"/>
    <s v="_x0000_US"/>
  </r>
  <r>
    <x v="1"/>
    <n v="13.6889"/>
    <n v="-89.195700000000002"/>
    <n v="9850"/>
    <n v="0"/>
    <n v="0"/>
    <n v="102"/>
    <s v="_x0000_US"/>
  </r>
  <r>
    <x v="1"/>
    <n v="13.6889"/>
    <n v="-89.195800000000006"/>
    <n v="9850"/>
    <n v="0"/>
    <n v="0"/>
    <n v="102"/>
    <s v="_x0000_US"/>
  </r>
  <r>
    <x v="1"/>
    <n v="13.6889"/>
    <n v="-89.195800000000006"/>
    <n v="9850"/>
    <n v="0"/>
    <n v="0"/>
    <n v="102"/>
    <s v="_x0000_US"/>
  </r>
  <r>
    <x v="1"/>
    <n v="13.6889"/>
    <n v="-89.195800000000006"/>
    <n v="9850"/>
    <n v="0"/>
    <n v="0"/>
    <n v="102"/>
    <s v="_x0000_US"/>
  </r>
  <r>
    <x v="1"/>
    <n v="13.6889"/>
    <n v="-89.195899999999995"/>
    <n v="9850"/>
    <n v="0"/>
    <n v="0"/>
    <n v="102"/>
    <s v="_x0000_US"/>
  </r>
  <r>
    <x v="1"/>
    <n v="13.6889"/>
    <n v="-89.195999999999998"/>
    <n v="9850"/>
    <n v="0"/>
    <n v="0"/>
    <n v="102"/>
    <s v="_x0000_US"/>
  </r>
  <r>
    <x v="1"/>
    <n v="13.6889"/>
    <n v="-89.195999999999998"/>
    <n v="9850"/>
    <n v="0"/>
    <n v="0"/>
    <n v="102"/>
    <s v="_x0000_US"/>
  </r>
  <r>
    <x v="1"/>
    <n v="13.693099999999999"/>
    <n v="-89.185100000000006"/>
    <n v="14400"/>
    <n v="0"/>
    <n v="0"/>
    <n v="102"/>
    <s v="_x0000_US"/>
  </r>
  <r>
    <x v="1"/>
    <n v="13.693099999999999"/>
    <n v="-89.185000000000002"/>
    <n v="14400"/>
    <n v="0"/>
    <n v="0"/>
    <n v="102"/>
    <s v="_x0000_US"/>
  </r>
  <r>
    <x v="1"/>
    <n v="13.693099999999999"/>
    <n v="-89.185199999999995"/>
    <n v="14400"/>
    <n v="0"/>
    <n v="0"/>
    <n v="102"/>
    <s v="_x0000_US"/>
  </r>
  <r>
    <x v="1"/>
    <n v="13.693099999999999"/>
    <n v="-89.185100000000006"/>
    <n v="14400"/>
    <n v="0"/>
    <n v="0"/>
    <n v="102"/>
    <s v="_x0000_US"/>
  </r>
  <r>
    <x v="1"/>
    <n v="13.693"/>
    <n v="-89.184899999999999"/>
    <n v="14400"/>
    <n v="0"/>
    <n v="0"/>
    <n v="102"/>
    <s v="_x0000_US"/>
  </r>
  <r>
    <x v="1"/>
    <n v="13.6928"/>
    <n v="-89.186099999999996"/>
    <n v="14400"/>
    <n v="0"/>
    <n v="0"/>
    <n v="102"/>
    <s v="_x0000_US"/>
  </r>
  <r>
    <x v="1"/>
    <n v="13.6929"/>
    <n v="-89.186000000000007"/>
    <n v="14400"/>
    <n v="0"/>
    <n v="0"/>
    <n v="102"/>
    <s v="_x0000_US"/>
  </r>
  <r>
    <x v="1"/>
    <n v="13.6928"/>
    <n v="-89.186000000000007"/>
    <n v="14400"/>
    <n v="0"/>
    <n v="0"/>
    <n v="102"/>
    <s v="_x0000_US"/>
  </r>
  <r>
    <x v="1"/>
    <n v="13.6929"/>
    <n v="-89.185900000000004"/>
    <n v="14400"/>
    <n v="0"/>
    <n v="0"/>
    <n v="102"/>
    <s v="_x0000_US"/>
  </r>
  <r>
    <x v="1"/>
    <n v="13.6928"/>
    <n v="-89.185900000000004"/>
    <n v="14400"/>
    <n v="0"/>
    <n v="0"/>
    <n v="102"/>
    <s v="_x0000_US"/>
  </r>
  <r>
    <x v="1"/>
    <n v="13.6928"/>
    <n v="-89.1858"/>
    <n v="14400"/>
    <n v="0"/>
    <n v="0"/>
    <n v="102"/>
    <s v="_x0000_US"/>
  </r>
  <r>
    <x v="1"/>
    <n v="13.6929"/>
    <n v="-89.185699999999997"/>
    <n v="14400"/>
    <n v="0"/>
    <n v="0"/>
    <n v="102"/>
    <s v="_x0000_US"/>
  </r>
  <r>
    <x v="1"/>
    <n v="13.6929"/>
    <n v="-89.185599999999994"/>
    <n v="14400"/>
    <n v="0"/>
    <n v="0"/>
    <n v="102"/>
    <s v="_x0000_US"/>
  </r>
  <r>
    <x v="1"/>
    <n v="13.6927"/>
    <n v="-89.185599999999994"/>
    <n v="14400"/>
    <n v="0"/>
    <n v="0"/>
    <n v="102"/>
    <s v="_x0000_US"/>
  </r>
  <r>
    <x v="1"/>
    <n v="13.6927"/>
    <n v="-89.185400000000001"/>
    <n v="14400"/>
    <n v="0"/>
    <n v="0"/>
    <n v="102"/>
    <s v="_x0000_US"/>
  </r>
  <r>
    <x v="1"/>
    <n v="13.6927"/>
    <n v="-89.185299999999998"/>
    <n v="14400"/>
    <n v="0"/>
    <n v="0"/>
    <n v="102"/>
    <s v="_x0000_US"/>
  </r>
  <r>
    <x v="1"/>
    <n v="13.6927"/>
    <n v="-89.185299999999998"/>
    <n v="14400"/>
    <n v="0"/>
    <n v="0"/>
    <n v="102"/>
    <s v="_x0000_US"/>
  </r>
  <r>
    <x v="1"/>
    <n v="13.692600000000001"/>
    <n v="-89.185400000000001"/>
    <n v="14400"/>
    <n v="0"/>
    <n v="0"/>
    <n v="102"/>
    <s v="_x0000_US"/>
  </r>
  <r>
    <x v="1"/>
    <n v="13.6927"/>
    <n v="-89.185599999999994"/>
    <n v="14400"/>
    <n v="0"/>
    <n v="0"/>
    <n v="102"/>
    <s v="_x0000_US"/>
  </r>
  <r>
    <x v="1"/>
    <n v="13.692600000000001"/>
    <n v="-89.185599999999994"/>
    <n v="14400"/>
    <n v="0"/>
    <n v="0"/>
    <n v="102"/>
    <s v="_x0000_US"/>
  </r>
  <r>
    <x v="1"/>
    <n v="13.6928"/>
    <n v="-89.185100000000006"/>
    <n v="14400"/>
    <n v="0"/>
    <n v="0"/>
    <n v="102"/>
    <s v="_x0000_US"/>
  </r>
  <r>
    <x v="1"/>
    <n v="13.6928"/>
    <n v="-89.185000000000002"/>
    <n v="14400"/>
    <n v="0"/>
    <n v="0"/>
    <n v="102"/>
    <s v="_x0000_US"/>
  </r>
  <r>
    <x v="1"/>
    <n v="13.6928"/>
    <n v="-89.184899999999999"/>
    <n v="14400"/>
    <n v="0"/>
    <n v="0"/>
    <n v="102"/>
    <s v="_x0000_US"/>
  </r>
  <r>
    <x v="1"/>
    <n v="13.6927"/>
    <n v="-89.185000000000002"/>
    <n v="14400"/>
    <n v="0"/>
    <n v="0"/>
    <n v="102"/>
    <s v="_x0000_US"/>
  </r>
  <r>
    <x v="1"/>
    <n v="13.692600000000001"/>
    <n v="-89.185000000000002"/>
    <n v="14400"/>
    <n v="0"/>
    <n v="0"/>
    <n v="102"/>
    <s v="_x0000_US"/>
  </r>
  <r>
    <x v="1"/>
    <n v="13.692600000000001"/>
    <n v="-89.185000000000002"/>
    <n v="14400"/>
    <n v="0"/>
    <n v="0"/>
    <n v="102"/>
    <s v="_x0000_US"/>
  </r>
  <r>
    <x v="1"/>
    <n v="13.693300000000001"/>
    <n v="-89.1845"/>
    <n v="14400"/>
    <n v="0"/>
    <n v="0"/>
    <n v="102"/>
    <s v="_x0000_US"/>
  </r>
  <r>
    <x v="1"/>
    <n v="13.693300000000001"/>
    <n v="-89.1845"/>
    <n v="14400"/>
    <n v="0"/>
    <n v="0"/>
    <n v="102"/>
    <s v="_x0000_US"/>
  </r>
  <r>
    <x v="1"/>
    <n v="13.693300000000001"/>
    <n v="-89.184399999999997"/>
    <n v="14400"/>
    <n v="0"/>
    <n v="0"/>
    <n v="102"/>
    <s v="_x0000_US"/>
  </r>
  <r>
    <x v="1"/>
    <n v="13.693300000000001"/>
    <n v="-89.184399999999997"/>
    <n v="14400"/>
    <n v="0"/>
    <n v="0"/>
    <n v="102"/>
    <s v="_x0000_US"/>
  </r>
  <r>
    <x v="1"/>
    <n v="13.693300000000001"/>
    <n v="-89.184399999999997"/>
    <n v="14400"/>
    <n v="0"/>
    <n v="0"/>
    <n v="102"/>
    <s v="_x0000_US"/>
  </r>
  <r>
    <x v="1"/>
    <n v="13.693300000000001"/>
    <n v="-89.184399999999997"/>
    <n v="14400"/>
    <n v="0"/>
    <n v="0"/>
    <n v="102"/>
    <s v="_x0000_US"/>
  </r>
  <r>
    <x v="1"/>
    <n v="13.693300000000001"/>
    <n v="-89.184299999999993"/>
    <n v="14400"/>
    <n v="0"/>
    <n v="0"/>
    <n v="102"/>
    <s v="_x0000_US"/>
  </r>
  <r>
    <x v="1"/>
    <n v="13.693199999999999"/>
    <n v="-89.184299999999993"/>
    <n v="14400"/>
    <n v="0"/>
    <n v="0"/>
    <n v="102"/>
    <s v="_x0000_US"/>
  </r>
  <r>
    <x v="1"/>
    <n v="13.693199999999999"/>
    <n v="-89.1845"/>
    <n v="14400"/>
    <n v="0"/>
    <n v="0"/>
    <n v="102"/>
    <s v="_x0000_US"/>
  </r>
  <r>
    <x v="1"/>
    <n v="13.693199999999999"/>
    <n v="-89.1845"/>
    <n v="14400"/>
    <n v="0"/>
    <n v="0"/>
    <n v="102"/>
    <s v="_x0000_US"/>
  </r>
  <r>
    <x v="1"/>
    <n v="13.693199999999999"/>
    <n v="-89.184399999999997"/>
    <n v="14400"/>
    <n v="0"/>
    <n v="0"/>
    <n v="102"/>
    <s v="_x0000_US"/>
  </r>
  <r>
    <x v="1"/>
    <n v="13.693199999999999"/>
    <n v="-89.1845"/>
    <n v="14400"/>
    <n v="0"/>
    <n v="0"/>
    <n v="102"/>
    <s v="_x0000_US"/>
  </r>
  <r>
    <x v="1"/>
    <n v="13.693199999999999"/>
    <n v="-89.184399999999997"/>
    <n v="14400"/>
    <n v="0"/>
    <n v="0"/>
    <n v="102"/>
    <s v="_x0000_US"/>
  </r>
  <r>
    <x v="1"/>
    <n v="13.693199999999999"/>
    <n v="-89.184399999999997"/>
    <n v="14400"/>
    <n v="0"/>
    <n v="0"/>
    <n v="102"/>
    <s v="_x0000_US"/>
  </r>
  <r>
    <x v="1"/>
    <n v="13.6934"/>
    <n v="-89.184399999999997"/>
    <n v="14400"/>
    <n v="0"/>
    <n v="0"/>
    <n v="102"/>
    <s v="_x0000_US"/>
  </r>
  <r>
    <x v="1"/>
    <n v="13.6934"/>
    <n v="-89.184399999999997"/>
    <n v="14400"/>
    <n v="0"/>
    <n v="0"/>
    <n v="102"/>
    <s v="_x0000_US"/>
  </r>
  <r>
    <x v="1"/>
    <n v="13.6934"/>
    <n v="-89.184399999999997"/>
    <n v="14400"/>
    <n v="0"/>
    <n v="0"/>
    <n v="102"/>
    <s v="_x0000_US"/>
  </r>
  <r>
    <x v="1"/>
    <n v="13.6934"/>
    <n v="-89.184299999999993"/>
    <n v="14400"/>
    <n v="0"/>
    <n v="0"/>
    <n v="102"/>
    <s v="_x0000_US"/>
  </r>
  <r>
    <x v="1"/>
    <n v="13.6934"/>
    <n v="-89.184299999999993"/>
    <n v="14400"/>
    <n v="0"/>
    <n v="0"/>
    <n v="102"/>
    <s v="_x0000_US"/>
  </r>
  <r>
    <x v="1"/>
    <n v="13.6934"/>
    <n v="-89.184299999999993"/>
    <n v="14400"/>
    <n v="0"/>
    <n v="0"/>
    <n v="102"/>
    <s v="_x0000_US"/>
  </r>
  <r>
    <x v="1"/>
    <n v="13.6934"/>
    <n v="-89.184299999999993"/>
    <n v="14400"/>
    <n v="0"/>
    <n v="0"/>
    <n v="102"/>
    <s v="_x0000_US"/>
  </r>
  <r>
    <x v="1"/>
    <n v="13.6934"/>
    <n v="-89.184200000000004"/>
    <n v="14400"/>
    <n v="0"/>
    <n v="0"/>
    <n v="102"/>
    <s v="_x0000_US"/>
  </r>
  <r>
    <x v="1"/>
    <n v="13.6934"/>
    <n v="-89.184200000000004"/>
    <n v="14400"/>
    <n v="0"/>
    <n v="0"/>
    <n v="102"/>
    <s v="_x0000_US"/>
  </r>
  <r>
    <x v="1"/>
    <n v="13.693300000000001"/>
    <n v="-89.184200000000004"/>
    <n v="14400"/>
    <n v="0"/>
    <n v="0"/>
    <n v="102"/>
    <s v="_x0000_US"/>
  </r>
  <r>
    <x v="1"/>
    <n v="13.693300000000001"/>
    <n v="-89.184200000000004"/>
    <n v="14400"/>
    <n v="0"/>
    <n v="0"/>
    <n v="102"/>
    <s v="_x0000_US"/>
  </r>
  <r>
    <x v="1"/>
    <n v="13.693300000000001"/>
    <n v="-89.184200000000004"/>
    <n v="14400"/>
    <n v="0"/>
    <n v="0"/>
    <n v="102"/>
    <s v="_x0000_US"/>
  </r>
  <r>
    <x v="1"/>
    <n v="13.693300000000001"/>
    <n v="-89.184200000000004"/>
    <n v="14400"/>
    <n v="0"/>
    <n v="0"/>
    <n v="102"/>
    <s v="_x0000_US"/>
  </r>
  <r>
    <x v="1"/>
    <n v="13.693300000000001"/>
    <n v="-89.184299999999993"/>
    <n v="14400"/>
    <n v="0"/>
    <n v="0"/>
    <n v="102"/>
    <s v="_x0000_US"/>
  </r>
  <r>
    <x v="1"/>
    <n v="13.693199999999999"/>
    <n v="-89.184299999999993"/>
    <n v="14400"/>
    <n v="0"/>
    <n v="0"/>
    <n v="102"/>
    <s v="_x0000_US"/>
  </r>
  <r>
    <x v="1"/>
    <n v="13.693199999999999"/>
    <n v="-89.184299999999993"/>
    <n v="14400"/>
    <n v="0"/>
    <n v="0"/>
    <n v="102"/>
    <s v="_x0000_US"/>
  </r>
  <r>
    <x v="1"/>
    <n v="13.693199999999999"/>
    <n v="-89.184299999999993"/>
    <n v="14400"/>
    <n v="0"/>
    <n v="0"/>
    <n v="102"/>
    <s v="_x0000_US"/>
  </r>
  <r>
    <x v="1"/>
    <n v="13.693199999999999"/>
    <n v="-89.184200000000004"/>
    <n v="14400"/>
    <n v="0"/>
    <n v="0"/>
    <n v="102"/>
    <s v="_x0000_US"/>
  </r>
  <r>
    <x v="1"/>
    <n v="13.693199999999999"/>
    <n v="-89.184200000000004"/>
    <n v="14400"/>
    <n v="0"/>
    <n v="0"/>
    <n v="102"/>
    <s v="_x0000_US"/>
  </r>
  <r>
    <x v="1"/>
    <n v="13.693199999999999"/>
    <n v="-89.184200000000004"/>
    <n v="14400"/>
    <n v="0"/>
    <n v="0"/>
    <n v="102"/>
    <s v="_x0000_US"/>
  </r>
  <r>
    <x v="1"/>
    <n v="13.693199999999999"/>
    <n v="-89.184200000000004"/>
    <n v="14400"/>
    <n v="0"/>
    <n v="0"/>
    <n v="102"/>
    <s v="_x0000_US"/>
  </r>
  <r>
    <x v="1"/>
    <n v="13.693300000000001"/>
    <n v="-89.184200000000004"/>
    <n v="14400"/>
    <n v="0"/>
    <n v="0"/>
    <n v="102"/>
    <s v="_x0000_US"/>
  </r>
  <r>
    <x v="1"/>
    <n v="13.693300000000001"/>
    <n v="-89.184200000000004"/>
    <n v="14400"/>
    <n v="0"/>
    <n v="0"/>
    <n v="102"/>
    <s v="_x0000_US"/>
  </r>
  <r>
    <x v="1"/>
    <n v="13.693300000000001"/>
    <n v="-89.184200000000004"/>
    <n v="14400"/>
    <n v="0"/>
    <n v="0"/>
    <n v="102"/>
    <s v="_x0000_US"/>
  </r>
  <r>
    <x v="1"/>
    <n v="13.693300000000001"/>
    <n v="-89.184200000000004"/>
    <n v="14400"/>
    <n v="0"/>
    <n v="0"/>
    <n v="102"/>
    <s v="_x0000_US"/>
  </r>
  <r>
    <x v="1"/>
    <n v="13.6934"/>
    <n v="-89.184200000000004"/>
    <n v="14400"/>
    <n v="0"/>
    <n v="0"/>
    <n v="102"/>
    <s v="_x0000_US"/>
  </r>
  <r>
    <x v="1"/>
    <n v="13.6934"/>
    <n v="-89.184200000000004"/>
    <n v="14400"/>
    <n v="0"/>
    <n v="0"/>
    <n v="102"/>
    <s v="_x0000_US"/>
  </r>
  <r>
    <x v="1"/>
    <n v="13.693199999999999"/>
    <n v="-89.183899999999994"/>
    <n v="14400"/>
    <n v="0"/>
    <n v="0"/>
    <n v="102"/>
    <s v="_x0000_US"/>
  </r>
  <r>
    <x v="1"/>
    <n v="13.6934"/>
    <n v="-89.183899999999994"/>
    <n v="14400"/>
    <n v="0"/>
    <n v="0"/>
    <n v="102"/>
    <s v="_x0000_US"/>
  </r>
  <r>
    <x v="1"/>
    <n v="13.693199999999999"/>
    <n v="-89.184899999999999"/>
    <n v="14400"/>
    <n v="0"/>
    <n v="0"/>
    <n v="102"/>
    <s v="_x0000_US"/>
  </r>
  <r>
    <x v="1"/>
    <n v="13.693199999999999"/>
    <n v="-89.184899999999999"/>
    <n v="14400"/>
    <n v="0"/>
    <n v="0"/>
    <n v="102"/>
    <s v="_x0000_US"/>
  </r>
  <r>
    <x v="1"/>
    <n v="13.693199999999999"/>
    <n v="-89.184799999999996"/>
    <n v="14400"/>
    <n v="0"/>
    <n v="0"/>
    <n v="102"/>
    <s v="_x0000_US"/>
  </r>
  <r>
    <x v="1"/>
    <n v="13.693199999999999"/>
    <n v="-89.184799999999996"/>
    <n v="14400"/>
    <n v="0"/>
    <n v="0"/>
    <n v="102"/>
    <s v="_x0000_US"/>
  </r>
  <r>
    <x v="1"/>
    <n v="13.693199999999999"/>
    <n v="-89.184700000000007"/>
    <n v="14400"/>
    <n v="0"/>
    <n v="0"/>
    <n v="102"/>
    <s v="_x0000_US"/>
  </r>
  <r>
    <x v="1"/>
    <n v="13.693099999999999"/>
    <n v="-89.184600000000003"/>
    <n v="14400"/>
    <n v="0"/>
    <n v="0"/>
    <n v="102"/>
    <s v="_x0000_US"/>
  </r>
  <r>
    <x v="1"/>
    <n v="13.693099999999999"/>
    <n v="-89.184299999999993"/>
    <n v="14400"/>
    <n v="0"/>
    <n v="0"/>
    <n v="102"/>
    <s v="_x0000_US"/>
  </r>
  <r>
    <x v="1"/>
    <n v="13.693099999999999"/>
    <n v="-89.184200000000004"/>
    <n v="14400"/>
    <n v="0"/>
    <n v="0"/>
    <n v="102"/>
    <s v="_x0000_US"/>
  </r>
  <r>
    <x v="1"/>
    <n v="13.693"/>
    <n v="-89.184200000000004"/>
    <n v="14400"/>
    <n v="0"/>
    <n v="0"/>
    <n v="102"/>
    <s v="_x0000_US"/>
  </r>
  <r>
    <x v="1"/>
    <n v="13.693"/>
    <n v="-89.184100000000001"/>
    <n v="14400"/>
    <n v="0"/>
    <n v="0"/>
    <n v="102"/>
    <s v="_x0000_US"/>
  </r>
  <r>
    <x v="1"/>
    <n v="13.693"/>
    <n v="-89.183999999999997"/>
    <n v="14400"/>
    <n v="0"/>
    <n v="0"/>
    <n v="102"/>
    <s v="_x0000_US"/>
  </r>
  <r>
    <x v="1"/>
    <n v="13.693099999999999"/>
    <n v="-89.183999999999997"/>
    <n v="14400"/>
    <n v="0"/>
    <n v="0"/>
    <n v="102"/>
    <s v="_x0000_US"/>
  </r>
  <r>
    <x v="1"/>
    <n v="13.6936"/>
    <n v="-89.184600000000003"/>
    <n v="14400"/>
    <n v="0"/>
    <n v="0"/>
    <n v="102"/>
    <s v="_x0000_US"/>
  </r>
  <r>
    <x v="1"/>
    <n v="13.6936"/>
    <n v="-89.184700000000007"/>
    <n v="14400"/>
    <n v="0"/>
    <n v="0"/>
    <n v="102"/>
    <s v="_x0000_US"/>
  </r>
  <r>
    <x v="1"/>
    <n v="13.6936"/>
    <n v="-89.1845"/>
    <n v="14400"/>
    <n v="0"/>
    <n v="0"/>
    <n v="102"/>
    <s v="_x0000_US"/>
  </r>
  <r>
    <x v="1"/>
    <n v="13.6935"/>
    <n v="-89.184799999999996"/>
    <n v="14400"/>
    <n v="0"/>
    <n v="0"/>
    <n v="102"/>
    <s v="_x0000_US"/>
  </r>
  <r>
    <x v="1"/>
    <n v="13.6936"/>
    <n v="-89.184399999999997"/>
    <n v="14400"/>
    <n v="0"/>
    <n v="0"/>
    <n v="102"/>
    <s v="_x0000_US"/>
  </r>
  <r>
    <x v="1"/>
    <n v="13.6936"/>
    <n v="-89.184299999999993"/>
    <n v="14400"/>
    <n v="0"/>
    <n v="0"/>
    <n v="102"/>
    <s v="_x0000_US"/>
  </r>
  <r>
    <x v="1"/>
    <n v="13.6935"/>
    <n v="-89.184200000000004"/>
    <n v="14400"/>
    <n v="0"/>
    <n v="0"/>
    <n v="102"/>
    <s v="_x0000_US"/>
  </r>
  <r>
    <x v="1"/>
    <n v="13.6935"/>
    <n v="-89.184100000000001"/>
    <n v="14400"/>
    <n v="0"/>
    <n v="0"/>
    <n v="102"/>
    <s v="_x0000_US"/>
  </r>
  <r>
    <x v="1"/>
    <n v="13.6884"/>
    <n v="-89.189499999999995"/>
    <n v="11540"/>
    <n v="0"/>
    <n v="0"/>
    <n v="102"/>
    <s v="_x0000_US"/>
  </r>
  <r>
    <x v="1"/>
    <n v="13.6882"/>
    <n v="-89.189499999999995"/>
    <n v="11540"/>
    <n v="0"/>
    <n v="0"/>
    <n v="102"/>
    <s v="_x0000_US"/>
  </r>
  <r>
    <x v="1"/>
    <n v="13.6882"/>
    <n v="-89.189400000000006"/>
    <n v="11540"/>
    <n v="0"/>
    <n v="0"/>
    <n v="102"/>
    <s v="_x0000_US"/>
  </r>
  <r>
    <x v="1"/>
    <n v="13.6882"/>
    <n v="-89.189400000000006"/>
    <n v="11540"/>
    <n v="0"/>
    <n v="0"/>
    <n v="102"/>
    <s v="_x0000_US"/>
  </r>
  <r>
    <x v="1"/>
    <n v="13.6883"/>
    <n v="-89.189300000000003"/>
    <n v="11540"/>
    <n v="0"/>
    <n v="0"/>
    <n v="102"/>
    <s v="_x0000_US"/>
  </r>
  <r>
    <x v="1"/>
    <n v="13.6881"/>
    <n v="-89.1892"/>
    <n v="11540"/>
    <n v="0"/>
    <n v="0"/>
    <n v="102"/>
    <s v="_x0000_US"/>
  </r>
  <r>
    <x v="1"/>
    <n v="13.688800000000001"/>
    <n v="-89.189099999999996"/>
    <n v="11540"/>
    <n v="0"/>
    <n v="0"/>
    <n v="102"/>
    <s v="_x0000_US"/>
  </r>
  <r>
    <x v="1"/>
    <n v="13.6884"/>
    <n v="-89.182500000000005"/>
    <n v="11540"/>
    <n v="0"/>
    <n v="0"/>
    <n v="102"/>
    <s v="_x0000_US"/>
  </r>
  <r>
    <x v="1"/>
    <n v="13.688499999999999"/>
    <n v="-89.182299999999998"/>
    <n v="11540"/>
    <n v="0"/>
    <n v="0"/>
    <n v="102"/>
    <s v="_x0000_US"/>
  </r>
  <r>
    <x v="1"/>
    <n v="13.688599999999999"/>
    <n v="-89.182100000000005"/>
    <n v="11540"/>
    <n v="0"/>
    <n v="0"/>
    <n v="102"/>
    <s v="_x0000_US"/>
  </r>
  <r>
    <x v="1"/>
    <n v="13.6896"/>
    <n v="-89.183300000000003"/>
    <n v="15100"/>
    <n v="0"/>
    <n v="0"/>
    <n v="102"/>
    <s v="_x0000_US"/>
  </r>
  <r>
    <x v="1"/>
    <n v="13.693300000000001"/>
    <n v="-89.189499999999995"/>
    <n v="8550"/>
    <n v="0"/>
    <n v="0"/>
    <n v="102"/>
    <s v="_x0000_US"/>
  </r>
  <r>
    <x v="1"/>
    <n v="13.692299999999999"/>
    <n v="-89.192300000000003"/>
    <n v="8550"/>
    <n v="0"/>
    <n v="0"/>
    <n v="102"/>
    <s v="_x0000_US"/>
  </r>
  <r>
    <x v="1"/>
    <n v="13.693899999999999"/>
    <n v="-89.186599999999999"/>
    <n v="8550"/>
    <n v="0"/>
    <n v="0"/>
    <n v="102"/>
    <s v="_x0000_US"/>
  </r>
  <r>
    <x v="1"/>
    <n v="13.693899999999999"/>
    <n v="-89.186700000000002"/>
    <n v="8550"/>
    <n v="0"/>
    <n v="0"/>
    <n v="102"/>
    <s v="_x0000_US"/>
  </r>
  <r>
    <x v="1"/>
    <n v="13.6938"/>
    <n v="-89.186599999999999"/>
    <n v="8550"/>
    <n v="0"/>
    <n v="0"/>
    <n v="102"/>
    <s v="_x0000_US"/>
  </r>
  <r>
    <x v="1"/>
    <n v="13.693899999999999"/>
    <n v="-89.187100000000001"/>
    <n v="8550"/>
    <n v="0"/>
    <n v="0"/>
    <n v="102"/>
    <s v="_x0000_US"/>
  </r>
  <r>
    <x v="1"/>
    <n v="13.693899999999999"/>
    <n v="-89.186899999999994"/>
    <n v="8550"/>
    <n v="0"/>
    <n v="0"/>
    <n v="102"/>
    <s v="_x0000_US"/>
  </r>
  <r>
    <x v="1"/>
    <n v="13.6935"/>
    <n v="-89.189499999999995"/>
    <n v="8550"/>
    <n v="0"/>
    <n v="0"/>
    <n v="102"/>
    <s v="_x0000_US"/>
  </r>
  <r>
    <x v="1"/>
    <n v="13.694000000000001"/>
    <n v="-89.189800000000005"/>
    <n v="8550"/>
    <n v="0"/>
    <n v="0"/>
    <n v="102"/>
    <s v="_x0000_US"/>
  </r>
  <r>
    <x v="1"/>
    <n v="13.693899999999999"/>
    <n v="-89.189499999999995"/>
    <n v="8550"/>
    <n v="0"/>
    <n v="0"/>
    <n v="102"/>
    <s v="_x0000_US"/>
  </r>
  <r>
    <x v="1"/>
    <n v="13.693199999999999"/>
    <n v="-89.190399999999997"/>
    <n v="8550"/>
    <n v="0"/>
    <n v="0"/>
    <n v="102"/>
    <s v="_x0000_US"/>
  </r>
  <r>
    <x v="1"/>
    <n v="13.693199999999999"/>
    <n v="-89.191100000000006"/>
    <n v="8550"/>
    <n v="0"/>
    <n v="0"/>
    <n v="102"/>
    <s v="_x0000_US"/>
  </r>
  <r>
    <x v="1"/>
    <n v="13.693199999999999"/>
    <n v="-89.191299999999998"/>
    <n v="8550"/>
    <n v="0"/>
    <n v="0"/>
    <n v="102"/>
    <s v="_x0000_US"/>
  </r>
  <r>
    <x v="1"/>
    <n v="13.693099999999999"/>
    <n v="-89.191100000000006"/>
    <n v="8550"/>
    <n v="0"/>
    <n v="0"/>
    <n v="102"/>
    <s v="_x0000_US"/>
  </r>
  <r>
    <x v="1"/>
    <n v="13.6928"/>
    <n v="-89.191100000000006"/>
    <n v="8550"/>
    <n v="0"/>
    <n v="0"/>
    <n v="102"/>
    <s v="_x0000_US"/>
  </r>
  <r>
    <x v="1"/>
    <n v="13.6919"/>
    <n v="-89.190899999999999"/>
    <n v="8550"/>
    <n v="0"/>
    <n v="0"/>
    <n v="102"/>
    <s v="_x0000_US"/>
  </r>
  <r>
    <x v="1"/>
    <n v="13.6928"/>
    <n v="-89.188599999999994"/>
    <n v="8550"/>
    <n v="0"/>
    <n v="0"/>
    <n v="102"/>
    <s v="_x0000_US"/>
  </r>
  <r>
    <x v="1"/>
    <n v="13.6929"/>
    <n v="-89.188500000000005"/>
    <n v="8550"/>
    <n v="0"/>
    <n v="0"/>
    <n v="102"/>
    <s v="_x0000_US"/>
  </r>
  <r>
    <x v="1"/>
    <n v="13.6928"/>
    <n v="-89.188599999999994"/>
    <n v="8550"/>
    <n v="0"/>
    <n v="0"/>
    <n v="102"/>
    <s v="_x0000_US"/>
  </r>
  <r>
    <x v="1"/>
    <n v="13.6929"/>
    <n v="-89.188599999999994"/>
    <n v="8550"/>
    <n v="0"/>
    <n v="0"/>
    <n v="102"/>
    <s v="_x0000_US"/>
  </r>
  <r>
    <x v="1"/>
    <n v="13.692600000000001"/>
    <n v="-89.189300000000003"/>
    <n v="8550"/>
    <n v="0"/>
    <n v="0"/>
    <n v="102"/>
    <s v="_x0000_US"/>
  </r>
  <r>
    <x v="1"/>
    <n v="13.692500000000001"/>
    <n v="-89.189300000000003"/>
    <n v="8550"/>
    <n v="0"/>
    <n v="0"/>
    <n v="102"/>
    <s v="_x0000_US"/>
  </r>
  <r>
    <x v="1"/>
    <n v="13.693"/>
    <n v="-89.188599999999994"/>
    <n v="8550"/>
    <n v="0"/>
    <n v="0"/>
    <n v="102"/>
    <s v="_x0000_US"/>
  </r>
  <r>
    <x v="1"/>
    <n v="13.6929"/>
    <n v="-89.188400000000001"/>
    <n v="8550"/>
    <n v="0"/>
    <n v="0"/>
    <n v="102"/>
    <s v="_x0000_US"/>
  </r>
  <r>
    <x v="1"/>
    <n v="13.692600000000001"/>
    <n v="-89.194400000000002"/>
    <n v="11540"/>
    <n v="0"/>
    <n v="0"/>
    <n v="102"/>
    <s v="_x0000_US"/>
  </r>
  <r>
    <x v="1"/>
    <n v="13.6914"/>
    <n v="-89.192999999999998"/>
    <n v="8550"/>
    <n v="0"/>
    <n v="0"/>
    <n v="102"/>
    <s v="_x0000_US"/>
  </r>
  <r>
    <x v="1"/>
    <n v="13.6881"/>
    <n v="-89.183499999999995"/>
    <n v="11540"/>
    <n v="0"/>
    <n v="0"/>
    <n v="102"/>
    <s v="_x0000_US"/>
  </r>
  <r>
    <x v="1"/>
    <n v="13.688000000000001"/>
    <n v="-89.183300000000003"/>
    <n v="11540"/>
    <n v="0"/>
    <n v="0"/>
    <n v="102"/>
    <s v="_x0000_US"/>
  </r>
  <r>
    <x v="1"/>
    <n v="13.688000000000001"/>
    <n v="-89.183400000000006"/>
    <n v="11540"/>
    <n v="0"/>
    <n v="0"/>
    <n v="102"/>
    <s v="_x0000_US"/>
  </r>
  <r>
    <x v="1"/>
    <n v="13.6882"/>
    <n v="-89.183199999999999"/>
    <n v="11540"/>
    <n v="0"/>
    <n v="0"/>
    <n v="102"/>
    <s v="_x0000_US"/>
  </r>
  <r>
    <x v="1"/>
    <n v="13.6882"/>
    <n v="-89.183199999999999"/>
    <n v="11540"/>
    <n v="0"/>
    <n v="0"/>
    <n v="102"/>
    <s v="_x0000_US"/>
  </r>
  <r>
    <x v="1"/>
    <n v="13.6881"/>
    <n v="-89.183099999999996"/>
    <n v="11540"/>
    <n v="0"/>
    <n v="0"/>
    <n v="102"/>
    <s v="_x0000_US"/>
  </r>
  <r>
    <x v="1"/>
    <n v="13.688000000000001"/>
    <n v="-89.183199999999999"/>
    <n v="11540"/>
    <n v="0"/>
    <n v="0"/>
    <n v="102"/>
    <s v="_x0000_US"/>
  </r>
  <r>
    <x v="1"/>
    <n v="13.687900000000001"/>
    <n v="-89.183300000000003"/>
    <n v="11540"/>
    <n v="0"/>
    <n v="0"/>
    <n v="102"/>
    <s v="_x0000_US"/>
  </r>
  <r>
    <x v="1"/>
    <n v="13.692299999999999"/>
    <n v="-89.179900000000004"/>
    <n v="14300"/>
    <n v="0"/>
    <n v="0"/>
    <n v="102"/>
    <s v="_x0000_US"/>
  </r>
  <r>
    <x v="1"/>
    <n v="13.692299999999999"/>
    <n v="-89.180099999999996"/>
    <n v="14300"/>
    <n v="0"/>
    <n v="0"/>
    <n v="102"/>
    <s v="_x0000_US"/>
  </r>
  <r>
    <x v="1"/>
    <n v="13.692299999999999"/>
    <n v="-89.180199999999999"/>
    <n v="14300"/>
    <n v="0"/>
    <n v="0"/>
    <n v="102"/>
    <s v="_x0000_US"/>
  </r>
  <r>
    <x v="1"/>
    <n v="13.692299999999999"/>
    <n v="-89.180300000000003"/>
    <n v="14300"/>
    <n v="0"/>
    <n v="0"/>
    <n v="102"/>
    <s v="_x0000_US"/>
  </r>
  <r>
    <x v="1"/>
    <n v="13.692399999999999"/>
    <n v="-89.180400000000006"/>
    <n v="14300"/>
    <n v="0"/>
    <n v="0"/>
    <n v="102"/>
    <s v="_x0000_US"/>
  </r>
  <r>
    <x v="1"/>
    <n v="13.692399999999999"/>
    <n v="-89.180400000000006"/>
    <n v="14300"/>
    <n v="0"/>
    <n v="0"/>
    <n v="102"/>
    <s v="_x0000_US"/>
  </r>
  <r>
    <x v="1"/>
    <n v="13.692500000000001"/>
    <n v="-89.180300000000003"/>
    <n v="14300"/>
    <n v="0"/>
    <n v="0"/>
    <n v="102"/>
    <s v="_x0000_US"/>
  </r>
  <r>
    <x v="1"/>
    <n v="13.6928"/>
    <n v="-89.179699999999997"/>
    <n v="14300"/>
    <n v="0"/>
    <n v="0"/>
    <n v="102"/>
    <s v="_x0000_US"/>
  </r>
  <r>
    <x v="1"/>
    <n v="13.6928"/>
    <n v="-89.179699999999997"/>
    <n v="14300"/>
    <n v="0"/>
    <n v="0"/>
    <n v="102"/>
    <s v="_x0000_US"/>
  </r>
  <r>
    <x v="1"/>
    <n v="13.6927"/>
    <n v="-89.1798"/>
    <n v="14300"/>
    <n v="0"/>
    <n v="0"/>
    <n v="102"/>
    <s v="_x0000_US"/>
  </r>
  <r>
    <x v="1"/>
    <n v="13.6928"/>
    <n v="-89.179900000000004"/>
    <n v="14300"/>
    <n v="0"/>
    <n v="0"/>
    <n v="102"/>
    <s v="_x0000_US"/>
  </r>
  <r>
    <x v="1"/>
    <n v="13.6927"/>
    <n v="-89.179900000000004"/>
    <n v="14300"/>
    <n v="0"/>
    <n v="0"/>
    <n v="102"/>
    <s v="_x0000_US"/>
  </r>
  <r>
    <x v="1"/>
    <n v="13.6927"/>
    <n v="-89.18"/>
    <n v="14300"/>
    <n v="0"/>
    <n v="0"/>
    <n v="102"/>
    <s v="_x0000_US"/>
  </r>
  <r>
    <x v="1"/>
    <n v="13.6928"/>
    <n v="-89.18"/>
    <n v="14300"/>
    <n v="0"/>
    <n v="0"/>
    <n v="102"/>
    <s v="_x0000_US"/>
  </r>
  <r>
    <x v="1"/>
    <n v="13.6929"/>
    <n v="-89.180099999999996"/>
    <n v="14300"/>
    <n v="0"/>
    <n v="0"/>
    <n v="102"/>
    <s v="_x0000_US"/>
  </r>
  <r>
    <x v="1"/>
    <n v="13.6927"/>
    <n v="-89.180199999999999"/>
    <n v="14300"/>
    <n v="0"/>
    <n v="0"/>
    <n v="102"/>
    <s v="_x0000_US"/>
  </r>
  <r>
    <x v="1"/>
    <n v="13.6929"/>
    <n v="-89.180199999999999"/>
    <n v="14300"/>
    <n v="0"/>
    <n v="0"/>
    <n v="102"/>
    <s v="_x0000_US"/>
  </r>
  <r>
    <x v="1"/>
    <n v="13.6929"/>
    <n v="-89.180199999999999"/>
    <n v="14300"/>
    <n v="0"/>
    <n v="0"/>
    <n v="102"/>
    <s v="_x0000_US"/>
  </r>
  <r>
    <x v="1"/>
    <n v="13.6929"/>
    <n v="-89.180099999999996"/>
    <n v="14300"/>
    <n v="0"/>
    <n v="0"/>
    <n v="102"/>
    <s v="_x0000_US"/>
  </r>
  <r>
    <x v="1"/>
    <n v="13.6929"/>
    <n v="-89.180099999999996"/>
    <n v="14300"/>
    <n v="0"/>
    <n v="0"/>
    <n v="102"/>
    <s v="_x0000_US"/>
  </r>
  <r>
    <x v="1"/>
    <n v="13.6929"/>
    <n v="-89.180099999999996"/>
    <n v="14300"/>
    <n v="0"/>
    <n v="0"/>
    <n v="102"/>
    <s v="_x0000_US"/>
  </r>
  <r>
    <x v="1"/>
    <n v="13.6929"/>
    <n v="-89.180099999999996"/>
    <n v="14300"/>
    <n v="0"/>
    <n v="0"/>
    <n v="102"/>
    <s v="_x0000_US"/>
  </r>
  <r>
    <x v="1"/>
    <n v="13.6929"/>
    <n v="-89.180099999999996"/>
    <n v="14300"/>
    <n v="0"/>
    <n v="0"/>
    <n v="102"/>
    <s v="_x0000_US"/>
  </r>
  <r>
    <x v="1"/>
    <n v="13.6929"/>
    <n v="-89.180099999999996"/>
    <n v="14300"/>
    <n v="0"/>
    <n v="0"/>
    <n v="102"/>
    <s v="_x0000_US"/>
  </r>
  <r>
    <x v="1"/>
    <n v="13.6929"/>
    <n v="-89.18"/>
    <n v="14300"/>
    <n v="0"/>
    <n v="0"/>
    <n v="102"/>
    <s v="_x0000_US"/>
  </r>
  <r>
    <x v="1"/>
    <n v="13.6929"/>
    <n v="-89.18"/>
    <n v="14300"/>
    <n v="0"/>
    <n v="0"/>
    <n v="102"/>
    <s v="_x0000_US"/>
  </r>
  <r>
    <x v="1"/>
    <n v="13.693"/>
    <n v="-89.179900000000004"/>
    <n v="14300"/>
    <n v="0"/>
    <n v="0"/>
    <n v="102"/>
    <s v="_x0000_US"/>
  </r>
  <r>
    <x v="1"/>
    <n v="13.693"/>
    <n v="-89.179900000000004"/>
    <n v="14300"/>
    <n v="0"/>
    <n v="0"/>
    <n v="102"/>
    <s v="_x0000_US"/>
  </r>
  <r>
    <x v="1"/>
    <n v="13.693"/>
    <n v="-89.1798"/>
    <n v="14300"/>
    <n v="0"/>
    <n v="0"/>
    <n v="102"/>
    <s v="_x0000_US"/>
  </r>
  <r>
    <x v="1"/>
    <n v="13.693"/>
    <n v="-89.1798"/>
    <n v="14300"/>
    <n v="0"/>
    <n v="0"/>
    <n v="102"/>
    <s v="_x0000_US"/>
  </r>
  <r>
    <x v="1"/>
    <n v="13.693"/>
    <n v="-89.180099999999996"/>
    <n v="14300"/>
    <n v="0"/>
    <n v="0"/>
    <n v="102"/>
    <s v="_x0000_US"/>
  </r>
  <r>
    <x v="1"/>
    <n v="13.693099999999999"/>
    <n v="-89.180300000000003"/>
    <n v="14300"/>
    <n v="0"/>
    <n v="0"/>
    <n v="102"/>
    <s v="_x0000_US"/>
  </r>
  <r>
    <x v="1"/>
    <n v="13.693099999999999"/>
    <n v="-89.180099999999996"/>
    <n v="14300"/>
    <n v="0"/>
    <n v="0"/>
    <n v="102"/>
    <s v="_x0000_US"/>
  </r>
  <r>
    <x v="1"/>
    <n v="13.693099999999999"/>
    <n v="-89.180099999999996"/>
    <n v="14300"/>
    <n v="0"/>
    <n v="0"/>
    <n v="102"/>
    <s v="_x0000_US"/>
  </r>
  <r>
    <x v="1"/>
    <n v="13.693"/>
    <n v="-89.180099999999996"/>
    <n v="14300"/>
    <n v="0"/>
    <n v="0"/>
    <n v="102"/>
    <s v="_x0000_US"/>
  </r>
  <r>
    <x v="1"/>
    <n v="13.693099999999999"/>
    <n v="-89.180099999999996"/>
    <n v="14300"/>
    <n v="0"/>
    <n v="0"/>
    <n v="102"/>
    <s v="_x0000_US"/>
  </r>
  <r>
    <x v="1"/>
    <n v="13.693099999999999"/>
    <n v="-89.180099999999996"/>
    <n v="14300"/>
    <n v="0"/>
    <n v="0"/>
    <n v="102"/>
    <s v="_x0000_US"/>
  </r>
  <r>
    <x v="1"/>
    <n v="13.693"/>
    <n v="-89.180099999999996"/>
    <n v="14300"/>
    <n v="0"/>
    <n v="0"/>
    <n v="102"/>
    <s v="_x0000_US"/>
  </r>
  <r>
    <x v="1"/>
    <n v="13.693099999999999"/>
    <n v="-89.18"/>
    <n v="14300"/>
    <n v="0"/>
    <n v="0"/>
    <n v="102"/>
    <s v="_x0000_US"/>
  </r>
  <r>
    <x v="1"/>
    <n v="13.693099999999999"/>
    <n v="-89.18"/>
    <n v="14300"/>
    <n v="0"/>
    <n v="0"/>
    <n v="102"/>
    <s v="_x0000_US"/>
  </r>
  <r>
    <x v="1"/>
    <n v="13.693"/>
    <n v="-89.18"/>
    <n v="14300"/>
    <n v="0"/>
    <n v="0"/>
    <n v="102"/>
    <s v="_x0000_US"/>
  </r>
  <r>
    <x v="1"/>
    <n v="13.693"/>
    <n v="-89.18"/>
    <n v="14300"/>
    <n v="0"/>
    <n v="0"/>
    <n v="102"/>
    <s v="_x0000_US"/>
  </r>
  <r>
    <x v="1"/>
    <n v="13.693300000000001"/>
    <n v="-89.180099999999996"/>
    <n v="14300"/>
    <n v="0"/>
    <n v="0"/>
    <n v="102"/>
    <s v="_x0000_US"/>
  </r>
  <r>
    <x v="1"/>
    <n v="13.693300000000001"/>
    <n v="-89.180099999999996"/>
    <n v="14300"/>
    <n v="0"/>
    <n v="0"/>
    <n v="102"/>
    <s v="_x0000_US"/>
  </r>
  <r>
    <x v="1"/>
    <n v="13.693300000000001"/>
    <n v="-89.18"/>
    <n v="14300"/>
    <n v="0"/>
    <n v="0"/>
    <n v="102"/>
    <s v="_x0000_US"/>
  </r>
  <r>
    <x v="1"/>
    <n v="13.693300000000001"/>
    <n v="-89.18"/>
    <n v="14300"/>
    <n v="0"/>
    <n v="0"/>
    <n v="102"/>
    <s v="_x0000_US"/>
  </r>
  <r>
    <x v="1"/>
    <n v="13.693300000000001"/>
    <n v="-89.18"/>
    <n v="14300"/>
    <n v="0"/>
    <n v="0"/>
    <n v="102"/>
    <s v="_x0000_US"/>
  </r>
  <r>
    <x v="1"/>
    <n v="13.693300000000001"/>
    <n v="-89.18"/>
    <n v="14300"/>
    <n v="0"/>
    <n v="0"/>
    <n v="102"/>
    <s v="_x0000_US"/>
  </r>
  <r>
    <x v="1"/>
    <n v="13.693300000000001"/>
    <n v="-89.179900000000004"/>
    <n v="14300"/>
    <n v="0"/>
    <n v="0"/>
    <n v="102"/>
    <s v="_x0000_US"/>
  </r>
  <r>
    <x v="1"/>
    <n v="13.693199999999999"/>
    <n v="-89.179699999999997"/>
    <n v="14300"/>
    <n v="0"/>
    <n v="0"/>
    <n v="102"/>
    <s v="_x0000_US"/>
  </r>
  <r>
    <x v="1"/>
    <n v="13.693099999999999"/>
    <n v="-89.179699999999997"/>
    <n v="14300"/>
    <n v="0"/>
    <n v="0"/>
    <n v="102"/>
    <s v="_x0000_US"/>
  </r>
  <r>
    <x v="1"/>
    <n v="13.693199999999999"/>
    <n v="-89.1798"/>
    <n v="14300"/>
    <n v="0"/>
    <n v="0"/>
    <n v="102"/>
    <s v="_x0000_US"/>
  </r>
  <r>
    <x v="1"/>
    <n v="13.693199999999999"/>
    <n v="-89.179900000000004"/>
    <n v="14300"/>
    <n v="0"/>
    <n v="0"/>
    <n v="102"/>
    <s v="_x0000_US"/>
  </r>
  <r>
    <x v="1"/>
    <n v="13.693099999999999"/>
    <n v="-89.18"/>
    <n v="14300"/>
    <n v="0"/>
    <n v="0"/>
    <n v="102"/>
    <s v="_x0000_US"/>
  </r>
  <r>
    <x v="1"/>
    <n v="13.693099999999999"/>
    <n v="-89.180099999999996"/>
    <n v="14300"/>
    <n v="0"/>
    <n v="0"/>
    <n v="102"/>
    <s v="_x0000_US"/>
  </r>
  <r>
    <x v="1"/>
    <n v="13.693199999999999"/>
    <n v="-89.180099999999996"/>
    <n v="14300"/>
    <n v="0"/>
    <n v="0"/>
    <n v="102"/>
    <s v="_x0000_US"/>
  </r>
  <r>
    <x v="1"/>
    <n v="13.693099999999999"/>
    <n v="-89.180099999999996"/>
    <n v="14300"/>
    <n v="0"/>
    <n v="0"/>
    <n v="102"/>
    <s v="_x0000_US"/>
  </r>
  <r>
    <x v="1"/>
    <n v="13.693199999999999"/>
    <n v="-89.18"/>
    <n v="14300"/>
    <n v="0"/>
    <n v="0"/>
    <n v="102"/>
    <s v="_x0000_US"/>
  </r>
  <r>
    <x v="1"/>
    <n v="13.693199999999999"/>
    <n v="-89.18"/>
    <n v="14300"/>
    <n v="0"/>
    <n v="0"/>
    <n v="102"/>
    <s v="_x0000_US"/>
  </r>
  <r>
    <x v="1"/>
    <n v="13.693199999999999"/>
    <n v="-89.18"/>
    <n v="14300"/>
    <n v="0"/>
    <n v="0"/>
    <n v="102"/>
    <s v="_x0000_US"/>
  </r>
  <r>
    <x v="1"/>
    <n v="13.693199999999999"/>
    <n v="-89.18"/>
    <n v="14300"/>
    <n v="0"/>
    <n v="0"/>
    <n v="102"/>
    <s v="_x0000_US"/>
  </r>
  <r>
    <x v="1"/>
    <n v="13.693199999999999"/>
    <n v="-89.180099999999996"/>
    <n v="14300"/>
    <n v="0"/>
    <n v="0"/>
    <n v="102"/>
    <s v="_x0000_US"/>
  </r>
  <r>
    <x v="1"/>
    <n v="13.693199999999999"/>
    <n v="-89.180099999999996"/>
    <n v="14300"/>
    <n v="0"/>
    <n v="0"/>
    <n v="102"/>
    <s v="_x0000_US"/>
  </r>
  <r>
    <x v="1"/>
    <n v="13.693300000000001"/>
    <n v="-89.180099999999996"/>
    <n v="14300"/>
    <n v="0"/>
    <n v="0"/>
    <n v="102"/>
    <s v="_x0000_US"/>
  </r>
  <r>
    <x v="1"/>
    <n v="13.693300000000001"/>
    <n v="-89.180099999999996"/>
    <n v="14300"/>
    <n v="0"/>
    <n v="0"/>
    <n v="102"/>
    <s v="_x0000_US"/>
  </r>
  <r>
    <x v="1"/>
    <n v="13.693300000000001"/>
    <n v="-89.18"/>
    <n v="14300"/>
    <n v="0"/>
    <n v="0"/>
    <n v="102"/>
    <s v="_x0000_US"/>
  </r>
  <r>
    <x v="1"/>
    <n v="13.693300000000001"/>
    <n v="-89.18"/>
    <n v="14300"/>
    <n v="0"/>
    <n v="0"/>
    <n v="102"/>
    <s v="_x0000_US"/>
  </r>
  <r>
    <x v="1"/>
    <n v="13.693300000000001"/>
    <n v="-89.18"/>
    <n v="14300"/>
    <n v="0"/>
    <n v="0"/>
    <n v="102"/>
    <s v="_x0000_US"/>
  </r>
  <r>
    <x v="1"/>
    <n v="13.693300000000001"/>
    <n v="-89.18"/>
    <n v="14300"/>
    <n v="0"/>
    <n v="0"/>
    <n v="102"/>
    <s v="_x0000_US"/>
  </r>
  <r>
    <x v="1"/>
    <n v="13.6934"/>
    <n v="-89.180300000000003"/>
    <n v="14300"/>
    <n v="0"/>
    <n v="0"/>
    <n v="102"/>
    <s v="_x0000_US"/>
  </r>
  <r>
    <x v="1"/>
    <n v="13.6936"/>
    <n v="-89.180099999999996"/>
    <n v="14300"/>
    <n v="0"/>
    <n v="0"/>
    <n v="102"/>
    <s v="_x0000_US"/>
  </r>
  <r>
    <x v="1"/>
    <n v="13.6935"/>
    <n v="-89.180099999999996"/>
    <n v="14300"/>
    <n v="0"/>
    <n v="0"/>
    <n v="102"/>
    <s v="_x0000_US"/>
  </r>
  <r>
    <x v="1"/>
    <n v="13.6935"/>
    <n v="-89.180099999999996"/>
    <n v="14300"/>
    <n v="0"/>
    <n v="0"/>
    <n v="102"/>
    <s v="_x0000_US"/>
  </r>
  <r>
    <x v="1"/>
    <n v="13.6935"/>
    <n v="-89.18"/>
    <n v="14300"/>
    <n v="0"/>
    <n v="0"/>
    <n v="102"/>
    <s v="_x0000_US"/>
  </r>
  <r>
    <x v="1"/>
    <n v="13.6935"/>
    <n v="-89.18"/>
    <n v="14300"/>
    <n v="0"/>
    <n v="0"/>
    <n v="102"/>
    <s v="_x0000_US"/>
  </r>
  <r>
    <x v="1"/>
    <n v="13.6935"/>
    <n v="-89.18"/>
    <n v="14300"/>
    <n v="0"/>
    <n v="0"/>
    <n v="102"/>
    <s v="_x0000_US"/>
  </r>
  <r>
    <x v="1"/>
    <n v="13.6935"/>
    <n v="-89.179900000000004"/>
    <n v="14300"/>
    <n v="0"/>
    <n v="0"/>
    <n v="102"/>
    <s v="_x0000_US"/>
  </r>
  <r>
    <x v="1"/>
    <n v="13.6934"/>
    <n v="-89.179900000000004"/>
    <n v="14300"/>
    <n v="0"/>
    <n v="0"/>
    <n v="102"/>
    <s v="_x0000_US"/>
  </r>
  <r>
    <x v="1"/>
    <n v="13.6934"/>
    <n v="-89.1798"/>
    <n v="14300"/>
    <n v="0"/>
    <n v="0"/>
    <n v="102"/>
    <s v="_x0000_US"/>
  </r>
  <r>
    <x v="1"/>
    <n v="13.6934"/>
    <n v="-89.1798"/>
    <n v="14300"/>
    <n v="0"/>
    <n v="0"/>
    <n v="102"/>
    <s v="_x0000_US"/>
  </r>
  <r>
    <x v="1"/>
    <n v="13.6934"/>
    <n v="-89.179699999999997"/>
    <n v="14300"/>
    <n v="0"/>
    <n v="0"/>
    <n v="102"/>
    <s v="_x0000_US"/>
  </r>
  <r>
    <x v="1"/>
    <n v="13.6934"/>
    <n v="-89.179699999999997"/>
    <n v="14300"/>
    <n v="0"/>
    <n v="0"/>
    <n v="102"/>
    <s v="_x0000_US"/>
  </r>
  <r>
    <x v="1"/>
    <n v="13.6934"/>
    <n v="-89.179599999999994"/>
    <n v="14300"/>
    <n v="0"/>
    <n v="0"/>
    <n v="102"/>
    <s v="_x0000_US"/>
  </r>
  <r>
    <x v="1"/>
    <n v="13.6934"/>
    <n v="-89.179599999999994"/>
    <n v="14300"/>
    <n v="0"/>
    <n v="0"/>
    <n v="102"/>
    <s v="_x0000_US"/>
  </r>
  <r>
    <x v="1"/>
    <n v="13.6934"/>
    <n v="-89.179599999999994"/>
    <n v="14300"/>
    <n v="0"/>
    <n v="0"/>
    <n v="102"/>
    <s v="_x0000_US"/>
  </r>
  <r>
    <x v="1"/>
    <n v="13.6934"/>
    <n v="-89.179599999999994"/>
    <n v="14300"/>
    <n v="0"/>
    <n v="0"/>
    <n v="102"/>
    <s v="_x0000_US"/>
  </r>
  <r>
    <x v="1"/>
    <n v="13.6934"/>
    <n v="-89.179500000000004"/>
    <n v="14300"/>
    <n v="0"/>
    <n v="0"/>
    <n v="102"/>
    <s v="_x0000_US"/>
  </r>
  <r>
    <x v="1"/>
    <n v="13.6934"/>
    <n v="-89.179500000000004"/>
    <n v="14300"/>
    <n v="0"/>
    <n v="0"/>
    <n v="102"/>
    <s v="_x0000_US"/>
  </r>
  <r>
    <x v="1"/>
    <n v="13.6934"/>
    <n v="-89.179400000000001"/>
    <n v="14300"/>
    <n v="0"/>
    <n v="0"/>
    <n v="102"/>
    <s v="_x0000_US"/>
  </r>
  <r>
    <x v="1"/>
    <n v="13.6934"/>
    <n v="-89.179299999999998"/>
    <n v="14300"/>
    <n v="0"/>
    <n v="0"/>
    <n v="102"/>
    <s v="_x0000_US"/>
  </r>
  <r>
    <x v="1"/>
    <n v="13.6934"/>
    <n v="-89.179199999999994"/>
    <n v="14300"/>
    <n v="0"/>
    <n v="0"/>
    <n v="102"/>
    <s v="_x0000_US"/>
  </r>
  <r>
    <x v="1"/>
    <n v="13.6934"/>
    <n v="-89.179100000000005"/>
    <n v="14300"/>
    <n v="0"/>
    <n v="0"/>
    <n v="102"/>
    <s v="_x0000_US"/>
  </r>
  <r>
    <x v="1"/>
    <n v="13.6934"/>
    <n v="-89.179000000000002"/>
    <n v="14300"/>
    <n v="0"/>
    <n v="0"/>
    <n v="102"/>
    <s v="_x0000_US"/>
  </r>
  <r>
    <x v="1"/>
    <n v="13.6934"/>
    <n v="-89.178899999999999"/>
    <n v="14300"/>
    <n v="0"/>
    <n v="0"/>
    <n v="102"/>
    <s v="_x0000_US"/>
  </r>
  <r>
    <x v="1"/>
    <n v="13.6934"/>
    <n v="-89.178899999999999"/>
    <n v="14300"/>
    <n v="0"/>
    <n v="0"/>
    <n v="102"/>
    <s v="_x0000_US"/>
  </r>
  <r>
    <x v="1"/>
    <n v="13.6934"/>
    <n v="-89.178799999999995"/>
    <n v="14300"/>
    <n v="0"/>
    <n v="0"/>
    <n v="102"/>
    <s v="_x0000_US"/>
  </r>
  <r>
    <x v="1"/>
    <n v="13.6934"/>
    <n v="-89.178700000000006"/>
    <n v="14300"/>
    <n v="0"/>
    <n v="0"/>
    <n v="102"/>
    <s v="_x0000_US"/>
  </r>
  <r>
    <x v="1"/>
    <n v="13.6934"/>
    <n v="-89.178700000000006"/>
    <n v="14300"/>
    <n v="0"/>
    <n v="0"/>
    <n v="102"/>
    <s v="_x0000_US"/>
  </r>
  <r>
    <x v="1"/>
    <n v="13.6934"/>
    <n v="-89.178700000000006"/>
    <n v="14300"/>
    <n v="0"/>
    <n v="0"/>
    <n v="102"/>
    <s v="_x0000_US"/>
  </r>
  <r>
    <x v="1"/>
    <n v="13.6934"/>
    <n v="-89.178700000000006"/>
    <n v="14300"/>
    <n v="0"/>
    <n v="0"/>
    <n v="102"/>
    <s v="_x0000_US"/>
  </r>
  <r>
    <x v="1"/>
    <n v="13.6934"/>
    <n v="-89.178700000000006"/>
    <n v="14300"/>
    <n v="0"/>
    <n v="0"/>
    <n v="102"/>
    <s v="_x0000_US"/>
  </r>
  <r>
    <x v="1"/>
    <n v="13.6935"/>
    <n v="-89.178700000000006"/>
    <n v="14300"/>
    <n v="0"/>
    <n v="0"/>
    <n v="102"/>
    <s v="_x0000_US"/>
  </r>
  <r>
    <x v="1"/>
    <n v="13.6935"/>
    <n v="-89.178700000000006"/>
    <n v="14300"/>
    <n v="0"/>
    <n v="0"/>
    <n v="102"/>
    <s v="_x0000_US"/>
  </r>
  <r>
    <x v="1"/>
    <n v="13.693300000000001"/>
    <n v="-89.178600000000003"/>
    <n v="14300"/>
    <n v="0"/>
    <n v="0"/>
    <n v="102"/>
    <s v="_x0000_US"/>
  </r>
  <r>
    <x v="1"/>
    <n v="13.6934"/>
    <n v="-89.178600000000003"/>
    <n v="14300"/>
    <n v="0"/>
    <n v="0"/>
    <n v="102"/>
    <s v="_x0000_US"/>
  </r>
  <r>
    <x v="1"/>
    <n v="13.6934"/>
    <n v="-89.178600000000003"/>
    <n v="14300"/>
    <n v="0"/>
    <n v="0"/>
    <n v="102"/>
    <s v="_x0000_US"/>
  </r>
  <r>
    <x v="1"/>
    <n v="13.6934"/>
    <n v="-89.178600000000003"/>
    <n v="14300"/>
    <n v="0"/>
    <n v="0"/>
    <n v="102"/>
    <s v="_x0000_US"/>
  </r>
  <r>
    <x v="1"/>
    <n v="13.6934"/>
    <n v="-89.178600000000003"/>
    <n v="14300"/>
    <n v="0"/>
    <n v="0"/>
    <n v="102"/>
    <s v="_x0000_US"/>
  </r>
  <r>
    <x v="1"/>
    <n v="13.6934"/>
    <n v="-89.178600000000003"/>
    <n v="14300"/>
    <n v="0"/>
    <n v="0"/>
    <n v="102"/>
    <s v="_x0000_US"/>
  </r>
  <r>
    <x v="1"/>
    <n v="13.6935"/>
    <n v="-89.178600000000003"/>
    <n v="14300"/>
    <n v="0"/>
    <n v="0"/>
    <n v="102"/>
    <s v="_x0000_US"/>
  </r>
  <r>
    <x v="1"/>
    <n v="13.6935"/>
    <n v="-89.178600000000003"/>
    <n v="14300"/>
    <n v="0"/>
    <n v="0"/>
    <n v="102"/>
    <s v="_x0000_US"/>
  </r>
  <r>
    <x v="1"/>
    <n v="13.693"/>
    <n v="-89.179000000000002"/>
    <n v="14300"/>
    <n v="0"/>
    <n v="0"/>
    <n v="102"/>
    <s v="_x0000_US"/>
  </r>
  <r>
    <x v="1"/>
    <n v="13.6929"/>
    <n v="-89.179000000000002"/>
    <n v="14300"/>
    <n v="0"/>
    <n v="0"/>
    <n v="102"/>
    <s v="_x0000_US"/>
  </r>
  <r>
    <x v="1"/>
    <n v="13.6929"/>
    <n v="-89.179100000000005"/>
    <n v="14300"/>
    <n v="0"/>
    <n v="0"/>
    <n v="102"/>
    <s v="_x0000_US"/>
  </r>
  <r>
    <x v="1"/>
    <n v="13.693"/>
    <n v="-89.179100000000005"/>
    <n v="14300"/>
    <n v="0"/>
    <n v="0"/>
    <n v="102"/>
    <s v="_x0000_US"/>
  </r>
  <r>
    <x v="1"/>
    <n v="13.6929"/>
    <n v="-89.179100000000005"/>
    <n v="14300"/>
    <n v="0"/>
    <n v="0"/>
    <n v="102"/>
    <s v="_x0000_US"/>
  </r>
  <r>
    <x v="1"/>
    <n v="13.6929"/>
    <n v="-89.179199999999994"/>
    <n v="14300"/>
    <n v="0"/>
    <n v="0"/>
    <n v="102"/>
    <s v="_x0000_US"/>
  </r>
  <r>
    <x v="1"/>
    <n v="13.693"/>
    <n v="-89.179299999999998"/>
    <n v="14300"/>
    <n v="0"/>
    <n v="0"/>
    <n v="102"/>
    <s v="_x0000_US"/>
  </r>
  <r>
    <x v="1"/>
    <n v="13.693"/>
    <n v="-89.179299999999998"/>
    <n v="14300"/>
    <n v="0"/>
    <n v="0"/>
    <n v="102"/>
    <s v="_x0000_US"/>
  </r>
  <r>
    <x v="1"/>
    <n v="13.693099999999999"/>
    <n v="-89.179299999999998"/>
    <n v="14300"/>
    <n v="0"/>
    <n v="0"/>
    <n v="102"/>
    <s v="_x0000_US"/>
  </r>
  <r>
    <x v="1"/>
    <n v="13.693"/>
    <n v="-89.179400000000001"/>
    <n v="14300"/>
    <n v="0"/>
    <n v="0"/>
    <n v="102"/>
    <s v="_x0000_US"/>
  </r>
  <r>
    <x v="1"/>
    <n v="13.6929"/>
    <n v="-89.179500000000004"/>
    <n v="14300"/>
    <n v="0"/>
    <n v="0"/>
    <n v="102"/>
    <s v="_x0000_US"/>
  </r>
  <r>
    <x v="1"/>
    <n v="13.6929"/>
    <n v="-89.179599999999994"/>
    <n v="14300"/>
    <n v="0"/>
    <n v="0"/>
    <n v="102"/>
    <s v="_x0000_US"/>
  </r>
  <r>
    <x v="1"/>
    <n v="13.693"/>
    <n v="-89.179500000000004"/>
    <n v="14300"/>
    <n v="0"/>
    <n v="0"/>
    <n v="102"/>
    <s v="_x0000_US"/>
  </r>
  <r>
    <x v="1"/>
    <n v="13.693"/>
    <n v="-89.179400000000001"/>
    <n v="14300"/>
    <n v="0"/>
    <n v="0"/>
    <n v="102"/>
    <s v="_x0000_US"/>
  </r>
  <r>
    <x v="1"/>
    <n v="13.693099999999999"/>
    <n v="-89.179400000000001"/>
    <n v="14300"/>
    <n v="0"/>
    <n v="0"/>
    <n v="102"/>
    <s v="_x0000_US"/>
  </r>
  <r>
    <x v="1"/>
    <n v="13.693"/>
    <n v="-89.179699999999997"/>
    <n v="14300"/>
    <n v="0"/>
    <n v="0"/>
    <n v="102"/>
    <s v="_x0000_US"/>
  </r>
  <r>
    <x v="1"/>
    <n v="13.693099999999999"/>
    <n v="-89.179699999999997"/>
    <n v="14300"/>
    <n v="0"/>
    <n v="0"/>
    <n v="102"/>
    <s v="_x0000_US"/>
  </r>
  <r>
    <x v="1"/>
    <n v="13.6936"/>
    <n v="-89.179599999999994"/>
    <n v="14300"/>
    <n v="0"/>
    <n v="0"/>
    <n v="102"/>
    <s v="_x0000_US"/>
  </r>
  <r>
    <x v="1"/>
    <n v="13.6936"/>
    <n v="-89.179599999999994"/>
    <n v="14300"/>
    <n v="0"/>
    <n v="0"/>
    <n v="102"/>
    <s v="_x0000_US"/>
  </r>
  <r>
    <x v="1"/>
    <n v="13.6936"/>
    <n v="-89.179599999999994"/>
    <n v="14300"/>
    <n v="0"/>
    <n v="0"/>
    <n v="102"/>
    <s v="_x0000_US"/>
  </r>
  <r>
    <x v="1"/>
    <n v="13.6936"/>
    <n v="-89.179599999999994"/>
    <n v="14300"/>
    <n v="0"/>
    <n v="0"/>
    <n v="102"/>
    <s v="_x0000_US"/>
  </r>
  <r>
    <x v="1"/>
    <n v="13.6936"/>
    <n v="-89.179599999999994"/>
    <n v="14300"/>
    <n v="0"/>
    <n v="0"/>
    <n v="102"/>
    <s v="_x0000_US"/>
  </r>
  <r>
    <x v="1"/>
    <n v="13.6936"/>
    <n v="-89.179599999999994"/>
    <n v="14300"/>
    <n v="0"/>
    <n v="0"/>
    <n v="102"/>
    <s v="_x0000_US"/>
  </r>
  <r>
    <x v="1"/>
    <n v="13.6936"/>
    <n v="-89.179599999999994"/>
    <n v="14300"/>
    <n v="0"/>
    <n v="0"/>
    <n v="102"/>
    <s v="_x0000_US"/>
  </r>
  <r>
    <x v="1"/>
    <n v="13.6936"/>
    <n v="-89.179599999999994"/>
    <n v="14300"/>
    <n v="0"/>
    <n v="0"/>
    <n v="102"/>
    <s v="_x0000_US"/>
  </r>
  <r>
    <x v="1"/>
    <n v="13.6936"/>
    <n v="-89.179699999999997"/>
    <n v="14300"/>
    <n v="0"/>
    <n v="0"/>
    <n v="102"/>
    <s v="_x0000_US"/>
  </r>
  <r>
    <x v="1"/>
    <n v="13.6936"/>
    <n v="-89.179699999999997"/>
    <n v="14300"/>
    <n v="0"/>
    <n v="0"/>
    <n v="102"/>
    <s v="_x0000_US"/>
  </r>
  <r>
    <x v="1"/>
    <n v="13.6936"/>
    <n v="-89.179699999999997"/>
    <n v="14300"/>
    <n v="0"/>
    <n v="0"/>
    <n v="102"/>
    <s v="_x0000_US"/>
  </r>
  <r>
    <x v="1"/>
    <n v="13.6936"/>
    <n v="-89.179699999999997"/>
    <n v="14300"/>
    <n v="0"/>
    <n v="0"/>
    <n v="102"/>
    <s v="_x0000_US"/>
  </r>
  <r>
    <x v="1"/>
    <n v="13.6936"/>
    <n v="-89.179699999999997"/>
    <n v="14300"/>
    <n v="0"/>
    <n v="0"/>
    <n v="102"/>
    <s v="_x0000_US"/>
  </r>
  <r>
    <x v="1"/>
    <n v="13.6936"/>
    <n v="-89.179699999999997"/>
    <n v="14300"/>
    <n v="0"/>
    <n v="0"/>
    <n v="102"/>
    <s v="_x0000_US"/>
  </r>
  <r>
    <x v="1"/>
    <n v="13.6936"/>
    <n v="-89.179699999999997"/>
    <n v="14300"/>
    <n v="0"/>
    <n v="0"/>
    <n v="102"/>
    <s v="_x0000_US"/>
  </r>
  <r>
    <x v="1"/>
    <n v="13.6936"/>
    <n v="-89.179699999999997"/>
    <n v="14300"/>
    <n v="0"/>
    <n v="0"/>
    <n v="102"/>
    <s v="_x0000_US"/>
  </r>
  <r>
    <x v="1"/>
    <n v="13.6936"/>
    <n v="-89.179699999999997"/>
    <n v="14300"/>
    <n v="0"/>
    <n v="0"/>
    <n v="102"/>
    <s v="_x0000_US"/>
  </r>
  <r>
    <x v="1"/>
    <n v="13.6936"/>
    <n v="-89.179699999999997"/>
    <n v="14300"/>
    <n v="0"/>
    <n v="0"/>
    <n v="102"/>
    <s v="_x0000_US"/>
  </r>
  <r>
    <x v="1"/>
    <n v="13.6936"/>
    <n v="-89.1798"/>
    <n v="14300"/>
    <n v="0"/>
    <n v="0"/>
    <n v="102"/>
    <s v="_x0000_US"/>
  </r>
  <r>
    <x v="1"/>
    <n v="13.6936"/>
    <n v="-89.1798"/>
    <n v="14300"/>
    <n v="0"/>
    <n v="0"/>
    <n v="102"/>
    <s v="_x0000_US"/>
  </r>
  <r>
    <x v="1"/>
    <n v="13.6936"/>
    <n v="-89.1798"/>
    <n v="14300"/>
    <n v="0"/>
    <n v="0"/>
    <n v="102"/>
    <s v="_x0000_US"/>
  </r>
  <r>
    <x v="1"/>
    <n v="13.6936"/>
    <n v="-89.1798"/>
    <n v="14300"/>
    <n v="0"/>
    <n v="0"/>
    <n v="102"/>
    <s v="_x0000_US"/>
  </r>
  <r>
    <x v="1"/>
    <n v="13.6936"/>
    <n v="-89.1798"/>
    <n v="14300"/>
    <n v="0"/>
    <n v="0"/>
    <n v="102"/>
    <s v="_x0000_US"/>
  </r>
  <r>
    <x v="1"/>
    <n v="13.6937"/>
    <n v="-89.1798"/>
    <n v="14300"/>
    <n v="0"/>
    <n v="0"/>
    <n v="102"/>
    <s v="_x0000_US"/>
  </r>
  <r>
    <x v="1"/>
    <n v="13.6937"/>
    <n v="-89.1798"/>
    <n v="14300"/>
    <n v="0"/>
    <n v="0"/>
    <n v="102"/>
    <s v="_x0000_US"/>
  </r>
  <r>
    <x v="1"/>
    <n v="13.6937"/>
    <n v="-89.1798"/>
    <n v="14300"/>
    <n v="0"/>
    <n v="0"/>
    <n v="102"/>
    <s v="_x0000_US"/>
  </r>
  <r>
    <x v="1"/>
    <n v="13.6937"/>
    <n v="-89.1798"/>
    <n v="14300"/>
    <n v="0"/>
    <n v="0"/>
    <n v="102"/>
    <s v="_x0000_US"/>
  </r>
  <r>
    <x v="1"/>
    <n v="13.6938"/>
    <n v="-89.179699999999997"/>
    <n v="14300"/>
    <n v="0"/>
    <n v="0"/>
    <n v="102"/>
    <s v="_x0000_US"/>
  </r>
  <r>
    <x v="1"/>
    <n v="13.6937"/>
    <n v="-89.179699999999997"/>
    <n v="14300"/>
    <n v="0"/>
    <n v="0"/>
    <n v="102"/>
    <s v="_x0000_US"/>
  </r>
  <r>
    <x v="1"/>
    <n v="13.6937"/>
    <n v="-89.179699999999997"/>
    <n v="14300"/>
    <n v="0"/>
    <n v="0"/>
    <n v="102"/>
    <s v="_x0000_US"/>
  </r>
  <r>
    <x v="1"/>
    <n v="13.6938"/>
    <n v="-89.179699999999997"/>
    <n v="14300"/>
    <n v="0"/>
    <n v="0"/>
    <n v="102"/>
    <s v="_x0000_US"/>
  </r>
  <r>
    <x v="1"/>
    <n v="13.6937"/>
    <n v="-89.179699999999997"/>
    <n v="14300"/>
    <n v="0"/>
    <n v="0"/>
    <n v="102"/>
    <s v="_x0000_US"/>
  </r>
  <r>
    <x v="1"/>
    <n v="13.6937"/>
    <n v="-89.179699999999997"/>
    <n v="14300"/>
    <n v="0"/>
    <n v="0"/>
    <n v="102"/>
    <s v="_x0000_US"/>
  </r>
  <r>
    <x v="1"/>
    <n v="13.6938"/>
    <n v="-89.179599999999994"/>
    <n v="14300"/>
    <n v="0"/>
    <n v="0"/>
    <n v="102"/>
    <s v="_x0000_US"/>
  </r>
  <r>
    <x v="1"/>
    <n v="13.6937"/>
    <n v="-89.179599999999994"/>
    <n v="14300"/>
    <n v="0"/>
    <n v="0"/>
    <n v="102"/>
    <s v="_x0000_US"/>
  </r>
  <r>
    <x v="1"/>
    <n v="13.6937"/>
    <n v="-89.179599999999994"/>
    <n v="14300"/>
    <n v="0"/>
    <n v="0"/>
    <n v="102"/>
    <s v="_x0000_US"/>
  </r>
  <r>
    <x v="1"/>
    <n v="13.6937"/>
    <n v="-89.179599999999994"/>
    <n v="14300"/>
    <n v="0"/>
    <n v="0"/>
    <n v="102"/>
    <s v="_x0000_US"/>
  </r>
  <r>
    <x v="1"/>
    <n v="13.6938"/>
    <n v="-89.179599999999994"/>
    <n v="14300"/>
    <n v="0"/>
    <n v="0"/>
    <n v="102"/>
    <s v="_x0000_US"/>
  </r>
  <r>
    <x v="1"/>
    <n v="13.6937"/>
    <n v="-89.179599999999994"/>
    <n v="14300"/>
    <n v="0"/>
    <n v="0"/>
    <n v="102"/>
    <s v="_x0000_US"/>
  </r>
  <r>
    <x v="1"/>
    <n v="13.6937"/>
    <n v="-89.179599999999994"/>
    <n v="14300"/>
    <n v="0"/>
    <n v="0"/>
    <n v="102"/>
    <s v="_x0000_US"/>
  </r>
  <r>
    <x v="1"/>
    <n v="13.6937"/>
    <n v="-89.179599999999994"/>
    <n v="14300"/>
    <n v="0"/>
    <n v="0"/>
    <n v="102"/>
    <s v="_x0000_US"/>
  </r>
  <r>
    <x v="1"/>
    <n v="13.6936"/>
    <n v="-89.180199999999999"/>
    <n v="14300"/>
    <n v="0"/>
    <n v="0"/>
    <n v="102"/>
    <s v="_x0000_US"/>
  </r>
  <r>
    <x v="1"/>
    <n v="13.6937"/>
    <n v="-89.180099999999996"/>
    <n v="14300"/>
    <n v="0"/>
    <n v="0"/>
    <n v="102"/>
    <s v="_x0000_US"/>
  </r>
  <r>
    <x v="1"/>
    <n v="13.6937"/>
    <n v="-89.180099999999996"/>
    <n v="14300"/>
    <n v="0"/>
    <n v="0"/>
    <n v="102"/>
    <s v="_x0000_US"/>
  </r>
  <r>
    <x v="1"/>
    <n v="13.6937"/>
    <n v="-89.180099999999996"/>
    <n v="14300"/>
    <n v="0"/>
    <n v="0"/>
    <n v="102"/>
    <s v="_x0000_US"/>
  </r>
  <r>
    <x v="1"/>
    <n v="13.6937"/>
    <n v="-89.180099999999996"/>
    <n v="14300"/>
    <n v="0"/>
    <n v="0"/>
    <n v="102"/>
    <s v="_x0000_US"/>
  </r>
  <r>
    <x v="1"/>
    <n v="13.693899999999999"/>
    <n v="-89.179699999999997"/>
    <n v="14300"/>
    <n v="0"/>
    <n v="0"/>
    <n v="102"/>
    <s v="_x0000_US"/>
  </r>
  <r>
    <x v="1"/>
    <n v="13.693899999999999"/>
    <n v="-89.179699999999997"/>
    <n v="14300"/>
    <n v="0"/>
    <n v="0"/>
    <n v="102"/>
    <s v="_x0000_US"/>
  </r>
  <r>
    <x v="1"/>
    <n v="13.693899999999999"/>
    <n v="-89.179699999999997"/>
    <n v="14300"/>
    <n v="0"/>
    <n v="0"/>
    <n v="102"/>
    <s v="_x0000_US"/>
  </r>
  <r>
    <x v="1"/>
    <n v="13.693899999999999"/>
    <n v="-89.179699999999997"/>
    <n v="14300"/>
    <n v="0"/>
    <n v="0"/>
    <n v="102"/>
    <s v="_x0000_US"/>
  </r>
  <r>
    <x v="1"/>
    <n v="13.693899999999999"/>
    <n v="-89.179699999999997"/>
    <n v="14300"/>
    <n v="0"/>
    <n v="0"/>
    <n v="102"/>
    <s v="_x0000_US"/>
  </r>
  <r>
    <x v="1"/>
    <n v="13.693899999999999"/>
    <n v="-89.179599999999994"/>
    <n v="14300"/>
    <n v="0"/>
    <n v="0"/>
    <n v="102"/>
    <s v="_x0000_US"/>
  </r>
  <r>
    <x v="1"/>
    <n v="13.693899999999999"/>
    <n v="-89.179599999999994"/>
    <n v="14300"/>
    <n v="0"/>
    <n v="0"/>
    <n v="102"/>
    <s v="_x0000_US"/>
  </r>
  <r>
    <x v="1"/>
    <n v="13.693899999999999"/>
    <n v="-89.179599999999994"/>
    <n v="14300"/>
    <n v="0"/>
    <n v="0"/>
    <n v="102"/>
    <s v="_x0000_US"/>
  </r>
  <r>
    <x v="1"/>
    <n v="13.693899999999999"/>
    <n v="-89.179599999999994"/>
    <n v="14300"/>
    <n v="0"/>
    <n v="0"/>
    <n v="102"/>
    <s v="_x0000_US"/>
  </r>
  <r>
    <x v="1"/>
    <n v="13.693899999999999"/>
    <n v="-89.179599999999994"/>
    <n v="14300"/>
    <n v="0"/>
    <n v="0"/>
    <n v="102"/>
    <s v="_x0000_US"/>
  </r>
  <r>
    <x v="1"/>
    <n v="13.693899999999999"/>
    <n v="-89.179599999999994"/>
    <n v="14300"/>
    <n v="0"/>
    <n v="0"/>
    <n v="102"/>
    <s v="_x0000_US"/>
  </r>
  <r>
    <x v="1"/>
    <n v="13.693899999999999"/>
    <n v="-89.179599999999994"/>
    <n v="14300"/>
    <n v="0"/>
    <n v="0"/>
    <n v="102"/>
    <s v="_x0000_US"/>
  </r>
  <r>
    <x v="1"/>
    <n v="13.693899999999999"/>
    <n v="-89.179599999999994"/>
    <n v="14300"/>
    <n v="0"/>
    <n v="0"/>
    <n v="102"/>
    <s v="_x0000_US"/>
  </r>
  <r>
    <x v="1"/>
    <n v="13.693899999999999"/>
    <n v="-89.179599999999994"/>
    <n v="14300"/>
    <n v="0"/>
    <n v="0"/>
    <n v="102"/>
    <s v="_x0000_US"/>
  </r>
  <r>
    <x v="1"/>
    <n v="13.693899999999999"/>
    <n v="-89.179599999999994"/>
    <n v="14300"/>
    <n v="0"/>
    <n v="0"/>
    <n v="102"/>
    <s v="_x0000_US"/>
  </r>
  <r>
    <x v="1"/>
    <n v="13.693899999999999"/>
    <n v="-89.179500000000004"/>
    <n v="14300"/>
    <n v="0"/>
    <n v="0"/>
    <n v="102"/>
    <s v="_x0000_US"/>
  </r>
  <r>
    <x v="1"/>
    <n v="13.693899999999999"/>
    <n v="-89.179500000000004"/>
    <n v="14300"/>
    <n v="0"/>
    <n v="0"/>
    <n v="102"/>
    <s v="_x0000_US"/>
  </r>
  <r>
    <x v="1"/>
    <n v="13.693899999999999"/>
    <n v="-89.179500000000004"/>
    <n v="14300"/>
    <n v="0"/>
    <n v="0"/>
    <n v="102"/>
    <s v="_x0000_US"/>
  </r>
  <r>
    <x v="1"/>
    <n v="13.693899999999999"/>
    <n v="-89.179500000000004"/>
    <n v="14300"/>
    <n v="0"/>
    <n v="0"/>
    <n v="102"/>
    <s v="_x0000_US"/>
  </r>
  <r>
    <x v="1"/>
    <n v="13.693899999999999"/>
    <n v="-89.179500000000004"/>
    <n v="14300"/>
    <n v="0"/>
    <n v="0"/>
    <n v="102"/>
    <s v="_x0000_US"/>
  </r>
  <r>
    <x v="1"/>
    <n v="13.694000000000001"/>
    <n v="-89.179699999999997"/>
    <n v="14300"/>
    <n v="0"/>
    <n v="0"/>
    <n v="102"/>
    <s v="_x0000_US"/>
  </r>
  <r>
    <x v="1"/>
    <n v="13.694000000000001"/>
    <n v="-89.179699999999997"/>
    <n v="14300"/>
    <n v="0"/>
    <n v="0"/>
    <n v="102"/>
    <s v="_x0000_US"/>
  </r>
  <r>
    <x v="1"/>
    <n v="13.694000000000001"/>
    <n v="-89.179599999999994"/>
    <n v="14300"/>
    <n v="0"/>
    <n v="0"/>
    <n v="102"/>
    <s v="_x0000_US"/>
  </r>
  <r>
    <x v="1"/>
    <n v="13.694000000000001"/>
    <n v="-89.179599999999994"/>
    <n v="14300"/>
    <n v="0"/>
    <n v="0"/>
    <n v="102"/>
    <s v="_x0000_US"/>
  </r>
  <r>
    <x v="1"/>
    <n v="13.694000000000001"/>
    <n v="-89.179500000000004"/>
    <n v="14300"/>
    <n v="0"/>
    <n v="0"/>
    <n v="102"/>
    <s v="_x0000_US"/>
  </r>
  <r>
    <x v="1"/>
    <n v="13.693899999999999"/>
    <n v="-89.180099999999996"/>
    <n v="14300"/>
    <n v="0"/>
    <n v="0"/>
    <n v="102"/>
    <s v="_x0000_US"/>
  </r>
  <r>
    <x v="1"/>
    <n v="13.6938"/>
    <n v="-89.180099999999996"/>
    <n v="14300"/>
    <n v="0"/>
    <n v="0"/>
    <n v="102"/>
    <s v="_x0000_US"/>
  </r>
  <r>
    <x v="1"/>
    <n v="13.6938"/>
    <n v="-89.180099999999996"/>
    <n v="14300"/>
    <n v="0"/>
    <n v="0"/>
    <n v="102"/>
    <s v="_x0000_US"/>
  </r>
  <r>
    <x v="1"/>
    <n v="13.6938"/>
    <n v="-89.180199999999999"/>
    <n v="14300"/>
    <n v="0"/>
    <n v="0"/>
    <n v="102"/>
    <s v="_x0000_US"/>
  </r>
  <r>
    <x v="1"/>
    <n v="13.6938"/>
    <n v="-89.180099999999996"/>
    <n v="14300"/>
    <n v="0"/>
    <n v="0"/>
    <n v="102"/>
    <s v="_x0000_US"/>
  </r>
  <r>
    <x v="1"/>
    <n v="13.6938"/>
    <n v="-89.180099999999996"/>
    <n v="14300"/>
    <n v="0"/>
    <n v="0"/>
    <n v="102"/>
    <s v="_x0000_US"/>
  </r>
  <r>
    <x v="1"/>
    <n v="13.6938"/>
    <n v="-89.180099999999996"/>
    <n v="14300"/>
    <n v="0"/>
    <n v="0"/>
    <n v="102"/>
    <s v="_x0000_US"/>
  </r>
  <r>
    <x v="1"/>
    <n v="13.6942"/>
    <n v="-89.180199999999999"/>
    <n v="14300"/>
    <n v="0"/>
    <n v="0"/>
    <n v="102"/>
    <s v="_x0000_US"/>
  </r>
  <r>
    <x v="1"/>
    <n v="13.6942"/>
    <n v="-89.180199999999999"/>
    <n v="14300"/>
    <n v="0"/>
    <n v="0"/>
    <n v="102"/>
    <s v="_x0000_US"/>
  </r>
  <r>
    <x v="1"/>
    <n v="13.6942"/>
    <n v="-89.180199999999999"/>
    <n v="14300"/>
    <n v="0"/>
    <n v="0"/>
    <n v="102"/>
    <s v="_x0000_US"/>
  </r>
  <r>
    <x v="1"/>
    <n v="13.6942"/>
    <n v="-89.180199999999999"/>
    <n v="14300"/>
    <n v="0"/>
    <n v="0"/>
    <n v="102"/>
    <s v="_x0000_US"/>
  </r>
  <r>
    <x v="1"/>
    <n v="13.694100000000001"/>
    <n v="-89.180199999999999"/>
    <n v="14300"/>
    <n v="0"/>
    <n v="0"/>
    <n v="102"/>
    <s v="_x0000_US"/>
  </r>
  <r>
    <x v="1"/>
    <n v="13.694100000000001"/>
    <n v="-89.180099999999996"/>
    <n v="14300"/>
    <n v="0"/>
    <n v="0"/>
    <n v="102"/>
    <s v="_x0000_US"/>
  </r>
  <r>
    <x v="1"/>
    <n v="13.694100000000001"/>
    <n v="-89.180199999999999"/>
    <n v="14300"/>
    <n v="0"/>
    <n v="0"/>
    <n v="102"/>
    <s v="_x0000_US"/>
  </r>
  <r>
    <x v="1"/>
    <n v="13.694100000000001"/>
    <n v="-89.180099999999996"/>
    <n v="14300"/>
    <n v="0"/>
    <n v="0"/>
    <n v="102"/>
    <s v="_x0000_US"/>
  </r>
  <r>
    <x v="1"/>
    <n v="13.694000000000001"/>
    <n v="-89.180099999999996"/>
    <n v="14300"/>
    <n v="0"/>
    <n v="0"/>
    <n v="102"/>
    <s v="_x0000_US"/>
  </r>
  <r>
    <x v="1"/>
    <n v="13.694000000000001"/>
    <n v="-89.180099999999996"/>
    <n v="14300"/>
    <n v="0"/>
    <n v="0"/>
    <n v="102"/>
    <s v="_x0000_US"/>
  </r>
  <r>
    <x v="1"/>
    <n v="13.694100000000001"/>
    <n v="-89.180099999999996"/>
    <n v="14300"/>
    <n v="0"/>
    <n v="0"/>
    <n v="102"/>
    <s v="_x0000_US"/>
  </r>
  <r>
    <x v="1"/>
    <n v="13.694100000000001"/>
    <n v="-89.180099999999996"/>
    <n v="14300"/>
    <n v="0"/>
    <n v="0"/>
    <n v="102"/>
    <s v="_x0000_US"/>
  </r>
  <r>
    <x v="1"/>
    <n v="13.694100000000001"/>
    <n v="-89.180099999999996"/>
    <n v="14300"/>
    <n v="0"/>
    <n v="0"/>
    <n v="102"/>
    <s v="_x0000_US"/>
  </r>
  <r>
    <x v="1"/>
    <n v="13.694000000000001"/>
    <n v="-89.180099999999996"/>
    <n v="14300"/>
    <n v="0"/>
    <n v="0"/>
    <n v="102"/>
    <s v="_x0000_US"/>
  </r>
  <r>
    <x v="1"/>
    <n v="13.694000000000001"/>
    <n v="-89.18"/>
    <n v="14300"/>
    <n v="0"/>
    <n v="0"/>
    <n v="102"/>
    <s v="_x0000_US"/>
  </r>
  <r>
    <x v="1"/>
    <n v="13.694000000000001"/>
    <n v="-89.179699999999997"/>
    <n v="14300"/>
    <n v="0"/>
    <n v="0"/>
    <n v="102"/>
    <s v="_x0000_US"/>
  </r>
  <r>
    <x v="1"/>
    <n v="13.694000000000001"/>
    <n v="-89.179699999999997"/>
    <n v="14300"/>
    <n v="0"/>
    <n v="0"/>
    <n v="102"/>
    <s v="_x0000_US"/>
  </r>
  <r>
    <x v="1"/>
    <n v="13.694000000000001"/>
    <n v="-89.179699999999997"/>
    <n v="14300"/>
    <n v="0"/>
    <n v="0"/>
    <n v="102"/>
    <s v="_x0000_US"/>
  </r>
  <r>
    <x v="1"/>
    <n v="13.694000000000001"/>
    <n v="-89.179599999999994"/>
    <n v="14300"/>
    <n v="0"/>
    <n v="0"/>
    <n v="102"/>
    <s v="_x0000_US"/>
  </r>
  <r>
    <x v="1"/>
    <n v="13.694000000000001"/>
    <n v="-89.179599999999994"/>
    <n v="14300"/>
    <n v="0"/>
    <n v="0"/>
    <n v="102"/>
    <s v="_x0000_US"/>
  </r>
  <r>
    <x v="1"/>
    <n v="13.694000000000001"/>
    <n v="-89.179599999999994"/>
    <n v="14300"/>
    <n v="0"/>
    <n v="0"/>
    <n v="102"/>
    <s v="_x0000_US"/>
  </r>
  <r>
    <x v="1"/>
    <n v="13.694000000000001"/>
    <n v="-89.179599999999994"/>
    <n v="14300"/>
    <n v="0"/>
    <n v="0"/>
    <n v="102"/>
    <s v="_x0000_US"/>
  </r>
  <r>
    <x v="1"/>
    <n v="13.694000000000001"/>
    <n v="-89.179599999999994"/>
    <n v="14300"/>
    <n v="0"/>
    <n v="0"/>
    <n v="102"/>
    <s v="_x0000_US"/>
  </r>
  <r>
    <x v="1"/>
    <n v="13.694000000000001"/>
    <n v="-89.179599999999994"/>
    <n v="14300"/>
    <n v="0"/>
    <n v="0"/>
    <n v="102"/>
    <s v="_x0000_US"/>
  </r>
  <r>
    <x v="1"/>
    <n v="13.694000000000001"/>
    <n v="-89.179500000000004"/>
    <n v="14300"/>
    <n v="0"/>
    <n v="0"/>
    <n v="102"/>
    <s v="_x0000_US"/>
  </r>
  <r>
    <x v="1"/>
    <n v="13.694000000000001"/>
    <n v="-89.179500000000004"/>
    <n v="14300"/>
    <n v="0"/>
    <n v="0"/>
    <n v="102"/>
    <s v="_x0000_US"/>
  </r>
  <r>
    <x v="1"/>
    <n v="13.694000000000001"/>
    <n v="-89.179500000000004"/>
    <n v="14300"/>
    <n v="0"/>
    <n v="0"/>
    <n v="102"/>
    <s v="_x0000_US"/>
  </r>
  <r>
    <x v="1"/>
    <n v="13.6942"/>
    <n v="-89.180199999999999"/>
    <n v="14300"/>
    <n v="0"/>
    <n v="0"/>
    <n v="102"/>
    <s v="_x0000_US"/>
  </r>
  <r>
    <x v="1"/>
    <n v="13.6942"/>
    <n v="-89.180199999999999"/>
    <n v="14300"/>
    <n v="0"/>
    <n v="0"/>
    <n v="102"/>
    <s v="_x0000_US"/>
  </r>
  <r>
    <x v="1"/>
    <n v="13.6942"/>
    <n v="-89.180199999999999"/>
    <n v="14300"/>
    <n v="0"/>
    <n v="0"/>
    <n v="102"/>
    <s v="_x0000_US"/>
  </r>
  <r>
    <x v="1"/>
    <n v="13.6942"/>
    <n v="-89.180199999999999"/>
    <n v="14300"/>
    <n v="0"/>
    <n v="0"/>
    <n v="102"/>
    <s v="_x0000_US"/>
  </r>
  <r>
    <x v="1"/>
    <n v="13.6942"/>
    <n v="-89.180199999999999"/>
    <n v="14300"/>
    <n v="0"/>
    <n v="0"/>
    <n v="102"/>
    <s v="_x0000_US"/>
  </r>
  <r>
    <x v="1"/>
    <n v="13.6942"/>
    <n v="-89.180300000000003"/>
    <n v="14300"/>
    <n v="0"/>
    <n v="0"/>
    <n v="102"/>
    <s v="_x0000_US"/>
  </r>
  <r>
    <x v="1"/>
    <n v="13.6942"/>
    <n v="-89.180300000000003"/>
    <n v="14300"/>
    <n v="0"/>
    <n v="0"/>
    <n v="102"/>
    <s v="_x0000_US"/>
  </r>
  <r>
    <x v="1"/>
    <n v="13.6942"/>
    <n v="-89.180300000000003"/>
    <n v="14300"/>
    <n v="0"/>
    <n v="0"/>
    <n v="102"/>
    <s v="_x0000_US"/>
  </r>
  <r>
    <x v="1"/>
    <n v="13.6942"/>
    <n v="-89.180300000000003"/>
    <n v="14300"/>
    <n v="0"/>
    <n v="0"/>
    <n v="102"/>
    <s v="_x0000_US"/>
  </r>
  <r>
    <x v="1"/>
    <n v="13.694100000000001"/>
    <n v="-89.180300000000003"/>
    <n v="14300"/>
    <n v="0"/>
    <n v="0"/>
    <n v="102"/>
    <s v="_x0000_US"/>
  </r>
  <r>
    <x v="1"/>
    <n v="13.694100000000001"/>
    <n v="-89.180199999999999"/>
    <n v="14300"/>
    <n v="0"/>
    <n v="0"/>
    <n v="102"/>
    <s v="_x0000_US"/>
  </r>
  <r>
    <x v="1"/>
    <n v="13.694100000000001"/>
    <n v="-89.180199999999999"/>
    <n v="14300"/>
    <n v="0"/>
    <n v="0"/>
    <n v="102"/>
    <s v="_x0000_US"/>
  </r>
  <r>
    <x v="1"/>
    <n v="13.694100000000001"/>
    <n v="-89.180199999999999"/>
    <n v="14300"/>
    <n v="0"/>
    <n v="0"/>
    <n v="102"/>
    <s v="_x0000_US"/>
  </r>
  <r>
    <x v="1"/>
    <n v="13.694000000000001"/>
    <n v="-89.180199999999999"/>
    <n v="14300"/>
    <n v="0"/>
    <n v="0"/>
    <n v="102"/>
    <s v="_x0000_US"/>
  </r>
  <r>
    <x v="1"/>
    <n v="13.694000000000001"/>
    <n v="-89.180199999999999"/>
    <n v="14300"/>
    <n v="0"/>
    <n v="0"/>
    <n v="102"/>
    <s v="_x0000_US"/>
  </r>
  <r>
    <x v="1"/>
    <n v="13.694100000000001"/>
    <n v="-89.180300000000003"/>
    <n v="14300"/>
    <n v="0"/>
    <n v="0"/>
    <n v="102"/>
    <s v="_x0000_US"/>
  </r>
  <r>
    <x v="1"/>
    <n v="13.694100000000001"/>
    <n v="-89.180300000000003"/>
    <n v="14300"/>
    <n v="0"/>
    <n v="0"/>
    <n v="102"/>
    <s v="_x0000_US"/>
  </r>
  <r>
    <x v="1"/>
    <n v="13.694100000000001"/>
    <n v="-89.180300000000003"/>
    <n v="14300"/>
    <n v="0"/>
    <n v="0"/>
    <n v="102"/>
    <s v="_x0000_US"/>
  </r>
  <r>
    <x v="1"/>
    <n v="13.694000000000001"/>
    <n v="-89.180300000000003"/>
    <n v="14300"/>
    <n v="0"/>
    <n v="0"/>
    <n v="102"/>
    <s v="_x0000_US"/>
  </r>
  <r>
    <x v="1"/>
    <n v="13.694000000000001"/>
    <n v="-89.180199999999999"/>
    <n v="14300"/>
    <n v="0"/>
    <n v="0"/>
    <n v="102"/>
    <s v="_x0000_US"/>
  </r>
  <r>
    <x v="1"/>
    <n v="13.694000000000001"/>
    <n v="-89.180400000000006"/>
    <n v="14300"/>
    <n v="0"/>
    <n v="0"/>
    <n v="102"/>
    <s v="_x0000_US"/>
  </r>
  <r>
    <x v="1"/>
    <n v="13.694000000000001"/>
    <n v="-89.180400000000006"/>
    <n v="14300"/>
    <n v="0"/>
    <n v="0"/>
    <n v="102"/>
    <s v="_x0000_US"/>
  </r>
  <r>
    <x v="1"/>
    <n v="13.694000000000001"/>
    <n v="-89.180400000000006"/>
    <n v="14300"/>
    <n v="0"/>
    <n v="0"/>
    <n v="102"/>
    <s v="_x0000_US"/>
  </r>
  <r>
    <x v="1"/>
    <n v="13.694000000000001"/>
    <n v="-89.180400000000006"/>
    <n v="14300"/>
    <n v="0"/>
    <n v="0"/>
    <n v="102"/>
    <s v="_x0000_US"/>
  </r>
  <r>
    <x v="1"/>
    <n v="13.693899999999999"/>
    <n v="-89.180400000000006"/>
    <n v="14300"/>
    <n v="0"/>
    <n v="0"/>
    <n v="102"/>
    <s v="_x0000_US"/>
  </r>
  <r>
    <x v="1"/>
    <n v="13.693899999999999"/>
    <n v="-89.180499999999995"/>
    <n v="14300"/>
    <n v="0"/>
    <n v="0"/>
    <n v="102"/>
    <s v="_x0000_US"/>
  </r>
  <r>
    <x v="1"/>
    <n v="13.693899999999999"/>
    <n v="-89.180499999999995"/>
    <n v="14300"/>
    <n v="0"/>
    <n v="0"/>
    <n v="102"/>
    <s v="_x0000_US"/>
  </r>
  <r>
    <x v="1"/>
    <n v="13.693899999999999"/>
    <n v="-89.180499999999995"/>
    <n v="14300"/>
    <n v="0"/>
    <n v="0"/>
    <n v="102"/>
    <s v="_x0000_US"/>
  </r>
  <r>
    <x v="1"/>
    <n v="13.694000000000001"/>
    <n v="-89.180300000000003"/>
    <n v="14300"/>
    <n v="0"/>
    <n v="0"/>
    <n v="102"/>
    <s v="_x0000_US"/>
  </r>
  <r>
    <x v="1"/>
    <n v="13.694000000000001"/>
    <n v="-89.180300000000003"/>
    <n v="14300"/>
    <n v="0"/>
    <n v="0"/>
    <n v="102"/>
    <s v="_x0000_US"/>
  </r>
  <r>
    <x v="1"/>
    <n v="13.693899999999999"/>
    <n v="-89.180300000000003"/>
    <n v="14300"/>
    <n v="0"/>
    <n v="0"/>
    <n v="102"/>
    <s v="_x0000_US"/>
  </r>
  <r>
    <x v="1"/>
    <n v="13.693899999999999"/>
    <n v="-89.180300000000003"/>
    <n v="14300"/>
    <n v="0"/>
    <n v="0"/>
    <n v="102"/>
    <s v="_x0000_US"/>
  </r>
  <r>
    <x v="1"/>
    <n v="13.693899999999999"/>
    <n v="-89.180300000000003"/>
    <n v="14300"/>
    <n v="0"/>
    <n v="0"/>
    <n v="102"/>
    <s v="_x0000_US"/>
  </r>
  <r>
    <x v="1"/>
    <n v="13.693899999999999"/>
    <n v="-89.180300000000003"/>
    <n v="14300"/>
    <n v="0"/>
    <n v="0"/>
    <n v="102"/>
    <s v="_x0000_US"/>
  </r>
  <r>
    <x v="1"/>
    <n v="13.693899999999999"/>
    <n v="-89.180300000000003"/>
    <n v="14300"/>
    <n v="0"/>
    <n v="0"/>
    <n v="102"/>
    <s v="_x0000_US"/>
  </r>
  <r>
    <x v="1"/>
    <n v="13.693899999999999"/>
    <n v="-89.180300000000003"/>
    <n v="14300"/>
    <n v="0"/>
    <n v="0"/>
    <n v="102"/>
    <s v="_x0000_US"/>
  </r>
  <r>
    <x v="1"/>
    <n v="13.693899999999999"/>
    <n v="-89.180199999999999"/>
    <n v="14300"/>
    <n v="0"/>
    <n v="0"/>
    <n v="102"/>
    <s v="_x0000_US"/>
  </r>
  <r>
    <x v="1"/>
    <n v="13.693899999999999"/>
    <n v="-89.180199999999999"/>
    <n v="14300"/>
    <n v="0"/>
    <n v="0"/>
    <n v="102"/>
    <s v="_x0000_US"/>
  </r>
  <r>
    <x v="1"/>
    <n v="13.693899999999999"/>
    <n v="-89.180199999999999"/>
    <n v="14300"/>
    <n v="0"/>
    <n v="0"/>
    <n v="102"/>
    <s v="_x0000_US"/>
  </r>
  <r>
    <x v="1"/>
    <n v="13.6938"/>
    <n v="-89.180199999999999"/>
    <n v="14300"/>
    <n v="0"/>
    <n v="0"/>
    <n v="102"/>
    <s v="_x0000_US"/>
  </r>
  <r>
    <x v="1"/>
    <n v="13.693899999999999"/>
    <n v="-89.180400000000006"/>
    <n v="14300"/>
    <n v="0"/>
    <n v="0"/>
    <n v="102"/>
    <s v="_x0000_US"/>
  </r>
  <r>
    <x v="1"/>
    <n v="13.693899999999999"/>
    <n v="-89.180400000000006"/>
    <n v="14300"/>
    <n v="0"/>
    <n v="0"/>
    <n v="102"/>
    <s v="_x0000_US"/>
  </r>
  <r>
    <x v="1"/>
    <n v="13.693899999999999"/>
    <n v="-89.180400000000006"/>
    <n v="14300"/>
    <n v="0"/>
    <n v="0"/>
    <n v="102"/>
    <s v="_x0000_US"/>
  </r>
  <r>
    <x v="1"/>
    <n v="13.693899999999999"/>
    <n v="-89.180400000000006"/>
    <n v="14300"/>
    <n v="0"/>
    <n v="0"/>
    <n v="102"/>
    <s v="_x0000_US"/>
  </r>
  <r>
    <x v="1"/>
    <n v="13.693899999999999"/>
    <n v="-89.180300000000003"/>
    <n v="14300"/>
    <n v="0"/>
    <n v="0"/>
    <n v="102"/>
    <s v="_x0000_US"/>
  </r>
  <r>
    <x v="1"/>
    <n v="13.6938"/>
    <n v="-89.180300000000003"/>
    <n v="14300"/>
    <n v="0"/>
    <n v="0"/>
    <n v="102"/>
    <s v="_x0000_US"/>
  </r>
  <r>
    <x v="1"/>
    <n v="13.6938"/>
    <n v="-89.180300000000003"/>
    <n v="14300"/>
    <n v="0"/>
    <n v="0"/>
    <n v="102"/>
    <s v="_x0000_US"/>
  </r>
  <r>
    <x v="1"/>
    <n v="13.6938"/>
    <n v="-89.180300000000003"/>
    <n v="14300"/>
    <n v="0"/>
    <n v="0"/>
    <n v="102"/>
    <s v="_x0000_US"/>
  </r>
  <r>
    <x v="1"/>
    <n v="13.6938"/>
    <n v="-89.180499999999995"/>
    <n v="14300"/>
    <n v="0"/>
    <n v="0"/>
    <n v="102"/>
    <s v="_x0000_US"/>
  </r>
  <r>
    <x v="1"/>
    <n v="13.6937"/>
    <n v="-89.180400000000006"/>
    <n v="14300"/>
    <n v="0"/>
    <n v="0"/>
    <n v="102"/>
    <s v="_x0000_US"/>
  </r>
  <r>
    <x v="1"/>
    <n v="13.6938"/>
    <n v="-89.180199999999999"/>
    <n v="14300"/>
    <n v="0"/>
    <n v="0"/>
    <n v="102"/>
    <s v="_x0000_US"/>
  </r>
  <r>
    <x v="1"/>
    <n v="13.6938"/>
    <n v="-89.180300000000003"/>
    <n v="14300"/>
    <n v="0"/>
    <n v="0"/>
    <n v="102"/>
    <s v="_x0000_US"/>
  </r>
  <r>
    <x v="1"/>
    <n v="13.6938"/>
    <n v="-89.180300000000003"/>
    <n v="14300"/>
    <n v="0"/>
    <n v="0"/>
    <n v="102"/>
    <s v="_x0000_US"/>
  </r>
  <r>
    <x v="1"/>
    <n v="13.6938"/>
    <n v="-89.180300000000003"/>
    <n v="14300"/>
    <n v="0"/>
    <n v="0"/>
    <n v="102"/>
    <s v="_x0000_US"/>
  </r>
  <r>
    <x v="1"/>
    <n v="13.6938"/>
    <n v="-89.180199999999999"/>
    <n v="14300"/>
    <n v="0"/>
    <n v="0"/>
    <n v="102"/>
    <s v="_x0000_US"/>
  </r>
  <r>
    <x v="1"/>
    <n v="13.6938"/>
    <n v="-89.180199999999999"/>
    <n v="14300"/>
    <n v="0"/>
    <n v="0"/>
    <n v="102"/>
    <s v="_x0000_US"/>
  </r>
  <r>
    <x v="1"/>
    <n v="13.6938"/>
    <n v="-89.180199999999999"/>
    <n v="14300"/>
    <n v="0"/>
    <n v="0"/>
    <n v="102"/>
    <s v="_x0000_US"/>
  </r>
  <r>
    <x v="1"/>
    <n v="13.6937"/>
    <n v="-89.180199999999999"/>
    <n v="14300"/>
    <n v="0"/>
    <n v="0"/>
    <n v="102"/>
    <s v="_x0000_US"/>
  </r>
  <r>
    <x v="1"/>
    <n v="13.6938"/>
    <n v="-89.180099999999996"/>
    <n v="14300"/>
    <n v="0"/>
    <n v="0"/>
    <n v="102"/>
    <s v="_x0000_US"/>
  </r>
  <r>
    <x v="1"/>
    <n v="13.6937"/>
    <n v="-89.180400000000006"/>
    <n v="14300"/>
    <n v="0"/>
    <n v="0"/>
    <n v="102"/>
    <s v="_x0000_US"/>
  </r>
  <r>
    <x v="1"/>
    <n v="13.6937"/>
    <n v="-89.180300000000003"/>
    <n v="14300"/>
    <n v="0"/>
    <n v="0"/>
    <n v="102"/>
    <s v="_x0000_US"/>
  </r>
  <r>
    <x v="1"/>
    <n v="13.6936"/>
    <n v="-89.180199999999999"/>
    <n v="14300"/>
    <n v="0"/>
    <n v="0"/>
    <n v="102"/>
    <s v="_x0000_US"/>
  </r>
  <r>
    <x v="1"/>
    <n v="13.6937"/>
    <n v="-89.180599999999998"/>
    <n v="14300"/>
    <n v="0"/>
    <n v="0"/>
    <n v="102"/>
    <s v="_x0000_US"/>
  </r>
  <r>
    <x v="1"/>
    <n v="13.6937"/>
    <n v="-89.180599999999998"/>
    <n v="14300"/>
    <n v="0"/>
    <n v="0"/>
    <n v="102"/>
    <s v="_x0000_US"/>
  </r>
  <r>
    <x v="1"/>
    <n v="13.6937"/>
    <n v="-89.180599999999998"/>
    <n v="14300"/>
    <n v="0"/>
    <n v="0"/>
    <n v="102"/>
    <s v="_x0000_US"/>
  </r>
  <r>
    <x v="1"/>
    <n v="13.6937"/>
    <n v="-89.180599999999998"/>
    <n v="14300"/>
    <n v="0"/>
    <n v="0"/>
    <n v="102"/>
    <s v="_x0000_US"/>
  </r>
  <r>
    <x v="1"/>
    <n v="13.6937"/>
    <n v="-89.180599999999998"/>
    <n v="14300"/>
    <n v="0"/>
    <n v="0"/>
    <n v="102"/>
    <s v="_x0000_US"/>
  </r>
  <r>
    <x v="1"/>
    <n v="13.6937"/>
    <n v="-89.180599999999998"/>
    <n v="14300"/>
    <n v="0"/>
    <n v="0"/>
    <n v="102"/>
    <s v="_x0000_US"/>
  </r>
  <r>
    <x v="1"/>
    <n v="13.6937"/>
    <n v="-89.180599999999998"/>
    <n v="14300"/>
    <n v="0"/>
    <n v="0"/>
    <n v="102"/>
    <s v="_x0000_US"/>
  </r>
  <r>
    <x v="1"/>
    <n v="13.6936"/>
    <n v="-89.180599999999998"/>
    <n v="14300"/>
    <n v="0"/>
    <n v="0"/>
    <n v="102"/>
    <s v="_x0000_US"/>
  </r>
  <r>
    <x v="1"/>
    <n v="13.6936"/>
    <n v="-89.180499999999995"/>
    <n v="14300"/>
    <n v="0"/>
    <n v="0"/>
    <n v="102"/>
    <s v="_x0000_US"/>
  </r>
  <r>
    <x v="1"/>
    <n v="13.6936"/>
    <n v="-89.180499999999995"/>
    <n v="14300"/>
    <n v="0"/>
    <n v="0"/>
    <n v="102"/>
    <s v="_x0000_US"/>
  </r>
  <r>
    <x v="1"/>
    <n v="13.6936"/>
    <n v="-89.180499999999995"/>
    <n v="14300"/>
    <n v="0"/>
    <n v="0"/>
    <n v="102"/>
    <s v="_x0000_US"/>
  </r>
  <r>
    <x v="1"/>
    <n v="13.6936"/>
    <n v="-89.180499999999995"/>
    <n v="14300"/>
    <n v="0"/>
    <n v="0"/>
    <n v="102"/>
    <s v="_x0000_US"/>
  </r>
  <r>
    <x v="1"/>
    <n v="13.6936"/>
    <n v="-89.180499999999995"/>
    <n v="14300"/>
    <n v="0"/>
    <n v="0"/>
    <n v="102"/>
    <s v="_x0000_US"/>
  </r>
  <r>
    <x v="1"/>
    <n v="13.6936"/>
    <n v="-89.180499999999995"/>
    <n v="14300"/>
    <n v="0"/>
    <n v="0"/>
    <n v="102"/>
    <s v="_x0000_US"/>
  </r>
  <r>
    <x v="1"/>
    <n v="13.6936"/>
    <n v="-89.180499999999995"/>
    <n v="14300"/>
    <n v="0"/>
    <n v="0"/>
    <n v="102"/>
    <s v="_x0000_US"/>
  </r>
  <r>
    <x v="1"/>
    <n v="13.6936"/>
    <n v="-89.180499999999995"/>
    <n v="14300"/>
    <n v="0"/>
    <n v="0"/>
    <n v="102"/>
    <s v="_x0000_US"/>
  </r>
  <r>
    <x v="1"/>
    <n v="13.6936"/>
    <n v="-89.180400000000006"/>
    <n v="14300"/>
    <n v="0"/>
    <n v="0"/>
    <n v="102"/>
    <s v="_x0000_US"/>
  </r>
  <r>
    <x v="1"/>
    <n v="13.6936"/>
    <n v="-89.180400000000006"/>
    <n v="14300"/>
    <n v="0"/>
    <n v="0"/>
    <n v="102"/>
    <s v="_x0000_US"/>
  </r>
  <r>
    <x v="1"/>
    <n v="13.6936"/>
    <n v="-89.180400000000006"/>
    <n v="14300"/>
    <n v="0"/>
    <n v="0"/>
    <n v="102"/>
    <s v="_x0000_US"/>
  </r>
  <r>
    <x v="1"/>
    <n v="13.6936"/>
    <n v="-89.180400000000006"/>
    <n v="14300"/>
    <n v="0"/>
    <n v="0"/>
    <n v="102"/>
    <s v="_x0000_US"/>
  </r>
  <r>
    <x v="1"/>
    <n v="13.6935"/>
    <n v="-89.180400000000006"/>
    <n v="14300"/>
    <n v="0"/>
    <n v="0"/>
    <n v="102"/>
    <s v="_x0000_US"/>
  </r>
  <r>
    <x v="1"/>
    <n v="13.6936"/>
    <n v="-89.180599999999998"/>
    <n v="14300"/>
    <n v="0"/>
    <n v="0"/>
    <n v="102"/>
    <s v="_x0000_US"/>
  </r>
  <r>
    <x v="1"/>
    <n v="13.6935"/>
    <n v="-89.180599999999998"/>
    <n v="14300"/>
    <n v="0"/>
    <n v="0"/>
    <n v="102"/>
    <s v="_x0000_US"/>
  </r>
  <r>
    <x v="1"/>
    <n v="13.6935"/>
    <n v="-89.180599999999998"/>
    <n v="14300"/>
    <n v="0"/>
    <n v="0"/>
    <n v="102"/>
    <s v="_x0000_US"/>
  </r>
  <r>
    <x v="1"/>
    <n v="13.6935"/>
    <n v="-89.180599999999998"/>
    <n v="14300"/>
    <n v="0"/>
    <n v="0"/>
    <n v="102"/>
    <s v="_x0000_US"/>
  </r>
  <r>
    <x v="1"/>
    <n v="13.6935"/>
    <n v="-89.180599999999998"/>
    <n v="14300"/>
    <n v="0"/>
    <n v="0"/>
    <n v="102"/>
    <s v="_x0000_US"/>
  </r>
  <r>
    <x v="1"/>
    <n v="13.6935"/>
    <n v="-89.180499999999995"/>
    <n v="14300"/>
    <n v="0"/>
    <n v="0"/>
    <n v="102"/>
    <s v="_x0000_US"/>
  </r>
  <r>
    <x v="1"/>
    <n v="13.6935"/>
    <n v="-89.180499999999995"/>
    <n v="14300"/>
    <n v="0"/>
    <n v="0"/>
    <n v="102"/>
    <s v="_x0000_US"/>
  </r>
  <r>
    <x v="1"/>
    <n v="13.6935"/>
    <n v="-89.180499999999995"/>
    <n v="14300"/>
    <n v="0"/>
    <n v="0"/>
    <n v="102"/>
    <s v="_x0000_US"/>
  </r>
  <r>
    <x v="1"/>
    <n v="13.6935"/>
    <n v="-89.180499999999995"/>
    <n v="14300"/>
    <n v="0"/>
    <n v="0"/>
    <n v="102"/>
    <s v="_x0000_US"/>
  </r>
  <r>
    <x v="1"/>
    <n v="13.6935"/>
    <n v="-89.180499999999995"/>
    <n v="14300"/>
    <n v="0"/>
    <n v="0"/>
    <n v="102"/>
    <s v="_x0000_US"/>
  </r>
  <r>
    <x v="1"/>
    <n v="13.6935"/>
    <n v="-89.180499999999995"/>
    <n v="14300"/>
    <n v="0"/>
    <n v="0"/>
    <n v="102"/>
    <s v="_x0000_US"/>
  </r>
  <r>
    <x v="1"/>
    <n v="13.6935"/>
    <n v="-89.180499999999995"/>
    <n v="14300"/>
    <n v="0"/>
    <n v="0"/>
    <n v="102"/>
    <s v="_x0000_US"/>
  </r>
  <r>
    <x v="1"/>
    <n v="13.6935"/>
    <n v="-89.180400000000006"/>
    <n v="14300"/>
    <n v="0"/>
    <n v="0"/>
    <n v="102"/>
    <s v="_x0000_US"/>
  </r>
  <r>
    <x v="1"/>
    <n v="13.6934"/>
    <n v="-89.180400000000006"/>
    <n v="14300"/>
    <n v="0"/>
    <n v="0"/>
    <n v="102"/>
    <s v="_x0000_US"/>
  </r>
  <r>
    <x v="1"/>
    <n v="13.6935"/>
    <n v="-89.180599999999998"/>
    <n v="14300"/>
    <n v="0"/>
    <n v="0"/>
    <n v="102"/>
    <s v="_x0000_US"/>
  </r>
  <r>
    <x v="1"/>
    <n v="13.6934"/>
    <n v="-89.180599999999998"/>
    <n v="14300"/>
    <n v="0"/>
    <n v="0"/>
    <n v="102"/>
    <s v="_x0000_US"/>
  </r>
  <r>
    <x v="1"/>
    <n v="13.6934"/>
    <n v="-89.180599999999998"/>
    <n v="14300"/>
    <n v="0"/>
    <n v="0"/>
    <n v="102"/>
    <s v="_x0000_US"/>
  </r>
  <r>
    <x v="1"/>
    <n v="13.6934"/>
    <n v="-89.180599999999998"/>
    <n v="14300"/>
    <n v="0"/>
    <n v="0"/>
    <n v="102"/>
    <s v="_x0000_US"/>
  </r>
  <r>
    <x v="1"/>
    <n v="13.6934"/>
    <n v="-89.180599999999998"/>
    <n v="14300"/>
    <n v="0"/>
    <n v="0"/>
    <n v="102"/>
    <s v="_x0000_US"/>
  </r>
  <r>
    <x v="1"/>
    <n v="13.6934"/>
    <n v="-89.180599999999998"/>
    <n v="14300"/>
    <n v="0"/>
    <n v="0"/>
    <n v="102"/>
    <s v="_x0000_US"/>
  </r>
  <r>
    <x v="1"/>
    <n v="13.6934"/>
    <n v="-89.180599999999998"/>
    <n v="14300"/>
    <n v="0"/>
    <n v="0"/>
    <n v="102"/>
    <s v="_x0000_US"/>
  </r>
  <r>
    <x v="1"/>
    <n v="13.6934"/>
    <n v="-89.180499999999995"/>
    <n v="14300"/>
    <n v="0"/>
    <n v="0"/>
    <n v="102"/>
    <s v="_x0000_US"/>
  </r>
  <r>
    <x v="1"/>
    <n v="13.6934"/>
    <n v="-89.180499999999995"/>
    <n v="14300"/>
    <n v="0"/>
    <n v="0"/>
    <n v="102"/>
    <s v="_x0000_US"/>
  </r>
  <r>
    <x v="1"/>
    <n v="13.6934"/>
    <n v="-89.180499999999995"/>
    <n v="14300"/>
    <n v="0"/>
    <n v="0"/>
    <n v="102"/>
    <s v="_x0000_US"/>
  </r>
  <r>
    <x v="1"/>
    <n v="13.6934"/>
    <n v="-89.180499999999995"/>
    <n v="14300"/>
    <n v="0"/>
    <n v="0"/>
    <n v="102"/>
    <s v="_x0000_US"/>
  </r>
  <r>
    <x v="1"/>
    <n v="13.6934"/>
    <n v="-89.180499999999995"/>
    <n v="14300"/>
    <n v="0"/>
    <n v="0"/>
    <n v="102"/>
    <s v="_x0000_US"/>
  </r>
  <r>
    <x v="1"/>
    <n v="13.6934"/>
    <n v="-89.180499999999995"/>
    <n v="14300"/>
    <n v="0"/>
    <n v="0"/>
    <n v="102"/>
    <s v="_x0000_US"/>
  </r>
  <r>
    <x v="1"/>
    <n v="13.693199999999999"/>
    <n v="-89.180499999999995"/>
    <n v="14300"/>
    <n v="0"/>
    <n v="0"/>
    <n v="102"/>
    <s v="_x0000_US"/>
  </r>
  <r>
    <x v="1"/>
    <n v="13.6935"/>
    <n v="-89.180700000000002"/>
    <n v="14300"/>
    <n v="0"/>
    <n v="0"/>
    <n v="102"/>
    <s v="_x0000_US"/>
  </r>
  <r>
    <x v="1"/>
    <n v="13.6935"/>
    <n v="-89.180700000000002"/>
    <n v="14300"/>
    <n v="0"/>
    <n v="0"/>
    <n v="102"/>
    <s v="_x0000_US"/>
  </r>
  <r>
    <x v="1"/>
    <n v="13.6934"/>
    <n v="-89.180700000000002"/>
    <n v="14300"/>
    <n v="0"/>
    <n v="0"/>
    <n v="102"/>
    <s v="_x0000_US"/>
  </r>
  <r>
    <x v="1"/>
    <n v="13.693300000000001"/>
    <n v="-89.180700000000002"/>
    <n v="14300"/>
    <n v="0"/>
    <n v="0"/>
    <n v="102"/>
    <s v="_x0000_US"/>
  </r>
  <r>
    <x v="1"/>
    <n v="13.693300000000001"/>
    <n v="-89.180700000000002"/>
    <n v="14300"/>
    <n v="0"/>
    <n v="0"/>
    <n v="102"/>
    <s v="_x0000_US"/>
  </r>
  <r>
    <x v="1"/>
    <n v="13.693199999999999"/>
    <n v="-89.180700000000002"/>
    <n v="14300"/>
    <n v="0"/>
    <n v="0"/>
    <n v="102"/>
    <s v="_x0000_US"/>
  </r>
  <r>
    <x v="1"/>
    <n v="13.693099999999999"/>
    <n v="-89.180800000000005"/>
    <n v="14300"/>
    <n v="0"/>
    <n v="0"/>
    <n v="102"/>
    <s v="_x0000_US"/>
  </r>
  <r>
    <x v="1"/>
    <n v="13.693099999999999"/>
    <n v="-89.180499999999995"/>
    <n v="14300"/>
    <n v="0"/>
    <n v="0"/>
    <n v="102"/>
    <s v="_x0000_US"/>
  </r>
  <r>
    <x v="1"/>
    <n v="13.693"/>
    <n v="-89.180800000000005"/>
    <n v="14300"/>
    <n v="0"/>
    <n v="0"/>
    <n v="102"/>
    <s v="_x0000_US"/>
  </r>
  <r>
    <x v="1"/>
    <n v="13.693"/>
    <n v="-89.180499999999995"/>
    <n v="14300"/>
    <n v="0"/>
    <n v="0"/>
    <n v="102"/>
    <s v="_x0000_US"/>
  </r>
  <r>
    <x v="1"/>
    <n v="13.693"/>
    <n v="-89.180499999999995"/>
    <n v="14300"/>
    <n v="0"/>
    <n v="0"/>
    <n v="102"/>
    <s v="_x0000_US"/>
  </r>
  <r>
    <x v="1"/>
    <n v="13.6929"/>
    <n v="-89.180800000000005"/>
    <n v="14300"/>
    <n v="0"/>
    <n v="0"/>
    <n v="102"/>
    <s v="_x0000_US"/>
  </r>
  <r>
    <x v="1"/>
    <n v="13.693"/>
    <n v="-89.180300000000003"/>
    <n v="14300"/>
    <n v="0"/>
    <n v="0"/>
    <n v="102"/>
    <s v="_x0000_US"/>
  </r>
  <r>
    <x v="1"/>
    <n v="13.6929"/>
    <n v="-89.180800000000005"/>
    <n v="14300"/>
    <n v="0"/>
    <n v="0"/>
    <n v="102"/>
    <s v="_x0000_US"/>
  </r>
  <r>
    <x v="1"/>
    <n v="13.6928"/>
    <n v="-89.180800000000005"/>
    <n v="14300"/>
    <n v="0"/>
    <n v="0"/>
    <n v="102"/>
    <s v="_x0000_US"/>
  </r>
  <r>
    <x v="1"/>
    <n v="13.6928"/>
    <n v="-89.180800000000005"/>
    <n v="14300"/>
    <n v="0"/>
    <n v="0"/>
    <n v="102"/>
    <s v="_x0000_US"/>
  </r>
  <r>
    <x v="1"/>
    <n v="13.6928"/>
    <n v="-89.180700000000002"/>
    <n v="14300"/>
    <n v="0"/>
    <n v="0"/>
    <n v="102"/>
    <s v="_x0000_US"/>
  </r>
  <r>
    <x v="1"/>
    <n v="13.6928"/>
    <n v="-89.180499999999995"/>
    <n v="14300"/>
    <n v="0"/>
    <n v="0"/>
    <n v="102"/>
    <s v="_x0000_US"/>
  </r>
  <r>
    <x v="1"/>
    <n v="13.6928"/>
    <n v="-89.180400000000006"/>
    <n v="14300"/>
    <n v="0"/>
    <n v="0"/>
    <n v="102"/>
    <s v="_x0000_US"/>
  </r>
  <r>
    <x v="1"/>
    <n v="13.6929"/>
    <n v="-89.180400000000006"/>
    <n v="14300"/>
    <n v="0"/>
    <n v="0"/>
    <n v="102"/>
    <s v="_x0000_US"/>
  </r>
  <r>
    <x v="1"/>
    <n v="13.6929"/>
    <n v="-89.180300000000003"/>
    <n v="14300"/>
    <n v="0"/>
    <n v="0"/>
    <n v="102"/>
    <s v="_x0000_US"/>
  </r>
  <r>
    <x v="1"/>
    <n v="13.692399999999999"/>
    <n v="-89.179699999999997"/>
    <n v="14300"/>
    <n v="0"/>
    <n v="0"/>
    <n v="102"/>
    <s v="_x0000_US"/>
  </r>
  <r>
    <x v="1"/>
    <n v="13.692600000000001"/>
    <n v="-89.179699999999997"/>
    <n v="14300"/>
    <n v="0"/>
    <n v="0"/>
    <n v="102"/>
    <s v="_x0000_US"/>
  </r>
  <r>
    <x v="1"/>
    <n v="13.692500000000001"/>
    <n v="-89.1798"/>
    <n v="14300"/>
    <n v="0"/>
    <n v="0"/>
    <n v="102"/>
    <s v="_x0000_US"/>
  </r>
  <r>
    <x v="1"/>
    <n v="13.692500000000001"/>
    <n v="-89.179900000000004"/>
    <n v="14300"/>
    <n v="0"/>
    <n v="0"/>
    <n v="102"/>
    <s v="_x0000_US"/>
  </r>
  <r>
    <x v="1"/>
    <n v="13.692500000000001"/>
    <n v="-89.179900000000004"/>
    <n v="14300"/>
    <n v="0"/>
    <n v="0"/>
    <n v="102"/>
    <s v="_x0000_US"/>
  </r>
  <r>
    <x v="1"/>
    <n v="13.692500000000001"/>
    <n v="-89.18"/>
    <n v="14300"/>
    <n v="0"/>
    <n v="0"/>
    <n v="102"/>
    <s v="_x0000_US"/>
  </r>
  <r>
    <x v="1"/>
    <n v="13.692500000000001"/>
    <n v="-89.18"/>
    <n v="14300"/>
    <n v="0"/>
    <n v="0"/>
    <n v="102"/>
    <s v="_x0000_US"/>
  </r>
  <r>
    <x v="1"/>
    <n v="13.692500000000001"/>
    <n v="-89.180099999999996"/>
    <n v="14300"/>
    <n v="0"/>
    <n v="0"/>
    <n v="102"/>
    <s v="_x0000_US"/>
  </r>
  <r>
    <x v="1"/>
    <n v="13.692500000000001"/>
    <n v="-89.180199999999999"/>
    <n v="14300"/>
    <n v="0"/>
    <n v="0"/>
    <n v="102"/>
    <s v="_x0000_US"/>
  </r>
  <r>
    <x v="1"/>
    <n v="13.692399999999999"/>
    <n v="-89.180099999999996"/>
    <n v="14300"/>
    <n v="0"/>
    <n v="0"/>
    <n v="102"/>
    <s v="_x0000_US"/>
  </r>
  <r>
    <x v="1"/>
    <n v="13.692399999999999"/>
    <n v="-89.180199999999999"/>
    <n v="14300"/>
    <n v="0"/>
    <n v="0"/>
    <n v="102"/>
    <s v="_x0000_US"/>
  </r>
  <r>
    <x v="1"/>
    <n v="13.692399999999999"/>
    <n v="-89.18"/>
    <n v="14300"/>
    <n v="0"/>
    <n v="0"/>
    <n v="102"/>
    <s v="_x0000_US"/>
  </r>
  <r>
    <x v="1"/>
    <n v="13.692399999999999"/>
    <n v="-89.18"/>
    <n v="14300"/>
    <n v="0"/>
    <n v="0"/>
    <n v="102"/>
    <s v="_x0000_US"/>
  </r>
  <r>
    <x v="1"/>
    <n v="13.692399999999999"/>
    <n v="-89.179900000000004"/>
    <n v="14300"/>
    <n v="0"/>
    <n v="0"/>
    <n v="102"/>
    <s v="_x0000_US"/>
  </r>
  <r>
    <x v="1"/>
    <n v="13.692399999999999"/>
    <n v="-89.179900000000004"/>
    <n v="14300"/>
    <n v="0"/>
    <n v="0"/>
    <n v="102"/>
    <s v="_x0000_US"/>
  </r>
  <r>
    <x v="1"/>
    <n v="13.692399999999999"/>
    <n v="-89.18"/>
    <n v="14300"/>
    <n v="0"/>
    <n v="0"/>
    <n v="102"/>
    <s v="_x0000_US"/>
  </r>
  <r>
    <x v="1"/>
    <n v="13.692500000000001"/>
    <n v="-89.179599999999994"/>
    <n v="14300"/>
    <n v="0"/>
    <n v="0"/>
    <n v="102"/>
    <s v="_x0000_US"/>
  </r>
  <r>
    <x v="1"/>
    <n v="13.692600000000001"/>
    <n v="-89.179599999999994"/>
    <n v="14300"/>
    <n v="0"/>
    <n v="0"/>
    <n v="102"/>
    <s v="_x0000_US"/>
  </r>
  <r>
    <x v="1"/>
    <n v="13.692600000000001"/>
    <n v="-89.179699999999997"/>
    <n v="14300"/>
    <n v="0"/>
    <n v="0"/>
    <n v="102"/>
    <s v="_x0000_US"/>
  </r>
  <r>
    <x v="1"/>
    <n v="13.693"/>
    <n v="-89.178799999999995"/>
    <n v="14300"/>
    <n v="0"/>
    <n v="0"/>
    <n v="102"/>
    <s v="_x0000_US"/>
  </r>
  <r>
    <x v="1"/>
    <n v="13.693"/>
    <n v="-89.178700000000006"/>
    <n v="14300"/>
    <n v="0"/>
    <n v="0"/>
    <n v="102"/>
    <s v="_x0000_US"/>
  </r>
  <r>
    <x v="1"/>
    <n v="13.693"/>
    <n v="-89.178700000000006"/>
    <n v="14300"/>
    <n v="0"/>
    <n v="0"/>
    <n v="102"/>
    <s v="_x0000_US"/>
  </r>
  <r>
    <x v="1"/>
    <n v="13.6929"/>
    <n v="-89.178700000000006"/>
    <n v="14300"/>
    <n v="0"/>
    <n v="0"/>
    <n v="102"/>
    <s v="_x0000_US"/>
  </r>
  <r>
    <x v="1"/>
    <n v="13.6929"/>
    <n v="-89.178700000000006"/>
    <n v="14300"/>
    <n v="0"/>
    <n v="0"/>
    <n v="102"/>
    <s v="_x0000_US"/>
  </r>
  <r>
    <x v="1"/>
    <n v="13.6929"/>
    <n v="-89.178899999999999"/>
    <n v="14300"/>
    <n v="0"/>
    <n v="0"/>
    <n v="102"/>
    <s v="_x0000_US"/>
  </r>
  <r>
    <x v="1"/>
    <n v="13.6929"/>
    <n v="-89.178899999999999"/>
    <n v="14300"/>
    <n v="0"/>
    <n v="0"/>
    <n v="102"/>
    <s v="_x0000_US"/>
  </r>
  <r>
    <x v="1"/>
    <n v="13.6929"/>
    <n v="-89.178799999999995"/>
    <n v="14300"/>
    <n v="0"/>
    <n v="0"/>
    <n v="102"/>
    <s v="_x0000_US"/>
  </r>
  <r>
    <x v="1"/>
    <n v="13.6929"/>
    <n v="-89.178899999999999"/>
    <n v="14300"/>
    <n v="0"/>
    <n v="0"/>
    <n v="102"/>
    <s v="_x0000_US"/>
  </r>
  <r>
    <x v="1"/>
    <n v="13.6929"/>
    <n v="-89.178799999999995"/>
    <n v="14300"/>
    <n v="0"/>
    <n v="0"/>
    <n v="102"/>
    <s v="_x0000_US"/>
  </r>
  <r>
    <x v="1"/>
    <n v="13.6929"/>
    <n v="-89.178899999999999"/>
    <n v="14300"/>
    <n v="0"/>
    <n v="0"/>
    <n v="102"/>
    <s v="_x0000_US"/>
  </r>
  <r>
    <x v="1"/>
    <n v="13.6929"/>
    <n v="-89.178899999999999"/>
    <n v="14300"/>
    <n v="0"/>
    <n v="0"/>
    <n v="102"/>
    <s v="_x0000_US"/>
  </r>
  <r>
    <x v="1"/>
    <n v="13.693199999999999"/>
    <n v="-89.179199999999994"/>
    <n v="14300"/>
    <n v="0"/>
    <n v="0"/>
    <n v="102"/>
    <s v="_x0000_US"/>
  </r>
  <r>
    <x v="1"/>
    <n v="13.693099999999999"/>
    <n v="-89.179100000000005"/>
    <n v="14300"/>
    <n v="0"/>
    <n v="0"/>
    <n v="102"/>
    <s v="_x0000_US"/>
  </r>
  <r>
    <x v="1"/>
    <n v="13.693199999999999"/>
    <n v="-89.179299999999998"/>
    <n v="14300"/>
    <n v="0"/>
    <n v="0"/>
    <n v="102"/>
    <s v="_x0000_US"/>
  </r>
  <r>
    <x v="1"/>
    <n v="13.693199999999999"/>
    <n v="-89.179299999999998"/>
    <n v="14300"/>
    <n v="0"/>
    <n v="0"/>
    <n v="102"/>
    <s v="_x0000_US"/>
  </r>
  <r>
    <x v="1"/>
    <n v="13.6935"/>
    <n v="-89.178600000000003"/>
    <n v="14300"/>
    <n v="0"/>
    <n v="0"/>
    <n v="102"/>
    <s v="_x0000_US"/>
  </r>
  <r>
    <x v="1"/>
    <n v="13.6935"/>
    <n v="-89.178600000000003"/>
    <n v="14300"/>
    <n v="0"/>
    <n v="0"/>
    <n v="102"/>
    <s v="_x0000_US"/>
  </r>
  <r>
    <x v="1"/>
    <n v="13.6935"/>
    <n v="-89.178600000000003"/>
    <n v="14300"/>
    <n v="0"/>
    <n v="0"/>
    <n v="102"/>
    <s v="_x0000_US"/>
  </r>
  <r>
    <x v="1"/>
    <n v="13.6935"/>
    <n v="-89.178600000000003"/>
    <n v="14300"/>
    <n v="0"/>
    <n v="0"/>
    <n v="102"/>
    <s v="_x0000_US"/>
  </r>
  <r>
    <x v="1"/>
    <n v="13.6936"/>
    <n v="-89.178600000000003"/>
    <n v="14300"/>
    <n v="0"/>
    <n v="0"/>
    <n v="102"/>
    <s v="_x0000_US"/>
  </r>
  <r>
    <x v="1"/>
    <n v="13.6936"/>
    <n v="-89.178600000000003"/>
    <n v="14300"/>
    <n v="0"/>
    <n v="0"/>
    <n v="102"/>
    <s v="_x0000_US"/>
  </r>
  <r>
    <x v="1"/>
    <n v="13.6936"/>
    <n v="-89.178600000000003"/>
    <n v="14300"/>
    <n v="0"/>
    <n v="0"/>
    <n v="102"/>
    <s v="_x0000_US"/>
  </r>
  <r>
    <x v="1"/>
    <n v="13.6938"/>
    <n v="-89.179699999999997"/>
    <n v="14300"/>
    <n v="0"/>
    <n v="0"/>
    <n v="102"/>
    <s v="_x0000_US"/>
  </r>
  <r>
    <x v="1"/>
    <n v="13.6938"/>
    <n v="-89.179699999999997"/>
    <n v="14300"/>
    <n v="0"/>
    <n v="0"/>
    <n v="102"/>
    <s v="_x0000_US"/>
  </r>
  <r>
    <x v="1"/>
    <n v="13.6938"/>
    <n v="-89.179599999999994"/>
    <n v="14300"/>
    <n v="0"/>
    <n v="0"/>
    <n v="102"/>
    <s v="_x0000_US"/>
  </r>
  <r>
    <x v="1"/>
    <n v="13.6938"/>
    <n v="-89.179599999999994"/>
    <n v="14300"/>
    <n v="0"/>
    <n v="0"/>
    <n v="102"/>
    <s v="_x0000_US"/>
  </r>
  <r>
    <x v="1"/>
    <n v="13.6937"/>
    <n v="-89.179400000000001"/>
    <n v="14300"/>
    <n v="0"/>
    <n v="0"/>
    <n v="102"/>
    <s v="_x0000_US"/>
  </r>
  <r>
    <x v="1"/>
    <n v="13.6937"/>
    <n v="-89.179299999999998"/>
    <n v="14300"/>
    <n v="0"/>
    <n v="0"/>
    <n v="102"/>
    <s v="_x0000_US"/>
  </r>
  <r>
    <x v="1"/>
    <n v="13.6937"/>
    <n v="-89.179299999999998"/>
    <n v="14300"/>
    <n v="0"/>
    <n v="0"/>
    <n v="102"/>
    <s v="_x0000_US"/>
  </r>
  <r>
    <x v="1"/>
    <n v="13.6937"/>
    <n v="-89.179100000000005"/>
    <n v="14300"/>
    <n v="0"/>
    <n v="0"/>
    <n v="102"/>
    <s v="_x0000_US"/>
  </r>
  <r>
    <x v="1"/>
    <n v="13.693899999999999"/>
    <n v="-89.179100000000005"/>
    <n v="14300"/>
    <n v="0"/>
    <n v="0"/>
    <n v="102"/>
    <s v="_x0000_US"/>
  </r>
  <r>
    <x v="1"/>
    <n v="13.693899999999999"/>
    <n v="-89.179000000000002"/>
    <n v="14300"/>
    <n v="0"/>
    <n v="0"/>
    <n v="102"/>
    <s v="_x0000_US"/>
  </r>
  <r>
    <x v="1"/>
    <n v="13.693899999999999"/>
    <n v="-89.179000000000002"/>
    <n v="14300"/>
    <n v="0"/>
    <n v="0"/>
    <n v="102"/>
    <s v="_x0000_US"/>
  </r>
  <r>
    <x v="1"/>
    <n v="13.6938"/>
    <n v="-89.178899999999999"/>
    <n v="14300"/>
    <n v="0"/>
    <n v="0"/>
    <n v="102"/>
    <s v="_x0000_US"/>
  </r>
  <r>
    <x v="1"/>
    <n v="13.6938"/>
    <n v="-89.178700000000006"/>
    <n v="14300"/>
    <n v="0"/>
    <n v="0"/>
    <n v="102"/>
    <s v="_x0000_US"/>
  </r>
  <r>
    <x v="1"/>
    <n v="13.6938"/>
    <n v="-89.178600000000003"/>
    <n v="14300"/>
    <n v="0"/>
    <n v="0"/>
    <n v="102"/>
    <s v="_x0000_US"/>
  </r>
  <r>
    <x v="1"/>
    <n v="13.6938"/>
    <n v="-89.178600000000003"/>
    <n v="14300"/>
    <n v="0"/>
    <n v="0"/>
    <n v="102"/>
    <s v="_x0000_US"/>
  </r>
  <r>
    <x v="1"/>
    <n v="13.6937"/>
    <n v="-89.179000000000002"/>
    <n v="14300"/>
    <n v="0"/>
    <n v="0"/>
    <n v="102"/>
    <s v="_x0000_US"/>
  </r>
  <r>
    <x v="1"/>
    <n v="13.6937"/>
    <n v="-89.178899999999999"/>
    <n v="14300"/>
    <n v="0"/>
    <n v="0"/>
    <n v="102"/>
    <s v="_x0000_US"/>
  </r>
  <r>
    <x v="1"/>
    <n v="13.6937"/>
    <n v="-89.178899999999999"/>
    <n v="14300"/>
    <n v="0"/>
    <n v="0"/>
    <n v="102"/>
    <s v="_x0000_US"/>
  </r>
  <r>
    <x v="1"/>
    <n v="13.6937"/>
    <n v="-89.178799999999995"/>
    <n v="14300"/>
    <n v="0"/>
    <n v="0"/>
    <n v="102"/>
    <s v="_x0000_US"/>
  </r>
  <r>
    <x v="1"/>
    <n v="13.6937"/>
    <n v="-89.178700000000006"/>
    <n v="14300"/>
    <n v="0"/>
    <n v="0"/>
    <n v="102"/>
    <s v="_x0000_US"/>
  </r>
  <r>
    <x v="1"/>
    <n v="13.6938"/>
    <n v="-89.1798"/>
    <n v="14300"/>
    <n v="0"/>
    <n v="0"/>
    <n v="102"/>
    <s v="_x0000_US"/>
  </r>
  <r>
    <x v="1"/>
    <n v="13.694000000000001"/>
    <n v="-89.179500000000004"/>
    <n v="14300"/>
    <n v="0"/>
    <n v="0"/>
    <n v="102"/>
    <s v="_x0000_US"/>
  </r>
  <r>
    <x v="1"/>
    <n v="13.693899999999999"/>
    <n v="-89.179500000000004"/>
    <n v="14300"/>
    <n v="0"/>
    <n v="0"/>
    <n v="102"/>
    <s v="_x0000_US"/>
  </r>
  <r>
    <x v="1"/>
    <n v="13.693899999999999"/>
    <n v="-89.179500000000004"/>
    <n v="14300"/>
    <n v="0"/>
    <n v="0"/>
    <n v="102"/>
    <s v="_x0000_US"/>
  </r>
  <r>
    <x v="1"/>
    <n v="13.693899999999999"/>
    <n v="-89.179500000000004"/>
    <n v="14300"/>
    <n v="0"/>
    <n v="0"/>
    <n v="102"/>
    <s v="_x0000_US"/>
  </r>
  <r>
    <x v="1"/>
    <n v="13.693899999999999"/>
    <n v="-89.179500000000004"/>
    <n v="14300"/>
    <n v="0"/>
    <n v="0"/>
    <n v="102"/>
    <s v="_x0000_US"/>
  </r>
  <r>
    <x v="1"/>
    <n v="13.693899999999999"/>
    <n v="-89.179500000000004"/>
    <n v="14300"/>
    <n v="0"/>
    <n v="0"/>
    <n v="102"/>
    <s v="_x0000_US"/>
  </r>
  <r>
    <x v="1"/>
    <n v="13.693899999999999"/>
    <n v="-89.179299999999998"/>
    <n v="14300"/>
    <n v="0"/>
    <n v="0"/>
    <n v="102"/>
    <s v="_x0000_US"/>
  </r>
  <r>
    <x v="1"/>
    <n v="13.693899999999999"/>
    <n v="-89.179199999999994"/>
    <n v="14300"/>
    <n v="0"/>
    <n v="0"/>
    <n v="102"/>
    <s v="_x0000_US"/>
  </r>
  <r>
    <x v="1"/>
    <n v="13.693899999999999"/>
    <n v="-89.179199999999994"/>
    <n v="14300"/>
    <n v="0"/>
    <n v="0"/>
    <n v="102"/>
    <s v="_x0000_US"/>
  </r>
  <r>
    <x v="1"/>
    <n v="13.694000000000001"/>
    <n v="-89.179100000000005"/>
    <n v="14300"/>
    <n v="0"/>
    <n v="0"/>
    <n v="102"/>
    <s v="_x0000_US"/>
  </r>
  <r>
    <x v="1"/>
    <n v="13.694000000000001"/>
    <n v="-89.179500000000004"/>
    <n v="14300"/>
    <n v="0"/>
    <n v="0"/>
    <n v="102"/>
    <s v="_x0000_US"/>
  </r>
  <r>
    <x v="1"/>
    <n v="13.694000000000001"/>
    <n v="-89.179500000000004"/>
    <n v="14300"/>
    <n v="0"/>
    <n v="0"/>
    <n v="102"/>
    <s v="_x0000_US"/>
  </r>
  <r>
    <x v="1"/>
    <n v="13.694000000000001"/>
    <n v="-89.179500000000004"/>
    <n v="14300"/>
    <n v="0"/>
    <n v="0"/>
    <n v="102"/>
    <s v="_x0000_US"/>
  </r>
  <r>
    <x v="1"/>
    <n v="13.694000000000001"/>
    <n v="-89.179500000000004"/>
    <n v="14300"/>
    <n v="0"/>
    <n v="0"/>
    <n v="102"/>
    <s v="_x0000_US"/>
  </r>
  <r>
    <x v="1"/>
    <n v="13.6942"/>
    <n v="-89.179000000000002"/>
    <n v="14300"/>
    <n v="0"/>
    <n v="0"/>
    <n v="102"/>
    <s v="_x0000_US"/>
  </r>
  <r>
    <x v="1"/>
    <n v="13.6942"/>
    <n v="-89.179000000000002"/>
    <n v="14300"/>
    <n v="0"/>
    <n v="0"/>
    <n v="102"/>
    <s v="_x0000_US"/>
  </r>
  <r>
    <x v="1"/>
    <n v="13.694100000000001"/>
    <n v="-89.179000000000002"/>
    <n v="14300"/>
    <n v="0"/>
    <n v="0"/>
    <n v="102"/>
    <s v="_x0000_US"/>
  </r>
  <r>
    <x v="1"/>
    <n v="13.6943"/>
    <n v="-89.178899999999999"/>
    <n v="14300"/>
    <n v="0"/>
    <n v="0"/>
    <n v="102"/>
    <s v="_x0000_US"/>
  </r>
  <r>
    <x v="1"/>
    <n v="13.6942"/>
    <n v="-89.178799999999995"/>
    <n v="14300"/>
    <n v="0"/>
    <n v="0"/>
    <n v="102"/>
    <s v="_x0000_US"/>
  </r>
  <r>
    <x v="1"/>
    <n v="13.6942"/>
    <n v="-89.178899999999999"/>
    <n v="14300"/>
    <n v="0"/>
    <n v="0"/>
    <n v="102"/>
    <s v="_x0000_US"/>
  </r>
  <r>
    <x v="1"/>
    <n v="13.694100000000001"/>
    <n v="-89.178899999999999"/>
    <n v="14300"/>
    <n v="0"/>
    <n v="0"/>
    <n v="102"/>
    <s v="_x0000_US"/>
  </r>
  <r>
    <x v="1"/>
    <n v="13.694000000000001"/>
    <n v="-89.178899999999999"/>
    <n v="14300"/>
    <n v="0"/>
    <n v="0"/>
    <n v="102"/>
    <s v="_x0000_US"/>
  </r>
  <r>
    <x v="1"/>
    <n v="13.694000000000001"/>
    <n v="-89.178899999999999"/>
    <n v="14300"/>
    <n v="0"/>
    <n v="0"/>
    <n v="102"/>
    <s v="_x0000_US"/>
  </r>
  <r>
    <x v="1"/>
    <n v="13.6942"/>
    <n v="-89.178600000000003"/>
    <n v="14300"/>
    <n v="0"/>
    <n v="0"/>
    <n v="102"/>
    <s v="_x0000_US"/>
  </r>
  <r>
    <x v="1"/>
    <n v="13.693899999999999"/>
    <n v="-89.178600000000003"/>
    <n v="14300"/>
    <n v="0"/>
    <n v="0"/>
    <n v="102"/>
    <s v="_x0000_US"/>
  </r>
  <r>
    <x v="1"/>
    <n v="13.694599999999999"/>
    <n v="-89.182299999999998"/>
    <n v="15340"/>
    <n v="0"/>
    <n v="0"/>
    <n v="102"/>
    <s v="_x0000_US"/>
  </r>
  <r>
    <x v="1"/>
    <n v="13.6944"/>
    <n v="-89.182199999999995"/>
    <n v="15340"/>
    <n v="0"/>
    <n v="0"/>
    <n v="102"/>
    <s v="_x0000_US"/>
  </r>
  <r>
    <x v="1"/>
    <n v="13.6944"/>
    <n v="-89.182299999999998"/>
    <n v="15340"/>
    <n v="0"/>
    <n v="0"/>
    <n v="102"/>
    <s v="_x0000_US"/>
  </r>
  <r>
    <x v="1"/>
    <n v="13.6943"/>
    <n v="-89.182199999999995"/>
    <n v="15340"/>
    <n v="0"/>
    <n v="0"/>
    <n v="102"/>
    <s v="_x0000_US"/>
  </r>
  <r>
    <x v="1"/>
    <n v="13.6944"/>
    <n v="-89.182199999999995"/>
    <n v="15340"/>
    <n v="0"/>
    <n v="0"/>
    <n v="102"/>
    <s v="_x0000_US"/>
  </r>
  <r>
    <x v="1"/>
    <n v="13.6944"/>
    <n v="-89.182199999999995"/>
    <n v="15340"/>
    <n v="0"/>
    <n v="0"/>
    <n v="102"/>
    <s v="_x0000_US"/>
  </r>
  <r>
    <x v="1"/>
    <n v="13.6944"/>
    <n v="-89.182000000000002"/>
    <n v="15340"/>
    <n v="0"/>
    <n v="0"/>
    <n v="102"/>
    <s v="_x0000_US"/>
  </r>
  <r>
    <x v="1"/>
    <n v="13.6944"/>
    <n v="-89.181899999999999"/>
    <n v="15340"/>
    <n v="0"/>
    <n v="0"/>
    <n v="102"/>
    <s v="_x0000_US"/>
  </r>
  <r>
    <x v="1"/>
    <n v="13.6944"/>
    <n v="-89.181799999999996"/>
    <n v="15340"/>
    <n v="0"/>
    <n v="0"/>
    <n v="102"/>
    <s v="_x0000_US"/>
  </r>
  <r>
    <x v="1"/>
    <n v="13.6945"/>
    <n v="-89.182000000000002"/>
    <n v="15340"/>
    <n v="0"/>
    <n v="0"/>
    <n v="102"/>
    <s v="_x0000_US"/>
  </r>
  <r>
    <x v="1"/>
    <n v="13.6944"/>
    <n v="-89.181600000000003"/>
    <n v="15340"/>
    <n v="0"/>
    <n v="0"/>
    <n v="102"/>
    <s v="_x0000_US"/>
  </r>
  <r>
    <x v="1"/>
    <n v="13.694599999999999"/>
    <n v="-89.1815"/>
    <n v="15340"/>
    <n v="0"/>
    <n v="0"/>
    <n v="102"/>
    <s v="_x0000_US"/>
  </r>
  <r>
    <x v="1"/>
    <n v="13.6945"/>
    <n v="-89.182199999999995"/>
    <n v="15340"/>
    <n v="0"/>
    <n v="0"/>
    <n v="102"/>
    <s v="_x0000_US"/>
  </r>
  <r>
    <x v="1"/>
    <n v="13.6945"/>
    <n v="-89.182199999999995"/>
    <n v="15340"/>
    <n v="0"/>
    <n v="0"/>
    <n v="102"/>
    <s v="_x0000_US"/>
  </r>
  <r>
    <x v="1"/>
    <n v="13.6945"/>
    <n v="-89.182100000000005"/>
    <n v="15340"/>
    <n v="0"/>
    <n v="0"/>
    <n v="102"/>
    <s v="_x0000_US"/>
  </r>
  <r>
    <x v="1"/>
    <n v="13.6945"/>
    <n v="-89.182100000000005"/>
    <n v="15340"/>
    <n v="0"/>
    <n v="0"/>
    <n v="102"/>
    <s v="_x0000_US"/>
  </r>
  <r>
    <x v="1"/>
    <n v="13.6945"/>
    <n v="-89.182100000000005"/>
    <n v="15340"/>
    <n v="0"/>
    <n v="0"/>
    <n v="102"/>
    <s v="_x0000_US"/>
  </r>
  <r>
    <x v="1"/>
    <n v="13.6945"/>
    <n v="-89.182100000000005"/>
    <n v="15340"/>
    <n v="0"/>
    <n v="0"/>
    <n v="102"/>
    <s v="_x0000_US"/>
  </r>
  <r>
    <x v="1"/>
    <n v="13.6945"/>
    <n v="-89.182000000000002"/>
    <n v="15340"/>
    <n v="0"/>
    <n v="0"/>
    <n v="102"/>
    <s v="_x0000_US"/>
  </r>
  <r>
    <x v="1"/>
    <n v="13.6945"/>
    <n v="-89.182000000000002"/>
    <n v="15340"/>
    <n v="0"/>
    <n v="0"/>
    <n v="102"/>
    <s v="_x0000_US"/>
  </r>
  <r>
    <x v="1"/>
    <n v="13.6945"/>
    <n v="-89.182000000000002"/>
    <n v="15340"/>
    <n v="0"/>
    <n v="0"/>
    <n v="102"/>
    <s v="_x0000_US"/>
  </r>
  <r>
    <x v="1"/>
    <n v="13.6945"/>
    <n v="-89.182000000000002"/>
    <n v="15340"/>
    <n v="0"/>
    <n v="0"/>
    <n v="102"/>
    <s v="_x0000_US"/>
  </r>
  <r>
    <x v="1"/>
    <n v="13.6945"/>
    <n v="-89.182000000000002"/>
    <n v="15340"/>
    <n v="0"/>
    <n v="0"/>
    <n v="102"/>
    <s v="_x0000_US"/>
  </r>
  <r>
    <x v="1"/>
    <n v="13.6945"/>
    <n v="-89.182000000000002"/>
    <n v="15340"/>
    <n v="0"/>
    <n v="0"/>
    <n v="102"/>
    <s v="_x0000_US"/>
  </r>
  <r>
    <x v="1"/>
    <n v="13.6945"/>
    <n v="-89.181899999999999"/>
    <n v="15340"/>
    <n v="0"/>
    <n v="0"/>
    <n v="102"/>
    <s v="_x0000_US"/>
  </r>
  <r>
    <x v="1"/>
    <n v="13.6945"/>
    <n v="-89.181899999999999"/>
    <n v="15340"/>
    <n v="0"/>
    <n v="0"/>
    <n v="102"/>
    <s v="_x0000_US"/>
  </r>
  <r>
    <x v="1"/>
    <n v="13.6945"/>
    <n v="-89.181899999999999"/>
    <n v="15340"/>
    <n v="0"/>
    <n v="0"/>
    <n v="102"/>
    <s v="_x0000_US"/>
  </r>
  <r>
    <x v="1"/>
    <n v="13.6945"/>
    <n v="-89.181899999999999"/>
    <n v="15340"/>
    <n v="0"/>
    <n v="0"/>
    <n v="102"/>
    <s v="_x0000_US"/>
  </r>
  <r>
    <x v="1"/>
    <n v="13.6945"/>
    <n v="-89.181899999999999"/>
    <n v="15340"/>
    <n v="0"/>
    <n v="0"/>
    <n v="102"/>
    <s v="_x0000_US"/>
  </r>
  <r>
    <x v="1"/>
    <n v="13.6945"/>
    <n v="-89.181899999999999"/>
    <n v="15340"/>
    <n v="0"/>
    <n v="0"/>
    <n v="102"/>
    <s v="_x0000_US"/>
  </r>
  <r>
    <x v="1"/>
    <n v="13.6945"/>
    <n v="-89.181799999999996"/>
    <n v="15340"/>
    <n v="0"/>
    <n v="0"/>
    <n v="102"/>
    <s v="_x0000_US"/>
  </r>
  <r>
    <x v="1"/>
    <n v="13.6945"/>
    <n v="-89.181799999999996"/>
    <n v="15340"/>
    <n v="0"/>
    <n v="0"/>
    <n v="102"/>
    <s v="_x0000_US"/>
  </r>
  <r>
    <x v="1"/>
    <n v="13.6945"/>
    <n v="-89.181799999999996"/>
    <n v="15340"/>
    <n v="0"/>
    <n v="0"/>
    <n v="102"/>
    <s v="_x0000_US"/>
  </r>
  <r>
    <x v="1"/>
    <n v="13.6945"/>
    <n v="-89.181799999999996"/>
    <n v="15340"/>
    <n v="0"/>
    <n v="0"/>
    <n v="102"/>
    <s v="_x0000_US"/>
  </r>
  <r>
    <x v="1"/>
    <n v="13.6945"/>
    <n v="-89.181700000000006"/>
    <n v="15340"/>
    <n v="0"/>
    <n v="0"/>
    <n v="102"/>
    <s v="_x0000_US"/>
  </r>
  <r>
    <x v="1"/>
    <n v="13.6945"/>
    <n v="-89.181700000000006"/>
    <n v="15340"/>
    <n v="0"/>
    <n v="0"/>
    <n v="102"/>
    <s v="_x0000_US"/>
  </r>
  <r>
    <x v="1"/>
    <n v="13.6945"/>
    <n v="-89.181700000000006"/>
    <n v="15340"/>
    <n v="0"/>
    <n v="0"/>
    <n v="102"/>
    <s v="_x0000_US"/>
  </r>
  <r>
    <x v="1"/>
    <n v="13.6945"/>
    <n v="-89.181700000000006"/>
    <n v="15340"/>
    <n v="0"/>
    <n v="0"/>
    <n v="102"/>
    <s v="_x0000_US"/>
  </r>
  <r>
    <x v="1"/>
    <n v="13.6945"/>
    <n v="-89.181700000000006"/>
    <n v="15340"/>
    <n v="0"/>
    <n v="0"/>
    <n v="102"/>
    <s v="_x0000_US"/>
  </r>
  <r>
    <x v="1"/>
    <n v="13.6945"/>
    <n v="-89.181600000000003"/>
    <n v="15340"/>
    <n v="0"/>
    <n v="0"/>
    <n v="102"/>
    <s v="_x0000_US"/>
  </r>
  <r>
    <x v="1"/>
    <n v="13.6945"/>
    <n v="-89.181600000000003"/>
    <n v="15340"/>
    <n v="0"/>
    <n v="0"/>
    <n v="102"/>
    <s v="_x0000_US"/>
  </r>
  <r>
    <x v="1"/>
    <n v="13.6945"/>
    <n v="-89.181600000000003"/>
    <n v="15340"/>
    <n v="0"/>
    <n v="0"/>
    <n v="102"/>
    <s v="_x0000_US"/>
  </r>
  <r>
    <x v="1"/>
    <n v="13.6945"/>
    <n v="-89.181600000000003"/>
    <n v="15340"/>
    <n v="0"/>
    <n v="0"/>
    <n v="102"/>
    <s v="_x0000_US"/>
  </r>
  <r>
    <x v="1"/>
    <n v="13.6945"/>
    <n v="-89.1815"/>
    <n v="15340"/>
    <n v="0"/>
    <n v="0"/>
    <n v="102"/>
    <s v="_x0000_US"/>
  </r>
  <r>
    <x v="1"/>
    <n v="13.6945"/>
    <n v="-89.1815"/>
    <n v="15340"/>
    <n v="0"/>
    <n v="0"/>
    <n v="102"/>
    <s v="_x0000_US"/>
  </r>
  <r>
    <x v="1"/>
    <n v="13.6945"/>
    <n v="-89.1815"/>
    <n v="15340"/>
    <n v="0"/>
    <n v="0"/>
    <n v="102"/>
    <s v="_x0000_US"/>
  </r>
  <r>
    <x v="1"/>
    <n v="13.6945"/>
    <n v="-89.1815"/>
    <n v="15340"/>
    <n v="0"/>
    <n v="0"/>
    <n v="102"/>
    <s v="_x0000_US"/>
  </r>
  <r>
    <x v="1"/>
    <n v="13.6945"/>
    <n v="-89.181399999999996"/>
    <n v="15340"/>
    <n v="0"/>
    <n v="0"/>
    <n v="102"/>
    <s v="_x0000_US"/>
  </r>
  <r>
    <x v="1"/>
    <n v="13.6945"/>
    <n v="-89.181399999999996"/>
    <n v="15340"/>
    <n v="0"/>
    <n v="0"/>
    <n v="102"/>
    <s v="_x0000_US"/>
  </r>
  <r>
    <x v="1"/>
    <n v="13.6945"/>
    <n v="-89.181399999999996"/>
    <n v="15340"/>
    <n v="0"/>
    <n v="0"/>
    <n v="102"/>
    <s v="_x0000_US"/>
  </r>
  <r>
    <x v="1"/>
    <n v="13.694699999999999"/>
    <n v="-89.182100000000005"/>
    <n v="15340"/>
    <n v="0"/>
    <n v="0"/>
    <n v="102"/>
    <s v="_x0000_US"/>
  </r>
  <r>
    <x v="1"/>
    <n v="13.694699999999999"/>
    <n v="-89.182100000000005"/>
    <n v="15340"/>
    <n v="0"/>
    <n v="0"/>
    <n v="102"/>
    <s v="_x0000_US"/>
  </r>
  <r>
    <x v="1"/>
    <n v="13.694699999999999"/>
    <n v="-89.182000000000002"/>
    <n v="15340"/>
    <n v="0"/>
    <n v="0"/>
    <n v="102"/>
    <s v="_x0000_US"/>
  </r>
  <r>
    <x v="1"/>
    <n v="13.694699999999999"/>
    <n v="-89.182000000000002"/>
    <n v="15340"/>
    <n v="0"/>
    <n v="0"/>
    <n v="102"/>
    <s v="_x0000_US"/>
  </r>
  <r>
    <x v="1"/>
    <n v="13.694699999999999"/>
    <n v="-89.182000000000002"/>
    <n v="15340"/>
    <n v="0"/>
    <n v="0"/>
    <n v="102"/>
    <s v="_x0000_US"/>
  </r>
  <r>
    <x v="1"/>
    <n v="13.694699999999999"/>
    <n v="-89.182000000000002"/>
    <n v="15340"/>
    <n v="0"/>
    <n v="0"/>
    <n v="102"/>
    <s v="_x0000_US"/>
  </r>
  <r>
    <x v="1"/>
    <n v="13.694699999999999"/>
    <n v="-89.181899999999999"/>
    <n v="15340"/>
    <n v="0"/>
    <n v="0"/>
    <n v="102"/>
    <s v="_x0000_US"/>
  </r>
  <r>
    <x v="1"/>
    <n v="13.694699999999999"/>
    <n v="-89.181899999999999"/>
    <n v="15340"/>
    <n v="0"/>
    <n v="0"/>
    <n v="102"/>
    <s v="_x0000_US"/>
  </r>
  <r>
    <x v="1"/>
    <n v="13.694599999999999"/>
    <n v="-89.181899999999999"/>
    <n v="15340"/>
    <n v="0"/>
    <n v="0"/>
    <n v="102"/>
    <s v="_x0000_US"/>
  </r>
  <r>
    <x v="1"/>
    <n v="13.694599999999999"/>
    <n v="-89.181899999999999"/>
    <n v="15340"/>
    <n v="0"/>
    <n v="0"/>
    <n v="102"/>
    <s v="_x0000_US"/>
  </r>
  <r>
    <x v="1"/>
    <n v="13.694599999999999"/>
    <n v="-89.181899999999999"/>
    <n v="15340"/>
    <n v="0"/>
    <n v="0"/>
    <n v="102"/>
    <s v="_x0000_US"/>
  </r>
  <r>
    <x v="1"/>
    <n v="13.694599999999999"/>
    <n v="-89.181899999999999"/>
    <n v="15340"/>
    <n v="0"/>
    <n v="0"/>
    <n v="102"/>
    <s v="_x0000_US"/>
  </r>
  <r>
    <x v="1"/>
    <n v="13.694599999999999"/>
    <n v="-89.181799999999996"/>
    <n v="15340"/>
    <n v="0"/>
    <n v="0"/>
    <n v="102"/>
    <s v="_x0000_US"/>
  </r>
  <r>
    <x v="1"/>
    <n v="13.694599999999999"/>
    <n v="-89.181799999999996"/>
    <n v="15340"/>
    <n v="0"/>
    <n v="0"/>
    <n v="102"/>
    <s v="_x0000_US"/>
  </r>
  <r>
    <x v="1"/>
    <n v="13.694599999999999"/>
    <n v="-89.181799999999996"/>
    <n v="15340"/>
    <n v="0"/>
    <n v="0"/>
    <n v="102"/>
    <s v="_x0000_US"/>
  </r>
  <r>
    <x v="1"/>
    <n v="13.694599999999999"/>
    <n v="-89.181799999999996"/>
    <n v="15340"/>
    <n v="0"/>
    <n v="0"/>
    <n v="102"/>
    <s v="_x0000_US"/>
  </r>
  <r>
    <x v="1"/>
    <n v="13.694599999999999"/>
    <n v="-89.181799999999996"/>
    <n v="15340"/>
    <n v="0"/>
    <n v="0"/>
    <n v="102"/>
    <s v="_x0000_US"/>
  </r>
  <r>
    <x v="1"/>
    <n v="13.694599999999999"/>
    <n v="-89.181799999999996"/>
    <n v="15340"/>
    <n v="0"/>
    <n v="0"/>
    <n v="102"/>
    <s v="_x0000_US"/>
  </r>
  <r>
    <x v="1"/>
    <n v="13.694599999999999"/>
    <n v="-89.181700000000006"/>
    <n v="15340"/>
    <n v="0"/>
    <n v="0"/>
    <n v="102"/>
    <s v="_x0000_US"/>
  </r>
  <r>
    <x v="1"/>
    <n v="13.694599999999999"/>
    <n v="-89.181700000000006"/>
    <n v="15340"/>
    <n v="0"/>
    <n v="0"/>
    <n v="102"/>
    <s v="_x0000_US"/>
  </r>
  <r>
    <x v="1"/>
    <n v="13.694599999999999"/>
    <n v="-89.181700000000006"/>
    <n v="15340"/>
    <n v="0"/>
    <n v="0"/>
    <n v="102"/>
    <s v="_x0000_US"/>
  </r>
  <r>
    <x v="1"/>
    <n v="13.694599999999999"/>
    <n v="-89.181700000000006"/>
    <n v="15340"/>
    <n v="0"/>
    <n v="0"/>
    <n v="102"/>
    <s v="_x0000_US"/>
  </r>
  <r>
    <x v="1"/>
    <n v="13.694599999999999"/>
    <n v="-89.181600000000003"/>
    <n v="15340"/>
    <n v="0"/>
    <n v="0"/>
    <n v="102"/>
    <s v="_x0000_US"/>
  </r>
  <r>
    <x v="1"/>
    <n v="13.694599999999999"/>
    <n v="-89.181600000000003"/>
    <n v="15340"/>
    <n v="0"/>
    <n v="0"/>
    <n v="102"/>
    <s v="_x0000_US"/>
  </r>
  <r>
    <x v="1"/>
    <n v="13.694599999999999"/>
    <n v="-89.181600000000003"/>
    <n v="15340"/>
    <n v="0"/>
    <n v="0"/>
    <n v="102"/>
    <s v="_x0000_US"/>
  </r>
  <r>
    <x v="1"/>
    <n v="13.694599999999999"/>
    <n v="-89.181600000000003"/>
    <n v="15340"/>
    <n v="0"/>
    <n v="0"/>
    <n v="102"/>
    <s v="_x0000_US"/>
  </r>
  <r>
    <x v="1"/>
    <n v="13.694599999999999"/>
    <n v="-89.181600000000003"/>
    <n v="15340"/>
    <n v="0"/>
    <n v="0"/>
    <n v="102"/>
    <s v="_x0000_US"/>
  </r>
  <r>
    <x v="1"/>
    <n v="13.694599999999999"/>
    <n v="-89.181600000000003"/>
    <n v="15340"/>
    <n v="0"/>
    <n v="0"/>
    <n v="102"/>
    <s v="_x0000_US"/>
  </r>
  <r>
    <x v="1"/>
    <n v="13.694699999999999"/>
    <n v="-89.1815"/>
    <n v="15340"/>
    <n v="0"/>
    <n v="0"/>
    <n v="102"/>
    <s v="_x0000_US"/>
  </r>
  <r>
    <x v="1"/>
    <n v="13.694699999999999"/>
    <n v="-89.182199999999995"/>
    <n v="15340"/>
    <n v="0"/>
    <n v="0"/>
    <n v="102"/>
    <s v="_x0000_US"/>
  </r>
  <r>
    <x v="1"/>
    <n v="13.694699999999999"/>
    <n v="-89.182199999999995"/>
    <n v="15340"/>
    <n v="0"/>
    <n v="0"/>
    <n v="102"/>
    <s v="_x0000_US"/>
  </r>
  <r>
    <x v="1"/>
    <n v="13.694800000000001"/>
    <n v="-89.182100000000005"/>
    <n v="15340"/>
    <n v="0"/>
    <n v="0"/>
    <n v="102"/>
    <s v="_x0000_US"/>
  </r>
  <r>
    <x v="1"/>
    <n v="13.694900000000001"/>
    <n v="-89.182100000000005"/>
    <n v="15340"/>
    <n v="0"/>
    <n v="0"/>
    <n v="102"/>
    <s v="_x0000_US"/>
  </r>
  <r>
    <x v="1"/>
    <n v="13.694800000000001"/>
    <n v="-89.182000000000002"/>
    <n v="15340"/>
    <n v="0"/>
    <n v="0"/>
    <n v="102"/>
    <s v="_x0000_US"/>
  </r>
  <r>
    <x v="1"/>
    <n v="13.694800000000001"/>
    <n v="-89.182000000000002"/>
    <n v="15340"/>
    <n v="0"/>
    <n v="0"/>
    <n v="102"/>
    <s v="_x0000_US"/>
  </r>
  <r>
    <x v="1"/>
    <n v="13.694800000000001"/>
    <n v="-89.182000000000002"/>
    <n v="15340"/>
    <n v="0"/>
    <n v="0"/>
    <n v="102"/>
    <s v="_x0000_US"/>
  </r>
  <r>
    <x v="1"/>
    <n v="13.694800000000001"/>
    <n v="-89.182000000000002"/>
    <n v="15340"/>
    <n v="0"/>
    <n v="0"/>
    <n v="102"/>
    <s v="_x0000_US"/>
  </r>
  <r>
    <x v="1"/>
    <n v="13.694800000000001"/>
    <n v="-89.181899999999999"/>
    <n v="15340"/>
    <n v="0"/>
    <n v="0"/>
    <n v="102"/>
    <s v="_x0000_US"/>
  </r>
  <r>
    <x v="1"/>
    <n v="13.694699999999999"/>
    <n v="-89.181899999999999"/>
    <n v="15340"/>
    <n v="0"/>
    <n v="0"/>
    <n v="102"/>
    <s v="_x0000_US"/>
  </r>
  <r>
    <x v="1"/>
    <n v="13.694800000000001"/>
    <n v="-89.181700000000006"/>
    <n v="15340"/>
    <n v="0"/>
    <n v="0"/>
    <n v="102"/>
    <s v="_x0000_US"/>
  </r>
  <r>
    <x v="1"/>
    <n v="13.694800000000001"/>
    <n v="-89.181600000000003"/>
    <n v="15340"/>
    <n v="0"/>
    <n v="0"/>
    <n v="102"/>
    <s v="_x0000_US"/>
  </r>
  <r>
    <x v="1"/>
    <n v="13.6952"/>
    <n v="-89.182400000000001"/>
    <n v="15340"/>
    <n v="0"/>
    <n v="0"/>
    <n v="102"/>
    <s v="_x0000_US"/>
  </r>
  <r>
    <x v="1"/>
    <n v="13.6952"/>
    <n v="-89.182599999999994"/>
    <n v="15340"/>
    <n v="0"/>
    <n v="0"/>
    <n v="102"/>
    <s v="_x0000_US"/>
  </r>
  <r>
    <x v="1"/>
    <n v="13.6953"/>
    <n v="-89.183099999999996"/>
    <n v="15340"/>
    <n v="0"/>
    <n v="0"/>
    <n v="102"/>
    <s v="_x0000_US"/>
  </r>
  <r>
    <x v="1"/>
    <n v="13.6953"/>
    <n v="-89.182500000000005"/>
    <n v="15340"/>
    <n v="0"/>
    <n v="0"/>
    <n v="102"/>
    <s v="_x0000_US"/>
  </r>
  <r>
    <x v="1"/>
    <n v="13.695399999999999"/>
    <n v="-89.182500000000005"/>
    <n v="15340"/>
    <n v="0"/>
    <n v="0"/>
    <n v="102"/>
    <s v="_x0000_US"/>
  </r>
  <r>
    <x v="1"/>
    <n v="13.695399999999999"/>
    <n v="-89.182500000000005"/>
    <n v="15340"/>
    <n v="0"/>
    <n v="0"/>
    <n v="102"/>
    <s v="_x0000_US"/>
  </r>
  <r>
    <x v="1"/>
    <n v="13.695399999999999"/>
    <n v="-89.182400000000001"/>
    <n v="15340"/>
    <n v="0"/>
    <n v="0"/>
    <n v="102"/>
    <s v="_x0000_US"/>
  </r>
  <r>
    <x v="1"/>
    <n v="13.6953"/>
    <n v="-89.182400000000001"/>
    <n v="15340"/>
    <n v="0"/>
    <n v="0"/>
    <n v="102"/>
    <s v="_x0000_US"/>
  </r>
  <r>
    <x v="1"/>
    <n v="13.6953"/>
    <n v="-89.182500000000005"/>
    <n v="15340"/>
    <n v="0"/>
    <n v="0"/>
    <n v="102"/>
    <s v="_x0000_US"/>
  </r>
  <r>
    <x v="1"/>
    <n v="13.6957"/>
    <n v="-89.183000000000007"/>
    <n v="15340"/>
    <n v="0"/>
    <n v="0"/>
    <n v="102"/>
    <s v="_x0000_US"/>
  </r>
  <r>
    <x v="1"/>
    <n v="13.6957"/>
    <n v="-89.183099999999996"/>
    <n v="15340"/>
    <n v="0"/>
    <n v="0"/>
    <n v="102"/>
    <s v="_x0000_US"/>
  </r>
  <r>
    <x v="1"/>
    <n v="13.695600000000001"/>
    <n v="-89.183099999999996"/>
    <n v="15340"/>
    <n v="0"/>
    <n v="0"/>
    <n v="102"/>
    <s v="_x0000_US"/>
  </r>
  <r>
    <x v="1"/>
    <n v="13.695600000000001"/>
    <n v="-89.183000000000007"/>
    <n v="15340"/>
    <n v="0"/>
    <n v="0"/>
    <n v="102"/>
    <s v="_x0000_US"/>
  </r>
  <r>
    <x v="1"/>
    <n v="13.695600000000001"/>
    <n v="-89.183199999999999"/>
    <n v="15340"/>
    <n v="0"/>
    <n v="0"/>
    <n v="102"/>
    <s v="_x0000_US"/>
  </r>
  <r>
    <x v="1"/>
    <n v="13.695600000000001"/>
    <n v="-89.183199999999999"/>
    <n v="15340"/>
    <n v="0"/>
    <n v="0"/>
    <n v="102"/>
    <s v="_x0000_US"/>
  </r>
  <r>
    <x v="1"/>
    <n v="13.695600000000001"/>
    <n v="-89.183199999999999"/>
    <n v="15340"/>
    <n v="0"/>
    <n v="0"/>
    <n v="102"/>
    <s v="_x0000_US"/>
  </r>
  <r>
    <x v="1"/>
    <n v="13.695600000000001"/>
    <n v="-89.183199999999999"/>
    <n v="15340"/>
    <n v="0"/>
    <n v="0"/>
    <n v="102"/>
    <s v="_x0000_US"/>
  </r>
  <r>
    <x v="1"/>
    <n v="13.695600000000001"/>
    <n v="-89.183099999999996"/>
    <n v="15340"/>
    <n v="0"/>
    <n v="0"/>
    <n v="102"/>
    <s v="_x0000_US"/>
  </r>
  <r>
    <x v="1"/>
    <n v="13.695600000000001"/>
    <n v="-89.183099999999996"/>
    <n v="15340"/>
    <n v="0"/>
    <n v="0"/>
    <n v="102"/>
    <s v="_x0000_US"/>
  </r>
  <r>
    <x v="1"/>
    <n v="13.695499999999999"/>
    <n v="-89.183099999999996"/>
    <n v="15340"/>
    <n v="0"/>
    <n v="0"/>
    <n v="102"/>
    <s v="_x0000_US"/>
  </r>
  <r>
    <x v="1"/>
    <n v="13.695499999999999"/>
    <n v="-89.183099999999996"/>
    <n v="15340"/>
    <n v="0"/>
    <n v="0"/>
    <n v="102"/>
    <s v="_x0000_US"/>
  </r>
  <r>
    <x v="1"/>
    <n v="13.695499999999999"/>
    <n v="-89.183000000000007"/>
    <n v="15340"/>
    <n v="0"/>
    <n v="0"/>
    <n v="102"/>
    <s v="_x0000_US"/>
  </r>
  <r>
    <x v="1"/>
    <n v="13.695499999999999"/>
    <n v="-89.183000000000007"/>
    <n v="15340"/>
    <n v="0"/>
    <n v="0"/>
    <n v="102"/>
    <s v="_x0000_US"/>
  </r>
  <r>
    <x v="1"/>
    <n v="13.695499999999999"/>
    <n v="-89.183000000000007"/>
    <n v="15340"/>
    <n v="0"/>
    <n v="0"/>
    <n v="102"/>
    <s v="_x0000_US"/>
  </r>
  <r>
    <x v="1"/>
    <n v="13.695499999999999"/>
    <n v="-89.183000000000007"/>
    <n v="15340"/>
    <n v="0"/>
    <n v="0"/>
    <n v="102"/>
    <s v="_x0000_US"/>
  </r>
  <r>
    <x v="1"/>
    <n v="13.695499999999999"/>
    <n v="-89.182900000000004"/>
    <n v="15340"/>
    <n v="0"/>
    <n v="0"/>
    <n v="102"/>
    <s v="_x0000_US"/>
  </r>
  <r>
    <x v="1"/>
    <n v="13.695499999999999"/>
    <n v="-89.183000000000007"/>
    <n v="15340"/>
    <n v="0"/>
    <n v="0"/>
    <n v="102"/>
    <s v="_x0000_US"/>
  </r>
  <r>
    <x v="1"/>
    <n v="13.695499999999999"/>
    <n v="-89.183000000000007"/>
    <n v="15340"/>
    <n v="0"/>
    <n v="0"/>
    <n v="102"/>
    <s v="_x0000_US"/>
  </r>
  <r>
    <x v="1"/>
    <n v="13.695600000000001"/>
    <n v="-89.182900000000004"/>
    <n v="15340"/>
    <n v="0"/>
    <n v="0"/>
    <n v="102"/>
    <s v="_x0000_US"/>
  </r>
  <r>
    <x v="1"/>
    <n v="13.695600000000001"/>
    <n v="-89.182900000000004"/>
    <n v="15340"/>
    <n v="0"/>
    <n v="0"/>
    <n v="102"/>
    <s v="_x0000_US"/>
  </r>
  <r>
    <x v="1"/>
    <n v="13.695600000000001"/>
    <n v="-89.1828"/>
    <n v="15340"/>
    <n v="0"/>
    <n v="0"/>
    <n v="102"/>
    <s v="_x0000_US"/>
  </r>
  <r>
    <x v="1"/>
    <n v="13.695600000000001"/>
    <n v="-89.1828"/>
    <n v="15340"/>
    <n v="0"/>
    <n v="0"/>
    <n v="102"/>
    <s v="_x0000_US"/>
  </r>
  <r>
    <x v="1"/>
    <n v="13.695399999999999"/>
    <n v="-89.182900000000004"/>
    <n v="15340"/>
    <n v="0"/>
    <n v="0"/>
    <n v="102"/>
    <s v="_x0000_US"/>
  </r>
  <r>
    <x v="1"/>
    <n v="13.695399999999999"/>
    <n v="-89.182900000000004"/>
    <n v="15340"/>
    <n v="0"/>
    <n v="0"/>
    <n v="102"/>
    <s v="_x0000_US"/>
  </r>
  <r>
    <x v="1"/>
    <n v="13.695600000000001"/>
    <n v="-89.183000000000007"/>
    <n v="15340"/>
    <n v="0"/>
    <n v="0"/>
    <n v="102"/>
    <s v="_x0000_US"/>
  </r>
  <r>
    <x v="1"/>
    <n v="13.695600000000001"/>
    <n v="-89.183000000000007"/>
    <n v="15340"/>
    <n v="0"/>
    <n v="0"/>
    <n v="102"/>
    <s v="_x0000_US"/>
  </r>
  <r>
    <x v="1"/>
    <n v="13.695600000000001"/>
    <n v="-89.183000000000007"/>
    <n v="15340"/>
    <n v="0"/>
    <n v="0"/>
    <n v="102"/>
    <s v="_x0000_US"/>
  </r>
  <r>
    <x v="1"/>
    <n v="13.695600000000001"/>
    <n v="-89.183000000000007"/>
    <n v="15340"/>
    <n v="0"/>
    <n v="0"/>
    <n v="102"/>
    <s v="_x0000_US"/>
  </r>
  <r>
    <x v="1"/>
    <n v="13.6957"/>
    <n v="-89.182900000000004"/>
    <n v="15340"/>
    <n v="0"/>
    <n v="0"/>
    <n v="102"/>
    <s v="_x0000_US"/>
  </r>
  <r>
    <x v="1"/>
    <n v="13.6957"/>
    <n v="-89.182900000000004"/>
    <n v="15340"/>
    <n v="0"/>
    <n v="0"/>
    <n v="102"/>
    <s v="_x0000_US"/>
  </r>
  <r>
    <x v="1"/>
    <n v="13.695600000000001"/>
    <n v="-89.1828"/>
    <n v="15340"/>
    <n v="0"/>
    <n v="0"/>
    <n v="102"/>
    <s v="_x0000_US"/>
  </r>
  <r>
    <x v="1"/>
    <n v="13.695600000000001"/>
    <n v="-89.1828"/>
    <n v="15340"/>
    <n v="0"/>
    <n v="0"/>
    <n v="102"/>
    <s v="_x0000_US"/>
  </r>
  <r>
    <x v="1"/>
    <n v="13.695600000000001"/>
    <n v="-89.1828"/>
    <n v="15340"/>
    <n v="0"/>
    <n v="0"/>
    <n v="102"/>
    <s v="_x0000_US"/>
  </r>
  <r>
    <x v="1"/>
    <n v="13.695600000000001"/>
    <n v="-89.1828"/>
    <n v="15340"/>
    <n v="0"/>
    <n v="0"/>
    <n v="102"/>
    <s v="_x0000_US"/>
  </r>
  <r>
    <x v="1"/>
    <n v="13.6957"/>
    <n v="-89.1828"/>
    <n v="15340"/>
    <n v="0"/>
    <n v="0"/>
    <n v="102"/>
    <s v="_x0000_US"/>
  </r>
  <r>
    <x v="1"/>
    <n v="13.6957"/>
    <n v="-89.182900000000004"/>
    <n v="15340"/>
    <n v="0"/>
    <n v="0"/>
    <n v="102"/>
    <s v="_x0000_US"/>
  </r>
  <r>
    <x v="1"/>
    <n v="13.6957"/>
    <n v="-89.182900000000004"/>
    <n v="15340"/>
    <n v="0"/>
    <n v="0"/>
    <n v="102"/>
    <s v="_x0000_US"/>
  </r>
  <r>
    <x v="1"/>
    <n v="13.6957"/>
    <n v="-89.183000000000007"/>
    <n v="15340"/>
    <n v="0"/>
    <n v="0"/>
    <n v="102"/>
    <s v="_x0000_US"/>
  </r>
  <r>
    <x v="1"/>
    <n v="13.6957"/>
    <n v="-89.1828"/>
    <n v="15340"/>
    <n v="0"/>
    <n v="0"/>
    <n v="102"/>
    <s v="_x0000_US"/>
  </r>
  <r>
    <x v="1"/>
    <n v="13.6957"/>
    <n v="-89.182900000000004"/>
    <n v="15340"/>
    <n v="0"/>
    <n v="0"/>
    <n v="102"/>
    <s v="_x0000_US"/>
  </r>
  <r>
    <x v="1"/>
    <n v="13.6957"/>
    <n v="-89.182900000000004"/>
    <n v="15340"/>
    <n v="0"/>
    <n v="0"/>
    <n v="102"/>
    <s v="_x0000_US"/>
  </r>
  <r>
    <x v="1"/>
    <n v="13.6957"/>
    <n v="-89.182699999999997"/>
    <n v="15340"/>
    <n v="0"/>
    <n v="0"/>
    <n v="102"/>
    <s v="_x0000_US"/>
  </r>
  <r>
    <x v="1"/>
    <n v="13.6958"/>
    <n v="-89.182900000000004"/>
    <n v="15340"/>
    <n v="0"/>
    <n v="0"/>
    <n v="102"/>
    <s v="_x0000_US"/>
  </r>
  <r>
    <x v="1"/>
    <n v="13.6958"/>
    <n v="-89.182900000000004"/>
    <n v="15340"/>
    <n v="0"/>
    <n v="0"/>
    <n v="102"/>
    <s v="_x0000_US"/>
  </r>
  <r>
    <x v="1"/>
    <n v="13.6958"/>
    <n v="-89.182900000000004"/>
    <n v="15340"/>
    <n v="0"/>
    <n v="0"/>
    <n v="102"/>
    <s v="_x0000_US"/>
  </r>
  <r>
    <x v="1"/>
    <n v="13.6958"/>
    <n v="-89.182900000000004"/>
    <n v="15340"/>
    <n v="0"/>
    <n v="0"/>
    <n v="102"/>
    <s v="_x0000_US"/>
  </r>
  <r>
    <x v="1"/>
    <n v="13.6957"/>
    <n v="-89.182900000000004"/>
    <n v="15340"/>
    <n v="0"/>
    <n v="0"/>
    <n v="102"/>
    <s v="_x0000_US"/>
  </r>
  <r>
    <x v="1"/>
    <n v="13.6958"/>
    <n v="-89.1828"/>
    <n v="15340"/>
    <n v="0"/>
    <n v="0"/>
    <n v="102"/>
    <s v="_x0000_US"/>
  </r>
  <r>
    <x v="1"/>
    <n v="13.6958"/>
    <n v="-89.1828"/>
    <n v="15340"/>
    <n v="0"/>
    <n v="0"/>
    <n v="102"/>
    <s v="_x0000_US"/>
  </r>
  <r>
    <x v="1"/>
    <n v="13.6958"/>
    <n v="-89.1828"/>
    <n v="15340"/>
    <n v="0"/>
    <n v="0"/>
    <n v="102"/>
    <s v="_x0000_US"/>
  </r>
  <r>
    <x v="1"/>
    <n v="13.6958"/>
    <n v="-89.1828"/>
    <n v="15340"/>
    <n v="0"/>
    <n v="0"/>
    <n v="102"/>
    <s v="_x0000_US"/>
  </r>
  <r>
    <x v="1"/>
    <n v="13.6958"/>
    <n v="-89.1828"/>
    <n v="15340"/>
    <n v="0"/>
    <n v="0"/>
    <n v="102"/>
    <s v="_x0000_US"/>
  </r>
  <r>
    <x v="1"/>
    <n v="13.6958"/>
    <n v="-89.1828"/>
    <n v="15340"/>
    <n v="0"/>
    <n v="0"/>
    <n v="102"/>
    <s v="_x0000_US"/>
  </r>
  <r>
    <x v="1"/>
    <n v="13.6958"/>
    <n v="-89.182699999999997"/>
    <n v="15340"/>
    <n v="0"/>
    <n v="0"/>
    <n v="102"/>
    <s v="_x0000_US"/>
  </r>
  <r>
    <x v="1"/>
    <n v="13.6958"/>
    <n v="-89.182699999999997"/>
    <n v="15340"/>
    <n v="0"/>
    <n v="0"/>
    <n v="102"/>
    <s v="_x0000_US"/>
  </r>
  <r>
    <x v="1"/>
    <n v="13.6958"/>
    <n v="-89.182699999999997"/>
    <n v="15340"/>
    <n v="0"/>
    <n v="0"/>
    <n v="102"/>
    <s v="_x0000_US"/>
  </r>
  <r>
    <x v="1"/>
    <n v="13.6958"/>
    <n v="-89.182699999999997"/>
    <n v="15340"/>
    <n v="0"/>
    <n v="0"/>
    <n v="102"/>
    <s v="_x0000_US"/>
  </r>
  <r>
    <x v="1"/>
    <n v="13.6958"/>
    <n v="-89.182699999999997"/>
    <n v="15340"/>
    <n v="0"/>
    <n v="0"/>
    <n v="102"/>
    <s v="_x0000_US"/>
  </r>
  <r>
    <x v="1"/>
    <n v="13.6959"/>
    <n v="-89.182900000000004"/>
    <n v="15340"/>
    <n v="0"/>
    <n v="0"/>
    <n v="102"/>
    <s v="_x0000_US"/>
  </r>
  <r>
    <x v="1"/>
    <n v="13.6959"/>
    <n v="-89.182699999999997"/>
    <n v="15340"/>
    <n v="0"/>
    <n v="0"/>
    <n v="102"/>
    <s v="_x0000_US"/>
  </r>
  <r>
    <x v="1"/>
    <n v="13.6958"/>
    <n v="-89.1828"/>
    <n v="15340"/>
    <n v="0"/>
    <n v="0"/>
    <n v="102"/>
    <s v="_x0000_US"/>
  </r>
  <r>
    <x v="1"/>
    <n v="13.6958"/>
    <n v="-89.1828"/>
    <n v="15340"/>
    <n v="0"/>
    <n v="0"/>
    <n v="102"/>
    <s v="_x0000_US"/>
  </r>
  <r>
    <x v="1"/>
    <n v="13.6959"/>
    <n v="-89.1828"/>
    <n v="15340"/>
    <n v="0"/>
    <n v="0"/>
    <n v="102"/>
    <s v="_x0000_US"/>
  </r>
  <r>
    <x v="1"/>
    <n v="13.6959"/>
    <n v="-89.1828"/>
    <n v="15340"/>
    <n v="0"/>
    <n v="0"/>
    <n v="102"/>
    <s v="_x0000_US"/>
  </r>
  <r>
    <x v="1"/>
    <n v="13.6959"/>
    <n v="-89.182500000000005"/>
    <n v="15340"/>
    <n v="0"/>
    <n v="0"/>
    <n v="102"/>
    <s v="_x0000_US"/>
  </r>
  <r>
    <x v="1"/>
    <n v="13.6959"/>
    <n v="-89.182699999999997"/>
    <n v="15340"/>
    <n v="0"/>
    <n v="0"/>
    <n v="102"/>
    <s v="_x0000_US"/>
  </r>
  <r>
    <x v="1"/>
    <n v="13.6959"/>
    <n v="-89.182699999999997"/>
    <n v="15340"/>
    <n v="0"/>
    <n v="0"/>
    <n v="102"/>
    <s v="_x0000_US"/>
  </r>
  <r>
    <x v="1"/>
    <n v="13.696099999999999"/>
    <n v="-89.182900000000004"/>
    <n v="15340"/>
    <n v="0"/>
    <n v="0"/>
    <n v="102"/>
    <s v="_x0000_US"/>
  </r>
  <r>
    <x v="1"/>
    <n v="13.696"/>
    <n v="-89.183000000000007"/>
    <n v="15340"/>
    <n v="0"/>
    <n v="0"/>
    <n v="102"/>
    <s v="_x0000_US"/>
  </r>
  <r>
    <x v="1"/>
    <n v="13.696"/>
    <n v="-89.182699999999997"/>
    <n v="15340"/>
    <n v="0"/>
    <n v="0"/>
    <n v="102"/>
    <s v="_x0000_US"/>
  </r>
  <r>
    <x v="1"/>
    <n v="13.696"/>
    <n v="-89.182599999999994"/>
    <n v="15340"/>
    <n v="0"/>
    <n v="0"/>
    <n v="102"/>
    <s v="_x0000_US"/>
  </r>
  <r>
    <x v="1"/>
    <n v="13.696"/>
    <n v="-89.182500000000005"/>
    <n v="15340"/>
    <n v="0"/>
    <n v="0"/>
    <n v="102"/>
    <s v="_x0000_US"/>
  </r>
  <r>
    <x v="1"/>
    <n v="13.696"/>
    <n v="-89.182500000000005"/>
    <n v="15340"/>
    <n v="0"/>
    <n v="0"/>
    <n v="102"/>
    <s v="_x0000_US"/>
  </r>
  <r>
    <x v="1"/>
    <n v="13.696"/>
    <n v="-89.1828"/>
    <n v="15340"/>
    <n v="0"/>
    <n v="0"/>
    <n v="102"/>
    <s v="_x0000_US"/>
  </r>
  <r>
    <x v="1"/>
    <n v="13.696"/>
    <n v="-89.1828"/>
    <n v="15340"/>
    <n v="0"/>
    <n v="0"/>
    <n v="102"/>
    <s v="_x0000_US"/>
  </r>
  <r>
    <x v="1"/>
    <n v="13.696"/>
    <n v="-89.182699999999997"/>
    <n v="15340"/>
    <n v="0"/>
    <n v="0"/>
    <n v="102"/>
    <s v="_x0000_US"/>
  </r>
  <r>
    <x v="1"/>
    <n v="13.696"/>
    <n v="-89.182699999999997"/>
    <n v="15340"/>
    <n v="0"/>
    <n v="0"/>
    <n v="102"/>
    <s v="_x0000_US"/>
  </r>
  <r>
    <x v="1"/>
    <n v="13.696"/>
    <n v="-89.182699999999997"/>
    <n v="15340"/>
    <n v="0"/>
    <n v="0"/>
    <n v="102"/>
    <s v="_x0000_US"/>
  </r>
  <r>
    <x v="1"/>
    <n v="13.696"/>
    <n v="-89.182699999999997"/>
    <n v="15340"/>
    <n v="0"/>
    <n v="0"/>
    <n v="102"/>
    <s v="_x0000_US"/>
  </r>
  <r>
    <x v="1"/>
    <n v="13.696099999999999"/>
    <n v="-89.1828"/>
    <n v="15340"/>
    <n v="0"/>
    <n v="0"/>
    <n v="102"/>
    <s v="_x0000_US"/>
  </r>
  <r>
    <x v="1"/>
    <n v="13.696099999999999"/>
    <n v="-89.1828"/>
    <n v="15340"/>
    <n v="0"/>
    <n v="0"/>
    <n v="102"/>
    <s v="_x0000_US"/>
  </r>
  <r>
    <x v="1"/>
    <n v="13.696099999999999"/>
    <n v="-89.1828"/>
    <n v="15340"/>
    <n v="0"/>
    <n v="0"/>
    <n v="102"/>
    <s v="_x0000_US"/>
  </r>
  <r>
    <x v="1"/>
    <n v="13.696099999999999"/>
    <n v="-89.182500000000005"/>
    <n v="15340"/>
    <n v="0"/>
    <n v="0"/>
    <n v="102"/>
    <s v="_x0000_US"/>
  </r>
  <r>
    <x v="1"/>
    <n v="13.696"/>
    <n v="-89.182400000000001"/>
    <n v="15340"/>
    <n v="0"/>
    <n v="0"/>
    <n v="102"/>
    <s v="_x0000_US"/>
  </r>
  <r>
    <x v="1"/>
    <n v="13.6959"/>
    <n v="-89.183000000000007"/>
    <n v="15340"/>
    <n v="0"/>
    <n v="0"/>
    <n v="102"/>
    <s v="_x0000_US"/>
  </r>
  <r>
    <x v="1"/>
    <n v="13.6958"/>
    <n v="-89.183099999999996"/>
    <n v="15340"/>
    <n v="0"/>
    <n v="0"/>
    <n v="102"/>
    <s v="_x0000_US"/>
  </r>
  <r>
    <x v="1"/>
    <n v="13.6959"/>
    <n v="-89.182400000000001"/>
    <n v="15340"/>
    <n v="0"/>
    <n v="0"/>
    <n v="102"/>
    <s v="_x0000_US"/>
  </r>
  <r>
    <x v="1"/>
    <n v="13.6957"/>
    <n v="-89.183000000000007"/>
    <n v="15340"/>
    <n v="0"/>
    <n v="0"/>
    <n v="102"/>
    <s v="_x0000_US"/>
  </r>
  <r>
    <x v="1"/>
    <n v="13.695600000000001"/>
    <n v="-89.182400000000001"/>
    <n v="15340"/>
    <n v="0"/>
    <n v="0"/>
    <n v="102"/>
    <s v="_x0000_US"/>
  </r>
  <r>
    <x v="1"/>
    <n v="13.695499999999999"/>
    <n v="-89.182400000000001"/>
    <n v="15340"/>
    <n v="0"/>
    <n v="0"/>
    <n v="102"/>
    <s v="_x0000_US"/>
  </r>
  <r>
    <x v="1"/>
    <n v="13.695499999999999"/>
    <n v="-89.182500000000005"/>
    <n v="15340"/>
    <n v="0"/>
    <n v="0"/>
    <n v="102"/>
    <s v="_x0000_US"/>
  </r>
  <r>
    <x v="1"/>
    <n v="13.6943"/>
    <n v="-89.182299999999998"/>
    <n v="15340"/>
    <n v="0"/>
    <n v="0"/>
    <n v="102"/>
    <s v="_x0000_US"/>
  </r>
  <r>
    <x v="1"/>
    <n v="13.6942"/>
    <n v="-89.182299999999998"/>
    <n v="15340"/>
    <n v="0"/>
    <n v="0"/>
    <n v="102"/>
    <s v="_x0000_US"/>
  </r>
  <r>
    <x v="1"/>
    <n v="13.6944"/>
    <n v="-89.182400000000001"/>
    <n v="15340"/>
    <n v="0"/>
    <n v="0"/>
    <n v="102"/>
    <s v="_x0000_US"/>
  </r>
  <r>
    <x v="1"/>
    <n v="13.6945"/>
    <n v="-89.182299999999998"/>
    <n v="15340"/>
    <n v="0"/>
    <n v="0"/>
    <n v="102"/>
    <s v="_x0000_US"/>
  </r>
  <r>
    <x v="1"/>
    <n v="13.6943"/>
    <n v="-89.181799999999996"/>
    <n v="15340"/>
    <n v="0"/>
    <n v="0"/>
    <n v="102"/>
    <s v="_x0000_US"/>
  </r>
  <r>
    <x v="1"/>
    <n v="13.694100000000001"/>
    <n v="-89.182199999999995"/>
    <n v="15340"/>
    <n v="0"/>
    <n v="0"/>
    <n v="102"/>
    <s v="_x0000_US"/>
  </r>
  <r>
    <x v="1"/>
    <n v="13.6927"/>
    <n v="-89.191699999999997"/>
    <n v="8550"/>
    <n v="0"/>
    <n v="0"/>
    <n v="102"/>
    <s v="_x0000_US"/>
  </r>
  <r>
    <x v="1"/>
    <n v="13.693"/>
    <n v="-89.194000000000003"/>
    <n v="13650"/>
    <n v="0"/>
    <n v="0"/>
    <n v="102"/>
    <s v="_x0000_US"/>
  </r>
  <r>
    <x v="1"/>
    <n v="13.693099999999999"/>
    <n v="-89.193899999999999"/>
    <n v="13650"/>
    <n v="0"/>
    <n v="0"/>
    <n v="102"/>
    <s v="_x0000_US"/>
  </r>
  <r>
    <x v="1"/>
    <n v="13.693199999999999"/>
    <n v="-89.193899999999999"/>
    <n v="13650"/>
    <n v="0"/>
    <n v="0"/>
    <n v="102"/>
    <s v="_x0000_US"/>
  </r>
  <r>
    <x v="1"/>
    <n v="13.6936"/>
    <n v="-89.191699999999997"/>
    <n v="8550"/>
    <n v="0"/>
    <n v="0"/>
    <n v="102"/>
    <s v="_x0000_US"/>
  </r>
  <r>
    <x v="1"/>
    <n v="13.6936"/>
    <n v="-89.191400000000002"/>
    <n v="8550"/>
    <n v="0"/>
    <n v="0"/>
    <n v="102"/>
    <s v="_x0000_US"/>
  </r>
  <r>
    <x v="1"/>
    <n v="13.6943"/>
    <n v="-89.191100000000006"/>
    <n v="8550"/>
    <n v="0"/>
    <n v="0"/>
    <n v="102"/>
    <s v="_x0000_US"/>
  </r>
  <r>
    <x v="1"/>
    <n v="13.6942"/>
    <n v="-89.189599999999999"/>
    <n v="8550"/>
    <n v="0"/>
    <n v="0"/>
    <n v="102"/>
    <s v="_x0000_US"/>
  </r>
  <r>
    <x v="1"/>
    <n v="13.6921"/>
    <n v="-89.192899999999995"/>
    <n v="8550"/>
    <n v="0"/>
    <n v="0"/>
    <n v="102"/>
    <s v="_x0000_US"/>
  </r>
  <r>
    <x v="1"/>
    <n v="13.692"/>
    <n v="-89.192899999999995"/>
    <n v="8550"/>
    <n v="0"/>
    <n v="0"/>
    <n v="102"/>
    <s v="_x0000_US"/>
  </r>
  <r>
    <x v="1"/>
    <n v="13.6919"/>
    <n v="-89.192800000000005"/>
    <n v="8550"/>
    <n v="0"/>
    <n v="0"/>
    <n v="102"/>
    <s v="_x0000_US"/>
  </r>
  <r>
    <x v="1"/>
    <n v="13.6921"/>
    <n v="-89.1922"/>
    <n v="8550"/>
    <n v="0"/>
    <n v="0"/>
    <n v="102"/>
    <s v="_x0000_US"/>
  </r>
  <r>
    <x v="1"/>
    <n v="13.6919"/>
    <n v="-89.1922"/>
    <n v="8550"/>
    <n v="0"/>
    <n v="0"/>
    <n v="102"/>
    <s v="_x0000_US"/>
  </r>
  <r>
    <x v="1"/>
    <n v="13.691800000000001"/>
    <n v="-89.1922"/>
    <n v="8550"/>
    <n v="0"/>
    <n v="0"/>
    <n v="102"/>
    <s v="_x0000_US"/>
  </r>
  <r>
    <x v="1"/>
    <n v="13.6922"/>
    <n v="-89.192499999999995"/>
    <n v="8550"/>
    <n v="0"/>
    <n v="0"/>
    <n v="102"/>
    <s v="_x0000_US"/>
  </r>
  <r>
    <x v="1"/>
    <n v="13.687900000000001"/>
    <n v="-89.190799999999996"/>
    <n v="9980"/>
    <n v="0"/>
    <n v="0"/>
    <n v="102"/>
    <s v="_x0000_US"/>
  </r>
  <r>
    <x v="1"/>
    <n v="13.687900000000001"/>
    <n v="-89.190700000000007"/>
    <n v="9980"/>
    <n v="0"/>
    <n v="0"/>
    <n v="102"/>
    <s v="_x0000_US"/>
  </r>
  <r>
    <x v="1"/>
    <n v="13.687900000000001"/>
    <n v="-89.190700000000007"/>
    <n v="9980"/>
    <n v="0"/>
    <n v="0"/>
    <n v="102"/>
    <s v="_x0000_US"/>
  </r>
  <r>
    <x v="1"/>
    <n v="13.687900000000001"/>
    <n v="-89.190700000000007"/>
    <n v="9980"/>
    <n v="0"/>
    <n v="0"/>
    <n v="102"/>
    <s v="_x0000_US"/>
  </r>
  <r>
    <x v="1"/>
    <n v="13.687900000000001"/>
    <n v="-89.190700000000007"/>
    <n v="9980"/>
    <n v="0"/>
    <n v="0"/>
    <n v="102"/>
    <s v="_x0000_US"/>
  </r>
  <r>
    <x v="1"/>
    <n v="13.688000000000001"/>
    <n v="-89.190299999999993"/>
    <n v="9200"/>
    <n v="0"/>
    <n v="0"/>
    <n v="102"/>
    <s v="_x0000_US"/>
  </r>
  <r>
    <x v="1"/>
    <n v="13.688000000000001"/>
    <n v="-89.190299999999993"/>
    <n v="9200"/>
    <n v="0"/>
    <n v="0"/>
    <n v="102"/>
    <s v="_x0000_US"/>
  </r>
  <r>
    <x v="1"/>
    <n v="13.688000000000001"/>
    <n v="-89.190299999999993"/>
    <n v="9200"/>
    <n v="0"/>
    <n v="0"/>
    <n v="102"/>
    <s v="_x0000_US"/>
  </r>
  <r>
    <x v="1"/>
    <n v="13.688000000000001"/>
    <n v="-89.190299999999993"/>
    <n v="9200"/>
    <n v="0"/>
    <n v="0"/>
    <n v="102"/>
    <s v="_x0000_US"/>
  </r>
  <r>
    <x v="1"/>
    <n v="13.688000000000001"/>
    <n v="-89.190200000000004"/>
    <n v="9200"/>
    <n v="0"/>
    <n v="0"/>
    <n v="102"/>
    <s v="_x0000_US"/>
  </r>
  <r>
    <x v="1"/>
    <n v="13.688000000000001"/>
    <n v="-89.190200000000004"/>
    <n v="9200"/>
    <n v="0"/>
    <n v="0"/>
    <n v="102"/>
    <s v="_x0000_US"/>
  </r>
  <r>
    <x v="1"/>
    <n v="13.6877"/>
    <n v="-89.190899999999999"/>
    <n v="9980"/>
    <n v="0"/>
    <n v="0"/>
    <n v="102"/>
    <s v="_x0000_US"/>
  </r>
  <r>
    <x v="1"/>
    <n v="13.6877"/>
    <n v="-89.190899999999999"/>
    <n v="9980"/>
    <n v="0"/>
    <n v="0"/>
    <n v="102"/>
    <s v="_x0000_US"/>
  </r>
  <r>
    <x v="1"/>
    <n v="13.6877"/>
    <n v="-89.190899999999999"/>
    <n v="9980"/>
    <n v="0"/>
    <n v="0"/>
    <n v="102"/>
    <s v="_x0000_US"/>
  </r>
  <r>
    <x v="1"/>
    <n v="13.685499999999999"/>
    <n v="-89.196600000000004"/>
    <n v="28700"/>
    <n v="0"/>
    <n v="0"/>
    <n v="102"/>
    <s v="_x0000_US"/>
  </r>
  <r>
    <x v="1"/>
    <n v="13.685600000000001"/>
    <n v="-89.196700000000007"/>
    <n v="28700"/>
    <n v="0"/>
    <n v="0"/>
    <n v="102"/>
    <s v="_x0000_US"/>
  </r>
  <r>
    <x v="1"/>
    <n v="13.685600000000001"/>
    <n v="-89.196700000000007"/>
    <n v="28700"/>
    <n v="0"/>
    <n v="0"/>
    <n v="102"/>
    <s v="_x0000_US"/>
  </r>
  <r>
    <x v="1"/>
    <n v="13.685499999999999"/>
    <n v="-89.196899999999999"/>
    <n v="22540"/>
    <n v="0"/>
    <n v="0"/>
    <n v="102"/>
    <s v="_x0000_US"/>
  </r>
  <r>
    <x v="1"/>
    <n v="13.685499999999999"/>
    <n v="-89.196899999999999"/>
    <n v="22540"/>
    <n v="0"/>
    <n v="0"/>
    <n v="102"/>
    <s v="_x0000_US"/>
  </r>
  <r>
    <x v="1"/>
    <n v="13.6854"/>
    <n v="-89.197100000000006"/>
    <n v="22540"/>
    <n v="0"/>
    <n v="0"/>
    <n v="102"/>
    <s v="_x0000_US"/>
  </r>
  <r>
    <x v="1"/>
    <n v="13.685499999999999"/>
    <n v="-89.197199999999995"/>
    <n v="22540"/>
    <n v="0"/>
    <n v="0"/>
    <n v="102"/>
    <s v="_x0000_US"/>
  </r>
  <r>
    <x v="1"/>
    <n v="13.685499999999999"/>
    <n v="-89.197199999999995"/>
    <n v="22540"/>
    <n v="0"/>
    <n v="0"/>
    <n v="102"/>
    <s v="_x0000_US"/>
  </r>
  <r>
    <x v="1"/>
    <n v="13.686"/>
    <n v="-89.197599999999994"/>
    <n v="32500"/>
    <n v="0"/>
    <n v="0"/>
    <n v="102"/>
    <s v="_x0000_US"/>
  </r>
  <r>
    <x v="1"/>
    <n v="13.686"/>
    <n v="-89.197699999999998"/>
    <n v="32500"/>
    <n v="0"/>
    <n v="0"/>
    <n v="102"/>
    <s v="_x0000_US"/>
  </r>
  <r>
    <x v="1"/>
    <n v="13.686"/>
    <n v="-89.197699999999998"/>
    <n v="32500"/>
    <n v="0"/>
    <n v="0"/>
    <n v="102"/>
    <s v="_x0000_US"/>
  </r>
  <r>
    <x v="1"/>
    <n v="13.6861"/>
    <n v="-89.197800000000001"/>
    <n v="32500"/>
    <n v="0"/>
    <n v="0"/>
    <n v="102"/>
    <s v="_x0000_US"/>
  </r>
  <r>
    <x v="1"/>
    <n v="13.686199999999999"/>
    <n v="-89.197599999999994"/>
    <n v="32500"/>
    <n v="0"/>
    <n v="0"/>
    <n v="102"/>
    <s v="_x0000_US"/>
  </r>
  <r>
    <x v="1"/>
    <n v="13.686199999999999"/>
    <n v="-89.197599999999994"/>
    <n v="32500"/>
    <n v="0"/>
    <n v="0"/>
    <n v="102"/>
    <s v="_x0000_US"/>
  </r>
  <r>
    <x v="1"/>
    <n v="13.6858"/>
    <n v="-89.196399999999997"/>
    <n v="11670"/>
    <n v="0"/>
    <n v="0"/>
    <n v="102"/>
    <s v="_x0000_US"/>
  </r>
  <r>
    <x v="1"/>
    <n v="13.6858"/>
    <n v="-89.196399999999997"/>
    <n v="11670"/>
    <n v="0"/>
    <n v="0"/>
    <n v="102"/>
    <s v="_x0000_US"/>
  </r>
  <r>
    <x v="1"/>
    <n v="13.6859"/>
    <n v="-89.196399999999997"/>
    <n v="11670"/>
    <n v="0"/>
    <n v="0"/>
    <n v="102"/>
    <s v="_x0000_US"/>
  </r>
  <r>
    <x v="1"/>
    <n v="13.6859"/>
    <n v="-89.196399999999997"/>
    <n v="11670"/>
    <n v="0"/>
    <n v="0"/>
    <n v="102"/>
    <s v="_x0000_US"/>
  </r>
  <r>
    <x v="1"/>
    <n v="13.6859"/>
    <n v="-89.196299999999994"/>
    <n v="11670"/>
    <n v="0"/>
    <n v="0"/>
    <n v="102"/>
    <s v="_x0000_US"/>
  </r>
  <r>
    <x v="1"/>
    <n v="13.6859"/>
    <n v="-89.196299999999994"/>
    <n v="11670"/>
    <n v="0"/>
    <n v="0"/>
    <n v="102"/>
    <s v="_x0000_US"/>
  </r>
  <r>
    <x v="1"/>
    <n v="13.686"/>
    <n v="-89.196299999999994"/>
    <n v="11670"/>
    <n v="0"/>
    <n v="0"/>
    <n v="102"/>
    <s v="_x0000_US"/>
  </r>
  <r>
    <x v="1"/>
    <n v="13.686"/>
    <n v="-89.196299999999994"/>
    <n v="11670"/>
    <n v="0"/>
    <n v="0"/>
    <n v="102"/>
    <s v="_x0000_US"/>
  </r>
  <r>
    <x v="1"/>
    <n v="13.686"/>
    <n v="-89.196299999999994"/>
    <n v="11670"/>
    <n v="0"/>
    <n v="0"/>
    <n v="102"/>
    <s v="_x0000_US"/>
  </r>
  <r>
    <x v="1"/>
    <n v="13.686"/>
    <n v="-89.196299999999994"/>
    <n v="11670"/>
    <n v="0"/>
    <n v="0"/>
    <n v="102"/>
    <s v="_x0000_US"/>
  </r>
  <r>
    <x v="1"/>
    <n v="13.6861"/>
    <n v="-89.196299999999994"/>
    <n v="11670"/>
    <n v="0"/>
    <n v="0"/>
    <n v="102"/>
    <s v="_x0000_US"/>
  </r>
  <r>
    <x v="1"/>
    <n v="13.6861"/>
    <n v="-89.196299999999994"/>
    <n v="11670"/>
    <n v="0"/>
    <n v="0"/>
    <n v="102"/>
    <s v="_x0000_US"/>
  </r>
  <r>
    <x v="1"/>
    <n v="13.6861"/>
    <n v="-89.196299999999994"/>
    <n v="11670"/>
    <n v="0"/>
    <n v="0"/>
    <n v="102"/>
    <s v="_x0000_US"/>
  </r>
  <r>
    <x v="1"/>
    <n v="13.6861"/>
    <n v="-89.196200000000005"/>
    <n v="11670"/>
    <n v="0"/>
    <n v="0"/>
    <n v="102"/>
    <s v="_x0000_US"/>
  </r>
  <r>
    <x v="1"/>
    <n v="13.6861"/>
    <n v="-89.196200000000005"/>
    <n v="11670"/>
    <n v="0"/>
    <n v="0"/>
    <n v="102"/>
    <s v="_x0000_US"/>
  </r>
  <r>
    <x v="1"/>
    <n v="13.6861"/>
    <n v="-89.196100000000001"/>
    <n v="11670"/>
    <n v="0"/>
    <n v="0"/>
    <n v="102"/>
    <s v="_x0000_US"/>
  </r>
  <r>
    <x v="1"/>
    <n v="13.6861"/>
    <n v="-89.196200000000005"/>
    <n v="11670"/>
    <n v="0"/>
    <n v="0"/>
    <n v="102"/>
    <s v="_x0000_US"/>
  </r>
  <r>
    <x v="1"/>
    <n v="13.6861"/>
    <n v="-89.196200000000005"/>
    <n v="11670"/>
    <n v="0"/>
    <n v="0"/>
    <n v="102"/>
    <s v="_x0000_US"/>
  </r>
  <r>
    <x v="1"/>
    <n v="13.6861"/>
    <n v="-89.196200000000005"/>
    <n v="11670"/>
    <n v="0"/>
    <n v="0"/>
    <n v="102"/>
    <s v="_x0000_US"/>
  </r>
  <r>
    <x v="1"/>
    <n v="13.686"/>
    <n v="-89.196200000000005"/>
    <n v="11670"/>
    <n v="0"/>
    <n v="0"/>
    <n v="102"/>
    <s v="_x0000_US"/>
  </r>
  <r>
    <x v="1"/>
    <n v="13.686"/>
    <n v="-89.196200000000005"/>
    <n v="11670"/>
    <n v="0"/>
    <n v="0"/>
    <n v="102"/>
    <s v="_x0000_US"/>
  </r>
  <r>
    <x v="1"/>
    <n v="13.6859"/>
    <n v="-89.196200000000005"/>
    <n v="11670"/>
    <n v="0"/>
    <n v="0"/>
    <n v="102"/>
    <s v="_x0000_US"/>
  </r>
  <r>
    <x v="1"/>
    <n v="13.6859"/>
    <n v="-89.196200000000005"/>
    <n v="11670"/>
    <n v="0"/>
    <n v="0"/>
    <n v="102"/>
    <s v="_x0000_US"/>
  </r>
  <r>
    <x v="1"/>
    <n v="13.6859"/>
    <n v="-89.196200000000005"/>
    <n v="11670"/>
    <n v="0"/>
    <n v="0"/>
    <n v="102"/>
    <s v="_x0000_US"/>
  </r>
  <r>
    <x v="1"/>
    <n v="13.6859"/>
    <n v="-89.196200000000005"/>
    <n v="11670"/>
    <n v="0"/>
    <n v="0"/>
    <n v="102"/>
    <s v="_x0000_US"/>
  </r>
  <r>
    <x v="1"/>
    <n v="13.6858"/>
    <n v="-89.196200000000005"/>
    <n v="11670"/>
    <n v="0"/>
    <n v="0"/>
    <n v="102"/>
    <s v="_x0000_US"/>
  </r>
  <r>
    <x v="1"/>
    <n v="13.6858"/>
    <n v="-89.196200000000005"/>
    <n v="11670"/>
    <n v="0"/>
    <n v="0"/>
    <n v="102"/>
    <s v="_x0000_US"/>
  </r>
  <r>
    <x v="1"/>
    <n v="13.6858"/>
    <n v="-89.196200000000005"/>
    <n v="11670"/>
    <n v="0"/>
    <n v="0"/>
    <n v="102"/>
    <s v="_x0000_US"/>
  </r>
  <r>
    <x v="1"/>
    <n v="13.6858"/>
    <n v="-89.196200000000005"/>
    <n v="11670"/>
    <n v="0"/>
    <n v="0"/>
    <n v="102"/>
    <s v="_x0000_US"/>
  </r>
  <r>
    <x v="1"/>
    <n v="13.6858"/>
    <n v="-89.196399999999997"/>
    <n v="11670"/>
    <n v="0"/>
    <n v="0"/>
    <n v="102"/>
    <s v="_x0000_US"/>
  </r>
  <r>
    <x v="1"/>
    <n v="13.6858"/>
    <n v="-89.196399999999997"/>
    <n v="11670"/>
    <n v="0"/>
    <n v="0"/>
    <n v="102"/>
    <s v="_x0000_US"/>
  </r>
  <r>
    <x v="1"/>
    <n v="13.685700000000001"/>
    <n v="-89.196299999999994"/>
    <n v="11670"/>
    <n v="0"/>
    <n v="0"/>
    <n v="102"/>
    <s v="_x0000_US"/>
  </r>
  <r>
    <x v="1"/>
    <n v="13.685700000000001"/>
    <n v="-89.196299999999994"/>
    <n v="11670"/>
    <n v="0"/>
    <n v="0"/>
    <n v="102"/>
    <s v="_x0000_US"/>
  </r>
  <r>
    <x v="1"/>
    <n v="13.685700000000001"/>
    <n v="-89.196399999999997"/>
    <n v="11670"/>
    <n v="0"/>
    <n v="0"/>
    <n v="102"/>
    <s v="_x0000_US"/>
  </r>
  <r>
    <x v="1"/>
    <n v="13.685700000000001"/>
    <n v="-89.196399999999997"/>
    <n v="11670"/>
    <n v="0"/>
    <n v="0"/>
    <n v="102"/>
    <s v="_x0000_US"/>
  </r>
  <r>
    <x v="1"/>
    <n v="13.685700000000001"/>
    <n v="-89.196299999999994"/>
    <n v="11670"/>
    <n v="0"/>
    <n v="0"/>
    <n v="102"/>
    <s v="_x0000_US"/>
  </r>
  <r>
    <x v="1"/>
    <n v="13.685700000000001"/>
    <n v="-89.196299999999994"/>
    <n v="11670"/>
    <n v="0"/>
    <n v="0"/>
    <n v="102"/>
    <s v="_x0000_US"/>
  </r>
  <r>
    <x v="1"/>
    <n v="13.685600000000001"/>
    <n v="-89.196299999999994"/>
    <n v="11670"/>
    <n v="0"/>
    <n v="0"/>
    <n v="102"/>
    <s v="_x0000_US"/>
  </r>
  <r>
    <x v="1"/>
    <n v="13.685600000000001"/>
    <n v="-89.196299999999994"/>
    <n v="11670"/>
    <n v="0"/>
    <n v="0"/>
    <n v="102"/>
    <s v="_x0000_US"/>
  </r>
  <r>
    <x v="1"/>
    <n v="13.685600000000001"/>
    <n v="-89.196399999999997"/>
    <n v="11670"/>
    <n v="0"/>
    <n v="0"/>
    <n v="102"/>
    <s v="_x0000_US"/>
  </r>
  <r>
    <x v="1"/>
    <n v="13.685600000000001"/>
    <n v="-89.196399999999997"/>
    <n v="11670"/>
    <n v="0"/>
    <n v="0"/>
    <n v="102"/>
    <s v="_x0000_US"/>
  </r>
  <r>
    <x v="1"/>
    <n v="13.6906"/>
    <n v="-89.191199999999995"/>
    <n v="8550"/>
    <n v="0"/>
    <n v="0"/>
    <n v="102"/>
    <s v="_x0000_US"/>
  </r>
  <r>
    <x v="1"/>
    <n v="13.6906"/>
    <n v="-89.1905"/>
    <n v="8550"/>
    <n v="0"/>
    <n v="0"/>
    <n v="102"/>
    <s v="_x0000_US"/>
  </r>
  <r>
    <x v="1"/>
    <n v="13.6906"/>
    <n v="-89.190399999999997"/>
    <n v="8550"/>
    <n v="0"/>
    <n v="0"/>
    <n v="102"/>
    <s v="_x0000_US"/>
  </r>
  <r>
    <x v="1"/>
    <n v="13.6906"/>
    <n v="-89.190299999999993"/>
    <n v="8550"/>
    <n v="0"/>
    <n v="0"/>
    <n v="102"/>
    <s v="_x0000_US"/>
  </r>
  <r>
    <x v="1"/>
    <n v="13.6906"/>
    <n v="-89.190299999999993"/>
    <n v="8550"/>
    <n v="0"/>
    <n v="0"/>
    <n v="102"/>
    <s v="_x0000_US"/>
  </r>
  <r>
    <x v="1"/>
    <n v="13.6906"/>
    <n v="-89.190200000000004"/>
    <n v="8550"/>
    <n v="0"/>
    <n v="0"/>
    <n v="102"/>
    <s v="_x0000_US"/>
  </r>
  <r>
    <x v="1"/>
    <n v="13.6906"/>
    <n v="-89.190200000000004"/>
    <n v="8550"/>
    <n v="0"/>
    <n v="0"/>
    <n v="102"/>
    <s v="_x0000_US"/>
  </r>
  <r>
    <x v="1"/>
    <n v="13.6906"/>
    <n v="-89.190200000000004"/>
    <n v="8550"/>
    <n v="0"/>
    <n v="0"/>
    <n v="102"/>
    <s v="_x0000_US"/>
  </r>
  <r>
    <x v="1"/>
    <n v="13.6905"/>
    <n v="-89.19"/>
    <n v="8550"/>
    <n v="0"/>
    <n v="0"/>
    <n v="102"/>
    <s v="_x0000_US"/>
  </r>
  <r>
    <x v="1"/>
    <n v="13.6905"/>
    <n v="-89.19"/>
    <n v="8550"/>
    <n v="0"/>
    <n v="0"/>
    <n v="102"/>
    <s v="_x0000_US"/>
  </r>
  <r>
    <x v="1"/>
    <n v="13.6905"/>
    <n v="-89.189899999999994"/>
    <n v="8550"/>
    <n v="0"/>
    <n v="0"/>
    <n v="102"/>
    <s v="_x0000_US"/>
  </r>
  <r>
    <x v="1"/>
    <n v="13.6905"/>
    <n v="-89.189899999999994"/>
    <n v="8550"/>
    <n v="0"/>
    <n v="0"/>
    <n v="102"/>
    <s v="_x0000_US"/>
  </r>
  <r>
    <x v="1"/>
    <n v="13.6905"/>
    <n v="-89.189899999999994"/>
    <n v="8550"/>
    <n v="0"/>
    <n v="0"/>
    <n v="102"/>
    <s v="_x0000_US"/>
  </r>
  <r>
    <x v="1"/>
    <n v="13.6905"/>
    <n v="-89.189800000000005"/>
    <n v="8550"/>
    <n v="0"/>
    <n v="0"/>
    <n v="102"/>
    <s v="_x0000_US"/>
  </r>
  <r>
    <x v="1"/>
    <n v="13.6911"/>
    <n v="-89.19"/>
    <n v="8550"/>
    <n v="0"/>
    <n v="0"/>
    <n v="102"/>
    <s v="_x0000_US"/>
  </r>
  <r>
    <x v="1"/>
    <n v="13.6911"/>
    <n v="-89.189899999999994"/>
    <n v="8550"/>
    <n v="0"/>
    <n v="0"/>
    <n v="102"/>
    <s v="_x0000_US"/>
  </r>
  <r>
    <x v="1"/>
    <n v="13.6911"/>
    <n v="-89.189899999999994"/>
    <n v="8550"/>
    <n v="0"/>
    <n v="0"/>
    <n v="102"/>
    <s v="_x0000_US"/>
  </r>
  <r>
    <x v="1"/>
    <n v="13.6911"/>
    <n v="-89.189800000000005"/>
    <n v="8550"/>
    <n v="0"/>
    <n v="0"/>
    <n v="102"/>
    <s v="_x0000_US"/>
  </r>
  <r>
    <x v="1"/>
    <n v="13.6911"/>
    <n v="-89.189800000000005"/>
    <n v="8550"/>
    <n v="0"/>
    <n v="0"/>
    <n v="102"/>
    <s v="_x0000_US"/>
  </r>
  <r>
    <x v="1"/>
    <n v="13.691000000000001"/>
    <n v="-89.189800000000005"/>
    <n v="8550"/>
    <n v="0"/>
    <n v="0"/>
    <n v="102"/>
    <s v="_x0000_US"/>
  </r>
  <r>
    <x v="1"/>
    <n v="13.691000000000001"/>
    <n v="-89.189800000000005"/>
    <n v="8550"/>
    <n v="0"/>
    <n v="0"/>
    <n v="102"/>
    <s v="_x0000_US"/>
  </r>
  <r>
    <x v="1"/>
    <n v="13.691000000000001"/>
    <n v="-89.189800000000005"/>
    <n v="8550"/>
    <n v="0"/>
    <n v="0"/>
    <n v="102"/>
    <s v="_x0000_US"/>
  </r>
  <r>
    <x v="1"/>
    <n v="13.6912"/>
    <n v="-89.189800000000005"/>
    <n v="8550"/>
    <n v="0"/>
    <n v="0"/>
    <n v="102"/>
    <s v="_x0000_US"/>
  </r>
  <r>
    <x v="1"/>
    <n v="13.6912"/>
    <n v="-89.189899999999994"/>
    <n v="8550"/>
    <n v="0"/>
    <n v="0"/>
    <n v="102"/>
    <s v="_x0000_US"/>
  </r>
  <r>
    <x v="1"/>
    <n v="13.6912"/>
    <n v="-89.189899999999994"/>
    <n v="8550"/>
    <n v="0"/>
    <n v="0"/>
    <n v="102"/>
    <s v="_x0000_US"/>
  </r>
  <r>
    <x v="1"/>
    <n v="13.6912"/>
    <n v="-89.189800000000005"/>
    <n v="8550"/>
    <n v="0"/>
    <n v="0"/>
    <n v="102"/>
    <s v="_x0000_US"/>
  </r>
  <r>
    <x v="1"/>
    <n v="13.6912"/>
    <n v="-89.189800000000005"/>
    <n v="8550"/>
    <n v="0"/>
    <n v="0"/>
    <n v="102"/>
    <s v="_x0000_US"/>
  </r>
  <r>
    <x v="1"/>
    <n v="13.6913"/>
    <n v="-89.189700000000002"/>
    <n v="8550"/>
    <n v="0"/>
    <n v="0"/>
    <n v="102"/>
    <s v="_x0000_US"/>
  </r>
  <r>
    <x v="1"/>
    <n v="13.6913"/>
    <n v="-89.189800000000005"/>
    <n v="8550"/>
    <n v="0"/>
    <n v="0"/>
    <n v="102"/>
    <s v="_x0000_US"/>
  </r>
  <r>
    <x v="1"/>
    <n v="13.6913"/>
    <n v="-89.189700000000002"/>
    <n v="8550"/>
    <n v="0"/>
    <n v="0"/>
    <n v="102"/>
    <s v="_x0000_US"/>
  </r>
  <r>
    <x v="1"/>
    <n v="13.691599999999999"/>
    <n v="-89.190100000000001"/>
    <n v="8550"/>
    <n v="0"/>
    <n v="0"/>
    <n v="102"/>
    <s v="_x0000_US"/>
  </r>
  <r>
    <x v="1"/>
    <n v="13.6913"/>
    <n v="-89.1905"/>
    <n v="8550"/>
    <n v="0"/>
    <n v="0"/>
    <n v="102"/>
    <s v="_x0000_US"/>
  </r>
  <r>
    <x v="1"/>
    <n v="13.691000000000001"/>
    <n v="-89.190899999999999"/>
    <n v="8550"/>
    <n v="0"/>
    <n v="0"/>
    <n v="102"/>
    <s v="_x0000_US"/>
  </r>
  <r>
    <x v="1"/>
    <n v="13.6911"/>
    <n v="-89.191299999999998"/>
    <n v="8550"/>
    <n v="0"/>
    <n v="0"/>
    <n v="102"/>
    <s v="_x0000_US"/>
  </r>
  <r>
    <x v="1"/>
    <n v="13.6912"/>
    <n v="-89.191299999999998"/>
    <n v="8550"/>
    <n v="0"/>
    <n v="0"/>
    <n v="102"/>
    <s v="_x0000_US"/>
  </r>
  <r>
    <x v="1"/>
    <n v="13.6912"/>
    <n v="-89.191500000000005"/>
    <n v="8550"/>
    <n v="0"/>
    <n v="0"/>
    <n v="102"/>
    <s v="_x0000_US"/>
  </r>
  <r>
    <x v="1"/>
    <n v="13.6911"/>
    <n v="-89.191500000000005"/>
    <n v="8550"/>
    <n v="0"/>
    <n v="0"/>
    <n v="102"/>
    <s v="_x0000_US"/>
  </r>
  <r>
    <x v="1"/>
    <n v="13.6911"/>
    <n v="-89.191500000000005"/>
    <n v="8550"/>
    <n v="0"/>
    <n v="0"/>
    <n v="102"/>
    <s v="_x0000_US"/>
  </r>
  <r>
    <x v="1"/>
    <n v="13.6911"/>
    <n v="-89.191500000000005"/>
    <n v="8550"/>
    <n v="0"/>
    <n v="0"/>
    <n v="102"/>
    <s v="_x0000_US"/>
  </r>
  <r>
    <x v="1"/>
    <n v="13.691000000000001"/>
    <n v="-89.191500000000005"/>
    <n v="8550"/>
    <n v="0"/>
    <n v="0"/>
    <n v="102"/>
    <s v="_x0000_US"/>
  </r>
  <r>
    <x v="1"/>
    <n v="13.691000000000001"/>
    <n v="-89.191500000000005"/>
    <n v="8550"/>
    <n v="0"/>
    <n v="0"/>
    <n v="102"/>
    <s v="_x0000_US"/>
  </r>
  <r>
    <x v="1"/>
    <n v="13.690899999999999"/>
    <n v="-89.191500000000005"/>
    <n v="8550"/>
    <n v="0"/>
    <n v="0"/>
    <n v="102"/>
    <s v="_x0000_US"/>
  </r>
  <r>
    <x v="1"/>
    <n v="13.690799999999999"/>
    <n v="-89.191500000000005"/>
    <n v="8550"/>
    <n v="0"/>
    <n v="0"/>
    <n v="102"/>
    <s v="_x0000_US"/>
  </r>
  <r>
    <x v="1"/>
    <n v="13.691000000000001"/>
    <n v="-89.190799999999996"/>
    <n v="8550"/>
    <n v="0"/>
    <n v="0"/>
    <n v="102"/>
    <s v="_x0000_US"/>
  </r>
  <r>
    <x v="1"/>
    <n v="13.6912"/>
    <n v="-89.190899999999999"/>
    <n v="8550"/>
    <n v="0"/>
    <n v="0"/>
    <n v="102"/>
    <s v="_x0000_US"/>
  </r>
  <r>
    <x v="1"/>
    <n v="13.691700000000001"/>
    <n v="-89.190600000000003"/>
    <n v="8550"/>
    <n v="0"/>
    <n v="0"/>
    <n v="102"/>
    <s v="_x0000_US"/>
  </r>
  <r>
    <x v="1"/>
    <n v="13.691599999999999"/>
    <n v="-89.1905"/>
    <n v="8550"/>
    <n v="0"/>
    <n v="0"/>
    <n v="102"/>
    <s v="_x0000_US"/>
  </r>
  <r>
    <x v="1"/>
    <n v="13.691599999999999"/>
    <n v="-89.190399999999997"/>
    <n v="8550"/>
    <n v="0"/>
    <n v="0"/>
    <n v="102"/>
    <s v="_x0000_US"/>
  </r>
  <r>
    <x v="1"/>
    <n v="13.691700000000001"/>
    <n v="-89.190299999999993"/>
    <n v="8550"/>
    <n v="0"/>
    <n v="0"/>
    <n v="102"/>
    <s v="_x0000_US"/>
  </r>
  <r>
    <x v="1"/>
    <n v="13.691800000000001"/>
    <n v="-89.1905"/>
    <n v="8550"/>
    <n v="0"/>
    <n v="0"/>
    <n v="102"/>
    <s v="_x0000_US"/>
  </r>
  <r>
    <x v="1"/>
    <n v="13.6915"/>
    <n v="-89.190299999999993"/>
    <n v="8550"/>
    <n v="0"/>
    <n v="0"/>
    <n v="102"/>
    <s v="_x0000_US"/>
  </r>
  <r>
    <x v="1"/>
    <n v="13.6915"/>
    <n v="-89.1905"/>
    <n v="8550"/>
    <n v="0"/>
    <n v="0"/>
    <n v="102"/>
    <s v="_x0000_US"/>
  </r>
  <r>
    <x v="1"/>
    <n v="13.6915"/>
    <n v="-89.190600000000003"/>
    <n v="8550"/>
    <n v="0"/>
    <n v="0"/>
    <n v="102"/>
    <s v="_x0000_US"/>
  </r>
  <r>
    <x v="1"/>
    <n v="13.6915"/>
    <n v="-89.190200000000004"/>
    <n v="8550"/>
    <n v="0"/>
    <n v="0"/>
    <n v="102"/>
    <s v="_x0000_US"/>
  </r>
  <r>
    <x v="1"/>
    <n v="13.6905"/>
    <n v="-89.19"/>
    <n v="8550"/>
    <n v="0"/>
    <n v="0"/>
    <n v="102"/>
    <s v="_x0000_US"/>
  </r>
  <r>
    <x v="1"/>
    <n v="13.6905"/>
    <n v="-89.189899999999994"/>
    <n v="8550"/>
    <n v="0"/>
    <n v="0"/>
    <n v="102"/>
    <s v="_x0000_US"/>
  </r>
  <r>
    <x v="1"/>
    <n v="13.6882"/>
    <n v="-89.192800000000005"/>
    <n v="8550"/>
    <n v="0"/>
    <n v="0"/>
    <n v="102"/>
    <s v="_x0000_US"/>
  </r>
  <r>
    <x v="1"/>
    <n v="13.6881"/>
    <n v="-89.192899999999995"/>
    <n v="8550"/>
    <n v="0"/>
    <n v="0"/>
    <n v="102"/>
    <s v="_x0000_US"/>
  </r>
  <r>
    <x v="1"/>
    <n v="13.688000000000001"/>
    <n v="-89.192899999999995"/>
    <n v="8550"/>
    <n v="0"/>
    <n v="0"/>
    <n v="102"/>
    <s v="_x0000_US"/>
  </r>
  <r>
    <x v="1"/>
    <n v="13.6877"/>
    <n v="-89.193200000000004"/>
    <n v="8550"/>
    <n v="0"/>
    <n v="0"/>
    <n v="102"/>
    <s v="_x0000_US"/>
  </r>
  <r>
    <x v="1"/>
    <n v="13.6876"/>
    <n v="-89.193200000000004"/>
    <n v="8550"/>
    <n v="0"/>
    <n v="0"/>
    <n v="102"/>
    <s v="_x0000_US"/>
  </r>
  <r>
    <x v="1"/>
    <n v="13.6876"/>
    <n v="-89.193100000000001"/>
    <n v="8550"/>
    <n v="0"/>
    <n v="0"/>
    <n v="102"/>
    <s v="_x0000_US"/>
  </r>
  <r>
    <x v="1"/>
    <n v="13.6876"/>
    <n v="-89.193100000000001"/>
    <n v="8550"/>
    <n v="0"/>
    <n v="0"/>
    <n v="102"/>
    <s v="_x0000_US"/>
  </r>
  <r>
    <x v="1"/>
    <n v="13.6876"/>
    <n v="-89.193100000000001"/>
    <n v="8550"/>
    <n v="0"/>
    <n v="0"/>
    <n v="102"/>
    <s v="_x0000_US"/>
  </r>
  <r>
    <x v="1"/>
    <n v="13.6877"/>
    <n v="-89.193100000000001"/>
    <n v="8550"/>
    <n v="0"/>
    <n v="0"/>
    <n v="102"/>
    <s v="_x0000_US"/>
  </r>
  <r>
    <x v="1"/>
    <n v="13.6877"/>
    <n v="-89.193100000000001"/>
    <n v="8550"/>
    <n v="0"/>
    <n v="0"/>
    <n v="102"/>
    <s v="_x0000_US"/>
  </r>
  <r>
    <x v="1"/>
    <n v="13.6877"/>
    <n v="-89.193200000000004"/>
    <n v="8550"/>
    <n v="0"/>
    <n v="0"/>
    <n v="102"/>
    <s v="_x0000_US"/>
  </r>
  <r>
    <x v="1"/>
    <n v="13.6877"/>
    <n v="-89.193299999999994"/>
    <n v="8550"/>
    <n v="0"/>
    <n v="0"/>
    <n v="102"/>
    <s v="_x0000_US"/>
  </r>
  <r>
    <x v="1"/>
    <n v="13.6876"/>
    <n v="-89.193399999999997"/>
    <n v="8550"/>
    <n v="0"/>
    <n v="0"/>
    <n v="102"/>
    <s v="_x0000_US"/>
  </r>
  <r>
    <x v="1"/>
    <n v="13.6883"/>
    <n v="-89.1935"/>
    <n v="8550"/>
    <n v="0"/>
    <n v="0"/>
    <n v="102"/>
    <s v="_x0000_US"/>
  </r>
  <r>
    <x v="1"/>
    <n v="13.6883"/>
    <n v="-89.193399999999997"/>
    <n v="8550"/>
    <n v="0"/>
    <n v="0"/>
    <n v="102"/>
    <s v="_x0000_US"/>
  </r>
  <r>
    <x v="1"/>
    <n v="13.6882"/>
    <n v="-89.193399999999997"/>
    <n v="8550"/>
    <n v="0"/>
    <n v="0"/>
    <n v="102"/>
    <s v="_x0000_US"/>
  </r>
  <r>
    <x v="1"/>
    <n v="13.6884"/>
    <n v="-89.193399999999997"/>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5"/>
    <n v="8550"/>
    <n v="0"/>
    <n v="0"/>
    <n v="102"/>
    <s v="_x0000_US"/>
  </r>
  <r>
    <x v="1"/>
    <n v="13.6884"/>
    <n v="-89.1935"/>
    <n v="8550"/>
    <n v="0"/>
    <n v="0"/>
    <n v="102"/>
    <s v="_x0000_US"/>
  </r>
  <r>
    <x v="1"/>
    <n v="13.6884"/>
    <n v="-89.1935"/>
    <n v="8550"/>
    <n v="0"/>
    <n v="0"/>
    <n v="102"/>
    <s v="_x0000_US"/>
  </r>
  <r>
    <x v="1"/>
    <n v="13.6884"/>
    <n v="-89.1935"/>
    <n v="8550"/>
    <n v="0"/>
    <n v="0"/>
    <n v="102"/>
    <s v="_x0000_US"/>
  </r>
  <r>
    <x v="1"/>
    <n v="13.6884"/>
    <n v="-89.193299999999994"/>
    <n v="8550"/>
    <n v="0"/>
    <n v="0"/>
    <n v="102"/>
    <s v="_x0000_US"/>
  </r>
  <r>
    <x v="1"/>
    <n v="13.6884"/>
    <n v="-89.193399999999997"/>
    <n v="8550"/>
    <n v="0"/>
    <n v="0"/>
    <n v="102"/>
    <s v="_x0000_US"/>
  </r>
  <r>
    <x v="1"/>
    <n v="13.688499999999999"/>
    <n v="-89.193100000000001"/>
    <n v="8550"/>
    <n v="0"/>
    <n v="0"/>
    <n v="102"/>
    <s v="_x0000_US"/>
  </r>
  <r>
    <x v="1"/>
    <n v="13.688499999999999"/>
    <n v="-89.193299999999994"/>
    <n v="8550"/>
    <n v="0"/>
    <n v="0"/>
    <n v="102"/>
    <s v="_x0000_US"/>
  </r>
  <r>
    <x v="1"/>
    <n v="13.688499999999999"/>
    <n v="-89.193200000000004"/>
    <n v="8550"/>
    <n v="0"/>
    <n v="0"/>
    <n v="102"/>
    <s v="_x0000_US"/>
  </r>
  <r>
    <x v="1"/>
    <n v="13.688499999999999"/>
    <n v="-89.193200000000004"/>
    <n v="8550"/>
    <n v="0"/>
    <n v="0"/>
    <n v="102"/>
    <s v="_x0000_US"/>
  </r>
  <r>
    <x v="1"/>
    <n v="13.688499999999999"/>
    <n v="-89.193200000000004"/>
    <n v="8550"/>
    <n v="0"/>
    <n v="0"/>
    <n v="102"/>
    <s v="_x0000_US"/>
  </r>
  <r>
    <x v="1"/>
    <n v="13.688499999999999"/>
    <n v="-89.193200000000004"/>
    <n v="8550"/>
    <n v="0"/>
    <n v="0"/>
    <n v="102"/>
    <s v="_x0000_US"/>
  </r>
  <r>
    <x v="1"/>
    <n v="13.688499999999999"/>
    <n v="-89.193200000000004"/>
    <n v="8550"/>
    <n v="0"/>
    <n v="0"/>
    <n v="102"/>
    <s v="_x0000_US"/>
  </r>
  <r>
    <x v="1"/>
    <n v="13.688499999999999"/>
    <n v="-89.193200000000004"/>
    <n v="8550"/>
    <n v="0"/>
    <n v="0"/>
    <n v="102"/>
    <s v="_x0000_US"/>
  </r>
  <r>
    <x v="1"/>
    <n v="13.688499999999999"/>
    <n v="-89.193299999999994"/>
    <n v="8550"/>
    <n v="0"/>
    <n v="0"/>
    <n v="102"/>
    <s v="_x0000_US"/>
  </r>
  <r>
    <x v="1"/>
    <n v="13.688499999999999"/>
    <n v="-89.193299999999994"/>
    <n v="8550"/>
    <n v="0"/>
    <n v="0"/>
    <n v="102"/>
    <s v="_x0000_US"/>
  </r>
  <r>
    <x v="1"/>
    <n v="13.688599999999999"/>
    <n v="-89.193299999999994"/>
    <n v="8550"/>
    <n v="0"/>
    <n v="0"/>
    <n v="102"/>
    <s v="_x0000_US"/>
  </r>
  <r>
    <x v="1"/>
    <n v="13.688599999999999"/>
    <n v="-89.193299999999994"/>
    <n v="8550"/>
    <n v="0"/>
    <n v="0"/>
    <n v="102"/>
    <s v="_x0000_US"/>
  </r>
  <r>
    <x v="1"/>
    <n v="13.688599999999999"/>
    <n v="-89.193299999999994"/>
    <n v="8550"/>
    <n v="0"/>
    <n v="0"/>
    <n v="102"/>
    <s v="_x0000_US"/>
  </r>
  <r>
    <x v="1"/>
    <n v="13.688800000000001"/>
    <n v="-89.193299999999994"/>
    <n v="8550"/>
    <n v="0"/>
    <n v="0"/>
    <n v="102"/>
    <s v="_x0000_US"/>
  </r>
  <r>
    <x v="1"/>
    <n v="13.688800000000001"/>
    <n v="-89.193299999999994"/>
    <n v="8550"/>
    <n v="0"/>
    <n v="0"/>
    <n v="102"/>
    <s v="_x0000_US"/>
  </r>
  <r>
    <x v="1"/>
    <n v="13.688800000000001"/>
    <n v="-89.193299999999994"/>
    <n v="8550"/>
    <n v="0"/>
    <n v="0"/>
    <n v="102"/>
    <s v="_x0000_US"/>
  </r>
  <r>
    <x v="1"/>
    <n v="13.688800000000001"/>
    <n v="-89.193100000000001"/>
    <n v="8550"/>
    <n v="0"/>
    <n v="0"/>
    <n v="102"/>
    <s v="_x0000_US"/>
  </r>
  <r>
    <x v="1"/>
    <n v="13.688800000000001"/>
    <n v="-89.193100000000001"/>
    <n v="8550"/>
    <n v="0"/>
    <n v="0"/>
    <n v="102"/>
    <s v="_x0000_US"/>
  </r>
  <r>
    <x v="1"/>
    <n v="13.688800000000001"/>
    <n v="-89.193100000000001"/>
    <n v="8550"/>
    <n v="0"/>
    <n v="0"/>
    <n v="102"/>
    <s v="_x0000_US"/>
  </r>
  <r>
    <x v="1"/>
    <n v="13.688800000000001"/>
    <n v="-89.193100000000001"/>
    <n v="8550"/>
    <n v="0"/>
    <n v="0"/>
    <n v="102"/>
    <s v="_x0000_US"/>
  </r>
  <r>
    <x v="1"/>
    <n v="13.688700000000001"/>
    <n v="-89.193100000000001"/>
    <n v="8550"/>
    <n v="0"/>
    <n v="0"/>
    <n v="102"/>
    <s v="_x0000_US"/>
  </r>
  <r>
    <x v="1"/>
    <n v="13.688700000000001"/>
    <n v="-89.193100000000001"/>
    <n v="8550"/>
    <n v="0"/>
    <n v="0"/>
    <n v="102"/>
    <s v="_x0000_US"/>
  </r>
  <r>
    <x v="1"/>
    <n v="13.688700000000001"/>
    <n v="-89.193100000000001"/>
    <n v="8550"/>
    <n v="0"/>
    <n v="0"/>
    <n v="102"/>
    <s v="_x0000_US"/>
  </r>
  <r>
    <x v="1"/>
    <n v="13.688700000000001"/>
    <n v="-89.193100000000001"/>
    <n v="8550"/>
    <n v="0"/>
    <n v="0"/>
    <n v="102"/>
    <s v="_x0000_US"/>
  </r>
  <r>
    <x v="1"/>
    <n v="13.689"/>
    <n v="-89.193299999999994"/>
    <n v="8550"/>
    <n v="0"/>
    <n v="0"/>
    <n v="102"/>
    <s v="_x0000_US"/>
  </r>
  <r>
    <x v="1"/>
    <n v="13.689"/>
    <n v="-89.193299999999994"/>
    <n v="8550"/>
    <n v="0"/>
    <n v="0"/>
    <n v="102"/>
    <s v="_x0000_US"/>
  </r>
  <r>
    <x v="1"/>
    <n v="13.689"/>
    <n v="-89.193299999999994"/>
    <n v="8550"/>
    <n v="0"/>
    <n v="0"/>
    <n v="102"/>
    <s v="_x0000_US"/>
  </r>
  <r>
    <x v="1"/>
    <n v="13.689"/>
    <n v="-89.193299999999994"/>
    <n v="8550"/>
    <n v="0"/>
    <n v="0"/>
    <n v="102"/>
    <s v="_x0000_US"/>
  </r>
  <r>
    <x v="1"/>
    <n v="13.6891"/>
    <n v="-89.193299999999994"/>
    <n v="8550"/>
    <n v="0"/>
    <n v="0"/>
    <n v="102"/>
    <s v="_x0000_US"/>
  </r>
  <r>
    <x v="1"/>
    <n v="13.6891"/>
    <n v="-89.193299999999994"/>
    <n v="8550"/>
    <n v="0"/>
    <n v="0"/>
    <n v="102"/>
    <s v="_x0000_US"/>
  </r>
  <r>
    <x v="1"/>
    <n v="13.6891"/>
    <n v="-89.193299999999994"/>
    <n v="8550"/>
    <n v="0"/>
    <n v="0"/>
    <n v="102"/>
    <s v="_x0000_US"/>
  </r>
  <r>
    <x v="1"/>
    <n v="13.6891"/>
    <n v="-89.193299999999994"/>
    <n v="8550"/>
    <n v="0"/>
    <n v="0"/>
    <n v="102"/>
    <s v="_x0000_US"/>
  </r>
  <r>
    <x v="1"/>
    <n v="13.6891"/>
    <n v="-89.193399999999997"/>
    <n v="8550"/>
    <n v="0"/>
    <n v="0"/>
    <n v="102"/>
    <s v="_x0000_US"/>
  </r>
  <r>
    <x v="1"/>
    <n v="13.6891"/>
    <n v="-89.193399999999997"/>
    <n v="8550"/>
    <n v="0"/>
    <n v="0"/>
    <n v="102"/>
    <s v="_x0000_US"/>
  </r>
  <r>
    <x v="1"/>
    <n v="13.6891"/>
    <n v="-89.193399999999997"/>
    <n v="8550"/>
    <n v="0"/>
    <n v="0"/>
    <n v="102"/>
    <s v="_x0000_US"/>
  </r>
  <r>
    <x v="1"/>
    <n v="13.6891"/>
    <n v="-89.193399999999997"/>
    <n v="8550"/>
    <n v="0"/>
    <n v="0"/>
    <n v="102"/>
    <s v="_x0000_US"/>
  </r>
  <r>
    <x v="1"/>
    <n v="13.6891"/>
    <n v="-89.193399999999997"/>
    <n v="8550"/>
    <n v="0"/>
    <n v="0"/>
    <n v="102"/>
    <s v="_x0000_US"/>
  </r>
  <r>
    <x v="1"/>
    <n v="13.6891"/>
    <n v="-89.193399999999997"/>
    <n v="8550"/>
    <n v="0"/>
    <n v="0"/>
    <n v="102"/>
    <s v="_x0000_US"/>
  </r>
  <r>
    <x v="1"/>
    <n v="13.689299999999999"/>
    <n v="-89.193899999999999"/>
    <n v="8550"/>
    <n v="0"/>
    <n v="0"/>
    <n v="102"/>
    <s v="_x0000_US"/>
  </r>
  <r>
    <x v="1"/>
    <n v="13.689399999999999"/>
    <n v="-89.193799999999996"/>
    <n v="8550"/>
    <n v="0"/>
    <n v="0"/>
    <n v="102"/>
    <s v="_x0000_US"/>
  </r>
  <r>
    <x v="1"/>
    <n v="13.689399999999999"/>
    <n v="-89.193399999999997"/>
    <n v="8550"/>
    <n v="0"/>
    <n v="0"/>
    <n v="102"/>
    <s v="_x0000_US"/>
  </r>
  <r>
    <x v="1"/>
    <n v="13.689399999999999"/>
    <n v="-89.193399999999997"/>
    <n v="8550"/>
    <n v="0"/>
    <n v="0"/>
    <n v="102"/>
    <s v="_x0000_US"/>
  </r>
  <r>
    <x v="1"/>
    <n v="13.689399999999999"/>
    <n v="-89.193399999999997"/>
    <n v="8550"/>
    <n v="0"/>
    <n v="0"/>
    <n v="102"/>
    <s v="_x0000_US"/>
  </r>
  <r>
    <x v="1"/>
    <n v="13.689399999999999"/>
    <n v="-89.193399999999997"/>
    <n v="8550"/>
    <n v="0"/>
    <n v="0"/>
    <n v="102"/>
    <s v="_x0000_US"/>
  </r>
  <r>
    <x v="1"/>
    <n v="13.689399999999999"/>
    <n v="-89.193399999999997"/>
    <n v="8550"/>
    <n v="0"/>
    <n v="0"/>
    <n v="102"/>
    <s v="_x0000_US"/>
  </r>
  <r>
    <x v="1"/>
    <n v="13.689399999999999"/>
    <n v="-89.193399999999997"/>
    <n v="8550"/>
    <n v="0"/>
    <n v="0"/>
    <n v="102"/>
    <s v="_x0000_US"/>
  </r>
  <r>
    <x v="1"/>
    <n v="13.689399999999999"/>
    <n v="-89.193399999999997"/>
    <n v="8550"/>
    <n v="0"/>
    <n v="0"/>
    <n v="102"/>
    <s v="_x0000_US"/>
  </r>
  <r>
    <x v="1"/>
    <n v="13.689399999999999"/>
    <n v="-89.193399999999997"/>
    <n v="8550"/>
    <n v="0"/>
    <n v="0"/>
    <n v="102"/>
    <s v="_x0000_US"/>
  </r>
  <r>
    <x v="1"/>
    <n v="13.689399999999999"/>
    <n v="-89.193200000000004"/>
    <n v="8550"/>
    <n v="0"/>
    <n v="0"/>
    <n v="102"/>
    <s v="_x0000_US"/>
  </r>
  <r>
    <x v="1"/>
    <n v="13.689399999999999"/>
    <n v="-89.193200000000004"/>
    <n v="8550"/>
    <n v="0"/>
    <n v="0"/>
    <n v="102"/>
    <s v="_x0000_US"/>
  </r>
  <r>
    <x v="1"/>
    <n v="13.689399999999999"/>
    <n v="-89.193200000000004"/>
    <n v="8550"/>
    <n v="0"/>
    <n v="0"/>
    <n v="102"/>
    <s v="_x0000_US"/>
  </r>
  <r>
    <x v="1"/>
    <n v="13.689299999999999"/>
    <n v="-89.193200000000004"/>
    <n v="8550"/>
    <n v="0"/>
    <n v="0"/>
    <n v="102"/>
    <s v="_x0000_US"/>
  </r>
  <r>
    <x v="1"/>
    <n v="13.689299999999999"/>
    <n v="-89.193299999999994"/>
    <n v="8550"/>
    <n v="0"/>
    <n v="0"/>
    <n v="102"/>
    <s v="_x0000_US"/>
  </r>
  <r>
    <x v="1"/>
    <n v="13.689299999999999"/>
    <n v="-89.193299999999994"/>
    <n v="8550"/>
    <n v="0"/>
    <n v="0"/>
    <n v="102"/>
    <s v="_x0000_US"/>
  </r>
  <r>
    <x v="1"/>
    <n v="13.689299999999999"/>
    <n v="-89.193299999999994"/>
    <n v="8550"/>
    <n v="0"/>
    <n v="0"/>
    <n v="102"/>
    <s v="_x0000_US"/>
  </r>
  <r>
    <x v="1"/>
    <n v="13.689299999999999"/>
    <n v="-89.193299999999994"/>
    <n v="8550"/>
    <n v="0"/>
    <n v="0"/>
    <n v="102"/>
    <s v="_x0000_US"/>
  </r>
  <r>
    <x v="1"/>
    <n v="13.689299999999999"/>
    <n v="-89.193100000000001"/>
    <n v="8550"/>
    <n v="0"/>
    <n v="0"/>
    <n v="102"/>
    <s v="_x0000_US"/>
  </r>
  <r>
    <x v="1"/>
    <n v="13.689299999999999"/>
    <n v="-89.193100000000001"/>
    <n v="8550"/>
    <n v="0"/>
    <n v="0"/>
    <n v="102"/>
    <s v="_x0000_US"/>
  </r>
  <r>
    <x v="1"/>
    <n v="13.689299999999999"/>
    <n v="-89.193100000000001"/>
    <n v="8550"/>
    <n v="0"/>
    <n v="0"/>
    <n v="102"/>
    <s v="_x0000_US"/>
  </r>
  <r>
    <x v="1"/>
    <n v="13.689299999999999"/>
    <n v="-89.192999999999998"/>
    <n v="8550"/>
    <n v="0"/>
    <n v="0"/>
    <n v="102"/>
    <s v="_x0000_US"/>
  </r>
  <r>
    <x v="1"/>
    <n v="13.689299999999999"/>
    <n v="-89.192999999999998"/>
    <n v="8550"/>
    <n v="0"/>
    <n v="0"/>
    <n v="102"/>
    <s v="_x0000_US"/>
  </r>
  <r>
    <x v="1"/>
    <n v="13.689299999999999"/>
    <n v="-89.192999999999998"/>
    <n v="8550"/>
    <n v="0"/>
    <n v="0"/>
    <n v="102"/>
    <s v="_x0000_US"/>
  </r>
  <r>
    <x v="1"/>
    <n v="13.689299999999999"/>
    <n v="-89.192999999999998"/>
    <n v="8550"/>
    <n v="0"/>
    <n v="0"/>
    <n v="102"/>
    <s v="_x0000_US"/>
  </r>
  <r>
    <x v="1"/>
    <n v="13.689399999999999"/>
    <n v="-89.192800000000005"/>
    <n v="8550"/>
    <n v="0"/>
    <n v="0"/>
    <n v="102"/>
    <s v="_x0000_US"/>
  </r>
  <r>
    <x v="1"/>
    <n v="13.689399999999999"/>
    <n v="-89.192700000000002"/>
    <n v="8550"/>
    <n v="0"/>
    <n v="0"/>
    <n v="102"/>
    <s v="_x0000_US"/>
  </r>
  <r>
    <x v="1"/>
    <n v="13.689299999999999"/>
    <n v="-89.192800000000005"/>
    <n v="8550"/>
    <n v="0"/>
    <n v="0"/>
    <n v="102"/>
    <s v="_x0000_US"/>
  </r>
  <r>
    <x v="1"/>
    <n v="13.688800000000001"/>
    <n v="-89.193200000000004"/>
    <n v="8550"/>
    <n v="0"/>
    <n v="0"/>
    <n v="102"/>
    <s v="_x0000_US"/>
  </r>
  <r>
    <x v="1"/>
    <n v="13.688800000000001"/>
    <n v="-89.193200000000004"/>
    <n v="8550"/>
    <n v="0"/>
    <n v="0"/>
    <n v="102"/>
    <s v="_x0000_US"/>
  </r>
  <r>
    <x v="1"/>
    <n v="13.688800000000001"/>
    <n v="-89.193200000000004"/>
    <n v="8550"/>
    <n v="0"/>
    <n v="0"/>
    <n v="102"/>
    <s v="_x0000_US"/>
  </r>
  <r>
    <x v="1"/>
    <n v="13.6889"/>
    <n v="-89.193100000000001"/>
    <n v="8550"/>
    <n v="0"/>
    <n v="0"/>
    <n v="102"/>
    <s v="_x0000_US"/>
  </r>
  <r>
    <x v="1"/>
    <n v="13.6889"/>
    <n v="-89.193100000000001"/>
    <n v="8550"/>
    <n v="0"/>
    <n v="0"/>
    <n v="102"/>
    <s v="_x0000_US"/>
  </r>
  <r>
    <x v="1"/>
    <n v="13.6889"/>
    <n v="-89.193100000000001"/>
    <n v="8550"/>
    <n v="0"/>
    <n v="0"/>
    <n v="102"/>
    <s v="_x0000_US"/>
  </r>
  <r>
    <x v="1"/>
    <n v="13.6889"/>
    <n v="-89.193100000000001"/>
    <n v="8550"/>
    <n v="0"/>
    <n v="0"/>
    <n v="102"/>
    <s v="_x0000_US"/>
  </r>
  <r>
    <x v="1"/>
    <n v="13.689"/>
    <n v="-89.193100000000001"/>
    <n v="8550"/>
    <n v="0"/>
    <n v="0"/>
    <n v="102"/>
    <s v="_x0000_US"/>
  </r>
  <r>
    <x v="1"/>
    <n v="13.689"/>
    <n v="-89.193100000000001"/>
    <n v="8550"/>
    <n v="0"/>
    <n v="0"/>
    <n v="102"/>
    <s v="_x0000_US"/>
  </r>
  <r>
    <x v="1"/>
    <n v="13.689"/>
    <n v="-89.193100000000001"/>
    <n v="8550"/>
    <n v="0"/>
    <n v="0"/>
    <n v="102"/>
    <s v="_x0000_US"/>
  </r>
  <r>
    <x v="1"/>
    <n v="13.689"/>
    <n v="-89.193100000000001"/>
    <n v="8550"/>
    <n v="0"/>
    <n v="0"/>
    <n v="102"/>
    <s v="_x0000_US"/>
  </r>
  <r>
    <x v="1"/>
    <n v="13.6892"/>
    <n v="-89.193100000000001"/>
    <n v="8550"/>
    <n v="0"/>
    <n v="0"/>
    <n v="102"/>
    <s v="_x0000_US"/>
  </r>
  <r>
    <x v="1"/>
    <n v="13.6892"/>
    <n v="-89.193100000000001"/>
    <n v="8550"/>
    <n v="0"/>
    <n v="0"/>
    <n v="102"/>
    <s v="_x0000_US"/>
  </r>
  <r>
    <x v="1"/>
    <n v="13.6892"/>
    <n v="-89.193100000000001"/>
    <n v="8550"/>
    <n v="0"/>
    <n v="0"/>
    <n v="102"/>
    <s v="_x0000_US"/>
  </r>
  <r>
    <x v="1"/>
    <n v="13.6892"/>
    <n v="-89.193100000000001"/>
    <n v="8550"/>
    <n v="0"/>
    <n v="0"/>
    <n v="102"/>
    <s v="_x0000_US"/>
  </r>
  <r>
    <x v="1"/>
    <n v="13.6892"/>
    <n v="-89.193100000000001"/>
    <n v="8550"/>
    <n v="0"/>
    <n v="0"/>
    <n v="102"/>
    <s v="_x0000_US"/>
  </r>
  <r>
    <x v="1"/>
    <n v="13.6892"/>
    <n v="-89.193100000000001"/>
    <n v="8550"/>
    <n v="0"/>
    <n v="0"/>
    <n v="102"/>
    <s v="_x0000_US"/>
  </r>
  <r>
    <x v="1"/>
    <n v="13.6892"/>
    <n v="-89.193100000000001"/>
    <n v="8550"/>
    <n v="0"/>
    <n v="0"/>
    <n v="102"/>
    <s v="_x0000_US"/>
  </r>
  <r>
    <x v="1"/>
    <n v="13.6892"/>
    <n v="-89.193100000000001"/>
    <n v="8550"/>
    <n v="0"/>
    <n v="0"/>
    <n v="102"/>
    <s v="_x0000_US"/>
  </r>
  <r>
    <x v="1"/>
    <n v="13.688800000000001"/>
    <n v="-89.192700000000002"/>
    <n v="8550"/>
    <n v="0"/>
    <n v="0"/>
    <n v="102"/>
    <s v="_x0000_US"/>
  </r>
  <r>
    <x v="1"/>
    <n v="13.688800000000001"/>
    <n v="-89.192700000000002"/>
    <n v="8550"/>
    <n v="0"/>
    <n v="0"/>
    <n v="102"/>
    <s v="_x0000_US"/>
  </r>
  <r>
    <x v="1"/>
    <n v="13.688800000000001"/>
    <n v="-89.192700000000002"/>
    <n v="8550"/>
    <n v="0"/>
    <n v="0"/>
    <n v="102"/>
    <s v="_x0000_US"/>
  </r>
  <r>
    <x v="1"/>
    <n v="13.688800000000001"/>
    <n v="-89.192700000000002"/>
    <n v="8550"/>
    <n v="0"/>
    <n v="0"/>
    <n v="102"/>
    <s v="_x0000_US"/>
  </r>
  <r>
    <x v="1"/>
    <n v="13.688800000000001"/>
    <n v="-89.192700000000002"/>
    <n v="8550"/>
    <n v="0"/>
    <n v="0"/>
    <n v="102"/>
    <s v="_x0000_US"/>
  </r>
  <r>
    <x v="1"/>
    <n v="13.688800000000001"/>
    <n v="-89.192700000000002"/>
    <n v="8550"/>
    <n v="0"/>
    <n v="0"/>
    <n v="102"/>
    <s v="_x0000_US"/>
  </r>
  <r>
    <x v="1"/>
    <n v="13.688800000000001"/>
    <n v="-89.192700000000002"/>
    <n v="8550"/>
    <n v="0"/>
    <n v="0"/>
    <n v="102"/>
    <s v="_x0000_US"/>
  </r>
  <r>
    <x v="1"/>
    <n v="13.688800000000001"/>
    <n v="-89.192700000000002"/>
    <n v="8550"/>
    <n v="0"/>
    <n v="0"/>
    <n v="102"/>
    <s v="_x0000_US"/>
  </r>
  <r>
    <x v="1"/>
    <n v="13.688800000000001"/>
    <n v="-89.192499999999995"/>
    <n v="8550"/>
    <n v="0"/>
    <n v="0"/>
    <n v="102"/>
    <s v="_x0000_US"/>
  </r>
  <r>
    <x v="1"/>
    <n v="13.688800000000001"/>
    <n v="-89.192499999999995"/>
    <n v="8550"/>
    <n v="0"/>
    <n v="0"/>
    <n v="102"/>
    <s v="_x0000_US"/>
  </r>
  <r>
    <x v="1"/>
    <n v="13.688800000000001"/>
    <n v="-89.192499999999995"/>
    <n v="8550"/>
    <n v="0"/>
    <n v="0"/>
    <n v="102"/>
    <s v="_x0000_US"/>
  </r>
  <r>
    <x v="1"/>
    <n v="13.688800000000001"/>
    <n v="-89.192499999999995"/>
    <n v="8550"/>
    <n v="0"/>
    <n v="0"/>
    <n v="102"/>
    <s v="_x0000_US"/>
  </r>
  <r>
    <x v="1"/>
    <n v="13.688700000000001"/>
    <n v="-89.192599999999999"/>
    <n v="8550"/>
    <n v="0"/>
    <n v="0"/>
    <n v="102"/>
    <s v="_x0000_US"/>
  </r>
  <r>
    <x v="1"/>
    <n v="13.688700000000001"/>
    <n v="-89.192599999999999"/>
    <n v="8550"/>
    <n v="0"/>
    <n v="0"/>
    <n v="102"/>
    <s v="_x0000_US"/>
  </r>
  <r>
    <x v="1"/>
    <n v="13.688700000000001"/>
    <n v="-89.192599999999999"/>
    <n v="8550"/>
    <n v="0"/>
    <n v="0"/>
    <n v="102"/>
    <s v="_x0000_US"/>
  </r>
  <r>
    <x v="1"/>
    <n v="13.688700000000001"/>
    <n v="-89.192599999999999"/>
    <n v="8550"/>
    <n v="0"/>
    <n v="0"/>
    <n v="102"/>
    <s v="_x0000_US"/>
  </r>
  <r>
    <x v="1"/>
    <n v="13.688599999999999"/>
    <n v="-89.192700000000002"/>
    <n v="8550"/>
    <n v="0"/>
    <n v="0"/>
    <n v="102"/>
    <s v="_x0000_US"/>
  </r>
  <r>
    <x v="1"/>
    <n v="13.688599999999999"/>
    <n v="-89.192700000000002"/>
    <n v="8550"/>
    <n v="0"/>
    <n v="0"/>
    <n v="102"/>
    <s v="_x0000_US"/>
  </r>
  <r>
    <x v="1"/>
    <n v="13.688599999999999"/>
    <n v="-89.192700000000002"/>
    <n v="8550"/>
    <n v="0"/>
    <n v="0"/>
    <n v="102"/>
    <s v="_x0000_US"/>
  </r>
  <r>
    <x v="1"/>
    <n v="13.688599999999999"/>
    <n v="-89.192700000000002"/>
    <n v="8550"/>
    <n v="0"/>
    <n v="0"/>
    <n v="102"/>
    <s v="_x0000_US"/>
  </r>
  <r>
    <x v="1"/>
    <n v="13.688599999999999"/>
    <n v="-89.192700000000002"/>
    <n v="8550"/>
    <n v="0"/>
    <n v="0"/>
    <n v="102"/>
    <s v="_x0000_US"/>
  </r>
  <r>
    <x v="1"/>
    <n v="13.688599999999999"/>
    <n v="-89.192700000000002"/>
    <n v="8550"/>
    <n v="0"/>
    <n v="0"/>
    <n v="102"/>
    <s v="_x0000_US"/>
  </r>
  <r>
    <x v="1"/>
    <n v="13.688599999999999"/>
    <n v="-89.192700000000002"/>
    <n v="8550"/>
    <n v="0"/>
    <n v="0"/>
    <n v="102"/>
    <s v="_x0000_US"/>
  </r>
  <r>
    <x v="1"/>
    <n v="13.688599999999999"/>
    <n v="-89.192700000000002"/>
    <n v="8550"/>
    <n v="0"/>
    <n v="0"/>
    <n v="102"/>
    <s v="_x0000_US"/>
  </r>
  <r>
    <x v="1"/>
    <n v="13.688599999999999"/>
    <n v="-89.192700000000002"/>
    <n v="8550"/>
    <n v="0"/>
    <n v="0"/>
    <n v="102"/>
    <s v="_x0000_US"/>
  </r>
  <r>
    <x v="1"/>
    <n v="13.688499999999999"/>
    <n v="-89.192899999999995"/>
    <n v="8550"/>
    <n v="0"/>
    <n v="0"/>
    <n v="102"/>
    <s v="_x0000_US"/>
  </r>
  <r>
    <x v="1"/>
    <n v="13.688499999999999"/>
    <n v="-89.192899999999995"/>
    <n v="8550"/>
    <n v="0"/>
    <n v="0"/>
    <n v="102"/>
    <s v="_x0000_US"/>
  </r>
  <r>
    <x v="1"/>
    <n v="13.688499999999999"/>
    <n v="-89.192899999999995"/>
    <n v="8550"/>
    <n v="0"/>
    <n v="0"/>
    <n v="102"/>
    <s v="_x0000_US"/>
  </r>
  <r>
    <x v="1"/>
    <n v="13.688499999999999"/>
    <n v="-89.192899999999995"/>
    <n v="8550"/>
    <n v="0"/>
    <n v="0"/>
    <n v="102"/>
    <s v="_x0000_US"/>
  </r>
  <r>
    <x v="1"/>
    <n v="13.688499999999999"/>
    <n v="-89.192899999999995"/>
    <n v="8550"/>
    <n v="0"/>
    <n v="0"/>
    <n v="102"/>
    <s v="_x0000_US"/>
  </r>
  <r>
    <x v="1"/>
    <n v="13.688499999999999"/>
    <n v="-89.192899999999995"/>
    <n v="8550"/>
    <n v="0"/>
    <n v="0"/>
    <n v="102"/>
    <s v="_x0000_US"/>
  </r>
  <r>
    <x v="1"/>
    <n v="13.6884"/>
    <n v="-89.193200000000004"/>
    <n v="8550"/>
    <n v="0"/>
    <n v="0"/>
    <n v="102"/>
    <s v="_x0000_US"/>
  </r>
  <r>
    <x v="1"/>
    <n v="13.6884"/>
    <n v="-89.193200000000004"/>
    <n v="8550"/>
    <n v="0"/>
    <n v="0"/>
    <n v="102"/>
    <s v="_x0000_US"/>
  </r>
  <r>
    <x v="1"/>
    <n v="13.6884"/>
    <n v="-89.193200000000004"/>
    <n v="8550"/>
    <n v="0"/>
    <n v="0"/>
    <n v="102"/>
    <s v="_x0000_US"/>
  </r>
  <r>
    <x v="1"/>
    <n v="13.6884"/>
    <n v="-89.193200000000004"/>
    <n v="8550"/>
    <n v="0"/>
    <n v="0"/>
    <n v="102"/>
    <s v="_x0000_US"/>
  </r>
  <r>
    <x v="1"/>
    <n v="13.6884"/>
    <n v="-89.193200000000004"/>
    <n v="8550"/>
    <n v="0"/>
    <n v="0"/>
    <n v="102"/>
    <s v="_x0000_US"/>
  </r>
  <r>
    <x v="1"/>
    <n v="13.6884"/>
    <n v="-89.193200000000004"/>
    <n v="8550"/>
    <n v="0"/>
    <n v="0"/>
    <n v="102"/>
    <s v="_x0000_US"/>
  </r>
  <r>
    <x v="1"/>
    <n v="13.6883"/>
    <n v="-89.193200000000004"/>
    <n v="8550"/>
    <n v="0"/>
    <n v="0"/>
    <n v="102"/>
    <s v="_x0000_US"/>
  </r>
  <r>
    <x v="1"/>
    <n v="13.6883"/>
    <n v="-89.193200000000004"/>
    <n v="8550"/>
    <n v="0"/>
    <n v="0"/>
    <n v="102"/>
    <s v="_x0000_US"/>
  </r>
  <r>
    <x v="1"/>
    <n v="13.6883"/>
    <n v="-89.193200000000004"/>
    <n v="8550"/>
    <n v="0"/>
    <n v="0"/>
    <n v="102"/>
    <s v="_x0000_US"/>
  </r>
  <r>
    <x v="1"/>
    <n v="13.6883"/>
    <n v="-89.193200000000004"/>
    <n v="8550"/>
    <n v="0"/>
    <n v="0"/>
    <n v="102"/>
    <s v="_x0000_US"/>
  </r>
  <r>
    <x v="1"/>
    <n v="13.6881"/>
    <n v="-89.1935"/>
    <n v="8550"/>
    <n v="0"/>
    <n v="0"/>
    <n v="102"/>
    <s v="_x0000_US"/>
  </r>
  <r>
    <x v="1"/>
    <n v="13.6881"/>
    <n v="-89.193399999999997"/>
    <n v="8550"/>
    <n v="0"/>
    <n v="0"/>
    <n v="102"/>
    <s v="_x0000_US"/>
  </r>
  <r>
    <x v="1"/>
    <n v="13.6881"/>
    <n v="-89.193200000000004"/>
    <n v="8550"/>
    <n v="0"/>
    <n v="0"/>
    <n v="102"/>
    <s v="_x0000_US"/>
  </r>
  <r>
    <x v="1"/>
    <n v="13.6881"/>
    <n v="-89.193100000000001"/>
    <n v="8550"/>
    <n v="0"/>
    <n v="0"/>
    <n v="102"/>
    <s v="_x0000_US"/>
  </r>
  <r>
    <x v="1"/>
    <n v="13.6881"/>
    <n v="-89.192999999999998"/>
    <n v="8550"/>
    <n v="0"/>
    <n v="0"/>
    <n v="102"/>
    <s v="_x0000_US"/>
  </r>
  <r>
    <x v="1"/>
    <n v="13.6882"/>
    <n v="-89.192899999999995"/>
    <n v="8550"/>
    <n v="0"/>
    <n v="0"/>
    <n v="102"/>
    <s v="_x0000_US"/>
  </r>
  <r>
    <x v="1"/>
    <n v="13.688000000000001"/>
    <n v="-89.193299999999994"/>
    <n v="8550"/>
    <n v="0"/>
    <n v="0"/>
    <n v="102"/>
    <s v="_x0000_US"/>
  </r>
  <r>
    <x v="1"/>
    <n v="13.688000000000001"/>
    <n v="-89.193100000000001"/>
    <n v="8550"/>
    <n v="0"/>
    <n v="0"/>
    <n v="102"/>
    <s v="_x0000_US"/>
  </r>
  <r>
    <x v="1"/>
    <n v="13.688000000000001"/>
    <n v="-89.193100000000001"/>
    <n v="8550"/>
    <n v="0"/>
    <n v="0"/>
    <n v="102"/>
    <s v="_x0000_US"/>
  </r>
  <r>
    <x v="1"/>
    <n v="13.688000000000001"/>
    <n v="-89.193100000000001"/>
    <n v="8550"/>
    <n v="0"/>
    <n v="0"/>
    <n v="102"/>
    <s v="_x0000_US"/>
  </r>
  <r>
    <x v="1"/>
    <n v="13.688000000000001"/>
    <n v="-89.193100000000001"/>
    <n v="8550"/>
    <n v="0"/>
    <n v="0"/>
    <n v="102"/>
    <s v="_x0000_US"/>
  </r>
  <r>
    <x v="1"/>
    <n v="13.687900000000001"/>
    <n v="-89.193100000000001"/>
    <n v="8550"/>
    <n v="0"/>
    <n v="0"/>
    <n v="102"/>
    <s v="_x0000_US"/>
  </r>
  <r>
    <x v="1"/>
    <n v="13.687900000000001"/>
    <n v="-89.193100000000001"/>
    <n v="8550"/>
    <n v="0"/>
    <n v="0"/>
    <n v="102"/>
    <s v="_x0000_US"/>
  </r>
  <r>
    <x v="1"/>
    <n v="13.687900000000001"/>
    <n v="-89.193399999999997"/>
    <n v="8550"/>
    <n v="0"/>
    <n v="0"/>
    <n v="102"/>
    <s v="_x0000_US"/>
  </r>
  <r>
    <x v="1"/>
    <n v="13.690099999999999"/>
    <n v="-89.191199999999995"/>
    <n v="8550"/>
    <n v="0"/>
    <n v="0"/>
    <n v="102"/>
    <s v="_x0000_US"/>
  </r>
  <r>
    <x v="1"/>
    <n v="13.690200000000001"/>
    <n v="-89.191199999999995"/>
    <n v="8550"/>
    <n v="0"/>
    <n v="0"/>
    <n v="102"/>
    <s v="_x0000_US"/>
  </r>
  <r>
    <x v="1"/>
    <n v="13.690200000000001"/>
    <n v="-89.191199999999995"/>
    <n v="8550"/>
    <n v="0"/>
    <n v="0"/>
    <n v="102"/>
    <s v="_x0000_US"/>
  </r>
  <r>
    <x v="1"/>
    <n v="13.690200000000001"/>
    <n v="-89.191400000000002"/>
    <n v="8550"/>
    <n v="0"/>
    <n v="0"/>
    <n v="102"/>
    <s v="_x0000_US"/>
  </r>
  <r>
    <x v="1"/>
    <n v="13.690200000000001"/>
    <n v="-89.191599999999994"/>
    <n v="8550"/>
    <n v="0"/>
    <n v="0"/>
    <n v="102"/>
    <s v="_x0000_US"/>
  </r>
  <r>
    <x v="1"/>
    <n v="13.69"/>
    <n v="-89.191299999999998"/>
    <n v="8550"/>
    <n v="0"/>
    <n v="0"/>
    <n v="102"/>
    <s v="_x0000_US"/>
  </r>
  <r>
    <x v="1"/>
    <n v="13.6899"/>
    <n v="-89.191500000000005"/>
    <n v="8550"/>
    <n v="0"/>
    <n v="0"/>
    <n v="102"/>
    <s v="_x0000_US"/>
  </r>
  <r>
    <x v="1"/>
    <n v="13.6898"/>
    <n v="-89.191599999999994"/>
    <n v="8550"/>
    <n v="0"/>
    <n v="0"/>
    <n v="102"/>
    <s v="_x0000_US"/>
  </r>
  <r>
    <x v="1"/>
    <n v="13.6898"/>
    <n v="-89.191500000000005"/>
    <n v="8550"/>
    <n v="0"/>
    <n v="0"/>
    <n v="102"/>
    <s v="_x0000_US"/>
  </r>
  <r>
    <x v="1"/>
    <n v="13.6898"/>
    <n v="-89.191500000000005"/>
    <n v="8550"/>
    <n v="0"/>
    <n v="0"/>
    <n v="102"/>
    <s v="_x0000_US"/>
  </r>
  <r>
    <x v="1"/>
    <n v="13.6898"/>
    <n v="-89.191599999999994"/>
    <n v="8550"/>
    <n v="0"/>
    <n v="0"/>
    <n v="102"/>
    <s v="_x0000_US"/>
  </r>
  <r>
    <x v="1"/>
    <n v="13.6898"/>
    <n v="-89.191699999999997"/>
    <n v="8550"/>
    <n v="0"/>
    <n v="0"/>
    <n v="102"/>
    <s v="_x0000_US"/>
  </r>
  <r>
    <x v="1"/>
    <n v="13.6897"/>
    <n v="-89.191699999999997"/>
    <n v="8550"/>
    <n v="0"/>
    <n v="0"/>
    <n v="102"/>
    <s v="_x0000_US"/>
  </r>
  <r>
    <x v="1"/>
    <n v="13.6897"/>
    <n v="-89.191599999999994"/>
    <n v="8550"/>
    <n v="0"/>
    <n v="0"/>
    <n v="102"/>
    <s v="_x0000_US"/>
  </r>
  <r>
    <x v="1"/>
    <n v="13.6897"/>
    <n v="-89.191599999999994"/>
    <n v="8550"/>
    <n v="0"/>
    <n v="0"/>
    <n v="102"/>
    <s v="_x0000_US"/>
  </r>
  <r>
    <x v="1"/>
    <n v="13.6897"/>
    <n v="-89.191000000000003"/>
    <n v="8550"/>
    <n v="0"/>
    <n v="0"/>
    <n v="102"/>
    <s v="_x0000_US"/>
  </r>
  <r>
    <x v="1"/>
    <n v="13.689399999999999"/>
    <n v="-89.191299999999998"/>
    <n v="8550"/>
    <n v="0"/>
    <n v="0"/>
    <n v="102"/>
    <s v="_x0000_US"/>
  </r>
  <r>
    <x v="1"/>
    <n v="13.689399999999999"/>
    <n v="-89.191100000000006"/>
    <n v="8550"/>
    <n v="0"/>
    <n v="0"/>
    <n v="102"/>
    <s v="_x0000_US"/>
  </r>
  <r>
    <x v="1"/>
    <n v="13.689299999999999"/>
    <n v="-89.191000000000003"/>
    <n v="8550"/>
    <n v="0"/>
    <n v="0"/>
    <n v="102"/>
    <s v="_x0000_US"/>
  </r>
  <r>
    <x v="1"/>
    <n v="13.689299999999999"/>
    <n v="-89.191000000000003"/>
    <n v="8550"/>
    <n v="0"/>
    <n v="0"/>
    <n v="102"/>
    <s v="_x0000_US"/>
  </r>
  <r>
    <x v="1"/>
    <n v="13.689399999999999"/>
    <n v="-89.190899999999999"/>
    <n v="8550"/>
    <n v="0"/>
    <n v="0"/>
    <n v="102"/>
    <s v="_x0000_US"/>
  </r>
  <r>
    <x v="1"/>
    <n v="13.689399999999999"/>
    <n v="-89.190799999999996"/>
    <n v="8550"/>
    <n v="0"/>
    <n v="0"/>
    <n v="102"/>
    <s v="_x0000_US"/>
  </r>
  <r>
    <x v="1"/>
    <n v="13.689399999999999"/>
    <n v="-89.190700000000007"/>
    <n v="8550"/>
    <n v="0"/>
    <n v="0"/>
    <n v="102"/>
    <s v="_x0000_US"/>
  </r>
  <r>
    <x v="1"/>
    <n v="13.690300000000001"/>
    <n v="-89.191500000000005"/>
    <n v="8550"/>
    <n v="0"/>
    <n v="0"/>
    <n v="102"/>
    <s v="_x0000_US"/>
  </r>
  <r>
    <x v="1"/>
    <n v="13.690300000000001"/>
    <n v="-89.191500000000005"/>
    <n v="8550"/>
    <n v="0"/>
    <n v="0"/>
    <n v="102"/>
    <s v="_x0000_US"/>
  </r>
  <r>
    <x v="1"/>
    <n v="13.690300000000001"/>
    <n v="-89.191400000000002"/>
    <n v="8550"/>
    <n v="0"/>
    <n v="0"/>
    <n v="102"/>
    <s v="_x0000_US"/>
  </r>
  <r>
    <x v="1"/>
    <n v="13.690300000000001"/>
    <n v="-89.191400000000002"/>
    <n v="8550"/>
    <n v="0"/>
    <n v="0"/>
    <n v="102"/>
    <s v="_x0000_US"/>
  </r>
  <r>
    <x v="1"/>
    <n v="13.690300000000001"/>
    <n v="-89.191299999999998"/>
    <n v="8550"/>
    <n v="0"/>
    <n v="0"/>
    <n v="102"/>
    <s v="_x0000_US"/>
  </r>
  <r>
    <x v="1"/>
    <n v="13.690300000000001"/>
    <n v="-89.191299999999998"/>
    <n v="8550"/>
    <n v="0"/>
    <n v="0"/>
    <n v="102"/>
    <s v="_x0000_US"/>
  </r>
  <r>
    <x v="1"/>
    <n v="13.690300000000001"/>
    <n v="-89.191299999999998"/>
    <n v="8550"/>
    <n v="0"/>
    <n v="0"/>
    <n v="102"/>
    <s v="_x0000_US"/>
  </r>
  <r>
    <x v="1"/>
    <n v="13.690300000000001"/>
    <n v="-89.191299999999998"/>
    <n v="8550"/>
    <n v="0"/>
    <n v="0"/>
    <n v="102"/>
    <s v="_x0000_US"/>
  </r>
  <r>
    <x v="1"/>
    <n v="13.690300000000001"/>
    <n v="-89.191299999999998"/>
    <n v="8550"/>
    <n v="0"/>
    <n v="0"/>
    <n v="102"/>
    <s v="_x0000_US"/>
  </r>
  <r>
    <x v="1"/>
    <n v="13.690300000000001"/>
    <n v="-89.191400000000002"/>
    <n v="8550"/>
    <n v="0"/>
    <n v="0"/>
    <n v="102"/>
    <s v="_x0000_US"/>
  </r>
  <r>
    <x v="1"/>
    <n v="13.690300000000001"/>
    <n v="-89.191400000000002"/>
    <n v="8550"/>
    <n v="0"/>
    <n v="0"/>
    <n v="102"/>
    <s v="_x0000_US"/>
  </r>
  <r>
    <x v="1"/>
    <n v="13.690300000000001"/>
    <n v="-89.191500000000005"/>
    <n v="8550"/>
    <n v="0"/>
    <n v="0"/>
    <n v="102"/>
    <s v="_x0000_US"/>
  </r>
  <r>
    <x v="1"/>
    <n v="13.690300000000001"/>
    <n v="-89.191400000000002"/>
    <n v="8550"/>
    <n v="0"/>
    <n v="0"/>
    <n v="102"/>
    <s v="_x0000_US"/>
  </r>
  <r>
    <x v="1"/>
    <n v="13.690300000000001"/>
    <n v="-89.191400000000002"/>
    <n v="8550"/>
    <n v="0"/>
    <n v="0"/>
    <n v="102"/>
    <s v="_x0000_US"/>
  </r>
  <r>
    <x v="1"/>
    <n v="13.690300000000001"/>
    <n v="-89.191400000000002"/>
    <n v="8550"/>
    <n v="0"/>
    <n v="0"/>
    <n v="102"/>
    <s v="_x0000_US"/>
  </r>
  <r>
    <x v="1"/>
    <n v="13.690300000000001"/>
    <n v="-89.191400000000002"/>
    <n v="8550"/>
    <n v="0"/>
    <n v="0"/>
    <n v="102"/>
    <s v="_x0000_US"/>
  </r>
  <r>
    <x v="1"/>
    <n v="13.6904"/>
    <n v="-89.191599999999994"/>
    <n v="8550"/>
    <n v="0"/>
    <n v="0"/>
    <n v="102"/>
    <s v="_x0000_US"/>
  </r>
  <r>
    <x v="1"/>
    <n v="13.690300000000001"/>
    <n v="-89.191599999999994"/>
    <n v="8550"/>
    <n v="0"/>
    <n v="0"/>
    <n v="102"/>
    <s v="_x0000_US"/>
  </r>
  <r>
    <x v="1"/>
    <n v="13.690300000000001"/>
    <n v="-89.191599999999994"/>
    <n v="8550"/>
    <n v="0"/>
    <n v="0"/>
    <n v="102"/>
    <s v="_x0000_US"/>
  </r>
  <r>
    <x v="1"/>
    <n v="13.690300000000001"/>
    <n v="-89.191500000000005"/>
    <n v="8550"/>
    <n v="0"/>
    <n v="0"/>
    <n v="102"/>
    <s v="_x0000_US"/>
  </r>
  <r>
    <x v="1"/>
    <n v="13.690300000000001"/>
    <n v="-89.191599999999994"/>
    <n v="8550"/>
    <n v="0"/>
    <n v="0"/>
    <n v="102"/>
    <s v="_x0000_US"/>
  </r>
  <r>
    <x v="1"/>
    <n v="13.6907"/>
    <n v="-89.191599999999994"/>
    <n v="8550"/>
    <n v="0"/>
    <n v="0"/>
    <n v="102"/>
    <s v="_x0000_US"/>
  </r>
  <r>
    <x v="1"/>
    <n v="13.6906"/>
    <n v="-89.191599999999994"/>
    <n v="8550"/>
    <n v="0"/>
    <n v="0"/>
    <n v="102"/>
    <s v="_x0000_US"/>
  </r>
  <r>
    <x v="1"/>
    <n v="13.6906"/>
    <n v="-89.191299999999998"/>
    <n v="8550"/>
    <n v="0"/>
    <n v="0"/>
    <n v="102"/>
    <s v="_x0000_US"/>
  </r>
  <r>
    <x v="1"/>
    <n v="13.6906"/>
    <n v="-89.191199999999995"/>
    <n v="8550"/>
    <n v="0"/>
    <n v="0"/>
    <n v="102"/>
    <s v="_x0000_US"/>
  </r>
  <r>
    <x v="1"/>
    <n v="13.6905"/>
    <n v="-89.191199999999995"/>
    <n v="8550"/>
    <n v="0"/>
    <n v="0"/>
    <n v="102"/>
    <s v="_x0000_US"/>
  </r>
  <r>
    <x v="1"/>
    <n v="13.6904"/>
    <n v="-89.191000000000003"/>
    <n v="8550"/>
    <n v="0"/>
    <n v="0"/>
    <n v="102"/>
    <s v="_x0000_US"/>
  </r>
  <r>
    <x v="1"/>
    <n v="13.6905"/>
    <n v="-89.190700000000007"/>
    <n v="8550"/>
    <n v="0"/>
    <n v="0"/>
    <n v="102"/>
    <s v="_x0000_US"/>
  </r>
  <r>
    <x v="1"/>
    <n v="13.6904"/>
    <n v="-89.191000000000003"/>
    <n v="8550"/>
    <n v="0"/>
    <n v="0"/>
    <n v="102"/>
    <s v="_x0000_US"/>
  </r>
  <r>
    <x v="1"/>
    <n v="13.6904"/>
    <n v="-89.190899999999999"/>
    <n v="8550"/>
    <n v="0"/>
    <n v="0"/>
    <n v="102"/>
    <s v="_x0000_US"/>
  </r>
  <r>
    <x v="1"/>
    <n v="13.6904"/>
    <n v="-89.190899999999999"/>
    <n v="8550"/>
    <n v="0"/>
    <n v="0"/>
    <n v="102"/>
    <s v="_x0000_US"/>
  </r>
  <r>
    <x v="1"/>
    <n v="13.69"/>
    <n v="-89.190799999999996"/>
    <n v="8550"/>
    <n v="0"/>
    <n v="0"/>
    <n v="102"/>
    <s v="_x0000_US"/>
  </r>
  <r>
    <x v="1"/>
    <n v="13.6876"/>
    <n v="-89.193399999999997"/>
    <n v="8550"/>
    <n v="0"/>
    <n v="0"/>
    <n v="102"/>
    <s v="_x0000_US"/>
  </r>
  <r>
    <x v="1"/>
    <n v="13.6875"/>
    <n v="-89.193299999999994"/>
    <n v="8550"/>
    <n v="0"/>
    <n v="0"/>
    <n v="102"/>
    <s v="_x0000_US"/>
  </r>
  <r>
    <x v="1"/>
    <n v="13.6874"/>
    <n v="-89.193299999999994"/>
    <n v="8550"/>
    <n v="0"/>
    <n v="0"/>
    <n v="102"/>
    <s v="_x0000_US"/>
  </r>
  <r>
    <x v="1"/>
    <n v="13.686299999999999"/>
    <n v="-89.194699999999997"/>
    <n v="8550"/>
    <n v="0"/>
    <n v="0"/>
    <n v="102"/>
    <s v="_x0000_US"/>
  </r>
  <r>
    <x v="1"/>
    <n v="13.686199999999999"/>
    <n v="-89.194800000000001"/>
    <n v="8550"/>
    <n v="0"/>
    <n v="0"/>
    <n v="102"/>
    <s v="_x0000_US"/>
  </r>
  <r>
    <x v="1"/>
    <n v="13.686199999999999"/>
    <n v="-89.194900000000004"/>
    <n v="8550"/>
    <n v="0"/>
    <n v="0"/>
    <n v="102"/>
    <s v="_x0000_US"/>
  </r>
  <r>
    <x v="1"/>
    <n v="13.686199999999999"/>
    <n v="-89.194900000000004"/>
    <n v="8550"/>
    <n v="0"/>
    <n v="0"/>
    <n v="102"/>
    <s v="_x0000_US"/>
  </r>
  <r>
    <x v="1"/>
    <n v="13.686199999999999"/>
    <n v="-89.194999999999993"/>
    <n v="8550"/>
    <n v="0"/>
    <n v="0"/>
    <n v="102"/>
    <s v="_x0000_US"/>
  </r>
  <r>
    <x v="1"/>
    <n v="13.686199999999999"/>
    <n v="-89.194999999999993"/>
    <n v="8550"/>
    <n v="0"/>
    <n v="0"/>
    <n v="102"/>
    <s v="_x0000_US"/>
  </r>
  <r>
    <x v="1"/>
    <n v="13.6858"/>
    <n v="-89.195400000000006"/>
    <n v="8550"/>
    <n v="0"/>
    <n v="0"/>
    <n v="102"/>
    <s v="_x0000_US"/>
  </r>
  <r>
    <x v="1"/>
    <n v="13.6858"/>
    <n v="-89.195400000000006"/>
    <n v="8550"/>
    <n v="0"/>
    <n v="0"/>
    <n v="102"/>
    <s v="_x0000_US"/>
  </r>
  <r>
    <x v="1"/>
    <n v="13.6859"/>
    <n v="-89.195499999999996"/>
    <n v="8550"/>
    <n v="0"/>
    <n v="0"/>
    <n v="102"/>
    <s v="_x0000_US"/>
  </r>
  <r>
    <x v="1"/>
    <n v="13.686"/>
    <n v="-89.195400000000006"/>
    <n v="8550"/>
    <n v="0"/>
    <n v="0"/>
    <n v="102"/>
    <s v="_x0000_US"/>
  </r>
  <r>
    <x v="1"/>
    <n v="13.686"/>
    <n v="-89.195400000000006"/>
    <n v="8550"/>
    <n v="0"/>
    <n v="0"/>
    <n v="102"/>
    <s v="_x0000_US"/>
  </r>
  <r>
    <x v="1"/>
    <n v="13.6861"/>
    <n v="-89.1952"/>
    <n v="8550"/>
    <n v="0"/>
    <n v="0"/>
    <n v="102"/>
    <s v="_x0000_US"/>
  </r>
  <r>
    <x v="1"/>
    <n v="13.6858"/>
    <n v="-89.197000000000003"/>
    <n v="28700"/>
    <n v="0"/>
    <n v="0"/>
    <n v="102"/>
    <s v="_x0000_US"/>
  </r>
  <r>
    <x v="1"/>
    <n v="13.686"/>
    <n v="-89.196700000000007"/>
    <n v="8550"/>
    <n v="0"/>
    <n v="0"/>
    <n v="102"/>
    <s v="_x0000_US"/>
  </r>
  <r>
    <x v="1"/>
    <n v="13.686199999999999"/>
    <n v="-89.196399999999997"/>
    <n v="8550"/>
    <n v="0"/>
    <n v="0"/>
    <n v="102"/>
    <s v="_x0000_US"/>
  </r>
  <r>
    <x v="1"/>
    <n v="13.685499999999999"/>
    <n v="-89.1965"/>
    <n v="28700"/>
    <n v="0"/>
    <n v="0"/>
    <n v="102"/>
    <s v="_x0000_US"/>
  </r>
  <r>
    <x v="1"/>
    <n v="13.685700000000001"/>
    <n v="-89.197000000000003"/>
    <n v="28700"/>
    <n v="0"/>
    <n v="0"/>
    <n v="102"/>
    <s v="_x0000_US"/>
  </r>
  <r>
    <x v="1"/>
    <n v="13.6858"/>
    <n v="-89.197299999999998"/>
    <n v="28700"/>
    <n v="0"/>
    <n v="0"/>
    <n v="102"/>
    <s v="_x0000_US"/>
  </r>
  <r>
    <x v="1"/>
    <n v="13.6859"/>
    <n v="-89.197400000000002"/>
    <n v="28700"/>
    <n v="0"/>
    <n v="0"/>
    <n v="102"/>
    <s v="_x0000_US"/>
  </r>
  <r>
    <x v="1"/>
    <n v="13.6859"/>
    <n v="-89.197500000000005"/>
    <n v="28700"/>
    <n v="0"/>
    <n v="0"/>
    <n v="102"/>
    <s v="_x0000_US"/>
  </r>
  <r>
    <x v="1"/>
    <n v="13.686"/>
    <n v="-89.197599999999994"/>
    <n v="8550"/>
    <n v="0"/>
    <n v="0"/>
    <n v="102"/>
    <s v="_x0000_US"/>
  </r>
  <r>
    <x v="1"/>
    <n v="13.687900000000001"/>
    <n v="-89.192400000000006"/>
    <n v="12580"/>
    <n v="0"/>
    <n v="0"/>
    <n v="102"/>
    <s v="_x0000_US"/>
  </r>
  <r>
    <x v="1"/>
    <n v="13.687900000000001"/>
    <n v="-89.192400000000006"/>
    <n v="12580"/>
    <n v="0"/>
    <n v="0"/>
    <n v="102"/>
    <s v="_x0000_US"/>
  </r>
  <r>
    <x v="1"/>
    <n v="13.687900000000001"/>
    <n v="-89.192400000000006"/>
    <n v="12580"/>
    <n v="0"/>
    <n v="0"/>
    <n v="102"/>
    <s v="_x0000_US"/>
  </r>
  <r>
    <x v="1"/>
    <n v="13.687900000000001"/>
    <n v="-89.192499999999995"/>
    <n v="12580"/>
    <n v="0"/>
    <n v="0"/>
    <n v="102"/>
    <s v="_x0000_US"/>
  </r>
  <r>
    <x v="1"/>
    <n v="13.687900000000001"/>
    <n v="-89.192499999999995"/>
    <n v="12580"/>
    <n v="0"/>
    <n v="0"/>
    <n v="102"/>
    <s v="_x0000_US"/>
  </r>
  <r>
    <x v="1"/>
    <n v="13.687799999999999"/>
    <n v="-89.192300000000003"/>
    <n v="12580"/>
    <n v="0"/>
    <n v="0"/>
    <n v="102"/>
    <s v="_x0000_US"/>
  </r>
  <r>
    <x v="1"/>
    <n v="13.687799999999999"/>
    <n v="-89.192300000000003"/>
    <n v="12580"/>
    <n v="0"/>
    <n v="0"/>
    <n v="102"/>
    <s v="_x0000_US"/>
  </r>
  <r>
    <x v="1"/>
    <n v="13.687799999999999"/>
    <n v="-89.192300000000003"/>
    <n v="12580"/>
    <n v="0"/>
    <n v="0"/>
    <n v="102"/>
    <s v="_x0000_US"/>
  </r>
  <r>
    <x v="1"/>
    <n v="13.687799999999999"/>
    <n v="-89.192400000000006"/>
    <n v="12580"/>
    <n v="0"/>
    <n v="0"/>
    <n v="102"/>
    <s v="_x0000_US"/>
  </r>
  <r>
    <x v="1"/>
    <n v="13.687799999999999"/>
    <n v="-89.191199999999995"/>
    <n v="9980"/>
    <n v="0"/>
    <n v="0"/>
    <n v="102"/>
    <s v="_x0000_US"/>
  </r>
  <r>
    <x v="1"/>
    <n v="13.687799999999999"/>
    <n v="-89.191199999999995"/>
    <n v="9980"/>
    <n v="0"/>
    <n v="0"/>
    <n v="102"/>
    <s v="_x0000_US"/>
  </r>
  <r>
    <x v="1"/>
    <n v="13.687799999999999"/>
    <n v="-89.191199999999995"/>
    <n v="9980"/>
    <n v="0"/>
    <n v="0"/>
    <n v="102"/>
    <s v="_x0000_US"/>
  </r>
  <r>
    <x v="1"/>
    <n v="13.687799999999999"/>
    <n v="-89.191199999999995"/>
    <n v="9980"/>
    <n v="0"/>
    <n v="0"/>
    <n v="102"/>
    <s v="_x0000_US"/>
  </r>
  <r>
    <x v="1"/>
    <n v="13.687799999999999"/>
    <n v="-89.191199999999995"/>
    <n v="9980"/>
    <n v="0"/>
    <n v="0"/>
    <n v="102"/>
    <s v="_x0000_US"/>
  </r>
  <r>
    <x v="1"/>
    <n v="13.687900000000001"/>
    <n v="-89.191100000000006"/>
    <n v="9980"/>
    <n v="0"/>
    <n v="0"/>
    <n v="102"/>
    <s v="_x0000_US"/>
  </r>
  <r>
    <x v="1"/>
    <n v="13.687900000000001"/>
    <n v="-89.191100000000006"/>
    <n v="9980"/>
    <n v="0"/>
    <n v="0"/>
    <n v="102"/>
    <s v="_x0000_US"/>
  </r>
  <r>
    <x v="1"/>
    <n v="13.687900000000001"/>
    <n v="-89.191100000000006"/>
    <n v="9980"/>
    <n v="0"/>
    <n v="0"/>
    <n v="102"/>
    <s v="_x0000_US"/>
  </r>
  <r>
    <x v="1"/>
    <n v="13.687900000000001"/>
    <n v="-89.191100000000006"/>
    <n v="9980"/>
    <n v="0"/>
    <n v="0"/>
    <n v="102"/>
    <s v="_x0000_US"/>
  </r>
  <r>
    <x v="1"/>
    <n v="13.687900000000001"/>
    <n v="-89.191100000000006"/>
    <n v="9980"/>
    <n v="0"/>
    <n v="0"/>
    <n v="102"/>
    <s v="_x0000_US"/>
  </r>
  <r>
    <x v="1"/>
    <n v="13.687900000000001"/>
    <n v="-89.191199999999995"/>
    <n v="9980"/>
    <n v="0"/>
    <n v="0"/>
    <n v="102"/>
    <s v="_x0000_US"/>
  </r>
  <r>
    <x v="1"/>
    <n v="13.687900000000001"/>
    <n v="-89.191199999999995"/>
    <n v="9980"/>
    <n v="0"/>
    <n v="0"/>
    <n v="102"/>
    <s v="_x0000_US"/>
  </r>
  <r>
    <x v="1"/>
    <n v="13.687900000000001"/>
    <n v="-89.191199999999995"/>
    <n v="9980"/>
    <n v="0"/>
    <n v="0"/>
    <n v="102"/>
    <s v="_x0000_US"/>
  </r>
  <r>
    <x v="1"/>
    <n v="13.687900000000001"/>
    <n v="-89.191199999999995"/>
    <n v="9980"/>
    <n v="0"/>
    <n v="0"/>
    <n v="102"/>
    <s v="_x0000_US"/>
  </r>
  <r>
    <x v="1"/>
    <n v="13.687900000000001"/>
    <n v="-89.191199999999995"/>
    <n v="9980"/>
    <n v="0"/>
    <n v="0"/>
    <n v="102"/>
    <s v="_x0000_US"/>
  </r>
  <r>
    <x v="1"/>
    <n v="13.688000000000001"/>
    <n v="-89.191199999999995"/>
    <n v="9980"/>
    <n v="0"/>
    <n v="0"/>
    <n v="102"/>
    <s v="_x0000_US"/>
  </r>
  <r>
    <x v="1"/>
    <n v="13.688000000000001"/>
    <n v="-89.191199999999995"/>
    <n v="9980"/>
    <n v="0"/>
    <n v="0"/>
    <n v="102"/>
    <s v="_x0000_US"/>
  </r>
  <r>
    <x v="1"/>
    <n v="13.688000000000001"/>
    <n v="-89.191199999999995"/>
    <n v="9980"/>
    <n v="0"/>
    <n v="0"/>
    <n v="102"/>
    <s v="_x0000_US"/>
  </r>
  <r>
    <x v="1"/>
    <n v="13.688000000000001"/>
    <n v="-89.191199999999995"/>
    <n v="9980"/>
    <n v="0"/>
    <n v="0"/>
    <n v="102"/>
    <s v="_x0000_US"/>
  </r>
  <r>
    <x v="1"/>
    <n v="13.687900000000001"/>
    <n v="-89.190899999999999"/>
    <n v="9980"/>
    <n v="0"/>
    <n v="0"/>
    <n v="102"/>
    <s v="_x0000_US"/>
  </r>
  <r>
    <x v="1"/>
    <n v="13.687900000000001"/>
    <n v="-89.190899999999999"/>
    <n v="9980"/>
    <n v="0"/>
    <n v="0"/>
    <n v="102"/>
    <s v="_x0000_US"/>
  </r>
  <r>
    <x v="1"/>
    <n v="13.687900000000001"/>
    <n v="-89.190899999999999"/>
    <n v="9980"/>
    <n v="0"/>
    <n v="0"/>
    <n v="102"/>
    <s v="_x0000_US"/>
  </r>
  <r>
    <x v="1"/>
    <n v="13.687900000000001"/>
    <n v="-89.190899999999999"/>
    <n v="9980"/>
    <n v="0"/>
    <n v="0"/>
    <n v="102"/>
    <s v="_x0000_US"/>
  </r>
  <r>
    <x v="1"/>
    <n v="13.687900000000001"/>
    <n v="-89.190899999999999"/>
    <n v="9980"/>
    <n v="0"/>
    <n v="0"/>
    <n v="102"/>
    <s v="_x0000_US"/>
  </r>
  <r>
    <x v="1"/>
    <n v="13.687900000000001"/>
    <n v="-89.190899999999999"/>
    <n v="9980"/>
    <n v="0"/>
    <n v="0"/>
    <n v="102"/>
    <s v="_x0000_US"/>
  </r>
  <r>
    <x v="1"/>
    <n v="13.688000000000001"/>
    <n v="-89.190799999999996"/>
    <n v="9980"/>
    <n v="0"/>
    <n v="0"/>
    <n v="102"/>
    <s v="_x0000_US"/>
  </r>
  <r>
    <x v="1"/>
    <n v="13.688000000000001"/>
    <n v="-89.190799999999996"/>
    <n v="9980"/>
    <n v="0"/>
    <n v="0"/>
    <n v="102"/>
    <s v="_x0000_US"/>
  </r>
  <r>
    <x v="1"/>
    <n v="13.688000000000001"/>
    <n v="-89.190799999999996"/>
    <n v="9980"/>
    <n v="0"/>
    <n v="0"/>
    <n v="102"/>
    <s v="_x0000_US"/>
  </r>
  <r>
    <x v="1"/>
    <n v="13.688000000000001"/>
    <n v="-89.190700000000007"/>
    <n v="9980"/>
    <n v="0"/>
    <n v="0"/>
    <n v="102"/>
    <s v="_x0000_US"/>
  </r>
  <r>
    <x v="1"/>
    <n v="13.688000000000001"/>
    <n v="-89.190700000000007"/>
    <n v="9980"/>
    <n v="0"/>
    <n v="0"/>
    <n v="102"/>
    <s v="_x0000_US"/>
  </r>
  <r>
    <x v="1"/>
    <n v="13.688000000000001"/>
    <n v="-89.190700000000007"/>
    <n v="9980"/>
    <n v="0"/>
    <n v="0"/>
    <n v="102"/>
    <s v="_x0000_US"/>
  </r>
  <r>
    <x v="1"/>
    <n v="13.687900000000001"/>
    <n v="-89.190600000000003"/>
    <n v="9980"/>
    <n v="0"/>
    <n v="0"/>
    <n v="102"/>
    <s v="_x0000_US"/>
  </r>
  <r>
    <x v="1"/>
    <n v="13.687900000000001"/>
    <n v="-89.190600000000003"/>
    <n v="9980"/>
    <n v="0"/>
    <n v="0"/>
    <n v="102"/>
    <s v="_x0000_US"/>
  </r>
  <r>
    <x v="1"/>
    <n v="13.687900000000001"/>
    <n v="-89.190600000000003"/>
    <n v="9980"/>
    <n v="0"/>
    <n v="0"/>
    <n v="102"/>
    <s v="_x0000_US"/>
  </r>
  <r>
    <x v="1"/>
    <n v="13.687900000000001"/>
    <n v="-89.190600000000003"/>
    <n v="9980"/>
    <n v="0"/>
    <n v="0"/>
    <n v="102"/>
    <s v="_x0000_US"/>
  </r>
  <r>
    <x v="1"/>
    <n v="13.687900000000001"/>
    <n v="-89.190600000000003"/>
    <n v="9980"/>
    <n v="0"/>
    <n v="0"/>
    <n v="102"/>
    <s v="_x0000_US"/>
  </r>
  <r>
    <x v="1"/>
    <n v="13.687799999999999"/>
    <n v="-89.190700000000007"/>
    <n v="9980"/>
    <n v="0"/>
    <n v="0"/>
    <n v="102"/>
    <s v="_x0000_US"/>
  </r>
  <r>
    <x v="1"/>
    <n v="13.687799999999999"/>
    <n v="-89.190700000000007"/>
    <n v="9980"/>
    <n v="0"/>
    <n v="0"/>
    <n v="102"/>
    <s v="_x0000_US"/>
  </r>
  <r>
    <x v="1"/>
    <n v="13.687799999999999"/>
    <n v="-89.190700000000007"/>
    <n v="9980"/>
    <n v="0"/>
    <n v="0"/>
    <n v="102"/>
    <s v="_x0000_US"/>
  </r>
  <r>
    <x v="1"/>
    <n v="13.688000000000001"/>
    <n v="-89.190899999999999"/>
    <n v="9980"/>
    <n v="0"/>
    <n v="0"/>
    <n v="102"/>
    <s v="_x0000_US"/>
  </r>
  <r>
    <x v="1"/>
    <n v="13.688000000000001"/>
    <n v="-89.190899999999999"/>
    <n v="9980"/>
    <n v="0"/>
    <n v="0"/>
    <n v="102"/>
    <s v="_x0000_US"/>
  </r>
  <r>
    <x v="1"/>
    <n v="13.688000000000001"/>
    <n v="-89.190899999999999"/>
    <n v="9980"/>
    <n v="0"/>
    <n v="0"/>
    <n v="102"/>
    <s v="_x0000_US"/>
  </r>
  <r>
    <x v="1"/>
    <n v="13.688000000000001"/>
    <n v="-89.190899999999999"/>
    <n v="9980"/>
    <n v="0"/>
    <n v="0"/>
    <n v="102"/>
    <s v="_x0000_US"/>
  </r>
  <r>
    <x v="1"/>
    <n v="13.688000000000001"/>
    <n v="-89.190899999999999"/>
    <n v="9980"/>
    <n v="0"/>
    <n v="0"/>
    <n v="102"/>
    <s v="_x0000_US"/>
  </r>
  <r>
    <x v="1"/>
    <n v="13.688000000000001"/>
    <n v="-89.190899999999999"/>
    <n v="9980"/>
    <n v="0"/>
    <n v="0"/>
    <n v="102"/>
    <s v="_x0000_US"/>
  </r>
  <r>
    <x v="1"/>
    <n v="13.688000000000001"/>
    <n v="-89.190899999999999"/>
    <n v="9980"/>
    <n v="0"/>
    <n v="0"/>
    <n v="102"/>
    <s v="_x0000_US"/>
  </r>
  <r>
    <x v="1"/>
    <n v="13.688000000000001"/>
    <n v="-89.190899999999999"/>
    <n v="9980"/>
    <n v="0"/>
    <n v="0"/>
    <n v="102"/>
    <s v="_x0000_US"/>
  </r>
  <r>
    <x v="1"/>
    <n v="13.6881"/>
    <n v="-89.190600000000003"/>
    <n v="9980"/>
    <n v="0"/>
    <n v="0"/>
    <n v="102"/>
    <s v="_x0000_US"/>
  </r>
  <r>
    <x v="1"/>
    <n v="13.6881"/>
    <n v="-89.190600000000003"/>
    <n v="9980"/>
    <n v="0"/>
    <n v="0"/>
    <n v="102"/>
    <s v="_x0000_US"/>
  </r>
  <r>
    <x v="1"/>
    <n v="13.6881"/>
    <n v="-89.190600000000003"/>
    <n v="9980"/>
    <n v="0"/>
    <n v="0"/>
    <n v="102"/>
    <s v="_x0000_US"/>
  </r>
  <r>
    <x v="1"/>
    <n v="13.6881"/>
    <n v="-89.190600000000003"/>
    <n v="9980"/>
    <n v="0"/>
    <n v="0"/>
    <n v="102"/>
    <s v="_x0000_US"/>
  </r>
  <r>
    <x v="1"/>
    <n v="13.6881"/>
    <n v="-89.1905"/>
    <n v="9980"/>
    <n v="0"/>
    <n v="0"/>
    <n v="102"/>
    <s v="_x0000_US"/>
  </r>
  <r>
    <x v="1"/>
    <n v="13.6881"/>
    <n v="-89.1905"/>
    <n v="9980"/>
    <n v="0"/>
    <n v="0"/>
    <n v="102"/>
    <s v="_x0000_US"/>
  </r>
  <r>
    <x v="1"/>
    <n v="13.6881"/>
    <n v="-89.1905"/>
    <n v="9980"/>
    <n v="0"/>
    <n v="0"/>
    <n v="102"/>
    <s v="_x0000_US"/>
  </r>
  <r>
    <x v="1"/>
    <n v="13.6881"/>
    <n v="-89.1905"/>
    <n v="9980"/>
    <n v="0"/>
    <n v="0"/>
    <n v="102"/>
    <s v="_x0000_US"/>
  </r>
  <r>
    <x v="1"/>
    <n v="13.6881"/>
    <n v="-89.1905"/>
    <n v="9980"/>
    <n v="0"/>
    <n v="0"/>
    <n v="102"/>
    <s v="_x0000_US"/>
  </r>
  <r>
    <x v="1"/>
    <n v="13.6881"/>
    <n v="-89.1905"/>
    <n v="9980"/>
    <n v="0"/>
    <n v="0"/>
    <n v="102"/>
    <s v="_x0000_US"/>
  </r>
  <r>
    <x v="1"/>
    <n v="13.6881"/>
    <n v="-89.1905"/>
    <n v="9980"/>
    <n v="0"/>
    <n v="0"/>
    <n v="102"/>
    <s v="_x0000_US"/>
  </r>
  <r>
    <x v="1"/>
    <n v="13.6881"/>
    <n v="-89.1905"/>
    <n v="9980"/>
    <n v="0"/>
    <n v="0"/>
    <n v="102"/>
    <s v="_x0000_US"/>
  </r>
  <r>
    <x v="1"/>
    <n v="13.6881"/>
    <n v="-89.190399999999997"/>
    <n v="9980"/>
    <n v="0"/>
    <n v="0"/>
    <n v="102"/>
    <s v="_x0000_US"/>
  </r>
  <r>
    <x v="1"/>
    <n v="13.688000000000001"/>
    <n v="-89.1905"/>
    <n v="9980"/>
    <n v="0"/>
    <n v="0"/>
    <n v="102"/>
    <s v="_x0000_US"/>
  </r>
  <r>
    <x v="1"/>
    <n v="13.688000000000001"/>
    <n v="-89.1905"/>
    <n v="9980"/>
    <n v="0"/>
    <n v="0"/>
    <n v="102"/>
    <s v="_x0000_US"/>
  </r>
  <r>
    <x v="1"/>
    <n v="13.688000000000001"/>
    <n v="-89.1905"/>
    <n v="9980"/>
    <n v="0"/>
    <n v="0"/>
    <n v="102"/>
    <s v="_x0000_US"/>
  </r>
  <r>
    <x v="1"/>
    <n v="13.688000000000001"/>
    <n v="-89.1905"/>
    <n v="9980"/>
    <n v="0"/>
    <n v="0"/>
    <n v="102"/>
    <s v="_x0000_US"/>
  </r>
  <r>
    <x v="1"/>
    <n v="13.6881"/>
    <n v="-89.190299999999993"/>
    <n v="9980"/>
    <n v="0"/>
    <n v="0"/>
    <n v="102"/>
    <s v="_x0000_US"/>
  </r>
  <r>
    <x v="1"/>
    <n v="13.687900000000001"/>
    <n v="-89.190200000000004"/>
    <n v="9200"/>
    <n v="0"/>
    <n v="0"/>
    <n v="102"/>
    <s v="_x0000_US"/>
  </r>
  <r>
    <x v="1"/>
    <n v="13.687900000000001"/>
    <n v="-89.190200000000004"/>
    <n v="9200"/>
    <n v="0"/>
    <n v="0"/>
    <n v="102"/>
    <s v="_x0000_US"/>
  </r>
  <r>
    <x v="1"/>
    <n v="13.687900000000001"/>
    <n v="-89.190100000000001"/>
    <n v="9200"/>
    <n v="0"/>
    <n v="0"/>
    <n v="102"/>
    <s v="_x0000_US"/>
  </r>
  <r>
    <x v="1"/>
    <n v="13.687900000000001"/>
    <n v="-89.190100000000001"/>
    <n v="9200"/>
    <n v="0"/>
    <n v="0"/>
    <n v="102"/>
    <s v="_x0000_US"/>
  </r>
  <r>
    <x v="1"/>
    <n v="13.687900000000001"/>
    <n v="-89.19"/>
    <n v="9200"/>
    <n v="0"/>
    <n v="0"/>
    <n v="102"/>
    <s v="_x0000_US"/>
  </r>
  <r>
    <x v="1"/>
    <n v="13.687799999999999"/>
    <n v="-89.19"/>
    <n v="9200"/>
    <n v="0"/>
    <n v="0"/>
    <n v="102"/>
    <s v="_x0000_US"/>
  </r>
  <r>
    <x v="1"/>
    <n v="13.687799999999999"/>
    <n v="-89.190100000000001"/>
    <n v="9200"/>
    <n v="0"/>
    <n v="0"/>
    <n v="102"/>
    <s v="_x0000_US"/>
  </r>
  <r>
    <x v="1"/>
    <n v="13.687799999999999"/>
    <n v="-89.190100000000001"/>
    <n v="9200"/>
    <n v="0"/>
    <n v="0"/>
    <n v="102"/>
    <s v="_x0000_US"/>
  </r>
  <r>
    <x v="1"/>
    <n v="13.687799999999999"/>
    <n v="-89.190200000000004"/>
    <n v="9200"/>
    <n v="0"/>
    <n v="0"/>
    <n v="102"/>
    <s v="_x0000_US"/>
  </r>
  <r>
    <x v="1"/>
    <n v="13.687799999999999"/>
    <n v="-89.190200000000004"/>
    <n v="9200"/>
    <n v="0"/>
    <n v="0"/>
    <n v="102"/>
    <s v="_x0000_US"/>
  </r>
  <r>
    <x v="1"/>
    <n v="13.687799999999999"/>
    <n v="-89.190200000000004"/>
    <n v="9200"/>
    <n v="0"/>
    <n v="0"/>
    <n v="102"/>
    <s v="_x0000_US"/>
  </r>
  <r>
    <x v="1"/>
    <n v="13.687799999999999"/>
    <n v="-89.190200000000004"/>
    <n v="9200"/>
    <n v="0"/>
    <n v="0"/>
    <n v="102"/>
    <s v="_x0000_US"/>
  </r>
  <r>
    <x v="1"/>
    <n v="13.687799999999999"/>
    <n v="-89.190299999999993"/>
    <n v="9200"/>
    <n v="0"/>
    <n v="0"/>
    <n v="102"/>
    <s v="_x0000_US"/>
  </r>
  <r>
    <x v="1"/>
    <n v="13.687799999999999"/>
    <n v="-89.190299999999993"/>
    <n v="9200"/>
    <n v="0"/>
    <n v="0"/>
    <n v="102"/>
    <s v="_x0000_US"/>
  </r>
  <r>
    <x v="1"/>
    <n v="13.687799999999999"/>
    <n v="-89.1905"/>
    <n v="9200"/>
    <n v="0"/>
    <n v="0"/>
    <n v="102"/>
    <s v="_x0000_US"/>
  </r>
  <r>
    <x v="1"/>
    <n v="13.6877"/>
    <n v="-89.1905"/>
    <n v="9200"/>
    <n v="0"/>
    <n v="0"/>
    <n v="102"/>
    <s v="_x0000_US"/>
  </r>
  <r>
    <x v="1"/>
    <n v="13.6877"/>
    <n v="-89.1905"/>
    <n v="9200"/>
    <n v="0"/>
    <n v="0"/>
    <n v="102"/>
    <s v="_x0000_US"/>
  </r>
  <r>
    <x v="1"/>
    <n v="13.6877"/>
    <n v="-89.190399999999997"/>
    <n v="9200"/>
    <n v="0"/>
    <n v="0"/>
    <n v="102"/>
    <s v="_x0000_US"/>
  </r>
  <r>
    <x v="1"/>
    <n v="13.6877"/>
    <n v="-89.190399999999997"/>
    <n v="9200"/>
    <n v="0"/>
    <n v="0"/>
    <n v="102"/>
    <s v="_x0000_US"/>
  </r>
  <r>
    <x v="1"/>
    <n v="13.6877"/>
    <n v="-89.190299999999993"/>
    <n v="9200"/>
    <n v="0"/>
    <n v="0"/>
    <n v="102"/>
    <s v="_x0000_US"/>
  </r>
  <r>
    <x v="1"/>
    <n v="13.6877"/>
    <n v="-89.190299999999993"/>
    <n v="9200"/>
    <n v="0"/>
    <n v="0"/>
    <n v="102"/>
    <s v="_x0000_US"/>
  </r>
  <r>
    <x v="1"/>
    <n v="13.6876"/>
    <n v="-89.190299999999993"/>
    <n v="9200"/>
    <n v="0"/>
    <n v="0"/>
    <n v="102"/>
    <s v="_x0000_US"/>
  </r>
  <r>
    <x v="1"/>
    <n v="13.6877"/>
    <n v="-89.190299999999993"/>
    <n v="9200"/>
    <n v="0"/>
    <n v="0"/>
    <n v="102"/>
    <s v="_x0000_US"/>
  </r>
  <r>
    <x v="1"/>
    <n v="13.6876"/>
    <n v="-89.190200000000004"/>
    <n v="9200"/>
    <n v="0"/>
    <n v="0"/>
    <n v="102"/>
    <s v="_x0000_US"/>
  </r>
  <r>
    <x v="1"/>
    <n v="13.6876"/>
    <n v="-89.190100000000001"/>
    <n v="9200"/>
    <n v="0"/>
    <n v="0"/>
    <n v="102"/>
    <s v="_x0000_US"/>
  </r>
  <r>
    <x v="1"/>
    <n v="13.6876"/>
    <n v="-89.190200000000004"/>
    <n v="9200"/>
    <n v="0"/>
    <n v="0"/>
    <n v="102"/>
    <s v="_x0000_US"/>
  </r>
  <r>
    <x v="1"/>
    <n v="13.6875"/>
    <n v="-89.190200000000004"/>
    <n v="9200"/>
    <n v="0"/>
    <n v="0"/>
    <n v="102"/>
    <s v="_x0000_US"/>
  </r>
  <r>
    <x v="1"/>
    <n v="13.687900000000001"/>
    <n v="-89.183499999999995"/>
    <n v="11540"/>
    <n v="0"/>
    <n v="0"/>
    <n v="102"/>
    <s v="_x0000_US"/>
  </r>
  <r>
    <x v="1"/>
    <n v="13.688000000000001"/>
    <n v="-89.183899999999994"/>
    <n v="11540"/>
    <n v="0"/>
    <n v="0"/>
    <n v="102"/>
    <s v="_x0000_US"/>
  </r>
  <r>
    <x v="1"/>
    <n v="13.6881"/>
    <n v="-89.183800000000005"/>
    <n v="11540"/>
    <n v="0"/>
    <n v="0"/>
    <n v="102"/>
    <s v="_x0000_US"/>
  </r>
  <r>
    <x v="1"/>
    <n v="13.688000000000001"/>
    <n v="-89.183800000000005"/>
    <n v="11540"/>
    <n v="0"/>
    <n v="0"/>
    <n v="102"/>
    <s v="_x0000_US"/>
  </r>
  <r>
    <x v="1"/>
    <n v="13.688000000000001"/>
    <n v="-89.183800000000005"/>
    <n v="11540"/>
    <n v="0"/>
    <n v="0"/>
    <n v="102"/>
    <s v="_x0000_US"/>
  </r>
  <r>
    <x v="1"/>
    <n v="13.688000000000001"/>
    <n v="-89.183800000000005"/>
    <n v="11540"/>
    <n v="0"/>
    <n v="0"/>
    <n v="102"/>
    <s v="_x0000_US"/>
  </r>
  <r>
    <x v="1"/>
    <n v="13.688000000000001"/>
    <n v="-89.183700000000002"/>
    <n v="11540"/>
    <n v="0"/>
    <n v="0"/>
    <n v="102"/>
    <s v="_x0000_US"/>
  </r>
  <r>
    <x v="1"/>
    <n v="13.688000000000001"/>
    <n v="-89.183599999999998"/>
    <n v="11540"/>
    <n v="0"/>
    <n v="0"/>
    <n v="102"/>
    <s v="_x0000_US"/>
  </r>
  <r>
    <x v="1"/>
    <n v="13.687900000000001"/>
    <n v="-89.183599999999998"/>
    <n v="11540"/>
    <n v="0"/>
    <n v="0"/>
    <n v="102"/>
    <s v="_x0000_US"/>
  </r>
  <r>
    <x v="1"/>
    <n v="13.687900000000001"/>
    <n v="-89.183700000000002"/>
    <n v="11540"/>
    <n v="0"/>
    <n v="0"/>
    <n v="102"/>
    <s v="_x0000_US"/>
  </r>
  <r>
    <x v="1"/>
    <n v="13.687900000000001"/>
    <n v="-89.183700000000002"/>
    <n v="11540"/>
    <n v="0"/>
    <n v="0"/>
    <n v="102"/>
    <s v="_x0000_US"/>
  </r>
  <r>
    <x v="1"/>
    <n v="13.687900000000001"/>
    <n v="-89.183800000000005"/>
    <n v="11540"/>
    <n v="0"/>
    <n v="0"/>
    <n v="102"/>
    <s v="_x0000_US"/>
  </r>
  <r>
    <x v="1"/>
    <n v="13.688000000000001"/>
    <n v="-89.183899999999994"/>
    <n v="11540"/>
    <n v="0"/>
    <n v="0"/>
    <n v="102"/>
    <s v="_x0000_US"/>
  </r>
  <r>
    <x v="1"/>
    <n v="13.687900000000001"/>
    <n v="-89.183899999999994"/>
    <n v="11540"/>
    <n v="0"/>
    <n v="0"/>
    <n v="102"/>
    <s v="_x0000_US"/>
  </r>
  <r>
    <x v="1"/>
    <n v="13.687900000000001"/>
    <n v="-89.183899999999994"/>
    <n v="11540"/>
    <n v="0"/>
    <n v="0"/>
    <n v="102"/>
    <s v="_x0000_US"/>
  </r>
  <r>
    <x v="1"/>
    <n v="13.687799999999999"/>
    <n v="-89.183899999999994"/>
    <n v="11540"/>
    <n v="0"/>
    <n v="0"/>
    <n v="102"/>
    <s v="_x0000_US"/>
  </r>
  <r>
    <x v="1"/>
    <n v="13.687799999999999"/>
    <n v="-89.183899999999994"/>
    <n v="11540"/>
    <n v="0"/>
    <n v="0"/>
    <n v="102"/>
    <s v="_x0000_US"/>
  </r>
  <r>
    <x v="1"/>
    <n v="13.687799999999999"/>
    <n v="-89.183899999999994"/>
    <n v="11540"/>
    <n v="0"/>
    <n v="0"/>
    <n v="102"/>
    <s v="_x0000_US"/>
  </r>
  <r>
    <x v="1"/>
    <n v="13.687799999999999"/>
    <n v="-89.183599999999998"/>
    <n v="11540"/>
    <n v="0"/>
    <n v="0"/>
    <n v="102"/>
    <s v="_x0000_US"/>
  </r>
  <r>
    <x v="1"/>
    <n v="13.6904"/>
    <n v="-89.181899999999999"/>
    <n v="11540"/>
    <n v="0"/>
    <n v="0"/>
    <n v="102"/>
    <s v="_x0000_US"/>
  </r>
  <r>
    <x v="1"/>
    <n v="13.6904"/>
    <n v="-89.181799999999996"/>
    <n v="11540"/>
    <n v="0"/>
    <n v="0"/>
    <n v="102"/>
    <s v="_x0000_US"/>
  </r>
  <r>
    <x v="1"/>
    <n v="13.690300000000001"/>
    <n v="-89.181799999999996"/>
    <n v="11540"/>
    <n v="0"/>
    <n v="0"/>
    <n v="102"/>
    <s v="_x0000_US"/>
  </r>
  <r>
    <x v="1"/>
    <n v="13.6904"/>
    <n v="-89.181700000000006"/>
    <n v="11540"/>
    <n v="0"/>
    <n v="0"/>
    <n v="102"/>
    <s v="_x0000_US"/>
  </r>
  <r>
    <x v="1"/>
    <n v="13.6905"/>
    <n v="-89.181700000000006"/>
    <n v="11540"/>
    <n v="0"/>
    <n v="0"/>
    <n v="102"/>
    <s v="_x0000_US"/>
  </r>
  <r>
    <x v="1"/>
    <n v="13.6906"/>
    <n v="-89.181899999999999"/>
    <n v="11540"/>
    <n v="0"/>
    <n v="0"/>
    <n v="102"/>
    <s v="_x0000_US"/>
  </r>
  <r>
    <x v="1"/>
    <n v="13.6906"/>
    <n v="-89.181899999999999"/>
    <n v="11540"/>
    <n v="0"/>
    <n v="0"/>
    <n v="102"/>
    <s v="_x0000_US"/>
  </r>
  <r>
    <x v="1"/>
    <n v="13.6906"/>
    <n v="-89.181700000000006"/>
    <n v="11540"/>
    <n v="0"/>
    <n v="0"/>
    <n v="102"/>
    <s v="_x0000_US"/>
  </r>
  <r>
    <x v="1"/>
    <n v="13.6905"/>
    <n v="-89.181700000000006"/>
    <n v="11540"/>
    <n v="0"/>
    <n v="0"/>
    <n v="102"/>
    <s v="_x0000_US"/>
  </r>
  <r>
    <x v="1"/>
    <n v="13.6907"/>
    <n v="-89.181799999999996"/>
    <n v="11540"/>
    <n v="0"/>
    <n v="0"/>
    <n v="102"/>
    <s v="_x0000_US"/>
  </r>
  <r>
    <x v="1"/>
    <n v="13.6907"/>
    <n v="-89.181899999999999"/>
    <n v="11540"/>
    <n v="0"/>
    <n v="0"/>
    <n v="102"/>
    <s v="_x0000_US"/>
  </r>
  <r>
    <x v="1"/>
    <n v="13.690799999999999"/>
    <n v="-89.181899999999999"/>
    <n v="11540"/>
    <n v="0"/>
    <n v="0"/>
    <n v="102"/>
    <s v="_x0000_US"/>
  </r>
  <r>
    <x v="1"/>
    <n v="13.690799999999999"/>
    <n v="-89.181799999999996"/>
    <n v="11540"/>
    <n v="0"/>
    <n v="0"/>
    <n v="102"/>
    <s v="_x0000_US"/>
  </r>
  <r>
    <x v="1"/>
    <n v="13.690799999999999"/>
    <n v="-89.181700000000006"/>
    <n v="11540"/>
    <n v="0"/>
    <n v="0"/>
    <n v="102"/>
    <s v="_x0000_US"/>
  </r>
  <r>
    <x v="1"/>
    <n v="13.6907"/>
    <n v="-89.181700000000006"/>
    <n v="11540"/>
    <n v="0"/>
    <n v="0"/>
    <n v="102"/>
    <s v="_x0000_US"/>
  </r>
  <r>
    <x v="1"/>
    <n v="13.690899999999999"/>
    <n v="-89.180999999999997"/>
    <n v="11540"/>
    <n v="0"/>
    <n v="0"/>
    <n v="102"/>
    <s v="_x0000_US"/>
  </r>
  <r>
    <x v="1"/>
    <n v="13.691000000000001"/>
    <n v="-89.180800000000005"/>
    <n v="11540"/>
    <n v="0"/>
    <n v="0"/>
    <n v="102"/>
    <s v="_x0000_US"/>
  </r>
  <r>
    <x v="1"/>
    <n v="13.690899999999999"/>
    <n v="-89.180899999999994"/>
    <n v="11540"/>
    <n v="0"/>
    <n v="0"/>
    <n v="102"/>
    <s v="_x0000_US"/>
  </r>
  <r>
    <x v="1"/>
    <n v="13.691000000000001"/>
    <n v="-89.180700000000002"/>
    <n v="11540"/>
    <n v="0"/>
    <n v="0"/>
    <n v="102"/>
    <s v="_x0000_US"/>
  </r>
  <r>
    <x v="1"/>
    <n v="13.691000000000001"/>
    <n v="-89.180700000000002"/>
    <n v="11540"/>
    <n v="0"/>
    <n v="0"/>
    <n v="102"/>
    <s v="_x0000_US"/>
  </r>
  <r>
    <x v="1"/>
    <n v="13.690899999999999"/>
    <n v="-89.180599999999998"/>
    <n v="11540"/>
    <n v="0"/>
    <n v="0"/>
    <n v="102"/>
    <s v="_x0000_US"/>
  </r>
  <r>
    <x v="1"/>
    <n v="13.691000000000001"/>
    <n v="-89.180400000000006"/>
    <n v="11540"/>
    <n v="0"/>
    <n v="0"/>
    <n v="102"/>
    <s v="_x0000_US"/>
  </r>
  <r>
    <x v="1"/>
    <n v="13.691000000000001"/>
    <n v="-89.180300000000003"/>
    <n v="11540"/>
    <n v="0"/>
    <n v="0"/>
    <n v="102"/>
    <s v="_x0000_US"/>
  </r>
  <r>
    <x v="1"/>
    <n v="13.690799999999999"/>
    <n v="-89.180599999999998"/>
    <n v="11540"/>
    <n v="0"/>
    <n v="0"/>
    <n v="102"/>
    <s v="_x0000_US"/>
  </r>
  <r>
    <x v="1"/>
    <n v="13.6907"/>
    <n v="-89.180700000000002"/>
    <n v="11540"/>
    <n v="0"/>
    <n v="0"/>
    <n v="102"/>
    <s v="_x0000_US"/>
  </r>
  <r>
    <x v="1"/>
    <n v="13.6906"/>
    <n v="-89.181100000000001"/>
    <n v="11540"/>
    <n v="0"/>
    <n v="0"/>
    <n v="102"/>
    <s v="_x0000_US"/>
  </r>
  <r>
    <x v="1"/>
    <n v="13.6905"/>
    <n v="-89.180999999999997"/>
    <n v="11540"/>
    <n v="0"/>
    <n v="0"/>
    <n v="102"/>
    <s v="_x0000_US"/>
  </r>
  <r>
    <x v="1"/>
    <n v="13.6905"/>
    <n v="-89.180899999999994"/>
    <n v="11540"/>
    <n v="0"/>
    <n v="0"/>
    <n v="102"/>
    <s v="_x0000_US"/>
  </r>
  <r>
    <x v="1"/>
    <n v="13.6906"/>
    <n v="-89.180899999999994"/>
    <n v="11540"/>
    <n v="0"/>
    <n v="0"/>
    <n v="102"/>
    <s v="_x0000_US"/>
  </r>
  <r>
    <x v="1"/>
    <n v="13.690799999999999"/>
    <n v="-89.180999999999997"/>
    <n v="11540"/>
    <n v="0"/>
    <n v="0"/>
    <n v="102"/>
    <s v="_x0000_US"/>
  </r>
  <r>
    <x v="1"/>
    <n v="13.6907"/>
    <n v="-89.181100000000001"/>
    <n v="11540"/>
    <n v="0"/>
    <n v="0"/>
    <n v="102"/>
    <s v="_x0000_US"/>
  </r>
  <r>
    <x v="1"/>
    <n v="13.6907"/>
    <n v="-89.180899999999994"/>
    <n v="11540"/>
    <n v="0"/>
    <n v="0"/>
    <n v="102"/>
    <s v="_x0000_US"/>
  </r>
  <r>
    <x v="1"/>
    <n v="13.690799999999999"/>
    <n v="-89.180800000000005"/>
    <n v="11540"/>
    <n v="0"/>
    <n v="0"/>
    <n v="102"/>
    <s v="_x0000_US"/>
  </r>
  <r>
    <x v="1"/>
    <n v="13.6904"/>
    <n v="-89.180999999999997"/>
    <n v="11540"/>
    <n v="0"/>
    <n v="0"/>
    <n v="102"/>
    <s v="_x0000_US"/>
  </r>
  <r>
    <x v="1"/>
    <n v="13.6904"/>
    <n v="-89.181100000000001"/>
    <n v="11540"/>
    <n v="0"/>
    <n v="0"/>
    <n v="102"/>
    <s v="_x0000_US"/>
  </r>
  <r>
    <x v="1"/>
    <n v="13.690099999999999"/>
    <n v="-89.188000000000002"/>
    <n v="11540"/>
    <n v="0"/>
    <n v="0"/>
    <n v="102"/>
    <s v="_x0000_US"/>
  </r>
  <r>
    <x v="1"/>
    <n v="13.6881"/>
    <n v="-89.183599999999998"/>
    <n v="11540"/>
    <n v="0"/>
    <n v="0"/>
    <n v="102"/>
    <s v="_x0000_US"/>
  </r>
  <r>
    <x v="1"/>
    <n v="13.6882"/>
    <n v="-89.183700000000002"/>
    <n v="11540"/>
    <n v="0"/>
    <n v="0"/>
    <n v="102"/>
    <s v="_x0000_US"/>
  </r>
  <r>
    <x v="1"/>
    <n v="13.6882"/>
    <n v="-89.183700000000002"/>
    <n v="11540"/>
    <n v="0"/>
    <n v="0"/>
    <n v="102"/>
    <s v="_x0000_US"/>
  </r>
  <r>
    <x v="1"/>
    <n v="13.6883"/>
    <n v="-89.183700000000002"/>
    <n v="11540"/>
    <n v="0"/>
    <n v="0"/>
    <n v="102"/>
    <s v="_x0000_US"/>
  </r>
  <r>
    <x v="1"/>
    <n v="13.6884"/>
    <n v="-89.183599999999998"/>
    <n v="11540"/>
    <n v="0"/>
    <n v="0"/>
    <n v="102"/>
    <s v="_x0000_US"/>
  </r>
  <r>
    <x v="1"/>
    <n v="13.688800000000001"/>
    <n v="-89.183000000000007"/>
    <n v="11150"/>
    <n v="0"/>
    <n v="0"/>
    <n v="102"/>
    <s v="_x0000_US"/>
  </r>
  <r>
    <x v="1"/>
    <n v="13.688700000000001"/>
    <n v="-89.183000000000007"/>
    <n v="11150"/>
    <n v="0"/>
    <n v="0"/>
    <n v="102"/>
    <s v="_x0000_US"/>
  </r>
  <r>
    <x v="1"/>
    <n v="13.688700000000001"/>
    <n v="-89.183000000000007"/>
    <n v="11150"/>
    <n v="0"/>
    <n v="0"/>
    <n v="102"/>
    <s v="_x0000_US"/>
  </r>
  <r>
    <x v="1"/>
    <n v="13.688700000000001"/>
    <n v="-89.183099999999996"/>
    <n v="11150"/>
    <n v="0"/>
    <n v="0"/>
    <n v="102"/>
    <s v="_x0000_US"/>
  </r>
  <r>
    <x v="1"/>
    <n v="13.688599999999999"/>
    <n v="-89.183099999999996"/>
    <n v="11150"/>
    <n v="0"/>
    <n v="0"/>
    <n v="102"/>
    <s v="_x0000_US"/>
  </r>
  <r>
    <x v="1"/>
    <n v="13.688499999999999"/>
    <n v="-89.183099999999996"/>
    <n v="11150"/>
    <n v="0"/>
    <n v="0"/>
    <n v="102"/>
    <s v="_x0000_US"/>
  </r>
  <r>
    <x v="1"/>
    <n v="13.688499999999999"/>
    <n v="-89.183000000000007"/>
    <n v="11150"/>
    <n v="0"/>
    <n v="0"/>
    <n v="102"/>
    <s v="_x0000_US"/>
  </r>
  <r>
    <x v="1"/>
    <n v="13.688599999999999"/>
    <n v="-89.183000000000007"/>
    <n v="11150"/>
    <n v="0"/>
    <n v="0"/>
    <n v="102"/>
    <s v="_x0000_US"/>
  </r>
  <r>
    <x v="1"/>
    <n v="13.6889"/>
    <n v="-89.181600000000003"/>
    <n v="11150"/>
    <n v="0"/>
    <n v="0"/>
    <n v="102"/>
    <s v="_x0000_US"/>
  </r>
  <r>
    <x v="1"/>
    <n v="13.689299999999999"/>
    <n v="-89.181399999999996"/>
    <n v="11150"/>
    <n v="0"/>
    <n v="0"/>
    <n v="102"/>
    <s v="_x0000_US"/>
  </r>
  <r>
    <x v="1"/>
    <n v="13.689299999999999"/>
    <n v="-89.181399999999996"/>
    <n v="11150"/>
    <n v="0"/>
    <n v="0"/>
    <n v="102"/>
    <s v="_x0000_US"/>
  </r>
  <r>
    <x v="1"/>
    <n v="13.6892"/>
    <n v="-89.181399999999996"/>
    <n v="11150"/>
    <n v="0"/>
    <n v="0"/>
    <n v="102"/>
    <s v="_x0000_US"/>
  </r>
  <r>
    <x v="1"/>
    <n v="13.689500000000001"/>
    <n v="-89.181299999999993"/>
    <n v="11150"/>
    <n v="0"/>
    <n v="0"/>
    <n v="102"/>
    <s v="_x0000_US"/>
  </r>
  <r>
    <x v="1"/>
    <n v="13.689399999999999"/>
    <n v="-89.181299999999993"/>
    <n v="11150"/>
    <n v="0"/>
    <n v="0"/>
    <n v="102"/>
    <s v="_x0000_US"/>
  </r>
  <r>
    <x v="1"/>
    <n v="13.6897"/>
    <n v="-89.181200000000004"/>
    <n v="11150"/>
    <n v="0"/>
    <n v="0"/>
    <n v="102"/>
    <s v="_x0000_US"/>
  </r>
  <r>
    <x v="1"/>
    <n v="13.6904"/>
    <n v="-89.180099999999996"/>
    <n v="11150"/>
    <n v="0"/>
    <n v="0"/>
    <n v="102"/>
    <s v="_x0000_US"/>
  </r>
  <r>
    <x v="1"/>
    <n v="13.6904"/>
    <n v="-89.180099999999996"/>
    <n v="11150"/>
    <n v="0"/>
    <n v="0"/>
    <n v="102"/>
    <s v="_x0000_US"/>
  </r>
  <r>
    <x v="1"/>
    <n v="13.690300000000001"/>
    <n v="-89.180099999999996"/>
    <n v="11150"/>
    <n v="0"/>
    <n v="0"/>
    <n v="102"/>
    <s v="_x0000_US"/>
  </r>
  <r>
    <x v="1"/>
    <n v="13.690300000000001"/>
    <n v="-89.180099999999996"/>
    <n v="11150"/>
    <n v="0"/>
    <n v="0"/>
    <n v="102"/>
    <s v="_x0000_US"/>
  </r>
  <r>
    <x v="1"/>
    <n v="13.690200000000001"/>
    <n v="-89.180199999999999"/>
    <n v="11150"/>
    <n v="0"/>
    <n v="0"/>
    <n v="102"/>
    <s v="_x0000_US"/>
  </r>
  <r>
    <x v="1"/>
    <n v="13.690200000000001"/>
    <n v="-89.180199999999999"/>
    <n v="11150"/>
    <n v="0"/>
    <n v="0"/>
    <n v="102"/>
    <s v="_x0000_US"/>
  </r>
  <r>
    <x v="1"/>
    <n v="13.690200000000001"/>
    <n v="-89.180300000000003"/>
    <n v="11150"/>
    <n v="0"/>
    <n v="0"/>
    <n v="102"/>
    <s v="_x0000_US"/>
  </r>
  <r>
    <x v="1"/>
    <n v="13.690300000000001"/>
    <n v="-89.180400000000006"/>
    <n v="11150"/>
    <n v="0"/>
    <n v="0"/>
    <n v="102"/>
    <s v="_x0000_US"/>
  </r>
  <r>
    <x v="1"/>
    <n v="13.690200000000001"/>
    <n v="-89.180499999999995"/>
    <n v="11150"/>
    <n v="0"/>
    <n v="0"/>
    <n v="102"/>
    <s v="_x0000_US"/>
  </r>
  <r>
    <x v="1"/>
    <n v="13.690099999999999"/>
    <n v="-89.180199999999999"/>
    <n v="11150"/>
    <n v="0"/>
    <n v="0"/>
    <n v="102"/>
    <s v="_x0000_US"/>
  </r>
  <r>
    <x v="1"/>
    <n v="13.6899"/>
    <n v="-89.180300000000003"/>
    <n v="11150"/>
    <n v="0"/>
    <n v="0"/>
    <n v="102"/>
    <s v="_x0000_US"/>
  </r>
  <r>
    <x v="1"/>
    <n v="13.69"/>
    <n v="-89.180400000000006"/>
    <n v="11150"/>
    <n v="0"/>
    <n v="0"/>
    <n v="102"/>
    <s v="_x0000_US"/>
  </r>
  <r>
    <x v="1"/>
    <n v="13.690099999999999"/>
    <n v="-89.180599999999998"/>
    <n v="11150"/>
    <n v="0"/>
    <n v="0"/>
    <n v="102"/>
    <s v="_x0000_US"/>
  </r>
  <r>
    <x v="1"/>
    <n v="13.69"/>
    <n v="-89.180700000000002"/>
    <n v="11150"/>
    <n v="0"/>
    <n v="0"/>
    <n v="102"/>
    <s v="_x0000_US"/>
  </r>
  <r>
    <x v="1"/>
    <n v="13.69"/>
    <n v="-89.180700000000002"/>
    <n v="11150"/>
    <n v="0"/>
    <n v="0"/>
    <n v="102"/>
    <s v="_x0000_US"/>
  </r>
  <r>
    <x v="1"/>
    <n v="13.688700000000001"/>
    <n v="-89.181600000000003"/>
    <n v="11150"/>
    <n v="0"/>
    <n v="0"/>
    <n v="102"/>
    <s v="_x0000_US"/>
  </r>
  <r>
    <x v="1"/>
    <n v="13.6896"/>
    <n v="-89.180400000000006"/>
    <n v="11150"/>
    <n v="0"/>
    <n v="0"/>
    <n v="102"/>
    <s v="_x0000_US"/>
  </r>
  <r>
    <x v="1"/>
    <n v="13.6896"/>
    <n v="-89.180499999999995"/>
    <n v="11150"/>
    <n v="0"/>
    <n v="0"/>
    <n v="102"/>
    <s v="_x0000_US"/>
  </r>
  <r>
    <x v="1"/>
    <n v="13.6897"/>
    <n v="-89.180400000000006"/>
    <n v="11150"/>
    <n v="0"/>
    <n v="0"/>
    <n v="102"/>
    <s v="_x0000_US"/>
  </r>
  <r>
    <x v="1"/>
    <n v="13.6898"/>
    <n v="-89.180300000000003"/>
    <n v="11150"/>
    <n v="0"/>
    <n v="0"/>
    <n v="102"/>
    <s v="_x0000_US"/>
  </r>
  <r>
    <x v="1"/>
    <n v="13.6897"/>
    <n v="-89.180499999999995"/>
    <n v="11150"/>
    <n v="0"/>
    <n v="0"/>
    <n v="102"/>
    <s v="_x0000_US"/>
  </r>
  <r>
    <x v="1"/>
    <n v="13.6897"/>
    <n v="-89.180800000000005"/>
    <n v="11150"/>
    <n v="0"/>
    <n v="0"/>
    <n v="102"/>
    <s v="_x0000_US"/>
  </r>
  <r>
    <x v="1"/>
    <n v="13.6897"/>
    <n v="-89.180599999999998"/>
    <n v="11150"/>
    <n v="0"/>
    <n v="0"/>
    <n v="102"/>
    <s v="_x0000_US"/>
  </r>
  <r>
    <x v="1"/>
    <n v="13.6899"/>
    <n v="-89.180700000000002"/>
    <n v="11150"/>
    <n v="0"/>
    <n v="0"/>
    <n v="102"/>
    <s v="_x0000_US"/>
  </r>
  <r>
    <x v="1"/>
    <n v="13.6898"/>
    <n v="-89.180700000000002"/>
    <n v="11150"/>
    <n v="0"/>
    <n v="0"/>
    <n v="102"/>
    <s v="_x0000_US"/>
  </r>
  <r>
    <x v="1"/>
    <n v="13.6898"/>
    <n v="-89.180899999999994"/>
    <n v="11150"/>
    <n v="0"/>
    <n v="0"/>
    <n v="102"/>
    <s v="_x0000_US"/>
  </r>
  <r>
    <x v="1"/>
    <n v="13.6898"/>
    <n v="-89.180999999999997"/>
    <n v="11150"/>
    <n v="0"/>
    <n v="0"/>
    <n v="102"/>
    <s v="_x0000_US"/>
  </r>
  <r>
    <x v="1"/>
    <n v="13.6898"/>
    <n v="-89.180499999999995"/>
    <n v="11150"/>
    <n v="0"/>
    <n v="0"/>
    <n v="102"/>
    <s v="_x0000_US"/>
  </r>
  <r>
    <x v="1"/>
    <n v="13.6898"/>
    <n v="-89.180300000000003"/>
    <n v="11150"/>
    <n v="0"/>
    <n v="0"/>
    <n v="102"/>
    <s v="_x0000_US"/>
  </r>
  <r>
    <x v="1"/>
    <n v="13.6898"/>
    <n v="-89.180999999999997"/>
    <n v="11150"/>
    <n v="0"/>
    <n v="0"/>
    <n v="102"/>
    <s v="_x0000_US"/>
  </r>
  <r>
    <x v="1"/>
    <n v="13.6938"/>
    <n v="-89.183899999999994"/>
    <n v="11150"/>
    <n v="0"/>
    <n v="0"/>
    <n v="102"/>
    <s v="_x0000_US"/>
  </r>
  <r>
    <x v="1"/>
    <n v="13.6938"/>
    <n v="-89.183899999999994"/>
    <n v="11150"/>
    <n v="0"/>
    <n v="0"/>
    <n v="102"/>
    <s v="_x0000_US"/>
  </r>
  <r>
    <x v="1"/>
    <n v="13.693899999999999"/>
    <n v="-89.183800000000005"/>
    <n v="11150"/>
    <n v="0"/>
    <n v="0"/>
    <n v="102"/>
    <s v="_x0000_US"/>
  </r>
  <r>
    <x v="1"/>
    <n v="13.693899999999999"/>
    <n v="-89.183800000000005"/>
    <n v="11150"/>
    <n v="0"/>
    <n v="0"/>
    <n v="102"/>
    <s v="_x0000_US"/>
  </r>
  <r>
    <x v="1"/>
    <n v="13.694000000000001"/>
    <n v="-89.183800000000005"/>
    <n v="11150"/>
    <n v="0"/>
    <n v="0"/>
    <n v="102"/>
    <s v="_x0000_US"/>
  </r>
  <r>
    <x v="1"/>
    <n v="13.6883"/>
    <n v="-89.183199999999999"/>
    <n v="11150"/>
    <n v="0"/>
    <n v="0"/>
    <n v="102"/>
    <s v="_x0000_US"/>
  </r>
  <r>
    <x v="1"/>
    <n v="13.688000000000001"/>
    <n v="-89.182900000000004"/>
    <n v="10760"/>
    <n v="0"/>
    <n v="0"/>
    <n v="102"/>
    <s v="_x0000_US"/>
  </r>
  <r>
    <x v="1"/>
    <n v="13.688000000000001"/>
    <n v="-89.183000000000007"/>
    <n v="10760"/>
    <n v="0"/>
    <n v="0"/>
    <n v="102"/>
    <s v="_x0000_US"/>
  </r>
  <r>
    <x v="1"/>
    <n v="13.688000000000001"/>
    <n v="-89.183000000000007"/>
    <n v="10760"/>
    <n v="0"/>
    <n v="0"/>
    <n v="102"/>
    <s v="_x0000_US"/>
  </r>
  <r>
    <x v="1"/>
    <n v="13.688000000000001"/>
    <n v="-89.182900000000004"/>
    <n v="10760"/>
    <n v="0"/>
    <n v="0"/>
    <n v="102"/>
    <s v="_x0000_US"/>
  </r>
  <r>
    <x v="1"/>
    <n v="13.687900000000001"/>
    <n v="-89.183000000000007"/>
    <n v="10760"/>
    <n v="0"/>
    <n v="0"/>
    <n v="102"/>
    <s v="_x0000_US"/>
  </r>
  <r>
    <x v="1"/>
    <n v="13.688000000000001"/>
    <n v="-89.183099999999996"/>
    <n v="10760"/>
    <n v="0"/>
    <n v="0"/>
    <n v="102"/>
    <s v="_x0000_US"/>
  </r>
  <r>
    <x v="1"/>
    <n v="13.688000000000001"/>
    <n v="-89.1828"/>
    <n v="10760"/>
    <n v="0"/>
    <n v="0"/>
    <n v="102"/>
    <s v="_x0000_US"/>
  </r>
  <r>
    <x v="1"/>
    <n v="13.687900000000001"/>
    <n v="-89.1828"/>
    <n v="10760"/>
    <n v="0"/>
    <n v="0"/>
    <n v="102"/>
    <s v="_x0000_US"/>
  </r>
  <r>
    <x v="1"/>
    <n v="13.690099999999999"/>
    <n v="-89.181799999999996"/>
    <n v="15100"/>
    <n v="0"/>
    <n v="0"/>
    <n v="102"/>
    <s v="_x0000_US"/>
  </r>
  <r>
    <x v="1"/>
    <n v="13.690099999999999"/>
    <n v="-89.181700000000006"/>
    <n v="15100"/>
    <n v="0"/>
    <n v="0"/>
    <n v="102"/>
    <s v="_x0000_US"/>
  </r>
  <r>
    <x v="1"/>
    <n v="13.69"/>
    <n v="-89.181799999999996"/>
    <n v="15100"/>
    <n v="0"/>
    <n v="0"/>
    <n v="102"/>
    <s v="_x0000_US"/>
  </r>
  <r>
    <x v="1"/>
    <n v="13.690899999999999"/>
    <n v="-89.180499999999995"/>
    <n v="15100"/>
    <n v="0"/>
    <n v="0"/>
    <n v="102"/>
    <s v="_x0000_US"/>
  </r>
  <r>
    <x v="1"/>
    <n v="13.690899999999999"/>
    <n v="-89.180400000000006"/>
    <n v="15100"/>
    <n v="0"/>
    <n v="0"/>
    <n v="102"/>
    <s v="_x0000_US"/>
  </r>
  <r>
    <x v="1"/>
    <n v="13.690799999999999"/>
    <n v="-89.180499999999995"/>
    <n v="15100"/>
    <n v="0"/>
    <n v="0"/>
    <n v="102"/>
    <s v="_x0000_US"/>
  </r>
  <r>
    <x v="1"/>
    <n v="13.691000000000001"/>
    <n v="-89.180099999999996"/>
    <n v="15100"/>
    <n v="0"/>
    <n v="0"/>
    <n v="102"/>
    <s v="_x0000_US"/>
  </r>
  <r>
    <x v="1"/>
    <n v="13.690899999999999"/>
    <n v="-89.180099999999996"/>
    <n v="15100"/>
    <n v="0"/>
    <n v="0"/>
    <n v="102"/>
    <s v="_x0000_US"/>
  </r>
  <r>
    <x v="1"/>
    <n v="13.691000000000001"/>
    <n v="-89.180099999999996"/>
    <n v="15100"/>
    <n v="0"/>
    <n v="0"/>
    <n v="102"/>
    <s v="_x0000_US"/>
  </r>
  <r>
    <x v="1"/>
    <n v="13.690899999999999"/>
    <n v="-89.180199999999999"/>
    <n v="15100"/>
    <n v="0"/>
    <n v="0"/>
    <n v="102"/>
    <s v="_x0000_US"/>
  </r>
  <r>
    <x v="1"/>
    <n v="13.690799999999999"/>
    <n v="-89.180400000000006"/>
    <n v="15100"/>
    <n v="0"/>
    <n v="0"/>
    <n v="102"/>
    <s v="_x0000_US"/>
  </r>
  <r>
    <x v="1"/>
    <n v="13.690799999999999"/>
    <n v="-89.180300000000003"/>
    <n v="15100"/>
    <n v="0"/>
    <n v="0"/>
    <n v="102"/>
    <s v="_x0000_US"/>
  </r>
  <r>
    <x v="1"/>
    <n v="13.690799999999999"/>
    <n v="-89.180199999999999"/>
    <n v="15100"/>
    <n v="0"/>
    <n v="0"/>
    <n v="102"/>
    <s v="_x0000_US"/>
  </r>
  <r>
    <x v="1"/>
    <n v="13.6907"/>
    <n v="-89.180499999999995"/>
    <n v="15100"/>
    <n v="0"/>
    <n v="0"/>
    <n v="102"/>
    <s v="_x0000_US"/>
  </r>
  <r>
    <x v="1"/>
    <n v="13.6906"/>
    <n v="-89.180700000000002"/>
    <n v="15100"/>
    <n v="0"/>
    <n v="0"/>
    <n v="102"/>
    <s v="_x0000_US"/>
  </r>
  <r>
    <x v="1"/>
    <n v="13.690200000000001"/>
    <n v="-89.180999999999997"/>
    <n v="15100"/>
    <n v="0"/>
    <n v="0"/>
    <n v="102"/>
    <s v="_x0000_US"/>
  </r>
  <r>
    <x v="1"/>
    <n v="13.6906"/>
    <n v="-89.180800000000005"/>
    <n v="15100"/>
    <n v="0"/>
    <n v="0"/>
    <n v="102"/>
    <s v="_x0000_US"/>
  </r>
  <r>
    <x v="1"/>
    <n v="13.6904"/>
    <n v="-89.180899999999994"/>
    <n v="15100"/>
    <n v="0"/>
    <n v="0"/>
    <n v="102"/>
    <s v="_x0000_US"/>
  </r>
  <r>
    <x v="1"/>
    <n v="13.69"/>
    <n v="-89.182000000000002"/>
    <n v="15100"/>
    <n v="0"/>
    <n v="0"/>
    <n v="102"/>
    <s v="_x0000_US"/>
  </r>
  <r>
    <x v="1"/>
    <n v="13.69"/>
    <n v="-89.181899999999999"/>
    <n v="15100"/>
    <n v="0"/>
    <n v="0"/>
    <n v="102"/>
    <s v="_x0000_US"/>
  </r>
  <r>
    <x v="1"/>
    <n v="13.6899"/>
    <n v="-89.182000000000002"/>
    <n v="15100"/>
    <n v="0"/>
    <n v="0"/>
    <n v="102"/>
    <s v="_x0000_US"/>
  </r>
  <r>
    <x v="1"/>
    <n v="13.6899"/>
    <n v="-89.181799999999996"/>
    <n v="15100"/>
    <n v="0"/>
    <n v="0"/>
    <n v="102"/>
    <s v="_x0000_US"/>
  </r>
  <r>
    <x v="1"/>
    <n v="13.6898"/>
    <n v="-89.182000000000002"/>
    <n v="15100"/>
    <n v="0"/>
    <n v="0"/>
    <n v="102"/>
    <s v="_x0000_US"/>
  </r>
  <r>
    <x v="1"/>
    <n v="13.6898"/>
    <n v="-89.182000000000002"/>
    <n v="15100"/>
    <n v="0"/>
    <n v="0"/>
    <n v="102"/>
    <s v="_x0000_US"/>
  </r>
  <r>
    <x v="1"/>
    <n v="13.6897"/>
    <n v="-89.182000000000002"/>
    <n v="15100"/>
    <n v="0"/>
    <n v="0"/>
    <n v="102"/>
    <s v="_x0000_US"/>
  </r>
  <r>
    <x v="1"/>
    <n v="13.6897"/>
    <n v="-89.181799999999996"/>
    <n v="15100"/>
    <n v="0"/>
    <n v="0"/>
    <n v="102"/>
    <s v="_x0000_US"/>
  </r>
  <r>
    <x v="1"/>
    <n v="13.6897"/>
    <n v="-89.181799999999996"/>
    <n v="15100"/>
    <n v="0"/>
    <n v="0"/>
    <n v="102"/>
    <s v="_x0000_US"/>
  </r>
  <r>
    <x v="1"/>
    <n v="13.6898"/>
    <n v="-89.181799999999996"/>
    <n v="15100"/>
    <n v="0"/>
    <n v="0"/>
    <n v="102"/>
    <s v="_x0000_US"/>
  </r>
  <r>
    <x v="1"/>
    <n v="13.6896"/>
    <n v="-89.181799999999996"/>
    <n v="15100"/>
    <n v="0"/>
    <n v="0"/>
    <n v="102"/>
    <s v="_x0000_US"/>
  </r>
  <r>
    <x v="1"/>
    <n v="13.689500000000001"/>
    <n v="-89.181899999999999"/>
    <n v="15100"/>
    <n v="0"/>
    <n v="0"/>
    <n v="102"/>
    <s v="_x0000_US"/>
  </r>
  <r>
    <x v="1"/>
    <n v="13.689399999999999"/>
    <n v="-89.181899999999999"/>
    <n v="15100"/>
    <n v="0"/>
    <n v="0"/>
    <n v="102"/>
    <s v="_x0000_US"/>
  </r>
  <r>
    <x v="1"/>
    <n v="13.689399999999999"/>
    <n v="-89.181899999999999"/>
    <n v="15100"/>
    <n v="0"/>
    <n v="0"/>
    <n v="102"/>
    <s v="_x0000_US"/>
  </r>
  <r>
    <x v="1"/>
    <n v="13.689299999999999"/>
    <n v="-89.181799999999996"/>
    <n v="15100"/>
    <n v="0"/>
    <n v="0"/>
    <n v="102"/>
    <s v="_x0000_US"/>
  </r>
  <r>
    <x v="1"/>
    <n v="13.689399999999999"/>
    <n v="-89.182000000000002"/>
    <n v="15100"/>
    <n v="0"/>
    <n v="0"/>
    <n v="102"/>
    <s v="_x0000_US"/>
  </r>
  <r>
    <x v="1"/>
    <n v="13.689399999999999"/>
    <n v="-89.182000000000002"/>
    <n v="15100"/>
    <n v="0"/>
    <n v="0"/>
    <n v="102"/>
    <s v="_x0000_US"/>
  </r>
  <r>
    <x v="1"/>
    <n v="13.689500000000001"/>
    <n v="-89.182000000000002"/>
    <n v="15100"/>
    <n v="0"/>
    <n v="0"/>
    <n v="102"/>
    <s v="_x0000_US"/>
  </r>
  <r>
    <x v="1"/>
    <n v="13.6896"/>
    <n v="-89.182000000000002"/>
    <n v="15100"/>
    <n v="0"/>
    <n v="0"/>
    <n v="102"/>
    <s v="_x0000_US"/>
  </r>
  <r>
    <x v="1"/>
    <n v="13.6892"/>
    <n v="-89.182199999999995"/>
    <n v="15100"/>
    <n v="0"/>
    <n v="0"/>
    <n v="102"/>
    <s v="_x0000_US"/>
  </r>
  <r>
    <x v="1"/>
    <n v="13.690200000000001"/>
    <n v="-89.182900000000004"/>
    <n v="15100"/>
    <n v="0"/>
    <n v="0"/>
    <n v="102"/>
    <s v="_x0000_US"/>
  </r>
  <r>
    <x v="1"/>
    <n v="13.690300000000001"/>
    <n v="-89.1828"/>
    <n v="15100"/>
    <n v="0"/>
    <n v="0"/>
    <n v="102"/>
    <s v="_x0000_US"/>
  </r>
  <r>
    <x v="1"/>
    <n v="13.690099999999999"/>
    <n v="-89.182900000000004"/>
    <n v="15100"/>
    <n v="0"/>
    <n v="0"/>
    <n v="102"/>
    <s v="_x0000_US"/>
  </r>
  <r>
    <x v="1"/>
    <n v="13.69"/>
    <n v="-89.182900000000004"/>
    <n v="15100"/>
    <n v="0"/>
    <n v="0"/>
    <n v="102"/>
    <s v="_x0000_US"/>
  </r>
  <r>
    <x v="1"/>
    <n v="13.69"/>
    <n v="-89.182900000000004"/>
    <n v="15100"/>
    <n v="0"/>
    <n v="0"/>
    <n v="102"/>
    <s v="_x0000_US"/>
  </r>
  <r>
    <x v="1"/>
    <n v="13.6898"/>
    <n v="-89.183000000000007"/>
    <n v="15100"/>
    <n v="0"/>
    <n v="0"/>
    <n v="102"/>
    <s v="_x0000_US"/>
  </r>
  <r>
    <x v="1"/>
    <n v="13.6897"/>
    <n v="-89.182900000000004"/>
    <n v="15100"/>
    <n v="0"/>
    <n v="0"/>
    <n v="102"/>
    <s v="_x0000_US"/>
  </r>
  <r>
    <x v="1"/>
    <n v="13.6897"/>
    <n v="-89.1828"/>
    <n v="15100"/>
    <n v="0"/>
    <n v="0"/>
    <n v="102"/>
    <s v="_x0000_US"/>
  </r>
  <r>
    <x v="1"/>
    <n v="13.6889"/>
    <n v="-89.182299999999998"/>
    <n v="15100"/>
    <n v="0"/>
    <n v="0"/>
    <n v="102"/>
    <s v="_x0000_US"/>
  </r>
  <r>
    <x v="1"/>
    <n v="13.6892"/>
    <n v="-89.182299999999998"/>
    <n v="15100"/>
    <n v="0"/>
    <n v="0"/>
    <n v="102"/>
    <s v="_x0000_US"/>
  </r>
  <r>
    <x v="1"/>
    <n v="13.6892"/>
    <n v="-89.182599999999994"/>
    <n v="15100"/>
    <n v="0"/>
    <n v="0"/>
    <n v="102"/>
    <s v="_x0000_US"/>
  </r>
  <r>
    <x v="1"/>
    <n v="13.686299999999999"/>
    <n v="-89.193399999999997"/>
    <n v="12580"/>
    <n v="0"/>
    <n v="0"/>
    <n v="102"/>
    <s v="_x0000_US"/>
  </r>
  <r>
    <x v="1"/>
    <n v="13.686299999999999"/>
    <n v="-89.193600000000004"/>
    <n v="12580"/>
    <n v="0"/>
    <n v="0"/>
    <n v="102"/>
    <s v="_x0000_US"/>
  </r>
  <r>
    <x v="1"/>
    <n v="13.686199999999999"/>
    <n v="-89.193600000000004"/>
    <n v="12580"/>
    <n v="0"/>
    <n v="0"/>
    <n v="102"/>
    <s v="_x0000_US"/>
  </r>
  <r>
    <x v="1"/>
    <n v="13.686199999999999"/>
    <n v="-89.1935"/>
    <n v="12580"/>
    <n v="0"/>
    <n v="0"/>
    <n v="102"/>
    <s v="_x0000_US"/>
  </r>
  <r>
    <x v="1"/>
    <n v="13.686199999999999"/>
    <n v="-89.1935"/>
    <n v="12580"/>
    <n v="0"/>
    <n v="0"/>
    <n v="102"/>
    <s v="_x0000_US"/>
  </r>
  <r>
    <x v="1"/>
    <n v="13.686199999999999"/>
    <n v="-89.193600000000004"/>
    <n v="12580"/>
    <n v="0"/>
    <n v="0"/>
    <n v="102"/>
    <s v="_x0000_US"/>
  </r>
  <r>
    <x v="1"/>
    <n v="13.686199999999999"/>
    <n v="-89.193700000000007"/>
    <n v="12580"/>
    <n v="0"/>
    <n v="0"/>
    <n v="102"/>
    <s v="_x0000_US"/>
  </r>
  <r>
    <x v="1"/>
    <n v="13.6861"/>
    <n v="-89.193700000000007"/>
    <n v="12580"/>
    <n v="0"/>
    <n v="0"/>
    <n v="102"/>
    <s v="_x0000_US"/>
  </r>
  <r>
    <x v="1"/>
    <n v="13.6861"/>
    <n v="-89.193600000000004"/>
    <n v="12580"/>
    <n v="0"/>
    <n v="0"/>
    <n v="102"/>
    <s v="_x0000_US"/>
  </r>
  <r>
    <x v="1"/>
    <n v="13.686199999999999"/>
    <n v="-89.193600000000004"/>
    <n v="12580"/>
    <n v="0"/>
    <n v="0"/>
    <n v="102"/>
    <s v="_x0000_US"/>
  </r>
  <r>
    <x v="1"/>
    <n v="13.686"/>
    <n v="-89.193700000000007"/>
    <n v="12580"/>
    <n v="0"/>
    <n v="0"/>
    <n v="102"/>
    <s v="_x0000_US"/>
  </r>
  <r>
    <x v="1"/>
    <n v="13.6861"/>
    <n v="-89.193700000000007"/>
    <n v="12580"/>
    <n v="0"/>
    <n v="0"/>
    <n v="102"/>
    <s v="_x0000_US"/>
  </r>
  <r>
    <x v="1"/>
    <n v="13.686"/>
    <n v="-89.193600000000004"/>
    <n v="12580"/>
    <n v="0"/>
    <n v="0"/>
    <n v="102"/>
    <s v="_x0000_US"/>
  </r>
  <r>
    <x v="1"/>
    <n v="13.686"/>
    <n v="-89.193700000000007"/>
    <n v="12580"/>
    <n v="0"/>
    <n v="0"/>
    <n v="102"/>
    <s v="_x0000_US"/>
  </r>
  <r>
    <x v="1"/>
    <n v="13.686"/>
    <n v="-89.193399999999997"/>
    <n v="12580"/>
    <n v="0"/>
    <n v="0"/>
    <n v="102"/>
    <s v="_x0000_US"/>
  </r>
  <r>
    <x v="1"/>
    <n v="13.6861"/>
    <n v="-89.193399999999997"/>
    <n v="12580"/>
    <n v="0"/>
    <n v="0"/>
    <n v="102"/>
    <s v="_x0000_US"/>
  </r>
  <r>
    <x v="1"/>
    <n v="13.686"/>
    <n v="-89.194599999999994"/>
    <n v="10760"/>
    <n v="0"/>
    <n v="0"/>
    <n v="102"/>
    <s v="_x0000_US"/>
  </r>
  <r>
    <x v="1"/>
    <n v="13.686"/>
    <n v="-89.194599999999994"/>
    <n v="10760"/>
    <n v="0"/>
    <n v="0"/>
    <n v="102"/>
    <s v="_x0000_US"/>
  </r>
  <r>
    <x v="1"/>
    <n v="13.686"/>
    <n v="-89.194699999999997"/>
    <n v="10760"/>
    <n v="0"/>
    <n v="0"/>
    <n v="102"/>
    <s v="_x0000_US"/>
  </r>
  <r>
    <x v="1"/>
    <n v="13.686"/>
    <n v="-89.194699999999997"/>
    <n v="10760"/>
    <n v="0"/>
    <n v="0"/>
    <n v="102"/>
    <s v="_x0000_US"/>
  </r>
  <r>
    <x v="1"/>
    <n v="13.6858"/>
    <n v="-89.194800000000001"/>
    <n v="10760"/>
    <n v="0"/>
    <n v="0"/>
    <n v="102"/>
    <s v="_x0000_US"/>
  </r>
  <r>
    <x v="1"/>
    <n v="13.6858"/>
    <n v="-89.194999999999993"/>
    <n v="9200"/>
    <n v="0"/>
    <n v="0"/>
    <n v="102"/>
    <s v="_x0000_US"/>
  </r>
  <r>
    <x v="1"/>
    <n v="13.6858"/>
    <n v="-89.195099999999996"/>
    <n v="9200"/>
    <n v="0"/>
    <n v="0"/>
    <n v="102"/>
    <s v="_x0000_US"/>
  </r>
  <r>
    <x v="1"/>
    <n v="13.6858"/>
    <n v="-89.195099999999996"/>
    <n v="9200"/>
    <n v="0"/>
    <n v="0"/>
    <n v="102"/>
    <s v="_x0000_US"/>
  </r>
  <r>
    <x v="1"/>
    <n v="13.6858"/>
    <n v="-89.195099999999996"/>
    <n v="9200"/>
    <n v="0"/>
    <n v="0"/>
    <n v="102"/>
    <s v="_x0000_US"/>
  </r>
  <r>
    <x v="1"/>
    <n v="13.6858"/>
    <n v="-89.194999999999993"/>
    <n v="9200"/>
    <n v="0"/>
    <n v="0"/>
    <n v="102"/>
    <s v="_x0000_US"/>
  </r>
  <r>
    <x v="1"/>
    <n v="13.6858"/>
    <n v="-89.194999999999993"/>
    <n v="9200"/>
    <n v="0"/>
    <n v="0"/>
    <n v="102"/>
    <s v="_x0000_US"/>
  </r>
  <r>
    <x v="1"/>
    <n v="13.6858"/>
    <n v="-89.194800000000001"/>
    <n v="9200"/>
    <n v="0"/>
    <n v="0"/>
    <n v="102"/>
    <s v="_x0000_US"/>
  </r>
  <r>
    <x v="1"/>
    <n v="13.6858"/>
    <n v="-89.194800000000001"/>
    <n v="9200"/>
    <n v="0"/>
    <n v="0"/>
    <n v="102"/>
    <s v="_x0000_US"/>
  </r>
  <r>
    <x v="1"/>
    <n v="13.6858"/>
    <n v="-89.194699999999997"/>
    <n v="9200"/>
    <n v="0"/>
    <n v="0"/>
    <n v="102"/>
    <s v="_x0000_US"/>
  </r>
  <r>
    <x v="1"/>
    <n v="13.6858"/>
    <n v="-89.194699999999997"/>
    <n v="9200"/>
    <n v="0"/>
    <n v="0"/>
    <n v="102"/>
    <s v="_x0000_US"/>
  </r>
  <r>
    <x v="1"/>
    <n v="13.686299999999999"/>
    <n v="-89.194199999999995"/>
    <n v="8550"/>
    <n v="0"/>
    <n v="0"/>
    <n v="102"/>
    <s v="_x0000_US"/>
  </r>
  <r>
    <x v="1"/>
    <n v="13.686299999999999"/>
    <n v="-89.194100000000006"/>
    <n v="8550"/>
    <n v="0"/>
    <n v="0"/>
    <n v="102"/>
    <s v="_x0000_US"/>
  </r>
  <r>
    <x v="1"/>
    <n v="13.686199999999999"/>
    <n v="-89.194100000000006"/>
    <n v="8550"/>
    <n v="0"/>
    <n v="0"/>
    <n v="102"/>
    <s v="_x0000_US"/>
  </r>
  <r>
    <x v="1"/>
    <n v="13.686199999999999"/>
    <n v="-89.194100000000006"/>
    <n v="8550"/>
    <n v="0"/>
    <n v="0"/>
    <n v="102"/>
    <s v="_x0000_US"/>
  </r>
  <r>
    <x v="1"/>
    <n v="13.686199999999999"/>
    <n v="-89.194199999999995"/>
    <n v="8550"/>
    <n v="0"/>
    <n v="0"/>
    <n v="102"/>
    <s v="_x0000_US"/>
  </r>
  <r>
    <x v="1"/>
    <n v="13.686199999999999"/>
    <n v="-89.194199999999995"/>
    <n v="8550"/>
    <n v="0"/>
    <n v="0"/>
    <n v="102"/>
    <s v="_x0000_US"/>
  </r>
  <r>
    <x v="1"/>
    <n v="13.686199999999999"/>
    <n v="-89.194199999999995"/>
    <n v="8550"/>
    <n v="0"/>
    <n v="0"/>
    <n v="102"/>
    <s v="_x0000_US"/>
  </r>
  <r>
    <x v="1"/>
    <n v="13.686199999999999"/>
    <n v="-89.194199999999995"/>
    <n v="8550"/>
    <n v="0"/>
    <n v="0"/>
    <n v="102"/>
    <s v="_x0000_US"/>
  </r>
  <r>
    <x v="1"/>
    <n v="13.686199999999999"/>
    <n v="-89.194299999999998"/>
    <n v="8550"/>
    <n v="0"/>
    <n v="0"/>
    <n v="102"/>
    <s v="_x0000_US"/>
  </r>
  <r>
    <x v="1"/>
    <n v="13.6861"/>
    <n v="-89.194199999999995"/>
    <n v="8550"/>
    <n v="0"/>
    <n v="0"/>
    <n v="102"/>
    <s v="_x0000_US"/>
  </r>
  <r>
    <x v="1"/>
    <n v="13.6861"/>
    <n v="-89.194199999999995"/>
    <n v="8550"/>
    <n v="0"/>
    <n v="0"/>
    <n v="102"/>
    <s v="_x0000_US"/>
  </r>
  <r>
    <x v="1"/>
    <n v="13.6861"/>
    <n v="-89.194299999999998"/>
    <n v="8550"/>
    <n v="0"/>
    <n v="0"/>
    <n v="102"/>
    <s v="_x0000_US"/>
  </r>
  <r>
    <x v="1"/>
    <n v="13.6861"/>
    <n v="-89.194199999999995"/>
    <n v="8550"/>
    <n v="0"/>
    <n v="0"/>
    <n v="102"/>
    <s v="_x0000_US"/>
  </r>
  <r>
    <x v="1"/>
    <n v="13.686"/>
    <n v="-89.194199999999995"/>
    <n v="8550"/>
    <n v="0"/>
    <n v="0"/>
    <n v="102"/>
    <s v="_x0000_US"/>
  </r>
  <r>
    <x v="1"/>
    <n v="13.686"/>
    <n v="-89.194199999999995"/>
    <n v="8550"/>
    <n v="0"/>
    <n v="0"/>
    <n v="102"/>
    <s v="_x0000_US"/>
  </r>
  <r>
    <x v="1"/>
    <n v="13.686"/>
    <n v="-89.194299999999998"/>
    <n v="8550"/>
    <n v="0"/>
    <n v="0"/>
    <n v="102"/>
    <s v="_x0000_US"/>
  </r>
  <r>
    <x v="1"/>
    <n v="13.686"/>
    <n v="-89.194299999999998"/>
    <n v="8550"/>
    <n v="0"/>
    <n v="0"/>
    <n v="102"/>
    <s v="_x0000_US"/>
  </r>
  <r>
    <x v="1"/>
    <n v="13.686"/>
    <n v="-89.194299999999998"/>
    <n v="8550"/>
    <n v="0"/>
    <n v="0"/>
    <n v="102"/>
    <s v="_x0000_US"/>
  </r>
  <r>
    <x v="1"/>
    <n v="13.686"/>
    <n v="-89.194199999999995"/>
    <n v="8550"/>
    <n v="0"/>
    <n v="0"/>
    <n v="102"/>
    <s v="_x0000_US"/>
  </r>
  <r>
    <x v="1"/>
    <n v="13.6859"/>
    <n v="-89.194299999999998"/>
    <n v="8550"/>
    <n v="0"/>
    <n v="0"/>
    <n v="102"/>
    <s v="_x0000_US"/>
  </r>
  <r>
    <x v="1"/>
    <n v="13.6859"/>
    <n v="-89.194299999999998"/>
    <n v="8550"/>
    <n v="0"/>
    <n v="0"/>
    <n v="102"/>
    <s v="_x0000_US"/>
  </r>
  <r>
    <x v="1"/>
    <n v="13.6859"/>
    <n v="-89.194299999999998"/>
    <n v="8550"/>
    <n v="0"/>
    <n v="0"/>
    <n v="102"/>
    <s v="_x0000_US"/>
  </r>
  <r>
    <x v="1"/>
    <n v="13.6861"/>
    <n v="-89.194500000000005"/>
    <n v="8550"/>
    <n v="0"/>
    <n v="0"/>
    <n v="102"/>
    <s v="_x0000_US"/>
  </r>
  <r>
    <x v="1"/>
    <n v="13.6861"/>
    <n v="-89.194500000000005"/>
    <n v="8550"/>
    <n v="0"/>
    <n v="0"/>
    <n v="102"/>
    <s v="_x0000_US"/>
  </r>
  <r>
    <x v="1"/>
    <n v="13.686"/>
    <n v="-89.194500000000005"/>
    <n v="8550"/>
    <n v="0"/>
    <n v="0"/>
    <n v="102"/>
    <s v="_x0000_US"/>
  </r>
  <r>
    <x v="1"/>
    <n v="13.686"/>
    <n v="-89.194500000000005"/>
    <n v="8550"/>
    <n v="0"/>
    <n v="0"/>
    <n v="102"/>
    <s v="_x0000_US"/>
  </r>
  <r>
    <x v="1"/>
    <n v="13.686"/>
    <n v="-89.194500000000005"/>
    <n v="8550"/>
    <n v="0"/>
    <n v="0"/>
    <n v="102"/>
    <s v="_x0000_US"/>
  </r>
  <r>
    <x v="1"/>
    <n v="13.686"/>
    <n v="-89.194500000000005"/>
    <n v="8550"/>
    <n v="0"/>
    <n v="0"/>
    <n v="102"/>
    <s v="_x0000_US"/>
  </r>
  <r>
    <x v="1"/>
    <n v="13.6861"/>
    <n v="-89.194400000000002"/>
    <n v="8550"/>
    <n v="0"/>
    <n v="0"/>
    <n v="102"/>
    <s v="_x0000_US"/>
  </r>
  <r>
    <x v="1"/>
    <n v="13.6861"/>
    <n v="-89.194400000000002"/>
    <n v="8550"/>
    <n v="0"/>
    <n v="0"/>
    <n v="102"/>
    <s v="_x0000_US"/>
  </r>
  <r>
    <x v="1"/>
    <n v="13.686"/>
    <n v="-89.194599999999994"/>
    <n v="8550"/>
    <n v="0"/>
    <n v="0"/>
    <n v="102"/>
    <s v="_x0000_US"/>
  </r>
  <r>
    <x v="1"/>
    <n v="13.686"/>
    <n v="-89.194599999999994"/>
    <n v="8550"/>
    <n v="0"/>
    <n v="0"/>
    <n v="102"/>
    <s v="_x0000_US"/>
  </r>
  <r>
    <x v="1"/>
    <n v="13.686"/>
    <n v="-89.194599999999994"/>
    <n v="8550"/>
    <n v="0"/>
    <n v="0"/>
    <n v="102"/>
    <s v="_x0000_US"/>
  </r>
  <r>
    <x v="1"/>
    <n v="13.686"/>
    <n v="-89.194599999999994"/>
    <n v="8550"/>
    <n v="0"/>
    <n v="0"/>
    <n v="102"/>
    <s v="_x0000_US"/>
  </r>
  <r>
    <x v="1"/>
    <n v="13.686"/>
    <n v="-89.194400000000002"/>
    <n v="8550"/>
    <n v="0"/>
    <n v="0"/>
    <n v="102"/>
    <s v="_x0000_US"/>
  </r>
  <r>
    <x v="1"/>
    <n v="13.686"/>
    <n v="-89.194400000000002"/>
    <n v="8550"/>
    <n v="0"/>
    <n v="0"/>
    <n v="102"/>
    <s v="_x0000_US"/>
  </r>
  <r>
    <x v="1"/>
    <n v="13.6859"/>
    <n v="-89.194500000000005"/>
    <n v="8550"/>
    <n v="0"/>
    <n v="0"/>
    <n v="102"/>
    <s v="_x0000_US"/>
  </r>
  <r>
    <x v="1"/>
    <n v="13.6859"/>
    <n v="-89.194500000000005"/>
    <n v="8550"/>
    <n v="0"/>
    <n v="0"/>
    <n v="102"/>
    <s v="_x0000_US"/>
  </r>
  <r>
    <x v="1"/>
    <n v="13.6861"/>
    <n v="-89.194400000000002"/>
    <n v="8550"/>
    <n v="0"/>
    <n v="0"/>
    <n v="102"/>
    <s v="_x0000_US"/>
  </r>
  <r>
    <x v="1"/>
    <n v="13.6861"/>
    <n v="-89.194400000000002"/>
    <n v="8550"/>
    <n v="0"/>
    <n v="0"/>
    <n v="102"/>
    <s v="_x0000_US"/>
  </r>
  <r>
    <x v="1"/>
    <n v="13.6859"/>
    <n v="-89.194299999999998"/>
    <n v="8550"/>
    <n v="0"/>
    <n v="0"/>
    <n v="102"/>
    <s v="_x0000_US"/>
  </r>
  <r>
    <x v="1"/>
    <n v="13.6859"/>
    <n v="-89.194299999999998"/>
    <n v="8550"/>
    <n v="0"/>
    <n v="0"/>
    <n v="102"/>
    <s v="_x0000_US"/>
  </r>
  <r>
    <x v="1"/>
    <n v="13.6859"/>
    <n v="-89.194400000000002"/>
    <n v="8550"/>
    <n v="0"/>
    <n v="0"/>
    <n v="102"/>
    <s v="_x0000_US"/>
  </r>
  <r>
    <x v="1"/>
    <n v="13.686299999999999"/>
    <n v="-89.194599999999994"/>
    <n v="11540"/>
    <n v="0"/>
    <n v="0"/>
    <n v="102"/>
    <s v="_x0000_US"/>
  </r>
  <r>
    <x v="1"/>
    <n v="13.686400000000001"/>
    <n v="-89.194599999999994"/>
    <n v="11540"/>
    <n v="0"/>
    <n v="0"/>
    <n v="102"/>
    <s v="_x0000_US"/>
  </r>
  <r>
    <x v="1"/>
    <n v="13.686400000000001"/>
    <n v="-89.194599999999994"/>
    <n v="11540"/>
    <n v="0"/>
    <n v="0"/>
    <n v="102"/>
    <s v="_x0000_US"/>
  </r>
  <r>
    <x v="1"/>
    <n v="13.686400000000001"/>
    <n v="-89.194599999999994"/>
    <n v="11540"/>
    <n v="0"/>
    <n v="0"/>
    <n v="102"/>
    <s v="_x0000_US"/>
  </r>
  <r>
    <x v="1"/>
    <n v="13.686400000000001"/>
    <n v="-89.194599999999994"/>
    <n v="11540"/>
    <n v="0"/>
    <n v="0"/>
    <n v="102"/>
    <s v="_x0000_US"/>
  </r>
  <r>
    <x v="1"/>
    <n v="13.686400000000001"/>
    <n v="-89.194500000000005"/>
    <n v="11540"/>
    <n v="0"/>
    <n v="0"/>
    <n v="102"/>
    <s v="_x0000_US"/>
  </r>
  <r>
    <x v="1"/>
    <n v="13.686400000000001"/>
    <n v="-89.194500000000005"/>
    <n v="11540"/>
    <n v="0"/>
    <n v="0"/>
    <n v="102"/>
    <s v="_x0000_US"/>
  </r>
  <r>
    <x v="1"/>
    <n v="13.686400000000001"/>
    <n v="-89.194500000000005"/>
    <n v="11540"/>
    <n v="0"/>
    <n v="0"/>
    <n v="102"/>
    <s v="_x0000_US"/>
  </r>
  <r>
    <x v="1"/>
    <n v="13.686500000000001"/>
    <n v="-89.194500000000005"/>
    <n v="11540"/>
    <n v="0"/>
    <n v="0"/>
    <n v="102"/>
    <s v="_x0000_US"/>
  </r>
  <r>
    <x v="1"/>
    <n v="13.6868"/>
    <n v="-89.192400000000006"/>
    <n v="11540"/>
    <n v="0"/>
    <n v="0"/>
    <n v="102"/>
    <s v="_x0000_US"/>
  </r>
  <r>
    <x v="1"/>
    <n v="13.686299999999999"/>
    <n v="-89.1922"/>
    <n v="11540"/>
    <n v="0"/>
    <n v="0"/>
    <n v="102"/>
    <s v="_x0000_US"/>
  </r>
  <r>
    <x v="1"/>
    <n v="13.686299999999999"/>
    <n v="-89.1922"/>
    <n v="11540"/>
    <n v="0"/>
    <n v="0"/>
    <n v="102"/>
    <s v="_x0000_US"/>
  </r>
  <r>
    <x v="1"/>
    <n v="13.686299999999999"/>
    <n v="-89.192099999999996"/>
    <n v="11540"/>
    <n v="0"/>
    <n v="0"/>
    <n v="102"/>
    <s v="_x0000_US"/>
  </r>
  <r>
    <x v="1"/>
    <n v="13.686299999999999"/>
    <n v="-89.192099999999996"/>
    <n v="11540"/>
    <n v="0"/>
    <n v="0"/>
    <n v="102"/>
    <s v="_x0000_US"/>
  </r>
  <r>
    <x v="1"/>
    <n v="13.6866"/>
    <n v="-89.1922"/>
    <n v="11540"/>
    <n v="0"/>
    <n v="0"/>
    <n v="102"/>
    <s v="_x0000_US"/>
  </r>
  <r>
    <x v="1"/>
    <n v="13.6866"/>
    <n v="-89.1922"/>
    <n v="11540"/>
    <n v="0"/>
    <n v="0"/>
    <n v="102"/>
    <s v="_x0000_US"/>
  </r>
  <r>
    <x v="1"/>
    <n v="13.6866"/>
    <n v="-89.1922"/>
    <n v="11540"/>
    <n v="0"/>
    <n v="0"/>
    <n v="102"/>
    <s v="_x0000_US"/>
  </r>
  <r>
    <x v="1"/>
    <n v="13.6866"/>
    <n v="-89.1922"/>
    <n v="11540"/>
    <n v="0"/>
    <n v="0"/>
    <n v="102"/>
    <s v="_x0000_US"/>
  </r>
  <r>
    <x v="1"/>
    <n v="13.6867"/>
    <n v="-89.1922"/>
    <n v="11540"/>
    <n v="0"/>
    <n v="0"/>
    <n v="102"/>
    <s v="_x0000_US"/>
  </r>
  <r>
    <x v="1"/>
    <n v="13.6867"/>
    <n v="-89.1922"/>
    <n v="11540"/>
    <n v="0"/>
    <n v="0"/>
    <n v="102"/>
    <s v="_x0000_US"/>
  </r>
  <r>
    <x v="1"/>
    <n v="13.6867"/>
    <n v="-89.1922"/>
    <n v="11540"/>
    <n v="0"/>
    <n v="0"/>
    <n v="102"/>
    <s v="_x0000_US"/>
  </r>
  <r>
    <x v="1"/>
    <n v="13.6866"/>
    <n v="-89.192400000000006"/>
    <n v="11540"/>
    <n v="0"/>
    <n v="0"/>
    <n v="102"/>
    <s v="_x0000_US"/>
  </r>
  <r>
    <x v="1"/>
    <n v="13.6867"/>
    <n v="-89.1922"/>
    <n v="11540"/>
    <n v="0"/>
    <n v="0"/>
    <n v="102"/>
    <s v="_x0000_US"/>
  </r>
  <r>
    <x v="1"/>
    <n v="13.6867"/>
    <n v="-89.1922"/>
    <n v="11540"/>
    <n v="0"/>
    <n v="0"/>
    <n v="102"/>
    <s v="_x0000_US"/>
  </r>
  <r>
    <x v="1"/>
    <n v="13.6867"/>
    <n v="-89.1922"/>
    <n v="11540"/>
    <n v="0"/>
    <n v="0"/>
    <n v="102"/>
    <s v="_x0000_US"/>
  </r>
  <r>
    <x v="1"/>
    <n v="13.686400000000001"/>
    <n v="-89.1922"/>
    <n v="11540"/>
    <n v="0"/>
    <n v="0"/>
    <n v="102"/>
    <s v="_x0000_US"/>
  </r>
  <r>
    <x v="1"/>
    <n v="13.686400000000001"/>
    <n v="-89.1922"/>
    <n v="11540"/>
    <n v="0"/>
    <n v="0"/>
    <n v="102"/>
    <s v="_x0000_US"/>
  </r>
  <r>
    <x v="1"/>
    <n v="13.686400000000001"/>
    <n v="-89.1922"/>
    <n v="11540"/>
    <n v="0"/>
    <n v="0"/>
    <n v="102"/>
    <s v="_x0000_US"/>
  </r>
  <r>
    <x v="1"/>
    <n v="13.686500000000001"/>
    <n v="-89.1922"/>
    <n v="11540"/>
    <n v="0"/>
    <n v="0"/>
    <n v="102"/>
    <s v="_x0000_US"/>
  </r>
  <r>
    <x v="1"/>
    <n v="13.686500000000001"/>
    <n v="-89.1922"/>
    <n v="11540"/>
    <n v="0"/>
    <n v="0"/>
    <n v="102"/>
    <s v="_x0000_US"/>
  </r>
  <r>
    <x v="1"/>
    <n v="13.686500000000001"/>
    <n v="-89.192300000000003"/>
    <n v="11540"/>
    <n v="0"/>
    <n v="0"/>
    <n v="102"/>
    <s v="_x0000_US"/>
  </r>
  <r>
    <x v="1"/>
    <n v="13.686500000000001"/>
    <n v="-89.192300000000003"/>
    <n v="11540"/>
    <n v="0"/>
    <n v="0"/>
    <n v="102"/>
    <s v="_x0000_US"/>
  </r>
  <r>
    <x v="1"/>
    <n v="13.686500000000001"/>
    <n v="-89.192300000000003"/>
    <n v="11540"/>
    <n v="0"/>
    <n v="0"/>
    <n v="102"/>
    <s v="_x0000_US"/>
  </r>
  <r>
    <x v="1"/>
    <n v="13.686500000000001"/>
    <n v="-89.192300000000003"/>
    <n v="11540"/>
    <n v="0"/>
    <n v="0"/>
    <n v="102"/>
    <s v="_x0000_US"/>
  </r>
  <r>
    <x v="1"/>
    <n v="13.686500000000001"/>
    <n v="-89.192300000000003"/>
    <n v="11540"/>
    <n v="0"/>
    <n v="0"/>
    <n v="102"/>
    <s v="_x0000_US"/>
  </r>
  <r>
    <x v="1"/>
    <n v="13.686500000000001"/>
    <n v="-89.192300000000003"/>
    <n v="11540"/>
    <n v="0"/>
    <n v="0"/>
    <n v="102"/>
    <s v="_x0000_US"/>
  </r>
  <r>
    <x v="1"/>
    <n v="13.686500000000001"/>
    <n v="-89.192400000000006"/>
    <n v="11540"/>
    <n v="0"/>
    <n v="0"/>
    <n v="102"/>
    <s v="_x0000_US"/>
  </r>
  <r>
    <x v="1"/>
    <n v="13.686500000000001"/>
    <n v="-89.192400000000006"/>
    <n v="11540"/>
    <n v="0"/>
    <n v="0"/>
    <n v="102"/>
    <s v="_x0000_US"/>
  </r>
  <r>
    <x v="1"/>
    <n v="13.686500000000001"/>
    <n v="-89.192400000000006"/>
    <n v="11540"/>
    <n v="0"/>
    <n v="0"/>
    <n v="102"/>
    <s v="_x0000_US"/>
  </r>
  <r>
    <x v="1"/>
    <n v="13.686500000000001"/>
    <n v="-89.192400000000006"/>
    <n v="11540"/>
    <n v="0"/>
    <n v="0"/>
    <n v="102"/>
    <s v="_x0000_US"/>
  </r>
  <r>
    <x v="1"/>
    <n v="13.686500000000001"/>
    <n v="-89.192499999999995"/>
    <n v="11540"/>
    <n v="0"/>
    <n v="0"/>
    <n v="102"/>
    <s v="_x0000_US"/>
  </r>
  <r>
    <x v="1"/>
    <n v="13.6866"/>
    <n v="-89.192400000000006"/>
    <n v="11540"/>
    <n v="0"/>
    <n v="0"/>
    <n v="102"/>
    <s v="_x0000_US"/>
  </r>
  <r>
    <x v="1"/>
    <n v="13.686500000000001"/>
    <n v="-89.192400000000006"/>
    <n v="11540"/>
    <n v="0"/>
    <n v="0"/>
    <n v="102"/>
    <s v="_x0000_US"/>
  </r>
  <r>
    <x v="1"/>
    <n v="13.686500000000001"/>
    <n v="-89.192400000000006"/>
    <n v="11540"/>
    <n v="0"/>
    <n v="0"/>
    <n v="102"/>
    <s v="_x0000_US"/>
  </r>
  <r>
    <x v="1"/>
    <n v="13.686500000000001"/>
    <n v="-89.192300000000003"/>
    <n v="11540"/>
    <n v="0"/>
    <n v="0"/>
    <n v="102"/>
    <s v="_x0000_US"/>
  </r>
  <r>
    <x v="1"/>
    <n v="13.686500000000001"/>
    <n v="-89.192300000000003"/>
    <n v="11540"/>
    <n v="0"/>
    <n v="0"/>
    <n v="102"/>
    <s v="_x0000_US"/>
  </r>
  <r>
    <x v="1"/>
    <n v="13.686500000000001"/>
    <n v="-89.192400000000006"/>
    <n v="11540"/>
    <n v="0"/>
    <n v="0"/>
    <n v="102"/>
    <s v="_x0000_US"/>
  </r>
  <r>
    <x v="1"/>
    <n v="13.686500000000001"/>
    <n v="-89.192400000000006"/>
    <n v="11540"/>
    <n v="0"/>
    <n v="0"/>
    <n v="102"/>
    <s v="_x0000_US"/>
  </r>
  <r>
    <x v="1"/>
    <n v="13.686500000000001"/>
    <n v="-89.192400000000006"/>
    <n v="11540"/>
    <n v="0"/>
    <n v="0"/>
    <n v="102"/>
    <s v="_x0000_US"/>
  </r>
  <r>
    <x v="1"/>
    <n v="13.686500000000001"/>
    <n v="-89.192300000000003"/>
    <n v="11540"/>
    <n v="0"/>
    <n v="0"/>
    <n v="102"/>
    <s v="_x0000_US"/>
  </r>
  <r>
    <x v="1"/>
    <n v="13.686500000000001"/>
    <n v="-89.192300000000003"/>
    <n v="11540"/>
    <n v="0"/>
    <n v="0"/>
    <n v="102"/>
    <s v="_x0000_US"/>
  </r>
  <r>
    <x v="1"/>
    <n v="13.686500000000001"/>
    <n v="-89.192300000000003"/>
    <n v="11540"/>
    <n v="0"/>
    <n v="0"/>
    <n v="102"/>
    <s v="_x0000_US"/>
  </r>
  <r>
    <x v="1"/>
    <n v="13.686400000000001"/>
    <n v="-89.1922"/>
    <n v="11540"/>
    <n v="0"/>
    <n v="0"/>
    <n v="102"/>
    <s v="_x0000_US"/>
  </r>
  <r>
    <x v="1"/>
    <n v="13.686400000000001"/>
    <n v="-89.1922"/>
    <n v="11540"/>
    <n v="0"/>
    <n v="0"/>
    <n v="102"/>
    <s v="_x0000_US"/>
  </r>
  <r>
    <x v="1"/>
    <n v="13.686299999999999"/>
    <n v="-89.1922"/>
    <n v="11540"/>
    <n v="0"/>
    <n v="0"/>
    <n v="102"/>
    <s v="_x0000_US"/>
  </r>
  <r>
    <x v="1"/>
    <n v="13.686299999999999"/>
    <n v="-89.1922"/>
    <n v="11540"/>
    <n v="0"/>
    <n v="0"/>
    <n v="102"/>
    <s v="_x0000_US"/>
  </r>
  <r>
    <x v="1"/>
    <n v="13.686400000000001"/>
    <n v="-89.192300000000003"/>
    <n v="11540"/>
    <n v="0"/>
    <n v="0"/>
    <n v="102"/>
    <s v="_x0000_US"/>
  </r>
  <r>
    <x v="1"/>
    <n v="13.686400000000001"/>
    <n v="-89.192300000000003"/>
    <n v="11540"/>
    <n v="0"/>
    <n v="0"/>
    <n v="102"/>
    <s v="_x0000_US"/>
  </r>
  <r>
    <x v="1"/>
    <n v="13.686400000000001"/>
    <n v="-89.192300000000003"/>
    <n v="11540"/>
    <n v="0"/>
    <n v="0"/>
    <n v="102"/>
    <s v="_x0000_US"/>
  </r>
  <r>
    <x v="1"/>
    <n v="13.686400000000001"/>
    <n v="-89.192300000000003"/>
    <n v="11540"/>
    <n v="0"/>
    <n v="0"/>
    <n v="102"/>
    <s v="_x0000_US"/>
  </r>
  <r>
    <x v="1"/>
    <n v="13.686400000000001"/>
    <n v="-89.192300000000003"/>
    <n v="11540"/>
    <n v="0"/>
    <n v="0"/>
    <n v="102"/>
    <s v="_x0000_US"/>
  </r>
  <r>
    <x v="1"/>
    <n v="13.686400000000001"/>
    <n v="-89.192400000000006"/>
    <n v="11540"/>
    <n v="0"/>
    <n v="0"/>
    <n v="102"/>
    <s v="_x0000_US"/>
  </r>
  <r>
    <x v="1"/>
    <n v="13.686400000000001"/>
    <n v="-89.192400000000006"/>
    <n v="11540"/>
    <n v="0"/>
    <n v="0"/>
    <n v="102"/>
    <s v="_x0000_US"/>
  </r>
  <r>
    <x v="1"/>
    <n v="13.686400000000001"/>
    <n v="-89.192400000000006"/>
    <n v="11540"/>
    <n v="0"/>
    <n v="0"/>
    <n v="102"/>
    <s v="_x0000_US"/>
  </r>
  <r>
    <x v="1"/>
    <n v="13.686400000000001"/>
    <n v="-89.192400000000006"/>
    <n v="11540"/>
    <n v="0"/>
    <n v="0"/>
    <n v="102"/>
    <s v="_x0000_US"/>
  </r>
  <r>
    <x v="1"/>
    <n v="13.686400000000001"/>
    <n v="-89.192400000000006"/>
    <n v="11540"/>
    <n v="0"/>
    <n v="0"/>
    <n v="102"/>
    <s v="_x0000_US"/>
  </r>
  <r>
    <x v="1"/>
    <n v="13.686400000000001"/>
    <n v="-89.192400000000006"/>
    <n v="11540"/>
    <n v="0"/>
    <n v="0"/>
    <n v="102"/>
    <s v="_x0000_US"/>
  </r>
  <r>
    <x v="1"/>
    <n v="13.6867"/>
    <n v="-89.192300000000003"/>
    <n v="11540"/>
    <n v="0"/>
    <n v="0"/>
    <n v="102"/>
    <s v="_x0000_US"/>
  </r>
  <r>
    <x v="1"/>
    <n v="13.6866"/>
    <n v="-89.191900000000004"/>
    <n v="15180"/>
    <n v="0"/>
    <n v="0"/>
    <n v="102"/>
    <s v="_x0000_US"/>
  </r>
  <r>
    <x v="1"/>
    <n v="13.686500000000001"/>
    <n v="-89.191999999999993"/>
    <n v="15180"/>
    <n v="0"/>
    <n v="0"/>
    <n v="102"/>
    <s v="_x0000_US"/>
  </r>
  <r>
    <x v="1"/>
    <n v="13.686500000000001"/>
    <n v="-89.191999999999993"/>
    <n v="15180"/>
    <n v="0"/>
    <n v="0"/>
    <n v="102"/>
    <s v="_x0000_US"/>
  </r>
  <r>
    <x v="1"/>
    <n v="13.6866"/>
    <n v="-89.191999999999993"/>
    <n v="15180"/>
    <n v="0"/>
    <n v="0"/>
    <n v="102"/>
    <s v="_x0000_US"/>
  </r>
  <r>
    <x v="1"/>
    <n v="13.6866"/>
    <n v="-89.192099999999996"/>
    <n v="15180"/>
    <n v="0"/>
    <n v="0"/>
    <n v="102"/>
    <s v="_x0000_US"/>
  </r>
  <r>
    <x v="1"/>
    <n v="13.6866"/>
    <n v="-89.192099999999996"/>
    <n v="15180"/>
    <n v="0"/>
    <n v="0"/>
    <n v="102"/>
    <s v="_x0000_US"/>
  </r>
  <r>
    <x v="1"/>
    <n v="13.6866"/>
    <n v="-89.192099999999996"/>
    <n v="15180"/>
    <n v="0"/>
    <n v="0"/>
    <n v="102"/>
    <s v="_x0000_US"/>
  </r>
  <r>
    <x v="1"/>
    <n v="13.6866"/>
    <n v="-89.1922"/>
    <n v="15180"/>
    <n v="0"/>
    <n v="0"/>
    <n v="102"/>
    <s v="_x0000_US"/>
  </r>
  <r>
    <x v="1"/>
    <n v="13.6866"/>
    <n v="-89.1922"/>
    <n v="15180"/>
    <n v="0"/>
    <n v="0"/>
    <n v="102"/>
    <s v="_x0000_US"/>
  </r>
  <r>
    <x v="1"/>
    <n v="13.6866"/>
    <n v="-89.1922"/>
    <n v="15180"/>
    <n v="0"/>
    <n v="0"/>
    <n v="102"/>
    <s v="_x0000_US"/>
  </r>
  <r>
    <x v="1"/>
    <n v="13.6866"/>
    <n v="-89.1922"/>
    <n v="15180"/>
    <n v="0"/>
    <n v="0"/>
    <n v="102"/>
    <s v="_x0000_US"/>
  </r>
  <r>
    <x v="1"/>
    <n v="13.6866"/>
    <n v="-89.1922"/>
    <n v="15180"/>
    <n v="0"/>
    <n v="0"/>
    <n v="102"/>
    <s v="_x0000_US"/>
  </r>
  <r>
    <x v="1"/>
    <n v="13.6867"/>
    <n v="-89.1922"/>
    <n v="15180"/>
    <n v="0"/>
    <n v="0"/>
    <n v="102"/>
    <s v="_x0000_US"/>
  </r>
  <r>
    <x v="1"/>
    <n v="13.6867"/>
    <n v="-89.1922"/>
    <n v="15180"/>
    <n v="0"/>
    <n v="0"/>
    <n v="102"/>
    <s v="_x0000_US"/>
  </r>
  <r>
    <x v="1"/>
    <n v="13.6867"/>
    <n v="-89.1922"/>
    <n v="15180"/>
    <n v="0"/>
    <n v="0"/>
    <n v="102"/>
    <s v="_x0000_US"/>
  </r>
  <r>
    <x v="1"/>
    <n v="13.6867"/>
    <n v="-89.1922"/>
    <n v="15180"/>
    <n v="0"/>
    <n v="0"/>
    <n v="102"/>
    <s v="_x0000_US"/>
  </r>
  <r>
    <x v="1"/>
    <n v="13.6867"/>
    <n v="-89.192099999999996"/>
    <n v="15180"/>
    <n v="0"/>
    <n v="0"/>
    <n v="102"/>
    <s v="_x0000_US"/>
  </r>
  <r>
    <x v="1"/>
    <n v="13.6867"/>
    <n v="-89.191999999999993"/>
    <n v="15180"/>
    <n v="0"/>
    <n v="0"/>
    <n v="102"/>
    <s v="_x0000_US"/>
  </r>
  <r>
    <x v="1"/>
    <n v="13.6867"/>
    <n v="-89.191999999999993"/>
    <n v="15180"/>
    <n v="0"/>
    <n v="0"/>
    <n v="102"/>
    <s v="_x0000_US"/>
  </r>
  <r>
    <x v="1"/>
    <n v="13.6867"/>
    <n v="-89.191999999999993"/>
    <n v="15180"/>
    <n v="0"/>
    <n v="0"/>
    <n v="102"/>
    <s v="_x0000_US"/>
  </r>
  <r>
    <x v="1"/>
    <n v="13.6867"/>
    <n v="-89.191999999999993"/>
    <n v="15180"/>
    <n v="0"/>
    <n v="0"/>
    <n v="102"/>
    <s v="_x0000_US"/>
  </r>
  <r>
    <x v="1"/>
    <n v="13.6867"/>
    <n v="-89.191999999999993"/>
    <n v="15180"/>
    <n v="0"/>
    <n v="0"/>
    <n v="102"/>
    <s v="_x0000_US"/>
  </r>
  <r>
    <x v="1"/>
    <n v="13.6866"/>
    <n v="-89.191999999999993"/>
    <n v="15180"/>
    <n v="0"/>
    <n v="0"/>
    <n v="102"/>
    <s v="_x0000_US"/>
  </r>
  <r>
    <x v="1"/>
    <n v="13.6866"/>
    <n v="-89.191999999999993"/>
    <n v="15180"/>
    <n v="0"/>
    <n v="0"/>
    <n v="102"/>
    <s v="_x0000_US"/>
  </r>
  <r>
    <x v="1"/>
    <n v="13.6866"/>
    <n v="-89.191999999999993"/>
    <n v="15180"/>
    <n v="0"/>
    <n v="0"/>
    <n v="102"/>
    <s v="_x0000_US"/>
  </r>
  <r>
    <x v="1"/>
    <n v="13.6866"/>
    <n v="-89.191999999999993"/>
    <n v="15180"/>
    <n v="0"/>
    <n v="0"/>
    <n v="102"/>
    <s v="_x0000_US"/>
  </r>
  <r>
    <x v="1"/>
    <n v="13.6866"/>
    <n v="-89.191999999999993"/>
    <n v="15180"/>
    <n v="0"/>
    <n v="0"/>
    <n v="102"/>
    <s v="_x0000_US"/>
  </r>
  <r>
    <x v="1"/>
    <n v="13.686500000000001"/>
    <n v="-89.1922"/>
    <n v="15180"/>
    <n v="0"/>
    <n v="0"/>
    <n v="102"/>
    <s v="_x0000_US"/>
  </r>
  <r>
    <x v="1"/>
    <n v="13.687200000000001"/>
    <n v="-89.1922"/>
    <n v="18300"/>
    <n v="0"/>
    <n v="0"/>
    <n v="102"/>
    <s v="_x0000_US"/>
  </r>
  <r>
    <x v="1"/>
    <n v="13.686999999999999"/>
    <n v="-89.192099999999996"/>
    <n v="18300"/>
    <n v="0"/>
    <n v="0"/>
    <n v="102"/>
    <s v="_x0000_US"/>
  </r>
  <r>
    <x v="1"/>
    <n v="13.687099999999999"/>
    <n v="-89.191999999999993"/>
    <n v="18300"/>
    <n v="0"/>
    <n v="0"/>
    <n v="102"/>
    <s v="_x0000_US"/>
  </r>
  <r>
    <x v="1"/>
    <n v="13.687099999999999"/>
    <n v="-89.191900000000004"/>
    <n v="18300"/>
    <n v="0"/>
    <n v="0"/>
    <n v="102"/>
    <s v="_x0000_US"/>
  </r>
  <r>
    <x v="1"/>
    <n v="13.686999999999999"/>
    <n v="-89.191999999999993"/>
    <n v="18300"/>
    <n v="0"/>
    <n v="0"/>
    <n v="102"/>
    <s v="_x0000_US"/>
  </r>
  <r>
    <x v="1"/>
    <n v="13.686999999999999"/>
    <n v="-89.1922"/>
    <n v="18300"/>
    <n v="0"/>
    <n v="0"/>
    <n v="102"/>
    <s v="_x0000_US"/>
  </r>
  <r>
    <x v="1"/>
    <n v="13.687099999999999"/>
    <n v="-89.192300000000003"/>
    <n v="18300"/>
    <n v="0"/>
    <n v="0"/>
    <n v="102"/>
    <s v="_x0000_US"/>
  </r>
  <r>
    <x v="1"/>
    <n v="13.686999999999999"/>
    <n v="-89.192300000000003"/>
    <n v="18300"/>
    <n v="0"/>
    <n v="0"/>
    <n v="102"/>
    <s v="_x0000_US"/>
  </r>
  <r>
    <x v="1"/>
    <n v="13.686999999999999"/>
    <n v="-89.192400000000006"/>
    <n v="18300"/>
    <n v="0"/>
    <n v="0"/>
    <n v="102"/>
    <s v="_x0000_US"/>
  </r>
  <r>
    <x v="1"/>
    <n v="13.6869"/>
    <n v="-89.1922"/>
    <n v="18300"/>
    <n v="0"/>
    <n v="0"/>
    <n v="102"/>
    <s v="_x0000_US"/>
  </r>
  <r>
    <x v="1"/>
    <n v="13.686999999999999"/>
    <n v="-89.192300000000003"/>
    <n v="18300"/>
    <n v="0"/>
    <n v="0"/>
    <n v="102"/>
    <s v="_x0000_US"/>
  </r>
  <r>
    <x v="1"/>
    <n v="13.6869"/>
    <n v="-89.192400000000006"/>
    <n v="18300"/>
    <n v="0"/>
    <n v="0"/>
    <n v="102"/>
    <s v="_x0000_US"/>
  </r>
  <r>
    <x v="1"/>
    <n v="13.6868"/>
    <n v="-89.192599999999999"/>
    <n v="18300"/>
    <n v="0"/>
    <n v="0"/>
    <n v="102"/>
    <s v="_x0000_US"/>
  </r>
  <r>
    <x v="1"/>
    <n v="13.6869"/>
    <n v="-89.192099999999996"/>
    <n v="18300"/>
    <n v="0"/>
    <n v="0"/>
    <n v="102"/>
    <s v="_x0000_US"/>
  </r>
  <r>
    <x v="1"/>
    <n v="13.6869"/>
    <n v="-89.192099999999996"/>
    <n v="18300"/>
    <n v="0"/>
    <n v="0"/>
    <n v="102"/>
    <s v="_x0000_US"/>
  </r>
  <r>
    <x v="1"/>
    <n v="13.6869"/>
    <n v="-89.191999999999993"/>
    <n v="18300"/>
    <n v="0"/>
    <n v="0"/>
    <n v="102"/>
    <s v="_x0000_US"/>
  </r>
  <r>
    <x v="1"/>
    <n v="13.6869"/>
    <n v="-89.191999999999993"/>
    <n v="18300"/>
    <n v="0"/>
    <n v="0"/>
    <n v="102"/>
    <s v="_x0000_US"/>
  </r>
  <r>
    <x v="1"/>
    <n v="13.6868"/>
    <n v="-89.191999999999993"/>
    <n v="18300"/>
    <n v="0"/>
    <n v="0"/>
    <n v="102"/>
    <s v="_x0000_US"/>
  </r>
  <r>
    <x v="1"/>
    <n v="13.6868"/>
    <n v="-89.191999999999993"/>
    <n v="18300"/>
    <n v="0"/>
    <n v="0"/>
    <n v="102"/>
    <s v="_x0000_US"/>
  </r>
  <r>
    <x v="1"/>
    <n v="13.6869"/>
    <n v="-89.192099999999996"/>
    <n v="18300"/>
    <n v="0"/>
    <n v="0"/>
    <n v="102"/>
    <s v="_x0000_US"/>
  </r>
  <r>
    <x v="1"/>
    <n v="13.6869"/>
    <n v="-89.192099999999996"/>
    <n v="18300"/>
    <n v="0"/>
    <n v="0"/>
    <n v="102"/>
    <s v="_x0000_US"/>
  </r>
  <r>
    <x v="1"/>
    <n v="13.6869"/>
    <n v="-89.191999999999993"/>
    <n v="18300"/>
    <n v="0"/>
    <n v="0"/>
    <n v="102"/>
    <s v="_x0000_US"/>
  </r>
  <r>
    <x v="1"/>
    <n v="13.686999999999999"/>
    <n v="-89.191900000000004"/>
    <n v="18300"/>
    <n v="0"/>
    <n v="0"/>
    <n v="102"/>
    <s v="_x0000_US"/>
  </r>
  <r>
    <x v="1"/>
    <n v="13.687200000000001"/>
    <n v="-89.191900000000004"/>
    <n v="18300"/>
    <n v="0"/>
    <n v="0"/>
    <n v="102"/>
    <s v="_x0000_US"/>
  </r>
  <r>
    <x v="1"/>
    <n v="13.6873"/>
    <n v="-89.191800000000001"/>
    <n v="18300"/>
    <n v="0"/>
    <n v="0"/>
    <n v="102"/>
    <s v="_x0000_US"/>
  </r>
  <r>
    <x v="1"/>
    <n v="13.6875"/>
    <n v="-89.191999999999993"/>
    <n v="18300"/>
    <n v="0"/>
    <n v="0"/>
    <n v="102"/>
    <s v="_x0000_US"/>
  </r>
  <r>
    <x v="1"/>
    <n v="13.6875"/>
    <n v="-89.191800000000001"/>
    <n v="18300"/>
    <n v="0"/>
    <n v="0"/>
    <n v="102"/>
    <s v="_x0000_US"/>
  </r>
  <r>
    <x v="1"/>
    <n v="13.6875"/>
    <n v="-89.191800000000001"/>
    <n v="18300"/>
    <n v="0"/>
    <n v="0"/>
    <n v="102"/>
    <s v="_x0000_US"/>
  </r>
  <r>
    <x v="1"/>
    <n v="13.6876"/>
    <n v="-89.191800000000001"/>
    <n v="18300"/>
    <n v="0"/>
    <n v="0"/>
    <n v="102"/>
    <s v="_x0000_US"/>
  </r>
  <r>
    <x v="1"/>
    <n v="13.6882"/>
    <n v="-89.192099999999996"/>
    <n v="18300"/>
    <n v="0"/>
    <n v="0"/>
    <n v="102"/>
    <s v="_x0000_US"/>
  </r>
  <r>
    <x v="1"/>
    <n v="13.6882"/>
    <n v="-89.192300000000003"/>
    <n v="18300"/>
    <n v="0"/>
    <n v="0"/>
    <n v="102"/>
    <s v="_x0000_US"/>
  </r>
  <r>
    <x v="1"/>
    <n v="13.6882"/>
    <n v="-89.192300000000003"/>
    <n v="18300"/>
    <n v="0"/>
    <n v="0"/>
    <n v="102"/>
    <s v="_x0000_US"/>
  </r>
  <r>
    <x v="1"/>
    <n v="13.6882"/>
    <n v="-89.192300000000003"/>
    <n v="18300"/>
    <n v="0"/>
    <n v="0"/>
    <n v="102"/>
    <s v="_x0000_US"/>
  </r>
  <r>
    <x v="1"/>
    <n v="13.687900000000001"/>
    <n v="-89.192700000000002"/>
    <n v="18300"/>
    <n v="0"/>
    <n v="0"/>
    <n v="102"/>
    <s v="_x0000_US"/>
  </r>
  <r>
    <x v="1"/>
    <n v="13.6877"/>
    <n v="-89.192800000000005"/>
    <n v="18300"/>
    <n v="0"/>
    <n v="0"/>
    <n v="102"/>
    <s v="_x0000_US"/>
  </r>
  <r>
    <x v="1"/>
    <n v="13.687799999999999"/>
    <n v="-89.192700000000002"/>
    <n v="18300"/>
    <n v="0"/>
    <n v="0"/>
    <n v="102"/>
    <s v="_x0000_US"/>
  </r>
  <r>
    <x v="1"/>
    <n v="13.6883"/>
    <n v="-89.192700000000002"/>
    <n v="18300"/>
    <n v="0"/>
    <n v="0"/>
    <n v="102"/>
    <s v="_x0000_US"/>
  </r>
  <r>
    <x v="1"/>
    <n v="13.6884"/>
    <n v="-89.192599999999999"/>
    <n v="18300"/>
    <n v="0"/>
    <n v="0"/>
    <n v="102"/>
    <s v="_x0000_US"/>
  </r>
  <r>
    <x v="1"/>
    <n v="13.6884"/>
    <n v="-89.192599999999999"/>
    <n v="18300"/>
    <n v="0"/>
    <n v="0"/>
    <n v="102"/>
    <s v="_x0000_US"/>
  </r>
  <r>
    <x v="1"/>
    <n v="13.6883"/>
    <n v="-89.1922"/>
    <n v="18300"/>
    <n v="0"/>
    <n v="0"/>
    <n v="102"/>
    <s v="_x0000_US"/>
  </r>
  <r>
    <x v="1"/>
    <n v="13.6884"/>
    <n v="-89.192300000000003"/>
    <n v="18300"/>
    <n v="0"/>
    <n v="0"/>
    <n v="102"/>
    <s v="_x0000_US"/>
  </r>
  <r>
    <x v="1"/>
    <n v="13.6883"/>
    <n v="-89.192400000000006"/>
    <n v="18300"/>
    <n v="0"/>
    <n v="0"/>
    <n v="102"/>
    <s v="_x0000_US"/>
  </r>
  <r>
    <x v="1"/>
    <n v="13.6882"/>
    <n v="-89.192599999999999"/>
    <n v="18300"/>
    <n v="0"/>
    <n v="0"/>
    <n v="102"/>
    <s v="_x0000_US"/>
  </r>
  <r>
    <x v="1"/>
    <n v="13.686500000000001"/>
    <n v="-89.193899999999999"/>
    <n v="18300"/>
    <n v="0"/>
    <n v="0"/>
    <n v="102"/>
    <s v="_x0000_US"/>
  </r>
  <r>
    <x v="1"/>
    <n v="13.686500000000001"/>
    <n v="-89.193899999999999"/>
    <n v="18300"/>
    <n v="0"/>
    <n v="0"/>
    <n v="102"/>
    <s v="_x0000_US"/>
  </r>
  <r>
    <x v="1"/>
    <n v="13.686500000000001"/>
    <n v="-89.193799999999996"/>
    <n v="18300"/>
    <n v="0"/>
    <n v="0"/>
    <n v="102"/>
    <s v="_x0000_US"/>
  </r>
  <r>
    <x v="1"/>
    <n v="13.686500000000001"/>
    <n v="-89.193799999999996"/>
    <n v="18300"/>
    <n v="0"/>
    <n v="0"/>
    <n v="102"/>
    <s v="_x0000_US"/>
  </r>
  <r>
    <x v="1"/>
    <n v="13.686500000000001"/>
    <n v="-89.193799999999996"/>
    <n v="18300"/>
    <n v="0"/>
    <n v="0"/>
    <n v="102"/>
    <s v="_x0000_US"/>
  </r>
  <r>
    <x v="1"/>
    <n v="13.6866"/>
    <n v="-89.193899999999999"/>
    <n v="18300"/>
    <n v="0"/>
    <n v="0"/>
    <n v="102"/>
    <s v="_x0000_US"/>
  </r>
  <r>
    <x v="1"/>
    <n v="13.6866"/>
    <n v="-89.193899999999999"/>
    <n v="18300"/>
    <n v="0"/>
    <n v="0"/>
    <n v="102"/>
    <s v="_x0000_US"/>
  </r>
  <r>
    <x v="1"/>
    <n v="13.6866"/>
    <n v="-89.193700000000007"/>
    <n v="18300"/>
    <n v="0"/>
    <n v="0"/>
    <n v="102"/>
    <s v="_x0000_US"/>
  </r>
  <r>
    <x v="1"/>
    <n v="13.6867"/>
    <n v="-89.194000000000003"/>
    <n v="18300"/>
    <n v="0"/>
    <n v="0"/>
    <n v="102"/>
    <s v="_x0000_US"/>
  </r>
  <r>
    <x v="1"/>
    <n v="13.6867"/>
    <n v="-89.193899999999999"/>
    <n v="18300"/>
    <n v="0"/>
    <n v="0"/>
    <n v="102"/>
    <s v="_x0000_US"/>
  </r>
  <r>
    <x v="1"/>
    <n v="13.6867"/>
    <n v="-89.193799999999996"/>
    <n v="18300"/>
    <n v="0"/>
    <n v="0"/>
    <n v="102"/>
    <s v="_x0000_US"/>
  </r>
  <r>
    <x v="1"/>
    <n v="13.6866"/>
    <n v="-89.193700000000007"/>
    <n v="18300"/>
    <n v="0"/>
    <n v="0"/>
    <n v="102"/>
    <s v="_x0000_US"/>
  </r>
  <r>
    <x v="1"/>
    <n v="13.6868"/>
    <n v="-89.193899999999999"/>
    <n v="18300"/>
    <n v="0"/>
    <n v="0"/>
    <n v="102"/>
    <s v="_x0000_US"/>
  </r>
  <r>
    <x v="1"/>
    <n v="13.6867"/>
    <n v="-89.193799999999996"/>
    <n v="18300"/>
    <n v="0"/>
    <n v="0"/>
    <n v="102"/>
    <s v="_x0000_US"/>
  </r>
  <r>
    <x v="1"/>
    <n v="13.6868"/>
    <n v="-89.193899999999999"/>
    <n v="18300"/>
    <n v="0"/>
    <n v="0"/>
    <n v="102"/>
    <s v="_x0000_US"/>
  </r>
  <r>
    <x v="1"/>
    <n v="13.6868"/>
    <n v="-89.193899999999999"/>
    <n v="18300"/>
    <n v="0"/>
    <n v="0"/>
    <n v="102"/>
    <s v="_x0000_US"/>
  </r>
  <r>
    <x v="1"/>
    <n v="13.6867"/>
    <n v="-89.194000000000003"/>
    <n v="18300"/>
    <n v="0"/>
    <n v="0"/>
    <n v="102"/>
    <s v="_x0000_US"/>
  </r>
  <r>
    <x v="1"/>
    <n v="13.6868"/>
    <n v="-89.194000000000003"/>
    <n v="18300"/>
    <n v="0"/>
    <n v="0"/>
    <n v="102"/>
    <s v="_x0000_US"/>
  </r>
  <r>
    <x v="1"/>
    <n v="13.6867"/>
    <n v="-89.194000000000003"/>
    <n v="18300"/>
    <n v="0"/>
    <n v="0"/>
    <n v="102"/>
    <s v="_x0000_US"/>
  </r>
  <r>
    <x v="1"/>
    <n v="13.6867"/>
    <n v="-89.194199999999995"/>
    <n v="18300"/>
    <n v="0"/>
    <n v="0"/>
    <n v="102"/>
    <s v="_x0000_US"/>
  </r>
  <r>
    <x v="1"/>
    <n v="13.686500000000001"/>
    <n v="-89.193899999999999"/>
    <n v="18300"/>
    <n v="0"/>
    <n v="0"/>
    <n v="102"/>
    <s v="_x0000_US"/>
  </r>
  <r>
    <x v="1"/>
    <n v="13.686400000000001"/>
    <n v="-89.193899999999999"/>
    <n v="18300"/>
    <n v="0"/>
    <n v="0"/>
    <n v="102"/>
    <s v="_x0000_US"/>
  </r>
  <r>
    <x v="1"/>
    <n v="13.686299999999999"/>
    <n v="-89.192999999999998"/>
    <n v="18300"/>
    <n v="0"/>
    <n v="0"/>
    <n v="102"/>
    <s v="_x0000_US"/>
  </r>
  <r>
    <x v="1"/>
    <n v="13.686299999999999"/>
    <n v="-89.192899999999995"/>
    <n v="18300"/>
    <n v="0"/>
    <n v="0"/>
    <n v="102"/>
    <s v="_x0000_US"/>
  </r>
  <r>
    <x v="1"/>
    <n v="13.686400000000001"/>
    <n v="-89.192999999999998"/>
    <n v="18300"/>
    <n v="0"/>
    <n v="0"/>
    <n v="102"/>
    <s v="_x0000_US"/>
  </r>
  <r>
    <x v="1"/>
    <n v="13.686500000000001"/>
    <n v="-89.192899999999995"/>
    <n v="18300"/>
    <n v="0"/>
    <n v="0"/>
    <n v="102"/>
    <s v="_x0000_US"/>
  </r>
  <r>
    <x v="1"/>
    <n v="13.686500000000001"/>
    <n v="-89.192800000000005"/>
    <n v="18300"/>
    <n v="0"/>
    <n v="0"/>
    <n v="102"/>
    <s v="_x0000_US"/>
  </r>
  <r>
    <x v="1"/>
    <n v="13.6867"/>
    <n v="-89.192700000000002"/>
    <n v="18300"/>
    <n v="0"/>
    <n v="0"/>
    <n v="102"/>
    <s v="_x0000_US"/>
  </r>
  <r>
    <x v="1"/>
    <n v="13.6866"/>
    <n v="-89.192700000000002"/>
    <n v="18300"/>
    <n v="0"/>
    <n v="0"/>
    <n v="102"/>
    <s v="_x0000_US"/>
  </r>
  <r>
    <x v="1"/>
    <n v="13.6866"/>
    <n v="-89.192800000000005"/>
    <n v="18300"/>
    <n v="0"/>
    <n v="0"/>
    <n v="102"/>
    <s v="_x0000_US"/>
  </r>
  <r>
    <x v="1"/>
    <n v="13.686999999999999"/>
    <n v="-89.192999999999998"/>
    <n v="18300"/>
    <n v="0"/>
    <n v="0"/>
    <n v="102"/>
    <s v="_x0000_US"/>
  </r>
  <r>
    <x v="1"/>
    <n v="13.6873"/>
    <n v="-89.192800000000005"/>
    <n v="18300"/>
    <n v="0"/>
    <n v="0"/>
    <n v="102"/>
    <s v="_x0000_US"/>
  </r>
  <r>
    <x v="1"/>
    <n v="13.6873"/>
    <n v="-89.192800000000005"/>
    <n v="18300"/>
    <n v="0"/>
    <n v="0"/>
    <n v="102"/>
    <s v="_x0000_US"/>
  </r>
  <r>
    <x v="1"/>
    <n v="13.6874"/>
    <n v="-89.192700000000002"/>
    <n v="18300"/>
    <n v="0"/>
    <n v="0"/>
    <n v="102"/>
    <s v="_x0000_US"/>
  </r>
  <r>
    <x v="1"/>
    <n v="13.6875"/>
    <n v="-89.192899999999995"/>
    <n v="18300"/>
    <n v="0"/>
    <n v="0"/>
    <n v="102"/>
    <s v="_x0000_US"/>
  </r>
  <r>
    <x v="1"/>
    <n v="13.6875"/>
    <n v="-89.192800000000005"/>
    <n v="18300"/>
    <n v="0"/>
    <n v="0"/>
    <n v="102"/>
    <s v="_x0000_US"/>
  </r>
  <r>
    <x v="1"/>
    <n v="13.686500000000001"/>
    <n v="-89.193700000000007"/>
    <n v="18300"/>
    <n v="0"/>
    <n v="0"/>
    <n v="102"/>
    <s v="_x0000_US"/>
  </r>
  <r>
    <x v="1"/>
    <n v="13.686199999999999"/>
    <n v="-89.193200000000004"/>
    <n v="18300"/>
    <n v="0"/>
    <n v="0"/>
    <n v="102"/>
    <s v="_x0000_US"/>
  </r>
  <r>
    <x v="1"/>
    <n v="13.6861"/>
    <n v="-89.193100000000001"/>
    <n v="18300"/>
    <n v="0"/>
    <n v="0"/>
    <n v="102"/>
    <s v="_x0000_US"/>
  </r>
  <r>
    <x v="1"/>
    <n v="13.686199999999999"/>
    <n v="-89.1922"/>
    <n v="18300"/>
    <n v="0"/>
    <n v="0"/>
    <n v="102"/>
    <s v="_x0000_US"/>
  </r>
  <r>
    <x v="1"/>
    <n v="13.686299999999999"/>
    <n v="-89.192099999999996"/>
    <n v="18300"/>
    <n v="0"/>
    <n v="0"/>
    <n v="102"/>
    <s v="_x0000_US"/>
  </r>
  <r>
    <x v="1"/>
    <n v="13.686299999999999"/>
    <n v="-89.191699999999997"/>
    <n v="18300"/>
    <n v="0"/>
    <n v="0"/>
    <n v="102"/>
    <s v="_x0000_US"/>
  </r>
  <r>
    <x v="1"/>
    <n v="13.686400000000001"/>
    <n v="-89.192700000000002"/>
    <n v="18300"/>
    <n v="0"/>
    <n v="0"/>
    <n v="102"/>
    <s v="_x0000_US"/>
  </r>
  <r>
    <x v="1"/>
    <n v="13.686400000000001"/>
    <n v="-89.192599999999999"/>
    <n v="18300"/>
    <n v="0"/>
    <n v="0"/>
    <n v="102"/>
    <s v="_x0000_US"/>
  </r>
  <r>
    <x v="1"/>
    <n v="13.6861"/>
    <n v="-89.192800000000005"/>
    <n v="18300"/>
    <n v="0"/>
    <n v="0"/>
    <n v="102"/>
    <s v="_x0000_US"/>
  </r>
  <r>
    <x v="1"/>
    <n v="13.6861"/>
    <n v="-89.192899999999995"/>
    <n v="18300"/>
    <n v="0"/>
    <n v="0"/>
    <n v="102"/>
    <s v="_x0000_US"/>
  </r>
  <r>
    <x v="1"/>
    <n v="13.6861"/>
    <n v="-89.193100000000001"/>
    <n v="18300"/>
    <n v="0"/>
    <n v="0"/>
    <n v="102"/>
    <s v="_x0000_US"/>
  </r>
  <r>
    <x v="1"/>
    <n v="13.686500000000001"/>
    <n v="-89.191299999999998"/>
    <n v="18300"/>
    <n v="0"/>
    <n v="0"/>
    <n v="102"/>
    <s v="_x0000_US"/>
  </r>
  <r>
    <x v="1"/>
    <n v="13.6866"/>
    <n v="-89.191500000000005"/>
    <n v="18300"/>
    <n v="0"/>
    <n v="0"/>
    <n v="102"/>
    <s v="_x0000_US"/>
  </r>
  <r>
    <x v="1"/>
    <n v="13.6866"/>
    <n v="-89.191500000000005"/>
    <n v="18300"/>
    <n v="0"/>
    <n v="0"/>
    <n v="102"/>
    <s v="_x0000_US"/>
  </r>
  <r>
    <x v="1"/>
    <n v="13.6866"/>
    <n v="-89.191500000000005"/>
    <n v="18300"/>
    <n v="0"/>
    <n v="0"/>
    <n v="102"/>
    <s v="_x0000_US"/>
  </r>
  <r>
    <x v="1"/>
    <n v="13.6866"/>
    <n v="-89.191500000000005"/>
    <n v="18300"/>
    <n v="0"/>
    <n v="0"/>
    <n v="102"/>
    <s v="_x0000_US"/>
  </r>
  <r>
    <x v="1"/>
    <n v="13.6866"/>
    <n v="-89.191599999999994"/>
    <n v="18300"/>
    <n v="0"/>
    <n v="0"/>
    <n v="102"/>
    <s v="_x0000_US"/>
  </r>
  <r>
    <x v="1"/>
    <n v="13.6866"/>
    <n v="-89.191599999999994"/>
    <n v="18300"/>
    <n v="0"/>
    <n v="0"/>
    <n v="102"/>
    <s v="_x0000_US"/>
  </r>
  <r>
    <x v="1"/>
    <n v="13.6866"/>
    <n v="-89.191699999999997"/>
    <n v="18300"/>
    <n v="0"/>
    <n v="0"/>
    <n v="102"/>
    <s v="_x0000_US"/>
  </r>
  <r>
    <x v="1"/>
    <n v="13.6866"/>
    <n v="-89.191699999999997"/>
    <n v="18300"/>
    <n v="0"/>
    <n v="0"/>
    <n v="102"/>
    <s v="_x0000_US"/>
  </r>
  <r>
    <x v="1"/>
    <n v="13.6866"/>
    <n v="-89.191699999999997"/>
    <n v="18300"/>
    <n v="0"/>
    <n v="0"/>
    <n v="102"/>
    <s v="_x0000_US"/>
  </r>
  <r>
    <x v="1"/>
    <n v="13.6866"/>
    <n v="-89.191699999999997"/>
    <n v="18300"/>
    <n v="0"/>
    <n v="0"/>
    <n v="102"/>
    <s v="_x0000_US"/>
  </r>
  <r>
    <x v="1"/>
    <n v="13.6866"/>
    <n v="-89.191599999999994"/>
    <n v="18300"/>
    <n v="0"/>
    <n v="0"/>
    <n v="102"/>
    <s v="_x0000_US"/>
  </r>
  <r>
    <x v="1"/>
    <n v="13.6866"/>
    <n v="-89.191599999999994"/>
    <n v="18300"/>
    <n v="0"/>
    <n v="0"/>
    <n v="102"/>
    <s v="_x0000_US"/>
  </r>
  <r>
    <x v="1"/>
    <n v="13.686500000000001"/>
    <n v="-89.191699999999997"/>
    <n v="18300"/>
    <n v="0"/>
    <n v="0"/>
    <n v="102"/>
    <s v="_x0000_US"/>
  </r>
  <r>
    <x v="1"/>
    <n v="13.686500000000001"/>
    <n v="-89.191699999999997"/>
    <n v="18300"/>
    <n v="0"/>
    <n v="0"/>
    <n v="102"/>
    <s v="_x0000_US"/>
  </r>
  <r>
    <x v="1"/>
    <n v="13.686500000000001"/>
    <n v="-89.191699999999997"/>
    <n v="18300"/>
    <n v="0"/>
    <n v="0"/>
    <n v="102"/>
    <s v="_x0000_US"/>
  </r>
  <r>
    <x v="1"/>
    <n v="13.686500000000001"/>
    <n v="-89.191699999999997"/>
    <n v="18300"/>
    <n v="0"/>
    <n v="0"/>
    <n v="102"/>
    <s v="_x0000_US"/>
  </r>
  <r>
    <x v="1"/>
    <n v="13.686500000000001"/>
    <n v="-89.191599999999994"/>
    <n v="18300"/>
    <n v="0"/>
    <n v="0"/>
    <n v="102"/>
    <s v="_x0000_US"/>
  </r>
  <r>
    <x v="1"/>
    <n v="13.686500000000001"/>
    <n v="-89.191599999999994"/>
    <n v="18300"/>
    <n v="0"/>
    <n v="0"/>
    <n v="102"/>
    <s v="_x0000_US"/>
  </r>
  <r>
    <x v="1"/>
    <n v="13.686500000000001"/>
    <n v="-89.191599999999994"/>
    <n v="18300"/>
    <n v="0"/>
    <n v="0"/>
    <n v="102"/>
    <s v="_x0000_US"/>
  </r>
  <r>
    <x v="1"/>
    <n v="13.686500000000001"/>
    <n v="-89.191599999999994"/>
    <n v="18300"/>
    <n v="0"/>
    <n v="0"/>
    <n v="102"/>
    <s v="_x0000_US"/>
  </r>
  <r>
    <x v="1"/>
    <n v="13.686500000000001"/>
    <n v="-89.191500000000005"/>
    <n v="18300"/>
    <n v="0"/>
    <n v="0"/>
    <n v="102"/>
    <s v="_x0000_US"/>
  </r>
  <r>
    <x v="1"/>
    <n v="13.686500000000001"/>
    <n v="-89.191500000000005"/>
    <n v="18300"/>
    <n v="0"/>
    <n v="0"/>
    <n v="102"/>
    <s v="_x0000_US"/>
  </r>
  <r>
    <x v="1"/>
    <n v="13.686500000000001"/>
    <n v="-89.191500000000005"/>
    <n v="18300"/>
    <n v="0"/>
    <n v="0"/>
    <n v="102"/>
    <s v="_x0000_US"/>
  </r>
  <r>
    <x v="1"/>
    <n v="13.686500000000001"/>
    <n v="-89.191500000000005"/>
    <n v="18300"/>
    <n v="0"/>
    <n v="0"/>
    <n v="102"/>
    <s v="_x0000_US"/>
  </r>
  <r>
    <x v="1"/>
    <n v="13.686299999999999"/>
    <n v="-89.191699999999997"/>
    <n v="18300"/>
    <n v="0"/>
    <n v="0"/>
    <n v="102"/>
    <s v="_x0000_US"/>
  </r>
  <r>
    <x v="1"/>
    <n v="13.687200000000001"/>
    <n v="-89.1922"/>
    <n v="18300"/>
    <n v="0"/>
    <n v="0"/>
    <n v="102"/>
    <s v="_x0000_US"/>
  </r>
  <r>
    <x v="1"/>
    <n v="13.687200000000001"/>
    <n v="-89.192099999999996"/>
    <n v="18300"/>
    <n v="0"/>
    <n v="0"/>
    <n v="102"/>
    <s v="_x0000_US"/>
  </r>
  <r>
    <x v="1"/>
    <n v="13.6873"/>
    <n v="-89.192099999999996"/>
    <n v="18300"/>
    <n v="0"/>
    <n v="0"/>
    <n v="102"/>
    <s v="_x0000_US"/>
  </r>
  <r>
    <x v="1"/>
    <n v="13.6873"/>
    <n v="-89.192099999999996"/>
    <n v="18300"/>
    <n v="0"/>
    <n v="0"/>
    <n v="102"/>
    <s v="_x0000_US"/>
  </r>
  <r>
    <x v="1"/>
    <n v="13.6873"/>
    <n v="-89.192099999999996"/>
    <n v="18300"/>
    <n v="0"/>
    <n v="0"/>
    <n v="102"/>
    <s v="_x0000_US"/>
  </r>
  <r>
    <x v="1"/>
    <n v="13.6874"/>
    <n v="-89.191999999999993"/>
    <n v="18300"/>
    <n v="0"/>
    <n v="0"/>
    <n v="102"/>
    <s v="_x0000_US"/>
  </r>
  <r>
    <x v="1"/>
    <n v="13.6874"/>
    <n v="-89.192099999999996"/>
    <n v="18300"/>
    <n v="0"/>
    <n v="0"/>
    <n v="102"/>
    <s v="_x0000_US"/>
  </r>
  <r>
    <x v="1"/>
    <n v="13.6875"/>
    <n v="-89.191999999999993"/>
    <n v="18300"/>
    <n v="0"/>
    <n v="0"/>
    <n v="102"/>
    <s v="_x0000_US"/>
  </r>
  <r>
    <x v="1"/>
    <n v="13.6874"/>
    <n v="-89.192999999999998"/>
    <n v="18300"/>
    <n v="0"/>
    <n v="0"/>
    <n v="102"/>
    <s v="_x0000_US"/>
  </r>
  <r>
    <x v="1"/>
    <n v="13.687200000000001"/>
    <n v="-89.193299999999994"/>
    <n v="18300"/>
    <n v="0"/>
    <n v="0"/>
    <n v="102"/>
    <s v="_x0000_US"/>
  </r>
  <r>
    <x v="1"/>
    <n v="13.687099999999999"/>
    <n v="-89.193200000000004"/>
    <n v="18300"/>
    <n v="0"/>
    <n v="0"/>
    <n v="102"/>
    <s v="_x0000_US"/>
  </r>
  <r>
    <x v="1"/>
    <n v="13.686999999999999"/>
    <n v="-89.193100000000001"/>
    <n v="18300"/>
    <n v="0"/>
    <n v="0"/>
    <n v="102"/>
    <s v="_x0000_US"/>
  </r>
  <r>
    <x v="1"/>
    <n v="13.686999999999999"/>
    <n v="-89.193100000000001"/>
    <n v="18300"/>
    <n v="0"/>
    <n v="0"/>
    <n v="102"/>
    <s v="_x0000_US"/>
  </r>
  <r>
    <x v="1"/>
    <n v="13.686999999999999"/>
    <n v="-89.192999999999998"/>
    <n v="18300"/>
    <n v="0"/>
    <n v="0"/>
    <n v="102"/>
    <s v="_x0000_US"/>
  </r>
  <r>
    <x v="1"/>
    <n v="13.686999999999999"/>
    <n v="-89.192999999999998"/>
    <n v="18300"/>
    <n v="0"/>
    <n v="0"/>
    <n v="102"/>
    <s v="_x0000_US"/>
  </r>
  <r>
    <x v="1"/>
    <n v="13.686999999999999"/>
    <n v="-89.192999999999998"/>
    <n v="18300"/>
    <n v="0"/>
    <n v="0"/>
    <n v="102"/>
    <s v="_x0000_US"/>
  </r>
  <r>
    <x v="1"/>
    <n v="13.686999999999999"/>
    <n v="-89.192999999999998"/>
    <n v="18300"/>
    <n v="0"/>
    <n v="0"/>
    <n v="102"/>
    <s v="_x0000_US"/>
  </r>
  <r>
    <x v="1"/>
    <n v="13.6869"/>
    <n v="-89.192999999999998"/>
    <n v="18300"/>
    <n v="0"/>
    <n v="0"/>
    <n v="102"/>
    <s v="_x0000_US"/>
  </r>
  <r>
    <x v="1"/>
    <n v="13.6869"/>
    <n v="-89.192999999999998"/>
    <n v="18300"/>
    <n v="0"/>
    <n v="0"/>
    <n v="102"/>
    <s v="_x0000_US"/>
  </r>
  <r>
    <x v="1"/>
    <n v="13.6869"/>
    <n v="-89.192999999999998"/>
    <n v="18300"/>
    <n v="0"/>
    <n v="0"/>
    <n v="102"/>
    <s v="_x0000_US"/>
  </r>
  <r>
    <x v="1"/>
    <n v="13.6869"/>
    <n v="-89.193299999999994"/>
    <n v="18300"/>
    <n v="0"/>
    <n v="0"/>
    <n v="102"/>
    <s v="_x0000_US"/>
  </r>
  <r>
    <x v="1"/>
    <n v="13.687200000000001"/>
    <n v="-89.193200000000004"/>
    <n v="18300"/>
    <n v="0"/>
    <n v="0"/>
    <n v="102"/>
    <s v="_x0000_US"/>
  </r>
  <r>
    <x v="1"/>
    <n v="13.6867"/>
    <n v="-89.192499999999995"/>
    <n v="18300"/>
    <n v="0"/>
    <n v="0"/>
    <n v="102"/>
    <s v="_x0000_US"/>
  </r>
  <r>
    <x v="1"/>
    <n v="13.6868"/>
    <n v="-89.191900000000004"/>
    <n v="18300"/>
    <n v="0"/>
    <n v="0"/>
    <n v="102"/>
    <s v="_x0000_US"/>
  </r>
  <r>
    <x v="1"/>
    <n v="13.691000000000001"/>
    <n v="-89.193700000000007"/>
    <n v="16500"/>
    <n v="0"/>
    <n v="0"/>
    <n v="102"/>
    <s v="_x0000_US"/>
  </r>
  <r>
    <x v="1"/>
    <n v="13.690899999999999"/>
    <n v="-89.193700000000007"/>
    <n v="16500"/>
    <n v="0"/>
    <n v="0"/>
    <n v="102"/>
    <s v="_x0000_US"/>
  </r>
  <r>
    <x v="1"/>
    <n v="13.691000000000001"/>
    <n v="-89.193600000000004"/>
    <n v="16500"/>
    <n v="0"/>
    <n v="0"/>
    <n v="102"/>
    <s v="_x0000_US"/>
  </r>
  <r>
    <x v="1"/>
    <n v="13.690899999999999"/>
    <n v="-89.193600000000004"/>
    <n v="16500"/>
    <n v="0"/>
    <n v="0"/>
    <n v="102"/>
    <s v="_x0000_US"/>
  </r>
  <r>
    <x v="1"/>
    <n v="13.691000000000001"/>
    <n v="-89.1935"/>
    <n v="16500"/>
    <n v="0"/>
    <n v="0"/>
    <n v="102"/>
    <s v="_x0000_US"/>
  </r>
  <r>
    <x v="1"/>
    <n v="13.691000000000001"/>
    <n v="-89.1935"/>
    <n v="16500"/>
    <n v="0"/>
    <n v="0"/>
    <n v="102"/>
    <s v="_x0000_US"/>
  </r>
  <r>
    <x v="1"/>
    <n v="13.690899999999999"/>
    <n v="-89.1935"/>
    <n v="16500"/>
    <n v="0"/>
    <n v="0"/>
    <n v="102"/>
    <s v="_x0000_US"/>
  </r>
  <r>
    <x v="1"/>
    <n v="13.691000000000001"/>
    <n v="-89.193200000000004"/>
    <n v="16500"/>
    <n v="0"/>
    <n v="0"/>
    <n v="102"/>
    <s v="_x0000_US"/>
  </r>
  <r>
    <x v="1"/>
    <n v="13.690899999999999"/>
    <n v="-89.193700000000007"/>
    <n v="16500"/>
    <n v="0"/>
    <n v="0"/>
    <n v="102"/>
    <s v="_x0000_US"/>
  </r>
  <r>
    <x v="1"/>
    <n v="13.691000000000001"/>
    <n v="-89.193799999999996"/>
    <n v="16500"/>
    <n v="0"/>
    <n v="0"/>
    <n v="102"/>
    <s v="_x0000_US"/>
  </r>
  <r>
    <x v="1"/>
    <n v="13.6911"/>
    <n v="-89.192899999999995"/>
    <n v="8550"/>
    <n v="0"/>
    <n v="0"/>
    <n v="102"/>
    <s v="_x0000_US"/>
  </r>
  <r>
    <x v="1"/>
    <n v="13.691000000000001"/>
    <n v="-89.192999999999998"/>
    <n v="8550"/>
    <n v="0"/>
    <n v="0"/>
    <n v="102"/>
    <s v="_x0000_US"/>
  </r>
  <r>
    <x v="1"/>
    <n v="13.691000000000001"/>
    <n v="-89.192999999999998"/>
    <n v="8550"/>
    <n v="0"/>
    <n v="0"/>
    <n v="102"/>
    <s v="_x0000_US"/>
  </r>
  <r>
    <x v="1"/>
    <n v="13.6911"/>
    <n v="-89.192999999999998"/>
    <n v="8550"/>
    <n v="0"/>
    <n v="0"/>
    <n v="102"/>
    <s v="_x0000_US"/>
  </r>
  <r>
    <x v="1"/>
    <n v="13.6911"/>
    <n v="-89.192999999999998"/>
    <n v="8550"/>
    <n v="0"/>
    <n v="0"/>
    <n v="102"/>
    <s v="_x0000_US"/>
  </r>
  <r>
    <x v="1"/>
    <n v="13.6911"/>
    <n v="-89.192999999999998"/>
    <n v="8550"/>
    <n v="0"/>
    <n v="0"/>
    <n v="102"/>
    <s v="_x0000_US"/>
  </r>
  <r>
    <x v="1"/>
    <n v="13.691000000000001"/>
    <n v="-89.192999999999998"/>
    <n v="8550"/>
    <n v="0"/>
    <n v="0"/>
    <n v="102"/>
    <s v="_x0000_US"/>
  </r>
  <r>
    <x v="1"/>
    <n v="13.691000000000001"/>
    <n v="-89.192999999999998"/>
    <n v="8550"/>
    <n v="0"/>
    <n v="0"/>
    <n v="102"/>
    <s v="_x0000_US"/>
  </r>
  <r>
    <x v="1"/>
    <n v="13.6911"/>
    <n v="-89.192999999999998"/>
    <n v="8550"/>
    <n v="0"/>
    <n v="0"/>
    <n v="102"/>
    <s v="_x0000_US"/>
  </r>
  <r>
    <x v="1"/>
    <n v="13.6911"/>
    <n v="-89.192899999999995"/>
    <n v="11670"/>
    <n v="0"/>
    <n v="0"/>
    <n v="102"/>
    <s v="_x0000_US"/>
  </r>
  <r>
    <x v="1"/>
    <n v="13.691000000000001"/>
    <n v="-89.192899999999995"/>
    <n v="11670"/>
    <n v="0"/>
    <n v="0"/>
    <n v="102"/>
    <s v="_x0000_US"/>
  </r>
  <r>
    <x v="1"/>
    <n v="13.691000000000001"/>
    <n v="-89.192899999999995"/>
    <n v="11670"/>
    <n v="0"/>
    <n v="0"/>
    <n v="102"/>
    <s v="_x0000_US"/>
  </r>
  <r>
    <x v="1"/>
    <n v="13.691000000000001"/>
    <n v="-89.192899999999995"/>
    <n v="11670"/>
    <n v="0"/>
    <n v="0"/>
    <n v="102"/>
    <s v="_x0000_US"/>
  </r>
  <r>
    <x v="1"/>
    <n v="13.691000000000001"/>
    <n v="-89.192899999999995"/>
    <n v="11670"/>
    <n v="0"/>
    <n v="0"/>
    <n v="102"/>
    <s v="_x0000_US"/>
  </r>
  <r>
    <x v="1"/>
    <n v="13.691000000000001"/>
    <n v="-89.192800000000005"/>
    <n v="11670"/>
    <n v="0"/>
    <n v="0"/>
    <n v="102"/>
    <s v="_x0000_US"/>
  </r>
  <r>
    <x v="1"/>
    <n v="13.691000000000001"/>
    <n v="-89.192899999999995"/>
    <n v="11670"/>
    <n v="0"/>
    <n v="0"/>
    <n v="102"/>
    <s v="_x0000_US"/>
  </r>
  <r>
    <x v="1"/>
    <n v="13.691000000000001"/>
    <n v="-89.192800000000005"/>
    <n v="11670"/>
    <n v="0"/>
    <n v="0"/>
    <n v="102"/>
    <s v="_x0000_US"/>
  </r>
  <r>
    <x v="1"/>
    <n v="13.691000000000001"/>
    <n v="-89.192800000000005"/>
    <n v="11670"/>
    <n v="0"/>
    <n v="0"/>
    <n v="102"/>
    <s v="_x0000_US"/>
  </r>
  <r>
    <x v="1"/>
    <n v="13.691000000000001"/>
    <n v="-89.192800000000005"/>
    <n v="11670"/>
    <n v="0"/>
    <n v="0"/>
    <n v="102"/>
    <s v="_x0000_US"/>
  </r>
  <r>
    <x v="1"/>
    <n v="13.691000000000001"/>
    <n v="-89.192800000000005"/>
    <n v="11670"/>
    <n v="0"/>
    <n v="0"/>
    <n v="102"/>
    <s v="_x0000_US"/>
  </r>
  <r>
    <x v="1"/>
    <n v="13.690899999999999"/>
    <n v="-89.192800000000005"/>
    <n v="11670"/>
    <n v="0"/>
    <n v="0"/>
    <n v="102"/>
    <s v="_x0000_US"/>
  </r>
  <r>
    <x v="1"/>
    <n v="13.691000000000001"/>
    <n v="-89.192800000000005"/>
    <n v="11670"/>
    <n v="0"/>
    <n v="0"/>
    <n v="102"/>
    <s v="_x0000_US"/>
  </r>
  <r>
    <x v="1"/>
    <n v="13.6911"/>
    <n v="-89.192800000000005"/>
    <n v="11670"/>
    <n v="0"/>
    <n v="0"/>
    <n v="102"/>
    <s v="_x0000_US"/>
  </r>
  <r>
    <x v="1"/>
    <n v="13.691000000000001"/>
    <n v="-89.192800000000005"/>
    <n v="11670"/>
    <n v="0"/>
    <n v="0"/>
    <n v="102"/>
    <s v="_x0000_US"/>
  </r>
  <r>
    <x v="1"/>
    <n v="13.6911"/>
    <n v="-89.192800000000005"/>
    <n v="11670"/>
    <n v="0"/>
    <n v="0"/>
    <n v="102"/>
    <s v="_x0000_US"/>
  </r>
  <r>
    <x v="1"/>
    <n v="13.691000000000001"/>
    <n v="-89.192800000000005"/>
    <n v="11670"/>
    <n v="0"/>
    <n v="0"/>
    <n v="102"/>
    <s v="_x0000_US"/>
  </r>
  <r>
    <x v="1"/>
    <n v="13.691000000000001"/>
    <n v="-89.192800000000005"/>
    <n v="11670"/>
    <n v="0"/>
    <n v="0"/>
    <n v="102"/>
    <s v="_x0000_US"/>
  </r>
  <r>
    <x v="1"/>
    <n v="13.691000000000001"/>
    <n v="-89.192700000000002"/>
    <n v="11670"/>
    <n v="0"/>
    <n v="0"/>
    <n v="102"/>
    <s v="_x0000_US"/>
  </r>
  <r>
    <x v="1"/>
    <n v="13.6911"/>
    <n v="-89.192599999999999"/>
    <n v="11670"/>
    <n v="0"/>
    <n v="0"/>
    <n v="102"/>
    <s v="_x0000_US"/>
  </r>
  <r>
    <x v="1"/>
    <n v="13.691000000000001"/>
    <n v="-89.192599999999999"/>
    <n v="11670"/>
    <n v="0"/>
    <n v="0"/>
    <n v="102"/>
    <s v="_x0000_US"/>
  </r>
  <r>
    <x v="1"/>
    <n v="13.6911"/>
    <n v="-89.192899999999995"/>
    <n v="11670"/>
    <n v="0"/>
    <n v="0"/>
    <n v="102"/>
    <s v="_x0000_US"/>
  </r>
  <r>
    <x v="1"/>
    <n v="13.6911"/>
    <n v="-89.192800000000005"/>
    <n v="11670"/>
    <n v="0"/>
    <n v="0"/>
    <n v="102"/>
    <s v="_x0000_US"/>
  </r>
  <r>
    <x v="1"/>
    <n v="13.691000000000001"/>
    <n v="-89.192999999999998"/>
    <n v="11670"/>
    <n v="0"/>
    <n v="0"/>
    <n v="102"/>
    <s v="_x0000_US"/>
  </r>
  <r>
    <x v="1"/>
    <n v="13.691000000000001"/>
    <n v="-89.193100000000001"/>
    <n v="11670"/>
    <n v="0"/>
    <n v="0"/>
    <n v="102"/>
    <s v="_x0000_US"/>
  </r>
  <r>
    <x v="1"/>
    <n v="13.690899999999999"/>
    <n v="-89.192999999999998"/>
    <n v="11670"/>
    <n v="0"/>
    <n v="0"/>
    <n v="102"/>
    <s v="_x0000_US"/>
  </r>
  <r>
    <x v="1"/>
    <n v="13.6937"/>
    <n v="-89.19"/>
    <n v="10760"/>
    <n v="0"/>
    <n v="0"/>
    <n v="102"/>
    <s v="_x0000_US"/>
  </r>
  <r>
    <x v="1"/>
    <n v="13.6937"/>
    <n v="-89.19"/>
    <n v="10760"/>
    <n v="0"/>
    <n v="0"/>
    <n v="102"/>
    <s v="_x0000_US"/>
  </r>
  <r>
    <x v="1"/>
    <n v="13.6934"/>
    <n v="-89.189700000000002"/>
    <n v="16500"/>
    <n v="0"/>
    <n v="0"/>
    <n v="102"/>
    <s v="_x0000_US"/>
  </r>
  <r>
    <x v="1"/>
    <n v="13.6934"/>
    <n v="-89.189700000000002"/>
    <n v="16500"/>
    <n v="0"/>
    <n v="0"/>
    <n v="102"/>
    <s v="_x0000_US"/>
  </r>
  <r>
    <x v="1"/>
    <n v="13.6934"/>
    <n v="-89.189700000000002"/>
    <n v="16500"/>
    <n v="0"/>
    <n v="0"/>
    <n v="102"/>
    <s v="_x0000_US"/>
  </r>
  <r>
    <x v="1"/>
    <n v="13.6934"/>
    <n v="-89.189700000000002"/>
    <n v="16500"/>
    <n v="0"/>
    <n v="0"/>
    <n v="102"/>
    <s v="_x0000_US"/>
  </r>
  <r>
    <x v="1"/>
    <n v="13.6934"/>
    <n v="-89.189700000000002"/>
    <n v="16500"/>
    <n v="0"/>
    <n v="0"/>
    <n v="102"/>
    <s v="_x0000_US"/>
  </r>
  <r>
    <x v="1"/>
    <n v="13.6934"/>
    <n v="-89.189700000000002"/>
    <n v="16500"/>
    <n v="0"/>
    <n v="0"/>
    <n v="102"/>
    <s v="_x0000_US"/>
  </r>
  <r>
    <x v="1"/>
    <n v="13.693300000000001"/>
    <n v="-89.189599999999999"/>
    <n v="16500"/>
    <n v="0"/>
    <n v="0"/>
    <n v="102"/>
    <s v="_x0000_US"/>
  </r>
  <r>
    <x v="1"/>
    <n v="13.6934"/>
    <n v="-89.189599999999999"/>
    <n v="16500"/>
    <n v="0"/>
    <n v="0"/>
    <n v="102"/>
    <s v="_x0000_US"/>
  </r>
  <r>
    <x v="1"/>
    <n v="13.6934"/>
    <n v="-89.189599999999999"/>
    <n v="16500"/>
    <n v="0"/>
    <n v="0"/>
    <n v="102"/>
    <s v="_x0000_US"/>
  </r>
  <r>
    <x v="1"/>
    <n v="13.6934"/>
    <n v="-89.189599999999999"/>
    <n v="16500"/>
    <n v="0"/>
    <n v="0"/>
    <n v="102"/>
    <s v="_x0000_US"/>
  </r>
  <r>
    <x v="1"/>
    <n v="13.6934"/>
    <n v="-89.189599999999999"/>
    <n v="16500"/>
    <n v="0"/>
    <n v="0"/>
    <n v="102"/>
    <s v="_x0000_US"/>
  </r>
  <r>
    <x v="1"/>
    <n v="13.6934"/>
    <n v="-89.189599999999999"/>
    <n v="16500"/>
    <n v="0"/>
    <n v="0"/>
    <n v="102"/>
    <s v="_x0000_US"/>
  </r>
  <r>
    <x v="1"/>
    <n v="13.6934"/>
    <n v="-89.189599999999999"/>
    <n v="16500"/>
    <n v="0"/>
    <n v="0"/>
    <n v="102"/>
    <s v="_x0000_US"/>
  </r>
  <r>
    <x v="1"/>
    <n v="13.6934"/>
    <n v="-89.189599999999999"/>
    <n v="16500"/>
    <n v="0"/>
    <n v="0"/>
    <n v="102"/>
    <s v="_x0000_US"/>
  </r>
  <r>
    <x v="1"/>
    <n v="13.6934"/>
    <n v="-89.189599999999999"/>
    <n v="16500"/>
    <n v="0"/>
    <n v="0"/>
    <n v="102"/>
    <s v="_x0000_US"/>
  </r>
  <r>
    <x v="1"/>
    <n v="13.6934"/>
    <n v="-89.189899999999994"/>
    <n v="9200"/>
    <n v="0"/>
    <n v="0"/>
    <n v="102"/>
    <s v="_x0000_US"/>
  </r>
  <r>
    <x v="1"/>
    <n v="13.6934"/>
    <n v="-89.189899999999994"/>
    <n v="9200"/>
    <n v="0"/>
    <n v="0"/>
    <n v="102"/>
    <s v="_x0000_US"/>
  </r>
  <r>
    <x v="1"/>
    <n v="13.6934"/>
    <n v="-89.189899999999994"/>
    <n v="9200"/>
    <n v="0"/>
    <n v="0"/>
    <n v="102"/>
    <s v="_x0000_US"/>
  </r>
  <r>
    <x v="1"/>
    <n v="13.6934"/>
    <n v="-89.19"/>
    <n v="9200"/>
    <n v="0"/>
    <n v="0"/>
    <n v="102"/>
    <s v="_x0000_US"/>
  </r>
  <r>
    <x v="1"/>
    <n v="13.6934"/>
    <n v="-89.19"/>
    <n v="9200"/>
    <n v="0"/>
    <n v="0"/>
    <n v="102"/>
    <s v="_x0000_US"/>
  </r>
  <r>
    <x v="1"/>
    <n v="13.6934"/>
    <n v="-89.19"/>
    <n v="9200"/>
    <n v="0"/>
    <n v="0"/>
    <n v="102"/>
    <s v="_x0000_US"/>
  </r>
  <r>
    <x v="1"/>
    <n v="13.6934"/>
    <n v="-89.19"/>
    <n v="9200"/>
    <n v="0"/>
    <n v="0"/>
    <n v="102"/>
    <s v="_x0000_US"/>
  </r>
  <r>
    <x v="1"/>
    <n v="13.6934"/>
    <n v="-89.19"/>
    <n v="9200"/>
    <n v="0"/>
    <n v="0"/>
    <n v="102"/>
    <s v="_x0000_US"/>
  </r>
  <r>
    <x v="1"/>
    <n v="13.6934"/>
    <n v="-89.19"/>
    <n v="9200"/>
    <n v="0"/>
    <n v="0"/>
    <n v="102"/>
    <s v="_x0000_US"/>
  </r>
  <r>
    <x v="1"/>
    <n v="13.6934"/>
    <n v="-89.19"/>
    <n v="9200"/>
    <n v="0"/>
    <n v="0"/>
    <n v="102"/>
    <s v="_x0000_US"/>
  </r>
  <r>
    <x v="1"/>
    <n v="13.6934"/>
    <n v="-89.19"/>
    <n v="9200"/>
    <n v="0"/>
    <n v="0"/>
    <n v="102"/>
    <s v="_x0000_US"/>
  </r>
  <r>
    <x v="1"/>
    <n v="13.6935"/>
    <n v="-89.190200000000004"/>
    <n v="9200"/>
    <n v="0"/>
    <n v="0"/>
    <n v="102"/>
    <s v="_x0000_US"/>
  </r>
  <r>
    <x v="1"/>
    <n v="13.6935"/>
    <n v="-89.190200000000004"/>
    <n v="9200"/>
    <n v="0"/>
    <n v="0"/>
    <n v="102"/>
    <s v="_x0000_US"/>
  </r>
  <r>
    <x v="1"/>
    <n v="13.6934"/>
    <n v="-89.190100000000001"/>
    <n v="9200"/>
    <n v="0"/>
    <n v="0"/>
    <n v="102"/>
    <s v="_x0000_US"/>
  </r>
  <r>
    <x v="1"/>
    <n v="13.6934"/>
    <n v="-89.190100000000001"/>
    <n v="9200"/>
    <n v="0"/>
    <n v="0"/>
    <n v="102"/>
    <s v="_x0000_US"/>
  </r>
  <r>
    <x v="1"/>
    <n v="13.6934"/>
    <n v="-89.190100000000001"/>
    <n v="9200"/>
    <n v="0"/>
    <n v="0"/>
    <n v="102"/>
    <s v="_x0000_US"/>
  </r>
  <r>
    <x v="1"/>
    <n v="13.6934"/>
    <n v="-89.190100000000001"/>
    <n v="9200"/>
    <n v="0"/>
    <n v="0"/>
    <n v="102"/>
    <s v="_x0000_US"/>
  </r>
  <r>
    <x v="1"/>
    <n v="13.6934"/>
    <n v="-89.189899999999994"/>
    <n v="9200"/>
    <n v="0"/>
    <n v="0"/>
    <n v="102"/>
    <s v="_x0000_US"/>
  </r>
  <r>
    <x v="1"/>
    <n v="13.6934"/>
    <n v="-89.189899999999994"/>
    <n v="9200"/>
    <n v="0"/>
    <n v="0"/>
    <n v="102"/>
    <s v="_x0000_US"/>
  </r>
  <r>
    <x v="1"/>
    <n v="13.6934"/>
    <n v="-89.189899999999994"/>
    <n v="9200"/>
    <n v="0"/>
    <n v="0"/>
    <n v="102"/>
    <s v="_x0000_US"/>
  </r>
  <r>
    <x v="1"/>
    <n v="13.6934"/>
    <n v="-89.189899999999994"/>
    <n v="9200"/>
    <n v="0"/>
    <n v="0"/>
    <n v="102"/>
    <s v="_x0000_US"/>
  </r>
  <r>
    <x v="1"/>
    <n v="13.6934"/>
    <n v="-89.189899999999994"/>
    <n v="9200"/>
    <n v="0"/>
    <n v="0"/>
    <n v="102"/>
    <s v="_x0000_US"/>
  </r>
  <r>
    <x v="1"/>
    <n v="13.6934"/>
    <n v="-89.189899999999994"/>
    <n v="9200"/>
    <n v="0"/>
    <n v="0"/>
    <n v="102"/>
    <s v="_x0000_US"/>
  </r>
  <r>
    <x v="1"/>
    <n v="13.6934"/>
    <n v="-89.189899999999994"/>
    <n v="9200"/>
    <n v="0"/>
    <n v="0"/>
    <n v="102"/>
    <s v="_x0000_US"/>
  </r>
  <r>
    <x v="1"/>
    <n v="13.6934"/>
    <n v="-89.189800000000005"/>
    <n v="9200"/>
    <n v="0"/>
    <n v="0"/>
    <n v="102"/>
    <s v="_x0000_US"/>
  </r>
  <r>
    <x v="1"/>
    <n v="13.6934"/>
    <n v="-89.189800000000005"/>
    <n v="9200"/>
    <n v="0"/>
    <n v="0"/>
    <n v="102"/>
    <s v="_x0000_US"/>
  </r>
  <r>
    <x v="1"/>
    <n v="13.6934"/>
    <n v="-89.189800000000005"/>
    <n v="9200"/>
    <n v="0"/>
    <n v="0"/>
    <n v="102"/>
    <s v="_x0000_US"/>
  </r>
  <r>
    <x v="1"/>
    <n v="13.6934"/>
    <n v="-89.189800000000005"/>
    <n v="9200"/>
    <n v="0"/>
    <n v="0"/>
    <n v="102"/>
    <s v="_x0000_US"/>
  </r>
  <r>
    <x v="1"/>
    <n v="13.6934"/>
    <n v="-89.189800000000005"/>
    <n v="9200"/>
    <n v="0"/>
    <n v="0"/>
    <n v="102"/>
    <s v="_x0000_US"/>
  </r>
  <r>
    <x v="1"/>
    <n v="13.6934"/>
    <n v="-89.189800000000005"/>
    <n v="9200"/>
    <n v="0"/>
    <n v="0"/>
    <n v="102"/>
    <s v="_x0000_US"/>
  </r>
  <r>
    <x v="1"/>
    <n v="13.692500000000001"/>
    <n v="-89.188900000000004"/>
    <n v="8550"/>
    <n v="0"/>
    <n v="0"/>
    <n v="102"/>
    <s v="_x0000_US"/>
  </r>
  <r>
    <x v="1"/>
    <n v="13.692500000000001"/>
    <n v="-89.188800000000001"/>
    <n v="8550"/>
    <n v="0"/>
    <n v="0"/>
    <n v="102"/>
    <s v="_x0000_US"/>
  </r>
  <r>
    <x v="1"/>
    <n v="13.692500000000001"/>
    <n v="-89.188800000000001"/>
    <n v="8550"/>
    <n v="0"/>
    <n v="0"/>
    <n v="102"/>
    <s v="_x0000_US"/>
  </r>
  <r>
    <x v="1"/>
    <n v="13.692600000000001"/>
    <n v="-89.188800000000001"/>
    <n v="8550"/>
    <n v="0"/>
    <n v="0"/>
    <n v="102"/>
    <s v="_x0000_US"/>
  </r>
  <r>
    <x v="1"/>
    <n v="13.692600000000001"/>
    <n v="-89.188699999999997"/>
    <n v="8550"/>
    <n v="0"/>
    <n v="0"/>
    <n v="102"/>
    <s v="_x0000_US"/>
  </r>
  <r>
    <x v="1"/>
    <n v="13.692600000000001"/>
    <n v="-89.188699999999997"/>
    <n v="8550"/>
    <n v="0"/>
    <n v="0"/>
    <n v="102"/>
    <s v="_x0000_US"/>
  </r>
  <r>
    <x v="1"/>
    <n v="13.692600000000001"/>
    <n v="-89.188699999999997"/>
    <n v="8550"/>
    <n v="0"/>
    <n v="0"/>
    <n v="102"/>
    <s v="_x0000_US"/>
  </r>
  <r>
    <x v="1"/>
    <n v="13.692600000000001"/>
    <n v="-89.188699999999997"/>
    <n v="8550"/>
    <n v="0"/>
    <n v="0"/>
    <n v="102"/>
    <s v="_x0000_US"/>
  </r>
  <r>
    <x v="1"/>
    <n v="13.692600000000001"/>
    <n v="-89.188599999999994"/>
    <n v="8550"/>
    <n v="0"/>
    <n v="0"/>
    <n v="102"/>
    <s v="_x0000_US"/>
  </r>
  <r>
    <x v="1"/>
    <n v="13.6927"/>
    <n v="-89.188800000000001"/>
    <n v="8550"/>
    <n v="0"/>
    <n v="0"/>
    <n v="102"/>
    <s v="_x0000_US"/>
  </r>
  <r>
    <x v="1"/>
    <n v="13.6927"/>
    <n v="-89.188800000000001"/>
    <n v="8550"/>
    <n v="0"/>
    <n v="0"/>
    <n v="102"/>
    <s v="_x0000_US"/>
  </r>
  <r>
    <x v="1"/>
    <n v="13.692600000000001"/>
    <n v="-89.188800000000001"/>
    <n v="8550"/>
    <n v="0"/>
    <n v="0"/>
    <n v="102"/>
    <s v="_x0000_US"/>
  </r>
  <r>
    <x v="1"/>
    <n v="13.692600000000001"/>
    <n v="-89.188800000000001"/>
    <n v="8550"/>
    <n v="0"/>
    <n v="0"/>
    <n v="102"/>
    <s v="_x0000_US"/>
  </r>
  <r>
    <x v="1"/>
    <n v="13.6928"/>
    <n v="-89.188800000000001"/>
    <n v="8550"/>
    <n v="0"/>
    <n v="0"/>
    <n v="102"/>
    <s v="_x0000_US"/>
  </r>
  <r>
    <x v="1"/>
    <n v="13.6928"/>
    <n v="-89.188800000000001"/>
    <n v="8550"/>
    <n v="0"/>
    <n v="0"/>
    <n v="102"/>
    <s v="_x0000_US"/>
  </r>
  <r>
    <x v="1"/>
    <n v="13.6929"/>
    <n v="-89.1892"/>
    <n v="9980"/>
    <n v="0"/>
    <n v="0"/>
    <n v="102"/>
    <s v="_x0000_US"/>
  </r>
  <r>
    <x v="1"/>
    <n v="13.6929"/>
    <n v="-89.1892"/>
    <n v="9980"/>
    <n v="0"/>
    <n v="0"/>
    <n v="102"/>
    <s v="_x0000_US"/>
  </r>
  <r>
    <x v="1"/>
    <n v="13.6928"/>
    <n v="-89.1892"/>
    <n v="9980"/>
    <n v="0"/>
    <n v="0"/>
    <n v="102"/>
    <s v="_x0000_US"/>
  </r>
  <r>
    <x v="1"/>
    <n v="13.6928"/>
    <n v="-89.1892"/>
    <n v="9980"/>
    <n v="0"/>
    <n v="0"/>
    <n v="102"/>
    <s v="_x0000_US"/>
  </r>
  <r>
    <x v="1"/>
    <n v="13.6928"/>
    <n v="-89.1892"/>
    <n v="9980"/>
    <n v="0"/>
    <n v="0"/>
    <n v="102"/>
    <s v="_x0000_US"/>
  </r>
  <r>
    <x v="1"/>
    <n v="13.6928"/>
    <n v="-89.1892"/>
    <n v="9980"/>
    <n v="0"/>
    <n v="0"/>
    <n v="102"/>
    <s v="_x0000_US"/>
  </r>
  <r>
    <x v="1"/>
    <n v="13.6928"/>
    <n v="-89.1892"/>
    <n v="9980"/>
    <n v="0"/>
    <n v="0"/>
    <n v="102"/>
    <s v="_x0000_US"/>
  </r>
  <r>
    <x v="1"/>
    <n v="13.6928"/>
    <n v="-89.1892"/>
    <n v="9980"/>
    <n v="0"/>
    <n v="0"/>
    <n v="102"/>
    <s v="_x0000_US"/>
  </r>
  <r>
    <x v="1"/>
    <n v="13.6928"/>
    <n v="-89.1892"/>
    <n v="9980"/>
    <n v="0"/>
    <n v="0"/>
    <n v="102"/>
    <s v="_x0000_US"/>
  </r>
  <r>
    <x v="1"/>
    <n v="13.6928"/>
    <n v="-89.189099999999996"/>
    <n v="9980"/>
    <n v="0"/>
    <n v="0"/>
    <n v="102"/>
    <s v="_x0000_US"/>
  </r>
  <r>
    <x v="1"/>
    <n v="13.6928"/>
    <n v="-89.189099999999996"/>
    <n v="9980"/>
    <n v="0"/>
    <n v="0"/>
    <n v="102"/>
    <s v="_x0000_US"/>
  </r>
  <r>
    <x v="1"/>
    <n v="13.6928"/>
    <n v="-89.189099999999996"/>
    <n v="9980"/>
    <n v="0"/>
    <n v="0"/>
    <n v="102"/>
    <s v="_x0000_US"/>
  </r>
  <r>
    <x v="1"/>
    <n v="13.6928"/>
    <n v="-89.188999999999993"/>
    <n v="9980"/>
    <n v="0"/>
    <n v="0"/>
    <n v="102"/>
    <s v="_x0000_US"/>
  </r>
  <r>
    <x v="1"/>
    <n v="13.6928"/>
    <n v="-89.188999999999993"/>
    <n v="9980"/>
    <n v="0"/>
    <n v="0"/>
    <n v="102"/>
    <s v="_x0000_US"/>
  </r>
  <r>
    <x v="1"/>
    <n v="13.6928"/>
    <n v="-89.188999999999993"/>
    <n v="9980"/>
    <n v="0"/>
    <n v="0"/>
    <n v="102"/>
    <s v="_x0000_US"/>
  </r>
  <r>
    <x v="1"/>
    <n v="13.6928"/>
    <n v="-89.188999999999993"/>
    <n v="9980"/>
    <n v="0"/>
    <n v="0"/>
    <n v="102"/>
    <s v="_x0000_US"/>
  </r>
  <r>
    <x v="1"/>
    <n v="13.6928"/>
    <n v="-89.188999999999993"/>
    <n v="9980"/>
    <n v="0"/>
    <n v="0"/>
    <n v="102"/>
    <s v="_x0000_US"/>
  </r>
  <r>
    <x v="1"/>
    <n v="13.6928"/>
    <n v="-89.188999999999993"/>
    <n v="9980"/>
    <n v="0"/>
    <n v="0"/>
    <n v="102"/>
    <s v="_x0000_US"/>
  </r>
  <r>
    <x v="1"/>
    <n v="13.6929"/>
    <n v="-89.188999999999993"/>
    <n v="9980"/>
    <n v="0"/>
    <n v="0"/>
    <n v="102"/>
    <s v="_x0000_US"/>
  </r>
  <r>
    <x v="1"/>
    <n v="13.6928"/>
    <n v="-89.189300000000003"/>
    <n v="9980"/>
    <n v="0"/>
    <n v="0"/>
    <n v="102"/>
    <s v="_x0000_US"/>
  </r>
  <r>
    <x v="1"/>
    <n v="13.6929"/>
    <n v="-89.1892"/>
    <n v="9980"/>
    <n v="0"/>
    <n v="0"/>
    <n v="102"/>
    <s v="_x0000_US"/>
  </r>
  <r>
    <x v="1"/>
    <n v="13.6929"/>
    <n v="-89.1892"/>
    <n v="9980"/>
    <n v="0"/>
    <n v="0"/>
    <n v="102"/>
    <s v="_x0000_US"/>
  </r>
  <r>
    <x v="1"/>
    <n v="13.6929"/>
    <n v="-89.1892"/>
    <n v="9980"/>
    <n v="0"/>
    <n v="0"/>
    <n v="102"/>
    <s v="_x0000_US"/>
  </r>
  <r>
    <x v="1"/>
    <n v="13.693"/>
    <n v="-89.1892"/>
    <n v="9980"/>
    <n v="0"/>
    <n v="0"/>
    <n v="102"/>
    <s v="_x0000_US"/>
  </r>
  <r>
    <x v="1"/>
    <n v="13.693"/>
    <n v="-89.189300000000003"/>
    <n v="9980"/>
    <n v="0"/>
    <n v="0"/>
    <n v="102"/>
    <s v="_x0000_US"/>
  </r>
  <r>
    <x v="1"/>
    <n v="13.6929"/>
    <n v="-89.188999999999993"/>
    <n v="9980"/>
    <n v="0"/>
    <n v="0"/>
    <n v="102"/>
    <s v="_x0000_US"/>
  </r>
  <r>
    <x v="1"/>
    <n v="13.6929"/>
    <n v="-89.188999999999993"/>
    <n v="9980"/>
    <n v="0"/>
    <n v="0"/>
    <n v="102"/>
    <s v="_x0000_US"/>
  </r>
  <r>
    <x v="1"/>
    <n v="13.6929"/>
    <n v="-89.188999999999993"/>
    <n v="9980"/>
    <n v="0"/>
    <n v="0"/>
    <n v="102"/>
    <s v="_x0000_US"/>
  </r>
  <r>
    <x v="1"/>
    <n v="13.6929"/>
    <n v="-89.188999999999993"/>
    <n v="9980"/>
    <n v="0"/>
    <n v="0"/>
    <n v="102"/>
    <s v="_x0000_US"/>
  </r>
  <r>
    <x v="1"/>
    <n v="13.6929"/>
    <n v="-89.188900000000004"/>
    <n v="9980"/>
    <n v="0"/>
    <n v="0"/>
    <n v="102"/>
    <s v="_x0000_US"/>
  </r>
  <r>
    <x v="1"/>
    <n v="13.6929"/>
    <n v="-89.188900000000004"/>
    <n v="9980"/>
    <n v="0"/>
    <n v="0"/>
    <n v="102"/>
    <s v="_x0000_US"/>
  </r>
  <r>
    <x v="1"/>
    <n v="13.6929"/>
    <n v="-89.188800000000001"/>
    <n v="9980"/>
    <n v="0"/>
    <n v="0"/>
    <n v="102"/>
    <s v="_x0000_US"/>
  </r>
  <r>
    <x v="1"/>
    <n v="13.6929"/>
    <n v="-89.188800000000001"/>
    <n v="9980"/>
    <n v="0"/>
    <n v="0"/>
    <n v="102"/>
    <s v="_x0000_US"/>
  </r>
  <r>
    <x v="1"/>
    <n v="13.6929"/>
    <n v="-89.188900000000004"/>
    <n v="9980"/>
    <n v="0"/>
    <n v="0"/>
    <n v="102"/>
    <s v="_x0000_US"/>
  </r>
  <r>
    <x v="1"/>
    <n v="13.6929"/>
    <n v="-89.188900000000004"/>
    <n v="9980"/>
    <n v="0"/>
    <n v="0"/>
    <n v="102"/>
    <s v="_x0000_US"/>
  </r>
  <r>
    <x v="1"/>
    <n v="13.693"/>
    <n v="-89.188800000000001"/>
    <n v="9980"/>
    <n v="0"/>
    <n v="0"/>
    <n v="102"/>
    <s v="_x0000_US"/>
  </r>
  <r>
    <x v="1"/>
    <n v="13.693"/>
    <n v="-89.188800000000001"/>
    <n v="9980"/>
    <n v="0"/>
    <n v="0"/>
    <n v="102"/>
    <s v="_x0000_US"/>
  </r>
  <r>
    <x v="1"/>
    <n v="13.693"/>
    <n v="-89.188900000000004"/>
    <n v="9980"/>
    <n v="0"/>
    <n v="0"/>
    <n v="102"/>
    <s v="_x0000_US"/>
  </r>
  <r>
    <x v="1"/>
    <n v="13.693"/>
    <n v="-89.188900000000004"/>
    <n v="9980"/>
    <n v="0"/>
    <n v="0"/>
    <n v="102"/>
    <s v="_x0000_US"/>
  </r>
  <r>
    <x v="1"/>
    <n v="13.693"/>
    <n v="-89.188800000000001"/>
    <n v="9980"/>
    <n v="0"/>
    <n v="0"/>
    <n v="102"/>
    <s v="_x0000_US"/>
  </r>
  <r>
    <x v="1"/>
    <n v="13.693"/>
    <n v="-89.188800000000001"/>
    <n v="9980"/>
    <n v="0"/>
    <n v="0"/>
    <n v="102"/>
    <s v="_x0000_US"/>
  </r>
  <r>
    <x v="1"/>
    <n v="13.693"/>
    <n v="-89.1892"/>
    <n v="9980"/>
    <n v="0"/>
    <n v="0"/>
    <n v="102"/>
    <s v="_x0000_US"/>
  </r>
  <r>
    <x v="1"/>
    <n v="13.693"/>
    <n v="-89.1892"/>
    <n v="9980"/>
    <n v="0"/>
    <n v="0"/>
    <n v="102"/>
    <s v="_x0000_US"/>
  </r>
  <r>
    <x v="1"/>
    <n v="13.693"/>
    <n v="-89.189300000000003"/>
    <n v="9980"/>
    <n v="0"/>
    <n v="0"/>
    <n v="102"/>
    <s v="_x0000_US"/>
  </r>
  <r>
    <x v="1"/>
    <n v="13.6928"/>
    <n v="-89.188800000000001"/>
    <n v="9980"/>
    <n v="0"/>
    <n v="0"/>
    <n v="102"/>
    <s v="_x0000_US"/>
  </r>
  <r>
    <x v="1"/>
    <n v="13.6928"/>
    <n v="-89.189300000000003"/>
    <n v="9980"/>
    <n v="0"/>
    <n v="0"/>
    <n v="102"/>
    <s v="_x0000_US"/>
  </r>
  <r>
    <x v="1"/>
    <n v="13.6927"/>
    <n v="-89.189300000000003"/>
    <n v="9980"/>
    <n v="0"/>
    <n v="0"/>
    <n v="102"/>
    <s v="_x0000_US"/>
  </r>
  <r>
    <x v="1"/>
    <n v="13.691000000000001"/>
    <n v="-89.191199999999995"/>
    <n v="10500"/>
    <n v="0"/>
    <n v="0"/>
    <n v="102"/>
    <s v="_x0000_US"/>
  </r>
  <r>
    <x v="1"/>
    <n v="13.690899999999999"/>
    <n v="-89.191299999999998"/>
    <n v="10500"/>
    <n v="0"/>
    <n v="0"/>
    <n v="102"/>
    <s v="_x0000_US"/>
  </r>
  <r>
    <x v="1"/>
    <n v="13.690899999999999"/>
    <n v="-89.191299999999998"/>
    <n v="10500"/>
    <n v="0"/>
    <n v="0"/>
    <n v="102"/>
    <s v="_x0000_US"/>
  </r>
  <r>
    <x v="1"/>
    <n v="13.690899999999999"/>
    <n v="-89.191299999999998"/>
    <n v="10500"/>
    <n v="0"/>
    <n v="0"/>
    <n v="102"/>
    <s v="_x0000_US"/>
  </r>
  <r>
    <x v="1"/>
    <n v="13.690899999999999"/>
    <n v="-89.191299999999998"/>
    <n v="10500"/>
    <n v="0"/>
    <n v="0"/>
    <n v="102"/>
    <s v="_x0000_US"/>
  </r>
  <r>
    <x v="1"/>
    <n v="13.690899999999999"/>
    <n v="-89.191299999999998"/>
    <n v="10500"/>
    <n v="0"/>
    <n v="0"/>
    <n v="102"/>
    <s v="_x0000_US"/>
  </r>
  <r>
    <x v="1"/>
    <n v="13.690899999999999"/>
    <n v="-89.191299999999998"/>
    <n v="10500"/>
    <n v="0"/>
    <n v="0"/>
    <n v="102"/>
    <s v="_x0000_US"/>
  </r>
  <r>
    <x v="1"/>
    <n v="13.690899999999999"/>
    <n v="-89.191199999999995"/>
    <n v="10500"/>
    <n v="0"/>
    <n v="0"/>
    <n v="102"/>
    <s v="_x0000_US"/>
  </r>
  <r>
    <x v="1"/>
    <n v="13.690899999999999"/>
    <n v="-89.191199999999995"/>
    <n v="10500"/>
    <n v="0"/>
    <n v="0"/>
    <n v="102"/>
    <s v="_x0000_US"/>
  </r>
  <r>
    <x v="1"/>
    <n v="13.690899999999999"/>
    <n v="-89.191199999999995"/>
    <n v="10500"/>
    <n v="0"/>
    <n v="0"/>
    <n v="102"/>
    <s v="_x0000_US"/>
  </r>
  <r>
    <x v="1"/>
    <n v="13.690899999999999"/>
    <n v="-89.191199999999995"/>
    <n v="10500"/>
    <n v="0"/>
    <n v="0"/>
    <n v="102"/>
    <s v="_x0000_US"/>
  </r>
  <r>
    <x v="1"/>
    <n v="13.690899999999999"/>
    <n v="-89.191199999999995"/>
    <n v="10500"/>
    <n v="0"/>
    <n v="0"/>
    <n v="102"/>
    <s v="_x0000_US"/>
  </r>
  <r>
    <x v="1"/>
    <n v="13.690899999999999"/>
    <n v="-89.191199999999995"/>
    <n v="10500"/>
    <n v="0"/>
    <n v="0"/>
    <n v="102"/>
    <s v="_x0000_US"/>
  </r>
  <r>
    <x v="1"/>
    <n v="13.690899999999999"/>
    <n v="-89.191199999999995"/>
    <n v="10500"/>
    <n v="0"/>
    <n v="0"/>
    <n v="102"/>
    <s v="_x0000_US"/>
  </r>
  <r>
    <x v="1"/>
    <n v="13.690899999999999"/>
    <n v="-89.191199999999995"/>
    <n v="10500"/>
    <n v="0"/>
    <n v="0"/>
    <n v="102"/>
    <s v="_x0000_US"/>
  </r>
  <r>
    <x v="1"/>
    <n v="13.690899999999999"/>
    <n v="-89.191199999999995"/>
    <n v="10500"/>
    <n v="0"/>
    <n v="0"/>
    <n v="102"/>
    <s v="_x0000_US"/>
  </r>
  <r>
    <x v="1"/>
    <n v="13.690899999999999"/>
    <n v="-89.191299999999998"/>
    <n v="10500"/>
    <n v="0"/>
    <n v="0"/>
    <n v="102"/>
    <s v="_x0000_US"/>
  </r>
  <r>
    <x v="1"/>
    <n v="13.690899999999999"/>
    <n v="-89.191299999999998"/>
    <n v="10500"/>
    <n v="0"/>
    <n v="0"/>
    <n v="102"/>
    <s v="_x0000_US"/>
  </r>
  <r>
    <x v="1"/>
    <n v="13.691000000000001"/>
    <n v="-89.191100000000006"/>
    <n v="9980"/>
    <n v="0"/>
    <n v="0"/>
    <n v="102"/>
    <s v="_x0000_US"/>
  </r>
  <r>
    <x v="1"/>
    <n v="13.690899999999999"/>
    <n v="-89.191000000000003"/>
    <n v="9980"/>
    <n v="0"/>
    <n v="0"/>
    <n v="102"/>
    <s v="_x0000_US"/>
  </r>
  <r>
    <x v="1"/>
    <n v="13.690899999999999"/>
    <n v="-89.191000000000003"/>
    <n v="9980"/>
    <n v="0"/>
    <n v="0"/>
    <n v="102"/>
    <s v="_x0000_US"/>
  </r>
  <r>
    <x v="1"/>
    <n v="13.690899999999999"/>
    <n v="-89.191000000000003"/>
    <n v="9980"/>
    <n v="0"/>
    <n v="0"/>
    <n v="102"/>
    <s v="_x0000_US"/>
  </r>
  <r>
    <x v="1"/>
    <n v="13.690899999999999"/>
    <n v="-89.191000000000003"/>
    <n v="9980"/>
    <n v="0"/>
    <n v="0"/>
    <n v="102"/>
    <s v="_x0000_US"/>
  </r>
  <r>
    <x v="1"/>
    <n v="13.690899999999999"/>
    <n v="-89.191000000000003"/>
    <n v="9980"/>
    <n v="0"/>
    <n v="0"/>
    <n v="102"/>
    <s v="_x0000_US"/>
  </r>
  <r>
    <x v="1"/>
    <n v="13.690899999999999"/>
    <n v="-89.191000000000003"/>
    <n v="9980"/>
    <n v="0"/>
    <n v="0"/>
    <n v="102"/>
    <s v="_x0000_US"/>
  </r>
  <r>
    <x v="1"/>
    <n v="13.691000000000001"/>
    <n v="-89.191100000000006"/>
    <n v="9980"/>
    <n v="0"/>
    <n v="0"/>
    <n v="102"/>
    <s v="_x0000_US"/>
  </r>
  <r>
    <x v="1"/>
    <n v="13.691000000000001"/>
    <n v="-89.191100000000006"/>
    <n v="9980"/>
    <n v="0"/>
    <n v="0"/>
    <n v="102"/>
    <s v="_x0000_US"/>
  </r>
  <r>
    <x v="1"/>
    <n v="13.691000000000001"/>
    <n v="-89.191100000000006"/>
    <n v="9980"/>
    <n v="0"/>
    <n v="0"/>
    <n v="102"/>
    <s v="_x0000_US"/>
  </r>
  <r>
    <x v="1"/>
    <n v="13.6911"/>
    <n v="-89.191100000000006"/>
    <n v="9980"/>
    <n v="0"/>
    <n v="0"/>
    <n v="102"/>
    <s v="_x0000_US"/>
  </r>
  <r>
    <x v="1"/>
    <n v="13.6911"/>
    <n v="-89.191100000000006"/>
    <n v="9980"/>
    <n v="0"/>
    <n v="0"/>
    <n v="102"/>
    <s v="_x0000_US"/>
  </r>
  <r>
    <x v="1"/>
    <n v="13.6911"/>
    <n v="-89.191100000000006"/>
    <n v="9980"/>
    <n v="0"/>
    <n v="0"/>
    <n v="102"/>
    <s v="_x0000_US"/>
  </r>
  <r>
    <x v="1"/>
    <n v="13.691000000000001"/>
    <n v="-89.191000000000003"/>
    <n v="9980"/>
    <n v="0"/>
    <n v="0"/>
    <n v="102"/>
    <s v="_x0000_US"/>
  </r>
  <r>
    <x v="1"/>
    <n v="13.691000000000001"/>
    <n v="-89.191000000000003"/>
    <n v="9980"/>
    <n v="0"/>
    <n v="0"/>
    <n v="102"/>
    <s v="_x0000_US"/>
  </r>
  <r>
    <x v="1"/>
    <n v="13.691000000000001"/>
    <n v="-89.191000000000003"/>
    <n v="9980"/>
    <n v="0"/>
    <n v="0"/>
    <n v="102"/>
    <s v="_x0000_US"/>
  </r>
  <r>
    <x v="1"/>
    <n v="13.6911"/>
    <n v="-89.191100000000006"/>
    <n v="9980"/>
    <n v="0"/>
    <n v="0"/>
    <n v="102"/>
    <s v="_x0000_US"/>
  </r>
  <r>
    <x v="1"/>
    <n v="13.6911"/>
    <n v="-89.191100000000006"/>
    <n v="9980"/>
    <n v="0"/>
    <n v="0"/>
    <n v="102"/>
    <s v="_x0000_US"/>
  </r>
  <r>
    <x v="1"/>
    <n v="13.6911"/>
    <n v="-89.191100000000006"/>
    <n v="9980"/>
    <n v="0"/>
    <n v="0"/>
    <n v="102"/>
    <s v="_x0000_US"/>
  </r>
  <r>
    <x v="1"/>
    <n v="13.6911"/>
    <n v="-89.191000000000003"/>
    <n v="9980"/>
    <n v="0"/>
    <n v="0"/>
    <n v="102"/>
    <s v="_x0000_US"/>
  </r>
  <r>
    <x v="1"/>
    <n v="13.6911"/>
    <n v="-89.191000000000003"/>
    <n v="9980"/>
    <n v="0"/>
    <n v="0"/>
    <n v="102"/>
    <s v="_x0000_US"/>
  </r>
  <r>
    <x v="1"/>
    <n v="13.6911"/>
    <n v="-89.191000000000003"/>
    <n v="9980"/>
    <n v="0"/>
    <n v="0"/>
    <n v="102"/>
    <s v="_x0000_US"/>
  </r>
  <r>
    <x v="1"/>
    <n v="13.6911"/>
    <n v="-89.190899999999999"/>
    <n v="9980"/>
    <n v="0"/>
    <n v="0"/>
    <n v="102"/>
    <s v="_x0000_US"/>
  </r>
  <r>
    <x v="1"/>
    <n v="13.6911"/>
    <n v="-89.190899999999999"/>
    <n v="9980"/>
    <n v="0"/>
    <n v="0"/>
    <n v="102"/>
    <s v="_x0000_US"/>
  </r>
  <r>
    <x v="1"/>
    <n v="13.6911"/>
    <n v="-89.190899999999999"/>
    <n v="9980"/>
    <n v="0"/>
    <n v="0"/>
    <n v="102"/>
    <s v="_x0000_US"/>
  </r>
  <r>
    <x v="1"/>
    <n v="13.691000000000001"/>
    <n v="-89.190899999999999"/>
    <n v="9980"/>
    <n v="0"/>
    <n v="0"/>
    <n v="102"/>
    <s v="_x0000_US"/>
  </r>
  <r>
    <x v="1"/>
    <n v="13.691000000000001"/>
    <n v="-89.190899999999999"/>
    <n v="9980"/>
    <n v="0"/>
    <n v="0"/>
    <n v="102"/>
    <s v="_x0000_US"/>
  </r>
  <r>
    <x v="1"/>
    <n v="13.691000000000001"/>
    <n v="-89.190899999999999"/>
    <n v="9980"/>
    <n v="0"/>
    <n v="0"/>
    <n v="102"/>
    <s v="_x0000_US"/>
  </r>
  <r>
    <x v="1"/>
    <n v="13.691000000000001"/>
    <n v="-89.190899999999999"/>
    <n v="9980"/>
    <n v="0"/>
    <n v="0"/>
    <n v="102"/>
    <s v="_x0000_US"/>
  </r>
  <r>
    <x v="1"/>
    <n v="13.691000000000001"/>
    <n v="-89.190899999999999"/>
    <n v="9980"/>
    <n v="0"/>
    <n v="0"/>
    <n v="102"/>
    <s v="_x0000_US"/>
  </r>
  <r>
    <x v="1"/>
    <n v="13.691000000000001"/>
    <n v="-89.190899999999999"/>
    <n v="9980"/>
    <n v="0"/>
    <n v="0"/>
    <n v="102"/>
    <s v="_x0000_US"/>
  </r>
  <r>
    <x v="1"/>
    <n v="13.6911"/>
    <n v="-89.191100000000006"/>
    <n v="9980"/>
    <n v="0"/>
    <n v="0"/>
    <n v="102"/>
    <s v="_x0000_US"/>
  </r>
  <r>
    <x v="1"/>
    <n v="13.691000000000001"/>
    <n v="-89.191199999999995"/>
    <n v="9980"/>
    <n v="0"/>
    <n v="0"/>
    <n v="102"/>
    <s v="_x0000_US"/>
  </r>
  <r>
    <x v="1"/>
    <n v="13.6911"/>
    <n v="-89.191199999999995"/>
    <n v="9980"/>
    <n v="0"/>
    <n v="0"/>
    <n v="102"/>
    <s v="_x0000_US"/>
  </r>
  <r>
    <x v="1"/>
    <n v="13.6911"/>
    <n v="-89.191299999999998"/>
    <n v="9980"/>
    <n v="0"/>
    <n v="0"/>
    <n v="102"/>
    <s v="_x0000_US"/>
  </r>
  <r>
    <x v="1"/>
    <n v="13.690899999999999"/>
    <n v="-89.191000000000003"/>
    <n v="9980"/>
    <n v="0"/>
    <n v="0"/>
    <n v="102"/>
    <s v="_x0000_US"/>
  </r>
  <r>
    <x v="1"/>
    <n v="13.690899999999999"/>
    <n v="-89.191000000000003"/>
    <n v="9980"/>
    <n v="0"/>
    <n v="0"/>
    <n v="102"/>
    <s v="_x0000_US"/>
  </r>
  <r>
    <x v="1"/>
    <n v="13.690899999999999"/>
    <n v="-89.191000000000003"/>
    <n v="9980"/>
    <n v="0"/>
    <n v="0"/>
    <n v="102"/>
    <s v="_x0000_US"/>
  </r>
  <r>
    <x v="1"/>
    <n v="13.690899999999999"/>
    <n v="-89.190100000000001"/>
    <n v="7250"/>
    <n v="0"/>
    <n v="0"/>
    <n v="102"/>
    <s v="_x0000_US"/>
  </r>
  <r>
    <x v="1"/>
    <n v="13.690899999999999"/>
    <n v="-89.190100000000001"/>
    <n v="7250"/>
    <n v="0"/>
    <n v="0"/>
    <n v="102"/>
    <s v="_x0000_US"/>
  </r>
  <r>
    <x v="1"/>
    <n v="13.690899999999999"/>
    <n v="-89.190100000000001"/>
    <n v="7250"/>
    <n v="0"/>
    <n v="0"/>
    <n v="102"/>
    <s v="_x0000_US"/>
  </r>
  <r>
    <x v="1"/>
    <n v="13.690899999999999"/>
    <n v="-89.190100000000001"/>
    <n v="7250"/>
    <n v="0"/>
    <n v="0"/>
    <n v="102"/>
    <s v="_x0000_US"/>
  </r>
  <r>
    <x v="1"/>
    <n v="13.690899999999999"/>
    <n v="-89.190200000000004"/>
    <n v="7250"/>
    <n v="0"/>
    <n v="0"/>
    <n v="102"/>
    <s v="_x0000_US"/>
  </r>
  <r>
    <x v="1"/>
    <n v="13.690899999999999"/>
    <n v="-89.190100000000001"/>
    <n v="7250"/>
    <n v="0"/>
    <n v="0"/>
    <n v="102"/>
    <s v="_x0000_US"/>
  </r>
  <r>
    <x v="1"/>
    <n v="13.690899999999999"/>
    <n v="-89.190100000000001"/>
    <n v="7250"/>
    <n v="0"/>
    <n v="0"/>
    <n v="102"/>
    <s v="_x0000_US"/>
  </r>
  <r>
    <x v="1"/>
    <n v="13.690799999999999"/>
    <n v="-89.190100000000001"/>
    <n v="7250"/>
    <n v="0"/>
    <n v="0"/>
    <n v="102"/>
    <s v="_x0000_US"/>
  </r>
  <r>
    <x v="1"/>
    <n v="13.690799999999999"/>
    <n v="-89.190100000000001"/>
    <n v="7250"/>
    <n v="0"/>
    <n v="0"/>
    <n v="102"/>
    <s v="_x0000_US"/>
  </r>
  <r>
    <x v="1"/>
    <n v="13.690799999999999"/>
    <n v="-89.190200000000004"/>
    <n v="7250"/>
    <n v="0"/>
    <n v="0"/>
    <n v="102"/>
    <s v="_x0000_US"/>
  </r>
  <r>
    <x v="1"/>
    <n v="13.690799999999999"/>
    <n v="-89.190299999999993"/>
    <n v="7250"/>
    <n v="0"/>
    <n v="0"/>
    <n v="102"/>
    <s v="_x0000_US"/>
  </r>
  <r>
    <x v="1"/>
    <n v="13.690799999999999"/>
    <n v="-89.190100000000001"/>
    <n v="7250"/>
    <n v="0"/>
    <n v="0"/>
    <n v="102"/>
    <s v="_x0000_US"/>
  </r>
  <r>
    <x v="1"/>
    <n v="13.690799999999999"/>
    <n v="-89.190100000000001"/>
    <n v="7250"/>
    <n v="0"/>
    <n v="0"/>
    <n v="102"/>
    <s v="_x0000_US"/>
  </r>
  <r>
    <x v="1"/>
    <n v="13.690799999999999"/>
    <n v="-89.190100000000001"/>
    <n v="7250"/>
    <n v="0"/>
    <n v="0"/>
    <n v="102"/>
    <s v="_x0000_US"/>
  </r>
  <r>
    <x v="1"/>
    <n v="13.690799999999999"/>
    <n v="-89.190100000000001"/>
    <n v="7250"/>
    <n v="0"/>
    <n v="0"/>
    <n v="102"/>
    <s v="_x0000_US"/>
  </r>
  <r>
    <x v="1"/>
    <n v="13.690799999999999"/>
    <n v="-89.190299999999993"/>
    <n v="7250"/>
    <n v="0"/>
    <n v="0"/>
    <n v="102"/>
    <s v="_x0000_US"/>
  </r>
  <r>
    <x v="1"/>
    <n v="13.6907"/>
    <n v="-89.190299999999993"/>
    <n v="7250"/>
    <n v="0"/>
    <n v="0"/>
    <n v="102"/>
    <s v="_x0000_US"/>
  </r>
  <r>
    <x v="1"/>
    <n v="13.6907"/>
    <n v="-89.190200000000004"/>
    <n v="7250"/>
    <n v="0"/>
    <n v="0"/>
    <n v="102"/>
    <s v="_x0000_US"/>
  </r>
  <r>
    <x v="1"/>
    <n v="13.6907"/>
    <n v="-89.190200000000004"/>
    <n v="7250"/>
    <n v="0"/>
    <n v="0"/>
    <n v="102"/>
    <s v="_x0000_US"/>
  </r>
  <r>
    <x v="1"/>
    <n v="13.6907"/>
    <n v="-89.190100000000001"/>
    <n v="7250"/>
    <n v="0"/>
    <n v="0"/>
    <n v="102"/>
    <s v="_x0000_US"/>
  </r>
  <r>
    <x v="1"/>
    <n v="13.6907"/>
    <n v="-89.190100000000001"/>
    <n v="7250"/>
    <n v="0"/>
    <n v="0"/>
    <n v="102"/>
    <s v="_x0000_US"/>
  </r>
  <r>
    <x v="1"/>
    <n v="13.6907"/>
    <n v="-89.190100000000001"/>
    <n v="7250"/>
    <n v="0"/>
    <n v="0"/>
    <n v="102"/>
    <s v="_x0000_US"/>
  </r>
  <r>
    <x v="1"/>
    <n v="13.6907"/>
    <n v="-89.190100000000001"/>
    <n v="7250"/>
    <n v="0"/>
    <n v="0"/>
    <n v="102"/>
    <s v="_x0000_US"/>
  </r>
  <r>
    <x v="1"/>
    <n v="13.6907"/>
    <n v="-89.190299999999993"/>
    <n v="7250"/>
    <n v="0"/>
    <n v="0"/>
    <n v="102"/>
    <s v="_x0000_US"/>
  </r>
  <r>
    <x v="1"/>
    <n v="13.690899999999999"/>
    <n v="-89.189899999999994"/>
    <n v="7250"/>
    <n v="0"/>
    <n v="0"/>
    <n v="102"/>
    <s v="_x0000_US"/>
  </r>
  <r>
    <x v="1"/>
    <n v="13.691000000000001"/>
    <n v="-89.19"/>
    <n v="7250"/>
    <n v="0"/>
    <n v="0"/>
    <n v="102"/>
    <s v="_x0000_US"/>
  </r>
  <r>
    <x v="1"/>
    <n v="13.692600000000001"/>
    <n v="-89.186099999999996"/>
    <n v="14400"/>
    <n v="0"/>
    <n v="0"/>
    <n v="102"/>
    <s v="_x0000_US"/>
  </r>
  <r>
    <x v="1"/>
    <n v="13.692500000000001"/>
    <n v="-89.186099999999996"/>
    <n v="14400"/>
    <n v="0"/>
    <n v="0"/>
    <n v="102"/>
    <s v="_x0000_US"/>
  </r>
  <r>
    <x v="1"/>
    <n v="13.692600000000001"/>
    <n v="-89.186099999999996"/>
    <n v="14400"/>
    <n v="0"/>
    <n v="0"/>
    <n v="102"/>
    <s v="_x0000_US"/>
  </r>
  <r>
    <x v="1"/>
    <n v="13.692299999999999"/>
    <n v="-89.186099999999996"/>
    <n v="14400"/>
    <n v="0"/>
    <n v="0"/>
    <n v="102"/>
    <s v="_x0000_US"/>
  </r>
  <r>
    <x v="1"/>
    <n v="13.6927"/>
    <n v="-89.186099999999996"/>
    <n v="14400"/>
    <n v="0"/>
    <n v="0"/>
    <n v="102"/>
    <s v="_x0000_US"/>
  </r>
  <r>
    <x v="1"/>
    <n v="13.6922"/>
    <n v="-89.185199999999995"/>
    <n v="14400"/>
    <n v="0"/>
    <n v="0"/>
    <n v="102"/>
    <s v="_x0000_US"/>
  </r>
  <r>
    <x v="1"/>
    <n v="13.692299999999999"/>
    <n v="-89.185199999999995"/>
    <n v="14400"/>
    <n v="0"/>
    <n v="0"/>
    <n v="102"/>
    <s v="_x0000_US"/>
  </r>
  <r>
    <x v="1"/>
    <n v="13.692299999999999"/>
    <n v="-89.185100000000006"/>
    <n v="14400"/>
    <n v="0"/>
    <n v="0"/>
    <n v="102"/>
    <s v="_x0000_US"/>
  </r>
  <r>
    <x v="1"/>
    <n v="13.692399999999999"/>
    <n v="-89.185400000000001"/>
    <n v="14400"/>
    <n v="0"/>
    <n v="0"/>
    <n v="102"/>
    <s v="_x0000_US"/>
  </r>
  <r>
    <x v="1"/>
    <n v="13.692399999999999"/>
    <n v="-89.185100000000006"/>
    <n v="14400"/>
    <n v="0"/>
    <n v="0"/>
    <n v="102"/>
    <s v="_x0000_US"/>
  </r>
  <r>
    <x v="1"/>
    <n v="13.692399999999999"/>
    <n v="-89.185100000000006"/>
    <n v="14400"/>
    <n v="0"/>
    <n v="0"/>
    <n v="102"/>
    <s v="_x0000_US"/>
  </r>
  <r>
    <x v="1"/>
    <n v="13.692500000000001"/>
    <n v="-89.185100000000006"/>
    <n v="14400"/>
    <n v="0"/>
    <n v="0"/>
    <n v="102"/>
    <s v="_x0000_US"/>
  </r>
  <r>
    <x v="1"/>
    <n v="13.692500000000001"/>
    <n v="-89.185400000000001"/>
    <n v="14400"/>
    <n v="0"/>
    <n v="0"/>
    <n v="102"/>
    <s v="_x0000_US"/>
  </r>
  <r>
    <x v="1"/>
    <n v="13.693"/>
    <n v="-89.185900000000004"/>
    <n v="14400"/>
    <n v="0"/>
    <n v="0"/>
    <n v="102"/>
    <s v="_x0000_US"/>
  </r>
  <r>
    <x v="1"/>
    <n v="13.692500000000001"/>
    <n v="-89.185900000000004"/>
    <n v="14400"/>
    <n v="0"/>
    <n v="0"/>
    <n v="102"/>
    <s v="_x0000_US"/>
  </r>
  <r>
    <x v="1"/>
    <n v="13.692399999999999"/>
    <n v="-89.185900000000004"/>
    <n v="14400"/>
    <n v="0"/>
    <n v="0"/>
    <n v="102"/>
    <s v="_x0000_US"/>
  </r>
  <r>
    <x v="1"/>
    <n v="13.692399999999999"/>
    <n v="-89.1858"/>
    <n v="14400"/>
    <n v="0"/>
    <n v="0"/>
    <n v="102"/>
    <s v="_x0000_US"/>
  </r>
  <r>
    <x v="1"/>
    <n v="13.692399999999999"/>
    <n v="-89.185699999999997"/>
    <n v="14400"/>
    <n v="0"/>
    <n v="0"/>
    <n v="102"/>
    <s v="_x0000_US"/>
  </r>
  <r>
    <x v="1"/>
    <n v="13.692299999999999"/>
    <n v="-89.1858"/>
    <n v="14400"/>
    <n v="0"/>
    <n v="0"/>
    <n v="102"/>
    <s v="_x0000_US"/>
  </r>
  <r>
    <x v="1"/>
    <n v="13.692299999999999"/>
    <n v="-89.185599999999994"/>
    <n v="14400"/>
    <n v="0"/>
    <n v="0"/>
    <n v="102"/>
    <s v="_x0000_US"/>
  </r>
  <r>
    <x v="1"/>
    <n v="13.692299999999999"/>
    <n v="-89.185599999999994"/>
    <n v="14400"/>
    <n v="0"/>
    <n v="0"/>
    <n v="102"/>
    <s v="_x0000_US"/>
  </r>
  <r>
    <x v="1"/>
    <n v="13.692399999999999"/>
    <n v="-89.185599999999994"/>
    <n v="14400"/>
    <n v="0"/>
    <n v="0"/>
    <n v="102"/>
    <s v="_x0000_US"/>
  </r>
  <r>
    <x v="1"/>
    <n v="13.6922"/>
    <n v="-89.185599999999994"/>
    <n v="14400"/>
    <n v="0"/>
    <n v="0"/>
    <n v="102"/>
    <s v="_x0000_US"/>
  </r>
  <r>
    <x v="1"/>
    <n v="13.6922"/>
    <n v="-89.185500000000005"/>
    <n v="14400"/>
    <n v="0"/>
    <n v="0"/>
    <n v="102"/>
    <s v="_x0000_US"/>
  </r>
  <r>
    <x v="1"/>
    <n v="13.692600000000001"/>
    <n v="-89.186000000000007"/>
    <n v="14400"/>
    <n v="0"/>
    <n v="0"/>
    <n v="102"/>
    <s v="_x0000_US"/>
  </r>
  <r>
    <x v="1"/>
    <n v="13.692600000000001"/>
    <n v="-89.185900000000004"/>
    <n v="14400"/>
    <n v="0"/>
    <n v="0"/>
    <n v="102"/>
    <s v="_x0000_US"/>
  </r>
  <r>
    <x v="1"/>
    <n v="13.692500000000001"/>
    <n v="-89.1858"/>
    <n v="14400"/>
    <n v="0"/>
    <n v="0"/>
    <n v="102"/>
    <s v="_x0000_US"/>
  </r>
  <r>
    <x v="1"/>
    <n v="13.692500000000001"/>
    <n v="-89.185699999999997"/>
    <n v="14400"/>
    <n v="0"/>
    <n v="0"/>
    <n v="102"/>
    <s v="_x0000_US"/>
  </r>
  <r>
    <x v="1"/>
    <n v="13.692500000000001"/>
    <n v="-89.185699999999997"/>
    <n v="14400"/>
    <n v="0"/>
    <n v="0"/>
    <n v="102"/>
    <s v="_x0000_US"/>
  </r>
  <r>
    <x v="1"/>
    <n v="13.692500000000001"/>
    <n v="-89.185599999999994"/>
    <n v="14400"/>
    <n v="0"/>
    <n v="0"/>
    <n v="102"/>
    <s v="_x0000_US"/>
  </r>
  <r>
    <x v="1"/>
    <n v="13.692500000000001"/>
    <n v="-89.185500000000005"/>
    <n v="14400"/>
    <n v="0"/>
    <n v="0"/>
    <n v="102"/>
    <s v="_x0000_US"/>
  </r>
  <r>
    <x v="1"/>
    <n v="13.6927"/>
    <n v="-89.186099999999996"/>
    <n v="14400"/>
    <n v="0"/>
    <n v="0"/>
    <n v="102"/>
    <s v="_x0000_US"/>
  </r>
  <r>
    <x v="1"/>
    <n v="13.6919"/>
    <n v="-89.187299999999993"/>
    <n v="14400"/>
    <n v="0"/>
    <n v="0"/>
    <n v="102"/>
    <s v="_x0000_US"/>
  </r>
  <r>
    <x v="1"/>
    <n v="13.693300000000001"/>
    <n v="-89.185299999999998"/>
    <n v="14400"/>
    <n v="0"/>
    <n v="0"/>
    <n v="102"/>
    <s v="_x0000_US"/>
  </r>
  <r>
    <x v="1"/>
    <n v="13.693300000000001"/>
    <n v="-89.185400000000001"/>
    <n v="14400"/>
    <n v="0"/>
    <n v="0"/>
    <n v="102"/>
    <s v="_x0000_US"/>
  </r>
  <r>
    <x v="1"/>
    <n v="13.6934"/>
    <n v="-89.185100000000006"/>
    <n v="14400"/>
    <n v="0"/>
    <n v="0"/>
    <n v="102"/>
    <s v="_x0000_US"/>
  </r>
  <r>
    <x v="1"/>
    <n v="13.6935"/>
    <n v="-89.185100000000006"/>
    <n v="14400"/>
    <n v="0"/>
    <n v="0"/>
    <n v="102"/>
    <s v="_x0000_US"/>
  </r>
  <r>
    <x v="1"/>
    <n v="13.6935"/>
    <n v="-89.185000000000002"/>
    <n v="14400"/>
    <n v="0"/>
    <n v="0"/>
    <n v="102"/>
    <s v="_x0000_US"/>
  </r>
  <r>
    <x v="1"/>
    <n v="13.6935"/>
    <n v="-89.185000000000002"/>
    <n v="14400"/>
    <n v="0"/>
    <n v="0"/>
    <n v="102"/>
    <s v="_x0000_US"/>
  </r>
  <r>
    <x v="1"/>
    <n v="13.6935"/>
    <n v="-89.184899999999999"/>
    <n v="14400"/>
    <n v="0"/>
    <n v="0"/>
    <n v="102"/>
    <s v="_x0000_US"/>
  </r>
  <r>
    <x v="1"/>
    <n v="13.6934"/>
    <n v="-89.185000000000002"/>
    <n v="14400"/>
    <n v="0"/>
    <n v="0"/>
    <n v="102"/>
    <s v="_x0000_US"/>
  </r>
  <r>
    <x v="1"/>
    <n v="13.6934"/>
    <n v="-89.184899999999999"/>
    <n v="14400"/>
    <n v="0"/>
    <n v="0"/>
    <n v="102"/>
    <s v="_x0000_US"/>
  </r>
  <r>
    <x v="1"/>
    <n v="13.6934"/>
    <n v="-89.184799999999996"/>
    <n v="14400"/>
    <n v="0"/>
    <n v="0"/>
    <n v="102"/>
    <s v="_x0000_US"/>
  </r>
  <r>
    <x v="1"/>
    <n v="13.693199999999999"/>
    <n v="-89.185400000000001"/>
    <n v="14400"/>
    <n v="0"/>
    <n v="0"/>
    <n v="102"/>
    <s v="_x0000_US"/>
  </r>
  <r>
    <x v="1"/>
    <n v="13.6935"/>
    <n v="-89.183899999999994"/>
    <n v="14400"/>
    <n v="0"/>
    <n v="0"/>
    <n v="102"/>
    <s v="_x0000_US"/>
  </r>
  <r>
    <x v="1"/>
    <n v="13.6935"/>
    <n v="-89.183999999999997"/>
    <n v="14400"/>
    <n v="0"/>
    <n v="0"/>
    <n v="102"/>
    <s v="_x0000_US"/>
  </r>
  <r>
    <x v="1"/>
    <n v="13.6937"/>
    <n v="-89.183899999999994"/>
    <n v="14400"/>
    <n v="0"/>
    <n v="0"/>
    <n v="102"/>
    <s v="_x0000_US"/>
  </r>
  <r>
    <x v="1"/>
    <n v="13.6937"/>
    <n v="-89.184100000000001"/>
    <n v="14400"/>
    <n v="0"/>
    <n v="0"/>
    <n v="102"/>
    <s v="_x0000_US"/>
  </r>
  <r>
    <x v="1"/>
    <n v="13.6936"/>
    <n v="-89.184799999999996"/>
    <n v="14400"/>
    <n v="0"/>
    <n v="0"/>
    <n v="102"/>
    <s v="_x0000_US"/>
  </r>
  <r>
    <x v="1"/>
    <n v="13.6934"/>
    <n v="-89.184700000000007"/>
    <n v="14400"/>
    <n v="0"/>
    <n v="0"/>
    <n v="102"/>
    <s v="_x0000_US"/>
  </r>
  <r>
    <x v="1"/>
    <n v="13.6934"/>
    <n v="-89.184399999999997"/>
    <n v="14400"/>
    <n v="0"/>
    <n v="0"/>
    <n v="102"/>
    <s v="_x0000_US"/>
  </r>
  <r>
    <x v="1"/>
    <n v="13.692500000000001"/>
    <n v="-89.1785"/>
    <n v="9980"/>
    <n v="0"/>
    <n v="0"/>
    <n v="102"/>
    <s v="_x0000_US"/>
  </r>
  <r>
    <x v="1"/>
    <n v="13.692299999999999"/>
    <n v="-89.178700000000006"/>
    <n v="9980"/>
    <n v="0"/>
    <n v="0"/>
    <n v="102"/>
    <s v="_x0000_US"/>
  </r>
  <r>
    <x v="1"/>
    <n v="13.692299999999999"/>
    <n v="-89.178600000000003"/>
    <n v="9980"/>
    <n v="0"/>
    <n v="0"/>
    <n v="102"/>
    <s v="_x0000_US"/>
  </r>
  <r>
    <x v="1"/>
    <n v="13.692399999999999"/>
    <n v="-89.178600000000003"/>
    <n v="9980"/>
    <n v="0"/>
    <n v="0"/>
    <n v="102"/>
    <s v="_x0000_US"/>
  </r>
  <r>
    <x v="1"/>
    <n v="13.692299999999999"/>
    <n v="-89.178700000000006"/>
    <n v="9980"/>
    <n v="0"/>
    <n v="0"/>
    <n v="102"/>
    <s v="_x0000_US"/>
  </r>
  <r>
    <x v="1"/>
    <n v="13.692600000000001"/>
    <n v="-89.1785"/>
    <n v="9200"/>
    <n v="0"/>
    <n v="0"/>
    <n v="102"/>
    <s v="_x0000_US"/>
  </r>
  <r>
    <x v="1"/>
    <n v="13.692500000000001"/>
    <n v="-89.178600000000003"/>
    <n v="9200"/>
    <n v="0"/>
    <n v="0"/>
    <n v="102"/>
    <s v="_x0000_US"/>
  </r>
  <r>
    <x v="1"/>
    <n v="13.692500000000001"/>
    <n v="-89.1785"/>
    <n v="9200"/>
    <n v="0"/>
    <n v="0"/>
    <n v="102"/>
    <s v="_x0000_US"/>
  </r>
  <r>
    <x v="1"/>
    <n v="13.6896"/>
    <n v="-89.195999999999998"/>
    <n v="21700"/>
    <n v="0"/>
    <n v="0"/>
    <n v="102"/>
    <s v="_x0000_US"/>
  </r>
  <r>
    <x v="1"/>
    <n v="13.6897"/>
    <n v="-89.195999999999998"/>
    <n v="21700"/>
    <n v="0"/>
    <n v="0"/>
    <n v="102"/>
    <s v="_x0000_US"/>
  </r>
  <r>
    <x v="1"/>
    <n v="13.6866"/>
    <n v="-89.198499999999996"/>
    <n v="13700"/>
    <n v="0"/>
    <n v="0"/>
    <n v="102"/>
    <s v="_x0000_US"/>
  </r>
  <r>
    <x v="1"/>
    <n v="13.6906"/>
    <n v="-89.190600000000003"/>
    <n v="8550"/>
    <n v="0"/>
    <n v="0"/>
    <n v="102"/>
    <s v="_x0000_US"/>
  </r>
  <r>
    <x v="1"/>
    <n v="13.6913"/>
    <n v="-89.191299999999998"/>
    <n v="8550"/>
    <n v="0"/>
    <n v="0"/>
    <n v="102"/>
    <s v="_x0000_US"/>
  </r>
  <r>
    <x v="1"/>
    <n v="13.6905"/>
    <n v="-89.191199999999995"/>
    <n v="8550"/>
    <n v="0"/>
    <n v="0"/>
    <n v="102"/>
    <s v="_x0000_US"/>
  </r>
  <r>
    <x v="1"/>
    <n v="13.6896"/>
    <n v="-89.191000000000003"/>
    <n v="8550"/>
    <n v="0"/>
    <n v="0"/>
    <n v="102"/>
    <s v="_x0000_US"/>
  </r>
  <r>
    <x v="1"/>
    <n v="13.689500000000001"/>
    <n v="-89.190899999999999"/>
    <n v="8550"/>
    <n v="0"/>
    <n v="0"/>
    <n v="102"/>
    <s v="_x0000_US"/>
  </r>
  <r>
    <x v="1"/>
    <n v="13.689500000000001"/>
    <n v="-89.190899999999999"/>
    <n v="8550"/>
    <n v="0"/>
    <n v="0"/>
    <n v="102"/>
    <s v="_x0000_US"/>
  </r>
  <r>
    <x v="1"/>
    <n v="13.689500000000001"/>
    <n v="-89.190799999999996"/>
    <n v="8550"/>
    <n v="0"/>
    <n v="0"/>
    <n v="102"/>
    <s v="_x0000_US"/>
  </r>
  <r>
    <x v="1"/>
    <n v="13.6896"/>
    <n v="-89.190799999999996"/>
    <n v="8550"/>
    <n v="0"/>
    <n v="0"/>
    <n v="102"/>
    <s v="_x0000_US"/>
  </r>
  <r>
    <x v="1"/>
    <n v="13.6898"/>
    <n v="-89.1922"/>
    <n v="8550"/>
    <n v="0"/>
    <n v="0"/>
    <n v="102"/>
    <s v="_x0000_US"/>
  </r>
  <r>
    <x v="1"/>
    <n v="13.691700000000001"/>
    <n v="-89.190600000000003"/>
    <n v="8550"/>
    <n v="0"/>
    <n v="0"/>
    <n v="102"/>
    <s v="_x0000_US"/>
  </r>
  <r>
    <x v="1"/>
    <n v="13.690300000000001"/>
    <n v="-89.192400000000006"/>
    <n v="8550"/>
    <n v="0"/>
    <n v="0"/>
    <n v="102"/>
    <s v="_x0000_US"/>
  </r>
  <r>
    <x v="1"/>
    <n v="13.6906"/>
    <n v="-89.192499999999995"/>
    <n v="8550"/>
    <n v="0"/>
    <n v="0"/>
    <n v="102"/>
    <s v="_x0000_US"/>
  </r>
  <r>
    <x v="1"/>
    <n v="13.690300000000001"/>
    <n v="-89.192400000000006"/>
    <n v="8550"/>
    <n v="0"/>
    <n v="0"/>
    <n v="102"/>
    <s v="_x0000_US"/>
  </r>
  <r>
    <x v="1"/>
    <n v="13.690099999999999"/>
    <n v="-89.192400000000006"/>
    <n v="8550"/>
    <n v="0"/>
    <n v="0"/>
    <n v="102"/>
    <s v="_x0000_US"/>
  </r>
  <r>
    <x v="1"/>
    <n v="13.69"/>
    <n v="-89.192400000000006"/>
    <n v="8550"/>
    <n v="0"/>
    <n v="0"/>
    <n v="102"/>
    <s v="_x0000_US"/>
  </r>
  <r>
    <x v="1"/>
    <n v="13.6898"/>
    <n v="-89.192499999999995"/>
    <n v="8550"/>
    <n v="0"/>
    <n v="0"/>
    <n v="102"/>
    <s v="_x0000_US"/>
  </r>
  <r>
    <x v="1"/>
    <n v="13.687799999999999"/>
    <n v="-89.193100000000001"/>
    <n v="8550"/>
    <n v="0"/>
    <n v="0"/>
    <n v="102"/>
    <s v="_x0000_US"/>
  </r>
  <r>
    <x v="1"/>
    <n v="13.6881"/>
    <n v="-89.197900000000004"/>
    <n v="8550"/>
    <n v="0"/>
    <n v="0"/>
    <n v="102"/>
    <s v="_x0000_US"/>
  </r>
  <r>
    <x v="1"/>
    <n v="13.687799999999999"/>
    <n v="-89.192400000000006"/>
    <n v="12580"/>
    <n v="0"/>
    <n v="0"/>
    <n v="102"/>
    <s v="_x0000_US"/>
  </r>
  <r>
    <x v="1"/>
    <n v="13.687799999999999"/>
    <n v="-89.192300000000003"/>
    <n v="12580"/>
    <n v="0"/>
    <n v="0"/>
    <n v="102"/>
    <s v="_x0000_US"/>
  </r>
  <r>
    <x v="1"/>
    <n v="13.687799999999999"/>
    <n v="-89.192300000000003"/>
    <n v="12580"/>
    <n v="0"/>
    <n v="0"/>
    <n v="102"/>
    <s v="_x0000_US"/>
  </r>
  <r>
    <x v="1"/>
    <n v="13.687799999999999"/>
    <n v="-89.192300000000003"/>
    <n v="12580"/>
    <n v="0"/>
    <n v="0"/>
    <n v="102"/>
    <s v="_x0000_US"/>
  </r>
  <r>
    <x v="1"/>
    <n v="13.687900000000001"/>
    <n v="-89.192400000000006"/>
    <n v="12580"/>
    <n v="0"/>
    <n v="0"/>
    <n v="102"/>
    <s v="_x0000_US"/>
  </r>
  <r>
    <x v="1"/>
    <n v="13.6881"/>
    <n v="-89.190700000000007"/>
    <n v="9980"/>
    <n v="0"/>
    <n v="0"/>
    <n v="102"/>
    <s v="_x0000_US"/>
  </r>
  <r>
    <x v="1"/>
    <n v="13.6881"/>
    <n v="-89.190600000000003"/>
    <n v="9980"/>
    <n v="0"/>
    <n v="0"/>
    <n v="102"/>
    <s v="_x0000_US"/>
  </r>
  <r>
    <x v="1"/>
    <n v="13.6881"/>
    <n v="-89.1905"/>
    <n v="9980"/>
    <n v="0"/>
    <n v="0"/>
    <n v="102"/>
    <s v="_x0000_US"/>
  </r>
  <r>
    <x v="1"/>
    <n v="13.688000000000001"/>
    <n v="-89.1905"/>
    <n v="9980"/>
    <n v="0"/>
    <n v="0"/>
    <n v="102"/>
    <s v="_x0000_US"/>
  </r>
  <r>
    <x v="1"/>
    <n v="13.6881"/>
    <n v="-89.1905"/>
    <n v="9980"/>
    <n v="0"/>
    <n v="0"/>
    <n v="102"/>
    <s v="_x0000_US"/>
  </r>
  <r>
    <x v="1"/>
    <n v="13.688000000000001"/>
    <n v="-89.190700000000007"/>
    <n v="9980"/>
    <n v="0"/>
    <n v="0"/>
    <n v="102"/>
    <s v="_x0000_US"/>
  </r>
  <r>
    <x v="1"/>
    <n v="13.687900000000001"/>
    <n v="-89.191100000000006"/>
    <n v="9980"/>
    <n v="0"/>
    <n v="0"/>
    <n v="102"/>
    <s v="_x0000_US"/>
  </r>
  <r>
    <x v="1"/>
    <n v="13.688000000000001"/>
    <n v="-89.191199999999995"/>
    <n v="9980"/>
    <n v="0"/>
    <n v="0"/>
    <n v="102"/>
    <s v="_x0000_US"/>
  </r>
  <r>
    <x v="1"/>
    <n v="13.688000000000001"/>
    <n v="-89.190899999999999"/>
    <n v="9980"/>
    <n v="0"/>
    <n v="0"/>
    <n v="102"/>
    <s v="_x0000_US"/>
  </r>
  <r>
    <x v="1"/>
    <n v="13.688000000000001"/>
    <n v="-89.190799999999996"/>
    <n v="9980"/>
    <n v="0"/>
    <n v="0"/>
    <n v="102"/>
    <s v="_x0000_US"/>
  </r>
  <r>
    <x v="1"/>
    <n v="13.688000000000001"/>
    <n v="-89.190799999999996"/>
    <n v="9980"/>
    <n v="0"/>
    <n v="0"/>
    <n v="102"/>
    <s v="_x0000_US"/>
  </r>
  <r>
    <x v="1"/>
    <n v="13.6874"/>
    <n v="-89.190299999999993"/>
    <n v="9200"/>
    <n v="0"/>
    <n v="0"/>
    <n v="102"/>
    <s v="_x0000_US"/>
  </r>
  <r>
    <x v="1"/>
    <n v="13.6912"/>
    <n v="-89.180700000000002"/>
    <n v="11540"/>
    <n v="0"/>
    <n v="0"/>
    <n v="102"/>
    <s v="_x0000_US"/>
  </r>
  <r>
    <x v="1"/>
    <n v="13.6911"/>
    <n v="-89.180700000000002"/>
    <n v="11540"/>
    <n v="0"/>
    <n v="0"/>
    <n v="102"/>
    <s v="_x0000_US"/>
  </r>
  <r>
    <x v="1"/>
    <n v="13.6911"/>
    <n v="-89.180700000000002"/>
    <n v="11540"/>
    <n v="0"/>
    <n v="0"/>
    <n v="102"/>
    <s v="_x0000_US"/>
  </r>
  <r>
    <x v="1"/>
    <n v="13.6912"/>
    <n v="-89.180599999999998"/>
    <n v="11540"/>
    <n v="0"/>
    <n v="0"/>
    <n v="102"/>
    <s v="_x0000_US"/>
  </r>
  <r>
    <x v="1"/>
    <n v="13.6913"/>
    <n v="-89.180599999999998"/>
    <n v="11540"/>
    <n v="0"/>
    <n v="0"/>
    <n v="102"/>
    <s v="_x0000_US"/>
  </r>
  <r>
    <x v="1"/>
    <n v="13.6913"/>
    <n v="-89.180700000000002"/>
    <n v="11540"/>
    <n v="0"/>
    <n v="0"/>
    <n v="102"/>
    <s v="_x0000_US"/>
  </r>
  <r>
    <x v="1"/>
    <n v="13.6911"/>
    <n v="-89.180599999999998"/>
    <n v="11540"/>
    <n v="0"/>
    <n v="0"/>
    <n v="102"/>
    <s v="_x0000_US"/>
  </r>
  <r>
    <x v="1"/>
    <n v="13.6911"/>
    <n v="-89.180499999999995"/>
    <n v="11540"/>
    <n v="0"/>
    <n v="0"/>
    <n v="102"/>
    <s v="_x0000_US"/>
  </r>
  <r>
    <x v="1"/>
    <n v="13.6911"/>
    <n v="-89.180300000000003"/>
    <n v="11540"/>
    <n v="0"/>
    <n v="0"/>
    <n v="102"/>
    <s v="_x0000_US"/>
  </r>
  <r>
    <x v="1"/>
    <n v="13.6911"/>
    <n v="-89.180300000000003"/>
    <n v="11540"/>
    <n v="0"/>
    <n v="0"/>
    <n v="102"/>
    <s v="_x0000_US"/>
  </r>
  <r>
    <x v="1"/>
    <n v="13.6913"/>
    <n v="-89.180300000000003"/>
    <n v="11540"/>
    <n v="0"/>
    <n v="0"/>
    <n v="102"/>
    <s v="_x0000_US"/>
  </r>
  <r>
    <x v="1"/>
    <n v="13.6913"/>
    <n v="-89.180400000000006"/>
    <n v="11540"/>
    <n v="0"/>
    <n v="0"/>
    <n v="102"/>
    <s v="_x0000_US"/>
  </r>
  <r>
    <x v="1"/>
    <n v="13.6913"/>
    <n v="-89.180499999999995"/>
    <n v="11540"/>
    <n v="0"/>
    <n v="0"/>
    <n v="102"/>
    <s v="_x0000_US"/>
  </r>
  <r>
    <x v="1"/>
    <n v="13.6913"/>
    <n v="-89.180700000000002"/>
    <n v="11540"/>
    <n v="0"/>
    <n v="0"/>
    <n v="102"/>
    <s v="_x0000_US"/>
  </r>
  <r>
    <x v="1"/>
    <n v="13.6913"/>
    <n v="-89.180800000000005"/>
    <n v="11540"/>
    <n v="0"/>
    <n v="0"/>
    <n v="102"/>
    <s v="_x0000_US"/>
  </r>
  <r>
    <x v="1"/>
    <n v="13.6913"/>
    <n v="-89.180800000000005"/>
    <n v="11540"/>
    <n v="0"/>
    <n v="0"/>
    <n v="102"/>
    <s v="_x0000_US"/>
  </r>
  <r>
    <x v="1"/>
    <n v="13.6912"/>
    <n v="-89.180899999999994"/>
    <n v="11540"/>
    <n v="0"/>
    <n v="0"/>
    <n v="102"/>
    <s v="_x0000_US"/>
  </r>
  <r>
    <x v="1"/>
    <n v="13.6912"/>
    <n v="-89.180899999999994"/>
    <n v="11540"/>
    <n v="0"/>
    <n v="0"/>
    <n v="102"/>
    <s v="_x0000_US"/>
  </r>
  <r>
    <x v="1"/>
    <n v="13.6912"/>
    <n v="-89.180800000000005"/>
    <n v="11540"/>
    <n v="0"/>
    <n v="0"/>
    <n v="102"/>
    <s v="_x0000_US"/>
  </r>
  <r>
    <x v="1"/>
    <n v="13.6911"/>
    <n v="-89.180899999999994"/>
    <n v="11540"/>
    <n v="0"/>
    <n v="0"/>
    <n v="102"/>
    <s v="_x0000_US"/>
  </r>
  <r>
    <x v="1"/>
    <n v="13.690799999999999"/>
    <n v="-89.182100000000005"/>
    <n v="11540"/>
    <n v="0"/>
    <n v="0"/>
    <n v="102"/>
    <s v="_x0000_US"/>
  </r>
  <r>
    <x v="1"/>
    <n v="13.6907"/>
    <n v="-89.182100000000005"/>
    <n v="11540"/>
    <n v="0"/>
    <n v="0"/>
    <n v="102"/>
    <s v="_x0000_US"/>
  </r>
  <r>
    <x v="1"/>
    <n v="13.6906"/>
    <n v="-89.182100000000005"/>
    <n v="11540"/>
    <n v="0"/>
    <n v="0"/>
    <n v="102"/>
    <s v="_x0000_US"/>
  </r>
  <r>
    <x v="1"/>
    <n v="13.690799999999999"/>
    <n v="-89.181899999999999"/>
    <n v="11540"/>
    <n v="0"/>
    <n v="0"/>
    <n v="102"/>
    <s v="_x0000_US"/>
  </r>
  <r>
    <x v="1"/>
    <n v="13.6906"/>
    <n v="-89.181899999999999"/>
    <n v="11540"/>
    <n v="0"/>
    <n v="0"/>
    <n v="102"/>
    <s v="_x0000_US"/>
  </r>
  <r>
    <x v="1"/>
    <n v="13.6906"/>
    <n v="-89.181899999999999"/>
    <n v="11540"/>
    <n v="0"/>
    <n v="0"/>
    <n v="102"/>
    <s v="_x0000_US"/>
  </r>
  <r>
    <x v="1"/>
    <n v="13.6905"/>
    <n v="-89.182000000000002"/>
    <n v="11540"/>
    <n v="0"/>
    <n v="0"/>
    <n v="102"/>
    <s v="_x0000_US"/>
  </r>
  <r>
    <x v="1"/>
    <n v="13.6904"/>
    <n v="-89.182000000000002"/>
    <n v="11540"/>
    <n v="0"/>
    <n v="0"/>
    <n v="102"/>
    <s v="_x0000_US"/>
  </r>
  <r>
    <x v="1"/>
    <n v="13.6904"/>
    <n v="-89.182000000000002"/>
    <n v="11540"/>
    <n v="0"/>
    <n v="0"/>
    <n v="102"/>
    <s v="_x0000_US"/>
  </r>
  <r>
    <x v="1"/>
    <n v="13.6904"/>
    <n v="-89.181899999999999"/>
    <n v="11540"/>
    <n v="0"/>
    <n v="0"/>
    <n v="102"/>
    <s v="_x0000_US"/>
  </r>
  <r>
    <x v="1"/>
    <n v="13.6904"/>
    <n v="-89.181899999999999"/>
    <n v="11540"/>
    <n v="0"/>
    <n v="0"/>
    <n v="102"/>
    <s v="_x0000_US"/>
  </r>
  <r>
    <x v="1"/>
    <n v="13.691000000000001"/>
    <n v="-89.182100000000005"/>
    <n v="11540"/>
    <n v="0"/>
    <n v="0"/>
    <n v="102"/>
    <s v="_x0000_US"/>
  </r>
  <r>
    <x v="1"/>
    <n v="13.690899999999999"/>
    <n v="-89.182100000000005"/>
    <n v="11540"/>
    <n v="0"/>
    <n v="0"/>
    <n v="102"/>
    <s v="_x0000_US"/>
  </r>
  <r>
    <x v="1"/>
    <n v="13.6914"/>
    <n v="-89.182100000000005"/>
    <n v="11540"/>
    <n v="0"/>
    <n v="0"/>
    <n v="102"/>
    <s v="_x0000_US"/>
  </r>
  <r>
    <x v="1"/>
    <n v="13.6913"/>
    <n v="-89.182000000000002"/>
    <n v="11540"/>
    <n v="0"/>
    <n v="0"/>
    <n v="102"/>
    <s v="_x0000_US"/>
  </r>
  <r>
    <x v="1"/>
    <n v="13.6912"/>
    <n v="-89.182000000000002"/>
    <n v="11540"/>
    <n v="0"/>
    <n v="0"/>
    <n v="102"/>
    <s v="_x0000_US"/>
  </r>
  <r>
    <x v="1"/>
    <n v="13.6911"/>
    <n v="-89.182000000000002"/>
    <n v="11540"/>
    <n v="0"/>
    <n v="0"/>
    <n v="102"/>
    <s v="_x0000_US"/>
  </r>
  <r>
    <x v="1"/>
    <n v="13.69"/>
    <n v="-89.182400000000001"/>
    <n v="11540"/>
    <n v="0"/>
    <n v="0"/>
    <n v="102"/>
    <s v="_x0000_US"/>
  </r>
  <r>
    <x v="1"/>
    <n v="13.6896"/>
    <n v="-89.182500000000005"/>
    <n v="11540"/>
    <n v="0"/>
    <n v="0"/>
    <n v="102"/>
    <s v="_x0000_US"/>
  </r>
  <r>
    <x v="1"/>
    <n v="13.689500000000001"/>
    <n v="-89.182400000000001"/>
    <n v="11540"/>
    <n v="0"/>
    <n v="0"/>
    <n v="102"/>
    <s v="_x0000_US"/>
  </r>
  <r>
    <x v="1"/>
    <n v="13.689500000000001"/>
    <n v="-89.182400000000001"/>
    <n v="11540"/>
    <n v="0"/>
    <n v="0"/>
    <n v="102"/>
    <s v="_x0000_US"/>
  </r>
  <r>
    <x v="1"/>
    <n v="13.6912"/>
    <n v="-89.179900000000004"/>
    <n v="15100"/>
    <n v="0"/>
    <n v="0"/>
    <n v="102"/>
    <s v="_x0000_US"/>
  </r>
  <r>
    <x v="1"/>
    <n v="13.6911"/>
    <n v="-89.179900000000004"/>
    <n v="15100"/>
    <n v="0"/>
    <n v="0"/>
    <n v="102"/>
    <s v="_x0000_US"/>
  </r>
  <r>
    <x v="1"/>
    <n v="13.6911"/>
    <n v="-89.18"/>
    <n v="15100"/>
    <n v="0"/>
    <n v="0"/>
    <n v="102"/>
    <s v="_x0000_US"/>
  </r>
  <r>
    <x v="1"/>
    <n v="13.690899999999999"/>
    <n v="-89.18"/>
    <n v="15100"/>
    <n v="0"/>
    <n v="0"/>
    <n v="102"/>
    <s v="_x0000_US"/>
  </r>
  <r>
    <x v="1"/>
    <n v="13.6912"/>
    <n v="-89.180099999999996"/>
    <n v="15100"/>
    <n v="0"/>
    <n v="0"/>
    <n v="102"/>
    <s v="_x0000_US"/>
  </r>
  <r>
    <x v="1"/>
    <n v="13.6913"/>
    <n v="-89.180099999999996"/>
    <n v="15100"/>
    <n v="0"/>
    <n v="0"/>
    <n v="102"/>
    <s v="_x0000_US"/>
  </r>
  <r>
    <x v="1"/>
    <n v="13.6913"/>
    <n v="-89.18"/>
    <n v="15100"/>
    <n v="0"/>
    <n v="0"/>
    <n v="102"/>
    <s v="_x0000_US"/>
  </r>
  <r>
    <x v="1"/>
    <n v="13.686500000000001"/>
    <n v="-89.192499999999995"/>
    <n v="11540"/>
    <n v="0"/>
    <n v="0"/>
    <n v="102"/>
    <s v="_x0000_US"/>
  </r>
  <r>
    <x v="1"/>
    <n v="13.6867"/>
    <n v="-89.192400000000006"/>
    <n v="11540"/>
    <n v="0"/>
    <n v="0"/>
    <n v="102"/>
    <s v="_x0000_US"/>
  </r>
  <r>
    <x v="1"/>
    <n v="13.6868"/>
    <n v="-89.192400000000006"/>
    <n v="11540"/>
    <n v="0"/>
    <n v="0"/>
    <n v="102"/>
    <s v="_x0000_US"/>
  </r>
  <r>
    <x v="1"/>
    <n v="13.6868"/>
    <n v="-89.192300000000003"/>
    <n v="11540"/>
    <n v="0"/>
    <n v="0"/>
    <n v="102"/>
    <s v="_x0000_US"/>
  </r>
  <r>
    <x v="1"/>
    <n v="13.6867"/>
    <n v="-89.192400000000006"/>
    <n v="11540"/>
    <n v="0"/>
    <n v="0"/>
    <n v="102"/>
    <s v="_x0000_US"/>
  </r>
  <r>
    <x v="1"/>
    <n v="13.6867"/>
    <n v="-89.192400000000006"/>
    <n v="11540"/>
    <n v="0"/>
    <n v="0"/>
    <n v="102"/>
    <s v="_x0000_US"/>
  </r>
  <r>
    <x v="1"/>
    <n v="13.6867"/>
    <n v="-89.192400000000006"/>
    <n v="11540"/>
    <n v="0"/>
    <n v="0"/>
    <n v="102"/>
    <s v="_x0000_US"/>
  </r>
  <r>
    <x v="1"/>
    <n v="13.6866"/>
    <n v="-89.192400000000006"/>
    <n v="11540"/>
    <n v="0"/>
    <n v="0"/>
    <n v="102"/>
    <s v="_x0000_US"/>
  </r>
  <r>
    <x v="1"/>
    <n v="13.6866"/>
    <n v="-89.192400000000006"/>
    <n v="11540"/>
    <n v="0"/>
    <n v="0"/>
    <n v="102"/>
    <s v="_x0000_US"/>
  </r>
  <r>
    <x v="1"/>
    <n v="13.6876"/>
    <n v="-89.191900000000004"/>
    <n v="18300"/>
    <n v="0"/>
    <n v="0"/>
    <n v="102"/>
    <s v="_x0000_US"/>
  </r>
  <r>
    <x v="1"/>
    <n v="13.6874"/>
    <n v="-89.192899999999995"/>
    <n v="18300"/>
    <n v="0"/>
    <n v="0"/>
    <n v="102"/>
    <s v="_x0000_US"/>
  </r>
  <r>
    <x v="1"/>
    <n v="13.686299999999999"/>
    <n v="-89.192599999999999"/>
    <n v="18300"/>
    <n v="0"/>
    <n v="0"/>
    <n v="102"/>
    <s v="_x0000_US"/>
  </r>
  <r>
    <x v="1"/>
    <n v="13.686199999999999"/>
    <n v="-89.192599999999999"/>
    <n v="18300"/>
    <n v="0"/>
    <n v="0"/>
    <n v="102"/>
    <s v="_x0000_US"/>
  </r>
  <r>
    <x v="1"/>
    <n v="13.686199999999999"/>
    <n v="-89.192599999999999"/>
    <n v="18300"/>
    <n v="0"/>
    <n v="0"/>
    <n v="102"/>
    <s v="_x0000_US"/>
  </r>
  <r>
    <x v="1"/>
    <n v="13.686199999999999"/>
    <n v="-89.192599999999999"/>
    <n v="18300"/>
    <n v="0"/>
    <n v="0"/>
    <n v="102"/>
    <s v="_x0000_US"/>
  </r>
  <r>
    <x v="1"/>
    <n v="13.686199999999999"/>
    <n v="-89.192499999999995"/>
    <n v="18300"/>
    <n v="0"/>
    <n v="0"/>
    <n v="102"/>
    <s v="_x0000_US"/>
  </r>
  <r>
    <x v="1"/>
    <n v="13.686199999999999"/>
    <n v="-89.192499999999995"/>
    <n v="18300"/>
    <n v="0"/>
    <n v="0"/>
    <n v="102"/>
    <s v="_x0000_US"/>
  </r>
  <r>
    <x v="1"/>
    <n v="13.686199999999999"/>
    <n v="-89.192499999999995"/>
    <n v="18300"/>
    <n v="0"/>
    <n v="0"/>
    <n v="102"/>
    <s v="_x0000_US"/>
  </r>
  <r>
    <x v="1"/>
    <n v="13.686299999999999"/>
    <n v="-89.192599999999999"/>
    <n v="18300"/>
    <n v="0"/>
    <n v="0"/>
    <n v="102"/>
    <s v="_x0000_US"/>
  </r>
  <r>
    <x v="1"/>
    <n v="13.686199999999999"/>
    <n v="-89.192700000000002"/>
    <n v="18300"/>
    <n v="0"/>
    <n v="0"/>
    <n v="102"/>
    <s v="_x0000_US"/>
  </r>
  <r>
    <x v="1"/>
    <n v="13.686199999999999"/>
    <n v="-89.192800000000005"/>
    <n v="18300"/>
    <n v="0"/>
    <n v="0"/>
    <n v="102"/>
    <s v="_x0000_US"/>
  </r>
  <r>
    <x v="1"/>
    <n v="13.686199999999999"/>
    <n v="-89.192700000000002"/>
    <n v="18300"/>
    <n v="0"/>
    <n v="0"/>
    <n v="102"/>
    <s v="_x0000_US"/>
  </r>
  <r>
    <x v="1"/>
    <n v="13.686500000000001"/>
    <n v="-89.192599999999999"/>
    <n v="18300"/>
    <n v="0"/>
    <n v="0"/>
    <n v="102"/>
    <s v="_x0000_US"/>
  </r>
  <r>
    <x v="1"/>
    <n v="13.686400000000001"/>
    <n v="-89.192700000000002"/>
    <n v="18300"/>
    <n v="0"/>
    <n v="0"/>
    <n v="102"/>
    <s v="_x0000_US"/>
  </r>
  <r>
    <x v="1"/>
    <n v="13.686199999999999"/>
    <n v="-89.193100000000001"/>
    <n v="18300"/>
    <n v="0"/>
    <n v="0"/>
    <n v="102"/>
    <s v="_x0000_US"/>
  </r>
  <r>
    <x v="1"/>
    <n v="13.686500000000001"/>
    <n v="-89.192599999999999"/>
    <n v="18300"/>
    <n v="0"/>
    <n v="0"/>
    <n v="102"/>
    <s v="_x0000_US"/>
  </r>
  <r>
    <x v="1"/>
    <n v="13.6866"/>
    <n v="-89.192499999999995"/>
    <n v="18300"/>
    <n v="0"/>
    <n v="0"/>
    <n v="102"/>
    <s v="_x0000_US"/>
  </r>
  <r>
    <x v="1"/>
    <n v="13.6869"/>
    <n v="-89.192300000000003"/>
    <n v="18300"/>
    <n v="0"/>
    <n v="0"/>
    <n v="102"/>
    <s v="_x0000_US"/>
  </r>
  <r>
    <x v="1"/>
    <n v="13.6906"/>
    <n v="-89.197000000000003"/>
    <n v="11540"/>
    <n v="0"/>
    <n v="0"/>
    <n v="102"/>
    <s v="_x0000_US"/>
  </r>
  <r>
    <x v="1"/>
    <n v="13.689500000000001"/>
    <n v="-89.196299999999994"/>
    <n v="11540"/>
    <n v="0"/>
    <n v="0"/>
    <n v="102"/>
    <s v="_x0000_US"/>
  </r>
  <r>
    <x v="1"/>
    <n v="13.6911"/>
    <n v="-89.192599999999999"/>
    <n v="11670"/>
    <n v="0"/>
    <n v="0"/>
    <n v="102"/>
    <s v="_x0000_US"/>
  </r>
  <r>
    <x v="1"/>
    <n v="13.6911"/>
    <n v="-89.192700000000002"/>
    <n v="11670"/>
    <n v="0"/>
    <n v="0"/>
    <n v="102"/>
    <s v="_x0000_US"/>
  </r>
  <r>
    <x v="1"/>
    <n v="13.6911"/>
    <n v="-89.192899999999995"/>
    <n v="11670"/>
    <n v="0"/>
    <n v="0"/>
    <n v="102"/>
    <s v="_x0000_US"/>
  </r>
  <r>
    <x v="1"/>
    <n v="13.6928"/>
    <n v="-89.188800000000001"/>
    <n v="9980"/>
    <n v="0"/>
    <n v="0"/>
    <n v="102"/>
    <s v="_x0000_US"/>
  </r>
  <r>
    <x v="1"/>
    <n v="13.6912"/>
    <n v="-89.191100000000006"/>
    <n v="9980"/>
    <n v="0"/>
    <n v="0"/>
    <n v="102"/>
    <s v="_x0000_US"/>
  </r>
  <r>
    <x v="1"/>
    <n v="13.6889"/>
    <n v="-89.195899999999995"/>
    <n v="9850"/>
    <n v="0"/>
    <n v="0"/>
    <n v="102"/>
    <s v="_x0000_US"/>
  </r>
  <r>
    <x v="1"/>
    <n v="13.6889"/>
    <n v="-89.195499999999996"/>
    <n v="9850"/>
    <n v="0"/>
    <n v="0"/>
    <n v="102"/>
    <s v="_x0000_US"/>
  </r>
  <r>
    <x v="1"/>
    <n v="13.691700000000001"/>
    <n v="-89.187299999999993"/>
    <n v="14400"/>
    <n v="0"/>
    <n v="0"/>
    <n v="102"/>
    <s v="_x0000_US"/>
  </r>
  <r>
    <x v="1"/>
    <n v="13.6922"/>
    <n v="-89.1768"/>
    <n v="9980"/>
    <n v="0"/>
    <n v="0"/>
    <n v="102"/>
    <s v="_x0000_US"/>
  </r>
  <r>
    <x v="1"/>
    <n v="13.6921"/>
    <n v="-89.1768"/>
    <n v="9980"/>
    <n v="0"/>
    <n v="0"/>
    <n v="102"/>
    <s v="_x0000_US"/>
  </r>
  <r>
    <x v="1"/>
    <n v="13.6921"/>
    <n v="-89.176900000000003"/>
    <n v="9980"/>
    <n v="0"/>
    <n v="0"/>
    <n v="102"/>
    <s v="_x0000_US"/>
  </r>
  <r>
    <x v="1"/>
    <n v="13.6921"/>
    <n v="-89.177000000000007"/>
    <n v="9980"/>
    <n v="0"/>
    <n v="0"/>
    <n v="102"/>
    <s v="_x0000_US"/>
  </r>
  <r>
    <x v="1"/>
    <n v="13.692"/>
    <n v="-89.177000000000007"/>
    <n v="9980"/>
    <n v="0"/>
    <n v="0"/>
    <n v="102"/>
    <s v="_x0000_US"/>
  </r>
  <r>
    <x v="1"/>
    <n v="13.692"/>
    <n v="-89.177000000000007"/>
    <n v="9980"/>
    <n v="0"/>
    <n v="0"/>
    <n v="102"/>
    <s v="_x0000_US"/>
  </r>
  <r>
    <x v="1"/>
    <n v="13.692"/>
    <n v="-89.177099999999996"/>
    <n v="9980"/>
    <n v="0"/>
    <n v="0"/>
    <n v="102"/>
    <s v="_x0000_US"/>
  </r>
  <r>
    <x v="1"/>
    <n v="13.6921"/>
    <n v="-89.177099999999996"/>
    <n v="9980"/>
    <n v="0"/>
    <n v="0"/>
    <n v="102"/>
    <s v="_x0000_US"/>
  </r>
  <r>
    <x v="1"/>
    <n v="13.692"/>
    <n v="-89.177099999999996"/>
    <n v="9980"/>
    <n v="0"/>
    <n v="0"/>
    <n v="102"/>
    <s v="_x0000_US"/>
  </r>
  <r>
    <x v="1"/>
    <n v="13.6922"/>
    <n v="-89.1768"/>
    <n v="9980"/>
    <n v="0"/>
    <n v="0"/>
    <n v="102"/>
    <s v="_x0000_US"/>
  </r>
  <r>
    <x v="1"/>
    <n v="13.6922"/>
    <n v="-89.176900000000003"/>
    <n v="9980"/>
    <n v="0"/>
    <n v="0"/>
    <n v="102"/>
    <s v="_x0000_US"/>
  </r>
  <r>
    <x v="1"/>
    <n v="13.6921"/>
    <n v="-89.177099999999996"/>
    <n v="10500"/>
    <n v="0"/>
    <n v="0"/>
    <n v="102"/>
    <s v="_x0000_US"/>
  </r>
  <r>
    <x v="1"/>
    <n v="13.6921"/>
    <n v="-89.177199999999999"/>
    <n v="10500"/>
    <n v="0"/>
    <n v="0"/>
    <n v="102"/>
    <s v="_x0000_US"/>
  </r>
  <r>
    <x v="1"/>
    <n v="13.6922"/>
    <n v="-89.177199999999999"/>
    <n v="10500"/>
    <n v="0"/>
    <n v="0"/>
    <n v="102"/>
    <s v="_x0000_US"/>
  </r>
  <r>
    <x v="1"/>
    <n v="13.6921"/>
    <n v="-89.177199999999999"/>
    <n v="10500"/>
    <n v="0"/>
    <n v="0"/>
    <n v="102"/>
    <s v="_x0000_US"/>
  </r>
  <r>
    <x v="1"/>
    <n v="13.6921"/>
    <n v="-89.177199999999999"/>
    <n v="10500"/>
    <n v="0"/>
    <n v="0"/>
    <n v="102"/>
    <s v="_x0000_US"/>
  </r>
  <r>
    <x v="1"/>
    <n v="13.6922"/>
    <n v="-89.177300000000002"/>
    <n v="10500"/>
    <n v="0"/>
    <n v="0"/>
    <n v="102"/>
    <s v="_x0000_US"/>
  </r>
  <r>
    <x v="1"/>
    <n v="13.6922"/>
    <n v="-89.177400000000006"/>
    <n v="10500"/>
    <n v="0"/>
    <n v="0"/>
    <n v="102"/>
    <s v="_x0000_US"/>
  </r>
  <r>
    <x v="1"/>
    <n v="13.692299999999999"/>
    <n v="-89.177599999999998"/>
    <n v="10500"/>
    <n v="0"/>
    <n v="0"/>
    <n v="102"/>
    <s v="_x0000_US"/>
  </r>
  <r>
    <x v="1"/>
    <n v="13.692299999999999"/>
    <n v="-89.177499999999995"/>
    <n v="10500"/>
    <n v="0"/>
    <n v="0"/>
    <n v="102"/>
    <s v="_x0000_US"/>
  </r>
  <r>
    <x v="1"/>
    <n v="13.6922"/>
    <n v="-89.177400000000006"/>
    <n v="10500"/>
    <n v="0"/>
    <n v="0"/>
    <n v="102"/>
    <s v="_x0000_US"/>
  </r>
  <r>
    <x v="1"/>
    <n v="13.6922"/>
    <n v="-89.177400000000006"/>
    <n v="10500"/>
    <n v="0"/>
    <n v="0"/>
    <n v="102"/>
    <s v="_x0000_US"/>
  </r>
  <r>
    <x v="1"/>
    <n v="13.692299999999999"/>
    <n v="-89.177400000000006"/>
    <n v="10500"/>
    <n v="0"/>
    <n v="0"/>
    <n v="102"/>
    <s v="_x0000_US"/>
  </r>
  <r>
    <x v="1"/>
    <n v="13.692299999999999"/>
    <n v="-89.177300000000002"/>
    <n v="10500"/>
    <n v="0"/>
    <n v="0"/>
    <n v="102"/>
    <s v="_x0000_US"/>
  </r>
  <r>
    <x v="1"/>
    <n v="13.692399999999999"/>
    <n v="-89.177300000000002"/>
    <n v="10500"/>
    <n v="0"/>
    <n v="0"/>
    <n v="102"/>
    <s v="_x0000_US"/>
  </r>
  <r>
    <x v="1"/>
    <n v="13.692299999999999"/>
    <n v="-89.177199999999999"/>
    <n v="10500"/>
    <n v="0"/>
    <n v="0"/>
    <n v="102"/>
    <s v="_x0000_US"/>
  </r>
  <r>
    <x v="1"/>
    <n v="13.6922"/>
    <n v="-89.177199999999999"/>
    <n v="10500"/>
    <n v="0"/>
    <n v="0"/>
    <n v="102"/>
    <s v="_x0000_US"/>
  </r>
  <r>
    <x v="1"/>
    <n v="13.692299999999999"/>
    <n v="-89.177000000000007"/>
    <n v="10500"/>
    <n v="0"/>
    <n v="0"/>
    <n v="102"/>
    <s v="_x0000_US"/>
  </r>
  <r>
    <x v="1"/>
    <n v="13.692299999999999"/>
    <n v="-89.177099999999996"/>
    <n v="10500"/>
    <n v="0"/>
    <n v="0"/>
    <n v="102"/>
    <s v="_x0000_US"/>
  </r>
  <r>
    <x v="1"/>
    <n v="13.692399999999999"/>
    <n v="-89.177099999999996"/>
    <n v="10500"/>
    <n v="0"/>
    <n v="0"/>
    <n v="102"/>
    <s v="_x0000_US"/>
  </r>
  <r>
    <x v="1"/>
    <n v="13.692399999999999"/>
    <n v="-89.177199999999999"/>
    <n v="10500"/>
    <n v="0"/>
    <n v="0"/>
    <n v="102"/>
    <s v="_x0000_US"/>
  </r>
  <r>
    <x v="1"/>
    <n v="13.692399999999999"/>
    <n v="-89.177199999999999"/>
    <n v="10500"/>
    <n v="0"/>
    <n v="0"/>
    <n v="102"/>
    <s v="_x0000_US"/>
  </r>
  <r>
    <x v="1"/>
    <n v="13.692399999999999"/>
    <n v="-89.177599999999998"/>
    <n v="10500"/>
    <n v="0"/>
    <n v="0"/>
    <n v="102"/>
    <s v="_x0000_US"/>
  </r>
  <r>
    <x v="1"/>
    <n v="13.692299999999999"/>
    <n v="-89.177599999999998"/>
    <n v="10500"/>
    <n v="0"/>
    <n v="0"/>
    <n v="102"/>
    <s v="_x0000_US"/>
  </r>
  <r>
    <x v="1"/>
    <n v="13.692399999999999"/>
    <n v="-89.177700000000002"/>
    <n v="10500"/>
    <n v="0"/>
    <n v="0"/>
    <n v="102"/>
    <s v="_x0000_US"/>
  </r>
  <r>
    <x v="1"/>
    <n v="13.692600000000001"/>
    <n v="-89.177899999999994"/>
    <n v="10500"/>
    <n v="0"/>
    <n v="0"/>
    <n v="102"/>
    <s v="_x0000_US"/>
  </r>
  <r>
    <x v="1"/>
    <n v="13.692500000000001"/>
    <n v="-89.177800000000005"/>
    <n v="10500"/>
    <n v="0"/>
    <n v="0"/>
    <n v="102"/>
    <s v="_x0000_US"/>
  </r>
  <r>
    <x v="1"/>
    <n v="13.692500000000001"/>
    <n v="-89.177800000000005"/>
    <n v="10500"/>
    <n v="0"/>
    <n v="0"/>
    <n v="102"/>
    <s v="_x0000_US"/>
  </r>
  <r>
    <x v="1"/>
    <n v="13.6927"/>
    <n v="-89.177700000000002"/>
    <n v="10500"/>
    <n v="0"/>
    <n v="0"/>
    <n v="102"/>
    <s v="_x0000_US"/>
  </r>
  <r>
    <x v="1"/>
    <n v="13.6928"/>
    <n v="-89.177700000000002"/>
    <n v="10500"/>
    <n v="0"/>
    <n v="0"/>
    <n v="102"/>
    <s v="_x0000_US"/>
  </r>
  <r>
    <x v="1"/>
    <n v="13.6927"/>
    <n v="-89.177700000000002"/>
    <n v="10500"/>
    <n v="0"/>
    <n v="0"/>
    <n v="102"/>
    <s v="_x0000_US"/>
  </r>
  <r>
    <x v="1"/>
    <n v="13.6927"/>
    <n v="-89.177599999999998"/>
    <n v="10500"/>
    <n v="0"/>
    <n v="0"/>
    <n v="102"/>
    <s v="_x0000_US"/>
  </r>
  <r>
    <x v="1"/>
    <n v="13.6927"/>
    <n v="-89.177599999999998"/>
    <n v="10500"/>
    <n v="0"/>
    <n v="0"/>
    <n v="102"/>
    <s v="_x0000_US"/>
  </r>
  <r>
    <x v="1"/>
    <n v="13.692600000000001"/>
    <n v="-89.177499999999995"/>
    <n v="10500"/>
    <n v="0"/>
    <n v="0"/>
    <n v="102"/>
    <s v="_x0000_US"/>
  </r>
  <r>
    <x v="1"/>
    <n v="13.692600000000001"/>
    <n v="-89.177400000000006"/>
    <n v="10500"/>
    <n v="0"/>
    <n v="0"/>
    <n v="102"/>
    <s v="_x0000_US"/>
  </r>
  <r>
    <x v="1"/>
    <n v="13.692600000000001"/>
    <n v="-89.177400000000006"/>
    <n v="10500"/>
    <n v="0"/>
    <n v="0"/>
    <n v="102"/>
    <s v="_x0000_US"/>
  </r>
  <r>
    <x v="1"/>
    <n v="13.6928"/>
    <n v="-89.177499999999995"/>
    <n v="10500"/>
    <n v="0"/>
    <n v="0"/>
    <n v="102"/>
    <s v="_x0000_US"/>
  </r>
  <r>
    <x v="1"/>
    <n v="13.6928"/>
    <n v="-89.177499999999995"/>
    <n v="10500"/>
    <n v="0"/>
    <n v="0"/>
    <n v="102"/>
    <s v="_x0000_US"/>
  </r>
  <r>
    <x v="1"/>
    <n v="13.6928"/>
    <n v="-89.177400000000006"/>
    <n v="10500"/>
    <n v="0"/>
    <n v="0"/>
    <n v="102"/>
    <s v="_x0000_US"/>
  </r>
  <r>
    <x v="1"/>
    <n v="13.6927"/>
    <n v="-89.177400000000006"/>
    <n v="10500"/>
    <n v="0"/>
    <n v="0"/>
    <n v="102"/>
    <s v="_x0000_US"/>
  </r>
  <r>
    <x v="1"/>
    <n v="13.6927"/>
    <n v="-89.177300000000002"/>
    <n v="10500"/>
    <n v="0"/>
    <n v="0"/>
    <n v="102"/>
    <s v="_x0000_US"/>
  </r>
  <r>
    <x v="1"/>
    <n v="13.6927"/>
    <n v="-89.177300000000002"/>
    <n v="10500"/>
    <n v="0"/>
    <n v="0"/>
    <n v="102"/>
    <s v="_x0000_US"/>
  </r>
  <r>
    <x v="1"/>
    <n v="13.692600000000001"/>
    <n v="-89.177199999999999"/>
    <n v="10500"/>
    <n v="0"/>
    <n v="0"/>
    <n v="102"/>
    <s v="_x0000_US"/>
  </r>
  <r>
    <x v="1"/>
    <n v="13.692600000000001"/>
    <n v="-89.177199999999999"/>
    <n v="10500"/>
    <n v="0"/>
    <n v="0"/>
    <n v="102"/>
    <s v="_x0000_US"/>
  </r>
  <r>
    <x v="1"/>
    <n v="13.6928"/>
    <n v="-89.177199999999999"/>
    <n v="10500"/>
    <n v="0"/>
    <n v="0"/>
    <n v="102"/>
    <s v="_x0000_US"/>
  </r>
  <r>
    <x v="1"/>
    <n v="13.6928"/>
    <n v="-89.177099999999996"/>
    <n v="10500"/>
    <n v="0"/>
    <n v="0"/>
    <n v="102"/>
    <s v="_x0000_US"/>
  </r>
  <r>
    <x v="1"/>
    <n v="13.6928"/>
    <n v="-89.177000000000007"/>
    <n v="10500"/>
    <n v="0"/>
    <n v="0"/>
    <n v="102"/>
    <s v="_x0000_US"/>
  </r>
  <r>
    <x v="1"/>
    <n v="13.692600000000001"/>
    <n v="-89.177000000000007"/>
    <n v="10500"/>
    <n v="0"/>
    <n v="0"/>
    <n v="102"/>
    <s v="_x0000_US"/>
  </r>
  <r>
    <x v="1"/>
    <n v="13.692600000000001"/>
    <n v="-89.177000000000007"/>
    <n v="10500"/>
    <n v="0"/>
    <n v="0"/>
    <n v="102"/>
    <s v="_x0000_US"/>
  </r>
  <r>
    <x v="1"/>
    <n v="13.692600000000001"/>
    <n v="-89.177000000000007"/>
    <n v="10500"/>
    <n v="0"/>
    <n v="0"/>
    <n v="102"/>
    <s v="_x0000_US"/>
  </r>
  <r>
    <x v="1"/>
    <n v="13.692600000000001"/>
    <n v="-89.177099999999996"/>
    <n v="10500"/>
    <n v="0"/>
    <n v="0"/>
    <n v="102"/>
    <s v="_x0000_US"/>
  </r>
  <r>
    <x v="1"/>
    <n v="13.692500000000001"/>
    <n v="-89.177000000000007"/>
    <n v="10500"/>
    <n v="0"/>
    <n v="0"/>
    <n v="102"/>
    <s v="_x0000_US"/>
  </r>
  <r>
    <x v="1"/>
    <n v="13.692500000000001"/>
    <n v="-89.177099999999996"/>
    <n v="10500"/>
    <n v="0"/>
    <n v="0"/>
    <n v="102"/>
    <s v="_x0000_US"/>
  </r>
  <r>
    <x v="1"/>
    <n v="13.692500000000001"/>
    <n v="-89.177300000000002"/>
    <n v="10500"/>
    <n v="0"/>
    <n v="0"/>
    <n v="102"/>
    <s v="_x0000_US"/>
  </r>
  <r>
    <x v="1"/>
    <n v="13.692399999999999"/>
    <n v="-89.177700000000002"/>
    <n v="10500"/>
    <n v="0"/>
    <n v="0"/>
    <n v="102"/>
    <s v="_x0000_US"/>
  </r>
  <r>
    <x v="1"/>
    <n v="13.692500000000001"/>
    <n v="-89.177099999999996"/>
    <n v="10500"/>
    <n v="0"/>
    <n v="0"/>
    <n v="102"/>
    <s v="_x0000_US"/>
  </r>
  <r>
    <x v="1"/>
    <n v="13.692500000000001"/>
    <n v="-89.177000000000007"/>
    <n v="10500"/>
    <n v="0"/>
    <n v="0"/>
    <n v="102"/>
    <s v="_x0000_US"/>
  </r>
  <r>
    <x v="1"/>
    <n v="13.692500000000001"/>
    <n v="-89.177000000000007"/>
    <n v="10500"/>
    <n v="0"/>
    <n v="0"/>
    <n v="102"/>
    <s v="_x0000_US"/>
  </r>
  <r>
    <x v="1"/>
    <n v="13.692500000000001"/>
    <n v="-89.177000000000007"/>
    <n v="10500"/>
    <n v="0"/>
    <n v="0"/>
    <n v="102"/>
    <s v="_x0000_US"/>
  </r>
  <r>
    <x v="1"/>
    <n v="13.692500000000001"/>
    <n v="-89.176900000000003"/>
    <n v="10500"/>
    <n v="0"/>
    <n v="0"/>
    <n v="102"/>
    <s v="_x0000_US"/>
  </r>
  <r>
    <x v="1"/>
    <n v="13.692600000000001"/>
    <n v="-89.1768"/>
    <n v="10500"/>
    <n v="0"/>
    <n v="0"/>
    <n v="102"/>
    <s v="_x0000_US"/>
  </r>
  <r>
    <x v="1"/>
    <n v="13.6927"/>
    <n v="-89.176900000000003"/>
    <n v="10500"/>
    <n v="0"/>
    <n v="0"/>
    <n v="102"/>
    <s v="_x0000_US"/>
  </r>
  <r>
    <x v="1"/>
    <n v="13.6928"/>
    <n v="-89.176900000000003"/>
    <n v="10500"/>
    <n v="0"/>
    <n v="0"/>
    <n v="102"/>
    <s v="_x0000_US"/>
  </r>
  <r>
    <x v="1"/>
    <n v="13.693"/>
    <n v="-89.177199999999999"/>
    <n v="10500"/>
    <n v="0"/>
    <n v="0"/>
    <n v="102"/>
    <s v="_x0000_US"/>
  </r>
  <r>
    <x v="1"/>
    <n v="13.6929"/>
    <n v="-89.177199999999999"/>
    <n v="10500"/>
    <n v="0"/>
    <n v="0"/>
    <n v="102"/>
    <s v="_x0000_US"/>
  </r>
  <r>
    <x v="1"/>
    <n v="13.6929"/>
    <n v="-89.177099999999996"/>
    <n v="10500"/>
    <n v="0"/>
    <n v="0"/>
    <n v="102"/>
    <s v="_x0000_US"/>
  </r>
  <r>
    <x v="1"/>
    <n v="13.6929"/>
    <n v="-89.177000000000007"/>
    <n v="10500"/>
    <n v="0"/>
    <n v="0"/>
    <n v="102"/>
    <s v="_x0000_US"/>
  </r>
  <r>
    <x v="1"/>
    <n v="13.6929"/>
    <n v="-89.177499999999995"/>
    <n v="10500"/>
    <n v="0"/>
    <n v="0"/>
    <n v="102"/>
    <s v="_x0000_US"/>
  </r>
  <r>
    <x v="1"/>
    <n v="13.6929"/>
    <n v="-89.177400000000006"/>
    <n v="10500"/>
    <n v="0"/>
    <n v="0"/>
    <n v="102"/>
    <s v="_x0000_US"/>
  </r>
  <r>
    <x v="1"/>
    <n v="13.6929"/>
    <n v="-89.177499999999995"/>
    <n v="10500"/>
    <n v="0"/>
    <n v="0"/>
    <n v="102"/>
    <s v="_x0000_US"/>
  </r>
  <r>
    <x v="1"/>
    <n v="13.6929"/>
    <n v="-89.177499999999995"/>
    <n v="10500"/>
    <n v="0"/>
    <n v="0"/>
    <n v="102"/>
    <s v="_x0000_US"/>
  </r>
  <r>
    <x v="1"/>
    <n v="13.6928"/>
    <n v="-89.177499999999995"/>
    <n v="10500"/>
    <n v="0"/>
    <n v="0"/>
    <n v="102"/>
    <s v="_x0000_US"/>
  </r>
  <r>
    <x v="1"/>
    <n v="13.693"/>
    <n v="-89.177199999999999"/>
    <n v="10500"/>
    <n v="0"/>
    <n v="0"/>
    <n v="102"/>
    <s v="_x0000_US"/>
  </r>
  <r>
    <x v="1"/>
    <n v="13.6927"/>
    <n v="-89.1768"/>
    <n v="10500"/>
    <n v="0"/>
    <n v="0"/>
    <n v="102"/>
    <s v="_x0000_US"/>
  </r>
  <r>
    <x v="1"/>
    <n v="13.692600000000001"/>
    <n v="-89.1768"/>
    <n v="10500"/>
    <n v="0"/>
    <n v="0"/>
    <n v="102"/>
    <s v="_x0000_US"/>
  </r>
  <r>
    <x v="1"/>
    <n v="13.692600000000001"/>
    <n v="-89.1768"/>
    <n v="10500"/>
    <n v="0"/>
    <n v="0"/>
    <n v="102"/>
    <s v="_x0000_US"/>
  </r>
  <r>
    <x v="1"/>
    <n v="13.692299999999999"/>
    <n v="-89.178299999999993"/>
    <n v="9980"/>
    <n v="0"/>
    <n v="0"/>
    <n v="102"/>
    <s v="_x0000_US"/>
  </r>
  <r>
    <x v="1"/>
    <n v="13.692299999999999"/>
    <n v="-89.178299999999993"/>
    <n v="9980"/>
    <n v="0"/>
    <n v="0"/>
    <n v="102"/>
    <s v="_x0000_US"/>
  </r>
  <r>
    <x v="1"/>
    <n v="13.692299999999999"/>
    <n v="-89.178299999999993"/>
    <n v="9980"/>
    <n v="0"/>
    <n v="0"/>
    <n v="102"/>
    <s v="_x0000_US"/>
  </r>
  <r>
    <x v="1"/>
    <n v="13.6922"/>
    <n v="-89.178299999999993"/>
    <n v="9980"/>
    <n v="0"/>
    <n v="0"/>
    <n v="102"/>
    <s v="_x0000_US"/>
  </r>
  <r>
    <x v="1"/>
    <n v="13.6921"/>
    <n v="-89.178299999999993"/>
    <n v="9980"/>
    <n v="0"/>
    <n v="0"/>
    <n v="102"/>
    <s v="_x0000_US"/>
  </r>
  <r>
    <x v="1"/>
    <n v="13.6921"/>
    <n v="-89.178200000000004"/>
    <n v="9980"/>
    <n v="0"/>
    <n v="0"/>
    <n v="102"/>
    <s v="_x0000_US"/>
  </r>
  <r>
    <x v="1"/>
    <n v="13.6922"/>
    <n v="-89.178200000000004"/>
    <n v="9980"/>
    <n v="0"/>
    <n v="0"/>
    <n v="102"/>
    <s v="_x0000_US"/>
  </r>
  <r>
    <x v="1"/>
    <n v="13.6922"/>
    <n v="-89.178200000000004"/>
    <n v="9980"/>
    <n v="0"/>
    <n v="0"/>
    <n v="102"/>
    <s v="_x0000_US"/>
  </r>
  <r>
    <x v="1"/>
    <n v="13.692299999999999"/>
    <n v="-89.178100000000001"/>
    <n v="9980"/>
    <n v="0"/>
    <n v="0"/>
    <n v="102"/>
    <s v="_x0000_US"/>
  </r>
  <r>
    <x v="1"/>
    <n v="13.692299999999999"/>
    <n v="-89.178100000000001"/>
    <n v="9980"/>
    <n v="0"/>
    <n v="0"/>
    <n v="102"/>
    <s v="_x0000_US"/>
  </r>
  <r>
    <x v="1"/>
    <n v="13.692299999999999"/>
    <n v="-89.177999999999997"/>
    <n v="9980"/>
    <n v="0"/>
    <n v="0"/>
    <n v="102"/>
    <s v="_x0000_US"/>
  </r>
  <r>
    <x v="1"/>
    <n v="13.6921"/>
    <n v="-89.178100000000001"/>
    <n v="9980"/>
    <n v="0"/>
    <n v="0"/>
    <n v="102"/>
    <s v="_x0000_US"/>
  </r>
  <r>
    <x v="1"/>
    <n v="13.6922"/>
    <n v="-89.178100000000001"/>
    <n v="9980"/>
    <n v="0"/>
    <n v="0"/>
    <n v="102"/>
    <s v="_x0000_US"/>
  </r>
  <r>
    <x v="1"/>
    <n v="13.692"/>
    <n v="-89.178399999999996"/>
    <n v="9980"/>
    <n v="0"/>
    <n v="0"/>
    <n v="102"/>
    <s v="_x0000_US"/>
  </r>
  <r>
    <x v="1"/>
    <n v="13.692"/>
    <n v="-89.178299999999993"/>
    <n v="9980"/>
    <n v="0"/>
    <n v="0"/>
    <n v="102"/>
    <s v="_x0000_US"/>
  </r>
  <r>
    <x v="1"/>
    <n v="13.692"/>
    <n v="-89.178299999999993"/>
    <n v="9980"/>
    <n v="0"/>
    <n v="0"/>
    <n v="102"/>
    <s v="_x0000_US"/>
  </r>
  <r>
    <x v="1"/>
    <n v="13.692"/>
    <n v="-89.178200000000004"/>
    <n v="9980"/>
    <n v="0"/>
    <n v="0"/>
    <n v="102"/>
    <s v="_x0000_US"/>
  </r>
  <r>
    <x v="1"/>
    <n v="13.692"/>
    <n v="-89.178200000000004"/>
    <n v="9980"/>
    <n v="0"/>
    <n v="0"/>
    <n v="102"/>
    <s v="_x0000_US"/>
  </r>
  <r>
    <x v="1"/>
    <n v="13.6921"/>
    <n v="-89.178200000000004"/>
    <n v="9980"/>
    <n v="0"/>
    <n v="0"/>
    <n v="102"/>
    <s v="_x0000_US"/>
  </r>
  <r>
    <x v="1"/>
    <n v="13.6919"/>
    <n v="-89.178299999999993"/>
    <n v="9980"/>
    <n v="0"/>
    <n v="0"/>
    <n v="102"/>
    <s v="_x0000_US"/>
  </r>
  <r>
    <x v="1"/>
    <n v="13.692299999999999"/>
    <n v="-89.1785"/>
    <n v="9980"/>
    <n v="0"/>
    <n v="0"/>
    <n v="102"/>
    <s v="_x0000_US"/>
  </r>
  <r>
    <x v="1"/>
    <n v="13.692299999999999"/>
    <n v="-89.178399999999996"/>
    <n v="9980"/>
    <n v="0"/>
    <n v="0"/>
    <n v="102"/>
    <s v="_x0000_US"/>
  </r>
  <r>
    <x v="1"/>
    <n v="13.692299999999999"/>
    <n v="-89.178399999999996"/>
    <n v="9980"/>
    <n v="0"/>
    <n v="0"/>
    <n v="102"/>
    <s v="_x0000_US"/>
  </r>
  <r>
    <x v="1"/>
    <n v="13.692399999999999"/>
    <n v="-89.178399999999996"/>
    <n v="9980"/>
    <n v="0"/>
    <n v="0"/>
    <n v="102"/>
    <s v="_x0000_US"/>
  </r>
  <r>
    <x v="1"/>
    <n v="13.692399999999999"/>
    <n v="-89.178399999999996"/>
    <n v="9980"/>
    <n v="0"/>
    <n v="0"/>
    <n v="102"/>
    <s v="_x0000_US"/>
  </r>
  <r>
    <x v="1"/>
    <n v="13.692399999999999"/>
    <n v="-89.178100000000001"/>
    <n v="9980"/>
    <n v="0"/>
    <n v="0"/>
    <n v="102"/>
    <s v="_x0000_US"/>
  </r>
  <r>
    <x v="1"/>
    <n v="13.692399999999999"/>
    <n v="-89.177999999999997"/>
    <n v="9980"/>
    <n v="0"/>
    <n v="0"/>
    <n v="102"/>
    <s v="_x0000_US"/>
  </r>
  <r>
    <x v="1"/>
    <n v="13.692399999999999"/>
    <n v="-89.177999999999997"/>
    <n v="9980"/>
    <n v="0"/>
    <n v="0"/>
    <n v="102"/>
    <s v="_x0000_US"/>
  </r>
  <r>
    <x v="1"/>
    <n v="13.692399999999999"/>
    <n v="-89.177999999999997"/>
    <n v="9980"/>
    <n v="0"/>
    <n v="0"/>
    <n v="102"/>
    <s v="_x0000_US"/>
  </r>
  <r>
    <x v="1"/>
    <n v="13.692500000000001"/>
    <n v="-89.177999999999997"/>
    <n v="9980"/>
    <n v="0"/>
    <n v="0"/>
    <n v="102"/>
    <s v="_x0000_US"/>
  </r>
  <r>
    <x v="1"/>
    <n v="13.6919"/>
    <n v="-89.178299999999993"/>
    <n v="9980"/>
    <n v="0"/>
    <n v="0"/>
    <n v="102"/>
    <s v="_x0000_US"/>
  </r>
  <r>
    <x v="1"/>
    <n v="13.6919"/>
    <n v="-89.178399999999996"/>
    <n v="9980"/>
    <n v="0"/>
    <n v="0"/>
    <n v="102"/>
    <s v="_x0000_US"/>
  </r>
  <r>
    <x v="1"/>
    <n v="13.6904"/>
    <n v="-89.177899999999994"/>
    <n v="15100"/>
    <n v="0"/>
    <n v="0"/>
    <n v="102"/>
    <s v="_x0000_US"/>
  </r>
  <r>
    <x v="1"/>
    <n v="13.6905"/>
    <n v="-89.177800000000005"/>
    <n v="15100"/>
    <n v="0"/>
    <n v="0"/>
    <n v="102"/>
    <s v="_x0000_US"/>
  </r>
  <r>
    <x v="1"/>
    <n v="13.6905"/>
    <n v="-89.177700000000002"/>
    <n v="15100"/>
    <n v="0"/>
    <n v="0"/>
    <n v="102"/>
    <s v="_x0000_US"/>
  </r>
  <r>
    <x v="1"/>
    <n v="13.6906"/>
    <n v="-89.177599999999998"/>
    <n v="15100"/>
    <n v="0"/>
    <n v="0"/>
    <n v="102"/>
    <s v="_x0000_US"/>
  </r>
  <r>
    <x v="1"/>
    <n v="13.6904"/>
    <n v="-89.177300000000002"/>
    <n v="15100"/>
    <n v="0"/>
    <n v="0"/>
    <n v="102"/>
    <s v="_x0000_US"/>
  </r>
  <r>
    <x v="1"/>
    <n v="13.6904"/>
    <n v="-89.177199999999999"/>
    <n v="15100"/>
    <n v="0"/>
    <n v="0"/>
    <n v="102"/>
    <s v="_x0000_US"/>
  </r>
  <r>
    <x v="1"/>
    <n v="13.6905"/>
    <n v="-89.177199999999999"/>
    <n v="15100"/>
    <n v="0"/>
    <n v="0"/>
    <n v="102"/>
    <s v="_x0000_US"/>
  </r>
  <r>
    <x v="1"/>
    <n v="13.6905"/>
    <n v="-89.177199999999999"/>
    <n v="15100"/>
    <n v="0"/>
    <n v="0"/>
    <n v="102"/>
    <s v="_x0000_US"/>
  </r>
  <r>
    <x v="1"/>
    <n v="13.6905"/>
    <n v="-89.177099999999996"/>
    <n v="15100"/>
    <n v="0"/>
    <n v="0"/>
    <n v="102"/>
    <s v="_x0000_US"/>
  </r>
  <r>
    <x v="1"/>
    <n v="13.6905"/>
    <n v="-89.177099999999996"/>
    <n v="15100"/>
    <n v="0"/>
    <n v="0"/>
    <n v="102"/>
    <s v="_x0000_US"/>
  </r>
  <r>
    <x v="1"/>
    <n v="13.6905"/>
    <n v="-89.177000000000007"/>
    <n v="15100"/>
    <n v="0"/>
    <n v="0"/>
    <n v="102"/>
    <s v="_x0000_US"/>
  </r>
  <r>
    <x v="1"/>
    <n v="13.6905"/>
    <n v="-89.177000000000007"/>
    <n v="15100"/>
    <n v="0"/>
    <n v="0"/>
    <n v="102"/>
    <s v="_x0000_US"/>
  </r>
  <r>
    <x v="1"/>
    <n v="13.690300000000001"/>
    <n v="-89.177300000000002"/>
    <n v="15100"/>
    <n v="0"/>
    <n v="0"/>
    <n v="102"/>
    <s v="_x0000_US"/>
  </r>
  <r>
    <x v="1"/>
    <n v="13.690300000000001"/>
    <n v="-89.177199999999999"/>
    <n v="15100"/>
    <n v="0"/>
    <n v="0"/>
    <n v="102"/>
    <s v="_x0000_US"/>
  </r>
  <r>
    <x v="1"/>
    <n v="13.690300000000001"/>
    <n v="-89.177099999999996"/>
    <n v="15100"/>
    <n v="0"/>
    <n v="0"/>
    <n v="102"/>
    <s v="_x0000_US"/>
  </r>
  <r>
    <x v="1"/>
    <n v="13.6904"/>
    <n v="-89.177099999999996"/>
    <n v="15100"/>
    <n v="0"/>
    <n v="0"/>
    <n v="102"/>
    <s v="_x0000_US"/>
  </r>
  <r>
    <x v="1"/>
    <n v="13.6904"/>
    <n v="-89.177000000000007"/>
    <n v="15100"/>
    <n v="0"/>
    <n v="0"/>
    <n v="102"/>
    <s v="_x0000_US"/>
  </r>
  <r>
    <x v="1"/>
    <n v="13.6904"/>
    <n v="-89.177000000000007"/>
    <n v="15100"/>
    <n v="0"/>
    <n v="0"/>
    <n v="102"/>
    <s v="_x0000_US"/>
  </r>
  <r>
    <x v="1"/>
    <n v="13.690300000000001"/>
    <n v="-89.177199999999999"/>
    <n v="15100"/>
    <n v="0"/>
    <n v="0"/>
    <n v="102"/>
    <s v="_x0000_US"/>
  </r>
  <r>
    <x v="1"/>
    <n v="13.6907"/>
    <n v="-89.177499999999995"/>
    <n v="15100"/>
    <n v="0"/>
    <n v="0"/>
    <n v="102"/>
    <s v="_x0000_US"/>
  </r>
  <r>
    <x v="1"/>
    <n v="13.6906"/>
    <n v="-89.176900000000003"/>
    <n v="15100"/>
    <n v="0"/>
    <n v="0"/>
    <n v="102"/>
    <s v="_x0000_US"/>
  </r>
  <r>
    <x v="1"/>
    <n v="13.6906"/>
    <n v="-89.176900000000003"/>
    <n v="15100"/>
    <n v="0"/>
    <n v="0"/>
    <n v="102"/>
    <s v="_x0000_US"/>
  </r>
  <r>
    <x v="1"/>
    <n v="13.6906"/>
    <n v="-89.176900000000003"/>
    <n v="15100"/>
    <n v="0"/>
    <n v="0"/>
    <n v="102"/>
    <s v="_x0000_US"/>
  </r>
  <r>
    <x v="1"/>
    <n v="13.6906"/>
    <n v="-89.1768"/>
    <n v="15100"/>
    <n v="0"/>
    <n v="0"/>
    <n v="102"/>
    <s v="_x0000_US"/>
  </r>
  <r>
    <x v="1"/>
    <n v="13.6904"/>
    <n v="-89.176900000000003"/>
    <n v="15100"/>
    <n v="0"/>
    <n v="0"/>
    <n v="102"/>
    <s v="_x0000_US"/>
  </r>
  <r>
    <x v="1"/>
    <n v="13.6904"/>
    <n v="-89.1768"/>
    <n v="15100"/>
    <n v="0"/>
    <n v="0"/>
    <n v="102"/>
    <s v="_x0000_US"/>
  </r>
  <r>
    <x v="1"/>
    <n v="13.6905"/>
    <n v="-89.1768"/>
    <n v="15100"/>
    <n v="0"/>
    <n v="0"/>
    <n v="102"/>
    <s v="_x0000_US"/>
  </r>
  <r>
    <x v="1"/>
    <n v="13.6905"/>
    <n v="-89.176699999999997"/>
    <n v="15100"/>
    <n v="0"/>
    <n v="0"/>
    <n v="102"/>
    <s v="_x0000_US"/>
  </r>
  <r>
    <x v="1"/>
    <n v="13.6905"/>
    <n v="-89.176699999999997"/>
    <n v="15100"/>
    <n v="0"/>
    <n v="0"/>
    <n v="102"/>
    <s v="_x0000_US"/>
  </r>
  <r>
    <x v="1"/>
    <n v="13.6905"/>
    <n v="-89.176599999999993"/>
    <n v="15100"/>
    <n v="0"/>
    <n v="0"/>
    <n v="102"/>
    <s v="_x0000_US"/>
  </r>
  <r>
    <x v="1"/>
    <n v="13.6905"/>
    <n v="-89.176599999999993"/>
    <n v="15100"/>
    <n v="0"/>
    <n v="0"/>
    <n v="102"/>
    <s v="_x0000_US"/>
  </r>
  <r>
    <x v="1"/>
    <n v="13.6906"/>
    <n v="-89.176599999999993"/>
    <n v="15100"/>
    <n v="0"/>
    <n v="0"/>
    <n v="102"/>
    <s v="_x0000_US"/>
  </r>
  <r>
    <x v="1"/>
    <n v="13.6906"/>
    <n v="-89.176599999999993"/>
    <n v="15100"/>
    <n v="0"/>
    <n v="0"/>
    <n v="102"/>
    <s v="_x0000_US"/>
  </r>
  <r>
    <x v="1"/>
    <n v="13.6907"/>
    <n v="-89.176599999999993"/>
    <n v="15100"/>
    <n v="0"/>
    <n v="0"/>
    <n v="102"/>
    <s v="_x0000_US"/>
  </r>
  <r>
    <x v="1"/>
    <n v="13.6906"/>
    <n v="-89.176699999999997"/>
    <n v="15100"/>
    <n v="0"/>
    <n v="0"/>
    <n v="102"/>
    <s v="_x0000_US"/>
  </r>
  <r>
    <x v="1"/>
    <n v="13.6906"/>
    <n v="-89.176699999999997"/>
    <n v="15100"/>
    <n v="0"/>
    <n v="0"/>
    <n v="102"/>
    <s v="_x0000_US"/>
  </r>
  <r>
    <x v="1"/>
    <n v="13.6906"/>
    <n v="-89.1768"/>
    <n v="15100"/>
    <n v="0"/>
    <n v="0"/>
    <n v="102"/>
    <s v="_x0000_US"/>
  </r>
  <r>
    <x v="1"/>
    <n v="13.6907"/>
    <n v="-89.176599999999993"/>
    <n v="15100"/>
    <n v="0"/>
    <n v="0"/>
    <n v="102"/>
    <s v="_x0000_US"/>
  </r>
  <r>
    <x v="1"/>
    <n v="13.6904"/>
    <n v="-89.176900000000003"/>
    <n v="15100"/>
    <n v="0"/>
    <n v="0"/>
    <n v="102"/>
    <s v="_x0000_US"/>
  </r>
  <r>
    <x v="1"/>
    <n v="13.6904"/>
    <n v="-89.176900000000003"/>
    <n v="15100"/>
    <n v="0"/>
    <n v="0"/>
    <n v="102"/>
    <s v="_x0000_US"/>
  </r>
  <r>
    <x v="1"/>
    <n v="13.690099999999999"/>
    <n v="-89.177199999999999"/>
    <n v="15100"/>
    <n v="0"/>
    <n v="0"/>
    <n v="102"/>
    <s v="_x0000_US"/>
  </r>
  <r>
    <x v="1"/>
    <n v="13.690200000000001"/>
    <n v="-89.177099999999996"/>
    <n v="15100"/>
    <n v="0"/>
    <n v="0"/>
    <n v="102"/>
    <s v="_x0000_US"/>
  </r>
  <r>
    <x v="1"/>
    <n v="13.690200000000001"/>
    <n v="-89.177099999999996"/>
    <n v="15100"/>
    <n v="0"/>
    <n v="0"/>
    <n v="102"/>
    <s v="_x0000_US"/>
  </r>
  <r>
    <x v="1"/>
    <n v="13.690200000000001"/>
    <n v="-89.177099999999996"/>
    <n v="15100"/>
    <n v="0"/>
    <n v="0"/>
    <n v="102"/>
    <s v="_x0000_US"/>
  </r>
  <r>
    <x v="1"/>
    <n v="13.690200000000001"/>
    <n v="-89.177000000000007"/>
    <n v="15100"/>
    <n v="0"/>
    <n v="0"/>
    <n v="102"/>
    <s v="_x0000_US"/>
  </r>
  <r>
    <x v="1"/>
    <n v="13.690200000000001"/>
    <n v="-89.177000000000007"/>
    <n v="15100"/>
    <n v="0"/>
    <n v="0"/>
    <n v="102"/>
    <s v="_x0000_US"/>
  </r>
  <r>
    <x v="1"/>
    <n v="13.690200000000001"/>
    <n v="-89.176900000000003"/>
    <n v="15100"/>
    <n v="0"/>
    <n v="0"/>
    <n v="102"/>
    <s v="_x0000_US"/>
  </r>
  <r>
    <x v="1"/>
    <n v="13.690200000000001"/>
    <n v="-89.176900000000003"/>
    <n v="15100"/>
    <n v="0"/>
    <n v="0"/>
    <n v="102"/>
    <s v="_x0000_US"/>
  </r>
  <r>
    <x v="1"/>
    <n v="13.690200000000001"/>
    <n v="-89.1768"/>
    <n v="15100"/>
    <n v="0"/>
    <n v="0"/>
    <n v="102"/>
    <s v="_x0000_US"/>
  </r>
  <r>
    <x v="1"/>
    <n v="13.690300000000001"/>
    <n v="-89.1768"/>
    <n v="15100"/>
    <n v="0"/>
    <n v="0"/>
    <n v="102"/>
    <s v="_x0000_US"/>
  </r>
  <r>
    <x v="1"/>
    <n v="13.690300000000001"/>
    <n v="-89.1768"/>
    <n v="15100"/>
    <n v="0"/>
    <n v="0"/>
    <n v="102"/>
    <s v="_x0000_US"/>
  </r>
  <r>
    <x v="1"/>
    <n v="13.690300000000001"/>
    <n v="-89.176699999999997"/>
    <n v="15100"/>
    <n v="0"/>
    <n v="0"/>
    <n v="102"/>
    <s v="_x0000_US"/>
  </r>
  <r>
    <x v="1"/>
    <n v="13.690300000000001"/>
    <n v="-89.176699999999997"/>
    <n v="15100"/>
    <n v="0"/>
    <n v="0"/>
    <n v="102"/>
    <s v="_x0000_US"/>
  </r>
  <r>
    <x v="1"/>
    <n v="13.690300000000001"/>
    <n v="-89.176599999999993"/>
    <n v="15100"/>
    <n v="0"/>
    <n v="0"/>
    <n v="102"/>
    <s v="_x0000_US"/>
  </r>
  <r>
    <x v="1"/>
    <n v="13.690300000000001"/>
    <n v="-89.176599999999993"/>
    <n v="15100"/>
    <n v="0"/>
    <n v="0"/>
    <n v="102"/>
    <s v="_x0000_US"/>
  </r>
  <r>
    <x v="1"/>
    <n v="13.6904"/>
    <n v="-89.176500000000004"/>
    <n v="15100"/>
    <n v="0"/>
    <n v="0"/>
    <n v="102"/>
    <s v="_x0000_US"/>
  </r>
  <r>
    <x v="1"/>
    <n v="13.690300000000001"/>
    <n v="-89.176500000000004"/>
    <n v="15100"/>
    <n v="0"/>
    <n v="0"/>
    <n v="102"/>
    <s v="_x0000_US"/>
  </r>
  <r>
    <x v="1"/>
    <n v="13.690300000000001"/>
    <n v="-89.176500000000004"/>
    <n v="15100"/>
    <n v="0"/>
    <n v="0"/>
    <n v="102"/>
    <s v="_x0000_US"/>
  </r>
  <r>
    <x v="1"/>
    <n v="13.690300000000001"/>
    <n v="-89.176500000000004"/>
    <n v="15100"/>
    <n v="0"/>
    <n v="0"/>
    <n v="102"/>
    <s v="_x0000_US"/>
  </r>
  <r>
    <x v="1"/>
    <n v="13.690200000000001"/>
    <n v="-89.176500000000004"/>
    <n v="15100"/>
    <n v="0"/>
    <n v="0"/>
    <n v="102"/>
    <s v="_x0000_US"/>
  </r>
  <r>
    <x v="1"/>
    <n v="13.690200000000001"/>
    <n v="-89.176500000000004"/>
    <n v="15100"/>
    <n v="0"/>
    <n v="0"/>
    <n v="102"/>
    <s v="_x0000_US"/>
  </r>
  <r>
    <x v="1"/>
    <n v="13.690200000000001"/>
    <n v="-89.176599999999993"/>
    <n v="15100"/>
    <n v="0"/>
    <n v="0"/>
    <n v="102"/>
    <s v="_x0000_US"/>
  </r>
  <r>
    <x v="1"/>
    <n v="13.690200000000001"/>
    <n v="-89.176599999999993"/>
    <n v="15100"/>
    <n v="0"/>
    <n v="0"/>
    <n v="102"/>
    <s v="_x0000_US"/>
  </r>
  <r>
    <x v="1"/>
    <n v="13.690099999999999"/>
    <n v="-89.176699999999997"/>
    <n v="15100"/>
    <n v="0"/>
    <n v="0"/>
    <n v="102"/>
    <s v="_x0000_US"/>
  </r>
  <r>
    <x v="1"/>
    <n v="13.690099999999999"/>
    <n v="-89.176699999999997"/>
    <n v="15100"/>
    <n v="0"/>
    <n v="0"/>
    <n v="102"/>
    <s v="_x0000_US"/>
  </r>
  <r>
    <x v="1"/>
    <n v="13.690099999999999"/>
    <n v="-89.1768"/>
    <n v="15100"/>
    <n v="0"/>
    <n v="0"/>
    <n v="102"/>
    <s v="_x0000_US"/>
  </r>
  <r>
    <x v="1"/>
    <n v="13.690099999999999"/>
    <n v="-89.1768"/>
    <n v="15100"/>
    <n v="0"/>
    <n v="0"/>
    <n v="102"/>
    <s v="_x0000_US"/>
  </r>
  <r>
    <x v="1"/>
    <n v="13.690099999999999"/>
    <n v="-89.1768"/>
    <n v="15100"/>
    <n v="0"/>
    <n v="0"/>
    <n v="102"/>
    <s v="_x0000_US"/>
  </r>
  <r>
    <x v="1"/>
    <n v="13.690099999999999"/>
    <n v="-89.176900000000003"/>
    <n v="15100"/>
    <n v="0"/>
    <n v="0"/>
    <n v="102"/>
    <s v="_x0000_US"/>
  </r>
  <r>
    <x v="1"/>
    <n v="13.690099999999999"/>
    <n v="-89.176900000000003"/>
    <n v="15100"/>
    <n v="0"/>
    <n v="0"/>
    <n v="102"/>
    <s v="_x0000_US"/>
  </r>
  <r>
    <x v="1"/>
    <n v="13.69"/>
    <n v="-89.177000000000007"/>
    <n v="15100"/>
    <n v="0"/>
    <n v="0"/>
    <n v="102"/>
    <s v="_x0000_US"/>
  </r>
  <r>
    <x v="1"/>
    <n v="13.69"/>
    <n v="-89.177000000000007"/>
    <n v="15100"/>
    <n v="0"/>
    <n v="0"/>
    <n v="102"/>
    <s v="_x0000_US"/>
  </r>
  <r>
    <x v="1"/>
    <n v="13.69"/>
    <n v="-89.177099999999996"/>
    <n v="15100"/>
    <n v="0"/>
    <n v="0"/>
    <n v="102"/>
    <s v="_x0000_US"/>
  </r>
  <r>
    <x v="1"/>
    <n v="13.69"/>
    <n v="-89.177099999999996"/>
    <n v="15100"/>
    <n v="0"/>
    <n v="0"/>
    <n v="102"/>
    <s v="_x0000_US"/>
  </r>
  <r>
    <x v="1"/>
    <n v="13.69"/>
    <n v="-89.177099999999996"/>
    <n v="15100"/>
    <n v="0"/>
    <n v="0"/>
    <n v="102"/>
    <s v="_x0000_US"/>
  </r>
  <r>
    <x v="1"/>
    <n v="13.69"/>
    <n v="-89.177199999999999"/>
    <n v="15100"/>
    <n v="0"/>
    <n v="0"/>
    <n v="102"/>
    <s v="_x0000_US"/>
  </r>
  <r>
    <x v="1"/>
    <n v="13.690099999999999"/>
    <n v="-89.177300000000002"/>
    <n v="15100"/>
    <n v="0"/>
    <n v="0"/>
    <n v="102"/>
    <s v="_x0000_US"/>
  </r>
  <r>
    <x v="1"/>
    <n v="13.690099999999999"/>
    <n v="-89.177199999999999"/>
    <n v="15100"/>
    <n v="0"/>
    <n v="0"/>
    <n v="102"/>
    <s v="_x0000_US"/>
  </r>
  <r>
    <x v="1"/>
    <n v="13.6907"/>
    <n v="-89.177400000000006"/>
    <n v="15100"/>
    <n v="0"/>
    <n v="0"/>
    <n v="102"/>
    <s v="_x0000_US"/>
  </r>
  <r>
    <x v="1"/>
    <n v="13.6907"/>
    <n v="-89.177300000000002"/>
    <n v="15100"/>
    <n v="0"/>
    <n v="0"/>
    <n v="102"/>
    <s v="_x0000_US"/>
  </r>
  <r>
    <x v="1"/>
    <n v="13.690799999999999"/>
    <n v="-89.177300000000002"/>
    <n v="15100"/>
    <n v="0"/>
    <n v="0"/>
    <n v="102"/>
    <s v="_x0000_US"/>
  </r>
  <r>
    <x v="1"/>
    <n v="13.690799999999999"/>
    <n v="-89.177199999999999"/>
    <n v="15100"/>
    <n v="0"/>
    <n v="0"/>
    <n v="102"/>
    <s v="_x0000_US"/>
  </r>
  <r>
    <x v="1"/>
    <n v="13.690799999999999"/>
    <n v="-89.177199999999999"/>
    <n v="15100"/>
    <n v="0"/>
    <n v="0"/>
    <n v="102"/>
    <s v="_x0000_US"/>
  </r>
  <r>
    <x v="1"/>
    <n v="13.690799999999999"/>
    <n v="-89.177099999999996"/>
    <n v="15100"/>
    <n v="0"/>
    <n v="0"/>
    <n v="102"/>
    <s v="_x0000_US"/>
  </r>
  <r>
    <x v="1"/>
    <n v="13.690799999999999"/>
    <n v="-89.177099999999996"/>
    <n v="15100"/>
    <n v="0"/>
    <n v="0"/>
    <n v="102"/>
    <s v="_x0000_US"/>
  </r>
  <r>
    <x v="1"/>
    <n v="13.690799999999999"/>
    <n v="-89.177000000000007"/>
    <n v="15100"/>
    <n v="0"/>
    <n v="0"/>
    <n v="102"/>
    <s v="_x0000_US"/>
  </r>
  <r>
    <x v="1"/>
    <n v="13.690899999999999"/>
    <n v="-89.177000000000007"/>
    <n v="15100"/>
    <n v="0"/>
    <n v="0"/>
    <n v="102"/>
    <s v="_x0000_US"/>
  </r>
  <r>
    <x v="1"/>
    <n v="13.690899999999999"/>
    <n v="-89.176900000000003"/>
    <n v="15100"/>
    <n v="0"/>
    <n v="0"/>
    <n v="102"/>
    <s v="_x0000_US"/>
  </r>
  <r>
    <x v="1"/>
    <n v="13.690899999999999"/>
    <n v="-89.176900000000003"/>
    <n v="15100"/>
    <n v="0"/>
    <n v="0"/>
    <n v="102"/>
    <s v="_x0000_US"/>
  </r>
  <r>
    <x v="1"/>
    <n v="13.690899999999999"/>
    <n v="-89.176900000000003"/>
    <n v="15100"/>
    <n v="0"/>
    <n v="0"/>
    <n v="102"/>
    <s v="_x0000_US"/>
  </r>
  <r>
    <x v="1"/>
    <n v="13.690899999999999"/>
    <n v="-89.1768"/>
    <n v="15100"/>
    <n v="0"/>
    <n v="0"/>
    <n v="102"/>
    <s v="_x0000_US"/>
  </r>
  <r>
    <x v="1"/>
    <n v="13.690899999999999"/>
    <n v="-89.1768"/>
    <n v="15100"/>
    <n v="0"/>
    <n v="0"/>
    <n v="102"/>
    <s v="_x0000_US"/>
  </r>
  <r>
    <x v="1"/>
    <n v="13.690899999999999"/>
    <n v="-89.176699999999997"/>
    <n v="15100"/>
    <n v="0"/>
    <n v="0"/>
    <n v="102"/>
    <s v="_x0000_US"/>
  </r>
  <r>
    <x v="1"/>
    <n v="13.690899999999999"/>
    <n v="-89.176699999999997"/>
    <n v="15100"/>
    <n v="0"/>
    <n v="0"/>
    <n v="102"/>
    <s v="_x0000_US"/>
  </r>
  <r>
    <x v="1"/>
    <n v="13.691000000000001"/>
    <n v="-89.176699999999997"/>
    <n v="15100"/>
    <n v="0"/>
    <n v="0"/>
    <n v="102"/>
    <s v="_x0000_US"/>
  </r>
  <r>
    <x v="1"/>
    <n v="13.6911"/>
    <n v="-89.176699999999997"/>
    <n v="15100"/>
    <n v="0"/>
    <n v="0"/>
    <n v="102"/>
    <s v="_x0000_US"/>
  </r>
  <r>
    <x v="1"/>
    <n v="13.6911"/>
    <n v="-89.176699999999997"/>
    <n v="15100"/>
    <n v="0"/>
    <n v="0"/>
    <n v="102"/>
    <s v="_x0000_US"/>
  </r>
  <r>
    <x v="1"/>
    <n v="13.6911"/>
    <n v="-89.176699999999997"/>
    <n v="15100"/>
    <n v="0"/>
    <n v="0"/>
    <n v="102"/>
    <s v="_x0000_US"/>
  </r>
  <r>
    <x v="1"/>
    <n v="13.6911"/>
    <n v="-89.1768"/>
    <n v="15100"/>
    <n v="0"/>
    <n v="0"/>
    <n v="102"/>
    <s v="_x0000_US"/>
  </r>
  <r>
    <x v="1"/>
    <n v="13.6911"/>
    <n v="-89.1768"/>
    <n v="15100"/>
    <n v="0"/>
    <n v="0"/>
    <n v="102"/>
    <s v="_x0000_US"/>
  </r>
  <r>
    <x v="1"/>
    <n v="13.6911"/>
    <n v="-89.176900000000003"/>
    <n v="15100"/>
    <n v="0"/>
    <n v="0"/>
    <n v="102"/>
    <s v="_x0000_US"/>
  </r>
  <r>
    <x v="1"/>
    <n v="13.6911"/>
    <n v="-89.176900000000003"/>
    <n v="15100"/>
    <n v="0"/>
    <n v="0"/>
    <n v="102"/>
    <s v="_x0000_US"/>
  </r>
  <r>
    <x v="1"/>
    <n v="13.691000000000001"/>
    <n v="-89.177000000000007"/>
    <n v="15100"/>
    <n v="0"/>
    <n v="0"/>
    <n v="102"/>
    <s v="_x0000_US"/>
  </r>
  <r>
    <x v="1"/>
    <n v="13.691000000000001"/>
    <n v="-89.177000000000007"/>
    <n v="15100"/>
    <n v="0"/>
    <n v="0"/>
    <n v="102"/>
    <s v="_x0000_US"/>
  </r>
  <r>
    <x v="1"/>
    <n v="13.691000000000001"/>
    <n v="-89.177099999999996"/>
    <n v="15100"/>
    <n v="0"/>
    <n v="0"/>
    <n v="102"/>
    <s v="_x0000_US"/>
  </r>
  <r>
    <x v="1"/>
    <n v="13.691000000000001"/>
    <n v="-89.177099999999996"/>
    <n v="15100"/>
    <n v="0"/>
    <n v="0"/>
    <n v="102"/>
    <s v="_x0000_US"/>
  </r>
  <r>
    <x v="1"/>
    <n v="13.691000000000001"/>
    <n v="-89.177099999999996"/>
    <n v="15100"/>
    <n v="0"/>
    <n v="0"/>
    <n v="102"/>
    <s v="_x0000_US"/>
  </r>
  <r>
    <x v="1"/>
    <n v="13.690899999999999"/>
    <n v="-89.177199999999999"/>
    <n v="15100"/>
    <n v="0"/>
    <n v="0"/>
    <n v="102"/>
    <s v="_x0000_US"/>
  </r>
  <r>
    <x v="1"/>
    <n v="13.6912"/>
    <n v="-89.176500000000004"/>
    <n v="15100"/>
    <n v="0"/>
    <n v="0"/>
    <n v="102"/>
    <s v="_x0000_US"/>
  </r>
  <r>
    <x v="1"/>
    <n v="13.6912"/>
    <n v="-89.176500000000004"/>
    <n v="15100"/>
    <n v="0"/>
    <n v="0"/>
    <n v="102"/>
    <s v="_x0000_US"/>
  </r>
  <r>
    <x v="1"/>
    <n v="13.6911"/>
    <n v="-89.176500000000004"/>
    <n v="15100"/>
    <n v="0"/>
    <n v="0"/>
    <n v="102"/>
    <s v="_x0000_US"/>
  </r>
  <r>
    <x v="1"/>
    <n v="13.6911"/>
    <n v="-89.176400000000001"/>
    <n v="15100"/>
    <n v="0"/>
    <n v="0"/>
    <n v="102"/>
    <s v="_x0000_US"/>
  </r>
  <r>
    <x v="1"/>
    <n v="13.6911"/>
    <n v="-89.176400000000001"/>
    <n v="15100"/>
    <n v="0"/>
    <n v="0"/>
    <n v="102"/>
    <s v="_x0000_US"/>
  </r>
  <r>
    <x v="1"/>
    <n v="13.6911"/>
    <n v="-89.176299999999998"/>
    <n v="15100"/>
    <n v="0"/>
    <n v="0"/>
    <n v="102"/>
    <s v="_x0000_US"/>
  </r>
  <r>
    <x v="1"/>
    <n v="13.6911"/>
    <n v="-89.176299999999998"/>
    <n v="15100"/>
    <n v="0"/>
    <n v="0"/>
    <n v="102"/>
    <s v="_x0000_US"/>
  </r>
  <r>
    <x v="1"/>
    <n v="13.6912"/>
    <n v="-89.176299999999998"/>
    <n v="15100"/>
    <n v="0"/>
    <n v="0"/>
    <n v="102"/>
    <s v="_x0000_US"/>
  </r>
  <r>
    <x v="1"/>
    <n v="13.6912"/>
    <n v="-89.176299999999998"/>
    <n v="15100"/>
    <n v="0"/>
    <n v="0"/>
    <n v="102"/>
    <s v="_x0000_US"/>
  </r>
  <r>
    <x v="1"/>
    <n v="13.6913"/>
    <n v="-89.176400000000001"/>
    <n v="15100"/>
    <n v="0"/>
    <n v="0"/>
    <n v="102"/>
    <s v="_x0000_US"/>
  </r>
  <r>
    <x v="1"/>
    <n v="13.69"/>
    <n v="-89.177199999999999"/>
    <n v="15100"/>
    <n v="0"/>
    <n v="0"/>
    <n v="102"/>
    <s v="_x0000_US"/>
  </r>
  <r>
    <x v="1"/>
    <n v="13.692"/>
    <n v="-89.180599999999998"/>
    <n v="14300"/>
    <n v="0"/>
    <n v="0"/>
    <n v="102"/>
    <s v="_x0000_US"/>
  </r>
  <r>
    <x v="1"/>
    <n v="13.6921"/>
    <n v="-89.180899999999994"/>
    <n v="14300"/>
    <n v="0"/>
    <n v="0"/>
    <n v="102"/>
    <s v="_x0000_US"/>
  </r>
  <r>
    <x v="1"/>
    <n v="13.6921"/>
    <n v="-89.180899999999994"/>
    <n v="14300"/>
    <n v="0"/>
    <n v="0"/>
    <n v="102"/>
    <s v="_x0000_US"/>
  </r>
  <r>
    <x v="1"/>
    <n v="13.6922"/>
    <n v="-89.180899999999994"/>
    <n v="14300"/>
    <n v="0"/>
    <n v="0"/>
    <n v="102"/>
    <s v="_x0000_US"/>
  </r>
  <r>
    <x v="1"/>
    <n v="13.6922"/>
    <n v="-89.180599999999998"/>
    <n v="14300"/>
    <n v="0"/>
    <n v="0"/>
    <n v="102"/>
    <s v="_x0000_US"/>
  </r>
  <r>
    <x v="1"/>
    <n v="13.692299999999999"/>
    <n v="-89.180800000000005"/>
    <n v="14300"/>
    <n v="0"/>
    <n v="0"/>
    <n v="102"/>
    <s v="_x0000_US"/>
  </r>
  <r>
    <x v="1"/>
    <n v="13.692399999999999"/>
    <n v="-89.180800000000005"/>
    <n v="14300"/>
    <n v="0"/>
    <n v="0"/>
    <n v="102"/>
    <s v="_x0000_US"/>
  </r>
  <r>
    <x v="1"/>
    <n v="13.692399999999999"/>
    <n v="-89.180599999999998"/>
    <n v="14300"/>
    <n v="0"/>
    <n v="0"/>
    <n v="102"/>
    <s v="_x0000_US"/>
  </r>
  <r>
    <x v="1"/>
    <n v="13.692299999999999"/>
    <n v="-89.180599999999998"/>
    <n v="14300"/>
    <n v="0"/>
    <n v="0"/>
    <n v="102"/>
    <s v="_x0000_US"/>
  </r>
  <r>
    <x v="1"/>
    <n v="13.692500000000001"/>
    <n v="-89.180499999999995"/>
    <n v="14300"/>
    <n v="0"/>
    <n v="0"/>
    <n v="102"/>
    <s v="_x0000_US"/>
  </r>
  <r>
    <x v="1"/>
    <n v="13.692600000000001"/>
    <n v="-89.180700000000002"/>
    <n v="14300"/>
    <n v="0"/>
    <n v="0"/>
    <n v="102"/>
    <s v="_x0000_US"/>
  </r>
  <r>
    <x v="1"/>
    <n v="13.693300000000001"/>
    <n v="-89.179699999999997"/>
    <n v="14300"/>
    <n v="0"/>
    <n v="0"/>
    <n v="102"/>
    <s v="_x0000_US"/>
  </r>
  <r>
    <x v="1"/>
    <n v="13.693199999999999"/>
    <n v="-89.178799999999995"/>
    <n v="14300"/>
    <n v="0"/>
    <n v="0"/>
    <n v="102"/>
    <s v="_x0000_US"/>
  </r>
  <r>
    <x v="1"/>
    <n v="13.693199999999999"/>
    <n v="-89.178799999999995"/>
    <n v="14300"/>
    <n v="0"/>
    <n v="0"/>
    <n v="102"/>
    <s v="_x0000_US"/>
  </r>
  <r>
    <x v="1"/>
    <n v="13.693199999999999"/>
    <n v="-89.178799999999995"/>
    <n v="14300"/>
    <n v="0"/>
    <n v="0"/>
    <n v="102"/>
    <s v="_x0000_US"/>
  </r>
  <r>
    <x v="1"/>
    <n v="13.693199999999999"/>
    <n v="-89.178799999999995"/>
    <n v="14300"/>
    <n v="0"/>
    <n v="0"/>
    <n v="102"/>
    <s v="_x0000_US"/>
  </r>
  <r>
    <x v="1"/>
    <n v="13.693199999999999"/>
    <n v="-89.178899999999999"/>
    <n v="14300"/>
    <n v="0"/>
    <n v="0"/>
    <n v="102"/>
    <s v="_x0000_US"/>
  </r>
  <r>
    <x v="1"/>
    <n v="13.693300000000001"/>
    <n v="-89.178899999999999"/>
    <n v="14300"/>
    <n v="0"/>
    <n v="0"/>
    <n v="102"/>
    <s v="_x0000_US"/>
  </r>
  <r>
    <x v="1"/>
    <n v="13.693199999999999"/>
    <n v="-89.178899999999999"/>
    <n v="14300"/>
    <n v="0"/>
    <n v="0"/>
    <n v="102"/>
    <s v="_x0000_US"/>
  </r>
  <r>
    <x v="1"/>
    <n v="13.693199999999999"/>
    <n v="-89.178899999999999"/>
    <n v="14300"/>
    <n v="0"/>
    <n v="0"/>
    <n v="102"/>
    <s v="_x0000_US"/>
  </r>
  <r>
    <x v="1"/>
    <n v="13.693300000000001"/>
    <n v="-89.179500000000004"/>
    <n v="14300"/>
    <n v="0"/>
    <n v="0"/>
    <n v="102"/>
    <s v="_x0000_US"/>
  </r>
  <r>
    <x v="1"/>
    <n v="13.693199999999999"/>
    <n v="-89.179500000000004"/>
    <n v="14300"/>
    <n v="0"/>
    <n v="0"/>
    <n v="102"/>
    <s v="_x0000_US"/>
  </r>
  <r>
    <x v="1"/>
    <n v="13.693300000000001"/>
    <n v="-89.179500000000004"/>
    <n v="14300"/>
    <n v="0"/>
    <n v="0"/>
    <n v="102"/>
    <s v="_x0000_US"/>
  </r>
  <r>
    <x v="1"/>
    <n v="13.693199999999999"/>
    <n v="-89.179599999999994"/>
    <n v="14300"/>
    <n v="0"/>
    <n v="0"/>
    <n v="102"/>
    <s v="_x0000_US"/>
  </r>
  <r>
    <x v="1"/>
    <n v="13.693099999999999"/>
    <n v="-89.178700000000006"/>
    <n v="14300"/>
    <n v="0"/>
    <n v="0"/>
    <n v="102"/>
    <s v="_x0000_US"/>
  </r>
  <r>
    <x v="1"/>
    <n v="13.693099999999999"/>
    <n v="-89.178600000000003"/>
    <n v="14300"/>
    <n v="0"/>
    <n v="0"/>
    <n v="102"/>
    <s v="_x0000_US"/>
  </r>
  <r>
    <x v="1"/>
    <n v="13.693"/>
    <n v="-89.178600000000003"/>
    <n v="14300"/>
    <n v="0"/>
    <n v="0"/>
    <n v="102"/>
    <s v="_x0000_US"/>
  </r>
  <r>
    <x v="1"/>
    <n v="13.693"/>
    <n v="-89.178600000000003"/>
    <n v="14300"/>
    <n v="0"/>
    <n v="0"/>
    <n v="102"/>
    <s v="_x0000_US"/>
  </r>
  <r>
    <x v="1"/>
    <n v="13.693"/>
    <n v="-89.178700000000006"/>
    <n v="14300"/>
    <n v="0"/>
    <n v="0"/>
    <n v="102"/>
    <s v="_x0000_US"/>
  </r>
  <r>
    <x v="1"/>
    <n v="13.693"/>
    <n v="-89.178799999999995"/>
    <n v="14300"/>
    <n v="0"/>
    <n v="0"/>
    <n v="102"/>
    <s v="_x0000_US"/>
  </r>
  <r>
    <x v="1"/>
    <n v="13.693"/>
    <n v="-89.178600000000003"/>
    <n v="14300"/>
    <n v="0"/>
    <n v="0"/>
    <n v="102"/>
    <s v="_x0000_US"/>
  </r>
  <r>
    <x v="1"/>
    <n v="13.693199999999999"/>
    <n v="-89.178799999999995"/>
    <n v="14300"/>
    <n v="0"/>
    <n v="0"/>
    <n v="102"/>
    <s v="_x0000_US"/>
  </r>
  <r>
    <x v="1"/>
    <n v="13.693099999999999"/>
    <n v="-89.178700000000006"/>
    <n v="14300"/>
    <n v="0"/>
    <n v="0"/>
    <n v="102"/>
    <s v="_x0000_US"/>
  </r>
  <r>
    <x v="1"/>
    <n v="13.693099999999999"/>
    <n v="-89.179000000000002"/>
    <n v="14300"/>
    <n v="0"/>
    <n v="0"/>
    <n v="102"/>
    <s v="_x0000_US"/>
  </r>
  <r>
    <x v="1"/>
    <n v="13.6877"/>
    <n v="-89.190799999999996"/>
    <n v="9980"/>
    <n v="0"/>
    <n v="0"/>
    <n v="102"/>
    <s v="_x0000_US"/>
  </r>
  <r>
    <x v="1"/>
    <n v="13.687799999999999"/>
    <n v="-89.190799999999996"/>
    <n v="9980"/>
    <n v="0"/>
    <n v="0"/>
    <n v="102"/>
    <s v="_x0000_US"/>
  </r>
  <r>
    <x v="1"/>
    <n v="13.6874"/>
    <n v="-89.190299999999993"/>
    <n v="9200"/>
    <n v="0"/>
    <n v="0"/>
    <n v="102"/>
    <s v="_x0000_US"/>
  </r>
  <r>
    <x v="1"/>
    <n v="13.687200000000001"/>
    <n v="-89.190700000000007"/>
    <n v="9200"/>
    <n v="0"/>
    <n v="0"/>
    <n v="102"/>
    <s v="_x0000_US"/>
  </r>
  <r>
    <x v="1"/>
    <n v="13.6873"/>
    <n v="-89.190600000000003"/>
    <n v="9200"/>
    <n v="0"/>
    <n v="0"/>
    <n v="102"/>
    <s v="_x0000_US"/>
  </r>
  <r>
    <x v="1"/>
    <n v="13.6874"/>
    <n v="-89.190799999999996"/>
    <n v="9980"/>
    <n v="0"/>
    <n v="0"/>
    <n v="102"/>
    <s v="_x0000_US"/>
  </r>
  <r>
    <x v="1"/>
    <n v="13.687099999999999"/>
    <n v="-89.190299999999993"/>
    <n v="9200"/>
    <n v="0"/>
    <n v="0"/>
    <n v="102"/>
    <s v="_x0000_US"/>
  </r>
  <r>
    <x v="1"/>
    <n v="13.694000000000001"/>
    <n v="-89.182100000000005"/>
    <n v="15340"/>
    <n v="0"/>
    <n v="0"/>
    <n v="102"/>
    <s v="_x0000_US"/>
  </r>
  <r>
    <x v="1"/>
    <n v="13.6942"/>
    <n v="-89.181600000000003"/>
    <n v="15340"/>
    <n v="0"/>
    <n v="0"/>
    <n v="102"/>
    <s v="_x0000_US"/>
  </r>
  <r>
    <x v="1"/>
    <n v="13.6943"/>
    <n v="-89.1815"/>
    <n v="15340"/>
    <n v="0"/>
    <n v="0"/>
    <n v="102"/>
    <s v="_x0000_US"/>
  </r>
  <r>
    <x v="1"/>
    <n v="13.694699999999999"/>
    <n v="-89.181399999999996"/>
    <n v="15340"/>
    <n v="0"/>
    <n v="0"/>
    <n v="102"/>
    <s v="_x0000_US"/>
  </r>
  <r>
    <x v="1"/>
    <n v="13.6951"/>
    <n v="-89.183499999999995"/>
    <n v="15340"/>
    <n v="0"/>
    <n v="0"/>
    <n v="102"/>
    <s v="_x0000_US"/>
  </r>
  <r>
    <x v="1"/>
    <n v="13.695"/>
    <n v="-89.183499999999995"/>
    <n v="15340"/>
    <n v="0"/>
    <n v="0"/>
    <n v="102"/>
    <s v="_x0000_US"/>
  </r>
  <r>
    <x v="1"/>
    <n v="13.694900000000001"/>
    <n v="-89.183599999999998"/>
    <n v="15340"/>
    <n v="0"/>
    <n v="0"/>
    <n v="102"/>
    <s v="_x0000_US"/>
  </r>
  <r>
    <x v="1"/>
    <n v="13.695"/>
    <n v="-89.184299999999993"/>
    <n v="15340"/>
    <n v="0"/>
    <n v="0"/>
    <n v="102"/>
    <s v="_x0000_US"/>
  </r>
  <r>
    <x v="1"/>
    <n v="13.6953"/>
    <n v="-89.184299999999993"/>
    <n v="15340"/>
    <n v="0"/>
    <n v="0"/>
    <n v="102"/>
    <s v="_x0000_US"/>
  </r>
  <r>
    <x v="1"/>
    <n v="13.695"/>
    <n v="-89.184399999999997"/>
    <n v="15340"/>
    <n v="0"/>
    <n v="0"/>
    <n v="102"/>
    <s v="_x0000_US"/>
  </r>
  <r>
    <x v="1"/>
    <n v="13.695"/>
    <n v="-89.184200000000004"/>
    <n v="15340"/>
    <n v="0"/>
    <n v="0"/>
    <n v="102"/>
    <s v="_x0000_US"/>
  </r>
  <r>
    <x v="1"/>
    <n v="13.695399999999999"/>
    <n v="-89.184399999999997"/>
    <n v="15340"/>
    <n v="0"/>
    <n v="0"/>
    <n v="102"/>
    <s v="_x0000_US"/>
  </r>
  <r>
    <x v="1"/>
    <n v="13.695399999999999"/>
    <n v="-89.184200000000004"/>
    <n v="15340"/>
    <n v="0"/>
    <n v="0"/>
    <n v="102"/>
    <s v="_x0000_US"/>
  </r>
  <r>
    <x v="1"/>
    <n v="13.695399999999999"/>
    <n v="-89.184100000000001"/>
    <n v="15340"/>
    <n v="0"/>
    <n v="0"/>
    <n v="102"/>
    <s v="_x0000_US"/>
  </r>
  <r>
    <x v="1"/>
    <n v="13.695399999999999"/>
    <n v="-89.183999999999997"/>
    <n v="15340"/>
    <n v="0"/>
    <n v="0"/>
    <n v="102"/>
    <s v="_x0000_US"/>
  </r>
  <r>
    <x v="1"/>
    <n v="13.695399999999999"/>
    <n v="-89.183999999999997"/>
    <n v="15340"/>
    <n v="0"/>
    <n v="0"/>
    <n v="102"/>
    <s v="_x0000_US"/>
  </r>
  <r>
    <x v="1"/>
    <n v="13.695399999999999"/>
    <n v="-89.183800000000005"/>
    <n v="15340"/>
    <n v="0"/>
    <n v="0"/>
    <n v="102"/>
    <s v="_x0000_US"/>
  </r>
  <r>
    <x v="1"/>
    <n v="13.695399999999999"/>
    <n v="-89.183800000000005"/>
    <n v="15340"/>
    <n v="0"/>
    <n v="0"/>
    <n v="102"/>
    <s v="_x0000_US"/>
  </r>
  <r>
    <x v="1"/>
    <n v="13.689500000000001"/>
    <n v="-89.183300000000003"/>
    <n v="15100"/>
    <n v="0"/>
    <n v="0"/>
    <n v="102"/>
    <s v="_x0000_US"/>
  </r>
  <r>
    <x v="1"/>
    <n v="13.6883"/>
    <n v="-89.183099999999996"/>
    <n v="11540"/>
    <n v="0"/>
    <n v="0"/>
    <n v="102"/>
    <s v="_x0000_US"/>
  </r>
  <r>
    <x v="1"/>
    <n v="13.6883"/>
    <n v="-89.183499999999995"/>
    <n v="11540"/>
    <n v="0"/>
    <n v="0"/>
    <n v="102"/>
    <s v="_x0000_US"/>
  </r>
  <r>
    <x v="1"/>
    <n v="13.6883"/>
    <n v="-89.183400000000006"/>
    <n v="11540"/>
    <n v="0"/>
    <n v="0"/>
    <n v="102"/>
    <s v="_x0000_US"/>
  </r>
  <r>
    <x v="1"/>
    <n v="13.6883"/>
    <n v="-89.183400000000006"/>
    <n v="11540"/>
    <n v="0"/>
    <n v="0"/>
    <n v="102"/>
    <s v="_x0000_US"/>
  </r>
  <r>
    <x v="1"/>
    <n v="13.6882"/>
    <n v="-89.183300000000003"/>
    <n v="11540"/>
    <n v="0"/>
    <n v="0"/>
    <n v="102"/>
    <s v="_x0000_US"/>
  </r>
  <r>
    <x v="1"/>
    <n v="13.687900000000001"/>
    <n v="-89.191000000000003"/>
    <n v="9980"/>
    <n v="0"/>
    <n v="0"/>
    <n v="102"/>
    <s v="_x0000_US"/>
  </r>
  <r>
    <x v="1"/>
    <n v="13.687900000000001"/>
    <n v="-89.190899999999999"/>
    <n v="9980"/>
    <n v="0"/>
    <n v="0"/>
    <n v="102"/>
    <s v="_x0000_US"/>
  </r>
  <r>
    <x v="1"/>
    <n v="13.687900000000001"/>
    <n v="-89.190899999999999"/>
    <n v="9980"/>
    <n v="0"/>
    <n v="0"/>
    <n v="102"/>
    <s v="_x0000_US"/>
  </r>
  <r>
    <x v="1"/>
    <n v="13.687799999999999"/>
    <n v="-89.190799999999996"/>
    <n v="9980"/>
    <n v="0"/>
    <n v="0"/>
    <n v="102"/>
    <s v="_x0000_US"/>
  </r>
  <r>
    <x v="1"/>
    <n v="13.687799999999999"/>
    <n v="-89.190799999999996"/>
    <n v="9980"/>
    <n v="0"/>
    <n v="0"/>
    <n v="102"/>
    <s v="_x0000_US"/>
  </r>
  <r>
    <x v="1"/>
    <n v="13.687799999999999"/>
    <n v="-89.190799999999996"/>
    <n v="9980"/>
    <n v="0"/>
    <n v="0"/>
    <n v="102"/>
    <s v="_x0000_US"/>
  </r>
  <r>
    <x v="1"/>
    <n v="13.691800000000001"/>
    <n v="-89.190200000000004"/>
    <n v="8550"/>
    <n v="0"/>
    <n v="0"/>
    <n v="102"/>
    <s v="_x0000_US"/>
  </r>
  <r>
    <x v="1"/>
    <n v="13.691800000000001"/>
    <n v="-89.190200000000004"/>
    <n v="8550"/>
    <n v="0"/>
    <n v="0"/>
    <n v="102"/>
    <s v="_x0000_US"/>
  </r>
  <r>
    <x v="1"/>
    <n v="13.691800000000001"/>
    <n v="-89.190100000000001"/>
    <n v="8550"/>
    <n v="0"/>
    <n v="0"/>
    <n v="102"/>
    <s v="_x0000_US"/>
  </r>
  <r>
    <x v="1"/>
    <n v="13.691700000000001"/>
    <n v="-89.192300000000003"/>
    <n v="8550"/>
    <n v="0"/>
    <n v="0"/>
    <n v="102"/>
    <s v="_x0000_US"/>
  </r>
  <r>
    <x v="1"/>
    <n v="13.6919"/>
    <n v="-89.1922"/>
    <n v="8550"/>
    <n v="0"/>
    <n v="0"/>
    <n v="102"/>
    <s v="_x0000_US"/>
  </r>
  <r>
    <x v="1"/>
    <n v="13.692399999999999"/>
    <n v="-89.189300000000003"/>
    <n v="8550"/>
    <n v="0"/>
    <n v="0"/>
    <n v="102"/>
    <s v="_x0000_US"/>
  </r>
  <r>
    <x v="1"/>
    <n v="13.692299999999999"/>
    <n v="-89.1922"/>
    <n v="8550"/>
    <n v="0"/>
    <n v="0"/>
    <n v="102"/>
    <s v="_x0000_US"/>
  </r>
  <r>
    <x v="1"/>
    <n v="13.6922"/>
    <n v="-89.1922"/>
    <n v="8550"/>
    <n v="0"/>
    <n v="0"/>
    <n v="102"/>
    <s v="_x0000_US"/>
  </r>
  <r>
    <x v="1"/>
    <n v="13.692"/>
    <n v="-89.1922"/>
    <n v="8550"/>
    <n v="0"/>
    <n v="0"/>
    <n v="102"/>
    <s v="_x0000_US"/>
  </r>
  <r>
    <x v="1"/>
    <n v="13.678599999999999"/>
    <n v="-89.1999"/>
    <n v="36700"/>
    <n v="0"/>
    <n v="0"/>
    <n v="102"/>
    <s v="_x0000_US"/>
  </r>
  <r>
    <x v="1"/>
    <n v="13.6785"/>
    <n v="-89.2"/>
    <n v="36700"/>
    <n v="0"/>
    <n v="0"/>
    <n v="102"/>
    <s v="_x0000_US"/>
  </r>
  <r>
    <x v="1"/>
    <n v="13.6785"/>
    <n v="-89.2"/>
    <n v="36700"/>
    <n v="0"/>
    <n v="0"/>
    <n v="102"/>
    <s v="_x0000_US"/>
  </r>
  <r>
    <x v="1"/>
    <n v="13.6783"/>
    <n v="-89.2"/>
    <n v="36700"/>
    <n v="0"/>
    <n v="0"/>
    <n v="102"/>
    <s v="_x0000_US"/>
  </r>
  <r>
    <x v="1"/>
    <n v="13.678599999999999"/>
    <n v="-89.199700000000007"/>
    <n v="36700"/>
    <n v="0"/>
    <n v="0"/>
    <n v="102"/>
    <s v="_x0000_US"/>
  </r>
  <r>
    <x v="1"/>
    <n v="13.6784"/>
    <n v="-89.199799999999996"/>
    <n v="36700"/>
    <n v="0"/>
    <n v="0"/>
    <n v="102"/>
    <s v="_x0000_US"/>
  </r>
  <r>
    <x v="1"/>
    <n v="13.6783"/>
    <n v="-89.199799999999996"/>
    <n v="36700"/>
    <n v="0"/>
    <n v="0"/>
    <n v="102"/>
    <s v="_x0000_US"/>
  </r>
  <r>
    <x v="1"/>
    <n v="13.6783"/>
    <n v="-89.2"/>
    <n v="36700"/>
    <n v="0"/>
    <n v="0"/>
    <n v="102"/>
    <s v="_x0000_US"/>
  </r>
  <r>
    <x v="1"/>
    <n v="13.678599999999999"/>
    <n v="-89.200299999999999"/>
    <n v="36700"/>
    <n v="0"/>
    <n v="0"/>
    <n v="102"/>
    <s v="_x0000_US"/>
  </r>
  <r>
    <x v="1"/>
    <n v="13.6785"/>
    <n v="-89.200299999999999"/>
    <n v="36700"/>
    <n v="0"/>
    <n v="0"/>
    <n v="102"/>
    <s v="_x0000_US"/>
  </r>
  <r>
    <x v="1"/>
    <n v="13.6784"/>
    <n v="-89.200299999999999"/>
    <n v="36700"/>
    <n v="0"/>
    <n v="0"/>
    <n v="102"/>
    <s v="_x0000_US"/>
  </r>
  <r>
    <x v="1"/>
    <n v="13.6783"/>
    <n v="-89.200400000000002"/>
    <n v="36700"/>
    <n v="0"/>
    <n v="0"/>
    <n v="102"/>
    <s v="_x0000_US"/>
  </r>
  <r>
    <x v="1"/>
    <n v="13.6783"/>
    <n v="-89.200400000000002"/>
    <n v="36700"/>
    <n v="0"/>
    <n v="0"/>
    <n v="102"/>
    <s v="_x0000_US"/>
  </r>
  <r>
    <x v="1"/>
    <n v="13.678599999999999"/>
    <n v="-89.200500000000005"/>
    <n v="36700"/>
    <n v="0"/>
    <n v="0"/>
    <n v="102"/>
    <s v="_x0000_US"/>
  </r>
  <r>
    <x v="1"/>
    <n v="13.6785"/>
    <n v="-89.200699999999998"/>
    <n v="36700"/>
    <n v="0"/>
    <n v="0"/>
    <n v="102"/>
    <s v="_x0000_US"/>
  </r>
  <r>
    <x v="1"/>
    <n v="13.6784"/>
    <n v="-89.200599999999994"/>
    <n v="36700"/>
    <n v="0"/>
    <n v="0"/>
    <n v="102"/>
    <s v="_x0000_US"/>
  </r>
  <r>
    <x v="1"/>
    <n v="13.6783"/>
    <n v="-89.200699999999998"/>
    <n v="36700"/>
    <n v="0"/>
    <n v="0"/>
    <n v="102"/>
    <s v="_x0000_US"/>
  </r>
  <r>
    <x v="1"/>
    <n v="13.6783"/>
    <n v="-89.200699999999998"/>
    <n v="36700"/>
    <n v="0"/>
    <n v="0"/>
    <n v="102"/>
    <s v="_x0000_US"/>
  </r>
  <r>
    <x v="1"/>
    <n v="13.6782"/>
    <n v="-89.200699999999998"/>
    <n v="36700"/>
    <n v="0"/>
    <n v="0"/>
    <n v="102"/>
    <s v="_x0000_US"/>
  </r>
  <r>
    <x v="1"/>
    <n v="13.678100000000001"/>
    <n v="-89.200699999999998"/>
    <n v="36700"/>
    <n v="0"/>
    <n v="0"/>
    <n v="102"/>
    <s v="_x0000_US"/>
  </r>
  <r>
    <x v="1"/>
    <n v="13.678100000000001"/>
    <n v="-89.200699999999998"/>
    <n v="36700"/>
    <n v="0"/>
    <n v="0"/>
    <n v="102"/>
    <s v="_x0000_US"/>
  </r>
  <r>
    <x v="1"/>
    <n v="13.6782"/>
    <n v="-89.200400000000002"/>
    <n v="36700"/>
    <n v="0"/>
    <n v="0"/>
    <n v="102"/>
    <s v="_x0000_US"/>
  </r>
  <r>
    <x v="1"/>
    <n v="13.678100000000001"/>
    <n v="-89.200400000000002"/>
    <n v="36700"/>
    <n v="0"/>
    <n v="0"/>
    <n v="102"/>
    <s v="_x0000_US"/>
  </r>
  <r>
    <x v="1"/>
    <n v="13.678100000000001"/>
    <n v="-89.200400000000002"/>
    <n v="36700"/>
    <n v="0"/>
    <n v="0"/>
    <n v="102"/>
    <s v="_x0000_US"/>
  </r>
  <r>
    <x v="1"/>
    <n v="13.678000000000001"/>
    <n v="-89.200500000000005"/>
    <n v="36700"/>
    <n v="0"/>
    <n v="0"/>
    <n v="102"/>
    <s v="_x0000_US"/>
  </r>
  <r>
    <x v="1"/>
    <n v="13.678000000000001"/>
    <n v="-89.200199999999995"/>
    <n v="36700"/>
    <n v="0"/>
    <n v="0"/>
    <n v="102"/>
    <s v="_x0000_US"/>
  </r>
  <r>
    <x v="1"/>
    <n v="13.678100000000001"/>
    <n v="-89.200100000000006"/>
    <n v="36700"/>
    <n v="0"/>
    <n v="0"/>
    <n v="102"/>
    <s v="_x0000_US"/>
  </r>
  <r>
    <x v="1"/>
    <n v="13.678100000000001"/>
    <n v="-89.200100000000006"/>
    <n v="36700"/>
    <n v="0"/>
    <n v="0"/>
    <n v="102"/>
    <s v="_x0000_US"/>
  </r>
  <r>
    <x v="1"/>
    <n v="13.6782"/>
    <n v="-89.200100000000006"/>
    <n v="36700"/>
    <n v="0"/>
    <n v="0"/>
    <n v="102"/>
    <s v="_x0000_US"/>
  </r>
  <r>
    <x v="1"/>
    <n v="13.6782"/>
    <n v="-89.199799999999996"/>
    <n v="36700"/>
    <n v="0"/>
    <n v="0"/>
    <n v="102"/>
    <s v="_x0000_US"/>
  </r>
  <r>
    <x v="1"/>
    <n v="13.678100000000001"/>
    <n v="-89.199799999999996"/>
    <n v="36700"/>
    <n v="0"/>
    <n v="0"/>
    <n v="102"/>
    <s v="_x0000_US"/>
  </r>
  <r>
    <x v="1"/>
    <n v="13.678000000000001"/>
    <n v="-89.199799999999996"/>
    <n v="36700"/>
    <n v="0"/>
    <n v="0"/>
    <n v="102"/>
    <s v="_x0000_US"/>
  </r>
  <r>
    <x v="1"/>
    <n v="13.678100000000001"/>
    <n v="-89.201300000000003"/>
    <n v="36700"/>
    <n v="0"/>
    <n v="0"/>
    <n v="102"/>
    <s v="_x0000_US"/>
  </r>
  <r>
    <x v="1"/>
    <n v="13.678100000000001"/>
    <n v="-89.201300000000003"/>
    <n v="36700"/>
    <n v="0"/>
    <n v="0"/>
    <n v="102"/>
    <s v="_x0000_US"/>
  </r>
  <r>
    <x v="1"/>
    <n v="13.678000000000001"/>
    <n v="-89.201400000000007"/>
    <n v="36700"/>
    <n v="0"/>
    <n v="0"/>
    <n v="102"/>
    <s v="_x0000_US"/>
  </r>
  <r>
    <x v="1"/>
    <n v="13.678000000000001"/>
    <n v="-89.201300000000003"/>
    <n v="36700"/>
    <n v="0"/>
    <n v="0"/>
    <n v="102"/>
    <s v="_x0000_US"/>
  </r>
  <r>
    <x v="1"/>
    <n v="13.678000000000001"/>
    <n v="-89.2012"/>
    <n v="36700"/>
    <n v="0"/>
    <n v="0"/>
    <n v="102"/>
    <s v="_x0000_US"/>
  </r>
  <r>
    <x v="1"/>
    <n v="13.677899999999999"/>
    <n v="-89.201099999999997"/>
    <n v="36700"/>
    <n v="0"/>
    <n v="0"/>
    <n v="102"/>
    <s v="_x0000_US"/>
  </r>
  <r>
    <x v="1"/>
    <n v="13.678000000000001"/>
    <n v="-89.200999999999993"/>
    <n v="36700"/>
    <n v="0"/>
    <n v="0"/>
    <n v="102"/>
    <s v="_x0000_US"/>
  </r>
  <r>
    <x v="1"/>
    <n v="13.678100000000001"/>
    <n v="-89.200999999999993"/>
    <n v="36700"/>
    <n v="0"/>
    <n v="0"/>
    <n v="102"/>
    <s v="_x0000_US"/>
  </r>
  <r>
    <x v="1"/>
    <n v="13.678000000000001"/>
    <n v="-89.200900000000004"/>
    <n v="36700"/>
    <n v="0"/>
    <n v="0"/>
    <n v="102"/>
    <s v="_x0000_US"/>
  </r>
  <r>
    <x v="1"/>
    <n v="13.678000000000001"/>
    <n v="-89.200800000000001"/>
    <n v="36700"/>
    <n v="0"/>
    <n v="0"/>
    <n v="102"/>
    <s v="_x0000_US"/>
  </r>
  <r>
    <x v="1"/>
    <n v="13.677899999999999"/>
    <n v="-89.200699999999998"/>
    <n v="36700"/>
    <n v="0"/>
    <n v="0"/>
    <n v="102"/>
    <s v="_x0000_US"/>
  </r>
  <r>
    <x v="1"/>
    <n v="13.677899999999999"/>
    <n v="-89.200800000000001"/>
    <n v="36700"/>
    <n v="0"/>
    <n v="0"/>
    <n v="102"/>
    <s v="_x0000_US"/>
  </r>
  <r>
    <x v="1"/>
    <n v="13.6778"/>
    <n v="-89.201400000000007"/>
    <n v="36700"/>
    <n v="0"/>
    <n v="0"/>
    <n v="102"/>
    <s v="_x0000_US"/>
  </r>
  <r>
    <x v="1"/>
    <n v="13.6778"/>
    <n v="-89.2012"/>
    <n v="36700"/>
    <n v="0"/>
    <n v="0"/>
    <n v="102"/>
    <s v="_x0000_US"/>
  </r>
  <r>
    <x v="1"/>
    <n v="13.677899999999999"/>
    <n v="-89.201099999999997"/>
    <n v="36700"/>
    <n v="0"/>
    <n v="0"/>
    <n v="102"/>
    <s v="_x0000_US"/>
  </r>
  <r>
    <x v="1"/>
    <n v="13.677899999999999"/>
    <n v="-89.2012"/>
    <n v="36700"/>
    <n v="0"/>
    <n v="0"/>
    <n v="102"/>
    <s v="_x0000_US"/>
  </r>
  <r>
    <x v="1"/>
    <n v="13.6778"/>
    <n v="-89.200999999999993"/>
    <n v="36700"/>
    <n v="0"/>
    <n v="0"/>
    <n v="102"/>
    <s v="_x0000_US"/>
  </r>
  <r>
    <x v="1"/>
    <n v="13.6778"/>
    <n v="-89.200999999999993"/>
    <n v="36700"/>
    <n v="0"/>
    <n v="0"/>
    <n v="102"/>
    <s v="_x0000_US"/>
  </r>
  <r>
    <x v="1"/>
    <n v="13.6778"/>
    <n v="-89.200900000000004"/>
    <n v="36700"/>
    <n v="0"/>
    <n v="0"/>
    <n v="102"/>
    <s v="_x0000_US"/>
  </r>
  <r>
    <x v="1"/>
    <n v="13.6777"/>
    <n v="-89.200800000000001"/>
    <n v="36700"/>
    <n v="0"/>
    <n v="0"/>
    <n v="102"/>
    <s v="_x0000_US"/>
  </r>
  <r>
    <x v="1"/>
    <n v="13.677899999999999"/>
    <n v="-89.200500000000005"/>
    <n v="36700"/>
    <n v="0"/>
    <n v="0"/>
    <n v="102"/>
    <s v="_x0000_US"/>
  </r>
  <r>
    <x v="1"/>
    <n v="13.6778"/>
    <n v="-89.200500000000005"/>
    <n v="36700"/>
    <n v="0"/>
    <n v="0"/>
    <n v="102"/>
    <s v="_x0000_US"/>
  </r>
  <r>
    <x v="1"/>
    <n v="13.6778"/>
    <n v="-89.200500000000005"/>
    <n v="36700"/>
    <n v="0"/>
    <n v="0"/>
    <n v="102"/>
    <s v="_x0000_US"/>
  </r>
  <r>
    <x v="1"/>
    <n v="13.6777"/>
    <n v="-89.200500000000005"/>
    <n v="36700"/>
    <n v="0"/>
    <n v="0"/>
    <n v="102"/>
    <s v="_x0000_US"/>
  </r>
  <r>
    <x v="1"/>
    <n v="13.6777"/>
    <n v="-89.200299999999999"/>
    <n v="36700"/>
    <n v="0"/>
    <n v="0"/>
    <n v="102"/>
    <s v="_x0000_US"/>
  </r>
  <r>
    <x v="1"/>
    <n v="13.6778"/>
    <n v="-89.200299999999999"/>
    <n v="36700"/>
    <n v="0"/>
    <n v="0"/>
    <n v="102"/>
    <s v="_x0000_US"/>
  </r>
  <r>
    <x v="1"/>
    <n v="13.6778"/>
    <n v="-89.200199999999995"/>
    <n v="36700"/>
    <n v="0"/>
    <n v="0"/>
    <n v="102"/>
    <s v="_x0000_US"/>
  </r>
  <r>
    <x v="1"/>
    <n v="13.677899999999999"/>
    <n v="-89.200199999999995"/>
    <n v="36700"/>
    <n v="0"/>
    <n v="0"/>
    <n v="102"/>
    <s v="_x0000_US"/>
  </r>
  <r>
    <x v="1"/>
    <n v="13.6777"/>
    <n v="-89.200599999999994"/>
    <n v="36700"/>
    <n v="0"/>
    <n v="0"/>
    <n v="102"/>
    <s v="_x0000_US"/>
  </r>
  <r>
    <x v="1"/>
    <n v="13.6777"/>
    <n v="-89.200400000000002"/>
    <n v="36700"/>
    <n v="0"/>
    <n v="0"/>
    <n v="102"/>
    <s v="_x0000_US"/>
  </r>
  <r>
    <x v="1"/>
    <n v="13.6776"/>
    <n v="-89.200100000000006"/>
    <n v="36700"/>
    <n v="0"/>
    <n v="0"/>
    <n v="102"/>
    <s v="_x0000_US"/>
  </r>
  <r>
    <x v="1"/>
    <n v="13.6775"/>
    <n v="-89.200599999999994"/>
    <n v="36700"/>
    <n v="0"/>
    <n v="0"/>
    <n v="102"/>
    <s v="_x0000_US"/>
  </r>
  <r>
    <x v="1"/>
    <n v="13.6774"/>
    <n v="-89.200500000000005"/>
    <n v="36700"/>
    <n v="0"/>
    <n v="0"/>
    <n v="102"/>
    <s v="_x0000_US"/>
  </r>
  <r>
    <x v="1"/>
    <n v="13.6774"/>
    <n v="-89.200400000000002"/>
    <n v="36700"/>
    <n v="0"/>
    <n v="0"/>
    <n v="102"/>
    <s v="_x0000_US"/>
  </r>
  <r>
    <x v="1"/>
    <n v="13.677300000000001"/>
    <n v="-89.200599999999994"/>
    <n v="36700"/>
    <n v="0"/>
    <n v="0"/>
    <n v="102"/>
    <s v="_x0000_US"/>
  </r>
  <r>
    <x v="1"/>
    <n v="13.677199999999999"/>
    <n v="-89.200699999999998"/>
    <n v="36700"/>
    <n v="0"/>
    <n v="0"/>
    <n v="102"/>
    <s v="_x0000_US"/>
  </r>
  <r>
    <x v="1"/>
    <n v="13.677099999999999"/>
    <n v="-89.200599999999994"/>
    <n v="36700"/>
    <n v="0"/>
    <n v="0"/>
    <n v="102"/>
    <s v="_x0000_US"/>
  </r>
  <r>
    <x v="1"/>
    <n v="13.677199999999999"/>
    <n v="-89.200199999999995"/>
    <n v="36700"/>
    <n v="0"/>
    <n v="0"/>
    <n v="102"/>
    <s v="_x0000_US"/>
  </r>
  <r>
    <x v="1"/>
    <n v="13.677199999999999"/>
    <n v="-89.200199999999995"/>
    <n v="36700"/>
    <n v="0"/>
    <n v="0"/>
    <n v="102"/>
    <s v="_x0000_US"/>
  </r>
  <r>
    <x v="1"/>
    <n v="13.677199999999999"/>
    <n v="-89.200199999999995"/>
    <n v="36700"/>
    <n v="0"/>
    <n v="0"/>
    <n v="102"/>
    <s v="_x0000_US"/>
  </r>
  <r>
    <x v="1"/>
    <n v="13.6774"/>
    <n v="-89.200199999999995"/>
    <n v="36700"/>
    <n v="0"/>
    <n v="0"/>
    <n v="102"/>
    <s v="_x0000_US"/>
  </r>
  <r>
    <x v="1"/>
    <n v="13.677300000000001"/>
    <n v="-89.200100000000006"/>
    <n v="36700"/>
    <n v="0"/>
    <n v="0"/>
    <n v="102"/>
    <s v="_x0000_US"/>
  </r>
  <r>
    <x v="1"/>
    <n v="13.6774"/>
    <n v="-89.200299999999999"/>
    <n v="36700"/>
    <n v="0"/>
    <n v="0"/>
    <n v="102"/>
    <s v="_x0000_US"/>
  </r>
  <r>
    <x v="1"/>
    <n v="13.677300000000001"/>
    <n v="-89.2012"/>
    <n v="36700"/>
    <n v="0"/>
    <n v="0"/>
    <n v="102"/>
    <s v="_x0000_US"/>
  </r>
  <r>
    <x v="1"/>
    <n v="13.677300000000001"/>
    <n v="-89.200999999999993"/>
    <n v="36700"/>
    <n v="0"/>
    <n v="0"/>
    <n v="102"/>
    <s v="_x0000_US"/>
  </r>
  <r>
    <x v="1"/>
    <n v="13.677199999999999"/>
    <n v="-89.200900000000004"/>
    <n v="36700"/>
    <n v="0"/>
    <n v="0"/>
    <n v="102"/>
    <s v="_x0000_US"/>
  </r>
  <r>
    <x v="1"/>
    <n v="13.677300000000001"/>
    <n v="-89.200900000000004"/>
    <n v="36700"/>
    <n v="0"/>
    <n v="0"/>
    <n v="102"/>
    <s v="_x0000_US"/>
  </r>
  <r>
    <x v="1"/>
    <n v="13.6774"/>
    <n v="-89.201499999999996"/>
    <n v="36700"/>
    <n v="0"/>
    <n v="0"/>
    <n v="102"/>
    <s v="_x0000_US"/>
  </r>
  <r>
    <x v="1"/>
    <n v="13.6774"/>
    <n v="-89.201599999999999"/>
    <n v="36700"/>
    <n v="0"/>
    <n v="0"/>
    <n v="102"/>
    <s v="_x0000_US"/>
  </r>
  <r>
    <x v="1"/>
    <n v="13.677199999999999"/>
    <n v="-89.201700000000002"/>
    <n v="36700"/>
    <n v="0"/>
    <n v="0"/>
    <n v="102"/>
    <s v="_x0000_US"/>
  </r>
  <r>
    <x v="1"/>
    <n v="13.677300000000001"/>
    <n v="-89.201300000000003"/>
    <n v="36700"/>
    <n v="0"/>
    <n v="0"/>
    <n v="102"/>
    <s v="_x0000_US"/>
  </r>
  <r>
    <x v="1"/>
    <n v="13.6774"/>
    <n v="-89.201300000000003"/>
    <n v="36700"/>
    <n v="0"/>
    <n v="0"/>
    <n v="102"/>
    <s v="_x0000_US"/>
  </r>
  <r>
    <x v="1"/>
    <n v="13.6775"/>
    <n v="-89.2012"/>
    <n v="36700"/>
    <n v="0"/>
    <n v="0"/>
    <n v="102"/>
    <s v="_x0000_US"/>
  </r>
  <r>
    <x v="1"/>
    <n v="13.6775"/>
    <n v="-89.200999999999993"/>
    <n v="36700"/>
    <n v="0"/>
    <n v="0"/>
    <n v="102"/>
    <s v="_x0000_US"/>
  </r>
  <r>
    <x v="1"/>
    <n v="13.6775"/>
    <n v="-89.200999999999993"/>
    <n v="36700"/>
    <n v="0"/>
    <n v="0"/>
    <n v="102"/>
    <s v="_x0000_US"/>
  </r>
  <r>
    <x v="1"/>
    <n v="13.6775"/>
    <n v="-89.201400000000007"/>
    <n v="36700"/>
    <n v="0"/>
    <n v="0"/>
    <n v="102"/>
    <s v="_x0000_US"/>
  </r>
  <r>
    <x v="1"/>
    <n v="13.6776"/>
    <n v="-89.201400000000007"/>
    <n v="36700"/>
    <n v="0"/>
    <n v="0"/>
    <n v="102"/>
    <s v="_x0000_US"/>
  </r>
  <r>
    <x v="1"/>
    <n v="13.6775"/>
    <n v="-89.200900000000004"/>
    <n v="36700"/>
    <n v="0"/>
    <n v="0"/>
    <n v="102"/>
    <s v="_x0000_US"/>
  </r>
  <r>
    <x v="1"/>
    <n v="13.677099999999999"/>
    <n v="-89.200500000000005"/>
    <n v="36700"/>
    <n v="0"/>
    <n v="0"/>
    <n v="102"/>
    <s v="_x0000_US"/>
  </r>
  <r>
    <x v="1"/>
    <n v="13.677099999999999"/>
    <n v="-89.200400000000002"/>
    <n v="36700"/>
    <n v="0"/>
    <n v="0"/>
    <n v="102"/>
    <s v="_x0000_US"/>
  </r>
  <r>
    <x v="1"/>
    <n v="13.6769"/>
    <n v="-89.200699999999998"/>
    <n v="36700"/>
    <n v="0"/>
    <n v="0"/>
    <n v="102"/>
    <s v="_x0000_US"/>
  </r>
  <r>
    <x v="1"/>
    <n v="13.677"/>
    <n v="-89.200999999999993"/>
    <n v="36700"/>
    <n v="0"/>
    <n v="0"/>
    <n v="102"/>
    <s v="_x0000_US"/>
  </r>
  <r>
    <x v="1"/>
    <n v="13.6769"/>
    <n v="-89.200999999999993"/>
    <n v="36700"/>
    <n v="0"/>
    <n v="0"/>
    <n v="102"/>
    <s v="_x0000_US"/>
  </r>
  <r>
    <x v="1"/>
    <n v="13.676600000000001"/>
    <n v="-89.200900000000004"/>
    <n v="36700"/>
    <n v="0"/>
    <n v="0"/>
    <n v="102"/>
    <s v="_x0000_US"/>
  </r>
  <r>
    <x v="1"/>
    <n v="13.6767"/>
    <n v="-89.200900000000004"/>
    <n v="36700"/>
    <n v="0"/>
    <n v="0"/>
    <n v="102"/>
    <s v="_x0000_US"/>
  </r>
  <r>
    <x v="1"/>
    <n v="13.6768"/>
    <n v="-89.200800000000001"/>
    <n v="36700"/>
    <n v="0"/>
    <n v="0"/>
    <n v="102"/>
    <s v="_x0000_US"/>
  </r>
  <r>
    <x v="1"/>
    <n v="13.6769"/>
    <n v="-89.200599999999994"/>
    <n v="36700"/>
    <n v="0"/>
    <n v="0"/>
    <n v="102"/>
    <s v="_x0000_US"/>
  </r>
  <r>
    <x v="1"/>
    <n v="13.6769"/>
    <n v="-89.200500000000005"/>
    <n v="36700"/>
    <n v="0"/>
    <n v="0"/>
    <n v="102"/>
    <s v="_x0000_US"/>
  </r>
  <r>
    <x v="1"/>
    <n v="13.6769"/>
    <n v="-89.200400000000002"/>
    <n v="36700"/>
    <n v="0"/>
    <n v="0"/>
    <n v="102"/>
    <s v="_x0000_US"/>
  </r>
  <r>
    <x v="1"/>
    <n v="13.6767"/>
    <n v="-89.200500000000005"/>
    <n v="36700"/>
    <n v="0"/>
    <n v="0"/>
    <n v="102"/>
    <s v="_x0000_US"/>
  </r>
  <r>
    <x v="1"/>
    <n v="13.6767"/>
    <n v="-89.200500000000005"/>
    <n v="36700"/>
    <n v="0"/>
    <n v="0"/>
    <n v="102"/>
    <s v="_x0000_US"/>
  </r>
  <r>
    <x v="1"/>
    <n v="13.6838"/>
    <n v="-89.198499999999996"/>
    <n v="14950"/>
    <n v="0"/>
    <n v="0"/>
    <n v="102"/>
    <s v="_x0000_US"/>
  </r>
  <r>
    <x v="1"/>
    <n v="13.6837"/>
    <n v="-89.198400000000007"/>
    <n v="14950"/>
    <n v="0"/>
    <n v="0"/>
    <n v="102"/>
    <s v="_x0000_US"/>
  </r>
  <r>
    <x v="1"/>
    <n v="13.6837"/>
    <n v="-89.198400000000007"/>
    <n v="14950"/>
    <n v="0"/>
    <n v="0"/>
    <n v="102"/>
    <s v="_x0000_US"/>
  </r>
  <r>
    <x v="1"/>
    <n v="13.6836"/>
    <n v="-89.198400000000007"/>
    <n v="14950"/>
    <n v="0"/>
    <n v="0"/>
    <n v="102"/>
    <s v="_x0000_US"/>
  </r>
  <r>
    <x v="1"/>
    <n v="13.6836"/>
    <n v="-89.198300000000003"/>
    <n v="14950"/>
    <n v="0"/>
    <n v="0"/>
    <n v="102"/>
    <s v="_x0000_US"/>
  </r>
  <r>
    <x v="1"/>
    <n v="13.6836"/>
    <n v="-89.198300000000003"/>
    <n v="14950"/>
    <n v="0"/>
    <n v="0"/>
    <n v="102"/>
    <s v="_x0000_US"/>
  </r>
  <r>
    <x v="1"/>
    <n v="13.6835"/>
    <n v="-89.198300000000003"/>
    <n v="14950"/>
    <n v="0"/>
    <n v="0"/>
    <n v="102"/>
    <s v="_x0000_US"/>
  </r>
  <r>
    <x v="1"/>
    <n v="13.683400000000001"/>
    <n v="-89.198300000000003"/>
    <n v="14950"/>
    <n v="0"/>
    <n v="0"/>
    <n v="102"/>
    <s v="_x0000_US"/>
  </r>
  <r>
    <x v="1"/>
    <n v="13.6854"/>
    <n v="-89.196700000000007"/>
    <n v="22540"/>
    <n v="0"/>
    <n v="0"/>
    <n v="102"/>
    <s v="_x0000_US"/>
  </r>
  <r>
    <x v="1"/>
    <n v="13.6854"/>
    <n v="-89.196899999999999"/>
    <n v="22540"/>
    <n v="0"/>
    <n v="0"/>
    <n v="102"/>
    <s v="_x0000_US"/>
  </r>
  <r>
    <x v="1"/>
    <n v="13.6853"/>
    <n v="-89.196600000000004"/>
    <n v="22540"/>
    <n v="0"/>
    <n v="0"/>
    <n v="102"/>
    <s v="_x0000_US"/>
  </r>
  <r>
    <x v="1"/>
    <n v="13.684699999999999"/>
    <n v="-89.197400000000002"/>
    <n v="22540"/>
    <n v="0"/>
    <n v="0"/>
    <n v="102"/>
    <s v="_x0000_US"/>
  </r>
  <r>
    <x v="1"/>
    <n v="13.684699999999999"/>
    <n v="-89.197299999999998"/>
    <n v="22540"/>
    <n v="0"/>
    <n v="0"/>
    <n v="102"/>
    <s v="_x0000_US"/>
  </r>
  <r>
    <x v="1"/>
    <n v="13.684699999999999"/>
    <n v="-89.197199999999995"/>
    <n v="22540"/>
    <n v="0"/>
    <n v="0"/>
    <n v="102"/>
    <s v="_x0000_US"/>
  </r>
  <r>
    <x v="1"/>
    <n v="13.684699999999999"/>
    <n v="-89.197100000000006"/>
    <n v="22540"/>
    <n v="0"/>
    <n v="0"/>
    <n v="102"/>
    <s v="_x0000_US"/>
  </r>
  <r>
    <x v="1"/>
    <n v="13.684699999999999"/>
    <n v="-89.197000000000003"/>
    <n v="22540"/>
    <n v="0"/>
    <n v="0"/>
    <n v="102"/>
    <s v="_x0000_US"/>
  </r>
  <r>
    <x v="1"/>
    <n v="13.684699999999999"/>
    <n v="-89.196899999999999"/>
    <n v="22540"/>
    <n v="0"/>
    <n v="0"/>
    <n v="102"/>
    <s v="_x0000_US"/>
  </r>
  <r>
    <x v="1"/>
    <n v="13.684900000000001"/>
    <n v="-89.196700000000007"/>
    <n v="22540"/>
    <n v="0"/>
    <n v="0"/>
    <n v="102"/>
    <s v="_x0000_US"/>
  </r>
  <r>
    <x v="1"/>
    <n v="13.684900000000001"/>
    <n v="-89.197100000000006"/>
    <n v="22540"/>
    <n v="0"/>
    <n v="0"/>
    <n v="102"/>
    <s v="_x0000_US"/>
  </r>
  <r>
    <x v="1"/>
    <n v="13.684699999999999"/>
    <n v="-89.196799999999996"/>
    <n v="22540"/>
    <n v="0"/>
    <n v="0"/>
    <n v="102"/>
    <s v="_x0000_US"/>
  </r>
  <r>
    <x v="1"/>
    <n v="13.684900000000001"/>
    <n v="-89.196899999999999"/>
    <n v="22540"/>
    <n v="0"/>
    <n v="0"/>
    <n v="102"/>
    <s v="_x0000_US"/>
  </r>
  <r>
    <x v="1"/>
    <n v="13.685"/>
    <n v="-89.196799999999996"/>
    <n v="22540"/>
    <n v="0"/>
    <n v="0"/>
    <n v="102"/>
    <s v="_x0000_US"/>
  </r>
  <r>
    <x v="1"/>
    <n v="13.685"/>
    <n v="-89.196700000000007"/>
    <n v="22540"/>
    <n v="0"/>
    <n v="0"/>
    <n v="102"/>
    <s v="_x0000_US"/>
  </r>
  <r>
    <x v="1"/>
    <n v="13.685"/>
    <n v="-89.196600000000004"/>
    <n v="22540"/>
    <n v="0"/>
    <n v="0"/>
    <n v="102"/>
    <s v="_x0000_US"/>
  </r>
  <r>
    <x v="1"/>
    <n v="13.6845"/>
    <n v="-89.197699999999998"/>
    <n v="22540"/>
    <n v="0"/>
    <n v="0"/>
    <n v="102"/>
    <s v="_x0000_US"/>
  </r>
  <r>
    <x v="1"/>
    <n v="13.6845"/>
    <n v="-89.197599999999994"/>
    <n v="22540"/>
    <n v="0"/>
    <n v="0"/>
    <n v="102"/>
    <s v="_x0000_US"/>
  </r>
  <r>
    <x v="1"/>
    <n v="13.6846"/>
    <n v="-89.197599999999994"/>
    <n v="22540"/>
    <n v="0"/>
    <n v="0"/>
    <n v="102"/>
    <s v="_x0000_US"/>
  </r>
  <r>
    <x v="1"/>
    <n v="13.6846"/>
    <n v="-89.197500000000005"/>
    <n v="22540"/>
    <n v="0"/>
    <n v="0"/>
    <n v="102"/>
    <s v="_x0000_US"/>
  </r>
  <r>
    <x v="1"/>
    <n v="13.6844"/>
    <n v="-89.197800000000001"/>
    <n v="22540"/>
    <n v="0"/>
    <n v="0"/>
    <n v="102"/>
    <s v="_x0000_US"/>
  </r>
  <r>
    <x v="1"/>
    <n v="13.6843"/>
    <n v="-89.197900000000004"/>
    <n v="22540"/>
    <n v="0"/>
    <n v="0"/>
    <n v="102"/>
    <s v="_x0000_US"/>
  </r>
  <r>
    <x v="1"/>
    <n v="13.684200000000001"/>
    <n v="-89.197999999999993"/>
    <n v="22540"/>
    <n v="0"/>
    <n v="0"/>
    <n v="102"/>
    <s v="_x0000_US"/>
  </r>
  <r>
    <x v="1"/>
    <n v="13.684100000000001"/>
    <n v="-89.1982"/>
    <n v="22540"/>
    <n v="0"/>
    <n v="0"/>
    <n v="102"/>
    <s v="_x0000_US"/>
  </r>
  <r>
    <x v="1"/>
    <n v="13.684100000000001"/>
    <n v="-89.198300000000003"/>
    <n v="22540"/>
    <n v="0"/>
    <n v="0"/>
    <n v="102"/>
    <s v="_x0000_US"/>
  </r>
  <r>
    <x v="1"/>
    <n v="13.683999999999999"/>
    <n v="-89.198300000000003"/>
    <n v="22540"/>
    <n v="0"/>
    <n v="0"/>
    <n v="102"/>
    <s v="_x0000_US"/>
  </r>
  <r>
    <x v="1"/>
    <n v="13.683999999999999"/>
    <n v="-89.198400000000007"/>
    <n v="22540"/>
    <n v="0"/>
    <n v="0"/>
    <n v="102"/>
    <s v="_x0000_US"/>
  </r>
  <r>
    <x v="1"/>
    <n v="13.6853"/>
    <n v="-89.196899999999999"/>
    <n v="22540"/>
    <n v="0"/>
    <n v="0"/>
    <n v="102"/>
    <s v="_x0000_US"/>
  </r>
  <r>
    <x v="1"/>
    <n v="13.6853"/>
    <n v="-89.196899999999999"/>
    <n v="22540"/>
    <n v="0"/>
    <n v="0"/>
    <n v="102"/>
    <s v="_x0000_US"/>
  </r>
  <r>
    <x v="1"/>
    <n v="13.6853"/>
    <n v="-89.196899999999999"/>
    <n v="22540"/>
    <n v="0"/>
    <n v="0"/>
    <n v="102"/>
    <s v="_x0000_US"/>
  </r>
  <r>
    <x v="1"/>
    <n v="13.6853"/>
    <n v="-89.196899999999999"/>
    <n v="22540"/>
    <n v="0"/>
    <n v="0"/>
    <n v="102"/>
    <s v="_x0000_US"/>
  </r>
  <r>
    <x v="1"/>
    <n v="13.684200000000001"/>
    <n v="-89.197299999999998"/>
    <n v="36700"/>
    <n v="0"/>
    <n v="0"/>
    <n v="102"/>
    <s v="_x0000_US"/>
  </r>
  <r>
    <x v="1"/>
    <n v="13.684200000000001"/>
    <n v="-89.197400000000002"/>
    <n v="36700"/>
    <n v="0"/>
    <n v="0"/>
    <n v="102"/>
    <s v="_x0000_US"/>
  </r>
  <r>
    <x v="1"/>
    <n v="13.684100000000001"/>
    <n v="-89.197500000000005"/>
    <n v="36700"/>
    <n v="0"/>
    <n v="0"/>
    <n v="102"/>
    <s v="_x0000_US"/>
  </r>
  <r>
    <x v="1"/>
    <n v="13.684100000000001"/>
    <n v="-89.197500000000005"/>
    <n v="36700"/>
    <n v="0"/>
    <n v="0"/>
    <n v="102"/>
    <s v="_x0000_US"/>
  </r>
  <r>
    <x v="1"/>
    <n v="13.683999999999999"/>
    <n v="-89.197599999999994"/>
    <n v="36700"/>
    <n v="0"/>
    <n v="0"/>
    <n v="102"/>
    <s v="_x0000_US"/>
  </r>
  <r>
    <x v="1"/>
    <n v="13.683999999999999"/>
    <n v="-89.197699999999998"/>
    <n v="36700"/>
    <n v="0"/>
    <n v="0"/>
    <n v="102"/>
    <s v="_x0000_US"/>
  </r>
  <r>
    <x v="1"/>
    <n v="13.6839"/>
    <n v="-89.197699999999998"/>
    <n v="36700"/>
    <n v="0"/>
    <n v="0"/>
    <n v="102"/>
    <s v="_x0000_US"/>
  </r>
  <r>
    <x v="1"/>
    <n v="13.6839"/>
    <n v="-89.197800000000001"/>
    <n v="36700"/>
    <n v="0"/>
    <n v="0"/>
    <n v="102"/>
    <s v="_x0000_US"/>
  </r>
  <r>
    <x v="1"/>
    <n v="13.6838"/>
    <n v="-89.197800000000001"/>
    <n v="36700"/>
    <n v="0"/>
    <n v="0"/>
    <n v="102"/>
    <s v="_x0000_US"/>
  </r>
  <r>
    <x v="1"/>
    <n v="13.6838"/>
    <n v="-89.197900000000004"/>
    <n v="36700"/>
    <n v="0"/>
    <n v="0"/>
    <n v="102"/>
    <s v="_x0000_US"/>
  </r>
  <r>
    <x v="1"/>
    <n v="13.6837"/>
    <n v="-89.197999999999993"/>
    <n v="36700"/>
    <n v="0"/>
    <n v="0"/>
    <n v="102"/>
    <s v="_x0000_US"/>
  </r>
  <r>
    <x v="1"/>
    <n v="13.6837"/>
    <n v="-89.197999999999993"/>
    <n v="36700"/>
    <n v="0"/>
    <n v="0"/>
    <n v="102"/>
    <s v="_x0000_US"/>
  </r>
  <r>
    <x v="1"/>
    <n v="13.6836"/>
    <n v="-89.198099999999997"/>
    <n v="36700"/>
    <n v="0"/>
    <n v="0"/>
    <n v="102"/>
    <s v="_x0000_US"/>
  </r>
  <r>
    <x v="1"/>
    <n v="13.6836"/>
    <n v="-89.198099999999997"/>
    <n v="36700"/>
    <n v="0"/>
    <n v="0"/>
    <n v="102"/>
    <s v="_x0000_US"/>
  </r>
  <r>
    <x v="1"/>
    <n v="13.6843"/>
    <n v="-89.197500000000005"/>
    <n v="36700"/>
    <n v="0"/>
    <n v="0"/>
    <n v="102"/>
    <s v="_x0000_US"/>
  </r>
  <r>
    <x v="1"/>
    <n v="13.6844"/>
    <n v="-89.197500000000005"/>
    <n v="36700"/>
    <n v="0"/>
    <n v="0"/>
    <n v="102"/>
    <s v="_x0000_US"/>
  </r>
  <r>
    <x v="1"/>
    <n v="13.6844"/>
    <n v="-89.197400000000002"/>
    <n v="36700"/>
    <n v="0"/>
    <n v="0"/>
    <n v="102"/>
    <s v="_x0000_US"/>
  </r>
  <r>
    <x v="1"/>
    <n v="13.6844"/>
    <n v="-89.197199999999995"/>
    <n v="36700"/>
    <n v="0"/>
    <n v="0"/>
    <n v="102"/>
    <s v="_x0000_US"/>
  </r>
  <r>
    <x v="1"/>
    <n v="13.6843"/>
    <n v="-89.197199999999995"/>
    <n v="36700"/>
    <n v="0"/>
    <n v="0"/>
    <n v="102"/>
    <s v="_x0000_US"/>
  </r>
  <r>
    <x v="1"/>
    <n v="13.6843"/>
    <n v="-89.197100000000006"/>
    <n v="36700"/>
    <n v="0"/>
    <n v="0"/>
    <n v="102"/>
    <s v="_x0000_US"/>
  </r>
  <r>
    <x v="1"/>
    <n v="13.6852"/>
    <n v="-89.196399999999997"/>
    <n v="36700"/>
    <n v="0"/>
    <n v="0"/>
    <n v="102"/>
    <s v="_x0000_US"/>
  </r>
  <r>
    <x v="1"/>
    <n v="13.6852"/>
    <n v="-89.196399999999997"/>
    <n v="36700"/>
    <n v="0"/>
    <n v="0"/>
    <n v="102"/>
    <s v="_x0000_US"/>
  </r>
  <r>
    <x v="1"/>
    <n v="13.6852"/>
    <n v="-89.196299999999994"/>
    <n v="36700"/>
    <n v="0"/>
    <n v="0"/>
    <n v="102"/>
    <s v="_x0000_US"/>
  </r>
  <r>
    <x v="1"/>
    <n v="13.6852"/>
    <n v="-89.196200000000005"/>
    <n v="8550"/>
    <n v="0"/>
    <n v="0"/>
    <n v="102"/>
    <s v="_x0000_US"/>
  </r>
  <r>
    <x v="1"/>
    <n v="13.6854"/>
    <n v="-89.1965"/>
    <n v="28700"/>
    <n v="0"/>
    <n v="0"/>
    <n v="102"/>
    <s v="_x0000_US"/>
  </r>
  <r>
    <x v="1"/>
    <n v="13.6807"/>
    <n v="-89.195800000000006"/>
    <n v="11540"/>
    <n v="0"/>
    <n v="0"/>
    <n v="102"/>
    <s v="_x0000_US"/>
  </r>
  <r>
    <x v="1"/>
    <n v="13.6805"/>
    <n v="-89.195800000000006"/>
    <n v="11540"/>
    <n v="0"/>
    <n v="0"/>
    <n v="102"/>
    <s v="_x0000_US"/>
  </r>
  <r>
    <x v="1"/>
    <n v="13.6807"/>
    <n v="-89.195599999999999"/>
    <n v="11540"/>
    <n v="0"/>
    <n v="0"/>
    <n v="102"/>
    <s v="_x0000_US"/>
  </r>
  <r>
    <x v="1"/>
    <n v="13.6806"/>
    <n v="-89.195599999999999"/>
    <n v="11540"/>
    <n v="0"/>
    <n v="0"/>
    <n v="102"/>
    <s v="_x0000_US"/>
  </r>
  <r>
    <x v="1"/>
    <n v="13.6807"/>
    <n v="-89.195400000000006"/>
    <n v="11540"/>
    <n v="0"/>
    <n v="0"/>
    <n v="102"/>
    <s v="_x0000_US"/>
  </r>
  <r>
    <x v="1"/>
    <n v="13.6806"/>
    <n v="-89.195400000000006"/>
    <n v="11540"/>
    <n v="0"/>
    <n v="0"/>
    <n v="102"/>
    <s v="_x0000_US"/>
  </r>
  <r>
    <x v="1"/>
    <n v="13.6805"/>
    <n v="-89.195400000000006"/>
    <n v="11540"/>
    <n v="0"/>
    <n v="0"/>
    <n v="102"/>
    <s v="_x0000_US"/>
  </r>
  <r>
    <x v="1"/>
    <n v="13.6806"/>
    <n v="-89.1952"/>
    <n v="11540"/>
    <n v="0"/>
    <n v="0"/>
    <n v="102"/>
    <s v="_x0000_US"/>
  </r>
  <r>
    <x v="1"/>
    <n v="13.6808"/>
    <n v="-89.195700000000002"/>
    <n v="11540"/>
    <n v="0"/>
    <n v="0"/>
    <n v="102"/>
    <s v="_x0000_US"/>
  </r>
  <r>
    <x v="1"/>
    <n v="13.680899999999999"/>
    <n v="-89.195499999999996"/>
    <n v="11540"/>
    <n v="0"/>
    <n v="0"/>
    <n v="102"/>
    <s v="_x0000_US"/>
  </r>
  <r>
    <x v="1"/>
    <n v="13.6808"/>
    <n v="-89.195499999999996"/>
    <n v="11540"/>
    <n v="0"/>
    <n v="0"/>
    <n v="102"/>
    <s v="_x0000_US"/>
  </r>
  <r>
    <x v="1"/>
    <n v="13.680999999999999"/>
    <n v="-89.195300000000003"/>
    <n v="11540"/>
    <n v="0"/>
    <n v="0"/>
    <n v="102"/>
    <s v="_x0000_US"/>
  </r>
  <r>
    <x v="1"/>
    <n v="13.680999999999999"/>
    <n v="-89.1952"/>
    <n v="11540"/>
    <n v="0"/>
    <n v="0"/>
    <n v="102"/>
    <s v="_x0000_US"/>
  </r>
  <r>
    <x v="1"/>
    <n v="13.680899999999999"/>
    <n v="-89.195099999999996"/>
    <n v="11540"/>
    <n v="0"/>
    <n v="0"/>
    <n v="102"/>
    <s v="_x0000_US"/>
  </r>
  <r>
    <x v="1"/>
    <n v="13.6808"/>
    <n v="-89.195099999999996"/>
    <n v="11540"/>
    <n v="0"/>
    <n v="0"/>
    <n v="102"/>
    <s v="_x0000_US"/>
  </r>
  <r>
    <x v="1"/>
    <n v="13.681100000000001"/>
    <n v="-89.1952"/>
    <n v="11540"/>
    <n v="0"/>
    <n v="0"/>
    <n v="102"/>
    <s v="_x0000_US"/>
  </r>
  <r>
    <x v="1"/>
    <n v="13.680300000000001"/>
    <n v="-89.195800000000006"/>
    <n v="11540"/>
    <n v="0"/>
    <n v="0"/>
    <n v="102"/>
    <s v="_x0000_US"/>
  </r>
  <r>
    <x v="1"/>
    <n v="13.680199999999999"/>
    <n v="-89.195800000000006"/>
    <n v="11540"/>
    <n v="0"/>
    <n v="0"/>
    <n v="102"/>
    <s v="_x0000_US"/>
  </r>
  <r>
    <x v="1"/>
    <n v="13.680199999999999"/>
    <n v="-89.194500000000005"/>
    <n v="11540"/>
    <n v="0"/>
    <n v="0"/>
    <n v="102"/>
    <s v="_x0000_US"/>
  </r>
  <r>
    <x v="1"/>
    <n v="13.680199999999999"/>
    <n v="-89.194500000000005"/>
    <n v="11540"/>
    <n v="0"/>
    <n v="0"/>
    <n v="102"/>
    <s v="_x0000_US"/>
  </r>
  <r>
    <x v="1"/>
    <n v="13.680199999999999"/>
    <n v="-89.195300000000003"/>
    <n v="11540"/>
    <n v="0"/>
    <n v="0"/>
    <n v="102"/>
    <s v="_x0000_US"/>
  </r>
  <r>
    <x v="1"/>
    <n v="13.680400000000001"/>
    <n v="-89.195099999999996"/>
    <n v="11540"/>
    <n v="0"/>
    <n v="0"/>
    <n v="102"/>
    <s v="_x0000_US"/>
  </r>
  <r>
    <x v="1"/>
    <n v="13.680400000000001"/>
    <n v="-89.194900000000004"/>
    <n v="11540"/>
    <n v="0"/>
    <n v="0"/>
    <n v="102"/>
    <s v="_x0000_US"/>
  </r>
  <r>
    <x v="1"/>
    <n v="13.680300000000001"/>
    <n v="-89.194900000000004"/>
    <n v="11540"/>
    <n v="0"/>
    <n v="0"/>
    <n v="102"/>
    <s v="_x0000_US"/>
  </r>
  <r>
    <x v="1"/>
    <n v="13.680099999999999"/>
    <n v="-89.194900000000004"/>
    <n v="11540"/>
    <n v="0"/>
    <n v="0"/>
    <n v="102"/>
    <s v="_x0000_US"/>
  </r>
  <r>
    <x v="1"/>
    <n v="13.680199999999999"/>
    <n v="-89.194699999999997"/>
    <n v="11540"/>
    <n v="0"/>
    <n v="0"/>
    <n v="102"/>
    <s v="_x0000_US"/>
  </r>
  <r>
    <x v="1"/>
    <n v="13.680300000000001"/>
    <n v="-89.194699999999997"/>
    <n v="11540"/>
    <n v="0"/>
    <n v="0"/>
    <n v="102"/>
    <s v="_x0000_US"/>
  </r>
  <r>
    <x v="1"/>
    <n v="13.680400000000001"/>
    <n v="-89.194699999999997"/>
    <n v="11540"/>
    <n v="0"/>
    <n v="0"/>
    <n v="102"/>
    <s v="_x0000_US"/>
  </r>
  <r>
    <x v="1"/>
    <n v="13.6806"/>
    <n v="-89.194999999999993"/>
    <n v="11540"/>
    <n v="0"/>
    <n v="0"/>
    <n v="102"/>
    <s v="_x0000_US"/>
  </r>
  <r>
    <x v="1"/>
    <n v="13.680400000000001"/>
    <n v="-89.195099999999996"/>
    <n v="11540"/>
    <n v="0"/>
    <n v="0"/>
    <n v="102"/>
    <s v="_x0000_US"/>
  </r>
  <r>
    <x v="1"/>
    <n v="13.680400000000001"/>
    <n v="-89.194900000000004"/>
    <n v="11540"/>
    <n v="0"/>
    <n v="0"/>
    <n v="102"/>
    <s v="_x0000_US"/>
  </r>
  <r>
    <x v="1"/>
    <n v="13.6805"/>
    <n v="-89.194800000000001"/>
    <n v="11540"/>
    <n v="0"/>
    <n v="0"/>
    <n v="102"/>
    <s v="_x0000_US"/>
  </r>
  <r>
    <x v="1"/>
    <n v="13.6805"/>
    <n v="-89.194699999999997"/>
    <n v="11540"/>
    <n v="0"/>
    <n v="0"/>
    <n v="102"/>
    <s v="_x0000_US"/>
  </r>
  <r>
    <x v="1"/>
    <n v="13.680400000000001"/>
    <n v="-89.195300000000003"/>
    <n v="11540"/>
    <n v="0"/>
    <n v="0"/>
    <n v="102"/>
    <s v="_x0000_US"/>
  </r>
  <r>
    <x v="1"/>
    <n v="13.680300000000001"/>
    <n v="-89.195300000000003"/>
    <n v="11540"/>
    <n v="0"/>
    <n v="0"/>
    <n v="102"/>
    <s v="_x0000_US"/>
  </r>
  <r>
    <x v="1"/>
    <n v="13.680300000000001"/>
    <n v="-89.195599999999999"/>
    <n v="11540"/>
    <n v="0"/>
    <n v="0"/>
    <n v="102"/>
    <s v="_x0000_US"/>
  </r>
  <r>
    <x v="1"/>
    <n v="13.680199999999999"/>
    <n v="-89.195499999999996"/>
    <n v="11540"/>
    <n v="0"/>
    <n v="0"/>
    <n v="102"/>
    <s v="_x0000_US"/>
  </r>
  <r>
    <x v="1"/>
    <n v="13.680099999999999"/>
    <n v="-89.195499999999996"/>
    <n v="11540"/>
    <n v="0"/>
    <n v="0"/>
    <n v="102"/>
    <s v="_x0000_US"/>
  </r>
  <r>
    <x v="1"/>
    <n v="13.68"/>
    <n v="-89.195599999999999"/>
    <n v="11540"/>
    <n v="0"/>
    <n v="0"/>
    <n v="102"/>
    <s v="_x0000_US"/>
  </r>
  <r>
    <x v="1"/>
    <n v="13.68"/>
    <n v="-89.195499999999996"/>
    <n v="11540"/>
    <n v="0"/>
    <n v="0"/>
    <n v="102"/>
    <s v="_x0000_US"/>
  </r>
  <r>
    <x v="1"/>
    <n v="13.68"/>
    <n v="-89.1952"/>
    <n v="11540"/>
    <n v="0"/>
    <n v="0"/>
    <n v="102"/>
    <s v="_x0000_US"/>
  </r>
  <r>
    <x v="1"/>
    <n v="13.68"/>
    <n v="-89.195099999999996"/>
    <n v="11540"/>
    <n v="0"/>
    <n v="0"/>
    <n v="102"/>
    <s v="_x0000_US"/>
  </r>
  <r>
    <x v="1"/>
    <n v="13.68"/>
    <n v="-89.194900000000004"/>
    <n v="11540"/>
    <n v="0"/>
    <n v="0"/>
    <n v="102"/>
    <s v="_x0000_US"/>
  </r>
  <r>
    <x v="1"/>
    <n v="13.68"/>
    <n v="-89.194800000000001"/>
    <n v="11540"/>
    <n v="0"/>
    <n v="0"/>
    <n v="102"/>
    <s v="_x0000_US"/>
  </r>
  <r>
    <x v="1"/>
    <n v="13.680099999999999"/>
    <n v="-89.194699999999997"/>
    <n v="11540"/>
    <n v="0"/>
    <n v="0"/>
    <n v="102"/>
    <s v="_x0000_US"/>
  </r>
  <r>
    <x v="1"/>
    <n v="13.6807"/>
    <n v="-89.195099999999996"/>
    <n v="11540"/>
    <n v="0"/>
    <n v="0"/>
    <n v="102"/>
    <s v="_x0000_US"/>
  </r>
  <r>
    <x v="1"/>
    <n v="13.682"/>
    <n v="-89.1965"/>
    <n v="42300"/>
    <n v="0"/>
    <n v="0"/>
    <n v="102"/>
    <s v="_x0000_US"/>
  </r>
  <r>
    <x v="1"/>
    <n v="13.682"/>
    <n v="-89.1965"/>
    <n v="42300"/>
    <n v="0"/>
    <n v="0"/>
    <n v="102"/>
    <s v="_x0000_US"/>
  </r>
  <r>
    <x v="1"/>
    <n v="13.682"/>
    <n v="-89.1965"/>
    <n v="42300"/>
    <n v="0"/>
    <n v="0"/>
    <n v="102"/>
    <s v="_x0000_US"/>
  </r>
  <r>
    <x v="1"/>
    <n v="13.682"/>
    <n v="-89.196799999999996"/>
    <n v="42300"/>
    <n v="0"/>
    <n v="0"/>
    <n v="102"/>
    <s v="_x0000_US"/>
  </r>
  <r>
    <x v="1"/>
    <n v="13.681900000000001"/>
    <n v="-89.196799999999996"/>
    <n v="42300"/>
    <n v="0"/>
    <n v="0"/>
    <n v="102"/>
    <s v="_x0000_US"/>
  </r>
  <r>
    <x v="1"/>
    <n v="13.6822"/>
    <n v="-89.196799999999996"/>
    <n v="42300"/>
    <n v="0"/>
    <n v="0"/>
    <n v="102"/>
    <s v="_x0000_US"/>
  </r>
  <r>
    <x v="1"/>
    <n v="13.681100000000001"/>
    <n v="-89.197599999999994"/>
    <n v="42300"/>
    <n v="0"/>
    <n v="0"/>
    <n v="102"/>
    <s v="_x0000_US"/>
  </r>
  <r>
    <x v="1"/>
    <n v="13.680999999999999"/>
    <n v="-89.197599999999994"/>
    <n v="42300"/>
    <n v="0"/>
    <n v="0"/>
    <n v="102"/>
    <s v="_x0000_US"/>
  </r>
  <r>
    <x v="1"/>
    <n v="13.680999999999999"/>
    <n v="-89.197599999999994"/>
    <n v="42300"/>
    <n v="0"/>
    <n v="0"/>
    <n v="102"/>
    <s v="_x0000_US"/>
  </r>
  <r>
    <x v="1"/>
    <n v="13.681100000000001"/>
    <n v="-89.197299999999998"/>
    <n v="42300"/>
    <n v="0"/>
    <n v="0"/>
    <n v="102"/>
    <s v="_x0000_US"/>
  </r>
  <r>
    <x v="1"/>
    <n v="13.681100000000001"/>
    <n v="-89.197000000000003"/>
    <n v="42300"/>
    <n v="0"/>
    <n v="0"/>
    <n v="102"/>
    <s v="_x0000_US"/>
  </r>
  <r>
    <x v="1"/>
    <n v="13.680999999999999"/>
    <n v="-89.197000000000003"/>
    <n v="42300"/>
    <n v="0"/>
    <n v="0"/>
    <n v="102"/>
    <s v="_x0000_US"/>
  </r>
  <r>
    <x v="1"/>
    <n v="13.680899999999999"/>
    <n v="-89.197599999999994"/>
    <n v="42300"/>
    <n v="0"/>
    <n v="0"/>
    <n v="102"/>
    <s v="_x0000_US"/>
  </r>
  <r>
    <x v="1"/>
    <n v="13.6808"/>
    <n v="-89.197299999999998"/>
    <n v="42300"/>
    <n v="0"/>
    <n v="0"/>
    <n v="102"/>
    <s v="_x0000_US"/>
  </r>
  <r>
    <x v="1"/>
    <n v="13.680899999999999"/>
    <n v="-89.197000000000003"/>
    <n v="42300"/>
    <n v="0"/>
    <n v="0"/>
    <n v="102"/>
    <s v="_x0000_US"/>
  </r>
  <r>
    <x v="1"/>
    <n v="13.6807"/>
    <n v="-89.197000000000003"/>
    <n v="42300"/>
    <n v="0"/>
    <n v="0"/>
    <n v="102"/>
    <s v="_x0000_US"/>
  </r>
  <r>
    <x v="1"/>
    <n v="13.680899999999999"/>
    <n v="-89.197299999999998"/>
    <n v="42300"/>
    <n v="0"/>
    <n v="0"/>
    <n v="102"/>
    <s v="_x0000_US"/>
  </r>
  <r>
    <x v="1"/>
    <n v="13.6805"/>
    <n v="-89.197299999999998"/>
    <n v="42300"/>
    <n v="0"/>
    <n v="0"/>
    <n v="102"/>
    <s v="_x0000_US"/>
  </r>
  <r>
    <x v="1"/>
    <n v="13.680300000000001"/>
    <n v="-89.197400000000002"/>
    <n v="42300"/>
    <n v="0"/>
    <n v="0"/>
    <n v="102"/>
    <s v="_x0000_US"/>
  </r>
  <r>
    <x v="1"/>
    <n v="13.680199999999999"/>
    <n v="-89.197400000000002"/>
    <n v="42300"/>
    <n v="0"/>
    <n v="0"/>
    <n v="102"/>
    <s v="_x0000_US"/>
  </r>
  <r>
    <x v="1"/>
    <n v="13.680099999999999"/>
    <n v="-89.197400000000002"/>
    <n v="42300"/>
    <n v="0"/>
    <n v="0"/>
    <n v="102"/>
    <s v="_x0000_US"/>
  </r>
  <r>
    <x v="1"/>
    <n v="13.68"/>
    <n v="-89.197400000000002"/>
    <n v="42300"/>
    <n v="0"/>
    <n v="0"/>
    <n v="102"/>
    <s v="_x0000_US"/>
  </r>
  <r>
    <x v="1"/>
    <n v="13.68"/>
    <n v="-89.197599999999994"/>
    <n v="42300"/>
    <n v="0"/>
    <n v="0"/>
    <n v="102"/>
    <s v="_x0000_US"/>
  </r>
  <r>
    <x v="1"/>
    <n v="13.6799"/>
    <n v="-89.197400000000002"/>
    <n v="42300"/>
    <n v="0"/>
    <n v="0"/>
    <n v="102"/>
    <s v="_x0000_US"/>
  </r>
  <r>
    <x v="1"/>
    <n v="13.6798"/>
    <n v="-89.197500000000005"/>
    <n v="42300"/>
    <n v="0"/>
    <n v="0"/>
    <n v="102"/>
    <s v="_x0000_US"/>
  </r>
  <r>
    <x v="1"/>
    <n v="13.6798"/>
    <n v="-89.197400000000002"/>
    <n v="42300"/>
    <n v="0"/>
    <n v="0"/>
    <n v="102"/>
    <s v="_x0000_US"/>
  </r>
  <r>
    <x v="1"/>
    <n v="13.680300000000001"/>
    <n v="-89.197699999999998"/>
    <n v="42300"/>
    <n v="0"/>
    <n v="0"/>
    <n v="102"/>
    <s v="_x0000_US"/>
  </r>
  <r>
    <x v="1"/>
    <n v="13.680199999999999"/>
    <n v="-89.197699999999998"/>
    <n v="42300"/>
    <n v="0"/>
    <n v="0"/>
    <n v="102"/>
    <s v="_x0000_US"/>
  </r>
  <r>
    <x v="1"/>
    <n v="13.680400000000001"/>
    <n v="-89.197699999999998"/>
    <n v="42300"/>
    <n v="0"/>
    <n v="0"/>
    <n v="102"/>
    <s v="_x0000_US"/>
  </r>
  <r>
    <x v="1"/>
    <n v="13.6813"/>
    <n v="-89.197500000000005"/>
    <n v="42300"/>
    <n v="0"/>
    <n v="0"/>
    <n v="102"/>
    <s v="_x0000_US"/>
  </r>
  <r>
    <x v="1"/>
    <n v="13.6814"/>
    <n v="-89.197500000000005"/>
    <n v="42300"/>
    <n v="0"/>
    <n v="0"/>
    <n v="102"/>
    <s v="_x0000_US"/>
  </r>
  <r>
    <x v="1"/>
    <n v="13.6814"/>
    <n v="-89.197299999999998"/>
    <n v="42300"/>
    <n v="0"/>
    <n v="0"/>
    <n v="102"/>
    <s v="_x0000_US"/>
  </r>
  <r>
    <x v="1"/>
    <n v="13.6814"/>
    <n v="-89.197199999999995"/>
    <n v="42300"/>
    <n v="0"/>
    <n v="0"/>
    <n v="102"/>
    <s v="_x0000_US"/>
  </r>
  <r>
    <x v="1"/>
    <n v="13.6814"/>
    <n v="-89.197199999999995"/>
    <n v="42300"/>
    <n v="0"/>
    <n v="0"/>
    <n v="102"/>
    <s v="_x0000_US"/>
  </r>
  <r>
    <x v="1"/>
    <n v="13.6814"/>
    <n v="-89.197199999999995"/>
    <n v="42300"/>
    <n v="0"/>
    <n v="0"/>
    <n v="102"/>
    <s v="_x0000_US"/>
  </r>
  <r>
    <x v="1"/>
    <n v="13.6812"/>
    <n v="-89.197000000000003"/>
    <n v="42300"/>
    <n v="0"/>
    <n v="0"/>
    <n v="102"/>
    <s v="_x0000_US"/>
  </r>
  <r>
    <x v="1"/>
    <n v="13.6816"/>
    <n v="-89.1965"/>
    <n v="42300"/>
    <n v="0"/>
    <n v="0"/>
    <n v="102"/>
    <s v="_x0000_US"/>
  </r>
  <r>
    <x v="1"/>
    <n v="13.6815"/>
    <n v="-89.196600000000004"/>
    <n v="42300"/>
    <n v="0"/>
    <n v="0"/>
    <n v="102"/>
    <s v="_x0000_US"/>
  </r>
  <r>
    <x v="1"/>
    <n v="13.6814"/>
    <n v="-89.196600000000004"/>
    <n v="42300"/>
    <n v="0"/>
    <n v="0"/>
    <n v="102"/>
    <s v="_x0000_US"/>
  </r>
  <r>
    <x v="1"/>
    <n v="13.6813"/>
    <n v="-89.196600000000004"/>
    <n v="42300"/>
    <n v="0"/>
    <n v="0"/>
    <n v="102"/>
    <s v="_x0000_US"/>
  </r>
  <r>
    <x v="1"/>
    <n v="13.6812"/>
    <n v="-89.196600000000004"/>
    <n v="42300"/>
    <n v="0"/>
    <n v="0"/>
    <n v="102"/>
    <s v="_x0000_US"/>
  </r>
  <r>
    <x v="1"/>
    <n v="13.681100000000001"/>
    <n v="-89.196600000000004"/>
    <n v="42300"/>
    <n v="0"/>
    <n v="0"/>
    <n v="102"/>
    <s v="_x0000_US"/>
  </r>
  <r>
    <x v="1"/>
    <n v="13.6807"/>
    <n v="-89.196700000000007"/>
    <n v="42300"/>
    <n v="0"/>
    <n v="0"/>
    <n v="102"/>
    <s v="_x0000_US"/>
  </r>
  <r>
    <x v="1"/>
    <n v="13.681800000000001"/>
    <n v="-89.197100000000006"/>
    <n v="42300"/>
    <n v="0"/>
    <n v="0"/>
    <n v="102"/>
    <s v="_x0000_US"/>
  </r>
  <r>
    <x v="1"/>
    <n v="13.681699999999999"/>
    <n v="-89.197100000000006"/>
    <n v="42300"/>
    <n v="0"/>
    <n v="0"/>
    <n v="102"/>
    <s v="_x0000_US"/>
  </r>
  <r>
    <x v="1"/>
    <n v="13.6816"/>
    <n v="-89.197199999999995"/>
    <n v="42300"/>
    <n v="0"/>
    <n v="0"/>
    <n v="102"/>
    <s v="_x0000_US"/>
  </r>
  <r>
    <x v="1"/>
    <n v="13.681699999999999"/>
    <n v="-89.196799999999996"/>
    <n v="42300"/>
    <n v="0"/>
    <n v="0"/>
    <n v="102"/>
    <s v="_x0000_US"/>
  </r>
  <r>
    <x v="1"/>
    <n v="13.6816"/>
    <n v="-89.196799999999996"/>
    <n v="42300"/>
    <n v="0"/>
    <n v="0"/>
    <n v="102"/>
    <s v="_x0000_US"/>
  </r>
  <r>
    <x v="1"/>
    <n v="13.681699999999999"/>
    <n v="-89.1965"/>
    <n v="42300"/>
    <n v="0"/>
    <n v="0"/>
    <n v="102"/>
    <s v="_x0000_US"/>
  </r>
  <r>
    <x v="1"/>
    <n v="13.681699999999999"/>
    <n v="-89.1965"/>
    <n v="42300"/>
    <n v="0"/>
    <n v="0"/>
    <n v="102"/>
    <s v="_x0000_US"/>
  </r>
  <r>
    <x v="1"/>
    <n v="13.681900000000001"/>
    <n v="-89.1965"/>
    <n v="42300"/>
    <n v="0"/>
    <n v="0"/>
    <n v="102"/>
    <s v="_x0000_US"/>
  </r>
  <r>
    <x v="1"/>
    <n v="13.680099999999999"/>
    <n v="-89.197599999999994"/>
    <n v="42300"/>
    <n v="0"/>
    <n v="0"/>
    <n v="102"/>
    <s v="_x0000_US"/>
  </r>
  <r>
    <x v="1"/>
    <n v="13.676299999999999"/>
    <n v="-89.200199999999995"/>
    <n v="36700"/>
    <n v="0"/>
    <n v="0"/>
    <n v="102"/>
    <s v="_x0000_US"/>
  </r>
  <r>
    <x v="1"/>
    <n v="13.6762"/>
    <n v="-89.200199999999995"/>
    <n v="36700"/>
    <n v="0"/>
    <n v="0"/>
    <n v="102"/>
    <s v="_x0000_US"/>
  </r>
  <r>
    <x v="1"/>
    <n v="13.676399999999999"/>
    <n v="-89.200400000000002"/>
    <n v="36700"/>
    <n v="0"/>
    <n v="0"/>
    <n v="102"/>
    <s v="_x0000_US"/>
  </r>
  <r>
    <x v="1"/>
    <n v="13.6761"/>
    <n v="-89.200100000000006"/>
    <n v="36700"/>
    <n v="0"/>
    <n v="0"/>
    <n v="102"/>
    <s v="_x0000_US"/>
  </r>
  <r>
    <x v="1"/>
    <n v="13.6762"/>
    <n v="-89.200100000000006"/>
    <n v="36700"/>
    <n v="0"/>
    <n v="0"/>
    <n v="102"/>
    <s v="_x0000_US"/>
  </r>
  <r>
    <x v="1"/>
    <n v="13.6761"/>
    <n v="-89.2"/>
    <n v="36700"/>
    <n v="0"/>
    <n v="0"/>
    <n v="102"/>
    <s v="_x0000_US"/>
  </r>
  <r>
    <x v="1"/>
    <n v="13.6761"/>
    <n v="-89.2"/>
    <n v="36700"/>
    <n v="0"/>
    <n v="0"/>
    <n v="102"/>
    <s v="_x0000_US"/>
  </r>
  <r>
    <x v="1"/>
    <n v="13.6761"/>
    <n v="-89.1999"/>
    <n v="36700"/>
    <n v="0"/>
    <n v="0"/>
    <n v="102"/>
    <s v="_x0000_US"/>
  </r>
  <r>
    <x v="1"/>
    <n v="13.6761"/>
    <n v="-89.199799999999996"/>
    <n v="36700"/>
    <n v="0"/>
    <n v="0"/>
    <n v="102"/>
    <s v="_x0000_US"/>
  </r>
  <r>
    <x v="1"/>
    <n v="13.676"/>
    <n v="-89.199799999999996"/>
    <n v="36700"/>
    <n v="0"/>
    <n v="0"/>
    <n v="102"/>
    <s v="_x0000_US"/>
  </r>
  <r>
    <x v="1"/>
    <n v="13.6761"/>
    <n v="-89.199700000000007"/>
    <n v="36700"/>
    <n v="0"/>
    <n v="0"/>
    <n v="102"/>
    <s v="_x0000_US"/>
  </r>
  <r>
    <x v="1"/>
    <n v="13.674099999999999"/>
    <n v="-89.1995"/>
    <n v="31100"/>
    <n v="0"/>
    <n v="0"/>
    <n v="102"/>
    <s v="_x0000_US"/>
  </r>
  <r>
    <x v="1"/>
    <n v="13.674099999999999"/>
    <n v="-89.1995"/>
    <n v="31100"/>
    <n v="0"/>
    <n v="0"/>
    <n v="102"/>
    <s v="_x0000_US"/>
  </r>
  <r>
    <x v="1"/>
    <n v="13.673999999999999"/>
    <n v="-89.1995"/>
    <n v="31100"/>
    <n v="0"/>
    <n v="0"/>
    <n v="102"/>
    <s v="_x0000_US"/>
  </r>
  <r>
    <x v="1"/>
    <n v="13.673999999999999"/>
    <n v="-89.199399999999997"/>
    <n v="31100"/>
    <n v="0"/>
    <n v="0"/>
    <n v="102"/>
    <s v="_x0000_US"/>
  </r>
  <r>
    <x v="1"/>
    <n v="13.6739"/>
    <n v="-89.199299999999994"/>
    <n v="31100"/>
    <n v="0"/>
    <n v="0"/>
    <n v="102"/>
    <s v="_x0000_US"/>
  </r>
  <r>
    <x v="1"/>
    <n v="13.673999999999999"/>
    <n v="-89.199700000000007"/>
    <n v="31100"/>
    <n v="0"/>
    <n v="0"/>
    <n v="102"/>
    <s v="_x0000_US"/>
  </r>
  <r>
    <x v="1"/>
    <n v="13.673999999999999"/>
    <n v="-89.199700000000007"/>
    <n v="31100"/>
    <n v="0"/>
    <n v="0"/>
    <n v="102"/>
    <s v="_x0000_US"/>
  </r>
  <r>
    <x v="1"/>
    <n v="13.673999999999999"/>
    <n v="-89.199700000000007"/>
    <n v="31100"/>
    <n v="0"/>
    <n v="0"/>
    <n v="102"/>
    <s v="_x0000_US"/>
  </r>
  <r>
    <x v="1"/>
    <n v="13.673999999999999"/>
    <n v="-89.199799999999996"/>
    <n v="31100"/>
    <n v="0"/>
    <n v="0"/>
    <n v="102"/>
    <s v="_x0000_US"/>
  </r>
  <r>
    <x v="1"/>
    <n v="13.673999999999999"/>
    <n v="-89.199799999999996"/>
    <n v="31100"/>
    <n v="0"/>
    <n v="0"/>
    <n v="102"/>
    <s v="_x0000_US"/>
  </r>
  <r>
    <x v="1"/>
    <n v="13.673999999999999"/>
    <n v="-89.1999"/>
    <n v="31100"/>
    <n v="0"/>
    <n v="0"/>
    <n v="102"/>
    <s v="_x0000_US"/>
  </r>
  <r>
    <x v="1"/>
    <n v="13.6739"/>
    <n v="-89.1999"/>
    <n v="31100"/>
    <n v="0"/>
    <n v="0"/>
    <n v="102"/>
    <s v="_x0000_US"/>
  </r>
  <r>
    <x v="1"/>
    <n v="13.674200000000001"/>
    <n v="-89.199799999999996"/>
    <n v="31100"/>
    <n v="0"/>
    <n v="0"/>
    <n v="102"/>
    <s v="_x0000_US"/>
  </r>
  <r>
    <x v="1"/>
    <n v="13.674200000000001"/>
    <n v="-89.199799999999996"/>
    <n v="31100"/>
    <n v="0"/>
    <n v="0"/>
    <n v="102"/>
    <s v="_x0000_US"/>
  </r>
  <r>
    <x v="1"/>
    <n v="13.674200000000001"/>
    <n v="-89.1999"/>
    <n v="31100"/>
    <n v="0"/>
    <n v="0"/>
    <n v="102"/>
    <s v="_x0000_US"/>
  </r>
  <r>
    <x v="1"/>
    <n v="13.674099999999999"/>
    <n v="-89.1999"/>
    <n v="31100"/>
    <n v="0"/>
    <n v="0"/>
    <n v="102"/>
    <s v="_x0000_US"/>
  </r>
  <r>
    <x v="1"/>
    <n v="13.674099999999999"/>
    <n v="-89.199700000000007"/>
    <n v="31100"/>
    <n v="0"/>
    <n v="0"/>
    <n v="102"/>
    <s v="_x0000_US"/>
  </r>
  <r>
    <x v="1"/>
    <n v="13.674099999999999"/>
    <n v="-89.199600000000004"/>
    <n v="31100"/>
    <n v="0"/>
    <n v="0"/>
    <n v="102"/>
    <s v="_x0000_US"/>
  </r>
  <r>
    <x v="1"/>
    <n v="13.674200000000001"/>
    <n v="-89.199600000000004"/>
    <n v="31100"/>
    <n v="0"/>
    <n v="0"/>
    <n v="102"/>
    <s v="_x0000_US"/>
  </r>
  <r>
    <x v="1"/>
    <n v="13.674200000000001"/>
    <n v="-89.199700000000007"/>
    <n v="31100"/>
    <n v="0"/>
    <n v="0"/>
    <n v="102"/>
    <s v="_x0000_US"/>
  </r>
  <r>
    <x v="1"/>
    <n v="13.674300000000001"/>
    <n v="-89.199700000000007"/>
    <n v="31100"/>
    <n v="0"/>
    <n v="0"/>
    <n v="102"/>
    <s v="_x0000_US"/>
  </r>
  <r>
    <x v="1"/>
    <n v="13.674099999999999"/>
    <n v="-89.199600000000004"/>
    <n v="31100"/>
    <n v="0"/>
    <n v="0"/>
    <n v="102"/>
    <s v="_x0000_US"/>
  </r>
  <r>
    <x v="1"/>
    <n v="13.674099999999999"/>
    <n v="-89.199700000000007"/>
    <n v="31100"/>
    <n v="0"/>
    <n v="0"/>
    <n v="102"/>
    <s v="_x0000_US"/>
  </r>
  <r>
    <x v="1"/>
    <n v="13.674099999999999"/>
    <n v="-89.199799999999996"/>
    <n v="31100"/>
    <n v="0"/>
    <n v="0"/>
    <n v="102"/>
    <s v="_x0000_US"/>
  </r>
  <r>
    <x v="1"/>
    <n v="13.674099999999999"/>
    <n v="-89.1999"/>
    <n v="31100"/>
    <n v="0"/>
    <n v="0"/>
    <n v="102"/>
    <s v="_x0000_US"/>
  </r>
  <r>
    <x v="1"/>
    <n v="13.674099999999999"/>
    <n v="-89.2"/>
    <n v="31100"/>
    <n v="0"/>
    <n v="0"/>
    <n v="102"/>
    <s v="_x0000_US"/>
  </r>
  <r>
    <x v="1"/>
    <n v="13.674300000000001"/>
    <n v="-89.199799999999996"/>
    <n v="31100"/>
    <n v="0"/>
    <n v="0"/>
    <n v="102"/>
    <s v="_x0000_US"/>
  </r>
  <r>
    <x v="1"/>
    <n v="13.674300000000001"/>
    <n v="-89.199799999999996"/>
    <n v="31100"/>
    <n v="0"/>
    <n v="0"/>
    <n v="102"/>
    <s v="_x0000_US"/>
  </r>
  <r>
    <x v="1"/>
    <n v="13.6739"/>
    <n v="-89.200100000000006"/>
    <n v="31100"/>
    <n v="0"/>
    <n v="0"/>
    <n v="102"/>
    <s v="_x0000_US"/>
  </r>
  <r>
    <x v="1"/>
    <n v="13.673999999999999"/>
    <n v="-89.200100000000006"/>
    <n v="31100"/>
    <n v="0"/>
    <n v="0"/>
    <n v="102"/>
    <s v="_x0000_US"/>
  </r>
  <r>
    <x v="1"/>
    <n v="13.673999999999999"/>
    <n v="-89.2"/>
    <n v="31100"/>
    <n v="0"/>
    <n v="0"/>
    <n v="102"/>
    <s v="_x0000_US"/>
  </r>
  <r>
    <x v="1"/>
    <n v="13.673999999999999"/>
    <n v="-89.2"/>
    <n v="31100"/>
    <n v="0"/>
    <n v="0"/>
    <n v="102"/>
    <s v="_x0000_US"/>
  </r>
  <r>
    <x v="1"/>
    <n v="13.673500000000001"/>
    <n v="-89.202500000000001"/>
    <n v="11670"/>
    <n v="0"/>
    <n v="0"/>
    <n v="102"/>
    <s v="_x0000_US"/>
  </r>
  <r>
    <x v="1"/>
    <n v="13.6736"/>
    <n v="-89.202600000000004"/>
    <n v="11670"/>
    <n v="0"/>
    <n v="0"/>
    <n v="102"/>
    <s v="_x0000_US"/>
  </r>
  <r>
    <x v="1"/>
    <n v="13.6737"/>
    <n v="-89.202500000000001"/>
    <n v="11670"/>
    <n v="0"/>
    <n v="0"/>
    <n v="102"/>
    <s v="_x0000_US"/>
  </r>
  <r>
    <x v="1"/>
    <n v="13.6736"/>
    <n v="-89.202399999999997"/>
    <n v="11670"/>
    <n v="0"/>
    <n v="0"/>
    <n v="102"/>
    <s v="_x0000_US"/>
  </r>
  <r>
    <x v="1"/>
    <n v="13.6738"/>
    <n v="-89.202299999999994"/>
    <n v="11670"/>
    <n v="0"/>
    <n v="0"/>
    <n v="102"/>
    <s v="_x0000_US"/>
  </r>
  <r>
    <x v="1"/>
    <n v="13.674899999999999"/>
    <n v="-89.200900000000004"/>
    <n v="22820"/>
    <n v="0"/>
    <n v="0"/>
    <n v="102"/>
    <s v="_x0000_US"/>
  </r>
  <r>
    <x v="1"/>
    <n v="13.6755"/>
    <n v="-89.200699999999998"/>
    <n v="22820"/>
    <n v="0"/>
    <n v="0"/>
    <n v="102"/>
    <s v="_x0000_US"/>
  </r>
  <r>
    <x v="1"/>
    <n v="13.6755"/>
    <n v="-89.200800000000001"/>
    <n v="22820"/>
    <n v="0"/>
    <n v="0"/>
    <n v="102"/>
    <s v="_x0000_US"/>
  </r>
  <r>
    <x v="1"/>
    <n v="13.6755"/>
    <n v="-89.200800000000001"/>
    <n v="22820"/>
    <n v="0"/>
    <n v="0"/>
    <n v="102"/>
    <s v="_x0000_US"/>
  </r>
  <r>
    <x v="1"/>
    <n v="13.675599999999999"/>
    <n v="-89.200800000000001"/>
    <n v="22820"/>
    <n v="0"/>
    <n v="0"/>
    <n v="102"/>
    <s v="_x0000_US"/>
  </r>
  <r>
    <x v="1"/>
    <n v="13.675599999999999"/>
    <n v="-89.200800000000001"/>
    <n v="22820"/>
    <n v="0"/>
    <n v="0"/>
    <n v="102"/>
    <s v="_x0000_US"/>
  </r>
  <r>
    <x v="1"/>
    <n v="13.6755"/>
    <n v="-89.200599999999994"/>
    <n v="22820"/>
    <n v="0"/>
    <n v="0"/>
    <n v="102"/>
    <s v="_x0000_US"/>
  </r>
  <r>
    <x v="1"/>
    <n v="13.6754"/>
    <n v="-89.200500000000005"/>
    <n v="22820"/>
    <n v="0"/>
    <n v="0"/>
    <n v="102"/>
    <s v="_x0000_US"/>
  </r>
  <r>
    <x v="1"/>
    <n v="13.682399999999999"/>
    <n v="-89.197100000000006"/>
    <n v="36700"/>
    <n v="0"/>
    <n v="0"/>
    <n v="102"/>
    <s v="_x0000_US"/>
  </r>
  <r>
    <x v="1"/>
    <n v="13.6823"/>
    <n v="-89.197199999999995"/>
    <n v="36700"/>
    <n v="0"/>
    <n v="0"/>
    <n v="102"/>
    <s v="_x0000_US"/>
  </r>
  <r>
    <x v="1"/>
    <n v="13.6805"/>
    <n v="-89.198800000000006"/>
    <n v="36700"/>
    <n v="0"/>
    <n v="0"/>
    <n v="102"/>
    <s v="_x0000_US"/>
  </r>
  <r>
    <x v="1"/>
    <n v="13.680400000000001"/>
    <n v="-89.198999999999998"/>
    <n v="36700"/>
    <n v="0"/>
    <n v="0"/>
    <n v="102"/>
    <s v="_x0000_US"/>
  </r>
  <r>
    <x v="1"/>
    <n v="13.680999999999999"/>
    <n v="-89.198499999999996"/>
    <n v="36700"/>
    <n v="0"/>
    <n v="0"/>
    <n v="102"/>
    <s v="_x0000_US"/>
  </r>
  <r>
    <x v="1"/>
    <n v="13.681100000000001"/>
    <n v="-89.198400000000007"/>
    <n v="36700"/>
    <n v="0"/>
    <n v="0"/>
    <n v="102"/>
    <s v="_x0000_US"/>
  </r>
  <r>
    <x v="1"/>
    <n v="13.6814"/>
    <n v="-89.1982"/>
    <n v="36700"/>
    <n v="0"/>
    <n v="0"/>
    <n v="102"/>
    <s v="_x0000_US"/>
  </r>
  <r>
    <x v="1"/>
    <n v="13.6813"/>
    <n v="-89.1982"/>
    <n v="36700"/>
    <n v="0"/>
    <n v="0"/>
    <n v="102"/>
    <s v="_x0000_US"/>
  </r>
  <r>
    <x v="1"/>
    <n v="13.6813"/>
    <n v="-89.1982"/>
    <n v="36700"/>
    <n v="0"/>
    <n v="0"/>
    <n v="102"/>
    <s v="_x0000_US"/>
  </r>
  <r>
    <x v="1"/>
    <n v="13.6812"/>
    <n v="-89.198300000000003"/>
    <n v="36700"/>
    <n v="0"/>
    <n v="0"/>
    <n v="102"/>
    <s v="_x0000_US"/>
  </r>
  <r>
    <x v="1"/>
    <n v="13.6812"/>
    <n v="-89.198400000000007"/>
    <n v="36700"/>
    <n v="0"/>
    <n v="0"/>
    <n v="102"/>
    <s v="_x0000_US"/>
  </r>
  <r>
    <x v="1"/>
    <n v="13.6815"/>
    <n v="-89.198099999999997"/>
    <n v="36700"/>
    <n v="0"/>
    <n v="0"/>
    <n v="102"/>
    <s v="_x0000_US"/>
  </r>
  <r>
    <x v="1"/>
    <n v="13.681800000000001"/>
    <n v="-89.197800000000001"/>
    <n v="36700"/>
    <n v="0"/>
    <n v="0"/>
    <n v="102"/>
    <s v="_x0000_US"/>
  </r>
  <r>
    <x v="1"/>
    <n v="13.680899999999999"/>
    <n v="-89.198599999999999"/>
    <n v="36700"/>
    <n v="0"/>
    <n v="0"/>
    <n v="102"/>
    <s v="_x0000_US"/>
  </r>
  <r>
    <x v="1"/>
    <n v="13.6762"/>
    <n v="-89.200800000000001"/>
    <n v="36700"/>
    <n v="0"/>
    <n v="0"/>
    <n v="102"/>
    <s v="_x0000_US"/>
  </r>
  <r>
    <x v="1"/>
    <n v="13.676299999999999"/>
    <n v="-89.200800000000001"/>
    <n v="36700"/>
    <n v="0"/>
    <n v="0"/>
    <n v="102"/>
    <s v="_x0000_US"/>
  </r>
  <r>
    <x v="1"/>
    <n v="13.676399999999999"/>
    <n v="-89.200999999999993"/>
    <n v="36700"/>
    <n v="0"/>
    <n v="0"/>
    <n v="102"/>
    <s v="_x0000_US"/>
  </r>
  <r>
    <x v="1"/>
    <n v="13.676399999999999"/>
    <n v="-89.200800000000001"/>
    <n v="36700"/>
    <n v="0"/>
    <n v="0"/>
    <n v="102"/>
    <s v="_x0000_US"/>
  </r>
  <r>
    <x v="1"/>
    <n v="13.676399999999999"/>
    <n v="-89.200699999999998"/>
    <n v="36700"/>
    <n v="0"/>
    <n v="0"/>
    <n v="102"/>
    <s v="_x0000_US"/>
  </r>
  <r>
    <x v="1"/>
    <n v="13.6762"/>
    <n v="-89.200500000000005"/>
    <n v="36700"/>
    <n v="0"/>
    <n v="0"/>
    <n v="102"/>
    <s v="_x0000_US"/>
  </r>
  <r>
    <x v="1"/>
    <n v="13.6762"/>
    <n v="-89.200400000000002"/>
    <n v="36700"/>
    <n v="0"/>
    <n v="0"/>
    <n v="102"/>
    <s v="_x0000_US"/>
  </r>
  <r>
    <x v="1"/>
    <n v="13.676299999999999"/>
    <n v="-89.200400000000002"/>
    <n v="36700"/>
    <n v="0"/>
    <n v="0"/>
    <n v="102"/>
    <s v="_x0000_US"/>
  </r>
  <r>
    <x v="1"/>
    <n v="13.676600000000001"/>
    <n v="-89.200599999999994"/>
    <n v="36700"/>
    <n v="0"/>
    <n v="0"/>
    <n v="102"/>
    <s v="_x0000_US"/>
  </r>
  <r>
    <x v="1"/>
    <n v="13.676500000000001"/>
    <n v="-89.200699999999998"/>
    <n v="36700"/>
    <n v="0"/>
    <n v="0"/>
    <n v="102"/>
    <s v="_x0000_US"/>
  </r>
  <r>
    <x v="1"/>
    <n v="13.676600000000001"/>
    <n v="-89.200900000000004"/>
    <n v="36700"/>
    <n v="0"/>
    <n v="0"/>
    <n v="102"/>
    <s v="_x0000_US"/>
  </r>
  <r>
    <x v="1"/>
    <n v="13.676500000000001"/>
    <n v="-89.200999999999993"/>
    <n v="36700"/>
    <n v="0"/>
    <n v="0"/>
    <n v="102"/>
    <s v="_x0000_US"/>
  </r>
  <r>
    <x v="1"/>
    <n v="13.6767"/>
    <n v="-89.201099999999997"/>
    <n v="36700"/>
    <n v="0"/>
    <n v="0"/>
    <n v="102"/>
    <s v="_x0000_US"/>
  </r>
  <r>
    <x v="1"/>
    <n v="13.676600000000001"/>
    <n v="-89.201099999999997"/>
    <n v="36700"/>
    <n v="0"/>
    <n v="0"/>
    <n v="102"/>
    <s v="_x0000_US"/>
  </r>
  <r>
    <x v="1"/>
    <n v="13.676600000000001"/>
    <n v="-89.2012"/>
    <n v="36700"/>
    <n v="0"/>
    <n v="0"/>
    <n v="102"/>
    <s v="_x0000_US"/>
  </r>
  <r>
    <x v="1"/>
    <n v="13.676500000000001"/>
    <n v="-89.2012"/>
    <n v="36700"/>
    <n v="0"/>
    <n v="0"/>
    <n v="102"/>
    <s v="_x0000_US"/>
  </r>
  <r>
    <x v="1"/>
    <n v="13.676399999999999"/>
    <n v="-89.201300000000003"/>
    <n v="36700"/>
    <n v="0"/>
    <n v="0"/>
    <n v="102"/>
    <s v="_x0000_US"/>
  </r>
  <r>
    <x v="1"/>
    <n v="13.676299999999999"/>
    <n v="-89.200999999999993"/>
    <n v="36700"/>
    <n v="0"/>
    <n v="0"/>
    <n v="102"/>
    <s v="_x0000_US"/>
  </r>
  <r>
    <x v="1"/>
    <n v="13.676299999999999"/>
    <n v="-89.200999999999993"/>
    <n v="36700"/>
    <n v="0"/>
    <n v="0"/>
    <n v="102"/>
    <s v="_x0000_US"/>
  </r>
  <r>
    <x v="1"/>
    <n v="13.6762"/>
    <n v="-89.201099999999997"/>
    <n v="36700"/>
    <n v="0"/>
    <n v="0"/>
    <n v="102"/>
    <s v="_x0000_US"/>
  </r>
  <r>
    <x v="1"/>
    <n v="13.6762"/>
    <n v="-89.201300000000003"/>
    <n v="36700"/>
    <n v="0"/>
    <n v="0"/>
    <n v="102"/>
    <s v="_x0000_US"/>
  </r>
  <r>
    <x v="1"/>
    <n v="13.676299999999999"/>
    <n v="-89.201300000000003"/>
    <n v="36700"/>
    <n v="0"/>
    <n v="0"/>
    <n v="102"/>
    <s v="_x0000_US"/>
  </r>
  <r>
    <x v="1"/>
    <n v="13.6762"/>
    <n v="-89.201300000000003"/>
    <n v="36700"/>
    <n v="0"/>
    <n v="0"/>
    <n v="102"/>
    <s v="_x0000_US"/>
  </r>
  <r>
    <x v="1"/>
    <n v="13.6759"/>
    <n v="-89.201400000000007"/>
    <n v="36700"/>
    <n v="0"/>
    <n v="0"/>
    <n v="102"/>
    <s v="_x0000_US"/>
  </r>
  <r>
    <x v="1"/>
    <n v="13.676"/>
    <n v="-89.201400000000007"/>
    <n v="36700"/>
    <n v="0"/>
    <n v="0"/>
    <n v="102"/>
    <s v="_x0000_US"/>
  </r>
  <r>
    <x v="1"/>
    <n v="13.675800000000001"/>
    <n v="-89.201499999999996"/>
    <n v="36700"/>
    <n v="0"/>
    <n v="0"/>
    <n v="102"/>
    <s v="_x0000_US"/>
  </r>
  <r>
    <x v="1"/>
    <n v="13.675800000000001"/>
    <n v="-89.201499999999996"/>
    <n v="36700"/>
    <n v="0"/>
    <n v="0"/>
    <n v="102"/>
    <s v="_x0000_US"/>
  </r>
  <r>
    <x v="1"/>
    <n v="13.675700000000001"/>
    <n v="-89.201499999999996"/>
    <n v="36700"/>
    <n v="0"/>
    <n v="0"/>
    <n v="102"/>
    <s v="_x0000_US"/>
  </r>
  <r>
    <x v="1"/>
    <n v="13.675700000000001"/>
    <n v="-89.201499999999996"/>
    <n v="36700"/>
    <n v="0"/>
    <n v="0"/>
    <n v="102"/>
    <s v="_x0000_US"/>
  </r>
  <r>
    <x v="1"/>
    <n v="13.6759"/>
    <n v="-89.200699999999998"/>
    <n v="36700"/>
    <n v="0"/>
    <n v="0"/>
    <n v="102"/>
    <s v="_x0000_US"/>
  </r>
  <r>
    <x v="1"/>
    <n v="13.676"/>
    <n v="-89.200599999999994"/>
    <n v="36700"/>
    <n v="0"/>
    <n v="0"/>
    <n v="102"/>
    <s v="_x0000_US"/>
  </r>
  <r>
    <x v="1"/>
    <n v="13.676"/>
    <n v="-89.200599999999994"/>
    <n v="36700"/>
    <n v="0"/>
    <n v="0"/>
    <n v="102"/>
    <s v="_x0000_US"/>
  </r>
  <r>
    <x v="1"/>
    <n v="13.6761"/>
    <n v="-89.200299999999999"/>
    <n v="36700"/>
    <n v="0"/>
    <n v="0"/>
    <n v="102"/>
    <s v="_x0000_US"/>
  </r>
  <r>
    <x v="1"/>
    <n v="13.676"/>
    <n v="-89.200199999999995"/>
    <n v="36700"/>
    <n v="0"/>
    <n v="0"/>
    <n v="102"/>
    <s v="_x0000_US"/>
  </r>
  <r>
    <x v="1"/>
    <n v="13.675800000000001"/>
    <n v="-89.200699999999998"/>
    <n v="36700"/>
    <n v="0"/>
    <n v="0"/>
    <n v="102"/>
    <s v="_x0000_US"/>
  </r>
  <r>
    <x v="1"/>
    <n v="13.6761"/>
    <n v="-89.200900000000004"/>
    <n v="36700"/>
    <n v="0"/>
    <n v="0"/>
    <n v="102"/>
    <s v="_x0000_US"/>
  </r>
  <r>
    <x v="1"/>
    <n v="13.676"/>
    <n v="-89.200999999999993"/>
    <n v="36700"/>
    <n v="0"/>
    <n v="0"/>
    <n v="102"/>
    <s v="_x0000_US"/>
  </r>
  <r>
    <x v="1"/>
    <n v="13.6759"/>
    <n v="-89.200999999999993"/>
    <n v="36700"/>
    <n v="0"/>
    <n v="0"/>
    <n v="102"/>
    <s v="_x0000_US"/>
  </r>
  <r>
    <x v="1"/>
    <n v="13.6759"/>
    <n v="-89.200999999999993"/>
    <n v="36700"/>
    <n v="0"/>
    <n v="0"/>
    <n v="102"/>
    <s v="_x0000_US"/>
  </r>
  <r>
    <x v="1"/>
    <n v="13.6762"/>
    <n v="-89.200900000000004"/>
    <n v="36700"/>
    <n v="0"/>
    <n v="0"/>
    <n v="102"/>
    <s v="_x0000_US"/>
  </r>
  <r>
    <x v="1"/>
    <n v="13.6761"/>
    <n v="-89.201400000000007"/>
    <n v="36700"/>
    <n v="0"/>
    <n v="0"/>
    <n v="102"/>
    <s v="_x0000_US"/>
  </r>
  <r>
    <x v="1"/>
    <n v="13.6761"/>
    <n v="-89.200999999999993"/>
    <n v="36700"/>
    <n v="0"/>
    <n v="0"/>
    <n v="102"/>
    <s v="_x0000_US"/>
  </r>
  <r>
    <x v="1"/>
    <n v="13.676"/>
    <n v="-89.201099999999997"/>
    <n v="36700"/>
    <n v="0"/>
    <n v="0"/>
    <n v="102"/>
    <s v="_x0000_US"/>
  </r>
  <r>
    <x v="1"/>
    <n v="13.676"/>
    <n v="-89.2012"/>
    <n v="36700"/>
    <n v="0"/>
    <n v="0"/>
    <n v="102"/>
    <s v="_x0000_US"/>
  </r>
  <r>
    <x v="1"/>
    <n v="13.6759"/>
    <n v="-89.2012"/>
    <n v="36700"/>
    <n v="0"/>
    <n v="0"/>
    <n v="102"/>
    <s v="_x0000_US"/>
  </r>
  <r>
    <x v="1"/>
    <n v="13.675800000000001"/>
    <n v="-89.2012"/>
    <n v="36700"/>
    <n v="0"/>
    <n v="0"/>
    <n v="102"/>
    <s v="_x0000_US"/>
  </r>
  <r>
    <x v="1"/>
    <n v="13.675800000000001"/>
    <n v="-89.201099999999997"/>
    <n v="36700"/>
    <n v="0"/>
    <n v="0"/>
    <n v="102"/>
    <s v="_x0000_US"/>
  </r>
  <r>
    <x v="1"/>
    <n v="13.675700000000001"/>
    <n v="-89.201099999999997"/>
    <n v="36700"/>
    <n v="0"/>
    <n v="0"/>
    <n v="102"/>
    <s v="_x0000_US"/>
  </r>
  <r>
    <x v="1"/>
    <n v="13.675700000000001"/>
    <n v="-89.201099999999997"/>
    <n v="36700"/>
    <n v="0"/>
    <n v="0"/>
    <n v="102"/>
    <s v="_x0000_US"/>
  </r>
  <r>
    <x v="1"/>
    <n v="13.675700000000001"/>
    <n v="-89.200699999999998"/>
    <n v="36700"/>
    <n v="0"/>
    <n v="0"/>
    <n v="102"/>
    <s v="_x0000_US"/>
  </r>
  <r>
    <x v="1"/>
    <n v="13.675800000000001"/>
    <n v="-89.200699999999998"/>
    <n v="36700"/>
    <n v="0"/>
    <n v="0"/>
    <n v="102"/>
    <s v="_x0000_US"/>
  </r>
  <r>
    <x v="1"/>
    <n v="13.675599999999999"/>
    <n v="-89.201700000000002"/>
    <n v="36700"/>
    <n v="0"/>
    <n v="0"/>
    <n v="102"/>
    <s v="_x0000_US"/>
  </r>
  <r>
    <x v="1"/>
    <n v="13.675599999999999"/>
    <n v="-89.201599999999999"/>
    <n v="36700"/>
    <n v="0"/>
    <n v="0"/>
    <n v="102"/>
    <s v="_x0000_US"/>
  </r>
  <r>
    <x v="1"/>
    <n v="13.6755"/>
    <n v="-89.201599999999999"/>
    <n v="36700"/>
    <n v="0"/>
    <n v="0"/>
    <n v="102"/>
    <s v="_x0000_US"/>
  </r>
  <r>
    <x v="1"/>
    <n v="13.675599999999999"/>
    <n v="-89.201499999999996"/>
    <n v="36700"/>
    <n v="0"/>
    <n v="0"/>
    <n v="102"/>
    <s v="_x0000_US"/>
  </r>
  <r>
    <x v="1"/>
    <n v="13.6761"/>
    <n v="-89.200400000000002"/>
    <n v="36700"/>
    <n v="0"/>
    <n v="0"/>
    <n v="102"/>
    <s v="_x0000_US"/>
  </r>
  <r>
    <x v="1"/>
    <n v="13.6761"/>
    <n v="-89.200299999999999"/>
    <n v="36700"/>
    <n v="0"/>
    <n v="0"/>
    <n v="102"/>
    <s v="_x0000_US"/>
  </r>
  <r>
    <x v="1"/>
    <n v="13.6761"/>
    <n v="-89.200199999999995"/>
    <n v="36700"/>
    <n v="0"/>
    <n v="0"/>
    <n v="102"/>
    <s v="_x0000_US"/>
  </r>
  <r>
    <x v="1"/>
    <n v="13.6761"/>
    <n v="-89.200100000000006"/>
    <n v="36700"/>
    <n v="0"/>
    <n v="0"/>
    <n v="102"/>
    <s v="_x0000_US"/>
  </r>
  <r>
    <x v="1"/>
    <n v="13.6761"/>
    <n v="-89.200500000000005"/>
    <n v="36700"/>
    <n v="0"/>
    <n v="0"/>
    <n v="102"/>
    <s v="_x0000_US"/>
  </r>
  <r>
    <x v="1"/>
    <n v="13.677099999999999"/>
    <n v="-89.200199999999995"/>
    <n v="36700"/>
    <n v="0"/>
    <n v="0"/>
    <n v="102"/>
    <s v="_x0000_US"/>
  </r>
  <r>
    <x v="1"/>
    <n v="13.677099999999999"/>
    <n v="-89.200299999999999"/>
    <n v="36700"/>
    <n v="0"/>
    <n v="0"/>
    <n v="102"/>
    <s v="_x0000_US"/>
  </r>
  <r>
    <x v="1"/>
    <n v="13.6776"/>
    <n v="-89.1999"/>
    <n v="36700"/>
    <n v="0"/>
    <n v="0"/>
    <n v="102"/>
    <s v="_x0000_US"/>
  </r>
  <r>
    <x v="1"/>
    <n v="13.6775"/>
    <n v="-89.1999"/>
    <n v="36700"/>
    <n v="0"/>
    <n v="0"/>
    <n v="102"/>
    <s v="_x0000_US"/>
  </r>
  <r>
    <x v="1"/>
    <n v="13.6776"/>
    <n v="-89.199799999999996"/>
    <n v="36700"/>
    <n v="0"/>
    <n v="0"/>
    <n v="102"/>
    <s v="_x0000_US"/>
  </r>
  <r>
    <x v="1"/>
    <n v="13.6777"/>
    <n v="-89.199799999999996"/>
    <n v="36700"/>
    <n v="0"/>
    <n v="0"/>
    <n v="102"/>
    <s v="_x0000_US"/>
  </r>
  <r>
    <x v="1"/>
    <n v="13.677899999999999"/>
    <n v="-89.199700000000007"/>
    <n v="36700"/>
    <n v="0"/>
    <n v="0"/>
    <n v="102"/>
    <s v="_x0000_US"/>
  </r>
  <r>
    <x v="1"/>
    <n v="13.6777"/>
    <n v="-89.199700000000007"/>
    <n v="36700"/>
    <n v="0"/>
    <n v="0"/>
    <n v="102"/>
    <s v="_x0000_US"/>
  </r>
  <r>
    <x v="1"/>
    <n v="13.677899999999999"/>
    <n v="-89.2"/>
    <n v="36700"/>
    <n v="0"/>
    <n v="0"/>
    <n v="102"/>
    <s v="_x0000_US"/>
  </r>
  <r>
    <x v="1"/>
    <n v="13.6778"/>
    <n v="-89.2"/>
    <n v="36700"/>
    <n v="0"/>
    <n v="0"/>
    <n v="102"/>
    <s v="_x0000_US"/>
  </r>
  <r>
    <x v="1"/>
    <n v="13.6778"/>
    <n v="-89.2"/>
    <n v="36700"/>
    <n v="0"/>
    <n v="0"/>
    <n v="102"/>
    <s v="_x0000_US"/>
  </r>
  <r>
    <x v="1"/>
    <n v="13.6777"/>
    <n v="-89.2"/>
    <n v="36700"/>
    <n v="0"/>
    <n v="0"/>
    <n v="102"/>
    <s v="_x0000_US"/>
  </r>
  <r>
    <x v="1"/>
    <n v="13.677"/>
    <n v="-89.201400000000007"/>
    <n v="36700"/>
    <n v="0"/>
    <n v="0"/>
    <n v="102"/>
    <s v="_x0000_US"/>
  </r>
  <r>
    <x v="1"/>
    <n v="13.677"/>
    <n v="-89.201099999999997"/>
    <n v="36700"/>
    <n v="0"/>
    <n v="0"/>
    <n v="102"/>
    <s v="_x0000_US"/>
  </r>
  <r>
    <x v="1"/>
    <n v="13.677"/>
    <n v="-89.201099999999997"/>
    <n v="36700"/>
    <n v="0"/>
    <n v="0"/>
    <n v="102"/>
    <s v="_x0000_US"/>
  </r>
  <r>
    <x v="1"/>
    <n v="13.677099999999999"/>
    <n v="-89.2012"/>
    <n v="36700"/>
    <n v="0"/>
    <n v="0"/>
    <n v="102"/>
    <s v="_x0000_US"/>
  </r>
  <r>
    <x v="1"/>
    <n v="13.677099999999999"/>
    <n v="-89.201300000000003"/>
    <n v="36700"/>
    <n v="0"/>
    <n v="0"/>
    <n v="102"/>
    <s v="_x0000_US"/>
  </r>
  <r>
    <x v="1"/>
    <n v="13.677099999999999"/>
    <n v="-89.201400000000007"/>
    <n v="36700"/>
    <n v="0"/>
    <n v="0"/>
    <n v="102"/>
    <s v="_x0000_US"/>
  </r>
  <r>
    <x v="1"/>
    <n v="13.677099999999999"/>
    <n v="-89.201400000000007"/>
    <n v="36700"/>
    <n v="0"/>
    <n v="0"/>
    <n v="102"/>
    <s v="_x0000_US"/>
  </r>
  <r>
    <x v="1"/>
    <n v="13.6768"/>
    <n v="-89.201099999999997"/>
    <n v="36700"/>
    <n v="0"/>
    <n v="0"/>
    <n v="102"/>
    <s v="_x0000_US"/>
  </r>
  <r>
    <x v="1"/>
    <n v="13.677199999999999"/>
    <n v="-89.201700000000002"/>
    <n v="36700"/>
    <n v="0"/>
    <n v="0"/>
    <n v="102"/>
    <s v="_x0000_US"/>
  </r>
  <r>
    <x v="1"/>
    <n v="13.677099999999999"/>
    <n v="-89.201599999999999"/>
    <n v="36700"/>
    <n v="0"/>
    <n v="0"/>
    <n v="102"/>
    <s v="_x0000_US"/>
  </r>
  <r>
    <x v="1"/>
    <n v="13.677099999999999"/>
    <n v="-89.201499999999996"/>
    <n v="36700"/>
    <n v="0"/>
    <n v="0"/>
    <n v="102"/>
    <s v="_x0000_US"/>
  </r>
  <r>
    <x v="1"/>
    <n v="13.6777"/>
    <n v="-89.201499999999996"/>
    <n v="36700"/>
    <n v="0"/>
    <n v="0"/>
    <n v="102"/>
    <s v="_x0000_US"/>
  </r>
  <r>
    <x v="1"/>
    <n v="13.6777"/>
    <n v="-89.201599999999999"/>
    <n v="36700"/>
    <n v="0"/>
    <n v="0"/>
    <n v="102"/>
    <s v="_x0000_US"/>
  </r>
  <r>
    <x v="1"/>
    <n v="13.6778"/>
    <n v="-89.201700000000002"/>
    <n v="36700"/>
    <n v="0"/>
    <n v="0"/>
    <n v="102"/>
    <s v="_x0000_US"/>
  </r>
  <r>
    <x v="1"/>
    <n v="13.6777"/>
    <n v="-89.201700000000002"/>
    <n v="36700"/>
    <n v="0"/>
    <n v="0"/>
    <n v="102"/>
    <s v="_x0000_US"/>
  </r>
  <r>
    <x v="1"/>
    <n v="13.6776"/>
    <n v="-89.201700000000002"/>
    <n v="36700"/>
    <n v="0"/>
    <n v="0"/>
    <n v="102"/>
    <s v="_x0000_US"/>
  </r>
  <r>
    <x v="1"/>
    <n v="13.6775"/>
    <n v="-89.201800000000006"/>
    <n v="36700"/>
    <n v="0"/>
    <n v="0"/>
    <n v="102"/>
    <s v="_x0000_US"/>
  </r>
  <r>
    <x v="1"/>
    <n v="13.6775"/>
    <n v="-89.201700000000002"/>
    <n v="36700"/>
    <n v="0"/>
    <n v="0"/>
    <n v="102"/>
    <s v="_x0000_US"/>
  </r>
  <r>
    <x v="1"/>
    <n v="13.6778"/>
    <n v="-89.201499999999996"/>
    <n v="36700"/>
    <n v="0"/>
    <n v="0"/>
    <n v="102"/>
    <s v="_x0000_US"/>
  </r>
  <r>
    <x v="1"/>
    <n v="13.677899999999999"/>
    <n v="-89.201499999999996"/>
    <n v="36700"/>
    <n v="0"/>
    <n v="0"/>
    <n v="102"/>
    <s v="_x0000_US"/>
  </r>
  <r>
    <x v="1"/>
    <n v="13.677899999999999"/>
    <n v="-89.201599999999999"/>
    <n v="36700"/>
    <n v="0"/>
    <n v="0"/>
    <n v="102"/>
    <s v="_x0000_US"/>
  </r>
  <r>
    <x v="1"/>
    <n v="13.678100000000001"/>
    <n v="-89.201499999999996"/>
    <n v="36700"/>
    <n v="0"/>
    <n v="0"/>
    <n v="102"/>
    <s v="_x0000_US"/>
  </r>
  <r>
    <x v="1"/>
    <n v="13.678100000000001"/>
    <n v="-89.201499999999996"/>
    <n v="36700"/>
    <n v="0"/>
    <n v="0"/>
    <n v="102"/>
    <s v="_x0000_US"/>
  </r>
  <r>
    <x v="1"/>
    <n v="13.678000000000001"/>
    <n v="-89.201400000000007"/>
    <n v="36700"/>
    <n v="0"/>
    <n v="0"/>
    <n v="102"/>
    <s v="_x0000_US"/>
  </r>
  <r>
    <x v="1"/>
    <n v="13.678100000000001"/>
    <n v="-89.201400000000007"/>
    <n v="36700"/>
    <n v="0"/>
    <n v="0"/>
    <n v="102"/>
    <s v="_x0000_US"/>
  </r>
  <r>
    <x v="1"/>
    <n v="13.6782"/>
    <n v="-89.2012"/>
    <n v="36700"/>
    <n v="0"/>
    <n v="0"/>
    <n v="102"/>
    <s v="_x0000_US"/>
  </r>
  <r>
    <x v="1"/>
    <n v="13.6783"/>
    <n v="-89.2012"/>
    <n v="36700"/>
    <n v="0"/>
    <n v="0"/>
    <n v="102"/>
    <s v="_x0000_US"/>
  </r>
  <r>
    <x v="1"/>
    <n v="13.6783"/>
    <n v="-89.201300000000003"/>
    <n v="36700"/>
    <n v="0"/>
    <n v="0"/>
    <n v="102"/>
    <s v="_x0000_US"/>
  </r>
  <r>
    <x v="1"/>
    <n v="13.6784"/>
    <n v="-89.201400000000007"/>
    <n v="36700"/>
    <n v="0"/>
    <n v="0"/>
    <n v="102"/>
    <s v="_x0000_US"/>
  </r>
  <r>
    <x v="1"/>
    <n v="13.6782"/>
    <n v="-89.201499999999996"/>
    <n v="36700"/>
    <n v="0"/>
    <n v="0"/>
    <n v="102"/>
    <s v="_x0000_US"/>
  </r>
  <r>
    <x v="1"/>
    <n v="13.6782"/>
    <n v="-89.201499999999996"/>
    <n v="36700"/>
    <n v="0"/>
    <n v="0"/>
    <n v="102"/>
    <s v="_x0000_US"/>
  </r>
  <r>
    <x v="1"/>
    <n v="13.6785"/>
    <n v="-89.2012"/>
    <n v="36700"/>
    <n v="0"/>
    <n v="0"/>
    <n v="102"/>
    <s v="_x0000_US"/>
  </r>
  <r>
    <x v="1"/>
    <n v="13.6785"/>
    <n v="-89.201300000000003"/>
    <n v="36700"/>
    <n v="0"/>
    <n v="0"/>
    <n v="102"/>
    <s v="_x0000_US"/>
  </r>
  <r>
    <x v="1"/>
    <n v="13.6785"/>
    <n v="-89.201400000000007"/>
    <n v="36700"/>
    <n v="0"/>
    <n v="0"/>
    <n v="102"/>
    <s v="_x0000_US"/>
  </r>
  <r>
    <x v="1"/>
    <n v="13.6785"/>
    <n v="-89.201400000000007"/>
    <n v="36700"/>
    <n v="0"/>
    <n v="0"/>
    <n v="102"/>
    <s v="_x0000_US"/>
  </r>
  <r>
    <x v="1"/>
    <n v="13.6785"/>
    <n v="-89.201300000000003"/>
    <n v="36700"/>
    <n v="0"/>
    <n v="0"/>
    <n v="102"/>
    <s v="_x0000_US"/>
  </r>
  <r>
    <x v="1"/>
    <n v="13.678699999999999"/>
    <n v="-89.201300000000003"/>
    <n v="36700"/>
    <n v="0"/>
    <n v="0"/>
    <n v="102"/>
    <s v="_x0000_US"/>
  </r>
  <r>
    <x v="1"/>
    <n v="13.678800000000001"/>
    <n v="-89.201300000000003"/>
    <n v="36700"/>
    <n v="0"/>
    <n v="0"/>
    <n v="102"/>
    <s v="_x0000_US"/>
  </r>
  <r>
    <x v="1"/>
    <n v="13.679"/>
    <n v="-89.201300000000003"/>
    <n v="36700"/>
    <n v="0"/>
    <n v="0"/>
    <n v="102"/>
    <s v="_x0000_US"/>
  </r>
  <r>
    <x v="1"/>
    <n v="13.678900000000001"/>
    <n v="-89.201099999999997"/>
    <n v="36700"/>
    <n v="0"/>
    <n v="0"/>
    <n v="102"/>
    <s v="_x0000_US"/>
  </r>
  <r>
    <x v="1"/>
    <n v="13.678900000000001"/>
    <n v="-89.200999999999993"/>
    <n v="36700"/>
    <n v="0"/>
    <n v="0"/>
    <n v="102"/>
    <s v="_x0000_US"/>
  </r>
  <r>
    <x v="1"/>
    <n v="13.678900000000001"/>
    <n v="-89.200800000000001"/>
    <n v="36700"/>
    <n v="0"/>
    <n v="0"/>
    <n v="102"/>
    <s v="_x0000_US"/>
  </r>
  <r>
    <x v="1"/>
    <n v="13.678900000000001"/>
    <n v="-89.200699999999998"/>
    <n v="36700"/>
    <n v="0"/>
    <n v="0"/>
    <n v="102"/>
    <s v="_x0000_US"/>
  </r>
  <r>
    <x v="1"/>
    <n v="13.6791"/>
    <n v="-89.200699999999998"/>
    <n v="36700"/>
    <n v="0"/>
    <n v="0"/>
    <n v="102"/>
    <s v="_x0000_US"/>
  </r>
  <r>
    <x v="1"/>
    <n v="13.678699999999999"/>
    <n v="-89.201099999999997"/>
    <n v="36700"/>
    <n v="0"/>
    <n v="0"/>
    <n v="102"/>
    <s v="_x0000_US"/>
  </r>
  <r>
    <x v="1"/>
    <n v="13.678699999999999"/>
    <n v="-89.200800000000001"/>
    <n v="36700"/>
    <n v="0"/>
    <n v="0"/>
    <n v="102"/>
    <s v="_x0000_US"/>
  </r>
  <r>
    <x v="1"/>
    <n v="13.678699999999999"/>
    <n v="-89.201099999999997"/>
    <n v="36700"/>
    <n v="0"/>
    <n v="0"/>
    <n v="102"/>
    <s v="_x0000_US"/>
  </r>
  <r>
    <x v="1"/>
    <n v="13.678599999999999"/>
    <n v="-89.201099999999997"/>
    <n v="36700"/>
    <n v="0"/>
    <n v="0"/>
    <n v="102"/>
    <s v="_x0000_US"/>
  </r>
  <r>
    <x v="1"/>
    <n v="13.6785"/>
    <n v="-89.201099999999997"/>
    <n v="36700"/>
    <n v="0"/>
    <n v="0"/>
    <n v="102"/>
    <s v="_x0000_US"/>
  </r>
  <r>
    <x v="1"/>
    <n v="13.6785"/>
    <n v="-89.201099999999997"/>
    <n v="36700"/>
    <n v="0"/>
    <n v="0"/>
    <n v="102"/>
    <s v="_x0000_US"/>
  </r>
  <r>
    <x v="1"/>
    <n v="13.6784"/>
    <n v="-89.200900000000004"/>
    <n v="36700"/>
    <n v="0"/>
    <n v="0"/>
    <n v="102"/>
    <s v="_x0000_US"/>
  </r>
  <r>
    <x v="1"/>
    <n v="13.6784"/>
    <n v="-89.200900000000004"/>
    <n v="36700"/>
    <n v="0"/>
    <n v="0"/>
    <n v="102"/>
    <s v="_x0000_US"/>
  </r>
  <r>
    <x v="1"/>
    <n v="13.6785"/>
    <n v="-89.200900000000004"/>
    <n v="36700"/>
    <n v="0"/>
    <n v="0"/>
    <n v="102"/>
    <s v="_x0000_US"/>
  </r>
  <r>
    <x v="1"/>
    <n v="13.6785"/>
    <n v="-89.200800000000001"/>
    <n v="36700"/>
    <n v="0"/>
    <n v="0"/>
    <n v="102"/>
    <s v="_x0000_US"/>
  </r>
  <r>
    <x v="1"/>
    <n v="13.6783"/>
    <n v="-89.201099999999997"/>
    <n v="36700"/>
    <n v="0"/>
    <n v="0"/>
    <n v="102"/>
    <s v="_x0000_US"/>
  </r>
  <r>
    <x v="1"/>
    <n v="13.6782"/>
    <n v="-89.200999999999993"/>
    <n v="36700"/>
    <n v="0"/>
    <n v="0"/>
    <n v="102"/>
    <s v="_x0000_US"/>
  </r>
  <r>
    <x v="1"/>
    <n v="13.6783"/>
    <n v="-89.200900000000004"/>
    <n v="36700"/>
    <n v="0"/>
    <n v="0"/>
    <n v="102"/>
    <s v="_x0000_US"/>
  </r>
  <r>
    <x v="1"/>
    <n v="13.6782"/>
    <n v="-89.199399999999997"/>
    <n v="36700"/>
    <n v="0"/>
    <n v="0"/>
    <n v="102"/>
    <s v="_x0000_US"/>
  </r>
  <r>
    <x v="1"/>
    <n v="13.6783"/>
    <n v="-89.199399999999997"/>
    <n v="36700"/>
    <n v="0"/>
    <n v="0"/>
    <n v="102"/>
    <s v="_x0000_US"/>
  </r>
  <r>
    <x v="1"/>
    <n v="13.6784"/>
    <n v="-89.199399999999997"/>
    <n v="36700"/>
    <n v="0"/>
    <n v="0"/>
    <n v="102"/>
    <s v="_x0000_US"/>
  </r>
  <r>
    <x v="1"/>
    <n v="13.6785"/>
    <n v="-89.199399999999997"/>
    <n v="36700"/>
    <n v="0"/>
    <n v="0"/>
    <n v="102"/>
    <s v="_x0000_US"/>
  </r>
  <r>
    <x v="1"/>
    <n v="13.6785"/>
    <n v="-89.199600000000004"/>
    <n v="36700"/>
    <n v="0"/>
    <n v="0"/>
    <n v="102"/>
    <s v="_x0000_US"/>
  </r>
  <r>
    <x v="1"/>
    <n v="13.678699999999999"/>
    <n v="-89.199200000000005"/>
    <n v="36700"/>
    <n v="0"/>
    <n v="0"/>
    <n v="102"/>
    <s v="_x0000_US"/>
  </r>
  <r>
    <x v="1"/>
    <n v="13.678699999999999"/>
    <n v="-89.199399999999997"/>
    <n v="36700"/>
    <n v="0"/>
    <n v="0"/>
    <n v="102"/>
    <s v="_x0000_US"/>
  </r>
  <r>
    <x v="1"/>
    <n v="13.678699999999999"/>
    <n v="-89.1995"/>
    <n v="36700"/>
    <n v="0"/>
    <n v="0"/>
    <n v="102"/>
    <s v="_x0000_US"/>
  </r>
  <r>
    <x v="1"/>
    <n v="13.678800000000001"/>
    <n v="-89.199600000000004"/>
    <n v="36700"/>
    <n v="0"/>
    <n v="0"/>
    <n v="102"/>
    <s v="_x0000_US"/>
  </r>
  <r>
    <x v="1"/>
    <n v="13.678900000000001"/>
    <n v="-89.199700000000007"/>
    <n v="36700"/>
    <n v="0"/>
    <n v="0"/>
    <n v="102"/>
    <s v="_x0000_US"/>
  </r>
  <r>
    <x v="1"/>
    <n v="13.678900000000001"/>
    <n v="-89.2"/>
    <n v="36700"/>
    <n v="0"/>
    <n v="0"/>
    <n v="102"/>
    <s v="_x0000_US"/>
  </r>
  <r>
    <x v="1"/>
    <n v="13.678900000000001"/>
    <n v="-89.199299999999994"/>
    <n v="36700"/>
    <n v="0"/>
    <n v="0"/>
    <n v="102"/>
    <s v="_x0000_US"/>
  </r>
  <r>
    <x v="1"/>
    <n v="13.678900000000001"/>
    <n v="-89.199799999999996"/>
    <n v="36700"/>
    <n v="0"/>
    <n v="0"/>
    <n v="102"/>
    <s v="_x0000_US"/>
  </r>
  <r>
    <x v="1"/>
    <n v="13.679"/>
    <n v="-89.199799999999996"/>
    <n v="36700"/>
    <n v="0"/>
    <n v="0"/>
    <n v="102"/>
    <s v="_x0000_US"/>
  </r>
  <r>
    <x v="1"/>
    <n v="13.679"/>
    <n v="-89.200500000000005"/>
    <n v="36700"/>
    <n v="0"/>
    <n v="0"/>
    <n v="102"/>
    <s v="_x0000_US"/>
  </r>
  <r>
    <x v="1"/>
    <n v="13.6791"/>
    <n v="-89.200500000000005"/>
    <n v="36700"/>
    <n v="0"/>
    <n v="0"/>
    <n v="102"/>
    <s v="_x0000_US"/>
  </r>
  <r>
    <x v="1"/>
    <n v="13.6791"/>
    <n v="-89.200199999999995"/>
    <n v="36700"/>
    <n v="0"/>
    <n v="0"/>
    <n v="102"/>
    <s v="_x0000_US"/>
  </r>
  <r>
    <x v="1"/>
    <n v="13.6793"/>
    <n v="-89.1999"/>
    <n v="36700"/>
    <n v="0"/>
    <n v="0"/>
    <n v="102"/>
    <s v="_x0000_US"/>
  </r>
  <r>
    <x v="1"/>
    <n v="13.6793"/>
    <n v="-89.200199999999995"/>
    <n v="36700"/>
    <n v="0"/>
    <n v="0"/>
    <n v="102"/>
    <s v="_x0000_US"/>
  </r>
  <r>
    <x v="1"/>
    <n v="13.6792"/>
    <n v="-89.200400000000002"/>
    <n v="36700"/>
    <n v="0"/>
    <n v="0"/>
    <n v="102"/>
    <s v="_x0000_US"/>
  </r>
  <r>
    <x v="1"/>
    <n v="13.679399999999999"/>
    <n v="-89.200299999999999"/>
    <n v="36700"/>
    <n v="0"/>
    <n v="0"/>
    <n v="102"/>
    <s v="_x0000_US"/>
  </r>
  <r>
    <x v="1"/>
    <n v="13.679500000000001"/>
    <n v="-89.2"/>
    <n v="36700"/>
    <n v="0"/>
    <n v="0"/>
    <n v="102"/>
    <s v="_x0000_US"/>
  </r>
  <r>
    <x v="1"/>
    <n v="13.679399999999999"/>
    <n v="-89.200400000000002"/>
    <n v="36700"/>
    <n v="0"/>
    <n v="0"/>
    <n v="102"/>
    <s v="_x0000_US"/>
  </r>
  <r>
    <x v="1"/>
    <n v="13.679399999999999"/>
    <n v="-89.200500000000005"/>
    <n v="36700"/>
    <n v="0"/>
    <n v="0"/>
    <n v="102"/>
    <s v="_x0000_US"/>
  </r>
  <r>
    <x v="1"/>
    <n v="13.679399999999999"/>
    <n v="-89.200599999999994"/>
    <n v="36700"/>
    <n v="0"/>
    <n v="0"/>
    <n v="102"/>
    <s v="_x0000_US"/>
  </r>
  <r>
    <x v="1"/>
    <n v="13.679500000000001"/>
    <n v="-89.200699999999998"/>
    <n v="36700"/>
    <n v="0"/>
    <n v="0"/>
    <n v="102"/>
    <s v="_x0000_US"/>
  </r>
  <r>
    <x v="1"/>
    <n v="13.679500000000001"/>
    <n v="-89.200900000000004"/>
    <n v="36700"/>
    <n v="0"/>
    <n v="0"/>
    <n v="102"/>
    <s v="_x0000_US"/>
  </r>
  <r>
    <x v="1"/>
    <n v="13.679500000000001"/>
    <n v="-89.200999999999993"/>
    <n v="36700"/>
    <n v="0"/>
    <n v="0"/>
    <n v="102"/>
    <s v="_x0000_US"/>
  </r>
  <r>
    <x v="1"/>
    <n v="13.679399999999999"/>
    <n v="-89.2012"/>
    <n v="36700"/>
    <n v="0"/>
    <n v="0"/>
    <n v="102"/>
    <s v="_x0000_US"/>
  </r>
  <r>
    <x v="1"/>
    <n v="13.6793"/>
    <n v="-89.2012"/>
    <n v="36700"/>
    <n v="0"/>
    <n v="0"/>
    <n v="102"/>
    <s v="_x0000_US"/>
  </r>
  <r>
    <x v="1"/>
    <n v="13.6792"/>
    <n v="-89.2012"/>
    <n v="36700"/>
    <n v="0"/>
    <n v="0"/>
    <n v="102"/>
    <s v="_x0000_US"/>
  </r>
  <r>
    <x v="1"/>
    <n v="13.6791"/>
    <n v="-89.200999999999993"/>
    <n v="36700"/>
    <n v="0"/>
    <n v="0"/>
    <n v="102"/>
    <s v="_x0000_US"/>
  </r>
  <r>
    <x v="1"/>
    <n v="13.6791"/>
    <n v="-89.200900000000004"/>
    <n v="36700"/>
    <n v="0"/>
    <n v="0"/>
    <n v="102"/>
    <s v="_x0000_US"/>
  </r>
  <r>
    <x v="1"/>
    <n v="13.6791"/>
    <n v="-89.200800000000001"/>
    <n v="36700"/>
    <n v="0"/>
    <n v="0"/>
    <n v="102"/>
    <s v="_x0000_US"/>
  </r>
  <r>
    <x v="1"/>
    <n v="13.679600000000001"/>
    <n v="-89.201099999999997"/>
    <n v="36700"/>
    <n v="0"/>
    <n v="0"/>
    <n v="102"/>
    <s v="_x0000_US"/>
  </r>
  <r>
    <x v="1"/>
    <n v="13.678800000000001"/>
    <n v="-89.200599999999994"/>
    <n v="36700"/>
    <n v="0"/>
    <n v="0"/>
    <n v="102"/>
    <s v="_x0000_US"/>
  </r>
  <r>
    <x v="1"/>
    <n v="13.678699999999999"/>
    <n v="-89.200500000000005"/>
    <n v="36700"/>
    <n v="0"/>
    <n v="0"/>
    <n v="102"/>
    <s v="_x0000_US"/>
  </r>
  <r>
    <x v="1"/>
    <n v="13.678800000000001"/>
    <n v="-89.200500000000005"/>
    <n v="36700"/>
    <n v="0"/>
    <n v="0"/>
    <n v="102"/>
    <s v="_x0000_US"/>
  </r>
  <r>
    <x v="1"/>
    <n v="13.678699999999999"/>
    <n v="-89.200299999999999"/>
    <n v="36700"/>
    <n v="0"/>
    <n v="0"/>
    <n v="102"/>
    <s v="_x0000_US"/>
  </r>
  <r>
    <x v="1"/>
    <n v="13.678699999999999"/>
    <n v="-89.200100000000006"/>
    <n v="36700"/>
    <n v="0"/>
    <n v="0"/>
    <n v="102"/>
    <s v="_x0000_US"/>
  </r>
  <r>
    <x v="1"/>
    <n v="13.6791"/>
    <n v="-89.200699999999998"/>
    <n v="36700"/>
    <n v="0"/>
    <n v="0"/>
    <n v="102"/>
    <s v="_x0000_US"/>
  </r>
  <r>
    <x v="1"/>
    <n v="13.679399999999999"/>
    <n v="-89.201499999999996"/>
    <n v="36700"/>
    <n v="0"/>
    <n v="0"/>
    <n v="102"/>
    <s v="_x0000_US"/>
  </r>
  <r>
    <x v="1"/>
    <n v="13.679399999999999"/>
    <n v="-89.201400000000007"/>
    <n v="36700"/>
    <n v="0"/>
    <n v="0"/>
    <n v="102"/>
    <s v="_x0000_US"/>
  </r>
  <r>
    <x v="1"/>
    <n v="13.679500000000001"/>
    <n v="-89.201400000000007"/>
    <n v="36700"/>
    <n v="0"/>
    <n v="0"/>
    <n v="102"/>
    <s v="_x0000_US"/>
  </r>
  <r>
    <x v="1"/>
    <n v="13.679500000000001"/>
    <n v="-89.201400000000007"/>
    <n v="36700"/>
    <n v="0"/>
    <n v="0"/>
    <n v="102"/>
    <s v="_x0000_US"/>
  </r>
  <r>
    <x v="1"/>
    <n v="13.679399999999999"/>
    <n v="-89.201599999999999"/>
    <n v="36700"/>
    <n v="0"/>
    <n v="0"/>
    <n v="102"/>
    <s v="_x0000_US"/>
  </r>
  <r>
    <x v="1"/>
    <n v="13.6793"/>
    <n v="-89.201400000000007"/>
    <n v="36700"/>
    <n v="0"/>
    <n v="0"/>
    <n v="102"/>
    <s v="_x0000_US"/>
  </r>
  <r>
    <x v="1"/>
    <n v="13.6793"/>
    <n v="-89.201599999999999"/>
    <n v="36700"/>
    <n v="0"/>
    <n v="0"/>
    <n v="102"/>
    <s v="_x0000_US"/>
  </r>
  <r>
    <x v="1"/>
    <n v="13.6793"/>
    <n v="-89.201400000000007"/>
    <n v="36700"/>
    <n v="0"/>
    <n v="0"/>
    <n v="102"/>
    <s v="_x0000_US"/>
  </r>
  <r>
    <x v="1"/>
    <n v="13.6793"/>
    <n v="-89.201700000000002"/>
    <n v="36700"/>
    <n v="0"/>
    <n v="0"/>
    <n v="102"/>
    <s v="_x0000_US"/>
  </r>
  <r>
    <x v="1"/>
    <n v="13.679600000000001"/>
    <n v="-89.201499999999996"/>
    <n v="36700"/>
    <n v="0"/>
    <n v="0"/>
    <n v="102"/>
    <s v="_x0000_US"/>
  </r>
  <r>
    <x v="1"/>
    <n v="13.6797"/>
    <n v="-89.201499999999996"/>
    <n v="36700"/>
    <n v="0"/>
    <n v="0"/>
    <n v="102"/>
    <s v="_x0000_US"/>
  </r>
  <r>
    <x v="1"/>
    <n v="13.679600000000001"/>
    <n v="-89.201400000000007"/>
    <n v="36700"/>
    <n v="0"/>
    <n v="0"/>
    <n v="102"/>
    <s v="_x0000_US"/>
  </r>
  <r>
    <x v="1"/>
    <n v="13.679600000000001"/>
    <n v="-89.201300000000003"/>
    <n v="36700"/>
    <n v="0"/>
    <n v="0"/>
    <n v="102"/>
    <s v="_x0000_US"/>
  </r>
  <r>
    <x v="1"/>
    <n v="13.6798"/>
    <n v="-89.201099999999997"/>
    <n v="36700"/>
    <n v="0"/>
    <n v="0"/>
    <n v="102"/>
    <s v="_x0000_US"/>
  </r>
  <r>
    <x v="1"/>
    <n v="13.68"/>
    <n v="-89.200999999999993"/>
    <n v="36700"/>
    <n v="0"/>
    <n v="0"/>
    <n v="102"/>
    <s v="_x0000_US"/>
  </r>
  <r>
    <x v="1"/>
    <n v="13.680099999999999"/>
    <n v="-89.1999"/>
    <n v="36700"/>
    <n v="0"/>
    <n v="0"/>
    <n v="102"/>
    <s v="_x0000_US"/>
  </r>
  <r>
    <x v="1"/>
    <n v="13.68"/>
    <n v="-89.199799999999996"/>
    <n v="36700"/>
    <n v="0"/>
    <n v="0"/>
    <n v="102"/>
    <s v="_x0000_US"/>
  </r>
  <r>
    <x v="1"/>
    <n v="13.68"/>
    <n v="-89.199700000000007"/>
    <n v="36700"/>
    <n v="0"/>
    <n v="0"/>
    <n v="102"/>
    <s v="_x0000_US"/>
  </r>
  <r>
    <x v="1"/>
    <n v="13.68"/>
    <n v="-89.199600000000004"/>
    <n v="36700"/>
    <n v="0"/>
    <n v="0"/>
    <n v="102"/>
    <s v="_x0000_US"/>
  </r>
  <r>
    <x v="1"/>
    <n v="13.6799"/>
    <n v="-89.2"/>
    <n v="36700"/>
    <n v="0"/>
    <n v="0"/>
    <n v="102"/>
    <s v="_x0000_US"/>
  </r>
  <r>
    <x v="1"/>
    <n v="13.6799"/>
    <n v="-89.1999"/>
    <n v="36700"/>
    <n v="0"/>
    <n v="0"/>
    <n v="102"/>
    <s v="_x0000_US"/>
  </r>
  <r>
    <x v="1"/>
    <n v="13.6799"/>
    <n v="-89.199799999999996"/>
    <n v="36700"/>
    <n v="0"/>
    <n v="0"/>
    <n v="102"/>
    <s v="_x0000_US"/>
  </r>
  <r>
    <x v="1"/>
    <n v="13.6798"/>
    <n v="-89.199700000000007"/>
    <n v="36700"/>
    <n v="0"/>
    <n v="0"/>
    <n v="102"/>
    <s v="_x0000_US"/>
  </r>
  <r>
    <x v="1"/>
    <n v="13.6798"/>
    <n v="-89.199600000000004"/>
    <n v="36700"/>
    <n v="0"/>
    <n v="0"/>
    <n v="102"/>
    <s v="_x0000_US"/>
  </r>
  <r>
    <x v="1"/>
    <n v="13.68"/>
    <n v="-89.199399999999997"/>
    <n v="36700"/>
    <n v="0"/>
    <n v="0"/>
    <n v="102"/>
    <s v="_x0000_US"/>
  </r>
  <r>
    <x v="1"/>
    <n v="13.68"/>
    <n v="-89.199299999999994"/>
    <n v="36700"/>
    <n v="0"/>
    <n v="0"/>
    <n v="102"/>
    <s v="_x0000_US"/>
  </r>
  <r>
    <x v="1"/>
    <n v="13.680099999999999"/>
    <n v="-89.199299999999994"/>
    <n v="36700"/>
    <n v="0"/>
    <n v="0"/>
    <n v="102"/>
    <s v="_x0000_US"/>
  </r>
  <r>
    <x v="1"/>
    <n v="13.680300000000001"/>
    <n v="-89.199100000000001"/>
    <n v="36700"/>
    <n v="0"/>
    <n v="0"/>
    <n v="102"/>
    <s v="_x0000_US"/>
  </r>
  <r>
    <x v="1"/>
    <n v="13.6797"/>
    <n v="-89.199200000000005"/>
    <n v="36700"/>
    <n v="0"/>
    <n v="0"/>
    <n v="102"/>
    <s v="_x0000_US"/>
  </r>
  <r>
    <x v="1"/>
    <n v="13.679500000000001"/>
    <n v="-89.199200000000005"/>
    <n v="36700"/>
    <n v="0"/>
    <n v="0"/>
    <n v="102"/>
    <s v="_x0000_US"/>
  </r>
  <r>
    <x v="1"/>
    <n v="13.6793"/>
    <n v="-89.199200000000005"/>
    <n v="36700"/>
    <n v="0"/>
    <n v="0"/>
    <n v="102"/>
    <s v="_x0000_US"/>
  </r>
  <r>
    <x v="1"/>
    <n v="13.6797"/>
    <n v="-89.2"/>
    <n v="36700"/>
    <n v="0"/>
    <n v="0"/>
    <n v="102"/>
    <s v="_x0000_US"/>
  </r>
  <r>
    <x v="1"/>
    <n v="13.679600000000001"/>
    <n v="-89.200299999999999"/>
    <n v="36700"/>
    <n v="0"/>
    <n v="0"/>
    <n v="102"/>
    <s v="_x0000_US"/>
  </r>
  <r>
    <x v="1"/>
    <n v="13.679500000000001"/>
    <n v="-89.1999"/>
    <n v="36700"/>
    <n v="0"/>
    <n v="0"/>
    <n v="102"/>
    <s v="_x0000_US"/>
  </r>
  <r>
    <x v="1"/>
    <n v="13.679500000000001"/>
    <n v="-89.199799999999996"/>
    <n v="36700"/>
    <n v="0"/>
    <n v="0"/>
    <n v="102"/>
    <s v="_x0000_US"/>
  </r>
  <r>
    <x v="1"/>
    <n v="13.679399999999999"/>
    <n v="-89.199700000000007"/>
    <n v="36700"/>
    <n v="0"/>
    <n v="0"/>
    <n v="102"/>
    <s v="_x0000_US"/>
  </r>
  <r>
    <x v="1"/>
    <n v="13.679600000000001"/>
    <n v="-89.199700000000007"/>
    <n v="36700"/>
    <n v="0"/>
    <n v="0"/>
    <n v="102"/>
    <s v="_x0000_US"/>
  </r>
  <r>
    <x v="1"/>
    <n v="13.6797"/>
    <n v="-89.1995"/>
    <n v="36700"/>
    <n v="0"/>
    <n v="0"/>
    <n v="102"/>
    <s v="_x0000_US"/>
  </r>
  <r>
    <x v="1"/>
    <n v="13.679600000000001"/>
    <n v="-89.1995"/>
    <n v="36700"/>
    <n v="0"/>
    <n v="0"/>
    <n v="102"/>
    <s v="_x0000_US"/>
  </r>
  <r>
    <x v="1"/>
    <n v="13.679600000000001"/>
    <n v="-89.199399999999997"/>
    <n v="36700"/>
    <n v="0"/>
    <n v="0"/>
    <n v="102"/>
    <s v="_x0000_US"/>
  </r>
  <r>
    <x v="1"/>
    <n v="13.679600000000001"/>
    <n v="-89.199299999999994"/>
    <n v="36700"/>
    <n v="0"/>
    <n v="0"/>
    <n v="102"/>
    <s v="_x0000_US"/>
  </r>
  <r>
    <x v="1"/>
    <n v="13.679399999999999"/>
    <n v="-89.1995"/>
    <n v="36700"/>
    <n v="0"/>
    <n v="0"/>
    <n v="102"/>
    <s v="_x0000_US"/>
  </r>
  <r>
    <x v="1"/>
    <n v="13.6792"/>
    <n v="-89.1999"/>
    <n v="36700"/>
    <n v="0"/>
    <n v="0"/>
    <n v="102"/>
    <s v="_x0000_US"/>
  </r>
  <r>
    <x v="1"/>
    <n v="13.6791"/>
    <n v="-89.199799999999996"/>
    <n v="36700"/>
    <n v="0"/>
    <n v="0"/>
    <n v="102"/>
    <s v="_x0000_US"/>
  </r>
  <r>
    <x v="1"/>
    <n v="13.6791"/>
    <n v="-89.1995"/>
    <n v="36700"/>
    <n v="0"/>
    <n v="0"/>
    <n v="102"/>
    <s v="_x0000_US"/>
  </r>
  <r>
    <x v="1"/>
    <n v="13.6791"/>
    <n v="-89.199399999999997"/>
    <n v="36700"/>
    <n v="0"/>
    <n v="0"/>
    <n v="102"/>
    <s v="_x0000_US"/>
  </r>
  <r>
    <x v="1"/>
    <n v="13.6797"/>
    <n v="-89.200599999999994"/>
    <n v="36700"/>
    <n v="0"/>
    <n v="0"/>
    <n v="102"/>
    <s v="_x0000_US"/>
  </r>
  <r>
    <x v="1"/>
    <n v="13.6797"/>
    <n v="-89.200500000000005"/>
    <n v="36700"/>
    <n v="0"/>
    <n v="0"/>
    <n v="102"/>
    <s v="_x0000_US"/>
  </r>
  <r>
    <x v="1"/>
    <n v="13.679600000000001"/>
    <n v="-89.200500000000005"/>
    <n v="36700"/>
    <n v="0"/>
    <n v="0"/>
    <n v="102"/>
    <s v="_x0000_US"/>
  </r>
  <r>
    <x v="1"/>
    <n v="13.679600000000001"/>
    <n v="-89.200400000000002"/>
    <n v="36700"/>
    <n v="0"/>
    <n v="0"/>
    <n v="102"/>
    <s v="_x0000_US"/>
  </r>
  <r>
    <x v="1"/>
    <n v="13.6805"/>
    <n v="-89.200599999999994"/>
    <n v="36700"/>
    <n v="0"/>
    <n v="0"/>
    <n v="102"/>
    <s v="_x0000_US"/>
  </r>
  <r>
    <x v="1"/>
    <n v="13.6805"/>
    <n v="-89.200500000000005"/>
    <n v="36700"/>
    <n v="0"/>
    <n v="0"/>
    <n v="102"/>
    <s v="_x0000_US"/>
  </r>
  <r>
    <x v="1"/>
    <n v="13.6806"/>
    <n v="-89.200100000000006"/>
    <n v="36700"/>
    <n v="0"/>
    <n v="0"/>
    <n v="102"/>
    <s v="_x0000_US"/>
  </r>
  <r>
    <x v="1"/>
    <n v="13.6805"/>
    <n v="-89.199700000000007"/>
    <n v="36700"/>
    <n v="0"/>
    <n v="0"/>
    <n v="102"/>
    <s v="_x0000_US"/>
  </r>
  <r>
    <x v="1"/>
    <n v="13.6807"/>
    <n v="-89.199399999999997"/>
    <n v="36700"/>
    <n v="0"/>
    <n v="0"/>
    <n v="102"/>
    <s v="_x0000_US"/>
  </r>
  <r>
    <x v="1"/>
    <n v="13.6767"/>
    <n v="-89.201499999999996"/>
    <n v="23100"/>
    <n v="0"/>
    <n v="0"/>
    <n v="102"/>
    <s v="_x0000_US"/>
  </r>
  <r>
    <x v="1"/>
    <n v="13.6767"/>
    <n v="-89.201499999999996"/>
    <n v="23100"/>
    <n v="0"/>
    <n v="0"/>
    <n v="102"/>
    <s v="_x0000_US"/>
  </r>
  <r>
    <x v="1"/>
    <n v="13.676600000000001"/>
    <n v="-89.201499999999996"/>
    <n v="23100"/>
    <n v="0"/>
    <n v="0"/>
    <n v="102"/>
    <s v="_x0000_US"/>
  </r>
  <r>
    <x v="1"/>
    <n v="13.676600000000001"/>
    <n v="-89.201499999999996"/>
    <n v="23100"/>
    <n v="0"/>
    <n v="0"/>
    <n v="102"/>
    <s v="_x0000_US"/>
  </r>
  <r>
    <x v="1"/>
    <n v="13.676500000000001"/>
    <n v="-89.201499999999996"/>
    <n v="23100"/>
    <n v="0"/>
    <n v="0"/>
    <n v="102"/>
    <s v="_x0000_US"/>
  </r>
  <r>
    <x v="1"/>
    <n v="13.676399999999999"/>
    <n v="-89.201599999999999"/>
    <n v="23100"/>
    <n v="0"/>
    <n v="0"/>
    <n v="102"/>
    <s v="_x0000_US"/>
  </r>
  <r>
    <x v="1"/>
    <n v="13.6762"/>
    <n v="-89.201599999999999"/>
    <n v="23100"/>
    <n v="0"/>
    <n v="0"/>
    <n v="102"/>
    <s v="_x0000_US"/>
  </r>
  <r>
    <x v="1"/>
    <n v="13.6762"/>
    <n v="-89.201599999999999"/>
    <n v="23100"/>
    <n v="0"/>
    <n v="0"/>
    <n v="102"/>
    <s v="_x0000_US"/>
  </r>
  <r>
    <x v="1"/>
    <n v="13.676299999999999"/>
    <n v="-89.201599999999999"/>
    <n v="23100"/>
    <n v="0"/>
    <n v="0"/>
    <n v="102"/>
    <s v="_x0000_US"/>
  </r>
  <r>
    <x v="1"/>
    <n v="13.676299999999999"/>
    <n v="-89.201499999999996"/>
    <n v="23100"/>
    <n v="0"/>
    <n v="0"/>
    <n v="102"/>
    <s v="_x0000_US"/>
  </r>
  <r>
    <x v="1"/>
    <n v="13.676500000000001"/>
    <n v="-89.201499999999996"/>
    <n v="23100"/>
    <n v="0"/>
    <n v="0"/>
    <n v="102"/>
    <s v="_x0000_US"/>
  </r>
  <r>
    <x v="1"/>
    <n v="13.676600000000001"/>
    <n v="-89.201599999999999"/>
    <n v="23100"/>
    <n v="0"/>
    <n v="0"/>
    <n v="102"/>
    <s v="_x0000_US"/>
  </r>
  <r>
    <x v="1"/>
    <n v="13.676600000000001"/>
    <n v="-89.201800000000006"/>
    <n v="23100"/>
    <n v="0"/>
    <n v="0"/>
    <n v="102"/>
    <s v="_x0000_US"/>
  </r>
  <r>
    <x v="1"/>
    <n v="13.676500000000001"/>
    <n v="-89.201800000000006"/>
    <n v="23100"/>
    <n v="0"/>
    <n v="0"/>
    <n v="102"/>
    <s v="_x0000_US"/>
  </r>
  <r>
    <x v="1"/>
    <n v="13.676500000000001"/>
    <n v="-89.201800000000006"/>
    <n v="23100"/>
    <n v="0"/>
    <n v="0"/>
    <n v="102"/>
    <s v="_x0000_US"/>
  </r>
  <r>
    <x v="1"/>
    <n v="13.676399999999999"/>
    <n v="-89.201800000000006"/>
    <n v="23100"/>
    <n v="0"/>
    <n v="0"/>
    <n v="102"/>
    <s v="_x0000_US"/>
  </r>
  <r>
    <x v="1"/>
    <n v="13.676399999999999"/>
    <n v="-89.201899999999995"/>
    <n v="23100"/>
    <n v="0"/>
    <n v="0"/>
    <n v="102"/>
    <s v="_x0000_US"/>
  </r>
  <r>
    <x v="1"/>
    <n v="13.676399999999999"/>
    <n v="-89.201700000000002"/>
    <n v="23100"/>
    <n v="0"/>
    <n v="0"/>
    <n v="102"/>
    <s v="_x0000_US"/>
  </r>
  <r>
    <x v="1"/>
    <n v="13.676399999999999"/>
    <n v="-89.201700000000002"/>
    <n v="23100"/>
    <n v="0"/>
    <n v="0"/>
    <n v="102"/>
    <s v="_x0000_US"/>
  </r>
  <r>
    <x v="1"/>
    <n v="13.676500000000001"/>
    <n v="-89.201700000000002"/>
    <n v="23100"/>
    <n v="0"/>
    <n v="0"/>
    <n v="102"/>
    <s v="_x0000_US"/>
  </r>
  <r>
    <x v="1"/>
    <n v="13.676500000000001"/>
    <n v="-89.201700000000002"/>
    <n v="23100"/>
    <n v="0"/>
    <n v="0"/>
    <n v="102"/>
    <s v="_x0000_US"/>
  </r>
  <r>
    <x v="1"/>
    <n v="13.676299999999999"/>
    <n v="-89.201700000000002"/>
    <n v="23100"/>
    <n v="0"/>
    <n v="0"/>
    <n v="102"/>
    <s v="_x0000_US"/>
  </r>
  <r>
    <x v="1"/>
    <n v="13.676299999999999"/>
    <n v="-89.201700000000002"/>
    <n v="23100"/>
    <n v="0"/>
    <n v="0"/>
    <n v="102"/>
    <s v="_x0000_US"/>
  </r>
  <r>
    <x v="1"/>
    <n v="13.6762"/>
    <n v="-89.201700000000002"/>
    <n v="23100"/>
    <n v="0"/>
    <n v="0"/>
    <n v="102"/>
    <s v="_x0000_US"/>
  </r>
  <r>
    <x v="1"/>
    <n v="13.6762"/>
    <n v="-89.201800000000006"/>
    <n v="23100"/>
    <n v="0"/>
    <n v="0"/>
    <n v="102"/>
    <s v="_x0000_US"/>
  </r>
  <r>
    <x v="1"/>
    <n v="13.6762"/>
    <n v="-89.201899999999995"/>
    <n v="23100"/>
    <n v="0"/>
    <n v="0"/>
    <n v="102"/>
    <s v="_x0000_US"/>
  </r>
  <r>
    <x v="1"/>
    <n v="13.6762"/>
    <n v="-89.201899999999995"/>
    <n v="23100"/>
    <n v="0"/>
    <n v="0"/>
    <n v="102"/>
    <s v="_x0000_US"/>
  </r>
  <r>
    <x v="1"/>
    <n v="13.676299999999999"/>
    <n v="-89.201899999999995"/>
    <n v="23100"/>
    <n v="0"/>
    <n v="0"/>
    <n v="102"/>
    <s v="_x0000_US"/>
  </r>
  <r>
    <x v="1"/>
    <n v="13.676299999999999"/>
    <n v="-89.201899999999995"/>
    <n v="23100"/>
    <n v="0"/>
    <n v="0"/>
    <n v="102"/>
    <s v="_x0000_US"/>
  </r>
  <r>
    <x v="1"/>
    <n v="13.676399999999999"/>
    <n v="-89.202100000000002"/>
    <n v="23100"/>
    <n v="0"/>
    <n v="0"/>
    <n v="102"/>
    <s v="_x0000_US"/>
  </r>
  <r>
    <x v="1"/>
    <n v="13.676399999999999"/>
    <n v="-89.202100000000002"/>
    <n v="23100"/>
    <n v="0"/>
    <n v="0"/>
    <n v="102"/>
    <s v="_x0000_US"/>
  </r>
  <r>
    <x v="1"/>
    <n v="13.676299999999999"/>
    <n v="-89.202100000000002"/>
    <n v="23100"/>
    <n v="0"/>
    <n v="0"/>
    <n v="102"/>
    <s v="_x0000_US"/>
  </r>
  <r>
    <x v="1"/>
    <n v="13.6762"/>
    <n v="-89.202100000000002"/>
    <n v="23100"/>
    <n v="0"/>
    <n v="0"/>
    <n v="102"/>
    <s v="_x0000_US"/>
  </r>
  <r>
    <x v="1"/>
    <n v="13.676399999999999"/>
    <n v="-89.202299999999994"/>
    <n v="23100"/>
    <n v="0"/>
    <n v="0"/>
    <n v="102"/>
    <s v="_x0000_US"/>
  </r>
  <r>
    <x v="1"/>
    <n v="13.676299999999999"/>
    <n v="-89.202299999999994"/>
    <n v="23100"/>
    <n v="0"/>
    <n v="0"/>
    <n v="102"/>
    <s v="_x0000_US"/>
  </r>
  <r>
    <x v="1"/>
    <n v="13.676299999999999"/>
    <n v="-89.202399999999997"/>
    <n v="23100"/>
    <n v="0"/>
    <n v="0"/>
    <n v="102"/>
    <s v="_x0000_US"/>
  </r>
  <r>
    <x v="1"/>
    <n v="13.6762"/>
    <n v="-89.202399999999997"/>
    <n v="23100"/>
    <n v="0"/>
    <n v="0"/>
    <n v="102"/>
    <s v="_x0000_US"/>
  </r>
  <r>
    <x v="1"/>
    <n v="13.6761"/>
    <n v="-89.201800000000006"/>
    <n v="23100"/>
    <n v="0"/>
    <n v="0"/>
    <n v="102"/>
    <s v="_x0000_US"/>
  </r>
  <r>
    <x v="1"/>
    <n v="13.6761"/>
    <n v="-89.201599999999999"/>
    <n v="23100"/>
    <n v="0"/>
    <n v="0"/>
    <n v="102"/>
    <s v="_x0000_US"/>
  </r>
  <r>
    <x v="1"/>
    <n v="13.6761"/>
    <n v="-89.201999999999998"/>
    <n v="23100"/>
    <n v="0"/>
    <n v="0"/>
    <n v="102"/>
    <s v="_x0000_US"/>
  </r>
  <r>
    <x v="1"/>
    <n v="13.6762"/>
    <n v="-89.202100000000002"/>
    <n v="23100"/>
    <n v="0"/>
    <n v="0"/>
    <n v="102"/>
    <s v="_x0000_US"/>
  </r>
  <r>
    <x v="1"/>
    <n v="13.6761"/>
    <n v="-89.202100000000002"/>
    <n v="23100"/>
    <n v="0"/>
    <n v="0"/>
    <n v="102"/>
    <s v="_x0000_US"/>
  </r>
  <r>
    <x v="1"/>
    <n v="13.6761"/>
    <n v="-89.202399999999997"/>
    <n v="23100"/>
    <n v="0"/>
    <n v="0"/>
    <n v="102"/>
    <s v="_x0000_US"/>
  </r>
  <r>
    <x v="1"/>
    <n v="13.6761"/>
    <n v="-89.202399999999997"/>
    <n v="23100"/>
    <n v="0"/>
    <n v="0"/>
    <n v="102"/>
    <s v="_x0000_US"/>
  </r>
  <r>
    <x v="1"/>
    <n v="13.676"/>
    <n v="-89.202399999999997"/>
    <n v="23100"/>
    <n v="0"/>
    <n v="0"/>
    <n v="102"/>
    <s v="_x0000_US"/>
  </r>
  <r>
    <x v="1"/>
    <n v="13.676"/>
    <n v="-89.202399999999997"/>
    <n v="23100"/>
    <n v="0"/>
    <n v="0"/>
    <n v="102"/>
    <s v="_x0000_US"/>
  </r>
  <r>
    <x v="1"/>
    <n v="13.6759"/>
    <n v="-89.202399999999997"/>
    <n v="23100"/>
    <n v="0"/>
    <n v="0"/>
    <n v="102"/>
    <s v="_x0000_US"/>
  </r>
  <r>
    <x v="1"/>
    <n v="13.675800000000001"/>
    <n v="-89.202399999999997"/>
    <n v="23100"/>
    <n v="0"/>
    <n v="0"/>
    <n v="102"/>
    <s v="_x0000_US"/>
  </r>
  <r>
    <x v="1"/>
    <n v="13.675800000000001"/>
    <n v="-89.202200000000005"/>
    <n v="23100"/>
    <n v="0"/>
    <n v="0"/>
    <n v="102"/>
    <s v="_x0000_US"/>
  </r>
  <r>
    <x v="1"/>
    <n v="13.6759"/>
    <n v="-89.202200000000005"/>
    <n v="23100"/>
    <n v="0"/>
    <n v="0"/>
    <n v="102"/>
    <s v="_x0000_US"/>
  </r>
  <r>
    <x v="1"/>
    <n v="13.6759"/>
    <n v="-89.202200000000005"/>
    <n v="23100"/>
    <n v="0"/>
    <n v="0"/>
    <n v="102"/>
    <s v="_x0000_US"/>
  </r>
  <r>
    <x v="1"/>
    <n v="13.676"/>
    <n v="-89.202200000000005"/>
    <n v="23100"/>
    <n v="0"/>
    <n v="0"/>
    <n v="102"/>
    <s v="_x0000_US"/>
  </r>
  <r>
    <x v="1"/>
    <n v="13.676"/>
    <n v="-89.202100000000002"/>
    <n v="23100"/>
    <n v="0"/>
    <n v="0"/>
    <n v="102"/>
    <s v="_x0000_US"/>
  </r>
  <r>
    <x v="1"/>
    <n v="13.676"/>
    <n v="-89.201999999999998"/>
    <n v="23100"/>
    <n v="0"/>
    <n v="0"/>
    <n v="102"/>
    <s v="_x0000_US"/>
  </r>
  <r>
    <x v="1"/>
    <n v="13.6761"/>
    <n v="-89.201700000000002"/>
    <n v="23100"/>
    <n v="0"/>
    <n v="0"/>
    <n v="102"/>
    <s v="_x0000_US"/>
  </r>
  <r>
    <x v="1"/>
    <n v="13.676"/>
    <n v="-89.201599999999999"/>
    <n v="23100"/>
    <n v="0"/>
    <n v="0"/>
    <n v="102"/>
    <s v="_x0000_US"/>
  </r>
  <r>
    <x v="1"/>
    <n v="13.676"/>
    <n v="-89.201700000000002"/>
    <n v="23100"/>
    <n v="0"/>
    <n v="0"/>
    <n v="102"/>
    <s v="_x0000_US"/>
  </r>
  <r>
    <x v="1"/>
    <n v="13.6759"/>
    <n v="-89.201700000000002"/>
    <n v="23100"/>
    <n v="0"/>
    <n v="0"/>
    <n v="102"/>
    <s v="_x0000_US"/>
  </r>
  <r>
    <x v="1"/>
    <n v="13.6759"/>
    <n v="-89.201700000000002"/>
    <n v="23100"/>
    <n v="0"/>
    <n v="0"/>
    <n v="102"/>
    <s v="_x0000_US"/>
  </r>
  <r>
    <x v="1"/>
    <n v="13.6759"/>
    <n v="-89.201800000000006"/>
    <n v="23100"/>
    <n v="0"/>
    <n v="0"/>
    <n v="102"/>
    <s v="_x0000_US"/>
  </r>
  <r>
    <x v="1"/>
    <n v="13.6759"/>
    <n v="-89.201800000000006"/>
    <n v="23100"/>
    <n v="0"/>
    <n v="0"/>
    <n v="102"/>
    <s v="_x0000_US"/>
  </r>
  <r>
    <x v="1"/>
    <n v="13.676"/>
    <n v="-89.201800000000006"/>
    <n v="23100"/>
    <n v="0"/>
    <n v="0"/>
    <n v="102"/>
    <s v="_x0000_US"/>
  </r>
  <r>
    <x v="1"/>
    <n v="13.6761"/>
    <n v="-89.201800000000006"/>
    <n v="23100"/>
    <n v="0"/>
    <n v="0"/>
    <n v="102"/>
    <s v="_x0000_US"/>
  </r>
  <r>
    <x v="1"/>
    <n v="13.676"/>
    <n v="-89.201899999999995"/>
    <n v="23100"/>
    <n v="0"/>
    <n v="0"/>
    <n v="102"/>
    <s v="_x0000_US"/>
  </r>
  <r>
    <x v="1"/>
    <n v="13.676"/>
    <n v="-89.202100000000002"/>
    <n v="23100"/>
    <n v="0"/>
    <n v="0"/>
    <n v="102"/>
    <s v="_x0000_US"/>
  </r>
  <r>
    <x v="1"/>
    <n v="13.6759"/>
    <n v="-89.202100000000002"/>
    <n v="23100"/>
    <n v="0"/>
    <n v="0"/>
    <n v="102"/>
    <s v="_x0000_US"/>
  </r>
  <r>
    <x v="1"/>
    <n v="13.6759"/>
    <n v="-89.202100000000002"/>
    <n v="23100"/>
    <n v="0"/>
    <n v="0"/>
    <n v="102"/>
    <s v="_x0000_US"/>
  </r>
  <r>
    <x v="1"/>
    <n v="13.675800000000001"/>
    <n v="-89.201700000000002"/>
    <n v="23100"/>
    <n v="0"/>
    <n v="0"/>
    <n v="102"/>
    <s v="_x0000_US"/>
  </r>
  <r>
    <x v="1"/>
    <n v="13.675800000000001"/>
    <n v="-89.201700000000002"/>
    <n v="23100"/>
    <n v="0"/>
    <n v="0"/>
    <n v="102"/>
    <s v="_x0000_US"/>
  </r>
  <r>
    <x v="1"/>
    <n v="13.675700000000001"/>
    <n v="-89.201700000000002"/>
    <n v="23100"/>
    <n v="0"/>
    <n v="0"/>
    <n v="102"/>
    <s v="_x0000_US"/>
  </r>
  <r>
    <x v="1"/>
    <n v="13.675599999999999"/>
    <n v="-89.201800000000006"/>
    <n v="23100"/>
    <n v="0"/>
    <n v="0"/>
    <n v="102"/>
    <s v="_x0000_US"/>
  </r>
  <r>
    <x v="1"/>
    <n v="13.675700000000001"/>
    <n v="-89.201899999999995"/>
    <n v="23100"/>
    <n v="0"/>
    <n v="0"/>
    <n v="102"/>
    <s v="_x0000_US"/>
  </r>
  <r>
    <x v="1"/>
    <n v="13.675800000000001"/>
    <n v="-89.201800000000006"/>
    <n v="23100"/>
    <n v="0"/>
    <n v="0"/>
    <n v="102"/>
    <s v="_x0000_US"/>
  </r>
  <r>
    <x v="1"/>
    <n v="13.675800000000001"/>
    <n v="-89.201800000000006"/>
    <n v="23100"/>
    <n v="0"/>
    <n v="0"/>
    <n v="102"/>
    <s v="_x0000_US"/>
  </r>
  <r>
    <x v="1"/>
    <n v="13.675800000000001"/>
    <n v="-89.202100000000002"/>
    <n v="23100"/>
    <n v="0"/>
    <n v="0"/>
    <n v="102"/>
    <s v="_x0000_US"/>
  </r>
  <r>
    <x v="1"/>
    <n v="13.675700000000001"/>
    <n v="-89.202100000000002"/>
    <n v="23100"/>
    <n v="0"/>
    <n v="0"/>
    <n v="102"/>
    <s v="_x0000_US"/>
  </r>
  <r>
    <x v="1"/>
    <n v="13.675800000000001"/>
    <n v="-89.202200000000005"/>
    <n v="23100"/>
    <n v="0"/>
    <n v="0"/>
    <n v="102"/>
    <s v="_x0000_US"/>
  </r>
  <r>
    <x v="1"/>
    <n v="13.6769"/>
    <n v="-89.201400000000007"/>
    <n v="23100"/>
    <n v="0"/>
    <n v="0"/>
    <n v="102"/>
    <s v="_x0000_US"/>
  </r>
  <r>
    <x v="1"/>
    <n v="13.6769"/>
    <n v="-89.201400000000007"/>
    <n v="23100"/>
    <n v="0"/>
    <n v="0"/>
    <n v="102"/>
    <s v="_x0000_US"/>
  </r>
  <r>
    <x v="1"/>
    <n v="13.6768"/>
    <n v="-89.201499999999996"/>
    <n v="23100"/>
    <n v="0"/>
    <n v="0"/>
    <n v="102"/>
    <s v="_x0000_US"/>
  </r>
  <r>
    <x v="1"/>
    <n v="13.6768"/>
    <n v="-89.201499999999996"/>
    <n v="23100"/>
    <n v="0"/>
    <n v="0"/>
    <n v="102"/>
    <s v="_x0000_US"/>
  </r>
  <r>
    <x v="1"/>
    <n v="13.677"/>
    <n v="-89.201800000000006"/>
    <n v="23100"/>
    <n v="0"/>
    <n v="0"/>
    <n v="102"/>
    <s v="_x0000_US"/>
  </r>
  <r>
    <x v="1"/>
    <n v="13.6769"/>
    <n v="-89.201700000000002"/>
    <n v="23100"/>
    <n v="0"/>
    <n v="0"/>
    <n v="102"/>
    <s v="_x0000_US"/>
  </r>
  <r>
    <x v="1"/>
    <n v="13.6769"/>
    <n v="-89.201700000000002"/>
    <n v="23100"/>
    <n v="0"/>
    <n v="0"/>
    <n v="102"/>
    <s v="_x0000_US"/>
  </r>
  <r>
    <x v="1"/>
    <n v="13.6768"/>
    <n v="-89.201700000000002"/>
    <n v="23100"/>
    <n v="0"/>
    <n v="0"/>
    <n v="102"/>
    <s v="_x0000_US"/>
  </r>
  <r>
    <x v="1"/>
    <n v="13.6768"/>
    <n v="-89.201700000000002"/>
    <n v="23100"/>
    <n v="0"/>
    <n v="0"/>
    <n v="102"/>
    <s v="_x0000_US"/>
  </r>
  <r>
    <x v="1"/>
    <n v="13.6768"/>
    <n v="-89.201599999999999"/>
    <n v="23100"/>
    <n v="0"/>
    <n v="0"/>
    <n v="102"/>
    <s v="_x0000_US"/>
  </r>
  <r>
    <x v="1"/>
    <n v="13.6768"/>
    <n v="-89.201599999999999"/>
    <n v="23100"/>
    <n v="0"/>
    <n v="0"/>
    <n v="102"/>
    <s v="_x0000_US"/>
  </r>
  <r>
    <x v="1"/>
    <n v="13.6769"/>
    <n v="-89.201599999999999"/>
    <n v="23100"/>
    <n v="0"/>
    <n v="0"/>
    <n v="102"/>
    <s v="_x0000_US"/>
  </r>
  <r>
    <x v="1"/>
    <n v="13.6769"/>
    <n v="-89.201599999999999"/>
    <n v="23100"/>
    <n v="0"/>
    <n v="0"/>
    <n v="102"/>
    <s v="_x0000_US"/>
  </r>
  <r>
    <x v="1"/>
    <n v="13.6769"/>
    <n v="-89.201599999999999"/>
    <n v="23100"/>
    <n v="0"/>
    <n v="0"/>
    <n v="102"/>
    <s v="_x0000_US"/>
  </r>
  <r>
    <x v="1"/>
    <n v="13.6767"/>
    <n v="-89.201800000000006"/>
    <n v="23100"/>
    <n v="0"/>
    <n v="0"/>
    <n v="102"/>
    <s v="_x0000_US"/>
  </r>
  <r>
    <x v="1"/>
    <n v="13.6767"/>
    <n v="-89.201800000000006"/>
    <n v="23100"/>
    <n v="0"/>
    <n v="0"/>
    <n v="102"/>
    <s v="_x0000_US"/>
  </r>
  <r>
    <x v="1"/>
    <n v="13.676600000000001"/>
    <n v="-89.201800000000006"/>
    <n v="23100"/>
    <n v="0"/>
    <n v="0"/>
    <n v="102"/>
    <s v="_x0000_US"/>
  </r>
  <r>
    <x v="1"/>
    <n v="13.676600000000001"/>
    <n v="-89.201599999999999"/>
    <n v="23100"/>
    <n v="0"/>
    <n v="0"/>
    <n v="102"/>
    <s v="_x0000_US"/>
  </r>
  <r>
    <x v="1"/>
    <n v="13.6767"/>
    <n v="-89.201599999999999"/>
    <n v="23100"/>
    <n v="0"/>
    <n v="0"/>
    <n v="102"/>
    <s v="_x0000_US"/>
  </r>
  <r>
    <x v="1"/>
    <n v="13.677099999999999"/>
    <n v="-89.201899999999995"/>
    <n v="23100"/>
    <n v="0"/>
    <n v="0"/>
    <n v="102"/>
    <s v="_x0000_US"/>
  </r>
  <r>
    <x v="1"/>
    <n v="13.677099999999999"/>
    <n v="-89.201999999999998"/>
    <n v="23100"/>
    <n v="0"/>
    <n v="0"/>
    <n v="102"/>
    <s v="_x0000_US"/>
  </r>
  <r>
    <x v="1"/>
    <n v="13.677099999999999"/>
    <n v="-89.201999999999998"/>
    <n v="23100"/>
    <n v="0"/>
    <n v="0"/>
    <n v="102"/>
    <s v="_x0000_US"/>
  </r>
  <r>
    <x v="1"/>
    <n v="13.677"/>
    <n v="-89.202100000000002"/>
    <n v="23100"/>
    <n v="0"/>
    <n v="0"/>
    <n v="102"/>
    <s v="_x0000_US"/>
  </r>
  <r>
    <x v="1"/>
    <n v="13.677"/>
    <n v="-89.201999999999998"/>
    <n v="23100"/>
    <n v="0"/>
    <n v="0"/>
    <n v="102"/>
    <s v="_x0000_US"/>
  </r>
  <r>
    <x v="1"/>
    <n v="13.677"/>
    <n v="-89.201999999999998"/>
    <n v="23100"/>
    <n v="0"/>
    <n v="0"/>
    <n v="102"/>
    <s v="_x0000_US"/>
  </r>
  <r>
    <x v="1"/>
    <n v="13.6769"/>
    <n v="-89.201999999999998"/>
    <n v="23100"/>
    <n v="0"/>
    <n v="0"/>
    <n v="102"/>
    <s v="_x0000_US"/>
  </r>
  <r>
    <x v="1"/>
    <n v="13.6768"/>
    <n v="-89.201999999999998"/>
    <n v="23100"/>
    <n v="0"/>
    <n v="0"/>
    <n v="102"/>
    <s v="_x0000_US"/>
  </r>
  <r>
    <x v="1"/>
    <n v="13.677"/>
    <n v="-89.202200000000005"/>
    <n v="23100"/>
    <n v="0"/>
    <n v="0"/>
    <n v="102"/>
    <s v="_x0000_US"/>
  </r>
  <r>
    <x v="1"/>
    <n v="13.677"/>
    <n v="-89.202200000000005"/>
    <n v="23100"/>
    <n v="0"/>
    <n v="0"/>
    <n v="102"/>
    <s v="_x0000_US"/>
  </r>
  <r>
    <x v="1"/>
    <n v="13.6769"/>
    <n v="-89.202200000000005"/>
    <n v="23100"/>
    <n v="0"/>
    <n v="0"/>
    <n v="102"/>
    <s v="_x0000_US"/>
  </r>
  <r>
    <x v="1"/>
    <n v="13.6769"/>
    <n v="-89.202200000000005"/>
    <n v="23100"/>
    <n v="0"/>
    <n v="0"/>
    <n v="102"/>
    <s v="_x0000_US"/>
  </r>
  <r>
    <x v="1"/>
    <n v="13.6768"/>
    <n v="-89.201999999999998"/>
    <n v="23100"/>
    <n v="0"/>
    <n v="0"/>
    <n v="102"/>
    <s v="_x0000_US"/>
  </r>
  <r>
    <x v="1"/>
    <n v="13.6767"/>
    <n v="-89.201999999999998"/>
    <n v="23100"/>
    <n v="0"/>
    <n v="0"/>
    <n v="102"/>
    <s v="_x0000_US"/>
  </r>
  <r>
    <x v="1"/>
    <n v="13.6767"/>
    <n v="-89.201999999999998"/>
    <n v="23100"/>
    <n v="0"/>
    <n v="0"/>
    <n v="102"/>
    <s v="_x0000_US"/>
  </r>
  <r>
    <x v="1"/>
    <n v="13.676600000000001"/>
    <n v="-89.202100000000002"/>
    <n v="23100"/>
    <n v="0"/>
    <n v="0"/>
    <n v="102"/>
    <s v="_x0000_US"/>
  </r>
  <r>
    <x v="1"/>
    <n v="13.6767"/>
    <n v="-89.202200000000005"/>
    <n v="23100"/>
    <n v="0"/>
    <n v="0"/>
    <n v="102"/>
    <s v="_x0000_US"/>
  </r>
  <r>
    <x v="1"/>
    <n v="13.6768"/>
    <n v="-89.202200000000005"/>
    <n v="23100"/>
    <n v="0"/>
    <n v="0"/>
    <n v="102"/>
    <s v="_x0000_US"/>
  </r>
  <r>
    <x v="1"/>
    <n v="13.6767"/>
    <n v="-89.202200000000005"/>
    <n v="23100"/>
    <n v="0"/>
    <n v="0"/>
    <n v="102"/>
    <s v="_x0000_US"/>
  </r>
  <r>
    <x v="1"/>
    <n v="13.676600000000001"/>
    <n v="-89.202299999999994"/>
    <n v="23100"/>
    <n v="0"/>
    <n v="0"/>
    <n v="102"/>
    <s v="_x0000_US"/>
  </r>
  <r>
    <x v="1"/>
    <n v="13.676600000000001"/>
    <n v="-89.202299999999994"/>
    <n v="23100"/>
    <n v="0"/>
    <n v="0"/>
    <n v="102"/>
    <s v="_x0000_US"/>
  </r>
  <r>
    <x v="1"/>
    <n v="13.676500000000001"/>
    <n v="-89.202299999999994"/>
    <n v="23100"/>
    <n v="0"/>
    <n v="0"/>
    <n v="102"/>
    <s v="_x0000_US"/>
  </r>
  <r>
    <x v="1"/>
    <n v="13.676500000000001"/>
    <n v="-89.202299999999994"/>
    <n v="23100"/>
    <n v="0"/>
    <n v="0"/>
    <n v="102"/>
    <s v="_x0000_US"/>
  </r>
  <r>
    <x v="1"/>
    <n v="13.676500000000001"/>
    <n v="-89.201999999999998"/>
    <n v="23100"/>
    <n v="0"/>
    <n v="0"/>
    <n v="102"/>
    <s v="_x0000_US"/>
  </r>
  <r>
    <x v="1"/>
    <n v="13.676500000000001"/>
    <n v="-89.202100000000002"/>
    <n v="23100"/>
    <n v="0"/>
    <n v="0"/>
    <n v="102"/>
    <s v="_x0000_US"/>
  </r>
  <r>
    <x v="1"/>
    <n v="13.676399999999999"/>
    <n v="-89.202299999999994"/>
    <n v="23100"/>
    <n v="0"/>
    <n v="0"/>
    <n v="102"/>
    <s v="_x0000_US"/>
  </r>
  <r>
    <x v="1"/>
    <n v="13.6813"/>
    <n v="-89.201700000000002"/>
    <n v="44400"/>
    <n v="0"/>
    <n v="0"/>
    <n v="102"/>
    <s v="_x0000_US"/>
  </r>
  <r>
    <x v="1"/>
    <n v="13.6813"/>
    <n v="-89.201700000000002"/>
    <n v="44400"/>
    <n v="0"/>
    <n v="0"/>
    <n v="102"/>
    <s v="_x0000_US"/>
  </r>
  <r>
    <x v="1"/>
    <n v="13.6812"/>
    <n v="-89.201700000000002"/>
    <n v="44400"/>
    <n v="0"/>
    <n v="0"/>
    <n v="102"/>
    <s v="_x0000_US"/>
  </r>
  <r>
    <x v="1"/>
    <n v="13.6813"/>
    <n v="-89.201599999999999"/>
    <n v="44400"/>
    <n v="0"/>
    <n v="0"/>
    <n v="102"/>
    <s v="_x0000_US"/>
  </r>
  <r>
    <x v="1"/>
    <n v="13.6813"/>
    <n v="-89.201599999999999"/>
    <n v="44400"/>
    <n v="0"/>
    <n v="0"/>
    <n v="102"/>
    <s v="_x0000_US"/>
  </r>
  <r>
    <x v="1"/>
    <n v="13.6813"/>
    <n v="-89.201499999999996"/>
    <n v="44400"/>
    <n v="0"/>
    <n v="0"/>
    <n v="102"/>
    <s v="_x0000_US"/>
  </r>
  <r>
    <x v="1"/>
    <n v="13.6813"/>
    <n v="-89.201499999999996"/>
    <n v="44400"/>
    <n v="0"/>
    <n v="0"/>
    <n v="102"/>
    <s v="_x0000_US"/>
  </r>
  <r>
    <x v="1"/>
    <n v="13.6813"/>
    <n v="-89.201400000000007"/>
    <n v="44400"/>
    <n v="0"/>
    <n v="0"/>
    <n v="102"/>
    <s v="_x0000_US"/>
  </r>
  <r>
    <x v="1"/>
    <n v="13.6813"/>
    <n v="-89.201300000000003"/>
    <n v="44400"/>
    <n v="0"/>
    <n v="0"/>
    <n v="102"/>
    <s v="_x0000_US"/>
  </r>
  <r>
    <x v="1"/>
    <n v="13.6812"/>
    <n v="-89.201400000000007"/>
    <n v="44400"/>
    <n v="0"/>
    <n v="0"/>
    <n v="102"/>
    <s v="_x0000_US"/>
  </r>
  <r>
    <x v="1"/>
    <n v="13.681100000000001"/>
    <n v="-89.201400000000007"/>
    <n v="44400"/>
    <n v="0"/>
    <n v="0"/>
    <n v="102"/>
    <s v="_x0000_US"/>
  </r>
  <r>
    <x v="1"/>
    <n v="13.681100000000001"/>
    <n v="-89.2012"/>
    <n v="44400"/>
    <n v="0"/>
    <n v="0"/>
    <n v="102"/>
    <s v="_x0000_US"/>
  </r>
  <r>
    <x v="1"/>
    <n v="13.6812"/>
    <n v="-89.2012"/>
    <n v="44400"/>
    <n v="0"/>
    <n v="0"/>
    <n v="102"/>
    <s v="_x0000_US"/>
  </r>
  <r>
    <x v="1"/>
    <n v="13.6812"/>
    <n v="-89.201099999999997"/>
    <n v="44400"/>
    <n v="0"/>
    <n v="0"/>
    <n v="102"/>
    <s v="_x0000_US"/>
  </r>
  <r>
    <x v="1"/>
    <n v="13.6813"/>
    <n v="-89.201099999999997"/>
    <n v="44400"/>
    <n v="0"/>
    <n v="0"/>
    <n v="102"/>
    <s v="_x0000_US"/>
  </r>
  <r>
    <x v="1"/>
    <n v="13.6813"/>
    <n v="-89.201099999999997"/>
    <n v="44400"/>
    <n v="0"/>
    <n v="0"/>
    <n v="102"/>
    <s v="_x0000_US"/>
  </r>
  <r>
    <x v="1"/>
    <n v="13.6813"/>
    <n v="-89.200999999999993"/>
    <n v="44400"/>
    <n v="0"/>
    <n v="0"/>
    <n v="102"/>
    <s v="_x0000_US"/>
  </r>
  <r>
    <x v="1"/>
    <n v="13.6812"/>
    <n v="-89.200999999999993"/>
    <n v="44400"/>
    <n v="0"/>
    <n v="0"/>
    <n v="102"/>
    <s v="_x0000_US"/>
  </r>
  <r>
    <x v="1"/>
    <n v="13.6812"/>
    <n v="-89.200999999999993"/>
    <n v="44400"/>
    <n v="0"/>
    <n v="0"/>
    <n v="102"/>
    <s v="_x0000_US"/>
  </r>
  <r>
    <x v="1"/>
    <n v="13.681100000000001"/>
    <n v="-89.200999999999993"/>
    <n v="44400"/>
    <n v="0"/>
    <n v="0"/>
    <n v="102"/>
    <s v="_x0000_US"/>
  </r>
  <r>
    <x v="1"/>
    <n v="13.681100000000001"/>
    <n v="-89.200999999999993"/>
    <n v="44400"/>
    <n v="0"/>
    <n v="0"/>
    <n v="102"/>
    <s v="_x0000_US"/>
  </r>
  <r>
    <x v="1"/>
    <n v="13.680999999999999"/>
    <n v="-89.201099999999997"/>
    <n v="44400"/>
    <n v="0"/>
    <n v="0"/>
    <n v="102"/>
    <s v="_x0000_US"/>
  </r>
  <r>
    <x v="1"/>
    <n v="13.680999999999999"/>
    <n v="-89.2012"/>
    <n v="44400"/>
    <n v="0"/>
    <n v="0"/>
    <n v="102"/>
    <s v="_x0000_US"/>
  </r>
  <r>
    <x v="1"/>
    <n v="13.680999999999999"/>
    <n v="-89.201300000000003"/>
    <n v="44400"/>
    <n v="0"/>
    <n v="0"/>
    <n v="102"/>
    <s v="_x0000_US"/>
  </r>
  <r>
    <x v="1"/>
    <n v="13.680999999999999"/>
    <n v="-89.201499999999996"/>
    <n v="44400"/>
    <n v="0"/>
    <n v="0"/>
    <n v="102"/>
    <s v="_x0000_US"/>
  </r>
  <r>
    <x v="1"/>
    <n v="13.680999999999999"/>
    <n v="-89.201499999999996"/>
    <n v="44400"/>
    <n v="0"/>
    <n v="0"/>
    <n v="102"/>
    <s v="_x0000_US"/>
  </r>
  <r>
    <x v="1"/>
    <n v="13.681100000000001"/>
    <n v="-89.201400000000007"/>
    <n v="44400"/>
    <n v="0"/>
    <n v="0"/>
    <n v="102"/>
    <s v="_x0000_US"/>
  </r>
  <r>
    <x v="1"/>
    <n v="13.680899999999999"/>
    <n v="-89.200900000000004"/>
    <n v="44400"/>
    <n v="0"/>
    <n v="0"/>
    <n v="102"/>
    <s v="_x0000_US"/>
  </r>
  <r>
    <x v="1"/>
    <n v="13.680899999999999"/>
    <n v="-89.200999999999993"/>
    <n v="44400"/>
    <n v="0"/>
    <n v="0"/>
    <n v="102"/>
    <s v="_x0000_US"/>
  </r>
  <r>
    <x v="1"/>
    <n v="13.680899999999999"/>
    <n v="-89.200999999999993"/>
    <n v="44400"/>
    <n v="0"/>
    <n v="0"/>
    <n v="102"/>
    <s v="_x0000_US"/>
  </r>
  <r>
    <x v="1"/>
    <n v="13.680999999999999"/>
    <n v="-89.201099999999997"/>
    <n v="44400"/>
    <n v="0"/>
    <n v="0"/>
    <n v="102"/>
    <s v="_x0000_US"/>
  </r>
  <r>
    <x v="1"/>
    <n v="13.680899999999999"/>
    <n v="-89.201499999999996"/>
    <n v="44400"/>
    <n v="0"/>
    <n v="0"/>
    <n v="102"/>
    <s v="_x0000_US"/>
  </r>
  <r>
    <x v="1"/>
    <n v="13.680899999999999"/>
    <n v="-89.201499999999996"/>
    <n v="44400"/>
    <n v="0"/>
    <n v="0"/>
    <n v="102"/>
    <s v="_x0000_US"/>
  </r>
  <r>
    <x v="1"/>
    <n v="13.681100000000001"/>
    <n v="-89.200900000000004"/>
    <n v="44400"/>
    <n v="0"/>
    <n v="0"/>
    <n v="102"/>
    <s v="_x0000_US"/>
  </r>
  <r>
    <x v="1"/>
    <n v="13.6812"/>
    <n v="-89.200800000000001"/>
    <n v="44400"/>
    <n v="0"/>
    <n v="0"/>
    <n v="102"/>
    <s v="_x0000_US"/>
  </r>
  <r>
    <x v="1"/>
    <n v="13.6814"/>
    <n v="-89.201099999999997"/>
    <n v="44400"/>
    <n v="0"/>
    <n v="0"/>
    <n v="102"/>
    <s v="_x0000_US"/>
  </r>
  <r>
    <x v="1"/>
    <n v="13.6814"/>
    <n v="-89.201099999999997"/>
    <n v="44400"/>
    <n v="0"/>
    <n v="0"/>
    <n v="102"/>
    <s v="_x0000_US"/>
  </r>
  <r>
    <x v="1"/>
    <n v="13.6814"/>
    <n v="-89.200999999999993"/>
    <n v="44400"/>
    <n v="0"/>
    <n v="0"/>
    <n v="102"/>
    <s v="_x0000_US"/>
  </r>
  <r>
    <x v="1"/>
    <n v="13.6814"/>
    <n v="-89.200900000000004"/>
    <n v="44400"/>
    <n v="0"/>
    <n v="0"/>
    <n v="102"/>
    <s v="_x0000_US"/>
  </r>
  <r>
    <x v="1"/>
    <n v="13.6814"/>
    <n v="-89.200800000000001"/>
    <n v="44400"/>
    <n v="0"/>
    <n v="0"/>
    <n v="102"/>
    <s v="_x0000_US"/>
  </r>
  <r>
    <x v="1"/>
    <n v="13.6814"/>
    <n v="-89.200800000000001"/>
    <n v="44400"/>
    <n v="0"/>
    <n v="0"/>
    <n v="102"/>
    <s v="_x0000_US"/>
  </r>
  <r>
    <x v="1"/>
    <n v="13.6814"/>
    <n v="-89.201300000000003"/>
    <n v="44400"/>
    <n v="0"/>
    <n v="0"/>
    <n v="102"/>
    <s v="_x0000_US"/>
  </r>
  <r>
    <x v="1"/>
    <n v="13.6815"/>
    <n v="-89.201300000000003"/>
    <n v="44400"/>
    <n v="0"/>
    <n v="0"/>
    <n v="102"/>
    <s v="_x0000_US"/>
  </r>
  <r>
    <x v="1"/>
    <n v="13.6815"/>
    <n v="-89.201099999999997"/>
    <n v="44400"/>
    <n v="0"/>
    <n v="0"/>
    <n v="102"/>
    <s v="_x0000_US"/>
  </r>
  <r>
    <x v="1"/>
    <n v="13.6815"/>
    <n v="-89.201300000000003"/>
    <n v="44400"/>
    <n v="0"/>
    <n v="0"/>
    <n v="102"/>
    <s v="_x0000_US"/>
  </r>
  <r>
    <x v="1"/>
    <n v="13.6815"/>
    <n v="-89.201400000000007"/>
    <n v="44400"/>
    <n v="0"/>
    <n v="0"/>
    <n v="102"/>
    <s v="_x0000_US"/>
  </r>
  <r>
    <x v="1"/>
    <n v="13.6815"/>
    <n v="-89.201499999999996"/>
    <n v="44400"/>
    <n v="0"/>
    <n v="0"/>
    <n v="102"/>
    <s v="_x0000_US"/>
  </r>
  <r>
    <x v="1"/>
    <n v="13.6815"/>
    <n v="-89.201599999999999"/>
    <n v="44400"/>
    <n v="0"/>
    <n v="0"/>
    <n v="102"/>
    <s v="_x0000_US"/>
  </r>
  <r>
    <x v="1"/>
    <n v="13.6815"/>
    <n v="-89.201499999999996"/>
    <n v="44400"/>
    <n v="0"/>
    <n v="0"/>
    <n v="102"/>
    <s v="_x0000_US"/>
  </r>
  <r>
    <x v="1"/>
    <n v="13.6814"/>
    <n v="-89.201800000000006"/>
    <n v="44400"/>
    <n v="0"/>
    <n v="0"/>
    <n v="102"/>
    <s v="_x0000_US"/>
  </r>
  <r>
    <x v="1"/>
    <n v="13.6814"/>
    <n v="-89.201800000000006"/>
    <n v="44400"/>
    <n v="0"/>
    <n v="0"/>
    <n v="102"/>
    <s v="_x0000_US"/>
  </r>
  <r>
    <x v="1"/>
    <n v="13.6816"/>
    <n v="-89.201899999999995"/>
    <n v="44400"/>
    <n v="0"/>
    <n v="0"/>
    <n v="102"/>
    <s v="_x0000_US"/>
  </r>
  <r>
    <x v="1"/>
    <n v="13.6816"/>
    <n v="-89.201700000000002"/>
    <n v="44400"/>
    <n v="0"/>
    <n v="0"/>
    <n v="102"/>
    <s v="_x0000_US"/>
  </r>
  <r>
    <x v="1"/>
    <n v="13.6816"/>
    <n v="-89.201700000000002"/>
    <n v="44400"/>
    <n v="0"/>
    <n v="0"/>
    <n v="102"/>
    <s v="_x0000_US"/>
  </r>
  <r>
    <x v="1"/>
    <n v="13.6815"/>
    <n v="-89.201599999999999"/>
    <n v="44400"/>
    <n v="0"/>
    <n v="0"/>
    <n v="102"/>
    <s v="_x0000_US"/>
  </r>
  <r>
    <x v="1"/>
    <n v="13.6812"/>
    <n v="-89.201899999999995"/>
    <n v="44400"/>
    <n v="0"/>
    <n v="0"/>
    <n v="102"/>
    <s v="_x0000_US"/>
  </r>
  <r>
    <x v="1"/>
    <n v="13.6813"/>
    <n v="-89.201800000000006"/>
    <n v="44400"/>
    <n v="0"/>
    <n v="0"/>
    <n v="102"/>
    <s v="_x0000_US"/>
  </r>
  <r>
    <x v="1"/>
    <n v="13.6812"/>
    <n v="-89.201700000000002"/>
    <n v="44400"/>
    <n v="0"/>
    <n v="0"/>
    <n v="102"/>
    <s v="_x0000_US"/>
  </r>
  <r>
    <x v="1"/>
    <n v="13.6816"/>
    <n v="-89.201800000000006"/>
    <n v="44400"/>
    <n v="0"/>
    <n v="0"/>
    <n v="102"/>
    <s v="_x0000_US"/>
  </r>
  <r>
    <x v="1"/>
    <n v="13.6812"/>
    <n v="-89.202200000000005"/>
    <n v="32500"/>
    <n v="0"/>
    <n v="0"/>
    <n v="102"/>
    <s v="_x0000_US"/>
  </r>
  <r>
    <x v="1"/>
    <n v="13.6813"/>
    <n v="-89.202200000000005"/>
    <n v="32500"/>
    <n v="0"/>
    <n v="0"/>
    <n v="102"/>
    <s v="_x0000_US"/>
  </r>
  <r>
    <x v="1"/>
    <n v="13.6813"/>
    <n v="-89.202200000000005"/>
    <n v="32500"/>
    <n v="0"/>
    <n v="0"/>
    <n v="102"/>
    <s v="_x0000_US"/>
  </r>
  <r>
    <x v="1"/>
    <n v="13.682"/>
    <n v="-89.201800000000006"/>
    <n v="32500"/>
    <n v="0"/>
    <n v="0"/>
    <n v="102"/>
    <s v="_x0000_US"/>
  </r>
  <r>
    <x v="1"/>
    <n v="13.682"/>
    <n v="-89.201800000000006"/>
    <n v="32500"/>
    <n v="0"/>
    <n v="0"/>
    <n v="102"/>
    <s v="_x0000_US"/>
  </r>
  <r>
    <x v="1"/>
    <n v="13.683"/>
    <n v="-89.197199999999995"/>
    <n v="8550"/>
    <n v="0"/>
    <n v="0"/>
    <n v="102"/>
    <s v="_x0000_US"/>
  </r>
  <r>
    <x v="1"/>
    <n v="13.683"/>
    <n v="-89.197199999999995"/>
    <n v="8550"/>
    <n v="0"/>
    <n v="0"/>
    <n v="102"/>
    <s v="_x0000_US"/>
  </r>
  <r>
    <x v="1"/>
    <n v="13.683"/>
    <n v="-89.197199999999995"/>
    <n v="8550"/>
    <n v="0"/>
    <n v="0"/>
    <n v="102"/>
    <s v="_x0000_US"/>
  </r>
  <r>
    <x v="1"/>
    <n v="13.6829"/>
    <n v="-89.197299999999998"/>
    <n v="8550"/>
    <n v="0"/>
    <n v="0"/>
    <n v="102"/>
    <s v="_x0000_US"/>
  </r>
  <r>
    <x v="1"/>
    <n v="13.6829"/>
    <n v="-89.197299999999998"/>
    <n v="8550"/>
    <n v="0"/>
    <n v="0"/>
    <n v="102"/>
    <s v="_x0000_US"/>
  </r>
  <r>
    <x v="1"/>
    <n v="13.6829"/>
    <n v="-89.197299999999998"/>
    <n v="8550"/>
    <n v="0"/>
    <n v="0"/>
    <n v="102"/>
    <s v="_x0000_US"/>
  </r>
  <r>
    <x v="1"/>
    <n v="13.6829"/>
    <n v="-89.197199999999995"/>
    <n v="8550"/>
    <n v="0"/>
    <n v="0"/>
    <n v="102"/>
    <s v="_x0000_US"/>
  </r>
  <r>
    <x v="1"/>
    <n v="13.6829"/>
    <n v="-89.197199999999995"/>
    <n v="8550"/>
    <n v="0"/>
    <n v="0"/>
    <n v="102"/>
    <s v="_x0000_US"/>
  </r>
  <r>
    <x v="1"/>
    <n v="13.6829"/>
    <n v="-89.197199999999995"/>
    <n v="8550"/>
    <n v="0"/>
    <n v="0"/>
    <n v="102"/>
    <s v="_x0000_US"/>
  </r>
  <r>
    <x v="1"/>
    <n v="13.6829"/>
    <n v="-89.197199999999995"/>
    <n v="8550"/>
    <n v="0"/>
    <n v="0"/>
    <n v="102"/>
    <s v="_x0000_US"/>
  </r>
  <r>
    <x v="1"/>
    <n v="13.6829"/>
    <n v="-89.197500000000005"/>
    <n v="8550"/>
    <n v="0"/>
    <n v="0"/>
    <n v="102"/>
    <s v="_x0000_US"/>
  </r>
  <r>
    <x v="1"/>
    <n v="13.6829"/>
    <n v="-89.197500000000005"/>
    <n v="8550"/>
    <n v="0"/>
    <n v="0"/>
    <n v="102"/>
    <s v="_x0000_US"/>
  </r>
  <r>
    <x v="1"/>
    <n v="13.6829"/>
    <n v="-89.197500000000005"/>
    <n v="8550"/>
    <n v="0"/>
    <n v="0"/>
    <n v="102"/>
    <s v="_x0000_US"/>
  </r>
  <r>
    <x v="1"/>
    <n v="13.683"/>
    <n v="-89.197500000000005"/>
    <n v="8550"/>
    <n v="0"/>
    <n v="0"/>
    <n v="102"/>
    <s v="_x0000_US"/>
  </r>
  <r>
    <x v="1"/>
    <n v="13.683"/>
    <n v="-89.197500000000005"/>
    <n v="8550"/>
    <n v="0"/>
    <n v="0"/>
    <n v="102"/>
    <s v="_x0000_US"/>
  </r>
  <r>
    <x v="1"/>
    <n v="13.683"/>
    <n v="-89.197599999999994"/>
    <n v="8550"/>
    <n v="0"/>
    <n v="0"/>
    <n v="102"/>
    <s v="_x0000_US"/>
  </r>
  <r>
    <x v="1"/>
    <n v="13.683"/>
    <n v="-89.197599999999994"/>
    <n v="8550"/>
    <n v="0"/>
    <n v="0"/>
    <n v="102"/>
    <s v="_x0000_US"/>
  </r>
  <r>
    <x v="1"/>
    <n v="13.683"/>
    <n v="-89.197599999999994"/>
    <n v="8550"/>
    <n v="0"/>
    <n v="0"/>
    <n v="102"/>
    <s v="_x0000_US"/>
  </r>
  <r>
    <x v="1"/>
    <n v="13.683"/>
    <n v="-89.197500000000005"/>
    <n v="8550"/>
    <n v="0"/>
    <n v="0"/>
    <n v="102"/>
    <s v="_x0000_US"/>
  </r>
  <r>
    <x v="1"/>
    <n v="13.683"/>
    <n v="-89.197500000000005"/>
    <n v="8550"/>
    <n v="0"/>
    <n v="0"/>
    <n v="102"/>
    <s v="_x0000_US"/>
  </r>
  <r>
    <x v="1"/>
    <n v="13.6831"/>
    <n v="-89.197699999999998"/>
    <n v="8550"/>
    <n v="0"/>
    <n v="0"/>
    <n v="102"/>
    <s v="_x0000_US"/>
  </r>
  <r>
    <x v="1"/>
    <n v="13.6831"/>
    <n v="-89.197699999999998"/>
    <n v="8550"/>
    <n v="0"/>
    <n v="0"/>
    <n v="102"/>
    <s v="_x0000_US"/>
  </r>
  <r>
    <x v="1"/>
    <n v="13.6831"/>
    <n v="-89.197699999999998"/>
    <n v="8550"/>
    <n v="0"/>
    <n v="0"/>
    <n v="102"/>
    <s v="_x0000_US"/>
  </r>
  <r>
    <x v="1"/>
    <n v="13.683199999999999"/>
    <n v="-89.197699999999998"/>
    <n v="8550"/>
    <n v="0"/>
    <n v="0"/>
    <n v="102"/>
    <s v="_x0000_US"/>
  </r>
  <r>
    <x v="1"/>
    <n v="13.683199999999999"/>
    <n v="-89.197699999999998"/>
    <n v="8550"/>
    <n v="0"/>
    <n v="0"/>
    <n v="102"/>
    <s v="_x0000_US"/>
  </r>
  <r>
    <x v="1"/>
    <n v="13.683199999999999"/>
    <n v="-89.197699999999998"/>
    <n v="8550"/>
    <n v="0"/>
    <n v="0"/>
    <n v="102"/>
    <s v="_x0000_US"/>
  </r>
  <r>
    <x v="1"/>
    <n v="13.683199999999999"/>
    <n v="-89.197699999999998"/>
    <n v="8550"/>
    <n v="0"/>
    <n v="0"/>
    <n v="102"/>
    <s v="_x0000_US"/>
  </r>
  <r>
    <x v="1"/>
    <n v="13.683199999999999"/>
    <n v="-89.197699999999998"/>
    <n v="8550"/>
    <n v="0"/>
    <n v="0"/>
    <n v="102"/>
    <s v="_x0000_US"/>
  </r>
  <r>
    <x v="1"/>
    <n v="13.683199999999999"/>
    <n v="-89.197699999999998"/>
    <n v="8550"/>
    <n v="0"/>
    <n v="0"/>
    <n v="102"/>
    <s v="_x0000_US"/>
  </r>
  <r>
    <x v="1"/>
    <n v="13.683199999999999"/>
    <n v="-89.197800000000001"/>
    <n v="8550"/>
    <n v="0"/>
    <n v="0"/>
    <n v="102"/>
    <s v="_x0000_US"/>
  </r>
  <r>
    <x v="1"/>
    <n v="13.6831"/>
    <n v="-89.197100000000006"/>
    <n v="8550"/>
    <n v="0"/>
    <n v="0"/>
    <n v="102"/>
    <s v="_x0000_US"/>
  </r>
  <r>
    <x v="1"/>
    <n v="13.6831"/>
    <n v="-89.197100000000006"/>
    <n v="8550"/>
    <n v="0"/>
    <n v="0"/>
    <n v="102"/>
    <s v="_x0000_US"/>
  </r>
  <r>
    <x v="1"/>
    <n v="13.683199999999999"/>
    <n v="-89.197199999999995"/>
    <n v="8550"/>
    <n v="0"/>
    <n v="0"/>
    <n v="102"/>
    <s v="_x0000_US"/>
  </r>
  <r>
    <x v="1"/>
    <n v="13.683199999999999"/>
    <n v="-89.197199999999995"/>
    <n v="8550"/>
    <n v="0"/>
    <n v="0"/>
    <n v="102"/>
    <s v="_x0000_US"/>
  </r>
  <r>
    <x v="1"/>
    <n v="13.683199999999999"/>
    <n v="-89.197199999999995"/>
    <n v="8550"/>
    <n v="0"/>
    <n v="0"/>
    <n v="102"/>
    <s v="_x0000_US"/>
  </r>
  <r>
    <x v="1"/>
    <n v="13.683199999999999"/>
    <n v="-89.197100000000006"/>
    <n v="8550"/>
    <n v="0"/>
    <n v="0"/>
    <n v="102"/>
    <s v="_x0000_US"/>
  </r>
  <r>
    <x v="1"/>
    <n v="13.683299999999999"/>
    <n v="-89.197100000000006"/>
    <n v="8550"/>
    <n v="0"/>
    <n v="0"/>
    <n v="102"/>
    <s v="_x0000_US"/>
  </r>
  <r>
    <x v="1"/>
    <n v="13.683299999999999"/>
    <n v="-89.197100000000006"/>
    <n v="8550"/>
    <n v="0"/>
    <n v="0"/>
    <n v="102"/>
    <s v="_x0000_US"/>
  </r>
  <r>
    <x v="1"/>
    <n v="13.6835"/>
    <n v="-89.197800000000001"/>
    <n v="8550"/>
    <n v="0"/>
    <n v="0"/>
    <n v="102"/>
    <s v="_x0000_US"/>
  </r>
  <r>
    <x v="1"/>
    <n v="13.6835"/>
    <n v="-89.197800000000001"/>
    <n v="8550"/>
    <n v="0"/>
    <n v="0"/>
    <n v="102"/>
    <s v="_x0000_US"/>
  </r>
  <r>
    <x v="1"/>
    <n v="13.6835"/>
    <n v="-89.197800000000001"/>
    <n v="8550"/>
    <n v="0"/>
    <n v="0"/>
    <n v="102"/>
    <s v="_x0000_US"/>
  </r>
  <r>
    <x v="1"/>
    <n v="13.6835"/>
    <n v="-89.197800000000001"/>
    <n v="8550"/>
    <n v="0"/>
    <n v="0"/>
    <n v="102"/>
    <s v="_x0000_US"/>
  </r>
  <r>
    <x v="1"/>
    <n v="13.6835"/>
    <n v="-89.197800000000001"/>
    <n v="8550"/>
    <n v="0"/>
    <n v="0"/>
    <n v="102"/>
    <s v="_x0000_US"/>
  </r>
  <r>
    <x v="1"/>
    <n v="13.6835"/>
    <n v="-89.197699999999998"/>
    <n v="8550"/>
    <n v="0"/>
    <n v="0"/>
    <n v="102"/>
    <s v="_x0000_US"/>
  </r>
  <r>
    <x v="1"/>
    <n v="13.6835"/>
    <n v="-89.197699999999998"/>
    <n v="8550"/>
    <n v="0"/>
    <n v="0"/>
    <n v="102"/>
    <s v="_x0000_US"/>
  </r>
  <r>
    <x v="1"/>
    <n v="13.6835"/>
    <n v="-89.197699999999998"/>
    <n v="8550"/>
    <n v="0"/>
    <n v="0"/>
    <n v="102"/>
    <s v="_x0000_US"/>
  </r>
  <r>
    <x v="1"/>
    <n v="13.6835"/>
    <n v="-89.197699999999998"/>
    <n v="8550"/>
    <n v="0"/>
    <n v="0"/>
    <n v="102"/>
    <s v="_x0000_US"/>
  </r>
  <r>
    <x v="1"/>
    <n v="13.6835"/>
    <n v="-89.197699999999998"/>
    <n v="8550"/>
    <n v="0"/>
    <n v="0"/>
    <n v="102"/>
    <s v="_x0000_US"/>
  </r>
  <r>
    <x v="1"/>
    <n v="13.6835"/>
    <n v="-89.197699999999998"/>
    <n v="8550"/>
    <n v="0"/>
    <n v="0"/>
    <n v="102"/>
    <s v="_x0000_US"/>
  </r>
  <r>
    <x v="1"/>
    <n v="13.6836"/>
    <n v="-89.197699999999998"/>
    <n v="8550"/>
    <n v="0"/>
    <n v="0"/>
    <n v="102"/>
    <s v="_x0000_US"/>
  </r>
  <r>
    <x v="1"/>
    <n v="13.6836"/>
    <n v="-89.197699999999998"/>
    <n v="8550"/>
    <n v="0"/>
    <n v="0"/>
    <n v="102"/>
    <s v="_x0000_US"/>
  </r>
  <r>
    <x v="1"/>
    <n v="13.6836"/>
    <n v="-89.197699999999998"/>
    <n v="8550"/>
    <n v="0"/>
    <n v="0"/>
    <n v="102"/>
    <s v="_x0000_US"/>
  </r>
  <r>
    <x v="1"/>
    <n v="13.6836"/>
    <n v="-89.197599999999994"/>
    <n v="8550"/>
    <n v="0"/>
    <n v="0"/>
    <n v="102"/>
    <s v="_x0000_US"/>
  </r>
  <r>
    <x v="1"/>
    <n v="13.6836"/>
    <n v="-89.197599999999994"/>
    <n v="8550"/>
    <n v="0"/>
    <n v="0"/>
    <n v="102"/>
    <s v="_x0000_US"/>
  </r>
  <r>
    <x v="1"/>
    <n v="13.6836"/>
    <n v="-89.197500000000005"/>
    <n v="8550"/>
    <n v="0"/>
    <n v="0"/>
    <n v="102"/>
    <s v="_x0000_US"/>
  </r>
  <r>
    <x v="1"/>
    <n v="13.6836"/>
    <n v="-89.197500000000005"/>
    <n v="8550"/>
    <n v="0"/>
    <n v="0"/>
    <n v="102"/>
    <s v="_x0000_US"/>
  </r>
  <r>
    <x v="1"/>
    <n v="13.6836"/>
    <n v="-89.197500000000005"/>
    <n v="8550"/>
    <n v="0"/>
    <n v="0"/>
    <n v="102"/>
    <s v="_x0000_US"/>
  </r>
  <r>
    <x v="1"/>
    <n v="13.6837"/>
    <n v="-89.197500000000005"/>
    <n v="8550"/>
    <n v="0"/>
    <n v="0"/>
    <n v="102"/>
    <s v="_x0000_US"/>
  </r>
  <r>
    <x v="1"/>
    <n v="13.6837"/>
    <n v="-89.197500000000005"/>
    <n v="8550"/>
    <n v="0"/>
    <n v="0"/>
    <n v="102"/>
    <s v="_x0000_US"/>
  </r>
  <r>
    <x v="1"/>
    <n v="13.6837"/>
    <n v="-89.197500000000005"/>
    <n v="8550"/>
    <n v="0"/>
    <n v="0"/>
    <n v="102"/>
    <s v="_x0000_US"/>
  </r>
  <r>
    <x v="1"/>
    <n v="13.6837"/>
    <n v="-89.197599999999994"/>
    <n v="8550"/>
    <n v="0"/>
    <n v="0"/>
    <n v="102"/>
    <s v="_x0000_US"/>
  </r>
  <r>
    <x v="1"/>
    <n v="13.6837"/>
    <n v="-89.197599999999994"/>
    <n v="8550"/>
    <n v="0"/>
    <n v="0"/>
    <n v="102"/>
    <s v="_x0000_US"/>
  </r>
  <r>
    <x v="1"/>
    <n v="13.6837"/>
    <n v="-89.197599999999994"/>
    <n v="8550"/>
    <n v="0"/>
    <n v="0"/>
    <n v="102"/>
    <s v="_x0000_US"/>
  </r>
  <r>
    <x v="1"/>
    <n v="13.683400000000001"/>
    <n v="-89.197800000000001"/>
    <n v="8550"/>
    <n v="0"/>
    <n v="0"/>
    <n v="102"/>
    <s v="_x0000_US"/>
  </r>
  <r>
    <x v="1"/>
    <n v="13.683400000000001"/>
    <n v="-89.197800000000001"/>
    <n v="8550"/>
    <n v="0"/>
    <n v="0"/>
    <n v="102"/>
    <s v="_x0000_US"/>
  </r>
  <r>
    <x v="1"/>
    <n v="13.683400000000001"/>
    <n v="-89.197800000000001"/>
    <n v="8550"/>
    <n v="0"/>
    <n v="0"/>
    <n v="102"/>
    <s v="_x0000_US"/>
  </r>
  <r>
    <x v="1"/>
    <n v="13.683400000000001"/>
    <n v="-89.197800000000001"/>
    <n v="8550"/>
    <n v="0"/>
    <n v="0"/>
    <n v="102"/>
    <s v="_x0000_US"/>
  </r>
  <r>
    <x v="1"/>
    <n v="13.683400000000001"/>
    <n v="-89.197800000000001"/>
    <n v="8550"/>
    <n v="0"/>
    <n v="0"/>
    <n v="102"/>
    <s v="_x0000_US"/>
  </r>
  <r>
    <x v="1"/>
    <n v="13.683400000000001"/>
    <n v="-89.197900000000004"/>
    <n v="8550"/>
    <n v="0"/>
    <n v="0"/>
    <n v="102"/>
    <s v="_x0000_US"/>
  </r>
  <r>
    <x v="1"/>
    <n v="13.683400000000001"/>
    <n v="-89.197900000000004"/>
    <n v="8550"/>
    <n v="0"/>
    <n v="0"/>
    <n v="102"/>
    <s v="_x0000_US"/>
  </r>
  <r>
    <x v="1"/>
    <n v="13.683400000000001"/>
    <n v="-89.197900000000004"/>
    <n v="8550"/>
    <n v="0"/>
    <n v="0"/>
    <n v="102"/>
    <s v="_x0000_US"/>
  </r>
  <r>
    <x v="1"/>
    <n v="13.683400000000001"/>
    <n v="-89.197900000000004"/>
    <n v="8550"/>
    <n v="0"/>
    <n v="0"/>
    <n v="102"/>
    <s v="_x0000_US"/>
  </r>
  <r>
    <x v="1"/>
    <n v="13.683400000000001"/>
    <n v="-89.197999999999993"/>
    <n v="8550"/>
    <n v="0"/>
    <n v="0"/>
    <n v="102"/>
    <s v="_x0000_US"/>
  </r>
  <r>
    <x v="1"/>
    <n v="13.683400000000001"/>
    <n v="-89.197999999999993"/>
    <n v="8550"/>
    <n v="0"/>
    <n v="0"/>
    <n v="102"/>
    <s v="_x0000_US"/>
  </r>
  <r>
    <x v="1"/>
    <n v="13.683400000000001"/>
    <n v="-89.197999999999993"/>
    <n v="8550"/>
    <n v="0"/>
    <n v="0"/>
    <n v="102"/>
    <s v="_x0000_US"/>
  </r>
  <r>
    <x v="1"/>
    <n v="13.683400000000001"/>
    <n v="-89.197999999999993"/>
    <n v="8550"/>
    <n v="0"/>
    <n v="0"/>
    <n v="102"/>
    <s v="_x0000_US"/>
  </r>
  <r>
    <x v="1"/>
    <n v="13.683299999999999"/>
    <n v="-89.197900000000004"/>
    <n v="8550"/>
    <n v="0"/>
    <n v="0"/>
    <n v="102"/>
    <s v="_x0000_US"/>
  </r>
  <r>
    <x v="1"/>
    <n v="13.683299999999999"/>
    <n v="-89.197900000000004"/>
    <n v="8550"/>
    <n v="0"/>
    <n v="0"/>
    <n v="102"/>
    <s v="_x0000_US"/>
  </r>
  <r>
    <x v="1"/>
    <n v="13.683299999999999"/>
    <n v="-89.197900000000004"/>
    <n v="8550"/>
    <n v="0"/>
    <n v="0"/>
    <n v="102"/>
    <s v="_x0000_US"/>
  </r>
  <r>
    <x v="1"/>
    <n v="13.683299999999999"/>
    <n v="-89.197900000000004"/>
    <n v="8550"/>
    <n v="0"/>
    <n v="0"/>
    <n v="102"/>
    <s v="_x0000_US"/>
  </r>
  <r>
    <x v="1"/>
    <n v="13.683299999999999"/>
    <n v="-89.197900000000004"/>
    <n v="8550"/>
    <n v="0"/>
    <n v="0"/>
    <n v="102"/>
    <s v="_x0000_US"/>
  </r>
  <r>
    <x v="1"/>
    <n v="13.683299999999999"/>
    <n v="-89.197900000000004"/>
    <n v="8550"/>
    <n v="0"/>
    <n v="0"/>
    <n v="102"/>
    <s v="_x0000_US"/>
  </r>
  <r>
    <x v="1"/>
    <n v="13.683299999999999"/>
    <n v="-89.197900000000004"/>
    <n v="8550"/>
    <n v="0"/>
    <n v="0"/>
    <n v="102"/>
    <s v="_x0000_US"/>
  </r>
  <r>
    <x v="1"/>
    <n v="13.683299999999999"/>
    <n v="-89.197900000000004"/>
    <n v="8550"/>
    <n v="0"/>
    <n v="0"/>
    <n v="102"/>
    <s v="_x0000_US"/>
  </r>
  <r>
    <x v="1"/>
    <n v="13.683299999999999"/>
    <n v="-89.197900000000004"/>
    <n v="8550"/>
    <n v="0"/>
    <n v="0"/>
    <n v="102"/>
    <s v="_x0000_US"/>
  </r>
  <r>
    <x v="1"/>
    <n v="13.683299999999999"/>
    <n v="-89.197900000000004"/>
    <n v="8550"/>
    <n v="0"/>
    <n v="0"/>
    <n v="102"/>
    <s v="_x0000_US"/>
  </r>
  <r>
    <x v="1"/>
    <n v="13.683299999999999"/>
    <n v="-89.198099999999997"/>
    <n v="8550"/>
    <n v="0"/>
    <n v="0"/>
    <n v="102"/>
    <s v="_x0000_US"/>
  </r>
  <r>
    <x v="1"/>
    <n v="13.683299999999999"/>
    <n v="-89.198099999999997"/>
    <n v="8550"/>
    <n v="0"/>
    <n v="0"/>
    <n v="102"/>
    <s v="_x0000_US"/>
  </r>
  <r>
    <x v="1"/>
    <n v="13.683299999999999"/>
    <n v="-89.198099999999997"/>
    <n v="8550"/>
    <n v="0"/>
    <n v="0"/>
    <n v="102"/>
    <s v="_x0000_US"/>
  </r>
  <r>
    <x v="1"/>
    <n v="13.683299999999999"/>
    <n v="-89.198099999999997"/>
    <n v="8550"/>
    <n v="0"/>
    <n v="0"/>
    <n v="102"/>
    <s v="_x0000_US"/>
  </r>
  <r>
    <x v="1"/>
    <n v="13.683199999999999"/>
    <n v="-89.1982"/>
    <n v="8550"/>
    <n v="0"/>
    <n v="0"/>
    <n v="102"/>
    <s v="_x0000_US"/>
  </r>
  <r>
    <x v="1"/>
    <n v="13.683199999999999"/>
    <n v="-89.1982"/>
    <n v="8550"/>
    <n v="0"/>
    <n v="0"/>
    <n v="102"/>
    <s v="_x0000_US"/>
  </r>
  <r>
    <x v="1"/>
    <n v="13.683199999999999"/>
    <n v="-89.1982"/>
    <n v="8550"/>
    <n v="0"/>
    <n v="0"/>
    <n v="102"/>
    <s v="_x0000_US"/>
  </r>
  <r>
    <x v="1"/>
    <n v="13.683199999999999"/>
    <n v="-89.1982"/>
    <n v="8550"/>
    <n v="0"/>
    <n v="0"/>
    <n v="102"/>
    <s v="_x0000_US"/>
  </r>
  <r>
    <x v="1"/>
    <n v="13.683199999999999"/>
    <n v="-89.198099999999997"/>
    <n v="8550"/>
    <n v="0"/>
    <n v="0"/>
    <n v="102"/>
    <s v="_x0000_US"/>
  </r>
  <r>
    <x v="1"/>
    <n v="13.683199999999999"/>
    <n v="-89.198099999999997"/>
    <n v="8550"/>
    <n v="0"/>
    <n v="0"/>
    <n v="102"/>
    <s v="_x0000_US"/>
  </r>
  <r>
    <x v="1"/>
    <n v="13.683199999999999"/>
    <n v="-89.198099999999997"/>
    <n v="8550"/>
    <n v="0"/>
    <n v="0"/>
    <n v="102"/>
    <s v="_x0000_US"/>
  </r>
  <r>
    <x v="1"/>
    <n v="13.683199999999999"/>
    <n v="-89.198099999999997"/>
    <n v="8550"/>
    <n v="0"/>
    <n v="0"/>
    <n v="102"/>
    <s v="_x0000_US"/>
  </r>
  <r>
    <x v="1"/>
    <n v="13.683199999999999"/>
    <n v="-89.197999999999993"/>
    <n v="8550"/>
    <n v="0"/>
    <n v="0"/>
    <n v="102"/>
    <s v="_x0000_US"/>
  </r>
  <r>
    <x v="1"/>
    <n v="13.683199999999999"/>
    <n v="-89.197999999999993"/>
    <n v="8550"/>
    <n v="0"/>
    <n v="0"/>
    <n v="102"/>
    <s v="_x0000_US"/>
  </r>
  <r>
    <x v="1"/>
    <n v="13.683199999999999"/>
    <n v="-89.197999999999993"/>
    <n v="8550"/>
    <n v="0"/>
    <n v="0"/>
    <n v="102"/>
    <s v="_x0000_US"/>
  </r>
  <r>
    <x v="1"/>
    <n v="13.683199999999999"/>
    <n v="-89.197999999999993"/>
    <n v="8550"/>
    <n v="0"/>
    <n v="0"/>
    <n v="102"/>
    <s v="_x0000_US"/>
  </r>
  <r>
    <x v="1"/>
    <n v="13.683"/>
    <n v="-89.197900000000004"/>
    <n v="8550"/>
    <n v="0"/>
    <n v="0"/>
    <n v="102"/>
    <s v="_x0000_US"/>
  </r>
  <r>
    <x v="1"/>
    <n v="13.683"/>
    <n v="-89.197900000000004"/>
    <n v="8550"/>
    <n v="0"/>
    <n v="0"/>
    <n v="102"/>
    <s v="_x0000_US"/>
  </r>
  <r>
    <x v="1"/>
    <n v="13.683"/>
    <n v="-89.197900000000004"/>
    <n v="8550"/>
    <n v="0"/>
    <n v="0"/>
    <n v="102"/>
    <s v="_x0000_US"/>
  </r>
  <r>
    <x v="1"/>
    <n v="13.6829"/>
    <n v="-89.197999999999993"/>
    <n v="8550"/>
    <n v="0"/>
    <n v="0"/>
    <n v="102"/>
    <s v="_x0000_US"/>
  </r>
  <r>
    <x v="1"/>
    <n v="13.6829"/>
    <n v="-89.197999999999993"/>
    <n v="8550"/>
    <n v="0"/>
    <n v="0"/>
    <n v="102"/>
    <s v="_x0000_US"/>
  </r>
  <r>
    <x v="1"/>
    <n v="13.6829"/>
    <n v="-89.197800000000001"/>
    <n v="8550"/>
    <n v="0"/>
    <n v="0"/>
    <n v="102"/>
    <s v="_x0000_US"/>
  </r>
  <r>
    <x v="1"/>
    <n v="13.6829"/>
    <n v="-89.197800000000001"/>
    <n v="8550"/>
    <n v="0"/>
    <n v="0"/>
    <n v="102"/>
    <s v="_x0000_US"/>
  </r>
  <r>
    <x v="1"/>
    <n v="13.6829"/>
    <n v="-89.197900000000004"/>
    <n v="8550"/>
    <n v="0"/>
    <n v="0"/>
    <n v="102"/>
    <s v="_x0000_US"/>
  </r>
  <r>
    <x v="1"/>
    <n v="13.6829"/>
    <n v="-89.197900000000004"/>
    <n v="8550"/>
    <n v="0"/>
    <n v="0"/>
    <n v="102"/>
    <s v="_x0000_US"/>
  </r>
  <r>
    <x v="1"/>
    <n v="13.6829"/>
    <n v="-89.197900000000004"/>
    <n v="8550"/>
    <n v="0"/>
    <n v="0"/>
    <n v="102"/>
    <s v="_x0000_US"/>
  </r>
  <r>
    <x v="1"/>
    <n v="13.682700000000001"/>
    <n v="-89.197800000000001"/>
    <n v="8550"/>
    <n v="0"/>
    <n v="0"/>
    <n v="102"/>
    <s v="_x0000_US"/>
  </r>
  <r>
    <x v="1"/>
    <n v="13.682700000000001"/>
    <n v="-89.197800000000001"/>
    <n v="8550"/>
    <n v="0"/>
    <n v="0"/>
    <n v="102"/>
    <s v="_x0000_US"/>
  </r>
  <r>
    <x v="1"/>
    <n v="13.682700000000001"/>
    <n v="-89.197800000000001"/>
    <n v="8550"/>
    <n v="0"/>
    <n v="0"/>
    <n v="102"/>
    <s v="_x0000_US"/>
  </r>
  <r>
    <x v="1"/>
    <n v="13.682600000000001"/>
    <n v="-89.197900000000004"/>
    <n v="8550"/>
    <n v="0"/>
    <n v="0"/>
    <n v="102"/>
    <s v="_x0000_US"/>
  </r>
  <r>
    <x v="1"/>
    <n v="13.682600000000001"/>
    <n v="-89.197900000000004"/>
    <n v="8550"/>
    <n v="0"/>
    <n v="0"/>
    <n v="102"/>
    <s v="_x0000_US"/>
  </r>
  <r>
    <x v="1"/>
    <n v="13.682600000000001"/>
    <n v="-89.197900000000004"/>
    <n v="8550"/>
    <n v="0"/>
    <n v="0"/>
    <n v="102"/>
    <s v="_x0000_US"/>
  </r>
  <r>
    <x v="1"/>
    <n v="13.682600000000001"/>
    <n v="-89.197800000000001"/>
    <n v="8550"/>
    <n v="0"/>
    <n v="0"/>
    <n v="102"/>
    <s v="_x0000_US"/>
  </r>
  <r>
    <x v="1"/>
    <n v="13.682600000000001"/>
    <n v="-89.197800000000001"/>
    <n v="8550"/>
    <n v="0"/>
    <n v="0"/>
    <n v="102"/>
    <s v="_x0000_US"/>
  </r>
  <r>
    <x v="1"/>
    <n v="13.682499999999999"/>
    <n v="-89.197800000000001"/>
    <n v="8550"/>
    <n v="0"/>
    <n v="0"/>
    <n v="102"/>
    <s v="_x0000_US"/>
  </r>
  <r>
    <x v="1"/>
    <n v="13.682499999999999"/>
    <n v="-89.197800000000001"/>
    <n v="8550"/>
    <n v="0"/>
    <n v="0"/>
    <n v="102"/>
    <s v="_x0000_US"/>
  </r>
  <r>
    <x v="1"/>
    <n v="13.682499999999999"/>
    <n v="-89.197599999999994"/>
    <n v="8550"/>
    <n v="0"/>
    <n v="0"/>
    <n v="102"/>
    <s v="_x0000_US"/>
  </r>
  <r>
    <x v="1"/>
    <n v="13.682499999999999"/>
    <n v="-89.197599999999994"/>
    <n v="8550"/>
    <n v="0"/>
    <n v="0"/>
    <n v="102"/>
    <s v="_x0000_US"/>
  </r>
  <r>
    <x v="1"/>
    <n v="13.682499999999999"/>
    <n v="-89.197599999999994"/>
    <n v="8550"/>
    <n v="0"/>
    <n v="0"/>
    <n v="102"/>
    <s v="_x0000_US"/>
  </r>
  <r>
    <x v="1"/>
    <n v="13.682499999999999"/>
    <n v="-89.197699999999998"/>
    <n v="8550"/>
    <n v="0"/>
    <n v="0"/>
    <n v="102"/>
    <s v="_x0000_US"/>
  </r>
  <r>
    <x v="1"/>
    <n v="13.682499999999999"/>
    <n v="-89.197699999999998"/>
    <n v="8550"/>
    <n v="0"/>
    <n v="0"/>
    <n v="102"/>
    <s v="_x0000_US"/>
  </r>
  <r>
    <x v="1"/>
    <n v="13.682499999999999"/>
    <n v="-89.197599999999994"/>
    <n v="8550"/>
    <n v="0"/>
    <n v="0"/>
    <n v="102"/>
    <s v="_x0000_US"/>
  </r>
  <r>
    <x v="1"/>
    <n v="13.682499999999999"/>
    <n v="-89.197599999999994"/>
    <n v="8550"/>
    <n v="0"/>
    <n v="0"/>
    <n v="102"/>
    <s v="_x0000_US"/>
  </r>
  <r>
    <x v="1"/>
    <n v="13.682499999999999"/>
    <n v="-89.197599999999994"/>
    <n v="8550"/>
    <n v="0"/>
    <n v="0"/>
    <n v="102"/>
    <s v="_x0000_US"/>
  </r>
  <r>
    <x v="1"/>
    <n v="13.682399999999999"/>
    <n v="-89.197599999999994"/>
    <n v="8550"/>
    <n v="0"/>
    <n v="0"/>
    <n v="102"/>
    <s v="_x0000_US"/>
  </r>
  <r>
    <x v="1"/>
    <n v="13.682399999999999"/>
    <n v="-89.197599999999994"/>
    <n v="8550"/>
    <n v="0"/>
    <n v="0"/>
    <n v="102"/>
    <s v="_x0000_US"/>
  </r>
  <r>
    <x v="1"/>
    <n v="13.682399999999999"/>
    <n v="-89.197599999999994"/>
    <n v="8550"/>
    <n v="0"/>
    <n v="0"/>
    <n v="102"/>
    <s v="_x0000_US"/>
  </r>
  <r>
    <x v="1"/>
    <n v="13.682499999999999"/>
    <n v="-89.197400000000002"/>
    <n v="8550"/>
    <n v="0"/>
    <n v="0"/>
    <n v="102"/>
    <s v="_x0000_US"/>
  </r>
  <r>
    <x v="1"/>
    <n v="13.682499999999999"/>
    <n v="-89.197400000000002"/>
    <n v="8550"/>
    <n v="0"/>
    <n v="0"/>
    <n v="102"/>
    <s v="_x0000_US"/>
  </r>
  <r>
    <x v="1"/>
    <n v="13.682499999999999"/>
    <n v="-89.197400000000002"/>
    <n v="8550"/>
    <n v="0"/>
    <n v="0"/>
    <n v="102"/>
    <s v="_x0000_US"/>
  </r>
  <r>
    <x v="1"/>
    <n v="13.682600000000001"/>
    <n v="-89.197400000000002"/>
    <n v="8550"/>
    <n v="0"/>
    <n v="0"/>
    <n v="102"/>
    <s v="_x0000_US"/>
  </r>
  <r>
    <x v="1"/>
    <n v="13.682600000000001"/>
    <n v="-89.197400000000002"/>
    <n v="8550"/>
    <n v="0"/>
    <n v="0"/>
    <n v="102"/>
    <s v="_x0000_US"/>
  </r>
  <r>
    <x v="1"/>
    <n v="13.682600000000001"/>
    <n v="-89.197400000000002"/>
    <n v="8550"/>
    <n v="0"/>
    <n v="0"/>
    <n v="102"/>
    <s v="_x0000_US"/>
  </r>
  <r>
    <x v="1"/>
    <n v="13.682600000000001"/>
    <n v="-89.197299999999998"/>
    <n v="8550"/>
    <n v="0"/>
    <n v="0"/>
    <n v="102"/>
    <s v="_x0000_US"/>
  </r>
  <r>
    <x v="1"/>
    <n v="13.682600000000001"/>
    <n v="-89.197299999999998"/>
    <n v="8550"/>
    <n v="0"/>
    <n v="0"/>
    <n v="102"/>
    <s v="_x0000_US"/>
  </r>
  <r>
    <x v="1"/>
    <n v="13.682600000000001"/>
    <n v="-89.197400000000002"/>
    <n v="8550"/>
    <n v="0"/>
    <n v="0"/>
    <n v="102"/>
    <s v="_x0000_US"/>
  </r>
  <r>
    <x v="1"/>
    <n v="13.682600000000001"/>
    <n v="-89.197400000000002"/>
    <n v="8550"/>
    <n v="0"/>
    <n v="0"/>
    <n v="102"/>
    <s v="_x0000_US"/>
  </r>
  <r>
    <x v="1"/>
    <n v="13.683400000000001"/>
    <n v="-89.196700000000007"/>
    <n v="8550"/>
    <n v="0"/>
    <n v="0"/>
    <n v="102"/>
    <s v="_x0000_US"/>
  </r>
  <r>
    <x v="1"/>
    <n v="13.6835"/>
    <n v="-89.196700000000007"/>
    <n v="8550"/>
    <n v="0"/>
    <n v="0"/>
    <n v="102"/>
    <s v="_x0000_US"/>
  </r>
  <r>
    <x v="1"/>
    <n v="13.6835"/>
    <n v="-89.196700000000007"/>
    <n v="8550"/>
    <n v="0"/>
    <n v="0"/>
    <n v="102"/>
    <s v="_x0000_US"/>
  </r>
  <r>
    <x v="1"/>
    <n v="13.6835"/>
    <n v="-89.197000000000003"/>
    <n v="8550"/>
    <n v="0"/>
    <n v="0"/>
    <n v="102"/>
    <s v="_x0000_US"/>
  </r>
  <r>
    <x v="1"/>
    <n v="13.6835"/>
    <n v="-89.197000000000003"/>
    <n v="8550"/>
    <n v="0"/>
    <n v="0"/>
    <n v="102"/>
    <s v="_x0000_US"/>
  </r>
  <r>
    <x v="1"/>
    <n v="13.6835"/>
    <n v="-89.197000000000003"/>
    <n v="8550"/>
    <n v="0"/>
    <n v="0"/>
    <n v="102"/>
    <s v="_x0000_US"/>
  </r>
  <r>
    <x v="1"/>
    <n v="13.683400000000001"/>
    <n v="-89.197100000000006"/>
    <n v="8550"/>
    <n v="0"/>
    <n v="0"/>
    <n v="102"/>
    <s v="_x0000_US"/>
  </r>
  <r>
    <x v="1"/>
    <n v="13.683400000000001"/>
    <n v="-89.197100000000006"/>
    <n v="8550"/>
    <n v="0"/>
    <n v="0"/>
    <n v="102"/>
    <s v="_x0000_US"/>
  </r>
  <r>
    <x v="1"/>
    <n v="13.683400000000001"/>
    <n v="-89.197100000000006"/>
    <n v="8550"/>
    <n v="0"/>
    <n v="0"/>
    <n v="102"/>
    <s v="_x0000_US"/>
  </r>
  <r>
    <x v="1"/>
    <n v="13.6836"/>
    <n v="-89.197100000000006"/>
    <n v="8550"/>
    <n v="0"/>
    <n v="0"/>
    <n v="102"/>
    <s v="_x0000_US"/>
  </r>
  <r>
    <x v="1"/>
    <n v="13.6836"/>
    <n v="-89.197100000000006"/>
    <n v="8550"/>
    <n v="0"/>
    <n v="0"/>
    <n v="102"/>
    <s v="_x0000_US"/>
  </r>
  <r>
    <x v="1"/>
    <n v="13.6836"/>
    <n v="-89.197100000000006"/>
    <n v="8550"/>
    <n v="0"/>
    <n v="0"/>
    <n v="102"/>
    <s v="_x0000_US"/>
  </r>
  <r>
    <x v="1"/>
    <n v="13.6835"/>
    <n v="-89.197199999999995"/>
    <n v="8550"/>
    <n v="0"/>
    <n v="0"/>
    <n v="102"/>
    <s v="_x0000_US"/>
  </r>
  <r>
    <x v="1"/>
    <n v="13.6835"/>
    <n v="-89.197199999999995"/>
    <n v="8550"/>
    <n v="0"/>
    <n v="0"/>
    <n v="102"/>
    <s v="_x0000_US"/>
  </r>
  <r>
    <x v="1"/>
    <n v="13.6835"/>
    <n v="-89.197199999999995"/>
    <n v="8550"/>
    <n v="0"/>
    <n v="0"/>
    <n v="102"/>
    <s v="_x0000_US"/>
  </r>
  <r>
    <x v="1"/>
    <n v="13.6837"/>
    <n v="-89.196600000000004"/>
    <n v="8550"/>
    <n v="0"/>
    <n v="0"/>
    <n v="102"/>
    <s v="_x0000_US"/>
  </r>
  <r>
    <x v="1"/>
    <n v="13.6836"/>
    <n v="-89.196600000000004"/>
    <n v="8550"/>
    <n v="0"/>
    <n v="0"/>
    <n v="102"/>
    <s v="_x0000_US"/>
  </r>
  <r>
    <x v="1"/>
    <n v="13.683199999999999"/>
    <n v="-89.196700000000007"/>
    <n v="14400"/>
    <n v="0"/>
    <n v="0"/>
    <n v="102"/>
    <s v="_x0000_US"/>
  </r>
  <r>
    <x v="1"/>
    <n v="13.6858"/>
    <n v="-89.193600000000004"/>
    <n v="12580"/>
    <n v="0"/>
    <n v="0"/>
    <n v="102"/>
    <s v="_x0000_US"/>
  </r>
  <r>
    <x v="1"/>
    <n v="13.6858"/>
    <n v="-89.193600000000004"/>
    <n v="12580"/>
    <n v="0"/>
    <n v="0"/>
    <n v="102"/>
    <s v="_x0000_US"/>
  </r>
  <r>
    <x v="1"/>
    <n v="13.685700000000001"/>
    <n v="-89.1935"/>
    <n v="12580"/>
    <n v="0"/>
    <n v="0"/>
    <n v="102"/>
    <s v="_x0000_US"/>
  </r>
  <r>
    <x v="1"/>
    <n v="13.685700000000001"/>
    <n v="-89.1935"/>
    <n v="12580"/>
    <n v="0"/>
    <n v="0"/>
    <n v="102"/>
    <s v="_x0000_US"/>
  </r>
  <r>
    <x v="1"/>
    <n v="13.6858"/>
    <n v="-89.1935"/>
    <n v="12580"/>
    <n v="0"/>
    <n v="0"/>
    <n v="102"/>
    <s v="_x0000_US"/>
  </r>
  <r>
    <x v="1"/>
    <n v="13.6858"/>
    <n v="-89.1935"/>
    <n v="12580"/>
    <n v="0"/>
    <n v="0"/>
    <n v="102"/>
    <s v="_x0000_US"/>
  </r>
  <r>
    <x v="1"/>
    <n v="13.6858"/>
    <n v="-89.1935"/>
    <n v="12580"/>
    <n v="0"/>
    <n v="0"/>
    <n v="102"/>
    <s v="_x0000_US"/>
  </r>
  <r>
    <x v="1"/>
    <n v="13.6859"/>
    <n v="-89.193799999999996"/>
    <n v="12580"/>
    <n v="0"/>
    <n v="0"/>
    <n v="102"/>
    <s v="_x0000_US"/>
  </r>
  <r>
    <x v="1"/>
    <n v="13.686"/>
    <n v="-89.193399999999997"/>
    <n v="12580"/>
    <n v="0"/>
    <n v="0"/>
    <n v="102"/>
    <s v="_x0000_US"/>
  </r>
  <r>
    <x v="1"/>
    <n v="13.686"/>
    <n v="-89.193299999999994"/>
    <n v="12580"/>
    <n v="0"/>
    <n v="0"/>
    <n v="102"/>
    <s v="_x0000_US"/>
  </r>
  <r>
    <x v="1"/>
    <n v="13.6859"/>
    <n v="-89.193399999999997"/>
    <n v="12580"/>
    <n v="0"/>
    <n v="0"/>
    <n v="102"/>
    <s v="_x0000_US"/>
  </r>
  <r>
    <x v="1"/>
    <n v="13.6858"/>
    <n v="-89.193399999999997"/>
    <n v="12580"/>
    <n v="0"/>
    <n v="0"/>
    <n v="102"/>
    <s v="_x0000_US"/>
  </r>
  <r>
    <x v="1"/>
    <n v="13.685700000000001"/>
    <n v="-89.194900000000004"/>
    <n v="9200"/>
    <n v="0"/>
    <n v="0"/>
    <n v="102"/>
    <s v="_x0000_US"/>
  </r>
  <r>
    <x v="1"/>
    <n v="13.685700000000001"/>
    <n v="-89.194800000000001"/>
    <n v="9200"/>
    <n v="0"/>
    <n v="0"/>
    <n v="102"/>
    <s v="_x0000_US"/>
  </r>
  <r>
    <x v="1"/>
    <n v="13.685700000000001"/>
    <n v="-89.194800000000001"/>
    <n v="9200"/>
    <n v="0"/>
    <n v="0"/>
    <n v="102"/>
    <s v="_x0000_US"/>
  </r>
  <r>
    <x v="1"/>
    <n v="13.685700000000001"/>
    <n v="-89.194800000000001"/>
    <n v="9200"/>
    <n v="0"/>
    <n v="0"/>
    <n v="102"/>
    <s v="_x0000_US"/>
  </r>
  <r>
    <x v="1"/>
    <n v="13.685700000000001"/>
    <n v="-89.194800000000001"/>
    <n v="9200"/>
    <n v="0"/>
    <n v="0"/>
    <n v="102"/>
    <s v="_x0000_US"/>
  </r>
  <r>
    <x v="1"/>
    <n v="13.685700000000001"/>
    <n v="-89.194699999999997"/>
    <n v="9200"/>
    <n v="0"/>
    <n v="0"/>
    <n v="102"/>
    <s v="_x0000_US"/>
  </r>
  <r>
    <x v="1"/>
    <n v="13.685700000000001"/>
    <n v="-89.194699999999997"/>
    <n v="9200"/>
    <n v="0"/>
    <n v="0"/>
    <n v="102"/>
    <s v="_x0000_US"/>
  </r>
  <r>
    <x v="1"/>
    <n v="13.685700000000001"/>
    <n v="-89.194599999999994"/>
    <n v="9200"/>
    <n v="0"/>
    <n v="0"/>
    <n v="102"/>
    <s v="_x0000_US"/>
  </r>
  <r>
    <x v="1"/>
    <n v="13.685700000000001"/>
    <n v="-89.194599999999994"/>
    <n v="9200"/>
    <n v="0"/>
    <n v="0"/>
    <n v="102"/>
    <s v="_x0000_US"/>
  </r>
  <r>
    <x v="1"/>
    <n v="13.685700000000001"/>
    <n v="-89.194699999999997"/>
    <n v="9200"/>
    <n v="0"/>
    <n v="0"/>
    <n v="102"/>
    <s v="_x0000_US"/>
  </r>
  <r>
    <x v="1"/>
    <n v="13.685700000000001"/>
    <n v="-89.194599999999994"/>
    <n v="9200"/>
    <n v="0"/>
    <n v="0"/>
    <n v="102"/>
    <s v="_x0000_US"/>
  </r>
  <r>
    <x v="1"/>
    <n v="13.685700000000001"/>
    <n v="-89.194599999999994"/>
    <n v="9200"/>
    <n v="0"/>
    <n v="0"/>
    <n v="102"/>
    <s v="_x0000_US"/>
  </r>
  <r>
    <x v="1"/>
    <n v="13.685700000000001"/>
    <n v="-89.194500000000005"/>
    <n v="9200"/>
    <n v="0"/>
    <n v="0"/>
    <n v="102"/>
    <s v="_x0000_US"/>
  </r>
  <r>
    <x v="1"/>
    <n v="13.685700000000001"/>
    <n v="-89.194500000000005"/>
    <n v="9200"/>
    <n v="0"/>
    <n v="0"/>
    <n v="102"/>
    <s v="_x0000_US"/>
  </r>
  <r>
    <x v="1"/>
    <n v="13.685600000000001"/>
    <n v="-89.194800000000001"/>
    <n v="9200"/>
    <n v="0"/>
    <n v="0"/>
    <n v="102"/>
    <s v="_x0000_US"/>
  </r>
  <r>
    <x v="1"/>
    <n v="13.685600000000001"/>
    <n v="-89.194800000000001"/>
    <n v="9200"/>
    <n v="0"/>
    <n v="0"/>
    <n v="102"/>
    <s v="_x0000_US"/>
  </r>
  <r>
    <x v="1"/>
    <n v="13.685600000000001"/>
    <n v="-89.194800000000001"/>
    <n v="9200"/>
    <n v="0"/>
    <n v="0"/>
    <n v="102"/>
    <s v="_x0000_US"/>
  </r>
  <r>
    <x v="1"/>
    <n v="13.685600000000001"/>
    <n v="-89.194800000000001"/>
    <n v="9200"/>
    <n v="0"/>
    <n v="0"/>
    <n v="102"/>
    <s v="_x0000_US"/>
  </r>
  <r>
    <x v="1"/>
    <n v="13.685600000000001"/>
    <n v="-89.194699999999997"/>
    <n v="9200"/>
    <n v="0"/>
    <n v="0"/>
    <n v="102"/>
    <s v="_x0000_US"/>
  </r>
  <r>
    <x v="1"/>
    <n v="13.685600000000001"/>
    <n v="-89.194699999999997"/>
    <n v="9200"/>
    <n v="0"/>
    <n v="0"/>
    <n v="102"/>
    <s v="_x0000_US"/>
  </r>
  <r>
    <x v="1"/>
    <n v="13.685600000000001"/>
    <n v="-89.194699999999997"/>
    <n v="9200"/>
    <n v="0"/>
    <n v="0"/>
    <n v="102"/>
    <s v="_x0000_US"/>
  </r>
  <r>
    <x v="1"/>
    <n v="13.685600000000001"/>
    <n v="-89.194699999999997"/>
    <n v="9200"/>
    <n v="0"/>
    <n v="0"/>
    <n v="102"/>
    <s v="_x0000_US"/>
  </r>
  <r>
    <x v="1"/>
    <n v="13.685600000000001"/>
    <n v="-89.194599999999994"/>
    <n v="9200"/>
    <n v="0"/>
    <n v="0"/>
    <n v="102"/>
    <s v="_x0000_US"/>
  </r>
  <r>
    <x v="1"/>
    <n v="13.685600000000001"/>
    <n v="-89.194599999999994"/>
    <n v="9200"/>
    <n v="0"/>
    <n v="0"/>
    <n v="102"/>
    <s v="_x0000_US"/>
  </r>
  <r>
    <x v="1"/>
    <n v="13.685600000000001"/>
    <n v="-89.194599999999994"/>
    <n v="9200"/>
    <n v="0"/>
    <n v="0"/>
    <n v="102"/>
    <s v="_x0000_US"/>
  </r>
  <r>
    <x v="1"/>
    <n v="13.685600000000001"/>
    <n v="-89.194599999999994"/>
    <n v="9200"/>
    <n v="0"/>
    <n v="0"/>
    <n v="102"/>
    <s v="_x0000_US"/>
  </r>
  <r>
    <x v="1"/>
    <n v="13.685600000000001"/>
    <n v="-89.194500000000005"/>
    <n v="9200"/>
    <n v="0"/>
    <n v="0"/>
    <n v="102"/>
    <s v="_x0000_US"/>
  </r>
  <r>
    <x v="1"/>
    <n v="13.685600000000001"/>
    <n v="-89.194500000000005"/>
    <n v="9200"/>
    <n v="0"/>
    <n v="0"/>
    <n v="102"/>
    <s v="_x0000_US"/>
  </r>
  <r>
    <x v="1"/>
    <n v="13.685499999999999"/>
    <n v="-89.194500000000005"/>
    <n v="9200"/>
    <n v="0"/>
    <n v="0"/>
    <n v="102"/>
    <s v="_x0000_US"/>
  </r>
  <r>
    <x v="1"/>
    <n v="13.685499999999999"/>
    <n v="-89.194500000000005"/>
    <n v="9200"/>
    <n v="0"/>
    <n v="0"/>
    <n v="102"/>
    <s v="_x0000_US"/>
  </r>
  <r>
    <x v="1"/>
    <n v="13.685499999999999"/>
    <n v="-89.194599999999994"/>
    <n v="9200"/>
    <n v="0"/>
    <n v="0"/>
    <n v="102"/>
    <s v="_x0000_US"/>
  </r>
  <r>
    <x v="1"/>
    <n v="13.685499999999999"/>
    <n v="-89.194599999999994"/>
    <n v="9200"/>
    <n v="0"/>
    <n v="0"/>
    <n v="102"/>
    <s v="_x0000_US"/>
  </r>
  <r>
    <x v="1"/>
    <n v="13.685499999999999"/>
    <n v="-89.194599999999994"/>
    <n v="9200"/>
    <n v="0"/>
    <n v="0"/>
    <n v="102"/>
    <s v="_x0000_US"/>
  </r>
  <r>
    <x v="1"/>
    <n v="13.685499999999999"/>
    <n v="-89.194599999999994"/>
    <n v="9200"/>
    <n v="0"/>
    <n v="0"/>
    <n v="102"/>
    <s v="_x0000_US"/>
  </r>
  <r>
    <x v="1"/>
    <n v="13.685499999999999"/>
    <n v="-89.194699999999997"/>
    <n v="9200"/>
    <n v="0"/>
    <n v="0"/>
    <n v="102"/>
    <s v="_x0000_US"/>
  </r>
  <r>
    <x v="1"/>
    <n v="13.685499999999999"/>
    <n v="-89.194800000000001"/>
    <n v="9200"/>
    <n v="0"/>
    <n v="0"/>
    <n v="102"/>
    <s v="_x0000_US"/>
  </r>
  <r>
    <x v="1"/>
    <n v="13.685499999999999"/>
    <n v="-89.194699999999997"/>
    <n v="9200"/>
    <n v="0"/>
    <n v="0"/>
    <n v="102"/>
    <s v="_x0000_US"/>
  </r>
  <r>
    <x v="1"/>
    <n v="13.685499999999999"/>
    <n v="-89.194800000000001"/>
    <n v="9200"/>
    <n v="0"/>
    <n v="0"/>
    <n v="102"/>
    <s v="_x0000_US"/>
  </r>
  <r>
    <x v="1"/>
    <n v="13.685499999999999"/>
    <n v="-89.194800000000001"/>
    <n v="9200"/>
    <n v="0"/>
    <n v="0"/>
    <n v="102"/>
    <s v="_x0000_US"/>
  </r>
  <r>
    <x v="1"/>
    <n v="13.685499999999999"/>
    <n v="-89.194800000000001"/>
    <n v="9200"/>
    <n v="0"/>
    <n v="0"/>
    <n v="102"/>
    <s v="_x0000_US"/>
  </r>
  <r>
    <x v="1"/>
    <n v="13.685499999999999"/>
    <n v="-89.194699999999997"/>
    <n v="9200"/>
    <n v="0"/>
    <n v="0"/>
    <n v="102"/>
    <s v="_x0000_US"/>
  </r>
  <r>
    <x v="1"/>
    <n v="13.685499999999999"/>
    <n v="-89.194699999999997"/>
    <n v="9200"/>
    <n v="0"/>
    <n v="0"/>
    <n v="102"/>
    <s v="_x0000_US"/>
  </r>
  <r>
    <x v="1"/>
    <n v="13.685499999999999"/>
    <n v="-89.194800000000001"/>
    <n v="9200"/>
    <n v="0"/>
    <n v="0"/>
    <n v="102"/>
    <s v="_x0000_US"/>
  </r>
  <r>
    <x v="1"/>
    <n v="13.685499999999999"/>
    <n v="-89.194800000000001"/>
    <n v="9200"/>
    <n v="0"/>
    <n v="0"/>
    <n v="102"/>
    <s v="_x0000_US"/>
  </r>
  <r>
    <x v="1"/>
    <n v="13.685499999999999"/>
    <n v="-89.194900000000004"/>
    <n v="9200"/>
    <n v="0"/>
    <n v="0"/>
    <n v="102"/>
    <s v="_x0000_US"/>
  </r>
  <r>
    <x v="1"/>
    <n v="13.685499999999999"/>
    <n v="-89.194900000000004"/>
    <n v="9200"/>
    <n v="0"/>
    <n v="0"/>
    <n v="102"/>
    <s v="_x0000_US"/>
  </r>
  <r>
    <x v="1"/>
    <n v="13.685499999999999"/>
    <n v="-89.194699999999997"/>
    <n v="9200"/>
    <n v="0"/>
    <n v="0"/>
    <n v="102"/>
    <s v="_x0000_US"/>
  </r>
  <r>
    <x v="1"/>
    <n v="13.685499999999999"/>
    <n v="-89.194699999999997"/>
    <n v="9200"/>
    <n v="0"/>
    <n v="0"/>
    <n v="102"/>
    <s v="_x0000_US"/>
  </r>
  <r>
    <x v="1"/>
    <n v="13.6854"/>
    <n v="-89.194599999999994"/>
    <n v="9200"/>
    <n v="0"/>
    <n v="0"/>
    <n v="102"/>
    <s v="_x0000_US"/>
  </r>
  <r>
    <x v="1"/>
    <n v="13.6854"/>
    <n v="-89.194599999999994"/>
    <n v="9200"/>
    <n v="0"/>
    <n v="0"/>
    <n v="102"/>
    <s v="_x0000_US"/>
  </r>
  <r>
    <x v="1"/>
    <n v="13.685499999999999"/>
    <n v="-89.194599999999994"/>
    <n v="9200"/>
    <n v="0"/>
    <n v="0"/>
    <n v="102"/>
    <s v="_x0000_US"/>
  </r>
  <r>
    <x v="1"/>
    <n v="13.685499999999999"/>
    <n v="-89.194599999999994"/>
    <n v="9200"/>
    <n v="0"/>
    <n v="0"/>
    <n v="102"/>
    <s v="_x0000_US"/>
  </r>
  <r>
    <x v="1"/>
    <n v="13.685499999999999"/>
    <n v="-89.194900000000004"/>
    <n v="9200"/>
    <n v="0"/>
    <n v="0"/>
    <n v="102"/>
    <s v="_x0000_US"/>
  </r>
  <r>
    <x v="1"/>
    <n v="13.6854"/>
    <n v="-89.194999999999993"/>
    <n v="9200"/>
    <n v="0"/>
    <n v="0"/>
    <n v="102"/>
    <s v="_x0000_US"/>
  </r>
  <r>
    <x v="1"/>
    <n v="13.685499999999999"/>
    <n v="-89.194999999999993"/>
    <n v="9200"/>
    <n v="0"/>
    <n v="0"/>
    <n v="102"/>
    <s v="_x0000_US"/>
  </r>
  <r>
    <x v="1"/>
    <n v="13.685499999999999"/>
    <n v="-89.194999999999993"/>
    <n v="9200"/>
    <n v="0"/>
    <n v="0"/>
    <n v="102"/>
    <s v="_x0000_US"/>
  </r>
  <r>
    <x v="1"/>
    <n v="13.685600000000001"/>
    <n v="-89.194999999999993"/>
    <n v="9200"/>
    <n v="0"/>
    <n v="0"/>
    <n v="102"/>
    <s v="_x0000_US"/>
  </r>
  <r>
    <x v="1"/>
    <n v="13.685600000000001"/>
    <n v="-89.194999999999993"/>
    <n v="9200"/>
    <n v="0"/>
    <n v="0"/>
    <n v="102"/>
    <s v="_x0000_US"/>
  </r>
  <r>
    <x v="1"/>
    <n v="13.685499999999999"/>
    <n v="-89.194900000000004"/>
    <n v="9200"/>
    <n v="0"/>
    <n v="0"/>
    <n v="102"/>
    <s v="_x0000_US"/>
  </r>
  <r>
    <x v="1"/>
    <n v="13.685499999999999"/>
    <n v="-89.194900000000004"/>
    <n v="9200"/>
    <n v="0"/>
    <n v="0"/>
    <n v="102"/>
    <s v="_x0000_US"/>
  </r>
  <r>
    <x v="1"/>
    <n v="13.685600000000001"/>
    <n v="-89.194900000000004"/>
    <n v="9200"/>
    <n v="0"/>
    <n v="0"/>
    <n v="102"/>
    <s v="_x0000_US"/>
  </r>
  <r>
    <x v="1"/>
    <n v="13.685600000000001"/>
    <n v="-89.194900000000004"/>
    <n v="9200"/>
    <n v="0"/>
    <n v="0"/>
    <n v="102"/>
    <s v="_x0000_US"/>
  </r>
  <r>
    <x v="1"/>
    <n v="13.685600000000001"/>
    <n v="-89.194999999999993"/>
    <n v="9200"/>
    <n v="0"/>
    <n v="0"/>
    <n v="102"/>
    <s v="_x0000_US"/>
  </r>
  <r>
    <x v="1"/>
    <n v="13.685600000000001"/>
    <n v="-89.194999999999993"/>
    <n v="9200"/>
    <n v="0"/>
    <n v="0"/>
    <n v="102"/>
    <s v="_x0000_US"/>
  </r>
  <r>
    <x v="1"/>
    <n v="13.685700000000001"/>
    <n v="-89.194999999999993"/>
    <n v="9200"/>
    <n v="0"/>
    <n v="0"/>
    <n v="102"/>
    <s v="_x0000_US"/>
  </r>
  <r>
    <x v="1"/>
    <n v="13.685700000000001"/>
    <n v="-89.194999999999993"/>
    <n v="9200"/>
    <n v="0"/>
    <n v="0"/>
    <n v="102"/>
    <s v="_x0000_US"/>
  </r>
  <r>
    <x v="1"/>
    <n v="13.685700000000001"/>
    <n v="-89.194999999999993"/>
    <n v="9200"/>
    <n v="0"/>
    <n v="0"/>
    <n v="102"/>
    <s v="_x0000_US"/>
  </r>
  <r>
    <x v="1"/>
    <n v="13.685700000000001"/>
    <n v="-89.194999999999993"/>
    <n v="9200"/>
    <n v="0"/>
    <n v="0"/>
    <n v="102"/>
    <s v="_x0000_US"/>
  </r>
  <r>
    <x v="1"/>
    <n v="13.685700000000001"/>
    <n v="-89.194900000000004"/>
    <n v="9200"/>
    <n v="0"/>
    <n v="0"/>
    <n v="102"/>
    <s v="_x0000_US"/>
  </r>
  <r>
    <x v="1"/>
    <n v="13.685700000000001"/>
    <n v="-89.194900000000004"/>
    <n v="9200"/>
    <n v="0"/>
    <n v="0"/>
    <n v="102"/>
    <s v="_x0000_US"/>
  </r>
  <r>
    <x v="1"/>
    <n v="13.6858"/>
    <n v="-89.194699999999997"/>
    <n v="9200"/>
    <n v="0"/>
    <n v="0"/>
    <n v="102"/>
    <s v="_x0000_US"/>
  </r>
  <r>
    <x v="1"/>
    <n v="13.6858"/>
    <n v="-89.194699999999997"/>
    <n v="9200"/>
    <n v="0"/>
    <n v="0"/>
    <n v="102"/>
    <s v="_x0000_US"/>
  </r>
  <r>
    <x v="1"/>
    <n v="13.6858"/>
    <n v="-89.194599999999994"/>
    <n v="9200"/>
    <n v="0"/>
    <n v="0"/>
    <n v="102"/>
    <s v="_x0000_US"/>
  </r>
  <r>
    <x v="1"/>
    <n v="13.6858"/>
    <n v="-89.194400000000002"/>
    <n v="8550"/>
    <n v="0"/>
    <n v="0"/>
    <n v="102"/>
    <s v="_x0000_US"/>
  </r>
  <r>
    <x v="1"/>
    <n v="13.6858"/>
    <n v="-89.194400000000002"/>
    <n v="8550"/>
    <n v="0"/>
    <n v="0"/>
    <n v="102"/>
    <s v="_x0000_US"/>
  </r>
  <r>
    <x v="1"/>
    <n v="13.6858"/>
    <n v="-89.194299999999998"/>
    <n v="8550"/>
    <n v="0"/>
    <n v="0"/>
    <n v="102"/>
    <s v="_x0000_US"/>
  </r>
  <r>
    <x v="1"/>
    <n v="13.6858"/>
    <n v="-89.194299999999998"/>
    <n v="8550"/>
    <n v="0"/>
    <n v="0"/>
    <n v="102"/>
    <s v="_x0000_US"/>
  </r>
  <r>
    <x v="1"/>
    <n v="13.6858"/>
    <n v="-89.194299999999998"/>
    <n v="8550"/>
    <n v="0"/>
    <n v="0"/>
    <n v="102"/>
    <s v="_x0000_US"/>
  </r>
  <r>
    <x v="1"/>
    <n v="13.685600000000001"/>
    <n v="-89.193399999999997"/>
    <n v="18300"/>
    <n v="0"/>
    <n v="0"/>
    <n v="102"/>
    <s v="_x0000_US"/>
  </r>
  <r>
    <x v="1"/>
    <n v="13.686"/>
    <n v="-89.193200000000004"/>
    <n v="18300"/>
    <n v="0"/>
    <n v="0"/>
    <n v="102"/>
    <s v="_x0000_US"/>
  </r>
  <r>
    <x v="1"/>
    <n v="13.686"/>
    <n v="-89.193100000000001"/>
    <n v="18300"/>
    <n v="0"/>
    <n v="0"/>
    <n v="102"/>
    <s v="_x0000_US"/>
  </r>
  <r>
    <x v="1"/>
    <n v="13.6859"/>
    <n v="-89.193100000000001"/>
    <n v="18300"/>
    <n v="0"/>
    <n v="0"/>
    <n v="102"/>
    <s v="_x0000_US"/>
  </r>
  <r>
    <x v="1"/>
    <n v="13.685700000000001"/>
    <n v="-89.193200000000004"/>
    <n v="18300"/>
    <n v="0"/>
    <n v="0"/>
    <n v="102"/>
    <s v="_x0000_US"/>
  </r>
  <r>
    <x v="1"/>
    <n v="13.685700000000001"/>
    <n v="-89.192899999999995"/>
    <n v="18300"/>
    <n v="0"/>
    <n v="0"/>
    <n v="102"/>
    <s v="_x0000_US"/>
  </r>
  <r>
    <x v="1"/>
    <n v="13.685600000000001"/>
    <n v="-89.192800000000005"/>
    <n v="18300"/>
    <n v="0"/>
    <n v="0"/>
    <n v="102"/>
    <s v="_x0000_US"/>
  </r>
  <r>
    <x v="1"/>
    <n v="13.685600000000001"/>
    <n v="-89.192999999999998"/>
    <n v="18300"/>
    <n v="0"/>
    <n v="0"/>
    <n v="102"/>
    <s v="_x0000_US"/>
  </r>
  <r>
    <x v="1"/>
    <n v="13.685700000000001"/>
    <n v="-89.193100000000001"/>
    <n v="18300"/>
    <n v="0"/>
    <n v="0"/>
    <n v="102"/>
    <s v="_x0000_US"/>
  </r>
  <r>
    <x v="1"/>
    <n v="13.685700000000001"/>
    <n v="-89.193100000000001"/>
    <n v="18300"/>
    <n v="0"/>
    <n v="0"/>
    <n v="102"/>
    <s v="_x0000_US"/>
  </r>
  <r>
    <x v="1"/>
    <n v="13.685700000000001"/>
    <n v="-89.193100000000001"/>
    <n v="18300"/>
    <n v="0"/>
    <n v="0"/>
    <n v="102"/>
    <s v="_x0000_US"/>
  </r>
  <r>
    <x v="1"/>
    <n v="13.685700000000001"/>
    <n v="-89.193100000000001"/>
    <n v="18300"/>
    <n v="0"/>
    <n v="0"/>
    <n v="102"/>
    <s v="_x0000_US"/>
  </r>
  <r>
    <x v="1"/>
    <n v="13.685700000000001"/>
    <n v="-89.193100000000001"/>
    <n v="18300"/>
    <n v="0"/>
    <n v="0"/>
    <n v="102"/>
    <s v="_x0000_US"/>
  </r>
  <r>
    <x v="1"/>
    <n v="13.685700000000001"/>
    <n v="-89.193100000000001"/>
    <n v="18300"/>
    <n v="0"/>
    <n v="0"/>
    <n v="102"/>
    <s v="_x0000_US"/>
  </r>
  <r>
    <x v="1"/>
    <n v="13.685700000000001"/>
    <n v="-89.193200000000004"/>
    <n v="18300"/>
    <n v="0"/>
    <n v="0"/>
    <n v="102"/>
    <s v="_x0000_US"/>
  </r>
  <r>
    <x v="1"/>
    <n v="13.685700000000001"/>
    <n v="-89.193100000000001"/>
    <n v="18300"/>
    <n v="0"/>
    <n v="0"/>
    <n v="102"/>
    <s v="_x0000_US"/>
  </r>
  <r>
    <x v="1"/>
    <n v="13.685700000000001"/>
    <n v="-89.193100000000001"/>
    <n v="18300"/>
    <n v="0"/>
    <n v="0"/>
    <n v="102"/>
    <s v="_x0000_US"/>
  </r>
  <r>
    <x v="1"/>
    <n v="13.685600000000001"/>
    <n v="-89.193200000000004"/>
    <n v="18300"/>
    <n v="0"/>
    <n v="0"/>
    <n v="102"/>
    <s v="_x0000_US"/>
  </r>
  <r>
    <x v="1"/>
    <n v="13.685600000000001"/>
    <n v="-89.193100000000001"/>
    <n v="18300"/>
    <n v="0"/>
    <n v="0"/>
    <n v="102"/>
    <s v="_x0000_US"/>
  </r>
  <r>
    <x v="1"/>
    <n v="13.685600000000001"/>
    <n v="-89.193100000000001"/>
    <n v="18300"/>
    <n v="0"/>
    <n v="0"/>
    <n v="102"/>
    <s v="_x0000_US"/>
  </r>
  <r>
    <x v="1"/>
    <n v="13.685600000000001"/>
    <n v="-89.193100000000001"/>
    <n v="18300"/>
    <n v="0"/>
    <n v="0"/>
    <n v="102"/>
    <s v="_x0000_US"/>
  </r>
  <r>
    <x v="1"/>
    <n v="13.685700000000001"/>
    <n v="-89.193100000000001"/>
    <n v="18300"/>
    <n v="0"/>
    <n v="0"/>
    <n v="102"/>
    <s v="_x0000_US"/>
  </r>
  <r>
    <x v="1"/>
    <n v="13.685499999999999"/>
    <n v="-89.193200000000004"/>
    <n v="18300"/>
    <n v="0"/>
    <n v="0"/>
    <n v="102"/>
    <s v="_x0000_US"/>
  </r>
  <r>
    <x v="1"/>
    <n v="13.685499999999999"/>
    <n v="-89.193100000000001"/>
    <n v="18300"/>
    <n v="0"/>
    <n v="0"/>
    <n v="102"/>
    <s v="_x0000_US"/>
  </r>
  <r>
    <x v="1"/>
    <n v="13.685499999999999"/>
    <n v="-89.192999999999998"/>
    <n v="18300"/>
    <n v="0"/>
    <n v="0"/>
    <n v="102"/>
    <s v="_x0000_US"/>
  </r>
  <r>
    <x v="1"/>
    <n v="13.685600000000001"/>
    <n v="-89.192999999999998"/>
    <n v="18300"/>
    <n v="0"/>
    <n v="0"/>
    <n v="102"/>
    <s v="_x0000_US"/>
  </r>
  <r>
    <x v="1"/>
    <n v="13.685600000000001"/>
    <n v="-89.192899999999995"/>
    <n v="18300"/>
    <n v="0"/>
    <n v="0"/>
    <n v="102"/>
    <s v="_x0000_US"/>
  </r>
  <r>
    <x v="1"/>
    <n v="13.685499999999999"/>
    <n v="-89.192899999999995"/>
    <n v="18300"/>
    <n v="0"/>
    <n v="0"/>
    <n v="102"/>
    <s v="_x0000_US"/>
  </r>
  <r>
    <x v="1"/>
    <n v="13.685499999999999"/>
    <n v="-89.192899999999995"/>
    <n v="18300"/>
    <n v="0"/>
    <n v="0"/>
    <n v="102"/>
    <s v="_x0000_US"/>
  </r>
  <r>
    <x v="1"/>
    <n v="13.685499999999999"/>
    <n v="-89.192800000000005"/>
    <n v="18300"/>
    <n v="0"/>
    <n v="0"/>
    <n v="102"/>
    <s v="_x0000_US"/>
  </r>
  <r>
    <x v="1"/>
    <n v="13.6854"/>
    <n v="-89.192899999999995"/>
    <n v="18300"/>
    <n v="0"/>
    <n v="0"/>
    <n v="102"/>
    <s v="_x0000_US"/>
  </r>
  <r>
    <x v="1"/>
    <n v="13.686199999999999"/>
    <n v="-89.192099999999996"/>
    <n v="18300"/>
    <n v="0"/>
    <n v="0"/>
    <n v="102"/>
    <s v="_x0000_US"/>
  </r>
  <r>
    <x v="1"/>
    <n v="13.686299999999999"/>
    <n v="-89.191699999999997"/>
    <n v="18300"/>
    <n v="0"/>
    <n v="0"/>
    <n v="102"/>
    <s v="_x0000_US"/>
  </r>
  <r>
    <x v="1"/>
    <n v="13.6861"/>
    <n v="-89.191999999999993"/>
    <n v="18300"/>
    <n v="0"/>
    <n v="0"/>
    <n v="102"/>
    <s v="_x0000_US"/>
  </r>
  <r>
    <x v="1"/>
    <n v="13.6859"/>
    <n v="-89.192899999999995"/>
    <n v="18300"/>
    <n v="0"/>
    <n v="0"/>
    <n v="102"/>
    <s v="_x0000_US"/>
  </r>
  <r>
    <x v="1"/>
    <n v="13.6859"/>
    <n v="-89.192800000000005"/>
    <n v="18300"/>
    <n v="0"/>
    <n v="0"/>
    <n v="102"/>
    <s v="_x0000_US"/>
  </r>
  <r>
    <x v="1"/>
    <n v="13.685700000000001"/>
    <n v="-89.192800000000005"/>
    <n v="18300"/>
    <n v="0"/>
    <n v="0"/>
    <n v="102"/>
    <s v="_x0000_US"/>
  </r>
  <r>
    <x v="1"/>
    <n v="13.685700000000001"/>
    <n v="-89.192499999999995"/>
    <n v="18300"/>
    <n v="0"/>
    <n v="0"/>
    <n v="102"/>
    <s v="_x0000_US"/>
  </r>
  <r>
    <x v="1"/>
    <n v="13.685700000000001"/>
    <n v="-89.192400000000006"/>
    <n v="18300"/>
    <n v="0"/>
    <n v="0"/>
    <n v="102"/>
    <s v="_x0000_US"/>
  </r>
  <r>
    <x v="1"/>
    <n v="13.6859"/>
    <n v="-89.192599999999999"/>
    <n v="18300"/>
    <n v="0"/>
    <n v="0"/>
    <n v="102"/>
    <s v="_x0000_US"/>
  </r>
  <r>
    <x v="1"/>
    <n v="13.6859"/>
    <n v="-89.192499999999995"/>
    <n v="18300"/>
    <n v="0"/>
    <n v="0"/>
    <n v="102"/>
    <s v="_x0000_US"/>
  </r>
  <r>
    <x v="1"/>
    <n v="13.6859"/>
    <n v="-89.192599999999999"/>
    <n v="18300"/>
    <n v="0"/>
    <n v="0"/>
    <n v="102"/>
    <s v="_x0000_US"/>
  </r>
  <r>
    <x v="1"/>
    <n v="13.6859"/>
    <n v="-89.192700000000002"/>
    <n v="18300"/>
    <n v="0"/>
    <n v="0"/>
    <n v="102"/>
    <s v="_x0000_US"/>
  </r>
  <r>
    <x v="1"/>
    <n v="13.6859"/>
    <n v="-89.193100000000001"/>
    <n v="18300"/>
    <n v="0"/>
    <n v="0"/>
    <n v="102"/>
    <s v="_x0000_US"/>
  </r>
  <r>
    <x v="1"/>
    <n v="13.686"/>
    <n v="-89.192400000000006"/>
    <n v="18300"/>
    <n v="0"/>
    <n v="0"/>
    <n v="102"/>
    <s v="_x0000_US"/>
  </r>
  <r>
    <x v="1"/>
    <n v="13.686"/>
    <n v="-89.192400000000006"/>
    <n v="18300"/>
    <n v="0"/>
    <n v="0"/>
    <n v="102"/>
    <s v="_x0000_US"/>
  </r>
  <r>
    <x v="1"/>
    <n v="13.686"/>
    <n v="-89.192999999999998"/>
    <n v="18300"/>
    <n v="0"/>
    <n v="0"/>
    <n v="102"/>
    <s v="_x0000_US"/>
  </r>
  <r>
    <x v="1"/>
    <n v="13.686"/>
    <n v="-89.192999999999998"/>
    <n v="18300"/>
    <n v="0"/>
    <n v="0"/>
    <n v="102"/>
    <s v="_x0000_US"/>
  </r>
  <r>
    <x v="1"/>
    <n v="13.6854"/>
    <n v="-89.192800000000005"/>
    <n v="18300"/>
    <n v="0"/>
    <n v="0"/>
    <n v="102"/>
    <s v="_x0000_US"/>
  </r>
  <r>
    <x v="1"/>
    <n v="13.685499999999999"/>
    <n v="-89.192700000000002"/>
    <n v="18300"/>
    <n v="0"/>
    <n v="0"/>
    <n v="102"/>
    <s v="_x0000_US"/>
  </r>
  <r>
    <x v="1"/>
    <n v="13.685499999999999"/>
    <n v="-89.192700000000002"/>
    <n v="18300"/>
    <n v="0"/>
    <n v="0"/>
    <n v="102"/>
    <s v="_x0000_US"/>
  </r>
  <r>
    <x v="1"/>
    <n v="13.685600000000001"/>
    <n v="-89.192700000000002"/>
    <n v="18300"/>
    <n v="0"/>
    <n v="0"/>
    <n v="102"/>
    <s v="_x0000_US"/>
  </r>
  <r>
    <x v="1"/>
    <n v="13.685700000000001"/>
    <n v="-89.192700000000002"/>
    <n v="18300"/>
    <n v="0"/>
    <n v="0"/>
    <n v="102"/>
    <s v="_x0000_US"/>
  </r>
  <r>
    <x v="1"/>
    <n v="13.685600000000001"/>
    <n v="-89.192499999999995"/>
    <n v="18300"/>
    <n v="0"/>
    <n v="0"/>
    <n v="102"/>
    <s v="_x0000_US"/>
  </r>
  <r>
    <x v="1"/>
    <n v="13.685499999999999"/>
    <n v="-89.192599999999999"/>
    <n v="18300"/>
    <n v="0"/>
    <n v="0"/>
    <n v="102"/>
    <s v="_x0000_US"/>
  </r>
  <r>
    <x v="1"/>
    <n v="13.685499999999999"/>
    <n v="-89.192599999999999"/>
    <n v="18300"/>
    <n v="0"/>
    <n v="0"/>
    <n v="102"/>
    <s v="_x0000_US"/>
  </r>
  <r>
    <x v="1"/>
    <n v="13.685499999999999"/>
    <n v="-89.192300000000003"/>
    <n v="18300"/>
    <n v="0"/>
    <n v="0"/>
    <n v="102"/>
    <s v="_x0000_US"/>
  </r>
  <r>
    <x v="1"/>
    <n v="13.685499999999999"/>
    <n v="-89.192300000000003"/>
    <n v="18300"/>
    <n v="0"/>
    <n v="0"/>
    <n v="102"/>
    <s v="_x0000_US"/>
  </r>
  <r>
    <x v="1"/>
    <n v="13.685499999999999"/>
    <n v="-89.191999999999993"/>
    <n v="18300"/>
    <n v="0"/>
    <n v="0"/>
    <n v="102"/>
    <s v="_x0000_US"/>
  </r>
  <r>
    <x v="1"/>
    <n v="13.6854"/>
    <n v="-89.191999999999993"/>
    <n v="18300"/>
    <n v="0"/>
    <n v="0"/>
    <n v="102"/>
    <s v="_x0000_US"/>
  </r>
  <r>
    <x v="1"/>
    <n v="13.6853"/>
    <n v="-89.192599999999999"/>
    <n v="18300"/>
    <n v="0"/>
    <n v="0"/>
    <n v="102"/>
    <s v="_x0000_US"/>
  </r>
  <r>
    <x v="1"/>
    <n v="13.6854"/>
    <n v="-89.192499999999995"/>
    <n v="18300"/>
    <n v="0"/>
    <n v="0"/>
    <n v="102"/>
    <s v="_x0000_US"/>
  </r>
  <r>
    <x v="1"/>
    <n v="13.6858"/>
    <n v="-89.1922"/>
    <n v="18300"/>
    <n v="0"/>
    <n v="0"/>
    <n v="102"/>
    <s v="_x0000_US"/>
  </r>
  <r>
    <x v="1"/>
    <n v="13.6859"/>
    <n v="-89.192099999999996"/>
    <n v="18300"/>
    <n v="0"/>
    <n v="0"/>
    <n v="102"/>
    <s v="_x0000_US"/>
  </r>
  <r>
    <x v="1"/>
    <n v="13.6859"/>
    <n v="-89.192099999999996"/>
    <n v="18300"/>
    <n v="0"/>
    <n v="0"/>
    <n v="102"/>
    <s v="_x0000_US"/>
  </r>
  <r>
    <x v="1"/>
    <n v="13.6858"/>
    <n v="-89.192099999999996"/>
    <n v="18300"/>
    <n v="0"/>
    <n v="0"/>
    <n v="102"/>
    <s v="_x0000_US"/>
  </r>
  <r>
    <x v="1"/>
    <n v="13.686"/>
    <n v="-89.1922"/>
    <n v="18300"/>
    <n v="0"/>
    <n v="0"/>
    <n v="102"/>
    <s v="_x0000_US"/>
  </r>
  <r>
    <x v="1"/>
    <n v="13.686"/>
    <n v="-89.192099999999996"/>
    <n v="18300"/>
    <n v="0"/>
    <n v="0"/>
    <n v="102"/>
    <s v="_x0000_US"/>
  </r>
  <r>
    <x v="1"/>
    <n v="13.686"/>
    <n v="-89.192099999999996"/>
    <n v="18300"/>
    <n v="0"/>
    <n v="0"/>
    <n v="102"/>
    <s v="_x0000_US"/>
  </r>
  <r>
    <x v="1"/>
    <n v="13.6859"/>
    <n v="-89.191599999999994"/>
    <n v="18300"/>
    <n v="0"/>
    <n v="0"/>
    <n v="102"/>
    <s v="_x0000_US"/>
  </r>
  <r>
    <x v="1"/>
    <n v="13.6859"/>
    <n v="-89.191800000000001"/>
    <n v="18300"/>
    <n v="0"/>
    <n v="0"/>
    <n v="102"/>
    <s v="_x0000_US"/>
  </r>
  <r>
    <x v="1"/>
    <n v="13.686"/>
    <n v="-89.191699999999997"/>
    <n v="18300"/>
    <n v="0"/>
    <n v="0"/>
    <n v="102"/>
    <s v="_x0000_US"/>
  </r>
  <r>
    <x v="1"/>
    <n v="13.686"/>
    <n v="-89.191699999999997"/>
    <n v="18300"/>
    <n v="0"/>
    <n v="0"/>
    <n v="102"/>
    <s v="_x0000_US"/>
  </r>
  <r>
    <x v="1"/>
    <n v="13.686"/>
    <n v="-89.191599999999994"/>
    <n v="18300"/>
    <n v="0"/>
    <n v="0"/>
    <n v="102"/>
    <s v="_x0000_US"/>
  </r>
  <r>
    <x v="1"/>
    <n v="13.686"/>
    <n v="-89.191599999999994"/>
    <n v="18300"/>
    <n v="0"/>
    <n v="0"/>
    <n v="102"/>
    <s v="_x0000_US"/>
  </r>
  <r>
    <x v="1"/>
    <n v="13.6861"/>
    <n v="-89.191400000000002"/>
    <n v="18300"/>
    <n v="0"/>
    <n v="0"/>
    <n v="102"/>
    <s v="_x0000_US"/>
  </r>
  <r>
    <x v="1"/>
    <n v="13.6861"/>
    <n v="-89.191400000000002"/>
    <n v="18300"/>
    <n v="0"/>
    <n v="0"/>
    <n v="102"/>
    <s v="_x0000_US"/>
  </r>
  <r>
    <x v="1"/>
    <n v="13.686299999999999"/>
    <n v="-89.191400000000002"/>
    <n v="18300"/>
    <n v="0"/>
    <n v="0"/>
    <n v="102"/>
    <s v="_x0000_US"/>
  </r>
  <r>
    <x v="1"/>
    <n v="13.686299999999999"/>
    <n v="-89.191299999999998"/>
    <n v="18300"/>
    <n v="0"/>
    <n v="0"/>
    <n v="102"/>
    <s v="_x0000_US"/>
  </r>
  <r>
    <x v="1"/>
    <n v="13.686199999999999"/>
    <n v="-89.191199999999995"/>
    <n v="18300"/>
    <n v="0"/>
    <n v="0"/>
    <n v="102"/>
    <s v="_x0000_US"/>
  </r>
  <r>
    <x v="1"/>
    <n v="13.686199999999999"/>
    <n v="-89.191100000000006"/>
    <n v="18300"/>
    <n v="0"/>
    <n v="0"/>
    <n v="102"/>
    <s v="_x0000_US"/>
  </r>
  <r>
    <x v="1"/>
    <n v="13.686299999999999"/>
    <n v="-89.190899999999999"/>
    <n v="18300"/>
    <n v="0"/>
    <n v="0"/>
    <n v="102"/>
    <s v="_x0000_US"/>
  </r>
  <r>
    <x v="1"/>
    <n v="13.6861"/>
    <n v="-89.190799999999996"/>
    <n v="18300"/>
    <n v="0"/>
    <n v="0"/>
    <n v="102"/>
    <s v="_x0000_US"/>
  </r>
  <r>
    <x v="1"/>
    <n v="13.686199999999999"/>
    <n v="-89.190700000000007"/>
    <n v="18300"/>
    <n v="0"/>
    <n v="0"/>
    <n v="102"/>
    <s v="_x0000_US"/>
  </r>
  <r>
    <x v="1"/>
    <n v="13.6861"/>
    <n v="-89.190700000000007"/>
    <n v="18300"/>
    <n v="0"/>
    <n v="0"/>
    <n v="102"/>
    <s v="_x0000_US"/>
  </r>
  <r>
    <x v="1"/>
    <n v="13.6861"/>
    <n v="-89.1905"/>
    <n v="18300"/>
    <n v="0"/>
    <n v="0"/>
    <n v="102"/>
    <s v="_x0000_US"/>
  </r>
  <r>
    <x v="1"/>
    <n v="13.686299999999999"/>
    <n v="-89.190799999999996"/>
    <n v="18300"/>
    <n v="0"/>
    <n v="0"/>
    <n v="102"/>
    <s v="_x0000_US"/>
  </r>
  <r>
    <x v="1"/>
    <n v="13.686299999999999"/>
    <n v="-89.191199999999995"/>
    <n v="18300"/>
    <n v="0"/>
    <n v="0"/>
    <n v="102"/>
    <s v="_x0000_US"/>
  </r>
  <r>
    <x v="1"/>
    <n v="13.686199999999999"/>
    <n v="-89.191599999999994"/>
    <n v="18300"/>
    <n v="0"/>
    <n v="0"/>
    <n v="102"/>
    <s v="_x0000_US"/>
  </r>
  <r>
    <x v="1"/>
    <n v="13.685600000000001"/>
    <n v="-89.193200000000004"/>
    <n v="18300"/>
    <n v="0"/>
    <n v="0"/>
    <n v="102"/>
    <s v="_x0000_US"/>
  </r>
  <r>
    <x v="1"/>
    <n v="13.680999999999999"/>
    <n v="-89.195099999999996"/>
    <n v="11540"/>
    <n v="0"/>
    <n v="0"/>
    <n v="102"/>
    <s v="_x0000_US"/>
  </r>
  <r>
    <x v="1"/>
    <n v="13.6815"/>
    <n v="-89.197500000000005"/>
    <n v="42300"/>
    <n v="0"/>
    <n v="0"/>
    <n v="102"/>
    <s v="_x0000_US"/>
  </r>
  <r>
    <x v="1"/>
    <n v="13.6815"/>
    <n v="-89.197400000000002"/>
    <n v="42300"/>
    <n v="0"/>
    <n v="0"/>
    <n v="102"/>
    <s v="_x0000_US"/>
  </r>
  <r>
    <x v="1"/>
    <n v="13.6814"/>
    <n v="-89.196899999999999"/>
    <n v="42300"/>
    <n v="0"/>
    <n v="0"/>
    <n v="102"/>
    <s v="_x0000_US"/>
  </r>
  <r>
    <x v="1"/>
    <n v="13.6812"/>
    <n v="-89.197500000000005"/>
    <n v="42300"/>
    <n v="0"/>
    <n v="0"/>
    <n v="102"/>
    <s v="_x0000_US"/>
  </r>
  <r>
    <x v="1"/>
    <n v="13.681699999999999"/>
    <n v="-89.197400000000002"/>
    <n v="42300"/>
    <n v="0"/>
    <n v="0"/>
    <n v="102"/>
    <s v="_x0000_US"/>
  </r>
  <r>
    <x v="1"/>
    <n v="13.6754"/>
    <n v="-89.200500000000005"/>
    <n v="22820"/>
    <n v="0"/>
    <n v="0"/>
    <n v="102"/>
    <s v="_x0000_US"/>
  </r>
  <r>
    <x v="1"/>
    <n v="13.678100000000001"/>
    <n v="-89.199399999999997"/>
    <n v="36700"/>
    <n v="0"/>
    <n v="0"/>
    <n v="102"/>
    <s v="_x0000_US"/>
  </r>
  <r>
    <x v="1"/>
    <n v="13.680099999999999"/>
    <n v="-89.202399999999997"/>
    <n v="36700"/>
    <n v="0"/>
    <n v="0"/>
    <n v="102"/>
    <s v="_x0000_US"/>
  </r>
  <r>
    <x v="1"/>
    <n v="13.680099999999999"/>
    <n v="-89.202299999999994"/>
    <n v="36700"/>
    <n v="0"/>
    <n v="0"/>
    <n v="102"/>
    <s v="_x0000_US"/>
  </r>
  <r>
    <x v="1"/>
    <n v="13.680300000000001"/>
    <n v="-89.201999999999998"/>
    <n v="36700"/>
    <n v="0"/>
    <n v="0"/>
    <n v="102"/>
    <s v="_x0000_US"/>
  </r>
  <r>
    <x v="1"/>
    <n v="13.680300000000001"/>
    <n v="-89.202100000000002"/>
    <n v="36700"/>
    <n v="0"/>
    <n v="0"/>
    <n v="102"/>
    <s v="_x0000_US"/>
  </r>
  <r>
    <x v="1"/>
    <n v="13.680199999999999"/>
    <n v="-89.202100000000002"/>
    <n v="36700"/>
    <n v="0"/>
    <n v="0"/>
    <n v="102"/>
    <s v="_x0000_US"/>
  </r>
  <r>
    <x v="1"/>
    <n v="13.6805"/>
    <n v="-89.202100000000002"/>
    <n v="36700"/>
    <n v="0"/>
    <n v="0"/>
    <n v="102"/>
    <s v="_x0000_US"/>
  </r>
  <r>
    <x v="1"/>
    <n v="13.680400000000001"/>
    <n v="-89.201999999999998"/>
    <n v="36700"/>
    <n v="0"/>
    <n v="0"/>
    <n v="102"/>
    <s v="_x0000_US"/>
  </r>
  <r>
    <x v="1"/>
    <n v="13.680400000000001"/>
    <n v="-89.201999999999998"/>
    <n v="36700"/>
    <n v="0"/>
    <n v="0"/>
    <n v="102"/>
    <s v="_x0000_US"/>
  </r>
  <r>
    <x v="1"/>
    <n v="13.680400000000001"/>
    <n v="-89.201899999999995"/>
    <n v="36700"/>
    <n v="0"/>
    <n v="0"/>
    <n v="102"/>
    <s v="_x0000_US"/>
  </r>
  <r>
    <x v="1"/>
    <n v="13.680400000000001"/>
    <n v="-89.201899999999995"/>
    <n v="36700"/>
    <n v="0"/>
    <n v="0"/>
    <n v="102"/>
    <s v="_x0000_US"/>
  </r>
  <r>
    <x v="1"/>
    <n v="13.680400000000001"/>
    <n v="-89.201800000000006"/>
    <n v="36700"/>
    <n v="0"/>
    <n v="0"/>
    <n v="102"/>
    <s v="_x0000_US"/>
  </r>
  <r>
    <x v="1"/>
    <n v="13.6805"/>
    <n v="-89.202200000000005"/>
    <n v="36700"/>
    <n v="0"/>
    <n v="0"/>
    <n v="102"/>
    <s v="_x0000_US"/>
  </r>
  <r>
    <x v="1"/>
    <n v="13.6805"/>
    <n v="-89.202200000000005"/>
    <n v="36700"/>
    <n v="0"/>
    <n v="0"/>
    <n v="102"/>
    <s v="_x0000_US"/>
  </r>
  <r>
    <x v="1"/>
    <n v="13.6805"/>
    <n v="-89.202100000000002"/>
    <n v="36700"/>
    <n v="0"/>
    <n v="0"/>
    <n v="102"/>
    <s v="_x0000_US"/>
  </r>
  <r>
    <x v="1"/>
    <n v="13.680099999999999"/>
    <n v="-89.202200000000005"/>
    <n v="36700"/>
    <n v="0"/>
    <n v="0"/>
    <n v="102"/>
    <s v="_x0000_US"/>
  </r>
  <r>
    <x v="1"/>
    <n v="13.680099999999999"/>
    <n v="-89.202100000000002"/>
    <n v="36700"/>
    <n v="0"/>
    <n v="0"/>
    <n v="102"/>
    <s v="_x0000_US"/>
  </r>
  <r>
    <x v="1"/>
    <n v="13.68"/>
    <n v="-89.201999999999998"/>
    <n v="36700"/>
    <n v="0"/>
    <n v="0"/>
    <n v="102"/>
    <s v="_x0000_US"/>
  </r>
  <r>
    <x v="1"/>
    <n v="13.68"/>
    <n v="-89.201899999999995"/>
    <n v="36700"/>
    <n v="0"/>
    <n v="0"/>
    <n v="102"/>
    <s v="_x0000_US"/>
  </r>
  <r>
    <x v="1"/>
    <n v="13.68"/>
    <n v="-89.201800000000006"/>
    <n v="36700"/>
    <n v="0"/>
    <n v="0"/>
    <n v="102"/>
    <s v="_x0000_US"/>
  </r>
  <r>
    <x v="1"/>
    <n v="13.68"/>
    <n v="-89.201700000000002"/>
    <n v="36700"/>
    <n v="0"/>
    <n v="0"/>
    <n v="102"/>
    <s v="_x0000_US"/>
  </r>
  <r>
    <x v="1"/>
    <n v="13.68"/>
    <n v="-89.201599999999999"/>
    <n v="36700"/>
    <n v="0"/>
    <n v="0"/>
    <n v="102"/>
    <s v="_x0000_US"/>
  </r>
  <r>
    <x v="1"/>
    <n v="13.6793"/>
    <n v="-89.2"/>
    <n v="36700"/>
    <n v="0"/>
    <n v="0"/>
    <n v="102"/>
    <s v="_x0000_US"/>
  </r>
  <r>
    <x v="1"/>
    <n v="13.679"/>
    <n v="-89.200100000000006"/>
    <n v="36700"/>
    <n v="0"/>
    <n v="0"/>
    <n v="102"/>
    <s v="_x0000_US"/>
  </r>
  <r>
    <x v="1"/>
    <n v="13.678900000000001"/>
    <n v="-89.200100000000006"/>
    <n v="36700"/>
    <n v="0"/>
    <n v="0"/>
    <n v="102"/>
    <s v="_x0000_US"/>
  </r>
  <r>
    <x v="1"/>
    <n v="13.6791"/>
    <n v="-89.199600000000004"/>
    <n v="36700"/>
    <n v="0"/>
    <n v="0"/>
    <n v="102"/>
    <s v="_x0000_US"/>
  </r>
  <r>
    <x v="1"/>
    <n v="13.6785"/>
    <n v="-89.199600000000004"/>
    <n v="36700"/>
    <n v="0"/>
    <n v="0"/>
    <n v="102"/>
    <s v="_x0000_US"/>
  </r>
  <r>
    <x v="1"/>
    <n v="13.6784"/>
    <n v="-89.199799999999996"/>
    <n v="36700"/>
    <n v="0"/>
    <n v="0"/>
    <n v="102"/>
    <s v="_x0000_US"/>
  </r>
  <r>
    <x v="1"/>
    <n v="13.6783"/>
    <n v="-89.199799999999996"/>
    <n v="36700"/>
    <n v="0"/>
    <n v="0"/>
    <n v="102"/>
    <s v="_x0000_US"/>
  </r>
  <r>
    <x v="1"/>
    <n v="13.677"/>
    <n v="-89.200699999999998"/>
    <n v="36700"/>
    <n v="0"/>
    <n v="0"/>
    <n v="102"/>
    <s v="_x0000_US"/>
  </r>
  <r>
    <x v="1"/>
    <n v="13.677300000000001"/>
    <n v="-89.201099999999997"/>
    <n v="36700"/>
    <n v="0"/>
    <n v="0"/>
    <n v="102"/>
    <s v="_x0000_US"/>
  </r>
  <r>
    <x v="1"/>
    <n v="13.677300000000001"/>
    <n v="-89.200100000000006"/>
    <n v="36700"/>
    <n v="0"/>
    <n v="0"/>
    <n v="102"/>
    <s v="_x0000_US"/>
  </r>
  <r>
    <x v="1"/>
    <n v="13.6813"/>
    <n v="-89.201800000000006"/>
    <n v="44400"/>
    <n v="0"/>
    <n v="0"/>
    <n v="102"/>
    <s v="_x0000_US"/>
  </r>
  <r>
    <x v="1"/>
    <n v="13.6822"/>
    <n v="-89.201800000000006"/>
    <n v="32500"/>
    <n v="0"/>
    <n v="0"/>
    <n v="102"/>
    <s v="_x0000_US"/>
  </r>
  <r>
    <x v="1"/>
    <n v="13.6822"/>
    <n v="-89.201800000000006"/>
    <n v="32500"/>
    <n v="0"/>
    <n v="0"/>
    <n v="102"/>
    <s v="_x0000_US"/>
  </r>
  <r>
    <x v="1"/>
    <n v="13.6823"/>
    <n v="-89.201800000000006"/>
    <n v="32500"/>
    <n v="0"/>
    <n v="0"/>
    <n v="102"/>
    <s v="_x0000_US"/>
  </r>
  <r>
    <x v="1"/>
    <n v="13.6807"/>
    <n v="-89.202100000000002"/>
    <n v="32500"/>
    <n v="0"/>
    <n v="0"/>
    <n v="102"/>
    <s v="_x0000_US"/>
  </r>
  <r>
    <x v="1"/>
    <n v="13.6807"/>
    <n v="-89.202100000000002"/>
    <n v="32500"/>
    <n v="0"/>
    <n v="0"/>
    <n v="102"/>
    <s v="_x0000_US"/>
  </r>
  <r>
    <x v="1"/>
    <n v="13.6807"/>
    <n v="-89.201999999999998"/>
    <n v="32500"/>
    <n v="0"/>
    <n v="0"/>
    <n v="102"/>
    <s v="_x0000_US"/>
  </r>
  <r>
    <x v="1"/>
    <n v="13.6807"/>
    <n v="-89.201999999999998"/>
    <n v="32500"/>
    <n v="0"/>
    <n v="0"/>
    <n v="102"/>
    <s v="_x0000_US"/>
  </r>
  <r>
    <x v="1"/>
    <n v="13.6807"/>
    <n v="-89.201899999999995"/>
    <n v="32500"/>
    <n v="0"/>
    <n v="0"/>
    <n v="102"/>
    <s v="_x0000_US"/>
  </r>
  <r>
    <x v="1"/>
    <n v="13.6806"/>
    <n v="-89.201899999999995"/>
    <n v="32500"/>
    <n v="0"/>
    <n v="0"/>
    <n v="102"/>
    <s v="_x0000_US"/>
  </r>
  <r>
    <x v="1"/>
    <n v="13.6806"/>
    <n v="-89.201800000000006"/>
    <n v="32500"/>
    <n v="0"/>
    <n v="0"/>
    <n v="102"/>
    <s v="_x0000_US"/>
  </r>
  <r>
    <x v="1"/>
    <n v="13.6806"/>
    <n v="-89.201800000000006"/>
    <n v="32500"/>
    <n v="0"/>
    <n v="0"/>
    <n v="102"/>
    <s v="_x0000_US"/>
  </r>
  <r>
    <x v="1"/>
    <n v="13.6838"/>
    <n v="-89.197400000000002"/>
    <n v="8550"/>
    <n v="0"/>
    <n v="0"/>
    <n v="102"/>
    <s v="_x0000_US"/>
  </r>
  <r>
    <x v="1"/>
    <n v="13.6838"/>
    <n v="-89.197400000000002"/>
    <n v="8550"/>
    <n v="0"/>
    <n v="0"/>
    <n v="102"/>
    <s v="_x0000_US"/>
  </r>
  <r>
    <x v="1"/>
    <n v="13.6838"/>
    <n v="-89.197400000000002"/>
    <n v="8550"/>
    <n v="0"/>
    <n v="0"/>
    <n v="102"/>
    <s v="_x0000_US"/>
  </r>
  <r>
    <x v="1"/>
    <n v="13.6838"/>
    <n v="-89.197299999999998"/>
    <n v="8550"/>
    <n v="0"/>
    <n v="0"/>
    <n v="102"/>
    <s v="_x0000_US"/>
  </r>
  <r>
    <x v="1"/>
    <n v="13.6838"/>
    <n v="-89.197299999999998"/>
    <n v="8550"/>
    <n v="0"/>
    <n v="0"/>
    <n v="102"/>
    <s v="_x0000_US"/>
  </r>
  <r>
    <x v="1"/>
    <n v="13.6838"/>
    <n v="-89.197299999999998"/>
    <n v="8550"/>
    <n v="0"/>
    <n v="0"/>
    <n v="102"/>
    <s v="_x0000_US"/>
  </r>
  <r>
    <x v="1"/>
    <n v="13.6838"/>
    <n v="-89.197299999999998"/>
    <n v="8550"/>
    <n v="0"/>
    <n v="0"/>
    <n v="102"/>
    <s v="_x0000_US"/>
  </r>
  <r>
    <x v="1"/>
    <n v="13.6838"/>
    <n v="-89.197299999999998"/>
    <n v="8550"/>
    <n v="0"/>
    <n v="0"/>
    <n v="102"/>
    <s v="_x0000_US"/>
  </r>
  <r>
    <x v="1"/>
    <n v="13.6838"/>
    <n v="-89.197299999999998"/>
    <n v="8550"/>
    <n v="0"/>
    <n v="0"/>
    <n v="102"/>
    <s v="_x0000_US"/>
  </r>
  <r>
    <x v="1"/>
    <n v="13.6838"/>
    <n v="-89.197299999999998"/>
    <n v="8550"/>
    <n v="0"/>
    <n v="0"/>
    <n v="102"/>
    <s v="_x0000_US"/>
  </r>
  <r>
    <x v="1"/>
    <n v="13.6839"/>
    <n v="-89.197400000000002"/>
    <n v="8550"/>
    <n v="0"/>
    <n v="0"/>
    <n v="102"/>
    <s v="_x0000_US"/>
  </r>
  <r>
    <x v="1"/>
    <n v="13.6839"/>
    <n v="-89.197400000000002"/>
    <n v="8550"/>
    <n v="0"/>
    <n v="0"/>
    <n v="102"/>
    <s v="_x0000_US"/>
  </r>
  <r>
    <x v="1"/>
    <n v="13.6839"/>
    <n v="-89.197400000000002"/>
    <n v="8550"/>
    <n v="0"/>
    <n v="0"/>
    <n v="102"/>
    <s v="_x0000_US"/>
  </r>
  <r>
    <x v="1"/>
    <n v="13.6839"/>
    <n v="-89.197400000000002"/>
    <n v="8550"/>
    <n v="0"/>
    <n v="0"/>
    <n v="102"/>
    <s v="_x0000_US"/>
  </r>
  <r>
    <x v="1"/>
    <n v="13.683999999999999"/>
    <n v="-89.197199999999995"/>
    <n v="8550"/>
    <n v="0"/>
    <n v="0"/>
    <n v="102"/>
    <s v="_x0000_US"/>
  </r>
  <r>
    <x v="1"/>
    <n v="13.683999999999999"/>
    <n v="-89.197199999999995"/>
    <n v="8550"/>
    <n v="0"/>
    <n v="0"/>
    <n v="102"/>
    <s v="_x0000_US"/>
  </r>
  <r>
    <x v="1"/>
    <n v="13.683999999999999"/>
    <n v="-89.197199999999995"/>
    <n v="8550"/>
    <n v="0"/>
    <n v="0"/>
    <n v="102"/>
    <s v="_x0000_US"/>
  </r>
  <r>
    <x v="1"/>
    <n v="13.6839"/>
    <n v="-89.197199999999995"/>
    <n v="8550"/>
    <n v="0"/>
    <n v="0"/>
    <n v="102"/>
    <s v="_x0000_US"/>
  </r>
  <r>
    <x v="1"/>
    <n v="13.6839"/>
    <n v="-89.197199999999995"/>
    <n v="8550"/>
    <n v="0"/>
    <n v="0"/>
    <n v="102"/>
    <s v="_x0000_US"/>
  </r>
  <r>
    <x v="1"/>
    <n v="13.6839"/>
    <n v="-89.197199999999995"/>
    <n v="8550"/>
    <n v="0"/>
    <n v="0"/>
    <n v="102"/>
    <s v="_x0000_US"/>
  </r>
  <r>
    <x v="1"/>
    <n v="13.6839"/>
    <n v="-89.197100000000006"/>
    <n v="8550"/>
    <n v="0"/>
    <n v="0"/>
    <n v="102"/>
    <s v="_x0000_US"/>
  </r>
  <r>
    <x v="1"/>
    <n v="13.6839"/>
    <n v="-89.197100000000006"/>
    <n v="8550"/>
    <n v="0"/>
    <n v="0"/>
    <n v="102"/>
    <s v="_x0000_US"/>
  </r>
  <r>
    <x v="1"/>
    <n v="13.6839"/>
    <n v="-89.197100000000006"/>
    <n v="8550"/>
    <n v="0"/>
    <n v="0"/>
    <n v="102"/>
    <s v="_x0000_US"/>
  </r>
  <r>
    <x v="1"/>
    <n v="13.6839"/>
    <n v="-89.197100000000006"/>
    <n v="8550"/>
    <n v="0"/>
    <n v="0"/>
    <n v="102"/>
    <s v="_x0000_US"/>
  </r>
  <r>
    <x v="1"/>
    <n v="13.6839"/>
    <n v="-89.197100000000006"/>
    <n v="8550"/>
    <n v="0"/>
    <n v="0"/>
    <n v="102"/>
    <s v="_x0000_US"/>
  </r>
  <r>
    <x v="1"/>
    <n v="13.6839"/>
    <n v="-89.197100000000006"/>
    <n v="8550"/>
    <n v="0"/>
    <n v="0"/>
    <n v="102"/>
    <s v="_x0000_US"/>
  </r>
  <r>
    <x v="1"/>
    <n v="13.6839"/>
    <n v="-89.196899999999999"/>
    <n v="8550"/>
    <n v="0"/>
    <n v="0"/>
    <n v="102"/>
    <s v="_x0000_US"/>
  </r>
  <r>
    <x v="1"/>
    <n v="13.6839"/>
    <n v="-89.196899999999999"/>
    <n v="8550"/>
    <n v="0"/>
    <n v="0"/>
    <n v="102"/>
    <s v="_x0000_US"/>
  </r>
  <r>
    <x v="1"/>
    <n v="13.6839"/>
    <n v="-89.196899999999999"/>
    <n v="8550"/>
    <n v="0"/>
    <n v="0"/>
    <n v="102"/>
    <s v="_x0000_US"/>
  </r>
  <r>
    <x v="1"/>
    <n v="13.6839"/>
    <n v="-89.196899999999999"/>
    <n v="8550"/>
    <n v="0"/>
    <n v="0"/>
    <n v="102"/>
    <s v="_x0000_US"/>
  </r>
  <r>
    <x v="1"/>
    <n v="13.6839"/>
    <n v="-89.196799999999996"/>
    <n v="8550"/>
    <n v="0"/>
    <n v="0"/>
    <n v="102"/>
    <s v="_x0000_US"/>
  </r>
  <r>
    <x v="1"/>
    <n v="13.6839"/>
    <n v="-89.196799999999996"/>
    <n v="8550"/>
    <n v="0"/>
    <n v="0"/>
    <n v="102"/>
    <s v="_x0000_US"/>
  </r>
  <r>
    <x v="1"/>
    <n v="13.6839"/>
    <n v="-89.196799999999996"/>
    <n v="8550"/>
    <n v="0"/>
    <n v="0"/>
    <n v="102"/>
    <s v="_x0000_US"/>
  </r>
  <r>
    <x v="1"/>
    <n v="13.6839"/>
    <n v="-89.196799999999996"/>
    <n v="8550"/>
    <n v="0"/>
    <n v="0"/>
    <n v="102"/>
    <s v="_x0000_US"/>
  </r>
  <r>
    <x v="1"/>
    <n v="13.6838"/>
    <n v="-89.196899999999999"/>
    <n v="8550"/>
    <n v="0"/>
    <n v="0"/>
    <n v="102"/>
    <s v="_x0000_US"/>
  </r>
  <r>
    <x v="1"/>
    <n v="13.6838"/>
    <n v="-89.196899999999999"/>
    <n v="8550"/>
    <n v="0"/>
    <n v="0"/>
    <n v="102"/>
    <s v="_x0000_US"/>
  </r>
  <r>
    <x v="1"/>
    <n v="13.6838"/>
    <n v="-89.196899999999999"/>
    <n v="8550"/>
    <n v="0"/>
    <n v="0"/>
    <n v="102"/>
    <s v="_x0000_US"/>
  </r>
  <r>
    <x v="1"/>
    <n v="13.6838"/>
    <n v="-89.196899999999999"/>
    <n v="8550"/>
    <n v="0"/>
    <n v="0"/>
    <n v="102"/>
    <s v="_x0000_US"/>
  </r>
  <r>
    <x v="1"/>
    <n v="13.6839"/>
    <n v="-89.197000000000003"/>
    <n v="8550"/>
    <n v="0"/>
    <n v="0"/>
    <n v="102"/>
    <s v="_x0000_US"/>
  </r>
  <r>
    <x v="1"/>
    <n v="13.6839"/>
    <n v="-89.197000000000003"/>
    <n v="8550"/>
    <n v="0"/>
    <n v="0"/>
    <n v="102"/>
    <s v="_x0000_US"/>
  </r>
  <r>
    <x v="1"/>
    <n v="13.6839"/>
    <n v="-89.197000000000003"/>
    <n v="8550"/>
    <n v="0"/>
    <n v="0"/>
    <n v="102"/>
    <s v="_x0000_US"/>
  </r>
  <r>
    <x v="1"/>
    <n v="13.6839"/>
    <n v="-89.197000000000003"/>
    <n v="8550"/>
    <n v="0"/>
    <n v="0"/>
    <n v="102"/>
    <s v="_x0000_US"/>
  </r>
  <r>
    <x v="1"/>
    <n v="13.6844"/>
    <n v="-89.1965"/>
    <n v="8550"/>
    <n v="0"/>
    <n v="0"/>
    <n v="102"/>
    <s v="_x0000_US"/>
  </r>
  <r>
    <x v="1"/>
    <n v="13.683199999999999"/>
    <n v="-89.197100000000006"/>
    <n v="8550"/>
    <n v="0"/>
    <n v="0"/>
    <n v="102"/>
    <s v="_x0000_US"/>
  </r>
  <r>
    <x v="1"/>
    <n v="13.683199999999999"/>
    <n v="-89.197100000000006"/>
    <n v="8550"/>
    <n v="0"/>
    <n v="0"/>
    <n v="102"/>
    <s v="_x0000_US"/>
  </r>
  <r>
    <x v="1"/>
    <n v="13.6831"/>
    <n v="-89.197100000000006"/>
    <n v="8550"/>
    <n v="0"/>
    <n v="0"/>
    <n v="102"/>
    <s v="_x0000_US"/>
  </r>
  <r>
    <x v="1"/>
    <n v="13.6829"/>
    <n v="-89.197199999999995"/>
    <n v="8550"/>
    <n v="0"/>
    <n v="0"/>
    <n v="102"/>
    <s v="_x0000_US"/>
  </r>
  <r>
    <x v="1"/>
    <n v="13.6829"/>
    <n v="-89.197199999999995"/>
    <n v="8550"/>
    <n v="0"/>
    <n v="0"/>
    <n v="102"/>
    <s v="_x0000_US"/>
  </r>
  <r>
    <x v="1"/>
    <n v="13.683"/>
    <n v="-89.197500000000005"/>
    <n v="8550"/>
    <n v="0"/>
    <n v="0"/>
    <n v="102"/>
    <s v="_x0000_US"/>
  </r>
  <r>
    <x v="1"/>
    <n v="13.683"/>
    <n v="-89.197500000000005"/>
    <n v="8550"/>
    <n v="0"/>
    <n v="0"/>
    <n v="102"/>
    <s v="_x0000_US"/>
  </r>
  <r>
    <x v="1"/>
    <n v="13.6829"/>
    <n v="-89.197800000000001"/>
    <n v="8550"/>
    <n v="0"/>
    <n v="0"/>
    <n v="102"/>
    <s v="_x0000_US"/>
  </r>
  <r>
    <x v="1"/>
    <n v="13.6829"/>
    <n v="-89.197999999999993"/>
    <n v="8550"/>
    <n v="0"/>
    <n v="0"/>
    <n v="102"/>
    <s v="_x0000_US"/>
  </r>
  <r>
    <x v="1"/>
    <n v="13.683199999999999"/>
    <n v="-89.197800000000001"/>
    <n v="8550"/>
    <n v="0"/>
    <n v="0"/>
    <n v="102"/>
    <s v="_x0000_US"/>
  </r>
  <r>
    <x v="1"/>
    <n v="13.683199999999999"/>
    <n v="-89.197800000000001"/>
    <n v="8550"/>
    <n v="0"/>
    <n v="0"/>
    <n v="102"/>
    <s v="_x0000_US"/>
  </r>
  <r>
    <x v="1"/>
    <n v="13.6831"/>
    <n v="-89.196799999999996"/>
    <n v="14400"/>
    <n v="0"/>
    <n v="0"/>
    <n v="102"/>
    <s v="_x0000_US"/>
  </r>
  <r>
    <x v="1"/>
    <n v="13.685700000000001"/>
    <n v="-89.190899999999999"/>
    <n v="18300"/>
    <n v="0"/>
    <n v="0"/>
    <n v="102"/>
    <s v="_x0000_US"/>
  </r>
  <r>
    <x v="1"/>
    <n v="13.6858"/>
    <n v="-89.190799999999996"/>
    <n v="18300"/>
    <n v="0"/>
    <n v="0"/>
    <n v="102"/>
    <s v="_x0000_US"/>
  </r>
  <r>
    <x v="1"/>
    <n v="13.685700000000001"/>
    <n v="-89.190799999999996"/>
    <n v="18300"/>
    <n v="0"/>
    <n v="0"/>
    <n v="102"/>
    <s v="_x0000_US"/>
  </r>
  <r>
    <x v="1"/>
    <n v="13.6858"/>
    <n v="-89.191100000000006"/>
    <n v="18300"/>
    <n v="0"/>
    <n v="0"/>
    <n v="102"/>
    <s v="_x0000_US"/>
  </r>
  <r>
    <x v="1"/>
    <n v="13.6858"/>
    <n v="-89.191100000000006"/>
    <n v="18300"/>
    <n v="0"/>
    <n v="0"/>
    <n v="102"/>
    <s v="_x0000_US"/>
  </r>
  <r>
    <x v="1"/>
    <n v="13.6858"/>
    <n v="-89.191199999999995"/>
    <n v="18300"/>
    <n v="0"/>
    <n v="0"/>
    <n v="102"/>
    <s v="_x0000_US"/>
  </r>
  <r>
    <x v="1"/>
    <n v="13.685600000000001"/>
    <n v="-89.191599999999994"/>
    <n v="18300"/>
    <n v="0"/>
    <n v="0"/>
    <n v="102"/>
    <s v="_x0000_US"/>
  </r>
  <r>
    <x v="1"/>
    <n v="13.685700000000001"/>
    <n v="-89.191599999999994"/>
    <n v="18300"/>
    <n v="0"/>
    <n v="0"/>
    <n v="102"/>
    <s v="_x0000_US"/>
  </r>
  <r>
    <x v="1"/>
    <n v="13.685700000000001"/>
    <n v="-89.191599999999994"/>
    <n v="18300"/>
    <n v="0"/>
    <n v="0"/>
    <n v="102"/>
    <s v="_x0000_US"/>
  </r>
  <r>
    <x v="1"/>
    <n v="13.685700000000001"/>
    <n v="-89.191699999999997"/>
    <n v="18300"/>
    <n v="0"/>
    <n v="0"/>
    <n v="102"/>
    <s v="_x0000_US"/>
  </r>
  <r>
    <x v="1"/>
    <n v="13.685700000000001"/>
    <n v="-89.191699999999997"/>
    <n v="18300"/>
    <n v="0"/>
    <n v="0"/>
    <n v="102"/>
    <s v="_x0000_US"/>
  </r>
  <r>
    <x v="1"/>
    <n v="13.685700000000001"/>
    <n v="-89.191699999999997"/>
    <n v="18300"/>
    <n v="0"/>
    <n v="0"/>
    <n v="102"/>
    <s v="_x0000_US"/>
  </r>
  <r>
    <x v="1"/>
    <n v="13.685700000000001"/>
    <n v="-89.191800000000001"/>
    <n v="18300"/>
    <n v="0"/>
    <n v="0"/>
    <n v="102"/>
    <s v="_x0000_US"/>
  </r>
  <r>
    <x v="1"/>
    <n v="13.685700000000001"/>
    <n v="-89.191800000000001"/>
    <n v="18300"/>
    <n v="0"/>
    <n v="0"/>
    <n v="102"/>
    <s v="_x0000_US"/>
  </r>
  <r>
    <x v="1"/>
    <n v="13.685499999999999"/>
    <n v="-89.191800000000001"/>
    <n v="18300"/>
    <n v="0"/>
    <n v="0"/>
    <n v="102"/>
    <s v="_x0000_US"/>
  </r>
  <r>
    <x v="1"/>
    <n v="13.685600000000001"/>
    <n v="-89.191000000000003"/>
    <n v="18300"/>
    <n v="0"/>
    <n v="0"/>
    <n v="102"/>
    <s v="_x0000_US"/>
  </r>
  <r>
    <x v="1"/>
    <n v="13.685600000000001"/>
    <n v="-89.190799999999996"/>
    <n v="18300"/>
    <n v="0"/>
    <n v="0"/>
    <n v="102"/>
    <s v="_x0000_US"/>
  </r>
  <r>
    <x v="1"/>
    <n v="13.685499999999999"/>
    <n v="-89.190899999999999"/>
    <n v="18300"/>
    <n v="0"/>
    <n v="0"/>
    <n v="102"/>
    <s v="_x0000_US"/>
  </r>
  <r>
    <x v="1"/>
    <n v="13.6852"/>
    <n v="-89.191800000000001"/>
    <n v="18300"/>
    <n v="0"/>
    <n v="0"/>
    <n v="102"/>
    <s v="_x0000_US"/>
  </r>
  <r>
    <x v="1"/>
    <n v="13.6851"/>
    <n v="-89.191800000000001"/>
    <n v="18300"/>
    <n v="0"/>
    <n v="0"/>
    <n v="102"/>
    <s v="_x0000_US"/>
  </r>
  <r>
    <x v="1"/>
    <n v="13.685"/>
    <n v="-89.191699999999997"/>
    <n v="18300"/>
    <n v="0"/>
    <n v="0"/>
    <n v="102"/>
    <s v="_x0000_US"/>
  </r>
  <r>
    <x v="1"/>
    <n v="13.685"/>
    <n v="-89.191699999999997"/>
    <n v="18300"/>
    <n v="0"/>
    <n v="0"/>
    <n v="102"/>
    <s v="_x0000_US"/>
  </r>
  <r>
    <x v="1"/>
    <n v="13.685"/>
    <n v="-89.191699999999997"/>
    <n v="18300"/>
    <n v="0"/>
    <n v="0"/>
    <n v="102"/>
    <s v="_x0000_US"/>
  </r>
  <r>
    <x v="1"/>
    <n v="13.685"/>
    <n v="-89.191500000000005"/>
    <n v="18300"/>
    <n v="0"/>
    <n v="0"/>
    <n v="102"/>
    <s v="_x0000_US"/>
  </r>
  <r>
    <x v="1"/>
    <n v="13.6851"/>
    <n v="-89.191000000000003"/>
    <n v="18300"/>
    <n v="0"/>
    <n v="0"/>
    <n v="102"/>
    <s v="_x0000_US"/>
  </r>
  <r>
    <x v="1"/>
    <n v="13.6851"/>
    <n v="-89.191000000000003"/>
    <n v="18300"/>
    <n v="0"/>
    <n v="0"/>
    <n v="102"/>
    <s v="_x0000_US"/>
  </r>
  <r>
    <x v="1"/>
    <n v="13.684900000000001"/>
    <n v="-89.191199999999995"/>
    <n v="18300"/>
    <n v="0"/>
    <n v="0"/>
    <n v="102"/>
    <s v="_x0000_US"/>
  </r>
  <r>
    <x v="1"/>
    <n v="13.684900000000001"/>
    <n v="-89.191100000000006"/>
    <n v="18300"/>
    <n v="0"/>
    <n v="0"/>
    <n v="102"/>
    <s v="_x0000_US"/>
  </r>
  <r>
    <x v="1"/>
    <n v="13.685"/>
    <n v="-89.191000000000003"/>
    <n v="18300"/>
    <n v="0"/>
    <n v="0"/>
    <n v="102"/>
    <s v="_x0000_US"/>
  </r>
  <r>
    <x v="1"/>
    <n v="13.6861"/>
    <n v="-89.191699999999997"/>
    <n v="18300"/>
    <n v="0"/>
    <n v="0"/>
    <n v="102"/>
    <s v="_x0000_US"/>
  </r>
  <r>
    <x v="1"/>
    <n v="13.6858"/>
    <n v="-89.191800000000001"/>
    <n v="18300"/>
    <n v="0"/>
    <n v="0"/>
    <n v="102"/>
    <s v="_x0000_US"/>
  </r>
  <r>
    <x v="1"/>
    <n v="13.686"/>
    <n v="-89.190600000000003"/>
    <n v="18300"/>
    <n v="0"/>
    <n v="0"/>
    <n v="102"/>
    <s v="_x0000_US"/>
  </r>
  <r>
    <x v="1"/>
    <n v="13.686299999999999"/>
    <n v="-89.1905"/>
    <n v="18300"/>
    <n v="0"/>
    <n v="0"/>
    <n v="102"/>
    <s v="_x0000_US"/>
  </r>
  <r>
    <x v="1"/>
    <n v="13.685700000000001"/>
    <n v="-89.190600000000003"/>
    <n v="18300"/>
    <n v="0"/>
    <n v="0"/>
    <n v="102"/>
    <s v="_x0000_US"/>
  </r>
  <r>
    <x v="1"/>
    <n v="13.685700000000001"/>
    <n v="-89.190299999999993"/>
    <n v="18300"/>
    <n v="0"/>
    <n v="0"/>
    <n v="102"/>
    <s v="_x0000_US"/>
  </r>
  <r>
    <x v="1"/>
    <n v="13.6858"/>
    <n v="-89.190600000000003"/>
    <n v="18300"/>
    <n v="0"/>
    <n v="0"/>
    <n v="102"/>
    <s v="_x0000_US"/>
  </r>
  <r>
    <x v="1"/>
    <n v="13.6858"/>
    <n v="-89.190600000000003"/>
    <n v="18300"/>
    <n v="0"/>
    <n v="0"/>
    <n v="102"/>
    <s v="_x0000_US"/>
  </r>
  <r>
    <x v="1"/>
    <n v="13.685499999999999"/>
    <n v="-89.192400000000006"/>
    <n v="18300"/>
    <n v="0"/>
    <n v="0"/>
    <n v="102"/>
    <s v="_x0000_US"/>
  </r>
  <r>
    <x v="1"/>
    <n v="13.685499999999999"/>
    <n v="-89.192499999999995"/>
    <n v="18300"/>
    <n v="0"/>
    <n v="0"/>
    <n v="102"/>
    <s v="_x0000_US"/>
  </r>
  <r>
    <x v="1"/>
    <n v="13.685499999999999"/>
    <n v="-89.192499999999995"/>
    <n v="18300"/>
    <n v="0"/>
    <n v="0"/>
    <n v="102"/>
    <s v="_x0000_US"/>
  </r>
  <r>
    <x v="1"/>
    <n v="13.685700000000001"/>
    <n v="-89.193100000000001"/>
    <n v="18300"/>
    <n v="0"/>
    <n v="0"/>
    <n v="102"/>
    <s v="_x0000_US"/>
  </r>
  <r>
    <x v="1"/>
    <n v="13.6839"/>
    <n v="-89.198499999999996"/>
    <n v="13650"/>
    <n v="0"/>
    <n v="0"/>
    <n v="102"/>
    <s v="_x0000_US"/>
  </r>
  <r>
    <x v="1"/>
    <n v="13.6838"/>
    <n v="-89.198499999999996"/>
    <n v="13650"/>
    <n v="0"/>
    <n v="0"/>
    <n v="102"/>
    <s v="_x0000_US"/>
  </r>
  <r>
    <x v="1"/>
    <n v="13.6838"/>
    <n v="-89.198499999999996"/>
    <n v="13650"/>
    <n v="0"/>
    <n v="0"/>
    <n v="102"/>
    <s v="_x0000_US"/>
  </r>
  <r>
    <x v="1"/>
    <n v="13.6838"/>
    <n v="-89.197400000000002"/>
    <n v="8550"/>
    <n v="0"/>
    <n v="0"/>
    <n v="102"/>
    <s v="_x0000_US"/>
  </r>
  <r>
    <x v="1"/>
    <n v="13.6838"/>
    <n v="-89.197299999999998"/>
    <n v="8550"/>
    <n v="0"/>
    <n v="0"/>
    <n v="102"/>
    <s v="_x0000_US"/>
  </r>
  <r>
    <x v="1"/>
    <n v="13.6836"/>
    <n v="-89.197599999999994"/>
    <n v="8550"/>
    <n v="0"/>
    <n v="0"/>
    <n v="102"/>
    <s v="_x0000_US"/>
  </r>
  <r>
    <x v="1"/>
    <n v="13.683299999999999"/>
    <n v="-89.197100000000006"/>
    <n v="8550"/>
    <n v="0"/>
    <n v="0"/>
    <n v="102"/>
    <s v="_x0000_US"/>
  </r>
  <r>
    <x v="1"/>
    <n v="13.682600000000001"/>
    <n v="-89.197800000000001"/>
    <n v="8550"/>
    <n v="0"/>
    <n v="0"/>
    <n v="102"/>
    <s v="_x0000_US"/>
  </r>
  <r>
    <x v="1"/>
    <n v="13.682499999999999"/>
    <n v="-89.197699999999998"/>
    <n v="8550"/>
    <n v="0"/>
    <n v="0"/>
    <n v="102"/>
    <s v="_x0000_US"/>
  </r>
  <r>
    <x v="1"/>
    <n v="13.688599999999999"/>
    <n v="-89.208399999999997"/>
    <n v="36700"/>
    <n v="0"/>
    <n v="0"/>
    <n v="102"/>
    <s v="_x0000_US"/>
  </r>
  <r>
    <x v="1"/>
    <n v="13.688599999999999"/>
    <n v="-89.208399999999997"/>
    <n v="36700"/>
    <n v="0"/>
    <n v="0"/>
    <n v="102"/>
    <s v="_x0000_US"/>
  </r>
  <r>
    <x v="1"/>
    <n v="13.688599999999999"/>
    <n v="-89.208399999999997"/>
    <n v="36700"/>
    <n v="0"/>
    <n v="0"/>
    <n v="102"/>
    <s v="_x0000_US"/>
  </r>
  <r>
    <x v="1"/>
    <n v="13.688599999999999"/>
    <n v="-89.208399999999997"/>
    <n v="36700"/>
    <n v="0"/>
    <n v="0"/>
    <n v="102"/>
    <s v="_x0000_US"/>
  </r>
  <r>
    <x v="1"/>
    <n v="13.688499999999999"/>
    <n v="-89.208399999999997"/>
    <n v="36700"/>
    <n v="0"/>
    <n v="0"/>
    <n v="102"/>
    <s v="_x0000_US"/>
  </r>
  <r>
    <x v="1"/>
    <n v="13.688499999999999"/>
    <n v="-89.208399999999997"/>
    <n v="36700"/>
    <n v="0"/>
    <n v="0"/>
    <n v="102"/>
    <s v="_x0000_US"/>
  </r>
  <r>
    <x v="1"/>
    <n v="13.688499999999999"/>
    <n v="-89.208399999999997"/>
    <n v="36700"/>
    <n v="0"/>
    <n v="0"/>
    <n v="102"/>
    <s v="_x0000_US"/>
  </r>
  <r>
    <x v="1"/>
    <n v="13.688499999999999"/>
    <n v="-89.208399999999997"/>
    <n v="36700"/>
    <n v="0"/>
    <n v="0"/>
    <n v="102"/>
    <s v="_x0000_US"/>
  </r>
  <r>
    <x v="1"/>
    <n v="13.688499999999999"/>
    <n v="-89.208399999999997"/>
    <n v="36700"/>
    <n v="0"/>
    <n v="0"/>
    <n v="102"/>
    <s v="_x0000_US"/>
  </r>
  <r>
    <x v="1"/>
    <n v="13.688499999999999"/>
    <n v="-89.208399999999997"/>
    <n v="36700"/>
    <n v="0"/>
    <n v="0"/>
    <n v="102"/>
    <s v="_x0000_US"/>
  </r>
  <r>
    <x v="1"/>
    <n v="13.6884"/>
    <n v="-89.208399999999997"/>
    <n v="36700"/>
    <n v="0"/>
    <n v="0"/>
    <n v="102"/>
    <s v="_x0000_US"/>
  </r>
  <r>
    <x v="1"/>
    <n v="13.6884"/>
    <n v="-89.208399999999997"/>
    <n v="36700"/>
    <n v="0"/>
    <n v="0"/>
    <n v="102"/>
    <s v="_x0000_US"/>
  </r>
  <r>
    <x v="1"/>
    <n v="13.688599999999999"/>
    <n v="-89.208200000000005"/>
    <n v="36700"/>
    <n v="0"/>
    <n v="0"/>
    <n v="102"/>
    <s v="_x0000_US"/>
  </r>
  <r>
    <x v="1"/>
    <n v="13.688599999999999"/>
    <n v="-89.208200000000005"/>
    <n v="36700"/>
    <n v="0"/>
    <n v="0"/>
    <n v="102"/>
    <s v="_x0000_US"/>
  </r>
  <r>
    <x v="1"/>
    <n v="13.688599999999999"/>
    <n v="-89.208200000000005"/>
    <n v="36700"/>
    <n v="0"/>
    <n v="0"/>
    <n v="102"/>
    <s v="_x0000_US"/>
  </r>
  <r>
    <x v="1"/>
    <n v="13.688599999999999"/>
    <n v="-89.208200000000005"/>
    <n v="36700"/>
    <n v="0"/>
    <n v="0"/>
    <n v="102"/>
    <s v="_x0000_US"/>
  </r>
  <r>
    <x v="1"/>
    <n v="13.688499999999999"/>
    <n v="-89.208200000000005"/>
    <n v="36700"/>
    <n v="0"/>
    <n v="0"/>
    <n v="102"/>
    <s v="_x0000_US"/>
  </r>
  <r>
    <x v="1"/>
    <n v="13.688499999999999"/>
    <n v="-89.208200000000005"/>
    <n v="36700"/>
    <n v="0"/>
    <n v="0"/>
    <n v="102"/>
    <s v="_x0000_US"/>
  </r>
  <r>
    <x v="1"/>
    <n v="13.688499999999999"/>
    <n v="-89.208200000000005"/>
    <n v="36700"/>
    <n v="0"/>
    <n v="0"/>
    <n v="102"/>
    <s v="_x0000_US"/>
  </r>
  <r>
    <x v="1"/>
    <n v="13.688499999999999"/>
    <n v="-89.208200000000005"/>
    <n v="36700"/>
    <n v="0"/>
    <n v="0"/>
    <n v="102"/>
    <s v="_x0000_US"/>
  </r>
  <r>
    <x v="1"/>
    <n v="13.6884"/>
    <n v="-89.208200000000005"/>
    <n v="36700"/>
    <n v="0"/>
    <n v="0"/>
    <n v="102"/>
    <s v="_x0000_US"/>
  </r>
  <r>
    <x v="1"/>
    <n v="13.6884"/>
    <n v="-89.208200000000005"/>
    <n v="36700"/>
    <n v="0"/>
    <n v="0"/>
    <n v="102"/>
    <s v="_x0000_US"/>
  </r>
  <r>
    <x v="1"/>
    <n v="13.6884"/>
    <n v="-89.208200000000005"/>
    <n v="36700"/>
    <n v="0"/>
    <n v="0"/>
    <n v="102"/>
    <s v="_x0000_US"/>
  </r>
  <r>
    <x v="1"/>
    <n v="13.6884"/>
    <n v="-89.208200000000005"/>
    <n v="36700"/>
    <n v="0"/>
    <n v="0"/>
    <n v="102"/>
    <s v="_x0000_US"/>
  </r>
  <r>
    <x v="1"/>
    <n v="13.6884"/>
    <n v="-89.208399999999997"/>
    <n v="36700"/>
    <n v="0"/>
    <n v="0"/>
    <n v="102"/>
    <s v="_x0000_US"/>
  </r>
  <r>
    <x v="1"/>
    <n v="13.6884"/>
    <n v="-89.208399999999997"/>
    <n v="36700"/>
    <n v="0"/>
    <n v="0"/>
    <n v="102"/>
    <s v="_x0000_US"/>
  </r>
  <r>
    <x v="1"/>
    <n v="13.6884"/>
    <n v="-89.208399999999997"/>
    <n v="36700"/>
    <n v="0"/>
    <n v="0"/>
    <n v="102"/>
    <s v="_x0000_US"/>
  </r>
  <r>
    <x v="1"/>
    <n v="13.6884"/>
    <n v="-89.208399999999997"/>
    <n v="36700"/>
    <n v="0"/>
    <n v="0"/>
    <n v="102"/>
    <s v="_x0000_US"/>
  </r>
  <r>
    <x v="1"/>
    <n v="13.6884"/>
    <n v="-89.208200000000005"/>
    <n v="36700"/>
    <n v="0"/>
    <n v="0"/>
    <n v="102"/>
    <s v="_x0000_US"/>
  </r>
  <r>
    <x v="1"/>
    <n v="13.6883"/>
    <n v="-89.208200000000005"/>
    <n v="36700"/>
    <n v="0"/>
    <n v="0"/>
    <n v="102"/>
    <s v="_x0000_US"/>
  </r>
  <r>
    <x v="1"/>
    <n v="13.6883"/>
    <n v="-89.208200000000005"/>
    <n v="36700"/>
    <n v="0"/>
    <n v="0"/>
    <n v="102"/>
    <s v="_x0000_US"/>
  </r>
  <r>
    <x v="1"/>
    <n v="13.6883"/>
    <n v="-89.208200000000005"/>
    <n v="36700"/>
    <n v="0"/>
    <n v="0"/>
    <n v="102"/>
    <s v="_x0000_US"/>
  </r>
  <r>
    <x v="1"/>
    <n v="13.6883"/>
    <n v="-89.207999999999998"/>
    <n v="36700"/>
    <n v="0"/>
    <n v="0"/>
    <n v="102"/>
    <s v="_x0000_US"/>
  </r>
  <r>
    <x v="1"/>
    <n v="13.6883"/>
    <n v="-89.207999999999998"/>
    <n v="36700"/>
    <n v="0"/>
    <n v="0"/>
    <n v="102"/>
    <s v="_x0000_US"/>
  </r>
  <r>
    <x v="1"/>
    <n v="13.6884"/>
    <n v="-89.207999999999998"/>
    <n v="36700"/>
    <n v="0"/>
    <n v="0"/>
    <n v="102"/>
    <s v="_x0000_US"/>
  </r>
  <r>
    <x v="1"/>
    <n v="13.6884"/>
    <n v="-89.207999999999998"/>
    <n v="36700"/>
    <n v="0"/>
    <n v="0"/>
    <n v="102"/>
    <s v="_x0000_US"/>
  </r>
  <r>
    <x v="1"/>
    <n v="13.6884"/>
    <n v="-89.207999999999998"/>
    <n v="36700"/>
    <n v="0"/>
    <n v="0"/>
    <n v="102"/>
    <s v="_x0000_US"/>
  </r>
  <r>
    <x v="1"/>
    <n v="13.6884"/>
    <n v="-89.207999999999998"/>
    <n v="36700"/>
    <n v="0"/>
    <n v="0"/>
    <n v="102"/>
    <s v="_x0000_US"/>
  </r>
  <r>
    <x v="1"/>
    <n v="13.6884"/>
    <n v="-89.207999999999998"/>
    <n v="36700"/>
    <n v="0"/>
    <n v="0"/>
    <n v="102"/>
    <s v="_x0000_US"/>
  </r>
  <r>
    <x v="1"/>
    <n v="13.6884"/>
    <n v="-89.207999999999998"/>
    <n v="36700"/>
    <n v="0"/>
    <n v="0"/>
    <n v="102"/>
    <s v="_x0000_US"/>
  </r>
  <r>
    <x v="1"/>
    <n v="13.688499999999999"/>
    <n v="-89.207800000000006"/>
    <n v="36700"/>
    <n v="0"/>
    <n v="0"/>
    <n v="102"/>
    <s v="_x0000_US"/>
  </r>
  <r>
    <x v="1"/>
    <n v="13.688499999999999"/>
    <n v="-89.207800000000006"/>
    <n v="36700"/>
    <n v="0"/>
    <n v="0"/>
    <n v="102"/>
    <s v="_x0000_US"/>
  </r>
  <r>
    <x v="1"/>
    <n v="13.688499999999999"/>
    <n v="-89.207800000000006"/>
    <n v="36700"/>
    <n v="0"/>
    <n v="0"/>
    <n v="102"/>
    <s v="_x0000_US"/>
  </r>
  <r>
    <x v="1"/>
    <n v="13.6884"/>
    <n v="-89.207800000000006"/>
    <n v="36700"/>
    <n v="0"/>
    <n v="0"/>
    <n v="102"/>
    <s v="_x0000_US"/>
  </r>
  <r>
    <x v="1"/>
    <n v="13.6884"/>
    <n v="-89.207800000000006"/>
    <n v="36700"/>
    <n v="0"/>
    <n v="0"/>
    <n v="102"/>
    <s v="_x0000_US"/>
  </r>
  <r>
    <x v="1"/>
    <n v="13.6884"/>
    <n v="-89.207800000000006"/>
    <n v="36700"/>
    <n v="0"/>
    <n v="0"/>
    <n v="102"/>
    <s v="_x0000_US"/>
  </r>
  <r>
    <x v="1"/>
    <n v="13.6884"/>
    <n v="-89.207800000000006"/>
    <n v="36700"/>
    <n v="0"/>
    <n v="0"/>
    <n v="102"/>
    <s v="_x0000_US"/>
  </r>
  <r>
    <x v="1"/>
    <n v="13.6884"/>
    <n v="-89.207800000000006"/>
    <n v="36700"/>
    <n v="0"/>
    <n v="0"/>
    <n v="102"/>
    <s v="_x0000_US"/>
  </r>
  <r>
    <x v="1"/>
    <n v="13.6883"/>
    <n v="-89.207800000000006"/>
    <n v="36700"/>
    <n v="0"/>
    <n v="0"/>
    <n v="102"/>
    <s v="_x0000_US"/>
  </r>
  <r>
    <x v="1"/>
    <n v="13.6883"/>
    <n v="-89.207800000000006"/>
    <n v="36700"/>
    <n v="0"/>
    <n v="0"/>
    <n v="102"/>
    <s v="_x0000_US"/>
  </r>
  <r>
    <x v="1"/>
    <n v="13.6883"/>
    <n v="-89.207800000000006"/>
    <n v="36700"/>
    <n v="0"/>
    <n v="0"/>
    <n v="102"/>
    <s v="_x0000_US"/>
  </r>
  <r>
    <x v="1"/>
    <n v="13.6883"/>
    <n v="-89.207800000000006"/>
    <n v="36700"/>
    <n v="0"/>
    <n v="0"/>
    <n v="102"/>
    <s v="_x0000_US"/>
  </r>
  <r>
    <x v="1"/>
    <n v="13.688499999999999"/>
    <n v="-89.207599999999999"/>
    <n v="36700"/>
    <n v="0"/>
    <n v="0"/>
    <n v="102"/>
    <s v="_x0000_US"/>
  </r>
  <r>
    <x v="1"/>
    <n v="13.6884"/>
    <n v="-89.207599999999999"/>
    <n v="36700"/>
    <n v="0"/>
    <n v="0"/>
    <n v="102"/>
    <s v="_x0000_US"/>
  </r>
  <r>
    <x v="1"/>
    <n v="13.6884"/>
    <n v="-89.207599999999999"/>
    <n v="36700"/>
    <n v="0"/>
    <n v="0"/>
    <n v="102"/>
    <s v="_x0000_US"/>
  </r>
  <r>
    <x v="1"/>
    <n v="13.6884"/>
    <n v="-89.207599999999999"/>
    <n v="36700"/>
    <n v="0"/>
    <n v="0"/>
    <n v="102"/>
    <s v="_x0000_US"/>
  </r>
  <r>
    <x v="1"/>
    <n v="13.6884"/>
    <n v="-89.207599999999999"/>
    <n v="36700"/>
    <n v="0"/>
    <n v="0"/>
    <n v="102"/>
    <s v="_x0000_US"/>
  </r>
  <r>
    <x v="1"/>
    <n v="13.6884"/>
    <n v="-89.207599999999999"/>
    <n v="36700"/>
    <n v="0"/>
    <n v="0"/>
    <n v="102"/>
    <s v="_x0000_US"/>
  </r>
  <r>
    <x v="1"/>
    <n v="13.6884"/>
    <n v="-89.207599999999999"/>
    <n v="36700"/>
    <n v="0"/>
    <n v="0"/>
    <n v="102"/>
    <s v="_x0000_US"/>
  </r>
  <r>
    <x v="1"/>
    <n v="13.6883"/>
    <n v="-89.207599999999999"/>
    <n v="36700"/>
    <n v="0"/>
    <n v="0"/>
    <n v="102"/>
    <s v="_x0000_US"/>
  </r>
  <r>
    <x v="1"/>
    <n v="13.6883"/>
    <n v="-89.207599999999999"/>
    <n v="36700"/>
    <n v="0"/>
    <n v="0"/>
    <n v="102"/>
    <s v="_x0000_US"/>
  </r>
  <r>
    <x v="1"/>
    <n v="13.6883"/>
    <n v="-89.207599999999999"/>
    <n v="36700"/>
    <n v="0"/>
    <n v="0"/>
    <n v="102"/>
    <s v="_x0000_US"/>
  </r>
  <r>
    <x v="1"/>
    <n v="13.6883"/>
    <n v="-89.207599999999999"/>
    <n v="36700"/>
    <n v="0"/>
    <n v="0"/>
    <n v="102"/>
    <s v="_x0000_US"/>
  </r>
  <r>
    <x v="1"/>
    <n v="13.6883"/>
    <n v="-89.207599999999999"/>
    <n v="36700"/>
    <n v="0"/>
    <n v="0"/>
    <n v="102"/>
    <s v="_x0000_US"/>
  </r>
  <r>
    <x v="1"/>
    <n v="13.688599999999999"/>
    <n v="-89.207999999999998"/>
    <n v="36700"/>
    <n v="0"/>
    <n v="0"/>
    <n v="102"/>
    <s v="_x0000_US"/>
  </r>
  <r>
    <x v="1"/>
    <n v="13.688599999999999"/>
    <n v="-89.207999999999998"/>
    <n v="36700"/>
    <n v="0"/>
    <n v="0"/>
    <n v="102"/>
    <s v="_x0000_US"/>
  </r>
  <r>
    <x v="1"/>
    <n v="13.688599999999999"/>
    <n v="-89.207999999999998"/>
    <n v="36700"/>
    <n v="0"/>
    <n v="0"/>
    <n v="102"/>
    <s v="_x0000_US"/>
  </r>
  <r>
    <x v="1"/>
    <n v="13.688499999999999"/>
    <n v="-89.207999999999998"/>
    <n v="36700"/>
    <n v="0"/>
    <n v="0"/>
    <n v="102"/>
    <s v="_x0000_US"/>
  </r>
  <r>
    <x v="1"/>
    <n v="13.688499999999999"/>
    <n v="-89.207999999999998"/>
    <n v="36700"/>
    <n v="0"/>
    <n v="0"/>
    <n v="102"/>
    <s v="_x0000_US"/>
  </r>
  <r>
    <x v="1"/>
    <n v="13.688499999999999"/>
    <n v="-89.207999999999998"/>
    <n v="36700"/>
    <n v="0"/>
    <n v="0"/>
    <n v="102"/>
    <s v="_x0000_US"/>
  </r>
  <r>
    <x v="1"/>
    <n v="13.688499999999999"/>
    <n v="-89.207999999999998"/>
    <n v="36700"/>
    <n v="0"/>
    <n v="0"/>
    <n v="102"/>
    <s v="_x0000_US"/>
  </r>
  <r>
    <x v="1"/>
    <n v="13.688499999999999"/>
    <n v="-89.207999999999998"/>
    <n v="36700"/>
    <n v="0"/>
    <n v="0"/>
    <n v="102"/>
    <s v="_x0000_US"/>
  </r>
  <r>
    <x v="1"/>
    <n v="13.688599999999999"/>
    <n v="-89.207800000000006"/>
    <n v="36700"/>
    <n v="0"/>
    <n v="0"/>
    <n v="102"/>
    <s v="_x0000_US"/>
  </r>
  <r>
    <x v="1"/>
    <n v="13.688499999999999"/>
    <n v="-89.207800000000006"/>
    <n v="36700"/>
    <n v="0"/>
    <n v="0"/>
    <n v="102"/>
    <s v="_x0000_US"/>
  </r>
  <r>
    <x v="1"/>
    <n v="13.688499999999999"/>
    <n v="-89.207800000000006"/>
    <n v="36700"/>
    <n v="0"/>
    <n v="0"/>
    <n v="102"/>
    <s v="_x0000_US"/>
  </r>
  <r>
    <x v="1"/>
    <n v="13.688499999999999"/>
    <n v="-89.207800000000006"/>
    <n v="36700"/>
    <n v="0"/>
    <n v="0"/>
    <n v="102"/>
    <s v="_x0000_US"/>
  </r>
  <r>
    <x v="1"/>
    <n v="13.688499999999999"/>
    <n v="-89.207599999999999"/>
    <n v="36700"/>
    <n v="0"/>
    <n v="0"/>
    <n v="102"/>
    <s v="_x0000_US"/>
  </r>
  <r>
    <x v="1"/>
    <n v="13.688499999999999"/>
    <n v="-89.207599999999999"/>
    <n v="36700"/>
    <n v="0"/>
    <n v="0"/>
    <n v="102"/>
    <s v="_x0000_US"/>
  </r>
  <r>
    <x v="1"/>
    <n v="13.688499999999999"/>
    <n v="-89.207599999999999"/>
    <n v="36700"/>
    <n v="0"/>
    <n v="0"/>
    <n v="102"/>
    <s v="_x0000_US"/>
  </r>
  <r>
    <x v="1"/>
    <n v="13.688499999999999"/>
    <n v="-89.207599999999999"/>
    <n v="36700"/>
    <n v="0"/>
    <n v="0"/>
    <n v="102"/>
    <s v="_x0000_US"/>
  </r>
  <r>
    <x v="1"/>
    <n v="13.6884"/>
    <n v="-89.207300000000004"/>
    <n v="36700"/>
    <n v="0"/>
    <n v="0"/>
    <n v="102"/>
    <s v="_x0000_US"/>
  </r>
  <r>
    <x v="1"/>
    <n v="13.6884"/>
    <n v="-89.207300000000004"/>
    <n v="36700"/>
    <n v="0"/>
    <n v="0"/>
    <n v="102"/>
    <s v="_x0000_US"/>
  </r>
  <r>
    <x v="1"/>
    <n v="13.6884"/>
    <n v="-89.207300000000004"/>
    <n v="36700"/>
    <n v="0"/>
    <n v="0"/>
    <n v="102"/>
    <s v="_x0000_US"/>
  </r>
  <r>
    <x v="1"/>
    <n v="13.6883"/>
    <n v="-89.207300000000004"/>
    <n v="36700"/>
    <n v="0"/>
    <n v="0"/>
    <n v="102"/>
    <s v="_x0000_US"/>
  </r>
  <r>
    <x v="1"/>
    <n v="13.6883"/>
    <n v="-89.207300000000004"/>
    <n v="36700"/>
    <n v="0"/>
    <n v="0"/>
    <n v="102"/>
    <s v="_x0000_US"/>
  </r>
  <r>
    <x v="1"/>
    <n v="13.6883"/>
    <n v="-89.207300000000004"/>
    <n v="36700"/>
    <n v="0"/>
    <n v="0"/>
    <n v="102"/>
    <s v="_x0000_US"/>
  </r>
  <r>
    <x v="1"/>
    <n v="13.6883"/>
    <n v="-89.207300000000004"/>
    <n v="36700"/>
    <n v="0"/>
    <n v="0"/>
    <n v="102"/>
    <s v="_x0000_US"/>
  </r>
  <r>
    <x v="1"/>
    <n v="13.6883"/>
    <n v="-89.207300000000004"/>
    <n v="36700"/>
    <n v="0"/>
    <n v="0"/>
    <n v="102"/>
    <s v="_x0000_US"/>
  </r>
  <r>
    <x v="1"/>
    <n v="13.6882"/>
    <n v="-89.207300000000004"/>
    <n v="36700"/>
    <n v="0"/>
    <n v="0"/>
    <n v="102"/>
    <s v="_x0000_US"/>
  </r>
  <r>
    <x v="1"/>
    <n v="13.6882"/>
    <n v="-89.207300000000004"/>
    <n v="36700"/>
    <n v="0"/>
    <n v="0"/>
    <n v="102"/>
    <s v="_x0000_US"/>
  </r>
  <r>
    <x v="1"/>
    <n v="13.6882"/>
    <n v="-89.207300000000004"/>
    <n v="36700"/>
    <n v="0"/>
    <n v="0"/>
    <n v="102"/>
    <s v="_x0000_US"/>
  </r>
  <r>
    <x v="1"/>
    <n v="13.6881"/>
    <n v="-89.207300000000004"/>
    <n v="36700"/>
    <n v="0"/>
    <n v="0"/>
    <n v="102"/>
    <s v="_x0000_US"/>
  </r>
  <r>
    <x v="1"/>
    <n v="13.6881"/>
    <n v="-89.207300000000004"/>
    <n v="36700"/>
    <n v="0"/>
    <n v="0"/>
    <n v="102"/>
    <s v="_x0000_US"/>
  </r>
  <r>
    <x v="1"/>
    <n v="13.6881"/>
    <n v="-89.207300000000004"/>
    <n v="36700"/>
    <n v="0"/>
    <n v="0"/>
    <n v="102"/>
    <s v="_x0000_US"/>
  </r>
  <r>
    <x v="1"/>
    <n v="13.6881"/>
    <n v="-89.207999999999998"/>
    <n v="36700"/>
    <n v="0"/>
    <n v="0"/>
    <n v="102"/>
    <s v="_x0000_US"/>
  </r>
  <r>
    <x v="1"/>
    <n v="13.6881"/>
    <n v="-89.207999999999998"/>
    <n v="36700"/>
    <n v="0"/>
    <n v="0"/>
    <n v="102"/>
    <s v="_x0000_US"/>
  </r>
  <r>
    <x v="1"/>
    <n v="13.6881"/>
    <n v="-89.207999999999998"/>
    <n v="36700"/>
    <n v="0"/>
    <n v="0"/>
    <n v="102"/>
    <s v="_x0000_US"/>
  </r>
  <r>
    <x v="1"/>
    <n v="13.6881"/>
    <n v="-89.207999999999998"/>
    <n v="36700"/>
    <n v="0"/>
    <n v="0"/>
    <n v="102"/>
    <s v="_x0000_US"/>
  </r>
  <r>
    <x v="1"/>
    <n v="13.688000000000001"/>
    <n v="-89.207999999999998"/>
    <n v="36700"/>
    <n v="0"/>
    <n v="0"/>
    <n v="102"/>
    <s v="_x0000_US"/>
  </r>
  <r>
    <x v="1"/>
    <n v="13.688000000000001"/>
    <n v="-89.207999999999998"/>
    <n v="36700"/>
    <n v="0"/>
    <n v="0"/>
    <n v="102"/>
    <s v="_x0000_US"/>
  </r>
  <r>
    <x v="1"/>
    <n v="13.6881"/>
    <n v="-89.208200000000005"/>
    <n v="36700"/>
    <n v="0"/>
    <n v="0"/>
    <n v="102"/>
    <s v="_x0000_US"/>
  </r>
  <r>
    <x v="1"/>
    <n v="13.6881"/>
    <n v="-89.208200000000005"/>
    <n v="36700"/>
    <n v="0"/>
    <n v="0"/>
    <n v="102"/>
    <s v="_x0000_US"/>
  </r>
  <r>
    <x v="1"/>
    <n v="13.6881"/>
    <n v="-89.208200000000005"/>
    <n v="36700"/>
    <n v="0"/>
    <n v="0"/>
    <n v="102"/>
    <s v="_x0000_US"/>
  </r>
  <r>
    <x v="1"/>
    <n v="13.6881"/>
    <n v="-89.208200000000005"/>
    <n v="36700"/>
    <n v="0"/>
    <n v="0"/>
    <n v="102"/>
    <s v="_x0000_US"/>
  </r>
  <r>
    <x v="1"/>
    <n v="13.6882"/>
    <n v="-89.208600000000004"/>
    <n v="36700"/>
    <n v="0"/>
    <n v="0"/>
    <n v="102"/>
    <s v="_x0000_US"/>
  </r>
  <r>
    <x v="1"/>
    <n v="13.6882"/>
    <n v="-89.208600000000004"/>
    <n v="36700"/>
    <n v="0"/>
    <n v="0"/>
    <n v="102"/>
    <s v="_x0000_US"/>
  </r>
  <r>
    <x v="1"/>
    <n v="13.6882"/>
    <n v="-89.208600000000004"/>
    <n v="36700"/>
    <n v="0"/>
    <n v="0"/>
    <n v="102"/>
    <s v="_x0000_US"/>
  </r>
  <r>
    <x v="1"/>
    <n v="13.6882"/>
    <n v="-89.208600000000004"/>
    <n v="36700"/>
    <n v="0"/>
    <n v="0"/>
    <n v="102"/>
    <s v="_x0000_US"/>
  </r>
  <r>
    <x v="1"/>
    <n v="13.6882"/>
    <n v="-89.208399999999997"/>
    <n v="36700"/>
    <n v="0"/>
    <n v="0"/>
    <n v="102"/>
    <s v="_x0000_US"/>
  </r>
  <r>
    <x v="1"/>
    <n v="13.6882"/>
    <n v="-89.208399999999997"/>
    <n v="36700"/>
    <n v="0"/>
    <n v="0"/>
    <n v="102"/>
    <s v="_x0000_US"/>
  </r>
  <r>
    <x v="1"/>
    <n v="13.6881"/>
    <n v="-89.208399999999997"/>
    <n v="36700"/>
    <n v="0"/>
    <n v="0"/>
    <n v="102"/>
    <s v="_x0000_US"/>
  </r>
  <r>
    <x v="1"/>
    <n v="13.6881"/>
    <n v="-89.208399999999997"/>
    <n v="36700"/>
    <n v="0"/>
    <n v="0"/>
    <n v="102"/>
    <s v="_x0000_US"/>
  </r>
  <r>
    <x v="1"/>
    <n v="13.6881"/>
    <n v="-89.208600000000004"/>
    <n v="36700"/>
    <n v="0"/>
    <n v="0"/>
    <n v="102"/>
    <s v="_x0000_US"/>
  </r>
  <r>
    <x v="1"/>
    <n v="13.6881"/>
    <n v="-89.208600000000004"/>
    <n v="36700"/>
    <n v="0"/>
    <n v="0"/>
    <n v="102"/>
    <s v="_x0000_US"/>
  </r>
  <r>
    <x v="1"/>
    <n v="13.688000000000001"/>
    <n v="-89.208600000000004"/>
    <n v="36700"/>
    <n v="0"/>
    <n v="0"/>
    <n v="102"/>
    <s v="_x0000_US"/>
  </r>
  <r>
    <x v="1"/>
    <n v="13.688000000000001"/>
    <n v="-89.208600000000004"/>
    <n v="36700"/>
    <n v="0"/>
    <n v="0"/>
    <n v="102"/>
    <s v="_x0000_US"/>
  </r>
  <r>
    <x v="1"/>
    <n v="13.6881"/>
    <n v="-89.208399999999997"/>
    <n v="36700"/>
    <n v="0"/>
    <n v="0"/>
    <n v="102"/>
    <s v="_x0000_US"/>
  </r>
  <r>
    <x v="1"/>
    <n v="13.6881"/>
    <n v="-89.208399999999997"/>
    <n v="36700"/>
    <n v="0"/>
    <n v="0"/>
    <n v="102"/>
    <s v="_x0000_US"/>
  </r>
  <r>
    <x v="1"/>
    <n v="13.6881"/>
    <n v="-89.208399999999997"/>
    <n v="36700"/>
    <n v="0"/>
    <n v="0"/>
    <n v="102"/>
    <s v="_x0000_US"/>
  </r>
  <r>
    <x v="1"/>
    <n v="13.6881"/>
    <n v="-89.208399999999997"/>
    <n v="36700"/>
    <n v="0"/>
    <n v="0"/>
    <n v="102"/>
    <s v="_x0000_US"/>
  </r>
  <r>
    <x v="1"/>
    <n v="13.688000000000001"/>
    <n v="-89.208399999999997"/>
    <n v="36700"/>
    <n v="0"/>
    <n v="0"/>
    <n v="102"/>
    <s v="_x0000_US"/>
  </r>
  <r>
    <x v="1"/>
    <n v="13.6881"/>
    <n v="-89.208200000000005"/>
    <n v="36700"/>
    <n v="0"/>
    <n v="0"/>
    <n v="102"/>
    <s v="_x0000_US"/>
  </r>
  <r>
    <x v="1"/>
    <n v="13.6881"/>
    <n v="-89.208200000000005"/>
    <n v="36700"/>
    <n v="0"/>
    <n v="0"/>
    <n v="102"/>
    <s v="_x0000_US"/>
  </r>
  <r>
    <x v="1"/>
    <n v="13.6881"/>
    <n v="-89.208200000000005"/>
    <n v="36700"/>
    <n v="0"/>
    <n v="0"/>
    <n v="102"/>
    <s v="_x0000_US"/>
  </r>
  <r>
    <x v="1"/>
    <n v="13.688000000000001"/>
    <n v="-89.208200000000005"/>
    <n v="36700"/>
    <n v="0"/>
    <n v="0"/>
    <n v="102"/>
    <s v="_x0000_US"/>
  </r>
  <r>
    <x v="1"/>
    <n v="13.688000000000001"/>
    <n v="-89.208399999999997"/>
    <n v="36700"/>
    <n v="0"/>
    <n v="0"/>
    <n v="102"/>
    <s v="_x0000_US"/>
  </r>
  <r>
    <x v="1"/>
    <n v="13.688000000000001"/>
    <n v="-89.208399999999997"/>
    <n v="36700"/>
    <n v="0"/>
    <n v="0"/>
    <n v="102"/>
    <s v="_x0000_US"/>
  </r>
  <r>
    <x v="1"/>
    <n v="13.688000000000001"/>
    <n v="-89.208399999999997"/>
    <n v="36700"/>
    <n v="0"/>
    <n v="0"/>
    <n v="102"/>
    <s v="_x0000_US"/>
  </r>
  <r>
    <x v="1"/>
    <n v="13.688000000000001"/>
    <n v="-89.208200000000005"/>
    <n v="36700"/>
    <n v="0"/>
    <n v="0"/>
    <n v="102"/>
    <s v="_x0000_US"/>
  </r>
  <r>
    <x v="1"/>
    <n v="13.688000000000001"/>
    <n v="-89.208200000000005"/>
    <n v="36700"/>
    <n v="0"/>
    <n v="0"/>
    <n v="102"/>
    <s v="_x0000_US"/>
  </r>
  <r>
    <x v="1"/>
    <n v="13.688000000000001"/>
    <n v="-89.208200000000005"/>
    <n v="36700"/>
    <n v="0"/>
    <n v="0"/>
    <n v="102"/>
    <s v="_x0000_US"/>
  </r>
  <r>
    <x v="1"/>
    <n v="13.688000000000001"/>
    <n v="-89.208200000000005"/>
    <n v="36700"/>
    <n v="0"/>
    <n v="0"/>
    <n v="102"/>
    <s v="_x0000_US"/>
  </r>
  <r>
    <x v="1"/>
    <n v="13.688000000000001"/>
    <n v="-89.207999999999998"/>
    <n v="36700"/>
    <n v="0"/>
    <n v="0"/>
    <n v="102"/>
    <s v="_x0000_US"/>
  </r>
  <r>
    <x v="1"/>
    <n v="13.688000000000001"/>
    <n v="-89.207999999999998"/>
    <n v="36700"/>
    <n v="0"/>
    <n v="0"/>
    <n v="102"/>
    <s v="_x0000_US"/>
  </r>
  <r>
    <x v="1"/>
    <n v="13.688000000000001"/>
    <n v="-89.207999999999998"/>
    <n v="36700"/>
    <n v="0"/>
    <n v="0"/>
    <n v="102"/>
    <s v="_x0000_US"/>
  </r>
  <r>
    <x v="1"/>
    <n v="13.687900000000001"/>
    <n v="-89.207999999999998"/>
    <n v="36700"/>
    <n v="0"/>
    <n v="0"/>
    <n v="102"/>
    <s v="_x0000_US"/>
  </r>
  <r>
    <x v="1"/>
    <n v="13.687900000000001"/>
    <n v="-89.208600000000004"/>
    <n v="36700"/>
    <n v="0"/>
    <n v="0"/>
    <n v="102"/>
    <s v="_x0000_US"/>
  </r>
  <r>
    <x v="1"/>
    <n v="13.687900000000001"/>
    <n v="-89.208600000000004"/>
    <n v="36700"/>
    <n v="0"/>
    <n v="0"/>
    <n v="102"/>
    <s v="_x0000_US"/>
  </r>
  <r>
    <x v="1"/>
    <n v="13.687900000000001"/>
    <n v="-89.208600000000004"/>
    <n v="36700"/>
    <n v="0"/>
    <n v="0"/>
    <n v="102"/>
    <s v="_x0000_US"/>
  </r>
  <r>
    <x v="1"/>
    <n v="13.687900000000001"/>
    <n v="-89.208399999999997"/>
    <n v="36700"/>
    <n v="0"/>
    <n v="0"/>
    <n v="102"/>
    <s v="_x0000_US"/>
  </r>
  <r>
    <x v="1"/>
    <n v="13.687900000000001"/>
    <n v="-89.208399999999997"/>
    <n v="36700"/>
    <n v="0"/>
    <n v="0"/>
    <n v="102"/>
    <s v="_x0000_US"/>
  </r>
  <r>
    <x v="1"/>
    <n v="13.687900000000001"/>
    <n v="-89.208399999999997"/>
    <n v="36700"/>
    <n v="0"/>
    <n v="0"/>
    <n v="102"/>
    <s v="_x0000_US"/>
  </r>
  <r>
    <x v="1"/>
    <n v="13.687900000000001"/>
    <n v="-89.208399999999997"/>
    <n v="36700"/>
    <n v="0"/>
    <n v="0"/>
    <n v="102"/>
    <s v="_x0000_US"/>
  </r>
  <r>
    <x v="1"/>
    <n v="13.687900000000001"/>
    <n v="-89.208200000000005"/>
    <n v="36700"/>
    <n v="0"/>
    <n v="0"/>
    <n v="102"/>
    <s v="_x0000_US"/>
  </r>
  <r>
    <x v="1"/>
    <n v="13.687900000000001"/>
    <n v="-89.208200000000005"/>
    <n v="36700"/>
    <n v="0"/>
    <n v="0"/>
    <n v="102"/>
    <s v="_x0000_US"/>
  </r>
  <r>
    <x v="1"/>
    <n v="13.687900000000001"/>
    <n v="-89.208200000000005"/>
    <n v="36700"/>
    <n v="0"/>
    <n v="0"/>
    <n v="102"/>
    <s v="_x0000_US"/>
  </r>
  <r>
    <x v="1"/>
    <n v="13.687900000000001"/>
    <n v="-89.208200000000005"/>
    <n v="36700"/>
    <n v="0"/>
    <n v="0"/>
    <n v="102"/>
    <s v="_x0000_US"/>
  </r>
  <r>
    <x v="1"/>
    <n v="13.687900000000001"/>
    <n v="-89.207999999999998"/>
    <n v="36700"/>
    <n v="0"/>
    <n v="0"/>
    <n v="102"/>
    <s v="_x0000_US"/>
  </r>
  <r>
    <x v="1"/>
    <n v="13.687900000000001"/>
    <n v="-89.207999999999998"/>
    <n v="36700"/>
    <n v="0"/>
    <n v="0"/>
    <n v="102"/>
    <s v="_x0000_US"/>
  </r>
  <r>
    <x v="1"/>
    <n v="13.687900000000001"/>
    <n v="-89.207999999999998"/>
    <n v="36700"/>
    <n v="0"/>
    <n v="0"/>
    <n v="102"/>
    <s v="_x0000_US"/>
  </r>
  <r>
    <x v="1"/>
    <n v="13.687900000000001"/>
    <n v="-89.207999999999998"/>
    <n v="36700"/>
    <n v="0"/>
    <n v="0"/>
    <n v="102"/>
    <s v="_x0000_US"/>
  </r>
  <r>
    <x v="1"/>
    <n v="13.688000000000001"/>
    <n v="-89.207400000000007"/>
    <n v="36700"/>
    <n v="0"/>
    <n v="0"/>
    <n v="102"/>
    <s v="_x0000_US"/>
  </r>
  <r>
    <x v="1"/>
    <n v="13.688000000000001"/>
    <n v="-89.207400000000007"/>
    <n v="36700"/>
    <n v="0"/>
    <n v="0"/>
    <n v="102"/>
    <s v="_x0000_US"/>
  </r>
  <r>
    <x v="1"/>
    <n v="13.688000000000001"/>
    <n v="-89.207400000000007"/>
    <n v="36700"/>
    <n v="0"/>
    <n v="0"/>
    <n v="102"/>
    <s v="_x0000_US"/>
  </r>
  <r>
    <x v="1"/>
    <n v="13.688000000000001"/>
    <n v="-89.207400000000007"/>
    <n v="36700"/>
    <n v="0"/>
    <n v="0"/>
    <n v="102"/>
    <s v="_x0000_US"/>
  </r>
  <r>
    <x v="1"/>
    <n v="13.687900000000001"/>
    <n v="-89.207400000000007"/>
    <n v="36700"/>
    <n v="0"/>
    <n v="0"/>
    <n v="102"/>
    <s v="_x0000_US"/>
  </r>
  <r>
    <x v="1"/>
    <n v="13.687900000000001"/>
    <n v="-89.207400000000007"/>
    <n v="36700"/>
    <n v="0"/>
    <n v="0"/>
    <n v="102"/>
    <s v="_x0000_US"/>
  </r>
  <r>
    <x v="1"/>
    <n v="13.687900000000001"/>
    <n v="-89.207400000000007"/>
    <n v="36700"/>
    <n v="0"/>
    <n v="0"/>
    <n v="102"/>
    <s v="_x0000_US"/>
  </r>
  <r>
    <x v="1"/>
    <n v="13.687900000000001"/>
    <n v="-89.207400000000007"/>
    <n v="36700"/>
    <n v="0"/>
    <n v="0"/>
    <n v="102"/>
    <s v="_x0000_US"/>
  </r>
  <r>
    <x v="1"/>
    <n v="13.688000000000001"/>
    <n v="-89.2072"/>
    <n v="36700"/>
    <n v="0"/>
    <n v="0"/>
    <n v="102"/>
    <s v="_x0000_US"/>
  </r>
  <r>
    <x v="1"/>
    <n v="13.688000000000001"/>
    <n v="-89.2072"/>
    <n v="36700"/>
    <n v="0"/>
    <n v="0"/>
    <n v="102"/>
    <s v="_x0000_US"/>
  </r>
  <r>
    <x v="1"/>
    <n v="13.687900000000001"/>
    <n v="-89.2072"/>
    <n v="36700"/>
    <n v="0"/>
    <n v="0"/>
    <n v="102"/>
    <s v="_x0000_US"/>
  </r>
  <r>
    <x v="1"/>
    <n v="13.687900000000001"/>
    <n v="-89.2072"/>
    <n v="36700"/>
    <n v="0"/>
    <n v="0"/>
    <n v="102"/>
    <s v="_x0000_US"/>
  </r>
  <r>
    <x v="1"/>
    <n v="13.687900000000001"/>
    <n v="-89.2072"/>
    <n v="36700"/>
    <n v="0"/>
    <n v="0"/>
    <n v="102"/>
    <s v="_x0000_US"/>
  </r>
  <r>
    <x v="1"/>
    <n v="13.687900000000001"/>
    <n v="-89.2072"/>
    <n v="36700"/>
    <n v="0"/>
    <n v="0"/>
    <n v="102"/>
    <s v="_x0000_US"/>
  </r>
  <r>
    <x v="1"/>
    <n v="13.687900000000001"/>
    <n v="-89.2072"/>
    <n v="36700"/>
    <n v="0"/>
    <n v="0"/>
    <n v="102"/>
    <s v="_x0000_US"/>
  </r>
  <r>
    <x v="1"/>
    <n v="13.687900000000001"/>
    <n v="-89.2072"/>
    <n v="36700"/>
    <n v="0"/>
    <n v="0"/>
    <n v="102"/>
    <s v="_x0000_US"/>
  </r>
  <r>
    <x v="1"/>
    <n v="13.687900000000001"/>
    <n v="-89.206999999999994"/>
    <n v="36700"/>
    <n v="0"/>
    <n v="0"/>
    <n v="102"/>
    <s v="_x0000_US"/>
  </r>
  <r>
    <x v="1"/>
    <n v="13.687900000000001"/>
    <n v="-89.206999999999994"/>
    <n v="36700"/>
    <n v="0"/>
    <n v="0"/>
    <n v="102"/>
    <s v="_x0000_US"/>
  </r>
  <r>
    <x v="1"/>
    <n v="13.687900000000001"/>
    <n v="-89.206999999999994"/>
    <n v="36700"/>
    <n v="0"/>
    <n v="0"/>
    <n v="102"/>
    <s v="_x0000_US"/>
  </r>
  <r>
    <x v="1"/>
    <n v="13.687900000000001"/>
    <n v="-89.206999999999994"/>
    <n v="36700"/>
    <n v="0"/>
    <n v="0"/>
    <n v="102"/>
    <s v="_x0000_US"/>
  </r>
  <r>
    <x v="1"/>
    <n v="13.687900000000001"/>
    <n v="-89.206999999999994"/>
    <n v="36700"/>
    <n v="0"/>
    <n v="0"/>
    <n v="102"/>
    <s v="_x0000_US"/>
  </r>
  <r>
    <x v="1"/>
    <n v="13.687900000000001"/>
    <n v="-89.206999999999994"/>
    <n v="36700"/>
    <n v="0"/>
    <n v="0"/>
    <n v="102"/>
    <s v="_x0000_US"/>
  </r>
  <r>
    <x v="1"/>
    <n v="13.687799999999999"/>
    <n v="-89.206999999999994"/>
    <n v="36700"/>
    <n v="0"/>
    <n v="0"/>
    <n v="102"/>
    <s v="_x0000_US"/>
  </r>
  <r>
    <x v="1"/>
    <n v="13.687799999999999"/>
    <n v="-89.206999999999994"/>
    <n v="36700"/>
    <n v="0"/>
    <n v="0"/>
    <n v="102"/>
    <s v="_x0000_US"/>
  </r>
  <r>
    <x v="1"/>
    <n v="13.687799999999999"/>
    <n v="-89.206999999999994"/>
    <n v="36700"/>
    <n v="0"/>
    <n v="0"/>
    <n v="102"/>
    <s v="_x0000_US"/>
  </r>
  <r>
    <x v="1"/>
    <n v="13.687799999999999"/>
    <n v="-89.206999999999994"/>
    <n v="36700"/>
    <n v="0"/>
    <n v="0"/>
    <n v="102"/>
    <s v="_x0000_US"/>
  </r>
  <r>
    <x v="1"/>
    <n v="13.687799999999999"/>
    <n v="-89.206999999999994"/>
    <n v="36700"/>
    <n v="0"/>
    <n v="0"/>
    <n v="102"/>
    <s v="_x0000_US"/>
  </r>
  <r>
    <x v="1"/>
    <n v="13.687799999999999"/>
    <n v="-89.206999999999994"/>
    <n v="36700"/>
    <n v="0"/>
    <n v="0"/>
    <n v="102"/>
    <s v="_x0000_US"/>
  </r>
  <r>
    <x v="1"/>
    <n v="13.687799999999999"/>
    <n v="-89.2072"/>
    <n v="36700"/>
    <n v="0"/>
    <n v="0"/>
    <n v="102"/>
    <s v="_x0000_US"/>
  </r>
  <r>
    <x v="1"/>
    <n v="13.687799999999999"/>
    <n v="-89.2072"/>
    <n v="36700"/>
    <n v="0"/>
    <n v="0"/>
    <n v="102"/>
    <s v="_x0000_US"/>
  </r>
  <r>
    <x v="1"/>
    <n v="13.687799999999999"/>
    <n v="-89.2072"/>
    <n v="36700"/>
    <n v="0"/>
    <n v="0"/>
    <n v="102"/>
    <s v="_x0000_US"/>
  </r>
  <r>
    <x v="1"/>
    <n v="13.687799999999999"/>
    <n v="-89.2072"/>
    <n v="36700"/>
    <n v="0"/>
    <n v="0"/>
    <n v="102"/>
    <s v="_x0000_US"/>
  </r>
  <r>
    <x v="1"/>
    <n v="13.687799999999999"/>
    <n v="-89.207400000000007"/>
    <n v="36700"/>
    <n v="0"/>
    <n v="0"/>
    <n v="102"/>
    <s v="_x0000_US"/>
  </r>
  <r>
    <x v="1"/>
    <n v="13.687799999999999"/>
    <n v="-89.207400000000007"/>
    <n v="36700"/>
    <n v="0"/>
    <n v="0"/>
    <n v="102"/>
    <s v="_x0000_US"/>
  </r>
  <r>
    <x v="1"/>
    <n v="13.687799999999999"/>
    <n v="-89.207400000000007"/>
    <n v="36700"/>
    <n v="0"/>
    <n v="0"/>
    <n v="102"/>
    <s v="_x0000_US"/>
  </r>
  <r>
    <x v="1"/>
    <n v="13.687799999999999"/>
    <n v="-89.207400000000007"/>
    <n v="36700"/>
    <n v="0"/>
    <n v="0"/>
    <n v="102"/>
    <s v="_x0000_US"/>
  </r>
  <r>
    <x v="1"/>
    <n v="13.687799999999999"/>
    <n v="-89.207400000000007"/>
    <n v="36700"/>
    <n v="0"/>
    <n v="0"/>
    <n v="102"/>
    <s v="_x0000_US"/>
  </r>
  <r>
    <x v="1"/>
    <n v="13.6877"/>
    <n v="-89.207400000000007"/>
    <n v="36700"/>
    <n v="0"/>
    <n v="0"/>
    <n v="102"/>
    <s v="_x0000_US"/>
  </r>
  <r>
    <x v="1"/>
    <n v="13.6877"/>
    <n v="-89.207400000000007"/>
    <n v="36700"/>
    <n v="0"/>
    <n v="0"/>
    <n v="102"/>
    <s v="_x0000_US"/>
  </r>
  <r>
    <x v="1"/>
    <n v="13.6877"/>
    <n v="-89.207400000000007"/>
    <n v="36700"/>
    <n v="0"/>
    <n v="0"/>
    <n v="102"/>
    <s v="_x0000_US"/>
  </r>
  <r>
    <x v="1"/>
    <n v="13.6877"/>
    <n v="-89.2072"/>
    <n v="36700"/>
    <n v="0"/>
    <n v="0"/>
    <n v="102"/>
    <s v="_x0000_US"/>
  </r>
  <r>
    <x v="1"/>
    <n v="13.6877"/>
    <n v="-89.2072"/>
    <n v="36700"/>
    <n v="0"/>
    <n v="0"/>
    <n v="102"/>
    <s v="_x0000_US"/>
  </r>
  <r>
    <x v="1"/>
    <n v="13.6877"/>
    <n v="-89.2072"/>
    <n v="36700"/>
    <n v="0"/>
    <n v="0"/>
    <n v="102"/>
    <s v="_x0000_US"/>
  </r>
  <r>
    <x v="1"/>
    <n v="13.6877"/>
    <n v="-89.2072"/>
    <n v="36700"/>
    <n v="0"/>
    <n v="0"/>
    <n v="102"/>
    <s v="_x0000_US"/>
  </r>
  <r>
    <x v="1"/>
    <n v="13.6877"/>
    <n v="-89.206999999999994"/>
    <n v="36700"/>
    <n v="0"/>
    <n v="0"/>
    <n v="102"/>
    <s v="_x0000_US"/>
  </r>
  <r>
    <x v="1"/>
    <n v="13.6877"/>
    <n v="-89.206999999999994"/>
    <n v="36700"/>
    <n v="0"/>
    <n v="0"/>
    <n v="102"/>
    <s v="_x0000_US"/>
  </r>
  <r>
    <x v="1"/>
    <n v="13.6877"/>
    <n v="-89.206999999999994"/>
    <n v="36700"/>
    <n v="0"/>
    <n v="0"/>
    <n v="102"/>
    <s v="_x0000_US"/>
  </r>
  <r>
    <x v="1"/>
    <n v="13.6877"/>
    <n v="-89.206999999999994"/>
    <n v="36700"/>
    <n v="0"/>
    <n v="0"/>
    <n v="102"/>
    <s v="_x0000_US"/>
  </r>
  <r>
    <x v="1"/>
    <n v="13.688000000000001"/>
    <n v="-89.206599999999995"/>
    <n v="36700"/>
    <n v="0"/>
    <n v="0"/>
    <n v="102"/>
    <s v="_x0000_US"/>
  </r>
  <r>
    <x v="1"/>
    <n v="13.687900000000001"/>
    <n v="-89.206599999999995"/>
    <n v="36700"/>
    <n v="0"/>
    <n v="0"/>
    <n v="102"/>
    <s v="_x0000_US"/>
  </r>
  <r>
    <x v="1"/>
    <n v="13.687900000000001"/>
    <n v="-89.206599999999995"/>
    <n v="36700"/>
    <n v="0"/>
    <n v="0"/>
    <n v="102"/>
    <s v="_x0000_US"/>
  </r>
  <r>
    <x v="1"/>
    <n v="13.687900000000001"/>
    <n v="-89.206500000000005"/>
    <n v="36700"/>
    <n v="0"/>
    <n v="0"/>
    <n v="102"/>
    <s v="_x0000_US"/>
  </r>
  <r>
    <x v="1"/>
    <n v="13.6881"/>
    <n v="-89.206699999999998"/>
    <n v="36700"/>
    <n v="0"/>
    <n v="0"/>
    <n v="102"/>
    <s v="_x0000_US"/>
  </r>
  <r>
    <x v="1"/>
    <n v="13.6881"/>
    <n v="-89.206699999999998"/>
    <n v="36700"/>
    <n v="0"/>
    <n v="0"/>
    <n v="102"/>
    <s v="_x0000_US"/>
  </r>
  <r>
    <x v="1"/>
    <n v="13.6881"/>
    <n v="-89.206699999999998"/>
    <n v="36700"/>
    <n v="0"/>
    <n v="0"/>
    <n v="102"/>
    <s v="_x0000_US"/>
  </r>
  <r>
    <x v="1"/>
    <n v="13.6881"/>
    <n v="-89.206699999999998"/>
    <n v="36700"/>
    <n v="0"/>
    <n v="0"/>
    <n v="102"/>
    <s v="_x0000_US"/>
  </r>
  <r>
    <x v="1"/>
    <n v="13.6881"/>
    <n v="-89.206699999999998"/>
    <n v="36700"/>
    <n v="0"/>
    <n v="0"/>
    <n v="102"/>
    <s v="_x0000_US"/>
  </r>
  <r>
    <x v="1"/>
    <n v="13.688000000000001"/>
    <n v="-89.206699999999998"/>
    <n v="36700"/>
    <n v="0"/>
    <n v="0"/>
    <n v="102"/>
    <s v="_x0000_US"/>
  </r>
  <r>
    <x v="1"/>
    <n v="13.688000000000001"/>
    <n v="-89.206699999999998"/>
    <n v="36700"/>
    <n v="0"/>
    <n v="0"/>
    <n v="102"/>
    <s v="_x0000_US"/>
  </r>
  <r>
    <x v="1"/>
    <n v="13.688000000000001"/>
    <n v="-89.206699999999998"/>
    <n v="36700"/>
    <n v="0"/>
    <n v="0"/>
    <n v="102"/>
    <s v="_x0000_US"/>
  </r>
  <r>
    <x v="1"/>
    <n v="13.688000000000001"/>
    <n v="-89.206599999999995"/>
    <n v="36700"/>
    <n v="0"/>
    <n v="0"/>
    <n v="102"/>
    <s v="_x0000_US"/>
  </r>
  <r>
    <x v="1"/>
    <n v="13.688000000000001"/>
    <n v="-89.206599999999995"/>
    <n v="36700"/>
    <n v="0"/>
    <n v="0"/>
    <n v="102"/>
    <s v="_x0000_US"/>
  </r>
  <r>
    <x v="1"/>
    <n v="13.688000000000001"/>
    <n v="-89.206599999999995"/>
    <n v="36700"/>
    <n v="0"/>
    <n v="0"/>
    <n v="102"/>
    <s v="_x0000_US"/>
  </r>
  <r>
    <x v="1"/>
    <n v="13.688000000000001"/>
    <n v="-89.206599999999995"/>
    <n v="36700"/>
    <n v="0"/>
    <n v="0"/>
    <n v="102"/>
    <s v="_x0000_US"/>
  </r>
  <r>
    <x v="1"/>
    <n v="13.6875"/>
    <n v="-89.206100000000006"/>
    <n v="36700"/>
    <n v="0"/>
    <n v="0"/>
    <n v="102"/>
    <s v="_x0000_US"/>
  </r>
  <r>
    <x v="1"/>
    <n v="13.6874"/>
    <n v="-89.206999999999994"/>
    <n v="36700"/>
    <n v="0"/>
    <n v="0"/>
    <n v="102"/>
    <s v="_x0000_US"/>
  </r>
  <r>
    <x v="1"/>
    <n v="13.6874"/>
    <n v="-89.206999999999994"/>
    <n v="36700"/>
    <n v="0"/>
    <n v="0"/>
    <n v="102"/>
    <s v="_x0000_US"/>
  </r>
  <r>
    <x v="1"/>
    <n v="13.6874"/>
    <n v="-89.206999999999994"/>
    <n v="36700"/>
    <n v="0"/>
    <n v="0"/>
    <n v="102"/>
    <s v="_x0000_US"/>
  </r>
  <r>
    <x v="1"/>
    <n v="13.6874"/>
    <n v="-89.206999999999994"/>
    <n v="36700"/>
    <n v="0"/>
    <n v="0"/>
    <n v="102"/>
    <s v="_x0000_US"/>
  </r>
  <r>
    <x v="1"/>
    <n v="13.6876"/>
    <n v="-89.206999999999994"/>
    <n v="36700"/>
    <n v="0"/>
    <n v="0"/>
    <n v="102"/>
    <s v="_x0000_US"/>
  </r>
  <r>
    <x v="1"/>
    <n v="13.6876"/>
    <n v="-89.206999999999994"/>
    <n v="36700"/>
    <n v="0"/>
    <n v="0"/>
    <n v="102"/>
    <s v="_x0000_US"/>
  </r>
  <r>
    <x v="1"/>
    <n v="13.6876"/>
    <n v="-89.206999999999994"/>
    <n v="36700"/>
    <n v="0"/>
    <n v="0"/>
    <n v="102"/>
    <s v="_x0000_US"/>
  </r>
  <r>
    <x v="1"/>
    <n v="13.6876"/>
    <n v="-89.206999999999994"/>
    <n v="36700"/>
    <n v="0"/>
    <n v="0"/>
    <n v="102"/>
    <s v="_x0000_US"/>
  </r>
  <r>
    <x v="1"/>
    <n v="13.6875"/>
    <n v="-89.206999999999994"/>
    <n v="36700"/>
    <n v="0"/>
    <n v="0"/>
    <n v="102"/>
    <s v="_x0000_US"/>
  </r>
  <r>
    <x v="1"/>
    <n v="13.6875"/>
    <n v="-89.206999999999994"/>
    <n v="36700"/>
    <n v="0"/>
    <n v="0"/>
    <n v="102"/>
    <s v="_x0000_US"/>
  </r>
  <r>
    <x v="1"/>
    <n v="13.6875"/>
    <n v="-89.206999999999994"/>
    <n v="36700"/>
    <n v="0"/>
    <n v="0"/>
    <n v="102"/>
    <s v="_x0000_US"/>
  </r>
  <r>
    <x v="1"/>
    <n v="13.6875"/>
    <n v="-89.206999999999994"/>
    <n v="36700"/>
    <n v="0"/>
    <n v="0"/>
    <n v="102"/>
    <s v="_x0000_US"/>
  </r>
  <r>
    <x v="1"/>
    <n v="13.6875"/>
    <n v="-89.206999999999994"/>
    <n v="36700"/>
    <n v="0"/>
    <n v="0"/>
    <n v="102"/>
    <s v="_x0000_US"/>
  </r>
  <r>
    <x v="1"/>
    <n v="13.6875"/>
    <n v="-89.206999999999994"/>
    <n v="36700"/>
    <n v="0"/>
    <n v="0"/>
    <n v="102"/>
    <s v="_x0000_US"/>
  </r>
  <r>
    <x v="1"/>
    <n v="13.6874"/>
    <n v="-89.206999999999994"/>
    <n v="36700"/>
    <n v="0"/>
    <n v="0"/>
    <n v="102"/>
    <s v="_x0000_US"/>
  </r>
  <r>
    <x v="1"/>
    <n v="13.6874"/>
    <n v="-89.206999999999994"/>
    <n v="36700"/>
    <n v="0"/>
    <n v="0"/>
    <n v="102"/>
    <s v="_x0000_US"/>
  </r>
  <r>
    <x v="1"/>
    <n v="13.6877"/>
    <n v="-89.206199999999995"/>
    <n v="36700"/>
    <n v="0"/>
    <n v="0"/>
    <n v="102"/>
    <s v="_x0000_US"/>
  </r>
  <r>
    <x v="1"/>
    <n v="13.6868"/>
    <n v="-89.206199999999995"/>
    <n v="18300"/>
    <n v="0"/>
    <n v="0"/>
    <n v="102"/>
    <s v="_x0000_US"/>
  </r>
  <r>
    <x v="1"/>
    <n v="13.6868"/>
    <n v="-89.206100000000006"/>
    <n v="18300"/>
    <n v="0"/>
    <n v="0"/>
    <n v="102"/>
    <s v="_x0000_US"/>
  </r>
  <r>
    <x v="1"/>
    <n v="13.6868"/>
    <n v="-89.206000000000003"/>
    <n v="18300"/>
    <n v="0"/>
    <n v="0"/>
    <n v="102"/>
    <s v="_x0000_US"/>
  </r>
  <r>
    <x v="1"/>
    <n v="13.6868"/>
    <n v="-89.2059"/>
    <n v="18300"/>
    <n v="0"/>
    <n v="0"/>
    <n v="102"/>
    <s v="_x0000_US"/>
  </r>
  <r>
    <x v="1"/>
    <n v="13.6868"/>
    <n v="-89.2059"/>
    <n v="18300"/>
    <n v="0"/>
    <n v="0"/>
    <n v="102"/>
    <s v="_x0000_US"/>
  </r>
  <r>
    <x v="1"/>
    <n v="13.6868"/>
    <n v="-89.205699999999993"/>
    <n v="18300"/>
    <n v="0"/>
    <n v="0"/>
    <n v="102"/>
    <s v="_x0000_US"/>
  </r>
  <r>
    <x v="1"/>
    <n v="13.6867"/>
    <n v="-89.205500000000001"/>
    <n v="18300"/>
    <n v="0"/>
    <n v="0"/>
    <n v="102"/>
    <s v="_x0000_US"/>
  </r>
  <r>
    <x v="1"/>
    <n v="13.6867"/>
    <n v="-89.205299999999994"/>
    <n v="18300"/>
    <n v="0"/>
    <n v="0"/>
    <n v="102"/>
    <s v="_x0000_US"/>
  </r>
  <r>
    <x v="1"/>
    <n v="13.6867"/>
    <n v="-89.205200000000005"/>
    <n v="18300"/>
    <n v="0"/>
    <n v="0"/>
    <n v="102"/>
    <s v="_x0000_US"/>
  </r>
  <r>
    <x v="1"/>
    <n v="13.6867"/>
    <n v="-89.205100000000002"/>
    <n v="18300"/>
    <n v="0"/>
    <n v="0"/>
    <n v="102"/>
    <s v="_x0000_US"/>
  </r>
  <r>
    <x v="1"/>
    <n v="13.6867"/>
    <n v="-89.205399999999997"/>
    <n v="18300"/>
    <n v="0"/>
    <n v="0"/>
    <n v="102"/>
    <s v="_x0000_US"/>
  </r>
  <r>
    <x v="1"/>
    <n v="13.686400000000001"/>
    <n v="-89.205200000000005"/>
    <n v="18300"/>
    <n v="0"/>
    <n v="0"/>
    <n v="102"/>
    <s v="_x0000_US"/>
  </r>
  <r>
    <x v="1"/>
    <n v="13.686400000000001"/>
    <n v="-89.205299999999994"/>
    <n v="18300"/>
    <n v="0"/>
    <n v="0"/>
    <n v="102"/>
    <s v="_x0000_US"/>
  </r>
  <r>
    <x v="1"/>
    <n v="13.686299999999999"/>
    <n v="-89.205399999999997"/>
    <n v="18300"/>
    <n v="0"/>
    <n v="0"/>
    <n v="102"/>
    <s v="_x0000_US"/>
  </r>
  <r>
    <x v="1"/>
    <n v="13.686299999999999"/>
    <n v="-89.205500000000001"/>
    <n v="18300"/>
    <n v="0"/>
    <n v="0"/>
    <n v="102"/>
    <s v="_x0000_US"/>
  </r>
  <r>
    <x v="1"/>
    <n v="13.686400000000001"/>
    <n v="-89.205600000000004"/>
    <n v="18300"/>
    <n v="0"/>
    <n v="0"/>
    <n v="102"/>
    <s v="_x0000_US"/>
  </r>
  <r>
    <x v="1"/>
    <n v="13.686400000000001"/>
    <n v="-89.205699999999993"/>
    <n v="18300"/>
    <n v="0"/>
    <n v="0"/>
    <n v="102"/>
    <s v="_x0000_US"/>
  </r>
  <r>
    <x v="1"/>
    <n v="13.686400000000001"/>
    <n v="-89.205699999999993"/>
    <n v="18300"/>
    <n v="0"/>
    <n v="0"/>
    <n v="102"/>
    <s v="_x0000_US"/>
  </r>
  <r>
    <x v="1"/>
    <n v="13.686400000000001"/>
    <n v="-89.205799999999996"/>
    <n v="18300"/>
    <n v="0"/>
    <n v="0"/>
    <n v="102"/>
    <s v="_x0000_US"/>
  </r>
  <r>
    <x v="1"/>
    <n v="13.686299999999999"/>
    <n v="-89.205799999999996"/>
    <n v="18300"/>
    <n v="0"/>
    <n v="0"/>
    <n v="102"/>
    <s v="_x0000_US"/>
  </r>
  <r>
    <x v="1"/>
    <n v="13.686199999999999"/>
    <n v="-89.205699999999993"/>
    <n v="18300"/>
    <n v="0"/>
    <n v="0"/>
    <n v="102"/>
    <s v="_x0000_US"/>
  </r>
  <r>
    <x v="1"/>
    <n v="13.686299999999999"/>
    <n v="-89.205100000000002"/>
    <n v="18300"/>
    <n v="0"/>
    <n v="0"/>
    <n v="102"/>
    <s v="_x0000_US"/>
  </r>
  <r>
    <x v="1"/>
    <n v="13.686400000000001"/>
    <n v="-89.204999999999998"/>
    <n v="18300"/>
    <n v="0"/>
    <n v="0"/>
    <n v="102"/>
    <s v="_x0000_US"/>
  </r>
  <r>
    <x v="1"/>
    <n v="13.686400000000001"/>
    <n v="-89.204800000000006"/>
    <n v="18300"/>
    <n v="0"/>
    <n v="0"/>
    <n v="102"/>
    <s v="_x0000_US"/>
  </r>
  <r>
    <x v="1"/>
    <n v="13.686400000000001"/>
    <n v="-89.204800000000006"/>
    <n v="18300"/>
    <n v="0"/>
    <n v="0"/>
    <n v="102"/>
    <s v="_x0000_US"/>
  </r>
  <r>
    <x v="1"/>
    <n v="13.686299999999999"/>
    <n v="-89.204999999999998"/>
    <n v="18300"/>
    <n v="0"/>
    <n v="0"/>
    <n v="102"/>
    <s v="_x0000_US"/>
  </r>
  <r>
    <x v="1"/>
    <n v="13.686199999999999"/>
    <n v="-89.204999999999998"/>
    <n v="18300"/>
    <n v="0"/>
    <n v="0"/>
    <n v="102"/>
    <s v="_x0000_US"/>
  </r>
  <r>
    <x v="1"/>
    <n v="13.686199999999999"/>
    <n v="-89.204899999999995"/>
    <n v="18300"/>
    <n v="0"/>
    <n v="0"/>
    <n v="102"/>
    <s v="_x0000_US"/>
  </r>
  <r>
    <x v="1"/>
    <n v="13.686199999999999"/>
    <n v="-89.204800000000006"/>
    <n v="18300"/>
    <n v="0"/>
    <n v="0"/>
    <n v="102"/>
    <s v="_x0000_US"/>
  </r>
  <r>
    <x v="1"/>
    <n v="13.686"/>
    <n v="-89.204899999999995"/>
    <n v="18300"/>
    <n v="0"/>
    <n v="0"/>
    <n v="102"/>
    <s v="_x0000_US"/>
  </r>
  <r>
    <x v="1"/>
    <n v="13.686199999999999"/>
    <n v="-89.205600000000004"/>
    <n v="18300"/>
    <n v="0"/>
    <n v="0"/>
    <n v="102"/>
    <s v="_x0000_US"/>
  </r>
  <r>
    <x v="1"/>
    <n v="13.686199999999999"/>
    <n v="-89.205500000000001"/>
    <n v="18300"/>
    <n v="0"/>
    <n v="0"/>
    <n v="102"/>
    <s v="_x0000_US"/>
  </r>
  <r>
    <x v="1"/>
    <n v="13.686199999999999"/>
    <n v="-89.205299999999994"/>
    <n v="18300"/>
    <n v="0"/>
    <n v="0"/>
    <n v="102"/>
    <s v="_x0000_US"/>
  </r>
  <r>
    <x v="1"/>
    <n v="13.6861"/>
    <n v="-89.205799999999996"/>
    <n v="18300"/>
    <n v="0"/>
    <n v="0"/>
    <n v="102"/>
    <s v="_x0000_US"/>
  </r>
  <r>
    <x v="1"/>
    <n v="13.6861"/>
    <n v="-89.205699999999993"/>
    <n v="18300"/>
    <n v="0"/>
    <n v="0"/>
    <n v="102"/>
    <s v="_x0000_US"/>
  </r>
  <r>
    <x v="1"/>
    <n v="13.6861"/>
    <n v="-89.205600000000004"/>
    <n v="18300"/>
    <n v="0"/>
    <n v="0"/>
    <n v="102"/>
    <s v="_x0000_US"/>
  </r>
  <r>
    <x v="1"/>
    <n v="13.686"/>
    <n v="-89.205500000000001"/>
    <n v="18300"/>
    <n v="0"/>
    <n v="0"/>
    <n v="102"/>
    <s v="_x0000_US"/>
  </r>
  <r>
    <x v="1"/>
    <n v="13.686"/>
    <n v="-89.205299999999994"/>
    <n v="18300"/>
    <n v="0"/>
    <n v="0"/>
    <n v="102"/>
    <s v="_x0000_US"/>
  </r>
  <r>
    <x v="1"/>
    <n v="13.686199999999999"/>
    <n v="-89.204700000000003"/>
    <n v="18300"/>
    <n v="0"/>
    <n v="0"/>
    <n v="102"/>
    <s v="_x0000_US"/>
  </r>
  <r>
    <x v="1"/>
    <n v="13.686199999999999"/>
    <n v="-89.204599999999999"/>
    <n v="18300"/>
    <n v="0"/>
    <n v="0"/>
    <n v="102"/>
    <s v="_x0000_US"/>
  </r>
  <r>
    <x v="1"/>
    <n v="13.686299999999999"/>
    <n v="-89.204499999999996"/>
    <n v="18300"/>
    <n v="0"/>
    <n v="0"/>
    <n v="102"/>
    <s v="_x0000_US"/>
  </r>
  <r>
    <x v="1"/>
    <n v="13.6859"/>
    <n v="-89.204599999999999"/>
    <n v="18300"/>
    <n v="0"/>
    <n v="0"/>
    <n v="102"/>
    <s v="_x0000_US"/>
  </r>
  <r>
    <x v="1"/>
    <n v="13.6859"/>
    <n v="-89.204800000000006"/>
    <n v="18300"/>
    <n v="0"/>
    <n v="0"/>
    <n v="102"/>
    <s v="_x0000_US"/>
  </r>
  <r>
    <x v="1"/>
    <n v="13.6859"/>
    <n v="-89.204800000000006"/>
    <n v="18300"/>
    <n v="0"/>
    <n v="0"/>
    <n v="102"/>
    <s v="_x0000_US"/>
  </r>
  <r>
    <x v="1"/>
    <n v="13.685700000000001"/>
    <n v="-89.204899999999995"/>
    <n v="18300"/>
    <n v="0"/>
    <n v="0"/>
    <n v="102"/>
    <s v="_x0000_US"/>
  </r>
  <r>
    <x v="1"/>
    <n v="13.685700000000001"/>
    <n v="-89.204800000000006"/>
    <n v="18300"/>
    <n v="0"/>
    <n v="0"/>
    <n v="102"/>
    <s v="_x0000_US"/>
  </r>
  <r>
    <x v="1"/>
    <n v="13.685700000000001"/>
    <n v="-89.204700000000003"/>
    <n v="18300"/>
    <n v="0"/>
    <n v="0"/>
    <n v="102"/>
    <s v="_x0000_US"/>
  </r>
  <r>
    <x v="1"/>
    <n v="13.685499999999999"/>
    <n v="-89.204800000000006"/>
    <n v="18300"/>
    <n v="0"/>
    <n v="0"/>
    <n v="102"/>
    <s v="_x0000_US"/>
  </r>
  <r>
    <x v="1"/>
    <n v="13.685499999999999"/>
    <n v="-89.204700000000003"/>
    <n v="18300"/>
    <n v="0"/>
    <n v="0"/>
    <n v="102"/>
    <s v="_x0000_US"/>
  </r>
  <r>
    <x v="1"/>
    <n v="13.685499999999999"/>
    <n v="-89.204999999999998"/>
    <n v="18300"/>
    <n v="0"/>
    <n v="0"/>
    <n v="102"/>
    <s v="_x0000_US"/>
  </r>
  <r>
    <x v="1"/>
    <n v="13.6854"/>
    <n v="-89.205100000000002"/>
    <n v="18300"/>
    <n v="0"/>
    <n v="0"/>
    <n v="102"/>
    <s v="_x0000_US"/>
  </r>
  <r>
    <x v="1"/>
    <n v="13.6854"/>
    <n v="-89.205200000000005"/>
    <n v="18300"/>
    <n v="0"/>
    <n v="0"/>
    <n v="102"/>
    <s v="_x0000_US"/>
  </r>
  <r>
    <x v="1"/>
    <n v="13.686"/>
    <n v="-89.205299999999994"/>
    <n v="18300"/>
    <n v="0"/>
    <n v="0"/>
    <n v="102"/>
    <s v="_x0000_US"/>
  </r>
  <r>
    <x v="1"/>
    <n v="13.686"/>
    <n v="-89.205200000000005"/>
    <n v="18300"/>
    <n v="0"/>
    <n v="0"/>
    <n v="102"/>
    <s v="_x0000_US"/>
  </r>
  <r>
    <x v="1"/>
    <n v="13.686"/>
    <n v="-89.205100000000002"/>
    <n v="18300"/>
    <n v="0"/>
    <n v="0"/>
    <n v="102"/>
    <s v="_x0000_US"/>
  </r>
  <r>
    <x v="1"/>
    <n v="13.686"/>
    <n v="-89.2059"/>
    <n v="18300"/>
    <n v="0"/>
    <n v="0"/>
    <n v="102"/>
    <s v="_x0000_US"/>
  </r>
  <r>
    <x v="1"/>
    <n v="13.6859"/>
    <n v="-89.205799999999996"/>
    <n v="18300"/>
    <n v="0"/>
    <n v="0"/>
    <n v="102"/>
    <s v="_x0000_US"/>
  </r>
  <r>
    <x v="1"/>
    <n v="13.6859"/>
    <n v="-89.205699999999993"/>
    <n v="18300"/>
    <n v="0"/>
    <n v="0"/>
    <n v="102"/>
    <s v="_x0000_US"/>
  </r>
  <r>
    <x v="1"/>
    <n v="13.6859"/>
    <n v="-89.205699999999993"/>
    <n v="18300"/>
    <n v="0"/>
    <n v="0"/>
    <n v="102"/>
    <s v="_x0000_US"/>
  </r>
  <r>
    <x v="1"/>
    <n v="13.6859"/>
    <n v="-89.205600000000004"/>
    <n v="18300"/>
    <n v="0"/>
    <n v="0"/>
    <n v="102"/>
    <s v="_x0000_US"/>
  </r>
  <r>
    <x v="1"/>
    <n v="13.6859"/>
    <n v="-89.205500000000001"/>
    <n v="18300"/>
    <n v="0"/>
    <n v="0"/>
    <n v="102"/>
    <s v="_x0000_US"/>
  </r>
  <r>
    <x v="1"/>
    <n v="13.6859"/>
    <n v="-89.205399999999997"/>
    <n v="18300"/>
    <n v="0"/>
    <n v="0"/>
    <n v="102"/>
    <s v="_x0000_US"/>
  </r>
  <r>
    <x v="1"/>
    <n v="13.6858"/>
    <n v="-89.205299999999994"/>
    <n v="18300"/>
    <n v="0"/>
    <n v="0"/>
    <n v="102"/>
    <s v="_x0000_US"/>
  </r>
  <r>
    <x v="1"/>
    <n v="13.6858"/>
    <n v="-89.205200000000005"/>
    <n v="18300"/>
    <n v="0"/>
    <n v="0"/>
    <n v="102"/>
    <s v="_x0000_US"/>
  </r>
  <r>
    <x v="1"/>
    <n v="13.6858"/>
    <n v="-89.205100000000002"/>
    <n v="18300"/>
    <n v="0"/>
    <n v="0"/>
    <n v="102"/>
    <s v="_x0000_US"/>
  </r>
  <r>
    <x v="1"/>
    <n v="13.6858"/>
    <n v="-89.204999999999998"/>
    <n v="18300"/>
    <n v="0"/>
    <n v="0"/>
    <n v="102"/>
    <s v="_x0000_US"/>
  </r>
  <r>
    <x v="1"/>
    <n v="13.686500000000001"/>
    <n v="-89.204499999999996"/>
    <n v="18300"/>
    <n v="0"/>
    <n v="0"/>
    <n v="102"/>
    <s v="_x0000_US"/>
  </r>
  <r>
    <x v="1"/>
    <n v="13.6875"/>
    <n v="-89.204999999999998"/>
    <n v="15570"/>
    <n v="0"/>
    <n v="0"/>
    <n v="102"/>
    <s v="_x0000_US"/>
  </r>
  <r>
    <x v="1"/>
    <n v="13.6875"/>
    <n v="-89.204899999999995"/>
    <n v="15570"/>
    <n v="0"/>
    <n v="0"/>
    <n v="102"/>
    <s v="_x0000_US"/>
  </r>
  <r>
    <x v="1"/>
    <n v="13.6875"/>
    <n v="-89.204800000000006"/>
    <n v="15570"/>
    <n v="0"/>
    <n v="0"/>
    <n v="102"/>
    <s v="_x0000_US"/>
  </r>
  <r>
    <x v="1"/>
    <n v="13.6875"/>
    <n v="-89.204700000000003"/>
    <n v="15570"/>
    <n v="0"/>
    <n v="0"/>
    <n v="102"/>
    <s v="_x0000_US"/>
  </r>
  <r>
    <x v="1"/>
    <n v="13.6874"/>
    <n v="-89.204700000000003"/>
    <n v="15570"/>
    <n v="0"/>
    <n v="0"/>
    <n v="102"/>
    <s v="_x0000_US"/>
  </r>
  <r>
    <x v="1"/>
    <n v="13.6875"/>
    <n v="-89.203800000000001"/>
    <n v="15570"/>
    <n v="0"/>
    <n v="0"/>
    <n v="102"/>
    <s v="_x0000_US"/>
  </r>
  <r>
    <x v="1"/>
    <n v="13.6875"/>
    <n v="-89.203800000000001"/>
    <n v="15570"/>
    <n v="0"/>
    <n v="0"/>
    <n v="102"/>
    <s v="_x0000_US"/>
  </r>
  <r>
    <x v="1"/>
    <n v="13.6875"/>
    <n v="-89.203699999999998"/>
    <n v="15570"/>
    <n v="0"/>
    <n v="0"/>
    <n v="102"/>
    <s v="_x0000_US"/>
  </r>
  <r>
    <x v="1"/>
    <n v="13.6875"/>
    <n v="-89.203599999999994"/>
    <n v="15570"/>
    <n v="0"/>
    <n v="0"/>
    <n v="102"/>
    <s v="_x0000_US"/>
  </r>
  <r>
    <x v="1"/>
    <n v="13.6875"/>
    <n v="-89.203500000000005"/>
    <n v="15570"/>
    <n v="0"/>
    <n v="0"/>
    <n v="102"/>
    <s v="_x0000_US"/>
  </r>
  <r>
    <x v="1"/>
    <n v="13.687099999999999"/>
    <n v="-89.204800000000006"/>
    <n v="15570"/>
    <n v="0"/>
    <n v="0"/>
    <n v="102"/>
    <s v="_x0000_US"/>
  </r>
  <r>
    <x v="1"/>
    <n v="13.687200000000001"/>
    <n v="-89.204700000000003"/>
    <n v="15570"/>
    <n v="0"/>
    <n v="0"/>
    <n v="102"/>
    <s v="_x0000_US"/>
  </r>
  <r>
    <x v="1"/>
    <n v="13.687200000000001"/>
    <n v="-89.204700000000003"/>
    <n v="15570"/>
    <n v="0"/>
    <n v="0"/>
    <n v="102"/>
    <s v="_x0000_US"/>
  </r>
  <r>
    <x v="1"/>
    <n v="13.687200000000001"/>
    <n v="-89.204999999999998"/>
    <n v="15570"/>
    <n v="0"/>
    <n v="0"/>
    <n v="102"/>
    <s v="_x0000_US"/>
  </r>
  <r>
    <x v="1"/>
    <n v="13.6873"/>
    <n v="-89.204999999999998"/>
    <n v="15570"/>
    <n v="0"/>
    <n v="0"/>
    <n v="102"/>
    <s v="_x0000_US"/>
  </r>
  <r>
    <x v="1"/>
    <n v="13.6873"/>
    <n v="-89.204999999999998"/>
    <n v="15570"/>
    <n v="0"/>
    <n v="0"/>
    <n v="102"/>
    <s v="_x0000_US"/>
  </r>
  <r>
    <x v="1"/>
    <n v="13.6874"/>
    <n v="-89.204999999999998"/>
    <n v="15570"/>
    <n v="0"/>
    <n v="0"/>
    <n v="102"/>
    <s v="_x0000_US"/>
  </r>
  <r>
    <x v="1"/>
    <n v="13.686999999999999"/>
    <n v="-89.204999999999998"/>
    <n v="15570"/>
    <n v="0"/>
    <n v="0"/>
    <n v="102"/>
    <s v="_x0000_US"/>
  </r>
  <r>
    <x v="1"/>
    <n v="13.686999999999999"/>
    <n v="-89.204999999999998"/>
    <n v="15570"/>
    <n v="0"/>
    <n v="0"/>
    <n v="102"/>
    <s v="_x0000_US"/>
  </r>
  <r>
    <x v="1"/>
    <n v="13.687099999999999"/>
    <n v="-89.204800000000006"/>
    <n v="15570"/>
    <n v="0"/>
    <n v="0"/>
    <n v="102"/>
    <s v="_x0000_US"/>
  </r>
  <r>
    <x v="1"/>
    <n v="13.686999999999999"/>
    <n v="-89.204999999999998"/>
    <n v="15570"/>
    <n v="0"/>
    <n v="0"/>
    <n v="102"/>
    <s v="_x0000_US"/>
  </r>
  <r>
    <x v="1"/>
    <n v="13.6869"/>
    <n v="-89.204999999999998"/>
    <n v="15570"/>
    <n v="0"/>
    <n v="0"/>
    <n v="102"/>
    <s v="_x0000_US"/>
  </r>
  <r>
    <x v="1"/>
    <n v="13.687799999999999"/>
    <n v="-89.204099999999997"/>
    <n v="15570"/>
    <n v="0"/>
    <n v="0"/>
    <n v="102"/>
    <s v="_x0000_US"/>
  </r>
  <r>
    <x v="1"/>
    <n v="13.6877"/>
    <n v="-89.203999999999994"/>
    <n v="15570"/>
    <n v="0"/>
    <n v="0"/>
    <n v="102"/>
    <s v="_x0000_US"/>
  </r>
  <r>
    <x v="1"/>
    <n v="13.6877"/>
    <n v="-89.203999999999994"/>
    <n v="15570"/>
    <n v="0"/>
    <n v="0"/>
    <n v="102"/>
    <s v="_x0000_US"/>
  </r>
  <r>
    <x v="1"/>
    <n v="13.6875"/>
    <n v="-89.203400000000002"/>
    <n v="15570"/>
    <n v="0"/>
    <n v="0"/>
    <n v="102"/>
    <s v="_x0000_US"/>
  </r>
  <r>
    <x v="1"/>
    <n v="13.6875"/>
    <n v="-89.203299999999999"/>
    <n v="15570"/>
    <n v="0"/>
    <n v="0"/>
    <n v="102"/>
    <s v="_x0000_US"/>
  </r>
  <r>
    <x v="1"/>
    <n v="13.6884"/>
    <n v="-89.206599999999995"/>
    <n v="15570"/>
    <n v="0"/>
    <n v="0"/>
    <n v="102"/>
    <s v="_x0000_US"/>
  </r>
  <r>
    <x v="1"/>
    <n v="13.688599999999999"/>
    <n v="-89.206500000000005"/>
    <n v="15570"/>
    <n v="0"/>
    <n v="0"/>
    <n v="102"/>
    <s v="_x0000_US"/>
  </r>
  <r>
    <x v="1"/>
    <n v="13.6884"/>
    <n v="-89.206400000000002"/>
    <n v="15570"/>
    <n v="0"/>
    <n v="0"/>
    <n v="102"/>
    <s v="_x0000_US"/>
  </r>
  <r>
    <x v="1"/>
    <n v="13.688499999999999"/>
    <n v="-89.206299999999999"/>
    <n v="15570"/>
    <n v="0"/>
    <n v="0"/>
    <n v="102"/>
    <s v="_x0000_US"/>
  </r>
  <r>
    <x v="1"/>
    <n v="13.688599999999999"/>
    <n v="-89.206299999999999"/>
    <n v="15570"/>
    <n v="0"/>
    <n v="0"/>
    <n v="102"/>
    <s v="_x0000_US"/>
  </r>
  <r>
    <x v="1"/>
    <n v="13.6884"/>
    <n v="-89.206299999999999"/>
    <n v="15570"/>
    <n v="0"/>
    <n v="0"/>
    <n v="102"/>
    <s v="_x0000_US"/>
  </r>
  <r>
    <x v="1"/>
    <n v="13.6881"/>
    <n v="-89.206100000000006"/>
    <n v="15570"/>
    <n v="0"/>
    <n v="0"/>
    <n v="102"/>
    <s v="_x0000_US"/>
  </r>
  <r>
    <x v="1"/>
    <n v="13.688000000000001"/>
    <n v="-89.206000000000003"/>
    <n v="15570"/>
    <n v="0"/>
    <n v="0"/>
    <n v="102"/>
    <s v="_x0000_US"/>
  </r>
  <r>
    <x v="1"/>
    <n v="13.688000000000001"/>
    <n v="-89.206100000000006"/>
    <n v="15570"/>
    <n v="0"/>
    <n v="0"/>
    <n v="102"/>
    <s v="_x0000_US"/>
  </r>
  <r>
    <x v="1"/>
    <n v="13.687900000000001"/>
    <n v="-89.206100000000006"/>
    <n v="15570"/>
    <n v="0"/>
    <n v="0"/>
    <n v="102"/>
    <s v="_x0000_US"/>
  </r>
  <r>
    <x v="1"/>
    <n v="13.6882"/>
    <n v="-89.206000000000003"/>
    <n v="15570"/>
    <n v="0"/>
    <n v="0"/>
    <n v="102"/>
    <s v="_x0000_US"/>
  </r>
  <r>
    <x v="1"/>
    <n v="13.688599999999999"/>
    <n v="-89.206000000000003"/>
    <n v="15570"/>
    <n v="0"/>
    <n v="0"/>
    <n v="102"/>
    <s v="_x0000_US"/>
  </r>
  <r>
    <x v="1"/>
    <n v="13.688599999999999"/>
    <n v="-89.206000000000003"/>
    <n v="15570"/>
    <n v="0"/>
    <n v="0"/>
    <n v="102"/>
    <s v="_x0000_US"/>
  </r>
  <r>
    <x v="1"/>
    <n v="13.688599999999999"/>
    <n v="-89.206500000000005"/>
    <n v="15570"/>
    <n v="0"/>
    <n v="0"/>
    <n v="102"/>
    <s v="_x0000_US"/>
  </r>
  <r>
    <x v="1"/>
    <n v="13.688700000000001"/>
    <n v="-89.206500000000005"/>
    <n v="15570"/>
    <n v="0"/>
    <n v="0"/>
    <n v="102"/>
    <s v="_x0000_US"/>
  </r>
  <r>
    <x v="1"/>
    <n v="13.688800000000001"/>
    <n v="-89.206500000000005"/>
    <n v="15570"/>
    <n v="0"/>
    <n v="0"/>
    <n v="102"/>
    <s v="_x0000_US"/>
  </r>
  <r>
    <x v="1"/>
    <n v="13.688599999999999"/>
    <n v="-89.206299999999999"/>
    <n v="15570"/>
    <n v="0"/>
    <n v="0"/>
    <n v="102"/>
    <s v="_x0000_US"/>
  </r>
  <r>
    <x v="1"/>
    <n v="13.688800000000001"/>
    <n v="-89.206000000000003"/>
    <n v="15570"/>
    <n v="0"/>
    <n v="0"/>
    <n v="102"/>
    <s v="_x0000_US"/>
  </r>
  <r>
    <x v="1"/>
    <n v="13.688800000000001"/>
    <n v="-89.206199999999995"/>
    <n v="15570"/>
    <n v="0"/>
    <n v="0"/>
    <n v="102"/>
    <s v="_x0000_US"/>
  </r>
  <r>
    <x v="1"/>
    <n v="13.688700000000001"/>
    <n v="-89.206299999999999"/>
    <n v="15570"/>
    <n v="0"/>
    <n v="0"/>
    <n v="102"/>
    <s v="_x0000_US"/>
  </r>
  <r>
    <x v="1"/>
    <n v="13.688800000000001"/>
    <n v="-89.206400000000002"/>
    <n v="15570"/>
    <n v="0"/>
    <n v="0"/>
    <n v="102"/>
    <s v="_x0000_US"/>
  </r>
  <r>
    <x v="1"/>
    <n v="13.688499999999999"/>
    <n v="-89.206000000000003"/>
    <n v="15570"/>
    <n v="0"/>
    <n v="0"/>
    <n v="102"/>
    <s v="_x0000_US"/>
  </r>
  <r>
    <x v="1"/>
    <n v="13.6876"/>
    <n v="-89.205600000000004"/>
    <n v="15570"/>
    <n v="0"/>
    <n v="0"/>
    <n v="102"/>
    <s v="_x0000_US"/>
  </r>
  <r>
    <x v="1"/>
    <n v="13.6876"/>
    <n v="-89.205600000000004"/>
    <n v="15570"/>
    <n v="0"/>
    <n v="0"/>
    <n v="102"/>
    <s v="_x0000_US"/>
  </r>
  <r>
    <x v="1"/>
    <n v="13.6875"/>
    <n v="-89.205600000000004"/>
    <n v="15570"/>
    <n v="0"/>
    <n v="0"/>
    <n v="102"/>
    <s v="_x0000_US"/>
  </r>
  <r>
    <x v="1"/>
    <n v="13.6875"/>
    <n v="-89.205500000000001"/>
    <n v="15570"/>
    <n v="0"/>
    <n v="0"/>
    <n v="102"/>
    <s v="_x0000_US"/>
  </r>
  <r>
    <x v="1"/>
    <n v="13.6874"/>
    <n v="-89.205600000000004"/>
    <n v="15570"/>
    <n v="0"/>
    <n v="0"/>
    <n v="102"/>
    <s v="_x0000_US"/>
  </r>
  <r>
    <x v="1"/>
    <n v="13.6873"/>
    <n v="-89.205600000000004"/>
    <n v="15570"/>
    <n v="0"/>
    <n v="0"/>
    <n v="102"/>
    <s v="_x0000_US"/>
  </r>
  <r>
    <x v="1"/>
    <n v="13.6873"/>
    <n v="-89.205600000000004"/>
    <n v="15570"/>
    <n v="0"/>
    <n v="0"/>
    <n v="102"/>
    <s v="_x0000_US"/>
  </r>
  <r>
    <x v="1"/>
    <n v="13.687099999999999"/>
    <n v="-89.2059"/>
    <n v="15570"/>
    <n v="0"/>
    <n v="0"/>
    <n v="102"/>
    <s v="_x0000_US"/>
  </r>
  <r>
    <x v="1"/>
    <n v="13.687099999999999"/>
    <n v="-89.205799999999996"/>
    <n v="15570"/>
    <n v="0"/>
    <n v="0"/>
    <n v="102"/>
    <s v="_x0000_US"/>
  </r>
  <r>
    <x v="1"/>
    <n v="13.6876"/>
    <n v="-89.205799999999996"/>
    <n v="15570"/>
    <n v="0"/>
    <n v="0"/>
    <n v="102"/>
    <s v="_x0000_US"/>
  </r>
  <r>
    <x v="1"/>
    <n v="13.6876"/>
    <n v="-89.205699999999993"/>
    <n v="15570"/>
    <n v="0"/>
    <n v="0"/>
    <n v="102"/>
    <s v="_x0000_US"/>
  </r>
  <r>
    <x v="1"/>
    <n v="13.6873"/>
    <n v="-89.203599999999994"/>
    <n v="56300"/>
    <n v="0"/>
    <n v="0"/>
    <n v="102"/>
    <s v="_x0000_US"/>
  </r>
  <r>
    <x v="1"/>
    <n v="13.6873"/>
    <n v="-89.203599999999994"/>
    <n v="56300"/>
    <n v="0"/>
    <n v="0"/>
    <n v="102"/>
    <s v="_x0000_US"/>
  </r>
  <r>
    <x v="1"/>
    <n v="13.6874"/>
    <n v="-89.203699999999998"/>
    <n v="56300"/>
    <n v="0"/>
    <n v="0"/>
    <n v="102"/>
    <s v="_x0000_US"/>
  </r>
  <r>
    <x v="1"/>
    <n v="13.6873"/>
    <n v="-89.203800000000001"/>
    <n v="56300"/>
    <n v="0"/>
    <n v="0"/>
    <n v="102"/>
    <s v="_x0000_US"/>
  </r>
  <r>
    <x v="1"/>
    <n v="13.6873"/>
    <n v="-89.203800000000001"/>
    <n v="56300"/>
    <n v="0"/>
    <n v="0"/>
    <n v="102"/>
    <s v="_x0000_US"/>
  </r>
  <r>
    <x v="1"/>
    <n v="13.687200000000001"/>
    <n v="-89.203800000000001"/>
    <n v="56300"/>
    <n v="0"/>
    <n v="0"/>
    <n v="102"/>
    <s v="_x0000_US"/>
  </r>
  <r>
    <x v="1"/>
    <n v="13.6881"/>
    <n v="-89.2042"/>
    <n v="56300"/>
    <n v="0"/>
    <n v="0"/>
    <n v="102"/>
    <s v="_x0000_US"/>
  </r>
  <r>
    <x v="1"/>
    <n v="13.6882"/>
    <n v="-89.203900000000004"/>
    <n v="56300"/>
    <n v="0"/>
    <n v="0"/>
    <n v="102"/>
    <s v="_x0000_US"/>
  </r>
  <r>
    <x v="1"/>
    <n v="13.6882"/>
    <n v="-89.203900000000004"/>
    <n v="56300"/>
    <n v="0"/>
    <n v="0"/>
    <n v="102"/>
    <s v="_x0000_US"/>
  </r>
  <r>
    <x v="1"/>
    <n v="13.6882"/>
    <n v="-89.203999999999994"/>
    <n v="56300"/>
    <n v="0"/>
    <n v="0"/>
    <n v="102"/>
    <s v="_x0000_US"/>
  </r>
  <r>
    <x v="1"/>
    <n v="13.6881"/>
    <n v="-89.203999999999994"/>
    <n v="56300"/>
    <n v="0"/>
    <n v="0"/>
    <n v="102"/>
    <s v="_x0000_US"/>
  </r>
  <r>
    <x v="1"/>
    <n v="13.688000000000001"/>
    <n v="-89.203900000000004"/>
    <n v="56300"/>
    <n v="0"/>
    <n v="0"/>
    <n v="102"/>
    <s v="_x0000_US"/>
  </r>
  <r>
    <x v="1"/>
    <n v="13.6881"/>
    <n v="-89.203999999999994"/>
    <n v="56300"/>
    <n v="0"/>
    <n v="0"/>
    <n v="102"/>
    <s v="_x0000_US"/>
  </r>
  <r>
    <x v="1"/>
    <n v="13.6881"/>
    <n v="-89.204099999999997"/>
    <n v="56300"/>
    <n v="0"/>
    <n v="0"/>
    <n v="102"/>
    <s v="_x0000_US"/>
  </r>
  <r>
    <x v="1"/>
    <n v="13.6881"/>
    <n v="-89.204099999999997"/>
    <n v="56300"/>
    <n v="0"/>
    <n v="0"/>
    <n v="102"/>
    <s v="_x0000_US"/>
  </r>
  <r>
    <x v="1"/>
    <n v="13.6883"/>
    <n v="-89.203699999999998"/>
    <n v="56300"/>
    <n v="0"/>
    <n v="0"/>
    <n v="102"/>
    <s v="_x0000_US"/>
  </r>
  <r>
    <x v="1"/>
    <n v="13.6881"/>
    <n v="-89.203699999999998"/>
    <n v="56300"/>
    <n v="0"/>
    <n v="0"/>
    <n v="102"/>
    <s v="_x0000_US"/>
  </r>
  <r>
    <x v="1"/>
    <n v="13.6881"/>
    <n v="-89.203599999999994"/>
    <n v="56300"/>
    <n v="0"/>
    <n v="0"/>
    <n v="102"/>
    <s v="_x0000_US"/>
  </r>
  <r>
    <x v="1"/>
    <n v="13.6881"/>
    <n v="-89.203599999999994"/>
    <n v="56300"/>
    <n v="0"/>
    <n v="0"/>
    <n v="102"/>
    <s v="_x0000_US"/>
  </r>
  <r>
    <x v="1"/>
    <n v="13.6881"/>
    <n v="-89.203500000000005"/>
    <n v="56300"/>
    <n v="0"/>
    <n v="0"/>
    <n v="102"/>
    <s v="_x0000_US"/>
  </r>
  <r>
    <x v="1"/>
    <n v="13.6881"/>
    <n v="-89.203500000000005"/>
    <n v="56300"/>
    <n v="0"/>
    <n v="0"/>
    <n v="102"/>
    <s v="_x0000_US"/>
  </r>
  <r>
    <x v="1"/>
    <n v="13.6881"/>
    <n v="-89.203400000000002"/>
    <n v="56300"/>
    <n v="0"/>
    <n v="0"/>
    <n v="102"/>
    <s v="_x0000_US"/>
  </r>
  <r>
    <x v="1"/>
    <n v="13.6881"/>
    <n v="-89.203299999999999"/>
    <n v="56300"/>
    <n v="0"/>
    <n v="0"/>
    <n v="102"/>
    <s v="_x0000_US"/>
  </r>
  <r>
    <x v="1"/>
    <n v="13.687900000000001"/>
    <n v="-89.203400000000002"/>
    <n v="56300"/>
    <n v="0"/>
    <n v="0"/>
    <n v="102"/>
    <s v="_x0000_US"/>
  </r>
  <r>
    <x v="1"/>
    <n v="13.687799999999999"/>
    <n v="-89.203299999999999"/>
    <n v="56300"/>
    <n v="0"/>
    <n v="0"/>
    <n v="102"/>
    <s v="_x0000_US"/>
  </r>
  <r>
    <x v="1"/>
    <n v="13.687900000000001"/>
    <n v="-89.203100000000006"/>
    <n v="56300"/>
    <n v="0"/>
    <n v="0"/>
    <n v="102"/>
    <s v="_x0000_US"/>
  </r>
  <r>
    <x v="1"/>
    <n v="13.688000000000001"/>
    <n v="-89.203000000000003"/>
    <n v="56300"/>
    <n v="0"/>
    <n v="0"/>
    <n v="102"/>
    <s v="_x0000_US"/>
  </r>
  <r>
    <x v="1"/>
    <n v="13.6881"/>
    <n v="-89.203000000000003"/>
    <n v="56300"/>
    <n v="0"/>
    <n v="0"/>
    <n v="102"/>
    <s v="_x0000_US"/>
  </r>
  <r>
    <x v="1"/>
    <n v="13.6882"/>
    <n v="-89.203000000000003"/>
    <n v="56300"/>
    <n v="0"/>
    <n v="0"/>
    <n v="102"/>
    <s v="_x0000_US"/>
  </r>
  <r>
    <x v="1"/>
    <n v="13.6883"/>
    <n v="-89.202799999999996"/>
    <n v="56300"/>
    <n v="0"/>
    <n v="0"/>
    <n v="102"/>
    <s v="_x0000_US"/>
  </r>
  <r>
    <x v="1"/>
    <n v="13.6881"/>
    <n v="-89.2029"/>
    <n v="56300"/>
    <n v="0"/>
    <n v="0"/>
    <n v="102"/>
    <s v="_x0000_US"/>
  </r>
  <r>
    <x v="1"/>
    <n v="13.688000000000001"/>
    <n v="-89.2029"/>
    <n v="56300"/>
    <n v="0"/>
    <n v="0"/>
    <n v="102"/>
    <s v="_x0000_US"/>
  </r>
  <r>
    <x v="1"/>
    <n v="13.688000000000001"/>
    <n v="-89.2029"/>
    <n v="56300"/>
    <n v="0"/>
    <n v="0"/>
    <n v="102"/>
    <s v="_x0000_US"/>
  </r>
  <r>
    <x v="1"/>
    <n v="13.687900000000001"/>
    <n v="-89.2029"/>
    <n v="56300"/>
    <n v="0"/>
    <n v="0"/>
    <n v="102"/>
    <s v="_x0000_US"/>
  </r>
  <r>
    <x v="1"/>
    <n v="13.687900000000001"/>
    <n v="-89.202699999999993"/>
    <n v="56300"/>
    <n v="0"/>
    <n v="0"/>
    <n v="102"/>
    <s v="_x0000_US"/>
  </r>
  <r>
    <x v="1"/>
    <n v="13.687900000000001"/>
    <n v="-89.202699999999993"/>
    <n v="56300"/>
    <n v="0"/>
    <n v="0"/>
    <n v="102"/>
    <s v="_x0000_US"/>
  </r>
  <r>
    <x v="1"/>
    <n v="13.6877"/>
    <n v="-89.203299999999999"/>
    <n v="56300"/>
    <n v="0"/>
    <n v="0"/>
    <n v="102"/>
    <s v="_x0000_US"/>
  </r>
  <r>
    <x v="1"/>
    <n v="13.6874"/>
    <n v="-89.203299999999999"/>
    <n v="56300"/>
    <n v="0"/>
    <n v="0"/>
    <n v="102"/>
    <s v="_x0000_US"/>
  </r>
  <r>
    <x v="1"/>
    <n v="13.6875"/>
    <n v="-89.203100000000006"/>
    <n v="56300"/>
    <n v="0"/>
    <n v="0"/>
    <n v="102"/>
    <s v="_x0000_US"/>
  </r>
  <r>
    <x v="1"/>
    <n v="13.6876"/>
    <n v="-89.203100000000006"/>
    <n v="56300"/>
    <n v="0"/>
    <n v="0"/>
    <n v="102"/>
    <s v="_x0000_US"/>
  </r>
  <r>
    <x v="1"/>
    <n v="13.6877"/>
    <n v="-89.203100000000006"/>
    <n v="56300"/>
    <n v="0"/>
    <n v="0"/>
    <n v="102"/>
    <s v="_x0000_US"/>
  </r>
  <r>
    <x v="1"/>
    <n v="13.687799999999999"/>
    <n v="-89.2029"/>
    <n v="56300"/>
    <n v="0"/>
    <n v="0"/>
    <n v="102"/>
    <s v="_x0000_US"/>
  </r>
  <r>
    <x v="1"/>
    <n v="13.6875"/>
    <n v="-89.2029"/>
    <n v="56300"/>
    <n v="0"/>
    <n v="0"/>
    <n v="102"/>
    <s v="_x0000_US"/>
  </r>
  <r>
    <x v="1"/>
    <n v="13.6875"/>
    <n v="-89.2029"/>
    <n v="56300"/>
    <n v="0"/>
    <n v="0"/>
    <n v="102"/>
    <s v="_x0000_US"/>
  </r>
  <r>
    <x v="1"/>
    <n v="13.6874"/>
    <n v="-89.202799999999996"/>
    <n v="56300"/>
    <n v="0"/>
    <n v="0"/>
    <n v="102"/>
    <s v="_x0000_US"/>
  </r>
  <r>
    <x v="1"/>
    <n v="13.6874"/>
    <n v="-89.202799999999996"/>
    <n v="56300"/>
    <n v="0"/>
    <n v="0"/>
    <n v="102"/>
    <s v="_x0000_US"/>
  </r>
  <r>
    <x v="1"/>
    <n v="13.6874"/>
    <n v="-89.202799999999996"/>
    <n v="56300"/>
    <n v="0"/>
    <n v="0"/>
    <n v="102"/>
    <s v="_x0000_US"/>
  </r>
  <r>
    <x v="1"/>
    <n v="13.6875"/>
    <n v="-89.202699999999993"/>
    <n v="56300"/>
    <n v="0"/>
    <n v="0"/>
    <n v="102"/>
    <s v="_x0000_US"/>
  </r>
  <r>
    <x v="1"/>
    <n v="13.6877"/>
    <n v="-89.202699999999993"/>
    <n v="56300"/>
    <n v="0"/>
    <n v="0"/>
    <n v="102"/>
    <s v="_x0000_US"/>
  </r>
  <r>
    <x v="1"/>
    <n v="13.687799999999999"/>
    <n v="-89.202600000000004"/>
    <n v="56300"/>
    <n v="0"/>
    <n v="0"/>
    <n v="102"/>
    <s v="_x0000_US"/>
  </r>
  <r>
    <x v="1"/>
    <n v="13.6884"/>
    <n v="-89.203699999999998"/>
    <n v="56300"/>
    <n v="0"/>
    <n v="0"/>
    <n v="102"/>
    <s v="_x0000_US"/>
  </r>
  <r>
    <x v="1"/>
    <n v="13.6884"/>
    <n v="-89.203500000000005"/>
    <n v="56300"/>
    <n v="0"/>
    <n v="0"/>
    <n v="102"/>
    <s v="_x0000_US"/>
  </r>
  <r>
    <x v="1"/>
    <n v="13.6884"/>
    <n v="-89.203500000000005"/>
    <n v="56300"/>
    <n v="0"/>
    <n v="0"/>
    <n v="102"/>
    <s v="_x0000_US"/>
  </r>
  <r>
    <x v="1"/>
    <n v="13.6884"/>
    <n v="-89.203400000000002"/>
    <n v="56300"/>
    <n v="0"/>
    <n v="0"/>
    <n v="102"/>
    <s v="_x0000_US"/>
  </r>
  <r>
    <x v="1"/>
    <n v="13.6884"/>
    <n v="-89.203299999999999"/>
    <n v="56300"/>
    <n v="0"/>
    <n v="0"/>
    <n v="102"/>
    <s v="_x0000_US"/>
  </r>
  <r>
    <x v="1"/>
    <n v="13.6884"/>
    <n v="-89.203199999999995"/>
    <n v="56300"/>
    <n v="0"/>
    <n v="0"/>
    <n v="102"/>
    <s v="_x0000_US"/>
  </r>
  <r>
    <x v="1"/>
    <n v="13.6884"/>
    <n v="-89.203100000000006"/>
    <n v="56300"/>
    <n v="0"/>
    <n v="0"/>
    <n v="102"/>
    <s v="_x0000_US"/>
  </r>
  <r>
    <x v="1"/>
    <n v="13.6884"/>
    <n v="-89.203000000000003"/>
    <n v="56300"/>
    <n v="0"/>
    <n v="0"/>
    <n v="102"/>
    <s v="_x0000_US"/>
  </r>
  <r>
    <x v="1"/>
    <n v="13.6876"/>
    <n v="-89.202500000000001"/>
    <n v="56300"/>
    <n v="0"/>
    <n v="0"/>
    <n v="102"/>
    <s v="_x0000_US"/>
  </r>
  <r>
    <x v="1"/>
    <n v="13.6875"/>
    <n v="-89.202500000000001"/>
    <n v="56300"/>
    <n v="0"/>
    <n v="0"/>
    <n v="102"/>
    <s v="_x0000_US"/>
  </r>
  <r>
    <x v="1"/>
    <n v="13.6874"/>
    <n v="-89.202500000000001"/>
    <n v="56300"/>
    <n v="0"/>
    <n v="0"/>
    <n v="102"/>
    <s v="_x0000_US"/>
  </r>
  <r>
    <x v="1"/>
    <n v="13.6873"/>
    <n v="-89.202399999999997"/>
    <n v="56300"/>
    <n v="0"/>
    <n v="0"/>
    <n v="102"/>
    <s v="_x0000_US"/>
  </r>
  <r>
    <x v="1"/>
    <n v="13.687200000000001"/>
    <n v="-89.202699999999993"/>
    <n v="56300"/>
    <n v="0"/>
    <n v="0"/>
    <n v="102"/>
    <s v="_x0000_US"/>
  </r>
  <r>
    <x v="1"/>
    <n v="13.687200000000001"/>
    <n v="-89.202799999999996"/>
    <n v="56300"/>
    <n v="0"/>
    <n v="0"/>
    <n v="102"/>
    <s v="_x0000_US"/>
  </r>
  <r>
    <x v="1"/>
    <n v="13.687099999999999"/>
    <n v="-89.2029"/>
    <n v="56300"/>
    <n v="0"/>
    <n v="0"/>
    <n v="102"/>
    <s v="_x0000_US"/>
  </r>
  <r>
    <x v="1"/>
    <n v="13.687099999999999"/>
    <n v="-89.203000000000003"/>
    <n v="56300"/>
    <n v="0"/>
    <n v="0"/>
    <n v="102"/>
    <s v="_x0000_US"/>
  </r>
  <r>
    <x v="1"/>
    <n v="13.687200000000001"/>
    <n v="-89.203000000000003"/>
    <n v="56300"/>
    <n v="0"/>
    <n v="0"/>
    <n v="102"/>
    <s v="_x0000_US"/>
  </r>
  <r>
    <x v="1"/>
    <n v="13.6873"/>
    <n v="-89.2029"/>
    <n v="56300"/>
    <n v="0"/>
    <n v="0"/>
    <n v="102"/>
    <s v="_x0000_US"/>
  </r>
  <r>
    <x v="1"/>
    <n v="13.6873"/>
    <n v="-89.2029"/>
    <n v="56300"/>
    <n v="0"/>
    <n v="0"/>
    <n v="102"/>
    <s v="_x0000_US"/>
  </r>
  <r>
    <x v="1"/>
    <n v="13.6873"/>
    <n v="-89.203199999999995"/>
    <n v="56300"/>
    <n v="0"/>
    <n v="0"/>
    <n v="102"/>
    <s v="_x0000_US"/>
  </r>
  <r>
    <x v="1"/>
    <n v="13.6873"/>
    <n v="-89.203199999999995"/>
    <n v="56300"/>
    <n v="0"/>
    <n v="0"/>
    <n v="102"/>
    <s v="_x0000_US"/>
  </r>
  <r>
    <x v="1"/>
    <n v="13.687200000000001"/>
    <n v="-89.203100000000006"/>
    <n v="56300"/>
    <n v="0"/>
    <n v="0"/>
    <n v="102"/>
    <s v="_x0000_US"/>
  </r>
  <r>
    <x v="1"/>
    <n v="13.687099999999999"/>
    <n v="-89.203199999999995"/>
    <n v="56300"/>
    <n v="0"/>
    <n v="0"/>
    <n v="102"/>
    <s v="_x0000_US"/>
  </r>
  <r>
    <x v="1"/>
    <n v="13.6873"/>
    <n v="-89.203100000000006"/>
    <n v="56300"/>
    <n v="0"/>
    <n v="0"/>
    <n v="102"/>
    <s v="_x0000_US"/>
  </r>
  <r>
    <x v="1"/>
    <n v="13.6873"/>
    <n v="-89.203500000000005"/>
    <n v="56300"/>
    <n v="0"/>
    <n v="0"/>
    <n v="102"/>
    <s v="_x0000_US"/>
  </r>
  <r>
    <x v="1"/>
    <n v="13.6873"/>
    <n v="-89.203400000000002"/>
    <n v="56300"/>
    <n v="0"/>
    <n v="0"/>
    <n v="102"/>
    <s v="_x0000_US"/>
  </r>
  <r>
    <x v="1"/>
    <n v="13.6873"/>
    <n v="-89.202299999999994"/>
    <n v="56300"/>
    <n v="0"/>
    <n v="0"/>
    <n v="102"/>
    <s v="_x0000_US"/>
  </r>
  <r>
    <x v="1"/>
    <n v="13.6873"/>
    <n v="-89.202200000000005"/>
    <n v="56300"/>
    <n v="0"/>
    <n v="0"/>
    <n v="102"/>
    <s v="_x0000_US"/>
  </r>
  <r>
    <x v="1"/>
    <n v="13.6873"/>
    <n v="-89.202100000000002"/>
    <n v="56300"/>
    <n v="0"/>
    <n v="0"/>
    <n v="102"/>
    <s v="_x0000_US"/>
  </r>
  <r>
    <x v="1"/>
    <n v="13.6873"/>
    <n v="-89.201999999999998"/>
    <n v="56300"/>
    <n v="0"/>
    <n v="0"/>
    <n v="102"/>
    <s v="_x0000_US"/>
  </r>
  <r>
    <x v="1"/>
    <n v="13.6874"/>
    <n v="-89.201800000000006"/>
    <n v="56300"/>
    <n v="0"/>
    <n v="0"/>
    <n v="102"/>
    <s v="_x0000_US"/>
  </r>
  <r>
    <x v="1"/>
    <n v="13.6875"/>
    <n v="-89.201899999999995"/>
    <n v="56300"/>
    <n v="0"/>
    <n v="0"/>
    <n v="102"/>
    <s v="_x0000_US"/>
  </r>
  <r>
    <x v="1"/>
    <n v="13.6876"/>
    <n v="-89.201800000000006"/>
    <n v="56300"/>
    <n v="0"/>
    <n v="0"/>
    <n v="102"/>
    <s v="_x0000_US"/>
  </r>
  <r>
    <x v="1"/>
    <n v="13.6877"/>
    <n v="-89.201400000000007"/>
    <n v="56300"/>
    <n v="0"/>
    <n v="0"/>
    <n v="102"/>
    <s v="_x0000_US"/>
  </r>
  <r>
    <x v="1"/>
    <n v="13.6877"/>
    <n v="-89.201400000000007"/>
    <n v="56300"/>
    <n v="0"/>
    <n v="0"/>
    <n v="102"/>
    <s v="_x0000_US"/>
  </r>
  <r>
    <x v="1"/>
    <n v="13.6876"/>
    <n v="-89.2012"/>
    <n v="56300"/>
    <n v="0"/>
    <n v="0"/>
    <n v="102"/>
    <s v="_x0000_US"/>
  </r>
  <r>
    <x v="1"/>
    <n v="13.6876"/>
    <n v="-89.201099999999997"/>
    <n v="56300"/>
    <n v="0"/>
    <n v="0"/>
    <n v="102"/>
    <s v="_x0000_US"/>
  </r>
  <r>
    <x v="1"/>
    <n v="13.6876"/>
    <n v="-89.201099999999997"/>
    <n v="56300"/>
    <n v="0"/>
    <n v="0"/>
    <n v="102"/>
    <s v="_x0000_US"/>
  </r>
  <r>
    <x v="1"/>
    <n v="13.6876"/>
    <n v="-89.200999999999993"/>
    <n v="56300"/>
    <n v="0"/>
    <n v="0"/>
    <n v="102"/>
    <s v="_x0000_US"/>
  </r>
  <r>
    <x v="1"/>
    <n v="13.6874"/>
    <n v="-89.200999999999993"/>
    <n v="56300"/>
    <n v="0"/>
    <n v="0"/>
    <n v="102"/>
    <s v="_x0000_US"/>
  </r>
  <r>
    <x v="1"/>
    <n v="13.6873"/>
    <n v="-89.201700000000002"/>
    <n v="56300"/>
    <n v="0"/>
    <n v="0"/>
    <n v="102"/>
    <s v="_x0000_US"/>
  </r>
  <r>
    <x v="1"/>
    <n v="13.687200000000001"/>
    <n v="-89.201499999999996"/>
    <n v="56300"/>
    <n v="0"/>
    <n v="0"/>
    <n v="102"/>
    <s v="_x0000_US"/>
  </r>
  <r>
    <x v="1"/>
    <n v="13.687200000000001"/>
    <n v="-89.201499999999996"/>
    <n v="56300"/>
    <n v="0"/>
    <n v="0"/>
    <n v="102"/>
    <s v="_x0000_US"/>
  </r>
  <r>
    <x v="1"/>
    <n v="13.687200000000001"/>
    <n v="-89.201400000000007"/>
    <n v="56300"/>
    <n v="0"/>
    <n v="0"/>
    <n v="102"/>
    <s v="_x0000_US"/>
  </r>
  <r>
    <x v="1"/>
    <n v="13.6875"/>
    <n v="-89.201700000000002"/>
    <n v="56300"/>
    <n v="0"/>
    <n v="0"/>
    <n v="102"/>
    <s v="_x0000_US"/>
  </r>
  <r>
    <x v="1"/>
    <n v="13.6873"/>
    <n v="-89.2012"/>
    <n v="56300"/>
    <n v="0"/>
    <n v="0"/>
    <n v="102"/>
    <s v="_x0000_US"/>
  </r>
  <r>
    <x v="1"/>
    <n v="13.687200000000001"/>
    <n v="-89.2012"/>
    <n v="56300"/>
    <n v="0"/>
    <n v="0"/>
    <n v="102"/>
    <s v="_x0000_US"/>
  </r>
  <r>
    <x v="1"/>
    <n v="13.687200000000001"/>
    <n v="-89.201099999999997"/>
    <n v="56300"/>
    <n v="0"/>
    <n v="0"/>
    <n v="102"/>
    <s v="_x0000_US"/>
  </r>
  <r>
    <x v="1"/>
    <n v="13.6873"/>
    <n v="-89.200999999999993"/>
    <n v="56300"/>
    <n v="0"/>
    <n v="0"/>
    <n v="102"/>
    <s v="_x0000_US"/>
  </r>
  <r>
    <x v="1"/>
    <n v="13.6873"/>
    <n v="-89.200999999999993"/>
    <n v="56300"/>
    <n v="0"/>
    <n v="0"/>
    <n v="102"/>
    <s v="_x0000_US"/>
  </r>
  <r>
    <x v="1"/>
    <n v="13.686999999999999"/>
    <n v="-89.2012"/>
    <n v="56300"/>
    <n v="0"/>
    <n v="0"/>
    <n v="102"/>
    <s v="_x0000_US"/>
  </r>
  <r>
    <x v="1"/>
    <n v="13.6869"/>
    <n v="-89.201300000000003"/>
    <n v="56300"/>
    <n v="0"/>
    <n v="0"/>
    <n v="102"/>
    <s v="_x0000_US"/>
  </r>
  <r>
    <x v="1"/>
    <n v="13.6868"/>
    <n v="-89.201300000000003"/>
    <n v="56300"/>
    <n v="0"/>
    <n v="0"/>
    <n v="102"/>
    <s v="_x0000_US"/>
  </r>
  <r>
    <x v="1"/>
    <n v="13.6867"/>
    <n v="-89.201300000000003"/>
    <n v="56300"/>
    <n v="0"/>
    <n v="0"/>
    <n v="102"/>
    <s v="_x0000_US"/>
  </r>
  <r>
    <x v="1"/>
    <n v="13.686999999999999"/>
    <n v="-89.202699999999993"/>
    <n v="56300"/>
    <n v="0"/>
    <n v="0"/>
    <n v="102"/>
    <s v="_x0000_US"/>
  </r>
  <r>
    <x v="1"/>
    <n v="13.686999999999999"/>
    <n v="-89.202699999999993"/>
    <n v="56300"/>
    <n v="0"/>
    <n v="0"/>
    <n v="102"/>
    <s v="_x0000_US"/>
  </r>
  <r>
    <x v="1"/>
    <n v="13.686999999999999"/>
    <n v="-89.2029"/>
    <n v="56300"/>
    <n v="0"/>
    <n v="0"/>
    <n v="102"/>
    <s v="_x0000_US"/>
  </r>
  <r>
    <x v="1"/>
    <n v="13.686999999999999"/>
    <n v="-89.2029"/>
    <n v="56300"/>
    <n v="0"/>
    <n v="0"/>
    <n v="102"/>
    <s v="_x0000_US"/>
  </r>
  <r>
    <x v="1"/>
    <n v="13.686999999999999"/>
    <n v="-89.203000000000003"/>
    <n v="56300"/>
    <n v="0"/>
    <n v="0"/>
    <n v="102"/>
    <s v="_x0000_US"/>
  </r>
  <r>
    <x v="1"/>
    <n v="13.686999999999999"/>
    <n v="-89.203199999999995"/>
    <n v="56300"/>
    <n v="0"/>
    <n v="0"/>
    <n v="102"/>
    <s v="_x0000_US"/>
  </r>
  <r>
    <x v="1"/>
    <n v="13.686999999999999"/>
    <n v="-89.203299999999999"/>
    <n v="56300"/>
    <n v="0"/>
    <n v="0"/>
    <n v="102"/>
    <s v="_x0000_US"/>
  </r>
  <r>
    <x v="1"/>
    <n v="13.686999999999999"/>
    <n v="-89.203299999999999"/>
    <n v="56300"/>
    <n v="0"/>
    <n v="0"/>
    <n v="102"/>
    <s v="_x0000_US"/>
  </r>
  <r>
    <x v="1"/>
    <n v="13.686999999999999"/>
    <n v="-89.203400000000002"/>
    <n v="56300"/>
    <n v="0"/>
    <n v="0"/>
    <n v="102"/>
    <s v="_x0000_US"/>
  </r>
  <r>
    <x v="1"/>
    <n v="13.687099999999999"/>
    <n v="-89.203800000000001"/>
    <n v="56300"/>
    <n v="0"/>
    <n v="0"/>
    <n v="102"/>
    <s v="_x0000_US"/>
  </r>
  <r>
    <x v="1"/>
    <n v="13.687099999999999"/>
    <n v="-89.203699999999998"/>
    <n v="56300"/>
    <n v="0"/>
    <n v="0"/>
    <n v="102"/>
    <s v="_x0000_US"/>
  </r>
  <r>
    <x v="1"/>
    <n v="13.687099999999999"/>
    <n v="-89.203699999999998"/>
    <n v="56300"/>
    <n v="0"/>
    <n v="0"/>
    <n v="102"/>
    <s v="_x0000_US"/>
  </r>
  <r>
    <x v="1"/>
    <n v="13.687099999999999"/>
    <n v="-89.203599999999994"/>
    <n v="56300"/>
    <n v="0"/>
    <n v="0"/>
    <n v="102"/>
    <s v="_x0000_US"/>
  </r>
  <r>
    <x v="1"/>
    <n v="13.686999999999999"/>
    <n v="-89.203500000000005"/>
    <n v="56300"/>
    <n v="0"/>
    <n v="0"/>
    <n v="102"/>
    <s v="_x0000_US"/>
  </r>
  <r>
    <x v="1"/>
    <n v="13.6877"/>
    <n v="-89.201499999999996"/>
    <n v="56300"/>
    <n v="0"/>
    <n v="0"/>
    <n v="102"/>
    <s v="_x0000_US"/>
  </r>
  <r>
    <x v="1"/>
    <n v="13.6877"/>
    <n v="-89.201599999999999"/>
    <n v="56300"/>
    <n v="0"/>
    <n v="0"/>
    <n v="102"/>
    <s v="_x0000_US"/>
  </r>
  <r>
    <x v="1"/>
    <n v="13.6876"/>
    <n v="-89.201700000000002"/>
    <n v="56300"/>
    <n v="0"/>
    <n v="0"/>
    <n v="102"/>
    <s v="_x0000_US"/>
  </r>
  <r>
    <x v="1"/>
    <n v="13.6876"/>
    <n v="-89.201700000000002"/>
    <n v="56300"/>
    <n v="0"/>
    <n v="0"/>
    <n v="102"/>
    <s v="_x0000_US"/>
  </r>
  <r>
    <x v="1"/>
    <n v="13.6867"/>
    <n v="-89.201400000000007"/>
    <n v="56300"/>
    <n v="0"/>
    <n v="0"/>
    <n v="102"/>
    <s v="_x0000_US"/>
  </r>
  <r>
    <x v="1"/>
    <n v="13.6867"/>
    <n v="-89.201300000000003"/>
    <n v="56300"/>
    <n v="0"/>
    <n v="0"/>
    <n v="102"/>
    <s v="_x0000_US"/>
  </r>
  <r>
    <x v="1"/>
    <n v="13.6869"/>
    <n v="-89.201099999999997"/>
    <n v="56300"/>
    <n v="0"/>
    <n v="0"/>
    <n v="102"/>
    <s v="_x0000_US"/>
  </r>
  <r>
    <x v="1"/>
    <n v="13.6869"/>
    <n v="-89.201099999999997"/>
    <n v="56300"/>
    <n v="0"/>
    <n v="0"/>
    <n v="102"/>
    <s v="_x0000_US"/>
  </r>
  <r>
    <x v="1"/>
    <n v="13.6868"/>
    <n v="-89.201099999999997"/>
    <n v="56300"/>
    <n v="0"/>
    <n v="0"/>
    <n v="102"/>
    <s v="_x0000_US"/>
  </r>
  <r>
    <x v="1"/>
    <n v="13.6866"/>
    <n v="-89.201099999999997"/>
    <n v="56300"/>
    <n v="0"/>
    <n v="0"/>
    <n v="102"/>
    <s v="_x0000_US"/>
  </r>
  <r>
    <x v="1"/>
    <n v="13.6884"/>
    <n v="-89.202799999999996"/>
    <n v="22850"/>
    <n v="0"/>
    <n v="0"/>
    <n v="102"/>
    <s v="_x0000_US"/>
  </r>
  <r>
    <x v="1"/>
    <n v="13.688599999999999"/>
    <n v="-89.203800000000001"/>
    <n v="22850"/>
    <n v="0"/>
    <n v="0"/>
    <n v="102"/>
    <s v="_x0000_US"/>
  </r>
  <r>
    <x v="1"/>
    <n v="13.688599999999999"/>
    <n v="-89.203699999999998"/>
    <n v="22850"/>
    <n v="0"/>
    <n v="0"/>
    <n v="102"/>
    <s v="_x0000_US"/>
  </r>
  <r>
    <x v="1"/>
    <n v="13.688800000000001"/>
    <n v="-89.203800000000001"/>
    <n v="22850"/>
    <n v="0"/>
    <n v="0"/>
    <n v="102"/>
    <s v="_x0000_US"/>
  </r>
  <r>
    <x v="1"/>
    <n v="13.688800000000001"/>
    <n v="-89.203800000000001"/>
    <n v="22850"/>
    <n v="0"/>
    <n v="0"/>
    <n v="102"/>
    <s v="_x0000_US"/>
  </r>
  <r>
    <x v="1"/>
    <n v="13.688599999999999"/>
    <n v="-89.203599999999994"/>
    <n v="22850"/>
    <n v="0"/>
    <n v="0"/>
    <n v="102"/>
    <s v="_x0000_US"/>
  </r>
  <r>
    <x v="1"/>
    <n v="13.6889"/>
    <n v="-89.203699999999998"/>
    <n v="22850"/>
    <n v="0"/>
    <n v="0"/>
    <n v="102"/>
    <s v="_x0000_US"/>
  </r>
  <r>
    <x v="1"/>
    <n v="13.688599999999999"/>
    <n v="-89.203500000000005"/>
    <n v="22850"/>
    <n v="0"/>
    <n v="0"/>
    <n v="102"/>
    <s v="_x0000_US"/>
  </r>
  <r>
    <x v="1"/>
    <n v="13.688599999999999"/>
    <n v="-89.203400000000002"/>
    <n v="22850"/>
    <n v="0"/>
    <n v="0"/>
    <n v="102"/>
    <s v="_x0000_US"/>
  </r>
  <r>
    <x v="1"/>
    <n v="13.688599999999999"/>
    <n v="-89.203299999999999"/>
    <n v="22850"/>
    <n v="0"/>
    <n v="0"/>
    <n v="102"/>
    <s v="_x0000_US"/>
  </r>
  <r>
    <x v="1"/>
    <n v="13.688599999999999"/>
    <n v="-89.203299999999999"/>
    <n v="22850"/>
    <n v="0"/>
    <n v="0"/>
    <n v="102"/>
    <s v="_x0000_US"/>
  </r>
  <r>
    <x v="1"/>
    <n v="13.688599999999999"/>
    <n v="-89.203199999999995"/>
    <n v="22850"/>
    <n v="0"/>
    <n v="0"/>
    <n v="102"/>
    <s v="_x0000_US"/>
  </r>
  <r>
    <x v="1"/>
    <n v="13.688599999999999"/>
    <n v="-89.203100000000006"/>
    <n v="22850"/>
    <n v="0"/>
    <n v="0"/>
    <n v="102"/>
    <s v="_x0000_US"/>
  </r>
  <r>
    <x v="1"/>
    <n v="13.688599999999999"/>
    <n v="-89.203000000000003"/>
    <n v="22850"/>
    <n v="0"/>
    <n v="0"/>
    <n v="102"/>
    <s v="_x0000_US"/>
  </r>
  <r>
    <x v="1"/>
    <n v="13.688499999999999"/>
    <n v="-89.202699999999993"/>
    <n v="22850"/>
    <n v="0"/>
    <n v="0"/>
    <n v="102"/>
    <s v="_x0000_US"/>
  </r>
  <r>
    <x v="1"/>
    <n v="13.688499999999999"/>
    <n v="-89.202600000000004"/>
    <n v="22850"/>
    <n v="0"/>
    <n v="0"/>
    <n v="102"/>
    <s v="_x0000_US"/>
  </r>
  <r>
    <x v="1"/>
    <n v="13.688599999999999"/>
    <n v="-89.202600000000004"/>
    <n v="22850"/>
    <n v="0"/>
    <n v="0"/>
    <n v="102"/>
    <s v="_x0000_US"/>
  </r>
  <r>
    <x v="1"/>
    <n v="13.688599999999999"/>
    <n v="-89.202500000000001"/>
    <n v="22850"/>
    <n v="0"/>
    <n v="0"/>
    <n v="102"/>
    <s v="_x0000_US"/>
  </r>
  <r>
    <x v="1"/>
    <n v="13.688599999999999"/>
    <n v="-89.202399999999997"/>
    <n v="22850"/>
    <n v="0"/>
    <n v="0"/>
    <n v="102"/>
    <s v="_x0000_US"/>
  </r>
  <r>
    <x v="1"/>
    <n v="13.688700000000001"/>
    <n v="-89.202299999999994"/>
    <n v="22850"/>
    <n v="0"/>
    <n v="0"/>
    <n v="102"/>
    <s v="_x0000_US"/>
  </r>
  <r>
    <x v="1"/>
    <n v="13.6889"/>
    <n v="-89.202399999999997"/>
    <n v="22850"/>
    <n v="0"/>
    <n v="0"/>
    <n v="102"/>
    <s v="_x0000_US"/>
  </r>
  <r>
    <x v="1"/>
    <n v="13.689"/>
    <n v="-89.202399999999997"/>
    <n v="22850"/>
    <n v="0"/>
    <n v="0"/>
    <n v="102"/>
    <s v="_x0000_US"/>
  </r>
  <r>
    <x v="1"/>
    <n v="13.6889"/>
    <n v="-89.202600000000004"/>
    <n v="22850"/>
    <n v="0"/>
    <n v="0"/>
    <n v="102"/>
    <s v="_x0000_US"/>
  </r>
  <r>
    <x v="1"/>
    <n v="13.688800000000001"/>
    <n v="-89.202600000000004"/>
    <n v="22850"/>
    <n v="0"/>
    <n v="0"/>
    <n v="102"/>
    <s v="_x0000_US"/>
  </r>
  <r>
    <x v="1"/>
    <n v="13.688800000000001"/>
    <n v="-89.202699999999993"/>
    <n v="22850"/>
    <n v="0"/>
    <n v="0"/>
    <n v="102"/>
    <s v="_x0000_US"/>
  </r>
  <r>
    <x v="1"/>
    <n v="13.688800000000001"/>
    <n v="-89.202799999999996"/>
    <n v="22850"/>
    <n v="0"/>
    <n v="0"/>
    <n v="102"/>
    <s v="_x0000_US"/>
  </r>
  <r>
    <x v="1"/>
    <n v="13.689"/>
    <n v="-89.2029"/>
    <n v="22850"/>
    <n v="0"/>
    <n v="0"/>
    <n v="102"/>
    <s v="_x0000_US"/>
  </r>
  <r>
    <x v="1"/>
    <n v="13.6889"/>
    <n v="-89.203000000000003"/>
    <n v="22850"/>
    <n v="0"/>
    <n v="0"/>
    <n v="102"/>
    <s v="_x0000_US"/>
  </r>
  <r>
    <x v="1"/>
    <n v="13.6889"/>
    <n v="-89.203000000000003"/>
    <n v="22850"/>
    <n v="0"/>
    <n v="0"/>
    <n v="102"/>
    <s v="_x0000_US"/>
  </r>
  <r>
    <x v="1"/>
    <n v="13.689"/>
    <n v="-89.202799999999996"/>
    <n v="22850"/>
    <n v="0"/>
    <n v="0"/>
    <n v="102"/>
    <s v="_x0000_US"/>
  </r>
  <r>
    <x v="1"/>
    <n v="13.6891"/>
    <n v="-89.202699999999993"/>
    <n v="22850"/>
    <n v="0"/>
    <n v="0"/>
    <n v="102"/>
    <s v="_x0000_US"/>
  </r>
  <r>
    <x v="1"/>
    <n v="13.6892"/>
    <n v="-89.202699999999993"/>
    <n v="22850"/>
    <n v="0"/>
    <n v="0"/>
    <n v="102"/>
    <s v="_x0000_US"/>
  </r>
  <r>
    <x v="1"/>
    <n v="13.6892"/>
    <n v="-89.202399999999997"/>
    <n v="22850"/>
    <n v="0"/>
    <n v="0"/>
    <n v="102"/>
    <s v="_x0000_US"/>
  </r>
  <r>
    <x v="1"/>
    <n v="13.6891"/>
    <n v="-89.202399999999997"/>
    <n v="22850"/>
    <n v="0"/>
    <n v="0"/>
    <n v="102"/>
    <s v="_x0000_US"/>
  </r>
  <r>
    <x v="1"/>
    <n v="13.6892"/>
    <n v="-89.202600000000004"/>
    <n v="22850"/>
    <n v="0"/>
    <n v="0"/>
    <n v="102"/>
    <s v="_x0000_US"/>
  </r>
  <r>
    <x v="1"/>
    <n v="13.689399999999999"/>
    <n v="-89.202500000000001"/>
    <n v="22850"/>
    <n v="0"/>
    <n v="0"/>
    <n v="102"/>
    <s v="_x0000_US"/>
  </r>
  <r>
    <x v="1"/>
    <n v="13.689299999999999"/>
    <n v="-89.202500000000001"/>
    <n v="22850"/>
    <n v="0"/>
    <n v="0"/>
    <n v="102"/>
    <s v="_x0000_US"/>
  </r>
  <r>
    <x v="1"/>
    <n v="13.6889"/>
    <n v="-89.203599999999994"/>
    <n v="22850"/>
    <n v="0"/>
    <n v="0"/>
    <n v="102"/>
    <s v="_x0000_US"/>
  </r>
  <r>
    <x v="1"/>
    <n v="13.6889"/>
    <n v="-89.203500000000005"/>
    <n v="22850"/>
    <n v="0"/>
    <n v="0"/>
    <n v="102"/>
    <s v="_x0000_US"/>
  </r>
  <r>
    <x v="1"/>
    <n v="13.6889"/>
    <n v="-89.203400000000002"/>
    <n v="22850"/>
    <n v="0"/>
    <n v="0"/>
    <n v="102"/>
    <s v="_x0000_US"/>
  </r>
  <r>
    <x v="1"/>
    <n v="13.6889"/>
    <n v="-89.203299999999999"/>
    <n v="22850"/>
    <n v="0"/>
    <n v="0"/>
    <n v="102"/>
    <s v="_x0000_US"/>
  </r>
  <r>
    <x v="1"/>
    <n v="13.6889"/>
    <n v="-89.203199999999995"/>
    <n v="22850"/>
    <n v="0"/>
    <n v="0"/>
    <n v="102"/>
    <s v="_x0000_US"/>
  </r>
  <r>
    <x v="1"/>
    <n v="13.6889"/>
    <n v="-89.203100000000006"/>
    <n v="22850"/>
    <n v="0"/>
    <n v="0"/>
    <n v="102"/>
    <s v="_x0000_US"/>
  </r>
  <r>
    <x v="1"/>
    <n v="13.6889"/>
    <n v="-89.203800000000001"/>
    <n v="22850"/>
    <n v="0"/>
    <n v="0"/>
    <n v="102"/>
    <s v="_x0000_US"/>
  </r>
  <r>
    <x v="1"/>
    <n v="13.688700000000001"/>
    <n v="-89.2029"/>
    <n v="22850"/>
    <n v="0"/>
    <n v="0"/>
    <n v="102"/>
    <s v="_x0000_US"/>
  </r>
  <r>
    <x v="1"/>
    <n v="13.688700000000001"/>
    <n v="-89.2029"/>
    <n v="22850"/>
    <n v="0"/>
    <n v="0"/>
    <n v="102"/>
    <s v="_x0000_US"/>
  </r>
  <r>
    <x v="1"/>
    <n v="13.688000000000001"/>
    <n v="-89.199799999999996"/>
    <n v="33900"/>
    <n v="0"/>
    <n v="0"/>
    <n v="102"/>
    <s v="_x0000_US"/>
  </r>
  <r>
    <x v="1"/>
    <n v="13.687900000000001"/>
    <n v="-89.199799999999996"/>
    <n v="33900"/>
    <n v="0"/>
    <n v="0"/>
    <n v="102"/>
    <s v="_x0000_US"/>
  </r>
  <r>
    <x v="1"/>
    <n v="13.687900000000001"/>
    <n v="-89.1999"/>
    <n v="33900"/>
    <n v="0"/>
    <n v="0"/>
    <n v="102"/>
    <s v="_x0000_US"/>
  </r>
  <r>
    <x v="1"/>
    <n v="13.687900000000001"/>
    <n v="-89.199700000000007"/>
    <n v="33900"/>
    <n v="0"/>
    <n v="0"/>
    <n v="102"/>
    <s v="_x0000_US"/>
  </r>
  <r>
    <x v="1"/>
    <n v="13.687900000000001"/>
    <n v="-89.199600000000004"/>
    <n v="33900"/>
    <n v="0"/>
    <n v="0"/>
    <n v="102"/>
    <s v="_x0000_US"/>
  </r>
  <r>
    <x v="1"/>
    <n v="13.687799999999999"/>
    <n v="-89.199700000000007"/>
    <n v="33900"/>
    <n v="0"/>
    <n v="0"/>
    <n v="102"/>
    <s v="_x0000_US"/>
  </r>
  <r>
    <x v="1"/>
    <n v="13.6883"/>
    <n v="-89.199799999999996"/>
    <n v="33900"/>
    <n v="0"/>
    <n v="0"/>
    <n v="102"/>
    <s v="_x0000_US"/>
  </r>
  <r>
    <x v="1"/>
    <n v="13.6882"/>
    <n v="-89.199799999999996"/>
    <n v="33900"/>
    <n v="0"/>
    <n v="0"/>
    <n v="102"/>
    <s v="_x0000_US"/>
  </r>
  <r>
    <x v="1"/>
    <n v="13.6877"/>
    <n v="-89.199799999999996"/>
    <n v="33900"/>
    <n v="0"/>
    <n v="0"/>
    <n v="102"/>
    <s v="_x0000_US"/>
  </r>
  <r>
    <x v="1"/>
    <n v="13.687799999999999"/>
    <n v="-89.199799999999996"/>
    <n v="33900"/>
    <n v="0"/>
    <n v="0"/>
    <n v="102"/>
    <s v="_x0000_US"/>
  </r>
  <r>
    <x v="1"/>
    <n v="13.6884"/>
    <n v="-89.199799999999996"/>
    <n v="33900"/>
    <n v="0"/>
    <n v="0"/>
    <n v="102"/>
    <s v="_x0000_US"/>
  </r>
  <r>
    <x v="1"/>
    <n v="13.6884"/>
    <n v="-89.199799999999996"/>
    <n v="33900"/>
    <n v="0"/>
    <n v="0"/>
    <n v="102"/>
    <s v="_x0000_US"/>
  </r>
  <r>
    <x v="1"/>
    <n v="13.6884"/>
    <n v="-89.199700000000007"/>
    <n v="33900"/>
    <n v="0"/>
    <n v="0"/>
    <n v="102"/>
    <s v="_x0000_US"/>
  </r>
  <r>
    <x v="1"/>
    <n v="13.688499999999999"/>
    <n v="-89.199600000000004"/>
    <n v="33900"/>
    <n v="0"/>
    <n v="0"/>
    <n v="102"/>
    <s v="_x0000_US"/>
  </r>
  <r>
    <x v="1"/>
    <n v="13.6884"/>
    <n v="-89.199600000000004"/>
    <n v="33900"/>
    <n v="0"/>
    <n v="0"/>
    <n v="102"/>
    <s v="_x0000_US"/>
  </r>
  <r>
    <x v="1"/>
    <n v="13.688499999999999"/>
    <n v="-89.1995"/>
    <n v="33900"/>
    <n v="0"/>
    <n v="0"/>
    <n v="102"/>
    <s v="_x0000_US"/>
  </r>
  <r>
    <x v="1"/>
    <n v="13.688499999999999"/>
    <n v="-89.199399999999997"/>
    <n v="33900"/>
    <n v="0"/>
    <n v="0"/>
    <n v="102"/>
    <s v="_x0000_US"/>
  </r>
  <r>
    <x v="1"/>
    <n v="13.6884"/>
    <n v="-89.199299999999994"/>
    <n v="33900"/>
    <n v="0"/>
    <n v="0"/>
    <n v="102"/>
    <s v="_x0000_US"/>
  </r>
  <r>
    <x v="1"/>
    <n v="13.6884"/>
    <n v="-89.199399999999997"/>
    <n v="33900"/>
    <n v="0"/>
    <n v="0"/>
    <n v="102"/>
    <s v="_x0000_US"/>
  </r>
  <r>
    <x v="1"/>
    <n v="13.6883"/>
    <n v="-89.199399999999997"/>
    <n v="33900"/>
    <n v="0"/>
    <n v="0"/>
    <n v="102"/>
    <s v="_x0000_US"/>
  </r>
  <r>
    <x v="1"/>
    <n v="13.6884"/>
    <n v="-89.199200000000005"/>
    <n v="33900"/>
    <n v="0"/>
    <n v="0"/>
    <n v="102"/>
    <s v="_x0000_US"/>
  </r>
  <r>
    <x v="1"/>
    <n v="13.6883"/>
    <n v="-89.199100000000001"/>
    <n v="33900"/>
    <n v="0"/>
    <n v="0"/>
    <n v="102"/>
    <s v="_x0000_US"/>
  </r>
  <r>
    <x v="1"/>
    <n v="13.6883"/>
    <n v="-89.199100000000001"/>
    <n v="33900"/>
    <n v="0"/>
    <n v="0"/>
    <n v="102"/>
    <s v="_x0000_US"/>
  </r>
  <r>
    <x v="1"/>
    <n v="13.6876"/>
    <n v="-89.199799999999996"/>
    <n v="33900"/>
    <n v="0"/>
    <n v="0"/>
    <n v="102"/>
    <s v="_x0000_US"/>
  </r>
  <r>
    <x v="1"/>
    <n v="13.6876"/>
    <n v="-89.199700000000007"/>
    <n v="33900"/>
    <n v="0"/>
    <n v="0"/>
    <n v="102"/>
    <s v="_x0000_US"/>
  </r>
  <r>
    <x v="1"/>
    <n v="13.6877"/>
    <n v="-89.199600000000004"/>
    <n v="33900"/>
    <n v="0"/>
    <n v="0"/>
    <n v="102"/>
    <s v="_x0000_US"/>
  </r>
  <r>
    <x v="1"/>
    <n v="13.6877"/>
    <n v="-89.199399999999997"/>
    <n v="33900"/>
    <n v="0"/>
    <n v="0"/>
    <n v="102"/>
    <s v="_x0000_US"/>
  </r>
  <r>
    <x v="1"/>
    <n v="13.687799999999999"/>
    <n v="-89.199399999999997"/>
    <n v="33900"/>
    <n v="0"/>
    <n v="0"/>
    <n v="102"/>
    <s v="_x0000_US"/>
  </r>
  <r>
    <x v="1"/>
    <n v="13.688000000000001"/>
    <n v="-89.1995"/>
    <n v="33900"/>
    <n v="0"/>
    <n v="0"/>
    <n v="102"/>
    <s v="_x0000_US"/>
  </r>
  <r>
    <x v="1"/>
    <n v="13.6881"/>
    <n v="-89.199399999999997"/>
    <n v="33900"/>
    <n v="0"/>
    <n v="0"/>
    <n v="102"/>
    <s v="_x0000_US"/>
  </r>
  <r>
    <x v="1"/>
    <n v="13.688000000000001"/>
    <n v="-89.199399999999997"/>
    <n v="33900"/>
    <n v="0"/>
    <n v="0"/>
    <n v="102"/>
    <s v="_x0000_US"/>
  </r>
  <r>
    <x v="1"/>
    <n v="13.6881"/>
    <n v="-89.199100000000001"/>
    <n v="33900"/>
    <n v="0"/>
    <n v="0"/>
    <n v="102"/>
    <s v="_x0000_US"/>
  </r>
  <r>
    <x v="1"/>
    <n v="13.688000000000001"/>
    <n v="-89.199200000000005"/>
    <n v="33900"/>
    <n v="0"/>
    <n v="0"/>
    <n v="102"/>
    <s v="_x0000_US"/>
  </r>
  <r>
    <x v="1"/>
    <n v="13.687900000000001"/>
    <n v="-89.199100000000001"/>
    <n v="33900"/>
    <n v="0"/>
    <n v="0"/>
    <n v="102"/>
    <s v="_x0000_US"/>
  </r>
  <r>
    <x v="1"/>
    <n v="13.687799999999999"/>
    <n v="-89.199200000000005"/>
    <n v="33900"/>
    <n v="0"/>
    <n v="0"/>
    <n v="102"/>
    <s v="_x0000_US"/>
  </r>
  <r>
    <x v="1"/>
    <n v="13.687799999999999"/>
    <n v="-89.199299999999994"/>
    <n v="33900"/>
    <n v="0"/>
    <n v="0"/>
    <n v="102"/>
    <s v="_x0000_US"/>
  </r>
  <r>
    <x v="1"/>
    <n v="13.687799999999999"/>
    <n v="-89.199200000000005"/>
    <n v="33900"/>
    <n v="0"/>
    <n v="0"/>
    <n v="102"/>
    <s v="_x0000_US"/>
  </r>
  <r>
    <x v="1"/>
    <n v="13.6881"/>
    <n v="-89.199100000000001"/>
    <n v="33900"/>
    <n v="0"/>
    <n v="0"/>
    <n v="102"/>
    <s v="_x0000_US"/>
  </r>
  <r>
    <x v="1"/>
    <n v="13.6882"/>
    <n v="-89.199100000000001"/>
    <n v="33900"/>
    <n v="0"/>
    <n v="0"/>
    <n v="102"/>
    <s v="_x0000_US"/>
  </r>
  <r>
    <x v="1"/>
    <n v="13.6882"/>
    <n v="-89.199299999999994"/>
    <n v="33900"/>
    <n v="0"/>
    <n v="0"/>
    <n v="102"/>
    <s v="_x0000_US"/>
  </r>
  <r>
    <x v="1"/>
    <n v="13.6882"/>
    <n v="-89.1995"/>
    <n v="33900"/>
    <n v="0"/>
    <n v="0"/>
    <n v="102"/>
    <s v="_x0000_US"/>
  </r>
  <r>
    <x v="1"/>
    <n v="13.6883"/>
    <n v="-89.1995"/>
    <n v="33900"/>
    <n v="0"/>
    <n v="0"/>
    <n v="102"/>
    <s v="_x0000_US"/>
  </r>
  <r>
    <x v="1"/>
    <n v="13.6882"/>
    <n v="-89.199299999999994"/>
    <n v="33900"/>
    <n v="0"/>
    <n v="0"/>
    <n v="102"/>
    <s v="_x0000_US"/>
  </r>
  <r>
    <x v="1"/>
    <n v="13.6882"/>
    <n v="-89.199100000000001"/>
    <n v="33900"/>
    <n v="0"/>
    <n v="0"/>
    <n v="102"/>
    <s v="_x0000_US"/>
  </r>
  <r>
    <x v="1"/>
    <n v="13.690200000000001"/>
    <n v="-89.198499999999996"/>
    <n v="21700"/>
    <n v="0"/>
    <n v="0"/>
    <n v="102"/>
    <s v="_x0000_US"/>
  </r>
  <r>
    <x v="1"/>
    <n v="13.690200000000001"/>
    <n v="-89.198400000000007"/>
    <n v="21700"/>
    <n v="0"/>
    <n v="0"/>
    <n v="102"/>
    <s v="_x0000_US"/>
  </r>
  <r>
    <x v="1"/>
    <n v="13.690200000000001"/>
    <n v="-89.198400000000007"/>
    <n v="21700"/>
    <n v="0"/>
    <n v="0"/>
    <n v="102"/>
    <s v="_x0000_US"/>
  </r>
  <r>
    <x v="1"/>
    <n v="13.690200000000001"/>
    <n v="-89.198400000000007"/>
    <n v="21700"/>
    <n v="0"/>
    <n v="0"/>
    <n v="102"/>
    <s v="_x0000_US"/>
  </r>
  <r>
    <x v="1"/>
    <n v="13.690099999999999"/>
    <n v="-89.198400000000007"/>
    <n v="21700"/>
    <n v="0"/>
    <n v="0"/>
    <n v="102"/>
    <s v="_x0000_US"/>
  </r>
  <r>
    <x v="1"/>
    <n v="13.690099999999999"/>
    <n v="-89.198400000000007"/>
    <n v="21700"/>
    <n v="0"/>
    <n v="0"/>
    <n v="102"/>
    <s v="_x0000_US"/>
  </r>
  <r>
    <x v="1"/>
    <n v="13.690099999999999"/>
    <n v="-89.198400000000007"/>
    <n v="21700"/>
    <n v="0"/>
    <n v="0"/>
    <n v="102"/>
    <s v="_x0000_US"/>
  </r>
  <r>
    <x v="1"/>
    <n v="13.690099999999999"/>
    <n v="-89.198400000000007"/>
    <n v="21700"/>
    <n v="0"/>
    <n v="0"/>
    <n v="102"/>
    <s v="_x0000_US"/>
  </r>
  <r>
    <x v="1"/>
    <n v="13.690099999999999"/>
    <n v="-89.198400000000007"/>
    <n v="21700"/>
    <n v="0"/>
    <n v="0"/>
    <n v="102"/>
    <s v="_x0000_US"/>
  </r>
  <r>
    <x v="1"/>
    <n v="13.690099999999999"/>
    <n v="-89.198300000000003"/>
    <n v="21700"/>
    <n v="0"/>
    <n v="0"/>
    <n v="102"/>
    <s v="_x0000_US"/>
  </r>
  <r>
    <x v="1"/>
    <n v="13.690099999999999"/>
    <n v="-89.198300000000003"/>
    <n v="21700"/>
    <n v="0"/>
    <n v="0"/>
    <n v="102"/>
    <s v="_x0000_US"/>
  </r>
  <r>
    <x v="1"/>
    <n v="13.690099999999999"/>
    <n v="-89.198300000000003"/>
    <n v="21700"/>
    <n v="0"/>
    <n v="0"/>
    <n v="102"/>
    <s v="_x0000_US"/>
  </r>
  <r>
    <x v="1"/>
    <n v="13.690099999999999"/>
    <n v="-89.198300000000003"/>
    <n v="21700"/>
    <n v="0"/>
    <n v="0"/>
    <n v="102"/>
    <s v="_x0000_US"/>
  </r>
  <r>
    <x v="1"/>
    <n v="13.690200000000001"/>
    <n v="-89.198300000000003"/>
    <n v="21700"/>
    <n v="0"/>
    <n v="0"/>
    <n v="102"/>
    <s v="_x0000_US"/>
  </r>
  <r>
    <x v="1"/>
    <n v="13.690200000000001"/>
    <n v="-89.1982"/>
    <n v="21700"/>
    <n v="0"/>
    <n v="0"/>
    <n v="102"/>
    <s v="_x0000_US"/>
  </r>
  <r>
    <x v="1"/>
    <n v="13.688499999999999"/>
    <n v="-89.201999999999998"/>
    <n v="21700"/>
    <n v="0"/>
    <n v="0"/>
    <n v="102"/>
    <s v="_x0000_US"/>
  </r>
  <r>
    <x v="1"/>
    <n v="13.688499999999999"/>
    <n v="-89.201899999999995"/>
    <n v="21700"/>
    <n v="0"/>
    <n v="0"/>
    <n v="102"/>
    <s v="_x0000_US"/>
  </r>
  <r>
    <x v="1"/>
    <n v="13.688499999999999"/>
    <n v="-89.201899999999995"/>
    <n v="21700"/>
    <n v="0"/>
    <n v="0"/>
    <n v="102"/>
    <s v="_x0000_US"/>
  </r>
  <r>
    <x v="1"/>
    <n v="13.688499999999999"/>
    <n v="-89.201800000000006"/>
    <n v="21700"/>
    <n v="0"/>
    <n v="0"/>
    <n v="102"/>
    <s v="_x0000_US"/>
  </r>
  <r>
    <x v="1"/>
    <n v="13.688499999999999"/>
    <n v="-89.201800000000006"/>
    <n v="21700"/>
    <n v="0"/>
    <n v="0"/>
    <n v="102"/>
    <s v="_x0000_US"/>
  </r>
  <r>
    <x v="1"/>
    <n v="13.6883"/>
    <n v="-89.201899999999995"/>
    <n v="21700"/>
    <n v="0"/>
    <n v="0"/>
    <n v="102"/>
    <s v="_x0000_US"/>
  </r>
  <r>
    <x v="1"/>
    <n v="13.6883"/>
    <n v="-89.201899999999995"/>
    <n v="21700"/>
    <n v="0"/>
    <n v="0"/>
    <n v="102"/>
    <s v="_x0000_US"/>
  </r>
  <r>
    <x v="1"/>
    <n v="13.6884"/>
    <n v="-89.201999999999998"/>
    <n v="21700"/>
    <n v="0"/>
    <n v="0"/>
    <n v="102"/>
    <s v="_x0000_US"/>
  </r>
  <r>
    <x v="1"/>
    <n v="13.688700000000001"/>
    <n v="-89.201999999999998"/>
    <n v="21700"/>
    <n v="0"/>
    <n v="0"/>
    <n v="102"/>
    <s v="_x0000_US"/>
  </r>
  <r>
    <x v="1"/>
    <n v="13.688499999999999"/>
    <n v="-89.201999999999998"/>
    <n v="21700"/>
    <n v="0"/>
    <n v="0"/>
    <n v="102"/>
    <s v="_x0000_US"/>
  </r>
  <r>
    <x v="1"/>
    <n v="13.688700000000001"/>
    <n v="-89.201899999999995"/>
    <n v="21700"/>
    <n v="0"/>
    <n v="0"/>
    <n v="102"/>
    <s v="_x0000_US"/>
  </r>
  <r>
    <x v="1"/>
    <n v="13.6889"/>
    <n v="-89.201800000000006"/>
    <n v="21700"/>
    <n v="0"/>
    <n v="0"/>
    <n v="102"/>
    <s v="_x0000_US"/>
  </r>
  <r>
    <x v="1"/>
    <n v="13.6889"/>
    <n v="-89.201800000000006"/>
    <n v="21700"/>
    <n v="0"/>
    <n v="0"/>
    <n v="102"/>
    <s v="_x0000_US"/>
  </r>
  <r>
    <x v="1"/>
    <n v="13.6889"/>
    <n v="-89.201800000000006"/>
    <n v="21700"/>
    <n v="0"/>
    <n v="0"/>
    <n v="102"/>
    <s v="_x0000_US"/>
  </r>
  <r>
    <x v="1"/>
    <n v="13.6889"/>
    <n v="-89.201999999999998"/>
    <n v="21700"/>
    <n v="0"/>
    <n v="0"/>
    <n v="102"/>
    <s v="_x0000_US"/>
  </r>
  <r>
    <x v="1"/>
    <n v="13.689"/>
    <n v="-89.202100000000002"/>
    <n v="21700"/>
    <n v="0"/>
    <n v="0"/>
    <n v="102"/>
    <s v="_x0000_US"/>
  </r>
  <r>
    <x v="1"/>
    <n v="13.689299999999999"/>
    <n v="-89.202100000000002"/>
    <n v="21700"/>
    <n v="0"/>
    <n v="0"/>
    <n v="102"/>
    <s v="_x0000_US"/>
  </r>
  <r>
    <x v="1"/>
    <n v="13.6892"/>
    <n v="-89.202200000000005"/>
    <n v="21700"/>
    <n v="0"/>
    <n v="0"/>
    <n v="102"/>
    <s v="_x0000_US"/>
  </r>
  <r>
    <x v="1"/>
    <n v="13.6891"/>
    <n v="-89.202100000000002"/>
    <n v="21700"/>
    <n v="0"/>
    <n v="0"/>
    <n v="102"/>
    <s v="_x0000_US"/>
  </r>
  <r>
    <x v="1"/>
    <n v="13.689"/>
    <n v="-89.202100000000002"/>
    <n v="21700"/>
    <n v="0"/>
    <n v="0"/>
    <n v="102"/>
    <s v="_x0000_US"/>
  </r>
  <r>
    <x v="1"/>
    <n v="13.688700000000001"/>
    <n v="-89.201599999999999"/>
    <n v="21700"/>
    <n v="0"/>
    <n v="0"/>
    <n v="102"/>
    <s v="_x0000_US"/>
  </r>
  <r>
    <x v="1"/>
    <n v="13.688700000000001"/>
    <n v="-89.201499999999996"/>
    <n v="21700"/>
    <n v="0"/>
    <n v="0"/>
    <n v="102"/>
    <s v="_x0000_US"/>
  </r>
  <r>
    <x v="1"/>
    <n v="13.688599999999999"/>
    <n v="-89.201499999999996"/>
    <n v="21700"/>
    <n v="0"/>
    <n v="0"/>
    <n v="102"/>
    <s v="_x0000_US"/>
  </r>
  <r>
    <x v="1"/>
    <n v="13.688599999999999"/>
    <n v="-89.201400000000007"/>
    <n v="21700"/>
    <n v="0"/>
    <n v="0"/>
    <n v="102"/>
    <s v="_x0000_US"/>
  </r>
  <r>
    <x v="1"/>
    <n v="13.688700000000001"/>
    <n v="-89.201300000000003"/>
    <n v="21700"/>
    <n v="0"/>
    <n v="0"/>
    <n v="102"/>
    <s v="_x0000_US"/>
  </r>
  <r>
    <x v="1"/>
    <n v="13.688599999999999"/>
    <n v="-89.201300000000003"/>
    <n v="21700"/>
    <n v="0"/>
    <n v="0"/>
    <n v="102"/>
    <s v="_x0000_US"/>
  </r>
  <r>
    <x v="1"/>
    <n v="13.688599999999999"/>
    <n v="-89.201300000000003"/>
    <n v="21700"/>
    <n v="0"/>
    <n v="0"/>
    <n v="102"/>
    <s v="_x0000_US"/>
  </r>
  <r>
    <x v="1"/>
    <n v="13.688599999999999"/>
    <n v="-89.200999999999993"/>
    <n v="21700"/>
    <n v="0"/>
    <n v="0"/>
    <n v="102"/>
    <s v="_x0000_US"/>
  </r>
  <r>
    <x v="1"/>
    <n v="13.688599999999999"/>
    <n v="-89.200599999999994"/>
    <n v="21700"/>
    <n v="0"/>
    <n v="0"/>
    <n v="102"/>
    <s v="_x0000_US"/>
  </r>
  <r>
    <x v="1"/>
    <n v="13.688599999999999"/>
    <n v="-89.200500000000005"/>
    <n v="21700"/>
    <n v="0"/>
    <n v="0"/>
    <n v="102"/>
    <s v="_x0000_US"/>
  </r>
  <r>
    <x v="1"/>
    <n v="13.688499999999999"/>
    <n v="-89.200699999999998"/>
    <n v="21700"/>
    <n v="0"/>
    <n v="0"/>
    <n v="102"/>
    <s v="_x0000_US"/>
  </r>
  <r>
    <x v="1"/>
    <n v="13.688499999999999"/>
    <n v="-89.200500000000005"/>
    <n v="21700"/>
    <n v="0"/>
    <n v="0"/>
    <n v="102"/>
    <s v="_x0000_US"/>
  </r>
  <r>
    <x v="1"/>
    <n v="13.688499999999999"/>
    <n v="-89.200900000000004"/>
    <n v="21700"/>
    <n v="0"/>
    <n v="0"/>
    <n v="102"/>
    <s v="_x0000_US"/>
  </r>
  <r>
    <x v="1"/>
    <n v="13.6884"/>
    <n v="-89.200699999999998"/>
    <n v="21700"/>
    <n v="0"/>
    <n v="0"/>
    <n v="102"/>
    <s v="_x0000_US"/>
  </r>
  <r>
    <x v="1"/>
    <n v="13.6883"/>
    <n v="-89.200699999999998"/>
    <n v="21700"/>
    <n v="0"/>
    <n v="0"/>
    <n v="102"/>
    <s v="_x0000_US"/>
  </r>
  <r>
    <x v="1"/>
    <n v="13.6884"/>
    <n v="-89.200900000000004"/>
    <n v="21700"/>
    <n v="0"/>
    <n v="0"/>
    <n v="102"/>
    <s v="_x0000_US"/>
  </r>
  <r>
    <x v="1"/>
    <n v="13.6884"/>
    <n v="-89.200999999999993"/>
    <n v="21700"/>
    <n v="0"/>
    <n v="0"/>
    <n v="102"/>
    <s v="_x0000_US"/>
  </r>
  <r>
    <x v="1"/>
    <n v="13.6883"/>
    <n v="-89.200999999999993"/>
    <n v="21700"/>
    <n v="0"/>
    <n v="0"/>
    <n v="102"/>
    <s v="_x0000_US"/>
  </r>
  <r>
    <x v="1"/>
    <n v="13.6883"/>
    <n v="-89.201099999999997"/>
    <n v="21700"/>
    <n v="0"/>
    <n v="0"/>
    <n v="102"/>
    <s v="_x0000_US"/>
  </r>
  <r>
    <x v="1"/>
    <n v="13.6883"/>
    <n v="-89.2012"/>
    <n v="21700"/>
    <n v="0"/>
    <n v="0"/>
    <n v="102"/>
    <s v="_x0000_US"/>
  </r>
  <r>
    <x v="1"/>
    <n v="13.6883"/>
    <n v="-89.2012"/>
    <n v="21700"/>
    <n v="0"/>
    <n v="0"/>
    <n v="102"/>
    <s v="_x0000_US"/>
  </r>
  <r>
    <x v="1"/>
    <n v="13.6884"/>
    <n v="-89.201300000000003"/>
    <n v="21700"/>
    <n v="0"/>
    <n v="0"/>
    <n v="102"/>
    <s v="_x0000_US"/>
  </r>
  <r>
    <x v="1"/>
    <n v="13.688499999999999"/>
    <n v="-89.201499999999996"/>
    <n v="21700"/>
    <n v="0"/>
    <n v="0"/>
    <n v="102"/>
    <s v="_x0000_US"/>
  </r>
  <r>
    <x v="1"/>
    <n v="13.688499999999999"/>
    <n v="-89.201700000000002"/>
    <n v="21700"/>
    <n v="0"/>
    <n v="0"/>
    <n v="102"/>
    <s v="_x0000_US"/>
  </r>
  <r>
    <x v="1"/>
    <n v="13.688499999999999"/>
    <n v="-89.200400000000002"/>
    <n v="21700"/>
    <n v="0"/>
    <n v="0"/>
    <n v="102"/>
    <s v="_x0000_US"/>
  </r>
  <r>
    <x v="1"/>
    <n v="13.6884"/>
    <n v="-89.200400000000002"/>
    <n v="21700"/>
    <n v="0"/>
    <n v="0"/>
    <n v="102"/>
    <s v="_x0000_US"/>
  </r>
  <r>
    <x v="1"/>
    <n v="13.6884"/>
    <n v="-89.200400000000002"/>
    <n v="21700"/>
    <n v="0"/>
    <n v="0"/>
    <n v="102"/>
    <s v="_x0000_US"/>
  </r>
  <r>
    <x v="1"/>
    <n v="13.6883"/>
    <n v="-89.200500000000005"/>
    <n v="21700"/>
    <n v="0"/>
    <n v="0"/>
    <n v="102"/>
    <s v="_x0000_US"/>
  </r>
  <r>
    <x v="1"/>
    <n v="13.6882"/>
    <n v="-89.200500000000005"/>
    <n v="21700"/>
    <n v="0"/>
    <n v="0"/>
    <n v="102"/>
    <s v="_x0000_US"/>
  </r>
  <r>
    <x v="1"/>
    <n v="13.6882"/>
    <n v="-89.200500000000005"/>
    <n v="21700"/>
    <n v="0"/>
    <n v="0"/>
    <n v="102"/>
    <s v="_x0000_US"/>
  </r>
  <r>
    <x v="1"/>
    <n v="13.6882"/>
    <n v="-89.200699999999998"/>
    <n v="21700"/>
    <n v="0"/>
    <n v="0"/>
    <n v="102"/>
    <s v="_x0000_US"/>
  </r>
  <r>
    <x v="1"/>
    <n v="13.6882"/>
    <n v="-89.200900000000004"/>
    <n v="21700"/>
    <n v="0"/>
    <n v="0"/>
    <n v="102"/>
    <s v="_x0000_US"/>
  </r>
  <r>
    <x v="1"/>
    <n v="13.6882"/>
    <n v="-89.200299999999999"/>
    <n v="21700"/>
    <n v="0"/>
    <n v="0"/>
    <n v="102"/>
    <s v="_x0000_US"/>
  </r>
  <r>
    <x v="1"/>
    <n v="13.6884"/>
    <n v="-89.200299999999999"/>
    <n v="21700"/>
    <n v="0"/>
    <n v="0"/>
    <n v="102"/>
    <s v="_x0000_US"/>
  </r>
  <r>
    <x v="1"/>
    <n v="13.688599999999999"/>
    <n v="-89.200199999999995"/>
    <n v="21700"/>
    <n v="0"/>
    <n v="0"/>
    <n v="102"/>
    <s v="_x0000_US"/>
  </r>
  <r>
    <x v="1"/>
    <n v="13.6884"/>
    <n v="-89.200199999999995"/>
    <n v="21700"/>
    <n v="0"/>
    <n v="0"/>
    <n v="102"/>
    <s v="_x0000_US"/>
  </r>
  <r>
    <x v="1"/>
    <n v="13.6883"/>
    <n v="-89.200199999999995"/>
    <n v="21700"/>
    <n v="0"/>
    <n v="0"/>
    <n v="102"/>
    <s v="_x0000_US"/>
  </r>
  <r>
    <x v="1"/>
    <n v="13.6883"/>
    <n v="-89.200299999999999"/>
    <n v="21700"/>
    <n v="0"/>
    <n v="0"/>
    <n v="102"/>
    <s v="_x0000_US"/>
  </r>
  <r>
    <x v="1"/>
    <n v="13.688499999999999"/>
    <n v="-89.200199999999995"/>
    <n v="21700"/>
    <n v="0"/>
    <n v="0"/>
    <n v="102"/>
    <s v="_x0000_US"/>
  </r>
  <r>
    <x v="1"/>
    <n v="13.687799999999999"/>
    <n v="-89.200800000000001"/>
    <n v="21700"/>
    <n v="0"/>
    <n v="0"/>
    <n v="102"/>
    <s v="_x0000_US"/>
  </r>
  <r>
    <x v="1"/>
    <n v="13.6881"/>
    <n v="-89.200999999999993"/>
    <n v="21700"/>
    <n v="0"/>
    <n v="0"/>
    <n v="102"/>
    <s v="_x0000_US"/>
  </r>
  <r>
    <x v="1"/>
    <n v="13.6881"/>
    <n v="-89.200999999999993"/>
    <n v="21700"/>
    <n v="0"/>
    <n v="0"/>
    <n v="102"/>
    <s v="_x0000_US"/>
  </r>
  <r>
    <x v="1"/>
    <n v="13.687900000000001"/>
    <n v="-89.200800000000001"/>
    <n v="21700"/>
    <n v="0"/>
    <n v="0"/>
    <n v="102"/>
    <s v="_x0000_US"/>
  </r>
  <r>
    <x v="1"/>
    <n v="13.688000000000001"/>
    <n v="-89.200800000000001"/>
    <n v="21700"/>
    <n v="0"/>
    <n v="0"/>
    <n v="102"/>
    <s v="_x0000_US"/>
  </r>
  <r>
    <x v="1"/>
    <n v="13.6881"/>
    <n v="-89.200800000000001"/>
    <n v="21700"/>
    <n v="0"/>
    <n v="0"/>
    <n v="102"/>
    <s v="_x0000_US"/>
  </r>
  <r>
    <x v="1"/>
    <n v="13.6881"/>
    <n v="-89.200699999999998"/>
    <n v="21700"/>
    <n v="0"/>
    <n v="0"/>
    <n v="102"/>
    <s v="_x0000_US"/>
  </r>
  <r>
    <x v="1"/>
    <n v="13.6881"/>
    <n v="-89.200500000000005"/>
    <n v="21700"/>
    <n v="0"/>
    <n v="0"/>
    <n v="102"/>
    <s v="_x0000_US"/>
  </r>
  <r>
    <x v="1"/>
    <n v="13.688000000000001"/>
    <n v="-89.200500000000005"/>
    <n v="21700"/>
    <n v="0"/>
    <n v="0"/>
    <n v="102"/>
    <s v="_x0000_US"/>
  </r>
  <r>
    <x v="1"/>
    <n v="13.687900000000001"/>
    <n v="-89.200500000000005"/>
    <n v="21700"/>
    <n v="0"/>
    <n v="0"/>
    <n v="102"/>
    <s v="_x0000_US"/>
  </r>
  <r>
    <x v="1"/>
    <n v="13.687799999999999"/>
    <n v="-89.200500000000005"/>
    <n v="21700"/>
    <n v="0"/>
    <n v="0"/>
    <n v="102"/>
    <s v="_x0000_US"/>
  </r>
  <r>
    <x v="1"/>
    <n v="13.687900000000001"/>
    <n v="-89.200299999999999"/>
    <n v="21700"/>
    <n v="0"/>
    <n v="0"/>
    <n v="102"/>
    <s v="_x0000_US"/>
  </r>
  <r>
    <x v="1"/>
    <n v="13.6881"/>
    <n v="-89.200299999999999"/>
    <n v="21700"/>
    <n v="0"/>
    <n v="0"/>
    <n v="102"/>
    <s v="_x0000_US"/>
  </r>
  <r>
    <x v="1"/>
    <n v="13.6881"/>
    <n v="-89.200199999999995"/>
    <n v="21700"/>
    <n v="0"/>
    <n v="0"/>
    <n v="102"/>
    <s v="_x0000_US"/>
  </r>
  <r>
    <x v="1"/>
    <n v="13.687900000000001"/>
    <n v="-89.200199999999995"/>
    <n v="21700"/>
    <n v="0"/>
    <n v="0"/>
    <n v="102"/>
    <s v="_x0000_US"/>
  </r>
  <r>
    <x v="1"/>
    <n v="13.687799999999999"/>
    <n v="-89.200199999999995"/>
    <n v="21700"/>
    <n v="0"/>
    <n v="0"/>
    <n v="102"/>
    <s v="_x0000_US"/>
  </r>
  <r>
    <x v="1"/>
    <n v="13.6877"/>
    <n v="-89.200500000000005"/>
    <n v="21700"/>
    <n v="0"/>
    <n v="0"/>
    <n v="102"/>
    <s v="_x0000_US"/>
  </r>
  <r>
    <x v="1"/>
    <n v="13.6877"/>
    <n v="-89.200400000000002"/>
    <n v="21700"/>
    <n v="0"/>
    <n v="0"/>
    <n v="102"/>
    <s v="_x0000_US"/>
  </r>
  <r>
    <x v="1"/>
    <n v="13.6876"/>
    <n v="-89.200199999999995"/>
    <n v="21700"/>
    <n v="0"/>
    <n v="0"/>
    <n v="102"/>
    <s v="_x0000_US"/>
  </r>
  <r>
    <x v="1"/>
    <n v="13.6877"/>
    <n v="-89.200199999999995"/>
    <n v="21700"/>
    <n v="0"/>
    <n v="0"/>
    <n v="102"/>
    <s v="_x0000_US"/>
  </r>
  <r>
    <x v="1"/>
    <n v="13.6876"/>
    <n v="-89.200500000000005"/>
    <n v="21700"/>
    <n v="0"/>
    <n v="0"/>
    <n v="102"/>
    <s v="_x0000_US"/>
  </r>
  <r>
    <x v="1"/>
    <n v="13.6877"/>
    <n v="-89.200699999999998"/>
    <n v="21700"/>
    <n v="0"/>
    <n v="0"/>
    <n v="102"/>
    <s v="_x0000_US"/>
  </r>
  <r>
    <x v="1"/>
    <n v="13.6875"/>
    <n v="-89.200800000000001"/>
    <n v="21700"/>
    <n v="0"/>
    <n v="0"/>
    <n v="102"/>
    <s v="_x0000_US"/>
  </r>
  <r>
    <x v="1"/>
    <n v="13.6874"/>
    <n v="-89.200800000000001"/>
    <n v="21700"/>
    <n v="0"/>
    <n v="0"/>
    <n v="102"/>
    <s v="_x0000_US"/>
  </r>
  <r>
    <x v="1"/>
    <n v="13.6874"/>
    <n v="-89.200599999999994"/>
    <n v="21700"/>
    <n v="0"/>
    <n v="0"/>
    <n v="102"/>
    <s v="_x0000_US"/>
  </r>
  <r>
    <x v="1"/>
    <n v="13.6874"/>
    <n v="-89.200599999999994"/>
    <n v="21700"/>
    <n v="0"/>
    <n v="0"/>
    <n v="102"/>
    <s v="_x0000_US"/>
  </r>
  <r>
    <x v="1"/>
    <n v="13.6874"/>
    <n v="-89.200599999999994"/>
    <n v="21700"/>
    <n v="0"/>
    <n v="0"/>
    <n v="102"/>
    <s v="_x0000_US"/>
  </r>
  <r>
    <x v="1"/>
    <n v="13.6874"/>
    <n v="-89.200500000000005"/>
    <n v="21700"/>
    <n v="0"/>
    <n v="0"/>
    <n v="102"/>
    <s v="_x0000_US"/>
  </r>
  <r>
    <x v="1"/>
    <n v="13.6876"/>
    <n v="-89.200100000000006"/>
    <n v="21700"/>
    <n v="0"/>
    <n v="0"/>
    <n v="102"/>
    <s v="_x0000_US"/>
  </r>
  <r>
    <x v="1"/>
    <n v="13.6873"/>
    <n v="-89.200599999999994"/>
    <n v="21700"/>
    <n v="0"/>
    <n v="0"/>
    <n v="102"/>
    <s v="_x0000_US"/>
  </r>
  <r>
    <x v="1"/>
    <n v="13.6873"/>
    <n v="-89.200599999999994"/>
    <n v="21700"/>
    <n v="0"/>
    <n v="0"/>
    <n v="102"/>
    <s v="_x0000_US"/>
  </r>
  <r>
    <x v="1"/>
    <n v="13.6873"/>
    <n v="-89.200500000000005"/>
    <n v="21700"/>
    <n v="0"/>
    <n v="0"/>
    <n v="102"/>
    <s v="_x0000_US"/>
  </r>
  <r>
    <x v="1"/>
    <n v="13.6873"/>
    <n v="-89.200500000000005"/>
    <n v="21700"/>
    <n v="0"/>
    <n v="0"/>
    <n v="102"/>
    <s v="_x0000_US"/>
  </r>
  <r>
    <x v="1"/>
    <n v="13.6873"/>
    <n v="-89.200400000000002"/>
    <n v="21700"/>
    <n v="0"/>
    <n v="0"/>
    <n v="102"/>
    <s v="_x0000_US"/>
  </r>
  <r>
    <x v="1"/>
    <n v="13.687200000000001"/>
    <n v="-89.200400000000002"/>
    <n v="21700"/>
    <n v="0"/>
    <n v="0"/>
    <n v="102"/>
    <s v="_x0000_US"/>
  </r>
  <r>
    <x v="1"/>
    <n v="13.6873"/>
    <n v="-89.200400000000002"/>
    <n v="21700"/>
    <n v="0"/>
    <n v="0"/>
    <n v="102"/>
    <s v="_x0000_US"/>
  </r>
  <r>
    <x v="1"/>
    <n v="13.6874"/>
    <n v="-89.200400000000002"/>
    <n v="21700"/>
    <n v="0"/>
    <n v="0"/>
    <n v="102"/>
    <s v="_x0000_US"/>
  </r>
  <r>
    <x v="1"/>
    <n v="13.6874"/>
    <n v="-89.200500000000005"/>
    <n v="21700"/>
    <n v="0"/>
    <n v="0"/>
    <n v="102"/>
    <s v="_x0000_US"/>
  </r>
  <r>
    <x v="1"/>
    <n v="13.6874"/>
    <n v="-89.200299999999999"/>
    <n v="21700"/>
    <n v="0"/>
    <n v="0"/>
    <n v="102"/>
    <s v="_x0000_US"/>
  </r>
  <r>
    <x v="1"/>
    <n v="13.687200000000001"/>
    <n v="-89.200199999999995"/>
    <n v="21700"/>
    <n v="0"/>
    <n v="0"/>
    <n v="102"/>
    <s v="_x0000_US"/>
  </r>
  <r>
    <x v="1"/>
    <n v="13.687200000000001"/>
    <n v="-89.200900000000004"/>
    <n v="21700"/>
    <n v="0"/>
    <n v="0"/>
    <n v="102"/>
    <s v="_x0000_US"/>
  </r>
  <r>
    <x v="1"/>
    <n v="13.686999999999999"/>
    <n v="-89.200500000000005"/>
    <n v="21700"/>
    <n v="0"/>
    <n v="0"/>
    <n v="102"/>
    <s v="_x0000_US"/>
  </r>
  <r>
    <x v="1"/>
    <n v="13.686999999999999"/>
    <n v="-89.200400000000002"/>
    <n v="21700"/>
    <n v="0"/>
    <n v="0"/>
    <n v="102"/>
    <s v="_x0000_US"/>
  </r>
  <r>
    <x v="1"/>
    <n v="13.687099999999999"/>
    <n v="-89.200400000000002"/>
    <n v="21700"/>
    <n v="0"/>
    <n v="0"/>
    <n v="102"/>
    <s v="_x0000_US"/>
  </r>
  <r>
    <x v="1"/>
    <n v="13.687099999999999"/>
    <n v="-89.200400000000002"/>
    <n v="21700"/>
    <n v="0"/>
    <n v="0"/>
    <n v="102"/>
    <s v="_x0000_US"/>
  </r>
  <r>
    <x v="1"/>
    <n v="13.687099999999999"/>
    <n v="-89.200299999999999"/>
    <n v="21700"/>
    <n v="0"/>
    <n v="0"/>
    <n v="102"/>
    <s v="_x0000_US"/>
  </r>
  <r>
    <x v="1"/>
    <n v="13.687200000000001"/>
    <n v="-89.200299999999999"/>
    <n v="21700"/>
    <n v="0"/>
    <n v="0"/>
    <n v="102"/>
    <s v="_x0000_US"/>
  </r>
  <r>
    <x v="1"/>
    <n v="13.686999999999999"/>
    <n v="-89.200299999999999"/>
    <n v="21700"/>
    <n v="0"/>
    <n v="0"/>
    <n v="102"/>
    <s v="_x0000_US"/>
  </r>
  <r>
    <x v="1"/>
    <n v="13.687099999999999"/>
    <n v="-89.200299999999999"/>
    <n v="21700"/>
    <n v="0"/>
    <n v="0"/>
    <n v="102"/>
    <s v="_x0000_US"/>
  </r>
  <r>
    <x v="1"/>
    <n v="13.687099999999999"/>
    <n v="-89.200299999999999"/>
    <n v="21700"/>
    <n v="0"/>
    <n v="0"/>
    <n v="102"/>
    <s v="_x0000_US"/>
  </r>
  <r>
    <x v="1"/>
    <n v="13.687099999999999"/>
    <n v="-89.200199999999995"/>
    <n v="21700"/>
    <n v="0"/>
    <n v="0"/>
    <n v="102"/>
    <s v="_x0000_US"/>
  </r>
  <r>
    <x v="1"/>
    <n v="13.687099999999999"/>
    <n v="-89.200199999999995"/>
    <n v="21700"/>
    <n v="0"/>
    <n v="0"/>
    <n v="102"/>
    <s v="_x0000_US"/>
  </r>
  <r>
    <x v="1"/>
    <n v="13.687200000000001"/>
    <n v="-89.200100000000006"/>
    <n v="21700"/>
    <n v="0"/>
    <n v="0"/>
    <n v="102"/>
    <s v="_x0000_US"/>
  </r>
  <r>
    <x v="1"/>
    <n v="13.687200000000001"/>
    <n v="-89.200100000000006"/>
    <n v="21700"/>
    <n v="0"/>
    <n v="0"/>
    <n v="102"/>
    <s v="_x0000_US"/>
  </r>
  <r>
    <x v="1"/>
    <n v="13.687200000000001"/>
    <n v="-89.200199999999995"/>
    <n v="21700"/>
    <n v="0"/>
    <n v="0"/>
    <n v="102"/>
    <s v="_x0000_US"/>
  </r>
  <r>
    <x v="1"/>
    <n v="13.6873"/>
    <n v="-89.200199999999995"/>
    <n v="21700"/>
    <n v="0"/>
    <n v="0"/>
    <n v="102"/>
    <s v="_x0000_US"/>
  </r>
  <r>
    <x v="1"/>
    <n v="13.6873"/>
    <n v="-89.200100000000006"/>
    <n v="21700"/>
    <n v="0"/>
    <n v="0"/>
    <n v="102"/>
    <s v="_x0000_US"/>
  </r>
  <r>
    <x v="1"/>
    <n v="13.6873"/>
    <n v="-89.200100000000006"/>
    <n v="21700"/>
    <n v="0"/>
    <n v="0"/>
    <n v="102"/>
    <s v="_x0000_US"/>
  </r>
  <r>
    <x v="1"/>
    <n v="13.6873"/>
    <n v="-89.200100000000006"/>
    <n v="21700"/>
    <n v="0"/>
    <n v="0"/>
    <n v="102"/>
    <s v="_x0000_US"/>
  </r>
  <r>
    <x v="1"/>
    <n v="13.6874"/>
    <n v="-89.1999"/>
    <n v="21700"/>
    <n v="0"/>
    <n v="0"/>
    <n v="102"/>
    <s v="_x0000_US"/>
  </r>
  <r>
    <x v="1"/>
    <n v="13.686999999999999"/>
    <n v="-89.200500000000005"/>
    <n v="21700"/>
    <n v="0"/>
    <n v="0"/>
    <n v="102"/>
    <s v="_x0000_US"/>
  </r>
  <r>
    <x v="1"/>
    <n v="13.686999999999999"/>
    <n v="-89.200599999999994"/>
    <n v="21700"/>
    <n v="0"/>
    <n v="0"/>
    <n v="102"/>
    <s v="_x0000_US"/>
  </r>
  <r>
    <x v="1"/>
    <n v="13.6869"/>
    <n v="-89.200599999999994"/>
    <n v="21700"/>
    <n v="0"/>
    <n v="0"/>
    <n v="102"/>
    <s v="_x0000_US"/>
  </r>
  <r>
    <x v="1"/>
    <n v="13.6869"/>
    <n v="-89.200599999999994"/>
    <n v="21700"/>
    <n v="0"/>
    <n v="0"/>
    <n v="102"/>
    <s v="_x0000_US"/>
  </r>
  <r>
    <x v="1"/>
    <n v="13.6868"/>
    <n v="-89.200699999999998"/>
    <n v="21700"/>
    <n v="0"/>
    <n v="0"/>
    <n v="102"/>
    <s v="_x0000_US"/>
  </r>
  <r>
    <x v="1"/>
    <n v="13.6868"/>
    <n v="-89.200599999999994"/>
    <n v="21700"/>
    <n v="0"/>
    <n v="0"/>
    <n v="102"/>
    <s v="_x0000_US"/>
  </r>
  <r>
    <x v="1"/>
    <n v="13.6869"/>
    <n v="-89.200500000000005"/>
    <n v="21700"/>
    <n v="0"/>
    <n v="0"/>
    <n v="102"/>
    <s v="_x0000_US"/>
  </r>
  <r>
    <x v="1"/>
    <n v="13.6869"/>
    <n v="-89.200500000000005"/>
    <n v="21700"/>
    <n v="0"/>
    <n v="0"/>
    <n v="102"/>
    <s v="_x0000_US"/>
  </r>
  <r>
    <x v="1"/>
    <n v="13.686999999999999"/>
    <n v="-89.200400000000002"/>
    <n v="21700"/>
    <n v="0"/>
    <n v="0"/>
    <n v="102"/>
    <s v="_x0000_US"/>
  </r>
  <r>
    <x v="1"/>
    <n v="13.686999999999999"/>
    <n v="-89.200400000000002"/>
    <n v="21700"/>
    <n v="0"/>
    <n v="0"/>
    <n v="102"/>
    <s v="_x0000_US"/>
  </r>
  <r>
    <x v="1"/>
    <n v="13.686999999999999"/>
    <n v="-89.200900000000004"/>
    <n v="21700"/>
    <n v="0"/>
    <n v="0"/>
    <n v="102"/>
    <s v="_x0000_US"/>
  </r>
  <r>
    <x v="1"/>
    <n v="13.6869"/>
    <n v="-89.200900000000004"/>
    <n v="21700"/>
    <n v="0"/>
    <n v="0"/>
    <n v="102"/>
    <s v="_x0000_US"/>
  </r>
  <r>
    <x v="1"/>
    <n v="13.6868"/>
    <n v="-89.200900000000004"/>
    <n v="21700"/>
    <n v="0"/>
    <n v="0"/>
    <n v="102"/>
    <s v="_x0000_US"/>
  </r>
  <r>
    <x v="1"/>
    <n v="13.6867"/>
    <n v="-89.200699999999998"/>
    <n v="21700"/>
    <n v="0"/>
    <n v="0"/>
    <n v="102"/>
    <s v="_x0000_US"/>
  </r>
  <r>
    <x v="1"/>
    <n v="13.6868"/>
    <n v="-89.200599999999994"/>
    <n v="21700"/>
    <n v="0"/>
    <n v="0"/>
    <n v="102"/>
    <s v="_x0000_US"/>
  </r>
  <r>
    <x v="1"/>
    <n v="13.6867"/>
    <n v="-89.200900000000004"/>
    <n v="21700"/>
    <n v="0"/>
    <n v="0"/>
    <n v="102"/>
    <s v="_x0000_US"/>
  </r>
  <r>
    <x v="1"/>
    <n v="13.688000000000001"/>
    <n v="-89.2"/>
    <n v="21700"/>
    <n v="0"/>
    <n v="0"/>
    <n v="102"/>
    <s v="_x0000_US"/>
  </r>
  <r>
    <x v="1"/>
    <n v="13.688000000000001"/>
    <n v="-89.2"/>
    <n v="21700"/>
    <n v="0"/>
    <n v="0"/>
    <n v="102"/>
    <s v="_x0000_US"/>
  </r>
  <r>
    <x v="1"/>
    <n v="13.687900000000001"/>
    <n v="-89.200100000000006"/>
    <n v="21700"/>
    <n v="0"/>
    <n v="0"/>
    <n v="102"/>
    <s v="_x0000_US"/>
  </r>
  <r>
    <x v="1"/>
    <n v="13.6882"/>
    <n v="-89.200100000000006"/>
    <n v="21700"/>
    <n v="0"/>
    <n v="0"/>
    <n v="102"/>
    <s v="_x0000_US"/>
  </r>
  <r>
    <x v="1"/>
    <n v="13.6883"/>
    <n v="-89.2"/>
    <n v="21700"/>
    <n v="0"/>
    <n v="0"/>
    <n v="102"/>
    <s v="_x0000_US"/>
  </r>
  <r>
    <x v="1"/>
    <n v="13.6883"/>
    <n v="-89.200100000000006"/>
    <n v="21700"/>
    <n v="0"/>
    <n v="0"/>
    <n v="102"/>
    <s v="_x0000_US"/>
  </r>
  <r>
    <x v="1"/>
    <n v="13.688499999999999"/>
    <n v="-89.200100000000006"/>
    <n v="21700"/>
    <n v="0"/>
    <n v="0"/>
    <n v="102"/>
    <s v="_x0000_US"/>
  </r>
  <r>
    <x v="1"/>
    <n v="13.688499999999999"/>
    <n v="-89.200100000000006"/>
    <n v="21700"/>
    <n v="0"/>
    <n v="0"/>
    <n v="102"/>
    <s v="_x0000_US"/>
  </r>
  <r>
    <x v="1"/>
    <n v="13.6874"/>
    <n v="-89.199799999999996"/>
    <n v="21700"/>
    <n v="0"/>
    <n v="0"/>
    <n v="102"/>
    <s v="_x0000_US"/>
  </r>
  <r>
    <x v="1"/>
    <n v="13.6874"/>
    <n v="-89.199799999999996"/>
    <n v="21700"/>
    <n v="0"/>
    <n v="0"/>
    <n v="102"/>
    <s v="_x0000_US"/>
  </r>
  <r>
    <x v="1"/>
    <n v="13.6876"/>
    <n v="-89.199200000000005"/>
    <n v="21700"/>
    <n v="0"/>
    <n v="0"/>
    <n v="102"/>
    <s v="_x0000_US"/>
  </r>
  <r>
    <x v="1"/>
    <n v="13.6876"/>
    <n v="-89.199200000000005"/>
    <n v="21700"/>
    <n v="0"/>
    <n v="0"/>
    <n v="102"/>
    <s v="_x0000_US"/>
  </r>
  <r>
    <x v="1"/>
    <n v="13.688700000000001"/>
    <n v="-89.199700000000007"/>
    <n v="21700"/>
    <n v="0"/>
    <n v="0"/>
    <n v="102"/>
    <s v="_x0000_US"/>
  </r>
  <r>
    <x v="1"/>
    <n v="13.688700000000001"/>
    <n v="-89.199600000000004"/>
    <n v="21700"/>
    <n v="0"/>
    <n v="0"/>
    <n v="102"/>
    <s v="_x0000_US"/>
  </r>
  <r>
    <x v="1"/>
    <n v="13.688700000000001"/>
    <n v="-89.1995"/>
    <n v="21700"/>
    <n v="0"/>
    <n v="0"/>
    <n v="102"/>
    <s v="_x0000_US"/>
  </r>
  <r>
    <x v="1"/>
    <n v="13.688700000000001"/>
    <n v="-89.199399999999997"/>
    <n v="21700"/>
    <n v="0"/>
    <n v="0"/>
    <n v="102"/>
    <s v="_x0000_US"/>
  </r>
  <r>
    <x v="1"/>
    <n v="13.688700000000001"/>
    <n v="-89.199299999999994"/>
    <n v="21700"/>
    <n v="0"/>
    <n v="0"/>
    <n v="102"/>
    <s v="_x0000_US"/>
  </r>
  <r>
    <x v="1"/>
    <n v="13.688599999999999"/>
    <n v="-89.199299999999994"/>
    <n v="21700"/>
    <n v="0"/>
    <n v="0"/>
    <n v="102"/>
    <s v="_x0000_US"/>
  </r>
  <r>
    <x v="1"/>
    <n v="13.688700000000001"/>
    <n v="-89.199200000000005"/>
    <n v="21700"/>
    <n v="0"/>
    <n v="0"/>
    <n v="102"/>
    <s v="_x0000_US"/>
  </r>
  <r>
    <x v="1"/>
    <n v="13.6889"/>
    <n v="-89.2"/>
    <n v="21700"/>
    <n v="0"/>
    <n v="0"/>
    <n v="102"/>
    <s v="_x0000_US"/>
  </r>
  <r>
    <x v="1"/>
    <n v="13.689"/>
    <n v="-89.1995"/>
    <n v="21700"/>
    <n v="0"/>
    <n v="0"/>
    <n v="102"/>
    <s v="_x0000_US"/>
  </r>
  <r>
    <x v="1"/>
    <n v="13.6889"/>
    <n v="-89.199399999999997"/>
    <n v="21700"/>
    <n v="0"/>
    <n v="0"/>
    <n v="102"/>
    <s v="_x0000_US"/>
  </r>
  <r>
    <x v="1"/>
    <n v="13.6889"/>
    <n v="-89.199299999999994"/>
    <n v="21700"/>
    <n v="0"/>
    <n v="0"/>
    <n v="102"/>
    <s v="_x0000_US"/>
  </r>
  <r>
    <x v="1"/>
    <n v="13.689"/>
    <n v="-89.199200000000005"/>
    <n v="21700"/>
    <n v="0"/>
    <n v="0"/>
    <n v="102"/>
    <s v="_x0000_US"/>
  </r>
  <r>
    <x v="1"/>
    <n v="13.6889"/>
    <n v="-89.199200000000005"/>
    <n v="21700"/>
    <n v="0"/>
    <n v="0"/>
    <n v="102"/>
    <s v="_x0000_US"/>
  </r>
  <r>
    <x v="1"/>
    <n v="13.688700000000001"/>
    <n v="-89.198999999999998"/>
    <n v="21700"/>
    <n v="0"/>
    <n v="0"/>
    <n v="102"/>
    <s v="_x0000_US"/>
  </r>
  <r>
    <x v="1"/>
    <n v="13.6889"/>
    <n v="-89.198999999999998"/>
    <n v="21700"/>
    <n v="0"/>
    <n v="0"/>
    <n v="102"/>
    <s v="_x0000_US"/>
  </r>
  <r>
    <x v="1"/>
    <n v="13.6891"/>
    <n v="-89.199299999999994"/>
    <n v="21700"/>
    <n v="0"/>
    <n v="0"/>
    <n v="102"/>
    <s v="_x0000_US"/>
  </r>
  <r>
    <x v="1"/>
    <n v="13.6891"/>
    <n v="-89.199100000000001"/>
    <n v="21700"/>
    <n v="0"/>
    <n v="0"/>
    <n v="102"/>
    <s v="_x0000_US"/>
  </r>
  <r>
    <x v="1"/>
    <n v="13.6891"/>
    <n v="-89.198999999999998"/>
    <n v="21700"/>
    <n v="0"/>
    <n v="0"/>
    <n v="102"/>
    <s v="_x0000_US"/>
  </r>
  <r>
    <x v="1"/>
    <n v="13.6892"/>
    <n v="-89.198999999999998"/>
    <n v="21700"/>
    <n v="0"/>
    <n v="0"/>
    <n v="102"/>
    <s v="_x0000_US"/>
  </r>
  <r>
    <x v="1"/>
    <n v="13.6892"/>
    <n v="-89.198800000000006"/>
    <n v="21700"/>
    <n v="0"/>
    <n v="0"/>
    <n v="102"/>
    <s v="_x0000_US"/>
  </r>
  <r>
    <x v="1"/>
    <n v="13.6892"/>
    <n v="-89.198700000000002"/>
    <n v="21700"/>
    <n v="0"/>
    <n v="0"/>
    <n v="102"/>
    <s v="_x0000_US"/>
  </r>
  <r>
    <x v="1"/>
    <n v="13.689"/>
    <n v="-89.198800000000006"/>
    <n v="21700"/>
    <n v="0"/>
    <n v="0"/>
    <n v="102"/>
    <s v="_x0000_US"/>
  </r>
  <r>
    <x v="1"/>
    <n v="13.689"/>
    <n v="-89.198700000000002"/>
    <n v="21700"/>
    <n v="0"/>
    <n v="0"/>
    <n v="102"/>
    <s v="_x0000_US"/>
  </r>
  <r>
    <x v="1"/>
    <n v="13.689"/>
    <n v="-89.198599999999999"/>
    <n v="21700"/>
    <n v="0"/>
    <n v="0"/>
    <n v="102"/>
    <s v="_x0000_US"/>
  </r>
  <r>
    <x v="1"/>
    <n v="13.689"/>
    <n v="-89.198599999999999"/>
    <n v="21700"/>
    <n v="0"/>
    <n v="0"/>
    <n v="102"/>
    <s v="_x0000_US"/>
  </r>
  <r>
    <x v="1"/>
    <n v="13.689"/>
    <n v="-89.198499999999996"/>
    <n v="21700"/>
    <n v="0"/>
    <n v="0"/>
    <n v="102"/>
    <s v="_x0000_US"/>
  </r>
  <r>
    <x v="1"/>
    <n v="13.689"/>
    <n v="-89.198499999999996"/>
    <n v="21700"/>
    <n v="0"/>
    <n v="0"/>
    <n v="102"/>
    <s v="_x0000_US"/>
  </r>
  <r>
    <x v="1"/>
    <n v="13.689"/>
    <n v="-89.198400000000007"/>
    <n v="21700"/>
    <n v="0"/>
    <n v="0"/>
    <n v="102"/>
    <s v="_x0000_US"/>
  </r>
  <r>
    <x v="1"/>
    <n v="13.689"/>
    <n v="-89.198400000000007"/>
    <n v="21700"/>
    <n v="0"/>
    <n v="0"/>
    <n v="102"/>
    <s v="_x0000_US"/>
  </r>
  <r>
    <x v="1"/>
    <n v="13.689"/>
    <n v="-89.198300000000003"/>
    <n v="21700"/>
    <n v="0"/>
    <n v="0"/>
    <n v="102"/>
    <s v="_x0000_US"/>
  </r>
  <r>
    <x v="1"/>
    <n v="13.689"/>
    <n v="-89.1982"/>
    <n v="21700"/>
    <n v="0"/>
    <n v="0"/>
    <n v="102"/>
    <s v="_x0000_US"/>
  </r>
  <r>
    <x v="1"/>
    <n v="13.689"/>
    <n v="-89.1982"/>
    <n v="21700"/>
    <n v="0"/>
    <n v="0"/>
    <n v="102"/>
    <s v="_x0000_US"/>
  </r>
  <r>
    <x v="1"/>
    <n v="13.689"/>
    <n v="-89.197999999999993"/>
    <n v="21700"/>
    <n v="0"/>
    <n v="0"/>
    <n v="102"/>
    <s v="_x0000_US"/>
  </r>
  <r>
    <x v="1"/>
    <n v="13.6889"/>
    <n v="-89.197900000000004"/>
    <n v="21700"/>
    <n v="0"/>
    <n v="0"/>
    <n v="102"/>
    <s v="_x0000_US"/>
  </r>
  <r>
    <x v="1"/>
    <n v="13.689299999999999"/>
    <n v="-89.198999999999998"/>
    <n v="21700"/>
    <n v="0"/>
    <n v="0"/>
    <n v="102"/>
    <s v="_x0000_US"/>
  </r>
  <r>
    <x v="1"/>
    <n v="13.6892"/>
    <n v="-89.199200000000005"/>
    <n v="21700"/>
    <n v="0"/>
    <n v="0"/>
    <n v="102"/>
    <s v="_x0000_US"/>
  </r>
  <r>
    <x v="1"/>
    <n v="13.689299999999999"/>
    <n v="-89.199200000000005"/>
    <n v="21700"/>
    <n v="0"/>
    <n v="0"/>
    <n v="102"/>
    <s v="_x0000_US"/>
  </r>
  <r>
    <x v="1"/>
    <n v="13.689399999999999"/>
    <n v="-89.199299999999994"/>
    <n v="21700"/>
    <n v="0"/>
    <n v="0"/>
    <n v="102"/>
    <s v="_x0000_US"/>
  </r>
  <r>
    <x v="1"/>
    <n v="13.6891"/>
    <n v="-89.199600000000004"/>
    <n v="21700"/>
    <n v="0"/>
    <n v="0"/>
    <n v="102"/>
    <s v="_x0000_US"/>
  </r>
  <r>
    <x v="1"/>
    <n v="13.689299999999999"/>
    <n v="-89.199700000000007"/>
    <n v="21700"/>
    <n v="0"/>
    <n v="0"/>
    <n v="102"/>
    <s v="_x0000_US"/>
  </r>
  <r>
    <x v="1"/>
    <n v="13.689"/>
    <n v="-89.200199999999995"/>
    <n v="21700"/>
    <n v="0"/>
    <n v="0"/>
    <n v="102"/>
    <s v="_x0000_US"/>
  </r>
  <r>
    <x v="1"/>
    <n v="13.688800000000001"/>
    <n v="-89.200100000000006"/>
    <n v="21700"/>
    <n v="0"/>
    <n v="0"/>
    <n v="102"/>
    <s v="_x0000_US"/>
  </r>
  <r>
    <x v="1"/>
    <n v="13.689"/>
    <n v="-89.1999"/>
    <n v="21700"/>
    <n v="0"/>
    <n v="0"/>
    <n v="102"/>
    <s v="_x0000_US"/>
  </r>
  <r>
    <x v="1"/>
    <n v="13.6889"/>
    <n v="-89.200500000000005"/>
    <n v="21700"/>
    <n v="0"/>
    <n v="0"/>
    <n v="102"/>
    <s v="_x0000_US"/>
  </r>
  <r>
    <x v="1"/>
    <n v="13.688800000000001"/>
    <n v="-89.200500000000005"/>
    <n v="21700"/>
    <n v="0"/>
    <n v="0"/>
    <n v="102"/>
    <s v="_x0000_US"/>
  </r>
  <r>
    <x v="1"/>
    <n v="13.6889"/>
    <n v="-89.200400000000002"/>
    <n v="21700"/>
    <n v="0"/>
    <n v="0"/>
    <n v="102"/>
    <s v="_x0000_US"/>
  </r>
  <r>
    <x v="1"/>
    <n v="13.6889"/>
    <n v="-89.200199999999995"/>
    <n v="21700"/>
    <n v="0"/>
    <n v="0"/>
    <n v="102"/>
    <s v="_x0000_US"/>
  </r>
  <r>
    <x v="1"/>
    <n v="13.6889"/>
    <n v="-89.200199999999995"/>
    <n v="21700"/>
    <n v="0"/>
    <n v="0"/>
    <n v="102"/>
    <s v="_x0000_US"/>
  </r>
  <r>
    <x v="1"/>
    <n v="13.688800000000001"/>
    <n v="-89.200199999999995"/>
    <n v="21700"/>
    <n v="0"/>
    <n v="0"/>
    <n v="102"/>
    <s v="_x0000_US"/>
  </r>
  <r>
    <x v="1"/>
    <n v="13.6892"/>
    <n v="-89.200599999999994"/>
    <n v="21700"/>
    <n v="0"/>
    <n v="0"/>
    <n v="102"/>
    <s v="_x0000_US"/>
  </r>
  <r>
    <x v="1"/>
    <n v="13.6892"/>
    <n v="-89.200699999999998"/>
    <n v="21700"/>
    <n v="0"/>
    <n v="0"/>
    <n v="102"/>
    <s v="_x0000_US"/>
  </r>
  <r>
    <x v="1"/>
    <n v="13.6891"/>
    <n v="-89.200699999999998"/>
    <n v="21700"/>
    <n v="0"/>
    <n v="0"/>
    <n v="102"/>
    <s v="_x0000_US"/>
  </r>
  <r>
    <x v="1"/>
    <n v="13.6891"/>
    <n v="-89.200699999999998"/>
    <n v="21700"/>
    <n v="0"/>
    <n v="0"/>
    <n v="102"/>
    <s v="_x0000_US"/>
  </r>
  <r>
    <x v="1"/>
    <n v="13.689"/>
    <n v="-89.200699999999998"/>
    <n v="21700"/>
    <n v="0"/>
    <n v="0"/>
    <n v="102"/>
    <s v="_x0000_US"/>
  </r>
  <r>
    <x v="1"/>
    <n v="13.6889"/>
    <n v="-89.200599999999994"/>
    <n v="21700"/>
    <n v="0"/>
    <n v="0"/>
    <n v="102"/>
    <s v="_x0000_US"/>
  </r>
  <r>
    <x v="1"/>
    <n v="13.6891"/>
    <n v="-89.200500000000005"/>
    <n v="21700"/>
    <n v="0"/>
    <n v="0"/>
    <n v="102"/>
    <s v="_x0000_US"/>
  </r>
  <r>
    <x v="1"/>
    <n v="13.689"/>
    <n v="-89.200400000000002"/>
    <n v="21700"/>
    <n v="0"/>
    <n v="0"/>
    <n v="102"/>
    <s v="_x0000_US"/>
  </r>
  <r>
    <x v="1"/>
    <n v="13.6892"/>
    <n v="-89.200400000000002"/>
    <n v="21700"/>
    <n v="0"/>
    <n v="0"/>
    <n v="102"/>
    <s v="_x0000_US"/>
  </r>
  <r>
    <x v="1"/>
    <n v="13.6891"/>
    <n v="-89.200199999999995"/>
    <n v="21700"/>
    <n v="0"/>
    <n v="0"/>
    <n v="102"/>
    <s v="_x0000_US"/>
  </r>
  <r>
    <x v="1"/>
    <n v="13.6892"/>
    <n v="-89.200199999999995"/>
    <n v="21700"/>
    <n v="0"/>
    <n v="0"/>
    <n v="102"/>
    <s v="_x0000_US"/>
  </r>
  <r>
    <x v="1"/>
    <n v="13.6891"/>
    <n v="-89.2012"/>
    <n v="21700"/>
    <n v="0"/>
    <n v="0"/>
    <n v="102"/>
    <s v="_x0000_US"/>
  </r>
  <r>
    <x v="1"/>
    <n v="13.6892"/>
    <n v="-89.201400000000007"/>
    <n v="21700"/>
    <n v="0"/>
    <n v="0"/>
    <n v="102"/>
    <s v="_x0000_US"/>
  </r>
  <r>
    <x v="1"/>
    <n v="13.6891"/>
    <n v="-89.201400000000007"/>
    <n v="21700"/>
    <n v="0"/>
    <n v="0"/>
    <n v="102"/>
    <s v="_x0000_US"/>
  </r>
  <r>
    <x v="1"/>
    <n v="13.688800000000001"/>
    <n v="-89.200400000000002"/>
    <n v="21700"/>
    <n v="0"/>
    <n v="0"/>
    <n v="102"/>
    <s v="_x0000_US"/>
  </r>
  <r>
    <x v="1"/>
    <n v="13.688800000000001"/>
    <n v="-89.200500000000005"/>
    <n v="21700"/>
    <n v="0"/>
    <n v="0"/>
    <n v="102"/>
    <s v="_x0000_US"/>
  </r>
  <r>
    <x v="1"/>
    <n v="13.688800000000001"/>
    <n v="-89.200500000000005"/>
    <n v="21700"/>
    <n v="0"/>
    <n v="0"/>
    <n v="102"/>
    <s v="_x0000_US"/>
  </r>
  <r>
    <x v="1"/>
    <n v="13.688800000000001"/>
    <n v="-89.200699999999998"/>
    <n v="21700"/>
    <n v="0"/>
    <n v="0"/>
    <n v="102"/>
    <s v="_x0000_US"/>
  </r>
  <r>
    <x v="1"/>
    <n v="13.688700000000001"/>
    <n v="-89.200199999999995"/>
    <n v="21700"/>
    <n v="0"/>
    <n v="0"/>
    <n v="102"/>
    <s v="_x0000_US"/>
  </r>
  <r>
    <x v="1"/>
    <n v="13.688700000000001"/>
    <n v="-89.2"/>
    <n v="21700"/>
    <n v="0"/>
    <n v="0"/>
    <n v="102"/>
    <s v="_x0000_US"/>
  </r>
  <r>
    <x v="1"/>
    <n v="13.6892"/>
    <n v="-89.199700000000007"/>
    <n v="21700"/>
    <n v="0"/>
    <n v="0"/>
    <n v="102"/>
    <s v="_x0000_US"/>
  </r>
  <r>
    <x v="1"/>
    <n v="13.6891"/>
    <n v="-89.199700000000007"/>
    <n v="21700"/>
    <n v="0"/>
    <n v="0"/>
    <n v="102"/>
    <s v="_x0000_US"/>
  </r>
  <r>
    <x v="1"/>
    <n v="13.6891"/>
    <n v="-89.199600000000004"/>
    <n v="21700"/>
    <n v="0"/>
    <n v="0"/>
    <n v="102"/>
    <s v="_x0000_US"/>
  </r>
  <r>
    <x v="1"/>
    <n v="13.6891"/>
    <n v="-89.1995"/>
    <n v="21700"/>
    <n v="0"/>
    <n v="0"/>
    <n v="102"/>
    <s v="_x0000_US"/>
  </r>
  <r>
    <x v="1"/>
    <n v="13.6891"/>
    <n v="-89.199399999999997"/>
    <n v="21700"/>
    <n v="0"/>
    <n v="0"/>
    <n v="102"/>
    <s v="_x0000_US"/>
  </r>
  <r>
    <x v="1"/>
    <n v="13.6891"/>
    <n v="-89.199399999999997"/>
    <n v="21700"/>
    <n v="0"/>
    <n v="0"/>
    <n v="102"/>
    <s v="_x0000_US"/>
  </r>
  <r>
    <x v="1"/>
    <n v="13.689399999999999"/>
    <n v="-89.199299999999994"/>
    <n v="21700"/>
    <n v="0"/>
    <n v="0"/>
    <n v="102"/>
    <s v="_x0000_US"/>
  </r>
  <r>
    <x v="1"/>
    <n v="13.689399999999999"/>
    <n v="-89.1995"/>
    <n v="21700"/>
    <n v="0"/>
    <n v="0"/>
    <n v="102"/>
    <s v="_x0000_US"/>
  </r>
  <r>
    <x v="1"/>
    <n v="13.6896"/>
    <n v="-89.198999999999998"/>
    <n v="21700"/>
    <n v="0"/>
    <n v="0"/>
    <n v="102"/>
    <s v="_x0000_US"/>
  </r>
  <r>
    <x v="1"/>
    <n v="13.6896"/>
    <n v="-89.198999999999998"/>
    <n v="21700"/>
    <n v="0"/>
    <n v="0"/>
    <n v="102"/>
    <s v="_x0000_US"/>
  </r>
  <r>
    <x v="1"/>
    <n v="13.6896"/>
    <n v="-89.198999999999998"/>
    <n v="21700"/>
    <n v="0"/>
    <n v="0"/>
    <n v="102"/>
    <s v="_x0000_US"/>
  </r>
  <r>
    <x v="1"/>
    <n v="13.6896"/>
    <n v="-89.198999999999998"/>
    <n v="21700"/>
    <n v="0"/>
    <n v="0"/>
    <n v="102"/>
    <s v="_x0000_US"/>
  </r>
  <r>
    <x v="1"/>
    <n v="13.6896"/>
    <n v="-89.199200000000005"/>
    <n v="21700"/>
    <n v="0"/>
    <n v="0"/>
    <n v="102"/>
    <s v="_x0000_US"/>
  </r>
  <r>
    <x v="1"/>
    <n v="13.6896"/>
    <n v="-89.199600000000004"/>
    <n v="21700"/>
    <n v="0"/>
    <n v="0"/>
    <n v="102"/>
    <s v="_x0000_US"/>
  </r>
  <r>
    <x v="1"/>
    <n v="13.6896"/>
    <n v="-89.1995"/>
    <n v="21700"/>
    <n v="0"/>
    <n v="0"/>
    <n v="102"/>
    <s v="_x0000_US"/>
  </r>
  <r>
    <x v="1"/>
    <n v="13.6896"/>
    <n v="-89.199299999999994"/>
    <n v="21700"/>
    <n v="0"/>
    <n v="0"/>
    <n v="102"/>
    <s v="_x0000_US"/>
  </r>
  <r>
    <x v="1"/>
    <n v="13.6896"/>
    <n v="-89.199200000000005"/>
    <n v="21700"/>
    <n v="0"/>
    <n v="0"/>
    <n v="102"/>
    <s v="_x0000_US"/>
  </r>
  <r>
    <x v="1"/>
    <n v="13.6898"/>
    <n v="-89.199200000000005"/>
    <n v="21700"/>
    <n v="0"/>
    <n v="0"/>
    <n v="102"/>
    <s v="_x0000_US"/>
  </r>
  <r>
    <x v="1"/>
    <n v="13.6898"/>
    <n v="-89.199700000000007"/>
    <n v="21700"/>
    <n v="0"/>
    <n v="0"/>
    <n v="102"/>
    <s v="_x0000_US"/>
  </r>
  <r>
    <x v="1"/>
    <n v="13.6899"/>
    <n v="-89.1995"/>
    <n v="21700"/>
    <n v="0"/>
    <n v="0"/>
    <n v="102"/>
    <s v="_x0000_US"/>
  </r>
  <r>
    <x v="1"/>
    <n v="13.6898"/>
    <n v="-89.1995"/>
    <n v="21700"/>
    <n v="0"/>
    <n v="0"/>
    <n v="102"/>
    <s v="_x0000_US"/>
  </r>
  <r>
    <x v="1"/>
    <n v="13.6899"/>
    <n v="-89.199399999999997"/>
    <n v="21700"/>
    <n v="0"/>
    <n v="0"/>
    <n v="102"/>
    <s v="_x0000_US"/>
  </r>
  <r>
    <x v="1"/>
    <n v="13.6898"/>
    <n v="-89.199299999999994"/>
    <n v="21700"/>
    <n v="0"/>
    <n v="0"/>
    <n v="102"/>
    <s v="_x0000_US"/>
  </r>
  <r>
    <x v="1"/>
    <n v="13.6898"/>
    <n v="-89.199200000000005"/>
    <n v="21700"/>
    <n v="0"/>
    <n v="0"/>
    <n v="102"/>
    <s v="_x0000_US"/>
  </r>
  <r>
    <x v="1"/>
    <n v="13.6898"/>
    <n v="-89.199100000000001"/>
    <n v="21700"/>
    <n v="0"/>
    <n v="0"/>
    <n v="102"/>
    <s v="_x0000_US"/>
  </r>
  <r>
    <x v="1"/>
    <n v="13.69"/>
    <n v="-89.198899999999995"/>
    <n v="21700"/>
    <n v="0"/>
    <n v="0"/>
    <n v="102"/>
    <s v="_x0000_US"/>
  </r>
  <r>
    <x v="1"/>
    <n v="13.69"/>
    <n v="-89.198899999999995"/>
    <n v="21700"/>
    <n v="0"/>
    <n v="0"/>
    <n v="102"/>
    <s v="_x0000_US"/>
  </r>
  <r>
    <x v="1"/>
    <n v="13.690099999999999"/>
    <n v="-89.199100000000001"/>
    <n v="21700"/>
    <n v="0"/>
    <n v="0"/>
    <n v="102"/>
    <s v="_x0000_US"/>
  </r>
  <r>
    <x v="1"/>
    <n v="13.690099999999999"/>
    <n v="-89.199100000000001"/>
    <n v="21700"/>
    <n v="0"/>
    <n v="0"/>
    <n v="102"/>
    <s v="_x0000_US"/>
  </r>
  <r>
    <x v="1"/>
    <n v="13.69"/>
    <n v="-89.199200000000005"/>
    <n v="21700"/>
    <n v="0"/>
    <n v="0"/>
    <n v="102"/>
    <s v="_x0000_US"/>
  </r>
  <r>
    <x v="1"/>
    <n v="13.690099999999999"/>
    <n v="-89.199200000000005"/>
    <n v="21700"/>
    <n v="0"/>
    <n v="0"/>
    <n v="102"/>
    <s v="_x0000_US"/>
  </r>
  <r>
    <x v="1"/>
    <n v="13.690099999999999"/>
    <n v="-89.199299999999994"/>
    <n v="21700"/>
    <n v="0"/>
    <n v="0"/>
    <n v="102"/>
    <s v="_x0000_US"/>
  </r>
  <r>
    <x v="1"/>
    <n v="13.690099999999999"/>
    <n v="-89.199299999999994"/>
    <n v="21700"/>
    <n v="0"/>
    <n v="0"/>
    <n v="102"/>
    <s v="_x0000_US"/>
  </r>
  <r>
    <x v="1"/>
    <n v="13.690099999999999"/>
    <n v="-89.199399999999997"/>
    <n v="21700"/>
    <n v="0"/>
    <n v="0"/>
    <n v="102"/>
    <s v="_x0000_US"/>
  </r>
  <r>
    <x v="1"/>
    <n v="13.690099999999999"/>
    <n v="-89.1995"/>
    <n v="21700"/>
    <n v="0"/>
    <n v="0"/>
    <n v="102"/>
    <s v="_x0000_US"/>
  </r>
  <r>
    <x v="1"/>
    <n v="13.690099999999999"/>
    <n v="-89.1995"/>
    <n v="21700"/>
    <n v="0"/>
    <n v="0"/>
    <n v="102"/>
    <s v="_x0000_US"/>
  </r>
  <r>
    <x v="1"/>
    <n v="13.690200000000001"/>
    <n v="-89.198899999999995"/>
    <n v="21700"/>
    <n v="0"/>
    <n v="0"/>
    <n v="102"/>
    <s v="_x0000_US"/>
  </r>
  <r>
    <x v="1"/>
    <n v="13.690200000000001"/>
    <n v="-89.198999999999998"/>
    <n v="21700"/>
    <n v="0"/>
    <n v="0"/>
    <n v="102"/>
    <s v="_x0000_US"/>
  </r>
  <r>
    <x v="1"/>
    <n v="13.690200000000001"/>
    <n v="-89.199100000000001"/>
    <n v="21700"/>
    <n v="0"/>
    <n v="0"/>
    <n v="102"/>
    <s v="_x0000_US"/>
  </r>
  <r>
    <x v="1"/>
    <n v="13.690300000000001"/>
    <n v="-89.198899999999995"/>
    <n v="21700"/>
    <n v="0"/>
    <n v="0"/>
    <n v="102"/>
    <s v="_x0000_US"/>
  </r>
  <r>
    <x v="1"/>
    <n v="13.690200000000001"/>
    <n v="-89.199100000000001"/>
    <n v="21700"/>
    <n v="0"/>
    <n v="0"/>
    <n v="102"/>
    <s v="_x0000_US"/>
  </r>
  <r>
    <x v="1"/>
    <n v="13.690300000000001"/>
    <n v="-89.199200000000005"/>
    <n v="21700"/>
    <n v="0"/>
    <n v="0"/>
    <n v="102"/>
    <s v="_x0000_US"/>
  </r>
  <r>
    <x v="1"/>
    <n v="13.690300000000001"/>
    <n v="-89.199299999999994"/>
    <n v="21700"/>
    <n v="0"/>
    <n v="0"/>
    <n v="102"/>
    <s v="_x0000_US"/>
  </r>
  <r>
    <x v="1"/>
    <n v="13.690300000000001"/>
    <n v="-89.199399999999997"/>
    <n v="21700"/>
    <n v="0"/>
    <n v="0"/>
    <n v="102"/>
    <s v="_x0000_US"/>
  </r>
  <r>
    <x v="1"/>
    <n v="13.690200000000001"/>
    <n v="-89.1995"/>
    <n v="21700"/>
    <n v="0"/>
    <n v="0"/>
    <n v="102"/>
    <s v="_x0000_US"/>
  </r>
  <r>
    <x v="1"/>
    <n v="13.690300000000001"/>
    <n v="-89.199600000000004"/>
    <n v="21700"/>
    <n v="0"/>
    <n v="0"/>
    <n v="102"/>
    <s v="_x0000_US"/>
  </r>
  <r>
    <x v="1"/>
    <n v="13.690200000000001"/>
    <n v="-89.199600000000004"/>
    <n v="21700"/>
    <n v="0"/>
    <n v="0"/>
    <n v="102"/>
    <s v="_x0000_US"/>
  </r>
  <r>
    <x v="1"/>
    <n v="13.690099999999999"/>
    <n v="-89.199600000000004"/>
    <n v="21700"/>
    <n v="0"/>
    <n v="0"/>
    <n v="102"/>
    <s v="_x0000_US"/>
  </r>
  <r>
    <x v="1"/>
    <n v="13.690200000000001"/>
    <n v="-89.198700000000002"/>
    <n v="21700"/>
    <n v="0"/>
    <n v="0"/>
    <n v="102"/>
    <s v="_x0000_US"/>
  </r>
  <r>
    <x v="1"/>
    <n v="13.690200000000001"/>
    <n v="-89.198499999999996"/>
    <n v="21700"/>
    <n v="0"/>
    <n v="0"/>
    <n v="102"/>
    <s v="_x0000_US"/>
  </r>
  <r>
    <x v="1"/>
    <n v="13.6899"/>
    <n v="-89.198599999999999"/>
    <n v="21700"/>
    <n v="0"/>
    <n v="0"/>
    <n v="102"/>
    <s v="_x0000_US"/>
  </r>
  <r>
    <x v="1"/>
    <n v="13.6899"/>
    <n v="-89.198499999999996"/>
    <n v="21700"/>
    <n v="0"/>
    <n v="0"/>
    <n v="102"/>
    <s v="_x0000_US"/>
  </r>
  <r>
    <x v="1"/>
    <n v="13.6899"/>
    <n v="-89.198400000000007"/>
    <n v="21700"/>
    <n v="0"/>
    <n v="0"/>
    <n v="102"/>
    <s v="_x0000_US"/>
  </r>
  <r>
    <x v="1"/>
    <n v="13.6898"/>
    <n v="-89.198700000000002"/>
    <n v="21700"/>
    <n v="0"/>
    <n v="0"/>
    <n v="102"/>
    <s v="_x0000_US"/>
  </r>
  <r>
    <x v="1"/>
    <n v="13.6897"/>
    <n v="-89.198599999999999"/>
    <n v="21700"/>
    <n v="0"/>
    <n v="0"/>
    <n v="102"/>
    <s v="_x0000_US"/>
  </r>
  <r>
    <x v="1"/>
    <n v="13.689500000000001"/>
    <n v="-89.198499999999996"/>
    <n v="21700"/>
    <n v="0"/>
    <n v="0"/>
    <n v="102"/>
    <s v="_x0000_US"/>
  </r>
  <r>
    <x v="1"/>
    <n v="13.689299999999999"/>
    <n v="-89.198400000000007"/>
    <n v="21700"/>
    <n v="0"/>
    <n v="0"/>
    <n v="102"/>
    <s v="_x0000_US"/>
  </r>
  <r>
    <x v="1"/>
    <n v="13.6892"/>
    <n v="-89.198499999999996"/>
    <n v="21700"/>
    <n v="0"/>
    <n v="0"/>
    <n v="102"/>
    <s v="_x0000_US"/>
  </r>
  <r>
    <x v="1"/>
    <n v="13.689"/>
    <n v="-89.197800000000001"/>
    <n v="21700"/>
    <n v="0"/>
    <n v="0"/>
    <n v="102"/>
    <s v="_x0000_US"/>
  </r>
  <r>
    <x v="1"/>
    <n v="13.6904"/>
    <n v="-89.198499999999996"/>
    <n v="21700"/>
    <n v="0"/>
    <n v="0"/>
    <n v="102"/>
    <s v="_x0000_US"/>
  </r>
  <r>
    <x v="1"/>
    <n v="13.6904"/>
    <n v="-89.198400000000007"/>
    <n v="21700"/>
    <n v="0"/>
    <n v="0"/>
    <n v="102"/>
    <s v="_x0000_US"/>
  </r>
  <r>
    <x v="1"/>
    <n v="13.6904"/>
    <n v="-89.198400000000007"/>
    <n v="21700"/>
    <n v="0"/>
    <n v="0"/>
    <n v="102"/>
    <s v="_x0000_US"/>
  </r>
  <r>
    <x v="1"/>
    <n v="13.6904"/>
    <n v="-89.198300000000003"/>
    <n v="21700"/>
    <n v="0"/>
    <n v="0"/>
    <n v="102"/>
    <s v="_x0000_US"/>
  </r>
  <r>
    <x v="1"/>
    <n v="13.6904"/>
    <n v="-89.1982"/>
    <n v="21700"/>
    <n v="0"/>
    <n v="0"/>
    <n v="102"/>
    <s v="_x0000_US"/>
  </r>
  <r>
    <x v="1"/>
    <n v="13.6904"/>
    <n v="-89.1982"/>
    <n v="21700"/>
    <n v="0"/>
    <n v="0"/>
    <n v="102"/>
    <s v="_x0000_US"/>
  </r>
  <r>
    <x v="1"/>
    <n v="13.6906"/>
    <n v="-89.198700000000002"/>
    <n v="21700"/>
    <n v="0"/>
    <n v="0"/>
    <n v="102"/>
    <s v="_x0000_US"/>
  </r>
  <r>
    <x v="1"/>
    <n v="13.6905"/>
    <n v="-89.198700000000002"/>
    <n v="21700"/>
    <n v="0"/>
    <n v="0"/>
    <n v="102"/>
    <s v="_x0000_US"/>
  </r>
  <r>
    <x v="1"/>
    <n v="13.690300000000001"/>
    <n v="-89.198099999999997"/>
    <n v="21700"/>
    <n v="0"/>
    <n v="0"/>
    <n v="102"/>
    <s v="_x0000_US"/>
  </r>
  <r>
    <x v="1"/>
    <n v="13.6904"/>
    <n v="-89.197999999999993"/>
    <n v="21700"/>
    <n v="0"/>
    <n v="0"/>
    <n v="102"/>
    <s v="_x0000_US"/>
  </r>
  <r>
    <x v="1"/>
    <n v="13.688599999999999"/>
    <n v="-89.199100000000001"/>
    <n v="21700"/>
    <n v="0"/>
    <n v="0"/>
    <n v="102"/>
    <s v="_x0000_US"/>
  </r>
  <r>
    <x v="1"/>
    <n v="13.686400000000001"/>
    <n v="-89.200400000000002"/>
    <n v="13700"/>
    <n v="0"/>
    <n v="0"/>
    <n v="102"/>
    <s v="_x0000_US"/>
  </r>
  <r>
    <x v="1"/>
    <n v="13.686400000000001"/>
    <n v="-89.200299999999999"/>
    <n v="13700"/>
    <n v="0"/>
    <n v="0"/>
    <n v="102"/>
    <s v="_x0000_US"/>
  </r>
  <r>
    <x v="1"/>
    <n v="13.686199999999999"/>
    <n v="-89.200199999999995"/>
    <n v="13700"/>
    <n v="0"/>
    <n v="0"/>
    <n v="102"/>
    <s v="_x0000_US"/>
  </r>
  <r>
    <x v="1"/>
    <n v="13.686199999999999"/>
    <n v="-89.200199999999995"/>
    <n v="13700"/>
    <n v="0"/>
    <n v="0"/>
    <n v="102"/>
    <s v="_x0000_US"/>
  </r>
  <r>
    <x v="1"/>
    <n v="13.686299999999999"/>
    <n v="-89.200100000000006"/>
    <n v="13700"/>
    <n v="0"/>
    <n v="0"/>
    <n v="102"/>
    <s v="_x0000_US"/>
  </r>
  <r>
    <x v="1"/>
    <n v="13.686199999999999"/>
    <n v="-89.200100000000006"/>
    <n v="13700"/>
    <n v="0"/>
    <n v="0"/>
    <n v="102"/>
    <s v="_x0000_US"/>
  </r>
  <r>
    <x v="1"/>
    <n v="13.686"/>
    <n v="-89.200100000000006"/>
    <n v="13700"/>
    <n v="0"/>
    <n v="0"/>
    <n v="102"/>
    <s v="_x0000_US"/>
  </r>
  <r>
    <x v="1"/>
    <n v="13.6861"/>
    <n v="-89.1999"/>
    <n v="13700"/>
    <n v="0"/>
    <n v="0"/>
    <n v="102"/>
    <s v="_x0000_US"/>
  </r>
  <r>
    <x v="1"/>
    <n v="13.686"/>
    <n v="-89.1999"/>
    <n v="13700"/>
    <n v="0"/>
    <n v="0"/>
    <n v="102"/>
    <s v="_x0000_US"/>
  </r>
  <r>
    <x v="1"/>
    <n v="13.6861"/>
    <n v="-89.199399999999997"/>
    <n v="13700"/>
    <n v="0"/>
    <n v="0"/>
    <n v="102"/>
    <s v="_x0000_US"/>
  </r>
  <r>
    <x v="1"/>
    <n v="13.6861"/>
    <n v="-89.199299999999994"/>
    <n v="13700"/>
    <n v="0"/>
    <n v="0"/>
    <n v="102"/>
    <s v="_x0000_US"/>
  </r>
  <r>
    <x v="1"/>
    <n v="13.6861"/>
    <n v="-89.199299999999994"/>
    <n v="13700"/>
    <n v="0"/>
    <n v="0"/>
    <n v="102"/>
    <s v="_x0000_US"/>
  </r>
  <r>
    <x v="1"/>
    <n v="13.686400000000001"/>
    <n v="-89.199100000000001"/>
    <n v="13700"/>
    <n v="0"/>
    <n v="0"/>
    <n v="102"/>
    <s v="_x0000_US"/>
  </r>
  <r>
    <x v="1"/>
    <n v="13.686299999999999"/>
    <n v="-89.199100000000001"/>
    <n v="13700"/>
    <n v="0"/>
    <n v="0"/>
    <n v="102"/>
    <s v="_x0000_US"/>
  </r>
  <r>
    <x v="1"/>
    <n v="13.6861"/>
    <n v="-89.199200000000005"/>
    <n v="13700"/>
    <n v="0"/>
    <n v="0"/>
    <n v="102"/>
    <s v="_x0000_US"/>
  </r>
  <r>
    <x v="1"/>
    <n v="13.6861"/>
    <n v="-89.199200000000005"/>
    <n v="13700"/>
    <n v="0"/>
    <n v="0"/>
    <n v="102"/>
    <s v="_x0000_US"/>
  </r>
  <r>
    <x v="1"/>
    <n v="13.686"/>
    <n v="-89.199399999999997"/>
    <n v="13700"/>
    <n v="0"/>
    <n v="0"/>
    <n v="102"/>
    <s v="_x0000_US"/>
  </r>
  <r>
    <x v="1"/>
    <n v="13.686199999999999"/>
    <n v="-89.200800000000001"/>
    <n v="13700"/>
    <n v="0"/>
    <n v="0"/>
    <n v="102"/>
    <s v="_x0000_US"/>
  </r>
  <r>
    <x v="1"/>
    <n v="13.686199999999999"/>
    <n v="-89.200699999999998"/>
    <n v="13700"/>
    <n v="0"/>
    <n v="0"/>
    <n v="102"/>
    <s v="_x0000_US"/>
  </r>
  <r>
    <x v="1"/>
    <n v="13.686199999999999"/>
    <n v="-89.200599999999994"/>
    <n v="13700"/>
    <n v="0"/>
    <n v="0"/>
    <n v="102"/>
    <s v="_x0000_US"/>
  </r>
  <r>
    <x v="1"/>
    <n v="13.686199999999999"/>
    <n v="-89.200599999999994"/>
    <n v="13700"/>
    <n v="0"/>
    <n v="0"/>
    <n v="102"/>
    <s v="_x0000_US"/>
  </r>
  <r>
    <x v="1"/>
    <n v="13.686199999999999"/>
    <n v="-89.200599999999994"/>
    <n v="13700"/>
    <n v="0"/>
    <n v="0"/>
    <n v="102"/>
    <s v="_x0000_US"/>
  </r>
  <r>
    <x v="1"/>
    <n v="13.686199999999999"/>
    <n v="-89.200599999999994"/>
    <n v="13700"/>
    <n v="0"/>
    <n v="0"/>
    <n v="102"/>
    <s v="_x0000_US"/>
  </r>
  <r>
    <x v="1"/>
    <n v="13.686199999999999"/>
    <n v="-89.200599999999994"/>
    <n v="13700"/>
    <n v="0"/>
    <n v="0"/>
    <n v="102"/>
    <s v="_x0000_US"/>
  </r>
  <r>
    <x v="1"/>
    <n v="13.686199999999999"/>
    <n v="-89.200500000000005"/>
    <n v="13700"/>
    <n v="0"/>
    <n v="0"/>
    <n v="102"/>
    <s v="_x0000_US"/>
  </r>
  <r>
    <x v="1"/>
    <n v="13.686199999999999"/>
    <n v="-89.200500000000005"/>
    <n v="13700"/>
    <n v="0"/>
    <n v="0"/>
    <n v="102"/>
    <s v="_x0000_US"/>
  </r>
  <r>
    <x v="1"/>
    <n v="13.686299999999999"/>
    <n v="-89.200400000000002"/>
    <n v="13700"/>
    <n v="0"/>
    <n v="0"/>
    <n v="102"/>
    <s v="_x0000_US"/>
  </r>
  <r>
    <x v="1"/>
    <n v="13.686299999999999"/>
    <n v="-89.200400000000002"/>
    <n v="13700"/>
    <n v="0"/>
    <n v="0"/>
    <n v="102"/>
    <s v="_x0000_US"/>
  </r>
  <r>
    <x v="1"/>
    <n v="13.686299999999999"/>
    <n v="-89.200400000000002"/>
    <n v="13700"/>
    <n v="0"/>
    <n v="0"/>
    <n v="102"/>
    <s v="_x0000_US"/>
  </r>
  <r>
    <x v="1"/>
    <n v="13.686"/>
    <n v="-89.200599999999994"/>
    <n v="13700"/>
    <n v="0"/>
    <n v="0"/>
    <n v="102"/>
    <s v="_x0000_US"/>
  </r>
  <r>
    <x v="1"/>
    <n v="13.686"/>
    <n v="-89.200599999999994"/>
    <n v="13700"/>
    <n v="0"/>
    <n v="0"/>
    <n v="102"/>
    <s v="_x0000_US"/>
  </r>
  <r>
    <x v="1"/>
    <n v="13.6859"/>
    <n v="-89.200800000000001"/>
    <n v="13700"/>
    <n v="0"/>
    <n v="0"/>
    <n v="102"/>
    <s v="_x0000_US"/>
  </r>
  <r>
    <x v="1"/>
    <n v="13.6859"/>
    <n v="-89.200800000000001"/>
    <n v="13700"/>
    <n v="0"/>
    <n v="0"/>
    <n v="102"/>
    <s v="_x0000_US"/>
  </r>
  <r>
    <x v="1"/>
    <n v="13.6859"/>
    <n v="-89.200800000000001"/>
    <n v="13700"/>
    <n v="0"/>
    <n v="0"/>
    <n v="102"/>
    <s v="_x0000_US"/>
  </r>
  <r>
    <x v="1"/>
    <n v="13.6859"/>
    <n v="-89.200800000000001"/>
    <n v="13700"/>
    <n v="0"/>
    <n v="0"/>
    <n v="102"/>
    <s v="_x0000_US"/>
  </r>
  <r>
    <x v="1"/>
    <n v="13.686"/>
    <n v="-89.200800000000001"/>
    <n v="13700"/>
    <n v="0"/>
    <n v="0"/>
    <n v="102"/>
    <s v="_x0000_US"/>
  </r>
  <r>
    <x v="1"/>
    <n v="13.686"/>
    <n v="-89.200800000000001"/>
    <n v="13700"/>
    <n v="0"/>
    <n v="0"/>
    <n v="102"/>
    <s v="_x0000_US"/>
  </r>
  <r>
    <x v="1"/>
    <n v="13.686"/>
    <n v="-89.200800000000001"/>
    <n v="13700"/>
    <n v="0"/>
    <n v="0"/>
    <n v="102"/>
    <s v="_x0000_US"/>
  </r>
  <r>
    <x v="1"/>
    <n v="13.686"/>
    <n v="-89.200800000000001"/>
    <n v="13700"/>
    <n v="0"/>
    <n v="0"/>
    <n v="102"/>
    <s v="_x0000_US"/>
  </r>
  <r>
    <x v="1"/>
    <n v="13.686"/>
    <n v="-89.200599999999994"/>
    <n v="13700"/>
    <n v="0"/>
    <n v="0"/>
    <n v="102"/>
    <s v="_x0000_US"/>
  </r>
  <r>
    <x v="1"/>
    <n v="13.686"/>
    <n v="-89.200599999999994"/>
    <n v="13700"/>
    <n v="0"/>
    <n v="0"/>
    <n v="102"/>
    <s v="_x0000_US"/>
  </r>
  <r>
    <x v="1"/>
    <n v="13.686"/>
    <n v="-89.200599999999994"/>
    <n v="13700"/>
    <n v="0"/>
    <n v="0"/>
    <n v="102"/>
    <s v="_x0000_US"/>
  </r>
  <r>
    <x v="1"/>
    <n v="13.686"/>
    <n v="-89.200599999999994"/>
    <n v="13700"/>
    <n v="0"/>
    <n v="0"/>
    <n v="102"/>
    <s v="_x0000_US"/>
  </r>
  <r>
    <x v="1"/>
    <n v="13.686"/>
    <n v="-89.200400000000002"/>
    <n v="13700"/>
    <n v="0"/>
    <n v="0"/>
    <n v="102"/>
    <s v="_x0000_US"/>
  </r>
  <r>
    <x v="1"/>
    <n v="13.686"/>
    <n v="-89.200400000000002"/>
    <n v="13700"/>
    <n v="0"/>
    <n v="0"/>
    <n v="102"/>
    <s v="_x0000_US"/>
  </r>
  <r>
    <x v="1"/>
    <n v="13.686"/>
    <n v="-89.200400000000002"/>
    <n v="13700"/>
    <n v="0"/>
    <n v="0"/>
    <n v="102"/>
    <s v="_x0000_US"/>
  </r>
  <r>
    <x v="1"/>
    <n v="13.686"/>
    <n v="-89.200400000000002"/>
    <n v="13700"/>
    <n v="0"/>
    <n v="0"/>
    <n v="102"/>
    <s v="_x0000_US"/>
  </r>
  <r>
    <x v="1"/>
    <n v="13.6859"/>
    <n v="-89.200299999999999"/>
    <n v="13700"/>
    <n v="0"/>
    <n v="0"/>
    <n v="102"/>
    <s v="_x0000_US"/>
  </r>
  <r>
    <x v="1"/>
    <n v="13.6859"/>
    <n v="-89.200299999999999"/>
    <n v="13700"/>
    <n v="0"/>
    <n v="0"/>
    <n v="102"/>
    <s v="_x0000_US"/>
  </r>
  <r>
    <x v="1"/>
    <n v="13.6859"/>
    <n v="-89.200299999999999"/>
    <n v="13700"/>
    <n v="0"/>
    <n v="0"/>
    <n v="102"/>
    <s v="_x0000_US"/>
  </r>
  <r>
    <x v="1"/>
    <n v="13.6859"/>
    <n v="-89.200299999999999"/>
    <n v="13700"/>
    <n v="0"/>
    <n v="0"/>
    <n v="102"/>
    <s v="_x0000_US"/>
  </r>
  <r>
    <x v="1"/>
    <n v="13.6859"/>
    <n v="-89.200299999999999"/>
    <n v="13700"/>
    <n v="0"/>
    <n v="0"/>
    <n v="102"/>
    <s v="_x0000_US"/>
  </r>
  <r>
    <x v="1"/>
    <n v="13.686"/>
    <n v="-89.200199999999995"/>
    <n v="13700"/>
    <n v="0"/>
    <n v="0"/>
    <n v="102"/>
    <s v="_x0000_US"/>
  </r>
  <r>
    <x v="1"/>
    <n v="13.686"/>
    <n v="-89.200199999999995"/>
    <n v="13700"/>
    <n v="0"/>
    <n v="0"/>
    <n v="102"/>
    <s v="_x0000_US"/>
  </r>
  <r>
    <x v="1"/>
    <n v="13.686"/>
    <n v="-89.200199999999995"/>
    <n v="13700"/>
    <n v="0"/>
    <n v="0"/>
    <n v="102"/>
    <s v="_x0000_US"/>
  </r>
  <r>
    <x v="1"/>
    <n v="13.686"/>
    <n v="-89.200199999999995"/>
    <n v="13700"/>
    <n v="0"/>
    <n v="0"/>
    <n v="102"/>
    <s v="_x0000_US"/>
  </r>
  <r>
    <x v="1"/>
    <n v="13.686"/>
    <n v="-89.200199999999995"/>
    <n v="13700"/>
    <n v="0"/>
    <n v="0"/>
    <n v="102"/>
    <s v="_x0000_US"/>
  </r>
  <r>
    <x v="1"/>
    <n v="13.686"/>
    <n v="-89.200199999999995"/>
    <n v="13700"/>
    <n v="0"/>
    <n v="0"/>
    <n v="102"/>
    <s v="_x0000_US"/>
  </r>
  <r>
    <x v="1"/>
    <n v="13.686"/>
    <n v="-89.2"/>
    <n v="13700"/>
    <n v="0"/>
    <n v="0"/>
    <n v="102"/>
    <s v="_x0000_US"/>
  </r>
  <r>
    <x v="1"/>
    <n v="13.686"/>
    <n v="-89.2"/>
    <n v="13700"/>
    <n v="0"/>
    <n v="0"/>
    <n v="102"/>
    <s v="_x0000_US"/>
  </r>
  <r>
    <x v="1"/>
    <n v="13.686500000000001"/>
    <n v="-89.200199999999995"/>
    <n v="13700"/>
    <n v="0"/>
    <n v="0"/>
    <n v="102"/>
    <s v="_x0000_US"/>
  </r>
  <r>
    <x v="1"/>
    <n v="13.686500000000001"/>
    <n v="-89.200199999999995"/>
    <n v="13700"/>
    <n v="0"/>
    <n v="0"/>
    <n v="102"/>
    <s v="_x0000_US"/>
  </r>
  <r>
    <x v="1"/>
    <n v="13.686500000000001"/>
    <n v="-89.200199999999995"/>
    <n v="13700"/>
    <n v="0"/>
    <n v="0"/>
    <n v="102"/>
    <s v="_x0000_US"/>
  </r>
  <r>
    <x v="1"/>
    <n v="13.686500000000001"/>
    <n v="-89.200199999999995"/>
    <n v="13700"/>
    <n v="0"/>
    <n v="0"/>
    <n v="102"/>
    <s v="_x0000_US"/>
  </r>
  <r>
    <x v="1"/>
    <n v="13.686500000000001"/>
    <n v="-89.200199999999995"/>
    <n v="13700"/>
    <n v="0"/>
    <n v="0"/>
    <n v="102"/>
    <s v="_x0000_US"/>
  </r>
  <r>
    <x v="1"/>
    <n v="13.686500000000001"/>
    <n v="-89.200100000000006"/>
    <n v="13700"/>
    <n v="0"/>
    <n v="0"/>
    <n v="102"/>
    <s v="_x0000_US"/>
  </r>
  <r>
    <x v="1"/>
    <n v="13.686500000000001"/>
    <n v="-89.200100000000006"/>
    <n v="13700"/>
    <n v="0"/>
    <n v="0"/>
    <n v="102"/>
    <s v="_x0000_US"/>
  </r>
  <r>
    <x v="1"/>
    <n v="13.686500000000001"/>
    <n v="-89.200100000000006"/>
    <n v="13700"/>
    <n v="0"/>
    <n v="0"/>
    <n v="102"/>
    <s v="_x0000_US"/>
  </r>
  <r>
    <x v="1"/>
    <n v="13.686500000000001"/>
    <n v="-89.2"/>
    <n v="13700"/>
    <n v="0"/>
    <n v="0"/>
    <n v="102"/>
    <s v="_x0000_US"/>
  </r>
  <r>
    <x v="1"/>
    <n v="13.686500000000001"/>
    <n v="-89.2"/>
    <n v="13700"/>
    <n v="0"/>
    <n v="0"/>
    <n v="102"/>
    <s v="_x0000_US"/>
  </r>
  <r>
    <x v="1"/>
    <n v="13.686500000000001"/>
    <n v="-89.2"/>
    <n v="13700"/>
    <n v="0"/>
    <n v="0"/>
    <n v="102"/>
    <s v="_x0000_US"/>
  </r>
  <r>
    <x v="1"/>
    <n v="13.6866"/>
    <n v="-89.1999"/>
    <n v="13700"/>
    <n v="0"/>
    <n v="0"/>
    <n v="102"/>
    <s v="_x0000_US"/>
  </r>
  <r>
    <x v="1"/>
    <n v="13.6866"/>
    <n v="-89.1999"/>
    <n v="13700"/>
    <n v="0"/>
    <n v="0"/>
    <n v="102"/>
    <s v="_x0000_US"/>
  </r>
  <r>
    <x v="1"/>
    <n v="13.6866"/>
    <n v="-89.1999"/>
    <n v="13700"/>
    <n v="0"/>
    <n v="0"/>
    <n v="102"/>
    <s v="_x0000_US"/>
  </r>
  <r>
    <x v="1"/>
    <n v="13.6866"/>
    <n v="-89.199799999999996"/>
    <n v="13700"/>
    <n v="0"/>
    <n v="0"/>
    <n v="102"/>
    <s v="_x0000_US"/>
  </r>
  <r>
    <x v="1"/>
    <n v="13.6866"/>
    <n v="-89.199799999999996"/>
    <n v="13700"/>
    <n v="0"/>
    <n v="0"/>
    <n v="102"/>
    <s v="_x0000_US"/>
  </r>
  <r>
    <x v="1"/>
    <n v="13.6866"/>
    <n v="-89.199799999999996"/>
    <n v="13700"/>
    <n v="0"/>
    <n v="0"/>
    <n v="102"/>
    <s v="_x0000_US"/>
  </r>
  <r>
    <x v="1"/>
    <n v="13.6867"/>
    <n v="-89.2"/>
    <n v="13700"/>
    <n v="0"/>
    <n v="0"/>
    <n v="102"/>
    <s v="_x0000_US"/>
  </r>
  <r>
    <x v="1"/>
    <n v="13.6867"/>
    <n v="-89.1999"/>
    <n v="13700"/>
    <n v="0"/>
    <n v="0"/>
    <n v="102"/>
    <s v="_x0000_US"/>
  </r>
  <r>
    <x v="1"/>
    <n v="13.6867"/>
    <n v="-89.1999"/>
    <n v="13700"/>
    <n v="0"/>
    <n v="0"/>
    <n v="102"/>
    <s v="_x0000_US"/>
  </r>
  <r>
    <x v="1"/>
    <n v="13.6867"/>
    <n v="-89.1999"/>
    <n v="13700"/>
    <n v="0"/>
    <n v="0"/>
    <n v="102"/>
    <s v="_x0000_US"/>
  </r>
  <r>
    <x v="1"/>
    <n v="13.6868"/>
    <n v="-89.1999"/>
    <n v="13700"/>
    <n v="0"/>
    <n v="0"/>
    <n v="102"/>
    <s v="_x0000_US"/>
  </r>
  <r>
    <x v="1"/>
    <n v="13.6868"/>
    <n v="-89.1999"/>
    <n v="13700"/>
    <n v="0"/>
    <n v="0"/>
    <n v="102"/>
    <s v="_x0000_US"/>
  </r>
  <r>
    <x v="1"/>
    <n v="13.6868"/>
    <n v="-89.1999"/>
    <n v="13700"/>
    <n v="0"/>
    <n v="0"/>
    <n v="102"/>
    <s v="_x0000_US"/>
  </r>
  <r>
    <x v="1"/>
    <n v="13.6868"/>
    <n v="-89.1999"/>
    <n v="13700"/>
    <n v="0"/>
    <n v="0"/>
    <n v="102"/>
    <s v="_x0000_US"/>
  </r>
  <r>
    <x v="1"/>
    <n v="13.6868"/>
    <n v="-89.199799999999996"/>
    <n v="13700"/>
    <n v="0"/>
    <n v="0"/>
    <n v="102"/>
    <s v="_x0000_US"/>
  </r>
  <r>
    <x v="1"/>
    <n v="13.6868"/>
    <n v="-89.199799999999996"/>
    <n v="13700"/>
    <n v="0"/>
    <n v="0"/>
    <n v="102"/>
    <s v="_x0000_US"/>
  </r>
  <r>
    <x v="1"/>
    <n v="13.6868"/>
    <n v="-89.199799999999996"/>
    <n v="13700"/>
    <n v="0"/>
    <n v="0"/>
    <n v="102"/>
    <s v="_x0000_US"/>
  </r>
  <r>
    <x v="1"/>
    <n v="13.6867"/>
    <n v="-89.1995"/>
    <n v="13700"/>
    <n v="0"/>
    <n v="0"/>
    <n v="102"/>
    <s v="_x0000_US"/>
  </r>
  <r>
    <x v="1"/>
    <n v="13.6867"/>
    <n v="-89.1995"/>
    <n v="13700"/>
    <n v="0"/>
    <n v="0"/>
    <n v="102"/>
    <s v="_x0000_US"/>
  </r>
  <r>
    <x v="1"/>
    <n v="13.6867"/>
    <n v="-89.1995"/>
    <n v="13700"/>
    <n v="0"/>
    <n v="0"/>
    <n v="102"/>
    <s v="_x0000_US"/>
  </r>
  <r>
    <x v="1"/>
    <n v="13.6867"/>
    <n v="-89.1995"/>
    <n v="13700"/>
    <n v="0"/>
    <n v="0"/>
    <n v="102"/>
    <s v="_x0000_US"/>
  </r>
  <r>
    <x v="1"/>
    <n v="13.6867"/>
    <n v="-89.1995"/>
    <n v="13700"/>
    <n v="0"/>
    <n v="0"/>
    <n v="102"/>
    <s v="_x0000_US"/>
  </r>
  <r>
    <x v="1"/>
    <n v="13.6867"/>
    <n v="-89.1995"/>
    <n v="13700"/>
    <n v="0"/>
    <n v="0"/>
    <n v="102"/>
    <s v="_x0000_US"/>
  </r>
  <r>
    <x v="1"/>
    <n v="13.6868"/>
    <n v="-89.199399999999997"/>
    <n v="13700"/>
    <n v="0"/>
    <n v="0"/>
    <n v="102"/>
    <s v="_x0000_US"/>
  </r>
  <r>
    <x v="1"/>
    <n v="13.6868"/>
    <n v="-89.199399999999997"/>
    <n v="13700"/>
    <n v="0"/>
    <n v="0"/>
    <n v="102"/>
    <s v="_x0000_US"/>
  </r>
  <r>
    <x v="1"/>
    <n v="13.6868"/>
    <n v="-89.199299999999994"/>
    <n v="13700"/>
    <n v="0"/>
    <n v="0"/>
    <n v="102"/>
    <s v="_x0000_US"/>
  </r>
  <r>
    <x v="1"/>
    <n v="13.6868"/>
    <n v="-89.199299999999994"/>
    <n v="13700"/>
    <n v="0"/>
    <n v="0"/>
    <n v="102"/>
    <s v="_x0000_US"/>
  </r>
  <r>
    <x v="1"/>
    <n v="13.686500000000001"/>
    <n v="-89.199399999999997"/>
    <n v="13700"/>
    <n v="0"/>
    <n v="0"/>
    <n v="102"/>
    <s v="_x0000_US"/>
  </r>
  <r>
    <x v="1"/>
    <n v="13.686500000000001"/>
    <n v="-89.199399999999997"/>
    <n v="13700"/>
    <n v="0"/>
    <n v="0"/>
    <n v="102"/>
    <s v="_x0000_US"/>
  </r>
  <r>
    <x v="1"/>
    <n v="13.6866"/>
    <n v="-89.199299999999994"/>
    <n v="13700"/>
    <n v="0"/>
    <n v="0"/>
    <n v="102"/>
    <s v="_x0000_US"/>
  </r>
  <r>
    <x v="1"/>
    <n v="13.6866"/>
    <n v="-89.199299999999994"/>
    <n v="13700"/>
    <n v="0"/>
    <n v="0"/>
    <n v="102"/>
    <s v="_x0000_US"/>
  </r>
  <r>
    <x v="1"/>
    <n v="13.6866"/>
    <n v="-89.199299999999994"/>
    <n v="13700"/>
    <n v="0"/>
    <n v="0"/>
    <n v="102"/>
    <s v="_x0000_US"/>
  </r>
  <r>
    <x v="1"/>
    <n v="13.6866"/>
    <n v="-89.199200000000005"/>
    <n v="13700"/>
    <n v="0"/>
    <n v="0"/>
    <n v="102"/>
    <s v="_x0000_US"/>
  </r>
  <r>
    <x v="1"/>
    <n v="13.6866"/>
    <n v="-89.199200000000005"/>
    <n v="13700"/>
    <n v="0"/>
    <n v="0"/>
    <n v="102"/>
    <s v="_x0000_US"/>
  </r>
  <r>
    <x v="1"/>
    <n v="13.6866"/>
    <n v="-89.199200000000005"/>
    <n v="13700"/>
    <n v="0"/>
    <n v="0"/>
    <n v="102"/>
    <s v="_x0000_US"/>
  </r>
  <r>
    <x v="1"/>
    <n v="13.6866"/>
    <n v="-89.199200000000005"/>
    <n v="13700"/>
    <n v="0"/>
    <n v="0"/>
    <n v="102"/>
    <s v="_x0000_US"/>
  </r>
  <r>
    <x v="1"/>
    <n v="13.6866"/>
    <n v="-89.199200000000005"/>
    <n v="13700"/>
    <n v="0"/>
    <n v="0"/>
    <n v="102"/>
    <s v="_x0000_US"/>
  </r>
  <r>
    <x v="1"/>
    <n v="13.686500000000001"/>
    <n v="-89.198800000000006"/>
    <n v="13700"/>
    <n v="0"/>
    <n v="0"/>
    <n v="102"/>
    <s v="_x0000_US"/>
  </r>
  <r>
    <x v="1"/>
    <n v="13.686500000000001"/>
    <n v="-89.198800000000006"/>
    <n v="13700"/>
    <n v="0"/>
    <n v="0"/>
    <n v="102"/>
    <s v="_x0000_US"/>
  </r>
  <r>
    <x v="1"/>
    <n v="13.686500000000001"/>
    <n v="-89.198800000000006"/>
    <n v="13700"/>
    <n v="0"/>
    <n v="0"/>
    <n v="102"/>
    <s v="_x0000_US"/>
  </r>
  <r>
    <x v="1"/>
    <n v="13.6866"/>
    <n v="-89.198599999999999"/>
    <n v="13700"/>
    <n v="0"/>
    <n v="0"/>
    <n v="102"/>
    <s v="_x0000_US"/>
  </r>
  <r>
    <x v="1"/>
    <n v="13.6866"/>
    <n v="-89.198599999999999"/>
    <n v="13700"/>
    <n v="0"/>
    <n v="0"/>
    <n v="102"/>
    <s v="_x0000_US"/>
  </r>
  <r>
    <x v="1"/>
    <n v="13.6866"/>
    <n v="-89.198599999999999"/>
    <n v="13700"/>
    <n v="0"/>
    <n v="0"/>
    <n v="102"/>
    <s v="_x0000_US"/>
  </r>
  <r>
    <x v="1"/>
    <n v="13.6867"/>
    <n v="-89.198499999999996"/>
    <n v="13700"/>
    <n v="0"/>
    <n v="0"/>
    <n v="102"/>
    <s v="_x0000_US"/>
  </r>
  <r>
    <x v="1"/>
    <n v="13.6867"/>
    <n v="-89.198499999999996"/>
    <n v="13700"/>
    <n v="0"/>
    <n v="0"/>
    <n v="102"/>
    <s v="_x0000_US"/>
  </r>
  <r>
    <x v="1"/>
    <n v="13.6867"/>
    <n v="-89.198499999999996"/>
    <n v="13700"/>
    <n v="0"/>
    <n v="0"/>
    <n v="102"/>
    <s v="_x0000_US"/>
  </r>
  <r>
    <x v="1"/>
    <n v="13.686400000000001"/>
    <n v="-89.198999999999998"/>
    <n v="13700"/>
    <n v="0"/>
    <n v="0"/>
    <n v="102"/>
    <s v="_x0000_US"/>
  </r>
  <r>
    <x v="1"/>
    <n v="13.686400000000001"/>
    <n v="-89.198999999999998"/>
    <n v="13700"/>
    <n v="0"/>
    <n v="0"/>
    <n v="102"/>
    <s v="_x0000_US"/>
  </r>
  <r>
    <x v="1"/>
    <n v="13.686400000000001"/>
    <n v="-89.198999999999998"/>
    <n v="13700"/>
    <n v="0"/>
    <n v="0"/>
    <n v="102"/>
    <s v="_x0000_US"/>
  </r>
  <r>
    <x v="1"/>
    <n v="13.686400000000001"/>
    <n v="-89.198999999999998"/>
    <n v="13700"/>
    <n v="0"/>
    <n v="0"/>
    <n v="102"/>
    <s v="_x0000_US"/>
  </r>
  <r>
    <x v="1"/>
    <n v="13.686400000000001"/>
    <n v="-89.198999999999998"/>
    <n v="13700"/>
    <n v="0"/>
    <n v="0"/>
    <n v="102"/>
    <s v="_x0000_US"/>
  </r>
  <r>
    <x v="1"/>
    <n v="13.686400000000001"/>
    <n v="-89.198999999999998"/>
    <n v="13700"/>
    <n v="0"/>
    <n v="0"/>
    <n v="102"/>
    <s v="_x0000_US"/>
  </r>
  <r>
    <x v="1"/>
    <n v="13.686400000000001"/>
    <n v="-89.198999999999998"/>
    <n v="13700"/>
    <n v="0"/>
    <n v="0"/>
    <n v="102"/>
    <s v="_x0000_US"/>
  </r>
  <r>
    <x v="1"/>
    <n v="13.686400000000001"/>
    <n v="-89.198999999999998"/>
    <n v="13700"/>
    <n v="0"/>
    <n v="0"/>
    <n v="102"/>
    <s v="_x0000_US"/>
  </r>
  <r>
    <x v="1"/>
    <n v="13.686400000000001"/>
    <n v="-89.198899999999995"/>
    <n v="13700"/>
    <n v="0"/>
    <n v="0"/>
    <n v="102"/>
    <s v="_x0000_US"/>
  </r>
  <r>
    <x v="1"/>
    <n v="13.686400000000001"/>
    <n v="-89.198899999999995"/>
    <n v="13700"/>
    <n v="0"/>
    <n v="0"/>
    <n v="102"/>
    <s v="_x0000_US"/>
  </r>
  <r>
    <x v="1"/>
    <n v="13.686400000000001"/>
    <n v="-89.198899999999995"/>
    <n v="13700"/>
    <n v="0"/>
    <n v="0"/>
    <n v="102"/>
    <s v="_x0000_US"/>
  </r>
  <r>
    <x v="1"/>
    <n v="13.686400000000001"/>
    <n v="-89.198899999999995"/>
    <n v="13700"/>
    <n v="0"/>
    <n v="0"/>
    <n v="102"/>
    <s v="_x0000_US"/>
  </r>
  <r>
    <x v="1"/>
    <n v="13.686500000000001"/>
    <n v="-89.198899999999995"/>
    <n v="13700"/>
    <n v="0"/>
    <n v="0"/>
    <n v="102"/>
    <s v="_x0000_US"/>
  </r>
  <r>
    <x v="1"/>
    <n v="13.686500000000001"/>
    <n v="-89.198899999999995"/>
    <n v="13700"/>
    <n v="0"/>
    <n v="0"/>
    <n v="102"/>
    <s v="_x0000_US"/>
  </r>
  <r>
    <x v="1"/>
    <n v="13.686500000000001"/>
    <n v="-89.198899999999995"/>
    <n v="13700"/>
    <n v="0"/>
    <n v="0"/>
    <n v="102"/>
    <s v="_x0000_US"/>
  </r>
  <r>
    <x v="1"/>
    <n v="13.686500000000001"/>
    <n v="-89.198899999999995"/>
    <n v="13700"/>
    <n v="0"/>
    <n v="0"/>
    <n v="102"/>
    <s v="_x0000_US"/>
  </r>
  <r>
    <x v="1"/>
    <n v="13.686500000000001"/>
    <n v="-89.198899999999995"/>
    <n v="13700"/>
    <n v="0"/>
    <n v="0"/>
    <n v="102"/>
    <s v="_x0000_US"/>
  </r>
  <r>
    <x v="1"/>
    <n v="13.686500000000001"/>
    <n v="-89.198899999999995"/>
    <n v="13700"/>
    <n v="0"/>
    <n v="0"/>
    <n v="102"/>
    <s v="_x0000_US"/>
  </r>
  <r>
    <x v="1"/>
    <n v="13.686500000000001"/>
    <n v="-89.198800000000006"/>
    <n v="13700"/>
    <n v="0"/>
    <n v="0"/>
    <n v="102"/>
    <s v="_x0000_US"/>
  </r>
  <r>
    <x v="1"/>
    <n v="13.686500000000001"/>
    <n v="-89.198800000000006"/>
    <n v="13700"/>
    <n v="0"/>
    <n v="0"/>
    <n v="102"/>
    <s v="_x0000_US"/>
  </r>
  <r>
    <x v="1"/>
    <n v="13.686500000000001"/>
    <n v="-89.198800000000006"/>
    <n v="13700"/>
    <n v="0"/>
    <n v="0"/>
    <n v="102"/>
    <s v="_x0000_US"/>
  </r>
  <r>
    <x v="1"/>
    <n v="13.6868"/>
    <n v="-89.198899999999995"/>
    <n v="13700"/>
    <n v="0"/>
    <n v="0"/>
    <n v="102"/>
    <s v="_x0000_US"/>
  </r>
  <r>
    <x v="1"/>
    <n v="13.6868"/>
    <n v="-89.198899999999995"/>
    <n v="13700"/>
    <n v="0"/>
    <n v="0"/>
    <n v="102"/>
    <s v="_x0000_US"/>
  </r>
  <r>
    <x v="1"/>
    <n v="13.6868"/>
    <n v="-89.198899999999995"/>
    <n v="13700"/>
    <n v="0"/>
    <n v="0"/>
    <n v="102"/>
    <s v="_x0000_US"/>
  </r>
  <r>
    <x v="1"/>
    <n v="13.6868"/>
    <n v="-89.198899999999995"/>
    <n v="13700"/>
    <n v="0"/>
    <n v="0"/>
    <n v="102"/>
    <s v="_x0000_US"/>
  </r>
  <r>
    <x v="1"/>
    <n v="13.6868"/>
    <n v="-89.198899999999995"/>
    <n v="13700"/>
    <n v="0"/>
    <n v="0"/>
    <n v="102"/>
    <s v="_x0000_US"/>
  </r>
  <r>
    <x v="1"/>
    <n v="13.6868"/>
    <n v="-89.198899999999995"/>
    <n v="13700"/>
    <n v="0"/>
    <n v="0"/>
    <n v="102"/>
    <s v="_x0000_US"/>
  </r>
  <r>
    <x v="1"/>
    <n v="13.6868"/>
    <n v="-89.198899999999995"/>
    <n v="13700"/>
    <n v="0"/>
    <n v="0"/>
    <n v="102"/>
    <s v="_x0000_US"/>
  </r>
  <r>
    <x v="1"/>
    <n v="13.6868"/>
    <n v="-89.198899999999995"/>
    <n v="13700"/>
    <n v="0"/>
    <n v="0"/>
    <n v="102"/>
    <s v="_x0000_US"/>
  </r>
  <r>
    <x v="1"/>
    <n v="13.6868"/>
    <n v="-89.198800000000006"/>
    <n v="13700"/>
    <n v="0"/>
    <n v="0"/>
    <n v="102"/>
    <s v="_x0000_US"/>
  </r>
  <r>
    <x v="1"/>
    <n v="13.6868"/>
    <n v="-89.198800000000006"/>
    <n v="13700"/>
    <n v="0"/>
    <n v="0"/>
    <n v="102"/>
    <s v="_x0000_US"/>
  </r>
  <r>
    <x v="1"/>
    <n v="13.6868"/>
    <n v="-89.198800000000006"/>
    <n v="13700"/>
    <n v="0"/>
    <n v="0"/>
    <n v="102"/>
    <s v="_x0000_US"/>
  </r>
  <r>
    <x v="1"/>
    <n v="13.6868"/>
    <n v="-89.198800000000006"/>
    <n v="13700"/>
    <n v="0"/>
    <n v="0"/>
    <n v="102"/>
    <s v="_x0000_US"/>
  </r>
  <r>
    <x v="1"/>
    <n v="13.6868"/>
    <n v="-89.198700000000002"/>
    <n v="13700"/>
    <n v="0"/>
    <n v="0"/>
    <n v="102"/>
    <s v="_x0000_US"/>
  </r>
  <r>
    <x v="1"/>
    <n v="13.6868"/>
    <n v="-89.198700000000002"/>
    <n v="13700"/>
    <n v="0"/>
    <n v="0"/>
    <n v="102"/>
    <s v="_x0000_US"/>
  </r>
  <r>
    <x v="1"/>
    <n v="13.6868"/>
    <n v="-89.198700000000002"/>
    <n v="13700"/>
    <n v="0"/>
    <n v="0"/>
    <n v="102"/>
    <s v="_x0000_US"/>
  </r>
  <r>
    <x v="1"/>
    <n v="13.6868"/>
    <n v="-89.198700000000002"/>
    <n v="13700"/>
    <n v="0"/>
    <n v="0"/>
    <n v="102"/>
    <s v="_x0000_US"/>
  </r>
  <r>
    <x v="1"/>
    <n v="13.6868"/>
    <n v="-89.198599999999999"/>
    <n v="13700"/>
    <n v="0"/>
    <n v="0"/>
    <n v="102"/>
    <s v="_x0000_US"/>
  </r>
  <r>
    <x v="1"/>
    <n v="13.6868"/>
    <n v="-89.198599999999999"/>
    <n v="13700"/>
    <n v="0"/>
    <n v="0"/>
    <n v="102"/>
    <s v="_x0000_US"/>
  </r>
  <r>
    <x v="1"/>
    <n v="13.6868"/>
    <n v="-89.198599999999999"/>
    <n v="13700"/>
    <n v="0"/>
    <n v="0"/>
    <n v="102"/>
    <s v="_x0000_US"/>
  </r>
  <r>
    <x v="1"/>
    <n v="13.6868"/>
    <n v="-89.198599999999999"/>
    <n v="13700"/>
    <n v="0"/>
    <n v="0"/>
    <n v="102"/>
    <s v="_x0000_US"/>
  </r>
  <r>
    <x v="1"/>
    <n v="13.6869"/>
    <n v="-89.198499999999996"/>
    <n v="13700"/>
    <n v="0"/>
    <n v="0"/>
    <n v="102"/>
    <s v="_x0000_US"/>
  </r>
  <r>
    <x v="1"/>
    <n v="13.6869"/>
    <n v="-89.198499999999996"/>
    <n v="13700"/>
    <n v="0"/>
    <n v="0"/>
    <n v="102"/>
    <s v="_x0000_US"/>
  </r>
  <r>
    <x v="1"/>
    <n v="13.6869"/>
    <n v="-89.198499999999996"/>
    <n v="13700"/>
    <n v="0"/>
    <n v="0"/>
    <n v="102"/>
    <s v="_x0000_US"/>
  </r>
  <r>
    <x v="1"/>
    <n v="13.6869"/>
    <n v="-89.198499999999996"/>
    <n v="13700"/>
    <n v="0"/>
    <n v="0"/>
    <n v="102"/>
    <s v="_x0000_US"/>
  </r>
  <r>
    <x v="1"/>
    <n v="13.6869"/>
    <n v="-89.198499999999996"/>
    <n v="13700"/>
    <n v="0"/>
    <n v="0"/>
    <n v="102"/>
    <s v="_x0000_US"/>
  </r>
  <r>
    <x v="1"/>
    <n v="13.6869"/>
    <n v="-89.198400000000007"/>
    <n v="13700"/>
    <n v="0"/>
    <n v="0"/>
    <n v="102"/>
    <s v="_x0000_US"/>
  </r>
  <r>
    <x v="1"/>
    <n v="13.6869"/>
    <n v="-89.198400000000007"/>
    <n v="13700"/>
    <n v="0"/>
    <n v="0"/>
    <n v="102"/>
    <s v="_x0000_US"/>
  </r>
  <r>
    <x v="1"/>
    <n v="13.6869"/>
    <n v="-89.198400000000007"/>
    <n v="13700"/>
    <n v="0"/>
    <n v="0"/>
    <n v="102"/>
    <s v="_x0000_US"/>
  </r>
  <r>
    <x v="1"/>
    <n v="13.686999999999999"/>
    <n v="-89.1995"/>
    <n v="13700"/>
    <n v="0"/>
    <n v="0"/>
    <n v="102"/>
    <s v="_x0000_US"/>
  </r>
  <r>
    <x v="1"/>
    <n v="13.686999999999999"/>
    <n v="-89.1995"/>
    <n v="13700"/>
    <n v="0"/>
    <n v="0"/>
    <n v="102"/>
    <s v="_x0000_US"/>
  </r>
  <r>
    <x v="1"/>
    <n v="13.686999999999999"/>
    <n v="-89.1995"/>
    <n v="13700"/>
    <n v="0"/>
    <n v="0"/>
    <n v="102"/>
    <s v="_x0000_US"/>
  </r>
  <r>
    <x v="1"/>
    <n v="13.686999999999999"/>
    <n v="-89.1995"/>
    <n v="13700"/>
    <n v="0"/>
    <n v="0"/>
    <n v="102"/>
    <s v="_x0000_US"/>
  </r>
  <r>
    <x v="1"/>
    <n v="13.686999999999999"/>
    <n v="-89.199399999999997"/>
    <n v="13700"/>
    <n v="0"/>
    <n v="0"/>
    <n v="102"/>
    <s v="_x0000_US"/>
  </r>
  <r>
    <x v="1"/>
    <n v="13.686999999999999"/>
    <n v="-89.199399999999997"/>
    <n v="13700"/>
    <n v="0"/>
    <n v="0"/>
    <n v="102"/>
    <s v="_x0000_US"/>
  </r>
  <r>
    <x v="1"/>
    <n v="13.686999999999999"/>
    <n v="-89.199399999999997"/>
    <n v="13700"/>
    <n v="0"/>
    <n v="0"/>
    <n v="102"/>
    <s v="_x0000_US"/>
  </r>
  <r>
    <x v="1"/>
    <n v="13.687099999999999"/>
    <n v="-89.199399999999997"/>
    <n v="13700"/>
    <n v="0"/>
    <n v="0"/>
    <n v="102"/>
    <s v="_x0000_US"/>
  </r>
  <r>
    <x v="1"/>
    <n v="13.687099999999999"/>
    <n v="-89.199299999999994"/>
    <n v="13700"/>
    <n v="0"/>
    <n v="0"/>
    <n v="102"/>
    <s v="_x0000_US"/>
  </r>
  <r>
    <x v="1"/>
    <n v="13.687099999999999"/>
    <n v="-89.199299999999994"/>
    <n v="13700"/>
    <n v="0"/>
    <n v="0"/>
    <n v="102"/>
    <s v="_x0000_US"/>
  </r>
  <r>
    <x v="1"/>
    <n v="13.687099999999999"/>
    <n v="-89.199299999999994"/>
    <n v="13700"/>
    <n v="0"/>
    <n v="0"/>
    <n v="102"/>
    <s v="_x0000_US"/>
  </r>
  <r>
    <x v="1"/>
    <n v="13.687099999999999"/>
    <n v="-89.199299999999994"/>
    <n v="13700"/>
    <n v="0"/>
    <n v="0"/>
    <n v="102"/>
    <s v="_x0000_US"/>
  </r>
  <r>
    <x v="1"/>
    <n v="13.687099999999999"/>
    <n v="-89.199299999999994"/>
    <n v="13700"/>
    <n v="0"/>
    <n v="0"/>
    <n v="102"/>
    <s v="_x0000_US"/>
  </r>
  <r>
    <x v="1"/>
    <n v="13.687099999999999"/>
    <n v="-89.199299999999994"/>
    <n v="13700"/>
    <n v="0"/>
    <n v="0"/>
    <n v="102"/>
    <s v="_x0000_US"/>
  </r>
  <r>
    <x v="1"/>
    <n v="13.687099999999999"/>
    <n v="-89.199299999999994"/>
    <n v="13700"/>
    <n v="0"/>
    <n v="0"/>
    <n v="102"/>
    <s v="_x0000_US"/>
  </r>
  <r>
    <x v="1"/>
    <n v="13.687200000000001"/>
    <n v="-89.199100000000001"/>
    <n v="13700"/>
    <n v="0"/>
    <n v="0"/>
    <n v="102"/>
    <s v="_x0000_US"/>
  </r>
  <r>
    <x v="1"/>
    <n v="13.687200000000001"/>
    <n v="-89.199100000000001"/>
    <n v="13700"/>
    <n v="0"/>
    <n v="0"/>
    <n v="102"/>
    <s v="_x0000_US"/>
  </r>
  <r>
    <x v="1"/>
    <n v="13.687200000000001"/>
    <n v="-89.199100000000001"/>
    <n v="13700"/>
    <n v="0"/>
    <n v="0"/>
    <n v="102"/>
    <s v="_x0000_US"/>
  </r>
  <r>
    <x v="1"/>
    <n v="13.687200000000001"/>
    <n v="-89.199100000000001"/>
    <n v="13700"/>
    <n v="0"/>
    <n v="0"/>
    <n v="102"/>
    <s v="_x0000_US"/>
  </r>
  <r>
    <x v="1"/>
    <n v="13.687200000000001"/>
    <n v="-89.199100000000001"/>
    <n v="13700"/>
    <n v="0"/>
    <n v="0"/>
    <n v="102"/>
    <s v="_x0000_US"/>
  </r>
  <r>
    <x v="1"/>
    <n v="13.687200000000001"/>
    <n v="-89.199100000000001"/>
    <n v="13700"/>
    <n v="0"/>
    <n v="0"/>
    <n v="102"/>
    <s v="_x0000_US"/>
  </r>
  <r>
    <x v="1"/>
    <n v="13.687200000000001"/>
    <n v="-89.199100000000001"/>
    <n v="13700"/>
    <n v="0"/>
    <n v="0"/>
    <n v="102"/>
    <s v="_x0000_US"/>
  </r>
  <r>
    <x v="1"/>
    <n v="13.687200000000001"/>
    <n v="-89.199100000000001"/>
    <n v="13700"/>
    <n v="0"/>
    <n v="0"/>
    <n v="102"/>
    <s v="_x0000_US"/>
  </r>
  <r>
    <x v="1"/>
    <n v="13.687200000000001"/>
    <n v="-89.198999999999998"/>
    <n v="13700"/>
    <n v="0"/>
    <n v="0"/>
    <n v="102"/>
    <s v="_x0000_US"/>
  </r>
  <r>
    <x v="1"/>
    <n v="13.687200000000001"/>
    <n v="-89.198999999999998"/>
    <n v="13700"/>
    <n v="0"/>
    <n v="0"/>
    <n v="102"/>
    <s v="_x0000_US"/>
  </r>
  <r>
    <x v="1"/>
    <n v="13.687200000000001"/>
    <n v="-89.198999999999998"/>
    <n v="13700"/>
    <n v="0"/>
    <n v="0"/>
    <n v="102"/>
    <s v="_x0000_US"/>
  </r>
  <r>
    <x v="1"/>
    <n v="13.687200000000001"/>
    <n v="-89.198999999999998"/>
    <n v="13700"/>
    <n v="0"/>
    <n v="0"/>
    <n v="102"/>
    <s v="_x0000_US"/>
  </r>
  <r>
    <x v="1"/>
    <n v="13.6873"/>
    <n v="-89.198899999999995"/>
    <n v="13700"/>
    <n v="0"/>
    <n v="0"/>
    <n v="102"/>
    <s v="_x0000_US"/>
  </r>
  <r>
    <x v="1"/>
    <n v="13.6873"/>
    <n v="-89.198899999999995"/>
    <n v="13700"/>
    <n v="0"/>
    <n v="0"/>
    <n v="102"/>
    <s v="_x0000_US"/>
  </r>
  <r>
    <x v="1"/>
    <n v="13.6873"/>
    <n v="-89.198899999999995"/>
    <n v="13700"/>
    <n v="0"/>
    <n v="0"/>
    <n v="102"/>
    <s v="_x0000_US"/>
  </r>
  <r>
    <x v="1"/>
    <n v="13.6873"/>
    <n v="-89.198899999999995"/>
    <n v="13700"/>
    <n v="0"/>
    <n v="0"/>
    <n v="102"/>
    <s v="_x0000_US"/>
  </r>
  <r>
    <x v="1"/>
    <n v="13.687200000000001"/>
    <n v="-89.198800000000006"/>
    <n v="13700"/>
    <n v="0"/>
    <n v="0"/>
    <n v="102"/>
    <s v="_x0000_US"/>
  </r>
  <r>
    <x v="1"/>
    <n v="13.687200000000001"/>
    <n v="-89.198800000000006"/>
    <n v="13700"/>
    <n v="0"/>
    <n v="0"/>
    <n v="102"/>
    <s v="_x0000_US"/>
  </r>
  <r>
    <x v="1"/>
    <n v="13.687200000000001"/>
    <n v="-89.198800000000006"/>
    <n v="13700"/>
    <n v="0"/>
    <n v="0"/>
    <n v="102"/>
    <s v="_x0000_US"/>
  </r>
  <r>
    <x v="1"/>
    <n v="13.687200000000001"/>
    <n v="-89.198800000000006"/>
    <n v="13700"/>
    <n v="0"/>
    <n v="0"/>
    <n v="102"/>
    <s v="_x0000_US"/>
  </r>
  <r>
    <x v="1"/>
    <n v="13.6873"/>
    <n v="-89.198700000000002"/>
    <n v="13700"/>
    <n v="0"/>
    <n v="0"/>
    <n v="102"/>
    <s v="_x0000_US"/>
  </r>
  <r>
    <x v="1"/>
    <n v="13.6873"/>
    <n v="-89.198700000000002"/>
    <n v="13700"/>
    <n v="0"/>
    <n v="0"/>
    <n v="102"/>
    <s v="_x0000_US"/>
  </r>
  <r>
    <x v="1"/>
    <n v="13.6873"/>
    <n v="-89.198700000000002"/>
    <n v="13700"/>
    <n v="0"/>
    <n v="0"/>
    <n v="102"/>
    <s v="_x0000_US"/>
  </r>
  <r>
    <x v="1"/>
    <n v="13.6873"/>
    <n v="-89.198700000000002"/>
    <n v="13700"/>
    <n v="0"/>
    <n v="0"/>
    <n v="102"/>
    <s v="_x0000_US"/>
  </r>
  <r>
    <x v="1"/>
    <n v="13.687099999999999"/>
    <n v="-89.198499999999996"/>
    <n v="13700"/>
    <n v="0"/>
    <n v="0"/>
    <n v="102"/>
    <s v="_x0000_US"/>
  </r>
  <r>
    <x v="1"/>
    <n v="13.687099999999999"/>
    <n v="-89.198499999999996"/>
    <n v="13700"/>
    <n v="0"/>
    <n v="0"/>
    <n v="102"/>
    <s v="_x0000_US"/>
  </r>
  <r>
    <x v="1"/>
    <n v="13.687099999999999"/>
    <n v="-89.198499999999996"/>
    <n v="13700"/>
    <n v="0"/>
    <n v="0"/>
    <n v="102"/>
    <s v="_x0000_US"/>
  </r>
  <r>
    <x v="1"/>
    <n v="13.687099999999999"/>
    <n v="-89.198499999999996"/>
    <n v="13700"/>
    <n v="0"/>
    <n v="0"/>
    <n v="102"/>
    <s v="_x0000_US"/>
  </r>
  <r>
    <x v="1"/>
    <n v="13.687099999999999"/>
    <n v="-89.198599999999999"/>
    <n v="13700"/>
    <n v="0"/>
    <n v="0"/>
    <n v="102"/>
    <s v="_x0000_US"/>
  </r>
  <r>
    <x v="1"/>
    <n v="13.687099999999999"/>
    <n v="-89.198599999999999"/>
    <n v="13700"/>
    <n v="0"/>
    <n v="0"/>
    <n v="102"/>
    <s v="_x0000_US"/>
  </r>
  <r>
    <x v="1"/>
    <n v="13.687099999999999"/>
    <n v="-89.198599999999999"/>
    <n v="13700"/>
    <n v="0"/>
    <n v="0"/>
    <n v="102"/>
    <s v="_x0000_US"/>
  </r>
  <r>
    <x v="1"/>
    <n v="13.687099999999999"/>
    <n v="-89.198599999999999"/>
    <n v="13700"/>
    <n v="0"/>
    <n v="0"/>
    <n v="102"/>
    <s v="_x0000_US"/>
  </r>
  <r>
    <x v="1"/>
    <n v="13.687099999999999"/>
    <n v="-89.198700000000002"/>
    <n v="13700"/>
    <n v="0"/>
    <n v="0"/>
    <n v="102"/>
    <s v="_x0000_US"/>
  </r>
  <r>
    <x v="1"/>
    <n v="13.687099999999999"/>
    <n v="-89.198700000000002"/>
    <n v="13700"/>
    <n v="0"/>
    <n v="0"/>
    <n v="102"/>
    <s v="_x0000_US"/>
  </r>
  <r>
    <x v="1"/>
    <n v="13.687099999999999"/>
    <n v="-89.198700000000002"/>
    <n v="13700"/>
    <n v="0"/>
    <n v="0"/>
    <n v="102"/>
    <s v="_x0000_US"/>
  </r>
  <r>
    <x v="1"/>
    <n v="13.687099999999999"/>
    <n v="-89.198700000000002"/>
    <n v="13700"/>
    <n v="0"/>
    <n v="0"/>
    <n v="102"/>
    <s v="_x0000_US"/>
  </r>
  <r>
    <x v="1"/>
    <n v="13.686999999999999"/>
    <n v="-89.198800000000006"/>
    <n v="13700"/>
    <n v="0"/>
    <n v="0"/>
    <n v="102"/>
    <s v="_x0000_US"/>
  </r>
  <r>
    <x v="1"/>
    <n v="13.686999999999999"/>
    <n v="-89.198800000000006"/>
    <n v="13700"/>
    <n v="0"/>
    <n v="0"/>
    <n v="102"/>
    <s v="_x0000_US"/>
  </r>
  <r>
    <x v="1"/>
    <n v="13.686999999999999"/>
    <n v="-89.198800000000006"/>
    <n v="13700"/>
    <n v="0"/>
    <n v="0"/>
    <n v="102"/>
    <s v="_x0000_US"/>
  </r>
  <r>
    <x v="1"/>
    <n v="13.6869"/>
    <n v="-89.199200000000005"/>
    <n v="13700"/>
    <n v="0"/>
    <n v="0"/>
    <n v="102"/>
    <s v="_x0000_US"/>
  </r>
  <r>
    <x v="1"/>
    <n v="13.6869"/>
    <n v="-89.199200000000005"/>
    <n v="13700"/>
    <n v="0"/>
    <n v="0"/>
    <n v="102"/>
    <s v="_x0000_US"/>
  </r>
  <r>
    <x v="1"/>
    <n v="13.6869"/>
    <n v="-89.199200000000005"/>
    <n v="13700"/>
    <n v="0"/>
    <n v="0"/>
    <n v="102"/>
    <s v="_x0000_US"/>
  </r>
  <r>
    <x v="1"/>
    <n v="13.6869"/>
    <n v="-89.199100000000001"/>
    <n v="13700"/>
    <n v="0"/>
    <n v="0"/>
    <n v="102"/>
    <s v="_x0000_US"/>
  </r>
  <r>
    <x v="1"/>
    <n v="13.6869"/>
    <n v="-89.199100000000001"/>
    <n v="13700"/>
    <n v="0"/>
    <n v="0"/>
    <n v="102"/>
    <s v="_x0000_US"/>
  </r>
  <r>
    <x v="1"/>
    <n v="13.6869"/>
    <n v="-89.199100000000001"/>
    <n v="13700"/>
    <n v="0"/>
    <n v="0"/>
    <n v="102"/>
    <s v="_x0000_US"/>
  </r>
  <r>
    <x v="1"/>
    <n v="13.6869"/>
    <n v="-89.199100000000001"/>
    <n v="13700"/>
    <n v="0"/>
    <n v="0"/>
    <n v="102"/>
    <s v="_x0000_US"/>
  </r>
  <r>
    <x v="1"/>
    <n v="13.686199999999999"/>
    <n v="-89.198999999999998"/>
    <n v="13700"/>
    <n v="0"/>
    <n v="0"/>
    <n v="102"/>
    <s v="_x0000_US"/>
  </r>
  <r>
    <x v="1"/>
    <n v="13.6861"/>
    <n v="-89.198999999999998"/>
    <n v="13700"/>
    <n v="0"/>
    <n v="0"/>
    <n v="102"/>
    <s v="_x0000_US"/>
  </r>
  <r>
    <x v="1"/>
    <n v="13.684900000000001"/>
    <n v="-89.2012"/>
    <n v="15830"/>
    <n v="0"/>
    <n v="0"/>
    <n v="102"/>
    <s v="_x0000_US"/>
  </r>
  <r>
    <x v="1"/>
    <n v="13.686199999999999"/>
    <n v="-89.200999999999993"/>
    <n v="15830"/>
    <n v="0"/>
    <n v="0"/>
    <n v="102"/>
    <s v="_x0000_US"/>
  </r>
  <r>
    <x v="1"/>
    <n v="13.6861"/>
    <n v="-89.200999999999993"/>
    <n v="15830"/>
    <n v="0"/>
    <n v="0"/>
    <n v="102"/>
    <s v="_x0000_US"/>
  </r>
  <r>
    <x v="1"/>
    <n v="13.686"/>
    <n v="-89.200999999999993"/>
    <n v="15830"/>
    <n v="0"/>
    <n v="0"/>
    <n v="102"/>
    <s v="_x0000_US"/>
  </r>
  <r>
    <x v="1"/>
    <n v="13.6859"/>
    <n v="-89.200999999999993"/>
    <n v="15830"/>
    <n v="0"/>
    <n v="0"/>
    <n v="102"/>
    <s v="_x0000_US"/>
  </r>
  <r>
    <x v="1"/>
    <n v="13.6858"/>
    <n v="-89.200999999999993"/>
    <n v="15830"/>
    <n v="0"/>
    <n v="0"/>
    <n v="102"/>
    <s v="_x0000_US"/>
  </r>
  <r>
    <x v="1"/>
    <n v="13.6859"/>
    <n v="-89.200999999999993"/>
    <n v="15830"/>
    <n v="0"/>
    <n v="0"/>
    <n v="102"/>
    <s v="_x0000_US"/>
  </r>
  <r>
    <x v="1"/>
    <n v="13.687799999999999"/>
    <n v="-89.206699999999998"/>
    <n v="18900"/>
    <n v="0"/>
    <n v="0"/>
    <n v="102"/>
    <s v="_x0000_US"/>
  </r>
  <r>
    <x v="1"/>
    <n v="13.687799999999999"/>
    <n v="-89.206800000000001"/>
    <n v="18900"/>
    <n v="0"/>
    <n v="0"/>
    <n v="102"/>
    <s v="_x0000_US"/>
  </r>
  <r>
    <x v="1"/>
    <n v="13.6877"/>
    <n v="-89.206800000000001"/>
    <n v="18900"/>
    <n v="0"/>
    <n v="0"/>
    <n v="102"/>
    <s v="_x0000_US"/>
  </r>
  <r>
    <x v="1"/>
    <n v="13.6877"/>
    <n v="-89.206800000000001"/>
    <n v="18900"/>
    <n v="0"/>
    <n v="0"/>
    <n v="102"/>
    <s v="_x0000_US"/>
  </r>
  <r>
    <x v="1"/>
    <n v="13.6876"/>
    <n v="-89.206800000000001"/>
    <n v="18900"/>
    <n v="0"/>
    <n v="0"/>
    <n v="102"/>
    <s v="_x0000_US"/>
  </r>
  <r>
    <x v="1"/>
    <n v="13.6876"/>
    <n v="-89.206699999999998"/>
    <n v="18900"/>
    <n v="0"/>
    <n v="0"/>
    <n v="102"/>
    <s v="_x0000_US"/>
  </r>
  <r>
    <x v="1"/>
    <n v="13.6877"/>
    <n v="-89.206699999999998"/>
    <n v="18900"/>
    <n v="0"/>
    <n v="0"/>
    <n v="102"/>
    <s v="_x0000_US"/>
  </r>
  <r>
    <x v="1"/>
    <n v="13.6877"/>
    <n v="-89.206699999999998"/>
    <n v="18900"/>
    <n v="0"/>
    <n v="0"/>
    <n v="102"/>
    <s v="_x0000_US"/>
  </r>
  <r>
    <x v="1"/>
    <n v="13.687799999999999"/>
    <n v="-89.206699999999998"/>
    <n v="18900"/>
    <n v="0"/>
    <n v="0"/>
    <n v="102"/>
    <s v="_x0000_US"/>
  </r>
  <r>
    <x v="1"/>
    <n v="13.687799999999999"/>
    <n v="-89.206699999999998"/>
    <n v="18900"/>
    <n v="0"/>
    <n v="0"/>
    <n v="102"/>
    <s v="_x0000_US"/>
  </r>
  <r>
    <x v="1"/>
    <n v="13.687799999999999"/>
    <n v="-89.206599999999995"/>
    <n v="18900"/>
    <n v="0"/>
    <n v="0"/>
    <n v="102"/>
    <s v="_x0000_US"/>
  </r>
  <r>
    <x v="1"/>
    <n v="13.6877"/>
    <n v="-89.206599999999995"/>
    <n v="18900"/>
    <n v="0"/>
    <n v="0"/>
    <n v="102"/>
    <s v="_x0000_US"/>
  </r>
  <r>
    <x v="1"/>
    <n v="13.6877"/>
    <n v="-89.206599999999995"/>
    <n v="18900"/>
    <n v="0"/>
    <n v="0"/>
    <n v="102"/>
    <s v="_x0000_US"/>
  </r>
  <r>
    <x v="1"/>
    <n v="13.6876"/>
    <n v="-89.206599999999995"/>
    <n v="18900"/>
    <n v="0"/>
    <n v="0"/>
    <n v="102"/>
    <s v="_x0000_US"/>
  </r>
  <r>
    <x v="1"/>
    <n v="13.6876"/>
    <n v="-89.206500000000005"/>
    <n v="18900"/>
    <n v="0"/>
    <n v="0"/>
    <n v="102"/>
    <s v="_x0000_US"/>
  </r>
  <r>
    <x v="1"/>
    <n v="13.6877"/>
    <n v="-89.206500000000005"/>
    <n v="18900"/>
    <n v="0"/>
    <n v="0"/>
    <n v="102"/>
    <s v="_x0000_US"/>
  </r>
  <r>
    <x v="1"/>
    <n v="13.6877"/>
    <n v="-89.206500000000005"/>
    <n v="18900"/>
    <n v="0"/>
    <n v="0"/>
    <n v="102"/>
    <s v="_x0000_US"/>
  </r>
  <r>
    <x v="1"/>
    <n v="13.6877"/>
    <n v="-89.206500000000005"/>
    <n v="18900"/>
    <n v="0"/>
    <n v="0"/>
    <n v="102"/>
    <s v="_x0000_US"/>
  </r>
  <r>
    <x v="1"/>
    <n v="13.6875"/>
    <n v="-89.206599999999995"/>
    <n v="18900"/>
    <n v="0"/>
    <n v="0"/>
    <n v="102"/>
    <s v="_x0000_US"/>
  </r>
  <r>
    <x v="1"/>
    <n v="13.6875"/>
    <n v="-89.206500000000005"/>
    <n v="18900"/>
    <n v="0"/>
    <n v="0"/>
    <n v="102"/>
    <s v="_x0000_US"/>
  </r>
  <r>
    <x v="1"/>
    <n v="13.6874"/>
    <n v="-89.206599999999995"/>
    <n v="18900"/>
    <n v="0"/>
    <n v="0"/>
    <n v="102"/>
    <s v="_x0000_US"/>
  </r>
  <r>
    <x v="1"/>
    <n v="13.6874"/>
    <n v="-89.206500000000005"/>
    <n v="18900"/>
    <n v="0"/>
    <n v="0"/>
    <n v="102"/>
    <s v="_x0000_US"/>
  </r>
  <r>
    <x v="1"/>
    <n v="13.6875"/>
    <n v="-89.206500000000005"/>
    <n v="18900"/>
    <n v="0"/>
    <n v="0"/>
    <n v="102"/>
    <s v="_x0000_US"/>
  </r>
  <r>
    <x v="1"/>
    <n v="13.6875"/>
    <n v="-89.206400000000002"/>
    <n v="18900"/>
    <n v="0"/>
    <n v="0"/>
    <n v="102"/>
    <s v="_x0000_US"/>
  </r>
  <r>
    <x v="1"/>
    <n v="13.6874"/>
    <n v="-89.206400000000002"/>
    <n v="18900"/>
    <n v="0"/>
    <n v="0"/>
    <n v="102"/>
    <s v="_x0000_US"/>
  </r>
  <r>
    <x v="1"/>
    <n v="13.6874"/>
    <n v="-89.206400000000002"/>
    <n v="18900"/>
    <n v="0"/>
    <n v="0"/>
    <n v="102"/>
    <s v="_x0000_US"/>
  </r>
  <r>
    <x v="1"/>
    <n v="13.6874"/>
    <n v="-89.206400000000002"/>
    <n v="18900"/>
    <n v="0"/>
    <n v="0"/>
    <n v="102"/>
    <s v="_x0000_US"/>
  </r>
  <r>
    <x v="1"/>
    <n v="13.6873"/>
    <n v="-89.206299999999999"/>
    <n v="18900"/>
    <n v="0"/>
    <n v="0"/>
    <n v="102"/>
    <s v="_x0000_US"/>
  </r>
  <r>
    <x v="1"/>
    <n v="13.6874"/>
    <n v="-89.206299999999999"/>
    <n v="18900"/>
    <n v="0"/>
    <n v="0"/>
    <n v="102"/>
    <s v="_x0000_US"/>
  </r>
  <r>
    <x v="1"/>
    <n v="13.6874"/>
    <n v="-89.206299999999999"/>
    <n v="18900"/>
    <n v="0"/>
    <n v="0"/>
    <n v="102"/>
    <s v="_x0000_US"/>
  </r>
  <r>
    <x v="1"/>
    <n v="13.6875"/>
    <n v="-89.206299999999999"/>
    <n v="18900"/>
    <n v="0"/>
    <n v="0"/>
    <n v="102"/>
    <s v="_x0000_US"/>
  </r>
  <r>
    <x v="1"/>
    <n v="13.6875"/>
    <n v="-89.206299999999999"/>
    <n v="18900"/>
    <n v="0"/>
    <n v="0"/>
    <n v="102"/>
    <s v="_x0000_US"/>
  </r>
  <r>
    <x v="1"/>
    <n v="13.6874"/>
    <n v="-89.206100000000006"/>
    <n v="18900"/>
    <n v="0"/>
    <n v="0"/>
    <n v="102"/>
    <s v="_x0000_US"/>
  </r>
  <r>
    <x v="1"/>
    <n v="13.6873"/>
    <n v="-89.206100000000006"/>
    <n v="18900"/>
    <n v="0"/>
    <n v="0"/>
    <n v="102"/>
    <s v="_x0000_US"/>
  </r>
  <r>
    <x v="1"/>
    <n v="13.687200000000001"/>
    <n v="-89.206199999999995"/>
    <n v="18900"/>
    <n v="0"/>
    <n v="0"/>
    <n v="102"/>
    <s v="_x0000_US"/>
  </r>
  <r>
    <x v="1"/>
    <n v="13.687200000000001"/>
    <n v="-89.206299999999999"/>
    <n v="18900"/>
    <n v="0"/>
    <n v="0"/>
    <n v="102"/>
    <s v="_x0000_US"/>
  </r>
  <r>
    <x v="1"/>
    <n v="13.6873"/>
    <n v="-89.206299999999999"/>
    <n v="18900"/>
    <n v="0"/>
    <n v="0"/>
    <n v="102"/>
    <s v="_x0000_US"/>
  </r>
  <r>
    <x v="1"/>
    <n v="13.6873"/>
    <n v="-89.206400000000002"/>
    <n v="18900"/>
    <n v="0"/>
    <n v="0"/>
    <n v="102"/>
    <s v="_x0000_US"/>
  </r>
  <r>
    <x v="1"/>
    <n v="13.6873"/>
    <n v="-89.206400000000002"/>
    <n v="18900"/>
    <n v="0"/>
    <n v="0"/>
    <n v="102"/>
    <s v="_x0000_US"/>
  </r>
  <r>
    <x v="1"/>
    <n v="13.6873"/>
    <n v="-89.206400000000002"/>
    <n v="18900"/>
    <n v="0"/>
    <n v="0"/>
    <n v="102"/>
    <s v="_x0000_US"/>
  </r>
  <r>
    <x v="1"/>
    <n v="13.6873"/>
    <n v="-89.206599999999995"/>
    <n v="18900"/>
    <n v="0"/>
    <n v="0"/>
    <n v="102"/>
    <s v="_x0000_US"/>
  </r>
  <r>
    <x v="1"/>
    <n v="13.6873"/>
    <n v="-89.206599999999995"/>
    <n v="18900"/>
    <n v="0"/>
    <n v="0"/>
    <n v="102"/>
    <s v="_x0000_US"/>
  </r>
  <r>
    <x v="1"/>
    <n v="13.687200000000001"/>
    <n v="-89.206500000000005"/>
    <n v="18900"/>
    <n v="0"/>
    <n v="0"/>
    <n v="102"/>
    <s v="_x0000_US"/>
  </r>
  <r>
    <x v="1"/>
    <n v="13.687200000000001"/>
    <n v="-89.206299999999999"/>
    <n v="18900"/>
    <n v="0"/>
    <n v="0"/>
    <n v="102"/>
    <s v="_x0000_US"/>
  </r>
  <r>
    <x v="1"/>
    <n v="13.687200000000001"/>
    <n v="-89.206299999999999"/>
    <n v="18900"/>
    <n v="0"/>
    <n v="0"/>
    <n v="102"/>
    <s v="_x0000_US"/>
  </r>
  <r>
    <x v="1"/>
    <n v="13.687200000000001"/>
    <n v="-89.206199999999995"/>
    <n v="18900"/>
    <n v="0"/>
    <n v="0"/>
    <n v="102"/>
    <s v="_x0000_US"/>
  </r>
  <r>
    <x v="1"/>
    <n v="13.687200000000001"/>
    <n v="-89.206599999999995"/>
    <n v="18900"/>
    <n v="0"/>
    <n v="0"/>
    <n v="102"/>
    <s v="_x0000_US"/>
  </r>
  <r>
    <x v="1"/>
    <n v="13.6874"/>
    <n v="-89.206900000000005"/>
    <n v="18900"/>
    <n v="0"/>
    <n v="0"/>
    <n v="102"/>
    <s v="_x0000_US"/>
  </r>
  <r>
    <x v="1"/>
    <n v="13.6873"/>
    <n v="-89.206800000000001"/>
    <n v="18900"/>
    <n v="0"/>
    <n v="0"/>
    <n v="102"/>
    <s v="_x0000_US"/>
  </r>
  <r>
    <x v="1"/>
    <n v="13.6873"/>
    <n v="-89.206800000000001"/>
    <n v="18900"/>
    <n v="0"/>
    <n v="0"/>
    <n v="102"/>
    <s v="_x0000_US"/>
  </r>
  <r>
    <x v="1"/>
    <n v="13.6873"/>
    <n v="-89.206699999999998"/>
    <n v="18900"/>
    <n v="0"/>
    <n v="0"/>
    <n v="102"/>
    <s v="_x0000_US"/>
  </r>
  <r>
    <x v="1"/>
    <n v="13.6873"/>
    <n v="-89.206699999999998"/>
    <n v="18900"/>
    <n v="0"/>
    <n v="0"/>
    <n v="102"/>
    <s v="_x0000_US"/>
  </r>
  <r>
    <x v="1"/>
    <n v="13.6873"/>
    <n v="-89.206599999999995"/>
    <n v="18900"/>
    <n v="0"/>
    <n v="0"/>
    <n v="102"/>
    <s v="_x0000_US"/>
  </r>
  <r>
    <x v="1"/>
    <n v="13.687200000000001"/>
    <n v="-89.206800000000001"/>
    <n v="18900"/>
    <n v="0"/>
    <n v="0"/>
    <n v="102"/>
    <s v="_x0000_US"/>
  </r>
  <r>
    <x v="1"/>
    <n v="13.687200000000001"/>
    <n v="-89.206800000000001"/>
    <n v="18900"/>
    <n v="0"/>
    <n v="0"/>
    <n v="102"/>
    <s v="_x0000_US"/>
  </r>
  <r>
    <x v="1"/>
    <n v="13.687200000000001"/>
    <n v="-89.206699999999998"/>
    <n v="18900"/>
    <n v="0"/>
    <n v="0"/>
    <n v="102"/>
    <s v="_x0000_US"/>
  </r>
  <r>
    <x v="1"/>
    <n v="13.687200000000001"/>
    <n v="-89.206699999999998"/>
    <n v="18900"/>
    <n v="0"/>
    <n v="0"/>
    <n v="102"/>
    <s v="_x0000_US"/>
  </r>
  <r>
    <x v="1"/>
    <n v="13.687200000000001"/>
    <n v="-89.206699999999998"/>
    <n v="18900"/>
    <n v="0"/>
    <n v="0"/>
    <n v="102"/>
    <s v="_x0000_US"/>
  </r>
  <r>
    <x v="1"/>
    <n v="13.687200000000001"/>
    <n v="-89.206599999999995"/>
    <n v="18900"/>
    <n v="0"/>
    <n v="0"/>
    <n v="102"/>
    <s v="_x0000_US"/>
  </r>
  <r>
    <x v="1"/>
    <n v="13.6874"/>
    <n v="-89.206699999999998"/>
    <n v="18900"/>
    <n v="0"/>
    <n v="0"/>
    <n v="102"/>
    <s v="_x0000_US"/>
  </r>
  <r>
    <x v="1"/>
    <n v="13.6874"/>
    <n v="-89.206800000000001"/>
    <n v="18900"/>
    <n v="0"/>
    <n v="0"/>
    <n v="102"/>
    <s v="_x0000_US"/>
  </r>
  <r>
    <x v="1"/>
    <n v="13.6874"/>
    <n v="-89.206599999999995"/>
    <n v="18900"/>
    <n v="0"/>
    <n v="0"/>
    <n v="102"/>
    <s v="_x0000_US"/>
  </r>
  <r>
    <x v="1"/>
    <n v="13.6874"/>
    <n v="-89.206599999999995"/>
    <n v="18900"/>
    <n v="0"/>
    <n v="0"/>
    <n v="102"/>
    <s v="_x0000_US"/>
  </r>
  <r>
    <x v="1"/>
    <n v="13.6875"/>
    <n v="-89.206800000000001"/>
    <n v="18900"/>
    <n v="0"/>
    <n v="0"/>
    <n v="102"/>
    <s v="_x0000_US"/>
  </r>
  <r>
    <x v="1"/>
    <n v="13.6875"/>
    <n v="-89.206800000000001"/>
    <n v="18900"/>
    <n v="0"/>
    <n v="0"/>
    <n v="102"/>
    <s v="_x0000_US"/>
  </r>
  <r>
    <x v="1"/>
    <n v="13.6875"/>
    <n v="-89.206699999999998"/>
    <n v="18900"/>
    <n v="0"/>
    <n v="0"/>
    <n v="102"/>
    <s v="_x0000_US"/>
  </r>
  <r>
    <x v="1"/>
    <n v="13.6875"/>
    <n v="-89.206699999999998"/>
    <n v="18900"/>
    <n v="0"/>
    <n v="0"/>
    <n v="102"/>
    <s v="_x0000_US"/>
  </r>
  <r>
    <x v="1"/>
    <n v="13.6875"/>
    <n v="-89.206699999999998"/>
    <n v="18900"/>
    <n v="0"/>
    <n v="0"/>
    <n v="102"/>
    <s v="_x0000_US"/>
  </r>
  <r>
    <x v="1"/>
    <n v="13.6876"/>
    <n v="-89.206699999999998"/>
    <n v="18900"/>
    <n v="0"/>
    <n v="0"/>
    <n v="102"/>
    <s v="_x0000_US"/>
  </r>
  <r>
    <x v="1"/>
    <n v="13.6876"/>
    <n v="-89.206800000000001"/>
    <n v="18900"/>
    <n v="0"/>
    <n v="0"/>
    <n v="102"/>
    <s v="_x0000_US"/>
  </r>
  <r>
    <x v="1"/>
    <n v="13.6876"/>
    <n v="-89.206800000000001"/>
    <n v="18900"/>
    <n v="0"/>
    <n v="0"/>
    <n v="102"/>
    <s v="_x0000_US"/>
  </r>
  <r>
    <x v="1"/>
    <n v="13.6876"/>
    <n v="-89.206500000000005"/>
    <n v="18900"/>
    <n v="0"/>
    <n v="0"/>
    <n v="102"/>
    <s v="_x0000_US"/>
  </r>
  <r>
    <x v="1"/>
    <n v="13.6876"/>
    <n v="-89.206599999999995"/>
    <n v="18900"/>
    <n v="0"/>
    <n v="0"/>
    <n v="102"/>
    <s v="_x0000_US"/>
  </r>
  <r>
    <x v="1"/>
    <n v="13.6875"/>
    <n v="-89.206599999999995"/>
    <n v="18900"/>
    <n v="0"/>
    <n v="0"/>
    <n v="102"/>
    <s v="_x0000_US"/>
  </r>
  <r>
    <x v="1"/>
    <n v="13.6875"/>
    <n v="-89.206299999999999"/>
    <n v="18900"/>
    <n v="0"/>
    <n v="0"/>
    <n v="102"/>
    <s v="_x0000_US"/>
  </r>
  <r>
    <x v="1"/>
    <n v="13.6876"/>
    <n v="-89.206299999999999"/>
    <n v="18900"/>
    <n v="0"/>
    <n v="0"/>
    <n v="102"/>
    <s v="_x0000_US"/>
  </r>
  <r>
    <x v="1"/>
    <n v="13.6876"/>
    <n v="-89.206299999999999"/>
    <n v="18900"/>
    <n v="0"/>
    <n v="0"/>
    <n v="102"/>
    <s v="_x0000_US"/>
  </r>
  <r>
    <x v="1"/>
    <n v="13.6877"/>
    <n v="-89.206299999999999"/>
    <n v="18900"/>
    <n v="0"/>
    <n v="0"/>
    <n v="102"/>
    <s v="_x0000_US"/>
  </r>
  <r>
    <x v="1"/>
    <n v="13.6877"/>
    <n v="-89.206299999999999"/>
    <n v="18900"/>
    <n v="0"/>
    <n v="0"/>
    <n v="102"/>
    <s v="_x0000_US"/>
  </r>
  <r>
    <x v="1"/>
    <n v="13.6876"/>
    <n v="-89.206199999999995"/>
    <n v="18900"/>
    <n v="0"/>
    <n v="0"/>
    <n v="102"/>
    <s v="_x0000_US"/>
  </r>
  <r>
    <x v="1"/>
    <n v="13.6876"/>
    <n v="-89.206199999999995"/>
    <n v="18900"/>
    <n v="0"/>
    <n v="0"/>
    <n v="102"/>
    <s v="_x0000_US"/>
  </r>
  <r>
    <x v="1"/>
    <n v="13.6877"/>
    <n v="-89.206299999999999"/>
    <n v="18900"/>
    <n v="0"/>
    <n v="0"/>
    <n v="102"/>
    <s v="_x0000_US"/>
  </r>
  <r>
    <x v="1"/>
    <n v="13.6877"/>
    <n v="-89.206299999999999"/>
    <n v="18900"/>
    <n v="0"/>
    <n v="0"/>
    <n v="102"/>
    <s v="_x0000_US"/>
  </r>
  <r>
    <x v="1"/>
    <n v="13.687799999999999"/>
    <n v="-89.198300000000003"/>
    <n v="8550"/>
    <n v="0"/>
    <n v="0"/>
    <n v="102"/>
    <s v="_x0000_US"/>
  </r>
  <r>
    <x v="1"/>
    <n v="13.687799999999999"/>
    <n v="-89.198400000000007"/>
    <n v="8550"/>
    <n v="0"/>
    <n v="0"/>
    <n v="102"/>
    <s v="_x0000_US"/>
  </r>
  <r>
    <x v="1"/>
    <n v="13.687799999999999"/>
    <n v="-89.198400000000007"/>
    <n v="8550"/>
    <n v="0"/>
    <n v="0"/>
    <n v="102"/>
    <s v="_x0000_US"/>
  </r>
  <r>
    <x v="1"/>
    <n v="13.687799999999999"/>
    <n v="-89.198400000000007"/>
    <n v="8550"/>
    <n v="0"/>
    <n v="0"/>
    <n v="102"/>
    <s v="_x0000_US"/>
  </r>
  <r>
    <x v="1"/>
    <n v="13.687799999999999"/>
    <n v="-89.198300000000003"/>
    <n v="8550"/>
    <n v="0"/>
    <n v="0"/>
    <n v="102"/>
    <s v="_x0000_US"/>
  </r>
  <r>
    <x v="1"/>
    <n v="13.687900000000001"/>
    <n v="-89.198400000000007"/>
    <n v="8550"/>
    <n v="0"/>
    <n v="0"/>
    <n v="102"/>
    <s v="_x0000_US"/>
  </r>
  <r>
    <x v="1"/>
    <n v="13.688000000000001"/>
    <n v="-89.198400000000007"/>
    <n v="8550"/>
    <n v="0"/>
    <n v="0"/>
    <n v="102"/>
    <s v="_x0000_US"/>
  </r>
  <r>
    <x v="1"/>
    <n v="13.688000000000001"/>
    <n v="-89.198300000000003"/>
    <n v="8550"/>
    <n v="0"/>
    <n v="0"/>
    <n v="102"/>
    <s v="_x0000_US"/>
  </r>
  <r>
    <x v="1"/>
    <n v="13.6881"/>
    <n v="-89.198099999999997"/>
    <n v="8550"/>
    <n v="0"/>
    <n v="0"/>
    <n v="102"/>
    <s v="_x0000_US"/>
  </r>
  <r>
    <x v="1"/>
    <n v="13.690099999999999"/>
    <n v="-89.197299999999998"/>
    <n v="11540"/>
    <n v="0"/>
    <n v="0"/>
    <n v="102"/>
    <s v="_x0000_US"/>
  </r>
  <r>
    <x v="1"/>
    <n v="13.6914"/>
    <n v="-89.198499999999996"/>
    <n v="11540"/>
    <n v="0"/>
    <n v="0"/>
    <n v="102"/>
    <s v="_x0000_US"/>
  </r>
  <r>
    <x v="1"/>
    <n v="13.6914"/>
    <n v="-89.198400000000007"/>
    <n v="11540"/>
    <n v="0"/>
    <n v="0"/>
    <n v="102"/>
    <s v="_x0000_US"/>
  </r>
  <r>
    <x v="1"/>
    <n v="13.688700000000001"/>
    <n v="-89.197900000000004"/>
    <n v="9980"/>
    <n v="0"/>
    <n v="0"/>
    <n v="102"/>
    <s v="_x0000_US"/>
  </r>
  <r>
    <x v="1"/>
    <n v="13.688499999999999"/>
    <n v="-89.197900000000004"/>
    <n v="9980"/>
    <n v="0"/>
    <n v="0"/>
    <n v="102"/>
    <s v="_x0000_US"/>
  </r>
  <r>
    <x v="1"/>
    <n v="13.6884"/>
    <n v="-89.197900000000004"/>
    <n v="9980"/>
    <n v="0"/>
    <n v="0"/>
    <n v="102"/>
    <s v="_x0000_US"/>
  </r>
  <r>
    <x v="1"/>
    <n v="13.6851"/>
    <n v="-89.200800000000001"/>
    <n v="14950"/>
    <n v="0"/>
    <n v="0"/>
    <n v="102"/>
    <s v="_x0000_US"/>
  </r>
  <r>
    <x v="1"/>
    <n v="13.6851"/>
    <n v="-89.200900000000004"/>
    <n v="14950"/>
    <n v="0"/>
    <n v="0"/>
    <n v="102"/>
    <s v="_x0000_US"/>
  </r>
  <r>
    <x v="1"/>
    <n v="13.6851"/>
    <n v="-89.200900000000004"/>
    <n v="14950"/>
    <n v="0"/>
    <n v="0"/>
    <n v="102"/>
    <s v="_x0000_US"/>
  </r>
  <r>
    <x v="1"/>
    <n v="13.685"/>
    <n v="-89.200800000000001"/>
    <n v="14950"/>
    <n v="0"/>
    <n v="0"/>
    <n v="102"/>
    <s v="_x0000_US"/>
  </r>
  <r>
    <x v="1"/>
    <n v="13.685"/>
    <n v="-89.200800000000001"/>
    <n v="14950"/>
    <n v="0"/>
    <n v="0"/>
    <n v="102"/>
    <s v="_x0000_US"/>
  </r>
  <r>
    <x v="1"/>
    <n v="13.685"/>
    <n v="-89.200800000000001"/>
    <n v="14950"/>
    <n v="0"/>
    <n v="0"/>
    <n v="102"/>
    <s v="_x0000_US"/>
  </r>
  <r>
    <x v="1"/>
    <n v="13.6851"/>
    <n v="-89.200800000000001"/>
    <n v="14950"/>
    <n v="0"/>
    <n v="0"/>
    <n v="102"/>
    <s v="_x0000_US"/>
  </r>
  <r>
    <x v="1"/>
    <n v="13.685"/>
    <n v="-89.200699999999998"/>
    <n v="14950"/>
    <n v="0"/>
    <n v="0"/>
    <n v="102"/>
    <s v="_x0000_US"/>
  </r>
  <r>
    <x v="1"/>
    <n v="13.685"/>
    <n v="-89.200699999999998"/>
    <n v="14950"/>
    <n v="0"/>
    <n v="0"/>
    <n v="102"/>
    <s v="_x0000_US"/>
  </r>
  <r>
    <x v="1"/>
    <n v="13.6854"/>
    <n v="-89.200999999999993"/>
    <n v="15830"/>
    <n v="0"/>
    <n v="0"/>
    <n v="102"/>
    <s v="_x0000_US"/>
  </r>
  <r>
    <x v="1"/>
    <n v="13.6854"/>
    <n v="-89.200999999999993"/>
    <n v="15830"/>
    <n v="0"/>
    <n v="0"/>
    <n v="102"/>
    <s v="_x0000_US"/>
  </r>
  <r>
    <x v="1"/>
    <n v="13.685499999999999"/>
    <n v="-89.200999999999993"/>
    <n v="15830"/>
    <n v="0"/>
    <n v="0"/>
    <n v="102"/>
    <s v="_x0000_US"/>
  </r>
  <r>
    <x v="1"/>
    <n v="13.685600000000001"/>
    <n v="-89.200999999999993"/>
    <n v="15830"/>
    <n v="0"/>
    <n v="0"/>
    <n v="102"/>
    <s v="_x0000_US"/>
  </r>
  <r>
    <x v="1"/>
    <n v="13.685700000000001"/>
    <n v="-89.200999999999993"/>
    <n v="15830"/>
    <n v="0"/>
    <n v="0"/>
    <n v="102"/>
    <s v="_x0000_US"/>
  </r>
  <r>
    <x v="1"/>
    <n v="13.685700000000001"/>
    <n v="-89.200999999999993"/>
    <n v="15830"/>
    <n v="0"/>
    <n v="0"/>
    <n v="102"/>
    <s v="_x0000_US"/>
  </r>
  <r>
    <x v="1"/>
    <n v="13.6858"/>
    <n v="-89.200999999999993"/>
    <n v="15830"/>
    <n v="0"/>
    <n v="0"/>
    <n v="102"/>
    <s v="_x0000_US"/>
  </r>
  <r>
    <x v="1"/>
    <n v="13.6851"/>
    <n v="-89.201099999999997"/>
    <n v="15830"/>
    <n v="0"/>
    <n v="0"/>
    <n v="102"/>
    <s v="_x0000_US"/>
  </r>
  <r>
    <x v="1"/>
    <n v="13.6852"/>
    <n v="-89.201099999999997"/>
    <n v="15830"/>
    <n v="0"/>
    <n v="0"/>
    <n v="102"/>
    <s v="_x0000_US"/>
  </r>
  <r>
    <x v="1"/>
    <n v="13.6853"/>
    <n v="-89.200999999999993"/>
    <n v="15830"/>
    <n v="0"/>
    <n v="0"/>
    <n v="102"/>
    <s v="_x0000_US"/>
  </r>
  <r>
    <x v="1"/>
    <n v="13.6877"/>
    <n v="-89.207400000000007"/>
    <n v="36700"/>
    <n v="0"/>
    <n v="0"/>
    <n v="102"/>
    <s v="_x0000_US"/>
  </r>
  <r>
    <x v="1"/>
    <n v="13.6877"/>
    <n v="-89.207400000000007"/>
    <n v="36700"/>
    <n v="0"/>
    <n v="0"/>
    <n v="102"/>
    <s v="_x0000_US"/>
  </r>
  <r>
    <x v="1"/>
    <n v="13.6876"/>
    <n v="-89.207400000000007"/>
    <n v="36700"/>
    <n v="0"/>
    <n v="0"/>
    <n v="102"/>
    <s v="_x0000_US"/>
  </r>
  <r>
    <x v="1"/>
    <n v="13.6876"/>
    <n v="-89.207400000000007"/>
    <n v="36700"/>
    <n v="0"/>
    <n v="0"/>
    <n v="102"/>
    <s v="_x0000_US"/>
  </r>
  <r>
    <x v="1"/>
    <n v="13.6876"/>
    <n v="-89.2072"/>
    <n v="36700"/>
    <n v="0"/>
    <n v="0"/>
    <n v="102"/>
    <s v="_x0000_US"/>
  </r>
  <r>
    <x v="1"/>
    <n v="13.6876"/>
    <n v="-89.2072"/>
    <n v="36700"/>
    <n v="0"/>
    <n v="0"/>
    <n v="102"/>
    <s v="_x0000_US"/>
  </r>
  <r>
    <x v="1"/>
    <n v="13.6876"/>
    <n v="-89.2072"/>
    <n v="36700"/>
    <n v="0"/>
    <n v="0"/>
    <n v="102"/>
    <s v="_x0000_US"/>
  </r>
  <r>
    <x v="1"/>
    <n v="13.6876"/>
    <n v="-89.2072"/>
    <n v="36700"/>
    <n v="0"/>
    <n v="0"/>
    <n v="102"/>
    <s v="_x0000_US"/>
  </r>
  <r>
    <x v="1"/>
    <n v="13.6876"/>
    <n v="-89.2072"/>
    <n v="36700"/>
    <n v="0"/>
    <n v="0"/>
    <n v="102"/>
    <s v="_x0000_US"/>
  </r>
  <r>
    <x v="1"/>
    <n v="13.6876"/>
    <n v="-89.2072"/>
    <n v="36700"/>
    <n v="0"/>
    <n v="0"/>
    <n v="102"/>
    <s v="_x0000_US"/>
  </r>
  <r>
    <x v="1"/>
    <n v="13.6876"/>
    <n v="-89.2072"/>
    <n v="36700"/>
    <n v="0"/>
    <n v="0"/>
    <n v="102"/>
    <s v="_x0000_US"/>
  </r>
  <r>
    <x v="1"/>
    <n v="13.6876"/>
    <n v="-89.207499999999996"/>
    <n v="36700"/>
    <n v="0"/>
    <n v="0"/>
    <n v="102"/>
    <s v="_x0000_US"/>
  </r>
  <r>
    <x v="1"/>
    <n v="13.6876"/>
    <n v="-89.207499999999996"/>
    <n v="36700"/>
    <n v="0"/>
    <n v="0"/>
    <n v="102"/>
    <s v="_x0000_US"/>
  </r>
  <r>
    <x v="1"/>
    <n v="13.6876"/>
    <n v="-89.207499999999996"/>
    <n v="36700"/>
    <n v="0"/>
    <n v="0"/>
    <n v="102"/>
    <s v="_x0000_US"/>
  </r>
  <r>
    <x v="1"/>
    <n v="13.6876"/>
    <n v="-89.207499999999996"/>
    <n v="36700"/>
    <n v="0"/>
    <n v="0"/>
    <n v="102"/>
    <s v="_x0000_US"/>
  </r>
  <r>
    <x v="1"/>
    <n v="13.6875"/>
    <n v="-89.2072"/>
    <n v="36700"/>
    <n v="0"/>
    <n v="0"/>
    <n v="102"/>
    <s v="_x0000_US"/>
  </r>
  <r>
    <x v="1"/>
    <n v="13.6875"/>
    <n v="-89.2072"/>
    <n v="36700"/>
    <n v="0"/>
    <n v="0"/>
    <n v="102"/>
    <s v="_x0000_US"/>
  </r>
  <r>
    <x v="1"/>
    <n v="13.6875"/>
    <n v="-89.2072"/>
    <n v="36700"/>
    <n v="0"/>
    <n v="0"/>
    <n v="102"/>
    <s v="_x0000_US"/>
  </r>
  <r>
    <x v="1"/>
    <n v="13.6875"/>
    <n v="-89.2072"/>
    <n v="36700"/>
    <n v="0"/>
    <n v="0"/>
    <n v="102"/>
    <s v="_x0000_US"/>
  </r>
  <r>
    <x v="1"/>
    <n v="13.6875"/>
    <n v="-89.2072"/>
    <n v="36700"/>
    <n v="0"/>
    <n v="0"/>
    <n v="102"/>
    <s v="_x0000_US"/>
  </r>
  <r>
    <x v="1"/>
    <n v="13.6874"/>
    <n v="-89.207300000000004"/>
    <n v="36700"/>
    <n v="0"/>
    <n v="0"/>
    <n v="102"/>
    <s v="_x0000_US"/>
  </r>
  <r>
    <x v="1"/>
    <n v="13.6874"/>
    <n v="-89.207300000000004"/>
    <n v="36700"/>
    <n v="0"/>
    <n v="0"/>
    <n v="102"/>
    <s v="_x0000_US"/>
  </r>
  <r>
    <x v="1"/>
    <n v="13.6874"/>
    <n v="-89.207300000000004"/>
    <n v="36700"/>
    <n v="0"/>
    <n v="0"/>
    <n v="102"/>
    <s v="_x0000_US"/>
  </r>
  <r>
    <x v="1"/>
    <n v="13.6874"/>
    <n v="-89.207300000000004"/>
    <n v="36700"/>
    <n v="0"/>
    <n v="0"/>
    <n v="102"/>
    <s v="_x0000_US"/>
  </r>
  <r>
    <x v="1"/>
    <n v="13.6875"/>
    <n v="-89.207499999999996"/>
    <n v="36700"/>
    <n v="0"/>
    <n v="0"/>
    <n v="102"/>
    <s v="_x0000_US"/>
  </r>
  <r>
    <x v="1"/>
    <n v="13.6875"/>
    <n v="-89.207499999999996"/>
    <n v="36700"/>
    <n v="0"/>
    <n v="0"/>
    <n v="102"/>
    <s v="_x0000_US"/>
  </r>
  <r>
    <x v="1"/>
    <n v="13.6875"/>
    <n v="-89.207499999999996"/>
    <n v="36700"/>
    <n v="0"/>
    <n v="0"/>
    <n v="102"/>
    <s v="_x0000_US"/>
  </r>
  <r>
    <x v="1"/>
    <n v="13.6875"/>
    <n v="-89.207499999999996"/>
    <n v="36700"/>
    <n v="0"/>
    <n v="0"/>
    <n v="102"/>
    <s v="_x0000_US"/>
  </r>
  <r>
    <x v="1"/>
    <n v="13.6874"/>
    <n v="-89.207499999999996"/>
    <n v="36700"/>
    <n v="0"/>
    <n v="0"/>
    <n v="102"/>
    <s v="_x0000_US"/>
  </r>
  <r>
    <x v="1"/>
    <n v="13.6874"/>
    <n v="-89.207499999999996"/>
    <n v="36700"/>
    <n v="0"/>
    <n v="0"/>
    <n v="102"/>
    <s v="_x0000_US"/>
  </r>
  <r>
    <x v="1"/>
    <n v="13.6874"/>
    <n v="-89.207499999999996"/>
    <n v="36700"/>
    <n v="0"/>
    <n v="0"/>
    <n v="102"/>
    <s v="_x0000_US"/>
  </r>
  <r>
    <x v="1"/>
    <n v="13.6874"/>
    <n v="-89.207499999999996"/>
    <n v="36700"/>
    <n v="0"/>
    <n v="0"/>
    <n v="102"/>
    <s v="_x0000_US"/>
  </r>
  <r>
    <x v="1"/>
    <n v="13.687799999999999"/>
    <n v="-89.208699999999993"/>
    <n v="36700"/>
    <n v="0"/>
    <n v="0"/>
    <n v="102"/>
    <s v="_x0000_US"/>
  </r>
  <r>
    <x v="1"/>
    <n v="13.687799999999999"/>
    <n v="-89.208699999999993"/>
    <n v="36700"/>
    <n v="0"/>
    <n v="0"/>
    <n v="102"/>
    <s v="_x0000_US"/>
  </r>
  <r>
    <x v="1"/>
    <n v="13.687799999999999"/>
    <n v="-89.208699999999993"/>
    <n v="36700"/>
    <n v="0"/>
    <n v="0"/>
    <n v="102"/>
    <s v="_x0000_US"/>
  </r>
  <r>
    <x v="1"/>
    <n v="13.687799999999999"/>
    <n v="-89.208699999999993"/>
    <n v="36700"/>
    <n v="0"/>
    <n v="0"/>
    <n v="102"/>
    <s v="_x0000_US"/>
  </r>
  <r>
    <x v="1"/>
    <n v="13.687799999999999"/>
    <n v="-89.208600000000004"/>
    <n v="36700"/>
    <n v="0"/>
    <n v="0"/>
    <n v="102"/>
    <s v="_x0000_US"/>
  </r>
  <r>
    <x v="1"/>
    <n v="13.687799999999999"/>
    <n v="-89.208600000000004"/>
    <n v="36700"/>
    <n v="0"/>
    <n v="0"/>
    <n v="102"/>
    <s v="_x0000_US"/>
  </r>
  <r>
    <x v="1"/>
    <n v="13.687799999999999"/>
    <n v="-89.208600000000004"/>
    <n v="36700"/>
    <n v="0"/>
    <n v="0"/>
    <n v="102"/>
    <s v="_x0000_US"/>
  </r>
  <r>
    <x v="1"/>
    <n v="13.6877"/>
    <n v="-89.208600000000004"/>
    <n v="36700"/>
    <n v="0"/>
    <n v="0"/>
    <n v="102"/>
    <s v="_x0000_US"/>
  </r>
  <r>
    <x v="1"/>
    <n v="13.687900000000001"/>
    <n v="-89.208699999999993"/>
    <n v="36700"/>
    <n v="0"/>
    <n v="0"/>
    <n v="102"/>
    <s v="_x0000_US"/>
  </r>
  <r>
    <x v="1"/>
    <n v="13.687900000000001"/>
    <n v="-89.208699999999993"/>
    <n v="36700"/>
    <n v="0"/>
    <n v="0"/>
    <n v="102"/>
    <s v="_x0000_US"/>
  </r>
  <r>
    <x v="1"/>
    <n v="13.687900000000001"/>
    <n v="-89.208399999999997"/>
    <n v="36700"/>
    <n v="0"/>
    <n v="0"/>
    <n v="102"/>
    <s v="_x0000_US"/>
  </r>
  <r>
    <x v="1"/>
    <n v="13.687799999999999"/>
    <n v="-89.208399999999997"/>
    <n v="36700"/>
    <n v="0"/>
    <n v="0"/>
    <n v="102"/>
    <s v="_x0000_US"/>
  </r>
  <r>
    <x v="1"/>
    <n v="13.687799999999999"/>
    <n v="-89.208399999999997"/>
    <n v="36700"/>
    <n v="0"/>
    <n v="0"/>
    <n v="102"/>
    <s v="_x0000_US"/>
  </r>
  <r>
    <x v="1"/>
    <n v="13.687799999999999"/>
    <n v="-89.208500000000001"/>
    <n v="36700"/>
    <n v="0"/>
    <n v="0"/>
    <n v="102"/>
    <s v="_x0000_US"/>
  </r>
  <r>
    <x v="1"/>
    <n v="13.687799999999999"/>
    <n v="-89.208500000000001"/>
    <n v="36700"/>
    <n v="0"/>
    <n v="0"/>
    <n v="102"/>
    <s v="_x0000_US"/>
  </r>
  <r>
    <x v="1"/>
    <n v="13.687799999999999"/>
    <n v="-89.208500000000001"/>
    <n v="36700"/>
    <n v="0"/>
    <n v="0"/>
    <n v="102"/>
    <s v="_x0000_US"/>
  </r>
  <r>
    <x v="1"/>
    <n v="13.687799999999999"/>
    <n v="-89.208500000000001"/>
    <n v="36700"/>
    <n v="0"/>
    <n v="0"/>
    <n v="102"/>
    <s v="_x0000_US"/>
  </r>
  <r>
    <x v="1"/>
    <n v="13.6877"/>
    <n v="-89.208500000000001"/>
    <n v="36700"/>
    <n v="0"/>
    <n v="0"/>
    <n v="102"/>
    <s v="_x0000_US"/>
  </r>
  <r>
    <x v="1"/>
    <n v="13.6877"/>
    <n v="-89.208299999999994"/>
    <n v="36700"/>
    <n v="0"/>
    <n v="0"/>
    <n v="102"/>
    <s v="_x0000_US"/>
  </r>
  <r>
    <x v="1"/>
    <n v="13.6877"/>
    <n v="-89.208299999999994"/>
    <n v="36700"/>
    <n v="0"/>
    <n v="0"/>
    <n v="102"/>
    <s v="_x0000_US"/>
  </r>
  <r>
    <x v="1"/>
    <n v="13.6877"/>
    <n v="-89.208299999999994"/>
    <n v="36700"/>
    <n v="0"/>
    <n v="0"/>
    <n v="102"/>
    <s v="_x0000_US"/>
  </r>
  <r>
    <x v="1"/>
    <n v="13.6876"/>
    <n v="-89.208299999999994"/>
    <n v="36700"/>
    <n v="0"/>
    <n v="0"/>
    <n v="102"/>
    <s v="_x0000_US"/>
  </r>
  <r>
    <x v="1"/>
    <n v="13.6876"/>
    <n v="-89.208299999999994"/>
    <n v="36700"/>
    <n v="0"/>
    <n v="0"/>
    <n v="102"/>
    <s v="_x0000_US"/>
  </r>
  <r>
    <x v="1"/>
    <n v="13.6876"/>
    <n v="-89.208299999999994"/>
    <n v="36700"/>
    <n v="0"/>
    <n v="0"/>
    <n v="102"/>
    <s v="_x0000_US"/>
  </r>
  <r>
    <x v="1"/>
    <n v="13.6876"/>
    <n v="-89.208299999999994"/>
    <n v="36700"/>
    <n v="0"/>
    <n v="0"/>
    <n v="102"/>
    <s v="_x0000_US"/>
  </r>
  <r>
    <x v="1"/>
    <n v="13.6876"/>
    <n v="-89.208299999999994"/>
    <n v="36700"/>
    <n v="0"/>
    <n v="0"/>
    <n v="102"/>
    <s v="_x0000_US"/>
  </r>
  <r>
    <x v="1"/>
    <n v="13.6877"/>
    <n v="-89.208500000000001"/>
    <n v="36700"/>
    <n v="0"/>
    <n v="0"/>
    <n v="102"/>
    <s v="_x0000_US"/>
  </r>
  <r>
    <x v="1"/>
    <n v="13.6877"/>
    <n v="-89.208500000000001"/>
    <n v="36700"/>
    <n v="0"/>
    <n v="0"/>
    <n v="102"/>
    <s v="_x0000_US"/>
  </r>
  <r>
    <x v="1"/>
    <n v="13.6877"/>
    <n v="-89.208500000000001"/>
    <n v="36700"/>
    <n v="0"/>
    <n v="0"/>
    <n v="102"/>
    <s v="_x0000_US"/>
  </r>
  <r>
    <x v="1"/>
    <n v="13.6877"/>
    <n v="-89.208500000000001"/>
    <n v="36700"/>
    <n v="0"/>
    <n v="0"/>
    <n v="102"/>
    <s v="_x0000_US"/>
  </r>
  <r>
    <x v="1"/>
    <n v="13.6876"/>
    <n v="-89.208500000000001"/>
    <n v="36700"/>
    <n v="0"/>
    <n v="0"/>
    <n v="102"/>
    <s v="_x0000_US"/>
  </r>
  <r>
    <x v="1"/>
    <n v="13.6876"/>
    <n v="-89.208500000000001"/>
    <n v="36700"/>
    <n v="0"/>
    <n v="0"/>
    <n v="102"/>
    <s v="_x0000_US"/>
  </r>
  <r>
    <x v="1"/>
    <n v="13.6876"/>
    <n v="-89.208500000000001"/>
    <n v="36700"/>
    <n v="0"/>
    <n v="0"/>
    <n v="102"/>
    <s v="_x0000_US"/>
  </r>
  <r>
    <x v="1"/>
    <n v="13.6876"/>
    <n v="-89.208500000000001"/>
    <n v="36700"/>
    <n v="0"/>
    <n v="0"/>
    <n v="102"/>
    <s v="_x0000_US"/>
  </r>
  <r>
    <x v="1"/>
    <n v="13.6876"/>
    <n v="-89.208600000000004"/>
    <n v="36700"/>
    <n v="0"/>
    <n v="0"/>
    <n v="102"/>
    <s v="_x0000_US"/>
  </r>
  <r>
    <x v="1"/>
    <n v="13.6876"/>
    <n v="-89.208600000000004"/>
    <n v="36700"/>
    <n v="0"/>
    <n v="0"/>
    <n v="102"/>
    <s v="_x0000_US"/>
  </r>
  <r>
    <x v="1"/>
    <n v="13.6876"/>
    <n v="-89.208600000000004"/>
    <n v="36700"/>
    <n v="0"/>
    <n v="0"/>
    <n v="102"/>
    <s v="_x0000_US"/>
  </r>
  <r>
    <x v="1"/>
    <n v="13.6876"/>
    <n v="-89.208600000000004"/>
    <n v="36700"/>
    <n v="0"/>
    <n v="0"/>
    <n v="102"/>
    <s v="_x0000_US"/>
  </r>
  <r>
    <x v="1"/>
    <n v="13.6876"/>
    <n v="-89.208699999999993"/>
    <n v="36700"/>
    <n v="0"/>
    <n v="0"/>
    <n v="102"/>
    <s v="_x0000_US"/>
  </r>
  <r>
    <x v="1"/>
    <n v="13.6876"/>
    <n v="-89.208699999999993"/>
    <n v="36700"/>
    <n v="0"/>
    <n v="0"/>
    <n v="102"/>
    <s v="_x0000_US"/>
  </r>
  <r>
    <x v="1"/>
    <n v="13.6876"/>
    <n v="-89.208699999999993"/>
    <n v="36700"/>
    <n v="0"/>
    <n v="0"/>
    <n v="102"/>
    <s v="_x0000_US"/>
  </r>
  <r>
    <x v="1"/>
    <n v="13.6876"/>
    <n v="-89.208699999999993"/>
    <n v="36700"/>
    <n v="0"/>
    <n v="0"/>
    <n v="102"/>
    <s v="_x0000_US"/>
  </r>
  <r>
    <x v="1"/>
    <n v="13.687799999999999"/>
    <n v="-89.208200000000005"/>
    <n v="36700"/>
    <n v="0"/>
    <n v="0"/>
    <n v="102"/>
    <s v="_x0000_US"/>
  </r>
  <r>
    <x v="1"/>
    <n v="13.687799999999999"/>
    <n v="-89.208200000000005"/>
    <n v="36700"/>
    <n v="0"/>
    <n v="0"/>
    <n v="102"/>
    <s v="_x0000_US"/>
  </r>
  <r>
    <x v="1"/>
    <n v="13.687799999999999"/>
    <n v="-89.208200000000005"/>
    <n v="36700"/>
    <n v="0"/>
    <n v="0"/>
    <n v="102"/>
    <s v="_x0000_US"/>
  </r>
  <r>
    <x v="1"/>
    <n v="13.687799999999999"/>
    <n v="-89.208200000000005"/>
    <n v="36700"/>
    <n v="0"/>
    <n v="0"/>
    <n v="102"/>
    <s v="_x0000_US"/>
  </r>
  <r>
    <x v="1"/>
    <n v="13.687799999999999"/>
    <n v="-89.208200000000005"/>
    <n v="36700"/>
    <n v="0"/>
    <n v="0"/>
    <n v="102"/>
    <s v="_x0000_US"/>
  </r>
  <r>
    <x v="1"/>
    <n v="13.6877"/>
    <n v="-89.208200000000005"/>
    <n v="36700"/>
    <n v="0"/>
    <n v="0"/>
    <n v="102"/>
    <s v="_x0000_US"/>
  </r>
  <r>
    <x v="1"/>
    <n v="13.6877"/>
    <n v="-89.208200000000005"/>
    <n v="36700"/>
    <n v="0"/>
    <n v="0"/>
    <n v="102"/>
    <s v="_x0000_US"/>
  </r>
  <r>
    <x v="1"/>
    <n v="13.6877"/>
    <n v="-89.208200000000005"/>
    <n v="36700"/>
    <n v="0"/>
    <n v="0"/>
    <n v="102"/>
    <s v="_x0000_US"/>
  </r>
  <r>
    <x v="1"/>
    <n v="13.687799999999999"/>
    <n v="-89.207999999999998"/>
    <n v="36700"/>
    <n v="0"/>
    <n v="0"/>
    <n v="102"/>
    <s v="_x0000_US"/>
  </r>
  <r>
    <x v="1"/>
    <n v="13.687799999999999"/>
    <n v="-89.207999999999998"/>
    <n v="36700"/>
    <n v="0"/>
    <n v="0"/>
    <n v="102"/>
    <s v="_x0000_US"/>
  </r>
  <r>
    <x v="1"/>
    <n v="13.687799999999999"/>
    <n v="-89.207999999999998"/>
    <n v="36700"/>
    <n v="0"/>
    <n v="0"/>
    <n v="102"/>
    <s v="_x0000_US"/>
  </r>
  <r>
    <x v="1"/>
    <n v="13.687799999999999"/>
    <n v="-89.207999999999998"/>
    <n v="36700"/>
    <n v="0"/>
    <n v="0"/>
    <n v="102"/>
    <s v="_x0000_US"/>
  </r>
  <r>
    <x v="1"/>
    <n v="13.6877"/>
    <n v="-89.207999999999998"/>
    <n v="36700"/>
    <n v="0"/>
    <n v="0"/>
    <n v="102"/>
    <s v="_x0000_US"/>
  </r>
  <r>
    <x v="1"/>
    <n v="13.6877"/>
    <n v="-89.207999999999998"/>
    <n v="36700"/>
    <n v="0"/>
    <n v="0"/>
    <n v="102"/>
    <s v="_x0000_US"/>
  </r>
  <r>
    <x v="1"/>
    <n v="13.6877"/>
    <n v="-89.207999999999998"/>
    <n v="36700"/>
    <n v="0"/>
    <n v="0"/>
    <n v="102"/>
    <s v="_x0000_US"/>
  </r>
  <r>
    <x v="1"/>
    <n v="13.6877"/>
    <n v="-89.208100000000002"/>
    <n v="36700"/>
    <n v="0"/>
    <n v="0"/>
    <n v="102"/>
    <s v="_x0000_US"/>
  </r>
  <r>
    <x v="1"/>
    <n v="13.6877"/>
    <n v="-89.208100000000002"/>
    <n v="36700"/>
    <n v="0"/>
    <n v="0"/>
    <n v="102"/>
    <s v="_x0000_US"/>
  </r>
  <r>
    <x v="1"/>
    <n v="13.6876"/>
    <n v="-89.208100000000002"/>
    <n v="36700"/>
    <n v="0"/>
    <n v="0"/>
    <n v="102"/>
    <s v="_x0000_US"/>
  </r>
  <r>
    <x v="1"/>
    <n v="13.6876"/>
    <n v="-89.208100000000002"/>
    <n v="36700"/>
    <n v="0"/>
    <n v="0"/>
    <n v="102"/>
    <s v="_x0000_US"/>
  </r>
  <r>
    <x v="1"/>
    <n v="13.6876"/>
    <n v="-89.208100000000002"/>
    <n v="36700"/>
    <n v="0"/>
    <n v="0"/>
    <n v="102"/>
    <s v="_x0000_US"/>
  </r>
  <r>
    <x v="1"/>
    <n v="13.6876"/>
    <n v="-89.208100000000002"/>
    <n v="36700"/>
    <n v="0"/>
    <n v="0"/>
    <n v="102"/>
    <s v="_x0000_US"/>
  </r>
  <r>
    <x v="1"/>
    <n v="13.6876"/>
    <n v="-89.208100000000002"/>
    <n v="36700"/>
    <n v="0"/>
    <n v="0"/>
    <n v="102"/>
    <s v="_x0000_US"/>
  </r>
  <r>
    <x v="1"/>
    <n v="13.6876"/>
    <n v="-89.208100000000002"/>
    <n v="36700"/>
    <n v="0"/>
    <n v="0"/>
    <n v="102"/>
    <s v="_x0000_US"/>
  </r>
  <r>
    <x v="1"/>
    <n v="13.6875"/>
    <n v="-89.208100000000002"/>
    <n v="36700"/>
    <n v="0"/>
    <n v="0"/>
    <n v="102"/>
    <s v="_x0000_US"/>
  </r>
  <r>
    <x v="1"/>
    <n v="13.686500000000001"/>
    <n v="-89.206299999999999"/>
    <n v="18300"/>
    <n v="0"/>
    <n v="0"/>
    <n v="102"/>
    <s v="_x0000_US"/>
  </r>
  <r>
    <x v="1"/>
    <n v="13.686400000000001"/>
    <n v="-89.206199999999995"/>
    <n v="18300"/>
    <n v="0"/>
    <n v="0"/>
    <n v="102"/>
    <s v="_x0000_US"/>
  </r>
  <r>
    <x v="1"/>
    <n v="13.686400000000001"/>
    <n v="-89.206100000000006"/>
    <n v="18300"/>
    <n v="0"/>
    <n v="0"/>
    <n v="102"/>
    <s v="_x0000_US"/>
  </r>
  <r>
    <x v="1"/>
    <n v="13.686400000000001"/>
    <n v="-89.206000000000003"/>
    <n v="18300"/>
    <n v="0"/>
    <n v="0"/>
    <n v="102"/>
    <s v="_x0000_US"/>
  </r>
  <r>
    <x v="1"/>
    <n v="13.686400000000001"/>
    <n v="-89.2059"/>
    <n v="18300"/>
    <n v="0"/>
    <n v="0"/>
    <n v="102"/>
    <s v="_x0000_US"/>
  </r>
  <r>
    <x v="1"/>
    <n v="13.686500000000001"/>
    <n v="-89.205799999999996"/>
    <n v="18300"/>
    <n v="0"/>
    <n v="0"/>
    <n v="102"/>
    <s v="_x0000_US"/>
  </r>
  <r>
    <x v="1"/>
    <n v="13.6867"/>
    <n v="-89.206400000000002"/>
    <n v="18300"/>
    <n v="0"/>
    <n v="0"/>
    <n v="102"/>
    <s v="_x0000_US"/>
  </r>
  <r>
    <x v="1"/>
    <n v="13.6867"/>
    <n v="-89.206299999999999"/>
    <n v="18300"/>
    <n v="0"/>
    <n v="0"/>
    <n v="102"/>
    <s v="_x0000_US"/>
  </r>
  <r>
    <x v="1"/>
    <n v="13.6867"/>
    <n v="-89.206299999999999"/>
    <n v="18300"/>
    <n v="0"/>
    <n v="0"/>
    <n v="102"/>
    <s v="_x0000_US"/>
  </r>
  <r>
    <x v="1"/>
    <n v="13.6867"/>
    <n v="-89.206299999999999"/>
    <n v="18300"/>
    <n v="0"/>
    <n v="0"/>
    <n v="102"/>
    <s v="_x0000_US"/>
  </r>
  <r>
    <x v="1"/>
    <n v="13.6866"/>
    <n v="-89.2059"/>
    <n v="18300"/>
    <n v="0"/>
    <n v="0"/>
    <n v="102"/>
    <s v="_x0000_US"/>
  </r>
  <r>
    <x v="1"/>
    <n v="13.6867"/>
    <n v="-89.2059"/>
    <n v="18300"/>
    <n v="0"/>
    <n v="0"/>
    <n v="102"/>
    <s v="_x0000_US"/>
  </r>
  <r>
    <x v="1"/>
    <n v="13.6867"/>
    <n v="-89.2059"/>
    <n v="18300"/>
    <n v="0"/>
    <n v="0"/>
    <n v="102"/>
    <s v="_x0000_US"/>
  </r>
  <r>
    <x v="1"/>
    <n v="13.686299999999999"/>
    <n v="-89.206199999999995"/>
    <n v="18300"/>
    <n v="0"/>
    <n v="0"/>
    <n v="102"/>
    <s v="_x0000_US"/>
  </r>
  <r>
    <x v="1"/>
    <n v="13.686299999999999"/>
    <n v="-89.2059"/>
    <n v="18300"/>
    <n v="0"/>
    <n v="0"/>
    <n v="102"/>
    <s v="_x0000_US"/>
  </r>
  <r>
    <x v="1"/>
    <n v="13.686199999999999"/>
    <n v="-89.206000000000003"/>
    <n v="18300"/>
    <n v="0"/>
    <n v="0"/>
    <n v="102"/>
    <s v="_x0000_US"/>
  </r>
  <r>
    <x v="1"/>
    <n v="13.687799999999999"/>
    <n v="-89.199299999999994"/>
    <n v="33900"/>
    <n v="0"/>
    <n v="0"/>
    <n v="102"/>
    <s v="_x0000_US"/>
  </r>
  <r>
    <x v="1"/>
    <n v="13.687799999999999"/>
    <n v="-89.199299999999994"/>
    <n v="33900"/>
    <n v="0"/>
    <n v="0"/>
    <n v="102"/>
    <s v="_x0000_US"/>
  </r>
  <r>
    <x v="1"/>
    <n v="13.687900000000001"/>
    <n v="-89.199299999999994"/>
    <n v="33900"/>
    <n v="0"/>
    <n v="0"/>
    <n v="102"/>
    <s v="_x0000_US"/>
  </r>
  <r>
    <x v="1"/>
    <n v="13.6884"/>
    <n v="-89.199200000000005"/>
    <n v="33900"/>
    <n v="0"/>
    <n v="0"/>
    <n v="102"/>
    <s v="_x0000_US"/>
  </r>
  <r>
    <x v="1"/>
    <n v="13.6881"/>
    <n v="-89.199299999999994"/>
    <n v="33900"/>
    <n v="0"/>
    <n v="0"/>
    <n v="102"/>
    <s v="_x0000_US"/>
  </r>
  <r>
    <x v="1"/>
    <n v="13.690200000000001"/>
    <n v="-89.198300000000003"/>
    <n v="21700"/>
    <n v="0"/>
    <n v="0"/>
    <n v="102"/>
    <s v="_x0000_US"/>
  </r>
  <r>
    <x v="1"/>
    <n v="13.690200000000001"/>
    <n v="-89.198300000000003"/>
    <n v="21700"/>
    <n v="0"/>
    <n v="0"/>
    <n v="102"/>
    <s v="_x0000_US"/>
  </r>
  <r>
    <x v="1"/>
    <n v="13.6876"/>
    <n v="-89.199100000000001"/>
    <n v="21700"/>
    <n v="0"/>
    <n v="0"/>
    <n v="102"/>
    <s v="_x0000_US"/>
  </r>
  <r>
    <x v="1"/>
    <n v="13.6876"/>
    <n v="-89.198999999999998"/>
    <n v="21700"/>
    <n v="0"/>
    <n v="0"/>
    <n v="102"/>
    <s v="_x0000_US"/>
  </r>
  <r>
    <x v="1"/>
    <n v="13.6876"/>
    <n v="-89.200400000000002"/>
    <n v="21700"/>
    <n v="0"/>
    <n v="0"/>
    <n v="102"/>
    <s v="_x0000_US"/>
  </r>
  <r>
    <x v="1"/>
    <n v="13.687900000000001"/>
    <n v="-89.200299999999999"/>
    <n v="21700"/>
    <n v="0"/>
    <n v="0"/>
    <n v="102"/>
    <s v="_x0000_US"/>
  </r>
  <r>
    <x v="1"/>
    <n v="13.6882"/>
    <n v="-89.200599999999994"/>
    <n v="21700"/>
    <n v="0"/>
    <n v="0"/>
    <n v="102"/>
    <s v="_x0000_US"/>
  </r>
  <r>
    <x v="1"/>
    <n v="13.688000000000001"/>
    <n v="-89.200199999999995"/>
    <n v="21700"/>
    <n v="0"/>
    <n v="0"/>
    <n v="102"/>
    <s v="_x0000_US"/>
  </r>
  <r>
    <x v="1"/>
    <n v="13.6881"/>
    <n v="-89.200699999999998"/>
    <n v="21700"/>
    <n v="0"/>
    <n v="0"/>
    <n v="102"/>
    <s v="_x0000_US"/>
  </r>
  <r>
    <x v="1"/>
    <n v="13.689399999999999"/>
    <n v="-89.200400000000002"/>
    <n v="21700"/>
    <n v="0"/>
    <n v="0"/>
    <n v="102"/>
    <s v="_x0000_US"/>
  </r>
  <r>
    <x v="1"/>
    <n v="13.689299999999999"/>
    <n v="-89.200599999999994"/>
    <n v="21700"/>
    <n v="0"/>
    <n v="0"/>
    <n v="102"/>
    <s v="_x0000_US"/>
  </r>
  <r>
    <x v="1"/>
    <n v="13.689399999999999"/>
    <n v="-89.200599999999994"/>
    <n v="21700"/>
    <n v="0"/>
    <n v="0"/>
    <n v="102"/>
    <s v="_x0000_US"/>
  </r>
  <r>
    <x v="1"/>
    <n v="13.689500000000001"/>
    <n v="-89.200599999999994"/>
    <n v="21700"/>
    <n v="0"/>
    <n v="0"/>
    <n v="102"/>
    <s v="_x0000_US"/>
  </r>
  <r>
    <x v="1"/>
    <n v="13.689500000000001"/>
    <n v="-89.200500000000005"/>
    <n v="21700"/>
    <n v="0"/>
    <n v="0"/>
    <n v="102"/>
    <s v="_x0000_US"/>
  </r>
  <r>
    <x v="1"/>
    <n v="13.689500000000001"/>
    <n v="-89.200400000000002"/>
    <n v="21700"/>
    <n v="0"/>
    <n v="0"/>
    <n v="102"/>
    <s v="_x0000_US"/>
  </r>
  <r>
    <x v="1"/>
    <n v="13.689399999999999"/>
    <n v="-89.200299999999999"/>
    <n v="21700"/>
    <n v="0"/>
    <n v="0"/>
    <n v="102"/>
    <s v="_x0000_US"/>
  </r>
  <r>
    <x v="1"/>
    <n v="13.689299999999999"/>
    <n v="-89.200299999999999"/>
    <n v="21700"/>
    <n v="0"/>
    <n v="0"/>
    <n v="102"/>
    <s v="_x0000_US"/>
  </r>
  <r>
    <x v="1"/>
    <n v="13.6892"/>
    <n v="-89.200500000000005"/>
    <n v="21700"/>
    <n v="0"/>
    <n v="0"/>
    <n v="102"/>
    <s v="_x0000_US"/>
  </r>
  <r>
    <x v="1"/>
    <n v="13.689500000000001"/>
    <n v="-89.200199999999995"/>
    <n v="21700"/>
    <n v="0"/>
    <n v="0"/>
    <n v="102"/>
    <s v="_x0000_US"/>
  </r>
  <r>
    <x v="1"/>
    <n v="13.689299999999999"/>
    <n v="-89.200199999999995"/>
    <n v="21700"/>
    <n v="0"/>
    <n v="0"/>
    <n v="102"/>
    <s v="_x0000_US"/>
  </r>
  <r>
    <x v="1"/>
    <n v="13.689500000000001"/>
    <n v="-89.200100000000006"/>
    <n v="21700"/>
    <n v="0"/>
    <n v="0"/>
    <n v="102"/>
    <s v="_x0000_US"/>
  </r>
  <r>
    <x v="1"/>
    <n v="13.689399999999999"/>
    <n v="-89.2"/>
    <n v="21700"/>
    <n v="0"/>
    <n v="0"/>
    <n v="102"/>
    <s v="_x0000_US"/>
  </r>
  <r>
    <x v="1"/>
    <n v="13.689399999999999"/>
    <n v="-89.1999"/>
    <n v="21700"/>
    <n v="0"/>
    <n v="0"/>
    <n v="102"/>
    <s v="_x0000_US"/>
  </r>
  <r>
    <x v="1"/>
    <n v="13.6896"/>
    <n v="-89.2"/>
    <n v="21700"/>
    <n v="0"/>
    <n v="0"/>
    <n v="102"/>
    <s v="_x0000_US"/>
  </r>
  <r>
    <x v="1"/>
    <n v="13.6896"/>
    <n v="-89.1999"/>
    <n v="21700"/>
    <n v="0"/>
    <n v="0"/>
    <n v="102"/>
    <s v="_x0000_US"/>
  </r>
  <r>
    <x v="1"/>
    <n v="13.6891"/>
    <n v="-89.199200000000005"/>
    <n v="21700"/>
    <n v="0"/>
    <n v="0"/>
    <n v="102"/>
    <s v="_x0000_US"/>
  </r>
  <r>
    <x v="1"/>
    <n v="13.6891"/>
    <n v="-89.199299999999994"/>
    <n v="21700"/>
    <n v="0"/>
    <n v="0"/>
    <n v="102"/>
    <s v="_x0000_US"/>
  </r>
  <r>
    <x v="1"/>
    <n v="13.689500000000001"/>
    <n v="-89.198599999999999"/>
    <n v="21700"/>
    <n v="0"/>
    <n v="0"/>
    <n v="102"/>
    <s v="_x0000_US"/>
  </r>
  <r>
    <x v="1"/>
    <n v="13.689500000000001"/>
    <n v="-89.198599999999999"/>
    <n v="21700"/>
    <n v="0"/>
    <n v="0"/>
    <n v="102"/>
    <s v="_x0000_US"/>
  </r>
  <r>
    <x v="1"/>
    <n v="13.69"/>
    <n v="-89.198700000000002"/>
    <n v="21700"/>
    <n v="0"/>
    <n v="0"/>
    <n v="102"/>
    <s v="_x0000_US"/>
  </r>
  <r>
    <x v="1"/>
    <n v="13.6905"/>
    <n v="-89.199399999999997"/>
    <n v="21700"/>
    <n v="0"/>
    <n v="0"/>
    <n v="102"/>
    <s v="_x0000_US"/>
  </r>
  <r>
    <x v="1"/>
    <n v="13.6905"/>
    <n v="-89.199299999999994"/>
    <n v="21700"/>
    <n v="0"/>
    <n v="0"/>
    <n v="102"/>
    <s v="_x0000_US"/>
  </r>
  <r>
    <x v="1"/>
    <n v="13.6907"/>
    <n v="-89.199299999999994"/>
    <n v="21700"/>
    <n v="0"/>
    <n v="0"/>
    <n v="102"/>
    <s v="_x0000_US"/>
  </r>
  <r>
    <x v="1"/>
    <n v="13.6907"/>
    <n v="-89.199100000000001"/>
    <n v="21700"/>
    <n v="0"/>
    <n v="0"/>
    <n v="102"/>
    <s v="_x0000_US"/>
  </r>
  <r>
    <x v="1"/>
    <n v="13.6906"/>
    <n v="-89.199100000000001"/>
    <n v="21700"/>
    <n v="0"/>
    <n v="0"/>
    <n v="102"/>
    <s v="_x0000_US"/>
  </r>
  <r>
    <x v="1"/>
    <n v="13.6905"/>
    <n v="-89.198999999999998"/>
    <n v="21700"/>
    <n v="0"/>
    <n v="0"/>
    <n v="102"/>
    <s v="_x0000_US"/>
  </r>
  <r>
    <x v="1"/>
    <n v="13.6906"/>
    <n v="-89.198800000000006"/>
    <n v="21700"/>
    <n v="0"/>
    <n v="0"/>
    <n v="102"/>
    <s v="_x0000_US"/>
  </r>
  <r>
    <x v="1"/>
    <n v="13.6907"/>
    <n v="-89.198800000000006"/>
    <n v="21700"/>
    <n v="0"/>
    <n v="0"/>
    <n v="102"/>
    <s v="_x0000_US"/>
  </r>
  <r>
    <x v="1"/>
    <n v="13.6897"/>
    <n v="-89.199399999999997"/>
    <n v="21700"/>
    <n v="0"/>
    <n v="0"/>
    <n v="102"/>
    <s v="_x0000_US"/>
  </r>
  <r>
    <x v="1"/>
    <n v="13.686400000000001"/>
    <n v="-89.200400000000002"/>
    <n v="13700"/>
    <n v="0"/>
    <n v="0"/>
    <n v="102"/>
    <s v="_x0000_US"/>
  </r>
  <r>
    <x v="1"/>
    <n v="13.686400000000001"/>
    <n v="-89.200400000000002"/>
    <n v="13700"/>
    <n v="0"/>
    <n v="0"/>
    <n v="102"/>
    <s v="_x0000_US"/>
  </r>
  <r>
    <x v="1"/>
    <n v="13.686400000000001"/>
    <n v="-89.200400000000002"/>
    <n v="13700"/>
    <n v="0"/>
    <n v="0"/>
    <n v="102"/>
    <s v="_x0000_US"/>
  </r>
  <r>
    <x v="1"/>
    <n v="13.686400000000001"/>
    <n v="-89.200299999999999"/>
    <n v="13700"/>
    <n v="0"/>
    <n v="0"/>
    <n v="102"/>
    <s v="_x0000_US"/>
  </r>
  <r>
    <x v="1"/>
    <n v="13.686400000000001"/>
    <n v="-89.200299999999999"/>
    <n v="13700"/>
    <n v="0"/>
    <n v="0"/>
    <n v="102"/>
    <s v="_x0000_US"/>
  </r>
  <r>
    <x v="1"/>
    <n v="13.686400000000001"/>
    <n v="-89.200299999999999"/>
    <n v="13700"/>
    <n v="0"/>
    <n v="0"/>
    <n v="102"/>
    <s v="_x0000_US"/>
  </r>
  <r>
    <x v="1"/>
    <n v="13.686500000000001"/>
    <n v="-89.200199999999995"/>
    <n v="13700"/>
    <n v="0"/>
    <n v="0"/>
    <n v="102"/>
    <s v="_x0000_US"/>
  </r>
  <r>
    <x v="1"/>
    <n v="13.686500000000001"/>
    <n v="-89.200199999999995"/>
    <n v="13700"/>
    <n v="0"/>
    <n v="0"/>
    <n v="102"/>
    <s v="_x0000_US"/>
  </r>
  <r>
    <x v="1"/>
    <n v="13.686199999999999"/>
    <n v="-89.200199999999995"/>
    <n v="13700"/>
    <n v="0"/>
    <n v="0"/>
    <n v="102"/>
    <s v="_x0000_US"/>
  </r>
  <r>
    <x v="1"/>
    <n v="13.686199999999999"/>
    <n v="-89.200199999999995"/>
    <n v="13700"/>
    <n v="0"/>
    <n v="0"/>
    <n v="102"/>
    <s v="_x0000_US"/>
  </r>
  <r>
    <x v="1"/>
    <n v="13.686199999999999"/>
    <n v="-89.200199999999995"/>
    <n v="13700"/>
    <n v="0"/>
    <n v="0"/>
    <n v="102"/>
    <s v="_x0000_US"/>
  </r>
  <r>
    <x v="1"/>
    <n v="13.686199999999999"/>
    <n v="-89.200199999999995"/>
    <n v="13700"/>
    <n v="0"/>
    <n v="0"/>
    <n v="102"/>
    <s v="_x0000_US"/>
  </r>
  <r>
    <x v="1"/>
    <n v="13.686199999999999"/>
    <n v="-89.200199999999995"/>
    <n v="13700"/>
    <n v="0"/>
    <n v="0"/>
    <n v="102"/>
    <s v="_x0000_US"/>
  </r>
  <r>
    <x v="1"/>
    <n v="13.686199999999999"/>
    <n v="-89.200199999999995"/>
    <n v="13700"/>
    <n v="0"/>
    <n v="0"/>
    <n v="102"/>
    <s v="_x0000_US"/>
  </r>
  <r>
    <x v="1"/>
    <n v="13.686199999999999"/>
    <n v="-89.200100000000006"/>
    <n v="13700"/>
    <n v="0"/>
    <n v="0"/>
    <n v="102"/>
    <s v="_x0000_US"/>
  </r>
  <r>
    <x v="1"/>
    <n v="13.686199999999999"/>
    <n v="-89.200100000000006"/>
    <n v="13700"/>
    <n v="0"/>
    <n v="0"/>
    <n v="102"/>
    <s v="_x0000_US"/>
  </r>
  <r>
    <x v="1"/>
    <n v="13.686199999999999"/>
    <n v="-89.200100000000006"/>
    <n v="13700"/>
    <n v="0"/>
    <n v="0"/>
    <n v="102"/>
    <s v="_x0000_US"/>
  </r>
  <r>
    <x v="1"/>
    <n v="13.686"/>
    <n v="-89.200100000000006"/>
    <n v="13700"/>
    <n v="0"/>
    <n v="0"/>
    <n v="102"/>
    <s v="_x0000_US"/>
  </r>
  <r>
    <x v="1"/>
    <n v="13.686"/>
    <n v="-89.200100000000006"/>
    <n v="13700"/>
    <n v="0"/>
    <n v="0"/>
    <n v="102"/>
    <s v="_x0000_US"/>
  </r>
  <r>
    <x v="1"/>
    <n v="13.686"/>
    <n v="-89.200100000000006"/>
    <n v="13700"/>
    <n v="0"/>
    <n v="0"/>
    <n v="102"/>
    <s v="_x0000_US"/>
  </r>
  <r>
    <x v="1"/>
    <n v="13.6861"/>
    <n v="-89.1999"/>
    <n v="13700"/>
    <n v="0"/>
    <n v="0"/>
    <n v="102"/>
    <s v="_x0000_US"/>
  </r>
  <r>
    <x v="1"/>
    <n v="13.6861"/>
    <n v="-89.1999"/>
    <n v="13700"/>
    <n v="0"/>
    <n v="0"/>
    <n v="102"/>
    <s v="_x0000_US"/>
  </r>
  <r>
    <x v="1"/>
    <n v="13.6861"/>
    <n v="-89.1999"/>
    <n v="13700"/>
    <n v="0"/>
    <n v="0"/>
    <n v="102"/>
    <s v="_x0000_US"/>
  </r>
  <r>
    <x v="1"/>
    <n v="13.686"/>
    <n v="-89.1999"/>
    <n v="13700"/>
    <n v="0"/>
    <n v="0"/>
    <n v="102"/>
    <s v="_x0000_US"/>
  </r>
  <r>
    <x v="1"/>
    <n v="13.686"/>
    <n v="-89.1999"/>
    <n v="13700"/>
    <n v="0"/>
    <n v="0"/>
    <n v="102"/>
    <s v="_x0000_US"/>
  </r>
  <r>
    <x v="1"/>
    <n v="13.686"/>
    <n v="-89.1999"/>
    <n v="13700"/>
    <n v="0"/>
    <n v="0"/>
    <n v="102"/>
    <s v="_x0000_US"/>
  </r>
  <r>
    <x v="1"/>
    <n v="13.686"/>
    <n v="-89.2"/>
    <n v="13700"/>
    <n v="0"/>
    <n v="0"/>
    <n v="102"/>
    <s v="_x0000_US"/>
  </r>
  <r>
    <x v="1"/>
    <n v="13.686"/>
    <n v="-89.2"/>
    <n v="13700"/>
    <n v="0"/>
    <n v="0"/>
    <n v="102"/>
    <s v="_x0000_US"/>
  </r>
  <r>
    <x v="1"/>
    <n v="13.686299999999999"/>
    <n v="-89.200100000000006"/>
    <n v="13700"/>
    <n v="0"/>
    <n v="0"/>
    <n v="102"/>
    <s v="_x0000_US"/>
  </r>
  <r>
    <x v="1"/>
    <n v="13.686299999999999"/>
    <n v="-89.200100000000006"/>
    <n v="13700"/>
    <n v="0"/>
    <n v="0"/>
    <n v="102"/>
    <s v="_x0000_US"/>
  </r>
  <r>
    <x v="1"/>
    <n v="13.686299999999999"/>
    <n v="-89.200100000000006"/>
    <n v="13700"/>
    <n v="0"/>
    <n v="0"/>
    <n v="102"/>
    <s v="_x0000_US"/>
  </r>
  <r>
    <x v="1"/>
    <n v="13.686299999999999"/>
    <n v="-89.200400000000002"/>
    <n v="13700"/>
    <n v="0"/>
    <n v="0"/>
    <n v="102"/>
    <s v="_x0000_US"/>
  </r>
  <r>
    <x v="1"/>
    <n v="13.686299999999999"/>
    <n v="-89.200400000000002"/>
    <n v="13700"/>
    <n v="0"/>
    <n v="0"/>
    <n v="102"/>
    <s v="_x0000_US"/>
  </r>
  <r>
    <x v="1"/>
    <n v="13.686299999999999"/>
    <n v="-89.200400000000002"/>
    <n v="13700"/>
    <n v="0"/>
    <n v="0"/>
    <n v="102"/>
    <s v="_x0000_US"/>
  </r>
  <r>
    <x v="1"/>
    <n v="13.686199999999999"/>
    <n v="-89.200500000000005"/>
    <n v="13700"/>
    <n v="0"/>
    <n v="0"/>
    <n v="102"/>
    <s v="_x0000_US"/>
  </r>
  <r>
    <x v="1"/>
    <n v="13.686199999999999"/>
    <n v="-89.200500000000005"/>
    <n v="13700"/>
    <n v="0"/>
    <n v="0"/>
    <n v="102"/>
    <s v="_x0000_US"/>
  </r>
  <r>
    <x v="1"/>
    <n v="13.686199999999999"/>
    <n v="-89.200500000000005"/>
    <n v="13700"/>
    <n v="0"/>
    <n v="0"/>
    <n v="102"/>
    <s v="_x0000_US"/>
  </r>
  <r>
    <x v="1"/>
    <n v="13.686199999999999"/>
    <n v="-89.200599999999994"/>
    <n v="13700"/>
    <n v="0"/>
    <n v="0"/>
    <n v="102"/>
    <s v="_x0000_US"/>
  </r>
  <r>
    <x v="1"/>
    <n v="13.686199999999999"/>
    <n v="-89.200599999999994"/>
    <n v="13700"/>
    <n v="0"/>
    <n v="0"/>
    <n v="102"/>
    <s v="_x0000_US"/>
  </r>
  <r>
    <x v="1"/>
    <n v="13.686199999999999"/>
    <n v="-89.200599999999994"/>
    <n v="13700"/>
    <n v="0"/>
    <n v="0"/>
    <n v="102"/>
    <s v="_x0000_US"/>
  </r>
  <r>
    <x v="1"/>
    <n v="13.686"/>
    <n v="-89.200599999999994"/>
    <n v="13700"/>
    <n v="0"/>
    <n v="0"/>
    <n v="102"/>
    <s v="_x0000_US"/>
  </r>
  <r>
    <x v="1"/>
    <n v="13.686"/>
    <n v="-89.200599999999994"/>
    <n v="13700"/>
    <n v="0"/>
    <n v="0"/>
    <n v="102"/>
    <s v="_x0000_US"/>
  </r>
  <r>
    <x v="1"/>
    <n v="13.686199999999999"/>
    <n v="-89.200699999999998"/>
    <n v="13700"/>
    <n v="0"/>
    <n v="0"/>
    <n v="102"/>
    <s v="_x0000_US"/>
  </r>
  <r>
    <x v="1"/>
    <n v="13.686199999999999"/>
    <n v="-89.200699999999998"/>
    <n v="13700"/>
    <n v="0"/>
    <n v="0"/>
    <n v="102"/>
    <s v="_x0000_US"/>
  </r>
  <r>
    <x v="1"/>
    <n v="13.686199999999999"/>
    <n v="-89.200699999999998"/>
    <n v="13700"/>
    <n v="0"/>
    <n v="0"/>
    <n v="102"/>
    <s v="_x0000_US"/>
  </r>
  <r>
    <x v="1"/>
    <n v="13.686199999999999"/>
    <n v="-89.200699999999998"/>
    <n v="13700"/>
    <n v="0"/>
    <n v="0"/>
    <n v="102"/>
    <s v="_x0000_US"/>
  </r>
  <r>
    <x v="1"/>
    <n v="13.686199999999999"/>
    <n v="-89.200599999999994"/>
    <n v="13700"/>
    <n v="0"/>
    <n v="0"/>
    <n v="102"/>
    <s v="_x0000_US"/>
  </r>
  <r>
    <x v="1"/>
    <n v="13.686199999999999"/>
    <n v="-89.200599999999994"/>
    <n v="13700"/>
    <n v="0"/>
    <n v="0"/>
    <n v="102"/>
    <s v="_x0000_US"/>
  </r>
  <r>
    <x v="1"/>
    <n v="13.686199999999999"/>
    <n v="-89.200599999999994"/>
    <n v="13700"/>
    <n v="0"/>
    <n v="0"/>
    <n v="102"/>
    <s v="_x0000_US"/>
  </r>
  <r>
    <x v="1"/>
    <n v="13.686199999999999"/>
    <n v="-89.200599999999994"/>
    <n v="13700"/>
    <n v="0"/>
    <n v="0"/>
    <n v="102"/>
    <s v="_x0000_US"/>
  </r>
  <r>
    <x v="1"/>
    <n v="13.686199999999999"/>
    <n v="-89.200800000000001"/>
    <n v="13700"/>
    <n v="0"/>
    <n v="0"/>
    <n v="102"/>
    <s v="_x0000_US"/>
  </r>
  <r>
    <x v="1"/>
    <n v="13.686199999999999"/>
    <n v="-89.200800000000001"/>
    <n v="13700"/>
    <n v="0"/>
    <n v="0"/>
    <n v="102"/>
    <s v="_x0000_US"/>
  </r>
  <r>
    <x v="1"/>
    <n v="13.686199999999999"/>
    <n v="-89.200800000000001"/>
    <n v="13700"/>
    <n v="0"/>
    <n v="0"/>
    <n v="102"/>
    <s v="_x0000_US"/>
  </r>
  <r>
    <x v="1"/>
    <n v="13.686500000000001"/>
    <n v="-89.200199999999995"/>
    <n v="13700"/>
    <n v="0"/>
    <n v="0"/>
    <n v="102"/>
    <s v="_x0000_US"/>
  </r>
  <r>
    <x v="1"/>
    <n v="13.686500000000001"/>
    <n v="-89.200199999999995"/>
    <n v="13700"/>
    <n v="0"/>
    <n v="0"/>
    <n v="102"/>
    <s v="_x0000_US"/>
  </r>
  <r>
    <x v="1"/>
    <n v="13.686500000000001"/>
    <n v="-89.200100000000006"/>
    <n v="13700"/>
    <n v="0"/>
    <n v="0"/>
    <n v="102"/>
    <s v="_x0000_US"/>
  </r>
  <r>
    <x v="1"/>
    <n v="13.686500000000001"/>
    <n v="-89.2"/>
    <n v="13700"/>
    <n v="0"/>
    <n v="0"/>
    <n v="102"/>
    <s v="_x0000_US"/>
  </r>
  <r>
    <x v="1"/>
    <n v="13.6866"/>
    <n v="-89.1999"/>
    <n v="13700"/>
    <n v="0"/>
    <n v="0"/>
    <n v="102"/>
    <s v="_x0000_US"/>
  </r>
  <r>
    <x v="1"/>
    <n v="13.6866"/>
    <n v="-89.199799999999996"/>
    <n v="13700"/>
    <n v="0"/>
    <n v="0"/>
    <n v="102"/>
    <s v="_x0000_US"/>
  </r>
  <r>
    <x v="1"/>
    <n v="13.6867"/>
    <n v="-89.2"/>
    <n v="13700"/>
    <n v="0"/>
    <n v="0"/>
    <n v="102"/>
    <s v="_x0000_US"/>
  </r>
  <r>
    <x v="1"/>
    <n v="13.6867"/>
    <n v="-89.2"/>
    <n v="13700"/>
    <n v="0"/>
    <n v="0"/>
    <n v="102"/>
    <s v="_x0000_US"/>
  </r>
  <r>
    <x v="1"/>
    <n v="13.6867"/>
    <n v="-89.2"/>
    <n v="13700"/>
    <n v="0"/>
    <n v="0"/>
    <n v="102"/>
    <s v="_x0000_US"/>
  </r>
  <r>
    <x v="1"/>
    <n v="13.6867"/>
    <n v="-89.1999"/>
    <n v="13700"/>
    <n v="0"/>
    <n v="0"/>
    <n v="102"/>
    <s v="_x0000_US"/>
  </r>
  <r>
    <x v="1"/>
    <n v="13.6868"/>
    <n v="-89.199799999999996"/>
    <n v="13700"/>
    <n v="0"/>
    <n v="0"/>
    <n v="102"/>
    <s v="_x0000_US"/>
  </r>
  <r>
    <x v="1"/>
    <n v="13.6867"/>
    <n v="-89.1995"/>
    <n v="13700"/>
    <n v="0"/>
    <n v="0"/>
    <n v="102"/>
    <s v="_x0000_US"/>
  </r>
  <r>
    <x v="1"/>
    <n v="13.6867"/>
    <n v="-89.1995"/>
    <n v="13700"/>
    <n v="0"/>
    <n v="0"/>
    <n v="102"/>
    <s v="_x0000_US"/>
  </r>
  <r>
    <x v="1"/>
    <n v="13.6867"/>
    <n v="-89.1995"/>
    <n v="13700"/>
    <n v="0"/>
    <n v="0"/>
    <n v="102"/>
    <s v="_x0000_US"/>
  </r>
  <r>
    <x v="1"/>
    <n v="13.6868"/>
    <n v="-89.199399999999997"/>
    <n v="13700"/>
    <n v="0"/>
    <n v="0"/>
    <n v="102"/>
    <s v="_x0000_US"/>
  </r>
  <r>
    <x v="1"/>
    <n v="13.6868"/>
    <n v="-89.199399999999997"/>
    <n v="13700"/>
    <n v="0"/>
    <n v="0"/>
    <n v="102"/>
    <s v="_x0000_US"/>
  </r>
  <r>
    <x v="1"/>
    <n v="13.6868"/>
    <n v="-89.199299999999994"/>
    <n v="13700"/>
    <n v="0"/>
    <n v="0"/>
    <n v="102"/>
    <s v="_x0000_US"/>
  </r>
  <r>
    <x v="1"/>
    <n v="13.6868"/>
    <n v="-89.199299999999994"/>
    <n v="13700"/>
    <n v="0"/>
    <n v="0"/>
    <n v="102"/>
    <s v="_x0000_US"/>
  </r>
  <r>
    <x v="1"/>
    <n v="13.686500000000001"/>
    <n v="-89.199399999999997"/>
    <n v="13700"/>
    <n v="0"/>
    <n v="0"/>
    <n v="102"/>
    <s v="_x0000_US"/>
  </r>
  <r>
    <x v="1"/>
    <n v="13.686500000000001"/>
    <n v="-89.199399999999997"/>
    <n v="13700"/>
    <n v="0"/>
    <n v="0"/>
    <n v="102"/>
    <s v="_x0000_US"/>
  </r>
  <r>
    <x v="1"/>
    <n v="13.6866"/>
    <n v="-89.199299999999994"/>
    <n v="13700"/>
    <n v="0"/>
    <n v="0"/>
    <n v="102"/>
    <s v="_x0000_US"/>
  </r>
  <r>
    <x v="1"/>
    <n v="13.6866"/>
    <n v="-89.199200000000005"/>
    <n v="13700"/>
    <n v="0"/>
    <n v="0"/>
    <n v="102"/>
    <s v="_x0000_US"/>
  </r>
  <r>
    <x v="1"/>
    <n v="13.6866"/>
    <n v="-89.199200000000005"/>
    <n v="13700"/>
    <n v="0"/>
    <n v="0"/>
    <n v="102"/>
    <s v="_x0000_US"/>
  </r>
  <r>
    <x v="1"/>
    <n v="13.6866"/>
    <n v="-89.199200000000005"/>
    <n v="13700"/>
    <n v="0"/>
    <n v="0"/>
    <n v="102"/>
    <s v="_x0000_US"/>
  </r>
  <r>
    <x v="1"/>
    <n v="13.686500000000001"/>
    <n v="-89.198800000000006"/>
    <n v="13700"/>
    <n v="0"/>
    <n v="0"/>
    <n v="102"/>
    <s v="_x0000_US"/>
  </r>
  <r>
    <x v="1"/>
    <n v="13.686500000000001"/>
    <n v="-89.198800000000006"/>
    <n v="13700"/>
    <n v="0"/>
    <n v="0"/>
    <n v="102"/>
    <s v="_x0000_US"/>
  </r>
  <r>
    <x v="1"/>
    <n v="13.686999999999999"/>
    <n v="-89.1995"/>
    <n v="13700"/>
    <n v="0"/>
    <n v="0"/>
    <n v="102"/>
    <s v="_x0000_US"/>
  </r>
  <r>
    <x v="1"/>
    <n v="13.687099999999999"/>
    <n v="-89.199299999999994"/>
    <n v="13700"/>
    <n v="0"/>
    <n v="0"/>
    <n v="102"/>
    <s v="_x0000_US"/>
  </r>
  <r>
    <x v="1"/>
    <n v="13.6866"/>
    <n v="-89.198599999999999"/>
    <n v="13700"/>
    <n v="0"/>
    <n v="0"/>
    <n v="102"/>
    <s v="_x0000_US"/>
  </r>
  <r>
    <x v="1"/>
    <n v="13.6867"/>
    <n v="-89.198499999999996"/>
    <n v="13700"/>
    <n v="0"/>
    <n v="0"/>
    <n v="102"/>
    <s v="_x0000_US"/>
  </r>
  <r>
    <x v="1"/>
    <n v="13.686999999999999"/>
    <n v="-89.198800000000006"/>
    <n v="13700"/>
    <n v="0"/>
    <n v="0"/>
    <n v="102"/>
    <s v="_x0000_US"/>
  </r>
  <r>
    <x v="1"/>
    <n v="13.6869"/>
    <n v="-89.199200000000005"/>
    <n v="13700"/>
    <n v="0"/>
    <n v="0"/>
    <n v="102"/>
    <s v="_x0000_US"/>
  </r>
  <r>
    <x v="1"/>
    <n v="13.6869"/>
    <n v="-89.199200000000005"/>
    <n v="13700"/>
    <n v="0"/>
    <n v="0"/>
    <n v="102"/>
    <s v="_x0000_US"/>
  </r>
  <r>
    <x v="1"/>
    <n v="13.6869"/>
    <n v="-89.199200000000005"/>
    <n v="13700"/>
    <n v="0"/>
    <n v="0"/>
    <n v="102"/>
    <s v="_x0000_US"/>
  </r>
  <r>
    <x v="1"/>
    <n v="13.686400000000001"/>
    <n v="-89.199100000000001"/>
    <n v="13700"/>
    <n v="0"/>
    <n v="0"/>
    <n v="102"/>
    <s v="_x0000_US"/>
  </r>
  <r>
    <x v="1"/>
    <n v="13.686400000000001"/>
    <n v="-89.199100000000001"/>
    <n v="13700"/>
    <n v="0"/>
    <n v="0"/>
    <n v="102"/>
    <s v="_x0000_US"/>
  </r>
  <r>
    <x v="1"/>
    <n v="13.686400000000001"/>
    <n v="-89.199100000000001"/>
    <n v="13700"/>
    <n v="0"/>
    <n v="0"/>
    <n v="102"/>
    <s v="_x0000_US"/>
  </r>
  <r>
    <x v="1"/>
    <n v="13.686299999999999"/>
    <n v="-89.199100000000001"/>
    <n v="13700"/>
    <n v="0"/>
    <n v="0"/>
    <n v="102"/>
    <s v="_x0000_US"/>
  </r>
  <r>
    <x v="1"/>
    <n v="13.686299999999999"/>
    <n v="-89.199100000000001"/>
    <n v="13700"/>
    <n v="0"/>
    <n v="0"/>
    <n v="102"/>
    <s v="_x0000_US"/>
  </r>
  <r>
    <x v="1"/>
    <n v="13.686299999999999"/>
    <n v="-89.199100000000001"/>
    <n v="13700"/>
    <n v="0"/>
    <n v="0"/>
    <n v="102"/>
    <s v="_x0000_US"/>
  </r>
  <r>
    <x v="1"/>
    <n v="13.687799999999999"/>
    <n v="-89.198400000000007"/>
    <n v="8550"/>
    <n v="0"/>
    <n v="0"/>
    <n v="102"/>
    <s v="_x0000_US"/>
  </r>
  <r>
    <x v="1"/>
    <n v="13.687799999999999"/>
    <n v="-89.198400000000007"/>
    <n v="8550"/>
    <n v="0"/>
    <n v="0"/>
    <n v="102"/>
    <s v="_x0000_US"/>
  </r>
  <r>
    <x v="1"/>
    <n v="13.687799999999999"/>
    <n v="-89.198300000000003"/>
    <n v="8550"/>
    <n v="0"/>
    <n v="0"/>
    <n v="102"/>
    <s v="_x0000_US"/>
  </r>
  <r>
    <x v="1"/>
    <n v="13.696400000000001"/>
    <n v="-89.171499999999995"/>
    <n v="9850"/>
    <n v="0"/>
    <n v="0"/>
    <n v="102"/>
    <s v="_x0000_US"/>
  </r>
  <r>
    <x v="1"/>
    <n v="13.6965"/>
    <n v="-89.171300000000002"/>
    <n v="9850"/>
    <n v="0"/>
    <n v="0"/>
    <n v="102"/>
    <s v="_x0000_US"/>
  </r>
  <r>
    <x v="1"/>
    <n v="13.6965"/>
    <n v="-89.171300000000002"/>
    <n v="9850"/>
    <n v="0"/>
    <n v="0"/>
    <n v="102"/>
    <s v="_x0000_US"/>
  </r>
  <r>
    <x v="1"/>
    <n v="13.6966"/>
    <n v="-89.171300000000002"/>
    <n v="9850"/>
    <n v="0"/>
    <n v="0"/>
    <n v="102"/>
    <s v="_x0000_US"/>
  </r>
  <r>
    <x v="1"/>
    <n v="13.6966"/>
    <n v="-89.171300000000002"/>
    <n v="9850"/>
    <n v="0"/>
    <n v="0"/>
    <n v="102"/>
    <s v="_x0000_US"/>
  </r>
  <r>
    <x v="1"/>
    <n v="13.696899999999999"/>
    <n v="-89.171199999999999"/>
    <n v="9850"/>
    <n v="0"/>
    <n v="0"/>
    <n v="102"/>
    <s v="_x0000_US"/>
  </r>
  <r>
    <x v="1"/>
    <n v="13.696899999999999"/>
    <n v="-89.171199999999999"/>
    <n v="9850"/>
    <n v="0"/>
    <n v="0"/>
    <n v="102"/>
    <s v="_x0000_US"/>
  </r>
  <r>
    <x v="1"/>
    <n v="13.6968"/>
    <n v="-89.171199999999999"/>
    <n v="9850"/>
    <n v="0"/>
    <n v="0"/>
    <n v="102"/>
    <s v="_x0000_US"/>
  </r>
  <r>
    <x v="1"/>
    <n v="13.6967"/>
    <n v="-89.171199999999999"/>
    <n v="9850"/>
    <n v="0"/>
    <n v="0"/>
    <n v="102"/>
    <s v="_x0000_US"/>
  </r>
  <r>
    <x v="1"/>
    <n v="13.6967"/>
    <n v="-89.171199999999999"/>
    <n v="9850"/>
    <n v="0"/>
    <n v="0"/>
    <n v="102"/>
    <s v="_x0000_US"/>
  </r>
  <r>
    <x v="1"/>
    <n v="13.6967"/>
    <n v="-89.171300000000002"/>
    <n v="9850"/>
    <n v="0"/>
    <n v="0"/>
    <n v="102"/>
    <s v="_x0000_US"/>
  </r>
  <r>
    <x v="1"/>
    <n v="13.6966"/>
    <n v="-89.171300000000002"/>
    <n v="9850"/>
    <n v="0"/>
    <n v="0"/>
    <n v="102"/>
    <s v="_x0000_US"/>
  </r>
  <r>
    <x v="1"/>
    <n v="13.6968"/>
    <n v="-89.171099999999996"/>
    <n v="9850"/>
    <n v="0"/>
    <n v="0"/>
    <n v="102"/>
    <s v="_x0000_US"/>
  </r>
  <r>
    <x v="1"/>
    <n v="13.6967"/>
    <n v="-89.171099999999996"/>
    <n v="9850"/>
    <n v="0"/>
    <n v="0"/>
    <n v="102"/>
    <s v="_x0000_US"/>
  </r>
  <r>
    <x v="1"/>
    <n v="13.6968"/>
    <n v="-89.171099999999996"/>
    <n v="9850"/>
    <n v="0"/>
    <n v="0"/>
    <n v="102"/>
    <s v="_x0000_US"/>
  </r>
  <r>
    <x v="1"/>
    <n v="13.696899999999999"/>
    <n v="-89.171000000000006"/>
    <n v="9850"/>
    <n v="0"/>
    <n v="0"/>
    <n v="102"/>
    <s v="_x0000_US"/>
  </r>
  <r>
    <x v="1"/>
    <n v="13.696899999999999"/>
    <n v="-89.171000000000006"/>
    <n v="9850"/>
    <n v="0"/>
    <n v="0"/>
    <n v="102"/>
    <s v="_x0000_US"/>
  </r>
  <r>
    <x v="1"/>
    <n v="13.696999999999999"/>
    <n v="-89.171099999999996"/>
    <n v="9850"/>
    <n v="0"/>
    <n v="0"/>
    <n v="102"/>
    <s v="_x0000_US"/>
  </r>
  <r>
    <x v="1"/>
    <n v="13.696999999999999"/>
    <n v="-89.171199999999999"/>
    <n v="9850"/>
    <n v="0"/>
    <n v="0"/>
    <n v="102"/>
    <s v="_x0000_US"/>
  </r>
  <r>
    <x v="1"/>
    <n v="13.696999999999999"/>
    <n v="-89.171199999999999"/>
    <n v="9850"/>
    <n v="0"/>
    <n v="0"/>
    <n v="102"/>
    <s v="_x0000_US"/>
  </r>
  <r>
    <x v="1"/>
    <n v="13.696899999999999"/>
    <n v="-89.171199999999999"/>
    <n v="9850"/>
    <n v="0"/>
    <n v="0"/>
    <n v="102"/>
    <s v="_x0000_US"/>
  </r>
  <r>
    <x v="1"/>
    <n v="13.696899999999999"/>
    <n v="-89.171099999999996"/>
    <n v="9850"/>
    <n v="0"/>
    <n v="0"/>
    <n v="102"/>
    <s v="_x0000_US"/>
  </r>
  <r>
    <x v="1"/>
    <n v="13.696899999999999"/>
    <n v="-89.171099999999996"/>
    <n v="9850"/>
    <n v="0"/>
    <n v="0"/>
    <n v="102"/>
    <s v="_x0000_US"/>
  </r>
  <r>
    <x v="1"/>
    <n v="13.696899999999999"/>
    <n v="-89.171000000000006"/>
    <n v="9850"/>
    <n v="0"/>
    <n v="0"/>
    <n v="102"/>
    <s v="_x0000_US"/>
  </r>
  <r>
    <x v="1"/>
    <n v="13.6968"/>
    <n v="-89.170299999999997"/>
    <n v="9850"/>
    <n v="0"/>
    <n v="0"/>
    <n v="102"/>
    <s v="_x0000_US"/>
  </r>
  <r>
    <x v="1"/>
    <n v="13.696899999999999"/>
    <n v="-89.170199999999994"/>
    <n v="9850"/>
    <n v="0"/>
    <n v="0"/>
    <n v="102"/>
    <s v="_x0000_US"/>
  </r>
  <r>
    <x v="1"/>
    <n v="13.696899999999999"/>
    <n v="-89.170100000000005"/>
    <n v="9850"/>
    <n v="0"/>
    <n v="0"/>
    <n v="102"/>
    <s v="_x0000_US"/>
  </r>
  <r>
    <x v="1"/>
    <n v="13.696899999999999"/>
    <n v="-89.17"/>
    <n v="9850"/>
    <n v="0"/>
    <n v="0"/>
    <n v="102"/>
    <s v="_x0000_US"/>
  </r>
  <r>
    <x v="1"/>
    <n v="13.696899999999999"/>
    <n v="-89.17"/>
    <n v="9850"/>
    <n v="0"/>
    <n v="0"/>
    <n v="102"/>
    <s v="_x0000_US"/>
  </r>
  <r>
    <x v="1"/>
    <n v="13.696899999999999"/>
    <n v="-89.17"/>
    <n v="9850"/>
    <n v="0"/>
    <n v="0"/>
    <n v="102"/>
    <s v="_x0000_US"/>
  </r>
  <r>
    <x v="1"/>
    <n v="13.696899999999999"/>
    <n v="-89.170199999999994"/>
    <n v="9850"/>
    <n v="0"/>
    <n v="0"/>
    <n v="102"/>
    <s v="_x0000_US"/>
  </r>
  <r>
    <x v="1"/>
    <n v="13.696899999999999"/>
    <n v="-89.170199999999994"/>
    <n v="9850"/>
    <n v="0"/>
    <n v="0"/>
    <n v="102"/>
    <s v="_x0000_US"/>
  </r>
  <r>
    <x v="1"/>
    <n v="13.696899999999999"/>
    <n v="-89.170199999999994"/>
    <n v="9850"/>
    <n v="0"/>
    <n v="0"/>
    <n v="102"/>
    <s v="_x0000_US"/>
  </r>
  <r>
    <x v="1"/>
    <n v="13.6967"/>
    <n v="-89.170100000000005"/>
    <n v="9850"/>
    <n v="0"/>
    <n v="0"/>
    <n v="102"/>
    <s v="_x0000_US"/>
  </r>
  <r>
    <x v="1"/>
    <n v="13.6967"/>
    <n v="-89.170100000000005"/>
    <n v="9850"/>
    <n v="0"/>
    <n v="0"/>
    <n v="102"/>
    <s v="_x0000_US"/>
  </r>
  <r>
    <x v="1"/>
    <n v="13.6967"/>
    <n v="-89.17"/>
    <n v="9850"/>
    <n v="0"/>
    <n v="0"/>
    <n v="102"/>
    <s v="_x0000_US"/>
  </r>
  <r>
    <x v="1"/>
    <n v="13.6967"/>
    <n v="-89.17"/>
    <n v="9850"/>
    <n v="0"/>
    <n v="0"/>
    <n v="102"/>
    <s v="_x0000_US"/>
  </r>
  <r>
    <x v="1"/>
    <n v="13.6968"/>
    <n v="-89.17"/>
    <n v="9850"/>
    <n v="0"/>
    <n v="0"/>
    <n v="102"/>
    <s v="_x0000_US"/>
  </r>
  <r>
    <x v="1"/>
    <n v="13.6968"/>
    <n v="-89.17"/>
    <n v="9850"/>
    <n v="0"/>
    <n v="0"/>
    <n v="102"/>
    <s v="_x0000_US"/>
  </r>
  <r>
    <x v="1"/>
    <n v="13.6968"/>
    <n v="-89.169899999999998"/>
    <n v="9850"/>
    <n v="0"/>
    <n v="0"/>
    <n v="102"/>
    <s v="_x0000_US"/>
  </r>
  <r>
    <x v="1"/>
    <n v="13.6968"/>
    <n v="-89.169899999999998"/>
    <n v="9850"/>
    <n v="0"/>
    <n v="0"/>
    <n v="102"/>
    <s v="_x0000_US"/>
  </r>
  <r>
    <x v="1"/>
    <n v="13.6967"/>
    <n v="-89.170199999999994"/>
    <n v="9850"/>
    <n v="0"/>
    <n v="0"/>
    <n v="102"/>
    <s v="_x0000_US"/>
  </r>
  <r>
    <x v="1"/>
    <n v="13.6968"/>
    <n v="-89.169600000000003"/>
    <n v="9850"/>
    <n v="0"/>
    <n v="0"/>
    <n v="102"/>
    <s v="_x0000_US"/>
  </r>
  <r>
    <x v="1"/>
    <n v="13.6968"/>
    <n v="-89.169600000000003"/>
    <n v="9850"/>
    <n v="0"/>
    <n v="0"/>
    <n v="102"/>
    <s v="_x0000_US"/>
  </r>
  <r>
    <x v="1"/>
    <n v="13.6968"/>
    <n v="-89.169499999999999"/>
    <n v="9850"/>
    <n v="0"/>
    <n v="0"/>
    <n v="102"/>
    <s v="_x0000_US"/>
  </r>
  <r>
    <x v="1"/>
    <n v="13.696899999999999"/>
    <n v="-89.169700000000006"/>
    <n v="9850"/>
    <n v="0"/>
    <n v="0"/>
    <n v="102"/>
    <s v="_x0000_US"/>
  </r>
  <r>
    <x v="1"/>
    <n v="13.697100000000001"/>
    <n v="-89.169600000000003"/>
    <n v="9850"/>
    <n v="0"/>
    <n v="0"/>
    <n v="102"/>
    <s v="_x0000_US"/>
  </r>
  <r>
    <x v="1"/>
    <n v="13.697100000000001"/>
    <n v="-89.169600000000003"/>
    <n v="9850"/>
    <n v="0"/>
    <n v="0"/>
    <n v="102"/>
    <s v="_x0000_US"/>
  </r>
  <r>
    <x v="1"/>
    <n v="13.697100000000001"/>
    <n v="-89.169700000000006"/>
    <n v="9850"/>
    <n v="0"/>
    <n v="0"/>
    <n v="102"/>
    <s v="_x0000_US"/>
  </r>
  <r>
    <x v="1"/>
    <n v="13.697100000000001"/>
    <n v="-89.169700000000006"/>
    <n v="9850"/>
    <n v="0"/>
    <n v="0"/>
    <n v="102"/>
    <s v="_x0000_US"/>
  </r>
  <r>
    <x v="1"/>
    <n v="13.697100000000001"/>
    <n v="-89.169499999999999"/>
    <n v="9850"/>
    <n v="0"/>
    <n v="0"/>
    <n v="102"/>
    <s v="_x0000_US"/>
  </r>
  <r>
    <x v="1"/>
    <n v="13.697100000000001"/>
    <n v="-89.169499999999999"/>
    <n v="9850"/>
    <n v="0"/>
    <n v="0"/>
    <n v="102"/>
    <s v="_x0000_US"/>
  </r>
  <r>
    <x v="1"/>
    <n v="13.697100000000001"/>
    <n v="-89.169399999999996"/>
    <n v="9850"/>
    <n v="0"/>
    <n v="0"/>
    <n v="102"/>
    <s v="_x0000_US"/>
  </r>
  <r>
    <x v="1"/>
    <n v="13.697100000000001"/>
    <n v="-89.169399999999996"/>
    <n v="9850"/>
    <n v="0"/>
    <n v="0"/>
    <n v="102"/>
    <s v="_x0000_US"/>
  </r>
  <r>
    <x v="1"/>
    <n v="13.697100000000001"/>
    <n v="-89.169399999999996"/>
    <n v="9850"/>
    <n v="0"/>
    <n v="0"/>
    <n v="102"/>
    <s v="_x0000_US"/>
  </r>
  <r>
    <x v="1"/>
    <n v="13.697100000000001"/>
    <n v="-89.169399999999996"/>
    <n v="9850"/>
    <n v="0"/>
    <n v="0"/>
    <n v="102"/>
    <s v="_x0000_US"/>
  </r>
  <r>
    <x v="1"/>
    <n v="13.696999999999999"/>
    <n v="-89.169799999999995"/>
    <n v="9850"/>
    <n v="0"/>
    <n v="0"/>
    <n v="102"/>
    <s v="_x0000_US"/>
  </r>
  <r>
    <x v="1"/>
    <n v="13.696999999999999"/>
    <n v="-89.169899999999998"/>
    <n v="9850"/>
    <n v="0"/>
    <n v="0"/>
    <n v="102"/>
    <s v="_x0000_US"/>
  </r>
  <r>
    <x v="1"/>
    <n v="13.696999999999999"/>
    <n v="-89.169899999999998"/>
    <n v="9850"/>
    <n v="0"/>
    <n v="0"/>
    <n v="102"/>
    <s v="_x0000_US"/>
  </r>
  <r>
    <x v="1"/>
    <n v="13.696999999999999"/>
    <n v="-89.169899999999998"/>
    <n v="9850"/>
    <n v="0"/>
    <n v="0"/>
    <n v="102"/>
    <s v="_x0000_US"/>
  </r>
  <r>
    <x v="1"/>
    <n v="13.696899999999999"/>
    <n v="-89.169499999999999"/>
    <n v="9850"/>
    <n v="0"/>
    <n v="0"/>
    <n v="102"/>
    <s v="_x0000_US"/>
  </r>
  <r>
    <x v="1"/>
    <n v="13.696899999999999"/>
    <n v="-89.169499999999999"/>
    <n v="9850"/>
    <n v="0"/>
    <n v="0"/>
    <n v="102"/>
    <s v="_x0000_US"/>
  </r>
  <r>
    <x v="1"/>
    <n v="13.696999999999999"/>
    <n v="-89.169499999999999"/>
    <n v="9850"/>
    <n v="0"/>
    <n v="0"/>
    <n v="102"/>
    <s v="_x0000_US"/>
  </r>
  <r>
    <x v="1"/>
    <n v="13.696999999999999"/>
    <n v="-89.169399999999996"/>
    <n v="9850"/>
    <n v="0"/>
    <n v="0"/>
    <n v="102"/>
    <s v="_x0000_US"/>
  </r>
  <r>
    <x v="1"/>
    <n v="13.696999999999999"/>
    <n v="-89.169399999999996"/>
    <n v="9850"/>
    <n v="0"/>
    <n v="0"/>
    <n v="102"/>
    <s v="_x0000_US"/>
  </r>
  <r>
    <x v="1"/>
    <n v="13.696899999999999"/>
    <n v="-89.169600000000003"/>
    <n v="9850"/>
    <n v="0"/>
    <n v="0"/>
    <n v="102"/>
    <s v="_x0000_US"/>
  </r>
  <r>
    <x v="1"/>
    <n v="13.696899999999999"/>
    <n v="-89.169600000000003"/>
    <n v="9850"/>
    <n v="0"/>
    <n v="0"/>
    <n v="102"/>
    <s v="_x0000_US"/>
  </r>
  <r>
    <x v="1"/>
    <n v="13.696899999999999"/>
    <n v="-89.169799999999995"/>
    <n v="9850"/>
    <n v="0"/>
    <n v="0"/>
    <n v="102"/>
    <s v="_x0000_US"/>
  </r>
  <r>
    <x v="1"/>
    <n v="13.696899999999999"/>
    <n v="-89.169799999999995"/>
    <n v="9850"/>
    <n v="0"/>
    <n v="0"/>
    <n v="102"/>
    <s v="_x0000_US"/>
  </r>
  <r>
    <x v="1"/>
    <n v="13.696899999999999"/>
    <n v="-89.169799999999995"/>
    <n v="9850"/>
    <n v="0"/>
    <n v="0"/>
    <n v="102"/>
    <s v="_x0000_US"/>
  </r>
  <r>
    <x v="1"/>
    <n v="13.696899999999999"/>
    <n v="-89.169799999999995"/>
    <n v="9850"/>
    <n v="0"/>
    <n v="0"/>
    <n v="102"/>
    <s v="_x0000_US"/>
  </r>
  <r>
    <x v="1"/>
    <n v="13.6968"/>
    <n v="-89.169899999999998"/>
    <n v="9850"/>
    <n v="0"/>
    <n v="0"/>
    <n v="102"/>
    <s v="_x0000_US"/>
  </r>
  <r>
    <x v="1"/>
    <n v="13.6968"/>
    <n v="-89.169899999999998"/>
    <n v="9850"/>
    <n v="0"/>
    <n v="0"/>
    <n v="102"/>
    <s v="_x0000_US"/>
  </r>
  <r>
    <x v="1"/>
    <n v="13.697100000000001"/>
    <n v="-89.169300000000007"/>
    <n v="9850"/>
    <n v="0"/>
    <n v="0"/>
    <n v="102"/>
    <s v="_x0000_US"/>
  </r>
  <r>
    <x v="1"/>
    <n v="13.697100000000001"/>
    <n v="-89.169300000000007"/>
    <n v="9850"/>
    <n v="0"/>
    <n v="0"/>
    <n v="102"/>
    <s v="_x0000_US"/>
  </r>
  <r>
    <x v="1"/>
    <n v="13.696999999999999"/>
    <n v="-89.169300000000007"/>
    <n v="9850"/>
    <n v="0"/>
    <n v="0"/>
    <n v="102"/>
    <s v="_x0000_US"/>
  </r>
  <r>
    <x v="1"/>
    <n v="13.696999999999999"/>
    <n v="-89.169200000000004"/>
    <n v="9850"/>
    <n v="0"/>
    <n v="0"/>
    <n v="102"/>
    <s v="_x0000_US"/>
  </r>
  <r>
    <x v="1"/>
    <n v="13.696899999999999"/>
    <n v="-89.168899999999994"/>
    <n v="9850"/>
    <n v="0"/>
    <n v="0"/>
    <n v="102"/>
    <s v="_x0000_US"/>
  </r>
  <r>
    <x v="1"/>
    <n v="13.696899999999999"/>
    <n v="-89.168899999999994"/>
    <n v="9850"/>
    <n v="0"/>
    <n v="0"/>
    <n v="102"/>
    <s v="_x0000_US"/>
  </r>
  <r>
    <x v="1"/>
    <n v="13.696899999999999"/>
    <n v="-89.168899999999994"/>
    <n v="9850"/>
    <n v="0"/>
    <n v="0"/>
    <n v="102"/>
    <s v="_x0000_US"/>
  </r>
  <r>
    <x v="1"/>
    <n v="13.6968"/>
    <n v="-89.168800000000005"/>
    <n v="9850"/>
    <n v="0"/>
    <n v="0"/>
    <n v="102"/>
    <s v="_x0000_US"/>
  </r>
  <r>
    <x v="1"/>
    <n v="13.696400000000001"/>
    <n v="-89.168499999999995"/>
    <n v="9850"/>
    <n v="0"/>
    <n v="0"/>
    <n v="102"/>
    <s v="_x0000_US"/>
  </r>
  <r>
    <x v="1"/>
    <n v="13.696400000000001"/>
    <n v="-89.168400000000005"/>
    <n v="9850"/>
    <n v="0"/>
    <n v="0"/>
    <n v="102"/>
    <s v="_x0000_US"/>
  </r>
  <r>
    <x v="1"/>
    <n v="13.696400000000001"/>
    <n v="-89.168400000000005"/>
    <n v="9850"/>
    <n v="0"/>
    <n v="0"/>
    <n v="102"/>
    <s v="_x0000_US"/>
  </r>
  <r>
    <x v="1"/>
    <n v="13.6966"/>
    <n v="-89.168400000000005"/>
    <n v="9850"/>
    <n v="0"/>
    <n v="0"/>
    <n v="102"/>
    <s v="_x0000_US"/>
  </r>
  <r>
    <x v="1"/>
    <n v="13.6966"/>
    <n v="-89.168400000000005"/>
    <n v="9850"/>
    <n v="0"/>
    <n v="0"/>
    <n v="102"/>
    <s v="_x0000_US"/>
  </r>
  <r>
    <x v="1"/>
    <n v="13.6965"/>
    <n v="-89.168300000000002"/>
    <n v="9850"/>
    <n v="0"/>
    <n v="0"/>
    <n v="102"/>
    <s v="_x0000_US"/>
  </r>
  <r>
    <x v="1"/>
    <n v="13.6968"/>
    <n v="-89.168800000000005"/>
    <n v="9850"/>
    <n v="0"/>
    <n v="0"/>
    <n v="102"/>
    <s v="_x0000_US"/>
  </r>
  <r>
    <x v="1"/>
    <n v="13.6968"/>
    <n v="-89.168800000000005"/>
    <n v="9850"/>
    <n v="0"/>
    <n v="0"/>
    <n v="102"/>
    <s v="_x0000_US"/>
  </r>
  <r>
    <x v="1"/>
    <n v="13.6968"/>
    <n v="-89.168700000000001"/>
    <n v="9850"/>
    <n v="0"/>
    <n v="0"/>
    <n v="102"/>
    <s v="_x0000_US"/>
  </r>
  <r>
    <x v="1"/>
    <n v="13.6968"/>
    <n v="-89.168700000000001"/>
    <n v="9850"/>
    <n v="0"/>
    <n v="0"/>
    <n v="102"/>
    <s v="_x0000_US"/>
  </r>
  <r>
    <x v="1"/>
    <n v="13.6968"/>
    <n v="-89.168700000000001"/>
    <n v="9850"/>
    <n v="0"/>
    <n v="0"/>
    <n v="102"/>
    <s v="_x0000_US"/>
  </r>
  <r>
    <x v="1"/>
    <n v="13.6968"/>
    <n v="-89.168700000000001"/>
    <n v="9850"/>
    <n v="0"/>
    <n v="0"/>
    <n v="102"/>
    <s v="_x0000_US"/>
  </r>
  <r>
    <x v="1"/>
    <n v="13.6967"/>
    <n v="-89.168599999999998"/>
    <n v="9850"/>
    <n v="0"/>
    <n v="0"/>
    <n v="102"/>
    <s v="_x0000_US"/>
  </r>
  <r>
    <x v="1"/>
    <n v="13.6967"/>
    <n v="-89.168899999999994"/>
    <n v="9850"/>
    <n v="0"/>
    <n v="0"/>
    <n v="102"/>
    <s v="_x0000_US"/>
  </r>
  <r>
    <x v="1"/>
    <n v="13.6967"/>
    <n v="-89.168800000000005"/>
    <n v="9850"/>
    <n v="0"/>
    <n v="0"/>
    <n v="102"/>
    <s v="_x0000_US"/>
  </r>
  <r>
    <x v="1"/>
    <n v="13.6966"/>
    <n v="-89.168800000000005"/>
    <n v="9850"/>
    <n v="0"/>
    <n v="0"/>
    <n v="102"/>
    <s v="_x0000_US"/>
  </r>
  <r>
    <x v="1"/>
    <n v="13.6966"/>
    <n v="-89.168800000000005"/>
    <n v="9850"/>
    <n v="0"/>
    <n v="0"/>
    <n v="102"/>
    <s v="_x0000_US"/>
  </r>
  <r>
    <x v="1"/>
    <n v="13.6966"/>
    <n v="-89.168700000000001"/>
    <n v="9850"/>
    <n v="0"/>
    <n v="0"/>
    <n v="102"/>
    <s v="_x0000_US"/>
  </r>
  <r>
    <x v="1"/>
    <n v="13.6966"/>
    <n v="-89.168700000000001"/>
    <n v="9850"/>
    <n v="0"/>
    <n v="0"/>
    <n v="102"/>
    <s v="_x0000_US"/>
  </r>
  <r>
    <x v="1"/>
    <n v="13.6966"/>
    <n v="-89.168700000000001"/>
    <n v="9850"/>
    <n v="0"/>
    <n v="0"/>
    <n v="102"/>
    <s v="_x0000_US"/>
  </r>
  <r>
    <x v="1"/>
    <n v="13.6967"/>
    <n v="-89.168599999999998"/>
    <n v="9850"/>
    <n v="0"/>
    <n v="0"/>
    <n v="102"/>
    <s v="_x0000_US"/>
  </r>
  <r>
    <x v="1"/>
    <n v="13.6967"/>
    <n v="-89.168599999999998"/>
    <n v="9850"/>
    <n v="0"/>
    <n v="0"/>
    <n v="102"/>
    <s v="_x0000_US"/>
  </r>
  <r>
    <x v="1"/>
    <n v="13.6968"/>
    <n v="-89.168999999999997"/>
    <n v="9850"/>
    <n v="0"/>
    <n v="0"/>
    <n v="102"/>
    <s v="_x0000_US"/>
  </r>
  <r>
    <x v="1"/>
    <n v="13.6968"/>
    <n v="-89.168999999999997"/>
    <n v="9850"/>
    <n v="0"/>
    <n v="0"/>
    <n v="102"/>
    <s v="_x0000_US"/>
  </r>
  <r>
    <x v="1"/>
    <n v="13.6967"/>
    <n v="-89.168899999999994"/>
    <n v="9850"/>
    <n v="0"/>
    <n v="0"/>
    <n v="102"/>
    <s v="_x0000_US"/>
  </r>
  <r>
    <x v="1"/>
    <n v="13.6968"/>
    <n v="-89.168999999999997"/>
    <n v="9850"/>
    <n v="0"/>
    <n v="0"/>
    <n v="102"/>
    <s v="_x0000_US"/>
  </r>
  <r>
    <x v="1"/>
    <n v="13.6968"/>
    <n v="-89.168999999999997"/>
    <n v="9850"/>
    <n v="0"/>
    <n v="0"/>
    <n v="102"/>
    <s v="_x0000_US"/>
  </r>
  <r>
    <x v="1"/>
    <n v="13.6968"/>
    <n v="-89.170299999999997"/>
    <n v="9850"/>
    <n v="0"/>
    <n v="0"/>
    <n v="102"/>
    <s v="_x0000_US"/>
  </r>
  <r>
    <x v="1"/>
    <n v="13.6967"/>
    <n v="-89.170400000000001"/>
    <n v="9850"/>
    <n v="0"/>
    <n v="0"/>
    <n v="102"/>
    <s v="_x0000_US"/>
  </r>
  <r>
    <x v="1"/>
    <n v="13.6967"/>
    <n v="-89.170400000000001"/>
    <n v="9850"/>
    <n v="0"/>
    <n v="0"/>
    <n v="102"/>
    <s v="_x0000_US"/>
  </r>
  <r>
    <x v="1"/>
    <n v="13.6967"/>
    <n v="-89.170400000000001"/>
    <n v="9850"/>
    <n v="0"/>
    <n v="0"/>
    <n v="102"/>
    <s v="_x0000_US"/>
  </r>
  <r>
    <x v="1"/>
    <n v="13.6967"/>
    <n v="-89.170400000000001"/>
    <n v="9850"/>
    <n v="0"/>
    <n v="0"/>
    <n v="102"/>
    <s v="_x0000_US"/>
  </r>
  <r>
    <x v="1"/>
    <n v="13.6967"/>
    <n v="-89.170500000000004"/>
    <n v="9850"/>
    <n v="0"/>
    <n v="0"/>
    <n v="102"/>
    <s v="_x0000_US"/>
  </r>
  <r>
    <x v="1"/>
    <n v="13.6967"/>
    <n v="-89.170500000000004"/>
    <n v="9850"/>
    <n v="0"/>
    <n v="0"/>
    <n v="102"/>
    <s v="_x0000_US"/>
  </r>
  <r>
    <x v="1"/>
    <n v="13.6965"/>
    <n v="-89.170100000000005"/>
    <n v="9850"/>
    <n v="0"/>
    <n v="0"/>
    <n v="102"/>
    <s v="_x0000_US"/>
  </r>
  <r>
    <x v="1"/>
    <n v="13.6965"/>
    <n v="-89.17"/>
    <n v="9850"/>
    <n v="0"/>
    <n v="0"/>
    <n v="102"/>
    <s v="_x0000_US"/>
  </r>
  <r>
    <x v="1"/>
    <n v="13.6965"/>
    <n v="-89.17"/>
    <n v="9850"/>
    <n v="0"/>
    <n v="0"/>
    <n v="102"/>
    <s v="_x0000_US"/>
  </r>
  <r>
    <x v="1"/>
    <n v="13.6965"/>
    <n v="-89.17"/>
    <n v="9850"/>
    <n v="0"/>
    <n v="0"/>
    <n v="102"/>
    <s v="_x0000_US"/>
  </r>
  <r>
    <x v="1"/>
    <n v="13.6965"/>
    <n v="-89.169799999999995"/>
    <n v="9850"/>
    <n v="0"/>
    <n v="0"/>
    <n v="102"/>
    <s v="_x0000_US"/>
  </r>
  <r>
    <x v="1"/>
    <n v="13.6966"/>
    <n v="-89.169799999999995"/>
    <n v="9850"/>
    <n v="0"/>
    <n v="0"/>
    <n v="102"/>
    <s v="_x0000_US"/>
  </r>
  <r>
    <x v="1"/>
    <n v="13.6966"/>
    <n v="-89.169799999999995"/>
    <n v="9850"/>
    <n v="0"/>
    <n v="0"/>
    <n v="102"/>
    <s v="_x0000_US"/>
  </r>
  <r>
    <x v="1"/>
    <n v="13.6966"/>
    <n v="-89.169799999999995"/>
    <n v="9850"/>
    <n v="0"/>
    <n v="0"/>
    <n v="102"/>
    <s v="_x0000_US"/>
  </r>
  <r>
    <x v="1"/>
    <n v="13.6966"/>
    <n v="-89.169799999999995"/>
    <n v="9850"/>
    <n v="0"/>
    <n v="0"/>
    <n v="102"/>
    <s v="_x0000_US"/>
  </r>
  <r>
    <x v="1"/>
    <n v="13.6966"/>
    <n v="-89.169799999999995"/>
    <n v="9850"/>
    <n v="0"/>
    <n v="0"/>
    <n v="102"/>
    <s v="_x0000_US"/>
  </r>
  <r>
    <x v="1"/>
    <n v="13.6965"/>
    <n v="-89.169899999999998"/>
    <n v="9850"/>
    <n v="0"/>
    <n v="0"/>
    <n v="102"/>
    <s v="_x0000_US"/>
  </r>
  <r>
    <x v="1"/>
    <n v="13.6965"/>
    <n v="-89.169899999999998"/>
    <n v="9850"/>
    <n v="0"/>
    <n v="0"/>
    <n v="102"/>
    <s v="_x0000_US"/>
  </r>
  <r>
    <x v="1"/>
    <n v="13.696400000000001"/>
    <n v="-89.169700000000006"/>
    <n v="9850"/>
    <n v="0"/>
    <n v="0"/>
    <n v="102"/>
    <s v="_x0000_US"/>
  </r>
  <r>
    <x v="1"/>
    <n v="13.696400000000001"/>
    <n v="-89.169700000000006"/>
    <n v="9850"/>
    <n v="0"/>
    <n v="0"/>
    <n v="102"/>
    <s v="_x0000_US"/>
  </r>
  <r>
    <x v="1"/>
    <n v="13.696400000000001"/>
    <n v="-89.169700000000006"/>
    <n v="9850"/>
    <n v="0"/>
    <n v="0"/>
    <n v="102"/>
    <s v="_x0000_US"/>
  </r>
  <r>
    <x v="1"/>
    <n v="13.6965"/>
    <n v="-89.169700000000006"/>
    <n v="9850"/>
    <n v="0"/>
    <n v="0"/>
    <n v="102"/>
    <s v="_x0000_US"/>
  </r>
  <r>
    <x v="1"/>
    <n v="13.6965"/>
    <n v="-89.169700000000006"/>
    <n v="9850"/>
    <n v="0"/>
    <n v="0"/>
    <n v="102"/>
    <s v="_x0000_US"/>
  </r>
  <r>
    <x v="1"/>
    <n v="13.6965"/>
    <n v="-89.169600000000003"/>
    <n v="9850"/>
    <n v="0"/>
    <n v="0"/>
    <n v="102"/>
    <s v="_x0000_US"/>
  </r>
  <r>
    <x v="1"/>
    <n v="13.6967"/>
    <n v="-89.169700000000006"/>
    <n v="9850"/>
    <n v="0"/>
    <n v="0"/>
    <n v="102"/>
    <s v="_x0000_US"/>
  </r>
  <r>
    <x v="1"/>
    <n v="13.6966"/>
    <n v="-89.169700000000006"/>
    <n v="9850"/>
    <n v="0"/>
    <n v="0"/>
    <n v="102"/>
    <s v="_x0000_US"/>
  </r>
  <r>
    <x v="1"/>
    <n v="13.6966"/>
    <n v="-89.169600000000003"/>
    <n v="9850"/>
    <n v="0"/>
    <n v="0"/>
    <n v="102"/>
    <s v="_x0000_US"/>
  </r>
  <r>
    <x v="1"/>
    <n v="13.6968"/>
    <n v="-89.169600000000003"/>
    <n v="9850"/>
    <n v="0"/>
    <n v="0"/>
    <n v="102"/>
    <s v="_x0000_US"/>
  </r>
  <r>
    <x v="1"/>
    <n v="13.6968"/>
    <n v="-89.169600000000003"/>
    <n v="9850"/>
    <n v="0"/>
    <n v="0"/>
    <n v="102"/>
    <s v="_x0000_US"/>
  </r>
  <r>
    <x v="1"/>
    <n v="13.6967"/>
    <n v="-89.169700000000006"/>
    <n v="9850"/>
    <n v="0"/>
    <n v="0"/>
    <n v="102"/>
    <s v="_x0000_US"/>
  </r>
  <r>
    <x v="1"/>
    <n v="13.6967"/>
    <n v="-89.169700000000006"/>
    <n v="9850"/>
    <n v="0"/>
    <n v="0"/>
    <n v="102"/>
    <s v="_x0000_US"/>
  </r>
  <r>
    <x v="1"/>
    <n v="13.6967"/>
    <n v="-89.169399999999996"/>
    <n v="9850"/>
    <n v="0"/>
    <n v="0"/>
    <n v="102"/>
    <s v="_x0000_US"/>
  </r>
  <r>
    <x v="1"/>
    <n v="13.6967"/>
    <n v="-89.169399999999996"/>
    <n v="9850"/>
    <n v="0"/>
    <n v="0"/>
    <n v="102"/>
    <s v="_x0000_US"/>
  </r>
  <r>
    <x v="1"/>
    <n v="13.6967"/>
    <n v="-89.169499999999999"/>
    <n v="9850"/>
    <n v="0"/>
    <n v="0"/>
    <n v="102"/>
    <s v="_x0000_US"/>
  </r>
  <r>
    <x v="1"/>
    <n v="13.6967"/>
    <n v="-89.169499999999999"/>
    <n v="9850"/>
    <n v="0"/>
    <n v="0"/>
    <n v="102"/>
    <s v="_x0000_US"/>
  </r>
  <r>
    <x v="1"/>
    <n v="13.6967"/>
    <n v="-89.169499999999999"/>
    <n v="9850"/>
    <n v="0"/>
    <n v="0"/>
    <n v="102"/>
    <s v="_x0000_US"/>
  </r>
  <r>
    <x v="1"/>
    <n v="13.6967"/>
    <n v="-89.169499999999999"/>
    <n v="9850"/>
    <n v="0"/>
    <n v="0"/>
    <n v="102"/>
    <s v="_x0000_US"/>
  </r>
  <r>
    <x v="1"/>
    <n v="13.6966"/>
    <n v="-89.169499999999999"/>
    <n v="9850"/>
    <n v="0"/>
    <n v="0"/>
    <n v="102"/>
    <s v="_x0000_US"/>
  </r>
  <r>
    <x v="1"/>
    <n v="13.6965"/>
    <n v="-89.170699999999997"/>
    <n v="9850"/>
    <n v="0"/>
    <n v="0"/>
    <n v="102"/>
    <s v="_x0000_US"/>
  </r>
  <r>
    <x v="1"/>
    <n v="13.6965"/>
    <n v="-89.170699999999997"/>
    <n v="9850"/>
    <n v="0"/>
    <n v="0"/>
    <n v="102"/>
    <s v="_x0000_US"/>
  </r>
  <r>
    <x v="1"/>
    <n v="13.6965"/>
    <n v="-89.170599999999993"/>
    <n v="9850"/>
    <n v="0"/>
    <n v="0"/>
    <n v="102"/>
    <s v="_x0000_US"/>
  </r>
  <r>
    <x v="1"/>
    <n v="13.6965"/>
    <n v="-89.170599999999993"/>
    <n v="9850"/>
    <n v="0"/>
    <n v="0"/>
    <n v="102"/>
    <s v="_x0000_US"/>
  </r>
  <r>
    <x v="1"/>
    <n v="13.6965"/>
    <n v="-89.170599999999993"/>
    <n v="9850"/>
    <n v="0"/>
    <n v="0"/>
    <n v="102"/>
    <s v="_x0000_US"/>
  </r>
  <r>
    <x v="1"/>
    <n v="13.6965"/>
    <n v="-89.170500000000004"/>
    <n v="9850"/>
    <n v="0"/>
    <n v="0"/>
    <n v="102"/>
    <s v="_x0000_US"/>
  </r>
  <r>
    <x v="1"/>
    <n v="13.6965"/>
    <n v="-89.170500000000004"/>
    <n v="9850"/>
    <n v="0"/>
    <n v="0"/>
    <n v="102"/>
    <s v="_x0000_US"/>
  </r>
  <r>
    <x v="1"/>
    <n v="13.6965"/>
    <n v="-89.170500000000004"/>
    <n v="9850"/>
    <n v="0"/>
    <n v="0"/>
    <n v="102"/>
    <s v="_x0000_US"/>
  </r>
  <r>
    <x v="1"/>
    <n v="13.6965"/>
    <n v="-89.170500000000004"/>
    <n v="9850"/>
    <n v="0"/>
    <n v="0"/>
    <n v="102"/>
    <s v="_x0000_US"/>
  </r>
  <r>
    <x v="1"/>
    <n v="13.6965"/>
    <n v="-89.170400000000001"/>
    <n v="9850"/>
    <n v="0"/>
    <n v="0"/>
    <n v="102"/>
    <s v="_x0000_US"/>
  </r>
  <r>
    <x v="1"/>
    <n v="13.6965"/>
    <n v="-89.170400000000001"/>
    <n v="9850"/>
    <n v="0"/>
    <n v="0"/>
    <n v="102"/>
    <s v="_x0000_US"/>
  </r>
  <r>
    <x v="1"/>
    <n v="13.6965"/>
    <n v="-89.170299999999997"/>
    <n v="9850"/>
    <n v="0"/>
    <n v="0"/>
    <n v="102"/>
    <s v="_x0000_US"/>
  </r>
  <r>
    <x v="1"/>
    <n v="13.6965"/>
    <n v="-89.170299999999997"/>
    <n v="9850"/>
    <n v="0"/>
    <n v="0"/>
    <n v="102"/>
    <s v="_x0000_US"/>
  </r>
  <r>
    <x v="1"/>
    <n v="13.6965"/>
    <n v="-89.170299999999997"/>
    <n v="9850"/>
    <n v="0"/>
    <n v="0"/>
    <n v="102"/>
    <s v="_x0000_US"/>
  </r>
  <r>
    <x v="1"/>
    <n v="13.6965"/>
    <n v="-89.170199999999994"/>
    <n v="9850"/>
    <n v="0"/>
    <n v="0"/>
    <n v="102"/>
    <s v="_x0000_US"/>
  </r>
  <r>
    <x v="1"/>
    <n v="13.6965"/>
    <n v="-89.170199999999994"/>
    <n v="9850"/>
    <n v="0"/>
    <n v="0"/>
    <n v="102"/>
    <s v="_x0000_US"/>
  </r>
  <r>
    <x v="1"/>
    <n v="13.6965"/>
    <n v="-89.170199999999994"/>
    <n v="9850"/>
    <n v="0"/>
    <n v="0"/>
    <n v="102"/>
    <s v="_x0000_US"/>
  </r>
  <r>
    <x v="1"/>
    <n v="13.6965"/>
    <n v="-89.170199999999994"/>
    <n v="9850"/>
    <n v="0"/>
    <n v="0"/>
    <n v="102"/>
    <s v="_x0000_US"/>
  </r>
  <r>
    <x v="1"/>
    <n v="13.6972"/>
    <n v="-89.168899999999994"/>
    <n v="9850"/>
    <n v="0"/>
    <n v="0"/>
    <n v="102"/>
    <s v="_x0000_US"/>
  </r>
  <r>
    <x v="1"/>
    <n v="13.697100000000001"/>
    <n v="-89.168899999999994"/>
    <n v="9850"/>
    <n v="0"/>
    <n v="0"/>
    <n v="102"/>
    <s v="_x0000_US"/>
  </r>
  <r>
    <x v="1"/>
    <n v="13.697100000000001"/>
    <n v="-89.168700000000001"/>
    <n v="9850"/>
    <n v="0"/>
    <n v="0"/>
    <n v="102"/>
    <s v="_x0000_US"/>
  </r>
  <r>
    <x v="1"/>
    <n v="13.696999999999999"/>
    <n v="-89.168700000000001"/>
    <n v="9850"/>
    <n v="0"/>
    <n v="0"/>
    <n v="102"/>
    <s v="_x0000_US"/>
  </r>
  <r>
    <x v="1"/>
    <n v="13.696999999999999"/>
    <n v="-89.168899999999994"/>
    <n v="9850"/>
    <n v="0"/>
    <n v="0"/>
    <n v="102"/>
    <s v="_x0000_US"/>
  </r>
  <r>
    <x v="1"/>
    <n v="13.696999999999999"/>
    <n v="-89.168899999999994"/>
    <n v="9850"/>
    <n v="0"/>
    <n v="0"/>
    <n v="102"/>
    <s v="_x0000_US"/>
  </r>
  <r>
    <x v="1"/>
    <n v="13.6972"/>
    <n v="-89.168700000000001"/>
    <n v="9850"/>
    <n v="0"/>
    <n v="0"/>
    <n v="102"/>
    <s v="_x0000_US"/>
  </r>
  <r>
    <x v="1"/>
    <n v="13.6972"/>
    <n v="-89.168700000000001"/>
    <n v="9850"/>
    <n v="0"/>
    <n v="0"/>
    <n v="102"/>
    <s v="_x0000_US"/>
  </r>
  <r>
    <x v="1"/>
    <n v="13.696899999999999"/>
    <n v="-89.168599999999998"/>
    <n v="9850"/>
    <n v="0"/>
    <n v="0"/>
    <n v="102"/>
    <s v="_x0000_US"/>
  </r>
  <r>
    <x v="1"/>
    <n v="13.696899999999999"/>
    <n v="-89.168599999999998"/>
    <n v="9850"/>
    <n v="0"/>
    <n v="0"/>
    <n v="102"/>
    <s v="_x0000_US"/>
  </r>
  <r>
    <x v="1"/>
    <n v="13.696899999999999"/>
    <n v="-89.168599999999998"/>
    <n v="9850"/>
    <n v="0"/>
    <n v="0"/>
    <n v="102"/>
    <s v="_x0000_US"/>
  </r>
  <r>
    <x v="1"/>
    <n v="13.696899999999999"/>
    <n v="-89.168599999999998"/>
    <n v="9850"/>
    <n v="0"/>
    <n v="0"/>
    <n v="102"/>
    <s v="_x0000_US"/>
  </r>
  <r>
    <x v="1"/>
    <n v="13.696899999999999"/>
    <n v="-89.168700000000001"/>
    <n v="9850"/>
    <n v="0"/>
    <n v="0"/>
    <n v="102"/>
    <s v="_x0000_US"/>
  </r>
  <r>
    <x v="1"/>
    <n v="13.696899999999999"/>
    <n v="-89.168700000000001"/>
    <n v="9850"/>
    <n v="0"/>
    <n v="0"/>
    <n v="102"/>
    <s v="_x0000_US"/>
  </r>
  <r>
    <x v="1"/>
    <n v="13.696999999999999"/>
    <n v="-89.168499999999995"/>
    <n v="9850"/>
    <n v="0"/>
    <n v="0"/>
    <n v="102"/>
    <s v="_x0000_US"/>
  </r>
  <r>
    <x v="1"/>
    <n v="13.696999999999999"/>
    <n v="-89.168499999999995"/>
    <n v="9850"/>
    <n v="0"/>
    <n v="0"/>
    <n v="102"/>
    <s v="_x0000_US"/>
  </r>
  <r>
    <x v="1"/>
    <n v="13.696999999999999"/>
    <n v="-89.168499999999995"/>
    <n v="9850"/>
    <n v="0"/>
    <n v="0"/>
    <n v="102"/>
    <s v="_x0000_US"/>
  </r>
  <r>
    <x v="1"/>
    <n v="13.696899999999999"/>
    <n v="-89.168400000000005"/>
    <n v="9850"/>
    <n v="0"/>
    <n v="0"/>
    <n v="102"/>
    <s v="_x0000_US"/>
  </r>
  <r>
    <x v="1"/>
    <n v="13.696899999999999"/>
    <n v="-89.168400000000005"/>
    <n v="9850"/>
    <n v="0"/>
    <n v="0"/>
    <n v="102"/>
    <s v="_x0000_US"/>
  </r>
  <r>
    <x v="1"/>
    <n v="13.696899999999999"/>
    <n v="-89.168499999999995"/>
    <n v="9850"/>
    <n v="0"/>
    <n v="0"/>
    <n v="102"/>
    <s v="_x0000_US"/>
  </r>
  <r>
    <x v="1"/>
    <n v="13.696899999999999"/>
    <n v="-89.168400000000005"/>
    <n v="9850"/>
    <n v="0"/>
    <n v="0"/>
    <n v="102"/>
    <s v="_x0000_US"/>
  </r>
  <r>
    <x v="1"/>
    <n v="13.696899999999999"/>
    <n v="-89.168400000000005"/>
    <n v="9850"/>
    <n v="0"/>
    <n v="0"/>
    <n v="102"/>
    <s v="_x0000_US"/>
  </r>
  <r>
    <x v="1"/>
    <n v="13.6968"/>
    <n v="-89.168300000000002"/>
    <n v="9850"/>
    <n v="0"/>
    <n v="0"/>
    <n v="102"/>
    <s v="_x0000_US"/>
  </r>
  <r>
    <x v="1"/>
    <n v="13.6968"/>
    <n v="-89.168300000000002"/>
    <n v="9850"/>
    <n v="0"/>
    <n v="0"/>
    <n v="102"/>
    <s v="_x0000_US"/>
  </r>
  <r>
    <x v="1"/>
    <n v="13.696899999999999"/>
    <n v="-89.168099999999995"/>
    <n v="9850"/>
    <n v="0"/>
    <n v="0"/>
    <n v="102"/>
    <s v="_x0000_US"/>
  </r>
  <r>
    <x v="1"/>
    <n v="13.6968"/>
    <n v="-89.168199999999999"/>
    <n v="9850"/>
    <n v="0"/>
    <n v="0"/>
    <n v="102"/>
    <s v="_x0000_US"/>
  </r>
  <r>
    <x v="1"/>
    <n v="13.6968"/>
    <n v="-89.168199999999999"/>
    <n v="9850"/>
    <n v="0"/>
    <n v="0"/>
    <n v="102"/>
    <s v="_x0000_US"/>
  </r>
  <r>
    <x v="1"/>
    <n v="13.6967"/>
    <n v="-89.168199999999999"/>
    <n v="9850"/>
    <n v="0"/>
    <n v="0"/>
    <n v="102"/>
    <s v="_x0000_US"/>
  </r>
  <r>
    <x v="1"/>
    <n v="13.6967"/>
    <n v="-89.168199999999999"/>
    <n v="9850"/>
    <n v="0"/>
    <n v="0"/>
    <n v="102"/>
    <s v="_x0000_US"/>
  </r>
  <r>
    <x v="1"/>
    <n v="13.696999999999999"/>
    <n v="-89.168300000000002"/>
    <n v="9850"/>
    <n v="0"/>
    <n v="0"/>
    <n v="102"/>
    <s v="_x0000_US"/>
  </r>
  <r>
    <x v="1"/>
    <n v="13.696999999999999"/>
    <n v="-89.168300000000002"/>
    <n v="9850"/>
    <n v="0"/>
    <n v="0"/>
    <n v="102"/>
    <s v="_x0000_US"/>
  </r>
  <r>
    <x v="1"/>
    <n v="13.696999999999999"/>
    <n v="-89.168199999999999"/>
    <n v="9850"/>
    <n v="0"/>
    <n v="0"/>
    <n v="102"/>
    <s v="_x0000_US"/>
  </r>
  <r>
    <x v="1"/>
    <n v="13.696899999999999"/>
    <n v="-89.168199999999999"/>
    <n v="9850"/>
    <n v="0"/>
    <n v="0"/>
    <n v="102"/>
    <s v="_x0000_US"/>
  </r>
  <r>
    <x v="1"/>
    <n v="13.696899999999999"/>
    <n v="-89.168099999999995"/>
    <n v="9850"/>
    <n v="0"/>
    <n v="0"/>
    <n v="102"/>
    <s v="_x0000_US"/>
  </r>
  <r>
    <x v="1"/>
    <n v="13.696899999999999"/>
    <n v="-89.168099999999995"/>
    <n v="9850"/>
    <n v="0"/>
    <n v="0"/>
    <n v="102"/>
    <s v="_x0000_US"/>
  </r>
  <r>
    <x v="1"/>
    <n v="13.696899999999999"/>
    <n v="-89.168099999999995"/>
    <n v="9850"/>
    <n v="0"/>
    <n v="0"/>
    <n v="102"/>
    <s v="_x0000_US"/>
  </r>
  <r>
    <x v="1"/>
    <n v="13.6968"/>
    <n v="-89.168000000000006"/>
    <n v="9850"/>
    <n v="0"/>
    <n v="0"/>
    <n v="102"/>
    <s v="_x0000_US"/>
  </r>
  <r>
    <x v="1"/>
    <n v="13.6968"/>
    <n v="-89.168000000000006"/>
    <n v="9850"/>
    <n v="0"/>
    <n v="0"/>
    <n v="102"/>
    <s v="_x0000_US"/>
  </r>
  <r>
    <x v="1"/>
    <n v="13.6967"/>
    <n v="-89.168099999999995"/>
    <n v="9850"/>
    <n v="0"/>
    <n v="0"/>
    <n v="102"/>
    <s v="_x0000_US"/>
  </r>
  <r>
    <x v="1"/>
    <n v="13.6967"/>
    <n v="-89.168099999999995"/>
    <n v="9850"/>
    <n v="0"/>
    <n v="0"/>
    <n v="102"/>
    <s v="_x0000_US"/>
  </r>
  <r>
    <x v="1"/>
    <n v="13.6967"/>
    <n v="-89.168099999999995"/>
    <n v="9850"/>
    <n v="0"/>
    <n v="0"/>
    <n v="102"/>
    <s v="_x0000_US"/>
  </r>
  <r>
    <x v="1"/>
    <n v="13.6967"/>
    <n v="-89.168099999999995"/>
    <n v="9850"/>
    <n v="0"/>
    <n v="0"/>
    <n v="102"/>
    <s v="_x0000_US"/>
  </r>
  <r>
    <x v="1"/>
    <n v="13.6968"/>
    <n v="-89.167900000000003"/>
    <n v="9850"/>
    <n v="0"/>
    <n v="0"/>
    <n v="102"/>
    <s v="_x0000_US"/>
  </r>
  <r>
    <x v="1"/>
    <n v="13.697100000000001"/>
    <n v="-89.168400000000005"/>
    <n v="9850"/>
    <n v="0"/>
    <n v="0"/>
    <n v="102"/>
    <s v="_x0000_US"/>
  </r>
  <r>
    <x v="1"/>
    <n v="13.697100000000001"/>
    <n v="-89.168400000000005"/>
    <n v="9850"/>
    <n v="0"/>
    <n v="0"/>
    <n v="102"/>
    <s v="_x0000_US"/>
  </r>
  <r>
    <x v="1"/>
    <n v="13.696999999999999"/>
    <n v="-89.168300000000002"/>
    <n v="9850"/>
    <n v="0"/>
    <n v="0"/>
    <n v="102"/>
    <s v="_x0000_US"/>
  </r>
  <r>
    <x v="1"/>
    <n v="13.6965"/>
    <n v="-89.168099999999995"/>
    <n v="9850"/>
    <n v="0"/>
    <n v="0"/>
    <n v="102"/>
    <s v="_x0000_US"/>
  </r>
  <r>
    <x v="1"/>
    <n v="13.696400000000001"/>
    <n v="-89.168199999999999"/>
    <n v="9850"/>
    <n v="0"/>
    <n v="0"/>
    <n v="102"/>
    <s v="_x0000_US"/>
  </r>
  <r>
    <x v="1"/>
    <n v="13.696400000000001"/>
    <n v="-89.168000000000006"/>
    <n v="9850"/>
    <n v="0"/>
    <n v="0"/>
    <n v="102"/>
    <s v="_x0000_US"/>
  </r>
  <r>
    <x v="1"/>
    <n v="13.696400000000001"/>
    <n v="-89.168000000000006"/>
    <n v="9850"/>
    <n v="0"/>
    <n v="0"/>
    <n v="102"/>
    <s v="_x0000_US"/>
  </r>
  <r>
    <x v="1"/>
    <n v="13.6966"/>
    <n v="-89.167900000000003"/>
    <n v="9850"/>
    <n v="0"/>
    <n v="0"/>
    <n v="102"/>
    <s v="_x0000_US"/>
  </r>
  <r>
    <x v="1"/>
    <n v="13.6966"/>
    <n v="-89.1678"/>
    <n v="9850"/>
    <n v="0"/>
    <n v="0"/>
    <n v="102"/>
    <s v="_x0000_US"/>
  </r>
  <r>
    <x v="1"/>
    <n v="13.696400000000001"/>
    <n v="-89.1678"/>
    <n v="9850"/>
    <n v="0"/>
    <n v="0"/>
    <n v="102"/>
    <s v="_x0000_US"/>
  </r>
  <r>
    <x v="1"/>
    <n v="13.6965"/>
    <n v="-89.1678"/>
    <n v="9850"/>
    <n v="0"/>
    <n v="0"/>
    <n v="102"/>
    <s v="_x0000_US"/>
  </r>
  <r>
    <x v="1"/>
    <n v="13.6965"/>
    <n v="-89.167699999999996"/>
    <n v="9850"/>
    <n v="0"/>
    <n v="0"/>
    <n v="102"/>
    <s v="_x0000_US"/>
  </r>
  <r>
    <x v="1"/>
    <n v="13.696400000000001"/>
    <n v="-89.167699999999996"/>
    <n v="9850"/>
    <n v="0"/>
    <n v="0"/>
    <n v="102"/>
    <s v="_x0000_US"/>
  </r>
  <r>
    <x v="1"/>
    <n v="13.6966"/>
    <n v="-89.167900000000003"/>
    <n v="9850"/>
    <n v="0"/>
    <n v="0"/>
    <n v="102"/>
    <s v="_x0000_US"/>
  </r>
  <r>
    <x v="1"/>
    <n v="13.6966"/>
    <n v="-89.1678"/>
    <n v="9850"/>
    <n v="0"/>
    <n v="0"/>
    <n v="102"/>
    <s v="_x0000_US"/>
  </r>
  <r>
    <x v="1"/>
    <n v="13.6965"/>
    <n v="-89.168099999999995"/>
    <n v="9850"/>
    <n v="0"/>
    <n v="0"/>
    <n v="102"/>
    <s v="_x0000_US"/>
  </r>
  <r>
    <x v="1"/>
    <n v="13.6966"/>
    <n v="-89.168000000000006"/>
    <n v="9850"/>
    <n v="0"/>
    <n v="0"/>
    <n v="102"/>
    <s v="_x0000_US"/>
  </r>
  <r>
    <x v="1"/>
    <n v="13.6966"/>
    <n v="-89.168000000000006"/>
    <n v="9850"/>
    <n v="0"/>
    <n v="0"/>
    <n v="102"/>
    <s v="_x0000_US"/>
  </r>
  <r>
    <x v="1"/>
    <n v="13.6966"/>
    <n v="-89.168000000000006"/>
    <n v="9850"/>
    <n v="0"/>
    <n v="0"/>
    <n v="102"/>
    <s v="_x0000_US"/>
  </r>
  <r>
    <x v="1"/>
    <n v="13.6965"/>
    <n v="-89.168099999999995"/>
    <n v="9850"/>
    <n v="0"/>
    <n v="0"/>
    <n v="102"/>
    <s v="_x0000_US"/>
  </r>
  <r>
    <x v="1"/>
    <n v="13.6965"/>
    <n v="-89.168099999999995"/>
    <n v="9850"/>
    <n v="0"/>
    <n v="0"/>
    <n v="102"/>
    <s v="_x0000_US"/>
  </r>
  <r>
    <x v="1"/>
    <n v="13.696400000000001"/>
    <n v="-89.168099999999995"/>
    <n v="9850"/>
    <n v="0"/>
    <n v="0"/>
    <n v="102"/>
    <s v="_x0000_US"/>
  </r>
  <r>
    <x v="1"/>
    <n v="13.6965"/>
    <n v="-89.167900000000003"/>
    <n v="9850"/>
    <n v="0"/>
    <n v="0"/>
    <n v="102"/>
    <s v="_x0000_US"/>
  </r>
  <r>
    <x v="1"/>
    <n v="13.6999"/>
    <n v="-89.1648"/>
    <n v="11670"/>
    <n v="0"/>
    <n v="0"/>
    <n v="102"/>
    <s v="_x0000_US"/>
  </r>
  <r>
    <x v="1"/>
    <n v="13.6966"/>
    <n v="-89.1661"/>
    <n v="36700"/>
    <n v="0"/>
    <n v="0"/>
    <n v="102"/>
    <s v="_x0000_US"/>
  </r>
  <r>
    <x v="1"/>
    <n v="13.6966"/>
    <n v="-89.165999999999997"/>
    <n v="36700"/>
    <n v="0"/>
    <n v="0"/>
    <n v="102"/>
    <s v="_x0000_US"/>
  </r>
  <r>
    <x v="1"/>
    <n v="13.6966"/>
    <n v="-89.165999999999997"/>
    <n v="36700"/>
    <n v="0"/>
    <n v="0"/>
    <n v="102"/>
    <s v="_x0000_US"/>
  </r>
  <r>
    <x v="1"/>
    <n v="13.6967"/>
    <n v="-89.165899999999993"/>
    <n v="36700"/>
    <n v="0"/>
    <n v="0"/>
    <n v="102"/>
    <s v="_x0000_US"/>
  </r>
  <r>
    <x v="1"/>
    <n v="13.6967"/>
    <n v="-89.165899999999993"/>
    <n v="36700"/>
    <n v="0"/>
    <n v="0"/>
    <n v="102"/>
    <s v="_x0000_US"/>
  </r>
  <r>
    <x v="1"/>
    <n v="13.6966"/>
    <n v="-89.165899999999993"/>
    <n v="36700"/>
    <n v="0"/>
    <n v="0"/>
    <n v="102"/>
    <s v="_x0000_US"/>
  </r>
  <r>
    <x v="1"/>
    <n v="13.6966"/>
    <n v="-89.165899999999993"/>
    <n v="36700"/>
    <n v="0"/>
    <n v="0"/>
    <n v="102"/>
    <s v="_x0000_US"/>
  </r>
  <r>
    <x v="1"/>
    <n v="13.6967"/>
    <n v="-89.165800000000004"/>
    <n v="36700"/>
    <n v="0"/>
    <n v="0"/>
    <n v="102"/>
    <s v="_x0000_US"/>
  </r>
  <r>
    <x v="1"/>
    <n v="13.6967"/>
    <n v="-89.165800000000004"/>
    <n v="36700"/>
    <n v="0"/>
    <n v="0"/>
    <n v="102"/>
    <s v="_x0000_US"/>
  </r>
  <r>
    <x v="1"/>
    <n v="13.6967"/>
    <n v="-89.165800000000004"/>
    <n v="36700"/>
    <n v="0"/>
    <n v="0"/>
    <n v="102"/>
    <s v="_x0000_US"/>
  </r>
  <r>
    <x v="1"/>
    <n v="13.6967"/>
    <n v="-89.165700000000001"/>
    <n v="36700"/>
    <n v="0"/>
    <n v="0"/>
    <n v="102"/>
    <s v="_x0000_US"/>
  </r>
  <r>
    <x v="1"/>
    <n v="13.6966"/>
    <n v="-89.165700000000001"/>
    <n v="36700"/>
    <n v="0"/>
    <n v="0"/>
    <n v="102"/>
    <s v="_x0000_US"/>
  </r>
  <r>
    <x v="1"/>
    <n v="13.6966"/>
    <n v="-89.165599999999998"/>
    <n v="36700"/>
    <n v="0"/>
    <n v="0"/>
    <n v="102"/>
    <s v="_x0000_US"/>
  </r>
  <r>
    <x v="1"/>
    <n v="13.6965"/>
    <n v="-89.165800000000004"/>
    <n v="36700"/>
    <n v="0"/>
    <n v="0"/>
    <n v="102"/>
    <s v="_x0000_US"/>
  </r>
  <r>
    <x v="1"/>
    <n v="13.6965"/>
    <n v="-89.165800000000004"/>
    <n v="36700"/>
    <n v="0"/>
    <n v="0"/>
    <n v="102"/>
    <s v="_x0000_US"/>
  </r>
  <r>
    <x v="1"/>
    <n v="13.6965"/>
    <n v="-89.165899999999993"/>
    <n v="36700"/>
    <n v="0"/>
    <n v="0"/>
    <n v="102"/>
    <s v="_x0000_US"/>
  </r>
  <r>
    <x v="1"/>
    <n v="13.6965"/>
    <n v="-89.165999999999997"/>
    <n v="36700"/>
    <n v="0"/>
    <n v="0"/>
    <n v="102"/>
    <s v="_x0000_US"/>
  </r>
  <r>
    <x v="1"/>
    <n v="13.6965"/>
    <n v="-89.1661"/>
    <n v="36700"/>
    <n v="0"/>
    <n v="0"/>
    <n v="102"/>
    <s v="_x0000_US"/>
  </r>
  <r>
    <x v="1"/>
    <n v="13.6965"/>
    <n v="-89.1661"/>
    <n v="36700"/>
    <n v="0"/>
    <n v="0"/>
    <n v="102"/>
    <s v="_x0000_US"/>
  </r>
  <r>
    <x v="1"/>
    <n v="13.6966"/>
    <n v="-89.166200000000003"/>
    <n v="36700"/>
    <n v="0"/>
    <n v="0"/>
    <n v="102"/>
    <s v="_x0000_US"/>
  </r>
  <r>
    <x v="1"/>
    <n v="13.6966"/>
    <n v="-89.166200000000003"/>
    <n v="36700"/>
    <n v="0"/>
    <n v="0"/>
    <n v="102"/>
    <s v="_x0000_US"/>
  </r>
  <r>
    <x v="1"/>
    <n v="13.6967"/>
    <n v="-89.165599999999998"/>
    <n v="36700"/>
    <n v="0"/>
    <n v="0"/>
    <n v="102"/>
    <s v="_x0000_US"/>
  </r>
  <r>
    <x v="1"/>
    <n v="13.6967"/>
    <n v="-89.165700000000001"/>
    <n v="36700"/>
    <n v="0"/>
    <n v="0"/>
    <n v="102"/>
    <s v="_x0000_US"/>
  </r>
  <r>
    <x v="1"/>
    <n v="13.6968"/>
    <n v="-89.165700000000001"/>
    <n v="36700"/>
    <n v="0"/>
    <n v="0"/>
    <n v="102"/>
    <s v="_x0000_US"/>
  </r>
  <r>
    <x v="1"/>
    <n v="13.6968"/>
    <n v="-89.165800000000004"/>
    <n v="36700"/>
    <n v="0"/>
    <n v="0"/>
    <n v="102"/>
    <s v="_x0000_US"/>
  </r>
  <r>
    <x v="1"/>
    <n v="13.6968"/>
    <n v="-89.165800000000004"/>
    <n v="36700"/>
    <n v="0"/>
    <n v="0"/>
    <n v="102"/>
    <s v="_x0000_US"/>
  </r>
  <r>
    <x v="1"/>
    <n v="13.6968"/>
    <n v="-89.165899999999993"/>
    <n v="36700"/>
    <n v="0"/>
    <n v="0"/>
    <n v="102"/>
    <s v="_x0000_US"/>
  </r>
  <r>
    <x v="1"/>
    <n v="13.6968"/>
    <n v="-89.1661"/>
    <n v="36700"/>
    <n v="0"/>
    <n v="0"/>
    <n v="102"/>
    <s v="_x0000_US"/>
  </r>
  <r>
    <x v="1"/>
    <n v="13.696899999999999"/>
    <n v="-89.165999999999997"/>
    <n v="36700"/>
    <n v="0"/>
    <n v="0"/>
    <n v="102"/>
    <s v="_x0000_US"/>
  </r>
  <r>
    <x v="1"/>
    <n v="13.6968"/>
    <n v="-89.165899999999993"/>
    <n v="36700"/>
    <n v="0"/>
    <n v="0"/>
    <n v="102"/>
    <s v="_x0000_US"/>
  </r>
  <r>
    <x v="1"/>
    <n v="13.6968"/>
    <n v="-89.165899999999993"/>
    <n v="36700"/>
    <n v="0"/>
    <n v="0"/>
    <n v="102"/>
    <s v="_x0000_US"/>
  </r>
  <r>
    <x v="1"/>
    <n v="13.696999999999999"/>
    <n v="-89.165899999999993"/>
    <n v="36700"/>
    <n v="0"/>
    <n v="0"/>
    <n v="102"/>
    <s v="_x0000_US"/>
  </r>
  <r>
    <x v="1"/>
    <n v="13.696999999999999"/>
    <n v="-89.165800000000004"/>
    <n v="36700"/>
    <n v="0"/>
    <n v="0"/>
    <n v="102"/>
    <s v="_x0000_US"/>
  </r>
  <r>
    <x v="1"/>
    <n v="13.696999999999999"/>
    <n v="-89.165800000000004"/>
    <n v="36700"/>
    <n v="0"/>
    <n v="0"/>
    <n v="102"/>
    <s v="_x0000_US"/>
  </r>
  <r>
    <x v="1"/>
    <n v="13.696899999999999"/>
    <n v="-89.165800000000004"/>
    <n v="36700"/>
    <n v="0"/>
    <n v="0"/>
    <n v="102"/>
    <s v="_x0000_US"/>
  </r>
  <r>
    <x v="1"/>
    <n v="13.696899999999999"/>
    <n v="-89.165700000000001"/>
    <n v="36700"/>
    <n v="0"/>
    <n v="0"/>
    <n v="102"/>
    <s v="_x0000_US"/>
  </r>
  <r>
    <x v="1"/>
    <n v="13.696899999999999"/>
    <n v="-89.165700000000001"/>
    <n v="36700"/>
    <n v="0"/>
    <n v="0"/>
    <n v="102"/>
    <s v="_x0000_US"/>
  </r>
  <r>
    <x v="1"/>
    <n v="13.696999999999999"/>
    <n v="-89.165599999999998"/>
    <n v="36700"/>
    <n v="0"/>
    <n v="0"/>
    <n v="102"/>
    <s v="_x0000_US"/>
  </r>
  <r>
    <x v="1"/>
    <n v="13.696999999999999"/>
    <n v="-89.165899999999993"/>
    <n v="36700"/>
    <n v="0"/>
    <n v="0"/>
    <n v="102"/>
    <s v="_x0000_US"/>
  </r>
  <r>
    <x v="1"/>
    <n v="13.697100000000001"/>
    <n v="-89.165899999999993"/>
    <n v="36700"/>
    <n v="0"/>
    <n v="0"/>
    <n v="102"/>
    <s v="_x0000_US"/>
  </r>
  <r>
    <x v="1"/>
    <n v="13.697100000000001"/>
    <n v="-89.165800000000004"/>
    <n v="36700"/>
    <n v="0"/>
    <n v="0"/>
    <n v="102"/>
    <s v="_x0000_US"/>
  </r>
  <r>
    <x v="1"/>
    <n v="13.697100000000001"/>
    <n v="-89.165800000000004"/>
    <n v="36700"/>
    <n v="0"/>
    <n v="0"/>
    <n v="102"/>
    <s v="_x0000_US"/>
  </r>
  <r>
    <x v="1"/>
    <n v="13.696999999999999"/>
    <n v="-89.165800000000004"/>
    <n v="36700"/>
    <n v="0"/>
    <n v="0"/>
    <n v="102"/>
    <s v="_x0000_US"/>
  </r>
  <r>
    <x v="1"/>
    <n v="13.696999999999999"/>
    <n v="-89.165700000000001"/>
    <n v="36700"/>
    <n v="0"/>
    <n v="0"/>
    <n v="102"/>
    <s v="_x0000_US"/>
  </r>
  <r>
    <x v="1"/>
    <n v="13.696999999999999"/>
    <n v="-89.165700000000001"/>
    <n v="36700"/>
    <n v="0"/>
    <n v="0"/>
    <n v="102"/>
    <s v="_x0000_US"/>
  </r>
  <r>
    <x v="1"/>
    <n v="13.6972"/>
    <n v="-89.165700000000001"/>
    <n v="36700"/>
    <n v="0"/>
    <n v="0"/>
    <n v="102"/>
    <s v="_x0000_US"/>
  </r>
  <r>
    <x v="1"/>
    <n v="13.6972"/>
    <n v="-89.165700000000001"/>
    <n v="36700"/>
    <n v="0"/>
    <n v="0"/>
    <n v="102"/>
    <s v="_x0000_US"/>
  </r>
  <r>
    <x v="1"/>
    <n v="13.6972"/>
    <n v="-89.165599999999998"/>
    <n v="36700"/>
    <n v="0"/>
    <n v="0"/>
    <n v="102"/>
    <s v="_x0000_US"/>
  </r>
  <r>
    <x v="1"/>
    <n v="13.697100000000001"/>
    <n v="-89.165599999999998"/>
    <n v="36700"/>
    <n v="0"/>
    <n v="0"/>
    <n v="102"/>
    <s v="_x0000_US"/>
  </r>
  <r>
    <x v="1"/>
    <n v="13.697100000000001"/>
    <n v="-89.165499999999994"/>
    <n v="36700"/>
    <n v="0"/>
    <n v="0"/>
    <n v="102"/>
    <s v="_x0000_US"/>
  </r>
  <r>
    <x v="1"/>
    <n v="13.697100000000001"/>
    <n v="-89.165499999999994"/>
    <n v="36700"/>
    <n v="0"/>
    <n v="0"/>
    <n v="102"/>
    <s v="_x0000_US"/>
  </r>
  <r>
    <x v="1"/>
    <n v="13.697100000000001"/>
    <n v="-89.165400000000005"/>
    <n v="36700"/>
    <n v="0"/>
    <n v="0"/>
    <n v="102"/>
    <s v="_x0000_US"/>
  </r>
  <r>
    <x v="1"/>
    <n v="13.697100000000001"/>
    <n v="-89.165400000000005"/>
    <n v="36700"/>
    <n v="0"/>
    <n v="0"/>
    <n v="102"/>
    <s v="_x0000_US"/>
  </r>
  <r>
    <x v="1"/>
    <n v="13.696999999999999"/>
    <n v="-89.165599999999998"/>
    <n v="36700"/>
    <n v="0"/>
    <n v="0"/>
    <n v="102"/>
    <s v="_x0000_US"/>
  </r>
  <r>
    <x v="1"/>
    <n v="13.696999999999999"/>
    <n v="-89.165499999999994"/>
    <n v="36700"/>
    <n v="0"/>
    <n v="0"/>
    <n v="102"/>
    <s v="_x0000_US"/>
  </r>
  <r>
    <x v="1"/>
    <n v="13.696899999999999"/>
    <n v="-89.165499999999994"/>
    <n v="36700"/>
    <n v="0"/>
    <n v="0"/>
    <n v="102"/>
    <s v="_x0000_US"/>
  </r>
  <r>
    <x v="1"/>
    <n v="13.696899999999999"/>
    <n v="-89.165499999999994"/>
    <n v="36700"/>
    <n v="0"/>
    <n v="0"/>
    <n v="102"/>
    <s v="_x0000_US"/>
  </r>
  <r>
    <x v="1"/>
    <n v="13.697100000000001"/>
    <n v="-89.165400000000005"/>
    <n v="36700"/>
    <n v="0"/>
    <n v="0"/>
    <n v="102"/>
    <s v="_x0000_US"/>
  </r>
  <r>
    <x v="1"/>
    <n v="13.697100000000001"/>
    <n v="-89.165300000000002"/>
    <n v="36700"/>
    <n v="0"/>
    <n v="0"/>
    <n v="102"/>
    <s v="_x0000_US"/>
  </r>
  <r>
    <x v="1"/>
    <n v="13.697100000000001"/>
    <n v="-89.165300000000002"/>
    <n v="36700"/>
    <n v="0"/>
    <n v="0"/>
    <n v="102"/>
    <s v="_x0000_US"/>
  </r>
  <r>
    <x v="1"/>
    <n v="13.6972"/>
    <n v="-89.165300000000002"/>
    <n v="36700"/>
    <n v="0"/>
    <n v="0"/>
    <n v="102"/>
    <s v="_x0000_US"/>
  </r>
  <r>
    <x v="1"/>
    <n v="13.6972"/>
    <n v="-89.165400000000005"/>
    <n v="36700"/>
    <n v="0"/>
    <n v="0"/>
    <n v="102"/>
    <s v="_x0000_US"/>
  </r>
  <r>
    <x v="1"/>
    <n v="13.6972"/>
    <n v="-89.165400000000005"/>
    <n v="36700"/>
    <n v="0"/>
    <n v="0"/>
    <n v="102"/>
    <s v="_x0000_US"/>
  </r>
  <r>
    <x v="1"/>
    <n v="13.6972"/>
    <n v="-89.165499999999994"/>
    <n v="36700"/>
    <n v="0"/>
    <n v="0"/>
    <n v="102"/>
    <s v="_x0000_US"/>
  </r>
  <r>
    <x v="1"/>
    <n v="13.6972"/>
    <n v="-89.165499999999994"/>
    <n v="36700"/>
    <n v="0"/>
    <n v="0"/>
    <n v="102"/>
    <s v="_x0000_US"/>
  </r>
  <r>
    <x v="1"/>
    <n v="13.6972"/>
    <n v="-89.165499999999994"/>
    <n v="36700"/>
    <n v="0"/>
    <n v="0"/>
    <n v="102"/>
    <s v="_x0000_US"/>
  </r>
  <r>
    <x v="1"/>
    <n v="13.6972"/>
    <n v="-89.165599999999998"/>
    <n v="36700"/>
    <n v="0"/>
    <n v="0"/>
    <n v="102"/>
    <s v="_x0000_US"/>
  </r>
  <r>
    <x v="1"/>
    <n v="13.6972"/>
    <n v="-89.165700000000001"/>
    <n v="36700"/>
    <n v="0"/>
    <n v="0"/>
    <n v="102"/>
    <s v="_x0000_US"/>
  </r>
  <r>
    <x v="1"/>
    <n v="13.6973"/>
    <n v="-89.165700000000001"/>
    <n v="36700"/>
    <n v="0"/>
    <n v="0"/>
    <n v="102"/>
    <s v="_x0000_US"/>
  </r>
  <r>
    <x v="1"/>
    <n v="13.6973"/>
    <n v="-89.165700000000001"/>
    <n v="36700"/>
    <n v="0"/>
    <n v="0"/>
    <n v="102"/>
    <s v="_x0000_US"/>
  </r>
  <r>
    <x v="1"/>
    <n v="13.6973"/>
    <n v="-89.165599999999998"/>
    <n v="36700"/>
    <n v="0"/>
    <n v="0"/>
    <n v="102"/>
    <s v="_x0000_US"/>
  </r>
  <r>
    <x v="1"/>
    <n v="13.6974"/>
    <n v="-89.165499999999994"/>
    <n v="36700"/>
    <n v="0"/>
    <n v="0"/>
    <n v="102"/>
    <s v="_x0000_US"/>
  </r>
  <r>
    <x v="1"/>
    <n v="13.6974"/>
    <n v="-89.165499999999994"/>
    <n v="36700"/>
    <n v="0"/>
    <n v="0"/>
    <n v="102"/>
    <s v="_x0000_US"/>
  </r>
  <r>
    <x v="1"/>
    <n v="13.6974"/>
    <n v="-89.165400000000005"/>
    <n v="36700"/>
    <n v="0"/>
    <n v="0"/>
    <n v="102"/>
    <s v="_x0000_US"/>
  </r>
  <r>
    <x v="1"/>
    <n v="13.6973"/>
    <n v="-89.165400000000005"/>
    <n v="36700"/>
    <n v="0"/>
    <n v="0"/>
    <n v="102"/>
    <s v="_x0000_US"/>
  </r>
  <r>
    <x v="1"/>
    <n v="13.6973"/>
    <n v="-89.165400000000005"/>
    <n v="36700"/>
    <n v="0"/>
    <n v="0"/>
    <n v="102"/>
    <s v="_x0000_US"/>
  </r>
  <r>
    <x v="1"/>
    <n v="13.6973"/>
    <n v="-89.165300000000002"/>
    <n v="36700"/>
    <n v="0"/>
    <n v="0"/>
    <n v="102"/>
    <s v="_x0000_US"/>
  </r>
  <r>
    <x v="1"/>
    <n v="13.6973"/>
    <n v="-89.165300000000002"/>
    <n v="36700"/>
    <n v="0"/>
    <n v="0"/>
    <n v="102"/>
    <s v="_x0000_US"/>
  </r>
  <r>
    <x v="1"/>
    <n v="13.6973"/>
    <n v="-89.165199999999999"/>
    <n v="36700"/>
    <n v="0"/>
    <n v="0"/>
    <n v="102"/>
    <s v="_x0000_US"/>
  </r>
  <r>
    <x v="1"/>
    <n v="13.6974"/>
    <n v="-89.165700000000001"/>
    <n v="36700"/>
    <n v="0"/>
    <n v="0"/>
    <n v="102"/>
    <s v="_x0000_US"/>
  </r>
  <r>
    <x v="1"/>
    <n v="13.6974"/>
    <n v="-89.165599999999998"/>
    <n v="36700"/>
    <n v="0"/>
    <n v="0"/>
    <n v="102"/>
    <s v="_x0000_US"/>
  </r>
  <r>
    <x v="1"/>
    <n v="13.6974"/>
    <n v="-89.165599999999998"/>
    <n v="36700"/>
    <n v="0"/>
    <n v="0"/>
    <n v="102"/>
    <s v="_x0000_US"/>
  </r>
  <r>
    <x v="1"/>
    <n v="13.6975"/>
    <n v="-89.165599999999998"/>
    <n v="36700"/>
    <n v="0"/>
    <n v="0"/>
    <n v="102"/>
    <s v="_x0000_US"/>
  </r>
  <r>
    <x v="1"/>
    <n v="13.6975"/>
    <n v="-89.165499999999994"/>
    <n v="36700"/>
    <n v="0"/>
    <n v="0"/>
    <n v="102"/>
    <s v="_x0000_US"/>
  </r>
  <r>
    <x v="1"/>
    <n v="13.6975"/>
    <n v="-89.165499999999994"/>
    <n v="36700"/>
    <n v="0"/>
    <n v="0"/>
    <n v="102"/>
    <s v="_x0000_US"/>
  </r>
  <r>
    <x v="1"/>
    <n v="13.6975"/>
    <n v="-89.165400000000005"/>
    <n v="36700"/>
    <n v="0"/>
    <n v="0"/>
    <n v="102"/>
    <s v="_x0000_US"/>
  </r>
  <r>
    <x v="1"/>
    <n v="13.6975"/>
    <n v="-89.165400000000005"/>
    <n v="36700"/>
    <n v="0"/>
    <n v="0"/>
    <n v="102"/>
    <s v="_x0000_US"/>
  </r>
  <r>
    <x v="1"/>
    <n v="13.6974"/>
    <n v="-89.165300000000002"/>
    <n v="36700"/>
    <n v="0"/>
    <n v="0"/>
    <n v="102"/>
    <s v="_x0000_US"/>
  </r>
  <r>
    <x v="1"/>
    <n v="13.6974"/>
    <n v="-89.165300000000002"/>
    <n v="36700"/>
    <n v="0"/>
    <n v="0"/>
    <n v="102"/>
    <s v="_x0000_US"/>
  </r>
  <r>
    <x v="1"/>
    <n v="13.6974"/>
    <n v="-89.165300000000002"/>
    <n v="36700"/>
    <n v="0"/>
    <n v="0"/>
    <n v="102"/>
    <s v="_x0000_US"/>
  </r>
  <r>
    <x v="1"/>
    <n v="13.6974"/>
    <n v="-89.165199999999999"/>
    <n v="36700"/>
    <n v="0"/>
    <n v="0"/>
    <n v="102"/>
    <s v="_x0000_US"/>
  </r>
  <r>
    <x v="1"/>
    <n v="13.6976"/>
    <n v="-89.165199999999999"/>
    <n v="36700"/>
    <n v="0"/>
    <n v="0"/>
    <n v="102"/>
    <s v="_x0000_US"/>
  </r>
  <r>
    <x v="1"/>
    <n v="13.6976"/>
    <n v="-89.165300000000002"/>
    <n v="36700"/>
    <n v="0"/>
    <n v="0"/>
    <n v="102"/>
    <s v="_x0000_US"/>
  </r>
  <r>
    <x v="1"/>
    <n v="13.6976"/>
    <n v="-89.165300000000002"/>
    <n v="36700"/>
    <n v="0"/>
    <n v="0"/>
    <n v="102"/>
    <s v="_x0000_US"/>
  </r>
  <r>
    <x v="1"/>
    <n v="13.6976"/>
    <n v="-89.165400000000005"/>
    <n v="36700"/>
    <n v="0"/>
    <n v="0"/>
    <n v="102"/>
    <s v="_x0000_US"/>
  </r>
  <r>
    <x v="1"/>
    <n v="13.697699999999999"/>
    <n v="-89.165499999999994"/>
    <n v="36700"/>
    <n v="0"/>
    <n v="0"/>
    <n v="102"/>
    <s v="_x0000_US"/>
  </r>
  <r>
    <x v="1"/>
    <n v="13.6976"/>
    <n v="-89.165499999999994"/>
    <n v="36700"/>
    <n v="0"/>
    <n v="0"/>
    <n v="102"/>
    <s v="_x0000_US"/>
  </r>
  <r>
    <x v="1"/>
    <n v="13.6976"/>
    <n v="-89.165400000000005"/>
    <n v="36700"/>
    <n v="0"/>
    <n v="0"/>
    <n v="102"/>
    <s v="_x0000_US"/>
  </r>
  <r>
    <x v="1"/>
    <n v="13.697699999999999"/>
    <n v="-89.165400000000005"/>
    <n v="36700"/>
    <n v="0"/>
    <n v="0"/>
    <n v="102"/>
    <s v="_x0000_US"/>
  </r>
  <r>
    <x v="1"/>
    <n v="13.697699999999999"/>
    <n v="-89.165400000000005"/>
    <n v="36700"/>
    <n v="0"/>
    <n v="0"/>
    <n v="102"/>
    <s v="_x0000_US"/>
  </r>
  <r>
    <x v="1"/>
    <n v="13.697699999999999"/>
    <n v="-89.165300000000002"/>
    <n v="36700"/>
    <n v="0"/>
    <n v="0"/>
    <n v="102"/>
    <s v="_x0000_US"/>
  </r>
  <r>
    <x v="1"/>
    <n v="13.697699999999999"/>
    <n v="-89.165300000000002"/>
    <n v="36700"/>
    <n v="0"/>
    <n v="0"/>
    <n v="102"/>
    <s v="_x0000_US"/>
  </r>
  <r>
    <x v="1"/>
    <n v="13.697699999999999"/>
    <n v="-89.165199999999999"/>
    <n v="36700"/>
    <n v="0"/>
    <n v="0"/>
    <n v="102"/>
    <s v="_x0000_US"/>
  </r>
  <r>
    <x v="1"/>
    <n v="13.697900000000001"/>
    <n v="-89.165300000000002"/>
    <n v="36700"/>
    <n v="0"/>
    <n v="0"/>
    <n v="102"/>
    <s v="_x0000_US"/>
  </r>
  <r>
    <x v="1"/>
    <n v="13.697800000000001"/>
    <n v="-89.165300000000002"/>
    <n v="36700"/>
    <n v="0"/>
    <n v="0"/>
    <n v="102"/>
    <s v="_x0000_US"/>
  </r>
  <r>
    <x v="1"/>
    <n v="13.697800000000001"/>
    <n v="-89.165199999999999"/>
    <n v="36700"/>
    <n v="0"/>
    <n v="0"/>
    <n v="102"/>
    <s v="_x0000_US"/>
  </r>
  <r>
    <x v="1"/>
    <n v="13.6975"/>
    <n v="-89.165099999999995"/>
    <n v="36700"/>
    <n v="0"/>
    <n v="0"/>
    <n v="102"/>
    <s v="_x0000_US"/>
  </r>
  <r>
    <x v="1"/>
    <n v="13.6975"/>
    <n v="-89.165199999999999"/>
    <n v="36700"/>
    <n v="0"/>
    <n v="0"/>
    <n v="102"/>
    <s v="_x0000_US"/>
  </r>
  <r>
    <x v="1"/>
    <n v="13.6975"/>
    <n v="-89.165199999999999"/>
    <n v="36700"/>
    <n v="0"/>
    <n v="0"/>
    <n v="102"/>
    <s v="_x0000_US"/>
  </r>
  <r>
    <x v="1"/>
    <n v="13.697699999999999"/>
    <n v="-89.165199999999999"/>
    <n v="36700"/>
    <n v="0"/>
    <n v="0"/>
    <n v="102"/>
    <s v="_x0000_US"/>
  </r>
  <r>
    <x v="1"/>
    <n v="13.6976"/>
    <n v="-89.165199999999999"/>
    <n v="36700"/>
    <n v="0"/>
    <n v="0"/>
    <n v="102"/>
    <s v="_x0000_US"/>
  </r>
  <r>
    <x v="1"/>
    <n v="13.6976"/>
    <n v="-89.165099999999995"/>
    <n v="36700"/>
    <n v="0"/>
    <n v="0"/>
    <n v="102"/>
    <s v="_x0000_US"/>
  </r>
  <r>
    <x v="1"/>
    <n v="13.6976"/>
    <n v="-89.165099999999995"/>
    <n v="36700"/>
    <n v="0"/>
    <n v="0"/>
    <n v="102"/>
    <s v="_x0000_US"/>
  </r>
  <r>
    <x v="1"/>
    <n v="13.697800000000001"/>
    <n v="-89.165000000000006"/>
    <n v="36700"/>
    <n v="0"/>
    <n v="0"/>
    <n v="102"/>
    <s v="_x0000_US"/>
  </r>
  <r>
    <x v="1"/>
    <n v="13.697800000000001"/>
    <n v="-89.165199999999999"/>
    <n v="36700"/>
    <n v="0"/>
    <n v="0"/>
    <n v="102"/>
    <s v="_x0000_US"/>
  </r>
  <r>
    <x v="1"/>
    <n v="13.697800000000001"/>
    <n v="-89.165199999999999"/>
    <n v="36700"/>
    <n v="0"/>
    <n v="0"/>
    <n v="102"/>
    <s v="_x0000_US"/>
  </r>
  <r>
    <x v="1"/>
    <n v="13.697800000000001"/>
    <n v="-89.165099999999995"/>
    <n v="36700"/>
    <n v="0"/>
    <n v="0"/>
    <n v="102"/>
    <s v="_x0000_US"/>
  </r>
  <r>
    <x v="1"/>
    <n v="13.697800000000001"/>
    <n v="-89.165099999999995"/>
    <n v="36700"/>
    <n v="0"/>
    <n v="0"/>
    <n v="102"/>
    <s v="_x0000_US"/>
  </r>
  <r>
    <x v="1"/>
    <n v="13.6974"/>
    <n v="-89.165199999999999"/>
    <n v="36700"/>
    <n v="0"/>
    <n v="0"/>
    <n v="102"/>
    <s v="_x0000_US"/>
  </r>
  <r>
    <x v="1"/>
    <n v="13.696300000000001"/>
    <n v="-89.165599999999998"/>
    <n v="36700"/>
    <n v="0"/>
    <n v="0"/>
    <n v="102"/>
    <s v="_x0000_US"/>
  </r>
  <r>
    <x v="1"/>
    <n v="13.696400000000001"/>
    <n v="-89.165599999999998"/>
    <n v="36700"/>
    <n v="0"/>
    <n v="0"/>
    <n v="102"/>
    <s v="_x0000_US"/>
  </r>
  <r>
    <x v="1"/>
    <n v="13.696400000000001"/>
    <n v="-89.165599999999998"/>
    <n v="36700"/>
    <n v="0"/>
    <n v="0"/>
    <n v="102"/>
    <s v="_x0000_US"/>
  </r>
  <r>
    <x v="1"/>
    <n v="13.6965"/>
    <n v="-89.165599999999998"/>
    <n v="36700"/>
    <n v="0"/>
    <n v="0"/>
    <n v="102"/>
    <s v="_x0000_US"/>
  </r>
  <r>
    <x v="1"/>
    <n v="13.696400000000001"/>
    <n v="-89.165599999999998"/>
    <n v="36700"/>
    <n v="0"/>
    <n v="0"/>
    <n v="102"/>
    <s v="_x0000_US"/>
  </r>
  <r>
    <x v="1"/>
    <n v="13.696400000000001"/>
    <n v="-89.165700000000001"/>
    <n v="36700"/>
    <n v="0"/>
    <n v="0"/>
    <n v="102"/>
    <s v="_x0000_US"/>
  </r>
  <r>
    <x v="1"/>
    <n v="13.696400000000001"/>
    <n v="-89.165800000000004"/>
    <n v="36700"/>
    <n v="0"/>
    <n v="0"/>
    <n v="102"/>
    <s v="_x0000_US"/>
  </r>
  <r>
    <x v="1"/>
    <n v="13.696400000000001"/>
    <n v="-89.165800000000004"/>
    <n v="36700"/>
    <n v="0"/>
    <n v="0"/>
    <n v="102"/>
    <s v="_x0000_US"/>
  </r>
  <r>
    <x v="1"/>
    <n v="13.696400000000001"/>
    <n v="-89.165899999999993"/>
    <n v="36700"/>
    <n v="0"/>
    <n v="0"/>
    <n v="102"/>
    <s v="_x0000_US"/>
  </r>
  <r>
    <x v="1"/>
    <n v="13.6965"/>
    <n v="-89.165899999999993"/>
    <n v="36700"/>
    <n v="0"/>
    <n v="0"/>
    <n v="102"/>
    <s v="_x0000_US"/>
  </r>
  <r>
    <x v="1"/>
    <n v="13.6965"/>
    <n v="-89.165899999999993"/>
    <n v="36700"/>
    <n v="0"/>
    <n v="0"/>
    <n v="102"/>
    <s v="_x0000_US"/>
  </r>
  <r>
    <x v="1"/>
    <n v="13.696400000000001"/>
    <n v="-89.1661"/>
    <n v="36700"/>
    <n v="0"/>
    <n v="0"/>
    <n v="102"/>
    <s v="_x0000_US"/>
  </r>
  <r>
    <x v="1"/>
    <n v="13.696400000000001"/>
    <n v="-89.1661"/>
    <n v="36700"/>
    <n v="0"/>
    <n v="0"/>
    <n v="102"/>
    <s v="_x0000_US"/>
  </r>
  <r>
    <x v="1"/>
    <n v="13.696300000000001"/>
    <n v="-89.165999999999997"/>
    <n v="36700"/>
    <n v="0"/>
    <n v="0"/>
    <n v="102"/>
    <s v="_x0000_US"/>
  </r>
  <r>
    <x v="1"/>
    <n v="13.696300000000001"/>
    <n v="-89.165999999999997"/>
    <n v="36700"/>
    <n v="0"/>
    <n v="0"/>
    <n v="102"/>
    <s v="_x0000_US"/>
  </r>
  <r>
    <x v="1"/>
    <n v="13.696400000000001"/>
    <n v="-89.166300000000007"/>
    <n v="36700"/>
    <n v="0"/>
    <n v="0"/>
    <n v="102"/>
    <s v="_x0000_US"/>
  </r>
  <r>
    <x v="1"/>
    <n v="13.696400000000001"/>
    <n v="-89.166200000000003"/>
    <n v="36700"/>
    <n v="0"/>
    <n v="0"/>
    <n v="102"/>
    <s v="_x0000_US"/>
  </r>
  <r>
    <x v="1"/>
    <n v="13.696400000000001"/>
    <n v="-89.166200000000003"/>
    <n v="36700"/>
    <n v="0"/>
    <n v="0"/>
    <n v="102"/>
    <s v="_x0000_US"/>
  </r>
  <r>
    <x v="1"/>
    <n v="13.696099999999999"/>
    <n v="-89.166200000000003"/>
    <n v="36700"/>
    <n v="0"/>
    <n v="0"/>
    <n v="102"/>
    <s v="_x0000_US"/>
  </r>
  <r>
    <x v="1"/>
    <n v="13.696199999999999"/>
    <n v="-89.165999999999997"/>
    <n v="36700"/>
    <n v="0"/>
    <n v="0"/>
    <n v="102"/>
    <s v="_x0000_US"/>
  </r>
  <r>
    <x v="1"/>
    <n v="13.696099999999999"/>
    <n v="-89.1661"/>
    <n v="36700"/>
    <n v="0"/>
    <n v="0"/>
    <n v="102"/>
    <s v="_x0000_US"/>
  </r>
  <r>
    <x v="1"/>
    <n v="13.696099999999999"/>
    <n v="-89.1661"/>
    <n v="36700"/>
    <n v="0"/>
    <n v="0"/>
    <n v="102"/>
    <s v="_x0000_US"/>
  </r>
  <r>
    <x v="1"/>
    <n v="13.696099999999999"/>
    <n v="-89.165999999999997"/>
    <n v="36700"/>
    <n v="0"/>
    <n v="0"/>
    <n v="102"/>
    <s v="_x0000_US"/>
  </r>
  <r>
    <x v="1"/>
    <n v="13.696199999999999"/>
    <n v="-89.165899999999993"/>
    <n v="36700"/>
    <n v="0"/>
    <n v="0"/>
    <n v="102"/>
    <s v="_x0000_US"/>
  </r>
  <r>
    <x v="1"/>
    <n v="13.696199999999999"/>
    <n v="-89.165899999999993"/>
    <n v="36700"/>
    <n v="0"/>
    <n v="0"/>
    <n v="102"/>
    <s v="_x0000_US"/>
  </r>
  <r>
    <x v="1"/>
    <n v="13.696199999999999"/>
    <n v="-89.165800000000004"/>
    <n v="36700"/>
    <n v="0"/>
    <n v="0"/>
    <n v="102"/>
    <s v="_x0000_US"/>
  </r>
  <r>
    <x v="1"/>
    <n v="13.696099999999999"/>
    <n v="-89.165800000000004"/>
    <n v="36700"/>
    <n v="0"/>
    <n v="0"/>
    <n v="102"/>
    <s v="_x0000_US"/>
  </r>
  <r>
    <x v="1"/>
    <n v="13.696099999999999"/>
    <n v="-89.165700000000001"/>
    <n v="36700"/>
    <n v="0"/>
    <n v="0"/>
    <n v="102"/>
    <s v="_x0000_US"/>
  </r>
  <r>
    <x v="1"/>
    <n v="13.696099999999999"/>
    <n v="-89.165700000000001"/>
    <n v="36700"/>
    <n v="0"/>
    <n v="0"/>
    <n v="102"/>
    <s v="_x0000_US"/>
  </r>
  <r>
    <x v="1"/>
    <n v="13.696199999999999"/>
    <n v="-89.165599999999998"/>
    <n v="36700"/>
    <n v="0"/>
    <n v="0"/>
    <n v="102"/>
    <s v="_x0000_US"/>
  </r>
  <r>
    <x v="1"/>
    <n v="13.696199999999999"/>
    <n v="-89.165700000000001"/>
    <n v="36700"/>
    <n v="0"/>
    <n v="0"/>
    <n v="102"/>
    <s v="_x0000_US"/>
  </r>
  <r>
    <x v="1"/>
    <n v="13.696199999999999"/>
    <n v="-89.165700000000001"/>
    <n v="36700"/>
    <n v="0"/>
    <n v="0"/>
    <n v="102"/>
    <s v="_x0000_US"/>
  </r>
  <r>
    <x v="1"/>
    <n v="13.696199999999999"/>
    <n v="-89.165800000000004"/>
    <n v="36700"/>
    <n v="0"/>
    <n v="0"/>
    <n v="102"/>
    <s v="_x0000_US"/>
  </r>
  <r>
    <x v="1"/>
    <n v="13.696300000000001"/>
    <n v="-89.165899999999993"/>
    <n v="36700"/>
    <n v="0"/>
    <n v="0"/>
    <n v="102"/>
    <s v="_x0000_US"/>
  </r>
  <r>
    <x v="1"/>
    <n v="13.696300000000001"/>
    <n v="-89.165800000000004"/>
    <n v="36700"/>
    <n v="0"/>
    <n v="0"/>
    <n v="102"/>
    <s v="_x0000_US"/>
  </r>
  <r>
    <x v="1"/>
    <n v="13.696"/>
    <n v="-89.165999999999997"/>
    <n v="36700"/>
    <n v="0"/>
    <n v="0"/>
    <n v="102"/>
    <s v="_x0000_US"/>
  </r>
  <r>
    <x v="1"/>
    <n v="13.696"/>
    <n v="-89.165999999999997"/>
    <n v="36700"/>
    <n v="0"/>
    <n v="0"/>
    <n v="102"/>
    <s v="_x0000_US"/>
  </r>
  <r>
    <x v="1"/>
    <n v="13.696"/>
    <n v="-89.165899999999993"/>
    <n v="36700"/>
    <n v="0"/>
    <n v="0"/>
    <n v="102"/>
    <s v="_x0000_US"/>
  </r>
  <r>
    <x v="1"/>
    <n v="13.696"/>
    <n v="-89.165899999999993"/>
    <n v="36700"/>
    <n v="0"/>
    <n v="0"/>
    <n v="102"/>
    <s v="_x0000_US"/>
  </r>
  <r>
    <x v="1"/>
    <n v="13.696"/>
    <n v="-89.165800000000004"/>
    <n v="36700"/>
    <n v="0"/>
    <n v="0"/>
    <n v="102"/>
    <s v="_x0000_US"/>
  </r>
  <r>
    <x v="1"/>
    <n v="13.696"/>
    <n v="-89.165800000000004"/>
    <n v="36700"/>
    <n v="0"/>
    <n v="0"/>
    <n v="102"/>
    <s v="_x0000_US"/>
  </r>
  <r>
    <x v="1"/>
    <n v="13.6959"/>
    <n v="-89.165700000000001"/>
    <n v="36700"/>
    <n v="0"/>
    <n v="0"/>
    <n v="102"/>
    <s v="_x0000_US"/>
  </r>
  <r>
    <x v="1"/>
    <n v="13.696899999999999"/>
    <n v="-89.165499999999994"/>
    <n v="36700"/>
    <n v="0"/>
    <n v="0"/>
    <n v="102"/>
    <s v="_x0000_US"/>
  </r>
  <r>
    <x v="1"/>
    <n v="13.6968"/>
    <n v="-89.165499999999994"/>
    <n v="36700"/>
    <n v="0"/>
    <n v="0"/>
    <n v="102"/>
    <s v="_x0000_US"/>
  </r>
  <r>
    <x v="1"/>
    <n v="13.6968"/>
    <n v="-89.165499999999994"/>
    <n v="36700"/>
    <n v="0"/>
    <n v="0"/>
    <n v="102"/>
    <s v="_x0000_US"/>
  </r>
  <r>
    <x v="1"/>
    <n v="13.6968"/>
    <n v="-89.165400000000005"/>
    <n v="36700"/>
    <n v="0"/>
    <n v="0"/>
    <n v="102"/>
    <s v="_x0000_US"/>
  </r>
  <r>
    <x v="1"/>
    <n v="13.6967"/>
    <n v="-89.165599999999998"/>
    <n v="36700"/>
    <n v="0"/>
    <n v="0"/>
    <n v="102"/>
    <s v="_x0000_US"/>
  </r>
  <r>
    <x v="1"/>
    <n v="13.6967"/>
    <n v="-89.165599999999998"/>
    <n v="36700"/>
    <n v="0"/>
    <n v="0"/>
    <n v="102"/>
    <s v="_x0000_US"/>
  </r>
  <r>
    <x v="1"/>
    <n v="13.6967"/>
    <n v="-89.165499999999994"/>
    <n v="36700"/>
    <n v="0"/>
    <n v="0"/>
    <n v="102"/>
    <s v="_x0000_US"/>
  </r>
  <r>
    <x v="1"/>
    <n v="13.6967"/>
    <n v="-89.165499999999994"/>
    <n v="36700"/>
    <n v="0"/>
    <n v="0"/>
    <n v="102"/>
    <s v="_x0000_US"/>
  </r>
  <r>
    <x v="1"/>
    <n v="13.6966"/>
    <n v="-89.165599999999998"/>
    <n v="36700"/>
    <n v="0"/>
    <n v="0"/>
    <n v="102"/>
    <s v="_x0000_US"/>
  </r>
  <r>
    <x v="1"/>
    <n v="13.6966"/>
    <n v="-89.165599999999998"/>
    <n v="36700"/>
    <n v="0"/>
    <n v="0"/>
    <n v="102"/>
    <s v="_x0000_US"/>
  </r>
  <r>
    <x v="1"/>
    <n v="13.6966"/>
    <n v="-89.165499999999994"/>
    <n v="36700"/>
    <n v="0"/>
    <n v="0"/>
    <n v="102"/>
    <s v="_x0000_US"/>
  </r>
  <r>
    <x v="1"/>
    <n v="13.6965"/>
    <n v="-89.165700000000001"/>
    <n v="36700"/>
    <n v="0"/>
    <n v="0"/>
    <n v="102"/>
    <s v="_x0000_US"/>
  </r>
  <r>
    <x v="1"/>
    <n v="13.6965"/>
    <n v="-89.165999999999997"/>
    <n v="36700"/>
    <n v="0"/>
    <n v="0"/>
    <n v="102"/>
    <s v="_x0000_US"/>
  </r>
  <r>
    <x v="1"/>
    <n v="13.696899999999999"/>
    <n v="-89.165400000000005"/>
    <n v="36700"/>
    <n v="0"/>
    <n v="0"/>
    <n v="102"/>
    <s v="_x0000_US"/>
  </r>
  <r>
    <x v="1"/>
    <n v="13.696899999999999"/>
    <n v="-89.165400000000005"/>
    <n v="36700"/>
    <n v="0"/>
    <n v="0"/>
    <n v="102"/>
    <s v="_x0000_US"/>
  </r>
  <r>
    <x v="1"/>
    <n v="13.6968"/>
    <n v="-89.165999999999997"/>
    <n v="36700"/>
    <n v="0"/>
    <n v="0"/>
    <n v="102"/>
    <s v="_x0000_US"/>
  </r>
  <r>
    <x v="1"/>
    <n v="13.6966"/>
    <n v="-89.1661"/>
    <n v="36700"/>
    <n v="0"/>
    <n v="0"/>
    <n v="102"/>
    <s v="_x0000_US"/>
  </r>
  <r>
    <x v="1"/>
    <n v="13.6968"/>
    <n v="-89.165999999999997"/>
    <n v="36700"/>
    <n v="0"/>
    <n v="0"/>
    <n v="102"/>
    <s v="_x0000_US"/>
  </r>
  <r>
    <x v="1"/>
    <n v="13.696300000000001"/>
    <n v="-89.166300000000007"/>
    <n v="36700"/>
    <n v="0"/>
    <n v="0"/>
    <n v="102"/>
    <s v="_x0000_US"/>
  </r>
  <r>
    <x v="1"/>
    <n v="13.696300000000001"/>
    <n v="-89.166300000000007"/>
    <n v="36700"/>
    <n v="0"/>
    <n v="0"/>
    <n v="102"/>
    <s v="_x0000_US"/>
  </r>
  <r>
    <x v="1"/>
    <n v="13.696300000000001"/>
    <n v="-89.166200000000003"/>
    <n v="36700"/>
    <n v="0"/>
    <n v="0"/>
    <n v="102"/>
    <s v="_x0000_US"/>
  </r>
  <r>
    <x v="1"/>
    <n v="13.696300000000001"/>
    <n v="-89.166200000000003"/>
    <n v="36700"/>
    <n v="0"/>
    <n v="0"/>
    <n v="102"/>
    <s v="_x0000_US"/>
  </r>
  <r>
    <x v="1"/>
    <n v="13.696300000000001"/>
    <n v="-89.1661"/>
    <n v="36700"/>
    <n v="0"/>
    <n v="0"/>
    <n v="102"/>
    <s v="_x0000_US"/>
  </r>
  <r>
    <x v="1"/>
    <n v="13.696199999999999"/>
    <n v="-89.1661"/>
    <n v="36700"/>
    <n v="0"/>
    <n v="0"/>
    <n v="102"/>
    <s v="_x0000_US"/>
  </r>
  <r>
    <x v="1"/>
    <n v="13.696199999999999"/>
    <n v="-89.165999999999997"/>
    <n v="36700"/>
    <n v="0"/>
    <n v="0"/>
    <n v="102"/>
    <s v="_x0000_US"/>
  </r>
  <r>
    <x v="1"/>
    <n v="13.696199999999999"/>
    <n v="-89.165899999999993"/>
    <n v="36700"/>
    <n v="0"/>
    <n v="0"/>
    <n v="102"/>
    <s v="_x0000_US"/>
  </r>
  <r>
    <x v="1"/>
    <n v="13.696199999999999"/>
    <n v="-89.166399999999996"/>
    <n v="36700"/>
    <n v="0"/>
    <n v="0"/>
    <n v="102"/>
    <s v="_x0000_US"/>
  </r>
  <r>
    <x v="1"/>
    <n v="13.696199999999999"/>
    <n v="-89.166300000000007"/>
    <n v="36700"/>
    <n v="0"/>
    <n v="0"/>
    <n v="102"/>
    <s v="_x0000_US"/>
  </r>
  <r>
    <x v="1"/>
    <n v="13.696099999999999"/>
    <n v="-89.166300000000007"/>
    <n v="36700"/>
    <n v="0"/>
    <n v="0"/>
    <n v="102"/>
    <s v="_x0000_US"/>
  </r>
  <r>
    <x v="1"/>
    <n v="13.696099999999999"/>
    <n v="-89.166200000000003"/>
    <n v="36700"/>
    <n v="0"/>
    <n v="0"/>
    <n v="102"/>
    <s v="_x0000_US"/>
  </r>
  <r>
    <x v="1"/>
    <n v="13.6974"/>
    <n v="-89.1708"/>
    <n v="12580"/>
    <n v="0"/>
    <n v="0"/>
    <n v="102"/>
    <s v="_x0000_US"/>
  </r>
  <r>
    <x v="1"/>
    <n v="13.6973"/>
    <n v="-89.1708"/>
    <n v="12580"/>
    <n v="0"/>
    <n v="0"/>
    <n v="102"/>
    <s v="_x0000_US"/>
  </r>
  <r>
    <x v="1"/>
    <n v="13.6972"/>
    <n v="-89.170699999999997"/>
    <n v="12580"/>
    <n v="0"/>
    <n v="0"/>
    <n v="102"/>
    <s v="_x0000_US"/>
  </r>
  <r>
    <x v="1"/>
    <n v="13.6974"/>
    <n v="-89.170500000000004"/>
    <n v="12580"/>
    <n v="0"/>
    <n v="0"/>
    <n v="102"/>
    <s v="_x0000_US"/>
  </r>
  <r>
    <x v="1"/>
    <n v="13.6974"/>
    <n v="-89.1708"/>
    <n v="12580"/>
    <n v="0"/>
    <n v="0"/>
    <n v="102"/>
    <s v="_x0000_US"/>
  </r>
  <r>
    <x v="1"/>
    <n v="13.6975"/>
    <n v="-89.1708"/>
    <n v="12580"/>
    <n v="0"/>
    <n v="0"/>
    <n v="102"/>
    <s v="_x0000_US"/>
  </r>
  <r>
    <x v="1"/>
    <n v="13.6976"/>
    <n v="-89.1708"/>
    <n v="12580"/>
    <n v="0"/>
    <n v="0"/>
    <n v="102"/>
    <s v="_x0000_US"/>
  </r>
  <r>
    <x v="1"/>
    <n v="13.697699999999999"/>
    <n v="-89.170699999999997"/>
    <n v="12580"/>
    <n v="0"/>
    <n v="0"/>
    <n v="102"/>
    <s v="_x0000_US"/>
  </r>
  <r>
    <x v="1"/>
    <n v="13.697699999999999"/>
    <n v="-89.170599999999993"/>
    <n v="12580"/>
    <n v="0"/>
    <n v="0"/>
    <n v="102"/>
    <s v="_x0000_US"/>
  </r>
  <r>
    <x v="1"/>
    <n v="13.6975"/>
    <n v="-89.170500000000004"/>
    <n v="12580"/>
    <n v="0"/>
    <n v="0"/>
    <n v="102"/>
    <s v="_x0000_US"/>
  </r>
  <r>
    <x v="1"/>
    <n v="13.6974"/>
    <n v="-89.170500000000004"/>
    <n v="12580"/>
    <n v="0"/>
    <n v="0"/>
    <n v="102"/>
    <s v="_x0000_US"/>
  </r>
  <r>
    <x v="1"/>
    <n v="13.6976"/>
    <n v="-89.170299999999997"/>
    <n v="12580"/>
    <n v="0"/>
    <n v="0"/>
    <n v="102"/>
    <s v="_x0000_US"/>
  </r>
  <r>
    <x v="1"/>
    <n v="13.6975"/>
    <n v="-89.170199999999994"/>
    <n v="12580"/>
    <n v="0"/>
    <n v="0"/>
    <n v="102"/>
    <s v="_x0000_US"/>
  </r>
  <r>
    <x v="1"/>
    <n v="13.6976"/>
    <n v="-89.170100000000005"/>
    <n v="12580"/>
    <n v="0"/>
    <n v="0"/>
    <n v="102"/>
    <s v="_x0000_US"/>
  </r>
  <r>
    <x v="1"/>
    <n v="13.697699999999999"/>
    <n v="-89.170299999999997"/>
    <n v="12580"/>
    <n v="0"/>
    <n v="0"/>
    <n v="102"/>
    <s v="_x0000_US"/>
  </r>
  <r>
    <x v="1"/>
    <n v="13.697699999999999"/>
    <n v="-89.170199999999994"/>
    <n v="12580"/>
    <n v="0"/>
    <n v="0"/>
    <n v="102"/>
    <s v="_x0000_US"/>
  </r>
  <r>
    <x v="1"/>
    <n v="13.697699999999999"/>
    <n v="-89.170100000000005"/>
    <n v="12580"/>
    <n v="0"/>
    <n v="0"/>
    <n v="102"/>
    <s v="_x0000_US"/>
  </r>
  <r>
    <x v="1"/>
    <n v="13.697699999999999"/>
    <n v="-89.169700000000006"/>
    <n v="12580"/>
    <n v="0"/>
    <n v="0"/>
    <n v="102"/>
    <s v="_x0000_US"/>
  </r>
  <r>
    <x v="1"/>
    <n v="13.697800000000001"/>
    <n v="-89.169399999999996"/>
    <n v="12580"/>
    <n v="0"/>
    <n v="0"/>
    <n v="102"/>
    <s v="_x0000_US"/>
  </r>
  <r>
    <x v="1"/>
    <n v="13.697800000000001"/>
    <n v="-89.169700000000006"/>
    <n v="12580"/>
    <n v="0"/>
    <n v="0"/>
    <n v="102"/>
    <s v="_x0000_US"/>
  </r>
  <r>
    <x v="1"/>
    <n v="13.697800000000001"/>
    <n v="-89.169600000000003"/>
    <n v="12580"/>
    <n v="0"/>
    <n v="0"/>
    <n v="102"/>
    <s v="_x0000_US"/>
  </r>
  <r>
    <x v="1"/>
    <n v="13.697800000000001"/>
    <n v="-89.169499999999999"/>
    <n v="12580"/>
    <n v="0"/>
    <n v="0"/>
    <n v="102"/>
    <s v="_x0000_US"/>
  </r>
  <r>
    <x v="1"/>
    <n v="13.697800000000001"/>
    <n v="-89.169300000000007"/>
    <n v="12580"/>
    <n v="0"/>
    <n v="0"/>
    <n v="102"/>
    <s v="_x0000_US"/>
  </r>
  <r>
    <x v="1"/>
    <n v="13.697800000000001"/>
    <n v="-89.169300000000007"/>
    <n v="12580"/>
    <n v="0"/>
    <n v="0"/>
    <n v="102"/>
    <s v="_x0000_US"/>
  </r>
  <r>
    <x v="1"/>
    <n v="13.697800000000001"/>
    <n v="-89.1691"/>
    <n v="12580"/>
    <n v="0"/>
    <n v="0"/>
    <n v="102"/>
    <s v="_x0000_US"/>
  </r>
  <r>
    <x v="1"/>
    <n v="13.697800000000001"/>
    <n v="-89.169899999999998"/>
    <n v="12580"/>
    <n v="0"/>
    <n v="0"/>
    <n v="102"/>
    <s v="_x0000_US"/>
  </r>
  <r>
    <x v="1"/>
    <n v="13.697800000000001"/>
    <n v="-89.168899999999994"/>
    <n v="12580"/>
    <n v="0"/>
    <n v="0"/>
    <n v="102"/>
    <s v="_x0000_US"/>
  </r>
  <r>
    <x v="1"/>
    <n v="13.697800000000001"/>
    <n v="-89.168800000000005"/>
    <n v="12580"/>
    <n v="0"/>
    <n v="0"/>
    <n v="102"/>
    <s v="_x0000_US"/>
  </r>
  <r>
    <x v="1"/>
    <n v="13.697699999999999"/>
    <n v="-89.168700000000001"/>
    <n v="12580"/>
    <n v="0"/>
    <n v="0"/>
    <n v="102"/>
    <s v="_x0000_US"/>
  </r>
  <r>
    <x v="1"/>
    <n v="13.697699999999999"/>
    <n v="-89.168599999999998"/>
    <n v="12580"/>
    <n v="0"/>
    <n v="0"/>
    <n v="102"/>
    <s v="_x0000_US"/>
  </r>
  <r>
    <x v="1"/>
    <n v="13.6958"/>
    <n v="-89.165499999999994"/>
    <n v="13650"/>
    <n v="0"/>
    <n v="0"/>
    <n v="102"/>
    <s v="_x0000_US"/>
  </r>
  <r>
    <x v="1"/>
    <n v="13.6958"/>
    <n v="-89.165400000000005"/>
    <n v="13650"/>
    <n v="0"/>
    <n v="0"/>
    <n v="102"/>
    <s v="_x0000_US"/>
  </r>
  <r>
    <x v="1"/>
    <n v="13.6959"/>
    <n v="-89.167000000000002"/>
    <n v="13650"/>
    <n v="0"/>
    <n v="0"/>
    <n v="102"/>
    <s v="_x0000_US"/>
  </r>
  <r>
    <x v="1"/>
    <n v="13.6959"/>
    <n v="-89.166899999999998"/>
    <n v="13650"/>
    <n v="0"/>
    <n v="0"/>
    <n v="102"/>
    <s v="_x0000_US"/>
  </r>
  <r>
    <x v="1"/>
    <n v="13.6959"/>
    <n v="-89.166799999999995"/>
    <n v="13650"/>
    <n v="0"/>
    <n v="0"/>
    <n v="102"/>
    <s v="_x0000_US"/>
  </r>
  <r>
    <x v="1"/>
    <n v="13.6958"/>
    <n v="-89.166799999999995"/>
    <n v="13650"/>
    <n v="0"/>
    <n v="0"/>
    <n v="102"/>
    <s v="_x0000_US"/>
  </r>
  <r>
    <x v="1"/>
    <n v="13.6958"/>
    <n v="-89.166899999999998"/>
    <n v="13650"/>
    <n v="0"/>
    <n v="0"/>
    <n v="102"/>
    <s v="_x0000_US"/>
  </r>
  <r>
    <x v="1"/>
    <n v="13.6957"/>
    <n v="-89.166799999999995"/>
    <n v="13650"/>
    <n v="0"/>
    <n v="0"/>
    <n v="102"/>
    <s v="_x0000_US"/>
  </r>
  <r>
    <x v="1"/>
    <n v="13.6957"/>
    <n v="-89.167100000000005"/>
    <n v="13650"/>
    <n v="0"/>
    <n v="0"/>
    <n v="102"/>
    <s v="_x0000_US"/>
  </r>
  <r>
    <x v="1"/>
    <n v="13.6958"/>
    <n v="-89.167100000000005"/>
    <n v="13650"/>
    <n v="0"/>
    <n v="0"/>
    <n v="102"/>
    <s v="_x0000_US"/>
  </r>
  <r>
    <x v="1"/>
    <n v="13.6958"/>
    <n v="-89.167199999999994"/>
    <n v="13650"/>
    <n v="0"/>
    <n v="0"/>
    <n v="102"/>
    <s v="_x0000_US"/>
  </r>
  <r>
    <x v="1"/>
    <n v="13.695600000000001"/>
    <n v="-89.167000000000002"/>
    <n v="13650"/>
    <n v="0"/>
    <n v="0"/>
    <n v="102"/>
    <s v="_x0000_US"/>
  </r>
  <r>
    <x v="1"/>
    <n v="13.695600000000001"/>
    <n v="-89.167000000000002"/>
    <n v="13650"/>
    <n v="0"/>
    <n v="0"/>
    <n v="102"/>
    <s v="_x0000_US"/>
  </r>
  <r>
    <x v="1"/>
    <n v="13.6958"/>
    <n v="-89.167299999999997"/>
    <n v="13650"/>
    <n v="0"/>
    <n v="0"/>
    <n v="102"/>
    <s v="_x0000_US"/>
  </r>
  <r>
    <x v="1"/>
    <n v="13.6958"/>
    <n v="-89.167400000000001"/>
    <n v="13650"/>
    <n v="0"/>
    <n v="0"/>
    <n v="102"/>
    <s v="_x0000_US"/>
  </r>
  <r>
    <x v="1"/>
    <n v="13.6959"/>
    <n v="-89.167500000000004"/>
    <n v="13650"/>
    <n v="0"/>
    <n v="0"/>
    <n v="102"/>
    <s v="_x0000_US"/>
  </r>
  <r>
    <x v="1"/>
    <n v="13.675000000000001"/>
    <n v="-89.245500000000007"/>
    <n v="14950"/>
    <n v="0"/>
    <n v="0"/>
    <n v="102"/>
    <s v="_x0000_US"/>
  </r>
  <r>
    <x v="1"/>
    <n v="13.675000000000001"/>
    <n v="-89.245400000000004"/>
    <n v="14950"/>
    <n v="0"/>
    <n v="0"/>
    <n v="102"/>
    <s v="_x0000_US"/>
  </r>
  <r>
    <x v="1"/>
    <n v="13.675000000000001"/>
    <n v="-89.2453"/>
    <n v="14950"/>
    <n v="0"/>
    <n v="0"/>
    <n v="102"/>
    <s v="_x0000_US"/>
  </r>
  <r>
    <x v="1"/>
    <n v="13.6746"/>
    <n v="-89.249799999999993"/>
    <n v="14950"/>
    <n v="0"/>
    <n v="0"/>
    <n v="102"/>
    <s v="_x0000_US"/>
  </r>
  <r>
    <x v="1"/>
    <n v="13.6746"/>
    <n v="-89.249700000000004"/>
    <n v="14950"/>
    <n v="0"/>
    <n v="0"/>
    <n v="102"/>
    <s v="_x0000_US"/>
  </r>
  <r>
    <x v="1"/>
    <n v="13.6798"/>
    <n v="-89.241500000000002"/>
    <n v="14950"/>
    <n v="0"/>
    <n v="0"/>
    <n v="102"/>
    <s v="_x0000_US"/>
  </r>
  <r>
    <x v="1"/>
    <n v="13.6798"/>
    <n v="-89.241500000000002"/>
    <n v="14950"/>
    <n v="0"/>
    <n v="0"/>
    <n v="102"/>
    <s v="_x0000_US"/>
  </r>
  <r>
    <x v="1"/>
    <n v="13.6798"/>
    <n v="-89.241500000000002"/>
    <n v="14950"/>
    <n v="0"/>
    <n v="0"/>
    <n v="102"/>
    <s v="_x0000_US"/>
  </r>
  <r>
    <x v="1"/>
    <n v="13.6797"/>
    <n v="-89.241399999999999"/>
    <n v="14950"/>
    <n v="0"/>
    <n v="0"/>
    <n v="102"/>
    <s v="_x0000_US"/>
  </r>
  <r>
    <x v="1"/>
    <n v="13.6797"/>
    <n v="-89.241399999999999"/>
    <n v="14950"/>
    <n v="0"/>
    <n v="0"/>
    <n v="102"/>
    <s v="_x0000_US"/>
  </r>
  <r>
    <x v="1"/>
    <n v="13.6797"/>
    <n v="-89.241299999999995"/>
    <n v="14950"/>
    <n v="0"/>
    <n v="0"/>
    <n v="102"/>
    <s v="_x0000_US"/>
  </r>
  <r>
    <x v="1"/>
    <n v="13.679600000000001"/>
    <n v="-89.241299999999995"/>
    <n v="14950"/>
    <n v="0"/>
    <n v="0"/>
    <n v="102"/>
    <s v="_x0000_US"/>
  </r>
  <r>
    <x v="1"/>
    <n v="13.679600000000001"/>
    <n v="-89.241299999999995"/>
    <n v="14950"/>
    <n v="0"/>
    <n v="0"/>
    <n v="102"/>
    <s v="_x0000_US"/>
  </r>
  <r>
    <x v="1"/>
    <n v="13.679600000000001"/>
    <n v="-89.241200000000006"/>
    <n v="14950"/>
    <n v="0"/>
    <n v="0"/>
    <n v="102"/>
    <s v="_x0000_US"/>
  </r>
  <r>
    <x v="1"/>
    <n v="13.6797"/>
    <n v="-89.241100000000003"/>
    <n v="14950"/>
    <n v="0"/>
    <n v="0"/>
    <n v="102"/>
    <s v="_x0000_US"/>
  </r>
  <r>
    <x v="1"/>
    <n v="13.6797"/>
    <n v="-89.241200000000006"/>
    <n v="14950"/>
    <n v="0"/>
    <n v="0"/>
    <n v="102"/>
    <s v="_x0000_US"/>
  </r>
  <r>
    <x v="1"/>
    <n v="13.6797"/>
    <n v="-89.241200000000006"/>
    <n v="14950"/>
    <n v="0"/>
    <n v="0"/>
    <n v="102"/>
    <s v="_x0000_US"/>
  </r>
  <r>
    <x v="1"/>
    <n v="13.6798"/>
    <n v="-89.241299999999995"/>
    <n v="14950"/>
    <n v="0"/>
    <n v="0"/>
    <n v="102"/>
    <s v="_x0000_US"/>
  </r>
  <r>
    <x v="1"/>
    <n v="13.6798"/>
    <n v="-89.241299999999995"/>
    <n v="14950"/>
    <n v="0"/>
    <n v="0"/>
    <n v="102"/>
    <s v="_x0000_US"/>
  </r>
  <r>
    <x v="1"/>
    <n v="13.6798"/>
    <n v="-89.241299999999995"/>
    <n v="14950"/>
    <n v="0"/>
    <n v="0"/>
    <n v="102"/>
    <s v="_x0000_US"/>
  </r>
  <r>
    <x v="1"/>
    <n v="13.6799"/>
    <n v="-89.241399999999999"/>
    <n v="14950"/>
    <n v="0"/>
    <n v="0"/>
    <n v="102"/>
    <s v="_x0000_US"/>
  </r>
  <r>
    <x v="1"/>
    <n v="13.6799"/>
    <n v="-89.241399999999999"/>
    <n v="14950"/>
    <n v="0"/>
    <n v="0"/>
    <n v="102"/>
    <s v="_x0000_US"/>
  </r>
  <r>
    <x v="1"/>
    <n v="13.680099999999999"/>
    <n v="-89.241299999999995"/>
    <n v="14950"/>
    <n v="0"/>
    <n v="0"/>
    <n v="102"/>
    <s v="_x0000_US"/>
  </r>
  <r>
    <x v="1"/>
    <n v="13.68"/>
    <n v="-89.241299999999995"/>
    <n v="14950"/>
    <n v="0"/>
    <n v="0"/>
    <n v="102"/>
    <s v="_x0000_US"/>
  </r>
  <r>
    <x v="1"/>
    <n v="13.68"/>
    <n v="-89.241200000000006"/>
    <n v="14950"/>
    <n v="0"/>
    <n v="0"/>
    <n v="102"/>
    <s v="_x0000_US"/>
  </r>
  <r>
    <x v="1"/>
    <n v="13.68"/>
    <n v="-89.241200000000006"/>
    <n v="14950"/>
    <n v="0"/>
    <n v="0"/>
    <n v="102"/>
    <s v="_x0000_US"/>
  </r>
  <r>
    <x v="1"/>
    <n v="13.6799"/>
    <n v="-89.241100000000003"/>
    <n v="14950"/>
    <n v="0"/>
    <n v="0"/>
    <n v="102"/>
    <s v="_x0000_US"/>
  </r>
  <r>
    <x v="1"/>
    <n v="13.6799"/>
    <n v="-89.241100000000003"/>
    <n v="14950"/>
    <n v="0"/>
    <n v="0"/>
    <n v="102"/>
    <s v="_x0000_US"/>
  </r>
  <r>
    <x v="1"/>
    <n v="13.6799"/>
    <n v="-89.241100000000003"/>
    <n v="14950"/>
    <n v="0"/>
    <n v="0"/>
    <n v="102"/>
    <s v="_x0000_US"/>
  </r>
  <r>
    <x v="1"/>
    <n v="13.6799"/>
    <n v="-89.241"/>
    <n v="14950"/>
    <n v="0"/>
    <n v="0"/>
    <n v="102"/>
    <s v="_x0000_US"/>
  </r>
  <r>
    <x v="1"/>
    <n v="13.68"/>
    <n v="-89.241"/>
    <n v="14950"/>
    <n v="0"/>
    <n v="0"/>
    <n v="102"/>
    <s v="_x0000_US"/>
  </r>
  <r>
    <x v="1"/>
    <n v="13.68"/>
    <n v="-89.241"/>
    <n v="14950"/>
    <n v="0"/>
    <n v="0"/>
    <n v="102"/>
    <s v="_x0000_US"/>
  </r>
  <r>
    <x v="1"/>
    <n v="13.68"/>
    <n v="-89.241"/>
    <n v="14950"/>
    <n v="0"/>
    <n v="0"/>
    <n v="102"/>
    <s v="_x0000_US"/>
  </r>
  <r>
    <x v="1"/>
    <n v="13.68"/>
    <n v="-89.241100000000003"/>
    <n v="14950"/>
    <n v="0"/>
    <n v="0"/>
    <n v="102"/>
    <s v="_x0000_US"/>
  </r>
  <r>
    <x v="1"/>
    <n v="13.680099999999999"/>
    <n v="-89.241100000000003"/>
    <n v="14950"/>
    <n v="0"/>
    <n v="0"/>
    <n v="102"/>
    <s v="_x0000_US"/>
  </r>
  <r>
    <x v="1"/>
    <n v="13.680099999999999"/>
    <n v="-89.241200000000006"/>
    <n v="14950"/>
    <n v="0"/>
    <n v="0"/>
    <n v="102"/>
    <s v="_x0000_US"/>
  </r>
  <r>
    <x v="1"/>
    <n v="13.680099999999999"/>
    <n v="-89.241200000000006"/>
    <n v="14950"/>
    <n v="0"/>
    <n v="0"/>
    <n v="102"/>
    <s v="_x0000_US"/>
  </r>
  <r>
    <x v="1"/>
    <n v="13.680199999999999"/>
    <n v="-89.241200000000006"/>
    <n v="14950"/>
    <n v="0"/>
    <n v="0"/>
    <n v="102"/>
    <s v="_x0000_US"/>
  </r>
  <r>
    <x v="1"/>
    <n v="13.680400000000001"/>
    <n v="-89.241100000000003"/>
    <n v="14950"/>
    <n v="0"/>
    <n v="0"/>
    <n v="102"/>
    <s v="_x0000_US"/>
  </r>
  <r>
    <x v="1"/>
    <n v="13.680300000000001"/>
    <n v="-89.241100000000003"/>
    <n v="14950"/>
    <n v="0"/>
    <n v="0"/>
    <n v="102"/>
    <s v="_x0000_US"/>
  </r>
  <r>
    <x v="1"/>
    <n v="13.680300000000001"/>
    <n v="-89.241"/>
    <n v="14950"/>
    <n v="0"/>
    <n v="0"/>
    <n v="102"/>
    <s v="_x0000_US"/>
  </r>
  <r>
    <x v="1"/>
    <n v="13.680199999999999"/>
    <n v="-89.241"/>
    <n v="14950"/>
    <n v="0"/>
    <n v="0"/>
    <n v="102"/>
    <s v="_x0000_US"/>
  </r>
  <r>
    <x v="1"/>
    <n v="13.680199999999999"/>
    <n v="-89.240899999999996"/>
    <n v="14950"/>
    <n v="0"/>
    <n v="0"/>
    <n v="102"/>
    <s v="_x0000_US"/>
  </r>
  <r>
    <x v="1"/>
    <n v="13.680199999999999"/>
    <n v="-89.240899999999996"/>
    <n v="14950"/>
    <n v="0"/>
    <n v="0"/>
    <n v="102"/>
    <s v="_x0000_US"/>
  </r>
  <r>
    <x v="1"/>
    <n v="13.680099999999999"/>
    <n v="-89.240899999999996"/>
    <n v="14950"/>
    <n v="0"/>
    <n v="0"/>
    <n v="102"/>
    <s v="_x0000_US"/>
  </r>
  <r>
    <x v="1"/>
    <n v="13.680099999999999"/>
    <n v="-89.240799999999993"/>
    <n v="14950"/>
    <n v="0"/>
    <n v="0"/>
    <n v="102"/>
    <s v="_x0000_US"/>
  </r>
  <r>
    <x v="1"/>
    <n v="13.680199999999999"/>
    <n v="-89.240799999999993"/>
    <n v="14950"/>
    <n v="0"/>
    <n v="0"/>
    <n v="102"/>
    <s v="_x0000_US"/>
  </r>
  <r>
    <x v="1"/>
    <n v="13.680300000000001"/>
    <n v="-89.240799999999993"/>
    <n v="14950"/>
    <n v="0"/>
    <n v="0"/>
    <n v="102"/>
    <s v="_x0000_US"/>
  </r>
  <r>
    <x v="1"/>
    <n v="13.680300000000001"/>
    <n v="-89.240799999999993"/>
    <n v="14950"/>
    <n v="0"/>
    <n v="0"/>
    <n v="102"/>
    <s v="_x0000_US"/>
  </r>
  <r>
    <x v="1"/>
    <n v="13.680300000000001"/>
    <n v="-89.240899999999996"/>
    <n v="14950"/>
    <n v="0"/>
    <n v="0"/>
    <n v="102"/>
    <s v="_x0000_US"/>
  </r>
  <r>
    <x v="1"/>
    <n v="13.680300000000001"/>
    <n v="-89.240899999999996"/>
    <n v="14950"/>
    <n v="0"/>
    <n v="0"/>
    <n v="102"/>
    <s v="_x0000_US"/>
  </r>
  <r>
    <x v="1"/>
    <n v="13.680400000000001"/>
    <n v="-89.241"/>
    <n v="14950"/>
    <n v="0"/>
    <n v="0"/>
    <n v="102"/>
    <s v="_x0000_US"/>
  </r>
  <r>
    <x v="1"/>
    <n v="13.680400000000001"/>
    <n v="-89.241"/>
    <n v="14950"/>
    <n v="0"/>
    <n v="0"/>
    <n v="102"/>
    <s v="_x0000_US"/>
  </r>
  <r>
    <x v="1"/>
    <n v="13.680400000000001"/>
    <n v="-89.241"/>
    <n v="14950"/>
    <n v="0"/>
    <n v="0"/>
    <n v="102"/>
    <s v="_x0000_US"/>
  </r>
  <r>
    <x v="1"/>
    <n v="13.6805"/>
    <n v="-89.241"/>
    <n v="14950"/>
    <n v="0"/>
    <n v="0"/>
    <n v="102"/>
    <s v="_x0000_US"/>
  </r>
  <r>
    <x v="1"/>
    <n v="13.6793"/>
    <n v="-89.241100000000003"/>
    <n v="14950"/>
    <n v="0"/>
    <n v="0"/>
    <n v="102"/>
    <s v="_x0000_US"/>
  </r>
  <r>
    <x v="1"/>
    <n v="13.679399999999999"/>
    <n v="-89.241100000000003"/>
    <n v="14950"/>
    <n v="0"/>
    <n v="0"/>
    <n v="102"/>
    <s v="_x0000_US"/>
  </r>
  <r>
    <x v="1"/>
    <n v="13.679399999999999"/>
    <n v="-89.241100000000003"/>
    <n v="14950"/>
    <n v="0"/>
    <n v="0"/>
    <n v="102"/>
    <s v="_x0000_US"/>
  </r>
  <r>
    <x v="1"/>
    <n v="13.679600000000001"/>
    <n v="-89.241"/>
    <n v="14950"/>
    <n v="0"/>
    <n v="0"/>
    <n v="102"/>
    <s v="_x0000_US"/>
  </r>
  <r>
    <x v="1"/>
    <n v="13.680400000000001"/>
    <n v="-89.240499999999997"/>
    <n v="14950"/>
    <n v="0"/>
    <n v="0"/>
    <n v="102"/>
    <s v="_x0000_US"/>
  </r>
  <r>
    <x v="1"/>
    <n v="13.680400000000001"/>
    <n v="-89.240499999999997"/>
    <n v="14950"/>
    <n v="0"/>
    <n v="0"/>
    <n v="102"/>
    <s v="_x0000_US"/>
  </r>
  <r>
    <x v="1"/>
    <n v="13.680400000000001"/>
    <n v="-89.240499999999997"/>
    <n v="14950"/>
    <n v="0"/>
    <n v="0"/>
    <n v="102"/>
    <s v="_x0000_US"/>
  </r>
  <r>
    <x v="1"/>
    <n v="13.680400000000001"/>
    <n v="-89.240499999999997"/>
    <n v="14950"/>
    <n v="0"/>
    <n v="0"/>
    <n v="102"/>
    <s v="_x0000_US"/>
  </r>
  <r>
    <x v="1"/>
    <n v="13.680300000000001"/>
    <n v="-89.240499999999997"/>
    <n v="14950"/>
    <n v="0"/>
    <n v="0"/>
    <n v="102"/>
    <s v="_x0000_US"/>
  </r>
  <r>
    <x v="1"/>
    <n v="13.680300000000001"/>
    <n v="-89.240499999999997"/>
    <n v="14950"/>
    <n v="0"/>
    <n v="0"/>
    <n v="102"/>
    <s v="_x0000_US"/>
  </r>
  <r>
    <x v="1"/>
    <n v="13.680300000000001"/>
    <n v="-89.240499999999997"/>
    <n v="14950"/>
    <n v="0"/>
    <n v="0"/>
    <n v="102"/>
    <s v="_x0000_US"/>
  </r>
  <r>
    <x v="1"/>
    <n v="13.680300000000001"/>
    <n v="-89.240499999999997"/>
    <n v="14950"/>
    <n v="0"/>
    <n v="0"/>
    <n v="102"/>
    <s v="_x0000_US"/>
  </r>
  <r>
    <x v="1"/>
    <n v="13.680300000000001"/>
    <n v="-89.240499999999997"/>
    <n v="14950"/>
    <n v="0"/>
    <n v="0"/>
    <n v="102"/>
    <s v="_x0000_US"/>
  </r>
  <r>
    <x v="1"/>
    <n v="13.680199999999999"/>
    <n v="-89.240499999999997"/>
    <n v="14950"/>
    <n v="0"/>
    <n v="0"/>
    <n v="102"/>
    <s v="_x0000_US"/>
  </r>
  <r>
    <x v="1"/>
    <n v="13.680400000000001"/>
    <n v="-89.240300000000005"/>
    <n v="14950"/>
    <n v="0"/>
    <n v="0"/>
    <n v="102"/>
    <s v="_x0000_US"/>
  </r>
  <r>
    <x v="1"/>
    <n v="13.680400000000001"/>
    <n v="-89.240300000000005"/>
    <n v="14950"/>
    <n v="0"/>
    <n v="0"/>
    <n v="102"/>
    <s v="_x0000_US"/>
  </r>
  <r>
    <x v="1"/>
    <n v="13.680400000000001"/>
    <n v="-89.240300000000005"/>
    <n v="14950"/>
    <n v="0"/>
    <n v="0"/>
    <n v="102"/>
    <s v="_x0000_US"/>
  </r>
  <r>
    <x v="1"/>
    <n v="13.680400000000001"/>
    <n v="-89.240300000000005"/>
    <n v="14950"/>
    <n v="0"/>
    <n v="0"/>
    <n v="102"/>
    <s v="_x0000_US"/>
  </r>
  <r>
    <x v="1"/>
    <n v="13.680300000000001"/>
    <n v="-89.240300000000005"/>
    <n v="14950"/>
    <n v="0"/>
    <n v="0"/>
    <n v="102"/>
    <s v="_x0000_US"/>
  </r>
  <r>
    <x v="1"/>
    <n v="13.6808"/>
    <n v="-89.240499999999997"/>
    <n v="14950"/>
    <n v="0"/>
    <n v="0"/>
    <n v="102"/>
    <s v="_x0000_US"/>
  </r>
  <r>
    <x v="1"/>
    <n v="13.6808"/>
    <n v="-89.240499999999997"/>
    <n v="14950"/>
    <n v="0"/>
    <n v="0"/>
    <n v="102"/>
    <s v="_x0000_US"/>
  </r>
  <r>
    <x v="1"/>
    <n v="13.6808"/>
    <n v="-89.240499999999997"/>
    <n v="14950"/>
    <n v="0"/>
    <n v="0"/>
    <n v="102"/>
    <s v="_x0000_US"/>
  </r>
  <r>
    <x v="1"/>
    <n v="13.6807"/>
    <n v="-89.240499999999997"/>
    <n v="14950"/>
    <n v="0"/>
    <n v="0"/>
    <n v="102"/>
    <s v="_x0000_US"/>
  </r>
  <r>
    <x v="1"/>
    <n v="13.6807"/>
    <n v="-89.240499999999997"/>
    <n v="14950"/>
    <n v="0"/>
    <n v="0"/>
    <n v="102"/>
    <s v="_x0000_US"/>
  </r>
  <r>
    <x v="1"/>
    <n v="13.6807"/>
    <n v="-89.240499999999997"/>
    <n v="14950"/>
    <n v="0"/>
    <n v="0"/>
    <n v="102"/>
    <s v="_x0000_US"/>
  </r>
  <r>
    <x v="1"/>
    <n v="13.6807"/>
    <n v="-89.240499999999997"/>
    <n v="14950"/>
    <n v="0"/>
    <n v="0"/>
    <n v="102"/>
    <s v="_x0000_US"/>
  </r>
  <r>
    <x v="1"/>
    <n v="13.6807"/>
    <n v="-89.240399999999994"/>
    <n v="14950"/>
    <n v="0"/>
    <n v="0"/>
    <n v="102"/>
    <s v="_x0000_US"/>
  </r>
  <r>
    <x v="1"/>
    <n v="13.6806"/>
    <n v="-89.240399999999994"/>
    <n v="14950"/>
    <n v="0"/>
    <n v="0"/>
    <n v="102"/>
    <s v="_x0000_US"/>
  </r>
  <r>
    <x v="1"/>
    <n v="13.6806"/>
    <n v="-89.240399999999994"/>
    <n v="14950"/>
    <n v="0"/>
    <n v="0"/>
    <n v="102"/>
    <s v="_x0000_US"/>
  </r>
  <r>
    <x v="1"/>
    <n v="13.680899999999999"/>
    <n v="-89.240399999999994"/>
    <n v="14950"/>
    <n v="0"/>
    <n v="0"/>
    <n v="102"/>
    <s v="_x0000_US"/>
  </r>
  <r>
    <x v="1"/>
    <n v="13.6808"/>
    <n v="-89.240399999999994"/>
    <n v="14950"/>
    <n v="0"/>
    <n v="0"/>
    <n v="102"/>
    <s v="_x0000_US"/>
  </r>
  <r>
    <x v="1"/>
    <n v="13.6808"/>
    <n v="-89.240399999999994"/>
    <n v="14950"/>
    <n v="0"/>
    <n v="0"/>
    <n v="102"/>
    <s v="_x0000_US"/>
  </r>
  <r>
    <x v="1"/>
    <n v="13.6808"/>
    <n v="-89.240399999999994"/>
    <n v="14950"/>
    <n v="0"/>
    <n v="0"/>
    <n v="102"/>
    <s v="_x0000_US"/>
  </r>
  <r>
    <x v="1"/>
    <n v="13.6808"/>
    <n v="-89.240399999999994"/>
    <n v="14950"/>
    <n v="0"/>
    <n v="0"/>
    <n v="102"/>
    <s v="_x0000_US"/>
  </r>
  <r>
    <x v="1"/>
    <n v="13.6808"/>
    <n v="-89.240300000000005"/>
    <n v="14950"/>
    <n v="0"/>
    <n v="0"/>
    <n v="102"/>
    <s v="_x0000_US"/>
  </r>
  <r>
    <x v="1"/>
    <n v="13.6808"/>
    <n v="-89.240300000000005"/>
    <n v="14950"/>
    <n v="0"/>
    <n v="0"/>
    <n v="102"/>
    <s v="_x0000_US"/>
  </r>
  <r>
    <x v="1"/>
    <n v="13.6808"/>
    <n v="-89.240300000000005"/>
    <n v="14950"/>
    <n v="0"/>
    <n v="0"/>
    <n v="102"/>
    <s v="_x0000_US"/>
  </r>
  <r>
    <x v="1"/>
    <n v="13.6807"/>
    <n v="-89.240300000000005"/>
    <n v="14950"/>
    <n v="0"/>
    <n v="0"/>
    <n v="102"/>
    <s v="_x0000_US"/>
  </r>
  <r>
    <x v="1"/>
    <n v="13.6807"/>
    <n v="-89.240300000000005"/>
    <n v="14950"/>
    <n v="0"/>
    <n v="0"/>
    <n v="102"/>
    <s v="_x0000_US"/>
  </r>
  <r>
    <x v="1"/>
    <n v="13.680899999999999"/>
    <n v="-89.240200000000002"/>
    <n v="14950"/>
    <n v="0"/>
    <n v="0"/>
    <n v="102"/>
    <s v="_x0000_US"/>
  </r>
  <r>
    <x v="1"/>
    <n v="13.680899999999999"/>
    <n v="-89.240200000000002"/>
    <n v="14950"/>
    <n v="0"/>
    <n v="0"/>
    <n v="102"/>
    <s v="_x0000_US"/>
  </r>
  <r>
    <x v="1"/>
    <n v="13.680899999999999"/>
    <n v="-89.240200000000002"/>
    <n v="14950"/>
    <n v="0"/>
    <n v="0"/>
    <n v="102"/>
    <s v="_x0000_US"/>
  </r>
  <r>
    <x v="1"/>
    <n v="13.680899999999999"/>
    <n v="-89.240200000000002"/>
    <n v="14950"/>
    <n v="0"/>
    <n v="0"/>
    <n v="102"/>
    <s v="_x0000_US"/>
  </r>
  <r>
    <x v="1"/>
    <n v="13.6808"/>
    <n v="-89.240200000000002"/>
    <n v="14950"/>
    <n v="0"/>
    <n v="0"/>
    <n v="102"/>
    <s v="_x0000_US"/>
  </r>
  <r>
    <x v="1"/>
    <n v="13.6808"/>
    <n v="-89.240200000000002"/>
    <n v="14950"/>
    <n v="0"/>
    <n v="0"/>
    <n v="102"/>
    <s v="_x0000_US"/>
  </r>
  <r>
    <x v="1"/>
    <n v="13.6808"/>
    <n v="-89.240200000000002"/>
    <n v="14950"/>
    <n v="0"/>
    <n v="0"/>
    <n v="102"/>
    <s v="_x0000_US"/>
  </r>
  <r>
    <x v="1"/>
    <n v="13.6808"/>
    <n v="-89.240200000000002"/>
    <n v="14950"/>
    <n v="0"/>
    <n v="0"/>
    <n v="102"/>
    <s v="_x0000_US"/>
  </r>
  <r>
    <x v="1"/>
    <n v="13.6808"/>
    <n v="-89.240200000000002"/>
    <n v="14950"/>
    <n v="0"/>
    <n v="0"/>
    <n v="102"/>
    <s v="_x0000_US"/>
  </r>
  <r>
    <x v="1"/>
    <n v="13.6808"/>
    <n v="-89.240200000000002"/>
    <n v="14950"/>
    <n v="0"/>
    <n v="0"/>
    <n v="102"/>
    <s v="_x0000_US"/>
  </r>
  <r>
    <x v="1"/>
    <n v="13.680999999999999"/>
    <n v="-89.240099999999998"/>
    <n v="14950"/>
    <n v="0"/>
    <n v="0"/>
    <n v="102"/>
    <s v="_x0000_US"/>
  </r>
  <r>
    <x v="1"/>
    <n v="13.680999999999999"/>
    <n v="-89.240099999999998"/>
    <n v="14950"/>
    <n v="0"/>
    <n v="0"/>
    <n v="102"/>
    <s v="_x0000_US"/>
  </r>
  <r>
    <x v="1"/>
    <n v="13.680999999999999"/>
    <n v="-89.240099999999998"/>
    <n v="14950"/>
    <n v="0"/>
    <n v="0"/>
    <n v="102"/>
    <s v="_x0000_US"/>
  </r>
  <r>
    <x v="1"/>
    <n v="13.680899999999999"/>
    <n v="-89.240099999999998"/>
    <n v="14950"/>
    <n v="0"/>
    <n v="0"/>
    <n v="102"/>
    <s v="_x0000_US"/>
  </r>
  <r>
    <x v="1"/>
    <n v="13.680899999999999"/>
    <n v="-89.240099999999998"/>
    <n v="14950"/>
    <n v="0"/>
    <n v="0"/>
    <n v="102"/>
    <s v="_x0000_US"/>
  </r>
  <r>
    <x v="1"/>
    <n v="13.680899999999999"/>
    <n v="-89.24"/>
    <n v="14950"/>
    <n v="0"/>
    <n v="0"/>
    <n v="102"/>
    <s v="_x0000_US"/>
  </r>
  <r>
    <x v="1"/>
    <n v="13.680899999999999"/>
    <n v="-89.24"/>
    <n v="14950"/>
    <n v="0"/>
    <n v="0"/>
    <n v="102"/>
    <s v="_x0000_US"/>
  </r>
  <r>
    <x v="1"/>
    <n v="13.680899999999999"/>
    <n v="-89.24"/>
    <n v="14950"/>
    <n v="0"/>
    <n v="0"/>
    <n v="102"/>
    <s v="_x0000_US"/>
  </r>
  <r>
    <x v="1"/>
    <n v="13.680899999999999"/>
    <n v="-89.24"/>
    <n v="14950"/>
    <n v="0"/>
    <n v="0"/>
    <n v="102"/>
    <s v="_x0000_US"/>
  </r>
  <r>
    <x v="1"/>
    <n v="13.680899999999999"/>
    <n v="-89.24"/>
    <n v="14950"/>
    <n v="0"/>
    <n v="0"/>
    <n v="102"/>
    <s v="_x0000_US"/>
  </r>
  <r>
    <x v="1"/>
    <n v="13.680999999999999"/>
    <n v="-89.24"/>
    <n v="14950"/>
    <n v="0"/>
    <n v="0"/>
    <n v="102"/>
    <s v="_x0000_US"/>
  </r>
  <r>
    <x v="1"/>
    <n v="13.680999999999999"/>
    <n v="-89.24"/>
    <n v="14950"/>
    <n v="0"/>
    <n v="0"/>
    <n v="102"/>
    <s v="_x0000_US"/>
  </r>
  <r>
    <x v="1"/>
    <n v="13.680999999999999"/>
    <n v="-89.24"/>
    <n v="14950"/>
    <n v="0"/>
    <n v="0"/>
    <n v="102"/>
    <s v="_x0000_US"/>
  </r>
  <r>
    <x v="1"/>
    <n v="13.680999999999999"/>
    <n v="-89.24"/>
    <n v="14950"/>
    <n v="0"/>
    <n v="0"/>
    <n v="102"/>
    <s v="_x0000_US"/>
  </r>
  <r>
    <x v="1"/>
    <n v="13.680899999999999"/>
    <n v="-89.24"/>
    <n v="14950"/>
    <n v="0"/>
    <n v="0"/>
    <n v="102"/>
    <s v="_x0000_US"/>
  </r>
  <r>
    <x v="1"/>
    <n v="13.680899999999999"/>
    <n v="-89.239900000000006"/>
    <n v="14950"/>
    <n v="0"/>
    <n v="0"/>
    <n v="102"/>
    <s v="_x0000_US"/>
  </r>
  <r>
    <x v="1"/>
    <n v="13.680899999999999"/>
    <n v="-89.239900000000006"/>
    <n v="14950"/>
    <n v="0"/>
    <n v="0"/>
    <n v="102"/>
    <s v="_x0000_US"/>
  </r>
  <r>
    <x v="1"/>
    <n v="13.680899999999999"/>
    <n v="-89.239900000000006"/>
    <n v="14950"/>
    <n v="0"/>
    <n v="0"/>
    <n v="102"/>
    <s v="_x0000_US"/>
  </r>
  <r>
    <x v="1"/>
    <n v="13.680899999999999"/>
    <n v="-89.239900000000006"/>
    <n v="14950"/>
    <n v="0"/>
    <n v="0"/>
    <n v="102"/>
    <s v="_x0000_US"/>
  </r>
  <r>
    <x v="1"/>
    <n v="13.680899999999999"/>
    <n v="-89.239900000000006"/>
    <n v="14950"/>
    <n v="0"/>
    <n v="0"/>
    <n v="102"/>
    <s v="_x0000_US"/>
  </r>
  <r>
    <x v="1"/>
    <n v="13.681100000000001"/>
    <n v="-89.239800000000002"/>
    <n v="14950"/>
    <n v="0"/>
    <n v="0"/>
    <n v="102"/>
    <s v="_x0000_US"/>
  </r>
  <r>
    <x v="1"/>
    <n v="13.681100000000001"/>
    <n v="-89.239800000000002"/>
    <n v="14950"/>
    <n v="0"/>
    <n v="0"/>
    <n v="102"/>
    <s v="_x0000_US"/>
  </r>
  <r>
    <x v="1"/>
    <n v="13.681100000000001"/>
    <n v="-89.239800000000002"/>
    <n v="14950"/>
    <n v="0"/>
    <n v="0"/>
    <n v="102"/>
    <s v="_x0000_US"/>
  </r>
  <r>
    <x v="1"/>
    <n v="13.680999999999999"/>
    <n v="-89.239800000000002"/>
    <n v="14950"/>
    <n v="0"/>
    <n v="0"/>
    <n v="102"/>
    <s v="_x0000_US"/>
  </r>
  <r>
    <x v="1"/>
    <n v="13.680999999999999"/>
    <n v="-89.239800000000002"/>
    <n v="14950"/>
    <n v="0"/>
    <n v="0"/>
    <n v="102"/>
    <s v="_x0000_US"/>
  </r>
  <r>
    <x v="1"/>
    <n v="13.680999999999999"/>
    <n v="-89.239800000000002"/>
    <n v="14950"/>
    <n v="0"/>
    <n v="0"/>
    <n v="102"/>
    <s v="_x0000_US"/>
  </r>
  <r>
    <x v="1"/>
    <n v="13.680999999999999"/>
    <n v="-89.239800000000002"/>
    <n v="14950"/>
    <n v="0"/>
    <n v="0"/>
    <n v="102"/>
    <s v="_x0000_US"/>
  </r>
  <r>
    <x v="1"/>
    <n v="13.680999999999999"/>
    <n v="-89.239800000000002"/>
    <n v="14950"/>
    <n v="0"/>
    <n v="0"/>
    <n v="102"/>
    <s v="_x0000_US"/>
  </r>
  <r>
    <x v="1"/>
    <n v="13.680999999999999"/>
    <n v="-89.239800000000002"/>
    <n v="14950"/>
    <n v="0"/>
    <n v="0"/>
    <n v="102"/>
    <s v="_x0000_US"/>
  </r>
  <r>
    <x v="1"/>
    <n v="13.680999999999999"/>
    <n v="-89.239800000000002"/>
    <n v="14950"/>
    <n v="0"/>
    <n v="0"/>
    <n v="102"/>
    <s v="_x0000_US"/>
  </r>
  <r>
    <x v="1"/>
    <n v="13.6806"/>
    <n v="-89.241"/>
    <n v="14950"/>
    <n v="0"/>
    <n v="0"/>
    <n v="102"/>
    <s v="_x0000_US"/>
  </r>
  <r>
    <x v="1"/>
    <n v="13.6806"/>
    <n v="-89.240899999999996"/>
    <n v="14950"/>
    <n v="0"/>
    <n v="0"/>
    <n v="102"/>
    <s v="_x0000_US"/>
  </r>
  <r>
    <x v="1"/>
    <n v="13.6807"/>
    <n v="-89.240899999999996"/>
    <n v="14950"/>
    <n v="0"/>
    <n v="0"/>
    <n v="102"/>
    <s v="_x0000_US"/>
  </r>
  <r>
    <x v="1"/>
    <n v="13.6807"/>
    <n v="-89.240899999999996"/>
    <n v="14950"/>
    <n v="0"/>
    <n v="0"/>
    <n v="102"/>
    <s v="_x0000_US"/>
  </r>
  <r>
    <x v="1"/>
    <n v="13.6807"/>
    <n v="-89.240799999999993"/>
    <n v="14950"/>
    <n v="0"/>
    <n v="0"/>
    <n v="102"/>
    <s v="_x0000_US"/>
  </r>
  <r>
    <x v="1"/>
    <n v="13.6808"/>
    <n v="-89.240799999999993"/>
    <n v="14950"/>
    <n v="0"/>
    <n v="0"/>
    <n v="102"/>
    <s v="_x0000_US"/>
  </r>
  <r>
    <x v="1"/>
    <n v="13.6808"/>
    <n v="-89.240799999999993"/>
    <n v="14950"/>
    <n v="0"/>
    <n v="0"/>
    <n v="102"/>
    <s v="_x0000_US"/>
  </r>
  <r>
    <x v="1"/>
    <n v="13.680899999999999"/>
    <n v="-89.240799999999993"/>
    <n v="14950"/>
    <n v="0"/>
    <n v="0"/>
    <n v="102"/>
    <s v="_x0000_US"/>
  </r>
  <r>
    <x v="1"/>
    <n v="13.681100000000001"/>
    <n v="-89.240700000000004"/>
    <n v="14950"/>
    <n v="0"/>
    <n v="0"/>
    <n v="102"/>
    <s v="_x0000_US"/>
  </r>
  <r>
    <x v="1"/>
    <n v="13.681100000000001"/>
    <n v="-89.240600000000001"/>
    <n v="14950"/>
    <n v="0"/>
    <n v="0"/>
    <n v="102"/>
    <s v="_x0000_US"/>
  </r>
  <r>
    <x v="1"/>
    <n v="13.681100000000001"/>
    <n v="-89.240600000000001"/>
    <n v="14950"/>
    <n v="0"/>
    <n v="0"/>
    <n v="102"/>
    <s v="_x0000_US"/>
  </r>
  <r>
    <x v="1"/>
    <n v="13.681100000000001"/>
    <n v="-89.240499999999997"/>
    <n v="14950"/>
    <n v="0"/>
    <n v="0"/>
    <n v="102"/>
    <s v="_x0000_US"/>
  </r>
  <r>
    <x v="1"/>
    <n v="13.6812"/>
    <n v="-89.240499999999997"/>
    <n v="14950"/>
    <n v="0"/>
    <n v="0"/>
    <n v="102"/>
    <s v="_x0000_US"/>
  </r>
  <r>
    <x v="1"/>
    <n v="13.6812"/>
    <n v="-89.240499999999997"/>
    <n v="14950"/>
    <n v="0"/>
    <n v="0"/>
    <n v="102"/>
    <s v="_x0000_US"/>
  </r>
  <r>
    <x v="1"/>
    <n v="13.6812"/>
    <n v="-89.240499999999997"/>
    <n v="14950"/>
    <n v="0"/>
    <n v="0"/>
    <n v="102"/>
    <s v="_x0000_US"/>
  </r>
  <r>
    <x v="1"/>
    <n v="13.6812"/>
    <n v="-89.240399999999994"/>
    <n v="14950"/>
    <n v="0"/>
    <n v="0"/>
    <n v="102"/>
    <s v="_x0000_US"/>
  </r>
  <r>
    <x v="1"/>
    <n v="13.6812"/>
    <n v="-89.240399999999994"/>
    <n v="14950"/>
    <n v="0"/>
    <n v="0"/>
    <n v="102"/>
    <s v="_x0000_US"/>
  </r>
  <r>
    <x v="1"/>
    <n v="13.6813"/>
    <n v="-89.240399999999994"/>
    <n v="14950"/>
    <n v="0"/>
    <n v="0"/>
    <n v="102"/>
    <s v="_x0000_US"/>
  </r>
  <r>
    <x v="1"/>
    <n v="13.6813"/>
    <n v="-89.240399999999994"/>
    <n v="14950"/>
    <n v="0"/>
    <n v="0"/>
    <n v="102"/>
    <s v="_x0000_US"/>
  </r>
  <r>
    <x v="1"/>
    <n v="13.6813"/>
    <n v="-89.240499999999997"/>
    <n v="14950"/>
    <n v="0"/>
    <n v="0"/>
    <n v="102"/>
    <s v="_x0000_US"/>
  </r>
  <r>
    <x v="1"/>
    <n v="13.6812"/>
    <n v="-89.240499999999997"/>
    <n v="14950"/>
    <n v="0"/>
    <n v="0"/>
    <n v="102"/>
    <s v="_x0000_US"/>
  </r>
  <r>
    <x v="1"/>
    <n v="13.681699999999999"/>
    <n v="-89.240799999999993"/>
    <n v="14950"/>
    <n v="0"/>
    <n v="0"/>
    <n v="102"/>
    <s v="_x0000_US"/>
  </r>
  <r>
    <x v="1"/>
    <n v="13.681699999999999"/>
    <n v="-89.240799999999993"/>
    <n v="14950"/>
    <n v="0"/>
    <n v="0"/>
    <n v="102"/>
    <s v="_x0000_US"/>
  </r>
  <r>
    <x v="1"/>
    <n v="13.681699999999999"/>
    <n v="-89.240700000000004"/>
    <n v="14950"/>
    <n v="0"/>
    <n v="0"/>
    <n v="102"/>
    <s v="_x0000_US"/>
  </r>
  <r>
    <x v="1"/>
    <n v="13.681699999999999"/>
    <n v="-89.240700000000004"/>
    <n v="14950"/>
    <n v="0"/>
    <n v="0"/>
    <n v="102"/>
    <s v="_x0000_US"/>
  </r>
  <r>
    <x v="1"/>
    <n v="13.6816"/>
    <n v="-89.240799999999993"/>
    <n v="14950"/>
    <n v="0"/>
    <n v="0"/>
    <n v="102"/>
    <s v="_x0000_US"/>
  </r>
  <r>
    <x v="1"/>
    <n v="13.681699999999999"/>
    <n v="-89.240799999999993"/>
    <n v="14950"/>
    <n v="0"/>
    <n v="0"/>
    <n v="102"/>
    <s v="_x0000_US"/>
  </r>
  <r>
    <x v="1"/>
    <n v="13.681699999999999"/>
    <n v="-89.240700000000004"/>
    <n v="14950"/>
    <n v="0"/>
    <n v="0"/>
    <n v="102"/>
    <s v="_x0000_US"/>
  </r>
  <r>
    <x v="1"/>
    <n v="13.681699999999999"/>
    <n v="-89.240700000000004"/>
    <n v="14950"/>
    <n v="0"/>
    <n v="0"/>
    <n v="102"/>
    <s v="_x0000_US"/>
  </r>
  <r>
    <x v="1"/>
    <n v="13.681699999999999"/>
    <n v="-89.240600000000001"/>
    <n v="14950"/>
    <n v="0"/>
    <n v="0"/>
    <n v="102"/>
    <s v="_x0000_US"/>
  </r>
  <r>
    <x v="1"/>
    <n v="13.681800000000001"/>
    <n v="-89.240499999999997"/>
    <n v="14950"/>
    <n v="0"/>
    <n v="0"/>
    <n v="102"/>
    <s v="_x0000_US"/>
  </r>
  <r>
    <x v="1"/>
    <n v="13.681699999999999"/>
    <n v="-89.240499999999997"/>
    <n v="14950"/>
    <n v="0"/>
    <n v="0"/>
    <n v="102"/>
    <s v="_x0000_US"/>
  </r>
  <r>
    <x v="1"/>
    <n v="13.681699999999999"/>
    <n v="-89.240499999999997"/>
    <n v="14950"/>
    <n v="0"/>
    <n v="0"/>
    <n v="102"/>
    <s v="_x0000_US"/>
  </r>
  <r>
    <x v="1"/>
    <n v="13.681699999999999"/>
    <n v="-89.240499999999997"/>
    <n v="14950"/>
    <n v="0"/>
    <n v="0"/>
    <n v="102"/>
    <s v="_x0000_US"/>
  </r>
  <r>
    <x v="1"/>
    <n v="13.6816"/>
    <n v="-89.240499999999997"/>
    <n v="14950"/>
    <n v="0"/>
    <n v="0"/>
    <n v="102"/>
    <s v="_x0000_US"/>
  </r>
  <r>
    <x v="1"/>
    <n v="13.6816"/>
    <n v="-89.240499999999997"/>
    <n v="14950"/>
    <n v="0"/>
    <n v="0"/>
    <n v="102"/>
    <s v="_x0000_US"/>
  </r>
  <r>
    <x v="1"/>
    <n v="13.6816"/>
    <n v="-89.240499999999997"/>
    <n v="14950"/>
    <n v="0"/>
    <n v="0"/>
    <n v="102"/>
    <s v="_x0000_US"/>
  </r>
  <r>
    <x v="1"/>
    <n v="13.6816"/>
    <n v="-89.240499999999997"/>
    <n v="14950"/>
    <n v="0"/>
    <n v="0"/>
    <n v="102"/>
    <s v="_x0000_US"/>
  </r>
  <r>
    <x v="1"/>
    <n v="13.6816"/>
    <n v="-89.240600000000001"/>
    <n v="14950"/>
    <n v="0"/>
    <n v="0"/>
    <n v="102"/>
    <s v="_x0000_US"/>
  </r>
  <r>
    <x v="1"/>
    <n v="13.6816"/>
    <n v="-89.240600000000001"/>
    <n v="14950"/>
    <n v="0"/>
    <n v="0"/>
    <n v="102"/>
    <s v="_x0000_US"/>
  </r>
  <r>
    <x v="1"/>
    <n v="13.6816"/>
    <n v="-89.240700000000004"/>
    <n v="14950"/>
    <n v="0"/>
    <n v="0"/>
    <n v="102"/>
    <s v="_x0000_US"/>
  </r>
  <r>
    <x v="1"/>
    <n v="13.6816"/>
    <n v="-89.240700000000004"/>
    <n v="14950"/>
    <n v="0"/>
    <n v="0"/>
    <n v="102"/>
    <s v="_x0000_US"/>
  </r>
  <r>
    <x v="1"/>
    <n v="13.6816"/>
    <n v="-89.240799999999993"/>
    <n v="14950"/>
    <n v="0"/>
    <n v="0"/>
    <n v="102"/>
    <s v="_x0000_US"/>
  </r>
  <r>
    <x v="1"/>
    <n v="13.6815"/>
    <n v="-89.240799999999993"/>
    <n v="14950"/>
    <n v="0"/>
    <n v="0"/>
    <n v="102"/>
    <s v="_x0000_US"/>
  </r>
  <r>
    <x v="1"/>
    <n v="13.6815"/>
    <n v="-89.240700000000004"/>
    <n v="14950"/>
    <n v="0"/>
    <n v="0"/>
    <n v="102"/>
    <s v="_x0000_US"/>
  </r>
  <r>
    <x v="1"/>
    <n v="13.6814"/>
    <n v="-89.240700000000004"/>
    <n v="14950"/>
    <n v="0"/>
    <n v="0"/>
    <n v="102"/>
    <s v="_x0000_US"/>
  </r>
  <r>
    <x v="1"/>
    <n v="13.6815"/>
    <n v="-89.240600000000001"/>
    <n v="14950"/>
    <n v="0"/>
    <n v="0"/>
    <n v="102"/>
    <s v="_x0000_US"/>
  </r>
  <r>
    <x v="1"/>
    <n v="13.6815"/>
    <n v="-89.240600000000001"/>
    <n v="14950"/>
    <n v="0"/>
    <n v="0"/>
    <n v="102"/>
    <s v="_x0000_US"/>
  </r>
  <r>
    <x v="1"/>
    <n v="13.6815"/>
    <n v="-89.240499999999997"/>
    <n v="14950"/>
    <n v="0"/>
    <n v="0"/>
    <n v="102"/>
    <s v="_x0000_US"/>
  </r>
  <r>
    <x v="1"/>
    <n v="13.6815"/>
    <n v="-89.240499999999997"/>
    <n v="14950"/>
    <n v="0"/>
    <n v="0"/>
    <n v="102"/>
    <s v="_x0000_US"/>
  </r>
  <r>
    <x v="1"/>
    <n v="13.6814"/>
    <n v="-89.240399999999994"/>
    <n v="14950"/>
    <n v="0"/>
    <n v="0"/>
    <n v="102"/>
    <s v="_x0000_US"/>
  </r>
  <r>
    <x v="1"/>
    <n v="13.6814"/>
    <n v="-89.240399999999994"/>
    <n v="14950"/>
    <n v="0"/>
    <n v="0"/>
    <n v="102"/>
    <s v="_x0000_US"/>
  </r>
  <r>
    <x v="1"/>
    <n v="13.6814"/>
    <n v="-89.240499999999997"/>
    <n v="14950"/>
    <n v="0"/>
    <n v="0"/>
    <n v="102"/>
    <s v="_x0000_US"/>
  </r>
  <r>
    <x v="1"/>
    <n v="13.6814"/>
    <n v="-89.240499999999997"/>
    <n v="14950"/>
    <n v="0"/>
    <n v="0"/>
    <n v="102"/>
    <s v="_x0000_US"/>
  </r>
  <r>
    <x v="1"/>
    <n v="13.6814"/>
    <n v="-89.240600000000001"/>
    <n v="14950"/>
    <n v="0"/>
    <n v="0"/>
    <n v="102"/>
    <s v="_x0000_US"/>
  </r>
  <r>
    <x v="1"/>
    <n v="13.6814"/>
    <n v="-89.240600000000001"/>
    <n v="14950"/>
    <n v="0"/>
    <n v="0"/>
    <n v="102"/>
    <s v="_x0000_US"/>
  </r>
  <r>
    <x v="1"/>
    <n v="13.6754"/>
    <n v="-89.247100000000003"/>
    <n v="14950"/>
    <n v="0"/>
    <n v="0"/>
    <n v="102"/>
    <s v="_x0000_US"/>
  </r>
  <r>
    <x v="1"/>
    <n v="13.676500000000001"/>
    <n v="-89.246099999999998"/>
    <n v="59100"/>
    <n v="0"/>
    <n v="0"/>
    <n v="102"/>
    <s v="_x0000_US"/>
  </r>
  <r>
    <x v="1"/>
    <n v="13.676299999999999"/>
    <n v="-89.245699999999999"/>
    <n v="59100"/>
    <n v="0"/>
    <n v="0"/>
    <n v="102"/>
    <s v="_x0000_US"/>
  </r>
  <r>
    <x v="1"/>
    <n v="13.6762"/>
    <n v="-89.245500000000007"/>
    <n v="59100"/>
    <n v="0"/>
    <n v="0"/>
    <n v="102"/>
    <s v="_x0000_US"/>
  </r>
  <r>
    <x v="1"/>
    <n v="13.6761"/>
    <n v="-89.245400000000004"/>
    <n v="59100"/>
    <n v="0"/>
    <n v="0"/>
    <n v="102"/>
    <s v="_x0000_US"/>
  </r>
  <r>
    <x v="1"/>
    <n v="13.6761"/>
    <n v="-89.2453"/>
    <n v="59100"/>
    <n v="0"/>
    <n v="0"/>
    <n v="102"/>
    <s v="_x0000_US"/>
  </r>
  <r>
    <x v="1"/>
    <n v="13.676"/>
    <n v="-89.245099999999994"/>
    <n v="59100"/>
    <n v="0"/>
    <n v="0"/>
    <n v="102"/>
    <s v="_x0000_US"/>
  </r>
  <r>
    <x v="1"/>
    <n v="13.6759"/>
    <n v="-89.245000000000005"/>
    <n v="59100"/>
    <n v="0"/>
    <n v="0"/>
    <n v="102"/>
    <s v="_x0000_US"/>
  </r>
  <r>
    <x v="1"/>
    <n v="13.6759"/>
    <n v="-89.244900000000001"/>
    <n v="59100"/>
    <n v="0"/>
    <n v="0"/>
    <n v="102"/>
    <s v="_x0000_US"/>
  </r>
  <r>
    <x v="1"/>
    <n v="13.675800000000001"/>
    <n v="-89.244799999999998"/>
    <n v="59100"/>
    <n v="0"/>
    <n v="0"/>
    <n v="102"/>
    <s v="_x0000_US"/>
  </r>
  <r>
    <x v="1"/>
    <n v="13.675800000000001"/>
    <n v="-89.244799999999998"/>
    <n v="59100"/>
    <n v="0"/>
    <n v="0"/>
    <n v="102"/>
    <s v="_x0000_US"/>
  </r>
  <r>
    <x v="1"/>
    <n v="13.675700000000001"/>
    <n v="-89.244699999999995"/>
    <n v="59100"/>
    <n v="0"/>
    <n v="0"/>
    <n v="102"/>
    <s v="_x0000_US"/>
  </r>
  <r>
    <x v="1"/>
    <n v="13.675700000000001"/>
    <n v="-89.244600000000005"/>
    <n v="59100"/>
    <n v="0"/>
    <n v="0"/>
    <n v="102"/>
    <s v="_x0000_US"/>
  </r>
  <r>
    <x v="1"/>
    <n v="13.675599999999999"/>
    <n v="-89.244500000000002"/>
    <n v="59100"/>
    <n v="0"/>
    <n v="0"/>
    <n v="102"/>
    <s v="_x0000_US"/>
  </r>
  <r>
    <x v="1"/>
    <n v="13.675599999999999"/>
    <n v="-89.244500000000002"/>
    <n v="59100"/>
    <n v="0"/>
    <n v="0"/>
    <n v="102"/>
    <s v="_x0000_US"/>
  </r>
  <r>
    <x v="1"/>
    <n v="13.6755"/>
    <n v="-89.244399999999999"/>
    <n v="59100"/>
    <n v="0"/>
    <n v="0"/>
    <n v="102"/>
    <s v="_x0000_US"/>
  </r>
  <r>
    <x v="1"/>
    <n v="13.6754"/>
    <n v="-89.245099999999994"/>
    <n v="59100"/>
    <n v="0"/>
    <n v="0"/>
    <n v="102"/>
    <s v="_x0000_US"/>
  </r>
  <r>
    <x v="1"/>
    <n v="13.6751"/>
    <n v="-89.244699999999995"/>
    <n v="59100"/>
    <n v="0"/>
    <n v="0"/>
    <n v="102"/>
    <s v="_x0000_US"/>
  </r>
  <r>
    <x v="1"/>
    <n v="13.676399999999999"/>
    <n v="-89.245199999999997"/>
    <n v="59100"/>
    <n v="0"/>
    <n v="0"/>
    <n v="102"/>
    <s v="_x0000_US"/>
  </r>
  <r>
    <x v="1"/>
    <n v="13.676399999999999"/>
    <n v="-89.245099999999994"/>
    <n v="59100"/>
    <n v="0"/>
    <n v="0"/>
    <n v="102"/>
    <s v="_x0000_US"/>
  </r>
  <r>
    <x v="1"/>
    <n v="13.676299999999999"/>
    <n v="-89.245000000000005"/>
    <n v="59100"/>
    <n v="0"/>
    <n v="0"/>
    <n v="102"/>
    <s v="_x0000_US"/>
  </r>
  <r>
    <x v="1"/>
    <n v="13.676299999999999"/>
    <n v="-89.244900000000001"/>
    <n v="59100"/>
    <n v="0"/>
    <n v="0"/>
    <n v="102"/>
    <s v="_x0000_US"/>
  </r>
  <r>
    <x v="1"/>
    <n v="13.6762"/>
    <n v="-89.244799999999998"/>
    <n v="59100"/>
    <n v="0"/>
    <n v="0"/>
    <n v="102"/>
    <s v="_x0000_US"/>
  </r>
  <r>
    <x v="1"/>
    <n v="13.6762"/>
    <n v="-89.244799999999998"/>
    <n v="59100"/>
    <n v="0"/>
    <n v="0"/>
    <n v="102"/>
    <s v="_x0000_US"/>
  </r>
  <r>
    <x v="1"/>
    <n v="13.6761"/>
    <n v="-89.244699999999995"/>
    <n v="59100"/>
    <n v="0"/>
    <n v="0"/>
    <n v="102"/>
    <s v="_x0000_US"/>
  </r>
  <r>
    <x v="1"/>
    <n v="13.6761"/>
    <n v="-89.244600000000005"/>
    <n v="59100"/>
    <n v="0"/>
    <n v="0"/>
    <n v="102"/>
    <s v="_x0000_US"/>
  </r>
  <r>
    <x v="1"/>
    <n v="13.6761"/>
    <n v="-89.244500000000002"/>
    <n v="59100"/>
    <n v="0"/>
    <n v="0"/>
    <n v="102"/>
    <s v="_x0000_US"/>
  </r>
  <r>
    <x v="1"/>
    <n v="13.676"/>
    <n v="-89.244399999999999"/>
    <n v="59100"/>
    <n v="0"/>
    <n v="0"/>
    <n v="102"/>
    <s v="_x0000_US"/>
  </r>
  <r>
    <x v="1"/>
    <n v="13.6759"/>
    <n v="-89.244399999999999"/>
    <n v="59100"/>
    <n v="0"/>
    <n v="0"/>
    <n v="102"/>
    <s v="_x0000_US"/>
  </r>
  <r>
    <x v="1"/>
    <n v="13.6759"/>
    <n v="-89.244299999999996"/>
    <n v="59100"/>
    <n v="0"/>
    <n v="0"/>
    <n v="102"/>
    <s v="_x0000_US"/>
  </r>
  <r>
    <x v="1"/>
    <n v="13.6759"/>
    <n v="-89.244200000000006"/>
    <n v="59100"/>
    <n v="0"/>
    <n v="0"/>
    <n v="102"/>
    <s v="_x0000_US"/>
  </r>
  <r>
    <x v="1"/>
    <n v="13.675800000000001"/>
    <n v="-89.244100000000003"/>
    <n v="59100"/>
    <n v="0"/>
    <n v="0"/>
    <n v="102"/>
    <s v="_x0000_US"/>
  </r>
  <r>
    <x v="1"/>
    <n v="13.675800000000001"/>
    <n v="-89.244"/>
    <n v="59100"/>
    <n v="0"/>
    <n v="0"/>
    <n v="102"/>
    <s v="_x0000_US"/>
  </r>
  <r>
    <x v="1"/>
    <n v="13.675700000000001"/>
    <n v="-89.243899999999996"/>
    <n v="59100"/>
    <n v="0"/>
    <n v="0"/>
    <n v="102"/>
    <s v="_x0000_US"/>
  </r>
  <r>
    <x v="1"/>
    <n v="13.675700000000001"/>
    <n v="-89.243899999999996"/>
    <n v="59100"/>
    <n v="0"/>
    <n v="0"/>
    <n v="102"/>
    <s v="_x0000_US"/>
  </r>
  <r>
    <x v="1"/>
    <n v="13.675599999999999"/>
    <n v="-89.243799999999993"/>
    <n v="59100"/>
    <n v="0"/>
    <n v="0"/>
    <n v="102"/>
    <s v="_x0000_US"/>
  </r>
  <r>
    <x v="1"/>
    <n v="13.675800000000001"/>
    <n v="-89.243499999999997"/>
    <n v="59100"/>
    <n v="0"/>
    <n v="0"/>
    <n v="102"/>
    <s v="_x0000_US"/>
  </r>
  <r>
    <x v="1"/>
    <n v="13.6759"/>
    <n v="-89.243600000000001"/>
    <n v="59100"/>
    <n v="0"/>
    <n v="0"/>
    <n v="102"/>
    <s v="_x0000_US"/>
  </r>
  <r>
    <x v="1"/>
    <n v="13.6759"/>
    <n v="-89.243700000000004"/>
    <n v="59100"/>
    <n v="0"/>
    <n v="0"/>
    <n v="102"/>
    <s v="_x0000_US"/>
  </r>
  <r>
    <x v="1"/>
    <n v="13.676"/>
    <n v="-89.243799999999993"/>
    <n v="59100"/>
    <n v="0"/>
    <n v="0"/>
    <n v="102"/>
    <s v="_x0000_US"/>
  </r>
  <r>
    <x v="1"/>
    <n v="13.6761"/>
    <n v="-89.243899999999996"/>
    <n v="59100"/>
    <n v="0"/>
    <n v="0"/>
    <n v="102"/>
    <s v="_x0000_US"/>
  </r>
  <r>
    <x v="1"/>
    <n v="13.6761"/>
    <n v="-89.243899999999996"/>
    <n v="59100"/>
    <n v="0"/>
    <n v="0"/>
    <n v="102"/>
    <s v="_x0000_US"/>
  </r>
  <r>
    <x v="1"/>
    <n v="13.6761"/>
    <n v="-89.244"/>
    <n v="59100"/>
    <n v="0"/>
    <n v="0"/>
    <n v="102"/>
    <s v="_x0000_US"/>
  </r>
  <r>
    <x v="1"/>
    <n v="13.6762"/>
    <n v="-89.244100000000003"/>
    <n v="59100"/>
    <n v="0"/>
    <n v="0"/>
    <n v="102"/>
    <s v="_x0000_US"/>
  </r>
  <r>
    <x v="1"/>
    <n v="13.6762"/>
    <n v="-89.244200000000006"/>
    <n v="59100"/>
    <n v="0"/>
    <n v="0"/>
    <n v="102"/>
    <s v="_x0000_US"/>
  </r>
  <r>
    <x v="1"/>
    <n v="13.676299999999999"/>
    <n v="-89.244299999999996"/>
    <n v="59100"/>
    <n v="0"/>
    <n v="0"/>
    <n v="102"/>
    <s v="_x0000_US"/>
  </r>
  <r>
    <x v="1"/>
    <n v="13.676299999999999"/>
    <n v="-89.244299999999996"/>
    <n v="59100"/>
    <n v="0"/>
    <n v="0"/>
    <n v="102"/>
    <s v="_x0000_US"/>
  </r>
  <r>
    <x v="1"/>
    <n v="13.676399999999999"/>
    <n v="-89.244399999999999"/>
    <n v="59100"/>
    <n v="0"/>
    <n v="0"/>
    <n v="102"/>
    <s v="_x0000_US"/>
  </r>
  <r>
    <x v="1"/>
    <n v="13.676399999999999"/>
    <n v="-89.244500000000002"/>
    <n v="59100"/>
    <n v="0"/>
    <n v="0"/>
    <n v="102"/>
    <s v="_x0000_US"/>
  </r>
  <r>
    <x v="1"/>
    <n v="13.676500000000001"/>
    <n v="-89.244600000000005"/>
    <n v="59100"/>
    <n v="0"/>
    <n v="0"/>
    <n v="102"/>
    <s v="_x0000_US"/>
  </r>
  <r>
    <x v="1"/>
    <n v="13.676500000000001"/>
    <n v="-89.244699999999995"/>
    <n v="59100"/>
    <n v="0"/>
    <n v="0"/>
    <n v="102"/>
    <s v="_x0000_US"/>
  </r>
  <r>
    <x v="1"/>
    <n v="13.676600000000001"/>
    <n v="-89.244799999999998"/>
    <n v="59100"/>
    <n v="0"/>
    <n v="0"/>
    <n v="102"/>
    <s v="_x0000_US"/>
  </r>
  <r>
    <x v="1"/>
    <n v="13.6768"/>
    <n v="-89.244500000000002"/>
    <n v="59100"/>
    <n v="0"/>
    <n v="0"/>
    <n v="102"/>
    <s v="_x0000_US"/>
  </r>
  <r>
    <x v="1"/>
    <n v="13.6767"/>
    <n v="-89.244399999999999"/>
    <n v="59100"/>
    <n v="0"/>
    <n v="0"/>
    <n v="102"/>
    <s v="_x0000_US"/>
  </r>
  <r>
    <x v="1"/>
    <n v="13.6767"/>
    <n v="-89.244399999999999"/>
    <n v="59100"/>
    <n v="0"/>
    <n v="0"/>
    <n v="102"/>
    <s v="_x0000_US"/>
  </r>
  <r>
    <x v="1"/>
    <n v="13.676600000000001"/>
    <n v="-89.244299999999996"/>
    <n v="59100"/>
    <n v="0"/>
    <n v="0"/>
    <n v="102"/>
    <s v="_x0000_US"/>
  </r>
  <r>
    <x v="1"/>
    <n v="13.676600000000001"/>
    <n v="-89.244200000000006"/>
    <n v="59100"/>
    <n v="0"/>
    <n v="0"/>
    <n v="102"/>
    <s v="_x0000_US"/>
  </r>
  <r>
    <x v="1"/>
    <n v="13.676500000000001"/>
    <n v="-89.244100000000003"/>
    <n v="59100"/>
    <n v="0"/>
    <n v="0"/>
    <n v="102"/>
    <s v="_x0000_US"/>
  </r>
  <r>
    <x v="1"/>
    <n v="13.676500000000001"/>
    <n v="-89.244"/>
    <n v="59100"/>
    <n v="0"/>
    <n v="0"/>
    <n v="102"/>
    <s v="_x0000_US"/>
  </r>
  <r>
    <x v="1"/>
    <n v="13.676399999999999"/>
    <n v="-89.243899999999996"/>
    <n v="59100"/>
    <n v="0"/>
    <n v="0"/>
    <n v="102"/>
    <s v="_x0000_US"/>
  </r>
  <r>
    <x v="1"/>
    <n v="13.676399999999999"/>
    <n v="-89.243899999999996"/>
    <n v="59100"/>
    <n v="0"/>
    <n v="0"/>
    <n v="102"/>
    <s v="_x0000_US"/>
  </r>
  <r>
    <x v="1"/>
    <n v="13.676299999999999"/>
    <n v="-89.243799999999993"/>
    <n v="59100"/>
    <n v="0"/>
    <n v="0"/>
    <n v="102"/>
    <s v="_x0000_US"/>
  </r>
  <r>
    <x v="1"/>
    <n v="13.676299999999999"/>
    <n v="-89.243700000000004"/>
    <n v="59100"/>
    <n v="0"/>
    <n v="0"/>
    <n v="102"/>
    <s v="_x0000_US"/>
  </r>
  <r>
    <x v="1"/>
    <n v="13.676299999999999"/>
    <n v="-89.243600000000001"/>
    <n v="59100"/>
    <n v="0"/>
    <n v="0"/>
    <n v="102"/>
    <s v="_x0000_US"/>
  </r>
  <r>
    <x v="1"/>
    <n v="13.6762"/>
    <n v="-89.243600000000001"/>
    <n v="59100"/>
    <n v="0"/>
    <n v="0"/>
    <n v="102"/>
    <s v="_x0000_US"/>
  </r>
  <r>
    <x v="1"/>
    <n v="13.6761"/>
    <n v="-89.243399999999994"/>
    <n v="59100"/>
    <n v="0"/>
    <n v="0"/>
    <n v="102"/>
    <s v="_x0000_US"/>
  </r>
  <r>
    <x v="1"/>
    <n v="13.676399999999999"/>
    <n v="-89.243300000000005"/>
    <n v="59100"/>
    <n v="0"/>
    <n v="0"/>
    <n v="102"/>
    <s v="_x0000_US"/>
  </r>
  <r>
    <x v="1"/>
    <n v="13.676500000000001"/>
    <n v="-89.243399999999994"/>
    <n v="59100"/>
    <n v="0"/>
    <n v="0"/>
    <n v="102"/>
    <s v="_x0000_US"/>
  </r>
  <r>
    <x v="1"/>
    <n v="13.676500000000001"/>
    <n v="-89.243399999999994"/>
    <n v="59100"/>
    <n v="0"/>
    <n v="0"/>
    <n v="102"/>
    <s v="_x0000_US"/>
  </r>
  <r>
    <x v="1"/>
    <n v="13.676600000000001"/>
    <n v="-89.243600000000001"/>
    <n v="59100"/>
    <n v="0"/>
    <n v="0"/>
    <n v="102"/>
    <s v="_x0000_US"/>
  </r>
  <r>
    <x v="1"/>
    <n v="13.6767"/>
    <n v="-89.243700000000004"/>
    <n v="59100"/>
    <n v="0"/>
    <n v="0"/>
    <n v="102"/>
    <s v="_x0000_US"/>
  </r>
  <r>
    <x v="1"/>
    <n v="13.6767"/>
    <n v="-89.243799999999993"/>
    <n v="59100"/>
    <n v="0"/>
    <n v="0"/>
    <n v="102"/>
    <s v="_x0000_US"/>
  </r>
  <r>
    <x v="1"/>
    <n v="13.6768"/>
    <n v="-89.243799999999993"/>
    <n v="59100"/>
    <n v="0"/>
    <n v="0"/>
    <n v="102"/>
    <s v="_x0000_US"/>
  </r>
  <r>
    <x v="1"/>
    <n v="13.6768"/>
    <n v="-89.243899999999996"/>
    <n v="59100"/>
    <n v="0"/>
    <n v="0"/>
    <n v="102"/>
    <s v="_x0000_US"/>
  </r>
  <r>
    <x v="1"/>
    <n v="13.6769"/>
    <n v="-89.244"/>
    <n v="59100"/>
    <n v="0"/>
    <n v="0"/>
    <n v="102"/>
    <s v="_x0000_US"/>
  </r>
  <r>
    <x v="1"/>
    <n v="13.676"/>
    <n v="-89.243300000000005"/>
    <n v="59100"/>
    <n v="0"/>
    <n v="0"/>
    <n v="102"/>
    <s v="_x0000_US"/>
  </r>
  <r>
    <x v="1"/>
    <n v="13.677"/>
    <n v="-89.243600000000001"/>
    <n v="59100"/>
    <n v="0"/>
    <n v="0"/>
    <n v="102"/>
    <s v="_x0000_US"/>
  </r>
  <r>
    <x v="1"/>
    <n v="13.677"/>
    <n v="-89.243499999999997"/>
    <n v="59100"/>
    <n v="0"/>
    <n v="0"/>
    <n v="102"/>
    <s v="_x0000_US"/>
  </r>
  <r>
    <x v="1"/>
    <n v="13.6769"/>
    <n v="-89.243399999999994"/>
    <n v="59100"/>
    <n v="0"/>
    <n v="0"/>
    <n v="102"/>
    <s v="_x0000_US"/>
  </r>
  <r>
    <x v="1"/>
    <n v="13.6769"/>
    <n v="-89.243300000000005"/>
    <n v="59100"/>
    <n v="0"/>
    <n v="0"/>
    <n v="102"/>
    <s v="_x0000_US"/>
  </r>
  <r>
    <x v="1"/>
    <n v="13.6768"/>
    <n v="-89.243300000000005"/>
    <n v="59100"/>
    <n v="0"/>
    <n v="0"/>
    <n v="102"/>
    <s v="_x0000_US"/>
  </r>
  <r>
    <x v="1"/>
    <n v="13.6768"/>
    <n v="-89.243200000000002"/>
    <n v="59100"/>
    <n v="0"/>
    <n v="0"/>
    <n v="102"/>
    <s v="_x0000_US"/>
  </r>
  <r>
    <x v="1"/>
    <n v="13.6768"/>
    <n v="-89.243099999999998"/>
    <n v="59100"/>
    <n v="0"/>
    <n v="0"/>
    <n v="102"/>
    <s v="_x0000_US"/>
  </r>
  <r>
    <x v="1"/>
    <n v="13.677199999999999"/>
    <n v="-89.243300000000005"/>
    <n v="59100"/>
    <n v="0"/>
    <n v="0"/>
    <n v="102"/>
    <s v="_x0000_US"/>
  </r>
  <r>
    <x v="1"/>
    <n v="13.677199999999999"/>
    <n v="-89.243200000000002"/>
    <n v="59100"/>
    <n v="0"/>
    <n v="0"/>
    <n v="102"/>
    <s v="_x0000_US"/>
  </r>
  <r>
    <x v="1"/>
    <n v="13.677099999999999"/>
    <n v="-89.242999999999995"/>
    <n v="59100"/>
    <n v="0"/>
    <n v="0"/>
    <n v="102"/>
    <s v="_x0000_US"/>
  </r>
  <r>
    <x v="1"/>
    <n v="13.677"/>
    <n v="-89.242900000000006"/>
    <n v="59100"/>
    <n v="0"/>
    <n v="0"/>
    <n v="102"/>
    <s v="_x0000_US"/>
  </r>
  <r>
    <x v="1"/>
    <n v="13.677"/>
    <n v="-89.242800000000003"/>
    <n v="59100"/>
    <n v="0"/>
    <n v="0"/>
    <n v="102"/>
    <s v="_x0000_US"/>
  </r>
  <r>
    <x v="1"/>
    <n v="13.6774"/>
    <n v="-89.242999999999995"/>
    <n v="59100"/>
    <n v="0"/>
    <n v="0"/>
    <n v="102"/>
    <s v="_x0000_US"/>
  </r>
  <r>
    <x v="1"/>
    <n v="13.6774"/>
    <n v="-89.242900000000006"/>
    <n v="59100"/>
    <n v="0"/>
    <n v="0"/>
    <n v="102"/>
    <s v="_x0000_US"/>
  </r>
  <r>
    <x v="1"/>
    <n v="13.677300000000001"/>
    <n v="-89.242900000000006"/>
    <n v="59100"/>
    <n v="0"/>
    <n v="0"/>
    <n v="102"/>
    <s v="_x0000_US"/>
  </r>
  <r>
    <x v="1"/>
    <n v="13.677300000000001"/>
    <n v="-89.242800000000003"/>
    <n v="59100"/>
    <n v="0"/>
    <n v="0"/>
    <n v="102"/>
    <s v="_x0000_US"/>
  </r>
  <r>
    <x v="1"/>
    <n v="13.677199999999999"/>
    <n v="-89.242699999999999"/>
    <n v="59100"/>
    <n v="0"/>
    <n v="0"/>
    <n v="102"/>
    <s v="_x0000_US"/>
  </r>
  <r>
    <x v="1"/>
    <n v="13.6775"/>
    <n v="-89.242500000000007"/>
    <n v="59100"/>
    <n v="0"/>
    <n v="0"/>
    <n v="102"/>
    <s v="_x0000_US"/>
  </r>
  <r>
    <x v="1"/>
    <n v="13.6777"/>
    <n v="-89.242999999999995"/>
    <n v="59100"/>
    <n v="0"/>
    <n v="0"/>
    <n v="102"/>
    <s v="_x0000_US"/>
  </r>
  <r>
    <x v="1"/>
    <n v="13.6777"/>
    <n v="-89.242900000000006"/>
    <n v="59100"/>
    <n v="0"/>
    <n v="0"/>
    <n v="102"/>
    <s v="_x0000_US"/>
  </r>
  <r>
    <x v="1"/>
    <n v="13.6778"/>
    <n v="-89.242800000000003"/>
    <n v="59100"/>
    <n v="0"/>
    <n v="0"/>
    <n v="102"/>
    <s v="_x0000_US"/>
  </r>
  <r>
    <x v="1"/>
    <n v="13.6778"/>
    <n v="-89.242699999999999"/>
    <n v="59100"/>
    <n v="0"/>
    <n v="0"/>
    <n v="102"/>
    <s v="_x0000_US"/>
  </r>
  <r>
    <x v="1"/>
    <n v="13.6778"/>
    <n v="-89.242699999999999"/>
    <n v="59100"/>
    <n v="0"/>
    <n v="0"/>
    <n v="102"/>
    <s v="_x0000_US"/>
  </r>
  <r>
    <x v="1"/>
    <n v="13.6778"/>
    <n v="-89.242500000000007"/>
    <n v="59100"/>
    <n v="0"/>
    <n v="0"/>
    <n v="102"/>
    <s v="_x0000_US"/>
  </r>
  <r>
    <x v="1"/>
    <n v="13.6778"/>
    <n v="-89.242500000000007"/>
    <n v="59100"/>
    <n v="0"/>
    <n v="0"/>
    <n v="102"/>
    <s v="_x0000_US"/>
  </r>
  <r>
    <x v="1"/>
    <n v="13.678000000000001"/>
    <n v="-89.242999999999995"/>
    <n v="59100"/>
    <n v="0"/>
    <n v="0"/>
    <n v="102"/>
    <s v="_x0000_US"/>
  </r>
  <r>
    <x v="1"/>
    <n v="13.678100000000001"/>
    <n v="-89.242900000000006"/>
    <n v="59100"/>
    <n v="0"/>
    <n v="0"/>
    <n v="102"/>
    <s v="_x0000_US"/>
  </r>
  <r>
    <x v="1"/>
    <n v="13.6784"/>
    <n v="-89.243200000000002"/>
    <n v="12320"/>
    <n v="0"/>
    <n v="0"/>
    <n v="102"/>
    <s v="_x0000_US"/>
  </r>
  <r>
    <x v="1"/>
    <n v="13.6784"/>
    <n v="-89.243200000000002"/>
    <n v="12320"/>
    <n v="0"/>
    <n v="0"/>
    <n v="102"/>
    <s v="_x0000_US"/>
  </r>
  <r>
    <x v="1"/>
    <n v="13.6783"/>
    <n v="-89.243200000000002"/>
    <n v="12320"/>
    <n v="0"/>
    <n v="0"/>
    <n v="102"/>
    <s v="_x0000_US"/>
  </r>
  <r>
    <x v="1"/>
    <n v="13.6774"/>
    <n v="-89.243899999999996"/>
    <n v="59100"/>
    <n v="0"/>
    <n v="0"/>
    <n v="102"/>
    <s v="_x0000_US"/>
  </r>
  <r>
    <x v="1"/>
    <n v="13.6774"/>
    <n v="-89.244100000000003"/>
    <n v="59100"/>
    <n v="0"/>
    <n v="0"/>
    <n v="102"/>
    <s v="_x0000_US"/>
  </r>
  <r>
    <x v="1"/>
    <n v="13.6774"/>
    <n v="-89.244200000000006"/>
    <n v="59100"/>
    <n v="0"/>
    <n v="0"/>
    <n v="102"/>
    <s v="_x0000_US"/>
  </r>
  <r>
    <x v="1"/>
    <n v="13.6775"/>
    <n v="-89.244299999999996"/>
    <n v="59100"/>
    <n v="0"/>
    <n v="0"/>
    <n v="102"/>
    <s v="_x0000_US"/>
  </r>
  <r>
    <x v="1"/>
    <n v="13.6776"/>
    <n v="-89.244399999999999"/>
    <n v="59100"/>
    <n v="0"/>
    <n v="0"/>
    <n v="102"/>
    <s v="_x0000_US"/>
  </r>
  <r>
    <x v="1"/>
    <n v="13.6777"/>
    <n v="-89.244399999999999"/>
    <n v="59100"/>
    <n v="0"/>
    <n v="0"/>
    <n v="102"/>
    <s v="_x0000_US"/>
  </r>
  <r>
    <x v="1"/>
    <n v="13.6778"/>
    <n v="-89.244500000000002"/>
    <n v="59100"/>
    <n v="0"/>
    <n v="0"/>
    <n v="102"/>
    <s v="_x0000_US"/>
  </r>
  <r>
    <x v="1"/>
    <n v="13.6778"/>
    <n v="-89.244600000000005"/>
    <n v="59100"/>
    <n v="0"/>
    <n v="0"/>
    <n v="102"/>
    <s v="_x0000_US"/>
  </r>
  <r>
    <x v="1"/>
    <n v="13.677899999999999"/>
    <n v="-89.244699999999995"/>
    <n v="59100"/>
    <n v="0"/>
    <n v="0"/>
    <n v="102"/>
    <s v="_x0000_US"/>
  </r>
  <r>
    <x v="1"/>
    <n v="13.677099999999999"/>
    <n v="-89.242500000000007"/>
    <n v="59100"/>
    <n v="0"/>
    <n v="0"/>
    <n v="102"/>
    <s v="_x0000_US"/>
  </r>
  <r>
    <x v="1"/>
    <n v="13.677099999999999"/>
    <n v="-89.242500000000007"/>
    <n v="59100"/>
    <n v="0"/>
    <n v="0"/>
    <n v="102"/>
    <s v="_x0000_US"/>
  </r>
  <r>
    <x v="1"/>
    <n v="13.6774"/>
    <n v="-89.242400000000004"/>
    <n v="59100"/>
    <n v="0"/>
    <n v="0"/>
    <n v="102"/>
    <s v="_x0000_US"/>
  </r>
  <r>
    <x v="1"/>
    <n v="13.6769"/>
    <n v="-89.242699999999999"/>
    <n v="59100"/>
    <n v="0"/>
    <n v="0"/>
    <n v="102"/>
    <s v="_x0000_US"/>
  </r>
  <r>
    <x v="1"/>
    <n v="13.676299999999999"/>
    <n v="-89.242999999999995"/>
    <n v="59100"/>
    <n v="0"/>
    <n v="0"/>
    <n v="102"/>
    <s v="_x0000_US"/>
  </r>
  <r>
    <x v="1"/>
    <n v="13.679399999999999"/>
    <n v="-89.244100000000003"/>
    <n v="12320"/>
    <n v="0"/>
    <n v="0"/>
    <n v="102"/>
    <s v="_x0000_US"/>
  </r>
  <r>
    <x v="1"/>
    <n v="13.679399999999999"/>
    <n v="-89.244100000000003"/>
    <n v="12320"/>
    <n v="0"/>
    <n v="0"/>
    <n v="102"/>
    <s v="_x0000_US"/>
  </r>
  <r>
    <x v="1"/>
    <n v="13.679399999999999"/>
    <n v="-89.244100000000003"/>
    <n v="12320"/>
    <n v="0"/>
    <n v="0"/>
    <n v="102"/>
    <s v="_x0000_US"/>
  </r>
  <r>
    <x v="1"/>
    <n v="13.679399999999999"/>
    <n v="-89.244"/>
    <n v="12320"/>
    <n v="0"/>
    <n v="0"/>
    <n v="102"/>
    <s v="_x0000_US"/>
  </r>
  <r>
    <x v="1"/>
    <n v="13.6793"/>
    <n v="-89.244"/>
    <n v="12320"/>
    <n v="0"/>
    <n v="0"/>
    <n v="102"/>
    <s v="_x0000_US"/>
  </r>
  <r>
    <x v="1"/>
    <n v="13.6793"/>
    <n v="-89.244"/>
    <n v="12320"/>
    <n v="0"/>
    <n v="0"/>
    <n v="102"/>
    <s v="_x0000_US"/>
  </r>
  <r>
    <x v="1"/>
    <n v="13.6792"/>
    <n v="-89.244"/>
    <n v="12320"/>
    <n v="0"/>
    <n v="0"/>
    <n v="102"/>
    <s v="_x0000_US"/>
  </r>
  <r>
    <x v="1"/>
    <n v="13.6792"/>
    <n v="-89.243899999999996"/>
    <n v="12320"/>
    <n v="0"/>
    <n v="0"/>
    <n v="102"/>
    <s v="_x0000_US"/>
  </r>
  <r>
    <x v="1"/>
    <n v="13.6792"/>
    <n v="-89.243899999999996"/>
    <n v="12320"/>
    <n v="0"/>
    <n v="0"/>
    <n v="102"/>
    <s v="_x0000_US"/>
  </r>
  <r>
    <x v="1"/>
    <n v="13.6791"/>
    <n v="-89.243899999999996"/>
    <n v="12320"/>
    <n v="0"/>
    <n v="0"/>
    <n v="102"/>
    <s v="_x0000_US"/>
  </r>
  <r>
    <x v="1"/>
    <n v="13.6791"/>
    <n v="-89.243799999999993"/>
    <n v="12320"/>
    <n v="0"/>
    <n v="0"/>
    <n v="102"/>
    <s v="_x0000_US"/>
  </r>
  <r>
    <x v="1"/>
    <n v="13.678800000000001"/>
    <n v="-89.243799999999993"/>
    <n v="12320"/>
    <n v="0"/>
    <n v="0"/>
    <n v="102"/>
    <s v="_x0000_US"/>
  </r>
  <r>
    <x v="1"/>
    <n v="13.678699999999999"/>
    <n v="-89.243799999999993"/>
    <n v="12320"/>
    <n v="0"/>
    <n v="0"/>
    <n v="102"/>
    <s v="_x0000_US"/>
  </r>
  <r>
    <x v="1"/>
    <n v="13.678699999999999"/>
    <n v="-89.243700000000004"/>
    <n v="12320"/>
    <n v="0"/>
    <n v="0"/>
    <n v="102"/>
    <s v="_x0000_US"/>
  </r>
  <r>
    <x v="1"/>
    <n v="13.678699999999999"/>
    <n v="-89.243700000000004"/>
    <n v="12320"/>
    <n v="0"/>
    <n v="0"/>
    <n v="102"/>
    <s v="_x0000_US"/>
  </r>
  <r>
    <x v="1"/>
    <n v="13.678699999999999"/>
    <n v="-89.243600000000001"/>
    <n v="12320"/>
    <n v="0"/>
    <n v="0"/>
    <n v="102"/>
    <s v="_x0000_US"/>
  </r>
  <r>
    <x v="1"/>
    <n v="13.678599999999999"/>
    <n v="-89.243600000000001"/>
    <n v="12320"/>
    <n v="0"/>
    <n v="0"/>
    <n v="102"/>
    <s v="_x0000_US"/>
  </r>
  <r>
    <x v="1"/>
    <n v="13.678599999999999"/>
    <n v="-89.243600000000001"/>
    <n v="12320"/>
    <n v="0"/>
    <n v="0"/>
    <n v="102"/>
    <s v="_x0000_US"/>
  </r>
  <r>
    <x v="1"/>
    <n v="13.678599999999999"/>
    <n v="-89.243499999999997"/>
    <n v="12320"/>
    <n v="0"/>
    <n v="0"/>
    <n v="102"/>
    <s v="_x0000_US"/>
  </r>
  <r>
    <x v="1"/>
    <n v="13.6785"/>
    <n v="-89.243499999999997"/>
    <n v="12320"/>
    <n v="0"/>
    <n v="0"/>
    <n v="102"/>
    <s v="_x0000_US"/>
  </r>
  <r>
    <x v="1"/>
    <n v="13.6785"/>
    <n v="-89.243399999999994"/>
    <n v="12320"/>
    <n v="0"/>
    <n v="0"/>
    <n v="102"/>
    <s v="_x0000_US"/>
  </r>
  <r>
    <x v="1"/>
    <n v="13.6785"/>
    <n v="-89.243399999999994"/>
    <n v="12320"/>
    <n v="0"/>
    <n v="0"/>
    <n v="102"/>
    <s v="_x0000_US"/>
  </r>
  <r>
    <x v="1"/>
    <n v="13.6785"/>
    <n v="-89.243300000000005"/>
    <n v="12320"/>
    <n v="0"/>
    <n v="0"/>
    <n v="102"/>
    <s v="_x0000_US"/>
  </r>
  <r>
    <x v="1"/>
    <n v="13.6784"/>
    <n v="-89.243300000000005"/>
    <n v="12320"/>
    <n v="0"/>
    <n v="0"/>
    <n v="102"/>
    <s v="_x0000_US"/>
  </r>
  <r>
    <x v="1"/>
    <n v="13.6785"/>
    <n v="-89.243200000000002"/>
    <n v="12320"/>
    <n v="0"/>
    <n v="0"/>
    <n v="102"/>
    <s v="_x0000_US"/>
  </r>
  <r>
    <x v="1"/>
    <n v="13.678599999999999"/>
    <n v="-89.243200000000002"/>
    <n v="12320"/>
    <n v="0"/>
    <n v="0"/>
    <n v="102"/>
    <s v="_x0000_US"/>
  </r>
  <r>
    <x v="1"/>
    <n v="13.678599999999999"/>
    <n v="-89.243200000000002"/>
    <n v="12320"/>
    <n v="0"/>
    <n v="0"/>
    <n v="102"/>
    <s v="_x0000_US"/>
  </r>
  <r>
    <x v="1"/>
    <n v="13.678699999999999"/>
    <n v="-89.243200000000002"/>
    <n v="12320"/>
    <n v="0"/>
    <n v="0"/>
    <n v="102"/>
    <s v="_x0000_US"/>
  </r>
  <r>
    <x v="1"/>
    <n v="13.678699999999999"/>
    <n v="-89.243200000000002"/>
    <n v="12320"/>
    <n v="0"/>
    <n v="0"/>
    <n v="102"/>
    <s v="_x0000_US"/>
  </r>
  <r>
    <x v="1"/>
    <n v="13.678699999999999"/>
    <n v="-89.243200000000002"/>
    <n v="12320"/>
    <n v="0"/>
    <n v="0"/>
    <n v="102"/>
    <s v="_x0000_US"/>
  </r>
  <r>
    <x v="1"/>
    <n v="13.678699999999999"/>
    <n v="-89.243300000000005"/>
    <n v="12320"/>
    <n v="0"/>
    <n v="0"/>
    <n v="102"/>
    <s v="_x0000_US"/>
  </r>
  <r>
    <x v="1"/>
    <n v="13.678699999999999"/>
    <n v="-89.243300000000005"/>
    <n v="12320"/>
    <n v="0"/>
    <n v="0"/>
    <n v="102"/>
    <s v="_x0000_US"/>
  </r>
  <r>
    <x v="1"/>
    <n v="13.678800000000001"/>
    <n v="-89.243399999999994"/>
    <n v="12320"/>
    <n v="0"/>
    <n v="0"/>
    <n v="102"/>
    <s v="_x0000_US"/>
  </r>
  <r>
    <x v="1"/>
    <n v="13.678800000000001"/>
    <n v="-89.243399999999994"/>
    <n v="12320"/>
    <n v="0"/>
    <n v="0"/>
    <n v="102"/>
    <s v="_x0000_US"/>
  </r>
  <r>
    <x v="1"/>
    <n v="13.678800000000001"/>
    <n v="-89.243499999999997"/>
    <n v="12320"/>
    <n v="0"/>
    <n v="0"/>
    <n v="102"/>
    <s v="_x0000_US"/>
  </r>
  <r>
    <x v="1"/>
    <n v="13.678800000000001"/>
    <n v="-89.243600000000001"/>
    <n v="12320"/>
    <n v="0"/>
    <n v="0"/>
    <n v="102"/>
    <s v="_x0000_US"/>
  </r>
  <r>
    <x v="1"/>
    <n v="13.678900000000001"/>
    <n v="-89.243700000000004"/>
    <n v="12320"/>
    <n v="0"/>
    <n v="0"/>
    <n v="102"/>
    <s v="_x0000_US"/>
  </r>
  <r>
    <x v="1"/>
    <n v="13.678900000000001"/>
    <n v="-89.243700000000004"/>
    <n v="12320"/>
    <n v="0"/>
    <n v="0"/>
    <n v="102"/>
    <s v="_x0000_US"/>
  </r>
  <r>
    <x v="1"/>
    <n v="13.678900000000001"/>
    <n v="-89.243799999999993"/>
    <n v="12320"/>
    <n v="0"/>
    <n v="0"/>
    <n v="102"/>
    <s v="_x0000_US"/>
  </r>
  <r>
    <x v="1"/>
    <n v="13.6793"/>
    <n v="-89.243799999999993"/>
    <n v="12320"/>
    <n v="0"/>
    <n v="0"/>
    <n v="102"/>
    <s v="_x0000_US"/>
  </r>
  <r>
    <x v="1"/>
    <n v="13.6793"/>
    <n v="-89.243700000000004"/>
    <n v="12320"/>
    <n v="0"/>
    <n v="0"/>
    <n v="102"/>
    <s v="_x0000_US"/>
  </r>
  <r>
    <x v="1"/>
    <n v="13.679399999999999"/>
    <n v="-89.243700000000004"/>
    <n v="12320"/>
    <n v="0"/>
    <n v="0"/>
    <n v="102"/>
    <s v="_x0000_US"/>
  </r>
  <r>
    <x v="1"/>
    <n v="13.679500000000001"/>
    <n v="-89.243700000000004"/>
    <n v="12320"/>
    <n v="0"/>
    <n v="0"/>
    <n v="102"/>
    <s v="_x0000_US"/>
  </r>
  <r>
    <x v="1"/>
    <n v="13.679500000000001"/>
    <n v="-89.243700000000004"/>
    <n v="12320"/>
    <n v="0"/>
    <n v="0"/>
    <n v="102"/>
    <s v="_x0000_US"/>
  </r>
  <r>
    <x v="1"/>
    <n v="13.679399999999999"/>
    <n v="-89.243899999999996"/>
    <n v="12320"/>
    <n v="0"/>
    <n v="0"/>
    <n v="102"/>
    <s v="_x0000_US"/>
  </r>
  <r>
    <x v="1"/>
    <n v="13.679500000000001"/>
    <n v="-89.243899999999996"/>
    <n v="12320"/>
    <n v="0"/>
    <n v="0"/>
    <n v="102"/>
    <s v="_x0000_US"/>
  </r>
  <r>
    <x v="1"/>
    <n v="13.6798"/>
    <n v="-89.242999999999995"/>
    <n v="59100"/>
    <n v="0"/>
    <n v="0"/>
    <n v="102"/>
    <s v="_x0000_US"/>
  </r>
  <r>
    <x v="1"/>
    <n v="13.6798"/>
    <n v="-89.242900000000006"/>
    <n v="59100"/>
    <n v="0"/>
    <n v="0"/>
    <n v="102"/>
    <s v="_x0000_US"/>
  </r>
  <r>
    <x v="1"/>
    <n v="13.6798"/>
    <n v="-89.242900000000006"/>
    <n v="59100"/>
    <n v="0"/>
    <n v="0"/>
    <n v="102"/>
    <s v="_x0000_US"/>
  </r>
  <r>
    <x v="1"/>
    <n v="13.6798"/>
    <n v="-89.242900000000006"/>
    <n v="59100"/>
    <n v="0"/>
    <n v="0"/>
    <n v="102"/>
    <s v="_x0000_US"/>
  </r>
  <r>
    <x v="1"/>
    <n v="13.6799"/>
    <n v="-89.242900000000006"/>
    <n v="59100"/>
    <n v="0"/>
    <n v="0"/>
    <n v="102"/>
    <s v="_x0000_US"/>
  </r>
  <r>
    <x v="1"/>
    <n v="13.680300000000001"/>
    <n v="-89.243899999999996"/>
    <n v="64400"/>
    <n v="0"/>
    <n v="0"/>
    <n v="102"/>
    <s v="_x0000_US"/>
  </r>
  <r>
    <x v="1"/>
    <n v="13.690799999999999"/>
    <n v="-89.226699999999994"/>
    <n v="111900"/>
    <n v="0"/>
    <n v="0"/>
    <n v="102"/>
    <s v="_x0000_US"/>
  </r>
  <r>
    <x v="1"/>
    <n v="13.690799999999999"/>
    <n v="-89.226799999999997"/>
    <n v="111900"/>
    <n v="0"/>
    <n v="0"/>
    <n v="102"/>
    <s v="_x0000_US"/>
  </r>
  <r>
    <x v="1"/>
    <n v="13.690799999999999"/>
    <n v="-89.226200000000006"/>
    <n v="111900"/>
    <n v="0"/>
    <n v="0"/>
    <n v="102"/>
    <s v="_x0000_US"/>
  </r>
  <r>
    <x v="1"/>
    <n v="13.690899999999999"/>
    <n v="-89.226299999999995"/>
    <n v="111900"/>
    <n v="0"/>
    <n v="0"/>
    <n v="102"/>
    <s v="_x0000_US"/>
  </r>
  <r>
    <x v="1"/>
    <n v="13.691000000000001"/>
    <n v="-89.226299999999995"/>
    <n v="111900"/>
    <n v="0"/>
    <n v="0"/>
    <n v="102"/>
    <s v="_x0000_US"/>
  </r>
  <r>
    <x v="1"/>
    <n v="13.6912"/>
    <n v="-89.225999999999999"/>
    <n v="111900"/>
    <n v="0"/>
    <n v="0"/>
    <n v="102"/>
    <s v="_x0000_US"/>
  </r>
  <r>
    <x v="1"/>
    <n v="13.6911"/>
    <n v="-89.225999999999999"/>
    <n v="111900"/>
    <n v="0"/>
    <n v="0"/>
    <n v="102"/>
    <s v="_x0000_US"/>
  </r>
  <r>
    <x v="1"/>
    <n v="13.690899999999999"/>
    <n v="-89.225999999999999"/>
    <n v="111900"/>
    <n v="0"/>
    <n v="0"/>
    <n v="102"/>
    <s v="_x0000_US"/>
  </r>
  <r>
    <x v="1"/>
    <n v="13.690300000000001"/>
    <n v="-89.227000000000004"/>
    <n v="111900"/>
    <n v="0"/>
    <n v="0"/>
    <n v="102"/>
    <s v="_x0000_US"/>
  </r>
  <r>
    <x v="1"/>
    <n v="13.690200000000001"/>
    <n v="-89.226600000000005"/>
    <n v="111900"/>
    <n v="0"/>
    <n v="0"/>
    <n v="102"/>
    <s v="_x0000_US"/>
  </r>
  <r>
    <x v="1"/>
    <n v="13.690099999999999"/>
    <n v="-89.226600000000005"/>
    <n v="111900"/>
    <n v="0"/>
    <n v="0"/>
    <n v="102"/>
    <s v="_x0000_US"/>
  </r>
  <r>
    <x v="1"/>
    <n v="13.690099999999999"/>
    <n v="-89.226799999999997"/>
    <n v="111900"/>
    <n v="0"/>
    <n v="0"/>
    <n v="102"/>
    <s v="_x0000_US"/>
  </r>
  <r>
    <x v="1"/>
    <n v="13.690300000000001"/>
    <n v="-89.226200000000006"/>
    <n v="111900"/>
    <n v="0"/>
    <n v="0"/>
    <n v="102"/>
    <s v="_x0000_US"/>
  </r>
  <r>
    <x v="1"/>
    <n v="13.690300000000001"/>
    <n v="-89.226200000000006"/>
    <n v="111900"/>
    <n v="0"/>
    <n v="0"/>
    <n v="102"/>
    <s v="_x0000_US"/>
  </r>
  <r>
    <x v="1"/>
    <n v="13.690300000000001"/>
    <n v="-89.226100000000002"/>
    <n v="111900"/>
    <n v="0"/>
    <n v="0"/>
    <n v="102"/>
    <s v="_x0000_US"/>
  </r>
  <r>
    <x v="1"/>
    <n v="13.690300000000001"/>
    <n v="-89.226100000000002"/>
    <n v="111900"/>
    <n v="0"/>
    <n v="0"/>
    <n v="102"/>
    <s v="_x0000_US"/>
  </r>
  <r>
    <x v="1"/>
    <n v="13.690200000000001"/>
    <n v="-89.226100000000002"/>
    <n v="111900"/>
    <n v="0"/>
    <n v="0"/>
    <n v="102"/>
    <s v="_x0000_US"/>
  </r>
  <r>
    <x v="1"/>
    <n v="13.690200000000001"/>
    <n v="-89.226100000000002"/>
    <n v="111900"/>
    <n v="0"/>
    <n v="0"/>
    <n v="102"/>
    <s v="_x0000_US"/>
  </r>
  <r>
    <x v="1"/>
    <n v="13.690099999999999"/>
    <n v="-89.226100000000002"/>
    <n v="111900"/>
    <n v="0"/>
    <n v="0"/>
    <n v="102"/>
    <s v="_x0000_US"/>
  </r>
  <r>
    <x v="1"/>
    <n v="13.690099999999999"/>
    <n v="-89.226100000000002"/>
    <n v="111900"/>
    <n v="0"/>
    <n v="0"/>
    <n v="102"/>
    <s v="_x0000_US"/>
  </r>
  <r>
    <x v="1"/>
    <n v="13.690200000000001"/>
    <n v="-89.226200000000006"/>
    <n v="111900"/>
    <n v="0"/>
    <n v="0"/>
    <n v="102"/>
    <s v="_x0000_US"/>
  </r>
  <r>
    <x v="1"/>
    <n v="13.690200000000001"/>
    <n v="-89.226200000000006"/>
    <n v="111900"/>
    <n v="0"/>
    <n v="0"/>
    <n v="102"/>
    <s v="_x0000_US"/>
  </r>
  <r>
    <x v="1"/>
    <n v="13.6906"/>
    <n v="-89.226500000000001"/>
    <n v="111900"/>
    <n v="0"/>
    <n v="0"/>
    <n v="102"/>
    <s v="_x0000_US"/>
  </r>
  <r>
    <x v="1"/>
    <n v="13.6906"/>
    <n v="-89.226399999999998"/>
    <n v="111900"/>
    <n v="0"/>
    <n v="0"/>
    <n v="102"/>
    <s v="_x0000_US"/>
  </r>
  <r>
    <x v="1"/>
    <n v="13.6906"/>
    <n v="-89.226299999999995"/>
    <n v="111900"/>
    <n v="0"/>
    <n v="0"/>
    <n v="102"/>
    <s v="_x0000_US"/>
  </r>
  <r>
    <x v="1"/>
    <n v="13.6906"/>
    <n v="-89.226200000000006"/>
    <n v="111900"/>
    <n v="0"/>
    <n v="0"/>
    <n v="102"/>
    <s v="_x0000_US"/>
  </r>
  <r>
    <x v="1"/>
    <n v="13.6906"/>
    <n v="-89.226100000000002"/>
    <n v="111900"/>
    <n v="0"/>
    <n v="0"/>
    <n v="102"/>
    <s v="_x0000_US"/>
  </r>
  <r>
    <x v="1"/>
    <n v="13.6897"/>
    <n v="-89.225999999999999"/>
    <n v="111900"/>
    <n v="0"/>
    <n v="0"/>
    <n v="102"/>
    <s v="_x0000_US"/>
  </r>
  <r>
    <x v="1"/>
    <n v="13.6897"/>
    <n v="-89.226299999999995"/>
    <n v="111900"/>
    <n v="0"/>
    <n v="0"/>
    <n v="102"/>
    <s v="_x0000_US"/>
  </r>
  <r>
    <x v="1"/>
    <n v="13.6899"/>
    <n v="-89.226399999999998"/>
    <n v="111900"/>
    <n v="0"/>
    <n v="0"/>
    <n v="102"/>
    <s v="_x0000_US"/>
  </r>
  <r>
    <x v="1"/>
    <n v="13.69"/>
    <n v="-89.226600000000005"/>
    <n v="111900"/>
    <n v="0"/>
    <n v="0"/>
    <n v="102"/>
    <s v="_x0000_US"/>
  </r>
  <r>
    <x v="1"/>
    <n v="13.69"/>
    <n v="-89.226900000000001"/>
    <n v="111900"/>
    <n v="0"/>
    <n v="0"/>
    <n v="102"/>
    <s v="_x0000_US"/>
  </r>
  <r>
    <x v="1"/>
    <n v="13.6896"/>
    <n v="-89.227000000000004"/>
    <n v="111900"/>
    <n v="0"/>
    <n v="0"/>
    <n v="102"/>
    <s v="_x0000_US"/>
  </r>
  <r>
    <x v="1"/>
    <n v="13.6896"/>
    <n v="-89.226900000000001"/>
    <n v="111900"/>
    <n v="0"/>
    <n v="0"/>
    <n v="102"/>
    <s v="_x0000_US"/>
  </r>
  <r>
    <x v="1"/>
    <n v="13.6897"/>
    <n v="-89.226799999999997"/>
    <n v="111900"/>
    <n v="0"/>
    <n v="0"/>
    <n v="102"/>
    <s v="_x0000_US"/>
  </r>
  <r>
    <x v="1"/>
    <n v="13.6897"/>
    <n v="-89.226699999999994"/>
    <n v="111900"/>
    <n v="0"/>
    <n v="0"/>
    <n v="102"/>
    <s v="_x0000_US"/>
  </r>
  <r>
    <x v="1"/>
    <n v="13.689299999999999"/>
    <n v="-89.227400000000003"/>
    <n v="111900"/>
    <n v="0"/>
    <n v="0"/>
    <n v="102"/>
    <s v="_x0000_US"/>
  </r>
  <r>
    <x v="1"/>
    <n v="13.6891"/>
    <n v="-89.227099999999993"/>
    <n v="111900"/>
    <n v="0"/>
    <n v="0"/>
    <n v="102"/>
    <s v="_x0000_US"/>
  </r>
  <r>
    <x v="1"/>
    <n v="13.6889"/>
    <n v="-89.226799999999997"/>
    <n v="111900"/>
    <n v="0"/>
    <n v="0"/>
    <n v="102"/>
    <s v="_x0000_US"/>
  </r>
  <r>
    <x v="1"/>
    <n v="13.6892"/>
    <n v="-89.226699999999994"/>
    <n v="111900"/>
    <n v="0"/>
    <n v="0"/>
    <n v="102"/>
    <s v="_x0000_US"/>
  </r>
  <r>
    <x v="1"/>
    <n v="13.689299999999999"/>
    <n v="-89.226500000000001"/>
    <n v="111900"/>
    <n v="0"/>
    <n v="0"/>
    <n v="102"/>
    <s v="_x0000_US"/>
  </r>
  <r>
    <x v="1"/>
    <n v="13.689500000000001"/>
    <n v="-89.225899999999996"/>
    <n v="111900"/>
    <n v="0"/>
    <n v="0"/>
    <n v="102"/>
    <s v="_x0000_US"/>
  </r>
  <r>
    <x v="1"/>
    <n v="13.689500000000001"/>
    <n v="-89.225800000000007"/>
    <n v="111900"/>
    <n v="0"/>
    <n v="0"/>
    <n v="102"/>
    <s v="_x0000_US"/>
  </r>
  <r>
    <x v="1"/>
    <n v="13.6896"/>
    <n v="-89.225499999999997"/>
    <n v="111900"/>
    <n v="0"/>
    <n v="0"/>
    <n v="102"/>
    <s v="_x0000_US"/>
  </r>
  <r>
    <x v="1"/>
    <n v="13.6898"/>
    <n v="-89.224900000000005"/>
    <n v="111900"/>
    <n v="0"/>
    <n v="0"/>
    <n v="102"/>
    <s v="_x0000_US"/>
  </r>
  <r>
    <x v="1"/>
    <n v="13.6899"/>
    <n v="-89.224699999999999"/>
    <n v="111900"/>
    <n v="0"/>
    <n v="0"/>
    <n v="102"/>
    <s v="_x0000_US"/>
  </r>
  <r>
    <x v="1"/>
    <n v="13.69"/>
    <n v="-89.224500000000006"/>
    <n v="111900"/>
    <n v="0"/>
    <n v="0"/>
    <n v="102"/>
    <s v="_x0000_US"/>
  </r>
  <r>
    <x v="1"/>
    <n v="13.6897"/>
    <n v="-89.224100000000007"/>
    <n v="111900"/>
    <n v="0"/>
    <n v="0"/>
    <n v="102"/>
    <s v="_x0000_US"/>
  </r>
  <r>
    <x v="1"/>
    <n v="13.6896"/>
    <n v="-89.223299999999995"/>
    <n v="111900"/>
    <n v="0"/>
    <n v="0"/>
    <n v="102"/>
    <s v="_x0000_US"/>
  </r>
  <r>
    <x v="1"/>
    <n v="13.6899"/>
    <n v="-89.223200000000006"/>
    <n v="111900"/>
    <n v="0"/>
    <n v="0"/>
    <n v="102"/>
    <s v="_x0000_US"/>
  </r>
  <r>
    <x v="1"/>
    <n v="13.690200000000001"/>
    <n v="-89.223200000000006"/>
    <n v="111900"/>
    <n v="0"/>
    <n v="0"/>
    <n v="102"/>
    <s v="_x0000_US"/>
  </r>
  <r>
    <x v="1"/>
    <n v="13.6904"/>
    <n v="-89.222800000000007"/>
    <n v="111900"/>
    <n v="0"/>
    <n v="0"/>
    <n v="102"/>
    <s v="_x0000_US"/>
  </r>
  <r>
    <x v="1"/>
    <n v="13.690899999999999"/>
    <n v="-89.223100000000002"/>
    <n v="111900"/>
    <n v="0"/>
    <n v="0"/>
    <n v="102"/>
    <s v="_x0000_US"/>
  </r>
  <r>
    <x v="1"/>
    <n v="13.690899999999999"/>
    <n v="-89.223100000000002"/>
    <n v="111900"/>
    <n v="0"/>
    <n v="0"/>
    <n v="102"/>
    <s v="_x0000_US"/>
  </r>
  <r>
    <x v="1"/>
    <n v="13.691000000000001"/>
    <n v="-89.222999999999999"/>
    <n v="111900"/>
    <n v="0"/>
    <n v="0"/>
    <n v="102"/>
    <s v="_x0000_US"/>
  </r>
  <r>
    <x v="1"/>
    <n v="13.691000000000001"/>
    <n v="-89.223100000000002"/>
    <n v="111900"/>
    <n v="0"/>
    <n v="0"/>
    <n v="102"/>
    <s v="_x0000_US"/>
  </r>
  <r>
    <x v="1"/>
    <n v="13.690899999999999"/>
    <n v="-89.223299999999995"/>
    <n v="111900"/>
    <n v="0"/>
    <n v="0"/>
    <n v="102"/>
    <s v="_x0000_US"/>
  </r>
  <r>
    <x v="1"/>
    <n v="13.690899999999999"/>
    <n v="-89.223500000000001"/>
    <n v="111900"/>
    <n v="0"/>
    <n v="0"/>
    <n v="102"/>
    <s v="_x0000_US"/>
  </r>
  <r>
    <x v="1"/>
    <n v="13.691000000000001"/>
    <n v="-89.223799999999997"/>
    <n v="111900"/>
    <n v="0"/>
    <n v="0"/>
    <n v="102"/>
    <s v="_x0000_US"/>
  </r>
  <r>
    <x v="1"/>
    <n v="13.691000000000001"/>
    <n v="-89.2239"/>
    <n v="111900"/>
    <n v="0"/>
    <n v="0"/>
    <n v="102"/>
    <s v="_x0000_US"/>
  </r>
  <r>
    <x v="1"/>
    <n v="13.691000000000001"/>
    <n v="-89.224100000000007"/>
    <n v="111900"/>
    <n v="0"/>
    <n v="0"/>
    <n v="102"/>
    <s v="_x0000_US"/>
  </r>
  <r>
    <x v="1"/>
    <n v="13.690899999999999"/>
    <n v="-89.224299999999999"/>
    <n v="111900"/>
    <n v="0"/>
    <n v="0"/>
    <n v="102"/>
    <s v="_x0000_US"/>
  </r>
  <r>
    <x v="1"/>
    <n v="13.690899999999999"/>
    <n v="-89.224500000000006"/>
    <n v="111900"/>
    <n v="0"/>
    <n v="0"/>
    <n v="102"/>
    <s v="_x0000_US"/>
  </r>
  <r>
    <x v="1"/>
    <n v="13.6904"/>
    <n v="-89.225800000000007"/>
    <n v="111900"/>
    <n v="0"/>
    <n v="0"/>
    <n v="102"/>
    <s v="_x0000_US"/>
  </r>
  <r>
    <x v="1"/>
    <n v="13.6906"/>
    <n v="-89.2256"/>
    <n v="111900"/>
    <n v="0"/>
    <n v="0"/>
    <n v="102"/>
    <s v="_x0000_US"/>
  </r>
  <r>
    <x v="1"/>
    <n v="13.6906"/>
    <n v="-89.225399999999993"/>
    <n v="111900"/>
    <n v="0"/>
    <n v="0"/>
    <n v="102"/>
    <s v="_x0000_US"/>
  </r>
  <r>
    <x v="1"/>
    <n v="13.6907"/>
    <n v="-89.225200000000001"/>
    <n v="111900"/>
    <n v="0"/>
    <n v="0"/>
    <n v="102"/>
    <s v="_x0000_US"/>
  </r>
  <r>
    <x v="1"/>
    <n v="13.6907"/>
    <n v="-89.224999999999994"/>
    <n v="111900"/>
    <n v="0"/>
    <n v="0"/>
    <n v="102"/>
    <s v="_x0000_US"/>
  </r>
  <r>
    <x v="1"/>
    <n v="13.6907"/>
    <n v="-89.224900000000005"/>
    <n v="111900"/>
    <n v="0"/>
    <n v="0"/>
    <n v="102"/>
    <s v="_x0000_US"/>
  </r>
  <r>
    <x v="1"/>
    <n v="13.690799999999999"/>
    <n v="-89.224699999999999"/>
    <n v="111900"/>
    <n v="0"/>
    <n v="0"/>
    <n v="102"/>
    <s v="_x0000_US"/>
  </r>
  <r>
    <x v="1"/>
    <n v="13.690799999999999"/>
    <n v="-89.225800000000007"/>
    <n v="111900"/>
    <n v="0"/>
    <n v="0"/>
    <n v="102"/>
    <s v="_x0000_US"/>
  </r>
  <r>
    <x v="1"/>
    <n v="13.691000000000001"/>
    <n v="-89.225499999999997"/>
    <n v="111900"/>
    <n v="0"/>
    <n v="0"/>
    <n v="102"/>
    <s v="_x0000_US"/>
  </r>
  <r>
    <x v="1"/>
    <n v="13.6912"/>
    <n v="-89.2256"/>
    <n v="111900"/>
    <n v="0"/>
    <n v="0"/>
    <n v="102"/>
    <s v="_x0000_US"/>
  </r>
  <r>
    <x v="1"/>
    <n v="13.6912"/>
    <n v="-89.225200000000001"/>
    <n v="111900"/>
    <n v="0"/>
    <n v="0"/>
    <n v="102"/>
    <s v="_x0000_US"/>
  </r>
  <r>
    <x v="1"/>
    <n v="13.691000000000001"/>
    <n v="-89.225200000000001"/>
    <n v="111900"/>
    <n v="0"/>
    <n v="0"/>
    <n v="102"/>
    <s v="_x0000_US"/>
  </r>
  <r>
    <x v="1"/>
    <n v="13.6911"/>
    <n v="-89.224800000000002"/>
    <n v="111900"/>
    <n v="0"/>
    <n v="0"/>
    <n v="102"/>
    <s v="_x0000_US"/>
  </r>
  <r>
    <x v="1"/>
    <n v="13.6913"/>
    <n v="-89.224800000000002"/>
    <n v="111900"/>
    <n v="0"/>
    <n v="0"/>
    <n v="102"/>
    <s v="_x0000_US"/>
  </r>
  <r>
    <x v="1"/>
    <n v="13.6915"/>
    <n v="-89.224900000000005"/>
    <n v="111900"/>
    <n v="0"/>
    <n v="0"/>
    <n v="102"/>
    <s v="_x0000_US"/>
  </r>
  <r>
    <x v="1"/>
    <n v="13.691599999999999"/>
    <n v="-89.224900000000005"/>
    <n v="111900"/>
    <n v="0"/>
    <n v="0"/>
    <n v="102"/>
    <s v="_x0000_US"/>
  </r>
  <r>
    <x v="1"/>
    <n v="13.6915"/>
    <n v="-89.224500000000006"/>
    <n v="111900"/>
    <n v="0"/>
    <n v="0"/>
    <n v="102"/>
    <s v="_x0000_US"/>
  </r>
  <r>
    <x v="1"/>
    <n v="13.6914"/>
    <n v="-89.224599999999995"/>
    <n v="111900"/>
    <n v="0"/>
    <n v="0"/>
    <n v="102"/>
    <s v="_x0000_US"/>
  </r>
  <r>
    <x v="1"/>
    <n v="13.6913"/>
    <n v="-89.224599999999995"/>
    <n v="111900"/>
    <n v="0"/>
    <n v="0"/>
    <n v="102"/>
    <s v="_x0000_US"/>
  </r>
  <r>
    <x v="1"/>
    <n v="13.6912"/>
    <n v="-89.224500000000006"/>
    <n v="111900"/>
    <n v="0"/>
    <n v="0"/>
    <n v="102"/>
    <s v="_x0000_US"/>
  </r>
  <r>
    <x v="1"/>
    <n v="13.6914"/>
    <n v="-89.223799999999997"/>
    <n v="111900"/>
    <n v="0"/>
    <n v="0"/>
    <n v="102"/>
    <s v="_x0000_US"/>
  </r>
  <r>
    <x v="1"/>
    <n v="13.6913"/>
    <n v="-89.223600000000005"/>
    <n v="111900"/>
    <n v="0"/>
    <n v="0"/>
    <n v="102"/>
    <s v="_x0000_US"/>
  </r>
  <r>
    <x v="1"/>
    <n v="13.6915"/>
    <n v="-89.223500000000001"/>
    <n v="111900"/>
    <n v="0"/>
    <n v="0"/>
    <n v="102"/>
    <s v="_x0000_US"/>
  </r>
  <r>
    <x v="1"/>
    <n v="13.691599999999999"/>
    <n v="-89.223799999999997"/>
    <n v="111900"/>
    <n v="0"/>
    <n v="0"/>
    <n v="102"/>
    <s v="_x0000_US"/>
  </r>
  <r>
    <x v="1"/>
    <n v="13.6915"/>
    <n v="-89.223200000000006"/>
    <n v="111900"/>
    <n v="0"/>
    <n v="0"/>
    <n v="102"/>
    <s v="_x0000_US"/>
  </r>
  <r>
    <x v="1"/>
    <n v="13.6898"/>
    <n v="-89.227099999999993"/>
    <n v="111900"/>
    <n v="0"/>
    <n v="0"/>
    <n v="102"/>
    <s v="_x0000_US"/>
  </r>
  <r>
    <x v="1"/>
    <n v="13.6914"/>
    <n v="-89.225499999999997"/>
    <n v="111900"/>
    <n v="0"/>
    <n v="0"/>
    <n v="102"/>
    <s v="_x0000_US"/>
  </r>
  <r>
    <x v="1"/>
    <n v="13.691700000000001"/>
    <n v="-89.224699999999999"/>
    <n v="111900"/>
    <n v="0"/>
    <n v="0"/>
    <n v="102"/>
    <s v="_x0000_US"/>
  </r>
  <r>
    <x v="1"/>
    <n v="13.691599999999999"/>
    <n v="-89.224199999999996"/>
    <n v="111900"/>
    <n v="0"/>
    <n v="0"/>
    <n v="102"/>
    <s v="_x0000_US"/>
  </r>
  <r>
    <x v="1"/>
    <n v="13.691700000000001"/>
    <n v="-89.224100000000007"/>
    <n v="111900"/>
    <n v="0"/>
    <n v="0"/>
    <n v="102"/>
    <s v="_x0000_US"/>
  </r>
  <r>
    <x v="1"/>
    <n v="13.691800000000001"/>
    <n v="-89.224000000000004"/>
    <n v="111900"/>
    <n v="0"/>
    <n v="0"/>
    <n v="102"/>
    <s v="_x0000_US"/>
  </r>
  <r>
    <x v="1"/>
    <n v="13.691800000000001"/>
    <n v="-89.223500000000001"/>
    <n v="111900"/>
    <n v="0"/>
    <n v="0"/>
    <n v="102"/>
    <s v="_x0000_US"/>
  </r>
  <r>
    <x v="1"/>
    <n v="13.691599999999999"/>
    <n v="-89.223500000000001"/>
    <n v="111900"/>
    <n v="0"/>
    <n v="0"/>
    <n v="102"/>
    <s v="_x0000_US"/>
  </r>
  <r>
    <x v="1"/>
    <n v="13.691800000000001"/>
    <n v="-89.223399999999998"/>
    <n v="111900"/>
    <n v="0"/>
    <n v="0"/>
    <n v="102"/>
    <s v="_x0000_US"/>
  </r>
  <r>
    <x v="1"/>
    <n v="13.6913"/>
    <n v="-89.2226"/>
    <n v="111900"/>
    <n v="0"/>
    <n v="0"/>
    <n v="102"/>
    <s v="_x0000_US"/>
  </r>
  <r>
    <x v="1"/>
    <n v="13.6913"/>
    <n v="-89.222399999999993"/>
    <n v="111900"/>
    <n v="0"/>
    <n v="0"/>
    <n v="102"/>
    <s v="_x0000_US"/>
  </r>
  <r>
    <x v="1"/>
    <n v="13.6915"/>
    <n v="-89.222399999999993"/>
    <n v="111900"/>
    <n v="0"/>
    <n v="0"/>
    <n v="102"/>
    <s v="_x0000_US"/>
  </r>
  <r>
    <x v="1"/>
    <n v="13.691700000000001"/>
    <n v="-89.223100000000002"/>
    <n v="111900"/>
    <n v="0"/>
    <n v="0"/>
    <n v="102"/>
    <s v="_x0000_US"/>
  </r>
  <r>
    <x v="1"/>
    <n v="13.691800000000001"/>
    <n v="-89.223200000000006"/>
    <n v="111900"/>
    <n v="0"/>
    <n v="0"/>
    <n v="102"/>
    <s v="_x0000_US"/>
  </r>
  <r>
    <x v="1"/>
    <n v="13.689399999999999"/>
    <n v="-89.228200000000001"/>
    <n v="111900"/>
    <n v="0"/>
    <n v="0"/>
    <n v="102"/>
    <s v="_x0000_US"/>
  </r>
  <r>
    <x v="1"/>
    <n v="13.6897"/>
    <n v="-89.228200000000001"/>
    <n v="111900"/>
    <n v="0"/>
    <n v="0"/>
    <n v="102"/>
    <s v="_x0000_US"/>
  </r>
  <r>
    <x v="1"/>
    <n v="13.6912"/>
    <n v="-89.221999999999994"/>
    <n v="111900"/>
    <n v="0"/>
    <n v="0"/>
    <n v="102"/>
    <s v="_x0000_US"/>
  </r>
  <r>
    <x v="1"/>
    <n v="13.691000000000001"/>
    <n v="-89.221999999999994"/>
    <n v="111900"/>
    <n v="0"/>
    <n v="0"/>
    <n v="102"/>
    <s v="_x0000_US"/>
  </r>
  <r>
    <x v="1"/>
    <n v="13.691000000000001"/>
    <n v="-89.221999999999994"/>
    <n v="111900"/>
    <n v="0"/>
    <n v="0"/>
    <n v="102"/>
    <s v="_x0000_US"/>
  </r>
  <r>
    <x v="1"/>
    <n v="13.691000000000001"/>
    <n v="-89.221800000000002"/>
    <n v="111900"/>
    <n v="0"/>
    <n v="0"/>
    <n v="102"/>
    <s v="_x0000_US"/>
  </r>
  <r>
    <x v="1"/>
    <n v="13.691000000000001"/>
    <n v="-89.221800000000002"/>
    <n v="111900"/>
    <n v="0"/>
    <n v="0"/>
    <n v="102"/>
    <s v="_x0000_US"/>
  </r>
  <r>
    <x v="1"/>
    <n v="13.6899"/>
    <n v="-89.2226"/>
    <n v="111900"/>
    <n v="0"/>
    <n v="0"/>
    <n v="102"/>
    <s v="_x0000_US"/>
  </r>
  <r>
    <x v="1"/>
    <n v="13.6891"/>
    <n v="-89.222700000000003"/>
    <n v="111900"/>
    <n v="0"/>
    <n v="0"/>
    <n v="102"/>
    <s v="_x0000_US"/>
  </r>
  <r>
    <x v="1"/>
    <n v="13.69"/>
    <n v="-89.224299999999999"/>
    <n v="111900"/>
    <n v="0"/>
    <n v="0"/>
    <n v="102"/>
    <s v="_x0000_US"/>
  </r>
  <r>
    <x v="1"/>
    <n v="13.690099999999999"/>
    <n v="-89.224000000000004"/>
    <n v="111900"/>
    <n v="0"/>
    <n v="0"/>
    <n v="102"/>
    <s v="_x0000_US"/>
  </r>
  <r>
    <x v="1"/>
    <n v="13.690200000000001"/>
    <n v="-89.223799999999997"/>
    <n v="111900"/>
    <n v="0"/>
    <n v="0"/>
    <n v="102"/>
    <s v="_x0000_US"/>
  </r>
  <r>
    <x v="1"/>
    <n v="13.690200000000001"/>
    <n v="-89.223500000000001"/>
    <n v="111900"/>
    <n v="0"/>
    <n v="0"/>
    <n v="102"/>
    <s v="_x0000_US"/>
  </r>
  <r>
    <x v="1"/>
    <n v="13.690300000000001"/>
    <n v="-89.2226"/>
    <n v="111900"/>
    <n v="0"/>
    <n v="0"/>
    <n v="102"/>
    <s v="_x0000_US"/>
  </r>
  <r>
    <x v="1"/>
    <n v="13.6914"/>
    <n v="-89.221900000000005"/>
    <n v="76400"/>
    <n v="0"/>
    <n v="0"/>
    <n v="102"/>
    <s v="_x0000_US"/>
  </r>
  <r>
    <x v="1"/>
    <n v="13.6913"/>
    <n v="-89.221800000000002"/>
    <n v="76400"/>
    <n v="0"/>
    <n v="0"/>
    <n v="102"/>
    <s v="_x0000_US"/>
  </r>
  <r>
    <x v="1"/>
    <n v="13.6913"/>
    <n v="-89.221800000000002"/>
    <n v="76400"/>
    <n v="0"/>
    <n v="0"/>
    <n v="102"/>
    <s v="_x0000_US"/>
  </r>
  <r>
    <x v="1"/>
    <n v="13.6913"/>
    <n v="-89.221699999999998"/>
    <n v="76400"/>
    <n v="0"/>
    <n v="0"/>
    <n v="102"/>
    <s v="_x0000_US"/>
  </r>
  <r>
    <x v="1"/>
    <n v="13.6913"/>
    <n v="-89.221599999999995"/>
    <n v="76400"/>
    <n v="0"/>
    <n v="0"/>
    <n v="102"/>
    <s v="_x0000_US"/>
  </r>
  <r>
    <x v="1"/>
    <n v="13.6913"/>
    <n v="-89.221599999999995"/>
    <n v="76400"/>
    <n v="0"/>
    <n v="0"/>
    <n v="102"/>
    <s v="_x0000_US"/>
  </r>
  <r>
    <x v="1"/>
    <n v="13.6914"/>
    <n v="-89.221500000000006"/>
    <n v="76400"/>
    <n v="0"/>
    <n v="0"/>
    <n v="102"/>
    <s v="_x0000_US"/>
  </r>
  <r>
    <x v="1"/>
    <n v="13.6912"/>
    <n v="-89.221699999999998"/>
    <n v="76400"/>
    <n v="0"/>
    <n v="0"/>
    <n v="102"/>
    <s v="_x0000_US"/>
  </r>
  <r>
    <x v="1"/>
    <n v="13.6911"/>
    <n v="-89.221500000000006"/>
    <n v="76400"/>
    <n v="0"/>
    <n v="0"/>
    <n v="102"/>
    <s v="_x0000_US"/>
  </r>
  <r>
    <x v="1"/>
    <n v="13.6912"/>
    <n v="-89.221400000000003"/>
    <n v="76400"/>
    <n v="0"/>
    <n v="0"/>
    <n v="102"/>
    <s v="_x0000_US"/>
  </r>
  <r>
    <x v="1"/>
    <n v="13.6912"/>
    <n v="-89.221400000000003"/>
    <n v="76400"/>
    <n v="0"/>
    <n v="0"/>
    <n v="102"/>
    <s v="_x0000_US"/>
  </r>
  <r>
    <x v="1"/>
    <n v="13.6913"/>
    <n v="-89.221400000000003"/>
    <n v="76400"/>
    <n v="0"/>
    <n v="0"/>
    <n v="102"/>
    <s v="_x0000_US"/>
  </r>
  <r>
    <x v="1"/>
    <n v="13.6913"/>
    <n v="-89.221299999999999"/>
    <n v="76400"/>
    <n v="0"/>
    <n v="0"/>
    <n v="102"/>
    <s v="_x0000_US"/>
  </r>
  <r>
    <x v="1"/>
    <n v="13.6914"/>
    <n v="-89.221299999999999"/>
    <n v="76400"/>
    <n v="0"/>
    <n v="0"/>
    <n v="102"/>
    <s v="_x0000_US"/>
  </r>
  <r>
    <x v="1"/>
    <n v="13.6913"/>
    <n v="-89.221199999999996"/>
    <n v="76400"/>
    <n v="0"/>
    <n v="0"/>
    <n v="102"/>
    <s v="_x0000_US"/>
  </r>
  <r>
    <x v="1"/>
    <n v="13.6912"/>
    <n v="-89.221199999999996"/>
    <n v="76400"/>
    <n v="0"/>
    <n v="0"/>
    <n v="102"/>
    <s v="_x0000_US"/>
  </r>
  <r>
    <x v="1"/>
    <n v="13.6911"/>
    <n v="-89.221199999999996"/>
    <n v="76400"/>
    <n v="0"/>
    <n v="0"/>
    <n v="102"/>
    <s v="_x0000_US"/>
  </r>
  <r>
    <x v="1"/>
    <n v="13.6911"/>
    <n v="-89.221299999999999"/>
    <n v="76400"/>
    <n v="0"/>
    <n v="0"/>
    <n v="102"/>
    <s v="_x0000_US"/>
  </r>
  <r>
    <x v="1"/>
    <n v="13.6912"/>
    <n v="-89.221000000000004"/>
    <n v="76400"/>
    <n v="0"/>
    <n v="0"/>
    <n v="102"/>
    <s v="_x0000_US"/>
  </r>
  <r>
    <x v="1"/>
    <n v="13.6911"/>
    <n v="-89.221000000000004"/>
    <n v="76400"/>
    <n v="0"/>
    <n v="0"/>
    <n v="102"/>
    <s v="_x0000_US"/>
  </r>
  <r>
    <x v="1"/>
    <n v="13.6911"/>
    <n v="-89.221000000000004"/>
    <n v="76400"/>
    <n v="0"/>
    <n v="0"/>
    <n v="102"/>
    <s v="_x0000_US"/>
  </r>
  <r>
    <x v="1"/>
    <n v="13.691000000000001"/>
    <n v="-89.221100000000007"/>
    <n v="76400"/>
    <n v="0"/>
    <n v="0"/>
    <n v="102"/>
    <s v="_x0000_US"/>
  </r>
  <r>
    <x v="1"/>
    <n v="13.691000000000001"/>
    <n v="-89.221299999999999"/>
    <n v="76400"/>
    <n v="0"/>
    <n v="0"/>
    <n v="102"/>
    <s v="_x0000_US"/>
  </r>
  <r>
    <x v="1"/>
    <n v="13.690899999999999"/>
    <n v="-89.221199999999996"/>
    <n v="76400"/>
    <n v="0"/>
    <n v="0"/>
    <n v="102"/>
    <s v="_x0000_US"/>
  </r>
  <r>
    <x v="1"/>
    <n v="13.691000000000001"/>
    <n v="-89.221100000000007"/>
    <n v="76400"/>
    <n v="0"/>
    <n v="0"/>
    <n v="102"/>
    <s v="_x0000_US"/>
  </r>
  <r>
    <x v="1"/>
    <n v="13.6911"/>
    <n v="-89.220799999999997"/>
    <n v="76400"/>
    <n v="0"/>
    <n v="0"/>
    <n v="102"/>
    <s v="_x0000_US"/>
  </r>
  <r>
    <x v="1"/>
    <n v="13.691000000000001"/>
    <n v="-89.220799999999997"/>
    <n v="76400"/>
    <n v="0"/>
    <n v="0"/>
    <n v="102"/>
    <s v="_x0000_US"/>
  </r>
  <r>
    <x v="1"/>
    <n v="13.691000000000001"/>
    <n v="-89.2209"/>
    <n v="76400"/>
    <n v="0"/>
    <n v="0"/>
    <n v="102"/>
    <s v="_x0000_US"/>
  </r>
  <r>
    <x v="1"/>
    <n v="13.691000000000001"/>
    <n v="-89.2209"/>
    <n v="76400"/>
    <n v="0"/>
    <n v="0"/>
    <n v="102"/>
    <s v="_x0000_US"/>
  </r>
  <r>
    <x v="1"/>
    <n v="13.690899999999999"/>
    <n v="-89.2209"/>
    <n v="76400"/>
    <n v="0"/>
    <n v="0"/>
    <n v="102"/>
    <s v="_x0000_US"/>
  </r>
  <r>
    <x v="1"/>
    <n v="13.690799999999999"/>
    <n v="-89.221000000000004"/>
    <n v="76400"/>
    <n v="0"/>
    <n v="0"/>
    <n v="102"/>
    <s v="_x0000_US"/>
  </r>
  <r>
    <x v="1"/>
    <n v="13.690899999999999"/>
    <n v="-89.220600000000005"/>
    <n v="76400"/>
    <n v="0"/>
    <n v="0"/>
    <n v="102"/>
    <s v="_x0000_US"/>
  </r>
  <r>
    <x v="1"/>
    <n v="13.690799999999999"/>
    <n v="-89.220500000000001"/>
    <n v="76400"/>
    <n v="0"/>
    <n v="0"/>
    <n v="102"/>
    <s v="_x0000_US"/>
  </r>
  <r>
    <x v="1"/>
    <n v="13.690899999999999"/>
    <n v="-89.220600000000005"/>
    <n v="76400"/>
    <n v="0"/>
    <n v="0"/>
    <n v="102"/>
    <s v="_x0000_US"/>
  </r>
  <r>
    <x v="1"/>
    <n v="13.690799999999999"/>
    <n v="-89.220699999999994"/>
    <n v="76400"/>
    <n v="0"/>
    <n v="0"/>
    <n v="102"/>
    <s v="_x0000_US"/>
  </r>
  <r>
    <x v="1"/>
    <n v="13.690799999999999"/>
    <n v="-89.220500000000001"/>
    <n v="76400"/>
    <n v="0"/>
    <n v="0"/>
    <n v="102"/>
    <s v="_x0000_US"/>
  </r>
  <r>
    <x v="1"/>
    <n v="13.6907"/>
    <n v="-89.220500000000001"/>
    <n v="76400"/>
    <n v="0"/>
    <n v="0"/>
    <n v="102"/>
    <s v="_x0000_US"/>
  </r>
  <r>
    <x v="1"/>
    <n v="13.6907"/>
    <n v="-89.220600000000005"/>
    <n v="76400"/>
    <n v="0"/>
    <n v="0"/>
    <n v="102"/>
    <s v="_x0000_US"/>
  </r>
  <r>
    <x v="1"/>
    <n v="13.690799999999999"/>
    <n v="-89.220699999999994"/>
    <n v="76400"/>
    <n v="0"/>
    <n v="0"/>
    <n v="102"/>
    <s v="_x0000_US"/>
  </r>
  <r>
    <x v="1"/>
    <n v="13.6907"/>
    <n v="-89.220799999999997"/>
    <n v="76400"/>
    <n v="0"/>
    <n v="0"/>
    <n v="102"/>
    <s v="_x0000_US"/>
  </r>
  <r>
    <x v="1"/>
    <n v="13.690799999999999"/>
    <n v="-89.220200000000006"/>
    <n v="76400"/>
    <n v="0"/>
    <n v="0"/>
    <n v="102"/>
    <s v="_x0000_US"/>
  </r>
  <r>
    <x v="1"/>
    <n v="13.6907"/>
    <n v="-89.220299999999995"/>
    <n v="76400"/>
    <n v="0"/>
    <n v="0"/>
    <n v="102"/>
    <s v="_x0000_US"/>
  </r>
  <r>
    <x v="1"/>
    <n v="13.6907"/>
    <n v="-89.220299999999995"/>
    <n v="76400"/>
    <n v="0"/>
    <n v="0"/>
    <n v="102"/>
    <s v="_x0000_US"/>
  </r>
  <r>
    <x v="1"/>
    <n v="13.6907"/>
    <n v="-89.220100000000002"/>
    <n v="76400"/>
    <n v="0"/>
    <n v="0"/>
    <n v="102"/>
    <s v="_x0000_US"/>
  </r>
  <r>
    <x v="1"/>
    <n v="13.6906"/>
    <n v="-89.220100000000002"/>
    <n v="76400"/>
    <n v="0"/>
    <n v="0"/>
    <n v="102"/>
    <s v="_x0000_US"/>
  </r>
  <r>
    <x v="1"/>
    <n v="13.6906"/>
    <n v="-89.220299999999995"/>
    <n v="76400"/>
    <n v="0"/>
    <n v="0"/>
    <n v="102"/>
    <s v="_x0000_US"/>
  </r>
  <r>
    <x v="1"/>
    <n v="13.6906"/>
    <n v="-89.220399999999998"/>
    <n v="76400"/>
    <n v="0"/>
    <n v="0"/>
    <n v="102"/>
    <s v="_x0000_US"/>
  </r>
  <r>
    <x v="1"/>
    <n v="13.6906"/>
    <n v="-89.220200000000006"/>
    <n v="76400"/>
    <n v="0"/>
    <n v="0"/>
    <n v="102"/>
    <s v="_x0000_US"/>
  </r>
  <r>
    <x v="1"/>
    <n v="13.6906"/>
    <n v="-89.220200000000006"/>
    <n v="76400"/>
    <n v="0"/>
    <n v="0"/>
    <n v="102"/>
    <s v="_x0000_US"/>
  </r>
  <r>
    <x v="1"/>
    <n v="13.6905"/>
    <n v="-89.220200000000006"/>
    <n v="76400"/>
    <n v="0"/>
    <n v="0"/>
    <n v="102"/>
    <s v="_x0000_US"/>
  </r>
  <r>
    <x v="1"/>
    <n v="13.6905"/>
    <n v="-89.220399999999998"/>
    <n v="76400"/>
    <n v="0"/>
    <n v="0"/>
    <n v="102"/>
    <s v="_x0000_US"/>
  </r>
  <r>
    <x v="1"/>
    <n v="13.6906"/>
    <n v="-89.220600000000005"/>
    <n v="76400"/>
    <n v="0"/>
    <n v="0"/>
    <n v="102"/>
    <s v="_x0000_US"/>
  </r>
  <r>
    <x v="1"/>
    <n v="13.6904"/>
    <n v="-89.220200000000006"/>
    <n v="76400"/>
    <n v="0"/>
    <n v="0"/>
    <n v="102"/>
    <s v="_x0000_US"/>
  </r>
  <r>
    <x v="1"/>
    <n v="13.6906"/>
    <n v="-89.219899999999996"/>
    <n v="76400"/>
    <n v="0"/>
    <n v="0"/>
    <n v="102"/>
    <s v="_x0000_US"/>
  </r>
  <r>
    <x v="1"/>
    <n v="13.6906"/>
    <n v="-89.219899999999996"/>
    <n v="76400"/>
    <n v="0"/>
    <n v="0"/>
    <n v="102"/>
    <s v="_x0000_US"/>
  </r>
  <r>
    <x v="1"/>
    <n v="13.6905"/>
    <n v="-89.219899999999996"/>
    <n v="76400"/>
    <n v="0"/>
    <n v="0"/>
    <n v="102"/>
    <s v="_x0000_US"/>
  </r>
  <r>
    <x v="1"/>
    <n v="13.6905"/>
    <n v="-89.219899999999996"/>
    <n v="76400"/>
    <n v="0"/>
    <n v="0"/>
    <n v="102"/>
    <s v="_x0000_US"/>
  </r>
  <r>
    <x v="1"/>
    <n v="13.6904"/>
    <n v="-89.22"/>
    <n v="76400"/>
    <n v="0"/>
    <n v="0"/>
    <n v="102"/>
    <s v="_x0000_US"/>
  </r>
  <r>
    <x v="1"/>
    <n v="13.6906"/>
    <n v="-89.219700000000003"/>
    <n v="76400"/>
    <n v="0"/>
    <n v="0"/>
    <n v="102"/>
    <s v="_x0000_US"/>
  </r>
  <r>
    <x v="1"/>
    <n v="13.6906"/>
    <n v="-89.219700000000003"/>
    <n v="76400"/>
    <n v="0"/>
    <n v="0"/>
    <n v="102"/>
    <s v="_x0000_US"/>
  </r>
  <r>
    <x v="1"/>
    <n v="13.6905"/>
    <n v="-89.219800000000006"/>
    <n v="76400"/>
    <n v="0"/>
    <n v="0"/>
    <n v="102"/>
    <s v="_x0000_US"/>
  </r>
  <r>
    <x v="1"/>
    <n v="13.6905"/>
    <n v="-89.219800000000006"/>
    <n v="76400"/>
    <n v="0"/>
    <n v="0"/>
    <n v="102"/>
    <s v="_x0000_US"/>
  </r>
  <r>
    <x v="1"/>
    <n v="13.6904"/>
    <n v="-89.219800000000006"/>
    <n v="76400"/>
    <n v="0"/>
    <n v="0"/>
    <n v="102"/>
    <s v="_x0000_US"/>
  </r>
  <r>
    <x v="1"/>
    <n v="13.6904"/>
    <n v="-89.219899999999996"/>
    <n v="76400"/>
    <n v="0"/>
    <n v="0"/>
    <n v="102"/>
    <s v="_x0000_US"/>
  </r>
  <r>
    <x v="1"/>
    <n v="13.690300000000001"/>
    <n v="-89.219899999999996"/>
    <n v="76400"/>
    <n v="0"/>
    <n v="0"/>
    <n v="102"/>
    <s v="_x0000_US"/>
  </r>
  <r>
    <x v="1"/>
    <n v="13.6905"/>
    <n v="-89.219499999999996"/>
    <n v="76400"/>
    <n v="0"/>
    <n v="0"/>
    <n v="102"/>
    <s v="_x0000_US"/>
  </r>
  <r>
    <x v="1"/>
    <n v="13.6905"/>
    <n v="-89.219499999999996"/>
    <n v="76400"/>
    <n v="0"/>
    <n v="0"/>
    <n v="102"/>
    <s v="_x0000_US"/>
  </r>
  <r>
    <x v="1"/>
    <n v="13.6904"/>
    <n v="-89.219499999999996"/>
    <n v="76400"/>
    <n v="0"/>
    <n v="0"/>
    <n v="102"/>
    <s v="_x0000_US"/>
  </r>
  <r>
    <x v="1"/>
    <n v="13.6904"/>
    <n v="-89.219499999999996"/>
    <n v="76400"/>
    <n v="0"/>
    <n v="0"/>
    <n v="102"/>
    <s v="_x0000_US"/>
  </r>
  <r>
    <x v="1"/>
    <n v="13.6905"/>
    <n v="-89.219300000000004"/>
    <n v="76400"/>
    <n v="0"/>
    <n v="0"/>
    <n v="102"/>
    <s v="_x0000_US"/>
  </r>
  <r>
    <x v="1"/>
    <n v="13.6905"/>
    <n v="-89.219399999999993"/>
    <n v="76400"/>
    <n v="0"/>
    <n v="0"/>
    <n v="102"/>
    <s v="_x0000_US"/>
  </r>
  <r>
    <x v="1"/>
    <n v="13.6904"/>
    <n v="-89.219399999999993"/>
    <n v="76400"/>
    <n v="0"/>
    <n v="0"/>
    <n v="102"/>
    <s v="_x0000_US"/>
  </r>
  <r>
    <x v="1"/>
    <n v="13.6904"/>
    <n v="-89.219399999999993"/>
    <n v="76400"/>
    <n v="0"/>
    <n v="0"/>
    <n v="102"/>
    <s v="_x0000_US"/>
  </r>
  <r>
    <x v="1"/>
    <n v="13.690300000000001"/>
    <n v="-89.219399999999993"/>
    <n v="76400"/>
    <n v="0"/>
    <n v="0"/>
    <n v="102"/>
    <s v="_x0000_US"/>
  </r>
  <r>
    <x v="1"/>
    <n v="13.690300000000001"/>
    <n v="-89.219499999999996"/>
    <n v="76400"/>
    <n v="0"/>
    <n v="0"/>
    <n v="102"/>
    <s v="_x0000_US"/>
  </r>
  <r>
    <x v="1"/>
    <n v="13.690200000000001"/>
    <n v="-89.219499999999996"/>
    <n v="76400"/>
    <n v="0"/>
    <n v="0"/>
    <n v="102"/>
    <s v="_x0000_US"/>
  </r>
  <r>
    <x v="1"/>
    <n v="13.690200000000001"/>
    <n v="-89.219499999999996"/>
    <n v="76400"/>
    <n v="0"/>
    <n v="0"/>
    <n v="102"/>
    <s v="_x0000_US"/>
  </r>
  <r>
    <x v="1"/>
    <n v="13.690300000000001"/>
    <n v="-89.2196"/>
    <n v="76400"/>
    <n v="0"/>
    <n v="0"/>
    <n v="102"/>
    <s v="_x0000_US"/>
  </r>
  <r>
    <x v="1"/>
    <n v="13.690300000000001"/>
    <n v="-89.2196"/>
    <n v="76400"/>
    <n v="0"/>
    <n v="0"/>
    <n v="102"/>
    <s v="_x0000_US"/>
  </r>
  <r>
    <x v="1"/>
    <n v="13.690200000000001"/>
    <n v="-89.2196"/>
    <n v="76400"/>
    <n v="0"/>
    <n v="0"/>
    <n v="102"/>
    <s v="_x0000_US"/>
  </r>
  <r>
    <x v="1"/>
    <n v="13.690200000000001"/>
    <n v="-89.219700000000003"/>
    <n v="76400"/>
    <n v="0"/>
    <n v="0"/>
    <n v="102"/>
    <s v="_x0000_US"/>
  </r>
  <r>
    <x v="1"/>
    <n v="13.690200000000001"/>
    <n v="-89.219899999999996"/>
    <n v="76400"/>
    <n v="0"/>
    <n v="0"/>
    <n v="102"/>
    <s v="_x0000_US"/>
  </r>
  <r>
    <x v="1"/>
    <n v="13.690300000000001"/>
    <n v="-89.219099999999997"/>
    <n v="76400"/>
    <n v="0"/>
    <n v="0"/>
    <n v="102"/>
    <s v="_x0000_US"/>
  </r>
  <r>
    <x v="1"/>
    <n v="13.690300000000001"/>
    <n v="-89.219099999999997"/>
    <n v="76400"/>
    <n v="0"/>
    <n v="0"/>
    <n v="102"/>
    <s v="_x0000_US"/>
  </r>
  <r>
    <x v="1"/>
    <n v="13.690200000000001"/>
    <n v="-89.219099999999997"/>
    <n v="76400"/>
    <n v="0"/>
    <n v="0"/>
    <n v="102"/>
    <s v="_x0000_US"/>
  </r>
  <r>
    <x v="1"/>
    <n v="13.690200000000001"/>
    <n v="-89.219200000000001"/>
    <n v="76400"/>
    <n v="0"/>
    <n v="0"/>
    <n v="102"/>
    <s v="_x0000_US"/>
  </r>
  <r>
    <x v="1"/>
    <n v="13.6904"/>
    <n v="-89.218999999999994"/>
    <n v="76400"/>
    <n v="0"/>
    <n v="0"/>
    <n v="102"/>
    <s v="_x0000_US"/>
  </r>
  <r>
    <x v="1"/>
    <n v="13.6904"/>
    <n v="-89.219099999999997"/>
    <n v="76400"/>
    <n v="0"/>
    <n v="0"/>
    <n v="102"/>
    <s v="_x0000_US"/>
  </r>
  <r>
    <x v="1"/>
    <n v="13.6904"/>
    <n v="-89.218900000000005"/>
    <n v="76400"/>
    <n v="0"/>
    <n v="0"/>
    <n v="102"/>
    <s v="_x0000_US"/>
  </r>
  <r>
    <x v="1"/>
    <n v="13.6904"/>
    <n v="-89.218900000000005"/>
    <n v="76400"/>
    <n v="0"/>
    <n v="0"/>
    <n v="102"/>
    <s v="_x0000_US"/>
  </r>
  <r>
    <x v="1"/>
    <n v="13.690300000000001"/>
    <n v="-89.218999999999994"/>
    <n v="76400"/>
    <n v="0"/>
    <n v="0"/>
    <n v="102"/>
    <s v="_x0000_US"/>
  </r>
  <r>
    <x v="1"/>
    <n v="13.690300000000001"/>
    <n v="-89.218999999999994"/>
    <n v="76400"/>
    <n v="0"/>
    <n v="0"/>
    <n v="102"/>
    <s v="_x0000_US"/>
  </r>
  <r>
    <x v="1"/>
    <n v="13.690200000000001"/>
    <n v="-89.218999999999994"/>
    <n v="76400"/>
    <n v="0"/>
    <n v="0"/>
    <n v="102"/>
    <s v="_x0000_US"/>
  </r>
  <r>
    <x v="1"/>
    <n v="13.690200000000001"/>
    <n v="-89.219099999999997"/>
    <n v="76400"/>
    <n v="0"/>
    <n v="0"/>
    <n v="102"/>
    <s v="_x0000_US"/>
  </r>
  <r>
    <x v="1"/>
    <n v="13.690300000000001"/>
    <n v="-89.218599999999995"/>
    <n v="76400"/>
    <n v="0"/>
    <n v="0"/>
    <n v="102"/>
    <s v="_x0000_US"/>
  </r>
  <r>
    <x v="1"/>
    <n v="13.690200000000001"/>
    <n v="-89.218699999999998"/>
    <n v="76400"/>
    <n v="0"/>
    <n v="0"/>
    <n v="102"/>
    <s v="_x0000_US"/>
  </r>
  <r>
    <x v="1"/>
    <n v="13.690200000000001"/>
    <n v="-89.218699999999998"/>
    <n v="76400"/>
    <n v="0"/>
    <n v="0"/>
    <n v="102"/>
    <s v="_x0000_US"/>
  </r>
  <r>
    <x v="1"/>
    <n v="13.690200000000001"/>
    <n v="-89.218699999999998"/>
    <n v="76400"/>
    <n v="0"/>
    <n v="0"/>
    <n v="102"/>
    <s v="_x0000_US"/>
  </r>
  <r>
    <x v="1"/>
    <n v="13.690300000000001"/>
    <n v="-89.218500000000006"/>
    <n v="76400"/>
    <n v="0"/>
    <n v="0"/>
    <n v="102"/>
    <s v="_x0000_US"/>
  </r>
  <r>
    <x v="1"/>
    <n v="13.690200000000001"/>
    <n v="-89.218599999999995"/>
    <n v="76400"/>
    <n v="0"/>
    <n v="0"/>
    <n v="102"/>
    <s v="_x0000_US"/>
  </r>
  <r>
    <x v="1"/>
    <n v="13.690200000000001"/>
    <n v="-89.218599999999995"/>
    <n v="76400"/>
    <n v="0"/>
    <n v="0"/>
    <n v="102"/>
    <s v="_x0000_US"/>
  </r>
  <r>
    <x v="1"/>
    <n v="13.690099999999999"/>
    <n v="-89.218599999999995"/>
    <n v="76400"/>
    <n v="0"/>
    <n v="0"/>
    <n v="102"/>
    <s v="_x0000_US"/>
  </r>
  <r>
    <x v="1"/>
    <n v="13.690099999999999"/>
    <n v="-89.219099999999997"/>
    <n v="76400"/>
    <n v="0"/>
    <n v="0"/>
    <n v="102"/>
    <s v="_x0000_US"/>
  </r>
  <r>
    <x v="1"/>
    <n v="13.690099999999999"/>
    <n v="-89.219700000000003"/>
    <n v="76400"/>
    <n v="0"/>
    <n v="0"/>
    <n v="102"/>
    <s v="_x0000_US"/>
  </r>
  <r>
    <x v="1"/>
    <n v="13.69"/>
    <n v="-89.2196"/>
    <n v="76400"/>
    <n v="0"/>
    <n v="0"/>
    <n v="102"/>
    <s v="_x0000_US"/>
  </r>
  <r>
    <x v="1"/>
    <n v="13.690099999999999"/>
    <n v="-89.2196"/>
    <n v="76400"/>
    <n v="0"/>
    <n v="0"/>
    <n v="102"/>
    <s v="_x0000_US"/>
  </r>
  <r>
    <x v="1"/>
    <n v="13.6899"/>
    <n v="-89.219399999999993"/>
    <n v="76400"/>
    <n v="0"/>
    <n v="0"/>
    <n v="102"/>
    <s v="_x0000_US"/>
  </r>
  <r>
    <x v="1"/>
    <n v="13.69"/>
    <n v="-89.219300000000004"/>
    <n v="76400"/>
    <n v="0"/>
    <n v="0"/>
    <n v="102"/>
    <s v="_x0000_US"/>
  </r>
  <r>
    <x v="1"/>
    <n v="13.69"/>
    <n v="-89.219300000000004"/>
    <n v="76400"/>
    <n v="0"/>
    <n v="0"/>
    <n v="102"/>
    <s v="_x0000_US"/>
  </r>
  <r>
    <x v="1"/>
    <n v="13.690099999999999"/>
    <n v="-89.219200000000001"/>
    <n v="76400"/>
    <n v="0"/>
    <n v="0"/>
    <n v="102"/>
    <s v="_x0000_US"/>
  </r>
  <r>
    <x v="1"/>
    <n v="13.690099999999999"/>
    <n v="-89.219200000000001"/>
    <n v="76400"/>
    <n v="0"/>
    <n v="0"/>
    <n v="102"/>
    <s v="_x0000_US"/>
  </r>
  <r>
    <x v="1"/>
    <n v="13.690099999999999"/>
    <n v="-89.219099999999997"/>
    <n v="76400"/>
    <n v="0"/>
    <n v="0"/>
    <n v="102"/>
    <s v="_x0000_US"/>
  </r>
  <r>
    <x v="1"/>
    <n v="13.6899"/>
    <n v="-89.219200000000001"/>
    <n v="76400"/>
    <n v="0"/>
    <n v="0"/>
    <n v="102"/>
    <s v="_x0000_US"/>
  </r>
  <r>
    <x v="1"/>
    <n v="13.6899"/>
    <n v="-89.218900000000005"/>
    <n v="76400"/>
    <n v="0"/>
    <n v="0"/>
    <n v="102"/>
    <s v="_x0000_US"/>
  </r>
  <r>
    <x v="1"/>
    <n v="13.69"/>
    <n v="-89.218800000000002"/>
    <n v="76400"/>
    <n v="0"/>
    <n v="0"/>
    <n v="102"/>
    <s v="_x0000_US"/>
  </r>
  <r>
    <x v="1"/>
    <n v="13.69"/>
    <n v="-89.218800000000002"/>
    <n v="76400"/>
    <n v="0"/>
    <n v="0"/>
    <n v="102"/>
    <s v="_x0000_US"/>
  </r>
  <r>
    <x v="1"/>
    <n v="13.690099999999999"/>
    <n v="-89.218800000000002"/>
    <n v="76400"/>
    <n v="0"/>
    <n v="0"/>
    <n v="102"/>
    <s v="_x0000_US"/>
  </r>
  <r>
    <x v="1"/>
    <n v="13.690099999999999"/>
    <n v="-89.218800000000002"/>
    <n v="76400"/>
    <n v="0"/>
    <n v="0"/>
    <n v="102"/>
    <s v="_x0000_US"/>
  </r>
  <r>
    <x v="1"/>
    <n v="13.690099999999999"/>
    <n v="-89.218599999999995"/>
    <n v="76400"/>
    <n v="0"/>
    <n v="0"/>
    <n v="102"/>
    <s v="_x0000_US"/>
  </r>
  <r>
    <x v="1"/>
    <n v="13.690099999999999"/>
    <n v="-89.218699999999998"/>
    <n v="76400"/>
    <n v="0"/>
    <n v="0"/>
    <n v="102"/>
    <s v="_x0000_US"/>
  </r>
  <r>
    <x v="1"/>
    <n v="13.69"/>
    <n v="-89.218699999999998"/>
    <n v="76400"/>
    <n v="0"/>
    <n v="0"/>
    <n v="102"/>
    <s v="_x0000_US"/>
  </r>
  <r>
    <x v="1"/>
    <n v="13.69"/>
    <n v="-89.218699999999998"/>
    <n v="76400"/>
    <n v="0"/>
    <n v="0"/>
    <n v="102"/>
    <s v="_x0000_US"/>
  </r>
  <r>
    <x v="1"/>
    <n v="13.6899"/>
    <n v="-89.218699999999998"/>
    <n v="76400"/>
    <n v="0"/>
    <n v="0"/>
    <n v="102"/>
    <s v="_x0000_US"/>
  </r>
  <r>
    <x v="1"/>
    <n v="13.6898"/>
    <n v="-89.219300000000004"/>
    <n v="76400"/>
    <n v="0"/>
    <n v="0"/>
    <n v="102"/>
    <s v="_x0000_US"/>
  </r>
  <r>
    <x v="1"/>
    <n v="13.6897"/>
    <n v="-89.218999999999994"/>
    <n v="76400"/>
    <n v="0"/>
    <n v="0"/>
    <n v="102"/>
    <s v="_x0000_US"/>
  </r>
  <r>
    <x v="1"/>
    <n v="13.6897"/>
    <n v="-89.218900000000005"/>
    <n v="76400"/>
    <n v="0"/>
    <n v="0"/>
    <n v="102"/>
    <s v="_x0000_US"/>
  </r>
  <r>
    <x v="1"/>
    <n v="13.6897"/>
    <n v="-89.218900000000005"/>
    <n v="76400"/>
    <n v="0"/>
    <n v="0"/>
    <n v="102"/>
    <s v="_x0000_US"/>
  </r>
  <r>
    <x v="1"/>
    <n v="13.6897"/>
    <n v="-89.218999999999994"/>
    <n v="76400"/>
    <n v="0"/>
    <n v="0"/>
    <n v="102"/>
    <s v="_x0000_US"/>
  </r>
  <r>
    <x v="1"/>
    <n v="13.6898"/>
    <n v="-89.218900000000005"/>
    <n v="76400"/>
    <n v="0"/>
    <n v="0"/>
    <n v="102"/>
    <s v="_x0000_US"/>
  </r>
  <r>
    <x v="1"/>
    <n v="13.6898"/>
    <n v="-89.218900000000005"/>
    <n v="76400"/>
    <n v="0"/>
    <n v="0"/>
    <n v="102"/>
    <s v="_x0000_US"/>
  </r>
  <r>
    <x v="1"/>
    <n v="13.6899"/>
    <n v="-89.218900000000005"/>
    <n v="76400"/>
    <n v="0"/>
    <n v="0"/>
    <n v="102"/>
    <s v="_x0000_US"/>
  </r>
  <r>
    <x v="1"/>
    <n v="13.6898"/>
    <n v="-89.218800000000002"/>
    <n v="76400"/>
    <n v="0"/>
    <n v="0"/>
    <n v="102"/>
    <s v="_x0000_US"/>
  </r>
  <r>
    <x v="1"/>
    <n v="13.6898"/>
    <n v="-89.218800000000002"/>
    <n v="76400"/>
    <n v="0"/>
    <n v="0"/>
    <n v="102"/>
    <s v="_x0000_US"/>
  </r>
  <r>
    <x v="1"/>
    <n v="13.6899"/>
    <n v="-89.218800000000002"/>
    <n v="76400"/>
    <n v="0"/>
    <n v="0"/>
    <n v="102"/>
    <s v="_x0000_US"/>
  </r>
  <r>
    <x v="1"/>
    <n v="13.6896"/>
    <n v="-89.218599999999995"/>
    <n v="76400"/>
    <n v="0"/>
    <n v="0"/>
    <n v="102"/>
    <s v="_x0000_US"/>
  </r>
  <r>
    <x v="1"/>
    <n v="13.6897"/>
    <n v="-89.218599999999995"/>
    <n v="76400"/>
    <n v="0"/>
    <n v="0"/>
    <n v="102"/>
    <s v="_x0000_US"/>
  </r>
  <r>
    <x v="1"/>
    <n v="13.6897"/>
    <n v="-89.218500000000006"/>
    <n v="76400"/>
    <n v="0"/>
    <n v="0"/>
    <n v="102"/>
    <s v="_x0000_US"/>
  </r>
  <r>
    <x v="1"/>
    <n v="13.6898"/>
    <n v="-89.218500000000006"/>
    <n v="76400"/>
    <n v="0"/>
    <n v="0"/>
    <n v="102"/>
    <s v="_x0000_US"/>
  </r>
  <r>
    <x v="1"/>
    <n v="13.6898"/>
    <n v="-89.218500000000006"/>
    <n v="76400"/>
    <n v="0"/>
    <n v="0"/>
    <n v="102"/>
    <s v="_x0000_US"/>
  </r>
  <r>
    <x v="1"/>
    <n v="13.6899"/>
    <n v="-89.218400000000003"/>
    <n v="76400"/>
    <n v="0"/>
    <n v="0"/>
    <n v="102"/>
    <s v="_x0000_US"/>
  </r>
  <r>
    <x v="1"/>
    <n v="13.6899"/>
    <n v="-89.218400000000003"/>
    <n v="76400"/>
    <n v="0"/>
    <n v="0"/>
    <n v="102"/>
    <s v="_x0000_US"/>
  </r>
  <r>
    <x v="1"/>
    <n v="13.69"/>
    <n v="-89.218400000000003"/>
    <n v="76400"/>
    <n v="0"/>
    <n v="0"/>
    <n v="102"/>
    <s v="_x0000_US"/>
  </r>
  <r>
    <x v="1"/>
    <n v="13.69"/>
    <n v="-89.218299999999999"/>
    <n v="76400"/>
    <n v="0"/>
    <n v="0"/>
    <n v="102"/>
    <s v="_x0000_US"/>
  </r>
  <r>
    <x v="1"/>
    <n v="13.69"/>
    <n v="-89.218299999999999"/>
    <n v="76400"/>
    <n v="0"/>
    <n v="0"/>
    <n v="102"/>
    <s v="_x0000_US"/>
  </r>
  <r>
    <x v="1"/>
    <n v="13.69"/>
    <n v="-89.218199999999996"/>
    <n v="76400"/>
    <n v="0"/>
    <n v="0"/>
    <n v="102"/>
    <s v="_x0000_US"/>
  </r>
  <r>
    <x v="1"/>
    <n v="13.69"/>
    <n v="-89.218199999999996"/>
    <n v="76400"/>
    <n v="0"/>
    <n v="0"/>
    <n v="102"/>
    <s v="_x0000_US"/>
  </r>
  <r>
    <x v="1"/>
    <n v="13.6899"/>
    <n v="-89.218299999999999"/>
    <n v="76400"/>
    <n v="0"/>
    <n v="0"/>
    <n v="102"/>
    <s v="_x0000_US"/>
  </r>
  <r>
    <x v="1"/>
    <n v="13.6899"/>
    <n v="-89.218299999999999"/>
    <n v="76400"/>
    <n v="0"/>
    <n v="0"/>
    <n v="102"/>
    <s v="_x0000_US"/>
  </r>
  <r>
    <x v="1"/>
    <n v="13.6898"/>
    <n v="-89.218299999999999"/>
    <n v="76400"/>
    <n v="0"/>
    <n v="0"/>
    <n v="102"/>
    <s v="_x0000_US"/>
  </r>
  <r>
    <x v="1"/>
    <n v="13.6898"/>
    <n v="-89.218299999999999"/>
    <n v="76400"/>
    <n v="0"/>
    <n v="0"/>
    <n v="102"/>
    <s v="_x0000_US"/>
  </r>
  <r>
    <x v="1"/>
    <n v="13.6897"/>
    <n v="-89.218400000000003"/>
    <n v="76400"/>
    <n v="0"/>
    <n v="0"/>
    <n v="102"/>
    <s v="_x0000_US"/>
  </r>
  <r>
    <x v="1"/>
    <n v="13.6897"/>
    <n v="-89.218400000000003"/>
    <n v="76400"/>
    <n v="0"/>
    <n v="0"/>
    <n v="102"/>
    <s v="_x0000_US"/>
  </r>
  <r>
    <x v="1"/>
    <n v="13.6896"/>
    <n v="-89.218400000000003"/>
    <n v="76400"/>
    <n v="0"/>
    <n v="0"/>
    <n v="102"/>
    <s v="_x0000_US"/>
  </r>
  <r>
    <x v="1"/>
    <n v="13.6897"/>
    <n v="-89.218100000000007"/>
    <n v="76400"/>
    <n v="0"/>
    <n v="0"/>
    <n v="102"/>
    <s v="_x0000_US"/>
  </r>
  <r>
    <x v="1"/>
    <n v="13.6897"/>
    <n v="-89.218100000000007"/>
    <n v="76400"/>
    <n v="0"/>
    <n v="0"/>
    <n v="102"/>
    <s v="_x0000_US"/>
  </r>
  <r>
    <x v="1"/>
    <n v="13.6897"/>
    <n v="-89.218000000000004"/>
    <n v="76400"/>
    <n v="0"/>
    <n v="0"/>
    <n v="102"/>
    <s v="_x0000_US"/>
  </r>
  <r>
    <x v="1"/>
    <n v="13.6897"/>
    <n v="-89.218000000000004"/>
    <n v="76400"/>
    <n v="0"/>
    <n v="0"/>
    <n v="102"/>
    <s v="_x0000_US"/>
  </r>
  <r>
    <x v="1"/>
    <n v="13.6897"/>
    <n v="-89.2179"/>
    <n v="76400"/>
    <n v="0"/>
    <n v="0"/>
    <n v="102"/>
    <s v="_x0000_US"/>
  </r>
  <r>
    <x v="1"/>
    <n v="13.689500000000001"/>
    <n v="-89.218699999999998"/>
    <n v="76400"/>
    <n v="0"/>
    <n v="0"/>
    <n v="102"/>
    <s v="_x0000_US"/>
  </r>
  <r>
    <x v="1"/>
    <n v="13.6896"/>
    <n v="-89.218599999999995"/>
    <n v="76400"/>
    <n v="0"/>
    <n v="0"/>
    <n v="102"/>
    <s v="_x0000_US"/>
  </r>
  <r>
    <x v="1"/>
    <n v="13.689399999999999"/>
    <n v="-89.218599999999995"/>
    <n v="76400"/>
    <n v="0"/>
    <n v="0"/>
    <n v="102"/>
    <s v="_x0000_US"/>
  </r>
  <r>
    <x v="1"/>
    <n v="13.689500000000001"/>
    <n v="-89.218500000000006"/>
    <n v="76400"/>
    <n v="0"/>
    <n v="0"/>
    <n v="102"/>
    <s v="_x0000_US"/>
  </r>
  <r>
    <x v="1"/>
    <n v="13.6896"/>
    <n v="-89.218500000000006"/>
    <n v="76400"/>
    <n v="0"/>
    <n v="0"/>
    <n v="102"/>
    <s v="_x0000_US"/>
  </r>
  <r>
    <x v="1"/>
    <n v="13.689299999999999"/>
    <n v="-89.218299999999999"/>
    <n v="76400"/>
    <n v="0"/>
    <n v="0"/>
    <n v="102"/>
    <s v="_x0000_US"/>
  </r>
  <r>
    <x v="1"/>
    <n v="13.689399999999999"/>
    <n v="-89.218299999999999"/>
    <n v="76400"/>
    <n v="0"/>
    <n v="0"/>
    <n v="102"/>
    <s v="_x0000_US"/>
  </r>
  <r>
    <x v="1"/>
    <n v="13.689399999999999"/>
    <n v="-89.218199999999996"/>
    <n v="76400"/>
    <n v="0"/>
    <n v="0"/>
    <n v="102"/>
    <s v="_x0000_US"/>
  </r>
  <r>
    <x v="1"/>
    <n v="13.689500000000001"/>
    <n v="-89.218199999999996"/>
    <n v="76400"/>
    <n v="0"/>
    <n v="0"/>
    <n v="102"/>
    <s v="_x0000_US"/>
  </r>
  <r>
    <x v="1"/>
    <n v="13.689500000000001"/>
    <n v="-89.218199999999996"/>
    <n v="76400"/>
    <n v="0"/>
    <n v="0"/>
    <n v="102"/>
    <s v="_x0000_US"/>
  </r>
  <r>
    <x v="1"/>
    <n v="13.6896"/>
    <n v="-89.218199999999996"/>
    <n v="76400"/>
    <n v="0"/>
    <n v="0"/>
    <n v="102"/>
    <s v="_x0000_US"/>
  </r>
  <r>
    <x v="1"/>
    <n v="13.6896"/>
    <n v="-89.218000000000004"/>
    <n v="76400"/>
    <n v="0"/>
    <n v="0"/>
    <n v="102"/>
    <s v="_x0000_US"/>
  </r>
  <r>
    <x v="1"/>
    <n v="13.689500000000001"/>
    <n v="-89.218100000000007"/>
    <n v="76400"/>
    <n v="0"/>
    <n v="0"/>
    <n v="102"/>
    <s v="_x0000_US"/>
  </r>
  <r>
    <x v="1"/>
    <n v="13.689500000000001"/>
    <n v="-89.218100000000007"/>
    <n v="76400"/>
    <n v="0"/>
    <n v="0"/>
    <n v="102"/>
    <s v="_x0000_US"/>
  </r>
  <r>
    <x v="1"/>
    <n v="13.689500000000001"/>
    <n v="-89.218100000000007"/>
    <n v="76400"/>
    <n v="0"/>
    <n v="0"/>
    <n v="102"/>
    <s v="_x0000_US"/>
  </r>
  <r>
    <x v="1"/>
    <n v="13.689399999999999"/>
    <n v="-89.218100000000007"/>
    <n v="76400"/>
    <n v="0"/>
    <n v="0"/>
    <n v="102"/>
    <s v="_x0000_US"/>
  </r>
  <r>
    <x v="1"/>
    <n v="13.689299999999999"/>
    <n v="-89.218199999999996"/>
    <n v="76400"/>
    <n v="0"/>
    <n v="0"/>
    <n v="102"/>
    <s v="_x0000_US"/>
  </r>
  <r>
    <x v="1"/>
    <n v="13.6896"/>
    <n v="-89.2179"/>
    <n v="76400"/>
    <n v="0"/>
    <n v="0"/>
    <n v="102"/>
    <s v="_x0000_US"/>
  </r>
  <r>
    <x v="1"/>
    <n v="13.689500000000001"/>
    <n v="-89.2179"/>
    <n v="76400"/>
    <n v="0"/>
    <n v="0"/>
    <n v="102"/>
    <s v="_x0000_US"/>
  </r>
  <r>
    <x v="1"/>
    <n v="13.689500000000001"/>
    <n v="-89.2179"/>
    <n v="76400"/>
    <n v="0"/>
    <n v="0"/>
    <n v="102"/>
    <s v="_x0000_US"/>
  </r>
  <r>
    <x v="1"/>
    <n v="13.689399999999999"/>
    <n v="-89.2179"/>
    <n v="76400"/>
    <n v="0"/>
    <n v="0"/>
    <n v="102"/>
    <s v="_x0000_US"/>
  </r>
  <r>
    <x v="1"/>
    <n v="13.689399999999999"/>
    <n v="-89.218000000000004"/>
    <n v="76400"/>
    <n v="0"/>
    <n v="0"/>
    <n v="102"/>
    <s v="_x0000_US"/>
  </r>
  <r>
    <x v="1"/>
    <n v="13.689299999999999"/>
    <n v="-89.218000000000004"/>
    <n v="76400"/>
    <n v="0"/>
    <n v="0"/>
    <n v="102"/>
    <s v="_x0000_US"/>
  </r>
  <r>
    <x v="1"/>
    <n v="13.690099999999999"/>
    <n v="-89.218299999999999"/>
    <n v="76400"/>
    <n v="0"/>
    <n v="0"/>
    <n v="102"/>
    <s v="_x0000_US"/>
  </r>
  <r>
    <x v="1"/>
    <n v="13.690099999999999"/>
    <n v="-89.218299999999999"/>
    <n v="76400"/>
    <n v="0"/>
    <n v="0"/>
    <n v="102"/>
    <s v="_x0000_US"/>
  </r>
  <r>
    <x v="1"/>
    <n v="13.690899999999999"/>
    <n v="-89.221999999999994"/>
    <n v="35980"/>
    <n v="0"/>
    <n v="0"/>
    <n v="102"/>
    <s v="_x0000_US"/>
  </r>
  <r>
    <x v="1"/>
    <n v="13.690899999999999"/>
    <n v="-89.221999999999994"/>
    <n v="35980"/>
    <n v="0"/>
    <n v="0"/>
    <n v="102"/>
    <s v="_x0000_US"/>
  </r>
  <r>
    <x v="1"/>
    <n v="13.690899999999999"/>
    <n v="-89.221999999999994"/>
    <n v="35980"/>
    <n v="0"/>
    <n v="0"/>
    <n v="102"/>
    <s v="_x0000_US"/>
  </r>
  <r>
    <x v="1"/>
    <n v="13.690899999999999"/>
    <n v="-89.221900000000005"/>
    <n v="35980"/>
    <n v="0"/>
    <n v="0"/>
    <n v="102"/>
    <s v="_x0000_US"/>
  </r>
  <r>
    <x v="1"/>
    <n v="13.690899999999999"/>
    <n v="-89.221900000000005"/>
    <n v="35980"/>
    <n v="0"/>
    <n v="0"/>
    <n v="102"/>
    <s v="_x0000_US"/>
  </r>
  <r>
    <x v="1"/>
    <n v="13.690899999999999"/>
    <n v="-89.221800000000002"/>
    <n v="35980"/>
    <n v="0"/>
    <n v="0"/>
    <n v="102"/>
    <s v="_x0000_US"/>
  </r>
  <r>
    <x v="1"/>
    <n v="13.690899999999999"/>
    <n v="-89.221800000000002"/>
    <n v="35980"/>
    <n v="0"/>
    <n v="0"/>
    <n v="102"/>
    <s v="_x0000_US"/>
  </r>
  <r>
    <x v="1"/>
    <n v="13.690899999999999"/>
    <n v="-89.221800000000002"/>
    <n v="35980"/>
    <n v="0"/>
    <n v="0"/>
    <n v="102"/>
    <s v="_x0000_US"/>
  </r>
  <r>
    <x v="1"/>
    <n v="13.690899999999999"/>
    <n v="-89.221800000000002"/>
    <n v="35980"/>
    <n v="0"/>
    <n v="0"/>
    <n v="102"/>
    <s v="_x0000_US"/>
  </r>
  <r>
    <x v="1"/>
    <n v="13.6907"/>
    <n v="-89.222099999999998"/>
    <n v="35980"/>
    <n v="0"/>
    <n v="0"/>
    <n v="102"/>
    <s v="_x0000_US"/>
  </r>
  <r>
    <x v="1"/>
    <n v="13.6907"/>
    <n v="-89.221999999999994"/>
    <n v="35980"/>
    <n v="0"/>
    <n v="0"/>
    <n v="102"/>
    <s v="_x0000_US"/>
  </r>
  <r>
    <x v="1"/>
    <n v="13.6907"/>
    <n v="-89.221999999999994"/>
    <n v="35980"/>
    <n v="0"/>
    <n v="0"/>
    <n v="102"/>
    <s v="_x0000_US"/>
  </r>
  <r>
    <x v="1"/>
    <n v="13.6907"/>
    <n v="-89.221900000000005"/>
    <n v="35980"/>
    <n v="0"/>
    <n v="0"/>
    <n v="102"/>
    <s v="_x0000_US"/>
  </r>
  <r>
    <x v="1"/>
    <n v="13.6907"/>
    <n v="-89.221900000000005"/>
    <n v="35980"/>
    <n v="0"/>
    <n v="0"/>
    <n v="102"/>
    <s v="_x0000_US"/>
  </r>
  <r>
    <x v="1"/>
    <n v="13.6907"/>
    <n v="-89.221800000000002"/>
    <n v="35980"/>
    <n v="0"/>
    <n v="0"/>
    <n v="102"/>
    <s v="_x0000_US"/>
  </r>
  <r>
    <x v="1"/>
    <n v="13.69"/>
    <n v="-89.222099999999998"/>
    <n v="14950"/>
    <n v="0"/>
    <n v="0"/>
    <n v="102"/>
    <s v="_x0000_US"/>
  </r>
  <r>
    <x v="1"/>
    <n v="13.69"/>
    <n v="-89.222099999999998"/>
    <n v="14950"/>
    <n v="0"/>
    <n v="0"/>
    <n v="102"/>
    <s v="_x0000_US"/>
  </r>
  <r>
    <x v="1"/>
    <n v="13.69"/>
    <n v="-89.222099999999998"/>
    <n v="14950"/>
    <n v="0"/>
    <n v="0"/>
    <n v="102"/>
    <s v="_x0000_US"/>
  </r>
  <r>
    <x v="1"/>
    <n v="13.69"/>
    <n v="-89.221999999999994"/>
    <n v="14950"/>
    <n v="0"/>
    <n v="0"/>
    <n v="102"/>
    <s v="_x0000_US"/>
  </r>
  <r>
    <x v="1"/>
    <n v="13.69"/>
    <n v="-89.221999999999994"/>
    <n v="14950"/>
    <n v="0"/>
    <n v="0"/>
    <n v="102"/>
    <s v="_x0000_US"/>
  </r>
  <r>
    <x v="1"/>
    <n v="13.69"/>
    <n v="-89.221999999999994"/>
    <n v="14950"/>
    <n v="0"/>
    <n v="0"/>
    <n v="102"/>
    <s v="_x0000_US"/>
  </r>
  <r>
    <x v="1"/>
    <n v="13.69"/>
    <n v="-89.221999999999994"/>
    <n v="14950"/>
    <n v="0"/>
    <n v="0"/>
    <n v="102"/>
    <s v="_x0000_US"/>
  </r>
  <r>
    <x v="1"/>
    <n v="13.69"/>
    <n v="-89.221900000000005"/>
    <n v="14950"/>
    <n v="0"/>
    <n v="0"/>
    <n v="102"/>
    <s v="_x0000_US"/>
  </r>
  <r>
    <x v="1"/>
    <n v="13.69"/>
    <n v="-89.221900000000005"/>
    <n v="14950"/>
    <n v="0"/>
    <n v="0"/>
    <n v="102"/>
    <s v="_x0000_US"/>
  </r>
  <r>
    <x v="1"/>
    <n v="13.69"/>
    <n v="-89.221900000000005"/>
    <n v="14950"/>
    <n v="0"/>
    <n v="0"/>
    <n v="102"/>
    <s v="_x0000_US"/>
  </r>
  <r>
    <x v="1"/>
    <n v="13.69"/>
    <n v="-89.221800000000002"/>
    <n v="14950"/>
    <n v="0"/>
    <n v="0"/>
    <n v="102"/>
    <s v="_x0000_US"/>
  </r>
  <r>
    <x v="1"/>
    <n v="13.6898"/>
    <n v="-89.221900000000005"/>
    <n v="14950"/>
    <n v="0"/>
    <n v="0"/>
    <n v="102"/>
    <s v="_x0000_US"/>
  </r>
  <r>
    <x v="1"/>
    <n v="13.6898"/>
    <n v="-89.221900000000005"/>
    <n v="14950"/>
    <n v="0"/>
    <n v="0"/>
    <n v="102"/>
    <s v="_x0000_US"/>
  </r>
  <r>
    <x v="1"/>
    <n v="13.6898"/>
    <n v="-89.221999999999994"/>
    <n v="14950"/>
    <n v="0"/>
    <n v="0"/>
    <n v="102"/>
    <s v="_x0000_US"/>
  </r>
  <r>
    <x v="1"/>
    <n v="13.6898"/>
    <n v="-89.222099999999998"/>
    <n v="14950"/>
    <n v="0"/>
    <n v="0"/>
    <n v="102"/>
    <s v="_x0000_US"/>
  </r>
  <r>
    <x v="1"/>
    <n v="13.6898"/>
    <n v="-89.222099999999998"/>
    <n v="14950"/>
    <n v="0"/>
    <n v="0"/>
    <n v="102"/>
    <s v="_x0000_US"/>
  </r>
  <r>
    <x v="1"/>
    <n v="13.6898"/>
    <n v="-89.222099999999998"/>
    <n v="14950"/>
    <n v="0"/>
    <n v="0"/>
    <n v="102"/>
    <s v="_x0000_US"/>
  </r>
  <r>
    <x v="1"/>
    <n v="13.6898"/>
    <n v="-89.222099999999998"/>
    <n v="14950"/>
    <n v="0"/>
    <n v="0"/>
    <n v="102"/>
    <s v="_x0000_US"/>
  </r>
  <r>
    <x v="1"/>
    <n v="13.6898"/>
    <n v="-89.221999999999994"/>
    <n v="14950"/>
    <n v="0"/>
    <n v="0"/>
    <n v="102"/>
    <s v="_x0000_US"/>
  </r>
  <r>
    <x v="1"/>
    <n v="13.6898"/>
    <n v="-89.221900000000005"/>
    <n v="14950"/>
    <n v="0"/>
    <n v="0"/>
    <n v="102"/>
    <s v="_x0000_US"/>
  </r>
  <r>
    <x v="1"/>
    <n v="13.6898"/>
    <n v="-89.221900000000005"/>
    <n v="14950"/>
    <n v="0"/>
    <n v="0"/>
    <n v="102"/>
    <s v="_x0000_US"/>
  </r>
  <r>
    <x v="1"/>
    <n v="13.6897"/>
    <n v="-89.221900000000005"/>
    <n v="14950"/>
    <n v="0"/>
    <n v="0"/>
    <n v="102"/>
    <s v="_x0000_US"/>
  </r>
  <r>
    <x v="1"/>
    <n v="13.6897"/>
    <n v="-89.221900000000005"/>
    <n v="14950"/>
    <n v="0"/>
    <n v="0"/>
    <n v="102"/>
    <s v="_x0000_US"/>
  </r>
  <r>
    <x v="1"/>
    <n v="13.6897"/>
    <n v="-89.221999999999994"/>
    <n v="14950"/>
    <n v="0"/>
    <n v="0"/>
    <n v="102"/>
    <s v="_x0000_US"/>
  </r>
  <r>
    <x v="1"/>
    <n v="13.6897"/>
    <n v="-89.222099999999998"/>
    <n v="14950"/>
    <n v="0"/>
    <n v="0"/>
    <n v="102"/>
    <s v="_x0000_US"/>
  </r>
  <r>
    <x v="1"/>
    <n v="13.6897"/>
    <n v="-89.222099999999998"/>
    <n v="14950"/>
    <n v="0"/>
    <n v="0"/>
    <n v="102"/>
    <s v="_x0000_US"/>
  </r>
  <r>
    <x v="1"/>
    <n v="13.6897"/>
    <n v="-89.222099999999998"/>
    <n v="14950"/>
    <n v="0"/>
    <n v="0"/>
    <n v="102"/>
    <s v="_x0000_US"/>
  </r>
  <r>
    <x v="1"/>
    <n v="13.6897"/>
    <n v="-89.222099999999998"/>
    <n v="14950"/>
    <n v="0"/>
    <n v="0"/>
    <n v="102"/>
    <s v="_x0000_US"/>
  </r>
  <r>
    <x v="1"/>
    <n v="13.6897"/>
    <n v="-89.221999999999994"/>
    <n v="14950"/>
    <n v="0"/>
    <n v="0"/>
    <n v="102"/>
    <s v="_x0000_US"/>
  </r>
  <r>
    <x v="1"/>
    <n v="13.6897"/>
    <n v="-89.221900000000005"/>
    <n v="14950"/>
    <n v="0"/>
    <n v="0"/>
    <n v="102"/>
    <s v="_x0000_US"/>
  </r>
  <r>
    <x v="1"/>
    <n v="13.6897"/>
    <n v="-89.221900000000005"/>
    <n v="14950"/>
    <n v="0"/>
    <n v="0"/>
    <n v="102"/>
    <s v="_x0000_US"/>
  </r>
  <r>
    <x v="1"/>
    <n v="13.689500000000001"/>
    <n v="-89.222200000000001"/>
    <n v="14950"/>
    <n v="0"/>
    <n v="0"/>
    <n v="102"/>
    <s v="_x0000_US"/>
  </r>
  <r>
    <x v="1"/>
    <n v="13.689500000000001"/>
    <n v="-89.222200000000001"/>
    <n v="14950"/>
    <n v="0"/>
    <n v="0"/>
    <n v="102"/>
    <s v="_x0000_US"/>
  </r>
  <r>
    <x v="1"/>
    <n v="13.689500000000001"/>
    <n v="-89.222099999999998"/>
    <n v="14950"/>
    <n v="0"/>
    <n v="0"/>
    <n v="102"/>
    <s v="_x0000_US"/>
  </r>
  <r>
    <x v="1"/>
    <n v="13.689500000000001"/>
    <n v="-89.221999999999994"/>
    <n v="14950"/>
    <n v="0"/>
    <n v="0"/>
    <n v="102"/>
    <s v="_x0000_US"/>
  </r>
  <r>
    <x v="1"/>
    <n v="13.689500000000001"/>
    <n v="-89.221999999999994"/>
    <n v="14950"/>
    <n v="0"/>
    <n v="0"/>
    <n v="102"/>
    <s v="_x0000_US"/>
  </r>
  <r>
    <x v="1"/>
    <n v="13.689500000000001"/>
    <n v="-89.221999999999994"/>
    <n v="14950"/>
    <n v="0"/>
    <n v="0"/>
    <n v="102"/>
    <s v="_x0000_US"/>
  </r>
  <r>
    <x v="1"/>
    <n v="13.689500000000001"/>
    <n v="-89.221999999999994"/>
    <n v="14950"/>
    <n v="0"/>
    <n v="0"/>
    <n v="102"/>
    <s v="_x0000_US"/>
  </r>
  <r>
    <x v="1"/>
    <n v="13.689500000000001"/>
    <n v="-89.221900000000005"/>
    <n v="14950"/>
    <n v="0"/>
    <n v="0"/>
    <n v="102"/>
    <s v="_x0000_US"/>
  </r>
  <r>
    <x v="1"/>
    <n v="13.689399999999999"/>
    <n v="-89.221900000000005"/>
    <n v="14950"/>
    <n v="0"/>
    <n v="0"/>
    <n v="102"/>
    <s v="_x0000_US"/>
  </r>
  <r>
    <x v="1"/>
    <n v="13.689399999999999"/>
    <n v="-89.222099999999998"/>
    <n v="14950"/>
    <n v="0"/>
    <n v="0"/>
    <n v="102"/>
    <s v="_x0000_US"/>
  </r>
  <r>
    <x v="1"/>
    <n v="13.689399999999999"/>
    <n v="-89.222099999999998"/>
    <n v="14950"/>
    <n v="0"/>
    <n v="0"/>
    <n v="102"/>
    <s v="_x0000_US"/>
  </r>
  <r>
    <x v="1"/>
    <n v="13.689299999999999"/>
    <n v="-89.222099999999998"/>
    <n v="14950"/>
    <n v="0"/>
    <n v="0"/>
    <n v="102"/>
    <s v="_x0000_US"/>
  </r>
  <r>
    <x v="1"/>
    <n v="13.689299999999999"/>
    <n v="-89.221999999999994"/>
    <n v="14950"/>
    <n v="0"/>
    <n v="0"/>
    <n v="102"/>
    <s v="_x0000_US"/>
  </r>
  <r>
    <x v="1"/>
    <n v="13.689399999999999"/>
    <n v="-89.221999999999994"/>
    <n v="14950"/>
    <n v="0"/>
    <n v="0"/>
    <n v="102"/>
    <s v="_x0000_US"/>
  </r>
  <r>
    <x v="1"/>
    <n v="13.689399999999999"/>
    <n v="-89.221999999999994"/>
    <n v="14950"/>
    <n v="0"/>
    <n v="0"/>
    <n v="102"/>
    <s v="_x0000_US"/>
  </r>
  <r>
    <x v="1"/>
    <n v="13.689299999999999"/>
    <n v="-89.221999999999994"/>
    <n v="14950"/>
    <n v="0"/>
    <n v="0"/>
    <n v="102"/>
    <s v="_x0000_US"/>
  </r>
  <r>
    <x v="1"/>
    <n v="13.689299999999999"/>
    <n v="-89.221900000000005"/>
    <n v="14950"/>
    <n v="0"/>
    <n v="0"/>
    <n v="102"/>
    <s v="_x0000_US"/>
  </r>
  <r>
    <x v="1"/>
    <n v="13.689399999999999"/>
    <n v="-89.221900000000005"/>
    <n v="14950"/>
    <n v="0"/>
    <n v="0"/>
    <n v="102"/>
    <s v="_x0000_US"/>
  </r>
  <r>
    <x v="1"/>
    <n v="13.689500000000001"/>
    <n v="-89.222200000000001"/>
    <n v="14950"/>
    <n v="0"/>
    <n v="0"/>
    <n v="102"/>
    <s v="_x0000_US"/>
  </r>
  <r>
    <x v="1"/>
    <n v="13.689500000000001"/>
    <n v="-89.222200000000001"/>
    <n v="14950"/>
    <n v="0"/>
    <n v="0"/>
    <n v="102"/>
    <s v="_x0000_US"/>
  </r>
  <r>
    <x v="1"/>
    <n v="13.689399999999999"/>
    <n v="-89.222200000000001"/>
    <n v="14950"/>
    <n v="0"/>
    <n v="0"/>
    <n v="102"/>
    <s v="_x0000_US"/>
  </r>
  <r>
    <x v="1"/>
    <n v="13.689299999999999"/>
    <n v="-89.222200000000001"/>
    <n v="14950"/>
    <n v="0"/>
    <n v="0"/>
    <n v="102"/>
    <s v="_x0000_US"/>
  </r>
  <r>
    <x v="1"/>
    <n v="13.689299999999999"/>
    <n v="-89.222200000000001"/>
    <n v="14950"/>
    <n v="0"/>
    <n v="0"/>
    <n v="102"/>
    <s v="_x0000_US"/>
  </r>
  <r>
    <x v="1"/>
    <n v="13.689299999999999"/>
    <n v="-89.222099999999998"/>
    <n v="14950"/>
    <n v="0"/>
    <n v="0"/>
    <n v="102"/>
    <s v="_x0000_US"/>
  </r>
  <r>
    <x v="1"/>
    <n v="13.689299999999999"/>
    <n v="-89.222200000000001"/>
    <n v="14950"/>
    <n v="0"/>
    <n v="0"/>
    <n v="102"/>
    <s v="_x0000_US"/>
  </r>
  <r>
    <x v="1"/>
    <n v="13.6892"/>
    <n v="-89.222200000000001"/>
    <n v="14950"/>
    <n v="0"/>
    <n v="0"/>
    <n v="102"/>
    <s v="_x0000_US"/>
  </r>
  <r>
    <x v="1"/>
    <n v="13.6892"/>
    <n v="-89.222200000000001"/>
    <n v="14950"/>
    <n v="0"/>
    <n v="0"/>
    <n v="102"/>
    <s v="_x0000_US"/>
  </r>
  <r>
    <x v="1"/>
    <n v="13.6892"/>
    <n v="-89.222200000000001"/>
    <n v="14950"/>
    <n v="0"/>
    <n v="0"/>
    <n v="102"/>
    <s v="_x0000_US"/>
  </r>
  <r>
    <x v="1"/>
    <n v="13.6892"/>
    <n v="-89.222300000000004"/>
    <n v="14950"/>
    <n v="0"/>
    <n v="0"/>
    <n v="102"/>
    <s v="_x0000_US"/>
  </r>
  <r>
    <x v="1"/>
    <n v="13.6891"/>
    <n v="-89.222300000000004"/>
    <n v="14950"/>
    <n v="0"/>
    <n v="0"/>
    <n v="102"/>
    <s v="_x0000_US"/>
  </r>
  <r>
    <x v="1"/>
    <n v="13.6891"/>
    <n v="-89.222300000000004"/>
    <n v="14950"/>
    <n v="0"/>
    <n v="0"/>
    <n v="102"/>
    <s v="_x0000_US"/>
  </r>
  <r>
    <x v="1"/>
    <n v="13.6892"/>
    <n v="-89.222099999999998"/>
    <n v="14950"/>
    <n v="0"/>
    <n v="0"/>
    <n v="102"/>
    <s v="_x0000_US"/>
  </r>
  <r>
    <x v="1"/>
    <n v="13.6892"/>
    <n v="-89.222099999999998"/>
    <n v="14950"/>
    <n v="0"/>
    <n v="0"/>
    <n v="102"/>
    <s v="_x0000_US"/>
  </r>
  <r>
    <x v="1"/>
    <n v="13.6891"/>
    <n v="-89.222099999999998"/>
    <n v="14950"/>
    <n v="0"/>
    <n v="0"/>
    <n v="102"/>
    <s v="_x0000_US"/>
  </r>
  <r>
    <x v="1"/>
    <n v="13.6891"/>
    <n v="-89.222099999999998"/>
    <n v="14950"/>
    <n v="0"/>
    <n v="0"/>
    <n v="102"/>
    <s v="_x0000_US"/>
  </r>
  <r>
    <x v="1"/>
    <n v="13.6891"/>
    <n v="-89.222099999999998"/>
    <n v="14950"/>
    <n v="0"/>
    <n v="0"/>
    <n v="102"/>
    <s v="_x0000_US"/>
  </r>
  <r>
    <x v="1"/>
    <n v="13.6891"/>
    <n v="-89.222099999999998"/>
    <n v="14950"/>
    <n v="0"/>
    <n v="0"/>
    <n v="102"/>
    <s v="_x0000_US"/>
  </r>
  <r>
    <x v="1"/>
    <n v="13.689299999999999"/>
    <n v="-89.221999999999994"/>
    <n v="14950"/>
    <n v="0"/>
    <n v="0"/>
    <n v="102"/>
    <s v="_x0000_US"/>
  </r>
  <r>
    <x v="1"/>
    <n v="13.6892"/>
    <n v="-89.221999999999994"/>
    <n v="14950"/>
    <n v="0"/>
    <n v="0"/>
    <n v="102"/>
    <s v="_x0000_US"/>
  </r>
  <r>
    <x v="1"/>
    <n v="13.6892"/>
    <n v="-89.221999999999994"/>
    <n v="14950"/>
    <n v="0"/>
    <n v="0"/>
    <n v="102"/>
    <s v="_x0000_US"/>
  </r>
  <r>
    <x v="1"/>
    <n v="13.6892"/>
    <n v="-89.221999999999994"/>
    <n v="14950"/>
    <n v="0"/>
    <n v="0"/>
    <n v="102"/>
    <s v="_x0000_US"/>
  </r>
  <r>
    <x v="1"/>
    <n v="13.6891"/>
    <n v="-89.221999999999994"/>
    <n v="14950"/>
    <n v="0"/>
    <n v="0"/>
    <n v="102"/>
    <s v="_x0000_US"/>
  </r>
  <r>
    <x v="1"/>
    <n v="13.6891"/>
    <n v="-89.221999999999994"/>
    <n v="14950"/>
    <n v="0"/>
    <n v="0"/>
    <n v="102"/>
    <s v="_x0000_US"/>
  </r>
  <r>
    <x v="1"/>
    <n v="13.6891"/>
    <n v="-89.221999999999994"/>
    <n v="14950"/>
    <n v="0"/>
    <n v="0"/>
    <n v="102"/>
    <s v="_x0000_US"/>
  </r>
  <r>
    <x v="1"/>
    <n v="13.6891"/>
    <n v="-89.221999999999994"/>
    <n v="14950"/>
    <n v="0"/>
    <n v="0"/>
    <n v="102"/>
    <s v="_x0000_US"/>
  </r>
  <r>
    <x v="1"/>
    <n v="13.689"/>
    <n v="-89.221999999999994"/>
    <n v="14950"/>
    <n v="0"/>
    <n v="0"/>
    <n v="102"/>
    <s v="_x0000_US"/>
  </r>
  <r>
    <x v="1"/>
    <n v="13.689"/>
    <n v="-89.221999999999994"/>
    <n v="14950"/>
    <n v="0"/>
    <n v="0"/>
    <n v="102"/>
    <s v="_x0000_US"/>
  </r>
  <r>
    <x v="1"/>
    <n v="13.6889"/>
    <n v="-89.221999999999994"/>
    <n v="14950"/>
    <n v="0"/>
    <n v="0"/>
    <n v="102"/>
    <s v="_x0000_US"/>
  </r>
  <r>
    <x v="1"/>
    <n v="13.6889"/>
    <n v="-89.221999999999994"/>
    <n v="14950"/>
    <n v="0"/>
    <n v="0"/>
    <n v="102"/>
    <s v="_x0000_US"/>
  </r>
  <r>
    <x v="1"/>
    <n v="13.6889"/>
    <n v="-89.222099999999998"/>
    <n v="14950"/>
    <n v="0"/>
    <n v="0"/>
    <n v="102"/>
    <s v="_x0000_US"/>
  </r>
  <r>
    <x v="1"/>
    <n v="13.6889"/>
    <n v="-89.222099999999998"/>
    <n v="14950"/>
    <n v="0"/>
    <n v="0"/>
    <n v="102"/>
    <s v="_x0000_US"/>
  </r>
  <r>
    <x v="1"/>
    <n v="13.6889"/>
    <n v="-89.222300000000004"/>
    <n v="14950"/>
    <n v="0"/>
    <n v="0"/>
    <n v="102"/>
    <s v="_x0000_US"/>
  </r>
  <r>
    <x v="1"/>
    <n v="13.6889"/>
    <n v="-89.222300000000004"/>
    <n v="14950"/>
    <n v="0"/>
    <n v="0"/>
    <n v="102"/>
    <s v="_x0000_US"/>
  </r>
  <r>
    <x v="1"/>
    <n v="13.6889"/>
    <n v="-89.222300000000004"/>
    <n v="14950"/>
    <n v="0"/>
    <n v="0"/>
    <n v="102"/>
    <s v="_x0000_US"/>
  </r>
  <r>
    <x v="1"/>
    <n v="13.6906"/>
    <n v="-89.222099999999998"/>
    <n v="14950"/>
    <n v="0"/>
    <n v="0"/>
    <n v="102"/>
    <s v="_x0000_US"/>
  </r>
  <r>
    <x v="1"/>
    <n v="13.6906"/>
    <n v="-89.222099999999998"/>
    <n v="14950"/>
    <n v="0"/>
    <n v="0"/>
    <n v="102"/>
    <s v="_x0000_US"/>
  </r>
  <r>
    <x v="1"/>
    <n v="13.6906"/>
    <n v="-89.221999999999994"/>
    <n v="14950"/>
    <n v="0"/>
    <n v="0"/>
    <n v="102"/>
    <s v="_x0000_US"/>
  </r>
  <r>
    <x v="1"/>
    <n v="13.6906"/>
    <n v="-89.221999999999994"/>
    <n v="14950"/>
    <n v="0"/>
    <n v="0"/>
    <n v="102"/>
    <s v="_x0000_US"/>
  </r>
  <r>
    <x v="1"/>
    <n v="13.6906"/>
    <n v="-89.221999999999994"/>
    <n v="14950"/>
    <n v="0"/>
    <n v="0"/>
    <n v="102"/>
    <s v="_x0000_US"/>
  </r>
  <r>
    <x v="1"/>
    <n v="13.6906"/>
    <n v="-89.221900000000005"/>
    <n v="14950"/>
    <n v="0"/>
    <n v="0"/>
    <n v="102"/>
    <s v="_x0000_US"/>
  </r>
  <r>
    <x v="1"/>
    <n v="13.6906"/>
    <n v="-89.221900000000005"/>
    <n v="14950"/>
    <n v="0"/>
    <n v="0"/>
    <n v="102"/>
    <s v="_x0000_US"/>
  </r>
  <r>
    <x v="1"/>
    <n v="13.6906"/>
    <n v="-89.221900000000005"/>
    <n v="14950"/>
    <n v="0"/>
    <n v="0"/>
    <n v="102"/>
    <s v="_x0000_US"/>
  </r>
  <r>
    <x v="1"/>
    <n v="13.6906"/>
    <n v="-89.221800000000002"/>
    <n v="14950"/>
    <n v="0"/>
    <n v="0"/>
    <n v="102"/>
    <s v="_x0000_US"/>
  </r>
  <r>
    <x v="1"/>
    <n v="13.6906"/>
    <n v="-89.221800000000002"/>
    <n v="14950"/>
    <n v="0"/>
    <n v="0"/>
    <n v="102"/>
    <s v="_x0000_US"/>
  </r>
  <r>
    <x v="1"/>
    <n v="13.6905"/>
    <n v="-89.222099999999998"/>
    <n v="14950"/>
    <n v="0"/>
    <n v="0"/>
    <n v="102"/>
    <s v="_x0000_US"/>
  </r>
  <r>
    <x v="1"/>
    <n v="13.6904"/>
    <n v="-89.221999999999994"/>
    <n v="14950"/>
    <n v="0"/>
    <n v="0"/>
    <n v="102"/>
    <s v="_x0000_US"/>
  </r>
  <r>
    <x v="1"/>
    <n v="13.6904"/>
    <n v="-89.221999999999994"/>
    <n v="14950"/>
    <n v="0"/>
    <n v="0"/>
    <n v="102"/>
    <s v="_x0000_US"/>
  </r>
  <r>
    <x v="1"/>
    <n v="13.6904"/>
    <n v="-89.221999999999994"/>
    <n v="14950"/>
    <n v="0"/>
    <n v="0"/>
    <n v="102"/>
    <s v="_x0000_US"/>
  </r>
  <r>
    <x v="1"/>
    <n v="13.6904"/>
    <n v="-89.221999999999994"/>
    <n v="14950"/>
    <n v="0"/>
    <n v="0"/>
    <n v="102"/>
    <s v="_x0000_US"/>
  </r>
  <r>
    <x v="1"/>
    <n v="13.6904"/>
    <n v="-89.221900000000005"/>
    <n v="14950"/>
    <n v="0"/>
    <n v="0"/>
    <n v="102"/>
    <s v="_x0000_US"/>
  </r>
  <r>
    <x v="1"/>
    <n v="13.6904"/>
    <n v="-89.221900000000005"/>
    <n v="14950"/>
    <n v="0"/>
    <n v="0"/>
    <n v="102"/>
    <s v="_x0000_US"/>
  </r>
  <r>
    <x v="1"/>
    <n v="13.6904"/>
    <n v="-89.221900000000005"/>
    <n v="14950"/>
    <n v="0"/>
    <n v="0"/>
    <n v="102"/>
    <s v="_x0000_US"/>
  </r>
  <r>
    <x v="1"/>
    <n v="13.6904"/>
    <n v="-89.221900000000005"/>
    <n v="14950"/>
    <n v="0"/>
    <n v="0"/>
    <n v="102"/>
    <s v="_x0000_US"/>
  </r>
  <r>
    <x v="1"/>
    <n v="13.6904"/>
    <n v="-89.221800000000002"/>
    <n v="14950"/>
    <n v="0"/>
    <n v="0"/>
    <n v="102"/>
    <s v="_x0000_US"/>
  </r>
  <r>
    <x v="1"/>
    <n v="13.690300000000001"/>
    <n v="-89.222099999999998"/>
    <n v="14950"/>
    <n v="0"/>
    <n v="0"/>
    <n v="102"/>
    <s v="_x0000_US"/>
  </r>
  <r>
    <x v="1"/>
    <n v="13.690300000000001"/>
    <n v="-89.222099999999998"/>
    <n v="14950"/>
    <n v="0"/>
    <n v="0"/>
    <n v="102"/>
    <s v="_x0000_US"/>
  </r>
  <r>
    <x v="1"/>
    <n v="13.690300000000001"/>
    <n v="-89.222099999999998"/>
    <n v="14950"/>
    <n v="0"/>
    <n v="0"/>
    <n v="102"/>
    <s v="_x0000_US"/>
  </r>
  <r>
    <x v="1"/>
    <n v="13.690300000000001"/>
    <n v="-89.221999999999994"/>
    <n v="14950"/>
    <n v="0"/>
    <n v="0"/>
    <n v="102"/>
    <s v="_x0000_US"/>
  </r>
  <r>
    <x v="1"/>
    <n v="13.690300000000001"/>
    <n v="-89.221999999999994"/>
    <n v="14950"/>
    <n v="0"/>
    <n v="0"/>
    <n v="102"/>
    <s v="_x0000_US"/>
  </r>
  <r>
    <x v="1"/>
    <n v="13.690300000000001"/>
    <n v="-89.221999999999994"/>
    <n v="14950"/>
    <n v="0"/>
    <n v="0"/>
    <n v="102"/>
    <s v="_x0000_US"/>
  </r>
  <r>
    <x v="1"/>
    <n v="13.690300000000001"/>
    <n v="-89.221900000000005"/>
    <n v="14950"/>
    <n v="0"/>
    <n v="0"/>
    <n v="102"/>
    <s v="_x0000_US"/>
  </r>
  <r>
    <x v="1"/>
    <n v="13.690300000000001"/>
    <n v="-89.221900000000005"/>
    <n v="14950"/>
    <n v="0"/>
    <n v="0"/>
    <n v="102"/>
    <s v="_x0000_US"/>
  </r>
  <r>
    <x v="1"/>
    <n v="13.690300000000001"/>
    <n v="-89.221900000000005"/>
    <n v="14950"/>
    <n v="0"/>
    <n v="0"/>
    <n v="102"/>
    <s v="_x0000_US"/>
  </r>
  <r>
    <x v="1"/>
    <n v="13.690300000000001"/>
    <n v="-89.221900000000005"/>
    <n v="14950"/>
    <n v="0"/>
    <n v="0"/>
    <n v="102"/>
    <s v="_x0000_US"/>
  </r>
  <r>
    <x v="1"/>
    <n v="13.690300000000001"/>
    <n v="-89.221800000000002"/>
    <n v="14950"/>
    <n v="0"/>
    <n v="0"/>
    <n v="102"/>
    <s v="_x0000_US"/>
  </r>
  <r>
    <x v="1"/>
    <n v="13.690200000000001"/>
    <n v="-89.222099999999998"/>
    <n v="14950"/>
    <n v="0"/>
    <n v="0"/>
    <n v="102"/>
    <s v="_x0000_US"/>
  </r>
  <r>
    <x v="1"/>
    <n v="13.690200000000001"/>
    <n v="-89.222099999999998"/>
    <n v="14950"/>
    <n v="0"/>
    <n v="0"/>
    <n v="102"/>
    <s v="_x0000_US"/>
  </r>
  <r>
    <x v="1"/>
    <n v="13.690200000000001"/>
    <n v="-89.222099999999998"/>
    <n v="14950"/>
    <n v="0"/>
    <n v="0"/>
    <n v="102"/>
    <s v="_x0000_US"/>
  </r>
  <r>
    <x v="1"/>
    <n v="13.690200000000001"/>
    <n v="-89.221999999999994"/>
    <n v="14950"/>
    <n v="0"/>
    <n v="0"/>
    <n v="102"/>
    <s v="_x0000_US"/>
  </r>
  <r>
    <x v="1"/>
    <n v="13.690200000000001"/>
    <n v="-89.221999999999994"/>
    <n v="14950"/>
    <n v="0"/>
    <n v="0"/>
    <n v="102"/>
    <s v="_x0000_US"/>
  </r>
  <r>
    <x v="1"/>
    <n v="13.690200000000001"/>
    <n v="-89.221999999999994"/>
    <n v="14950"/>
    <n v="0"/>
    <n v="0"/>
    <n v="102"/>
    <s v="_x0000_US"/>
  </r>
  <r>
    <x v="1"/>
    <n v="13.690200000000001"/>
    <n v="-89.221900000000005"/>
    <n v="14950"/>
    <n v="0"/>
    <n v="0"/>
    <n v="102"/>
    <s v="_x0000_US"/>
  </r>
  <r>
    <x v="1"/>
    <n v="13.690200000000001"/>
    <n v="-89.221900000000005"/>
    <n v="14950"/>
    <n v="0"/>
    <n v="0"/>
    <n v="102"/>
    <s v="_x0000_US"/>
  </r>
  <r>
    <x v="1"/>
    <n v="13.690200000000001"/>
    <n v="-89.221800000000002"/>
    <n v="14950"/>
    <n v="0"/>
    <n v="0"/>
    <n v="102"/>
    <s v="_x0000_US"/>
  </r>
  <r>
    <x v="1"/>
    <n v="13.690200000000001"/>
    <n v="-89.221800000000002"/>
    <n v="14950"/>
    <n v="0"/>
    <n v="0"/>
    <n v="102"/>
    <s v="_x0000_US"/>
  </r>
  <r>
    <x v="1"/>
    <n v="13.690099999999999"/>
    <n v="-89.222200000000001"/>
    <n v="14950"/>
    <n v="0"/>
    <n v="0"/>
    <n v="102"/>
    <s v="_x0000_US"/>
  </r>
  <r>
    <x v="1"/>
    <n v="13.690099999999999"/>
    <n v="-89.222099999999998"/>
    <n v="14950"/>
    <n v="0"/>
    <n v="0"/>
    <n v="102"/>
    <s v="_x0000_US"/>
  </r>
  <r>
    <x v="1"/>
    <n v="13.690099999999999"/>
    <n v="-89.222099999999998"/>
    <n v="14950"/>
    <n v="0"/>
    <n v="0"/>
    <n v="102"/>
    <s v="_x0000_US"/>
  </r>
  <r>
    <x v="1"/>
    <n v="13.690099999999999"/>
    <n v="-89.222099999999998"/>
    <n v="14950"/>
    <n v="0"/>
    <n v="0"/>
    <n v="102"/>
    <s v="_x0000_US"/>
  </r>
  <r>
    <x v="1"/>
    <n v="13.690099999999999"/>
    <n v="-89.221999999999994"/>
    <n v="14950"/>
    <n v="0"/>
    <n v="0"/>
    <n v="102"/>
    <s v="_x0000_US"/>
  </r>
  <r>
    <x v="1"/>
    <n v="13.69"/>
    <n v="-89.221999999999994"/>
    <n v="14950"/>
    <n v="0"/>
    <n v="0"/>
    <n v="102"/>
    <s v="_x0000_US"/>
  </r>
  <r>
    <x v="1"/>
    <n v="13.69"/>
    <n v="-89.221999999999994"/>
    <n v="14950"/>
    <n v="0"/>
    <n v="0"/>
    <n v="102"/>
    <s v="_x0000_US"/>
  </r>
  <r>
    <x v="1"/>
    <n v="13.69"/>
    <n v="-89.221999999999994"/>
    <n v="14950"/>
    <n v="0"/>
    <n v="0"/>
    <n v="102"/>
    <s v="_x0000_US"/>
  </r>
  <r>
    <x v="1"/>
    <n v="13.69"/>
    <n v="-89.221900000000005"/>
    <n v="14950"/>
    <n v="0"/>
    <n v="0"/>
    <n v="102"/>
    <s v="_x0000_US"/>
  </r>
  <r>
    <x v="1"/>
    <n v="13.69"/>
    <n v="-89.221900000000005"/>
    <n v="14950"/>
    <n v="0"/>
    <n v="0"/>
    <n v="102"/>
    <s v="_x0000_US"/>
  </r>
  <r>
    <x v="1"/>
    <n v="13.69"/>
    <n v="-89.221900000000005"/>
    <n v="14950"/>
    <n v="0"/>
    <n v="0"/>
    <n v="102"/>
    <s v="_x0000_US"/>
  </r>
  <r>
    <x v="1"/>
    <n v="13.69"/>
    <n v="-89.221800000000002"/>
    <n v="14950"/>
    <n v="0"/>
    <n v="0"/>
    <n v="102"/>
    <s v="_x0000_US"/>
  </r>
  <r>
    <x v="1"/>
    <n v="13.6905"/>
    <n v="-89.220799999999997"/>
    <n v="49860"/>
    <n v="0"/>
    <n v="0"/>
    <n v="102"/>
    <s v="_x0000_US"/>
  </r>
  <r>
    <x v="1"/>
    <n v="13.6905"/>
    <n v="-89.2209"/>
    <n v="49860"/>
    <n v="0"/>
    <n v="0"/>
    <n v="102"/>
    <s v="_x0000_US"/>
  </r>
  <r>
    <x v="1"/>
    <n v="13.6906"/>
    <n v="-89.221000000000004"/>
    <n v="49860"/>
    <n v="0"/>
    <n v="0"/>
    <n v="102"/>
    <s v="_x0000_US"/>
  </r>
  <r>
    <x v="1"/>
    <n v="13.6906"/>
    <n v="-89.221100000000007"/>
    <n v="49860"/>
    <n v="0"/>
    <n v="0"/>
    <n v="102"/>
    <s v="_x0000_US"/>
  </r>
  <r>
    <x v="1"/>
    <n v="13.690200000000001"/>
    <n v="-89.220299999999995"/>
    <n v="49860"/>
    <n v="0"/>
    <n v="0"/>
    <n v="102"/>
    <s v="_x0000_US"/>
  </r>
  <r>
    <x v="1"/>
    <n v="13.690200000000001"/>
    <n v="-89.220299999999995"/>
    <n v="49860"/>
    <n v="0"/>
    <n v="0"/>
    <n v="102"/>
    <s v="_x0000_US"/>
  </r>
  <r>
    <x v="1"/>
    <n v="13.690300000000001"/>
    <n v="-89.220399999999998"/>
    <n v="49860"/>
    <n v="0"/>
    <n v="0"/>
    <n v="102"/>
    <s v="_x0000_US"/>
  </r>
  <r>
    <x v="1"/>
    <n v="13.690300000000001"/>
    <n v="-89.220500000000001"/>
    <n v="49860"/>
    <n v="0"/>
    <n v="0"/>
    <n v="102"/>
    <s v="_x0000_US"/>
  </r>
  <r>
    <x v="1"/>
    <n v="13.690300000000001"/>
    <n v="-89.220600000000005"/>
    <n v="49860"/>
    <n v="0"/>
    <n v="0"/>
    <n v="102"/>
    <s v="_x0000_US"/>
  </r>
  <r>
    <x v="1"/>
    <n v="13.6904"/>
    <n v="-89.220600000000005"/>
    <n v="49860"/>
    <n v="0"/>
    <n v="0"/>
    <n v="102"/>
    <s v="_x0000_US"/>
  </r>
  <r>
    <x v="1"/>
    <n v="13.6904"/>
    <n v="-89.220699999999994"/>
    <n v="49860"/>
    <n v="0"/>
    <n v="0"/>
    <n v="102"/>
    <s v="_x0000_US"/>
  </r>
  <r>
    <x v="1"/>
    <n v="13.6904"/>
    <n v="-89.221100000000007"/>
    <n v="49860"/>
    <n v="0"/>
    <n v="0"/>
    <n v="102"/>
    <s v="_x0000_US"/>
  </r>
  <r>
    <x v="1"/>
    <n v="13.690300000000001"/>
    <n v="-89.221100000000007"/>
    <n v="49860"/>
    <n v="0"/>
    <n v="0"/>
    <n v="102"/>
    <s v="_x0000_US"/>
  </r>
  <r>
    <x v="1"/>
    <n v="13.690300000000001"/>
    <n v="-89.221000000000004"/>
    <n v="49860"/>
    <n v="0"/>
    <n v="0"/>
    <n v="102"/>
    <s v="_x0000_US"/>
  </r>
  <r>
    <x v="1"/>
    <n v="13.690300000000001"/>
    <n v="-89.221000000000004"/>
    <n v="49860"/>
    <n v="0"/>
    <n v="0"/>
    <n v="102"/>
    <s v="_x0000_US"/>
  </r>
  <r>
    <x v="1"/>
    <n v="13.690200000000001"/>
    <n v="-89.2209"/>
    <n v="49860"/>
    <n v="0"/>
    <n v="0"/>
    <n v="102"/>
    <s v="_x0000_US"/>
  </r>
  <r>
    <x v="1"/>
    <n v="13.690200000000001"/>
    <n v="-89.220799999999997"/>
    <n v="49860"/>
    <n v="0"/>
    <n v="0"/>
    <n v="102"/>
    <s v="_x0000_US"/>
  </r>
  <r>
    <x v="1"/>
    <n v="13.690099999999999"/>
    <n v="-89.220699999999994"/>
    <n v="49860"/>
    <n v="0"/>
    <n v="0"/>
    <n v="102"/>
    <s v="_x0000_US"/>
  </r>
  <r>
    <x v="1"/>
    <n v="13.690099999999999"/>
    <n v="-89.220600000000005"/>
    <n v="49860"/>
    <n v="0"/>
    <n v="0"/>
    <n v="102"/>
    <s v="_x0000_US"/>
  </r>
  <r>
    <x v="1"/>
    <n v="13.69"/>
    <n v="-89.220500000000001"/>
    <n v="49860"/>
    <n v="0"/>
    <n v="0"/>
    <n v="102"/>
    <s v="_x0000_US"/>
  </r>
  <r>
    <x v="1"/>
    <n v="13.69"/>
    <n v="-89.220500000000001"/>
    <n v="49860"/>
    <n v="0"/>
    <n v="0"/>
    <n v="102"/>
    <s v="_x0000_US"/>
  </r>
  <r>
    <x v="1"/>
    <n v="13.6899"/>
    <n v="-89.220399999999998"/>
    <n v="49860"/>
    <n v="0"/>
    <n v="0"/>
    <n v="102"/>
    <s v="_x0000_US"/>
  </r>
  <r>
    <x v="1"/>
    <n v="13.690099999999999"/>
    <n v="-89.220100000000002"/>
    <n v="49860"/>
    <n v="0"/>
    <n v="0"/>
    <n v="102"/>
    <s v="_x0000_US"/>
  </r>
  <r>
    <x v="1"/>
    <n v="13.690099999999999"/>
    <n v="-89.220200000000006"/>
    <n v="49860"/>
    <n v="0"/>
    <n v="0"/>
    <n v="102"/>
    <s v="_x0000_US"/>
  </r>
  <r>
    <x v="1"/>
    <n v="13.6899"/>
    <n v="-89.220299999999995"/>
    <n v="49860"/>
    <n v="0"/>
    <n v="0"/>
    <n v="102"/>
    <s v="_x0000_US"/>
  </r>
  <r>
    <x v="1"/>
    <n v="13.6898"/>
    <n v="-89.220200000000006"/>
    <n v="49860"/>
    <n v="0"/>
    <n v="0"/>
    <n v="102"/>
    <s v="_x0000_US"/>
  </r>
  <r>
    <x v="1"/>
    <n v="13.6898"/>
    <n v="-89.220100000000002"/>
    <n v="49860"/>
    <n v="0"/>
    <n v="0"/>
    <n v="102"/>
    <s v="_x0000_US"/>
  </r>
  <r>
    <x v="1"/>
    <n v="13.6898"/>
    <n v="-89.221100000000007"/>
    <n v="49860"/>
    <n v="0"/>
    <n v="0"/>
    <n v="102"/>
    <s v="_x0000_US"/>
  </r>
  <r>
    <x v="1"/>
    <n v="13.6898"/>
    <n v="-89.221000000000004"/>
    <n v="49860"/>
    <n v="0"/>
    <n v="0"/>
    <n v="102"/>
    <s v="_x0000_US"/>
  </r>
  <r>
    <x v="1"/>
    <n v="13.6897"/>
    <n v="-89.2209"/>
    <n v="49860"/>
    <n v="0"/>
    <n v="0"/>
    <n v="102"/>
    <s v="_x0000_US"/>
  </r>
  <r>
    <x v="1"/>
    <n v="13.6897"/>
    <n v="-89.220799999999997"/>
    <n v="49860"/>
    <n v="0"/>
    <n v="0"/>
    <n v="102"/>
    <s v="_x0000_US"/>
  </r>
  <r>
    <x v="1"/>
    <n v="13.6897"/>
    <n v="-89.220699999999994"/>
    <n v="49860"/>
    <n v="0"/>
    <n v="0"/>
    <n v="102"/>
    <s v="_x0000_US"/>
  </r>
  <r>
    <x v="1"/>
    <n v="13.6897"/>
    <n v="-89.220600000000005"/>
    <n v="49860"/>
    <n v="0"/>
    <n v="0"/>
    <n v="102"/>
    <s v="_x0000_US"/>
  </r>
  <r>
    <x v="1"/>
    <n v="13.6898"/>
    <n v="-89.221199999999996"/>
    <n v="49860"/>
    <n v="0"/>
    <n v="0"/>
    <n v="102"/>
    <s v="_x0000_US"/>
  </r>
  <r>
    <x v="1"/>
    <n v="13.6898"/>
    <n v="-89.221299999999999"/>
    <n v="49860"/>
    <n v="0"/>
    <n v="0"/>
    <n v="102"/>
    <s v="_x0000_US"/>
  </r>
  <r>
    <x v="1"/>
    <n v="13.6899"/>
    <n v="-89.221199999999996"/>
    <n v="49860"/>
    <n v="0"/>
    <n v="0"/>
    <n v="102"/>
    <s v="_x0000_US"/>
  </r>
  <r>
    <x v="1"/>
    <n v="13.6899"/>
    <n v="-89.221199999999996"/>
    <n v="49860"/>
    <n v="0"/>
    <n v="0"/>
    <n v="102"/>
    <s v="_x0000_US"/>
  </r>
  <r>
    <x v="1"/>
    <n v="13.6898"/>
    <n v="-89.221599999999995"/>
    <n v="49860"/>
    <n v="0"/>
    <n v="0"/>
    <n v="102"/>
    <s v="_x0000_US"/>
  </r>
  <r>
    <x v="1"/>
    <n v="13.6897"/>
    <n v="-89.221599999999995"/>
    <n v="49860"/>
    <n v="0"/>
    <n v="0"/>
    <n v="102"/>
    <s v="_x0000_US"/>
  </r>
  <r>
    <x v="1"/>
    <n v="13.6896"/>
    <n v="-89.221599999999995"/>
    <n v="49860"/>
    <n v="0"/>
    <n v="0"/>
    <n v="102"/>
    <s v="_x0000_US"/>
  </r>
  <r>
    <x v="1"/>
    <n v="13.689500000000001"/>
    <n v="-89.221299999999999"/>
    <n v="49860"/>
    <n v="0"/>
    <n v="0"/>
    <n v="102"/>
    <s v="_x0000_US"/>
  </r>
  <r>
    <x v="1"/>
    <n v="13.689399999999999"/>
    <n v="-89.221599999999995"/>
    <n v="49860"/>
    <n v="0"/>
    <n v="0"/>
    <n v="102"/>
    <s v="_x0000_US"/>
  </r>
  <r>
    <x v="1"/>
    <n v="13.689299999999999"/>
    <n v="-89.221699999999998"/>
    <n v="49860"/>
    <n v="0"/>
    <n v="0"/>
    <n v="102"/>
    <s v="_x0000_US"/>
  </r>
  <r>
    <x v="1"/>
    <n v="13.6892"/>
    <n v="-89.221599999999995"/>
    <n v="49860"/>
    <n v="0"/>
    <n v="0"/>
    <n v="102"/>
    <s v="_x0000_US"/>
  </r>
  <r>
    <x v="1"/>
    <n v="13.6891"/>
    <n v="-89.221699999999998"/>
    <n v="49860"/>
    <n v="0"/>
    <n v="0"/>
    <n v="102"/>
    <s v="_x0000_US"/>
  </r>
  <r>
    <x v="1"/>
    <n v="13.689"/>
    <n v="-89.221699999999998"/>
    <n v="49860"/>
    <n v="0"/>
    <n v="0"/>
    <n v="102"/>
    <s v="_x0000_US"/>
  </r>
  <r>
    <x v="1"/>
    <n v="13.6904"/>
    <n v="-89.221100000000007"/>
    <n v="49860"/>
    <n v="0"/>
    <n v="0"/>
    <n v="102"/>
    <s v="_x0000_US"/>
  </r>
  <r>
    <x v="1"/>
    <n v="13.6904"/>
    <n v="-89.221299999999999"/>
    <n v="49860"/>
    <n v="0"/>
    <n v="0"/>
    <n v="102"/>
    <s v="_x0000_US"/>
  </r>
  <r>
    <x v="1"/>
    <n v="13.690300000000001"/>
    <n v="-89.221299999999999"/>
    <n v="49860"/>
    <n v="0"/>
    <n v="0"/>
    <n v="102"/>
    <s v="_x0000_US"/>
  </r>
  <r>
    <x v="1"/>
    <n v="13.690200000000001"/>
    <n v="-89.221299999999999"/>
    <n v="49860"/>
    <n v="0"/>
    <n v="0"/>
    <n v="102"/>
    <s v="_x0000_US"/>
  </r>
  <r>
    <x v="1"/>
    <n v="13.690200000000001"/>
    <n v="-89.221599999999995"/>
    <n v="49860"/>
    <n v="0"/>
    <n v="0"/>
    <n v="102"/>
    <s v="_x0000_US"/>
  </r>
  <r>
    <x v="1"/>
    <n v="13.690200000000001"/>
    <n v="-89.221299999999999"/>
    <n v="49860"/>
    <n v="0"/>
    <n v="0"/>
    <n v="102"/>
    <s v="_x0000_US"/>
  </r>
  <r>
    <x v="1"/>
    <n v="13.690099999999999"/>
    <n v="-89.221299999999999"/>
    <n v="49860"/>
    <n v="0"/>
    <n v="0"/>
    <n v="102"/>
    <s v="_x0000_US"/>
  </r>
  <r>
    <x v="1"/>
    <n v="13.6898"/>
    <n v="-89.219700000000003"/>
    <n v="49860"/>
    <n v="0"/>
    <n v="0"/>
    <n v="102"/>
    <s v="_x0000_US"/>
  </r>
  <r>
    <x v="1"/>
    <n v="13.6897"/>
    <n v="-89.219399999999993"/>
    <n v="49860"/>
    <n v="0"/>
    <n v="0"/>
    <n v="102"/>
    <s v="_x0000_US"/>
  </r>
  <r>
    <x v="1"/>
    <n v="13.6896"/>
    <n v="-89.219300000000004"/>
    <n v="49860"/>
    <n v="0"/>
    <n v="0"/>
    <n v="102"/>
    <s v="_x0000_US"/>
  </r>
  <r>
    <x v="1"/>
    <n v="13.689399999999999"/>
    <n v="-89.218900000000005"/>
    <n v="49860"/>
    <n v="0"/>
    <n v="0"/>
    <n v="102"/>
    <s v="_x0000_US"/>
  </r>
  <r>
    <x v="1"/>
    <n v="13.689299999999999"/>
    <n v="-89.218699999999998"/>
    <n v="49860"/>
    <n v="0"/>
    <n v="0"/>
    <n v="102"/>
    <s v="_x0000_US"/>
  </r>
  <r>
    <x v="1"/>
    <n v="13.6892"/>
    <n v="-89.218599999999995"/>
    <n v="49860"/>
    <n v="0"/>
    <n v="0"/>
    <n v="102"/>
    <s v="_x0000_US"/>
  </r>
  <r>
    <x v="1"/>
    <n v="13.689"/>
    <n v="-89.218599999999995"/>
    <n v="49860"/>
    <n v="0"/>
    <n v="0"/>
    <n v="102"/>
    <s v="_x0000_US"/>
  </r>
  <r>
    <x v="1"/>
    <n v="13.6889"/>
    <n v="-89.218599999999995"/>
    <n v="49860"/>
    <n v="0"/>
    <n v="0"/>
    <n v="102"/>
    <s v="_x0000_US"/>
  </r>
  <r>
    <x v="1"/>
    <n v="13.688800000000001"/>
    <n v="-89.218599999999995"/>
    <n v="49860"/>
    <n v="0"/>
    <n v="0"/>
    <n v="102"/>
    <s v="_x0000_US"/>
  </r>
  <r>
    <x v="1"/>
    <n v="13.688800000000001"/>
    <n v="-89.218299999999999"/>
    <n v="49860"/>
    <n v="0"/>
    <n v="0"/>
    <n v="102"/>
    <s v="_x0000_US"/>
  </r>
  <r>
    <x v="1"/>
    <n v="13.6891"/>
    <n v="-89.218800000000002"/>
    <n v="49860"/>
    <n v="0"/>
    <n v="0"/>
    <n v="102"/>
    <s v="_x0000_US"/>
  </r>
  <r>
    <x v="1"/>
    <n v="13.689"/>
    <n v="-89.218800000000002"/>
    <n v="49860"/>
    <n v="0"/>
    <n v="0"/>
    <n v="102"/>
    <s v="_x0000_US"/>
  </r>
  <r>
    <x v="1"/>
    <n v="13.6889"/>
    <n v="-89.218900000000005"/>
    <n v="49860"/>
    <n v="0"/>
    <n v="0"/>
    <n v="102"/>
    <s v="_x0000_US"/>
  </r>
  <r>
    <x v="1"/>
    <n v="13.688599999999999"/>
    <n v="-89.218199999999996"/>
    <n v="49860"/>
    <n v="0"/>
    <n v="0"/>
    <n v="102"/>
    <s v="_x0000_US"/>
  </r>
  <r>
    <x v="1"/>
    <n v="13.688499999999999"/>
    <n v="-89.218299999999999"/>
    <n v="49860"/>
    <n v="0"/>
    <n v="0"/>
    <n v="102"/>
    <s v="_x0000_US"/>
  </r>
  <r>
    <x v="1"/>
    <n v="13.6884"/>
    <n v="-89.218299999999999"/>
    <n v="49860"/>
    <n v="0"/>
    <n v="0"/>
    <n v="102"/>
    <s v="_x0000_US"/>
  </r>
  <r>
    <x v="1"/>
    <n v="13.688499999999999"/>
    <n v="-89.218000000000004"/>
    <n v="49860"/>
    <n v="0"/>
    <n v="0"/>
    <n v="102"/>
    <s v="_x0000_US"/>
  </r>
  <r>
    <x v="1"/>
    <n v="13.688499999999999"/>
    <n v="-89.218000000000004"/>
    <n v="49860"/>
    <n v="0"/>
    <n v="0"/>
    <n v="102"/>
    <s v="_x0000_US"/>
  </r>
  <r>
    <x v="1"/>
    <n v="13.6884"/>
    <n v="-89.218000000000004"/>
    <n v="49860"/>
    <n v="0"/>
    <n v="0"/>
    <n v="102"/>
    <s v="_x0000_US"/>
  </r>
  <r>
    <x v="1"/>
    <n v="13.6884"/>
    <n v="-89.218000000000004"/>
    <n v="49860"/>
    <n v="0"/>
    <n v="0"/>
    <n v="102"/>
    <s v="_x0000_US"/>
  </r>
  <r>
    <x v="1"/>
    <n v="13.688599999999999"/>
    <n v="-89.218000000000004"/>
    <n v="49860"/>
    <n v="0"/>
    <n v="0"/>
    <n v="102"/>
    <s v="_x0000_US"/>
  </r>
  <r>
    <x v="1"/>
    <n v="13.688599999999999"/>
    <n v="-89.218000000000004"/>
    <n v="49860"/>
    <n v="0"/>
    <n v="0"/>
    <n v="102"/>
    <s v="_x0000_US"/>
  </r>
  <r>
    <x v="1"/>
    <n v="13.688499999999999"/>
    <n v="-89.2179"/>
    <n v="49860"/>
    <n v="0"/>
    <n v="0"/>
    <n v="102"/>
    <s v="_x0000_US"/>
  </r>
  <r>
    <x v="1"/>
    <n v="13.688499999999999"/>
    <n v="-89.2179"/>
    <n v="49860"/>
    <n v="0"/>
    <n v="0"/>
    <n v="102"/>
    <s v="_x0000_US"/>
  </r>
  <r>
    <x v="1"/>
    <n v="13.6884"/>
    <n v="-89.218000000000004"/>
    <n v="49860"/>
    <n v="0"/>
    <n v="0"/>
    <n v="102"/>
    <s v="_x0000_US"/>
  </r>
  <r>
    <x v="1"/>
    <n v="13.6883"/>
    <n v="-89.218100000000007"/>
    <n v="49860"/>
    <n v="0"/>
    <n v="0"/>
    <n v="102"/>
    <s v="_x0000_US"/>
  </r>
  <r>
    <x v="1"/>
    <n v="13.6883"/>
    <n v="-89.218000000000004"/>
    <n v="49860"/>
    <n v="0"/>
    <n v="0"/>
    <n v="102"/>
    <s v="_x0000_US"/>
  </r>
  <r>
    <x v="1"/>
    <n v="13.6883"/>
    <n v="-89.218000000000004"/>
    <n v="49860"/>
    <n v="0"/>
    <n v="0"/>
    <n v="102"/>
    <s v="_x0000_US"/>
  </r>
  <r>
    <x v="1"/>
    <n v="13.6884"/>
    <n v="-89.2179"/>
    <n v="49860"/>
    <n v="0"/>
    <n v="0"/>
    <n v="102"/>
    <s v="_x0000_US"/>
  </r>
  <r>
    <x v="1"/>
    <n v="13.6884"/>
    <n v="-89.2179"/>
    <n v="49860"/>
    <n v="0"/>
    <n v="0"/>
    <n v="102"/>
    <s v="_x0000_US"/>
  </r>
  <r>
    <x v="1"/>
    <n v="13.6884"/>
    <n v="-89.217799999999997"/>
    <n v="49860"/>
    <n v="0"/>
    <n v="0"/>
    <n v="102"/>
    <s v="_x0000_US"/>
  </r>
  <r>
    <x v="1"/>
    <n v="13.6884"/>
    <n v="-89.217699999999994"/>
    <n v="49860"/>
    <n v="0"/>
    <n v="0"/>
    <n v="102"/>
    <s v="_x0000_US"/>
  </r>
  <r>
    <x v="1"/>
    <n v="13.6883"/>
    <n v="-89.217799999999997"/>
    <n v="49860"/>
    <n v="0"/>
    <n v="0"/>
    <n v="102"/>
    <s v="_x0000_US"/>
  </r>
  <r>
    <x v="1"/>
    <n v="13.6883"/>
    <n v="-89.217799999999997"/>
    <n v="49860"/>
    <n v="0"/>
    <n v="0"/>
    <n v="102"/>
    <s v="_x0000_US"/>
  </r>
  <r>
    <x v="1"/>
    <n v="13.6883"/>
    <n v="-89.2179"/>
    <n v="49860"/>
    <n v="0"/>
    <n v="0"/>
    <n v="102"/>
    <s v="_x0000_US"/>
  </r>
  <r>
    <x v="1"/>
    <n v="13.6883"/>
    <n v="-89.2179"/>
    <n v="49860"/>
    <n v="0"/>
    <n v="0"/>
    <n v="102"/>
    <s v="_x0000_US"/>
  </r>
  <r>
    <x v="1"/>
    <n v="13.6883"/>
    <n v="-89.217799999999997"/>
    <n v="49860"/>
    <n v="0"/>
    <n v="0"/>
    <n v="102"/>
    <s v="_x0000_US"/>
  </r>
  <r>
    <x v="1"/>
    <n v="13.6884"/>
    <n v="-89.217699999999994"/>
    <n v="49860"/>
    <n v="0"/>
    <n v="0"/>
    <n v="102"/>
    <s v="_x0000_US"/>
  </r>
  <r>
    <x v="1"/>
    <n v="13.6883"/>
    <n v="-89.217699999999994"/>
    <n v="49860"/>
    <n v="0"/>
    <n v="0"/>
    <n v="102"/>
    <s v="_x0000_US"/>
  </r>
  <r>
    <x v="1"/>
    <n v="13.6883"/>
    <n v="-89.217699999999994"/>
    <n v="49860"/>
    <n v="0"/>
    <n v="0"/>
    <n v="102"/>
    <s v="_x0000_US"/>
  </r>
  <r>
    <x v="1"/>
    <n v="13.6884"/>
    <n v="-89.217600000000004"/>
    <n v="49860"/>
    <n v="0"/>
    <n v="0"/>
    <n v="102"/>
    <s v="_x0000_US"/>
  </r>
  <r>
    <x v="1"/>
    <n v="13.6883"/>
    <n v="-89.217600000000004"/>
    <n v="49860"/>
    <n v="0"/>
    <n v="0"/>
    <n v="102"/>
    <s v="_x0000_US"/>
  </r>
  <r>
    <x v="1"/>
    <n v="13.6883"/>
    <n v="-89.217600000000004"/>
    <n v="49860"/>
    <n v="0"/>
    <n v="0"/>
    <n v="102"/>
    <s v="_x0000_US"/>
  </r>
  <r>
    <x v="1"/>
    <n v="13.688599999999999"/>
    <n v="-89.219099999999997"/>
    <n v="49860"/>
    <n v="0"/>
    <n v="0"/>
    <n v="102"/>
    <s v="_x0000_US"/>
  </r>
  <r>
    <x v="1"/>
    <n v="13.688499999999999"/>
    <n v="-89.219099999999997"/>
    <n v="49860"/>
    <n v="0"/>
    <n v="0"/>
    <n v="102"/>
    <s v="_x0000_US"/>
  </r>
  <r>
    <x v="1"/>
    <n v="13.6884"/>
    <n v="-89.219200000000001"/>
    <n v="49860"/>
    <n v="0"/>
    <n v="0"/>
    <n v="102"/>
    <s v="_x0000_US"/>
  </r>
  <r>
    <x v="1"/>
    <n v="13.688599999999999"/>
    <n v="-89.218800000000002"/>
    <n v="49860"/>
    <n v="0"/>
    <n v="0"/>
    <n v="102"/>
    <s v="_x0000_US"/>
  </r>
  <r>
    <x v="1"/>
    <n v="13.688499999999999"/>
    <n v="-89.218800000000002"/>
    <n v="49860"/>
    <n v="0"/>
    <n v="0"/>
    <n v="102"/>
    <s v="_x0000_US"/>
  </r>
  <r>
    <x v="1"/>
    <n v="13.6884"/>
    <n v="-89.218900000000005"/>
    <n v="49860"/>
    <n v="0"/>
    <n v="0"/>
    <n v="102"/>
    <s v="_x0000_US"/>
  </r>
  <r>
    <x v="1"/>
    <n v="13.6883"/>
    <n v="-89.218999999999994"/>
    <n v="49860"/>
    <n v="0"/>
    <n v="0"/>
    <n v="102"/>
    <s v="_x0000_US"/>
  </r>
  <r>
    <x v="1"/>
    <n v="13.6883"/>
    <n v="-89.218900000000005"/>
    <n v="49860"/>
    <n v="0"/>
    <n v="0"/>
    <n v="102"/>
    <s v="_x0000_US"/>
  </r>
  <r>
    <x v="1"/>
    <n v="13.6884"/>
    <n v="-89.218599999999995"/>
    <n v="49860"/>
    <n v="0"/>
    <n v="0"/>
    <n v="102"/>
    <s v="_x0000_US"/>
  </r>
  <r>
    <x v="1"/>
    <n v="13.688499999999999"/>
    <n v="-89.218599999999995"/>
    <n v="49860"/>
    <n v="0"/>
    <n v="0"/>
    <n v="102"/>
    <s v="_x0000_US"/>
  </r>
  <r>
    <x v="1"/>
    <n v="13.688499999999999"/>
    <n v="-89.218500000000006"/>
    <n v="49860"/>
    <n v="0"/>
    <n v="0"/>
    <n v="102"/>
    <s v="_x0000_US"/>
  </r>
  <r>
    <x v="1"/>
    <n v="13.688599999999999"/>
    <n v="-89.218500000000006"/>
    <n v="49860"/>
    <n v="0"/>
    <n v="0"/>
    <n v="102"/>
    <s v="_x0000_US"/>
  </r>
  <r>
    <x v="1"/>
    <n v="13.6883"/>
    <n v="-89.218299999999999"/>
    <n v="49860"/>
    <n v="0"/>
    <n v="0"/>
    <n v="102"/>
    <s v="_x0000_US"/>
  </r>
  <r>
    <x v="1"/>
    <n v="13.6882"/>
    <n v="-89.218299999999999"/>
    <n v="49860"/>
    <n v="0"/>
    <n v="0"/>
    <n v="102"/>
    <s v="_x0000_US"/>
  </r>
  <r>
    <x v="1"/>
    <n v="13.6882"/>
    <n v="-89.218599999999995"/>
    <n v="49860"/>
    <n v="0"/>
    <n v="0"/>
    <n v="102"/>
    <s v="_x0000_US"/>
  </r>
  <r>
    <x v="1"/>
    <n v="13.6882"/>
    <n v="-89.218800000000002"/>
    <n v="49860"/>
    <n v="0"/>
    <n v="0"/>
    <n v="102"/>
    <s v="_x0000_US"/>
  </r>
  <r>
    <x v="1"/>
    <n v="13.6883"/>
    <n v="-89.218800000000002"/>
    <n v="49860"/>
    <n v="0"/>
    <n v="0"/>
    <n v="102"/>
    <s v="_x0000_US"/>
  </r>
  <r>
    <x v="1"/>
    <n v="13.6882"/>
    <n v="-89.219300000000004"/>
    <n v="49860"/>
    <n v="0"/>
    <n v="0"/>
    <n v="102"/>
    <s v="_x0000_US"/>
  </r>
  <r>
    <x v="1"/>
    <n v="13.6884"/>
    <n v="-89.219499999999996"/>
    <n v="49860"/>
    <n v="0"/>
    <n v="0"/>
    <n v="102"/>
    <s v="_x0000_US"/>
  </r>
  <r>
    <x v="1"/>
    <n v="13.6883"/>
    <n v="-89.2196"/>
    <n v="49860"/>
    <n v="0"/>
    <n v="0"/>
    <n v="102"/>
    <s v="_x0000_US"/>
  </r>
  <r>
    <x v="1"/>
    <n v="13.6883"/>
    <n v="-89.219700000000003"/>
    <n v="49860"/>
    <n v="0"/>
    <n v="0"/>
    <n v="102"/>
    <s v="_x0000_US"/>
  </r>
  <r>
    <x v="1"/>
    <n v="13.6882"/>
    <n v="-89.219700000000003"/>
    <n v="49860"/>
    <n v="0"/>
    <n v="0"/>
    <n v="102"/>
    <s v="_x0000_US"/>
  </r>
  <r>
    <x v="1"/>
    <n v="13.6881"/>
    <n v="-89.219800000000006"/>
    <n v="49860"/>
    <n v="0"/>
    <n v="0"/>
    <n v="102"/>
    <s v="_x0000_US"/>
  </r>
  <r>
    <x v="1"/>
    <n v="13.6882"/>
    <n v="-89.219300000000004"/>
    <n v="49860"/>
    <n v="0"/>
    <n v="0"/>
    <n v="102"/>
    <s v="_x0000_US"/>
  </r>
  <r>
    <x v="1"/>
    <n v="13.6883"/>
    <n v="-89.219899999999996"/>
    <n v="49860"/>
    <n v="0"/>
    <n v="0"/>
    <n v="102"/>
    <s v="_x0000_US"/>
  </r>
  <r>
    <x v="1"/>
    <n v="13.6882"/>
    <n v="-89.22"/>
    <n v="49860"/>
    <n v="0"/>
    <n v="0"/>
    <n v="102"/>
    <s v="_x0000_US"/>
  </r>
  <r>
    <x v="1"/>
    <n v="13.6881"/>
    <n v="-89.220100000000002"/>
    <n v="49860"/>
    <n v="0"/>
    <n v="0"/>
    <n v="102"/>
    <s v="_x0000_US"/>
  </r>
  <r>
    <x v="1"/>
    <n v="13.6883"/>
    <n v="-89.220699999999994"/>
    <n v="49860"/>
    <n v="0"/>
    <n v="0"/>
    <n v="102"/>
    <s v="_x0000_US"/>
  </r>
  <r>
    <x v="1"/>
    <n v="13.6883"/>
    <n v="-89.220600000000005"/>
    <n v="49860"/>
    <n v="0"/>
    <n v="0"/>
    <n v="102"/>
    <s v="_x0000_US"/>
  </r>
  <r>
    <x v="1"/>
    <n v="13.6884"/>
    <n v="-89.220200000000006"/>
    <n v="49860"/>
    <n v="0"/>
    <n v="0"/>
    <n v="102"/>
    <s v="_x0000_US"/>
  </r>
  <r>
    <x v="1"/>
    <n v="13.6881"/>
    <n v="-89.219800000000006"/>
    <n v="49860"/>
    <n v="0"/>
    <n v="0"/>
    <n v="102"/>
    <s v="_x0000_US"/>
  </r>
  <r>
    <x v="1"/>
    <n v="13.6882"/>
    <n v="-89.217600000000004"/>
    <n v="49860"/>
    <n v="0"/>
    <n v="0"/>
    <n v="102"/>
    <s v="_x0000_US"/>
  </r>
  <r>
    <x v="1"/>
    <n v="13.6882"/>
    <n v="-89.217699999999994"/>
    <n v="49860"/>
    <n v="0"/>
    <n v="0"/>
    <n v="102"/>
    <s v="_x0000_US"/>
  </r>
  <r>
    <x v="1"/>
    <n v="13.6883"/>
    <n v="-89.217799999999997"/>
    <n v="49860"/>
    <n v="0"/>
    <n v="0"/>
    <n v="102"/>
    <s v="_x0000_US"/>
  </r>
  <r>
    <x v="1"/>
    <n v="13.6882"/>
    <n v="-89.217799999999997"/>
    <n v="49860"/>
    <n v="0"/>
    <n v="0"/>
    <n v="102"/>
    <s v="_x0000_US"/>
  </r>
  <r>
    <x v="1"/>
    <n v="13.6882"/>
    <n v="-89.2179"/>
    <n v="49860"/>
    <n v="0"/>
    <n v="0"/>
    <n v="102"/>
    <s v="_x0000_US"/>
  </r>
  <r>
    <x v="1"/>
    <n v="13.6882"/>
    <n v="-89.2179"/>
    <n v="49860"/>
    <n v="0"/>
    <n v="0"/>
    <n v="102"/>
    <s v="_x0000_US"/>
  </r>
  <r>
    <x v="1"/>
    <n v="13.6882"/>
    <n v="-89.218000000000004"/>
    <n v="49860"/>
    <n v="0"/>
    <n v="0"/>
    <n v="102"/>
    <s v="_x0000_US"/>
  </r>
  <r>
    <x v="1"/>
    <n v="13.6882"/>
    <n v="-89.218000000000004"/>
    <n v="49860"/>
    <n v="0"/>
    <n v="0"/>
    <n v="102"/>
    <s v="_x0000_US"/>
  </r>
  <r>
    <x v="1"/>
    <n v="13.6881"/>
    <n v="-89.218000000000004"/>
    <n v="49860"/>
    <n v="0"/>
    <n v="0"/>
    <n v="102"/>
    <s v="_x0000_US"/>
  </r>
  <r>
    <x v="1"/>
    <n v="13.6881"/>
    <n v="-89.2179"/>
    <n v="49860"/>
    <n v="0"/>
    <n v="0"/>
    <n v="102"/>
    <s v="_x0000_US"/>
  </r>
  <r>
    <x v="1"/>
    <n v="13.6881"/>
    <n v="-89.2179"/>
    <n v="49860"/>
    <n v="0"/>
    <n v="0"/>
    <n v="102"/>
    <s v="_x0000_US"/>
  </r>
  <r>
    <x v="1"/>
    <n v="13.6882"/>
    <n v="-89.218000000000004"/>
    <n v="49860"/>
    <n v="0"/>
    <n v="0"/>
    <n v="102"/>
    <s v="_x0000_US"/>
  </r>
  <r>
    <x v="1"/>
    <n v="13.6882"/>
    <n v="-89.218100000000007"/>
    <n v="49860"/>
    <n v="0"/>
    <n v="0"/>
    <n v="102"/>
    <s v="_x0000_US"/>
  </r>
  <r>
    <x v="1"/>
    <n v="13.6882"/>
    <n v="-89.218199999999996"/>
    <n v="49860"/>
    <n v="0"/>
    <n v="0"/>
    <n v="102"/>
    <s v="_x0000_US"/>
  </r>
  <r>
    <x v="1"/>
    <n v="13.6882"/>
    <n v="-89.218100000000007"/>
    <n v="49860"/>
    <n v="0"/>
    <n v="0"/>
    <n v="102"/>
    <s v="_x0000_US"/>
  </r>
  <r>
    <x v="1"/>
    <n v="13.6882"/>
    <n v="-89.218000000000004"/>
    <n v="49860"/>
    <n v="0"/>
    <n v="0"/>
    <n v="102"/>
    <s v="_x0000_US"/>
  </r>
  <r>
    <x v="1"/>
    <n v="13.6877"/>
    <n v="-89.217699999999994"/>
    <n v="49860"/>
    <n v="0"/>
    <n v="0"/>
    <n v="102"/>
    <s v="_x0000_US"/>
  </r>
  <r>
    <x v="1"/>
    <n v="13.6881"/>
    <n v="-89.211100000000002"/>
    <n v="36700"/>
    <n v="0"/>
    <n v="0"/>
    <n v="102"/>
    <s v="_x0000_US"/>
  </r>
  <r>
    <x v="1"/>
    <n v="13.6881"/>
    <n v="-89.211100000000002"/>
    <n v="36700"/>
    <n v="0"/>
    <n v="0"/>
    <n v="102"/>
    <s v="_x0000_US"/>
  </r>
  <r>
    <x v="1"/>
    <n v="13.6881"/>
    <n v="-89.211100000000002"/>
    <n v="36700"/>
    <n v="0"/>
    <n v="0"/>
    <n v="102"/>
    <s v="_x0000_US"/>
  </r>
  <r>
    <x v="1"/>
    <n v="13.6881"/>
    <n v="-89.211100000000002"/>
    <n v="36700"/>
    <n v="0"/>
    <n v="0"/>
    <n v="102"/>
    <s v="_x0000_US"/>
  </r>
  <r>
    <x v="1"/>
    <n v="13.6881"/>
    <n v="-89.210999999999999"/>
    <n v="36700"/>
    <n v="0"/>
    <n v="0"/>
    <n v="102"/>
    <s v="_x0000_US"/>
  </r>
  <r>
    <x v="1"/>
    <n v="13.6881"/>
    <n v="-89.210999999999999"/>
    <n v="36700"/>
    <n v="0"/>
    <n v="0"/>
    <n v="102"/>
    <s v="_x0000_US"/>
  </r>
  <r>
    <x v="1"/>
    <n v="13.6881"/>
    <n v="-89.210999999999999"/>
    <n v="36700"/>
    <n v="0"/>
    <n v="0"/>
    <n v="102"/>
    <s v="_x0000_US"/>
  </r>
  <r>
    <x v="1"/>
    <n v="13.6881"/>
    <n v="-89.210999999999999"/>
    <n v="36700"/>
    <n v="0"/>
    <n v="0"/>
    <n v="102"/>
    <s v="_x0000_US"/>
  </r>
  <r>
    <x v="1"/>
    <n v="13.6881"/>
    <n v="-89.210899999999995"/>
    <n v="36700"/>
    <n v="0"/>
    <n v="0"/>
    <n v="102"/>
    <s v="_x0000_US"/>
  </r>
  <r>
    <x v="1"/>
    <n v="13.6881"/>
    <n v="-89.210899999999995"/>
    <n v="36700"/>
    <n v="0"/>
    <n v="0"/>
    <n v="102"/>
    <s v="_x0000_US"/>
  </r>
  <r>
    <x v="1"/>
    <n v="13.6881"/>
    <n v="-89.210899999999995"/>
    <n v="36700"/>
    <n v="0"/>
    <n v="0"/>
    <n v="102"/>
    <s v="_x0000_US"/>
  </r>
  <r>
    <x v="1"/>
    <n v="13.6881"/>
    <n v="-89.210899999999995"/>
    <n v="36700"/>
    <n v="0"/>
    <n v="0"/>
    <n v="102"/>
    <s v="_x0000_US"/>
  </r>
  <r>
    <x v="1"/>
    <n v="13.6881"/>
    <n v="-89.210800000000006"/>
    <n v="36700"/>
    <n v="0"/>
    <n v="0"/>
    <n v="102"/>
    <s v="_x0000_US"/>
  </r>
  <r>
    <x v="1"/>
    <n v="13.6881"/>
    <n v="-89.210800000000006"/>
    <n v="36700"/>
    <n v="0"/>
    <n v="0"/>
    <n v="102"/>
    <s v="_x0000_US"/>
  </r>
  <r>
    <x v="1"/>
    <n v="13.6881"/>
    <n v="-89.210800000000006"/>
    <n v="36700"/>
    <n v="0"/>
    <n v="0"/>
    <n v="102"/>
    <s v="_x0000_US"/>
  </r>
  <r>
    <x v="1"/>
    <n v="13.6881"/>
    <n v="-89.210800000000006"/>
    <n v="36700"/>
    <n v="0"/>
    <n v="0"/>
    <n v="102"/>
    <s v="_x0000_US"/>
  </r>
  <r>
    <x v="1"/>
    <n v="13.6881"/>
    <n v="-89.210700000000003"/>
    <n v="36700"/>
    <n v="0"/>
    <n v="0"/>
    <n v="102"/>
    <s v="_x0000_US"/>
  </r>
  <r>
    <x v="1"/>
    <n v="13.6881"/>
    <n v="-89.210700000000003"/>
    <n v="36700"/>
    <n v="0"/>
    <n v="0"/>
    <n v="102"/>
    <s v="_x0000_US"/>
  </r>
  <r>
    <x v="1"/>
    <n v="13.6881"/>
    <n v="-89.210700000000003"/>
    <n v="36700"/>
    <n v="0"/>
    <n v="0"/>
    <n v="102"/>
    <s v="_x0000_US"/>
  </r>
  <r>
    <x v="1"/>
    <n v="13.6881"/>
    <n v="-89.210700000000003"/>
    <n v="36700"/>
    <n v="0"/>
    <n v="0"/>
    <n v="102"/>
    <s v="_x0000_US"/>
  </r>
  <r>
    <x v="1"/>
    <n v="13.6881"/>
    <n v="-89.210599999999999"/>
    <n v="36700"/>
    <n v="0"/>
    <n v="0"/>
    <n v="102"/>
    <s v="_x0000_US"/>
  </r>
  <r>
    <x v="1"/>
    <n v="13.6881"/>
    <n v="-89.210599999999999"/>
    <n v="36700"/>
    <n v="0"/>
    <n v="0"/>
    <n v="102"/>
    <s v="_x0000_US"/>
  </r>
  <r>
    <x v="1"/>
    <n v="13.6881"/>
    <n v="-89.210599999999999"/>
    <n v="36700"/>
    <n v="0"/>
    <n v="0"/>
    <n v="102"/>
    <s v="_x0000_US"/>
  </r>
  <r>
    <x v="1"/>
    <n v="13.6881"/>
    <n v="-89.210599999999999"/>
    <n v="36700"/>
    <n v="0"/>
    <n v="0"/>
    <n v="102"/>
    <s v="_x0000_US"/>
  </r>
  <r>
    <x v="1"/>
    <n v="13.6881"/>
    <n v="-89.210499999999996"/>
    <n v="36700"/>
    <n v="0"/>
    <n v="0"/>
    <n v="102"/>
    <s v="_x0000_US"/>
  </r>
  <r>
    <x v="1"/>
    <n v="13.6881"/>
    <n v="-89.210499999999996"/>
    <n v="36700"/>
    <n v="0"/>
    <n v="0"/>
    <n v="102"/>
    <s v="_x0000_US"/>
  </r>
  <r>
    <x v="1"/>
    <n v="13.6881"/>
    <n v="-89.210499999999996"/>
    <n v="36700"/>
    <n v="0"/>
    <n v="0"/>
    <n v="102"/>
    <s v="_x0000_US"/>
  </r>
  <r>
    <x v="1"/>
    <n v="13.6881"/>
    <n v="-89.210499999999996"/>
    <n v="36700"/>
    <n v="0"/>
    <n v="0"/>
    <n v="102"/>
    <s v="_x0000_US"/>
  </r>
  <r>
    <x v="1"/>
    <n v="13.6881"/>
    <n v="-89.210400000000007"/>
    <n v="36700"/>
    <n v="0"/>
    <n v="0"/>
    <n v="102"/>
    <s v="_x0000_US"/>
  </r>
  <r>
    <x v="1"/>
    <n v="13.6881"/>
    <n v="-89.210400000000007"/>
    <n v="36700"/>
    <n v="0"/>
    <n v="0"/>
    <n v="102"/>
    <s v="_x0000_US"/>
  </r>
  <r>
    <x v="1"/>
    <n v="13.6881"/>
    <n v="-89.210400000000007"/>
    <n v="36700"/>
    <n v="0"/>
    <n v="0"/>
    <n v="102"/>
    <s v="_x0000_US"/>
  </r>
  <r>
    <x v="1"/>
    <n v="13.6881"/>
    <n v="-89.210400000000007"/>
    <n v="36700"/>
    <n v="0"/>
    <n v="0"/>
    <n v="102"/>
    <s v="_x0000_US"/>
  </r>
  <r>
    <x v="1"/>
    <n v="13.6882"/>
    <n v="-89.210300000000004"/>
    <n v="36700"/>
    <n v="0"/>
    <n v="0"/>
    <n v="102"/>
    <s v="_x0000_US"/>
  </r>
  <r>
    <x v="1"/>
    <n v="13.6882"/>
    <n v="-89.210300000000004"/>
    <n v="36700"/>
    <n v="0"/>
    <n v="0"/>
    <n v="102"/>
    <s v="_x0000_US"/>
  </r>
  <r>
    <x v="1"/>
    <n v="13.6882"/>
    <n v="-89.210300000000004"/>
    <n v="36700"/>
    <n v="0"/>
    <n v="0"/>
    <n v="102"/>
    <s v="_x0000_US"/>
  </r>
  <r>
    <x v="1"/>
    <n v="13.6882"/>
    <n v="-89.210300000000004"/>
    <n v="36700"/>
    <n v="0"/>
    <n v="0"/>
    <n v="102"/>
    <s v="_x0000_US"/>
  </r>
  <r>
    <x v="1"/>
    <n v="13.6882"/>
    <n v="-89.2102"/>
    <n v="36700"/>
    <n v="0"/>
    <n v="0"/>
    <n v="102"/>
    <s v="_x0000_US"/>
  </r>
  <r>
    <x v="1"/>
    <n v="13.6882"/>
    <n v="-89.2102"/>
    <n v="36700"/>
    <n v="0"/>
    <n v="0"/>
    <n v="102"/>
    <s v="_x0000_US"/>
  </r>
  <r>
    <x v="1"/>
    <n v="13.6882"/>
    <n v="-89.2102"/>
    <n v="36700"/>
    <n v="0"/>
    <n v="0"/>
    <n v="102"/>
    <s v="_x0000_US"/>
  </r>
  <r>
    <x v="1"/>
    <n v="13.6881"/>
    <n v="-89.2102"/>
    <n v="36700"/>
    <n v="0"/>
    <n v="0"/>
    <n v="102"/>
    <s v="_x0000_US"/>
  </r>
  <r>
    <x v="1"/>
    <n v="13.6882"/>
    <n v="-89.210099999999997"/>
    <n v="36700"/>
    <n v="0"/>
    <n v="0"/>
    <n v="102"/>
    <s v="_x0000_US"/>
  </r>
  <r>
    <x v="1"/>
    <n v="13.6882"/>
    <n v="-89.210099999999997"/>
    <n v="36700"/>
    <n v="0"/>
    <n v="0"/>
    <n v="102"/>
    <s v="_x0000_US"/>
  </r>
  <r>
    <x v="1"/>
    <n v="13.6882"/>
    <n v="-89.210099999999997"/>
    <n v="36700"/>
    <n v="0"/>
    <n v="0"/>
    <n v="102"/>
    <s v="_x0000_US"/>
  </r>
  <r>
    <x v="1"/>
    <n v="13.6881"/>
    <n v="-89.210099999999997"/>
    <n v="36700"/>
    <n v="0"/>
    <n v="0"/>
    <n v="102"/>
    <s v="_x0000_US"/>
  </r>
  <r>
    <x v="1"/>
    <n v="13.6882"/>
    <n v="-89.21"/>
    <n v="36700"/>
    <n v="0"/>
    <n v="0"/>
    <n v="102"/>
    <s v="_x0000_US"/>
  </r>
  <r>
    <x v="1"/>
    <n v="13.6882"/>
    <n v="-89.21"/>
    <n v="36700"/>
    <n v="0"/>
    <n v="0"/>
    <n v="102"/>
    <s v="_x0000_US"/>
  </r>
  <r>
    <x v="1"/>
    <n v="13.6881"/>
    <n v="-89.21"/>
    <n v="36700"/>
    <n v="0"/>
    <n v="0"/>
    <n v="102"/>
    <s v="_x0000_US"/>
  </r>
  <r>
    <x v="1"/>
    <n v="13.6881"/>
    <n v="-89.21"/>
    <n v="36700"/>
    <n v="0"/>
    <n v="0"/>
    <n v="102"/>
    <s v="_x0000_US"/>
  </r>
  <r>
    <x v="1"/>
    <n v="13.688000000000001"/>
    <n v="-89.211100000000002"/>
    <n v="36700"/>
    <n v="0"/>
    <n v="0"/>
    <n v="102"/>
    <s v="_x0000_US"/>
  </r>
  <r>
    <x v="1"/>
    <n v="13.688000000000001"/>
    <n v="-89.211100000000002"/>
    <n v="36700"/>
    <n v="0"/>
    <n v="0"/>
    <n v="102"/>
    <s v="_x0000_US"/>
  </r>
  <r>
    <x v="1"/>
    <n v="13.687900000000001"/>
    <n v="-89.211100000000002"/>
    <n v="36700"/>
    <n v="0"/>
    <n v="0"/>
    <n v="102"/>
    <s v="_x0000_US"/>
  </r>
  <r>
    <x v="1"/>
    <n v="13.687900000000001"/>
    <n v="-89.211100000000002"/>
    <n v="36700"/>
    <n v="0"/>
    <n v="0"/>
    <n v="102"/>
    <s v="_x0000_US"/>
  </r>
  <r>
    <x v="1"/>
    <n v="13.688000000000001"/>
    <n v="-89.210999999999999"/>
    <n v="36700"/>
    <n v="0"/>
    <n v="0"/>
    <n v="102"/>
    <s v="_x0000_US"/>
  </r>
  <r>
    <x v="1"/>
    <n v="13.687900000000001"/>
    <n v="-89.210999999999999"/>
    <n v="36700"/>
    <n v="0"/>
    <n v="0"/>
    <n v="102"/>
    <s v="_x0000_US"/>
  </r>
  <r>
    <x v="1"/>
    <n v="13.687900000000001"/>
    <n v="-89.210999999999999"/>
    <n v="36700"/>
    <n v="0"/>
    <n v="0"/>
    <n v="102"/>
    <s v="_x0000_US"/>
  </r>
  <r>
    <x v="1"/>
    <n v="13.687900000000001"/>
    <n v="-89.210999999999999"/>
    <n v="36700"/>
    <n v="0"/>
    <n v="0"/>
    <n v="102"/>
    <s v="_x0000_US"/>
  </r>
  <r>
    <x v="1"/>
    <n v="13.687900000000001"/>
    <n v="-89.210899999999995"/>
    <n v="36700"/>
    <n v="0"/>
    <n v="0"/>
    <n v="102"/>
    <s v="_x0000_US"/>
  </r>
  <r>
    <x v="1"/>
    <n v="13.687900000000001"/>
    <n v="-89.210899999999995"/>
    <n v="36700"/>
    <n v="0"/>
    <n v="0"/>
    <n v="102"/>
    <s v="_x0000_US"/>
  </r>
  <r>
    <x v="1"/>
    <n v="13.687900000000001"/>
    <n v="-89.210899999999995"/>
    <n v="36700"/>
    <n v="0"/>
    <n v="0"/>
    <n v="102"/>
    <s v="_x0000_US"/>
  </r>
  <r>
    <x v="1"/>
    <n v="13.687900000000001"/>
    <n v="-89.210899999999995"/>
    <n v="36700"/>
    <n v="0"/>
    <n v="0"/>
    <n v="102"/>
    <s v="_x0000_US"/>
  </r>
  <r>
    <x v="1"/>
    <n v="13.687900000000001"/>
    <n v="-89.210800000000006"/>
    <n v="36700"/>
    <n v="0"/>
    <n v="0"/>
    <n v="102"/>
    <s v="_x0000_US"/>
  </r>
  <r>
    <x v="1"/>
    <n v="13.687900000000001"/>
    <n v="-89.210800000000006"/>
    <n v="36700"/>
    <n v="0"/>
    <n v="0"/>
    <n v="102"/>
    <s v="_x0000_US"/>
  </r>
  <r>
    <x v="1"/>
    <n v="13.687900000000001"/>
    <n v="-89.210800000000006"/>
    <n v="36700"/>
    <n v="0"/>
    <n v="0"/>
    <n v="102"/>
    <s v="_x0000_US"/>
  </r>
  <r>
    <x v="1"/>
    <n v="13.687900000000001"/>
    <n v="-89.210800000000006"/>
    <n v="36700"/>
    <n v="0"/>
    <n v="0"/>
    <n v="102"/>
    <s v="_x0000_US"/>
  </r>
  <r>
    <x v="1"/>
    <n v="13.688000000000001"/>
    <n v="-89.210700000000003"/>
    <n v="36700"/>
    <n v="0"/>
    <n v="0"/>
    <n v="102"/>
    <s v="_x0000_US"/>
  </r>
  <r>
    <x v="1"/>
    <n v="13.688000000000001"/>
    <n v="-89.210700000000003"/>
    <n v="36700"/>
    <n v="0"/>
    <n v="0"/>
    <n v="102"/>
    <s v="_x0000_US"/>
  </r>
  <r>
    <x v="1"/>
    <n v="13.688000000000001"/>
    <n v="-89.210700000000003"/>
    <n v="36700"/>
    <n v="0"/>
    <n v="0"/>
    <n v="102"/>
    <s v="_x0000_US"/>
  </r>
  <r>
    <x v="1"/>
    <n v="13.688000000000001"/>
    <n v="-89.210700000000003"/>
    <n v="36700"/>
    <n v="0"/>
    <n v="0"/>
    <n v="102"/>
    <s v="_x0000_US"/>
  </r>
  <r>
    <x v="1"/>
    <n v="13.688000000000001"/>
    <n v="-89.210599999999999"/>
    <n v="36700"/>
    <n v="0"/>
    <n v="0"/>
    <n v="102"/>
    <s v="_x0000_US"/>
  </r>
  <r>
    <x v="1"/>
    <n v="13.688000000000001"/>
    <n v="-89.210599999999999"/>
    <n v="36700"/>
    <n v="0"/>
    <n v="0"/>
    <n v="102"/>
    <s v="_x0000_US"/>
  </r>
  <r>
    <x v="1"/>
    <n v="13.688000000000001"/>
    <n v="-89.210599999999999"/>
    <n v="36700"/>
    <n v="0"/>
    <n v="0"/>
    <n v="102"/>
    <s v="_x0000_US"/>
  </r>
  <r>
    <x v="1"/>
    <n v="13.688000000000001"/>
    <n v="-89.210599999999999"/>
    <n v="36700"/>
    <n v="0"/>
    <n v="0"/>
    <n v="102"/>
    <s v="_x0000_US"/>
  </r>
  <r>
    <x v="1"/>
    <n v="13.688000000000001"/>
    <n v="-89.210499999999996"/>
    <n v="36700"/>
    <n v="0"/>
    <n v="0"/>
    <n v="102"/>
    <s v="_x0000_US"/>
  </r>
  <r>
    <x v="1"/>
    <n v="13.688000000000001"/>
    <n v="-89.210499999999996"/>
    <n v="36700"/>
    <n v="0"/>
    <n v="0"/>
    <n v="102"/>
    <s v="_x0000_US"/>
  </r>
  <r>
    <x v="1"/>
    <n v="13.688000000000001"/>
    <n v="-89.210499999999996"/>
    <n v="36700"/>
    <n v="0"/>
    <n v="0"/>
    <n v="102"/>
    <s v="_x0000_US"/>
  </r>
  <r>
    <x v="1"/>
    <n v="13.688000000000001"/>
    <n v="-89.210499999999996"/>
    <n v="36700"/>
    <n v="0"/>
    <n v="0"/>
    <n v="102"/>
    <s v="_x0000_US"/>
  </r>
  <r>
    <x v="1"/>
    <n v="13.688000000000001"/>
    <n v="-89.210400000000007"/>
    <n v="36700"/>
    <n v="0"/>
    <n v="0"/>
    <n v="102"/>
    <s v="_x0000_US"/>
  </r>
  <r>
    <x v="1"/>
    <n v="13.688000000000001"/>
    <n v="-89.210400000000007"/>
    <n v="36700"/>
    <n v="0"/>
    <n v="0"/>
    <n v="102"/>
    <s v="_x0000_US"/>
  </r>
  <r>
    <x v="1"/>
    <n v="13.688000000000001"/>
    <n v="-89.210400000000007"/>
    <n v="36700"/>
    <n v="0"/>
    <n v="0"/>
    <n v="102"/>
    <s v="_x0000_US"/>
  </r>
  <r>
    <x v="1"/>
    <n v="13.688000000000001"/>
    <n v="-89.210400000000007"/>
    <n v="36700"/>
    <n v="0"/>
    <n v="0"/>
    <n v="102"/>
    <s v="_x0000_US"/>
  </r>
  <r>
    <x v="1"/>
    <n v="13.688000000000001"/>
    <n v="-89.210300000000004"/>
    <n v="36700"/>
    <n v="0"/>
    <n v="0"/>
    <n v="102"/>
    <s v="_x0000_US"/>
  </r>
  <r>
    <x v="1"/>
    <n v="13.688000000000001"/>
    <n v="-89.210300000000004"/>
    <n v="36700"/>
    <n v="0"/>
    <n v="0"/>
    <n v="102"/>
    <s v="_x0000_US"/>
  </r>
  <r>
    <x v="1"/>
    <n v="13.688000000000001"/>
    <n v="-89.210300000000004"/>
    <n v="36700"/>
    <n v="0"/>
    <n v="0"/>
    <n v="102"/>
    <s v="_x0000_US"/>
  </r>
  <r>
    <x v="1"/>
    <n v="13.688000000000001"/>
    <n v="-89.210300000000004"/>
    <n v="36700"/>
    <n v="0"/>
    <n v="0"/>
    <n v="102"/>
    <s v="_x0000_US"/>
  </r>
  <r>
    <x v="1"/>
    <n v="13.688000000000001"/>
    <n v="-89.2102"/>
    <n v="36700"/>
    <n v="0"/>
    <n v="0"/>
    <n v="102"/>
    <s v="_x0000_US"/>
  </r>
  <r>
    <x v="1"/>
    <n v="13.688000000000001"/>
    <n v="-89.2102"/>
    <n v="36700"/>
    <n v="0"/>
    <n v="0"/>
    <n v="102"/>
    <s v="_x0000_US"/>
  </r>
  <r>
    <x v="1"/>
    <n v="13.688000000000001"/>
    <n v="-89.2102"/>
    <n v="36700"/>
    <n v="0"/>
    <n v="0"/>
    <n v="102"/>
    <s v="_x0000_US"/>
  </r>
  <r>
    <x v="1"/>
    <n v="13.688000000000001"/>
    <n v="-89.2102"/>
    <n v="36700"/>
    <n v="0"/>
    <n v="0"/>
    <n v="102"/>
    <s v="_x0000_US"/>
  </r>
  <r>
    <x v="1"/>
    <n v="13.688000000000001"/>
    <n v="-89.210099999999997"/>
    <n v="36700"/>
    <n v="0"/>
    <n v="0"/>
    <n v="102"/>
    <s v="_x0000_US"/>
  </r>
  <r>
    <x v="1"/>
    <n v="13.688000000000001"/>
    <n v="-89.210099999999997"/>
    <n v="36700"/>
    <n v="0"/>
    <n v="0"/>
    <n v="102"/>
    <s v="_x0000_US"/>
  </r>
  <r>
    <x v="1"/>
    <n v="13.688000000000001"/>
    <n v="-89.210099999999997"/>
    <n v="36700"/>
    <n v="0"/>
    <n v="0"/>
    <n v="102"/>
    <s v="_x0000_US"/>
  </r>
  <r>
    <x v="1"/>
    <n v="13.688000000000001"/>
    <n v="-89.210099999999997"/>
    <n v="36700"/>
    <n v="0"/>
    <n v="0"/>
    <n v="102"/>
    <s v="_x0000_US"/>
  </r>
  <r>
    <x v="1"/>
    <n v="13.688000000000001"/>
    <n v="-89.21"/>
    <n v="36700"/>
    <n v="0"/>
    <n v="0"/>
    <n v="102"/>
    <s v="_x0000_US"/>
  </r>
  <r>
    <x v="1"/>
    <n v="13.688000000000001"/>
    <n v="-89.21"/>
    <n v="36700"/>
    <n v="0"/>
    <n v="0"/>
    <n v="102"/>
    <s v="_x0000_US"/>
  </r>
  <r>
    <x v="1"/>
    <n v="13.688000000000001"/>
    <n v="-89.21"/>
    <n v="36700"/>
    <n v="0"/>
    <n v="0"/>
    <n v="102"/>
    <s v="_x0000_US"/>
  </r>
  <r>
    <x v="1"/>
    <n v="13.688000000000001"/>
    <n v="-89.21"/>
    <n v="36700"/>
    <n v="0"/>
    <n v="0"/>
    <n v="102"/>
    <s v="_x0000_US"/>
  </r>
  <r>
    <x v="1"/>
    <n v="13.687799999999999"/>
    <n v="-89.211100000000002"/>
    <n v="36700"/>
    <n v="0"/>
    <n v="0"/>
    <n v="102"/>
    <s v="_x0000_US"/>
  </r>
  <r>
    <x v="1"/>
    <n v="13.687799999999999"/>
    <n v="-89.211100000000002"/>
    <n v="36700"/>
    <n v="0"/>
    <n v="0"/>
    <n v="102"/>
    <s v="_x0000_US"/>
  </r>
  <r>
    <x v="1"/>
    <n v="13.687799999999999"/>
    <n v="-89.211100000000002"/>
    <n v="36700"/>
    <n v="0"/>
    <n v="0"/>
    <n v="102"/>
    <s v="_x0000_US"/>
  </r>
  <r>
    <x v="1"/>
    <n v="13.687799999999999"/>
    <n v="-89.211100000000002"/>
    <n v="36700"/>
    <n v="0"/>
    <n v="0"/>
    <n v="102"/>
    <s v="_x0000_US"/>
  </r>
  <r>
    <x v="1"/>
    <n v="13.687799999999999"/>
    <n v="-89.210999999999999"/>
    <n v="36700"/>
    <n v="0"/>
    <n v="0"/>
    <n v="102"/>
    <s v="_x0000_US"/>
  </r>
  <r>
    <x v="1"/>
    <n v="13.687799999999999"/>
    <n v="-89.210999999999999"/>
    <n v="36700"/>
    <n v="0"/>
    <n v="0"/>
    <n v="102"/>
    <s v="_x0000_US"/>
  </r>
  <r>
    <x v="1"/>
    <n v="13.687799999999999"/>
    <n v="-89.210999999999999"/>
    <n v="36700"/>
    <n v="0"/>
    <n v="0"/>
    <n v="102"/>
    <s v="_x0000_US"/>
  </r>
  <r>
    <x v="1"/>
    <n v="13.687799999999999"/>
    <n v="-89.210999999999999"/>
    <n v="36700"/>
    <n v="0"/>
    <n v="0"/>
    <n v="102"/>
    <s v="_x0000_US"/>
  </r>
  <r>
    <x v="1"/>
    <n v="13.687799999999999"/>
    <n v="-89.210899999999995"/>
    <n v="36700"/>
    <n v="0"/>
    <n v="0"/>
    <n v="102"/>
    <s v="_x0000_US"/>
  </r>
  <r>
    <x v="1"/>
    <n v="13.687799999999999"/>
    <n v="-89.210899999999995"/>
    <n v="36700"/>
    <n v="0"/>
    <n v="0"/>
    <n v="102"/>
    <s v="_x0000_US"/>
  </r>
  <r>
    <x v="1"/>
    <n v="13.687799999999999"/>
    <n v="-89.210899999999995"/>
    <n v="36700"/>
    <n v="0"/>
    <n v="0"/>
    <n v="102"/>
    <s v="_x0000_US"/>
  </r>
  <r>
    <x v="1"/>
    <n v="13.687799999999999"/>
    <n v="-89.210899999999995"/>
    <n v="36700"/>
    <n v="0"/>
    <n v="0"/>
    <n v="102"/>
    <s v="_x0000_US"/>
  </r>
  <r>
    <x v="1"/>
    <n v="13.687799999999999"/>
    <n v="-89.210899999999995"/>
    <n v="36700"/>
    <n v="0"/>
    <n v="0"/>
    <n v="102"/>
    <s v="_x0000_US"/>
  </r>
  <r>
    <x v="1"/>
    <n v="13.687799999999999"/>
    <n v="-89.210899999999995"/>
    <n v="36700"/>
    <n v="0"/>
    <n v="0"/>
    <n v="102"/>
    <s v="_x0000_US"/>
  </r>
  <r>
    <x v="1"/>
    <n v="13.687799999999999"/>
    <n v="-89.210899999999995"/>
    <n v="36700"/>
    <n v="0"/>
    <n v="0"/>
    <n v="102"/>
    <s v="_x0000_US"/>
  </r>
  <r>
    <x v="1"/>
    <n v="13.687799999999999"/>
    <n v="-89.210899999999995"/>
    <n v="36700"/>
    <n v="0"/>
    <n v="0"/>
    <n v="102"/>
    <s v="_x0000_US"/>
  </r>
  <r>
    <x v="1"/>
    <n v="13.687900000000001"/>
    <n v="-89.210700000000003"/>
    <n v="36700"/>
    <n v="0"/>
    <n v="0"/>
    <n v="102"/>
    <s v="_x0000_US"/>
  </r>
  <r>
    <x v="1"/>
    <n v="13.687799999999999"/>
    <n v="-89.210700000000003"/>
    <n v="36700"/>
    <n v="0"/>
    <n v="0"/>
    <n v="102"/>
    <s v="_x0000_US"/>
  </r>
  <r>
    <x v="1"/>
    <n v="13.687799999999999"/>
    <n v="-89.210700000000003"/>
    <n v="36700"/>
    <n v="0"/>
    <n v="0"/>
    <n v="102"/>
    <s v="_x0000_US"/>
  </r>
  <r>
    <x v="1"/>
    <n v="13.687799999999999"/>
    <n v="-89.210700000000003"/>
    <n v="36700"/>
    <n v="0"/>
    <n v="0"/>
    <n v="102"/>
    <s v="_x0000_US"/>
  </r>
  <r>
    <x v="1"/>
    <n v="13.687900000000001"/>
    <n v="-89.210599999999999"/>
    <n v="36700"/>
    <n v="0"/>
    <n v="0"/>
    <n v="102"/>
    <s v="_x0000_US"/>
  </r>
  <r>
    <x v="1"/>
    <n v="13.687799999999999"/>
    <n v="-89.210599999999999"/>
    <n v="36700"/>
    <n v="0"/>
    <n v="0"/>
    <n v="102"/>
    <s v="_x0000_US"/>
  </r>
  <r>
    <x v="1"/>
    <n v="13.687799999999999"/>
    <n v="-89.210599999999999"/>
    <n v="36700"/>
    <n v="0"/>
    <n v="0"/>
    <n v="102"/>
    <s v="_x0000_US"/>
  </r>
  <r>
    <x v="1"/>
    <n v="13.687799999999999"/>
    <n v="-89.210599999999999"/>
    <n v="36700"/>
    <n v="0"/>
    <n v="0"/>
    <n v="102"/>
    <s v="_x0000_US"/>
  </r>
  <r>
    <x v="1"/>
    <n v="13.687799999999999"/>
    <n v="-89.210499999999996"/>
    <n v="36700"/>
    <n v="0"/>
    <n v="0"/>
    <n v="102"/>
    <s v="_x0000_US"/>
  </r>
  <r>
    <x v="1"/>
    <n v="13.687799999999999"/>
    <n v="-89.210499999999996"/>
    <n v="36700"/>
    <n v="0"/>
    <n v="0"/>
    <n v="102"/>
    <s v="_x0000_US"/>
  </r>
  <r>
    <x v="1"/>
    <n v="13.687799999999999"/>
    <n v="-89.210499999999996"/>
    <n v="36700"/>
    <n v="0"/>
    <n v="0"/>
    <n v="102"/>
    <s v="_x0000_US"/>
  </r>
  <r>
    <x v="1"/>
    <n v="13.687799999999999"/>
    <n v="-89.210499999999996"/>
    <n v="36700"/>
    <n v="0"/>
    <n v="0"/>
    <n v="102"/>
    <s v="_x0000_US"/>
  </r>
  <r>
    <x v="1"/>
    <n v="13.687799999999999"/>
    <n v="-89.210499999999996"/>
    <n v="36700"/>
    <n v="0"/>
    <n v="0"/>
    <n v="102"/>
    <s v="_x0000_US"/>
  </r>
  <r>
    <x v="1"/>
    <n v="13.687799999999999"/>
    <n v="-89.210499999999996"/>
    <n v="36700"/>
    <n v="0"/>
    <n v="0"/>
    <n v="102"/>
    <s v="_x0000_US"/>
  </r>
  <r>
    <x v="1"/>
    <n v="13.687799999999999"/>
    <n v="-89.210499999999996"/>
    <n v="36700"/>
    <n v="0"/>
    <n v="0"/>
    <n v="102"/>
    <s v="_x0000_US"/>
  </r>
  <r>
    <x v="1"/>
    <n v="13.687799999999999"/>
    <n v="-89.210499999999996"/>
    <n v="36700"/>
    <n v="0"/>
    <n v="0"/>
    <n v="102"/>
    <s v="_x0000_US"/>
  </r>
  <r>
    <x v="1"/>
    <n v="13.6877"/>
    <n v="-89.211100000000002"/>
    <n v="36700"/>
    <n v="0"/>
    <n v="0"/>
    <n v="102"/>
    <s v="_x0000_US"/>
  </r>
  <r>
    <x v="1"/>
    <n v="13.6877"/>
    <n v="-89.211100000000002"/>
    <n v="36700"/>
    <n v="0"/>
    <n v="0"/>
    <n v="102"/>
    <s v="_x0000_US"/>
  </r>
  <r>
    <x v="1"/>
    <n v="13.6877"/>
    <n v="-89.211100000000002"/>
    <n v="36700"/>
    <n v="0"/>
    <n v="0"/>
    <n v="102"/>
    <s v="_x0000_US"/>
  </r>
  <r>
    <x v="1"/>
    <n v="13.6876"/>
    <n v="-89.211100000000002"/>
    <n v="36700"/>
    <n v="0"/>
    <n v="0"/>
    <n v="102"/>
    <s v="_x0000_US"/>
  </r>
  <r>
    <x v="1"/>
    <n v="13.6877"/>
    <n v="-89.210999999999999"/>
    <n v="36700"/>
    <n v="0"/>
    <n v="0"/>
    <n v="102"/>
    <s v="_x0000_US"/>
  </r>
  <r>
    <x v="1"/>
    <n v="13.6877"/>
    <n v="-89.210999999999999"/>
    <n v="36700"/>
    <n v="0"/>
    <n v="0"/>
    <n v="102"/>
    <s v="_x0000_US"/>
  </r>
  <r>
    <x v="1"/>
    <n v="13.6877"/>
    <n v="-89.210999999999999"/>
    <n v="36700"/>
    <n v="0"/>
    <n v="0"/>
    <n v="102"/>
    <s v="_x0000_US"/>
  </r>
  <r>
    <x v="1"/>
    <n v="13.6876"/>
    <n v="-89.210999999999999"/>
    <n v="36700"/>
    <n v="0"/>
    <n v="0"/>
    <n v="102"/>
    <s v="_x0000_US"/>
  </r>
  <r>
    <x v="1"/>
    <n v="13.6877"/>
    <n v="-89.210899999999995"/>
    <n v="36700"/>
    <n v="0"/>
    <n v="0"/>
    <n v="102"/>
    <s v="_x0000_US"/>
  </r>
  <r>
    <x v="1"/>
    <n v="13.6877"/>
    <n v="-89.210899999999995"/>
    <n v="36700"/>
    <n v="0"/>
    <n v="0"/>
    <n v="102"/>
    <s v="_x0000_US"/>
  </r>
  <r>
    <x v="1"/>
    <n v="13.6876"/>
    <n v="-89.210899999999995"/>
    <n v="36700"/>
    <n v="0"/>
    <n v="0"/>
    <n v="102"/>
    <s v="_x0000_US"/>
  </r>
  <r>
    <x v="1"/>
    <n v="13.6876"/>
    <n v="-89.210899999999995"/>
    <n v="36700"/>
    <n v="0"/>
    <n v="0"/>
    <n v="102"/>
    <s v="_x0000_US"/>
  </r>
  <r>
    <x v="1"/>
    <n v="13.6877"/>
    <n v="-89.210899999999995"/>
    <n v="36700"/>
    <n v="0"/>
    <n v="0"/>
    <n v="102"/>
    <s v="_x0000_US"/>
  </r>
  <r>
    <x v="1"/>
    <n v="13.6876"/>
    <n v="-89.210899999999995"/>
    <n v="36700"/>
    <n v="0"/>
    <n v="0"/>
    <n v="102"/>
    <s v="_x0000_US"/>
  </r>
  <r>
    <x v="1"/>
    <n v="13.6876"/>
    <n v="-89.210899999999995"/>
    <n v="36700"/>
    <n v="0"/>
    <n v="0"/>
    <n v="102"/>
    <s v="_x0000_US"/>
  </r>
  <r>
    <x v="1"/>
    <n v="13.6876"/>
    <n v="-89.210899999999995"/>
    <n v="36700"/>
    <n v="0"/>
    <n v="0"/>
    <n v="102"/>
    <s v="_x0000_US"/>
  </r>
  <r>
    <x v="1"/>
    <n v="13.6877"/>
    <n v="-89.210700000000003"/>
    <n v="36700"/>
    <n v="0"/>
    <n v="0"/>
    <n v="102"/>
    <s v="_x0000_US"/>
  </r>
  <r>
    <x v="1"/>
    <n v="13.6877"/>
    <n v="-89.210700000000003"/>
    <n v="36700"/>
    <n v="0"/>
    <n v="0"/>
    <n v="102"/>
    <s v="_x0000_US"/>
  </r>
  <r>
    <x v="1"/>
    <n v="13.6877"/>
    <n v="-89.210700000000003"/>
    <n v="36700"/>
    <n v="0"/>
    <n v="0"/>
    <n v="102"/>
    <s v="_x0000_US"/>
  </r>
  <r>
    <x v="1"/>
    <n v="13.6877"/>
    <n v="-89.210700000000003"/>
    <n v="36700"/>
    <n v="0"/>
    <n v="0"/>
    <n v="102"/>
    <s v="_x0000_US"/>
  </r>
  <r>
    <x v="1"/>
    <n v="13.6877"/>
    <n v="-89.210599999999999"/>
    <n v="36700"/>
    <n v="0"/>
    <n v="0"/>
    <n v="102"/>
    <s v="_x0000_US"/>
  </r>
  <r>
    <x v="1"/>
    <n v="13.6877"/>
    <n v="-89.210599999999999"/>
    <n v="36700"/>
    <n v="0"/>
    <n v="0"/>
    <n v="102"/>
    <s v="_x0000_US"/>
  </r>
  <r>
    <x v="1"/>
    <n v="13.6877"/>
    <n v="-89.210599999999999"/>
    <n v="36700"/>
    <n v="0"/>
    <n v="0"/>
    <n v="102"/>
    <s v="_x0000_US"/>
  </r>
  <r>
    <x v="1"/>
    <n v="13.6877"/>
    <n v="-89.210599999999999"/>
    <n v="36700"/>
    <n v="0"/>
    <n v="0"/>
    <n v="102"/>
    <s v="_x0000_US"/>
  </r>
  <r>
    <x v="1"/>
    <n v="13.6877"/>
    <n v="-89.210499999999996"/>
    <n v="36700"/>
    <n v="0"/>
    <n v="0"/>
    <n v="102"/>
    <s v="_x0000_US"/>
  </r>
  <r>
    <x v="1"/>
    <n v="13.6877"/>
    <n v="-89.210499999999996"/>
    <n v="36700"/>
    <n v="0"/>
    <n v="0"/>
    <n v="102"/>
    <s v="_x0000_US"/>
  </r>
  <r>
    <x v="1"/>
    <n v="13.6877"/>
    <n v="-89.210499999999996"/>
    <n v="36700"/>
    <n v="0"/>
    <n v="0"/>
    <n v="102"/>
    <s v="_x0000_US"/>
  </r>
  <r>
    <x v="1"/>
    <n v="13.6877"/>
    <n v="-89.210499999999996"/>
    <n v="36700"/>
    <n v="0"/>
    <n v="0"/>
    <n v="102"/>
    <s v="_x0000_US"/>
  </r>
  <r>
    <x v="1"/>
    <n v="13.6877"/>
    <n v="-89.210499999999996"/>
    <n v="36700"/>
    <n v="0"/>
    <n v="0"/>
    <n v="102"/>
    <s v="_x0000_US"/>
  </r>
  <r>
    <x v="1"/>
    <n v="13.6877"/>
    <n v="-89.210499999999996"/>
    <n v="36700"/>
    <n v="0"/>
    <n v="0"/>
    <n v="102"/>
    <s v="_x0000_US"/>
  </r>
  <r>
    <x v="1"/>
    <n v="13.6877"/>
    <n v="-89.210499999999996"/>
    <n v="36700"/>
    <n v="0"/>
    <n v="0"/>
    <n v="102"/>
    <s v="_x0000_US"/>
  </r>
  <r>
    <x v="1"/>
    <n v="13.6877"/>
    <n v="-89.210499999999996"/>
    <n v="36700"/>
    <n v="0"/>
    <n v="0"/>
    <n v="102"/>
    <s v="_x0000_US"/>
  </r>
  <r>
    <x v="1"/>
    <n v="13.6875"/>
    <n v="-89.210499999999996"/>
    <n v="36700"/>
    <n v="0"/>
    <n v="0"/>
    <n v="102"/>
    <s v="_x0000_US"/>
  </r>
  <r>
    <x v="1"/>
    <n v="13.6875"/>
    <n v="-89.210499999999996"/>
    <n v="36700"/>
    <n v="0"/>
    <n v="0"/>
    <n v="102"/>
    <s v="_x0000_US"/>
  </r>
  <r>
    <x v="1"/>
    <n v="13.6875"/>
    <n v="-89.210499999999996"/>
    <n v="36700"/>
    <n v="0"/>
    <n v="0"/>
    <n v="102"/>
    <s v="_x0000_US"/>
  </r>
  <r>
    <x v="1"/>
    <n v="13.6875"/>
    <n v="-89.210499999999996"/>
    <n v="36700"/>
    <n v="0"/>
    <n v="0"/>
    <n v="102"/>
    <s v="_x0000_US"/>
  </r>
  <r>
    <x v="1"/>
    <n v="13.6876"/>
    <n v="-89.210499999999996"/>
    <n v="36700"/>
    <n v="0"/>
    <n v="0"/>
    <n v="102"/>
    <s v="_x0000_US"/>
  </r>
  <r>
    <x v="1"/>
    <n v="13.6875"/>
    <n v="-89.210499999999996"/>
    <n v="36700"/>
    <n v="0"/>
    <n v="0"/>
    <n v="102"/>
    <s v="_x0000_US"/>
  </r>
  <r>
    <x v="1"/>
    <n v="13.6875"/>
    <n v="-89.210499999999996"/>
    <n v="36700"/>
    <n v="0"/>
    <n v="0"/>
    <n v="102"/>
    <s v="_x0000_US"/>
  </r>
  <r>
    <x v="1"/>
    <n v="13.6875"/>
    <n v="-89.210499999999996"/>
    <n v="36700"/>
    <n v="0"/>
    <n v="0"/>
    <n v="102"/>
    <s v="_x0000_US"/>
  </r>
  <r>
    <x v="1"/>
    <n v="13.6876"/>
    <n v="-89.210599999999999"/>
    <n v="36700"/>
    <n v="0"/>
    <n v="0"/>
    <n v="102"/>
    <s v="_x0000_US"/>
  </r>
  <r>
    <x v="1"/>
    <n v="13.6876"/>
    <n v="-89.210599999999999"/>
    <n v="36700"/>
    <n v="0"/>
    <n v="0"/>
    <n v="102"/>
    <s v="_x0000_US"/>
  </r>
  <r>
    <x v="1"/>
    <n v="13.6875"/>
    <n v="-89.210599999999999"/>
    <n v="36700"/>
    <n v="0"/>
    <n v="0"/>
    <n v="102"/>
    <s v="_x0000_US"/>
  </r>
  <r>
    <x v="1"/>
    <n v="13.6875"/>
    <n v="-89.210599999999999"/>
    <n v="36700"/>
    <n v="0"/>
    <n v="0"/>
    <n v="102"/>
    <s v="_x0000_US"/>
  </r>
  <r>
    <x v="1"/>
    <n v="13.6876"/>
    <n v="-89.210700000000003"/>
    <n v="36700"/>
    <n v="0"/>
    <n v="0"/>
    <n v="102"/>
    <s v="_x0000_US"/>
  </r>
  <r>
    <x v="1"/>
    <n v="13.6875"/>
    <n v="-89.210700000000003"/>
    <n v="36700"/>
    <n v="0"/>
    <n v="0"/>
    <n v="102"/>
    <s v="_x0000_US"/>
  </r>
  <r>
    <x v="1"/>
    <n v="13.6875"/>
    <n v="-89.210700000000003"/>
    <n v="36700"/>
    <n v="0"/>
    <n v="0"/>
    <n v="102"/>
    <s v="_x0000_US"/>
  </r>
  <r>
    <x v="1"/>
    <n v="13.6875"/>
    <n v="-89.210999999999999"/>
    <n v="36700"/>
    <n v="0"/>
    <n v="0"/>
    <n v="102"/>
    <s v="_x0000_US"/>
  </r>
  <r>
    <x v="1"/>
    <n v="13.6875"/>
    <n v="-89.210999999999999"/>
    <n v="36700"/>
    <n v="0"/>
    <n v="0"/>
    <n v="102"/>
    <s v="_x0000_US"/>
  </r>
  <r>
    <x v="1"/>
    <n v="13.6875"/>
    <n v="-89.210999999999999"/>
    <n v="36700"/>
    <n v="0"/>
    <n v="0"/>
    <n v="102"/>
    <s v="_x0000_US"/>
  </r>
  <r>
    <x v="1"/>
    <n v="13.6875"/>
    <n v="-89.210999999999999"/>
    <n v="36700"/>
    <n v="0"/>
    <n v="0"/>
    <n v="102"/>
    <s v="_x0000_US"/>
  </r>
  <r>
    <x v="1"/>
    <n v="13.6875"/>
    <n v="-89.210899999999995"/>
    <n v="36700"/>
    <n v="0"/>
    <n v="0"/>
    <n v="102"/>
    <s v="_x0000_US"/>
  </r>
  <r>
    <x v="1"/>
    <n v="13.6875"/>
    <n v="-89.210899999999995"/>
    <n v="36700"/>
    <n v="0"/>
    <n v="0"/>
    <n v="102"/>
    <s v="_x0000_US"/>
  </r>
  <r>
    <x v="1"/>
    <n v="13.6875"/>
    <n v="-89.210899999999995"/>
    <n v="36700"/>
    <n v="0"/>
    <n v="0"/>
    <n v="102"/>
    <s v="_x0000_US"/>
  </r>
  <r>
    <x v="1"/>
    <n v="13.6875"/>
    <n v="-89.210899999999995"/>
    <n v="36700"/>
    <n v="0"/>
    <n v="0"/>
    <n v="102"/>
    <s v="_x0000_US"/>
  </r>
  <r>
    <x v="1"/>
    <n v="13.6875"/>
    <n v="-89.211100000000002"/>
    <n v="36700"/>
    <n v="0"/>
    <n v="0"/>
    <n v="102"/>
    <s v="_x0000_US"/>
  </r>
  <r>
    <x v="1"/>
    <n v="13.6875"/>
    <n v="-89.211100000000002"/>
    <n v="36700"/>
    <n v="0"/>
    <n v="0"/>
    <n v="102"/>
    <s v="_x0000_US"/>
  </r>
  <r>
    <x v="1"/>
    <n v="13.6875"/>
    <n v="-89.211100000000002"/>
    <n v="36700"/>
    <n v="0"/>
    <n v="0"/>
    <n v="102"/>
    <s v="_x0000_US"/>
  </r>
  <r>
    <x v="1"/>
    <n v="13.6875"/>
    <n v="-89.211100000000002"/>
    <n v="36700"/>
    <n v="0"/>
    <n v="0"/>
    <n v="102"/>
    <s v="_x0000_US"/>
  </r>
  <r>
    <x v="1"/>
    <n v="13.6875"/>
    <n v="-89.211100000000002"/>
    <n v="36700"/>
    <n v="0"/>
    <n v="0"/>
    <n v="102"/>
    <s v="_x0000_US"/>
  </r>
  <r>
    <x v="1"/>
    <n v="13.6875"/>
    <n v="-89.211100000000002"/>
    <n v="36700"/>
    <n v="0"/>
    <n v="0"/>
    <n v="102"/>
    <s v="_x0000_US"/>
  </r>
  <r>
    <x v="1"/>
    <n v="13.6875"/>
    <n v="-89.211100000000002"/>
    <n v="36700"/>
    <n v="0"/>
    <n v="0"/>
    <n v="102"/>
    <s v="_x0000_US"/>
  </r>
  <r>
    <x v="1"/>
    <n v="13.6875"/>
    <n v="-89.211100000000002"/>
    <n v="36700"/>
    <n v="0"/>
    <n v="0"/>
    <n v="102"/>
    <s v="_x0000_US"/>
  </r>
  <r>
    <x v="1"/>
    <n v="13.6929"/>
    <n v="-89.226299999999995"/>
    <n v="24020"/>
    <n v="0"/>
    <n v="0"/>
    <n v="102"/>
    <s v="_x0000_US"/>
  </r>
  <r>
    <x v="1"/>
    <n v="13.69"/>
    <n v="-89.216499999999996"/>
    <n v="11800"/>
    <n v="0"/>
    <n v="0"/>
    <n v="102"/>
    <s v="_x0000_US"/>
  </r>
  <r>
    <x v="1"/>
    <n v="13.6898"/>
    <n v="-89.216499999999996"/>
    <n v="11800"/>
    <n v="0"/>
    <n v="0"/>
    <n v="102"/>
    <s v="_x0000_US"/>
  </r>
  <r>
    <x v="1"/>
    <n v="13.6898"/>
    <n v="-89.216499999999996"/>
    <n v="11800"/>
    <n v="0"/>
    <n v="0"/>
    <n v="102"/>
    <s v="_x0000_US"/>
  </r>
  <r>
    <x v="1"/>
    <n v="13.6898"/>
    <n v="-89.216399999999993"/>
    <n v="11800"/>
    <n v="0"/>
    <n v="0"/>
    <n v="102"/>
    <s v="_x0000_US"/>
  </r>
  <r>
    <x v="1"/>
    <n v="13.6898"/>
    <n v="-89.216200000000001"/>
    <n v="11800"/>
    <n v="0"/>
    <n v="0"/>
    <n v="102"/>
    <s v="_x0000_US"/>
  </r>
  <r>
    <x v="1"/>
    <n v="13.6898"/>
    <n v="-89.216200000000001"/>
    <n v="11800"/>
    <n v="0"/>
    <n v="0"/>
    <n v="102"/>
    <s v="_x0000_US"/>
  </r>
  <r>
    <x v="1"/>
    <n v="13.6899"/>
    <n v="-89.216200000000001"/>
    <n v="11800"/>
    <n v="0"/>
    <n v="0"/>
    <n v="102"/>
    <s v="_x0000_US"/>
  </r>
  <r>
    <x v="1"/>
    <n v="13.6898"/>
    <n v="-89.215999999999994"/>
    <n v="11800"/>
    <n v="0"/>
    <n v="0"/>
    <n v="102"/>
    <s v="_x0000_US"/>
  </r>
  <r>
    <x v="1"/>
    <n v="13.6899"/>
    <n v="-89.215999999999994"/>
    <n v="11800"/>
    <n v="0"/>
    <n v="0"/>
    <n v="102"/>
    <s v="_x0000_US"/>
  </r>
  <r>
    <x v="1"/>
    <n v="13.6899"/>
    <n v="-89.215900000000005"/>
    <n v="11800"/>
    <n v="0"/>
    <n v="0"/>
    <n v="102"/>
    <s v="_x0000_US"/>
  </r>
  <r>
    <x v="1"/>
    <n v="13.69"/>
    <n v="-89.215999999999994"/>
    <n v="11800"/>
    <n v="0"/>
    <n v="0"/>
    <n v="102"/>
    <s v="_x0000_US"/>
  </r>
  <r>
    <x v="1"/>
    <n v="13.69"/>
    <n v="-89.215800000000002"/>
    <n v="11800"/>
    <n v="0"/>
    <n v="0"/>
    <n v="102"/>
    <s v="_x0000_US"/>
  </r>
  <r>
    <x v="1"/>
    <n v="13.6899"/>
    <n v="-89.215800000000002"/>
    <n v="11800"/>
    <n v="0"/>
    <n v="0"/>
    <n v="102"/>
    <s v="_x0000_US"/>
  </r>
  <r>
    <x v="1"/>
    <n v="13.6898"/>
    <n v="-89.215699999999998"/>
    <n v="11800"/>
    <n v="0"/>
    <n v="0"/>
    <n v="102"/>
    <s v="_x0000_US"/>
  </r>
  <r>
    <x v="1"/>
    <n v="13.69"/>
    <n v="-89.215699999999998"/>
    <n v="11800"/>
    <n v="0"/>
    <n v="0"/>
    <n v="102"/>
    <s v="_x0000_US"/>
  </r>
  <r>
    <x v="1"/>
    <n v="13.69"/>
    <n v="-89.215699999999998"/>
    <n v="11800"/>
    <n v="0"/>
    <n v="0"/>
    <n v="102"/>
    <s v="_x0000_US"/>
  </r>
  <r>
    <x v="1"/>
    <n v="13.69"/>
    <n v="-89.215599999999995"/>
    <n v="11800"/>
    <n v="0"/>
    <n v="0"/>
    <n v="102"/>
    <s v="_x0000_US"/>
  </r>
  <r>
    <x v="1"/>
    <n v="13.69"/>
    <n v="-89.215500000000006"/>
    <n v="11800"/>
    <n v="0"/>
    <n v="0"/>
    <n v="102"/>
    <s v="_x0000_US"/>
  </r>
  <r>
    <x v="1"/>
    <n v="13.6899"/>
    <n v="-89.215400000000002"/>
    <n v="11800"/>
    <n v="0"/>
    <n v="0"/>
    <n v="102"/>
    <s v="_x0000_US"/>
  </r>
  <r>
    <x v="1"/>
    <n v="13.69"/>
    <n v="-89.215400000000002"/>
    <n v="11800"/>
    <n v="0"/>
    <n v="0"/>
    <n v="102"/>
    <s v="_x0000_US"/>
  </r>
  <r>
    <x v="1"/>
    <n v="13.6899"/>
    <n v="-89.215400000000002"/>
    <n v="11800"/>
    <n v="0"/>
    <n v="0"/>
    <n v="102"/>
    <s v="_x0000_US"/>
  </r>
  <r>
    <x v="1"/>
    <n v="13.6898"/>
    <n v="-89.215299999999999"/>
    <n v="11800"/>
    <n v="0"/>
    <n v="0"/>
    <n v="102"/>
    <s v="_x0000_US"/>
  </r>
  <r>
    <x v="1"/>
    <n v="13.6898"/>
    <n v="-89.215699999999998"/>
    <n v="11800"/>
    <n v="0"/>
    <n v="0"/>
    <n v="102"/>
    <s v="_x0000_US"/>
  </r>
  <r>
    <x v="1"/>
    <n v="13.6898"/>
    <n v="-89.215599999999995"/>
    <n v="11800"/>
    <n v="0"/>
    <n v="0"/>
    <n v="102"/>
    <s v="_x0000_US"/>
  </r>
  <r>
    <x v="1"/>
    <n v="13.6897"/>
    <n v="-89.215500000000006"/>
    <n v="11800"/>
    <n v="0"/>
    <n v="0"/>
    <n v="102"/>
    <s v="_x0000_US"/>
  </r>
  <r>
    <x v="1"/>
    <n v="13.6896"/>
    <n v="-89.215699999999998"/>
    <n v="11800"/>
    <n v="0"/>
    <n v="0"/>
    <n v="102"/>
    <s v="_x0000_US"/>
  </r>
  <r>
    <x v="1"/>
    <n v="13.6896"/>
    <n v="-89.215800000000002"/>
    <n v="11800"/>
    <n v="0"/>
    <n v="0"/>
    <n v="102"/>
    <s v="_x0000_US"/>
  </r>
  <r>
    <x v="1"/>
    <n v="13.6896"/>
    <n v="-89.215900000000005"/>
    <n v="11800"/>
    <n v="0"/>
    <n v="0"/>
    <n v="102"/>
    <s v="_x0000_US"/>
  </r>
  <r>
    <x v="1"/>
    <n v="13.6896"/>
    <n v="-89.215999999999994"/>
    <n v="11800"/>
    <n v="0"/>
    <n v="0"/>
    <n v="102"/>
    <s v="_x0000_US"/>
  </r>
  <r>
    <x v="1"/>
    <n v="13.689299999999999"/>
    <n v="-89.215800000000002"/>
    <n v="11800"/>
    <n v="0"/>
    <n v="0"/>
    <n v="102"/>
    <s v="_x0000_US"/>
  </r>
  <r>
    <x v="1"/>
    <n v="13.689299999999999"/>
    <n v="-89.215900000000005"/>
    <n v="11800"/>
    <n v="0"/>
    <n v="0"/>
    <n v="102"/>
    <s v="_x0000_US"/>
  </r>
  <r>
    <x v="1"/>
    <n v="13.689399999999999"/>
    <n v="-89.215999999999994"/>
    <n v="11800"/>
    <n v="0"/>
    <n v="0"/>
    <n v="102"/>
    <s v="_x0000_US"/>
  </r>
  <r>
    <x v="1"/>
    <n v="13.689399999999999"/>
    <n v="-89.216099999999997"/>
    <n v="11800"/>
    <n v="0"/>
    <n v="0"/>
    <n v="102"/>
    <s v="_x0000_US"/>
  </r>
  <r>
    <x v="1"/>
    <n v="13.689399999999999"/>
    <n v="-89.216099999999997"/>
    <n v="11800"/>
    <n v="0"/>
    <n v="0"/>
    <n v="102"/>
    <s v="_x0000_US"/>
  </r>
  <r>
    <x v="1"/>
    <n v="13.689399999999999"/>
    <n v="-89.216099999999997"/>
    <n v="11800"/>
    <n v="0"/>
    <n v="0"/>
    <n v="102"/>
    <s v="_x0000_US"/>
  </r>
  <r>
    <x v="1"/>
    <n v="13.689500000000001"/>
    <n v="-89.216099999999997"/>
    <n v="11800"/>
    <n v="0"/>
    <n v="0"/>
    <n v="102"/>
    <s v="_x0000_US"/>
  </r>
  <r>
    <x v="1"/>
    <n v="13.689500000000001"/>
    <n v="-89.215599999999995"/>
    <n v="11800"/>
    <n v="0"/>
    <n v="0"/>
    <n v="102"/>
    <s v="_x0000_US"/>
  </r>
  <r>
    <x v="1"/>
    <n v="13.689500000000001"/>
    <n v="-89.215599999999995"/>
    <n v="11800"/>
    <n v="0"/>
    <n v="0"/>
    <n v="102"/>
    <s v="_x0000_US"/>
  </r>
  <r>
    <x v="1"/>
    <n v="13.689500000000001"/>
    <n v="-89.215500000000006"/>
    <n v="11800"/>
    <n v="0"/>
    <n v="0"/>
    <n v="102"/>
    <s v="_x0000_US"/>
  </r>
  <r>
    <x v="1"/>
    <n v="13.689500000000001"/>
    <n v="-89.215400000000002"/>
    <n v="11800"/>
    <n v="0"/>
    <n v="0"/>
    <n v="102"/>
    <s v="_x0000_US"/>
  </r>
  <r>
    <x v="1"/>
    <n v="13.689399999999999"/>
    <n v="-89.215699999999998"/>
    <n v="11800"/>
    <n v="0"/>
    <n v="0"/>
    <n v="102"/>
    <s v="_x0000_US"/>
  </r>
  <r>
    <x v="1"/>
    <n v="13.689399999999999"/>
    <n v="-89.215599999999995"/>
    <n v="11800"/>
    <n v="0"/>
    <n v="0"/>
    <n v="102"/>
    <s v="_x0000_US"/>
  </r>
  <r>
    <x v="1"/>
    <n v="13.689399999999999"/>
    <n v="-89.215599999999995"/>
    <n v="11800"/>
    <n v="0"/>
    <n v="0"/>
    <n v="102"/>
    <s v="_x0000_US"/>
  </r>
  <r>
    <x v="1"/>
    <n v="13.689299999999999"/>
    <n v="-89.215599999999995"/>
    <n v="11800"/>
    <n v="0"/>
    <n v="0"/>
    <n v="102"/>
    <s v="_x0000_US"/>
  </r>
  <r>
    <x v="1"/>
    <n v="13.689299999999999"/>
    <n v="-89.215599999999995"/>
    <n v="11800"/>
    <n v="0"/>
    <n v="0"/>
    <n v="102"/>
    <s v="_x0000_US"/>
  </r>
  <r>
    <x v="1"/>
    <n v="13.689299999999999"/>
    <n v="-89.215699999999998"/>
    <n v="11800"/>
    <n v="0"/>
    <n v="0"/>
    <n v="102"/>
    <s v="_x0000_US"/>
  </r>
  <r>
    <x v="1"/>
    <n v="13.6892"/>
    <n v="-89.215699999999998"/>
    <n v="11800"/>
    <n v="0"/>
    <n v="0"/>
    <n v="102"/>
    <s v="_x0000_US"/>
  </r>
  <r>
    <x v="1"/>
    <n v="13.6892"/>
    <n v="-89.215599999999995"/>
    <n v="11800"/>
    <n v="0"/>
    <n v="0"/>
    <n v="102"/>
    <s v="_x0000_US"/>
  </r>
  <r>
    <x v="1"/>
    <n v="13.6892"/>
    <n v="-89.215699999999998"/>
    <n v="11800"/>
    <n v="0"/>
    <n v="0"/>
    <n v="102"/>
    <s v="_x0000_US"/>
  </r>
  <r>
    <x v="1"/>
    <n v="13.689299999999999"/>
    <n v="-89.215400000000002"/>
    <n v="11800"/>
    <n v="0"/>
    <n v="0"/>
    <n v="102"/>
    <s v="_x0000_US"/>
  </r>
  <r>
    <x v="1"/>
    <n v="13.6892"/>
    <n v="-89.215299999999999"/>
    <n v="11800"/>
    <n v="0"/>
    <n v="0"/>
    <n v="102"/>
    <s v="_x0000_US"/>
  </r>
  <r>
    <x v="1"/>
    <n v="13.689399999999999"/>
    <n v="-89.215100000000007"/>
    <n v="11800"/>
    <n v="0"/>
    <n v="0"/>
    <n v="102"/>
    <s v="_x0000_US"/>
  </r>
  <r>
    <x v="1"/>
    <n v="13.689299999999999"/>
    <n v="-89.215100000000007"/>
    <n v="11800"/>
    <n v="0"/>
    <n v="0"/>
    <n v="102"/>
    <s v="_x0000_US"/>
  </r>
  <r>
    <x v="1"/>
    <n v="13.689299999999999"/>
    <n v="-89.215199999999996"/>
    <n v="11800"/>
    <n v="0"/>
    <n v="0"/>
    <n v="102"/>
    <s v="_x0000_US"/>
  </r>
  <r>
    <x v="1"/>
    <n v="13.689299999999999"/>
    <n v="-89.215000000000003"/>
    <n v="11800"/>
    <n v="0"/>
    <n v="0"/>
    <n v="102"/>
    <s v="_x0000_US"/>
  </r>
  <r>
    <x v="1"/>
    <n v="13.689299999999999"/>
    <n v="-89.215000000000003"/>
    <n v="11800"/>
    <n v="0"/>
    <n v="0"/>
    <n v="102"/>
    <s v="_x0000_US"/>
  </r>
  <r>
    <x v="1"/>
    <n v="13.6892"/>
    <n v="-89.215000000000003"/>
    <n v="11800"/>
    <n v="0"/>
    <n v="0"/>
    <n v="102"/>
    <s v="_x0000_US"/>
  </r>
  <r>
    <x v="1"/>
    <n v="13.6892"/>
    <n v="-89.215000000000003"/>
    <n v="11800"/>
    <n v="0"/>
    <n v="0"/>
    <n v="102"/>
    <s v="_x0000_US"/>
  </r>
  <r>
    <x v="1"/>
    <n v="13.6891"/>
    <n v="-89.215500000000006"/>
    <n v="11800"/>
    <n v="0"/>
    <n v="0"/>
    <n v="102"/>
    <s v="_x0000_US"/>
  </r>
  <r>
    <x v="1"/>
    <n v="13.688599999999999"/>
    <n v="-89.214200000000005"/>
    <n v="11800"/>
    <n v="0"/>
    <n v="0"/>
    <n v="102"/>
    <s v="_x0000_US"/>
  </r>
  <r>
    <x v="1"/>
    <n v="13.688700000000001"/>
    <n v="-89.214100000000002"/>
    <n v="11800"/>
    <n v="0"/>
    <n v="0"/>
    <n v="102"/>
    <s v="_x0000_US"/>
  </r>
  <r>
    <x v="1"/>
    <n v="13.688599999999999"/>
    <n v="-89.214100000000002"/>
    <n v="11800"/>
    <n v="0"/>
    <n v="0"/>
    <n v="102"/>
    <s v="_x0000_US"/>
  </r>
  <r>
    <x v="1"/>
    <n v="13.688800000000001"/>
    <n v="-89.214100000000002"/>
    <n v="11800"/>
    <n v="0"/>
    <n v="0"/>
    <n v="102"/>
    <s v="_x0000_US"/>
  </r>
  <r>
    <x v="1"/>
    <n v="13.688800000000001"/>
    <n v="-89.214200000000005"/>
    <n v="11800"/>
    <n v="0"/>
    <n v="0"/>
    <n v="102"/>
    <s v="_x0000_US"/>
  </r>
  <r>
    <x v="1"/>
    <n v="13.688800000000001"/>
    <n v="-89.214200000000005"/>
    <n v="11800"/>
    <n v="0"/>
    <n v="0"/>
    <n v="102"/>
    <s v="_x0000_US"/>
  </r>
  <r>
    <x v="1"/>
    <n v="13.688700000000001"/>
    <n v="-89.214100000000002"/>
    <n v="11800"/>
    <n v="0"/>
    <n v="0"/>
    <n v="102"/>
    <s v="_x0000_US"/>
  </r>
  <r>
    <x v="1"/>
    <n v="13.688700000000001"/>
    <n v="-89.214100000000002"/>
    <n v="11800"/>
    <n v="0"/>
    <n v="0"/>
    <n v="102"/>
    <s v="_x0000_US"/>
  </r>
  <r>
    <x v="1"/>
    <n v="13.688599999999999"/>
    <n v="-89.214100000000002"/>
    <n v="11800"/>
    <n v="0"/>
    <n v="0"/>
    <n v="102"/>
    <s v="_x0000_US"/>
  </r>
  <r>
    <x v="1"/>
    <n v="13.688499999999999"/>
    <n v="-89.214100000000002"/>
    <n v="11800"/>
    <n v="0"/>
    <n v="0"/>
    <n v="102"/>
    <s v="_x0000_US"/>
  </r>
  <r>
    <x v="1"/>
    <n v="13.688499999999999"/>
    <n v="-89.213999999999999"/>
    <n v="11800"/>
    <n v="0"/>
    <n v="0"/>
    <n v="102"/>
    <s v="_x0000_US"/>
  </r>
  <r>
    <x v="1"/>
    <n v="13.689299999999999"/>
    <n v="-89.2149"/>
    <n v="11800"/>
    <n v="0"/>
    <n v="0"/>
    <n v="102"/>
    <s v="_x0000_US"/>
  </r>
  <r>
    <x v="1"/>
    <n v="13.6892"/>
    <n v="-89.2149"/>
    <n v="11800"/>
    <n v="0"/>
    <n v="0"/>
    <n v="102"/>
    <s v="_x0000_US"/>
  </r>
  <r>
    <x v="1"/>
    <n v="13.6892"/>
    <n v="-89.214799999999997"/>
    <n v="11800"/>
    <n v="0"/>
    <n v="0"/>
    <n v="102"/>
    <s v="_x0000_US"/>
  </r>
  <r>
    <x v="1"/>
    <n v="13.689"/>
    <n v="-89.214200000000005"/>
    <n v="9850"/>
    <n v="0"/>
    <n v="0"/>
    <n v="102"/>
    <s v="_x0000_US"/>
  </r>
  <r>
    <x v="1"/>
    <n v="13.689"/>
    <n v="-89.214200000000005"/>
    <n v="9850"/>
    <n v="0"/>
    <n v="0"/>
    <n v="102"/>
    <s v="_x0000_US"/>
  </r>
  <r>
    <x v="1"/>
    <n v="13.6889"/>
    <n v="-89.214200000000005"/>
    <n v="9850"/>
    <n v="0"/>
    <n v="0"/>
    <n v="102"/>
    <s v="_x0000_US"/>
  </r>
  <r>
    <x v="1"/>
    <n v="13.688800000000001"/>
    <n v="-89.214100000000002"/>
    <n v="9850"/>
    <n v="0"/>
    <n v="0"/>
    <n v="102"/>
    <s v="_x0000_US"/>
  </r>
  <r>
    <x v="1"/>
    <n v="13.689"/>
    <n v="-89.213999999999999"/>
    <n v="9850"/>
    <n v="0"/>
    <n v="0"/>
    <n v="102"/>
    <s v="_x0000_US"/>
  </r>
  <r>
    <x v="1"/>
    <n v="13.6889"/>
    <n v="-89.214100000000002"/>
    <n v="9850"/>
    <n v="0"/>
    <n v="0"/>
    <n v="102"/>
    <s v="_x0000_US"/>
  </r>
  <r>
    <x v="1"/>
    <n v="13.688800000000001"/>
    <n v="-89.213999999999999"/>
    <n v="9850"/>
    <n v="0"/>
    <n v="0"/>
    <n v="102"/>
    <s v="_x0000_US"/>
  </r>
  <r>
    <x v="1"/>
    <n v="13.688800000000001"/>
    <n v="-89.213999999999999"/>
    <n v="9850"/>
    <n v="0"/>
    <n v="0"/>
    <n v="102"/>
    <s v="_x0000_US"/>
  </r>
  <r>
    <x v="1"/>
    <n v="13.6889"/>
    <n v="-89.213999999999999"/>
    <n v="9850"/>
    <n v="0"/>
    <n v="0"/>
    <n v="102"/>
    <s v="_x0000_US"/>
  </r>
  <r>
    <x v="1"/>
    <n v="13.6889"/>
    <n v="-89.213899999999995"/>
    <n v="9850"/>
    <n v="0"/>
    <n v="0"/>
    <n v="102"/>
    <s v="_x0000_US"/>
  </r>
  <r>
    <x v="1"/>
    <n v="13.6889"/>
    <n v="-89.213800000000006"/>
    <n v="9850"/>
    <n v="0"/>
    <n v="0"/>
    <n v="102"/>
    <s v="_x0000_US"/>
  </r>
  <r>
    <x v="1"/>
    <n v="13.6889"/>
    <n v="-89.213899999999995"/>
    <n v="9850"/>
    <n v="0"/>
    <n v="0"/>
    <n v="102"/>
    <s v="_x0000_US"/>
  </r>
  <r>
    <x v="1"/>
    <n v="13.6889"/>
    <n v="-89.213800000000006"/>
    <n v="9850"/>
    <n v="0"/>
    <n v="0"/>
    <n v="102"/>
    <s v="_x0000_US"/>
  </r>
  <r>
    <x v="1"/>
    <n v="13.6892"/>
    <n v="-89.214200000000005"/>
    <n v="9850"/>
    <n v="0"/>
    <n v="0"/>
    <n v="102"/>
    <s v="_x0000_US"/>
  </r>
  <r>
    <x v="1"/>
    <n v="13.6892"/>
    <n v="-89.214200000000005"/>
    <n v="9850"/>
    <n v="0"/>
    <n v="0"/>
    <n v="102"/>
    <s v="_x0000_US"/>
  </r>
  <r>
    <x v="1"/>
    <n v="13.6891"/>
    <n v="-89.214100000000002"/>
    <n v="9850"/>
    <n v="0"/>
    <n v="0"/>
    <n v="102"/>
    <s v="_x0000_US"/>
  </r>
  <r>
    <x v="1"/>
    <n v="13.6891"/>
    <n v="-89.213999999999999"/>
    <n v="9850"/>
    <n v="0"/>
    <n v="0"/>
    <n v="102"/>
    <s v="_x0000_US"/>
  </r>
  <r>
    <x v="1"/>
    <n v="13.6891"/>
    <n v="-89.213899999999995"/>
    <n v="9850"/>
    <n v="0"/>
    <n v="0"/>
    <n v="102"/>
    <s v="_x0000_US"/>
  </r>
  <r>
    <x v="1"/>
    <n v="13.6891"/>
    <n v="-89.213800000000006"/>
    <n v="9850"/>
    <n v="0"/>
    <n v="0"/>
    <n v="102"/>
    <s v="_x0000_US"/>
  </r>
  <r>
    <x v="1"/>
    <n v="13.6891"/>
    <n v="-89.213700000000003"/>
    <n v="9850"/>
    <n v="0"/>
    <n v="0"/>
    <n v="102"/>
    <s v="_x0000_US"/>
  </r>
  <r>
    <x v="1"/>
    <n v="13.6891"/>
    <n v="-89.2136"/>
    <n v="9850"/>
    <n v="0"/>
    <n v="0"/>
    <n v="102"/>
    <s v="_x0000_US"/>
  </r>
  <r>
    <x v="1"/>
    <n v="13.6892"/>
    <n v="-89.2136"/>
    <n v="9850"/>
    <n v="0"/>
    <n v="0"/>
    <n v="102"/>
    <s v="_x0000_US"/>
  </r>
  <r>
    <x v="1"/>
    <n v="13.689299999999999"/>
    <n v="-89.213499999999996"/>
    <n v="9850"/>
    <n v="0"/>
    <n v="0"/>
    <n v="102"/>
    <s v="_x0000_US"/>
  </r>
  <r>
    <x v="1"/>
    <n v="13.6889"/>
    <n v="-89.213700000000003"/>
    <n v="9850"/>
    <n v="0"/>
    <n v="0"/>
    <n v="102"/>
    <s v="_x0000_US"/>
  </r>
  <r>
    <x v="1"/>
    <n v="13.6889"/>
    <n v="-89.213700000000003"/>
    <n v="9850"/>
    <n v="0"/>
    <n v="0"/>
    <n v="102"/>
    <s v="_x0000_US"/>
  </r>
  <r>
    <x v="1"/>
    <n v="13.6889"/>
    <n v="-89.2136"/>
    <n v="9850"/>
    <n v="0"/>
    <n v="0"/>
    <n v="102"/>
    <s v="_x0000_US"/>
  </r>
  <r>
    <x v="1"/>
    <n v="13.688800000000001"/>
    <n v="-89.2136"/>
    <n v="9850"/>
    <n v="0"/>
    <n v="0"/>
    <n v="102"/>
    <s v="_x0000_US"/>
  </r>
  <r>
    <x v="1"/>
    <n v="13.6882"/>
    <n v="-89.212800000000001"/>
    <n v="9850"/>
    <n v="0"/>
    <n v="0"/>
    <n v="102"/>
    <s v="_x0000_US"/>
  </r>
  <r>
    <x v="1"/>
    <n v="13.6882"/>
    <n v="-89.212900000000005"/>
    <n v="9850"/>
    <n v="0"/>
    <n v="0"/>
    <n v="102"/>
    <s v="_x0000_US"/>
  </r>
  <r>
    <x v="1"/>
    <n v="13.6882"/>
    <n v="-89.212999999999994"/>
    <n v="9850"/>
    <n v="0"/>
    <n v="0"/>
    <n v="102"/>
    <s v="_x0000_US"/>
  </r>
  <r>
    <x v="1"/>
    <n v="13.6882"/>
    <n v="-89.212999999999994"/>
    <n v="9850"/>
    <n v="0"/>
    <n v="0"/>
    <n v="102"/>
    <s v="_x0000_US"/>
  </r>
  <r>
    <x v="1"/>
    <n v="13.6882"/>
    <n v="-89.213099999999997"/>
    <n v="9850"/>
    <n v="0"/>
    <n v="0"/>
    <n v="102"/>
    <s v="_x0000_US"/>
  </r>
  <r>
    <x v="1"/>
    <n v="13.6881"/>
    <n v="-89.213200000000001"/>
    <n v="9850"/>
    <n v="0"/>
    <n v="0"/>
    <n v="102"/>
    <s v="_x0000_US"/>
  </r>
  <r>
    <x v="1"/>
    <n v="13.6882"/>
    <n v="-89.213399999999993"/>
    <n v="9850"/>
    <n v="0"/>
    <n v="0"/>
    <n v="102"/>
    <s v="_x0000_US"/>
  </r>
  <r>
    <x v="1"/>
    <n v="13.6883"/>
    <n v="-89.213399999999993"/>
    <n v="9850"/>
    <n v="0"/>
    <n v="0"/>
    <n v="102"/>
    <s v="_x0000_US"/>
  </r>
  <r>
    <x v="1"/>
    <n v="13.6884"/>
    <n v="-89.213399999999993"/>
    <n v="9850"/>
    <n v="0"/>
    <n v="0"/>
    <n v="102"/>
    <s v="_x0000_US"/>
  </r>
  <r>
    <x v="1"/>
    <n v="13.6884"/>
    <n v="-89.213300000000004"/>
    <n v="9850"/>
    <n v="0"/>
    <n v="0"/>
    <n v="102"/>
    <s v="_x0000_US"/>
  </r>
  <r>
    <x v="1"/>
    <n v="13.6884"/>
    <n v="-89.213200000000001"/>
    <n v="9850"/>
    <n v="0"/>
    <n v="0"/>
    <n v="102"/>
    <s v="_x0000_US"/>
  </r>
  <r>
    <x v="1"/>
    <n v="13.6884"/>
    <n v="-89.213099999999997"/>
    <n v="9850"/>
    <n v="0"/>
    <n v="0"/>
    <n v="102"/>
    <s v="_x0000_US"/>
  </r>
  <r>
    <x v="1"/>
    <n v="13.6884"/>
    <n v="-89.212999999999994"/>
    <n v="9850"/>
    <n v="0"/>
    <n v="0"/>
    <n v="102"/>
    <s v="_x0000_US"/>
  </r>
  <r>
    <x v="1"/>
    <n v="13.6884"/>
    <n v="-89.212999999999994"/>
    <n v="9850"/>
    <n v="0"/>
    <n v="0"/>
    <n v="102"/>
    <s v="_x0000_US"/>
  </r>
  <r>
    <x v="1"/>
    <n v="13.6884"/>
    <n v="-89.212900000000005"/>
    <n v="9850"/>
    <n v="0"/>
    <n v="0"/>
    <n v="102"/>
    <s v="_x0000_US"/>
  </r>
  <r>
    <x v="1"/>
    <n v="13.6884"/>
    <n v="-89.212900000000005"/>
    <n v="9850"/>
    <n v="0"/>
    <n v="0"/>
    <n v="102"/>
    <s v="_x0000_US"/>
  </r>
  <r>
    <x v="1"/>
    <n v="13.6882"/>
    <n v="-89.212800000000001"/>
    <n v="9850"/>
    <n v="0"/>
    <n v="0"/>
    <n v="102"/>
    <s v="_x0000_US"/>
  </r>
  <r>
    <x v="1"/>
    <n v="13.6884"/>
    <n v="-89.212599999999995"/>
    <n v="9850"/>
    <n v="0"/>
    <n v="0"/>
    <n v="102"/>
    <s v="_x0000_US"/>
  </r>
  <r>
    <x v="1"/>
    <n v="13.6883"/>
    <n v="-89.212400000000002"/>
    <n v="9850"/>
    <n v="0"/>
    <n v="0"/>
    <n v="102"/>
    <s v="_x0000_US"/>
  </r>
  <r>
    <x v="1"/>
    <n v="13.6884"/>
    <n v="-89.212400000000002"/>
    <n v="9850"/>
    <n v="0"/>
    <n v="0"/>
    <n v="102"/>
    <s v="_x0000_US"/>
  </r>
  <r>
    <x v="1"/>
    <n v="13.6881"/>
    <n v="-89.212400000000002"/>
    <n v="9850"/>
    <n v="0"/>
    <n v="0"/>
    <n v="102"/>
    <s v="_x0000_US"/>
  </r>
  <r>
    <x v="1"/>
    <n v="13.6881"/>
    <n v="-89.212699999999998"/>
    <n v="9850"/>
    <n v="0"/>
    <n v="0"/>
    <n v="102"/>
    <s v="_x0000_US"/>
  </r>
  <r>
    <x v="1"/>
    <n v="13.6882"/>
    <n v="-89.212800000000001"/>
    <n v="9850"/>
    <n v="0"/>
    <n v="0"/>
    <n v="102"/>
    <s v="_x0000_US"/>
  </r>
  <r>
    <x v="1"/>
    <n v="13.6881"/>
    <n v="-89.212299999999999"/>
    <n v="9850"/>
    <n v="0"/>
    <n v="0"/>
    <n v="102"/>
    <s v="_x0000_US"/>
  </r>
  <r>
    <x v="1"/>
    <n v="13.6881"/>
    <n v="-89.212199999999996"/>
    <n v="9850"/>
    <n v="0"/>
    <n v="0"/>
    <n v="102"/>
    <s v="_x0000_US"/>
  </r>
  <r>
    <x v="1"/>
    <n v="13.6881"/>
    <n v="-89.212100000000007"/>
    <n v="9850"/>
    <n v="0"/>
    <n v="0"/>
    <n v="102"/>
    <s v="_x0000_US"/>
  </r>
  <r>
    <x v="1"/>
    <n v="13.6882"/>
    <n v="-89.212100000000007"/>
    <n v="9850"/>
    <n v="0"/>
    <n v="0"/>
    <n v="102"/>
    <s v="_x0000_US"/>
  </r>
  <r>
    <x v="1"/>
    <n v="13.6898"/>
    <n v="-89.217600000000004"/>
    <n v="10760"/>
    <n v="0"/>
    <n v="0"/>
    <n v="102"/>
    <s v="_x0000_US"/>
  </r>
  <r>
    <x v="1"/>
    <n v="13.690899999999999"/>
    <n v="-89.2196"/>
    <n v="10760"/>
    <n v="0"/>
    <n v="0"/>
    <n v="102"/>
    <s v="_x0000_US"/>
  </r>
  <r>
    <x v="1"/>
    <n v="13.691000000000001"/>
    <n v="-89.219700000000003"/>
    <n v="10760"/>
    <n v="0"/>
    <n v="0"/>
    <n v="102"/>
    <s v="_x0000_US"/>
  </r>
  <r>
    <x v="1"/>
    <n v="13.691000000000001"/>
    <n v="-89.219700000000003"/>
    <n v="10760"/>
    <n v="0"/>
    <n v="0"/>
    <n v="102"/>
    <s v="_x0000_US"/>
  </r>
  <r>
    <x v="1"/>
    <n v="13.690799999999999"/>
    <n v="-89.219399999999993"/>
    <n v="10760"/>
    <n v="0"/>
    <n v="0"/>
    <n v="102"/>
    <s v="_x0000_US"/>
  </r>
  <r>
    <x v="1"/>
    <n v="13.6897"/>
    <n v="-89.217500000000001"/>
    <n v="10760"/>
    <n v="0"/>
    <n v="0"/>
    <n v="102"/>
    <s v="_x0000_US"/>
  </r>
  <r>
    <x v="1"/>
    <n v="13.6911"/>
    <n v="-89.231899999999996"/>
    <n v="12580"/>
    <n v="0"/>
    <n v="0"/>
    <n v="102"/>
    <s v="_x0000_US"/>
  </r>
  <r>
    <x v="1"/>
    <n v="13.691000000000001"/>
    <n v="-89.231800000000007"/>
    <n v="12580"/>
    <n v="0"/>
    <n v="0"/>
    <n v="102"/>
    <s v="_x0000_US"/>
  </r>
  <r>
    <x v="1"/>
    <n v="13.691000000000001"/>
    <n v="-89.2316"/>
    <n v="12580"/>
    <n v="0"/>
    <n v="0"/>
    <n v="102"/>
    <s v="_x0000_US"/>
  </r>
  <r>
    <x v="1"/>
    <n v="13.6911"/>
    <n v="-89.231499999999997"/>
    <n v="12580"/>
    <n v="0"/>
    <n v="0"/>
    <n v="102"/>
    <s v="_x0000_US"/>
  </r>
  <r>
    <x v="1"/>
    <n v="13.6911"/>
    <n v="-89.231300000000005"/>
    <n v="12580"/>
    <n v="0"/>
    <n v="0"/>
    <n v="102"/>
    <s v="_x0000_US"/>
  </r>
  <r>
    <x v="1"/>
    <n v="13.6911"/>
    <n v="-89.231200000000001"/>
    <n v="12580"/>
    <n v="0"/>
    <n v="0"/>
    <n v="102"/>
    <s v="_x0000_US"/>
  </r>
  <r>
    <x v="1"/>
    <n v="13.6911"/>
    <n v="-89.231099999999998"/>
    <n v="12580"/>
    <n v="0"/>
    <n v="0"/>
    <n v="102"/>
    <s v="_x0000_US"/>
  </r>
  <r>
    <x v="1"/>
    <n v="13.6914"/>
    <n v="-89.232200000000006"/>
    <n v="12580"/>
    <n v="0"/>
    <n v="0"/>
    <n v="102"/>
    <s v="_x0000_US"/>
  </r>
  <r>
    <x v="1"/>
    <n v="13.691000000000001"/>
    <n v="-89.232100000000003"/>
    <n v="12580"/>
    <n v="0"/>
    <n v="0"/>
    <n v="102"/>
    <s v="_x0000_US"/>
  </r>
  <r>
    <x v="1"/>
    <n v="13.691000000000001"/>
    <n v="-89.232200000000006"/>
    <n v="12580"/>
    <n v="0"/>
    <n v="0"/>
    <n v="102"/>
    <s v="_x0000_US"/>
  </r>
  <r>
    <x v="1"/>
    <n v="13.691000000000001"/>
    <n v="-89.232299999999995"/>
    <n v="12580"/>
    <n v="0"/>
    <n v="0"/>
    <n v="102"/>
    <s v="_x0000_US"/>
  </r>
  <r>
    <x v="1"/>
    <n v="13.6911"/>
    <n v="-89.232299999999995"/>
    <n v="12580"/>
    <n v="0"/>
    <n v="0"/>
    <n v="102"/>
    <s v="_x0000_US"/>
  </r>
  <r>
    <x v="1"/>
    <n v="13.6912"/>
    <n v="-89.232299999999995"/>
    <n v="12580"/>
    <n v="0"/>
    <n v="0"/>
    <n v="102"/>
    <s v="_x0000_US"/>
  </r>
  <r>
    <x v="1"/>
    <n v="13.6912"/>
    <n v="-89.232399999999998"/>
    <n v="12580"/>
    <n v="0"/>
    <n v="0"/>
    <n v="102"/>
    <s v="_x0000_US"/>
  </r>
  <r>
    <x v="1"/>
    <n v="13.685600000000001"/>
    <n v="-89.244399999999999"/>
    <n v="64400"/>
    <n v="0"/>
    <n v="0"/>
    <n v="102"/>
    <s v="_x0000_US"/>
  </r>
  <r>
    <x v="1"/>
    <n v="13.685499999999999"/>
    <n v="-89.244200000000006"/>
    <n v="64400"/>
    <n v="0"/>
    <n v="0"/>
    <n v="102"/>
    <s v="_x0000_US"/>
  </r>
  <r>
    <x v="1"/>
    <n v="13.6854"/>
    <n v="-89.244100000000003"/>
    <n v="64400"/>
    <n v="0"/>
    <n v="0"/>
    <n v="102"/>
    <s v="_x0000_US"/>
  </r>
  <r>
    <x v="1"/>
    <n v="13.6854"/>
    <n v="-89.244200000000006"/>
    <n v="64400"/>
    <n v="0"/>
    <n v="0"/>
    <n v="102"/>
    <s v="_x0000_US"/>
  </r>
  <r>
    <x v="1"/>
    <n v="13.685700000000001"/>
    <n v="-89.243899999999996"/>
    <n v="64400"/>
    <n v="0"/>
    <n v="0"/>
    <n v="102"/>
    <s v="_x0000_US"/>
  </r>
  <r>
    <x v="1"/>
    <n v="13.685700000000001"/>
    <n v="-89.243700000000004"/>
    <n v="64400"/>
    <n v="0"/>
    <n v="0"/>
    <n v="102"/>
    <s v="_x0000_US"/>
  </r>
  <r>
    <x v="1"/>
    <n v="13.6854"/>
    <n v="-89.244100000000003"/>
    <n v="64400"/>
    <n v="0"/>
    <n v="0"/>
    <n v="102"/>
    <s v="_x0000_US"/>
  </r>
  <r>
    <x v="1"/>
    <n v="13.6854"/>
    <n v="-89.244200000000006"/>
    <n v="64400"/>
    <n v="0"/>
    <n v="0"/>
    <n v="102"/>
    <s v="_x0000_US"/>
  </r>
  <r>
    <x v="1"/>
    <n v="13.6854"/>
    <n v="-89.244299999999996"/>
    <n v="64400"/>
    <n v="0"/>
    <n v="0"/>
    <n v="102"/>
    <s v="_x0000_US"/>
  </r>
  <r>
    <x v="1"/>
    <n v="13.6854"/>
    <n v="-89.244299999999996"/>
    <n v="64400"/>
    <n v="0"/>
    <n v="0"/>
    <n v="102"/>
    <s v="_x0000_US"/>
  </r>
  <r>
    <x v="1"/>
    <n v="13.6854"/>
    <n v="-89.244299999999996"/>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4900000000001"/>
    <n v="-89.244699999999995"/>
    <n v="64400"/>
    <n v="0"/>
    <n v="0"/>
    <n v="102"/>
    <s v="_x0000_US"/>
  </r>
  <r>
    <x v="1"/>
    <n v="13.684900000000001"/>
    <n v="-89.244699999999995"/>
    <n v="64400"/>
    <n v="0"/>
    <n v="0"/>
    <n v="102"/>
    <s v="_x0000_US"/>
  </r>
  <r>
    <x v="1"/>
    <n v="13.684900000000001"/>
    <n v="-89.244699999999995"/>
    <n v="64400"/>
    <n v="0"/>
    <n v="0"/>
    <n v="102"/>
    <s v="_x0000_US"/>
  </r>
  <r>
    <x v="1"/>
    <n v="13.684900000000001"/>
    <n v="-89.244699999999995"/>
    <n v="64400"/>
    <n v="0"/>
    <n v="0"/>
    <n v="102"/>
    <s v="_x0000_US"/>
  </r>
  <r>
    <x v="1"/>
    <n v="13.684900000000001"/>
    <n v="-89.244699999999995"/>
    <n v="64400"/>
    <n v="0"/>
    <n v="0"/>
    <n v="102"/>
    <s v="_x0000_US"/>
  </r>
  <r>
    <x v="1"/>
    <n v="13.684900000000001"/>
    <n v="-89.244699999999995"/>
    <n v="64400"/>
    <n v="0"/>
    <n v="0"/>
    <n v="102"/>
    <s v="_x0000_US"/>
  </r>
  <r>
    <x v="1"/>
    <n v="13.684900000000001"/>
    <n v="-89.244699999999995"/>
    <n v="64400"/>
    <n v="0"/>
    <n v="0"/>
    <n v="102"/>
    <s v="_x0000_US"/>
  </r>
  <r>
    <x v="1"/>
    <n v="13.684900000000001"/>
    <n v="-89.244699999999995"/>
    <n v="64400"/>
    <n v="0"/>
    <n v="0"/>
    <n v="102"/>
    <s v="_x0000_US"/>
  </r>
  <r>
    <x v="1"/>
    <n v="13.684900000000001"/>
    <n v="-89.244699999999995"/>
    <n v="64400"/>
    <n v="0"/>
    <n v="0"/>
    <n v="102"/>
    <s v="_x0000_US"/>
  </r>
  <r>
    <x v="1"/>
    <n v="13.684900000000001"/>
    <n v="-89.244600000000005"/>
    <n v="64400"/>
    <n v="0"/>
    <n v="0"/>
    <n v="102"/>
    <s v="_x0000_US"/>
  </r>
  <r>
    <x v="1"/>
    <n v="13.684900000000001"/>
    <n v="-89.244600000000005"/>
    <n v="64400"/>
    <n v="0"/>
    <n v="0"/>
    <n v="102"/>
    <s v="_x0000_US"/>
  </r>
  <r>
    <x v="1"/>
    <n v="13.684900000000001"/>
    <n v="-89.244600000000005"/>
    <n v="64400"/>
    <n v="0"/>
    <n v="0"/>
    <n v="102"/>
    <s v="_x0000_US"/>
  </r>
  <r>
    <x v="1"/>
    <n v="13.684900000000001"/>
    <n v="-89.244600000000005"/>
    <n v="64400"/>
    <n v="0"/>
    <n v="0"/>
    <n v="102"/>
    <s v="_x0000_US"/>
  </r>
  <r>
    <x v="1"/>
    <n v="13.6846"/>
    <n v="-89.244600000000005"/>
    <n v="64400"/>
    <n v="0"/>
    <n v="0"/>
    <n v="102"/>
    <s v="_x0000_US"/>
  </r>
  <r>
    <x v="1"/>
    <n v="13.6846"/>
    <n v="-89.244799999999998"/>
    <n v="64400"/>
    <n v="0"/>
    <n v="0"/>
    <n v="102"/>
    <s v="_x0000_US"/>
  </r>
  <r>
    <x v="1"/>
    <n v="13.684699999999999"/>
    <n v="-89.245000000000005"/>
    <n v="64400"/>
    <n v="0"/>
    <n v="0"/>
    <n v="102"/>
    <s v="_x0000_US"/>
  </r>
  <r>
    <x v="1"/>
    <n v="13.684799999999999"/>
    <n v="-89.245199999999997"/>
    <n v="64400"/>
    <n v="0"/>
    <n v="0"/>
    <n v="102"/>
    <s v="_x0000_US"/>
  </r>
  <r>
    <x v="1"/>
    <n v="13.6843"/>
    <n v="-89.244600000000005"/>
    <n v="64400"/>
    <n v="0"/>
    <n v="0"/>
    <n v="102"/>
    <s v="_x0000_US"/>
  </r>
  <r>
    <x v="1"/>
    <n v="13.6843"/>
    <n v="-89.245099999999994"/>
    <n v="64400"/>
    <n v="0"/>
    <n v="0"/>
    <n v="102"/>
    <s v="_x0000_US"/>
  </r>
  <r>
    <x v="1"/>
    <n v="13.6845"/>
    <n v="-89.2453"/>
    <n v="64400"/>
    <n v="0"/>
    <n v="0"/>
    <n v="102"/>
    <s v="_x0000_US"/>
  </r>
  <r>
    <x v="1"/>
    <n v="13.6846"/>
    <n v="-89.245400000000004"/>
    <n v="64400"/>
    <n v="0"/>
    <n v="0"/>
    <n v="102"/>
    <s v="_x0000_US"/>
  </r>
  <r>
    <x v="1"/>
    <n v="13.6859"/>
    <n v="-89.244900000000001"/>
    <n v="64400"/>
    <n v="0"/>
    <n v="0"/>
    <n v="102"/>
    <s v="_x0000_US"/>
  </r>
  <r>
    <x v="1"/>
    <n v="13.6858"/>
    <n v="-89.244600000000005"/>
    <n v="64400"/>
    <n v="0"/>
    <n v="0"/>
    <n v="102"/>
    <s v="_x0000_US"/>
  </r>
  <r>
    <x v="1"/>
    <n v="13.6858"/>
    <n v="-89.244600000000005"/>
    <n v="64400"/>
    <n v="0"/>
    <n v="0"/>
    <n v="102"/>
    <s v="_x0000_US"/>
  </r>
  <r>
    <x v="1"/>
    <n v="13.6859"/>
    <n v="-89.244"/>
    <n v="64400"/>
    <n v="0"/>
    <n v="0"/>
    <n v="102"/>
    <s v="_x0000_US"/>
  </r>
  <r>
    <x v="1"/>
    <n v="13.686"/>
    <n v="-89.243700000000004"/>
    <n v="64400"/>
    <n v="0"/>
    <n v="0"/>
    <n v="102"/>
    <s v="_x0000_US"/>
  </r>
  <r>
    <x v="1"/>
    <n v="13.6858"/>
    <n v="-89.243700000000004"/>
    <n v="64400"/>
    <n v="0"/>
    <n v="0"/>
    <n v="102"/>
    <s v="_x0000_US"/>
  </r>
  <r>
    <x v="1"/>
    <n v="13.6859"/>
    <n v="-89.243700000000004"/>
    <n v="64400"/>
    <n v="0"/>
    <n v="0"/>
    <n v="102"/>
    <s v="_x0000_US"/>
  </r>
  <r>
    <x v="1"/>
    <n v="13.6861"/>
    <n v="-89.243600000000001"/>
    <n v="64400"/>
    <n v="0"/>
    <n v="0"/>
    <n v="102"/>
    <s v="_x0000_US"/>
  </r>
  <r>
    <x v="1"/>
    <n v="13.686299999999999"/>
    <n v="-89.243899999999996"/>
    <n v="64400"/>
    <n v="0"/>
    <n v="0"/>
    <n v="102"/>
    <s v="_x0000_US"/>
  </r>
  <r>
    <x v="1"/>
    <n v="13.686299999999999"/>
    <n v="-89.244"/>
    <n v="64400"/>
    <n v="0"/>
    <n v="0"/>
    <n v="102"/>
    <s v="_x0000_US"/>
  </r>
  <r>
    <x v="1"/>
    <n v="13.686299999999999"/>
    <n v="-89.244200000000006"/>
    <n v="64400"/>
    <n v="0"/>
    <n v="0"/>
    <n v="102"/>
    <s v="_x0000_US"/>
  </r>
  <r>
    <x v="1"/>
    <n v="13.686400000000001"/>
    <n v="-89.244299999999996"/>
    <n v="64400"/>
    <n v="0"/>
    <n v="0"/>
    <n v="102"/>
    <s v="_x0000_US"/>
  </r>
  <r>
    <x v="1"/>
    <n v="13.6867"/>
    <n v="-89.244100000000003"/>
    <n v="64400"/>
    <n v="0"/>
    <n v="0"/>
    <n v="102"/>
    <s v="_x0000_US"/>
  </r>
  <r>
    <x v="1"/>
    <n v="13.6867"/>
    <n v="-89.243899999999996"/>
    <n v="64400"/>
    <n v="0"/>
    <n v="0"/>
    <n v="102"/>
    <s v="_x0000_US"/>
  </r>
  <r>
    <x v="1"/>
    <n v="13.6867"/>
    <n v="-89.243799999999993"/>
    <n v="64400"/>
    <n v="0"/>
    <n v="0"/>
    <n v="102"/>
    <s v="_x0000_US"/>
  </r>
  <r>
    <x v="1"/>
    <n v="13.686500000000001"/>
    <n v="-89.243600000000001"/>
    <n v="64400"/>
    <n v="0"/>
    <n v="0"/>
    <n v="102"/>
    <s v="_x0000_US"/>
  </r>
  <r>
    <x v="1"/>
    <n v="13.686500000000001"/>
    <n v="-89.243399999999994"/>
    <n v="64400"/>
    <n v="0"/>
    <n v="0"/>
    <n v="102"/>
    <s v="_x0000_US"/>
  </r>
  <r>
    <x v="1"/>
    <n v="13.6866"/>
    <n v="-89.243300000000005"/>
    <n v="64400"/>
    <n v="0"/>
    <n v="0"/>
    <n v="102"/>
    <s v="_x0000_US"/>
  </r>
  <r>
    <x v="1"/>
    <n v="13.6867"/>
    <n v="-89.243200000000002"/>
    <n v="64400"/>
    <n v="0"/>
    <n v="0"/>
    <n v="102"/>
    <s v="_x0000_US"/>
  </r>
  <r>
    <x v="1"/>
    <n v="13.6867"/>
    <n v="-89.243300000000005"/>
    <n v="64400"/>
    <n v="0"/>
    <n v="0"/>
    <n v="102"/>
    <s v="_x0000_US"/>
  </r>
  <r>
    <x v="1"/>
    <n v="13.6867"/>
    <n v="-89.243399999999994"/>
    <n v="64400"/>
    <n v="0"/>
    <n v="0"/>
    <n v="102"/>
    <s v="_x0000_US"/>
  </r>
  <r>
    <x v="1"/>
    <n v="13.6867"/>
    <n v="-89.243399999999994"/>
    <n v="64400"/>
    <n v="0"/>
    <n v="0"/>
    <n v="102"/>
    <s v="_x0000_US"/>
  </r>
  <r>
    <x v="1"/>
    <n v="13.6867"/>
    <n v="-89.243499999999997"/>
    <n v="64400"/>
    <n v="0"/>
    <n v="0"/>
    <n v="102"/>
    <s v="_x0000_US"/>
  </r>
  <r>
    <x v="1"/>
    <n v="13.6867"/>
    <n v="-89.243499999999997"/>
    <n v="64400"/>
    <n v="0"/>
    <n v="0"/>
    <n v="102"/>
    <s v="_x0000_US"/>
  </r>
  <r>
    <x v="1"/>
    <n v="13.6867"/>
    <n v="-89.243600000000001"/>
    <n v="64400"/>
    <n v="0"/>
    <n v="0"/>
    <n v="102"/>
    <s v="_x0000_US"/>
  </r>
  <r>
    <x v="1"/>
    <n v="13.6867"/>
    <n v="-89.243600000000001"/>
    <n v="64400"/>
    <n v="0"/>
    <n v="0"/>
    <n v="102"/>
    <s v="_x0000_US"/>
  </r>
  <r>
    <x v="1"/>
    <n v="13.6867"/>
    <n v="-89.243600000000001"/>
    <n v="64400"/>
    <n v="0"/>
    <n v="0"/>
    <n v="102"/>
    <s v="_x0000_US"/>
  </r>
  <r>
    <x v="1"/>
    <n v="13.6867"/>
    <n v="-89.243600000000001"/>
    <n v="64400"/>
    <n v="0"/>
    <n v="0"/>
    <n v="102"/>
    <s v="_x0000_US"/>
  </r>
  <r>
    <x v="1"/>
    <n v="13.6867"/>
    <n v="-89.243600000000001"/>
    <n v="64400"/>
    <n v="0"/>
    <n v="0"/>
    <n v="102"/>
    <s v="_x0000_US"/>
  </r>
  <r>
    <x v="1"/>
    <n v="13.6869"/>
    <n v="-89.243600000000001"/>
    <n v="64400"/>
    <n v="0"/>
    <n v="0"/>
    <n v="102"/>
    <s v="_x0000_US"/>
  </r>
  <r>
    <x v="1"/>
    <n v="13.6869"/>
    <n v="-89.243600000000001"/>
    <n v="64400"/>
    <n v="0"/>
    <n v="0"/>
    <n v="102"/>
    <s v="_x0000_US"/>
  </r>
  <r>
    <x v="1"/>
    <n v="13.6869"/>
    <n v="-89.243499999999997"/>
    <n v="64400"/>
    <n v="0"/>
    <n v="0"/>
    <n v="102"/>
    <s v="_x0000_US"/>
  </r>
  <r>
    <x v="1"/>
    <n v="13.6869"/>
    <n v="-89.243499999999997"/>
    <n v="64400"/>
    <n v="0"/>
    <n v="0"/>
    <n v="102"/>
    <s v="_x0000_US"/>
  </r>
  <r>
    <x v="1"/>
    <n v="13.686999999999999"/>
    <n v="-89.243499999999997"/>
    <n v="64400"/>
    <n v="0"/>
    <n v="0"/>
    <n v="102"/>
    <s v="_x0000_US"/>
  </r>
  <r>
    <x v="1"/>
    <n v="13.686999999999999"/>
    <n v="-89.243499999999997"/>
    <n v="64400"/>
    <n v="0"/>
    <n v="0"/>
    <n v="102"/>
    <s v="_x0000_US"/>
  </r>
  <r>
    <x v="1"/>
    <n v="13.6869"/>
    <n v="-89.244299999999996"/>
    <n v="64400"/>
    <n v="0"/>
    <n v="0"/>
    <n v="102"/>
    <s v="_x0000_US"/>
  </r>
  <r>
    <x v="1"/>
    <n v="13.6868"/>
    <n v="-89.244299999999996"/>
    <n v="64400"/>
    <n v="0"/>
    <n v="0"/>
    <n v="102"/>
    <s v="_x0000_US"/>
  </r>
  <r>
    <x v="1"/>
    <n v="13.6867"/>
    <n v="-89.244399999999999"/>
    <n v="64400"/>
    <n v="0"/>
    <n v="0"/>
    <n v="102"/>
    <s v="_x0000_US"/>
  </r>
  <r>
    <x v="1"/>
    <n v="13.6867"/>
    <n v="-89.244399999999999"/>
    <n v="64400"/>
    <n v="0"/>
    <n v="0"/>
    <n v="102"/>
    <s v="_x0000_US"/>
  </r>
  <r>
    <x v="1"/>
    <n v="13.6867"/>
    <n v="-89.244399999999999"/>
    <n v="64400"/>
    <n v="0"/>
    <n v="0"/>
    <n v="102"/>
    <s v="_x0000_US"/>
  </r>
  <r>
    <x v="1"/>
    <n v="13.687099999999999"/>
    <n v="-89.243700000000004"/>
    <n v="64400"/>
    <n v="0"/>
    <n v="0"/>
    <n v="102"/>
    <s v="_x0000_US"/>
  </r>
  <r>
    <x v="1"/>
    <n v="13.687099999999999"/>
    <n v="-89.243899999999996"/>
    <n v="64400"/>
    <n v="0"/>
    <n v="0"/>
    <n v="102"/>
    <s v="_x0000_US"/>
  </r>
  <r>
    <x v="1"/>
    <n v="13.687099999999999"/>
    <n v="-89.243899999999996"/>
    <n v="64400"/>
    <n v="0"/>
    <n v="0"/>
    <n v="102"/>
    <s v="_x0000_US"/>
  </r>
  <r>
    <x v="1"/>
    <n v="13.686999999999999"/>
    <n v="-89.244"/>
    <n v="64400"/>
    <n v="0"/>
    <n v="0"/>
    <n v="102"/>
    <s v="_x0000_US"/>
  </r>
  <r>
    <x v="1"/>
    <n v="13.686999999999999"/>
    <n v="-89.244"/>
    <n v="64400"/>
    <n v="0"/>
    <n v="0"/>
    <n v="102"/>
    <s v="_x0000_US"/>
  </r>
  <r>
    <x v="1"/>
    <n v="13.686999999999999"/>
    <n v="-89.244"/>
    <n v="64400"/>
    <n v="0"/>
    <n v="0"/>
    <n v="102"/>
    <s v="_x0000_US"/>
  </r>
  <r>
    <x v="1"/>
    <n v="13.686999999999999"/>
    <n v="-89.244299999999996"/>
    <n v="64400"/>
    <n v="0"/>
    <n v="0"/>
    <n v="102"/>
    <s v="_x0000_US"/>
  </r>
  <r>
    <x v="1"/>
    <n v="13.687099999999999"/>
    <n v="-89.244200000000006"/>
    <n v="64400"/>
    <n v="0"/>
    <n v="0"/>
    <n v="102"/>
    <s v="_x0000_US"/>
  </r>
  <r>
    <x v="1"/>
    <n v="13.687099999999999"/>
    <n v="-89.244200000000006"/>
    <n v="64400"/>
    <n v="0"/>
    <n v="0"/>
    <n v="102"/>
    <s v="_x0000_US"/>
  </r>
  <r>
    <x v="1"/>
    <n v="13.687099999999999"/>
    <n v="-89.244200000000006"/>
    <n v="64400"/>
    <n v="0"/>
    <n v="0"/>
    <n v="102"/>
    <s v="_x0000_US"/>
  </r>
  <r>
    <x v="1"/>
    <n v="13.687200000000001"/>
    <n v="-89.244200000000006"/>
    <n v="64400"/>
    <n v="0"/>
    <n v="0"/>
    <n v="102"/>
    <s v="_x0000_US"/>
  </r>
  <r>
    <x v="1"/>
    <n v="13.687200000000001"/>
    <n v="-89.244200000000006"/>
    <n v="64400"/>
    <n v="0"/>
    <n v="0"/>
    <n v="102"/>
    <s v="_x0000_US"/>
  </r>
  <r>
    <x v="1"/>
    <n v="13.6859"/>
    <n v="-89.241600000000005"/>
    <n v="64400"/>
    <n v="0"/>
    <n v="0"/>
    <n v="102"/>
    <s v="_x0000_US"/>
  </r>
  <r>
    <x v="1"/>
    <n v="13.685700000000001"/>
    <n v="-89.241600000000005"/>
    <n v="64400"/>
    <n v="0"/>
    <n v="0"/>
    <n v="102"/>
    <s v="_x0000_US"/>
  </r>
  <r>
    <x v="1"/>
    <n v="13.685600000000001"/>
    <n v="-89.241600000000005"/>
    <n v="64400"/>
    <n v="0"/>
    <n v="0"/>
    <n v="102"/>
    <s v="_x0000_US"/>
  </r>
  <r>
    <x v="1"/>
    <n v="13.685600000000001"/>
    <n v="-89.241799999999998"/>
    <n v="64400"/>
    <n v="0"/>
    <n v="0"/>
    <n v="102"/>
    <s v="_x0000_US"/>
  </r>
  <r>
    <x v="1"/>
    <n v="13.685499999999999"/>
    <n v="-89.241900000000001"/>
    <n v="64400"/>
    <n v="0"/>
    <n v="0"/>
    <n v="102"/>
    <s v="_x0000_US"/>
  </r>
  <r>
    <x v="1"/>
    <n v="13.6854"/>
    <n v="-89.241799999999998"/>
    <n v="64400"/>
    <n v="0"/>
    <n v="0"/>
    <n v="102"/>
    <s v="_x0000_US"/>
  </r>
  <r>
    <x v="1"/>
    <n v="13.6854"/>
    <n v="-89.242000000000004"/>
    <n v="64400"/>
    <n v="0"/>
    <n v="0"/>
    <n v="102"/>
    <s v="_x0000_US"/>
  </r>
  <r>
    <x v="1"/>
    <n v="13.685600000000001"/>
    <n v="-89.242099999999994"/>
    <n v="64400"/>
    <n v="0"/>
    <n v="0"/>
    <n v="102"/>
    <s v="_x0000_US"/>
  </r>
  <r>
    <x v="1"/>
    <n v="13.685499999999999"/>
    <n v="-89.242400000000004"/>
    <n v="64400"/>
    <n v="0"/>
    <n v="0"/>
    <n v="102"/>
    <s v="_x0000_US"/>
  </r>
  <r>
    <x v="1"/>
    <n v="13.686"/>
    <n v="-89.242400000000004"/>
    <n v="64400"/>
    <n v="0"/>
    <n v="0"/>
    <n v="102"/>
    <s v="_x0000_US"/>
  </r>
  <r>
    <x v="1"/>
    <n v="13.686"/>
    <n v="-89.242199999999997"/>
    <n v="64400"/>
    <n v="0"/>
    <n v="0"/>
    <n v="102"/>
    <s v="_x0000_US"/>
  </r>
  <r>
    <x v="1"/>
    <n v="13.686199999999999"/>
    <n v="-89.241799999999998"/>
    <n v="64400"/>
    <n v="0"/>
    <n v="0"/>
    <n v="102"/>
    <s v="_x0000_US"/>
  </r>
  <r>
    <x v="1"/>
    <n v="13.686199999999999"/>
    <n v="-89.241799999999998"/>
    <n v="64400"/>
    <n v="0"/>
    <n v="0"/>
    <n v="102"/>
    <s v="_x0000_US"/>
  </r>
  <r>
    <x v="1"/>
    <n v="13.686199999999999"/>
    <n v="-89.241799999999998"/>
    <n v="64400"/>
    <n v="0"/>
    <n v="0"/>
    <n v="102"/>
    <s v="_x0000_US"/>
  </r>
  <r>
    <x v="1"/>
    <n v="13.686299999999999"/>
    <n v="-89.241200000000006"/>
    <n v="64400"/>
    <n v="0"/>
    <n v="0"/>
    <n v="102"/>
    <s v="_x0000_US"/>
  </r>
  <r>
    <x v="1"/>
    <n v="13.686299999999999"/>
    <n v="-89.240899999999996"/>
    <n v="64400"/>
    <n v="0"/>
    <n v="0"/>
    <n v="102"/>
    <s v="_x0000_US"/>
  </r>
  <r>
    <x v="1"/>
    <n v="13.686199999999999"/>
    <n v="-89.242699999999999"/>
    <n v="64400"/>
    <n v="0"/>
    <n v="0"/>
    <n v="102"/>
    <s v="_x0000_US"/>
  </r>
  <r>
    <x v="1"/>
    <n v="13.6866"/>
    <n v="-89.242500000000007"/>
    <n v="64400"/>
    <n v="0"/>
    <n v="0"/>
    <n v="102"/>
    <s v="_x0000_US"/>
  </r>
  <r>
    <x v="1"/>
    <n v="13.687099999999999"/>
    <n v="-89.242500000000007"/>
    <n v="64400"/>
    <n v="0"/>
    <n v="0"/>
    <n v="102"/>
    <s v="_x0000_US"/>
  </r>
  <r>
    <x v="1"/>
    <n v="13.686999999999999"/>
    <n v="-89.242199999999997"/>
    <n v="64400"/>
    <n v="0"/>
    <n v="0"/>
    <n v="102"/>
    <s v="_x0000_US"/>
  </r>
  <r>
    <x v="1"/>
    <n v="13.6868"/>
    <n v="-89.242099999999994"/>
    <n v="64400"/>
    <n v="0"/>
    <n v="0"/>
    <n v="102"/>
    <s v="_x0000_US"/>
  </r>
  <r>
    <x v="1"/>
    <n v="13.6868"/>
    <n v="-89.242000000000004"/>
    <n v="64400"/>
    <n v="0"/>
    <n v="0"/>
    <n v="102"/>
    <s v="_x0000_US"/>
  </r>
  <r>
    <x v="1"/>
    <n v="13.6866"/>
    <n v="-89.2423"/>
    <n v="64400"/>
    <n v="0"/>
    <n v="0"/>
    <n v="102"/>
    <s v="_x0000_US"/>
  </r>
  <r>
    <x v="1"/>
    <n v="13.686400000000001"/>
    <n v="-89.242199999999997"/>
    <n v="64400"/>
    <n v="0"/>
    <n v="0"/>
    <n v="102"/>
    <s v="_x0000_US"/>
  </r>
  <r>
    <x v="1"/>
    <n v="13.686400000000001"/>
    <n v="-89.241900000000001"/>
    <n v="64400"/>
    <n v="0"/>
    <n v="0"/>
    <n v="102"/>
    <s v="_x0000_US"/>
  </r>
  <r>
    <x v="1"/>
    <n v="13.686400000000001"/>
    <n v="-89.241900000000001"/>
    <n v="64400"/>
    <n v="0"/>
    <n v="0"/>
    <n v="102"/>
    <s v="_x0000_US"/>
  </r>
  <r>
    <x v="1"/>
    <n v="13.686400000000001"/>
    <n v="-89.241900000000001"/>
    <n v="64400"/>
    <n v="0"/>
    <n v="0"/>
    <n v="102"/>
    <s v="_x0000_US"/>
  </r>
  <r>
    <x v="1"/>
    <n v="13.686400000000001"/>
    <n v="-89.241900000000001"/>
    <n v="64400"/>
    <n v="0"/>
    <n v="0"/>
    <n v="102"/>
    <s v="_x0000_US"/>
  </r>
  <r>
    <x v="1"/>
    <n v="13.686400000000001"/>
    <n v="-89.241900000000001"/>
    <n v="64400"/>
    <n v="0"/>
    <n v="0"/>
    <n v="102"/>
    <s v="_x0000_US"/>
  </r>
  <r>
    <x v="1"/>
    <n v="13.686400000000001"/>
    <n v="-89.241900000000001"/>
    <n v="64400"/>
    <n v="0"/>
    <n v="0"/>
    <n v="102"/>
    <s v="_x0000_US"/>
  </r>
  <r>
    <x v="1"/>
    <n v="13.686400000000001"/>
    <n v="-89.241900000000001"/>
    <n v="64400"/>
    <n v="0"/>
    <n v="0"/>
    <n v="102"/>
    <s v="_x0000_US"/>
  </r>
  <r>
    <x v="1"/>
    <n v="13.686400000000001"/>
    <n v="-89.241900000000001"/>
    <n v="64400"/>
    <n v="0"/>
    <n v="0"/>
    <n v="102"/>
    <s v="_x0000_US"/>
  </r>
  <r>
    <x v="1"/>
    <n v="13.686400000000001"/>
    <n v="-89.241799999999998"/>
    <n v="64400"/>
    <n v="0"/>
    <n v="0"/>
    <n v="102"/>
    <s v="_x0000_US"/>
  </r>
  <r>
    <x v="1"/>
    <n v="13.686400000000001"/>
    <n v="-89.241799999999998"/>
    <n v="64400"/>
    <n v="0"/>
    <n v="0"/>
    <n v="102"/>
    <s v="_x0000_US"/>
  </r>
  <r>
    <x v="1"/>
    <n v="13.686400000000001"/>
    <n v="-89.241699999999994"/>
    <n v="64400"/>
    <n v="0"/>
    <n v="0"/>
    <n v="102"/>
    <s v="_x0000_US"/>
  </r>
  <r>
    <x v="1"/>
    <n v="13.686400000000001"/>
    <n v="-89.241699999999994"/>
    <n v="64400"/>
    <n v="0"/>
    <n v="0"/>
    <n v="102"/>
    <s v="_x0000_US"/>
  </r>
  <r>
    <x v="1"/>
    <n v="13.686400000000001"/>
    <n v="-89.241699999999994"/>
    <n v="64400"/>
    <n v="0"/>
    <n v="0"/>
    <n v="102"/>
    <s v="_x0000_US"/>
  </r>
  <r>
    <x v="1"/>
    <n v="13.686400000000001"/>
    <n v="-89.241699999999994"/>
    <n v="64400"/>
    <n v="0"/>
    <n v="0"/>
    <n v="102"/>
    <s v="_x0000_US"/>
  </r>
  <r>
    <x v="1"/>
    <n v="13.686299999999999"/>
    <n v="-89.241799999999998"/>
    <n v="64400"/>
    <n v="0"/>
    <n v="0"/>
    <n v="102"/>
    <s v="_x0000_US"/>
  </r>
  <r>
    <x v="1"/>
    <n v="13.686299999999999"/>
    <n v="-89.241799999999998"/>
    <n v="64400"/>
    <n v="0"/>
    <n v="0"/>
    <n v="102"/>
    <s v="_x0000_US"/>
  </r>
  <r>
    <x v="1"/>
    <n v="13.686299999999999"/>
    <n v="-89.241699999999994"/>
    <n v="64400"/>
    <n v="0"/>
    <n v="0"/>
    <n v="102"/>
    <s v="_x0000_US"/>
  </r>
  <r>
    <x v="1"/>
    <n v="13.686299999999999"/>
    <n v="-89.241699999999994"/>
    <n v="64400"/>
    <n v="0"/>
    <n v="0"/>
    <n v="102"/>
    <s v="_x0000_US"/>
  </r>
  <r>
    <x v="1"/>
    <n v="13.686299999999999"/>
    <n v="-89.241699999999994"/>
    <n v="64400"/>
    <n v="0"/>
    <n v="0"/>
    <n v="102"/>
    <s v="_x0000_US"/>
  </r>
  <r>
    <x v="1"/>
    <n v="13.686299999999999"/>
    <n v="-89.241699999999994"/>
    <n v="64400"/>
    <n v="0"/>
    <n v="0"/>
    <n v="102"/>
    <s v="_x0000_US"/>
  </r>
  <r>
    <x v="1"/>
    <n v="13.686299999999999"/>
    <n v="-89.241900000000001"/>
    <n v="64400"/>
    <n v="0"/>
    <n v="0"/>
    <n v="102"/>
    <s v="_x0000_US"/>
  </r>
  <r>
    <x v="1"/>
    <n v="13.686299999999999"/>
    <n v="-89.241900000000001"/>
    <n v="64400"/>
    <n v="0"/>
    <n v="0"/>
    <n v="102"/>
    <s v="_x0000_US"/>
  </r>
  <r>
    <x v="1"/>
    <n v="13.686299999999999"/>
    <n v="-89.241900000000001"/>
    <n v="64400"/>
    <n v="0"/>
    <n v="0"/>
    <n v="102"/>
    <s v="_x0000_US"/>
  </r>
  <r>
    <x v="1"/>
    <n v="13.686299999999999"/>
    <n v="-89.241900000000001"/>
    <n v="64400"/>
    <n v="0"/>
    <n v="0"/>
    <n v="102"/>
    <s v="_x0000_US"/>
  </r>
  <r>
    <x v="1"/>
    <n v="13.686299999999999"/>
    <n v="-89.241900000000001"/>
    <n v="64400"/>
    <n v="0"/>
    <n v="0"/>
    <n v="102"/>
    <s v="_x0000_US"/>
  </r>
  <r>
    <x v="1"/>
    <n v="13.6866"/>
    <n v="-89.241500000000002"/>
    <n v="64400"/>
    <n v="0"/>
    <n v="0"/>
    <n v="102"/>
    <s v="_x0000_US"/>
  </r>
  <r>
    <x v="1"/>
    <n v="13.6867"/>
    <n v="-89.241500000000002"/>
    <n v="64400"/>
    <n v="0"/>
    <n v="0"/>
    <n v="102"/>
    <s v="_x0000_US"/>
  </r>
  <r>
    <x v="1"/>
    <n v="13.6867"/>
    <n v="-89.241500000000002"/>
    <n v="64400"/>
    <n v="0"/>
    <n v="0"/>
    <n v="102"/>
    <s v="_x0000_US"/>
  </r>
  <r>
    <x v="1"/>
    <n v="13.6867"/>
    <n v="-89.241500000000002"/>
    <n v="64400"/>
    <n v="0"/>
    <n v="0"/>
    <n v="102"/>
    <s v="_x0000_US"/>
  </r>
  <r>
    <x v="1"/>
    <n v="13.6868"/>
    <n v="-89.241500000000002"/>
    <n v="64400"/>
    <n v="0"/>
    <n v="0"/>
    <n v="102"/>
    <s v="_x0000_US"/>
  </r>
  <r>
    <x v="1"/>
    <n v="13.6868"/>
    <n v="-89.241500000000002"/>
    <n v="64400"/>
    <n v="0"/>
    <n v="0"/>
    <n v="102"/>
    <s v="_x0000_US"/>
  </r>
  <r>
    <x v="1"/>
    <n v="13.6869"/>
    <n v="-89.241399999999999"/>
    <n v="64400"/>
    <n v="0"/>
    <n v="0"/>
    <n v="102"/>
    <s v="_x0000_US"/>
  </r>
  <r>
    <x v="1"/>
    <n v="13.6868"/>
    <n v="-89.241299999999995"/>
    <n v="64400"/>
    <n v="0"/>
    <n v="0"/>
    <n v="102"/>
    <s v="_x0000_US"/>
  </r>
  <r>
    <x v="1"/>
    <n v="13.6868"/>
    <n v="-89.241299999999995"/>
    <n v="64400"/>
    <n v="0"/>
    <n v="0"/>
    <n v="102"/>
    <s v="_x0000_US"/>
  </r>
  <r>
    <x v="1"/>
    <n v="13.6861"/>
    <n v="-89.240499999999997"/>
    <n v="64400"/>
    <n v="0"/>
    <n v="0"/>
    <n v="102"/>
    <s v="_x0000_US"/>
  </r>
  <r>
    <x v="1"/>
    <n v="13.686"/>
    <n v="-89.240499999999997"/>
    <n v="64400"/>
    <n v="0"/>
    <n v="0"/>
    <n v="102"/>
    <s v="_x0000_US"/>
  </r>
  <r>
    <x v="1"/>
    <n v="13.6861"/>
    <n v="-89.240499999999997"/>
    <n v="64400"/>
    <n v="0"/>
    <n v="0"/>
    <n v="102"/>
    <s v="_x0000_US"/>
  </r>
  <r>
    <x v="1"/>
    <n v="13.6861"/>
    <n v="-89.240399999999994"/>
    <n v="64400"/>
    <n v="0"/>
    <n v="0"/>
    <n v="102"/>
    <s v="_x0000_US"/>
  </r>
  <r>
    <x v="1"/>
    <n v="13.6861"/>
    <n v="-89.240399999999994"/>
    <n v="64400"/>
    <n v="0"/>
    <n v="0"/>
    <n v="102"/>
    <s v="_x0000_US"/>
  </r>
  <r>
    <x v="1"/>
    <n v="13.6861"/>
    <n v="-89.240399999999994"/>
    <n v="64400"/>
    <n v="0"/>
    <n v="0"/>
    <n v="102"/>
    <s v="_x0000_US"/>
  </r>
  <r>
    <x v="1"/>
    <n v="13.686199999999999"/>
    <n v="-89.240399999999994"/>
    <n v="64400"/>
    <n v="0"/>
    <n v="0"/>
    <n v="102"/>
    <s v="_x0000_US"/>
  </r>
  <r>
    <x v="1"/>
    <n v="13.686199999999999"/>
    <n v="-89.240399999999994"/>
    <n v="64400"/>
    <n v="0"/>
    <n v="0"/>
    <n v="102"/>
    <s v="_x0000_US"/>
  </r>
  <r>
    <x v="1"/>
    <n v="13.686199999999999"/>
    <n v="-89.240399999999994"/>
    <n v="64400"/>
    <n v="0"/>
    <n v="0"/>
    <n v="102"/>
    <s v="_x0000_US"/>
  </r>
  <r>
    <x v="1"/>
    <n v="13.686199999999999"/>
    <n v="-89.240499999999997"/>
    <n v="64400"/>
    <n v="0"/>
    <n v="0"/>
    <n v="102"/>
    <s v="_x0000_US"/>
  </r>
  <r>
    <x v="1"/>
    <n v="13.686199999999999"/>
    <n v="-89.240499999999997"/>
    <n v="64400"/>
    <n v="0"/>
    <n v="0"/>
    <n v="102"/>
    <s v="_x0000_US"/>
  </r>
  <r>
    <x v="1"/>
    <n v="13.686199999999999"/>
    <n v="-89.240499999999997"/>
    <n v="64400"/>
    <n v="0"/>
    <n v="0"/>
    <n v="102"/>
    <s v="_x0000_US"/>
  </r>
  <r>
    <x v="1"/>
    <n v="13.686400000000001"/>
    <n v="-89.240300000000005"/>
    <n v="64400"/>
    <n v="0"/>
    <n v="0"/>
    <n v="102"/>
    <s v="_x0000_US"/>
  </r>
  <r>
    <x v="1"/>
    <n v="13.686299999999999"/>
    <n v="-89.240300000000005"/>
    <n v="64400"/>
    <n v="0"/>
    <n v="0"/>
    <n v="102"/>
    <s v="_x0000_US"/>
  </r>
  <r>
    <x v="1"/>
    <n v="13.686299999999999"/>
    <n v="-89.240300000000005"/>
    <n v="64400"/>
    <n v="0"/>
    <n v="0"/>
    <n v="102"/>
    <s v="_x0000_US"/>
  </r>
  <r>
    <x v="1"/>
    <n v="13.686299999999999"/>
    <n v="-89.240300000000005"/>
    <n v="64400"/>
    <n v="0"/>
    <n v="0"/>
    <n v="102"/>
    <s v="_x0000_US"/>
  </r>
  <r>
    <x v="1"/>
    <n v="13.686400000000001"/>
    <n v="-89.240200000000002"/>
    <n v="64400"/>
    <n v="0"/>
    <n v="0"/>
    <n v="102"/>
    <s v="_x0000_US"/>
  </r>
  <r>
    <x v="1"/>
    <n v="13.686400000000001"/>
    <n v="-89.240200000000002"/>
    <n v="64400"/>
    <n v="0"/>
    <n v="0"/>
    <n v="102"/>
    <s v="_x0000_US"/>
  </r>
  <r>
    <x v="1"/>
    <n v="13.686400000000001"/>
    <n v="-89.240200000000002"/>
    <n v="64400"/>
    <n v="0"/>
    <n v="0"/>
    <n v="102"/>
    <s v="_x0000_US"/>
  </r>
  <r>
    <x v="1"/>
    <n v="13.686400000000001"/>
    <n v="-89.240200000000002"/>
    <n v="64400"/>
    <n v="0"/>
    <n v="0"/>
    <n v="102"/>
    <s v="_x0000_US"/>
  </r>
  <r>
    <x v="1"/>
    <n v="13.686199999999999"/>
    <n v="-89.240200000000002"/>
    <n v="64400"/>
    <n v="0"/>
    <n v="0"/>
    <n v="102"/>
    <s v="_x0000_US"/>
  </r>
  <r>
    <x v="1"/>
    <n v="13.686199999999999"/>
    <n v="-89.240200000000002"/>
    <n v="64400"/>
    <n v="0"/>
    <n v="0"/>
    <n v="102"/>
    <s v="_x0000_US"/>
  </r>
  <r>
    <x v="1"/>
    <n v="13.686199999999999"/>
    <n v="-89.240200000000002"/>
    <n v="64400"/>
    <n v="0"/>
    <n v="0"/>
    <n v="102"/>
    <s v="_x0000_US"/>
  </r>
  <r>
    <x v="1"/>
    <n v="13.686199999999999"/>
    <n v="-89.240200000000002"/>
    <n v="64400"/>
    <n v="0"/>
    <n v="0"/>
    <n v="102"/>
    <s v="_x0000_US"/>
  </r>
  <r>
    <x v="1"/>
    <n v="13.686199999999999"/>
    <n v="-89.240200000000002"/>
    <n v="64400"/>
    <n v="0"/>
    <n v="0"/>
    <n v="102"/>
    <s v="_x0000_US"/>
  </r>
  <r>
    <x v="1"/>
    <n v="13.686199999999999"/>
    <n v="-89.240200000000002"/>
    <n v="64400"/>
    <n v="0"/>
    <n v="0"/>
    <n v="102"/>
    <s v="_x0000_US"/>
  </r>
  <r>
    <x v="1"/>
    <n v="13.686199999999999"/>
    <n v="-89.240200000000002"/>
    <n v="64400"/>
    <n v="0"/>
    <n v="0"/>
    <n v="102"/>
    <s v="_x0000_US"/>
  </r>
  <r>
    <x v="1"/>
    <n v="13.6876"/>
    <n v="-89.242000000000004"/>
    <n v="64400"/>
    <n v="0"/>
    <n v="0"/>
    <n v="102"/>
    <s v="_x0000_US"/>
  </r>
  <r>
    <x v="1"/>
    <n v="13.6876"/>
    <n v="-89.241799999999998"/>
    <n v="64400"/>
    <n v="0"/>
    <n v="0"/>
    <n v="102"/>
    <s v="_x0000_US"/>
  </r>
  <r>
    <x v="1"/>
    <n v="13.687799999999999"/>
    <n v="-89.241"/>
    <n v="64400"/>
    <n v="0"/>
    <n v="0"/>
    <n v="102"/>
    <s v="_x0000_US"/>
  </r>
  <r>
    <x v="1"/>
    <n v="13.6876"/>
    <n v="-89.241"/>
    <n v="64400"/>
    <n v="0"/>
    <n v="0"/>
    <n v="102"/>
    <s v="_x0000_US"/>
  </r>
  <r>
    <x v="1"/>
    <n v="13.6873"/>
    <n v="-89.241100000000003"/>
    <n v="64400"/>
    <n v="0"/>
    <n v="0"/>
    <n v="102"/>
    <s v="_x0000_US"/>
  </r>
  <r>
    <x v="1"/>
    <n v="13.687200000000001"/>
    <n v="-89.241100000000003"/>
    <n v="64400"/>
    <n v="0"/>
    <n v="0"/>
    <n v="102"/>
    <s v="_x0000_US"/>
  </r>
  <r>
    <x v="1"/>
    <n v="13.687099999999999"/>
    <n v="-89.241100000000003"/>
    <n v="64400"/>
    <n v="0"/>
    <n v="0"/>
    <n v="102"/>
    <s v="_x0000_US"/>
  </r>
  <r>
    <x v="1"/>
    <n v="13.686999999999999"/>
    <n v="-89.241100000000003"/>
    <n v="64400"/>
    <n v="0"/>
    <n v="0"/>
    <n v="102"/>
    <s v="_x0000_US"/>
  </r>
  <r>
    <x v="1"/>
    <n v="13.6868"/>
    <n v="-89.241"/>
    <n v="64400"/>
    <n v="0"/>
    <n v="0"/>
    <n v="102"/>
    <s v="_x0000_US"/>
  </r>
  <r>
    <x v="1"/>
    <n v="13.686999999999999"/>
    <n v="-89.241600000000005"/>
    <n v="64400"/>
    <n v="0"/>
    <n v="0"/>
    <n v="102"/>
    <s v="_x0000_US"/>
  </r>
  <r>
    <x v="1"/>
    <n v="13.686999999999999"/>
    <n v="-89.240600000000001"/>
    <n v="64400"/>
    <n v="0"/>
    <n v="0"/>
    <n v="102"/>
    <s v="_x0000_US"/>
  </r>
  <r>
    <x v="1"/>
    <n v="13.687099999999999"/>
    <n v="-89.240499999999997"/>
    <n v="64400"/>
    <n v="0"/>
    <n v="0"/>
    <n v="102"/>
    <s v="_x0000_US"/>
  </r>
  <r>
    <x v="1"/>
    <n v="13.6876"/>
    <n v="-89.240700000000004"/>
    <n v="64400"/>
    <n v="0"/>
    <n v="0"/>
    <n v="102"/>
    <s v="_x0000_US"/>
  </r>
  <r>
    <x v="1"/>
    <n v="13.687799999999999"/>
    <n v="-89.240700000000004"/>
    <n v="64400"/>
    <n v="0"/>
    <n v="0"/>
    <n v="102"/>
    <s v="_x0000_US"/>
  </r>
  <r>
    <x v="1"/>
    <n v="13.688000000000001"/>
    <n v="-89.240600000000001"/>
    <n v="64400"/>
    <n v="0"/>
    <n v="0"/>
    <n v="102"/>
    <s v="_x0000_US"/>
  </r>
  <r>
    <x v="1"/>
    <n v="13.6884"/>
    <n v="-89.241100000000003"/>
    <n v="64400"/>
    <n v="0"/>
    <n v="0"/>
    <n v="102"/>
    <s v="_x0000_US"/>
  </r>
  <r>
    <x v="1"/>
    <n v="13.6883"/>
    <n v="-89.241799999999998"/>
    <n v="64400"/>
    <n v="0"/>
    <n v="0"/>
    <n v="102"/>
    <s v="_x0000_US"/>
  </r>
  <r>
    <x v="1"/>
    <n v="13.6883"/>
    <n v="-89.242400000000004"/>
    <n v="64400"/>
    <n v="0"/>
    <n v="0"/>
    <n v="102"/>
    <s v="_x0000_US"/>
  </r>
  <r>
    <x v="1"/>
    <n v="13.6868"/>
    <n v="-89.240499999999997"/>
    <n v="64400"/>
    <n v="0"/>
    <n v="0"/>
    <n v="102"/>
    <s v="_x0000_US"/>
  </r>
  <r>
    <x v="1"/>
    <n v="13.6868"/>
    <n v="-89.240300000000005"/>
    <n v="64400"/>
    <n v="0"/>
    <n v="0"/>
    <n v="102"/>
    <s v="_x0000_US"/>
  </r>
  <r>
    <x v="1"/>
    <n v="13.6869"/>
    <n v="-89.240099999999998"/>
    <n v="64400"/>
    <n v="0"/>
    <n v="0"/>
    <n v="102"/>
    <s v="_x0000_US"/>
  </r>
  <r>
    <x v="1"/>
    <n v="13.687099999999999"/>
    <n v="-89.24"/>
    <n v="64400"/>
    <n v="0"/>
    <n v="0"/>
    <n v="102"/>
    <s v="_x0000_US"/>
  </r>
  <r>
    <x v="1"/>
    <n v="13.6874"/>
    <n v="-89.24"/>
    <n v="64400"/>
    <n v="0"/>
    <n v="0"/>
    <n v="102"/>
    <s v="_x0000_US"/>
  </r>
  <r>
    <x v="1"/>
    <n v="13.6876"/>
    <n v="-89.24"/>
    <n v="64400"/>
    <n v="0"/>
    <n v="0"/>
    <n v="102"/>
    <s v="_x0000_US"/>
  </r>
  <r>
    <x v="1"/>
    <n v="13.687799999999999"/>
    <n v="-89.240099999999998"/>
    <n v="64400"/>
    <n v="0"/>
    <n v="0"/>
    <n v="102"/>
    <s v="_x0000_US"/>
  </r>
  <r>
    <x v="1"/>
    <n v="13.6873"/>
    <n v="-89.239500000000007"/>
    <n v="64400"/>
    <n v="0"/>
    <n v="0"/>
    <n v="102"/>
    <s v="_x0000_US"/>
  </r>
  <r>
    <x v="1"/>
    <n v="13.6874"/>
    <n v="-89.2393"/>
    <n v="64400"/>
    <n v="0"/>
    <n v="0"/>
    <n v="102"/>
    <s v="_x0000_US"/>
  </r>
  <r>
    <x v="1"/>
    <n v="13.687799999999999"/>
    <n v="-89.239599999999996"/>
    <n v="64400"/>
    <n v="0"/>
    <n v="0"/>
    <n v="102"/>
    <s v="_x0000_US"/>
  </r>
  <r>
    <x v="1"/>
    <n v="13.6883"/>
    <n v="-89.239000000000004"/>
    <n v="64400"/>
    <n v="0"/>
    <n v="0"/>
    <n v="102"/>
    <s v="_x0000_US"/>
  </r>
  <r>
    <x v="1"/>
    <n v="13.688499999999999"/>
    <n v="-89.238699999999994"/>
    <n v="64400"/>
    <n v="0"/>
    <n v="0"/>
    <n v="102"/>
    <s v="_x0000_US"/>
  </r>
  <r>
    <x v="1"/>
    <n v="13.688599999999999"/>
    <n v="-89.238600000000005"/>
    <n v="64400"/>
    <n v="0"/>
    <n v="0"/>
    <n v="102"/>
    <s v="_x0000_US"/>
  </r>
  <r>
    <x v="1"/>
    <n v="13.688700000000001"/>
    <n v="-89.238399999999999"/>
    <n v="64400"/>
    <n v="0"/>
    <n v="0"/>
    <n v="102"/>
    <s v="_x0000_US"/>
  </r>
  <r>
    <x v="1"/>
    <n v="13.688800000000001"/>
    <n v="-89.238299999999995"/>
    <n v="64400"/>
    <n v="0"/>
    <n v="0"/>
    <n v="102"/>
    <s v="_x0000_US"/>
  </r>
  <r>
    <x v="1"/>
    <n v="13.6889"/>
    <n v="-89.238100000000003"/>
    <n v="64400"/>
    <n v="0"/>
    <n v="0"/>
    <n v="102"/>
    <s v="_x0000_US"/>
  </r>
  <r>
    <x v="1"/>
    <n v="13.689"/>
    <n v="-89.238"/>
    <n v="64400"/>
    <n v="0"/>
    <n v="0"/>
    <n v="102"/>
    <s v="_x0000_US"/>
  </r>
  <r>
    <x v="1"/>
    <n v="13.6891"/>
    <n v="-89.237799999999993"/>
    <n v="64400"/>
    <n v="0"/>
    <n v="0"/>
    <n v="102"/>
    <s v="_x0000_US"/>
  </r>
  <r>
    <x v="1"/>
    <n v="13.6892"/>
    <n v="-89.237700000000004"/>
    <n v="64400"/>
    <n v="0"/>
    <n v="0"/>
    <n v="102"/>
    <s v="_x0000_US"/>
  </r>
  <r>
    <x v="1"/>
    <n v="13.689399999999999"/>
    <n v="-89.237399999999994"/>
    <n v="64400"/>
    <n v="0"/>
    <n v="0"/>
    <n v="102"/>
    <s v="_x0000_US"/>
  </r>
  <r>
    <x v="1"/>
    <n v="13.689500000000001"/>
    <n v="-89.237300000000005"/>
    <n v="64400"/>
    <n v="0"/>
    <n v="0"/>
    <n v="102"/>
    <s v="_x0000_US"/>
  </r>
  <r>
    <x v="1"/>
    <n v="13.689399999999999"/>
    <n v="-89.237200000000001"/>
    <n v="64400"/>
    <n v="0"/>
    <n v="0"/>
    <n v="102"/>
    <s v="_x0000_US"/>
  </r>
  <r>
    <x v="1"/>
    <n v="13.689299999999999"/>
    <n v="-89.237300000000005"/>
    <n v="64400"/>
    <n v="0"/>
    <n v="0"/>
    <n v="102"/>
    <s v="_x0000_US"/>
  </r>
  <r>
    <x v="1"/>
    <n v="13.6891"/>
    <n v="-89.237399999999994"/>
    <n v="64400"/>
    <n v="0"/>
    <n v="0"/>
    <n v="102"/>
    <s v="_x0000_US"/>
  </r>
  <r>
    <x v="1"/>
    <n v="13.688800000000001"/>
    <n v="-89.237899999999996"/>
    <n v="64400"/>
    <n v="0"/>
    <n v="0"/>
    <n v="102"/>
    <s v="_x0000_US"/>
  </r>
  <r>
    <x v="1"/>
    <n v="13.688599999999999"/>
    <n v="-89.238"/>
    <n v="64400"/>
    <n v="0"/>
    <n v="0"/>
    <n v="102"/>
    <s v="_x0000_US"/>
  </r>
  <r>
    <x v="1"/>
    <n v="13.688599999999999"/>
    <n v="-89.238100000000003"/>
    <n v="64400"/>
    <n v="0"/>
    <n v="0"/>
    <n v="102"/>
    <s v="_x0000_US"/>
  </r>
  <r>
    <x v="1"/>
    <n v="13.688599999999999"/>
    <n v="-89.238100000000003"/>
    <n v="64400"/>
    <n v="0"/>
    <n v="0"/>
    <n v="102"/>
    <s v="_x0000_US"/>
  </r>
  <r>
    <x v="1"/>
    <n v="13.688499999999999"/>
    <n v="-89.238200000000006"/>
    <n v="64400"/>
    <n v="0"/>
    <n v="0"/>
    <n v="102"/>
    <s v="_x0000_US"/>
  </r>
  <r>
    <x v="1"/>
    <n v="13.6884"/>
    <n v="-89.238399999999999"/>
    <n v="64400"/>
    <n v="0"/>
    <n v="0"/>
    <n v="102"/>
    <s v="_x0000_US"/>
  </r>
  <r>
    <x v="1"/>
    <n v="13.6883"/>
    <n v="-89.238500000000002"/>
    <n v="64400"/>
    <n v="0"/>
    <n v="0"/>
    <n v="102"/>
    <s v="_x0000_US"/>
  </r>
  <r>
    <x v="1"/>
    <n v="13.6882"/>
    <n v="-89.238699999999994"/>
    <n v="64400"/>
    <n v="0"/>
    <n v="0"/>
    <n v="102"/>
    <s v="_x0000_US"/>
  </r>
  <r>
    <x v="1"/>
    <n v="13.6881"/>
    <n v="-89.238799999999998"/>
    <n v="64400"/>
    <n v="0"/>
    <n v="0"/>
    <n v="102"/>
    <s v="_x0000_US"/>
  </r>
  <r>
    <x v="1"/>
    <n v="13.688700000000001"/>
    <n v="-89.239000000000004"/>
    <n v="64400"/>
    <n v="0"/>
    <n v="0"/>
    <n v="102"/>
    <s v="_x0000_US"/>
  </r>
  <r>
    <x v="1"/>
    <n v="13.688800000000001"/>
    <n v="-89.238799999999998"/>
    <n v="64400"/>
    <n v="0"/>
    <n v="0"/>
    <n v="102"/>
    <s v="_x0000_US"/>
  </r>
  <r>
    <x v="1"/>
    <n v="13.6889"/>
    <n v="-89.238600000000005"/>
    <n v="64400"/>
    <n v="0"/>
    <n v="0"/>
    <n v="102"/>
    <s v="_x0000_US"/>
  </r>
  <r>
    <x v="1"/>
    <n v="13.689299999999999"/>
    <n v="-89.238299999999995"/>
    <n v="64400"/>
    <n v="0"/>
    <n v="0"/>
    <n v="102"/>
    <s v="_x0000_US"/>
  </r>
  <r>
    <x v="1"/>
    <n v="13.6892"/>
    <n v="-89.238699999999994"/>
    <n v="64400"/>
    <n v="0"/>
    <n v="0"/>
    <n v="102"/>
    <s v="_x0000_US"/>
  </r>
  <r>
    <x v="1"/>
    <n v="13.689399999999999"/>
    <n v="-89.238"/>
    <n v="64400"/>
    <n v="0"/>
    <n v="0"/>
    <n v="102"/>
    <s v="_x0000_US"/>
  </r>
  <r>
    <x v="1"/>
    <n v="13.689399999999999"/>
    <n v="-89.237899999999996"/>
    <n v="64400"/>
    <n v="0"/>
    <n v="0"/>
    <n v="102"/>
    <s v="_x0000_US"/>
  </r>
  <r>
    <x v="1"/>
    <n v="13.6896"/>
    <n v="-89.237700000000004"/>
    <n v="64400"/>
    <n v="0"/>
    <n v="0"/>
    <n v="102"/>
    <s v="_x0000_US"/>
  </r>
  <r>
    <x v="1"/>
    <n v="13.6897"/>
    <n v="-89.237399999999994"/>
    <n v="64400"/>
    <n v="0"/>
    <n v="0"/>
    <n v="102"/>
    <s v="_x0000_US"/>
  </r>
  <r>
    <x v="1"/>
    <n v="13.6899"/>
    <n v="-89.237399999999994"/>
    <n v="64400"/>
    <n v="0"/>
    <n v="0"/>
    <n v="102"/>
    <s v="_x0000_US"/>
  </r>
  <r>
    <x v="1"/>
    <n v="13.6898"/>
    <n v="-89.237300000000005"/>
    <n v="64400"/>
    <n v="0"/>
    <n v="0"/>
    <n v="102"/>
    <s v="_x0000_US"/>
  </r>
  <r>
    <x v="1"/>
    <n v="13.6899"/>
    <n v="-89.237099999999998"/>
    <n v="64400"/>
    <n v="0"/>
    <n v="0"/>
    <n v="102"/>
    <s v="_x0000_US"/>
  </r>
  <r>
    <x v="1"/>
    <n v="13.6899"/>
    <n v="-89.236699999999999"/>
    <n v="64400"/>
    <n v="0"/>
    <n v="0"/>
    <n v="102"/>
    <s v="_x0000_US"/>
  </r>
  <r>
    <x v="1"/>
    <n v="13.6898"/>
    <n v="-89.236800000000002"/>
    <n v="64400"/>
    <n v="0"/>
    <n v="0"/>
    <n v="102"/>
    <s v="_x0000_US"/>
  </r>
  <r>
    <x v="1"/>
    <n v="13.6896"/>
    <n v="-89.236699999999999"/>
    <n v="64400"/>
    <n v="0"/>
    <n v="0"/>
    <n v="102"/>
    <s v="_x0000_US"/>
  </r>
  <r>
    <x v="1"/>
    <n v="13.689399999999999"/>
    <n v="-89.236599999999996"/>
    <n v="64400"/>
    <n v="0"/>
    <n v="0"/>
    <n v="102"/>
    <s v="_x0000_US"/>
  </r>
  <r>
    <x v="1"/>
    <n v="13.688700000000001"/>
    <n v="-89.237200000000001"/>
    <n v="64400"/>
    <n v="0"/>
    <n v="0"/>
    <n v="102"/>
    <s v="_x0000_US"/>
  </r>
  <r>
    <x v="1"/>
    <n v="13.688800000000001"/>
    <n v="-89.236999999999995"/>
    <n v="64400"/>
    <n v="0"/>
    <n v="0"/>
    <n v="102"/>
    <s v="_x0000_US"/>
  </r>
  <r>
    <x v="1"/>
    <n v="13.689"/>
    <n v="-89.236999999999995"/>
    <n v="64400"/>
    <n v="0"/>
    <n v="0"/>
    <n v="102"/>
    <s v="_x0000_US"/>
  </r>
  <r>
    <x v="1"/>
    <n v="13.6891"/>
    <n v="-89.236800000000002"/>
    <n v="64400"/>
    <n v="0"/>
    <n v="0"/>
    <n v="102"/>
    <s v="_x0000_US"/>
  </r>
  <r>
    <x v="1"/>
    <n v="13.689"/>
    <n v="-89.236699999999999"/>
    <n v="64400"/>
    <n v="0"/>
    <n v="0"/>
    <n v="102"/>
    <s v="_x0000_US"/>
  </r>
  <r>
    <x v="1"/>
    <n v="13.688800000000001"/>
    <n v="-89.236699999999999"/>
    <n v="64400"/>
    <n v="0"/>
    <n v="0"/>
    <n v="102"/>
    <s v="_x0000_US"/>
  </r>
  <r>
    <x v="1"/>
    <n v="13.688499999999999"/>
    <n v="-89.236699999999999"/>
    <n v="64400"/>
    <n v="0"/>
    <n v="0"/>
    <n v="102"/>
    <s v="_x0000_US"/>
  </r>
  <r>
    <x v="1"/>
    <n v="13.6884"/>
    <n v="-89.236800000000002"/>
    <n v="64400"/>
    <n v="0"/>
    <n v="0"/>
    <n v="102"/>
    <s v="_x0000_US"/>
  </r>
  <r>
    <x v="1"/>
    <n v="13.6882"/>
    <n v="-89.237499999999997"/>
    <n v="64400"/>
    <n v="0"/>
    <n v="0"/>
    <n v="102"/>
    <s v="_x0000_US"/>
  </r>
  <r>
    <x v="1"/>
    <n v="13.6884"/>
    <n v="-89.237700000000004"/>
    <n v="64400"/>
    <n v="0"/>
    <n v="0"/>
    <n v="102"/>
    <s v="_x0000_US"/>
  </r>
  <r>
    <x v="1"/>
    <n v="13.6883"/>
    <n v="-89.237799999999993"/>
    <n v="64400"/>
    <n v="0"/>
    <n v="0"/>
    <n v="102"/>
    <s v="_x0000_US"/>
  </r>
  <r>
    <x v="1"/>
    <n v="13.6882"/>
    <n v="-89.237899999999996"/>
    <n v="64400"/>
    <n v="0"/>
    <n v="0"/>
    <n v="102"/>
    <s v="_x0000_US"/>
  </r>
  <r>
    <x v="1"/>
    <n v="13.6881"/>
    <n v="-89.238"/>
    <n v="64400"/>
    <n v="0"/>
    <n v="0"/>
    <n v="102"/>
    <s v="_x0000_US"/>
  </r>
  <r>
    <x v="1"/>
    <n v="13.6881"/>
    <n v="-89.238200000000006"/>
    <n v="64400"/>
    <n v="0"/>
    <n v="0"/>
    <n v="102"/>
    <s v="_x0000_US"/>
  </r>
  <r>
    <x v="1"/>
    <n v="13.688000000000001"/>
    <n v="-89.238299999999995"/>
    <n v="64400"/>
    <n v="0"/>
    <n v="0"/>
    <n v="102"/>
    <s v="_x0000_US"/>
  </r>
  <r>
    <x v="1"/>
    <n v="13.687799999999999"/>
    <n v="-89.238600000000005"/>
    <n v="64400"/>
    <n v="0"/>
    <n v="0"/>
    <n v="102"/>
    <s v="_x0000_US"/>
  </r>
  <r>
    <x v="1"/>
    <n v="13.689299999999999"/>
    <n v="-89.239900000000006"/>
    <n v="64400"/>
    <n v="0"/>
    <n v="0"/>
    <n v="102"/>
    <s v="_x0000_US"/>
  </r>
  <r>
    <x v="1"/>
    <n v="13.6897"/>
    <n v="-89.239099999999993"/>
    <n v="64400"/>
    <n v="0"/>
    <n v="0"/>
    <n v="102"/>
    <s v="_x0000_US"/>
  </r>
  <r>
    <x v="1"/>
    <n v="13.691800000000001"/>
    <n v="-89.235200000000006"/>
    <n v="64400"/>
    <n v="0"/>
    <n v="0"/>
    <n v="102"/>
    <s v="_x0000_US"/>
  </r>
  <r>
    <x v="1"/>
    <n v="13.691800000000001"/>
    <n v="-89.234800000000007"/>
    <n v="64400"/>
    <n v="0"/>
    <n v="0"/>
    <n v="102"/>
    <s v="_x0000_US"/>
  </r>
  <r>
    <x v="1"/>
    <n v="13.6919"/>
    <n v="-89.2346"/>
    <n v="64400"/>
    <n v="0"/>
    <n v="0"/>
    <n v="102"/>
    <s v="_x0000_US"/>
  </r>
  <r>
    <x v="1"/>
    <n v="13.6919"/>
    <n v="-89.234499999999997"/>
    <n v="64400"/>
    <n v="0"/>
    <n v="0"/>
    <n v="102"/>
    <s v="_x0000_US"/>
  </r>
  <r>
    <x v="1"/>
    <n v="13.6919"/>
    <n v="-89.234399999999994"/>
    <n v="64400"/>
    <n v="0"/>
    <n v="0"/>
    <n v="102"/>
    <s v="_x0000_US"/>
  </r>
  <r>
    <x v="1"/>
    <n v="13.6919"/>
    <n v="-89.234200000000001"/>
    <n v="64400"/>
    <n v="0"/>
    <n v="0"/>
    <n v="102"/>
    <s v="_x0000_US"/>
  </r>
  <r>
    <x v="1"/>
    <n v="13.6919"/>
    <n v="-89.234099999999998"/>
    <n v="64400"/>
    <n v="0"/>
    <n v="0"/>
    <n v="102"/>
    <s v="_x0000_US"/>
  </r>
  <r>
    <x v="1"/>
    <n v="13.6919"/>
    <n v="-89.233999999999995"/>
    <n v="64400"/>
    <n v="0"/>
    <n v="0"/>
    <n v="102"/>
    <s v="_x0000_US"/>
  </r>
  <r>
    <x v="1"/>
    <n v="13.692"/>
    <n v="-89.233800000000002"/>
    <n v="64400"/>
    <n v="0"/>
    <n v="0"/>
    <n v="102"/>
    <s v="_x0000_US"/>
  </r>
  <r>
    <x v="1"/>
    <n v="13.6919"/>
    <n v="-89.233800000000002"/>
    <n v="64400"/>
    <n v="0"/>
    <n v="0"/>
    <n v="102"/>
    <s v="_x0000_US"/>
  </r>
  <r>
    <x v="1"/>
    <n v="13.691800000000001"/>
    <n v="-89.233800000000002"/>
    <n v="64400"/>
    <n v="0"/>
    <n v="0"/>
    <n v="102"/>
    <s v="_x0000_US"/>
  </r>
  <r>
    <x v="1"/>
    <n v="13.691800000000001"/>
    <n v="-89.233800000000002"/>
    <n v="64400"/>
    <n v="0"/>
    <n v="0"/>
    <n v="102"/>
    <s v="_x0000_US"/>
  </r>
  <r>
    <x v="1"/>
    <n v="13.6922"/>
    <n v="-89.234200000000001"/>
    <n v="64400"/>
    <n v="0"/>
    <n v="0"/>
    <n v="102"/>
    <s v="_x0000_US"/>
  </r>
  <r>
    <x v="1"/>
    <n v="13.6922"/>
    <n v="-89.234399999999994"/>
    <n v="64400"/>
    <n v="0"/>
    <n v="0"/>
    <n v="102"/>
    <s v="_x0000_US"/>
  </r>
  <r>
    <x v="1"/>
    <n v="13.692399999999999"/>
    <n v="-89.234399999999994"/>
    <n v="64400"/>
    <n v="0"/>
    <n v="0"/>
    <n v="102"/>
    <s v="_x0000_US"/>
  </r>
  <r>
    <x v="1"/>
    <n v="13.6922"/>
    <n v="-89.234700000000004"/>
    <n v="64400"/>
    <n v="0"/>
    <n v="0"/>
    <n v="102"/>
    <s v="_x0000_US"/>
  </r>
  <r>
    <x v="1"/>
    <n v="13.692299999999999"/>
    <n v="-89.233599999999996"/>
    <n v="64400"/>
    <n v="0"/>
    <n v="0"/>
    <n v="102"/>
    <s v="_x0000_US"/>
  </r>
  <r>
    <x v="1"/>
    <n v="13.6915"/>
    <n v="-89.231099999999998"/>
    <n v="64400"/>
    <n v="0"/>
    <n v="0"/>
    <n v="102"/>
    <s v="_x0000_US"/>
  </r>
  <r>
    <x v="1"/>
    <n v="13.6915"/>
    <n v="-89.231200000000001"/>
    <n v="64400"/>
    <n v="0"/>
    <n v="0"/>
    <n v="102"/>
    <s v="_x0000_US"/>
  </r>
  <r>
    <x v="1"/>
    <n v="13.6915"/>
    <n v="-89.231300000000005"/>
    <n v="64400"/>
    <n v="0"/>
    <n v="0"/>
    <n v="102"/>
    <s v="_x0000_US"/>
  </r>
  <r>
    <x v="1"/>
    <n v="13.6915"/>
    <n v="-89.231399999999994"/>
    <n v="64400"/>
    <n v="0"/>
    <n v="0"/>
    <n v="102"/>
    <s v="_x0000_US"/>
  </r>
  <r>
    <x v="1"/>
    <n v="13.6914"/>
    <n v="-89.231999999999999"/>
    <n v="64400"/>
    <n v="0"/>
    <n v="0"/>
    <n v="102"/>
    <s v="_x0000_US"/>
  </r>
  <r>
    <x v="1"/>
    <n v="13.6914"/>
    <n v="-89.231899999999996"/>
    <n v="64400"/>
    <n v="0"/>
    <n v="0"/>
    <n v="102"/>
    <s v="_x0000_US"/>
  </r>
  <r>
    <x v="1"/>
    <n v="13.6914"/>
    <n v="-89.231800000000007"/>
    <n v="64400"/>
    <n v="0"/>
    <n v="0"/>
    <n v="102"/>
    <s v="_x0000_US"/>
  </r>
  <r>
    <x v="1"/>
    <n v="13.6914"/>
    <n v="-89.231700000000004"/>
    <n v="64400"/>
    <n v="0"/>
    <n v="0"/>
    <n v="102"/>
    <s v="_x0000_US"/>
  </r>
  <r>
    <x v="1"/>
    <n v="13.6914"/>
    <n v="-89.2316"/>
    <n v="64400"/>
    <n v="0"/>
    <n v="0"/>
    <n v="102"/>
    <s v="_x0000_US"/>
  </r>
  <r>
    <x v="1"/>
    <n v="13.6914"/>
    <n v="-89.2316"/>
    <n v="64400"/>
    <n v="0"/>
    <n v="0"/>
    <n v="102"/>
    <s v="_x0000_US"/>
  </r>
  <r>
    <x v="1"/>
    <n v="13.6915"/>
    <n v="-89.231499999999997"/>
    <n v="64400"/>
    <n v="0"/>
    <n v="0"/>
    <n v="102"/>
    <s v="_x0000_US"/>
  </r>
  <r>
    <x v="1"/>
    <n v="13.6915"/>
    <n v="-89.232200000000006"/>
    <n v="64400"/>
    <n v="0"/>
    <n v="0"/>
    <n v="102"/>
    <s v="_x0000_US"/>
  </r>
  <r>
    <x v="1"/>
    <n v="13.691599999999999"/>
    <n v="-89.232200000000006"/>
    <n v="64400"/>
    <n v="0"/>
    <n v="0"/>
    <n v="102"/>
    <s v="_x0000_US"/>
  </r>
  <r>
    <x v="1"/>
    <n v="13.691700000000001"/>
    <n v="-89.232200000000006"/>
    <n v="64400"/>
    <n v="0"/>
    <n v="0"/>
    <n v="102"/>
    <s v="_x0000_US"/>
  </r>
  <r>
    <x v="1"/>
    <n v="13.691800000000001"/>
    <n v="-89.232100000000003"/>
    <n v="64400"/>
    <n v="0"/>
    <n v="0"/>
    <n v="102"/>
    <s v="_x0000_US"/>
  </r>
  <r>
    <x v="1"/>
    <n v="13.691599999999999"/>
    <n v="-89.231999999999999"/>
    <n v="64400"/>
    <n v="0"/>
    <n v="0"/>
    <n v="102"/>
    <s v="_x0000_US"/>
  </r>
  <r>
    <x v="1"/>
    <n v="13.691599999999999"/>
    <n v="-89.231899999999996"/>
    <n v="64400"/>
    <n v="0"/>
    <n v="0"/>
    <n v="102"/>
    <s v="_x0000_US"/>
  </r>
  <r>
    <x v="1"/>
    <n v="13.691599999999999"/>
    <n v="-89.231800000000007"/>
    <n v="64400"/>
    <n v="0"/>
    <n v="0"/>
    <n v="102"/>
    <s v="_x0000_US"/>
  </r>
  <r>
    <x v="1"/>
    <n v="13.691599999999999"/>
    <n v="-89.231800000000007"/>
    <n v="64400"/>
    <n v="0"/>
    <n v="0"/>
    <n v="102"/>
    <s v="_x0000_US"/>
  </r>
  <r>
    <x v="1"/>
    <n v="13.691599999999999"/>
    <n v="-89.231700000000004"/>
    <n v="64400"/>
    <n v="0"/>
    <n v="0"/>
    <n v="102"/>
    <s v="_x0000_US"/>
  </r>
  <r>
    <x v="1"/>
    <n v="13.691599999999999"/>
    <n v="-89.2316"/>
    <n v="64400"/>
    <n v="0"/>
    <n v="0"/>
    <n v="102"/>
    <s v="_x0000_US"/>
  </r>
  <r>
    <x v="1"/>
    <n v="13.691599999999999"/>
    <n v="-89.231499999999997"/>
    <n v="64400"/>
    <n v="0"/>
    <n v="0"/>
    <n v="102"/>
    <s v="_x0000_US"/>
  </r>
  <r>
    <x v="1"/>
    <n v="13.691700000000001"/>
    <n v="-89.231399999999994"/>
    <n v="64400"/>
    <n v="0"/>
    <n v="0"/>
    <n v="102"/>
    <s v="_x0000_US"/>
  </r>
  <r>
    <x v="1"/>
    <n v="13.691700000000001"/>
    <n v="-89.231300000000005"/>
    <n v="64400"/>
    <n v="0"/>
    <n v="0"/>
    <n v="102"/>
    <s v="_x0000_US"/>
  </r>
  <r>
    <x v="1"/>
    <n v="13.691700000000001"/>
    <n v="-89.231200000000001"/>
    <n v="64400"/>
    <n v="0"/>
    <n v="0"/>
    <n v="102"/>
    <s v="_x0000_US"/>
  </r>
  <r>
    <x v="1"/>
    <n v="13.691700000000001"/>
    <n v="-89.231099999999998"/>
    <n v="64400"/>
    <n v="0"/>
    <n v="0"/>
    <n v="102"/>
    <s v="_x0000_US"/>
  </r>
  <r>
    <x v="1"/>
    <n v="13.6922"/>
    <n v="-89.230800000000002"/>
    <n v="64400"/>
    <n v="0"/>
    <n v="0"/>
    <n v="102"/>
    <s v="_x0000_US"/>
  </r>
  <r>
    <x v="1"/>
    <n v="13.6921"/>
    <n v="-89.230800000000002"/>
    <n v="64400"/>
    <n v="0"/>
    <n v="0"/>
    <n v="102"/>
    <s v="_x0000_US"/>
  </r>
  <r>
    <x v="1"/>
    <n v="13.692"/>
    <n v="-89.230800000000002"/>
    <n v="64400"/>
    <n v="0"/>
    <n v="0"/>
    <n v="102"/>
    <s v="_x0000_US"/>
  </r>
  <r>
    <x v="1"/>
    <n v="13.6919"/>
    <n v="-89.230699999999999"/>
    <n v="64400"/>
    <n v="0"/>
    <n v="0"/>
    <n v="102"/>
    <s v="_x0000_US"/>
  </r>
  <r>
    <x v="1"/>
    <n v="13.6812"/>
    <n v="-89.2453"/>
    <n v="64400"/>
    <n v="0"/>
    <n v="0"/>
    <n v="102"/>
    <s v="_x0000_US"/>
  </r>
  <r>
    <x v="1"/>
    <n v="13.685"/>
    <n v="-89.244200000000006"/>
    <n v="64400"/>
    <n v="0"/>
    <n v="0"/>
    <n v="102"/>
    <s v="_x0000_US"/>
  </r>
  <r>
    <x v="1"/>
    <n v="13.685"/>
    <n v="-89.244200000000006"/>
    <n v="64400"/>
    <n v="0"/>
    <n v="0"/>
    <n v="102"/>
    <s v="_x0000_US"/>
  </r>
  <r>
    <x v="1"/>
    <n v="13.685"/>
    <n v="-89.244200000000006"/>
    <n v="64400"/>
    <n v="0"/>
    <n v="0"/>
    <n v="102"/>
    <s v="_x0000_US"/>
  </r>
  <r>
    <x v="1"/>
    <n v="13.685"/>
    <n v="-89.244200000000006"/>
    <n v="64400"/>
    <n v="0"/>
    <n v="0"/>
    <n v="102"/>
    <s v="_x0000_US"/>
  </r>
  <r>
    <x v="1"/>
    <n v="13.685"/>
    <n v="-89.244100000000003"/>
    <n v="64400"/>
    <n v="0"/>
    <n v="0"/>
    <n v="102"/>
    <s v="_x0000_US"/>
  </r>
  <r>
    <x v="1"/>
    <n v="13.685"/>
    <n v="-89.244100000000003"/>
    <n v="64400"/>
    <n v="0"/>
    <n v="0"/>
    <n v="102"/>
    <s v="_x0000_US"/>
  </r>
  <r>
    <x v="1"/>
    <n v="13.685"/>
    <n v="-89.244100000000003"/>
    <n v="64400"/>
    <n v="0"/>
    <n v="0"/>
    <n v="102"/>
    <s v="_x0000_US"/>
  </r>
  <r>
    <x v="1"/>
    <n v="13.685"/>
    <n v="-89.244100000000003"/>
    <n v="64400"/>
    <n v="0"/>
    <n v="0"/>
    <n v="102"/>
    <s v="_x0000_US"/>
  </r>
  <r>
    <x v="1"/>
    <n v="13.685"/>
    <n v="-89.243899999999996"/>
    <n v="64400"/>
    <n v="0"/>
    <n v="0"/>
    <n v="102"/>
    <s v="_x0000_US"/>
  </r>
  <r>
    <x v="1"/>
    <n v="13.685"/>
    <n v="-89.243899999999996"/>
    <n v="64400"/>
    <n v="0"/>
    <n v="0"/>
    <n v="102"/>
    <s v="_x0000_US"/>
  </r>
  <r>
    <x v="1"/>
    <n v="13.685"/>
    <n v="-89.243899999999996"/>
    <n v="64400"/>
    <n v="0"/>
    <n v="0"/>
    <n v="102"/>
    <s v="_x0000_US"/>
  </r>
  <r>
    <x v="1"/>
    <n v="13.685"/>
    <n v="-89.243899999999996"/>
    <n v="64400"/>
    <n v="0"/>
    <n v="0"/>
    <n v="102"/>
    <s v="_x0000_US"/>
  </r>
  <r>
    <x v="1"/>
    <n v="13.685"/>
    <n v="-89.243899999999996"/>
    <n v="64400"/>
    <n v="0"/>
    <n v="0"/>
    <n v="102"/>
    <s v="_x0000_US"/>
  </r>
  <r>
    <x v="1"/>
    <n v="13.685"/>
    <n v="-89.243899999999996"/>
    <n v="64400"/>
    <n v="0"/>
    <n v="0"/>
    <n v="102"/>
    <s v="_x0000_US"/>
  </r>
  <r>
    <x v="1"/>
    <n v="13.685"/>
    <n v="-89.243899999999996"/>
    <n v="64400"/>
    <n v="0"/>
    <n v="0"/>
    <n v="102"/>
    <s v="_x0000_US"/>
  </r>
  <r>
    <x v="1"/>
    <n v="13.685"/>
    <n v="-89.243899999999996"/>
    <n v="64400"/>
    <n v="0"/>
    <n v="0"/>
    <n v="102"/>
    <s v="_x0000_US"/>
  </r>
  <r>
    <x v="1"/>
    <n v="13.6851"/>
    <n v="-89.243499999999997"/>
    <n v="64400"/>
    <n v="0"/>
    <n v="0"/>
    <n v="102"/>
    <s v="_x0000_US"/>
  </r>
  <r>
    <x v="1"/>
    <n v="13.684799999999999"/>
    <n v="-89.243799999999993"/>
    <n v="64400"/>
    <n v="0"/>
    <n v="0"/>
    <n v="102"/>
    <s v="_x0000_US"/>
  </r>
  <r>
    <x v="1"/>
    <n v="13.684699999999999"/>
    <n v="-89.243799999999993"/>
    <n v="64400"/>
    <n v="0"/>
    <n v="0"/>
    <n v="102"/>
    <s v="_x0000_US"/>
  </r>
  <r>
    <x v="1"/>
    <n v="13.684699999999999"/>
    <n v="-89.243799999999993"/>
    <n v="64400"/>
    <n v="0"/>
    <n v="0"/>
    <n v="102"/>
    <s v="_x0000_US"/>
  </r>
  <r>
    <x v="1"/>
    <n v="13.684699999999999"/>
    <n v="-89.243799999999993"/>
    <n v="64400"/>
    <n v="0"/>
    <n v="0"/>
    <n v="102"/>
    <s v="_x0000_US"/>
  </r>
  <r>
    <x v="1"/>
    <n v="13.684699999999999"/>
    <n v="-89.243799999999993"/>
    <n v="64400"/>
    <n v="0"/>
    <n v="0"/>
    <n v="102"/>
    <s v="_x0000_US"/>
  </r>
  <r>
    <x v="1"/>
    <n v="13.684699999999999"/>
    <n v="-89.243899999999996"/>
    <n v="64400"/>
    <n v="0"/>
    <n v="0"/>
    <n v="102"/>
    <s v="_x0000_US"/>
  </r>
  <r>
    <x v="1"/>
    <n v="13.684699999999999"/>
    <n v="-89.243899999999996"/>
    <n v="64400"/>
    <n v="0"/>
    <n v="0"/>
    <n v="102"/>
    <s v="_x0000_US"/>
  </r>
  <r>
    <x v="1"/>
    <n v="13.684699999999999"/>
    <n v="-89.243899999999996"/>
    <n v="64400"/>
    <n v="0"/>
    <n v="0"/>
    <n v="102"/>
    <s v="_x0000_US"/>
  </r>
  <r>
    <x v="1"/>
    <n v="13.684699999999999"/>
    <n v="-89.244"/>
    <n v="64400"/>
    <n v="0"/>
    <n v="0"/>
    <n v="102"/>
    <s v="_x0000_US"/>
  </r>
  <r>
    <x v="1"/>
    <n v="13.684699999999999"/>
    <n v="-89.244"/>
    <n v="64400"/>
    <n v="0"/>
    <n v="0"/>
    <n v="102"/>
    <s v="_x0000_US"/>
  </r>
  <r>
    <x v="1"/>
    <n v="13.684699999999999"/>
    <n v="-89.244"/>
    <n v="64400"/>
    <n v="0"/>
    <n v="0"/>
    <n v="102"/>
    <s v="_x0000_US"/>
  </r>
  <r>
    <x v="1"/>
    <n v="13.684699999999999"/>
    <n v="-89.244"/>
    <n v="64400"/>
    <n v="0"/>
    <n v="0"/>
    <n v="102"/>
    <s v="_x0000_US"/>
  </r>
  <r>
    <x v="1"/>
    <n v="13.684699999999999"/>
    <n v="-89.244100000000003"/>
    <n v="64400"/>
    <n v="0"/>
    <n v="0"/>
    <n v="102"/>
    <s v="_x0000_US"/>
  </r>
  <r>
    <x v="1"/>
    <n v="13.684699999999999"/>
    <n v="-89.244100000000003"/>
    <n v="64400"/>
    <n v="0"/>
    <n v="0"/>
    <n v="102"/>
    <s v="_x0000_US"/>
  </r>
  <r>
    <x v="1"/>
    <n v="13.684699999999999"/>
    <n v="-89.244200000000006"/>
    <n v="64400"/>
    <n v="0"/>
    <n v="0"/>
    <n v="102"/>
    <s v="_x0000_US"/>
  </r>
  <r>
    <x v="1"/>
    <n v="13.684699999999999"/>
    <n v="-89.244200000000006"/>
    <n v="64400"/>
    <n v="0"/>
    <n v="0"/>
    <n v="102"/>
    <s v="_x0000_US"/>
  </r>
  <r>
    <x v="1"/>
    <n v="13.6853"/>
    <n v="-89.242999999999995"/>
    <n v="64400"/>
    <n v="0"/>
    <n v="0"/>
    <n v="102"/>
    <s v="_x0000_US"/>
  </r>
  <r>
    <x v="1"/>
    <n v="13.6854"/>
    <n v="-89.242699999999999"/>
    <n v="64400"/>
    <n v="0"/>
    <n v="0"/>
    <n v="102"/>
    <s v="_x0000_US"/>
  </r>
  <r>
    <x v="1"/>
    <n v="13.684900000000001"/>
    <n v="-89.242599999999996"/>
    <n v="64400"/>
    <n v="0"/>
    <n v="0"/>
    <n v="102"/>
    <s v="_x0000_US"/>
  </r>
  <r>
    <x v="1"/>
    <n v="13.684100000000001"/>
    <n v="-89.240200000000002"/>
    <n v="64400"/>
    <n v="0"/>
    <n v="0"/>
    <n v="102"/>
    <s v="_x0000_US"/>
  </r>
  <r>
    <x v="1"/>
    <n v="13.684100000000001"/>
    <n v="-89.215599999999995"/>
    <n v="18300"/>
    <n v="0"/>
    <n v="0"/>
    <n v="102"/>
    <s v="_x0000_US"/>
  </r>
  <r>
    <x v="1"/>
    <n v="13.684100000000001"/>
    <n v="-89.215500000000006"/>
    <n v="18300"/>
    <n v="0"/>
    <n v="0"/>
    <n v="102"/>
    <s v="_x0000_US"/>
  </r>
  <r>
    <x v="1"/>
    <n v="13.684100000000001"/>
    <n v="-89.215299999999999"/>
    <n v="18300"/>
    <n v="0"/>
    <n v="0"/>
    <n v="102"/>
    <s v="_x0000_US"/>
  </r>
  <r>
    <x v="1"/>
    <n v="13.684100000000001"/>
    <n v="-89.2149"/>
    <n v="18300"/>
    <n v="0"/>
    <n v="0"/>
    <n v="102"/>
    <s v="_x0000_US"/>
  </r>
  <r>
    <x v="1"/>
    <n v="13.684100000000001"/>
    <n v="-89.214799999999997"/>
    <n v="18300"/>
    <n v="0"/>
    <n v="0"/>
    <n v="102"/>
    <s v="_x0000_US"/>
  </r>
  <r>
    <x v="1"/>
    <n v="13.684200000000001"/>
    <n v="-89.2149"/>
    <n v="18300"/>
    <n v="0"/>
    <n v="0"/>
    <n v="102"/>
    <s v="_x0000_US"/>
  </r>
  <r>
    <x v="1"/>
    <n v="13.6843"/>
    <n v="-89.214699999999993"/>
    <n v="18300"/>
    <n v="0"/>
    <n v="0"/>
    <n v="102"/>
    <s v="_x0000_US"/>
  </r>
  <r>
    <x v="1"/>
    <n v="13.684200000000001"/>
    <n v="-89.214600000000004"/>
    <n v="18300"/>
    <n v="0"/>
    <n v="0"/>
    <n v="102"/>
    <s v="_x0000_US"/>
  </r>
  <r>
    <x v="1"/>
    <n v="13.684100000000001"/>
    <n v="-89.214600000000004"/>
    <n v="18300"/>
    <n v="0"/>
    <n v="0"/>
    <n v="102"/>
    <s v="_x0000_US"/>
  </r>
  <r>
    <x v="1"/>
    <n v="13.684200000000001"/>
    <n v="-89.2149"/>
    <n v="18300"/>
    <n v="0"/>
    <n v="0"/>
    <n v="102"/>
    <s v="_x0000_US"/>
  </r>
  <r>
    <x v="1"/>
    <n v="13.684200000000001"/>
    <n v="-89.214500000000001"/>
    <n v="18300"/>
    <n v="0"/>
    <n v="0"/>
    <n v="102"/>
    <s v="_x0000_US"/>
  </r>
  <r>
    <x v="1"/>
    <n v="13.684100000000001"/>
    <n v="-89.214500000000001"/>
    <n v="18300"/>
    <n v="0"/>
    <n v="0"/>
    <n v="102"/>
    <s v="_x0000_US"/>
  </r>
  <r>
    <x v="1"/>
    <n v="13.684200000000001"/>
    <n v="-89.214200000000005"/>
    <n v="18300"/>
    <n v="0"/>
    <n v="0"/>
    <n v="102"/>
    <s v="_x0000_US"/>
  </r>
  <r>
    <x v="1"/>
    <n v="13.684100000000001"/>
    <n v="-89.214200000000005"/>
    <n v="18300"/>
    <n v="0"/>
    <n v="0"/>
    <n v="102"/>
    <s v="_x0000_US"/>
  </r>
  <r>
    <x v="1"/>
    <n v="13.69"/>
    <n v="-89.22"/>
    <n v="49860"/>
    <n v="0"/>
    <n v="0"/>
    <n v="102"/>
    <s v="_x0000_US"/>
  </r>
  <r>
    <x v="1"/>
    <n v="13.69"/>
    <n v="-89.219800000000006"/>
    <n v="49860"/>
    <n v="0"/>
    <n v="0"/>
    <n v="102"/>
    <s v="_x0000_US"/>
  </r>
  <r>
    <x v="1"/>
    <n v="13.6899"/>
    <n v="-89.219800000000006"/>
    <n v="49860"/>
    <n v="0"/>
    <n v="0"/>
    <n v="102"/>
    <s v="_x0000_US"/>
  </r>
  <r>
    <x v="1"/>
    <n v="13.6896"/>
    <n v="-89.219200000000001"/>
    <n v="49860"/>
    <n v="0"/>
    <n v="0"/>
    <n v="102"/>
    <s v="_x0000_US"/>
  </r>
  <r>
    <x v="1"/>
    <n v="13.689500000000001"/>
    <n v="-89.219099999999997"/>
    <n v="49860"/>
    <n v="0"/>
    <n v="0"/>
    <n v="102"/>
    <s v="_x0000_US"/>
  </r>
  <r>
    <x v="1"/>
    <n v="13.689399999999999"/>
    <n v="-89.219499999999996"/>
    <n v="49860"/>
    <n v="0"/>
    <n v="0"/>
    <n v="102"/>
    <s v="_x0000_US"/>
  </r>
  <r>
    <x v="1"/>
    <n v="13.689500000000001"/>
    <n v="-89.219099999999997"/>
    <n v="49860"/>
    <n v="0"/>
    <n v="0"/>
    <n v="102"/>
    <s v="_x0000_US"/>
  </r>
  <r>
    <x v="1"/>
    <n v="13.689399999999999"/>
    <n v="-89.218999999999994"/>
    <n v="49860"/>
    <n v="0"/>
    <n v="0"/>
    <n v="102"/>
    <s v="_x0000_US"/>
  </r>
  <r>
    <x v="1"/>
    <n v="13.6897"/>
    <n v="-89.22"/>
    <n v="49860"/>
    <n v="0"/>
    <n v="0"/>
    <n v="102"/>
    <s v="_x0000_US"/>
  </r>
  <r>
    <x v="1"/>
    <n v="13.6897"/>
    <n v="-89.219899999999996"/>
    <n v="49860"/>
    <n v="0"/>
    <n v="0"/>
    <n v="102"/>
    <s v="_x0000_US"/>
  </r>
  <r>
    <x v="1"/>
    <n v="13.6896"/>
    <n v="-89.219800000000006"/>
    <n v="49860"/>
    <n v="0"/>
    <n v="0"/>
    <n v="102"/>
    <s v="_x0000_US"/>
  </r>
  <r>
    <x v="1"/>
    <n v="13.6896"/>
    <n v="-89.219700000000003"/>
    <n v="49860"/>
    <n v="0"/>
    <n v="0"/>
    <n v="102"/>
    <s v="_x0000_US"/>
  </r>
  <r>
    <x v="1"/>
    <n v="13.689500000000001"/>
    <n v="-89.2196"/>
    <n v="49860"/>
    <n v="0"/>
    <n v="0"/>
    <n v="102"/>
    <s v="_x0000_US"/>
  </r>
  <r>
    <x v="1"/>
    <n v="13.6896"/>
    <n v="-89.220500000000001"/>
    <n v="49860"/>
    <n v="0"/>
    <n v="0"/>
    <n v="102"/>
    <s v="_x0000_US"/>
  </r>
  <r>
    <x v="1"/>
    <n v="13.6896"/>
    <n v="-89.220500000000001"/>
    <n v="49860"/>
    <n v="0"/>
    <n v="0"/>
    <n v="102"/>
    <s v="_x0000_US"/>
  </r>
  <r>
    <x v="1"/>
    <n v="13.6896"/>
    <n v="-89.220399999999998"/>
    <n v="49860"/>
    <n v="0"/>
    <n v="0"/>
    <n v="102"/>
    <s v="_x0000_US"/>
  </r>
  <r>
    <x v="1"/>
    <n v="13.689500000000001"/>
    <n v="-89.220299999999995"/>
    <n v="49860"/>
    <n v="0"/>
    <n v="0"/>
    <n v="102"/>
    <s v="_x0000_US"/>
  </r>
  <r>
    <x v="1"/>
    <n v="13.689399999999999"/>
    <n v="-89.220600000000005"/>
    <n v="49860"/>
    <n v="0"/>
    <n v="0"/>
    <n v="102"/>
    <s v="_x0000_US"/>
  </r>
  <r>
    <x v="1"/>
    <n v="13.689500000000001"/>
    <n v="-89.220100000000002"/>
    <n v="49860"/>
    <n v="0"/>
    <n v="0"/>
    <n v="102"/>
    <s v="_x0000_US"/>
  </r>
  <r>
    <x v="1"/>
    <n v="13.689399999999999"/>
    <n v="-89.220100000000002"/>
    <n v="49860"/>
    <n v="0"/>
    <n v="0"/>
    <n v="102"/>
    <s v="_x0000_US"/>
  </r>
  <r>
    <x v="1"/>
    <n v="13.689299999999999"/>
    <n v="-89.220500000000001"/>
    <n v="49860"/>
    <n v="0"/>
    <n v="0"/>
    <n v="102"/>
    <s v="_x0000_US"/>
  </r>
  <r>
    <x v="1"/>
    <n v="13.689299999999999"/>
    <n v="-89.220399999999998"/>
    <n v="49860"/>
    <n v="0"/>
    <n v="0"/>
    <n v="102"/>
    <s v="_x0000_US"/>
  </r>
  <r>
    <x v="1"/>
    <n v="13.689299999999999"/>
    <n v="-89.22"/>
    <n v="49860"/>
    <n v="0"/>
    <n v="0"/>
    <n v="102"/>
    <s v="_x0000_US"/>
  </r>
  <r>
    <x v="1"/>
    <n v="13.6892"/>
    <n v="-89.220399999999998"/>
    <n v="49860"/>
    <n v="0"/>
    <n v="0"/>
    <n v="102"/>
    <s v="_x0000_US"/>
  </r>
  <r>
    <x v="1"/>
    <n v="13.6892"/>
    <n v="-89.220299999999995"/>
    <n v="49860"/>
    <n v="0"/>
    <n v="0"/>
    <n v="102"/>
    <s v="_x0000_US"/>
  </r>
  <r>
    <x v="1"/>
    <n v="13.6892"/>
    <n v="-89.220200000000006"/>
    <n v="49860"/>
    <n v="0"/>
    <n v="0"/>
    <n v="102"/>
    <s v="_x0000_US"/>
  </r>
  <r>
    <x v="1"/>
    <n v="13.6891"/>
    <n v="-89.220100000000002"/>
    <n v="49860"/>
    <n v="0"/>
    <n v="0"/>
    <n v="102"/>
    <s v="_x0000_US"/>
  </r>
  <r>
    <x v="1"/>
    <n v="13.689299999999999"/>
    <n v="-89.219899999999996"/>
    <n v="49860"/>
    <n v="0"/>
    <n v="0"/>
    <n v="102"/>
    <s v="_x0000_US"/>
  </r>
  <r>
    <x v="1"/>
    <n v="13.6891"/>
    <n v="-89.22"/>
    <n v="49860"/>
    <n v="0"/>
    <n v="0"/>
    <n v="102"/>
    <s v="_x0000_US"/>
  </r>
  <r>
    <x v="1"/>
    <n v="13.6892"/>
    <n v="-89.219700000000003"/>
    <n v="49860"/>
    <n v="0"/>
    <n v="0"/>
    <n v="102"/>
    <s v="_x0000_US"/>
  </r>
  <r>
    <x v="1"/>
    <n v="13.6892"/>
    <n v="-89.219700000000003"/>
    <n v="49860"/>
    <n v="0"/>
    <n v="0"/>
    <n v="102"/>
    <s v="_x0000_US"/>
  </r>
  <r>
    <x v="1"/>
    <n v="13.6891"/>
    <n v="-89.2196"/>
    <n v="49860"/>
    <n v="0"/>
    <n v="0"/>
    <n v="102"/>
    <s v="_x0000_US"/>
  </r>
  <r>
    <x v="1"/>
    <n v="13.6891"/>
    <n v="-89.219499999999996"/>
    <n v="49860"/>
    <n v="0"/>
    <n v="0"/>
    <n v="102"/>
    <s v="_x0000_US"/>
  </r>
  <r>
    <x v="1"/>
    <n v="13.689"/>
    <n v="-89.219200000000001"/>
    <n v="49860"/>
    <n v="0"/>
    <n v="0"/>
    <n v="102"/>
    <s v="_x0000_US"/>
  </r>
  <r>
    <x v="1"/>
    <n v="13.6891"/>
    <n v="-89.219099999999997"/>
    <n v="49860"/>
    <n v="0"/>
    <n v="0"/>
    <n v="102"/>
    <s v="_x0000_US"/>
  </r>
  <r>
    <x v="1"/>
    <n v="13.6892"/>
    <n v="-89.219099999999997"/>
    <n v="49860"/>
    <n v="0"/>
    <n v="0"/>
    <n v="102"/>
    <s v="_x0000_US"/>
  </r>
  <r>
    <x v="1"/>
    <n v="13.689500000000001"/>
    <n v="-89.2196"/>
    <n v="49860"/>
    <n v="0"/>
    <n v="0"/>
    <n v="102"/>
    <s v="_x0000_US"/>
  </r>
  <r>
    <x v="1"/>
    <n v="13.689399999999999"/>
    <n v="-89.219399999999993"/>
    <n v="49860"/>
    <n v="0"/>
    <n v="0"/>
    <n v="102"/>
    <s v="_x0000_US"/>
  </r>
  <r>
    <x v="1"/>
    <n v="13.689299999999999"/>
    <n v="-89.219300000000004"/>
    <n v="49860"/>
    <n v="0"/>
    <n v="0"/>
    <n v="102"/>
    <s v="_x0000_US"/>
  </r>
  <r>
    <x v="1"/>
    <n v="13.6873"/>
    <n v="-89.209599999999995"/>
    <n v="36700"/>
    <n v="0"/>
    <n v="0"/>
    <n v="102"/>
    <s v="_x0000_US"/>
  </r>
  <r>
    <x v="1"/>
    <n v="13.687200000000001"/>
    <n v="-89.209599999999995"/>
    <n v="36700"/>
    <n v="0"/>
    <n v="0"/>
    <n v="102"/>
    <s v="_x0000_US"/>
  </r>
  <r>
    <x v="1"/>
    <n v="13.6889"/>
    <n v="-89.2102"/>
    <n v="36700"/>
    <n v="0"/>
    <n v="0"/>
    <n v="102"/>
    <s v="_x0000_US"/>
  </r>
  <r>
    <x v="1"/>
    <n v="13.6889"/>
    <n v="-89.2102"/>
    <n v="36700"/>
    <n v="0"/>
    <n v="0"/>
    <n v="102"/>
    <s v="_x0000_US"/>
  </r>
  <r>
    <x v="1"/>
    <n v="13.6889"/>
    <n v="-89.2102"/>
    <n v="36700"/>
    <n v="0"/>
    <n v="0"/>
    <n v="102"/>
    <s v="_x0000_US"/>
  </r>
  <r>
    <x v="1"/>
    <n v="13.6889"/>
    <n v="-89.2102"/>
    <n v="36700"/>
    <n v="0"/>
    <n v="0"/>
    <n v="102"/>
    <s v="_x0000_US"/>
  </r>
  <r>
    <x v="1"/>
    <n v="13.6889"/>
    <n v="-89.210099999999997"/>
    <n v="36700"/>
    <n v="0"/>
    <n v="0"/>
    <n v="102"/>
    <s v="_x0000_US"/>
  </r>
  <r>
    <x v="1"/>
    <n v="13.6889"/>
    <n v="-89.210099999999997"/>
    <n v="36700"/>
    <n v="0"/>
    <n v="0"/>
    <n v="102"/>
    <s v="_x0000_US"/>
  </r>
  <r>
    <x v="1"/>
    <n v="13.6889"/>
    <n v="-89.210099999999997"/>
    <n v="36700"/>
    <n v="0"/>
    <n v="0"/>
    <n v="102"/>
    <s v="_x0000_US"/>
  </r>
  <r>
    <x v="1"/>
    <n v="13.6889"/>
    <n v="-89.210099999999997"/>
    <n v="36700"/>
    <n v="0"/>
    <n v="0"/>
    <n v="102"/>
    <s v="_x0000_US"/>
  </r>
  <r>
    <x v="1"/>
    <n v="13.6889"/>
    <n v="-89.21"/>
    <n v="36700"/>
    <n v="0"/>
    <n v="0"/>
    <n v="102"/>
    <s v="_x0000_US"/>
  </r>
  <r>
    <x v="1"/>
    <n v="13.6889"/>
    <n v="-89.21"/>
    <n v="36700"/>
    <n v="0"/>
    <n v="0"/>
    <n v="102"/>
    <s v="_x0000_US"/>
  </r>
  <r>
    <x v="1"/>
    <n v="13.6889"/>
    <n v="-89.21"/>
    <n v="36700"/>
    <n v="0"/>
    <n v="0"/>
    <n v="102"/>
    <s v="_x0000_US"/>
  </r>
  <r>
    <x v="1"/>
    <n v="13.6889"/>
    <n v="-89.21"/>
    <n v="36700"/>
    <n v="0"/>
    <n v="0"/>
    <n v="102"/>
    <s v="_x0000_US"/>
  </r>
  <r>
    <x v="1"/>
    <n v="13.6889"/>
    <n v="-89.21"/>
    <n v="36700"/>
    <n v="0"/>
    <n v="0"/>
    <n v="102"/>
    <s v="_x0000_US"/>
  </r>
  <r>
    <x v="1"/>
    <n v="13.6889"/>
    <n v="-89.21"/>
    <n v="36700"/>
    <n v="0"/>
    <n v="0"/>
    <n v="102"/>
    <s v="_x0000_US"/>
  </r>
  <r>
    <x v="1"/>
    <n v="13.6889"/>
    <n v="-89.21"/>
    <n v="36700"/>
    <n v="0"/>
    <n v="0"/>
    <n v="102"/>
    <s v="_x0000_US"/>
  </r>
  <r>
    <x v="1"/>
    <n v="13.6889"/>
    <n v="-89.21"/>
    <n v="36700"/>
    <n v="0"/>
    <n v="0"/>
    <n v="102"/>
    <s v="_x0000_US"/>
  </r>
  <r>
    <x v="1"/>
    <n v="13.688800000000001"/>
    <n v="-89.2102"/>
    <n v="36700"/>
    <n v="0"/>
    <n v="0"/>
    <n v="102"/>
    <s v="_x0000_US"/>
  </r>
  <r>
    <x v="1"/>
    <n v="13.688700000000001"/>
    <n v="-89.2102"/>
    <n v="36700"/>
    <n v="0"/>
    <n v="0"/>
    <n v="102"/>
    <s v="_x0000_US"/>
  </r>
  <r>
    <x v="1"/>
    <n v="13.688700000000001"/>
    <n v="-89.2102"/>
    <n v="36700"/>
    <n v="0"/>
    <n v="0"/>
    <n v="102"/>
    <s v="_x0000_US"/>
  </r>
  <r>
    <x v="1"/>
    <n v="13.688700000000001"/>
    <n v="-89.2102"/>
    <n v="36700"/>
    <n v="0"/>
    <n v="0"/>
    <n v="102"/>
    <s v="_x0000_US"/>
  </r>
  <r>
    <x v="1"/>
    <n v="13.688700000000001"/>
    <n v="-89.210099999999997"/>
    <n v="36700"/>
    <n v="0"/>
    <n v="0"/>
    <n v="102"/>
    <s v="_x0000_US"/>
  </r>
  <r>
    <x v="1"/>
    <n v="13.688700000000001"/>
    <n v="-89.210099999999997"/>
    <n v="36700"/>
    <n v="0"/>
    <n v="0"/>
    <n v="102"/>
    <s v="_x0000_US"/>
  </r>
  <r>
    <x v="1"/>
    <n v="13.688700000000001"/>
    <n v="-89.210099999999997"/>
    <n v="36700"/>
    <n v="0"/>
    <n v="0"/>
    <n v="102"/>
    <s v="_x0000_US"/>
  </r>
  <r>
    <x v="1"/>
    <n v="13.688700000000001"/>
    <n v="-89.210099999999997"/>
    <n v="36700"/>
    <n v="0"/>
    <n v="0"/>
    <n v="102"/>
    <s v="_x0000_US"/>
  </r>
  <r>
    <x v="1"/>
    <n v="13.688700000000001"/>
    <n v="-89.21"/>
    <n v="36700"/>
    <n v="0"/>
    <n v="0"/>
    <n v="102"/>
    <s v="_x0000_US"/>
  </r>
  <r>
    <x v="1"/>
    <n v="13.688700000000001"/>
    <n v="-89.21"/>
    <n v="36700"/>
    <n v="0"/>
    <n v="0"/>
    <n v="102"/>
    <s v="_x0000_US"/>
  </r>
  <r>
    <x v="1"/>
    <n v="13.688700000000001"/>
    <n v="-89.21"/>
    <n v="36700"/>
    <n v="0"/>
    <n v="0"/>
    <n v="102"/>
    <s v="_x0000_US"/>
  </r>
  <r>
    <x v="1"/>
    <n v="13.688700000000001"/>
    <n v="-89.21"/>
    <n v="36700"/>
    <n v="0"/>
    <n v="0"/>
    <n v="102"/>
    <s v="_x0000_US"/>
  </r>
  <r>
    <x v="1"/>
    <n v="13.688700000000001"/>
    <n v="-89.21"/>
    <n v="36700"/>
    <n v="0"/>
    <n v="0"/>
    <n v="102"/>
    <s v="_x0000_US"/>
  </r>
  <r>
    <x v="1"/>
    <n v="13.688700000000001"/>
    <n v="-89.21"/>
    <n v="36700"/>
    <n v="0"/>
    <n v="0"/>
    <n v="102"/>
    <s v="_x0000_US"/>
  </r>
  <r>
    <x v="1"/>
    <n v="13.688700000000001"/>
    <n v="-89.21"/>
    <n v="36700"/>
    <n v="0"/>
    <n v="0"/>
    <n v="102"/>
    <s v="_x0000_US"/>
  </r>
  <r>
    <x v="1"/>
    <n v="13.688700000000001"/>
    <n v="-89.21"/>
    <n v="36700"/>
    <n v="0"/>
    <n v="0"/>
    <n v="102"/>
    <s v="_x0000_US"/>
  </r>
  <r>
    <x v="1"/>
    <n v="13.688599999999999"/>
    <n v="-89.2102"/>
    <n v="36700"/>
    <n v="0"/>
    <n v="0"/>
    <n v="102"/>
    <s v="_x0000_US"/>
  </r>
  <r>
    <x v="1"/>
    <n v="13.688599999999999"/>
    <n v="-89.2102"/>
    <n v="36700"/>
    <n v="0"/>
    <n v="0"/>
    <n v="102"/>
    <s v="_x0000_US"/>
  </r>
  <r>
    <x v="1"/>
    <n v="13.688599999999999"/>
    <n v="-89.2102"/>
    <n v="36700"/>
    <n v="0"/>
    <n v="0"/>
    <n v="102"/>
    <s v="_x0000_US"/>
  </r>
  <r>
    <x v="1"/>
    <n v="13.688599999999999"/>
    <n v="-89.2102"/>
    <n v="36700"/>
    <n v="0"/>
    <n v="0"/>
    <n v="102"/>
    <s v="_x0000_US"/>
  </r>
  <r>
    <x v="1"/>
    <n v="13.688599999999999"/>
    <n v="-89.2102"/>
    <n v="36700"/>
    <n v="0"/>
    <n v="0"/>
    <n v="102"/>
    <s v="_x0000_US"/>
  </r>
  <r>
    <x v="1"/>
    <n v="13.688599999999999"/>
    <n v="-89.2102"/>
    <n v="36700"/>
    <n v="0"/>
    <n v="0"/>
    <n v="102"/>
    <s v="_x0000_US"/>
  </r>
  <r>
    <x v="1"/>
    <n v="13.688599999999999"/>
    <n v="-89.2102"/>
    <n v="36700"/>
    <n v="0"/>
    <n v="0"/>
    <n v="102"/>
    <s v="_x0000_US"/>
  </r>
  <r>
    <x v="1"/>
    <n v="13.688599999999999"/>
    <n v="-89.2102"/>
    <n v="36700"/>
    <n v="0"/>
    <n v="0"/>
    <n v="102"/>
    <s v="_x0000_US"/>
  </r>
  <r>
    <x v="1"/>
    <n v="13.688599999999999"/>
    <n v="-89.210099999999997"/>
    <n v="36700"/>
    <n v="0"/>
    <n v="0"/>
    <n v="102"/>
    <s v="_x0000_US"/>
  </r>
  <r>
    <x v="1"/>
    <n v="13.688599999999999"/>
    <n v="-89.210099999999997"/>
    <n v="36700"/>
    <n v="0"/>
    <n v="0"/>
    <n v="102"/>
    <s v="_x0000_US"/>
  </r>
  <r>
    <x v="1"/>
    <n v="13.688599999999999"/>
    <n v="-89.210099999999997"/>
    <n v="36700"/>
    <n v="0"/>
    <n v="0"/>
    <n v="102"/>
    <s v="_x0000_US"/>
  </r>
  <r>
    <x v="1"/>
    <n v="13.688599999999999"/>
    <n v="-89.210099999999997"/>
    <n v="36700"/>
    <n v="0"/>
    <n v="0"/>
    <n v="102"/>
    <s v="_x0000_US"/>
  </r>
  <r>
    <x v="1"/>
    <n v="13.688599999999999"/>
    <n v="-89.21"/>
    <n v="36700"/>
    <n v="0"/>
    <n v="0"/>
    <n v="102"/>
    <s v="_x0000_US"/>
  </r>
  <r>
    <x v="1"/>
    <n v="13.688599999999999"/>
    <n v="-89.21"/>
    <n v="36700"/>
    <n v="0"/>
    <n v="0"/>
    <n v="102"/>
    <s v="_x0000_US"/>
  </r>
  <r>
    <x v="1"/>
    <n v="13.688599999999999"/>
    <n v="-89.21"/>
    <n v="36700"/>
    <n v="0"/>
    <n v="0"/>
    <n v="102"/>
    <s v="_x0000_US"/>
  </r>
  <r>
    <x v="1"/>
    <n v="13.688599999999999"/>
    <n v="-89.21"/>
    <n v="36700"/>
    <n v="0"/>
    <n v="0"/>
    <n v="102"/>
    <s v="_x0000_US"/>
  </r>
  <r>
    <x v="1"/>
    <n v="13.688499999999999"/>
    <n v="-89.2102"/>
    <n v="36700"/>
    <n v="0"/>
    <n v="0"/>
    <n v="102"/>
    <s v="_x0000_US"/>
  </r>
  <r>
    <x v="1"/>
    <n v="13.688499999999999"/>
    <n v="-89.2102"/>
    <n v="36700"/>
    <n v="0"/>
    <n v="0"/>
    <n v="102"/>
    <s v="_x0000_US"/>
  </r>
  <r>
    <x v="1"/>
    <n v="13.688499999999999"/>
    <n v="-89.2102"/>
    <n v="36700"/>
    <n v="0"/>
    <n v="0"/>
    <n v="102"/>
    <s v="_x0000_US"/>
  </r>
  <r>
    <x v="1"/>
    <n v="13.6884"/>
    <n v="-89.2102"/>
    <n v="36700"/>
    <n v="0"/>
    <n v="0"/>
    <n v="102"/>
    <s v="_x0000_US"/>
  </r>
  <r>
    <x v="1"/>
    <n v="13.688499999999999"/>
    <n v="-89.2102"/>
    <n v="36700"/>
    <n v="0"/>
    <n v="0"/>
    <n v="102"/>
    <s v="_x0000_US"/>
  </r>
  <r>
    <x v="1"/>
    <n v="13.688499999999999"/>
    <n v="-89.2102"/>
    <n v="36700"/>
    <n v="0"/>
    <n v="0"/>
    <n v="102"/>
    <s v="_x0000_US"/>
  </r>
  <r>
    <x v="1"/>
    <n v="13.6884"/>
    <n v="-89.2102"/>
    <n v="36700"/>
    <n v="0"/>
    <n v="0"/>
    <n v="102"/>
    <s v="_x0000_US"/>
  </r>
  <r>
    <x v="1"/>
    <n v="13.6884"/>
    <n v="-89.2102"/>
    <n v="36700"/>
    <n v="0"/>
    <n v="0"/>
    <n v="102"/>
    <s v="_x0000_US"/>
  </r>
  <r>
    <x v="1"/>
    <n v="13.688499999999999"/>
    <n v="-89.210099999999997"/>
    <n v="36700"/>
    <n v="0"/>
    <n v="0"/>
    <n v="102"/>
    <s v="_x0000_US"/>
  </r>
  <r>
    <x v="1"/>
    <n v="13.6884"/>
    <n v="-89.210099999999997"/>
    <n v="36700"/>
    <n v="0"/>
    <n v="0"/>
    <n v="102"/>
    <s v="_x0000_US"/>
  </r>
  <r>
    <x v="1"/>
    <n v="13.6884"/>
    <n v="-89.210099999999997"/>
    <n v="36700"/>
    <n v="0"/>
    <n v="0"/>
    <n v="102"/>
    <s v="_x0000_US"/>
  </r>
  <r>
    <x v="1"/>
    <n v="13.6884"/>
    <n v="-89.210099999999997"/>
    <n v="36700"/>
    <n v="0"/>
    <n v="0"/>
    <n v="102"/>
    <s v="_x0000_US"/>
  </r>
  <r>
    <x v="1"/>
    <n v="13.688499999999999"/>
    <n v="-89.21"/>
    <n v="36700"/>
    <n v="0"/>
    <n v="0"/>
    <n v="102"/>
    <s v="_x0000_US"/>
  </r>
  <r>
    <x v="1"/>
    <n v="13.6884"/>
    <n v="-89.21"/>
    <n v="36700"/>
    <n v="0"/>
    <n v="0"/>
    <n v="102"/>
    <s v="_x0000_US"/>
  </r>
  <r>
    <x v="1"/>
    <n v="13.6884"/>
    <n v="-89.21"/>
    <n v="36700"/>
    <n v="0"/>
    <n v="0"/>
    <n v="102"/>
    <s v="_x0000_US"/>
  </r>
  <r>
    <x v="1"/>
    <n v="13.6884"/>
    <n v="-89.21"/>
    <n v="36700"/>
    <n v="0"/>
    <n v="0"/>
    <n v="102"/>
    <s v="_x0000_US"/>
  </r>
  <r>
    <x v="1"/>
    <n v="13.6883"/>
    <n v="-89.2102"/>
    <n v="36700"/>
    <n v="0"/>
    <n v="0"/>
    <n v="102"/>
    <s v="_x0000_US"/>
  </r>
  <r>
    <x v="1"/>
    <n v="13.6883"/>
    <n v="-89.2102"/>
    <n v="36700"/>
    <n v="0"/>
    <n v="0"/>
    <n v="102"/>
    <s v="_x0000_US"/>
  </r>
  <r>
    <x v="1"/>
    <n v="13.6883"/>
    <n v="-89.2102"/>
    <n v="36700"/>
    <n v="0"/>
    <n v="0"/>
    <n v="102"/>
    <s v="_x0000_US"/>
  </r>
  <r>
    <x v="1"/>
    <n v="13.6883"/>
    <n v="-89.2102"/>
    <n v="36700"/>
    <n v="0"/>
    <n v="0"/>
    <n v="102"/>
    <s v="_x0000_US"/>
  </r>
  <r>
    <x v="1"/>
    <n v="13.6883"/>
    <n v="-89.2102"/>
    <n v="36700"/>
    <n v="0"/>
    <n v="0"/>
    <n v="102"/>
    <s v="_x0000_US"/>
  </r>
  <r>
    <x v="1"/>
    <n v="13.6883"/>
    <n v="-89.2102"/>
    <n v="36700"/>
    <n v="0"/>
    <n v="0"/>
    <n v="102"/>
    <s v="_x0000_US"/>
  </r>
  <r>
    <x v="1"/>
    <n v="13.6883"/>
    <n v="-89.2102"/>
    <n v="36700"/>
    <n v="0"/>
    <n v="0"/>
    <n v="102"/>
    <s v="_x0000_US"/>
  </r>
  <r>
    <x v="1"/>
    <n v="13.6883"/>
    <n v="-89.2102"/>
    <n v="36700"/>
    <n v="0"/>
    <n v="0"/>
    <n v="102"/>
    <s v="_x0000_US"/>
  </r>
  <r>
    <x v="1"/>
    <n v="13.6883"/>
    <n v="-89.210099999999997"/>
    <n v="36700"/>
    <n v="0"/>
    <n v="0"/>
    <n v="102"/>
    <s v="_x0000_US"/>
  </r>
  <r>
    <x v="1"/>
    <n v="13.6883"/>
    <n v="-89.210099999999997"/>
    <n v="36700"/>
    <n v="0"/>
    <n v="0"/>
    <n v="102"/>
    <s v="_x0000_US"/>
  </r>
  <r>
    <x v="1"/>
    <n v="13.6883"/>
    <n v="-89.210099999999997"/>
    <n v="36700"/>
    <n v="0"/>
    <n v="0"/>
    <n v="102"/>
    <s v="_x0000_US"/>
  </r>
  <r>
    <x v="1"/>
    <n v="13.6883"/>
    <n v="-89.210099999999997"/>
    <n v="36700"/>
    <n v="0"/>
    <n v="0"/>
    <n v="102"/>
    <s v="_x0000_US"/>
  </r>
  <r>
    <x v="1"/>
    <n v="13.6883"/>
    <n v="-89.21"/>
    <n v="36700"/>
    <n v="0"/>
    <n v="0"/>
    <n v="102"/>
    <s v="_x0000_US"/>
  </r>
  <r>
    <x v="1"/>
    <n v="13.6883"/>
    <n v="-89.21"/>
    <n v="36700"/>
    <n v="0"/>
    <n v="0"/>
    <n v="102"/>
    <s v="_x0000_US"/>
  </r>
  <r>
    <x v="1"/>
    <n v="13.6883"/>
    <n v="-89.21"/>
    <n v="36700"/>
    <n v="0"/>
    <n v="0"/>
    <n v="102"/>
    <s v="_x0000_US"/>
  </r>
  <r>
    <x v="1"/>
    <n v="13.6883"/>
    <n v="-89.21"/>
    <n v="36700"/>
    <n v="0"/>
    <n v="0"/>
    <n v="102"/>
    <s v="_x0000_US"/>
  </r>
  <r>
    <x v="1"/>
    <n v="13.6883"/>
    <n v="-89.210599999999999"/>
    <n v="36700"/>
    <n v="0"/>
    <n v="0"/>
    <n v="102"/>
    <s v="_x0000_US"/>
  </r>
  <r>
    <x v="1"/>
    <n v="13.6883"/>
    <n v="-89.210599999999999"/>
    <n v="36700"/>
    <n v="0"/>
    <n v="0"/>
    <n v="102"/>
    <s v="_x0000_US"/>
  </r>
  <r>
    <x v="1"/>
    <n v="13.6883"/>
    <n v="-89.210599999999999"/>
    <n v="36700"/>
    <n v="0"/>
    <n v="0"/>
    <n v="102"/>
    <s v="_x0000_US"/>
  </r>
  <r>
    <x v="1"/>
    <n v="13.6883"/>
    <n v="-89.210599999999999"/>
    <n v="36700"/>
    <n v="0"/>
    <n v="0"/>
    <n v="102"/>
    <s v="_x0000_US"/>
  </r>
  <r>
    <x v="1"/>
    <n v="13.6883"/>
    <n v="-89.210599999999999"/>
    <n v="36700"/>
    <n v="0"/>
    <n v="0"/>
    <n v="102"/>
    <s v="_x0000_US"/>
  </r>
  <r>
    <x v="1"/>
    <n v="13.6883"/>
    <n v="-89.210599999999999"/>
    <n v="36700"/>
    <n v="0"/>
    <n v="0"/>
    <n v="102"/>
    <s v="_x0000_US"/>
  </r>
  <r>
    <x v="1"/>
    <n v="13.6883"/>
    <n v="-89.210599999999999"/>
    <n v="36700"/>
    <n v="0"/>
    <n v="0"/>
    <n v="102"/>
    <s v="_x0000_US"/>
  </r>
  <r>
    <x v="1"/>
    <n v="13.6883"/>
    <n v="-89.210599999999999"/>
    <n v="36700"/>
    <n v="0"/>
    <n v="0"/>
    <n v="102"/>
    <s v="_x0000_US"/>
  </r>
  <r>
    <x v="1"/>
    <n v="13.6883"/>
    <n v="-89.210499999999996"/>
    <n v="36700"/>
    <n v="0"/>
    <n v="0"/>
    <n v="102"/>
    <s v="_x0000_US"/>
  </r>
  <r>
    <x v="1"/>
    <n v="13.6883"/>
    <n v="-89.210499999999996"/>
    <n v="36700"/>
    <n v="0"/>
    <n v="0"/>
    <n v="102"/>
    <s v="_x0000_US"/>
  </r>
  <r>
    <x v="1"/>
    <n v="13.6883"/>
    <n v="-89.210499999999996"/>
    <n v="36700"/>
    <n v="0"/>
    <n v="0"/>
    <n v="102"/>
    <s v="_x0000_US"/>
  </r>
  <r>
    <x v="1"/>
    <n v="13.6882"/>
    <n v="-89.210499999999996"/>
    <n v="36700"/>
    <n v="0"/>
    <n v="0"/>
    <n v="102"/>
    <s v="_x0000_US"/>
  </r>
  <r>
    <x v="1"/>
    <n v="13.6883"/>
    <n v="-89.210400000000007"/>
    <n v="36700"/>
    <n v="0"/>
    <n v="0"/>
    <n v="102"/>
    <s v="_x0000_US"/>
  </r>
  <r>
    <x v="1"/>
    <n v="13.6883"/>
    <n v="-89.210400000000007"/>
    <n v="36700"/>
    <n v="0"/>
    <n v="0"/>
    <n v="102"/>
    <s v="_x0000_US"/>
  </r>
  <r>
    <x v="1"/>
    <n v="13.6882"/>
    <n v="-89.210400000000007"/>
    <n v="36700"/>
    <n v="0"/>
    <n v="0"/>
    <n v="102"/>
    <s v="_x0000_US"/>
  </r>
  <r>
    <x v="1"/>
    <n v="13.6882"/>
    <n v="-89.210400000000007"/>
    <n v="36700"/>
    <n v="0"/>
    <n v="0"/>
    <n v="102"/>
    <s v="_x0000_US"/>
  </r>
  <r>
    <x v="1"/>
    <n v="13.688700000000001"/>
    <n v="-89.208500000000001"/>
    <n v="36700"/>
    <n v="0"/>
    <n v="0"/>
    <n v="102"/>
    <s v="_x0000_US"/>
  </r>
  <r>
    <x v="1"/>
    <n v="13.688700000000001"/>
    <n v="-89.208500000000001"/>
    <n v="36700"/>
    <n v="0"/>
    <n v="0"/>
    <n v="102"/>
    <s v="_x0000_US"/>
  </r>
  <r>
    <x v="1"/>
    <n v="13.688599999999999"/>
    <n v="-89.208500000000001"/>
    <n v="36700"/>
    <n v="0"/>
    <n v="0"/>
    <n v="102"/>
    <s v="_x0000_US"/>
  </r>
  <r>
    <x v="1"/>
    <n v="13.688599999999999"/>
    <n v="-89.208500000000001"/>
    <n v="36700"/>
    <n v="0"/>
    <n v="0"/>
    <n v="102"/>
    <s v="_x0000_US"/>
  </r>
  <r>
    <x v="1"/>
    <n v="13.688599999999999"/>
    <n v="-89.208600000000004"/>
    <n v="36700"/>
    <n v="0"/>
    <n v="0"/>
    <n v="102"/>
    <s v="_x0000_US"/>
  </r>
  <r>
    <x v="1"/>
    <n v="13.688599999999999"/>
    <n v="-89.208600000000004"/>
    <n v="36700"/>
    <n v="0"/>
    <n v="0"/>
    <n v="102"/>
    <s v="_x0000_US"/>
  </r>
  <r>
    <x v="1"/>
    <n v="13.688599999999999"/>
    <n v="-89.208600000000004"/>
    <n v="36700"/>
    <n v="0"/>
    <n v="0"/>
    <n v="102"/>
    <s v="_x0000_US"/>
  </r>
  <r>
    <x v="1"/>
    <n v="13.688499999999999"/>
    <n v="-89.208600000000004"/>
    <n v="36700"/>
    <n v="0"/>
    <n v="0"/>
    <n v="102"/>
    <s v="_x0000_US"/>
  </r>
  <r>
    <x v="1"/>
    <n v="13.688499999999999"/>
    <n v="-89.208600000000004"/>
    <n v="36700"/>
    <n v="0"/>
    <n v="0"/>
    <n v="102"/>
    <s v="_x0000_US"/>
  </r>
  <r>
    <x v="1"/>
    <n v="13.688499999999999"/>
    <n v="-89.208600000000004"/>
    <n v="36700"/>
    <n v="0"/>
    <n v="0"/>
    <n v="102"/>
    <s v="_x0000_US"/>
  </r>
  <r>
    <x v="1"/>
    <n v="13.688499999999999"/>
    <n v="-89.208600000000004"/>
    <n v="36700"/>
    <n v="0"/>
    <n v="0"/>
    <n v="102"/>
    <s v="_x0000_US"/>
  </r>
  <r>
    <x v="1"/>
    <n v="13.688499999999999"/>
    <n v="-89.208600000000004"/>
    <n v="36700"/>
    <n v="0"/>
    <n v="0"/>
    <n v="102"/>
    <s v="_x0000_US"/>
  </r>
  <r>
    <x v="1"/>
    <n v="13.6882"/>
    <n v="-89.208799999999997"/>
    <n v="36700"/>
    <n v="0"/>
    <n v="0"/>
    <n v="102"/>
    <s v="_x0000_US"/>
  </r>
  <r>
    <x v="1"/>
    <n v="13.6882"/>
    <n v="-89.208799999999997"/>
    <n v="36700"/>
    <n v="0"/>
    <n v="0"/>
    <n v="102"/>
    <s v="_x0000_US"/>
  </r>
  <r>
    <x v="1"/>
    <n v="13.6882"/>
    <n v="-89.208799999999997"/>
    <n v="36700"/>
    <n v="0"/>
    <n v="0"/>
    <n v="102"/>
    <s v="_x0000_US"/>
  </r>
  <r>
    <x v="1"/>
    <n v="13.6882"/>
    <n v="-89.208799999999997"/>
    <n v="36700"/>
    <n v="0"/>
    <n v="0"/>
    <n v="102"/>
    <s v="_x0000_US"/>
  </r>
  <r>
    <x v="1"/>
    <n v="13.6882"/>
    <n v="-89.208699999999993"/>
    <n v="36700"/>
    <n v="0"/>
    <n v="0"/>
    <n v="102"/>
    <s v="_x0000_US"/>
  </r>
  <r>
    <x v="1"/>
    <n v="13.6882"/>
    <n v="-89.208699999999993"/>
    <n v="36700"/>
    <n v="0"/>
    <n v="0"/>
    <n v="102"/>
    <s v="_x0000_US"/>
  </r>
  <r>
    <x v="1"/>
    <n v="13.6882"/>
    <n v="-89.208699999999993"/>
    <n v="36700"/>
    <n v="0"/>
    <n v="0"/>
    <n v="102"/>
    <s v="_x0000_US"/>
  </r>
  <r>
    <x v="1"/>
    <n v="13.6882"/>
    <n v="-89.208699999999993"/>
    <n v="36700"/>
    <n v="0"/>
    <n v="0"/>
    <n v="102"/>
    <s v="_x0000_US"/>
  </r>
  <r>
    <x v="1"/>
    <n v="13.6882"/>
    <n v="-89.208600000000004"/>
    <n v="36700"/>
    <n v="0"/>
    <n v="0"/>
    <n v="102"/>
    <s v="_x0000_US"/>
  </r>
  <r>
    <x v="1"/>
    <n v="13.6882"/>
    <n v="-89.208600000000004"/>
    <n v="36700"/>
    <n v="0"/>
    <n v="0"/>
    <n v="102"/>
    <s v="_x0000_US"/>
  </r>
  <r>
    <x v="1"/>
    <n v="13.6882"/>
    <n v="-89.208600000000004"/>
    <n v="36700"/>
    <n v="0"/>
    <n v="0"/>
    <n v="102"/>
    <s v="_x0000_US"/>
  </r>
  <r>
    <x v="1"/>
    <n v="13.6882"/>
    <n v="-89.208600000000004"/>
    <n v="36700"/>
    <n v="0"/>
    <n v="0"/>
    <n v="102"/>
    <s v="_x0000_US"/>
  </r>
  <r>
    <x v="1"/>
    <n v="13.6881"/>
    <n v="-89.208799999999997"/>
    <n v="36700"/>
    <n v="0"/>
    <n v="0"/>
    <n v="102"/>
    <s v="_x0000_US"/>
  </r>
  <r>
    <x v="1"/>
    <n v="13.6881"/>
    <n v="-89.208799999999997"/>
    <n v="36700"/>
    <n v="0"/>
    <n v="0"/>
    <n v="102"/>
    <s v="_x0000_US"/>
  </r>
  <r>
    <x v="1"/>
    <n v="13.6881"/>
    <n v="-89.208799999999997"/>
    <n v="36700"/>
    <n v="0"/>
    <n v="0"/>
    <n v="102"/>
    <s v="_x0000_US"/>
  </r>
  <r>
    <x v="1"/>
    <n v="13.6881"/>
    <n v="-89.208799999999997"/>
    <n v="36700"/>
    <n v="0"/>
    <n v="0"/>
    <n v="102"/>
    <s v="_x0000_US"/>
  </r>
  <r>
    <x v="1"/>
    <n v="13.6881"/>
    <n v="-89.208699999999993"/>
    <n v="36700"/>
    <n v="0"/>
    <n v="0"/>
    <n v="102"/>
    <s v="_x0000_US"/>
  </r>
  <r>
    <x v="1"/>
    <n v="13.6881"/>
    <n v="-89.208699999999993"/>
    <n v="36700"/>
    <n v="0"/>
    <n v="0"/>
    <n v="102"/>
    <s v="_x0000_US"/>
  </r>
  <r>
    <x v="1"/>
    <n v="13.6881"/>
    <n v="-89.208699999999993"/>
    <n v="36700"/>
    <n v="0"/>
    <n v="0"/>
    <n v="102"/>
    <s v="_x0000_US"/>
  </r>
  <r>
    <x v="1"/>
    <n v="13.6881"/>
    <n v="-89.208699999999993"/>
    <n v="36700"/>
    <n v="0"/>
    <n v="0"/>
    <n v="102"/>
    <s v="_x0000_US"/>
  </r>
  <r>
    <x v="1"/>
    <n v="13.6881"/>
    <n v="-89.208600000000004"/>
    <n v="36700"/>
    <n v="0"/>
    <n v="0"/>
    <n v="102"/>
    <s v="_x0000_US"/>
  </r>
  <r>
    <x v="1"/>
    <n v="13.6881"/>
    <n v="-89.208600000000004"/>
    <n v="36700"/>
    <n v="0"/>
    <n v="0"/>
    <n v="102"/>
    <s v="_x0000_US"/>
  </r>
  <r>
    <x v="1"/>
    <n v="13.6881"/>
    <n v="-89.208600000000004"/>
    <n v="36700"/>
    <n v="0"/>
    <n v="0"/>
    <n v="102"/>
    <s v="_x0000_US"/>
  </r>
  <r>
    <x v="1"/>
    <n v="13.688000000000001"/>
    <n v="-89.208600000000004"/>
    <n v="36700"/>
    <n v="0"/>
    <n v="0"/>
    <n v="102"/>
    <s v="_x0000_US"/>
  </r>
  <r>
    <x v="1"/>
    <n v="13.688700000000001"/>
    <n v="-89.208500000000001"/>
    <n v="36700"/>
    <n v="0"/>
    <n v="0"/>
    <n v="102"/>
    <s v="_x0000_US"/>
  </r>
  <r>
    <x v="1"/>
    <n v="13.688700000000001"/>
    <n v="-89.208500000000001"/>
    <n v="36700"/>
    <n v="0"/>
    <n v="0"/>
    <n v="102"/>
    <s v="_x0000_US"/>
  </r>
  <r>
    <x v="1"/>
    <n v="13.688700000000001"/>
    <n v="-89.208500000000001"/>
    <n v="36700"/>
    <n v="0"/>
    <n v="0"/>
    <n v="102"/>
    <s v="_x0000_US"/>
  </r>
  <r>
    <x v="1"/>
    <n v="13.688700000000001"/>
    <n v="-89.208500000000001"/>
    <n v="36700"/>
    <n v="0"/>
    <n v="0"/>
    <n v="102"/>
    <s v="_x0000_US"/>
  </r>
  <r>
    <x v="1"/>
    <n v="13.689399999999999"/>
    <n v="-89.215299999999999"/>
    <n v="11800"/>
    <n v="0"/>
    <n v="0"/>
    <n v="102"/>
    <s v="_x0000_US"/>
  </r>
  <r>
    <x v="1"/>
    <n v="13.689500000000001"/>
    <n v="-89.215299999999999"/>
    <n v="11800"/>
    <n v="0"/>
    <n v="0"/>
    <n v="102"/>
    <s v="_x0000_US"/>
  </r>
  <r>
    <x v="1"/>
    <n v="13.689500000000001"/>
    <n v="-89.215000000000003"/>
    <n v="11800"/>
    <n v="0"/>
    <n v="0"/>
    <n v="102"/>
    <s v="_x0000_US"/>
  </r>
  <r>
    <x v="1"/>
    <n v="13.689500000000001"/>
    <n v="-89.2149"/>
    <n v="11800"/>
    <n v="0"/>
    <n v="0"/>
    <n v="102"/>
    <s v="_x0000_US"/>
  </r>
  <r>
    <x v="1"/>
    <n v="13.689399999999999"/>
    <n v="-89.214399999999998"/>
    <n v="11800"/>
    <n v="0"/>
    <n v="0"/>
    <n v="102"/>
    <s v="_x0000_US"/>
  </r>
  <r>
    <x v="1"/>
    <n v="13.688000000000001"/>
    <n v="-89.213399999999993"/>
    <n v="11800"/>
    <n v="0"/>
    <n v="0"/>
    <n v="102"/>
    <s v="_x0000_US"/>
  </r>
  <r>
    <x v="1"/>
    <n v="13.689399999999999"/>
    <n v="-89.214200000000005"/>
    <n v="9850"/>
    <n v="0"/>
    <n v="0"/>
    <n v="102"/>
    <s v="_x0000_US"/>
  </r>
  <r>
    <x v="1"/>
    <n v="13.689299999999999"/>
    <n v="-89.214200000000005"/>
    <n v="9850"/>
    <n v="0"/>
    <n v="0"/>
    <n v="102"/>
    <s v="_x0000_US"/>
  </r>
  <r>
    <x v="1"/>
    <n v="13.6884"/>
    <n v="-89.212299999999999"/>
    <n v="9850"/>
    <n v="0"/>
    <n v="0"/>
    <n v="102"/>
    <s v="_x0000_US"/>
  </r>
  <r>
    <x v="1"/>
    <n v="13.6883"/>
    <n v="-89.212199999999996"/>
    <n v="9850"/>
    <n v="0"/>
    <n v="0"/>
    <n v="102"/>
    <s v="_x0000_US"/>
  </r>
  <r>
    <x v="1"/>
    <n v="13.6883"/>
    <n v="-89.212100000000007"/>
    <n v="9850"/>
    <n v="0"/>
    <n v="0"/>
    <n v="102"/>
    <s v="_x0000_US"/>
  </r>
  <r>
    <x v="1"/>
    <n v="13.688599999999999"/>
    <n v="-89.212400000000002"/>
    <n v="9850"/>
    <n v="0"/>
    <n v="0"/>
    <n v="102"/>
    <s v="_x0000_US"/>
  </r>
  <r>
    <x v="1"/>
    <n v="13.688499999999999"/>
    <n v="-89.212299999999999"/>
    <n v="9850"/>
    <n v="0"/>
    <n v="0"/>
    <n v="102"/>
    <s v="_x0000_US"/>
  </r>
  <r>
    <x v="1"/>
    <n v="13.688499999999999"/>
    <n v="-89.212199999999996"/>
    <n v="9850"/>
    <n v="0"/>
    <n v="0"/>
    <n v="102"/>
    <s v="_x0000_US"/>
  </r>
  <r>
    <x v="1"/>
    <n v="13.688499999999999"/>
    <n v="-89.212100000000007"/>
    <n v="9850"/>
    <n v="0"/>
    <n v="0"/>
    <n v="102"/>
    <s v="_x0000_US"/>
  </r>
  <r>
    <x v="1"/>
    <n v="13.688599999999999"/>
    <n v="-89.212000000000003"/>
    <n v="9850"/>
    <n v="0"/>
    <n v="0"/>
    <n v="102"/>
    <s v="_x0000_US"/>
  </r>
  <r>
    <x v="1"/>
    <n v="13.688800000000001"/>
    <n v="-89.2119"/>
    <n v="9850"/>
    <n v="0"/>
    <n v="0"/>
    <n v="102"/>
    <s v="_x0000_US"/>
  </r>
  <r>
    <x v="1"/>
    <n v="13.688800000000001"/>
    <n v="-89.212299999999999"/>
    <n v="9850"/>
    <n v="0"/>
    <n v="0"/>
    <n v="102"/>
    <s v="_x0000_US"/>
  </r>
  <r>
    <x v="1"/>
    <n v="13.688800000000001"/>
    <n v="-89.212199999999996"/>
    <n v="9850"/>
    <n v="0"/>
    <n v="0"/>
    <n v="102"/>
    <s v="_x0000_US"/>
  </r>
  <r>
    <x v="1"/>
    <n v="13.688800000000001"/>
    <n v="-89.212199999999996"/>
    <n v="9850"/>
    <n v="0"/>
    <n v="0"/>
    <n v="102"/>
    <s v="_x0000_US"/>
  </r>
  <r>
    <x v="1"/>
    <n v="13.688800000000001"/>
    <n v="-89.212100000000007"/>
    <n v="9850"/>
    <n v="0"/>
    <n v="0"/>
    <n v="102"/>
    <s v="_x0000_US"/>
  </r>
  <r>
    <x v="1"/>
    <n v="13.688800000000001"/>
    <n v="-89.212000000000003"/>
    <n v="9850"/>
    <n v="0"/>
    <n v="0"/>
    <n v="102"/>
    <s v="_x0000_US"/>
  </r>
  <r>
    <x v="1"/>
    <n v="13.689"/>
    <n v="-89.212299999999999"/>
    <n v="9850"/>
    <n v="0"/>
    <n v="0"/>
    <n v="102"/>
    <s v="_x0000_US"/>
  </r>
  <r>
    <x v="1"/>
    <n v="13.689"/>
    <n v="-89.212299999999999"/>
    <n v="9850"/>
    <n v="0"/>
    <n v="0"/>
    <n v="102"/>
    <s v="_x0000_US"/>
  </r>
  <r>
    <x v="1"/>
    <n v="13.689"/>
    <n v="-89.212199999999996"/>
    <n v="9850"/>
    <n v="0"/>
    <n v="0"/>
    <n v="102"/>
    <s v="_x0000_US"/>
  </r>
  <r>
    <x v="1"/>
    <n v="13.689"/>
    <n v="-89.212100000000007"/>
    <n v="9850"/>
    <n v="0"/>
    <n v="0"/>
    <n v="102"/>
    <s v="_x0000_US"/>
  </r>
  <r>
    <x v="1"/>
    <n v="13.689"/>
    <n v="-89.212100000000007"/>
    <n v="9850"/>
    <n v="0"/>
    <n v="0"/>
    <n v="102"/>
    <s v="_x0000_US"/>
  </r>
  <r>
    <x v="1"/>
    <n v="13.689"/>
    <n v="-89.212000000000003"/>
    <n v="9850"/>
    <n v="0"/>
    <n v="0"/>
    <n v="102"/>
    <s v="_x0000_US"/>
  </r>
  <r>
    <x v="1"/>
    <n v="13.689"/>
    <n v="-89.2119"/>
    <n v="9850"/>
    <n v="0"/>
    <n v="0"/>
    <n v="102"/>
    <s v="_x0000_US"/>
  </r>
  <r>
    <x v="1"/>
    <n v="13.689"/>
    <n v="-89.211799999999997"/>
    <n v="9850"/>
    <n v="0"/>
    <n v="0"/>
    <n v="102"/>
    <s v="_x0000_US"/>
  </r>
  <r>
    <x v="1"/>
    <n v="13.6891"/>
    <n v="-89.212100000000007"/>
    <n v="9850"/>
    <n v="0"/>
    <n v="0"/>
    <n v="102"/>
    <s v="_x0000_US"/>
  </r>
  <r>
    <x v="1"/>
    <n v="13.6891"/>
    <n v="-89.212000000000003"/>
    <n v="9850"/>
    <n v="0"/>
    <n v="0"/>
    <n v="102"/>
    <s v="_x0000_US"/>
  </r>
  <r>
    <x v="1"/>
    <n v="13.6891"/>
    <n v="-89.2119"/>
    <n v="9850"/>
    <n v="0"/>
    <n v="0"/>
    <n v="102"/>
    <s v="_x0000_US"/>
  </r>
  <r>
    <x v="1"/>
    <n v="13.689"/>
    <n v="-89.2119"/>
    <n v="9850"/>
    <n v="0"/>
    <n v="0"/>
    <n v="102"/>
    <s v="_x0000_US"/>
  </r>
  <r>
    <x v="1"/>
    <n v="13.689"/>
    <n v="-89.211799999999997"/>
    <n v="9850"/>
    <n v="0"/>
    <n v="0"/>
    <n v="102"/>
    <s v="_x0000_US"/>
  </r>
  <r>
    <x v="1"/>
    <n v="13.689"/>
    <n v="-89.211699999999993"/>
    <n v="9850"/>
    <n v="0"/>
    <n v="0"/>
    <n v="102"/>
    <s v="_x0000_US"/>
  </r>
  <r>
    <x v="1"/>
    <n v="13.689"/>
    <n v="-89.211699999999993"/>
    <n v="9850"/>
    <n v="0"/>
    <n v="0"/>
    <n v="102"/>
    <s v="_x0000_US"/>
  </r>
  <r>
    <x v="1"/>
    <n v="13.6892"/>
    <n v="-89.212299999999999"/>
    <n v="9850"/>
    <n v="0"/>
    <n v="0"/>
    <n v="102"/>
    <s v="_x0000_US"/>
  </r>
  <r>
    <x v="1"/>
    <n v="13.6892"/>
    <n v="-89.212299999999999"/>
    <n v="9850"/>
    <n v="0"/>
    <n v="0"/>
    <n v="102"/>
    <s v="_x0000_US"/>
  </r>
  <r>
    <x v="1"/>
    <n v="13.6892"/>
    <n v="-89.212199999999996"/>
    <n v="9850"/>
    <n v="0"/>
    <n v="0"/>
    <n v="102"/>
    <s v="_x0000_US"/>
  </r>
  <r>
    <x v="1"/>
    <n v="13.6892"/>
    <n v="-89.212100000000007"/>
    <n v="9850"/>
    <n v="0"/>
    <n v="0"/>
    <n v="102"/>
    <s v="_x0000_US"/>
  </r>
  <r>
    <x v="1"/>
    <n v="13.6892"/>
    <n v="-89.212000000000003"/>
    <n v="9850"/>
    <n v="0"/>
    <n v="0"/>
    <n v="102"/>
    <s v="_x0000_US"/>
  </r>
  <r>
    <x v="1"/>
    <n v="13.6892"/>
    <n v="-89.2119"/>
    <n v="9850"/>
    <n v="0"/>
    <n v="0"/>
    <n v="102"/>
    <s v="_x0000_US"/>
  </r>
  <r>
    <x v="1"/>
    <n v="13.6892"/>
    <n v="-89.211799999999997"/>
    <n v="9850"/>
    <n v="0"/>
    <n v="0"/>
    <n v="102"/>
    <s v="_x0000_US"/>
  </r>
  <r>
    <x v="1"/>
    <n v="13.6892"/>
    <n v="-89.211799999999997"/>
    <n v="9850"/>
    <n v="0"/>
    <n v="0"/>
    <n v="102"/>
    <s v="_x0000_US"/>
  </r>
  <r>
    <x v="1"/>
    <n v="13.6892"/>
    <n v="-89.211699999999993"/>
    <n v="9850"/>
    <n v="0"/>
    <n v="0"/>
    <n v="102"/>
    <s v="_x0000_US"/>
  </r>
  <r>
    <x v="1"/>
    <n v="13.6892"/>
    <n v="-89.212400000000002"/>
    <n v="9850"/>
    <n v="0"/>
    <n v="0"/>
    <n v="102"/>
    <s v="_x0000_US"/>
  </r>
  <r>
    <x v="1"/>
    <n v="13.6892"/>
    <n v="-89.212299999999999"/>
    <n v="9850"/>
    <n v="0"/>
    <n v="0"/>
    <n v="102"/>
    <s v="_x0000_US"/>
  </r>
  <r>
    <x v="1"/>
    <n v="13.6892"/>
    <n v="-89.212199999999996"/>
    <n v="9850"/>
    <n v="0"/>
    <n v="0"/>
    <n v="102"/>
    <s v="_x0000_US"/>
  </r>
  <r>
    <x v="1"/>
    <n v="13.6892"/>
    <n v="-89.212100000000007"/>
    <n v="9850"/>
    <n v="0"/>
    <n v="0"/>
    <n v="102"/>
    <s v="_x0000_US"/>
  </r>
  <r>
    <x v="1"/>
    <n v="13.6891"/>
    <n v="-89.212000000000003"/>
    <n v="9850"/>
    <n v="0"/>
    <n v="0"/>
    <n v="102"/>
    <s v="_x0000_US"/>
  </r>
  <r>
    <x v="1"/>
    <n v="13.6891"/>
    <n v="-89.2119"/>
    <n v="9850"/>
    <n v="0"/>
    <n v="0"/>
    <n v="102"/>
    <s v="_x0000_US"/>
  </r>
  <r>
    <x v="1"/>
    <n v="13.6891"/>
    <n v="-89.211799999999997"/>
    <n v="9850"/>
    <n v="0"/>
    <n v="0"/>
    <n v="102"/>
    <s v="_x0000_US"/>
  </r>
  <r>
    <x v="1"/>
    <n v="13.6891"/>
    <n v="-89.211799999999997"/>
    <n v="9850"/>
    <n v="0"/>
    <n v="0"/>
    <n v="102"/>
    <s v="_x0000_US"/>
  </r>
  <r>
    <x v="1"/>
    <n v="13.6896"/>
    <n v="-89.212299999999999"/>
    <n v="9850"/>
    <n v="0"/>
    <n v="0"/>
    <n v="102"/>
    <s v="_x0000_US"/>
  </r>
  <r>
    <x v="1"/>
    <n v="13.689399999999999"/>
    <n v="-89.212299999999999"/>
    <n v="9850"/>
    <n v="0"/>
    <n v="0"/>
    <n v="102"/>
    <s v="_x0000_US"/>
  </r>
  <r>
    <x v="1"/>
    <n v="13.689399999999999"/>
    <n v="-89.212199999999996"/>
    <n v="9850"/>
    <n v="0"/>
    <n v="0"/>
    <n v="102"/>
    <s v="_x0000_US"/>
  </r>
  <r>
    <x v="1"/>
    <n v="13.689399999999999"/>
    <n v="-89.212199999999996"/>
    <n v="9850"/>
    <n v="0"/>
    <n v="0"/>
    <n v="102"/>
    <s v="_x0000_US"/>
  </r>
  <r>
    <x v="1"/>
    <n v="13.689500000000001"/>
    <n v="-89.212199999999996"/>
    <n v="9850"/>
    <n v="0"/>
    <n v="0"/>
    <n v="102"/>
    <s v="_x0000_US"/>
  </r>
  <r>
    <x v="1"/>
    <n v="13.689399999999999"/>
    <n v="-89.212100000000007"/>
    <n v="9850"/>
    <n v="0"/>
    <n v="0"/>
    <n v="102"/>
    <s v="_x0000_US"/>
  </r>
  <r>
    <x v="1"/>
    <n v="13.689500000000001"/>
    <n v="-89.212100000000007"/>
    <n v="9850"/>
    <n v="0"/>
    <n v="0"/>
    <n v="102"/>
    <s v="_x0000_US"/>
  </r>
  <r>
    <x v="1"/>
    <n v="13.689500000000001"/>
    <n v="-89.212000000000003"/>
    <n v="9850"/>
    <n v="0"/>
    <n v="0"/>
    <n v="102"/>
    <s v="_x0000_US"/>
  </r>
  <r>
    <x v="1"/>
    <n v="13.6896"/>
    <n v="-89.2119"/>
    <n v="9850"/>
    <n v="0"/>
    <n v="0"/>
    <n v="102"/>
    <s v="_x0000_US"/>
  </r>
  <r>
    <x v="1"/>
    <n v="13.689500000000001"/>
    <n v="-89.2119"/>
    <n v="9850"/>
    <n v="0"/>
    <n v="0"/>
    <n v="102"/>
    <s v="_x0000_US"/>
  </r>
  <r>
    <x v="1"/>
    <n v="13.689500000000001"/>
    <n v="-89.211799999999997"/>
    <n v="9850"/>
    <n v="0"/>
    <n v="0"/>
    <n v="102"/>
    <s v="_x0000_US"/>
  </r>
  <r>
    <x v="1"/>
    <n v="13.6896"/>
    <n v="-89.211799999999997"/>
    <n v="9850"/>
    <n v="0"/>
    <n v="0"/>
    <n v="102"/>
    <s v="_x0000_US"/>
  </r>
  <r>
    <x v="1"/>
    <n v="13.689500000000001"/>
    <n v="-89.211699999999993"/>
    <n v="9850"/>
    <n v="0"/>
    <n v="0"/>
    <n v="102"/>
    <s v="_x0000_US"/>
  </r>
  <r>
    <x v="1"/>
    <n v="13.6896"/>
    <n v="-89.211699999999993"/>
    <n v="9850"/>
    <n v="0"/>
    <n v="0"/>
    <n v="102"/>
    <s v="_x0000_US"/>
  </r>
  <r>
    <x v="1"/>
    <n v="13.689399999999999"/>
    <n v="-89.212000000000003"/>
    <n v="9850"/>
    <n v="0"/>
    <n v="0"/>
    <n v="102"/>
    <s v="_x0000_US"/>
  </r>
  <r>
    <x v="1"/>
    <n v="13.689399999999999"/>
    <n v="-89.2119"/>
    <n v="9850"/>
    <n v="0"/>
    <n v="0"/>
    <n v="102"/>
    <s v="_x0000_US"/>
  </r>
  <r>
    <x v="1"/>
    <n v="13.689399999999999"/>
    <n v="-89.211799999999997"/>
    <n v="9850"/>
    <n v="0"/>
    <n v="0"/>
    <n v="102"/>
    <s v="_x0000_US"/>
  </r>
  <r>
    <x v="1"/>
    <n v="13.689399999999999"/>
    <n v="-89.211699999999993"/>
    <n v="9850"/>
    <n v="0"/>
    <n v="0"/>
    <n v="102"/>
    <s v="_x0000_US"/>
  </r>
  <r>
    <x v="1"/>
    <n v="13.689399999999999"/>
    <n v="-89.211600000000004"/>
    <n v="9850"/>
    <n v="0"/>
    <n v="0"/>
    <n v="102"/>
    <s v="_x0000_US"/>
  </r>
  <r>
    <x v="1"/>
    <n v="13.689500000000001"/>
    <n v="-89.211600000000004"/>
    <n v="9850"/>
    <n v="0"/>
    <n v="0"/>
    <n v="102"/>
    <s v="_x0000_US"/>
  </r>
  <r>
    <x v="1"/>
    <n v="13.6896"/>
    <n v="-89.211600000000004"/>
    <n v="9850"/>
    <n v="0"/>
    <n v="0"/>
    <n v="102"/>
    <s v="_x0000_US"/>
  </r>
  <r>
    <x v="1"/>
    <n v="13.6896"/>
    <n v="-89.211500000000001"/>
    <n v="9850"/>
    <n v="0"/>
    <n v="0"/>
    <n v="102"/>
    <s v="_x0000_US"/>
  </r>
  <r>
    <x v="1"/>
    <n v="13.689500000000001"/>
    <n v="-89.211500000000001"/>
    <n v="9850"/>
    <n v="0"/>
    <n v="0"/>
    <n v="102"/>
    <s v="_x0000_US"/>
  </r>
  <r>
    <x v="1"/>
    <n v="13.6891"/>
    <n v="-89.211600000000004"/>
    <n v="9850"/>
    <n v="0"/>
    <n v="0"/>
    <n v="102"/>
    <s v="_x0000_US"/>
  </r>
  <r>
    <x v="1"/>
    <n v="13.6892"/>
    <n v="-89.211600000000004"/>
    <n v="9850"/>
    <n v="0"/>
    <n v="0"/>
    <n v="102"/>
    <s v="_x0000_US"/>
  </r>
  <r>
    <x v="1"/>
    <n v="13.6783"/>
    <n v="-89.244100000000003"/>
    <n v="59100"/>
    <n v="0"/>
    <n v="0"/>
    <n v="102"/>
    <s v="_x0000_US"/>
  </r>
  <r>
    <x v="1"/>
    <n v="13.6899"/>
    <n v="-89.225700000000003"/>
    <n v="111900"/>
    <n v="0"/>
    <n v="0"/>
    <n v="102"/>
    <s v="_x0000_US"/>
  </r>
  <r>
    <x v="1"/>
    <n v="13.690300000000001"/>
    <n v="-89.227400000000003"/>
    <n v="111900"/>
    <n v="0"/>
    <n v="0"/>
    <n v="102"/>
    <s v="_x0000_US"/>
  </r>
  <r>
    <x v="1"/>
    <n v="13.6899"/>
    <n v="-89.228099999999998"/>
    <n v="111900"/>
    <n v="0"/>
    <n v="0"/>
    <n v="102"/>
    <s v="_x0000_US"/>
  </r>
  <r>
    <x v="1"/>
    <n v="13.69"/>
    <n v="-89.227900000000005"/>
    <n v="111900"/>
    <n v="0"/>
    <n v="0"/>
    <n v="102"/>
    <s v="_x0000_US"/>
  </r>
  <r>
    <x v="1"/>
    <n v="13.69"/>
    <n v="-89.227599999999995"/>
    <n v="111900"/>
    <n v="0"/>
    <n v="0"/>
    <n v="102"/>
    <s v="_x0000_US"/>
  </r>
  <r>
    <x v="1"/>
    <n v="13.69"/>
    <n v="-89.227500000000006"/>
    <n v="111900"/>
    <n v="0"/>
    <n v="0"/>
    <n v="102"/>
    <s v="_x0000_US"/>
  </r>
  <r>
    <x v="1"/>
    <n v="13.690099999999999"/>
    <n v="-89.227500000000006"/>
    <n v="111900"/>
    <n v="0"/>
    <n v="0"/>
    <n v="102"/>
    <s v="_x0000_US"/>
  </r>
  <r>
    <x v="1"/>
    <n v="13.6898"/>
    <n v="-89.228200000000001"/>
    <n v="111900"/>
    <n v="0"/>
    <n v="0"/>
    <n v="102"/>
    <s v="_x0000_US"/>
  </r>
  <r>
    <x v="1"/>
    <n v="13.6889"/>
    <n v="-89.228999999999999"/>
    <n v="111900"/>
    <n v="0"/>
    <n v="0"/>
    <n v="102"/>
    <s v="_x0000_US"/>
  </r>
  <r>
    <x v="1"/>
    <n v="13.688599999999999"/>
    <n v="-89.228899999999996"/>
    <n v="111900"/>
    <n v="0"/>
    <n v="0"/>
    <n v="102"/>
    <s v="_x0000_US"/>
  </r>
  <r>
    <x v="1"/>
    <n v="13.688700000000001"/>
    <n v="-89.228999999999999"/>
    <n v="111900"/>
    <n v="0"/>
    <n v="0"/>
    <n v="102"/>
    <s v="_x0000_US"/>
  </r>
  <r>
    <x v="1"/>
    <n v="13.6881"/>
    <n v="-89.228899999999996"/>
    <n v="111900"/>
    <n v="0"/>
    <n v="0"/>
    <n v="102"/>
    <s v="_x0000_US"/>
  </r>
  <r>
    <x v="1"/>
    <n v="13.688499999999999"/>
    <n v="-89.2286"/>
    <n v="111900"/>
    <n v="0"/>
    <n v="0"/>
    <n v="102"/>
    <s v="_x0000_US"/>
  </r>
  <r>
    <x v="1"/>
    <n v="13.688700000000001"/>
    <n v="-89.228499999999997"/>
    <n v="111900"/>
    <n v="0"/>
    <n v="0"/>
    <n v="102"/>
    <s v="_x0000_US"/>
  </r>
  <r>
    <x v="1"/>
    <n v="13.688700000000001"/>
    <n v="-89.228700000000003"/>
    <n v="111900"/>
    <n v="0"/>
    <n v="0"/>
    <n v="102"/>
    <s v="_x0000_US"/>
  </r>
  <r>
    <x v="1"/>
    <n v="13.688800000000001"/>
    <n v="-89.228800000000007"/>
    <n v="111900"/>
    <n v="0"/>
    <n v="0"/>
    <n v="102"/>
    <s v="_x0000_US"/>
  </r>
  <r>
    <x v="1"/>
    <n v="13.6891"/>
    <n v="-89.228300000000004"/>
    <n v="111900"/>
    <n v="0"/>
    <n v="0"/>
    <n v="102"/>
    <s v="_x0000_US"/>
  </r>
  <r>
    <x v="1"/>
    <n v="13.689299999999999"/>
    <n v="-89.228300000000004"/>
    <n v="111900"/>
    <n v="0"/>
    <n v="0"/>
    <n v="102"/>
    <s v="_x0000_US"/>
  </r>
  <r>
    <x v="1"/>
    <n v="13.6911"/>
    <n v="-89.221800000000002"/>
    <n v="111900"/>
    <n v="0"/>
    <n v="0"/>
    <n v="102"/>
    <s v="_x0000_US"/>
  </r>
  <r>
    <x v="1"/>
    <n v="13.6911"/>
    <n v="-89.221800000000002"/>
    <n v="111900"/>
    <n v="0"/>
    <n v="0"/>
    <n v="102"/>
    <s v="_x0000_US"/>
  </r>
  <r>
    <x v="1"/>
    <n v="13.6913"/>
    <n v="-89.222700000000003"/>
    <n v="111900"/>
    <n v="0"/>
    <n v="0"/>
    <n v="102"/>
    <s v="_x0000_US"/>
  </r>
  <r>
    <x v="1"/>
    <n v="13.69"/>
    <n v="-89.219099999999997"/>
    <n v="76400"/>
    <n v="0"/>
    <n v="0"/>
    <n v="102"/>
    <s v="_x0000_US"/>
  </r>
  <r>
    <x v="1"/>
    <n v="13.69"/>
    <n v="-89.219200000000001"/>
    <n v="76400"/>
    <n v="0"/>
    <n v="0"/>
    <n v="102"/>
    <s v="_x0000_US"/>
  </r>
  <r>
    <x v="1"/>
    <n v="13.6907"/>
    <n v="-89.221900000000005"/>
    <n v="35980"/>
    <n v="0"/>
    <n v="0"/>
    <n v="102"/>
    <s v="_x0000_US"/>
  </r>
  <r>
    <x v="1"/>
    <n v="13.6907"/>
    <n v="-89.221800000000002"/>
    <n v="35980"/>
    <n v="0"/>
    <n v="0"/>
    <n v="102"/>
    <s v="_x0000_US"/>
  </r>
  <r>
    <x v="1"/>
    <n v="13.6907"/>
    <n v="-89.221900000000005"/>
    <n v="35980"/>
    <n v="0"/>
    <n v="0"/>
    <n v="102"/>
    <s v="_x0000_US"/>
  </r>
  <r>
    <x v="1"/>
    <n v="13.690899999999999"/>
    <n v="-89.221999999999994"/>
    <n v="35980"/>
    <n v="0"/>
    <n v="0"/>
    <n v="102"/>
    <s v="_x0000_US"/>
  </r>
  <r>
    <x v="1"/>
    <n v="13.6906"/>
    <n v="-89.221900000000005"/>
    <n v="13650"/>
    <n v="0"/>
    <n v="0"/>
    <n v="102"/>
    <s v="_x0000_US"/>
  </r>
  <r>
    <x v="1"/>
    <n v="13.688700000000001"/>
    <n v="-89.218100000000007"/>
    <n v="49860"/>
    <n v="0"/>
    <n v="0"/>
    <n v="102"/>
    <s v="_x0000_US"/>
  </r>
  <r>
    <x v="1"/>
    <n v="13.688599999999999"/>
    <n v="-89.218100000000007"/>
    <n v="49860"/>
    <n v="0"/>
    <n v="0"/>
    <n v="102"/>
    <s v="_x0000_US"/>
  </r>
  <r>
    <x v="1"/>
    <n v="13.688800000000001"/>
    <n v="-89.218400000000003"/>
    <n v="49860"/>
    <n v="0"/>
    <n v="0"/>
    <n v="102"/>
    <s v="_x0000_US"/>
  </r>
  <r>
    <x v="1"/>
    <n v="13.688700000000001"/>
    <n v="-89.218400000000003"/>
    <n v="49860"/>
    <n v="0"/>
    <n v="0"/>
    <n v="102"/>
    <s v="_x0000_US"/>
  </r>
  <r>
    <x v="1"/>
    <n v="13.688800000000001"/>
    <n v="-89.218699999999998"/>
    <n v="49860"/>
    <n v="0"/>
    <n v="0"/>
    <n v="102"/>
    <s v="_x0000_US"/>
  </r>
  <r>
    <x v="1"/>
    <n v="13.688700000000001"/>
    <n v="-89.218699999999998"/>
    <n v="49860"/>
    <n v="0"/>
    <n v="0"/>
    <n v="102"/>
    <s v="_x0000_US"/>
  </r>
  <r>
    <x v="1"/>
    <n v="13.688800000000001"/>
    <n v="-89.218900000000005"/>
    <n v="49860"/>
    <n v="0"/>
    <n v="0"/>
    <n v="102"/>
    <s v="_x0000_US"/>
  </r>
  <r>
    <x v="1"/>
    <n v="13.688700000000001"/>
    <n v="-89.218999999999994"/>
    <n v="49860"/>
    <n v="0"/>
    <n v="0"/>
    <n v="102"/>
    <s v="_x0000_US"/>
  </r>
  <r>
    <x v="1"/>
    <n v="13.688599999999999"/>
    <n v="-89.218999999999994"/>
    <n v="49860"/>
    <n v="0"/>
    <n v="0"/>
    <n v="102"/>
    <s v="_x0000_US"/>
  </r>
  <r>
    <x v="1"/>
    <n v="13.688800000000001"/>
    <n v="-89.219300000000004"/>
    <n v="49860"/>
    <n v="0"/>
    <n v="0"/>
    <n v="102"/>
    <s v="_x0000_US"/>
  </r>
  <r>
    <x v="1"/>
    <n v="13.688700000000001"/>
    <n v="-89.219399999999993"/>
    <n v="49860"/>
    <n v="0"/>
    <n v="0"/>
    <n v="102"/>
    <s v="_x0000_US"/>
  </r>
  <r>
    <x v="1"/>
    <n v="13.689"/>
    <n v="-89.219200000000001"/>
    <n v="49860"/>
    <n v="0"/>
    <n v="0"/>
    <n v="102"/>
    <s v="_x0000_US"/>
  </r>
  <r>
    <x v="1"/>
    <n v="13.6889"/>
    <n v="-89.219300000000004"/>
    <n v="49860"/>
    <n v="0"/>
    <n v="0"/>
    <n v="102"/>
    <s v="_x0000_US"/>
  </r>
  <r>
    <x v="1"/>
    <n v="13.688700000000001"/>
    <n v="-89.219399999999993"/>
    <n v="49860"/>
    <n v="0"/>
    <n v="0"/>
    <n v="102"/>
    <s v="_x0000_US"/>
  </r>
  <r>
    <x v="1"/>
    <n v="13.688599999999999"/>
    <n v="-89.219499999999996"/>
    <n v="49860"/>
    <n v="0"/>
    <n v="0"/>
    <n v="102"/>
    <s v="_x0000_US"/>
  </r>
  <r>
    <x v="1"/>
    <n v="13.6898"/>
    <n v="-89.2196"/>
    <n v="49860"/>
    <n v="0"/>
    <n v="0"/>
    <n v="102"/>
    <s v="_x0000_US"/>
  </r>
  <r>
    <x v="1"/>
    <n v="13.687900000000001"/>
    <n v="-89.208799999999997"/>
    <n v="36700"/>
    <n v="0"/>
    <n v="0"/>
    <n v="102"/>
    <s v="_x0000_US"/>
  </r>
  <r>
    <x v="1"/>
    <n v="13.687900000000001"/>
    <n v="-89.208799999999997"/>
    <n v="36700"/>
    <n v="0"/>
    <n v="0"/>
    <n v="102"/>
    <s v="_x0000_US"/>
  </r>
  <r>
    <x v="1"/>
    <n v="13.687900000000001"/>
    <n v="-89.208799999999997"/>
    <n v="36700"/>
    <n v="0"/>
    <n v="0"/>
    <n v="102"/>
    <s v="_x0000_US"/>
  </r>
  <r>
    <x v="1"/>
    <n v="13.687799999999999"/>
    <n v="-89.208799999999997"/>
    <n v="36700"/>
    <n v="0"/>
    <n v="0"/>
    <n v="102"/>
    <s v="_x0000_US"/>
  </r>
  <r>
    <x v="1"/>
    <n v="13.687799999999999"/>
    <n v="-89.208799999999997"/>
    <n v="36700"/>
    <n v="0"/>
    <n v="0"/>
    <n v="102"/>
    <s v="_x0000_US"/>
  </r>
  <r>
    <x v="1"/>
    <n v="13.687799999999999"/>
    <n v="-89.208799999999997"/>
    <n v="36700"/>
    <n v="0"/>
    <n v="0"/>
    <n v="102"/>
    <s v="_x0000_US"/>
  </r>
  <r>
    <x v="1"/>
    <n v="13.687799999999999"/>
    <n v="-89.208799999999997"/>
    <n v="36700"/>
    <n v="0"/>
    <n v="0"/>
    <n v="102"/>
    <s v="_x0000_US"/>
  </r>
  <r>
    <x v="1"/>
    <n v="13.687799999999999"/>
    <n v="-89.209100000000007"/>
    <n v="36700"/>
    <n v="0"/>
    <n v="0"/>
    <n v="102"/>
    <s v="_x0000_US"/>
  </r>
  <r>
    <x v="1"/>
    <n v="13.687799999999999"/>
    <n v="-89.209100000000007"/>
    <n v="36700"/>
    <n v="0"/>
    <n v="0"/>
    <n v="102"/>
    <s v="_x0000_US"/>
  </r>
  <r>
    <x v="1"/>
    <n v="13.687799999999999"/>
    <n v="-89.209100000000007"/>
    <n v="36700"/>
    <n v="0"/>
    <n v="0"/>
    <n v="102"/>
    <s v="_x0000_US"/>
  </r>
  <r>
    <x v="1"/>
    <n v="13.687799999999999"/>
    <n v="-89.209100000000007"/>
    <n v="36700"/>
    <n v="0"/>
    <n v="0"/>
    <n v="102"/>
    <s v="_x0000_US"/>
  </r>
  <r>
    <x v="1"/>
    <n v="13.6877"/>
    <n v="-89.209100000000007"/>
    <n v="36700"/>
    <n v="0"/>
    <n v="0"/>
    <n v="102"/>
    <s v="_x0000_US"/>
  </r>
  <r>
    <x v="1"/>
    <n v="13.6877"/>
    <n v="-89.209000000000003"/>
    <n v="36700"/>
    <n v="0"/>
    <n v="0"/>
    <n v="102"/>
    <s v="_x0000_US"/>
  </r>
  <r>
    <x v="1"/>
    <n v="13.687900000000001"/>
    <n v="-89.208799999999997"/>
    <n v="36700"/>
    <n v="0"/>
    <n v="0"/>
    <n v="102"/>
    <s v="_x0000_US"/>
  </r>
  <r>
    <x v="1"/>
    <n v="13.687900000000001"/>
    <n v="-89.208799999999997"/>
    <n v="36700"/>
    <n v="0"/>
    <n v="0"/>
    <n v="102"/>
    <s v="_x0000_US"/>
  </r>
  <r>
    <x v="1"/>
    <n v="13.687900000000001"/>
    <n v="-89.208799999999997"/>
    <n v="36700"/>
    <n v="0"/>
    <n v="0"/>
    <n v="102"/>
    <s v="_x0000_US"/>
  </r>
  <r>
    <x v="1"/>
    <n v="13.687799999999999"/>
    <n v="-89.208799999999997"/>
    <n v="36700"/>
    <n v="0"/>
    <n v="0"/>
    <n v="102"/>
    <s v="_x0000_US"/>
  </r>
  <r>
    <x v="1"/>
    <n v="13.687799999999999"/>
    <n v="-89.208799999999997"/>
    <n v="36700"/>
    <n v="0"/>
    <n v="0"/>
    <n v="102"/>
    <s v="_x0000_US"/>
  </r>
  <r>
    <x v="1"/>
    <n v="13.687799999999999"/>
    <n v="-89.208799999999997"/>
    <n v="36700"/>
    <n v="0"/>
    <n v="0"/>
    <n v="102"/>
    <s v="_x0000_US"/>
  </r>
  <r>
    <x v="1"/>
    <n v="13.687799999999999"/>
    <n v="-89.208799999999997"/>
    <n v="36700"/>
    <n v="0"/>
    <n v="0"/>
    <n v="102"/>
    <s v="_x0000_US"/>
  </r>
  <r>
    <x v="1"/>
    <n v="13.687900000000001"/>
    <n v="-89.208699999999993"/>
    <n v="36700"/>
    <n v="0"/>
    <n v="0"/>
    <n v="102"/>
    <s v="_x0000_US"/>
  </r>
  <r>
    <x v="1"/>
    <n v="13.6876"/>
    <n v="-89.208799999999997"/>
    <n v="36700"/>
    <n v="0"/>
    <n v="0"/>
    <n v="102"/>
    <s v="_x0000_US"/>
  </r>
  <r>
    <x v="1"/>
    <n v="13.6876"/>
    <n v="-89.208799999999997"/>
    <n v="36700"/>
    <n v="0"/>
    <n v="0"/>
    <n v="102"/>
    <s v="_x0000_US"/>
  </r>
  <r>
    <x v="1"/>
    <n v="13.6876"/>
    <n v="-89.208799999999997"/>
    <n v="36700"/>
    <n v="0"/>
    <n v="0"/>
    <n v="102"/>
    <s v="_x0000_US"/>
  </r>
  <r>
    <x v="1"/>
    <n v="13.6876"/>
    <n v="-89.208799999999997"/>
    <n v="36700"/>
    <n v="0"/>
    <n v="0"/>
    <n v="102"/>
    <s v="_x0000_US"/>
  </r>
  <r>
    <x v="1"/>
    <n v="13.6877"/>
    <n v="-89.208799999999997"/>
    <n v="36700"/>
    <n v="0"/>
    <n v="0"/>
    <n v="102"/>
    <s v="_x0000_US"/>
  </r>
  <r>
    <x v="1"/>
    <n v="13.6876"/>
    <n v="-89.2089"/>
    <n v="36700"/>
    <n v="0"/>
    <n v="0"/>
    <n v="102"/>
    <s v="_x0000_US"/>
  </r>
  <r>
    <x v="1"/>
    <n v="13.6876"/>
    <n v="-89.2089"/>
    <n v="36700"/>
    <n v="0"/>
    <n v="0"/>
    <n v="102"/>
    <s v="_x0000_US"/>
  </r>
  <r>
    <x v="1"/>
    <n v="13.6876"/>
    <n v="-89.2089"/>
    <n v="36700"/>
    <n v="0"/>
    <n v="0"/>
    <n v="102"/>
    <s v="_x0000_US"/>
  </r>
  <r>
    <x v="1"/>
    <n v="13.6877"/>
    <n v="-89.209100000000007"/>
    <n v="36700"/>
    <n v="0"/>
    <n v="0"/>
    <n v="102"/>
    <s v="_x0000_US"/>
  </r>
  <r>
    <x v="1"/>
    <n v="13.6876"/>
    <n v="-89.209299999999999"/>
    <n v="36700"/>
    <n v="0"/>
    <n v="0"/>
    <n v="102"/>
    <s v="_x0000_US"/>
  </r>
  <r>
    <x v="1"/>
    <n v="13.6877"/>
    <n v="-89.209000000000003"/>
    <n v="36700"/>
    <n v="0"/>
    <n v="0"/>
    <n v="102"/>
    <s v="_x0000_US"/>
  </r>
  <r>
    <x v="1"/>
    <n v="13.689399999999999"/>
    <n v="-89.215299999999999"/>
    <n v="11800"/>
    <n v="0"/>
    <n v="0"/>
    <n v="102"/>
    <s v="_x0000_US"/>
  </r>
  <r>
    <x v="1"/>
    <n v="13.6891"/>
    <n v="-89.236500000000007"/>
    <n v="64400"/>
    <n v="0"/>
    <n v="0"/>
    <n v="102"/>
    <s v="_x0000_US"/>
  </r>
  <r>
    <x v="1"/>
    <n v="13.6892"/>
    <n v="-89.236500000000007"/>
    <n v="64400"/>
    <n v="0"/>
    <n v="0"/>
    <n v="102"/>
    <s v="_x0000_US"/>
  </r>
  <r>
    <x v="1"/>
    <n v="13.6858"/>
    <n v="-89.240799999999993"/>
    <n v="64400"/>
    <n v="0"/>
    <n v="0"/>
    <n v="102"/>
    <s v="_x0000_US"/>
  </r>
  <r>
    <x v="1"/>
    <n v="13.6869"/>
    <n v="-89.242800000000003"/>
    <n v="64400"/>
    <n v="0"/>
    <n v="0"/>
    <n v="102"/>
    <s v="_x0000_US"/>
  </r>
  <r>
    <x v="1"/>
    <n v="13.6866"/>
    <n v="-89.242800000000003"/>
    <n v="64400"/>
    <n v="0"/>
    <n v="0"/>
    <n v="102"/>
    <s v="_x0000_US"/>
  </r>
  <r>
    <x v="1"/>
    <n v="13.6823"/>
    <n v="-89.243099999999998"/>
    <n v="136100"/>
    <n v="0"/>
    <n v="0"/>
    <n v="102"/>
    <s v="_x0000_US"/>
  </r>
  <r>
    <x v="1"/>
    <n v="13.6823"/>
    <n v="-89.243099999999998"/>
    <n v="136100"/>
    <n v="0"/>
    <n v="0"/>
    <n v="102"/>
    <s v="_x0000_US"/>
  </r>
  <r>
    <x v="1"/>
    <n v="13.6823"/>
    <n v="-89.243099999999998"/>
    <n v="136100"/>
    <n v="0"/>
    <n v="0"/>
    <n v="102"/>
    <s v="_x0000_US"/>
  </r>
  <r>
    <x v="1"/>
    <n v="13.6823"/>
    <n v="-89.243099999999998"/>
    <n v="136100"/>
    <n v="0"/>
    <n v="0"/>
    <n v="102"/>
    <s v="_x0000_US"/>
  </r>
  <r>
    <x v="1"/>
    <n v="13.6823"/>
    <n v="-89.243099999999998"/>
    <n v="136100"/>
    <n v="0"/>
    <n v="0"/>
    <n v="102"/>
    <s v="_x0000_US"/>
  </r>
  <r>
    <x v="1"/>
    <n v="13.682399999999999"/>
    <n v="-89.242900000000006"/>
    <n v="136100"/>
    <n v="0"/>
    <n v="0"/>
    <n v="102"/>
    <s v="_x0000_US"/>
  </r>
  <r>
    <x v="1"/>
    <n v="13.682399999999999"/>
    <n v="-89.242900000000006"/>
    <n v="136100"/>
    <n v="0"/>
    <n v="0"/>
    <n v="102"/>
    <s v="_x0000_US"/>
  </r>
  <r>
    <x v="1"/>
    <n v="13.682399999999999"/>
    <n v="-89.242900000000006"/>
    <n v="136100"/>
    <n v="0"/>
    <n v="0"/>
    <n v="102"/>
    <s v="_x0000_US"/>
  </r>
  <r>
    <x v="1"/>
    <n v="13.682399999999999"/>
    <n v="-89.242900000000006"/>
    <n v="136100"/>
    <n v="0"/>
    <n v="0"/>
    <n v="102"/>
    <s v="_x0000_US"/>
  </r>
  <r>
    <x v="1"/>
    <n v="13.682399999999999"/>
    <n v="-89.242900000000006"/>
    <n v="136100"/>
    <n v="0"/>
    <n v="0"/>
    <n v="102"/>
    <s v="_x0000_US"/>
  </r>
  <r>
    <x v="1"/>
    <n v="13.682499999999999"/>
    <n v="-89.243200000000002"/>
    <n v="136100"/>
    <n v="0"/>
    <n v="0"/>
    <n v="102"/>
    <s v="_x0000_US"/>
  </r>
  <r>
    <x v="1"/>
    <n v="13.682499999999999"/>
    <n v="-89.243200000000002"/>
    <n v="136100"/>
    <n v="0"/>
    <n v="0"/>
    <n v="102"/>
    <s v="_x0000_US"/>
  </r>
  <r>
    <x v="1"/>
    <n v="13.682499999999999"/>
    <n v="-89.243200000000002"/>
    <n v="136100"/>
    <n v="0"/>
    <n v="0"/>
    <n v="102"/>
    <s v="_x0000_US"/>
  </r>
  <r>
    <x v="1"/>
    <n v="13.682499999999999"/>
    <n v="-89.243200000000002"/>
    <n v="136100"/>
    <n v="0"/>
    <n v="0"/>
    <n v="102"/>
    <s v="_x0000_US"/>
  </r>
  <r>
    <x v="1"/>
    <n v="13.682499999999999"/>
    <n v="-89.243200000000002"/>
    <n v="136100"/>
    <n v="0"/>
    <n v="0"/>
    <n v="102"/>
    <s v="_x0000_US"/>
  </r>
  <r>
    <x v="1"/>
    <n v="13.682600000000001"/>
    <n v="-89.242999999999995"/>
    <n v="136100"/>
    <n v="0"/>
    <n v="0"/>
    <n v="102"/>
    <s v="_x0000_US"/>
  </r>
  <r>
    <x v="1"/>
    <n v="13.682600000000001"/>
    <n v="-89.242999999999995"/>
    <n v="136100"/>
    <n v="0"/>
    <n v="0"/>
    <n v="102"/>
    <s v="_x0000_US"/>
  </r>
  <r>
    <x v="1"/>
    <n v="13.682600000000001"/>
    <n v="-89.242999999999995"/>
    <n v="136100"/>
    <n v="0"/>
    <n v="0"/>
    <n v="102"/>
    <s v="_x0000_US"/>
  </r>
  <r>
    <x v="1"/>
    <n v="13.682600000000001"/>
    <n v="-89.242999999999995"/>
    <n v="136100"/>
    <n v="0"/>
    <n v="0"/>
    <n v="102"/>
    <s v="_x0000_US"/>
  </r>
  <r>
    <x v="1"/>
    <n v="13.682600000000001"/>
    <n v="-89.242999999999995"/>
    <n v="136100"/>
    <n v="0"/>
    <n v="0"/>
    <n v="102"/>
    <s v="_x0000_US"/>
  </r>
  <r>
    <x v="1"/>
    <n v="13.682"/>
    <n v="-89.243499999999997"/>
    <n v="136100"/>
    <n v="0"/>
    <n v="0"/>
    <n v="102"/>
    <s v="_x0000_US"/>
  </r>
  <r>
    <x v="1"/>
    <n v="13.682"/>
    <n v="-89.243499999999997"/>
    <n v="136100"/>
    <n v="0"/>
    <n v="0"/>
    <n v="102"/>
    <s v="_x0000_US"/>
  </r>
  <r>
    <x v="1"/>
    <n v="13.682"/>
    <n v="-89.243499999999997"/>
    <n v="136100"/>
    <n v="0"/>
    <n v="0"/>
    <n v="102"/>
    <s v="_x0000_US"/>
  </r>
  <r>
    <x v="1"/>
    <n v="13.682"/>
    <n v="-89.243499999999997"/>
    <n v="136100"/>
    <n v="0"/>
    <n v="0"/>
    <n v="102"/>
    <s v="_x0000_US"/>
  </r>
  <r>
    <x v="1"/>
    <n v="13.682"/>
    <n v="-89.243499999999997"/>
    <n v="136100"/>
    <n v="0"/>
    <n v="0"/>
    <n v="102"/>
    <s v="_x0000_US"/>
  </r>
  <r>
    <x v="1"/>
    <n v="13.6821"/>
    <n v="-89.243700000000004"/>
    <n v="136100"/>
    <n v="0"/>
    <n v="0"/>
    <n v="102"/>
    <s v="_x0000_US"/>
  </r>
  <r>
    <x v="1"/>
    <n v="13.6821"/>
    <n v="-89.243700000000004"/>
    <n v="136100"/>
    <n v="0"/>
    <n v="0"/>
    <n v="102"/>
    <s v="_x0000_US"/>
  </r>
  <r>
    <x v="1"/>
    <n v="13.6821"/>
    <n v="-89.243700000000004"/>
    <n v="136100"/>
    <n v="0"/>
    <n v="0"/>
    <n v="102"/>
    <s v="_x0000_US"/>
  </r>
  <r>
    <x v="1"/>
    <n v="13.6821"/>
    <n v="-89.243700000000004"/>
    <n v="136100"/>
    <n v="0"/>
    <n v="0"/>
    <n v="102"/>
    <s v="_x0000_US"/>
  </r>
  <r>
    <x v="1"/>
    <n v="13.6821"/>
    <n v="-89.243700000000004"/>
    <n v="136100"/>
    <n v="0"/>
    <n v="0"/>
    <n v="102"/>
    <s v="_x0000_US"/>
  </r>
  <r>
    <x v="1"/>
    <n v="13.6822"/>
    <n v="-89.243399999999994"/>
    <n v="136100"/>
    <n v="0"/>
    <n v="0"/>
    <n v="102"/>
    <s v="_x0000_US"/>
  </r>
  <r>
    <x v="1"/>
    <n v="13.6822"/>
    <n v="-89.243399999999994"/>
    <n v="136100"/>
    <n v="0"/>
    <n v="0"/>
    <n v="102"/>
    <s v="_x0000_US"/>
  </r>
  <r>
    <x v="1"/>
    <n v="13.6822"/>
    <n v="-89.243399999999994"/>
    <n v="136100"/>
    <n v="0"/>
    <n v="0"/>
    <n v="102"/>
    <s v="_x0000_US"/>
  </r>
  <r>
    <x v="1"/>
    <n v="13.6822"/>
    <n v="-89.243399999999994"/>
    <n v="136100"/>
    <n v="0"/>
    <n v="0"/>
    <n v="102"/>
    <s v="_x0000_US"/>
  </r>
  <r>
    <x v="1"/>
    <n v="13.6822"/>
    <n v="-89.243399999999994"/>
    <n v="136100"/>
    <n v="0"/>
    <n v="0"/>
    <n v="102"/>
    <s v="_x0000_US"/>
  </r>
  <r>
    <x v="1"/>
    <n v="13.6823"/>
    <n v="-89.243600000000001"/>
    <n v="136100"/>
    <n v="0"/>
    <n v="0"/>
    <n v="102"/>
    <s v="_x0000_US"/>
  </r>
  <r>
    <x v="1"/>
    <n v="13.6823"/>
    <n v="-89.243600000000001"/>
    <n v="136100"/>
    <n v="0"/>
    <n v="0"/>
    <n v="102"/>
    <s v="_x0000_US"/>
  </r>
  <r>
    <x v="1"/>
    <n v="13.6823"/>
    <n v="-89.243600000000001"/>
    <n v="136100"/>
    <n v="0"/>
    <n v="0"/>
    <n v="102"/>
    <s v="_x0000_US"/>
  </r>
  <r>
    <x v="1"/>
    <n v="13.6823"/>
    <n v="-89.243600000000001"/>
    <n v="136100"/>
    <n v="0"/>
    <n v="0"/>
    <n v="102"/>
    <s v="_x0000_US"/>
  </r>
  <r>
    <x v="1"/>
    <n v="13.6823"/>
    <n v="-89.243600000000001"/>
    <n v="136100"/>
    <n v="0"/>
    <n v="0"/>
    <n v="102"/>
    <s v="_x0000_US"/>
  </r>
  <r>
    <x v="1"/>
    <n v="13.682700000000001"/>
    <n v="-89.243700000000004"/>
    <n v="136100"/>
    <n v="0"/>
    <n v="0"/>
    <n v="102"/>
    <s v="_x0000_US"/>
  </r>
  <r>
    <x v="1"/>
    <n v="13.682700000000001"/>
    <n v="-89.243700000000004"/>
    <n v="136100"/>
    <n v="0"/>
    <n v="0"/>
    <n v="102"/>
    <s v="_x0000_US"/>
  </r>
  <r>
    <x v="1"/>
    <n v="13.682700000000001"/>
    <n v="-89.243700000000004"/>
    <n v="136100"/>
    <n v="0"/>
    <n v="0"/>
    <n v="102"/>
    <s v="_x0000_US"/>
  </r>
  <r>
    <x v="1"/>
    <n v="13.682700000000001"/>
    <n v="-89.243700000000004"/>
    <n v="136100"/>
    <n v="0"/>
    <n v="0"/>
    <n v="102"/>
    <s v="_x0000_US"/>
  </r>
  <r>
    <x v="1"/>
    <n v="13.682700000000001"/>
    <n v="-89.243700000000004"/>
    <n v="136100"/>
    <n v="0"/>
    <n v="0"/>
    <n v="102"/>
    <s v="_x0000_US"/>
  </r>
  <r>
    <x v="1"/>
    <n v="13.683"/>
    <n v="-89.243799999999993"/>
    <n v="136100"/>
    <n v="0"/>
    <n v="0"/>
    <n v="102"/>
    <s v="_x0000_US"/>
  </r>
  <r>
    <x v="1"/>
    <n v="13.683"/>
    <n v="-89.243799999999993"/>
    <n v="136100"/>
    <n v="0"/>
    <n v="0"/>
    <n v="102"/>
    <s v="_x0000_US"/>
  </r>
  <r>
    <x v="1"/>
    <n v="13.683"/>
    <n v="-89.243799999999993"/>
    <n v="136100"/>
    <n v="0"/>
    <n v="0"/>
    <n v="102"/>
    <s v="_x0000_US"/>
  </r>
  <r>
    <x v="1"/>
    <n v="13.683"/>
    <n v="-89.243799999999993"/>
    <n v="136100"/>
    <n v="0"/>
    <n v="0"/>
    <n v="102"/>
    <s v="_x0000_US"/>
  </r>
  <r>
    <x v="1"/>
    <n v="13.683"/>
    <n v="-89.243799999999993"/>
    <n v="136100"/>
    <n v="0"/>
    <n v="0"/>
    <n v="102"/>
    <s v="_x0000_US"/>
  </r>
  <r>
    <x v="1"/>
    <n v="13.683"/>
    <n v="-89.243600000000001"/>
    <n v="136100"/>
    <n v="0"/>
    <n v="0"/>
    <n v="102"/>
    <s v="_x0000_US"/>
  </r>
  <r>
    <x v="1"/>
    <n v="13.683"/>
    <n v="-89.243600000000001"/>
    <n v="136100"/>
    <n v="0"/>
    <n v="0"/>
    <n v="102"/>
    <s v="_x0000_US"/>
  </r>
  <r>
    <x v="1"/>
    <n v="13.683"/>
    <n v="-89.243600000000001"/>
    <n v="136100"/>
    <n v="0"/>
    <n v="0"/>
    <n v="102"/>
    <s v="_x0000_US"/>
  </r>
  <r>
    <x v="1"/>
    <n v="13.683"/>
    <n v="-89.243600000000001"/>
    <n v="136100"/>
    <n v="0"/>
    <n v="0"/>
    <n v="102"/>
    <s v="_x0000_US"/>
  </r>
  <r>
    <x v="1"/>
    <n v="13.683"/>
    <n v="-89.243600000000001"/>
    <n v="136100"/>
    <n v="0"/>
    <n v="0"/>
    <n v="102"/>
    <s v="_x0000_US"/>
  </r>
  <r>
    <x v="1"/>
    <n v="13.6829"/>
    <n v="-89.243499999999997"/>
    <n v="136100"/>
    <n v="0"/>
    <n v="0"/>
    <n v="102"/>
    <s v="_x0000_US"/>
  </r>
  <r>
    <x v="1"/>
    <n v="13.6829"/>
    <n v="-89.243499999999997"/>
    <n v="136100"/>
    <n v="0"/>
    <n v="0"/>
    <n v="102"/>
    <s v="_x0000_US"/>
  </r>
  <r>
    <x v="1"/>
    <n v="13.6829"/>
    <n v="-89.243499999999997"/>
    <n v="136100"/>
    <n v="0"/>
    <n v="0"/>
    <n v="102"/>
    <s v="_x0000_US"/>
  </r>
  <r>
    <x v="1"/>
    <n v="13.6829"/>
    <n v="-89.243499999999997"/>
    <n v="136100"/>
    <n v="0"/>
    <n v="0"/>
    <n v="102"/>
    <s v="_x0000_US"/>
  </r>
  <r>
    <x v="1"/>
    <n v="13.6829"/>
    <n v="-89.243499999999997"/>
    <n v="136100"/>
    <n v="0"/>
    <n v="0"/>
    <n v="102"/>
    <s v="_x0000_US"/>
  </r>
  <r>
    <x v="1"/>
    <n v="13.6861"/>
    <n v="-89.242099999999994"/>
    <n v="64400"/>
    <n v="0"/>
    <n v="0"/>
    <n v="102"/>
    <s v="_x0000_US"/>
  </r>
  <r>
    <x v="1"/>
    <n v="13.675800000000001"/>
    <n v="-89.242099999999994"/>
    <n v="14950"/>
    <n v="0"/>
    <n v="0"/>
    <n v="102"/>
    <s v="_x0000_US"/>
  </r>
  <r>
    <x v="1"/>
    <n v="13.675800000000001"/>
    <n v="-89.242000000000004"/>
    <n v="14950"/>
    <n v="0"/>
    <n v="0"/>
    <n v="102"/>
    <s v="_x0000_US"/>
  </r>
  <r>
    <x v="1"/>
    <n v="13.675700000000001"/>
    <n v="-89.241900000000001"/>
    <n v="14950"/>
    <n v="0"/>
    <n v="0"/>
    <n v="102"/>
    <s v="_x0000_US"/>
  </r>
  <r>
    <x v="1"/>
    <n v="13.675599999999999"/>
    <n v="-89.241900000000001"/>
    <n v="14950"/>
    <n v="0"/>
    <n v="0"/>
    <n v="102"/>
    <s v="_x0000_US"/>
  </r>
  <r>
    <x v="1"/>
    <n v="13.675599999999999"/>
    <n v="-89.241699999999994"/>
    <n v="14950"/>
    <n v="0"/>
    <n v="0"/>
    <n v="102"/>
    <s v="_x0000_US"/>
  </r>
  <r>
    <x v="1"/>
    <n v="13.6754"/>
    <n v="-89.241900000000001"/>
    <n v="14950"/>
    <n v="0"/>
    <n v="0"/>
    <n v="102"/>
    <s v="_x0000_US"/>
  </r>
  <r>
    <x v="1"/>
    <n v="13.6752"/>
    <n v="-89.242000000000004"/>
    <n v="14950"/>
    <n v="0"/>
    <n v="0"/>
    <n v="102"/>
    <s v="_x0000_US"/>
  </r>
  <r>
    <x v="1"/>
    <n v="13.675000000000001"/>
    <n v="-89.242099999999994"/>
    <n v="14950"/>
    <n v="0"/>
    <n v="0"/>
    <n v="102"/>
    <s v="_x0000_US"/>
  </r>
  <r>
    <x v="1"/>
    <n v="13.675000000000001"/>
    <n v="-89.242099999999994"/>
    <n v="14950"/>
    <n v="0"/>
    <n v="0"/>
    <n v="102"/>
    <s v="_x0000_US"/>
  </r>
  <r>
    <x v="1"/>
    <n v="13.674899999999999"/>
    <n v="-89.242099999999994"/>
    <n v="14950"/>
    <n v="0"/>
    <n v="0"/>
    <n v="102"/>
    <s v="_x0000_US"/>
  </r>
  <r>
    <x v="1"/>
    <n v="13.674799999999999"/>
    <n v="-89.242199999999997"/>
    <n v="14950"/>
    <n v="0"/>
    <n v="0"/>
    <n v="102"/>
    <s v="_x0000_US"/>
  </r>
  <r>
    <x v="1"/>
    <n v="13.674799999999999"/>
    <n v="-89.242199999999997"/>
    <n v="14950"/>
    <n v="0"/>
    <n v="0"/>
    <n v="102"/>
    <s v="_x0000_US"/>
  </r>
  <r>
    <x v="1"/>
    <n v="13.675000000000001"/>
    <n v="-89.242599999999996"/>
    <n v="14950"/>
    <n v="0"/>
    <n v="0"/>
    <n v="102"/>
    <s v="_x0000_US"/>
  </r>
  <r>
    <x v="1"/>
    <n v="13.674899999999999"/>
    <n v="-89.242699999999999"/>
    <n v="14950"/>
    <n v="0"/>
    <n v="0"/>
    <n v="102"/>
    <s v="_x0000_US"/>
  </r>
  <r>
    <x v="1"/>
    <n v="13.674799999999999"/>
    <n v="-89.242800000000003"/>
    <n v="14950"/>
    <n v="0"/>
    <n v="0"/>
    <n v="102"/>
    <s v="_x0000_US"/>
  </r>
  <r>
    <x v="1"/>
    <n v="13.6746"/>
    <n v="-89.242900000000006"/>
    <n v="14950"/>
    <n v="0"/>
    <n v="0"/>
    <n v="102"/>
    <s v="_x0000_US"/>
  </r>
  <r>
    <x v="1"/>
    <n v="13.6738"/>
    <n v="-89.242400000000004"/>
    <n v="14950"/>
    <n v="0"/>
    <n v="0"/>
    <n v="102"/>
    <s v="_x0000_US"/>
  </r>
  <r>
    <x v="1"/>
    <n v="13.6737"/>
    <n v="-89.242500000000007"/>
    <n v="14950"/>
    <n v="0"/>
    <n v="0"/>
    <n v="102"/>
    <s v="_x0000_US"/>
  </r>
  <r>
    <x v="1"/>
    <n v="13.6736"/>
    <n v="-89.242500000000007"/>
    <n v="14950"/>
    <n v="0"/>
    <n v="0"/>
    <n v="102"/>
    <s v="_x0000_US"/>
  </r>
  <r>
    <x v="1"/>
    <n v="13.673500000000001"/>
    <n v="-89.242599999999996"/>
    <n v="14950"/>
    <n v="0"/>
    <n v="0"/>
    <n v="102"/>
    <s v="_x0000_US"/>
  </r>
  <r>
    <x v="1"/>
    <n v="13.6738"/>
    <n v="-89.241799999999998"/>
    <n v="14950"/>
    <n v="0"/>
    <n v="0"/>
    <n v="102"/>
    <s v="_x0000_US"/>
  </r>
  <r>
    <x v="1"/>
    <n v="13.6731"/>
    <n v="-89.251999999999995"/>
    <n v="14950"/>
    <n v="0"/>
    <n v="0"/>
    <n v="102"/>
    <s v="_x0000_US"/>
  </r>
  <r>
    <x v="1"/>
    <n v="13.6732"/>
    <n v="-89.251900000000006"/>
    <n v="14950"/>
    <n v="0"/>
    <n v="0"/>
    <n v="102"/>
    <s v="_x0000_US"/>
  </r>
  <r>
    <x v="1"/>
    <n v="13.6732"/>
    <n v="-89.251900000000006"/>
    <n v="14950"/>
    <n v="0"/>
    <n v="0"/>
    <n v="102"/>
    <s v="_x0000_US"/>
  </r>
  <r>
    <x v="1"/>
    <n v="13.6732"/>
    <n v="-89.251900000000006"/>
    <n v="14950"/>
    <n v="0"/>
    <n v="0"/>
    <n v="102"/>
    <s v="_x0000_US"/>
  </r>
  <r>
    <x v="1"/>
    <n v="13.6732"/>
    <n v="-89.251900000000006"/>
    <n v="14950"/>
    <n v="0"/>
    <n v="0"/>
    <n v="102"/>
    <s v="_x0000_US"/>
  </r>
  <r>
    <x v="1"/>
    <n v="13.679399999999999"/>
    <n v="-89.239800000000002"/>
    <n v="14950"/>
    <n v="0"/>
    <n v="0"/>
    <n v="102"/>
    <s v="_x0000_US"/>
  </r>
  <r>
    <x v="1"/>
    <n v="13.679399999999999"/>
    <n v="-89.239699999999999"/>
    <n v="14950"/>
    <n v="0"/>
    <n v="0"/>
    <n v="102"/>
    <s v="_x0000_US"/>
  </r>
  <r>
    <x v="1"/>
    <n v="13.679399999999999"/>
    <n v="-89.239699999999999"/>
    <n v="14950"/>
    <n v="0"/>
    <n v="0"/>
    <n v="102"/>
    <s v="_x0000_US"/>
  </r>
  <r>
    <x v="1"/>
    <n v="13.6793"/>
    <n v="-89.239599999999996"/>
    <n v="14950"/>
    <n v="0"/>
    <n v="0"/>
    <n v="102"/>
    <s v="_x0000_US"/>
  </r>
  <r>
    <x v="1"/>
    <n v="13.6793"/>
    <n v="-89.239599999999996"/>
    <n v="14950"/>
    <n v="0"/>
    <n v="0"/>
    <n v="102"/>
    <s v="_x0000_US"/>
  </r>
  <r>
    <x v="1"/>
    <n v="13.679600000000001"/>
    <n v="-89.239699999999999"/>
    <n v="14950"/>
    <n v="0"/>
    <n v="0"/>
    <n v="102"/>
    <s v="_x0000_US"/>
  </r>
  <r>
    <x v="1"/>
    <n v="13.679500000000001"/>
    <n v="-89.239599999999996"/>
    <n v="14950"/>
    <n v="0"/>
    <n v="0"/>
    <n v="102"/>
    <s v="_x0000_US"/>
  </r>
  <r>
    <x v="1"/>
    <n v="13.679500000000001"/>
    <n v="-89.239599999999996"/>
    <n v="14950"/>
    <n v="0"/>
    <n v="0"/>
    <n v="102"/>
    <s v="_x0000_US"/>
  </r>
  <r>
    <x v="1"/>
    <n v="13.679500000000001"/>
    <n v="-89.239500000000007"/>
    <n v="14950"/>
    <n v="0"/>
    <n v="0"/>
    <n v="102"/>
    <s v="_x0000_US"/>
  </r>
  <r>
    <x v="1"/>
    <n v="13.679399999999999"/>
    <n v="-89.239500000000007"/>
    <n v="14950"/>
    <n v="0"/>
    <n v="0"/>
    <n v="102"/>
    <s v="_x0000_US"/>
  </r>
  <r>
    <x v="1"/>
    <n v="13.6793"/>
    <n v="-89.239400000000003"/>
    <n v="14950"/>
    <n v="0"/>
    <n v="0"/>
    <n v="102"/>
    <s v="_x0000_US"/>
  </r>
  <r>
    <x v="1"/>
    <n v="13.679399999999999"/>
    <n v="-89.239400000000003"/>
    <n v="14950"/>
    <n v="0"/>
    <n v="0"/>
    <n v="102"/>
    <s v="_x0000_US"/>
  </r>
  <r>
    <x v="1"/>
    <n v="13.679399999999999"/>
    <n v="-89.239400000000003"/>
    <n v="14950"/>
    <n v="0"/>
    <n v="0"/>
    <n v="102"/>
    <s v="_x0000_US"/>
  </r>
  <r>
    <x v="1"/>
    <n v="13.679399999999999"/>
    <n v="-89.239400000000003"/>
    <n v="14950"/>
    <n v="0"/>
    <n v="0"/>
    <n v="102"/>
    <s v="_x0000_US"/>
  </r>
  <r>
    <x v="1"/>
    <n v="13.679399999999999"/>
    <n v="-89.2393"/>
    <n v="14950"/>
    <n v="0"/>
    <n v="0"/>
    <n v="102"/>
    <s v="_x0000_US"/>
  </r>
  <r>
    <x v="1"/>
    <n v="13.679500000000001"/>
    <n v="-89.2393"/>
    <n v="14950"/>
    <n v="0"/>
    <n v="0"/>
    <n v="102"/>
    <s v="_x0000_US"/>
  </r>
  <r>
    <x v="1"/>
    <n v="13.679500000000001"/>
    <n v="-89.2393"/>
    <n v="14950"/>
    <n v="0"/>
    <n v="0"/>
    <n v="102"/>
    <s v="_x0000_US"/>
  </r>
  <r>
    <x v="1"/>
    <n v="13.679399999999999"/>
    <n v="-89.239199999999997"/>
    <n v="14950"/>
    <n v="0"/>
    <n v="0"/>
    <n v="102"/>
    <s v="_x0000_US"/>
  </r>
  <r>
    <x v="1"/>
    <n v="13.679399999999999"/>
    <n v="-89.239199999999997"/>
    <n v="14950"/>
    <n v="0"/>
    <n v="0"/>
    <n v="102"/>
    <s v="_x0000_US"/>
  </r>
  <r>
    <x v="1"/>
    <n v="13.679399999999999"/>
    <n v="-89.239199999999997"/>
    <n v="14950"/>
    <n v="0"/>
    <n v="0"/>
    <n v="102"/>
    <s v="_x0000_US"/>
  </r>
  <r>
    <x v="1"/>
    <n v="13.6793"/>
    <n v="-89.239199999999997"/>
    <n v="14950"/>
    <n v="0"/>
    <n v="0"/>
    <n v="102"/>
    <s v="_x0000_US"/>
  </r>
  <r>
    <x v="1"/>
    <n v="13.6793"/>
    <n v="-89.239199999999997"/>
    <n v="14950"/>
    <n v="0"/>
    <n v="0"/>
    <n v="102"/>
    <s v="_x0000_US"/>
  </r>
  <r>
    <x v="1"/>
    <n v="13.6793"/>
    <n v="-89.2393"/>
    <n v="14950"/>
    <n v="0"/>
    <n v="0"/>
    <n v="102"/>
    <s v="_x0000_US"/>
  </r>
  <r>
    <x v="1"/>
    <n v="13.6792"/>
    <n v="-89.2393"/>
    <n v="14950"/>
    <n v="0"/>
    <n v="0"/>
    <n v="102"/>
    <s v="_x0000_US"/>
  </r>
  <r>
    <x v="1"/>
    <n v="13.6791"/>
    <n v="-89.239199999999997"/>
    <n v="14950"/>
    <n v="0"/>
    <n v="0"/>
    <n v="102"/>
    <s v="_x0000_US"/>
  </r>
  <r>
    <x v="1"/>
    <n v="13.6791"/>
    <n v="-89.239199999999997"/>
    <n v="14950"/>
    <n v="0"/>
    <n v="0"/>
    <n v="102"/>
    <s v="_x0000_US"/>
  </r>
  <r>
    <x v="1"/>
    <n v="13.6791"/>
    <n v="-89.239199999999997"/>
    <n v="14950"/>
    <n v="0"/>
    <n v="0"/>
    <n v="102"/>
    <s v="_x0000_US"/>
  </r>
  <r>
    <x v="1"/>
    <n v="13.6791"/>
    <n v="-89.239199999999997"/>
    <n v="14950"/>
    <n v="0"/>
    <n v="0"/>
    <n v="102"/>
    <s v="_x0000_US"/>
  </r>
  <r>
    <x v="1"/>
    <n v="13.6791"/>
    <n v="-89.239099999999993"/>
    <n v="14950"/>
    <n v="0"/>
    <n v="0"/>
    <n v="102"/>
    <s v="_x0000_US"/>
  </r>
  <r>
    <x v="1"/>
    <n v="13.679"/>
    <n v="-89.239099999999993"/>
    <n v="14950"/>
    <n v="0"/>
    <n v="0"/>
    <n v="102"/>
    <s v="_x0000_US"/>
  </r>
  <r>
    <x v="1"/>
    <n v="13.679"/>
    <n v="-89.239099999999993"/>
    <n v="14950"/>
    <n v="0"/>
    <n v="0"/>
    <n v="102"/>
    <s v="_x0000_US"/>
  </r>
  <r>
    <x v="1"/>
    <n v="13.679"/>
    <n v="-89.239099999999993"/>
    <n v="14950"/>
    <n v="0"/>
    <n v="0"/>
    <n v="102"/>
    <s v="_x0000_US"/>
  </r>
  <r>
    <x v="1"/>
    <n v="13.679"/>
    <n v="-89.2393"/>
    <n v="14950"/>
    <n v="0"/>
    <n v="0"/>
    <n v="102"/>
    <s v="_x0000_US"/>
  </r>
  <r>
    <x v="1"/>
    <n v="13.679"/>
    <n v="-89.2393"/>
    <n v="14950"/>
    <n v="0"/>
    <n v="0"/>
    <n v="102"/>
    <s v="_x0000_US"/>
  </r>
  <r>
    <x v="1"/>
    <n v="13.679"/>
    <n v="-89.2393"/>
    <n v="14950"/>
    <n v="0"/>
    <n v="0"/>
    <n v="102"/>
    <s v="_x0000_US"/>
  </r>
  <r>
    <x v="1"/>
    <n v="13.678900000000001"/>
    <n v="-89.239199999999997"/>
    <n v="14950"/>
    <n v="0"/>
    <n v="0"/>
    <n v="102"/>
    <s v="_x0000_US"/>
  </r>
  <r>
    <x v="1"/>
    <n v="13.678900000000001"/>
    <n v="-89.239199999999997"/>
    <n v="14950"/>
    <n v="0"/>
    <n v="0"/>
    <n v="102"/>
    <s v="_x0000_US"/>
  </r>
  <r>
    <x v="1"/>
    <n v="13.678900000000001"/>
    <n v="-89.239199999999997"/>
    <n v="14950"/>
    <n v="0"/>
    <n v="0"/>
    <n v="102"/>
    <s v="_x0000_US"/>
  </r>
  <r>
    <x v="1"/>
    <n v="13.678900000000001"/>
    <n v="-89.239099999999993"/>
    <n v="14950"/>
    <n v="0"/>
    <n v="0"/>
    <n v="102"/>
    <s v="_x0000_US"/>
  </r>
  <r>
    <x v="1"/>
    <n v="13.678800000000001"/>
    <n v="-89.239500000000007"/>
    <n v="14950"/>
    <n v="0"/>
    <n v="0"/>
    <n v="102"/>
    <s v="_x0000_US"/>
  </r>
  <r>
    <x v="1"/>
    <n v="13.678800000000001"/>
    <n v="-89.239400000000003"/>
    <n v="14950"/>
    <n v="0"/>
    <n v="0"/>
    <n v="102"/>
    <s v="_x0000_US"/>
  </r>
  <r>
    <x v="1"/>
    <n v="13.678699999999999"/>
    <n v="-89.239400000000003"/>
    <n v="14950"/>
    <n v="0"/>
    <n v="0"/>
    <n v="102"/>
    <s v="_x0000_US"/>
  </r>
  <r>
    <x v="1"/>
    <n v="13.678699999999999"/>
    <n v="-89.239400000000003"/>
    <n v="14950"/>
    <n v="0"/>
    <n v="0"/>
    <n v="102"/>
    <s v="_x0000_US"/>
  </r>
  <r>
    <x v="1"/>
    <n v="13.678699999999999"/>
    <n v="-89.2393"/>
    <n v="14950"/>
    <n v="0"/>
    <n v="0"/>
    <n v="102"/>
    <s v="_x0000_US"/>
  </r>
  <r>
    <x v="1"/>
    <n v="13.678699999999999"/>
    <n v="-89.2393"/>
    <n v="14950"/>
    <n v="0"/>
    <n v="0"/>
    <n v="102"/>
    <s v="_x0000_US"/>
  </r>
  <r>
    <x v="1"/>
    <n v="13.678699999999999"/>
    <n v="-89.2393"/>
    <n v="14950"/>
    <n v="0"/>
    <n v="0"/>
    <n v="102"/>
    <s v="_x0000_US"/>
  </r>
  <r>
    <x v="1"/>
    <n v="13.678699999999999"/>
    <n v="-89.2393"/>
    <n v="14950"/>
    <n v="0"/>
    <n v="0"/>
    <n v="102"/>
    <s v="_x0000_US"/>
  </r>
  <r>
    <x v="1"/>
    <n v="13.678800000000001"/>
    <n v="-89.239800000000002"/>
    <n v="14950"/>
    <n v="0"/>
    <n v="0"/>
    <n v="102"/>
    <s v="_x0000_US"/>
  </r>
  <r>
    <x v="1"/>
    <n v="13.678699999999999"/>
    <n v="-89.239800000000002"/>
    <n v="14950"/>
    <n v="0"/>
    <n v="0"/>
    <n v="102"/>
    <s v="_x0000_US"/>
  </r>
  <r>
    <x v="1"/>
    <n v="13.678699999999999"/>
    <n v="-89.239900000000006"/>
    <n v="14950"/>
    <n v="0"/>
    <n v="0"/>
    <n v="102"/>
    <s v="_x0000_US"/>
  </r>
  <r>
    <x v="1"/>
    <n v="13.678699999999999"/>
    <n v="-89.239900000000006"/>
    <n v="14950"/>
    <n v="0"/>
    <n v="0"/>
    <n v="102"/>
    <s v="_x0000_US"/>
  </r>
  <r>
    <x v="1"/>
    <n v="13.678699999999999"/>
    <n v="-89.239900000000006"/>
    <n v="14950"/>
    <n v="0"/>
    <n v="0"/>
    <n v="102"/>
    <s v="_x0000_US"/>
  </r>
  <r>
    <x v="1"/>
    <n v="13.678699999999999"/>
    <n v="-89.239699999999999"/>
    <n v="14950"/>
    <n v="0"/>
    <n v="0"/>
    <n v="102"/>
    <s v="_x0000_US"/>
  </r>
  <r>
    <x v="1"/>
    <n v="13.678599999999999"/>
    <n v="-89.239699999999999"/>
    <n v="14950"/>
    <n v="0"/>
    <n v="0"/>
    <n v="102"/>
    <s v="_x0000_US"/>
  </r>
  <r>
    <x v="1"/>
    <n v="13.678599999999999"/>
    <n v="-89.239500000000007"/>
    <n v="14950"/>
    <n v="0"/>
    <n v="0"/>
    <n v="102"/>
    <s v="_x0000_US"/>
  </r>
  <r>
    <x v="1"/>
    <n v="13.678599999999999"/>
    <n v="-89.239500000000007"/>
    <n v="14950"/>
    <n v="0"/>
    <n v="0"/>
    <n v="102"/>
    <s v="_x0000_US"/>
  </r>
  <r>
    <x v="1"/>
    <n v="13.6793"/>
    <n v="-89.241"/>
    <n v="14950"/>
    <n v="0"/>
    <n v="0"/>
    <n v="102"/>
    <s v="_x0000_US"/>
  </r>
  <r>
    <x v="1"/>
    <n v="13.679500000000001"/>
    <n v="-89.241"/>
    <n v="14950"/>
    <n v="0"/>
    <n v="0"/>
    <n v="102"/>
    <s v="_x0000_US"/>
  </r>
  <r>
    <x v="1"/>
    <n v="13.679500000000001"/>
    <n v="-89.241"/>
    <n v="14950"/>
    <n v="0"/>
    <n v="0"/>
    <n v="102"/>
    <s v="_x0000_US"/>
  </r>
  <r>
    <x v="1"/>
    <n v="13.679600000000001"/>
    <n v="-89.241"/>
    <n v="14950"/>
    <n v="0"/>
    <n v="0"/>
    <n v="102"/>
    <s v="_x0000_US"/>
  </r>
  <r>
    <x v="1"/>
    <n v="13.679500000000001"/>
    <n v="-89.240899999999996"/>
    <n v="14950"/>
    <n v="0"/>
    <n v="0"/>
    <n v="102"/>
    <s v="_x0000_US"/>
  </r>
  <r>
    <x v="1"/>
    <n v="13.679500000000001"/>
    <n v="-89.240899999999996"/>
    <n v="14950"/>
    <n v="0"/>
    <n v="0"/>
    <n v="102"/>
    <s v="_x0000_US"/>
  </r>
  <r>
    <x v="1"/>
    <n v="13.679500000000001"/>
    <n v="-89.240799999999993"/>
    <n v="14950"/>
    <n v="0"/>
    <n v="0"/>
    <n v="102"/>
    <s v="_x0000_US"/>
  </r>
  <r>
    <x v="1"/>
    <n v="13.679500000000001"/>
    <n v="-89.240799999999993"/>
    <n v="14950"/>
    <n v="0"/>
    <n v="0"/>
    <n v="102"/>
    <s v="_x0000_US"/>
  </r>
  <r>
    <x v="1"/>
    <n v="13.679399999999999"/>
    <n v="-89.240799999999993"/>
    <n v="14950"/>
    <n v="0"/>
    <n v="0"/>
    <n v="102"/>
    <s v="_x0000_US"/>
  </r>
  <r>
    <x v="1"/>
    <n v="13.679399999999999"/>
    <n v="-89.240799999999993"/>
    <n v="14950"/>
    <n v="0"/>
    <n v="0"/>
    <n v="102"/>
    <s v="_x0000_US"/>
  </r>
  <r>
    <x v="1"/>
    <n v="13.6793"/>
    <n v="-89.240799999999993"/>
    <n v="14950"/>
    <n v="0"/>
    <n v="0"/>
    <n v="102"/>
    <s v="_x0000_US"/>
  </r>
  <r>
    <x v="1"/>
    <n v="13.679399999999999"/>
    <n v="-89.240700000000004"/>
    <n v="14950"/>
    <n v="0"/>
    <n v="0"/>
    <n v="102"/>
    <s v="_x0000_US"/>
  </r>
  <r>
    <x v="1"/>
    <n v="13.6793"/>
    <n v="-89.240600000000001"/>
    <n v="14950"/>
    <n v="0"/>
    <n v="0"/>
    <n v="102"/>
    <s v="_x0000_US"/>
  </r>
  <r>
    <x v="1"/>
    <n v="13.6793"/>
    <n v="-89.240600000000001"/>
    <n v="14950"/>
    <n v="0"/>
    <n v="0"/>
    <n v="102"/>
    <s v="_x0000_US"/>
  </r>
  <r>
    <x v="1"/>
    <n v="13.6792"/>
    <n v="-89.240600000000001"/>
    <n v="14950"/>
    <n v="0"/>
    <n v="0"/>
    <n v="102"/>
    <s v="_x0000_US"/>
  </r>
  <r>
    <x v="1"/>
    <n v="13.6792"/>
    <n v="-89.240600000000001"/>
    <n v="14950"/>
    <n v="0"/>
    <n v="0"/>
    <n v="102"/>
    <s v="_x0000_US"/>
  </r>
  <r>
    <x v="1"/>
    <n v="13.6791"/>
    <n v="-89.240700000000004"/>
    <n v="14950"/>
    <n v="0"/>
    <n v="0"/>
    <n v="102"/>
    <s v="_x0000_US"/>
  </r>
  <r>
    <x v="1"/>
    <n v="13.6791"/>
    <n v="-89.240799999999993"/>
    <n v="14950"/>
    <n v="0"/>
    <n v="0"/>
    <n v="102"/>
    <s v="_x0000_US"/>
  </r>
  <r>
    <x v="1"/>
    <n v="13.6793"/>
    <n v="-89.240600000000001"/>
    <n v="14950"/>
    <n v="0"/>
    <n v="0"/>
    <n v="102"/>
    <s v="_x0000_US"/>
  </r>
  <r>
    <x v="1"/>
    <n v="13.6792"/>
    <n v="-89.240499999999997"/>
    <n v="14950"/>
    <n v="0"/>
    <n v="0"/>
    <n v="102"/>
    <s v="_x0000_US"/>
  </r>
  <r>
    <x v="1"/>
    <n v="13.6792"/>
    <n v="-89.240499999999997"/>
    <n v="14950"/>
    <n v="0"/>
    <n v="0"/>
    <n v="102"/>
    <s v="_x0000_US"/>
  </r>
  <r>
    <x v="1"/>
    <n v="13.6791"/>
    <n v="-89.240499999999997"/>
    <n v="14950"/>
    <n v="0"/>
    <n v="0"/>
    <n v="102"/>
    <s v="_x0000_US"/>
  </r>
  <r>
    <x v="1"/>
    <n v="13.6792"/>
    <n v="-89.240399999999994"/>
    <n v="14950"/>
    <n v="0"/>
    <n v="0"/>
    <n v="102"/>
    <s v="_x0000_US"/>
  </r>
  <r>
    <x v="1"/>
    <n v="13.679399999999999"/>
    <n v="-89.240300000000005"/>
    <n v="14950"/>
    <n v="0"/>
    <n v="0"/>
    <n v="102"/>
    <s v="_x0000_US"/>
  </r>
  <r>
    <x v="1"/>
    <n v="13.679399999999999"/>
    <n v="-89.240399999999994"/>
    <n v="14950"/>
    <n v="0"/>
    <n v="0"/>
    <n v="102"/>
    <s v="_x0000_US"/>
  </r>
  <r>
    <x v="1"/>
    <n v="13.679399999999999"/>
    <n v="-89.240399999999994"/>
    <n v="14950"/>
    <n v="0"/>
    <n v="0"/>
    <n v="102"/>
    <s v="_x0000_US"/>
  </r>
  <r>
    <x v="1"/>
    <n v="13.679500000000001"/>
    <n v="-89.240499999999997"/>
    <n v="14950"/>
    <n v="0"/>
    <n v="0"/>
    <n v="102"/>
    <s v="_x0000_US"/>
  </r>
  <r>
    <x v="1"/>
    <n v="13.679500000000001"/>
    <n v="-89.240499999999997"/>
    <n v="14950"/>
    <n v="0"/>
    <n v="0"/>
    <n v="102"/>
    <s v="_x0000_US"/>
  </r>
  <r>
    <x v="1"/>
    <n v="13.679600000000001"/>
    <n v="-89.240499999999997"/>
    <n v="14950"/>
    <n v="0"/>
    <n v="0"/>
    <n v="102"/>
    <s v="_x0000_US"/>
  </r>
  <r>
    <x v="1"/>
    <n v="13.679600000000001"/>
    <n v="-89.240600000000001"/>
    <n v="14950"/>
    <n v="0"/>
    <n v="0"/>
    <n v="102"/>
    <s v="_x0000_US"/>
  </r>
  <r>
    <x v="1"/>
    <n v="13.679600000000001"/>
    <n v="-89.240700000000004"/>
    <n v="14950"/>
    <n v="0"/>
    <n v="0"/>
    <n v="102"/>
    <s v="_x0000_US"/>
  </r>
  <r>
    <x v="1"/>
    <n v="13.6797"/>
    <n v="-89.240700000000004"/>
    <n v="14950"/>
    <n v="0"/>
    <n v="0"/>
    <n v="102"/>
    <s v="_x0000_US"/>
  </r>
  <r>
    <x v="1"/>
    <n v="13.6797"/>
    <n v="-89.240799999999993"/>
    <n v="14950"/>
    <n v="0"/>
    <n v="0"/>
    <n v="102"/>
    <s v="_x0000_US"/>
  </r>
  <r>
    <x v="1"/>
    <n v="13.6797"/>
    <n v="-89.240799999999993"/>
    <n v="14950"/>
    <n v="0"/>
    <n v="0"/>
    <n v="102"/>
    <s v="_x0000_US"/>
  </r>
  <r>
    <x v="1"/>
    <n v="13.6797"/>
    <n v="-89.240899999999996"/>
    <n v="14950"/>
    <n v="0"/>
    <n v="0"/>
    <n v="102"/>
    <s v="_x0000_US"/>
  </r>
  <r>
    <x v="1"/>
    <n v="13.6798"/>
    <n v="-89.240899999999996"/>
    <n v="14950"/>
    <n v="0"/>
    <n v="0"/>
    <n v="102"/>
    <s v="_x0000_US"/>
  </r>
  <r>
    <x v="1"/>
    <n v="13.6799"/>
    <n v="-89.240799999999993"/>
    <n v="14950"/>
    <n v="0"/>
    <n v="0"/>
    <n v="102"/>
    <s v="_x0000_US"/>
  </r>
  <r>
    <x v="1"/>
    <n v="13.6798"/>
    <n v="-89.240799999999993"/>
    <n v="14950"/>
    <n v="0"/>
    <n v="0"/>
    <n v="102"/>
    <s v="_x0000_US"/>
  </r>
  <r>
    <x v="1"/>
    <n v="13.6798"/>
    <n v="-89.240700000000004"/>
    <n v="14950"/>
    <n v="0"/>
    <n v="0"/>
    <n v="102"/>
    <s v="_x0000_US"/>
  </r>
  <r>
    <x v="1"/>
    <n v="13.6798"/>
    <n v="-89.240700000000004"/>
    <n v="14950"/>
    <n v="0"/>
    <n v="0"/>
    <n v="102"/>
    <s v="_x0000_US"/>
  </r>
  <r>
    <x v="1"/>
    <n v="13.6798"/>
    <n v="-89.240600000000001"/>
    <n v="14950"/>
    <n v="0"/>
    <n v="0"/>
    <n v="102"/>
    <s v="_x0000_US"/>
  </r>
  <r>
    <x v="1"/>
    <n v="13.6797"/>
    <n v="-89.240600000000001"/>
    <n v="14950"/>
    <n v="0"/>
    <n v="0"/>
    <n v="102"/>
    <s v="_x0000_US"/>
  </r>
  <r>
    <x v="1"/>
    <n v="13.6797"/>
    <n v="-89.240600000000001"/>
    <n v="14950"/>
    <n v="0"/>
    <n v="0"/>
    <n v="102"/>
    <s v="_x0000_US"/>
  </r>
  <r>
    <x v="1"/>
    <n v="13.6799"/>
    <n v="-89.240399999999994"/>
    <n v="14950"/>
    <n v="0"/>
    <n v="0"/>
    <n v="102"/>
    <s v="_x0000_US"/>
  </r>
  <r>
    <x v="1"/>
    <n v="13.6799"/>
    <n v="-89.240499999999997"/>
    <n v="14950"/>
    <n v="0"/>
    <n v="0"/>
    <n v="102"/>
    <s v="_x0000_US"/>
  </r>
  <r>
    <x v="1"/>
    <n v="13.6799"/>
    <n v="-89.240499999999997"/>
    <n v="14950"/>
    <n v="0"/>
    <n v="0"/>
    <n v="102"/>
    <s v="_x0000_US"/>
  </r>
  <r>
    <x v="1"/>
    <n v="13.68"/>
    <n v="-89.240600000000001"/>
    <n v="14950"/>
    <n v="0"/>
    <n v="0"/>
    <n v="102"/>
    <s v="_x0000_US"/>
  </r>
  <r>
    <x v="1"/>
    <n v="13.68"/>
    <n v="-89.240600000000001"/>
    <n v="14950"/>
    <n v="0"/>
    <n v="0"/>
    <n v="102"/>
    <s v="_x0000_US"/>
  </r>
  <r>
    <x v="1"/>
    <n v="13.68"/>
    <n v="-89.240700000000004"/>
    <n v="14950"/>
    <n v="0"/>
    <n v="0"/>
    <n v="102"/>
    <s v="_x0000_US"/>
  </r>
  <r>
    <x v="1"/>
    <n v="13.680300000000001"/>
    <n v="-89.240300000000005"/>
    <n v="14950"/>
    <n v="0"/>
    <n v="0"/>
    <n v="102"/>
    <s v="_x0000_US"/>
  </r>
  <r>
    <x v="1"/>
    <n v="13.680300000000001"/>
    <n v="-89.240300000000005"/>
    <n v="14950"/>
    <n v="0"/>
    <n v="0"/>
    <n v="102"/>
    <s v="_x0000_US"/>
  </r>
  <r>
    <x v="1"/>
    <n v="13.680300000000001"/>
    <n v="-89.240300000000005"/>
    <n v="14950"/>
    <n v="0"/>
    <n v="0"/>
    <n v="102"/>
    <s v="_x0000_US"/>
  </r>
  <r>
    <x v="1"/>
    <n v="13.680300000000001"/>
    <n v="-89.240300000000005"/>
    <n v="14950"/>
    <n v="0"/>
    <n v="0"/>
    <n v="102"/>
    <s v="_x0000_US"/>
  </r>
  <r>
    <x v="1"/>
    <n v="13.680199999999999"/>
    <n v="-89.240300000000005"/>
    <n v="14950"/>
    <n v="0"/>
    <n v="0"/>
    <n v="102"/>
    <s v="_x0000_US"/>
  </r>
  <r>
    <x v="1"/>
    <n v="13.680300000000001"/>
    <n v="-89.240200000000002"/>
    <n v="14950"/>
    <n v="0"/>
    <n v="0"/>
    <n v="102"/>
    <s v="_x0000_US"/>
  </r>
  <r>
    <x v="1"/>
    <n v="13.680300000000001"/>
    <n v="-89.240099999999998"/>
    <n v="14950"/>
    <n v="0"/>
    <n v="0"/>
    <n v="102"/>
    <s v="_x0000_US"/>
  </r>
  <r>
    <x v="1"/>
    <n v="13.680300000000001"/>
    <n v="-89.240099999999998"/>
    <n v="14950"/>
    <n v="0"/>
    <n v="0"/>
    <n v="102"/>
    <s v="_x0000_US"/>
  </r>
  <r>
    <x v="1"/>
    <n v="13.680300000000001"/>
    <n v="-89.240200000000002"/>
    <n v="14950"/>
    <n v="0"/>
    <n v="0"/>
    <n v="102"/>
    <s v="_x0000_US"/>
  </r>
  <r>
    <x v="1"/>
    <n v="13.680300000000001"/>
    <n v="-89.240200000000002"/>
    <n v="14950"/>
    <n v="0"/>
    <n v="0"/>
    <n v="102"/>
    <s v="_x0000_US"/>
  </r>
  <r>
    <x v="1"/>
    <n v="13.680199999999999"/>
    <n v="-89.240099999999998"/>
    <n v="14950"/>
    <n v="0"/>
    <n v="0"/>
    <n v="102"/>
    <s v="_x0000_US"/>
  </r>
  <r>
    <x v="1"/>
    <n v="13.680199999999999"/>
    <n v="-89.240099999999998"/>
    <n v="14950"/>
    <n v="0"/>
    <n v="0"/>
    <n v="102"/>
    <s v="_x0000_US"/>
  </r>
  <r>
    <x v="1"/>
    <n v="13.680199999999999"/>
    <n v="-89.240099999999998"/>
    <n v="14950"/>
    <n v="0"/>
    <n v="0"/>
    <n v="102"/>
    <s v="_x0000_US"/>
  </r>
  <r>
    <x v="1"/>
    <n v="13.680199999999999"/>
    <n v="-89.240099999999998"/>
    <n v="14950"/>
    <n v="0"/>
    <n v="0"/>
    <n v="102"/>
    <s v="_x0000_US"/>
  </r>
  <r>
    <x v="1"/>
    <n v="13.680199999999999"/>
    <n v="-89.240099999999998"/>
    <n v="14950"/>
    <n v="0"/>
    <n v="0"/>
    <n v="102"/>
    <s v="_x0000_US"/>
  </r>
  <r>
    <x v="1"/>
    <n v="13.680300000000001"/>
    <n v="-89.24"/>
    <n v="14950"/>
    <n v="0"/>
    <n v="0"/>
    <n v="102"/>
    <s v="_x0000_US"/>
  </r>
  <r>
    <x v="1"/>
    <n v="13.680300000000001"/>
    <n v="-89.24"/>
    <n v="14950"/>
    <n v="0"/>
    <n v="0"/>
    <n v="102"/>
    <s v="_x0000_US"/>
  </r>
  <r>
    <x v="1"/>
    <n v="13.680300000000001"/>
    <n v="-89.24"/>
    <n v="14950"/>
    <n v="0"/>
    <n v="0"/>
    <n v="102"/>
    <s v="_x0000_US"/>
  </r>
  <r>
    <x v="1"/>
    <n v="13.680300000000001"/>
    <n v="-89.24"/>
    <n v="14950"/>
    <n v="0"/>
    <n v="0"/>
    <n v="102"/>
    <s v="_x0000_US"/>
  </r>
  <r>
    <x v="1"/>
    <n v="13.680300000000001"/>
    <n v="-89.24"/>
    <n v="14950"/>
    <n v="0"/>
    <n v="0"/>
    <n v="102"/>
    <s v="_x0000_US"/>
  </r>
  <r>
    <x v="1"/>
    <n v="13.680300000000001"/>
    <n v="-89.24"/>
    <n v="14950"/>
    <n v="0"/>
    <n v="0"/>
    <n v="102"/>
    <s v="_x0000_US"/>
  </r>
  <r>
    <x v="1"/>
    <n v="13.680199999999999"/>
    <n v="-89.24"/>
    <n v="14950"/>
    <n v="0"/>
    <n v="0"/>
    <n v="102"/>
    <s v="_x0000_US"/>
  </r>
  <r>
    <x v="1"/>
    <n v="13.680199999999999"/>
    <n v="-89.24"/>
    <n v="14950"/>
    <n v="0"/>
    <n v="0"/>
    <n v="102"/>
    <s v="_x0000_US"/>
  </r>
  <r>
    <x v="1"/>
    <n v="13.680199999999999"/>
    <n v="-89.24"/>
    <n v="14950"/>
    <n v="0"/>
    <n v="0"/>
    <n v="102"/>
    <s v="_x0000_US"/>
  </r>
  <r>
    <x v="1"/>
    <n v="13.680199999999999"/>
    <n v="-89.24"/>
    <n v="14950"/>
    <n v="0"/>
    <n v="0"/>
    <n v="102"/>
    <s v="_x0000_US"/>
  </r>
  <r>
    <x v="1"/>
    <n v="13.680300000000001"/>
    <n v="-89.239800000000002"/>
    <n v="14950"/>
    <n v="0"/>
    <n v="0"/>
    <n v="102"/>
    <s v="_x0000_US"/>
  </r>
  <r>
    <x v="1"/>
    <n v="13.680300000000001"/>
    <n v="-89.239800000000002"/>
    <n v="14950"/>
    <n v="0"/>
    <n v="0"/>
    <n v="102"/>
    <s v="_x0000_US"/>
  </r>
  <r>
    <x v="1"/>
    <n v="13.680300000000001"/>
    <n v="-89.239800000000002"/>
    <n v="14950"/>
    <n v="0"/>
    <n v="0"/>
    <n v="102"/>
    <s v="_x0000_US"/>
  </r>
  <r>
    <x v="1"/>
    <n v="13.680199999999999"/>
    <n v="-89.239800000000002"/>
    <n v="14950"/>
    <n v="0"/>
    <n v="0"/>
    <n v="102"/>
    <s v="_x0000_US"/>
  </r>
  <r>
    <x v="1"/>
    <n v="13.680199999999999"/>
    <n v="-89.239800000000002"/>
    <n v="14950"/>
    <n v="0"/>
    <n v="0"/>
    <n v="102"/>
    <s v="_x0000_US"/>
  </r>
  <r>
    <x v="1"/>
    <n v="13.680199999999999"/>
    <n v="-89.239800000000002"/>
    <n v="14950"/>
    <n v="0"/>
    <n v="0"/>
    <n v="102"/>
    <s v="_x0000_US"/>
  </r>
  <r>
    <x v="1"/>
    <n v="13.680199999999999"/>
    <n v="-89.239800000000002"/>
    <n v="14950"/>
    <n v="0"/>
    <n v="0"/>
    <n v="102"/>
    <s v="_x0000_US"/>
  </r>
  <r>
    <x v="1"/>
    <n v="13.680199999999999"/>
    <n v="-89.239800000000002"/>
    <n v="14950"/>
    <n v="0"/>
    <n v="0"/>
    <n v="102"/>
    <s v="_x0000_US"/>
  </r>
  <r>
    <x v="1"/>
    <n v="13.680099999999999"/>
    <n v="-89.239800000000002"/>
    <n v="14950"/>
    <n v="0"/>
    <n v="0"/>
    <n v="102"/>
    <s v="_x0000_US"/>
  </r>
  <r>
    <x v="1"/>
    <n v="13.680099999999999"/>
    <n v="-89.239800000000002"/>
    <n v="14950"/>
    <n v="0"/>
    <n v="0"/>
    <n v="102"/>
    <s v="_x0000_US"/>
  </r>
  <r>
    <x v="1"/>
    <n v="13.680300000000001"/>
    <n v="-89.239599999999996"/>
    <n v="14950"/>
    <n v="0"/>
    <n v="0"/>
    <n v="102"/>
    <s v="_x0000_US"/>
  </r>
  <r>
    <x v="1"/>
    <n v="13.680300000000001"/>
    <n v="-89.239699999999999"/>
    <n v="14950"/>
    <n v="0"/>
    <n v="0"/>
    <n v="102"/>
    <s v="_x0000_US"/>
  </r>
  <r>
    <x v="1"/>
    <n v="13.680300000000001"/>
    <n v="-89.239699999999999"/>
    <n v="14950"/>
    <n v="0"/>
    <n v="0"/>
    <n v="102"/>
    <s v="_x0000_US"/>
  </r>
  <r>
    <x v="1"/>
    <n v="13.680199999999999"/>
    <n v="-89.239699999999999"/>
    <n v="14950"/>
    <n v="0"/>
    <n v="0"/>
    <n v="102"/>
    <s v="_x0000_US"/>
  </r>
  <r>
    <x v="1"/>
    <n v="13.680199999999999"/>
    <n v="-89.239699999999999"/>
    <n v="14950"/>
    <n v="0"/>
    <n v="0"/>
    <n v="102"/>
    <s v="_x0000_US"/>
  </r>
  <r>
    <x v="1"/>
    <n v="13.680199999999999"/>
    <n v="-89.239699999999999"/>
    <n v="14950"/>
    <n v="0"/>
    <n v="0"/>
    <n v="102"/>
    <s v="_x0000_US"/>
  </r>
  <r>
    <x v="1"/>
    <n v="13.680199999999999"/>
    <n v="-89.239699999999999"/>
    <n v="14950"/>
    <n v="0"/>
    <n v="0"/>
    <n v="102"/>
    <s v="_x0000_US"/>
  </r>
  <r>
    <x v="1"/>
    <n v="13.680099999999999"/>
    <n v="-89.239699999999999"/>
    <n v="14950"/>
    <n v="0"/>
    <n v="0"/>
    <n v="102"/>
    <s v="_x0000_US"/>
  </r>
  <r>
    <x v="1"/>
    <n v="13.680099999999999"/>
    <n v="-89.239699999999999"/>
    <n v="14950"/>
    <n v="0"/>
    <n v="0"/>
    <n v="102"/>
    <s v="_x0000_US"/>
  </r>
  <r>
    <x v="1"/>
    <n v="13.680099999999999"/>
    <n v="-89.239599999999996"/>
    <n v="14950"/>
    <n v="0"/>
    <n v="0"/>
    <n v="102"/>
    <s v="_x0000_US"/>
  </r>
  <r>
    <x v="1"/>
    <n v="13.6846"/>
    <n v="-89.236099999999993"/>
    <n v="14950"/>
    <n v="0"/>
    <n v="0"/>
    <n v="102"/>
    <s v="_x0000_US"/>
  </r>
  <r>
    <x v="1"/>
    <n v="13.6846"/>
    <n v="-89.235900000000001"/>
    <n v="14950"/>
    <n v="0"/>
    <n v="0"/>
    <n v="102"/>
    <s v="_x0000_US"/>
  </r>
  <r>
    <x v="1"/>
    <n v="13.684699999999999"/>
    <n v="-89.235799999999998"/>
    <n v="14950"/>
    <n v="0"/>
    <n v="0"/>
    <n v="102"/>
    <s v="_x0000_US"/>
  </r>
  <r>
    <x v="1"/>
    <n v="13.684699999999999"/>
    <n v="-89.235699999999994"/>
    <n v="14950"/>
    <n v="0"/>
    <n v="0"/>
    <n v="102"/>
    <s v="_x0000_US"/>
  </r>
  <r>
    <x v="1"/>
    <n v="13.684699999999999"/>
    <n v="-89.235699999999994"/>
    <n v="14950"/>
    <n v="0"/>
    <n v="0"/>
    <n v="102"/>
    <s v="_x0000_US"/>
  </r>
  <r>
    <x v="1"/>
    <n v="13.684699999999999"/>
    <n v="-89.235600000000005"/>
    <n v="14950"/>
    <n v="0"/>
    <n v="0"/>
    <n v="102"/>
    <s v="_x0000_US"/>
  </r>
  <r>
    <x v="1"/>
    <n v="13.6843"/>
    <n v="-89.235600000000005"/>
    <n v="14950"/>
    <n v="0"/>
    <n v="0"/>
    <n v="102"/>
    <s v="_x0000_US"/>
  </r>
  <r>
    <x v="1"/>
    <n v="13.6843"/>
    <n v="-89.235699999999994"/>
    <n v="14950"/>
    <n v="0"/>
    <n v="0"/>
    <n v="102"/>
    <s v="_x0000_US"/>
  </r>
  <r>
    <x v="1"/>
    <n v="13.6843"/>
    <n v="-89.235799999999998"/>
    <n v="14950"/>
    <n v="0"/>
    <n v="0"/>
    <n v="102"/>
    <s v="_x0000_US"/>
  </r>
  <r>
    <x v="1"/>
    <n v="13.6843"/>
    <n v="-89.235900000000001"/>
    <n v="14950"/>
    <n v="0"/>
    <n v="0"/>
    <n v="102"/>
    <s v="_x0000_US"/>
  </r>
  <r>
    <x v="1"/>
    <n v="13.6843"/>
    <n v="-89.236000000000004"/>
    <n v="14950"/>
    <n v="0"/>
    <n v="0"/>
    <n v="102"/>
    <s v="_x0000_US"/>
  </r>
  <r>
    <x v="1"/>
    <n v="13.6843"/>
    <n v="-89.236000000000004"/>
    <n v="14950"/>
    <n v="0"/>
    <n v="0"/>
    <n v="102"/>
    <s v="_x0000_US"/>
  </r>
  <r>
    <x v="1"/>
    <n v="13.6843"/>
    <n v="-89.236099999999993"/>
    <n v="14950"/>
    <n v="0"/>
    <n v="0"/>
    <n v="102"/>
    <s v="_x0000_US"/>
  </r>
  <r>
    <x v="1"/>
    <n v="13.6843"/>
    <n v="-89.236199999999997"/>
    <n v="14950"/>
    <n v="0"/>
    <n v="0"/>
    <n v="102"/>
    <s v="_x0000_US"/>
  </r>
  <r>
    <x v="1"/>
    <n v="13.684699999999999"/>
    <n v="-89.236500000000007"/>
    <n v="14950"/>
    <n v="0"/>
    <n v="0"/>
    <n v="102"/>
    <s v="_x0000_US"/>
  </r>
  <r>
    <x v="1"/>
    <n v="13.684699999999999"/>
    <n v="-89.236500000000007"/>
    <n v="14950"/>
    <n v="0"/>
    <n v="0"/>
    <n v="102"/>
    <s v="_x0000_US"/>
  </r>
  <r>
    <x v="1"/>
    <n v="13.684799999999999"/>
    <n v="-89.236500000000007"/>
    <n v="14950"/>
    <n v="0"/>
    <n v="0"/>
    <n v="102"/>
    <s v="_x0000_US"/>
  </r>
  <r>
    <x v="1"/>
    <n v="13.684799999999999"/>
    <n v="-89.236400000000003"/>
    <n v="14950"/>
    <n v="0"/>
    <n v="0"/>
    <n v="102"/>
    <s v="_x0000_US"/>
  </r>
  <r>
    <x v="1"/>
    <n v="13.684799999999999"/>
    <n v="-89.236400000000003"/>
    <n v="14950"/>
    <n v="0"/>
    <n v="0"/>
    <n v="102"/>
    <s v="_x0000_US"/>
  </r>
  <r>
    <x v="1"/>
    <n v="13.684799999999999"/>
    <n v="-89.236500000000007"/>
    <n v="14950"/>
    <n v="0"/>
    <n v="0"/>
    <n v="102"/>
    <s v="_x0000_US"/>
  </r>
  <r>
    <x v="1"/>
    <n v="13.684699999999999"/>
    <n v="-89.2363"/>
    <n v="14950"/>
    <n v="0"/>
    <n v="0"/>
    <n v="102"/>
    <s v="_x0000_US"/>
  </r>
  <r>
    <x v="1"/>
    <n v="13.684799999999999"/>
    <n v="-89.2363"/>
    <n v="14950"/>
    <n v="0"/>
    <n v="0"/>
    <n v="102"/>
    <s v="_x0000_US"/>
  </r>
  <r>
    <x v="1"/>
    <n v="13.684900000000001"/>
    <n v="-89.236199999999997"/>
    <n v="14950"/>
    <n v="0"/>
    <n v="0"/>
    <n v="102"/>
    <s v="_x0000_US"/>
  </r>
  <r>
    <x v="1"/>
    <n v="13.684799999999999"/>
    <n v="-89.2363"/>
    <n v="14950"/>
    <n v="0"/>
    <n v="0"/>
    <n v="102"/>
    <s v="_x0000_US"/>
  </r>
  <r>
    <x v="1"/>
    <n v="13.684900000000001"/>
    <n v="-89.236500000000007"/>
    <n v="14950"/>
    <n v="0"/>
    <n v="0"/>
    <n v="102"/>
    <s v="_x0000_US"/>
  </r>
  <r>
    <x v="1"/>
    <n v="13.685"/>
    <n v="-89.236400000000003"/>
    <n v="14950"/>
    <n v="0"/>
    <n v="0"/>
    <n v="102"/>
    <s v="_x0000_US"/>
  </r>
  <r>
    <x v="1"/>
    <n v="13.685"/>
    <n v="-89.236400000000003"/>
    <n v="14950"/>
    <n v="0"/>
    <n v="0"/>
    <n v="102"/>
    <s v="_x0000_US"/>
  </r>
  <r>
    <x v="1"/>
    <n v="13.6851"/>
    <n v="-89.2363"/>
    <n v="14950"/>
    <n v="0"/>
    <n v="0"/>
    <n v="102"/>
    <s v="_x0000_US"/>
  </r>
  <r>
    <x v="1"/>
    <n v="13.6851"/>
    <n v="-89.2363"/>
    <n v="14950"/>
    <n v="0"/>
    <n v="0"/>
    <n v="102"/>
    <s v="_x0000_US"/>
  </r>
  <r>
    <x v="1"/>
    <n v="13.6852"/>
    <n v="-89.2363"/>
    <n v="14950"/>
    <n v="0"/>
    <n v="0"/>
    <n v="102"/>
    <s v="_x0000_US"/>
  </r>
  <r>
    <x v="1"/>
    <n v="13.6852"/>
    <n v="-89.236199999999997"/>
    <n v="14950"/>
    <n v="0"/>
    <n v="0"/>
    <n v="102"/>
    <s v="_x0000_US"/>
  </r>
  <r>
    <x v="1"/>
    <n v="13.6853"/>
    <n v="-89.236099999999993"/>
    <n v="14950"/>
    <n v="0"/>
    <n v="0"/>
    <n v="102"/>
    <s v="_x0000_US"/>
  </r>
  <r>
    <x v="1"/>
    <n v="13.6853"/>
    <n v="-89.236099999999993"/>
    <n v="14950"/>
    <n v="0"/>
    <n v="0"/>
    <n v="102"/>
    <s v="_x0000_US"/>
  </r>
  <r>
    <x v="1"/>
    <n v="13.6853"/>
    <n v="-89.236000000000004"/>
    <n v="14950"/>
    <n v="0"/>
    <n v="0"/>
    <n v="102"/>
    <s v="_x0000_US"/>
  </r>
  <r>
    <x v="1"/>
    <n v="13.6854"/>
    <n v="-89.236000000000004"/>
    <n v="14950"/>
    <n v="0"/>
    <n v="0"/>
    <n v="102"/>
    <s v="_x0000_US"/>
  </r>
  <r>
    <x v="1"/>
    <n v="13.6854"/>
    <n v="-89.235900000000001"/>
    <n v="14950"/>
    <n v="0"/>
    <n v="0"/>
    <n v="102"/>
    <s v="_x0000_US"/>
  </r>
  <r>
    <x v="1"/>
    <n v="13.6854"/>
    <n v="-89.235799999999998"/>
    <n v="14950"/>
    <n v="0"/>
    <n v="0"/>
    <n v="102"/>
    <s v="_x0000_US"/>
  </r>
  <r>
    <x v="1"/>
    <n v="13.6854"/>
    <n v="-89.235699999999994"/>
    <n v="14950"/>
    <n v="0"/>
    <n v="0"/>
    <n v="102"/>
    <s v="_x0000_US"/>
  </r>
  <r>
    <x v="1"/>
    <n v="13.6854"/>
    <n v="-89.235699999999994"/>
    <n v="14950"/>
    <n v="0"/>
    <n v="0"/>
    <n v="102"/>
    <s v="_x0000_US"/>
  </r>
  <r>
    <x v="1"/>
    <n v="13.6854"/>
    <n v="-89.235600000000005"/>
    <n v="14950"/>
    <n v="0"/>
    <n v="0"/>
    <n v="102"/>
    <s v="_x0000_US"/>
  </r>
  <r>
    <x v="1"/>
    <n v="13.684900000000001"/>
    <n v="-89.236400000000003"/>
    <n v="14950"/>
    <n v="0"/>
    <n v="0"/>
    <n v="102"/>
    <s v="_x0000_US"/>
  </r>
  <r>
    <x v="1"/>
    <n v="13.684900000000001"/>
    <n v="-89.2363"/>
    <n v="14950"/>
    <n v="0"/>
    <n v="0"/>
    <n v="102"/>
    <s v="_x0000_US"/>
  </r>
  <r>
    <x v="1"/>
    <n v="13.685"/>
    <n v="-89.2363"/>
    <n v="14950"/>
    <n v="0"/>
    <n v="0"/>
    <n v="102"/>
    <s v="_x0000_US"/>
  </r>
  <r>
    <x v="1"/>
    <n v="13.6851"/>
    <n v="-89.236199999999997"/>
    <n v="14950"/>
    <n v="0"/>
    <n v="0"/>
    <n v="102"/>
    <s v="_x0000_US"/>
  </r>
  <r>
    <x v="1"/>
    <n v="13.6851"/>
    <n v="-89.236199999999997"/>
    <n v="14950"/>
    <n v="0"/>
    <n v="0"/>
    <n v="102"/>
    <s v="_x0000_US"/>
  </r>
  <r>
    <x v="1"/>
    <n v="13.6851"/>
    <n v="-89.236099999999993"/>
    <n v="14950"/>
    <n v="0"/>
    <n v="0"/>
    <n v="102"/>
    <s v="_x0000_US"/>
  </r>
  <r>
    <x v="1"/>
    <n v="13.6852"/>
    <n v="-89.236099999999993"/>
    <n v="14950"/>
    <n v="0"/>
    <n v="0"/>
    <n v="102"/>
    <s v="_x0000_US"/>
  </r>
  <r>
    <x v="1"/>
    <n v="13.6852"/>
    <n v="-89.236099999999993"/>
    <n v="14950"/>
    <n v="0"/>
    <n v="0"/>
    <n v="102"/>
    <s v="_x0000_US"/>
  </r>
  <r>
    <x v="1"/>
    <n v="13.6852"/>
    <n v="-89.236000000000004"/>
    <n v="14950"/>
    <n v="0"/>
    <n v="0"/>
    <n v="102"/>
    <s v="_x0000_US"/>
  </r>
  <r>
    <x v="1"/>
    <n v="13.6852"/>
    <n v="-89.236000000000004"/>
    <n v="14950"/>
    <n v="0"/>
    <n v="0"/>
    <n v="102"/>
    <s v="_x0000_US"/>
  </r>
  <r>
    <x v="1"/>
    <n v="13.6852"/>
    <n v="-89.235900000000001"/>
    <n v="14950"/>
    <n v="0"/>
    <n v="0"/>
    <n v="102"/>
    <s v="_x0000_US"/>
  </r>
  <r>
    <x v="1"/>
    <n v="13.6853"/>
    <n v="-89.235900000000001"/>
    <n v="14950"/>
    <n v="0"/>
    <n v="0"/>
    <n v="102"/>
    <s v="_x0000_US"/>
  </r>
  <r>
    <x v="1"/>
    <n v="13.6853"/>
    <n v="-89.235799999999998"/>
    <n v="14950"/>
    <n v="0"/>
    <n v="0"/>
    <n v="102"/>
    <s v="_x0000_US"/>
  </r>
  <r>
    <x v="1"/>
    <n v="13.6853"/>
    <n v="-89.235799999999998"/>
    <n v="14950"/>
    <n v="0"/>
    <n v="0"/>
    <n v="102"/>
    <s v="_x0000_US"/>
  </r>
  <r>
    <x v="1"/>
    <n v="13.6853"/>
    <n v="-89.235699999999994"/>
    <n v="14950"/>
    <n v="0"/>
    <n v="0"/>
    <n v="102"/>
    <s v="_x0000_US"/>
  </r>
  <r>
    <x v="1"/>
    <n v="13.6853"/>
    <n v="-89.235600000000005"/>
    <n v="14950"/>
    <n v="0"/>
    <n v="0"/>
    <n v="102"/>
    <s v="_x0000_US"/>
  </r>
  <r>
    <x v="1"/>
    <n v="13.6853"/>
    <n v="-89.235600000000005"/>
    <n v="14950"/>
    <n v="0"/>
    <n v="0"/>
    <n v="102"/>
    <s v="_x0000_US"/>
  </r>
  <r>
    <x v="1"/>
    <n v="13.6854"/>
    <n v="-89.235500000000002"/>
    <n v="14950"/>
    <n v="0"/>
    <n v="0"/>
    <n v="102"/>
    <s v="_x0000_US"/>
  </r>
  <r>
    <x v="1"/>
    <n v="13.684900000000001"/>
    <n v="-89.236099999999993"/>
    <n v="14950"/>
    <n v="0"/>
    <n v="0"/>
    <n v="102"/>
    <s v="_x0000_US"/>
  </r>
  <r>
    <x v="1"/>
    <n v="13.684900000000001"/>
    <n v="-89.236000000000004"/>
    <n v="14950"/>
    <n v="0"/>
    <n v="0"/>
    <n v="102"/>
    <s v="_x0000_US"/>
  </r>
  <r>
    <x v="1"/>
    <n v="13.685"/>
    <n v="-89.235900000000001"/>
    <n v="14950"/>
    <n v="0"/>
    <n v="0"/>
    <n v="102"/>
    <s v="_x0000_US"/>
  </r>
  <r>
    <x v="1"/>
    <n v="13.685"/>
    <n v="-89.235799999999998"/>
    <n v="14950"/>
    <n v="0"/>
    <n v="0"/>
    <n v="102"/>
    <s v="_x0000_US"/>
  </r>
  <r>
    <x v="1"/>
    <n v="13.6851"/>
    <n v="-89.235699999999994"/>
    <n v="14950"/>
    <n v="0"/>
    <n v="0"/>
    <n v="102"/>
    <s v="_x0000_US"/>
  </r>
  <r>
    <x v="1"/>
    <n v="13.6851"/>
    <n v="-89.235600000000005"/>
    <n v="14950"/>
    <n v="0"/>
    <n v="0"/>
    <n v="102"/>
    <s v="_x0000_US"/>
  </r>
  <r>
    <x v="1"/>
    <n v="13.6851"/>
    <n v="-89.235600000000005"/>
    <n v="14950"/>
    <n v="0"/>
    <n v="0"/>
    <n v="102"/>
    <s v="_x0000_US"/>
  </r>
  <r>
    <x v="1"/>
    <n v="13.685499999999999"/>
    <n v="-89.235500000000002"/>
    <n v="14950"/>
    <n v="0"/>
    <n v="0"/>
    <n v="102"/>
    <s v="_x0000_US"/>
  </r>
  <r>
    <x v="1"/>
    <n v="13.685499999999999"/>
    <n v="-89.235500000000002"/>
    <n v="14950"/>
    <n v="0"/>
    <n v="0"/>
    <n v="102"/>
    <s v="_x0000_US"/>
  </r>
  <r>
    <x v="1"/>
    <n v="13.685499999999999"/>
    <n v="-89.235399999999998"/>
    <n v="14950"/>
    <n v="0"/>
    <n v="0"/>
    <n v="102"/>
    <s v="_x0000_US"/>
  </r>
  <r>
    <x v="1"/>
    <n v="13.685600000000001"/>
    <n v="-89.235299999999995"/>
    <n v="14950"/>
    <n v="0"/>
    <n v="0"/>
    <n v="102"/>
    <s v="_x0000_US"/>
  </r>
  <r>
    <x v="1"/>
    <n v="13.685499999999999"/>
    <n v="-89.235299999999995"/>
    <n v="14950"/>
    <n v="0"/>
    <n v="0"/>
    <n v="102"/>
    <s v="_x0000_US"/>
  </r>
  <r>
    <x v="1"/>
    <n v="13.685499999999999"/>
    <n v="-89.235200000000006"/>
    <n v="14950"/>
    <n v="0"/>
    <n v="0"/>
    <n v="102"/>
    <s v="_x0000_US"/>
  </r>
  <r>
    <x v="1"/>
    <n v="13.685600000000001"/>
    <n v="-89.235200000000006"/>
    <n v="14950"/>
    <n v="0"/>
    <n v="0"/>
    <n v="102"/>
    <s v="_x0000_US"/>
  </r>
  <r>
    <x v="1"/>
    <n v="13.685600000000001"/>
    <n v="-89.235100000000003"/>
    <n v="14950"/>
    <n v="0"/>
    <n v="0"/>
    <n v="102"/>
    <s v="_x0000_US"/>
  </r>
  <r>
    <x v="1"/>
    <n v="13.685600000000001"/>
    <n v="-89.234999999999999"/>
    <n v="14950"/>
    <n v="0"/>
    <n v="0"/>
    <n v="102"/>
    <s v="_x0000_US"/>
  </r>
  <r>
    <x v="1"/>
    <n v="13.685600000000001"/>
    <n v="-89.234999999999999"/>
    <n v="14950"/>
    <n v="0"/>
    <n v="0"/>
    <n v="102"/>
    <s v="_x0000_US"/>
  </r>
  <r>
    <x v="1"/>
    <n v="13.685700000000001"/>
    <n v="-89.234899999999996"/>
    <n v="14950"/>
    <n v="0"/>
    <n v="0"/>
    <n v="102"/>
    <s v="_x0000_US"/>
  </r>
  <r>
    <x v="1"/>
    <n v="13.685700000000001"/>
    <n v="-89.234800000000007"/>
    <n v="14950"/>
    <n v="0"/>
    <n v="0"/>
    <n v="102"/>
    <s v="_x0000_US"/>
  </r>
  <r>
    <x v="1"/>
    <n v="13.6858"/>
    <n v="-89.234700000000004"/>
    <n v="14950"/>
    <n v="0"/>
    <n v="0"/>
    <n v="102"/>
    <s v="_x0000_US"/>
  </r>
  <r>
    <x v="1"/>
    <n v="13.6858"/>
    <n v="-89.234700000000004"/>
    <n v="14950"/>
    <n v="0"/>
    <n v="0"/>
    <n v="102"/>
    <s v="_x0000_US"/>
  </r>
  <r>
    <x v="1"/>
    <n v="13.6858"/>
    <n v="-89.2346"/>
    <n v="14950"/>
    <n v="0"/>
    <n v="0"/>
    <n v="102"/>
    <s v="_x0000_US"/>
  </r>
  <r>
    <x v="1"/>
    <n v="13.6858"/>
    <n v="-89.234499999999997"/>
    <n v="14950"/>
    <n v="0"/>
    <n v="0"/>
    <n v="102"/>
    <s v="_x0000_US"/>
  </r>
  <r>
    <x v="1"/>
    <n v="13.6858"/>
    <n v="-89.234499999999997"/>
    <n v="14950"/>
    <n v="0"/>
    <n v="0"/>
    <n v="102"/>
    <s v="_x0000_US"/>
  </r>
  <r>
    <x v="1"/>
    <n v="13.685600000000001"/>
    <n v="-89.234499999999997"/>
    <n v="14950"/>
    <n v="0"/>
    <n v="0"/>
    <n v="102"/>
    <s v="_x0000_US"/>
  </r>
  <r>
    <x v="1"/>
    <n v="13.6854"/>
    <n v="-89.235500000000002"/>
    <n v="14950"/>
    <n v="0"/>
    <n v="0"/>
    <n v="102"/>
    <s v="_x0000_US"/>
  </r>
  <r>
    <x v="1"/>
    <n v="13.6854"/>
    <n v="-89.235399999999998"/>
    <n v="14950"/>
    <n v="0"/>
    <n v="0"/>
    <n v="102"/>
    <s v="_x0000_US"/>
  </r>
  <r>
    <x v="1"/>
    <n v="13.6853"/>
    <n v="-89.235399999999998"/>
    <n v="14950"/>
    <n v="0"/>
    <n v="0"/>
    <n v="102"/>
    <s v="_x0000_US"/>
  </r>
  <r>
    <x v="1"/>
    <n v="13.6852"/>
    <n v="-89.235399999999998"/>
    <n v="14950"/>
    <n v="0"/>
    <n v="0"/>
    <n v="102"/>
    <s v="_x0000_US"/>
  </r>
  <r>
    <x v="1"/>
    <n v="13.6851"/>
    <n v="-89.235500000000002"/>
    <n v="14950"/>
    <n v="0"/>
    <n v="0"/>
    <n v="102"/>
    <s v="_x0000_US"/>
  </r>
  <r>
    <x v="1"/>
    <n v="13.6854"/>
    <n v="-89.235399999999998"/>
    <n v="14950"/>
    <n v="0"/>
    <n v="0"/>
    <n v="102"/>
    <s v="_x0000_US"/>
  </r>
  <r>
    <x v="1"/>
    <n v="13.6854"/>
    <n v="-89.235299999999995"/>
    <n v="14950"/>
    <n v="0"/>
    <n v="0"/>
    <n v="102"/>
    <s v="_x0000_US"/>
  </r>
  <r>
    <x v="1"/>
    <n v="13.6854"/>
    <n v="-89.235299999999995"/>
    <n v="14950"/>
    <n v="0"/>
    <n v="0"/>
    <n v="102"/>
    <s v="_x0000_US"/>
  </r>
  <r>
    <x v="1"/>
    <n v="13.6854"/>
    <n v="-89.235200000000006"/>
    <n v="14950"/>
    <n v="0"/>
    <n v="0"/>
    <n v="102"/>
    <s v="_x0000_US"/>
  </r>
  <r>
    <x v="1"/>
    <n v="13.6854"/>
    <n v="-89.235200000000006"/>
    <n v="14950"/>
    <n v="0"/>
    <n v="0"/>
    <n v="102"/>
    <s v="_x0000_US"/>
  </r>
  <r>
    <x v="1"/>
    <n v="13.685499999999999"/>
    <n v="-89.235100000000003"/>
    <n v="14950"/>
    <n v="0"/>
    <n v="0"/>
    <n v="102"/>
    <s v="_x0000_US"/>
  </r>
  <r>
    <x v="1"/>
    <n v="13.685499999999999"/>
    <n v="-89.235100000000003"/>
    <n v="14950"/>
    <n v="0"/>
    <n v="0"/>
    <n v="102"/>
    <s v="_x0000_US"/>
  </r>
  <r>
    <x v="1"/>
    <n v="13.6854"/>
    <n v="-89.235100000000003"/>
    <n v="14950"/>
    <n v="0"/>
    <n v="0"/>
    <n v="102"/>
    <s v="_x0000_US"/>
  </r>
  <r>
    <x v="1"/>
    <n v="13.6854"/>
    <n v="-89.235100000000003"/>
    <n v="14950"/>
    <n v="0"/>
    <n v="0"/>
    <n v="102"/>
    <s v="_x0000_US"/>
  </r>
  <r>
    <x v="1"/>
    <n v="13.6853"/>
    <n v="-89.235100000000003"/>
    <n v="14950"/>
    <n v="0"/>
    <n v="0"/>
    <n v="102"/>
    <s v="_x0000_US"/>
  </r>
  <r>
    <x v="1"/>
    <n v="13.6852"/>
    <n v="-89.235100000000003"/>
    <n v="14950"/>
    <n v="0"/>
    <n v="0"/>
    <n v="102"/>
    <s v="_x0000_US"/>
  </r>
  <r>
    <x v="1"/>
    <n v="13.685499999999999"/>
    <n v="-89.234999999999999"/>
    <n v="14950"/>
    <n v="0"/>
    <n v="0"/>
    <n v="102"/>
    <s v="_x0000_US"/>
  </r>
  <r>
    <x v="1"/>
    <n v="13.685499999999999"/>
    <n v="-89.234899999999996"/>
    <n v="14950"/>
    <n v="0"/>
    <n v="0"/>
    <n v="102"/>
    <s v="_x0000_US"/>
  </r>
  <r>
    <x v="1"/>
    <n v="13.685499999999999"/>
    <n v="-89.234899999999996"/>
    <n v="14950"/>
    <n v="0"/>
    <n v="0"/>
    <n v="102"/>
    <s v="_x0000_US"/>
  </r>
  <r>
    <x v="1"/>
    <n v="13.685499999999999"/>
    <n v="-89.234899999999996"/>
    <n v="14950"/>
    <n v="0"/>
    <n v="0"/>
    <n v="102"/>
    <s v="_x0000_US"/>
  </r>
  <r>
    <x v="1"/>
    <n v="13.685499999999999"/>
    <n v="-89.234800000000007"/>
    <n v="14950"/>
    <n v="0"/>
    <n v="0"/>
    <n v="102"/>
    <s v="_x0000_US"/>
  </r>
  <r>
    <x v="1"/>
    <n v="13.685600000000001"/>
    <n v="-89.234800000000007"/>
    <n v="14950"/>
    <n v="0"/>
    <n v="0"/>
    <n v="102"/>
    <s v="_x0000_US"/>
  </r>
  <r>
    <x v="1"/>
    <n v="13.685600000000001"/>
    <n v="-89.234700000000004"/>
    <n v="14950"/>
    <n v="0"/>
    <n v="0"/>
    <n v="102"/>
    <s v="_x0000_US"/>
  </r>
  <r>
    <x v="1"/>
    <n v="13.685600000000001"/>
    <n v="-89.234700000000004"/>
    <n v="14950"/>
    <n v="0"/>
    <n v="0"/>
    <n v="102"/>
    <s v="_x0000_US"/>
  </r>
  <r>
    <x v="1"/>
    <n v="13.6854"/>
    <n v="-89.234700000000004"/>
    <n v="14950"/>
    <n v="0"/>
    <n v="0"/>
    <n v="102"/>
    <s v="_x0000_US"/>
  </r>
  <r>
    <x v="1"/>
    <n v="13.6854"/>
    <n v="-89.234700000000004"/>
    <n v="14950"/>
    <n v="0"/>
    <n v="0"/>
    <n v="102"/>
    <s v="_x0000_US"/>
  </r>
  <r>
    <x v="1"/>
    <n v="13.6853"/>
    <n v="-89.234700000000004"/>
    <n v="14950"/>
    <n v="0"/>
    <n v="0"/>
    <n v="102"/>
    <s v="_x0000_US"/>
  </r>
  <r>
    <x v="1"/>
    <n v="13.6852"/>
    <n v="-89.2346"/>
    <n v="14950"/>
    <n v="0"/>
    <n v="0"/>
    <n v="102"/>
    <s v="_x0000_US"/>
  </r>
  <r>
    <x v="1"/>
    <n v="13.685600000000001"/>
    <n v="-89.2346"/>
    <n v="14950"/>
    <n v="0"/>
    <n v="0"/>
    <n v="102"/>
    <s v="_x0000_US"/>
  </r>
  <r>
    <x v="1"/>
    <n v="13.685600000000001"/>
    <n v="-89.2346"/>
    <n v="14950"/>
    <n v="0"/>
    <n v="0"/>
    <n v="102"/>
    <s v="_x0000_US"/>
  </r>
  <r>
    <x v="1"/>
    <n v="13.685600000000001"/>
    <n v="-89.2346"/>
    <n v="14950"/>
    <n v="0"/>
    <n v="0"/>
    <n v="102"/>
    <s v="_x0000_US"/>
  </r>
  <r>
    <x v="1"/>
    <n v="13.6858"/>
    <n v="-89.234399999999994"/>
    <n v="14950"/>
    <n v="0"/>
    <n v="0"/>
    <n v="102"/>
    <s v="_x0000_US"/>
  </r>
  <r>
    <x v="1"/>
    <n v="13.6858"/>
    <n v="-89.234399999999994"/>
    <n v="14950"/>
    <n v="0"/>
    <n v="0"/>
    <n v="102"/>
    <s v="_x0000_US"/>
  </r>
  <r>
    <x v="1"/>
    <n v="13.6858"/>
    <n v="-89.234300000000005"/>
    <n v="14950"/>
    <n v="0"/>
    <n v="0"/>
    <n v="102"/>
    <s v="_x0000_US"/>
  </r>
  <r>
    <x v="1"/>
    <n v="13.6858"/>
    <n v="-89.234300000000005"/>
    <n v="14950"/>
    <n v="0"/>
    <n v="0"/>
    <n v="102"/>
    <s v="_x0000_US"/>
  </r>
  <r>
    <x v="1"/>
    <n v="13.6858"/>
    <n v="-89.234200000000001"/>
    <n v="14950"/>
    <n v="0"/>
    <n v="0"/>
    <n v="102"/>
    <s v="_x0000_US"/>
  </r>
  <r>
    <x v="1"/>
    <n v="13.6859"/>
    <n v="-89.234200000000001"/>
    <n v="14950"/>
    <n v="0"/>
    <n v="0"/>
    <n v="102"/>
    <s v="_x0000_US"/>
  </r>
  <r>
    <x v="1"/>
    <n v="13.6859"/>
    <n v="-89.234099999999998"/>
    <n v="14950"/>
    <n v="0"/>
    <n v="0"/>
    <n v="102"/>
    <s v="_x0000_US"/>
  </r>
  <r>
    <x v="1"/>
    <n v="13.6859"/>
    <n v="-89.234099999999998"/>
    <n v="14950"/>
    <n v="0"/>
    <n v="0"/>
    <n v="102"/>
    <s v="_x0000_US"/>
  </r>
  <r>
    <x v="1"/>
    <n v="13.6859"/>
    <n v="-89.233999999999995"/>
    <n v="14950"/>
    <n v="0"/>
    <n v="0"/>
    <n v="102"/>
    <s v="_x0000_US"/>
  </r>
  <r>
    <x v="1"/>
    <n v="13.6859"/>
    <n v="-89.233999999999995"/>
    <n v="14950"/>
    <n v="0"/>
    <n v="0"/>
    <n v="102"/>
    <s v="_x0000_US"/>
  </r>
  <r>
    <x v="1"/>
    <n v="13.6859"/>
    <n v="-89.233900000000006"/>
    <n v="14950"/>
    <n v="0"/>
    <n v="0"/>
    <n v="102"/>
    <s v="_x0000_US"/>
  </r>
  <r>
    <x v="1"/>
    <n v="13.6859"/>
    <n v="-89.233800000000002"/>
    <n v="14950"/>
    <n v="0"/>
    <n v="0"/>
    <n v="102"/>
    <s v="_x0000_US"/>
  </r>
  <r>
    <x v="1"/>
    <n v="13.686"/>
    <n v="-89.233800000000002"/>
    <n v="14950"/>
    <n v="0"/>
    <n v="0"/>
    <n v="102"/>
    <s v="_x0000_US"/>
  </r>
  <r>
    <x v="1"/>
    <n v="13.686"/>
    <n v="-89.233699999999999"/>
    <n v="14950"/>
    <n v="0"/>
    <n v="0"/>
    <n v="102"/>
    <s v="_x0000_US"/>
  </r>
  <r>
    <x v="1"/>
    <n v="13.685600000000001"/>
    <n v="-89.234499999999997"/>
    <n v="14950"/>
    <n v="0"/>
    <n v="0"/>
    <n v="102"/>
    <s v="_x0000_US"/>
  </r>
  <r>
    <x v="1"/>
    <n v="13.685700000000001"/>
    <n v="-89.234399999999994"/>
    <n v="14950"/>
    <n v="0"/>
    <n v="0"/>
    <n v="102"/>
    <s v="_x0000_US"/>
  </r>
  <r>
    <x v="1"/>
    <n v="13.685700000000001"/>
    <n v="-89.234399999999994"/>
    <n v="14950"/>
    <n v="0"/>
    <n v="0"/>
    <n v="102"/>
    <s v="_x0000_US"/>
  </r>
  <r>
    <x v="1"/>
    <n v="13.685700000000001"/>
    <n v="-89.234300000000005"/>
    <n v="14950"/>
    <n v="0"/>
    <n v="0"/>
    <n v="102"/>
    <s v="_x0000_US"/>
  </r>
  <r>
    <x v="1"/>
    <n v="13.685700000000001"/>
    <n v="-89.234300000000005"/>
    <n v="14950"/>
    <n v="0"/>
    <n v="0"/>
    <n v="102"/>
    <s v="_x0000_US"/>
  </r>
  <r>
    <x v="1"/>
    <n v="13.675599999999999"/>
    <n v="-89.243700000000004"/>
    <n v="59100"/>
    <n v="0"/>
    <n v="0"/>
    <n v="102"/>
    <s v="_x0000_US"/>
  </r>
  <r>
    <x v="1"/>
    <n v="13.6753"/>
    <n v="-89.244"/>
    <n v="59100"/>
    <n v="0"/>
    <n v="0"/>
    <n v="102"/>
    <s v="_x0000_US"/>
  </r>
  <r>
    <x v="1"/>
    <n v="13.6753"/>
    <n v="-89.243899999999996"/>
    <n v="59100"/>
    <n v="0"/>
    <n v="0"/>
    <n v="102"/>
    <s v="_x0000_US"/>
  </r>
  <r>
    <x v="1"/>
    <n v="13.6752"/>
    <n v="-89.243799999999993"/>
    <n v="59100"/>
    <n v="0"/>
    <n v="0"/>
    <n v="102"/>
    <s v="_x0000_US"/>
  </r>
  <r>
    <x v="1"/>
    <n v="13.6752"/>
    <n v="-89.243799999999993"/>
    <n v="59100"/>
    <n v="0"/>
    <n v="0"/>
    <n v="102"/>
    <s v="_x0000_US"/>
  </r>
  <r>
    <x v="1"/>
    <n v="13.6751"/>
    <n v="-89.243700000000004"/>
    <n v="59100"/>
    <n v="0"/>
    <n v="0"/>
    <n v="102"/>
    <s v="_x0000_US"/>
  </r>
  <r>
    <x v="1"/>
    <n v="13.6751"/>
    <n v="-89.243600000000001"/>
    <n v="59100"/>
    <n v="0"/>
    <n v="0"/>
    <n v="102"/>
    <s v="_x0000_US"/>
  </r>
  <r>
    <x v="1"/>
    <n v="13.675000000000001"/>
    <n v="-89.243499999999997"/>
    <n v="59100"/>
    <n v="0"/>
    <n v="0"/>
    <n v="102"/>
    <s v="_x0000_US"/>
  </r>
  <r>
    <x v="1"/>
    <n v="13.675000000000001"/>
    <n v="-89.243399999999994"/>
    <n v="59100"/>
    <n v="0"/>
    <n v="0"/>
    <n v="102"/>
    <s v="_x0000_US"/>
  </r>
  <r>
    <x v="1"/>
    <n v="13.674899999999999"/>
    <n v="-89.243399999999994"/>
    <n v="59100"/>
    <n v="0"/>
    <n v="0"/>
    <n v="102"/>
    <s v="_x0000_US"/>
  </r>
  <r>
    <x v="1"/>
    <n v="13.674899999999999"/>
    <n v="-89.243300000000005"/>
    <n v="59100"/>
    <n v="0"/>
    <n v="0"/>
    <n v="102"/>
    <s v="_x0000_US"/>
  </r>
  <r>
    <x v="1"/>
    <n v="13.6754"/>
    <n v="-89.243600000000001"/>
    <n v="59100"/>
    <n v="0"/>
    <n v="0"/>
    <n v="102"/>
    <s v="_x0000_US"/>
  </r>
  <r>
    <x v="1"/>
    <n v="13.6753"/>
    <n v="-89.243399999999994"/>
    <n v="59100"/>
    <n v="0"/>
    <n v="0"/>
    <n v="102"/>
    <s v="_x0000_US"/>
  </r>
  <r>
    <x v="1"/>
    <n v="13.6753"/>
    <n v="-89.243300000000005"/>
    <n v="59100"/>
    <n v="0"/>
    <n v="0"/>
    <n v="102"/>
    <s v="_x0000_US"/>
  </r>
  <r>
    <x v="1"/>
    <n v="13.6752"/>
    <n v="-89.243300000000005"/>
    <n v="59100"/>
    <n v="0"/>
    <n v="0"/>
    <n v="102"/>
    <s v="_x0000_US"/>
  </r>
  <r>
    <x v="1"/>
    <n v="13.6752"/>
    <n v="-89.243200000000002"/>
    <n v="59100"/>
    <n v="0"/>
    <n v="0"/>
    <n v="102"/>
    <s v="_x0000_US"/>
  </r>
  <r>
    <x v="1"/>
    <n v="13.6752"/>
    <n v="-89.243099999999998"/>
    <n v="59100"/>
    <n v="0"/>
    <n v="0"/>
    <n v="102"/>
    <s v="_x0000_US"/>
  </r>
  <r>
    <x v="1"/>
    <n v="13.675800000000001"/>
    <n v="-89.243399999999994"/>
    <n v="59100"/>
    <n v="0"/>
    <n v="0"/>
    <n v="102"/>
    <s v="_x0000_US"/>
  </r>
  <r>
    <x v="1"/>
    <n v="13.675700000000001"/>
    <n v="-89.243300000000005"/>
    <n v="59100"/>
    <n v="0"/>
    <n v="0"/>
    <n v="102"/>
    <s v="_x0000_US"/>
  </r>
  <r>
    <x v="1"/>
    <n v="13.675700000000001"/>
    <n v="-89.243200000000002"/>
    <n v="59100"/>
    <n v="0"/>
    <n v="0"/>
    <n v="102"/>
    <s v="_x0000_US"/>
  </r>
  <r>
    <x v="1"/>
    <n v="13.675599999999999"/>
    <n v="-89.243099999999998"/>
    <n v="59100"/>
    <n v="0"/>
    <n v="0"/>
    <n v="102"/>
    <s v="_x0000_US"/>
  </r>
  <r>
    <x v="1"/>
    <n v="13.6759"/>
    <n v="-89.243099999999998"/>
    <n v="59100"/>
    <n v="0"/>
    <n v="0"/>
    <n v="102"/>
    <s v="_x0000_US"/>
  </r>
  <r>
    <x v="1"/>
    <n v="13.676299999999999"/>
    <n v="-89.241900000000001"/>
    <n v="59100"/>
    <n v="0"/>
    <n v="0"/>
    <n v="102"/>
    <s v="_x0000_US"/>
  </r>
  <r>
    <x v="1"/>
    <n v="13.676399999999999"/>
    <n v="-89.241799999999998"/>
    <n v="59100"/>
    <n v="0"/>
    <n v="0"/>
    <n v="102"/>
    <s v="_x0000_US"/>
  </r>
  <r>
    <x v="1"/>
    <n v="13.676500000000001"/>
    <n v="-89.241699999999994"/>
    <n v="59100"/>
    <n v="0"/>
    <n v="0"/>
    <n v="102"/>
    <s v="_x0000_US"/>
  </r>
  <r>
    <x v="1"/>
    <n v="13.676600000000001"/>
    <n v="-89.241699999999994"/>
    <n v="59100"/>
    <n v="0"/>
    <n v="0"/>
    <n v="102"/>
    <s v="_x0000_US"/>
  </r>
  <r>
    <x v="1"/>
    <n v="13.6767"/>
    <n v="-89.241600000000005"/>
    <n v="59100"/>
    <n v="0"/>
    <n v="0"/>
    <n v="102"/>
    <s v="_x0000_US"/>
  </r>
  <r>
    <x v="1"/>
    <n v="13.6768"/>
    <n v="-89.241600000000005"/>
    <n v="59100"/>
    <n v="0"/>
    <n v="0"/>
    <n v="102"/>
    <s v="_x0000_US"/>
  </r>
  <r>
    <x v="1"/>
    <n v="13.6768"/>
    <n v="-89.242000000000004"/>
    <n v="59100"/>
    <n v="0"/>
    <n v="0"/>
    <n v="102"/>
    <s v="_x0000_US"/>
  </r>
  <r>
    <x v="1"/>
    <n v="13.6768"/>
    <n v="-89.242000000000004"/>
    <n v="59100"/>
    <n v="0"/>
    <n v="0"/>
    <n v="102"/>
    <s v="_x0000_US"/>
  </r>
  <r>
    <x v="1"/>
    <n v="13.6769"/>
    <n v="-89.242099999999994"/>
    <n v="59100"/>
    <n v="0"/>
    <n v="0"/>
    <n v="102"/>
    <s v="_x0000_US"/>
  </r>
  <r>
    <x v="1"/>
    <n v="13.6769"/>
    <n v="-89.242199999999997"/>
    <n v="59100"/>
    <n v="0"/>
    <n v="0"/>
    <n v="102"/>
    <s v="_x0000_US"/>
  </r>
  <r>
    <x v="1"/>
    <n v="13.677"/>
    <n v="-89.2423"/>
    <n v="59100"/>
    <n v="0"/>
    <n v="0"/>
    <n v="102"/>
    <s v="_x0000_US"/>
  </r>
  <r>
    <x v="1"/>
    <n v="13.677"/>
    <n v="-89.242400000000004"/>
    <n v="59100"/>
    <n v="0"/>
    <n v="0"/>
    <n v="102"/>
    <s v="_x0000_US"/>
  </r>
  <r>
    <x v="1"/>
    <n v="13.677300000000001"/>
    <n v="-89.2423"/>
    <n v="59100"/>
    <n v="0"/>
    <n v="0"/>
    <n v="102"/>
    <s v="_x0000_US"/>
  </r>
  <r>
    <x v="1"/>
    <n v="13.677300000000001"/>
    <n v="-89.242199999999997"/>
    <n v="59100"/>
    <n v="0"/>
    <n v="0"/>
    <n v="102"/>
    <s v="_x0000_US"/>
  </r>
  <r>
    <x v="1"/>
    <n v="13.677199999999999"/>
    <n v="-89.242099999999994"/>
    <n v="59100"/>
    <n v="0"/>
    <n v="0"/>
    <n v="102"/>
    <s v="_x0000_US"/>
  </r>
  <r>
    <x v="1"/>
    <n v="13.677199999999999"/>
    <n v="-89.242000000000004"/>
    <n v="59100"/>
    <n v="0"/>
    <n v="0"/>
    <n v="102"/>
    <s v="_x0000_US"/>
  </r>
  <r>
    <x v="1"/>
    <n v="13.677099999999999"/>
    <n v="-89.242000000000004"/>
    <n v="59100"/>
    <n v="0"/>
    <n v="0"/>
    <n v="102"/>
    <s v="_x0000_US"/>
  </r>
  <r>
    <x v="1"/>
    <n v="13.677099999999999"/>
    <n v="-89.241900000000001"/>
    <n v="59100"/>
    <n v="0"/>
    <n v="0"/>
    <n v="102"/>
    <s v="_x0000_US"/>
  </r>
  <r>
    <x v="1"/>
    <n v="13.677099999999999"/>
    <n v="-89.241799999999998"/>
    <n v="59100"/>
    <n v="0"/>
    <n v="0"/>
    <n v="102"/>
    <s v="_x0000_US"/>
  </r>
  <r>
    <x v="1"/>
    <n v="13.6776"/>
    <n v="-89.242099999999994"/>
    <n v="59100"/>
    <n v="0"/>
    <n v="0"/>
    <n v="102"/>
    <s v="_x0000_US"/>
  </r>
  <r>
    <x v="1"/>
    <n v="13.6775"/>
    <n v="-89.242000000000004"/>
    <n v="59100"/>
    <n v="0"/>
    <n v="0"/>
    <n v="102"/>
    <s v="_x0000_US"/>
  </r>
  <r>
    <x v="1"/>
    <n v="13.6774"/>
    <n v="-89.241900000000001"/>
    <n v="59100"/>
    <n v="0"/>
    <n v="0"/>
    <n v="102"/>
    <s v="_x0000_US"/>
  </r>
  <r>
    <x v="1"/>
    <n v="13.6774"/>
    <n v="-89.241799999999998"/>
    <n v="59100"/>
    <n v="0"/>
    <n v="0"/>
    <n v="102"/>
    <s v="_x0000_US"/>
  </r>
  <r>
    <x v="1"/>
    <n v="13.677300000000001"/>
    <n v="-89.241699999999994"/>
    <n v="59100"/>
    <n v="0"/>
    <n v="0"/>
    <n v="102"/>
    <s v="_x0000_US"/>
  </r>
  <r>
    <x v="1"/>
    <n v="13.677300000000001"/>
    <n v="-89.241600000000005"/>
    <n v="59100"/>
    <n v="0"/>
    <n v="0"/>
    <n v="102"/>
    <s v="_x0000_US"/>
  </r>
  <r>
    <x v="1"/>
    <n v="13.677300000000001"/>
    <n v="-89.241500000000002"/>
    <n v="59100"/>
    <n v="0"/>
    <n v="0"/>
    <n v="102"/>
    <s v="_x0000_US"/>
  </r>
  <r>
    <x v="1"/>
    <n v="13.6768"/>
    <n v="-89.242500000000007"/>
    <n v="59100"/>
    <n v="0"/>
    <n v="0"/>
    <n v="102"/>
    <s v="_x0000_US"/>
  </r>
  <r>
    <x v="1"/>
    <n v="13.6768"/>
    <n v="-89.242400000000004"/>
    <n v="59100"/>
    <n v="0"/>
    <n v="0"/>
    <n v="102"/>
    <s v="_x0000_US"/>
  </r>
  <r>
    <x v="1"/>
    <n v="13.6767"/>
    <n v="-89.2423"/>
    <n v="59100"/>
    <n v="0"/>
    <n v="0"/>
    <n v="102"/>
    <s v="_x0000_US"/>
  </r>
  <r>
    <x v="1"/>
    <n v="13.6767"/>
    <n v="-89.2423"/>
    <n v="59100"/>
    <n v="0"/>
    <n v="0"/>
    <n v="102"/>
    <s v="_x0000_US"/>
  </r>
  <r>
    <x v="1"/>
    <n v="13.676600000000001"/>
    <n v="-89.242199999999997"/>
    <n v="59100"/>
    <n v="0"/>
    <n v="0"/>
    <n v="102"/>
    <s v="_x0000_US"/>
  </r>
  <r>
    <x v="1"/>
    <n v="13.676500000000001"/>
    <n v="-89.242099999999994"/>
    <n v="59100"/>
    <n v="0"/>
    <n v="0"/>
    <n v="102"/>
    <s v="_x0000_US"/>
  </r>
  <r>
    <x v="1"/>
    <n v="13.676299999999999"/>
    <n v="-89.242199999999997"/>
    <n v="59100"/>
    <n v="0"/>
    <n v="0"/>
    <n v="102"/>
    <s v="_x0000_US"/>
  </r>
  <r>
    <x v="1"/>
    <n v="13.676299999999999"/>
    <n v="-89.2423"/>
    <n v="59100"/>
    <n v="0"/>
    <n v="0"/>
    <n v="102"/>
    <s v="_x0000_US"/>
  </r>
  <r>
    <x v="1"/>
    <n v="13.676299999999999"/>
    <n v="-89.242400000000004"/>
    <n v="59100"/>
    <n v="0"/>
    <n v="0"/>
    <n v="102"/>
    <s v="_x0000_US"/>
  </r>
  <r>
    <x v="1"/>
    <n v="13.676399999999999"/>
    <n v="-89.242500000000007"/>
    <n v="59100"/>
    <n v="0"/>
    <n v="0"/>
    <n v="102"/>
    <s v="_x0000_US"/>
  </r>
  <r>
    <x v="1"/>
    <n v="13.676399999999999"/>
    <n v="-89.242500000000007"/>
    <n v="59100"/>
    <n v="0"/>
    <n v="0"/>
    <n v="102"/>
    <s v="_x0000_US"/>
  </r>
  <r>
    <x v="1"/>
    <n v="13.676500000000001"/>
    <n v="-89.242599999999996"/>
    <n v="59100"/>
    <n v="0"/>
    <n v="0"/>
    <n v="102"/>
    <s v="_x0000_US"/>
  </r>
  <r>
    <x v="1"/>
    <n v="13.676500000000001"/>
    <n v="-89.242699999999999"/>
    <n v="59100"/>
    <n v="0"/>
    <n v="0"/>
    <n v="102"/>
    <s v="_x0000_US"/>
  </r>
  <r>
    <x v="1"/>
    <n v="13.6762"/>
    <n v="-89.242900000000006"/>
    <n v="59100"/>
    <n v="0"/>
    <n v="0"/>
    <n v="102"/>
    <s v="_x0000_US"/>
  </r>
  <r>
    <x v="1"/>
    <n v="13.6761"/>
    <n v="-89.242699999999999"/>
    <n v="59100"/>
    <n v="0"/>
    <n v="0"/>
    <n v="102"/>
    <s v="_x0000_US"/>
  </r>
  <r>
    <x v="1"/>
    <n v="13.6761"/>
    <n v="-89.242599999999996"/>
    <n v="59100"/>
    <n v="0"/>
    <n v="0"/>
    <n v="102"/>
    <s v="_x0000_US"/>
  </r>
  <r>
    <x v="1"/>
    <n v="13.676"/>
    <n v="-89.242500000000007"/>
    <n v="59100"/>
    <n v="0"/>
    <n v="0"/>
    <n v="102"/>
    <s v="_x0000_US"/>
  </r>
  <r>
    <x v="1"/>
    <n v="13.6759"/>
    <n v="-89.243099999999998"/>
    <n v="59100"/>
    <n v="0"/>
    <n v="0"/>
    <n v="102"/>
    <s v="_x0000_US"/>
  </r>
  <r>
    <x v="1"/>
    <n v="13.6759"/>
    <n v="-89.242999999999995"/>
    <n v="59100"/>
    <n v="0"/>
    <n v="0"/>
    <n v="102"/>
    <s v="_x0000_US"/>
  </r>
  <r>
    <x v="1"/>
    <n v="13.675800000000001"/>
    <n v="-89.242900000000006"/>
    <n v="59100"/>
    <n v="0"/>
    <n v="0"/>
    <n v="102"/>
    <s v="_x0000_US"/>
  </r>
  <r>
    <x v="1"/>
    <n v="13.675800000000001"/>
    <n v="-89.242800000000003"/>
    <n v="59100"/>
    <n v="0"/>
    <n v="0"/>
    <n v="102"/>
    <s v="_x0000_US"/>
  </r>
  <r>
    <x v="1"/>
    <n v="13.675700000000001"/>
    <n v="-89.242800000000003"/>
    <n v="59100"/>
    <n v="0"/>
    <n v="0"/>
    <n v="102"/>
    <s v="_x0000_US"/>
  </r>
  <r>
    <x v="1"/>
    <n v="13.675700000000001"/>
    <n v="-89.242699999999999"/>
    <n v="59100"/>
    <n v="0"/>
    <n v="0"/>
    <n v="102"/>
    <s v="_x0000_US"/>
  </r>
  <r>
    <x v="1"/>
    <n v="13.675599999999999"/>
    <n v="-89.242599999999996"/>
    <n v="59100"/>
    <n v="0"/>
    <n v="0"/>
    <n v="102"/>
    <s v="_x0000_US"/>
  </r>
  <r>
    <x v="1"/>
    <n v="13.6759"/>
    <n v="-89.242400000000004"/>
    <n v="59100"/>
    <n v="0"/>
    <n v="0"/>
    <n v="102"/>
    <s v="_x0000_US"/>
  </r>
  <r>
    <x v="1"/>
    <n v="13.675599999999999"/>
    <n v="-89.243099999999998"/>
    <n v="59100"/>
    <n v="0"/>
    <n v="0"/>
    <n v="102"/>
    <s v="_x0000_US"/>
  </r>
  <r>
    <x v="1"/>
    <n v="13.6755"/>
    <n v="-89.242999999999995"/>
    <n v="59100"/>
    <n v="0"/>
    <n v="0"/>
    <n v="102"/>
    <s v="_x0000_US"/>
  </r>
  <r>
    <x v="1"/>
    <n v="13.6755"/>
    <n v="-89.242900000000006"/>
    <n v="59100"/>
    <n v="0"/>
    <n v="0"/>
    <n v="102"/>
    <s v="_x0000_US"/>
  </r>
  <r>
    <x v="1"/>
    <n v="13.6754"/>
    <n v="-89.242800000000003"/>
    <n v="59100"/>
    <n v="0"/>
    <n v="0"/>
    <n v="102"/>
    <s v="_x0000_US"/>
  </r>
  <r>
    <x v="1"/>
    <n v="13.6775"/>
    <n v="-89.241100000000003"/>
    <n v="59100"/>
    <n v="0"/>
    <n v="0"/>
    <n v="102"/>
    <s v="_x0000_US"/>
  </r>
  <r>
    <x v="1"/>
    <n v="13.677300000000001"/>
    <n v="-89.241200000000006"/>
    <n v="59100"/>
    <n v="0"/>
    <n v="0"/>
    <n v="102"/>
    <s v="_x0000_US"/>
  </r>
  <r>
    <x v="1"/>
    <n v="13.677199999999999"/>
    <n v="-89.241299999999995"/>
    <n v="59100"/>
    <n v="0"/>
    <n v="0"/>
    <n v="102"/>
    <s v="_x0000_US"/>
  </r>
  <r>
    <x v="1"/>
    <n v="13.677099999999999"/>
    <n v="-89.241299999999995"/>
    <n v="59100"/>
    <n v="0"/>
    <n v="0"/>
    <n v="102"/>
    <s v="_x0000_US"/>
  </r>
  <r>
    <x v="1"/>
    <n v="13.675800000000001"/>
    <n v="-89.241600000000005"/>
    <n v="59100"/>
    <n v="0"/>
    <n v="0"/>
    <n v="102"/>
    <s v="_x0000_US"/>
  </r>
  <r>
    <x v="1"/>
    <n v="13.6759"/>
    <n v="-89.241500000000002"/>
    <n v="59100"/>
    <n v="0"/>
    <n v="0"/>
    <n v="102"/>
    <s v="_x0000_US"/>
  </r>
  <r>
    <x v="1"/>
    <n v="13.676"/>
    <n v="-89.241500000000002"/>
    <n v="59100"/>
    <n v="0"/>
    <n v="0"/>
    <n v="102"/>
    <s v="_x0000_US"/>
  </r>
  <r>
    <x v="1"/>
    <n v="13.6761"/>
    <n v="-89.241399999999999"/>
    <n v="59100"/>
    <n v="0"/>
    <n v="0"/>
    <n v="102"/>
    <s v="_x0000_US"/>
  </r>
  <r>
    <x v="1"/>
    <n v="13.6761"/>
    <n v="-89.241399999999999"/>
    <n v="59100"/>
    <n v="0"/>
    <n v="0"/>
    <n v="102"/>
    <s v="_x0000_US"/>
  </r>
  <r>
    <x v="1"/>
    <n v="13.6762"/>
    <n v="-89.241299999999995"/>
    <n v="59100"/>
    <n v="0"/>
    <n v="0"/>
    <n v="102"/>
    <s v="_x0000_US"/>
  </r>
  <r>
    <x v="1"/>
    <n v="13.676299999999999"/>
    <n v="-89.241299999999995"/>
    <n v="59100"/>
    <n v="0"/>
    <n v="0"/>
    <n v="102"/>
    <s v="_x0000_US"/>
  </r>
  <r>
    <x v="1"/>
    <n v="13.676399999999999"/>
    <n v="-89.241200000000006"/>
    <n v="59100"/>
    <n v="0"/>
    <n v="0"/>
    <n v="102"/>
    <s v="_x0000_US"/>
  </r>
  <r>
    <x v="1"/>
    <n v="13.676399999999999"/>
    <n v="-89.241200000000006"/>
    <n v="59100"/>
    <n v="0"/>
    <n v="0"/>
    <n v="102"/>
    <s v="_x0000_US"/>
  </r>
  <r>
    <x v="1"/>
    <n v="13.676500000000001"/>
    <n v="-89.241100000000003"/>
    <n v="59100"/>
    <n v="0"/>
    <n v="0"/>
    <n v="102"/>
    <s v="_x0000_US"/>
  </r>
  <r>
    <x v="1"/>
    <n v="13.675700000000001"/>
    <n v="-89.241299999999995"/>
    <n v="59100"/>
    <n v="0"/>
    <n v="0"/>
    <n v="102"/>
    <s v="_x0000_US"/>
  </r>
  <r>
    <x v="1"/>
    <n v="13.6759"/>
    <n v="-89.241200000000006"/>
    <n v="59100"/>
    <n v="0"/>
    <n v="0"/>
    <n v="102"/>
    <s v="_x0000_US"/>
  </r>
  <r>
    <x v="1"/>
    <n v="13.676"/>
    <n v="-89.241100000000003"/>
    <n v="59100"/>
    <n v="0"/>
    <n v="0"/>
    <n v="102"/>
    <s v="_x0000_US"/>
  </r>
  <r>
    <x v="1"/>
    <n v="13.675599999999999"/>
    <n v="-89.241200000000006"/>
    <n v="59100"/>
    <n v="0"/>
    <n v="0"/>
    <n v="102"/>
    <s v="_x0000_US"/>
  </r>
  <r>
    <x v="1"/>
    <n v="13.6755"/>
    <n v="-89.2423"/>
    <n v="59100"/>
    <n v="0"/>
    <n v="0"/>
    <n v="102"/>
    <s v="_x0000_US"/>
  </r>
  <r>
    <x v="1"/>
    <n v="13.675599999999999"/>
    <n v="-89.242199999999997"/>
    <n v="59100"/>
    <n v="0"/>
    <n v="0"/>
    <n v="102"/>
    <s v="_x0000_US"/>
  </r>
  <r>
    <x v="1"/>
    <n v="13.675700000000001"/>
    <n v="-89.242199999999997"/>
    <n v="59100"/>
    <n v="0"/>
    <n v="0"/>
    <n v="102"/>
    <s v="_x0000_US"/>
  </r>
  <r>
    <x v="1"/>
    <n v="13.677"/>
    <n v="-89.241399999999999"/>
    <n v="59100"/>
    <n v="0"/>
    <n v="0"/>
    <n v="102"/>
    <s v="_x0000_US"/>
  </r>
  <r>
    <x v="1"/>
    <n v="13.6769"/>
    <n v="-89.241399999999999"/>
    <n v="59100"/>
    <n v="0"/>
    <n v="0"/>
    <n v="102"/>
    <s v="_x0000_US"/>
  </r>
  <r>
    <x v="1"/>
    <n v="13.6782"/>
    <n v="-89.241399999999999"/>
    <n v="59100"/>
    <n v="0"/>
    <n v="0"/>
    <n v="102"/>
    <s v="_x0000_US"/>
  </r>
  <r>
    <x v="1"/>
    <n v="13.6782"/>
    <n v="-89.241299999999995"/>
    <n v="59100"/>
    <n v="0"/>
    <n v="0"/>
    <n v="102"/>
    <s v="_x0000_US"/>
  </r>
  <r>
    <x v="1"/>
    <n v="13.6784"/>
    <n v="-89.241299999999995"/>
    <n v="59100"/>
    <n v="0"/>
    <n v="0"/>
    <n v="102"/>
    <s v="_x0000_US"/>
  </r>
  <r>
    <x v="1"/>
    <n v="13.6784"/>
    <n v="-89.241200000000006"/>
    <n v="59100"/>
    <n v="0"/>
    <n v="0"/>
    <n v="102"/>
    <s v="_x0000_US"/>
  </r>
  <r>
    <x v="1"/>
    <n v="13.6784"/>
    <n v="-89.241200000000006"/>
    <n v="59100"/>
    <n v="0"/>
    <n v="0"/>
    <n v="102"/>
    <s v="_x0000_US"/>
  </r>
  <r>
    <x v="1"/>
    <n v="13.6784"/>
    <n v="-89.241200000000006"/>
    <n v="59100"/>
    <n v="0"/>
    <n v="0"/>
    <n v="102"/>
    <s v="_x0000_US"/>
  </r>
  <r>
    <x v="1"/>
    <n v="13.6783"/>
    <n v="-89.241100000000003"/>
    <n v="59100"/>
    <n v="0"/>
    <n v="0"/>
    <n v="102"/>
    <s v="_x0000_US"/>
  </r>
  <r>
    <x v="1"/>
    <n v="13.678599999999999"/>
    <n v="-89.241200000000006"/>
    <n v="59100"/>
    <n v="0"/>
    <n v="0"/>
    <n v="102"/>
    <s v="_x0000_US"/>
  </r>
  <r>
    <x v="1"/>
    <n v="13.678699999999999"/>
    <n v="-89.241200000000006"/>
    <n v="59100"/>
    <n v="0"/>
    <n v="0"/>
    <n v="102"/>
    <s v="_x0000_US"/>
  </r>
  <r>
    <x v="1"/>
    <n v="13.678699999999999"/>
    <n v="-89.241100000000003"/>
    <n v="59100"/>
    <n v="0"/>
    <n v="0"/>
    <n v="102"/>
    <s v="_x0000_US"/>
  </r>
  <r>
    <x v="1"/>
    <n v="13.678699999999999"/>
    <n v="-89.241100000000003"/>
    <n v="59100"/>
    <n v="0"/>
    <n v="0"/>
    <n v="102"/>
    <s v="_x0000_US"/>
  </r>
  <r>
    <x v="1"/>
    <n v="13.678800000000001"/>
    <n v="-89.241100000000003"/>
    <n v="59100"/>
    <n v="0"/>
    <n v="0"/>
    <n v="102"/>
    <s v="_x0000_US"/>
  </r>
  <r>
    <x v="1"/>
    <n v="13.678800000000001"/>
    <n v="-89.241"/>
    <n v="59100"/>
    <n v="0"/>
    <n v="0"/>
    <n v="102"/>
    <s v="_x0000_US"/>
  </r>
  <r>
    <x v="1"/>
    <n v="13.678900000000001"/>
    <n v="-89.241"/>
    <n v="59100"/>
    <n v="0"/>
    <n v="0"/>
    <n v="102"/>
    <s v="_x0000_US"/>
  </r>
  <r>
    <x v="1"/>
    <n v="13.6783"/>
    <n v="-89.241"/>
    <n v="59100"/>
    <n v="0"/>
    <n v="0"/>
    <n v="102"/>
    <s v="_x0000_US"/>
  </r>
  <r>
    <x v="1"/>
    <n v="13.6783"/>
    <n v="-89.241"/>
    <n v="59100"/>
    <n v="0"/>
    <n v="0"/>
    <n v="102"/>
    <s v="_x0000_US"/>
  </r>
  <r>
    <x v="1"/>
    <n v="13.6775"/>
    <n v="-89.241399999999999"/>
    <n v="59100"/>
    <n v="0"/>
    <n v="0"/>
    <n v="102"/>
    <s v="_x0000_US"/>
  </r>
  <r>
    <x v="1"/>
    <n v="13.6774"/>
    <n v="-89.241500000000002"/>
    <n v="59100"/>
    <n v="0"/>
    <n v="0"/>
    <n v="102"/>
    <s v="_x0000_US"/>
  </r>
  <r>
    <x v="1"/>
    <n v="13.678000000000001"/>
    <n v="-89.241399999999999"/>
    <n v="59100"/>
    <n v="0"/>
    <n v="0"/>
    <n v="102"/>
    <s v="_x0000_US"/>
  </r>
  <r>
    <x v="1"/>
    <n v="13.678000000000001"/>
    <n v="-89.241299999999995"/>
    <n v="59100"/>
    <n v="0"/>
    <n v="0"/>
    <n v="102"/>
    <s v="_x0000_US"/>
  </r>
  <r>
    <x v="1"/>
    <n v="13.678100000000001"/>
    <n v="-89.241299999999995"/>
    <n v="59100"/>
    <n v="0"/>
    <n v="0"/>
    <n v="102"/>
    <s v="_x0000_US"/>
  </r>
  <r>
    <x v="1"/>
    <n v="13.678100000000001"/>
    <n v="-89.241200000000006"/>
    <n v="59100"/>
    <n v="0"/>
    <n v="0"/>
    <n v="102"/>
    <s v="_x0000_US"/>
  </r>
  <r>
    <x v="1"/>
    <n v="13.678100000000001"/>
    <n v="-89.241200000000006"/>
    <n v="59100"/>
    <n v="0"/>
    <n v="0"/>
    <n v="102"/>
    <s v="_x0000_US"/>
  </r>
  <r>
    <x v="1"/>
    <n v="13.678100000000001"/>
    <n v="-89.241100000000003"/>
    <n v="59100"/>
    <n v="0"/>
    <n v="0"/>
    <n v="102"/>
    <s v="_x0000_US"/>
  </r>
  <r>
    <x v="1"/>
    <n v="13.6776"/>
    <n v="-89.241"/>
    <n v="59100"/>
    <n v="0"/>
    <n v="0"/>
    <n v="102"/>
    <s v="_x0000_US"/>
  </r>
  <r>
    <x v="1"/>
    <n v="13.6777"/>
    <n v="-89.241"/>
    <n v="59100"/>
    <n v="0"/>
    <n v="0"/>
    <n v="102"/>
    <s v="_x0000_US"/>
  </r>
  <r>
    <x v="1"/>
    <n v="13.6778"/>
    <n v="-89.240899999999996"/>
    <n v="59100"/>
    <n v="0"/>
    <n v="0"/>
    <n v="102"/>
    <s v="_x0000_US"/>
  </r>
  <r>
    <x v="1"/>
    <n v="13.677899999999999"/>
    <n v="-89.240799999999993"/>
    <n v="59100"/>
    <n v="0"/>
    <n v="0"/>
    <n v="102"/>
    <s v="_x0000_US"/>
  </r>
  <r>
    <x v="1"/>
    <n v="13.678000000000001"/>
    <n v="-89.240799999999993"/>
    <n v="59100"/>
    <n v="0"/>
    <n v="0"/>
    <n v="102"/>
    <s v="_x0000_US"/>
  </r>
  <r>
    <x v="1"/>
    <n v="13.6783"/>
    <n v="-89.240600000000001"/>
    <n v="59100"/>
    <n v="0"/>
    <n v="0"/>
    <n v="102"/>
    <s v="_x0000_US"/>
  </r>
  <r>
    <x v="1"/>
    <n v="13.6783"/>
    <n v="-89.240099999999998"/>
    <n v="59100"/>
    <n v="0"/>
    <n v="0"/>
    <n v="102"/>
    <s v="_x0000_US"/>
  </r>
  <r>
    <x v="1"/>
    <n v="13.6783"/>
    <n v="-89.24"/>
    <n v="59100"/>
    <n v="0"/>
    <n v="0"/>
    <n v="102"/>
    <s v="_x0000_US"/>
  </r>
  <r>
    <x v="1"/>
    <n v="13.678100000000001"/>
    <n v="-89.240099999999998"/>
    <n v="59100"/>
    <n v="0"/>
    <n v="0"/>
    <n v="102"/>
    <s v="_x0000_US"/>
  </r>
  <r>
    <x v="1"/>
    <n v="13.678100000000001"/>
    <n v="-89.240200000000002"/>
    <n v="59100"/>
    <n v="0"/>
    <n v="0"/>
    <n v="102"/>
    <s v="_x0000_US"/>
  </r>
  <r>
    <x v="1"/>
    <n v="13.678000000000001"/>
    <n v="-89.240200000000002"/>
    <n v="59100"/>
    <n v="0"/>
    <n v="0"/>
    <n v="102"/>
    <s v="_x0000_US"/>
  </r>
  <r>
    <x v="1"/>
    <n v="13.677899999999999"/>
    <n v="-89.240200000000002"/>
    <n v="59100"/>
    <n v="0"/>
    <n v="0"/>
    <n v="102"/>
    <s v="_x0000_US"/>
  </r>
  <r>
    <x v="1"/>
    <n v="13.6778"/>
    <n v="-89.240300000000005"/>
    <n v="59100"/>
    <n v="0"/>
    <n v="0"/>
    <n v="102"/>
    <s v="_x0000_US"/>
  </r>
  <r>
    <x v="1"/>
    <n v="13.6777"/>
    <n v="-89.240300000000005"/>
    <n v="59100"/>
    <n v="0"/>
    <n v="0"/>
    <n v="102"/>
    <s v="_x0000_US"/>
  </r>
  <r>
    <x v="1"/>
    <n v="13.6777"/>
    <n v="-89.240399999999994"/>
    <n v="59100"/>
    <n v="0"/>
    <n v="0"/>
    <n v="102"/>
    <s v="_x0000_US"/>
  </r>
  <r>
    <x v="1"/>
    <n v="13.6776"/>
    <n v="-89.240399999999994"/>
    <n v="59100"/>
    <n v="0"/>
    <n v="0"/>
    <n v="102"/>
    <s v="_x0000_US"/>
  </r>
  <r>
    <x v="1"/>
    <n v="13.6775"/>
    <n v="-89.240499999999997"/>
    <n v="59100"/>
    <n v="0"/>
    <n v="0"/>
    <n v="102"/>
    <s v="_x0000_US"/>
  </r>
  <r>
    <x v="1"/>
    <n v="13.6774"/>
    <n v="-89.240499999999997"/>
    <n v="59100"/>
    <n v="0"/>
    <n v="0"/>
    <n v="102"/>
    <s v="_x0000_US"/>
  </r>
  <r>
    <x v="1"/>
    <n v="13.6774"/>
    <n v="-89.240600000000001"/>
    <n v="59100"/>
    <n v="0"/>
    <n v="0"/>
    <n v="102"/>
    <s v="_x0000_US"/>
  </r>
  <r>
    <x v="1"/>
    <n v="13.677300000000001"/>
    <n v="-89.240600000000001"/>
    <n v="59100"/>
    <n v="0"/>
    <n v="0"/>
    <n v="102"/>
    <s v="_x0000_US"/>
  </r>
  <r>
    <x v="1"/>
    <n v="13.677199999999999"/>
    <n v="-89.240700000000004"/>
    <n v="59100"/>
    <n v="0"/>
    <n v="0"/>
    <n v="102"/>
    <s v="_x0000_US"/>
  </r>
  <r>
    <x v="1"/>
    <n v="13.677099999999999"/>
    <n v="-89.240700000000004"/>
    <n v="59100"/>
    <n v="0"/>
    <n v="0"/>
    <n v="102"/>
    <s v="_x0000_US"/>
  </r>
  <r>
    <x v="1"/>
    <n v="13.677099999999999"/>
    <n v="-89.240799999999993"/>
    <n v="59100"/>
    <n v="0"/>
    <n v="0"/>
    <n v="102"/>
    <s v="_x0000_US"/>
  </r>
  <r>
    <x v="1"/>
    <n v="13.677"/>
    <n v="-89.240799999999993"/>
    <n v="59100"/>
    <n v="0"/>
    <n v="0"/>
    <n v="102"/>
    <s v="_x0000_US"/>
  </r>
  <r>
    <x v="1"/>
    <n v="13.6769"/>
    <n v="-89.240899999999996"/>
    <n v="59100"/>
    <n v="0"/>
    <n v="0"/>
    <n v="102"/>
    <s v="_x0000_US"/>
  </r>
  <r>
    <x v="1"/>
    <n v="13.6768"/>
    <n v="-89.241"/>
    <n v="59100"/>
    <n v="0"/>
    <n v="0"/>
    <n v="102"/>
    <s v="_x0000_US"/>
  </r>
  <r>
    <x v="1"/>
    <n v="13.6768"/>
    <n v="-89.241"/>
    <n v="59100"/>
    <n v="0"/>
    <n v="0"/>
    <n v="102"/>
    <s v="_x0000_US"/>
  </r>
  <r>
    <x v="1"/>
    <n v="13.6767"/>
    <n v="-89.241"/>
    <n v="59100"/>
    <n v="0"/>
    <n v="0"/>
    <n v="102"/>
    <s v="_x0000_US"/>
  </r>
  <r>
    <x v="1"/>
    <n v="13.676600000000001"/>
    <n v="-89.241100000000003"/>
    <n v="59100"/>
    <n v="0"/>
    <n v="0"/>
    <n v="102"/>
    <s v="_x0000_US"/>
  </r>
  <r>
    <x v="1"/>
    <n v="13.6754"/>
    <n v="-89.242400000000004"/>
    <n v="59100"/>
    <n v="0"/>
    <n v="0"/>
    <n v="102"/>
    <s v="_x0000_US"/>
  </r>
  <r>
    <x v="1"/>
    <n v="13.6752"/>
    <n v="-89.242500000000007"/>
    <n v="59100"/>
    <n v="0"/>
    <n v="0"/>
    <n v="102"/>
    <s v="_x0000_US"/>
  </r>
  <r>
    <x v="1"/>
    <n v="13.6751"/>
    <n v="-89.242500000000007"/>
    <n v="59100"/>
    <n v="0"/>
    <n v="0"/>
    <n v="102"/>
    <s v="_x0000_US"/>
  </r>
  <r>
    <x v="1"/>
    <n v="13.6746"/>
    <n v="-89.243399999999994"/>
    <n v="59100"/>
    <n v="0"/>
    <n v="0"/>
    <n v="102"/>
    <s v="_x0000_US"/>
  </r>
  <r>
    <x v="1"/>
    <n v="13.674799999999999"/>
    <n v="-89.243200000000002"/>
    <n v="59100"/>
    <n v="0"/>
    <n v="0"/>
    <n v="102"/>
    <s v="_x0000_US"/>
  </r>
  <r>
    <x v="1"/>
    <n v="13.6744"/>
    <n v="-89.242599999999996"/>
    <n v="59100"/>
    <n v="0"/>
    <n v="0"/>
    <n v="102"/>
    <s v="_x0000_US"/>
  </r>
  <r>
    <x v="1"/>
    <n v="13.674300000000001"/>
    <n v="-89.242500000000007"/>
    <n v="59100"/>
    <n v="0"/>
    <n v="0"/>
    <n v="102"/>
    <s v="_x0000_US"/>
  </r>
  <r>
    <x v="1"/>
    <n v="13.674200000000001"/>
    <n v="-89.242500000000007"/>
    <n v="59100"/>
    <n v="0"/>
    <n v="0"/>
    <n v="102"/>
    <s v="_x0000_US"/>
  </r>
  <r>
    <x v="1"/>
    <n v="13.674099999999999"/>
    <n v="-89.242400000000004"/>
    <n v="59100"/>
    <n v="0"/>
    <n v="0"/>
    <n v="102"/>
    <s v="_x0000_US"/>
  </r>
  <r>
    <x v="1"/>
    <n v="13.6739"/>
    <n v="-89.2423"/>
    <n v="59100"/>
    <n v="0"/>
    <n v="0"/>
    <n v="102"/>
    <s v="_x0000_US"/>
  </r>
  <r>
    <x v="1"/>
    <n v="13.673999999999999"/>
    <n v="-89.2423"/>
    <n v="59100"/>
    <n v="0"/>
    <n v="0"/>
    <n v="102"/>
    <s v="_x0000_US"/>
  </r>
  <r>
    <x v="1"/>
    <n v="13.674099999999999"/>
    <n v="-89.242099999999994"/>
    <n v="59100"/>
    <n v="0"/>
    <n v="0"/>
    <n v="102"/>
    <s v="_x0000_US"/>
  </r>
  <r>
    <x v="1"/>
    <n v="13.673999999999999"/>
    <n v="-89.242099999999994"/>
    <n v="59100"/>
    <n v="0"/>
    <n v="0"/>
    <n v="102"/>
    <s v="_x0000_US"/>
  </r>
  <r>
    <x v="1"/>
    <n v="13.6739"/>
    <n v="-89.242099999999994"/>
    <n v="59100"/>
    <n v="0"/>
    <n v="0"/>
    <n v="102"/>
    <s v="_x0000_US"/>
  </r>
  <r>
    <x v="1"/>
    <n v="13.6739"/>
    <n v="-89.242099999999994"/>
    <n v="59100"/>
    <n v="0"/>
    <n v="0"/>
    <n v="102"/>
    <s v="_x0000_US"/>
  </r>
  <r>
    <x v="1"/>
    <n v="13.6739"/>
    <n v="-89.242099999999994"/>
    <n v="59100"/>
    <n v="0"/>
    <n v="0"/>
    <n v="102"/>
    <s v="_x0000_US"/>
  </r>
  <r>
    <x v="1"/>
    <n v="13.6738"/>
    <n v="-89.242099999999994"/>
    <n v="59100"/>
    <n v="0"/>
    <n v="0"/>
    <n v="102"/>
    <s v="_x0000_US"/>
  </r>
  <r>
    <x v="1"/>
    <n v="13.6738"/>
    <n v="-89.242099999999994"/>
    <n v="59100"/>
    <n v="0"/>
    <n v="0"/>
    <n v="102"/>
    <s v="_x0000_US"/>
  </r>
  <r>
    <x v="1"/>
    <n v="13.6738"/>
    <n v="-89.242099999999994"/>
    <n v="59100"/>
    <n v="0"/>
    <n v="0"/>
    <n v="102"/>
    <s v="_x0000_US"/>
  </r>
  <r>
    <x v="1"/>
    <n v="13.6737"/>
    <n v="-89.242199999999997"/>
    <n v="59100"/>
    <n v="0"/>
    <n v="0"/>
    <n v="102"/>
    <s v="_x0000_US"/>
  </r>
  <r>
    <x v="1"/>
    <n v="13.6737"/>
    <n v="-89.242199999999997"/>
    <n v="59100"/>
    <n v="0"/>
    <n v="0"/>
    <n v="102"/>
    <s v="_x0000_US"/>
  </r>
  <r>
    <x v="1"/>
    <n v="13.6736"/>
    <n v="-89.242099999999994"/>
    <n v="59100"/>
    <n v="0"/>
    <n v="0"/>
    <n v="102"/>
    <s v="_x0000_US"/>
  </r>
  <r>
    <x v="1"/>
    <n v="13.673999999999999"/>
    <n v="-89.241900000000001"/>
    <n v="59100"/>
    <n v="0"/>
    <n v="0"/>
    <n v="102"/>
    <s v="_x0000_US"/>
  </r>
  <r>
    <x v="1"/>
    <n v="13.673999999999999"/>
    <n v="-89.241799999999998"/>
    <n v="59100"/>
    <n v="0"/>
    <n v="0"/>
    <n v="102"/>
    <s v="_x0000_US"/>
  </r>
  <r>
    <x v="1"/>
    <n v="13.6739"/>
    <n v="-89.241699999999994"/>
    <n v="59100"/>
    <n v="0"/>
    <n v="0"/>
    <n v="102"/>
    <s v="_x0000_US"/>
  </r>
  <r>
    <x v="1"/>
    <n v="13.6739"/>
    <n v="-89.241699999999994"/>
    <n v="59100"/>
    <n v="0"/>
    <n v="0"/>
    <n v="102"/>
    <s v="_x0000_US"/>
  </r>
  <r>
    <x v="1"/>
    <n v="13.6738"/>
    <n v="-89.241699999999994"/>
    <n v="59100"/>
    <n v="0"/>
    <n v="0"/>
    <n v="102"/>
    <s v="_x0000_US"/>
  </r>
  <r>
    <x v="1"/>
    <n v="13.6738"/>
    <n v="-89.241699999999994"/>
    <n v="59100"/>
    <n v="0"/>
    <n v="0"/>
    <n v="102"/>
    <s v="_x0000_US"/>
  </r>
  <r>
    <x v="1"/>
    <n v="13.674799999999999"/>
    <n v="-89.242400000000004"/>
    <n v="59100"/>
    <n v="0"/>
    <n v="0"/>
    <n v="102"/>
    <s v="_x0000_US"/>
  </r>
  <r>
    <x v="1"/>
    <n v="13.6747"/>
    <n v="-89.2423"/>
    <n v="59100"/>
    <n v="0"/>
    <n v="0"/>
    <n v="102"/>
    <s v="_x0000_US"/>
  </r>
  <r>
    <x v="1"/>
    <n v="13.6747"/>
    <n v="-89.2423"/>
    <n v="59100"/>
    <n v="0"/>
    <n v="0"/>
    <n v="102"/>
    <s v="_x0000_US"/>
  </r>
  <r>
    <x v="1"/>
    <n v="13.6747"/>
    <n v="-89.2423"/>
    <n v="59100"/>
    <n v="0"/>
    <n v="0"/>
    <n v="102"/>
    <s v="_x0000_US"/>
  </r>
  <r>
    <x v="1"/>
    <n v="13.6747"/>
    <n v="-89.242199999999997"/>
    <n v="59100"/>
    <n v="0"/>
    <n v="0"/>
    <n v="102"/>
    <s v="_x0000_US"/>
  </r>
  <r>
    <x v="1"/>
    <n v="13.6746"/>
    <n v="-89.242500000000007"/>
    <n v="59100"/>
    <n v="0"/>
    <n v="0"/>
    <n v="102"/>
    <s v="_x0000_US"/>
  </r>
  <r>
    <x v="1"/>
    <n v="13.6746"/>
    <n v="-89.242500000000007"/>
    <n v="59100"/>
    <n v="0"/>
    <n v="0"/>
    <n v="102"/>
    <s v="_x0000_US"/>
  </r>
  <r>
    <x v="1"/>
    <n v="13.6746"/>
    <n v="-89.242500000000007"/>
    <n v="59100"/>
    <n v="0"/>
    <n v="0"/>
    <n v="102"/>
    <s v="_x0000_US"/>
  </r>
  <r>
    <x v="1"/>
    <n v="13.6746"/>
    <n v="-89.242400000000004"/>
    <n v="59100"/>
    <n v="0"/>
    <n v="0"/>
    <n v="102"/>
    <s v="_x0000_US"/>
  </r>
  <r>
    <x v="1"/>
    <n v="13.6746"/>
    <n v="-89.242400000000004"/>
    <n v="59100"/>
    <n v="0"/>
    <n v="0"/>
    <n v="102"/>
    <s v="_x0000_US"/>
  </r>
  <r>
    <x v="1"/>
    <n v="13.6747"/>
    <n v="-89.242400000000004"/>
    <n v="59100"/>
    <n v="0"/>
    <n v="0"/>
    <n v="102"/>
    <s v="_x0000_US"/>
  </r>
  <r>
    <x v="1"/>
    <n v="13.6747"/>
    <n v="-89.242400000000004"/>
    <n v="59100"/>
    <n v="0"/>
    <n v="0"/>
    <n v="102"/>
    <s v="_x0000_US"/>
  </r>
  <r>
    <x v="1"/>
    <n v="13.6747"/>
    <n v="-89.242400000000004"/>
    <n v="59100"/>
    <n v="0"/>
    <n v="0"/>
    <n v="102"/>
    <s v="_x0000_US"/>
  </r>
  <r>
    <x v="1"/>
    <n v="13.6747"/>
    <n v="-89.242400000000004"/>
    <n v="59100"/>
    <n v="0"/>
    <n v="0"/>
    <n v="102"/>
    <s v="_x0000_US"/>
  </r>
  <r>
    <x v="1"/>
    <n v="13.6747"/>
    <n v="-89.242400000000004"/>
    <n v="59100"/>
    <n v="0"/>
    <n v="0"/>
    <n v="102"/>
    <s v="_x0000_US"/>
  </r>
  <r>
    <x v="1"/>
    <n v="13.674799999999999"/>
    <n v="-89.242400000000004"/>
    <n v="59100"/>
    <n v="0"/>
    <n v="0"/>
    <n v="102"/>
    <s v="_x0000_US"/>
  </r>
  <r>
    <x v="1"/>
    <n v="13.6745"/>
    <n v="-89.242599999999996"/>
    <n v="59100"/>
    <n v="0"/>
    <n v="0"/>
    <n v="102"/>
    <s v="_x0000_US"/>
  </r>
  <r>
    <x v="1"/>
    <n v="13.6744"/>
    <n v="-89.242599999999996"/>
    <n v="59100"/>
    <n v="0"/>
    <n v="0"/>
    <n v="102"/>
    <s v="_x0000_US"/>
  </r>
  <r>
    <x v="1"/>
    <n v="13.6744"/>
    <n v="-89.242599999999996"/>
    <n v="59100"/>
    <n v="0"/>
    <n v="0"/>
    <n v="102"/>
    <s v="_x0000_US"/>
  </r>
  <r>
    <x v="1"/>
    <n v="13.6744"/>
    <n v="-89.242500000000007"/>
    <n v="59100"/>
    <n v="0"/>
    <n v="0"/>
    <n v="102"/>
    <s v="_x0000_US"/>
  </r>
  <r>
    <x v="1"/>
    <n v="13.6745"/>
    <n v="-89.242500000000007"/>
    <n v="59100"/>
    <n v="0"/>
    <n v="0"/>
    <n v="102"/>
    <s v="_x0000_US"/>
  </r>
  <r>
    <x v="1"/>
    <n v="13.6745"/>
    <n v="-89.242500000000007"/>
    <n v="59100"/>
    <n v="0"/>
    <n v="0"/>
    <n v="102"/>
    <s v="_x0000_US"/>
  </r>
  <r>
    <x v="1"/>
    <n v="13.6745"/>
    <n v="-89.242500000000007"/>
    <n v="59100"/>
    <n v="0"/>
    <n v="0"/>
    <n v="102"/>
    <s v="_x0000_US"/>
  </r>
  <r>
    <x v="1"/>
    <n v="13.6745"/>
    <n v="-89.242400000000004"/>
    <n v="59100"/>
    <n v="0"/>
    <n v="0"/>
    <n v="102"/>
    <s v="_x0000_US"/>
  </r>
  <r>
    <x v="1"/>
    <n v="13.6745"/>
    <n v="-89.242400000000004"/>
    <n v="59100"/>
    <n v="0"/>
    <n v="0"/>
    <n v="102"/>
    <s v="_x0000_US"/>
  </r>
  <r>
    <x v="1"/>
    <n v="13.6745"/>
    <n v="-89.242400000000004"/>
    <n v="59100"/>
    <n v="0"/>
    <n v="0"/>
    <n v="102"/>
    <s v="_x0000_US"/>
  </r>
  <r>
    <x v="1"/>
    <n v="13.6745"/>
    <n v="-89.242400000000004"/>
    <n v="59100"/>
    <n v="0"/>
    <n v="0"/>
    <n v="102"/>
    <s v="_x0000_US"/>
  </r>
  <r>
    <x v="1"/>
    <n v="13.6761"/>
    <n v="-89.241100000000003"/>
    <n v="59100"/>
    <n v="0"/>
    <n v="0"/>
    <n v="102"/>
    <s v="_x0000_US"/>
  </r>
  <r>
    <x v="1"/>
    <n v="13.6761"/>
    <n v="-89.241"/>
    <n v="59100"/>
    <n v="0"/>
    <n v="0"/>
    <n v="102"/>
    <s v="_x0000_US"/>
  </r>
  <r>
    <x v="1"/>
    <n v="13.6762"/>
    <n v="-89.241"/>
    <n v="59100"/>
    <n v="0"/>
    <n v="0"/>
    <n v="102"/>
    <s v="_x0000_US"/>
  </r>
  <r>
    <x v="1"/>
    <n v="13.676299999999999"/>
    <n v="-89.241"/>
    <n v="59100"/>
    <n v="0"/>
    <n v="0"/>
    <n v="102"/>
    <s v="_x0000_US"/>
  </r>
  <r>
    <x v="1"/>
    <n v="13.676299999999999"/>
    <n v="-89.240899999999996"/>
    <n v="59100"/>
    <n v="0"/>
    <n v="0"/>
    <n v="102"/>
    <s v="_x0000_US"/>
  </r>
  <r>
    <x v="1"/>
    <n v="13.676399999999999"/>
    <n v="-89.240799999999993"/>
    <n v="59100"/>
    <n v="0"/>
    <n v="0"/>
    <n v="102"/>
    <s v="_x0000_US"/>
  </r>
  <r>
    <x v="1"/>
    <n v="13.676500000000001"/>
    <n v="-89.240799999999993"/>
    <n v="59100"/>
    <n v="0"/>
    <n v="0"/>
    <n v="102"/>
    <s v="_x0000_US"/>
  </r>
  <r>
    <x v="1"/>
    <n v="13.676600000000001"/>
    <n v="-89.240799999999993"/>
    <n v="59100"/>
    <n v="0"/>
    <n v="0"/>
    <n v="102"/>
    <s v="_x0000_US"/>
  </r>
  <r>
    <x v="1"/>
    <n v="13.6767"/>
    <n v="-89.240700000000004"/>
    <n v="59100"/>
    <n v="0"/>
    <n v="0"/>
    <n v="102"/>
    <s v="_x0000_US"/>
  </r>
  <r>
    <x v="1"/>
    <n v="13.6767"/>
    <n v="-89.240600000000001"/>
    <n v="59100"/>
    <n v="0"/>
    <n v="0"/>
    <n v="102"/>
    <s v="_x0000_US"/>
  </r>
  <r>
    <x v="1"/>
    <n v="13.6768"/>
    <n v="-89.240600000000001"/>
    <n v="59100"/>
    <n v="0"/>
    <n v="0"/>
    <n v="102"/>
    <s v="_x0000_US"/>
  </r>
  <r>
    <x v="1"/>
    <n v="13.6769"/>
    <n v="-89.240499999999997"/>
    <n v="59100"/>
    <n v="0"/>
    <n v="0"/>
    <n v="102"/>
    <s v="_x0000_US"/>
  </r>
  <r>
    <x v="1"/>
    <n v="13.677"/>
    <n v="-89.240499999999997"/>
    <n v="59100"/>
    <n v="0"/>
    <n v="0"/>
    <n v="102"/>
    <s v="_x0000_US"/>
  </r>
  <r>
    <x v="1"/>
    <n v="13.677"/>
    <n v="-89.240399999999994"/>
    <n v="59100"/>
    <n v="0"/>
    <n v="0"/>
    <n v="102"/>
    <s v="_x0000_US"/>
  </r>
  <r>
    <x v="1"/>
    <n v="13.677099999999999"/>
    <n v="-89.240399999999994"/>
    <n v="59100"/>
    <n v="0"/>
    <n v="0"/>
    <n v="102"/>
    <s v="_x0000_US"/>
  </r>
  <r>
    <x v="1"/>
    <n v="13.677199999999999"/>
    <n v="-89.240300000000005"/>
    <n v="59100"/>
    <n v="0"/>
    <n v="0"/>
    <n v="102"/>
    <s v="_x0000_US"/>
  </r>
  <r>
    <x v="1"/>
    <n v="13.677300000000001"/>
    <n v="-89.240300000000005"/>
    <n v="59100"/>
    <n v="0"/>
    <n v="0"/>
    <n v="102"/>
    <s v="_x0000_US"/>
  </r>
  <r>
    <x v="1"/>
    <n v="13.6774"/>
    <n v="-89.240200000000002"/>
    <n v="59100"/>
    <n v="0"/>
    <n v="0"/>
    <n v="102"/>
    <s v="_x0000_US"/>
  </r>
  <r>
    <x v="1"/>
    <n v="13.6775"/>
    <n v="-89.240200000000002"/>
    <n v="59100"/>
    <n v="0"/>
    <n v="0"/>
    <n v="102"/>
    <s v="_x0000_US"/>
  </r>
  <r>
    <x v="1"/>
    <n v="13.6776"/>
    <n v="-89.240099999999998"/>
    <n v="59100"/>
    <n v="0"/>
    <n v="0"/>
    <n v="102"/>
    <s v="_x0000_US"/>
  </r>
  <r>
    <x v="1"/>
    <n v="13.6777"/>
    <n v="-89.240099999999998"/>
    <n v="59100"/>
    <n v="0"/>
    <n v="0"/>
    <n v="102"/>
    <s v="_x0000_US"/>
  </r>
  <r>
    <x v="1"/>
    <n v="13.6778"/>
    <n v="-89.24"/>
    <n v="59100"/>
    <n v="0"/>
    <n v="0"/>
    <n v="102"/>
    <s v="_x0000_US"/>
  </r>
  <r>
    <x v="1"/>
    <n v="13.677899999999999"/>
    <n v="-89.239900000000006"/>
    <n v="59100"/>
    <n v="0"/>
    <n v="0"/>
    <n v="102"/>
    <s v="_x0000_US"/>
  </r>
  <r>
    <x v="1"/>
    <n v="13.6778"/>
    <n v="-89.2393"/>
    <n v="59100"/>
    <n v="0"/>
    <n v="0"/>
    <n v="102"/>
    <s v="_x0000_US"/>
  </r>
  <r>
    <x v="1"/>
    <n v="13.6776"/>
    <n v="-89.239400000000003"/>
    <n v="59100"/>
    <n v="0"/>
    <n v="0"/>
    <n v="102"/>
    <s v="_x0000_US"/>
  </r>
  <r>
    <x v="1"/>
    <n v="13.6775"/>
    <n v="-89.239500000000007"/>
    <n v="59100"/>
    <n v="0"/>
    <n v="0"/>
    <n v="102"/>
    <s v="_x0000_US"/>
  </r>
  <r>
    <x v="1"/>
    <n v="13.6775"/>
    <n v="-89.239500000000007"/>
    <n v="59100"/>
    <n v="0"/>
    <n v="0"/>
    <n v="102"/>
    <s v="_x0000_US"/>
  </r>
  <r>
    <x v="1"/>
    <n v="13.6774"/>
    <n v="-89.239599999999996"/>
    <n v="59100"/>
    <n v="0"/>
    <n v="0"/>
    <n v="102"/>
    <s v="_x0000_US"/>
  </r>
  <r>
    <x v="1"/>
    <n v="13.677300000000001"/>
    <n v="-89.239699999999999"/>
    <n v="59100"/>
    <n v="0"/>
    <n v="0"/>
    <n v="102"/>
    <s v="_x0000_US"/>
  </r>
  <r>
    <x v="1"/>
    <n v="13.677099999999999"/>
    <n v="-89.239699999999999"/>
    <n v="59100"/>
    <n v="0"/>
    <n v="0"/>
    <n v="102"/>
    <s v="_x0000_US"/>
  </r>
  <r>
    <x v="1"/>
    <n v="13.677099999999999"/>
    <n v="-89.239800000000002"/>
    <n v="59100"/>
    <n v="0"/>
    <n v="0"/>
    <n v="102"/>
    <s v="_x0000_US"/>
  </r>
  <r>
    <x v="1"/>
    <n v="13.677"/>
    <n v="-89.239900000000006"/>
    <n v="59100"/>
    <n v="0"/>
    <n v="0"/>
    <n v="102"/>
    <s v="_x0000_US"/>
  </r>
  <r>
    <x v="1"/>
    <n v="13.6769"/>
    <n v="-89.24"/>
    <n v="59100"/>
    <n v="0"/>
    <n v="0"/>
    <n v="102"/>
    <s v="_x0000_US"/>
  </r>
  <r>
    <x v="1"/>
    <n v="13.6768"/>
    <n v="-89.240099999999998"/>
    <n v="59100"/>
    <n v="0"/>
    <n v="0"/>
    <n v="102"/>
    <s v="_x0000_US"/>
  </r>
  <r>
    <x v="1"/>
    <n v="13.676600000000001"/>
    <n v="-89.240200000000002"/>
    <n v="59100"/>
    <n v="0"/>
    <n v="0"/>
    <n v="102"/>
    <s v="_x0000_US"/>
  </r>
  <r>
    <x v="1"/>
    <n v="13.6767"/>
    <n v="-89.240099999999998"/>
    <n v="59100"/>
    <n v="0"/>
    <n v="0"/>
    <n v="102"/>
    <s v="_x0000_US"/>
  </r>
  <r>
    <x v="1"/>
    <n v="13.676600000000001"/>
    <n v="-89.240200000000002"/>
    <n v="59100"/>
    <n v="0"/>
    <n v="0"/>
    <n v="102"/>
    <s v="_x0000_US"/>
  </r>
  <r>
    <x v="1"/>
    <n v="13.676500000000001"/>
    <n v="-89.240200000000002"/>
    <n v="59100"/>
    <n v="0"/>
    <n v="0"/>
    <n v="102"/>
    <s v="_x0000_US"/>
  </r>
  <r>
    <x v="1"/>
    <n v="13.676399999999999"/>
    <n v="-89.240399999999994"/>
    <n v="59100"/>
    <n v="0"/>
    <n v="0"/>
    <n v="102"/>
    <s v="_x0000_US"/>
  </r>
  <r>
    <x v="1"/>
    <n v="13.676299999999999"/>
    <n v="-89.240399999999994"/>
    <n v="59100"/>
    <n v="0"/>
    <n v="0"/>
    <n v="102"/>
    <s v="_x0000_US"/>
  </r>
  <r>
    <x v="1"/>
    <n v="13.6762"/>
    <n v="-89.240499999999997"/>
    <n v="59100"/>
    <n v="0"/>
    <n v="0"/>
    <n v="102"/>
    <s v="_x0000_US"/>
  </r>
  <r>
    <x v="1"/>
    <n v="13.6761"/>
    <n v="-89.240499999999997"/>
    <n v="59100"/>
    <n v="0"/>
    <n v="0"/>
    <n v="102"/>
    <s v="_x0000_US"/>
  </r>
  <r>
    <x v="1"/>
    <n v="13.676"/>
    <n v="-89.240600000000001"/>
    <n v="59100"/>
    <n v="0"/>
    <n v="0"/>
    <n v="102"/>
    <s v="_x0000_US"/>
  </r>
  <r>
    <x v="1"/>
    <n v="13.676"/>
    <n v="-89.240600000000001"/>
    <n v="59100"/>
    <n v="0"/>
    <n v="0"/>
    <n v="102"/>
    <s v="_x0000_US"/>
  </r>
  <r>
    <x v="1"/>
    <n v="13.6759"/>
    <n v="-89.240700000000004"/>
    <n v="59100"/>
    <n v="0"/>
    <n v="0"/>
    <n v="102"/>
    <s v="_x0000_US"/>
  </r>
  <r>
    <x v="1"/>
    <n v="13.675800000000001"/>
    <n v="-89.240799999999993"/>
    <n v="59100"/>
    <n v="0"/>
    <n v="0"/>
    <n v="102"/>
    <s v="_x0000_US"/>
  </r>
  <r>
    <x v="1"/>
    <n v="13.675800000000001"/>
    <n v="-89.240799999999993"/>
    <n v="59100"/>
    <n v="0"/>
    <n v="0"/>
    <n v="102"/>
    <s v="_x0000_US"/>
  </r>
  <r>
    <x v="1"/>
    <n v="13.675700000000001"/>
    <n v="-89.240899999999996"/>
    <n v="59100"/>
    <n v="0"/>
    <n v="0"/>
    <n v="102"/>
    <s v="_x0000_US"/>
  </r>
  <r>
    <x v="1"/>
    <n v="13.6755"/>
    <n v="-89.241"/>
    <n v="59100"/>
    <n v="0"/>
    <n v="0"/>
    <n v="102"/>
    <s v="_x0000_US"/>
  </r>
  <r>
    <x v="1"/>
    <n v="13.675599999999999"/>
    <n v="-89.241100000000003"/>
    <n v="59100"/>
    <n v="0"/>
    <n v="0"/>
    <n v="102"/>
    <s v="_x0000_US"/>
  </r>
  <r>
    <x v="1"/>
    <n v="13.689500000000001"/>
    <n v="-89.224500000000006"/>
    <n v="111900"/>
    <n v="0"/>
    <n v="0"/>
    <n v="102"/>
    <s v="_x0000_US"/>
  </r>
  <r>
    <x v="1"/>
    <n v="13.689399999999999"/>
    <n v="-89.224599999999995"/>
    <n v="111900"/>
    <n v="0"/>
    <n v="0"/>
    <n v="102"/>
    <s v="_x0000_US"/>
  </r>
  <r>
    <x v="1"/>
    <n v="13.688800000000001"/>
    <n v="-89.226100000000002"/>
    <n v="111900"/>
    <n v="0"/>
    <n v="0"/>
    <n v="102"/>
    <s v="_x0000_US"/>
  </r>
  <r>
    <x v="1"/>
    <n v="13.689"/>
    <n v="-89.225899999999996"/>
    <n v="111900"/>
    <n v="0"/>
    <n v="0"/>
    <n v="102"/>
    <s v="_x0000_US"/>
  </r>
  <r>
    <x v="1"/>
    <n v="13.6889"/>
    <n v="-89.2256"/>
    <n v="111900"/>
    <n v="0"/>
    <n v="0"/>
    <n v="102"/>
    <s v="_x0000_US"/>
  </r>
  <r>
    <x v="1"/>
    <n v="13.6889"/>
    <n v="-89.224999999999994"/>
    <n v="111900"/>
    <n v="0"/>
    <n v="0"/>
    <n v="102"/>
    <s v="_x0000_US"/>
  </r>
  <r>
    <x v="1"/>
    <n v="13.6892"/>
    <n v="-89.225200000000001"/>
    <n v="111900"/>
    <n v="0"/>
    <n v="0"/>
    <n v="102"/>
    <s v="_x0000_US"/>
  </r>
  <r>
    <x v="1"/>
    <n v="13.689299999999999"/>
    <n v="-89.224900000000005"/>
    <n v="111900"/>
    <n v="0"/>
    <n v="0"/>
    <n v="102"/>
    <s v="_x0000_US"/>
  </r>
  <r>
    <x v="1"/>
    <n v="13.689500000000001"/>
    <n v="-89.224299999999999"/>
    <n v="111900"/>
    <n v="0"/>
    <n v="0"/>
    <n v="102"/>
    <s v="_x0000_US"/>
  </r>
  <r>
    <x v="1"/>
    <n v="13.688800000000001"/>
    <n v="-89.224299999999999"/>
    <n v="111900"/>
    <n v="0"/>
    <n v="0"/>
    <n v="102"/>
    <s v="_x0000_US"/>
  </r>
  <r>
    <x v="1"/>
    <n v="13.688800000000001"/>
    <n v="-89.2239"/>
    <n v="111900"/>
    <n v="0"/>
    <n v="0"/>
    <n v="102"/>
    <s v="_x0000_US"/>
  </r>
  <r>
    <x v="1"/>
    <n v="13.688700000000001"/>
    <n v="-89.223399999999998"/>
    <n v="111900"/>
    <n v="0"/>
    <n v="0"/>
    <n v="102"/>
    <s v="_x0000_US"/>
  </r>
  <r>
    <x v="1"/>
    <n v="13.689"/>
    <n v="-89.223399999999998"/>
    <n v="111900"/>
    <n v="0"/>
    <n v="0"/>
    <n v="102"/>
    <s v="_x0000_US"/>
  </r>
  <r>
    <x v="1"/>
    <n v="13.689299999999999"/>
    <n v="-89.223399999999998"/>
    <n v="111900"/>
    <n v="0"/>
    <n v="0"/>
    <n v="102"/>
    <s v="_x0000_US"/>
  </r>
  <r>
    <x v="1"/>
    <n v="13.689399999999999"/>
    <n v="-89.223399999999998"/>
    <n v="111900"/>
    <n v="0"/>
    <n v="0"/>
    <n v="102"/>
    <s v="_x0000_US"/>
  </r>
  <r>
    <x v="1"/>
    <n v="13.6858"/>
    <n v="-89.229500000000002"/>
    <n v="111900"/>
    <n v="0"/>
    <n v="0"/>
    <n v="102"/>
    <s v="_x0000_US"/>
  </r>
  <r>
    <x v="1"/>
    <n v="13.685600000000001"/>
    <n v="-89.229500000000002"/>
    <n v="111900"/>
    <n v="0"/>
    <n v="0"/>
    <n v="102"/>
    <s v="_x0000_US"/>
  </r>
  <r>
    <x v="1"/>
    <n v="13.685499999999999"/>
    <n v="-89.229299999999995"/>
    <n v="111900"/>
    <n v="0"/>
    <n v="0"/>
    <n v="102"/>
    <s v="_x0000_US"/>
  </r>
  <r>
    <x v="1"/>
    <n v="13.6852"/>
    <n v="-89.229100000000003"/>
    <n v="111900"/>
    <n v="0"/>
    <n v="0"/>
    <n v="102"/>
    <s v="_x0000_US"/>
  </r>
  <r>
    <x v="1"/>
    <n v="13.6851"/>
    <n v="-89.228899999999996"/>
    <n v="111900"/>
    <n v="0"/>
    <n v="0"/>
    <n v="102"/>
    <s v="_x0000_US"/>
  </r>
  <r>
    <x v="1"/>
    <n v="13.6851"/>
    <n v="-89.228800000000007"/>
    <n v="111900"/>
    <n v="0"/>
    <n v="0"/>
    <n v="102"/>
    <s v="_x0000_US"/>
  </r>
  <r>
    <x v="1"/>
    <n v="13.684799999999999"/>
    <n v="-89.228899999999996"/>
    <n v="111900"/>
    <n v="0"/>
    <n v="0"/>
    <n v="102"/>
    <s v="_x0000_US"/>
  </r>
  <r>
    <x v="1"/>
    <n v="13.686299999999999"/>
    <n v="-89.228499999999997"/>
    <n v="111900"/>
    <n v="0"/>
    <n v="0"/>
    <n v="102"/>
    <s v="_x0000_US"/>
  </r>
  <r>
    <x v="1"/>
    <n v="13.6861"/>
    <n v="-89.2286"/>
    <n v="111900"/>
    <n v="0"/>
    <n v="0"/>
    <n v="102"/>
    <s v="_x0000_US"/>
  </r>
  <r>
    <x v="1"/>
    <n v="13.6858"/>
    <n v="-89.228700000000003"/>
    <n v="111900"/>
    <n v="0"/>
    <n v="0"/>
    <n v="102"/>
    <s v="_x0000_US"/>
  </r>
  <r>
    <x v="1"/>
    <n v="13.685700000000001"/>
    <n v="-89.228800000000007"/>
    <n v="111900"/>
    <n v="0"/>
    <n v="0"/>
    <n v="102"/>
    <s v="_x0000_US"/>
  </r>
  <r>
    <x v="1"/>
    <n v="13.685600000000001"/>
    <n v="-89.228700000000003"/>
    <n v="111900"/>
    <n v="0"/>
    <n v="0"/>
    <n v="102"/>
    <s v="_x0000_US"/>
  </r>
  <r>
    <x v="1"/>
    <n v="13.685499999999999"/>
    <n v="-89.228800000000007"/>
    <n v="111900"/>
    <n v="0"/>
    <n v="0"/>
    <n v="102"/>
    <s v="_x0000_US"/>
  </r>
  <r>
    <x v="1"/>
    <n v="13.685499999999999"/>
    <n v="-89.228800000000007"/>
    <n v="111900"/>
    <n v="0"/>
    <n v="0"/>
    <n v="102"/>
    <s v="_x0000_US"/>
  </r>
  <r>
    <x v="1"/>
    <n v="13.685499999999999"/>
    <n v="-89.228399999999993"/>
    <n v="111900"/>
    <n v="0"/>
    <n v="0"/>
    <n v="102"/>
    <s v="_x0000_US"/>
  </r>
  <r>
    <x v="1"/>
    <n v="13.6859"/>
    <n v="-89.228099999999998"/>
    <n v="111900"/>
    <n v="0"/>
    <n v="0"/>
    <n v="102"/>
    <s v="_x0000_US"/>
  </r>
  <r>
    <x v="1"/>
    <n v="13.686400000000001"/>
    <n v="-89.227800000000002"/>
    <n v="111900"/>
    <n v="0"/>
    <n v="0"/>
    <n v="102"/>
    <s v="_x0000_US"/>
  </r>
  <r>
    <x v="1"/>
    <n v="13.6866"/>
    <n v="-89.227800000000002"/>
    <n v="111900"/>
    <n v="0"/>
    <n v="0"/>
    <n v="102"/>
    <s v="_x0000_US"/>
  </r>
  <r>
    <x v="1"/>
    <n v="13.6844"/>
    <n v="-89.228999999999999"/>
    <n v="111900"/>
    <n v="0"/>
    <n v="0"/>
    <n v="102"/>
    <s v="_x0000_US"/>
  </r>
  <r>
    <x v="1"/>
    <n v="13.6845"/>
    <n v="-89.228899999999996"/>
    <n v="111900"/>
    <n v="0"/>
    <n v="0"/>
    <n v="102"/>
    <s v="_x0000_US"/>
  </r>
  <r>
    <x v="1"/>
    <n v="13.6846"/>
    <n v="-89.228899999999996"/>
    <n v="111900"/>
    <n v="0"/>
    <n v="0"/>
    <n v="102"/>
    <s v="_x0000_US"/>
  </r>
  <r>
    <x v="1"/>
    <n v="13.6845"/>
    <n v="-89.228700000000003"/>
    <n v="111900"/>
    <n v="0"/>
    <n v="0"/>
    <n v="102"/>
    <s v="_x0000_US"/>
  </r>
  <r>
    <x v="1"/>
    <n v="13.6846"/>
    <n v="-89.228700000000003"/>
    <n v="111900"/>
    <n v="0"/>
    <n v="0"/>
    <n v="102"/>
    <s v="_x0000_US"/>
  </r>
  <r>
    <x v="1"/>
    <n v="13.6846"/>
    <n v="-89.2286"/>
    <n v="111900"/>
    <n v="0"/>
    <n v="0"/>
    <n v="102"/>
    <s v="_x0000_US"/>
  </r>
  <r>
    <x v="1"/>
    <n v="13.684699999999999"/>
    <n v="-89.2286"/>
    <n v="111900"/>
    <n v="0"/>
    <n v="0"/>
    <n v="102"/>
    <s v="_x0000_US"/>
  </r>
  <r>
    <x v="1"/>
    <n v="13.684799999999999"/>
    <n v="-89.2286"/>
    <n v="111900"/>
    <n v="0"/>
    <n v="0"/>
    <n v="102"/>
    <s v="_x0000_US"/>
  </r>
  <r>
    <x v="1"/>
    <n v="13.684799999999999"/>
    <n v="-89.228499999999997"/>
    <n v="111900"/>
    <n v="0"/>
    <n v="0"/>
    <n v="102"/>
    <s v="_x0000_US"/>
  </r>
  <r>
    <x v="1"/>
    <n v="13.684799999999999"/>
    <n v="-89.228399999999993"/>
    <n v="111900"/>
    <n v="0"/>
    <n v="0"/>
    <n v="102"/>
    <s v="_x0000_US"/>
  </r>
  <r>
    <x v="1"/>
    <n v="13.684799999999999"/>
    <n v="-89.228300000000004"/>
    <n v="111900"/>
    <n v="0"/>
    <n v="0"/>
    <n v="102"/>
    <s v="_x0000_US"/>
  </r>
  <r>
    <x v="1"/>
    <n v="13.684799999999999"/>
    <n v="-89.228200000000001"/>
    <n v="111900"/>
    <n v="0"/>
    <n v="0"/>
    <n v="102"/>
    <s v="_x0000_US"/>
  </r>
  <r>
    <x v="1"/>
    <n v="13.684699999999999"/>
    <n v="-89.228099999999998"/>
    <n v="111900"/>
    <n v="0"/>
    <n v="0"/>
    <n v="102"/>
    <s v="_x0000_US"/>
  </r>
  <r>
    <x v="1"/>
    <n v="13.684699999999999"/>
    <n v="-89.227900000000005"/>
    <n v="111900"/>
    <n v="0"/>
    <n v="0"/>
    <n v="102"/>
    <s v="_x0000_US"/>
  </r>
  <r>
    <x v="1"/>
    <n v="13.684699999999999"/>
    <n v="-89.227800000000002"/>
    <n v="111900"/>
    <n v="0"/>
    <n v="0"/>
    <n v="102"/>
    <s v="_x0000_US"/>
  </r>
  <r>
    <x v="1"/>
    <n v="13.6851"/>
    <n v="-89.228399999999993"/>
    <n v="111900"/>
    <n v="0"/>
    <n v="0"/>
    <n v="102"/>
    <s v="_x0000_US"/>
  </r>
  <r>
    <x v="1"/>
    <n v="13.6851"/>
    <n v="-89.228200000000001"/>
    <n v="111900"/>
    <n v="0"/>
    <n v="0"/>
    <n v="102"/>
    <s v="_x0000_US"/>
  </r>
  <r>
    <x v="1"/>
    <n v="13.6851"/>
    <n v="-89.228200000000001"/>
    <n v="111900"/>
    <n v="0"/>
    <n v="0"/>
    <n v="102"/>
    <s v="_x0000_US"/>
  </r>
  <r>
    <x v="1"/>
    <n v="13.6851"/>
    <n v="-89.228099999999998"/>
    <n v="111900"/>
    <n v="0"/>
    <n v="0"/>
    <n v="102"/>
    <s v="_x0000_US"/>
  </r>
  <r>
    <x v="1"/>
    <n v="13.6851"/>
    <n v="-89.228099999999998"/>
    <n v="111900"/>
    <n v="0"/>
    <n v="0"/>
    <n v="102"/>
    <s v="_x0000_US"/>
  </r>
  <r>
    <x v="1"/>
    <n v="13.6851"/>
    <n v="-89.227999999999994"/>
    <n v="111900"/>
    <n v="0"/>
    <n v="0"/>
    <n v="102"/>
    <s v="_x0000_US"/>
  </r>
  <r>
    <x v="1"/>
    <n v="13.685"/>
    <n v="-89.227900000000005"/>
    <n v="111900"/>
    <n v="0"/>
    <n v="0"/>
    <n v="102"/>
    <s v="_x0000_US"/>
  </r>
  <r>
    <x v="1"/>
    <n v="13.6851"/>
    <n v="-89.227900000000005"/>
    <n v="111900"/>
    <n v="0"/>
    <n v="0"/>
    <n v="102"/>
    <s v="_x0000_US"/>
  </r>
  <r>
    <x v="1"/>
    <n v="13.6852"/>
    <n v="-89.227900000000005"/>
    <n v="111900"/>
    <n v="0"/>
    <n v="0"/>
    <n v="102"/>
    <s v="_x0000_US"/>
  </r>
  <r>
    <x v="1"/>
    <n v="13.6852"/>
    <n v="-89.227900000000005"/>
    <n v="111900"/>
    <n v="0"/>
    <n v="0"/>
    <n v="102"/>
    <s v="_x0000_US"/>
  </r>
  <r>
    <x v="1"/>
    <n v="13.6854"/>
    <n v="-89.227900000000005"/>
    <n v="111900"/>
    <n v="0"/>
    <n v="0"/>
    <n v="102"/>
    <s v="_x0000_US"/>
  </r>
  <r>
    <x v="1"/>
    <n v="13.685600000000001"/>
    <n v="-89.227699999999999"/>
    <n v="111900"/>
    <n v="0"/>
    <n v="0"/>
    <n v="102"/>
    <s v="_x0000_US"/>
  </r>
  <r>
    <x v="1"/>
    <n v="13.685"/>
    <n v="-89.227800000000002"/>
    <n v="111900"/>
    <n v="0"/>
    <n v="0"/>
    <n v="102"/>
    <s v="_x0000_US"/>
  </r>
  <r>
    <x v="1"/>
    <n v="13.684699999999999"/>
    <n v="-89.229299999999995"/>
    <n v="111900"/>
    <n v="0"/>
    <n v="0"/>
    <n v="102"/>
    <s v="_x0000_US"/>
  </r>
  <r>
    <x v="1"/>
    <n v="13.683999999999999"/>
    <n v="-89.229500000000002"/>
    <n v="111900"/>
    <n v="0"/>
    <n v="0"/>
    <n v="102"/>
    <s v="_x0000_US"/>
  </r>
  <r>
    <x v="1"/>
    <n v="13.684100000000001"/>
    <n v="-89.229399999999998"/>
    <n v="111900"/>
    <n v="0"/>
    <n v="0"/>
    <n v="102"/>
    <s v="_x0000_US"/>
  </r>
  <r>
    <x v="1"/>
    <n v="13.6843"/>
    <n v="-89.229500000000002"/>
    <n v="111900"/>
    <n v="0"/>
    <n v="0"/>
    <n v="102"/>
    <s v="_x0000_US"/>
  </r>
  <r>
    <x v="1"/>
    <n v="13.6844"/>
    <n v="-89.229399999999998"/>
    <n v="111900"/>
    <n v="0"/>
    <n v="0"/>
    <n v="102"/>
    <s v="_x0000_US"/>
  </r>
  <r>
    <x v="1"/>
    <n v="13.683999999999999"/>
    <n v="-89.229299999999995"/>
    <n v="111900"/>
    <n v="0"/>
    <n v="0"/>
    <n v="102"/>
    <s v="_x0000_US"/>
  </r>
  <r>
    <x v="1"/>
    <n v="13.683999999999999"/>
    <n v="-89.229299999999995"/>
    <n v="111900"/>
    <n v="0"/>
    <n v="0"/>
    <n v="102"/>
    <s v="_x0000_US"/>
  </r>
  <r>
    <x v="1"/>
    <n v="13.684200000000001"/>
    <n v="-89.229200000000006"/>
    <n v="111900"/>
    <n v="0"/>
    <n v="0"/>
    <n v="102"/>
    <s v="_x0000_US"/>
  </r>
  <r>
    <x v="1"/>
    <n v="13.6843"/>
    <n v="-89.229100000000003"/>
    <n v="111900"/>
    <n v="0"/>
    <n v="0"/>
    <n v="102"/>
    <s v="_x0000_US"/>
  </r>
  <r>
    <x v="1"/>
    <n v="13.684100000000001"/>
    <n v="-89.228800000000007"/>
    <n v="111900"/>
    <n v="0"/>
    <n v="0"/>
    <n v="102"/>
    <s v="_x0000_US"/>
  </r>
  <r>
    <x v="1"/>
    <n v="13.684100000000001"/>
    <n v="-89.2286"/>
    <n v="111900"/>
    <n v="0"/>
    <n v="0"/>
    <n v="102"/>
    <s v="_x0000_US"/>
  </r>
  <r>
    <x v="1"/>
    <n v="13.684200000000001"/>
    <n v="-89.228499999999997"/>
    <n v="111900"/>
    <n v="0"/>
    <n v="0"/>
    <n v="102"/>
    <s v="_x0000_US"/>
  </r>
  <r>
    <x v="1"/>
    <n v="13.684100000000001"/>
    <n v="-89.228399999999993"/>
    <n v="111900"/>
    <n v="0"/>
    <n v="0"/>
    <n v="102"/>
    <s v="_x0000_US"/>
  </r>
  <r>
    <x v="1"/>
    <n v="13.684100000000001"/>
    <n v="-89.228200000000001"/>
    <n v="111900"/>
    <n v="0"/>
    <n v="0"/>
    <n v="102"/>
    <s v="_x0000_US"/>
  </r>
  <r>
    <x v="1"/>
    <n v="13.684100000000001"/>
    <n v="-89.228099999999998"/>
    <n v="111900"/>
    <n v="0"/>
    <n v="0"/>
    <n v="102"/>
    <s v="_x0000_US"/>
  </r>
  <r>
    <x v="1"/>
    <n v="13.684200000000001"/>
    <n v="-89.227999999999994"/>
    <n v="111900"/>
    <n v="0"/>
    <n v="0"/>
    <n v="102"/>
    <s v="_x0000_US"/>
  </r>
  <r>
    <x v="1"/>
    <n v="13.6843"/>
    <n v="-89.227800000000002"/>
    <n v="111900"/>
    <n v="0"/>
    <n v="0"/>
    <n v="102"/>
    <s v="_x0000_US"/>
  </r>
  <r>
    <x v="1"/>
    <n v="13.6882"/>
    <n v="-89.220500000000001"/>
    <n v="49860"/>
    <n v="0"/>
    <n v="0"/>
    <n v="102"/>
    <s v="_x0000_US"/>
  </r>
  <r>
    <x v="1"/>
    <n v="13.6882"/>
    <n v="-89.220500000000001"/>
    <n v="49860"/>
    <n v="0"/>
    <n v="0"/>
    <n v="102"/>
    <s v="_x0000_US"/>
  </r>
  <r>
    <x v="1"/>
    <n v="13.6881"/>
    <n v="-89.220399999999998"/>
    <n v="49860"/>
    <n v="0"/>
    <n v="0"/>
    <n v="102"/>
    <s v="_x0000_US"/>
  </r>
  <r>
    <x v="1"/>
    <n v="13.688000000000001"/>
    <n v="-89.220399999999998"/>
    <n v="49860"/>
    <n v="0"/>
    <n v="0"/>
    <n v="102"/>
    <s v="_x0000_US"/>
  </r>
  <r>
    <x v="1"/>
    <n v="13.688000000000001"/>
    <n v="-89.220299999999995"/>
    <n v="49860"/>
    <n v="0"/>
    <n v="0"/>
    <n v="102"/>
    <s v="_x0000_US"/>
  </r>
  <r>
    <x v="1"/>
    <n v="13.688000000000001"/>
    <n v="-89.220600000000005"/>
    <n v="49860"/>
    <n v="0"/>
    <n v="0"/>
    <n v="102"/>
    <s v="_x0000_US"/>
  </r>
  <r>
    <x v="1"/>
    <n v="13.688000000000001"/>
    <n v="-89.219899999999996"/>
    <n v="49860"/>
    <n v="0"/>
    <n v="0"/>
    <n v="102"/>
    <s v="_x0000_US"/>
  </r>
  <r>
    <x v="1"/>
    <n v="13.688000000000001"/>
    <n v="-89.219899999999996"/>
    <n v="49860"/>
    <n v="0"/>
    <n v="0"/>
    <n v="102"/>
    <s v="_x0000_US"/>
  </r>
  <r>
    <x v="1"/>
    <n v="13.688000000000001"/>
    <n v="-89.219899999999996"/>
    <n v="49860"/>
    <n v="0"/>
    <n v="0"/>
    <n v="102"/>
    <s v="_x0000_US"/>
  </r>
  <r>
    <x v="1"/>
    <n v="13.688000000000001"/>
    <n v="-89.221000000000004"/>
    <n v="49860"/>
    <n v="0"/>
    <n v="0"/>
    <n v="102"/>
    <s v="_x0000_US"/>
  </r>
  <r>
    <x v="1"/>
    <n v="13.6881"/>
    <n v="-89.220799999999997"/>
    <n v="49860"/>
    <n v="0"/>
    <n v="0"/>
    <n v="102"/>
    <s v="_x0000_US"/>
  </r>
  <r>
    <x v="1"/>
    <n v="13.688000000000001"/>
    <n v="-89.220699999999994"/>
    <n v="49860"/>
    <n v="0"/>
    <n v="0"/>
    <n v="102"/>
    <s v="_x0000_US"/>
  </r>
  <r>
    <x v="1"/>
    <n v="13.688000000000001"/>
    <n v="-89.220699999999994"/>
    <n v="49860"/>
    <n v="0"/>
    <n v="0"/>
    <n v="102"/>
    <s v="_x0000_US"/>
  </r>
  <r>
    <x v="1"/>
    <n v="13.6882"/>
    <n v="-89.221900000000005"/>
    <n v="49860"/>
    <n v="0"/>
    <n v="0"/>
    <n v="102"/>
    <s v="_x0000_US"/>
  </r>
  <r>
    <x v="1"/>
    <n v="13.688000000000001"/>
    <n v="-89.221699999999998"/>
    <n v="49860"/>
    <n v="0"/>
    <n v="0"/>
    <n v="102"/>
    <s v="_x0000_US"/>
  </r>
  <r>
    <x v="1"/>
    <n v="13.6882"/>
    <n v="-89.221500000000006"/>
    <n v="49860"/>
    <n v="0"/>
    <n v="0"/>
    <n v="102"/>
    <s v="_x0000_US"/>
  </r>
  <r>
    <x v="1"/>
    <n v="13.6881"/>
    <n v="-89.221299999999999"/>
    <n v="49860"/>
    <n v="0"/>
    <n v="0"/>
    <n v="102"/>
    <s v="_x0000_US"/>
  </r>
  <r>
    <x v="1"/>
    <n v="13.684799999999999"/>
    <n v="-89.245699999999999"/>
    <n v="64400"/>
    <n v="0"/>
    <n v="0"/>
    <n v="102"/>
    <s v="_x0000_US"/>
  </r>
  <r>
    <x v="1"/>
    <n v="13.6869"/>
    <n v="-89.245000000000005"/>
    <n v="64400"/>
    <n v="0"/>
    <n v="0"/>
    <n v="102"/>
    <s v="_x0000_US"/>
  </r>
  <r>
    <x v="1"/>
    <n v="13.686999999999999"/>
    <n v="-89.245000000000005"/>
    <n v="64400"/>
    <n v="0"/>
    <n v="0"/>
    <n v="102"/>
    <s v="_x0000_US"/>
  </r>
  <r>
    <x v="1"/>
    <n v="13.687099999999999"/>
    <n v="-89.245199999999997"/>
    <n v="64400"/>
    <n v="0"/>
    <n v="0"/>
    <n v="102"/>
    <s v="_x0000_US"/>
  </r>
  <r>
    <x v="1"/>
    <n v="13.687200000000001"/>
    <n v="-89.245199999999997"/>
    <n v="64400"/>
    <n v="0"/>
    <n v="0"/>
    <n v="102"/>
    <s v="_x0000_US"/>
  </r>
  <r>
    <x v="1"/>
    <n v="13.687200000000001"/>
    <n v="-89.245400000000004"/>
    <n v="64400"/>
    <n v="0"/>
    <n v="0"/>
    <n v="102"/>
    <s v="_x0000_US"/>
  </r>
  <r>
    <x v="1"/>
    <n v="13.687099999999999"/>
    <n v="-89.245400000000004"/>
    <n v="64400"/>
    <n v="0"/>
    <n v="0"/>
    <n v="102"/>
    <s v="_x0000_US"/>
  </r>
  <r>
    <x v="1"/>
    <n v="13.686999999999999"/>
    <n v="-89.245400000000004"/>
    <n v="64400"/>
    <n v="0"/>
    <n v="0"/>
    <n v="102"/>
    <s v="_x0000_US"/>
  </r>
  <r>
    <x v="1"/>
    <n v="13.6869"/>
    <n v="-89.245400000000004"/>
    <n v="64400"/>
    <n v="0"/>
    <n v="0"/>
    <n v="102"/>
    <s v="_x0000_US"/>
  </r>
  <r>
    <x v="1"/>
    <n v="13.6868"/>
    <n v="-89.245400000000004"/>
    <n v="64400"/>
    <n v="0"/>
    <n v="0"/>
    <n v="102"/>
    <s v="_x0000_US"/>
  </r>
  <r>
    <x v="1"/>
    <n v="13.6867"/>
    <n v="-89.245400000000004"/>
    <n v="64400"/>
    <n v="0"/>
    <n v="0"/>
    <n v="102"/>
    <s v="_x0000_US"/>
  </r>
  <r>
    <x v="1"/>
    <n v="13.6867"/>
    <n v="-89.245400000000004"/>
    <n v="64400"/>
    <n v="0"/>
    <n v="0"/>
    <n v="102"/>
    <s v="_x0000_US"/>
  </r>
  <r>
    <x v="1"/>
    <n v="13.6866"/>
    <n v="-89.245400000000004"/>
    <n v="64400"/>
    <n v="0"/>
    <n v="0"/>
    <n v="102"/>
    <s v="_x0000_US"/>
  </r>
  <r>
    <x v="1"/>
    <n v="13.686299999999999"/>
    <n v="-89.245400000000004"/>
    <n v="64400"/>
    <n v="0"/>
    <n v="0"/>
    <n v="102"/>
    <s v="_x0000_US"/>
  </r>
  <r>
    <x v="1"/>
    <n v="13.686500000000001"/>
    <n v="-89.245199999999997"/>
    <n v="64400"/>
    <n v="0"/>
    <n v="0"/>
    <n v="102"/>
    <s v="_x0000_US"/>
  </r>
  <r>
    <x v="1"/>
    <n v="13.6866"/>
    <n v="-89.245199999999997"/>
    <n v="64400"/>
    <n v="0"/>
    <n v="0"/>
    <n v="102"/>
    <s v="_x0000_US"/>
  </r>
  <r>
    <x v="1"/>
    <n v="13.6867"/>
    <n v="-89.245199999999997"/>
    <n v="64400"/>
    <n v="0"/>
    <n v="0"/>
    <n v="102"/>
    <s v="_x0000_US"/>
  </r>
  <r>
    <x v="1"/>
    <n v="13.6868"/>
    <n v="-89.245199999999997"/>
    <n v="64400"/>
    <n v="0"/>
    <n v="0"/>
    <n v="102"/>
    <s v="_x0000_US"/>
  </r>
  <r>
    <x v="1"/>
    <n v="13.6869"/>
    <n v="-89.245199999999997"/>
    <n v="64400"/>
    <n v="0"/>
    <n v="0"/>
    <n v="102"/>
    <s v="_x0000_US"/>
  </r>
  <r>
    <x v="1"/>
    <n v="13.6896"/>
    <n v="-89.240099999999998"/>
    <n v="64400"/>
    <n v="0"/>
    <n v="0"/>
    <n v="102"/>
    <s v="_x0000_US"/>
  </r>
  <r>
    <x v="1"/>
    <n v="13.689500000000001"/>
    <n v="-89.240099999999998"/>
    <n v="64400"/>
    <n v="0"/>
    <n v="0"/>
    <n v="102"/>
    <s v="_x0000_US"/>
  </r>
  <r>
    <x v="1"/>
    <n v="13.689399999999999"/>
    <n v="-89.240099999999998"/>
    <n v="64400"/>
    <n v="0"/>
    <n v="0"/>
    <n v="102"/>
    <s v="_x0000_US"/>
  </r>
  <r>
    <x v="1"/>
    <n v="13.6897"/>
    <n v="-89.239900000000006"/>
    <n v="64400"/>
    <n v="0"/>
    <n v="0"/>
    <n v="102"/>
    <s v="_x0000_US"/>
  </r>
  <r>
    <x v="1"/>
    <n v="13.6898"/>
    <n v="-89.239900000000006"/>
    <n v="64400"/>
    <n v="0"/>
    <n v="0"/>
    <n v="102"/>
    <s v="_x0000_US"/>
  </r>
  <r>
    <x v="1"/>
    <n v="13.6897"/>
    <n v="-89.239400000000003"/>
    <n v="64400"/>
    <n v="0"/>
    <n v="0"/>
    <n v="102"/>
    <s v="_x0000_US"/>
  </r>
  <r>
    <x v="1"/>
    <n v="13.69"/>
    <n v="-89.2393"/>
    <n v="64400"/>
    <n v="0"/>
    <n v="0"/>
    <n v="102"/>
    <s v="_x0000_US"/>
  </r>
  <r>
    <x v="1"/>
    <n v="13.6897"/>
    <n v="-89.201899999999995"/>
    <n v="21700"/>
    <n v="0"/>
    <n v="0"/>
    <n v="102"/>
    <s v="_x0000_US"/>
  </r>
  <r>
    <x v="1"/>
    <n v="13.689500000000001"/>
    <n v="-89.201899999999995"/>
    <n v="21700"/>
    <n v="0"/>
    <n v="0"/>
    <n v="102"/>
    <s v="_x0000_US"/>
  </r>
  <r>
    <x v="1"/>
    <n v="13.689500000000001"/>
    <n v="-89.201800000000006"/>
    <n v="21700"/>
    <n v="0"/>
    <n v="0"/>
    <n v="102"/>
    <s v="_x0000_US"/>
  </r>
  <r>
    <x v="1"/>
    <n v="13.685700000000001"/>
    <n v="-89.234200000000001"/>
    <n v="14950"/>
    <n v="0"/>
    <n v="0"/>
    <n v="102"/>
    <s v="_x0000_US"/>
  </r>
  <r>
    <x v="1"/>
    <n v="13.685700000000001"/>
    <n v="-89.234200000000001"/>
    <n v="14950"/>
    <n v="0"/>
    <n v="0"/>
    <n v="102"/>
    <s v="_x0000_US"/>
  </r>
  <r>
    <x v="1"/>
    <n v="13.685700000000001"/>
    <n v="-89.234200000000001"/>
    <n v="14950"/>
    <n v="0"/>
    <n v="0"/>
    <n v="102"/>
    <s v="_x0000_US"/>
  </r>
  <r>
    <x v="1"/>
    <n v="13.6858"/>
    <n v="-89.234099999999998"/>
    <n v="14950"/>
    <n v="0"/>
    <n v="0"/>
    <n v="102"/>
    <s v="_x0000_US"/>
  </r>
  <r>
    <x v="1"/>
    <n v="13.6858"/>
    <n v="-89.234099999999998"/>
    <n v="14950"/>
    <n v="0"/>
    <n v="0"/>
    <n v="102"/>
    <s v="_x0000_US"/>
  </r>
  <r>
    <x v="1"/>
    <n v="13.6858"/>
    <n v="-89.233999999999995"/>
    <n v="14950"/>
    <n v="0"/>
    <n v="0"/>
    <n v="102"/>
    <s v="_x0000_US"/>
  </r>
  <r>
    <x v="1"/>
    <n v="13.6858"/>
    <n v="-89.233999999999995"/>
    <n v="14950"/>
    <n v="0"/>
    <n v="0"/>
    <n v="102"/>
    <s v="_x0000_US"/>
  </r>
  <r>
    <x v="1"/>
    <n v="13.6858"/>
    <n v="-89.233999999999995"/>
    <n v="14950"/>
    <n v="0"/>
    <n v="0"/>
    <n v="102"/>
    <s v="_x0000_US"/>
  </r>
  <r>
    <x v="1"/>
    <n v="13.6858"/>
    <n v="-89.233900000000006"/>
    <n v="14950"/>
    <n v="0"/>
    <n v="0"/>
    <n v="102"/>
    <s v="_x0000_US"/>
  </r>
  <r>
    <x v="1"/>
    <n v="13.6858"/>
    <n v="-89.233900000000006"/>
    <n v="14950"/>
    <n v="0"/>
    <n v="0"/>
    <n v="102"/>
    <s v="_x0000_US"/>
  </r>
  <r>
    <x v="1"/>
    <n v="13.6858"/>
    <n v="-89.233800000000002"/>
    <n v="14950"/>
    <n v="0"/>
    <n v="0"/>
    <n v="102"/>
    <s v="_x0000_US"/>
  </r>
  <r>
    <x v="1"/>
    <n v="13.6858"/>
    <n v="-89.233800000000002"/>
    <n v="14950"/>
    <n v="0"/>
    <n v="0"/>
    <n v="102"/>
    <s v="_x0000_US"/>
  </r>
  <r>
    <x v="1"/>
    <n v="13.6858"/>
    <n v="-89.233800000000002"/>
    <n v="14950"/>
    <n v="0"/>
    <n v="0"/>
    <n v="102"/>
    <s v="_x0000_US"/>
  </r>
  <r>
    <x v="1"/>
    <n v="13.6859"/>
    <n v="-89.233699999999999"/>
    <n v="14950"/>
    <n v="0"/>
    <n v="0"/>
    <n v="102"/>
    <s v="_x0000_US"/>
  </r>
  <r>
    <x v="1"/>
    <n v="13.6859"/>
    <n v="-89.233699999999999"/>
    <n v="14950"/>
    <n v="0"/>
    <n v="0"/>
    <n v="102"/>
    <s v="_x0000_US"/>
  </r>
  <r>
    <x v="1"/>
    <n v="13.6859"/>
    <n v="-89.233599999999996"/>
    <n v="14950"/>
    <n v="0"/>
    <n v="0"/>
    <n v="102"/>
    <s v="_x0000_US"/>
  </r>
  <r>
    <x v="1"/>
    <n v="13.6859"/>
    <n v="-89.233599999999996"/>
    <n v="14950"/>
    <n v="0"/>
    <n v="0"/>
    <n v="102"/>
    <s v="_x0000_US"/>
  </r>
  <r>
    <x v="1"/>
    <n v="13.6854"/>
    <n v="-89.234399999999994"/>
    <n v="14950"/>
    <n v="0"/>
    <n v="0"/>
    <n v="102"/>
    <s v="_x0000_US"/>
  </r>
  <r>
    <x v="1"/>
    <n v="13.685499999999999"/>
    <n v="-89.234300000000005"/>
    <n v="14950"/>
    <n v="0"/>
    <n v="0"/>
    <n v="102"/>
    <s v="_x0000_US"/>
  </r>
  <r>
    <x v="1"/>
    <n v="13.685499999999999"/>
    <n v="-89.234200000000001"/>
    <n v="14950"/>
    <n v="0"/>
    <n v="0"/>
    <n v="102"/>
    <s v="_x0000_US"/>
  </r>
  <r>
    <x v="1"/>
    <n v="13.685499999999999"/>
    <n v="-89.234099999999998"/>
    <n v="14950"/>
    <n v="0"/>
    <n v="0"/>
    <n v="102"/>
    <s v="_x0000_US"/>
  </r>
  <r>
    <x v="1"/>
    <n v="13.685600000000001"/>
    <n v="-89.233999999999995"/>
    <n v="14950"/>
    <n v="0"/>
    <n v="0"/>
    <n v="102"/>
    <s v="_x0000_US"/>
  </r>
  <r>
    <x v="1"/>
    <n v="13.685600000000001"/>
    <n v="-89.233900000000006"/>
    <n v="14950"/>
    <n v="0"/>
    <n v="0"/>
    <n v="102"/>
    <s v="_x0000_US"/>
  </r>
  <r>
    <x v="1"/>
    <n v="13.685600000000001"/>
    <n v="-89.233699999999999"/>
    <n v="14950"/>
    <n v="0"/>
    <n v="0"/>
    <n v="102"/>
    <s v="_x0000_US"/>
  </r>
  <r>
    <x v="1"/>
    <n v="13.685700000000001"/>
    <n v="-89.233599999999996"/>
    <n v="14950"/>
    <n v="0"/>
    <n v="0"/>
    <n v="102"/>
    <s v="_x0000_US"/>
  </r>
  <r>
    <x v="1"/>
    <n v="13.6853"/>
    <n v="-89.234099999999998"/>
    <n v="14950"/>
    <n v="0"/>
    <n v="0"/>
    <n v="102"/>
    <s v="_x0000_US"/>
  </r>
  <r>
    <x v="1"/>
    <n v="13.6853"/>
    <n v="-89.233999999999995"/>
    <n v="14950"/>
    <n v="0"/>
    <n v="0"/>
    <n v="102"/>
    <s v="_x0000_US"/>
  </r>
  <r>
    <x v="1"/>
    <n v="13.6853"/>
    <n v="-89.233900000000006"/>
    <n v="14950"/>
    <n v="0"/>
    <n v="0"/>
    <n v="102"/>
    <s v="_x0000_US"/>
  </r>
  <r>
    <x v="1"/>
    <n v="13.6854"/>
    <n v="-89.233800000000002"/>
    <n v="14950"/>
    <n v="0"/>
    <n v="0"/>
    <n v="102"/>
    <s v="_x0000_US"/>
  </r>
  <r>
    <x v="1"/>
    <n v="13.6854"/>
    <n v="-89.233699999999999"/>
    <n v="14950"/>
    <n v="0"/>
    <n v="0"/>
    <n v="102"/>
    <s v="_x0000_US"/>
  </r>
  <r>
    <x v="1"/>
    <n v="13.686"/>
    <n v="-89.233699999999999"/>
    <n v="14950"/>
    <n v="0"/>
    <n v="0"/>
    <n v="102"/>
    <s v="_x0000_US"/>
  </r>
  <r>
    <x v="1"/>
    <n v="13.686"/>
    <n v="-89.233699999999999"/>
    <n v="14950"/>
    <n v="0"/>
    <n v="0"/>
    <n v="102"/>
    <s v="_x0000_US"/>
  </r>
  <r>
    <x v="1"/>
    <n v="13.686"/>
    <n v="-89.233599999999996"/>
    <n v="14950"/>
    <n v="0"/>
    <n v="0"/>
    <n v="102"/>
    <s v="_x0000_US"/>
  </r>
  <r>
    <x v="1"/>
    <n v="13.686"/>
    <n v="-89.233599999999996"/>
    <n v="14950"/>
    <n v="0"/>
    <n v="0"/>
    <n v="102"/>
    <s v="_x0000_US"/>
  </r>
  <r>
    <x v="1"/>
    <n v="13.686"/>
    <n v="-89.233500000000006"/>
    <n v="14950"/>
    <n v="0"/>
    <n v="0"/>
    <n v="102"/>
    <s v="_x0000_US"/>
  </r>
  <r>
    <x v="1"/>
    <n v="13.686"/>
    <n v="-89.233500000000006"/>
    <n v="14950"/>
    <n v="0"/>
    <n v="0"/>
    <n v="102"/>
    <s v="_x0000_US"/>
  </r>
  <r>
    <x v="1"/>
    <n v="13.6861"/>
    <n v="-89.233400000000003"/>
    <n v="14950"/>
    <n v="0"/>
    <n v="0"/>
    <n v="102"/>
    <s v="_x0000_US"/>
  </r>
  <r>
    <x v="1"/>
    <n v="13.6861"/>
    <n v="-89.233400000000003"/>
    <n v="14950"/>
    <n v="0"/>
    <n v="0"/>
    <n v="102"/>
    <s v="_x0000_US"/>
  </r>
  <r>
    <x v="1"/>
    <n v="13.6861"/>
    <n v="-89.233400000000003"/>
    <n v="14950"/>
    <n v="0"/>
    <n v="0"/>
    <n v="102"/>
    <s v="_x0000_US"/>
  </r>
  <r>
    <x v="1"/>
    <n v="13.6861"/>
    <n v="-89.2333"/>
    <n v="14950"/>
    <n v="0"/>
    <n v="0"/>
    <n v="102"/>
    <s v="_x0000_US"/>
  </r>
  <r>
    <x v="1"/>
    <n v="13.6861"/>
    <n v="-89.2333"/>
    <n v="14950"/>
    <n v="0"/>
    <n v="0"/>
    <n v="102"/>
    <s v="_x0000_US"/>
  </r>
  <r>
    <x v="1"/>
    <n v="13.6861"/>
    <n v="-89.233199999999997"/>
    <n v="14950"/>
    <n v="0"/>
    <n v="0"/>
    <n v="102"/>
    <s v="_x0000_US"/>
  </r>
  <r>
    <x v="1"/>
    <n v="13.6861"/>
    <n v="-89.233199999999997"/>
    <n v="14950"/>
    <n v="0"/>
    <n v="0"/>
    <n v="102"/>
    <s v="_x0000_US"/>
  </r>
  <r>
    <x v="1"/>
    <n v="13.686199999999999"/>
    <n v="-89.233099999999993"/>
    <n v="14950"/>
    <n v="0"/>
    <n v="0"/>
    <n v="102"/>
    <s v="_x0000_US"/>
  </r>
  <r>
    <x v="1"/>
    <n v="13.686199999999999"/>
    <n v="-89.233099999999993"/>
    <n v="14950"/>
    <n v="0"/>
    <n v="0"/>
    <n v="102"/>
    <s v="_x0000_US"/>
  </r>
  <r>
    <x v="1"/>
    <n v="13.686199999999999"/>
    <n v="-89.233099999999993"/>
    <n v="14950"/>
    <n v="0"/>
    <n v="0"/>
    <n v="102"/>
    <s v="_x0000_US"/>
  </r>
  <r>
    <x v="1"/>
    <n v="13.686199999999999"/>
    <n v="-89.233000000000004"/>
    <n v="14950"/>
    <n v="0"/>
    <n v="0"/>
    <n v="102"/>
    <s v="_x0000_US"/>
  </r>
  <r>
    <x v="1"/>
    <n v="13.686199999999999"/>
    <n v="-89.233000000000004"/>
    <n v="14950"/>
    <n v="0"/>
    <n v="0"/>
    <n v="102"/>
    <s v="_x0000_US"/>
  </r>
  <r>
    <x v="1"/>
    <n v="13.686199999999999"/>
    <n v="-89.232900000000001"/>
    <n v="14950"/>
    <n v="0"/>
    <n v="0"/>
    <n v="102"/>
    <s v="_x0000_US"/>
  </r>
  <r>
    <x v="1"/>
    <n v="13.686199999999999"/>
    <n v="-89.232900000000001"/>
    <n v="14950"/>
    <n v="0"/>
    <n v="0"/>
    <n v="102"/>
    <s v="_x0000_US"/>
  </r>
  <r>
    <x v="1"/>
    <n v="13.686199999999999"/>
    <n v="-89.232799999999997"/>
    <n v="14950"/>
    <n v="0"/>
    <n v="0"/>
    <n v="102"/>
    <s v="_x0000_US"/>
  </r>
  <r>
    <x v="1"/>
    <n v="13.686299999999999"/>
    <n v="-89.232799999999997"/>
    <n v="14950"/>
    <n v="0"/>
    <n v="0"/>
    <n v="102"/>
    <s v="_x0000_US"/>
  </r>
  <r>
    <x v="1"/>
    <n v="13.686299999999999"/>
    <n v="-89.232699999999994"/>
    <n v="14950"/>
    <n v="0"/>
    <n v="0"/>
    <n v="102"/>
    <s v="_x0000_US"/>
  </r>
  <r>
    <x v="1"/>
    <n v="13.686299999999999"/>
    <n v="-89.232699999999994"/>
    <n v="14950"/>
    <n v="0"/>
    <n v="0"/>
    <n v="102"/>
    <s v="_x0000_US"/>
  </r>
  <r>
    <x v="1"/>
    <n v="13.6859"/>
    <n v="-89.233599999999996"/>
    <n v="14950"/>
    <n v="0"/>
    <n v="0"/>
    <n v="102"/>
    <s v="_x0000_US"/>
  </r>
  <r>
    <x v="1"/>
    <n v="13.685700000000001"/>
    <n v="-89.233500000000006"/>
    <n v="14950"/>
    <n v="0"/>
    <n v="0"/>
    <n v="102"/>
    <s v="_x0000_US"/>
  </r>
  <r>
    <x v="1"/>
    <n v="13.6858"/>
    <n v="-89.2333"/>
    <n v="14950"/>
    <n v="0"/>
    <n v="0"/>
    <n v="102"/>
    <s v="_x0000_US"/>
  </r>
  <r>
    <x v="1"/>
    <n v="13.6858"/>
    <n v="-89.233199999999997"/>
    <n v="14950"/>
    <n v="0"/>
    <n v="0"/>
    <n v="102"/>
    <s v="_x0000_US"/>
  </r>
  <r>
    <x v="1"/>
    <n v="13.6859"/>
    <n v="-89.233500000000006"/>
    <n v="14950"/>
    <n v="0"/>
    <n v="0"/>
    <n v="102"/>
    <s v="_x0000_US"/>
  </r>
  <r>
    <x v="1"/>
    <n v="13.6859"/>
    <n v="-89.233500000000006"/>
    <n v="14950"/>
    <n v="0"/>
    <n v="0"/>
    <n v="102"/>
    <s v="_x0000_US"/>
  </r>
  <r>
    <x v="1"/>
    <n v="13.6859"/>
    <n v="-89.233400000000003"/>
    <n v="14950"/>
    <n v="0"/>
    <n v="0"/>
    <n v="102"/>
    <s v="_x0000_US"/>
  </r>
  <r>
    <x v="1"/>
    <n v="13.686"/>
    <n v="-89.233400000000003"/>
    <n v="14950"/>
    <n v="0"/>
    <n v="0"/>
    <n v="102"/>
    <s v="_x0000_US"/>
  </r>
  <r>
    <x v="1"/>
    <n v="13.686"/>
    <n v="-89.233400000000003"/>
    <n v="14950"/>
    <n v="0"/>
    <n v="0"/>
    <n v="102"/>
    <s v="_x0000_US"/>
  </r>
  <r>
    <x v="1"/>
    <n v="13.686"/>
    <n v="-89.2333"/>
    <n v="14950"/>
    <n v="0"/>
    <n v="0"/>
    <n v="102"/>
    <s v="_x0000_US"/>
  </r>
  <r>
    <x v="1"/>
    <n v="13.686"/>
    <n v="-89.2333"/>
    <n v="14950"/>
    <n v="0"/>
    <n v="0"/>
    <n v="102"/>
    <s v="_x0000_US"/>
  </r>
  <r>
    <x v="1"/>
    <n v="13.686"/>
    <n v="-89.233199999999997"/>
    <n v="14950"/>
    <n v="0"/>
    <n v="0"/>
    <n v="102"/>
    <s v="_x0000_US"/>
  </r>
  <r>
    <x v="1"/>
    <n v="13.6861"/>
    <n v="-89.233199999999997"/>
    <n v="14950"/>
    <n v="0"/>
    <n v="0"/>
    <n v="102"/>
    <s v="_x0000_US"/>
  </r>
  <r>
    <x v="1"/>
    <n v="13.686"/>
    <n v="-89.233099999999993"/>
    <n v="14950"/>
    <n v="0"/>
    <n v="0"/>
    <n v="102"/>
    <s v="_x0000_US"/>
  </r>
  <r>
    <x v="1"/>
    <n v="13.686"/>
    <n v="-89.233099999999993"/>
    <n v="14950"/>
    <n v="0"/>
    <n v="0"/>
    <n v="102"/>
    <s v="_x0000_US"/>
  </r>
  <r>
    <x v="1"/>
    <n v="13.686"/>
    <n v="-89.233099999999993"/>
    <n v="14950"/>
    <n v="0"/>
    <n v="0"/>
    <n v="102"/>
    <s v="_x0000_US"/>
  </r>
  <r>
    <x v="1"/>
    <n v="13.6859"/>
    <n v="-89.233099999999993"/>
    <n v="14950"/>
    <n v="0"/>
    <n v="0"/>
    <n v="102"/>
    <s v="_x0000_US"/>
  </r>
  <r>
    <x v="1"/>
    <n v="13.6859"/>
    <n v="-89.233099999999993"/>
    <n v="14950"/>
    <n v="0"/>
    <n v="0"/>
    <n v="102"/>
    <s v="_x0000_US"/>
  </r>
  <r>
    <x v="1"/>
    <n v="13.6858"/>
    <n v="-89.233099999999993"/>
    <n v="14950"/>
    <n v="0"/>
    <n v="0"/>
    <n v="102"/>
    <s v="_x0000_US"/>
  </r>
  <r>
    <x v="1"/>
    <n v="13.6858"/>
    <n v="-89.233099999999993"/>
    <n v="14950"/>
    <n v="0"/>
    <n v="0"/>
    <n v="102"/>
    <s v="_x0000_US"/>
  </r>
  <r>
    <x v="1"/>
    <n v="13.6861"/>
    <n v="-89.233099999999993"/>
    <n v="14950"/>
    <n v="0"/>
    <n v="0"/>
    <n v="102"/>
    <s v="_x0000_US"/>
  </r>
  <r>
    <x v="1"/>
    <n v="13.6861"/>
    <n v="-89.233099999999993"/>
    <n v="14950"/>
    <n v="0"/>
    <n v="0"/>
    <n v="102"/>
    <s v="_x0000_US"/>
  </r>
  <r>
    <x v="1"/>
    <n v="13.6861"/>
    <n v="-89.233000000000004"/>
    <n v="14950"/>
    <n v="0"/>
    <n v="0"/>
    <n v="102"/>
    <s v="_x0000_US"/>
  </r>
  <r>
    <x v="1"/>
    <n v="13.6861"/>
    <n v="-89.233000000000004"/>
    <n v="14950"/>
    <n v="0"/>
    <n v="0"/>
    <n v="102"/>
    <s v="_x0000_US"/>
  </r>
  <r>
    <x v="1"/>
    <n v="13.6861"/>
    <n v="-89.232900000000001"/>
    <n v="14950"/>
    <n v="0"/>
    <n v="0"/>
    <n v="102"/>
    <s v="_x0000_US"/>
  </r>
  <r>
    <x v="1"/>
    <n v="13.6861"/>
    <n v="-89.232799999999997"/>
    <n v="14950"/>
    <n v="0"/>
    <n v="0"/>
    <n v="102"/>
    <s v="_x0000_US"/>
  </r>
  <r>
    <x v="1"/>
    <n v="13.6861"/>
    <n v="-89.232799999999997"/>
    <n v="14950"/>
    <n v="0"/>
    <n v="0"/>
    <n v="102"/>
    <s v="_x0000_US"/>
  </r>
  <r>
    <x v="1"/>
    <n v="13.686199999999999"/>
    <n v="-89.232699999999994"/>
    <n v="14950"/>
    <n v="0"/>
    <n v="0"/>
    <n v="102"/>
    <s v="_x0000_US"/>
  </r>
  <r>
    <x v="1"/>
    <n v="13.686199999999999"/>
    <n v="-89.232699999999994"/>
    <n v="14950"/>
    <n v="0"/>
    <n v="0"/>
    <n v="102"/>
    <s v="_x0000_US"/>
  </r>
  <r>
    <x v="1"/>
    <n v="13.6859"/>
    <n v="-89.232799999999997"/>
    <n v="14950"/>
    <n v="0"/>
    <n v="0"/>
    <n v="102"/>
    <s v="_x0000_US"/>
  </r>
  <r>
    <x v="1"/>
    <n v="13.6859"/>
    <n v="-89.232799999999997"/>
    <n v="14950"/>
    <n v="0"/>
    <n v="0"/>
    <n v="102"/>
    <s v="_x0000_US"/>
  </r>
  <r>
    <x v="1"/>
    <n v="13.6859"/>
    <n v="-89.232799999999997"/>
    <n v="14950"/>
    <n v="0"/>
    <n v="0"/>
    <n v="102"/>
    <s v="_x0000_US"/>
  </r>
  <r>
    <x v="1"/>
    <n v="13.686"/>
    <n v="-89.232900000000001"/>
    <n v="14950"/>
    <n v="0"/>
    <n v="0"/>
    <n v="102"/>
    <s v="_x0000_US"/>
  </r>
  <r>
    <x v="1"/>
    <n v="13.686"/>
    <n v="-89.232900000000001"/>
    <n v="14950"/>
    <n v="0"/>
    <n v="0"/>
    <n v="102"/>
    <s v="_x0000_US"/>
  </r>
  <r>
    <x v="1"/>
    <n v="13.686"/>
    <n v="-89.232900000000001"/>
    <n v="14950"/>
    <n v="0"/>
    <n v="0"/>
    <n v="102"/>
    <s v="_x0000_US"/>
  </r>
  <r>
    <x v="1"/>
    <n v="13.686299999999999"/>
    <n v="-89.232699999999994"/>
    <n v="14950"/>
    <n v="0"/>
    <n v="0"/>
    <n v="102"/>
    <s v="_x0000_US"/>
  </r>
  <r>
    <x v="1"/>
    <n v="13.686299999999999"/>
    <n v="-89.232600000000005"/>
    <n v="14950"/>
    <n v="0"/>
    <n v="0"/>
    <n v="102"/>
    <s v="_x0000_US"/>
  </r>
  <r>
    <x v="1"/>
    <n v="13.686299999999999"/>
    <n v="-89.232500000000002"/>
    <n v="14950"/>
    <n v="0"/>
    <n v="0"/>
    <n v="102"/>
    <s v="_x0000_US"/>
  </r>
  <r>
    <x v="1"/>
    <n v="13.686400000000001"/>
    <n v="-89.232399999999998"/>
    <n v="14950"/>
    <n v="0"/>
    <n v="0"/>
    <n v="102"/>
    <s v="_x0000_US"/>
  </r>
  <r>
    <x v="1"/>
    <n v="13.686400000000001"/>
    <n v="-89.232399999999998"/>
    <n v="14950"/>
    <n v="0"/>
    <n v="0"/>
    <n v="102"/>
    <s v="_x0000_US"/>
  </r>
  <r>
    <x v="1"/>
    <n v="13.686400000000001"/>
    <n v="-89.232399999999998"/>
    <n v="14950"/>
    <n v="0"/>
    <n v="0"/>
    <n v="102"/>
    <s v="_x0000_US"/>
  </r>
  <r>
    <x v="1"/>
    <n v="13.686400000000001"/>
    <n v="-89.232299999999995"/>
    <n v="14950"/>
    <n v="0"/>
    <n v="0"/>
    <n v="102"/>
    <s v="_x0000_US"/>
  </r>
  <r>
    <x v="1"/>
    <n v="13.686400000000001"/>
    <n v="-89.232200000000006"/>
    <n v="14950"/>
    <n v="0"/>
    <n v="0"/>
    <n v="102"/>
    <s v="_x0000_US"/>
  </r>
  <r>
    <x v="1"/>
    <n v="13.686400000000001"/>
    <n v="-89.232200000000006"/>
    <n v="14950"/>
    <n v="0"/>
    <n v="0"/>
    <n v="102"/>
    <s v="_x0000_US"/>
  </r>
  <r>
    <x v="1"/>
    <n v="13.686400000000001"/>
    <n v="-89.232200000000006"/>
    <n v="14950"/>
    <n v="0"/>
    <n v="0"/>
    <n v="102"/>
    <s v="_x0000_US"/>
  </r>
  <r>
    <x v="1"/>
    <n v="13.686400000000001"/>
    <n v="-89.232100000000003"/>
    <n v="14950"/>
    <n v="0"/>
    <n v="0"/>
    <n v="102"/>
    <s v="_x0000_US"/>
  </r>
  <r>
    <x v="1"/>
    <n v="13.686299999999999"/>
    <n v="-89.232100000000003"/>
    <n v="14950"/>
    <n v="0"/>
    <n v="0"/>
    <n v="102"/>
    <s v="_x0000_US"/>
  </r>
  <r>
    <x v="1"/>
    <n v="13.686299999999999"/>
    <n v="-89.231999999999999"/>
    <n v="14950"/>
    <n v="0"/>
    <n v="0"/>
    <n v="102"/>
    <s v="_x0000_US"/>
  </r>
  <r>
    <x v="1"/>
    <n v="13.686299999999999"/>
    <n v="-89.231999999999999"/>
    <n v="14950"/>
    <n v="0"/>
    <n v="0"/>
    <n v="102"/>
    <s v="_x0000_US"/>
  </r>
  <r>
    <x v="1"/>
    <n v="13.686299999999999"/>
    <n v="-89.231899999999996"/>
    <n v="14950"/>
    <n v="0"/>
    <n v="0"/>
    <n v="102"/>
    <s v="_x0000_US"/>
  </r>
  <r>
    <x v="1"/>
    <n v="13.686299999999999"/>
    <n v="-89.231899999999996"/>
    <n v="14950"/>
    <n v="0"/>
    <n v="0"/>
    <n v="102"/>
    <s v="_x0000_US"/>
  </r>
  <r>
    <x v="1"/>
    <n v="13.686299999999999"/>
    <n v="-89.231800000000007"/>
    <n v="14950"/>
    <n v="0"/>
    <n v="0"/>
    <n v="102"/>
    <s v="_x0000_US"/>
  </r>
  <r>
    <x v="1"/>
    <n v="13.686299999999999"/>
    <n v="-89.231800000000007"/>
    <n v="14950"/>
    <n v="0"/>
    <n v="0"/>
    <n v="102"/>
    <s v="_x0000_US"/>
  </r>
  <r>
    <x v="1"/>
    <n v="13.686299999999999"/>
    <n v="-89.231700000000004"/>
    <n v="14950"/>
    <n v="0"/>
    <n v="0"/>
    <n v="102"/>
    <s v="_x0000_US"/>
  </r>
  <r>
    <x v="1"/>
    <n v="13.686299999999999"/>
    <n v="-89.2316"/>
    <n v="14950"/>
    <n v="0"/>
    <n v="0"/>
    <n v="102"/>
    <s v="_x0000_US"/>
  </r>
  <r>
    <x v="1"/>
    <n v="13.686199999999999"/>
    <n v="-89.232600000000005"/>
    <n v="14950"/>
    <n v="0"/>
    <n v="0"/>
    <n v="102"/>
    <s v="_x0000_US"/>
  </r>
  <r>
    <x v="1"/>
    <n v="13.686199999999999"/>
    <n v="-89.232600000000005"/>
    <n v="14950"/>
    <n v="0"/>
    <n v="0"/>
    <n v="102"/>
    <s v="_x0000_US"/>
  </r>
  <r>
    <x v="1"/>
    <n v="13.686199999999999"/>
    <n v="-89.232500000000002"/>
    <n v="14950"/>
    <n v="0"/>
    <n v="0"/>
    <n v="102"/>
    <s v="_x0000_US"/>
  </r>
  <r>
    <x v="1"/>
    <n v="13.686199999999999"/>
    <n v="-89.232399999999998"/>
    <n v="14950"/>
    <n v="0"/>
    <n v="0"/>
    <n v="102"/>
    <s v="_x0000_US"/>
  </r>
  <r>
    <x v="1"/>
    <n v="13.686199999999999"/>
    <n v="-89.232299999999995"/>
    <n v="14950"/>
    <n v="0"/>
    <n v="0"/>
    <n v="102"/>
    <s v="_x0000_US"/>
  </r>
  <r>
    <x v="1"/>
    <n v="13.686199999999999"/>
    <n v="-89.232299999999995"/>
    <n v="14950"/>
    <n v="0"/>
    <n v="0"/>
    <n v="102"/>
    <s v="_x0000_US"/>
  </r>
  <r>
    <x v="1"/>
    <n v="13.686199999999999"/>
    <n v="-89.232200000000006"/>
    <n v="14950"/>
    <n v="0"/>
    <n v="0"/>
    <n v="102"/>
    <s v="_x0000_US"/>
  </r>
  <r>
    <x v="1"/>
    <n v="13.686199999999999"/>
    <n v="-89.232100000000003"/>
    <n v="14950"/>
    <n v="0"/>
    <n v="0"/>
    <n v="102"/>
    <s v="_x0000_US"/>
  </r>
  <r>
    <x v="1"/>
    <n v="13.686199999999999"/>
    <n v="-89.231999999999999"/>
    <n v="14950"/>
    <n v="0"/>
    <n v="0"/>
    <n v="102"/>
    <s v="_x0000_US"/>
  </r>
  <r>
    <x v="1"/>
    <n v="13.686199999999999"/>
    <n v="-89.231999999999999"/>
    <n v="14950"/>
    <n v="0"/>
    <n v="0"/>
    <n v="102"/>
    <s v="_x0000_US"/>
  </r>
  <r>
    <x v="1"/>
    <n v="13.686199999999999"/>
    <n v="-89.231899999999996"/>
    <n v="14950"/>
    <n v="0"/>
    <n v="0"/>
    <n v="102"/>
    <s v="_x0000_US"/>
  </r>
  <r>
    <x v="1"/>
    <n v="13.6861"/>
    <n v="-89.231800000000007"/>
    <n v="14950"/>
    <n v="0"/>
    <n v="0"/>
    <n v="102"/>
    <s v="_x0000_US"/>
  </r>
  <r>
    <x v="1"/>
    <n v="13.6861"/>
    <n v="-89.231800000000007"/>
    <n v="14950"/>
    <n v="0"/>
    <n v="0"/>
    <n v="102"/>
    <s v="_x0000_US"/>
  </r>
  <r>
    <x v="1"/>
    <n v="13.6861"/>
    <n v="-89.231700000000004"/>
    <n v="14950"/>
    <n v="0"/>
    <n v="0"/>
    <n v="102"/>
    <s v="_x0000_US"/>
  </r>
  <r>
    <x v="1"/>
    <n v="13.686"/>
    <n v="-89.232100000000003"/>
    <n v="14950"/>
    <n v="0"/>
    <n v="0"/>
    <n v="102"/>
    <s v="_x0000_US"/>
  </r>
  <r>
    <x v="1"/>
    <n v="13.686"/>
    <n v="-89.232200000000006"/>
    <n v="14950"/>
    <n v="0"/>
    <n v="0"/>
    <n v="102"/>
    <s v="_x0000_US"/>
  </r>
  <r>
    <x v="1"/>
    <n v="13.686"/>
    <n v="-89.232299999999995"/>
    <n v="14950"/>
    <n v="0"/>
    <n v="0"/>
    <n v="102"/>
    <s v="_x0000_US"/>
  </r>
  <r>
    <x v="1"/>
    <n v="13.686"/>
    <n v="-89.232399999999998"/>
    <n v="14950"/>
    <n v="0"/>
    <n v="0"/>
    <n v="102"/>
    <s v="_x0000_US"/>
  </r>
  <r>
    <x v="1"/>
    <n v="13.685700000000001"/>
    <n v="-89.232699999999994"/>
    <n v="14950"/>
    <n v="0"/>
    <n v="0"/>
    <n v="102"/>
    <s v="_x0000_US"/>
  </r>
  <r>
    <x v="1"/>
    <n v="13.685700000000001"/>
    <n v="-89.232600000000005"/>
    <n v="14950"/>
    <n v="0"/>
    <n v="0"/>
    <n v="102"/>
    <s v="_x0000_US"/>
  </r>
  <r>
    <x v="1"/>
    <n v="13.6858"/>
    <n v="-89.232500000000002"/>
    <n v="14950"/>
    <n v="0"/>
    <n v="0"/>
    <n v="102"/>
    <s v="_x0000_US"/>
  </r>
  <r>
    <x v="1"/>
    <n v="13.686"/>
    <n v="-89.232600000000005"/>
    <n v="14950"/>
    <n v="0"/>
    <n v="0"/>
    <n v="102"/>
    <s v="_x0000_US"/>
  </r>
  <r>
    <x v="1"/>
    <n v="13.686"/>
    <n v="-89.232500000000002"/>
    <n v="14950"/>
    <n v="0"/>
    <n v="0"/>
    <n v="102"/>
    <s v="_x0000_US"/>
  </r>
  <r>
    <x v="1"/>
    <n v="13.686"/>
    <n v="-89.231999999999999"/>
    <n v="14950"/>
    <n v="0"/>
    <n v="0"/>
    <n v="102"/>
    <s v="_x0000_US"/>
  </r>
  <r>
    <x v="1"/>
    <n v="13.686"/>
    <n v="-89.231899999999996"/>
    <n v="14950"/>
    <n v="0"/>
    <n v="0"/>
    <n v="102"/>
    <s v="_x0000_US"/>
  </r>
  <r>
    <x v="1"/>
    <n v="13.6859"/>
    <n v="-89.231800000000007"/>
    <n v="14950"/>
    <n v="0"/>
    <n v="0"/>
    <n v="102"/>
    <s v="_x0000_US"/>
  </r>
  <r>
    <x v="1"/>
    <n v="13.6858"/>
    <n v="-89.232399999999998"/>
    <n v="14950"/>
    <n v="0"/>
    <n v="0"/>
    <n v="102"/>
    <s v="_x0000_US"/>
  </r>
  <r>
    <x v="1"/>
    <n v="13.6858"/>
    <n v="-89.232299999999995"/>
    <n v="14950"/>
    <n v="0"/>
    <n v="0"/>
    <n v="102"/>
    <s v="_x0000_US"/>
  </r>
  <r>
    <x v="1"/>
    <n v="13.6858"/>
    <n v="-89.232200000000006"/>
    <n v="14950"/>
    <n v="0"/>
    <n v="0"/>
    <n v="102"/>
    <s v="_x0000_US"/>
  </r>
  <r>
    <x v="1"/>
    <n v="13.6858"/>
    <n v="-89.232100000000003"/>
    <n v="14950"/>
    <n v="0"/>
    <n v="0"/>
    <n v="102"/>
    <s v="_x0000_US"/>
  </r>
  <r>
    <x v="1"/>
    <n v="13.6858"/>
    <n v="-89.231999999999999"/>
    <n v="14950"/>
    <n v="0"/>
    <n v="0"/>
    <n v="102"/>
    <s v="_x0000_US"/>
  </r>
  <r>
    <x v="1"/>
    <n v="13.6854"/>
    <n v="-89.232699999999994"/>
    <n v="14950"/>
    <n v="0"/>
    <n v="0"/>
    <n v="102"/>
    <s v="_x0000_US"/>
  </r>
  <r>
    <x v="1"/>
    <n v="13.685499999999999"/>
    <n v="-89.232600000000005"/>
    <n v="14950"/>
    <n v="0"/>
    <n v="0"/>
    <n v="102"/>
    <s v="_x0000_US"/>
  </r>
  <r>
    <x v="1"/>
    <n v="13.685499999999999"/>
    <n v="-89.232500000000002"/>
    <n v="14950"/>
    <n v="0"/>
    <n v="0"/>
    <n v="102"/>
    <s v="_x0000_US"/>
  </r>
  <r>
    <x v="1"/>
    <n v="13.685499999999999"/>
    <n v="-89.232299999999995"/>
    <n v="14950"/>
    <n v="0"/>
    <n v="0"/>
    <n v="102"/>
    <s v="_x0000_US"/>
  </r>
  <r>
    <x v="1"/>
    <n v="13.685499999999999"/>
    <n v="-89.232200000000006"/>
    <n v="14950"/>
    <n v="0"/>
    <n v="0"/>
    <n v="102"/>
    <s v="_x0000_US"/>
  </r>
  <r>
    <x v="1"/>
    <n v="13.685499999999999"/>
    <n v="-89.232100000000003"/>
    <n v="14950"/>
    <n v="0"/>
    <n v="0"/>
    <n v="102"/>
    <s v="_x0000_US"/>
  </r>
  <r>
    <x v="1"/>
    <n v="13.685499999999999"/>
    <n v="-89.231999999999999"/>
    <n v="14950"/>
    <n v="0"/>
    <n v="0"/>
    <n v="102"/>
    <s v="_x0000_US"/>
  </r>
  <r>
    <x v="1"/>
    <n v="13.685499999999999"/>
    <n v="-89.231800000000007"/>
    <n v="14950"/>
    <n v="0"/>
    <n v="0"/>
    <n v="102"/>
    <s v="_x0000_US"/>
  </r>
  <r>
    <x v="1"/>
    <n v="13.685499999999999"/>
    <n v="-89.231700000000004"/>
    <n v="14950"/>
    <n v="0"/>
    <n v="0"/>
    <n v="102"/>
    <s v="_x0000_US"/>
  </r>
  <r>
    <x v="1"/>
    <n v="13.6861"/>
    <n v="-89.2316"/>
    <n v="14950"/>
    <n v="0"/>
    <n v="0"/>
    <n v="102"/>
    <s v="_x0000_US"/>
  </r>
  <r>
    <x v="1"/>
    <n v="13.6861"/>
    <n v="-89.231499999999997"/>
    <n v="14950"/>
    <n v="0"/>
    <n v="0"/>
    <n v="102"/>
    <s v="_x0000_US"/>
  </r>
  <r>
    <x v="1"/>
    <n v="13.6861"/>
    <n v="-89.231499999999997"/>
    <n v="14950"/>
    <n v="0"/>
    <n v="0"/>
    <n v="102"/>
    <s v="_x0000_US"/>
  </r>
  <r>
    <x v="1"/>
    <n v="13.686"/>
    <n v="-89.231399999999994"/>
    <n v="14950"/>
    <n v="0"/>
    <n v="0"/>
    <n v="102"/>
    <s v="_x0000_US"/>
  </r>
  <r>
    <x v="1"/>
    <n v="13.686"/>
    <n v="-89.231300000000005"/>
    <n v="14950"/>
    <n v="0"/>
    <n v="0"/>
    <n v="102"/>
    <s v="_x0000_US"/>
  </r>
  <r>
    <x v="1"/>
    <n v="13.686"/>
    <n v="-89.231200000000001"/>
    <n v="14950"/>
    <n v="0"/>
    <n v="0"/>
    <n v="102"/>
    <s v="_x0000_US"/>
  </r>
  <r>
    <x v="1"/>
    <n v="13.686"/>
    <n v="-89.231099999999998"/>
    <n v="14950"/>
    <n v="0"/>
    <n v="0"/>
    <n v="102"/>
    <s v="_x0000_US"/>
  </r>
  <r>
    <x v="1"/>
    <n v="13.6859"/>
    <n v="-89.2316"/>
    <n v="14950"/>
    <n v="0"/>
    <n v="0"/>
    <n v="102"/>
    <s v="_x0000_US"/>
  </r>
  <r>
    <x v="1"/>
    <n v="13.6859"/>
    <n v="-89.231499999999997"/>
    <n v="14950"/>
    <n v="0"/>
    <n v="0"/>
    <n v="102"/>
    <s v="_x0000_US"/>
  </r>
  <r>
    <x v="1"/>
    <n v="13.6859"/>
    <n v="-89.231399999999994"/>
    <n v="14950"/>
    <n v="0"/>
    <n v="0"/>
    <n v="102"/>
    <s v="_x0000_US"/>
  </r>
  <r>
    <x v="1"/>
    <n v="13.6859"/>
    <n v="-89.231300000000005"/>
    <n v="14950"/>
    <n v="0"/>
    <n v="0"/>
    <n v="102"/>
    <s v="_x0000_US"/>
  </r>
  <r>
    <x v="1"/>
    <n v="13.685499999999999"/>
    <n v="-89.2316"/>
    <n v="14950"/>
    <n v="0"/>
    <n v="0"/>
    <n v="102"/>
    <s v="_x0000_US"/>
  </r>
  <r>
    <x v="1"/>
    <n v="13.685499999999999"/>
    <n v="-89.231499999999997"/>
    <n v="14950"/>
    <n v="0"/>
    <n v="0"/>
    <n v="102"/>
    <s v="_x0000_US"/>
  </r>
  <r>
    <x v="1"/>
    <n v="13.6854"/>
    <n v="-89.231399999999994"/>
    <n v="14950"/>
    <n v="0"/>
    <n v="0"/>
    <n v="102"/>
    <s v="_x0000_US"/>
  </r>
  <r>
    <x v="1"/>
    <n v="13.6852"/>
    <n v="-89.231800000000007"/>
    <n v="14950"/>
    <n v="0"/>
    <n v="0"/>
    <n v="102"/>
    <s v="_x0000_US"/>
  </r>
  <r>
    <x v="1"/>
    <n v="13.685"/>
    <n v="-89.231800000000007"/>
    <n v="14950"/>
    <n v="0"/>
    <n v="0"/>
    <n v="102"/>
    <s v="_x0000_US"/>
  </r>
  <r>
    <x v="1"/>
    <n v="13.684900000000001"/>
    <n v="-89.231800000000007"/>
    <n v="14950"/>
    <n v="0"/>
    <n v="0"/>
    <n v="102"/>
    <s v="_x0000_US"/>
  </r>
  <r>
    <x v="1"/>
    <n v="13.684799999999999"/>
    <n v="-89.231800000000007"/>
    <n v="14950"/>
    <n v="0"/>
    <n v="0"/>
    <n v="102"/>
    <s v="_x0000_US"/>
  </r>
  <r>
    <x v="1"/>
    <n v="13.6851"/>
    <n v="-89.230800000000002"/>
    <n v="14950"/>
    <n v="0"/>
    <n v="0"/>
    <n v="102"/>
    <s v="_x0000_US"/>
  </r>
  <r>
    <x v="1"/>
    <n v="13.685"/>
    <n v="-89.230800000000002"/>
    <n v="14950"/>
    <n v="0"/>
    <n v="0"/>
    <n v="102"/>
    <s v="_x0000_US"/>
  </r>
  <r>
    <x v="1"/>
    <n v="13.684900000000001"/>
    <n v="-89.230800000000002"/>
    <n v="14950"/>
    <n v="0"/>
    <n v="0"/>
    <n v="102"/>
    <s v="_x0000_US"/>
  </r>
  <r>
    <x v="1"/>
    <n v="13.6854"/>
    <n v="-89.230699999999999"/>
    <n v="14950"/>
    <n v="0"/>
    <n v="0"/>
    <n v="102"/>
    <s v="_x0000_US"/>
  </r>
  <r>
    <x v="1"/>
    <n v="13.6853"/>
    <n v="-89.230800000000002"/>
    <n v="14950"/>
    <n v="0"/>
    <n v="0"/>
    <n v="102"/>
    <s v="_x0000_US"/>
  </r>
  <r>
    <x v="1"/>
    <n v="13.6852"/>
    <n v="-89.230800000000002"/>
    <n v="14950"/>
    <n v="0"/>
    <n v="0"/>
    <n v="102"/>
    <s v="_x0000_US"/>
  </r>
  <r>
    <x v="1"/>
    <n v="13.685"/>
    <n v="-89.230599999999995"/>
    <n v="14950"/>
    <n v="0"/>
    <n v="0"/>
    <n v="102"/>
    <s v="_x0000_US"/>
  </r>
  <r>
    <x v="1"/>
    <n v="13.6851"/>
    <n v="-89.230500000000006"/>
    <n v="14950"/>
    <n v="0"/>
    <n v="0"/>
    <n v="102"/>
    <s v="_x0000_US"/>
  </r>
  <r>
    <x v="1"/>
    <n v="13.6852"/>
    <n v="-89.230500000000006"/>
    <n v="14950"/>
    <n v="0"/>
    <n v="0"/>
    <n v="102"/>
    <s v="_x0000_US"/>
  </r>
  <r>
    <x v="1"/>
    <n v="13.6852"/>
    <n v="-89.230500000000006"/>
    <n v="14950"/>
    <n v="0"/>
    <n v="0"/>
    <n v="102"/>
    <s v="_x0000_US"/>
  </r>
  <r>
    <x v="1"/>
    <n v="13.6853"/>
    <n v="-89.230500000000006"/>
    <n v="14950"/>
    <n v="0"/>
    <n v="0"/>
    <n v="102"/>
    <s v="_x0000_US"/>
  </r>
  <r>
    <x v="1"/>
    <n v="13.6854"/>
    <n v="-89.230500000000006"/>
    <n v="14950"/>
    <n v="0"/>
    <n v="0"/>
    <n v="102"/>
    <s v="_x0000_US"/>
  </r>
  <r>
    <x v="1"/>
    <n v="13.685499999999999"/>
    <n v="-89.230400000000003"/>
    <n v="14950"/>
    <n v="0"/>
    <n v="0"/>
    <n v="102"/>
    <s v="_x0000_US"/>
  </r>
  <r>
    <x v="1"/>
    <n v="13.685600000000001"/>
    <n v="-89.230400000000003"/>
    <n v="14950"/>
    <n v="0"/>
    <n v="0"/>
    <n v="102"/>
    <s v="_x0000_US"/>
  </r>
  <r>
    <x v="1"/>
    <n v="13.6858"/>
    <n v="-89.230400000000003"/>
    <n v="14950"/>
    <n v="0"/>
    <n v="0"/>
    <n v="102"/>
    <s v="_x0000_US"/>
  </r>
  <r>
    <x v="1"/>
    <n v="13.6859"/>
    <n v="-89.2303"/>
    <n v="14950"/>
    <n v="0"/>
    <n v="0"/>
    <n v="102"/>
    <s v="_x0000_US"/>
  </r>
  <r>
    <x v="1"/>
    <n v="13.686"/>
    <n v="-89.2303"/>
    <n v="14950"/>
    <n v="0"/>
    <n v="0"/>
    <n v="102"/>
    <s v="_x0000_US"/>
  </r>
  <r>
    <x v="1"/>
    <n v="13.6861"/>
    <n v="-89.2303"/>
    <n v="14950"/>
    <n v="0"/>
    <n v="0"/>
    <n v="102"/>
    <s v="_x0000_US"/>
  </r>
  <r>
    <x v="1"/>
    <n v="13.685"/>
    <n v="-89.230199999999996"/>
    <n v="14950"/>
    <n v="0"/>
    <n v="0"/>
    <n v="102"/>
    <s v="_x0000_US"/>
  </r>
  <r>
    <x v="1"/>
    <n v="13.6852"/>
    <n v="-89.230199999999996"/>
    <n v="14950"/>
    <n v="0"/>
    <n v="0"/>
    <n v="102"/>
    <s v="_x0000_US"/>
  </r>
  <r>
    <x v="1"/>
    <n v="13.6853"/>
    <n v="-89.230199999999996"/>
    <n v="14950"/>
    <n v="0"/>
    <n v="0"/>
    <n v="102"/>
    <s v="_x0000_US"/>
  </r>
  <r>
    <x v="1"/>
    <n v="13.6854"/>
    <n v="-89.230199999999996"/>
    <n v="14950"/>
    <n v="0"/>
    <n v="0"/>
    <n v="102"/>
    <s v="_x0000_US"/>
  </r>
  <r>
    <x v="1"/>
    <n v="13.685499999999999"/>
    <n v="-89.230099999999993"/>
    <n v="14950"/>
    <n v="0"/>
    <n v="0"/>
    <n v="102"/>
    <s v="_x0000_US"/>
  </r>
  <r>
    <x v="1"/>
    <n v="13.685600000000001"/>
    <n v="-89.230099999999993"/>
    <n v="14950"/>
    <n v="0"/>
    <n v="0"/>
    <n v="102"/>
    <s v="_x0000_US"/>
  </r>
  <r>
    <x v="1"/>
    <n v="13.685700000000001"/>
    <n v="-89.230099999999993"/>
    <n v="14950"/>
    <n v="0"/>
    <n v="0"/>
    <n v="102"/>
    <s v="_x0000_US"/>
  </r>
  <r>
    <x v="1"/>
    <n v="13.685700000000001"/>
    <n v="-89.23"/>
    <n v="14950"/>
    <n v="0"/>
    <n v="0"/>
    <n v="102"/>
    <s v="_x0000_US"/>
  </r>
  <r>
    <x v="1"/>
    <n v="13.684699999999999"/>
    <n v="-89.23"/>
    <n v="14950"/>
    <n v="0"/>
    <n v="0"/>
    <n v="102"/>
    <s v="_x0000_US"/>
  </r>
  <r>
    <x v="1"/>
    <n v="13.684900000000001"/>
    <n v="-89.23"/>
    <n v="14950"/>
    <n v="0"/>
    <n v="0"/>
    <n v="102"/>
    <s v="_x0000_US"/>
  </r>
  <r>
    <x v="1"/>
    <n v="13.685"/>
    <n v="-89.2303"/>
    <n v="14950"/>
    <n v="0"/>
    <n v="0"/>
    <n v="102"/>
    <s v="_x0000_US"/>
  </r>
  <r>
    <x v="1"/>
    <n v="13.684799999999999"/>
    <n v="-89.2303"/>
    <n v="14950"/>
    <n v="0"/>
    <n v="0"/>
    <n v="102"/>
    <s v="_x0000_US"/>
  </r>
  <r>
    <x v="1"/>
    <n v="13.684799999999999"/>
    <n v="-89.2303"/>
    <n v="14950"/>
    <n v="0"/>
    <n v="0"/>
    <n v="102"/>
    <s v="_x0000_US"/>
  </r>
  <r>
    <x v="1"/>
    <n v="13.684900000000001"/>
    <n v="-89.230599999999995"/>
    <n v="14950"/>
    <n v="0"/>
    <n v="0"/>
    <n v="102"/>
    <s v="_x0000_US"/>
  </r>
  <r>
    <x v="1"/>
    <n v="13.685"/>
    <n v="-89.23"/>
    <n v="14950"/>
    <n v="0"/>
    <n v="0"/>
    <n v="102"/>
    <s v="_x0000_US"/>
  </r>
  <r>
    <x v="1"/>
    <n v="13.6852"/>
    <n v="-89.229900000000001"/>
    <n v="14950"/>
    <n v="0"/>
    <n v="0"/>
    <n v="102"/>
    <s v="_x0000_US"/>
  </r>
  <r>
    <x v="1"/>
    <n v="13.6852"/>
    <n v="-89.229600000000005"/>
    <n v="14950"/>
    <n v="0"/>
    <n v="0"/>
    <n v="102"/>
    <s v="_x0000_US"/>
  </r>
  <r>
    <x v="1"/>
    <n v="13.685"/>
    <n v="-89.229600000000005"/>
    <n v="14950"/>
    <n v="0"/>
    <n v="0"/>
    <n v="102"/>
    <s v="_x0000_US"/>
  </r>
  <r>
    <x v="1"/>
    <n v="13.684799999999999"/>
    <n v="-89.229699999999994"/>
    <n v="14950"/>
    <n v="0"/>
    <n v="0"/>
    <n v="102"/>
    <s v="_x0000_US"/>
  </r>
  <r>
    <x v="1"/>
    <n v="13.6838"/>
    <n v="-89.227900000000005"/>
    <n v="14950"/>
    <n v="0"/>
    <n v="0"/>
    <n v="102"/>
    <s v="_x0000_US"/>
  </r>
  <r>
    <x v="1"/>
    <n v="13.6838"/>
    <n v="-89.227999999999994"/>
    <n v="14950"/>
    <n v="0"/>
    <n v="0"/>
    <n v="102"/>
    <s v="_x0000_US"/>
  </r>
  <r>
    <x v="1"/>
    <n v="13.6838"/>
    <n v="-89.228099999999998"/>
    <n v="14950"/>
    <n v="0"/>
    <n v="0"/>
    <n v="102"/>
    <s v="_x0000_US"/>
  </r>
  <r>
    <x v="1"/>
    <n v="13.6838"/>
    <n v="-89.228300000000004"/>
    <n v="14950"/>
    <n v="0"/>
    <n v="0"/>
    <n v="102"/>
    <s v="_x0000_US"/>
  </r>
  <r>
    <x v="1"/>
    <n v="13.6838"/>
    <n v="-89.228399999999993"/>
    <n v="14950"/>
    <n v="0"/>
    <n v="0"/>
    <n v="102"/>
    <s v="_x0000_US"/>
  </r>
  <r>
    <x v="1"/>
    <n v="13.6838"/>
    <n v="-89.2286"/>
    <n v="14950"/>
    <n v="0"/>
    <n v="0"/>
    <n v="102"/>
    <s v="_x0000_US"/>
  </r>
  <r>
    <x v="1"/>
    <n v="13.6838"/>
    <n v="-89.228700000000003"/>
    <n v="14950"/>
    <n v="0"/>
    <n v="0"/>
    <n v="102"/>
    <s v="_x0000_US"/>
  </r>
  <r>
    <x v="1"/>
    <n v="13.6838"/>
    <n v="-89.228899999999996"/>
    <n v="14950"/>
    <n v="0"/>
    <n v="0"/>
    <n v="102"/>
    <s v="_x0000_US"/>
  </r>
  <r>
    <x v="1"/>
    <n v="13.6838"/>
    <n v="-89.228999999999999"/>
    <n v="14950"/>
    <n v="0"/>
    <n v="0"/>
    <n v="102"/>
    <s v="_x0000_US"/>
  </r>
  <r>
    <x v="1"/>
    <n v="13.6836"/>
    <n v="-89.229100000000003"/>
    <n v="14950"/>
    <n v="0"/>
    <n v="0"/>
    <n v="102"/>
    <s v="_x0000_US"/>
  </r>
  <r>
    <x v="1"/>
    <n v="13.6835"/>
    <n v="-89.229500000000002"/>
    <n v="14950"/>
    <n v="0"/>
    <n v="0"/>
    <n v="102"/>
    <s v="_x0000_US"/>
  </r>
  <r>
    <x v="1"/>
    <n v="13.6835"/>
    <n v="-89.227999999999994"/>
    <n v="14950"/>
    <n v="0"/>
    <n v="0"/>
    <n v="102"/>
    <s v="_x0000_US"/>
  </r>
  <r>
    <x v="1"/>
    <n v="13.6835"/>
    <n v="-89.227800000000002"/>
    <n v="14950"/>
    <n v="0"/>
    <n v="0"/>
    <n v="102"/>
    <s v="_x0000_US"/>
  </r>
  <r>
    <x v="1"/>
    <n v="13.683400000000001"/>
    <n v="-89.229299999999995"/>
    <n v="14950"/>
    <n v="0"/>
    <n v="0"/>
    <n v="102"/>
    <s v="_x0000_US"/>
  </r>
  <r>
    <x v="1"/>
    <n v="13.683299999999999"/>
    <n v="-89.229200000000006"/>
    <n v="14950"/>
    <n v="0"/>
    <n v="0"/>
    <n v="102"/>
    <s v="_x0000_US"/>
  </r>
  <r>
    <x v="1"/>
    <n v="13.6831"/>
    <n v="-89.229299999999995"/>
    <n v="14950"/>
    <n v="0"/>
    <n v="0"/>
    <n v="102"/>
    <s v="_x0000_US"/>
  </r>
  <r>
    <x v="1"/>
    <n v="13.6831"/>
    <n v="-89.229200000000006"/>
    <n v="14950"/>
    <n v="0"/>
    <n v="0"/>
    <n v="102"/>
    <s v="_x0000_US"/>
  </r>
  <r>
    <x v="1"/>
    <n v="13.6831"/>
    <n v="-89.229100000000003"/>
    <n v="14950"/>
    <n v="0"/>
    <n v="0"/>
    <n v="102"/>
    <s v="_x0000_US"/>
  </r>
  <r>
    <x v="1"/>
    <n v="13.6831"/>
    <n v="-89.229100000000003"/>
    <n v="14950"/>
    <n v="0"/>
    <n v="0"/>
    <n v="102"/>
    <s v="_x0000_US"/>
  </r>
  <r>
    <x v="1"/>
    <n v="13.683199999999999"/>
    <n v="-89.228999999999999"/>
    <n v="14950"/>
    <n v="0"/>
    <n v="0"/>
    <n v="102"/>
    <s v="_x0000_US"/>
  </r>
  <r>
    <x v="1"/>
    <n v="13.683199999999999"/>
    <n v="-89.228899999999996"/>
    <n v="14950"/>
    <n v="0"/>
    <n v="0"/>
    <n v="102"/>
    <s v="_x0000_US"/>
  </r>
  <r>
    <x v="1"/>
    <n v="13.683299999999999"/>
    <n v="-89.228700000000003"/>
    <n v="14950"/>
    <n v="0"/>
    <n v="0"/>
    <n v="102"/>
    <s v="_x0000_US"/>
  </r>
  <r>
    <x v="1"/>
    <n v="13.683400000000001"/>
    <n v="-89.228499999999997"/>
    <n v="14950"/>
    <n v="0"/>
    <n v="0"/>
    <n v="102"/>
    <s v="_x0000_US"/>
  </r>
  <r>
    <x v="1"/>
    <n v="13.683400000000001"/>
    <n v="-89.228399999999993"/>
    <n v="14950"/>
    <n v="0"/>
    <n v="0"/>
    <n v="102"/>
    <s v="_x0000_US"/>
  </r>
  <r>
    <x v="1"/>
    <n v="13.683400000000001"/>
    <n v="-89.228200000000001"/>
    <n v="14950"/>
    <n v="0"/>
    <n v="0"/>
    <n v="102"/>
    <s v="_x0000_US"/>
  </r>
  <r>
    <x v="1"/>
    <n v="13.683400000000001"/>
    <n v="-89.228099999999998"/>
    <n v="14950"/>
    <n v="0"/>
    <n v="0"/>
    <n v="102"/>
    <s v="_x0000_US"/>
  </r>
  <r>
    <x v="1"/>
    <n v="13.6828"/>
    <n v="-89.229399999999998"/>
    <n v="14950"/>
    <n v="0"/>
    <n v="0"/>
    <n v="102"/>
    <s v="_x0000_US"/>
  </r>
  <r>
    <x v="1"/>
    <n v="13.6829"/>
    <n v="-89.229299999999995"/>
    <n v="14950"/>
    <n v="0"/>
    <n v="0"/>
    <n v="102"/>
    <s v="_x0000_US"/>
  </r>
  <r>
    <x v="1"/>
    <n v="13.6829"/>
    <n v="-89.229200000000006"/>
    <n v="14950"/>
    <n v="0"/>
    <n v="0"/>
    <n v="102"/>
    <s v="_x0000_US"/>
  </r>
  <r>
    <x v="1"/>
    <n v="13.683"/>
    <n v="-89.228300000000004"/>
    <n v="14950"/>
    <n v="0"/>
    <n v="0"/>
    <n v="102"/>
    <s v="_x0000_US"/>
  </r>
  <r>
    <x v="1"/>
    <n v="13.6831"/>
    <n v="-89.228200000000001"/>
    <n v="14950"/>
    <n v="0"/>
    <n v="0"/>
    <n v="102"/>
    <s v="_x0000_US"/>
  </r>
  <r>
    <x v="1"/>
    <n v="13.6831"/>
    <n v="-89.227900000000005"/>
    <n v="14950"/>
    <n v="0"/>
    <n v="0"/>
    <n v="102"/>
    <s v="_x0000_US"/>
  </r>
  <r>
    <x v="1"/>
    <n v="13.6831"/>
    <n v="-89.227800000000002"/>
    <n v="14950"/>
    <n v="0"/>
    <n v="0"/>
    <n v="102"/>
    <s v="_x0000_US"/>
  </r>
  <r>
    <x v="1"/>
    <n v="13.683199999999999"/>
    <n v="-89.227699999999999"/>
    <n v="14950"/>
    <n v="0"/>
    <n v="0"/>
    <n v="102"/>
    <s v="_x0000_US"/>
  </r>
  <r>
    <x v="1"/>
    <n v="13.683199999999999"/>
    <n v="-89.227599999999995"/>
    <n v="14950"/>
    <n v="0"/>
    <n v="0"/>
    <n v="102"/>
    <s v="_x0000_US"/>
  </r>
  <r>
    <x v="1"/>
    <n v="13.683199999999999"/>
    <n v="-89.227500000000006"/>
    <n v="14950"/>
    <n v="0"/>
    <n v="0"/>
    <n v="102"/>
    <s v="_x0000_US"/>
  </r>
  <r>
    <x v="1"/>
    <n v="13.683199999999999"/>
    <n v="-89.227400000000003"/>
    <n v="14950"/>
    <n v="0"/>
    <n v="0"/>
    <n v="102"/>
    <s v="_x0000_US"/>
  </r>
  <r>
    <x v="1"/>
    <n v="13.683199999999999"/>
    <n v="-89.227199999999996"/>
    <n v="14950"/>
    <n v="0"/>
    <n v="0"/>
    <n v="102"/>
    <s v="_x0000_US"/>
  </r>
  <r>
    <x v="1"/>
    <n v="13.683199999999999"/>
    <n v="-89.227099999999993"/>
    <n v="14950"/>
    <n v="0"/>
    <n v="0"/>
    <n v="102"/>
    <s v="_x0000_US"/>
  </r>
  <r>
    <x v="1"/>
    <n v="13.6942"/>
    <n v="-89.180099999999996"/>
    <n v="14300"/>
    <n v="0"/>
    <n v="0"/>
    <n v="102"/>
    <s v="_x0000_US"/>
  </r>
  <r>
    <x v="1"/>
    <n v="13.6942"/>
    <n v="-89.180099999999996"/>
    <n v="14300"/>
    <n v="0"/>
    <n v="0"/>
    <n v="102"/>
    <s v="_x0000_US"/>
  </r>
  <r>
    <x v="1"/>
    <n v="13.6942"/>
    <n v="-89.180099999999996"/>
    <n v="14300"/>
    <n v="0"/>
    <n v="0"/>
    <n v="102"/>
    <s v="_x0000_US"/>
  </r>
  <r>
    <x v="1"/>
    <n v="13.6942"/>
    <n v="-89.180099999999996"/>
    <n v="14300"/>
    <n v="0"/>
    <n v="0"/>
    <n v="102"/>
    <s v="_x0000_US"/>
  </r>
  <r>
    <x v="1"/>
    <n v="13.694100000000001"/>
    <n v="-89.180099999999996"/>
    <n v="14300"/>
    <n v="0"/>
    <n v="0"/>
    <n v="102"/>
    <s v="_x0000_US"/>
  </r>
  <r>
    <x v="1"/>
    <n v="13.6942"/>
    <n v="-89.180099999999996"/>
    <n v="14300"/>
    <n v="0"/>
    <n v="0"/>
    <n v="102"/>
    <s v="_x0000_US"/>
  </r>
  <r>
    <x v="1"/>
    <n v="13.6942"/>
    <n v="-89.180099999999996"/>
    <n v="14300"/>
    <n v="0"/>
    <n v="0"/>
    <n v="102"/>
    <s v="_x0000_US"/>
  </r>
  <r>
    <x v="1"/>
    <n v="13.6942"/>
    <n v="-89.18"/>
    <n v="14300"/>
    <n v="0"/>
    <n v="0"/>
    <n v="102"/>
    <s v="_x0000_US"/>
  </r>
  <r>
    <x v="1"/>
    <n v="13.6942"/>
    <n v="-89.18"/>
    <n v="14300"/>
    <n v="0"/>
    <n v="0"/>
    <n v="102"/>
    <s v="_x0000_US"/>
  </r>
  <r>
    <x v="1"/>
    <n v="13.694100000000001"/>
    <n v="-89.18"/>
    <n v="14300"/>
    <n v="0"/>
    <n v="0"/>
    <n v="102"/>
    <s v="_x0000_US"/>
  </r>
  <r>
    <x v="1"/>
    <n v="13.694100000000001"/>
    <n v="-89.18"/>
    <n v="14300"/>
    <n v="0"/>
    <n v="0"/>
    <n v="102"/>
    <s v="_x0000_US"/>
  </r>
  <r>
    <x v="1"/>
    <n v="13.694100000000001"/>
    <n v="-89.18"/>
    <n v="14300"/>
    <n v="0"/>
    <n v="0"/>
    <n v="102"/>
    <s v="_x0000_US"/>
  </r>
  <r>
    <x v="1"/>
    <n v="13.694100000000001"/>
    <n v="-89.18"/>
    <n v="14300"/>
    <n v="0"/>
    <n v="0"/>
    <n v="102"/>
    <s v="_x0000_US"/>
  </r>
  <r>
    <x v="1"/>
    <n v="13.694000000000001"/>
    <n v="-89.18"/>
    <n v="14300"/>
    <n v="0"/>
    <n v="0"/>
    <n v="102"/>
    <s v="_x0000_US"/>
  </r>
  <r>
    <x v="1"/>
    <n v="13.686199999999999"/>
    <n v="-89.2316"/>
    <n v="13650"/>
    <n v="0"/>
    <n v="0"/>
    <n v="102"/>
    <s v="_x0000_US"/>
  </r>
  <r>
    <x v="1"/>
    <n v="13.686199999999999"/>
    <n v="-89.231499999999997"/>
    <n v="13650"/>
    <n v="0"/>
    <n v="0"/>
    <n v="102"/>
    <s v="_x0000_US"/>
  </r>
  <r>
    <x v="1"/>
    <n v="13.686199999999999"/>
    <n v="-89.231499999999997"/>
    <n v="13650"/>
    <n v="0"/>
    <n v="0"/>
    <n v="102"/>
    <s v="_x0000_US"/>
  </r>
  <r>
    <x v="1"/>
    <n v="13.686199999999999"/>
    <n v="-89.231399999999994"/>
    <n v="13650"/>
    <n v="0"/>
    <n v="0"/>
    <n v="102"/>
    <s v="_x0000_US"/>
  </r>
  <r>
    <x v="1"/>
    <n v="13.686199999999999"/>
    <n v="-89.231399999999994"/>
    <n v="13650"/>
    <n v="0"/>
    <n v="0"/>
    <n v="102"/>
    <s v="_x0000_US"/>
  </r>
  <r>
    <x v="1"/>
    <n v="13.686199999999999"/>
    <n v="-89.231300000000005"/>
    <n v="13650"/>
    <n v="0"/>
    <n v="0"/>
    <n v="102"/>
    <s v="_x0000_US"/>
  </r>
  <r>
    <x v="1"/>
    <n v="13.686199999999999"/>
    <n v="-89.231300000000005"/>
    <n v="13650"/>
    <n v="0"/>
    <n v="0"/>
    <n v="102"/>
    <s v="_x0000_US"/>
  </r>
  <r>
    <x v="1"/>
    <n v="13.686199999999999"/>
    <n v="-89.231300000000005"/>
    <n v="13650"/>
    <n v="0"/>
    <n v="0"/>
    <n v="102"/>
    <s v="_x0000_US"/>
  </r>
  <r>
    <x v="1"/>
    <n v="13.686199999999999"/>
    <n v="-89.231200000000001"/>
    <n v="13650"/>
    <n v="0"/>
    <n v="0"/>
    <n v="102"/>
    <s v="_x0000_US"/>
  </r>
  <r>
    <x v="1"/>
    <n v="13.686199999999999"/>
    <n v="-89.231200000000001"/>
    <n v="13650"/>
    <n v="0"/>
    <n v="0"/>
    <n v="102"/>
    <s v="_x0000_US"/>
  </r>
  <r>
    <x v="1"/>
    <n v="13.686199999999999"/>
    <n v="-89.231099999999998"/>
    <n v="13650"/>
    <n v="0"/>
    <n v="0"/>
    <n v="102"/>
    <s v="_x0000_US"/>
  </r>
  <r>
    <x v="1"/>
    <n v="13.678599999999999"/>
    <n v="-89.239900000000006"/>
    <n v="13650"/>
    <n v="0"/>
    <n v="0"/>
    <n v="102"/>
    <s v="_x0000_US"/>
  </r>
  <r>
    <x v="2"/>
    <n v="13.691599999999999"/>
    <n v="-89.229900000000001"/>
    <n v="52500"/>
    <n v="0"/>
    <n v="0"/>
    <n v="103"/>
    <s v="_x0000_US"/>
  </r>
  <r>
    <x v="2"/>
    <n v="13.683999999999999"/>
    <n v="-89.191900000000004"/>
    <n v="105000"/>
    <n v="0"/>
    <n v="0"/>
    <n v="103"/>
    <s v="_x0000_US"/>
  </r>
  <r>
    <x v="2"/>
    <n v="13.686500000000001"/>
    <n v="-89.207099999999997"/>
    <n v="105000"/>
    <n v="0"/>
    <n v="0"/>
    <n v="103"/>
    <s v="_x0000_US"/>
  </r>
  <r>
    <x v="2"/>
    <n v="13.6798"/>
    <n v="-89.200800000000001"/>
    <n v="255000"/>
    <n v="0"/>
    <n v="0"/>
    <n v="103"/>
    <s v="_x0000_US"/>
  </r>
  <r>
    <x v="3"/>
    <n v="13.693199999999999"/>
    <n v="-89.182299999999998"/>
    <n v="251300"/>
    <n v="0"/>
    <n v="0"/>
    <n v="104"/>
    <s v="_x0000_US"/>
  </r>
  <r>
    <x v="3"/>
    <n v="13.6739"/>
    <n v="-89.202500000000001"/>
    <n v="33200"/>
    <n v="0"/>
    <n v="0"/>
    <n v="104"/>
    <s v="_x0000_US"/>
  </r>
  <r>
    <x v="3"/>
    <n v="13.691700000000001"/>
    <n v="-89.193299999999994"/>
    <n v="189000"/>
    <n v="0"/>
    <n v="0"/>
    <n v="104"/>
    <s v="_x0000_US"/>
  </r>
  <r>
    <x v="3"/>
    <n v="13.693199999999999"/>
    <n v="-89.192300000000003"/>
    <n v="86400"/>
    <n v="0"/>
    <n v="0"/>
    <n v="104"/>
    <s v="_x0000_US"/>
  </r>
  <r>
    <x v="3"/>
    <n v="13.6913"/>
    <n v="-89.226699999999994"/>
    <n v="40000"/>
    <n v="0"/>
    <n v="0"/>
    <n v="104"/>
    <s v="_x0000_US"/>
  </r>
  <r>
    <x v="3"/>
    <n v="13.6897"/>
    <n v="-89.236199999999997"/>
    <n v="82800"/>
    <n v="0"/>
    <n v="0"/>
    <n v="104"/>
    <s v="_x0000_US"/>
  </r>
  <r>
    <x v="3"/>
    <n v="13.6883"/>
    <n v="-89.209199999999996"/>
    <n v="41800"/>
    <n v="0"/>
    <n v="0"/>
    <n v="104"/>
    <s v="_x0000_US"/>
  </r>
  <r>
    <x v="3"/>
    <n v="13.693199999999999"/>
    <n v="-89.223200000000006"/>
    <n v="644000"/>
    <n v="0"/>
    <n v="0"/>
    <n v="104"/>
    <s v="_x0000_US"/>
  </r>
  <r>
    <x v="3"/>
    <n v="13.690300000000001"/>
    <n v="-89.192899999999995"/>
    <n v="96250"/>
    <n v="0"/>
    <n v="0"/>
    <n v="104"/>
    <s v="_x0000_US"/>
  </r>
  <r>
    <x v="3"/>
    <n v="13.6821"/>
    <n v="-89.196600000000004"/>
    <n v="157500"/>
    <n v="0"/>
    <n v="0"/>
    <n v="104"/>
    <s v="_x0000_US"/>
  </r>
  <r>
    <x v="3"/>
    <n v="13.673999999999999"/>
    <n v="-89.2012"/>
    <n v="157500"/>
    <n v="0"/>
    <n v="0"/>
    <n v="104"/>
    <s v="_x0000_US"/>
  </r>
  <r>
    <x v="3"/>
    <n v="13.682"/>
    <n v="-89.197699999999998"/>
    <n v="157500"/>
    <n v="0"/>
    <n v="0"/>
    <n v="104"/>
    <s v="_x0000_US"/>
  </r>
  <r>
    <x v="3"/>
    <n v="13.684900000000001"/>
    <n v="-89.195700000000002"/>
    <n v="325500"/>
    <n v="0"/>
    <n v="0"/>
    <n v="104"/>
    <s v="_x0000_US"/>
  </r>
  <r>
    <x v="3"/>
    <n v="13.686400000000001"/>
    <n v="-89.190100000000001"/>
    <n v="161000"/>
    <n v="0"/>
    <n v="0"/>
    <n v="104"/>
    <s v="_x0000_US"/>
  </r>
  <r>
    <x v="3"/>
    <n v="13.686299999999999"/>
    <n v="-89.191999999999993"/>
    <n v="30000"/>
    <n v="0"/>
    <n v="0"/>
    <n v="104"/>
    <s v="_x0000_US"/>
  </r>
  <r>
    <x v="3"/>
    <n v="13.6813"/>
    <n v="-89.242900000000006"/>
    <n v="2527000"/>
    <n v="0"/>
    <n v="0"/>
    <n v="104"/>
    <s v="_x0000_US"/>
  </r>
  <r>
    <x v="3"/>
    <n v="13.6816"/>
    <n v="-89.242599999999996"/>
    <n v="101500"/>
    <n v="0"/>
    <n v="0"/>
    <n v="104"/>
    <s v="_x0000_US"/>
  </r>
  <r>
    <x v="3"/>
    <n v="13.6831"/>
    <n v="-89.238799999999998"/>
    <n v="70200"/>
    <n v="0"/>
    <n v="0"/>
    <n v="104"/>
    <s v="_x0000_US"/>
  </r>
  <r>
    <x v="3"/>
    <n v="13.687200000000001"/>
    <n v="-89.1905"/>
    <n v="211855"/>
    <n v="0"/>
    <n v="0"/>
    <n v="104"/>
    <s v="_x0000_US"/>
  </r>
  <r>
    <x v="3"/>
    <n v="13.6904"/>
    <n v="-89.2012"/>
    <n v="36000"/>
    <n v="0"/>
    <n v="0"/>
    <n v="104"/>
    <s v="_x0000_US"/>
  </r>
  <r>
    <x v="3"/>
    <n v="13.679600000000001"/>
    <n v="-89.242199999999997"/>
    <n v="1135800"/>
    <n v="0"/>
    <n v="0"/>
    <n v="104"/>
    <s v="_x0000_US"/>
  </r>
  <r>
    <x v="4"/>
    <n v="13.675000000000001"/>
    <n v="-89.250900000000001"/>
    <n v="7.16"/>
    <n v="0"/>
    <n v="0"/>
    <n v="105"/>
    <s v="_x0000_US"/>
  </r>
  <r>
    <x v="4"/>
    <n v="13.674799999999999"/>
    <n v="-89.250799999999998"/>
    <n v="343.68"/>
    <n v="0"/>
    <n v="0"/>
    <n v="105"/>
    <s v="_x0000_US"/>
  </r>
  <r>
    <x v="4"/>
    <n v="13.6746"/>
    <n v="-89.250699999999995"/>
    <n v="78.760000000000005"/>
    <n v="0"/>
    <n v="0"/>
    <n v="105"/>
    <s v="_x0000_US"/>
  </r>
  <r>
    <x v="4"/>
    <n v="13.6745"/>
    <n v="-89.250699999999995"/>
    <n v="107.4"/>
    <n v="0"/>
    <n v="0"/>
    <n v="105"/>
    <s v="_x0000_US"/>
  </r>
  <r>
    <x v="4"/>
    <n v="13.6744"/>
    <n v="-89.250699999999995"/>
    <n v="234.64"/>
    <n v="0"/>
    <n v="0"/>
    <n v="105"/>
    <s v="_x0000_US"/>
  </r>
  <r>
    <x v="4"/>
    <n v="13.6751"/>
    <n v="-89.250699999999995"/>
    <n v="236.28"/>
    <n v="0"/>
    <n v="0"/>
    <n v="105"/>
    <s v="_x0000_US"/>
  </r>
  <r>
    <x v="4"/>
    <n v="13.6782"/>
    <n v="-89.250699999999995"/>
    <n v="536.32000000000005"/>
    <n v="0"/>
    <n v="0"/>
    <n v="105"/>
    <s v="_x0000_US"/>
  </r>
  <r>
    <x v="4"/>
    <n v="13.6782"/>
    <n v="-89.250699999999995"/>
    <n v="603.36"/>
    <n v="0"/>
    <n v="0"/>
    <n v="105"/>
    <s v="_x0000_US"/>
  </r>
  <r>
    <x v="4"/>
    <n v="13.674799999999999"/>
    <n v="-89.250600000000006"/>
    <n v="71.599999999999994"/>
    <n v="0"/>
    <n v="0"/>
    <n v="105"/>
    <s v="_x0000_US"/>
  </r>
  <r>
    <x v="4"/>
    <n v="13.674300000000001"/>
    <n v="-89.250600000000006"/>
    <n v="193.32"/>
    <n v="0"/>
    <n v="0"/>
    <n v="105"/>
    <s v="_x0000_US"/>
  </r>
  <r>
    <x v="4"/>
    <n v="13.675000000000001"/>
    <n v="-89.250600000000006"/>
    <n v="214.8"/>
    <n v="0"/>
    <n v="0"/>
    <n v="105"/>
    <s v="_x0000_US"/>
  </r>
  <r>
    <x v="4"/>
    <n v="13.6762"/>
    <n v="-89.250600000000006"/>
    <n v="1340.8"/>
    <n v="0"/>
    <n v="0"/>
    <n v="105"/>
    <s v="_x0000_US"/>
  </r>
  <r>
    <x v="4"/>
    <n v="13.674899999999999"/>
    <n v="-89.250399999999999"/>
    <n v="257.76"/>
    <n v="0"/>
    <n v="0"/>
    <n v="105"/>
    <s v="_x0000_US"/>
  </r>
  <r>
    <x v="4"/>
    <n v="13.678599999999999"/>
    <n v="-89.250399999999999"/>
    <n v="402.24"/>
    <n v="0"/>
    <n v="0"/>
    <n v="105"/>
    <s v="_x0000_US"/>
  </r>
  <r>
    <x v="4"/>
    <n v="13.6746"/>
    <n v="-89.250399999999999"/>
    <n v="854.76"/>
    <n v="0"/>
    <n v="0"/>
    <n v="105"/>
    <s v="_x0000_US"/>
  </r>
  <r>
    <x v="4"/>
    <n v="13.674200000000001"/>
    <n v="-89.250299999999996"/>
    <n v="307.88"/>
    <n v="0"/>
    <n v="0"/>
    <n v="105"/>
    <s v="_x0000_US"/>
  </r>
  <r>
    <x v="4"/>
    <n v="13.6782"/>
    <n v="-89.250299999999996"/>
    <n v="938.56"/>
    <n v="0"/>
    <n v="0"/>
    <n v="105"/>
    <s v="_x0000_US"/>
  </r>
  <r>
    <x v="4"/>
    <n v="13.6784"/>
    <n v="-89.250200000000007"/>
    <n v="100.56"/>
    <n v="0"/>
    <n v="0"/>
    <n v="105"/>
    <s v="_x0000_US"/>
  </r>
  <r>
    <x v="4"/>
    <n v="13.674799999999999"/>
    <n v="-89.250200000000007"/>
    <n v="184.36"/>
    <n v="0"/>
    <n v="0"/>
    <n v="105"/>
    <s v="_x0000_US"/>
  </r>
  <r>
    <x v="4"/>
    <n v="13.6785"/>
    <n v="-89.250200000000007"/>
    <n v="419"/>
    <n v="0"/>
    <n v="0"/>
    <n v="105"/>
    <s v="_x0000_US"/>
  </r>
  <r>
    <x v="4"/>
    <n v="13.6752"/>
    <n v="-89.250200000000007"/>
    <n v="651.55999999999995"/>
    <n v="0"/>
    <n v="0"/>
    <n v="105"/>
    <s v="_x0000_US"/>
  </r>
  <r>
    <x v="4"/>
    <n v="13.678000000000001"/>
    <n v="-89.250200000000007"/>
    <n v="1173.2"/>
    <n v="0"/>
    <n v="0"/>
    <n v="105"/>
    <s v="_x0000_US"/>
  </r>
  <r>
    <x v="4"/>
    <n v="13.675000000000001"/>
    <n v="-89.250100000000003"/>
    <n v="250.6"/>
    <n v="0"/>
    <n v="0"/>
    <n v="105"/>
    <s v="_x0000_US"/>
  </r>
  <r>
    <x v="4"/>
    <n v="13.678699999999999"/>
    <n v="-89.250100000000003"/>
    <n v="435.76"/>
    <n v="0"/>
    <n v="0"/>
    <n v="105"/>
    <s v="_x0000_US"/>
  </r>
  <r>
    <x v="4"/>
    <n v="13.676500000000001"/>
    <n v="-89.250100000000003"/>
    <n v="905.04"/>
    <n v="0"/>
    <n v="0"/>
    <n v="105"/>
    <s v="_x0000_US"/>
  </r>
  <r>
    <x v="4"/>
    <n v="13.678100000000001"/>
    <n v="-89.250100000000003"/>
    <n v="1039.1199999999999"/>
    <n v="0"/>
    <n v="0"/>
    <n v="105"/>
    <s v="_x0000_US"/>
  </r>
  <r>
    <x v="4"/>
    <n v="13.678599999999999"/>
    <n v="-89.25"/>
    <n v="419"/>
    <n v="0"/>
    <n v="0"/>
    <n v="105"/>
    <s v="_x0000_US"/>
  </r>
  <r>
    <x v="4"/>
    <n v="13.676399999999999"/>
    <n v="-89.25"/>
    <n v="565.64"/>
    <n v="0"/>
    <n v="0"/>
    <n v="105"/>
    <s v="_x0000_US"/>
  </r>
  <r>
    <x v="4"/>
    <n v="13.6778"/>
    <n v="-89.249899999999997"/>
    <n v="385.48"/>
    <n v="0"/>
    <n v="0"/>
    <n v="105"/>
    <s v="_x0000_US"/>
  </r>
  <r>
    <x v="4"/>
    <n v="13.6768"/>
    <n v="-89.249499999999998"/>
    <n v="1357.56"/>
    <n v="0"/>
    <n v="0"/>
    <n v="105"/>
    <s v="_x0000_US"/>
  </r>
  <r>
    <x v="4"/>
    <n v="13.677300000000001"/>
    <n v="-89.249499999999998"/>
    <n v="1743.04"/>
    <n v="0"/>
    <n v="0"/>
    <n v="105"/>
    <s v="_x0000_US"/>
  </r>
  <r>
    <x v="4"/>
    <n v="13.677099999999999"/>
    <n v="-89.249499999999998"/>
    <n v="2413.44"/>
    <n v="0"/>
    <n v="0"/>
    <n v="105"/>
    <s v="_x0000_US"/>
  </r>
  <r>
    <x v="4"/>
    <n v="13.6751"/>
    <n v="-89.249499999999998"/>
    <n v="2480.48"/>
    <n v="0"/>
    <n v="0"/>
    <n v="105"/>
    <s v="_x0000_US"/>
  </r>
  <r>
    <x v="4"/>
    <n v="13.6791"/>
    <n v="-89.249300000000005"/>
    <n v="1223.48"/>
    <n v="0"/>
    <n v="0"/>
    <n v="105"/>
    <s v="_x0000_US"/>
  </r>
  <r>
    <x v="4"/>
    <n v="13.676500000000001"/>
    <n v="-89.249200000000002"/>
    <n v="687.36"/>
    <n v="0"/>
    <n v="0"/>
    <n v="105"/>
    <s v="_x0000_US"/>
  </r>
  <r>
    <x v="4"/>
    <n v="13.6768"/>
    <n v="-89.249099999999999"/>
    <n v="335.2"/>
    <n v="0"/>
    <n v="0"/>
    <n v="105"/>
    <s v="_x0000_US"/>
  </r>
  <r>
    <x v="4"/>
    <n v="13.676299999999999"/>
    <n v="-89.249099999999999"/>
    <n v="708.84"/>
    <n v="0"/>
    <n v="0"/>
    <n v="105"/>
    <s v="_x0000_US"/>
  </r>
  <r>
    <x v="4"/>
    <n v="13.677199999999999"/>
    <n v="-89.249099999999999"/>
    <n v="3201.16"/>
    <n v="0"/>
    <n v="0"/>
    <n v="105"/>
    <s v="_x0000_US"/>
  </r>
  <r>
    <x v="4"/>
    <n v="13.677099999999999"/>
    <n v="-89.248999999999995"/>
    <n v="854.76"/>
    <n v="0"/>
    <n v="0"/>
    <n v="105"/>
    <s v="_x0000_US"/>
  </r>
  <r>
    <x v="4"/>
    <n v="13.677"/>
    <n v="-89.248900000000006"/>
    <n v="400.96"/>
    <n v="0"/>
    <n v="0"/>
    <n v="105"/>
    <s v="_x0000_US"/>
  </r>
  <r>
    <x v="4"/>
    <n v="13.676600000000001"/>
    <n v="-89.248900000000006"/>
    <n v="796.1"/>
    <n v="0"/>
    <n v="0"/>
    <n v="105"/>
    <s v="_x0000_US"/>
  </r>
  <r>
    <x v="4"/>
    <n v="13.6755"/>
    <n v="-89.248800000000003"/>
    <n v="1081.02"/>
    <n v="0"/>
    <n v="0"/>
    <n v="105"/>
    <s v="_x0000_US"/>
  </r>
  <r>
    <x v="4"/>
    <n v="13.675000000000001"/>
    <n v="-89.248800000000003"/>
    <n v="2778.08"/>
    <n v="0"/>
    <n v="0"/>
    <n v="105"/>
    <s v="_x0000_US"/>
  </r>
  <r>
    <x v="4"/>
    <n v="13.676500000000001"/>
    <n v="-89.248699999999999"/>
    <n v="1002.4"/>
    <n v="0"/>
    <n v="0"/>
    <n v="105"/>
    <s v="_x0000_US"/>
  </r>
  <r>
    <x v="4"/>
    <n v="13.677300000000001"/>
    <n v="-89.248599999999996"/>
    <n v="854.76"/>
    <n v="0"/>
    <n v="0"/>
    <n v="105"/>
    <s v="_x0000_US"/>
  </r>
  <r>
    <x v="4"/>
    <n v="13.676399999999999"/>
    <n v="-89.248599999999996"/>
    <n v="1072.6400000000001"/>
    <n v="0"/>
    <n v="0"/>
    <n v="105"/>
    <s v="_x0000_US"/>
  </r>
  <r>
    <x v="4"/>
    <n v="13.675599999999999"/>
    <n v="-89.248599999999996"/>
    <n v="1374.32"/>
    <n v="0"/>
    <n v="0"/>
    <n v="105"/>
    <s v="_x0000_US"/>
  </r>
  <r>
    <x v="4"/>
    <n v="13.673400000000001"/>
    <n v="-89.248599999999996"/>
    <n v="1997.64"/>
    <n v="0"/>
    <n v="0"/>
    <n v="105"/>
    <s v="_x0000_US"/>
  </r>
  <r>
    <x v="4"/>
    <n v="13.677300000000001"/>
    <n v="-89.2483"/>
    <n v="243.44"/>
    <n v="0"/>
    <n v="0"/>
    <n v="105"/>
    <s v="_x0000_US"/>
  </r>
  <r>
    <x v="4"/>
    <n v="13.6774"/>
    <n v="-89.2483"/>
    <n v="318.44"/>
    <n v="0"/>
    <n v="0"/>
    <n v="105"/>
    <s v="_x0000_US"/>
  </r>
  <r>
    <x v="4"/>
    <n v="13.6769"/>
    <n v="-89.2483"/>
    <n v="673.04"/>
    <n v="0"/>
    <n v="0"/>
    <n v="105"/>
    <s v="_x0000_US"/>
  </r>
  <r>
    <x v="4"/>
    <n v="13.6775"/>
    <n v="-89.248199999999997"/>
    <n v="318.44"/>
    <n v="0"/>
    <n v="0"/>
    <n v="105"/>
    <s v="_x0000_US"/>
  </r>
  <r>
    <x v="4"/>
    <n v="13.677"/>
    <n v="-89.248099999999994"/>
    <n v="279.24"/>
    <n v="0"/>
    <n v="0"/>
    <n v="105"/>
    <s v="_x0000_US"/>
  </r>
  <r>
    <x v="4"/>
    <n v="13.6759"/>
    <n v="-89.248099999999994"/>
    <n v="770.96"/>
    <n v="0"/>
    <n v="0"/>
    <n v="105"/>
    <s v="_x0000_US"/>
  </r>
  <r>
    <x v="4"/>
    <n v="13.676"/>
    <n v="-89.248000000000005"/>
    <n v="75.42"/>
    <n v="0"/>
    <n v="0"/>
    <n v="105"/>
    <s v="_x0000_US"/>
  </r>
  <r>
    <x v="4"/>
    <n v="13.677"/>
    <n v="-89.247900000000001"/>
    <n v="200.48"/>
    <n v="0"/>
    <n v="0"/>
    <n v="105"/>
    <s v="_x0000_US"/>
  </r>
  <r>
    <x v="4"/>
    <n v="13.6767"/>
    <n v="-89.247900000000001"/>
    <n v="408.12"/>
    <n v="0"/>
    <n v="0"/>
    <n v="105"/>
    <s v="_x0000_US"/>
  </r>
  <r>
    <x v="4"/>
    <n v="13.677300000000001"/>
    <n v="-89.247900000000001"/>
    <n v="494.04"/>
    <n v="0"/>
    <n v="0"/>
    <n v="105"/>
    <s v="_x0000_US"/>
  </r>
  <r>
    <x v="4"/>
    <n v="13.6776"/>
    <n v="-89.247900000000001"/>
    <n v="670.4"/>
    <n v="0"/>
    <n v="0"/>
    <n v="105"/>
    <s v="_x0000_US"/>
  </r>
  <r>
    <x v="4"/>
    <n v="13.6761"/>
    <n v="-89.247799999999998"/>
    <n v="393.8"/>
    <n v="0"/>
    <n v="0"/>
    <n v="105"/>
    <s v="_x0000_US"/>
  </r>
  <r>
    <x v="4"/>
    <n v="13.6778"/>
    <n v="-89.247699999999995"/>
    <n v="368.72"/>
    <n v="0"/>
    <n v="0"/>
    <n v="105"/>
    <s v="_x0000_US"/>
  </r>
  <r>
    <x v="4"/>
    <n v="13.6767"/>
    <n v="-89.247699999999995"/>
    <n v="479.72"/>
    <n v="0"/>
    <n v="0"/>
    <n v="105"/>
    <s v="_x0000_US"/>
  </r>
  <r>
    <x v="4"/>
    <n v="13.6761"/>
    <n v="-89.247699999999995"/>
    <n v="821.24"/>
    <n v="0"/>
    <n v="0"/>
    <n v="105"/>
    <s v="_x0000_US"/>
  </r>
  <r>
    <x v="4"/>
    <n v="13.6759"/>
    <n v="-89.247699999999995"/>
    <n v="1005.6"/>
    <n v="0"/>
    <n v="0"/>
    <n v="105"/>
    <s v="_x0000_US"/>
  </r>
  <r>
    <x v="4"/>
    <n v="13.6776"/>
    <n v="-89.247600000000006"/>
    <n v="279.24"/>
    <n v="0"/>
    <n v="0"/>
    <n v="105"/>
    <s v="_x0000_US"/>
  </r>
  <r>
    <x v="4"/>
    <n v="13.677099999999999"/>
    <n v="-89.247600000000006"/>
    <n v="315.04000000000002"/>
    <n v="0"/>
    <n v="0"/>
    <n v="105"/>
    <s v="_x0000_US"/>
  </r>
  <r>
    <x v="4"/>
    <n v="13.6759"/>
    <n v="-89.247600000000006"/>
    <n v="695.54"/>
    <n v="0"/>
    <n v="0"/>
    <n v="105"/>
    <s v="_x0000_US"/>
  </r>
  <r>
    <x v="4"/>
    <n v="13.6761"/>
    <n v="-89.247500000000002"/>
    <n v="955.32"/>
    <n v="0"/>
    <n v="0"/>
    <n v="105"/>
    <s v="_x0000_US"/>
  </r>
  <r>
    <x v="4"/>
    <n v="13.6774"/>
    <n v="-89.247399999999999"/>
    <n v="186.16"/>
    <n v="0"/>
    <n v="0"/>
    <n v="105"/>
    <s v="_x0000_US"/>
  </r>
  <r>
    <x v="4"/>
    <n v="13.6775"/>
    <n v="-89.247399999999999"/>
    <n v="229.12"/>
    <n v="0"/>
    <n v="0"/>
    <n v="105"/>
    <s v="_x0000_US"/>
  </r>
  <r>
    <x v="4"/>
    <n v="13.6778"/>
    <n v="-89.247399999999999"/>
    <n v="257.76"/>
    <n v="0"/>
    <n v="0"/>
    <n v="105"/>
    <s v="_x0000_US"/>
  </r>
  <r>
    <x v="4"/>
    <n v="13.676399999999999"/>
    <n v="-89.247399999999999"/>
    <n v="720.68"/>
    <n v="0"/>
    <n v="0"/>
    <n v="105"/>
    <s v="_x0000_US"/>
  </r>
  <r>
    <x v="4"/>
    <n v="13.677099999999999"/>
    <n v="-89.247299999999996"/>
    <n v="307.88"/>
    <n v="0"/>
    <n v="0"/>
    <n v="105"/>
    <s v="_x0000_US"/>
  </r>
  <r>
    <x v="4"/>
    <n v="13.678000000000001"/>
    <n v="-89.247299999999996"/>
    <n v="1307.28"/>
    <n v="0"/>
    <n v="0"/>
    <n v="105"/>
    <s v="_x0000_US"/>
  </r>
  <r>
    <x v="4"/>
    <n v="13.6776"/>
    <n v="-89.247200000000007"/>
    <n v="107.4"/>
    <n v="0"/>
    <n v="0"/>
    <n v="105"/>
    <s v="_x0000_US"/>
  </r>
  <r>
    <x v="4"/>
    <n v="13.6777"/>
    <n v="-89.247100000000003"/>
    <n v="315.04000000000002"/>
    <n v="0"/>
    <n v="0"/>
    <n v="105"/>
    <s v="_x0000_US"/>
  </r>
  <r>
    <x v="4"/>
    <n v="13.6776"/>
    <n v="-89.247"/>
    <n v="350.84"/>
    <n v="0"/>
    <n v="0"/>
    <n v="105"/>
    <s v="_x0000_US"/>
  </r>
  <r>
    <x v="4"/>
    <n v="13.678000000000001"/>
    <n v="-89.246899999999997"/>
    <n v="243.44"/>
    <n v="0"/>
    <n v="0"/>
    <n v="105"/>
    <s v="_x0000_US"/>
  </r>
  <r>
    <x v="4"/>
    <n v="13.6776"/>
    <n v="-89.246899999999997"/>
    <n v="343.68"/>
    <n v="0"/>
    <n v="0"/>
    <n v="105"/>
    <s v="_x0000_US"/>
  </r>
  <r>
    <x v="4"/>
    <n v="13.6806"/>
    <n v="-89.246799999999993"/>
    <n v="142.46"/>
    <n v="0"/>
    <n v="0"/>
    <n v="105"/>
    <s v="_x0000_US"/>
  </r>
  <r>
    <x v="4"/>
    <n v="13.6805"/>
    <n v="-89.246799999999993"/>
    <n v="226.26"/>
    <n v="0"/>
    <n v="0"/>
    <n v="105"/>
    <s v="_x0000_US"/>
  </r>
  <r>
    <x v="4"/>
    <n v="13.6782"/>
    <n v="-89.246799999999993"/>
    <n v="737.44"/>
    <n v="0"/>
    <n v="0"/>
    <n v="105"/>
    <s v="_x0000_US"/>
  </r>
  <r>
    <x v="4"/>
    <n v="13.6805"/>
    <n v="-89.246600000000001"/>
    <n v="159.22"/>
    <n v="0"/>
    <n v="0"/>
    <n v="105"/>
    <s v="_x0000_US"/>
  </r>
  <r>
    <x v="4"/>
    <n v="13.6775"/>
    <n v="-89.246600000000001"/>
    <n v="365.16"/>
    <n v="0"/>
    <n v="0"/>
    <n v="105"/>
    <s v="_x0000_US"/>
  </r>
  <r>
    <x v="4"/>
    <n v="13.6783"/>
    <n v="-89.246499999999997"/>
    <n v="143.19999999999999"/>
    <n v="0"/>
    <n v="0"/>
    <n v="105"/>
    <s v="_x0000_US"/>
  </r>
  <r>
    <x v="4"/>
    <n v="13.6807"/>
    <n v="-89.246399999999994"/>
    <n v="259.77999999999997"/>
    <n v="0"/>
    <n v="0"/>
    <n v="105"/>
    <s v="_x0000_US"/>
  </r>
  <r>
    <x v="4"/>
    <n v="13.680899999999999"/>
    <n v="-89.246399999999994"/>
    <n v="259.77999999999997"/>
    <n v="0"/>
    <n v="0"/>
    <n v="105"/>
    <s v="_x0000_US"/>
  </r>
  <r>
    <x v="4"/>
    <n v="13.6807"/>
    <n v="-89.246399999999994"/>
    <n v="259.77999999999997"/>
    <n v="0"/>
    <n v="0"/>
    <n v="105"/>
    <s v="_x0000_US"/>
  </r>
  <r>
    <x v="4"/>
    <n v="13.680899999999999"/>
    <n v="-89.246399999999994"/>
    <n v="259.77999999999997"/>
    <n v="0"/>
    <n v="0"/>
    <n v="105"/>
    <s v="_x0000_US"/>
  </r>
  <r>
    <x v="4"/>
    <n v="13.6778"/>
    <n v="-89.246399999999994"/>
    <n v="651.55999999999995"/>
    <n v="0"/>
    <n v="0"/>
    <n v="105"/>
    <s v="_x0000_US"/>
  </r>
  <r>
    <x v="4"/>
    <n v="13.680199999999999"/>
    <n v="-89.246399999999994"/>
    <n v="770.96"/>
    <n v="0"/>
    <n v="0"/>
    <n v="105"/>
    <s v="_x0000_US"/>
  </r>
  <r>
    <x v="4"/>
    <n v="13.680199999999999"/>
    <n v="-89.246399999999994"/>
    <n v="770.96"/>
    <n v="0"/>
    <n v="0"/>
    <n v="105"/>
    <s v="_x0000_US"/>
  </r>
  <r>
    <x v="4"/>
    <n v="13.6761"/>
    <n v="-89.246399999999994"/>
    <n v="1403.36"/>
    <n v="0"/>
    <n v="0"/>
    <n v="105"/>
    <s v="_x0000_US"/>
  </r>
  <r>
    <x v="4"/>
    <n v="13.678599999999999"/>
    <n v="-89.246099999999998"/>
    <n v="1977.68"/>
    <n v="0"/>
    <n v="0"/>
    <n v="105"/>
    <s v="_x0000_US"/>
  </r>
  <r>
    <x v="4"/>
    <n v="13.677099999999999"/>
    <n v="-89.246099999999998"/>
    <n v="4994.4799999999996"/>
    <n v="0"/>
    <n v="0"/>
    <n v="105"/>
    <s v="_x0000_US"/>
  </r>
  <r>
    <x v="4"/>
    <n v="13.6783"/>
    <n v="-89.245999999999995"/>
    <n v="730.32"/>
    <n v="0"/>
    <n v="0"/>
    <n v="105"/>
    <s v="_x0000_US"/>
  </r>
  <r>
    <x v="4"/>
    <n v="13.6754"/>
    <n v="-89.245999999999995"/>
    <n v="2195.56"/>
    <n v="0"/>
    <n v="0"/>
    <n v="105"/>
    <s v="_x0000_US"/>
  </r>
  <r>
    <x v="4"/>
    <n v="13.6776"/>
    <n v="-89.245900000000006"/>
    <n v="673.04"/>
    <n v="0"/>
    <n v="0"/>
    <n v="105"/>
    <s v="_x0000_US"/>
  </r>
  <r>
    <x v="4"/>
    <n v="13.6793"/>
    <n v="-89.245900000000006"/>
    <n v="988.84"/>
    <n v="0"/>
    <n v="0"/>
    <n v="105"/>
    <s v="_x0000_US"/>
  </r>
  <r>
    <x v="4"/>
    <n v="13.678900000000001"/>
    <n v="-89.245599999999996"/>
    <n v="502.8"/>
    <n v="0"/>
    <n v="0"/>
    <n v="105"/>
    <s v="_x0000_US"/>
  </r>
  <r>
    <x v="4"/>
    <n v="13.6784"/>
    <n v="-89.245400000000004"/>
    <n v="887.84"/>
    <n v="0"/>
    <n v="0"/>
    <n v="105"/>
    <s v="_x0000_US"/>
  </r>
  <r>
    <x v="4"/>
    <n v="13.676600000000001"/>
    <n v="-89.245199999999997"/>
    <n v="651.55999999999995"/>
    <n v="0"/>
    <n v="0"/>
    <n v="105"/>
    <s v="_x0000_US"/>
  </r>
  <r>
    <x v="4"/>
    <n v="13.6859"/>
    <n v="-89.245099999999994"/>
    <n v="209.5"/>
    <n v="0"/>
    <n v="0"/>
    <n v="105"/>
    <s v="_x0000_US"/>
  </r>
  <r>
    <x v="4"/>
    <n v="13.680400000000001"/>
    <n v="-89.245099999999994"/>
    <n v="1847.28"/>
    <n v="0"/>
    <n v="0"/>
    <n v="105"/>
    <s v="_x0000_US"/>
  </r>
  <r>
    <x v="4"/>
    <n v="13.680400000000001"/>
    <n v="-89.245099999999994"/>
    <n v="1847.28"/>
    <n v="0"/>
    <n v="0"/>
    <n v="105"/>
    <s v="_x0000_US"/>
  </r>
  <r>
    <x v="4"/>
    <n v="13.686"/>
    <n v="-89.245000000000005"/>
    <n v="259.77999999999997"/>
    <n v="0"/>
    <n v="0"/>
    <n v="105"/>
    <s v="_x0000_US"/>
  </r>
  <r>
    <x v="4"/>
    <n v="13.6792"/>
    <n v="-89.244900000000001"/>
    <n v="1927.4"/>
    <n v="0"/>
    <n v="0"/>
    <n v="105"/>
    <s v="_x0000_US"/>
  </r>
  <r>
    <x v="4"/>
    <n v="13.676"/>
    <n v="-89.244799999999998"/>
    <n v="1460.64"/>
    <n v="0"/>
    <n v="0"/>
    <n v="105"/>
    <s v="_x0000_US"/>
  </r>
  <r>
    <x v="4"/>
    <n v="13.6854"/>
    <n v="-89.244699999999995"/>
    <n v="809.08"/>
    <n v="0"/>
    <n v="0"/>
    <n v="105"/>
    <s v="_x0000_US"/>
  </r>
  <r>
    <x v="4"/>
    <n v="13.678699999999999"/>
    <n v="-89.244699999999995"/>
    <n v="2815.68"/>
    <n v="0"/>
    <n v="0"/>
    <n v="105"/>
    <s v="_x0000_US"/>
  </r>
  <r>
    <x v="4"/>
    <n v="13.6776"/>
    <n v="-89.244600000000005"/>
    <n v="1031.04"/>
    <n v="0"/>
    <n v="0"/>
    <n v="105"/>
    <s v="_x0000_US"/>
  </r>
  <r>
    <x v="4"/>
    <n v="13.6844"/>
    <n v="-89.244600000000005"/>
    <n v="1482.12"/>
    <n v="0"/>
    <n v="0"/>
    <n v="105"/>
    <s v="_x0000_US"/>
  </r>
  <r>
    <x v="4"/>
    <n v="13.6866"/>
    <n v="-89.244399999999999"/>
    <n v="329.36"/>
    <n v="0"/>
    <n v="0"/>
    <n v="105"/>
    <s v="_x0000_US"/>
  </r>
  <r>
    <x v="4"/>
    <n v="13.677"/>
    <n v="-89.244399999999999"/>
    <n v="608.6"/>
    <n v="0"/>
    <n v="0"/>
    <n v="105"/>
    <s v="_x0000_US"/>
  </r>
  <r>
    <x v="4"/>
    <n v="13.679500000000001"/>
    <n v="-89.244200000000006"/>
    <n v="703.92"/>
    <n v="0"/>
    <n v="0"/>
    <n v="105"/>
    <s v="_x0000_US"/>
  </r>
  <r>
    <x v="4"/>
    <n v="13.6869"/>
    <n v="-89.244100000000003"/>
    <n v="501.2"/>
    <n v="0"/>
    <n v="0"/>
    <n v="105"/>
    <s v="_x0000_US"/>
  </r>
  <r>
    <x v="4"/>
    <n v="13.676399999999999"/>
    <n v="-89.244100000000003"/>
    <n v="1281.6400000000001"/>
    <n v="0"/>
    <n v="0"/>
    <n v="105"/>
    <s v="_x0000_US"/>
  </r>
  <r>
    <x v="4"/>
    <n v="13.679399999999999"/>
    <n v="-89.244"/>
    <n v="293.56"/>
    <n v="0"/>
    <n v="0"/>
    <n v="105"/>
    <s v="_x0000_US"/>
  </r>
  <r>
    <x v="4"/>
    <n v="13.679399999999999"/>
    <n v="-89.243799999999993"/>
    <n v="143.19999999999999"/>
    <n v="0"/>
    <n v="0"/>
    <n v="105"/>
    <s v="_x0000_US"/>
  </r>
  <r>
    <x v="4"/>
    <n v="13.6792"/>
    <n v="-89.243799999999993"/>
    <n v="143.19999999999999"/>
    <n v="0"/>
    <n v="0"/>
    <n v="105"/>
    <s v="_x0000_US"/>
  </r>
  <r>
    <x v="4"/>
    <n v="13.6853"/>
    <n v="-89.243799999999993"/>
    <n v="701.68"/>
    <n v="0"/>
    <n v="0"/>
    <n v="105"/>
    <s v="_x0000_US"/>
  </r>
  <r>
    <x v="4"/>
    <n v="13.678800000000001"/>
    <n v="-89.243700000000004"/>
    <n v="207.64"/>
    <n v="0"/>
    <n v="0"/>
    <n v="105"/>
    <s v="_x0000_US"/>
  </r>
  <r>
    <x v="4"/>
    <n v="13.6806"/>
    <n v="-89.243700000000004"/>
    <n v="472.56"/>
    <n v="0"/>
    <n v="0"/>
    <n v="105"/>
    <s v="_x0000_US"/>
  </r>
  <r>
    <x v="4"/>
    <n v="13.677300000000001"/>
    <n v="-89.243700000000004"/>
    <n v="665.88"/>
    <n v="0"/>
    <n v="0"/>
    <n v="105"/>
    <s v="_x0000_US"/>
  </r>
  <r>
    <x v="4"/>
    <n v="13.686400000000001"/>
    <n v="-89.243700000000004"/>
    <n v="880.68"/>
    <n v="0"/>
    <n v="0"/>
    <n v="105"/>
    <s v="_x0000_US"/>
  </r>
  <r>
    <x v="4"/>
    <n v="13.6798"/>
    <n v="-89.243700000000004"/>
    <n v="1759.8"/>
    <n v="0"/>
    <n v="0"/>
    <n v="105"/>
    <s v="_x0000_US"/>
  </r>
  <r>
    <x v="4"/>
    <n v="13.6768"/>
    <n v="-89.243600000000001"/>
    <n v="945.12"/>
    <n v="0"/>
    <n v="0"/>
    <n v="105"/>
    <s v="_x0000_US"/>
  </r>
  <r>
    <x v="4"/>
    <n v="13.675800000000001"/>
    <n v="-89.243499999999997"/>
    <n v="164.68"/>
    <n v="0"/>
    <n v="0"/>
    <n v="105"/>
    <s v="_x0000_US"/>
  </r>
  <r>
    <x v="4"/>
    <n v="13.6759"/>
    <n v="-89.243399999999994"/>
    <n v="64.44"/>
    <n v="0"/>
    <n v="0"/>
    <n v="105"/>
    <s v="_x0000_US"/>
  </r>
  <r>
    <x v="4"/>
    <n v="13.678599999999999"/>
    <n v="-89.243399999999994"/>
    <n v="300.72000000000003"/>
    <n v="0"/>
    <n v="0"/>
    <n v="105"/>
    <s v="_x0000_US"/>
  </r>
  <r>
    <x v="4"/>
    <n v="13.678699999999999"/>
    <n v="-89.243399999999994"/>
    <n v="400.96"/>
    <n v="0"/>
    <n v="0"/>
    <n v="105"/>
    <s v="_x0000_US"/>
  </r>
  <r>
    <x v="4"/>
    <n v="13.6859"/>
    <n v="-89.243300000000005"/>
    <n v="579.96"/>
    <n v="0"/>
    <n v="0"/>
    <n v="105"/>
    <s v="_x0000_US"/>
  </r>
  <r>
    <x v="4"/>
    <n v="13.6806"/>
    <n v="-89.243300000000005"/>
    <n v="837.72"/>
    <n v="0"/>
    <n v="0"/>
    <n v="105"/>
    <s v="_x0000_US"/>
  </r>
  <r>
    <x v="4"/>
    <n v="13.6806"/>
    <n v="-89.243300000000005"/>
    <n v="837.72"/>
    <n v="0"/>
    <n v="0"/>
    <n v="105"/>
    <s v="_x0000_US"/>
  </r>
  <r>
    <x v="4"/>
    <n v="13.6785"/>
    <n v="-89.243200000000002"/>
    <n v="193.32"/>
    <n v="0"/>
    <n v="0"/>
    <n v="105"/>
    <s v="_x0000_US"/>
  </r>
  <r>
    <x v="4"/>
    <n v="13.6868"/>
    <n v="-89.243200000000002"/>
    <n v="365.16"/>
    <n v="0"/>
    <n v="0"/>
    <n v="105"/>
    <s v="_x0000_US"/>
  </r>
  <r>
    <x v="4"/>
    <n v="13.680400000000001"/>
    <n v="-89.243200000000002"/>
    <n v="494.04"/>
    <n v="0"/>
    <n v="0"/>
    <n v="105"/>
    <s v="_x0000_US"/>
  </r>
  <r>
    <x v="4"/>
    <n v="13.6762"/>
    <n v="-89.243200000000002"/>
    <n v="551.32000000000005"/>
    <n v="0"/>
    <n v="0"/>
    <n v="105"/>
    <s v="_x0000_US"/>
  </r>
  <r>
    <x v="4"/>
    <n v="13.686500000000001"/>
    <n v="-89.243099999999998"/>
    <n v="451.08"/>
    <n v="0"/>
    <n v="0"/>
    <n v="105"/>
    <s v="_x0000_US"/>
  </r>
  <r>
    <x v="4"/>
    <n v="13.678000000000001"/>
    <n v="-89.243099999999998"/>
    <n v="758.96"/>
    <n v="0"/>
    <n v="0"/>
    <n v="105"/>
    <s v="_x0000_US"/>
  </r>
  <r>
    <x v="4"/>
    <n v="13.686999999999999"/>
    <n v="-89.242999999999995"/>
    <n v="422.44"/>
    <n v="0"/>
    <n v="0"/>
    <n v="105"/>
    <s v="_x0000_US"/>
  </r>
  <r>
    <x v="4"/>
    <n v="13.677300000000001"/>
    <n v="-89.242999999999995"/>
    <n v="608.6"/>
    <n v="0"/>
    <n v="0"/>
    <n v="105"/>
    <s v="_x0000_US"/>
  </r>
  <r>
    <x v="4"/>
    <n v="13.680199999999999"/>
    <n v="-89.242999999999995"/>
    <n v="1022.36"/>
    <n v="0"/>
    <n v="0"/>
    <n v="105"/>
    <s v="_x0000_US"/>
  </r>
  <r>
    <x v="4"/>
    <n v="13.676500000000001"/>
    <n v="-89.242900000000006"/>
    <n v="193.32"/>
    <n v="0"/>
    <n v="0"/>
    <n v="105"/>
    <s v="_x0000_US"/>
  </r>
  <r>
    <x v="4"/>
    <n v="13.6768"/>
    <n v="-89.242900000000006"/>
    <n v="486.88"/>
    <n v="0"/>
    <n v="0"/>
    <n v="105"/>
    <s v="_x0000_US"/>
  </r>
  <r>
    <x v="4"/>
    <n v="13.6882"/>
    <n v="-89.242900000000006"/>
    <n v="519.55999999999995"/>
    <n v="0"/>
    <n v="0"/>
    <n v="105"/>
    <s v="_x0000_US"/>
  </r>
  <r>
    <x v="4"/>
    <n v="13.6877"/>
    <n v="-89.242900000000006"/>
    <n v="716"/>
    <n v="0"/>
    <n v="0"/>
    <n v="105"/>
    <s v="_x0000_US"/>
  </r>
  <r>
    <x v="4"/>
    <n v="13.679399999999999"/>
    <n v="-89.242900000000006"/>
    <n v="1510.76"/>
    <n v="0"/>
    <n v="0"/>
    <n v="105"/>
    <s v="_x0000_US"/>
  </r>
  <r>
    <x v="4"/>
    <n v="13.6776"/>
    <n v="-89.242800000000003"/>
    <n v="751.8"/>
    <n v="0"/>
    <n v="0"/>
    <n v="105"/>
    <s v="_x0000_US"/>
  </r>
  <r>
    <x v="4"/>
    <n v="13.680300000000001"/>
    <n v="-89.242699999999999"/>
    <n v="143.19999999999999"/>
    <n v="0"/>
    <n v="0"/>
    <n v="105"/>
    <s v="_x0000_US"/>
  </r>
  <r>
    <x v="4"/>
    <n v="13.677"/>
    <n v="-89.242599999999996"/>
    <n v="179"/>
    <n v="0"/>
    <n v="0"/>
    <n v="105"/>
    <s v="_x0000_US"/>
  </r>
  <r>
    <x v="4"/>
    <n v="13.6807"/>
    <n v="-89.242599999999996"/>
    <n v="645.26"/>
    <n v="0"/>
    <n v="0"/>
    <n v="105"/>
    <s v="_x0000_US"/>
  </r>
  <r>
    <x v="4"/>
    <n v="13.6807"/>
    <n v="-89.242599999999996"/>
    <n v="645.26"/>
    <n v="0"/>
    <n v="0"/>
    <n v="105"/>
    <s v="_x0000_US"/>
  </r>
  <r>
    <x v="4"/>
    <n v="13.677300000000001"/>
    <n v="-89.242500000000007"/>
    <n v="558.48"/>
    <n v="0"/>
    <n v="0"/>
    <n v="105"/>
    <s v="_x0000_US"/>
  </r>
  <r>
    <x v="4"/>
    <n v="13.6869"/>
    <n v="-89.242500000000007"/>
    <n v="1023.88"/>
    <n v="0"/>
    <n v="0"/>
    <n v="105"/>
    <s v="_x0000_US"/>
  </r>
  <r>
    <x v="4"/>
    <n v="13.6776"/>
    <n v="-89.2423"/>
    <n v="28.64"/>
    <n v="0"/>
    <n v="0"/>
    <n v="105"/>
    <s v="_x0000_US"/>
  </r>
  <r>
    <x v="4"/>
    <n v="13.6777"/>
    <n v="-89.2423"/>
    <n v="35.799999999999997"/>
    <n v="0"/>
    <n v="0"/>
    <n v="105"/>
    <s v="_x0000_US"/>
  </r>
  <r>
    <x v="4"/>
    <n v="13.685700000000001"/>
    <n v="-89.2423"/>
    <n v="1811.48"/>
    <n v="0"/>
    <n v="0"/>
    <n v="105"/>
    <s v="_x0000_US"/>
  </r>
  <r>
    <x v="4"/>
    <n v="13.688000000000001"/>
    <n v="-89.242199999999997"/>
    <n v="871.52"/>
    <n v="0"/>
    <n v="0"/>
    <n v="105"/>
    <s v="_x0000_US"/>
  </r>
  <r>
    <x v="4"/>
    <n v="13.685"/>
    <n v="-89.242099999999994"/>
    <n v="2706.48"/>
    <n v="0"/>
    <n v="0"/>
    <n v="105"/>
    <s v="_x0000_US"/>
  </r>
  <r>
    <x v="4"/>
    <n v="13.6798"/>
    <n v="-89.242000000000004"/>
    <n v="1281.6400000000001"/>
    <n v="0"/>
    <n v="0"/>
    <n v="105"/>
    <s v="_x0000_US"/>
  </r>
  <r>
    <x v="4"/>
    <n v="13.6828"/>
    <n v="-89.242000000000004"/>
    <n v="12838.2"/>
    <n v="0"/>
    <n v="0"/>
    <n v="105"/>
    <s v="_x0000_US"/>
  </r>
  <r>
    <x v="4"/>
    <n v="13.6814"/>
    <n v="-89.241799999999998"/>
    <n v="5312.92"/>
    <n v="0"/>
    <n v="0"/>
    <n v="105"/>
    <s v="_x0000_US"/>
  </r>
  <r>
    <x v="4"/>
    <n v="13.6814"/>
    <n v="-89.241799999999998"/>
    <n v="5312.92"/>
    <n v="0"/>
    <n v="0"/>
    <n v="105"/>
    <s v="_x0000_US"/>
  </r>
  <r>
    <x v="4"/>
    <n v="13.6873"/>
    <n v="-89.241699999999994"/>
    <n v="1131.28"/>
    <n v="0"/>
    <n v="0"/>
    <n v="105"/>
    <s v="_x0000_US"/>
  </r>
  <r>
    <x v="4"/>
    <n v="13.686500000000001"/>
    <n v="-89.241600000000005"/>
    <n v="458.24"/>
    <n v="0"/>
    <n v="0"/>
    <n v="105"/>
    <s v="_x0000_US"/>
  </r>
  <r>
    <x v="4"/>
    <n v="13.682"/>
    <n v="-89.241500000000002"/>
    <n v="2522.38"/>
    <n v="0"/>
    <n v="0"/>
    <n v="105"/>
    <s v="_x0000_US"/>
  </r>
  <r>
    <x v="4"/>
    <n v="13.679600000000001"/>
    <n v="-89.241399999999999"/>
    <n v="343.68"/>
    <n v="0"/>
    <n v="0"/>
    <n v="105"/>
    <s v="_x0000_US"/>
  </r>
  <r>
    <x v="4"/>
    <n v="13.679399999999999"/>
    <n v="-89.241299999999995"/>
    <n v="136.04"/>
    <n v="0"/>
    <n v="0"/>
    <n v="105"/>
    <s v="_x0000_US"/>
  </r>
  <r>
    <x v="4"/>
    <n v="13.6881"/>
    <n v="-89.241299999999995"/>
    <n v="754.2"/>
    <n v="0"/>
    <n v="0"/>
    <n v="105"/>
    <s v="_x0000_US"/>
  </r>
  <r>
    <x v="4"/>
    <n v="13.6793"/>
    <n v="-89.241200000000006"/>
    <n v="136.04"/>
    <n v="0"/>
    <n v="0"/>
    <n v="105"/>
    <s v="_x0000_US"/>
  </r>
  <r>
    <x v="4"/>
    <n v="13.6799"/>
    <n v="-89.241200000000006"/>
    <n v="400.96"/>
    <n v="0"/>
    <n v="0"/>
    <n v="105"/>
    <s v="_x0000_US"/>
  </r>
  <r>
    <x v="4"/>
    <n v="13.686400000000001"/>
    <n v="-89.241200000000006"/>
    <n v="551.32000000000005"/>
    <n v="0"/>
    <n v="0"/>
    <n v="105"/>
    <s v="_x0000_US"/>
  </r>
  <r>
    <x v="4"/>
    <n v="13.679600000000001"/>
    <n v="-89.241100000000003"/>
    <n v="264.92"/>
    <n v="0"/>
    <n v="0"/>
    <n v="105"/>
    <s v="_x0000_US"/>
  </r>
  <r>
    <x v="4"/>
    <n v="13.6797"/>
    <n v="-89.241"/>
    <n v="64.44"/>
    <n v="0"/>
    <n v="0"/>
    <n v="105"/>
    <s v="_x0000_US"/>
  </r>
  <r>
    <x v="4"/>
    <n v="13.6798"/>
    <n v="-89.241"/>
    <n v="264.92"/>
    <n v="0"/>
    <n v="0"/>
    <n v="105"/>
    <s v="_x0000_US"/>
  </r>
  <r>
    <x v="4"/>
    <n v="13.680199999999999"/>
    <n v="-89.241"/>
    <n v="400.96"/>
    <n v="0"/>
    <n v="0"/>
    <n v="105"/>
    <s v="_x0000_US"/>
  </r>
  <r>
    <x v="4"/>
    <n v="13.6805"/>
    <n v="-89.240899999999996"/>
    <n v="85.92"/>
    <n v="0"/>
    <n v="0"/>
    <n v="105"/>
    <s v="_x0000_US"/>
  </r>
  <r>
    <x v="4"/>
    <n v="13.68"/>
    <n v="-89.240799999999993"/>
    <n v="21.48"/>
    <n v="0"/>
    <n v="0"/>
    <n v="105"/>
    <s v="_x0000_US"/>
  </r>
  <r>
    <x v="4"/>
    <n v="13.6807"/>
    <n v="-89.240799999999993"/>
    <n v="329.36"/>
    <n v="0"/>
    <n v="0"/>
    <n v="105"/>
    <s v="_x0000_US"/>
  </r>
  <r>
    <x v="4"/>
    <n v="13.6874"/>
    <n v="-89.240799999999993"/>
    <n v="1310.28"/>
    <n v="0"/>
    <n v="0"/>
    <n v="105"/>
    <s v="_x0000_US"/>
  </r>
  <r>
    <x v="4"/>
    <n v="13.6807"/>
    <n v="-89.240600000000001"/>
    <n v="229.12"/>
    <n v="0"/>
    <n v="0"/>
    <n v="105"/>
    <s v="_x0000_US"/>
  </r>
  <r>
    <x v="4"/>
    <n v="13.6816"/>
    <n v="-89.240600000000001"/>
    <n v="307.88"/>
    <n v="0"/>
    <n v="0"/>
    <n v="105"/>
    <s v="_x0000_US"/>
  </r>
  <r>
    <x v="4"/>
    <n v="13.680300000000001"/>
    <n v="-89.240600000000001"/>
    <n v="307.88"/>
    <n v="0"/>
    <n v="0"/>
    <n v="105"/>
    <s v="_x0000_US"/>
  </r>
  <r>
    <x v="4"/>
    <n v="13.680300000000001"/>
    <n v="-89.240600000000001"/>
    <n v="508.36"/>
    <n v="0"/>
    <n v="0"/>
    <n v="105"/>
    <s v="_x0000_US"/>
  </r>
  <r>
    <x v="4"/>
    <n v="13.6883"/>
    <n v="-89.240600000000001"/>
    <n v="620.12"/>
    <n v="0"/>
    <n v="0"/>
    <n v="105"/>
    <s v="_x0000_US"/>
  </r>
  <r>
    <x v="4"/>
    <n v="13.6805"/>
    <n v="-89.240499999999997"/>
    <n v="186.16"/>
    <n v="0"/>
    <n v="0"/>
    <n v="105"/>
    <s v="_x0000_US"/>
  </r>
  <r>
    <x v="4"/>
    <n v="13.6814"/>
    <n v="-89.240399999999994"/>
    <n v="207.64"/>
    <n v="0"/>
    <n v="0"/>
    <n v="105"/>
    <s v="_x0000_US"/>
  </r>
  <r>
    <x v="4"/>
    <n v="13.681800000000001"/>
    <n v="-89.240399999999994"/>
    <n v="315.04000000000002"/>
    <n v="0"/>
    <n v="0"/>
    <n v="105"/>
    <s v="_x0000_US"/>
  </r>
  <r>
    <x v="4"/>
    <n v="13.680999999999999"/>
    <n v="-89.240399999999994"/>
    <n v="501.2"/>
    <n v="0"/>
    <n v="0"/>
    <n v="105"/>
    <s v="_x0000_US"/>
  </r>
  <r>
    <x v="4"/>
    <n v="13.6815"/>
    <n v="-89.240300000000005"/>
    <n v="179"/>
    <n v="0"/>
    <n v="0"/>
    <n v="105"/>
    <s v="_x0000_US"/>
  </r>
  <r>
    <x v="4"/>
    <n v="13.681100000000001"/>
    <n v="-89.240300000000005"/>
    <n v="494.04"/>
    <n v="0"/>
    <n v="0"/>
    <n v="105"/>
    <s v="_x0000_US"/>
  </r>
  <r>
    <x v="4"/>
    <n v="13.6866"/>
    <n v="-89.240300000000005"/>
    <n v="579.96"/>
    <n v="0"/>
    <n v="0"/>
    <n v="105"/>
    <s v="_x0000_US"/>
  </r>
  <r>
    <x v="4"/>
    <n v="13.6859"/>
    <n v="-89.240300000000005"/>
    <n v="1489.28"/>
    <n v="0"/>
    <n v="0"/>
    <n v="105"/>
    <s v="_x0000_US"/>
  </r>
  <r>
    <x v="4"/>
    <n v="13.6892"/>
    <n v="-89.240200000000002"/>
    <n v="14.32"/>
    <n v="0"/>
    <n v="0"/>
    <n v="105"/>
    <s v="_x0000_US"/>
  </r>
  <r>
    <x v="4"/>
    <n v="13.688700000000001"/>
    <n v="-89.240200000000002"/>
    <n v="351.96"/>
    <n v="0"/>
    <n v="0"/>
    <n v="105"/>
    <s v="_x0000_US"/>
  </r>
  <r>
    <x v="4"/>
    <n v="13.688700000000001"/>
    <n v="-89.240099999999998"/>
    <n v="268.16000000000003"/>
    <n v="0"/>
    <n v="0"/>
    <n v="105"/>
    <s v="_x0000_US"/>
  </r>
  <r>
    <x v="4"/>
    <n v="13.689"/>
    <n v="-89.240099999999998"/>
    <n v="279.24"/>
    <n v="0"/>
    <n v="0"/>
    <n v="105"/>
    <s v="_x0000_US"/>
  </r>
  <r>
    <x v="4"/>
    <n v="13.688599999999999"/>
    <n v="-89.240099999999998"/>
    <n v="351.96"/>
    <n v="0"/>
    <n v="0"/>
    <n v="105"/>
    <s v="_x0000_US"/>
  </r>
  <r>
    <x v="4"/>
    <n v="13.6891"/>
    <n v="-89.24"/>
    <n v="236.28"/>
    <n v="0"/>
    <n v="0"/>
    <n v="105"/>
    <s v="_x0000_US"/>
  </r>
  <r>
    <x v="4"/>
    <n v="13.689"/>
    <n v="-89.24"/>
    <n v="251.4"/>
    <n v="0"/>
    <n v="0"/>
    <n v="105"/>
    <s v="_x0000_US"/>
  </r>
  <r>
    <x v="4"/>
    <n v="13.6829"/>
    <n v="-89.24"/>
    <n v="796.1"/>
    <n v="0"/>
    <n v="0"/>
    <n v="105"/>
    <s v="_x0000_US"/>
  </r>
  <r>
    <x v="4"/>
    <n v="13.682399999999999"/>
    <n v="-89.24"/>
    <n v="1156.44"/>
    <n v="0"/>
    <n v="0"/>
    <n v="105"/>
    <s v="_x0000_US"/>
  </r>
  <r>
    <x v="4"/>
    <n v="13.6891"/>
    <n v="-89.239800000000002"/>
    <n v="234.64"/>
    <n v="0"/>
    <n v="0"/>
    <n v="105"/>
    <s v="_x0000_US"/>
  </r>
  <r>
    <x v="4"/>
    <n v="13.688599999999999"/>
    <n v="-89.239800000000002"/>
    <n v="259.77999999999997"/>
    <n v="0"/>
    <n v="0"/>
    <n v="105"/>
    <s v="_x0000_US"/>
  </r>
  <r>
    <x v="4"/>
    <n v="13.6892"/>
    <n v="-89.239800000000002"/>
    <n v="322.2"/>
    <n v="0"/>
    <n v="0"/>
    <n v="105"/>
    <s v="_x0000_US"/>
  </r>
  <r>
    <x v="4"/>
    <n v="13.688700000000001"/>
    <n v="-89.239800000000002"/>
    <n v="326.82"/>
    <n v="0"/>
    <n v="0"/>
    <n v="105"/>
    <s v="_x0000_US"/>
  </r>
  <r>
    <x v="4"/>
    <n v="13.6822"/>
    <n v="-89.239800000000002"/>
    <n v="2430.1999999999998"/>
    <n v="0"/>
    <n v="0"/>
    <n v="105"/>
    <s v="_x0000_US"/>
  </r>
  <r>
    <x v="4"/>
    <n v="13.6822"/>
    <n v="-89.239800000000002"/>
    <n v="2430.1999999999998"/>
    <n v="0"/>
    <n v="0"/>
    <n v="105"/>
    <s v="_x0000_US"/>
  </r>
  <r>
    <x v="4"/>
    <n v="13.689399999999999"/>
    <n v="-89.239699999999999"/>
    <n v="150.36000000000001"/>
    <n v="0"/>
    <n v="0"/>
    <n v="105"/>
    <s v="_x0000_US"/>
  </r>
  <r>
    <x v="4"/>
    <n v="13.6892"/>
    <n v="-89.239699999999999"/>
    <n v="193.32"/>
    <n v="0"/>
    <n v="0"/>
    <n v="105"/>
    <s v="_x0000_US"/>
  </r>
  <r>
    <x v="4"/>
    <n v="13.688700000000001"/>
    <n v="-89.239699999999999"/>
    <n v="251.4"/>
    <n v="0"/>
    <n v="0"/>
    <n v="105"/>
    <s v="_x0000_US"/>
  </r>
  <r>
    <x v="4"/>
    <n v="13.6889"/>
    <n v="-89.239699999999999"/>
    <n v="276.54000000000002"/>
    <n v="0"/>
    <n v="0"/>
    <n v="105"/>
    <s v="_x0000_US"/>
  </r>
  <r>
    <x v="4"/>
    <n v="13.689"/>
    <n v="-89.239699999999999"/>
    <n v="343.58"/>
    <n v="0"/>
    <n v="0"/>
    <n v="105"/>
    <s v="_x0000_US"/>
  </r>
  <r>
    <x v="4"/>
    <n v="13.6829"/>
    <n v="-89.239599999999996"/>
    <n v="50.12"/>
    <n v="0"/>
    <n v="0"/>
    <n v="105"/>
    <s v="_x0000_US"/>
  </r>
  <r>
    <x v="4"/>
    <n v="13.6891"/>
    <n v="-89.239599999999996"/>
    <n v="201.12"/>
    <n v="0"/>
    <n v="0"/>
    <n v="105"/>
    <s v="_x0000_US"/>
  </r>
  <r>
    <x v="4"/>
    <n v="13.6892"/>
    <n v="-89.239599999999996"/>
    <n v="214.8"/>
    <n v="0"/>
    <n v="0"/>
    <n v="105"/>
    <s v="_x0000_US"/>
  </r>
  <r>
    <x v="4"/>
    <n v="13.6835"/>
    <n v="-89.239599999999996"/>
    <n v="2019.58"/>
    <n v="0"/>
    <n v="0"/>
    <n v="105"/>
    <s v="_x0000_US"/>
  </r>
  <r>
    <x v="4"/>
    <n v="13.6884"/>
    <n v="-89.239500000000007"/>
    <n v="377.1"/>
    <n v="0"/>
    <n v="0"/>
    <n v="105"/>
    <s v="_x0000_US"/>
  </r>
  <r>
    <x v="4"/>
    <n v="13.689"/>
    <n v="-89.239500000000007"/>
    <n v="553.08000000000004"/>
    <n v="0"/>
    <n v="0"/>
    <n v="105"/>
    <s v="_x0000_US"/>
  </r>
  <r>
    <x v="4"/>
    <n v="13.682499999999999"/>
    <n v="-89.239500000000007"/>
    <n v="608.6"/>
    <n v="0"/>
    <n v="0"/>
    <n v="105"/>
    <s v="_x0000_US"/>
  </r>
  <r>
    <x v="4"/>
    <n v="13.6881"/>
    <n v="-89.239500000000007"/>
    <n v="1417.68"/>
    <n v="0"/>
    <n v="0"/>
    <n v="105"/>
    <s v="_x0000_US"/>
  </r>
  <r>
    <x v="4"/>
    <n v="13.6892"/>
    <n v="-89.239400000000003"/>
    <n v="159.22"/>
    <n v="0"/>
    <n v="0"/>
    <n v="105"/>
    <s v="_x0000_US"/>
  </r>
  <r>
    <x v="4"/>
    <n v="13.6831"/>
    <n v="-89.239400000000003"/>
    <n v="415.28"/>
    <n v="0"/>
    <n v="0"/>
    <n v="105"/>
    <s v="_x0000_US"/>
  </r>
  <r>
    <x v="4"/>
    <n v="13.688000000000001"/>
    <n v="-89.2393"/>
    <n v="553.08000000000004"/>
    <n v="0"/>
    <n v="0"/>
    <n v="105"/>
    <s v="_x0000_US"/>
  </r>
  <r>
    <x v="4"/>
    <n v="13.683299999999999"/>
    <n v="-89.2393"/>
    <n v="972.08"/>
    <n v="0"/>
    <n v="0"/>
    <n v="105"/>
    <s v="_x0000_US"/>
  </r>
  <r>
    <x v="4"/>
    <n v="13.682399999999999"/>
    <n v="-89.239099999999993"/>
    <n v="402.24"/>
    <n v="0"/>
    <n v="0"/>
    <n v="105"/>
    <s v="_x0000_US"/>
  </r>
  <r>
    <x v="4"/>
    <n v="13.682399999999999"/>
    <n v="-89.239099999999993"/>
    <n v="402.24"/>
    <n v="0"/>
    <n v="0"/>
    <n v="105"/>
    <s v="_x0000_US"/>
  </r>
  <r>
    <x v="4"/>
    <n v="13.683400000000001"/>
    <n v="-89.239099999999993"/>
    <n v="558.48"/>
    <n v="0"/>
    <n v="0"/>
    <n v="105"/>
    <s v="_x0000_US"/>
  </r>
  <r>
    <x v="4"/>
    <n v="13.682700000000001"/>
    <n v="-89.239099999999993"/>
    <n v="804.48"/>
    <n v="0"/>
    <n v="0"/>
    <n v="105"/>
    <s v="_x0000_US"/>
  </r>
  <r>
    <x v="4"/>
    <n v="13.689500000000001"/>
    <n v="-89.239000000000004"/>
    <n v="703.92"/>
    <n v="0"/>
    <n v="0"/>
    <n v="105"/>
    <s v="_x0000_US"/>
  </r>
  <r>
    <x v="4"/>
    <n v="13.6828"/>
    <n v="-89.238900000000001"/>
    <n v="422.44"/>
    <n v="0"/>
    <n v="0"/>
    <n v="105"/>
    <s v="_x0000_US"/>
  </r>
  <r>
    <x v="4"/>
    <n v="13.6821"/>
    <n v="-89.238900000000001"/>
    <n v="529.84"/>
    <n v="0"/>
    <n v="0"/>
    <n v="105"/>
    <s v="_x0000_US"/>
  </r>
  <r>
    <x v="4"/>
    <n v="13.683999999999999"/>
    <n v="-89.238799999999998"/>
    <n v="502.8"/>
    <n v="0"/>
    <n v="0"/>
    <n v="105"/>
    <s v="_x0000_US"/>
  </r>
  <r>
    <x v="4"/>
    <n v="13.682700000000001"/>
    <n v="-89.238699999999994"/>
    <n v="50.12"/>
    <n v="0"/>
    <n v="0"/>
    <n v="105"/>
    <s v="_x0000_US"/>
  </r>
  <r>
    <x v="4"/>
    <n v="13.6899"/>
    <n v="-89.238699999999994"/>
    <n v="315.04000000000002"/>
    <n v="0"/>
    <n v="0"/>
    <n v="105"/>
    <s v="_x0000_US"/>
  </r>
  <r>
    <x v="4"/>
    <n v="13.682499999999999"/>
    <n v="-89.238699999999994"/>
    <n v="1022.36"/>
    <n v="0"/>
    <n v="0"/>
    <n v="105"/>
    <s v="_x0000_US"/>
  </r>
  <r>
    <x v="4"/>
    <n v="13.682499999999999"/>
    <n v="-89.238699999999994"/>
    <n v="1022.36"/>
    <n v="0"/>
    <n v="0"/>
    <n v="105"/>
    <s v="_x0000_US"/>
  </r>
  <r>
    <x v="4"/>
    <n v="13.682600000000001"/>
    <n v="-89.238500000000002"/>
    <n v="284.92"/>
    <n v="0"/>
    <n v="0"/>
    <n v="105"/>
    <s v="_x0000_US"/>
  </r>
  <r>
    <x v="4"/>
    <n v="13.682700000000001"/>
    <n v="-89.238500000000002"/>
    <n v="336.52"/>
    <n v="0"/>
    <n v="0"/>
    <n v="105"/>
    <s v="_x0000_US"/>
  </r>
  <r>
    <x v="4"/>
    <n v="13.682600000000001"/>
    <n v="-89.238399999999999"/>
    <n v="134.08000000000001"/>
    <n v="0"/>
    <n v="0"/>
    <n v="105"/>
    <s v="_x0000_US"/>
  </r>
  <r>
    <x v="4"/>
    <n v="13.6899"/>
    <n v="-89.238399999999999"/>
    <n v="519.55999999999995"/>
    <n v="0"/>
    <n v="0"/>
    <n v="105"/>
    <s v="_x0000_US"/>
  </r>
  <r>
    <x v="4"/>
    <n v="13.6844"/>
    <n v="-89.238299999999995"/>
    <n v="687.16"/>
    <n v="0"/>
    <n v="0"/>
    <n v="105"/>
    <s v="_x0000_US"/>
  </r>
  <r>
    <x v="4"/>
    <n v="13.690200000000001"/>
    <n v="-89.238200000000006"/>
    <n v="193.32"/>
    <n v="0"/>
    <n v="0"/>
    <n v="105"/>
    <s v="_x0000_US"/>
  </r>
  <r>
    <x v="4"/>
    <n v="13.689"/>
    <n v="-89.238200000000006"/>
    <n v="2291.1999999999998"/>
    <n v="0"/>
    <n v="0"/>
    <n v="105"/>
    <s v="_x0000_US"/>
  </r>
  <r>
    <x v="4"/>
    <n v="13.686500000000001"/>
    <n v="-89.238200000000006"/>
    <n v="2865.96"/>
    <n v="0"/>
    <n v="0"/>
    <n v="105"/>
    <s v="_x0000_US"/>
  </r>
  <r>
    <x v="4"/>
    <n v="13.688499999999999"/>
    <n v="-89.237899999999996"/>
    <n v="2276.88"/>
    <n v="0"/>
    <n v="0"/>
    <n v="105"/>
    <s v="_x0000_US"/>
  </r>
  <r>
    <x v="4"/>
    <n v="13.6845"/>
    <n v="-89.237799999999993"/>
    <n v="372.32"/>
    <n v="0"/>
    <n v="0"/>
    <n v="105"/>
    <s v="_x0000_US"/>
  </r>
  <r>
    <x v="4"/>
    <n v="13.684900000000001"/>
    <n v="-89.2376"/>
    <n v="921.8"/>
    <n v="0"/>
    <n v="0"/>
    <n v="105"/>
    <s v="_x0000_US"/>
  </r>
  <r>
    <x v="4"/>
    <n v="13.6906"/>
    <n v="-89.237399999999994"/>
    <n v="1835.22"/>
    <n v="0"/>
    <n v="0"/>
    <n v="105"/>
    <s v="_x0000_US"/>
  </r>
  <r>
    <x v="4"/>
    <n v="13.6883"/>
    <n v="-89.236699999999999"/>
    <n v="1016.72"/>
    <n v="0"/>
    <n v="0"/>
    <n v="105"/>
    <s v="_x0000_US"/>
  </r>
  <r>
    <x v="4"/>
    <n v="13.689299999999999"/>
    <n v="-89.236599999999996"/>
    <n v="723.16"/>
    <n v="0"/>
    <n v="0"/>
    <n v="105"/>
    <s v="_x0000_US"/>
  </r>
  <r>
    <x v="4"/>
    <n v="13.6891"/>
    <n v="-89.236400000000003"/>
    <n v="408.12"/>
    <n v="0"/>
    <n v="0"/>
    <n v="105"/>
    <s v="_x0000_US"/>
  </r>
  <r>
    <x v="4"/>
    <n v="13.689299999999999"/>
    <n v="-89.236199999999997"/>
    <n v="93.08"/>
    <n v="0"/>
    <n v="0"/>
    <n v="105"/>
    <s v="_x0000_US"/>
  </r>
  <r>
    <x v="4"/>
    <n v="13.689399999999999"/>
    <n v="-89.236199999999997"/>
    <n v="121.72"/>
    <n v="0"/>
    <n v="0"/>
    <n v="105"/>
    <s v="_x0000_US"/>
  </r>
  <r>
    <x v="4"/>
    <n v="13.6899"/>
    <n v="-89.236199999999997"/>
    <n v="179"/>
    <n v="0"/>
    <n v="0"/>
    <n v="105"/>
    <s v="_x0000_US"/>
  </r>
  <r>
    <x v="4"/>
    <n v="13.6915"/>
    <n v="-89.236199999999997"/>
    <n v="3236.32"/>
    <n v="0"/>
    <n v="0"/>
    <n v="105"/>
    <s v="_x0000_US"/>
  </r>
  <r>
    <x v="4"/>
    <n v="13.6892"/>
    <n v="-89.236099999999993"/>
    <n v="50.12"/>
    <n v="0"/>
    <n v="0"/>
    <n v="105"/>
    <s v="_x0000_US"/>
  </r>
  <r>
    <x v="4"/>
    <n v="13.689399999999999"/>
    <n v="-89.236099999999993"/>
    <n v="64.44"/>
    <n v="0"/>
    <n v="0"/>
    <n v="105"/>
    <s v="_x0000_US"/>
  </r>
  <r>
    <x v="4"/>
    <n v="13.689500000000001"/>
    <n v="-89.236099999999993"/>
    <n v="64.44"/>
    <n v="0"/>
    <n v="0"/>
    <n v="105"/>
    <s v="_x0000_US"/>
  </r>
  <r>
    <x v="4"/>
    <n v="13.6891"/>
    <n v="-89.236099999999993"/>
    <n v="93.08"/>
    <n v="0"/>
    <n v="0"/>
    <n v="105"/>
    <s v="_x0000_US"/>
  </r>
  <r>
    <x v="4"/>
    <n v="13.689299999999999"/>
    <n v="-89.236099999999993"/>
    <n v="136.04"/>
    <n v="0"/>
    <n v="0"/>
    <n v="105"/>
    <s v="_x0000_US"/>
  </r>
  <r>
    <x v="4"/>
    <n v="13.69"/>
    <n v="-89.236099999999993"/>
    <n v="179"/>
    <n v="0"/>
    <n v="0"/>
    <n v="105"/>
    <s v="_x0000_US"/>
  </r>
  <r>
    <x v="4"/>
    <n v="13.6904"/>
    <n v="-89.236099999999993"/>
    <n v="415.28"/>
    <n v="0"/>
    <n v="0"/>
    <n v="105"/>
    <s v="_x0000_US"/>
  </r>
  <r>
    <x v="4"/>
    <n v="13.689299999999999"/>
    <n v="-89.236000000000004"/>
    <n v="50.12"/>
    <n v="0"/>
    <n v="0"/>
    <n v="105"/>
    <s v="_x0000_US"/>
  </r>
  <r>
    <x v="4"/>
    <n v="13.690099999999999"/>
    <n v="-89.236000000000004"/>
    <n v="78.760000000000005"/>
    <n v="0"/>
    <n v="0"/>
    <n v="105"/>
    <s v="_x0000_US"/>
  </r>
  <r>
    <x v="4"/>
    <n v="13.689299999999999"/>
    <n v="-89.236000000000004"/>
    <n v="107.4"/>
    <n v="0"/>
    <n v="0"/>
    <n v="105"/>
    <s v="_x0000_US"/>
  </r>
  <r>
    <x v="4"/>
    <n v="13.6891"/>
    <n v="-89.236000000000004"/>
    <n v="171.84"/>
    <n v="0"/>
    <n v="0"/>
    <n v="105"/>
    <s v="_x0000_US"/>
  </r>
  <r>
    <x v="4"/>
    <n v="13.689"/>
    <n v="-89.236000000000004"/>
    <n v="264.92"/>
    <n v="0"/>
    <n v="0"/>
    <n v="105"/>
    <s v="_x0000_US"/>
  </r>
  <r>
    <x v="4"/>
    <n v="13.6892"/>
    <n v="-89.235900000000001"/>
    <n v="50.12"/>
    <n v="0"/>
    <n v="0"/>
    <n v="105"/>
    <s v="_x0000_US"/>
  </r>
  <r>
    <x v="4"/>
    <n v="13.690099999999999"/>
    <n v="-89.235900000000001"/>
    <n v="57.28"/>
    <n v="0"/>
    <n v="0"/>
    <n v="105"/>
    <s v="_x0000_US"/>
  </r>
  <r>
    <x v="4"/>
    <n v="13.689500000000001"/>
    <n v="-89.235900000000001"/>
    <n v="57.28"/>
    <n v="0"/>
    <n v="0"/>
    <n v="105"/>
    <s v="_x0000_US"/>
  </r>
  <r>
    <x v="4"/>
    <n v="13.6892"/>
    <n v="-89.235900000000001"/>
    <n v="114.56"/>
    <n v="0"/>
    <n v="0"/>
    <n v="105"/>
    <s v="_x0000_US"/>
  </r>
  <r>
    <x v="4"/>
    <n v="13.690200000000001"/>
    <n v="-89.235900000000001"/>
    <n v="128.88"/>
    <n v="0"/>
    <n v="0"/>
    <n v="105"/>
    <s v="_x0000_US"/>
  </r>
  <r>
    <x v="4"/>
    <n v="13.6907"/>
    <n v="-89.235900000000001"/>
    <n v="171.84"/>
    <n v="0"/>
    <n v="0"/>
    <n v="105"/>
    <s v="_x0000_US"/>
  </r>
  <r>
    <x v="4"/>
    <n v="13.690300000000001"/>
    <n v="-89.235900000000001"/>
    <n v="207.64"/>
    <n v="0"/>
    <n v="0"/>
    <n v="105"/>
    <s v="_x0000_US"/>
  </r>
  <r>
    <x v="4"/>
    <n v="13.690799999999999"/>
    <n v="-89.235900000000001"/>
    <n v="207.64"/>
    <n v="0"/>
    <n v="0"/>
    <n v="105"/>
    <s v="_x0000_US"/>
  </r>
  <r>
    <x v="4"/>
    <n v="13.689399999999999"/>
    <n v="-89.235900000000001"/>
    <n v="300.72000000000003"/>
    <n v="0"/>
    <n v="0"/>
    <n v="105"/>
    <s v="_x0000_US"/>
  </r>
  <r>
    <x v="4"/>
    <n v="13.6897"/>
    <n v="-89.235900000000001"/>
    <n v="365.16"/>
    <n v="0"/>
    <n v="0"/>
    <n v="105"/>
    <s v="_x0000_US"/>
  </r>
  <r>
    <x v="4"/>
    <n v="13.690899999999999"/>
    <n v="-89.235799999999998"/>
    <n v="42.96"/>
    <n v="0"/>
    <n v="0"/>
    <n v="105"/>
    <s v="_x0000_US"/>
  </r>
  <r>
    <x v="4"/>
    <n v="13.690899999999999"/>
    <n v="-89.235799999999998"/>
    <n v="42.96"/>
    <n v="0"/>
    <n v="0"/>
    <n v="105"/>
    <s v="_x0000_US"/>
  </r>
  <r>
    <x v="4"/>
    <n v="13.6904"/>
    <n v="-89.235799999999998"/>
    <n v="57.28"/>
    <n v="0"/>
    <n v="0"/>
    <n v="105"/>
    <s v="_x0000_US"/>
  </r>
  <r>
    <x v="4"/>
    <n v="13.6892"/>
    <n v="-89.235799999999998"/>
    <n v="78.760000000000005"/>
    <n v="0"/>
    <n v="0"/>
    <n v="105"/>
    <s v="_x0000_US"/>
  </r>
  <r>
    <x v="4"/>
    <n v="13.6906"/>
    <n v="-89.235799999999998"/>
    <n v="85.92"/>
    <n v="0"/>
    <n v="0"/>
    <n v="105"/>
    <s v="_x0000_US"/>
  </r>
  <r>
    <x v="4"/>
    <n v="13.690899999999999"/>
    <n v="-89.235799999999998"/>
    <n v="85.92"/>
    <n v="0"/>
    <n v="0"/>
    <n v="105"/>
    <s v="_x0000_US"/>
  </r>
  <r>
    <x v="4"/>
    <n v="13.689299999999999"/>
    <n v="-89.235799999999998"/>
    <n v="100.24"/>
    <n v="0"/>
    <n v="0"/>
    <n v="105"/>
    <s v="_x0000_US"/>
  </r>
  <r>
    <x v="4"/>
    <n v="13.69"/>
    <n v="-89.235799999999998"/>
    <n v="128.88"/>
    <n v="0"/>
    <n v="0"/>
    <n v="105"/>
    <s v="_x0000_US"/>
  </r>
  <r>
    <x v="4"/>
    <n v="13.689500000000001"/>
    <n v="-89.235799999999998"/>
    <n v="128.88"/>
    <n v="0"/>
    <n v="0"/>
    <n v="105"/>
    <s v="_x0000_US"/>
  </r>
  <r>
    <x v="4"/>
    <n v="13.6905"/>
    <n v="-89.235799999999998"/>
    <n v="136.04"/>
    <n v="0"/>
    <n v="0"/>
    <n v="105"/>
    <s v="_x0000_US"/>
  </r>
  <r>
    <x v="4"/>
    <n v="13.6891"/>
    <n v="-89.235799999999998"/>
    <n v="150.36000000000001"/>
    <n v="0"/>
    <n v="0"/>
    <n v="105"/>
    <s v="_x0000_US"/>
  </r>
  <r>
    <x v="4"/>
    <n v="13.6899"/>
    <n v="-89.235799999999998"/>
    <n v="171.84"/>
    <n v="0"/>
    <n v="0"/>
    <n v="105"/>
    <s v="_x0000_US"/>
  </r>
  <r>
    <x v="4"/>
    <n v="13.690799999999999"/>
    <n v="-89.235799999999998"/>
    <n v="200.48"/>
    <n v="0"/>
    <n v="0"/>
    <n v="105"/>
    <s v="_x0000_US"/>
  </r>
  <r>
    <x v="4"/>
    <n v="13.6911"/>
    <n v="-89.235799999999998"/>
    <n v="272.08"/>
    <n v="0"/>
    <n v="0"/>
    <n v="105"/>
    <s v="_x0000_US"/>
  </r>
  <r>
    <x v="4"/>
    <n v="13.6907"/>
    <n v="-89.235699999999994"/>
    <n v="42.96"/>
    <n v="0"/>
    <n v="0"/>
    <n v="105"/>
    <s v="_x0000_US"/>
  </r>
  <r>
    <x v="4"/>
    <n v="13.689399999999999"/>
    <n v="-89.235699999999994"/>
    <n v="50.12"/>
    <n v="0"/>
    <n v="0"/>
    <n v="105"/>
    <s v="_x0000_US"/>
  </r>
  <r>
    <x v="4"/>
    <n v="13.690899999999999"/>
    <n v="-89.235699999999994"/>
    <n v="50.12"/>
    <n v="0"/>
    <n v="0"/>
    <n v="105"/>
    <s v="_x0000_US"/>
  </r>
  <r>
    <x v="4"/>
    <n v="13.6906"/>
    <n v="-89.235699999999994"/>
    <n v="64.44"/>
    <n v="0"/>
    <n v="0"/>
    <n v="105"/>
    <s v="_x0000_US"/>
  </r>
  <r>
    <x v="4"/>
    <n v="13.6914"/>
    <n v="-89.235699999999994"/>
    <n v="85.92"/>
    <n v="0"/>
    <n v="0"/>
    <n v="105"/>
    <s v="_x0000_US"/>
  </r>
  <r>
    <x v="4"/>
    <n v="13.6914"/>
    <n v="-89.235699999999994"/>
    <n v="85.92"/>
    <n v="0"/>
    <n v="0"/>
    <n v="105"/>
    <s v="_x0000_US"/>
  </r>
  <r>
    <x v="4"/>
    <n v="13.691000000000001"/>
    <n v="-89.235699999999994"/>
    <n v="100.24"/>
    <n v="0"/>
    <n v="0"/>
    <n v="105"/>
    <s v="_x0000_US"/>
  </r>
  <r>
    <x v="4"/>
    <n v="13.6907"/>
    <n v="-89.235699999999994"/>
    <n v="100.24"/>
    <n v="0"/>
    <n v="0"/>
    <n v="105"/>
    <s v="_x0000_US"/>
  </r>
  <r>
    <x v="4"/>
    <n v="13.6904"/>
    <n v="-89.235699999999994"/>
    <n v="107.4"/>
    <n v="0"/>
    <n v="0"/>
    <n v="105"/>
    <s v="_x0000_US"/>
  </r>
  <r>
    <x v="4"/>
    <n v="13.690099999999999"/>
    <n v="-89.235699999999994"/>
    <n v="136.04"/>
    <n v="0"/>
    <n v="0"/>
    <n v="105"/>
    <s v="_x0000_US"/>
  </r>
  <r>
    <x v="4"/>
    <n v="13.689299999999999"/>
    <n v="-89.235699999999994"/>
    <n v="143.19999999999999"/>
    <n v="0"/>
    <n v="0"/>
    <n v="105"/>
    <s v="_x0000_US"/>
  </r>
  <r>
    <x v="4"/>
    <n v="13.690200000000001"/>
    <n v="-89.235699999999994"/>
    <n v="214.8"/>
    <n v="0"/>
    <n v="0"/>
    <n v="105"/>
    <s v="_x0000_US"/>
  </r>
  <r>
    <x v="4"/>
    <n v="13.6915"/>
    <n v="-89.235600000000005"/>
    <n v="21.48"/>
    <n v="0"/>
    <n v="0"/>
    <n v="105"/>
    <s v="_x0000_US"/>
  </r>
  <r>
    <x v="4"/>
    <n v="13.690899999999999"/>
    <n v="-89.235600000000005"/>
    <n v="28.64"/>
    <n v="0"/>
    <n v="0"/>
    <n v="105"/>
    <s v="_x0000_US"/>
  </r>
  <r>
    <x v="4"/>
    <n v="13.690899999999999"/>
    <n v="-89.235600000000005"/>
    <n v="35.799999999999997"/>
    <n v="0"/>
    <n v="0"/>
    <n v="105"/>
    <s v="_x0000_US"/>
  </r>
  <r>
    <x v="4"/>
    <n v="13.6906"/>
    <n v="-89.235600000000005"/>
    <n v="50.12"/>
    <n v="0"/>
    <n v="0"/>
    <n v="105"/>
    <s v="_x0000_US"/>
  </r>
  <r>
    <x v="4"/>
    <n v="13.6912"/>
    <n v="-89.235600000000005"/>
    <n v="64.44"/>
    <n v="0"/>
    <n v="0"/>
    <n v="105"/>
    <s v="_x0000_US"/>
  </r>
  <r>
    <x v="4"/>
    <n v="13.690899999999999"/>
    <n v="-89.235600000000005"/>
    <n v="64.44"/>
    <n v="0"/>
    <n v="0"/>
    <n v="105"/>
    <s v="_x0000_US"/>
  </r>
  <r>
    <x v="4"/>
    <n v="13.6906"/>
    <n v="-89.235600000000005"/>
    <n v="71.599999999999994"/>
    <n v="0"/>
    <n v="0"/>
    <n v="105"/>
    <s v="_x0000_US"/>
  </r>
  <r>
    <x v="4"/>
    <n v="13.69"/>
    <n v="-89.235600000000005"/>
    <n v="78.760000000000005"/>
    <n v="0"/>
    <n v="0"/>
    <n v="105"/>
    <s v="_x0000_US"/>
  </r>
  <r>
    <x v="4"/>
    <n v="13.6915"/>
    <n v="-89.235600000000005"/>
    <n v="93.08"/>
    <n v="0"/>
    <n v="0"/>
    <n v="105"/>
    <s v="_x0000_US"/>
  </r>
  <r>
    <x v="4"/>
    <n v="13.6913"/>
    <n v="-89.235600000000005"/>
    <n v="107.4"/>
    <n v="0"/>
    <n v="0"/>
    <n v="105"/>
    <s v="_x0000_US"/>
  </r>
  <r>
    <x v="4"/>
    <n v="13.6907"/>
    <n v="-89.235600000000005"/>
    <n v="121.72"/>
    <n v="0"/>
    <n v="0"/>
    <n v="105"/>
    <s v="_x0000_US"/>
  </r>
  <r>
    <x v="4"/>
    <n v="13.6898"/>
    <n v="-89.235600000000005"/>
    <n v="128.88"/>
    <n v="0"/>
    <n v="0"/>
    <n v="105"/>
    <s v="_x0000_US"/>
  </r>
  <r>
    <x v="4"/>
    <n v="13.6905"/>
    <n v="-89.235600000000005"/>
    <n v="128.88"/>
    <n v="0"/>
    <n v="0"/>
    <n v="105"/>
    <s v="_x0000_US"/>
  </r>
  <r>
    <x v="4"/>
    <n v="13.690200000000001"/>
    <n v="-89.235600000000005"/>
    <n v="171.84"/>
    <n v="0"/>
    <n v="0"/>
    <n v="105"/>
    <s v="_x0000_US"/>
  </r>
  <r>
    <x v="4"/>
    <n v="13.6892"/>
    <n v="-89.235600000000005"/>
    <n v="186.16"/>
    <n v="0"/>
    <n v="0"/>
    <n v="105"/>
    <s v="_x0000_US"/>
  </r>
  <r>
    <x v="4"/>
    <n v="13.6897"/>
    <n v="-89.235600000000005"/>
    <n v="365.16"/>
    <n v="0"/>
    <n v="0"/>
    <n v="105"/>
    <s v="_x0000_US"/>
  </r>
  <r>
    <x v="4"/>
    <n v="13.6898"/>
    <n v="-89.235500000000002"/>
    <n v="14.32"/>
    <n v="0"/>
    <n v="0"/>
    <n v="105"/>
    <s v="_x0000_US"/>
  </r>
  <r>
    <x v="4"/>
    <n v="13.6914"/>
    <n v="-89.235500000000002"/>
    <n v="21.48"/>
    <n v="0"/>
    <n v="0"/>
    <n v="105"/>
    <s v="_x0000_US"/>
  </r>
  <r>
    <x v="4"/>
    <n v="13.6914"/>
    <n v="-89.235500000000002"/>
    <n v="50.12"/>
    <n v="0"/>
    <n v="0"/>
    <n v="105"/>
    <s v="_x0000_US"/>
  </r>
  <r>
    <x v="4"/>
    <n v="13.690799999999999"/>
    <n v="-89.235500000000002"/>
    <n v="50.12"/>
    <n v="0"/>
    <n v="0"/>
    <n v="105"/>
    <s v="_x0000_US"/>
  </r>
  <r>
    <x v="4"/>
    <n v="13.6915"/>
    <n v="-89.235500000000002"/>
    <n v="71.599999999999994"/>
    <n v="0"/>
    <n v="0"/>
    <n v="105"/>
    <s v="_x0000_US"/>
  </r>
  <r>
    <x v="4"/>
    <n v="13.690799999999999"/>
    <n v="-89.235500000000002"/>
    <n v="71.599999999999994"/>
    <n v="0"/>
    <n v="0"/>
    <n v="105"/>
    <s v="_x0000_US"/>
  </r>
  <r>
    <x v="4"/>
    <n v="13.6898"/>
    <n v="-89.235500000000002"/>
    <n v="78.760000000000005"/>
    <n v="0"/>
    <n v="0"/>
    <n v="105"/>
    <s v="_x0000_US"/>
  </r>
  <r>
    <x v="4"/>
    <n v="13.6912"/>
    <n v="-89.235500000000002"/>
    <n v="121.72"/>
    <n v="0"/>
    <n v="0"/>
    <n v="105"/>
    <s v="_x0000_US"/>
  </r>
  <r>
    <x v="4"/>
    <n v="13.6899"/>
    <n v="-89.235500000000002"/>
    <n v="121.72"/>
    <n v="0"/>
    <n v="0"/>
    <n v="105"/>
    <s v="_x0000_US"/>
  </r>
  <r>
    <x v="4"/>
    <n v="13.690799999999999"/>
    <n v="-89.235500000000002"/>
    <n v="136.04"/>
    <n v="0"/>
    <n v="0"/>
    <n v="105"/>
    <s v="_x0000_US"/>
  </r>
  <r>
    <x v="4"/>
    <n v="13.690899999999999"/>
    <n v="-89.235500000000002"/>
    <n v="150.36000000000001"/>
    <n v="0"/>
    <n v="0"/>
    <n v="105"/>
    <s v="_x0000_US"/>
  </r>
  <r>
    <x v="4"/>
    <n v="13.6904"/>
    <n v="-89.235500000000002"/>
    <n v="150.36000000000001"/>
    <n v="0"/>
    <n v="0"/>
    <n v="105"/>
    <s v="_x0000_US"/>
  </r>
  <r>
    <x v="4"/>
    <n v="13.6913"/>
    <n v="-89.235500000000002"/>
    <n v="193.32"/>
    <n v="0"/>
    <n v="0"/>
    <n v="105"/>
    <s v="_x0000_US"/>
  </r>
  <r>
    <x v="4"/>
    <n v="13.6911"/>
    <n v="-89.235500000000002"/>
    <n v="250.6"/>
    <n v="0"/>
    <n v="0"/>
    <n v="105"/>
    <s v="_x0000_US"/>
  </r>
  <r>
    <x v="4"/>
    <n v="13.689500000000001"/>
    <n v="-89.235500000000002"/>
    <n v="329.36"/>
    <n v="0"/>
    <n v="0"/>
    <n v="105"/>
    <s v="_x0000_US"/>
  </r>
  <r>
    <x v="4"/>
    <n v="13.690300000000001"/>
    <n v="-89.235399999999998"/>
    <n v="21.48"/>
    <n v="0"/>
    <n v="0"/>
    <n v="105"/>
    <s v="_x0000_US"/>
  </r>
  <r>
    <x v="4"/>
    <n v="13.6898"/>
    <n v="-89.235399999999998"/>
    <n v="28.64"/>
    <n v="0"/>
    <n v="0"/>
    <n v="105"/>
    <s v="_x0000_US"/>
  </r>
  <r>
    <x v="4"/>
    <n v="13.6904"/>
    <n v="-89.235399999999998"/>
    <n v="50.12"/>
    <n v="0"/>
    <n v="0"/>
    <n v="105"/>
    <s v="_x0000_US"/>
  </r>
  <r>
    <x v="4"/>
    <n v="13.6904"/>
    <n v="-89.235399999999998"/>
    <n v="57.28"/>
    <n v="0"/>
    <n v="0"/>
    <n v="105"/>
    <s v="_x0000_US"/>
  </r>
  <r>
    <x v="4"/>
    <n v="13.6904"/>
    <n v="-89.235399999999998"/>
    <n v="57.28"/>
    <n v="0"/>
    <n v="0"/>
    <n v="105"/>
    <s v="_x0000_US"/>
  </r>
  <r>
    <x v="4"/>
    <n v="13.690200000000001"/>
    <n v="-89.235399999999998"/>
    <n v="64.44"/>
    <n v="0"/>
    <n v="0"/>
    <n v="105"/>
    <s v="_x0000_US"/>
  </r>
  <r>
    <x v="4"/>
    <n v="13.6898"/>
    <n v="-89.235399999999998"/>
    <n v="78.760000000000005"/>
    <n v="0"/>
    <n v="0"/>
    <n v="105"/>
    <s v="_x0000_US"/>
  </r>
  <r>
    <x v="4"/>
    <n v="13.6898"/>
    <n v="-89.235399999999998"/>
    <n v="93.08"/>
    <n v="0"/>
    <n v="0"/>
    <n v="105"/>
    <s v="_x0000_US"/>
  </r>
  <r>
    <x v="4"/>
    <n v="13.6914"/>
    <n v="-89.235399999999998"/>
    <n v="100.24"/>
    <n v="0"/>
    <n v="0"/>
    <n v="105"/>
    <s v="_x0000_US"/>
  </r>
  <r>
    <x v="4"/>
    <n v="13.690200000000001"/>
    <n v="-89.235399999999998"/>
    <n v="107.4"/>
    <n v="0"/>
    <n v="0"/>
    <n v="105"/>
    <s v="_x0000_US"/>
  </r>
  <r>
    <x v="4"/>
    <n v="13.690300000000001"/>
    <n v="-89.235399999999998"/>
    <n v="114.56"/>
    <n v="0"/>
    <n v="0"/>
    <n v="105"/>
    <s v="_x0000_US"/>
  </r>
  <r>
    <x v="4"/>
    <n v="13.6915"/>
    <n v="-89.235399999999998"/>
    <n v="121.72"/>
    <n v="0"/>
    <n v="0"/>
    <n v="105"/>
    <s v="_x0000_US"/>
  </r>
  <r>
    <x v="4"/>
    <n v="13.6897"/>
    <n v="-89.235399999999998"/>
    <n v="150.36000000000001"/>
    <n v="0"/>
    <n v="0"/>
    <n v="105"/>
    <s v="_x0000_US"/>
  </r>
  <r>
    <x v="4"/>
    <n v="13.690099999999999"/>
    <n v="-89.235399999999998"/>
    <n v="171.84"/>
    <n v="0"/>
    <n v="0"/>
    <n v="105"/>
    <s v="_x0000_US"/>
  </r>
  <r>
    <x v="4"/>
    <n v="13.6905"/>
    <n v="-89.235399999999998"/>
    <n v="179"/>
    <n v="0"/>
    <n v="0"/>
    <n v="105"/>
    <s v="_x0000_US"/>
  </r>
  <r>
    <x v="4"/>
    <n v="13.6913"/>
    <n v="-89.235399999999998"/>
    <n v="186.16"/>
    <n v="0"/>
    <n v="0"/>
    <n v="105"/>
    <s v="_x0000_US"/>
  </r>
  <r>
    <x v="4"/>
    <n v="13.6907"/>
    <n v="-89.235399999999998"/>
    <n v="200.48"/>
    <n v="0"/>
    <n v="0"/>
    <n v="105"/>
    <s v="_x0000_US"/>
  </r>
  <r>
    <x v="4"/>
    <n v="13.689399999999999"/>
    <n v="-89.235399999999998"/>
    <n v="307.88"/>
    <n v="0"/>
    <n v="0"/>
    <n v="105"/>
    <s v="_x0000_US"/>
  </r>
  <r>
    <x v="4"/>
    <n v="13.6904"/>
    <n v="-89.235299999999995"/>
    <n v="21.48"/>
    <n v="0"/>
    <n v="0"/>
    <n v="105"/>
    <s v="_x0000_US"/>
  </r>
  <r>
    <x v="4"/>
    <n v="13.6898"/>
    <n v="-89.235299999999995"/>
    <n v="50.12"/>
    <n v="0"/>
    <n v="0"/>
    <n v="105"/>
    <s v="_x0000_US"/>
  </r>
  <r>
    <x v="4"/>
    <n v="13.6904"/>
    <n v="-89.235299999999995"/>
    <n v="78.760000000000005"/>
    <n v="0"/>
    <n v="0"/>
    <n v="105"/>
    <s v="_x0000_US"/>
  </r>
  <r>
    <x v="4"/>
    <n v="13.6914"/>
    <n v="-89.235299999999995"/>
    <n v="93.08"/>
    <n v="0"/>
    <n v="0"/>
    <n v="105"/>
    <s v="_x0000_US"/>
  </r>
  <r>
    <x v="4"/>
    <n v="13.6912"/>
    <n v="-89.235299999999995"/>
    <n v="100.24"/>
    <n v="0"/>
    <n v="0"/>
    <n v="105"/>
    <s v="_x0000_US"/>
  </r>
  <r>
    <x v="4"/>
    <n v="13.6898"/>
    <n v="-89.235299999999995"/>
    <n v="100.24"/>
    <n v="0"/>
    <n v="0"/>
    <n v="105"/>
    <s v="_x0000_US"/>
  </r>
  <r>
    <x v="4"/>
    <n v="13.6904"/>
    <n v="-89.235299999999995"/>
    <n v="107.4"/>
    <n v="0"/>
    <n v="0"/>
    <n v="105"/>
    <s v="_x0000_US"/>
  </r>
  <r>
    <x v="4"/>
    <n v="13.6906"/>
    <n v="-89.235299999999995"/>
    <n v="114.56"/>
    <n v="0"/>
    <n v="0"/>
    <n v="105"/>
    <s v="_x0000_US"/>
  </r>
  <r>
    <x v="4"/>
    <n v="13.690200000000001"/>
    <n v="-89.235299999999995"/>
    <n v="121.72"/>
    <n v="0"/>
    <n v="0"/>
    <n v="105"/>
    <s v="_x0000_US"/>
  </r>
  <r>
    <x v="4"/>
    <n v="13.689500000000001"/>
    <n v="-89.235299999999995"/>
    <n v="143.19999999999999"/>
    <n v="0"/>
    <n v="0"/>
    <n v="105"/>
    <s v="_x0000_US"/>
  </r>
  <r>
    <x v="4"/>
    <n v="13.690799999999999"/>
    <n v="-89.235299999999995"/>
    <n v="193.32"/>
    <n v="0"/>
    <n v="0"/>
    <n v="105"/>
    <s v="_x0000_US"/>
  </r>
  <r>
    <x v="4"/>
    <n v="13.690899999999999"/>
    <n v="-89.235299999999995"/>
    <n v="229.12"/>
    <n v="0"/>
    <n v="0"/>
    <n v="105"/>
    <s v="_x0000_US"/>
  </r>
  <r>
    <x v="4"/>
    <n v="13.6907"/>
    <n v="-89.235200000000006"/>
    <n v="14.32"/>
    <n v="0"/>
    <n v="0"/>
    <n v="105"/>
    <s v="_x0000_US"/>
  </r>
  <r>
    <x v="4"/>
    <n v="13.6907"/>
    <n v="-89.235200000000006"/>
    <n v="21.48"/>
    <n v="0"/>
    <n v="0"/>
    <n v="105"/>
    <s v="_x0000_US"/>
  </r>
  <r>
    <x v="4"/>
    <n v="13.6906"/>
    <n v="-89.235200000000006"/>
    <n v="21.48"/>
    <n v="0"/>
    <n v="0"/>
    <n v="105"/>
    <s v="_x0000_US"/>
  </r>
  <r>
    <x v="4"/>
    <n v="13.6907"/>
    <n v="-89.235200000000006"/>
    <n v="35.799999999999997"/>
    <n v="0"/>
    <n v="0"/>
    <n v="105"/>
    <s v="_x0000_US"/>
  </r>
  <r>
    <x v="4"/>
    <n v="13.6914"/>
    <n v="-89.235200000000006"/>
    <n v="42.96"/>
    <n v="0"/>
    <n v="0"/>
    <n v="105"/>
    <s v="_x0000_US"/>
  </r>
  <r>
    <x v="4"/>
    <n v="13.69"/>
    <n v="-89.235200000000006"/>
    <n v="50.12"/>
    <n v="0"/>
    <n v="0"/>
    <n v="105"/>
    <s v="_x0000_US"/>
  </r>
  <r>
    <x v="4"/>
    <n v="13.6904"/>
    <n v="-89.235200000000006"/>
    <n v="64.44"/>
    <n v="0"/>
    <n v="0"/>
    <n v="105"/>
    <s v="_x0000_US"/>
  </r>
  <r>
    <x v="4"/>
    <n v="13.6905"/>
    <n v="-89.235200000000006"/>
    <n v="78.760000000000005"/>
    <n v="0"/>
    <n v="0"/>
    <n v="105"/>
    <s v="_x0000_US"/>
  </r>
  <r>
    <x v="4"/>
    <n v="13.6907"/>
    <n v="-89.235200000000006"/>
    <n v="85.92"/>
    <n v="0"/>
    <n v="0"/>
    <n v="105"/>
    <s v="_x0000_US"/>
  </r>
  <r>
    <x v="4"/>
    <n v="13.6911"/>
    <n v="-89.235200000000006"/>
    <n v="85.92"/>
    <n v="0"/>
    <n v="0"/>
    <n v="105"/>
    <s v="_x0000_US"/>
  </r>
  <r>
    <x v="4"/>
    <n v="13.691000000000001"/>
    <n v="-89.235200000000006"/>
    <n v="100.24"/>
    <n v="0"/>
    <n v="0"/>
    <n v="105"/>
    <s v="_x0000_US"/>
  </r>
  <r>
    <x v="4"/>
    <n v="13.690099999999999"/>
    <n v="-89.235200000000006"/>
    <n v="114.56"/>
    <n v="0"/>
    <n v="0"/>
    <n v="105"/>
    <s v="_x0000_US"/>
  </r>
  <r>
    <x v="4"/>
    <n v="13.6897"/>
    <n v="-89.235200000000006"/>
    <n v="150.36000000000001"/>
    <n v="0"/>
    <n v="0"/>
    <n v="105"/>
    <s v="_x0000_US"/>
  </r>
  <r>
    <x v="4"/>
    <n v="13.6911"/>
    <n v="-89.235200000000006"/>
    <n v="164.68"/>
    <n v="0"/>
    <n v="0"/>
    <n v="105"/>
    <s v="_x0000_US"/>
  </r>
  <r>
    <x v="4"/>
    <n v="13.6913"/>
    <n v="-89.235200000000006"/>
    <n v="229.12"/>
    <n v="0"/>
    <n v="0"/>
    <n v="105"/>
    <s v="_x0000_US"/>
  </r>
  <r>
    <x v="4"/>
    <n v="13.6867"/>
    <n v="-89.235200000000006"/>
    <n v="4625.76"/>
    <n v="0"/>
    <n v="0"/>
    <n v="105"/>
    <s v="_x0000_US"/>
  </r>
  <r>
    <x v="4"/>
    <n v="13.6907"/>
    <n v="-89.235100000000003"/>
    <n v="42.96"/>
    <n v="0"/>
    <n v="0"/>
    <n v="105"/>
    <s v="_x0000_US"/>
  </r>
  <r>
    <x v="4"/>
    <n v="13.690099999999999"/>
    <n v="-89.235100000000003"/>
    <n v="42.96"/>
    <n v="0"/>
    <n v="0"/>
    <n v="105"/>
    <s v="_x0000_US"/>
  </r>
  <r>
    <x v="4"/>
    <n v="13.6914"/>
    <n v="-89.235100000000003"/>
    <n v="50.12"/>
    <n v="0"/>
    <n v="0"/>
    <n v="105"/>
    <s v="_x0000_US"/>
  </r>
  <r>
    <x v="4"/>
    <n v="13.6913"/>
    <n v="-89.235100000000003"/>
    <n v="100.24"/>
    <n v="0"/>
    <n v="0"/>
    <n v="105"/>
    <s v="_x0000_US"/>
  </r>
  <r>
    <x v="4"/>
    <n v="13.6913"/>
    <n v="-89.235100000000003"/>
    <n v="100.24"/>
    <n v="0"/>
    <n v="0"/>
    <n v="105"/>
    <s v="_x0000_US"/>
  </r>
  <r>
    <x v="4"/>
    <n v="13.6906"/>
    <n v="-89.235100000000003"/>
    <n v="107.4"/>
    <n v="0"/>
    <n v="0"/>
    <n v="105"/>
    <s v="_x0000_US"/>
  </r>
  <r>
    <x v="4"/>
    <n v="13.6905"/>
    <n v="-89.235100000000003"/>
    <n v="114.56"/>
    <n v="0"/>
    <n v="0"/>
    <n v="105"/>
    <s v="_x0000_US"/>
  </r>
  <r>
    <x v="4"/>
    <n v="13.690899999999999"/>
    <n v="-89.235100000000003"/>
    <n v="114.56"/>
    <n v="0"/>
    <n v="0"/>
    <n v="105"/>
    <s v="_x0000_US"/>
  </r>
  <r>
    <x v="4"/>
    <n v="13.6912"/>
    <n v="-89.235100000000003"/>
    <n v="114.56"/>
    <n v="0"/>
    <n v="0"/>
    <n v="105"/>
    <s v="_x0000_US"/>
  </r>
  <r>
    <x v="4"/>
    <n v="13.691599999999999"/>
    <n v="-89.235100000000003"/>
    <n v="121.72"/>
    <n v="0"/>
    <n v="0"/>
    <n v="105"/>
    <s v="_x0000_US"/>
  </r>
  <r>
    <x v="4"/>
    <n v="13.6915"/>
    <n v="-89.235100000000003"/>
    <n v="121.72"/>
    <n v="0"/>
    <n v="0"/>
    <n v="105"/>
    <s v="_x0000_US"/>
  </r>
  <r>
    <x v="4"/>
    <n v="13.690200000000001"/>
    <n v="-89.235100000000003"/>
    <n v="121.72"/>
    <n v="0"/>
    <n v="0"/>
    <n v="105"/>
    <s v="_x0000_US"/>
  </r>
  <r>
    <x v="4"/>
    <n v="13.6911"/>
    <n v="-89.235100000000003"/>
    <n v="164.68"/>
    <n v="0"/>
    <n v="0"/>
    <n v="105"/>
    <s v="_x0000_US"/>
  </r>
  <r>
    <x v="4"/>
    <n v="13.690300000000001"/>
    <n v="-89.235100000000003"/>
    <n v="207.64"/>
    <n v="0"/>
    <n v="0"/>
    <n v="105"/>
    <s v="_x0000_US"/>
  </r>
  <r>
    <x v="4"/>
    <n v="13.690899999999999"/>
    <n v="-89.234999999999999"/>
    <n v="21.48"/>
    <n v="0"/>
    <n v="0"/>
    <n v="105"/>
    <s v="_x0000_US"/>
  </r>
  <r>
    <x v="4"/>
    <n v="13.6913"/>
    <n v="-89.234999999999999"/>
    <n v="42.96"/>
    <n v="0"/>
    <n v="0"/>
    <n v="105"/>
    <s v="_x0000_US"/>
  </r>
  <r>
    <x v="4"/>
    <n v="13.6913"/>
    <n v="-89.234999999999999"/>
    <n v="50.12"/>
    <n v="0"/>
    <n v="0"/>
    <n v="105"/>
    <s v="_x0000_US"/>
  </r>
  <r>
    <x v="4"/>
    <n v="13.6911"/>
    <n v="-89.234999999999999"/>
    <n v="57.28"/>
    <n v="0"/>
    <n v="0"/>
    <n v="105"/>
    <s v="_x0000_US"/>
  </r>
  <r>
    <x v="4"/>
    <n v="13.690300000000001"/>
    <n v="-89.234999999999999"/>
    <n v="57.28"/>
    <n v="0"/>
    <n v="0"/>
    <n v="105"/>
    <s v="_x0000_US"/>
  </r>
  <r>
    <x v="4"/>
    <n v="13.690300000000001"/>
    <n v="-89.234999999999999"/>
    <n v="64.44"/>
    <n v="0"/>
    <n v="0"/>
    <n v="105"/>
    <s v="_x0000_US"/>
  </r>
  <r>
    <x v="4"/>
    <n v="13.6911"/>
    <n v="-89.234999999999999"/>
    <n v="100.24"/>
    <n v="0"/>
    <n v="0"/>
    <n v="105"/>
    <s v="_x0000_US"/>
  </r>
  <r>
    <x v="4"/>
    <n v="13.690099999999999"/>
    <n v="-89.234999999999999"/>
    <n v="121.72"/>
    <n v="0"/>
    <n v="0"/>
    <n v="105"/>
    <s v="_x0000_US"/>
  </r>
  <r>
    <x v="4"/>
    <n v="13.6906"/>
    <n v="-89.234999999999999"/>
    <n v="136.04"/>
    <n v="0"/>
    <n v="0"/>
    <n v="105"/>
    <s v="_x0000_US"/>
  </r>
  <r>
    <x v="4"/>
    <n v="13.691000000000001"/>
    <n v="-89.234999999999999"/>
    <n v="136.04"/>
    <n v="0"/>
    <n v="0"/>
    <n v="105"/>
    <s v="_x0000_US"/>
  </r>
  <r>
    <x v="4"/>
    <n v="13.690799999999999"/>
    <n v="-89.234999999999999"/>
    <n v="164.68"/>
    <n v="0"/>
    <n v="0"/>
    <n v="105"/>
    <s v="_x0000_US"/>
  </r>
  <r>
    <x v="4"/>
    <n v="13.6899"/>
    <n v="-89.234999999999999"/>
    <n v="386.64"/>
    <n v="0"/>
    <n v="0"/>
    <n v="105"/>
    <s v="_x0000_US"/>
  </r>
  <r>
    <x v="4"/>
    <n v="13.6906"/>
    <n v="-89.234899999999996"/>
    <n v="35.799999999999997"/>
    <n v="0"/>
    <n v="0"/>
    <n v="105"/>
    <s v="_x0000_US"/>
  </r>
  <r>
    <x v="4"/>
    <n v="13.6911"/>
    <n v="-89.234899999999996"/>
    <n v="57.28"/>
    <n v="0"/>
    <n v="0"/>
    <n v="105"/>
    <s v="_x0000_US"/>
  </r>
  <r>
    <x v="4"/>
    <n v="13.6905"/>
    <n v="-89.234899999999996"/>
    <n v="57.28"/>
    <n v="0"/>
    <n v="0"/>
    <n v="105"/>
    <s v="_x0000_US"/>
  </r>
  <r>
    <x v="4"/>
    <n v="13.6905"/>
    <n v="-89.234899999999996"/>
    <n v="57.28"/>
    <n v="0"/>
    <n v="0"/>
    <n v="105"/>
    <s v="_x0000_US"/>
  </r>
  <r>
    <x v="4"/>
    <n v="13.6906"/>
    <n v="-89.234899999999996"/>
    <n v="64.44"/>
    <n v="0"/>
    <n v="0"/>
    <n v="105"/>
    <s v="_x0000_US"/>
  </r>
  <r>
    <x v="4"/>
    <n v="13.690300000000001"/>
    <n v="-89.234899999999996"/>
    <n v="85.92"/>
    <n v="0"/>
    <n v="0"/>
    <n v="105"/>
    <s v="_x0000_US"/>
  </r>
  <r>
    <x v="4"/>
    <n v="13.690099999999999"/>
    <n v="-89.234899999999996"/>
    <n v="100.24"/>
    <n v="0"/>
    <n v="0"/>
    <n v="105"/>
    <s v="_x0000_US"/>
  </r>
  <r>
    <x v="4"/>
    <n v="13.691000000000001"/>
    <n v="-89.234899999999996"/>
    <n v="107.4"/>
    <n v="0"/>
    <n v="0"/>
    <n v="105"/>
    <s v="_x0000_US"/>
  </r>
  <r>
    <x v="4"/>
    <n v="13.692500000000001"/>
    <n v="-89.234899999999996"/>
    <n v="107.4"/>
    <n v="0"/>
    <n v="0"/>
    <n v="105"/>
    <s v="_x0000_US"/>
  </r>
  <r>
    <x v="4"/>
    <n v="13.6904"/>
    <n v="-89.234899999999996"/>
    <n v="128.88"/>
    <n v="0"/>
    <n v="0"/>
    <n v="105"/>
    <s v="_x0000_US"/>
  </r>
  <r>
    <x v="4"/>
    <n v="13.6915"/>
    <n v="-89.234899999999996"/>
    <n v="193.32"/>
    <n v="0"/>
    <n v="0"/>
    <n v="105"/>
    <s v="_x0000_US"/>
  </r>
  <r>
    <x v="4"/>
    <n v="13.690799999999999"/>
    <n v="-89.234899999999996"/>
    <n v="200.48"/>
    <n v="0"/>
    <n v="0"/>
    <n v="105"/>
    <s v="_x0000_US"/>
  </r>
  <r>
    <x v="4"/>
    <n v="13.6914"/>
    <n v="-89.234800000000007"/>
    <n v="21.48"/>
    <n v="0"/>
    <n v="0"/>
    <n v="105"/>
    <s v="_x0000_US"/>
  </r>
  <r>
    <x v="4"/>
    <n v="13.6914"/>
    <n v="-89.234800000000007"/>
    <n v="35.799999999999997"/>
    <n v="0"/>
    <n v="0"/>
    <n v="105"/>
    <s v="_x0000_US"/>
  </r>
  <r>
    <x v="4"/>
    <n v="13.690799999999999"/>
    <n v="-89.234800000000007"/>
    <n v="78.760000000000005"/>
    <n v="0"/>
    <n v="0"/>
    <n v="105"/>
    <s v="_x0000_US"/>
  </r>
  <r>
    <x v="4"/>
    <n v="13.692500000000001"/>
    <n v="-89.234800000000007"/>
    <n v="78.760000000000005"/>
    <n v="0"/>
    <n v="0"/>
    <n v="105"/>
    <s v="_x0000_US"/>
  </r>
  <r>
    <x v="4"/>
    <n v="13.6911"/>
    <n v="-89.234800000000007"/>
    <n v="93.08"/>
    <n v="0"/>
    <n v="0"/>
    <n v="105"/>
    <s v="_x0000_US"/>
  </r>
  <r>
    <x v="4"/>
    <n v="13.690200000000001"/>
    <n v="-89.234800000000007"/>
    <n v="93.08"/>
    <n v="0"/>
    <n v="0"/>
    <n v="105"/>
    <s v="_x0000_US"/>
  </r>
  <r>
    <x v="4"/>
    <n v="13.6914"/>
    <n v="-89.234800000000007"/>
    <n v="107.4"/>
    <n v="0"/>
    <n v="0"/>
    <n v="105"/>
    <s v="_x0000_US"/>
  </r>
  <r>
    <x v="4"/>
    <n v="13.6915"/>
    <n v="-89.234800000000007"/>
    <n v="121.72"/>
    <n v="0"/>
    <n v="0"/>
    <n v="105"/>
    <s v="_x0000_US"/>
  </r>
  <r>
    <x v="4"/>
    <n v="13.6904"/>
    <n v="-89.234800000000007"/>
    <n v="150.36000000000001"/>
    <n v="0"/>
    <n v="0"/>
    <n v="105"/>
    <s v="_x0000_US"/>
  </r>
  <r>
    <x v="4"/>
    <n v="13.691000000000001"/>
    <n v="-89.234800000000007"/>
    <n v="207.64"/>
    <n v="0"/>
    <n v="0"/>
    <n v="105"/>
    <s v="_x0000_US"/>
  </r>
  <r>
    <x v="4"/>
    <n v="13.6913"/>
    <n v="-89.234800000000007"/>
    <n v="214.8"/>
    <n v="0"/>
    <n v="0"/>
    <n v="105"/>
    <s v="_x0000_US"/>
  </r>
  <r>
    <x v="4"/>
    <n v="13.690300000000001"/>
    <n v="-89.234700000000004"/>
    <n v="21.48"/>
    <n v="0"/>
    <n v="0"/>
    <n v="105"/>
    <s v="_x0000_US"/>
  </r>
  <r>
    <x v="4"/>
    <n v="13.690300000000001"/>
    <n v="-89.234700000000004"/>
    <n v="28.64"/>
    <n v="0"/>
    <n v="0"/>
    <n v="105"/>
    <s v="_x0000_US"/>
  </r>
  <r>
    <x v="4"/>
    <n v="13.690799999999999"/>
    <n v="-89.234700000000004"/>
    <n v="50.12"/>
    <n v="0"/>
    <n v="0"/>
    <n v="105"/>
    <s v="_x0000_US"/>
  </r>
  <r>
    <x v="4"/>
    <n v="13.690799999999999"/>
    <n v="-89.234700000000004"/>
    <n v="64.44"/>
    <n v="0"/>
    <n v="0"/>
    <n v="105"/>
    <s v="_x0000_US"/>
  </r>
  <r>
    <x v="4"/>
    <n v="13.690300000000001"/>
    <n v="-89.234700000000004"/>
    <n v="78.760000000000005"/>
    <n v="0"/>
    <n v="0"/>
    <n v="105"/>
    <s v="_x0000_US"/>
  </r>
  <r>
    <x v="4"/>
    <n v="13.6911"/>
    <n v="-89.234700000000004"/>
    <n v="100.24"/>
    <n v="0"/>
    <n v="0"/>
    <n v="105"/>
    <s v="_x0000_US"/>
  </r>
  <r>
    <x v="4"/>
    <n v="13.6907"/>
    <n v="-89.234700000000004"/>
    <n v="114.56"/>
    <n v="0"/>
    <n v="0"/>
    <n v="105"/>
    <s v="_x0000_US"/>
  </r>
  <r>
    <x v="4"/>
    <n v="13.6905"/>
    <n v="-89.234700000000004"/>
    <n v="229.12"/>
    <n v="0"/>
    <n v="0"/>
    <n v="105"/>
    <s v="_x0000_US"/>
  </r>
  <r>
    <x v="4"/>
    <n v="13.691599999999999"/>
    <n v="-89.234700000000004"/>
    <n v="329.36"/>
    <n v="0"/>
    <n v="0"/>
    <n v="105"/>
    <s v="_x0000_US"/>
  </r>
  <r>
    <x v="4"/>
    <n v="13.690799999999999"/>
    <n v="-89.2346"/>
    <n v="42.96"/>
    <n v="0"/>
    <n v="0"/>
    <n v="105"/>
    <s v="_x0000_US"/>
  </r>
  <r>
    <x v="4"/>
    <n v="13.6905"/>
    <n v="-89.2346"/>
    <n v="50.12"/>
    <n v="0"/>
    <n v="0"/>
    <n v="105"/>
    <s v="_x0000_US"/>
  </r>
  <r>
    <x v="4"/>
    <n v="13.6911"/>
    <n v="-89.2346"/>
    <n v="50.12"/>
    <n v="0"/>
    <n v="0"/>
    <n v="105"/>
    <s v="_x0000_US"/>
  </r>
  <r>
    <x v="4"/>
    <n v="13.6912"/>
    <n v="-89.2346"/>
    <n v="64.44"/>
    <n v="0"/>
    <n v="0"/>
    <n v="105"/>
    <s v="_x0000_US"/>
  </r>
  <r>
    <x v="4"/>
    <n v="13.6904"/>
    <n v="-89.2346"/>
    <n v="93.08"/>
    <n v="0"/>
    <n v="0"/>
    <n v="105"/>
    <s v="_x0000_US"/>
  </r>
  <r>
    <x v="4"/>
    <n v="13.6911"/>
    <n v="-89.2346"/>
    <n v="136.04"/>
    <n v="0"/>
    <n v="0"/>
    <n v="105"/>
    <s v="_x0000_US"/>
  </r>
  <r>
    <x v="4"/>
    <n v="13.6915"/>
    <n v="-89.2346"/>
    <n v="143.19999999999999"/>
    <n v="0"/>
    <n v="0"/>
    <n v="105"/>
    <s v="_x0000_US"/>
  </r>
  <r>
    <x v="4"/>
    <n v="13.691000000000001"/>
    <n v="-89.234499999999997"/>
    <n v="64.44"/>
    <n v="0"/>
    <n v="0"/>
    <n v="105"/>
    <s v="_x0000_US"/>
  </r>
  <r>
    <x v="4"/>
    <n v="13.6912"/>
    <n v="-89.234499999999997"/>
    <n v="64.44"/>
    <n v="0"/>
    <n v="0"/>
    <n v="105"/>
    <s v="_x0000_US"/>
  </r>
  <r>
    <x v="4"/>
    <n v="13.691599999999999"/>
    <n v="-89.234499999999997"/>
    <n v="71.599999999999994"/>
    <n v="0"/>
    <n v="0"/>
    <n v="105"/>
    <s v="_x0000_US"/>
  </r>
  <r>
    <x v="4"/>
    <n v="13.6915"/>
    <n v="-89.234499999999997"/>
    <n v="71.599999999999994"/>
    <n v="0"/>
    <n v="0"/>
    <n v="105"/>
    <s v="_x0000_US"/>
  </r>
  <r>
    <x v="4"/>
    <n v="13.6904"/>
    <n v="-89.234499999999997"/>
    <n v="85.92"/>
    <n v="0"/>
    <n v="0"/>
    <n v="105"/>
    <s v="_x0000_US"/>
  </r>
  <r>
    <x v="4"/>
    <n v="13.691599999999999"/>
    <n v="-89.234499999999997"/>
    <n v="85.92"/>
    <n v="0"/>
    <n v="0"/>
    <n v="105"/>
    <s v="_x0000_US"/>
  </r>
  <r>
    <x v="4"/>
    <n v="13.6904"/>
    <n v="-89.234499999999997"/>
    <n v="100.24"/>
    <n v="0"/>
    <n v="0"/>
    <n v="105"/>
    <s v="_x0000_US"/>
  </r>
  <r>
    <x v="4"/>
    <n v="13.6914"/>
    <n v="-89.234499999999997"/>
    <n v="100.24"/>
    <n v="0"/>
    <n v="0"/>
    <n v="105"/>
    <s v="_x0000_US"/>
  </r>
  <r>
    <x v="4"/>
    <n v="13.6905"/>
    <n v="-89.234499999999997"/>
    <n v="121.72"/>
    <n v="0"/>
    <n v="0"/>
    <n v="105"/>
    <s v="_x0000_US"/>
  </r>
  <r>
    <x v="4"/>
    <n v="13.6913"/>
    <n v="-89.234499999999997"/>
    <n v="150.36000000000001"/>
    <n v="0"/>
    <n v="0"/>
    <n v="105"/>
    <s v="_x0000_US"/>
  </r>
  <r>
    <x v="4"/>
    <n v="13.6907"/>
    <n v="-89.234499999999997"/>
    <n v="264.92"/>
    <n v="0"/>
    <n v="0"/>
    <n v="105"/>
    <s v="_x0000_US"/>
  </r>
  <r>
    <x v="4"/>
    <n v="13.6915"/>
    <n v="-89.234399999999994"/>
    <n v="85.92"/>
    <n v="0"/>
    <n v="0"/>
    <n v="105"/>
    <s v="_x0000_US"/>
  </r>
  <r>
    <x v="4"/>
    <n v="13.6912"/>
    <n v="-89.234399999999994"/>
    <n v="93.08"/>
    <n v="0"/>
    <n v="0"/>
    <n v="105"/>
    <s v="_x0000_US"/>
  </r>
  <r>
    <x v="4"/>
    <n v="13.6913"/>
    <n v="-89.234399999999994"/>
    <n v="100.24"/>
    <n v="0"/>
    <n v="0"/>
    <n v="105"/>
    <s v="_x0000_US"/>
  </r>
  <r>
    <x v="4"/>
    <n v="13.6905"/>
    <n v="-89.234399999999994"/>
    <n v="107.4"/>
    <n v="0"/>
    <n v="0"/>
    <n v="105"/>
    <s v="_x0000_US"/>
  </r>
  <r>
    <x v="4"/>
    <n v="13.691700000000001"/>
    <n v="-89.234399999999994"/>
    <n v="114.56"/>
    <n v="0"/>
    <n v="0"/>
    <n v="105"/>
    <s v="_x0000_US"/>
  </r>
  <r>
    <x v="4"/>
    <n v="13.6911"/>
    <n v="-89.234399999999994"/>
    <n v="114.56"/>
    <n v="0"/>
    <n v="0"/>
    <n v="105"/>
    <s v="_x0000_US"/>
  </r>
  <r>
    <x v="4"/>
    <n v="13.691000000000001"/>
    <n v="-89.234399999999994"/>
    <n v="143.19999999999999"/>
    <n v="0"/>
    <n v="0"/>
    <n v="105"/>
    <s v="_x0000_US"/>
  </r>
  <r>
    <x v="4"/>
    <n v="13.692500000000001"/>
    <n v="-89.234399999999994"/>
    <n v="651.55999999999995"/>
    <n v="0"/>
    <n v="0"/>
    <n v="105"/>
    <s v="_x0000_US"/>
  </r>
  <r>
    <x v="4"/>
    <n v="13.690200000000001"/>
    <n v="-89.234399999999994"/>
    <n v="708.84"/>
    <n v="0"/>
    <n v="0"/>
    <n v="105"/>
    <s v="_x0000_US"/>
  </r>
  <r>
    <x v="4"/>
    <n v="13.691599999999999"/>
    <n v="-89.234300000000005"/>
    <n v="42.96"/>
    <n v="0"/>
    <n v="0"/>
    <n v="105"/>
    <s v="_x0000_US"/>
  </r>
  <r>
    <x v="4"/>
    <n v="13.6905"/>
    <n v="-89.234300000000005"/>
    <n v="71.599999999999994"/>
    <n v="0"/>
    <n v="0"/>
    <n v="105"/>
    <s v="_x0000_US"/>
  </r>
  <r>
    <x v="4"/>
    <n v="13.6906"/>
    <n v="-89.234300000000005"/>
    <n v="78.760000000000005"/>
    <n v="0"/>
    <n v="0"/>
    <n v="105"/>
    <s v="_x0000_US"/>
  </r>
  <r>
    <x v="4"/>
    <n v="13.691700000000001"/>
    <n v="-89.234300000000005"/>
    <n v="85.92"/>
    <n v="0"/>
    <n v="0"/>
    <n v="105"/>
    <s v="_x0000_US"/>
  </r>
  <r>
    <x v="4"/>
    <n v="13.6914"/>
    <n v="-89.234300000000005"/>
    <n v="114.56"/>
    <n v="0"/>
    <n v="0"/>
    <n v="105"/>
    <s v="_x0000_US"/>
  </r>
  <r>
    <x v="4"/>
    <n v="13.6904"/>
    <n v="-89.234300000000005"/>
    <n v="136.04"/>
    <n v="0"/>
    <n v="0"/>
    <n v="105"/>
    <s v="_x0000_US"/>
  </r>
  <r>
    <x v="4"/>
    <n v="13.691599999999999"/>
    <n v="-89.234200000000001"/>
    <n v="21.48"/>
    <n v="0"/>
    <n v="0"/>
    <n v="105"/>
    <s v="_x0000_US"/>
  </r>
  <r>
    <x v="4"/>
    <n v="13.691599999999999"/>
    <n v="-89.234200000000001"/>
    <n v="50.12"/>
    <n v="0"/>
    <n v="0"/>
    <n v="105"/>
    <s v="_x0000_US"/>
  </r>
  <r>
    <x v="4"/>
    <n v="13.691599999999999"/>
    <n v="-89.234200000000001"/>
    <n v="57.28"/>
    <n v="0"/>
    <n v="0"/>
    <n v="105"/>
    <s v="_x0000_US"/>
  </r>
  <r>
    <x v="4"/>
    <n v="13.6915"/>
    <n v="-89.234200000000001"/>
    <n v="136.04"/>
    <n v="0"/>
    <n v="0"/>
    <n v="105"/>
    <s v="_x0000_US"/>
  </r>
  <r>
    <x v="4"/>
    <n v="13.6905"/>
    <n v="-89.234200000000001"/>
    <n v="157.52000000000001"/>
    <n v="0"/>
    <n v="0"/>
    <n v="105"/>
    <s v="_x0000_US"/>
  </r>
  <r>
    <x v="4"/>
    <n v="13.6914"/>
    <n v="-89.234200000000001"/>
    <n v="179"/>
    <n v="0"/>
    <n v="0"/>
    <n v="105"/>
    <s v="_x0000_US"/>
  </r>
  <r>
    <x v="4"/>
    <n v="13.6907"/>
    <n v="-89.234200000000001"/>
    <n v="193.32"/>
    <n v="0"/>
    <n v="0"/>
    <n v="105"/>
    <s v="_x0000_US"/>
  </r>
  <r>
    <x v="4"/>
    <n v="13.691000000000001"/>
    <n v="-89.234200000000001"/>
    <n v="200.48"/>
    <n v="0"/>
    <n v="0"/>
    <n v="105"/>
    <s v="_x0000_US"/>
  </r>
  <r>
    <x v="4"/>
    <n v="13.690899999999999"/>
    <n v="-89.234200000000001"/>
    <n v="257.76"/>
    <n v="0"/>
    <n v="0"/>
    <n v="105"/>
    <s v="_x0000_US"/>
  </r>
  <r>
    <x v="4"/>
    <n v="13.6913"/>
    <n v="-89.234200000000001"/>
    <n v="315.04000000000002"/>
    <n v="0"/>
    <n v="0"/>
    <n v="105"/>
    <s v="_x0000_US"/>
  </r>
  <r>
    <x v="4"/>
    <n v="13.6911"/>
    <n v="-89.234099999999998"/>
    <n v="50.12"/>
    <n v="0"/>
    <n v="0"/>
    <n v="105"/>
    <s v="_x0000_US"/>
  </r>
  <r>
    <x v="4"/>
    <n v="13.6905"/>
    <n v="-89.234099999999998"/>
    <n v="78.760000000000005"/>
    <n v="0"/>
    <n v="0"/>
    <n v="105"/>
    <s v="_x0000_US"/>
  </r>
  <r>
    <x v="4"/>
    <n v="13.691599999999999"/>
    <n v="-89.234099999999998"/>
    <n v="85.92"/>
    <n v="0"/>
    <n v="0"/>
    <n v="105"/>
    <s v="_x0000_US"/>
  </r>
  <r>
    <x v="4"/>
    <n v="13.6904"/>
    <n v="-89.234099999999998"/>
    <n v="150.36000000000001"/>
    <n v="0"/>
    <n v="0"/>
    <n v="105"/>
    <s v="_x0000_US"/>
  </r>
  <r>
    <x v="4"/>
    <n v="13.691700000000001"/>
    <n v="-89.234099999999998"/>
    <n v="193.32"/>
    <n v="0"/>
    <n v="0"/>
    <n v="105"/>
    <s v="_x0000_US"/>
  </r>
  <r>
    <x v="4"/>
    <n v="13.6904"/>
    <n v="-89.233999999999995"/>
    <n v="35.799999999999997"/>
    <n v="0"/>
    <n v="0"/>
    <n v="105"/>
    <s v="_x0000_US"/>
  </r>
  <r>
    <x v="4"/>
    <n v="13.691599999999999"/>
    <n v="-89.233999999999995"/>
    <n v="64.44"/>
    <n v="0"/>
    <n v="0"/>
    <n v="105"/>
    <s v="_x0000_US"/>
  </r>
  <r>
    <x v="4"/>
    <n v="13.6904"/>
    <n v="-89.233999999999995"/>
    <n v="85.92"/>
    <n v="0"/>
    <n v="0"/>
    <n v="105"/>
    <s v="_x0000_US"/>
  </r>
  <r>
    <x v="4"/>
    <n v="13.691000000000001"/>
    <n v="-89.233999999999995"/>
    <n v="93.08"/>
    <n v="0"/>
    <n v="0"/>
    <n v="105"/>
    <s v="_x0000_US"/>
  </r>
  <r>
    <x v="4"/>
    <n v="13.691599999999999"/>
    <n v="-89.233999999999995"/>
    <n v="100.24"/>
    <n v="0"/>
    <n v="0"/>
    <n v="105"/>
    <s v="_x0000_US"/>
  </r>
  <r>
    <x v="4"/>
    <n v="13.6911"/>
    <n v="-89.233999999999995"/>
    <n v="121.72"/>
    <n v="0"/>
    <n v="0"/>
    <n v="105"/>
    <s v="_x0000_US"/>
  </r>
  <r>
    <x v="4"/>
    <n v="13.690799999999999"/>
    <n v="-89.233999999999995"/>
    <n v="143.19999999999999"/>
    <n v="0"/>
    <n v="0"/>
    <n v="105"/>
    <s v="_x0000_US"/>
  </r>
  <r>
    <x v="4"/>
    <n v="13.6913"/>
    <n v="-89.233999999999995"/>
    <n v="164.68"/>
    <n v="0"/>
    <n v="0"/>
    <n v="105"/>
    <s v="_x0000_US"/>
  </r>
  <r>
    <x v="4"/>
    <n v="13.6907"/>
    <n v="-89.233999999999995"/>
    <n v="200.48"/>
    <n v="0"/>
    <n v="0"/>
    <n v="105"/>
    <s v="_x0000_US"/>
  </r>
  <r>
    <x v="4"/>
    <n v="13.6915"/>
    <n v="-89.233999999999995"/>
    <n v="214.8"/>
    <n v="0"/>
    <n v="0"/>
    <n v="105"/>
    <s v="_x0000_US"/>
  </r>
  <r>
    <x v="4"/>
    <n v="13.6928"/>
    <n v="-89.233999999999995"/>
    <n v="350.84"/>
    <n v="0"/>
    <n v="0"/>
    <n v="105"/>
    <s v="_x0000_US"/>
  </r>
  <r>
    <x v="4"/>
    <n v="13.692299999999999"/>
    <n v="-89.233999999999995"/>
    <n v="365.16"/>
    <n v="0"/>
    <n v="0"/>
    <n v="105"/>
    <s v="_x0000_US"/>
  </r>
  <r>
    <x v="4"/>
    <n v="13.6912"/>
    <n v="-89.233900000000006"/>
    <n v="71.599999999999994"/>
    <n v="0"/>
    <n v="0"/>
    <n v="105"/>
    <s v="_x0000_US"/>
  </r>
  <r>
    <x v="4"/>
    <n v="13.6906"/>
    <n v="-89.233900000000006"/>
    <n v="114.56"/>
    <n v="0"/>
    <n v="0"/>
    <n v="105"/>
    <s v="_x0000_US"/>
  </r>
  <r>
    <x v="4"/>
    <n v="13.6905"/>
    <n v="-89.233900000000006"/>
    <n v="164.68"/>
    <n v="0"/>
    <n v="0"/>
    <n v="105"/>
    <s v="_x0000_US"/>
  </r>
  <r>
    <x v="4"/>
    <n v="13.6915"/>
    <n v="-89.233900000000006"/>
    <n v="179"/>
    <n v="0"/>
    <n v="0"/>
    <n v="105"/>
    <s v="_x0000_US"/>
  </r>
  <r>
    <x v="4"/>
    <n v="13.6921"/>
    <n v="-89.233900000000006"/>
    <n v="221.96"/>
    <n v="0"/>
    <n v="0"/>
    <n v="105"/>
    <s v="_x0000_US"/>
  </r>
  <r>
    <x v="4"/>
    <n v="13.6914"/>
    <n v="-89.233800000000002"/>
    <n v="42.96"/>
    <n v="0"/>
    <n v="0"/>
    <n v="105"/>
    <s v="_x0000_US"/>
  </r>
  <r>
    <x v="4"/>
    <n v="13.6906"/>
    <n v="-89.233800000000002"/>
    <n v="93.08"/>
    <n v="0"/>
    <n v="0"/>
    <n v="105"/>
    <s v="_x0000_US"/>
  </r>
  <r>
    <x v="4"/>
    <n v="13.6906"/>
    <n v="-89.233800000000002"/>
    <n v="107.4"/>
    <n v="0"/>
    <n v="0"/>
    <n v="105"/>
    <s v="_x0000_US"/>
  </r>
  <r>
    <x v="4"/>
    <n v="13.6905"/>
    <n v="-89.233800000000002"/>
    <n v="107.4"/>
    <n v="0"/>
    <n v="0"/>
    <n v="105"/>
    <s v="_x0000_US"/>
  </r>
  <r>
    <x v="4"/>
    <n v="13.690799999999999"/>
    <n v="-89.233800000000002"/>
    <n v="171.84"/>
    <n v="0"/>
    <n v="0"/>
    <n v="105"/>
    <s v="_x0000_US"/>
  </r>
  <r>
    <x v="4"/>
    <n v="13.6911"/>
    <n v="-89.233800000000002"/>
    <n v="200.48"/>
    <n v="0"/>
    <n v="0"/>
    <n v="105"/>
    <s v="_x0000_US"/>
  </r>
  <r>
    <x v="4"/>
    <n v="13.691700000000001"/>
    <n v="-89.233800000000002"/>
    <n v="250.6"/>
    <n v="0"/>
    <n v="0"/>
    <n v="105"/>
    <s v="_x0000_US"/>
  </r>
  <r>
    <x v="4"/>
    <n v="13.691000000000001"/>
    <n v="-89.233699999999999"/>
    <n v="50.12"/>
    <n v="0"/>
    <n v="0"/>
    <n v="105"/>
    <s v="_x0000_US"/>
  </r>
  <r>
    <x v="4"/>
    <n v="13.6907"/>
    <n v="-89.233699999999999"/>
    <n v="100.24"/>
    <n v="0"/>
    <n v="0"/>
    <n v="105"/>
    <s v="_x0000_US"/>
  </r>
  <r>
    <x v="4"/>
    <n v="13.690899999999999"/>
    <n v="-89.233699999999999"/>
    <n v="143.19999999999999"/>
    <n v="0"/>
    <n v="0"/>
    <n v="105"/>
    <s v="_x0000_US"/>
  </r>
  <r>
    <x v="4"/>
    <n v="13.6915"/>
    <n v="-89.233699999999999"/>
    <n v="157.52000000000001"/>
    <n v="0"/>
    <n v="0"/>
    <n v="105"/>
    <s v="_x0000_US"/>
  </r>
  <r>
    <x v="4"/>
    <n v="13.6914"/>
    <n v="-89.233699999999999"/>
    <n v="179"/>
    <n v="0"/>
    <n v="0"/>
    <n v="105"/>
    <s v="_x0000_US"/>
  </r>
  <r>
    <x v="4"/>
    <n v="13.691599999999999"/>
    <n v="-89.233699999999999"/>
    <n v="186.16"/>
    <n v="0"/>
    <n v="0"/>
    <n v="105"/>
    <s v="_x0000_US"/>
  </r>
  <r>
    <x v="4"/>
    <n v="13.691000000000001"/>
    <n v="-89.233699999999999"/>
    <n v="286.39999999999998"/>
    <n v="0"/>
    <n v="0"/>
    <n v="105"/>
    <s v="_x0000_US"/>
  </r>
  <r>
    <x v="4"/>
    <n v="13.6914"/>
    <n v="-89.233599999999996"/>
    <n v="85.92"/>
    <n v="0"/>
    <n v="0"/>
    <n v="105"/>
    <s v="_x0000_US"/>
  </r>
  <r>
    <x v="4"/>
    <n v="13.691700000000001"/>
    <n v="-89.233599999999996"/>
    <n v="164.68"/>
    <n v="0"/>
    <n v="0"/>
    <n v="105"/>
    <s v="_x0000_US"/>
  </r>
  <r>
    <x v="4"/>
    <n v="13.6911"/>
    <n v="-89.233599999999996"/>
    <n v="171.84"/>
    <n v="0"/>
    <n v="0"/>
    <n v="105"/>
    <s v="_x0000_US"/>
  </r>
  <r>
    <x v="4"/>
    <n v="13.690899999999999"/>
    <n v="-89.233599999999996"/>
    <n v="207.64"/>
    <n v="0"/>
    <n v="0"/>
    <n v="105"/>
    <s v="_x0000_US"/>
  </r>
  <r>
    <x v="4"/>
    <n v="13.6914"/>
    <n v="-89.233599999999996"/>
    <n v="250.6"/>
    <n v="0"/>
    <n v="0"/>
    <n v="105"/>
    <s v="_x0000_US"/>
  </r>
  <r>
    <x v="4"/>
    <n v="13.6906"/>
    <n v="-89.233599999999996"/>
    <n v="322.2"/>
    <n v="0"/>
    <n v="0"/>
    <n v="105"/>
    <s v="_x0000_US"/>
  </r>
  <r>
    <x v="4"/>
    <n v="13.690799999999999"/>
    <n v="-89.233500000000006"/>
    <n v="57.28"/>
    <n v="0"/>
    <n v="0"/>
    <n v="105"/>
    <s v="_x0000_US"/>
  </r>
  <r>
    <x v="4"/>
    <n v="13.691000000000001"/>
    <n v="-89.233500000000006"/>
    <n v="93.08"/>
    <n v="0"/>
    <n v="0"/>
    <n v="105"/>
    <s v="_x0000_US"/>
  </r>
  <r>
    <x v="4"/>
    <n v="13.6907"/>
    <n v="-89.233500000000006"/>
    <n v="186.16"/>
    <n v="0"/>
    <n v="0"/>
    <n v="105"/>
    <s v="_x0000_US"/>
  </r>
  <r>
    <x v="4"/>
    <n v="13.6914"/>
    <n v="-89.233400000000003"/>
    <n v="21.48"/>
    <n v="0"/>
    <n v="0"/>
    <n v="105"/>
    <s v="_x0000_US"/>
  </r>
  <r>
    <x v="4"/>
    <n v="13.6911"/>
    <n v="-89.233400000000003"/>
    <n v="35.799999999999997"/>
    <n v="0"/>
    <n v="0"/>
    <n v="105"/>
    <s v="_x0000_US"/>
  </r>
  <r>
    <x v="4"/>
    <n v="13.6911"/>
    <n v="-89.233400000000003"/>
    <n v="64.44"/>
    <n v="0"/>
    <n v="0"/>
    <n v="105"/>
    <s v="_x0000_US"/>
  </r>
  <r>
    <x v="4"/>
    <n v="13.6914"/>
    <n v="-89.233400000000003"/>
    <n v="64.44"/>
    <n v="0"/>
    <n v="0"/>
    <n v="105"/>
    <s v="_x0000_US"/>
  </r>
  <r>
    <x v="4"/>
    <n v="13.6911"/>
    <n v="-89.233400000000003"/>
    <n v="78.760000000000005"/>
    <n v="0"/>
    <n v="0"/>
    <n v="105"/>
    <s v="_x0000_US"/>
  </r>
  <r>
    <x v="4"/>
    <n v="13.6914"/>
    <n v="-89.233400000000003"/>
    <n v="85.92"/>
    <n v="0"/>
    <n v="0"/>
    <n v="105"/>
    <s v="_x0000_US"/>
  </r>
  <r>
    <x v="4"/>
    <n v="13.6907"/>
    <n v="-89.233400000000003"/>
    <n v="107.4"/>
    <n v="0"/>
    <n v="0"/>
    <n v="105"/>
    <s v="_x0000_US"/>
  </r>
  <r>
    <x v="4"/>
    <n v="13.691599999999999"/>
    <n v="-89.233400000000003"/>
    <n v="207.64"/>
    <n v="0"/>
    <n v="0"/>
    <n v="105"/>
    <s v="_x0000_US"/>
  </r>
  <r>
    <x v="4"/>
    <n v="13.6914"/>
    <n v="-89.2333"/>
    <n v="21.48"/>
    <n v="0"/>
    <n v="0"/>
    <n v="105"/>
    <s v="_x0000_US"/>
  </r>
  <r>
    <x v="4"/>
    <n v="13.6915"/>
    <n v="-89.2333"/>
    <n v="50.12"/>
    <n v="0"/>
    <n v="0"/>
    <n v="105"/>
    <s v="_x0000_US"/>
  </r>
  <r>
    <x v="4"/>
    <n v="13.6911"/>
    <n v="-89.2333"/>
    <n v="71.599999999999994"/>
    <n v="0"/>
    <n v="0"/>
    <n v="105"/>
    <s v="_x0000_US"/>
  </r>
  <r>
    <x v="4"/>
    <n v="13.6915"/>
    <n v="-89.2333"/>
    <n v="71.599999999999994"/>
    <n v="0"/>
    <n v="0"/>
    <n v="105"/>
    <s v="_x0000_US"/>
  </r>
  <r>
    <x v="4"/>
    <n v="13.6914"/>
    <n v="-89.2333"/>
    <n v="78.760000000000005"/>
    <n v="0"/>
    <n v="0"/>
    <n v="105"/>
    <s v="_x0000_US"/>
  </r>
  <r>
    <x v="4"/>
    <n v="13.6913"/>
    <n v="-89.2333"/>
    <n v="207.64"/>
    <n v="0"/>
    <n v="0"/>
    <n v="105"/>
    <s v="_x0000_US"/>
  </r>
  <r>
    <x v="4"/>
    <n v="13.691800000000001"/>
    <n v="-89.2333"/>
    <n v="286.39999999999998"/>
    <n v="0"/>
    <n v="0"/>
    <n v="105"/>
    <s v="_x0000_US"/>
  </r>
  <r>
    <x v="4"/>
    <n v="13.690899999999999"/>
    <n v="-89.2333"/>
    <n v="300.72000000000003"/>
    <n v="0"/>
    <n v="0"/>
    <n v="105"/>
    <s v="_x0000_US"/>
  </r>
  <r>
    <x v="4"/>
    <n v="13.691000000000001"/>
    <n v="-89.233199999999997"/>
    <n v="28.64"/>
    <n v="0"/>
    <n v="0"/>
    <n v="105"/>
    <s v="_x0000_US"/>
  </r>
  <r>
    <x v="4"/>
    <n v="13.6911"/>
    <n v="-89.233199999999997"/>
    <n v="114.56"/>
    <n v="0"/>
    <n v="0"/>
    <n v="105"/>
    <s v="_x0000_US"/>
  </r>
  <r>
    <x v="4"/>
    <n v="13.6914"/>
    <n v="-89.233199999999997"/>
    <n v="143.19999999999999"/>
    <n v="0"/>
    <n v="0"/>
    <n v="105"/>
    <s v="_x0000_US"/>
  </r>
  <r>
    <x v="4"/>
    <n v="13.6911"/>
    <n v="-89.233199999999997"/>
    <n v="171.84"/>
    <n v="0"/>
    <n v="0"/>
    <n v="105"/>
    <s v="_x0000_US"/>
  </r>
  <r>
    <x v="4"/>
    <n v="13.6912"/>
    <n v="-89.233099999999993"/>
    <n v="28.64"/>
    <n v="0"/>
    <n v="0"/>
    <n v="105"/>
    <s v="_x0000_US"/>
  </r>
  <r>
    <x v="4"/>
    <n v="13.6915"/>
    <n v="-89.233099999999993"/>
    <n v="35.799999999999997"/>
    <n v="0"/>
    <n v="0"/>
    <n v="105"/>
    <s v="_x0000_US"/>
  </r>
  <r>
    <x v="4"/>
    <n v="13.6912"/>
    <n v="-89.233099999999993"/>
    <n v="71.599999999999994"/>
    <n v="0"/>
    <n v="0"/>
    <n v="105"/>
    <s v="_x0000_US"/>
  </r>
  <r>
    <x v="4"/>
    <n v="13.6914"/>
    <n v="-89.233099999999993"/>
    <n v="71.599999999999994"/>
    <n v="0"/>
    <n v="0"/>
    <n v="105"/>
    <s v="_x0000_US"/>
  </r>
  <r>
    <x v="4"/>
    <n v="13.6907"/>
    <n v="-89.233099999999993"/>
    <n v="143.19999999999999"/>
    <n v="0"/>
    <n v="0"/>
    <n v="105"/>
    <s v="_x0000_US"/>
  </r>
  <r>
    <x v="4"/>
    <n v="13.690899999999999"/>
    <n v="-89.233099999999993"/>
    <n v="193.32"/>
    <n v="0"/>
    <n v="0"/>
    <n v="105"/>
    <s v="_x0000_US"/>
  </r>
  <r>
    <x v="4"/>
    <n v="13.691700000000001"/>
    <n v="-89.233000000000004"/>
    <n v="28.64"/>
    <n v="0"/>
    <n v="0"/>
    <n v="105"/>
    <s v="_x0000_US"/>
  </r>
  <r>
    <x v="4"/>
    <n v="13.6912"/>
    <n v="-89.233000000000004"/>
    <n v="64.44"/>
    <n v="0"/>
    <n v="0"/>
    <n v="105"/>
    <s v="_x0000_US"/>
  </r>
  <r>
    <x v="4"/>
    <n v="13.690799999999999"/>
    <n v="-89.233000000000004"/>
    <n v="64.44"/>
    <n v="0"/>
    <n v="0"/>
    <n v="105"/>
    <s v="_x0000_US"/>
  </r>
  <r>
    <x v="4"/>
    <n v="13.6912"/>
    <n v="-89.233000000000004"/>
    <n v="85.92"/>
    <n v="0"/>
    <n v="0"/>
    <n v="105"/>
    <s v="_x0000_US"/>
  </r>
  <r>
    <x v="4"/>
    <n v="13.691599999999999"/>
    <n v="-89.233000000000004"/>
    <n v="93.08"/>
    <n v="0"/>
    <n v="0"/>
    <n v="105"/>
    <s v="_x0000_US"/>
  </r>
  <r>
    <x v="4"/>
    <n v="13.6915"/>
    <n v="-89.233000000000004"/>
    <n v="100.24"/>
    <n v="0"/>
    <n v="0"/>
    <n v="105"/>
    <s v="_x0000_US"/>
  </r>
  <r>
    <x v="4"/>
    <n v="13.6911"/>
    <n v="-89.233000000000004"/>
    <n v="100.24"/>
    <n v="0"/>
    <n v="0"/>
    <n v="105"/>
    <s v="_x0000_US"/>
  </r>
  <r>
    <x v="4"/>
    <n v="13.6914"/>
    <n v="-89.233000000000004"/>
    <n v="114.56"/>
    <n v="0"/>
    <n v="0"/>
    <n v="105"/>
    <s v="_x0000_US"/>
  </r>
  <r>
    <x v="4"/>
    <n v="13.687900000000001"/>
    <n v="-89.233000000000004"/>
    <n v="601.44000000000005"/>
    <n v="0"/>
    <n v="0"/>
    <n v="105"/>
    <s v="_x0000_US"/>
  </r>
  <r>
    <x v="4"/>
    <n v="13.6915"/>
    <n v="-89.232900000000001"/>
    <n v="50.12"/>
    <n v="0"/>
    <n v="0"/>
    <n v="105"/>
    <s v="_x0000_US"/>
  </r>
  <r>
    <x v="4"/>
    <n v="13.6912"/>
    <n v="-89.232900000000001"/>
    <n v="64.44"/>
    <n v="0"/>
    <n v="0"/>
    <n v="105"/>
    <s v="_x0000_US"/>
  </r>
  <r>
    <x v="4"/>
    <n v="13.691599999999999"/>
    <n v="-89.232900000000001"/>
    <n v="64.44"/>
    <n v="0"/>
    <n v="0"/>
    <n v="105"/>
    <s v="_x0000_US"/>
  </r>
  <r>
    <x v="4"/>
    <n v="13.691000000000001"/>
    <n v="-89.232900000000001"/>
    <n v="71.599999999999994"/>
    <n v="0"/>
    <n v="0"/>
    <n v="105"/>
    <s v="_x0000_US"/>
  </r>
  <r>
    <x v="4"/>
    <n v="13.691700000000001"/>
    <n v="-89.232900000000001"/>
    <n v="100.24"/>
    <n v="0"/>
    <n v="0"/>
    <n v="105"/>
    <s v="_x0000_US"/>
  </r>
  <r>
    <x v="4"/>
    <n v="13.6913"/>
    <n v="-89.232900000000001"/>
    <n v="136.04"/>
    <n v="0"/>
    <n v="0"/>
    <n v="105"/>
    <s v="_x0000_US"/>
  </r>
  <r>
    <x v="4"/>
    <n v="13.6911"/>
    <n v="-89.232900000000001"/>
    <n v="143.19999999999999"/>
    <n v="0"/>
    <n v="0"/>
    <n v="105"/>
    <s v="_x0000_US"/>
  </r>
  <r>
    <x v="4"/>
    <n v="13.6915"/>
    <n v="-89.232799999999997"/>
    <n v="14.32"/>
    <n v="0"/>
    <n v="0"/>
    <n v="105"/>
    <s v="_x0000_US"/>
  </r>
  <r>
    <x v="4"/>
    <n v="13.6915"/>
    <n v="-89.232799999999997"/>
    <n v="14.32"/>
    <n v="0"/>
    <n v="0"/>
    <n v="105"/>
    <s v="_x0000_US"/>
  </r>
  <r>
    <x v="4"/>
    <n v="13.6915"/>
    <n v="-89.232799999999997"/>
    <n v="35.799999999999997"/>
    <n v="0"/>
    <n v="0"/>
    <n v="105"/>
    <s v="_x0000_US"/>
  </r>
  <r>
    <x v="4"/>
    <n v="13.6915"/>
    <n v="-89.232799999999997"/>
    <n v="42.96"/>
    <n v="0"/>
    <n v="0"/>
    <n v="105"/>
    <s v="_x0000_US"/>
  </r>
  <r>
    <x v="4"/>
    <n v="13.691000000000001"/>
    <n v="-89.232799999999997"/>
    <n v="50.12"/>
    <n v="0"/>
    <n v="0"/>
    <n v="105"/>
    <s v="_x0000_US"/>
  </r>
  <r>
    <x v="4"/>
    <n v="13.691000000000001"/>
    <n v="-89.232799999999997"/>
    <n v="64.44"/>
    <n v="0"/>
    <n v="0"/>
    <n v="105"/>
    <s v="_x0000_US"/>
  </r>
  <r>
    <x v="4"/>
    <n v="13.691599999999999"/>
    <n v="-89.232799999999997"/>
    <n v="78.760000000000005"/>
    <n v="0"/>
    <n v="0"/>
    <n v="105"/>
    <s v="_x0000_US"/>
  </r>
  <r>
    <x v="4"/>
    <n v="13.691700000000001"/>
    <n v="-89.232799999999997"/>
    <n v="100.24"/>
    <n v="0"/>
    <n v="0"/>
    <n v="105"/>
    <s v="_x0000_US"/>
  </r>
  <r>
    <x v="4"/>
    <n v="13.6912"/>
    <n v="-89.232799999999997"/>
    <n v="164.68"/>
    <n v="0"/>
    <n v="0"/>
    <n v="105"/>
    <s v="_x0000_US"/>
  </r>
  <r>
    <x v="4"/>
    <n v="13.690799999999999"/>
    <n v="-89.232799999999997"/>
    <n v="315.04000000000002"/>
    <n v="0"/>
    <n v="0"/>
    <n v="105"/>
    <s v="_x0000_US"/>
  </r>
  <r>
    <x v="4"/>
    <n v="13.6911"/>
    <n v="-89.232699999999994"/>
    <n v="42.96"/>
    <n v="0"/>
    <n v="0"/>
    <n v="105"/>
    <s v="_x0000_US"/>
  </r>
  <r>
    <x v="4"/>
    <n v="13.691599999999999"/>
    <n v="-89.232699999999994"/>
    <n v="57.28"/>
    <n v="0"/>
    <n v="0"/>
    <n v="105"/>
    <s v="_x0000_US"/>
  </r>
  <r>
    <x v="4"/>
    <n v="13.691599999999999"/>
    <n v="-89.232699999999994"/>
    <n v="71.599999999999994"/>
    <n v="0"/>
    <n v="0"/>
    <n v="105"/>
    <s v="_x0000_US"/>
  </r>
  <r>
    <x v="4"/>
    <n v="13.6914"/>
    <n v="-89.232699999999994"/>
    <n v="107.4"/>
    <n v="0"/>
    <n v="0"/>
    <n v="105"/>
    <s v="_x0000_US"/>
  </r>
  <r>
    <x v="4"/>
    <n v="13.6915"/>
    <n v="-89.232699999999994"/>
    <n v="114.56"/>
    <n v="0"/>
    <n v="0"/>
    <n v="105"/>
    <s v="_x0000_US"/>
  </r>
  <r>
    <x v="4"/>
    <n v="13.690899999999999"/>
    <n v="-89.232699999999994"/>
    <n v="136.04"/>
    <n v="0"/>
    <n v="0"/>
    <n v="105"/>
    <s v="_x0000_US"/>
  </r>
  <r>
    <x v="4"/>
    <n v="13.691000000000001"/>
    <n v="-89.232699999999994"/>
    <n v="164.68"/>
    <n v="0"/>
    <n v="0"/>
    <n v="105"/>
    <s v="_x0000_US"/>
  </r>
  <r>
    <x v="4"/>
    <n v="13.6913"/>
    <n v="-89.232699999999994"/>
    <n v="164.68"/>
    <n v="0"/>
    <n v="0"/>
    <n v="105"/>
    <s v="_x0000_US"/>
  </r>
  <r>
    <x v="4"/>
    <n v="13.691700000000001"/>
    <n v="-89.232600000000005"/>
    <n v="64.44"/>
    <n v="0"/>
    <n v="0"/>
    <n v="105"/>
    <s v="_x0000_US"/>
  </r>
  <r>
    <x v="4"/>
    <n v="13.691599999999999"/>
    <n v="-89.232600000000005"/>
    <n v="78.760000000000005"/>
    <n v="0"/>
    <n v="0"/>
    <n v="105"/>
    <s v="_x0000_US"/>
  </r>
  <r>
    <x v="4"/>
    <n v="13.6914"/>
    <n v="-89.232600000000005"/>
    <n v="114.56"/>
    <n v="0"/>
    <n v="0"/>
    <n v="105"/>
    <s v="_x0000_US"/>
  </r>
  <r>
    <x v="4"/>
    <n v="13.690899999999999"/>
    <n v="-89.232600000000005"/>
    <n v="121.72"/>
    <n v="0"/>
    <n v="0"/>
    <n v="105"/>
    <s v="_x0000_US"/>
  </r>
  <r>
    <x v="4"/>
    <n v="13.6912"/>
    <n v="-89.232600000000005"/>
    <n v="121.72"/>
    <n v="0"/>
    <n v="0"/>
    <n v="105"/>
    <s v="_x0000_US"/>
  </r>
  <r>
    <x v="4"/>
    <n v="13.688599999999999"/>
    <n v="-89.232600000000005"/>
    <n v="1148.06"/>
    <n v="0"/>
    <n v="0"/>
    <n v="105"/>
    <s v="_x0000_US"/>
  </r>
  <r>
    <x v="4"/>
    <n v="13.691599999999999"/>
    <n v="-89.232500000000002"/>
    <n v="7.16"/>
    <n v="0"/>
    <n v="0"/>
    <n v="105"/>
    <s v="_x0000_US"/>
  </r>
  <r>
    <x v="4"/>
    <n v="13.6912"/>
    <n v="-89.232500000000002"/>
    <n v="21.48"/>
    <n v="0"/>
    <n v="0"/>
    <n v="105"/>
    <s v="_x0000_US"/>
  </r>
  <r>
    <x v="4"/>
    <n v="13.6914"/>
    <n v="-89.232500000000002"/>
    <n v="50.12"/>
    <n v="0"/>
    <n v="0"/>
    <n v="105"/>
    <s v="_x0000_US"/>
  </r>
  <r>
    <x v="4"/>
    <n v="13.691599999999999"/>
    <n v="-89.232500000000002"/>
    <n v="57.28"/>
    <n v="0"/>
    <n v="0"/>
    <n v="105"/>
    <s v="_x0000_US"/>
  </r>
  <r>
    <x v="4"/>
    <n v="13.6911"/>
    <n v="-89.232500000000002"/>
    <n v="57.28"/>
    <n v="0"/>
    <n v="0"/>
    <n v="105"/>
    <s v="_x0000_US"/>
  </r>
  <r>
    <x v="4"/>
    <n v="13.691700000000001"/>
    <n v="-89.232500000000002"/>
    <n v="57.28"/>
    <n v="0"/>
    <n v="0"/>
    <n v="105"/>
    <s v="_x0000_US"/>
  </r>
  <r>
    <x v="4"/>
    <n v="13.6911"/>
    <n v="-89.232500000000002"/>
    <n v="64.44"/>
    <n v="0"/>
    <n v="0"/>
    <n v="105"/>
    <s v="_x0000_US"/>
  </r>
  <r>
    <x v="4"/>
    <n v="13.6912"/>
    <n v="-89.232500000000002"/>
    <n v="71.599999999999994"/>
    <n v="0"/>
    <n v="0"/>
    <n v="105"/>
    <s v="_x0000_US"/>
  </r>
  <r>
    <x v="4"/>
    <n v="13.6915"/>
    <n v="-89.232500000000002"/>
    <n v="71.599999999999994"/>
    <n v="0"/>
    <n v="0"/>
    <n v="105"/>
    <s v="_x0000_US"/>
  </r>
  <r>
    <x v="4"/>
    <n v="13.6913"/>
    <n v="-89.232500000000002"/>
    <n v="78.760000000000005"/>
    <n v="0"/>
    <n v="0"/>
    <n v="105"/>
    <s v="_x0000_US"/>
  </r>
  <r>
    <x v="4"/>
    <n v="13.6914"/>
    <n v="-89.232500000000002"/>
    <n v="85.92"/>
    <n v="0"/>
    <n v="0"/>
    <n v="105"/>
    <s v="_x0000_US"/>
  </r>
  <r>
    <x v="4"/>
    <n v="13.6913"/>
    <n v="-89.232500000000002"/>
    <n v="100.24"/>
    <n v="0"/>
    <n v="0"/>
    <n v="105"/>
    <s v="_x0000_US"/>
  </r>
  <r>
    <x v="4"/>
    <n v="13.6915"/>
    <n v="-89.232500000000002"/>
    <n v="100.24"/>
    <n v="0"/>
    <n v="0"/>
    <n v="105"/>
    <s v="_x0000_US"/>
  </r>
  <r>
    <x v="4"/>
    <n v="13.690799999999999"/>
    <n v="-89.232500000000002"/>
    <n v="179"/>
    <n v="0"/>
    <n v="0"/>
    <n v="105"/>
    <s v="_x0000_US"/>
  </r>
  <r>
    <x v="4"/>
    <n v="13.691000000000001"/>
    <n v="-89.232500000000002"/>
    <n v="186.16"/>
    <n v="0"/>
    <n v="0"/>
    <n v="105"/>
    <s v="_x0000_US"/>
  </r>
  <r>
    <x v="4"/>
    <n v="13.692600000000001"/>
    <n v="-89.232500000000002"/>
    <n v="2341.3200000000002"/>
    <n v="0"/>
    <n v="0"/>
    <n v="105"/>
    <s v="_x0000_US"/>
  </r>
  <r>
    <x v="4"/>
    <n v="13.690899999999999"/>
    <n v="-89.232399999999998"/>
    <n v="35.799999999999997"/>
    <n v="0"/>
    <n v="0"/>
    <n v="105"/>
    <s v="_x0000_US"/>
  </r>
  <r>
    <x v="4"/>
    <n v="13.690899999999999"/>
    <n v="-89.232399999999998"/>
    <n v="64.44"/>
    <n v="0"/>
    <n v="0"/>
    <n v="105"/>
    <s v="_x0000_US"/>
  </r>
  <r>
    <x v="4"/>
    <n v="13.690899999999999"/>
    <n v="-89.232399999999998"/>
    <n v="71.599999999999994"/>
    <n v="0"/>
    <n v="0"/>
    <n v="105"/>
    <s v="_x0000_US"/>
  </r>
  <r>
    <x v="4"/>
    <n v="13.691700000000001"/>
    <n v="-89.232399999999998"/>
    <n v="93.08"/>
    <n v="0"/>
    <n v="0"/>
    <n v="105"/>
    <s v="_x0000_US"/>
  </r>
  <r>
    <x v="4"/>
    <n v="13.691599999999999"/>
    <n v="-89.232399999999998"/>
    <n v="128.88"/>
    <n v="0"/>
    <n v="0"/>
    <n v="105"/>
    <s v="_x0000_US"/>
  </r>
  <r>
    <x v="4"/>
    <n v="13.691000000000001"/>
    <n v="-89.232399999999998"/>
    <n v="193.32"/>
    <n v="0"/>
    <n v="0"/>
    <n v="105"/>
    <s v="_x0000_US"/>
  </r>
  <r>
    <x v="4"/>
    <n v="13.690799999999999"/>
    <n v="-89.232299999999995"/>
    <n v="28.64"/>
    <n v="0"/>
    <n v="0"/>
    <n v="105"/>
    <s v="_x0000_US"/>
  </r>
  <r>
    <x v="4"/>
    <n v="13.690899999999999"/>
    <n v="-89.232299999999995"/>
    <n v="35.799999999999997"/>
    <n v="0"/>
    <n v="0"/>
    <n v="105"/>
    <s v="_x0000_US"/>
  </r>
  <r>
    <x v="4"/>
    <n v="13.690799999999999"/>
    <n v="-89.232299999999995"/>
    <n v="57.28"/>
    <n v="0"/>
    <n v="0"/>
    <n v="105"/>
    <s v="_x0000_US"/>
  </r>
  <r>
    <x v="4"/>
    <n v="13.6907"/>
    <n v="-89.232299999999995"/>
    <n v="221.96"/>
    <n v="0"/>
    <n v="0"/>
    <n v="105"/>
    <s v="_x0000_US"/>
  </r>
  <r>
    <x v="4"/>
    <n v="13.690799999999999"/>
    <n v="-89.232200000000006"/>
    <n v="186.16"/>
    <n v="0"/>
    <n v="0"/>
    <n v="105"/>
    <s v="_x0000_US"/>
  </r>
  <r>
    <x v="4"/>
    <n v="13.690799999999999"/>
    <n v="-89.232100000000003"/>
    <n v="64.44"/>
    <n v="0"/>
    <n v="0"/>
    <n v="105"/>
    <s v="_x0000_US"/>
  </r>
  <r>
    <x v="4"/>
    <n v="13.6914"/>
    <n v="-89.232100000000003"/>
    <n v="93.08"/>
    <n v="0"/>
    <n v="0"/>
    <n v="105"/>
    <s v="_x0000_US"/>
  </r>
  <r>
    <x v="4"/>
    <n v="13.6907"/>
    <n v="-89.232100000000003"/>
    <n v="107.4"/>
    <n v="0"/>
    <n v="0"/>
    <n v="105"/>
    <s v="_x0000_US"/>
  </r>
  <r>
    <x v="4"/>
    <n v="13.691599999999999"/>
    <n v="-89.232100000000003"/>
    <n v="200.48"/>
    <n v="0"/>
    <n v="0"/>
    <n v="105"/>
    <s v="_x0000_US"/>
  </r>
  <r>
    <x v="4"/>
    <n v="13.690799999999999"/>
    <n v="-89.231999999999999"/>
    <n v="78.760000000000005"/>
    <n v="0"/>
    <n v="0"/>
    <n v="105"/>
    <s v="_x0000_US"/>
  </r>
  <r>
    <x v="4"/>
    <n v="13.6906"/>
    <n v="-89.231999999999999"/>
    <n v="100.24"/>
    <n v="0"/>
    <n v="0"/>
    <n v="105"/>
    <s v="_x0000_US"/>
  </r>
  <r>
    <x v="4"/>
    <n v="13.6905"/>
    <n v="-89.231999999999999"/>
    <n v="157.52000000000001"/>
    <n v="0"/>
    <n v="0"/>
    <n v="105"/>
    <s v="_x0000_US"/>
  </r>
  <r>
    <x v="4"/>
    <n v="13.6915"/>
    <n v="-89.231999999999999"/>
    <n v="852.04"/>
    <n v="0"/>
    <n v="0"/>
    <n v="105"/>
    <s v="_x0000_US"/>
  </r>
  <r>
    <x v="4"/>
    <n v="13.6906"/>
    <n v="-89.231899999999996"/>
    <n v="57.28"/>
    <n v="0"/>
    <n v="0"/>
    <n v="105"/>
    <s v="_x0000_US"/>
  </r>
  <r>
    <x v="4"/>
    <n v="13.690899999999999"/>
    <n v="-89.231899999999996"/>
    <n v="300.72000000000003"/>
    <n v="0"/>
    <n v="0"/>
    <n v="105"/>
    <s v="_x0000_US"/>
  </r>
  <r>
    <x v="4"/>
    <n v="13.6891"/>
    <n v="-89.231899999999996"/>
    <n v="603.36"/>
    <n v="0"/>
    <n v="0"/>
    <n v="105"/>
    <s v="_x0000_US"/>
  </r>
  <r>
    <x v="4"/>
    <n v="13.6905"/>
    <n v="-89.231800000000007"/>
    <n v="71.599999999999994"/>
    <n v="0"/>
    <n v="0"/>
    <n v="105"/>
    <s v="_x0000_US"/>
  </r>
  <r>
    <x v="4"/>
    <n v="13.6907"/>
    <n v="-89.231800000000007"/>
    <n v="200.48"/>
    <n v="0"/>
    <n v="0"/>
    <n v="105"/>
    <s v="_x0000_US"/>
  </r>
  <r>
    <x v="4"/>
    <n v="13.690899999999999"/>
    <n v="-89.231700000000004"/>
    <n v="107.4"/>
    <n v="0"/>
    <n v="0"/>
    <n v="105"/>
    <s v="_x0000_US"/>
  </r>
  <r>
    <x v="4"/>
    <n v="13.6905"/>
    <n v="-89.231700000000004"/>
    <n v="114.56"/>
    <n v="0"/>
    <n v="0"/>
    <n v="105"/>
    <s v="_x0000_US"/>
  </r>
  <r>
    <x v="4"/>
    <n v="13.6907"/>
    <n v="-89.231700000000004"/>
    <n v="200.48"/>
    <n v="0"/>
    <n v="0"/>
    <n v="105"/>
    <s v="_x0000_US"/>
  </r>
  <r>
    <x v="4"/>
    <n v="13.6906"/>
    <n v="-89.2316"/>
    <n v="21.48"/>
    <n v="0"/>
    <n v="0"/>
    <n v="105"/>
    <s v="_x0000_US"/>
  </r>
  <r>
    <x v="4"/>
    <n v="13.6906"/>
    <n v="-89.2316"/>
    <n v="71.599999999999994"/>
    <n v="0"/>
    <n v="0"/>
    <n v="105"/>
    <s v="_x0000_US"/>
  </r>
  <r>
    <x v="4"/>
    <n v="13.690899999999999"/>
    <n v="-89.2316"/>
    <n v="128.88"/>
    <n v="0"/>
    <n v="0"/>
    <n v="105"/>
    <s v="_x0000_US"/>
  </r>
  <r>
    <x v="4"/>
    <n v="13.6882"/>
    <n v="-89.2316"/>
    <n v="1424.84"/>
    <n v="0"/>
    <n v="0"/>
    <n v="105"/>
    <s v="_x0000_US"/>
  </r>
  <r>
    <x v="4"/>
    <n v="13.6907"/>
    <n v="-89.231499999999997"/>
    <n v="150.36000000000001"/>
    <n v="0"/>
    <n v="0"/>
    <n v="105"/>
    <s v="_x0000_US"/>
  </r>
  <r>
    <x v="4"/>
    <n v="13.690799999999999"/>
    <n v="-89.231499999999997"/>
    <n v="214.8"/>
    <n v="0"/>
    <n v="0"/>
    <n v="105"/>
    <s v="_x0000_US"/>
  </r>
  <r>
    <x v="4"/>
    <n v="13.690799999999999"/>
    <n v="-89.231399999999994"/>
    <n v="164.68"/>
    <n v="0"/>
    <n v="0"/>
    <n v="105"/>
    <s v="_x0000_US"/>
  </r>
  <r>
    <x v="4"/>
    <n v="13.687200000000001"/>
    <n v="-89.231300000000005"/>
    <n v="701.68"/>
    <n v="0"/>
    <n v="0"/>
    <n v="105"/>
    <s v="_x0000_US"/>
  </r>
  <r>
    <x v="4"/>
    <n v="13.691000000000001"/>
    <n v="-89.231200000000001"/>
    <n v="501.2"/>
    <n v="0"/>
    <n v="0"/>
    <n v="105"/>
    <s v="_x0000_US"/>
  </r>
  <r>
    <x v="4"/>
    <n v="13.6928"/>
    <n v="-89.230999999999995"/>
    <n v="128.88"/>
    <n v="0"/>
    <n v="0"/>
    <n v="105"/>
    <s v="_x0000_US"/>
  </r>
  <r>
    <x v="4"/>
    <n v="13.6913"/>
    <n v="-89.230999999999995"/>
    <n v="422.44"/>
    <n v="0"/>
    <n v="0"/>
    <n v="105"/>
    <s v="_x0000_US"/>
  </r>
  <r>
    <x v="4"/>
    <n v="13.690200000000001"/>
    <n v="-89.230999999999995"/>
    <n v="1910.64"/>
    <n v="0"/>
    <n v="0"/>
    <n v="105"/>
    <s v="_x0000_US"/>
  </r>
  <r>
    <x v="4"/>
    <n v="13.6927"/>
    <n v="-89.230800000000002"/>
    <n v="243.44"/>
    <n v="0"/>
    <n v="0"/>
    <n v="105"/>
    <s v="_x0000_US"/>
  </r>
  <r>
    <x v="4"/>
    <n v="13.6911"/>
    <n v="-89.230699999999999"/>
    <n v="300.72000000000003"/>
    <n v="0"/>
    <n v="0"/>
    <n v="105"/>
    <s v="_x0000_US"/>
  </r>
  <r>
    <x v="4"/>
    <n v="13.6929"/>
    <n v="-89.230699999999999"/>
    <n v="307.88"/>
    <n v="0"/>
    <n v="0"/>
    <n v="105"/>
    <s v="_x0000_US"/>
  </r>
  <r>
    <x v="4"/>
    <n v="13.692299999999999"/>
    <n v="-89.230699999999999"/>
    <n v="651.55999999999995"/>
    <n v="0"/>
    <n v="0"/>
    <n v="105"/>
    <s v="_x0000_US"/>
  </r>
  <r>
    <x v="4"/>
    <n v="13.688800000000001"/>
    <n v="-89.230699999999999"/>
    <n v="1639.64"/>
    <n v="0"/>
    <n v="0"/>
    <n v="105"/>
    <s v="_x0000_US"/>
  </r>
  <r>
    <x v="4"/>
    <n v="13.686299999999999"/>
    <n v="-89.230599999999995"/>
    <n v="157.52000000000001"/>
    <n v="0"/>
    <n v="0"/>
    <n v="105"/>
    <s v="_x0000_US"/>
  </r>
  <r>
    <x v="4"/>
    <n v="13.686999999999999"/>
    <n v="-89.230599999999995"/>
    <n v="959.44"/>
    <n v="0"/>
    <n v="0"/>
    <n v="105"/>
    <s v="_x0000_US"/>
  </r>
  <r>
    <x v="4"/>
    <n v="13.686199999999999"/>
    <n v="-89.230500000000006"/>
    <n v="136.04"/>
    <n v="0"/>
    <n v="0"/>
    <n v="105"/>
    <s v="_x0000_US"/>
  </r>
  <r>
    <x v="4"/>
    <n v="13.6912"/>
    <n v="-89.230500000000006"/>
    <n v="142.46"/>
    <n v="0"/>
    <n v="0"/>
    <n v="105"/>
    <s v="_x0000_US"/>
  </r>
  <r>
    <x v="4"/>
    <n v="13.693"/>
    <n v="-89.230500000000006"/>
    <n v="422.44"/>
    <n v="0"/>
    <n v="0"/>
    <n v="105"/>
    <s v="_x0000_US"/>
  </r>
  <r>
    <x v="4"/>
    <n v="13.686400000000001"/>
    <n v="-89.230400000000003"/>
    <n v="272.08"/>
    <n v="0"/>
    <n v="0"/>
    <n v="105"/>
    <s v="_x0000_US"/>
  </r>
  <r>
    <x v="4"/>
    <n v="13.6928"/>
    <n v="-89.230400000000003"/>
    <n v="486.88"/>
    <n v="0"/>
    <n v="0"/>
    <n v="105"/>
    <s v="_x0000_US"/>
  </r>
  <r>
    <x v="4"/>
    <n v="13.6929"/>
    <n v="-89.2303"/>
    <n v="429.6"/>
    <n v="0"/>
    <n v="0"/>
    <n v="105"/>
    <s v="_x0000_US"/>
  </r>
  <r>
    <x v="4"/>
    <n v="13.6915"/>
    <n v="-89.2303"/>
    <n v="561.46"/>
    <n v="0"/>
    <n v="0"/>
    <n v="105"/>
    <s v="_x0000_US"/>
  </r>
  <r>
    <x v="4"/>
    <n v="13.6936"/>
    <n v="-89.230199999999996"/>
    <n v="28.64"/>
    <n v="0"/>
    <n v="0"/>
    <n v="105"/>
    <s v="_x0000_US"/>
  </r>
  <r>
    <x v="4"/>
    <n v="13.6913"/>
    <n v="-89.230199999999996"/>
    <n v="360.34"/>
    <n v="0"/>
    <n v="0"/>
    <n v="105"/>
    <s v="_x0000_US"/>
  </r>
  <r>
    <x v="4"/>
    <n v="13.6935"/>
    <n v="-89.230099999999993"/>
    <n v="85.92"/>
    <n v="0"/>
    <n v="0"/>
    <n v="105"/>
    <s v="_x0000_US"/>
  </r>
  <r>
    <x v="4"/>
    <n v="13.686299999999999"/>
    <n v="-89.230099999999993"/>
    <n v="400.96"/>
    <n v="0"/>
    <n v="0"/>
    <n v="105"/>
    <s v="_x0000_US"/>
  </r>
  <r>
    <x v="4"/>
    <n v="13.6915"/>
    <n v="-89.230099999999993"/>
    <n v="628.5"/>
    <n v="0"/>
    <n v="0"/>
    <n v="105"/>
    <s v="_x0000_US"/>
  </r>
  <r>
    <x v="4"/>
    <n v="13.6913"/>
    <n v="-89.23"/>
    <n v="121.72"/>
    <n v="0"/>
    <n v="0"/>
    <n v="105"/>
    <s v="_x0000_US"/>
  </r>
  <r>
    <x v="4"/>
    <n v="13.6936"/>
    <n v="-89.23"/>
    <n v="136.04"/>
    <n v="0"/>
    <n v="0"/>
    <n v="105"/>
    <s v="_x0000_US"/>
  </r>
  <r>
    <x v="4"/>
    <n v="13.6937"/>
    <n v="-89.23"/>
    <n v="229.12"/>
    <n v="0"/>
    <n v="0"/>
    <n v="105"/>
    <s v="_x0000_US"/>
  </r>
  <r>
    <x v="4"/>
    <n v="13.6938"/>
    <n v="-89.229900000000001"/>
    <n v="78.760000000000005"/>
    <n v="0"/>
    <n v="0"/>
    <n v="105"/>
    <s v="_x0000_US"/>
  </r>
  <r>
    <x v="4"/>
    <n v="13.6937"/>
    <n v="-89.229900000000001"/>
    <n v="107.4"/>
    <n v="0"/>
    <n v="0"/>
    <n v="105"/>
    <s v="_x0000_US"/>
  </r>
  <r>
    <x v="4"/>
    <n v="13.688499999999999"/>
    <n v="-89.229900000000001"/>
    <n v="150.36000000000001"/>
    <n v="0"/>
    <n v="0"/>
    <n v="105"/>
    <s v="_x0000_US"/>
  </r>
  <r>
    <x v="4"/>
    <n v="13.6913"/>
    <n v="-89.229900000000001"/>
    <n v="234.64"/>
    <n v="0"/>
    <n v="0"/>
    <n v="105"/>
    <s v="_x0000_US"/>
  </r>
  <r>
    <x v="4"/>
    <n v="13.6911"/>
    <n v="-89.229900000000001"/>
    <n v="336.52"/>
    <n v="0"/>
    <n v="0"/>
    <n v="105"/>
    <s v="_x0000_US"/>
  </r>
  <r>
    <x v="4"/>
    <n v="13.6928"/>
    <n v="-89.229900000000001"/>
    <n v="429.6"/>
    <n v="0"/>
    <n v="0"/>
    <n v="105"/>
    <s v="_x0000_US"/>
  </r>
  <r>
    <x v="4"/>
    <n v="13.6873"/>
    <n v="-89.229900000000001"/>
    <n v="1353.24"/>
    <n v="0"/>
    <n v="0"/>
    <n v="105"/>
    <s v="_x0000_US"/>
  </r>
  <r>
    <x v="4"/>
    <n v="13.6884"/>
    <n v="-89.229799999999997"/>
    <n v="28.64"/>
    <n v="0"/>
    <n v="0"/>
    <n v="105"/>
    <s v="_x0000_US"/>
  </r>
  <r>
    <x v="4"/>
    <n v="13.6882"/>
    <n v="-89.229799999999997"/>
    <n v="121.72"/>
    <n v="0"/>
    <n v="0"/>
    <n v="105"/>
    <s v="_x0000_US"/>
  </r>
  <r>
    <x v="4"/>
    <n v="13.6883"/>
    <n v="-89.229799999999997"/>
    <n v="150.36000000000001"/>
    <n v="0"/>
    <n v="0"/>
    <n v="105"/>
    <s v="_x0000_US"/>
  </r>
  <r>
    <x v="4"/>
    <n v="13.688599999999999"/>
    <n v="-89.229799999999997"/>
    <n v="264.92"/>
    <n v="0"/>
    <n v="0"/>
    <n v="105"/>
    <s v="_x0000_US"/>
  </r>
  <r>
    <x v="4"/>
    <n v="13.691000000000001"/>
    <n v="-89.229699999999994"/>
    <n v="121.72"/>
    <n v="0"/>
    <n v="0"/>
    <n v="105"/>
    <s v="_x0000_US"/>
  </r>
  <r>
    <x v="4"/>
    <n v="13.688499999999999"/>
    <n v="-89.229699999999994"/>
    <n v="150.36000000000001"/>
    <n v="0"/>
    <n v="0"/>
    <n v="105"/>
    <s v="_x0000_US"/>
  </r>
  <r>
    <x v="4"/>
    <n v="13.693300000000001"/>
    <n v="-89.229699999999994"/>
    <n v="651.55999999999995"/>
    <n v="0"/>
    <n v="0"/>
    <n v="105"/>
    <s v="_x0000_US"/>
  </r>
  <r>
    <x v="4"/>
    <n v="13.692500000000001"/>
    <n v="-89.229699999999994"/>
    <n v="1114.54"/>
    <n v="0"/>
    <n v="0"/>
    <n v="105"/>
    <s v="_x0000_US"/>
  </r>
  <r>
    <x v="4"/>
    <n v="13.688700000000001"/>
    <n v="-89.229600000000005"/>
    <n v="64.44"/>
    <n v="0"/>
    <n v="0"/>
    <n v="105"/>
    <s v="_x0000_US"/>
  </r>
  <r>
    <x v="4"/>
    <n v="13.688800000000001"/>
    <n v="-89.229600000000005"/>
    <n v="64.44"/>
    <n v="0"/>
    <n v="0"/>
    <n v="105"/>
    <s v="_x0000_US"/>
  </r>
  <r>
    <x v="4"/>
    <n v="13.6913"/>
    <n v="-89.229600000000005"/>
    <n v="143.19999999999999"/>
    <n v="0"/>
    <n v="0"/>
    <n v="105"/>
    <s v="_x0000_US"/>
  </r>
  <r>
    <x v="4"/>
    <n v="13.6912"/>
    <n v="-89.229600000000005"/>
    <n v="157.52000000000001"/>
    <n v="0"/>
    <n v="0"/>
    <n v="105"/>
    <s v="_x0000_US"/>
  </r>
  <r>
    <x v="4"/>
    <n v="13.6891"/>
    <n v="-89.229600000000005"/>
    <n v="164.68"/>
    <n v="0"/>
    <n v="0"/>
    <n v="105"/>
    <s v="_x0000_US"/>
  </r>
  <r>
    <x v="4"/>
    <n v="13.6889"/>
    <n v="-89.229600000000005"/>
    <n v="171.84"/>
    <n v="0"/>
    <n v="0"/>
    <n v="105"/>
    <s v="_x0000_US"/>
  </r>
  <r>
    <x v="4"/>
    <n v="13.6881"/>
    <n v="-89.229600000000005"/>
    <n v="186.16"/>
    <n v="0"/>
    <n v="0"/>
    <n v="105"/>
    <s v="_x0000_US"/>
  </r>
  <r>
    <x v="4"/>
    <n v="13.6911"/>
    <n v="-89.229600000000005"/>
    <n v="186.16"/>
    <n v="0"/>
    <n v="0"/>
    <n v="105"/>
    <s v="_x0000_US"/>
  </r>
  <r>
    <x v="4"/>
    <n v="13.6883"/>
    <n v="-89.229600000000005"/>
    <n v="286.39999999999998"/>
    <n v="0"/>
    <n v="0"/>
    <n v="105"/>
    <s v="_x0000_US"/>
  </r>
  <r>
    <x v="4"/>
    <n v="13.689399999999999"/>
    <n v="-89.229600000000005"/>
    <n v="379.48"/>
    <n v="0"/>
    <n v="0"/>
    <n v="105"/>
    <s v="_x0000_US"/>
  </r>
  <r>
    <x v="4"/>
    <n v="13.6936"/>
    <n v="-89.229600000000005"/>
    <n v="501.2"/>
    <n v="0"/>
    <n v="0"/>
    <n v="105"/>
    <s v="_x0000_US"/>
  </r>
  <r>
    <x v="4"/>
    <n v="13.6934"/>
    <n v="-89.229600000000005"/>
    <n v="644.4"/>
    <n v="0"/>
    <n v="0"/>
    <n v="105"/>
    <s v="_x0000_US"/>
  </r>
  <r>
    <x v="4"/>
    <n v="13.6892"/>
    <n v="-89.229500000000002"/>
    <n v="42.96"/>
    <n v="0"/>
    <n v="0"/>
    <n v="105"/>
    <s v="_x0000_US"/>
  </r>
  <r>
    <x v="4"/>
    <n v="13.6897"/>
    <n v="-89.229500000000002"/>
    <n v="50.12"/>
    <n v="0"/>
    <n v="0"/>
    <n v="105"/>
    <s v="_x0000_US"/>
  </r>
  <r>
    <x v="4"/>
    <n v="13.6912"/>
    <n v="-89.229500000000002"/>
    <n v="64.44"/>
    <n v="0"/>
    <n v="0"/>
    <n v="105"/>
    <s v="_x0000_US"/>
  </r>
  <r>
    <x v="4"/>
    <n v="13.6911"/>
    <n v="-89.229500000000002"/>
    <n v="78.760000000000005"/>
    <n v="0"/>
    <n v="0"/>
    <n v="105"/>
    <s v="_x0000_US"/>
  </r>
  <r>
    <x v="4"/>
    <n v="13.690899999999999"/>
    <n v="-89.229500000000002"/>
    <n v="114.56"/>
    <n v="0"/>
    <n v="0"/>
    <n v="105"/>
    <s v="_x0000_US"/>
  </r>
  <r>
    <x v="4"/>
    <n v="13.6898"/>
    <n v="-89.229500000000002"/>
    <n v="157.52000000000001"/>
    <n v="0"/>
    <n v="0"/>
    <n v="105"/>
    <s v="_x0000_US"/>
  </r>
  <r>
    <x v="4"/>
    <n v="13.688800000000001"/>
    <n v="-89.229500000000002"/>
    <n v="207.64"/>
    <n v="0"/>
    <n v="0"/>
    <n v="105"/>
    <s v="_x0000_US"/>
  </r>
  <r>
    <x v="4"/>
    <n v="13.6911"/>
    <n v="-89.229399999999998"/>
    <n v="35.799999999999997"/>
    <n v="0"/>
    <n v="0"/>
    <n v="105"/>
    <s v="_x0000_US"/>
  </r>
  <r>
    <x v="4"/>
    <n v="13.6889"/>
    <n v="-89.229399999999998"/>
    <n v="50.12"/>
    <n v="0"/>
    <n v="0"/>
    <n v="105"/>
    <s v="_x0000_US"/>
  </r>
  <r>
    <x v="4"/>
    <n v="13.689299999999999"/>
    <n v="-89.229399999999998"/>
    <n v="57.28"/>
    <n v="0"/>
    <n v="0"/>
    <n v="105"/>
    <s v="_x0000_US"/>
  </r>
  <r>
    <x v="4"/>
    <n v="13.691000000000001"/>
    <n v="-89.229399999999998"/>
    <n v="71.599999999999994"/>
    <n v="0"/>
    <n v="0"/>
    <n v="105"/>
    <s v="_x0000_US"/>
  </r>
  <r>
    <x v="4"/>
    <n v="13.691000000000001"/>
    <n v="-89.229399999999998"/>
    <n v="78.760000000000005"/>
    <n v="0"/>
    <n v="0"/>
    <n v="105"/>
    <s v="_x0000_US"/>
  </r>
  <r>
    <x v="4"/>
    <n v="13.6884"/>
    <n v="-89.229399999999998"/>
    <n v="93.08"/>
    <n v="0"/>
    <n v="0"/>
    <n v="105"/>
    <s v="_x0000_US"/>
  </r>
  <r>
    <x v="4"/>
    <n v="13.6892"/>
    <n v="-89.229399999999998"/>
    <n v="107.4"/>
    <n v="0"/>
    <n v="0"/>
    <n v="105"/>
    <s v="_x0000_US"/>
  </r>
  <r>
    <x v="4"/>
    <n v="13.689"/>
    <n v="-89.229399999999998"/>
    <n v="121.72"/>
    <n v="0"/>
    <n v="0"/>
    <n v="105"/>
    <s v="_x0000_US"/>
  </r>
  <r>
    <x v="4"/>
    <n v="13.689299999999999"/>
    <n v="-89.229399999999998"/>
    <n v="128.88"/>
    <n v="0"/>
    <n v="0"/>
    <n v="105"/>
    <s v="_x0000_US"/>
  </r>
  <r>
    <x v="4"/>
    <n v="13.6929"/>
    <n v="-89.229399999999998"/>
    <n v="284.92"/>
    <n v="0"/>
    <n v="0"/>
    <n v="105"/>
    <s v="_x0000_US"/>
  </r>
  <r>
    <x v="4"/>
    <n v="13.6882"/>
    <n v="-89.229399999999998"/>
    <n v="307.88"/>
    <n v="0"/>
    <n v="0"/>
    <n v="105"/>
    <s v="_x0000_US"/>
  </r>
  <r>
    <x v="4"/>
    <n v="13.688599999999999"/>
    <n v="-89.229399999999998"/>
    <n v="343.68"/>
    <n v="0"/>
    <n v="0"/>
    <n v="105"/>
    <s v="_x0000_US"/>
  </r>
  <r>
    <x v="4"/>
    <n v="13.6914"/>
    <n v="-89.229399999999998"/>
    <n v="444.14"/>
    <n v="0"/>
    <n v="0"/>
    <n v="105"/>
    <s v="_x0000_US"/>
  </r>
  <r>
    <x v="4"/>
    <n v="13.6897"/>
    <n v="-89.229299999999995"/>
    <n v="100.24"/>
    <n v="0"/>
    <n v="0"/>
    <n v="105"/>
    <s v="_x0000_US"/>
  </r>
  <r>
    <x v="4"/>
    <n v="13.690799999999999"/>
    <n v="-89.229299999999995"/>
    <n v="128.88"/>
    <n v="0"/>
    <n v="0"/>
    <n v="105"/>
    <s v="_x0000_US"/>
  </r>
  <r>
    <x v="4"/>
    <n v="13.693099999999999"/>
    <n v="-89.229299999999995"/>
    <n v="142.46"/>
    <n v="0"/>
    <n v="0"/>
    <n v="105"/>
    <s v="_x0000_US"/>
  </r>
  <r>
    <x v="4"/>
    <n v="13.6911"/>
    <n v="-89.229299999999995"/>
    <n v="143.19999999999999"/>
    <n v="0"/>
    <n v="0"/>
    <n v="105"/>
    <s v="_x0000_US"/>
  </r>
  <r>
    <x v="4"/>
    <n v="13.6898"/>
    <n v="-89.229299999999995"/>
    <n v="150.36000000000001"/>
    <n v="0"/>
    <n v="0"/>
    <n v="105"/>
    <s v="_x0000_US"/>
  </r>
  <r>
    <x v="4"/>
    <n v="13.689"/>
    <n v="-89.229299999999995"/>
    <n v="171.84"/>
    <n v="0"/>
    <n v="0"/>
    <n v="105"/>
    <s v="_x0000_US"/>
  </r>
  <r>
    <x v="4"/>
    <n v="13.689500000000001"/>
    <n v="-89.229299999999995"/>
    <n v="243.44"/>
    <n v="0"/>
    <n v="0"/>
    <n v="105"/>
    <s v="_x0000_US"/>
  </r>
  <r>
    <x v="4"/>
    <n v="13.691000000000001"/>
    <n v="-89.229200000000006"/>
    <n v="42.96"/>
    <n v="0"/>
    <n v="0"/>
    <n v="105"/>
    <s v="_x0000_US"/>
  </r>
  <r>
    <x v="4"/>
    <n v="13.690899999999999"/>
    <n v="-89.229200000000006"/>
    <n v="93.08"/>
    <n v="0"/>
    <n v="0"/>
    <n v="105"/>
    <s v="_x0000_US"/>
  </r>
  <r>
    <x v="4"/>
    <n v="13.690899999999999"/>
    <n v="-89.229200000000006"/>
    <n v="100.24"/>
    <n v="0"/>
    <n v="0"/>
    <n v="105"/>
    <s v="_x0000_US"/>
  </r>
  <r>
    <x v="4"/>
    <n v="13.691000000000001"/>
    <n v="-89.229200000000006"/>
    <n v="100.24"/>
    <n v="0"/>
    <n v="0"/>
    <n v="105"/>
    <s v="_x0000_US"/>
  </r>
  <r>
    <x v="4"/>
    <n v="13.6911"/>
    <n v="-89.229200000000006"/>
    <n v="107.4"/>
    <n v="0"/>
    <n v="0"/>
    <n v="105"/>
    <s v="_x0000_US"/>
  </r>
  <r>
    <x v="4"/>
    <n v="13.6911"/>
    <n v="-89.229200000000006"/>
    <n v="107.4"/>
    <n v="0"/>
    <n v="0"/>
    <n v="105"/>
    <s v="_x0000_US"/>
  </r>
  <r>
    <x v="4"/>
    <n v="13.689"/>
    <n v="-89.229200000000006"/>
    <n v="114.56"/>
    <n v="0"/>
    <n v="0"/>
    <n v="105"/>
    <s v="_x0000_US"/>
  </r>
  <r>
    <x v="4"/>
    <n v="13.6891"/>
    <n v="-89.229200000000006"/>
    <n v="171.84"/>
    <n v="0"/>
    <n v="0"/>
    <n v="105"/>
    <s v="_x0000_US"/>
  </r>
  <r>
    <x v="4"/>
    <n v="13.6913"/>
    <n v="-89.229200000000006"/>
    <n v="200.48"/>
    <n v="0"/>
    <n v="0"/>
    <n v="105"/>
    <s v="_x0000_US"/>
  </r>
  <r>
    <x v="4"/>
    <n v="13.688700000000001"/>
    <n v="-89.229200000000006"/>
    <n v="479.72"/>
    <n v="0"/>
    <n v="0"/>
    <n v="105"/>
    <s v="_x0000_US"/>
  </r>
  <r>
    <x v="4"/>
    <n v="13.687900000000001"/>
    <n v="-89.229200000000006"/>
    <n v="579.96"/>
    <n v="0"/>
    <n v="0"/>
    <n v="105"/>
    <s v="_x0000_US"/>
  </r>
  <r>
    <x v="4"/>
    <n v="13.6897"/>
    <n v="-89.229100000000003"/>
    <n v="14.32"/>
    <n v="0"/>
    <n v="0"/>
    <n v="105"/>
    <s v="_x0000_US"/>
  </r>
  <r>
    <x v="4"/>
    <n v="13.690799999999999"/>
    <n v="-89.229100000000003"/>
    <n v="42.96"/>
    <n v="0"/>
    <n v="0"/>
    <n v="105"/>
    <s v="_x0000_US"/>
  </r>
  <r>
    <x v="4"/>
    <n v="13.6911"/>
    <n v="-89.229100000000003"/>
    <n v="64.44"/>
    <n v="0"/>
    <n v="0"/>
    <n v="105"/>
    <s v="_x0000_US"/>
  </r>
  <r>
    <x v="4"/>
    <n v="13.690799999999999"/>
    <n v="-89.229100000000003"/>
    <n v="71.599999999999994"/>
    <n v="0"/>
    <n v="0"/>
    <n v="105"/>
    <s v="_x0000_US"/>
  </r>
  <r>
    <x v="4"/>
    <n v="13.6896"/>
    <n v="-89.229100000000003"/>
    <n v="78.760000000000005"/>
    <n v="0"/>
    <n v="0"/>
    <n v="105"/>
    <s v="_x0000_US"/>
  </r>
  <r>
    <x v="4"/>
    <n v="13.6892"/>
    <n v="-89.229100000000003"/>
    <n v="93.08"/>
    <n v="0"/>
    <n v="0"/>
    <n v="105"/>
    <s v="_x0000_US"/>
  </r>
  <r>
    <x v="4"/>
    <n v="13.6914"/>
    <n v="-89.229100000000003"/>
    <n v="150.84"/>
    <n v="0"/>
    <n v="0"/>
    <n v="105"/>
    <s v="_x0000_US"/>
  </r>
  <r>
    <x v="4"/>
    <n v="13.6897"/>
    <n v="-89.229100000000003"/>
    <n v="157.52000000000001"/>
    <n v="0"/>
    <n v="0"/>
    <n v="105"/>
    <s v="_x0000_US"/>
  </r>
  <r>
    <x v="4"/>
    <n v="13.690899999999999"/>
    <n v="-89.229100000000003"/>
    <n v="164.68"/>
    <n v="0"/>
    <n v="0"/>
    <n v="105"/>
    <s v="_x0000_US"/>
  </r>
  <r>
    <x v="4"/>
    <n v="13.689"/>
    <n v="-89.229100000000003"/>
    <n v="214.8"/>
    <n v="0"/>
    <n v="0"/>
    <n v="105"/>
    <s v="_x0000_US"/>
  </r>
  <r>
    <x v="4"/>
    <n v="13.6934"/>
    <n v="-89.229100000000003"/>
    <n v="402.24"/>
    <n v="0"/>
    <n v="0"/>
    <n v="105"/>
    <s v="_x0000_US"/>
  </r>
  <r>
    <x v="4"/>
    <n v="13.6914"/>
    <n v="-89.228999999999999"/>
    <n v="107.4"/>
    <n v="0"/>
    <n v="0"/>
    <n v="105"/>
    <s v="_x0000_US"/>
  </r>
  <r>
    <x v="4"/>
    <n v="13.689399999999999"/>
    <n v="-89.228999999999999"/>
    <n v="121.72"/>
    <n v="0"/>
    <n v="0"/>
    <n v="105"/>
    <s v="_x0000_US"/>
  </r>
  <r>
    <x v="4"/>
    <n v="13.689299999999999"/>
    <n v="-89.228999999999999"/>
    <n v="143.19999999999999"/>
    <n v="0"/>
    <n v="0"/>
    <n v="105"/>
    <s v="_x0000_US"/>
  </r>
  <r>
    <x v="4"/>
    <n v="13.6898"/>
    <n v="-89.228999999999999"/>
    <n v="186.16"/>
    <n v="0"/>
    <n v="0"/>
    <n v="105"/>
    <s v="_x0000_US"/>
  </r>
  <r>
    <x v="4"/>
    <n v="13.691000000000001"/>
    <n v="-89.228899999999996"/>
    <n v="121.72"/>
    <n v="0"/>
    <n v="0"/>
    <n v="105"/>
    <s v="_x0000_US"/>
  </r>
  <r>
    <x v="4"/>
    <n v="13.6912"/>
    <n v="-89.228899999999996"/>
    <n v="121.72"/>
    <n v="0"/>
    <n v="0"/>
    <n v="105"/>
    <s v="_x0000_US"/>
  </r>
  <r>
    <x v="4"/>
    <n v="13.689399999999999"/>
    <n v="-89.228899999999996"/>
    <n v="128.88"/>
    <n v="0"/>
    <n v="0"/>
    <n v="105"/>
    <s v="_x0000_US"/>
  </r>
  <r>
    <x v="4"/>
    <n v="13.6913"/>
    <n v="-89.228899999999996"/>
    <n v="150.36000000000001"/>
    <n v="0"/>
    <n v="0"/>
    <n v="105"/>
    <s v="_x0000_US"/>
  </r>
  <r>
    <x v="4"/>
    <n v="13.689500000000001"/>
    <n v="-89.228899999999996"/>
    <n v="171.84"/>
    <n v="0"/>
    <n v="0"/>
    <n v="105"/>
    <s v="_x0000_US"/>
  </r>
  <r>
    <x v="4"/>
    <n v="13.6914"/>
    <n v="-89.228899999999996"/>
    <n v="229.12"/>
    <n v="0"/>
    <n v="0"/>
    <n v="105"/>
    <s v="_x0000_US"/>
  </r>
  <r>
    <x v="4"/>
    <n v="13.6911"/>
    <n v="-89.228899999999996"/>
    <n v="236.28"/>
    <n v="0"/>
    <n v="0"/>
    <n v="105"/>
    <s v="_x0000_US"/>
  </r>
  <r>
    <x v="4"/>
    <n v="13.6915"/>
    <n v="-89.228899999999996"/>
    <n v="284.92"/>
    <n v="0"/>
    <n v="0"/>
    <n v="105"/>
    <s v="_x0000_US"/>
  </r>
  <r>
    <x v="4"/>
    <n v="13.6912"/>
    <n v="-89.228800000000007"/>
    <n v="28.64"/>
    <n v="0"/>
    <n v="0"/>
    <n v="105"/>
    <s v="_x0000_US"/>
  </r>
  <r>
    <x v="4"/>
    <n v="13.6912"/>
    <n v="-89.228800000000007"/>
    <n v="35.799999999999997"/>
    <n v="0"/>
    <n v="0"/>
    <n v="105"/>
    <s v="_x0000_US"/>
  </r>
  <r>
    <x v="4"/>
    <n v="13.6912"/>
    <n v="-89.228800000000007"/>
    <n v="42.96"/>
    <n v="0"/>
    <n v="0"/>
    <n v="105"/>
    <s v="_x0000_US"/>
  </r>
  <r>
    <x v="4"/>
    <n v="13.691000000000001"/>
    <n v="-89.228800000000007"/>
    <n v="64.44"/>
    <n v="0"/>
    <n v="0"/>
    <n v="105"/>
    <s v="_x0000_US"/>
  </r>
  <r>
    <x v="4"/>
    <n v="13.6913"/>
    <n v="-89.228800000000007"/>
    <n v="71.599999999999994"/>
    <n v="0"/>
    <n v="0"/>
    <n v="105"/>
    <s v="_x0000_US"/>
  </r>
  <r>
    <x v="4"/>
    <n v="13.6911"/>
    <n v="-89.228800000000007"/>
    <n v="78.760000000000005"/>
    <n v="0"/>
    <n v="0"/>
    <n v="105"/>
    <s v="_x0000_US"/>
  </r>
  <r>
    <x v="4"/>
    <n v="13.690899999999999"/>
    <n v="-89.228800000000007"/>
    <n v="85.92"/>
    <n v="0"/>
    <n v="0"/>
    <n v="105"/>
    <s v="_x0000_US"/>
  </r>
  <r>
    <x v="4"/>
    <n v="13.6943"/>
    <n v="-89.228800000000007"/>
    <n v="264.92"/>
    <n v="0"/>
    <n v="0"/>
    <n v="105"/>
    <s v="_x0000_US"/>
  </r>
  <r>
    <x v="4"/>
    <n v="13.693899999999999"/>
    <n v="-89.228800000000007"/>
    <n v="678.78"/>
    <n v="0"/>
    <n v="0"/>
    <n v="105"/>
    <s v="_x0000_US"/>
  </r>
  <r>
    <x v="4"/>
    <n v="13.6911"/>
    <n v="-89.228700000000003"/>
    <n v="93.08"/>
    <n v="0"/>
    <n v="0"/>
    <n v="105"/>
    <s v="_x0000_US"/>
  </r>
  <r>
    <x v="4"/>
    <n v="13.6912"/>
    <n v="-89.228700000000003"/>
    <n v="121.72"/>
    <n v="0"/>
    <n v="0"/>
    <n v="105"/>
    <s v="_x0000_US"/>
  </r>
  <r>
    <x v="4"/>
    <n v="13.6915"/>
    <n v="-89.228700000000003"/>
    <n v="136.04"/>
    <n v="0"/>
    <n v="0"/>
    <n v="105"/>
    <s v="_x0000_US"/>
  </r>
  <r>
    <x v="4"/>
    <n v="13.688700000000001"/>
    <n v="-89.228700000000003"/>
    <n v="479.72"/>
    <n v="0"/>
    <n v="0"/>
    <n v="105"/>
    <s v="_x0000_US"/>
  </r>
  <r>
    <x v="4"/>
    <n v="13.692399999999999"/>
    <n v="-89.228700000000003"/>
    <n v="1360.4"/>
    <n v="0"/>
    <n v="0"/>
    <n v="105"/>
    <s v="_x0000_US"/>
  </r>
  <r>
    <x v="4"/>
    <n v="13.6911"/>
    <n v="-89.2286"/>
    <n v="28.64"/>
    <n v="0"/>
    <n v="0"/>
    <n v="105"/>
    <s v="_x0000_US"/>
  </r>
  <r>
    <x v="4"/>
    <n v="13.6912"/>
    <n v="-89.2286"/>
    <n v="50.12"/>
    <n v="0"/>
    <n v="0"/>
    <n v="105"/>
    <s v="_x0000_US"/>
  </r>
  <r>
    <x v="4"/>
    <n v="13.6911"/>
    <n v="-89.2286"/>
    <n v="57.28"/>
    <n v="0"/>
    <n v="0"/>
    <n v="105"/>
    <s v="_x0000_US"/>
  </r>
  <r>
    <x v="4"/>
    <n v="13.6912"/>
    <n v="-89.2286"/>
    <n v="64.44"/>
    <n v="0"/>
    <n v="0"/>
    <n v="105"/>
    <s v="_x0000_US"/>
  </r>
  <r>
    <x v="4"/>
    <n v="13.6944"/>
    <n v="-89.2286"/>
    <n v="108.94"/>
    <n v="0"/>
    <n v="0"/>
    <n v="105"/>
    <s v="_x0000_US"/>
  </r>
  <r>
    <x v="4"/>
    <n v="13.6942"/>
    <n v="-89.2286"/>
    <n v="117.32"/>
    <n v="0"/>
    <n v="0"/>
    <n v="105"/>
    <s v="_x0000_US"/>
  </r>
  <r>
    <x v="4"/>
    <n v="13.6912"/>
    <n v="-89.2286"/>
    <n v="164.68"/>
    <n v="0"/>
    <n v="0"/>
    <n v="105"/>
    <s v="_x0000_US"/>
  </r>
  <r>
    <x v="4"/>
    <n v="13.6914"/>
    <n v="-89.2286"/>
    <n v="186.16"/>
    <n v="0"/>
    <n v="0"/>
    <n v="105"/>
    <s v="_x0000_US"/>
  </r>
  <r>
    <x v="4"/>
    <n v="13.691000000000001"/>
    <n v="-89.2286"/>
    <n v="214.8"/>
    <n v="0"/>
    <n v="0"/>
    <n v="105"/>
    <s v="_x0000_US"/>
  </r>
  <r>
    <x v="4"/>
    <n v="13.6881"/>
    <n v="-89.2286"/>
    <n v="716"/>
    <n v="0"/>
    <n v="0"/>
    <n v="105"/>
    <s v="_x0000_US"/>
  </r>
  <r>
    <x v="4"/>
    <n v="13.6913"/>
    <n v="-89.228499999999997"/>
    <n v="21.48"/>
    <n v="0"/>
    <n v="0"/>
    <n v="105"/>
    <s v="_x0000_US"/>
  </r>
  <r>
    <x v="4"/>
    <n v="13.6914"/>
    <n v="-89.228499999999997"/>
    <n v="35.799999999999997"/>
    <n v="0"/>
    <n v="0"/>
    <n v="105"/>
    <s v="_x0000_US"/>
  </r>
  <r>
    <x v="4"/>
    <n v="13.6912"/>
    <n v="-89.228499999999997"/>
    <n v="35.799999999999997"/>
    <n v="0"/>
    <n v="0"/>
    <n v="105"/>
    <s v="_x0000_US"/>
  </r>
  <r>
    <x v="4"/>
    <n v="13.6913"/>
    <n v="-89.228499999999997"/>
    <n v="42.96"/>
    <n v="0"/>
    <n v="0"/>
    <n v="105"/>
    <s v="_x0000_US"/>
  </r>
  <r>
    <x v="4"/>
    <n v="13.6913"/>
    <n v="-89.228499999999997"/>
    <n v="64.44"/>
    <n v="0"/>
    <n v="0"/>
    <n v="105"/>
    <s v="_x0000_US"/>
  </r>
  <r>
    <x v="4"/>
    <n v="13.6914"/>
    <n v="-89.228499999999997"/>
    <n v="78.760000000000005"/>
    <n v="0"/>
    <n v="0"/>
    <n v="105"/>
    <s v="_x0000_US"/>
  </r>
  <r>
    <x v="4"/>
    <n v="13.6912"/>
    <n v="-89.228499999999997"/>
    <n v="107.4"/>
    <n v="0"/>
    <n v="0"/>
    <n v="105"/>
    <s v="_x0000_US"/>
  </r>
  <r>
    <x v="4"/>
    <n v="13.6915"/>
    <n v="-89.228499999999997"/>
    <n v="121.72"/>
    <n v="0"/>
    <n v="0"/>
    <n v="105"/>
    <s v="_x0000_US"/>
  </r>
  <r>
    <x v="4"/>
    <n v="13.691700000000001"/>
    <n v="-89.228499999999997"/>
    <n v="594.98"/>
    <n v="0"/>
    <n v="0"/>
    <n v="105"/>
    <s v="_x0000_US"/>
  </r>
  <r>
    <x v="4"/>
    <n v="13.6913"/>
    <n v="-89.228399999999993"/>
    <n v="7.16"/>
    <n v="0"/>
    <n v="0"/>
    <n v="105"/>
    <s v="_x0000_US"/>
  </r>
  <r>
    <x v="4"/>
    <n v="13.6913"/>
    <n v="-89.228399999999993"/>
    <n v="42.96"/>
    <n v="0"/>
    <n v="0"/>
    <n v="105"/>
    <s v="_x0000_US"/>
  </r>
  <r>
    <x v="4"/>
    <n v="13.6915"/>
    <n v="-89.228399999999993"/>
    <n v="64.44"/>
    <n v="0"/>
    <n v="0"/>
    <n v="105"/>
    <s v="_x0000_US"/>
  </r>
  <r>
    <x v="4"/>
    <n v="13.6915"/>
    <n v="-89.228399999999993"/>
    <n v="100.24"/>
    <n v="0"/>
    <n v="0"/>
    <n v="105"/>
    <s v="_x0000_US"/>
  </r>
  <r>
    <x v="4"/>
    <n v="13.6913"/>
    <n v="-89.228399999999993"/>
    <n v="114.56"/>
    <n v="0"/>
    <n v="0"/>
    <n v="105"/>
    <s v="_x0000_US"/>
  </r>
  <r>
    <x v="4"/>
    <n v="13.6914"/>
    <n v="-89.228399999999993"/>
    <n v="114.56"/>
    <n v="0"/>
    <n v="0"/>
    <n v="105"/>
    <s v="_x0000_US"/>
  </r>
  <r>
    <x v="4"/>
    <n v="13.691599999999999"/>
    <n v="-89.228300000000004"/>
    <n v="28.64"/>
    <n v="0"/>
    <n v="0"/>
    <n v="105"/>
    <s v="_x0000_US"/>
  </r>
  <r>
    <x v="4"/>
    <n v="13.691599999999999"/>
    <n v="-89.228300000000004"/>
    <n v="57.28"/>
    <n v="0"/>
    <n v="0"/>
    <n v="105"/>
    <s v="_x0000_US"/>
  </r>
  <r>
    <x v="4"/>
    <n v="13.691599999999999"/>
    <n v="-89.228300000000004"/>
    <n v="78.760000000000005"/>
    <n v="0"/>
    <n v="0"/>
    <n v="105"/>
    <s v="_x0000_US"/>
  </r>
  <r>
    <x v="4"/>
    <n v="13.689399999999999"/>
    <n v="-89.228300000000004"/>
    <n v="408.12"/>
    <n v="0"/>
    <n v="0"/>
    <n v="105"/>
    <s v="_x0000_US"/>
  </r>
  <r>
    <x v="4"/>
    <n v="13.688800000000001"/>
    <n v="-89.228300000000004"/>
    <n v="529.84"/>
    <n v="0"/>
    <n v="0"/>
    <n v="105"/>
    <s v="_x0000_US"/>
  </r>
  <r>
    <x v="4"/>
    <n v="13.691599999999999"/>
    <n v="-89.228200000000001"/>
    <n v="121.72"/>
    <n v="0"/>
    <n v="0"/>
    <n v="105"/>
    <s v="_x0000_US"/>
  </r>
  <r>
    <x v="4"/>
    <n v="13.691700000000001"/>
    <n v="-89.228200000000001"/>
    <n v="214.8"/>
    <n v="0"/>
    <n v="0"/>
    <n v="105"/>
    <s v="_x0000_US"/>
  </r>
  <r>
    <x v="4"/>
    <n v="13.6919"/>
    <n v="-89.228099999999998"/>
    <n v="192.74"/>
    <n v="0"/>
    <n v="0"/>
    <n v="105"/>
    <s v="_x0000_US"/>
  </r>
  <r>
    <x v="4"/>
    <n v="13.6904"/>
    <n v="-89.228099999999998"/>
    <n v="1861.6"/>
    <n v="0"/>
    <n v="0"/>
    <n v="105"/>
    <s v="_x0000_US"/>
  </r>
  <r>
    <x v="4"/>
    <n v="13.6891"/>
    <n v="-89.227999999999994"/>
    <n v="164.68"/>
    <n v="0"/>
    <n v="0"/>
    <n v="105"/>
    <s v="_x0000_US"/>
  </r>
  <r>
    <x v="4"/>
    <n v="13.693"/>
    <n v="-89.227999999999994"/>
    <n v="1897.4"/>
    <n v="0"/>
    <n v="0"/>
    <n v="105"/>
    <s v="_x0000_US"/>
  </r>
  <r>
    <x v="4"/>
    <n v="13.691800000000001"/>
    <n v="-89.227800000000002"/>
    <n v="379.48"/>
    <n v="0"/>
    <n v="0"/>
    <n v="105"/>
    <s v="_x0000_US"/>
  </r>
  <r>
    <x v="4"/>
    <n v="13.6898"/>
    <n v="-89.227699999999999"/>
    <n v="1152.76"/>
    <n v="0"/>
    <n v="0"/>
    <n v="105"/>
    <s v="_x0000_US"/>
  </r>
  <r>
    <x v="4"/>
    <n v="13.6938"/>
    <n v="-89.227699999999999"/>
    <n v="1582.36"/>
    <n v="0"/>
    <n v="0"/>
    <n v="105"/>
    <s v="_x0000_US"/>
  </r>
  <r>
    <x v="4"/>
    <n v="13.6921"/>
    <n v="-89.227599999999995"/>
    <n v="678.78"/>
    <n v="0"/>
    <n v="0"/>
    <n v="105"/>
    <s v="_x0000_US"/>
  </r>
  <r>
    <x v="4"/>
    <n v="13.691700000000001"/>
    <n v="-89.227500000000006"/>
    <n v="279.24"/>
    <n v="0"/>
    <n v="0"/>
    <n v="105"/>
    <s v="_x0000_US"/>
  </r>
  <r>
    <x v="4"/>
    <n v="13.688000000000001"/>
    <n v="-89.227500000000006"/>
    <n v="1138.44"/>
    <n v="0"/>
    <n v="0"/>
    <n v="105"/>
    <s v="_x0000_US"/>
  </r>
  <r>
    <x v="4"/>
    <n v="13.6914"/>
    <n v="-89.227400000000003"/>
    <n v="479.72"/>
    <n v="0"/>
    <n v="0"/>
    <n v="105"/>
    <s v="_x0000_US"/>
  </r>
  <r>
    <x v="4"/>
    <n v="13.689"/>
    <n v="-89.227400000000003"/>
    <n v="1002.4"/>
    <n v="0"/>
    <n v="0"/>
    <n v="105"/>
    <s v="_x0000_US"/>
  </r>
  <r>
    <x v="4"/>
    <n v="13.691800000000001"/>
    <n v="-89.2273"/>
    <n v="71.599999999999994"/>
    <n v="0"/>
    <n v="0"/>
    <n v="105"/>
    <s v="_x0000_US"/>
  </r>
  <r>
    <x v="4"/>
    <n v="13.691700000000001"/>
    <n v="-89.2273"/>
    <n v="128.88"/>
    <n v="0"/>
    <n v="0"/>
    <n v="105"/>
    <s v="_x0000_US"/>
  </r>
  <r>
    <x v="4"/>
    <n v="13.6911"/>
    <n v="-89.2273"/>
    <n v="186.16"/>
    <n v="0"/>
    <n v="0"/>
    <n v="105"/>
    <s v="_x0000_US"/>
  </r>
  <r>
    <x v="4"/>
    <n v="13.6921"/>
    <n v="-89.2273"/>
    <n v="243.44"/>
    <n v="0"/>
    <n v="0"/>
    <n v="105"/>
    <s v="_x0000_US"/>
  </r>
  <r>
    <x v="4"/>
    <n v="13.692299999999999"/>
    <n v="-89.227199999999996"/>
    <n v="159.22"/>
    <n v="0"/>
    <n v="0"/>
    <n v="105"/>
    <s v="_x0000_US"/>
  </r>
  <r>
    <x v="4"/>
    <n v="13.691000000000001"/>
    <n v="-89.227199999999996"/>
    <n v="207.64"/>
    <n v="0"/>
    <n v="0"/>
    <n v="105"/>
    <s v="_x0000_US"/>
  </r>
  <r>
    <x v="4"/>
    <n v="13.691599999999999"/>
    <n v="-89.227099999999993"/>
    <n v="114.56"/>
    <n v="0"/>
    <n v="0"/>
    <n v="105"/>
    <s v="_x0000_US"/>
  </r>
  <r>
    <x v="4"/>
    <n v="13.6915"/>
    <n v="-89.227099999999993"/>
    <n v="143.19999999999999"/>
    <n v="0"/>
    <n v="0"/>
    <n v="105"/>
    <s v="_x0000_US"/>
  </r>
  <r>
    <x v="4"/>
    <n v="13.691800000000001"/>
    <n v="-89.227099999999993"/>
    <n v="164.68"/>
    <n v="0"/>
    <n v="0"/>
    <n v="105"/>
    <s v="_x0000_US"/>
  </r>
  <r>
    <x v="4"/>
    <n v="13.6922"/>
    <n v="-89.227099999999993"/>
    <n v="243.44"/>
    <n v="0"/>
    <n v="0"/>
    <n v="105"/>
    <s v="_x0000_US"/>
  </r>
  <r>
    <x v="4"/>
    <n v="13.6914"/>
    <n v="-89.227000000000004"/>
    <n v="179"/>
    <n v="0"/>
    <n v="0"/>
    <n v="105"/>
    <s v="_x0000_US"/>
  </r>
  <r>
    <x v="4"/>
    <n v="13.6897"/>
    <n v="-89.227000000000004"/>
    <n v="221.96"/>
    <n v="0"/>
    <n v="0"/>
    <n v="105"/>
    <s v="_x0000_US"/>
  </r>
  <r>
    <x v="4"/>
    <n v="13.691599999999999"/>
    <n v="-89.227000000000004"/>
    <n v="257.76"/>
    <n v="0"/>
    <n v="0"/>
    <n v="105"/>
    <s v="_x0000_US"/>
  </r>
  <r>
    <x v="4"/>
    <n v="13.6911"/>
    <n v="-89.226900000000001"/>
    <n v="50.12"/>
    <n v="0"/>
    <n v="0"/>
    <n v="105"/>
    <s v="_x0000_US"/>
  </r>
  <r>
    <x v="4"/>
    <n v="13.6915"/>
    <n v="-89.226900000000001"/>
    <n v="71.599999999999994"/>
    <n v="0"/>
    <n v="0"/>
    <n v="105"/>
    <s v="_x0000_US"/>
  </r>
  <r>
    <x v="4"/>
    <n v="13.691000000000001"/>
    <n v="-89.226900000000001"/>
    <n v="236.28"/>
    <n v="0"/>
    <n v="0"/>
    <n v="105"/>
    <s v="_x0000_US"/>
  </r>
  <r>
    <x v="4"/>
    <n v="13.6899"/>
    <n v="-89.226900000000001"/>
    <n v="264.92"/>
    <n v="0"/>
    <n v="0"/>
    <n v="105"/>
    <s v="_x0000_US"/>
  </r>
  <r>
    <x v="4"/>
    <n v="13.692399999999999"/>
    <n v="-89.226900000000001"/>
    <n v="410.62"/>
    <n v="0"/>
    <n v="0"/>
    <n v="105"/>
    <s v="_x0000_US"/>
  </r>
  <r>
    <x v="4"/>
    <n v="13.6911"/>
    <n v="-89.226799999999997"/>
    <n v="28.64"/>
    <n v="0"/>
    <n v="0"/>
    <n v="105"/>
    <s v="_x0000_US"/>
  </r>
  <r>
    <x v="4"/>
    <n v="13.6911"/>
    <n v="-89.226799999999997"/>
    <n v="28.64"/>
    <n v="0"/>
    <n v="0"/>
    <n v="105"/>
    <s v="_x0000_US"/>
  </r>
  <r>
    <x v="4"/>
    <n v="13.6915"/>
    <n v="-89.226799999999997"/>
    <n v="57.28"/>
    <n v="0"/>
    <n v="0"/>
    <n v="105"/>
    <s v="_x0000_US"/>
  </r>
  <r>
    <x v="4"/>
    <n v="13.691700000000001"/>
    <n v="-89.226799999999997"/>
    <n v="57.28"/>
    <n v="0"/>
    <n v="0"/>
    <n v="105"/>
    <s v="_x0000_US"/>
  </r>
  <r>
    <x v="4"/>
    <n v="13.6915"/>
    <n v="-89.226799999999997"/>
    <n v="100.24"/>
    <n v="0"/>
    <n v="0"/>
    <n v="105"/>
    <s v="_x0000_US"/>
  </r>
  <r>
    <x v="4"/>
    <n v="13.6898"/>
    <n v="-89.226799999999997"/>
    <n v="136.04"/>
    <n v="0"/>
    <n v="0"/>
    <n v="105"/>
    <s v="_x0000_US"/>
  </r>
  <r>
    <x v="4"/>
    <n v="13.6913"/>
    <n v="-89.226799999999997"/>
    <n v="186.16"/>
    <n v="0"/>
    <n v="0"/>
    <n v="105"/>
    <s v="_x0000_US"/>
  </r>
  <r>
    <x v="4"/>
    <n v="13.690300000000001"/>
    <n v="-89.226799999999997"/>
    <n v="458.24"/>
    <n v="0"/>
    <n v="0"/>
    <n v="105"/>
    <s v="_x0000_US"/>
  </r>
  <r>
    <x v="4"/>
    <n v="13.6907"/>
    <n v="-89.226799999999997"/>
    <n v="537"/>
    <n v="0"/>
    <n v="0"/>
    <n v="105"/>
    <s v="_x0000_US"/>
  </r>
  <r>
    <x v="4"/>
    <n v="13.692500000000001"/>
    <n v="-89.226699999999994"/>
    <n v="92.18"/>
    <n v="0"/>
    <n v="0"/>
    <n v="105"/>
    <s v="_x0000_US"/>
  </r>
  <r>
    <x v="4"/>
    <n v="13.691599999999999"/>
    <n v="-89.226699999999994"/>
    <n v="93.08"/>
    <n v="0"/>
    <n v="0"/>
    <n v="105"/>
    <s v="_x0000_US"/>
  </r>
  <r>
    <x v="4"/>
    <n v="13.6912"/>
    <n v="-89.226699999999994"/>
    <n v="114.56"/>
    <n v="0"/>
    <n v="0"/>
    <n v="105"/>
    <s v="_x0000_US"/>
  </r>
  <r>
    <x v="4"/>
    <n v="13.6911"/>
    <n v="-89.226699999999994"/>
    <n v="128.88"/>
    <n v="0"/>
    <n v="0"/>
    <n v="105"/>
    <s v="_x0000_US"/>
  </r>
  <r>
    <x v="4"/>
    <n v="13.692399999999999"/>
    <n v="-89.226699999999994"/>
    <n v="143.19999999999999"/>
    <n v="0"/>
    <n v="0"/>
    <n v="105"/>
    <s v="_x0000_US"/>
  </r>
  <r>
    <x v="4"/>
    <n v="13.691800000000001"/>
    <n v="-89.226699999999994"/>
    <n v="250.6"/>
    <n v="0"/>
    <n v="0"/>
    <n v="105"/>
    <s v="_x0000_US"/>
  </r>
  <r>
    <x v="4"/>
    <n v="13.692600000000001"/>
    <n v="-89.226600000000005"/>
    <n v="67.040000000000006"/>
    <n v="0"/>
    <n v="0"/>
    <n v="105"/>
    <s v="_x0000_US"/>
  </r>
  <r>
    <x v="4"/>
    <n v="13.6912"/>
    <n v="-89.226600000000005"/>
    <n v="143.19999999999999"/>
    <n v="0"/>
    <n v="0"/>
    <n v="105"/>
    <s v="_x0000_US"/>
  </r>
  <r>
    <x v="4"/>
    <n v="13.692399999999999"/>
    <n v="-89.226600000000005"/>
    <n v="193.32"/>
    <n v="0"/>
    <n v="0"/>
    <n v="105"/>
    <s v="_x0000_US"/>
  </r>
  <r>
    <x v="4"/>
    <n v="13.691599999999999"/>
    <n v="-89.226600000000005"/>
    <n v="200.48"/>
    <n v="0"/>
    <n v="0"/>
    <n v="105"/>
    <s v="_x0000_US"/>
  </r>
  <r>
    <x v="4"/>
    <n v="13.691700000000001"/>
    <n v="-89.226600000000005"/>
    <n v="221.96"/>
    <n v="0"/>
    <n v="0"/>
    <n v="105"/>
    <s v="_x0000_US"/>
  </r>
  <r>
    <x v="4"/>
    <n v="13.693"/>
    <n v="-89.226600000000005"/>
    <n v="587.12"/>
    <n v="0"/>
    <n v="0"/>
    <n v="105"/>
    <s v="_x0000_US"/>
  </r>
  <r>
    <x v="4"/>
    <n v="13.691800000000001"/>
    <n v="-89.226500000000001"/>
    <n v="71.599999999999994"/>
    <n v="0"/>
    <n v="0"/>
    <n v="105"/>
    <s v="_x0000_US"/>
  </r>
  <r>
    <x v="4"/>
    <n v="13.692600000000001"/>
    <n v="-89.226500000000001"/>
    <n v="75.42"/>
    <n v="0"/>
    <n v="0"/>
    <n v="105"/>
    <s v="_x0000_US"/>
  </r>
  <r>
    <x v="4"/>
    <n v="13.691700000000001"/>
    <n v="-89.226500000000001"/>
    <n v="78.760000000000005"/>
    <n v="0"/>
    <n v="0"/>
    <n v="105"/>
    <s v="_x0000_US"/>
  </r>
  <r>
    <x v="4"/>
    <n v="13.691800000000001"/>
    <n v="-89.226500000000001"/>
    <n v="85.92"/>
    <n v="0"/>
    <n v="0"/>
    <n v="105"/>
    <s v="_x0000_US"/>
  </r>
  <r>
    <x v="4"/>
    <n v="13.6913"/>
    <n v="-89.226500000000001"/>
    <n v="114.56"/>
    <n v="0"/>
    <n v="0"/>
    <n v="105"/>
    <s v="_x0000_US"/>
  </r>
  <r>
    <x v="4"/>
    <n v="13.6915"/>
    <n v="-89.226500000000001"/>
    <n v="143.19999999999999"/>
    <n v="0"/>
    <n v="0"/>
    <n v="105"/>
    <s v="_x0000_US"/>
  </r>
  <r>
    <x v="4"/>
    <n v="13.692500000000001"/>
    <n v="-89.226500000000001"/>
    <n v="214.8"/>
    <n v="0"/>
    <n v="0"/>
    <n v="105"/>
    <s v="_x0000_US"/>
  </r>
  <r>
    <x v="4"/>
    <n v="13.692"/>
    <n v="-89.226500000000001"/>
    <n v="801.92"/>
    <n v="0"/>
    <n v="0"/>
    <n v="105"/>
    <s v="_x0000_US"/>
  </r>
  <r>
    <x v="4"/>
    <n v="13.692600000000001"/>
    <n v="-89.226399999999998"/>
    <n v="50.12"/>
    <n v="0"/>
    <n v="0"/>
    <n v="105"/>
    <s v="_x0000_US"/>
  </r>
  <r>
    <x v="4"/>
    <n v="13.692600000000001"/>
    <n v="-89.226399999999998"/>
    <n v="64.44"/>
    <n v="0"/>
    <n v="0"/>
    <n v="105"/>
    <s v="_x0000_US"/>
  </r>
  <r>
    <x v="4"/>
    <n v="13.691599999999999"/>
    <n v="-89.226399999999998"/>
    <n v="107.4"/>
    <n v="0"/>
    <n v="0"/>
    <n v="105"/>
    <s v="_x0000_US"/>
  </r>
  <r>
    <x v="4"/>
    <n v="13.691599999999999"/>
    <n v="-89.226399999999998"/>
    <n v="121.72"/>
    <n v="0"/>
    <n v="0"/>
    <n v="105"/>
    <s v="_x0000_US"/>
  </r>
  <r>
    <x v="4"/>
    <n v="13.6913"/>
    <n v="-89.226399999999998"/>
    <n v="150.36000000000001"/>
    <n v="0"/>
    <n v="0"/>
    <n v="105"/>
    <s v="_x0000_US"/>
  </r>
  <r>
    <x v="4"/>
    <n v="13.692399999999999"/>
    <n v="-89.226399999999998"/>
    <n v="422.44"/>
    <n v="0"/>
    <n v="0"/>
    <n v="105"/>
    <s v="_x0000_US"/>
  </r>
  <r>
    <x v="4"/>
    <n v="13.6937"/>
    <n v="-89.226399999999998"/>
    <n v="980.92"/>
    <n v="0"/>
    <n v="0"/>
    <n v="105"/>
    <s v="_x0000_US"/>
  </r>
  <r>
    <x v="4"/>
    <n v="13.6914"/>
    <n v="-89.226299999999995"/>
    <n v="64.44"/>
    <n v="0"/>
    <n v="0"/>
    <n v="105"/>
    <s v="_x0000_US"/>
  </r>
  <r>
    <x v="4"/>
    <n v="13.692600000000001"/>
    <n v="-89.226299999999995"/>
    <n v="179"/>
    <n v="0"/>
    <n v="0"/>
    <n v="105"/>
    <s v="_x0000_US"/>
  </r>
  <r>
    <x v="4"/>
    <n v="13.692500000000001"/>
    <n v="-89.226299999999995"/>
    <n v="293.56"/>
    <n v="0"/>
    <n v="0"/>
    <n v="105"/>
    <s v="_x0000_US"/>
  </r>
  <r>
    <x v="4"/>
    <n v="13.6927"/>
    <n v="-89.226200000000006"/>
    <n v="143.19999999999999"/>
    <n v="0"/>
    <n v="0"/>
    <n v="105"/>
    <s v="_x0000_US"/>
  </r>
  <r>
    <x v="4"/>
    <n v="13.691700000000001"/>
    <n v="-89.226200000000006"/>
    <n v="179"/>
    <n v="0"/>
    <n v="0"/>
    <n v="105"/>
    <s v="_x0000_US"/>
  </r>
  <r>
    <x v="4"/>
    <n v="13.691599999999999"/>
    <n v="-89.226200000000006"/>
    <n v="221.96"/>
    <n v="0"/>
    <n v="0"/>
    <n v="105"/>
    <s v="_x0000_US"/>
  </r>
  <r>
    <x v="4"/>
    <n v="13.6905"/>
    <n v="-89.226200000000006"/>
    <n v="544.16"/>
    <n v="0"/>
    <n v="0"/>
    <n v="105"/>
    <s v="_x0000_US"/>
  </r>
  <r>
    <x v="4"/>
    <n v="13.69"/>
    <n v="-89.226200000000006"/>
    <n v="916.48"/>
    <n v="0"/>
    <n v="0"/>
    <n v="105"/>
    <s v="_x0000_US"/>
  </r>
  <r>
    <x v="4"/>
    <n v="13.6927"/>
    <n v="-89.226100000000002"/>
    <n v="42.96"/>
    <n v="0"/>
    <n v="0"/>
    <n v="105"/>
    <s v="_x0000_US"/>
  </r>
  <r>
    <x v="4"/>
    <n v="13.692600000000001"/>
    <n v="-89.226100000000002"/>
    <n v="143.19999999999999"/>
    <n v="0"/>
    <n v="0"/>
    <n v="105"/>
    <s v="_x0000_US"/>
  </r>
  <r>
    <x v="4"/>
    <n v="13.692500000000001"/>
    <n v="-89.226100000000002"/>
    <n v="372.32"/>
    <n v="0"/>
    <n v="0"/>
    <n v="105"/>
    <s v="_x0000_US"/>
  </r>
  <r>
    <x v="4"/>
    <n v="13.6914"/>
    <n v="-89.226100000000002"/>
    <n v="422.44"/>
    <n v="0"/>
    <n v="0"/>
    <n v="105"/>
    <s v="_x0000_US"/>
  </r>
  <r>
    <x v="4"/>
    <n v="13.6928"/>
    <n v="-89.226100000000002"/>
    <n v="762.58"/>
    <n v="0"/>
    <n v="0"/>
    <n v="105"/>
    <s v="_x0000_US"/>
  </r>
  <r>
    <x v="4"/>
    <n v="13.6927"/>
    <n v="-89.225999999999999"/>
    <n v="157.52000000000001"/>
    <n v="0"/>
    <n v="0"/>
    <n v="105"/>
    <s v="_x0000_US"/>
  </r>
  <r>
    <x v="4"/>
    <n v="13.691800000000001"/>
    <n v="-89.225999999999999"/>
    <n v="257.76"/>
    <n v="0"/>
    <n v="0"/>
    <n v="105"/>
    <s v="_x0000_US"/>
  </r>
  <r>
    <x v="4"/>
    <n v="13.690799999999999"/>
    <n v="-89.225999999999999"/>
    <n v="436.76"/>
    <n v="0"/>
    <n v="0"/>
    <n v="105"/>
    <s v="_x0000_US"/>
  </r>
  <r>
    <x v="4"/>
    <n v="13.6927"/>
    <n v="-89.225899999999996"/>
    <n v="171.84"/>
    <n v="0"/>
    <n v="0"/>
    <n v="105"/>
    <s v="_x0000_US"/>
  </r>
  <r>
    <x v="4"/>
    <n v="13.6896"/>
    <n v="-89.225899999999996"/>
    <n v="343.68"/>
    <n v="0"/>
    <n v="0"/>
    <n v="105"/>
    <s v="_x0000_US"/>
  </r>
  <r>
    <x v="4"/>
    <n v="13.691800000000001"/>
    <n v="-89.225800000000007"/>
    <n v="28.64"/>
    <n v="0"/>
    <n v="0"/>
    <n v="105"/>
    <s v="_x0000_US"/>
  </r>
  <r>
    <x v="4"/>
    <n v="13.691599999999999"/>
    <n v="-89.225800000000007"/>
    <n v="121.72"/>
    <n v="0"/>
    <n v="0"/>
    <n v="105"/>
    <s v="_x0000_US"/>
  </r>
  <r>
    <x v="4"/>
    <n v="13.691700000000001"/>
    <n v="-89.225800000000007"/>
    <n v="136.04"/>
    <n v="0"/>
    <n v="0"/>
    <n v="105"/>
    <s v="_x0000_US"/>
  </r>
  <r>
    <x v="4"/>
    <n v="13.6928"/>
    <n v="-89.225800000000007"/>
    <n v="207.64"/>
    <n v="0"/>
    <n v="0"/>
    <n v="105"/>
    <s v="_x0000_US"/>
  </r>
  <r>
    <x v="4"/>
    <n v="13.691599999999999"/>
    <n v="-89.225700000000003"/>
    <n v="57.28"/>
    <n v="0"/>
    <n v="0"/>
    <n v="105"/>
    <s v="_x0000_US"/>
  </r>
  <r>
    <x v="4"/>
    <n v="13.693099999999999"/>
    <n v="-89.225700000000003"/>
    <n v="93.08"/>
    <n v="0"/>
    <n v="0"/>
    <n v="105"/>
    <s v="_x0000_US"/>
  </r>
  <r>
    <x v="4"/>
    <n v="13.692399999999999"/>
    <n v="-89.225700000000003"/>
    <n v="307.88"/>
    <n v="0"/>
    <n v="0"/>
    <n v="105"/>
    <s v="_x0000_US"/>
  </r>
  <r>
    <x v="4"/>
    <n v="13.6922"/>
    <n v="-89.225700000000003"/>
    <n v="415.28"/>
    <n v="0"/>
    <n v="0"/>
    <n v="105"/>
    <s v="_x0000_US"/>
  </r>
  <r>
    <x v="4"/>
    <n v="13.6929"/>
    <n v="-89.2256"/>
    <n v="85.92"/>
    <n v="0"/>
    <n v="0"/>
    <n v="105"/>
    <s v="_x0000_US"/>
  </r>
  <r>
    <x v="4"/>
    <n v="13.6927"/>
    <n v="-89.2256"/>
    <n v="93.08"/>
    <n v="0"/>
    <n v="0"/>
    <n v="105"/>
    <s v="_x0000_US"/>
  </r>
  <r>
    <x v="4"/>
    <n v="13.6928"/>
    <n v="-89.2256"/>
    <n v="143.19999999999999"/>
    <n v="0"/>
    <n v="0"/>
    <n v="105"/>
    <s v="_x0000_US"/>
  </r>
  <r>
    <x v="4"/>
    <n v="13.691599999999999"/>
    <n v="-89.2256"/>
    <n v="150.36000000000001"/>
    <n v="0"/>
    <n v="0"/>
    <n v="105"/>
    <s v="_x0000_US"/>
  </r>
  <r>
    <x v="4"/>
    <n v="13.693"/>
    <n v="-89.2256"/>
    <n v="186.16"/>
    <n v="0"/>
    <n v="0"/>
    <n v="105"/>
    <s v="_x0000_US"/>
  </r>
  <r>
    <x v="4"/>
    <n v="13.6896"/>
    <n v="-89.2256"/>
    <n v="229.12"/>
    <n v="0"/>
    <n v="0"/>
    <n v="105"/>
    <s v="_x0000_US"/>
  </r>
  <r>
    <x v="4"/>
    <n v="13.692"/>
    <n v="-89.2256"/>
    <n v="250.6"/>
    <n v="0"/>
    <n v="0"/>
    <n v="105"/>
    <s v="_x0000_US"/>
  </r>
  <r>
    <x v="4"/>
    <n v="13.693300000000001"/>
    <n v="-89.2256"/>
    <n v="315.04000000000002"/>
    <n v="0"/>
    <n v="0"/>
    <n v="105"/>
    <s v="_x0000_US"/>
  </r>
  <r>
    <x v="4"/>
    <n v="13.6935"/>
    <n v="-89.2256"/>
    <n v="537"/>
    <n v="0"/>
    <n v="0"/>
    <n v="105"/>
    <s v="_x0000_US"/>
  </r>
  <r>
    <x v="4"/>
    <n v="13.690799999999999"/>
    <n v="-89.2256"/>
    <n v="537"/>
    <n v="0"/>
    <n v="0"/>
    <n v="105"/>
    <s v="_x0000_US"/>
  </r>
  <r>
    <x v="4"/>
    <n v="13.691700000000001"/>
    <n v="-89.225499999999997"/>
    <n v="28.64"/>
    <n v="0"/>
    <n v="0"/>
    <n v="105"/>
    <s v="_x0000_US"/>
  </r>
  <r>
    <x v="4"/>
    <n v="13.691700000000001"/>
    <n v="-89.225499999999997"/>
    <n v="57.28"/>
    <n v="0"/>
    <n v="0"/>
    <n v="105"/>
    <s v="_x0000_US"/>
  </r>
  <r>
    <x v="4"/>
    <n v="13.691700000000001"/>
    <n v="-89.225499999999997"/>
    <n v="78.760000000000005"/>
    <n v="0"/>
    <n v="0"/>
    <n v="105"/>
    <s v="_x0000_US"/>
  </r>
  <r>
    <x v="4"/>
    <n v="13.6929"/>
    <n v="-89.225499999999997"/>
    <n v="121.72"/>
    <n v="0"/>
    <n v="0"/>
    <n v="105"/>
    <s v="_x0000_US"/>
  </r>
  <r>
    <x v="4"/>
    <n v="13.691800000000001"/>
    <n v="-89.225499999999997"/>
    <n v="136.04"/>
    <n v="0"/>
    <n v="0"/>
    <n v="105"/>
    <s v="_x0000_US"/>
  </r>
  <r>
    <x v="4"/>
    <n v="13.693099999999999"/>
    <n v="-89.225499999999997"/>
    <n v="435.76"/>
    <n v="0"/>
    <n v="0"/>
    <n v="105"/>
    <s v="_x0000_US"/>
  </r>
  <r>
    <x v="4"/>
    <n v="13.6935"/>
    <n v="-89.225499999999997"/>
    <n v="443.92"/>
    <n v="0"/>
    <n v="0"/>
    <n v="105"/>
    <s v="_x0000_US"/>
  </r>
  <r>
    <x v="4"/>
    <n v="13.6919"/>
    <n v="-89.225399999999993"/>
    <n v="50.12"/>
    <n v="0"/>
    <n v="0"/>
    <n v="105"/>
    <s v="_x0000_US"/>
  </r>
  <r>
    <x v="4"/>
    <n v="13.6938"/>
    <n v="-89.225399999999993"/>
    <n v="107.4"/>
    <n v="0"/>
    <n v="0"/>
    <n v="105"/>
    <s v="_x0000_US"/>
  </r>
  <r>
    <x v="4"/>
    <n v="13.6921"/>
    <n v="-89.225399999999993"/>
    <n v="121.72"/>
    <n v="0"/>
    <n v="0"/>
    <n v="105"/>
    <s v="_x0000_US"/>
  </r>
  <r>
    <x v="4"/>
    <n v="13.691800000000001"/>
    <n v="-89.225399999999993"/>
    <n v="150.36000000000001"/>
    <n v="0"/>
    <n v="0"/>
    <n v="105"/>
    <s v="_x0000_US"/>
  </r>
  <r>
    <x v="4"/>
    <n v="13.6927"/>
    <n v="-89.225399999999993"/>
    <n v="322.2"/>
    <n v="0"/>
    <n v="0"/>
    <n v="105"/>
    <s v="_x0000_US"/>
  </r>
  <r>
    <x v="4"/>
    <n v="13.6912"/>
    <n v="-89.225399999999993"/>
    <n v="443.92"/>
    <n v="0"/>
    <n v="0"/>
    <n v="105"/>
    <s v="_x0000_US"/>
  </r>
  <r>
    <x v="4"/>
    <n v="13.6942"/>
    <n v="-89.225399999999993"/>
    <n v="537"/>
    <n v="0"/>
    <n v="0"/>
    <n v="105"/>
    <s v="_x0000_US"/>
  </r>
  <r>
    <x v="4"/>
    <n v="13.6919"/>
    <n v="-89.225300000000004"/>
    <n v="71.599999999999994"/>
    <n v="0"/>
    <n v="0"/>
    <n v="105"/>
    <s v="_x0000_US"/>
  </r>
  <r>
    <x v="4"/>
    <n v="13.693199999999999"/>
    <n v="-89.225300000000004"/>
    <n v="93.08"/>
    <n v="0"/>
    <n v="0"/>
    <n v="105"/>
    <s v="_x0000_US"/>
  </r>
  <r>
    <x v="4"/>
    <n v="13.692"/>
    <n v="-89.225300000000004"/>
    <n v="93.08"/>
    <n v="0"/>
    <n v="0"/>
    <n v="105"/>
    <s v="_x0000_US"/>
  </r>
  <r>
    <x v="4"/>
    <n v="13.6921"/>
    <n v="-89.225300000000004"/>
    <n v="136.04"/>
    <n v="0"/>
    <n v="0"/>
    <n v="105"/>
    <s v="_x0000_US"/>
  </r>
  <r>
    <x v="4"/>
    <n v="13.691800000000001"/>
    <n v="-89.225300000000004"/>
    <n v="179"/>
    <n v="0"/>
    <n v="0"/>
    <n v="105"/>
    <s v="_x0000_US"/>
  </r>
  <r>
    <x v="4"/>
    <n v="13.6928"/>
    <n v="-89.225300000000004"/>
    <n v="193.32"/>
    <n v="0"/>
    <n v="0"/>
    <n v="105"/>
    <s v="_x0000_US"/>
  </r>
  <r>
    <x v="4"/>
    <n v="13.693"/>
    <n v="-89.225300000000004"/>
    <n v="193.32"/>
    <n v="0"/>
    <n v="0"/>
    <n v="105"/>
    <s v="_x0000_US"/>
  </r>
  <r>
    <x v="4"/>
    <n v="13.692500000000001"/>
    <n v="-89.225200000000001"/>
    <n v="14.32"/>
    <n v="0"/>
    <n v="0"/>
    <n v="105"/>
    <s v="_x0000_US"/>
  </r>
  <r>
    <x v="4"/>
    <n v="13.691800000000001"/>
    <n v="-89.225200000000001"/>
    <n v="42.96"/>
    <n v="0"/>
    <n v="0"/>
    <n v="105"/>
    <s v="_x0000_US"/>
  </r>
  <r>
    <x v="4"/>
    <n v="13.6919"/>
    <n v="-89.225200000000001"/>
    <n v="42.96"/>
    <n v="0"/>
    <n v="0"/>
    <n v="105"/>
    <s v="_x0000_US"/>
  </r>
  <r>
    <x v="4"/>
    <n v="13.6922"/>
    <n v="-89.225200000000001"/>
    <n v="64.44"/>
    <n v="0"/>
    <n v="0"/>
    <n v="105"/>
    <s v="_x0000_US"/>
  </r>
  <r>
    <x v="4"/>
    <n v="13.6922"/>
    <n v="-89.225200000000001"/>
    <n v="71.599999999999994"/>
    <n v="0"/>
    <n v="0"/>
    <n v="105"/>
    <s v="_x0000_US"/>
  </r>
  <r>
    <x v="4"/>
    <n v="13.692500000000001"/>
    <n v="-89.225200000000001"/>
    <n v="78.760000000000005"/>
    <n v="0"/>
    <n v="0"/>
    <n v="105"/>
    <s v="_x0000_US"/>
  </r>
  <r>
    <x v="4"/>
    <n v="13.692500000000001"/>
    <n v="-89.225200000000001"/>
    <n v="85.92"/>
    <n v="0"/>
    <n v="0"/>
    <n v="105"/>
    <s v="_x0000_US"/>
  </r>
  <r>
    <x v="4"/>
    <n v="13.6919"/>
    <n v="-89.225200000000001"/>
    <n v="107.4"/>
    <n v="0"/>
    <n v="0"/>
    <n v="105"/>
    <s v="_x0000_US"/>
  </r>
  <r>
    <x v="4"/>
    <n v="13.6919"/>
    <n v="-89.225200000000001"/>
    <n v="121.72"/>
    <n v="0"/>
    <n v="0"/>
    <n v="105"/>
    <s v="_x0000_US"/>
  </r>
  <r>
    <x v="4"/>
    <n v="13.692"/>
    <n v="-89.225200000000001"/>
    <n v="128.88"/>
    <n v="0"/>
    <n v="0"/>
    <n v="105"/>
    <s v="_x0000_US"/>
  </r>
  <r>
    <x v="4"/>
    <n v="13.6927"/>
    <n v="-89.225200000000001"/>
    <n v="221.96"/>
    <n v="0"/>
    <n v="0"/>
    <n v="105"/>
    <s v="_x0000_US"/>
  </r>
  <r>
    <x v="4"/>
    <n v="13.692500000000001"/>
    <n v="-89.225099999999998"/>
    <n v="85.92"/>
    <n v="0"/>
    <n v="0"/>
    <n v="105"/>
    <s v="_x0000_US"/>
  </r>
  <r>
    <x v="4"/>
    <n v="13.6922"/>
    <n v="-89.225099999999998"/>
    <n v="85.92"/>
    <n v="0"/>
    <n v="0"/>
    <n v="105"/>
    <s v="_x0000_US"/>
  </r>
  <r>
    <x v="4"/>
    <n v="13.6922"/>
    <n v="-89.225099999999998"/>
    <n v="93.08"/>
    <n v="0"/>
    <n v="0"/>
    <n v="105"/>
    <s v="_x0000_US"/>
  </r>
  <r>
    <x v="4"/>
    <n v="13.692"/>
    <n v="-89.225099999999998"/>
    <n v="179"/>
    <n v="0"/>
    <n v="0"/>
    <n v="105"/>
    <s v="_x0000_US"/>
  </r>
  <r>
    <x v="4"/>
    <n v="13.694000000000001"/>
    <n v="-89.225099999999998"/>
    <n v="422.44"/>
    <n v="0"/>
    <n v="0"/>
    <n v="105"/>
    <s v="_x0000_US"/>
  </r>
  <r>
    <x v="4"/>
    <n v="13.693"/>
    <n v="-89.225099999999998"/>
    <n v="436.76"/>
    <n v="0"/>
    <n v="0"/>
    <n v="105"/>
    <s v="_x0000_US"/>
  </r>
  <r>
    <x v="4"/>
    <n v="13.6927"/>
    <n v="-89.224999999999994"/>
    <n v="307.88"/>
    <n v="0"/>
    <n v="0"/>
    <n v="105"/>
    <s v="_x0000_US"/>
  </r>
  <r>
    <x v="4"/>
    <n v="13.690899999999999"/>
    <n v="-89.224999999999994"/>
    <n v="529.84"/>
    <n v="0"/>
    <n v="0"/>
    <n v="105"/>
    <s v="_x0000_US"/>
  </r>
  <r>
    <x v="4"/>
    <n v="13.692500000000001"/>
    <n v="-89.224900000000005"/>
    <n v="114.56"/>
    <n v="0"/>
    <n v="0"/>
    <n v="105"/>
    <s v="_x0000_US"/>
  </r>
  <r>
    <x v="4"/>
    <n v="13.6942"/>
    <n v="-89.224900000000005"/>
    <n v="186.16"/>
    <n v="0"/>
    <n v="0"/>
    <n v="105"/>
    <s v="_x0000_US"/>
  </r>
  <r>
    <x v="4"/>
    <n v="13.692399999999999"/>
    <n v="-89.224800000000002"/>
    <n v="35.799999999999997"/>
    <n v="0"/>
    <n v="0"/>
    <n v="105"/>
    <s v="_x0000_US"/>
  </r>
  <r>
    <x v="4"/>
    <n v="13.692500000000001"/>
    <n v="-89.224800000000002"/>
    <n v="42.96"/>
    <n v="0"/>
    <n v="0"/>
    <n v="105"/>
    <s v="_x0000_US"/>
  </r>
  <r>
    <x v="4"/>
    <n v="13.692500000000001"/>
    <n v="-89.224800000000002"/>
    <n v="42.96"/>
    <n v="0"/>
    <n v="0"/>
    <n v="105"/>
    <s v="_x0000_US"/>
  </r>
  <r>
    <x v="4"/>
    <n v="13.693"/>
    <n v="-89.224800000000002"/>
    <n v="64.44"/>
    <n v="0"/>
    <n v="0"/>
    <n v="105"/>
    <s v="_x0000_US"/>
  </r>
  <r>
    <x v="4"/>
    <n v="13.6929"/>
    <n v="-89.224800000000002"/>
    <n v="93.08"/>
    <n v="0"/>
    <n v="0"/>
    <n v="105"/>
    <s v="_x0000_US"/>
  </r>
  <r>
    <x v="4"/>
    <n v="13.6942"/>
    <n v="-89.224800000000002"/>
    <n v="114.56"/>
    <n v="0"/>
    <n v="0"/>
    <n v="105"/>
    <s v="_x0000_US"/>
  </r>
  <r>
    <x v="4"/>
    <n v="13.6929"/>
    <n v="-89.224800000000002"/>
    <n v="114.56"/>
    <n v="0"/>
    <n v="0"/>
    <n v="105"/>
    <s v="_x0000_US"/>
  </r>
  <r>
    <x v="4"/>
    <n v="13.692500000000001"/>
    <n v="-89.224800000000002"/>
    <n v="121.72"/>
    <n v="0"/>
    <n v="0"/>
    <n v="105"/>
    <s v="_x0000_US"/>
  </r>
  <r>
    <x v="4"/>
    <n v="13.6943"/>
    <n v="-89.224800000000002"/>
    <n v="264.92"/>
    <n v="0"/>
    <n v="0"/>
    <n v="105"/>
    <s v="_x0000_US"/>
  </r>
  <r>
    <x v="4"/>
    <n v="13.693099999999999"/>
    <n v="-89.224800000000002"/>
    <n v="946.94"/>
    <n v="0"/>
    <n v="0"/>
    <n v="105"/>
    <s v="_x0000_US"/>
  </r>
  <r>
    <x v="4"/>
    <n v="13.6944"/>
    <n v="-89.224699999999999"/>
    <n v="243.44"/>
    <n v="0"/>
    <n v="0"/>
    <n v="105"/>
    <s v="_x0000_US"/>
  </r>
  <r>
    <x v="4"/>
    <n v="13.6913"/>
    <n v="-89.224699999999999"/>
    <n v="465.4"/>
    <n v="0"/>
    <n v="0"/>
    <n v="105"/>
    <s v="_x0000_US"/>
  </r>
  <r>
    <x v="4"/>
    <n v="13.6942"/>
    <n v="-89.224599999999995"/>
    <n v="128.88"/>
    <n v="0"/>
    <n v="0"/>
    <n v="105"/>
    <s v="_x0000_US"/>
  </r>
  <r>
    <x v="4"/>
    <n v="13.692600000000001"/>
    <n v="-89.224599999999995"/>
    <n v="400.96"/>
    <n v="0"/>
    <n v="0"/>
    <n v="105"/>
    <s v="_x0000_US"/>
  </r>
  <r>
    <x v="4"/>
    <n v="13.6942"/>
    <n v="-89.224500000000006"/>
    <n v="78.760000000000005"/>
    <n v="0"/>
    <n v="0"/>
    <n v="105"/>
    <s v="_x0000_US"/>
  </r>
  <r>
    <x v="4"/>
    <n v="13.6928"/>
    <n v="-89.224500000000006"/>
    <n v="386.64"/>
    <n v="0"/>
    <n v="0"/>
    <n v="105"/>
    <s v="_x0000_US"/>
  </r>
  <r>
    <x v="4"/>
    <n v="13.693"/>
    <n v="-89.224500000000006"/>
    <n v="393.8"/>
    <n v="0"/>
    <n v="0"/>
    <n v="105"/>
    <s v="_x0000_US"/>
  </r>
  <r>
    <x v="4"/>
    <n v="13.6929"/>
    <n v="-89.224400000000003"/>
    <n v="85.92"/>
    <n v="0"/>
    <n v="0"/>
    <n v="105"/>
    <s v="_x0000_US"/>
  </r>
  <r>
    <x v="4"/>
    <n v="13.6943"/>
    <n v="-89.224400000000003"/>
    <n v="93.08"/>
    <n v="0"/>
    <n v="0"/>
    <n v="105"/>
    <s v="_x0000_US"/>
  </r>
  <r>
    <x v="4"/>
    <n v="13.6944"/>
    <n v="-89.224400000000003"/>
    <n v="150.36000000000001"/>
    <n v="0"/>
    <n v="0"/>
    <n v="105"/>
    <s v="_x0000_US"/>
  </r>
  <r>
    <x v="4"/>
    <n v="13.692399999999999"/>
    <n v="-89.224400000000003"/>
    <n v="229.12"/>
    <n v="0"/>
    <n v="0"/>
    <n v="105"/>
    <s v="_x0000_US"/>
  </r>
  <r>
    <x v="4"/>
    <n v="13.694000000000001"/>
    <n v="-89.224400000000003"/>
    <n v="379.48"/>
    <n v="0"/>
    <n v="0"/>
    <n v="105"/>
    <s v="_x0000_US"/>
  </r>
  <r>
    <x v="4"/>
    <n v="13.692500000000001"/>
    <n v="-89.224299999999999"/>
    <n v="64.44"/>
    <n v="0"/>
    <n v="0"/>
    <n v="105"/>
    <s v="_x0000_US"/>
  </r>
  <r>
    <x v="4"/>
    <n v="13.692399999999999"/>
    <n v="-89.224299999999999"/>
    <n v="107.4"/>
    <n v="0"/>
    <n v="0"/>
    <n v="105"/>
    <s v="_x0000_US"/>
  </r>
  <r>
    <x v="4"/>
    <n v="13.692299999999999"/>
    <n v="-89.224299999999999"/>
    <n v="179"/>
    <n v="0"/>
    <n v="0"/>
    <n v="105"/>
    <s v="_x0000_US"/>
  </r>
  <r>
    <x v="4"/>
    <n v="13.6929"/>
    <n v="-89.224299999999999"/>
    <n v="186.16"/>
    <n v="0"/>
    <n v="0"/>
    <n v="105"/>
    <s v="_x0000_US"/>
  </r>
  <r>
    <x v="4"/>
    <n v="13.6911"/>
    <n v="-89.224299999999999"/>
    <n v="522.67999999999995"/>
    <n v="0"/>
    <n v="0"/>
    <n v="105"/>
    <s v="_x0000_US"/>
  </r>
  <r>
    <x v="4"/>
    <n v="13.6898"/>
    <n v="-89.224299999999999"/>
    <n v="1317.44"/>
    <n v="0"/>
    <n v="0"/>
    <n v="105"/>
    <s v="_x0000_US"/>
  </r>
  <r>
    <x v="4"/>
    <n v="13.692"/>
    <n v="-89.224299999999999"/>
    <n v="1346.08"/>
    <n v="0"/>
    <n v="0"/>
    <n v="105"/>
    <s v="_x0000_US"/>
  </r>
  <r>
    <x v="4"/>
    <n v="13.6929"/>
    <n v="-89.224100000000007"/>
    <n v="85.92"/>
    <n v="0"/>
    <n v="0"/>
    <n v="105"/>
    <s v="_x0000_US"/>
  </r>
  <r>
    <x v="4"/>
    <n v="13.6928"/>
    <n v="-89.224100000000007"/>
    <n v="93.08"/>
    <n v="0"/>
    <n v="0"/>
    <n v="105"/>
    <s v="_x0000_US"/>
  </r>
  <r>
    <x v="4"/>
    <n v="13.692399999999999"/>
    <n v="-89.224100000000007"/>
    <n v="179"/>
    <n v="0"/>
    <n v="0"/>
    <n v="105"/>
    <s v="_x0000_US"/>
  </r>
  <r>
    <x v="4"/>
    <n v="13.693"/>
    <n v="-89.224100000000007"/>
    <n v="192.74"/>
    <n v="0"/>
    <n v="0"/>
    <n v="105"/>
    <s v="_x0000_US"/>
  </r>
  <r>
    <x v="4"/>
    <n v="13.692600000000001"/>
    <n v="-89.224100000000007"/>
    <n v="322.2"/>
    <n v="0"/>
    <n v="0"/>
    <n v="105"/>
    <s v="_x0000_US"/>
  </r>
  <r>
    <x v="4"/>
    <n v="13.692399999999999"/>
    <n v="-89.224000000000004"/>
    <n v="64.44"/>
    <n v="0"/>
    <n v="0"/>
    <n v="105"/>
    <s v="_x0000_US"/>
  </r>
  <r>
    <x v="4"/>
    <n v="13.692299999999999"/>
    <n v="-89.224000000000004"/>
    <n v="114.56"/>
    <n v="0"/>
    <n v="0"/>
    <n v="105"/>
    <s v="_x0000_US"/>
  </r>
  <r>
    <x v="4"/>
    <n v="13.6928"/>
    <n v="-89.224000000000004"/>
    <n v="164.68"/>
    <n v="0"/>
    <n v="0"/>
    <n v="105"/>
    <s v="_x0000_US"/>
  </r>
  <r>
    <x v="4"/>
    <n v="13.6915"/>
    <n v="-89.224000000000004"/>
    <n v="429.6"/>
    <n v="0"/>
    <n v="0"/>
    <n v="105"/>
    <s v="_x0000_US"/>
  </r>
  <r>
    <x v="4"/>
    <n v="13.6944"/>
    <n v="-89.224000000000004"/>
    <n v="537"/>
    <n v="0"/>
    <n v="0"/>
    <n v="105"/>
    <s v="_x0000_US"/>
  </r>
  <r>
    <x v="4"/>
    <n v="13.692399999999999"/>
    <n v="-89.2239"/>
    <n v="42.96"/>
    <n v="0"/>
    <n v="0"/>
    <n v="105"/>
    <s v="_x0000_US"/>
  </r>
  <r>
    <x v="4"/>
    <n v="13.6929"/>
    <n v="-89.2239"/>
    <n v="121.72"/>
    <n v="0"/>
    <n v="0"/>
    <n v="105"/>
    <s v="_x0000_US"/>
  </r>
  <r>
    <x v="4"/>
    <n v="13.6927"/>
    <n v="-89.2239"/>
    <n v="150.36000000000001"/>
    <n v="0"/>
    <n v="0"/>
    <n v="105"/>
    <s v="_x0000_US"/>
  </r>
  <r>
    <x v="4"/>
    <n v="13.693"/>
    <n v="-89.2239"/>
    <n v="184.36"/>
    <n v="0"/>
    <n v="0"/>
    <n v="105"/>
    <s v="_x0000_US"/>
  </r>
  <r>
    <x v="4"/>
    <n v="13.693899999999999"/>
    <n v="-89.2239"/>
    <n v="723.16"/>
    <n v="0"/>
    <n v="0"/>
    <n v="105"/>
    <s v="_x0000_US"/>
  </r>
  <r>
    <x v="4"/>
    <n v="13.692399999999999"/>
    <n v="-89.223799999999997"/>
    <n v="171.84"/>
    <n v="0"/>
    <n v="0"/>
    <n v="105"/>
    <s v="_x0000_US"/>
  </r>
  <r>
    <x v="4"/>
    <n v="13.694599999999999"/>
    <n v="-89.223699999999994"/>
    <n v="42.96"/>
    <n v="0"/>
    <n v="0"/>
    <n v="105"/>
    <s v="_x0000_US"/>
  </r>
  <r>
    <x v="4"/>
    <n v="13.692399999999999"/>
    <n v="-89.223699999999994"/>
    <n v="107.4"/>
    <n v="0"/>
    <n v="0"/>
    <n v="105"/>
    <s v="_x0000_US"/>
  </r>
  <r>
    <x v="4"/>
    <n v="13.692600000000001"/>
    <n v="-89.223699999999994"/>
    <n v="386.64"/>
    <n v="0"/>
    <n v="0"/>
    <n v="105"/>
    <s v="_x0000_US"/>
  </r>
  <r>
    <x v="4"/>
    <n v="13.6912"/>
    <n v="-89.223699999999994"/>
    <n v="436.76"/>
    <n v="0"/>
    <n v="0"/>
    <n v="105"/>
    <s v="_x0000_US"/>
  </r>
  <r>
    <x v="4"/>
    <n v="13.692399999999999"/>
    <n v="-89.223600000000005"/>
    <n v="71.599999999999994"/>
    <n v="0"/>
    <n v="0"/>
    <n v="105"/>
    <s v="_x0000_US"/>
  </r>
  <r>
    <x v="4"/>
    <n v="13.692500000000001"/>
    <n v="-89.223600000000005"/>
    <n v="93.08"/>
    <n v="0"/>
    <n v="0"/>
    <n v="105"/>
    <s v="_x0000_US"/>
  </r>
  <r>
    <x v="4"/>
    <n v="13.692500000000001"/>
    <n v="-89.223600000000005"/>
    <n v="114.56"/>
    <n v="0"/>
    <n v="0"/>
    <n v="105"/>
    <s v="_x0000_US"/>
  </r>
  <r>
    <x v="4"/>
    <n v="13.694599999999999"/>
    <n v="-89.223600000000005"/>
    <n v="128.88"/>
    <n v="0"/>
    <n v="0"/>
    <n v="105"/>
    <s v="_x0000_US"/>
  </r>
  <r>
    <x v="4"/>
    <n v="13.6898"/>
    <n v="-89.223600000000005"/>
    <n v="429.6"/>
    <n v="0"/>
    <n v="0"/>
    <n v="105"/>
    <s v="_x0000_US"/>
  </r>
  <r>
    <x v="4"/>
    <n v="13.6929"/>
    <n v="-89.223600000000005"/>
    <n v="511.18"/>
    <n v="0"/>
    <n v="0"/>
    <n v="105"/>
    <s v="_x0000_US"/>
  </r>
  <r>
    <x v="4"/>
    <n v="13.692500000000001"/>
    <n v="-89.223500000000001"/>
    <n v="93.08"/>
    <n v="0"/>
    <n v="0"/>
    <n v="105"/>
    <s v="_x0000_US"/>
  </r>
  <r>
    <x v="4"/>
    <n v="13.692600000000001"/>
    <n v="-89.223399999999998"/>
    <n v="21.48"/>
    <n v="0"/>
    <n v="0"/>
    <n v="105"/>
    <s v="_x0000_US"/>
  </r>
  <r>
    <x v="4"/>
    <n v="13.692600000000001"/>
    <n v="-89.223399999999998"/>
    <n v="35.799999999999997"/>
    <n v="0"/>
    <n v="0"/>
    <n v="105"/>
    <s v="_x0000_US"/>
  </r>
  <r>
    <x v="4"/>
    <n v="13.6921"/>
    <n v="-89.223399999999998"/>
    <n v="57.28"/>
    <n v="0"/>
    <n v="0"/>
    <n v="105"/>
    <s v="_x0000_US"/>
  </r>
  <r>
    <x v="4"/>
    <n v="13.692600000000001"/>
    <n v="-89.223399999999998"/>
    <n v="71.599999999999994"/>
    <n v="0"/>
    <n v="0"/>
    <n v="105"/>
    <s v="_x0000_US"/>
  </r>
  <r>
    <x v="4"/>
    <n v="13.693899999999999"/>
    <n v="-89.223399999999998"/>
    <n v="93.08"/>
    <n v="0"/>
    <n v="0"/>
    <n v="105"/>
    <s v="_x0000_US"/>
  </r>
  <r>
    <x v="4"/>
    <n v="13.6921"/>
    <n v="-89.223399999999998"/>
    <n v="93.08"/>
    <n v="0"/>
    <n v="0"/>
    <n v="105"/>
    <s v="_x0000_US"/>
  </r>
  <r>
    <x v="4"/>
    <n v="13.692600000000001"/>
    <n v="-89.223399999999998"/>
    <n v="93.08"/>
    <n v="0"/>
    <n v="0"/>
    <n v="105"/>
    <s v="_x0000_US"/>
  </r>
  <r>
    <x v="4"/>
    <n v="13.692500000000001"/>
    <n v="-89.223399999999998"/>
    <n v="143.19999999999999"/>
    <n v="0"/>
    <n v="0"/>
    <n v="105"/>
    <s v="_x0000_US"/>
  </r>
  <r>
    <x v="4"/>
    <n v="13.692500000000001"/>
    <n v="-89.223399999999998"/>
    <n v="193.32"/>
    <n v="0"/>
    <n v="0"/>
    <n v="105"/>
    <s v="_x0000_US"/>
  </r>
  <r>
    <x v="4"/>
    <n v="13.6936"/>
    <n v="-89.223399999999998"/>
    <n v="472.56"/>
    <n v="0"/>
    <n v="0"/>
    <n v="105"/>
    <s v="_x0000_US"/>
  </r>
  <r>
    <x v="4"/>
    <n v="13.6915"/>
    <n v="-89.223399999999998"/>
    <n v="537"/>
    <n v="0"/>
    <n v="0"/>
    <n v="105"/>
    <s v="_x0000_US"/>
  </r>
  <r>
    <x v="4"/>
    <n v="13.6921"/>
    <n v="-89.223299999999995"/>
    <n v="100.24"/>
    <n v="0"/>
    <n v="0"/>
    <n v="105"/>
    <s v="_x0000_US"/>
  </r>
  <r>
    <x v="4"/>
    <n v="13.6927"/>
    <n v="-89.223299999999995"/>
    <n v="107.4"/>
    <n v="0"/>
    <n v="0"/>
    <n v="105"/>
    <s v="_x0000_US"/>
  </r>
  <r>
    <x v="4"/>
    <n v="13.694000000000001"/>
    <n v="-89.223299999999995"/>
    <n v="157.52000000000001"/>
    <n v="0"/>
    <n v="0"/>
    <n v="105"/>
    <s v="_x0000_US"/>
  </r>
  <r>
    <x v="4"/>
    <n v="13.693899999999999"/>
    <n v="-89.223299999999995"/>
    <n v="179"/>
    <n v="0"/>
    <n v="0"/>
    <n v="105"/>
    <s v="_x0000_US"/>
  </r>
  <r>
    <x v="4"/>
    <n v="13.692"/>
    <n v="-89.223200000000006"/>
    <n v="150.36000000000001"/>
    <n v="0"/>
    <n v="0"/>
    <n v="105"/>
    <s v="_x0000_US"/>
  </r>
  <r>
    <x v="4"/>
    <n v="13.694100000000001"/>
    <n v="-89.223200000000006"/>
    <n v="193.32"/>
    <n v="0"/>
    <n v="0"/>
    <n v="105"/>
    <s v="_x0000_US"/>
  </r>
  <r>
    <x v="4"/>
    <n v="13.6922"/>
    <n v="-89.223200000000006"/>
    <n v="257.76"/>
    <n v="0"/>
    <n v="0"/>
    <n v="105"/>
    <s v="_x0000_US"/>
  </r>
  <r>
    <x v="4"/>
    <n v="13.692500000000001"/>
    <n v="-89.223200000000006"/>
    <n v="286.39999999999998"/>
    <n v="0"/>
    <n v="0"/>
    <n v="105"/>
    <s v="_x0000_US"/>
  </r>
  <r>
    <x v="4"/>
    <n v="13.692600000000001"/>
    <n v="-89.223200000000006"/>
    <n v="329.36"/>
    <n v="0"/>
    <n v="0"/>
    <n v="105"/>
    <s v="_x0000_US"/>
  </r>
  <r>
    <x v="4"/>
    <n v="13.6936"/>
    <n v="-89.223100000000002"/>
    <n v="71.599999999999994"/>
    <n v="0"/>
    <n v="0"/>
    <n v="105"/>
    <s v="_x0000_US"/>
  </r>
  <r>
    <x v="4"/>
    <n v="13.6935"/>
    <n v="-89.223100000000002"/>
    <n v="85.92"/>
    <n v="0"/>
    <n v="0"/>
    <n v="105"/>
    <s v="_x0000_US"/>
  </r>
  <r>
    <x v="4"/>
    <n v="13.694000000000001"/>
    <n v="-89.223100000000002"/>
    <n v="300.72000000000003"/>
    <n v="0"/>
    <n v="0"/>
    <n v="105"/>
    <s v="_x0000_US"/>
  </r>
  <r>
    <x v="4"/>
    <n v="13.6937"/>
    <n v="-89.222999999999999"/>
    <n v="136.04"/>
    <n v="0"/>
    <n v="0"/>
    <n v="105"/>
    <s v="_x0000_US"/>
  </r>
  <r>
    <x v="4"/>
    <n v="13.6943"/>
    <n v="-89.222999999999999"/>
    <n v="143.19999999999999"/>
    <n v="0"/>
    <n v="0"/>
    <n v="105"/>
    <s v="_x0000_US"/>
  </r>
  <r>
    <x v="4"/>
    <n v="13.6943"/>
    <n v="-89.222899999999996"/>
    <n v="143.19999999999999"/>
    <n v="0"/>
    <n v="0"/>
    <n v="105"/>
    <s v="_x0000_US"/>
  </r>
  <r>
    <x v="4"/>
    <n v="13.6936"/>
    <n v="-89.222899999999996"/>
    <n v="157.52000000000001"/>
    <n v="0"/>
    <n v="0"/>
    <n v="105"/>
    <s v="_x0000_US"/>
  </r>
  <r>
    <x v="4"/>
    <n v="13.692299999999999"/>
    <n v="-89.222899999999996"/>
    <n v="272.08"/>
    <n v="0"/>
    <n v="0"/>
    <n v="105"/>
    <s v="_x0000_US"/>
  </r>
  <r>
    <x v="4"/>
    <n v="13.694100000000001"/>
    <n v="-89.222899999999996"/>
    <n v="365.16"/>
    <n v="0"/>
    <n v="0"/>
    <n v="105"/>
    <s v="_x0000_US"/>
  </r>
  <r>
    <x v="4"/>
    <n v="13.6938"/>
    <n v="-89.222899999999996"/>
    <n v="852.04"/>
    <n v="0"/>
    <n v="0"/>
    <n v="105"/>
    <s v="_x0000_US"/>
  </r>
  <r>
    <x v="4"/>
    <n v="13.690099999999999"/>
    <n v="-89.222899999999996"/>
    <n v="930.8"/>
    <n v="0"/>
    <n v="0"/>
    <n v="105"/>
    <s v="_x0000_US"/>
  </r>
  <r>
    <x v="4"/>
    <n v="13.6937"/>
    <n v="-89.222800000000007"/>
    <n v="136.04"/>
    <n v="0"/>
    <n v="0"/>
    <n v="105"/>
    <s v="_x0000_US"/>
  </r>
  <r>
    <x v="4"/>
    <n v="13.6935"/>
    <n v="-89.222800000000007"/>
    <n v="136.04"/>
    <n v="0"/>
    <n v="0"/>
    <n v="105"/>
    <s v="_x0000_US"/>
  </r>
  <r>
    <x v="4"/>
    <n v="13.6912"/>
    <n v="-89.222800000000007"/>
    <n v="952.28"/>
    <n v="0"/>
    <n v="0"/>
    <n v="105"/>
    <s v="_x0000_US"/>
  </r>
  <r>
    <x v="4"/>
    <n v="13.6937"/>
    <n v="-89.222700000000003"/>
    <n v="136.04"/>
    <n v="0"/>
    <n v="0"/>
    <n v="105"/>
    <s v="_x0000_US"/>
  </r>
  <r>
    <x v="4"/>
    <n v="13.6944"/>
    <n v="-89.222700000000003"/>
    <n v="143.19999999999999"/>
    <n v="0"/>
    <n v="0"/>
    <n v="105"/>
    <s v="_x0000_US"/>
  </r>
  <r>
    <x v="4"/>
    <n v="13.6934"/>
    <n v="-89.222700000000003"/>
    <n v="157.52000000000001"/>
    <n v="0"/>
    <n v="0"/>
    <n v="105"/>
    <s v="_x0000_US"/>
  </r>
  <r>
    <x v="4"/>
    <n v="13.6936"/>
    <n v="-89.222700000000003"/>
    <n v="164.68"/>
    <n v="0"/>
    <n v="0"/>
    <n v="105"/>
    <s v="_x0000_US"/>
  </r>
  <r>
    <x v="4"/>
    <n v="13.6921"/>
    <n v="-89.222700000000003"/>
    <n v="286.39999999999998"/>
    <n v="0"/>
    <n v="0"/>
    <n v="105"/>
    <s v="_x0000_US"/>
  </r>
  <r>
    <x v="4"/>
    <n v="13.694100000000001"/>
    <n v="-89.222700000000003"/>
    <n v="379.48"/>
    <n v="0"/>
    <n v="0"/>
    <n v="105"/>
    <s v="_x0000_US"/>
  </r>
  <r>
    <x v="4"/>
    <n v="13.6936"/>
    <n v="-89.2226"/>
    <n v="221.96"/>
    <n v="0"/>
    <n v="0"/>
    <n v="105"/>
    <s v="_x0000_US"/>
  </r>
  <r>
    <x v="4"/>
    <n v="13.694100000000001"/>
    <n v="-89.2226"/>
    <n v="372.32"/>
    <n v="0"/>
    <n v="0"/>
    <n v="105"/>
    <s v="_x0000_US"/>
  </r>
  <r>
    <x v="4"/>
    <n v="13.692600000000001"/>
    <n v="-89.2226"/>
    <n v="1273.76"/>
    <n v="0"/>
    <n v="0"/>
    <n v="105"/>
    <s v="_x0000_US"/>
  </r>
  <r>
    <x v="4"/>
    <n v="13.6937"/>
    <n v="-89.222499999999997"/>
    <n v="136.04"/>
    <n v="0"/>
    <n v="0"/>
    <n v="105"/>
    <s v="_x0000_US"/>
  </r>
  <r>
    <x v="4"/>
    <n v="13.6934"/>
    <n v="-89.222499999999997"/>
    <n v="136.04"/>
    <n v="0"/>
    <n v="0"/>
    <n v="105"/>
    <s v="_x0000_US"/>
  </r>
  <r>
    <x v="4"/>
    <n v="13.6943"/>
    <n v="-89.222499999999997"/>
    <n v="171.84"/>
    <n v="0"/>
    <n v="0"/>
    <n v="105"/>
    <s v="_x0000_US"/>
  </r>
  <r>
    <x v="4"/>
    <n v="13.6936"/>
    <n v="-89.222399999999993"/>
    <n v="229.12"/>
    <n v="0"/>
    <n v="0"/>
    <n v="105"/>
    <s v="_x0000_US"/>
  </r>
  <r>
    <x v="4"/>
    <n v="13.694100000000001"/>
    <n v="-89.222399999999993"/>
    <n v="264.92"/>
    <n v="0"/>
    <n v="0"/>
    <n v="105"/>
    <s v="_x0000_US"/>
  </r>
  <r>
    <x v="4"/>
    <n v="13.6922"/>
    <n v="-89.222399999999993"/>
    <n v="558.48"/>
    <n v="0"/>
    <n v="0"/>
    <n v="105"/>
    <s v="_x0000_US"/>
  </r>
  <r>
    <x v="4"/>
    <n v="13.689500000000001"/>
    <n v="-89.222399999999993"/>
    <n v="1257"/>
    <n v="0"/>
    <n v="0"/>
    <n v="105"/>
    <s v="_x0000_US"/>
  </r>
  <r>
    <x v="4"/>
    <n v="13.6934"/>
    <n v="-89.222300000000004"/>
    <n v="136.04"/>
    <n v="0"/>
    <n v="0"/>
    <n v="105"/>
    <s v="_x0000_US"/>
  </r>
  <r>
    <x v="4"/>
    <n v="13.6938"/>
    <n v="-89.222300000000004"/>
    <n v="136.04"/>
    <n v="0"/>
    <n v="0"/>
    <n v="105"/>
    <s v="_x0000_US"/>
  </r>
  <r>
    <x v="4"/>
    <n v="13.6937"/>
    <n v="-89.222300000000004"/>
    <n v="143.19999999999999"/>
    <n v="0"/>
    <n v="0"/>
    <n v="105"/>
    <s v="_x0000_US"/>
  </r>
  <r>
    <x v="4"/>
    <n v="13.6942"/>
    <n v="-89.222300000000004"/>
    <n v="171.84"/>
    <n v="0"/>
    <n v="0"/>
    <n v="105"/>
    <s v="_x0000_US"/>
  </r>
  <r>
    <x v="4"/>
    <n v="13.6906"/>
    <n v="-89.222300000000004"/>
    <n v="829.62"/>
    <n v="0"/>
    <n v="0"/>
    <n v="105"/>
    <s v="_x0000_US"/>
  </r>
  <r>
    <x v="4"/>
    <n v="13.6911"/>
    <n v="-89.222200000000001"/>
    <n v="92.18"/>
    <n v="0"/>
    <n v="0"/>
    <n v="105"/>
    <s v="_x0000_US"/>
  </r>
  <r>
    <x v="4"/>
    <n v="13.694000000000001"/>
    <n v="-89.222200000000001"/>
    <n v="179"/>
    <n v="0"/>
    <n v="0"/>
    <n v="105"/>
    <s v="_x0000_US"/>
  </r>
  <r>
    <x v="4"/>
    <n v="13.6936"/>
    <n v="-89.222200000000001"/>
    <n v="264.92"/>
    <n v="0"/>
    <n v="0"/>
    <n v="105"/>
    <s v="_x0000_US"/>
  </r>
  <r>
    <x v="4"/>
    <n v="13.6913"/>
    <n v="-89.222200000000001"/>
    <n v="310.06"/>
    <n v="0"/>
    <n v="0"/>
    <n v="105"/>
    <s v="_x0000_US"/>
  </r>
  <r>
    <x v="4"/>
    <n v="13.6942"/>
    <n v="-89.222099999999998"/>
    <n v="114.56"/>
    <n v="0"/>
    <n v="0"/>
    <n v="105"/>
    <s v="_x0000_US"/>
  </r>
  <r>
    <x v="4"/>
    <n v="13.6934"/>
    <n v="-89.222099999999998"/>
    <n v="136.04"/>
    <n v="0"/>
    <n v="0"/>
    <n v="105"/>
    <s v="_x0000_US"/>
  </r>
  <r>
    <x v="4"/>
    <n v="13.693899999999999"/>
    <n v="-89.222099999999998"/>
    <n v="136.04"/>
    <n v="0"/>
    <n v="0"/>
    <n v="105"/>
    <s v="_x0000_US"/>
  </r>
  <r>
    <x v="4"/>
    <n v="13.6938"/>
    <n v="-89.222099999999998"/>
    <n v="143.19999999999999"/>
    <n v="0"/>
    <n v="0"/>
    <n v="105"/>
    <s v="_x0000_US"/>
  </r>
  <r>
    <x v="4"/>
    <n v="13.691800000000001"/>
    <n v="-89.222099999999998"/>
    <n v="553.08000000000004"/>
    <n v="0"/>
    <n v="0"/>
    <n v="105"/>
    <s v="_x0000_US"/>
  </r>
  <r>
    <x v="4"/>
    <n v="13.6921"/>
    <n v="-89.221999999999994"/>
    <n v="7.16"/>
    <n v="0"/>
    <n v="0"/>
    <n v="105"/>
    <s v="_x0000_US"/>
  </r>
  <r>
    <x v="4"/>
    <n v="13.6934"/>
    <n v="-89.221999999999994"/>
    <n v="136.04"/>
    <n v="0"/>
    <n v="0"/>
    <n v="105"/>
    <s v="_x0000_US"/>
  </r>
  <r>
    <x v="4"/>
    <n v="13.6938"/>
    <n v="-89.221999999999994"/>
    <n v="143.19999999999999"/>
    <n v="0"/>
    <n v="0"/>
    <n v="105"/>
    <s v="_x0000_US"/>
  </r>
  <r>
    <x v="4"/>
    <n v="13.6942"/>
    <n v="-89.221999999999994"/>
    <n v="150.36000000000001"/>
    <n v="0"/>
    <n v="0"/>
    <n v="105"/>
    <s v="_x0000_US"/>
  </r>
  <r>
    <x v="4"/>
    <n v="13.694100000000001"/>
    <n v="-89.221999999999994"/>
    <n v="179"/>
    <n v="0"/>
    <n v="0"/>
    <n v="105"/>
    <s v="_x0000_US"/>
  </r>
  <r>
    <x v="4"/>
    <n v="13.6911"/>
    <n v="-89.221999999999994"/>
    <n v="279.24"/>
    <n v="0"/>
    <n v="0"/>
    <n v="105"/>
    <s v="_x0000_US"/>
  </r>
  <r>
    <x v="4"/>
    <n v="13.6936"/>
    <n v="-89.221999999999994"/>
    <n v="307.88"/>
    <n v="0"/>
    <n v="0"/>
    <n v="105"/>
    <s v="_x0000_US"/>
  </r>
  <r>
    <x v="4"/>
    <n v="13.692299999999999"/>
    <n v="-89.221999999999994"/>
    <n v="377.1"/>
    <n v="0"/>
    <n v="0"/>
    <n v="105"/>
    <s v="_x0000_US"/>
  </r>
  <r>
    <x v="4"/>
    <n v="13.693899999999999"/>
    <n v="-89.221900000000005"/>
    <n v="143.19999999999999"/>
    <n v="0"/>
    <n v="0"/>
    <n v="105"/>
    <s v="_x0000_US"/>
  </r>
  <r>
    <x v="4"/>
    <n v="13.694100000000001"/>
    <n v="-89.221900000000005"/>
    <n v="193.32"/>
    <n v="0"/>
    <n v="0"/>
    <n v="105"/>
    <s v="_x0000_US"/>
  </r>
  <r>
    <x v="4"/>
    <n v="13.6937"/>
    <n v="-89.221900000000005"/>
    <n v="350.84"/>
    <n v="0"/>
    <n v="0"/>
    <n v="105"/>
    <s v="_x0000_US"/>
  </r>
  <r>
    <x v="4"/>
    <n v="13.6942"/>
    <n v="-89.221800000000002"/>
    <n v="42.96"/>
    <n v="0"/>
    <n v="0"/>
    <n v="105"/>
    <s v="_x0000_US"/>
  </r>
  <r>
    <x v="4"/>
    <n v="13.694000000000001"/>
    <n v="-89.221800000000002"/>
    <n v="136.04"/>
    <n v="0"/>
    <n v="0"/>
    <n v="105"/>
    <s v="_x0000_US"/>
  </r>
  <r>
    <x v="4"/>
    <n v="13.6934"/>
    <n v="-89.221800000000002"/>
    <n v="150.36000000000001"/>
    <n v="0"/>
    <n v="0"/>
    <n v="105"/>
    <s v="_x0000_US"/>
  </r>
  <r>
    <x v="4"/>
    <n v="13.693899999999999"/>
    <n v="-89.221800000000002"/>
    <n v="186.16"/>
    <n v="0"/>
    <n v="0"/>
    <n v="105"/>
    <s v="_x0000_US"/>
  </r>
  <r>
    <x v="4"/>
    <n v="13.692399999999999"/>
    <n v="-89.221800000000002"/>
    <n v="226.26"/>
    <n v="0"/>
    <n v="0"/>
    <n v="105"/>
    <s v="_x0000_US"/>
  </r>
  <r>
    <x v="4"/>
    <n v="13.693"/>
    <n v="-89.221800000000002"/>
    <n v="913.42"/>
    <n v="0"/>
    <n v="0"/>
    <n v="105"/>
    <s v="_x0000_US"/>
  </r>
  <r>
    <x v="4"/>
    <n v="13.694100000000001"/>
    <n v="-89.221699999999998"/>
    <n v="121.72"/>
    <n v="0"/>
    <n v="0"/>
    <n v="105"/>
    <s v="_x0000_US"/>
  </r>
  <r>
    <x v="4"/>
    <n v="13.688800000000001"/>
    <n v="-89.221699999999998"/>
    <n v="315.04000000000002"/>
    <n v="0"/>
    <n v="0"/>
    <n v="105"/>
    <s v="_x0000_US"/>
  </r>
  <r>
    <x v="4"/>
    <n v="13.692"/>
    <n v="-89.221699999999998"/>
    <n v="565.64"/>
    <n v="0"/>
    <n v="0"/>
    <n v="105"/>
    <s v="_x0000_US"/>
  </r>
  <r>
    <x v="4"/>
    <n v="13.6915"/>
    <n v="-89.221699999999998"/>
    <n v="637.24"/>
    <n v="0"/>
    <n v="0"/>
    <n v="105"/>
    <s v="_x0000_US"/>
  </r>
  <r>
    <x v="4"/>
    <n v="13.694000000000001"/>
    <n v="-89.221599999999995"/>
    <n v="57.28"/>
    <n v="0"/>
    <n v="0"/>
    <n v="105"/>
    <s v="_x0000_US"/>
  </r>
  <r>
    <x v="4"/>
    <n v="13.6937"/>
    <n v="-89.221599999999995"/>
    <n v="444.14"/>
    <n v="0"/>
    <n v="0"/>
    <n v="105"/>
    <s v="_x0000_US"/>
  </r>
  <r>
    <x v="4"/>
    <n v="13.6929"/>
    <n v="-89.221599999999995"/>
    <n v="723.16"/>
    <n v="0"/>
    <n v="0"/>
    <n v="105"/>
    <s v="_x0000_US"/>
  </r>
  <r>
    <x v="4"/>
    <n v="13.694000000000001"/>
    <n v="-89.221500000000006"/>
    <n v="192.74"/>
    <n v="0"/>
    <n v="0"/>
    <n v="105"/>
    <s v="_x0000_US"/>
  </r>
  <r>
    <x v="4"/>
    <n v="13.688599999999999"/>
    <n v="-89.221500000000006"/>
    <n v="221.96"/>
    <n v="0"/>
    <n v="0"/>
    <n v="105"/>
    <s v="_x0000_US"/>
  </r>
  <r>
    <x v="4"/>
    <n v="13.6913"/>
    <n v="-89.221500000000006"/>
    <n v="322.2"/>
    <n v="0"/>
    <n v="0"/>
    <n v="105"/>
    <s v="_x0000_US"/>
  </r>
  <r>
    <x v="4"/>
    <n v="13.6892"/>
    <n v="-89.221500000000006"/>
    <n v="751.8"/>
    <n v="0"/>
    <n v="0"/>
    <n v="105"/>
    <s v="_x0000_US"/>
  </r>
  <r>
    <x v="4"/>
    <n v="13.690099999999999"/>
    <n v="-89.221400000000003"/>
    <n v="673.04"/>
    <n v="0"/>
    <n v="0"/>
    <n v="105"/>
    <s v="_x0000_US"/>
  </r>
  <r>
    <x v="4"/>
    <n v="13.691800000000001"/>
    <n v="-89.221299999999999"/>
    <n v="186.16"/>
    <n v="0"/>
    <n v="0"/>
    <n v="105"/>
    <s v="_x0000_US"/>
  </r>
  <r>
    <x v="4"/>
    <n v="13.6914"/>
    <n v="-89.221199999999996"/>
    <n v="315.04000000000002"/>
    <n v="0"/>
    <n v="0"/>
    <n v="105"/>
    <s v="_x0000_US"/>
  </r>
  <r>
    <x v="4"/>
    <n v="13.6911"/>
    <n v="-89.221100000000007"/>
    <n v="329.36"/>
    <n v="0"/>
    <n v="0"/>
    <n v="105"/>
    <s v="_x0000_US"/>
  </r>
  <r>
    <x v="4"/>
    <n v="13.692299999999999"/>
    <n v="-89.221100000000007"/>
    <n v="1374.32"/>
    <n v="0"/>
    <n v="0"/>
    <n v="105"/>
    <s v="_x0000_US"/>
  </r>
  <r>
    <x v="4"/>
    <n v="13.6912"/>
    <n v="-89.220799999999997"/>
    <n v="322.2"/>
    <n v="0"/>
    <n v="0"/>
    <n v="105"/>
    <s v="_x0000_US"/>
  </r>
  <r>
    <x v="4"/>
    <n v="13.691700000000001"/>
    <n v="-89.220799999999997"/>
    <n v="794.76"/>
    <n v="0"/>
    <n v="0"/>
    <n v="105"/>
    <s v="_x0000_US"/>
  </r>
  <r>
    <x v="4"/>
    <n v="13.6896"/>
    <n v="-89.220799999999997"/>
    <n v="959.44"/>
    <n v="0"/>
    <n v="0"/>
    <n v="105"/>
    <s v="_x0000_US"/>
  </r>
  <r>
    <x v="4"/>
    <n v="13.6937"/>
    <n v="-89.220799999999997"/>
    <n v="1095.48"/>
    <n v="0"/>
    <n v="0"/>
    <n v="105"/>
    <s v="_x0000_US"/>
  </r>
  <r>
    <x v="4"/>
    <n v="13.690899999999999"/>
    <n v="-89.220699999999994"/>
    <n v="315.04000000000002"/>
    <n v="0"/>
    <n v="0"/>
    <n v="105"/>
    <s v="_x0000_US"/>
  </r>
  <r>
    <x v="4"/>
    <n v="13.691599999999999"/>
    <n v="-89.220699999999994"/>
    <n v="508.36"/>
    <n v="0"/>
    <n v="0"/>
    <n v="105"/>
    <s v="_x0000_US"/>
  </r>
  <r>
    <x v="4"/>
    <n v="13.693099999999999"/>
    <n v="-89.220699999999994"/>
    <n v="1059.68"/>
    <n v="0"/>
    <n v="0"/>
    <n v="105"/>
    <s v="_x0000_US"/>
  </r>
  <r>
    <x v="4"/>
    <n v="13.690300000000001"/>
    <n v="-89.220600000000005"/>
    <n v="1195.72"/>
    <n v="0"/>
    <n v="0"/>
    <n v="105"/>
    <s v="_x0000_US"/>
  </r>
  <r>
    <x v="4"/>
    <n v="13.691000000000001"/>
    <n v="-89.220500000000001"/>
    <n v="300.72000000000003"/>
    <n v="0"/>
    <n v="0"/>
    <n v="105"/>
    <s v="_x0000_US"/>
  </r>
  <r>
    <x v="4"/>
    <n v="13.6914"/>
    <n v="-89.220399999999998"/>
    <n v="42.96"/>
    <n v="0"/>
    <n v="0"/>
    <n v="105"/>
    <s v="_x0000_US"/>
  </r>
  <r>
    <x v="4"/>
    <n v="13.6915"/>
    <n v="-89.220399999999998"/>
    <n v="42.96"/>
    <n v="0"/>
    <n v="0"/>
    <n v="105"/>
    <s v="_x0000_US"/>
  </r>
  <r>
    <x v="4"/>
    <n v="13.6915"/>
    <n v="-89.220399999999998"/>
    <n v="71.599999999999994"/>
    <n v="0"/>
    <n v="0"/>
    <n v="105"/>
    <s v="_x0000_US"/>
  </r>
  <r>
    <x v="4"/>
    <n v="13.6907"/>
    <n v="-89.220399999999998"/>
    <n v="293.56"/>
    <n v="0"/>
    <n v="0"/>
    <n v="105"/>
    <s v="_x0000_US"/>
  </r>
  <r>
    <x v="4"/>
    <n v="13.6914"/>
    <n v="-89.220299999999995"/>
    <n v="164.68"/>
    <n v="0"/>
    <n v="0"/>
    <n v="105"/>
    <s v="_x0000_US"/>
  </r>
  <r>
    <x v="4"/>
    <n v="13.688700000000001"/>
    <n v="-89.220299999999995"/>
    <n v="1152.76"/>
    <n v="0"/>
    <n v="0"/>
    <n v="105"/>
    <s v="_x0000_US"/>
  </r>
  <r>
    <x v="4"/>
    <n v="13.690799999999999"/>
    <n v="-89.220100000000002"/>
    <n v="322.2"/>
    <n v="0"/>
    <n v="0"/>
    <n v="105"/>
    <s v="_x0000_US"/>
  </r>
  <r>
    <x v="4"/>
    <n v="13.6896"/>
    <n v="-89.220100000000002"/>
    <n v="451.08"/>
    <n v="0"/>
    <n v="0"/>
    <n v="105"/>
    <s v="_x0000_US"/>
  </r>
  <r>
    <x v="4"/>
    <n v="13.692500000000001"/>
    <n v="-89.220100000000002"/>
    <n v="737.48"/>
    <n v="0"/>
    <n v="0"/>
    <n v="105"/>
    <s v="_x0000_US"/>
  </r>
  <r>
    <x v="4"/>
    <n v="13.6906"/>
    <n v="-89.22"/>
    <n v="365.16"/>
    <n v="0"/>
    <n v="0"/>
    <n v="105"/>
    <s v="_x0000_US"/>
  </r>
  <r>
    <x v="4"/>
    <n v="13.693199999999999"/>
    <n v="-89.22"/>
    <n v="393.8"/>
    <n v="0"/>
    <n v="0"/>
    <n v="105"/>
    <s v="_x0000_US"/>
  </r>
  <r>
    <x v="4"/>
    <n v="13.692"/>
    <n v="-89.22"/>
    <n v="1743.04"/>
    <n v="0"/>
    <n v="0"/>
    <n v="105"/>
    <s v="_x0000_US"/>
  </r>
  <r>
    <x v="4"/>
    <n v="13.691000000000001"/>
    <n v="-89.219899999999996"/>
    <n v="57.28"/>
    <n v="0"/>
    <n v="0"/>
    <n v="105"/>
    <s v="_x0000_US"/>
  </r>
  <r>
    <x v="4"/>
    <n v="13.6911"/>
    <n v="-89.219899999999996"/>
    <n v="121.72"/>
    <n v="0"/>
    <n v="0"/>
    <n v="105"/>
    <s v="_x0000_US"/>
  </r>
  <r>
    <x v="4"/>
    <n v="13.6912"/>
    <n v="-89.219899999999996"/>
    <n v="179"/>
    <n v="0"/>
    <n v="0"/>
    <n v="105"/>
    <s v="_x0000_US"/>
  </r>
  <r>
    <x v="4"/>
    <n v="13.6914"/>
    <n v="-89.219899999999996"/>
    <n v="773.28"/>
    <n v="0"/>
    <n v="0"/>
    <n v="105"/>
    <s v="_x0000_US"/>
  </r>
  <r>
    <x v="4"/>
    <n v="13.6911"/>
    <n v="-89.219800000000006"/>
    <n v="200.48"/>
    <n v="0"/>
    <n v="0"/>
    <n v="105"/>
    <s v="_x0000_US"/>
  </r>
  <r>
    <x v="4"/>
    <n v="13.6882"/>
    <n v="-89.219800000000006"/>
    <n v="286.39999999999998"/>
    <n v="0"/>
    <n v="0"/>
    <n v="105"/>
    <s v="_x0000_US"/>
  </r>
  <r>
    <x v="4"/>
    <n v="13.6891"/>
    <n v="-89.219800000000006"/>
    <n v="758.96"/>
    <n v="0"/>
    <n v="0"/>
    <n v="105"/>
    <s v="_x0000_US"/>
  </r>
  <r>
    <x v="4"/>
    <n v="13.691000000000001"/>
    <n v="-89.219700000000003"/>
    <n v="121.72"/>
    <n v="0"/>
    <n v="0"/>
    <n v="105"/>
    <s v="_x0000_US"/>
  </r>
  <r>
    <x v="4"/>
    <n v="13.688499999999999"/>
    <n v="-89.219700000000003"/>
    <n v="171.84"/>
    <n v="0"/>
    <n v="0"/>
    <n v="105"/>
    <s v="_x0000_US"/>
  </r>
  <r>
    <x v="4"/>
    <n v="13.6907"/>
    <n v="-89.219700000000003"/>
    <n v="322.2"/>
    <n v="0"/>
    <n v="0"/>
    <n v="105"/>
    <s v="_x0000_US"/>
  </r>
  <r>
    <x v="4"/>
    <n v="13.6904"/>
    <n v="-89.219700000000003"/>
    <n v="436.76"/>
    <n v="0"/>
    <n v="0"/>
    <n v="105"/>
    <s v="_x0000_US"/>
  </r>
  <r>
    <x v="4"/>
    <n v="13.6911"/>
    <n v="-89.2196"/>
    <n v="78.760000000000005"/>
    <n v="0"/>
    <n v="0"/>
    <n v="105"/>
    <s v="_x0000_US"/>
  </r>
  <r>
    <x v="4"/>
    <n v="13.690799999999999"/>
    <n v="-89.2196"/>
    <n v="329.36"/>
    <n v="0"/>
    <n v="0"/>
    <n v="105"/>
    <s v="_x0000_US"/>
  </r>
  <r>
    <x v="4"/>
    <n v="13.6896"/>
    <n v="-89.2196"/>
    <n v="758.96"/>
    <n v="0"/>
    <n v="0"/>
    <n v="105"/>
    <s v="_x0000_US"/>
  </r>
  <r>
    <x v="4"/>
    <n v="13.6911"/>
    <n v="-89.219499999999996"/>
    <n v="150.36000000000001"/>
    <n v="0"/>
    <n v="0"/>
    <n v="105"/>
    <s v="_x0000_US"/>
  </r>
  <r>
    <x v="4"/>
    <n v="13.688700000000001"/>
    <n v="-89.219499999999996"/>
    <n v="300.72000000000003"/>
    <n v="0"/>
    <n v="0"/>
    <n v="105"/>
    <s v="_x0000_US"/>
  </r>
  <r>
    <x v="4"/>
    <n v="13.6884"/>
    <n v="-89.219399999999993"/>
    <n v="458.24"/>
    <n v="0"/>
    <n v="0"/>
    <n v="105"/>
    <s v="_x0000_US"/>
  </r>
  <r>
    <x v="4"/>
    <n v="13.6906"/>
    <n v="-89.219300000000004"/>
    <n v="315.04000000000002"/>
    <n v="0"/>
    <n v="0"/>
    <n v="105"/>
    <s v="_x0000_US"/>
  </r>
  <r>
    <x v="4"/>
    <n v="13.6891"/>
    <n v="-89.219300000000004"/>
    <n v="458.24"/>
    <n v="0"/>
    <n v="0"/>
    <n v="105"/>
    <s v="_x0000_US"/>
  </r>
  <r>
    <x v="4"/>
    <n v="13.690300000000001"/>
    <n v="-89.219300000000004"/>
    <n v="508.36"/>
    <n v="0"/>
    <n v="0"/>
    <n v="105"/>
    <s v="_x0000_US"/>
  </r>
  <r>
    <x v="4"/>
    <n v="13.688000000000001"/>
    <n v="-89.219300000000004"/>
    <n v="558.48"/>
    <n v="0"/>
    <n v="0"/>
    <n v="105"/>
    <s v="_x0000_US"/>
  </r>
  <r>
    <x v="4"/>
    <n v="13.6882"/>
    <n v="-89.218999999999994"/>
    <n v="229.12"/>
    <n v="0"/>
    <n v="0"/>
    <n v="105"/>
    <s v="_x0000_US"/>
  </r>
  <r>
    <x v="4"/>
    <n v="13.686999999999999"/>
    <n v="-89.218900000000005"/>
    <n v="171.84"/>
    <n v="0"/>
    <n v="0"/>
    <n v="105"/>
    <s v="_x0000_US"/>
  </r>
  <r>
    <x v="4"/>
    <n v="13.6905"/>
    <n v="-89.218900000000005"/>
    <n v="329.36"/>
    <n v="0"/>
    <n v="0"/>
    <n v="105"/>
    <s v="_x0000_US"/>
  </r>
  <r>
    <x v="4"/>
    <n v="13.687900000000001"/>
    <n v="-89.218900000000005"/>
    <n v="386.64"/>
    <n v="0"/>
    <n v="0"/>
    <n v="105"/>
    <s v="_x0000_US"/>
  </r>
  <r>
    <x v="4"/>
    <n v="13.689299999999999"/>
    <n v="-89.218900000000005"/>
    <n v="451.08"/>
    <n v="0"/>
    <n v="0"/>
    <n v="105"/>
    <s v="_x0000_US"/>
  </r>
  <r>
    <x v="4"/>
    <n v="13.690099999999999"/>
    <n v="-89.218900000000005"/>
    <n v="637.24"/>
    <n v="0"/>
    <n v="0"/>
    <n v="105"/>
    <s v="_x0000_US"/>
  </r>
  <r>
    <x v="4"/>
    <n v="13.688700000000001"/>
    <n v="-89.218900000000005"/>
    <n v="737.48"/>
    <n v="0"/>
    <n v="0"/>
    <n v="105"/>
    <s v="_x0000_US"/>
  </r>
  <r>
    <x v="4"/>
    <n v="13.686999999999999"/>
    <n v="-89.218800000000002"/>
    <n v="100.24"/>
    <n v="0"/>
    <n v="0"/>
    <n v="105"/>
    <s v="_x0000_US"/>
  </r>
  <r>
    <x v="4"/>
    <n v="13.691000000000001"/>
    <n v="-89.218800000000002"/>
    <n v="1016.72"/>
    <n v="0"/>
    <n v="0"/>
    <n v="105"/>
    <s v="_x0000_US"/>
  </r>
  <r>
    <x v="4"/>
    <n v="13.6881"/>
    <n v="-89.218699999999998"/>
    <n v="286.39999999999998"/>
    <n v="0"/>
    <n v="0"/>
    <n v="105"/>
    <s v="_x0000_US"/>
  </r>
  <r>
    <x v="4"/>
    <n v="13.6899"/>
    <n v="-89.218599999999995"/>
    <n v="716"/>
    <n v="0"/>
    <n v="0"/>
    <n v="105"/>
    <s v="_x0000_US"/>
  </r>
  <r>
    <x v="4"/>
    <n v="13.6904"/>
    <n v="-89.218500000000006"/>
    <n v="315.04000000000002"/>
    <n v="0"/>
    <n v="0"/>
    <n v="105"/>
    <s v="_x0000_US"/>
  </r>
  <r>
    <x v="4"/>
    <n v="13.685700000000001"/>
    <n v="-89.218400000000003"/>
    <n v="14.32"/>
    <n v="0"/>
    <n v="0"/>
    <n v="105"/>
    <s v="_x0000_US"/>
  </r>
  <r>
    <x v="4"/>
    <n v="13.685700000000001"/>
    <n v="-89.218400000000003"/>
    <n v="78.760000000000005"/>
    <n v="0"/>
    <n v="0"/>
    <n v="105"/>
    <s v="_x0000_US"/>
  </r>
  <r>
    <x v="4"/>
    <n v="13.685600000000001"/>
    <n v="-89.218400000000003"/>
    <n v="136.04"/>
    <n v="0"/>
    <n v="0"/>
    <n v="105"/>
    <s v="_x0000_US"/>
  </r>
  <r>
    <x v="4"/>
    <n v="13.6853"/>
    <n v="-89.218400000000003"/>
    <n v="307.88"/>
    <n v="0"/>
    <n v="0"/>
    <n v="105"/>
    <s v="_x0000_US"/>
  </r>
  <r>
    <x v="4"/>
    <n v="13.687099999999999"/>
    <n v="-89.218400000000003"/>
    <n v="708.84"/>
    <n v="0"/>
    <n v="0"/>
    <n v="105"/>
    <s v="_x0000_US"/>
  </r>
  <r>
    <x v="4"/>
    <n v="13.688499999999999"/>
    <n v="-89.218400000000003"/>
    <n v="744.64"/>
    <n v="0"/>
    <n v="0"/>
    <n v="105"/>
    <s v="_x0000_US"/>
  </r>
  <r>
    <x v="4"/>
    <n v="13.6876"/>
    <n v="-89.218400000000003"/>
    <n v="780.44"/>
    <n v="0"/>
    <n v="0"/>
    <n v="105"/>
    <s v="_x0000_US"/>
  </r>
  <r>
    <x v="4"/>
    <n v="13.6913"/>
    <n v="-89.218299999999999"/>
    <n v="234.64"/>
    <n v="0"/>
    <n v="0"/>
    <n v="105"/>
    <s v="_x0000_US"/>
  </r>
  <r>
    <x v="4"/>
    <n v="13.6912"/>
    <n v="-89.218299999999999"/>
    <n v="336.52"/>
    <n v="0"/>
    <n v="0"/>
    <n v="105"/>
    <s v="_x0000_US"/>
  </r>
  <r>
    <x v="4"/>
    <n v="13.6881"/>
    <n v="-89.218199999999996"/>
    <n v="501.2"/>
    <n v="0"/>
    <n v="0"/>
    <n v="105"/>
    <s v="_x0000_US"/>
  </r>
  <r>
    <x v="4"/>
    <n v="13.6869"/>
    <n v="-89.218199999999996"/>
    <n v="537"/>
    <n v="0"/>
    <n v="0"/>
    <n v="105"/>
    <s v="_x0000_US"/>
  </r>
  <r>
    <x v="4"/>
    <n v="13.6897"/>
    <n v="-89.218199999999996"/>
    <n v="544.16"/>
    <n v="0"/>
    <n v="0"/>
    <n v="105"/>
    <s v="_x0000_US"/>
  </r>
  <r>
    <x v="4"/>
    <n v="13.691000000000001"/>
    <n v="-89.218100000000007"/>
    <n v="128.88"/>
    <n v="0"/>
    <n v="0"/>
    <n v="105"/>
    <s v="_x0000_US"/>
  </r>
  <r>
    <x v="4"/>
    <n v="13.683999999999999"/>
    <n v="-89.218100000000007"/>
    <n v="136.04"/>
    <n v="0"/>
    <n v="0"/>
    <n v="105"/>
    <s v="_x0000_US"/>
  </r>
  <r>
    <x v="4"/>
    <n v="13.683999999999999"/>
    <n v="-89.218100000000007"/>
    <n v="150.36000000000001"/>
    <n v="0"/>
    <n v="0"/>
    <n v="105"/>
    <s v="_x0000_US"/>
  </r>
  <r>
    <x v="4"/>
    <n v="13.684100000000001"/>
    <n v="-89.218100000000007"/>
    <n v="214.8"/>
    <n v="0"/>
    <n v="0"/>
    <n v="105"/>
    <s v="_x0000_US"/>
  </r>
  <r>
    <x v="4"/>
    <n v="13.690200000000001"/>
    <n v="-89.218100000000007"/>
    <n v="358"/>
    <n v="0"/>
    <n v="0"/>
    <n v="105"/>
    <s v="_x0000_US"/>
  </r>
  <r>
    <x v="4"/>
    <n v="13.685600000000001"/>
    <n v="-89.218100000000007"/>
    <n v="365.16"/>
    <n v="0"/>
    <n v="0"/>
    <n v="105"/>
    <s v="_x0000_US"/>
  </r>
  <r>
    <x v="4"/>
    <n v="13.685499999999999"/>
    <n v="-89.218100000000007"/>
    <n v="379.48"/>
    <n v="0"/>
    <n v="0"/>
    <n v="105"/>
    <s v="_x0000_US"/>
  </r>
  <r>
    <x v="4"/>
    <n v="13.688599999999999"/>
    <n v="-89.218000000000004"/>
    <n v="57.28"/>
    <n v="0"/>
    <n v="0"/>
    <n v="105"/>
    <s v="_x0000_US"/>
  </r>
  <r>
    <x v="4"/>
    <n v="13.6884"/>
    <n v="-89.218000000000004"/>
    <n v="78.760000000000005"/>
    <n v="0"/>
    <n v="0"/>
    <n v="105"/>
    <s v="_x0000_US"/>
  </r>
  <r>
    <x v="4"/>
    <n v="13.684100000000001"/>
    <n v="-89.218000000000004"/>
    <n v="85.92"/>
    <n v="0"/>
    <n v="0"/>
    <n v="105"/>
    <s v="_x0000_US"/>
  </r>
  <r>
    <x v="4"/>
    <n v="13.683999999999999"/>
    <n v="-89.218000000000004"/>
    <n v="107.4"/>
    <n v="0"/>
    <n v="0"/>
    <n v="105"/>
    <s v="_x0000_US"/>
  </r>
  <r>
    <x v="4"/>
    <n v="13.688499999999999"/>
    <n v="-89.218000000000004"/>
    <n v="157.52000000000001"/>
    <n v="0"/>
    <n v="0"/>
    <n v="105"/>
    <s v="_x0000_US"/>
  </r>
  <r>
    <x v="4"/>
    <n v="13.686299999999999"/>
    <n v="-89.218000000000004"/>
    <n v="207.64"/>
    <n v="0"/>
    <n v="0"/>
    <n v="105"/>
    <s v="_x0000_US"/>
  </r>
  <r>
    <x v="4"/>
    <n v="13.6839"/>
    <n v="-89.218000000000004"/>
    <n v="229.12"/>
    <n v="0"/>
    <n v="0"/>
    <n v="105"/>
    <s v="_x0000_US"/>
  </r>
  <r>
    <x v="4"/>
    <n v="13.6838"/>
    <n v="-89.218000000000004"/>
    <n v="284.92"/>
    <n v="0"/>
    <n v="0"/>
    <n v="105"/>
    <s v="_x0000_US"/>
  </r>
  <r>
    <x v="4"/>
    <n v="13.690899999999999"/>
    <n v="-89.218000000000004"/>
    <n v="300.72000000000003"/>
    <n v="0"/>
    <n v="0"/>
    <n v="105"/>
    <s v="_x0000_US"/>
  </r>
  <r>
    <x v="4"/>
    <n v="13.691000000000001"/>
    <n v="-89.218000000000004"/>
    <n v="315.04000000000002"/>
    <n v="0"/>
    <n v="0"/>
    <n v="105"/>
    <s v="_x0000_US"/>
  </r>
  <r>
    <x v="4"/>
    <n v="13.6867"/>
    <n v="-89.218000000000004"/>
    <n v="436.76"/>
    <n v="0"/>
    <n v="0"/>
    <n v="105"/>
    <s v="_x0000_US"/>
  </r>
  <r>
    <x v="4"/>
    <n v="13.683999999999999"/>
    <n v="-89.2179"/>
    <n v="0"/>
    <n v="0"/>
    <n v="0"/>
    <n v="105"/>
    <s v="_x0000_US"/>
  </r>
  <r>
    <x v="4"/>
    <n v="13.688599999999999"/>
    <n v="-89.2179"/>
    <n v="42.96"/>
    <n v="0"/>
    <n v="0"/>
    <n v="105"/>
    <s v="_x0000_US"/>
  </r>
  <r>
    <x v="4"/>
    <n v="13.6838"/>
    <n v="-89.2179"/>
    <n v="100.56"/>
    <n v="0"/>
    <n v="0"/>
    <n v="105"/>
    <s v="_x0000_US"/>
  </r>
  <r>
    <x v="4"/>
    <n v="13.685499999999999"/>
    <n v="-89.2179"/>
    <n v="136.04"/>
    <n v="0"/>
    <n v="0"/>
    <n v="105"/>
    <s v="_x0000_US"/>
  </r>
  <r>
    <x v="4"/>
    <n v="13.6884"/>
    <n v="-89.2179"/>
    <n v="157.52000000000001"/>
    <n v="0"/>
    <n v="0"/>
    <n v="105"/>
    <s v="_x0000_US"/>
  </r>
  <r>
    <x v="4"/>
    <n v="13.6882"/>
    <n v="-89.2179"/>
    <n v="236.28"/>
    <n v="0"/>
    <n v="0"/>
    <n v="105"/>
    <s v="_x0000_US"/>
  </r>
  <r>
    <x v="4"/>
    <n v="13.6898"/>
    <n v="-89.2179"/>
    <n v="350.84"/>
    <n v="0"/>
    <n v="0"/>
    <n v="105"/>
    <s v="_x0000_US"/>
  </r>
  <r>
    <x v="4"/>
    <n v="13.6873"/>
    <n v="-89.2179"/>
    <n v="372.32"/>
    <n v="0"/>
    <n v="0"/>
    <n v="105"/>
    <s v="_x0000_US"/>
  </r>
  <r>
    <x v="4"/>
    <n v="13.6837"/>
    <n v="-89.2179"/>
    <n v="385.48"/>
    <n v="0"/>
    <n v="0"/>
    <n v="105"/>
    <s v="_x0000_US"/>
  </r>
  <r>
    <x v="4"/>
    <n v="13.687799999999999"/>
    <n v="-89.2179"/>
    <n v="386.64"/>
    <n v="0"/>
    <n v="0"/>
    <n v="105"/>
    <s v="_x0000_US"/>
  </r>
  <r>
    <x v="4"/>
    <n v="13.689399999999999"/>
    <n v="-89.2179"/>
    <n v="386.64"/>
    <n v="0"/>
    <n v="0"/>
    <n v="105"/>
    <s v="_x0000_US"/>
  </r>
  <r>
    <x v="4"/>
    <n v="13.6839"/>
    <n v="-89.2179"/>
    <n v="435.76"/>
    <n v="0"/>
    <n v="0"/>
    <n v="105"/>
    <s v="_x0000_US"/>
  </r>
  <r>
    <x v="4"/>
    <n v="13.686"/>
    <n v="-89.2179"/>
    <n v="544.16"/>
    <n v="0"/>
    <n v="0"/>
    <n v="105"/>
    <s v="_x0000_US"/>
  </r>
  <r>
    <x v="4"/>
    <n v="13.6854"/>
    <n v="-89.2179"/>
    <n v="945.12"/>
    <n v="0"/>
    <n v="0"/>
    <n v="105"/>
    <s v="_x0000_US"/>
  </r>
  <r>
    <x v="4"/>
    <n v="13.6882"/>
    <n v="-89.217799999999997"/>
    <n v="50.12"/>
    <n v="0"/>
    <n v="0"/>
    <n v="105"/>
    <s v="_x0000_US"/>
  </r>
  <r>
    <x v="4"/>
    <n v="13.6883"/>
    <n v="-89.217799999999997"/>
    <n v="85.92"/>
    <n v="0"/>
    <n v="0"/>
    <n v="105"/>
    <s v="_x0000_US"/>
  </r>
  <r>
    <x v="4"/>
    <n v="13.6837"/>
    <n v="-89.217799999999997"/>
    <n v="100.24"/>
    <n v="0"/>
    <n v="0"/>
    <n v="105"/>
    <s v="_x0000_US"/>
  </r>
  <r>
    <x v="4"/>
    <n v="13.683999999999999"/>
    <n v="-89.217799999999997"/>
    <n v="100.24"/>
    <n v="0"/>
    <n v="0"/>
    <n v="105"/>
    <s v="_x0000_US"/>
  </r>
  <r>
    <x v="4"/>
    <n v="13.6881"/>
    <n v="-89.217799999999997"/>
    <n v="121.72"/>
    <n v="0"/>
    <n v="0"/>
    <n v="105"/>
    <s v="_x0000_US"/>
  </r>
  <r>
    <x v="4"/>
    <n v="13.6839"/>
    <n v="-89.217799999999997"/>
    <n v="157.52000000000001"/>
    <n v="0"/>
    <n v="0"/>
    <n v="105"/>
    <s v="_x0000_US"/>
  </r>
  <r>
    <x v="4"/>
    <n v="13.6836"/>
    <n v="-89.217799999999997"/>
    <n v="164.68"/>
    <n v="0"/>
    <n v="0"/>
    <n v="105"/>
    <s v="_x0000_US"/>
  </r>
  <r>
    <x v="4"/>
    <n v="13.686999999999999"/>
    <n v="-89.217799999999997"/>
    <n v="429.6"/>
    <n v="0"/>
    <n v="0"/>
    <n v="105"/>
    <s v="_x0000_US"/>
  </r>
  <r>
    <x v="4"/>
    <n v="13.691000000000001"/>
    <n v="-89.217799999999997"/>
    <n v="854.76"/>
    <n v="0"/>
    <n v="0"/>
    <n v="105"/>
    <s v="_x0000_US"/>
  </r>
  <r>
    <x v="4"/>
    <n v="13.685"/>
    <n v="-89.217799999999997"/>
    <n v="1138.44"/>
    <n v="0"/>
    <n v="0"/>
    <n v="105"/>
    <s v="_x0000_US"/>
  </r>
  <r>
    <x v="4"/>
    <n v="13.684799999999999"/>
    <n v="-89.217799999999997"/>
    <n v="2798.92"/>
    <n v="0"/>
    <n v="0"/>
    <n v="105"/>
    <s v="_x0000_US"/>
  </r>
  <r>
    <x v="4"/>
    <n v="13.6882"/>
    <n v="-89.217699999999994"/>
    <n v="78.760000000000005"/>
    <n v="0"/>
    <n v="0"/>
    <n v="105"/>
    <s v="_x0000_US"/>
  </r>
  <r>
    <x v="4"/>
    <n v="13.6883"/>
    <n v="-89.217699999999994"/>
    <n v="157.52000000000001"/>
    <n v="0"/>
    <n v="0"/>
    <n v="105"/>
    <s v="_x0000_US"/>
  </r>
  <r>
    <x v="4"/>
    <n v="13.6869"/>
    <n v="-89.217699999999994"/>
    <n v="336.52"/>
    <n v="0"/>
    <n v="0"/>
    <n v="105"/>
    <s v="_x0000_US"/>
  </r>
  <r>
    <x v="4"/>
    <n v="13.684699999999999"/>
    <n v="-89.217699999999994"/>
    <n v="1217.2"/>
    <n v="0"/>
    <n v="0"/>
    <n v="105"/>
    <s v="_x0000_US"/>
  </r>
  <r>
    <x v="4"/>
    <n v="13.690799999999999"/>
    <n v="-89.217600000000004"/>
    <n v="250.6"/>
    <n v="0"/>
    <n v="0"/>
    <n v="105"/>
    <s v="_x0000_US"/>
  </r>
  <r>
    <x v="4"/>
    <n v="13.688000000000001"/>
    <n v="-89.217600000000004"/>
    <n v="365.16"/>
    <n v="0"/>
    <n v="0"/>
    <n v="105"/>
    <s v="_x0000_US"/>
  </r>
  <r>
    <x v="4"/>
    <n v="13.690300000000001"/>
    <n v="-89.217600000000004"/>
    <n v="551.32000000000005"/>
    <n v="0"/>
    <n v="0"/>
    <n v="105"/>
    <s v="_x0000_US"/>
  </r>
  <r>
    <x v="4"/>
    <n v="13.691000000000001"/>
    <n v="-89.217600000000004"/>
    <n v="1059.68"/>
    <n v="0"/>
    <n v="0"/>
    <n v="105"/>
    <s v="_x0000_US"/>
  </r>
  <r>
    <x v="4"/>
    <n v="13.684699999999999"/>
    <n v="-89.217600000000004"/>
    <n v="1217.2"/>
    <n v="0"/>
    <n v="0"/>
    <n v="105"/>
    <s v="_x0000_US"/>
  </r>
  <r>
    <x v="4"/>
    <n v="13.686199999999999"/>
    <n v="-89.217600000000004"/>
    <n v="2430.1999999999998"/>
    <n v="0"/>
    <n v="0"/>
    <n v="105"/>
    <s v="_x0000_US"/>
  </r>
  <r>
    <x v="4"/>
    <n v="13.6851"/>
    <n v="-89.217500000000001"/>
    <n v="136.04"/>
    <n v="0"/>
    <n v="0"/>
    <n v="105"/>
    <s v="_x0000_US"/>
  </r>
  <r>
    <x v="4"/>
    <n v="13.6882"/>
    <n v="-89.217500000000001"/>
    <n v="264.92"/>
    <n v="0"/>
    <n v="0"/>
    <n v="105"/>
    <s v="_x0000_US"/>
  </r>
  <r>
    <x v="4"/>
    <n v="13.684699999999999"/>
    <n v="-89.217500000000001"/>
    <n v="565.64"/>
    <n v="0"/>
    <n v="0"/>
    <n v="105"/>
    <s v="_x0000_US"/>
  </r>
  <r>
    <x v="4"/>
    <n v="13.6904"/>
    <n v="-89.217500000000001"/>
    <n v="694.52"/>
    <n v="0"/>
    <n v="0"/>
    <n v="105"/>
    <s v="_x0000_US"/>
  </r>
  <r>
    <x v="4"/>
    <n v="13.686999999999999"/>
    <n v="-89.217500000000001"/>
    <n v="905.04"/>
    <n v="0"/>
    <n v="0"/>
    <n v="105"/>
    <s v="_x0000_US"/>
  </r>
  <r>
    <x v="4"/>
    <n v="13.690099999999999"/>
    <n v="-89.217500000000001"/>
    <n v="988.08"/>
    <n v="0"/>
    <n v="0"/>
    <n v="105"/>
    <s v="_x0000_US"/>
  </r>
  <r>
    <x v="4"/>
    <n v="13.6853"/>
    <n v="-89.217399999999998"/>
    <n v="150.36000000000001"/>
    <n v="0"/>
    <n v="0"/>
    <n v="105"/>
    <s v="_x0000_US"/>
  </r>
  <r>
    <x v="4"/>
    <n v="13.6881"/>
    <n v="-89.217399999999998"/>
    <n v="402.24"/>
    <n v="0"/>
    <n v="0"/>
    <n v="105"/>
    <s v="_x0000_US"/>
  </r>
  <r>
    <x v="4"/>
    <n v="13.6858"/>
    <n v="-89.217399999999998"/>
    <n v="680.2"/>
    <n v="0"/>
    <n v="0"/>
    <n v="105"/>
    <s v="_x0000_US"/>
  </r>
  <r>
    <x v="4"/>
    <n v="13.6876"/>
    <n v="-89.217399999999998"/>
    <n v="1257"/>
    <n v="0"/>
    <n v="0"/>
    <n v="105"/>
    <s v="_x0000_US"/>
  </r>
  <r>
    <x v="4"/>
    <n v="13.687900000000001"/>
    <n v="-89.217299999999994"/>
    <n v="136.04"/>
    <n v="0"/>
    <n v="0"/>
    <n v="105"/>
    <s v="_x0000_US"/>
  </r>
  <r>
    <x v="4"/>
    <n v="13.685"/>
    <n v="-89.217299999999994"/>
    <n v="322.2"/>
    <n v="0"/>
    <n v="0"/>
    <n v="105"/>
    <s v="_x0000_US"/>
  </r>
  <r>
    <x v="4"/>
    <n v="13.6897"/>
    <n v="-89.217299999999994"/>
    <n v="529.84"/>
    <n v="0"/>
    <n v="0"/>
    <n v="105"/>
    <s v="_x0000_US"/>
  </r>
  <r>
    <x v="4"/>
    <n v="13.6867"/>
    <n v="-89.217299999999994"/>
    <n v="665.88"/>
    <n v="0"/>
    <n v="0"/>
    <n v="105"/>
    <s v="_x0000_US"/>
  </r>
  <r>
    <x v="4"/>
    <n v="13.688599999999999"/>
    <n v="-89.217299999999994"/>
    <n v="1575.44"/>
    <n v="0"/>
    <n v="0"/>
    <n v="105"/>
    <s v="_x0000_US"/>
  </r>
  <r>
    <x v="4"/>
    <n v="13.689"/>
    <n v="-89.217200000000005"/>
    <n v="193.32"/>
    <n v="0"/>
    <n v="0"/>
    <n v="105"/>
    <s v="_x0000_US"/>
  </r>
  <r>
    <x v="4"/>
    <n v="13.686199999999999"/>
    <n v="-89.217200000000005"/>
    <n v="300.72000000000003"/>
    <n v="0"/>
    <n v="0"/>
    <n v="105"/>
    <s v="_x0000_US"/>
  </r>
  <r>
    <x v="4"/>
    <n v="13.6852"/>
    <n v="-89.217200000000005"/>
    <n v="315.04000000000002"/>
    <n v="0"/>
    <n v="0"/>
    <n v="105"/>
    <s v="_x0000_US"/>
  </r>
  <r>
    <x v="4"/>
    <n v="13.6854"/>
    <n v="-89.217200000000005"/>
    <n v="315.04000000000002"/>
    <n v="0"/>
    <n v="0"/>
    <n v="105"/>
    <s v="_x0000_US"/>
  </r>
  <r>
    <x v="4"/>
    <n v="13.690899999999999"/>
    <n v="-89.217200000000005"/>
    <n v="343.68"/>
    <n v="0"/>
    <n v="0"/>
    <n v="105"/>
    <s v="_x0000_US"/>
  </r>
  <r>
    <x v="4"/>
    <n v="13.6907"/>
    <n v="-89.217200000000005"/>
    <n v="372.32"/>
    <n v="0"/>
    <n v="0"/>
    <n v="105"/>
    <s v="_x0000_US"/>
  </r>
  <r>
    <x v="4"/>
    <n v="13.6882"/>
    <n v="-89.217200000000005"/>
    <n v="386.64"/>
    <n v="0"/>
    <n v="0"/>
    <n v="105"/>
    <s v="_x0000_US"/>
  </r>
  <r>
    <x v="4"/>
    <n v="13.690799999999999"/>
    <n v="-89.217200000000005"/>
    <n v="393.86"/>
    <n v="0"/>
    <n v="0"/>
    <n v="105"/>
    <s v="_x0000_US"/>
  </r>
  <r>
    <x v="4"/>
    <n v="13.6844"/>
    <n v="-89.217200000000005"/>
    <n v="572.79999999999995"/>
    <n v="0"/>
    <n v="0"/>
    <n v="105"/>
    <s v="_x0000_US"/>
  </r>
  <r>
    <x v="4"/>
    <n v="13.6876"/>
    <n v="-89.217200000000005"/>
    <n v="687.36"/>
    <n v="0"/>
    <n v="0"/>
    <n v="105"/>
    <s v="_x0000_US"/>
  </r>
  <r>
    <x v="4"/>
    <n v="13.6892"/>
    <n v="-89.217200000000005"/>
    <n v="754.2"/>
    <n v="0"/>
    <n v="0"/>
    <n v="105"/>
    <s v="_x0000_US"/>
  </r>
  <r>
    <x v="4"/>
    <n v="13.683999999999999"/>
    <n v="-89.217200000000005"/>
    <n v="859.2"/>
    <n v="0"/>
    <n v="0"/>
    <n v="105"/>
    <s v="_x0000_US"/>
  </r>
  <r>
    <x v="4"/>
    <n v="13.683999999999999"/>
    <n v="-89.217200000000005"/>
    <n v="930.8"/>
    <n v="0"/>
    <n v="0"/>
    <n v="105"/>
    <s v="_x0000_US"/>
  </r>
  <r>
    <x v="4"/>
    <n v="13.6839"/>
    <n v="-89.217200000000005"/>
    <n v="1064.26"/>
    <n v="0"/>
    <n v="0"/>
    <n v="105"/>
    <s v="_x0000_US"/>
  </r>
  <r>
    <x v="4"/>
    <n v="13.6851"/>
    <n v="-89.217100000000002"/>
    <n v="128.88"/>
    <n v="0"/>
    <n v="0"/>
    <n v="105"/>
    <s v="_x0000_US"/>
  </r>
  <r>
    <x v="4"/>
    <n v="13.6829"/>
    <n v="-89.217100000000002"/>
    <n v="300.72000000000003"/>
    <n v="0"/>
    <n v="0"/>
    <n v="105"/>
    <s v="_x0000_US"/>
  </r>
  <r>
    <x v="4"/>
    <n v="13.688599999999999"/>
    <n v="-89.217100000000002"/>
    <n v="322.2"/>
    <n v="0"/>
    <n v="0"/>
    <n v="105"/>
    <s v="_x0000_US"/>
  </r>
  <r>
    <x v="4"/>
    <n v="13.6899"/>
    <n v="-89.217100000000002"/>
    <n v="351.96"/>
    <n v="0"/>
    <n v="0"/>
    <n v="105"/>
    <s v="_x0000_US"/>
  </r>
  <r>
    <x v="4"/>
    <n v="13.687099999999999"/>
    <n v="-89.217100000000002"/>
    <n v="358"/>
    <n v="0"/>
    <n v="0"/>
    <n v="105"/>
    <s v="_x0000_US"/>
  </r>
  <r>
    <x v="4"/>
    <n v="13.6896"/>
    <n v="-89.217100000000002"/>
    <n v="670.4"/>
    <n v="0"/>
    <n v="0"/>
    <n v="105"/>
    <s v="_x0000_US"/>
  </r>
  <r>
    <x v="4"/>
    <n v="13.6839"/>
    <n v="-89.217100000000002"/>
    <n v="959.44"/>
    <n v="0"/>
    <n v="0"/>
    <n v="105"/>
    <s v="_x0000_US"/>
  </r>
  <r>
    <x v="4"/>
    <n v="13.6853"/>
    <n v="-89.216999999999999"/>
    <n v="150.36000000000001"/>
    <n v="0"/>
    <n v="0"/>
    <n v="105"/>
    <s v="_x0000_US"/>
  </r>
  <r>
    <x v="4"/>
    <n v="13.690799999999999"/>
    <n v="-89.216999999999999"/>
    <n v="167.6"/>
    <n v="0"/>
    <n v="0"/>
    <n v="105"/>
    <s v="_x0000_US"/>
  </r>
  <r>
    <x v="4"/>
    <n v="13.690899999999999"/>
    <n v="-89.216999999999999"/>
    <n v="318.44"/>
    <n v="0"/>
    <n v="0"/>
    <n v="105"/>
    <s v="_x0000_US"/>
  </r>
  <r>
    <x v="4"/>
    <n v="13.6906"/>
    <n v="-89.216999999999999"/>
    <n v="402.24"/>
    <n v="0"/>
    <n v="0"/>
    <n v="105"/>
    <s v="_x0000_US"/>
  </r>
  <r>
    <x v="4"/>
    <n v="13.690200000000001"/>
    <n v="-89.216999999999999"/>
    <n v="1005.6"/>
    <n v="0"/>
    <n v="0"/>
    <n v="105"/>
    <s v="_x0000_US"/>
  </r>
  <r>
    <x v="4"/>
    <n v="13.685"/>
    <n v="-89.216899999999995"/>
    <n v="193.32"/>
    <n v="0"/>
    <n v="0"/>
    <n v="105"/>
    <s v="_x0000_US"/>
  </r>
  <r>
    <x v="4"/>
    <n v="13.6844"/>
    <n v="-89.216899999999995"/>
    <n v="236.28"/>
    <n v="0"/>
    <n v="0"/>
    <n v="105"/>
    <s v="_x0000_US"/>
  </r>
  <r>
    <x v="4"/>
    <n v="13.684699999999999"/>
    <n v="-89.216899999999995"/>
    <n v="257.76"/>
    <n v="0"/>
    <n v="0"/>
    <n v="105"/>
    <s v="_x0000_US"/>
  </r>
  <r>
    <x v="4"/>
    <n v="13.6919"/>
    <n v="-89.216899999999995"/>
    <n v="301.68"/>
    <n v="0"/>
    <n v="0"/>
    <n v="105"/>
    <s v="_x0000_US"/>
  </r>
  <r>
    <x v="4"/>
    <n v="13.686500000000001"/>
    <n v="-89.216899999999995"/>
    <n v="443.92"/>
    <n v="0"/>
    <n v="0"/>
    <n v="105"/>
    <s v="_x0000_US"/>
  </r>
  <r>
    <x v="4"/>
    <n v="13.6914"/>
    <n v="-89.216899999999995"/>
    <n v="1608.96"/>
    <n v="0"/>
    <n v="0"/>
    <n v="105"/>
    <s v="_x0000_US"/>
  </r>
  <r>
    <x v="4"/>
    <n v="13.684900000000001"/>
    <n v="-89.216800000000006"/>
    <n v="121.72"/>
    <n v="0"/>
    <n v="0"/>
    <n v="105"/>
    <s v="_x0000_US"/>
  </r>
  <r>
    <x v="4"/>
    <n v="13.686999999999999"/>
    <n v="-89.216800000000006"/>
    <n v="143.19999999999999"/>
    <n v="0"/>
    <n v="0"/>
    <n v="105"/>
    <s v="_x0000_US"/>
  </r>
  <r>
    <x v="4"/>
    <n v="13.6854"/>
    <n v="-89.216800000000006"/>
    <n v="365.16"/>
    <n v="0"/>
    <n v="0"/>
    <n v="105"/>
    <s v="_x0000_US"/>
  </r>
  <r>
    <x v="4"/>
    <n v="13.6851"/>
    <n v="-89.216800000000006"/>
    <n v="372.32"/>
    <n v="0"/>
    <n v="0"/>
    <n v="105"/>
    <s v="_x0000_US"/>
  </r>
  <r>
    <x v="4"/>
    <n v="13.6906"/>
    <n v="-89.216800000000006"/>
    <n v="379.48"/>
    <n v="0"/>
    <n v="0"/>
    <n v="105"/>
    <s v="_x0000_US"/>
  </r>
  <r>
    <x v="4"/>
    <n v="13.6898"/>
    <n v="-89.216800000000006"/>
    <n v="386.64"/>
    <n v="0"/>
    <n v="0"/>
    <n v="105"/>
    <s v="_x0000_US"/>
  </r>
  <r>
    <x v="4"/>
    <n v="13.688800000000001"/>
    <n v="-89.216800000000006"/>
    <n v="551.32000000000005"/>
    <n v="0"/>
    <n v="0"/>
    <n v="105"/>
    <s v="_x0000_US"/>
  </r>
  <r>
    <x v="4"/>
    <n v="13.6884"/>
    <n v="-89.216800000000006"/>
    <n v="608.6"/>
    <n v="0"/>
    <n v="0"/>
    <n v="105"/>
    <s v="_x0000_US"/>
  </r>
  <r>
    <x v="4"/>
    <n v="13.687900000000001"/>
    <n v="-89.216800000000006"/>
    <n v="701.68"/>
    <n v="0"/>
    <n v="0"/>
    <n v="105"/>
    <s v="_x0000_US"/>
  </r>
  <r>
    <x v="4"/>
    <n v="13.685"/>
    <n v="-89.216700000000003"/>
    <n v="179"/>
    <n v="0"/>
    <n v="0"/>
    <n v="105"/>
    <s v="_x0000_US"/>
  </r>
  <r>
    <x v="4"/>
    <n v="13.684799999999999"/>
    <n v="-89.216700000000003"/>
    <n v="186.16"/>
    <n v="0"/>
    <n v="0"/>
    <n v="105"/>
    <s v="_x0000_US"/>
  </r>
  <r>
    <x v="4"/>
    <n v="13.6845"/>
    <n v="-89.216700000000003"/>
    <n v="193.32"/>
    <n v="0"/>
    <n v="0"/>
    <n v="105"/>
    <s v="_x0000_US"/>
  </r>
  <r>
    <x v="4"/>
    <n v="13.691800000000001"/>
    <n v="-89.216700000000003"/>
    <n v="300.72000000000003"/>
    <n v="0"/>
    <n v="0"/>
    <n v="105"/>
    <s v="_x0000_US"/>
  </r>
  <r>
    <x v="4"/>
    <n v="13.686199999999999"/>
    <n v="-89.216700000000003"/>
    <n v="372.32"/>
    <n v="0"/>
    <n v="0"/>
    <n v="105"/>
    <s v="_x0000_US"/>
  </r>
  <r>
    <x v="4"/>
    <n v="13.684900000000001"/>
    <n v="-89.2166"/>
    <n v="107.4"/>
    <n v="0"/>
    <n v="0"/>
    <n v="105"/>
    <s v="_x0000_US"/>
  </r>
  <r>
    <x v="4"/>
    <n v="13.6851"/>
    <n v="-89.2166"/>
    <n v="128.88"/>
    <n v="0"/>
    <n v="0"/>
    <n v="105"/>
    <s v="_x0000_US"/>
  </r>
  <r>
    <x v="4"/>
    <n v="13.6852"/>
    <n v="-89.2166"/>
    <n v="164.68"/>
    <n v="0"/>
    <n v="0"/>
    <n v="105"/>
    <s v="_x0000_US"/>
  </r>
  <r>
    <x v="4"/>
    <n v="13.684699999999999"/>
    <n v="-89.2166"/>
    <n v="229.12"/>
    <n v="0"/>
    <n v="0"/>
    <n v="105"/>
    <s v="_x0000_US"/>
  </r>
  <r>
    <x v="4"/>
    <n v="13.6896"/>
    <n v="-89.2166"/>
    <n v="300.72000000000003"/>
    <n v="0"/>
    <n v="0"/>
    <n v="105"/>
    <s v="_x0000_US"/>
  </r>
  <r>
    <x v="4"/>
    <n v="13.6838"/>
    <n v="-89.2166"/>
    <n v="329.36"/>
    <n v="0"/>
    <n v="0"/>
    <n v="105"/>
    <s v="_x0000_US"/>
  </r>
  <r>
    <x v="4"/>
    <n v="13.687099999999999"/>
    <n v="-89.2166"/>
    <n v="336.52"/>
    <n v="0"/>
    <n v="0"/>
    <n v="105"/>
    <s v="_x0000_US"/>
  </r>
  <r>
    <x v="4"/>
    <n v="13.6843"/>
    <n v="-89.2166"/>
    <n v="451.08"/>
    <n v="0"/>
    <n v="0"/>
    <n v="105"/>
    <s v="_x0000_US"/>
  </r>
  <r>
    <x v="4"/>
    <n v="13.690099999999999"/>
    <n v="-89.2166"/>
    <n v="615.76"/>
    <n v="0"/>
    <n v="0"/>
    <n v="105"/>
    <s v="_x0000_US"/>
  </r>
  <r>
    <x v="4"/>
    <n v="13.6835"/>
    <n v="-89.216499999999996"/>
    <n v="207.64"/>
    <n v="0"/>
    <n v="0"/>
    <n v="105"/>
    <s v="_x0000_US"/>
  </r>
  <r>
    <x v="4"/>
    <n v="13.6858"/>
    <n v="-89.216499999999996"/>
    <n v="658.72"/>
    <n v="0"/>
    <n v="0"/>
    <n v="105"/>
    <s v="_x0000_US"/>
  </r>
  <r>
    <x v="4"/>
    <n v="13.690799999999999"/>
    <n v="-89.216499999999996"/>
    <n v="801.92"/>
    <n v="0"/>
    <n v="0"/>
    <n v="105"/>
    <s v="_x0000_US"/>
  </r>
  <r>
    <x v="4"/>
    <n v="13.683199999999999"/>
    <n v="-89.216399999999993"/>
    <n v="207.64"/>
    <n v="0"/>
    <n v="0"/>
    <n v="105"/>
    <s v="_x0000_US"/>
  </r>
  <r>
    <x v="4"/>
    <n v="13.6897"/>
    <n v="-89.216399999999993"/>
    <n v="343.68"/>
    <n v="0"/>
    <n v="0"/>
    <n v="105"/>
    <s v="_x0000_US"/>
  </r>
  <r>
    <x v="4"/>
    <n v="13.6875"/>
    <n v="-89.216399999999993"/>
    <n v="665.88"/>
    <n v="0"/>
    <n v="0"/>
    <n v="105"/>
    <s v="_x0000_US"/>
  </r>
  <r>
    <x v="4"/>
    <n v="13.6866"/>
    <n v="-89.216399999999993"/>
    <n v="687.36"/>
    <n v="0"/>
    <n v="0"/>
    <n v="105"/>
    <s v="_x0000_US"/>
  </r>
  <r>
    <x v="4"/>
    <n v="13.683"/>
    <n v="-89.216300000000004"/>
    <n v="207.64"/>
    <n v="0"/>
    <n v="0"/>
    <n v="105"/>
    <s v="_x0000_US"/>
  </r>
  <r>
    <x v="4"/>
    <n v="13.682700000000001"/>
    <n v="-89.216300000000004"/>
    <n v="207.64"/>
    <n v="0"/>
    <n v="0"/>
    <n v="105"/>
    <s v="_x0000_US"/>
  </r>
  <r>
    <x v="4"/>
    <n v="13.6881"/>
    <n v="-89.216300000000004"/>
    <n v="358"/>
    <n v="0"/>
    <n v="0"/>
    <n v="105"/>
    <s v="_x0000_US"/>
  </r>
  <r>
    <x v="4"/>
    <n v="13.6905"/>
    <n v="-89.216300000000004"/>
    <n v="358"/>
    <n v="0"/>
    <n v="0"/>
    <n v="105"/>
    <s v="_x0000_US"/>
  </r>
  <r>
    <x v="4"/>
    <n v="13.682600000000001"/>
    <n v="-89.216200000000001"/>
    <n v="50.12"/>
    <n v="0"/>
    <n v="0"/>
    <n v="105"/>
    <s v="_x0000_US"/>
  </r>
  <r>
    <x v="4"/>
    <n v="13.687900000000001"/>
    <n v="-89.216200000000001"/>
    <n v="236.28"/>
    <n v="0"/>
    <n v="0"/>
    <n v="105"/>
    <s v="_x0000_US"/>
  </r>
  <r>
    <x v="4"/>
    <n v="13.6896"/>
    <n v="-89.216200000000001"/>
    <n v="236.28"/>
    <n v="0"/>
    <n v="0"/>
    <n v="105"/>
    <s v="_x0000_US"/>
  </r>
  <r>
    <x v="4"/>
    <n v="13.6846"/>
    <n v="-89.216200000000001"/>
    <n v="701.68"/>
    <n v="0"/>
    <n v="0"/>
    <n v="105"/>
    <s v="_x0000_US"/>
  </r>
  <r>
    <x v="4"/>
    <n v="13.684100000000001"/>
    <n v="-89.216200000000001"/>
    <n v="871.52"/>
    <n v="0"/>
    <n v="0"/>
    <n v="105"/>
    <s v="_x0000_US"/>
  </r>
  <r>
    <x v="4"/>
    <n v="13.6906"/>
    <n v="-89.216200000000001"/>
    <n v="1167.08"/>
    <n v="0"/>
    <n v="0"/>
    <n v="105"/>
    <s v="_x0000_US"/>
  </r>
  <r>
    <x v="4"/>
    <n v="13.6907"/>
    <n v="-89.216200000000001"/>
    <n v="1365.94"/>
    <n v="0"/>
    <n v="0"/>
    <n v="105"/>
    <s v="_x0000_US"/>
  </r>
  <r>
    <x v="4"/>
    <n v="13.690300000000001"/>
    <n v="-89.216099999999997"/>
    <n v="200.48"/>
    <n v="0"/>
    <n v="0"/>
    <n v="105"/>
    <s v="_x0000_US"/>
  </r>
  <r>
    <x v="4"/>
    <n v="13.6899"/>
    <n v="-89.216099999999997"/>
    <n v="350.84"/>
    <n v="0"/>
    <n v="0"/>
    <n v="105"/>
    <s v="_x0000_US"/>
  </r>
  <r>
    <x v="4"/>
    <n v="13.686999999999999"/>
    <n v="-89.216099999999997"/>
    <n v="465.4"/>
    <n v="0"/>
    <n v="0"/>
    <n v="105"/>
    <s v="_x0000_US"/>
  </r>
  <r>
    <x v="4"/>
    <n v="13.685600000000001"/>
    <n v="-89.216099999999997"/>
    <n v="780.44"/>
    <n v="0"/>
    <n v="0"/>
    <n v="105"/>
    <s v="_x0000_US"/>
  </r>
  <r>
    <x v="4"/>
    <n v="13.685"/>
    <n v="-89.215999999999994"/>
    <n v="250.6"/>
    <n v="0"/>
    <n v="0"/>
    <n v="105"/>
    <s v="_x0000_US"/>
  </r>
  <r>
    <x v="4"/>
    <n v="13.6861"/>
    <n v="-89.215999999999994"/>
    <n v="737.48"/>
    <n v="0"/>
    <n v="0"/>
    <n v="105"/>
    <s v="_x0000_US"/>
  </r>
  <r>
    <x v="4"/>
    <n v="13.6877"/>
    <n v="-89.215900000000005"/>
    <n v="293.56"/>
    <n v="0"/>
    <n v="0"/>
    <n v="105"/>
    <s v="_x0000_US"/>
  </r>
  <r>
    <x v="4"/>
    <n v="13.6897"/>
    <n v="-89.215900000000005"/>
    <n v="730.32"/>
    <n v="0"/>
    <n v="0"/>
    <n v="105"/>
    <s v="_x0000_US"/>
  </r>
  <r>
    <x v="4"/>
    <n v="13.6838"/>
    <n v="-89.215900000000005"/>
    <n v="1109.8"/>
    <n v="0"/>
    <n v="0"/>
    <n v="105"/>
    <s v="_x0000_US"/>
  </r>
  <r>
    <x v="4"/>
    <n v="13.683"/>
    <n v="-89.215900000000005"/>
    <n v="1124.1199999999999"/>
    <n v="0"/>
    <n v="0"/>
    <n v="105"/>
    <s v="_x0000_US"/>
  </r>
  <r>
    <x v="4"/>
    <n v="13.684900000000001"/>
    <n v="-89.215800000000002"/>
    <n v="272.08"/>
    <n v="0"/>
    <n v="0"/>
    <n v="105"/>
    <s v="_x0000_US"/>
  </r>
  <r>
    <x v="4"/>
    <n v="13.6906"/>
    <n v="-89.215800000000002"/>
    <n v="415.28"/>
    <n v="0"/>
    <n v="0"/>
    <n v="105"/>
    <s v="_x0000_US"/>
  </r>
  <r>
    <x v="4"/>
    <n v="13.6873"/>
    <n v="-89.215800000000002"/>
    <n v="451.08"/>
    <n v="0"/>
    <n v="0"/>
    <n v="105"/>
    <s v="_x0000_US"/>
  </r>
  <r>
    <x v="4"/>
    <n v="13.6866"/>
    <n v="-89.215800000000002"/>
    <n v="486.88"/>
    <n v="0"/>
    <n v="0"/>
    <n v="105"/>
    <s v="_x0000_US"/>
  </r>
  <r>
    <x v="4"/>
    <n v="13.6836"/>
    <n v="-89.215800000000002"/>
    <n v="1116.96"/>
    <n v="0"/>
    <n v="0"/>
    <n v="105"/>
    <s v="_x0000_US"/>
  </r>
  <r>
    <x v="4"/>
    <n v="13.684699999999999"/>
    <n v="-89.215699999999998"/>
    <n v="143.19999999999999"/>
    <n v="0"/>
    <n v="0"/>
    <n v="105"/>
    <s v="_x0000_US"/>
  </r>
  <r>
    <x v="4"/>
    <n v="13.684900000000001"/>
    <n v="-89.215699999999998"/>
    <n v="193.32"/>
    <n v="0"/>
    <n v="0"/>
    <n v="105"/>
    <s v="_x0000_US"/>
  </r>
  <r>
    <x v="4"/>
    <n v="13.6844"/>
    <n v="-89.215699999999998"/>
    <n v="307.88"/>
    <n v="0"/>
    <n v="0"/>
    <n v="105"/>
    <s v="_x0000_US"/>
  </r>
  <r>
    <x v="4"/>
    <n v="13.688000000000001"/>
    <n v="-89.215699999999998"/>
    <n v="558.48"/>
    <n v="0"/>
    <n v="0"/>
    <n v="105"/>
    <s v="_x0000_US"/>
  </r>
  <r>
    <x v="4"/>
    <n v="13.6892"/>
    <n v="-89.215699999999998"/>
    <n v="787.6"/>
    <n v="0"/>
    <n v="0"/>
    <n v="105"/>
    <s v="_x0000_US"/>
  </r>
  <r>
    <x v="4"/>
    <n v="13.683299999999999"/>
    <n v="-89.215699999999998"/>
    <n v="1124.1199999999999"/>
    <n v="0"/>
    <n v="0"/>
    <n v="105"/>
    <s v="_x0000_US"/>
  </r>
  <r>
    <x v="4"/>
    <n v="13.686999999999999"/>
    <n v="-89.215599999999995"/>
    <n v="257.76"/>
    <n v="0"/>
    <n v="0"/>
    <n v="105"/>
    <s v="_x0000_US"/>
  </r>
  <r>
    <x v="4"/>
    <n v="13.6874"/>
    <n v="-89.215599999999995"/>
    <n v="293.56"/>
    <n v="0"/>
    <n v="0"/>
    <n v="105"/>
    <s v="_x0000_US"/>
  </r>
  <r>
    <x v="4"/>
    <n v="13.6853"/>
    <n v="-89.215599999999995"/>
    <n v="408.12"/>
    <n v="0"/>
    <n v="0"/>
    <n v="105"/>
    <s v="_x0000_US"/>
  </r>
  <r>
    <x v="4"/>
    <n v="13.6858"/>
    <n v="-89.215599999999995"/>
    <n v="429.6"/>
    <n v="0"/>
    <n v="0"/>
    <n v="105"/>
    <s v="_x0000_US"/>
  </r>
  <r>
    <x v="4"/>
    <n v="13.690799999999999"/>
    <n v="-89.215599999999995"/>
    <n v="658.72"/>
    <n v="0"/>
    <n v="0"/>
    <n v="105"/>
    <s v="_x0000_US"/>
  </r>
  <r>
    <x v="4"/>
    <n v="13.690099999999999"/>
    <n v="-89.215599999999995"/>
    <n v="737.48"/>
    <n v="0"/>
    <n v="0"/>
    <n v="105"/>
    <s v="_x0000_US"/>
  </r>
  <r>
    <x v="4"/>
    <n v="13.686999999999999"/>
    <n v="-89.215500000000006"/>
    <n v="121.72"/>
    <n v="0"/>
    <n v="0"/>
    <n v="105"/>
    <s v="_x0000_US"/>
  </r>
  <r>
    <x v="4"/>
    <n v="13.6868"/>
    <n v="-89.215500000000006"/>
    <n v="336.52"/>
    <n v="0"/>
    <n v="0"/>
    <n v="105"/>
    <s v="_x0000_US"/>
  </r>
  <r>
    <x v="4"/>
    <n v="13.686299999999999"/>
    <n v="-89.215500000000006"/>
    <n v="358"/>
    <n v="0"/>
    <n v="0"/>
    <n v="105"/>
    <s v="_x0000_US"/>
  </r>
  <r>
    <x v="4"/>
    <n v="13.6843"/>
    <n v="-89.215500000000006"/>
    <n v="410.62"/>
    <n v="0"/>
    <n v="0"/>
    <n v="105"/>
    <s v="_x0000_US"/>
  </r>
  <r>
    <x v="4"/>
    <n v="13.6828"/>
    <n v="-89.215500000000006"/>
    <n v="1131.28"/>
    <n v="0"/>
    <n v="0"/>
    <n v="105"/>
    <s v="_x0000_US"/>
  </r>
  <r>
    <x v="4"/>
    <n v="13.687200000000001"/>
    <n v="-89.215400000000002"/>
    <n v="207.64"/>
    <n v="0"/>
    <n v="0"/>
    <n v="105"/>
    <s v="_x0000_US"/>
  </r>
  <r>
    <x v="4"/>
    <n v="13.6875"/>
    <n v="-89.215400000000002"/>
    <n v="214.8"/>
    <n v="0"/>
    <n v="0"/>
    <n v="105"/>
    <s v="_x0000_US"/>
  </r>
  <r>
    <x v="4"/>
    <n v="13.685"/>
    <n v="-89.215400000000002"/>
    <n v="350.84"/>
    <n v="0"/>
    <n v="0"/>
    <n v="105"/>
    <s v="_x0000_US"/>
  </r>
  <r>
    <x v="4"/>
    <n v="13.6889"/>
    <n v="-89.215299999999999"/>
    <n v="179"/>
    <n v="0"/>
    <n v="0"/>
    <n v="105"/>
    <s v="_x0000_US"/>
  </r>
  <r>
    <x v="4"/>
    <n v="13.6861"/>
    <n v="-89.215299999999999"/>
    <n v="315.04000000000002"/>
    <n v="0"/>
    <n v="0"/>
    <n v="105"/>
    <s v="_x0000_US"/>
  </r>
  <r>
    <x v="4"/>
    <n v="13.6906"/>
    <n v="-89.215299999999999"/>
    <n v="335.2"/>
    <n v="0"/>
    <n v="0"/>
    <n v="105"/>
    <s v="_x0000_US"/>
  </r>
  <r>
    <x v="4"/>
    <n v="13.683999999999999"/>
    <n v="-89.215199999999996"/>
    <n v="78.760000000000005"/>
    <n v="0"/>
    <n v="0"/>
    <n v="105"/>
    <s v="_x0000_US"/>
  </r>
  <r>
    <x v="4"/>
    <n v="13.6891"/>
    <n v="-89.215199999999996"/>
    <n v="143.19999999999999"/>
    <n v="0"/>
    <n v="0"/>
    <n v="105"/>
    <s v="_x0000_US"/>
  </r>
  <r>
    <x v="4"/>
    <n v="13.684200000000001"/>
    <n v="-89.215199999999996"/>
    <n v="264.92"/>
    <n v="0"/>
    <n v="0"/>
    <n v="105"/>
    <s v="_x0000_US"/>
  </r>
  <r>
    <x v="4"/>
    <n v="13.6876"/>
    <n v="-89.215199999999996"/>
    <n v="322.2"/>
    <n v="0"/>
    <n v="0"/>
    <n v="105"/>
    <s v="_x0000_US"/>
  </r>
  <r>
    <x v="4"/>
    <n v="13.6898"/>
    <n v="-89.215199999999996"/>
    <n v="358"/>
    <n v="0"/>
    <n v="0"/>
    <n v="105"/>
    <s v="_x0000_US"/>
  </r>
  <r>
    <x v="4"/>
    <n v="13.689399999999999"/>
    <n v="-89.215199999999996"/>
    <n v="358"/>
    <n v="0"/>
    <n v="0"/>
    <n v="105"/>
    <s v="_x0000_US"/>
  </r>
  <r>
    <x v="4"/>
    <n v="13.685600000000001"/>
    <n v="-89.215199999999996"/>
    <n v="744.64"/>
    <n v="0"/>
    <n v="0"/>
    <n v="105"/>
    <s v="_x0000_US"/>
  </r>
  <r>
    <x v="4"/>
    <n v="13.682600000000001"/>
    <n v="-89.215199999999996"/>
    <n v="837.72"/>
    <n v="0"/>
    <n v="0"/>
    <n v="105"/>
    <s v="_x0000_US"/>
  </r>
  <r>
    <x v="4"/>
    <n v="13.6837"/>
    <n v="-89.215100000000007"/>
    <n v="93.08"/>
    <n v="0"/>
    <n v="0"/>
    <n v="105"/>
    <s v="_x0000_US"/>
  </r>
  <r>
    <x v="4"/>
    <n v="13.6839"/>
    <n v="-89.215100000000007"/>
    <n v="128.88"/>
    <n v="0"/>
    <n v="0"/>
    <n v="105"/>
    <s v="_x0000_US"/>
  </r>
  <r>
    <x v="4"/>
    <n v="13.690799999999999"/>
    <n v="-89.215100000000007"/>
    <n v="322.2"/>
    <n v="0"/>
    <n v="0"/>
    <n v="105"/>
    <s v="_x0000_US"/>
  </r>
  <r>
    <x v="4"/>
    <n v="13.690300000000001"/>
    <n v="-89.215100000000007"/>
    <n v="415.28"/>
    <n v="0"/>
    <n v="0"/>
    <n v="105"/>
    <s v="_x0000_US"/>
  </r>
  <r>
    <x v="4"/>
    <n v="13.6844"/>
    <n v="-89.215100000000007"/>
    <n v="444.14"/>
    <n v="0"/>
    <n v="0"/>
    <n v="105"/>
    <s v="_x0000_US"/>
  </r>
  <r>
    <x v="4"/>
    <n v="13.686500000000001"/>
    <n v="-89.215100000000007"/>
    <n v="701.68"/>
    <n v="0"/>
    <n v="0"/>
    <n v="105"/>
    <s v="_x0000_US"/>
  </r>
  <r>
    <x v="4"/>
    <n v="13.683400000000001"/>
    <n v="-89.215000000000003"/>
    <n v="93.08"/>
    <n v="0"/>
    <n v="0"/>
    <n v="105"/>
    <s v="_x0000_US"/>
  </r>
  <r>
    <x v="4"/>
    <n v="13.6836"/>
    <n v="-89.215000000000003"/>
    <n v="107.4"/>
    <n v="0"/>
    <n v="0"/>
    <n v="105"/>
    <s v="_x0000_US"/>
  </r>
  <r>
    <x v="4"/>
    <n v="13.6835"/>
    <n v="-89.215000000000003"/>
    <n v="121.72"/>
    <n v="0"/>
    <n v="0"/>
    <n v="105"/>
    <s v="_x0000_US"/>
  </r>
  <r>
    <x v="4"/>
    <n v="13.687799999999999"/>
    <n v="-89.215000000000003"/>
    <n v="307.88"/>
    <n v="0"/>
    <n v="0"/>
    <n v="105"/>
    <s v="_x0000_US"/>
  </r>
  <r>
    <x v="4"/>
    <n v="13.684799999999999"/>
    <n v="-89.215000000000003"/>
    <n v="637.24"/>
    <n v="0"/>
    <n v="0"/>
    <n v="105"/>
    <s v="_x0000_US"/>
  </r>
  <r>
    <x v="4"/>
    <n v="13.683199999999999"/>
    <n v="-89.2149"/>
    <n v="207.64"/>
    <n v="0"/>
    <n v="0"/>
    <n v="105"/>
    <s v="_x0000_US"/>
  </r>
  <r>
    <x v="4"/>
    <n v="13.6837"/>
    <n v="-89.2149"/>
    <n v="307.88"/>
    <n v="0"/>
    <n v="0"/>
    <n v="105"/>
    <s v="_x0000_US"/>
  </r>
  <r>
    <x v="4"/>
    <n v="13.683999999999999"/>
    <n v="-89.2149"/>
    <n v="393.8"/>
    <n v="0"/>
    <n v="0"/>
    <n v="105"/>
    <s v="_x0000_US"/>
  </r>
  <r>
    <x v="4"/>
    <n v="13.69"/>
    <n v="-89.2149"/>
    <n v="422.44"/>
    <n v="0"/>
    <n v="0"/>
    <n v="105"/>
    <s v="_x0000_US"/>
  </r>
  <r>
    <x v="4"/>
    <n v="13.687099999999999"/>
    <n v="-89.2149"/>
    <n v="794.76"/>
    <n v="0"/>
    <n v="0"/>
    <n v="105"/>
    <s v="_x0000_US"/>
  </r>
  <r>
    <x v="4"/>
    <n v="13.6853"/>
    <n v="-89.2149"/>
    <n v="887.84"/>
    <n v="0"/>
    <n v="0"/>
    <n v="105"/>
    <s v="_x0000_US"/>
  </r>
  <r>
    <x v="4"/>
    <n v="13.6835"/>
    <n v="-89.214799999999997"/>
    <n v="229.12"/>
    <n v="0"/>
    <n v="0"/>
    <n v="105"/>
    <s v="_x0000_US"/>
  </r>
  <r>
    <x v="4"/>
    <n v="13.6829"/>
    <n v="-89.214799999999997"/>
    <n v="229.12"/>
    <n v="0"/>
    <n v="0"/>
    <n v="105"/>
    <s v="_x0000_US"/>
  </r>
  <r>
    <x v="4"/>
    <n v="13.686"/>
    <n v="-89.214799999999997"/>
    <n v="315.04000000000002"/>
    <n v="0"/>
    <n v="0"/>
    <n v="105"/>
    <s v="_x0000_US"/>
  </r>
  <r>
    <x v="4"/>
    <n v="13.6906"/>
    <n v="-89.214799999999997"/>
    <n v="594.98"/>
    <n v="0"/>
    <n v="0"/>
    <n v="105"/>
    <s v="_x0000_US"/>
  </r>
  <r>
    <x v="4"/>
    <n v="13.6891"/>
    <n v="-89.214799999999997"/>
    <n v="694.52"/>
    <n v="0"/>
    <n v="0"/>
    <n v="105"/>
    <s v="_x0000_US"/>
  </r>
  <r>
    <x v="4"/>
    <n v="13.6896"/>
    <n v="-89.214799999999997"/>
    <n v="701.68"/>
    <n v="0"/>
    <n v="0"/>
    <n v="105"/>
    <s v="_x0000_US"/>
  </r>
  <r>
    <x v="4"/>
    <n v="13.6844"/>
    <n v="-89.214699999999993"/>
    <n v="134.08000000000001"/>
    <n v="0"/>
    <n v="0"/>
    <n v="105"/>
    <s v="_x0000_US"/>
  </r>
  <r>
    <x v="4"/>
    <n v="13.682700000000001"/>
    <n v="-89.214699999999993"/>
    <n v="186.16"/>
    <n v="0"/>
    <n v="0"/>
    <n v="105"/>
    <s v="_x0000_US"/>
  </r>
  <r>
    <x v="4"/>
    <n v="13.684200000000001"/>
    <n v="-89.214699999999993"/>
    <n v="229.12"/>
    <n v="0"/>
    <n v="0"/>
    <n v="105"/>
    <s v="_x0000_US"/>
  </r>
  <r>
    <x v="4"/>
    <n v="13.683999999999999"/>
    <n v="-89.214699999999993"/>
    <n v="236.28"/>
    <n v="0"/>
    <n v="0"/>
    <n v="105"/>
    <s v="_x0000_US"/>
  </r>
  <r>
    <x v="4"/>
    <n v="13.6837"/>
    <n v="-89.214699999999993"/>
    <n v="243.44"/>
    <n v="0"/>
    <n v="0"/>
    <n v="105"/>
    <s v="_x0000_US"/>
  </r>
  <r>
    <x v="4"/>
    <n v="13.6846"/>
    <n v="-89.214699999999993"/>
    <n v="329.36"/>
    <n v="0"/>
    <n v="0"/>
    <n v="105"/>
    <s v="_x0000_US"/>
  </r>
  <r>
    <x v="4"/>
    <n v="13.686199999999999"/>
    <n v="-89.214699999999993"/>
    <n v="343.68"/>
    <n v="0"/>
    <n v="0"/>
    <n v="105"/>
    <s v="_x0000_US"/>
  </r>
  <r>
    <x v="4"/>
    <n v="13.683199999999999"/>
    <n v="-89.214699999999993"/>
    <n v="558.48"/>
    <n v="0"/>
    <n v="0"/>
    <n v="105"/>
    <s v="_x0000_US"/>
  </r>
  <r>
    <x v="4"/>
    <n v="13.684799999999999"/>
    <n v="-89.214600000000004"/>
    <n v="57.28"/>
    <n v="0"/>
    <n v="0"/>
    <n v="105"/>
    <s v="_x0000_US"/>
  </r>
  <r>
    <x v="4"/>
    <n v="13.6835"/>
    <n v="-89.214500000000001"/>
    <n v="243.44"/>
    <n v="0"/>
    <n v="0"/>
    <n v="105"/>
    <s v="_x0000_US"/>
  </r>
  <r>
    <x v="4"/>
    <n v="13.685"/>
    <n v="-89.214500000000001"/>
    <n v="264.92"/>
    <n v="0"/>
    <n v="0"/>
    <n v="105"/>
    <s v="_x0000_US"/>
  </r>
  <r>
    <x v="4"/>
    <n v="13.6844"/>
    <n v="-89.214500000000001"/>
    <n v="284.92"/>
    <n v="0"/>
    <n v="0"/>
    <n v="105"/>
    <s v="_x0000_US"/>
  </r>
  <r>
    <x v="4"/>
    <n v="13.6867"/>
    <n v="-89.214500000000001"/>
    <n v="458.24"/>
    <n v="0"/>
    <n v="0"/>
    <n v="105"/>
    <s v="_x0000_US"/>
  </r>
  <r>
    <x v="4"/>
    <n v="13.6875"/>
    <n v="-89.214500000000001"/>
    <n v="780.44"/>
    <n v="0"/>
    <n v="0"/>
    <n v="105"/>
    <s v="_x0000_US"/>
  </r>
  <r>
    <x v="4"/>
    <n v="13.688800000000001"/>
    <n v="-89.214399999999998"/>
    <n v="121.72"/>
    <n v="0"/>
    <n v="0"/>
    <n v="105"/>
    <s v="_x0000_US"/>
  </r>
  <r>
    <x v="4"/>
    <n v="13.682700000000001"/>
    <n v="-89.214399999999998"/>
    <n v="164.68"/>
    <n v="0"/>
    <n v="0"/>
    <n v="105"/>
    <s v="_x0000_US"/>
  </r>
  <r>
    <x v="4"/>
    <n v="13.683"/>
    <n v="-89.214399999999998"/>
    <n v="207.64"/>
    <n v="0"/>
    <n v="0"/>
    <n v="105"/>
    <s v="_x0000_US"/>
  </r>
  <r>
    <x v="4"/>
    <n v="13.683299999999999"/>
    <n v="-89.214399999999998"/>
    <n v="358"/>
    <n v="0"/>
    <n v="0"/>
    <n v="105"/>
    <s v="_x0000_US"/>
  </r>
  <r>
    <x v="4"/>
    <n v="13.6839"/>
    <n v="-89.214399999999998"/>
    <n v="637.24"/>
    <n v="0"/>
    <n v="0"/>
    <n v="105"/>
    <s v="_x0000_US"/>
  </r>
  <r>
    <x v="4"/>
    <n v="13.688700000000001"/>
    <n v="-89.214299999999994"/>
    <n v="50.12"/>
    <n v="0"/>
    <n v="0"/>
    <n v="105"/>
    <s v="_x0000_US"/>
  </r>
  <r>
    <x v="4"/>
    <n v="13.689"/>
    <n v="-89.214299999999994"/>
    <n v="164.68"/>
    <n v="0"/>
    <n v="0"/>
    <n v="105"/>
    <s v="_x0000_US"/>
  </r>
  <r>
    <x v="4"/>
    <n v="13.689299999999999"/>
    <n v="-89.214299999999994"/>
    <n v="358"/>
    <n v="0"/>
    <n v="0"/>
    <n v="105"/>
    <s v="_x0000_US"/>
  </r>
  <r>
    <x v="4"/>
    <n v="13.6898"/>
    <n v="-89.214299999999994"/>
    <n v="365.16"/>
    <n v="0"/>
    <n v="0"/>
    <n v="105"/>
    <s v="_x0000_US"/>
  </r>
  <r>
    <x v="4"/>
    <n v="13.685499999999999"/>
    <n v="-89.214299999999994"/>
    <n v="701.68"/>
    <n v="0"/>
    <n v="0"/>
    <n v="105"/>
    <s v="_x0000_US"/>
  </r>
  <r>
    <x v="4"/>
    <n v="13.6889"/>
    <n v="-89.214200000000005"/>
    <n v="264.92"/>
    <n v="0"/>
    <n v="0"/>
    <n v="105"/>
    <s v="_x0000_US"/>
  </r>
  <r>
    <x v="4"/>
    <n v="13.688599999999999"/>
    <n v="-89.214200000000005"/>
    <n v="264.92"/>
    <n v="0"/>
    <n v="0"/>
    <n v="105"/>
    <s v="_x0000_US"/>
  </r>
  <r>
    <x v="4"/>
    <n v="13.6891"/>
    <n v="-89.214200000000005"/>
    <n v="272.08"/>
    <n v="0"/>
    <n v="0"/>
    <n v="105"/>
    <s v="_x0000_US"/>
  </r>
  <r>
    <x v="4"/>
    <n v="13.690300000000001"/>
    <n v="-89.214200000000005"/>
    <n v="479.72"/>
    <n v="0"/>
    <n v="0"/>
    <n v="105"/>
    <s v="_x0000_US"/>
  </r>
  <r>
    <x v="4"/>
    <n v="13.684699999999999"/>
    <n v="-89.214200000000005"/>
    <n v="665.88"/>
    <n v="0"/>
    <n v="0"/>
    <n v="105"/>
    <s v="_x0000_US"/>
  </r>
  <r>
    <x v="4"/>
    <n v="13.688700000000001"/>
    <n v="-89.214100000000002"/>
    <n v="329.36"/>
    <n v="0"/>
    <n v="0"/>
    <n v="105"/>
    <s v="_x0000_US"/>
  </r>
  <r>
    <x v="4"/>
    <n v="13.686"/>
    <n v="-89.214100000000002"/>
    <n v="393.8"/>
    <n v="0"/>
    <n v="0"/>
    <n v="105"/>
    <s v="_x0000_US"/>
  </r>
  <r>
    <x v="4"/>
    <n v="13.6851"/>
    <n v="-89.214100000000002"/>
    <n v="415.28"/>
    <n v="0"/>
    <n v="0"/>
    <n v="105"/>
    <s v="_x0000_US"/>
  </r>
  <r>
    <x v="4"/>
    <n v="13.6843"/>
    <n v="-89.214100000000002"/>
    <n v="419"/>
    <n v="0"/>
    <n v="0"/>
    <n v="105"/>
    <s v="_x0000_US"/>
  </r>
  <r>
    <x v="4"/>
    <n v="13.6828"/>
    <n v="-89.214100000000002"/>
    <n v="436.76"/>
    <n v="0"/>
    <n v="0"/>
    <n v="105"/>
    <s v="_x0000_US"/>
  </r>
  <r>
    <x v="4"/>
    <n v="13.687200000000001"/>
    <n v="-89.214100000000002"/>
    <n v="451.08"/>
    <n v="0"/>
    <n v="0"/>
    <n v="105"/>
    <s v="_x0000_US"/>
  </r>
  <r>
    <x v="4"/>
    <n v="13.6874"/>
    <n v="-89.213999999999999"/>
    <n v="28.64"/>
    <n v="0"/>
    <n v="0"/>
    <n v="105"/>
    <s v="_x0000_US"/>
  </r>
  <r>
    <x v="4"/>
    <n v="13.6889"/>
    <n v="-89.213999999999999"/>
    <n v="164.68"/>
    <n v="0"/>
    <n v="0"/>
    <n v="105"/>
    <s v="_x0000_US"/>
  </r>
  <r>
    <x v="4"/>
    <n v="13.69"/>
    <n v="-89.213999999999999"/>
    <n v="350.84"/>
    <n v="0"/>
    <n v="0"/>
    <n v="105"/>
    <s v="_x0000_US"/>
  </r>
  <r>
    <x v="4"/>
    <n v="13.6831"/>
    <n v="-89.213999999999999"/>
    <n v="673.04"/>
    <n v="0"/>
    <n v="0"/>
    <n v="105"/>
    <s v="_x0000_US"/>
  </r>
  <r>
    <x v="4"/>
    <n v="13.6873"/>
    <n v="-89.213899999999995"/>
    <n v="128.88"/>
    <n v="0"/>
    <n v="0"/>
    <n v="105"/>
    <s v="_x0000_US"/>
  </r>
  <r>
    <x v="4"/>
    <n v="13.687200000000001"/>
    <n v="-89.213899999999995"/>
    <n v="136.04"/>
    <n v="0"/>
    <n v="0"/>
    <n v="105"/>
    <s v="_x0000_US"/>
  </r>
  <r>
    <x v="4"/>
    <n v="13.683400000000001"/>
    <n v="-89.213899999999995"/>
    <n v="157.52000000000001"/>
    <n v="0"/>
    <n v="0"/>
    <n v="105"/>
    <s v="_x0000_US"/>
  </r>
  <r>
    <x v="4"/>
    <n v="13.6843"/>
    <n v="-89.213899999999995"/>
    <n v="243.44"/>
    <n v="0"/>
    <n v="0"/>
    <n v="105"/>
    <s v="_x0000_US"/>
  </r>
  <r>
    <x v="4"/>
    <n v="13.685499999999999"/>
    <n v="-89.213899999999995"/>
    <n v="673.04"/>
    <n v="0"/>
    <n v="0"/>
    <n v="105"/>
    <s v="_x0000_US"/>
  </r>
  <r>
    <x v="4"/>
    <n v="13.6851"/>
    <n v="-89.213800000000006"/>
    <n v="64.44"/>
    <n v="0"/>
    <n v="0"/>
    <n v="105"/>
    <s v="_x0000_US"/>
  </r>
  <r>
    <x v="4"/>
    <n v="13.6859"/>
    <n v="-89.213800000000006"/>
    <n v="71.599999999999994"/>
    <n v="0"/>
    <n v="0"/>
    <n v="105"/>
    <s v="_x0000_US"/>
  </r>
  <r>
    <x v="4"/>
    <n v="13.685"/>
    <n v="-89.213800000000006"/>
    <n v="186.16"/>
    <n v="0"/>
    <n v="0"/>
    <n v="105"/>
    <s v="_x0000_US"/>
  </r>
  <r>
    <x v="4"/>
    <n v="13.686299999999999"/>
    <n v="-89.213800000000006"/>
    <n v="236.28"/>
    <n v="0"/>
    <n v="0"/>
    <n v="105"/>
    <s v="_x0000_US"/>
  </r>
  <r>
    <x v="4"/>
    <n v="13.684699999999999"/>
    <n v="-89.213800000000006"/>
    <n v="272.08"/>
    <n v="0"/>
    <n v="0"/>
    <n v="105"/>
    <s v="_x0000_US"/>
  </r>
  <r>
    <x v="4"/>
    <n v="13.690200000000001"/>
    <n v="-89.213800000000006"/>
    <n v="436.76"/>
    <n v="0"/>
    <n v="0"/>
    <n v="105"/>
    <s v="_x0000_US"/>
  </r>
  <r>
    <x v="4"/>
    <n v="13.689500000000001"/>
    <n v="-89.213800000000006"/>
    <n v="716"/>
    <n v="0"/>
    <n v="0"/>
    <n v="105"/>
    <s v="_x0000_US"/>
  </r>
  <r>
    <x v="4"/>
    <n v="13.6866"/>
    <n v="-89.213700000000003"/>
    <n v="322.2"/>
    <n v="0"/>
    <n v="0"/>
    <n v="105"/>
    <s v="_x0000_US"/>
  </r>
  <r>
    <x v="4"/>
    <n v="13.6861"/>
    <n v="-89.213700000000003"/>
    <n v="350.84"/>
    <n v="0"/>
    <n v="0"/>
    <n v="105"/>
    <s v="_x0000_US"/>
  </r>
  <r>
    <x v="4"/>
    <n v="13.688800000000001"/>
    <n v="-89.213700000000003"/>
    <n v="451.08"/>
    <n v="0"/>
    <n v="0"/>
    <n v="105"/>
    <s v="_x0000_US"/>
  </r>
  <r>
    <x v="4"/>
    <n v="13.689"/>
    <n v="-89.213700000000003"/>
    <n v="451.08"/>
    <n v="0"/>
    <n v="0"/>
    <n v="105"/>
    <s v="_x0000_US"/>
  </r>
  <r>
    <x v="4"/>
    <n v="13.685499999999999"/>
    <n v="-89.213700000000003"/>
    <n v="694.52"/>
    <n v="0"/>
    <n v="0"/>
    <n v="105"/>
    <s v="_x0000_US"/>
  </r>
  <r>
    <x v="4"/>
    <n v="13.6844"/>
    <n v="-89.2136"/>
    <n v="329.36"/>
    <n v="0"/>
    <n v="0"/>
    <n v="105"/>
    <s v="_x0000_US"/>
  </r>
  <r>
    <x v="4"/>
    <n v="13.6899"/>
    <n v="-89.2136"/>
    <n v="372.32"/>
    <n v="0"/>
    <n v="0"/>
    <n v="105"/>
    <s v="_x0000_US"/>
  </r>
  <r>
    <x v="4"/>
    <n v="13.683"/>
    <n v="-89.213499999999996"/>
    <n v="78.760000000000005"/>
    <n v="0"/>
    <n v="0"/>
    <n v="105"/>
    <s v="_x0000_US"/>
  </r>
  <r>
    <x v="4"/>
    <n v="13.6868"/>
    <n v="-89.213499999999996"/>
    <n v="264.92"/>
    <n v="0"/>
    <n v="0"/>
    <n v="105"/>
    <s v="_x0000_US"/>
  </r>
  <r>
    <x v="4"/>
    <n v="13.6883"/>
    <n v="-89.213499999999996"/>
    <n v="343.68"/>
    <n v="0"/>
    <n v="0"/>
    <n v="105"/>
    <s v="_x0000_US"/>
  </r>
  <r>
    <x v="4"/>
    <n v="13.684100000000001"/>
    <n v="-89.213499999999996"/>
    <n v="879.9"/>
    <n v="0"/>
    <n v="0"/>
    <n v="105"/>
    <s v="_x0000_US"/>
  </r>
  <r>
    <x v="4"/>
    <n v="13.6831"/>
    <n v="-89.213399999999993"/>
    <n v="128.88"/>
    <n v="0"/>
    <n v="0"/>
    <n v="105"/>
    <s v="_x0000_US"/>
  </r>
  <r>
    <x v="4"/>
    <n v="13.6881"/>
    <n v="-89.213399999999993"/>
    <n v="128.88"/>
    <n v="0"/>
    <n v="0"/>
    <n v="105"/>
    <s v="_x0000_US"/>
  </r>
  <r>
    <x v="4"/>
    <n v="13.6889"/>
    <n v="-89.213399999999993"/>
    <n v="157.52000000000001"/>
    <n v="0"/>
    <n v="0"/>
    <n v="105"/>
    <s v="_x0000_US"/>
  </r>
  <r>
    <x v="4"/>
    <n v="13.6896"/>
    <n v="-89.213399999999993"/>
    <n v="171.84"/>
    <n v="0"/>
    <n v="0"/>
    <n v="105"/>
    <s v="_x0000_US"/>
  </r>
  <r>
    <x v="4"/>
    <n v="13.688700000000001"/>
    <n v="-89.213399999999993"/>
    <n v="200.48"/>
    <n v="0"/>
    <n v="0"/>
    <n v="105"/>
    <s v="_x0000_US"/>
  </r>
  <r>
    <x v="4"/>
    <n v="13.6892"/>
    <n v="-89.213399999999993"/>
    <n v="358"/>
    <n v="0"/>
    <n v="0"/>
    <n v="105"/>
    <s v="_x0000_US"/>
  </r>
  <r>
    <x v="4"/>
    <n v="13.684799999999999"/>
    <n v="-89.213399999999993"/>
    <n v="587.12"/>
    <n v="0"/>
    <n v="0"/>
    <n v="105"/>
    <s v="_x0000_US"/>
  </r>
  <r>
    <x v="4"/>
    <n v="13.6835"/>
    <n v="-89.213399999999993"/>
    <n v="701.68"/>
    <n v="0"/>
    <n v="0"/>
    <n v="105"/>
    <s v="_x0000_US"/>
  </r>
  <r>
    <x v="4"/>
    <n v="13.688000000000001"/>
    <n v="-89.213300000000004"/>
    <n v="150.36000000000001"/>
    <n v="0"/>
    <n v="0"/>
    <n v="105"/>
    <s v="_x0000_US"/>
  </r>
  <r>
    <x v="4"/>
    <n v="13.6898"/>
    <n v="-89.213300000000004"/>
    <n v="193.32"/>
    <n v="0"/>
    <n v="0"/>
    <n v="105"/>
    <s v="_x0000_US"/>
  </r>
  <r>
    <x v="4"/>
    <n v="13.6869"/>
    <n v="-89.213300000000004"/>
    <n v="207.64"/>
    <n v="0"/>
    <n v="0"/>
    <n v="105"/>
    <s v="_x0000_US"/>
  </r>
  <r>
    <x v="4"/>
    <n v="13.690099999999999"/>
    <n v="-89.213300000000004"/>
    <n v="322.2"/>
    <n v="0"/>
    <n v="0"/>
    <n v="105"/>
    <s v="_x0000_US"/>
  </r>
  <r>
    <x v="4"/>
    <n v="13.6859"/>
    <n v="-89.213300000000004"/>
    <n v="716"/>
    <n v="0"/>
    <n v="0"/>
    <n v="105"/>
    <s v="_x0000_US"/>
  </r>
  <r>
    <x v="4"/>
    <n v="13.685"/>
    <n v="-89.213300000000004"/>
    <n v="723.16"/>
    <n v="0"/>
    <n v="0"/>
    <n v="105"/>
    <s v="_x0000_US"/>
  </r>
  <r>
    <x v="4"/>
    <n v="13.6867"/>
    <n v="-89.213200000000001"/>
    <n v="136.04"/>
    <n v="0"/>
    <n v="0"/>
    <n v="105"/>
    <s v="_x0000_US"/>
  </r>
  <r>
    <x v="4"/>
    <n v="13.689"/>
    <n v="-89.213200000000001"/>
    <n v="307.88"/>
    <n v="0"/>
    <n v="0"/>
    <n v="105"/>
    <s v="_x0000_US"/>
  </r>
  <r>
    <x v="4"/>
    <n v="13.688499999999999"/>
    <n v="-89.213200000000001"/>
    <n v="329.36"/>
    <n v="0"/>
    <n v="0"/>
    <n v="105"/>
    <s v="_x0000_US"/>
  </r>
  <r>
    <x v="4"/>
    <n v="13.686299999999999"/>
    <n v="-89.213200000000001"/>
    <n v="708.84"/>
    <n v="0"/>
    <n v="0"/>
    <n v="105"/>
    <s v="_x0000_US"/>
  </r>
  <r>
    <x v="4"/>
    <n v="13.6881"/>
    <n v="-89.213099999999997"/>
    <n v="329.36"/>
    <n v="0"/>
    <n v="0"/>
    <n v="105"/>
    <s v="_x0000_US"/>
  </r>
  <r>
    <x v="4"/>
    <n v="13.6869"/>
    <n v="-89.213099999999997"/>
    <n v="358"/>
    <n v="0"/>
    <n v="0"/>
    <n v="105"/>
    <s v="_x0000_US"/>
  </r>
  <r>
    <x v="4"/>
    <n v="13.6854"/>
    <n v="-89.213099999999997"/>
    <n v="422.44"/>
    <n v="0"/>
    <n v="0"/>
    <n v="105"/>
    <s v="_x0000_US"/>
  </r>
  <r>
    <x v="4"/>
    <n v="13.688800000000001"/>
    <n v="-89.212999999999994"/>
    <n v="21.48"/>
    <n v="0"/>
    <n v="0"/>
    <n v="105"/>
    <s v="_x0000_US"/>
  </r>
  <r>
    <x v="4"/>
    <n v="13.690200000000001"/>
    <n v="-89.212999999999994"/>
    <n v="35.799999999999997"/>
    <n v="0"/>
    <n v="0"/>
    <n v="105"/>
    <s v="_x0000_US"/>
  </r>
  <r>
    <x v="4"/>
    <n v="13.688499999999999"/>
    <n v="-89.212999999999994"/>
    <n v="121.72"/>
    <n v="0"/>
    <n v="0"/>
    <n v="105"/>
    <s v="_x0000_US"/>
  </r>
  <r>
    <x v="4"/>
    <n v="13.6889"/>
    <n v="-89.212999999999994"/>
    <n v="143.19999999999999"/>
    <n v="0"/>
    <n v="0"/>
    <n v="105"/>
    <s v="_x0000_US"/>
  </r>
  <r>
    <x v="4"/>
    <n v="13.683400000000001"/>
    <n v="-89.212999999999994"/>
    <n v="150.36000000000001"/>
    <n v="0"/>
    <n v="0"/>
    <n v="105"/>
    <s v="_x0000_US"/>
  </r>
  <r>
    <x v="4"/>
    <n v="13.688599999999999"/>
    <n v="-89.212999999999994"/>
    <n v="214.8"/>
    <n v="0"/>
    <n v="0"/>
    <n v="105"/>
    <s v="_x0000_US"/>
  </r>
  <r>
    <x v="4"/>
    <n v="13.6838"/>
    <n v="-89.212999999999994"/>
    <n v="379.48"/>
    <n v="0"/>
    <n v="0"/>
    <n v="105"/>
    <s v="_x0000_US"/>
  </r>
  <r>
    <x v="4"/>
    <n v="13.688800000000001"/>
    <n v="-89.212900000000005"/>
    <n v="21.48"/>
    <n v="0"/>
    <n v="0"/>
    <n v="105"/>
    <s v="_x0000_US"/>
  </r>
  <r>
    <x v="4"/>
    <n v="13.688800000000001"/>
    <n v="-89.212900000000005"/>
    <n v="100.24"/>
    <n v="0"/>
    <n v="0"/>
    <n v="105"/>
    <s v="_x0000_US"/>
  </r>
  <r>
    <x v="4"/>
    <n v="13.689"/>
    <n v="-89.212900000000005"/>
    <n v="121.72"/>
    <n v="0"/>
    <n v="0"/>
    <n v="105"/>
    <s v="_x0000_US"/>
  </r>
  <r>
    <x v="4"/>
    <n v="13.6889"/>
    <n v="-89.212900000000005"/>
    <n v="143.19999999999999"/>
    <n v="0"/>
    <n v="0"/>
    <n v="105"/>
    <s v="_x0000_US"/>
  </r>
  <r>
    <x v="4"/>
    <n v="13.6835"/>
    <n v="-89.212900000000005"/>
    <n v="157.52000000000001"/>
    <n v="0"/>
    <n v="0"/>
    <n v="105"/>
    <s v="_x0000_US"/>
  </r>
  <r>
    <x v="4"/>
    <n v="13.6882"/>
    <n v="-89.212900000000005"/>
    <n v="200.48"/>
    <n v="0"/>
    <n v="0"/>
    <n v="105"/>
    <s v="_x0000_US"/>
  </r>
  <r>
    <x v="4"/>
    <n v="13.688599999999999"/>
    <n v="-89.212900000000005"/>
    <n v="214.8"/>
    <n v="0"/>
    <n v="0"/>
    <n v="105"/>
    <s v="_x0000_US"/>
  </r>
  <r>
    <x v="4"/>
    <n v="13.6852"/>
    <n v="-89.212900000000005"/>
    <n v="279.24"/>
    <n v="0"/>
    <n v="0"/>
    <n v="105"/>
    <s v="_x0000_US"/>
  </r>
  <r>
    <x v="4"/>
    <n v="13.6867"/>
    <n v="-89.212900000000005"/>
    <n v="307.88"/>
    <n v="0"/>
    <n v="0"/>
    <n v="105"/>
    <s v="_x0000_US"/>
  </r>
  <r>
    <x v="4"/>
    <n v="13.6899"/>
    <n v="-89.212900000000005"/>
    <n v="737.48"/>
    <n v="0"/>
    <n v="0"/>
    <n v="105"/>
    <s v="_x0000_US"/>
  </r>
  <r>
    <x v="4"/>
    <n v="13.689399999999999"/>
    <n v="-89.212900000000005"/>
    <n v="737.48"/>
    <n v="0"/>
    <n v="0"/>
    <n v="105"/>
    <s v="_x0000_US"/>
  </r>
  <r>
    <x v="4"/>
    <n v="13.6896"/>
    <n v="-89.212900000000005"/>
    <n v="744.64"/>
    <n v="0"/>
    <n v="0"/>
    <n v="105"/>
    <s v="_x0000_US"/>
  </r>
  <r>
    <x v="4"/>
    <n v="13.688499999999999"/>
    <n v="-89.212800000000001"/>
    <n v="64.44"/>
    <n v="0"/>
    <n v="0"/>
    <n v="105"/>
    <s v="_x0000_US"/>
  </r>
  <r>
    <x v="4"/>
    <n v="13.6884"/>
    <n v="-89.212800000000001"/>
    <n v="93.08"/>
    <n v="0"/>
    <n v="0"/>
    <n v="105"/>
    <s v="_x0000_US"/>
  </r>
  <r>
    <x v="4"/>
    <n v="13.688000000000001"/>
    <n v="-89.212800000000001"/>
    <n v="121.72"/>
    <n v="0"/>
    <n v="0"/>
    <n v="105"/>
    <s v="_x0000_US"/>
  </r>
  <r>
    <x v="4"/>
    <n v="13.683999999999999"/>
    <n v="-89.212800000000001"/>
    <n v="293.3"/>
    <n v="0"/>
    <n v="0"/>
    <n v="105"/>
    <s v="_x0000_US"/>
  </r>
  <r>
    <x v="4"/>
    <n v="13.6861"/>
    <n v="-89.212800000000001"/>
    <n v="336.52"/>
    <n v="0"/>
    <n v="0"/>
    <n v="105"/>
    <s v="_x0000_US"/>
  </r>
  <r>
    <x v="4"/>
    <n v="13.685700000000001"/>
    <n v="-89.212800000000001"/>
    <n v="386.64"/>
    <n v="0"/>
    <n v="0"/>
    <n v="105"/>
    <s v="_x0000_US"/>
  </r>
  <r>
    <x v="4"/>
    <n v="13.687099999999999"/>
    <n v="-89.212699999999998"/>
    <n v="186.16"/>
    <n v="0"/>
    <n v="0"/>
    <n v="105"/>
    <s v="_x0000_US"/>
  </r>
  <r>
    <x v="4"/>
    <n v="13.6869"/>
    <n v="-89.212699999999998"/>
    <n v="257.76"/>
    <n v="0"/>
    <n v="0"/>
    <n v="105"/>
    <s v="_x0000_US"/>
  </r>
  <r>
    <x v="4"/>
    <n v="13.6882"/>
    <n v="-89.212699999999998"/>
    <n v="279.24"/>
    <n v="0"/>
    <n v="0"/>
    <n v="105"/>
    <s v="_x0000_US"/>
  </r>
  <r>
    <x v="4"/>
    <n v="13.6889"/>
    <n v="-89.212699999999998"/>
    <n v="307.88"/>
    <n v="0"/>
    <n v="0"/>
    <n v="105"/>
    <s v="_x0000_US"/>
  </r>
  <r>
    <x v="4"/>
    <n v="13.686500000000001"/>
    <n v="-89.212699999999998"/>
    <n v="336.52"/>
    <n v="0"/>
    <n v="0"/>
    <n v="105"/>
    <s v="_x0000_US"/>
  </r>
  <r>
    <x v="4"/>
    <n v="13.690099999999999"/>
    <n v="-89.212699999999998"/>
    <n v="472.56"/>
    <n v="0"/>
    <n v="0"/>
    <n v="105"/>
    <s v="_x0000_US"/>
  </r>
  <r>
    <x v="4"/>
    <n v="13.6845"/>
    <n v="-89.212699999999998"/>
    <n v="809.08"/>
    <n v="0"/>
    <n v="0"/>
    <n v="105"/>
    <s v="_x0000_US"/>
  </r>
  <r>
    <x v="4"/>
    <n v="13.683999999999999"/>
    <n v="-89.212599999999995"/>
    <n v="117.32"/>
    <n v="0"/>
    <n v="0"/>
    <n v="105"/>
    <s v="_x0000_US"/>
  </r>
  <r>
    <x v="4"/>
    <n v="13.686999999999999"/>
    <n v="-89.212599999999995"/>
    <n v="193.32"/>
    <n v="0"/>
    <n v="0"/>
    <n v="105"/>
    <s v="_x0000_US"/>
  </r>
  <r>
    <x v="4"/>
    <n v="13.688000000000001"/>
    <n v="-89.212599999999995"/>
    <n v="214.8"/>
    <n v="0"/>
    <n v="0"/>
    <n v="105"/>
    <s v="_x0000_US"/>
  </r>
  <r>
    <x v="4"/>
    <n v="13.688499999999999"/>
    <n v="-89.212599999999995"/>
    <n v="221.96"/>
    <n v="0"/>
    <n v="0"/>
    <n v="105"/>
    <s v="_x0000_US"/>
  </r>
  <r>
    <x v="4"/>
    <n v="13.6882"/>
    <n v="-89.212599999999995"/>
    <n v="358"/>
    <n v="0"/>
    <n v="0"/>
    <n v="105"/>
    <s v="_x0000_US"/>
  </r>
  <r>
    <x v="4"/>
    <n v="13.689"/>
    <n v="-89.212500000000006"/>
    <n v="179"/>
    <n v="0"/>
    <n v="0"/>
    <n v="105"/>
    <s v="_x0000_US"/>
  </r>
  <r>
    <x v="4"/>
    <n v="13.6839"/>
    <n v="-89.212500000000006"/>
    <n v="186.16"/>
    <n v="0"/>
    <n v="0"/>
    <n v="105"/>
    <s v="_x0000_US"/>
  </r>
  <r>
    <x v="4"/>
    <n v="13.690300000000001"/>
    <n v="-89.212500000000006"/>
    <n v="221.96"/>
    <n v="0"/>
    <n v="0"/>
    <n v="105"/>
    <s v="_x0000_US"/>
  </r>
  <r>
    <x v="4"/>
    <n v="13.6867"/>
    <n v="-89.212500000000006"/>
    <n v="322.2"/>
    <n v="0"/>
    <n v="0"/>
    <n v="105"/>
    <s v="_x0000_US"/>
  </r>
  <r>
    <x v="4"/>
    <n v="13.688499999999999"/>
    <n v="-89.212500000000006"/>
    <n v="365.16"/>
    <n v="0"/>
    <n v="0"/>
    <n v="105"/>
    <s v="_x0000_US"/>
  </r>
  <r>
    <x v="4"/>
    <n v="13.686999999999999"/>
    <n v="-89.212400000000002"/>
    <n v="85.92"/>
    <n v="0"/>
    <n v="0"/>
    <n v="105"/>
    <s v="_x0000_US"/>
  </r>
  <r>
    <x v="4"/>
    <n v="13.683999999999999"/>
    <n v="-89.212400000000002"/>
    <n v="159.22"/>
    <n v="0"/>
    <n v="0"/>
    <n v="105"/>
    <s v="_x0000_US"/>
  </r>
  <r>
    <x v="4"/>
    <n v="13.6897"/>
    <n v="-89.212400000000002"/>
    <n v="164.68"/>
    <n v="0"/>
    <n v="0"/>
    <n v="105"/>
    <s v="_x0000_US"/>
  </r>
  <r>
    <x v="4"/>
    <n v="13.6892"/>
    <n v="-89.212400000000002"/>
    <n v="171.84"/>
    <n v="0"/>
    <n v="0"/>
    <n v="105"/>
    <s v="_x0000_US"/>
  </r>
  <r>
    <x v="4"/>
    <n v="13.6899"/>
    <n v="-89.212400000000002"/>
    <n v="193.32"/>
    <n v="0"/>
    <n v="0"/>
    <n v="105"/>
    <s v="_x0000_US"/>
  </r>
  <r>
    <x v="4"/>
    <n v="13.689500000000001"/>
    <n v="-89.212400000000002"/>
    <n v="200.48"/>
    <n v="0"/>
    <n v="0"/>
    <n v="105"/>
    <s v="_x0000_US"/>
  </r>
  <r>
    <x v="4"/>
    <n v="13.685"/>
    <n v="-89.212400000000002"/>
    <n v="658.72"/>
    <n v="0"/>
    <n v="0"/>
    <n v="105"/>
    <s v="_x0000_US"/>
  </r>
  <r>
    <x v="4"/>
    <n v="13.690200000000001"/>
    <n v="-89.212299999999999"/>
    <n v="164.68"/>
    <n v="0"/>
    <n v="0"/>
    <n v="105"/>
    <s v="_x0000_US"/>
  </r>
  <r>
    <x v="4"/>
    <n v="13.6869"/>
    <n v="-89.212299999999999"/>
    <n v="293.56"/>
    <n v="0"/>
    <n v="0"/>
    <n v="105"/>
    <s v="_x0000_US"/>
  </r>
  <r>
    <x v="4"/>
    <n v="13.688000000000001"/>
    <n v="-89.212299999999999"/>
    <n v="307.88"/>
    <n v="0"/>
    <n v="0"/>
    <n v="105"/>
    <s v="_x0000_US"/>
  </r>
  <r>
    <x v="4"/>
    <n v="13.6905"/>
    <n v="-89.212299999999999"/>
    <n v="336.52"/>
    <n v="0"/>
    <n v="0"/>
    <n v="105"/>
    <s v="_x0000_US"/>
  </r>
  <r>
    <x v="4"/>
    <n v="13.6884"/>
    <n v="-89.212299999999999"/>
    <n v="372.32"/>
    <n v="0"/>
    <n v="0"/>
    <n v="105"/>
    <s v="_x0000_US"/>
  </r>
  <r>
    <x v="4"/>
    <n v="13.6854"/>
    <n v="-89.212299999999999"/>
    <n v="701.68"/>
    <n v="0"/>
    <n v="0"/>
    <n v="105"/>
    <s v="_x0000_US"/>
  </r>
  <r>
    <x v="4"/>
    <n v="13.686199999999999"/>
    <n v="-89.212299999999999"/>
    <n v="716"/>
    <n v="0"/>
    <n v="0"/>
    <n v="105"/>
    <s v="_x0000_US"/>
  </r>
  <r>
    <x v="4"/>
    <n v="13.6858"/>
    <n v="-89.212299999999999"/>
    <n v="730.32"/>
    <n v="0"/>
    <n v="0"/>
    <n v="105"/>
    <s v="_x0000_US"/>
  </r>
  <r>
    <x v="4"/>
    <n v="13.689299999999999"/>
    <n v="-89.212199999999996"/>
    <n v="307.88"/>
    <n v="0"/>
    <n v="0"/>
    <n v="105"/>
    <s v="_x0000_US"/>
  </r>
  <r>
    <x v="4"/>
    <n v="13.6898"/>
    <n v="-89.212199999999996"/>
    <n v="329.36"/>
    <n v="0"/>
    <n v="0"/>
    <n v="105"/>
    <s v="_x0000_US"/>
  </r>
  <r>
    <x v="4"/>
    <n v="13.6896"/>
    <n v="-89.212199999999996"/>
    <n v="336.52"/>
    <n v="0"/>
    <n v="0"/>
    <n v="105"/>
    <s v="_x0000_US"/>
  </r>
  <r>
    <x v="4"/>
    <n v="13.6882"/>
    <n v="-89.212100000000007"/>
    <n v="358"/>
    <n v="0"/>
    <n v="0"/>
    <n v="105"/>
    <s v="_x0000_US"/>
  </r>
  <r>
    <x v="4"/>
    <n v="13.6889"/>
    <n v="-89.212100000000007"/>
    <n v="579.96"/>
    <n v="0"/>
    <n v="0"/>
    <n v="105"/>
    <s v="_x0000_US"/>
  </r>
  <r>
    <x v="4"/>
    <n v="13.6896"/>
    <n v="-89.212000000000003"/>
    <n v="42.96"/>
    <n v="0"/>
    <n v="0"/>
    <n v="105"/>
    <s v="_x0000_US"/>
  </r>
  <r>
    <x v="4"/>
    <n v="13.688000000000001"/>
    <n v="-89.212000000000003"/>
    <n v="85.92"/>
    <n v="0"/>
    <n v="0"/>
    <n v="105"/>
    <s v="_x0000_US"/>
  </r>
  <r>
    <x v="4"/>
    <n v="13.6897"/>
    <n v="-89.212000000000003"/>
    <n v="121.72"/>
    <n v="0"/>
    <n v="0"/>
    <n v="105"/>
    <s v="_x0000_US"/>
  </r>
  <r>
    <x v="4"/>
    <n v="13.689399999999999"/>
    <n v="-89.212000000000003"/>
    <n v="121.72"/>
    <n v="0"/>
    <n v="0"/>
    <n v="105"/>
    <s v="_x0000_US"/>
  </r>
  <r>
    <x v="4"/>
    <n v="13.6851"/>
    <n v="-89.212000000000003"/>
    <n v="336.52"/>
    <n v="0"/>
    <n v="0"/>
    <n v="105"/>
    <s v="_x0000_US"/>
  </r>
  <r>
    <x v="4"/>
    <n v="13.6891"/>
    <n v="-89.212000000000003"/>
    <n v="687.36"/>
    <n v="0"/>
    <n v="0"/>
    <n v="105"/>
    <s v="_x0000_US"/>
  </r>
  <r>
    <x v="4"/>
    <n v="13.6866"/>
    <n v="-89.2119"/>
    <n v="186.16"/>
    <n v="0"/>
    <n v="0"/>
    <n v="105"/>
    <s v="_x0000_US"/>
  </r>
  <r>
    <x v="4"/>
    <n v="13.686"/>
    <n v="-89.2119"/>
    <n v="329.36"/>
    <n v="0"/>
    <n v="0"/>
    <n v="105"/>
    <s v="_x0000_US"/>
  </r>
  <r>
    <x v="4"/>
    <n v="13.685600000000001"/>
    <n v="-89.2119"/>
    <n v="358"/>
    <n v="0"/>
    <n v="0"/>
    <n v="105"/>
    <s v="_x0000_US"/>
  </r>
  <r>
    <x v="4"/>
    <n v="13.688599999999999"/>
    <n v="-89.2119"/>
    <n v="415.28"/>
    <n v="0"/>
    <n v="0"/>
    <n v="105"/>
    <s v="_x0000_US"/>
  </r>
  <r>
    <x v="4"/>
    <n v="13.690799999999999"/>
    <n v="-89.2119"/>
    <n v="636.88"/>
    <n v="0"/>
    <n v="0"/>
    <n v="105"/>
    <s v="_x0000_US"/>
  </r>
  <r>
    <x v="4"/>
    <n v="13.690200000000001"/>
    <n v="-89.2119"/>
    <n v="651.55999999999995"/>
    <n v="0"/>
    <n v="0"/>
    <n v="105"/>
    <s v="_x0000_US"/>
  </r>
  <r>
    <x v="4"/>
    <n v="13.6866"/>
    <n v="-89.211799999999997"/>
    <n v="28.64"/>
    <n v="0"/>
    <n v="0"/>
    <n v="105"/>
    <s v="_x0000_US"/>
  </r>
  <r>
    <x v="4"/>
    <n v="13.685700000000001"/>
    <n v="-89.211799999999997"/>
    <n v="207.64"/>
    <n v="0"/>
    <n v="0"/>
    <n v="105"/>
    <s v="_x0000_US"/>
  </r>
  <r>
    <x v="4"/>
    <n v="13.686400000000001"/>
    <n v="-89.211799999999997"/>
    <n v="315.04000000000002"/>
    <n v="0"/>
    <n v="0"/>
    <n v="105"/>
    <s v="_x0000_US"/>
  </r>
  <r>
    <x v="4"/>
    <n v="13.6898"/>
    <n v="-89.211799999999997"/>
    <n v="393.8"/>
    <n v="0"/>
    <n v="0"/>
    <n v="105"/>
    <s v="_x0000_US"/>
  </r>
  <r>
    <x v="4"/>
    <n v="13.6866"/>
    <n v="-89.211699999999993"/>
    <n v="157.52000000000001"/>
    <n v="0"/>
    <n v="0"/>
    <n v="105"/>
    <s v="_x0000_US"/>
  </r>
  <r>
    <x v="4"/>
    <n v="13.6896"/>
    <n v="-89.211699999999993"/>
    <n v="415.28"/>
    <n v="0"/>
    <n v="0"/>
    <n v="105"/>
    <s v="_x0000_US"/>
  </r>
  <r>
    <x v="4"/>
    <n v="13.691000000000001"/>
    <n v="-89.211699999999993"/>
    <n v="436.76"/>
    <n v="0"/>
    <n v="0"/>
    <n v="105"/>
    <s v="_x0000_US"/>
  </r>
  <r>
    <x v="4"/>
    <n v="13.689500000000001"/>
    <n v="-89.211699999999993"/>
    <n v="472.56"/>
    <n v="0"/>
    <n v="0"/>
    <n v="105"/>
    <s v="_x0000_US"/>
  </r>
  <r>
    <x v="4"/>
    <n v="13.689299999999999"/>
    <n v="-89.211699999999993"/>
    <n v="479.72"/>
    <n v="0"/>
    <n v="0"/>
    <n v="105"/>
    <s v="_x0000_US"/>
  </r>
  <r>
    <x v="4"/>
    <n v="13.6867"/>
    <n v="-89.211600000000004"/>
    <n v="128.88"/>
    <n v="0"/>
    <n v="0"/>
    <n v="105"/>
    <s v="_x0000_US"/>
  </r>
  <r>
    <x v="4"/>
    <n v="13.689"/>
    <n v="-89.211600000000004"/>
    <n v="214.8"/>
    <n v="0"/>
    <n v="0"/>
    <n v="105"/>
    <s v="_x0000_US"/>
  </r>
  <r>
    <x v="4"/>
    <n v="13.687099999999999"/>
    <n v="-89.211600000000004"/>
    <n v="866.36"/>
    <n v="0"/>
    <n v="0"/>
    <n v="105"/>
    <s v="_x0000_US"/>
  </r>
  <r>
    <x v="4"/>
    <n v="13.6892"/>
    <n v="-89.211500000000001"/>
    <n v="200.48"/>
    <n v="0"/>
    <n v="0"/>
    <n v="105"/>
    <s v="_x0000_US"/>
  </r>
  <r>
    <x v="4"/>
    <n v="13.6866"/>
    <n v="-89.211500000000001"/>
    <n v="214.8"/>
    <n v="0"/>
    <n v="0"/>
    <n v="105"/>
    <s v="_x0000_US"/>
  </r>
  <r>
    <x v="4"/>
    <n v="13.685600000000001"/>
    <n v="-89.211500000000001"/>
    <n v="221.96"/>
    <n v="0"/>
    <n v="0"/>
    <n v="105"/>
    <s v="_x0000_US"/>
  </r>
  <r>
    <x v="4"/>
    <n v="13.690099999999999"/>
    <n v="-89.211500000000001"/>
    <n v="372.32"/>
    <n v="0"/>
    <n v="0"/>
    <n v="105"/>
    <s v="_x0000_US"/>
  </r>
  <r>
    <x v="4"/>
    <n v="13.6905"/>
    <n v="-89.211500000000001"/>
    <n v="451.08"/>
    <n v="0"/>
    <n v="0"/>
    <n v="105"/>
    <s v="_x0000_US"/>
  </r>
  <r>
    <x v="4"/>
    <n v="13.686199999999999"/>
    <n v="-89.211500000000001"/>
    <n v="472.56"/>
    <n v="0"/>
    <n v="0"/>
    <n v="105"/>
    <s v="_x0000_US"/>
  </r>
  <r>
    <x v="4"/>
    <n v="13.6859"/>
    <n v="-89.211500000000001"/>
    <n v="558.48"/>
    <n v="0"/>
    <n v="0"/>
    <n v="105"/>
    <s v="_x0000_US"/>
  </r>
  <r>
    <x v="4"/>
    <n v="13.6853"/>
    <n v="-89.211399999999998"/>
    <n v="42.96"/>
    <n v="0"/>
    <n v="0"/>
    <n v="105"/>
    <s v="_x0000_US"/>
  </r>
  <r>
    <x v="4"/>
    <n v="13.689500000000001"/>
    <n v="-89.211399999999998"/>
    <n v="121.72"/>
    <n v="0"/>
    <n v="0"/>
    <n v="105"/>
    <s v="_x0000_US"/>
  </r>
  <r>
    <x v="4"/>
    <n v="13.6897"/>
    <n v="-89.211399999999998"/>
    <n v="121.72"/>
    <n v="0"/>
    <n v="0"/>
    <n v="105"/>
    <s v="_x0000_US"/>
  </r>
  <r>
    <x v="4"/>
    <n v="13.689399999999999"/>
    <n v="-89.211399999999998"/>
    <n v="128.88"/>
    <n v="0"/>
    <n v="0"/>
    <n v="105"/>
    <s v="_x0000_US"/>
  </r>
  <r>
    <x v="4"/>
    <n v="13.6854"/>
    <n v="-89.211399999999998"/>
    <n v="171.84"/>
    <n v="0"/>
    <n v="0"/>
    <n v="105"/>
    <s v="_x0000_US"/>
  </r>
  <r>
    <x v="4"/>
    <n v="13.685700000000001"/>
    <n v="-89.211399999999998"/>
    <n v="415.28"/>
    <n v="0"/>
    <n v="0"/>
    <n v="105"/>
    <s v="_x0000_US"/>
  </r>
  <r>
    <x v="4"/>
    <n v="13.6854"/>
    <n v="-89.211299999999994"/>
    <n v="236.28"/>
    <n v="0"/>
    <n v="0"/>
    <n v="105"/>
    <s v="_x0000_US"/>
  </r>
  <r>
    <x v="4"/>
    <n v="13.685600000000001"/>
    <n v="-89.211299999999994"/>
    <n v="264.92"/>
    <n v="0"/>
    <n v="0"/>
    <n v="105"/>
    <s v="_x0000_US"/>
  </r>
  <r>
    <x v="4"/>
    <n v="13.686"/>
    <n v="-89.211200000000005"/>
    <n v="64.44"/>
    <n v="0"/>
    <n v="0"/>
    <n v="105"/>
    <s v="_x0000_US"/>
  </r>
  <r>
    <x v="4"/>
    <n v="13.6861"/>
    <n v="-89.211200000000005"/>
    <n v="78.760000000000005"/>
    <n v="0"/>
    <n v="0"/>
    <n v="105"/>
    <s v="_x0000_US"/>
  </r>
  <r>
    <x v="4"/>
    <n v="13.687200000000001"/>
    <n v="-89.211200000000005"/>
    <n v="365.16"/>
    <n v="0"/>
    <n v="0"/>
    <n v="105"/>
    <s v="_x0000_US"/>
  </r>
  <r>
    <x v="4"/>
    <n v="13.6861"/>
    <n v="-89.211100000000002"/>
    <n v="107.4"/>
    <n v="0"/>
    <n v="0"/>
    <n v="105"/>
    <s v="_x0000_US"/>
  </r>
  <r>
    <x v="4"/>
    <n v="13.6874"/>
    <n v="-89.211100000000002"/>
    <n v="136.04"/>
    <n v="0"/>
    <n v="0"/>
    <n v="105"/>
    <s v="_x0000_US"/>
  </r>
  <r>
    <x v="4"/>
    <n v="13.6859"/>
    <n v="-89.211100000000002"/>
    <n v="157.52000000000001"/>
    <n v="0"/>
    <n v="0"/>
    <n v="105"/>
    <s v="_x0000_US"/>
  </r>
  <r>
    <x v="4"/>
    <n v="13.6859"/>
    <n v="-89.211100000000002"/>
    <n v="236.28"/>
    <n v="0"/>
    <n v="0"/>
    <n v="105"/>
    <s v="_x0000_US"/>
  </r>
  <r>
    <x v="4"/>
    <n v="13.690799999999999"/>
    <n v="-89.211100000000002"/>
    <n v="829.62"/>
    <n v="0"/>
    <n v="0"/>
    <n v="105"/>
    <s v="_x0000_US"/>
  </r>
  <r>
    <x v="4"/>
    <n v="13.6852"/>
    <n v="-89.211100000000002"/>
    <n v="995.24"/>
    <n v="0"/>
    <n v="0"/>
    <n v="105"/>
    <s v="_x0000_US"/>
  </r>
  <r>
    <x v="4"/>
    <n v="13.6874"/>
    <n v="-89.210999999999999"/>
    <n v="64.44"/>
    <n v="0"/>
    <n v="0"/>
    <n v="105"/>
    <s v="_x0000_US"/>
  </r>
  <r>
    <x v="4"/>
    <n v="13.685700000000001"/>
    <n v="-89.210999999999999"/>
    <n v="157.52000000000001"/>
    <n v="0"/>
    <n v="0"/>
    <n v="105"/>
    <s v="_x0000_US"/>
  </r>
  <r>
    <x v="4"/>
    <n v="13.686299999999999"/>
    <n v="-89.210999999999999"/>
    <n v="400.96"/>
    <n v="0"/>
    <n v="0"/>
    <n v="105"/>
    <s v="_x0000_US"/>
  </r>
  <r>
    <x v="4"/>
    <n v="13.684900000000001"/>
    <n v="-89.210800000000006"/>
    <n v="64.44"/>
    <n v="0"/>
    <n v="0"/>
    <n v="105"/>
    <s v="_x0000_US"/>
  </r>
  <r>
    <x v="4"/>
    <n v="13.684799999999999"/>
    <n v="-89.210800000000006"/>
    <n v="92.18"/>
    <n v="0"/>
    <n v="0"/>
    <n v="105"/>
    <s v="_x0000_US"/>
  </r>
  <r>
    <x v="4"/>
    <n v="13.686999999999999"/>
    <n v="-89.210800000000006"/>
    <n v="1439.16"/>
    <n v="0"/>
    <n v="0"/>
    <n v="105"/>
    <s v="_x0000_US"/>
  </r>
  <r>
    <x v="4"/>
    <n v="13.6912"/>
    <n v="-89.210700000000003"/>
    <n v="880.68"/>
    <n v="0"/>
    <n v="0"/>
    <n v="105"/>
    <s v="_x0000_US"/>
  </r>
  <r>
    <x v="4"/>
    <n v="13.685"/>
    <n v="-89.210599999999999"/>
    <n v="469.28"/>
    <n v="0"/>
    <n v="0"/>
    <n v="105"/>
    <s v="_x0000_US"/>
  </r>
  <r>
    <x v="4"/>
    <n v="13.686199999999999"/>
    <n v="-89.210599999999999"/>
    <n v="494.04"/>
    <n v="0"/>
    <n v="0"/>
    <n v="105"/>
    <s v="_x0000_US"/>
  </r>
  <r>
    <x v="4"/>
    <n v="13.685499999999999"/>
    <n v="-89.210599999999999"/>
    <n v="537"/>
    <n v="0"/>
    <n v="0"/>
    <n v="105"/>
    <s v="_x0000_US"/>
  </r>
  <r>
    <x v="4"/>
    <n v="13.6907"/>
    <n v="-89.210400000000007"/>
    <n v="402.24"/>
    <n v="0"/>
    <n v="0"/>
    <n v="105"/>
    <s v="_x0000_US"/>
  </r>
  <r>
    <x v="4"/>
    <n v="13.6866"/>
    <n v="-89.210400000000007"/>
    <n v="766.12"/>
    <n v="0"/>
    <n v="0"/>
    <n v="105"/>
    <s v="_x0000_US"/>
  </r>
  <r>
    <x v="4"/>
    <n v="13.685499999999999"/>
    <n v="-89.210300000000004"/>
    <n v="128.88"/>
    <n v="0"/>
    <n v="0"/>
    <n v="105"/>
    <s v="_x0000_US"/>
  </r>
  <r>
    <x v="4"/>
    <n v="13.6853"/>
    <n v="-89.210300000000004"/>
    <n v="234.64"/>
    <n v="0"/>
    <n v="0"/>
    <n v="105"/>
    <s v="_x0000_US"/>
  </r>
  <r>
    <x v="4"/>
    <n v="13.685700000000001"/>
    <n v="-89.2102"/>
    <n v="42.96"/>
    <n v="0"/>
    <n v="0"/>
    <n v="105"/>
    <s v="_x0000_US"/>
  </r>
  <r>
    <x v="4"/>
    <n v="13.6853"/>
    <n v="-89.2102"/>
    <n v="50.28"/>
    <n v="0"/>
    <n v="0"/>
    <n v="105"/>
    <s v="_x0000_US"/>
  </r>
  <r>
    <x v="4"/>
    <n v="13.6853"/>
    <n v="-89.2102"/>
    <n v="121.72"/>
    <n v="0"/>
    <n v="0"/>
    <n v="105"/>
    <s v="_x0000_US"/>
  </r>
  <r>
    <x v="4"/>
    <n v="13.685600000000001"/>
    <n v="-89.2102"/>
    <n v="128.88"/>
    <n v="0"/>
    <n v="0"/>
    <n v="105"/>
    <s v="_x0000_US"/>
  </r>
  <r>
    <x v="4"/>
    <n v="13.6913"/>
    <n v="-89.2102"/>
    <n v="937.96"/>
    <n v="0"/>
    <n v="0"/>
    <n v="105"/>
    <s v="_x0000_US"/>
  </r>
  <r>
    <x v="4"/>
    <n v="13.685700000000001"/>
    <n v="-89.210099999999997"/>
    <n v="85.92"/>
    <n v="0"/>
    <n v="0"/>
    <n v="105"/>
    <s v="_x0000_US"/>
  </r>
  <r>
    <x v="4"/>
    <n v="13.685499999999999"/>
    <n v="-89.210099999999997"/>
    <n v="200.48"/>
    <n v="0"/>
    <n v="0"/>
    <n v="105"/>
    <s v="_x0000_US"/>
  </r>
  <r>
    <x v="4"/>
    <n v="13.685499999999999"/>
    <n v="-89.21"/>
    <n v="121.72"/>
    <n v="0"/>
    <n v="0"/>
    <n v="105"/>
    <s v="_x0000_US"/>
  </r>
  <r>
    <x v="4"/>
    <n v="13.6907"/>
    <n v="-89.21"/>
    <n v="427.38"/>
    <n v="0"/>
    <n v="0"/>
    <n v="105"/>
    <s v="_x0000_US"/>
  </r>
  <r>
    <x v="4"/>
    <n v="13.685600000000001"/>
    <n v="-89.209900000000005"/>
    <n v="28.64"/>
    <n v="0"/>
    <n v="0"/>
    <n v="105"/>
    <s v="_x0000_US"/>
  </r>
  <r>
    <x v="4"/>
    <n v="13.6877"/>
    <n v="-89.209900000000005"/>
    <n v="551.32000000000005"/>
    <n v="0"/>
    <n v="0"/>
    <n v="105"/>
    <s v="_x0000_US"/>
  </r>
  <r>
    <x v="4"/>
    <n v="13.691000000000001"/>
    <n v="-89.209699999999998"/>
    <n v="393.8"/>
    <n v="0"/>
    <n v="0"/>
    <n v="105"/>
    <s v="_x0000_US"/>
  </r>
  <r>
    <x v="4"/>
    <n v="13.690799999999999"/>
    <n v="-89.209500000000006"/>
    <n v="419"/>
    <n v="0"/>
    <n v="0"/>
    <n v="105"/>
    <s v="_x0000_US"/>
  </r>
  <r>
    <x v="4"/>
    <n v="13.6874"/>
    <n v="-89.209500000000006"/>
    <n v="465.4"/>
    <n v="0"/>
    <n v="0"/>
    <n v="105"/>
    <s v="_x0000_US"/>
  </r>
  <r>
    <x v="4"/>
    <n v="13.691700000000001"/>
    <n v="-89.209500000000006"/>
    <n v="587.12"/>
    <n v="0"/>
    <n v="0"/>
    <n v="105"/>
    <s v="_x0000_US"/>
  </r>
  <r>
    <x v="4"/>
    <n v="13.6876"/>
    <n v="-89.209400000000002"/>
    <n v="250.6"/>
    <n v="0"/>
    <n v="0"/>
    <n v="105"/>
    <s v="_x0000_US"/>
  </r>
  <r>
    <x v="4"/>
    <n v="13.691700000000001"/>
    <n v="-89.209199999999996"/>
    <n v="171.84"/>
    <n v="0"/>
    <n v="0"/>
    <n v="105"/>
    <s v="_x0000_US"/>
  </r>
  <r>
    <x v="4"/>
    <n v="13.6912"/>
    <n v="-89.209199999999996"/>
    <n v="608.6"/>
    <n v="0"/>
    <n v="0"/>
    <n v="105"/>
    <s v="_x0000_US"/>
  </r>
  <r>
    <x v="4"/>
    <n v="13.6875"/>
    <n v="-89.209100000000007"/>
    <n v="114.56"/>
    <n v="0"/>
    <n v="0"/>
    <n v="105"/>
    <s v="_x0000_US"/>
  </r>
  <r>
    <x v="4"/>
    <n v="13.6877"/>
    <n v="-89.209100000000007"/>
    <n v="250.6"/>
    <n v="0"/>
    <n v="0"/>
    <n v="105"/>
    <s v="_x0000_US"/>
  </r>
  <r>
    <x v="4"/>
    <n v="13.6876"/>
    <n v="-89.209000000000003"/>
    <n v="164.68"/>
    <n v="0"/>
    <n v="0"/>
    <n v="105"/>
    <s v="_x0000_US"/>
  </r>
  <r>
    <x v="4"/>
    <n v="13.691599999999999"/>
    <n v="-89.208799999999997"/>
    <n v="673.04"/>
    <n v="0"/>
    <n v="0"/>
    <n v="105"/>
    <s v="_x0000_US"/>
  </r>
  <r>
    <x v="4"/>
    <n v="13.690899999999999"/>
    <n v="-89.208799999999997"/>
    <n v="863.14"/>
    <n v="0"/>
    <n v="0"/>
    <n v="105"/>
    <s v="_x0000_US"/>
  </r>
  <r>
    <x v="4"/>
    <n v="13.6874"/>
    <n v="-89.208399999999997"/>
    <n v="1045.3599999999999"/>
    <n v="0"/>
    <n v="0"/>
    <n v="105"/>
    <s v="_x0000_US"/>
  </r>
  <r>
    <x v="4"/>
    <n v="13.691599999999999"/>
    <n v="-89.208299999999994"/>
    <n v="186.16"/>
    <n v="0"/>
    <n v="0"/>
    <n v="105"/>
    <s v="_x0000_US"/>
  </r>
  <r>
    <x v="4"/>
    <n v="13.6913"/>
    <n v="-89.208299999999994"/>
    <n v="400.96"/>
    <n v="0"/>
    <n v="0"/>
    <n v="105"/>
    <s v="_x0000_US"/>
  </r>
  <r>
    <x v="4"/>
    <n v="13.689299999999999"/>
    <n v="-89.208100000000002"/>
    <n v="136.04"/>
    <n v="0"/>
    <n v="0"/>
    <n v="105"/>
    <s v="_x0000_US"/>
  </r>
  <r>
    <x v="4"/>
    <n v="13.689399999999999"/>
    <n v="-89.208100000000002"/>
    <n v="207.64"/>
    <n v="0"/>
    <n v="0"/>
    <n v="105"/>
    <s v="_x0000_US"/>
  </r>
  <r>
    <x v="4"/>
    <n v="13.689299999999999"/>
    <n v="-89.207999999999998"/>
    <n v="171.84"/>
    <n v="0"/>
    <n v="0"/>
    <n v="105"/>
    <s v="_x0000_US"/>
  </r>
  <r>
    <x v="4"/>
    <n v="13.6892"/>
    <n v="-89.207899999999995"/>
    <n v="186.16"/>
    <n v="0"/>
    <n v="0"/>
    <n v="105"/>
    <s v="_x0000_US"/>
  </r>
  <r>
    <x v="4"/>
    <n v="13.6911"/>
    <n v="-89.207899999999995"/>
    <n v="737.44"/>
    <n v="0"/>
    <n v="0"/>
    <n v="105"/>
    <s v="_x0000_US"/>
  </r>
  <r>
    <x v="4"/>
    <n v="13.689299999999999"/>
    <n v="-89.207800000000006"/>
    <n v="114.56"/>
    <n v="0"/>
    <n v="0"/>
    <n v="105"/>
    <s v="_x0000_US"/>
  </r>
  <r>
    <x v="4"/>
    <n v="13.6892"/>
    <n v="-89.207700000000003"/>
    <n v="128.88"/>
    <n v="0"/>
    <n v="0"/>
    <n v="105"/>
    <s v="_x0000_US"/>
  </r>
  <r>
    <x v="4"/>
    <n v="13.687799999999999"/>
    <n v="-89.207700000000003"/>
    <n v="694.52"/>
    <n v="0"/>
    <n v="0"/>
    <n v="105"/>
    <s v="_x0000_US"/>
  </r>
  <r>
    <x v="4"/>
    <n v="13.6867"/>
    <n v="-89.207700000000003"/>
    <n v="787.6"/>
    <n v="0"/>
    <n v="0"/>
    <n v="105"/>
    <s v="_x0000_US"/>
  </r>
  <r>
    <x v="4"/>
    <n v="13.6892"/>
    <n v="-89.207599999999999"/>
    <n v="121.72"/>
    <n v="0"/>
    <n v="0"/>
    <n v="105"/>
    <s v="_x0000_US"/>
  </r>
  <r>
    <x v="4"/>
    <n v="13.689299999999999"/>
    <n v="-89.207599999999999"/>
    <n v="164.68"/>
    <n v="0"/>
    <n v="0"/>
    <n v="105"/>
    <s v="_x0000_US"/>
  </r>
  <r>
    <x v="4"/>
    <n v="13.6891"/>
    <n v="-89.207499999999996"/>
    <n v="107.4"/>
    <n v="0"/>
    <n v="0"/>
    <n v="105"/>
    <s v="_x0000_US"/>
  </r>
  <r>
    <x v="4"/>
    <n v="13.6915"/>
    <n v="-89.207499999999996"/>
    <n v="150.36000000000001"/>
    <n v="0"/>
    <n v="0"/>
    <n v="105"/>
    <s v="_x0000_US"/>
  </r>
  <r>
    <x v="4"/>
    <n v="13.6913"/>
    <n v="-89.207499999999996"/>
    <n v="264.92"/>
    <n v="0"/>
    <n v="0"/>
    <n v="105"/>
    <s v="_x0000_US"/>
  </r>
  <r>
    <x v="4"/>
    <n v="13.6891"/>
    <n v="-89.207400000000007"/>
    <n v="57.28"/>
    <n v="0"/>
    <n v="0"/>
    <n v="105"/>
    <s v="_x0000_US"/>
  </r>
  <r>
    <x v="4"/>
    <n v="13.689299999999999"/>
    <n v="-89.207400000000007"/>
    <n v="229.12"/>
    <n v="0"/>
    <n v="0"/>
    <n v="105"/>
    <s v="_x0000_US"/>
  </r>
  <r>
    <x v="4"/>
    <n v="13.687200000000001"/>
    <n v="-89.207400000000007"/>
    <n v="494.04"/>
    <n v="0"/>
    <n v="0"/>
    <n v="105"/>
    <s v="_x0000_US"/>
  </r>
  <r>
    <x v="4"/>
    <n v="13.6912"/>
    <n v="-89.207300000000004"/>
    <n v="386.64"/>
    <n v="0"/>
    <n v="0"/>
    <n v="105"/>
    <s v="_x0000_US"/>
  </r>
  <r>
    <x v="4"/>
    <n v="13.6911"/>
    <n v="-89.207300000000004"/>
    <n v="393.86"/>
    <n v="0"/>
    <n v="0"/>
    <n v="105"/>
    <s v="_x0000_US"/>
  </r>
  <r>
    <x v="4"/>
    <n v="13.6859"/>
    <n v="-89.2072"/>
    <n v="997.22"/>
    <n v="0"/>
    <n v="0"/>
    <n v="105"/>
    <s v="_x0000_US"/>
  </r>
  <r>
    <x v="4"/>
    <n v="13.6869"/>
    <n v="-89.207099999999997"/>
    <n v="408.12"/>
    <n v="0"/>
    <n v="0"/>
    <n v="105"/>
    <s v="_x0000_US"/>
  </r>
  <r>
    <x v="4"/>
    <n v="13.687099999999999"/>
    <n v="-89.206999999999994"/>
    <n v="114.56"/>
    <n v="0"/>
    <n v="0"/>
    <n v="105"/>
    <s v="_x0000_US"/>
  </r>
  <r>
    <x v="4"/>
    <n v="13.6866"/>
    <n v="-89.206999999999994"/>
    <n v="336.52"/>
    <n v="0"/>
    <n v="0"/>
    <n v="105"/>
    <s v="_x0000_US"/>
  </r>
  <r>
    <x v="4"/>
    <n v="13.688700000000001"/>
    <n v="-89.206999999999994"/>
    <n v="773.28"/>
    <n v="0"/>
    <n v="0"/>
    <n v="105"/>
    <s v="_x0000_US"/>
  </r>
  <r>
    <x v="4"/>
    <n v="13.6874"/>
    <n v="-89.206900000000005"/>
    <n v="221.96"/>
    <n v="0"/>
    <n v="0"/>
    <n v="105"/>
    <s v="_x0000_US"/>
  </r>
  <r>
    <x v="4"/>
    <n v="13.6876"/>
    <n v="-89.206900000000005"/>
    <n v="358"/>
    <n v="0"/>
    <n v="0"/>
    <n v="105"/>
    <s v="_x0000_US"/>
  </r>
  <r>
    <x v="4"/>
    <n v="13.6912"/>
    <n v="-89.206900000000005"/>
    <n v="402.24"/>
    <n v="0"/>
    <n v="0"/>
    <n v="105"/>
    <s v="_x0000_US"/>
  </r>
  <r>
    <x v="4"/>
    <n v="13.6874"/>
    <n v="-89.206800000000001"/>
    <n v="171.84"/>
    <n v="0"/>
    <n v="0"/>
    <n v="105"/>
    <s v="_x0000_US"/>
  </r>
  <r>
    <x v="4"/>
    <n v="13.687099999999999"/>
    <n v="-89.206800000000001"/>
    <n v="243.44"/>
    <n v="0"/>
    <n v="0"/>
    <n v="105"/>
    <s v="_x0000_US"/>
  </r>
  <r>
    <x v="4"/>
    <n v="13.6866"/>
    <n v="-89.206699999999998"/>
    <n v="108.94"/>
    <n v="0"/>
    <n v="0"/>
    <n v="105"/>
    <s v="_x0000_US"/>
  </r>
  <r>
    <x v="4"/>
    <n v="13.6891"/>
    <n v="-89.206699999999998"/>
    <n v="143.19999999999999"/>
    <n v="0"/>
    <n v="0"/>
    <n v="105"/>
    <s v="_x0000_US"/>
  </r>
  <r>
    <x v="4"/>
    <n v="13.6875"/>
    <n v="-89.206699999999998"/>
    <n v="157.52000000000001"/>
    <n v="0"/>
    <n v="0"/>
    <n v="105"/>
    <s v="_x0000_US"/>
  </r>
  <r>
    <x v="4"/>
    <n v="13.691700000000001"/>
    <n v="-89.206699999999998"/>
    <n v="300.72000000000003"/>
    <n v="0"/>
    <n v="0"/>
    <n v="105"/>
    <s v="_x0000_US"/>
  </r>
  <r>
    <x v="4"/>
    <n v="13.689299999999999"/>
    <n v="-89.206599999999995"/>
    <n v="78.760000000000005"/>
    <n v="0"/>
    <n v="0"/>
    <n v="105"/>
    <s v="_x0000_US"/>
  </r>
  <r>
    <x v="4"/>
    <n v="13.687099999999999"/>
    <n v="-89.206599999999995"/>
    <n v="85.92"/>
    <n v="0"/>
    <n v="0"/>
    <n v="105"/>
    <s v="_x0000_US"/>
  </r>
  <r>
    <x v="4"/>
    <n v="13.6884"/>
    <n v="-89.206599999999995"/>
    <n v="93.08"/>
    <n v="0"/>
    <n v="0"/>
    <n v="105"/>
    <s v="_x0000_US"/>
  </r>
  <r>
    <x v="4"/>
    <n v="13.6867"/>
    <n v="-89.206599999999995"/>
    <n v="134.08000000000001"/>
    <n v="0"/>
    <n v="0"/>
    <n v="105"/>
    <s v="_x0000_US"/>
  </r>
  <r>
    <x v="4"/>
    <n v="13.6914"/>
    <n v="-89.206599999999995"/>
    <n v="136.04"/>
    <n v="0"/>
    <n v="0"/>
    <n v="105"/>
    <s v="_x0000_US"/>
  </r>
  <r>
    <x v="4"/>
    <n v="13.6874"/>
    <n v="-89.206599999999995"/>
    <n v="157.52000000000001"/>
    <n v="0"/>
    <n v="0"/>
    <n v="105"/>
    <s v="_x0000_US"/>
  </r>
  <r>
    <x v="4"/>
    <n v="13.6877"/>
    <n v="-89.206599999999995"/>
    <n v="186.16"/>
    <n v="0"/>
    <n v="0"/>
    <n v="105"/>
    <s v="_x0000_US"/>
  </r>
  <r>
    <x v="4"/>
    <n v="13.6915"/>
    <n v="-89.206599999999995"/>
    <n v="193.32"/>
    <n v="0"/>
    <n v="0"/>
    <n v="105"/>
    <s v="_x0000_US"/>
  </r>
  <r>
    <x v="4"/>
    <n v="13.6869"/>
    <n v="-89.206599999999995"/>
    <n v="257.76"/>
    <n v="0"/>
    <n v="0"/>
    <n v="105"/>
    <s v="_x0000_US"/>
  </r>
  <r>
    <x v="4"/>
    <n v="13.688700000000001"/>
    <n v="-89.206599999999995"/>
    <n v="408.12"/>
    <n v="0"/>
    <n v="0"/>
    <n v="105"/>
    <s v="_x0000_US"/>
  </r>
  <r>
    <x v="4"/>
    <n v="13.6874"/>
    <n v="-89.206500000000005"/>
    <n v="157.52000000000001"/>
    <n v="0"/>
    <n v="0"/>
    <n v="105"/>
    <s v="_x0000_US"/>
  </r>
  <r>
    <x v="4"/>
    <n v="13.6876"/>
    <n v="-89.206500000000005"/>
    <n v="164.68"/>
    <n v="0"/>
    <n v="0"/>
    <n v="105"/>
    <s v="_x0000_US"/>
  </r>
  <r>
    <x v="4"/>
    <n v="13.6892"/>
    <n v="-89.206500000000005"/>
    <n v="193.32"/>
    <n v="0"/>
    <n v="0"/>
    <n v="105"/>
    <s v="_x0000_US"/>
  </r>
  <r>
    <x v="4"/>
    <n v="13.691800000000001"/>
    <n v="-89.206500000000005"/>
    <n v="207.64"/>
    <n v="0"/>
    <n v="0"/>
    <n v="105"/>
    <s v="_x0000_US"/>
  </r>
  <r>
    <x v="4"/>
    <n v="13.687200000000001"/>
    <n v="-89.206500000000005"/>
    <n v="214.8"/>
    <n v="0"/>
    <n v="0"/>
    <n v="105"/>
    <s v="_x0000_US"/>
  </r>
  <r>
    <x v="4"/>
    <n v="13.6858"/>
    <n v="-89.206500000000005"/>
    <n v="887.84"/>
    <n v="0"/>
    <n v="0"/>
    <n v="105"/>
    <s v="_x0000_US"/>
  </r>
  <r>
    <x v="4"/>
    <n v="13.689500000000001"/>
    <n v="-89.206400000000002"/>
    <n v="157.52000000000001"/>
    <n v="0"/>
    <n v="0"/>
    <n v="105"/>
    <s v="_x0000_US"/>
  </r>
  <r>
    <x v="4"/>
    <n v="13.6876"/>
    <n v="-89.206400000000002"/>
    <n v="179"/>
    <n v="0"/>
    <n v="0"/>
    <n v="105"/>
    <s v="_x0000_US"/>
  </r>
  <r>
    <x v="4"/>
    <n v="13.6889"/>
    <n v="-89.206400000000002"/>
    <n v="186.16"/>
    <n v="0"/>
    <n v="0"/>
    <n v="105"/>
    <s v="_x0000_US"/>
  </r>
  <r>
    <x v="4"/>
    <n v="13.6873"/>
    <n v="-89.206400000000002"/>
    <n v="186.16"/>
    <n v="0"/>
    <n v="0"/>
    <n v="105"/>
    <s v="_x0000_US"/>
  </r>
  <r>
    <x v="4"/>
    <n v="13.688599999999999"/>
    <n v="-89.206400000000002"/>
    <n v="443.92"/>
    <n v="0"/>
    <n v="0"/>
    <n v="105"/>
    <s v="_x0000_US"/>
  </r>
  <r>
    <x v="4"/>
    <n v="13.686400000000001"/>
    <n v="-89.206400000000002"/>
    <n v="565.64"/>
    <n v="0"/>
    <n v="0"/>
    <n v="105"/>
    <s v="_x0000_US"/>
  </r>
  <r>
    <x v="4"/>
    <n v="13.6875"/>
    <n v="-89.206299999999999"/>
    <n v="179"/>
    <n v="0"/>
    <n v="0"/>
    <n v="105"/>
    <s v="_x0000_US"/>
  </r>
  <r>
    <x v="4"/>
    <n v="13.6891"/>
    <n v="-89.206299999999999"/>
    <n v="307.88"/>
    <n v="0"/>
    <n v="0"/>
    <n v="105"/>
    <s v="_x0000_US"/>
  </r>
  <r>
    <x v="4"/>
    <n v="13.686999999999999"/>
    <n v="-89.206299999999999"/>
    <n v="408.12"/>
    <n v="0"/>
    <n v="0"/>
    <n v="105"/>
    <s v="_x0000_US"/>
  </r>
  <r>
    <x v="4"/>
    <n v="13.6869"/>
    <n v="-89.206299999999999"/>
    <n v="544.70000000000005"/>
    <n v="0"/>
    <n v="0"/>
    <n v="105"/>
    <s v="_x0000_US"/>
  </r>
  <r>
    <x v="4"/>
    <n v="13.6874"/>
    <n v="-89.206199999999995"/>
    <n v="157.52000000000001"/>
    <n v="0"/>
    <n v="0"/>
    <n v="105"/>
    <s v="_x0000_US"/>
  </r>
  <r>
    <x v="4"/>
    <n v="13.6889"/>
    <n v="-89.206199999999995"/>
    <n v="200.48"/>
    <n v="0"/>
    <n v="0"/>
    <n v="105"/>
    <s v="_x0000_US"/>
  </r>
  <r>
    <x v="4"/>
    <n v="13.689299999999999"/>
    <n v="-89.206100000000006"/>
    <n v="128.88"/>
    <n v="0"/>
    <n v="0"/>
    <n v="105"/>
    <s v="_x0000_US"/>
  </r>
  <r>
    <x v="4"/>
    <n v="13.688499999999999"/>
    <n v="-89.206100000000006"/>
    <n v="336.52"/>
    <n v="0"/>
    <n v="0"/>
    <n v="105"/>
    <s v="_x0000_US"/>
  </r>
  <r>
    <x v="4"/>
    <n v="13.6851"/>
    <n v="-89.206100000000006"/>
    <n v="794.76"/>
    <n v="0"/>
    <n v="0"/>
    <n v="105"/>
    <s v="_x0000_US"/>
  </r>
  <r>
    <x v="4"/>
    <n v="13.6914"/>
    <n v="-89.206100000000006"/>
    <n v="930.8"/>
    <n v="0"/>
    <n v="0"/>
    <n v="105"/>
    <s v="_x0000_US"/>
  </r>
  <r>
    <x v="4"/>
    <n v="13.6914"/>
    <n v="-89.206100000000006"/>
    <n v="1013.98"/>
    <n v="0"/>
    <n v="0"/>
    <n v="105"/>
    <s v="_x0000_US"/>
  </r>
  <r>
    <x v="4"/>
    <n v="13.6873"/>
    <n v="-89.206000000000003"/>
    <n v="687.16"/>
    <n v="0"/>
    <n v="0"/>
    <n v="105"/>
    <s v="_x0000_US"/>
  </r>
  <r>
    <x v="4"/>
    <n v="13.691599999999999"/>
    <n v="-89.206000000000003"/>
    <n v="873.52"/>
    <n v="0"/>
    <n v="0"/>
    <n v="105"/>
    <s v="_x0000_US"/>
  </r>
  <r>
    <x v="4"/>
    <n v="13.6889"/>
    <n v="-89.2059"/>
    <n v="200.48"/>
    <n v="0"/>
    <n v="0"/>
    <n v="105"/>
    <s v="_x0000_US"/>
  </r>
  <r>
    <x v="4"/>
    <n v="13.6892"/>
    <n v="-89.2059"/>
    <n v="214.8"/>
    <n v="0"/>
    <n v="0"/>
    <n v="105"/>
    <s v="_x0000_US"/>
  </r>
  <r>
    <x v="4"/>
    <n v="13.6919"/>
    <n v="-89.2059"/>
    <n v="558.48"/>
    <n v="0"/>
    <n v="0"/>
    <n v="105"/>
    <s v="_x0000_US"/>
  </r>
  <r>
    <x v="4"/>
    <n v="13.6883"/>
    <n v="-89.2059"/>
    <n v="1055.8800000000001"/>
    <n v="0"/>
    <n v="0"/>
    <n v="105"/>
    <s v="_x0000_US"/>
  </r>
  <r>
    <x v="4"/>
    <n v="13.686999999999999"/>
    <n v="-89.205799999999996"/>
    <n v="372.32"/>
    <n v="0"/>
    <n v="0"/>
    <n v="105"/>
    <s v="_x0000_US"/>
  </r>
  <r>
    <x v="4"/>
    <n v="13.6891"/>
    <n v="-89.205799999999996"/>
    <n v="393.86"/>
    <n v="0"/>
    <n v="0"/>
    <n v="105"/>
    <s v="_x0000_US"/>
  </r>
  <r>
    <x v="4"/>
    <n v="13.685600000000001"/>
    <n v="-89.205699999999993"/>
    <n v="286.39999999999998"/>
    <n v="0"/>
    <n v="0"/>
    <n v="105"/>
    <s v="_x0000_US"/>
  </r>
  <r>
    <x v="4"/>
    <n v="13.6877"/>
    <n v="-89.205699999999993"/>
    <n v="365.16"/>
    <n v="0"/>
    <n v="0"/>
    <n v="105"/>
    <s v="_x0000_US"/>
  </r>
  <r>
    <x v="4"/>
    <n v="13.685"/>
    <n v="-89.205699999999993"/>
    <n v="773.28"/>
    <n v="0"/>
    <n v="0"/>
    <n v="105"/>
    <s v="_x0000_US"/>
  </r>
  <r>
    <x v="4"/>
    <n v="13.686299999999999"/>
    <n v="-89.205699999999993"/>
    <n v="837.72"/>
    <n v="0"/>
    <n v="0"/>
    <n v="105"/>
    <s v="_x0000_US"/>
  </r>
  <r>
    <x v="4"/>
    <n v="13.6899"/>
    <n v="-89.205699999999993"/>
    <n v="1181.58"/>
    <n v="0"/>
    <n v="0"/>
    <n v="105"/>
    <s v="_x0000_US"/>
  </r>
  <r>
    <x v="4"/>
    <n v="13.6912"/>
    <n v="-89.205600000000004"/>
    <n v="142.46"/>
    <n v="0"/>
    <n v="0"/>
    <n v="105"/>
    <s v="_x0000_US"/>
  </r>
  <r>
    <x v="4"/>
    <n v="13.6913"/>
    <n v="-89.205600000000004"/>
    <n v="234.64"/>
    <n v="0"/>
    <n v="0"/>
    <n v="105"/>
    <s v="_x0000_US"/>
  </r>
  <r>
    <x v="4"/>
    <n v="13.6892"/>
    <n v="-89.205600000000004"/>
    <n v="236.28"/>
    <n v="0"/>
    <n v="0"/>
    <n v="105"/>
    <s v="_x0000_US"/>
  </r>
  <r>
    <x v="4"/>
    <n v="13.691700000000001"/>
    <n v="-89.205600000000004"/>
    <n v="268.16000000000003"/>
    <n v="0"/>
    <n v="0"/>
    <n v="105"/>
    <s v="_x0000_US"/>
  </r>
  <r>
    <x v="4"/>
    <n v="13.692"/>
    <n v="-89.205600000000004"/>
    <n v="276.54000000000002"/>
    <n v="0"/>
    <n v="0"/>
    <n v="105"/>
    <s v="_x0000_US"/>
  </r>
  <r>
    <x v="4"/>
    <n v="13.690799999999999"/>
    <n v="-89.205600000000004"/>
    <n v="578.22"/>
    <n v="0"/>
    <n v="0"/>
    <n v="105"/>
    <s v="_x0000_US"/>
  </r>
  <r>
    <x v="4"/>
    <n v="13.689299999999999"/>
    <n v="-89.205500000000001"/>
    <n v="121.72"/>
    <n v="0"/>
    <n v="0"/>
    <n v="105"/>
    <s v="_x0000_US"/>
  </r>
  <r>
    <x v="4"/>
    <n v="13.6845"/>
    <n v="-89.205500000000001"/>
    <n v="229.12"/>
    <n v="0"/>
    <n v="0"/>
    <n v="105"/>
    <s v="_x0000_US"/>
  </r>
  <r>
    <x v="4"/>
    <n v="13.690899999999999"/>
    <n v="-89.205500000000001"/>
    <n v="393.8"/>
    <n v="0"/>
    <n v="0"/>
    <n v="105"/>
    <s v="_x0000_US"/>
  </r>
  <r>
    <x v="4"/>
    <n v="13.6907"/>
    <n v="-89.205500000000001"/>
    <n v="408.12"/>
    <n v="0"/>
    <n v="0"/>
    <n v="105"/>
    <s v="_x0000_US"/>
  </r>
  <r>
    <x v="4"/>
    <n v="13.6873"/>
    <n v="-89.205500000000001"/>
    <n v="587.12"/>
    <n v="0"/>
    <n v="0"/>
    <n v="105"/>
    <s v="_x0000_US"/>
  </r>
  <r>
    <x v="4"/>
    <n v="13.6915"/>
    <n v="-89.205399999999997"/>
    <n v="257.76"/>
    <n v="0"/>
    <n v="0"/>
    <n v="105"/>
    <s v="_x0000_US"/>
  </r>
  <r>
    <x v="4"/>
    <n v="13.688000000000001"/>
    <n v="-89.205399999999997"/>
    <n v="601.44000000000005"/>
    <n v="0"/>
    <n v="0"/>
    <n v="105"/>
    <s v="_x0000_US"/>
  </r>
  <r>
    <x v="4"/>
    <n v="13.6859"/>
    <n v="-89.205399999999997"/>
    <n v="1310.28"/>
    <n v="0"/>
    <n v="0"/>
    <n v="105"/>
    <s v="_x0000_US"/>
  </r>
  <r>
    <x v="4"/>
    <n v="13.684200000000001"/>
    <n v="-89.205299999999994"/>
    <n v="171.84"/>
    <n v="0"/>
    <n v="0"/>
    <n v="105"/>
    <s v="_x0000_US"/>
  </r>
  <r>
    <x v="4"/>
    <n v="13.689399999999999"/>
    <n v="-89.205299999999994"/>
    <n v="329.36"/>
    <n v="0"/>
    <n v="0"/>
    <n v="105"/>
    <s v="_x0000_US"/>
  </r>
  <r>
    <x v="4"/>
    <n v="13.6869"/>
    <n v="-89.205299999999994"/>
    <n v="358"/>
    <n v="0"/>
    <n v="0"/>
    <n v="105"/>
    <s v="_x0000_US"/>
  </r>
  <r>
    <x v="4"/>
    <n v="13.6854"/>
    <n v="-89.205299999999994"/>
    <n v="379.48"/>
    <n v="0"/>
    <n v="0"/>
    <n v="105"/>
    <s v="_x0000_US"/>
  </r>
  <r>
    <x v="4"/>
    <n v="13.688800000000001"/>
    <n v="-89.205299999999994"/>
    <n v="737.48"/>
    <n v="0"/>
    <n v="0"/>
    <n v="105"/>
    <s v="_x0000_US"/>
  </r>
  <r>
    <x v="4"/>
    <n v="13.691000000000001"/>
    <n v="-89.205200000000005"/>
    <n v="221.96"/>
    <n v="0"/>
    <n v="0"/>
    <n v="105"/>
    <s v="_x0000_US"/>
  </r>
  <r>
    <x v="4"/>
    <n v="13.6876"/>
    <n v="-89.205200000000005"/>
    <n v="329.36"/>
    <n v="0"/>
    <n v="0"/>
    <n v="105"/>
    <s v="_x0000_US"/>
  </r>
  <r>
    <x v="4"/>
    <n v="13.690899999999999"/>
    <n v="-89.205100000000002"/>
    <n v="264.92"/>
    <n v="0"/>
    <n v="0"/>
    <n v="105"/>
    <s v="_x0000_US"/>
  </r>
  <r>
    <x v="4"/>
    <n v="13.6911"/>
    <n v="-89.205100000000002"/>
    <n v="415.28"/>
    <n v="0"/>
    <n v="0"/>
    <n v="105"/>
    <s v="_x0000_US"/>
  </r>
  <r>
    <x v="4"/>
    <n v="13.6892"/>
    <n v="-89.205100000000002"/>
    <n v="494.04"/>
    <n v="0"/>
    <n v="0"/>
    <n v="105"/>
    <s v="_x0000_US"/>
  </r>
  <r>
    <x v="4"/>
    <n v="13.687200000000001"/>
    <n v="-89.205100000000002"/>
    <n v="615.76"/>
    <n v="0"/>
    <n v="0"/>
    <n v="105"/>
    <s v="_x0000_US"/>
  </r>
  <r>
    <x v="4"/>
    <n v="13.691800000000001"/>
    <n v="-89.205100000000002"/>
    <n v="794.76"/>
    <n v="0"/>
    <n v="0"/>
    <n v="105"/>
    <s v="_x0000_US"/>
  </r>
  <r>
    <x v="4"/>
    <n v="13.6723"/>
    <n v="-89.204999999999998"/>
    <n v="7.16"/>
    <n v="0"/>
    <n v="0"/>
    <n v="105"/>
    <s v="_x0000_US"/>
  </r>
  <r>
    <x v="4"/>
    <n v="13.6868"/>
    <n v="-89.204999999999998"/>
    <n v="128.88"/>
    <n v="0"/>
    <n v="0"/>
    <n v="105"/>
    <s v="_x0000_US"/>
  </r>
  <r>
    <x v="4"/>
    <n v="13.691000000000001"/>
    <n v="-89.204999999999998"/>
    <n v="179"/>
    <n v="0"/>
    <n v="0"/>
    <n v="105"/>
    <s v="_x0000_US"/>
  </r>
  <r>
    <x v="4"/>
    <n v="13.6866"/>
    <n v="-89.204999999999998"/>
    <n v="400.96"/>
    <n v="0"/>
    <n v="0"/>
    <n v="105"/>
    <s v="_x0000_US"/>
  </r>
  <r>
    <x v="4"/>
    <n v="13.687900000000001"/>
    <n v="-89.204999999999998"/>
    <n v="451.08"/>
    <n v="0"/>
    <n v="0"/>
    <n v="105"/>
    <s v="_x0000_US"/>
  </r>
  <r>
    <x v="4"/>
    <n v="13.691599999999999"/>
    <n v="-89.204999999999998"/>
    <n v="565.64"/>
    <n v="0"/>
    <n v="0"/>
    <n v="105"/>
    <s v="_x0000_US"/>
  </r>
  <r>
    <x v="4"/>
    <n v="13.6722"/>
    <n v="-89.204899999999995"/>
    <n v="107.4"/>
    <n v="0"/>
    <n v="0"/>
    <n v="105"/>
    <s v="_x0000_US"/>
  </r>
  <r>
    <x v="4"/>
    <n v="13.6744"/>
    <n v="-89.204899999999995"/>
    <n v="167.6"/>
    <n v="0"/>
    <n v="0"/>
    <n v="105"/>
    <s v="_x0000_US"/>
  </r>
  <r>
    <x v="4"/>
    <n v="13.6889"/>
    <n v="-89.204899999999995"/>
    <n v="300.72000000000003"/>
    <n v="0"/>
    <n v="0"/>
    <n v="105"/>
    <s v="_x0000_US"/>
  </r>
  <r>
    <x v="4"/>
    <n v="13.6854"/>
    <n v="-89.204899999999995"/>
    <n v="415.28"/>
    <n v="0"/>
    <n v="0"/>
    <n v="105"/>
    <s v="_x0000_US"/>
  </r>
  <r>
    <x v="4"/>
    <n v="13.691700000000001"/>
    <n v="-89.204899999999995"/>
    <n v="1357.56"/>
    <n v="0"/>
    <n v="0"/>
    <n v="105"/>
    <s v="_x0000_US"/>
  </r>
  <r>
    <x v="4"/>
    <n v="13.6868"/>
    <n v="-89.204800000000006"/>
    <n v="157.52000000000001"/>
    <n v="0"/>
    <n v="0"/>
    <n v="105"/>
    <s v="_x0000_US"/>
  </r>
  <r>
    <x v="4"/>
    <n v="13.690899999999999"/>
    <n v="-89.204800000000006"/>
    <n v="171.84"/>
    <n v="0"/>
    <n v="0"/>
    <n v="105"/>
    <s v="_x0000_US"/>
  </r>
  <r>
    <x v="4"/>
    <n v="13.6905"/>
    <n v="-89.204800000000006"/>
    <n v="300.72000000000003"/>
    <n v="0"/>
    <n v="0"/>
    <n v="105"/>
    <s v="_x0000_US"/>
  </r>
  <r>
    <x v="4"/>
    <n v="13.6876"/>
    <n v="-89.204800000000006"/>
    <n v="322.2"/>
    <n v="0"/>
    <n v="0"/>
    <n v="105"/>
    <s v="_x0000_US"/>
  </r>
  <r>
    <x v="4"/>
    <n v="13.686299999999999"/>
    <n v="-89.204800000000006"/>
    <n v="579.96"/>
    <n v="0"/>
    <n v="0"/>
    <n v="105"/>
    <s v="_x0000_US"/>
  </r>
  <r>
    <x v="4"/>
    <n v="13.684200000000001"/>
    <n v="-89.204800000000006"/>
    <n v="1861.6"/>
    <n v="0"/>
    <n v="0"/>
    <n v="105"/>
    <s v="_x0000_US"/>
  </r>
  <r>
    <x v="4"/>
    <n v="13.690799999999999"/>
    <n v="-89.204700000000003"/>
    <n v="171.84"/>
    <n v="0"/>
    <n v="0"/>
    <n v="105"/>
    <s v="_x0000_US"/>
  </r>
  <r>
    <x v="4"/>
    <n v="13.672000000000001"/>
    <n v="-89.204700000000003"/>
    <n v="179"/>
    <n v="0"/>
    <n v="0"/>
    <n v="105"/>
    <s v="_x0000_US"/>
  </r>
  <r>
    <x v="4"/>
    <n v="13.6915"/>
    <n v="-89.204700000000003"/>
    <n v="193.32"/>
    <n v="0"/>
    <n v="0"/>
    <n v="105"/>
    <s v="_x0000_US"/>
  </r>
  <r>
    <x v="4"/>
    <n v="13.6883"/>
    <n v="-89.204700000000003"/>
    <n v="200.48"/>
    <n v="0"/>
    <n v="0"/>
    <n v="105"/>
    <s v="_x0000_US"/>
  </r>
  <r>
    <x v="4"/>
    <n v="13.688700000000001"/>
    <n v="-89.204700000000003"/>
    <n v="243.44"/>
    <n v="0"/>
    <n v="0"/>
    <n v="105"/>
    <s v="_x0000_US"/>
  </r>
  <r>
    <x v="4"/>
    <n v="13.688599999999999"/>
    <n v="-89.204700000000003"/>
    <n v="307.88"/>
    <n v="0"/>
    <n v="0"/>
    <n v="105"/>
    <s v="_x0000_US"/>
  </r>
  <r>
    <x v="4"/>
    <n v="13.686999999999999"/>
    <n v="-89.204700000000003"/>
    <n v="386.64"/>
    <n v="0"/>
    <n v="0"/>
    <n v="105"/>
    <s v="_x0000_US"/>
  </r>
  <r>
    <x v="4"/>
    <n v="13.6912"/>
    <n v="-89.204700000000003"/>
    <n v="415.28"/>
    <n v="0"/>
    <n v="0"/>
    <n v="105"/>
    <s v="_x0000_US"/>
  </r>
  <r>
    <x v="4"/>
    <n v="13.6747"/>
    <n v="-89.204700000000003"/>
    <n v="587.12"/>
    <n v="0"/>
    <n v="0"/>
    <n v="105"/>
    <s v="_x0000_US"/>
  </r>
  <r>
    <x v="4"/>
    <n v="13.674200000000001"/>
    <n v="-89.204700000000003"/>
    <n v="1055.8800000000001"/>
    <n v="0"/>
    <n v="0"/>
    <n v="105"/>
    <s v="_x0000_US"/>
  </r>
  <r>
    <x v="4"/>
    <n v="13.692"/>
    <n v="-89.204599999999999"/>
    <n v="136.04"/>
    <n v="0"/>
    <n v="0"/>
    <n v="105"/>
    <s v="_x0000_US"/>
  </r>
  <r>
    <x v="4"/>
    <n v="13.673400000000001"/>
    <n v="-89.204599999999999"/>
    <n v="200.48"/>
    <n v="0"/>
    <n v="0"/>
    <n v="105"/>
    <s v="_x0000_US"/>
  </r>
  <r>
    <x v="4"/>
    <n v="13.687200000000001"/>
    <n v="-89.204599999999999"/>
    <n v="200.48"/>
    <n v="0"/>
    <n v="0"/>
    <n v="105"/>
    <s v="_x0000_US"/>
  </r>
  <r>
    <x v="4"/>
    <n v="13.6874"/>
    <n v="-89.204599999999999"/>
    <n v="207.64"/>
    <n v="0"/>
    <n v="0"/>
    <n v="105"/>
    <s v="_x0000_US"/>
  </r>
  <r>
    <x v="4"/>
    <n v="13.6877"/>
    <n v="-89.204599999999999"/>
    <n v="229.12"/>
    <n v="0"/>
    <n v="0"/>
    <n v="105"/>
    <s v="_x0000_US"/>
  </r>
  <r>
    <x v="4"/>
    <n v="13.685600000000001"/>
    <n v="-89.204599999999999"/>
    <n v="358"/>
    <n v="0"/>
    <n v="0"/>
    <n v="105"/>
    <s v="_x0000_US"/>
  </r>
  <r>
    <x v="4"/>
    <n v="13.675000000000001"/>
    <n v="-89.204499999999996"/>
    <n v="28.64"/>
    <n v="0"/>
    <n v="0"/>
    <n v="105"/>
    <s v="_x0000_US"/>
  </r>
  <r>
    <x v="4"/>
    <n v="13.675000000000001"/>
    <n v="-89.204499999999996"/>
    <n v="93.08"/>
    <n v="0"/>
    <n v="0"/>
    <n v="105"/>
    <s v="_x0000_US"/>
  </r>
  <r>
    <x v="4"/>
    <n v="13.6875"/>
    <n v="-89.204499999999996"/>
    <n v="236.28"/>
    <n v="0"/>
    <n v="0"/>
    <n v="105"/>
    <s v="_x0000_US"/>
  </r>
  <r>
    <x v="4"/>
    <n v="13.6868"/>
    <n v="-89.204499999999996"/>
    <n v="315.04000000000002"/>
    <n v="0"/>
    <n v="0"/>
    <n v="105"/>
    <s v="_x0000_US"/>
  </r>
  <r>
    <x v="4"/>
    <n v="13.6731"/>
    <n v="-89.204499999999996"/>
    <n v="336.52"/>
    <n v="0"/>
    <n v="0"/>
    <n v="105"/>
    <s v="_x0000_US"/>
  </r>
  <r>
    <x v="4"/>
    <n v="13.6882"/>
    <n v="-89.204499999999996"/>
    <n v="358"/>
    <n v="0"/>
    <n v="0"/>
    <n v="105"/>
    <s v="_x0000_US"/>
  </r>
  <r>
    <x v="4"/>
    <n v="13.686"/>
    <n v="-89.204499999999996"/>
    <n v="365.16"/>
    <n v="0"/>
    <n v="0"/>
    <n v="105"/>
    <s v="_x0000_US"/>
  </r>
  <r>
    <x v="4"/>
    <n v="13.687099999999999"/>
    <n v="-89.204400000000007"/>
    <n v="114.56"/>
    <n v="0"/>
    <n v="0"/>
    <n v="105"/>
    <s v="_x0000_US"/>
  </r>
  <r>
    <x v="4"/>
    <n v="13.687200000000001"/>
    <n v="-89.204400000000007"/>
    <n v="193.32"/>
    <n v="0"/>
    <n v="0"/>
    <n v="105"/>
    <s v="_x0000_US"/>
  </r>
  <r>
    <x v="4"/>
    <n v="13.672000000000001"/>
    <n v="-89.204400000000007"/>
    <n v="315.04000000000002"/>
    <n v="0"/>
    <n v="0"/>
    <n v="105"/>
    <s v="_x0000_US"/>
  </r>
  <r>
    <x v="4"/>
    <n v="13.686500000000001"/>
    <n v="-89.204400000000007"/>
    <n v="443.92"/>
    <n v="0"/>
    <n v="0"/>
    <n v="105"/>
    <s v="_x0000_US"/>
  </r>
  <r>
    <x v="4"/>
    <n v="13.691800000000001"/>
    <n v="-89.204400000000007"/>
    <n v="465.4"/>
    <n v="0"/>
    <n v="0"/>
    <n v="105"/>
    <s v="_x0000_US"/>
  </r>
  <r>
    <x v="4"/>
    <n v="13.684799999999999"/>
    <n v="-89.204400000000007"/>
    <n v="1031.04"/>
    <n v="0"/>
    <n v="0"/>
    <n v="105"/>
    <s v="_x0000_US"/>
  </r>
  <r>
    <x v="4"/>
    <n v="13.6752"/>
    <n v="-89.204300000000003"/>
    <n v="121.72"/>
    <n v="0"/>
    <n v="0"/>
    <n v="105"/>
    <s v="_x0000_US"/>
  </r>
  <r>
    <x v="4"/>
    <n v="13.6881"/>
    <n v="-89.204300000000003"/>
    <n v="143.19999999999999"/>
    <n v="0"/>
    <n v="0"/>
    <n v="105"/>
    <s v="_x0000_US"/>
  </r>
  <r>
    <x v="4"/>
    <n v="13.6716"/>
    <n v="-89.204300000000003"/>
    <n v="150.36000000000001"/>
    <n v="0"/>
    <n v="0"/>
    <n v="105"/>
    <s v="_x0000_US"/>
  </r>
  <r>
    <x v="4"/>
    <n v="13.6751"/>
    <n v="-89.204300000000003"/>
    <n v="236.28"/>
    <n v="0"/>
    <n v="0"/>
    <n v="105"/>
    <s v="_x0000_US"/>
  </r>
  <r>
    <x v="4"/>
    <n v="13.674099999999999"/>
    <n v="-89.204300000000003"/>
    <n v="307.88"/>
    <n v="0"/>
    <n v="0"/>
    <n v="105"/>
    <s v="_x0000_US"/>
  </r>
  <r>
    <x v="4"/>
    <n v="13.6853"/>
    <n v="-89.204300000000003"/>
    <n v="479.72"/>
    <n v="0"/>
    <n v="0"/>
    <n v="105"/>
    <s v="_x0000_US"/>
  </r>
  <r>
    <x v="4"/>
    <n v="13.6739"/>
    <n v="-89.204300000000003"/>
    <n v="787.72"/>
    <n v="0"/>
    <n v="0"/>
    <n v="105"/>
    <s v="_x0000_US"/>
  </r>
  <r>
    <x v="4"/>
    <n v="13.690200000000001"/>
    <n v="-89.204300000000003"/>
    <n v="995.24"/>
    <n v="0"/>
    <n v="0"/>
    <n v="105"/>
    <s v="_x0000_US"/>
  </r>
  <r>
    <x v="4"/>
    <n v="13.672000000000001"/>
    <n v="-89.2042"/>
    <n v="136.04"/>
    <n v="0"/>
    <n v="0"/>
    <n v="105"/>
    <s v="_x0000_US"/>
  </r>
  <r>
    <x v="4"/>
    <n v="13.6716"/>
    <n v="-89.2042"/>
    <n v="157.52000000000001"/>
    <n v="0"/>
    <n v="0"/>
    <n v="105"/>
    <s v="_x0000_US"/>
  </r>
  <r>
    <x v="4"/>
    <n v="13.6721"/>
    <n v="-89.2042"/>
    <n v="171.84"/>
    <n v="0"/>
    <n v="0"/>
    <n v="105"/>
    <s v="_x0000_US"/>
  </r>
  <r>
    <x v="4"/>
    <n v="13.6744"/>
    <n v="-89.2042"/>
    <n v="372.32"/>
    <n v="0"/>
    <n v="0"/>
    <n v="105"/>
    <s v="_x0000_US"/>
  </r>
  <r>
    <x v="4"/>
    <n v="13.690899999999999"/>
    <n v="-89.2042"/>
    <n v="758.96"/>
    <n v="0"/>
    <n v="0"/>
    <n v="105"/>
    <s v="_x0000_US"/>
  </r>
  <r>
    <x v="4"/>
    <n v="13.6914"/>
    <n v="-89.2042"/>
    <n v="758.96"/>
    <n v="0"/>
    <n v="0"/>
    <n v="105"/>
    <s v="_x0000_US"/>
  </r>
  <r>
    <x v="4"/>
    <n v="13.675599999999999"/>
    <n v="-89.204099999999997"/>
    <n v="7.16"/>
    <n v="0"/>
    <n v="0"/>
    <n v="105"/>
    <s v="_x0000_US"/>
  </r>
  <r>
    <x v="4"/>
    <n v="13.674200000000001"/>
    <n v="-89.204099999999997"/>
    <n v="14.32"/>
    <n v="0"/>
    <n v="0"/>
    <n v="105"/>
    <s v="_x0000_US"/>
  </r>
  <r>
    <x v="4"/>
    <n v="13.675599999999999"/>
    <n v="-89.204099999999997"/>
    <n v="14.32"/>
    <n v="0"/>
    <n v="0"/>
    <n v="105"/>
    <s v="_x0000_US"/>
  </r>
  <r>
    <x v="4"/>
    <n v="13.674300000000001"/>
    <n v="-89.204099999999997"/>
    <n v="121.72"/>
    <n v="0"/>
    <n v="0"/>
    <n v="105"/>
    <s v="_x0000_US"/>
  </r>
  <r>
    <x v="4"/>
    <n v="13.6858"/>
    <n v="-89.204099999999997"/>
    <n v="186.16"/>
    <n v="0"/>
    <n v="0"/>
    <n v="105"/>
    <s v="_x0000_US"/>
  </r>
  <r>
    <x v="4"/>
    <n v="13.687799999999999"/>
    <n v="-89.204099999999997"/>
    <n v="587.12"/>
    <n v="0"/>
    <n v="0"/>
    <n v="105"/>
    <s v="_x0000_US"/>
  </r>
  <r>
    <x v="4"/>
    <n v="13.6744"/>
    <n v="-89.203999999999994"/>
    <n v="214.8"/>
    <n v="0"/>
    <n v="0"/>
    <n v="105"/>
    <s v="_x0000_US"/>
  </r>
  <r>
    <x v="4"/>
    <n v="13.6723"/>
    <n v="-89.203999999999994"/>
    <n v="236.28"/>
    <n v="0"/>
    <n v="0"/>
    <n v="105"/>
    <s v="_x0000_US"/>
  </r>
  <r>
    <x v="4"/>
    <n v="13.672000000000001"/>
    <n v="-89.203999999999994"/>
    <n v="286.39999999999998"/>
    <n v="0"/>
    <n v="0"/>
    <n v="105"/>
    <s v="_x0000_US"/>
  </r>
  <r>
    <x v="4"/>
    <n v="13.686"/>
    <n v="-89.203999999999994"/>
    <n v="358"/>
    <n v="0"/>
    <n v="0"/>
    <n v="105"/>
    <s v="_x0000_US"/>
  </r>
  <r>
    <x v="4"/>
    <n v="13.680999999999999"/>
    <n v="-89.203900000000004"/>
    <n v="14.32"/>
    <n v="0"/>
    <n v="0"/>
    <n v="105"/>
    <s v="_x0000_US"/>
  </r>
  <r>
    <x v="4"/>
    <n v="13.680999999999999"/>
    <n v="-89.203900000000004"/>
    <n v="21.48"/>
    <n v="0"/>
    <n v="0"/>
    <n v="105"/>
    <s v="_x0000_US"/>
  </r>
  <r>
    <x v="4"/>
    <n v="13.674300000000001"/>
    <n v="-89.203900000000004"/>
    <n v="85.92"/>
    <n v="0"/>
    <n v="0"/>
    <n v="105"/>
    <s v="_x0000_US"/>
  </r>
  <r>
    <x v="4"/>
    <n v="13.6744"/>
    <n v="-89.203900000000004"/>
    <n v="179"/>
    <n v="0"/>
    <n v="0"/>
    <n v="105"/>
    <s v="_x0000_US"/>
  </r>
  <r>
    <x v="4"/>
    <n v="13.676600000000001"/>
    <n v="-89.203900000000004"/>
    <n v="200.48"/>
    <n v="0"/>
    <n v="0"/>
    <n v="105"/>
    <s v="_x0000_US"/>
  </r>
  <r>
    <x v="4"/>
    <n v="13.675800000000001"/>
    <n v="-89.203900000000004"/>
    <n v="307.88"/>
    <n v="0"/>
    <n v="0"/>
    <n v="105"/>
    <s v="_x0000_US"/>
  </r>
  <r>
    <x v="4"/>
    <n v="13.6873"/>
    <n v="-89.203900000000004"/>
    <n v="307.88"/>
    <n v="0"/>
    <n v="0"/>
    <n v="105"/>
    <s v="_x0000_US"/>
  </r>
  <r>
    <x v="4"/>
    <n v="13.683299999999999"/>
    <n v="-89.203900000000004"/>
    <n v="336.52"/>
    <n v="0"/>
    <n v="0"/>
    <n v="105"/>
    <s v="_x0000_US"/>
  </r>
  <r>
    <x v="4"/>
    <n v="13.6739"/>
    <n v="-89.203900000000004"/>
    <n v="365.16"/>
    <n v="0"/>
    <n v="0"/>
    <n v="105"/>
    <s v="_x0000_US"/>
  </r>
  <r>
    <x v="4"/>
    <n v="13.688700000000001"/>
    <n v="-89.203900000000004"/>
    <n v="379.48"/>
    <n v="0"/>
    <n v="0"/>
    <n v="105"/>
    <s v="_x0000_US"/>
  </r>
  <r>
    <x v="4"/>
    <n v="13.6753"/>
    <n v="-89.203900000000004"/>
    <n v="758.96"/>
    <n v="0"/>
    <n v="0"/>
    <n v="105"/>
    <s v="_x0000_US"/>
  </r>
  <r>
    <x v="4"/>
    <n v="13.6736"/>
    <n v="-89.203900000000004"/>
    <n v="888.28"/>
    <n v="0"/>
    <n v="0"/>
    <n v="105"/>
    <s v="_x0000_US"/>
  </r>
  <r>
    <x v="4"/>
    <n v="13.673"/>
    <n v="-89.203900000000004"/>
    <n v="973.76"/>
    <n v="0"/>
    <n v="0"/>
    <n v="105"/>
    <s v="_x0000_US"/>
  </r>
  <r>
    <x v="4"/>
    <n v="13.6767"/>
    <n v="-89.203800000000001"/>
    <n v="93.08"/>
    <n v="0"/>
    <n v="0"/>
    <n v="105"/>
    <s v="_x0000_US"/>
  </r>
  <r>
    <x v="4"/>
    <n v="13.6744"/>
    <n v="-89.203800000000001"/>
    <n v="121.72"/>
    <n v="0"/>
    <n v="0"/>
    <n v="105"/>
    <s v="_x0000_US"/>
  </r>
  <r>
    <x v="4"/>
    <n v="13.681699999999999"/>
    <n v="-89.203800000000001"/>
    <n v="200.48"/>
    <n v="0"/>
    <n v="0"/>
    <n v="105"/>
    <s v="_x0000_US"/>
  </r>
  <r>
    <x v="4"/>
    <n v="13.674200000000001"/>
    <n v="-89.203800000000001"/>
    <n v="300.72000000000003"/>
    <n v="0"/>
    <n v="0"/>
    <n v="105"/>
    <s v="_x0000_US"/>
  </r>
  <r>
    <x v="4"/>
    <n v="13.6858"/>
    <n v="-89.203800000000001"/>
    <n v="350.84"/>
    <n v="0"/>
    <n v="0"/>
    <n v="105"/>
    <s v="_x0000_US"/>
  </r>
  <r>
    <x v="4"/>
    <n v="13.69"/>
    <n v="-89.203800000000001"/>
    <n v="386.64"/>
    <n v="0"/>
    <n v="0"/>
    <n v="105"/>
    <s v="_x0000_US"/>
  </r>
  <r>
    <x v="4"/>
    <n v="13.6906"/>
    <n v="-89.203800000000001"/>
    <n v="429.6"/>
    <n v="0"/>
    <n v="0"/>
    <n v="105"/>
    <s v="_x0000_US"/>
  </r>
  <r>
    <x v="4"/>
    <n v="13.6717"/>
    <n v="-89.203800000000001"/>
    <n v="572.79999999999995"/>
    <n v="0"/>
    <n v="0"/>
    <n v="105"/>
    <s v="_x0000_US"/>
  </r>
  <r>
    <x v="4"/>
    <n v="13.6881"/>
    <n v="-89.203800000000001"/>
    <n v="572.79999999999995"/>
    <n v="0"/>
    <n v="0"/>
    <n v="105"/>
    <s v="_x0000_US"/>
  </r>
  <r>
    <x v="4"/>
    <n v="13.686500000000001"/>
    <n v="-89.203800000000001"/>
    <n v="916.48"/>
    <n v="0"/>
    <n v="0"/>
    <n v="105"/>
    <s v="_x0000_US"/>
  </r>
  <r>
    <x v="4"/>
    <n v="13.682499999999999"/>
    <n v="-89.203699999999998"/>
    <n v="85.92"/>
    <n v="0"/>
    <n v="0"/>
    <n v="105"/>
    <s v="_x0000_US"/>
  </r>
  <r>
    <x v="4"/>
    <n v="13.673999999999999"/>
    <n v="-89.203699999999998"/>
    <n v="100.24"/>
    <n v="0"/>
    <n v="0"/>
    <n v="105"/>
    <s v="_x0000_US"/>
  </r>
  <r>
    <x v="4"/>
    <n v="13.6914"/>
    <n v="-89.203699999999998"/>
    <n v="128.88"/>
    <n v="0"/>
    <n v="0"/>
    <n v="105"/>
    <s v="_x0000_US"/>
  </r>
  <r>
    <x v="4"/>
    <n v="13.674799999999999"/>
    <n v="-89.203699999999998"/>
    <n v="136.04"/>
    <n v="0"/>
    <n v="0"/>
    <n v="105"/>
    <s v="_x0000_US"/>
  </r>
  <r>
    <x v="4"/>
    <n v="13.6823"/>
    <n v="-89.203699999999998"/>
    <n v="250.6"/>
    <n v="0"/>
    <n v="0"/>
    <n v="105"/>
    <s v="_x0000_US"/>
  </r>
  <r>
    <x v="4"/>
    <n v="13.6845"/>
    <n v="-89.203699999999998"/>
    <n v="307.88"/>
    <n v="0"/>
    <n v="0"/>
    <n v="105"/>
    <s v="_x0000_US"/>
  </r>
  <r>
    <x v="4"/>
    <n v="13.681900000000001"/>
    <n v="-89.203699999999998"/>
    <n v="372.32"/>
    <n v="0"/>
    <n v="0"/>
    <n v="105"/>
    <s v="_x0000_US"/>
  </r>
  <r>
    <x v="4"/>
    <n v="13.6738"/>
    <n v="-89.203699999999998"/>
    <n v="379.48"/>
    <n v="0"/>
    <n v="0"/>
    <n v="105"/>
    <s v="_x0000_US"/>
  </r>
  <r>
    <x v="4"/>
    <n v="13.683400000000001"/>
    <n v="-89.203699999999998"/>
    <n v="393.8"/>
    <n v="0"/>
    <n v="0"/>
    <n v="105"/>
    <s v="_x0000_US"/>
  </r>
  <r>
    <x v="4"/>
    <n v="13.6911"/>
    <n v="-89.203699999999998"/>
    <n v="422.44"/>
    <n v="0"/>
    <n v="0"/>
    <n v="105"/>
    <s v="_x0000_US"/>
  </r>
  <r>
    <x v="4"/>
    <n v="13.6813"/>
    <n v="-89.203699999999998"/>
    <n v="579.96"/>
    <n v="0"/>
    <n v="0"/>
    <n v="105"/>
    <s v="_x0000_US"/>
  </r>
  <r>
    <x v="4"/>
    <n v="13.6739"/>
    <n v="-89.203599999999994"/>
    <n v="143.19999999999999"/>
    <n v="0"/>
    <n v="0"/>
    <n v="105"/>
    <s v="_x0000_US"/>
  </r>
  <r>
    <x v="4"/>
    <n v="13.677"/>
    <n v="-89.203599999999994"/>
    <n v="193.32"/>
    <n v="0"/>
    <n v="0"/>
    <n v="105"/>
    <s v="_x0000_US"/>
  </r>
  <r>
    <x v="4"/>
    <n v="13.6768"/>
    <n v="-89.203599999999994"/>
    <n v="307.88"/>
    <n v="0"/>
    <n v="0"/>
    <n v="105"/>
    <s v="_x0000_US"/>
  </r>
  <r>
    <x v="4"/>
    <n v="13.676500000000001"/>
    <n v="-89.203599999999994"/>
    <n v="365.16"/>
    <n v="0"/>
    <n v="0"/>
    <n v="105"/>
    <s v="_x0000_US"/>
  </r>
  <r>
    <x v="4"/>
    <n v="13.6717"/>
    <n v="-89.203599999999994"/>
    <n v="386.64"/>
    <n v="0"/>
    <n v="0"/>
    <n v="105"/>
    <s v="_x0000_US"/>
  </r>
  <r>
    <x v="4"/>
    <n v="13.676"/>
    <n v="-89.203599999999994"/>
    <n v="537"/>
    <n v="0"/>
    <n v="0"/>
    <n v="105"/>
    <s v="_x0000_US"/>
  </r>
  <r>
    <x v="4"/>
    <n v="13.672700000000001"/>
    <n v="-89.203599999999994"/>
    <n v="594.28"/>
    <n v="0"/>
    <n v="0"/>
    <n v="105"/>
    <s v="_x0000_US"/>
  </r>
  <r>
    <x v="4"/>
    <n v="13.6853"/>
    <n v="-89.203599999999994"/>
    <n v="673.04"/>
    <n v="0"/>
    <n v="0"/>
    <n v="105"/>
    <s v="_x0000_US"/>
  </r>
  <r>
    <x v="4"/>
    <n v="13.672000000000001"/>
    <n v="-89.203599999999994"/>
    <n v="751.8"/>
    <n v="0"/>
    <n v="0"/>
    <n v="105"/>
    <s v="_x0000_US"/>
  </r>
  <r>
    <x v="4"/>
    <n v="13.677199999999999"/>
    <n v="-89.203500000000005"/>
    <n v="14.32"/>
    <n v="0"/>
    <n v="0"/>
    <n v="105"/>
    <s v="_x0000_US"/>
  </r>
  <r>
    <x v="4"/>
    <n v="13.6751"/>
    <n v="-89.203500000000005"/>
    <n v="143.19999999999999"/>
    <n v="0"/>
    <n v="0"/>
    <n v="105"/>
    <s v="_x0000_US"/>
  </r>
  <r>
    <x v="4"/>
    <n v="13.677099999999999"/>
    <n v="-89.203500000000005"/>
    <n v="207.64"/>
    <n v="0"/>
    <n v="0"/>
    <n v="105"/>
    <s v="_x0000_US"/>
  </r>
  <r>
    <x v="4"/>
    <n v="13.6747"/>
    <n v="-89.203500000000005"/>
    <n v="272.08"/>
    <n v="0"/>
    <n v="0"/>
    <n v="105"/>
    <s v="_x0000_US"/>
  </r>
  <r>
    <x v="4"/>
    <n v="13.6737"/>
    <n v="-89.203500000000005"/>
    <n v="322.2"/>
    <n v="0"/>
    <n v="0"/>
    <n v="105"/>
    <s v="_x0000_US"/>
  </r>
  <r>
    <x v="4"/>
    <n v="13.684200000000001"/>
    <n v="-89.203500000000005"/>
    <n v="336.52"/>
    <n v="0"/>
    <n v="0"/>
    <n v="105"/>
    <s v="_x0000_US"/>
  </r>
  <r>
    <x v="4"/>
    <n v="13.686"/>
    <n v="-89.203500000000005"/>
    <n v="393.8"/>
    <n v="0"/>
    <n v="0"/>
    <n v="105"/>
    <s v="_x0000_US"/>
  </r>
  <r>
    <x v="4"/>
    <n v="13.673500000000001"/>
    <n v="-89.203500000000005"/>
    <n v="502.8"/>
    <n v="0"/>
    <n v="0"/>
    <n v="105"/>
    <s v="_x0000_US"/>
  </r>
  <r>
    <x v="4"/>
    <n v="13.6896"/>
    <n v="-89.203500000000005"/>
    <n v="608.6"/>
    <n v="0"/>
    <n v="0"/>
    <n v="105"/>
    <s v="_x0000_US"/>
  </r>
  <r>
    <x v="4"/>
    <n v="13.686999999999999"/>
    <n v="-89.203500000000005"/>
    <n v="651.55999999999995"/>
    <n v="0"/>
    <n v="0"/>
    <n v="105"/>
    <s v="_x0000_US"/>
  </r>
  <r>
    <x v="4"/>
    <n v="13.6746"/>
    <n v="-89.203400000000002"/>
    <n v="93.08"/>
    <n v="0"/>
    <n v="0"/>
    <n v="105"/>
    <s v="_x0000_US"/>
  </r>
  <r>
    <x v="4"/>
    <n v="13.677"/>
    <n v="-89.203400000000002"/>
    <n v="114.56"/>
    <n v="0"/>
    <n v="0"/>
    <n v="105"/>
    <s v="_x0000_US"/>
  </r>
  <r>
    <x v="4"/>
    <n v="13.6739"/>
    <n v="-89.203400000000002"/>
    <n v="179"/>
    <n v="0"/>
    <n v="0"/>
    <n v="105"/>
    <s v="_x0000_US"/>
  </r>
  <r>
    <x v="4"/>
    <n v="13.6762"/>
    <n v="-89.203400000000002"/>
    <n v="200.48"/>
    <n v="0"/>
    <n v="0"/>
    <n v="105"/>
    <s v="_x0000_US"/>
  </r>
  <r>
    <x v="4"/>
    <n v="13.6752"/>
    <n v="-89.203400000000002"/>
    <n v="207.64"/>
    <n v="0"/>
    <n v="0"/>
    <n v="105"/>
    <s v="_x0000_US"/>
  </r>
  <r>
    <x v="4"/>
    <n v="13.676"/>
    <n v="-89.203400000000002"/>
    <n v="329.36"/>
    <n v="0"/>
    <n v="0"/>
    <n v="105"/>
    <s v="_x0000_US"/>
  </r>
  <r>
    <x v="4"/>
    <n v="13.6821"/>
    <n v="-89.203400000000002"/>
    <n v="350.84"/>
    <n v="0"/>
    <n v="0"/>
    <n v="105"/>
    <s v="_x0000_US"/>
  </r>
  <r>
    <x v="4"/>
    <n v="13.690799999999999"/>
    <n v="-89.203400000000002"/>
    <n v="458.24"/>
    <n v="0"/>
    <n v="0"/>
    <n v="105"/>
    <s v="_x0000_US"/>
  </r>
  <r>
    <x v="4"/>
    <n v="13.6874"/>
    <n v="-89.203400000000002"/>
    <n v="665.88"/>
    <n v="0"/>
    <n v="0"/>
    <n v="105"/>
    <s v="_x0000_US"/>
  </r>
  <r>
    <x v="4"/>
    <n v="13.688499999999999"/>
    <n v="-89.203400000000002"/>
    <n v="723.16"/>
    <n v="0"/>
    <n v="0"/>
    <n v="105"/>
    <s v="_x0000_US"/>
  </r>
  <r>
    <x v="4"/>
    <n v="13.677899999999999"/>
    <n v="-89.203299999999999"/>
    <n v="50.12"/>
    <n v="0"/>
    <n v="0"/>
    <n v="105"/>
    <s v="_x0000_US"/>
  </r>
  <r>
    <x v="4"/>
    <n v="13.6769"/>
    <n v="-89.203299999999999"/>
    <n v="57.28"/>
    <n v="0"/>
    <n v="0"/>
    <n v="105"/>
    <s v="_x0000_US"/>
  </r>
  <r>
    <x v="4"/>
    <n v="13.677"/>
    <n v="-89.203299999999999"/>
    <n v="114.56"/>
    <n v="0"/>
    <n v="0"/>
    <n v="105"/>
    <s v="_x0000_US"/>
  </r>
  <r>
    <x v="4"/>
    <n v="13.6778"/>
    <n v="-89.203299999999999"/>
    <n v="150.36000000000001"/>
    <n v="0"/>
    <n v="0"/>
    <n v="105"/>
    <s v="_x0000_US"/>
  </r>
  <r>
    <x v="4"/>
    <n v="13.6739"/>
    <n v="-89.203299999999999"/>
    <n v="243.44"/>
    <n v="0"/>
    <n v="0"/>
    <n v="105"/>
    <s v="_x0000_US"/>
  </r>
  <r>
    <x v="4"/>
    <n v="13.6843"/>
    <n v="-89.203299999999999"/>
    <n v="307.88"/>
    <n v="0"/>
    <n v="0"/>
    <n v="105"/>
    <s v="_x0000_US"/>
  </r>
  <r>
    <x v="4"/>
    <n v="13.673400000000001"/>
    <n v="-89.203299999999999"/>
    <n v="486.04"/>
    <n v="0"/>
    <n v="0"/>
    <n v="105"/>
    <s v="_x0000_US"/>
  </r>
  <r>
    <x v="4"/>
    <n v="13.675599999999999"/>
    <n v="-89.203299999999999"/>
    <n v="622.91999999999996"/>
    <n v="0"/>
    <n v="0"/>
    <n v="105"/>
    <s v="_x0000_US"/>
  </r>
  <r>
    <x v="4"/>
    <n v="13.6752"/>
    <n v="-89.203199999999995"/>
    <n v="78.760000000000005"/>
    <n v="0"/>
    <n v="0"/>
    <n v="105"/>
    <s v="_x0000_US"/>
  </r>
  <r>
    <x v="4"/>
    <n v="13.678800000000001"/>
    <n v="-89.203199999999995"/>
    <n v="128.88"/>
    <n v="0"/>
    <n v="0"/>
    <n v="105"/>
    <s v="_x0000_US"/>
  </r>
  <r>
    <x v="4"/>
    <n v="13.678599999999999"/>
    <n v="-89.203199999999995"/>
    <n v="171.84"/>
    <n v="0"/>
    <n v="0"/>
    <n v="105"/>
    <s v="_x0000_US"/>
  </r>
  <r>
    <x v="4"/>
    <n v="13.6761"/>
    <n v="-89.203199999999995"/>
    <n v="200.48"/>
    <n v="0"/>
    <n v="0"/>
    <n v="105"/>
    <s v="_x0000_US"/>
  </r>
  <r>
    <x v="4"/>
    <n v="13.681800000000001"/>
    <n v="-89.203199999999995"/>
    <n v="494.04"/>
    <n v="0"/>
    <n v="0"/>
    <n v="105"/>
    <s v="_x0000_US"/>
  </r>
  <r>
    <x v="4"/>
    <n v="13.674799999999999"/>
    <n v="-89.203199999999995"/>
    <n v="744.64"/>
    <n v="0"/>
    <n v="0"/>
    <n v="105"/>
    <s v="_x0000_US"/>
  </r>
  <r>
    <x v="4"/>
    <n v="13.690200000000001"/>
    <n v="-89.203199999999995"/>
    <n v="844.88"/>
    <n v="0"/>
    <n v="0"/>
    <n v="105"/>
    <s v="_x0000_US"/>
  </r>
  <r>
    <x v="4"/>
    <n v="13.690799999999999"/>
    <n v="-89.203100000000006"/>
    <n v="14.32"/>
    <n v="0"/>
    <n v="0"/>
    <n v="105"/>
    <s v="_x0000_US"/>
  </r>
  <r>
    <x v="4"/>
    <n v="13.690799999999999"/>
    <n v="-89.203100000000006"/>
    <n v="28.64"/>
    <n v="0"/>
    <n v="0"/>
    <n v="105"/>
    <s v="_x0000_US"/>
  </r>
  <r>
    <x v="4"/>
    <n v="13.680300000000001"/>
    <n v="-89.203100000000006"/>
    <n v="121.72"/>
    <n v="0"/>
    <n v="0"/>
    <n v="105"/>
    <s v="_x0000_US"/>
  </r>
  <r>
    <x v="4"/>
    <n v="13.6752"/>
    <n v="-89.203100000000006"/>
    <n v="171.84"/>
    <n v="0"/>
    <n v="0"/>
    <n v="105"/>
    <s v="_x0000_US"/>
  </r>
  <r>
    <x v="4"/>
    <n v="13.673500000000001"/>
    <n v="-89.203100000000006"/>
    <n v="207.64"/>
    <n v="0"/>
    <n v="0"/>
    <n v="105"/>
    <s v="_x0000_US"/>
  </r>
  <r>
    <x v="4"/>
    <n v="13.6897"/>
    <n v="-89.203100000000006"/>
    <n v="214.8"/>
    <n v="0"/>
    <n v="0"/>
    <n v="105"/>
    <s v="_x0000_US"/>
  </r>
  <r>
    <x v="4"/>
    <n v="13.6739"/>
    <n v="-89.203100000000006"/>
    <n v="264.92"/>
    <n v="0"/>
    <n v="0"/>
    <n v="105"/>
    <s v="_x0000_US"/>
  </r>
  <r>
    <x v="4"/>
    <n v="13.6778"/>
    <n v="-89.203100000000006"/>
    <n v="279.24"/>
    <n v="0"/>
    <n v="0"/>
    <n v="105"/>
    <s v="_x0000_US"/>
  </r>
  <r>
    <x v="4"/>
    <n v="13.6768"/>
    <n v="-89.203100000000006"/>
    <n v="300.72000000000003"/>
    <n v="0"/>
    <n v="0"/>
    <n v="105"/>
    <s v="_x0000_US"/>
  </r>
  <r>
    <x v="4"/>
    <n v="13.6823"/>
    <n v="-89.203100000000006"/>
    <n v="343.68"/>
    <n v="0"/>
    <n v="0"/>
    <n v="105"/>
    <s v="_x0000_US"/>
  </r>
  <r>
    <x v="4"/>
    <n v="13.6746"/>
    <n v="-89.203100000000006"/>
    <n v="436.76"/>
    <n v="0"/>
    <n v="0"/>
    <n v="105"/>
    <s v="_x0000_US"/>
  </r>
  <r>
    <x v="4"/>
    <n v="13.6732"/>
    <n v="-89.203100000000006"/>
    <n v="479.72"/>
    <n v="0"/>
    <n v="0"/>
    <n v="105"/>
    <s v="_x0000_US"/>
  </r>
  <r>
    <x v="4"/>
    <n v="13.677300000000001"/>
    <n v="-89.203100000000006"/>
    <n v="708.84"/>
    <n v="0"/>
    <n v="0"/>
    <n v="105"/>
    <s v="_x0000_US"/>
  </r>
  <r>
    <x v="4"/>
    <n v="13.6768"/>
    <n v="-89.203000000000003"/>
    <n v="150.36000000000001"/>
    <n v="0"/>
    <n v="0"/>
    <n v="105"/>
    <s v="_x0000_US"/>
  </r>
  <r>
    <x v="4"/>
    <n v="13.673999999999999"/>
    <n v="-89.203000000000003"/>
    <n v="164.68"/>
    <n v="0"/>
    <n v="0"/>
    <n v="105"/>
    <s v="_x0000_US"/>
  </r>
  <r>
    <x v="4"/>
    <n v="13.6759"/>
    <n v="-89.203000000000003"/>
    <n v="214.8"/>
    <n v="0"/>
    <n v="0"/>
    <n v="105"/>
    <s v="_x0000_US"/>
  </r>
  <r>
    <x v="4"/>
    <n v="13.677"/>
    <n v="-89.203000000000003"/>
    <n v="293.56"/>
    <n v="0"/>
    <n v="0"/>
    <n v="105"/>
    <s v="_x0000_US"/>
  </r>
  <r>
    <x v="4"/>
    <n v="13.687099999999999"/>
    <n v="-89.203000000000003"/>
    <n v="329.36"/>
    <n v="0"/>
    <n v="0"/>
    <n v="105"/>
    <s v="_x0000_US"/>
  </r>
  <r>
    <x v="4"/>
    <n v="13.673400000000001"/>
    <n v="-89.203000000000003"/>
    <n v="385.48"/>
    <n v="0"/>
    <n v="0"/>
    <n v="105"/>
    <s v="_x0000_US"/>
  </r>
  <r>
    <x v="4"/>
    <n v="13.6843"/>
    <n v="-89.203000000000003"/>
    <n v="429.6"/>
    <n v="0"/>
    <n v="0"/>
    <n v="105"/>
    <s v="_x0000_US"/>
  </r>
  <r>
    <x v="4"/>
    <n v="13.6846"/>
    <n v="-89.203000000000003"/>
    <n v="501.2"/>
    <n v="0"/>
    <n v="0"/>
    <n v="105"/>
    <s v="_x0000_US"/>
  </r>
  <r>
    <x v="4"/>
    <n v="13.6783"/>
    <n v="-89.203000000000003"/>
    <n v="708.84"/>
    <n v="0"/>
    <n v="0"/>
    <n v="105"/>
    <s v="_x0000_US"/>
  </r>
  <r>
    <x v="4"/>
    <n v="13.676399999999999"/>
    <n v="-89.203000000000003"/>
    <n v="801.92"/>
    <n v="0"/>
    <n v="0"/>
    <n v="105"/>
    <s v="_x0000_US"/>
  </r>
  <r>
    <x v="4"/>
    <n v="13.685499999999999"/>
    <n v="-89.203000000000003"/>
    <n v="1009.56"/>
    <n v="0"/>
    <n v="0"/>
    <n v="105"/>
    <s v="_x0000_US"/>
  </r>
  <r>
    <x v="4"/>
    <n v="13.6835"/>
    <n v="-89.203000000000003"/>
    <n v="1109.8"/>
    <n v="0"/>
    <n v="0"/>
    <n v="105"/>
    <s v="_x0000_US"/>
  </r>
  <r>
    <x v="4"/>
    <n v="13.689"/>
    <n v="-89.203000000000003"/>
    <n v="1310.28"/>
    <n v="0"/>
    <n v="0"/>
    <n v="105"/>
    <s v="_x0000_US"/>
  </r>
  <r>
    <x v="4"/>
    <n v="13.6739"/>
    <n v="-89.2029"/>
    <n v="21.48"/>
    <n v="0"/>
    <n v="0"/>
    <n v="105"/>
    <s v="_x0000_US"/>
  </r>
  <r>
    <x v="4"/>
    <n v="13.6739"/>
    <n v="-89.2029"/>
    <n v="42.96"/>
    <n v="0"/>
    <n v="0"/>
    <n v="105"/>
    <s v="_x0000_US"/>
  </r>
  <r>
    <x v="4"/>
    <n v="13.6739"/>
    <n v="-89.2029"/>
    <n v="42.96"/>
    <n v="0"/>
    <n v="0"/>
    <n v="105"/>
    <s v="_x0000_US"/>
  </r>
  <r>
    <x v="4"/>
    <n v="13.6767"/>
    <n v="-89.2029"/>
    <n v="42.96"/>
    <n v="0"/>
    <n v="0"/>
    <n v="105"/>
    <s v="_x0000_US"/>
  </r>
  <r>
    <x v="4"/>
    <n v="13.6739"/>
    <n v="-89.2029"/>
    <n v="93.08"/>
    <n v="0"/>
    <n v="0"/>
    <n v="105"/>
    <s v="_x0000_US"/>
  </r>
  <r>
    <x v="4"/>
    <n v="13.676600000000001"/>
    <n v="-89.2029"/>
    <n v="121.72"/>
    <n v="0"/>
    <n v="0"/>
    <n v="105"/>
    <s v="_x0000_US"/>
  </r>
  <r>
    <x v="4"/>
    <n v="13.673999999999999"/>
    <n v="-89.2029"/>
    <n v="136.04"/>
    <n v="0"/>
    <n v="0"/>
    <n v="105"/>
    <s v="_x0000_US"/>
  </r>
  <r>
    <x v="4"/>
    <n v="13.673400000000001"/>
    <n v="-89.2029"/>
    <n v="184.36"/>
    <n v="0"/>
    <n v="0"/>
    <n v="105"/>
    <s v="_x0000_US"/>
  </r>
  <r>
    <x v="4"/>
    <n v="13.6736"/>
    <n v="-89.2029"/>
    <n v="193.32"/>
    <n v="0"/>
    <n v="0"/>
    <n v="105"/>
    <s v="_x0000_US"/>
  </r>
  <r>
    <x v="4"/>
    <n v="13.6737"/>
    <n v="-89.2029"/>
    <n v="207.64"/>
    <n v="0"/>
    <n v="0"/>
    <n v="105"/>
    <s v="_x0000_US"/>
  </r>
  <r>
    <x v="4"/>
    <n v="13.6896"/>
    <n v="-89.2029"/>
    <n v="264.92"/>
    <n v="0"/>
    <n v="0"/>
    <n v="105"/>
    <s v="_x0000_US"/>
  </r>
  <r>
    <x v="4"/>
    <n v="13.675000000000001"/>
    <n v="-89.2029"/>
    <n v="279.24"/>
    <n v="0"/>
    <n v="0"/>
    <n v="105"/>
    <s v="_x0000_US"/>
  </r>
  <r>
    <x v="4"/>
    <n v="13.6869"/>
    <n v="-89.2029"/>
    <n v="315.04000000000002"/>
    <n v="0"/>
    <n v="0"/>
    <n v="105"/>
    <s v="_x0000_US"/>
  </r>
  <r>
    <x v="4"/>
    <n v="13.680099999999999"/>
    <n v="-89.2029"/>
    <n v="408.12"/>
    <n v="0"/>
    <n v="0"/>
    <n v="105"/>
    <s v="_x0000_US"/>
  </r>
  <r>
    <x v="4"/>
    <n v="13.675700000000001"/>
    <n v="-89.2029"/>
    <n v="551.32000000000005"/>
    <n v="0"/>
    <n v="0"/>
    <n v="105"/>
    <s v="_x0000_US"/>
  </r>
  <r>
    <x v="4"/>
    <n v="13.688000000000001"/>
    <n v="-89.2029"/>
    <n v="973.76"/>
    <n v="0"/>
    <n v="0"/>
    <n v="105"/>
    <s v="_x0000_US"/>
  </r>
  <r>
    <x v="4"/>
    <n v="13.6738"/>
    <n v="-89.202799999999996"/>
    <n v="57.28"/>
    <n v="0"/>
    <n v="0"/>
    <n v="105"/>
    <s v="_x0000_US"/>
  </r>
  <r>
    <x v="4"/>
    <n v="13.6767"/>
    <n v="-89.202799999999996"/>
    <n v="71.599999999999994"/>
    <n v="0"/>
    <n v="0"/>
    <n v="105"/>
    <s v="_x0000_US"/>
  </r>
  <r>
    <x v="4"/>
    <n v="13.6769"/>
    <n v="-89.202799999999996"/>
    <n v="93.08"/>
    <n v="0"/>
    <n v="0"/>
    <n v="105"/>
    <s v="_x0000_US"/>
  </r>
  <r>
    <x v="4"/>
    <n v="13.673999999999999"/>
    <n v="-89.202799999999996"/>
    <n v="121.72"/>
    <n v="0"/>
    <n v="0"/>
    <n v="105"/>
    <s v="_x0000_US"/>
  </r>
  <r>
    <x v="4"/>
    <n v="13.673400000000001"/>
    <n v="-89.202799999999996"/>
    <n v="128.88"/>
    <n v="0"/>
    <n v="0"/>
    <n v="105"/>
    <s v="_x0000_US"/>
  </r>
  <r>
    <x v="4"/>
    <n v="13.6744"/>
    <n v="-89.202799999999996"/>
    <n v="128.88"/>
    <n v="0"/>
    <n v="0"/>
    <n v="105"/>
    <s v="_x0000_US"/>
  </r>
  <r>
    <x v="4"/>
    <n v="13.6746"/>
    <n v="-89.202799999999996"/>
    <n v="150.36000000000001"/>
    <n v="0"/>
    <n v="0"/>
    <n v="105"/>
    <s v="_x0000_US"/>
  </r>
  <r>
    <x v="4"/>
    <n v="13.676500000000001"/>
    <n v="-89.202799999999996"/>
    <n v="171.84"/>
    <n v="0"/>
    <n v="0"/>
    <n v="105"/>
    <s v="_x0000_US"/>
  </r>
  <r>
    <x v="4"/>
    <n v="13.674099999999999"/>
    <n v="-89.202799999999996"/>
    <n v="193.32"/>
    <n v="0"/>
    <n v="0"/>
    <n v="105"/>
    <s v="_x0000_US"/>
  </r>
  <r>
    <x v="4"/>
    <n v="13.689500000000001"/>
    <n v="-89.202799999999996"/>
    <n v="243.44"/>
    <n v="0"/>
    <n v="0"/>
    <n v="105"/>
    <s v="_x0000_US"/>
  </r>
  <r>
    <x v="4"/>
    <n v="13.6873"/>
    <n v="-89.202799999999996"/>
    <n v="322.2"/>
    <n v="0"/>
    <n v="0"/>
    <n v="105"/>
    <s v="_x0000_US"/>
  </r>
  <r>
    <x v="4"/>
    <n v="13.677099999999999"/>
    <n v="-89.202799999999996"/>
    <n v="350.84"/>
    <n v="0"/>
    <n v="0"/>
    <n v="105"/>
    <s v="_x0000_US"/>
  </r>
  <r>
    <x v="4"/>
    <n v="13.684900000000001"/>
    <n v="-89.202799999999996"/>
    <n v="379.48"/>
    <n v="0"/>
    <n v="0"/>
    <n v="105"/>
    <s v="_x0000_US"/>
  </r>
  <r>
    <x v="4"/>
    <n v="13.674099999999999"/>
    <n v="-89.202699999999993"/>
    <n v="28.64"/>
    <n v="0"/>
    <n v="0"/>
    <n v="105"/>
    <s v="_x0000_US"/>
  </r>
  <r>
    <x v="4"/>
    <n v="13.690200000000001"/>
    <n v="-89.202699999999993"/>
    <n v="28.64"/>
    <n v="0"/>
    <n v="0"/>
    <n v="105"/>
    <s v="_x0000_US"/>
  </r>
  <r>
    <x v="4"/>
    <n v="13.674099999999999"/>
    <n v="-89.202699999999993"/>
    <n v="35.799999999999997"/>
    <n v="0"/>
    <n v="0"/>
    <n v="105"/>
    <s v="_x0000_US"/>
  </r>
  <r>
    <x v="4"/>
    <n v="13.674899999999999"/>
    <n v="-89.202699999999993"/>
    <n v="57.28"/>
    <n v="0"/>
    <n v="0"/>
    <n v="105"/>
    <s v="_x0000_US"/>
  </r>
  <r>
    <x v="4"/>
    <n v="13.690200000000001"/>
    <n v="-89.202699999999993"/>
    <n v="57.28"/>
    <n v="0"/>
    <n v="0"/>
    <n v="105"/>
    <s v="_x0000_US"/>
  </r>
  <r>
    <x v="4"/>
    <n v="13.676399999999999"/>
    <n v="-89.202699999999993"/>
    <n v="78.760000000000005"/>
    <n v="0"/>
    <n v="0"/>
    <n v="105"/>
    <s v="_x0000_US"/>
  </r>
  <r>
    <x v="4"/>
    <n v="13.673999999999999"/>
    <n v="-89.202699999999993"/>
    <n v="85.92"/>
    <n v="0"/>
    <n v="0"/>
    <n v="105"/>
    <s v="_x0000_US"/>
  </r>
  <r>
    <x v="4"/>
    <n v="13.676600000000001"/>
    <n v="-89.202699999999993"/>
    <n v="93.08"/>
    <n v="0"/>
    <n v="0"/>
    <n v="105"/>
    <s v="_x0000_US"/>
  </r>
  <r>
    <x v="4"/>
    <n v="13.676500000000001"/>
    <n v="-89.202699999999993"/>
    <n v="136.04"/>
    <n v="0"/>
    <n v="0"/>
    <n v="105"/>
    <s v="_x0000_US"/>
  </r>
  <r>
    <x v="4"/>
    <n v="13.6739"/>
    <n v="-89.202699999999993"/>
    <n v="157.52000000000001"/>
    <n v="0"/>
    <n v="0"/>
    <n v="105"/>
    <s v="_x0000_US"/>
  </r>
  <r>
    <x v="4"/>
    <n v="13.674799999999999"/>
    <n v="-89.202699999999993"/>
    <n v="164.68"/>
    <n v="0"/>
    <n v="0"/>
    <n v="105"/>
    <s v="_x0000_US"/>
  </r>
  <r>
    <x v="4"/>
    <n v="13.6767"/>
    <n v="-89.202699999999993"/>
    <n v="171.84"/>
    <n v="0"/>
    <n v="0"/>
    <n v="105"/>
    <s v="_x0000_US"/>
  </r>
  <r>
    <x v="4"/>
    <n v="13.675800000000001"/>
    <n v="-89.202699999999993"/>
    <n v="179"/>
    <n v="0"/>
    <n v="0"/>
    <n v="105"/>
    <s v="_x0000_US"/>
  </r>
  <r>
    <x v="4"/>
    <n v="13.6775"/>
    <n v="-89.202699999999993"/>
    <n v="315.04000000000002"/>
    <n v="0"/>
    <n v="0"/>
    <n v="105"/>
    <s v="_x0000_US"/>
  </r>
  <r>
    <x v="4"/>
    <n v="13.6899"/>
    <n v="-89.202699999999993"/>
    <n v="372.32"/>
    <n v="0"/>
    <n v="0"/>
    <n v="105"/>
    <s v="_x0000_US"/>
  </r>
  <r>
    <x v="4"/>
    <n v="13.675599999999999"/>
    <n v="-89.202699999999993"/>
    <n v="565.64"/>
    <n v="0"/>
    <n v="0"/>
    <n v="105"/>
    <s v="_x0000_US"/>
  </r>
  <r>
    <x v="4"/>
    <n v="13.682"/>
    <n v="-89.202699999999993"/>
    <n v="622.91999999999996"/>
    <n v="0"/>
    <n v="0"/>
    <n v="105"/>
    <s v="_x0000_US"/>
  </r>
  <r>
    <x v="4"/>
    <n v="13.6844"/>
    <n v="-89.202699999999993"/>
    <n v="680.2"/>
    <n v="0"/>
    <n v="0"/>
    <n v="105"/>
    <s v="_x0000_US"/>
  </r>
  <r>
    <x v="4"/>
    <n v="13.678100000000001"/>
    <n v="-89.202699999999993"/>
    <n v="708.84"/>
    <n v="0"/>
    <n v="0"/>
    <n v="105"/>
    <s v="_x0000_US"/>
  </r>
  <r>
    <x v="4"/>
    <n v="13.680899999999999"/>
    <n v="-89.202699999999993"/>
    <n v="1138.44"/>
    <n v="0"/>
    <n v="0"/>
    <n v="105"/>
    <s v="_x0000_US"/>
  </r>
  <r>
    <x v="4"/>
    <n v="13.6777"/>
    <n v="-89.202600000000004"/>
    <n v="14.32"/>
    <n v="0"/>
    <n v="0"/>
    <n v="105"/>
    <s v="_x0000_US"/>
  </r>
  <r>
    <x v="4"/>
    <n v="13.674099999999999"/>
    <n v="-89.202600000000004"/>
    <n v="28.64"/>
    <n v="0"/>
    <n v="0"/>
    <n v="105"/>
    <s v="_x0000_US"/>
  </r>
  <r>
    <x v="4"/>
    <n v="13.6754"/>
    <n v="-89.202600000000004"/>
    <n v="78.760000000000005"/>
    <n v="0"/>
    <n v="0"/>
    <n v="105"/>
    <s v="_x0000_US"/>
  </r>
  <r>
    <x v="4"/>
    <n v="13.676600000000001"/>
    <n v="-89.202600000000004"/>
    <n v="85.92"/>
    <n v="0"/>
    <n v="0"/>
    <n v="105"/>
    <s v="_x0000_US"/>
  </r>
  <r>
    <x v="4"/>
    <n v="13.673999999999999"/>
    <n v="-89.202600000000004"/>
    <n v="85.92"/>
    <n v="0"/>
    <n v="0"/>
    <n v="105"/>
    <s v="_x0000_US"/>
  </r>
  <r>
    <x v="4"/>
    <n v="13.674099999999999"/>
    <n v="-89.202600000000004"/>
    <n v="85.92"/>
    <n v="0"/>
    <n v="0"/>
    <n v="105"/>
    <s v="_x0000_US"/>
  </r>
  <r>
    <x v="4"/>
    <n v="13.677300000000001"/>
    <n v="-89.202600000000004"/>
    <n v="93.08"/>
    <n v="0"/>
    <n v="0"/>
    <n v="105"/>
    <s v="_x0000_US"/>
  </r>
  <r>
    <x v="4"/>
    <n v="13.674899999999999"/>
    <n v="-89.202600000000004"/>
    <n v="100.24"/>
    <n v="0"/>
    <n v="0"/>
    <n v="105"/>
    <s v="_x0000_US"/>
  </r>
  <r>
    <x v="4"/>
    <n v="13.6759"/>
    <n v="-89.202600000000004"/>
    <n v="171.84"/>
    <n v="0"/>
    <n v="0"/>
    <n v="105"/>
    <s v="_x0000_US"/>
  </r>
  <r>
    <x v="4"/>
    <n v="13.6897"/>
    <n v="-89.202600000000004"/>
    <n v="250.6"/>
    <n v="0"/>
    <n v="0"/>
    <n v="105"/>
    <s v="_x0000_US"/>
  </r>
  <r>
    <x v="4"/>
    <n v="13.6747"/>
    <n v="-89.202600000000004"/>
    <n v="279.24"/>
    <n v="0"/>
    <n v="0"/>
    <n v="105"/>
    <s v="_x0000_US"/>
  </r>
  <r>
    <x v="4"/>
    <n v="13.6737"/>
    <n v="-89.202600000000004"/>
    <n v="322.2"/>
    <n v="0"/>
    <n v="0"/>
    <n v="105"/>
    <s v="_x0000_US"/>
  </r>
  <r>
    <x v="4"/>
    <n v="13.687099999999999"/>
    <n v="-89.202600000000004"/>
    <n v="336.52"/>
    <n v="0"/>
    <n v="0"/>
    <n v="105"/>
    <s v="_x0000_US"/>
  </r>
  <r>
    <x v="4"/>
    <n v="13.6751"/>
    <n v="-89.202600000000004"/>
    <n v="350.84"/>
    <n v="0"/>
    <n v="0"/>
    <n v="105"/>
    <s v="_x0000_US"/>
  </r>
  <r>
    <x v="4"/>
    <n v="13.677199999999999"/>
    <n v="-89.202600000000004"/>
    <n v="365.16"/>
    <n v="0"/>
    <n v="0"/>
    <n v="105"/>
    <s v="_x0000_US"/>
  </r>
  <r>
    <x v="4"/>
    <n v="13.6876"/>
    <n v="-89.202600000000004"/>
    <n v="451.08"/>
    <n v="0"/>
    <n v="0"/>
    <n v="105"/>
    <s v="_x0000_US"/>
  </r>
  <r>
    <x v="4"/>
    <n v="13.676299999999999"/>
    <n v="-89.202600000000004"/>
    <n v="479.72"/>
    <n v="0"/>
    <n v="0"/>
    <n v="105"/>
    <s v="_x0000_US"/>
  </r>
  <r>
    <x v="4"/>
    <n v="13.6861"/>
    <n v="-89.202600000000004"/>
    <n v="1116.96"/>
    <n v="0"/>
    <n v="0"/>
    <n v="105"/>
    <s v="_x0000_US"/>
  </r>
  <r>
    <x v="4"/>
    <n v="13.673999999999999"/>
    <n v="-89.202500000000001"/>
    <n v="78.760000000000005"/>
    <n v="0"/>
    <n v="0"/>
    <n v="105"/>
    <s v="_x0000_US"/>
  </r>
  <r>
    <x v="4"/>
    <n v="13.6776"/>
    <n v="-89.202500000000001"/>
    <n v="128.88"/>
    <n v="0"/>
    <n v="0"/>
    <n v="105"/>
    <s v="_x0000_US"/>
  </r>
  <r>
    <x v="4"/>
    <n v="13.675700000000001"/>
    <n v="-89.202500000000001"/>
    <n v="186.16"/>
    <n v="0"/>
    <n v="0"/>
    <n v="105"/>
    <s v="_x0000_US"/>
  </r>
  <r>
    <x v="4"/>
    <n v="13.677300000000001"/>
    <n v="-89.202500000000001"/>
    <n v="186.16"/>
    <n v="0"/>
    <n v="0"/>
    <n v="105"/>
    <s v="_x0000_US"/>
  </r>
  <r>
    <x v="4"/>
    <n v="13.6739"/>
    <n v="-89.202500000000001"/>
    <n v="193.32"/>
    <n v="0"/>
    <n v="0"/>
    <n v="105"/>
    <s v="_x0000_US"/>
  </r>
  <r>
    <x v="4"/>
    <n v="13.6755"/>
    <n v="-89.202500000000001"/>
    <n v="221.96"/>
    <n v="0"/>
    <n v="0"/>
    <n v="105"/>
    <s v="_x0000_US"/>
  </r>
  <r>
    <x v="4"/>
    <n v="13.675000000000001"/>
    <n v="-89.202500000000001"/>
    <n v="365.16"/>
    <n v="0"/>
    <n v="0"/>
    <n v="105"/>
    <s v="_x0000_US"/>
  </r>
  <r>
    <x v="4"/>
    <n v="13.680400000000001"/>
    <n v="-89.202500000000001"/>
    <n v="529.84"/>
    <n v="0"/>
    <n v="0"/>
    <n v="105"/>
    <s v="_x0000_US"/>
  </r>
  <r>
    <x v="4"/>
    <n v="13.688700000000001"/>
    <n v="-89.202500000000001"/>
    <n v="587.12"/>
    <n v="0"/>
    <n v="0"/>
    <n v="105"/>
    <s v="_x0000_US"/>
  </r>
  <r>
    <x v="4"/>
    <n v="13.6853"/>
    <n v="-89.202500000000001"/>
    <n v="687.36"/>
    <n v="0"/>
    <n v="0"/>
    <n v="105"/>
    <s v="_x0000_US"/>
  </r>
  <r>
    <x v="4"/>
    <n v="13.6753"/>
    <n v="-89.202399999999997"/>
    <n v="85.92"/>
    <n v="0"/>
    <n v="0"/>
    <n v="105"/>
    <s v="_x0000_US"/>
  </r>
  <r>
    <x v="4"/>
    <n v="13.6792"/>
    <n v="-89.202399999999997"/>
    <n v="143.19999999999999"/>
    <n v="0"/>
    <n v="0"/>
    <n v="105"/>
    <s v="_x0000_US"/>
  </r>
  <r>
    <x v="4"/>
    <n v="13.675700000000001"/>
    <n v="-89.202399999999997"/>
    <n v="307.88"/>
    <n v="0"/>
    <n v="0"/>
    <n v="105"/>
    <s v="_x0000_US"/>
  </r>
  <r>
    <x v="4"/>
    <n v="13.6873"/>
    <n v="-89.202399999999997"/>
    <n v="315.04000000000002"/>
    <n v="0"/>
    <n v="0"/>
    <n v="105"/>
    <s v="_x0000_US"/>
  </r>
  <r>
    <x v="4"/>
    <n v="13.674200000000001"/>
    <n v="-89.202399999999997"/>
    <n v="343.68"/>
    <n v="0"/>
    <n v="0"/>
    <n v="105"/>
    <s v="_x0000_US"/>
  </r>
  <r>
    <x v="4"/>
    <n v="13.68"/>
    <n v="-89.202399999999997"/>
    <n v="415.28"/>
    <n v="0"/>
    <n v="0"/>
    <n v="105"/>
    <s v="_x0000_US"/>
  </r>
  <r>
    <x v="4"/>
    <n v="13.6769"/>
    <n v="-89.202399999999997"/>
    <n v="544.16"/>
    <n v="0"/>
    <n v="0"/>
    <n v="105"/>
    <s v="_x0000_US"/>
  </r>
  <r>
    <x v="4"/>
    <n v="13.678100000000001"/>
    <n v="-89.202399999999997"/>
    <n v="658.72"/>
    <n v="0"/>
    <n v="0"/>
    <n v="105"/>
    <s v="_x0000_US"/>
  </r>
  <r>
    <x v="4"/>
    <n v="13.679399999999999"/>
    <n v="-89.202299999999994"/>
    <n v="64.44"/>
    <n v="0"/>
    <n v="0"/>
    <n v="105"/>
    <s v="_x0000_US"/>
  </r>
  <r>
    <x v="4"/>
    <n v="13.674300000000001"/>
    <n v="-89.202299999999994"/>
    <n v="121.72"/>
    <n v="0"/>
    <n v="0"/>
    <n v="105"/>
    <s v="_x0000_US"/>
  </r>
  <r>
    <x v="4"/>
    <n v="13.6791"/>
    <n v="-89.202299999999994"/>
    <n v="121.72"/>
    <n v="0"/>
    <n v="0"/>
    <n v="105"/>
    <s v="_x0000_US"/>
  </r>
  <r>
    <x v="4"/>
    <n v="13.6793"/>
    <n v="-89.202299999999994"/>
    <n v="193.32"/>
    <n v="0"/>
    <n v="0"/>
    <n v="105"/>
    <s v="_x0000_US"/>
  </r>
  <r>
    <x v="4"/>
    <n v="13.6896"/>
    <n v="-89.202299999999994"/>
    <n v="286.39999999999998"/>
    <n v="0"/>
    <n v="0"/>
    <n v="105"/>
    <s v="_x0000_US"/>
  </r>
  <r>
    <x v="4"/>
    <n v="13.6739"/>
    <n v="-89.202299999999994"/>
    <n v="307.88"/>
    <n v="0"/>
    <n v="0"/>
    <n v="105"/>
    <s v="_x0000_US"/>
  </r>
  <r>
    <x v="4"/>
    <n v="13.6775"/>
    <n v="-89.202299999999994"/>
    <n v="322.2"/>
    <n v="0"/>
    <n v="0"/>
    <n v="105"/>
    <s v="_x0000_US"/>
  </r>
  <r>
    <x v="4"/>
    <n v="13.684900000000001"/>
    <n v="-89.202299999999994"/>
    <n v="372.32"/>
    <n v="0"/>
    <n v="0"/>
    <n v="105"/>
    <s v="_x0000_US"/>
  </r>
  <r>
    <x v="4"/>
    <n v="13.6816"/>
    <n v="-89.202299999999994"/>
    <n v="451.08"/>
    <n v="0"/>
    <n v="0"/>
    <n v="105"/>
    <s v="_x0000_US"/>
  </r>
  <r>
    <x v="4"/>
    <n v="13.6892"/>
    <n v="-89.202299999999994"/>
    <n v="637.24"/>
    <n v="0"/>
    <n v="0"/>
    <n v="105"/>
    <s v="_x0000_US"/>
  </r>
  <r>
    <x v="4"/>
    <n v="13.678000000000001"/>
    <n v="-89.202299999999994"/>
    <n v="658.72"/>
    <n v="0"/>
    <n v="0"/>
    <n v="105"/>
    <s v="_x0000_US"/>
  </r>
  <r>
    <x v="4"/>
    <n v="13.6843"/>
    <n v="-89.202299999999994"/>
    <n v="758.96"/>
    <n v="0"/>
    <n v="0"/>
    <n v="105"/>
    <s v="_x0000_US"/>
  </r>
  <r>
    <x v="4"/>
    <n v="13.676500000000001"/>
    <n v="-89.202299999999994"/>
    <n v="1124.1199999999999"/>
    <n v="0"/>
    <n v="0"/>
    <n v="105"/>
    <s v="_x0000_US"/>
  </r>
  <r>
    <x v="4"/>
    <n v="13.6829"/>
    <n v="-89.202299999999994"/>
    <n v="1374.72"/>
    <n v="0"/>
    <n v="0"/>
    <n v="105"/>
    <s v="_x0000_US"/>
  </r>
  <r>
    <x v="4"/>
    <n v="13.674300000000001"/>
    <n v="-89.202200000000005"/>
    <n v="42.96"/>
    <n v="0"/>
    <n v="0"/>
    <n v="105"/>
    <s v="_x0000_US"/>
  </r>
  <r>
    <x v="4"/>
    <n v="13.674300000000001"/>
    <n v="-89.202200000000005"/>
    <n v="78.760000000000005"/>
    <n v="0"/>
    <n v="0"/>
    <n v="105"/>
    <s v="_x0000_US"/>
  </r>
  <r>
    <x v="4"/>
    <n v="13.674200000000001"/>
    <n v="-89.202200000000005"/>
    <n v="93.08"/>
    <n v="0"/>
    <n v="0"/>
    <n v="105"/>
    <s v="_x0000_US"/>
  </r>
  <r>
    <x v="4"/>
    <n v="13.677199999999999"/>
    <n v="-89.202200000000005"/>
    <n v="157.52000000000001"/>
    <n v="0"/>
    <n v="0"/>
    <n v="105"/>
    <s v="_x0000_US"/>
  </r>
  <r>
    <x v="4"/>
    <n v="13.675599999999999"/>
    <n v="-89.202200000000005"/>
    <n v="307.88"/>
    <n v="0"/>
    <n v="0"/>
    <n v="105"/>
    <s v="_x0000_US"/>
  </r>
  <r>
    <x v="4"/>
    <n v="13.6797"/>
    <n v="-89.202200000000005"/>
    <n v="329.36"/>
    <n v="0"/>
    <n v="0"/>
    <n v="105"/>
    <s v="_x0000_US"/>
  </r>
  <r>
    <x v="4"/>
    <n v="13.6858"/>
    <n v="-89.202200000000005"/>
    <n v="408.12"/>
    <n v="0"/>
    <n v="0"/>
    <n v="105"/>
    <s v="_x0000_US"/>
  </r>
  <r>
    <x v="4"/>
    <n v="13.6869"/>
    <n v="-89.202200000000005"/>
    <n v="558.48"/>
    <n v="0"/>
    <n v="0"/>
    <n v="105"/>
    <s v="_x0000_US"/>
  </r>
  <r>
    <x v="4"/>
    <n v="13.675800000000001"/>
    <n v="-89.202200000000005"/>
    <n v="1202.8800000000001"/>
    <n v="0"/>
    <n v="0"/>
    <n v="105"/>
    <s v="_x0000_US"/>
  </r>
  <r>
    <x v="4"/>
    <n v="13.6774"/>
    <n v="-89.202100000000002"/>
    <n v="50.12"/>
    <n v="0"/>
    <n v="0"/>
    <n v="105"/>
    <s v="_x0000_US"/>
  </r>
  <r>
    <x v="4"/>
    <n v="13.674099999999999"/>
    <n v="-89.202100000000002"/>
    <n v="143.19999999999999"/>
    <n v="0"/>
    <n v="0"/>
    <n v="105"/>
    <s v="_x0000_US"/>
  </r>
  <r>
    <x v="4"/>
    <n v="13.675599999999999"/>
    <n v="-89.202100000000002"/>
    <n v="164.68"/>
    <n v="0"/>
    <n v="0"/>
    <n v="105"/>
    <s v="_x0000_US"/>
  </r>
  <r>
    <x v="4"/>
    <n v="13.677300000000001"/>
    <n v="-89.202100000000002"/>
    <n v="164.68"/>
    <n v="0"/>
    <n v="0"/>
    <n v="105"/>
    <s v="_x0000_US"/>
  </r>
  <r>
    <x v="4"/>
    <n v="13.679399999999999"/>
    <n v="-89.202100000000002"/>
    <n v="200.48"/>
    <n v="0"/>
    <n v="0"/>
    <n v="105"/>
    <s v="_x0000_US"/>
  </r>
  <r>
    <x v="4"/>
    <n v="13.6754"/>
    <n v="-89.202100000000002"/>
    <n v="279.24"/>
    <n v="0"/>
    <n v="0"/>
    <n v="105"/>
    <s v="_x0000_US"/>
  </r>
  <r>
    <x v="4"/>
    <n v="13.6791"/>
    <n v="-89.202100000000002"/>
    <n v="336.52"/>
    <n v="0"/>
    <n v="0"/>
    <n v="105"/>
    <s v="_x0000_US"/>
  </r>
  <r>
    <x v="4"/>
    <n v="13.688599999999999"/>
    <n v="-89.202100000000002"/>
    <n v="336.52"/>
    <n v="0"/>
    <n v="0"/>
    <n v="105"/>
    <s v="_x0000_US"/>
  </r>
  <r>
    <x v="4"/>
    <n v="13.681100000000001"/>
    <n v="-89.202100000000002"/>
    <n v="773.28"/>
    <n v="0"/>
    <n v="0"/>
    <n v="105"/>
    <s v="_x0000_US"/>
  </r>
  <r>
    <x v="4"/>
    <n v="13.674300000000001"/>
    <n v="-89.201999999999998"/>
    <n v="28.64"/>
    <n v="0"/>
    <n v="0"/>
    <n v="105"/>
    <s v="_x0000_US"/>
  </r>
  <r>
    <x v="4"/>
    <n v="13.6744"/>
    <n v="-89.201999999999998"/>
    <n v="42.96"/>
    <n v="0"/>
    <n v="0"/>
    <n v="105"/>
    <s v="_x0000_US"/>
  </r>
  <r>
    <x v="4"/>
    <n v="13.675599999999999"/>
    <n v="-89.201999999999998"/>
    <n v="42.96"/>
    <n v="0"/>
    <n v="0"/>
    <n v="105"/>
    <s v="_x0000_US"/>
  </r>
  <r>
    <x v="4"/>
    <n v="13.6744"/>
    <n v="-89.201999999999998"/>
    <n v="85.92"/>
    <n v="0"/>
    <n v="0"/>
    <n v="105"/>
    <s v="_x0000_US"/>
  </r>
  <r>
    <x v="4"/>
    <n v="13.674200000000001"/>
    <n v="-89.201999999999998"/>
    <n v="85.92"/>
    <n v="0"/>
    <n v="0"/>
    <n v="105"/>
    <s v="_x0000_US"/>
  </r>
  <r>
    <x v="4"/>
    <n v="13.673999999999999"/>
    <n v="-89.201999999999998"/>
    <n v="243.44"/>
    <n v="0"/>
    <n v="0"/>
    <n v="105"/>
    <s v="_x0000_US"/>
  </r>
  <r>
    <x v="4"/>
    <n v="13.687200000000001"/>
    <n v="-89.201999999999998"/>
    <n v="329.36"/>
    <n v="0"/>
    <n v="0"/>
    <n v="105"/>
    <s v="_x0000_US"/>
  </r>
  <r>
    <x v="4"/>
    <n v="13.680099999999999"/>
    <n v="-89.201999999999998"/>
    <n v="336.52"/>
    <n v="0"/>
    <n v="0"/>
    <n v="105"/>
    <s v="_x0000_US"/>
  </r>
  <r>
    <x v="4"/>
    <n v="13.685600000000001"/>
    <n v="-89.201999999999998"/>
    <n v="365.16"/>
    <n v="0"/>
    <n v="0"/>
    <n v="105"/>
    <s v="_x0000_US"/>
  </r>
  <r>
    <x v="4"/>
    <n v="13.6851"/>
    <n v="-89.201999999999998"/>
    <n v="393.8"/>
    <n v="0"/>
    <n v="0"/>
    <n v="105"/>
    <s v="_x0000_US"/>
  </r>
  <r>
    <x v="4"/>
    <n v="13.6806"/>
    <n v="-89.201999999999998"/>
    <n v="408.12"/>
    <n v="0"/>
    <n v="0"/>
    <n v="105"/>
    <s v="_x0000_US"/>
  </r>
  <r>
    <x v="4"/>
    <n v="13.682"/>
    <n v="-89.201999999999998"/>
    <n v="694.52"/>
    <n v="0"/>
    <n v="0"/>
    <n v="105"/>
    <s v="_x0000_US"/>
  </r>
  <r>
    <x v="4"/>
    <n v="13.674300000000001"/>
    <n v="-89.201899999999995"/>
    <n v="93.08"/>
    <n v="0"/>
    <n v="0"/>
    <n v="105"/>
    <s v="_x0000_US"/>
  </r>
  <r>
    <x v="4"/>
    <n v="13.6755"/>
    <n v="-89.201899999999995"/>
    <n v="114.56"/>
    <n v="0"/>
    <n v="0"/>
    <n v="105"/>
    <s v="_x0000_US"/>
  </r>
  <r>
    <x v="4"/>
    <n v="13.674200000000001"/>
    <n v="-89.201899999999995"/>
    <n v="143.19999999999999"/>
    <n v="0"/>
    <n v="0"/>
    <n v="105"/>
    <s v="_x0000_US"/>
  </r>
  <r>
    <x v="4"/>
    <n v="13.6793"/>
    <n v="-89.201899999999995"/>
    <n v="207.64"/>
    <n v="0"/>
    <n v="0"/>
    <n v="105"/>
    <s v="_x0000_US"/>
  </r>
  <r>
    <x v="4"/>
    <n v="13.6884"/>
    <n v="-89.201899999999995"/>
    <n v="229.12"/>
    <n v="0"/>
    <n v="0"/>
    <n v="105"/>
    <s v="_x0000_US"/>
  </r>
  <r>
    <x v="4"/>
    <n v="13.6774"/>
    <n v="-89.201899999999995"/>
    <n v="250.6"/>
    <n v="0"/>
    <n v="0"/>
    <n v="105"/>
    <s v="_x0000_US"/>
  </r>
  <r>
    <x v="4"/>
    <n v="13.686"/>
    <n v="-89.201899999999995"/>
    <n v="300.72000000000003"/>
    <n v="0"/>
    <n v="0"/>
    <n v="105"/>
    <s v="_x0000_US"/>
  </r>
  <r>
    <x v="4"/>
    <n v="13.6776"/>
    <n v="-89.201899999999995"/>
    <n v="429.6"/>
    <n v="0"/>
    <n v="0"/>
    <n v="105"/>
    <s v="_x0000_US"/>
  </r>
  <r>
    <x v="4"/>
    <n v="13.688800000000001"/>
    <n v="-89.201899999999995"/>
    <n v="522.67999999999995"/>
    <n v="0"/>
    <n v="0"/>
    <n v="105"/>
    <s v="_x0000_US"/>
  </r>
  <r>
    <x v="4"/>
    <n v="13.6881"/>
    <n v="-89.201899999999995"/>
    <n v="537"/>
    <n v="0"/>
    <n v="0"/>
    <n v="105"/>
    <s v="_x0000_US"/>
  </r>
  <r>
    <x v="4"/>
    <n v="13.6815"/>
    <n v="-89.201800000000006"/>
    <n v="136.04"/>
    <n v="0"/>
    <n v="0"/>
    <n v="105"/>
    <s v="_x0000_US"/>
  </r>
  <r>
    <x v="4"/>
    <n v="13.677199999999999"/>
    <n v="-89.201800000000006"/>
    <n v="200.48"/>
    <n v="0"/>
    <n v="0"/>
    <n v="105"/>
    <s v="_x0000_US"/>
  </r>
  <r>
    <x v="4"/>
    <n v="13.6807"/>
    <n v="-89.201800000000006"/>
    <n v="221.96"/>
    <n v="0"/>
    <n v="0"/>
    <n v="105"/>
    <s v="_x0000_US"/>
  </r>
  <r>
    <x v="4"/>
    <n v="13.6791"/>
    <n v="-89.201800000000006"/>
    <n v="243.44"/>
    <n v="0"/>
    <n v="0"/>
    <n v="105"/>
    <s v="_x0000_US"/>
  </r>
  <r>
    <x v="4"/>
    <n v="13.6799"/>
    <n v="-89.201800000000006"/>
    <n v="486.88"/>
    <n v="0"/>
    <n v="0"/>
    <n v="105"/>
    <s v="_x0000_US"/>
  </r>
  <r>
    <x v="4"/>
    <n v="13.6868"/>
    <n v="-89.201800000000006"/>
    <n v="615.76"/>
    <n v="0"/>
    <n v="0"/>
    <n v="105"/>
    <s v="_x0000_US"/>
  </r>
  <r>
    <x v="4"/>
    <n v="13.6793"/>
    <n v="-89.201700000000002"/>
    <n v="100.24"/>
    <n v="0"/>
    <n v="0"/>
    <n v="105"/>
    <s v="_x0000_US"/>
  </r>
  <r>
    <x v="4"/>
    <n v="13.674099999999999"/>
    <n v="-89.201700000000002"/>
    <n v="121.72"/>
    <n v="0"/>
    <n v="0"/>
    <n v="105"/>
    <s v="_x0000_US"/>
  </r>
  <r>
    <x v="4"/>
    <n v="13.674200000000001"/>
    <n v="-89.201700000000002"/>
    <n v="136.04"/>
    <n v="0"/>
    <n v="0"/>
    <n v="105"/>
    <s v="_x0000_US"/>
  </r>
  <r>
    <x v="4"/>
    <n v="13.6806"/>
    <n v="-89.201700000000002"/>
    <n v="229.12"/>
    <n v="0"/>
    <n v="0"/>
    <n v="105"/>
    <s v="_x0000_US"/>
  </r>
  <r>
    <x v="4"/>
    <n v="13.6813"/>
    <n v="-89.201700000000002"/>
    <n v="329.36"/>
    <n v="0"/>
    <n v="0"/>
    <n v="105"/>
    <s v="_x0000_US"/>
  </r>
  <r>
    <x v="4"/>
    <n v="13.6875"/>
    <n v="-89.201700000000002"/>
    <n v="558.48"/>
    <n v="0"/>
    <n v="0"/>
    <n v="105"/>
    <s v="_x0000_US"/>
  </r>
  <r>
    <x v="4"/>
    <n v="13.684900000000001"/>
    <n v="-89.201700000000002"/>
    <n v="579.96"/>
    <n v="0"/>
    <n v="0"/>
    <n v="105"/>
    <s v="_x0000_US"/>
  </r>
  <r>
    <x v="4"/>
    <n v="13.684200000000001"/>
    <n v="-89.201700000000002"/>
    <n v="1102.6400000000001"/>
    <n v="0"/>
    <n v="0"/>
    <n v="105"/>
    <s v="_x0000_US"/>
  </r>
  <r>
    <x v="4"/>
    <n v="13.676299999999999"/>
    <n v="-89.201700000000002"/>
    <n v="1210.04"/>
    <n v="0"/>
    <n v="0"/>
    <n v="105"/>
    <s v="_x0000_US"/>
  </r>
  <r>
    <x v="4"/>
    <n v="13.677300000000001"/>
    <n v="-89.201599999999999"/>
    <n v="193.32"/>
    <n v="0"/>
    <n v="0"/>
    <n v="105"/>
    <s v="_x0000_US"/>
  </r>
  <r>
    <x v="4"/>
    <n v="13.6783"/>
    <n v="-89.201599999999999"/>
    <n v="257.76"/>
    <n v="0"/>
    <n v="0"/>
    <n v="105"/>
    <s v="_x0000_US"/>
  </r>
  <r>
    <x v="4"/>
    <n v="13.678000000000001"/>
    <n v="-89.201599999999999"/>
    <n v="264.92"/>
    <n v="0"/>
    <n v="0"/>
    <n v="105"/>
    <s v="_x0000_US"/>
  </r>
  <r>
    <x v="4"/>
    <n v="13.677"/>
    <n v="-89.201599999999999"/>
    <n v="279.24"/>
    <n v="0"/>
    <n v="0"/>
    <n v="105"/>
    <s v="_x0000_US"/>
  </r>
  <r>
    <x v="4"/>
    <n v="13.687200000000001"/>
    <n v="-89.201599999999999"/>
    <n v="315.04000000000002"/>
    <n v="0"/>
    <n v="0"/>
    <n v="105"/>
    <s v="_x0000_US"/>
  </r>
  <r>
    <x v="4"/>
    <n v="13.6755"/>
    <n v="-89.201599999999999"/>
    <n v="322.2"/>
    <n v="0"/>
    <n v="0"/>
    <n v="105"/>
    <s v="_x0000_US"/>
  </r>
  <r>
    <x v="4"/>
    <n v="13.679500000000001"/>
    <n v="-89.201599999999999"/>
    <n v="443.92"/>
    <n v="0"/>
    <n v="0"/>
    <n v="105"/>
    <s v="_x0000_US"/>
  </r>
  <r>
    <x v="4"/>
    <n v="13.684699999999999"/>
    <n v="-89.201599999999999"/>
    <n v="515.52"/>
    <n v="0"/>
    <n v="0"/>
    <n v="105"/>
    <s v="_x0000_US"/>
  </r>
  <r>
    <x v="4"/>
    <n v="13.6853"/>
    <n v="-89.201599999999999"/>
    <n v="665.88"/>
    <n v="0"/>
    <n v="0"/>
    <n v="105"/>
    <s v="_x0000_US"/>
  </r>
  <r>
    <x v="4"/>
    <n v="13.6807"/>
    <n v="-89.201499999999996"/>
    <n v="114.56"/>
    <n v="0"/>
    <n v="0"/>
    <n v="105"/>
    <s v="_x0000_US"/>
  </r>
  <r>
    <x v="4"/>
    <n v="13.6792"/>
    <n v="-89.201499999999996"/>
    <n v="236.28"/>
    <n v="0"/>
    <n v="0"/>
    <n v="105"/>
    <s v="_x0000_US"/>
  </r>
  <r>
    <x v="4"/>
    <n v="13.6814"/>
    <n v="-89.201499999999996"/>
    <n v="350.84"/>
    <n v="0"/>
    <n v="0"/>
    <n v="105"/>
    <s v="_x0000_US"/>
  </r>
  <r>
    <x v="4"/>
    <n v="13.6891"/>
    <n v="-89.201499999999996"/>
    <n v="451.08"/>
    <n v="0"/>
    <n v="0"/>
    <n v="105"/>
    <s v="_x0000_US"/>
  </r>
  <r>
    <x v="4"/>
    <n v="13.686299999999999"/>
    <n v="-89.201499999999996"/>
    <n v="680.2"/>
    <n v="0"/>
    <n v="0"/>
    <n v="105"/>
    <s v="_x0000_US"/>
  </r>
  <r>
    <x v="4"/>
    <n v="13.6859"/>
    <n v="-89.201499999999996"/>
    <n v="687.36"/>
    <n v="0"/>
    <n v="0"/>
    <n v="105"/>
    <s v="_x0000_US"/>
  </r>
  <r>
    <x v="4"/>
    <n v="13.680899999999999"/>
    <n v="-89.201400000000007"/>
    <n v="379.48"/>
    <n v="0"/>
    <n v="0"/>
    <n v="105"/>
    <s v="_x0000_US"/>
  </r>
  <r>
    <x v="4"/>
    <n v="13.6778"/>
    <n v="-89.201400000000007"/>
    <n v="422.44"/>
    <n v="0"/>
    <n v="0"/>
    <n v="105"/>
    <s v="_x0000_US"/>
  </r>
  <r>
    <x v="4"/>
    <n v="13.678800000000001"/>
    <n v="-89.201400000000007"/>
    <n v="537"/>
    <n v="0"/>
    <n v="0"/>
    <n v="105"/>
    <s v="_x0000_US"/>
  </r>
  <r>
    <x v="4"/>
    <n v="13.6868"/>
    <n v="-89.201400000000007"/>
    <n v="587.12"/>
    <n v="0"/>
    <n v="0"/>
    <n v="105"/>
    <s v="_x0000_US"/>
  </r>
  <r>
    <x v="4"/>
    <n v="13.6812"/>
    <n v="-89.201300000000003"/>
    <n v="193.32"/>
    <n v="0"/>
    <n v="0"/>
    <n v="105"/>
    <s v="_x0000_US"/>
  </r>
  <r>
    <x v="4"/>
    <n v="13.6797"/>
    <n v="-89.201300000000003"/>
    <n v="250.6"/>
    <n v="0"/>
    <n v="0"/>
    <n v="105"/>
    <s v="_x0000_US"/>
  </r>
  <r>
    <x v="4"/>
    <n v="13.678100000000001"/>
    <n v="-89.201300000000003"/>
    <n v="386.64"/>
    <n v="0"/>
    <n v="0"/>
    <n v="105"/>
    <s v="_x0000_US"/>
  </r>
  <r>
    <x v="4"/>
    <n v="13.6784"/>
    <n v="-89.201300000000003"/>
    <n v="393.8"/>
    <n v="0"/>
    <n v="0"/>
    <n v="105"/>
    <s v="_x0000_US"/>
  </r>
  <r>
    <x v="4"/>
    <n v="13.6775"/>
    <n v="-89.201300000000003"/>
    <n v="422.44"/>
    <n v="0"/>
    <n v="0"/>
    <n v="105"/>
    <s v="_x0000_US"/>
  </r>
  <r>
    <x v="4"/>
    <n v="13.679399999999999"/>
    <n v="-89.201300000000003"/>
    <n v="465.4"/>
    <n v="0"/>
    <n v="0"/>
    <n v="105"/>
    <s v="_x0000_US"/>
  </r>
  <r>
    <x v="4"/>
    <n v="13.687799999999999"/>
    <n v="-89.201300000000003"/>
    <n v="644.4"/>
    <n v="0"/>
    <n v="0"/>
    <n v="105"/>
    <s v="_x0000_US"/>
  </r>
  <r>
    <x v="4"/>
    <n v="13.6747"/>
    <n v="-89.201300000000003"/>
    <n v="1088.32"/>
    <n v="0"/>
    <n v="0"/>
    <n v="105"/>
    <s v="_x0000_US"/>
  </r>
  <r>
    <x v="4"/>
    <n v="13.6814"/>
    <n v="-89.2012"/>
    <n v="171.84"/>
    <n v="0"/>
    <n v="0"/>
    <n v="105"/>
    <s v="_x0000_US"/>
  </r>
  <r>
    <x v="4"/>
    <n v="13.687099999999999"/>
    <n v="-89.2012"/>
    <n v="336.52"/>
    <n v="0"/>
    <n v="0"/>
    <n v="105"/>
    <s v="_x0000_US"/>
  </r>
  <r>
    <x v="4"/>
    <n v="13.685"/>
    <n v="-89.2012"/>
    <n v="350.84"/>
    <n v="0"/>
    <n v="0"/>
    <n v="105"/>
    <s v="_x0000_US"/>
  </r>
  <r>
    <x v="4"/>
    <n v="13.6754"/>
    <n v="-89.2012"/>
    <n v="372.32"/>
    <n v="0"/>
    <n v="0"/>
    <n v="105"/>
    <s v="_x0000_US"/>
  </r>
  <r>
    <x v="4"/>
    <n v="13.677199999999999"/>
    <n v="-89.2012"/>
    <n v="529.84"/>
    <n v="0"/>
    <n v="0"/>
    <n v="105"/>
    <s v="_x0000_US"/>
  </r>
  <r>
    <x v="4"/>
    <n v="13.6884"/>
    <n v="-89.2012"/>
    <n v="544.16"/>
    <n v="0"/>
    <n v="0"/>
    <n v="105"/>
    <s v="_x0000_US"/>
  </r>
  <r>
    <x v="4"/>
    <n v="13.688700000000001"/>
    <n v="-89.2012"/>
    <n v="551.32000000000005"/>
    <n v="0"/>
    <n v="0"/>
    <n v="105"/>
    <s v="_x0000_US"/>
  </r>
  <r>
    <x v="4"/>
    <n v="13.677899999999999"/>
    <n v="-89.201099999999997"/>
    <n v="250.6"/>
    <n v="0"/>
    <n v="0"/>
    <n v="105"/>
    <s v="_x0000_US"/>
  </r>
  <r>
    <x v="4"/>
    <n v="13.6782"/>
    <n v="-89.201099999999997"/>
    <n v="257.76"/>
    <n v="0"/>
    <n v="0"/>
    <n v="105"/>
    <s v="_x0000_US"/>
  </r>
  <r>
    <x v="4"/>
    <n v="13.681100000000001"/>
    <n v="-89.201099999999997"/>
    <n v="293.56"/>
    <n v="0"/>
    <n v="0"/>
    <n v="105"/>
    <s v="_x0000_US"/>
  </r>
  <r>
    <x v="4"/>
    <n v="13.6799"/>
    <n v="-89.201099999999997"/>
    <n v="293.56"/>
    <n v="0"/>
    <n v="0"/>
    <n v="105"/>
    <s v="_x0000_US"/>
  </r>
  <r>
    <x v="4"/>
    <n v="13.6791"/>
    <n v="-89.201099999999997"/>
    <n v="400.96"/>
    <n v="0"/>
    <n v="0"/>
    <n v="105"/>
    <s v="_x0000_US"/>
  </r>
  <r>
    <x v="4"/>
    <n v="13.685600000000001"/>
    <n v="-89.201099999999997"/>
    <n v="544.16"/>
    <n v="0"/>
    <n v="0"/>
    <n v="105"/>
    <s v="_x0000_US"/>
  </r>
  <r>
    <x v="4"/>
    <n v="13.676299999999999"/>
    <n v="-89.201099999999997"/>
    <n v="1410.52"/>
    <n v="0"/>
    <n v="0"/>
    <n v="105"/>
    <s v="_x0000_US"/>
  </r>
  <r>
    <x v="4"/>
    <n v="13.686299999999999"/>
    <n v="-89.200999999999993"/>
    <n v="35.799999999999997"/>
    <n v="0"/>
    <n v="0"/>
    <n v="105"/>
    <s v="_x0000_US"/>
  </r>
  <r>
    <x v="4"/>
    <n v="13.6754"/>
    <n v="-89.200999999999993"/>
    <n v="93.08"/>
    <n v="0"/>
    <n v="0"/>
    <n v="105"/>
    <s v="_x0000_US"/>
  </r>
  <r>
    <x v="4"/>
    <n v="13.678699999999999"/>
    <n v="-89.200999999999993"/>
    <n v="186.16"/>
    <n v="0"/>
    <n v="0"/>
    <n v="105"/>
    <s v="_x0000_US"/>
  </r>
  <r>
    <x v="4"/>
    <n v="13.6785"/>
    <n v="-89.200999999999993"/>
    <n v="200.48"/>
    <n v="0"/>
    <n v="0"/>
    <n v="105"/>
    <s v="_x0000_US"/>
  </r>
  <r>
    <x v="4"/>
    <n v="13.6861"/>
    <n v="-89.200999999999993"/>
    <n v="272.08"/>
    <n v="0"/>
    <n v="0"/>
    <n v="105"/>
    <s v="_x0000_US"/>
  </r>
  <r>
    <x v="4"/>
    <n v="13.6867"/>
    <n v="-89.200999999999993"/>
    <n v="637.24"/>
    <n v="0"/>
    <n v="0"/>
    <n v="105"/>
    <s v="_x0000_US"/>
  </r>
  <r>
    <x v="4"/>
    <n v="13.680999999999999"/>
    <n v="-89.200900000000004"/>
    <n v="78.760000000000005"/>
    <n v="0"/>
    <n v="0"/>
    <n v="105"/>
    <s v="_x0000_US"/>
  </r>
  <r>
    <x v="4"/>
    <n v="13.6813"/>
    <n v="-89.200900000000004"/>
    <n v="100.24"/>
    <n v="0"/>
    <n v="0"/>
    <n v="105"/>
    <s v="_x0000_US"/>
  </r>
  <r>
    <x v="4"/>
    <n v="13.678599999999999"/>
    <n v="-89.200900000000004"/>
    <n v="200.48"/>
    <n v="0"/>
    <n v="0"/>
    <n v="105"/>
    <s v="_x0000_US"/>
  </r>
  <r>
    <x v="4"/>
    <n v="13.678900000000001"/>
    <n v="-89.200900000000004"/>
    <n v="207.64"/>
    <n v="0"/>
    <n v="0"/>
    <n v="105"/>
    <s v="_x0000_US"/>
  </r>
  <r>
    <x v="4"/>
    <n v="13.6891"/>
    <n v="-89.200900000000004"/>
    <n v="257.76"/>
    <n v="0"/>
    <n v="0"/>
    <n v="105"/>
    <s v="_x0000_US"/>
  </r>
  <r>
    <x v="4"/>
    <n v="13.6812"/>
    <n v="-89.200900000000004"/>
    <n v="272.08"/>
    <n v="0"/>
    <n v="0"/>
    <n v="105"/>
    <s v="_x0000_US"/>
  </r>
  <r>
    <x v="4"/>
    <n v="13.6777"/>
    <n v="-89.200900000000004"/>
    <n v="393.8"/>
    <n v="0"/>
    <n v="0"/>
    <n v="105"/>
    <s v="_x0000_US"/>
  </r>
  <r>
    <x v="4"/>
    <n v="13.687200000000001"/>
    <n v="-89.200900000000004"/>
    <n v="429.6"/>
    <n v="0"/>
    <n v="0"/>
    <n v="105"/>
    <s v="_x0000_US"/>
  </r>
  <r>
    <x v="4"/>
    <n v="13.684699999999999"/>
    <n v="-89.200900000000004"/>
    <n v="501.2"/>
    <n v="0"/>
    <n v="0"/>
    <n v="105"/>
    <s v="_x0000_US"/>
  </r>
  <r>
    <x v="4"/>
    <n v="13.688000000000001"/>
    <n v="-89.200900000000004"/>
    <n v="537"/>
    <n v="0"/>
    <n v="0"/>
    <n v="105"/>
    <s v="_x0000_US"/>
  </r>
  <r>
    <x v="4"/>
    <n v="13.6813"/>
    <n v="-89.200800000000001"/>
    <n v="71.599999999999994"/>
    <n v="0"/>
    <n v="0"/>
    <n v="105"/>
    <s v="_x0000_US"/>
  </r>
  <r>
    <x v="4"/>
    <n v="13.685"/>
    <n v="-89.200800000000001"/>
    <n v="157.52000000000001"/>
    <n v="0"/>
    <n v="0"/>
    <n v="105"/>
    <s v="_x0000_US"/>
  </r>
  <r>
    <x v="4"/>
    <n v="13.6889"/>
    <n v="-89.200800000000001"/>
    <n v="272.08"/>
    <n v="0"/>
    <n v="0"/>
    <n v="105"/>
    <s v="_x0000_US"/>
  </r>
  <r>
    <x v="4"/>
    <n v="13.688499999999999"/>
    <n v="-89.200800000000001"/>
    <n v="293.56"/>
    <n v="0"/>
    <n v="0"/>
    <n v="105"/>
    <s v="_x0000_US"/>
  </r>
  <r>
    <x v="4"/>
    <n v="13.677300000000001"/>
    <n v="-89.200800000000001"/>
    <n v="400.96"/>
    <n v="0"/>
    <n v="0"/>
    <n v="105"/>
    <s v="_x0000_US"/>
  </r>
  <r>
    <x v="4"/>
    <n v="13.686199999999999"/>
    <n v="-89.200800000000001"/>
    <n v="494.04"/>
    <n v="0"/>
    <n v="0"/>
    <n v="105"/>
    <s v="_x0000_US"/>
  </r>
  <r>
    <x v="4"/>
    <n v="13.6905"/>
    <n v="-89.200699999999998"/>
    <n v="100.24"/>
    <n v="0"/>
    <n v="0"/>
    <n v="105"/>
    <s v="_x0000_US"/>
  </r>
  <r>
    <x v="4"/>
    <n v="13.689299999999999"/>
    <n v="-89.200699999999998"/>
    <n v="472.56"/>
    <n v="0"/>
    <n v="0"/>
    <n v="105"/>
    <s v="_x0000_US"/>
  </r>
  <r>
    <x v="4"/>
    <n v="13.690099999999999"/>
    <n v="-89.200699999999998"/>
    <n v="708.84"/>
    <n v="0"/>
    <n v="0"/>
    <n v="105"/>
    <s v="_x0000_US"/>
  </r>
  <r>
    <x v="4"/>
    <n v="13.679600000000001"/>
    <n v="-89.200699999999998"/>
    <n v="794.76"/>
    <n v="0"/>
    <n v="0"/>
    <n v="105"/>
    <s v="_x0000_US"/>
  </r>
  <r>
    <x v="4"/>
    <n v="13.6761"/>
    <n v="-89.200699999999998"/>
    <n v="1045.3599999999999"/>
    <n v="0"/>
    <n v="0"/>
    <n v="105"/>
    <s v="_x0000_US"/>
  </r>
  <r>
    <x v="4"/>
    <n v="13.6906"/>
    <n v="-89.200599999999994"/>
    <n v="143.19999999999999"/>
    <n v="0"/>
    <n v="0"/>
    <n v="105"/>
    <s v="_x0000_US"/>
  </r>
  <r>
    <x v="4"/>
    <n v="13.6838"/>
    <n v="-89.200599999999994"/>
    <n v="200.48"/>
    <n v="0"/>
    <n v="0"/>
    <n v="105"/>
    <s v="_x0000_US"/>
  </r>
  <r>
    <x v="4"/>
    <n v="13.6836"/>
    <n v="-89.200599999999994"/>
    <n v="257.76"/>
    <n v="0"/>
    <n v="0"/>
    <n v="105"/>
    <s v="_x0000_US"/>
  </r>
  <r>
    <x v="4"/>
    <n v="13.688700000000001"/>
    <n v="-89.200599999999994"/>
    <n v="365.16"/>
    <n v="0"/>
    <n v="0"/>
    <n v="105"/>
    <s v="_x0000_US"/>
  </r>
  <r>
    <x v="4"/>
    <n v="13.677"/>
    <n v="-89.200599999999994"/>
    <n v="386.64"/>
    <n v="0"/>
    <n v="0"/>
    <n v="105"/>
    <s v="_x0000_US"/>
  </r>
  <r>
    <x v="4"/>
    <n v="13.678900000000001"/>
    <n v="-89.200599999999994"/>
    <n v="400.96"/>
    <n v="0"/>
    <n v="0"/>
    <n v="105"/>
    <s v="_x0000_US"/>
  </r>
  <r>
    <x v="4"/>
    <n v="13.6753"/>
    <n v="-89.200599999999994"/>
    <n v="565.64"/>
    <n v="0"/>
    <n v="0"/>
    <n v="105"/>
    <s v="_x0000_US"/>
  </r>
  <r>
    <x v="4"/>
    <n v="13.673500000000001"/>
    <n v="-89.200599999999994"/>
    <n v="7961"/>
    <n v="0"/>
    <n v="0"/>
    <n v="105"/>
    <s v="_x0000_US"/>
  </r>
  <r>
    <x v="4"/>
    <n v="13.687200000000001"/>
    <n v="-89.200500000000005"/>
    <n v="250.6"/>
    <n v="0"/>
    <n v="0"/>
    <n v="105"/>
    <s v="_x0000_US"/>
  </r>
  <r>
    <x v="4"/>
    <n v="13.6775"/>
    <n v="-89.200500000000005"/>
    <n v="293.56"/>
    <n v="0"/>
    <n v="0"/>
    <n v="105"/>
    <s v="_x0000_US"/>
  </r>
  <r>
    <x v="4"/>
    <n v="13.6875"/>
    <n v="-89.200500000000005"/>
    <n v="350.84"/>
    <n v="0"/>
    <n v="0"/>
    <n v="105"/>
    <s v="_x0000_US"/>
  </r>
  <r>
    <x v="4"/>
    <n v="13.687099999999999"/>
    <n v="-89.200500000000005"/>
    <n v="350.84"/>
    <n v="0"/>
    <n v="0"/>
    <n v="105"/>
    <s v="_x0000_US"/>
  </r>
  <r>
    <x v="4"/>
    <n v="13.6896"/>
    <n v="-89.200500000000005"/>
    <n v="358"/>
    <n v="0"/>
    <n v="0"/>
    <n v="105"/>
    <s v="_x0000_US"/>
  </r>
  <r>
    <x v="4"/>
    <n v="13.6782"/>
    <n v="-89.200500000000005"/>
    <n v="1052.52"/>
    <n v="0"/>
    <n v="0"/>
    <n v="105"/>
    <s v="_x0000_US"/>
  </r>
  <r>
    <x v="4"/>
    <n v="13.6836"/>
    <n v="-89.200400000000002"/>
    <n v="279.24"/>
    <n v="0"/>
    <n v="0"/>
    <n v="105"/>
    <s v="_x0000_US"/>
  </r>
  <r>
    <x v="4"/>
    <n v="13.6838"/>
    <n v="-89.200400000000002"/>
    <n v="293.56"/>
    <n v="0"/>
    <n v="0"/>
    <n v="105"/>
    <s v="_x0000_US"/>
  </r>
  <r>
    <x v="4"/>
    <n v="13.6905"/>
    <n v="-89.200400000000002"/>
    <n v="358"/>
    <n v="0"/>
    <n v="0"/>
    <n v="105"/>
    <s v="_x0000_US"/>
  </r>
  <r>
    <x v="4"/>
    <n v="13.6881"/>
    <n v="-89.200400000000002"/>
    <n v="923.64"/>
    <n v="0"/>
    <n v="0"/>
    <n v="105"/>
    <s v="_x0000_US"/>
  </r>
  <r>
    <x v="4"/>
    <n v="13.6866"/>
    <n v="-89.200400000000002"/>
    <n v="1074"/>
    <n v="0"/>
    <n v="0"/>
    <n v="105"/>
    <s v="_x0000_US"/>
  </r>
  <r>
    <x v="4"/>
    <n v="13.6775"/>
    <n v="-89.200299999999999"/>
    <n v="93.08"/>
    <n v="0"/>
    <n v="0"/>
    <n v="105"/>
    <s v="_x0000_US"/>
  </r>
  <r>
    <x v="4"/>
    <n v="13.675000000000001"/>
    <n v="-89.200299999999999"/>
    <n v="107.4"/>
    <n v="0"/>
    <n v="0"/>
    <n v="105"/>
    <s v="_x0000_US"/>
  </r>
  <r>
    <x v="4"/>
    <n v="13.6875"/>
    <n v="-89.200299999999999"/>
    <n v="257.76"/>
    <n v="0"/>
    <n v="0"/>
    <n v="105"/>
    <s v="_x0000_US"/>
  </r>
  <r>
    <x v="4"/>
    <n v="13.677199999999999"/>
    <n v="-89.200299999999999"/>
    <n v="400.96"/>
    <n v="0"/>
    <n v="0"/>
    <n v="105"/>
    <s v="_x0000_US"/>
  </r>
  <r>
    <x v="4"/>
    <n v="13.6792"/>
    <n v="-89.200299999999999"/>
    <n v="472.56"/>
    <n v="0"/>
    <n v="0"/>
    <n v="105"/>
    <s v="_x0000_US"/>
  </r>
  <r>
    <x v="4"/>
    <n v="13.6891"/>
    <n v="-89.200299999999999"/>
    <n v="723.16"/>
    <n v="0"/>
    <n v="0"/>
    <n v="105"/>
    <s v="_x0000_US"/>
  </r>
  <r>
    <x v="4"/>
    <n v="13.6869"/>
    <n v="-89.200299999999999"/>
    <n v="744.64"/>
    <n v="0"/>
    <n v="0"/>
    <n v="105"/>
    <s v="_x0000_US"/>
  </r>
  <r>
    <x v="4"/>
    <n v="13.6836"/>
    <n v="-89.200199999999995"/>
    <n v="35.799999999999997"/>
    <n v="0"/>
    <n v="0"/>
    <n v="105"/>
    <s v="_x0000_US"/>
  </r>
  <r>
    <x v="4"/>
    <n v="13.6769"/>
    <n v="-89.200199999999995"/>
    <n v="193.32"/>
    <n v="0"/>
    <n v="0"/>
    <n v="105"/>
    <s v="_x0000_US"/>
  </r>
  <r>
    <x v="4"/>
    <n v="13.6873"/>
    <n v="-89.200199999999995"/>
    <n v="250.6"/>
    <n v="0"/>
    <n v="0"/>
    <n v="105"/>
    <s v="_x0000_US"/>
  </r>
  <r>
    <x v="4"/>
    <n v="13.6768"/>
    <n v="-89.200199999999995"/>
    <n v="315.04000000000002"/>
    <n v="0"/>
    <n v="0"/>
    <n v="105"/>
    <s v="_x0000_US"/>
  </r>
  <r>
    <x v="4"/>
    <n v="13.69"/>
    <n v="-89.200199999999995"/>
    <n v="716"/>
    <n v="0"/>
    <n v="0"/>
    <n v="105"/>
    <s v="_x0000_US"/>
  </r>
  <r>
    <x v="4"/>
    <n v="13.6852"/>
    <n v="-89.200199999999995"/>
    <n v="995.24"/>
    <n v="0"/>
    <n v="0"/>
    <n v="105"/>
    <s v="_x0000_US"/>
  </r>
  <r>
    <x v="4"/>
    <n v="13.680199999999999"/>
    <n v="-89.200199999999995"/>
    <n v="2097.88"/>
    <n v="0"/>
    <n v="0"/>
    <n v="105"/>
    <s v="_x0000_US"/>
  </r>
  <r>
    <x v="4"/>
    <n v="13.6875"/>
    <n v="-89.200100000000006"/>
    <n v="114.56"/>
    <n v="0"/>
    <n v="0"/>
    <n v="105"/>
    <s v="_x0000_US"/>
  </r>
  <r>
    <x v="4"/>
    <n v="13.674899999999999"/>
    <n v="-89.200100000000006"/>
    <n v="207.64"/>
    <n v="0"/>
    <n v="0"/>
    <n v="105"/>
    <s v="_x0000_US"/>
  </r>
  <r>
    <x v="4"/>
    <n v="13.688599999999999"/>
    <n v="-89.200100000000006"/>
    <n v="365.16"/>
    <n v="0"/>
    <n v="0"/>
    <n v="105"/>
    <s v="_x0000_US"/>
  </r>
  <r>
    <x v="4"/>
    <n v="13.6753"/>
    <n v="-89.200100000000006"/>
    <n v="408.12"/>
    <n v="0"/>
    <n v="0"/>
    <n v="105"/>
    <s v="_x0000_US"/>
  </r>
  <r>
    <x v="4"/>
    <n v="13.6839"/>
    <n v="-89.200100000000006"/>
    <n v="422.44"/>
    <n v="0"/>
    <n v="0"/>
    <n v="105"/>
    <s v="_x0000_US"/>
  </r>
  <r>
    <x v="4"/>
    <n v="13.678800000000001"/>
    <n v="-89.200100000000006"/>
    <n v="436.76"/>
    <n v="0"/>
    <n v="0"/>
    <n v="105"/>
    <s v="_x0000_US"/>
  </r>
  <r>
    <x v="4"/>
    <n v="13.6797"/>
    <n v="-89.200100000000006"/>
    <n v="472.56"/>
    <n v="0"/>
    <n v="0"/>
    <n v="105"/>
    <s v="_x0000_US"/>
  </r>
  <r>
    <x v="4"/>
    <n v="13.676299999999999"/>
    <n v="-89.200100000000006"/>
    <n v="594.28"/>
    <n v="0"/>
    <n v="0"/>
    <n v="105"/>
    <s v="_x0000_US"/>
  </r>
  <r>
    <x v="4"/>
    <n v="13.6873"/>
    <n v="-89.2"/>
    <n v="193.32"/>
    <n v="0"/>
    <n v="0"/>
    <n v="105"/>
    <s v="_x0000_US"/>
  </r>
  <r>
    <x v="4"/>
    <n v="13.6774"/>
    <n v="-89.2"/>
    <n v="343.68"/>
    <n v="0"/>
    <n v="0"/>
    <n v="105"/>
    <s v="_x0000_US"/>
  </r>
  <r>
    <x v="4"/>
    <n v="13.689500000000001"/>
    <n v="-89.2"/>
    <n v="358"/>
    <n v="0"/>
    <n v="0"/>
    <n v="105"/>
    <s v="_x0000_US"/>
  </r>
  <r>
    <x v="4"/>
    <n v="13.674099999999999"/>
    <n v="-89.2"/>
    <n v="372.32"/>
    <n v="0"/>
    <n v="0"/>
    <n v="105"/>
    <s v="_x0000_US"/>
  </r>
  <r>
    <x v="4"/>
    <n v="13.6752"/>
    <n v="-89.2"/>
    <n v="415.28"/>
    <n v="0"/>
    <n v="0"/>
    <n v="105"/>
    <s v="_x0000_US"/>
  </r>
  <r>
    <x v="4"/>
    <n v="13.6876"/>
    <n v="-89.2"/>
    <n v="923.64"/>
    <n v="0"/>
    <n v="0"/>
    <n v="105"/>
    <s v="_x0000_US"/>
  </r>
  <r>
    <x v="4"/>
    <n v="13.678100000000001"/>
    <n v="-89.2"/>
    <n v="1074"/>
    <n v="0"/>
    <n v="0"/>
    <n v="105"/>
    <s v="_x0000_US"/>
  </r>
  <r>
    <x v="4"/>
    <n v="13.6747"/>
    <n v="-89.1999"/>
    <n v="207.64"/>
    <n v="0"/>
    <n v="0"/>
    <n v="105"/>
    <s v="_x0000_US"/>
  </r>
  <r>
    <x v="4"/>
    <n v="13.684200000000001"/>
    <n v="-89.1999"/>
    <n v="257.76"/>
    <n v="0"/>
    <n v="0"/>
    <n v="105"/>
    <s v="_x0000_US"/>
  </r>
  <r>
    <x v="4"/>
    <n v="13.6889"/>
    <n v="-89.1999"/>
    <n v="358"/>
    <n v="0"/>
    <n v="0"/>
    <n v="105"/>
    <s v="_x0000_US"/>
  </r>
  <r>
    <x v="4"/>
    <n v="13.6904"/>
    <n v="-89.1999"/>
    <n v="358"/>
    <n v="0"/>
    <n v="0"/>
    <n v="105"/>
    <s v="_x0000_US"/>
  </r>
  <r>
    <x v="4"/>
    <n v="13.677099999999999"/>
    <n v="-89.1999"/>
    <n v="422.44"/>
    <n v="0"/>
    <n v="0"/>
    <n v="105"/>
    <s v="_x0000_US"/>
  </r>
  <r>
    <x v="4"/>
    <n v="13.679399999999999"/>
    <n v="-89.1999"/>
    <n v="436.76"/>
    <n v="0"/>
    <n v="0"/>
    <n v="105"/>
    <s v="_x0000_US"/>
  </r>
  <r>
    <x v="4"/>
    <n v="13.684799999999999"/>
    <n v="-89.1999"/>
    <n v="1868.76"/>
    <n v="0"/>
    <n v="0"/>
    <n v="105"/>
    <s v="_x0000_US"/>
  </r>
  <r>
    <x v="4"/>
    <n v="13.6745"/>
    <n v="-89.199799999999996"/>
    <n v="136.04"/>
    <n v="0"/>
    <n v="0"/>
    <n v="105"/>
    <s v="_x0000_US"/>
  </r>
  <r>
    <x v="4"/>
    <n v="13.6913"/>
    <n v="-89.199799999999996"/>
    <n v="159.22"/>
    <n v="0"/>
    <n v="0"/>
    <n v="105"/>
    <s v="_x0000_US"/>
  </r>
  <r>
    <x v="4"/>
    <n v="13.6744"/>
    <n v="-89.199799999999996"/>
    <n v="200.48"/>
    <n v="0"/>
    <n v="0"/>
    <n v="105"/>
    <s v="_x0000_US"/>
  </r>
  <r>
    <x v="4"/>
    <n v="13.6898"/>
    <n v="-89.199799999999996"/>
    <n v="358"/>
    <n v="0"/>
    <n v="0"/>
    <n v="105"/>
    <s v="_x0000_US"/>
  </r>
  <r>
    <x v="4"/>
    <n v="13.689299999999999"/>
    <n v="-89.199799999999996"/>
    <n v="358"/>
    <n v="0"/>
    <n v="0"/>
    <n v="105"/>
    <s v="_x0000_US"/>
  </r>
  <r>
    <x v="4"/>
    <n v="13.6875"/>
    <n v="-89.199799999999996"/>
    <n v="379.48"/>
    <n v="0"/>
    <n v="0"/>
    <n v="105"/>
    <s v="_x0000_US"/>
  </r>
  <r>
    <x v="4"/>
    <n v="13.675000000000001"/>
    <n v="-89.199799999999996"/>
    <n v="422.44"/>
    <n v="0"/>
    <n v="0"/>
    <n v="105"/>
    <s v="_x0000_US"/>
  </r>
  <r>
    <x v="4"/>
    <n v="13.68"/>
    <n v="-89.199799999999996"/>
    <n v="443.92"/>
    <n v="0"/>
    <n v="0"/>
    <n v="105"/>
    <s v="_x0000_US"/>
  </r>
  <r>
    <x v="4"/>
    <n v="13.6745"/>
    <n v="-89.199700000000007"/>
    <n v="71.599999999999994"/>
    <n v="0"/>
    <n v="0"/>
    <n v="105"/>
    <s v="_x0000_US"/>
  </r>
  <r>
    <x v="4"/>
    <n v="13.6914"/>
    <n v="-89.199700000000007"/>
    <n v="179"/>
    <n v="0"/>
    <n v="0"/>
    <n v="105"/>
    <s v="_x0000_US"/>
  </r>
  <r>
    <x v="4"/>
    <n v="13.676299999999999"/>
    <n v="-89.199700000000007"/>
    <n v="221.96"/>
    <n v="0"/>
    <n v="0"/>
    <n v="105"/>
    <s v="_x0000_US"/>
  </r>
  <r>
    <x v="4"/>
    <n v="13.687099999999999"/>
    <n v="-89.199700000000007"/>
    <n v="300.72000000000003"/>
    <n v="0"/>
    <n v="0"/>
    <n v="105"/>
    <s v="_x0000_US"/>
  </r>
  <r>
    <x v="4"/>
    <n v="13.690200000000001"/>
    <n v="-89.199700000000007"/>
    <n v="358"/>
    <n v="0"/>
    <n v="0"/>
    <n v="105"/>
    <s v="_x0000_US"/>
  </r>
  <r>
    <x v="4"/>
    <n v="13.674799999999999"/>
    <n v="-89.199700000000007"/>
    <n v="422.44"/>
    <n v="0"/>
    <n v="0"/>
    <n v="105"/>
    <s v="_x0000_US"/>
  </r>
  <r>
    <x v="4"/>
    <n v="13.674099999999999"/>
    <n v="-89.199700000000007"/>
    <n v="429.6"/>
    <n v="0"/>
    <n v="0"/>
    <n v="105"/>
    <s v="_x0000_US"/>
  </r>
  <r>
    <x v="4"/>
    <n v="13.679"/>
    <n v="-89.199700000000007"/>
    <n v="472.56"/>
    <n v="0"/>
    <n v="0"/>
    <n v="105"/>
    <s v="_x0000_US"/>
  </r>
  <r>
    <x v="4"/>
    <n v="13.6913"/>
    <n v="-89.199600000000004"/>
    <n v="67.040000000000006"/>
    <n v="0"/>
    <n v="0"/>
    <n v="105"/>
    <s v="_x0000_US"/>
  </r>
  <r>
    <x v="4"/>
    <n v="13.691800000000001"/>
    <n v="-89.199600000000004"/>
    <n v="107.4"/>
    <n v="0"/>
    <n v="0"/>
    <n v="105"/>
    <s v="_x0000_US"/>
  </r>
  <r>
    <x v="4"/>
    <n v="13.674300000000001"/>
    <n v="-89.199600000000004"/>
    <n v="171.84"/>
    <n v="0"/>
    <n v="0"/>
    <n v="105"/>
    <s v="_x0000_US"/>
  </r>
  <r>
    <x v="4"/>
    <n v="13.691599999999999"/>
    <n v="-89.199600000000004"/>
    <n v="229.12"/>
    <n v="0"/>
    <n v="0"/>
    <n v="105"/>
    <s v="_x0000_US"/>
  </r>
  <r>
    <x v="4"/>
    <n v="13.676500000000001"/>
    <n v="-89.199600000000004"/>
    <n v="264.92"/>
    <n v="0"/>
    <n v="0"/>
    <n v="105"/>
    <s v="_x0000_US"/>
  </r>
  <r>
    <x v="4"/>
    <n v="13.688599999999999"/>
    <n v="-89.199600000000004"/>
    <n v="365.16"/>
    <n v="0"/>
    <n v="0"/>
    <n v="105"/>
    <s v="_x0000_US"/>
  </r>
  <r>
    <x v="4"/>
    <n v="13.679600000000001"/>
    <n v="-89.199600000000004"/>
    <n v="472.56"/>
    <n v="0"/>
    <n v="0"/>
    <n v="105"/>
    <s v="_x0000_US"/>
  </r>
  <r>
    <x v="4"/>
    <n v="13.690899999999999"/>
    <n v="-89.199600000000004"/>
    <n v="708.84"/>
    <n v="0"/>
    <n v="0"/>
    <n v="105"/>
    <s v="_x0000_US"/>
  </r>
  <r>
    <x v="4"/>
    <n v="13.674300000000001"/>
    <n v="-89.1995"/>
    <n v="35.799999999999997"/>
    <n v="0"/>
    <n v="0"/>
    <n v="105"/>
    <s v="_x0000_US"/>
  </r>
  <r>
    <x v="4"/>
    <n v="13.691800000000001"/>
    <n v="-89.1995"/>
    <n v="35.799999999999997"/>
    <n v="0"/>
    <n v="0"/>
    <n v="105"/>
    <s v="_x0000_US"/>
  </r>
  <r>
    <x v="4"/>
    <n v="13.691800000000001"/>
    <n v="-89.1995"/>
    <n v="64.44"/>
    <n v="0"/>
    <n v="0"/>
    <n v="105"/>
    <s v="_x0000_US"/>
  </r>
  <r>
    <x v="4"/>
    <n v="13.6904"/>
    <n v="-89.1995"/>
    <n v="358"/>
    <n v="0"/>
    <n v="0"/>
    <n v="105"/>
    <s v="_x0000_US"/>
  </r>
  <r>
    <x v="4"/>
    <n v="13.6746"/>
    <n v="-89.1995"/>
    <n v="422.44"/>
    <n v="0"/>
    <n v="0"/>
    <n v="105"/>
    <s v="_x0000_US"/>
  </r>
  <r>
    <x v="4"/>
    <n v="13.678599999999999"/>
    <n v="-89.1995"/>
    <n v="522.67999999999995"/>
    <n v="0"/>
    <n v="0"/>
    <n v="105"/>
    <s v="_x0000_US"/>
  </r>
  <r>
    <x v="4"/>
    <n v="13.687900000000001"/>
    <n v="-89.1995"/>
    <n v="809.08"/>
    <n v="0"/>
    <n v="0"/>
    <n v="105"/>
    <s v="_x0000_US"/>
  </r>
  <r>
    <x v="4"/>
    <n v="13.683299999999999"/>
    <n v="-89.1995"/>
    <n v="1532.24"/>
    <n v="0"/>
    <n v="0"/>
    <n v="105"/>
    <s v="_x0000_US"/>
  </r>
  <r>
    <x v="4"/>
    <n v="13.691800000000001"/>
    <n v="-89.199399999999997"/>
    <n v="35.799999999999997"/>
    <n v="0"/>
    <n v="0"/>
    <n v="105"/>
    <s v="_x0000_US"/>
  </r>
  <r>
    <x v="4"/>
    <n v="13.691800000000001"/>
    <n v="-89.199399999999997"/>
    <n v="78.760000000000005"/>
    <n v="0"/>
    <n v="0"/>
    <n v="105"/>
    <s v="_x0000_US"/>
  </r>
  <r>
    <x v="4"/>
    <n v="13.676399999999999"/>
    <n v="-89.199399999999997"/>
    <n v="186.16"/>
    <n v="0"/>
    <n v="0"/>
    <n v="105"/>
    <s v="_x0000_US"/>
  </r>
  <r>
    <x v="4"/>
    <n v="13.674200000000001"/>
    <n v="-89.199399999999997"/>
    <n v="207.64"/>
    <n v="0"/>
    <n v="0"/>
    <n v="105"/>
    <s v="_x0000_US"/>
  </r>
  <r>
    <x v="4"/>
    <n v="13.68"/>
    <n v="-89.199399999999997"/>
    <n v="236.28"/>
    <n v="0"/>
    <n v="0"/>
    <n v="105"/>
    <s v="_x0000_US"/>
  </r>
  <r>
    <x v="4"/>
    <n v="13.689"/>
    <n v="-89.199399999999997"/>
    <n v="716"/>
    <n v="0"/>
    <n v="0"/>
    <n v="105"/>
    <s v="_x0000_US"/>
  </r>
  <r>
    <x v="4"/>
    <n v="13.677899999999999"/>
    <n v="-89.199399999999997"/>
    <n v="1031.04"/>
    <n v="0"/>
    <n v="0"/>
    <n v="105"/>
    <s v="_x0000_US"/>
  </r>
  <r>
    <x v="4"/>
    <n v="13.6869"/>
    <n v="-89.199399999999997"/>
    <n v="2835.36"/>
    <n v="0"/>
    <n v="0"/>
    <n v="105"/>
    <s v="_x0000_US"/>
  </r>
  <r>
    <x v="4"/>
    <n v="13.691800000000001"/>
    <n v="-89.199299999999994"/>
    <n v="42.96"/>
    <n v="0"/>
    <n v="0"/>
    <n v="105"/>
    <s v="_x0000_US"/>
  </r>
  <r>
    <x v="4"/>
    <n v="13.691800000000001"/>
    <n v="-89.199299999999994"/>
    <n v="71.599999999999994"/>
    <n v="0"/>
    <n v="0"/>
    <n v="105"/>
    <s v="_x0000_US"/>
  </r>
  <r>
    <x v="4"/>
    <n v="13.6744"/>
    <n v="-89.199299999999994"/>
    <n v="422.44"/>
    <n v="0"/>
    <n v="0"/>
    <n v="105"/>
    <s v="_x0000_US"/>
  </r>
  <r>
    <x v="4"/>
    <n v="13.6792"/>
    <n v="-89.199299999999994"/>
    <n v="501.2"/>
    <n v="0"/>
    <n v="0"/>
    <n v="105"/>
    <s v="_x0000_US"/>
  </r>
  <r>
    <x v="4"/>
    <n v="13.6915"/>
    <n v="-89.199299999999994"/>
    <n v="529.84"/>
    <n v="0"/>
    <n v="0"/>
    <n v="105"/>
    <s v="_x0000_US"/>
  </r>
  <r>
    <x v="4"/>
    <n v="13.677099999999999"/>
    <n v="-89.199299999999994"/>
    <n v="665.88"/>
    <n v="0"/>
    <n v="0"/>
    <n v="105"/>
    <s v="_x0000_US"/>
  </r>
  <r>
    <x v="4"/>
    <n v="13.689500000000001"/>
    <n v="-89.199299999999994"/>
    <n v="716"/>
    <n v="0"/>
    <n v="0"/>
    <n v="105"/>
    <s v="_x0000_US"/>
  </r>
  <r>
    <x v="4"/>
    <n v="13.6899"/>
    <n v="-89.199299999999994"/>
    <n v="723.16"/>
    <n v="0"/>
    <n v="0"/>
    <n v="105"/>
    <s v="_x0000_US"/>
  </r>
  <r>
    <x v="4"/>
    <n v="13.692"/>
    <n v="-89.199200000000005"/>
    <n v="21.48"/>
    <n v="0"/>
    <n v="0"/>
    <n v="105"/>
    <s v="_x0000_US"/>
  </r>
  <r>
    <x v="4"/>
    <n v="13.691800000000001"/>
    <n v="-89.199200000000005"/>
    <n v="21.48"/>
    <n v="0"/>
    <n v="0"/>
    <n v="105"/>
    <s v="_x0000_US"/>
  </r>
  <r>
    <x v="4"/>
    <n v="13.692"/>
    <n v="-89.199200000000005"/>
    <n v="28.64"/>
    <n v="0"/>
    <n v="0"/>
    <n v="105"/>
    <s v="_x0000_US"/>
  </r>
  <r>
    <x v="4"/>
    <n v="13.692"/>
    <n v="-89.199200000000005"/>
    <n v="50.12"/>
    <n v="0"/>
    <n v="0"/>
    <n v="105"/>
    <s v="_x0000_US"/>
  </r>
  <r>
    <x v="4"/>
    <n v="13.6919"/>
    <n v="-89.199200000000005"/>
    <n v="78.760000000000005"/>
    <n v="0"/>
    <n v="0"/>
    <n v="105"/>
    <s v="_x0000_US"/>
  </r>
  <r>
    <x v="4"/>
    <n v="13.691800000000001"/>
    <n v="-89.199200000000005"/>
    <n v="85.92"/>
    <n v="0"/>
    <n v="0"/>
    <n v="105"/>
    <s v="_x0000_US"/>
  </r>
  <r>
    <x v="4"/>
    <n v="13.673999999999999"/>
    <n v="-89.199200000000005"/>
    <n v="193.32"/>
    <n v="0"/>
    <n v="0"/>
    <n v="105"/>
    <s v="_x0000_US"/>
  </r>
  <r>
    <x v="4"/>
    <n v="13.6906"/>
    <n v="-89.199200000000005"/>
    <n v="307.88"/>
    <n v="0"/>
    <n v="0"/>
    <n v="105"/>
    <s v="_x0000_US"/>
  </r>
  <r>
    <x v="4"/>
    <n v="13.676299999999999"/>
    <n v="-89.199200000000005"/>
    <n v="315.04000000000002"/>
    <n v="0"/>
    <n v="0"/>
    <n v="105"/>
    <s v="_x0000_US"/>
  </r>
  <r>
    <x v="4"/>
    <n v="13.688599999999999"/>
    <n v="-89.199200000000005"/>
    <n v="350.84"/>
    <n v="0"/>
    <n v="0"/>
    <n v="105"/>
    <s v="_x0000_US"/>
  </r>
  <r>
    <x v="4"/>
    <n v="13.6799"/>
    <n v="-89.199200000000005"/>
    <n v="408.12"/>
    <n v="0"/>
    <n v="0"/>
    <n v="105"/>
    <s v="_x0000_US"/>
  </r>
  <r>
    <x v="4"/>
    <n v="13.6877"/>
    <n v="-89.199200000000005"/>
    <n v="451.08"/>
    <n v="0"/>
    <n v="0"/>
    <n v="105"/>
    <s v="_x0000_US"/>
  </r>
  <r>
    <x v="4"/>
    <n v="13.6919"/>
    <n v="-89.199100000000001"/>
    <n v="42.96"/>
    <n v="0"/>
    <n v="0"/>
    <n v="105"/>
    <s v="_x0000_US"/>
  </r>
  <r>
    <x v="4"/>
    <n v="13.692"/>
    <n v="-89.199100000000001"/>
    <n v="100.24"/>
    <n v="0"/>
    <n v="0"/>
    <n v="105"/>
    <s v="_x0000_US"/>
  </r>
  <r>
    <x v="4"/>
    <n v="13.691800000000001"/>
    <n v="-89.199100000000001"/>
    <n v="143.19999999999999"/>
    <n v="0"/>
    <n v="0"/>
    <n v="105"/>
    <s v="_x0000_US"/>
  </r>
  <r>
    <x v="4"/>
    <n v="13.674300000000001"/>
    <n v="-89.199100000000001"/>
    <n v="422.44"/>
    <n v="0"/>
    <n v="0"/>
    <n v="105"/>
    <s v="_x0000_US"/>
  </r>
  <r>
    <x v="4"/>
    <n v="13.678800000000001"/>
    <n v="-89.199100000000001"/>
    <n v="544.16"/>
    <n v="0"/>
    <n v="0"/>
    <n v="105"/>
    <s v="_x0000_US"/>
  </r>
  <r>
    <x v="4"/>
    <n v="13.679600000000001"/>
    <n v="-89.199100000000001"/>
    <n v="637.24"/>
    <n v="0"/>
    <n v="0"/>
    <n v="105"/>
    <s v="_x0000_US"/>
  </r>
  <r>
    <x v="4"/>
    <n v="13.6873"/>
    <n v="-89.199100000000001"/>
    <n v="665.88"/>
    <n v="0"/>
    <n v="0"/>
    <n v="105"/>
    <s v="_x0000_US"/>
  </r>
  <r>
    <x v="4"/>
    <n v="13.6913"/>
    <n v="-89.199100000000001"/>
    <n v="846.38"/>
    <n v="0"/>
    <n v="0"/>
    <n v="105"/>
    <s v="_x0000_US"/>
  </r>
  <r>
    <x v="4"/>
    <n v="13.692"/>
    <n v="-89.198999999999998"/>
    <n v="28.64"/>
    <n v="0"/>
    <n v="0"/>
    <n v="105"/>
    <s v="_x0000_US"/>
  </r>
  <r>
    <x v="4"/>
    <n v="13.692"/>
    <n v="-89.198999999999998"/>
    <n v="107.4"/>
    <n v="0"/>
    <n v="0"/>
    <n v="105"/>
    <s v="_x0000_US"/>
  </r>
  <r>
    <x v="4"/>
    <n v="13.691599999999999"/>
    <n v="-89.198999999999998"/>
    <n v="221.96"/>
    <n v="0"/>
    <n v="0"/>
    <n v="105"/>
    <s v="_x0000_US"/>
  </r>
  <r>
    <x v="4"/>
    <n v="13.6904"/>
    <n v="-89.198999999999998"/>
    <n v="358"/>
    <n v="0"/>
    <n v="0"/>
    <n v="105"/>
    <s v="_x0000_US"/>
  </r>
  <r>
    <x v="4"/>
    <n v="13.6882"/>
    <n v="-89.198999999999998"/>
    <n v="572.79999999999995"/>
    <n v="0"/>
    <n v="0"/>
    <n v="105"/>
    <s v="_x0000_US"/>
  </r>
  <r>
    <x v="4"/>
    <n v="13.6768"/>
    <n v="-89.198999999999998"/>
    <n v="744.64"/>
    <n v="0"/>
    <n v="0"/>
    <n v="105"/>
    <s v="_x0000_US"/>
  </r>
  <r>
    <x v="4"/>
    <n v="13.692"/>
    <n v="-89.198899999999995"/>
    <n v="28.64"/>
    <n v="0"/>
    <n v="0"/>
    <n v="105"/>
    <s v="_x0000_US"/>
  </r>
  <r>
    <x v="4"/>
    <n v="13.680099999999999"/>
    <n v="-89.198899999999995"/>
    <n v="250.6"/>
    <n v="0"/>
    <n v="0"/>
    <n v="105"/>
    <s v="_x0000_US"/>
  </r>
  <r>
    <x v="4"/>
    <n v="13.673999999999999"/>
    <n v="-89.198899999999995"/>
    <n v="307.88"/>
    <n v="0"/>
    <n v="0"/>
    <n v="105"/>
    <s v="_x0000_US"/>
  </r>
  <r>
    <x v="4"/>
    <n v="13.6876"/>
    <n v="-89.198899999999995"/>
    <n v="336.52"/>
    <n v="0"/>
    <n v="0"/>
    <n v="105"/>
    <s v="_x0000_US"/>
  </r>
  <r>
    <x v="4"/>
    <n v="13.688800000000001"/>
    <n v="-89.198899999999995"/>
    <n v="350.84"/>
    <n v="0"/>
    <n v="0"/>
    <n v="105"/>
    <s v="_x0000_US"/>
  </r>
  <r>
    <x v="4"/>
    <n v="13.6892"/>
    <n v="-89.198899999999995"/>
    <n v="365.16"/>
    <n v="0"/>
    <n v="0"/>
    <n v="105"/>
    <s v="_x0000_US"/>
  </r>
  <r>
    <x v="4"/>
    <n v="13.6921"/>
    <n v="-89.198800000000006"/>
    <n v="28.64"/>
    <n v="0"/>
    <n v="0"/>
    <n v="105"/>
    <s v="_x0000_US"/>
  </r>
  <r>
    <x v="4"/>
    <n v="13.692"/>
    <n v="-89.198800000000006"/>
    <n v="107.4"/>
    <n v="0"/>
    <n v="0"/>
    <n v="105"/>
    <s v="_x0000_US"/>
  </r>
  <r>
    <x v="4"/>
    <n v="13.6915"/>
    <n v="-89.198800000000006"/>
    <n v="257.76"/>
    <n v="0"/>
    <n v="0"/>
    <n v="105"/>
    <s v="_x0000_US"/>
  </r>
  <r>
    <x v="4"/>
    <n v="13.680400000000001"/>
    <n v="-89.198800000000006"/>
    <n v="279.24"/>
    <n v="0"/>
    <n v="0"/>
    <n v="105"/>
    <s v="_x0000_US"/>
  </r>
  <r>
    <x v="4"/>
    <n v="13.685700000000001"/>
    <n v="-89.198800000000006"/>
    <n v="300.72000000000003"/>
    <n v="0"/>
    <n v="0"/>
    <n v="105"/>
    <s v="_x0000_US"/>
  </r>
  <r>
    <x v="4"/>
    <n v="13.6897"/>
    <n v="-89.198800000000006"/>
    <n v="358"/>
    <n v="0"/>
    <n v="0"/>
    <n v="105"/>
    <s v="_x0000_US"/>
  </r>
  <r>
    <x v="4"/>
    <n v="13.690099999999999"/>
    <n v="-89.198800000000006"/>
    <n v="365.16"/>
    <n v="0"/>
    <n v="0"/>
    <n v="105"/>
    <s v="_x0000_US"/>
  </r>
  <r>
    <x v="4"/>
    <n v="13.6853"/>
    <n v="-89.198800000000006"/>
    <n v="365.16"/>
    <n v="0"/>
    <n v="0"/>
    <n v="105"/>
    <s v="_x0000_US"/>
  </r>
  <r>
    <x v="4"/>
    <n v="13.674200000000001"/>
    <n v="-89.198700000000002"/>
    <n v="114.56"/>
    <n v="0"/>
    <n v="0"/>
    <n v="105"/>
    <s v="_x0000_US"/>
  </r>
  <r>
    <x v="4"/>
    <n v="13.692"/>
    <n v="-89.198700000000002"/>
    <n v="136.04"/>
    <n v="0"/>
    <n v="0"/>
    <n v="105"/>
    <s v="_x0000_US"/>
  </r>
  <r>
    <x v="4"/>
    <n v="13.6911"/>
    <n v="-89.198700000000002"/>
    <n v="207.64"/>
    <n v="0"/>
    <n v="0"/>
    <n v="105"/>
    <s v="_x0000_US"/>
  </r>
  <r>
    <x v="4"/>
    <n v="13.6914"/>
    <n v="-89.198700000000002"/>
    <n v="221.96"/>
    <n v="0"/>
    <n v="0"/>
    <n v="105"/>
    <s v="_x0000_US"/>
  </r>
  <r>
    <x v="4"/>
    <n v="13.689399999999999"/>
    <n v="-89.198700000000002"/>
    <n v="272.08"/>
    <n v="0"/>
    <n v="0"/>
    <n v="105"/>
    <s v="_x0000_US"/>
  </r>
  <r>
    <x v="4"/>
    <n v="13.6907"/>
    <n v="-89.198700000000002"/>
    <n v="486.88"/>
    <n v="0"/>
    <n v="0"/>
    <n v="105"/>
    <s v="_x0000_US"/>
  </r>
  <r>
    <x v="4"/>
    <n v="13.6899"/>
    <n v="-89.198599999999999"/>
    <n v="307.88"/>
    <n v="0"/>
    <n v="0"/>
    <n v="105"/>
    <s v="_x0000_US"/>
  </r>
  <r>
    <x v="4"/>
    <n v="13.6873"/>
    <n v="-89.198599999999999"/>
    <n v="393.86"/>
    <n v="0"/>
    <n v="0"/>
    <n v="105"/>
    <s v="_x0000_US"/>
  </r>
  <r>
    <x v="4"/>
    <n v="13.691800000000001"/>
    <n v="-89.198599999999999"/>
    <n v="422.44"/>
    <n v="0"/>
    <n v="0"/>
    <n v="105"/>
    <s v="_x0000_US"/>
  </r>
  <r>
    <x v="4"/>
    <n v="13.673999999999999"/>
    <n v="-89.198599999999999"/>
    <n v="436.76"/>
    <n v="0"/>
    <n v="0"/>
    <n v="105"/>
    <s v="_x0000_US"/>
  </r>
  <r>
    <x v="4"/>
    <n v="13.688499999999999"/>
    <n v="-89.198599999999999"/>
    <n v="479.72"/>
    <n v="0"/>
    <n v="0"/>
    <n v="105"/>
    <s v="_x0000_US"/>
  </r>
  <r>
    <x v="4"/>
    <n v="13.6844"/>
    <n v="-89.198599999999999"/>
    <n v="1317.44"/>
    <n v="0"/>
    <n v="0"/>
    <n v="105"/>
    <s v="_x0000_US"/>
  </r>
  <r>
    <x v="4"/>
    <n v="13.686199999999999"/>
    <n v="-89.198499999999996"/>
    <n v="78.760000000000005"/>
    <n v="0"/>
    <n v="0"/>
    <n v="105"/>
    <s v="_x0000_US"/>
  </r>
  <r>
    <x v="4"/>
    <n v="13.6861"/>
    <n v="-89.198499999999996"/>
    <n v="279.24"/>
    <n v="0"/>
    <n v="0"/>
    <n v="105"/>
    <s v="_x0000_US"/>
  </r>
  <r>
    <x v="4"/>
    <n v="13.690899999999999"/>
    <n v="-89.198499999999996"/>
    <n v="372.32"/>
    <n v="0"/>
    <n v="0"/>
    <n v="105"/>
    <s v="_x0000_US"/>
  </r>
  <r>
    <x v="4"/>
    <n v="13.685"/>
    <n v="-89.198499999999996"/>
    <n v="400.96"/>
    <n v="0"/>
    <n v="0"/>
    <n v="105"/>
    <s v="_x0000_US"/>
  </r>
  <r>
    <x v="4"/>
    <n v="13.6837"/>
    <n v="-89.198499999999996"/>
    <n v="400.96"/>
    <n v="0"/>
    <n v="0"/>
    <n v="105"/>
    <s v="_x0000_US"/>
  </r>
  <r>
    <x v="4"/>
    <n v="13.6889"/>
    <n v="-89.198499999999996"/>
    <n v="823.4"/>
    <n v="0"/>
    <n v="0"/>
    <n v="105"/>
    <s v="_x0000_US"/>
  </r>
  <r>
    <x v="4"/>
    <n v="13.686199999999999"/>
    <n v="-89.198400000000007"/>
    <n v="35.799999999999997"/>
    <n v="0"/>
    <n v="0"/>
    <n v="105"/>
    <s v="_x0000_US"/>
  </r>
  <r>
    <x v="4"/>
    <n v="13.686299999999999"/>
    <n v="-89.198400000000007"/>
    <n v="114.56"/>
    <n v="0"/>
    <n v="0"/>
    <n v="105"/>
    <s v="_x0000_US"/>
  </r>
  <r>
    <x v="4"/>
    <n v="13.6737"/>
    <n v="-89.198400000000007"/>
    <n v="164.68"/>
    <n v="0"/>
    <n v="0"/>
    <n v="105"/>
    <s v="_x0000_US"/>
  </r>
  <r>
    <x v="4"/>
    <n v="13.691599999999999"/>
    <n v="-89.198400000000007"/>
    <n v="386.64"/>
    <n v="0"/>
    <n v="0"/>
    <n v="105"/>
    <s v="_x0000_US"/>
  </r>
  <r>
    <x v="4"/>
    <n v="13.6912"/>
    <n v="-89.198400000000007"/>
    <n v="410.62"/>
    <n v="0"/>
    <n v="0"/>
    <n v="105"/>
    <s v="_x0000_US"/>
  </r>
  <r>
    <x v="4"/>
    <n v="13.684100000000001"/>
    <n v="-89.198400000000007"/>
    <n v="544.16"/>
    <n v="0"/>
    <n v="0"/>
    <n v="105"/>
    <s v="_x0000_US"/>
  </r>
  <r>
    <x v="4"/>
    <n v="13.690300000000001"/>
    <n v="-89.198400000000007"/>
    <n v="551.32000000000005"/>
    <n v="0"/>
    <n v="0"/>
    <n v="105"/>
    <s v="_x0000_US"/>
  </r>
  <r>
    <x v="4"/>
    <n v="13.685499999999999"/>
    <n v="-89.198400000000007"/>
    <n v="637.24"/>
    <n v="0"/>
    <n v="0"/>
    <n v="105"/>
    <s v="_x0000_US"/>
  </r>
  <r>
    <x v="4"/>
    <n v="13.6881"/>
    <n v="-89.198400000000007"/>
    <n v="916.48"/>
    <n v="0"/>
    <n v="0"/>
    <n v="105"/>
    <s v="_x0000_US"/>
  </r>
  <r>
    <x v="4"/>
    <n v="13.686199999999999"/>
    <n v="-89.198300000000003"/>
    <n v="157.52000000000001"/>
    <n v="0"/>
    <n v="0"/>
    <n v="105"/>
    <s v="_x0000_US"/>
  </r>
  <r>
    <x v="4"/>
    <n v="13.687099999999999"/>
    <n v="-89.198300000000003"/>
    <n v="175.98"/>
    <n v="0"/>
    <n v="0"/>
    <n v="105"/>
    <s v="_x0000_US"/>
  </r>
  <r>
    <x v="4"/>
    <n v="13.6873"/>
    <n v="-89.198300000000003"/>
    <n v="264.92"/>
    <n v="0"/>
    <n v="0"/>
    <n v="105"/>
    <s v="_x0000_US"/>
  </r>
  <r>
    <x v="4"/>
    <n v="13.686"/>
    <n v="-89.198300000000003"/>
    <n v="465.4"/>
    <n v="0"/>
    <n v="0"/>
    <n v="105"/>
    <s v="_x0000_US"/>
  </r>
  <r>
    <x v="4"/>
    <n v="13.684699999999999"/>
    <n v="-89.198300000000003"/>
    <n v="472.56"/>
    <n v="0"/>
    <n v="0"/>
    <n v="105"/>
    <s v="_x0000_US"/>
  </r>
  <r>
    <x v="4"/>
    <n v="13.6805"/>
    <n v="-89.198300000000003"/>
    <n v="579.96"/>
    <n v="0"/>
    <n v="0"/>
    <n v="105"/>
    <s v="_x0000_US"/>
  </r>
  <r>
    <x v="4"/>
    <n v="13.686299999999999"/>
    <n v="-89.1982"/>
    <n v="114.56"/>
    <n v="0"/>
    <n v="0"/>
    <n v="105"/>
    <s v="_x0000_US"/>
  </r>
  <r>
    <x v="4"/>
    <n v="13.6844"/>
    <n v="-89.1982"/>
    <n v="150.36000000000001"/>
    <n v="0"/>
    <n v="0"/>
    <n v="105"/>
    <s v="_x0000_US"/>
  </r>
  <r>
    <x v="4"/>
    <n v="13.6914"/>
    <n v="-89.1982"/>
    <n v="393.8"/>
    <n v="0"/>
    <n v="0"/>
    <n v="105"/>
    <s v="_x0000_US"/>
  </r>
  <r>
    <x v="4"/>
    <n v="13.6812"/>
    <n v="-89.1982"/>
    <n v="1210.04"/>
    <n v="0"/>
    <n v="0"/>
    <n v="105"/>
    <s v="_x0000_US"/>
  </r>
  <r>
    <x v="4"/>
    <n v="13.686199999999999"/>
    <n v="-89.198099999999997"/>
    <n v="136.04"/>
    <n v="0"/>
    <n v="0"/>
    <n v="105"/>
    <s v="_x0000_US"/>
  </r>
  <r>
    <x v="4"/>
    <n v="13.6851"/>
    <n v="-89.198099999999997"/>
    <n v="243.44"/>
    <n v="0"/>
    <n v="0"/>
    <n v="105"/>
    <s v="_x0000_US"/>
  </r>
  <r>
    <x v="4"/>
    <n v="13.687200000000001"/>
    <n v="-89.198099999999997"/>
    <n v="300.72000000000003"/>
    <n v="0"/>
    <n v="0"/>
    <n v="105"/>
    <s v="_x0000_US"/>
  </r>
  <r>
    <x v="4"/>
    <n v="13.692299999999999"/>
    <n v="-89.198099999999997"/>
    <n v="1002.4"/>
    <n v="0"/>
    <n v="0"/>
    <n v="105"/>
    <s v="_x0000_US"/>
  </r>
  <r>
    <x v="4"/>
    <n v="13.6835"/>
    <n v="-89.198099999999997"/>
    <n v="1045.3599999999999"/>
    <n v="0"/>
    <n v="0"/>
    <n v="105"/>
    <s v="_x0000_US"/>
  </r>
  <r>
    <x v="4"/>
    <n v="13.686299999999999"/>
    <n v="-89.197999999999993"/>
    <n v="93.08"/>
    <n v="0"/>
    <n v="0"/>
    <n v="105"/>
    <s v="_x0000_US"/>
  </r>
  <r>
    <x v="4"/>
    <n v="13.6853"/>
    <n v="-89.197999999999993"/>
    <n v="365.16"/>
    <n v="0"/>
    <n v="0"/>
    <n v="105"/>
    <s v="_x0000_US"/>
  </r>
  <r>
    <x v="4"/>
    <n v="13.6858"/>
    <n v="-89.197999999999993"/>
    <n v="386.64"/>
    <n v="0"/>
    <n v="0"/>
    <n v="105"/>
    <s v="_x0000_US"/>
  </r>
  <r>
    <x v="4"/>
    <n v="13.6912"/>
    <n v="-89.197999999999993"/>
    <n v="427.38"/>
    <n v="0"/>
    <n v="0"/>
    <n v="105"/>
    <s v="_x0000_US"/>
  </r>
  <r>
    <x v="4"/>
    <n v="13.688599999999999"/>
    <n v="-89.197999999999993"/>
    <n v="572.79999999999995"/>
    <n v="0"/>
    <n v="0"/>
    <n v="105"/>
    <s v="_x0000_US"/>
  </r>
  <r>
    <x v="4"/>
    <n v="13.6869"/>
    <n v="-89.197999999999993"/>
    <n v="603.36"/>
    <n v="0"/>
    <n v="0"/>
    <n v="105"/>
    <s v="_x0000_US"/>
  </r>
  <r>
    <x v="4"/>
    <n v="13.689399999999999"/>
    <n v="-89.197999999999993"/>
    <n v="873.52"/>
    <n v="0"/>
    <n v="0"/>
    <n v="105"/>
    <s v="_x0000_US"/>
  </r>
  <r>
    <x v="4"/>
    <n v="13.6736"/>
    <n v="-89.197999999999993"/>
    <n v="1575.44"/>
    <n v="0"/>
    <n v="0"/>
    <n v="105"/>
    <s v="_x0000_US"/>
  </r>
  <r>
    <x v="4"/>
    <n v="13.686"/>
    <n v="-89.197900000000004"/>
    <n v="64.44"/>
    <n v="0"/>
    <n v="0"/>
    <n v="105"/>
    <s v="_x0000_US"/>
  </r>
  <r>
    <x v="4"/>
    <n v="13.686199999999999"/>
    <n v="-89.197900000000004"/>
    <n v="128.88"/>
    <n v="0"/>
    <n v="0"/>
    <n v="105"/>
    <s v="_x0000_US"/>
  </r>
  <r>
    <x v="4"/>
    <n v="13.6861"/>
    <n v="-89.197900000000004"/>
    <n v="143.19999999999999"/>
    <n v="0"/>
    <n v="0"/>
    <n v="105"/>
    <s v="_x0000_US"/>
  </r>
  <r>
    <x v="4"/>
    <n v="13.6919"/>
    <n v="-89.197900000000004"/>
    <n v="458.24"/>
    <n v="0"/>
    <n v="0"/>
    <n v="105"/>
    <s v="_x0000_US"/>
  </r>
  <r>
    <x v="4"/>
    <n v="13.6889"/>
    <n v="-89.197800000000001"/>
    <n v="57.28"/>
    <n v="0"/>
    <n v="0"/>
    <n v="105"/>
    <s v="_x0000_US"/>
  </r>
  <r>
    <x v="4"/>
    <n v="13.686"/>
    <n v="-89.197800000000001"/>
    <n v="121.72"/>
    <n v="0"/>
    <n v="0"/>
    <n v="105"/>
    <s v="_x0000_US"/>
  </r>
  <r>
    <x v="4"/>
    <n v="13.686199999999999"/>
    <n v="-89.197800000000001"/>
    <n v="171.84"/>
    <n v="0"/>
    <n v="0"/>
    <n v="105"/>
    <s v="_x0000_US"/>
  </r>
  <r>
    <x v="4"/>
    <n v="13.691000000000001"/>
    <n v="-89.197800000000001"/>
    <n v="229.12"/>
    <n v="0"/>
    <n v="0"/>
    <n v="105"/>
    <s v="_x0000_US"/>
  </r>
  <r>
    <x v="4"/>
    <n v="13.6846"/>
    <n v="-89.197800000000001"/>
    <n v="622.91999999999996"/>
    <n v="0"/>
    <n v="0"/>
    <n v="105"/>
    <s v="_x0000_US"/>
  </r>
  <r>
    <x v="4"/>
    <n v="13.6868"/>
    <n v="-89.197699999999998"/>
    <n v="50.12"/>
    <n v="0"/>
    <n v="0"/>
    <n v="105"/>
    <s v="_x0000_US"/>
  </r>
  <r>
    <x v="4"/>
    <n v="13.6921"/>
    <n v="-89.197699999999998"/>
    <n v="85.92"/>
    <n v="0"/>
    <n v="0"/>
    <n v="105"/>
    <s v="_x0000_US"/>
  </r>
  <r>
    <x v="4"/>
    <n v="13.687799999999999"/>
    <n v="-89.197699999999998"/>
    <n v="221.96"/>
    <n v="0"/>
    <n v="0"/>
    <n v="105"/>
    <s v="_x0000_US"/>
  </r>
  <r>
    <x v="4"/>
    <n v="13.6913"/>
    <n v="-89.197699999999998"/>
    <n v="236.28"/>
    <n v="0"/>
    <n v="0"/>
    <n v="105"/>
    <s v="_x0000_US"/>
  </r>
  <r>
    <x v="4"/>
    <n v="13.6851"/>
    <n v="-89.197699999999998"/>
    <n v="358"/>
    <n v="0"/>
    <n v="0"/>
    <n v="105"/>
    <s v="_x0000_US"/>
  </r>
  <r>
    <x v="4"/>
    <n v="13.691700000000001"/>
    <n v="-89.197699999999998"/>
    <n v="494.04"/>
    <n v="0"/>
    <n v="0"/>
    <n v="105"/>
    <s v="_x0000_US"/>
  </r>
  <r>
    <x v="4"/>
    <n v="13.680099999999999"/>
    <n v="-89.197699999999998"/>
    <n v="952.28"/>
    <n v="0"/>
    <n v="0"/>
    <n v="105"/>
    <s v="_x0000_US"/>
  </r>
  <r>
    <x v="4"/>
    <n v="13.6876"/>
    <n v="-89.197599999999994"/>
    <n v="164.68"/>
    <n v="0"/>
    <n v="0"/>
    <n v="105"/>
    <s v="_x0000_US"/>
  </r>
  <r>
    <x v="4"/>
    <n v="13.6868"/>
    <n v="-89.197599999999994"/>
    <n v="171.84"/>
    <n v="0"/>
    <n v="0"/>
    <n v="105"/>
    <s v="_x0000_US"/>
  </r>
  <r>
    <x v="4"/>
    <n v="13.6859"/>
    <n v="-89.197599999999994"/>
    <n v="200.48"/>
    <n v="0"/>
    <n v="0"/>
    <n v="105"/>
    <s v="_x0000_US"/>
  </r>
  <r>
    <x v="4"/>
    <n v="13.6911"/>
    <n v="-89.197599999999994"/>
    <n v="293.3"/>
    <n v="0"/>
    <n v="0"/>
    <n v="105"/>
    <s v="_x0000_US"/>
  </r>
  <r>
    <x v="4"/>
    <n v="13.6861"/>
    <n v="-89.197599999999994"/>
    <n v="300.72000000000003"/>
    <n v="0"/>
    <n v="0"/>
    <n v="105"/>
    <s v="_x0000_US"/>
  </r>
  <r>
    <x v="4"/>
    <n v="13.692399999999999"/>
    <n v="-89.197599999999994"/>
    <n v="358"/>
    <n v="0"/>
    <n v="0"/>
    <n v="105"/>
    <s v="_x0000_US"/>
  </r>
  <r>
    <x v="4"/>
    <n v="13.687099999999999"/>
    <n v="-89.197599999999994"/>
    <n v="465.4"/>
    <n v="0"/>
    <n v="0"/>
    <n v="105"/>
    <s v="_x0000_US"/>
  </r>
  <r>
    <x v="4"/>
    <n v="13.6814"/>
    <n v="-89.197599999999994"/>
    <n v="844.88"/>
    <n v="0"/>
    <n v="0"/>
    <n v="105"/>
    <s v="_x0000_US"/>
  </r>
  <r>
    <x v="4"/>
    <n v="13.6875"/>
    <n v="-89.197500000000005"/>
    <n v="114.56"/>
    <n v="0"/>
    <n v="0"/>
    <n v="105"/>
    <s v="_x0000_US"/>
  </r>
  <r>
    <x v="4"/>
    <n v="13.6904"/>
    <n v="-89.197500000000005"/>
    <n v="171.84"/>
    <n v="0"/>
    <n v="0"/>
    <n v="105"/>
    <s v="_x0000_US"/>
  </r>
  <r>
    <x v="4"/>
    <n v="13.690099999999999"/>
    <n v="-89.197500000000005"/>
    <n v="207.64"/>
    <n v="0"/>
    <n v="0"/>
    <n v="105"/>
    <s v="_x0000_US"/>
  </r>
  <r>
    <x v="4"/>
    <n v="13.6877"/>
    <n v="-89.197500000000005"/>
    <n v="257.76"/>
    <n v="0"/>
    <n v="0"/>
    <n v="105"/>
    <s v="_x0000_US"/>
  </r>
  <r>
    <x v="4"/>
    <n v="13.6896"/>
    <n v="-89.197500000000005"/>
    <n v="300.72000000000003"/>
    <n v="0"/>
    <n v="0"/>
    <n v="105"/>
    <s v="_x0000_US"/>
  </r>
  <r>
    <x v="4"/>
    <n v="13.6922"/>
    <n v="-89.197500000000005"/>
    <n v="307.88"/>
    <n v="0"/>
    <n v="0"/>
    <n v="105"/>
    <s v="_x0000_US"/>
  </r>
  <r>
    <x v="4"/>
    <n v="13.6928"/>
    <n v="-89.197500000000005"/>
    <n v="372.32"/>
    <n v="0"/>
    <n v="0"/>
    <n v="105"/>
    <s v="_x0000_US"/>
  </r>
  <r>
    <x v="4"/>
    <n v="13.6854"/>
    <n v="-89.197500000000005"/>
    <n v="587.12"/>
    <n v="0"/>
    <n v="0"/>
    <n v="105"/>
    <s v="_x0000_US"/>
  </r>
  <r>
    <x v="4"/>
    <n v="13.6874"/>
    <n v="-89.197400000000002"/>
    <n v="136.04"/>
    <n v="0"/>
    <n v="0"/>
    <n v="105"/>
    <s v="_x0000_US"/>
  </r>
  <r>
    <x v="4"/>
    <n v="13.6905"/>
    <n v="-89.197400000000002"/>
    <n v="236.28"/>
    <n v="0"/>
    <n v="0"/>
    <n v="105"/>
    <s v="_x0000_US"/>
  </r>
  <r>
    <x v="4"/>
    <n v="13.690300000000001"/>
    <n v="-89.197400000000002"/>
    <n v="272.08"/>
    <n v="0"/>
    <n v="0"/>
    <n v="105"/>
    <s v="_x0000_US"/>
  </r>
  <r>
    <x v="4"/>
    <n v="13.683999999999999"/>
    <n v="-89.197400000000002"/>
    <n v="307.88"/>
    <n v="0"/>
    <n v="0"/>
    <n v="105"/>
    <s v="_x0000_US"/>
  </r>
  <r>
    <x v="4"/>
    <n v="13.6843"/>
    <n v="-89.197400000000002"/>
    <n v="315.04000000000002"/>
    <n v="0"/>
    <n v="0"/>
    <n v="105"/>
    <s v="_x0000_US"/>
  </r>
  <r>
    <x v="4"/>
    <n v="13.690899999999999"/>
    <n v="-89.197400000000002"/>
    <n v="322.2"/>
    <n v="0"/>
    <n v="0"/>
    <n v="105"/>
    <s v="_x0000_US"/>
  </r>
  <r>
    <x v="4"/>
    <n v="13.686999999999999"/>
    <n v="-89.197400000000002"/>
    <n v="329.36"/>
    <n v="0"/>
    <n v="0"/>
    <n v="105"/>
    <s v="_x0000_US"/>
  </r>
  <r>
    <x v="4"/>
    <n v="13.6816"/>
    <n v="-89.197400000000002"/>
    <n v="537"/>
    <n v="0"/>
    <n v="0"/>
    <n v="105"/>
    <s v="_x0000_US"/>
  </r>
  <r>
    <x v="4"/>
    <n v="13.6896"/>
    <n v="-89.197299999999998"/>
    <n v="28.64"/>
    <n v="0"/>
    <n v="0"/>
    <n v="105"/>
    <s v="_x0000_US"/>
  </r>
  <r>
    <x v="4"/>
    <n v="13.6877"/>
    <n v="-89.197299999999998"/>
    <n v="128.88"/>
    <n v="0"/>
    <n v="0"/>
    <n v="105"/>
    <s v="_x0000_US"/>
  </r>
  <r>
    <x v="4"/>
    <n v="13.6876"/>
    <n v="-89.197299999999998"/>
    <n v="143.19999999999999"/>
    <n v="0"/>
    <n v="0"/>
    <n v="105"/>
    <s v="_x0000_US"/>
  </r>
  <r>
    <x v="4"/>
    <n v="13.689500000000001"/>
    <n v="-89.197299999999998"/>
    <n v="164.68"/>
    <n v="0"/>
    <n v="0"/>
    <n v="105"/>
    <s v="_x0000_US"/>
  </r>
  <r>
    <x v="4"/>
    <n v="13.6868"/>
    <n v="-89.197299999999998"/>
    <n v="164.68"/>
    <n v="0"/>
    <n v="0"/>
    <n v="105"/>
    <s v="_x0000_US"/>
  </r>
  <r>
    <x v="4"/>
    <n v="13.692399999999999"/>
    <n v="-89.197299999999998"/>
    <n v="214.8"/>
    <n v="0"/>
    <n v="0"/>
    <n v="105"/>
    <s v="_x0000_US"/>
  </r>
  <r>
    <x v="4"/>
    <n v="13.6851"/>
    <n v="-89.197299999999998"/>
    <n v="243.44"/>
    <n v="0"/>
    <n v="0"/>
    <n v="105"/>
    <s v="_x0000_US"/>
  </r>
  <r>
    <x v="4"/>
    <n v="13.684900000000001"/>
    <n v="-89.197299999999998"/>
    <n v="329.36"/>
    <n v="0"/>
    <n v="0"/>
    <n v="105"/>
    <s v="_x0000_US"/>
  </r>
  <r>
    <x v="4"/>
    <n v="13.685700000000001"/>
    <n v="-89.197299999999998"/>
    <n v="336.52"/>
    <n v="0"/>
    <n v="0"/>
    <n v="105"/>
    <s v="_x0000_US"/>
  </r>
  <r>
    <x v="4"/>
    <n v="13.6898"/>
    <n v="-89.197299999999998"/>
    <n v="358"/>
    <n v="0"/>
    <n v="0"/>
    <n v="105"/>
    <s v="_x0000_US"/>
  </r>
  <r>
    <x v="4"/>
    <n v="13.6914"/>
    <n v="-89.197299999999998"/>
    <n v="701.68"/>
    <n v="0"/>
    <n v="0"/>
    <n v="105"/>
    <s v="_x0000_US"/>
  </r>
  <r>
    <x v="4"/>
    <n v="13.6821"/>
    <n v="-89.197299999999998"/>
    <n v="830.56"/>
    <n v="0"/>
    <n v="0"/>
    <n v="105"/>
    <s v="_x0000_US"/>
  </r>
  <r>
    <x v="4"/>
    <n v="13.6882"/>
    <n v="-89.197299999999998"/>
    <n v="916.48"/>
    <n v="0"/>
    <n v="0"/>
    <n v="105"/>
    <s v="_x0000_US"/>
  </r>
  <r>
    <x v="4"/>
    <n v="13.687900000000001"/>
    <n v="-89.197199999999995"/>
    <n v="121.72"/>
    <n v="0"/>
    <n v="0"/>
    <n v="105"/>
    <s v="_x0000_US"/>
  </r>
  <r>
    <x v="4"/>
    <n v="13.6876"/>
    <n v="-89.197199999999995"/>
    <n v="229.12"/>
    <n v="0"/>
    <n v="0"/>
    <n v="105"/>
    <s v="_x0000_US"/>
  </r>
  <r>
    <x v="4"/>
    <n v="13.6875"/>
    <n v="-89.197199999999995"/>
    <n v="286.39999999999998"/>
    <n v="0"/>
    <n v="0"/>
    <n v="105"/>
    <s v="_x0000_US"/>
  </r>
  <r>
    <x v="4"/>
    <n v="13.69"/>
    <n v="-89.197199999999995"/>
    <n v="315.04000000000002"/>
    <n v="0"/>
    <n v="0"/>
    <n v="105"/>
    <s v="_x0000_US"/>
  </r>
  <r>
    <x v="4"/>
    <n v="13.686999999999999"/>
    <n v="-89.197199999999995"/>
    <n v="329.36"/>
    <n v="0"/>
    <n v="0"/>
    <n v="105"/>
    <s v="_x0000_US"/>
  </r>
  <r>
    <x v="4"/>
    <n v="13.6873"/>
    <n v="-89.197199999999995"/>
    <n v="329.36"/>
    <n v="0"/>
    <n v="0"/>
    <n v="105"/>
    <s v="_x0000_US"/>
  </r>
  <r>
    <x v="4"/>
    <n v="13.690300000000001"/>
    <n v="-89.197199999999995"/>
    <n v="372.32"/>
    <n v="0"/>
    <n v="0"/>
    <n v="105"/>
    <s v="_x0000_US"/>
  </r>
  <r>
    <x v="4"/>
    <n v="13.6806"/>
    <n v="-89.197199999999995"/>
    <n v="451.08"/>
    <n v="0"/>
    <n v="0"/>
    <n v="105"/>
    <s v="_x0000_US"/>
  </r>
  <r>
    <x v="4"/>
    <n v="13.680099999999999"/>
    <n v="-89.197199999999995"/>
    <n v="751.8"/>
    <n v="0"/>
    <n v="0"/>
    <n v="105"/>
    <s v="_x0000_US"/>
  </r>
  <r>
    <x v="4"/>
    <n v="13.6836"/>
    <n v="-89.197199999999995"/>
    <n v="2040.6"/>
    <n v="0"/>
    <n v="0"/>
    <n v="105"/>
    <s v="_x0000_US"/>
  </r>
  <r>
    <x v="4"/>
    <n v="13.6851"/>
    <n v="-89.197100000000006"/>
    <n v="157.52000000000001"/>
    <n v="0"/>
    <n v="0"/>
    <n v="105"/>
    <s v="_x0000_US"/>
  </r>
  <r>
    <x v="4"/>
    <n v="13.687799999999999"/>
    <n v="-89.197100000000006"/>
    <n v="200.48"/>
    <n v="0"/>
    <n v="0"/>
    <n v="105"/>
    <s v="_x0000_US"/>
  </r>
  <r>
    <x v="4"/>
    <n v="13.6896"/>
    <n v="-89.197100000000006"/>
    <n v="250.6"/>
    <n v="0"/>
    <n v="0"/>
    <n v="105"/>
    <s v="_x0000_US"/>
  </r>
  <r>
    <x v="4"/>
    <n v="13.692299999999999"/>
    <n v="-89.197100000000006"/>
    <n v="315.04000000000002"/>
    <n v="0"/>
    <n v="0"/>
    <n v="105"/>
    <s v="_x0000_US"/>
  </r>
  <r>
    <x v="4"/>
    <n v="13.6907"/>
    <n v="-89.197100000000006"/>
    <n v="379.48"/>
    <n v="0"/>
    <n v="0"/>
    <n v="105"/>
    <s v="_x0000_US"/>
  </r>
  <r>
    <x v="4"/>
    <n v="13.691700000000001"/>
    <n v="-89.197100000000006"/>
    <n v="479.72"/>
    <n v="0"/>
    <n v="0"/>
    <n v="105"/>
    <s v="_x0000_US"/>
  </r>
  <r>
    <x v="4"/>
    <n v="13.6911"/>
    <n v="-89.197100000000006"/>
    <n v="527.94000000000005"/>
    <n v="0"/>
    <n v="0"/>
    <n v="105"/>
    <s v="_x0000_US"/>
  </r>
  <r>
    <x v="4"/>
    <n v="13.681100000000001"/>
    <n v="-89.197100000000006"/>
    <n v="744.64"/>
    <n v="0"/>
    <n v="0"/>
    <n v="105"/>
    <s v="_x0000_US"/>
  </r>
  <r>
    <x v="4"/>
    <n v="13.679500000000001"/>
    <n v="-89.197000000000003"/>
    <n v="0"/>
    <n v="0"/>
    <n v="0"/>
    <n v="105"/>
    <s v="_x0000_US"/>
  </r>
  <r>
    <x v="4"/>
    <n v="13.679500000000001"/>
    <n v="-89.197000000000003"/>
    <n v="57.28"/>
    <n v="0"/>
    <n v="0"/>
    <n v="105"/>
    <s v="_x0000_US"/>
  </r>
  <r>
    <x v="4"/>
    <n v="13.6797"/>
    <n v="-89.197000000000003"/>
    <n v="257.76"/>
    <n v="0"/>
    <n v="0"/>
    <n v="105"/>
    <s v="_x0000_US"/>
  </r>
  <r>
    <x v="4"/>
    <n v="13.689399999999999"/>
    <n v="-89.197000000000003"/>
    <n v="286.39999999999998"/>
    <n v="0"/>
    <n v="0"/>
    <n v="105"/>
    <s v="_x0000_US"/>
  </r>
  <r>
    <x v="4"/>
    <n v="13.6898"/>
    <n v="-89.197000000000003"/>
    <n v="350.84"/>
    <n v="0"/>
    <n v="0"/>
    <n v="105"/>
    <s v="_x0000_US"/>
  </r>
  <r>
    <x v="4"/>
    <n v="13.688000000000001"/>
    <n v="-89.197000000000003"/>
    <n v="379.48"/>
    <n v="0"/>
    <n v="0"/>
    <n v="105"/>
    <s v="_x0000_US"/>
  </r>
  <r>
    <x v="4"/>
    <n v="13.6854"/>
    <n v="-89.197000000000003"/>
    <n v="465.4"/>
    <n v="0"/>
    <n v="0"/>
    <n v="105"/>
    <s v="_x0000_US"/>
  </r>
  <r>
    <x v="4"/>
    <n v="13.682"/>
    <n v="-89.197000000000003"/>
    <n v="723.16"/>
    <n v="0"/>
    <n v="0"/>
    <n v="105"/>
    <s v="_x0000_US"/>
  </r>
  <r>
    <x v="4"/>
    <n v="13.684799999999999"/>
    <n v="-89.197000000000003"/>
    <n v="737.48"/>
    <n v="0"/>
    <n v="0"/>
    <n v="105"/>
    <s v="_x0000_US"/>
  </r>
  <r>
    <x v="4"/>
    <n v="13.690200000000001"/>
    <n v="-89.196899999999999"/>
    <n v="50.12"/>
    <n v="0"/>
    <n v="0"/>
    <n v="105"/>
    <s v="_x0000_US"/>
  </r>
  <r>
    <x v="4"/>
    <n v="13.6799"/>
    <n v="-89.196899999999999"/>
    <n v="78.760000000000005"/>
    <n v="0"/>
    <n v="0"/>
    <n v="105"/>
    <s v="_x0000_US"/>
  </r>
  <r>
    <x v="4"/>
    <n v="13.6798"/>
    <n v="-89.196899999999999"/>
    <n v="85.92"/>
    <n v="0"/>
    <n v="0"/>
    <n v="105"/>
    <s v="_x0000_US"/>
  </r>
  <r>
    <x v="4"/>
    <n v="13.690099999999999"/>
    <n v="-89.196899999999999"/>
    <n v="157.52000000000001"/>
    <n v="0"/>
    <n v="0"/>
    <n v="105"/>
    <s v="_x0000_US"/>
  </r>
  <r>
    <x v="4"/>
    <n v="13.679500000000001"/>
    <n v="-89.196899999999999"/>
    <n v="214.8"/>
    <n v="0"/>
    <n v="0"/>
    <n v="105"/>
    <s v="_x0000_US"/>
  </r>
  <r>
    <x v="4"/>
    <n v="13.6815"/>
    <n v="-89.196899999999999"/>
    <n v="229.12"/>
    <n v="0"/>
    <n v="0"/>
    <n v="105"/>
    <s v="_x0000_US"/>
  </r>
  <r>
    <x v="4"/>
    <n v="13.692500000000001"/>
    <n v="-89.196899999999999"/>
    <n v="257.76"/>
    <n v="0"/>
    <n v="0"/>
    <n v="105"/>
    <s v="_x0000_US"/>
  </r>
  <r>
    <x v="4"/>
    <n v="13.6905"/>
    <n v="-89.196899999999999"/>
    <n v="293.56"/>
    <n v="0"/>
    <n v="0"/>
    <n v="105"/>
    <s v="_x0000_US"/>
  </r>
  <r>
    <x v="4"/>
    <n v="13.690799999999999"/>
    <n v="-89.196899999999999"/>
    <n v="315.04000000000002"/>
    <n v="0"/>
    <n v="0"/>
    <n v="105"/>
    <s v="_x0000_US"/>
  </r>
  <r>
    <x v="4"/>
    <n v="13.6793"/>
    <n v="-89.196899999999999"/>
    <n v="400.96"/>
    <n v="0"/>
    <n v="0"/>
    <n v="105"/>
    <s v="_x0000_US"/>
  </r>
  <r>
    <x v="4"/>
    <n v="13.693"/>
    <n v="-89.196899999999999"/>
    <n v="701.68"/>
    <n v="0"/>
    <n v="0"/>
    <n v="105"/>
    <s v="_x0000_US"/>
  </r>
  <r>
    <x v="4"/>
    <n v="13.6799"/>
    <n v="-89.196799999999996"/>
    <n v="100.24"/>
    <n v="0"/>
    <n v="0"/>
    <n v="105"/>
    <s v="_x0000_US"/>
  </r>
  <r>
    <x v="4"/>
    <n v="13.679500000000001"/>
    <n v="-89.196799999999996"/>
    <n v="114.56"/>
    <n v="0"/>
    <n v="0"/>
    <n v="105"/>
    <s v="_x0000_US"/>
  </r>
  <r>
    <x v="4"/>
    <n v="13.682499999999999"/>
    <n v="-89.196799999999996"/>
    <n v="121.72"/>
    <n v="0"/>
    <n v="0"/>
    <n v="105"/>
    <s v="_x0000_US"/>
  </r>
  <r>
    <x v="4"/>
    <n v="13.6798"/>
    <n v="-89.196799999999996"/>
    <n v="143.19999999999999"/>
    <n v="0"/>
    <n v="0"/>
    <n v="105"/>
    <s v="_x0000_US"/>
  </r>
  <r>
    <x v="4"/>
    <n v="13.679600000000001"/>
    <n v="-89.196799999999996"/>
    <n v="150.36000000000001"/>
    <n v="0"/>
    <n v="0"/>
    <n v="105"/>
    <s v="_x0000_US"/>
  </r>
  <r>
    <x v="4"/>
    <n v="13.692299999999999"/>
    <n v="-89.196799999999996"/>
    <n v="164.68"/>
    <n v="0"/>
    <n v="0"/>
    <n v="105"/>
    <s v="_x0000_US"/>
  </r>
  <r>
    <x v="4"/>
    <n v="13.690200000000001"/>
    <n v="-89.196799999999996"/>
    <n v="171.84"/>
    <n v="0"/>
    <n v="0"/>
    <n v="105"/>
    <s v="_x0000_US"/>
  </r>
  <r>
    <x v="4"/>
    <n v="13.6912"/>
    <n v="-89.196799999999996"/>
    <n v="236.28"/>
    <n v="0"/>
    <n v="0"/>
    <n v="105"/>
    <s v="_x0000_US"/>
  </r>
  <r>
    <x v="4"/>
    <n v="13.6915"/>
    <n v="-89.196799999999996"/>
    <n v="243.44"/>
    <n v="0"/>
    <n v="0"/>
    <n v="105"/>
    <s v="_x0000_US"/>
  </r>
  <r>
    <x v="4"/>
    <n v="13.689500000000001"/>
    <n v="-89.196799999999996"/>
    <n v="315.04000000000002"/>
    <n v="0"/>
    <n v="0"/>
    <n v="105"/>
    <s v="_x0000_US"/>
  </r>
  <r>
    <x v="4"/>
    <n v="13.6806"/>
    <n v="-89.196799999999996"/>
    <n v="451.08"/>
    <n v="0"/>
    <n v="0"/>
    <n v="105"/>
    <s v="_x0000_US"/>
  </r>
  <r>
    <x v="4"/>
    <n v="13.692"/>
    <n v="-89.196799999999996"/>
    <n v="486.88"/>
    <n v="0"/>
    <n v="0"/>
    <n v="105"/>
    <s v="_x0000_US"/>
  </r>
  <r>
    <x v="4"/>
    <n v="13.684100000000001"/>
    <n v="-89.196799999999996"/>
    <n v="680.2"/>
    <n v="0"/>
    <n v="0"/>
    <n v="105"/>
    <s v="_x0000_US"/>
  </r>
  <r>
    <x v="4"/>
    <n v="13.6798"/>
    <n v="-89.196700000000007"/>
    <n v="42.96"/>
    <n v="0"/>
    <n v="0"/>
    <n v="105"/>
    <s v="_x0000_US"/>
  </r>
  <r>
    <x v="4"/>
    <n v="13.6797"/>
    <n v="-89.196700000000007"/>
    <n v="100.24"/>
    <n v="0"/>
    <n v="0"/>
    <n v="105"/>
    <s v="_x0000_US"/>
  </r>
  <r>
    <x v="4"/>
    <n v="13.6881"/>
    <n v="-89.196700000000007"/>
    <n v="114.56"/>
    <n v="0"/>
    <n v="0"/>
    <n v="105"/>
    <s v="_x0000_US"/>
  </r>
  <r>
    <x v="4"/>
    <n v="13.679500000000001"/>
    <n v="-89.196700000000007"/>
    <n v="150.36000000000001"/>
    <n v="0"/>
    <n v="0"/>
    <n v="105"/>
    <s v="_x0000_US"/>
  </r>
  <r>
    <x v="4"/>
    <n v="13.679399999999999"/>
    <n v="-89.196700000000007"/>
    <n v="157.52000000000001"/>
    <n v="0"/>
    <n v="0"/>
    <n v="105"/>
    <s v="_x0000_US"/>
  </r>
  <r>
    <x v="4"/>
    <n v="13.690300000000001"/>
    <n v="-89.196700000000007"/>
    <n v="200.48"/>
    <n v="0"/>
    <n v="0"/>
    <n v="105"/>
    <s v="_x0000_US"/>
  </r>
  <r>
    <x v="4"/>
    <n v="13.682700000000001"/>
    <n v="-89.196700000000007"/>
    <n v="226.26"/>
    <n v="0"/>
    <n v="0"/>
    <n v="105"/>
    <s v="_x0000_US"/>
  </r>
  <r>
    <x v="4"/>
    <n v="13.6793"/>
    <n v="-89.196700000000007"/>
    <n v="229.12"/>
    <n v="0"/>
    <n v="0"/>
    <n v="105"/>
    <s v="_x0000_US"/>
  </r>
  <r>
    <x v="4"/>
    <n v="13.6798"/>
    <n v="-89.196700000000007"/>
    <n v="236.28"/>
    <n v="0"/>
    <n v="0"/>
    <n v="105"/>
    <s v="_x0000_US"/>
  </r>
  <r>
    <x v="4"/>
    <n v="13.68"/>
    <n v="-89.196700000000007"/>
    <n v="307.88"/>
    <n v="0"/>
    <n v="0"/>
    <n v="105"/>
    <s v="_x0000_US"/>
  </r>
  <r>
    <x v="4"/>
    <n v="13.6851"/>
    <n v="-89.196700000000007"/>
    <n v="358"/>
    <n v="0"/>
    <n v="0"/>
    <n v="105"/>
    <s v="_x0000_US"/>
  </r>
  <r>
    <x v="4"/>
    <n v="13.6877"/>
    <n v="-89.196700000000007"/>
    <n v="436.76"/>
    <n v="0"/>
    <n v="0"/>
    <n v="105"/>
    <s v="_x0000_US"/>
  </r>
  <r>
    <x v="4"/>
    <n v="13.682499999999999"/>
    <n v="-89.196700000000007"/>
    <n v="494.42"/>
    <n v="0"/>
    <n v="0"/>
    <n v="105"/>
    <s v="_x0000_US"/>
  </r>
  <r>
    <x v="4"/>
    <n v="13.685499999999999"/>
    <n v="-89.196700000000007"/>
    <n v="730.32"/>
    <n v="0"/>
    <n v="0"/>
    <n v="105"/>
    <s v="_x0000_US"/>
  </r>
  <r>
    <x v="4"/>
    <n v="13.6869"/>
    <n v="-89.196700000000007"/>
    <n v="787.6"/>
    <n v="0"/>
    <n v="0"/>
    <n v="105"/>
    <s v="_x0000_US"/>
  </r>
  <r>
    <x v="4"/>
    <n v="13.686400000000001"/>
    <n v="-89.196700000000007"/>
    <n v="1935.78"/>
    <n v="0"/>
    <n v="0"/>
    <n v="105"/>
    <s v="_x0000_US"/>
  </r>
  <r>
    <x v="4"/>
    <n v="13.6791"/>
    <n v="-89.196600000000004"/>
    <n v="100.24"/>
    <n v="0"/>
    <n v="0"/>
    <n v="105"/>
    <s v="_x0000_US"/>
  </r>
  <r>
    <x v="4"/>
    <n v="13.6791"/>
    <n v="-89.196600000000004"/>
    <n v="121.72"/>
    <n v="0"/>
    <n v="0"/>
    <n v="105"/>
    <s v="_x0000_US"/>
  </r>
  <r>
    <x v="4"/>
    <n v="13.679500000000001"/>
    <n v="-89.196600000000004"/>
    <n v="186.16"/>
    <n v="0"/>
    <n v="0"/>
    <n v="105"/>
    <s v="_x0000_US"/>
  </r>
  <r>
    <x v="4"/>
    <n v="13.689399999999999"/>
    <n v="-89.196600000000004"/>
    <n v="229.12"/>
    <n v="0"/>
    <n v="0"/>
    <n v="105"/>
    <s v="_x0000_US"/>
  </r>
  <r>
    <x v="4"/>
    <n v="13.6906"/>
    <n v="-89.196600000000004"/>
    <n v="486.88"/>
    <n v="0"/>
    <n v="0"/>
    <n v="105"/>
    <s v="_x0000_US"/>
  </r>
  <r>
    <x v="4"/>
    <n v="13.69"/>
    <n v="-89.196600000000004"/>
    <n v="515.52"/>
    <n v="0"/>
    <n v="0"/>
    <n v="105"/>
    <s v="_x0000_US"/>
  </r>
  <r>
    <x v="4"/>
    <n v="13.680099999999999"/>
    <n v="-89.1965"/>
    <n v="14.32"/>
    <n v="0"/>
    <n v="0"/>
    <n v="105"/>
    <s v="_x0000_US"/>
  </r>
  <r>
    <x v="4"/>
    <n v="13.6793"/>
    <n v="-89.1965"/>
    <n v="28.64"/>
    <n v="0"/>
    <n v="0"/>
    <n v="105"/>
    <s v="_x0000_US"/>
  </r>
  <r>
    <x v="4"/>
    <n v="13.68"/>
    <n v="-89.1965"/>
    <n v="50.12"/>
    <n v="0"/>
    <n v="0"/>
    <n v="105"/>
    <s v="_x0000_US"/>
  </r>
  <r>
    <x v="4"/>
    <n v="13.6792"/>
    <n v="-89.1965"/>
    <n v="64.44"/>
    <n v="0"/>
    <n v="0"/>
    <n v="105"/>
    <s v="_x0000_US"/>
  </r>
  <r>
    <x v="4"/>
    <n v="13.6793"/>
    <n v="-89.1965"/>
    <n v="71.599999999999994"/>
    <n v="0"/>
    <n v="0"/>
    <n v="105"/>
    <s v="_x0000_US"/>
  </r>
  <r>
    <x v="4"/>
    <n v="13.6782"/>
    <n v="-89.1965"/>
    <n v="85.92"/>
    <n v="0"/>
    <n v="0"/>
    <n v="105"/>
    <s v="_x0000_US"/>
  </r>
  <r>
    <x v="4"/>
    <n v="13.6785"/>
    <n v="-89.1965"/>
    <n v="128.88"/>
    <n v="0"/>
    <n v="0"/>
    <n v="105"/>
    <s v="_x0000_US"/>
  </r>
  <r>
    <x v="4"/>
    <n v="13.679600000000001"/>
    <n v="-89.1965"/>
    <n v="186.16"/>
    <n v="0"/>
    <n v="0"/>
    <n v="105"/>
    <s v="_x0000_US"/>
  </r>
  <r>
    <x v="4"/>
    <n v="13.6792"/>
    <n v="-89.1965"/>
    <n v="200.48"/>
    <n v="0"/>
    <n v="0"/>
    <n v="105"/>
    <s v="_x0000_US"/>
  </r>
  <r>
    <x v="4"/>
    <n v="13.6783"/>
    <n v="-89.1965"/>
    <n v="207.64"/>
    <n v="0"/>
    <n v="0"/>
    <n v="105"/>
    <s v="_x0000_US"/>
  </r>
  <r>
    <x v="4"/>
    <n v="13.6797"/>
    <n v="-89.1965"/>
    <n v="229.12"/>
    <n v="0"/>
    <n v="0"/>
    <n v="105"/>
    <s v="_x0000_US"/>
  </r>
  <r>
    <x v="4"/>
    <n v="13.685"/>
    <n v="-89.1965"/>
    <n v="236.28"/>
    <n v="0"/>
    <n v="0"/>
    <n v="105"/>
    <s v="_x0000_US"/>
  </r>
  <r>
    <x v="4"/>
    <n v="13.680300000000001"/>
    <n v="-89.1965"/>
    <n v="365.16"/>
    <n v="0"/>
    <n v="0"/>
    <n v="105"/>
    <s v="_x0000_US"/>
  </r>
  <r>
    <x v="4"/>
    <n v="13.6913"/>
    <n v="-89.1965"/>
    <n v="551.32000000000005"/>
    <n v="0"/>
    <n v="0"/>
    <n v="105"/>
    <s v="_x0000_US"/>
  </r>
  <r>
    <x v="4"/>
    <n v="13.691000000000001"/>
    <n v="-89.1965"/>
    <n v="611.74"/>
    <n v="0"/>
    <n v="0"/>
    <n v="105"/>
    <s v="_x0000_US"/>
  </r>
  <r>
    <x v="4"/>
    <n v="13.683299999999999"/>
    <n v="-89.1965"/>
    <n v="1106.1600000000001"/>
    <n v="0"/>
    <n v="0"/>
    <n v="105"/>
    <s v="_x0000_US"/>
  </r>
  <r>
    <x v="4"/>
    <n v="13.679600000000001"/>
    <n v="-89.196399999999997"/>
    <n v="42.96"/>
    <n v="0"/>
    <n v="0"/>
    <n v="105"/>
    <s v="_x0000_US"/>
  </r>
  <r>
    <x v="4"/>
    <n v="13.679399999999999"/>
    <n v="-89.196399999999997"/>
    <n v="50.12"/>
    <n v="0"/>
    <n v="0"/>
    <n v="105"/>
    <s v="_x0000_US"/>
  </r>
  <r>
    <x v="4"/>
    <n v="13.6782"/>
    <n v="-89.196399999999997"/>
    <n v="71.599999999999994"/>
    <n v="0"/>
    <n v="0"/>
    <n v="105"/>
    <s v="_x0000_US"/>
  </r>
  <r>
    <x v="4"/>
    <n v="13.6793"/>
    <n v="-89.196399999999997"/>
    <n v="78.760000000000005"/>
    <n v="0"/>
    <n v="0"/>
    <n v="105"/>
    <s v="_x0000_US"/>
  </r>
  <r>
    <x v="4"/>
    <n v="13.6793"/>
    <n v="-89.196399999999997"/>
    <n v="100.24"/>
    <n v="0"/>
    <n v="0"/>
    <n v="105"/>
    <s v="_x0000_US"/>
  </r>
  <r>
    <x v="4"/>
    <n v="13.678100000000001"/>
    <n v="-89.196399999999997"/>
    <n v="107.4"/>
    <n v="0"/>
    <n v="0"/>
    <n v="105"/>
    <s v="_x0000_US"/>
  </r>
  <r>
    <x v="4"/>
    <n v="13.678599999999999"/>
    <n v="-89.196399999999997"/>
    <n v="128.88"/>
    <n v="0"/>
    <n v="0"/>
    <n v="105"/>
    <s v="_x0000_US"/>
  </r>
  <r>
    <x v="4"/>
    <n v="13.6784"/>
    <n v="-89.196399999999997"/>
    <n v="143.19999999999999"/>
    <n v="0"/>
    <n v="0"/>
    <n v="105"/>
    <s v="_x0000_US"/>
  </r>
  <r>
    <x v="4"/>
    <n v="13.680099999999999"/>
    <n v="-89.196399999999997"/>
    <n v="164.68"/>
    <n v="0"/>
    <n v="0"/>
    <n v="105"/>
    <s v="_x0000_US"/>
  </r>
  <r>
    <x v="4"/>
    <n v="13.6799"/>
    <n v="-89.196399999999997"/>
    <n v="186.16"/>
    <n v="0"/>
    <n v="0"/>
    <n v="105"/>
    <s v="_x0000_US"/>
  </r>
  <r>
    <x v="4"/>
    <n v="13.6798"/>
    <n v="-89.196399999999997"/>
    <n v="272.08"/>
    <n v="0"/>
    <n v="0"/>
    <n v="105"/>
    <s v="_x0000_US"/>
  </r>
  <r>
    <x v="4"/>
    <n v="13.689500000000001"/>
    <n v="-89.196399999999997"/>
    <n v="350.84"/>
    <n v="0"/>
    <n v="0"/>
    <n v="105"/>
    <s v="_x0000_US"/>
  </r>
  <r>
    <x v="4"/>
    <n v="13.678800000000001"/>
    <n v="-89.196399999999997"/>
    <n v="379.48"/>
    <n v="0"/>
    <n v="0"/>
    <n v="105"/>
    <s v="_x0000_US"/>
  </r>
  <r>
    <x v="4"/>
    <n v="13.6921"/>
    <n v="-89.196399999999997"/>
    <n v="529.84"/>
    <n v="0"/>
    <n v="0"/>
    <n v="105"/>
    <s v="_x0000_US"/>
  </r>
  <r>
    <x v="4"/>
    <n v="13.6814"/>
    <n v="-89.196399999999997"/>
    <n v="1381.88"/>
    <n v="0"/>
    <n v="0"/>
    <n v="105"/>
    <s v="_x0000_US"/>
  </r>
  <r>
    <x v="4"/>
    <n v="13.6799"/>
    <n v="-89.196299999999994"/>
    <n v="85.92"/>
    <n v="0"/>
    <n v="0"/>
    <n v="105"/>
    <s v="_x0000_US"/>
  </r>
  <r>
    <x v="4"/>
    <n v="13.6798"/>
    <n v="-89.196299999999994"/>
    <n v="121.72"/>
    <n v="0"/>
    <n v="0"/>
    <n v="105"/>
    <s v="_x0000_US"/>
  </r>
  <r>
    <x v="4"/>
    <n v="13.6793"/>
    <n v="-89.196299999999994"/>
    <n v="150.36000000000001"/>
    <n v="0"/>
    <n v="0"/>
    <n v="105"/>
    <s v="_x0000_US"/>
  </r>
  <r>
    <x v="4"/>
    <n v="13.6785"/>
    <n v="-89.196299999999994"/>
    <n v="200.48"/>
    <n v="0"/>
    <n v="0"/>
    <n v="105"/>
    <s v="_x0000_US"/>
  </r>
  <r>
    <x v="4"/>
    <n v="13.6783"/>
    <n v="-89.196299999999994"/>
    <n v="229.12"/>
    <n v="0"/>
    <n v="0"/>
    <n v="105"/>
    <s v="_x0000_US"/>
  </r>
  <r>
    <x v="4"/>
    <n v="13.679500000000001"/>
    <n v="-89.196299999999994"/>
    <n v="279.24"/>
    <n v="0"/>
    <n v="0"/>
    <n v="105"/>
    <s v="_x0000_US"/>
  </r>
  <r>
    <x v="4"/>
    <n v="13.687200000000001"/>
    <n v="-89.196299999999994"/>
    <n v="315.04000000000002"/>
    <n v="0"/>
    <n v="0"/>
    <n v="105"/>
    <s v="_x0000_US"/>
  </r>
  <r>
    <x v="4"/>
    <n v="13.679"/>
    <n v="-89.196299999999994"/>
    <n v="465.4"/>
    <n v="0"/>
    <n v="0"/>
    <n v="105"/>
    <s v="_x0000_US"/>
  </r>
  <r>
    <x v="4"/>
    <n v="13.6881"/>
    <n v="-89.196299999999994"/>
    <n v="622.91999999999996"/>
    <n v="0"/>
    <n v="0"/>
    <n v="105"/>
    <s v="_x0000_US"/>
  </r>
  <r>
    <x v="4"/>
    <n v="13.690799999999999"/>
    <n v="-89.196200000000005"/>
    <n v="315.04000000000002"/>
    <n v="0"/>
    <n v="0"/>
    <n v="105"/>
    <s v="_x0000_US"/>
  </r>
  <r>
    <x v="4"/>
    <n v="13.691599999999999"/>
    <n v="-89.196200000000005"/>
    <n v="995.24"/>
    <n v="0"/>
    <n v="0"/>
    <n v="105"/>
    <s v="_x0000_US"/>
  </r>
  <r>
    <x v="4"/>
    <n v="13.6845"/>
    <n v="-89.196200000000005"/>
    <n v="1164.82"/>
    <n v="0"/>
    <n v="0"/>
    <n v="105"/>
    <s v="_x0000_US"/>
  </r>
  <r>
    <x v="4"/>
    <n v="13.6899"/>
    <n v="-89.196100000000001"/>
    <n v="121.72"/>
    <n v="0"/>
    <n v="0"/>
    <n v="105"/>
    <s v="_x0000_US"/>
  </r>
  <r>
    <x v="4"/>
    <n v="13.6892"/>
    <n v="-89.196100000000001"/>
    <n v="121.72"/>
    <n v="0"/>
    <n v="0"/>
    <n v="105"/>
    <s v="_x0000_US"/>
  </r>
  <r>
    <x v="4"/>
    <n v="13.69"/>
    <n v="-89.196100000000001"/>
    <n v="128.88"/>
    <n v="0"/>
    <n v="0"/>
    <n v="105"/>
    <s v="_x0000_US"/>
  </r>
  <r>
    <x v="4"/>
    <n v="13.6752"/>
    <n v="-89.196100000000001"/>
    <n v="221.96"/>
    <n v="0"/>
    <n v="0"/>
    <n v="105"/>
    <s v="_x0000_US"/>
  </r>
  <r>
    <x v="4"/>
    <n v="13.689"/>
    <n v="-89.196100000000001"/>
    <n v="379.48"/>
    <n v="0"/>
    <n v="0"/>
    <n v="105"/>
    <s v="_x0000_US"/>
  </r>
  <r>
    <x v="4"/>
    <n v="13.6851"/>
    <n v="-89.196100000000001"/>
    <n v="400.96"/>
    <n v="0"/>
    <n v="0"/>
    <n v="105"/>
    <s v="_x0000_US"/>
  </r>
  <r>
    <x v="4"/>
    <n v="13.6904"/>
    <n v="-89.196100000000001"/>
    <n v="443.92"/>
    <n v="0"/>
    <n v="0"/>
    <n v="105"/>
    <s v="_x0000_US"/>
  </r>
  <r>
    <x v="4"/>
    <n v="13.6899"/>
    <n v="-89.195999999999998"/>
    <n v="71.599999999999994"/>
    <n v="0"/>
    <n v="0"/>
    <n v="105"/>
    <s v="_x0000_US"/>
  </r>
  <r>
    <x v="4"/>
    <n v="13.690099999999999"/>
    <n v="-89.195999999999998"/>
    <n v="128.88"/>
    <n v="0"/>
    <n v="0"/>
    <n v="105"/>
    <s v="_x0000_US"/>
  </r>
  <r>
    <x v="4"/>
    <n v="13.6883"/>
    <n v="-89.195999999999998"/>
    <n v="136.04"/>
    <n v="0"/>
    <n v="0"/>
    <n v="105"/>
    <s v="_x0000_US"/>
  </r>
  <r>
    <x v="4"/>
    <n v="13.6884"/>
    <n v="-89.195999999999998"/>
    <n v="143.19999999999999"/>
    <n v="0"/>
    <n v="0"/>
    <n v="105"/>
    <s v="_x0000_US"/>
  </r>
  <r>
    <x v="4"/>
    <n v="13.6892"/>
    <n v="-89.195999999999998"/>
    <n v="150.36000000000001"/>
    <n v="0"/>
    <n v="0"/>
    <n v="105"/>
    <s v="_x0000_US"/>
  </r>
  <r>
    <x v="4"/>
    <n v="13.688599999999999"/>
    <n v="-89.195999999999998"/>
    <n v="164.68"/>
    <n v="0"/>
    <n v="0"/>
    <n v="105"/>
    <s v="_x0000_US"/>
  </r>
  <r>
    <x v="4"/>
    <n v="13.6806"/>
    <n v="-89.195999999999998"/>
    <n v="179"/>
    <n v="0"/>
    <n v="0"/>
    <n v="105"/>
    <s v="_x0000_US"/>
  </r>
  <r>
    <x v="4"/>
    <n v="13.689299999999999"/>
    <n v="-89.195999999999998"/>
    <n v="279.24"/>
    <n v="0"/>
    <n v="0"/>
    <n v="105"/>
    <s v="_x0000_US"/>
  </r>
  <r>
    <x v="4"/>
    <n v="13.678599999999999"/>
    <n v="-89.195999999999998"/>
    <n v="1195.72"/>
    <n v="0"/>
    <n v="0"/>
    <n v="105"/>
    <s v="_x0000_US"/>
  </r>
  <r>
    <x v="4"/>
    <n v="13.692299999999999"/>
    <n v="-89.195999999999998"/>
    <n v="1353.24"/>
    <n v="0"/>
    <n v="0"/>
    <n v="105"/>
    <s v="_x0000_US"/>
  </r>
  <r>
    <x v="4"/>
    <n v="13.6899"/>
    <n v="-89.195899999999995"/>
    <n v="78.760000000000005"/>
    <n v="0"/>
    <n v="0"/>
    <n v="105"/>
    <s v="_x0000_US"/>
  </r>
  <r>
    <x v="4"/>
    <n v="13.6892"/>
    <n v="-89.195899999999995"/>
    <n v="100.24"/>
    <n v="0"/>
    <n v="0"/>
    <n v="105"/>
    <s v="_x0000_US"/>
  </r>
  <r>
    <x v="4"/>
    <n v="13.6883"/>
    <n v="-89.195899999999995"/>
    <n v="100.24"/>
    <n v="0"/>
    <n v="0"/>
    <n v="105"/>
    <s v="_x0000_US"/>
  </r>
  <r>
    <x v="4"/>
    <n v="13.69"/>
    <n v="-89.195899999999995"/>
    <n v="136.04"/>
    <n v="0"/>
    <n v="0"/>
    <n v="105"/>
    <s v="_x0000_US"/>
  </r>
  <r>
    <x v="4"/>
    <n v="13.689"/>
    <n v="-89.195899999999995"/>
    <n v="157.52000000000001"/>
    <n v="0"/>
    <n v="0"/>
    <n v="105"/>
    <s v="_x0000_US"/>
  </r>
  <r>
    <x v="4"/>
    <n v="13.6882"/>
    <n v="-89.195899999999995"/>
    <n v="164.68"/>
    <n v="0"/>
    <n v="0"/>
    <n v="105"/>
    <s v="_x0000_US"/>
  </r>
  <r>
    <x v="4"/>
    <n v="13.688599999999999"/>
    <n v="-89.195899999999995"/>
    <n v="171.84"/>
    <n v="0"/>
    <n v="0"/>
    <n v="105"/>
    <s v="_x0000_US"/>
  </r>
  <r>
    <x v="4"/>
    <n v="13.690200000000001"/>
    <n v="-89.195899999999995"/>
    <n v="193.32"/>
    <n v="0"/>
    <n v="0"/>
    <n v="105"/>
    <s v="_x0000_US"/>
  </r>
  <r>
    <x v="4"/>
    <n v="13.6808"/>
    <n v="-89.195899999999995"/>
    <n v="350.84"/>
    <n v="0"/>
    <n v="0"/>
    <n v="105"/>
    <s v="_x0000_US"/>
  </r>
  <r>
    <x v="4"/>
    <n v="13.687099999999999"/>
    <n v="-89.195899999999995"/>
    <n v="551.32000000000005"/>
    <n v="0"/>
    <n v="0"/>
    <n v="105"/>
    <s v="_x0000_US"/>
  </r>
  <r>
    <x v="4"/>
    <n v="13.691000000000001"/>
    <n v="-89.195899999999995"/>
    <n v="578.22"/>
    <n v="0"/>
    <n v="0"/>
    <n v="105"/>
    <s v="_x0000_US"/>
  </r>
  <r>
    <x v="4"/>
    <n v="13.6753"/>
    <n v="-89.195800000000006"/>
    <n v="78.760000000000005"/>
    <n v="0"/>
    <n v="0"/>
    <n v="105"/>
    <s v="_x0000_US"/>
  </r>
  <r>
    <x v="4"/>
    <n v="13.690099999999999"/>
    <n v="-89.195800000000006"/>
    <n v="121.72"/>
    <n v="0"/>
    <n v="0"/>
    <n v="105"/>
    <s v="_x0000_US"/>
  </r>
  <r>
    <x v="4"/>
    <n v="13.69"/>
    <n v="-89.195800000000006"/>
    <n v="121.72"/>
    <n v="0"/>
    <n v="0"/>
    <n v="105"/>
    <s v="_x0000_US"/>
  </r>
  <r>
    <x v="4"/>
    <n v="13.6883"/>
    <n v="-89.195800000000006"/>
    <n v="121.72"/>
    <n v="0"/>
    <n v="0"/>
    <n v="105"/>
    <s v="_x0000_US"/>
  </r>
  <r>
    <x v="4"/>
    <n v="13.6891"/>
    <n v="-89.195800000000006"/>
    <n v="150.36000000000001"/>
    <n v="0"/>
    <n v="0"/>
    <n v="105"/>
    <s v="_x0000_US"/>
  </r>
  <r>
    <x v="4"/>
    <n v="13.6884"/>
    <n v="-89.195800000000006"/>
    <n v="179"/>
    <n v="0"/>
    <n v="0"/>
    <n v="105"/>
    <s v="_x0000_US"/>
  </r>
  <r>
    <x v="4"/>
    <n v="13.680099999999999"/>
    <n v="-89.195800000000006"/>
    <n v="673.04"/>
    <n v="0"/>
    <n v="0"/>
    <n v="105"/>
    <s v="_x0000_US"/>
  </r>
  <r>
    <x v="4"/>
    <n v="13.685499999999999"/>
    <n v="-89.195800000000006"/>
    <n v="703.92"/>
    <n v="0"/>
    <n v="0"/>
    <n v="105"/>
    <s v="_x0000_US"/>
  </r>
  <r>
    <x v="4"/>
    <n v="13.6899"/>
    <n v="-89.195700000000002"/>
    <n v="50.12"/>
    <n v="0"/>
    <n v="0"/>
    <n v="105"/>
    <s v="_x0000_US"/>
  </r>
  <r>
    <x v="4"/>
    <n v="13.6754"/>
    <n v="-89.195700000000002"/>
    <n v="71.599999999999994"/>
    <n v="0"/>
    <n v="0"/>
    <n v="105"/>
    <s v="_x0000_US"/>
  </r>
  <r>
    <x v="4"/>
    <n v="13.690200000000001"/>
    <n v="-89.195700000000002"/>
    <n v="93.08"/>
    <n v="0"/>
    <n v="0"/>
    <n v="105"/>
    <s v="_x0000_US"/>
  </r>
  <r>
    <x v="4"/>
    <n v="13.6892"/>
    <n v="-89.195700000000002"/>
    <n v="114.56"/>
    <n v="0"/>
    <n v="0"/>
    <n v="105"/>
    <s v="_x0000_US"/>
  </r>
  <r>
    <x v="4"/>
    <n v="13.690099999999999"/>
    <n v="-89.195700000000002"/>
    <n v="136.04"/>
    <n v="0"/>
    <n v="0"/>
    <n v="105"/>
    <s v="_x0000_US"/>
  </r>
  <r>
    <x v="4"/>
    <n v="13.690300000000001"/>
    <n v="-89.195700000000002"/>
    <n v="143.19999999999999"/>
    <n v="0"/>
    <n v="0"/>
    <n v="105"/>
    <s v="_x0000_US"/>
  </r>
  <r>
    <x v="4"/>
    <n v="13.688599999999999"/>
    <n v="-89.195700000000002"/>
    <n v="236.28"/>
    <n v="0"/>
    <n v="0"/>
    <n v="105"/>
    <s v="_x0000_US"/>
  </r>
  <r>
    <x v="4"/>
    <n v="13.6889"/>
    <n v="-89.195700000000002"/>
    <n v="343.68"/>
    <n v="0"/>
    <n v="0"/>
    <n v="105"/>
    <s v="_x0000_US"/>
  </r>
  <r>
    <x v="4"/>
    <n v="13.680899999999999"/>
    <n v="-89.195700000000002"/>
    <n v="350.84"/>
    <n v="0"/>
    <n v="0"/>
    <n v="105"/>
    <s v="_x0000_US"/>
  </r>
  <r>
    <x v="4"/>
    <n v="13.688000000000001"/>
    <n v="-89.195700000000002"/>
    <n v="372.32"/>
    <n v="0"/>
    <n v="0"/>
    <n v="105"/>
    <s v="_x0000_US"/>
  </r>
  <r>
    <x v="4"/>
    <n v="13.680400000000001"/>
    <n v="-89.195700000000002"/>
    <n v="422.44"/>
    <n v="0"/>
    <n v="0"/>
    <n v="105"/>
    <s v="_x0000_US"/>
  </r>
  <r>
    <x v="4"/>
    <n v="13.6928"/>
    <n v="-89.195700000000002"/>
    <n v="1210.04"/>
    <n v="0"/>
    <n v="0"/>
    <n v="105"/>
    <s v="_x0000_US"/>
  </r>
  <r>
    <x v="4"/>
    <n v="13.681800000000001"/>
    <n v="-89.195700000000002"/>
    <n v="1374.32"/>
    <n v="0"/>
    <n v="0"/>
    <n v="105"/>
    <s v="_x0000_US"/>
  </r>
  <r>
    <x v="4"/>
    <n v="13.6899"/>
    <n v="-89.195599999999999"/>
    <n v="50.12"/>
    <n v="0"/>
    <n v="0"/>
    <n v="105"/>
    <s v="_x0000_US"/>
  </r>
  <r>
    <x v="4"/>
    <n v="13.6899"/>
    <n v="-89.195599999999999"/>
    <n v="107.4"/>
    <n v="0"/>
    <n v="0"/>
    <n v="105"/>
    <s v="_x0000_US"/>
  </r>
  <r>
    <x v="4"/>
    <n v="13.686"/>
    <n v="-89.195599999999999"/>
    <n v="318.44"/>
    <n v="0"/>
    <n v="0"/>
    <n v="105"/>
    <s v="_x0000_US"/>
  </r>
  <r>
    <x v="4"/>
    <n v="13.6859"/>
    <n v="-89.195599999999999"/>
    <n v="335.2"/>
    <n v="0"/>
    <n v="0"/>
    <n v="105"/>
    <s v="_x0000_US"/>
  </r>
  <r>
    <x v="4"/>
    <n v="13.6798"/>
    <n v="-89.195599999999999"/>
    <n v="400.96"/>
    <n v="0"/>
    <n v="0"/>
    <n v="105"/>
    <s v="_x0000_US"/>
  </r>
  <r>
    <x v="4"/>
    <n v="13.6913"/>
    <n v="-89.195599999999999"/>
    <n v="501.2"/>
    <n v="0"/>
    <n v="0"/>
    <n v="105"/>
    <s v="_x0000_US"/>
  </r>
  <r>
    <x v="4"/>
    <n v="13.686199999999999"/>
    <n v="-89.195599999999999"/>
    <n v="770.96"/>
    <n v="0"/>
    <n v="0"/>
    <n v="105"/>
    <s v="_x0000_US"/>
  </r>
  <r>
    <x v="4"/>
    <n v="13.691700000000001"/>
    <n v="-89.195499999999996"/>
    <n v="35.799999999999997"/>
    <n v="0"/>
    <n v="0"/>
    <n v="105"/>
    <s v="_x0000_US"/>
  </r>
  <r>
    <x v="4"/>
    <n v="13.6755"/>
    <n v="-89.195499999999996"/>
    <n v="57.28"/>
    <n v="0"/>
    <n v="0"/>
    <n v="105"/>
    <s v="_x0000_US"/>
  </r>
  <r>
    <x v="4"/>
    <n v="13.6861"/>
    <n v="-89.195499999999996"/>
    <n v="209.5"/>
    <n v="0"/>
    <n v="0"/>
    <n v="105"/>
    <s v="_x0000_US"/>
  </r>
  <r>
    <x v="4"/>
    <n v="13.6891"/>
    <n v="-89.195499999999996"/>
    <n v="221.96"/>
    <n v="0"/>
    <n v="0"/>
    <n v="105"/>
    <s v="_x0000_US"/>
  </r>
  <r>
    <x v="4"/>
    <n v="13.6858"/>
    <n v="-89.195499999999996"/>
    <n v="264.92"/>
    <n v="0"/>
    <n v="0"/>
    <n v="105"/>
    <s v="_x0000_US"/>
  </r>
  <r>
    <x v="4"/>
    <n v="13.6807"/>
    <n v="-89.195499999999996"/>
    <n v="429.6"/>
    <n v="0"/>
    <n v="0"/>
    <n v="105"/>
    <s v="_x0000_US"/>
  </r>
  <r>
    <x v="4"/>
    <n v="13.6877"/>
    <n v="-89.195499999999996"/>
    <n v="465.4"/>
    <n v="0"/>
    <n v="0"/>
    <n v="105"/>
    <s v="_x0000_US"/>
  </r>
  <r>
    <x v="4"/>
    <n v="13.6799"/>
    <n v="-89.195400000000006"/>
    <n v="100.24"/>
    <n v="0"/>
    <n v="0"/>
    <n v="105"/>
    <s v="_x0000_US"/>
  </r>
  <r>
    <x v="4"/>
    <n v="13.6892"/>
    <n v="-89.195400000000006"/>
    <n v="128.88"/>
    <n v="0"/>
    <n v="0"/>
    <n v="105"/>
    <s v="_x0000_US"/>
  </r>
  <r>
    <x v="4"/>
    <n v="13.689"/>
    <n v="-89.195400000000006"/>
    <n v="164.68"/>
    <n v="0"/>
    <n v="0"/>
    <n v="105"/>
    <s v="_x0000_US"/>
  </r>
  <r>
    <x v="4"/>
    <n v="13.680199999999999"/>
    <n v="-89.195400000000006"/>
    <n v="415.28"/>
    <n v="0"/>
    <n v="0"/>
    <n v="105"/>
    <s v="_x0000_US"/>
  </r>
  <r>
    <x v="4"/>
    <n v="13.681100000000001"/>
    <n v="-89.195400000000006"/>
    <n v="458.24"/>
    <n v="0"/>
    <n v="0"/>
    <n v="105"/>
    <s v="_x0000_US"/>
  </r>
  <r>
    <x v="4"/>
    <n v="13.691000000000001"/>
    <n v="-89.195400000000006"/>
    <n v="494.42"/>
    <n v="0"/>
    <n v="0"/>
    <n v="105"/>
    <s v="_x0000_US"/>
  </r>
  <r>
    <x v="4"/>
    <n v="13.6898"/>
    <n v="-89.195400000000006"/>
    <n v="737.48"/>
    <n v="0"/>
    <n v="0"/>
    <n v="105"/>
    <s v="_x0000_US"/>
  </r>
  <r>
    <x v="4"/>
    <n v="13.6891"/>
    <n v="-89.195300000000003"/>
    <n v="214.8"/>
    <n v="0"/>
    <n v="0"/>
    <n v="105"/>
    <s v="_x0000_US"/>
  </r>
  <r>
    <x v="4"/>
    <n v="13.6861"/>
    <n v="-89.195300000000003"/>
    <n v="318.44"/>
    <n v="0"/>
    <n v="0"/>
    <n v="105"/>
    <s v="_x0000_US"/>
  </r>
  <r>
    <x v="4"/>
    <n v="13.691700000000001"/>
    <n v="-89.195300000000003"/>
    <n v="372.32"/>
    <n v="0"/>
    <n v="0"/>
    <n v="105"/>
    <s v="_x0000_US"/>
  </r>
  <r>
    <x v="4"/>
    <n v="13.688499999999999"/>
    <n v="-89.195300000000003"/>
    <n v="830.56"/>
    <n v="0"/>
    <n v="0"/>
    <n v="105"/>
    <s v="_x0000_US"/>
  </r>
  <r>
    <x v="4"/>
    <n v="13.6875"/>
    <n v="-89.195300000000003"/>
    <n v="1072.6400000000001"/>
    <n v="0"/>
    <n v="0"/>
    <n v="105"/>
    <s v="_x0000_US"/>
  </r>
  <r>
    <x v="4"/>
    <n v="13.688000000000001"/>
    <n v="-89.1952"/>
    <n v="315.04000000000002"/>
    <n v="0"/>
    <n v="0"/>
    <n v="105"/>
    <s v="_x0000_US"/>
  </r>
  <r>
    <x v="4"/>
    <n v="13.6805"/>
    <n v="-89.1952"/>
    <n v="429.6"/>
    <n v="0"/>
    <n v="0"/>
    <n v="105"/>
    <s v="_x0000_US"/>
  </r>
  <r>
    <x v="4"/>
    <n v="13.6814"/>
    <n v="-89.195099999999996"/>
    <n v="136.04"/>
    <n v="0"/>
    <n v="0"/>
    <n v="105"/>
    <s v="_x0000_US"/>
  </r>
  <r>
    <x v="4"/>
    <n v="13.681100000000001"/>
    <n v="-89.195099999999996"/>
    <n v="579.96"/>
    <n v="0"/>
    <n v="0"/>
    <n v="105"/>
    <s v="_x0000_US"/>
  </r>
  <r>
    <x v="4"/>
    <n v="13.6911"/>
    <n v="-89.194999999999993"/>
    <n v="114.56"/>
    <n v="0"/>
    <n v="0"/>
    <n v="105"/>
    <s v="_x0000_US"/>
  </r>
  <r>
    <x v="4"/>
    <n v="13.692"/>
    <n v="-89.194999999999993"/>
    <n v="236.28"/>
    <n v="0"/>
    <n v="0"/>
    <n v="105"/>
    <s v="_x0000_US"/>
  </r>
  <r>
    <x v="4"/>
    <n v="13.686299999999999"/>
    <n v="-89.194999999999993"/>
    <n v="259.77999999999997"/>
    <n v="0"/>
    <n v="0"/>
    <n v="105"/>
    <s v="_x0000_US"/>
  </r>
  <r>
    <x v="4"/>
    <n v="13.6881"/>
    <n v="-89.194999999999993"/>
    <n v="276.54000000000002"/>
    <n v="0"/>
    <n v="0"/>
    <n v="105"/>
    <s v="_x0000_US"/>
  </r>
  <r>
    <x v="4"/>
    <n v="13.692399999999999"/>
    <n v="-89.194999999999993"/>
    <n v="451.08"/>
    <n v="0"/>
    <n v="0"/>
    <n v="105"/>
    <s v="_x0000_US"/>
  </r>
  <r>
    <x v="4"/>
    <n v="13.6799"/>
    <n v="-89.194999999999993"/>
    <n v="458.24"/>
    <n v="0"/>
    <n v="0"/>
    <n v="105"/>
    <s v="_x0000_US"/>
  </r>
  <r>
    <x v="4"/>
    <n v="13.6915"/>
    <n v="-89.194999999999993"/>
    <n v="501.2"/>
    <n v="0"/>
    <n v="0"/>
    <n v="105"/>
    <s v="_x0000_US"/>
  </r>
  <r>
    <x v="4"/>
    <n v="13.689399999999999"/>
    <n v="-89.194999999999993"/>
    <n v="637.24"/>
    <n v="0"/>
    <n v="0"/>
    <n v="105"/>
    <s v="_x0000_US"/>
  </r>
  <r>
    <x v="4"/>
    <n v="13.6858"/>
    <n v="-89.194999999999993"/>
    <n v="723.16"/>
    <n v="0"/>
    <n v="0"/>
    <n v="105"/>
    <s v="_x0000_US"/>
  </r>
  <r>
    <x v="4"/>
    <n v="13.6904"/>
    <n v="-89.194999999999993"/>
    <n v="988.08"/>
    <n v="0"/>
    <n v="0"/>
    <n v="105"/>
    <s v="_x0000_US"/>
  </r>
  <r>
    <x v="4"/>
    <n v="13.6806"/>
    <n v="-89.194900000000004"/>
    <n v="286.39999999999998"/>
    <n v="0"/>
    <n v="0"/>
    <n v="105"/>
    <s v="_x0000_US"/>
  </r>
  <r>
    <x v="4"/>
    <n v="13.693300000000001"/>
    <n v="-89.194900000000004"/>
    <n v="1059.68"/>
    <n v="0"/>
    <n v="0"/>
    <n v="105"/>
    <s v="_x0000_US"/>
  </r>
  <r>
    <x v="4"/>
    <n v="13.6881"/>
    <n v="-89.194800000000001"/>
    <n v="279.24"/>
    <n v="0"/>
    <n v="0"/>
    <n v="105"/>
    <s v="_x0000_US"/>
  </r>
  <r>
    <x v="4"/>
    <n v="13.688000000000001"/>
    <n v="-89.194800000000001"/>
    <n v="286.39999999999998"/>
    <n v="0"/>
    <n v="0"/>
    <n v="105"/>
    <s v="_x0000_US"/>
  </r>
  <r>
    <x v="4"/>
    <n v="13.680199999999999"/>
    <n v="-89.194800000000001"/>
    <n v="565.64"/>
    <n v="0"/>
    <n v="0"/>
    <n v="105"/>
    <s v="_x0000_US"/>
  </r>
  <r>
    <x v="4"/>
    <n v="13.6813"/>
    <n v="-89.194800000000001"/>
    <n v="603.36"/>
    <n v="0"/>
    <n v="0"/>
    <n v="105"/>
    <s v="_x0000_US"/>
  </r>
  <r>
    <x v="4"/>
    <n v="13.6799"/>
    <n v="-89.194699999999997"/>
    <n v="42.96"/>
    <n v="0"/>
    <n v="0"/>
    <n v="105"/>
    <s v="_x0000_US"/>
  </r>
  <r>
    <x v="4"/>
    <n v="13.6921"/>
    <n v="-89.194699999999997"/>
    <n v="508.36"/>
    <n v="0"/>
    <n v="0"/>
    <n v="105"/>
    <s v="_x0000_US"/>
  </r>
  <r>
    <x v="4"/>
    <n v="13.6798"/>
    <n v="-89.194599999999994"/>
    <n v="14.32"/>
    <n v="0"/>
    <n v="0"/>
    <n v="105"/>
    <s v="_x0000_US"/>
  </r>
  <r>
    <x v="4"/>
    <n v="13.6798"/>
    <n v="-89.194599999999994"/>
    <n v="14.32"/>
    <n v="0"/>
    <n v="0"/>
    <n v="105"/>
    <s v="_x0000_US"/>
  </r>
  <r>
    <x v="4"/>
    <n v="13.6798"/>
    <n v="-89.194599999999994"/>
    <n v="93.08"/>
    <n v="0"/>
    <n v="0"/>
    <n v="105"/>
    <s v="_x0000_US"/>
  </r>
  <r>
    <x v="4"/>
    <n v="13.68"/>
    <n v="-89.194599999999994"/>
    <n v="214.8"/>
    <n v="0"/>
    <n v="0"/>
    <n v="105"/>
    <s v="_x0000_US"/>
  </r>
  <r>
    <x v="4"/>
    <n v="13.680400000000001"/>
    <n v="-89.194599999999994"/>
    <n v="415.28"/>
    <n v="0"/>
    <n v="0"/>
    <n v="105"/>
    <s v="_x0000_US"/>
  </r>
  <r>
    <x v="4"/>
    <n v="13.690799999999999"/>
    <n v="-89.194599999999994"/>
    <n v="436.76"/>
    <n v="0"/>
    <n v="0"/>
    <n v="105"/>
    <s v="_x0000_US"/>
  </r>
  <r>
    <x v="4"/>
    <n v="13.692600000000001"/>
    <n v="-89.194599999999994"/>
    <n v="551.32000000000005"/>
    <n v="0"/>
    <n v="0"/>
    <n v="105"/>
    <s v="_x0000_US"/>
  </r>
  <r>
    <x v="4"/>
    <n v="13.686"/>
    <n v="-89.194599999999994"/>
    <n v="701.68"/>
    <n v="0"/>
    <n v="0"/>
    <n v="105"/>
    <s v="_x0000_US"/>
  </r>
  <r>
    <x v="4"/>
    <n v="13.691000000000001"/>
    <n v="-89.194599999999994"/>
    <n v="812.86"/>
    <n v="0"/>
    <n v="0"/>
    <n v="105"/>
    <s v="_x0000_US"/>
  </r>
  <r>
    <x v="4"/>
    <n v="13.6945"/>
    <n v="-89.194599999999994"/>
    <n v="902.16"/>
    <n v="0"/>
    <n v="0"/>
    <n v="105"/>
    <s v="_x0000_US"/>
  </r>
  <r>
    <x v="4"/>
    <n v="13.688700000000001"/>
    <n v="-89.194599999999994"/>
    <n v="1030.74"/>
    <n v="0"/>
    <n v="0"/>
    <n v="105"/>
    <s v="_x0000_US"/>
  </r>
  <r>
    <x v="4"/>
    <n v="13.6798"/>
    <n v="-89.194500000000005"/>
    <n v="28.64"/>
    <n v="0"/>
    <n v="0"/>
    <n v="105"/>
    <s v="_x0000_US"/>
  </r>
  <r>
    <x v="4"/>
    <n v="13.6798"/>
    <n v="-89.194500000000005"/>
    <n v="71.599999999999994"/>
    <n v="0"/>
    <n v="0"/>
    <n v="105"/>
    <s v="_x0000_US"/>
  </r>
  <r>
    <x v="4"/>
    <n v="13.6798"/>
    <n v="-89.194500000000005"/>
    <n v="78.760000000000005"/>
    <n v="0"/>
    <n v="0"/>
    <n v="105"/>
    <s v="_x0000_US"/>
  </r>
  <r>
    <x v="4"/>
    <n v="13.680199999999999"/>
    <n v="-89.194500000000005"/>
    <n v="78.760000000000005"/>
    <n v="0"/>
    <n v="0"/>
    <n v="105"/>
    <s v="_x0000_US"/>
  </r>
  <r>
    <x v="4"/>
    <n v="13.6797"/>
    <n v="-89.194500000000005"/>
    <n v="85.92"/>
    <n v="0"/>
    <n v="0"/>
    <n v="105"/>
    <s v="_x0000_US"/>
  </r>
  <r>
    <x v="4"/>
    <n v="13.6799"/>
    <n v="-89.194500000000005"/>
    <n v="100.24"/>
    <n v="0"/>
    <n v="0"/>
    <n v="105"/>
    <s v="_x0000_US"/>
  </r>
  <r>
    <x v="4"/>
    <n v="13.680199999999999"/>
    <n v="-89.194500000000005"/>
    <n v="107.4"/>
    <n v="0"/>
    <n v="0"/>
    <n v="105"/>
    <s v="_x0000_US"/>
  </r>
  <r>
    <x v="4"/>
    <n v="13.677"/>
    <n v="-89.194500000000005"/>
    <n v="193.32"/>
    <n v="0"/>
    <n v="0"/>
    <n v="105"/>
    <s v="_x0000_US"/>
  </r>
  <r>
    <x v="4"/>
    <n v="13.680899999999999"/>
    <n v="-89.194500000000005"/>
    <n v="343.68"/>
    <n v="0"/>
    <n v="0"/>
    <n v="105"/>
    <s v="_x0000_US"/>
  </r>
  <r>
    <x v="4"/>
    <n v="13.680300000000001"/>
    <n v="-89.194400000000002"/>
    <n v="100.24"/>
    <n v="0"/>
    <n v="0"/>
    <n v="105"/>
    <s v="_x0000_US"/>
  </r>
  <r>
    <x v="4"/>
    <n v="13.677099999999999"/>
    <n v="-89.194400000000002"/>
    <n v="136.04"/>
    <n v="0"/>
    <n v="0"/>
    <n v="105"/>
    <s v="_x0000_US"/>
  </r>
  <r>
    <x v="4"/>
    <n v="13.6798"/>
    <n v="-89.194400000000002"/>
    <n v="214.8"/>
    <n v="0"/>
    <n v="0"/>
    <n v="105"/>
    <s v="_x0000_US"/>
  </r>
  <r>
    <x v="4"/>
    <n v="13.681699999999999"/>
    <n v="-89.194400000000002"/>
    <n v="1089.4000000000001"/>
    <n v="0"/>
    <n v="0"/>
    <n v="105"/>
    <s v="_x0000_US"/>
  </r>
  <r>
    <x v="4"/>
    <n v="13.677099999999999"/>
    <n v="-89.194299999999998"/>
    <n v="114.56"/>
    <n v="0"/>
    <n v="0"/>
    <n v="105"/>
    <s v="_x0000_US"/>
  </r>
  <r>
    <x v="4"/>
    <n v="13.682499999999999"/>
    <n v="-89.194299999999998"/>
    <n v="351.96"/>
    <n v="0"/>
    <n v="0"/>
    <n v="105"/>
    <s v="_x0000_US"/>
  </r>
  <r>
    <x v="4"/>
    <n v="13.680099999999999"/>
    <n v="-89.194299999999998"/>
    <n v="377.1"/>
    <n v="0"/>
    <n v="0"/>
    <n v="105"/>
    <s v="_x0000_US"/>
  </r>
  <r>
    <x v="4"/>
    <n v="13.680899999999999"/>
    <n v="-89.194299999999998"/>
    <n v="846.38"/>
    <n v="0"/>
    <n v="0"/>
    <n v="105"/>
    <s v="_x0000_US"/>
  </r>
  <r>
    <x v="4"/>
    <n v="13.693899999999999"/>
    <n v="-89.194299999999998"/>
    <n v="859.2"/>
    <n v="0"/>
    <n v="0"/>
    <n v="105"/>
    <s v="_x0000_US"/>
  </r>
  <r>
    <x v="4"/>
    <n v="13.6845"/>
    <n v="-89.194199999999995"/>
    <n v="57.28"/>
    <n v="0"/>
    <n v="0"/>
    <n v="105"/>
    <s v="_x0000_US"/>
  </r>
  <r>
    <x v="4"/>
    <n v="13.682600000000001"/>
    <n v="-89.194199999999995"/>
    <n v="85.92"/>
    <n v="0"/>
    <n v="0"/>
    <n v="105"/>
    <s v="_x0000_US"/>
  </r>
  <r>
    <x v="4"/>
    <n v="13.695"/>
    <n v="-89.194199999999995"/>
    <n v="179"/>
    <n v="0"/>
    <n v="0"/>
    <n v="105"/>
    <s v="_x0000_US"/>
  </r>
  <r>
    <x v="4"/>
    <n v="13.6906"/>
    <n v="-89.194199999999995"/>
    <n v="236.28"/>
    <n v="0"/>
    <n v="0"/>
    <n v="105"/>
    <s v="_x0000_US"/>
  </r>
  <r>
    <x v="4"/>
    <n v="13.6904"/>
    <n v="-89.194199999999995"/>
    <n v="250.6"/>
    <n v="0"/>
    <n v="0"/>
    <n v="105"/>
    <s v="_x0000_US"/>
  </r>
  <r>
    <x v="4"/>
    <n v="13.6927"/>
    <n v="-89.194199999999995"/>
    <n v="250.6"/>
    <n v="0"/>
    <n v="0"/>
    <n v="105"/>
    <s v="_x0000_US"/>
  </r>
  <r>
    <x v="4"/>
    <n v="13.6776"/>
    <n v="-89.194199999999995"/>
    <n v="565.64"/>
    <n v="0"/>
    <n v="0"/>
    <n v="105"/>
    <s v="_x0000_US"/>
  </r>
  <r>
    <x v="4"/>
    <n v="13.685600000000001"/>
    <n v="-89.194100000000006"/>
    <n v="50.12"/>
    <n v="0"/>
    <n v="0"/>
    <n v="105"/>
    <s v="_x0000_US"/>
  </r>
  <r>
    <x v="4"/>
    <n v="13.685499999999999"/>
    <n v="-89.194100000000006"/>
    <n v="85.92"/>
    <n v="0"/>
    <n v="0"/>
    <n v="105"/>
    <s v="_x0000_US"/>
  </r>
  <r>
    <x v="4"/>
    <n v="13.6952"/>
    <n v="-89.194100000000006"/>
    <n v="121.72"/>
    <n v="0"/>
    <n v="0"/>
    <n v="105"/>
    <s v="_x0000_US"/>
  </r>
  <r>
    <x v="4"/>
    <n v="13.690799999999999"/>
    <n v="-89.194100000000006"/>
    <n v="150.36000000000001"/>
    <n v="0"/>
    <n v="0"/>
    <n v="105"/>
    <s v="_x0000_US"/>
  </r>
  <r>
    <x v="4"/>
    <n v="13.682700000000001"/>
    <n v="-89.194100000000006"/>
    <n v="157.52000000000001"/>
    <n v="0"/>
    <n v="0"/>
    <n v="105"/>
    <s v="_x0000_US"/>
  </r>
  <r>
    <x v="4"/>
    <n v="13.691000000000001"/>
    <n v="-89.194100000000006"/>
    <n v="171.84"/>
    <n v="0"/>
    <n v="0"/>
    <n v="105"/>
    <s v="_x0000_US"/>
  </r>
  <r>
    <x v="4"/>
    <n v="13.692500000000001"/>
    <n v="-89.194100000000006"/>
    <n v="243.44"/>
    <n v="0"/>
    <n v="0"/>
    <n v="105"/>
    <s v="_x0000_US"/>
  </r>
  <r>
    <x v="4"/>
    <n v="13.687799999999999"/>
    <n v="-89.194100000000006"/>
    <n v="930.8"/>
    <n v="0"/>
    <n v="0"/>
    <n v="105"/>
    <s v="_x0000_US"/>
  </r>
  <r>
    <x v="4"/>
    <n v="13.6868"/>
    <n v="-89.194100000000006"/>
    <n v="1625.72"/>
    <n v="0"/>
    <n v="0"/>
    <n v="105"/>
    <s v="_x0000_US"/>
  </r>
  <r>
    <x v="4"/>
    <n v="13.6859"/>
    <n v="-89.194000000000003"/>
    <n v="57.28"/>
    <n v="0"/>
    <n v="0"/>
    <n v="105"/>
    <s v="_x0000_US"/>
  </r>
  <r>
    <x v="4"/>
    <n v="13.6859"/>
    <n v="-89.194000000000003"/>
    <n v="64.44"/>
    <n v="0"/>
    <n v="0"/>
    <n v="105"/>
    <s v="_x0000_US"/>
  </r>
  <r>
    <x v="4"/>
    <n v="13.686"/>
    <n v="-89.194000000000003"/>
    <n v="100.24"/>
    <n v="0"/>
    <n v="0"/>
    <n v="105"/>
    <s v="_x0000_US"/>
  </r>
  <r>
    <x v="4"/>
    <n v="13.6858"/>
    <n v="-89.194000000000003"/>
    <n v="114.56"/>
    <n v="0"/>
    <n v="0"/>
    <n v="105"/>
    <s v="_x0000_US"/>
  </r>
  <r>
    <x v="4"/>
    <n v="13.6828"/>
    <n v="-89.194000000000003"/>
    <n v="143.19999999999999"/>
    <n v="0"/>
    <n v="0"/>
    <n v="105"/>
    <s v="_x0000_US"/>
  </r>
  <r>
    <x v="4"/>
    <n v="13.6906"/>
    <n v="-89.194000000000003"/>
    <n v="157.52000000000001"/>
    <n v="0"/>
    <n v="0"/>
    <n v="105"/>
    <s v="_x0000_US"/>
  </r>
  <r>
    <x v="4"/>
    <n v="13.682600000000001"/>
    <n v="-89.194000000000003"/>
    <n v="157.52000000000001"/>
    <n v="0"/>
    <n v="0"/>
    <n v="105"/>
    <s v="_x0000_US"/>
  </r>
  <r>
    <x v="4"/>
    <n v="13.6911"/>
    <n v="-89.194000000000003"/>
    <n v="175.98"/>
    <n v="0"/>
    <n v="0"/>
    <n v="105"/>
    <s v="_x0000_US"/>
  </r>
  <r>
    <x v="4"/>
    <n v="13.685700000000001"/>
    <n v="-89.194000000000003"/>
    <n v="207.64"/>
    <n v="0"/>
    <n v="0"/>
    <n v="105"/>
    <s v="_x0000_US"/>
  </r>
  <r>
    <x v="4"/>
    <n v="13.6844"/>
    <n v="-89.194000000000003"/>
    <n v="257.76"/>
    <n v="0"/>
    <n v="0"/>
    <n v="105"/>
    <s v="_x0000_US"/>
  </r>
  <r>
    <x v="4"/>
    <n v="13.694800000000001"/>
    <n v="-89.194000000000003"/>
    <n v="494.04"/>
    <n v="0"/>
    <n v="0"/>
    <n v="105"/>
    <s v="_x0000_US"/>
  </r>
  <r>
    <x v="4"/>
    <n v="13.677300000000001"/>
    <n v="-89.194000000000003"/>
    <n v="529.84"/>
    <n v="0"/>
    <n v="0"/>
    <n v="105"/>
    <s v="_x0000_US"/>
  </r>
  <r>
    <x v="4"/>
    <n v="13.689399999999999"/>
    <n v="-89.194000000000003"/>
    <n v="544.70000000000005"/>
    <n v="0"/>
    <n v="0"/>
    <n v="105"/>
    <s v="_x0000_US"/>
  </r>
  <r>
    <x v="4"/>
    <n v="13.679500000000001"/>
    <n v="-89.194000000000003"/>
    <n v="804.48"/>
    <n v="0"/>
    <n v="0"/>
    <n v="105"/>
    <s v="_x0000_US"/>
  </r>
  <r>
    <x v="4"/>
    <n v="13.6858"/>
    <n v="-89.193899999999999"/>
    <n v="78.760000000000005"/>
    <n v="0"/>
    <n v="0"/>
    <n v="105"/>
    <s v="_x0000_US"/>
  </r>
  <r>
    <x v="4"/>
    <n v="13.682499999999999"/>
    <n v="-89.193899999999999"/>
    <n v="93.08"/>
    <n v="0"/>
    <n v="0"/>
    <n v="105"/>
    <s v="_x0000_US"/>
  </r>
  <r>
    <x v="4"/>
    <n v="13.682399999999999"/>
    <n v="-89.193899999999999"/>
    <n v="93.08"/>
    <n v="0"/>
    <n v="0"/>
    <n v="105"/>
    <s v="_x0000_US"/>
  </r>
  <r>
    <x v="4"/>
    <n v="13.682600000000001"/>
    <n v="-89.193899999999999"/>
    <n v="100.24"/>
    <n v="0"/>
    <n v="0"/>
    <n v="105"/>
    <s v="_x0000_US"/>
  </r>
  <r>
    <x v="4"/>
    <n v="13.682700000000001"/>
    <n v="-89.193899999999999"/>
    <n v="128.88"/>
    <n v="0"/>
    <n v="0"/>
    <n v="105"/>
    <s v="_x0000_US"/>
  </r>
  <r>
    <x v="4"/>
    <n v="13.6905"/>
    <n v="-89.193899999999999"/>
    <n v="164.68"/>
    <n v="0"/>
    <n v="0"/>
    <n v="105"/>
    <s v="_x0000_US"/>
  </r>
  <r>
    <x v="4"/>
    <n v="13.6952"/>
    <n v="-89.193899999999999"/>
    <n v="300.72000000000003"/>
    <n v="0"/>
    <n v="0"/>
    <n v="105"/>
    <s v="_x0000_US"/>
  </r>
  <r>
    <x v="4"/>
    <n v="13.677899999999999"/>
    <n v="-89.193899999999999"/>
    <n v="336.52"/>
    <n v="0"/>
    <n v="0"/>
    <n v="105"/>
    <s v="_x0000_US"/>
  </r>
  <r>
    <x v="4"/>
    <n v="13.690799999999999"/>
    <n v="-89.193899999999999"/>
    <n v="436.76"/>
    <n v="0"/>
    <n v="0"/>
    <n v="105"/>
    <s v="_x0000_US"/>
  </r>
  <r>
    <x v="4"/>
    <n v="13.6921"/>
    <n v="-89.193899999999999"/>
    <n v="565.64"/>
    <n v="0"/>
    <n v="0"/>
    <n v="105"/>
    <s v="_x0000_US"/>
  </r>
  <r>
    <x v="4"/>
    <n v="13.6836"/>
    <n v="-89.193899999999999"/>
    <n v="1877.12"/>
    <n v="0"/>
    <n v="0"/>
    <n v="105"/>
    <s v="_x0000_US"/>
  </r>
  <r>
    <x v="4"/>
    <n v="13.6859"/>
    <n v="-89.193799999999996"/>
    <n v="42.96"/>
    <n v="0"/>
    <n v="0"/>
    <n v="105"/>
    <s v="_x0000_US"/>
  </r>
  <r>
    <x v="4"/>
    <n v="13.686299999999999"/>
    <n v="-89.193799999999996"/>
    <n v="71.599999999999994"/>
    <n v="0"/>
    <n v="0"/>
    <n v="105"/>
    <s v="_x0000_US"/>
  </r>
  <r>
    <x v="4"/>
    <n v="13.6859"/>
    <n v="-89.193799999999996"/>
    <n v="100.24"/>
    <n v="0"/>
    <n v="0"/>
    <n v="105"/>
    <s v="_x0000_US"/>
  </r>
  <r>
    <x v="4"/>
    <n v="13.6859"/>
    <n v="-89.193799999999996"/>
    <n v="121.72"/>
    <n v="0"/>
    <n v="0"/>
    <n v="105"/>
    <s v="_x0000_US"/>
  </r>
  <r>
    <x v="4"/>
    <n v="13.682600000000001"/>
    <n v="-89.193799999999996"/>
    <n v="128.88"/>
    <n v="0"/>
    <n v="0"/>
    <n v="105"/>
    <s v="_x0000_US"/>
  </r>
  <r>
    <x v="4"/>
    <n v="13.6861"/>
    <n v="-89.193799999999996"/>
    <n v="157.52000000000001"/>
    <n v="0"/>
    <n v="0"/>
    <n v="105"/>
    <s v="_x0000_US"/>
  </r>
  <r>
    <x v="4"/>
    <n v="13.6911"/>
    <n v="-89.193799999999996"/>
    <n v="175.98"/>
    <n v="0"/>
    <n v="0"/>
    <n v="105"/>
    <s v="_x0000_US"/>
  </r>
  <r>
    <x v="4"/>
    <n v="13.686199999999999"/>
    <n v="-89.193799999999996"/>
    <n v="179"/>
    <n v="0"/>
    <n v="0"/>
    <n v="105"/>
    <s v="_x0000_US"/>
  </r>
  <r>
    <x v="4"/>
    <n v="13.6906"/>
    <n v="-89.193799999999996"/>
    <n v="179"/>
    <n v="0"/>
    <n v="0"/>
    <n v="105"/>
    <s v="_x0000_US"/>
  </r>
  <r>
    <x v="4"/>
    <n v="13.692500000000001"/>
    <n v="-89.193799999999996"/>
    <n v="236.28"/>
    <n v="0"/>
    <n v="0"/>
    <n v="105"/>
    <s v="_x0000_US"/>
  </r>
  <r>
    <x v="4"/>
    <n v="13.685"/>
    <n v="-89.193799999999996"/>
    <n v="1081.1600000000001"/>
    <n v="0"/>
    <n v="0"/>
    <n v="105"/>
    <s v="_x0000_US"/>
  </r>
  <r>
    <x v="4"/>
    <n v="13.693199999999999"/>
    <n v="-89.193799999999996"/>
    <n v="1102.6400000000001"/>
    <n v="0"/>
    <n v="0"/>
    <n v="105"/>
    <s v="_x0000_US"/>
  </r>
  <r>
    <x v="4"/>
    <n v="13.688599999999999"/>
    <n v="-89.193799999999996"/>
    <n v="1102.6400000000001"/>
    <n v="0"/>
    <n v="0"/>
    <n v="105"/>
    <s v="_x0000_US"/>
  </r>
  <r>
    <x v="4"/>
    <n v="13.686299999999999"/>
    <n v="-89.193700000000007"/>
    <n v="21.48"/>
    <n v="0"/>
    <n v="0"/>
    <n v="105"/>
    <s v="_x0000_US"/>
  </r>
  <r>
    <x v="4"/>
    <n v="13.686"/>
    <n v="-89.193700000000007"/>
    <n v="64.44"/>
    <n v="0"/>
    <n v="0"/>
    <n v="105"/>
    <s v="_x0000_US"/>
  </r>
  <r>
    <x v="4"/>
    <n v="13.686199999999999"/>
    <n v="-89.193700000000007"/>
    <n v="121.72"/>
    <n v="0"/>
    <n v="0"/>
    <n v="105"/>
    <s v="_x0000_US"/>
  </r>
  <r>
    <x v="4"/>
    <n v="13.686"/>
    <n v="-89.193700000000007"/>
    <n v="136.04"/>
    <n v="0"/>
    <n v="0"/>
    <n v="105"/>
    <s v="_x0000_US"/>
  </r>
  <r>
    <x v="4"/>
    <n v="13.677199999999999"/>
    <n v="-89.193700000000007"/>
    <n v="201.12"/>
    <n v="0"/>
    <n v="0"/>
    <n v="105"/>
    <s v="_x0000_US"/>
  </r>
  <r>
    <x v="4"/>
    <n v="13.6777"/>
    <n v="-89.193700000000007"/>
    <n v="250.6"/>
    <n v="0"/>
    <n v="0"/>
    <n v="105"/>
    <s v="_x0000_US"/>
  </r>
  <r>
    <x v="4"/>
    <n v="13.679"/>
    <n v="-89.193700000000007"/>
    <n v="318.44"/>
    <n v="0"/>
    <n v="0"/>
    <n v="105"/>
    <s v="_x0000_US"/>
  </r>
  <r>
    <x v="4"/>
    <n v="13.690899999999999"/>
    <n v="-89.193700000000007"/>
    <n v="329.36"/>
    <n v="0"/>
    <n v="0"/>
    <n v="105"/>
    <s v="_x0000_US"/>
  </r>
  <r>
    <x v="4"/>
    <n v="13.6828"/>
    <n v="-89.193700000000007"/>
    <n v="400.96"/>
    <n v="0"/>
    <n v="0"/>
    <n v="105"/>
    <s v="_x0000_US"/>
  </r>
  <r>
    <x v="4"/>
    <n v="13.693899999999999"/>
    <n v="-89.193700000000007"/>
    <n v="723.16"/>
    <n v="0"/>
    <n v="0"/>
    <n v="105"/>
    <s v="_x0000_US"/>
  </r>
  <r>
    <x v="4"/>
    <n v="13.6822"/>
    <n v="-89.193700000000007"/>
    <n v="909.32"/>
    <n v="0"/>
    <n v="0"/>
    <n v="105"/>
    <s v="_x0000_US"/>
  </r>
  <r>
    <x v="4"/>
    <n v="13.690799999999999"/>
    <n v="-89.193600000000004"/>
    <n v="157.52000000000001"/>
    <n v="0"/>
    <n v="0"/>
    <n v="105"/>
    <s v="_x0000_US"/>
  </r>
  <r>
    <x v="4"/>
    <n v="13.6911"/>
    <n v="-89.193600000000004"/>
    <n v="175.98"/>
    <n v="0"/>
    <n v="0"/>
    <n v="105"/>
    <s v="_x0000_US"/>
  </r>
  <r>
    <x v="4"/>
    <n v="13.686299999999999"/>
    <n v="-89.193600000000004"/>
    <n v="221.96"/>
    <n v="0"/>
    <n v="0"/>
    <n v="105"/>
    <s v="_x0000_US"/>
  </r>
  <r>
    <x v="4"/>
    <n v="13.6922"/>
    <n v="-89.193600000000004"/>
    <n v="322.2"/>
    <n v="0"/>
    <n v="0"/>
    <n v="105"/>
    <s v="_x0000_US"/>
  </r>
  <r>
    <x v="4"/>
    <n v="13.685700000000001"/>
    <n v="-89.193600000000004"/>
    <n v="358"/>
    <n v="0"/>
    <n v="0"/>
    <n v="105"/>
    <s v="_x0000_US"/>
  </r>
  <r>
    <x v="4"/>
    <n v="13.6775"/>
    <n v="-89.193600000000004"/>
    <n v="360.34"/>
    <n v="0"/>
    <n v="0"/>
    <n v="105"/>
    <s v="_x0000_US"/>
  </r>
  <r>
    <x v="4"/>
    <n v="13.6913"/>
    <n v="-89.193600000000004"/>
    <n v="1503.6"/>
    <n v="0"/>
    <n v="0"/>
    <n v="105"/>
    <s v="_x0000_US"/>
  </r>
  <r>
    <x v="4"/>
    <n v="13.686299999999999"/>
    <n v="-89.1935"/>
    <n v="85.92"/>
    <n v="0"/>
    <n v="0"/>
    <n v="105"/>
    <s v="_x0000_US"/>
  </r>
  <r>
    <x v="4"/>
    <n v="13.682499999999999"/>
    <n v="-89.1935"/>
    <n v="150.36000000000001"/>
    <n v="0"/>
    <n v="0"/>
    <n v="105"/>
    <s v="_x0000_US"/>
  </r>
  <r>
    <x v="4"/>
    <n v="13.691000000000001"/>
    <n v="-89.1935"/>
    <n v="300.72000000000003"/>
    <n v="0"/>
    <n v="0"/>
    <n v="105"/>
    <s v="_x0000_US"/>
  </r>
  <r>
    <x v="4"/>
    <n v="13.6791"/>
    <n v="-89.1935"/>
    <n v="494.42"/>
    <n v="0"/>
    <n v="0"/>
    <n v="105"/>
    <s v="_x0000_US"/>
  </r>
  <r>
    <x v="4"/>
    <n v="13.6843"/>
    <n v="-89.1935"/>
    <n v="515.52"/>
    <n v="0"/>
    <n v="0"/>
    <n v="105"/>
    <s v="_x0000_US"/>
  </r>
  <r>
    <x v="4"/>
    <n v="13.69"/>
    <n v="-89.1935"/>
    <n v="921.8"/>
    <n v="0"/>
    <n v="0"/>
    <n v="105"/>
    <s v="_x0000_US"/>
  </r>
  <r>
    <x v="4"/>
    <n v="13.682399999999999"/>
    <n v="-89.193399999999997"/>
    <n v="64.44"/>
    <n v="0"/>
    <n v="0"/>
    <n v="105"/>
    <s v="_x0000_US"/>
  </r>
  <r>
    <x v="4"/>
    <n v="13.690799999999999"/>
    <n v="-89.193399999999997"/>
    <n v="71.599999999999994"/>
    <n v="0"/>
    <n v="0"/>
    <n v="105"/>
    <s v="_x0000_US"/>
  </r>
  <r>
    <x v="4"/>
    <n v="13.682499999999999"/>
    <n v="-89.193399999999997"/>
    <n v="85.92"/>
    <n v="0"/>
    <n v="0"/>
    <n v="105"/>
    <s v="_x0000_US"/>
  </r>
  <r>
    <x v="4"/>
    <n v="13.682600000000001"/>
    <n v="-89.193399999999997"/>
    <n v="85.92"/>
    <n v="0"/>
    <n v="0"/>
    <n v="105"/>
    <s v="_x0000_US"/>
  </r>
  <r>
    <x v="4"/>
    <n v="13.682700000000001"/>
    <n v="-89.193399999999997"/>
    <n v="128.88"/>
    <n v="0"/>
    <n v="0"/>
    <n v="105"/>
    <s v="_x0000_US"/>
  </r>
  <r>
    <x v="4"/>
    <n v="13.685700000000001"/>
    <n v="-89.193399999999997"/>
    <n v="250.6"/>
    <n v="0"/>
    <n v="0"/>
    <n v="105"/>
    <s v="_x0000_US"/>
  </r>
  <r>
    <x v="4"/>
    <n v="13.688000000000001"/>
    <n v="-89.193399999999997"/>
    <n v="257.76"/>
    <n v="0"/>
    <n v="0"/>
    <n v="105"/>
    <s v="_x0000_US"/>
  </r>
  <r>
    <x v="4"/>
    <n v="13.678900000000001"/>
    <n v="-89.193399999999997"/>
    <n v="360.34"/>
    <n v="0"/>
    <n v="0"/>
    <n v="105"/>
    <s v="_x0000_US"/>
  </r>
  <r>
    <x v="4"/>
    <n v="13.678599999999999"/>
    <n v="-89.193399999999997"/>
    <n v="544.70000000000005"/>
    <n v="0"/>
    <n v="0"/>
    <n v="105"/>
    <s v="_x0000_US"/>
  </r>
  <r>
    <x v="4"/>
    <n v="13.6876"/>
    <n v="-89.193399999999997"/>
    <n v="551.32000000000005"/>
    <n v="0"/>
    <n v="0"/>
    <n v="105"/>
    <s v="_x0000_US"/>
  </r>
  <r>
    <x v="4"/>
    <n v="13.682499999999999"/>
    <n v="-89.193299999999994"/>
    <n v="128.88"/>
    <n v="0"/>
    <n v="0"/>
    <n v="105"/>
    <s v="_x0000_US"/>
  </r>
  <r>
    <x v="4"/>
    <n v="13.6859"/>
    <n v="-89.193299999999994"/>
    <n v="157.52000000000001"/>
    <n v="0"/>
    <n v="0"/>
    <n v="105"/>
    <s v="_x0000_US"/>
  </r>
  <r>
    <x v="4"/>
    <n v="13.686299999999999"/>
    <n v="-89.193299999999994"/>
    <n v="193.32"/>
    <n v="0"/>
    <n v="0"/>
    <n v="105"/>
    <s v="_x0000_US"/>
  </r>
  <r>
    <x v="4"/>
    <n v="13.6861"/>
    <n v="-89.193299999999994"/>
    <n v="200.48"/>
    <n v="0"/>
    <n v="0"/>
    <n v="105"/>
    <s v="_x0000_US"/>
  </r>
  <r>
    <x v="4"/>
    <n v="13.6883"/>
    <n v="-89.193299999999994"/>
    <n v="272.08"/>
    <n v="0"/>
    <n v="0"/>
    <n v="105"/>
    <s v="_x0000_US"/>
  </r>
  <r>
    <x v="4"/>
    <n v="13.6912"/>
    <n v="-89.193299999999994"/>
    <n v="393.86"/>
    <n v="0"/>
    <n v="0"/>
    <n v="105"/>
    <s v="_x0000_US"/>
  </r>
  <r>
    <x v="4"/>
    <n v="13.694699999999999"/>
    <n v="-89.193299999999994"/>
    <n v="494.04"/>
    <n v="0"/>
    <n v="0"/>
    <n v="105"/>
    <s v="_x0000_US"/>
  </r>
  <r>
    <x v="4"/>
    <n v="13.692399999999999"/>
    <n v="-89.193299999999994"/>
    <n v="508.36"/>
    <n v="0"/>
    <n v="0"/>
    <n v="105"/>
    <s v="_x0000_US"/>
  </r>
  <r>
    <x v="4"/>
    <n v="13.678000000000001"/>
    <n v="-89.193299999999994"/>
    <n v="678.78"/>
    <n v="0"/>
    <n v="0"/>
    <n v="105"/>
    <s v="_x0000_US"/>
  </r>
  <r>
    <x v="4"/>
    <n v="13.682499999999999"/>
    <n v="-89.193200000000004"/>
    <n v="85.92"/>
    <n v="0"/>
    <n v="0"/>
    <n v="105"/>
    <s v="_x0000_US"/>
  </r>
  <r>
    <x v="4"/>
    <n v="13.682600000000001"/>
    <n v="-89.193200000000004"/>
    <n v="121.72"/>
    <n v="0"/>
    <n v="0"/>
    <n v="105"/>
    <s v="_x0000_US"/>
  </r>
  <r>
    <x v="4"/>
    <n v="13.6828"/>
    <n v="-89.193200000000004"/>
    <n v="257.76"/>
    <n v="0"/>
    <n v="0"/>
    <n v="105"/>
    <s v="_x0000_US"/>
  </r>
  <r>
    <x v="4"/>
    <n v="13.685499999999999"/>
    <n v="-89.193200000000004"/>
    <n v="372.32"/>
    <n v="0"/>
    <n v="0"/>
    <n v="105"/>
    <s v="_x0000_US"/>
  </r>
  <r>
    <x v="4"/>
    <n v="13.6874"/>
    <n v="-89.193200000000004"/>
    <n v="377.1"/>
    <n v="0"/>
    <n v="0"/>
    <n v="105"/>
    <s v="_x0000_US"/>
  </r>
  <r>
    <x v="4"/>
    <n v="13.686999999999999"/>
    <n v="-89.193200000000004"/>
    <n v="429.6"/>
    <n v="0"/>
    <n v="0"/>
    <n v="105"/>
    <s v="_x0000_US"/>
  </r>
  <r>
    <x v="4"/>
    <n v="13.678699999999999"/>
    <n v="-89.193200000000004"/>
    <n v="879.9"/>
    <n v="0"/>
    <n v="0"/>
    <n v="105"/>
    <s v="_x0000_US"/>
  </r>
  <r>
    <x v="4"/>
    <n v="13.6904"/>
    <n v="-89.193100000000001"/>
    <n v="117.32"/>
    <n v="0"/>
    <n v="0"/>
    <n v="105"/>
    <s v="_x0000_US"/>
  </r>
  <r>
    <x v="4"/>
    <n v="13.6913"/>
    <n v="-89.193100000000001"/>
    <n v="143.19999999999999"/>
    <n v="0"/>
    <n v="0"/>
    <n v="105"/>
    <s v="_x0000_US"/>
  </r>
  <r>
    <x v="4"/>
    <n v="13.686400000000001"/>
    <n v="-89.193100000000001"/>
    <n v="272.08"/>
    <n v="0"/>
    <n v="0"/>
    <n v="105"/>
    <s v="_x0000_US"/>
  </r>
  <r>
    <x v="4"/>
    <n v="13.6791"/>
    <n v="-89.193100000000001"/>
    <n v="368.72"/>
    <n v="0"/>
    <n v="0"/>
    <n v="105"/>
    <s v="_x0000_US"/>
  </r>
  <r>
    <x v="4"/>
    <n v="13.682499999999999"/>
    <n v="-89.193100000000001"/>
    <n v="458.24"/>
    <n v="0"/>
    <n v="0"/>
    <n v="105"/>
    <s v="_x0000_US"/>
  </r>
  <r>
    <x v="4"/>
    <n v="13.690799999999999"/>
    <n v="-89.193100000000001"/>
    <n v="673.04"/>
    <n v="0"/>
    <n v="0"/>
    <n v="105"/>
    <s v="_x0000_US"/>
  </r>
  <r>
    <x v="4"/>
    <n v="13.6937"/>
    <n v="-89.193100000000001"/>
    <n v="744.64"/>
    <n v="0"/>
    <n v="0"/>
    <n v="105"/>
    <s v="_x0000_US"/>
  </r>
  <r>
    <x v="4"/>
    <n v="13.689500000000001"/>
    <n v="-89.193100000000001"/>
    <n v="1138.44"/>
    <n v="0"/>
    <n v="0"/>
    <n v="105"/>
    <s v="_x0000_US"/>
  </r>
  <r>
    <x v="4"/>
    <n v="13.6854"/>
    <n v="-89.192999999999998"/>
    <n v="100.24"/>
    <n v="0"/>
    <n v="0"/>
    <n v="105"/>
    <s v="_x0000_US"/>
  </r>
  <r>
    <x v="4"/>
    <n v="13.685499999999999"/>
    <n v="-89.192999999999998"/>
    <n v="193.32"/>
    <n v="0"/>
    <n v="0"/>
    <n v="105"/>
    <s v="_x0000_US"/>
  </r>
  <r>
    <x v="4"/>
    <n v="13.6843"/>
    <n v="-89.192999999999998"/>
    <n v="284.92"/>
    <n v="0"/>
    <n v="0"/>
    <n v="105"/>
    <s v="_x0000_US"/>
  </r>
  <r>
    <x v="4"/>
    <n v="13.695499999999999"/>
    <n v="-89.192999999999998"/>
    <n v="307.88"/>
    <n v="0"/>
    <n v="0"/>
    <n v="105"/>
    <s v="_x0000_US"/>
  </r>
  <r>
    <x v="4"/>
    <n v="13.683"/>
    <n v="-89.192999999999998"/>
    <n v="372.32"/>
    <n v="0"/>
    <n v="0"/>
    <n v="105"/>
    <s v="_x0000_US"/>
  </r>
  <r>
    <x v="4"/>
    <n v="13.6912"/>
    <n v="-89.192999999999998"/>
    <n v="444.14"/>
    <n v="0"/>
    <n v="0"/>
    <n v="105"/>
    <s v="_x0000_US"/>
  </r>
  <r>
    <x v="4"/>
    <n v="13.6858"/>
    <n v="-89.192999999999998"/>
    <n v="558.48"/>
    <n v="0"/>
    <n v="0"/>
    <n v="105"/>
    <s v="_x0000_US"/>
  </r>
  <r>
    <x v="4"/>
    <n v="13.690099999999999"/>
    <n v="-89.192999999999998"/>
    <n v="579.96"/>
    <n v="0"/>
    <n v="0"/>
    <n v="105"/>
    <s v="_x0000_US"/>
  </r>
  <r>
    <x v="4"/>
    <n v="13.6919"/>
    <n v="-89.192999999999998"/>
    <n v="751.8"/>
    <n v="0"/>
    <n v="0"/>
    <n v="105"/>
    <s v="_x0000_US"/>
  </r>
  <r>
    <x v="4"/>
    <n v="13.694599999999999"/>
    <n v="-89.192899999999995"/>
    <n v="221.96"/>
    <n v="0"/>
    <n v="0"/>
    <n v="105"/>
    <s v="_x0000_US"/>
  </r>
  <r>
    <x v="4"/>
    <n v="13.685499999999999"/>
    <n v="-89.192899999999995"/>
    <n v="221.96"/>
    <n v="0"/>
    <n v="0"/>
    <n v="105"/>
    <s v="_x0000_US"/>
  </r>
  <r>
    <x v="4"/>
    <n v="13.6875"/>
    <n v="-89.192899999999995"/>
    <n v="279.24"/>
    <n v="0"/>
    <n v="0"/>
    <n v="105"/>
    <s v="_x0000_US"/>
  </r>
  <r>
    <x v="4"/>
    <n v="13.6951"/>
    <n v="-89.192899999999995"/>
    <n v="680.2"/>
    <n v="0"/>
    <n v="0"/>
    <n v="105"/>
    <s v="_x0000_US"/>
  </r>
  <r>
    <x v="4"/>
    <n v="13.693"/>
    <n v="-89.192899999999995"/>
    <n v="1095.48"/>
    <n v="0"/>
    <n v="0"/>
    <n v="105"/>
    <s v="_x0000_US"/>
  </r>
  <r>
    <x v="4"/>
    <n v="13.6853"/>
    <n v="-89.192800000000005"/>
    <n v="100.24"/>
    <n v="0"/>
    <n v="0"/>
    <n v="105"/>
    <s v="_x0000_US"/>
  </r>
  <r>
    <x v="4"/>
    <n v="13.692299999999999"/>
    <n v="-89.192800000000005"/>
    <n v="221.96"/>
    <n v="0"/>
    <n v="0"/>
    <n v="105"/>
    <s v="_x0000_US"/>
  </r>
  <r>
    <x v="4"/>
    <n v="13.686400000000001"/>
    <n v="-89.192800000000005"/>
    <n v="329.36"/>
    <n v="0"/>
    <n v="0"/>
    <n v="105"/>
    <s v="_x0000_US"/>
  </r>
  <r>
    <x v="4"/>
    <n v="13.6867"/>
    <n v="-89.192800000000005"/>
    <n v="400.96"/>
    <n v="0"/>
    <n v="0"/>
    <n v="105"/>
    <s v="_x0000_US"/>
  </r>
  <r>
    <x v="4"/>
    <n v="13.6942"/>
    <n v="-89.192800000000005"/>
    <n v="730.32"/>
    <n v="0"/>
    <n v="0"/>
    <n v="105"/>
    <s v="_x0000_US"/>
  </r>
  <r>
    <x v="4"/>
    <n v="13.684799999999999"/>
    <n v="-89.192800000000005"/>
    <n v="780.44"/>
    <n v="0"/>
    <n v="0"/>
    <n v="105"/>
    <s v="_x0000_US"/>
  </r>
  <r>
    <x v="4"/>
    <n v="13.6884"/>
    <n v="-89.192800000000005"/>
    <n v="801.92"/>
    <n v="0"/>
    <n v="0"/>
    <n v="105"/>
    <s v="_x0000_US"/>
  </r>
  <r>
    <x v="4"/>
    <n v="13.688000000000001"/>
    <n v="-89.192800000000005"/>
    <n v="938.56"/>
    <n v="0"/>
    <n v="0"/>
    <n v="105"/>
    <s v="_x0000_US"/>
  </r>
  <r>
    <x v="4"/>
    <n v="13.6853"/>
    <n v="-89.192700000000002"/>
    <n v="71.599999999999994"/>
    <n v="0"/>
    <n v="0"/>
    <n v="105"/>
    <s v="_x0000_US"/>
  </r>
  <r>
    <x v="4"/>
    <n v="13.695499999999999"/>
    <n v="-89.192700000000002"/>
    <n v="143.19999999999999"/>
    <n v="0"/>
    <n v="0"/>
    <n v="105"/>
    <s v="_x0000_US"/>
  </r>
  <r>
    <x v="4"/>
    <n v="13.6922"/>
    <n v="-89.192700000000002"/>
    <n v="200.48"/>
    <n v="0"/>
    <n v="0"/>
    <n v="105"/>
    <s v="_x0000_US"/>
  </r>
  <r>
    <x v="4"/>
    <n v="13.695"/>
    <n v="-89.192700000000002"/>
    <n v="687.36"/>
    <n v="0"/>
    <n v="0"/>
    <n v="105"/>
    <s v="_x0000_US"/>
  </r>
  <r>
    <x v="4"/>
    <n v="13.6906"/>
    <n v="-89.192700000000002"/>
    <n v="938.56"/>
    <n v="0"/>
    <n v="0"/>
    <n v="105"/>
    <s v="_x0000_US"/>
  </r>
  <r>
    <x v="4"/>
    <n v="13.695600000000001"/>
    <n v="-89.192599999999999"/>
    <n v="229.12"/>
    <n v="0"/>
    <n v="0"/>
    <n v="105"/>
    <s v="_x0000_US"/>
  </r>
  <r>
    <x v="4"/>
    <n v="13.6793"/>
    <n v="-89.192599999999999"/>
    <n v="377.1"/>
    <n v="0"/>
    <n v="0"/>
    <n v="105"/>
    <s v="_x0000_US"/>
  </r>
  <r>
    <x v="4"/>
    <n v="13.6897"/>
    <n v="-89.192599999999999"/>
    <n v="393.8"/>
    <n v="0"/>
    <n v="0"/>
    <n v="105"/>
    <s v="_x0000_US"/>
  </r>
  <r>
    <x v="4"/>
    <n v="13.685499999999999"/>
    <n v="-89.192599999999999"/>
    <n v="408.12"/>
    <n v="0"/>
    <n v="0"/>
    <n v="105"/>
    <s v="_x0000_US"/>
  </r>
  <r>
    <x v="4"/>
    <n v="13.683199999999999"/>
    <n v="-89.192599999999999"/>
    <n v="687.36"/>
    <n v="0"/>
    <n v="0"/>
    <n v="105"/>
    <s v="_x0000_US"/>
  </r>
  <r>
    <x v="4"/>
    <n v="13.6821"/>
    <n v="-89.192599999999999"/>
    <n v="787.6"/>
    <n v="0"/>
    <n v="0"/>
    <n v="105"/>
    <s v="_x0000_US"/>
  </r>
  <r>
    <x v="4"/>
    <n v="13.6913"/>
    <n v="-89.192499999999995"/>
    <n v="209.5"/>
    <n v="0"/>
    <n v="0"/>
    <n v="105"/>
    <s v="_x0000_US"/>
  </r>
  <r>
    <x v="4"/>
    <n v="13.6843"/>
    <n v="-89.192499999999995"/>
    <n v="745.82"/>
    <n v="0"/>
    <n v="0"/>
    <n v="105"/>
    <s v="_x0000_US"/>
  </r>
  <r>
    <x v="4"/>
    <n v="13.6896"/>
    <n v="-89.192400000000006"/>
    <n v="201.12"/>
    <n v="0"/>
    <n v="0"/>
    <n v="105"/>
    <s v="_x0000_US"/>
  </r>
  <r>
    <x v="4"/>
    <n v="13.688499999999999"/>
    <n v="-89.192400000000006"/>
    <n v="234.64"/>
    <n v="0"/>
    <n v="0"/>
    <n v="105"/>
    <s v="_x0000_US"/>
  </r>
  <r>
    <x v="4"/>
    <n v="13.6793"/>
    <n v="-89.192400000000006"/>
    <n v="234.64"/>
    <n v="0"/>
    <n v="0"/>
    <n v="105"/>
    <s v="_x0000_US"/>
  </r>
  <r>
    <x v="4"/>
    <n v="13.679500000000001"/>
    <n v="-89.192400000000006"/>
    <n v="268.16000000000003"/>
    <n v="0"/>
    <n v="0"/>
    <n v="105"/>
    <s v="_x0000_US"/>
  </r>
  <r>
    <x v="4"/>
    <n v="13.6868"/>
    <n v="-89.192400000000006"/>
    <n v="307.88"/>
    <n v="0"/>
    <n v="0"/>
    <n v="105"/>
    <s v="_x0000_US"/>
  </r>
  <r>
    <x v="4"/>
    <n v="13.6912"/>
    <n v="-89.192400000000006"/>
    <n v="427.38"/>
    <n v="0"/>
    <n v="0"/>
    <n v="105"/>
    <s v="_x0000_US"/>
  </r>
  <r>
    <x v="4"/>
    <n v="13.687099999999999"/>
    <n v="-89.192400000000006"/>
    <n v="494.04"/>
    <n v="0"/>
    <n v="0"/>
    <n v="105"/>
    <s v="_x0000_US"/>
  </r>
  <r>
    <x v="4"/>
    <n v="13.692299999999999"/>
    <n v="-89.192400000000006"/>
    <n v="508.36"/>
    <n v="0"/>
    <n v="0"/>
    <n v="105"/>
    <s v="_x0000_US"/>
  </r>
  <r>
    <x v="4"/>
    <n v="13.6891"/>
    <n v="-89.192400000000006"/>
    <n v="670.4"/>
    <n v="0"/>
    <n v="0"/>
    <n v="105"/>
    <s v="_x0000_US"/>
  </r>
  <r>
    <x v="4"/>
    <n v="13.6936"/>
    <n v="-89.192400000000006"/>
    <n v="723.16"/>
    <n v="0"/>
    <n v="0"/>
    <n v="105"/>
    <s v="_x0000_US"/>
  </r>
  <r>
    <x v="4"/>
    <n v="13.688700000000001"/>
    <n v="-89.192300000000003"/>
    <n v="192.74"/>
    <n v="0"/>
    <n v="0"/>
    <n v="105"/>
    <s v="_x0000_US"/>
  </r>
  <r>
    <x v="4"/>
    <n v="13.6883"/>
    <n v="-89.192300000000003"/>
    <n v="200.48"/>
    <n v="0"/>
    <n v="0"/>
    <n v="105"/>
    <s v="_x0000_US"/>
  </r>
  <r>
    <x v="4"/>
    <n v="13.6791"/>
    <n v="-89.192300000000003"/>
    <n v="351.96"/>
    <n v="0"/>
    <n v="0"/>
    <n v="105"/>
    <s v="_x0000_US"/>
  </r>
  <r>
    <x v="4"/>
    <n v="13.678699999999999"/>
    <n v="-89.192300000000003"/>
    <n v="427.38"/>
    <n v="0"/>
    <n v="0"/>
    <n v="105"/>
    <s v="_x0000_US"/>
  </r>
  <r>
    <x v="4"/>
    <n v="13.6859"/>
    <n v="-89.192300000000003"/>
    <n v="472.56"/>
    <n v="0"/>
    <n v="0"/>
    <n v="105"/>
    <s v="_x0000_US"/>
  </r>
  <r>
    <x v="4"/>
    <n v="13.6851"/>
    <n v="-89.192300000000003"/>
    <n v="594.28"/>
    <n v="0"/>
    <n v="0"/>
    <n v="105"/>
    <s v="_x0000_US"/>
  </r>
  <r>
    <x v="4"/>
    <n v="13.694599999999999"/>
    <n v="-89.192300000000003"/>
    <n v="730.32"/>
    <n v="0"/>
    <n v="0"/>
    <n v="105"/>
    <s v="_x0000_US"/>
  </r>
  <r>
    <x v="4"/>
    <n v="13.690300000000001"/>
    <n v="-89.192300000000003"/>
    <n v="1072.6400000000001"/>
    <n v="0"/>
    <n v="0"/>
    <n v="105"/>
    <s v="_x0000_US"/>
  </r>
  <r>
    <x v="4"/>
    <n v="13.6904"/>
    <n v="-89.192300000000003"/>
    <n v="1231.8599999999999"/>
    <n v="0"/>
    <n v="0"/>
    <n v="105"/>
    <s v="_x0000_US"/>
  </r>
  <r>
    <x v="4"/>
    <n v="13.6797"/>
    <n v="-89.1922"/>
    <n v="217.88"/>
    <n v="0"/>
    <n v="0"/>
    <n v="105"/>
    <s v="_x0000_US"/>
  </r>
  <r>
    <x v="4"/>
    <n v="13.679399999999999"/>
    <n v="-89.1922"/>
    <n v="276.54000000000002"/>
    <n v="0"/>
    <n v="0"/>
    <n v="105"/>
    <s v="_x0000_US"/>
  </r>
  <r>
    <x v="4"/>
    <n v="13.6912"/>
    <n v="-89.1922"/>
    <n v="326.82"/>
    <n v="0"/>
    <n v="0"/>
    <n v="105"/>
    <s v="_x0000_US"/>
  </r>
  <r>
    <x v="4"/>
    <n v="13.695399999999999"/>
    <n v="-89.1922"/>
    <n v="716"/>
    <n v="0"/>
    <n v="0"/>
    <n v="105"/>
    <s v="_x0000_US"/>
  </r>
  <r>
    <x v="4"/>
    <n v="13.682700000000001"/>
    <n v="-89.1922"/>
    <n v="730.32"/>
    <n v="0"/>
    <n v="0"/>
    <n v="105"/>
    <s v="_x0000_US"/>
  </r>
  <r>
    <x v="4"/>
    <n v="13.678900000000001"/>
    <n v="-89.192099999999996"/>
    <n v="207.64"/>
    <n v="0"/>
    <n v="0"/>
    <n v="105"/>
    <s v="_x0000_US"/>
  </r>
  <r>
    <x v="4"/>
    <n v="13.6869"/>
    <n v="-89.192099999999996"/>
    <n v="229.12"/>
    <n v="0"/>
    <n v="0"/>
    <n v="105"/>
    <s v="_x0000_US"/>
  </r>
  <r>
    <x v="4"/>
    <n v="13.691700000000001"/>
    <n v="-89.192099999999996"/>
    <n v="234.64"/>
    <n v="0"/>
    <n v="0"/>
    <n v="105"/>
    <s v="_x0000_US"/>
  </r>
  <r>
    <x v="4"/>
    <n v="13.6915"/>
    <n v="-89.192099999999996"/>
    <n v="259.77999999999997"/>
    <n v="0"/>
    <n v="0"/>
    <n v="105"/>
    <s v="_x0000_US"/>
  </r>
  <r>
    <x v="4"/>
    <n v="13.6913"/>
    <n v="-89.192099999999996"/>
    <n v="268.16000000000003"/>
    <n v="0"/>
    <n v="0"/>
    <n v="105"/>
    <s v="_x0000_US"/>
  </r>
  <r>
    <x v="4"/>
    <n v="13.687200000000001"/>
    <n v="-89.192099999999996"/>
    <n v="279.24"/>
    <n v="0"/>
    <n v="0"/>
    <n v="105"/>
    <s v="_x0000_US"/>
  </r>
  <r>
    <x v="4"/>
    <n v="13.686199999999999"/>
    <n v="-89.192099999999996"/>
    <n v="365.16"/>
    <n v="0"/>
    <n v="0"/>
    <n v="105"/>
    <s v="_x0000_US"/>
  </r>
  <r>
    <x v="4"/>
    <n v="13.689399999999999"/>
    <n v="-89.192099999999996"/>
    <n v="386.64"/>
    <n v="0"/>
    <n v="0"/>
    <n v="105"/>
    <s v="_x0000_US"/>
  </r>
  <r>
    <x v="4"/>
    <n v="13.6911"/>
    <n v="-89.192099999999996"/>
    <n v="460.9"/>
    <n v="0"/>
    <n v="0"/>
    <n v="105"/>
    <s v="_x0000_US"/>
  </r>
  <r>
    <x v="4"/>
    <n v="13.6836"/>
    <n v="-89.192099999999996"/>
    <n v="852.04"/>
    <n v="0"/>
    <n v="0"/>
    <n v="105"/>
    <s v="_x0000_US"/>
  </r>
  <r>
    <x v="4"/>
    <n v="13.690300000000001"/>
    <n v="-89.192099999999996"/>
    <n v="921.8"/>
    <n v="0"/>
    <n v="0"/>
    <n v="105"/>
    <s v="_x0000_US"/>
  </r>
  <r>
    <x v="4"/>
    <n v="13.691800000000001"/>
    <n v="-89.192099999999996"/>
    <n v="1002.4"/>
    <n v="0"/>
    <n v="0"/>
    <n v="105"/>
    <s v="_x0000_US"/>
  </r>
  <r>
    <x v="4"/>
    <n v="13.6797"/>
    <n v="-89.191999999999993"/>
    <n v="243.44"/>
    <n v="0"/>
    <n v="0"/>
    <n v="105"/>
    <s v="_x0000_US"/>
  </r>
  <r>
    <x v="4"/>
    <n v="13.6868"/>
    <n v="-89.191999999999993"/>
    <n v="350.84"/>
    <n v="0"/>
    <n v="0"/>
    <n v="105"/>
    <s v="_x0000_US"/>
  </r>
  <r>
    <x v="4"/>
    <n v="13.68"/>
    <n v="-89.191999999999993"/>
    <n v="419"/>
    <n v="0"/>
    <n v="0"/>
    <n v="105"/>
    <s v="_x0000_US"/>
  </r>
  <r>
    <x v="4"/>
    <n v="13.6876"/>
    <n v="-89.191999999999993"/>
    <n v="544.16"/>
    <n v="0"/>
    <n v="0"/>
    <n v="105"/>
    <s v="_x0000_US"/>
  </r>
  <r>
    <x v="4"/>
    <n v="13.6922"/>
    <n v="-89.191999999999993"/>
    <n v="670.4"/>
    <n v="0"/>
    <n v="0"/>
    <n v="105"/>
    <s v="_x0000_US"/>
  </r>
  <r>
    <x v="4"/>
    <n v="13.6846"/>
    <n v="-89.191999999999993"/>
    <n v="720.68"/>
    <n v="0"/>
    <n v="0"/>
    <n v="105"/>
    <s v="_x0000_US"/>
  </r>
  <r>
    <x v="4"/>
    <n v="13.688499999999999"/>
    <n v="-89.191999999999993"/>
    <n v="729.06"/>
    <n v="0"/>
    <n v="0"/>
    <n v="105"/>
    <s v="_x0000_US"/>
  </r>
  <r>
    <x v="4"/>
    <n v="13.693"/>
    <n v="-89.191999999999993"/>
    <n v="852.04"/>
    <n v="0"/>
    <n v="0"/>
    <n v="105"/>
    <s v="_x0000_US"/>
  </r>
  <r>
    <x v="4"/>
    <n v="13.686"/>
    <n v="-89.191900000000004"/>
    <n v="136.04"/>
    <n v="0"/>
    <n v="0"/>
    <n v="105"/>
    <s v="_x0000_US"/>
  </r>
  <r>
    <x v="4"/>
    <n v="13.6892"/>
    <n v="-89.191900000000004"/>
    <n v="368.72"/>
    <n v="0"/>
    <n v="0"/>
    <n v="105"/>
    <s v="_x0000_US"/>
  </r>
  <r>
    <x v="4"/>
    <n v="13.6914"/>
    <n v="-89.191900000000004"/>
    <n v="393.86"/>
    <n v="0"/>
    <n v="0"/>
    <n v="105"/>
    <s v="_x0000_US"/>
  </r>
  <r>
    <x v="4"/>
    <n v="13.6889"/>
    <n v="-89.191900000000004"/>
    <n v="435.76"/>
    <n v="0"/>
    <n v="0"/>
    <n v="105"/>
    <s v="_x0000_US"/>
  </r>
  <r>
    <x v="4"/>
    <n v="13.6896"/>
    <n v="-89.191900000000004"/>
    <n v="452.52"/>
    <n v="0"/>
    <n v="0"/>
    <n v="105"/>
    <s v="_x0000_US"/>
  </r>
  <r>
    <x v="4"/>
    <n v="13.692"/>
    <n v="-89.191900000000004"/>
    <n v="687.16"/>
    <n v="0"/>
    <n v="0"/>
    <n v="105"/>
    <s v="_x0000_US"/>
  </r>
  <r>
    <x v="4"/>
    <n v="13.692299999999999"/>
    <n v="-89.191900000000004"/>
    <n v="773.28"/>
    <n v="0"/>
    <n v="0"/>
    <n v="105"/>
    <s v="_x0000_US"/>
  </r>
  <r>
    <x v="4"/>
    <n v="13.693099999999999"/>
    <n v="-89.191900000000004"/>
    <n v="871.52"/>
    <n v="0"/>
    <n v="0"/>
    <n v="105"/>
    <s v="_x0000_US"/>
  </r>
  <r>
    <x v="4"/>
    <n v="13.694000000000001"/>
    <n v="-89.191900000000004"/>
    <n v="955.32"/>
    <n v="0"/>
    <n v="0"/>
    <n v="105"/>
    <s v="_x0000_US"/>
  </r>
  <r>
    <x v="4"/>
    <n v="13.685499999999999"/>
    <n v="-89.191900000000004"/>
    <n v="963.7"/>
    <n v="0"/>
    <n v="0"/>
    <n v="105"/>
    <s v="_x0000_US"/>
  </r>
  <r>
    <x v="4"/>
    <n v="13.6898"/>
    <n v="-89.191800000000001"/>
    <n v="272.08"/>
    <n v="0"/>
    <n v="0"/>
    <n v="105"/>
    <s v="_x0000_US"/>
  </r>
  <r>
    <x v="4"/>
    <n v="13.6904"/>
    <n v="-89.191800000000001"/>
    <n v="272.08"/>
    <n v="0"/>
    <n v="0"/>
    <n v="105"/>
    <s v="_x0000_US"/>
  </r>
  <r>
    <x v="4"/>
    <n v="13.692500000000001"/>
    <n v="-89.191800000000001"/>
    <n v="365.16"/>
    <n v="0"/>
    <n v="0"/>
    <n v="105"/>
    <s v="_x0000_US"/>
  </r>
  <r>
    <x v="4"/>
    <n v="13.6896"/>
    <n v="-89.191800000000001"/>
    <n v="415.28"/>
    <n v="0"/>
    <n v="0"/>
    <n v="105"/>
    <s v="_x0000_US"/>
  </r>
  <r>
    <x v="4"/>
    <n v="13.6831"/>
    <n v="-89.191800000000001"/>
    <n v="451.08"/>
    <n v="0"/>
    <n v="0"/>
    <n v="105"/>
    <s v="_x0000_US"/>
  </r>
  <r>
    <x v="4"/>
    <n v="13.686400000000001"/>
    <n v="-89.191800000000001"/>
    <n v="636.88"/>
    <n v="0"/>
    <n v="0"/>
    <n v="105"/>
    <s v="_x0000_US"/>
  </r>
  <r>
    <x v="4"/>
    <n v="13.687099999999999"/>
    <n v="-89.191800000000001"/>
    <n v="670.4"/>
    <n v="0"/>
    <n v="0"/>
    <n v="105"/>
    <s v="_x0000_US"/>
  </r>
  <r>
    <x v="4"/>
    <n v="13.695"/>
    <n v="-89.191800000000001"/>
    <n v="745.82"/>
    <n v="0"/>
    <n v="0"/>
    <n v="105"/>
    <s v="_x0000_US"/>
  </r>
  <r>
    <x v="4"/>
    <n v="13.6884"/>
    <n v="-89.191800000000001"/>
    <n v="937.96"/>
    <n v="0"/>
    <n v="0"/>
    <n v="105"/>
    <s v="_x0000_US"/>
  </r>
  <r>
    <x v="4"/>
    <n v="13.69"/>
    <n v="-89.191699999999997"/>
    <n v="136.04"/>
    <n v="0"/>
    <n v="0"/>
    <n v="105"/>
    <s v="_x0000_US"/>
  </r>
  <r>
    <x v="4"/>
    <n v="13.688000000000001"/>
    <n v="-89.191699999999997"/>
    <n v="250.6"/>
    <n v="0"/>
    <n v="0"/>
    <n v="105"/>
    <s v="_x0000_US"/>
  </r>
  <r>
    <x v="4"/>
    <n v="13.688000000000001"/>
    <n v="-89.191699999999997"/>
    <n v="301.68"/>
    <n v="0"/>
    <n v="0"/>
    <n v="105"/>
    <s v="_x0000_US"/>
  </r>
  <r>
    <x v="4"/>
    <n v="13.6877"/>
    <n v="-89.191699999999997"/>
    <n v="358"/>
    <n v="0"/>
    <n v="0"/>
    <n v="105"/>
    <s v="_x0000_US"/>
  </r>
  <r>
    <x v="4"/>
    <n v="13.6876"/>
    <n v="-89.191699999999997"/>
    <n v="360.34"/>
    <n v="0"/>
    <n v="0"/>
    <n v="105"/>
    <s v="_x0000_US"/>
  </r>
  <r>
    <x v="4"/>
    <n v="13.6957"/>
    <n v="-89.191699999999997"/>
    <n v="603.36"/>
    <n v="0"/>
    <n v="0"/>
    <n v="105"/>
    <s v="_x0000_US"/>
  </r>
  <r>
    <x v="4"/>
    <n v="13.690200000000001"/>
    <n v="-89.191599999999994"/>
    <n v="279.24"/>
    <n v="0"/>
    <n v="0"/>
    <n v="105"/>
    <s v="_x0000_US"/>
  </r>
  <r>
    <x v="4"/>
    <n v="13.692399999999999"/>
    <n v="-89.191599999999994"/>
    <n v="343.58"/>
    <n v="0"/>
    <n v="0"/>
    <n v="105"/>
    <s v="_x0000_US"/>
  </r>
  <r>
    <x v="4"/>
    <n v="13.6935"/>
    <n v="-89.191599999999994"/>
    <n v="529.84"/>
    <n v="0"/>
    <n v="0"/>
    <n v="105"/>
    <s v="_x0000_US"/>
  </r>
  <r>
    <x v="4"/>
    <n v="13.690799999999999"/>
    <n v="-89.191599999999994"/>
    <n v="708.84"/>
    <n v="0"/>
    <n v="0"/>
    <n v="105"/>
    <s v="_x0000_US"/>
  </r>
  <r>
    <x v="4"/>
    <n v="13.692600000000001"/>
    <n v="-89.191500000000005"/>
    <n v="108.94"/>
    <n v="0"/>
    <n v="0"/>
    <n v="105"/>
    <s v="_x0000_US"/>
  </r>
  <r>
    <x v="4"/>
    <n v="13.687900000000001"/>
    <n v="-89.191500000000005"/>
    <n v="121.72"/>
    <n v="0"/>
    <n v="0"/>
    <n v="105"/>
    <s v="_x0000_US"/>
  </r>
  <r>
    <x v="4"/>
    <n v="13.6927"/>
    <n v="-89.191500000000005"/>
    <n v="143.19999999999999"/>
    <n v="0"/>
    <n v="0"/>
    <n v="105"/>
    <s v="_x0000_US"/>
  </r>
  <r>
    <x v="4"/>
    <n v="13.6913"/>
    <n v="-89.191500000000005"/>
    <n v="200.48"/>
    <n v="0"/>
    <n v="0"/>
    <n v="105"/>
    <s v="_x0000_US"/>
  </r>
  <r>
    <x v="4"/>
    <n v="13.69"/>
    <n v="-89.191500000000005"/>
    <n v="243.44"/>
    <n v="0"/>
    <n v="0"/>
    <n v="105"/>
    <s v="_x0000_US"/>
  </r>
  <r>
    <x v="4"/>
    <n v="13.6914"/>
    <n v="-89.191500000000005"/>
    <n v="286.39999999999998"/>
    <n v="0"/>
    <n v="0"/>
    <n v="105"/>
    <s v="_x0000_US"/>
  </r>
  <r>
    <x v="4"/>
    <n v="13.691599999999999"/>
    <n v="-89.191500000000005"/>
    <n v="301.68"/>
    <n v="0"/>
    <n v="0"/>
    <n v="105"/>
    <s v="_x0000_US"/>
  </r>
  <r>
    <x v="4"/>
    <n v="13.684900000000001"/>
    <n v="-89.191500000000005"/>
    <n v="787.6"/>
    <n v="0"/>
    <n v="0"/>
    <n v="105"/>
    <s v="_x0000_US"/>
  </r>
  <r>
    <x v="4"/>
    <n v="13.683299999999999"/>
    <n v="-89.191400000000002"/>
    <n v="385.48"/>
    <n v="0"/>
    <n v="0"/>
    <n v="105"/>
    <s v="_x0000_US"/>
  </r>
  <r>
    <x v="4"/>
    <n v="13.6945"/>
    <n v="-89.191400000000002"/>
    <n v="637.24"/>
    <n v="0"/>
    <n v="0"/>
    <n v="105"/>
    <s v="_x0000_US"/>
  </r>
  <r>
    <x v="4"/>
    <n v="13.6921"/>
    <n v="-89.191400000000002"/>
    <n v="1016.72"/>
    <n v="0"/>
    <n v="0"/>
    <n v="105"/>
    <s v="_x0000_US"/>
  </r>
  <r>
    <x v="4"/>
    <n v="13.6836"/>
    <n v="-89.191299999999998"/>
    <n v="0"/>
    <n v="0"/>
    <n v="0"/>
    <n v="105"/>
    <s v="_x0000_US"/>
  </r>
  <r>
    <x v="4"/>
    <n v="13.6927"/>
    <n v="-89.191299999999998"/>
    <n v="186.16"/>
    <n v="0"/>
    <n v="0"/>
    <n v="105"/>
    <s v="_x0000_US"/>
  </r>
  <r>
    <x v="4"/>
    <n v="13.692500000000001"/>
    <n v="-89.191299999999998"/>
    <n v="293.56"/>
    <n v="0"/>
    <n v="0"/>
    <n v="105"/>
    <s v="_x0000_US"/>
  </r>
  <r>
    <x v="4"/>
    <n v="13.692"/>
    <n v="-89.191299999999998"/>
    <n v="579.96"/>
    <n v="0"/>
    <n v="0"/>
    <n v="105"/>
    <s v="_x0000_US"/>
  </r>
  <r>
    <x v="4"/>
    <n v="13.6953"/>
    <n v="-89.191299999999998"/>
    <n v="615.76"/>
    <n v="0"/>
    <n v="0"/>
    <n v="105"/>
    <s v="_x0000_US"/>
  </r>
  <r>
    <x v="4"/>
    <n v="13.693"/>
    <n v="-89.191299999999998"/>
    <n v="730.32"/>
    <n v="0"/>
    <n v="0"/>
    <n v="105"/>
    <s v="_x0000_US"/>
  </r>
  <r>
    <x v="4"/>
    <n v="13.686199999999999"/>
    <n v="-89.191299999999998"/>
    <n v="973.76"/>
    <n v="0"/>
    <n v="0"/>
    <n v="105"/>
    <s v="_x0000_US"/>
  </r>
  <r>
    <x v="4"/>
    <n v="13.6927"/>
    <n v="-89.191199999999995"/>
    <n v="78.760000000000005"/>
    <n v="0"/>
    <n v="0"/>
    <n v="105"/>
    <s v="_x0000_US"/>
  </r>
  <r>
    <x v="4"/>
    <n v="13.6906"/>
    <n v="-89.191199999999995"/>
    <n v="157.52000000000001"/>
    <n v="0"/>
    <n v="0"/>
    <n v="105"/>
    <s v="_x0000_US"/>
  </r>
  <r>
    <x v="4"/>
    <n v="13.692500000000001"/>
    <n v="-89.191199999999995"/>
    <n v="243.44"/>
    <n v="0"/>
    <n v="0"/>
    <n v="105"/>
    <s v="_x0000_US"/>
  </r>
  <r>
    <x v="4"/>
    <n v="13.691700000000001"/>
    <n v="-89.191199999999995"/>
    <n v="310.06"/>
    <n v="0"/>
    <n v="0"/>
    <n v="105"/>
    <s v="_x0000_US"/>
  </r>
  <r>
    <x v="4"/>
    <n v="13.6839"/>
    <n v="-89.191199999999995"/>
    <n v="511.18"/>
    <n v="0"/>
    <n v="0"/>
    <n v="105"/>
    <s v="_x0000_US"/>
  </r>
  <r>
    <x v="4"/>
    <n v="13.6912"/>
    <n v="-89.191199999999995"/>
    <n v="730.32"/>
    <n v="0"/>
    <n v="0"/>
    <n v="105"/>
    <s v="_x0000_US"/>
  </r>
  <r>
    <x v="4"/>
    <n v="13.6866"/>
    <n v="-89.191199999999995"/>
    <n v="895"/>
    <n v="0"/>
    <n v="0"/>
    <n v="105"/>
    <s v="_x0000_US"/>
  </r>
  <r>
    <x v="4"/>
    <n v="13.6929"/>
    <n v="-89.191199999999995"/>
    <n v="1290.52"/>
    <n v="0"/>
    <n v="0"/>
    <n v="105"/>
    <s v="_x0000_US"/>
  </r>
  <r>
    <x v="4"/>
    <n v="13.6907"/>
    <n v="-89.191100000000006"/>
    <n v="128.88"/>
    <n v="0"/>
    <n v="0"/>
    <n v="105"/>
    <s v="_x0000_US"/>
  </r>
  <r>
    <x v="4"/>
    <n v="13.693899999999999"/>
    <n v="-89.191100000000006"/>
    <n v="422.44"/>
    <n v="0"/>
    <n v="0"/>
    <n v="105"/>
    <s v="_x0000_US"/>
  </r>
  <r>
    <x v="4"/>
    <n v="13.6904"/>
    <n v="-89.191100000000006"/>
    <n v="515.52"/>
    <n v="0"/>
    <n v="0"/>
    <n v="105"/>
    <s v="_x0000_US"/>
  </r>
  <r>
    <x v="4"/>
    <n v="13.693099999999999"/>
    <n v="-89.191100000000006"/>
    <n v="572.79999999999995"/>
    <n v="0"/>
    <n v="0"/>
    <n v="105"/>
    <s v="_x0000_US"/>
  </r>
  <r>
    <x v="4"/>
    <n v="13.685700000000001"/>
    <n v="-89.191100000000006"/>
    <n v="601.44000000000005"/>
    <n v="0"/>
    <n v="0"/>
    <n v="105"/>
    <s v="_x0000_US"/>
  </r>
  <r>
    <x v="4"/>
    <n v="13.6845"/>
    <n v="-89.191100000000006"/>
    <n v="628.5"/>
    <n v="0"/>
    <n v="0"/>
    <n v="105"/>
    <s v="_x0000_US"/>
  </r>
  <r>
    <x v="4"/>
    <n v="13.684100000000001"/>
    <n v="-89.191000000000003"/>
    <n v="207.64"/>
    <n v="0"/>
    <n v="0"/>
    <n v="105"/>
    <s v="_x0000_US"/>
  </r>
  <r>
    <x v="4"/>
    <n v="13.6904"/>
    <n v="-89.191000000000003"/>
    <n v="236.28"/>
    <n v="0"/>
    <n v="0"/>
    <n v="105"/>
    <s v="_x0000_US"/>
  </r>
  <r>
    <x v="4"/>
    <n v="13.6942"/>
    <n v="-89.191000000000003"/>
    <n v="452.52"/>
    <n v="0"/>
    <n v="0"/>
    <n v="105"/>
    <s v="_x0000_US"/>
  </r>
  <r>
    <x v="4"/>
    <n v="13.694900000000001"/>
    <n v="-89.191000000000003"/>
    <n v="779.34"/>
    <n v="0"/>
    <n v="0"/>
    <n v="105"/>
    <s v="_x0000_US"/>
  </r>
  <r>
    <x v="4"/>
    <n v="13.6873"/>
    <n v="-89.191000000000003"/>
    <n v="1217.2"/>
    <n v="0"/>
    <n v="0"/>
    <n v="105"/>
    <s v="_x0000_US"/>
  </r>
  <r>
    <x v="4"/>
    <n v="13.684900000000001"/>
    <n v="-89.190899999999999"/>
    <n v="268.16000000000003"/>
    <n v="0"/>
    <n v="0"/>
    <n v="105"/>
    <s v="_x0000_US"/>
  </r>
  <r>
    <x v="4"/>
    <n v="13.695600000000001"/>
    <n v="-89.190899999999999"/>
    <n v="662.02"/>
    <n v="0"/>
    <n v="0"/>
    <n v="105"/>
    <s v="_x0000_US"/>
  </r>
  <r>
    <x v="4"/>
    <n v="13.6881"/>
    <n v="-89.190899999999999"/>
    <n v="873.52"/>
    <n v="0"/>
    <n v="0"/>
    <n v="105"/>
    <s v="_x0000_US"/>
  </r>
  <r>
    <x v="4"/>
    <n v="13.689299999999999"/>
    <n v="-89.190899999999999"/>
    <n v="1059.68"/>
    <n v="0"/>
    <n v="0"/>
    <n v="105"/>
    <s v="_x0000_US"/>
  </r>
  <r>
    <x v="4"/>
    <n v="13.6854"/>
    <n v="-89.190799999999996"/>
    <n v="561.46"/>
    <n v="0"/>
    <n v="0"/>
    <n v="105"/>
    <s v="_x0000_US"/>
  </r>
  <r>
    <x v="4"/>
    <n v="13.6919"/>
    <n v="-89.190799999999996"/>
    <n v="586.6"/>
    <n v="0"/>
    <n v="0"/>
    <n v="105"/>
    <s v="_x0000_US"/>
  </r>
  <r>
    <x v="4"/>
    <n v="13.692600000000001"/>
    <n v="-89.190799999999996"/>
    <n v="630.08000000000004"/>
    <n v="0"/>
    <n v="0"/>
    <n v="105"/>
    <s v="_x0000_US"/>
  </r>
  <r>
    <x v="4"/>
    <n v="13.6906"/>
    <n v="-89.190700000000007"/>
    <n v="343.68"/>
    <n v="0"/>
    <n v="0"/>
    <n v="105"/>
    <s v="_x0000_US"/>
  </r>
  <r>
    <x v="4"/>
    <n v="13.6934"/>
    <n v="-89.190700000000007"/>
    <n v="630.08000000000004"/>
    <n v="0"/>
    <n v="0"/>
    <n v="105"/>
    <s v="_x0000_US"/>
  </r>
  <r>
    <x v="4"/>
    <n v="13.691000000000001"/>
    <n v="-89.190700000000007"/>
    <n v="737.48"/>
    <n v="0"/>
    <n v="0"/>
    <n v="105"/>
    <s v="_x0000_US"/>
  </r>
  <r>
    <x v="4"/>
    <n v="13.6899"/>
    <n v="-89.190700000000007"/>
    <n v="902.16"/>
    <n v="0"/>
    <n v="0"/>
    <n v="105"/>
    <s v="_x0000_US"/>
  </r>
  <r>
    <x v="4"/>
    <n v="13.686400000000001"/>
    <n v="-89.190600000000003"/>
    <n v="114.56"/>
    <n v="0"/>
    <n v="0"/>
    <n v="105"/>
    <s v="_x0000_US"/>
  </r>
  <r>
    <x v="4"/>
    <n v="13.6861"/>
    <n v="-89.190600000000003"/>
    <n v="754.2"/>
    <n v="0"/>
    <n v="0"/>
    <n v="105"/>
    <s v="_x0000_US"/>
  </r>
  <r>
    <x v="4"/>
    <n v="13.6866"/>
    <n v="-89.1905"/>
    <n v="343.58"/>
    <n v="0"/>
    <n v="0"/>
    <n v="105"/>
    <s v="_x0000_US"/>
  </r>
  <r>
    <x v="4"/>
    <n v="13.6944"/>
    <n v="-89.1905"/>
    <n v="708.84"/>
    <n v="0"/>
    <n v="0"/>
    <n v="105"/>
    <s v="_x0000_US"/>
  </r>
  <r>
    <x v="4"/>
    <n v="13.685"/>
    <n v="-89.1905"/>
    <n v="723.16"/>
    <n v="0"/>
    <n v="0"/>
    <n v="105"/>
    <s v="_x0000_US"/>
  </r>
  <r>
    <x v="4"/>
    <n v="13.6953"/>
    <n v="-89.1905"/>
    <n v="730.32"/>
    <n v="0"/>
    <n v="0"/>
    <n v="105"/>
    <s v="_x0000_US"/>
  </r>
  <r>
    <x v="4"/>
    <n v="13.684699999999999"/>
    <n v="-89.1905"/>
    <n v="766.12"/>
    <n v="0"/>
    <n v="0"/>
    <n v="105"/>
    <s v="_x0000_US"/>
  </r>
  <r>
    <x v="4"/>
    <n v="13.6869"/>
    <n v="-89.190399999999997"/>
    <n v="125.7"/>
    <n v="0"/>
    <n v="0"/>
    <n v="105"/>
    <s v="_x0000_US"/>
  </r>
  <r>
    <x v="4"/>
    <n v="13.691599999999999"/>
    <n v="-89.190399999999997"/>
    <n v="472.56"/>
    <n v="0"/>
    <n v="0"/>
    <n v="105"/>
    <s v="_x0000_US"/>
  </r>
  <r>
    <x v="4"/>
    <n v="13.692299999999999"/>
    <n v="-89.190399999999997"/>
    <n v="529.84"/>
    <n v="0"/>
    <n v="0"/>
    <n v="105"/>
    <s v="_x0000_US"/>
  </r>
  <r>
    <x v="4"/>
    <n v="13.6928"/>
    <n v="-89.190399999999997"/>
    <n v="601.44000000000005"/>
    <n v="0"/>
    <n v="0"/>
    <n v="105"/>
    <s v="_x0000_US"/>
  </r>
  <r>
    <x v="4"/>
    <n v="13.685600000000001"/>
    <n v="-89.190399999999997"/>
    <n v="651.55999999999995"/>
    <n v="0"/>
    <n v="0"/>
    <n v="105"/>
    <s v="_x0000_US"/>
  </r>
  <r>
    <x v="4"/>
    <n v="13.687099999999999"/>
    <n v="-89.190299999999993"/>
    <n v="318.44"/>
    <n v="0"/>
    <n v="0"/>
    <n v="105"/>
    <s v="_x0000_US"/>
  </r>
  <r>
    <x v="4"/>
    <n v="13.689299999999999"/>
    <n v="-89.190299999999993"/>
    <n v="415.28"/>
    <n v="0"/>
    <n v="0"/>
    <n v="105"/>
    <s v="_x0000_US"/>
  </r>
  <r>
    <x v="4"/>
    <n v="13.6877"/>
    <n v="-89.190299999999993"/>
    <n v="429.6"/>
    <n v="0"/>
    <n v="0"/>
    <n v="105"/>
    <s v="_x0000_US"/>
  </r>
  <r>
    <x v="4"/>
    <n v="13.69"/>
    <n v="-89.190200000000004"/>
    <n v="236.28"/>
    <n v="0"/>
    <n v="0"/>
    <n v="105"/>
    <s v="_x0000_US"/>
  </r>
  <r>
    <x v="4"/>
    <n v="13.6867"/>
    <n v="-89.190200000000004"/>
    <n v="372.32"/>
    <n v="0"/>
    <n v="0"/>
    <n v="105"/>
    <s v="_x0000_US"/>
  </r>
  <r>
    <x v="4"/>
    <n v="13.6937"/>
    <n v="-89.190200000000004"/>
    <n v="508.36"/>
    <n v="0"/>
    <n v="0"/>
    <n v="105"/>
    <s v="_x0000_US"/>
  </r>
  <r>
    <x v="4"/>
    <n v="13.6906"/>
    <n v="-89.190200000000004"/>
    <n v="544.16"/>
    <n v="0"/>
    <n v="0"/>
    <n v="105"/>
    <s v="_x0000_US"/>
  </r>
  <r>
    <x v="4"/>
    <n v="13.6942"/>
    <n v="-89.190100000000001"/>
    <n v="307.88"/>
    <n v="0"/>
    <n v="0"/>
    <n v="105"/>
    <s v="_x0000_US"/>
  </r>
  <r>
    <x v="4"/>
    <n v="13.6891"/>
    <n v="-89.190100000000001"/>
    <n v="343.68"/>
    <n v="0"/>
    <n v="0"/>
    <n v="105"/>
    <s v="_x0000_US"/>
  </r>
  <r>
    <x v="4"/>
    <n v="13.6874"/>
    <n v="-89.190100000000001"/>
    <n v="419"/>
    <n v="0"/>
    <n v="0"/>
    <n v="105"/>
    <s v="_x0000_US"/>
  </r>
  <r>
    <x v="4"/>
    <n v="13.691000000000001"/>
    <n v="-89.190100000000001"/>
    <n v="816.24"/>
    <n v="0"/>
    <n v="0"/>
    <n v="105"/>
    <s v="_x0000_US"/>
  </r>
  <r>
    <x v="4"/>
    <n v="13.6846"/>
    <n v="-89.19"/>
    <n v="21.48"/>
    <n v="0"/>
    <n v="0"/>
    <n v="105"/>
    <s v="_x0000_US"/>
  </r>
  <r>
    <x v="4"/>
    <n v="13.689299999999999"/>
    <n v="-89.19"/>
    <n v="50.12"/>
    <n v="0"/>
    <n v="0"/>
    <n v="105"/>
    <s v="_x0000_US"/>
  </r>
  <r>
    <x v="4"/>
    <n v="13.684699999999999"/>
    <n v="-89.19"/>
    <n v="243.44"/>
    <n v="0"/>
    <n v="0"/>
    <n v="105"/>
    <s v="_x0000_US"/>
  </r>
  <r>
    <x v="4"/>
    <n v="13.687099999999999"/>
    <n v="-89.19"/>
    <n v="300.72000000000003"/>
    <n v="0"/>
    <n v="0"/>
    <n v="105"/>
    <s v="_x0000_US"/>
  </r>
  <r>
    <x v="4"/>
    <n v="13.690200000000001"/>
    <n v="-89.19"/>
    <n v="329.36"/>
    <n v="0"/>
    <n v="0"/>
    <n v="105"/>
    <s v="_x0000_US"/>
  </r>
  <r>
    <x v="4"/>
    <n v="13.6892"/>
    <n v="-89.19"/>
    <n v="501.2"/>
    <n v="0"/>
    <n v="0"/>
    <n v="105"/>
    <s v="_x0000_US"/>
  </r>
  <r>
    <x v="4"/>
    <n v="13.6884"/>
    <n v="-89.19"/>
    <n v="558.48"/>
    <n v="0"/>
    <n v="0"/>
    <n v="105"/>
    <s v="_x0000_US"/>
  </r>
  <r>
    <x v="4"/>
    <n v="13.6915"/>
    <n v="-89.19"/>
    <n v="644.4"/>
    <n v="0"/>
    <n v="0"/>
    <n v="105"/>
    <s v="_x0000_US"/>
  </r>
  <r>
    <x v="4"/>
    <n v="13.694800000000001"/>
    <n v="-89.19"/>
    <n v="694.52"/>
    <n v="0"/>
    <n v="0"/>
    <n v="105"/>
    <s v="_x0000_US"/>
  </r>
  <r>
    <x v="4"/>
    <n v="13.692"/>
    <n v="-89.19"/>
    <n v="879.9"/>
    <n v="0"/>
    <n v="0"/>
    <n v="105"/>
    <s v="_x0000_US"/>
  </r>
  <r>
    <x v="4"/>
    <n v="13.6866"/>
    <n v="-89.189899999999994"/>
    <n v="143.19999999999999"/>
    <n v="0"/>
    <n v="0"/>
    <n v="105"/>
    <s v="_x0000_US"/>
  </r>
  <r>
    <x v="4"/>
    <n v="13.687799999999999"/>
    <n v="-89.189899999999994"/>
    <n v="318.44"/>
    <n v="0"/>
    <n v="0"/>
    <n v="105"/>
    <s v="_x0000_US"/>
  </r>
  <r>
    <x v="4"/>
    <n v="13.6868"/>
    <n v="-89.189899999999994"/>
    <n v="350.84"/>
    <n v="0"/>
    <n v="0"/>
    <n v="105"/>
    <s v="_x0000_US"/>
  </r>
  <r>
    <x v="4"/>
    <n v="13.688000000000001"/>
    <n v="-89.189899999999994"/>
    <n v="465.4"/>
    <n v="0"/>
    <n v="0"/>
    <n v="105"/>
    <s v="_x0000_US"/>
  </r>
  <r>
    <x v="4"/>
    <n v="13.6852"/>
    <n v="-89.189899999999994"/>
    <n v="565.64"/>
    <n v="0"/>
    <n v="0"/>
    <n v="105"/>
    <s v="_x0000_US"/>
  </r>
  <r>
    <x v="4"/>
    <n v="13.695600000000001"/>
    <n v="-89.189899999999994"/>
    <n v="587.12"/>
    <n v="0"/>
    <n v="0"/>
    <n v="105"/>
    <s v="_x0000_US"/>
  </r>
  <r>
    <x v="4"/>
    <n v="13.692600000000001"/>
    <n v="-89.189899999999994"/>
    <n v="737.48"/>
    <n v="0"/>
    <n v="0"/>
    <n v="105"/>
    <s v="_x0000_US"/>
  </r>
  <r>
    <x v="4"/>
    <n v="13.6897"/>
    <n v="-89.189899999999994"/>
    <n v="773.28"/>
    <n v="0"/>
    <n v="0"/>
    <n v="105"/>
    <s v="_x0000_US"/>
  </r>
  <r>
    <x v="4"/>
    <n v="13.6912"/>
    <n v="-89.189800000000005"/>
    <n v="136.04"/>
    <n v="0"/>
    <n v="0"/>
    <n v="105"/>
    <s v="_x0000_US"/>
  </r>
  <r>
    <x v="4"/>
    <n v="13.6881"/>
    <n v="-89.189800000000005"/>
    <n v="318.44"/>
    <n v="0"/>
    <n v="0"/>
    <n v="105"/>
    <s v="_x0000_US"/>
  </r>
  <r>
    <x v="4"/>
    <n v="13.690899999999999"/>
    <n v="-89.189800000000005"/>
    <n v="379.48"/>
    <n v="0"/>
    <n v="0"/>
    <n v="105"/>
    <s v="_x0000_US"/>
  </r>
  <r>
    <x v="4"/>
    <n v="13.6905"/>
    <n v="-89.189800000000005"/>
    <n v="393.8"/>
    <n v="0"/>
    <n v="0"/>
    <n v="105"/>
    <s v="_x0000_US"/>
  </r>
  <r>
    <x v="4"/>
    <n v="13.693300000000001"/>
    <n v="-89.189800000000005"/>
    <n v="744.64"/>
    <n v="0"/>
    <n v="0"/>
    <n v="105"/>
    <s v="_x0000_US"/>
  </r>
  <r>
    <x v="4"/>
    <n v="13.6861"/>
    <n v="-89.189800000000005"/>
    <n v="787.6"/>
    <n v="0"/>
    <n v="0"/>
    <n v="105"/>
    <s v="_x0000_US"/>
  </r>
  <r>
    <x v="4"/>
    <n v="13.6914"/>
    <n v="-89.189700000000002"/>
    <n v="78.760000000000005"/>
    <n v="0"/>
    <n v="0"/>
    <n v="105"/>
    <s v="_x0000_US"/>
  </r>
  <r>
    <x v="4"/>
    <n v="13.6912"/>
    <n v="-89.189700000000002"/>
    <n v="179"/>
    <n v="0"/>
    <n v="0"/>
    <n v="105"/>
    <s v="_x0000_US"/>
  </r>
  <r>
    <x v="4"/>
    <n v="13.6899"/>
    <n v="-89.189700000000002"/>
    <n v="264.92"/>
    <n v="0"/>
    <n v="0"/>
    <n v="105"/>
    <s v="_x0000_US"/>
  </r>
  <r>
    <x v="4"/>
    <n v="13.6938"/>
    <n v="-89.189700000000002"/>
    <n v="687.36"/>
    <n v="0"/>
    <n v="0"/>
    <n v="105"/>
    <s v="_x0000_US"/>
  </r>
  <r>
    <x v="4"/>
    <n v="13.684799999999999"/>
    <n v="-89.189599999999999"/>
    <n v="58.66"/>
    <n v="0"/>
    <n v="0"/>
    <n v="105"/>
    <s v="_x0000_US"/>
  </r>
  <r>
    <x v="4"/>
    <n v="13.684900000000001"/>
    <n v="-89.189599999999999"/>
    <n v="64.44"/>
    <n v="0"/>
    <n v="0"/>
    <n v="105"/>
    <s v="_x0000_US"/>
  </r>
  <r>
    <x v="4"/>
    <n v="13.6897"/>
    <n v="-89.189599999999999"/>
    <n v="93.08"/>
    <n v="0"/>
    <n v="0"/>
    <n v="105"/>
    <s v="_x0000_US"/>
  </r>
  <r>
    <x v="4"/>
    <n v="13.6915"/>
    <n v="-89.189599999999999"/>
    <n v="214.8"/>
    <n v="0"/>
    <n v="0"/>
    <n v="105"/>
    <s v="_x0000_US"/>
  </r>
  <r>
    <x v="4"/>
    <n v="13.6952"/>
    <n v="-89.189599999999999"/>
    <n v="665.88"/>
    <n v="0"/>
    <n v="0"/>
    <n v="105"/>
    <s v="_x0000_US"/>
  </r>
  <r>
    <x v="4"/>
    <n v="13.6943"/>
    <n v="-89.189599999999999"/>
    <n v="687.36"/>
    <n v="0"/>
    <n v="0"/>
    <n v="105"/>
    <s v="_x0000_US"/>
  </r>
  <r>
    <x v="4"/>
    <n v="13.6898"/>
    <n v="-89.189499999999995"/>
    <n v="128.88"/>
    <n v="0"/>
    <n v="0"/>
    <n v="105"/>
    <s v="_x0000_US"/>
  </r>
  <r>
    <x v="4"/>
    <n v="13.692299999999999"/>
    <n v="-89.189499999999995"/>
    <n v="365.16"/>
    <n v="0"/>
    <n v="0"/>
    <n v="105"/>
    <s v="_x0000_US"/>
  </r>
  <r>
    <x v="4"/>
    <n v="13.6919"/>
    <n v="-89.189499999999995"/>
    <n v="386.64"/>
    <n v="0"/>
    <n v="0"/>
    <n v="105"/>
    <s v="_x0000_US"/>
  </r>
  <r>
    <x v="4"/>
    <n v="13.688700000000001"/>
    <n v="-89.189499999999995"/>
    <n v="829.62"/>
    <n v="0"/>
    <n v="0"/>
    <n v="105"/>
    <s v="_x0000_US"/>
  </r>
  <r>
    <x v="4"/>
    <n v="13.6898"/>
    <n v="-89.189400000000006"/>
    <n v="85.92"/>
    <n v="0"/>
    <n v="0"/>
    <n v="105"/>
    <s v="_x0000_US"/>
  </r>
  <r>
    <x v="4"/>
    <n v="13.6929"/>
    <n v="-89.189400000000006"/>
    <n v="551.32000000000005"/>
    <n v="0"/>
    <n v="0"/>
    <n v="105"/>
    <s v="_x0000_US"/>
  </r>
  <r>
    <x v="4"/>
    <n v="13.686400000000001"/>
    <n v="-89.189400000000006"/>
    <n v="608.6"/>
    <n v="0"/>
    <n v="0"/>
    <n v="105"/>
    <s v="_x0000_US"/>
  </r>
  <r>
    <x v="4"/>
    <n v="13.6881"/>
    <n v="-89.189400000000006"/>
    <n v="1081.1600000000001"/>
    <n v="0"/>
    <n v="0"/>
    <n v="105"/>
    <s v="_x0000_US"/>
  </r>
  <r>
    <x v="4"/>
    <n v="13.6899"/>
    <n v="-89.189300000000003"/>
    <n v="21.48"/>
    <n v="0"/>
    <n v="0"/>
    <n v="105"/>
    <s v="_x0000_US"/>
  </r>
  <r>
    <x v="4"/>
    <n v="13.6899"/>
    <n v="-89.189300000000003"/>
    <n v="85.92"/>
    <n v="0"/>
    <n v="0"/>
    <n v="105"/>
    <s v="_x0000_US"/>
  </r>
  <r>
    <x v="4"/>
    <n v="13.6899"/>
    <n v="-89.189300000000003"/>
    <n v="107.4"/>
    <n v="0"/>
    <n v="0"/>
    <n v="105"/>
    <s v="_x0000_US"/>
  </r>
  <r>
    <x v="4"/>
    <n v="13.6935"/>
    <n v="-89.189300000000003"/>
    <n v="386.64"/>
    <n v="0"/>
    <n v="0"/>
    <n v="105"/>
    <s v="_x0000_US"/>
  </r>
  <r>
    <x v="4"/>
    <n v="13.685600000000001"/>
    <n v="-89.189300000000003"/>
    <n v="1432.98"/>
    <n v="0"/>
    <n v="0"/>
    <n v="105"/>
    <s v="_x0000_US"/>
  </r>
  <r>
    <x v="4"/>
    <n v="13.6899"/>
    <n v="-89.1892"/>
    <n v="150.36000000000001"/>
    <n v="0"/>
    <n v="0"/>
    <n v="105"/>
    <s v="_x0000_US"/>
  </r>
  <r>
    <x v="4"/>
    <n v="13.6907"/>
    <n v="-89.1892"/>
    <n v="300.72000000000003"/>
    <n v="0"/>
    <n v="0"/>
    <n v="105"/>
    <s v="_x0000_US"/>
  </r>
  <r>
    <x v="4"/>
    <n v="13.694000000000001"/>
    <n v="-89.1892"/>
    <n v="429.6"/>
    <n v="0"/>
    <n v="0"/>
    <n v="105"/>
    <s v="_x0000_US"/>
  </r>
  <r>
    <x v="4"/>
    <n v="13.694699999999999"/>
    <n v="-89.1892"/>
    <n v="716"/>
    <n v="0"/>
    <n v="0"/>
    <n v="105"/>
    <s v="_x0000_US"/>
  </r>
  <r>
    <x v="4"/>
    <n v="13.690099999999999"/>
    <n v="-89.189099999999996"/>
    <n v="415.28"/>
    <n v="0"/>
    <n v="0"/>
    <n v="105"/>
    <s v="_x0000_US"/>
  </r>
  <r>
    <x v="4"/>
    <n v="13.6922"/>
    <n v="-89.189099999999996"/>
    <n v="662.02"/>
    <n v="0"/>
    <n v="0"/>
    <n v="105"/>
    <s v="_x0000_US"/>
  </r>
  <r>
    <x v="4"/>
    <n v="13.695600000000001"/>
    <n v="-89.189099999999996"/>
    <n v="687.36"/>
    <n v="0"/>
    <n v="0"/>
    <n v="105"/>
    <s v="_x0000_US"/>
  </r>
  <r>
    <x v="4"/>
    <n v="13.690899999999999"/>
    <n v="-89.188999999999993"/>
    <n v="214.8"/>
    <n v="0"/>
    <n v="0"/>
    <n v="105"/>
    <s v="_x0000_US"/>
  </r>
  <r>
    <x v="4"/>
    <n v="13.6907"/>
    <n v="-89.188999999999993"/>
    <n v="300.72000000000003"/>
    <n v="0"/>
    <n v="0"/>
    <n v="105"/>
    <s v="_x0000_US"/>
  </r>
  <r>
    <x v="4"/>
    <n v="13.693199999999999"/>
    <n v="-89.188999999999993"/>
    <n v="529.84"/>
    <n v="0"/>
    <n v="0"/>
    <n v="105"/>
    <s v="_x0000_US"/>
  </r>
  <r>
    <x v="4"/>
    <n v="13.689399999999999"/>
    <n v="-89.188999999999993"/>
    <n v="921.8"/>
    <n v="0"/>
    <n v="0"/>
    <n v="105"/>
    <s v="_x0000_US"/>
  </r>
  <r>
    <x v="4"/>
    <n v="13.6905"/>
    <n v="-89.188900000000004"/>
    <n v="243.44"/>
    <n v="0"/>
    <n v="0"/>
    <n v="105"/>
    <s v="_x0000_US"/>
  </r>
  <r>
    <x v="4"/>
    <n v="13.691599999999999"/>
    <n v="-89.188900000000004"/>
    <n v="708.84"/>
    <n v="0"/>
    <n v="0"/>
    <n v="105"/>
    <s v="_x0000_US"/>
  </r>
  <r>
    <x v="4"/>
    <n v="13.6911"/>
    <n v="-89.188800000000001"/>
    <n v="128.88"/>
    <n v="0"/>
    <n v="0"/>
    <n v="105"/>
    <s v="_x0000_US"/>
  </r>
  <r>
    <x v="4"/>
    <n v="13.690899999999999"/>
    <n v="-89.188800000000001"/>
    <n v="257.76"/>
    <n v="0"/>
    <n v="0"/>
    <n v="105"/>
    <s v="_x0000_US"/>
  </r>
  <r>
    <x v="4"/>
    <n v="13.696"/>
    <n v="-89.188800000000001"/>
    <n v="358"/>
    <n v="0"/>
    <n v="0"/>
    <n v="105"/>
    <s v="_x0000_US"/>
  </r>
  <r>
    <x v="4"/>
    <n v="13.6899"/>
    <n v="-89.188800000000001"/>
    <n v="486.88"/>
    <n v="0"/>
    <n v="0"/>
    <n v="105"/>
    <s v="_x0000_US"/>
  </r>
  <r>
    <x v="4"/>
    <n v="13.6942"/>
    <n v="-89.188800000000001"/>
    <n v="687.36"/>
    <n v="0"/>
    <n v="0"/>
    <n v="105"/>
    <s v="_x0000_US"/>
  </r>
  <r>
    <x v="4"/>
    <n v="13.691700000000001"/>
    <n v="-89.188699999999997"/>
    <n v="35.799999999999997"/>
    <n v="0"/>
    <n v="0"/>
    <n v="105"/>
    <s v="_x0000_US"/>
  </r>
  <r>
    <x v="4"/>
    <n v="13.6911"/>
    <n v="-89.188699999999997"/>
    <n v="35.799999999999997"/>
    <n v="0"/>
    <n v="0"/>
    <n v="105"/>
    <s v="_x0000_US"/>
  </r>
  <r>
    <x v="4"/>
    <n v="13.6911"/>
    <n v="-89.188699999999997"/>
    <n v="107.4"/>
    <n v="0"/>
    <n v="0"/>
    <n v="105"/>
    <s v="_x0000_US"/>
  </r>
  <r>
    <x v="4"/>
    <n v="13.691000000000001"/>
    <n v="-89.188699999999997"/>
    <n v="236.28"/>
    <n v="0"/>
    <n v="0"/>
    <n v="105"/>
    <s v="_x0000_US"/>
  </r>
  <r>
    <x v="4"/>
    <n v="13.692"/>
    <n v="-89.188699999999997"/>
    <n v="408.12"/>
    <n v="0"/>
    <n v="0"/>
    <n v="105"/>
    <s v="_x0000_US"/>
  </r>
  <r>
    <x v="4"/>
    <n v="13.6929"/>
    <n v="-89.188699999999997"/>
    <n v="408.12"/>
    <n v="0"/>
    <n v="0"/>
    <n v="105"/>
    <s v="_x0000_US"/>
  </r>
  <r>
    <x v="4"/>
    <n v="13.686199999999999"/>
    <n v="-89.188699999999997"/>
    <n v="515.52"/>
    <n v="0"/>
    <n v="0"/>
    <n v="105"/>
    <s v="_x0000_US"/>
  </r>
  <r>
    <x v="4"/>
    <n v="13.6951"/>
    <n v="-89.188699999999997"/>
    <n v="694.52"/>
    <n v="0"/>
    <n v="0"/>
    <n v="105"/>
    <s v="_x0000_US"/>
  </r>
  <r>
    <x v="4"/>
    <n v="13.688800000000001"/>
    <n v="-89.188699999999997"/>
    <n v="1088.32"/>
    <n v="0"/>
    <n v="0"/>
    <n v="105"/>
    <s v="_x0000_US"/>
  </r>
  <r>
    <x v="4"/>
    <n v="13.686999999999999"/>
    <n v="-89.188699999999997"/>
    <n v="1407.84"/>
    <n v="0"/>
    <n v="0"/>
    <n v="105"/>
    <s v="_x0000_US"/>
  </r>
  <r>
    <x v="4"/>
    <n v="13.691700000000001"/>
    <n v="-89.188599999999994"/>
    <n v="107.4"/>
    <n v="0"/>
    <n v="0"/>
    <n v="105"/>
    <s v="_x0000_US"/>
  </r>
  <r>
    <x v="4"/>
    <n v="13.693099999999999"/>
    <n v="-89.188599999999994"/>
    <n v="150.36000000000001"/>
    <n v="0"/>
    <n v="0"/>
    <n v="105"/>
    <s v="_x0000_US"/>
  </r>
  <r>
    <x v="4"/>
    <n v="13.6897"/>
    <n v="-89.188500000000005"/>
    <n v="92.18"/>
    <n v="0"/>
    <n v="0"/>
    <n v="105"/>
    <s v="_x0000_US"/>
  </r>
  <r>
    <x v="4"/>
    <n v="13.6911"/>
    <n v="-89.188500000000005"/>
    <n v="150.36000000000001"/>
    <n v="0"/>
    <n v="0"/>
    <n v="105"/>
    <s v="_x0000_US"/>
  </r>
  <r>
    <x v="4"/>
    <n v="13.696099999999999"/>
    <n v="-89.188500000000005"/>
    <n v="150.36000000000001"/>
    <n v="0"/>
    <n v="0"/>
    <n v="105"/>
    <s v="_x0000_US"/>
  </r>
  <r>
    <x v="4"/>
    <n v="13.691000000000001"/>
    <n v="-89.188500000000005"/>
    <n v="179"/>
    <n v="0"/>
    <n v="0"/>
    <n v="105"/>
    <s v="_x0000_US"/>
  </r>
  <r>
    <x v="4"/>
    <n v="13.6929"/>
    <n v="-89.188500000000005"/>
    <n v="229.12"/>
    <n v="0"/>
    <n v="0"/>
    <n v="105"/>
    <s v="_x0000_US"/>
  </r>
  <r>
    <x v="4"/>
    <n v="13.69"/>
    <n v="-89.188500000000005"/>
    <n v="322.2"/>
    <n v="0"/>
    <n v="0"/>
    <n v="105"/>
    <s v="_x0000_US"/>
  </r>
  <r>
    <x v="4"/>
    <n v="13.6858"/>
    <n v="-89.188500000000005"/>
    <n v="379.48"/>
    <n v="0"/>
    <n v="0"/>
    <n v="105"/>
    <s v="_x0000_US"/>
  </r>
  <r>
    <x v="4"/>
    <n v="13.686"/>
    <n v="-89.188400000000001"/>
    <n v="143.19999999999999"/>
    <n v="0"/>
    <n v="0"/>
    <n v="105"/>
    <s v="_x0000_US"/>
  </r>
  <r>
    <x v="4"/>
    <n v="13.6898"/>
    <n v="-89.188400000000001"/>
    <n v="192.74"/>
    <n v="0"/>
    <n v="0"/>
    <n v="105"/>
    <s v="_x0000_US"/>
  </r>
  <r>
    <x v="4"/>
    <n v="13.690099999999999"/>
    <n v="-89.188400000000001"/>
    <n v="322.2"/>
    <n v="0"/>
    <n v="0"/>
    <n v="105"/>
    <s v="_x0000_US"/>
  </r>
  <r>
    <x v="4"/>
    <n v="13.696"/>
    <n v="-89.188400000000001"/>
    <n v="329.36"/>
    <n v="0"/>
    <n v="0"/>
    <n v="105"/>
    <s v="_x0000_US"/>
  </r>
  <r>
    <x v="4"/>
    <n v="13.6899"/>
    <n v="-89.188299999999998"/>
    <n v="142.46"/>
    <n v="0"/>
    <n v="0"/>
    <n v="105"/>
    <s v="_x0000_US"/>
  </r>
  <r>
    <x v="4"/>
    <n v="13.694599999999999"/>
    <n v="-89.188299999999998"/>
    <n v="716"/>
    <n v="0"/>
    <n v="0"/>
    <n v="105"/>
    <s v="_x0000_US"/>
  </r>
  <r>
    <x v="4"/>
    <n v="13.693899999999999"/>
    <n v="-89.188199999999995"/>
    <n v="386.64"/>
    <n v="0"/>
    <n v="0"/>
    <n v="105"/>
    <s v="_x0000_US"/>
  </r>
  <r>
    <x v="4"/>
    <n v="13.6876"/>
    <n v="-89.188199999999995"/>
    <n v="400.96"/>
    <n v="0"/>
    <n v="0"/>
    <n v="105"/>
    <s v="_x0000_US"/>
  </r>
  <r>
    <x v="4"/>
    <n v="13.693"/>
    <n v="-89.188199999999995"/>
    <n v="537"/>
    <n v="0"/>
    <n v="0"/>
    <n v="105"/>
    <s v="_x0000_US"/>
  </r>
  <r>
    <x v="4"/>
    <n v="13.695499999999999"/>
    <n v="-89.188199999999995"/>
    <n v="665.88"/>
    <n v="0"/>
    <n v="0"/>
    <n v="105"/>
    <s v="_x0000_US"/>
  </r>
  <r>
    <x v="4"/>
    <n v="13.6881"/>
    <n v="-89.188199999999995"/>
    <n v="821.24"/>
    <n v="0"/>
    <n v="0"/>
    <n v="105"/>
    <s v="_x0000_US"/>
  </r>
  <r>
    <x v="4"/>
    <n v="13.692299999999999"/>
    <n v="-89.188199999999995"/>
    <n v="1022.36"/>
    <n v="0"/>
    <n v="0"/>
    <n v="105"/>
    <s v="_x0000_US"/>
  </r>
  <r>
    <x v="4"/>
    <n v="13.691599999999999"/>
    <n v="-89.188199999999995"/>
    <n v="1131.28"/>
    <n v="0"/>
    <n v="0"/>
    <n v="105"/>
    <s v="_x0000_US"/>
  </r>
  <r>
    <x v="4"/>
    <n v="13.696099999999999"/>
    <n v="-89.188100000000006"/>
    <n v="236.28"/>
    <n v="0"/>
    <n v="0"/>
    <n v="105"/>
    <s v="_x0000_US"/>
  </r>
  <r>
    <x v="4"/>
    <n v="13.690200000000001"/>
    <n v="-89.188100000000006"/>
    <n v="368.72"/>
    <n v="0"/>
    <n v="0"/>
    <n v="105"/>
    <s v="_x0000_US"/>
  </r>
  <r>
    <x v="4"/>
    <n v="13.689500000000001"/>
    <n v="-89.188100000000006"/>
    <n v="730.32"/>
    <n v="0"/>
    <n v="0"/>
    <n v="105"/>
    <s v="_x0000_US"/>
  </r>
  <r>
    <x v="4"/>
    <n v="13.688499999999999"/>
    <n v="-89.188000000000002"/>
    <n v="107.4"/>
    <n v="0"/>
    <n v="0"/>
    <n v="105"/>
    <s v="_x0000_US"/>
  </r>
  <r>
    <x v="4"/>
    <n v="13.6934"/>
    <n v="-89.188000000000002"/>
    <n v="551.32000000000005"/>
    <n v="0"/>
    <n v="0"/>
    <n v="105"/>
    <s v="_x0000_US"/>
  </r>
  <r>
    <x v="4"/>
    <n v="13.6875"/>
    <n v="-89.187899999999999"/>
    <n v="57.28"/>
    <n v="0"/>
    <n v="0"/>
    <n v="105"/>
    <s v="_x0000_US"/>
  </r>
  <r>
    <x v="4"/>
    <n v="13.6906"/>
    <n v="-89.187899999999999"/>
    <n v="569.84"/>
    <n v="0"/>
    <n v="0"/>
    <n v="105"/>
    <s v="_x0000_US"/>
  </r>
  <r>
    <x v="4"/>
    <n v="13.694100000000001"/>
    <n v="-89.187899999999999"/>
    <n v="687.36"/>
    <n v="0"/>
    <n v="0"/>
    <n v="105"/>
    <s v="_x0000_US"/>
  </r>
  <r>
    <x v="4"/>
    <n v="13.6889"/>
    <n v="-89.187899999999999"/>
    <n v="796.1"/>
    <n v="0"/>
    <n v="0"/>
    <n v="105"/>
    <s v="_x0000_US"/>
  </r>
  <r>
    <x v="4"/>
    <n v="13.695"/>
    <n v="-89.187799999999996"/>
    <n v="694.52"/>
    <n v="0"/>
    <n v="0"/>
    <n v="105"/>
    <s v="_x0000_US"/>
  </r>
  <r>
    <x v="4"/>
    <n v="13.693199999999999"/>
    <n v="-89.187799999999996"/>
    <n v="988.08"/>
    <n v="0"/>
    <n v="0"/>
    <n v="105"/>
    <s v="_x0000_US"/>
  </r>
  <r>
    <x v="4"/>
    <n v="13.690899999999999"/>
    <n v="-89.187700000000007"/>
    <n v="100.56"/>
    <n v="0"/>
    <n v="0"/>
    <n v="105"/>
    <s v="_x0000_US"/>
  </r>
  <r>
    <x v="4"/>
    <n v="13.6911"/>
    <n v="-89.187700000000007"/>
    <n v="259.77999999999997"/>
    <n v="0"/>
    <n v="0"/>
    <n v="105"/>
    <s v="_x0000_US"/>
  </r>
  <r>
    <x v="4"/>
    <n v="13.690200000000001"/>
    <n v="-89.187700000000007"/>
    <n v="558.48"/>
    <n v="0"/>
    <n v="0"/>
    <n v="105"/>
    <s v="_x0000_US"/>
  </r>
  <r>
    <x v="4"/>
    <n v="13.6928"/>
    <n v="-89.187700000000007"/>
    <n v="594.28"/>
    <n v="0"/>
    <n v="0"/>
    <n v="105"/>
    <s v="_x0000_US"/>
  </r>
  <r>
    <x v="4"/>
    <n v="13.6959"/>
    <n v="-89.187700000000007"/>
    <n v="694.52"/>
    <n v="0"/>
    <n v="0"/>
    <n v="105"/>
    <s v="_x0000_US"/>
  </r>
  <r>
    <x v="4"/>
    <n v="13.690899999999999"/>
    <n v="-89.187600000000003"/>
    <n v="193.32"/>
    <n v="0"/>
    <n v="0"/>
    <n v="105"/>
    <s v="_x0000_US"/>
  </r>
  <r>
    <x v="4"/>
    <n v="13.691599999999999"/>
    <n v="-89.187600000000003"/>
    <n v="508.36"/>
    <n v="0"/>
    <n v="0"/>
    <n v="105"/>
    <s v="_x0000_US"/>
  </r>
  <r>
    <x v="4"/>
    <n v="13.690799999999999"/>
    <n v="-89.1875"/>
    <n v="78.760000000000005"/>
    <n v="0"/>
    <n v="0"/>
    <n v="105"/>
    <s v="_x0000_US"/>
  </r>
  <r>
    <x v="4"/>
    <n v="13.692600000000001"/>
    <n v="-89.1875"/>
    <n v="150.36000000000001"/>
    <n v="0"/>
    <n v="0"/>
    <n v="105"/>
    <s v="_x0000_US"/>
  </r>
  <r>
    <x v="4"/>
    <n v="13.692399999999999"/>
    <n v="-89.1875"/>
    <n v="217.88"/>
    <n v="0"/>
    <n v="0"/>
    <n v="105"/>
    <s v="_x0000_US"/>
  </r>
  <r>
    <x v="4"/>
    <n v="13.6922"/>
    <n v="-89.1875"/>
    <n v="494.04"/>
    <n v="0"/>
    <n v="0"/>
    <n v="105"/>
    <s v="_x0000_US"/>
  </r>
  <r>
    <x v="4"/>
    <n v="13.691599999999999"/>
    <n v="-89.1875"/>
    <n v="578.22"/>
    <n v="0"/>
    <n v="0"/>
    <n v="105"/>
    <s v="_x0000_US"/>
  </r>
  <r>
    <x v="4"/>
    <n v="13.6897"/>
    <n v="-89.1875"/>
    <n v="754.2"/>
    <n v="0"/>
    <n v="0"/>
    <n v="105"/>
    <s v="_x0000_US"/>
  </r>
  <r>
    <x v="4"/>
    <n v="13.6927"/>
    <n v="-89.1875"/>
    <n v="1174.24"/>
    <n v="0"/>
    <n v="0"/>
    <n v="105"/>
    <s v="_x0000_US"/>
  </r>
  <r>
    <x v="4"/>
    <n v="13.692399999999999"/>
    <n v="-89.187399999999997"/>
    <n v="33.520000000000003"/>
    <n v="0"/>
    <n v="0"/>
    <n v="105"/>
    <s v="_x0000_US"/>
  </r>
  <r>
    <x v="4"/>
    <n v="13.694000000000001"/>
    <n v="-89.187399999999997"/>
    <n v="186.16"/>
    <n v="0"/>
    <n v="0"/>
    <n v="105"/>
    <s v="_x0000_US"/>
  </r>
  <r>
    <x v="4"/>
    <n v="13.6907"/>
    <n v="-89.187399999999997"/>
    <n v="272.08"/>
    <n v="0"/>
    <n v="0"/>
    <n v="105"/>
    <s v="_x0000_US"/>
  </r>
  <r>
    <x v="4"/>
    <n v="13.6921"/>
    <n v="-89.187399999999997"/>
    <n v="358"/>
    <n v="0"/>
    <n v="0"/>
    <n v="105"/>
    <s v="_x0000_US"/>
  </r>
  <r>
    <x v="4"/>
    <n v="13.6892"/>
    <n v="-89.187399999999997"/>
    <n v="443.92"/>
    <n v="0"/>
    <n v="0"/>
    <n v="105"/>
    <s v="_x0000_US"/>
  </r>
  <r>
    <x v="4"/>
    <n v="13.6921"/>
    <n v="-89.187399999999997"/>
    <n v="527.94000000000005"/>
    <n v="0"/>
    <n v="0"/>
    <n v="105"/>
    <s v="_x0000_US"/>
  </r>
  <r>
    <x v="4"/>
    <n v="13.690899999999999"/>
    <n v="-89.187399999999997"/>
    <n v="529.84"/>
    <n v="0"/>
    <n v="0"/>
    <n v="105"/>
    <s v="_x0000_US"/>
  </r>
  <r>
    <x v="4"/>
    <n v="13.6945"/>
    <n v="-89.187399999999997"/>
    <n v="694.52"/>
    <n v="0"/>
    <n v="0"/>
    <n v="105"/>
    <s v="_x0000_US"/>
  </r>
  <r>
    <x v="4"/>
    <n v="13.693099999999999"/>
    <n v="-89.187399999999997"/>
    <n v="1188.56"/>
    <n v="0"/>
    <n v="0"/>
    <n v="105"/>
    <s v="_x0000_US"/>
  </r>
  <r>
    <x v="4"/>
    <n v="13.692299999999999"/>
    <n v="-89.187299999999993"/>
    <n v="251.4"/>
    <n v="0"/>
    <n v="0"/>
    <n v="105"/>
    <s v="_x0000_US"/>
  </r>
  <r>
    <x v="4"/>
    <n v="13.692500000000001"/>
    <n v="-89.187299999999993"/>
    <n v="276.54000000000002"/>
    <n v="0"/>
    <n v="0"/>
    <n v="105"/>
    <s v="_x0000_US"/>
  </r>
  <r>
    <x v="4"/>
    <n v="13.690200000000001"/>
    <n v="-89.187299999999993"/>
    <n v="293.3"/>
    <n v="0"/>
    <n v="0"/>
    <n v="105"/>
    <s v="_x0000_US"/>
  </r>
  <r>
    <x v="4"/>
    <n v="13.6912"/>
    <n v="-89.187299999999993"/>
    <n v="515.52"/>
    <n v="0"/>
    <n v="0"/>
    <n v="105"/>
    <s v="_x0000_US"/>
  </r>
  <r>
    <x v="4"/>
    <n v="13.695399999999999"/>
    <n v="-89.187299999999993"/>
    <n v="687.36"/>
    <n v="0"/>
    <n v="0"/>
    <n v="105"/>
    <s v="_x0000_US"/>
  </r>
  <r>
    <x v="4"/>
    <n v="13.6922"/>
    <n v="-89.187200000000004"/>
    <n v="50.12"/>
    <n v="0"/>
    <n v="0"/>
    <n v="105"/>
    <s v="_x0000_US"/>
  </r>
  <r>
    <x v="4"/>
    <n v="13.692399999999999"/>
    <n v="-89.187200000000004"/>
    <n v="250.6"/>
    <n v="0"/>
    <n v="0"/>
    <n v="105"/>
    <s v="_x0000_US"/>
  </r>
  <r>
    <x v="4"/>
    <n v="13.696099999999999"/>
    <n v="-89.187200000000004"/>
    <n v="393.8"/>
    <n v="0"/>
    <n v="0"/>
    <n v="105"/>
    <s v="_x0000_US"/>
  </r>
  <r>
    <x v="4"/>
    <n v="13.6921"/>
    <n v="-89.187100000000001"/>
    <n v="279.24"/>
    <n v="0"/>
    <n v="0"/>
    <n v="105"/>
    <s v="_x0000_US"/>
  </r>
  <r>
    <x v="4"/>
    <n v="13.689299999999999"/>
    <n v="-89.187100000000001"/>
    <n v="307.88"/>
    <n v="0"/>
    <n v="0"/>
    <n v="105"/>
    <s v="_x0000_US"/>
  </r>
  <r>
    <x v="4"/>
    <n v="13.6906"/>
    <n v="-89.187100000000001"/>
    <n v="536.32000000000005"/>
    <n v="0"/>
    <n v="0"/>
    <n v="105"/>
    <s v="_x0000_US"/>
  </r>
  <r>
    <x v="4"/>
    <n v="13.690899999999999"/>
    <n v="-89.186999999999998"/>
    <n v="78.760000000000005"/>
    <n v="0"/>
    <n v="0"/>
    <n v="105"/>
    <s v="_x0000_US"/>
  </r>
  <r>
    <x v="4"/>
    <n v="13.691000000000001"/>
    <n v="-89.186999999999998"/>
    <n v="293.3"/>
    <n v="0"/>
    <n v="0"/>
    <n v="105"/>
    <s v="_x0000_US"/>
  </r>
  <r>
    <x v="4"/>
    <n v="13.690200000000001"/>
    <n v="-89.186999999999998"/>
    <n v="443.92"/>
    <n v="0"/>
    <n v="0"/>
    <n v="105"/>
    <s v="_x0000_US"/>
  </r>
  <r>
    <x v="4"/>
    <n v="13.693899999999999"/>
    <n v="-89.186999999999998"/>
    <n v="694.52"/>
    <n v="0"/>
    <n v="0"/>
    <n v="105"/>
    <s v="_x0000_US"/>
  </r>
  <r>
    <x v="4"/>
    <n v="13.691700000000001"/>
    <n v="-89.186999999999998"/>
    <n v="1005.6"/>
    <n v="0"/>
    <n v="0"/>
    <n v="105"/>
    <s v="_x0000_US"/>
  </r>
  <r>
    <x v="4"/>
    <n v="13.689"/>
    <n v="-89.186899999999994"/>
    <n v="429.6"/>
    <n v="0"/>
    <n v="0"/>
    <n v="105"/>
    <s v="_x0000_US"/>
  </r>
  <r>
    <x v="4"/>
    <n v="13.694900000000001"/>
    <n v="-89.186899999999994"/>
    <n v="687.36"/>
    <n v="0"/>
    <n v="0"/>
    <n v="105"/>
    <s v="_x0000_US"/>
  </r>
  <r>
    <x v="4"/>
    <n v="13.6915"/>
    <n v="-89.186899999999994"/>
    <n v="787.6"/>
    <n v="0"/>
    <n v="0"/>
    <n v="105"/>
    <s v="_x0000_US"/>
  </r>
  <r>
    <x v="4"/>
    <n v="13.6898"/>
    <n v="-89.186899999999994"/>
    <n v="852.04"/>
    <n v="0"/>
    <n v="0"/>
    <n v="105"/>
    <s v="_x0000_US"/>
  </r>
  <r>
    <x v="4"/>
    <n v="13.6958"/>
    <n v="-89.186800000000005"/>
    <n v="708.84"/>
    <n v="0"/>
    <n v="0"/>
    <n v="105"/>
    <s v="_x0000_US"/>
  </r>
  <r>
    <x v="4"/>
    <n v="13.6889"/>
    <n v="-89.186700000000002"/>
    <n v="21.48"/>
    <n v="0"/>
    <n v="0"/>
    <n v="105"/>
    <s v="_x0000_US"/>
  </r>
  <r>
    <x v="4"/>
    <n v="13.6889"/>
    <n v="-89.186700000000002"/>
    <n v="42.96"/>
    <n v="0"/>
    <n v="0"/>
    <n v="105"/>
    <s v="_x0000_US"/>
  </r>
  <r>
    <x v="4"/>
    <n v="13.690899999999999"/>
    <n v="-89.186700000000002"/>
    <n v="451.08"/>
    <n v="0"/>
    <n v="0"/>
    <n v="105"/>
    <s v="_x0000_US"/>
  </r>
  <r>
    <x v="4"/>
    <n v="13.691700000000001"/>
    <n v="-89.186700000000002"/>
    <n v="665.88"/>
    <n v="0"/>
    <n v="0"/>
    <n v="105"/>
    <s v="_x0000_US"/>
  </r>
  <r>
    <x v="4"/>
    <n v="13.692399999999999"/>
    <n v="-89.186700000000002"/>
    <n v="837.72"/>
    <n v="0"/>
    <n v="0"/>
    <n v="105"/>
    <s v="_x0000_US"/>
  </r>
  <r>
    <x v="4"/>
    <n v="13.6937"/>
    <n v="-89.186499999999995"/>
    <n v="307.88"/>
    <n v="0"/>
    <n v="0"/>
    <n v="105"/>
    <s v="_x0000_US"/>
  </r>
  <r>
    <x v="4"/>
    <n v="13.6892"/>
    <n v="-89.186499999999995"/>
    <n v="637.24"/>
    <n v="0"/>
    <n v="0"/>
    <n v="105"/>
    <s v="_x0000_US"/>
  </r>
  <r>
    <x v="4"/>
    <n v="13.6944"/>
    <n v="-89.186499999999995"/>
    <n v="787.6"/>
    <n v="0"/>
    <n v="0"/>
    <n v="105"/>
    <s v="_x0000_US"/>
  </r>
  <r>
    <x v="4"/>
    <n v="13.6953"/>
    <n v="-89.186400000000006"/>
    <n v="687.36"/>
    <n v="0"/>
    <n v="0"/>
    <n v="105"/>
    <s v="_x0000_US"/>
  </r>
  <r>
    <x v="4"/>
    <n v="13.6915"/>
    <n v="-89.186300000000003"/>
    <n v="71.599999999999994"/>
    <n v="0"/>
    <n v="0"/>
    <n v="105"/>
    <s v="_x0000_US"/>
  </r>
  <r>
    <x v="4"/>
    <n v="13.6898"/>
    <n v="-89.186300000000003"/>
    <n v="358"/>
    <n v="0"/>
    <n v="0"/>
    <n v="105"/>
    <s v="_x0000_US"/>
  </r>
  <r>
    <x v="4"/>
    <n v="13.696099999999999"/>
    <n v="-89.186300000000003"/>
    <n v="565.64"/>
    <n v="0"/>
    <n v="0"/>
    <n v="105"/>
    <s v="_x0000_US"/>
  </r>
  <r>
    <x v="4"/>
    <n v="13.6911"/>
    <n v="-89.186199999999999"/>
    <n v="93.08"/>
    <n v="0"/>
    <n v="0"/>
    <n v="105"/>
    <s v="_x0000_US"/>
  </r>
  <r>
    <x v="4"/>
    <n v="13.691599999999999"/>
    <n v="-89.186199999999999"/>
    <n v="264.92"/>
    <n v="0"/>
    <n v="0"/>
    <n v="105"/>
    <s v="_x0000_US"/>
  </r>
  <r>
    <x v="4"/>
    <n v="13.692500000000001"/>
    <n v="-89.186199999999999"/>
    <n v="286.39999999999998"/>
    <n v="0"/>
    <n v="0"/>
    <n v="105"/>
    <s v="_x0000_US"/>
  </r>
  <r>
    <x v="4"/>
    <n v="13.689500000000001"/>
    <n v="-89.186199999999999"/>
    <n v="315.04000000000002"/>
    <n v="0"/>
    <n v="0"/>
    <n v="105"/>
    <s v="_x0000_US"/>
  </r>
  <r>
    <x v="4"/>
    <n v="13.6912"/>
    <n v="-89.186199999999999"/>
    <n v="322.2"/>
    <n v="0"/>
    <n v="0"/>
    <n v="105"/>
    <s v="_x0000_US"/>
  </r>
  <r>
    <x v="4"/>
    <n v="13.696099999999999"/>
    <n v="-89.186199999999999"/>
    <n v="601.44000000000005"/>
    <n v="0"/>
    <n v="0"/>
    <n v="105"/>
    <s v="_x0000_US"/>
  </r>
  <r>
    <x v="4"/>
    <n v="13.6929"/>
    <n v="-89.186099999999996"/>
    <n v="422.44"/>
    <n v="0"/>
    <n v="0"/>
    <n v="105"/>
    <s v="_x0000_US"/>
  </r>
  <r>
    <x v="4"/>
    <n v="13.6892"/>
    <n v="-89.186099999999996"/>
    <n v="451.08"/>
    <n v="0"/>
    <n v="0"/>
    <n v="105"/>
    <s v="_x0000_US"/>
  </r>
  <r>
    <x v="4"/>
    <n v="13.6935"/>
    <n v="-89.186099999999996"/>
    <n v="2564.2800000000002"/>
    <n v="0"/>
    <n v="0"/>
    <n v="105"/>
    <s v="_x0000_US"/>
  </r>
  <r>
    <x v="4"/>
    <n v="13.6922"/>
    <n v="-89.186000000000007"/>
    <n v="393.8"/>
    <n v="0"/>
    <n v="0"/>
    <n v="105"/>
    <s v="_x0000_US"/>
  </r>
  <r>
    <x v="4"/>
    <n v="13.6896"/>
    <n v="-89.185900000000004"/>
    <n v="250.6"/>
    <n v="0"/>
    <n v="0"/>
    <n v="105"/>
    <s v="_x0000_US"/>
  </r>
  <r>
    <x v="4"/>
    <n v="13.692500000000001"/>
    <n v="-89.185900000000004"/>
    <n v="501.2"/>
    <n v="0"/>
    <n v="0"/>
    <n v="105"/>
    <s v="_x0000_US"/>
  </r>
  <r>
    <x v="4"/>
    <n v="13.6905"/>
    <n v="-89.185900000000004"/>
    <n v="1575.2"/>
    <n v="0"/>
    <n v="0"/>
    <n v="105"/>
    <s v="_x0000_US"/>
  </r>
  <r>
    <x v="4"/>
    <n v="13.6898"/>
    <n v="-89.1858"/>
    <n v="121.72"/>
    <n v="0"/>
    <n v="0"/>
    <n v="105"/>
    <s v="_x0000_US"/>
  </r>
  <r>
    <x v="4"/>
    <n v="13.692299999999999"/>
    <n v="-89.185699999999997"/>
    <n v="207.64"/>
    <n v="0"/>
    <n v="0"/>
    <n v="105"/>
    <s v="_x0000_US"/>
  </r>
  <r>
    <x v="4"/>
    <n v="13.6905"/>
    <n v="-89.185599999999994"/>
    <n v="307.88"/>
    <n v="0"/>
    <n v="0"/>
    <n v="105"/>
    <s v="_x0000_US"/>
  </r>
  <r>
    <x v="4"/>
    <n v="13.693"/>
    <n v="-89.185599999999994"/>
    <n v="379.48"/>
    <n v="0"/>
    <n v="0"/>
    <n v="105"/>
    <s v="_x0000_US"/>
  </r>
  <r>
    <x v="4"/>
    <n v="13.6913"/>
    <n v="-89.185599999999994"/>
    <n v="930.8"/>
    <n v="0"/>
    <n v="0"/>
    <n v="105"/>
    <s v="_x0000_US"/>
  </r>
  <r>
    <x v="4"/>
    <n v="13.695600000000001"/>
    <n v="-89.185599999999994"/>
    <n v="1145.5999999999999"/>
    <n v="0"/>
    <n v="0"/>
    <n v="105"/>
    <s v="_x0000_US"/>
  </r>
  <r>
    <x v="4"/>
    <n v="13.6935"/>
    <n v="-89.185500000000005"/>
    <n v="193.32"/>
    <n v="0"/>
    <n v="0"/>
    <n v="105"/>
    <s v="_x0000_US"/>
  </r>
  <r>
    <x v="4"/>
    <n v="13.690300000000001"/>
    <n v="-89.185500000000005"/>
    <n v="229.12"/>
    <n v="0"/>
    <n v="0"/>
    <n v="105"/>
    <s v="_x0000_US"/>
  </r>
  <r>
    <x v="4"/>
    <n v="13.6921"/>
    <n v="-89.185500000000005"/>
    <n v="372.32"/>
    <n v="0"/>
    <n v="0"/>
    <n v="105"/>
    <s v="_x0000_US"/>
  </r>
  <r>
    <x v="4"/>
    <n v="13.692600000000001"/>
    <n v="-89.185500000000005"/>
    <n v="415.28"/>
    <n v="0"/>
    <n v="0"/>
    <n v="105"/>
    <s v="_x0000_US"/>
  </r>
  <r>
    <x v="4"/>
    <n v="13.6875"/>
    <n v="-89.185400000000001"/>
    <n v="64.44"/>
    <n v="0"/>
    <n v="0"/>
    <n v="105"/>
    <s v="_x0000_US"/>
  </r>
  <r>
    <x v="4"/>
    <n v="13.6929"/>
    <n v="-89.185400000000001"/>
    <n v="64.44"/>
    <n v="0"/>
    <n v="0"/>
    <n v="105"/>
    <s v="_x0000_US"/>
  </r>
  <r>
    <x v="4"/>
    <n v="13.691800000000001"/>
    <n v="-89.185400000000001"/>
    <n v="200.48"/>
    <n v="0"/>
    <n v="0"/>
    <n v="105"/>
    <s v="_x0000_US"/>
  </r>
  <r>
    <x v="4"/>
    <n v="13.690899999999999"/>
    <n v="-89.185400000000001"/>
    <n v="279.24"/>
    <n v="0"/>
    <n v="0"/>
    <n v="105"/>
    <s v="_x0000_US"/>
  </r>
  <r>
    <x v="4"/>
    <n v="13.693199999999999"/>
    <n v="-89.185400000000001"/>
    <n v="307.88"/>
    <n v="0"/>
    <n v="0"/>
    <n v="105"/>
    <s v="_x0000_US"/>
  </r>
  <r>
    <x v="4"/>
    <n v="13.6892"/>
    <n v="-89.185400000000001"/>
    <n v="909.32"/>
    <n v="0"/>
    <n v="0"/>
    <n v="105"/>
    <s v="_x0000_US"/>
  </r>
  <r>
    <x v="4"/>
    <n v="13.693"/>
    <n v="-89.185299999999998"/>
    <n v="35.799999999999997"/>
    <n v="0"/>
    <n v="0"/>
    <n v="105"/>
    <s v="_x0000_US"/>
  </r>
  <r>
    <x v="4"/>
    <n v="13.693099999999999"/>
    <n v="-89.185299999999998"/>
    <n v="193.32"/>
    <n v="0"/>
    <n v="0"/>
    <n v="105"/>
    <s v="_x0000_US"/>
  </r>
  <r>
    <x v="4"/>
    <n v="13.6881"/>
    <n v="-89.185299999999998"/>
    <n v="200.48"/>
    <n v="0"/>
    <n v="0"/>
    <n v="105"/>
    <s v="_x0000_US"/>
  </r>
  <r>
    <x v="4"/>
    <n v="13.6934"/>
    <n v="-89.185299999999998"/>
    <n v="200.48"/>
    <n v="0"/>
    <n v="0"/>
    <n v="105"/>
    <s v="_x0000_US"/>
  </r>
  <r>
    <x v="4"/>
    <n v="13.6919"/>
    <n v="-89.185299999999998"/>
    <n v="221.96"/>
    <n v="0"/>
    <n v="0"/>
    <n v="105"/>
    <s v="_x0000_US"/>
  </r>
  <r>
    <x v="4"/>
    <n v="13.6906"/>
    <n v="-89.185299999999998"/>
    <n v="264.92"/>
    <n v="0"/>
    <n v="0"/>
    <n v="105"/>
    <s v="_x0000_US"/>
  </r>
  <r>
    <x v="4"/>
    <n v="13.6877"/>
    <n v="-89.185299999999998"/>
    <n v="479.72"/>
    <n v="0"/>
    <n v="0"/>
    <n v="105"/>
    <s v="_x0000_US"/>
  </r>
  <r>
    <x v="4"/>
    <n v="13.6934"/>
    <n v="-89.185199999999995"/>
    <n v="0"/>
    <n v="0"/>
    <n v="0"/>
    <n v="105"/>
    <s v="_x0000_US"/>
  </r>
  <r>
    <x v="4"/>
    <n v="13.692"/>
    <n v="-89.185199999999995"/>
    <n v="64.44"/>
    <n v="0"/>
    <n v="0"/>
    <n v="105"/>
    <s v="_x0000_US"/>
  </r>
  <r>
    <x v="4"/>
    <n v="13.693300000000001"/>
    <n v="-89.185199999999995"/>
    <n v="179"/>
    <n v="0"/>
    <n v="0"/>
    <n v="105"/>
    <s v="_x0000_US"/>
  </r>
  <r>
    <x v="4"/>
    <n v="13.6936"/>
    <n v="-89.185199999999995"/>
    <n v="221.96"/>
    <n v="0"/>
    <n v="0"/>
    <n v="105"/>
    <s v="_x0000_US"/>
  </r>
  <r>
    <x v="4"/>
    <n v="13.690899999999999"/>
    <n v="-89.185199999999995"/>
    <n v="250.6"/>
    <n v="0"/>
    <n v="0"/>
    <n v="105"/>
    <s v="_x0000_US"/>
  </r>
  <r>
    <x v="4"/>
    <n v="13.689500000000001"/>
    <n v="-89.185199999999995"/>
    <n v="1002.4"/>
    <n v="0"/>
    <n v="0"/>
    <n v="105"/>
    <s v="_x0000_US"/>
  </r>
  <r>
    <x v="4"/>
    <n v="13.6937"/>
    <n v="-89.185100000000006"/>
    <n v="85.92"/>
    <n v="0"/>
    <n v="0"/>
    <n v="105"/>
    <s v="_x0000_US"/>
  </r>
  <r>
    <x v="4"/>
    <n v="13.6942"/>
    <n v="-89.185100000000006"/>
    <n v="250.6"/>
    <n v="0"/>
    <n v="0"/>
    <n v="105"/>
    <s v="_x0000_US"/>
  </r>
  <r>
    <x v="4"/>
    <n v="13.691700000000001"/>
    <n v="-89.185100000000006"/>
    <n v="286.39999999999998"/>
    <n v="0"/>
    <n v="0"/>
    <n v="105"/>
    <s v="_x0000_US"/>
  </r>
  <r>
    <x v="4"/>
    <n v="13.6913"/>
    <n v="-89.185100000000006"/>
    <n v="400.96"/>
    <n v="0"/>
    <n v="0"/>
    <n v="105"/>
    <s v="_x0000_US"/>
  </r>
  <r>
    <x v="4"/>
    <n v="13.6929"/>
    <n v="-89.185100000000006"/>
    <n v="408.12"/>
    <n v="0"/>
    <n v="0"/>
    <n v="105"/>
    <s v="_x0000_US"/>
  </r>
  <r>
    <x v="4"/>
    <n v="13.6875"/>
    <n v="-89.185100000000006"/>
    <n v="422.44"/>
    <n v="0"/>
    <n v="0"/>
    <n v="105"/>
    <s v="_x0000_US"/>
  </r>
  <r>
    <x v="4"/>
    <n v="13.694599999999999"/>
    <n v="-89.185000000000002"/>
    <n v="207.64"/>
    <n v="0"/>
    <n v="0"/>
    <n v="105"/>
    <s v="_x0000_US"/>
  </r>
  <r>
    <x v="4"/>
    <n v="13.692"/>
    <n v="-89.185000000000002"/>
    <n v="214.8"/>
    <n v="0"/>
    <n v="0"/>
    <n v="105"/>
    <s v="_x0000_US"/>
  </r>
  <r>
    <x v="4"/>
    <n v="13.691000000000001"/>
    <n v="-89.185000000000002"/>
    <n v="243.44"/>
    <n v="0"/>
    <n v="0"/>
    <n v="105"/>
    <s v="_x0000_US"/>
  </r>
  <r>
    <x v="4"/>
    <n v="13.6935"/>
    <n v="-89.185000000000002"/>
    <n v="293.56"/>
    <n v="0"/>
    <n v="0"/>
    <n v="105"/>
    <s v="_x0000_US"/>
  </r>
  <r>
    <x v="4"/>
    <n v="13.688700000000001"/>
    <n v="-89.185000000000002"/>
    <n v="300.72000000000003"/>
    <n v="0"/>
    <n v="0"/>
    <n v="105"/>
    <s v="_x0000_US"/>
  </r>
  <r>
    <x v="4"/>
    <n v="13.693199999999999"/>
    <n v="-89.185000000000002"/>
    <n v="315.04000000000002"/>
    <n v="0"/>
    <n v="0"/>
    <n v="105"/>
    <s v="_x0000_US"/>
  </r>
  <r>
    <x v="4"/>
    <n v="13.690799999999999"/>
    <n v="-89.185000000000002"/>
    <n v="458.24"/>
    <n v="0"/>
    <n v="0"/>
    <n v="105"/>
    <s v="_x0000_US"/>
  </r>
  <r>
    <x v="4"/>
    <n v="13.692399999999999"/>
    <n v="-89.185000000000002"/>
    <n v="665.88"/>
    <n v="0"/>
    <n v="0"/>
    <n v="105"/>
    <s v="_x0000_US"/>
  </r>
  <r>
    <x v="4"/>
    <n v="13.694699999999999"/>
    <n v="-89.185000000000002"/>
    <n v="1188.56"/>
    <n v="0"/>
    <n v="0"/>
    <n v="105"/>
    <s v="_x0000_US"/>
  </r>
  <r>
    <x v="4"/>
    <n v="13.6874"/>
    <n v="-89.184899999999999"/>
    <n v="186.16"/>
    <n v="0"/>
    <n v="0"/>
    <n v="105"/>
    <s v="_x0000_US"/>
  </r>
  <r>
    <x v="4"/>
    <n v="13.694800000000001"/>
    <n v="-89.184899999999999"/>
    <n v="193.32"/>
    <n v="0"/>
    <n v="0"/>
    <n v="105"/>
    <s v="_x0000_US"/>
  </r>
  <r>
    <x v="4"/>
    <n v="13.693"/>
    <n v="-89.184899999999999"/>
    <n v="243.44"/>
    <n v="0"/>
    <n v="0"/>
    <n v="105"/>
    <s v="_x0000_US"/>
  </r>
  <r>
    <x v="4"/>
    <n v="13.6937"/>
    <n v="-89.184899999999999"/>
    <n v="264.92"/>
    <n v="0"/>
    <n v="0"/>
    <n v="105"/>
    <s v="_x0000_US"/>
  </r>
  <r>
    <x v="4"/>
    <n v="13.6952"/>
    <n v="-89.184899999999999"/>
    <n v="443.92"/>
    <n v="0"/>
    <n v="0"/>
    <n v="105"/>
    <s v="_x0000_US"/>
  </r>
  <r>
    <x v="4"/>
    <n v="13.6934"/>
    <n v="-89.184799999999996"/>
    <n v="143.19999999999999"/>
    <n v="0"/>
    <n v="0"/>
    <n v="105"/>
    <s v="_x0000_US"/>
  </r>
  <r>
    <x v="4"/>
    <n v="13.6936"/>
    <n v="-89.184799999999996"/>
    <n v="150.36000000000001"/>
    <n v="0"/>
    <n v="0"/>
    <n v="105"/>
    <s v="_x0000_US"/>
  </r>
  <r>
    <x v="4"/>
    <n v="13.688800000000001"/>
    <n v="-89.184799999999996"/>
    <n v="365.16"/>
    <n v="0"/>
    <n v="0"/>
    <n v="105"/>
    <s v="_x0000_US"/>
  </r>
  <r>
    <x v="4"/>
    <n v="13.692299999999999"/>
    <n v="-89.184799999999996"/>
    <n v="579.96"/>
    <n v="0"/>
    <n v="0"/>
    <n v="105"/>
    <s v="_x0000_US"/>
  </r>
  <r>
    <x v="4"/>
    <n v="13.688000000000001"/>
    <n v="-89.184799999999996"/>
    <n v="859.2"/>
    <n v="0"/>
    <n v="0"/>
    <n v="105"/>
    <s v="_x0000_US"/>
  </r>
  <r>
    <x v="4"/>
    <n v="13.696400000000001"/>
    <n v="-89.184700000000007"/>
    <n v="143.19999999999999"/>
    <n v="0"/>
    <n v="0"/>
    <n v="105"/>
    <s v="_x0000_US"/>
  </r>
  <r>
    <x v="4"/>
    <n v="13.696199999999999"/>
    <n v="-89.184700000000007"/>
    <n v="157.52000000000001"/>
    <n v="0"/>
    <n v="0"/>
    <n v="105"/>
    <s v="_x0000_US"/>
  </r>
  <r>
    <x v="4"/>
    <n v="13.695499999999999"/>
    <n v="-89.184700000000007"/>
    <n v="193.32"/>
    <n v="0"/>
    <n v="0"/>
    <n v="105"/>
    <s v="_x0000_US"/>
  </r>
  <r>
    <x v="4"/>
    <n v="13.694900000000001"/>
    <n v="-89.184700000000007"/>
    <n v="300.72000000000003"/>
    <n v="0"/>
    <n v="0"/>
    <n v="105"/>
    <s v="_x0000_US"/>
  </r>
  <r>
    <x v="4"/>
    <n v="13.6957"/>
    <n v="-89.184700000000007"/>
    <n v="329.36"/>
    <n v="0"/>
    <n v="0"/>
    <n v="105"/>
    <s v="_x0000_US"/>
  </r>
  <r>
    <x v="4"/>
    <n v="13.695499999999999"/>
    <n v="-89.184600000000003"/>
    <n v="93.08"/>
    <n v="0"/>
    <n v="0"/>
    <n v="105"/>
    <s v="_x0000_US"/>
  </r>
  <r>
    <x v="4"/>
    <n v="13.696300000000001"/>
    <n v="-89.184600000000003"/>
    <n v="164.68"/>
    <n v="0"/>
    <n v="0"/>
    <n v="105"/>
    <s v="_x0000_US"/>
  </r>
  <r>
    <x v="4"/>
    <n v="13.689"/>
    <n v="-89.184600000000003"/>
    <n v="286.39999999999998"/>
    <n v="0"/>
    <n v="0"/>
    <n v="105"/>
    <s v="_x0000_US"/>
  </r>
  <r>
    <x v="4"/>
    <n v="13.693099999999999"/>
    <n v="-89.184600000000003"/>
    <n v="358"/>
    <n v="0"/>
    <n v="0"/>
    <n v="105"/>
    <s v="_x0000_US"/>
  </r>
  <r>
    <x v="4"/>
    <n v="13.6928"/>
    <n v="-89.184600000000003"/>
    <n v="429.6"/>
    <n v="0"/>
    <n v="0"/>
    <n v="105"/>
    <s v="_x0000_US"/>
  </r>
  <r>
    <x v="4"/>
    <n v="13.688499999999999"/>
    <n v="-89.184600000000003"/>
    <n v="451.08"/>
    <n v="0"/>
    <n v="0"/>
    <n v="105"/>
    <s v="_x0000_US"/>
  </r>
  <r>
    <x v="4"/>
    <n v="13.6876"/>
    <n v="-89.184600000000003"/>
    <n v="465.4"/>
    <n v="0"/>
    <n v="0"/>
    <n v="105"/>
    <s v="_x0000_US"/>
  </r>
  <r>
    <x v="4"/>
    <n v="13.696400000000001"/>
    <n v="-89.1845"/>
    <n v="171.84"/>
    <n v="0"/>
    <n v="0"/>
    <n v="105"/>
    <s v="_x0000_US"/>
  </r>
  <r>
    <x v="4"/>
    <n v="13.691000000000001"/>
    <n v="-89.1845"/>
    <n v="451.08"/>
    <n v="0"/>
    <n v="0"/>
    <n v="105"/>
    <s v="_x0000_US"/>
  </r>
  <r>
    <x v="4"/>
    <n v="13.6952"/>
    <n v="-89.1845"/>
    <n v="458.24"/>
    <n v="0"/>
    <n v="0"/>
    <n v="105"/>
    <s v="_x0000_US"/>
  </r>
  <r>
    <x v="4"/>
    <n v="13.696099999999999"/>
    <n v="-89.1845"/>
    <n v="486.88"/>
    <n v="0"/>
    <n v="0"/>
    <n v="105"/>
    <s v="_x0000_US"/>
  </r>
  <r>
    <x v="4"/>
    <n v="13.691800000000001"/>
    <n v="-89.1845"/>
    <n v="687.36"/>
    <n v="0"/>
    <n v="0"/>
    <n v="105"/>
    <s v="_x0000_US"/>
  </r>
  <r>
    <x v="4"/>
    <n v="13.693199999999999"/>
    <n v="-89.184399999999997"/>
    <n v="21.48"/>
    <n v="0"/>
    <n v="0"/>
    <n v="105"/>
    <s v="_x0000_US"/>
  </r>
  <r>
    <x v="4"/>
    <n v="13.696300000000001"/>
    <n v="-89.184399999999997"/>
    <n v="100.24"/>
    <n v="0"/>
    <n v="0"/>
    <n v="105"/>
    <s v="_x0000_US"/>
  </r>
  <r>
    <x v="4"/>
    <n v="13.693199999999999"/>
    <n v="-89.184399999999997"/>
    <n v="107.4"/>
    <n v="0"/>
    <n v="0"/>
    <n v="105"/>
    <s v="_x0000_US"/>
  </r>
  <r>
    <x v="4"/>
    <n v="13.693099999999999"/>
    <n v="-89.184399999999997"/>
    <n v="136.04"/>
    <n v="0"/>
    <n v="0"/>
    <n v="105"/>
    <s v="_x0000_US"/>
  </r>
  <r>
    <x v="4"/>
    <n v="13.689"/>
    <n v="-89.184399999999997"/>
    <n v="150.36000000000001"/>
    <n v="0"/>
    <n v="0"/>
    <n v="105"/>
    <s v="_x0000_US"/>
  </r>
  <r>
    <x v="4"/>
    <n v="13.693300000000001"/>
    <n v="-89.184399999999997"/>
    <n v="157.52000000000001"/>
    <n v="0"/>
    <n v="0"/>
    <n v="105"/>
    <s v="_x0000_US"/>
  </r>
  <r>
    <x v="4"/>
    <n v="13.688000000000001"/>
    <n v="-89.184399999999997"/>
    <n v="171.84"/>
    <n v="0"/>
    <n v="0"/>
    <n v="105"/>
    <s v="_x0000_US"/>
  </r>
  <r>
    <x v="4"/>
    <n v="13.6906"/>
    <n v="-89.184399999999997"/>
    <n v="257.76"/>
    <n v="0"/>
    <n v="0"/>
    <n v="105"/>
    <s v="_x0000_US"/>
  </r>
  <r>
    <x v="4"/>
    <n v="13.692500000000001"/>
    <n v="-89.184399999999997"/>
    <n v="279.24"/>
    <n v="0"/>
    <n v="0"/>
    <n v="105"/>
    <s v="_x0000_US"/>
  </r>
  <r>
    <x v="4"/>
    <n v="13.689299999999999"/>
    <n v="-89.184399999999997"/>
    <n v="486.88"/>
    <n v="0"/>
    <n v="0"/>
    <n v="105"/>
    <s v="_x0000_US"/>
  </r>
  <r>
    <x v="4"/>
    <n v="13.685600000000001"/>
    <n v="-89.184299999999993"/>
    <n v="7.16"/>
    <n v="0"/>
    <n v="0"/>
    <n v="105"/>
    <s v="_x0000_US"/>
  </r>
  <r>
    <x v="4"/>
    <n v="13.685600000000001"/>
    <n v="-89.184299999999993"/>
    <n v="21.48"/>
    <n v="0"/>
    <n v="0"/>
    <n v="105"/>
    <s v="_x0000_US"/>
  </r>
  <r>
    <x v="4"/>
    <n v="13.693199999999999"/>
    <n v="-89.184299999999993"/>
    <n v="35.799999999999997"/>
    <n v="0"/>
    <n v="0"/>
    <n v="105"/>
    <s v="_x0000_US"/>
  </r>
  <r>
    <x v="4"/>
    <n v="13.688000000000001"/>
    <n v="-89.184299999999993"/>
    <n v="42.96"/>
    <n v="0"/>
    <n v="0"/>
    <n v="105"/>
    <s v="_x0000_US"/>
  </r>
  <r>
    <x v="4"/>
    <n v="13.6965"/>
    <n v="-89.184299999999993"/>
    <n v="50.12"/>
    <n v="0"/>
    <n v="0"/>
    <n v="105"/>
    <s v="_x0000_US"/>
  </r>
  <r>
    <x v="4"/>
    <n v="13.693199999999999"/>
    <n v="-89.184299999999993"/>
    <n v="64.44"/>
    <n v="0"/>
    <n v="0"/>
    <n v="105"/>
    <s v="_x0000_US"/>
  </r>
  <r>
    <x v="4"/>
    <n v="13.696300000000001"/>
    <n v="-89.184299999999993"/>
    <n v="71.599999999999994"/>
    <n v="0"/>
    <n v="0"/>
    <n v="105"/>
    <s v="_x0000_US"/>
  </r>
  <r>
    <x v="4"/>
    <n v="13.696400000000001"/>
    <n v="-89.184299999999993"/>
    <n v="71.599999999999994"/>
    <n v="0"/>
    <n v="0"/>
    <n v="105"/>
    <s v="_x0000_US"/>
  </r>
  <r>
    <x v="4"/>
    <n v="13.696400000000001"/>
    <n v="-89.184299999999993"/>
    <n v="78.760000000000005"/>
    <n v="0"/>
    <n v="0"/>
    <n v="105"/>
    <s v="_x0000_US"/>
  </r>
  <r>
    <x v="4"/>
    <n v="13.6934"/>
    <n v="-89.184299999999993"/>
    <n v="93.08"/>
    <n v="0"/>
    <n v="0"/>
    <n v="105"/>
    <s v="_x0000_US"/>
  </r>
  <r>
    <x v="4"/>
    <n v="13.693199999999999"/>
    <n v="-89.184299999999993"/>
    <n v="100.24"/>
    <n v="0"/>
    <n v="0"/>
    <n v="105"/>
    <s v="_x0000_US"/>
  </r>
  <r>
    <x v="4"/>
    <n v="13.6884"/>
    <n v="-89.184299999999993"/>
    <n v="157.52000000000001"/>
    <n v="0"/>
    <n v="0"/>
    <n v="105"/>
    <s v="_x0000_US"/>
  </r>
  <r>
    <x v="4"/>
    <n v="13.688000000000001"/>
    <n v="-89.184299999999993"/>
    <n v="229.12"/>
    <n v="0"/>
    <n v="0"/>
    <n v="105"/>
    <s v="_x0000_US"/>
  </r>
  <r>
    <x v="4"/>
    <n v="13.685700000000001"/>
    <n v="-89.184299999999993"/>
    <n v="243.44"/>
    <n v="0"/>
    <n v="0"/>
    <n v="105"/>
    <s v="_x0000_US"/>
  </r>
  <r>
    <x v="4"/>
    <n v="13.6882"/>
    <n v="-89.184299999999993"/>
    <n v="257.76"/>
    <n v="0"/>
    <n v="0"/>
    <n v="105"/>
    <s v="_x0000_US"/>
  </r>
  <r>
    <x v="4"/>
    <n v="13.6906"/>
    <n v="-89.184299999999993"/>
    <n v="264.92"/>
    <n v="0"/>
    <n v="0"/>
    <n v="105"/>
    <s v="_x0000_US"/>
  </r>
  <r>
    <x v="4"/>
    <n v="13.687799999999999"/>
    <n v="-89.184299999999993"/>
    <n v="272.08"/>
    <n v="0"/>
    <n v="0"/>
    <n v="105"/>
    <s v="_x0000_US"/>
  </r>
  <r>
    <x v="4"/>
    <n v="13.688800000000001"/>
    <n v="-89.184299999999993"/>
    <n v="350.84"/>
    <n v="0"/>
    <n v="0"/>
    <n v="105"/>
    <s v="_x0000_US"/>
  </r>
  <r>
    <x v="4"/>
    <n v="13.6936"/>
    <n v="-89.184299999999993"/>
    <n v="773.28"/>
    <n v="0"/>
    <n v="0"/>
    <n v="105"/>
    <s v="_x0000_US"/>
  </r>
  <r>
    <x v="4"/>
    <n v="13.693199999999999"/>
    <n v="-89.184200000000004"/>
    <n v="28.64"/>
    <n v="0"/>
    <n v="0"/>
    <n v="105"/>
    <s v="_x0000_US"/>
  </r>
  <r>
    <x v="4"/>
    <n v="13.689"/>
    <n v="-89.184200000000004"/>
    <n v="35.799999999999997"/>
    <n v="0"/>
    <n v="0"/>
    <n v="105"/>
    <s v="_x0000_US"/>
  </r>
  <r>
    <x v="4"/>
    <n v="13.688599999999999"/>
    <n v="-89.184200000000004"/>
    <n v="164.68"/>
    <n v="0"/>
    <n v="0"/>
    <n v="105"/>
    <s v="_x0000_US"/>
  </r>
  <r>
    <x v="4"/>
    <n v="13.693300000000001"/>
    <n v="-89.184200000000004"/>
    <n v="186.16"/>
    <n v="0"/>
    <n v="0"/>
    <n v="105"/>
    <s v="_x0000_US"/>
  </r>
  <r>
    <x v="4"/>
    <n v="13.6861"/>
    <n v="-89.184200000000004"/>
    <n v="193.32"/>
    <n v="0"/>
    <n v="0"/>
    <n v="105"/>
    <s v="_x0000_US"/>
  </r>
  <r>
    <x v="4"/>
    <n v="13.6892"/>
    <n v="-89.184200000000004"/>
    <n v="379.48"/>
    <n v="0"/>
    <n v="0"/>
    <n v="105"/>
    <s v="_x0000_US"/>
  </r>
  <r>
    <x v="4"/>
    <n v="13.693"/>
    <n v="-89.184200000000004"/>
    <n v="379.48"/>
    <n v="0"/>
    <n v="0"/>
    <n v="105"/>
    <s v="_x0000_US"/>
  </r>
  <r>
    <x v="4"/>
    <n v="13.6866"/>
    <n v="-89.184200000000004"/>
    <n v="737.48"/>
    <n v="0"/>
    <n v="0"/>
    <n v="105"/>
    <s v="_x0000_US"/>
  </r>
  <r>
    <x v="4"/>
    <n v="13.689"/>
    <n v="-89.184100000000001"/>
    <n v="14.32"/>
    <n v="0"/>
    <n v="0"/>
    <n v="105"/>
    <s v="_x0000_US"/>
  </r>
  <r>
    <x v="4"/>
    <n v="13.6861"/>
    <n v="-89.184100000000001"/>
    <n v="21.48"/>
    <n v="0"/>
    <n v="0"/>
    <n v="105"/>
    <s v="_x0000_US"/>
  </r>
  <r>
    <x v="4"/>
    <n v="13.689"/>
    <n v="-89.184100000000001"/>
    <n v="114.56"/>
    <n v="0"/>
    <n v="0"/>
    <n v="105"/>
    <s v="_x0000_US"/>
  </r>
  <r>
    <x v="4"/>
    <n v="13.6905"/>
    <n v="-89.184100000000001"/>
    <n v="221.96"/>
    <n v="0"/>
    <n v="0"/>
    <n v="105"/>
    <s v="_x0000_US"/>
  </r>
  <r>
    <x v="4"/>
    <n v="13.696300000000001"/>
    <n v="-89.184100000000001"/>
    <n v="229.12"/>
    <n v="0"/>
    <n v="0"/>
    <n v="105"/>
    <s v="_x0000_US"/>
  </r>
  <r>
    <x v="4"/>
    <n v="13.6877"/>
    <n v="-89.184100000000001"/>
    <n v="293.56"/>
    <n v="0"/>
    <n v="0"/>
    <n v="105"/>
    <s v="_x0000_US"/>
  </r>
  <r>
    <x v="4"/>
    <n v="13.688800000000001"/>
    <n v="-89.184100000000001"/>
    <n v="293.56"/>
    <n v="0"/>
    <n v="0"/>
    <n v="105"/>
    <s v="_x0000_US"/>
  </r>
  <r>
    <x v="4"/>
    <n v="13.686299999999999"/>
    <n v="-89.184100000000001"/>
    <n v="307.88"/>
    <n v="0"/>
    <n v="0"/>
    <n v="105"/>
    <s v="_x0000_US"/>
  </r>
  <r>
    <x v="4"/>
    <n v="13.6965"/>
    <n v="-89.184100000000001"/>
    <n v="315.04000000000002"/>
    <n v="0"/>
    <n v="0"/>
    <n v="105"/>
    <s v="_x0000_US"/>
  </r>
  <r>
    <x v="4"/>
    <n v="13.6912"/>
    <n v="-89.184100000000001"/>
    <n v="952.28"/>
    <n v="0"/>
    <n v="0"/>
    <n v="105"/>
    <s v="_x0000_US"/>
  </r>
  <r>
    <x v="4"/>
    <n v="13.689299999999999"/>
    <n v="-89.183999999999997"/>
    <n v="28.64"/>
    <n v="0"/>
    <n v="0"/>
    <n v="105"/>
    <s v="_x0000_US"/>
  </r>
  <r>
    <x v="4"/>
    <n v="13.696300000000001"/>
    <n v="-89.183999999999997"/>
    <n v="71.599999999999994"/>
    <n v="0"/>
    <n v="0"/>
    <n v="105"/>
    <s v="_x0000_US"/>
  </r>
  <r>
    <x v="4"/>
    <n v="13.6869"/>
    <n v="-89.183999999999997"/>
    <n v="78.760000000000005"/>
    <n v="0"/>
    <n v="0"/>
    <n v="105"/>
    <s v="_x0000_US"/>
  </r>
  <r>
    <x v="4"/>
    <n v="13.6869"/>
    <n v="-89.183999999999997"/>
    <n v="78.760000000000005"/>
    <n v="0"/>
    <n v="0"/>
    <n v="105"/>
    <s v="_x0000_US"/>
  </r>
  <r>
    <x v="4"/>
    <n v="13.689"/>
    <n v="-89.183999999999997"/>
    <n v="114.56"/>
    <n v="0"/>
    <n v="0"/>
    <n v="105"/>
    <s v="_x0000_US"/>
  </r>
  <r>
    <x v="4"/>
    <n v="13.689299999999999"/>
    <n v="-89.183999999999997"/>
    <n v="128.88"/>
    <n v="0"/>
    <n v="0"/>
    <n v="105"/>
    <s v="_x0000_US"/>
  </r>
  <r>
    <x v="4"/>
    <n v="13.686500000000001"/>
    <n v="-89.183999999999997"/>
    <n v="171.84"/>
    <n v="0"/>
    <n v="0"/>
    <n v="105"/>
    <s v="_x0000_US"/>
  </r>
  <r>
    <x v="4"/>
    <n v="13.6867"/>
    <n v="-89.183999999999997"/>
    <n v="179"/>
    <n v="0"/>
    <n v="0"/>
    <n v="105"/>
    <s v="_x0000_US"/>
  </r>
  <r>
    <x v="4"/>
    <n v="13.6891"/>
    <n v="-89.183999999999997"/>
    <n v="229.12"/>
    <n v="0"/>
    <n v="0"/>
    <n v="105"/>
    <s v="_x0000_US"/>
  </r>
  <r>
    <x v="4"/>
    <n v="13.6861"/>
    <n v="-89.183999999999997"/>
    <n v="229.12"/>
    <n v="0"/>
    <n v="0"/>
    <n v="105"/>
    <s v="_x0000_US"/>
  </r>
  <r>
    <x v="4"/>
    <n v="13.6883"/>
    <n v="-89.183999999999997"/>
    <n v="400.96"/>
    <n v="0"/>
    <n v="0"/>
    <n v="105"/>
    <s v="_x0000_US"/>
  </r>
  <r>
    <x v="4"/>
    <n v="13.685700000000001"/>
    <n v="-89.183999999999997"/>
    <n v="608.6"/>
    <n v="0"/>
    <n v="0"/>
    <n v="105"/>
    <s v="_x0000_US"/>
  </r>
  <r>
    <x v="4"/>
    <n v="13.694900000000001"/>
    <n v="-89.183999999999997"/>
    <n v="809.08"/>
    <n v="0"/>
    <n v="0"/>
    <n v="105"/>
    <s v="_x0000_US"/>
  </r>
  <r>
    <x v="4"/>
    <n v="13.692299999999999"/>
    <n v="-89.183999999999997"/>
    <n v="937.96"/>
    <n v="0"/>
    <n v="0"/>
    <n v="105"/>
    <s v="_x0000_US"/>
  </r>
  <r>
    <x v="4"/>
    <n v="13.689299999999999"/>
    <n v="-89.183899999999994"/>
    <n v="7.16"/>
    <n v="0"/>
    <n v="0"/>
    <n v="105"/>
    <s v="_x0000_US"/>
  </r>
  <r>
    <x v="4"/>
    <n v="13.696300000000001"/>
    <n v="-89.183899999999994"/>
    <n v="14.32"/>
    <n v="0"/>
    <n v="0"/>
    <n v="105"/>
    <s v="_x0000_US"/>
  </r>
  <r>
    <x v="4"/>
    <n v="13.689"/>
    <n v="-89.183899999999994"/>
    <n v="14.32"/>
    <n v="0"/>
    <n v="0"/>
    <n v="105"/>
    <s v="_x0000_US"/>
  </r>
  <r>
    <x v="4"/>
    <n v="13.6877"/>
    <n v="-89.183899999999994"/>
    <n v="64.44"/>
    <n v="0"/>
    <n v="0"/>
    <n v="105"/>
    <s v="_x0000_US"/>
  </r>
  <r>
    <x v="4"/>
    <n v="13.696400000000001"/>
    <n v="-89.183899999999994"/>
    <n v="78.760000000000005"/>
    <n v="0"/>
    <n v="0"/>
    <n v="105"/>
    <s v="_x0000_US"/>
  </r>
  <r>
    <x v="4"/>
    <n v="13.696300000000001"/>
    <n v="-89.183899999999994"/>
    <n v="78.760000000000005"/>
    <n v="0"/>
    <n v="0"/>
    <n v="105"/>
    <s v="_x0000_US"/>
  </r>
  <r>
    <x v="4"/>
    <n v="13.688000000000001"/>
    <n v="-89.183899999999994"/>
    <n v="85.92"/>
    <n v="0"/>
    <n v="0"/>
    <n v="105"/>
    <s v="_x0000_US"/>
  </r>
  <r>
    <x v="4"/>
    <n v="13.686400000000001"/>
    <n v="-89.183899999999994"/>
    <n v="85.92"/>
    <n v="0"/>
    <n v="0"/>
    <n v="105"/>
    <s v="_x0000_US"/>
  </r>
  <r>
    <x v="4"/>
    <n v="13.696300000000001"/>
    <n v="-89.183899999999994"/>
    <n v="93.08"/>
    <n v="0"/>
    <n v="0"/>
    <n v="105"/>
    <s v="_x0000_US"/>
  </r>
  <r>
    <x v="4"/>
    <n v="13.6889"/>
    <n v="-89.183899999999994"/>
    <n v="107.4"/>
    <n v="0"/>
    <n v="0"/>
    <n v="105"/>
    <s v="_x0000_US"/>
  </r>
  <r>
    <x v="4"/>
    <n v="13.6873"/>
    <n v="-89.183899999999994"/>
    <n v="114.56"/>
    <n v="0"/>
    <n v="0"/>
    <n v="105"/>
    <s v="_x0000_US"/>
  </r>
  <r>
    <x v="4"/>
    <n v="13.686500000000001"/>
    <n v="-89.183899999999994"/>
    <n v="171.84"/>
    <n v="0"/>
    <n v="0"/>
    <n v="105"/>
    <s v="_x0000_US"/>
  </r>
  <r>
    <x v="4"/>
    <n v="13.686"/>
    <n v="-89.183899999999994"/>
    <n v="171.84"/>
    <n v="0"/>
    <n v="0"/>
    <n v="105"/>
    <s v="_x0000_US"/>
  </r>
  <r>
    <x v="4"/>
    <n v="13.6867"/>
    <n v="-89.183899999999994"/>
    <n v="171.84"/>
    <n v="0"/>
    <n v="0"/>
    <n v="105"/>
    <s v="_x0000_US"/>
  </r>
  <r>
    <x v="4"/>
    <n v="13.6891"/>
    <n v="-89.183899999999994"/>
    <n v="236.28"/>
    <n v="0"/>
    <n v="0"/>
    <n v="105"/>
    <s v="_x0000_US"/>
  </r>
  <r>
    <x v="4"/>
    <n v="13.686999999999999"/>
    <n v="-89.183899999999994"/>
    <n v="243.44"/>
    <n v="0"/>
    <n v="0"/>
    <n v="105"/>
    <s v="_x0000_US"/>
  </r>
  <r>
    <x v="4"/>
    <n v="13.6875"/>
    <n v="-89.183899999999994"/>
    <n v="300.72000000000003"/>
    <n v="0"/>
    <n v="0"/>
    <n v="105"/>
    <s v="_x0000_US"/>
  </r>
  <r>
    <x v="4"/>
    <n v="13.688599999999999"/>
    <n v="-89.183899999999994"/>
    <n v="315.04000000000002"/>
    <n v="0"/>
    <n v="0"/>
    <n v="105"/>
    <s v="_x0000_US"/>
  </r>
  <r>
    <x v="4"/>
    <n v="13.6904"/>
    <n v="-89.183899999999994"/>
    <n v="329.36"/>
    <n v="0"/>
    <n v="0"/>
    <n v="105"/>
    <s v="_x0000_US"/>
  </r>
  <r>
    <x v="4"/>
    <n v="13.695499999999999"/>
    <n v="-89.183899999999994"/>
    <n v="902.16"/>
    <n v="0"/>
    <n v="0"/>
    <n v="105"/>
    <s v="_x0000_US"/>
  </r>
  <r>
    <x v="4"/>
    <n v="13.6899"/>
    <n v="-89.183899999999994"/>
    <n v="995.24"/>
    <n v="0"/>
    <n v="0"/>
    <n v="105"/>
    <s v="_x0000_US"/>
  </r>
  <r>
    <x v="4"/>
    <n v="13.696400000000001"/>
    <n v="-89.183800000000005"/>
    <n v="57.28"/>
    <n v="0"/>
    <n v="0"/>
    <n v="105"/>
    <s v="_x0000_US"/>
  </r>
  <r>
    <x v="4"/>
    <n v="13.696300000000001"/>
    <n v="-89.183800000000005"/>
    <n v="57.28"/>
    <n v="0"/>
    <n v="0"/>
    <n v="105"/>
    <s v="_x0000_US"/>
  </r>
  <r>
    <x v="4"/>
    <n v="13.686"/>
    <n v="-89.183800000000005"/>
    <n v="64.44"/>
    <n v="0"/>
    <n v="0"/>
    <n v="105"/>
    <s v="_x0000_US"/>
  </r>
  <r>
    <x v="4"/>
    <n v="13.689299999999999"/>
    <n v="-89.183800000000005"/>
    <n v="78.760000000000005"/>
    <n v="0"/>
    <n v="0"/>
    <n v="105"/>
    <s v="_x0000_US"/>
  </r>
  <r>
    <x v="4"/>
    <n v="13.6873"/>
    <n v="-89.183800000000005"/>
    <n v="93.08"/>
    <n v="0"/>
    <n v="0"/>
    <n v="105"/>
    <s v="_x0000_US"/>
  </r>
  <r>
    <x v="4"/>
    <n v="13.696400000000001"/>
    <n v="-89.183800000000005"/>
    <n v="100.24"/>
    <n v="0"/>
    <n v="0"/>
    <n v="105"/>
    <s v="_x0000_US"/>
  </r>
  <r>
    <x v="4"/>
    <n v="13.6965"/>
    <n v="-89.183800000000005"/>
    <n v="100.24"/>
    <n v="0"/>
    <n v="0"/>
    <n v="105"/>
    <s v="_x0000_US"/>
  </r>
  <r>
    <x v="4"/>
    <n v="13.689399999999999"/>
    <n v="-89.183800000000005"/>
    <n v="128.88"/>
    <n v="0"/>
    <n v="0"/>
    <n v="105"/>
    <s v="_x0000_US"/>
  </r>
  <r>
    <x v="4"/>
    <n v="13.688000000000001"/>
    <n v="-89.183800000000005"/>
    <n v="143.19999999999999"/>
    <n v="0"/>
    <n v="0"/>
    <n v="105"/>
    <s v="_x0000_US"/>
  </r>
  <r>
    <x v="4"/>
    <n v="13.686299999999999"/>
    <n v="-89.183800000000005"/>
    <n v="143.19999999999999"/>
    <n v="0"/>
    <n v="0"/>
    <n v="105"/>
    <s v="_x0000_US"/>
  </r>
  <r>
    <x v="4"/>
    <n v="13.6892"/>
    <n v="-89.183800000000005"/>
    <n v="143.19999999999999"/>
    <n v="0"/>
    <n v="0"/>
    <n v="105"/>
    <s v="_x0000_US"/>
  </r>
  <r>
    <x v="4"/>
    <n v="13.6854"/>
    <n v="-89.183800000000005"/>
    <n v="157.52000000000001"/>
    <n v="0"/>
    <n v="0"/>
    <n v="105"/>
    <s v="_x0000_US"/>
  </r>
  <r>
    <x v="4"/>
    <n v="13.687900000000001"/>
    <n v="-89.183800000000005"/>
    <n v="250.6"/>
    <n v="0"/>
    <n v="0"/>
    <n v="105"/>
    <s v="_x0000_US"/>
  </r>
  <r>
    <x v="4"/>
    <n v="13.693199999999999"/>
    <n v="-89.183800000000005"/>
    <n v="501.2"/>
    <n v="0"/>
    <n v="0"/>
    <n v="105"/>
    <s v="_x0000_US"/>
  </r>
  <r>
    <x v="4"/>
    <n v="13.686400000000001"/>
    <n v="-89.183700000000002"/>
    <n v="14.32"/>
    <n v="0"/>
    <n v="0"/>
    <n v="105"/>
    <s v="_x0000_US"/>
  </r>
  <r>
    <x v="4"/>
    <n v="13.687099999999999"/>
    <n v="-89.183700000000002"/>
    <n v="85.92"/>
    <n v="0"/>
    <n v="0"/>
    <n v="105"/>
    <s v="_x0000_US"/>
  </r>
  <r>
    <x v="4"/>
    <n v="13.686500000000001"/>
    <n v="-89.183700000000002"/>
    <n v="93.08"/>
    <n v="0"/>
    <n v="0"/>
    <n v="105"/>
    <s v="_x0000_US"/>
  </r>
  <r>
    <x v="4"/>
    <n v="13.6965"/>
    <n v="-89.183700000000002"/>
    <n v="114.56"/>
    <n v="0"/>
    <n v="0"/>
    <n v="105"/>
    <s v="_x0000_US"/>
  </r>
  <r>
    <x v="4"/>
    <n v="13.686"/>
    <n v="-89.183700000000002"/>
    <n v="128.88"/>
    <n v="0"/>
    <n v="0"/>
    <n v="105"/>
    <s v="_x0000_US"/>
  </r>
  <r>
    <x v="4"/>
    <n v="13.686400000000001"/>
    <n v="-89.183700000000002"/>
    <n v="143.19999999999999"/>
    <n v="0"/>
    <n v="0"/>
    <n v="105"/>
    <s v="_x0000_US"/>
  </r>
  <r>
    <x v="4"/>
    <n v="13.696300000000001"/>
    <n v="-89.183700000000002"/>
    <n v="164.68"/>
    <n v="0"/>
    <n v="0"/>
    <n v="105"/>
    <s v="_x0000_US"/>
  </r>
  <r>
    <x v="4"/>
    <n v="13.6877"/>
    <n v="-89.183700000000002"/>
    <n v="186.16"/>
    <n v="0"/>
    <n v="0"/>
    <n v="105"/>
    <s v="_x0000_US"/>
  </r>
  <r>
    <x v="4"/>
    <n v="13.688499999999999"/>
    <n v="-89.183700000000002"/>
    <n v="207.64"/>
    <n v="0"/>
    <n v="0"/>
    <n v="105"/>
    <s v="_x0000_US"/>
  </r>
  <r>
    <x v="4"/>
    <n v="13.6869"/>
    <n v="-89.183700000000002"/>
    <n v="229.12"/>
    <n v="0"/>
    <n v="0"/>
    <n v="105"/>
    <s v="_x0000_US"/>
  </r>
  <r>
    <x v="4"/>
    <n v="13.6889"/>
    <n v="-89.183700000000002"/>
    <n v="236.28"/>
    <n v="0"/>
    <n v="0"/>
    <n v="105"/>
    <s v="_x0000_US"/>
  </r>
  <r>
    <x v="4"/>
    <n v="13.6882"/>
    <n v="-89.183700000000002"/>
    <n v="243.44"/>
    <n v="0"/>
    <n v="0"/>
    <n v="105"/>
    <s v="_x0000_US"/>
  </r>
  <r>
    <x v="4"/>
    <n v="13.6937"/>
    <n v="-89.183700000000002"/>
    <n v="243.44"/>
    <n v="0"/>
    <n v="0"/>
    <n v="105"/>
    <s v="_x0000_US"/>
  </r>
  <r>
    <x v="4"/>
    <n v="13.6891"/>
    <n v="-89.183599999999998"/>
    <n v="21.48"/>
    <n v="0"/>
    <n v="0"/>
    <n v="105"/>
    <s v="_x0000_US"/>
  </r>
  <r>
    <x v="4"/>
    <n v="13.687799999999999"/>
    <n v="-89.183599999999998"/>
    <n v="21.48"/>
    <n v="0"/>
    <n v="0"/>
    <n v="105"/>
    <s v="_x0000_US"/>
  </r>
  <r>
    <x v="4"/>
    <n v="13.686"/>
    <n v="-89.183599999999998"/>
    <n v="21.48"/>
    <n v="0"/>
    <n v="0"/>
    <n v="105"/>
    <s v="_x0000_US"/>
  </r>
  <r>
    <x v="4"/>
    <n v="13.689399999999999"/>
    <n v="-89.183599999999998"/>
    <n v="42.96"/>
    <n v="0"/>
    <n v="0"/>
    <n v="105"/>
    <s v="_x0000_US"/>
  </r>
  <r>
    <x v="4"/>
    <n v="13.686"/>
    <n v="-89.183599999999998"/>
    <n v="42.96"/>
    <n v="0"/>
    <n v="0"/>
    <n v="105"/>
    <s v="_x0000_US"/>
  </r>
  <r>
    <x v="4"/>
    <n v="13.688599999999999"/>
    <n v="-89.183599999999998"/>
    <n v="57.28"/>
    <n v="0"/>
    <n v="0"/>
    <n v="105"/>
    <s v="_x0000_US"/>
  </r>
  <r>
    <x v="4"/>
    <n v="13.6869"/>
    <n v="-89.183599999999998"/>
    <n v="64.44"/>
    <n v="0"/>
    <n v="0"/>
    <n v="105"/>
    <s v="_x0000_US"/>
  </r>
  <r>
    <x v="4"/>
    <n v="13.6868"/>
    <n v="-89.183599999999998"/>
    <n v="64.44"/>
    <n v="0"/>
    <n v="0"/>
    <n v="105"/>
    <s v="_x0000_US"/>
  </r>
  <r>
    <x v="4"/>
    <n v="13.686999999999999"/>
    <n v="-89.183599999999998"/>
    <n v="71.599999999999994"/>
    <n v="0"/>
    <n v="0"/>
    <n v="105"/>
    <s v="_x0000_US"/>
  </r>
  <r>
    <x v="4"/>
    <n v="13.687099999999999"/>
    <n v="-89.183599999999998"/>
    <n v="78.760000000000005"/>
    <n v="0"/>
    <n v="0"/>
    <n v="105"/>
    <s v="_x0000_US"/>
  </r>
  <r>
    <x v="4"/>
    <n v="13.6891"/>
    <n v="-89.183599999999998"/>
    <n v="85.92"/>
    <n v="0"/>
    <n v="0"/>
    <n v="105"/>
    <s v="_x0000_US"/>
  </r>
  <r>
    <x v="4"/>
    <n v="13.687099999999999"/>
    <n v="-89.183599999999998"/>
    <n v="93.08"/>
    <n v="0"/>
    <n v="0"/>
    <n v="105"/>
    <s v="_x0000_US"/>
  </r>
  <r>
    <x v="4"/>
    <n v="13.6896"/>
    <n v="-89.183599999999998"/>
    <n v="100.24"/>
    <n v="0"/>
    <n v="0"/>
    <n v="105"/>
    <s v="_x0000_US"/>
  </r>
  <r>
    <x v="4"/>
    <n v="13.6965"/>
    <n v="-89.183599999999998"/>
    <n v="100.24"/>
    <n v="0"/>
    <n v="0"/>
    <n v="105"/>
    <s v="_x0000_US"/>
  </r>
  <r>
    <x v="4"/>
    <n v="13.689500000000001"/>
    <n v="-89.183599999999998"/>
    <n v="121.72"/>
    <n v="0"/>
    <n v="0"/>
    <n v="105"/>
    <s v="_x0000_US"/>
  </r>
  <r>
    <x v="4"/>
    <n v="13.687200000000001"/>
    <n v="-89.183599999999998"/>
    <n v="214.8"/>
    <n v="0"/>
    <n v="0"/>
    <n v="105"/>
    <s v="_x0000_US"/>
  </r>
  <r>
    <x v="4"/>
    <n v="13.6867"/>
    <n v="-89.183599999999998"/>
    <n v="221.96"/>
    <n v="0"/>
    <n v="0"/>
    <n v="105"/>
    <s v="_x0000_US"/>
  </r>
  <r>
    <x v="4"/>
    <n v="13.696400000000001"/>
    <n v="-89.183599999999998"/>
    <n v="221.96"/>
    <n v="0"/>
    <n v="0"/>
    <n v="105"/>
    <s v="_x0000_US"/>
  </r>
  <r>
    <x v="4"/>
    <n v="13.687900000000001"/>
    <n v="-89.183599999999998"/>
    <n v="229.12"/>
    <n v="0"/>
    <n v="0"/>
    <n v="105"/>
    <s v="_x0000_US"/>
  </r>
  <r>
    <x v="4"/>
    <n v="13.686400000000001"/>
    <n v="-89.183599999999998"/>
    <n v="229.12"/>
    <n v="0"/>
    <n v="0"/>
    <n v="105"/>
    <s v="_x0000_US"/>
  </r>
  <r>
    <x v="4"/>
    <n v="13.6922"/>
    <n v="-89.183599999999998"/>
    <n v="264.92"/>
    <n v="0"/>
    <n v="0"/>
    <n v="105"/>
    <s v="_x0000_US"/>
  </r>
  <r>
    <x v="4"/>
    <n v="13.686199999999999"/>
    <n v="-89.183599999999998"/>
    <n v="300.72000000000003"/>
    <n v="0"/>
    <n v="0"/>
    <n v="105"/>
    <s v="_x0000_US"/>
  </r>
  <r>
    <x v="4"/>
    <n v="13.688800000000001"/>
    <n v="-89.183599999999998"/>
    <n v="393.8"/>
    <n v="0"/>
    <n v="0"/>
    <n v="105"/>
    <s v="_x0000_US"/>
  </r>
  <r>
    <x v="4"/>
    <n v="13.6965"/>
    <n v="-89.183499999999995"/>
    <n v="50.12"/>
    <n v="0"/>
    <n v="0"/>
    <n v="105"/>
    <s v="_x0000_US"/>
  </r>
  <r>
    <x v="4"/>
    <n v="13.686299999999999"/>
    <n v="-89.183499999999995"/>
    <n v="71.599999999999994"/>
    <n v="0"/>
    <n v="0"/>
    <n v="105"/>
    <s v="_x0000_US"/>
  </r>
  <r>
    <x v="4"/>
    <n v="13.689399999999999"/>
    <n v="-89.183499999999995"/>
    <n v="114.56"/>
    <n v="0"/>
    <n v="0"/>
    <n v="105"/>
    <s v="_x0000_US"/>
  </r>
  <r>
    <x v="4"/>
    <n v="13.6896"/>
    <n v="-89.183499999999995"/>
    <n v="121.72"/>
    <n v="0"/>
    <n v="0"/>
    <n v="105"/>
    <s v="_x0000_US"/>
  </r>
  <r>
    <x v="4"/>
    <n v="13.6859"/>
    <n v="-89.183499999999995"/>
    <n v="186.16"/>
    <n v="0"/>
    <n v="0"/>
    <n v="105"/>
    <s v="_x0000_US"/>
  </r>
  <r>
    <x v="4"/>
    <n v="13.6861"/>
    <n v="-89.183499999999995"/>
    <n v="214.8"/>
    <n v="0"/>
    <n v="0"/>
    <n v="105"/>
    <s v="_x0000_US"/>
  </r>
  <r>
    <x v="4"/>
    <n v="13.6866"/>
    <n v="-89.183499999999995"/>
    <n v="214.8"/>
    <n v="0"/>
    <n v="0"/>
    <n v="105"/>
    <s v="_x0000_US"/>
  </r>
  <r>
    <x v="4"/>
    <n v="13.6892"/>
    <n v="-89.183499999999995"/>
    <n v="279.24"/>
    <n v="0"/>
    <n v="0"/>
    <n v="105"/>
    <s v="_x0000_US"/>
  </r>
  <r>
    <x v="4"/>
    <n v="13.685700000000001"/>
    <n v="-89.183499999999995"/>
    <n v="350.84"/>
    <n v="0"/>
    <n v="0"/>
    <n v="105"/>
    <s v="_x0000_US"/>
  </r>
  <r>
    <x v="4"/>
    <n v="13.694900000000001"/>
    <n v="-89.183499999999995"/>
    <n v="415.28"/>
    <n v="0"/>
    <n v="0"/>
    <n v="105"/>
    <s v="_x0000_US"/>
  </r>
  <r>
    <x v="4"/>
    <n v="13.690799999999999"/>
    <n v="-89.183499999999995"/>
    <n v="436.76"/>
    <n v="0"/>
    <n v="0"/>
    <n v="105"/>
    <s v="_x0000_US"/>
  </r>
  <r>
    <x v="4"/>
    <n v="13.6928"/>
    <n v="-89.183499999999995"/>
    <n v="673.04"/>
    <n v="0"/>
    <n v="0"/>
    <n v="105"/>
    <s v="_x0000_US"/>
  </r>
  <r>
    <x v="4"/>
    <n v="13.6943"/>
    <n v="-89.183499999999995"/>
    <n v="2723.5"/>
    <n v="0"/>
    <n v="0"/>
    <n v="105"/>
    <s v="_x0000_US"/>
  </r>
  <r>
    <x v="4"/>
    <n v="13.686299999999999"/>
    <n v="-89.183400000000006"/>
    <n v="28.64"/>
    <n v="0"/>
    <n v="0"/>
    <n v="105"/>
    <s v="_x0000_US"/>
  </r>
  <r>
    <x v="4"/>
    <n v="13.689500000000001"/>
    <n v="-89.183400000000006"/>
    <n v="50.12"/>
    <n v="0"/>
    <n v="0"/>
    <n v="105"/>
    <s v="_x0000_US"/>
  </r>
  <r>
    <x v="4"/>
    <n v="13.6965"/>
    <n v="-89.183400000000006"/>
    <n v="85.92"/>
    <n v="0"/>
    <n v="0"/>
    <n v="105"/>
    <s v="_x0000_US"/>
  </r>
  <r>
    <x v="4"/>
    <n v="13.6867"/>
    <n v="-89.183400000000006"/>
    <n v="85.92"/>
    <n v="0"/>
    <n v="0"/>
    <n v="105"/>
    <s v="_x0000_US"/>
  </r>
  <r>
    <x v="4"/>
    <n v="13.687200000000001"/>
    <n v="-89.183400000000006"/>
    <n v="114.56"/>
    <n v="0"/>
    <n v="0"/>
    <n v="105"/>
    <s v="_x0000_US"/>
  </r>
  <r>
    <x v="4"/>
    <n v="13.689500000000001"/>
    <n v="-89.183400000000006"/>
    <n v="128.88"/>
    <n v="0"/>
    <n v="0"/>
    <n v="105"/>
    <s v="_x0000_US"/>
  </r>
  <r>
    <x v="4"/>
    <n v="13.686199999999999"/>
    <n v="-89.183400000000006"/>
    <n v="143.19999999999999"/>
    <n v="0"/>
    <n v="0"/>
    <n v="105"/>
    <s v="_x0000_US"/>
  </r>
  <r>
    <x v="4"/>
    <n v="13.687900000000001"/>
    <n v="-89.183400000000006"/>
    <n v="250.6"/>
    <n v="0"/>
    <n v="0"/>
    <n v="105"/>
    <s v="_x0000_US"/>
  </r>
  <r>
    <x v="4"/>
    <n v="13.6914"/>
    <n v="-89.183400000000006"/>
    <n v="408.12"/>
    <n v="0"/>
    <n v="0"/>
    <n v="105"/>
    <s v="_x0000_US"/>
  </r>
  <r>
    <x v="4"/>
    <n v="13.6884"/>
    <n v="-89.183400000000006"/>
    <n v="415.28"/>
    <n v="0"/>
    <n v="0"/>
    <n v="105"/>
    <s v="_x0000_US"/>
  </r>
  <r>
    <x v="4"/>
    <n v="13.694800000000001"/>
    <n v="-89.183400000000006"/>
    <n v="887.84"/>
    <n v="0"/>
    <n v="0"/>
    <n v="105"/>
    <s v="_x0000_US"/>
  </r>
  <r>
    <x v="4"/>
    <n v="13.6867"/>
    <n v="-89.183300000000003"/>
    <n v="57.28"/>
    <n v="0"/>
    <n v="0"/>
    <n v="105"/>
    <s v="_x0000_US"/>
  </r>
  <r>
    <x v="4"/>
    <n v="13.686199999999999"/>
    <n v="-89.183300000000003"/>
    <n v="121.72"/>
    <n v="0"/>
    <n v="0"/>
    <n v="105"/>
    <s v="_x0000_US"/>
  </r>
  <r>
    <x v="4"/>
    <n v="13.695399999999999"/>
    <n v="-89.183300000000003"/>
    <n v="121.72"/>
    <n v="0"/>
    <n v="0"/>
    <n v="105"/>
    <s v="_x0000_US"/>
  </r>
  <r>
    <x v="4"/>
    <n v="13.686299999999999"/>
    <n v="-89.183300000000003"/>
    <n v="171.84"/>
    <n v="0"/>
    <n v="0"/>
    <n v="105"/>
    <s v="_x0000_US"/>
  </r>
  <r>
    <x v="4"/>
    <n v="13.6965"/>
    <n v="-89.183300000000003"/>
    <n v="186.16"/>
    <n v="0"/>
    <n v="0"/>
    <n v="105"/>
    <s v="_x0000_US"/>
  </r>
  <r>
    <x v="4"/>
    <n v="13.6858"/>
    <n v="-89.183300000000003"/>
    <n v="193.32"/>
    <n v="0"/>
    <n v="0"/>
    <n v="105"/>
    <s v="_x0000_US"/>
  </r>
  <r>
    <x v="4"/>
    <n v="13.690099999999999"/>
    <n v="-89.183300000000003"/>
    <n v="207.64"/>
    <n v="0"/>
    <n v="0"/>
    <n v="105"/>
    <s v="_x0000_US"/>
  </r>
  <r>
    <x v="4"/>
    <n v="13.6874"/>
    <n v="-89.183300000000003"/>
    <n v="329.36"/>
    <n v="0"/>
    <n v="0"/>
    <n v="105"/>
    <s v="_x0000_US"/>
  </r>
  <r>
    <x v="4"/>
    <n v="13.692"/>
    <n v="-89.183300000000003"/>
    <n v="329.36"/>
    <n v="0"/>
    <n v="0"/>
    <n v="105"/>
    <s v="_x0000_US"/>
  </r>
  <r>
    <x v="4"/>
    <n v="13.6897"/>
    <n v="-89.183300000000003"/>
    <n v="336.52"/>
    <n v="0"/>
    <n v="0"/>
    <n v="105"/>
    <s v="_x0000_US"/>
  </r>
  <r>
    <x v="4"/>
    <n v="13.6869"/>
    <n v="-89.183300000000003"/>
    <n v="386.64"/>
    <n v="0"/>
    <n v="0"/>
    <n v="105"/>
    <s v="_x0000_US"/>
  </r>
  <r>
    <x v="4"/>
    <n v="13.687900000000001"/>
    <n v="-89.183300000000003"/>
    <n v="408.12"/>
    <n v="0"/>
    <n v="0"/>
    <n v="105"/>
    <s v="_x0000_US"/>
  </r>
  <r>
    <x v="4"/>
    <n v="13.685499999999999"/>
    <n v="-89.183300000000003"/>
    <n v="451.08"/>
    <n v="0"/>
    <n v="0"/>
    <n v="105"/>
    <s v="_x0000_US"/>
  </r>
  <r>
    <x v="4"/>
    <n v="13.6907"/>
    <n v="-89.183199999999999"/>
    <n v="14.32"/>
    <n v="0"/>
    <n v="0"/>
    <n v="105"/>
    <s v="_x0000_US"/>
  </r>
  <r>
    <x v="4"/>
    <n v="13.6965"/>
    <n v="-89.183199999999999"/>
    <n v="71.599999999999994"/>
    <n v="0"/>
    <n v="0"/>
    <n v="105"/>
    <s v="_x0000_US"/>
  </r>
  <r>
    <x v="4"/>
    <n v="13.690200000000001"/>
    <n v="-89.183199999999999"/>
    <n v="85.92"/>
    <n v="0"/>
    <n v="0"/>
    <n v="105"/>
    <s v="_x0000_US"/>
  </r>
  <r>
    <x v="4"/>
    <n v="13.686299999999999"/>
    <n v="-89.183199999999999"/>
    <n v="107.4"/>
    <n v="0"/>
    <n v="0"/>
    <n v="105"/>
    <s v="_x0000_US"/>
  </r>
  <r>
    <x v="4"/>
    <n v="13.6873"/>
    <n v="-89.183199999999999"/>
    <n v="257.76"/>
    <n v="0"/>
    <n v="0"/>
    <n v="105"/>
    <s v="_x0000_US"/>
  </r>
  <r>
    <x v="4"/>
    <n v="13.686500000000001"/>
    <n v="-89.183199999999999"/>
    <n v="350.84"/>
    <n v="0"/>
    <n v="0"/>
    <n v="105"/>
    <s v="_x0000_US"/>
  </r>
  <r>
    <x v="4"/>
    <n v="13.6905"/>
    <n v="-89.183199999999999"/>
    <n v="393.8"/>
    <n v="0"/>
    <n v="0"/>
    <n v="105"/>
    <s v="_x0000_US"/>
  </r>
  <r>
    <x v="4"/>
    <n v="13.690799999999999"/>
    <n v="-89.183199999999999"/>
    <n v="479.72"/>
    <n v="0"/>
    <n v="0"/>
    <n v="105"/>
    <s v="_x0000_US"/>
  </r>
  <r>
    <x v="4"/>
    <n v="13.696"/>
    <n v="-89.183199999999999"/>
    <n v="751.8"/>
    <n v="0"/>
    <n v="0"/>
    <n v="105"/>
    <s v="_x0000_US"/>
  </r>
  <r>
    <x v="4"/>
    <n v="13.686299999999999"/>
    <n v="-89.183099999999996"/>
    <n v="42.96"/>
    <n v="0"/>
    <n v="0"/>
    <n v="105"/>
    <s v="_x0000_US"/>
  </r>
  <r>
    <x v="4"/>
    <n v="13.688000000000001"/>
    <n v="-89.183099999999996"/>
    <n v="107.4"/>
    <n v="0"/>
    <n v="0"/>
    <n v="105"/>
    <s v="_x0000_US"/>
  </r>
  <r>
    <x v="4"/>
    <n v="13.6882"/>
    <n v="-89.183099999999996"/>
    <n v="114.56"/>
    <n v="0"/>
    <n v="0"/>
    <n v="105"/>
    <s v="_x0000_US"/>
  </r>
  <r>
    <x v="4"/>
    <n v="13.6907"/>
    <n v="-89.183099999999996"/>
    <n v="114.56"/>
    <n v="0"/>
    <n v="0"/>
    <n v="105"/>
    <s v="_x0000_US"/>
  </r>
  <r>
    <x v="4"/>
    <n v="13.6874"/>
    <n v="-89.183099999999996"/>
    <n v="143.19999999999999"/>
    <n v="0"/>
    <n v="0"/>
    <n v="105"/>
    <s v="_x0000_US"/>
  </r>
  <r>
    <x v="4"/>
    <n v="13.6867"/>
    <n v="-89.183099999999996"/>
    <n v="150.36000000000001"/>
    <n v="0"/>
    <n v="0"/>
    <n v="105"/>
    <s v="_x0000_US"/>
  </r>
  <r>
    <x v="4"/>
    <n v="13.692"/>
    <n v="-89.183099999999996"/>
    <n v="157.52000000000001"/>
    <n v="0"/>
    <n v="0"/>
    <n v="105"/>
    <s v="_x0000_US"/>
  </r>
  <r>
    <x v="4"/>
    <n v="13.686"/>
    <n v="-89.183099999999996"/>
    <n v="358"/>
    <n v="0"/>
    <n v="0"/>
    <n v="105"/>
    <s v="_x0000_US"/>
  </r>
  <r>
    <x v="4"/>
    <n v="13.688499999999999"/>
    <n v="-89.183099999999996"/>
    <n v="443.92"/>
    <n v="0"/>
    <n v="0"/>
    <n v="105"/>
    <s v="_x0000_US"/>
  </r>
  <r>
    <x v="4"/>
    <n v="13.691599999999999"/>
    <n v="-89.183099999999996"/>
    <n v="501.2"/>
    <n v="0"/>
    <n v="0"/>
    <n v="105"/>
    <s v="_x0000_US"/>
  </r>
  <r>
    <x v="4"/>
    <n v="13.693099999999999"/>
    <n v="-89.183099999999996"/>
    <n v="572.79999999999995"/>
    <n v="0"/>
    <n v="0"/>
    <n v="105"/>
    <s v="_x0000_US"/>
  </r>
  <r>
    <x v="4"/>
    <n v="13.692399999999999"/>
    <n v="-89.183099999999996"/>
    <n v="644.4"/>
    <n v="0"/>
    <n v="0"/>
    <n v="105"/>
    <s v="_x0000_US"/>
  </r>
  <r>
    <x v="4"/>
    <n v="13.686999999999999"/>
    <n v="-89.183000000000007"/>
    <n v="7.16"/>
    <n v="0"/>
    <n v="0"/>
    <n v="105"/>
    <s v="_x0000_US"/>
  </r>
  <r>
    <x v="4"/>
    <n v="13.6882"/>
    <n v="-89.183000000000007"/>
    <n v="21.48"/>
    <n v="0"/>
    <n v="0"/>
    <n v="105"/>
    <s v="_x0000_US"/>
  </r>
  <r>
    <x v="4"/>
    <n v="13.686999999999999"/>
    <n v="-89.183000000000007"/>
    <n v="57.28"/>
    <n v="0"/>
    <n v="0"/>
    <n v="105"/>
    <s v="_x0000_US"/>
  </r>
  <r>
    <x v="4"/>
    <n v="13.687099999999999"/>
    <n v="-89.183000000000007"/>
    <n v="64.44"/>
    <n v="0"/>
    <n v="0"/>
    <n v="105"/>
    <s v="_x0000_US"/>
  </r>
  <r>
    <x v="4"/>
    <n v="13.686199999999999"/>
    <n v="-89.183000000000007"/>
    <n v="93.08"/>
    <n v="0"/>
    <n v="0"/>
    <n v="105"/>
    <s v="_x0000_US"/>
  </r>
  <r>
    <x v="4"/>
    <n v="13.6881"/>
    <n v="-89.183000000000007"/>
    <n v="100.24"/>
    <n v="0"/>
    <n v="0"/>
    <n v="105"/>
    <s v="_x0000_US"/>
  </r>
  <r>
    <x v="4"/>
    <n v="13.6913"/>
    <n v="-89.183000000000007"/>
    <n v="143.19999999999999"/>
    <n v="0"/>
    <n v="0"/>
    <n v="105"/>
    <s v="_x0000_US"/>
  </r>
  <r>
    <x v="4"/>
    <n v="13.685700000000001"/>
    <n v="-89.183000000000007"/>
    <n v="193.32"/>
    <n v="0"/>
    <n v="0"/>
    <n v="105"/>
    <s v="_x0000_US"/>
  </r>
  <r>
    <x v="4"/>
    <n v="13.6873"/>
    <n v="-89.183000000000007"/>
    <n v="200.48"/>
    <n v="0"/>
    <n v="0"/>
    <n v="105"/>
    <s v="_x0000_US"/>
  </r>
  <r>
    <x v="4"/>
    <n v="13.6875"/>
    <n v="-89.183000000000007"/>
    <n v="221.96"/>
    <n v="0"/>
    <n v="0"/>
    <n v="105"/>
    <s v="_x0000_US"/>
  </r>
  <r>
    <x v="4"/>
    <n v="13.6869"/>
    <n v="-89.183000000000007"/>
    <n v="257.76"/>
    <n v="0"/>
    <n v="0"/>
    <n v="105"/>
    <s v="_x0000_US"/>
  </r>
  <r>
    <x v="4"/>
    <n v="13.685499999999999"/>
    <n v="-89.183000000000007"/>
    <n v="386.64"/>
    <n v="0"/>
    <n v="0"/>
    <n v="105"/>
    <s v="_x0000_US"/>
  </r>
  <r>
    <x v="4"/>
    <n v="13.6899"/>
    <n v="-89.182900000000004"/>
    <n v="157.52000000000001"/>
    <n v="0"/>
    <n v="0"/>
    <n v="105"/>
    <s v="_x0000_US"/>
  </r>
  <r>
    <x v="4"/>
    <n v="13.687200000000001"/>
    <n v="-89.182900000000004"/>
    <n v="207.64"/>
    <n v="0"/>
    <n v="0"/>
    <n v="105"/>
    <s v="_x0000_US"/>
  </r>
  <r>
    <x v="4"/>
    <n v="13.6868"/>
    <n v="-89.182900000000004"/>
    <n v="236.28"/>
    <n v="0"/>
    <n v="0"/>
    <n v="105"/>
    <s v="_x0000_US"/>
  </r>
  <r>
    <x v="4"/>
    <n v="13.6881"/>
    <n v="-89.182900000000004"/>
    <n v="236.28"/>
    <n v="0"/>
    <n v="0"/>
    <n v="105"/>
    <s v="_x0000_US"/>
  </r>
  <r>
    <x v="4"/>
    <n v="13.687900000000001"/>
    <n v="-89.182900000000004"/>
    <n v="257.76"/>
    <n v="0"/>
    <n v="0"/>
    <n v="105"/>
    <s v="_x0000_US"/>
  </r>
  <r>
    <x v="4"/>
    <n v="13.6883"/>
    <n v="-89.182900000000004"/>
    <n v="350.84"/>
    <n v="0"/>
    <n v="0"/>
    <n v="105"/>
    <s v="_x0000_US"/>
  </r>
  <r>
    <x v="4"/>
    <n v="13.6959"/>
    <n v="-89.182900000000004"/>
    <n v="973.76"/>
    <n v="0"/>
    <n v="0"/>
    <n v="105"/>
    <s v="_x0000_US"/>
  </r>
  <r>
    <x v="4"/>
    <n v="13.6875"/>
    <n v="-89.1828"/>
    <n v="71.599999999999994"/>
    <n v="0"/>
    <n v="0"/>
    <n v="105"/>
    <s v="_x0000_US"/>
  </r>
  <r>
    <x v="4"/>
    <n v="13.686999999999999"/>
    <n v="-89.1828"/>
    <n v="179"/>
    <n v="0"/>
    <n v="0"/>
    <n v="105"/>
    <s v="_x0000_US"/>
  </r>
  <r>
    <x v="4"/>
    <n v="13.6874"/>
    <n v="-89.1828"/>
    <n v="200.48"/>
    <n v="0"/>
    <n v="0"/>
    <n v="105"/>
    <s v="_x0000_US"/>
  </r>
  <r>
    <x v="4"/>
    <n v="13.69"/>
    <n v="-89.1828"/>
    <n v="200.48"/>
    <n v="0"/>
    <n v="0"/>
    <n v="105"/>
    <s v="_x0000_US"/>
  </r>
  <r>
    <x v="4"/>
    <n v="13.689500000000001"/>
    <n v="-89.1828"/>
    <n v="393.8"/>
    <n v="0"/>
    <n v="0"/>
    <n v="105"/>
    <s v="_x0000_US"/>
  </r>
  <r>
    <x v="4"/>
    <n v="13.686400000000001"/>
    <n v="-89.1828"/>
    <n v="436.76"/>
    <n v="0"/>
    <n v="0"/>
    <n v="105"/>
    <s v="_x0000_US"/>
  </r>
  <r>
    <x v="4"/>
    <n v="13.6952"/>
    <n v="-89.1828"/>
    <n v="966.6"/>
    <n v="0"/>
    <n v="0"/>
    <n v="105"/>
    <s v="_x0000_US"/>
  </r>
  <r>
    <x v="4"/>
    <n v="13.6881"/>
    <n v="-89.182699999999997"/>
    <n v="50.12"/>
    <n v="0"/>
    <n v="0"/>
    <n v="105"/>
    <s v="_x0000_US"/>
  </r>
  <r>
    <x v="4"/>
    <n v="13.6874"/>
    <n v="-89.182699999999997"/>
    <n v="71.599999999999994"/>
    <n v="0"/>
    <n v="0"/>
    <n v="105"/>
    <s v="_x0000_US"/>
  </r>
  <r>
    <x v="4"/>
    <n v="13.6883"/>
    <n v="-89.182699999999997"/>
    <n v="128.88"/>
    <n v="0"/>
    <n v="0"/>
    <n v="105"/>
    <s v="_x0000_US"/>
  </r>
  <r>
    <x v="4"/>
    <n v="13.688000000000001"/>
    <n v="-89.182699999999997"/>
    <n v="236.28"/>
    <n v="0"/>
    <n v="0"/>
    <n v="105"/>
    <s v="_x0000_US"/>
  </r>
  <r>
    <x v="4"/>
    <n v="13.6892"/>
    <n v="-89.182699999999997"/>
    <n v="250.6"/>
    <n v="0"/>
    <n v="0"/>
    <n v="105"/>
    <s v="_x0000_US"/>
  </r>
  <r>
    <x v="4"/>
    <n v="13.686999999999999"/>
    <n v="-89.182699999999997"/>
    <n v="257.76"/>
    <n v="0"/>
    <n v="0"/>
    <n v="105"/>
    <s v="_x0000_US"/>
  </r>
  <r>
    <x v="4"/>
    <n v="13.6867"/>
    <n v="-89.182699999999997"/>
    <n v="293.56"/>
    <n v="0"/>
    <n v="0"/>
    <n v="105"/>
    <s v="_x0000_US"/>
  </r>
  <r>
    <x v="4"/>
    <n v="13.6906"/>
    <n v="-89.182699999999997"/>
    <n v="852.04"/>
    <n v="0"/>
    <n v="0"/>
    <n v="105"/>
    <s v="_x0000_US"/>
  </r>
  <r>
    <x v="4"/>
    <n v="13.6874"/>
    <n v="-89.182599999999994"/>
    <n v="128.88"/>
    <n v="0"/>
    <n v="0"/>
    <n v="105"/>
    <s v="_x0000_US"/>
  </r>
  <r>
    <x v="4"/>
    <n v="13.6884"/>
    <n v="-89.182599999999994"/>
    <n v="164.68"/>
    <n v="0"/>
    <n v="0"/>
    <n v="105"/>
    <s v="_x0000_US"/>
  </r>
  <r>
    <x v="4"/>
    <n v="13.687200000000001"/>
    <n v="-89.182599999999994"/>
    <n v="207.64"/>
    <n v="0"/>
    <n v="0"/>
    <n v="105"/>
    <s v="_x0000_US"/>
  </r>
  <r>
    <x v="4"/>
    <n v="13.687799999999999"/>
    <n v="-89.182599999999994"/>
    <n v="214.8"/>
    <n v="0"/>
    <n v="0"/>
    <n v="105"/>
    <s v="_x0000_US"/>
  </r>
  <r>
    <x v="4"/>
    <n v="13.6913"/>
    <n v="-89.182599999999994"/>
    <n v="272.08"/>
    <n v="0"/>
    <n v="0"/>
    <n v="105"/>
    <s v="_x0000_US"/>
  </r>
  <r>
    <x v="4"/>
    <n v="13.6896"/>
    <n v="-89.182599999999994"/>
    <n v="379.48"/>
    <n v="0"/>
    <n v="0"/>
    <n v="105"/>
    <s v="_x0000_US"/>
  </r>
  <r>
    <x v="4"/>
    <n v="13.685600000000001"/>
    <n v="-89.182599999999994"/>
    <n v="494.04"/>
    <n v="0"/>
    <n v="0"/>
    <n v="105"/>
    <s v="_x0000_US"/>
  </r>
  <r>
    <x v="4"/>
    <n v="13.686"/>
    <n v="-89.182599999999994"/>
    <n v="644.4"/>
    <n v="0"/>
    <n v="0"/>
    <n v="105"/>
    <s v="_x0000_US"/>
  </r>
  <r>
    <x v="4"/>
    <n v="13.6873"/>
    <n v="-89.182500000000005"/>
    <n v="50.12"/>
    <n v="0"/>
    <n v="0"/>
    <n v="105"/>
    <s v="_x0000_US"/>
  </r>
  <r>
    <x v="4"/>
    <n v="13.6873"/>
    <n v="-89.182500000000005"/>
    <n v="85.92"/>
    <n v="0"/>
    <n v="0"/>
    <n v="105"/>
    <s v="_x0000_US"/>
  </r>
  <r>
    <x v="4"/>
    <n v="13.6873"/>
    <n v="-89.182500000000005"/>
    <n v="121.72"/>
    <n v="0"/>
    <n v="0"/>
    <n v="105"/>
    <s v="_x0000_US"/>
  </r>
  <r>
    <x v="4"/>
    <n v="13.6874"/>
    <n v="-89.182500000000005"/>
    <n v="121.72"/>
    <n v="0"/>
    <n v="0"/>
    <n v="105"/>
    <s v="_x0000_US"/>
  </r>
  <r>
    <x v="4"/>
    <n v="13.6866"/>
    <n v="-89.182500000000005"/>
    <n v="150.36000000000001"/>
    <n v="0"/>
    <n v="0"/>
    <n v="105"/>
    <s v="_x0000_US"/>
  </r>
  <r>
    <x v="4"/>
    <n v="13.691599999999999"/>
    <n v="-89.182500000000005"/>
    <n v="150.36000000000001"/>
    <n v="0"/>
    <n v="0"/>
    <n v="105"/>
    <s v="_x0000_US"/>
  </r>
  <r>
    <x v="4"/>
    <n v="13.689399999999999"/>
    <n v="-89.182500000000005"/>
    <n v="157.52000000000001"/>
    <n v="0"/>
    <n v="0"/>
    <n v="105"/>
    <s v="_x0000_US"/>
  </r>
  <r>
    <x v="4"/>
    <n v="13.686999999999999"/>
    <n v="-89.182500000000005"/>
    <n v="207.64"/>
    <n v="0"/>
    <n v="0"/>
    <n v="105"/>
    <s v="_x0000_US"/>
  </r>
  <r>
    <x v="4"/>
    <n v="13.686999999999999"/>
    <n v="-89.182500000000005"/>
    <n v="264.92"/>
    <n v="0"/>
    <n v="0"/>
    <n v="105"/>
    <s v="_x0000_US"/>
  </r>
  <r>
    <x v="4"/>
    <n v="13.6881"/>
    <n v="-89.182500000000005"/>
    <n v="365.16"/>
    <n v="0"/>
    <n v="0"/>
    <n v="105"/>
    <s v="_x0000_US"/>
  </r>
  <r>
    <x v="4"/>
    <n v="13.6874"/>
    <n v="-89.182400000000001"/>
    <n v="57.28"/>
    <n v="0"/>
    <n v="0"/>
    <n v="105"/>
    <s v="_x0000_US"/>
  </r>
  <r>
    <x v="4"/>
    <n v="13.686999999999999"/>
    <n v="-89.182400000000001"/>
    <n v="93.08"/>
    <n v="0"/>
    <n v="0"/>
    <n v="105"/>
    <s v="_x0000_US"/>
  </r>
  <r>
    <x v="4"/>
    <n v="13.6945"/>
    <n v="-89.182400000000001"/>
    <n v="100.24"/>
    <n v="0"/>
    <n v="0"/>
    <n v="105"/>
    <s v="_x0000_US"/>
  </r>
  <r>
    <x v="4"/>
    <n v="13.688000000000001"/>
    <n v="-89.182400000000001"/>
    <n v="128.88"/>
    <n v="0"/>
    <n v="0"/>
    <n v="105"/>
    <s v="_x0000_US"/>
  </r>
  <r>
    <x v="4"/>
    <n v="13.686500000000001"/>
    <n v="-89.182400000000001"/>
    <n v="136.04"/>
    <n v="0"/>
    <n v="0"/>
    <n v="105"/>
    <s v="_x0000_US"/>
  </r>
  <r>
    <x v="4"/>
    <n v="13.6853"/>
    <n v="-89.182400000000001"/>
    <n v="164.68"/>
    <n v="0"/>
    <n v="0"/>
    <n v="105"/>
    <s v="_x0000_US"/>
  </r>
  <r>
    <x v="4"/>
    <n v="13.687200000000001"/>
    <n v="-89.182400000000001"/>
    <n v="293.56"/>
    <n v="0"/>
    <n v="0"/>
    <n v="105"/>
    <s v="_x0000_US"/>
  </r>
  <r>
    <x v="4"/>
    <n v="13.6892"/>
    <n v="-89.182400000000001"/>
    <n v="415.28"/>
    <n v="0"/>
    <n v="0"/>
    <n v="105"/>
    <s v="_x0000_US"/>
  </r>
  <r>
    <x v="4"/>
    <n v="13.6876"/>
    <n v="-89.182400000000001"/>
    <n v="501.2"/>
    <n v="0"/>
    <n v="0"/>
    <n v="105"/>
    <s v="_x0000_US"/>
  </r>
  <r>
    <x v="4"/>
    <n v="13.690099999999999"/>
    <n v="-89.182400000000001"/>
    <n v="551.32000000000005"/>
    <n v="0"/>
    <n v="0"/>
    <n v="105"/>
    <s v="_x0000_US"/>
  </r>
  <r>
    <x v="4"/>
    <n v="13.686999999999999"/>
    <n v="-89.182299999999998"/>
    <n v="50.12"/>
    <n v="0"/>
    <n v="0"/>
    <n v="105"/>
    <s v="_x0000_US"/>
  </r>
  <r>
    <x v="4"/>
    <n v="13.686299999999999"/>
    <n v="-89.182299999999998"/>
    <n v="200.48"/>
    <n v="0"/>
    <n v="0"/>
    <n v="105"/>
    <s v="_x0000_US"/>
  </r>
  <r>
    <x v="4"/>
    <n v="13.6945"/>
    <n v="-89.182299999999998"/>
    <n v="229.12"/>
    <n v="0"/>
    <n v="0"/>
    <n v="105"/>
    <s v="_x0000_US"/>
  </r>
  <r>
    <x v="4"/>
    <n v="13.689399999999999"/>
    <n v="-89.182299999999998"/>
    <n v="250.6"/>
    <n v="0"/>
    <n v="0"/>
    <n v="105"/>
    <s v="_x0000_US"/>
  </r>
  <r>
    <x v="4"/>
    <n v="13.685700000000001"/>
    <n v="-89.182299999999998"/>
    <n v="393.8"/>
    <n v="0"/>
    <n v="0"/>
    <n v="105"/>
    <s v="_x0000_US"/>
  </r>
  <r>
    <x v="4"/>
    <n v="13.694800000000001"/>
    <n v="-89.182299999999998"/>
    <n v="429.6"/>
    <n v="0"/>
    <n v="0"/>
    <n v="105"/>
    <s v="_x0000_US"/>
  </r>
  <r>
    <x v="4"/>
    <n v="13.6911"/>
    <n v="-89.182299999999998"/>
    <n v="486.88"/>
    <n v="0"/>
    <n v="0"/>
    <n v="105"/>
    <s v="_x0000_US"/>
  </r>
  <r>
    <x v="4"/>
    <n v="13.694100000000001"/>
    <n v="-89.182299999999998"/>
    <n v="544.16"/>
    <n v="0"/>
    <n v="0"/>
    <n v="105"/>
    <s v="_x0000_US"/>
  </r>
  <r>
    <x v="4"/>
    <n v="13.6854"/>
    <n v="-89.182199999999995"/>
    <n v="179"/>
    <n v="0"/>
    <n v="0"/>
    <n v="105"/>
    <s v="_x0000_US"/>
  </r>
  <r>
    <x v="4"/>
    <n v="13.6875"/>
    <n v="-89.182199999999995"/>
    <n v="193.32"/>
    <n v="0"/>
    <n v="0"/>
    <n v="105"/>
    <s v="_x0000_US"/>
  </r>
  <r>
    <x v="4"/>
    <n v="13.6861"/>
    <n v="-89.182199999999995"/>
    <n v="257.76"/>
    <n v="0"/>
    <n v="0"/>
    <n v="105"/>
    <s v="_x0000_US"/>
  </r>
  <r>
    <x v="4"/>
    <n v="13.685600000000001"/>
    <n v="-89.182199999999995"/>
    <n v="443.92"/>
    <n v="0"/>
    <n v="0"/>
    <n v="105"/>
    <s v="_x0000_US"/>
  </r>
  <r>
    <x v="4"/>
    <n v="13.6914"/>
    <n v="-89.182199999999995"/>
    <n v="465.4"/>
    <n v="0"/>
    <n v="0"/>
    <n v="105"/>
    <s v="_x0000_US"/>
  </r>
  <r>
    <x v="4"/>
    <n v="13.6853"/>
    <n v="-89.182100000000005"/>
    <n v="85.92"/>
    <n v="0"/>
    <n v="0"/>
    <n v="105"/>
    <s v="_x0000_US"/>
  </r>
  <r>
    <x v="4"/>
    <n v="13.6859"/>
    <n v="-89.182100000000005"/>
    <n v="164.68"/>
    <n v="0"/>
    <n v="0"/>
    <n v="105"/>
    <s v="_x0000_US"/>
  </r>
  <r>
    <x v="4"/>
    <n v="13.686199999999999"/>
    <n v="-89.182100000000005"/>
    <n v="200.48"/>
    <n v="0"/>
    <n v="0"/>
    <n v="105"/>
    <s v="_x0000_US"/>
  </r>
  <r>
    <x v="4"/>
    <n v="13.689299999999999"/>
    <n v="-89.182100000000005"/>
    <n v="214.8"/>
    <n v="0"/>
    <n v="0"/>
    <n v="105"/>
    <s v="_x0000_US"/>
  </r>
  <r>
    <x v="4"/>
    <n v="13.688000000000001"/>
    <n v="-89.182100000000005"/>
    <n v="221.96"/>
    <n v="0"/>
    <n v="0"/>
    <n v="105"/>
    <s v="_x0000_US"/>
  </r>
  <r>
    <x v="4"/>
    <n v="13.6952"/>
    <n v="-89.182100000000005"/>
    <n v="365.16"/>
    <n v="0"/>
    <n v="0"/>
    <n v="105"/>
    <s v="_x0000_US"/>
  </r>
  <r>
    <x v="4"/>
    <n v="13.6866"/>
    <n v="-89.182100000000005"/>
    <n v="472.56"/>
    <n v="0"/>
    <n v="0"/>
    <n v="105"/>
    <s v="_x0000_US"/>
  </r>
  <r>
    <x v="4"/>
    <n v="13.6897"/>
    <n v="-89.182100000000005"/>
    <n v="615.76"/>
    <n v="0"/>
    <n v="0"/>
    <n v="105"/>
    <s v="_x0000_US"/>
  </r>
  <r>
    <x v="4"/>
    <n v="13.688000000000001"/>
    <n v="-89.182000000000002"/>
    <n v="143.19999999999999"/>
    <n v="0"/>
    <n v="0"/>
    <n v="105"/>
    <s v="_x0000_US"/>
  </r>
  <r>
    <x v="4"/>
    <n v="13.691000000000001"/>
    <n v="-89.182000000000002"/>
    <n v="157.52000000000001"/>
    <n v="0"/>
    <n v="0"/>
    <n v="105"/>
    <s v="_x0000_US"/>
  </r>
  <r>
    <x v="4"/>
    <n v="13.686400000000001"/>
    <n v="-89.182000000000002"/>
    <n v="200.48"/>
    <n v="0"/>
    <n v="0"/>
    <n v="105"/>
    <s v="_x0000_US"/>
  </r>
  <r>
    <x v="4"/>
    <n v="13.6873"/>
    <n v="-89.182000000000002"/>
    <n v="229.12"/>
    <n v="0"/>
    <n v="0"/>
    <n v="105"/>
    <s v="_x0000_US"/>
  </r>
  <r>
    <x v="4"/>
    <n v="13.687099999999999"/>
    <n v="-89.182000000000002"/>
    <n v="243.44"/>
    <n v="0"/>
    <n v="0"/>
    <n v="105"/>
    <s v="_x0000_US"/>
  </r>
  <r>
    <x v="4"/>
    <n v="13.687799999999999"/>
    <n v="-89.182000000000002"/>
    <n v="415.28"/>
    <n v="0"/>
    <n v="0"/>
    <n v="105"/>
    <s v="_x0000_US"/>
  </r>
  <r>
    <x v="4"/>
    <n v="13.6905"/>
    <n v="-89.182000000000002"/>
    <n v="587.12"/>
    <n v="0"/>
    <n v="0"/>
    <n v="105"/>
    <s v="_x0000_US"/>
  </r>
  <r>
    <x v="4"/>
    <n v="13.688599999999999"/>
    <n v="-89.182000000000002"/>
    <n v="758.96"/>
    <n v="0"/>
    <n v="0"/>
    <n v="105"/>
    <s v="_x0000_US"/>
  </r>
  <r>
    <x v="4"/>
    <n v="13.687200000000001"/>
    <n v="-89.181899999999999"/>
    <n v="114.56"/>
    <n v="0"/>
    <n v="0"/>
    <n v="105"/>
    <s v="_x0000_US"/>
  </r>
  <r>
    <x v="4"/>
    <n v="13.6873"/>
    <n v="-89.181899999999999"/>
    <n v="264.92"/>
    <n v="0"/>
    <n v="0"/>
    <n v="105"/>
    <s v="_x0000_US"/>
  </r>
  <r>
    <x v="4"/>
    <n v="13.6912"/>
    <n v="-89.181899999999999"/>
    <n v="272.08"/>
    <n v="0"/>
    <n v="0"/>
    <n v="105"/>
    <s v="_x0000_US"/>
  </r>
  <r>
    <x v="4"/>
    <n v="13.6958"/>
    <n v="-89.181899999999999"/>
    <n v="501.2"/>
    <n v="0"/>
    <n v="0"/>
    <n v="105"/>
    <s v="_x0000_US"/>
  </r>
  <r>
    <x v="4"/>
    <n v="13.691700000000001"/>
    <n v="-89.181899999999999"/>
    <n v="529.84"/>
    <n v="0"/>
    <n v="0"/>
    <n v="105"/>
    <s v="_x0000_US"/>
  </r>
  <r>
    <x v="4"/>
    <n v="13.685600000000001"/>
    <n v="-89.181899999999999"/>
    <n v="579.96"/>
    <n v="0"/>
    <n v="0"/>
    <n v="105"/>
    <s v="_x0000_US"/>
  </r>
  <r>
    <x v="4"/>
    <n v="13.695"/>
    <n v="-89.181899999999999"/>
    <n v="694.52"/>
    <n v="0"/>
    <n v="0"/>
    <n v="105"/>
    <s v="_x0000_US"/>
  </r>
  <r>
    <x v="4"/>
    <n v="13.6881"/>
    <n v="-89.181799999999996"/>
    <n v="257.76"/>
    <n v="0"/>
    <n v="0"/>
    <n v="105"/>
    <s v="_x0000_US"/>
  </r>
  <r>
    <x v="4"/>
    <n v="13.690799999999999"/>
    <n v="-89.181799999999996"/>
    <n v="329.36"/>
    <n v="0"/>
    <n v="0"/>
    <n v="105"/>
    <s v="_x0000_US"/>
  </r>
  <r>
    <x v="4"/>
    <n v="13.686"/>
    <n v="-89.181799999999996"/>
    <n v="343.68"/>
    <n v="0"/>
    <n v="0"/>
    <n v="105"/>
    <s v="_x0000_US"/>
  </r>
  <r>
    <x v="4"/>
    <n v="13.695399999999999"/>
    <n v="-89.181799999999996"/>
    <n v="415.28"/>
    <n v="0"/>
    <n v="0"/>
    <n v="105"/>
    <s v="_x0000_US"/>
  </r>
  <r>
    <x v="4"/>
    <n v="13.6868"/>
    <n v="-89.181799999999996"/>
    <n v="436.76"/>
    <n v="0"/>
    <n v="0"/>
    <n v="105"/>
    <s v="_x0000_US"/>
  </r>
  <r>
    <x v="4"/>
    <n v="13.693"/>
    <n v="-89.181799999999996"/>
    <n v="1439.16"/>
    <n v="0"/>
    <n v="0"/>
    <n v="105"/>
    <s v="_x0000_US"/>
  </r>
  <r>
    <x v="4"/>
    <n v="13.687900000000001"/>
    <n v="-89.181700000000006"/>
    <n v="329.36"/>
    <n v="0"/>
    <n v="0"/>
    <n v="105"/>
    <s v="_x0000_US"/>
  </r>
  <r>
    <x v="4"/>
    <n v="13.6876"/>
    <n v="-89.181700000000006"/>
    <n v="343.68"/>
    <n v="0"/>
    <n v="0"/>
    <n v="105"/>
    <s v="_x0000_US"/>
  </r>
  <r>
    <x v="4"/>
    <n v="13.690300000000001"/>
    <n v="-89.181700000000006"/>
    <n v="358"/>
    <n v="0"/>
    <n v="0"/>
    <n v="105"/>
    <s v="_x0000_US"/>
  </r>
  <r>
    <x v="4"/>
    <n v="13.69"/>
    <n v="-89.181700000000006"/>
    <n v="429.6"/>
    <n v="0"/>
    <n v="0"/>
    <n v="105"/>
    <s v="_x0000_US"/>
  </r>
  <r>
    <x v="4"/>
    <n v="13.693899999999999"/>
    <n v="-89.181700000000006"/>
    <n v="754.2"/>
    <n v="0"/>
    <n v="0"/>
    <n v="105"/>
    <s v="_x0000_US"/>
  </r>
  <r>
    <x v="4"/>
    <n v="13.686999999999999"/>
    <n v="-89.181600000000003"/>
    <n v="315.04000000000002"/>
    <n v="0"/>
    <n v="0"/>
    <n v="105"/>
    <s v="_x0000_US"/>
  </r>
  <r>
    <x v="4"/>
    <n v="13.692"/>
    <n v="-89.181600000000003"/>
    <n v="336.52"/>
    <n v="0"/>
    <n v="0"/>
    <n v="105"/>
    <s v="_x0000_US"/>
  </r>
  <r>
    <x v="4"/>
    <n v="13.6944"/>
    <n v="-89.181600000000003"/>
    <n v="400.96"/>
    <n v="0"/>
    <n v="0"/>
    <n v="105"/>
    <s v="_x0000_US"/>
  </r>
  <r>
    <x v="4"/>
    <n v="13.6905"/>
    <n v="-89.181600000000003"/>
    <n v="429.6"/>
    <n v="0"/>
    <n v="0"/>
    <n v="105"/>
    <s v="_x0000_US"/>
  </r>
  <r>
    <x v="4"/>
    <n v="13.687200000000001"/>
    <n v="-89.181600000000003"/>
    <n v="436.76"/>
    <n v="0"/>
    <n v="0"/>
    <n v="105"/>
    <s v="_x0000_US"/>
  </r>
  <r>
    <x v="4"/>
    <n v="13.686299999999999"/>
    <n v="-89.181600000000003"/>
    <n v="637.24"/>
    <n v="0"/>
    <n v="0"/>
    <n v="105"/>
    <s v="_x0000_US"/>
  </r>
  <r>
    <x v="4"/>
    <n v="13.6868"/>
    <n v="-89.1815"/>
    <n v="42.96"/>
    <n v="0"/>
    <n v="0"/>
    <n v="105"/>
    <s v="_x0000_US"/>
  </r>
  <r>
    <x v="4"/>
    <n v="13.6868"/>
    <n v="-89.1815"/>
    <n v="42.96"/>
    <n v="0"/>
    <n v="0"/>
    <n v="105"/>
    <s v="_x0000_US"/>
  </r>
  <r>
    <x v="4"/>
    <n v="13.6891"/>
    <n v="-89.1815"/>
    <n v="157.52000000000001"/>
    <n v="0"/>
    <n v="0"/>
    <n v="105"/>
    <s v="_x0000_US"/>
  </r>
  <r>
    <x v="4"/>
    <n v="13.6875"/>
    <n v="-89.1815"/>
    <n v="315.04000000000002"/>
    <n v="0"/>
    <n v="0"/>
    <n v="105"/>
    <s v="_x0000_US"/>
  </r>
  <r>
    <x v="4"/>
    <n v="13.688800000000001"/>
    <n v="-89.1815"/>
    <n v="379.48"/>
    <n v="0"/>
    <n v="0"/>
    <n v="105"/>
    <s v="_x0000_US"/>
  </r>
  <r>
    <x v="4"/>
    <n v="13.6882"/>
    <n v="-89.1815"/>
    <n v="443.92"/>
    <n v="0"/>
    <n v="0"/>
    <n v="105"/>
    <s v="_x0000_US"/>
  </r>
  <r>
    <x v="4"/>
    <n v="13.6914"/>
    <n v="-89.1815"/>
    <n v="952.28"/>
    <n v="0"/>
    <n v="0"/>
    <n v="105"/>
    <s v="_x0000_US"/>
  </r>
  <r>
    <x v="4"/>
    <n v="13.6867"/>
    <n v="-89.181399999999996"/>
    <n v="121.72"/>
    <n v="0"/>
    <n v="0"/>
    <n v="105"/>
    <s v="_x0000_US"/>
  </r>
  <r>
    <x v="4"/>
    <n v="13.686"/>
    <n v="-89.181399999999996"/>
    <n v="307.88"/>
    <n v="0"/>
    <n v="0"/>
    <n v="105"/>
    <s v="_x0000_US"/>
  </r>
  <r>
    <x v="4"/>
    <n v="13.695499999999999"/>
    <n v="-89.181399999999996"/>
    <n v="372.32"/>
    <n v="0"/>
    <n v="0"/>
    <n v="105"/>
    <s v="_x0000_US"/>
  </r>
  <r>
    <x v="4"/>
    <n v="13.690300000000001"/>
    <n v="-89.181399999999996"/>
    <n v="379.48"/>
    <n v="0"/>
    <n v="0"/>
    <n v="105"/>
    <s v="_x0000_US"/>
  </r>
  <r>
    <x v="4"/>
    <n v="13.688000000000001"/>
    <n v="-89.181399999999996"/>
    <n v="479.72"/>
    <n v="0"/>
    <n v="0"/>
    <n v="105"/>
    <s v="_x0000_US"/>
  </r>
  <r>
    <x v="4"/>
    <n v="13.685600000000001"/>
    <n v="-89.181399999999996"/>
    <n v="622.91999999999996"/>
    <n v="0"/>
    <n v="0"/>
    <n v="105"/>
    <s v="_x0000_US"/>
  </r>
  <r>
    <x v="4"/>
    <n v="13.6869"/>
    <n v="-89.181299999999993"/>
    <n v="300.72000000000003"/>
    <n v="0"/>
    <n v="0"/>
    <n v="105"/>
    <s v="_x0000_US"/>
  </r>
  <r>
    <x v="4"/>
    <n v="13.694599999999999"/>
    <n v="-89.181299999999993"/>
    <n v="322.2"/>
    <n v="0"/>
    <n v="0"/>
    <n v="105"/>
    <s v="_x0000_US"/>
  </r>
  <r>
    <x v="4"/>
    <n v="13.687200000000001"/>
    <n v="-89.181299999999993"/>
    <n v="336.52"/>
    <n v="0"/>
    <n v="0"/>
    <n v="105"/>
    <s v="_x0000_US"/>
  </r>
  <r>
    <x v="4"/>
    <n v="13.6942"/>
    <n v="-89.181299999999993"/>
    <n v="365.16"/>
    <n v="0"/>
    <n v="0"/>
    <n v="105"/>
    <s v="_x0000_US"/>
  </r>
  <r>
    <x v="4"/>
    <n v="13.6953"/>
    <n v="-89.181299999999993"/>
    <n v="372.32"/>
    <n v="0"/>
    <n v="0"/>
    <n v="105"/>
    <s v="_x0000_US"/>
  </r>
  <r>
    <x v="4"/>
    <n v="13.692"/>
    <n v="-89.181200000000004"/>
    <n v="336.52"/>
    <n v="0"/>
    <n v="0"/>
    <n v="105"/>
    <s v="_x0000_US"/>
  </r>
  <r>
    <x v="4"/>
    <n v="13.689399999999999"/>
    <n v="-89.181200000000004"/>
    <n v="615.76"/>
    <n v="0"/>
    <n v="0"/>
    <n v="105"/>
    <s v="_x0000_US"/>
  </r>
  <r>
    <x v="4"/>
    <n v="13.690300000000001"/>
    <n v="-89.181100000000001"/>
    <n v="28.64"/>
    <n v="0"/>
    <n v="0"/>
    <n v="105"/>
    <s v="_x0000_US"/>
  </r>
  <r>
    <x v="4"/>
    <n v="13.6912"/>
    <n v="-89.181100000000001"/>
    <n v="50.12"/>
    <n v="0"/>
    <n v="0"/>
    <n v="105"/>
    <s v="_x0000_US"/>
  </r>
  <r>
    <x v="4"/>
    <n v="13.6912"/>
    <n v="-89.181100000000001"/>
    <n v="57.28"/>
    <n v="0"/>
    <n v="0"/>
    <n v="105"/>
    <s v="_x0000_US"/>
  </r>
  <r>
    <x v="4"/>
    <n v="13.690200000000001"/>
    <n v="-89.181100000000001"/>
    <n v="93.08"/>
    <n v="0"/>
    <n v="0"/>
    <n v="105"/>
    <s v="_x0000_US"/>
  </r>
  <r>
    <x v="4"/>
    <n v="13.690300000000001"/>
    <n v="-89.181100000000001"/>
    <n v="150.36000000000001"/>
    <n v="0"/>
    <n v="0"/>
    <n v="105"/>
    <s v="_x0000_US"/>
  </r>
  <r>
    <x v="4"/>
    <n v="13.6884"/>
    <n v="-89.181100000000001"/>
    <n v="415.28"/>
    <n v="0"/>
    <n v="0"/>
    <n v="105"/>
    <s v="_x0000_US"/>
  </r>
  <r>
    <x v="4"/>
    <n v="13.685700000000001"/>
    <n v="-89.181100000000001"/>
    <n v="601.44000000000005"/>
    <n v="0"/>
    <n v="0"/>
    <n v="105"/>
    <s v="_x0000_US"/>
  </r>
  <r>
    <x v="4"/>
    <n v="13.690799999999999"/>
    <n v="-89.181100000000001"/>
    <n v="622.91999999999996"/>
    <n v="0"/>
    <n v="0"/>
    <n v="105"/>
    <s v="_x0000_US"/>
  </r>
  <r>
    <x v="4"/>
    <n v="13.690300000000001"/>
    <n v="-89.180999999999997"/>
    <n v="107.4"/>
    <n v="0"/>
    <n v="0"/>
    <n v="105"/>
    <s v="_x0000_US"/>
  </r>
  <r>
    <x v="4"/>
    <n v="13.6911"/>
    <n v="-89.180999999999997"/>
    <n v="114.56"/>
    <n v="0"/>
    <n v="0"/>
    <n v="105"/>
    <s v="_x0000_US"/>
  </r>
  <r>
    <x v="4"/>
    <n v="13.6953"/>
    <n v="-89.180999999999997"/>
    <n v="179"/>
    <n v="0"/>
    <n v="0"/>
    <n v="105"/>
    <s v="_x0000_US"/>
  </r>
  <r>
    <x v="4"/>
    <n v="13.687099999999999"/>
    <n v="-89.180999999999997"/>
    <n v="236.28"/>
    <n v="0"/>
    <n v="0"/>
    <n v="105"/>
    <s v="_x0000_US"/>
  </r>
  <r>
    <x v="4"/>
    <n v="13.691599999999999"/>
    <n v="-89.180999999999997"/>
    <n v="544.16"/>
    <n v="0"/>
    <n v="0"/>
    <n v="105"/>
    <s v="_x0000_US"/>
  </r>
  <r>
    <x v="4"/>
    <n v="13.694100000000001"/>
    <n v="-89.180999999999997"/>
    <n v="569.84"/>
    <n v="0"/>
    <n v="0"/>
    <n v="105"/>
    <s v="_x0000_US"/>
  </r>
  <r>
    <x v="4"/>
    <n v="13.6867"/>
    <n v="-89.180999999999997"/>
    <n v="601.44000000000005"/>
    <n v="0"/>
    <n v="0"/>
    <n v="105"/>
    <s v="_x0000_US"/>
  </r>
  <r>
    <x v="4"/>
    <n v="13.691000000000001"/>
    <n v="-89.180899999999994"/>
    <n v="42.96"/>
    <n v="0"/>
    <n v="0"/>
    <n v="105"/>
    <s v="_x0000_US"/>
  </r>
  <r>
    <x v="4"/>
    <n v="13.6905"/>
    <n v="-89.180899999999994"/>
    <n v="350.84"/>
    <n v="0"/>
    <n v="0"/>
    <n v="105"/>
    <s v="_x0000_US"/>
  </r>
  <r>
    <x v="4"/>
    <n v="13.6876"/>
    <n v="-89.180899999999994"/>
    <n v="436.76"/>
    <n v="0"/>
    <n v="0"/>
    <n v="105"/>
    <s v="_x0000_US"/>
  </r>
  <r>
    <x v="4"/>
    <n v="13.692299999999999"/>
    <n v="-89.180899999999994"/>
    <n v="594.28"/>
    <n v="0"/>
    <n v="0"/>
    <n v="105"/>
    <s v="_x0000_US"/>
  </r>
  <r>
    <x v="4"/>
    <n v="13.6897"/>
    <n v="-89.180800000000005"/>
    <n v="279.24"/>
    <n v="0"/>
    <n v="0"/>
    <n v="105"/>
    <s v="_x0000_US"/>
  </r>
  <r>
    <x v="4"/>
    <n v="13.690899999999999"/>
    <n v="-89.180800000000005"/>
    <n v="307.88"/>
    <n v="0"/>
    <n v="0"/>
    <n v="105"/>
    <s v="_x0000_US"/>
  </r>
  <r>
    <x v="4"/>
    <n v="13.6912"/>
    <n v="-89.180800000000005"/>
    <n v="322.2"/>
    <n v="0"/>
    <n v="0"/>
    <n v="105"/>
    <s v="_x0000_US"/>
  </r>
  <r>
    <x v="4"/>
    <n v="13.6919"/>
    <n v="-89.180800000000005"/>
    <n v="350.84"/>
    <n v="0"/>
    <n v="0"/>
    <n v="105"/>
    <s v="_x0000_US"/>
  </r>
  <r>
    <x v="4"/>
    <n v="13.6875"/>
    <n v="-89.180800000000005"/>
    <n v="429.6"/>
    <n v="0"/>
    <n v="0"/>
    <n v="105"/>
    <s v="_x0000_US"/>
  </r>
  <r>
    <x v="4"/>
    <n v="13.689399999999999"/>
    <n v="-89.180800000000005"/>
    <n v="479.72"/>
    <n v="0"/>
    <n v="0"/>
    <n v="105"/>
    <s v="_x0000_US"/>
  </r>
  <r>
    <x v="4"/>
    <n v="13.694699999999999"/>
    <n v="-89.180800000000005"/>
    <n v="708.84"/>
    <n v="0"/>
    <n v="0"/>
    <n v="105"/>
    <s v="_x0000_US"/>
  </r>
  <r>
    <x v="4"/>
    <n v="13.693300000000001"/>
    <n v="-89.180800000000005"/>
    <n v="930.8"/>
    <n v="0"/>
    <n v="0"/>
    <n v="105"/>
    <s v="_x0000_US"/>
  </r>
  <r>
    <x v="4"/>
    <n v="13.6911"/>
    <n v="-89.180700000000002"/>
    <n v="221.96"/>
    <n v="0"/>
    <n v="0"/>
    <n v="105"/>
    <s v="_x0000_US"/>
  </r>
  <r>
    <x v="4"/>
    <n v="13.694000000000001"/>
    <n v="-89.180700000000002"/>
    <n v="236.28"/>
    <n v="0"/>
    <n v="0"/>
    <n v="105"/>
    <s v="_x0000_US"/>
  </r>
  <r>
    <x v="4"/>
    <n v="13.6907"/>
    <n v="-89.180700000000002"/>
    <n v="243.44"/>
    <n v="0"/>
    <n v="0"/>
    <n v="105"/>
    <s v="_x0000_US"/>
  </r>
  <r>
    <x v="4"/>
    <n v="13.6927"/>
    <n v="-89.180700000000002"/>
    <n v="350.84"/>
    <n v="0"/>
    <n v="0"/>
    <n v="105"/>
    <s v="_x0000_US"/>
  </r>
  <r>
    <x v="4"/>
    <n v="13.6859"/>
    <n v="-89.180700000000002"/>
    <n v="758.96"/>
    <n v="0"/>
    <n v="0"/>
    <n v="105"/>
    <s v="_x0000_US"/>
  </r>
  <r>
    <x v="4"/>
    <n v="13.6881"/>
    <n v="-89.180700000000002"/>
    <n v="816.24"/>
    <n v="0"/>
    <n v="0"/>
    <n v="105"/>
    <s v="_x0000_US"/>
  </r>
  <r>
    <x v="4"/>
    <n v="13.689"/>
    <n v="-89.180700000000002"/>
    <n v="1016.72"/>
    <n v="0"/>
    <n v="0"/>
    <n v="105"/>
    <s v="_x0000_US"/>
  </r>
  <r>
    <x v="4"/>
    <n v="13.686400000000001"/>
    <n v="-89.180599999999998"/>
    <n v="250.6"/>
    <n v="0"/>
    <n v="0"/>
    <n v="105"/>
    <s v="_x0000_US"/>
  </r>
  <r>
    <x v="4"/>
    <n v="13.6899"/>
    <n v="-89.180599999999998"/>
    <n v="415.28"/>
    <n v="0"/>
    <n v="0"/>
    <n v="105"/>
    <s v="_x0000_US"/>
  </r>
  <r>
    <x v="4"/>
    <n v="13.6914"/>
    <n v="-89.180599999999998"/>
    <n v="737.48"/>
    <n v="0"/>
    <n v="0"/>
    <n v="105"/>
    <s v="_x0000_US"/>
  </r>
  <r>
    <x v="4"/>
    <n v="13.6907"/>
    <n v="-89.180499999999995"/>
    <n v="42.96"/>
    <n v="0"/>
    <n v="0"/>
    <n v="105"/>
    <s v="_x0000_US"/>
  </r>
  <r>
    <x v="4"/>
    <n v="13.6866"/>
    <n v="-89.180499999999995"/>
    <n v="200.48"/>
    <n v="0"/>
    <n v="0"/>
    <n v="105"/>
    <s v="_x0000_US"/>
  </r>
  <r>
    <x v="4"/>
    <n v="13.692500000000001"/>
    <n v="-89.180499999999995"/>
    <n v="293.56"/>
    <n v="0"/>
    <n v="0"/>
    <n v="105"/>
    <s v="_x0000_US"/>
  </r>
  <r>
    <x v="4"/>
    <n v="13.6921"/>
    <n v="-89.180499999999995"/>
    <n v="293.56"/>
    <n v="0"/>
    <n v="0"/>
    <n v="105"/>
    <s v="_x0000_US"/>
  </r>
  <r>
    <x v="4"/>
    <n v="13.690899999999999"/>
    <n v="-89.180499999999995"/>
    <n v="300.72000000000003"/>
    <n v="0"/>
    <n v="0"/>
    <n v="105"/>
    <s v="_x0000_US"/>
  </r>
  <r>
    <x v="4"/>
    <n v="13.6896"/>
    <n v="-89.180499999999995"/>
    <n v="315.04000000000002"/>
    <n v="0"/>
    <n v="0"/>
    <n v="105"/>
    <s v="_x0000_US"/>
  </r>
  <r>
    <x v="4"/>
    <n v="13.687099999999999"/>
    <n v="-89.180499999999995"/>
    <n v="372.32"/>
    <n v="0"/>
    <n v="0"/>
    <n v="105"/>
    <s v="_x0000_US"/>
  </r>
  <r>
    <x v="4"/>
    <n v="13.6943"/>
    <n v="-89.180499999999995"/>
    <n v="469.28"/>
    <n v="0"/>
    <n v="0"/>
    <n v="105"/>
    <s v="_x0000_US"/>
  </r>
  <r>
    <x v="4"/>
    <n v="13.6876"/>
    <n v="-89.180499999999995"/>
    <n v="501.2"/>
    <n v="0"/>
    <n v="0"/>
    <n v="105"/>
    <s v="_x0000_US"/>
  </r>
  <r>
    <x v="4"/>
    <n v="13.691000000000001"/>
    <n v="-89.180400000000006"/>
    <n v="315.04000000000002"/>
    <n v="0"/>
    <n v="0"/>
    <n v="105"/>
    <s v="_x0000_US"/>
  </r>
  <r>
    <x v="4"/>
    <n v="13.6929"/>
    <n v="-89.180400000000006"/>
    <n v="451.08"/>
    <n v="0"/>
    <n v="0"/>
    <n v="105"/>
    <s v="_x0000_US"/>
  </r>
  <r>
    <x v="4"/>
    <n v="13.6937"/>
    <n v="-89.180400000000006"/>
    <n v="601.44000000000005"/>
    <n v="0"/>
    <n v="0"/>
    <n v="105"/>
    <s v="_x0000_US"/>
  </r>
  <r>
    <x v="4"/>
    <n v="13.687099999999999"/>
    <n v="-89.180300000000003"/>
    <n v="150.36000000000001"/>
    <n v="0"/>
    <n v="0"/>
    <n v="105"/>
    <s v="_x0000_US"/>
  </r>
  <r>
    <x v="4"/>
    <n v="13.688599999999999"/>
    <n v="-89.180300000000003"/>
    <n v="229.12"/>
    <n v="0"/>
    <n v="0"/>
    <n v="105"/>
    <s v="_x0000_US"/>
  </r>
  <r>
    <x v="4"/>
    <n v="13.690099999999999"/>
    <n v="-89.180300000000003"/>
    <n v="307.88"/>
    <n v="0"/>
    <n v="0"/>
    <n v="105"/>
    <s v="_x0000_US"/>
  </r>
  <r>
    <x v="4"/>
    <n v="13.6869"/>
    <n v="-89.180300000000003"/>
    <n v="365.16"/>
    <n v="0"/>
    <n v="0"/>
    <n v="105"/>
    <s v="_x0000_US"/>
  </r>
  <r>
    <x v="4"/>
    <n v="13.6874"/>
    <n v="-89.180300000000003"/>
    <n v="372.32"/>
    <n v="0"/>
    <n v="0"/>
    <n v="105"/>
    <s v="_x0000_US"/>
  </r>
  <r>
    <x v="4"/>
    <n v="13.686299999999999"/>
    <n v="-89.180300000000003"/>
    <n v="615.76"/>
    <n v="0"/>
    <n v="0"/>
    <n v="105"/>
    <s v="_x0000_US"/>
  </r>
  <r>
    <x v="4"/>
    <n v="13.688700000000001"/>
    <n v="-89.180199999999999"/>
    <n v="93.08"/>
    <n v="0"/>
    <n v="0"/>
    <n v="105"/>
    <s v="_x0000_US"/>
  </r>
  <r>
    <x v="4"/>
    <n v="13.687099999999999"/>
    <n v="-89.180199999999999"/>
    <n v="114.56"/>
    <n v="0"/>
    <n v="0"/>
    <n v="105"/>
    <s v="_x0000_US"/>
  </r>
  <r>
    <x v="4"/>
    <n v="13.690799999999999"/>
    <n v="-89.180199999999999"/>
    <n v="143.19999999999999"/>
    <n v="0"/>
    <n v="0"/>
    <n v="105"/>
    <s v="_x0000_US"/>
  </r>
  <r>
    <x v="4"/>
    <n v="13.692600000000001"/>
    <n v="-89.180199999999999"/>
    <n v="372.32"/>
    <n v="0"/>
    <n v="0"/>
    <n v="105"/>
    <s v="_x0000_US"/>
  </r>
  <r>
    <x v="4"/>
    <n v="13.6912"/>
    <n v="-89.180199999999999"/>
    <n v="372.32"/>
    <n v="0"/>
    <n v="0"/>
    <n v="105"/>
    <s v="_x0000_US"/>
  </r>
  <r>
    <x v="4"/>
    <n v="13.6898"/>
    <n v="-89.180199999999999"/>
    <n v="408.12"/>
    <n v="0"/>
    <n v="0"/>
    <n v="105"/>
    <s v="_x0000_US"/>
  </r>
  <r>
    <x v="4"/>
    <n v="13.6922"/>
    <n v="-89.180199999999999"/>
    <n v="479.72"/>
    <n v="0"/>
    <n v="0"/>
    <n v="105"/>
    <s v="_x0000_US"/>
  </r>
  <r>
    <x v="4"/>
    <n v="13.6883"/>
    <n v="-89.180099999999996"/>
    <n v="21.48"/>
    <n v="0"/>
    <n v="0"/>
    <n v="105"/>
    <s v="_x0000_US"/>
  </r>
  <r>
    <x v="4"/>
    <n v="13.6882"/>
    <n v="-89.180099999999996"/>
    <n v="28.64"/>
    <n v="0"/>
    <n v="0"/>
    <n v="105"/>
    <s v="_x0000_US"/>
  </r>
  <r>
    <x v="4"/>
    <n v="13.6881"/>
    <n v="-89.180099999999996"/>
    <n v="85.92"/>
    <n v="0"/>
    <n v="0"/>
    <n v="105"/>
    <s v="_x0000_US"/>
  </r>
  <r>
    <x v="4"/>
    <n v="13.6882"/>
    <n v="-89.180099999999996"/>
    <n v="150.36000000000001"/>
    <n v="0"/>
    <n v="0"/>
    <n v="105"/>
    <s v="_x0000_US"/>
  </r>
  <r>
    <x v="4"/>
    <n v="13.688800000000001"/>
    <n v="-89.180099999999996"/>
    <n v="186.16"/>
    <n v="0"/>
    <n v="0"/>
    <n v="105"/>
    <s v="_x0000_US"/>
  </r>
  <r>
    <x v="4"/>
    <n v="13.6867"/>
    <n v="-89.180099999999996"/>
    <n v="250.6"/>
    <n v="0"/>
    <n v="0"/>
    <n v="105"/>
    <s v="_x0000_US"/>
  </r>
  <r>
    <x v="4"/>
    <n v="13.6892"/>
    <n v="-89.180099999999996"/>
    <n v="322.2"/>
    <n v="0"/>
    <n v="0"/>
    <n v="105"/>
    <s v="_x0000_US"/>
  </r>
  <r>
    <x v="4"/>
    <n v="13.689500000000001"/>
    <n v="-89.180099999999996"/>
    <n v="336.52"/>
    <n v="0"/>
    <n v="0"/>
    <n v="105"/>
    <s v="_x0000_US"/>
  </r>
  <r>
    <x v="4"/>
    <n v="13.687799999999999"/>
    <n v="-89.180099999999996"/>
    <n v="408.12"/>
    <n v="0"/>
    <n v="0"/>
    <n v="105"/>
    <s v="_x0000_US"/>
  </r>
  <r>
    <x v="4"/>
    <n v="13.693199999999999"/>
    <n v="-89.180099999999996"/>
    <n v="486.88"/>
    <n v="0"/>
    <n v="0"/>
    <n v="105"/>
    <s v="_x0000_US"/>
  </r>
  <r>
    <x v="4"/>
    <n v="13.6919"/>
    <n v="-89.180099999999996"/>
    <n v="687.36"/>
    <n v="0"/>
    <n v="0"/>
    <n v="105"/>
    <s v="_x0000_US"/>
  </r>
  <r>
    <x v="4"/>
    <n v="13.6881"/>
    <n v="-89.18"/>
    <n v="107.4"/>
    <n v="0"/>
    <n v="0"/>
    <n v="105"/>
    <s v="_x0000_US"/>
  </r>
  <r>
    <x v="4"/>
    <n v="13.6934"/>
    <n v="-89.18"/>
    <n v="143.19999999999999"/>
    <n v="0"/>
    <n v="0"/>
    <n v="105"/>
    <s v="_x0000_US"/>
  </r>
  <r>
    <x v="4"/>
    <n v="13.693099999999999"/>
    <n v="-89.18"/>
    <n v="143.19999999999999"/>
    <n v="0"/>
    <n v="0"/>
    <n v="105"/>
    <s v="_x0000_US"/>
  </r>
  <r>
    <x v="4"/>
    <n v="13.6929"/>
    <n v="-89.18"/>
    <n v="171.84"/>
    <n v="0"/>
    <n v="0"/>
    <n v="105"/>
    <s v="_x0000_US"/>
  </r>
  <r>
    <x v="4"/>
    <n v="13.689"/>
    <n v="-89.18"/>
    <n v="214.8"/>
    <n v="0"/>
    <n v="0"/>
    <n v="105"/>
    <s v="_x0000_US"/>
  </r>
  <r>
    <x v="4"/>
    <n v="13.6927"/>
    <n v="-89.18"/>
    <n v="243.44"/>
    <n v="0"/>
    <n v="0"/>
    <n v="105"/>
    <s v="_x0000_US"/>
  </r>
  <r>
    <x v="4"/>
    <n v="13.690300000000001"/>
    <n v="-89.18"/>
    <n v="458.24"/>
    <n v="0"/>
    <n v="0"/>
    <n v="105"/>
    <s v="_x0000_US"/>
  </r>
  <r>
    <x v="4"/>
    <n v="13.689500000000001"/>
    <n v="-89.179900000000004"/>
    <n v="57.28"/>
    <n v="0"/>
    <n v="0"/>
    <n v="105"/>
    <s v="_x0000_US"/>
  </r>
  <r>
    <x v="4"/>
    <n v="13.693300000000001"/>
    <n v="-89.179900000000004"/>
    <n v="143.19999999999999"/>
    <n v="0"/>
    <n v="0"/>
    <n v="105"/>
    <s v="_x0000_US"/>
  </r>
  <r>
    <x v="4"/>
    <n v="13.693"/>
    <n v="-89.179900000000004"/>
    <n v="164.68"/>
    <n v="0"/>
    <n v="0"/>
    <n v="105"/>
    <s v="_x0000_US"/>
  </r>
  <r>
    <x v="4"/>
    <n v="13.689399999999999"/>
    <n v="-89.179900000000004"/>
    <n v="286.39999999999998"/>
    <n v="0"/>
    <n v="0"/>
    <n v="105"/>
    <s v="_x0000_US"/>
  </r>
  <r>
    <x v="4"/>
    <n v="13.6868"/>
    <n v="-89.179900000000004"/>
    <n v="300.72000000000003"/>
    <n v="0"/>
    <n v="0"/>
    <n v="105"/>
    <s v="_x0000_US"/>
  </r>
  <r>
    <x v="4"/>
    <n v="13.688499999999999"/>
    <n v="-89.179900000000004"/>
    <n v="386.64"/>
    <n v="0"/>
    <n v="0"/>
    <n v="105"/>
    <s v="_x0000_US"/>
  </r>
  <r>
    <x v="4"/>
    <n v="13.686999999999999"/>
    <n v="-89.179900000000004"/>
    <n v="558.48"/>
    <n v="0"/>
    <n v="0"/>
    <n v="105"/>
    <s v="_x0000_US"/>
  </r>
  <r>
    <x v="4"/>
    <n v="13.692299999999999"/>
    <n v="-89.1798"/>
    <n v="221.96"/>
    <n v="0"/>
    <n v="0"/>
    <n v="105"/>
    <s v="_x0000_US"/>
  </r>
  <r>
    <x v="4"/>
    <n v="13.692600000000001"/>
    <n v="-89.1798"/>
    <n v="272.08"/>
    <n v="0"/>
    <n v="0"/>
    <n v="105"/>
    <s v="_x0000_US"/>
  </r>
  <r>
    <x v="4"/>
    <n v="13.6913"/>
    <n v="-89.1798"/>
    <n v="436.76"/>
    <n v="0"/>
    <n v="0"/>
    <n v="105"/>
    <s v="_x0000_US"/>
  </r>
  <r>
    <x v="4"/>
    <n v="13.6873"/>
    <n v="-89.179699999999997"/>
    <n v="243.44"/>
    <n v="0"/>
    <n v="0"/>
    <n v="105"/>
    <s v="_x0000_US"/>
  </r>
  <r>
    <x v="4"/>
    <n v="13.691000000000001"/>
    <n v="-89.179699999999997"/>
    <n v="379.48"/>
    <n v="0"/>
    <n v="0"/>
    <n v="105"/>
    <s v="_x0000_US"/>
  </r>
  <r>
    <x v="4"/>
    <n v="13.6881"/>
    <n v="-89.179699999999997"/>
    <n v="472.56"/>
    <n v="0"/>
    <n v="0"/>
    <n v="105"/>
    <s v="_x0000_US"/>
  </r>
  <r>
    <x v="4"/>
    <n v="13.686500000000001"/>
    <n v="-89.179699999999997"/>
    <n v="673.04"/>
    <n v="0"/>
    <n v="0"/>
    <n v="105"/>
    <s v="_x0000_US"/>
  </r>
  <r>
    <x v="4"/>
    <n v="13.6899"/>
    <n v="-89.179699999999997"/>
    <n v="773.28"/>
    <n v="0"/>
    <n v="0"/>
    <n v="105"/>
    <s v="_x0000_US"/>
  </r>
  <r>
    <x v="4"/>
    <n v="13.692600000000001"/>
    <n v="-89.179599999999994"/>
    <n v="200.48"/>
    <n v="0"/>
    <n v="0"/>
    <n v="105"/>
    <s v="_x0000_US"/>
  </r>
  <r>
    <x v="4"/>
    <n v="13.689399999999999"/>
    <n v="-89.179599999999994"/>
    <n v="365.16"/>
    <n v="0"/>
    <n v="0"/>
    <n v="105"/>
    <s v="_x0000_US"/>
  </r>
  <r>
    <x v="4"/>
    <n v="13.6922"/>
    <n v="-89.179599999999994"/>
    <n v="386.64"/>
    <n v="0"/>
    <n v="0"/>
    <n v="105"/>
    <s v="_x0000_US"/>
  </r>
  <r>
    <x v="4"/>
    <n v="13.687200000000001"/>
    <n v="-89.179500000000004"/>
    <n v="21.48"/>
    <n v="0"/>
    <n v="0"/>
    <n v="105"/>
    <s v="_x0000_US"/>
  </r>
  <r>
    <x v="4"/>
    <n v="13.691800000000001"/>
    <n v="-89.179500000000004"/>
    <n v="85.92"/>
    <n v="0"/>
    <n v="0"/>
    <n v="105"/>
    <s v="_x0000_US"/>
  </r>
  <r>
    <x v="4"/>
    <n v="13.6928"/>
    <n v="-89.179500000000004"/>
    <n v="300.72000000000003"/>
    <n v="0"/>
    <n v="0"/>
    <n v="105"/>
    <s v="_x0000_US"/>
  </r>
  <r>
    <x v="4"/>
    <n v="13.6868"/>
    <n v="-89.179500000000004"/>
    <n v="350.84"/>
    <n v="0"/>
    <n v="0"/>
    <n v="105"/>
    <s v="_x0000_US"/>
  </r>
  <r>
    <x v="4"/>
    <n v="13.6876"/>
    <n v="-89.179500000000004"/>
    <n v="544.16"/>
    <n v="0"/>
    <n v="0"/>
    <n v="105"/>
    <s v="_x0000_US"/>
  </r>
  <r>
    <x v="4"/>
    <n v="13.6883"/>
    <n v="-89.179500000000004"/>
    <n v="615.76"/>
    <n v="0"/>
    <n v="0"/>
    <n v="105"/>
    <s v="_x0000_US"/>
  </r>
  <r>
    <x v="4"/>
    <n v="13.691800000000001"/>
    <n v="-89.179400000000001"/>
    <n v="114.56"/>
    <n v="0"/>
    <n v="0"/>
    <n v="105"/>
    <s v="_x0000_US"/>
  </r>
  <r>
    <x v="4"/>
    <n v="13.691599999999999"/>
    <n v="-89.179400000000001"/>
    <n v="307.88"/>
    <n v="0"/>
    <n v="0"/>
    <n v="105"/>
    <s v="_x0000_US"/>
  </r>
  <r>
    <x v="4"/>
    <n v="13.6874"/>
    <n v="-89.179400000000001"/>
    <n v="322.2"/>
    <n v="0"/>
    <n v="0"/>
    <n v="105"/>
    <s v="_x0000_US"/>
  </r>
  <r>
    <x v="4"/>
    <n v="13.693099999999999"/>
    <n v="-89.179400000000001"/>
    <n v="837.72"/>
    <n v="0"/>
    <n v="0"/>
    <n v="105"/>
    <s v="_x0000_US"/>
  </r>
  <r>
    <x v="4"/>
    <n v="13.688700000000001"/>
    <n v="-89.179400000000001"/>
    <n v="988.08"/>
    <n v="0"/>
    <n v="0"/>
    <n v="105"/>
    <s v="_x0000_US"/>
  </r>
  <r>
    <x v="4"/>
    <n v="13.689299999999999"/>
    <n v="-89.179299999999998"/>
    <n v="57.28"/>
    <n v="0"/>
    <n v="0"/>
    <n v="105"/>
    <s v="_x0000_US"/>
  </r>
  <r>
    <x v="4"/>
    <n v="13.689"/>
    <n v="-89.179299999999998"/>
    <n v="272.08"/>
    <n v="0"/>
    <n v="0"/>
    <n v="105"/>
    <s v="_x0000_US"/>
  </r>
  <r>
    <x v="4"/>
    <n v="13.6927"/>
    <n v="-89.179299999999998"/>
    <n v="293.56"/>
    <n v="0"/>
    <n v="0"/>
    <n v="105"/>
    <s v="_x0000_US"/>
  </r>
  <r>
    <x v="4"/>
    <n v="13.6913"/>
    <n v="-89.179299999999998"/>
    <n v="429.6"/>
    <n v="0"/>
    <n v="0"/>
    <n v="105"/>
    <s v="_x0000_US"/>
  </r>
  <r>
    <x v="4"/>
    <n v="13.693300000000001"/>
    <n v="-89.179299999999998"/>
    <n v="1009.56"/>
    <n v="0"/>
    <n v="0"/>
    <n v="105"/>
    <s v="_x0000_US"/>
  </r>
  <r>
    <x v="4"/>
    <n v="13.689299999999999"/>
    <n v="-89.179199999999994"/>
    <n v="157.52000000000001"/>
    <n v="0"/>
    <n v="0"/>
    <n v="105"/>
    <s v="_x0000_US"/>
  </r>
  <r>
    <x v="4"/>
    <n v="13.691599999999999"/>
    <n v="-89.179199999999994"/>
    <n v="243.44"/>
    <n v="0"/>
    <n v="0"/>
    <n v="105"/>
    <s v="_x0000_US"/>
  </r>
  <r>
    <x v="4"/>
    <n v="13.6942"/>
    <n v="-89.179199999999994"/>
    <n v="264.92"/>
    <n v="0"/>
    <n v="0"/>
    <n v="105"/>
    <s v="_x0000_US"/>
  </r>
  <r>
    <x v="4"/>
    <n v="13.6929"/>
    <n v="-89.179199999999994"/>
    <n v="264.92"/>
    <n v="0"/>
    <n v="0"/>
    <n v="105"/>
    <s v="_x0000_US"/>
  </r>
  <r>
    <x v="4"/>
    <n v="13.691000000000001"/>
    <n v="-89.179199999999994"/>
    <n v="386.64"/>
    <n v="0"/>
    <n v="0"/>
    <n v="105"/>
    <s v="_x0000_US"/>
  </r>
  <r>
    <x v="4"/>
    <n v="13.6897"/>
    <n v="-89.179199999999994"/>
    <n v="587.12"/>
    <n v="0"/>
    <n v="0"/>
    <n v="105"/>
    <s v="_x0000_US"/>
  </r>
  <r>
    <x v="4"/>
    <n v="13.691800000000001"/>
    <n v="-89.179100000000005"/>
    <n v="264.92"/>
    <n v="0"/>
    <n v="0"/>
    <n v="105"/>
    <s v="_x0000_US"/>
  </r>
  <r>
    <x v="4"/>
    <n v="13.6927"/>
    <n v="-89.179100000000005"/>
    <n v="272.08"/>
    <n v="0"/>
    <n v="0"/>
    <n v="105"/>
    <s v="_x0000_US"/>
  </r>
  <r>
    <x v="4"/>
    <n v="13.687900000000001"/>
    <n v="-89.179100000000005"/>
    <n v="408.12"/>
    <n v="0"/>
    <n v="0"/>
    <n v="105"/>
    <s v="_x0000_US"/>
  </r>
  <r>
    <x v="4"/>
    <n v="13.6929"/>
    <n v="-89.179000000000002"/>
    <n v="21.48"/>
    <n v="0"/>
    <n v="0"/>
    <n v="105"/>
    <s v="_x0000_US"/>
  </r>
  <r>
    <x v="4"/>
    <n v="13.6912"/>
    <n v="-89.179000000000002"/>
    <n v="71.599999999999994"/>
    <n v="0"/>
    <n v="0"/>
    <n v="105"/>
    <s v="_x0000_US"/>
  </r>
  <r>
    <x v="4"/>
    <n v="13.6915"/>
    <n v="-89.179000000000002"/>
    <n v="207.64"/>
    <n v="0"/>
    <n v="0"/>
    <n v="105"/>
    <s v="_x0000_US"/>
  </r>
  <r>
    <x v="4"/>
    <n v="13.6891"/>
    <n v="-89.179000000000002"/>
    <n v="293.56"/>
    <n v="0"/>
    <n v="0"/>
    <n v="105"/>
    <s v="_x0000_US"/>
  </r>
  <r>
    <x v="4"/>
    <n v="13.6873"/>
    <n v="-89.179000000000002"/>
    <n v="293.56"/>
    <n v="0"/>
    <n v="0"/>
    <n v="105"/>
    <s v="_x0000_US"/>
  </r>
  <r>
    <x v="4"/>
    <n v="13.6875"/>
    <n v="-89.179000000000002"/>
    <n v="300.72000000000003"/>
    <n v="0"/>
    <n v="0"/>
    <n v="105"/>
    <s v="_x0000_US"/>
  </r>
  <r>
    <x v="4"/>
    <n v="13.6915"/>
    <n v="-89.178899999999999"/>
    <n v="35.799999999999997"/>
    <n v="0"/>
    <n v="0"/>
    <n v="105"/>
    <s v="_x0000_US"/>
  </r>
  <r>
    <x v="4"/>
    <n v="13.6914"/>
    <n v="-89.178899999999999"/>
    <n v="50.12"/>
    <n v="0"/>
    <n v="0"/>
    <n v="105"/>
    <s v="_x0000_US"/>
  </r>
  <r>
    <x v="4"/>
    <n v="13.6912"/>
    <n v="-89.178899999999999"/>
    <n v="100.24"/>
    <n v="0"/>
    <n v="0"/>
    <n v="105"/>
    <s v="_x0000_US"/>
  </r>
  <r>
    <x v="4"/>
    <n v="13.6929"/>
    <n v="-89.178899999999999"/>
    <n v="128.88"/>
    <n v="0"/>
    <n v="0"/>
    <n v="105"/>
    <s v="_x0000_US"/>
  </r>
  <r>
    <x v="4"/>
    <n v="13.6914"/>
    <n v="-89.178899999999999"/>
    <n v="143.19999999999999"/>
    <n v="0"/>
    <n v="0"/>
    <n v="105"/>
    <s v="_x0000_US"/>
  </r>
  <r>
    <x v="4"/>
    <n v="13.691599999999999"/>
    <n v="-89.178899999999999"/>
    <n v="157.52000000000001"/>
    <n v="0"/>
    <n v="0"/>
    <n v="105"/>
    <s v="_x0000_US"/>
  </r>
  <r>
    <x v="4"/>
    <n v="13.6919"/>
    <n v="-89.178899999999999"/>
    <n v="264.92"/>
    <n v="0"/>
    <n v="0"/>
    <n v="105"/>
    <s v="_x0000_US"/>
  </r>
  <r>
    <x v="4"/>
    <n v="13.689299999999999"/>
    <n v="-89.178899999999999"/>
    <n v="279.24"/>
    <n v="0"/>
    <n v="0"/>
    <n v="105"/>
    <s v="_x0000_US"/>
  </r>
  <r>
    <x v="4"/>
    <n v="13.6881"/>
    <n v="-89.178899999999999"/>
    <n v="300.72000000000003"/>
    <n v="0"/>
    <n v="0"/>
    <n v="105"/>
    <s v="_x0000_US"/>
  </r>
  <r>
    <x v="4"/>
    <n v="13.694100000000001"/>
    <n v="-89.178899999999999"/>
    <n v="307.88"/>
    <n v="0"/>
    <n v="0"/>
    <n v="105"/>
    <s v="_x0000_US"/>
  </r>
  <r>
    <x v="4"/>
    <n v="13.6938"/>
    <n v="-89.178899999999999"/>
    <n v="737.48"/>
    <n v="0"/>
    <n v="0"/>
    <n v="105"/>
    <s v="_x0000_US"/>
  </r>
  <r>
    <x v="4"/>
    <n v="13.6905"/>
    <n v="-89.178899999999999"/>
    <n v="11814"/>
    <n v="0"/>
    <n v="0"/>
    <n v="105"/>
    <s v="_x0000_US"/>
  </r>
  <r>
    <x v="4"/>
    <n v="13.691700000000001"/>
    <n v="-89.178799999999995"/>
    <n v="71.599999999999994"/>
    <n v="0"/>
    <n v="0"/>
    <n v="105"/>
    <s v="_x0000_US"/>
  </r>
  <r>
    <x v="4"/>
    <n v="13.691599999999999"/>
    <n v="-89.178799999999995"/>
    <n v="78.760000000000005"/>
    <n v="0"/>
    <n v="0"/>
    <n v="105"/>
    <s v="_x0000_US"/>
  </r>
  <r>
    <x v="4"/>
    <n v="13.6912"/>
    <n v="-89.178799999999995"/>
    <n v="143.19999999999999"/>
    <n v="0"/>
    <n v="0"/>
    <n v="105"/>
    <s v="_x0000_US"/>
  </r>
  <r>
    <x v="4"/>
    <n v="13.688700000000001"/>
    <n v="-89.178799999999995"/>
    <n v="179"/>
    <n v="0"/>
    <n v="0"/>
    <n v="105"/>
    <s v="_x0000_US"/>
  </r>
  <r>
    <x v="4"/>
    <n v="13.6914"/>
    <n v="-89.178799999999995"/>
    <n v="179"/>
    <n v="0"/>
    <n v="0"/>
    <n v="105"/>
    <s v="_x0000_US"/>
  </r>
  <r>
    <x v="4"/>
    <n v="13.6889"/>
    <n v="-89.178799999999995"/>
    <n v="186.16"/>
    <n v="0"/>
    <n v="0"/>
    <n v="105"/>
    <s v="_x0000_US"/>
  </r>
  <r>
    <x v="4"/>
    <n v="13.6915"/>
    <n v="-89.178799999999995"/>
    <n v="214.8"/>
    <n v="0"/>
    <n v="0"/>
    <n v="105"/>
    <s v="_x0000_US"/>
  </r>
  <r>
    <x v="4"/>
    <n v="13.687799999999999"/>
    <n v="-89.178799999999995"/>
    <n v="286.39999999999998"/>
    <n v="0"/>
    <n v="0"/>
    <n v="105"/>
    <s v="_x0000_US"/>
  </r>
  <r>
    <x v="4"/>
    <n v="13.6928"/>
    <n v="-89.178799999999995"/>
    <n v="307.88"/>
    <n v="0"/>
    <n v="0"/>
    <n v="105"/>
    <s v="_x0000_US"/>
  </r>
  <r>
    <x v="4"/>
    <n v="13.692299999999999"/>
    <n v="-89.178799999999995"/>
    <n v="694.52"/>
    <n v="0"/>
    <n v="0"/>
    <n v="105"/>
    <s v="_x0000_US"/>
  </r>
  <r>
    <x v="4"/>
    <n v="13.691800000000001"/>
    <n v="-89.178700000000006"/>
    <n v="35.799999999999997"/>
    <n v="0"/>
    <n v="0"/>
    <n v="105"/>
    <s v="_x0000_US"/>
  </r>
  <r>
    <x v="4"/>
    <n v="13.6914"/>
    <n v="-89.178700000000006"/>
    <n v="50.12"/>
    <n v="0"/>
    <n v="0"/>
    <n v="105"/>
    <s v="_x0000_US"/>
  </r>
  <r>
    <x v="4"/>
    <n v="13.6914"/>
    <n v="-89.178700000000006"/>
    <n v="57.28"/>
    <n v="0"/>
    <n v="0"/>
    <n v="105"/>
    <s v="_x0000_US"/>
  </r>
  <r>
    <x v="4"/>
    <n v="13.691800000000001"/>
    <n v="-89.178700000000006"/>
    <n v="64.44"/>
    <n v="0"/>
    <n v="0"/>
    <n v="105"/>
    <s v="_x0000_US"/>
  </r>
  <r>
    <x v="4"/>
    <n v="13.691700000000001"/>
    <n v="-89.178700000000006"/>
    <n v="71.599999999999994"/>
    <n v="0"/>
    <n v="0"/>
    <n v="105"/>
    <s v="_x0000_US"/>
  </r>
  <r>
    <x v="4"/>
    <n v="13.692"/>
    <n v="-89.178700000000006"/>
    <n v="71.599999999999994"/>
    <n v="0"/>
    <n v="0"/>
    <n v="105"/>
    <s v="_x0000_US"/>
  </r>
  <r>
    <x v="4"/>
    <n v="13.6913"/>
    <n v="-89.178700000000006"/>
    <n v="78.760000000000005"/>
    <n v="0"/>
    <n v="0"/>
    <n v="105"/>
    <s v="_x0000_US"/>
  </r>
  <r>
    <x v="4"/>
    <n v="13.6921"/>
    <n v="-89.178700000000006"/>
    <n v="93.08"/>
    <n v="0"/>
    <n v="0"/>
    <n v="105"/>
    <s v="_x0000_US"/>
  </r>
  <r>
    <x v="4"/>
    <n v="13.6922"/>
    <n v="-89.178700000000006"/>
    <n v="107.4"/>
    <n v="0"/>
    <n v="0"/>
    <n v="105"/>
    <s v="_x0000_US"/>
  </r>
  <r>
    <x v="4"/>
    <n v="13.689500000000001"/>
    <n v="-89.178700000000006"/>
    <n v="264.92"/>
    <n v="0"/>
    <n v="0"/>
    <n v="105"/>
    <s v="_x0000_US"/>
  </r>
  <r>
    <x v="4"/>
    <n v="13.690799999999999"/>
    <n v="-89.178700000000006"/>
    <n v="787.6"/>
    <n v="0"/>
    <n v="0"/>
    <n v="105"/>
    <s v="_x0000_US"/>
  </r>
  <r>
    <x v="4"/>
    <n v="13.6922"/>
    <n v="-89.178600000000003"/>
    <n v="42.96"/>
    <n v="0"/>
    <n v="0"/>
    <n v="105"/>
    <s v="_x0000_US"/>
  </r>
  <r>
    <x v="4"/>
    <n v="13.6913"/>
    <n v="-89.178600000000003"/>
    <n v="100.24"/>
    <n v="0"/>
    <n v="0"/>
    <n v="105"/>
    <s v="_x0000_US"/>
  </r>
  <r>
    <x v="4"/>
    <n v="13.692299999999999"/>
    <n v="-89.178600000000003"/>
    <n v="114.56"/>
    <n v="0"/>
    <n v="0"/>
    <n v="105"/>
    <s v="_x0000_US"/>
  </r>
  <r>
    <x v="4"/>
    <n v="13.6928"/>
    <n v="-89.178600000000003"/>
    <n v="121.72"/>
    <n v="0"/>
    <n v="0"/>
    <n v="105"/>
    <s v="_x0000_US"/>
  </r>
  <r>
    <x v="4"/>
    <n v="13.6944"/>
    <n v="-89.178600000000003"/>
    <n v="150.84"/>
    <n v="0"/>
    <n v="0"/>
    <n v="105"/>
    <s v="_x0000_US"/>
  </r>
  <r>
    <x v="4"/>
    <n v="13.691800000000001"/>
    <n v="-89.178600000000003"/>
    <n v="171.84"/>
    <n v="0"/>
    <n v="0"/>
    <n v="105"/>
    <s v="_x0000_US"/>
  </r>
  <r>
    <x v="4"/>
    <n v="13.692"/>
    <n v="-89.178600000000003"/>
    <n v="207.64"/>
    <n v="0"/>
    <n v="0"/>
    <n v="105"/>
    <s v="_x0000_US"/>
  </r>
  <r>
    <x v="4"/>
    <n v="13.6922"/>
    <n v="-89.178600000000003"/>
    <n v="214.8"/>
    <n v="0"/>
    <n v="0"/>
    <n v="105"/>
    <s v="_x0000_US"/>
  </r>
  <r>
    <x v="4"/>
    <n v="13.689399999999999"/>
    <n v="-89.178600000000003"/>
    <n v="279.24"/>
    <n v="0"/>
    <n v="0"/>
    <n v="105"/>
    <s v="_x0000_US"/>
  </r>
  <r>
    <x v="4"/>
    <n v="13.691700000000001"/>
    <n v="-89.178600000000003"/>
    <n v="350.84"/>
    <n v="0"/>
    <n v="0"/>
    <n v="105"/>
    <s v="_x0000_US"/>
  </r>
  <r>
    <x v="4"/>
    <n v="13.6934"/>
    <n v="-89.178600000000003"/>
    <n v="400.96"/>
    <n v="0"/>
    <n v="0"/>
    <n v="105"/>
    <s v="_x0000_US"/>
  </r>
  <r>
    <x v="4"/>
    <n v="13.6919"/>
    <n v="-89.1785"/>
    <n v="28.64"/>
    <n v="0"/>
    <n v="0"/>
    <n v="105"/>
    <s v="_x0000_US"/>
  </r>
  <r>
    <x v="4"/>
    <n v="13.6919"/>
    <n v="-89.1785"/>
    <n v="35.799999999999997"/>
    <n v="0"/>
    <n v="0"/>
    <n v="105"/>
    <s v="_x0000_US"/>
  </r>
  <r>
    <x v="4"/>
    <n v="13.693099999999999"/>
    <n v="-89.1785"/>
    <n v="279.24"/>
    <n v="0"/>
    <n v="0"/>
    <n v="105"/>
    <s v="_x0000_US"/>
  </r>
  <r>
    <x v="4"/>
    <n v="13.688700000000001"/>
    <n v="-89.1785"/>
    <n v="307.88"/>
    <n v="0"/>
    <n v="0"/>
    <n v="105"/>
    <s v="_x0000_US"/>
  </r>
  <r>
    <x v="4"/>
    <n v="13.689"/>
    <n v="-89.1785"/>
    <n v="400.96"/>
    <n v="0"/>
    <n v="0"/>
    <n v="105"/>
    <s v="_x0000_US"/>
  </r>
  <r>
    <x v="4"/>
    <n v="13.6875"/>
    <n v="-89.1785"/>
    <n v="465.4"/>
    <n v="0"/>
    <n v="0"/>
    <n v="105"/>
    <s v="_x0000_US"/>
  </r>
  <r>
    <x v="4"/>
    <n v="13.694000000000001"/>
    <n v="-89.1785"/>
    <n v="544.16"/>
    <n v="0"/>
    <n v="0"/>
    <n v="105"/>
    <s v="_x0000_US"/>
  </r>
  <r>
    <x v="4"/>
    <n v="13.692"/>
    <n v="-89.178399999999996"/>
    <n v="21.48"/>
    <n v="0"/>
    <n v="0"/>
    <n v="105"/>
    <s v="_x0000_US"/>
  </r>
  <r>
    <x v="4"/>
    <n v="13.6921"/>
    <n v="-89.178399999999996"/>
    <n v="71.599999999999994"/>
    <n v="0"/>
    <n v="0"/>
    <n v="105"/>
    <s v="_x0000_US"/>
  </r>
  <r>
    <x v="4"/>
    <n v="13.688700000000001"/>
    <n v="-89.178399999999996"/>
    <n v="85.92"/>
    <n v="0"/>
    <n v="0"/>
    <n v="105"/>
    <s v="_x0000_US"/>
  </r>
  <r>
    <x v="4"/>
    <n v="13.692"/>
    <n v="-89.178399999999996"/>
    <n v="85.92"/>
    <n v="0"/>
    <n v="0"/>
    <n v="105"/>
    <s v="_x0000_US"/>
  </r>
  <r>
    <x v="4"/>
    <n v="13.6919"/>
    <n v="-89.178399999999996"/>
    <n v="107.4"/>
    <n v="0"/>
    <n v="0"/>
    <n v="105"/>
    <s v="_x0000_US"/>
  </r>
  <r>
    <x v="4"/>
    <n v="13.692600000000001"/>
    <n v="-89.178399999999996"/>
    <n v="136.04"/>
    <n v="0"/>
    <n v="0"/>
    <n v="105"/>
    <s v="_x0000_US"/>
  </r>
  <r>
    <x v="4"/>
    <n v="13.692399999999999"/>
    <n v="-89.178399999999996"/>
    <n v="164.68"/>
    <n v="0"/>
    <n v="0"/>
    <n v="105"/>
    <s v="_x0000_US"/>
  </r>
  <r>
    <x v="4"/>
    <n v="13.691800000000001"/>
    <n v="-89.178399999999996"/>
    <n v="186.16"/>
    <n v="0"/>
    <n v="0"/>
    <n v="105"/>
    <s v="_x0000_US"/>
  </r>
  <r>
    <x v="4"/>
    <n v="13.6892"/>
    <n v="-89.178399999999996"/>
    <n v="229.12"/>
    <n v="0"/>
    <n v="0"/>
    <n v="105"/>
    <s v="_x0000_US"/>
  </r>
  <r>
    <x v="4"/>
    <n v="13.6929"/>
    <n v="-89.178399999999996"/>
    <n v="236.28"/>
    <n v="0"/>
    <n v="0"/>
    <n v="105"/>
    <s v="_x0000_US"/>
  </r>
  <r>
    <x v="4"/>
    <n v="13.689"/>
    <n v="-89.178399999999996"/>
    <n v="243.44"/>
    <n v="0"/>
    <n v="0"/>
    <n v="105"/>
    <s v="_x0000_US"/>
  </r>
  <r>
    <x v="4"/>
    <n v="13.6922"/>
    <n v="-89.178299999999993"/>
    <n v="35.799999999999997"/>
    <n v="0"/>
    <n v="0"/>
    <n v="105"/>
    <s v="_x0000_US"/>
  </r>
  <r>
    <x v="4"/>
    <n v="13.692500000000001"/>
    <n v="-89.178299999999993"/>
    <n v="42.96"/>
    <n v="0"/>
    <n v="0"/>
    <n v="105"/>
    <s v="_x0000_US"/>
  </r>
  <r>
    <x v="4"/>
    <n v="13.6921"/>
    <n v="-89.178299999999993"/>
    <n v="50.12"/>
    <n v="0"/>
    <n v="0"/>
    <n v="105"/>
    <s v="_x0000_US"/>
  </r>
  <r>
    <x v="4"/>
    <n v="13.6874"/>
    <n v="-89.178299999999993"/>
    <n v="57.28"/>
    <n v="0"/>
    <n v="0"/>
    <n v="105"/>
    <s v="_x0000_US"/>
  </r>
  <r>
    <x v="4"/>
    <n v="13.692"/>
    <n v="-89.178299999999993"/>
    <n v="71.599999999999994"/>
    <n v="0"/>
    <n v="0"/>
    <n v="105"/>
    <s v="_x0000_US"/>
  </r>
  <r>
    <x v="4"/>
    <n v="13.6919"/>
    <n v="-89.178299999999993"/>
    <n v="85.92"/>
    <n v="0"/>
    <n v="0"/>
    <n v="105"/>
    <s v="_x0000_US"/>
  </r>
  <r>
    <x v="4"/>
    <n v="13.692600000000001"/>
    <n v="-89.178299999999993"/>
    <n v="100.24"/>
    <n v="0"/>
    <n v="0"/>
    <n v="105"/>
    <s v="_x0000_US"/>
  </r>
  <r>
    <x v="4"/>
    <n v="13.6921"/>
    <n v="-89.178299999999993"/>
    <n v="107.4"/>
    <n v="0"/>
    <n v="0"/>
    <n v="105"/>
    <s v="_x0000_US"/>
  </r>
  <r>
    <x v="4"/>
    <n v="13.692"/>
    <n v="-89.178299999999993"/>
    <n v="107.4"/>
    <n v="0"/>
    <n v="0"/>
    <n v="105"/>
    <s v="_x0000_US"/>
  </r>
  <r>
    <x v="4"/>
    <n v="13.691800000000001"/>
    <n v="-89.178299999999993"/>
    <n v="107.4"/>
    <n v="0"/>
    <n v="0"/>
    <n v="105"/>
    <s v="_x0000_US"/>
  </r>
  <r>
    <x v="4"/>
    <n v="13.6922"/>
    <n v="-89.178299999999993"/>
    <n v="207.64"/>
    <n v="0"/>
    <n v="0"/>
    <n v="105"/>
    <s v="_x0000_US"/>
  </r>
  <r>
    <x v="4"/>
    <n v="13.6929"/>
    <n v="-89.178299999999993"/>
    <n v="221.96"/>
    <n v="0"/>
    <n v="0"/>
    <n v="105"/>
    <s v="_x0000_US"/>
  </r>
  <r>
    <x v="4"/>
    <n v="13.692"/>
    <n v="-89.178200000000004"/>
    <n v="7.16"/>
    <n v="0"/>
    <n v="0"/>
    <n v="105"/>
    <s v="_x0000_US"/>
  </r>
  <r>
    <x v="4"/>
    <n v="13.692299999999999"/>
    <n v="-89.178200000000004"/>
    <n v="64.44"/>
    <n v="0"/>
    <n v="0"/>
    <n v="105"/>
    <s v="_x0000_US"/>
  </r>
  <r>
    <x v="4"/>
    <n v="13.6921"/>
    <n v="-89.178200000000004"/>
    <n v="78.760000000000005"/>
    <n v="0"/>
    <n v="0"/>
    <n v="105"/>
    <s v="_x0000_US"/>
  </r>
  <r>
    <x v="4"/>
    <n v="13.6919"/>
    <n v="-89.178200000000004"/>
    <n v="100.24"/>
    <n v="0"/>
    <n v="0"/>
    <n v="105"/>
    <s v="_x0000_US"/>
  </r>
  <r>
    <x v="4"/>
    <n v="13.692299999999999"/>
    <n v="-89.178200000000004"/>
    <n v="100.24"/>
    <n v="0"/>
    <n v="0"/>
    <n v="105"/>
    <s v="_x0000_US"/>
  </r>
  <r>
    <x v="4"/>
    <n v="13.692"/>
    <n v="-89.178200000000004"/>
    <n v="100.24"/>
    <n v="0"/>
    <n v="0"/>
    <n v="105"/>
    <s v="_x0000_US"/>
  </r>
  <r>
    <x v="4"/>
    <n v="13.6922"/>
    <n v="-89.178200000000004"/>
    <n v="107.4"/>
    <n v="0"/>
    <n v="0"/>
    <n v="105"/>
    <s v="_x0000_US"/>
  </r>
  <r>
    <x v="4"/>
    <n v="13.6875"/>
    <n v="-89.178200000000004"/>
    <n v="128.88"/>
    <n v="0"/>
    <n v="0"/>
    <n v="105"/>
    <s v="_x0000_US"/>
  </r>
  <r>
    <x v="4"/>
    <n v="13.692399999999999"/>
    <n v="-89.178200000000004"/>
    <n v="186.16"/>
    <n v="0"/>
    <n v="0"/>
    <n v="105"/>
    <s v="_x0000_US"/>
  </r>
  <r>
    <x v="4"/>
    <n v="13.693"/>
    <n v="-89.178200000000004"/>
    <n v="229.12"/>
    <n v="0"/>
    <n v="0"/>
    <n v="105"/>
    <s v="_x0000_US"/>
  </r>
  <r>
    <x v="4"/>
    <n v="13.688499999999999"/>
    <n v="-89.178200000000004"/>
    <n v="315.04000000000002"/>
    <n v="0"/>
    <n v="0"/>
    <n v="105"/>
    <s v="_x0000_US"/>
  </r>
  <r>
    <x v="4"/>
    <n v="13.6881"/>
    <n v="-89.178200000000004"/>
    <n v="1310.28"/>
    <n v="0"/>
    <n v="0"/>
    <n v="105"/>
    <s v="_x0000_US"/>
  </r>
  <r>
    <x v="4"/>
    <n v="13.6922"/>
    <n v="-89.178100000000001"/>
    <n v="85.92"/>
    <n v="0"/>
    <n v="0"/>
    <n v="105"/>
    <s v="_x0000_US"/>
  </r>
  <r>
    <x v="4"/>
    <n v="13.692299999999999"/>
    <n v="-89.178100000000001"/>
    <n v="107.4"/>
    <n v="0"/>
    <n v="0"/>
    <n v="105"/>
    <s v="_x0000_US"/>
  </r>
  <r>
    <x v="4"/>
    <n v="13.6921"/>
    <n v="-89.178100000000001"/>
    <n v="121.72"/>
    <n v="0"/>
    <n v="0"/>
    <n v="105"/>
    <s v="_x0000_US"/>
  </r>
  <r>
    <x v="4"/>
    <n v="13.692500000000001"/>
    <n v="-89.178100000000001"/>
    <n v="214.8"/>
    <n v="0"/>
    <n v="0"/>
    <n v="105"/>
    <s v="_x0000_US"/>
  </r>
  <r>
    <x v="4"/>
    <n v="13.688800000000001"/>
    <n v="-89.178100000000001"/>
    <n v="465.4"/>
    <n v="0"/>
    <n v="0"/>
    <n v="105"/>
    <s v="_x0000_US"/>
  </r>
  <r>
    <x v="4"/>
    <n v="13.6943"/>
    <n v="-89.178100000000001"/>
    <n v="846.38"/>
    <n v="0"/>
    <n v="0"/>
    <n v="105"/>
    <s v="_x0000_US"/>
  </r>
  <r>
    <x v="4"/>
    <n v="13.692299999999999"/>
    <n v="-89.177999999999997"/>
    <n v="28.64"/>
    <n v="0"/>
    <n v="0"/>
    <n v="105"/>
    <s v="_x0000_US"/>
  </r>
  <r>
    <x v="4"/>
    <n v="13.692299999999999"/>
    <n v="-89.177999999999997"/>
    <n v="100.24"/>
    <n v="0"/>
    <n v="0"/>
    <n v="105"/>
    <s v="_x0000_US"/>
  </r>
  <r>
    <x v="4"/>
    <n v="13.6922"/>
    <n v="-89.177999999999997"/>
    <n v="121.72"/>
    <n v="0"/>
    <n v="0"/>
    <n v="105"/>
    <s v="_x0000_US"/>
  </r>
  <r>
    <x v="4"/>
    <n v="13.6892"/>
    <n v="-89.177999999999997"/>
    <n v="315.04000000000002"/>
    <n v="0"/>
    <n v="0"/>
    <n v="105"/>
    <s v="_x0000_US"/>
  </r>
  <r>
    <x v="4"/>
    <n v="13.692399999999999"/>
    <n v="-89.177899999999994"/>
    <n v="121.72"/>
    <n v="0"/>
    <n v="0"/>
    <n v="105"/>
    <s v="_x0000_US"/>
  </r>
  <r>
    <x v="4"/>
    <n v="13.693"/>
    <n v="-89.177899999999994"/>
    <n v="307.88"/>
    <n v="0"/>
    <n v="0"/>
    <n v="105"/>
    <s v="_x0000_US"/>
  </r>
  <r>
    <x v="4"/>
    <n v="13.6952"/>
    <n v="-89.177800000000005"/>
    <n v="14.32"/>
    <n v="0"/>
    <n v="0"/>
    <n v="105"/>
    <s v="_x0000_US"/>
  </r>
  <r>
    <x v="4"/>
    <n v="13.6952"/>
    <n v="-89.177800000000005"/>
    <n v="21.48"/>
    <n v="0"/>
    <n v="0"/>
    <n v="105"/>
    <s v="_x0000_US"/>
  </r>
  <r>
    <x v="4"/>
    <n v="13.6897"/>
    <n v="-89.177800000000005"/>
    <n v="143.19999999999999"/>
    <n v="0"/>
    <n v="0"/>
    <n v="105"/>
    <s v="_x0000_US"/>
  </r>
  <r>
    <x v="4"/>
    <n v="13.689399999999999"/>
    <n v="-89.177800000000005"/>
    <n v="279.24"/>
    <n v="0"/>
    <n v="0"/>
    <n v="105"/>
    <s v="_x0000_US"/>
  </r>
  <r>
    <x v="4"/>
    <n v="13.6927"/>
    <n v="-89.177800000000005"/>
    <n v="307.88"/>
    <n v="0"/>
    <n v="0"/>
    <n v="105"/>
    <s v="_x0000_US"/>
  </r>
  <r>
    <x v="4"/>
    <n v="13.6929"/>
    <n v="-89.177700000000002"/>
    <n v="114.56"/>
    <n v="0"/>
    <n v="0"/>
    <n v="105"/>
    <s v="_x0000_US"/>
  </r>
  <r>
    <x v="4"/>
    <n v="13.6889"/>
    <n v="-89.177700000000002"/>
    <n v="164.68"/>
    <n v="0"/>
    <n v="0"/>
    <n v="105"/>
    <s v="_x0000_US"/>
  </r>
  <r>
    <x v="4"/>
    <n v="13.6891"/>
    <n v="-89.177700000000002"/>
    <n v="200.48"/>
    <n v="0"/>
    <n v="0"/>
    <n v="105"/>
    <s v="_x0000_US"/>
  </r>
  <r>
    <x v="4"/>
    <n v="13.6905"/>
    <n v="-89.177700000000002"/>
    <n v="250.6"/>
    <n v="0"/>
    <n v="0"/>
    <n v="105"/>
    <s v="_x0000_US"/>
  </r>
  <r>
    <x v="4"/>
    <n v="13.690200000000001"/>
    <n v="-89.177700000000002"/>
    <n v="250.6"/>
    <n v="0"/>
    <n v="0"/>
    <n v="105"/>
    <s v="_x0000_US"/>
  </r>
  <r>
    <x v="4"/>
    <n v="13.6899"/>
    <n v="-89.177700000000002"/>
    <n v="279.24"/>
    <n v="0"/>
    <n v="0"/>
    <n v="105"/>
    <s v="_x0000_US"/>
  </r>
  <r>
    <x v="4"/>
    <n v="13.6953"/>
    <n v="-89.177599999999998"/>
    <n v="114.56"/>
    <n v="0"/>
    <n v="0"/>
    <n v="105"/>
    <s v="_x0000_US"/>
  </r>
  <r>
    <x v="4"/>
    <n v="13.690099999999999"/>
    <n v="-89.177599999999998"/>
    <n v="128.88"/>
    <n v="0"/>
    <n v="0"/>
    <n v="105"/>
    <s v="_x0000_US"/>
  </r>
  <r>
    <x v="4"/>
    <n v="13.689"/>
    <n v="-89.177599999999998"/>
    <n v="164.68"/>
    <n v="0"/>
    <n v="0"/>
    <n v="105"/>
    <s v="_x0000_US"/>
  </r>
  <r>
    <x v="4"/>
    <n v="13.6951"/>
    <n v="-89.177599999999998"/>
    <n v="221.96"/>
    <n v="0"/>
    <n v="0"/>
    <n v="105"/>
    <s v="_x0000_US"/>
  </r>
  <r>
    <x v="4"/>
    <n v="13.692299999999999"/>
    <n v="-89.177599999999998"/>
    <n v="773.28"/>
    <n v="0"/>
    <n v="0"/>
    <n v="105"/>
    <s v="_x0000_US"/>
  </r>
  <r>
    <x v="4"/>
    <n v="13.693300000000001"/>
    <n v="-89.177599999999998"/>
    <n v="787.6"/>
    <n v="0"/>
    <n v="0"/>
    <n v="105"/>
    <s v="_x0000_US"/>
  </r>
  <r>
    <x v="4"/>
    <n v="13.6882"/>
    <n v="-89.177599999999998"/>
    <n v="866.36"/>
    <n v="0"/>
    <n v="0"/>
    <n v="105"/>
    <s v="_x0000_US"/>
  </r>
  <r>
    <x v="4"/>
    <n v="13.6953"/>
    <n v="-89.177499999999995"/>
    <n v="28.64"/>
    <n v="0"/>
    <n v="0"/>
    <n v="105"/>
    <s v="_x0000_US"/>
  </r>
  <r>
    <x v="4"/>
    <n v="13.6953"/>
    <n v="-89.177499999999995"/>
    <n v="35.799999999999997"/>
    <n v="0"/>
    <n v="0"/>
    <n v="105"/>
    <s v="_x0000_US"/>
  </r>
  <r>
    <x v="4"/>
    <n v="13.6906"/>
    <n v="-89.177499999999995"/>
    <n v="64.44"/>
    <n v="0"/>
    <n v="0"/>
    <n v="105"/>
    <s v="_x0000_US"/>
  </r>
  <r>
    <x v="4"/>
    <n v="13.690300000000001"/>
    <n v="-89.177499999999995"/>
    <n v="114.56"/>
    <n v="0"/>
    <n v="0"/>
    <n v="105"/>
    <s v="_x0000_US"/>
  </r>
  <r>
    <x v="4"/>
    <n v="13.6889"/>
    <n v="-89.177499999999995"/>
    <n v="121.72"/>
    <n v="0"/>
    <n v="0"/>
    <n v="105"/>
    <s v="_x0000_US"/>
  </r>
  <r>
    <x v="4"/>
    <n v="13.688800000000001"/>
    <n v="-89.177499999999995"/>
    <n v="200.48"/>
    <n v="0"/>
    <n v="0"/>
    <n v="105"/>
    <s v="_x0000_US"/>
  </r>
  <r>
    <x v="4"/>
    <n v="13.687799999999999"/>
    <n v="-89.177499999999995"/>
    <n v="236.28"/>
    <n v="0"/>
    <n v="0"/>
    <n v="105"/>
    <s v="_x0000_US"/>
  </r>
  <r>
    <x v="4"/>
    <n v="13.6943"/>
    <n v="-89.177499999999995"/>
    <n v="243.02"/>
    <n v="0"/>
    <n v="0"/>
    <n v="105"/>
    <s v="_x0000_US"/>
  </r>
  <r>
    <x v="4"/>
    <n v="13.6904"/>
    <n v="-89.177499999999995"/>
    <n v="264.92"/>
    <n v="0"/>
    <n v="0"/>
    <n v="105"/>
    <s v="_x0000_US"/>
  </r>
  <r>
    <x v="4"/>
    <n v="13.6898"/>
    <n v="-89.177499999999995"/>
    <n v="386.64"/>
    <n v="0"/>
    <n v="0"/>
    <n v="105"/>
    <s v="_x0000_US"/>
  </r>
  <r>
    <x v="4"/>
    <n v="13.687900000000001"/>
    <n v="-89.177400000000006"/>
    <n v="35.799999999999997"/>
    <n v="0"/>
    <n v="0"/>
    <n v="105"/>
    <s v="_x0000_US"/>
  </r>
  <r>
    <x v="4"/>
    <n v="13.6953"/>
    <n v="-89.177400000000006"/>
    <n v="64.44"/>
    <n v="0"/>
    <n v="0"/>
    <n v="105"/>
    <s v="_x0000_US"/>
  </r>
  <r>
    <x v="4"/>
    <n v="13.690300000000001"/>
    <n v="-89.177400000000006"/>
    <n v="85.92"/>
    <n v="0"/>
    <n v="0"/>
    <n v="105"/>
    <s v="_x0000_US"/>
  </r>
  <r>
    <x v="4"/>
    <n v="13.6906"/>
    <n v="-89.177400000000006"/>
    <n v="100.24"/>
    <n v="0"/>
    <n v="0"/>
    <n v="105"/>
    <s v="_x0000_US"/>
  </r>
  <r>
    <x v="4"/>
    <n v="13.6952"/>
    <n v="-89.177400000000006"/>
    <n v="179"/>
    <n v="0"/>
    <n v="0"/>
    <n v="105"/>
    <s v="_x0000_US"/>
  </r>
  <r>
    <x v="4"/>
    <n v="13.6907"/>
    <n v="-89.177400000000006"/>
    <n v="214.8"/>
    <n v="0"/>
    <n v="0"/>
    <n v="105"/>
    <s v="_x0000_US"/>
  </r>
  <r>
    <x v="4"/>
    <n v="13.6904"/>
    <n v="-89.177400000000006"/>
    <n v="221.96"/>
    <n v="0"/>
    <n v="0"/>
    <n v="105"/>
    <s v="_x0000_US"/>
  </r>
  <r>
    <x v="4"/>
    <n v="13.6905"/>
    <n v="-89.177400000000006"/>
    <n v="236.28"/>
    <n v="0"/>
    <n v="0"/>
    <n v="105"/>
    <s v="_x0000_US"/>
  </r>
  <r>
    <x v="4"/>
    <n v="13.693099999999999"/>
    <n v="-89.177400000000006"/>
    <n v="350.84"/>
    <n v="0"/>
    <n v="0"/>
    <n v="105"/>
    <s v="_x0000_US"/>
  </r>
  <r>
    <x v="4"/>
    <n v="13.689399999999999"/>
    <n v="-89.177400000000006"/>
    <n v="565.64"/>
    <n v="0"/>
    <n v="0"/>
    <n v="105"/>
    <s v="_x0000_US"/>
  </r>
  <r>
    <x v="4"/>
    <n v="13.694900000000001"/>
    <n v="-89.177400000000006"/>
    <n v="995.24"/>
    <n v="0"/>
    <n v="0"/>
    <n v="105"/>
    <s v="_x0000_US"/>
  </r>
  <r>
    <x v="4"/>
    <n v="13.690200000000001"/>
    <n v="-89.177300000000002"/>
    <n v="71.599999999999994"/>
    <n v="0"/>
    <n v="0"/>
    <n v="105"/>
    <s v="_x0000_US"/>
  </r>
  <r>
    <x v="4"/>
    <n v="13.690300000000001"/>
    <n v="-89.177300000000002"/>
    <n v="100.24"/>
    <n v="0"/>
    <n v="0"/>
    <n v="105"/>
    <s v="_x0000_US"/>
  </r>
  <r>
    <x v="4"/>
    <n v="13.6943"/>
    <n v="-89.177300000000002"/>
    <n v="136.04"/>
    <n v="0"/>
    <n v="0"/>
    <n v="105"/>
    <s v="_x0000_US"/>
  </r>
  <r>
    <x v="4"/>
    <n v="13.69"/>
    <n v="-89.177300000000002"/>
    <n v="257.76"/>
    <n v="0"/>
    <n v="0"/>
    <n v="105"/>
    <s v="_x0000_US"/>
  </r>
  <r>
    <x v="4"/>
    <n v="13.688499999999999"/>
    <n v="-89.177300000000002"/>
    <n v="358"/>
    <n v="0"/>
    <n v="0"/>
    <n v="105"/>
    <s v="_x0000_US"/>
  </r>
  <r>
    <x v="4"/>
    <n v="13.692600000000001"/>
    <n v="-89.177300000000002"/>
    <n v="665.88"/>
    <n v="0"/>
    <n v="0"/>
    <n v="105"/>
    <s v="_x0000_US"/>
  </r>
  <r>
    <x v="4"/>
    <n v="13.6944"/>
    <n v="-89.177199999999999"/>
    <n v="167.6"/>
    <n v="0"/>
    <n v="0"/>
    <n v="105"/>
    <s v="_x0000_US"/>
  </r>
  <r>
    <x v="4"/>
    <n v="13.688700000000001"/>
    <n v="-89.177199999999999"/>
    <n v="243.44"/>
    <n v="0"/>
    <n v="0"/>
    <n v="105"/>
    <s v="_x0000_US"/>
  </r>
  <r>
    <x v="4"/>
    <n v="13.688000000000001"/>
    <n v="-89.177199999999999"/>
    <n v="358"/>
    <n v="0"/>
    <n v="0"/>
    <n v="105"/>
    <s v="_x0000_US"/>
  </r>
  <r>
    <x v="4"/>
    <n v="13.6936"/>
    <n v="-89.177099999999996"/>
    <n v="57.28"/>
    <n v="0"/>
    <n v="0"/>
    <n v="105"/>
    <s v="_x0000_US"/>
  </r>
  <r>
    <x v="4"/>
    <n v="13.6882"/>
    <n v="-89.177099999999996"/>
    <n v="150.36000000000001"/>
    <n v="0"/>
    <n v="0"/>
    <n v="105"/>
    <s v="_x0000_US"/>
  </r>
  <r>
    <x v="4"/>
    <n v="13.6876"/>
    <n v="-89.177099999999996"/>
    <n v="186.16"/>
    <n v="0"/>
    <n v="0"/>
    <n v="105"/>
    <s v="_x0000_US"/>
  </r>
  <r>
    <x v="4"/>
    <n v="13.6884"/>
    <n v="-89.177000000000007"/>
    <n v="136.04"/>
    <n v="0"/>
    <n v="0"/>
    <n v="105"/>
    <s v="_x0000_US"/>
  </r>
  <r>
    <x v="4"/>
    <n v="13.688800000000001"/>
    <n v="-89.177000000000007"/>
    <n v="164.68"/>
    <n v="0"/>
    <n v="0"/>
    <n v="105"/>
    <s v="_x0000_US"/>
  </r>
  <r>
    <x v="4"/>
    <n v="13.688599999999999"/>
    <n v="-89.177000000000007"/>
    <n v="293.56"/>
    <n v="0"/>
    <n v="0"/>
    <n v="105"/>
    <s v="_x0000_US"/>
  </r>
  <r>
    <x v="4"/>
    <n v="13.693899999999999"/>
    <n v="-89.177000000000007"/>
    <n v="515.52"/>
    <n v="0"/>
    <n v="0"/>
    <n v="105"/>
    <s v="_x0000_US"/>
  </r>
  <r>
    <x v="4"/>
    <n v="13.6929"/>
    <n v="-89.177000000000007"/>
    <n v="651.55999999999995"/>
    <n v="0"/>
    <n v="0"/>
    <n v="105"/>
    <s v="_x0000_US"/>
  </r>
  <r>
    <x v="4"/>
    <n v="13.6911"/>
    <n v="-89.177000000000007"/>
    <n v="673.04"/>
    <n v="0"/>
    <n v="0"/>
    <n v="105"/>
    <s v="_x0000_US"/>
  </r>
  <r>
    <x v="4"/>
    <n v="13.692299999999999"/>
    <n v="-89.176900000000003"/>
    <n v="64.44"/>
    <n v="0"/>
    <n v="0"/>
    <n v="105"/>
    <s v="_x0000_US"/>
  </r>
  <r>
    <x v="4"/>
    <n v="13.6957"/>
    <n v="-89.176900000000003"/>
    <n v="121.72"/>
    <n v="0"/>
    <n v="0"/>
    <n v="105"/>
    <s v="_x0000_US"/>
  </r>
  <r>
    <x v="4"/>
    <n v="13.6884"/>
    <n v="-89.176900000000003"/>
    <n v="186.16"/>
    <n v="0"/>
    <n v="0"/>
    <n v="105"/>
    <s v="_x0000_US"/>
  </r>
  <r>
    <x v="4"/>
    <n v="13.6937"/>
    <n v="-89.176900000000003"/>
    <n v="358"/>
    <n v="0"/>
    <n v="0"/>
    <n v="105"/>
    <s v="_x0000_US"/>
  </r>
  <r>
    <x v="4"/>
    <n v="13.6907"/>
    <n v="-89.176900000000003"/>
    <n v="680.2"/>
    <n v="0"/>
    <n v="0"/>
    <n v="105"/>
    <s v="_x0000_US"/>
  </r>
  <r>
    <x v="4"/>
    <n v="13.6889"/>
    <n v="-89.1768"/>
    <n v="171.84"/>
    <n v="0"/>
    <n v="0"/>
    <n v="105"/>
    <s v="_x0000_US"/>
  </r>
  <r>
    <x v="4"/>
    <n v="13.692500000000001"/>
    <n v="-89.1768"/>
    <n v="350.84"/>
    <n v="0"/>
    <n v="0"/>
    <n v="105"/>
    <s v="_x0000_US"/>
  </r>
  <r>
    <x v="4"/>
    <n v="13.688599999999999"/>
    <n v="-89.1768"/>
    <n v="358"/>
    <n v="0"/>
    <n v="0"/>
    <n v="105"/>
    <s v="_x0000_US"/>
  </r>
  <r>
    <x v="4"/>
    <n v="13.6882"/>
    <n v="-89.1768"/>
    <n v="358"/>
    <n v="0"/>
    <n v="0"/>
    <n v="105"/>
    <s v="_x0000_US"/>
  </r>
  <r>
    <x v="4"/>
    <n v="13.6944"/>
    <n v="-89.1768"/>
    <n v="673.04"/>
    <n v="0"/>
    <n v="0"/>
    <n v="105"/>
    <s v="_x0000_US"/>
  </r>
  <r>
    <x v="4"/>
    <n v="13.6904"/>
    <n v="-89.1768"/>
    <n v="744.64"/>
    <n v="0"/>
    <n v="0"/>
    <n v="105"/>
    <s v="_x0000_US"/>
  </r>
  <r>
    <x v="4"/>
    <n v="13.689299999999999"/>
    <n v="-89.1768"/>
    <n v="1202.8800000000001"/>
    <n v="0"/>
    <n v="0"/>
    <n v="105"/>
    <s v="_x0000_US"/>
  </r>
  <r>
    <x v="4"/>
    <n v="13.694000000000001"/>
    <n v="-89.176699999999997"/>
    <n v="42.96"/>
    <n v="0"/>
    <n v="0"/>
    <n v="105"/>
    <s v="_x0000_US"/>
  </r>
  <r>
    <x v="4"/>
    <n v="13.694100000000001"/>
    <n v="-89.176699999999997"/>
    <n v="42.96"/>
    <n v="0"/>
    <n v="0"/>
    <n v="105"/>
    <s v="_x0000_US"/>
  </r>
  <r>
    <x v="4"/>
    <n v="13.687900000000001"/>
    <n v="-89.176699999999997"/>
    <n v="136.04"/>
    <n v="0"/>
    <n v="0"/>
    <n v="105"/>
    <s v="_x0000_US"/>
  </r>
  <r>
    <x v="4"/>
    <n v="13.693899999999999"/>
    <n v="-89.176699999999997"/>
    <n v="171.84"/>
    <n v="0"/>
    <n v="0"/>
    <n v="105"/>
    <s v="_x0000_US"/>
  </r>
  <r>
    <x v="4"/>
    <n v="13.69"/>
    <n v="-89.176699999999997"/>
    <n v="801.92"/>
    <n v="0"/>
    <n v="0"/>
    <n v="105"/>
    <s v="_x0000_US"/>
  </r>
  <r>
    <x v="4"/>
    <n v="13.6942"/>
    <n v="-89.176599999999993"/>
    <n v="57.28"/>
    <n v="0"/>
    <n v="0"/>
    <n v="105"/>
    <s v="_x0000_US"/>
  </r>
  <r>
    <x v="4"/>
    <n v="13.694000000000001"/>
    <n v="-89.176599999999993"/>
    <n v="57.28"/>
    <n v="0"/>
    <n v="0"/>
    <n v="105"/>
    <s v="_x0000_US"/>
  </r>
  <r>
    <x v="4"/>
    <n v="13.694000000000001"/>
    <n v="-89.176599999999993"/>
    <n v="64.44"/>
    <n v="0"/>
    <n v="0"/>
    <n v="105"/>
    <s v="_x0000_US"/>
  </r>
  <r>
    <x v="4"/>
    <n v="13.6938"/>
    <n v="-89.176599999999993"/>
    <n v="78.760000000000005"/>
    <n v="0"/>
    <n v="0"/>
    <n v="105"/>
    <s v="_x0000_US"/>
  </r>
  <r>
    <x v="4"/>
    <n v="13.694100000000001"/>
    <n v="-89.176599999999993"/>
    <n v="114.56"/>
    <n v="0"/>
    <n v="0"/>
    <n v="105"/>
    <s v="_x0000_US"/>
  </r>
  <r>
    <x v="4"/>
    <n v="13.694100000000001"/>
    <n v="-89.176599999999993"/>
    <n v="114.56"/>
    <n v="0"/>
    <n v="0"/>
    <n v="105"/>
    <s v="_x0000_US"/>
  </r>
  <r>
    <x v="4"/>
    <n v="13.6913"/>
    <n v="-89.176599999999993"/>
    <n v="136.04"/>
    <n v="0"/>
    <n v="0"/>
    <n v="105"/>
    <s v="_x0000_US"/>
  </r>
  <r>
    <x v="4"/>
    <n v="13.6889"/>
    <n v="-89.176599999999993"/>
    <n v="150.36000000000001"/>
    <n v="0"/>
    <n v="0"/>
    <n v="105"/>
    <s v="_x0000_US"/>
  </r>
  <r>
    <x v="4"/>
    <n v="13.693899999999999"/>
    <n v="-89.176599999999993"/>
    <n v="157.52000000000001"/>
    <n v="0"/>
    <n v="0"/>
    <n v="105"/>
    <s v="_x0000_US"/>
  </r>
  <r>
    <x v="4"/>
    <n v="13.6911"/>
    <n v="-89.176599999999993"/>
    <n v="293.56"/>
    <n v="0"/>
    <n v="0"/>
    <n v="105"/>
    <s v="_x0000_US"/>
  </r>
  <r>
    <x v="4"/>
    <n v="13.688599999999999"/>
    <n v="-89.176599999999993"/>
    <n v="422.44"/>
    <n v="0"/>
    <n v="0"/>
    <n v="105"/>
    <s v="_x0000_US"/>
  </r>
  <r>
    <x v="4"/>
    <n v="13.689"/>
    <n v="-89.176500000000004"/>
    <n v="21.48"/>
    <n v="0"/>
    <n v="0"/>
    <n v="105"/>
    <s v="_x0000_US"/>
  </r>
  <r>
    <x v="4"/>
    <n v="13.694100000000001"/>
    <n v="-89.176500000000004"/>
    <n v="42.96"/>
    <n v="0"/>
    <n v="0"/>
    <n v="105"/>
    <s v="_x0000_US"/>
  </r>
  <r>
    <x v="4"/>
    <n v="13.6942"/>
    <n v="-89.176500000000004"/>
    <n v="57.28"/>
    <n v="0"/>
    <n v="0"/>
    <n v="105"/>
    <s v="_x0000_US"/>
  </r>
  <r>
    <x v="4"/>
    <n v="13.6938"/>
    <n v="-89.176500000000004"/>
    <n v="57.28"/>
    <n v="0"/>
    <n v="0"/>
    <n v="105"/>
    <s v="_x0000_US"/>
  </r>
  <r>
    <x v="4"/>
    <n v="13.6938"/>
    <n v="-89.176500000000004"/>
    <n v="71.599999999999994"/>
    <n v="0"/>
    <n v="0"/>
    <n v="105"/>
    <s v="_x0000_US"/>
  </r>
  <r>
    <x v="4"/>
    <n v="13.694100000000001"/>
    <n v="-89.176500000000004"/>
    <n v="157.52000000000001"/>
    <n v="0"/>
    <n v="0"/>
    <n v="105"/>
    <s v="_x0000_US"/>
  </r>
  <r>
    <x v="4"/>
    <n v="13.693899999999999"/>
    <n v="-89.176500000000004"/>
    <n v="164.68"/>
    <n v="0"/>
    <n v="0"/>
    <n v="105"/>
    <s v="_x0000_US"/>
  </r>
  <r>
    <x v="4"/>
    <n v="13.688000000000001"/>
    <n v="-89.176500000000004"/>
    <n v="186.16"/>
    <n v="0"/>
    <n v="0"/>
    <n v="105"/>
    <s v="_x0000_US"/>
  </r>
  <r>
    <x v="4"/>
    <n v="13.6942"/>
    <n v="-89.176400000000001"/>
    <n v="21.48"/>
    <n v="0"/>
    <n v="0"/>
    <n v="105"/>
    <s v="_x0000_US"/>
  </r>
  <r>
    <x v="4"/>
    <n v="13.693899999999999"/>
    <n v="-89.176400000000001"/>
    <n v="71.599999999999994"/>
    <n v="0"/>
    <n v="0"/>
    <n v="105"/>
    <s v="_x0000_US"/>
  </r>
  <r>
    <x v="4"/>
    <n v="13.6942"/>
    <n v="-89.176400000000001"/>
    <n v="85.92"/>
    <n v="0"/>
    <n v="0"/>
    <n v="105"/>
    <s v="_x0000_US"/>
  </r>
  <r>
    <x v="4"/>
    <n v="13.6942"/>
    <n v="-89.176400000000001"/>
    <n v="114.56"/>
    <n v="0"/>
    <n v="0"/>
    <n v="105"/>
    <s v="_x0000_US"/>
  </r>
  <r>
    <x v="4"/>
    <n v="13.693899999999999"/>
    <n v="-89.176400000000001"/>
    <n v="157.52000000000001"/>
    <n v="0"/>
    <n v="0"/>
    <n v="105"/>
    <s v="_x0000_US"/>
  </r>
  <r>
    <x v="4"/>
    <n v="13.6884"/>
    <n v="-89.176400000000001"/>
    <n v="157.52000000000001"/>
    <n v="0"/>
    <n v="0"/>
    <n v="105"/>
    <s v="_x0000_US"/>
  </r>
  <r>
    <x v="4"/>
    <n v="13.689"/>
    <n v="-89.176400000000001"/>
    <n v="171.84"/>
    <n v="0"/>
    <n v="0"/>
    <n v="105"/>
    <s v="_x0000_US"/>
  </r>
  <r>
    <x v="4"/>
    <n v="13.6881"/>
    <n v="-89.176400000000001"/>
    <n v="200.48"/>
    <n v="0"/>
    <n v="0"/>
    <n v="105"/>
    <s v="_x0000_US"/>
  </r>
  <r>
    <x v="4"/>
    <n v="13.691700000000001"/>
    <n v="-89.176400000000001"/>
    <n v="221.96"/>
    <n v="0"/>
    <n v="0"/>
    <n v="105"/>
    <s v="_x0000_US"/>
  </r>
  <r>
    <x v="4"/>
    <n v="13.6907"/>
    <n v="-89.176400000000001"/>
    <n v="322.2"/>
    <n v="0"/>
    <n v="0"/>
    <n v="105"/>
    <s v="_x0000_US"/>
  </r>
  <r>
    <x v="4"/>
    <n v="13.688700000000001"/>
    <n v="-89.176400000000001"/>
    <n v="436.76"/>
    <n v="0"/>
    <n v="0"/>
    <n v="105"/>
    <s v="_x0000_US"/>
  </r>
  <r>
    <x v="4"/>
    <n v="13.693099999999999"/>
    <n v="-89.176400000000001"/>
    <n v="708.84"/>
    <n v="0"/>
    <n v="0"/>
    <n v="105"/>
    <s v="_x0000_US"/>
  </r>
  <r>
    <x v="4"/>
    <n v="13.694900000000001"/>
    <n v="-89.176400000000001"/>
    <n v="1257"/>
    <n v="0"/>
    <n v="0"/>
    <n v="105"/>
    <s v="_x0000_US"/>
  </r>
  <r>
    <x v="4"/>
    <n v="13.693899999999999"/>
    <n v="-89.176299999999998"/>
    <n v="71.599999999999994"/>
    <n v="0"/>
    <n v="0"/>
    <n v="105"/>
    <s v="_x0000_US"/>
  </r>
  <r>
    <x v="4"/>
    <n v="13.694100000000001"/>
    <n v="-89.176299999999998"/>
    <n v="85.92"/>
    <n v="0"/>
    <n v="0"/>
    <n v="105"/>
    <s v="_x0000_US"/>
  </r>
  <r>
    <x v="4"/>
    <n v="13.691599999999999"/>
    <n v="-89.176299999999998"/>
    <n v="100.24"/>
    <n v="0"/>
    <n v="0"/>
    <n v="105"/>
    <s v="_x0000_US"/>
  </r>
  <r>
    <x v="4"/>
    <n v="13.689"/>
    <n v="-89.176299999999998"/>
    <n v="164.68"/>
    <n v="0"/>
    <n v="0"/>
    <n v="105"/>
    <s v="_x0000_US"/>
  </r>
  <r>
    <x v="4"/>
    <n v="13.694000000000001"/>
    <n v="-89.176299999999998"/>
    <n v="200.48"/>
    <n v="0"/>
    <n v="0"/>
    <n v="105"/>
    <s v="_x0000_US"/>
  </r>
  <r>
    <x v="4"/>
    <n v="13.6904"/>
    <n v="-89.176299999999998"/>
    <n v="257.76"/>
    <n v="0"/>
    <n v="0"/>
    <n v="105"/>
    <s v="_x0000_US"/>
  </r>
  <r>
    <x v="4"/>
    <n v="13.691000000000001"/>
    <n v="-89.176299999999998"/>
    <n v="286.39999999999998"/>
    <n v="0"/>
    <n v="0"/>
    <n v="105"/>
    <s v="_x0000_US"/>
  </r>
  <r>
    <x v="4"/>
    <n v="13.693899999999999"/>
    <n v="-89.176199999999994"/>
    <n v="78.760000000000005"/>
    <n v="0"/>
    <n v="0"/>
    <n v="105"/>
    <s v="_x0000_US"/>
  </r>
  <r>
    <x v="4"/>
    <n v="13.688499999999999"/>
    <n v="-89.176199999999994"/>
    <n v="171.84"/>
    <n v="0"/>
    <n v="0"/>
    <n v="105"/>
    <s v="_x0000_US"/>
  </r>
  <r>
    <x v="4"/>
    <n v="13.694000000000001"/>
    <n v="-89.176199999999994"/>
    <n v="207.64"/>
    <n v="0"/>
    <n v="0"/>
    <n v="105"/>
    <s v="_x0000_US"/>
  </r>
  <r>
    <x v="4"/>
    <n v="13.688700000000001"/>
    <n v="-89.176199999999994"/>
    <n v="293.56"/>
    <n v="0"/>
    <n v="0"/>
    <n v="105"/>
    <s v="_x0000_US"/>
  </r>
  <r>
    <x v="4"/>
    <n v="13.6913"/>
    <n v="-89.176199999999994"/>
    <n v="400.96"/>
    <n v="0"/>
    <n v="0"/>
    <n v="105"/>
    <s v="_x0000_US"/>
  </r>
  <r>
    <x v="4"/>
    <n v="13.6889"/>
    <n v="-89.176100000000005"/>
    <n v="186.16"/>
    <n v="0"/>
    <n v="0"/>
    <n v="105"/>
    <s v="_x0000_US"/>
  </r>
  <r>
    <x v="4"/>
    <n v="13.6891"/>
    <n v="-89.176100000000005"/>
    <n v="279.24"/>
    <n v="0"/>
    <n v="0"/>
    <n v="105"/>
    <s v="_x0000_US"/>
  </r>
  <r>
    <x v="4"/>
    <n v="13.6899"/>
    <n v="-89.176100000000005"/>
    <n v="572.79999999999995"/>
    <n v="0"/>
    <n v="0"/>
    <n v="105"/>
    <s v="_x0000_US"/>
  </r>
  <r>
    <x v="4"/>
    <n v="13.688499999999999"/>
    <n v="-89.176000000000002"/>
    <n v="107.4"/>
    <n v="0"/>
    <n v="0"/>
    <n v="105"/>
    <s v="_x0000_US"/>
  </r>
  <r>
    <x v="4"/>
    <n v="13.6936"/>
    <n v="-89.176000000000002"/>
    <n v="465.4"/>
    <n v="0"/>
    <n v="0"/>
    <n v="105"/>
    <s v="_x0000_US"/>
  </r>
  <r>
    <x v="4"/>
    <n v="13.693899999999999"/>
    <n v="-89.175899999999999"/>
    <n v="279.24"/>
    <n v="0"/>
    <n v="0"/>
    <n v="105"/>
    <s v="_x0000_US"/>
  </r>
  <r>
    <x v="4"/>
    <n v="13.6942"/>
    <n v="-89.175899999999999"/>
    <n v="358"/>
    <n v="0"/>
    <n v="0"/>
    <n v="105"/>
    <s v="_x0000_US"/>
  </r>
  <r>
    <x v="4"/>
    <n v="13.690300000000001"/>
    <n v="-89.175899999999999"/>
    <n v="508.36"/>
    <n v="0"/>
    <n v="0"/>
    <n v="105"/>
    <s v="_x0000_US"/>
  </r>
  <r>
    <x v="4"/>
    <n v="13.694000000000001"/>
    <n v="-89.175799999999995"/>
    <n v="42.96"/>
    <n v="0"/>
    <n v="0"/>
    <n v="105"/>
    <s v="_x0000_US"/>
  </r>
  <r>
    <x v="4"/>
    <n v="13.688800000000001"/>
    <n v="-89.175799999999995"/>
    <n v="143.19999999999999"/>
    <n v="0"/>
    <n v="0"/>
    <n v="105"/>
    <s v="_x0000_US"/>
  </r>
  <r>
    <x v="4"/>
    <n v="13.692500000000001"/>
    <n v="-89.175799999999995"/>
    <n v="286.39999999999998"/>
    <n v="0"/>
    <n v="0"/>
    <n v="105"/>
    <s v="_x0000_US"/>
  </r>
  <r>
    <x v="4"/>
    <n v="13.6922"/>
    <n v="-89.175799999999995"/>
    <n v="429.6"/>
    <n v="0"/>
    <n v="0"/>
    <n v="105"/>
    <s v="_x0000_US"/>
  </r>
  <r>
    <x v="4"/>
    <n v="13.691800000000001"/>
    <n v="-89.175799999999995"/>
    <n v="816.24"/>
    <n v="0"/>
    <n v="0"/>
    <n v="105"/>
    <s v="_x0000_US"/>
  </r>
  <r>
    <x v="4"/>
    <n v="13.6938"/>
    <n v="-89.175700000000006"/>
    <n v="315.04000000000002"/>
    <n v="0"/>
    <n v="0"/>
    <n v="105"/>
    <s v="_x0000_US"/>
  </r>
  <r>
    <x v="4"/>
    <n v="13.6896"/>
    <n v="-89.175700000000006"/>
    <n v="501.2"/>
    <n v="0"/>
    <n v="0"/>
    <n v="105"/>
    <s v="_x0000_US"/>
  </r>
  <r>
    <x v="4"/>
    <n v="13.6912"/>
    <n v="-89.175700000000006"/>
    <n v="773.28"/>
    <n v="0"/>
    <n v="0"/>
    <n v="105"/>
    <s v="_x0000_US"/>
  </r>
  <r>
    <x v="4"/>
    <n v="13.6907"/>
    <n v="-89.175700000000006"/>
    <n v="1059.68"/>
    <n v="0"/>
    <n v="0"/>
    <n v="105"/>
    <s v="_x0000_US"/>
  </r>
  <r>
    <x v="4"/>
    <n v="13.690300000000001"/>
    <n v="-89.175600000000003"/>
    <n v="128.88"/>
    <n v="0"/>
    <n v="0"/>
    <n v="105"/>
    <s v="_x0000_US"/>
  </r>
  <r>
    <x v="4"/>
    <n v="13.694000000000001"/>
    <n v="-89.175600000000003"/>
    <n v="214.8"/>
    <n v="0"/>
    <n v="0"/>
    <n v="105"/>
    <s v="_x0000_US"/>
  </r>
  <r>
    <x v="4"/>
    <n v="13.6942"/>
    <n v="-89.175600000000003"/>
    <n v="379.48"/>
    <n v="0"/>
    <n v="0"/>
    <n v="105"/>
    <s v="_x0000_US"/>
  </r>
  <r>
    <x v="4"/>
    <n v="13.692399999999999"/>
    <n v="-89.1755"/>
    <n v="164.68"/>
    <n v="0"/>
    <n v="0"/>
    <n v="105"/>
    <s v="_x0000_US"/>
  </r>
  <r>
    <x v="4"/>
    <n v="13.692600000000001"/>
    <n v="-89.1755"/>
    <n v="486.88"/>
    <n v="0"/>
    <n v="0"/>
    <n v="105"/>
    <s v="_x0000_US"/>
  </r>
  <r>
    <x v="4"/>
    <n v="13.6951"/>
    <n v="-89.1755"/>
    <n v="723.16"/>
    <n v="0"/>
    <n v="0"/>
    <n v="105"/>
    <s v="_x0000_US"/>
  </r>
  <r>
    <x v="4"/>
    <n v="13.6922"/>
    <n v="-89.175399999999996"/>
    <n v="164.68"/>
    <n v="0"/>
    <n v="0"/>
    <n v="105"/>
    <s v="_x0000_US"/>
  </r>
  <r>
    <x v="4"/>
    <n v="13.693899999999999"/>
    <n v="-89.175399999999996"/>
    <n v="257.76"/>
    <n v="0"/>
    <n v="0"/>
    <n v="105"/>
    <s v="_x0000_US"/>
  </r>
  <r>
    <x v="4"/>
    <n v="13.6921"/>
    <n v="-89.175299999999993"/>
    <n v="193.32"/>
    <n v="0"/>
    <n v="0"/>
    <n v="105"/>
    <s v="_x0000_US"/>
  </r>
  <r>
    <x v="4"/>
    <n v="13.694100000000001"/>
    <n v="-89.175299999999993"/>
    <n v="229.12"/>
    <n v="0"/>
    <n v="0"/>
    <n v="105"/>
    <s v="_x0000_US"/>
  </r>
  <r>
    <x v="4"/>
    <n v="13.6915"/>
    <n v="-89.175299999999993"/>
    <n v="329.36"/>
    <n v="0"/>
    <n v="0"/>
    <n v="105"/>
    <s v="_x0000_US"/>
  </r>
  <r>
    <x v="4"/>
    <n v="13.6905"/>
    <n v="-89.175299999999993"/>
    <n v="551.32000000000005"/>
    <n v="0"/>
    <n v="0"/>
    <n v="105"/>
    <s v="_x0000_US"/>
  </r>
  <r>
    <x v="4"/>
    <n v="13.692"/>
    <n v="-89.175200000000004"/>
    <n v="78.760000000000005"/>
    <n v="0"/>
    <n v="0"/>
    <n v="105"/>
    <s v="_x0000_US"/>
  </r>
  <r>
    <x v="4"/>
    <n v="13.6922"/>
    <n v="-89.175200000000004"/>
    <n v="164.68"/>
    <n v="0"/>
    <n v="0"/>
    <n v="105"/>
    <s v="_x0000_US"/>
  </r>
  <r>
    <x v="4"/>
    <n v="13.6943"/>
    <n v="-89.175200000000004"/>
    <n v="200.48"/>
    <n v="0"/>
    <n v="0"/>
    <n v="105"/>
    <s v="_x0000_US"/>
  </r>
  <r>
    <x v="4"/>
    <n v="13.690200000000001"/>
    <n v="-89.175200000000004"/>
    <n v="630.08000000000004"/>
    <n v="0"/>
    <n v="0"/>
    <n v="105"/>
    <s v="_x0000_US"/>
  </r>
  <r>
    <x v="4"/>
    <n v="13.6944"/>
    <n v="-89.1751"/>
    <n v="35.799999999999997"/>
    <n v="0"/>
    <n v="0"/>
    <n v="105"/>
    <s v="_x0000_US"/>
  </r>
  <r>
    <x v="4"/>
    <n v="13.6942"/>
    <n v="-89.1751"/>
    <n v="50.12"/>
    <n v="0"/>
    <n v="0"/>
    <n v="105"/>
    <s v="_x0000_US"/>
  </r>
  <r>
    <x v="4"/>
    <n v="13.694000000000001"/>
    <n v="-89.1751"/>
    <n v="71.599999999999994"/>
    <n v="0"/>
    <n v="0"/>
    <n v="105"/>
    <s v="_x0000_US"/>
  </r>
  <r>
    <x v="4"/>
    <n v="13.6942"/>
    <n v="-89.1751"/>
    <n v="78.760000000000005"/>
    <n v="0"/>
    <n v="0"/>
    <n v="105"/>
    <s v="_x0000_US"/>
  </r>
  <r>
    <x v="4"/>
    <n v="13.694100000000001"/>
    <n v="-89.1751"/>
    <n v="85.92"/>
    <n v="0"/>
    <n v="0"/>
    <n v="105"/>
    <s v="_x0000_US"/>
  </r>
  <r>
    <x v="4"/>
    <n v="13.6921"/>
    <n v="-89.1751"/>
    <n v="100.24"/>
    <n v="0"/>
    <n v="0"/>
    <n v="105"/>
    <s v="_x0000_US"/>
  </r>
  <r>
    <x v="4"/>
    <n v="13.6922"/>
    <n v="-89.1751"/>
    <n v="114.56"/>
    <n v="0"/>
    <n v="0"/>
    <n v="105"/>
    <s v="_x0000_US"/>
  </r>
  <r>
    <x v="4"/>
    <n v="13.6919"/>
    <n v="-89.1751"/>
    <n v="179"/>
    <n v="0"/>
    <n v="0"/>
    <n v="105"/>
    <s v="_x0000_US"/>
  </r>
  <r>
    <x v="4"/>
    <n v="13.6911"/>
    <n v="-89.1751"/>
    <n v="315.04000000000002"/>
    <n v="0"/>
    <n v="0"/>
    <n v="105"/>
    <s v="_x0000_US"/>
  </r>
  <r>
    <x v="4"/>
    <n v="13.6944"/>
    <n v="-89.174999999999997"/>
    <n v="14.32"/>
    <n v="0"/>
    <n v="0"/>
    <n v="105"/>
    <s v="_x0000_US"/>
  </r>
  <r>
    <x v="4"/>
    <n v="13.6944"/>
    <n v="-89.174999999999997"/>
    <n v="57.28"/>
    <n v="0"/>
    <n v="0"/>
    <n v="105"/>
    <s v="_x0000_US"/>
  </r>
  <r>
    <x v="4"/>
    <n v="13.6942"/>
    <n v="-89.174999999999997"/>
    <n v="71.599999999999994"/>
    <n v="0"/>
    <n v="0"/>
    <n v="105"/>
    <s v="_x0000_US"/>
  </r>
  <r>
    <x v="4"/>
    <n v="13.6945"/>
    <n v="-89.174999999999997"/>
    <n v="71.599999999999994"/>
    <n v="0"/>
    <n v="0"/>
    <n v="105"/>
    <s v="_x0000_US"/>
  </r>
  <r>
    <x v="4"/>
    <n v="13.6944"/>
    <n v="-89.174999999999997"/>
    <n v="85.92"/>
    <n v="0"/>
    <n v="0"/>
    <n v="105"/>
    <s v="_x0000_US"/>
  </r>
  <r>
    <x v="4"/>
    <n v="13.694000000000001"/>
    <n v="-89.174999999999997"/>
    <n v="114.56"/>
    <n v="0"/>
    <n v="0"/>
    <n v="105"/>
    <s v="_x0000_US"/>
  </r>
  <r>
    <x v="4"/>
    <n v="13.6943"/>
    <n v="-89.174999999999997"/>
    <n v="179"/>
    <n v="0"/>
    <n v="0"/>
    <n v="105"/>
    <s v="_x0000_US"/>
  </r>
  <r>
    <x v="4"/>
    <n v="13.690799999999999"/>
    <n v="-89.174999999999997"/>
    <n v="257.76"/>
    <n v="0"/>
    <n v="0"/>
    <n v="105"/>
    <s v="_x0000_US"/>
  </r>
  <r>
    <x v="4"/>
    <n v="13.692"/>
    <n v="-89.174999999999997"/>
    <n v="264.92"/>
    <n v="0"/>
    <n v="0"/>
    <n v="105"/>
    <s v="_x0000_US"/>
  </r>
  <r>
    <x v="4"/>
    <n v="13.692399999999999"/>
    <n v="-89.174999999999997"/>
    <n v="315.04000000000002"/>
    <n v="0"/>
    <n v="0"/>
    <n v="105"/>
    <s v="_x0000_US"/>
  </r>
  <r>
    <x v="4"/>
    <n v="13.690300000000001"/>
    <n v="-89.174899999999994"/>
    <n v="35.799999999999997"/>
    <n v="0"/>
    <n v="0"/>
    <n v="105"/>
    <s v="_x0000_US"/>
  </r>
  <r>
    <x v="4"/>
    <n v="13.6922"/>
    <n v="-89.174899999999994"/>
    <n v="114.56"/>
    <n v="0"/>
    <n v="0"/>
    <n v="105"/>
    <s v="_x0000_US"/>
  </r>
  <r>
    <x v="4"/>
    <n v="13.6944"/>
    <n v="-89.174899999999994"/>
    <n v="128.88"/>
    <n v="0"/>
    <n v="0"/>
    <n v="105"/>
    <s v="_x0000_US"/>
  </r>
  <r>
    <x v="4"/>
    <n v="13.694100000000001"/>
    <n v="-89.174899999999994"/>
    <n v="186.16"/>
    <n v="0"/>
    <n v="0"/>
    <n v="105"/>
    <s v="_x0000_US"/>
  </r>
  <r>
    <x v="4"/>
    <n v="13.6905"/>
    <n v="-89.174899999999994"/>
    <n v="264.92"/>
    <n v="0"/>
    <n v="0"/>
    <n v="105"/>
    <s v="_x0000_US"/>
  </r>
  <r>
    <x v="4"/>
    <n v="13.6959"/>
    <n v="-89.174899999999994"/>
    <n v="2438.58"/>
    <n v="0"/>
    <n v="0"/>
    <n v="105"/>
    <s v="_x0000_US"/>
  </r>
  <r>
    <x v="4"/>
    <n v="13.692399999999999"/>
    <n v="-89.174800000000005"/>
    <n v="64.44"/>
    <n v="0"/>
    <n v="0"/>
    <n v="105"/>
    <s v="_x0000_US"/>
  </r>
  <r>
    <x v="4"/>
    <n v="13.690300000000001"/>
    <n v="-89.174800000000005"/>
    <n v="93.08"/>
    <n v="0"/>
    <n v="0"/>
    <n v="105"/>
    <s v="_x0000_US"/>
  </r>
  <r>
    <x v="4"/>
    <n v="13.6921"/>
    <n v="-89.174800000000005"/>
    <n v="243.44"/>
    <n v="0"/>
    <n v="0"/>
    <n v="105"/>
    <s v="_x0000_US"/>
  </r>
  <r>
    <x v="4"/>
    <n v="13.6943"/>
    <n v="-89.174800000000005"/>
    <n v="250.6"/>
    <n v="0"/>
    <n v="0"/>
    <n v="105"/>
    <s v="_x0000_US"/>
  </r>
  <r>
    <x v="4"/>
    <n v="13.6953"/>
    <n v="-89.174700000000001"/>
    <n v="622.91999999999996"/>
    <n v="0"/>
    <n v="0"/>
    <n v="105"/>
    <s v="_x0000_US"/>
  </r>
  <r>
    <x v="4"/>
    <n v="13.6943"/>
    <n v="-89.174599999999998"/>
    <n v="71.599999999999994"/>
    <n v="0"/>
    <n v="0"/>
    <n v="105"/>
    <s v="_x0000_US"/>
  </r>
  <r>
    <x v="4"/>
    <n v="13.690799999999999"/>
    <n v="-89.174599999999998"/>
    <n v="529.84"/>
    <n v="0"/>
    <n v="0"/>
    <n v="105"/>
    <s v="_x0000_US"/>
  </r>
  <r>
    <x v="4"/>
    <n v="13.6915"/>
    <n v="-89.174599999999998"/>
    <n v="1059.68"/>
    <n v="0"/>
    <n v="0"/>
    <n v="105"/>
    <s v="_x0000_US"/>
  </r>
  <r>
    <x v="4"/>
    <n v="13.695399999999999"/>
    <n v="-89.174400000000006"/>
    <n v="279.24"/>
    <n v="0"/>
    <n v="0"/>
    <n v="105"/>
    <s v="_x0000_US"/>
  </r>
  <r>
    <x v="4"/>
    <n v="13.6944"/>
    <n v="-89.174400000000006"/>
    <n v="279.24"/>
    <n v="0"/>
    <n v="0"/>
    <n v="105"/>
    <s v="_x0000_US"/>
  </r>
  <r>
    <x v="4"/>
    <n v="13.6912"/>
    <n v="-89.174400000000006"/>
    <n v="1074"/>
    <n v="0"/>
    <n v="0"/>
    <n v="105"/>
    <s v="_x0000_US"/>
  </r>
  <r>
    <x v="4"/>
    <n v="13.694599999999999"/>
    <n v="-89.174300000000002"/>
    <n v="214.8"/>
    <n v="0"/>
    <n v="0"/>
    <n v="105"/>
    <s v="_x0000_US"/>
  </r>
  <r>
    <x v="4"/>
    <n v="13.692500000000001"/>
    <n v="-89.174300000000002"/>
    <n v="766.12"/>
    <n v="0"/>
    <n v="0"/>
    <n v="105"/>
    <s v="_x0000_US"/>
  </r>
  <r>
    <x v="4"/>
    <n v="13.692299999999999"/>
    <n v="-89.174300000000002"/>
    <n v="902.16"/>
    <n v="0"/>
    <n v="0"/>
    <n v="105"/>
    <s v="_x0000_US"/>
  </r>
  <r>
    <x v="4"/>
    <n v="13.6953"/>
    <n v="-89.174199999999999"/>
    <n v="179"/>
    <n v="0"/>
    <n v="0"/>
    <n v="105"/>
    <s v="_x0000_US"/>
  </r>
  <r>
    <x v="4"/>
    <n v="13.694900000000001"/>
    <n v="-89.174199999999999"/>
    <n v="200.48"/>
    <n v="0"/>
    <n v="0"/>
    <n v="105"/>
    <s v="_x0000_US"/>
  </r>
  <r>
    <x v="4"/>
    <n v="13.6937"/>
    <n v="-89.174199999999999"/>
    <n v="257.76"/>
    <n v="0"/>
    <n v="0"/>
    <n v="105"/>
    <s v="_x0000_US"/>
  </r>
  <r>
    <x v="4"/>
    <n v="13.6951"/>
    <n v="-89.174199999999999"/>
    <n v="279.24"/>
    <n v="0"/>
    <n v="0"/>
    <n v="105"/>
    <s v="_x0000_US"/>
  </r>
  <r>
    <x v="4"/>
    <n v="13.6952"/>
    <n v="-89.174099999999996"/>
    <n v="78.760000000000005"/>
    <n v="0"/>
    <n v="0"/>
    <n v="105"/>
    <s v="_x0000_US"/>
  </r>
  <r>
    <x v="4"/>
    <n v="13.694699999999999"/>
    <n v="-89.174099999999996"/>
    <n v="143.19999999999999"/>
    <n v="0"/>
    <n v="0"/>
    <n v="105"/>
    <s v="_x0000_US"/>
  </r>
  <r>
    <x v="4"/>
    <n v="13.694599999999999"/>
    <n v="-89.174099999999996"/>
    <n v="179"/>
    <n v="0"/>
    <n v="0"/>
    <n v="105"/>
    <s v="_x0000_US"/>
  </r>
  <r>
    <x v="4"/>
    <n v="13.695399999999999"/>
    <n v="-89.174099999999996"/>
    <n v="193.32"/>
    <n v="0"/>
    <n v="0"/>
    <n v="105"/>
    <s v="_x0000_US"/>
  </r>
  <r>
    <x v="4"/>
    <n v="13.6957"/>
    <n v="-89.174099999999996"/>
    <n v="558.48"/>
    <n v="0"/>
    <n v="0"/>
    <n v="105"/>
    <s v="_x0000_US"/>
  </r>
  <r>
    <x v="4"/>
    <n v="13.694900000000001"/>
    <n v="-89.174000000000007"/>
    <n v="42.96"/>
    <n v="0"/>
    <n v="0"/>
    <n v="105"/>
    <s v="_x0000_US"/>
  </r>
  <r>
    <x v="4"/>
    <n v="13.694900000000001"/>
    <n v="-89.174000000000007"/>
    <n v="85.92"/>
    <n v="0"/>
    <n v="0"/>
    <n v="105"/>
    <s v="_x0000_US"/>
  </r>
  <r>
    <x v="4"/>
    <n v="13.694800000000001"/>
    <n v="-89.174000000000007"/>
    <n v="193.32"/>
    <n v="0"/>
    <n v="0"/>
    <n v="105"/>
    <s v="_x0000_US"/>
  </r>
  <r>
    <x v="4"/>
    <n v="13.6929"/>
    <n v="-89.174000000000007"/>
    <n v="214.8"/>
    <n v="0"/>
    <n v="0"/>
    <n v="105"/>
    <s v="_x0000_US"/>
  </r>
  <r>
    <x v="4"/>
    <n v="13.693199999999999"/>
    <n v="-89.174000000000007"/>
    <n v="236.28"/>
    <n v="0"/>
    <n v="0"/>
    <n v="105"/>
    <s v="_x0000_US"/>
  </r>
  <r>
    <x v="4"/>
    <n v="13.6936"/>
    <n v="-89.174000000000007"/>
    <n v="315.04000000000002"/>
    <n v="0"/>
    <n v="0"/>
    <n v="105"/>
    <s v="_x0000_US"/>
  </r>
  <r>
    <x v="4"/>
    <n v="13.695399999999999"/>
    <n v="-89.173900000000003"/>
    <n v="50.12"/>
    <n v="0"/>
    <n v="0"/>
    <n v="105"/>
    <s v="_x0000_US"/>
  </r>
  <r>
    <x v="4"/>
    <n v="13.694800000000001"/>
    <n v="-89.173900000000003"/>
    <n v="64.44"/>
    <n v="0"/>
    <n v="0"/>
    <n v="105"/>
    <s v="_x0000_US"/>
  </r>
  <r>
    <x v="4"/>
    <n v="13.6927"/>
    <n v="-89.173900000000003"/>
    <n v="107.4"/>
    <n v="0"/>
    <n v="0"/>
    <n v="105"/>
    <s v="_x0000_US"/>
  </r>
  <r>
    <x v="4"/>
    <n v="13.695"/>
    <n v="-89.173900000000003"/>
    <n v="128.88"/>
    <n v="0"/>
    <n v="0"/>
    <n v="105"/>
    <s v="_x0000_US"/>
  </r>
  <r>
    <x v="4"/>
    <n v="13.693099999999999"/>
    <n v="-89.173900000000003"/>
    <n v="171.84"/>
    <n v="0"/>
    <n v="0"/>
    <n v="105"/>
    <s v="_x0000_US"/>
  </r>
  <r>
    <x v="4"/>
    <n v="13.6952"/>
    <n v="-89.173900000000003"/>
    <n v="293.56"/>
    <n v="0"/>
    <n v="0"/>
    <n v="105"/>
    <s v="_x0000_US"/>
  </r>
  <r>
    <x v="4"/>
    <n v="13.6957"/>
    <n v="-89.1738"/>
    <n v="107.4"/>
    <n v="0"/>
    <n v="0"/>
    <n v="105"/>
    <s v="_x0000_US"/>
  </r>
  <r>
    <x v="4"/>
    <n v="13.695399999999999"/>
    <n v="-89.1738"/>
    <n v="121.72"/>
    <n v="0"/>
    <n v="0"/>
    <n v="105"/>
    <s v="_x0000_US"/>
  </r>
  <r>
    <x v="4"/>
    <n v="13.695499999999999"/>
    <n v="-89.1738"/>
    <n v="136.04"/>
    <n v="0"/>
    <n v="0"/>
    <n v="105"/>
    <s v="_x0000_US"/>
  </r>
  <r>
    <x v="4"/>
    <n v="13.693"/>
    <n v="-89.1738"/>
    <n v="179"/>
    <n v="0"/>
    <n v="0"/>
    <n v="105"/>
    <s v="_x0000_US"/>
  </r>
  <r>
    <x v="4"/>
    <n v="13.6927"/>
    <n v="-89.1738"/>
    <n v="236.28"/>
    <n v="0"/>
    <n v="0"/>
    <n v="105"/>
    <s v="_x0000_US"/>
  </r>
  <r>
    <x v="4"/>
    <n v="13.691599999999999"/>
    <n v="-89.1738"/>
    <n v="307.88"/>
    <n v="0"/>
    <n v="0"/>
    <n v="105"/>
    <s v="_x0000_US"/>
  </r>
  <r>
    <x v="4"/>
    <n v="13.695399999999999"/>
    <n v="-89.173699999999997"/>
    <n v="78.760000000000005"/>
    <n v="0"/>
    <n v="0"/>
    <n v="105"/>
    <s v="_x0000_US"/>
  </r>
  <r>
    <x v="4"/>
    <n v="13.695499999999999"/>
    <n v="-89.173699999999997"/>
    <n v="93.08"/>
    <n v="0"/>
    <n v="0"/>
    <n v="105"/>
    <s v="_x0000_US"/>
  </r>
  <r>
    <x v="4"/>
    <n v="13.6957"/>
    <n v="-89.173699999999997"/>
    <n v="100.24"/>
    <n v="0"/>
    <n v="0"/>
    <n v="105"/>
    <s v="_x0000_US"/>
  </r>
  <r>
    <x v="4"/>
    <n v="13.695600000000001"/>
    <n v="-89.173699999999997"/>
    <n v="100.24"/>
    <n v="0"/>
    <n v="0"/>
    <n v="105"/>
    <s v="_x0000_US"/>
  </r>
  <r>
    <x v="4"/>
    <n v="13.695600000000001"/>
    <n v="-89.173699999999997"/>
    <n v="121.72"/>
    <n v="0"/>
    <n v="0"/>
    <n v="105"/>
    <s v="_x0000_US"/>
  </r>
  <r>
    <x v="4"/>
    <n v="13.6913"/>
    <n v="-89.173699999999997"/>
    <n v="128.88"/>
    <n v="0"/>
    <n v="0"/>
    <n v="105"/>
    <s v="_x0000_US"/>
  </r>
  <r>
    <x v="4"/>
    <n v="13.6953"/>
    <n v="-89.173699999999997"/>
    <n v="157.52000000000001"/>
    <n v="0"/>
    <n v="0"/>
    <n v="105"/>
    <s v="_x0000_US"/>
  </r>
  <r>
    <x v="4"/>
    <n v="13.694599999999999"/>
    <n v="-89.173699999999997"/>
    <n v="429.6"/>
    <n v="0"/>
    <n v="0"/>
    <n v="105"/>
    <s v="_x0000_US"/>
  </r>
  <r>
    <x v="4"/>
    <n v="13.6935"/>
    <n v="-89.173699999999997"/>
    <n v="494.04"/>
    <n v="0"/>
    <n v="0"/>
    <n v="105"/>
    <s v="_x0000_US"/>
  </r>
  <r>
    <x v="4"/>
    <n v="13.695600000000001"/>
    <n v="-89.173599999999993"/>
    <n v="57.28"/>
    <n v="0"/>
    <n v="0"/>
    <n v="105"/>
    <s v="_x0000_US"/>
  </r>
  <r>
    <x v="4"/>
    <n v="13.695499999999999"/>
    <n v="-89.173599999999993"/>
    <n v="100.24"/>
    <n v="0"/>
    <n v="0"/>
    <n v="105"/>
    <s v="_x0000_US"/>
  </r>
  <r>
    <x v="4"/>
    <n v="13.6938"/>
    <n v="-89.173599999999993"/>
    <n v="221.96"/>
    <n v="0"/>
    <n v="0"/>
    <n v="105"/>
    <s v="_x0000_US"/>
  </r>
  <r>
    <x v="4"/>
    <n v="13.694100000000001"/>
    <n v="-89.173599999999993"/>
    <n v="264.92"/>
    <n v="0"/>
    <n v="0"/>
    <n v="105"/>
    <s v="_x0000_US"/>
  </r>
  <r>
    <x v="4"/>
    <n v="13.692500000000001"/>
    <n v="-89.173599999999993"/>
    <n v="279.24"/>
    <n v="0"/>
    <n v="0"/>
    <n v="105"/>
    <s v="_x0000_US"/>
  </r>
  <r>
    <x v="4"/>
    <n v="13.6919"/>
    <n v="-89.173599999999993"/>
    <n v="551.32000000000005"/>
    <n v="0"/>
    <n v="0"/>
    <n v="105"/>
    <s v="_x0000_US"/>
  </r>
  <r>
    <x v="4"/>
    <n v="13.693300000000001"/>
    <n v="-89.173599999999993"/>
    <n v="558.48"/>
    <n v="0"/>
    <n v="0"/>
    <n v="105"/>
    <s v="_x0000_US"/>
  </r>
  <r>
    <x v="4"/>
    <n v="13.695"/>
    <n v="-89.173599999999993"/>
    <n v="572.79999999999995"/>
    <n v="0"/>
    <n v="0"/>
    <n v="105"/>
    <s v="_x0000_US"/>
  </r>
  <r>
    <x v="4"/>
    <n v="13.695499999999999"/>
    <n v="-89.173500000000004"/>
    <n v="143.19999999999999"/>
    <n v="0"/>
    <n v="0"/>
    <n v="105"/>
    <s v="_x0000_US"/>
  </r>
  <r>
    <x v="4"/>
    <n v="13.6942"/>
    <n v="-89.173500000000004"/>
    <n v="236.28"/>
    <n v="0"/>
    <n v="0"/>
    <n v="105"/>
    <s v="_x0000_US"/>
  </r>
  <r>
    <x v="4"/>
    <n v="13.693899999999999"/>
    <n v="-89.173500000000004"/>
    <n v="322.2"/>
    <n v="0"/>
    <n v="0"/>
    <n v="105"/>
    <s v="_x0000_US"/>
  </r>
  <r>
    <x v="4"/>
    <n v="13.6953"/>
    <n v="-89.173500000000004"/>
    <n v="508.36"/>
    <n v="0"/>
    <n v="0"/>
    <n v="105"/>
    <s v="_x0000_US"/>
  </r>
  <r>
    <x v="4"/>
    <n v="13.695399999999999"/>
    <n v="-89.173400000000001"/>
    <n v="78.760000000000005"/>
    <n v="0"/>
    <n v="0"/>
    <n v="105"/>
    <s v="_x0000_US"/>
  </r>
  <r>
    <x v="4"/>
    <n v="13.6915"/>
    <n v="-89.173400000000001"/>
    <n v="529.84"/>
    <n v="0"/>
    <n v="0"/>
    <n v="105"/>
    <s v="_x0000_US"/>
  </r>
  <r>
    <x v="4"/>
    <n v="13.6953"/>
    <n v="-89.173299999999998"/>
    <n v="136.04"/>
    <n v="0"/>
    <n v="0"/>
    <n v="105"/>
    <s v="_x0000_US"/>
  </r>
  <r>
    <x v="4"/>
    <n v="13.6937"/>
    <n v="-89.173299999999998"/>
    <n v="214.8"/>
    <n v="0"/>
    <n v="0"/>
    <n v="105"/>
    <s v="_x0000_US"/>
  </r>
  <r>
    <x v="4"/>
    <n v="13.691800000000001"/>
    <n v="-89.173199999999994"/>
    <n v="307.88"/>
    <n v="0"/>
    <n v="0"/>
    <n v="105"/>
    <s v="_x0000_US"/>
  </r>
  <r>
    <x v="4"/>
    <n v="13.6936"/>
    <n v="-89.173199999999994"/>
    <n v="336.52"/>
    <n v="0"/>
    <n v="0"/>
    <n v="105"/>
    <s v="_x0000_US"/>
  </r>
  <r>
    <x v="4"/>
    <n v="13.698"/>
    <n v="-89.173199999999994"/>
    <n v="379.48"/>
    <n v="0"/>
    <n v="0"/>
    <n v="105"/>
    <s v="_x0000_US"/>
  </r>
  <r>
    <x v="4"/>
    <n v="13.6958"/>
    <n v="-89.173199999999994"/>
    <n v="809.08"/>
    <n v="0"/>
    <n v="0"/>
    <n v="105"/>
    <s v="_x0000_US"/>
  </r>
  <r>
    <x v="4"/>
    <n v="13.696"/>
    <n v="-89.173199999999994"/>
    <n v="887.84"/>
    <n v="0"/>
    <n v="0"/>
    <n v="105"/>
    <s v="_x0000_US"/>
  </r>
  <r>
    <x v="4"/>
    <n v="13.691599999999999"/>
    <n v="-89.173100000000005"/>
    <n v="7.16"/>
    <n v="0"/>
    <n v="0"/>
    <n v="105"/>
    <s v="_x0000_US"/>
  </r>
  <r>
    <x v="4"/>
    <n v="13.693300000000001"/>
    <n v="-89.173100000000005"/>
    <n v="200.48"/>
    <n v="0"/>
    <n v="0"/>
    <n v="105"/>
    <s v="_x0000_US"/>
  </r>
  <r>
    <x v="4"/>
    <n v="13.6937"/>
    <n v="-89.173100000000005"/>
    <n v="286.39999999999998"/>
    <n v="0"/>
    <n v="0"/>
    <n v="105"/>
    <s v="_x0000_US"/>
  </r>
  <r>
    <x v="4"/>
    <n v="13.6968"/>
    <n v="-89.173000000000002"/>
    <n v="28.64"/>
    <n v="0"/>
    <n v="0"/>
    <n v="105"/>
    <s v="_x0000_US"/>
  </r>
  <r>
    <x v="4"/>
    <n v="13.6935"/>
    <n v="-89.173000000000002"/>
    <n v="100.24"/>
    <n v="0"/>
    <n v="0"/>
    <n v="105"/>
    <s v="_x0000_US"/>
  </r>
  <r>
    <x v="4"/>
    <n v="13.698"/>
    <n v="-89.173000000000002"/>
    <n v="100.24"/>
    <n v="0"/>
    <n v="0"/>
    <n v="105"/>
    <s v="_x0000_US"/>
  </r>
  <r>
    <x v="4"/>
    <n v="13.694100000000001"/>
    <n v="-89.173000000000002"/>
    <n v="565.64"/>
    <n v="0"/>
    <n v="0"/>
    <n v="105"/>
    <s v="_x0000_US"/>
  </r>
  <r>
    <x v="4"/>
    <n v="13.694599999999999"/>
    <n v="-89.173000000000002"/>
    <n v="959.44"/>
    <n v="0"/>
    <n v="0"/>
    <n v="105"/>
    <s v="_x0000_US"/>
  </r>
  <r>
    <x v="4"/>
    <n v="13.6974"/>
    <n v="-89.172899999999998"/>
    <n v="50.12"/>
    <n v="0"/>
    <n v="0"/>
    <n v="105"/>
    <s v="_x0000_US"/>
  </r>
  <r>
    <x v="4"/>
    <n v="13.6934"/>
    <n v="-89.172899999999998"/>
    <n v="107.4"/>
    <n v="0"/>
    <n v="0"/>
    <n v="105"/>
    <s v="_x0000_US"/>
  </r>
  <r>
    <x v="4"/>
    <n v="13.6976"/>
    <n v="-89.172899999999998"/>
    <n v="128.88"/>
    <n v="0"/>
    <n v="0"/>
    <n v="105"/>
    <s v="_x0000_US"/>
  </r>
  <r>
    <x v="4"/>
    <n v="13.697800000000001"/>
    <n v="-89.172899999999998"/>
    <n v="243.44"/>
    <n v="0"/>
    <n v="0"/>
    <n v="105"/>
    <s v="_x0000_US"/>
  </r>
  <r>
    <x v="4"/>
    <n v="13.697100000000001"/>
    <n v="-89.172899999999998"/>
    <n v="479.72"/>
    <n v="0"/>
    <n v="0"/>
    <n v="105"/>
    <s v="_x0000_US"/>
  </r>
  <r>
    <x v="4"/>
    <n v="13.692"/>
    <n v="-89.172899999999998"/>
    <n v="508.36"/>
    <n v="0"/>
    <n v="0"/>
    <n v="105"/>
    <s v="_x0000_US"/>
  </r>
  <r>
    <x v="4"/>
    <n v="13.6957"/>
    <n v="-89.172899999999998"/>
    <n v="945.12"/>
    <n v="0"/>
    <n v="0"/>
    <n v="105"/>
    <s v="_x0000_US"/>
  </r>
  <r>
    <x v="4"/>
    <n v="13.6975"/>
    <n v="-89.172799999999995"/>
    <n v="21.48"/>
    <n v="0"/>
    <n v="0"/>
    <n v="105"/>
    <s v="_x0000_US"/>
  </r>
  <r>
    <x v="4"/>
    <n v="13.697699999999999"/>
    <n v="-89.172799999999995"/>
    <n v="50.12"/>
    <n v="0"/>
    <n v="0"/>
    <n v="105"/>
    <s v="_x0000_US"/>
  </r>
  <r>
    <x v="4"/>
    <n v="13.6968"/>
    <n v="-89.172799999999995"/>
    <n v="50.12"/>
    <n v="0"/>
    <n v="0"/>
    <n v="105"/>
    <s v="_x0000_US"/>
  </r>
  <r>
    <x v="4"/>
    <n v="13.6966"/>
    <n v="-89.172799999999995"/>
    <n v="57.28"/>
    <n v="0"/>
    <n v="0"/>
    <n v="105"/>
    <s v="_x0000_US"/>
  </r>
  <r>
    <x v="4"/>
    <n v="13.6968"/>
    <n v="-89.172799999999995"/>
    <n v="57.28"/>
    <n v="0"/>
    <n v="0"/>
    <n v="105"/>
    <s v="_x0000_US"/>
  </r>
  <r>
    <x v="4"/>
    <n v="13.6967"/>
    <n v="-89.172799999999995"/>
    <n v="71.599999999999994"/>
    <n v="0"/>
    <n v="0"/>
    <n v="105"/>
    <s v="_x0000_US"/>
  </r>
  <r>
    <x v="4"/>
    <n v="13.6975"/>
    <n v="-89.172799999999995"/>
    <n v="93.08"/>
    <n v="0"/>
    <n v="0"/>
    <n v="105"/>
    <s v="_x0000_US"/>
  </r>
  <r>
    <x v="4"/>
    <n v="13.6935"/>
    <n v="-89.172799999999995"/>
    <n v="100.24"/>
    <n v="0"/>
    <n v="0"/>
    <n v="105"/>
    <s v="_x0000_US"/>
  </r>
  <r>
    <x v="4"/>
    <n v="13.6976"/>
    <n v="-89.172799999999995"/>
    <n v="128.88"/>
    <n v="0"/>
    <n v="0"/>
    <n v="105"/>
    <s v="_x0000_US"/>
  </r>
  <r>
    <x v="4"/>
    <n v="13.696400000000001"/>
    <n v="-89.172799999999995"/>
    <n v="150.36000000000001"/>
    <n v="0"/>
    <n v="0"/>
    <n v="105"/>
    <s v="_x0000_US"/>
  </r>
  <r>
    <x v="4"/>
    <n v="13.6968"/>
    <n v="-89.172799999999995"/>
    <n v="164.68"/>
    <n v="0"/>
    <n v="0"/>
    <n v="105"/>
    <s v="_x0000_US"/>
  </r>
  <r>
    <x v="4"/>
    <n v="13.697800000000001"/>
    <n v="-89.172799999999995"/>
    <n v="315.04000000000002"/>
    <n v="0"/>
    <n v="0"/>
    <n v="105"/>
    <s v="_x0000_US"/>
  </r>
  <r>
    <x v="4"/>
    <n v="13.695499999999999"/>
    <n v="-89.172799999999995"/>
    <n v="880.68"/>
    <n v="0"/>
    <n v="0"/>
    <n v="105"/>
    <s v="_x0000_US"/>
  </r>
  <r>
    <x v="4"/>
    <n v="13.696999999999999"/>
    <n v="-89.172700000000006"/>
    <n v="50.12"/>
    <n v="0"/>
    <n v="0"/>
    <n v="105"/>
    <s v="_x0000_US"/>
  </r>
  <r>
    <x v="4"/>
    <n v="13.697100000000001"/>
    <n v="-89.172700000000006"/>
    <n v="50.12"/>
    <n v="0"/>
    <n v="0"/>
    <n v="105"/>
    <s v="_x0000_US"/>
  </r>
  <r>
    <x v="4"/>
    <n v="13.6968"/>
    <n v="-89.172700000000006"/>
    <n v="50.12"/>
    <n v="0"/>
    <n v="0"/>
    <n v="105"/>
    <s v="_x0000_US"/>
  </r>
  <r>
    <x v="4"/>
    <n v="13.696999999999999"/>
    <n v="-89.172700000000006"/>
    <n v="64.44"/>
    <n v="0"/>
    <n v="0"/>
    <n v="105"/>
    <s v="_x0000_US"/>
  </r>
  <r>
    <x v="4"/>
    <n v="13.696999999999999"/>
    <n v="-89.172700000000006"/>
    <n v="78.760000000000005"/>
    <n v="0"/>
    <n v="0"/>
    <n v="105"/>
    <s v="_x0000_US"/>
  </r>
  <r>
    <x v="4"/>
    <n v="13.696899999999999"/>
    <n v="-89.172700000000006"/>
    <n v="78.760000000000005"/>
    <n v="0"/>
    <n v="0"/>
    <n v="105"/>
    <s v="_x0000_US"/>
  </r>
  <r>
    <x v="4"/>
    <n v="13.696400000000001"/>
    <n v="-89.172700000000006"/>
    <n v="150.36000000000001"/>
    <n v="0"/>
    <n v="0"/>
    <n v="105"/>
    <s v="_x0000_US"/>
  </r>
  <r>
    <x v="4"/>
    <n v="13.697699999999999"/>
    <n v="-89.172700000000006"/>
    <n v="157.52000000000001"/>
    <n v="0"/>
    <n v="0"/>
    <n v="105"/>
    <s v="_x0000_US"/>
  </r>
  <r>
    <x v="4"/>
    <n v="13.6966"/>
    <n v="-89.172700000000006"/>
    <n v="207.64"/>
    <n v="0"/>
    <n v="0"/>
    <n v="105"/>
    <s v="_x0000_US"/>
  </r>
  <r>
    <x v="4"/>
    <n v="13.694000000000001"/>
    <n v="-89.172700000000006"/>
    <n v="372.32"/>
    <n v="0"/>
    <n v="0"/>
    <n v="105"/>
    <s v="_x0000_US"/>
  </r>
  <r>
    <x v="4"/>
    <n v="13.6938"/>
    <n v="-89.172700000000006"/>
    <n v="436.76"/>
    <n v="0"/>
    <n v="0"/>
    <n v="105"/>
    <s v="_x0000_US"/>
  </r>
  <r>
    <x v="4"/>
    <n v="13.6965"/>
    <n v="-89.172600000000003"/>
    <n v="42.96"/>
    <n v="0"/>
    <n v="0"/>
    <n v="105"/>
    <s v="_x0000_US"/>
  </r>
  <r>
    <x v="4"/>
    <n v="13.696899999999999"/>
    <n v="-89.172600000000003"/>
    <n v="114.56"/>
    <n v="0"/>
    <n v="0"/>
    <n v="105"/>
    <s v="_x0000_US"/>
  </r>
  <r>
    <x v="4"/>
    <n v="13.696400000000001"/>
    <n v="-89.172600000000003"/>
    <n v="121.72"/>
    <n v="0"/>
    <n v="0"/>
    <n v="105"/>
    <s v="_x0000_US"/>
  </r>
  <r>
    <x v="4"/>
    <n v="13.696"/>
    <n v="-89.172600000000003"/>
    <n v="150.36000000000001"/>
    <n v="0"/>
    <n v="0"/>
    <n v="105"/>
    <s v="_x0000_US"/>
  </r>
  <r>
    <x v="4"/>
    <n v="13.697100000000001"/>
    <n v="-89.172600000000003"/>
    <n v="186.16"/>
    <n v="0"/>
    <n v="0"/>
    <n v="105"/>
    <s v="_x0000_US"/>
  </r>
  <r>
    <x v="4"/>
    <n v="13.696099999999999"/>
    <n v="-89.172600000000003"/>
    <n v="193.32"/>
    <n v="0"/>
    <n v="0"/>
    <n v="105"/>
    <s v="_x0000_US"/>
  </r>
  <r>
    <x v="4"/>
    <n v="13.6975"/>
    <n v="-89.172600000000003"/>
    <n v="279.24"/>
    <n v="0"/>
    <n v="0"/>
    <n v="105"/>
    <s v="_x0000_US"/>
  </r>
  <r>
    <x v="4"/>
    <n v="13.697699999999999"/>
    <n v="-89.172600000000003"/>
    <n v="336.52"/>
    <n v="0"/>
    <n v="0"/>
    <n v="105"/>
    <s v="_x0000_US"/>
  </r>
  <r>
    <x v="4"/>
    <n v="13.696"/>
    <n v="-89.172499999999999"/>
    <n v="21.48"/>
    <n v="0"/>
    <n v="0"/>
    <n v="105"/>
    <s v="_x0000_US"/>
  </r>
  <r>
    <x v="4"/>
    <n v="13.6968"/>
    <n v="-89.172499999999999"/>
    <n v="42.96"/>
    <n v="0"/>
    <n v="0"/>
    <n v="105"/>
    <s v="_x0000_US"/>
  </r>
  <r>
    <x v="4"/>
    <n v="13.696"/>
    <n v="-89.172499999999999"/>
    <n v="42.96"/>
    <n v="0"/>
    <n v="0"/>
    <n v="105"/>
    <s v="_x0000_US"/>
  </r>
  <r>
    <x v="4"/>
    <n v="13.696099999999999"/>
    <n v="-89.172499999999999"/>
    <n v="42.96"/>
    <n v="0"/>
    <n v="0"/>
    <n v="105"/>
    <s v="_x0000_US"/>
  </r>
  <r>
    <x v="4"/>
    <n v="13.696099999999999"/>
    <n v="-89.172499999999999"/>
    <n v="64.44"/>
    <n v="0"/>
    <n v="0"/>
    <n v="105"/>
    <s v="_x0000_US"/>
  </r>
  <r>
    <x v="4"/>
    <n v="13.696400000000001"/>
    <n v="-89.172499999999999"/>
    <n v="78.760000000000005"/>
    <n v="0"/>
    <n v="0"/>
    <n v="105"/>
    <s v="_x0000_US"/>
  </r>
  <r>
    <x v="4"/>
    <n v="13.6968"/>
    <n v="-89.172499999999999"/>
    <n v="93.08"/>
    <n v="0"/>
    <n v="0"/>
    <n v="105"/>
    <s v="_x0000_US"/>
  </r>
  <r>
    <x v="4"/>
    <n v="13.696199999999999"/>
    <n v="-89.172499999999999"/>
    <n v="100.24"/>
    <n v="0"/>
    <n v="0"/>
    <n v="105"/>
    <s v="_x0000_US"/>
  </r>
  <r>
    <x v="4"/>
    <n v="13.6919"/>
    <n v="-89.172499999999999"/>
    <n v="200.48"/>
    <n v="0"/>
    <n v="0"/>
    <n v="105"/>
    <s v="_x0000_US"/>
  </r>
  <r>
    <x v="4"/>
    <n v="13.6922"/>
    <n v="-89.172499999999999"/>
    <n v="257.76"/>
    <n v="0"/>
    <n v="0"/>
    <n v="105"/>
    <s v="_x0000_US"/>
  </r>
  <r>
    <x v="4"/>
    <n v="13.692500000000001"/>
    <n v="-89.172499999999999"/>
    <n v="272.08"/>
    <n v="0"/>
    <n v="0"/>
    <n v="105"/>
    <s v="_x0000_US"/>
  </r>
  <r>
    <x v="4"/>
    <n v="13.698"/>
    <n v="-89.172499999999999"/>
    <n v="787.6"/>
    <n v="0"/>
    <n v="0"/>
    <n v="105"/>
    <s v="_x0000_US"/>
  </r>
  <r>
    <x v="4"/>
    <n v="13.6959"/>
    <n v="-89.172399999999996"/>
    <n v="50.12"/>
    <n v="0"/>
    <n v="0"/>
    <n v="105"/>
    <s v="_x0000_US"/>
  </r>
  <r>
    <x v="4"/>
    <n v="13.6976"/>
    <n v="-89.172399999999996"/>
    <n v="50.12"/>
    <n v="0"/>
    <n v="0"/>
    <n v="105"/>
    <s v="_x0000_US"/>
  </r>
  <r>
    <x v="4"/>
    <n v="13.696400000000001"/>
    <n v="-89.172399999999996"/>
    <n v="57.28"/>
    <n v="0"/>
    <n v="0"/>
    <n v="105"/>
    <s v="_x0000_US"/>
  </r>
  <r>
    <x v="4"/>
    <n v="13.6968"/>
    <n v="-89.172399999999996"/>
    <n v="107.4"/>
    <n v="0"/>
    <n v="0"/>
    <n v="105"/>
    <s v="_x0000_US"/>
  </r>
  <r>
    <x v="4"/>
    <n v="13.696300000000001"/>
    <n v="-89.172399999999996"/>
    <n v="121.72"/>
    <n v="0"/>
    <n v="0"/>
    <n v="105"/>
    <s v="_x0000_US"/>
  </r>
  <r>
    <x v="4"/>
    <n v="13.696"/>
    <n v="-89.172399999999996"/>
    <n v="143.19999999999999"/>
    <n v="0"/>
    <n v="0"/>
    <n v="105"/>
    <s v="_x0000_US"/>
  </r>
  <r>
    <x v="4"/>
    <n v="13.6972"/>
    <n v="-89.172399999999996"/>
    <n v="157.52000000000001"/>
    <n v="0"/>
    <n v="0"/>
    <n v="105"/>
    <s v="_x0000_US"/>
  </r>
  <r>
    <x v="4"/>
    <n v="13.696099999999999"/>
    <n v="-89.172399999999996"/>
    <n v="186.16"/>
    <n v="0"/>
    <n v="0"/>
    <n v="105"/>
    <s v="_x0000_US"/>
  </r>
  <r>
    <x v="4"/>
    <n v="13.6928"/>
    <n v="-89.172399999999996"/>
    <n v="221.96"/>
    <n v="0"/>
    <n v="0"/>
    <n v="105"/>
    <s v="_x0000_US"/>
  </r>
  <r>
    <x v="4"/>
    <n v="13.693300000000001"/>
    <n v="-89.172399999999996"/>
    <n v="243.44"/>
    <n v="0"/>
    <n v="0"/>
    <n v="105"/>
    <s v="_x0000_US"/>
  </r>
  <r>
    <x v="4"/>
    <n v="13.6966"/>
    <n v="-89.172399999999996"/>
    <n v="272.08"/>
    <n v="0"/>
    <n v="0"/>
    <n v="105"/>
    <s v="_x0000_US"/>
  </r>
  <r>
    <x v="4"/>
    <n v="13.692"/>
    <n v="-89.172399999999996"/>
    <n v="293.56"/>
    <n v="0"/>
    <n v="0"/>
    <n v="105"/>
    <s v="_x0000_US"/>
  </r>
  <r>
    <x v="4"/>
    <n v="13.6945"/>
    <n v="-89.172399999999996"/>
    <n v="350.84"/>
    <n v="0"/>
    <n v="0"/>
    <n v="105"/>
    <s v="_x0000_US"/>
  </r>
  <r>
    <x v="4"/>
    <n v="13.695"/>
    <n v="-89.172399999999996"/>
    <n v="350.84"/>
    <n v="0"/>
    <n v="0"/>
    <n v="105"/>
    <s v="_x0000_US"/>
  </r>
  <r>
    <x v="4"/>
    <n v="13.696999999999999"/>
    <n v="-89.172399999999996"/>
    <n v="379.48"/>
    <n v="0"/>
    <n v="0"/>
    <n v="105"/>
    <s v="_x0000_US"/>
  </r>
  <r>
    <x v="4"/>
    <n v="13.6968"/>
    <n v="-89.172300000000007"/>
    <n v="50.12"/>
    <n v="0"/>
    <n v="0"/>
    <n v="105"/>
    <s v="_x0000_US"/>
  </r>
  <r>
    <x v="4"/>
    <n v="13.696"/>
    <n v="-89.172300000000007"/>
    <n v="50.12"/>
    <n v="0"/>
    <n v="0"/>
    <n v="105"/>
    <s v="_x0000_US"/>
  </r>
  <r>
    <x v="4"/>
    <n v="13.6972"/>
    <n v="-89.172300000000007"/>
    <n v="57.28"/>
    <n v="0"/>
    <n v="0"/>
    <n v="105"/>
    <s v="_x0000_US"/>
  </r>
  <r>
    <x v="4"/>
    <n v="13.6959"/>
    <n v="-89.172300000000007"/>
    <n v="64.44"/>
    <n v="0"/>
    <n v="0"/>
    <n v="105"/>
    <s v="_x0000_US"/>
  </r>
  <r>
    <x v="4"/>
    <n v="13.693"/>
    <n v="-89.172300000000007"/>
    <n v="100.24"/>
    <n v="0"/>
    <n v="0"/>
    <n v="105"/>
    <s v="_x0000_US"/>
  </r>
  <r>
    <x v="4"/>
    <n v="13.6976"/>
    <n v="-89.172300000000007"/>
    <n v="114.56"/>
    <n v="0"/>
    <n v="0"/>
    <n v="105"/>
    <s v="_x0000_US"/>
  </r>
  <r>
    <x v="4"/>
    <n v="13.6973"/>
    <n v="-89.172300000000007"/>
    <n v="136.04"/>
    <n v="0"/>
    <n v="0"/>
    <n v="105"/>
    <s v="_x0000_US"/>
  </r>
  <r>
    <x v="4"/>
    <n v="13.696400000000001"/>
    <n v="-89.172300000000007"/>
    <n v="150.36000000000001"/>
    <n v="0"/>
    <n v="0"/>
    <n v="105"/>
    <s v="_x0000_US"/>
  </r>
  <r>
    <x v="4"/>
    <n v="13.693199999999999"/>
    <n v="-89.172300000000007"/>
    <n v="200.48"/>
    <n v="0"/>
    <n v="0"/>
    <n v="105"/>
    <s v="_x0000_US"/>
  </r>
  <r>
    <x v="4"/>
    <n v="13.6952"/>
    <n v="-89.172300000000007"/>
    <n v="207.64"/>
    <n v="0"/>
    <n v="0"/>
    <n v="105"/>
    <s v="_x0000_US"/>
  </r>
  <r>
    <x v="4"/>
    <n v="13.697800000000001"/>
    <n v="-89.172300000000007"/>
    <n v="400.96"/>
    <n v="0"/>
    <n v="0"/>
    <n v="105"/>
    <s v="_x0000_US"/>
  </r>
  <r>
    <x v="4"/>
    <n v="13.6938"/>
    <n v="-89.172300000000007"/>
    <n v="801.92"/>
    <n v="0"/>
    <n v="0"/>
    <n v="105"/>
    <s v="_x0000_US"/>
  </r>
  <r>
    <x v="4"/>
    <n v="13.6972"/>
    <n v="-89.172200000000004"/>
    <n v="28.64"/>
    <n v="0"/>
    <n v="0"/>
    <n v="105"/>
    <s v="_x0000_US"/>
  </r>
  <r>
    <x v="4"/>
    <n v="13.6973"/>
    <n v="-89.172200000000004"/>
    <n v="35.799999999999997"/>
    <n v="0"/>
    <n v="0"/>
    <n v="105"/>
    <s v="_x0000_US"/>
  </r>
  <r>
    <x v="4"/>
    <n v="13.6972"/>
    <n v="-89.172200000000004"/>
    <n v="50.12"/>
    <n v="0"/>
    <n v="0"/>
    <n v="105"/>
    <s v="_x0000_US"/>
  </r>
  <r>
    <x v="4"/>
    <n v="13.696400000000001"/>
    <n v="-89.172200000000004"/>
    <n v="50.12"/>
    <n v="0"/>
    <n v="0"/>
    <n v="105"/>
    <s v="_x0000_US"/>
  </r>
  <r>
    <x v="4"/>
    <n v="13.6952"/>
    <n v="-89.172200000000004"/>
    <n v="78.760000000000005"/>
    <n v="0"/>
    <n v="0"/>
    <n v="105"/>
    <s v="_x0000_US"/>
  </r>
  <r>
    <x v="4"/>
    <n v="13.696099999999999"/>
    <n v="-89.172200000000004"/>
    <n v="143.19999999999999"/>
    <n v="0"/>
    <n v="0"/>
    <n v="105"/>
    <s v="_x0000_US"/>
  </r>
  <r>
    <x v="4"/>
    <n v="13.6974"/>
    <n v="-89.172200000000004"/>
    <n v="207.64"/>
    <n v="0"/>
    <n v="0"/>
    <n v="105"/>
    <s v="_x0000_US"/>
  </r>
  <r>
    <x v="4"/>
    <n v="13.6943"/>
    <n v="-89.172200000000004"/>
    <n v="279.24"/>
    <n v="0"/>
    <n v="0"/>
    <n v="105"/>
    <s v="_x0000_US"/>
  </r>
  <r>
    <x v="4"/>
    <n v="13.692399999999999"/>
    <n v="-89.172200000000004"/>
    <n v="315.04000000000002"/>
    <n v="0"/>
    <n v="0"/>
    <n v="105"/>
    <s v="_x0000_US"/>
  </r>
  <r>
    <x v="4"/>
    <n v="13.692600000000001"/>
    <n v="-89.172200000000004"/>
    <n v="372.32"/>
    <n v="0"/>
    <n v="0"/>
    <n v="105"/>
    <s v="_x0000_US"/>
  </r>
  <r>
    <x v="4"/>
    <n v="13.6973"/>
    <n v="-89.1721"/>
    <n v="71.599999999999994"/>
    <n v="0"/>
    <n v="0"/>
    <n v="105"/>
    <s v="_x0000_US"/>
  </r>
  <r>
    <x v="4"/>
    <n v="13.6973"/>
    <n v="-89.1721"/>
    <n v="78.760000000000005"/>
    <n v="0"/>
    <n v="0"/>
    <n v="105"/>
    <s v="_x0000_US"/>
  </r>
  <r>
    <x v="4"/>
    <n v="13.696300000000001"/>
    <n v="-89.1721"/>
    <n v="150.36000000000001"/>
    <n v="0"/>
    <n v="0"/>
    <n v="105"/>
    <s v="_x0000_US"/>
  </r>
  <r>
    <x v="4"/>
    <n v="13.697100000000001"/>
    <n v="-89.1721"/>
    <n v="179"/>
    <n v="0"/>
    <n v="0"/>
    <n v="105"/>
    <s v="_x0000_US"/>
  </r>
  <r>
    <x v="4"/>
    <n v="13.6975"/>
    <n v="-89.1721"/>
    <n v="186.16"/>
    <n v="0"/>
    <n v="0"/>
    <n v="105"/>
    <s v="_x0000_US"/>
  </r>
  <r>
    <x v="4"/>
    <n v="13.6967"/>
    <n v="-89.1721"/>
    <n v="236.28"/>
    <n v="0"/>
    <n v="0"/>
    <n v="105"/>
    <s v="_x0000_US"/>
  </r>
  <r>
    <x v="4"/>
    <n v="13.696899999999999"/>
    <n v="-89.1721"/>
    <n v="250.6"/>
    <n v="0"/>
    <n v="0"/>
    <n v="105"/>
    <s v="_x0000_US"/>
  </r>
  <r>
    <x v="4"/>
    <n v="13.693"/>
    <n v="-89.1721"/>
    <n v="307.88"/>
    <n v="0"/>
    <n v="0"/>
    <n v="105"/>
    <s v="_x0000_US"/>
  </r>
  <r>
    <x v="4"/>
    <n v="13.6929"/>
    <n v="-89.1721"/>
    <n v="322.2"/>
    <n v="0"/>
    <n v="0"/>
    <n v="105"/>
    <s v="_x0000_US"/>
  </r>
  <r>
    <x v="4"/>
    <n v="13.696"/>
    <n v="-89.1721"/>
    <n v="336.52"/>
    <n v="0"/>
    <n v="0"/>
    <n v="105"/>
    <s v="_x0000_US"/>
  </r>
  <r>
    <x v="4"/>
    <n v="13.696999999999999"/>
    <n v="-89.171999999999997"/>
    <n v="42.96"/>
    <n v="0"/>
    <n v="0"/>
    <n v="105"/>
    <s v="_x0000_US"/>
  </r>
  <r>
    <x v="4"/>
    <n v="13.696300000000001"/>
    <n v="-89.171999999999997"/>
    <n v="64.44"/>
    <n v="0"/>
    <n v="0"/>
    <n v="105"/>
    <s v="_x0000_US"/>
  </r>
  <r>
    <x v="4"/>
    <n v="13.696099999999999"/>
    <n v="-89.171999999999997"/>
    <n v="85.92"/>
    <n v="0"/>
    <n v="0"/>
    <n v="105"/>
    <s v="_x0000_US"/>
  </r>
  <r>
    <x v="4"/>
    <n v="13.692299999999999"/>
    <n v="-89.171999999999997"/>
    <n v="100.24"/>
    <n v="0"/>
    <n v="0"/>
    <n v="105"/>
    <s v="_x0000_US"/>
  </r>
  <r>
    <x v="4"/>
    <n v="13.696199999999999"/>
    <n v="-89.171999999999997"/>
    <n v="143.19999999999999"/>
    <n v="0"/>
    <n v="0"/>
    <n v="105"/>
    <s v="_x0000_US"/>
  </r>
  <r>
    <x v="4"/>
    <n v="13.6976"/>
    <n v="-89.171999999999997"/>
    <n v="157.52000000000001"/>
    <n v="0"/>
    <n v="0"/>
    <n v="105"/>
    <s v="_x0000_US"/>
  </r>
  <r>
    <x v="4"/>
    <n v="13.692399999999999"/>
    <n v="-89.171999999999997"/>
    <n v="179"/>
    <n v="0"/>
    <n v="0"/>
    <n v="105"/>
    <s v="_x0000_US"/>
  </r>
  <r>
    <x v="4"/>
    <n v="13.6972"/>
    <n v="-89.171999999999997"/>
    <n v="179"/>
    <n v="0"/>
    <n v="0"/>
    <n v="105"/>
    <s v="_x0000_US"/>
  </r>
  <r>
    <x v="4"/>
    <n v="13.697699999999999"/>
    <n v="-89.171999999999997"/>
    <n v="193.32"/>
    <n v="0"/>
    <n v="0"/>
    <n v="105"/>
    <s v="_x0000_US"/>
  </r>
  <r>
    <x v="4"/>
    <n v="13.6965"/>
    <n v="-89.171999999999997"/>
    <n v="250.6"/>
    <n v="0"/>
    <n v="0"/>
    <n v="105"/>
    <s v="_x0000_US"/>
  </r>
  <r>
    <x v="4"/>
    <n v="13.6953"/>
    <n v="-89.171999999999997"/>
    <n v="293.56"/>
    <n v="0"/>
    <n v="0"/>
    <n v="105"/>
    <s v="_x0000_US"/>
  </r>
  <r>
    <x v="4"/>
    <n v="13.693300000000001"/>
    <n v="-89.171999999999997"/>
    <n v="408.12"/>
    <n v="0"/>
    <n v="0"/>
    <n v="105"/>
    <s v="_x0000_US"/>
  </r>
  <r>
    <x v="4"/>
    <n v="13.694000000000001"/>
    <n v="-89.171999999999997"/>
    <n v="622.91999999999996"/>
    <n v="0"/>
    <n v="0"/>
    <n v="105"/>
    <s v="_x0000_US"/>
  </r>
  <r>
    <x v="4"/>
    <n v="13.694900000000001"/>
    <n v="-89.171999999999997"/>
    <n v="665.88"/>
    <n v="0"/>
    <n v="0"/>
    <n v="105"/>
    <s v="_x0000_US"/>
  </r>
  <r>
    <x v="4"/>
    <n v="13.696"/>
    <n v="-89.171899999999994"/>
    <n v="35.799999999999997"/>
    <n v="0"/>
    <n v="0"/>
    <n v="105"/>
    <s v="_x0000_US"/>
  </r>
  <r>
    <x v="4"/>
    <n v="13.6972"/>
    <n v="-89.171899999999994"/>
    <n v="64.44"/>
    <n v="0"/>
    <n v="0"/>
    <n v="105"/>
    <s v="_x0000_US"/>
  </r>
  <r>
    <x v="4"/>
    <n v="13.696099999999999"/>
    <n v="-89.171899999999994"/>
    <n v="71.599999999999994"/>
    <n v="0"/>
    <n v="0"/>
    <n v="105"/>
    <s v="_x0000_US"/>
  </r>
  <r>
    <x v="4"/>
    <n v="13.697100000000001"/>
    <n v="-89.171899999999994"/>
    <n v="121.72"/>
    <n v="0"/>
    <n v="0"/>
    <n v="105"/>
    <s v="_x0000_US"/>
  </r>
  <r>
    <x v="4"/>
    <n v="13.6929"/>
    <n v="-89.171899999999994"/>
    <n v="150.36000000000001"/>
    <n v="0"/>
    <n v="0"/>
    <n v="105"/>
    <s v="_x0000_US"/>
  </r>
  <r>
    <x v="4"/>
    <n v="13.696300000000001"/>
    <n v="-89.171899999999994"/>
    <n v="157.52000000000001"/>
    <n v="0"/>
    <n v="0"/>
    <n v="105"/>
    <s v="_x0000_US"/>
  </r>
  <r>
    <x v="4"/>
    <n v="13.6966"/>
    <n v="-89.171899999999994"/>
    <n v="200.48"/>
    <n v="0"/>
    <n v="0"/>
    <n v="105"/>
    <s v="_x0000_US"/>
  </r>
  <r>
    <x v="4"/>
    <n v="13.6944"/>
    <n v="-89.171899999999994"/>
    <n v="214.8"/>
    <n v="0"/>
    <n v="0"/>
    <n v="105"/>
    <s v="_x0000_US"/>
  </r>
  <r>
    <x v="4"/>
    <n v="13.6927"/>
    <n v="-89.171899999999994"/>
    <n v="229.12"/>
    <n v="0"/>
    <n v="0"/>
    <n v="105"/>
    <s v="_x0000_US"/>
  </r>
  <r>
    <x v="4"/>
    <n v="13.695499999999999"/>
    <n v="-89.171899999999994"/>
    <n v="236.28"/>
    <n v="0"/>
    <n v="0"/>
    <n v="105"/>
    <s v="_x0000_US"/>
  </r>
  <r>
    <x v="4"/>
    <n v="13.696199999999999"/>
    <n v="-89.171899999999994"/>
    <n v="243.44"/>
    <n v="0"/>
    <n v="0"/>
    <n v="105"/>
    <s v="_x0000_US"/>
  </r>
  <r>
    <x v="4"/>
    <n v="13.6975"/>
    <n v="-89.171899999999994"/>
    <n v="243.44"/>
    <n v="0"/>
    <n v="0"/>
    <n v="105"/>
    <s v="_x0000_US"/>
  </r>
  <r>
    <x v="4"/>
    <n v="13.697100000000001"/>
    <n v="-89.171800000000005"/>
    <n v="78.760000000000005"/>
    <n v="0"/>
    <n v="0"/>
    <n v="105"/>
    <s v="_x0000_US"/>
  </r>
  <r>
    <x v="4"/>
    <n v="13.6972"/>
    <n v="-89.171800000000005"/>
    <n v="93.08"/>
    <n v="0"/>
    <n v="0"/>
    <n v="105"/>
    <s v="_x0000_US"/>
  </r>
  <r>
    <x v="4"/>
    <n v="13.6973"/>
    <n v="-89.171800000000005"/>
    <n v="107.4"/>
    <n v="0"/>
    <n v="0"/>
    <n v="105"/>
    <s v="_x0000_US"/>
  </r>
  <r>
    <x v="4"/>
    <n v="13.693"/>
    <n v="-89.171800000000005"/>
    <n v="107.4"/>
    <n v="0"/>
    <n v="0"/>
    <n v="105"/>
    <s v="_x0000_US"/>
  </r>
  <r>
    <x v="4"/>
    <n v="13.6957"/>
    <n v="-89.171800000000005"/>
    <n v="114.56"/>
    <n v="0"/>
    <n v="0"/>
    <n v="105"/>
    <s v="_x0000_US"/>
  </r>
  <r>
    <x v="4"/>
    <n v="13.6976"/>
    <n v="-89.171800000000005"/>
    <n v="229.12"/>
    <n v="0"/>
    <n v="0"/>
    <n v="105"/>
    <s v="_x0000_US"/>
  </r>
  <r>
    <x v="4"/>
    <n v="13.6965"/>
    <n v="-89.171800000000005"/>
    <n v="257.76"/>
    <n v="0"/>
    <n v="0"/>
    <n v="105"/>
    <s v="_x0000_US"/>
  </r>
  <r>
    <x v="4"/>
    <n v="13.6974"/>
    <n v="-89.171700000000001"/>
    <n v="78.760000000000005"/>
    <n v="0"/>
    <n v="0"/>
    <n v="105"/>
    <s v="_x0000_US"/>
  </r>
  <r>
    <x v="4"/>
    <n v="13.6975"/>
    <n v="-89.171700000000001"/>
    <n v="107.4"/>
    <n v="0"/>
    <n v="0"/>
    <n v="105"/>
    <s v="_x0000_US"/>
  </r>
  <r>
    <x v="4"/>
    <n v="13.695399999999999"/>
    <n v="-89.171700000000001"/>
    <n v="179"/>
    <n v="0"/>
    <n v="0"/>
    <n v="105"/>
    <s v="_x0000_US"/>
  </r>
  <r>
    <x v="4"/>
    <n v="13.693199999999999"/>
    <n v="-89.171700000000001"/>
    <n v="200.48"/>
    <n v="0"/>
    <n v="0"/>
    <n v="105"/>
    <s v="_x0000_US"/>
  </r>
  <r>
    <x v="4"/>
    <n v="13.6968"/>
    <n v="-89.171700000000001"/>
    <n v="630.08000000000004"/>
    <n v="0"/>
    <n v="0"/>
    <n v="105"/>
    <s v="_x0000_US"/>
  </r>
  <r>
    <x v="4"/>
    <n v="13.693899999999999"/>
    <n v="-89.171700000000001"/>
    <n v="630.08000000000004"/>
    <n v="0"/>
    <n v="0"/>
    <n v="105"/>
    <s v="_x0000_US"/>
  </r>
  <r>
    <x v="4"/>
    <n v="13.6976"/>
    <n v="-89.171599999999998"/>
    <n v="42.96"/>
    <n v="0"/>
    <n v="0"/>
    <n v="105"/>
    <s v="_x0000_US"/>
  </r>
  <r>
    <x v="4"/>
    <n v="13.6976"/>
    <n v="-89.171599999999998"/>
    <n v="50.12"/>
    <n v="0"/>
    <n v="0"/>
    <n v="105"/>
    <s v="_x0000_US"/>
  </r>
  <r>
    <x v="4"/>
    <n v="13.6976"/>
    <n v="-89.171599999999998"/>
    <n v="85.92"/>
    <n v="0"/>
    <n v="0"/>
    <n v="105"/>
    <s v="_x0000_US"/>
  </r>
  <r>
    <x v="4"/>
    <n v="13.6944"/>
    <n v="-89.171599999999998"/>
    <n v="136.04"/>
    <n v="0"/>
    <n v="0"/>
    <n v="105"/>
    <s v="_x0000_US"/>
  </r>
  <r>
    <x v="4"/>
    <n v="13.696300000000001"/>
    <n v="-89.171599999999998"/>
    <n v="214.8"/>
    <n v="0"/>
    <n v="0"/>
    <n v="105"/>
    <s v="_x0000_US"/>
  </r>
  <r>
    <x v="4"/>
    <n v="13.697900000000001"/>
    <n v="-89.171599999999998"/>
    <n v="551.32000000000005"/>
    <n v="0"/>
    <n v="0"/>
    <n v="105"/>
    <s v="_x0000_US"/>
  </r>
  <r>
    <x v="4"/>
    <n v="13.6965"/>
    <n v="-89.171499999999995"/>
    <n v="57.28"/>
    <n v="0"/>
    <n v="0"/>
    <n v="105"/>
    <s v="_x0000_US"/>
  </r>
  <r>
    <x v="4"/>
    <n v="13.696400000000001"/>
    <n v="-89.171499999999995"/>
    <n v="114.56"/>
    <n v="0"/>
    <n v="0"/>
    <n v="105"/>
    <s v="_x0000_US"/>
  </r>
  <r>
    <x v="4"/>
    <n v="13.697699999999999"/>
    <n v="-89.171499999999995"/>
    <n v="121.72"/>
    <n v="0"/>
    <n v="0"/>
    <n v="105"/>
    <s v="_x0000_US"/>
  </r>
  <r>
    <x v="4"/>
    <n v="13.6975"/>
    <n v="-89.171499999999995"/>
    <n v="236.28"/>
    <n v="0"/>
    <n v="0"/>
    <n v="105"/>
    <s v="_x0000_US"/>
  </r>
  <r>
    <x v="4"/>
    <n v="13.6966"/>
    <n v="-89.171499999999995"/>
    <n v="300.72000000000003"/>
    <n v="0"/>
    <n v="0"/>
    <n v="105"/>
    <s v="_x0000_US"/>
  </r>
  <r>
    <x v="4"/>
    <n v="13.6972"/>
    <n v="-89.171499999999995"/>
    <n v="436.76"/>
    <n v="0"/>
    <n v="0"/>
    <n v="105"/>
    <s v="_x0000_US"/>
  </r>
  <r>
    <x v="4"/>
    <n v="13.696999999999999"/>
    <n v="-89.171499999999995"/>
    <n v="436.76"/>
    <n v="0"/>
    <n v="0"/>
    <n v="105"/>
    <s v="_x0000_US"/>
  </r>
  <r>
    <x v="4"/>
    <n v="13.696400000000001"/>
    <n v="-89.171400000000006"/>
    <n v="50.12"/>
    <n v="0"/>
    <n v="0"/>
    <n v="105"/>
    <s v="_x0000_US"/>
  </r>
  <r>
    <x v="4"/>
    <n v="13.697699999999999"/>
    <n v="-89.171400000000006"/>
    <n v="64.44"/>
    <n v="0"/>
    <n v="0"/>
    <n v="105"/>
    <s v="_x0000_US"/>
  </r>
  <r>
    <x v="4"/>
    <n v="13.6965"/>
    <n v="-89.171400000000006"/>
    <n v="85.92"/>
    <n v="0"/>
    <n v="0"/>
    <n v="105"/>
    <s v="_x0000_US"/>
  </r>
  <r>
    <x v="4"/>
    <n v="13.6965"/>
    <n v="-89.171400000000006"/>
    <n v="85.92"/>
    <n v="0"/>
    <n v="0"/>
    <n v="105"/>
    <s v="_x0000_US"/>
  </r>
  <r>
    <x v="4"/>
    <n v="13.6974"/>
    <n v="-89.171400000000006"/>
    <n v="128.88"/>
    <n v="0"/>
    <n v="0"/>
    <n v="105"/>
    <s v="_x0000_US"/>
  </r>
  <r>
    <x v="4"/>
    <n v="13.697900000000001"/>
    <n v="-89.171400000000006"/>
    <n v="408.12"/>
    <n v="0"/>
    <n v="0"/>
    <n v="105"/>
    <s v="_x0000_US"/>
  </r>
  <r>
    <x v="4"/>
    <n v="13.6975"/>
    <n v="-89.171300000000002"/>
    <n v="28.64"/>
    <n v="0"/>
    <n v="0"/>
    <n v="105"/>
    <s v="_x0000_US"/>
  </r>
  <r>
    <x v="4"/>
    <n v="13.697699999999999"/>
    <n v="-89.171300000000002"/>
    <n v="57.28"/>
    <n v="0"/>
    <n v="0"/>
    <n v="105"/>
    <s v="_x0000_US"/>
  </r>
  <r>
    <x v="4"/>
    <n v="13.6966"/>
    <n v="-89.171300000000002"/>
    <n v="85.92"/>
    <n v="0"/>
    <n v="0"/>
    <n v="105"/>
    <s v="_x0000_US"/>
  </r>
  <r>
    <x v="4"/>
    <n v="13.697800000000001"/>
    <n v="-89.171300000000002"/>
    <n v="100.24"/>
    <n v="0"/>
    <n v="0"/>
    <n v="105"/>
    <s v="_x0000_US"/>
  </r>
  <r>
    <x v="4"/>
    <n v="13.6976"/>
    <n v="-89.171300000000002"/>
    <n v="128.88"/>
    <n v="0"/>
    <n v="0"/>
    <n v="105"/>
    <s v="_x0000_US"/>
  </r>
  <r>
    <x v="4"/>
    <n v="13.6981"/>
    <n v="-89.171300000000002"/>
    <n v="128.88"/>
    <n v="0"/>
    <n v="0"/>
    <n v="105"/>
    <s v="_x0000_US"/>
  </r>
  <r>
    <x v="4"/>
    <n v="13.6968"/>
    <n v="-89.171300000000002"/>
    <n v="136.04"/>
    <n v="0"/>
    <n v="0"/>
    <n v="105"/>
    <s v="_x0000_US"/>
  </r>
  <r>
    <x v="4"/>
    <n v="13.696999999999999"/>
    <n v="-89.171300000000002"/>
    <n v="157.52000000000001"/>
    <n v="0"/>
    <n v="0"/>
    <n v="105"/>
    <s v="_x0000_US"/>
  </r>
  <r>
    <x v="4"/>
    <n v="13.6973"/>
    <n v="-89.171300000000002"/>
    <n v="214.8"/>
    <n v="0"/>
    <n v="0"/>
    <n v="105"/>
    <s v="_x0000_US"/>
  </r>
  <r>
    <x v="4"/>
    <n v="13.6976"/>
    <n v="-89.171199999999999"/>
    <n v="57.28"/>
    <n v="0"/>
    <n v="0"/>
    <n v="105"/>
    <s v="_x0000_US"/>
  </r>
  <r>
    <x v="4"/>
    <n v="13.6974"/>
    <n v="-89.171199999999999"/>
    <n v="57.28"/>
    <n v="0"/>
    <n v="0"/>
    <n v="105"/>
    <s v="_x0000_US"/>
  </r>
  <r>
    <x v="4"/>
    <n v="13.697800000000001"/>
    <n v="-89.171199999999999"/>
    <n v="64.44"/>
    <n v="0"/>
    <n v="0"/>
    <n v="105"/>
    <s v="_x0000_US"/>
  </r>
  <r>
    <x v="4"/>
    <n v="13.6975"/>
    <n v="-89.171199999999999"/>
    <n v="64.44"/>
    <n v="0"/>
    <n v="0"/>
    <n v="105"/>
    <s v="_x0000_US"/>
  </r>
  <r>
    <x v="4"/>
    <n v="13.6975"/>
    <n v="-89.171199999999999"/>
    <n v="78.760000000000005"/>
    <n v="0"/>
    <n v="0"/>
    <n v="105"/>
    <s v="_x0000_US"/>
  </r>
  <r>
    <x v="4"/>
    <n v="13.698"/>
    <n v="-89.171199999999999"/>
    <n v="107.4"/>
    <n v="0"/>
    <n v="0"/>
    <n v="105"/>
    <s v="_x0000_US"/>
  </r>
  <r>
    <x v="4"/>
    <n v="13.697100000000001"/>
    <n v="-89.171199999999999"/>
    <n v="121.72"/>
    <n v="0"/>
    <n v="0"/>
    <n v="105"/>
    <s v="_x0000_US"/>
  </r>
  <r>
    <x v="4"/>
    <n v="13.697699999999999"/>
    <n v="-89.171199999999999"/>
    <n v="121.72"/>
    <n v="0"/>
    <n v="0"/>
    <n v="105"/>
    <s v="_x0000_US"/>
  </r>
  <r>
    <x v="4"/>
    <n v="13.697900000000001"/>
    <n v="-89.171199999999999"/>
    <n v="164.68"/>
    <n v="0"/>
    <n v="0"/>
    <n v="105"/>
    <s v="_x0000_US"/>
  </r>
  <r>
    <x v="4"/>
    <n v="13.696899999999999"/>
    <n v="-89.171099999999996"/>
    <n v="28.64"/>
    <n v="0"/>
    <n v="0"/>
    <n v="105"/>
    <s v="_x0000_US"/>
  </r>
  <r>
    <x v="4"/>
    <n v="13.6968"/>
    <n v="-89.171099999999996"/>
    <n v="42.96"/>
    <n v="0"/>
    <n v="0"/>
    <n v="105"/>
    <s v="_x0000_US"/>
  </r>
  <r>
    <x v="4"/>
    <n v="13.6968"/>
    <n v="-89.171099999999996"/>
    <n v="57.28"/>
    <n v="0"/>
    <n v="0"/>
    <n v="105"/>
    <s v="_x0000_US"/>
  </r>
  <r>
    <x v="4"/>
    <n v="13.696899999999999"/>
    <n v="-89.171099999999996"/>
    <n v="85.92"/>
    <n v="0"/>
    <n v="0"/>
    <n v="105"/>
    <s v="_x0000_US"/>
  </r>
  <r>
    <x v="4"/>
    <n v="13.696999999999999"/>
    <n v="-89.171099999999996"/>
    <n v="114.56"/>
    <n v="0"/>
    <n v="0"/>
    <n v="105"/>
    <s v="_x0000_US"/>
  </r>
  <r>
    <x v="4"/>
    <n v="13.6968"/>
    <n v="-89.171099999999996"/>
    <n v="114.56"/>
    <n v="0"/>
    <n v="0"/>
    <n v="105"/>
    <s v="_x0000_US"/>
  </r>
  <r>
    <x v="4"/>
    <n v="13.6968"/>
    <n v="-89.171000000000006"/>
    <n v="50.12"/>
    <n v="0"/>
    <n v="0"/>
    <n v="105"/>
    <s v="_x0000_US"/>
  </r>
  <r>
    <x v="4"/>
    <n v="13.6934"/>
    <n v="-89.171000000000006"/>
    <n v="78.760000000000005"/>
    <n v="0"/>
    <n v="0"/>
    <n v="105"/>
    <s v="_x0000_US"/>
  </r>
  <r>
    <x v="4"/>
    <n v="13.696899999999999"/>
    <n v="-89.171000000000006"/>
    <n v="85.92"/>
    <n v="0"/>
    <n v="0"/>
    <n v="105"/>
    <s v="_x0000_US"/>
  </r>
  <r>
    <x v="4"/>
    <n v="13.696999999999999"/>
    <n v="-89.171000000000006"/>
    <n v="193.32"/>
    <n v="0"/>
    <n v="0"/>
    <n v="105"/>
    <s v="_x0000_US"/>
  </r>
  <r>
    <x v="4"/>
    <n v="13.698"/>
    <n v="-89.171000000000006"/>
    <n v="229.12"/>
    <n v="0"/>
    <n v="0"/>
    <n v="105"/>
    <s v="_x0000_US"/>
  </r>
  <r>
    <x v="4"/>
    <n v="13.6983"/>
    <n v="-89.171000000000006"/>
    <n v="594.28"/>
    <n v="0"/>
    <n v="0"/>
    <n v="105"/>
    <s v="_x0000_US"/>
  </r>
  <r>
    <x v="4"/>
    <n v="13.696999999999999"/>
    <n v="-89.170900000000003"/>
    <n v="57.28"/>
    <n v="0"/>
    <n v="0"/>
    <n v="105"/>
    <s v="_x0000_US"/>
  </r>
  <r>
    <x v="4"/>
    <n v="13.6975"/>
    <n v="-89.170900000000003"/>
    <n v="680.2"/>
    <n v="0"/>
    <n v="0"/>
    <n v="105"/>
    <s v="_x0000_US"/>
  </r>
  <r>
    <x v="4"/>
    <n v="13.6936"/>
    <n v="-89.1708"/>
    <n v="100.24"/>
    <n v="0"/>
    <n v="0"/>
    <n v="105"/>
    <s v="_x0000_US"/>
  </r>
  <r>
    <x v="4"/>
    <n v="13.6937"/>
    <n v="-89.1708"/>
    <n v="221.96"/>
    <n v="0"/>
    <n v="0"/>
    <n v="105"/>
    <s v="_x0000_US"/>
  </r>
  <r>
    <x v="4"/>
    <n v="13.6938"/>
    <n v="-89.1708"/>
    <n v="221.96"/>
    <n v="0"/>
    <n v="0"/>
    <n v="105"/>
    <s v="_x0000_US"/>
  </r>
  <r>
    <x v="4"/>
    <n v="13.693899999999999"/>
    <n v="-89.1708"/>
    <n v="229.12"/>
    <n v="0"/>
    <n v="0"/>
    <n v="105"/>
    <s v="_x0000_US"/>
  </r>
  <r>
    <x v="4"/>
    <n v="13.6942"/>
    <n v="-89.1708"/>
    <n v="300.72000000000003"/>
    <n v="0"/>
    <n v="0"/>
    <n v="105"/>
    <s v="_x0000_US"/>
  </r>
  <r>
    <x v="4"/>
    <n v="13.6981"/>
    <n v="-89.1708"/>
    <n v="336.52"/>
    <n v="0"/>
    <n v="0"/>
    <n v="105"/>
    <s v="_x0000_US"/>
  </r>
  <r>
    <x v="4"/>
    <n v="13.6945"/>
    <n v="-89.170699999999997"/>
    <n v="57.28"/>
    <n v="0"/>
    <n v="0"/>
    <n v="105"/>
    <s v="_x0000_US"/>
  </r>
  <r>
    <x v="4"/>
    <n v="13.693899999999999"/>
    <n v="-89.170699999999997"/>
    <n v="71.599999999999994"/>
    <n v="0"/>
    <n v="0"/>
    <n v="105"/>
    <s v="_x0000_US"/>
  </r>
  <r>
    <x v="4"/>
    <n v="13.6937"/>
    <n v="-89.170699999999997"/>
    <n v="114.56"/>
    <n v="0"/>
    <n v="0"/>
    <n v="105"/>
    <s v="_x0000_US"/>
  </r>
  <r>
    <x v="4"/>
    <n v="13.6944"/>
    <n v="-89.170699999999997"/>
    <n v="214.8"/>
    <n v="0"/>
    <n v="0"/>
    <n v="105"/>
    <s v="_x0000_US"/>
  </r>
  <r>
    <x v="4"/>
    <n v="13.694100000000001"/>
    <n v="-89.170699999999997"/>
    <n v="221.96"/>
    <n v="0"/>
    <n v="0"/>
    <n v="105"/>
    <s v="_x0000_US"/>
  </r>
  <r>
    <x v="4"/>
    <n v="13.6966"/>
    <n v="-89.170599999999993"/>
    <n v="186.16"/>
    <n v="0"/>
    <n v="0"/>
    <n v="105"/>
    <s v="_x0000_US"/>
  </r>
  <r>
    <x v="4"/>
    <n v="13.697900000000001"/>
    <n v="-89.170599999999993"/>
    <n v="279.24"/>
    <n v="0"/>
    <n v="0"/>
    <n v="105"/>
    <s v="_x0000_US"/>
  </r>
  <r>
    <x v="4"/>
    <n v="13.6966"/>
    <n v="-89.170500000000004"/>
    <n v="114.56"/>
    <n v="0"/>
    <n v="0"/>
    <n v="105"/>
    <s v="_x0000_US"/>
  </r>
  <r>
    <x v="4"/>
    <n v="13.695600000000001"/>
    <n v="-89.170500000000004"/>
    <n v="400.96"/>
    <n v="0"/>
    <n v="0"/>
    <n v="105"/>
    <s v="_x0000_US"/>
  </r>
  <r>
    <x v="4"/>
    <n v="13.6951"/>
    <n v="-89.170500000000004"/>
    <n v="451.08"/>
    <n v="0"/>
    <n v="0"/>
    <n v="105"/>
    <s v="_x0000_US"/>
  </r>
  <r>
    <x v="4"/>
    <n v="13.694800000000001"/>
    <n v="-89.170500000000004"/>
    <n v="465.4"/>
    <n v="0"/>
    <n v="0"/>
    <n v="105"/>
    <s v="_x0000_US"/>
  </r>
  <r>
    <x v="4"/>
    <n v="13.6966"/>
    <n v="-89.170400000000001"/>
    <n v="193.32"/>
    <n v="0"/>
    <n v="0"/>
    <n v="105"/>
    <s v="_x0000_US"/>
  </r>
  <r>
    <x v="4"/>
    <n v="13.6967"/>
    <n v="-89.170400000000001"/>
    <n v="214.8"/>
    <n v="0"/>
    <n v="0"/>
    <n v="105"/>
    <s v="_x0000_US"/>
  </r>
  <r>
    <x v="4"/>
    <n v="13.695399999999999"/>
    <n v="-89.170400000000001"/>
    <n v="336.52"/>
    <n v="0"/>
    <n v="0"/>
    <n v="105"/>
    <s v="_x0000_US"/>
  </r>
  <r>
    <x v="4"/>
    <n v="13.6945"/>
    <n v="-89.170400000000001"/>
    <n v="408.12"/>
    <n v="0"/>
    <n v="0"/>
    <n v="105"/>
    <s v="_x0000_US"/>
  </r>
  <r>
    <x v="4"/>
    <n v="13.6942"/>
    <n v="-89.170400000000001"/>
    <n v="408.12"/>
    <n v="0"/>
    <n v="0"/>
    <n v="105"/>
    <s v="_x0000_US"/>
  </r>
  <r>
    <x v="4"/>
    <n v="13.6976"/>
    <n v="-89.170400000000001"/>
    <n v="415.28"/>
    <n v="0"/>
    <n v="0"/>
    <n v="105"/>
    <s v="_x0000_US"/>
  </r>
  <r>
    <x v="4"/>
    <n v="13.693899999999999"/>
    <n v="-89.170400000000001"/>
    <n v="415.28"/>
    <n v="0"/>
    <n v="0"/>
    <n v="105"/>
    <s v="_x0000_US"/>
  </r>
  <r>
    <x v="4"/>
    <n v="13.6959"/>
    <n v="-89.170400000000001"/>
    <n v="501.2"/>
    <n v="0"/>
    <n v="0"/>
    <n v="105"/>
    <s v="_x0000_US"/>
  </r>
  <r>
    <x v="4"/>
    <n v="13.698499999999999"/>
    <n v="-89.170400000000001"/>
    <n v="723.16"/>
    <n v="0"/>
    <n v="0"/>
    <n v="105"/>
    <s v="_x0000_US"/>
  </r>
  <r>
    <x v="4"/>
    <n v="13.6968"/>
    <n v="-89.170299999999997"/>
    <n v="93.08"/>
    <n v="0"/>
    <n v="0"/>
    <n v="105"/>
    <s v="_x0000_US"/>
  </r>
  <r>
    <x v="4"/>
    <n v="13.697900000000001"/>
    <n v="-89.170299999999997"/>
    <n v="322.2"/>
    <n v="0"/>
    <n v="0"/>
    <n v="105"/>
    <s v="_x0000_US"/>
  </r>
  <r>
    <x v="4"/>
    <n v="13.6983"/>
    <n v="-89.170299999999997"/>
    <n v="651.55999999999995"/>
    <n v="0"/>
    <n v="0"/>
    <n v="105"/>
    <s v="_x0000_US"/>
  </r>
  <r>
    <x v="4"/>
    <n v="13.699299999999999"/>
    <n v="-89.170299999999997"/>
    <n v="6050.36"/>
    <n v="0"/>
    <n v="0"/>
    <n v="105"/>
    <s v="_x0000_US"/>
  </r>
  <r>
    <x v="4"/>
    <n v="13.6966"/>
    <n v="-89.170199999999994"/>
    <n v="21.48"/>
    <n v="0"/>
    <n v="0"/>
    <n v="105"/>
    <s v="_x0000_US"/>
  </r>
  <r>
    <x v="4"/>
    <n v="13.695399999999999"/>
    <n v="-89.170199999999994"/>
    <n v="85.92"/>
    <n v="0"/>
    <n v="0"/>
    <n v="105"/>
    <s v="_x0000_US"/>
  </r>
  <r>
    <x v="4"/>
    <n v="13.6957"/>
    <n v="-89.170199999999994"/>
    <n v="107.4"/>
    <n v="0"/>
    <n v="0"/>
    <n v="105"/>
    <s v="_x0000_US"/>
  </r>
  <r>
    <x v="4"/>
    <n v="13.6967"/>
    <n v="-89.170199999999994"/>
    <n v="121.72"/>
    <n v="0"/>
    <n v="0"/>
    <n v="105"/>
    <s v="_x0000_US"/>
  </r>
  <r>
    <x v="4"/>
    <n v="13.695600000000001"/>
    <n v="-89.170199999999994"/>
    <n v="136.04"/>
    <n v="0"/>
    <n v="0"/>
    <n v="105"/>
    <s v="_x0000_US"/>
  </r>
  <r>
    <x v="4"/>
    <n v="13.6952"/>
    <n v="-89.170199999999994"/>
    <n v="221.96"/>
    <n v="0"/>
    <n v="0"/>
    <n v="105"/>
    <s v="_x0000_US"/>
  </r>
  <r>
    <x v="4"/>
    <n v="13.694900000000001"/>
    <n v="-89.170199999999994"/>
    <n v="221.96"/>
    <n v="0"/>
    <n v="0"/>
    <n v="105"/>
    <s v="_x0000_US"/>
  </r>
  <r>
    <x v="4"/>
    <n v="13.6944"/>
    <n v="-89.170199999999994"/>
    <n v="221.96"/>
    <n v="0"/>
    <n v="0"/>
    <n v="105"/>
    <s v="_x0000_US"/>
  </r>
  <r>
    <x v="4"/>
    <n v="13.694100000000001"/>
    <n v="-89.170199999999994"/>
    <n v="221.96"/>
    <n v="0"/>
    <n v="0"/>
    <n v="105"/>
    <s v="_x0000_US"/>
  </r>
  <r>
    <x v="4"/>
    <n v="13.694699999999999"/>
    <n v="-89.170199999999994"/>
    <n v="229.12"/>
    <n v="0"/>
    <n v="0"/>
    <n v="105"/>
    <s v="_x0000_US"/>
  </r>
  <r>
    <x v="4"/>
    <n v="13.693899999999999"/>
    <n v="-89.170100000000005"/>
    <n v="57.28"/>
    <n v="0"/>
    <n v="0"/>
    <n v="105"/>
    <s v="_x0000_US"/>
  </r>
  <r>
    <x v="4"/>
    <n v="13.694000000000001"/>
    <n v="-89.170100000000005"/>
    <n v="100.24"/>
    <n v="0"/>
    <n v="0"/>
    <n v="105"/>
    <s v="_x0000_US"/>
  </r>
  <r>
    <x v="4"/>
    <n v="13.695499999999999"/>
    <n v="-89.170100000000005"/>
    <n v="107.4"/>
    <n v="0"/>
    <n v="0"/>
    <n v="105"/>
    <s v="_x0000_US"/>
  </r>
  <r>
    <x v="4"/>
    <n v="13.695600000000001"/>
    <n v="-89.170100000000005"/>
    <n v="143.19999999999999"/>
    <n v="0"/>
    <n v="0"/>
    <n v="105"/>
    <s v="_x0000_US"/>
  </r>
  <r>
    <x v="4"/>
    <n v="13.696099999999999"/>
    <n v="-89.170100000000005"/>
    <n v="214.8"/>
    <n v="0"/>
    <n v="0"/>
    <n v="105"/>
    <s v="_x0000_US"/>
  </r>
  <r>
    <x v="4"/>
    <n v="13.6958"/>
    <n v="-89.170100000000005"/>
    <n v="214.8"/>
    <n v="0"/>
    <n v="0"/>
    <n v="105"/>
    <s v="_x0000_US"/>
  </r>
  <r>
    <x v="4"/>
    <n v="13.6966"/>
    <n v="-89.170100000000005"/>
    <n v="229.12"/>
    <n v="0"/>
    <n v="0"/>
    <n v="105"/>
    <s v="_x0000_US"/>
  </r>
  <r>
    <x v="4"/>
    <n v="13.696999999999999"/>
    <n v="-89.170100000000005"/>
    <n v="458.24"/>
    <n v="0"/>
    <n v="0"/>
    <n v="105"/>
    <s v="_x0000_US"/>
  </r>
  <r>
    <x v="4"/>
    <n v="13.6976"/>
    <n v="-89.17"/>
    <n v="136.04"/>
    <n v="0"/>
    <n v="0"/>
    <n v="105"/>
    <s v="_x0000_US"/>
  </r>
  <r>
    <x v="4"/>
    <n v="13.697800000000001"/>
    <n v="-89.17"/>
    <n v="200.48"/>
    <n v="0"/>
    <n v="0"/>
    <n v="105"/>
    <s v="_x0000_US"/>
  </r>
  <r>
    <x v="4"/>
    <n v="13.697699999999999"/>
    <n v="-89.169899999999998"/>
    <n v="136.04"/>
    <n v="0"/>
    <n v="0"/>
    <n v="105"/>
    <s v="_x0000_US"/>
  </r>
  <r>
    <x v="4"/>
    <n v="13.698600000000001"/>
    <n v="-89.169899999999998"/>
    <n v="214.8"/>
    <n v="0"/>
    <n v="0"/>
    <n v="105"/>
    <s v="_x0000_US"/>
  </r>
  <r>
    <x v="4"/>
    <n v="13.695499999999999"/>
    <n v="-89.169899999999998"/>
    <n v="221.96"/>
    <n v="0"/>
    <n v="0"/>
    <n v="105"/>
    <s v="_x0000_US"/>
  </r>
  <r>
    <x v="4"/>
    <n v="13.6943"/>
    <n v="-89.169899999999998"/>
    <n v="393.8"/>
    <n v="0"/>
    <n v="0"/>
    <n v="105"/>
    <s v="_x0000_US"/>
  </r>
  <r>
    <x v="4"/>
    <n v="13.6967"/>
    <n v="-89.169899999999998"/>
    <n v="443.92"/>
    <n v="0"/>
    <n v="0"/>
    <n v="105"/>
    <s v="_x0000_US"/>
  </r>
  <r>
    <x v="4"/>
    <n v="13.6945"/>
    <n v="-89.169899999999998"/>
    <n v="472.56"/>
    <n v="0"/>
    <n v="0"/>
    <n v="105"/>
    <s v="_x0000_US"/>
  </r>
  <r>
    <x v="4"/>
    <n v="13.6951"/>
    <n v="-89.169899999999998"/>
    <n v="479.72"/>
    <n v="0"/>
    <n v="0"/>
    <n v="105"/>
    <s v="_x0000_US"/>
  </r>
  <r>
    <x v="4"/>
    <n v="13.694800000000001"/>
    <n v="-89.169899999999998"/>
    <n v="479.72"/>
    <n v="0"/>
    <n v="0"/>
    <n v="105"/>
    <s v="_x0000_US"/>
  </r>
  <r>
    <x v="4"/>
    <n v="13.697699999999999"/>
    <n v="-89.169799999999995"/>
    <n v="107.4"/>
    <n v="0"/>
    <n v="0"/>
    <n v="105"/>
    <s v="_x0000_US"/>
  </r>
  <r>
    <x v="4"/>
    <n v="13.698"/>
    <n v="-89.169799999999995"/>
    <n v="408.12"/>
    <n v="0"/>
    <n v="0"/>
    <n v="105"/>
    <s v="_x0000_US"/>
  </r>
  <r>
    <x v="4"/>
    <n v="13.6958"/>
    <n v="-89.169799999999995"/>
    <n v="537"/>
    <n v="0"/>
    <n v="0"/>
    <n v="105"/>
    <s v="_x0000_US"/>
  </r>
  <r>
    <x v="4"/>
    <n v="13.696899999999999"/>
    <n v="-89.169700000000006"/>
    <n v="28.64"/>
    <n v="0"/>
    <n v="0"/>
    <n v="105"/>
    <s v="_x0000_US"/>
  </r>
  <r>
    <x v="4"/>
    <n v="13.696999999999999"/>
    <n v="-89.169700000000006"/>
    <n v="207.64"/>
    <n v="0"/>
    <n v="0"/>
    <n v="105"/>
    <s v="_x0000_US"/>
  </r>
  <r>
    <x v="4"/>
    <n v="13.696999999999999"/>
    <n v="-89.169700000000006"/>
    <n v="207.64"/>
    <n v="0"/>
    <n v="0"/>
    <n v="105"/>
    <s v="_x0000_US"/>
  </r>
  <r>
    <x v="4"/>
    <n v="13.6967"/>
    <n v="-89.169700000000006"/>
    <n v="465.4"/>
    <n v="0"/>
    <n v="0"/>
    <n v="105"/>
    <s v="_x0000_US"/>
  </r>
  <r>
    <x v="4"/>
    <n v="13.695399999999999"/>
    <n v="-89.169700000000006"/>
    <n v="773.28"/>
    <n v="0"/>
    <n v="0"/>
    <n v="105"/>
    <s v="_x0000_US"/>
  </r>
  <r>
    <x v="4"/>
    <n v="13.696899999999999"/>
    <n v="-89.169600000000003"/>
    <n v="136.04"/>
    <n v="0"/>
    <n v="0"/>
    <n v="105"/>
    <s v="_x0000_US"/>
  </r>
  <r>
    <x v="4"/>
    <n v="13.6945"/>
    <n v="-89.169600000000003"/>
    <n v="143.19999999999999"/>
    <n v="0"/>
    <n v="0"/>
    <n v="105"/>
    <s v="_x0000_US"/>
  </r>
  <r>
    <x v="4"/>
    <n v="13.695499999999999"/>
    <n v="-89.169600000000003"/>
    <n v="221.96"/>
    <n v="0"/>
    <n v="0"/>
    <n v="105"/>
    <s v="_x0000_US"/>
  </r>
  <r>
    <x v="4"/>
    <n v="13.694699999999999"/>
    <n v="-89.169600000000003"/>
    <n v="221.96"/>
    <n v="0"/>
    <n v="0"/>
    <n v="105"/>
    <s v="_x0000_US"/>
  </r>
  <r>
    <x v="4"/>
    <n v="13.695"/>
    <n v="-89.169600000000003"/>
    <n v="229.12"/>
    <n v="0"/>
    <n v="0"/>
    <n v="105"/>
    <s v="_x0000_US"/>
  </r>
  <r>
    <x v="4"/>
    <n v="13.698499999999999"/>
    <n v="-89.169600000000003"/>
    <n v="329.36"/>
    <n v="0"/>
    <n v="0"/>
    <n v="105"/>
    <s v="_x0000_US"/>
  </r>
  <r>
    <x v="4"/>
    <n v="13.696899999999999"/>
    <n v="-89.169499999999999"/>
    <n v="14.32"/>
    <n v="0"/>
    <n v="0"/>
    <n v="105"/>
    <s v="_x0000_US"/>
  </r>
  <r>
    <x v="4"/>
    <n v="13.696899999999999"/>
    <n v="-89.169499999999999"/>
    <n v="21.48"/>
    <n v="0"/>
    <n v="0"/>
    <n v="105"/>
    <s v="_x0000_US"/>
  </r>
  <r>
    <x v="4"/>
    <n v="13.6951"/>
    <n v="-89.169499999999999"/>
    <n v="107.4"/>
    <n v="0"/>
    <n v="0"/>
    <n v="105"/>
    <s v="_x0000_US"/>
  </r>
  <r>
    <x v="4"/>
    <n v="13.694599999999999"/>
    <n v="-89.169499999999999"/>
    <n v="121.72"/>
    <n v="0"/>
    <n v="0"/>
    <n v="105"/>
    <s v="_x0000_US"/>
  </r>
  <r>
    <x v="4"/>
    <n v="13.6982"/>
    <n v="-89.169499999999999"/>
    <n v="379.48"/>
    <n v="0"/>
    <n v="0"/>
    <n v="105"/>
    <s v="_x0000_US"/>
  </r>
  <r>
    <x v="4"/>
    <n v="13.6972"/>
    <n v="-89.169499999999999"/>
    <n v="422.44"/>
    <n v="0"/>
    <n v="0"/>
    <n v="105"/>
    <s v="_x0000_US"/>
  </r>
  <r>
    <x v="4"/>
    <n v="13.6958"/>
    <n v="-89.169499999999999"/>
    <n v="465.4"/>
    <n v="0"/>
    <n v="0"/>
    <n v="105"/>
    <s v="_x0000_US"/>
  </r>
  <r>
    <x v="4"/>
    <n v="13.6965"/>
    <n v="-89.169499999999999"/>
    <n v="465.4"/>
    <n v="0"/>
    <n v="0"/>
    <n v="105"/>
    <s v="_x0000_US"/>
  </r>
  <r>
    <x v="4"/>
    <n v="13.696199999999999"/>
    <n v="-89.169499999999999"/>
    <n v="515.52"/>
    <n v="0"/>
    <n v="0"/>
    <n v="105"/>
    <s v="_x0000_US"/>
  </r>
  <r>
    <x v="4"/>
    <n v="13.6968"/>
    <n v="-89.169399999999996"/>
    <n v="164.68"/>
    <n v="0"/>
    <n v="0"/>
    <n v="105"/>
    <s v="_x0000_US"/>
  </r>
  <r>
    <x v="4"/>
    <n v="13.695499999999999"/>
    <n v="-89.169399999999996"/>
    <n v="229.12"/>
    <n v="0"/>
    <n v="0"/>
    <n v="105"/>
    <s v="_x0000_US"/>
  </r>
  <r>
    <x v="4"/>
    <n v="13.696899999999999"/>
    <n v="-89.169300000000007"/>
    <n v="257.76"/>
    <n v="0"/>
    <n v="0"/>
    <n v="105"/>
    <s v="_x0000_US"/>
  </r>
  <r>
    <x v="4"/>
    <n v="13.695499999999999"/>
    <n v="-89.169200000000004"/>
    <n v="93.08"/>
    <n v="0"/>
    <n v="0"/>
    <n v="105"/>
    <s v="_x0000_US"/>
  </r>
  <r>
    <x v="4"/>
    <n v="13.6967"/>
    <n v="-89.169200000000004"/>
    <n v="114.56"/>
    <n v="0"/>
    <n v="0"/>
    <n v="105"/>
    <s v="_x0000_US"/>
  </r>
  <r>
    <x v="4"/>
    <n v="13.697100000000001"/>
    <n v="-89.169200000000004"/>
    <n v="207.64"/>
    <n v="0"/>
    <n v="0"/>
    <n v="105"/>
    <s v="_x0000_US"/>
  </r>
  <r>
    <x v="4"/>
    <n v="13.6958"/>
    <n v="-89.169200000000004"/>
    <n v="350.84"/>
    <n v="0"/>
    <n v="0"/>
    <n v="105"/>
    <s v="_x0000_US"/>
  </r>
  <r>
    <x v="4"/>
    <n v="13.6968"/>
    <n v="-89.1691"/>
    <n v="14.32"/>
    <n v="0"/>
    <n v="0"/>
    <n v="105"/>
    <s v="_x0000_US"/>
  </r>
  <r>
    <x v="4"/>
    <n v="13.695499999999999"/>
    <n v="-89.1691"/>
    <n v="164.68"/>
    <n v="0"/>
    <n v="0"/>
    <n v="105"/>
    <s v="_x0000_US"/>
  </r>
  <r>
    <x v="4"/>
    <n v="13.696899999999999"/>
    <n v="-89.168999999999997"/>
    <n v="214.8"/>
    <n v="0"/>
    <n v="0"/>
    <n v="105"/>
    <s v="_x0000_US"/>
  </r>
  <r>
    <x v="4"/>
    <n v="13.6958"/>
    <n v="-89.168999999999997"/>
    <n v="408.12"/>
    <n v="0"/>
    <n v="0"/>
    <n v="105"/>
    <s v="_x0000_US"/>
  </r>
  <r>
    <x v="4"/>
    <n v="13.696999999999999"/>
    <n v="-89.168899999999994"/>
    <n v="14.32"/>
    <n v="0"/>
    <n v="0"/>
    <n v="105"/>
    <s v="_x0000_US"/>
  </r>
  <r>
    <x v="4"/>
    <n v="13.696999999999999"/>
    <n v="-89.168899999999994"/>
    <n v="14.32"/>
    <n v="0"/>
    <n v="0"/>
    <n v="105"/>
    <s v="_x0000_US"/>
  </r>
  <r>
    <x v="4"/>
    <n v="13.696400000000001"/>
    <n v="-89.168899999999994"/>
    <n v="85.92"/>
    <n v="0"/>
    <n v="0"/>
    <n v="105"/>
    <s v="_x0000_US"/>
  </r>
  <r>
    <x v="4"/>
    <n v="13.696999999999999"/>
    <n v="-89.168899999999994"/>
    <n v="179"/>
    <n v="0"/>
    <n v="0"/>
    <n v="105"/>
    <s v="_x0000_US"/>
  </r>
  <r>
    <x v="4"/>
    <n v="13.6967"/>
    <n v="-89.168899999999994"/>
    <n v="286.39999999999998"/>
    <n v="0"/>
    <n v="0"/>
    <n v="105"/>
    <s v="_x0000_US"/>
  </r>
  <r>
    <x v="4"/>
    <n v="13.6965"/>
    <n v="-89.168800000000005"/>
    <n v="136.04"/>
    <n v="0"/>
    <n v="0"/>
    <n v="105"/>
    <s v="_x0000_US"/>
  </r>
  <r>
    <x v="4"/>
    <n v="13.6965"/>
    <n v="-89.168800000000005"/>
    <n v="171.84"/>
    <n v="0"/>
    <n v="0"/>
    <n v="105"/>
    <s v="_x0000_US"/>
  </r>
  <r>
    <x v="4"/>
    <n v="13.696999999999999"/>
    <n v="-89.168800000000005"/>
    <n v="207.64"/>
    <n v="0"/>
    <n v="0"/>
    <n v="105"/>
    <s v="_x0000_US"/>
  </r>
  <r>
    <x v="4"/>
    <n v="13.696300000000001"/>
    <n v="-89.168800000000005"/>
    <n v="221.96"/>
    <n v="0"/>
    <n v="0"/>
    <n v="105"/>
    <s v="_x0000_US"/>
  </r>
  <r>
    <x v="4"/>
    <n v="13.695499999999999"/>
    <n v="-89.168800000000005"/>
    <n v="279.24"/>
    <n v="0"/>
    <n v="0"/>
    <n v="105"/>
    <s v="_x0000_US"/>
  </r>
  <r>
    <x v="4"/>
    <n v="13.6972"/>
    <n v="-89.168700000000001"/>
    <n v="64.44"/>
    <n v="0"/>
    <n v="0"/>
    <n v="105"/>
    <s v="_x0000_US"/>
  </r>
  <r>
    <x v="4"/>
    <n v="13.6965"/>
    <n v="-89.168700000000001"/>
    <n v="93.08"/>
    <n v="0"/>
    <n v="0"/>
    <n v="105"/>
    <s v="_x0000_US"/>
  </r>
  <r>
    <x v="4"/>
    <n v="13.697100000000001"/>
    <n v="-89.168700000000001"/>
    <n v="107.4"/>
    <n v="0"/>
    <n v="0"/>
    <n v="105"/>
    <s v="_x0000_US"/>
  </r>
  <r>
    <x v="4"/>
    <n v="13.6997"/>
    <n v="-89.168700000000001"/>
    <n v="322.2"/>
    <n v="0"/>
    <n v="0"/>
    <n v="105"/>
    <s v="_x0000_US"/>
  </r>
  <r>
    <x v="4"/>
    <n v="13.696899999999999"/>
    <n v="-89.168700000000001"/>
    <n v="386.64"/>
    <n v="0"/>
    <n v="0"/>
    <n v="105"/>
    <s v="_x0000_US"/>
  </r>
  <r>
    <x v="4"/>
    <n v="13.696999999999999"/>
    <n v="-89.168599999999998"/>
    <n v="21.48"/>
    <n v="0"/>
    <n v="0"/>
    <n v="105"/>
    <s v="_x0000_US"/>
  </r>
  <r>
    <x v="4"/>
    <n v="13.696999999999999"/>
    <n v="-89.168599999999998"/>
    <n v="21.48"/>
    <n v="0"/>
    <n v="0"/>
    <n v="105"/>
    <s v="_x0000_US"/>
  </r>
  <r>
    <x v="4"/>
    <n v="13.6972"/>
    <n v="-89.168599999999998"/>
    <n v="64.44"/>
    <n v="0"/>
    <n v="0"/>
    <n v="105"/>
    <s v="_x0000_US"/>
  </r>
  <r>
    <x v="4"/>
    <n v="13.6965"/>
    <n v="-89.168599999999998"/>
    <n v="71.599999999999994"/>
    <n v="0"/>
    <n v="0"/>
    <n v="105"/>
    <s v="_x0000_US"/>
  </r>
  <r>
    <x v="4"/>
    <n v="13.6972"/>
    <n v="-89.168599999999998"/>
    <n v="78.760000000000005"/>
    <n v="0"/>
    <n v="0"/>
    <n v="105"/>
    <s v="_x0000_US"/>
  </r>
  <r>
    <x v="4"/>
    <n v="13.697100000000001"/>
    <n v="-89.168599999999998"/>
    <n v="128.88"/>
    <n v="0"/>
    <n v="0"/>
    <n v="105"/>
    <s v="_x0000_US"/>
  </r>
  <r>
    <x v="4"/>
    <n v="13.6966"/>
    <n v="-89.168599999999998"/>
    <n v="164.68"/>
    <n v="0"/>
    <n v="0"/>
    <n v="105"/>
    <s v="_x0000_US"/>
  </r>
  <r>
    <x v="4"/>
    <n v="13.694800000000001"/>
    <n v="-89.168599999999998"/>
    <n v="214.8"/>
    <n v="0"/>
    <n v="0"/>
    <n v="105"/>
    <s v="_x0000_US"/>
  </r>
  <r>
    <x v="4"/>
    <n v="13.695"/>
    <n v="-89.168599999999998"/>
    <n v="214.8"/>
    <n v="0"/>
    <n v="0"/>
    <n v="105"/>
    <s v="_x0000_US"/>
  </r>
  <r>
    <x v="4"/>
    <n v="13.695399999999999"/>
    <n v="-89.168599999999998"/>
    <n v="307.88"/>
    <n v="0"/>
    <n v="0"/>
    <n v="105"/>
    <s v="_x0000_US"/>
  </r>
  <r>
    <x v="4"/>
    <n v="13.696300000000001"/>
    <n v="-89.168599999999998"/>
    <n v="343.68"/>
    <n v="0"/>
    <n v="0"/>
    <n v="105"/>
    <s v="_x0000_US"/>
  </r>
  <r>
    <x v="4"/>
    <n v="13.694900000000001"/>
    <n v="-89.168599999999998"/>
    <n v="601.44000000000005"/>
    <n v="0"/>
    <n v="0"/>
    <n v="105"/>
    <s v="_x0000_US"/>
  </r>
  <r>
    <x v="4"/>
    <n v="13.697100000000001"/>
    <n v="-89.168499999999995"/>
    <n v="42.96"/>
    <n v="0"/>
    <n v="0"/>
    <n v="105"/>
    <s v="_x0000_US"/>
  </r>
  <r>
    <x v="4"/>
    <n v="13.6966"/>
    <n v="-89.168499999999995"/>
    <n v="207.64"/>
    <n v="0"/>
    <n v="0"/>
    <n v="105"/>
    <s v="_x0000_US"/>
  </r>
  <r>
    <x v="4"/>
    <n v="13.697900000000001"/>
    <n v="-89.168499999999995"/>
    <n v="1646.8"/>
    <n v="0"/>
    <n v="0"/>
    <n v="105"/>
    <s v="_x0000_US"/>
  </r>
  <r>
    <x v="4"/>
    <n v="13.696400000000001"/>
    <n v="-89.168400000000005"/>
    <n v="14.32"/>
    <n v="0"/>
    <n v="0"/>
    <n v="105"/>
    <s v="_x0000_US"/>
  </r>
  <r>
    <x v="4"/>
    <n v="13.697100000000001"/>
    <n v="-89.168400000000005"/>
    <n v="71.599999999999994"/>
    <n v="0"/>
    <n v="0"/>
    <n v="105"/>
    <s v="_x0000_US"/>
  </r>
  <r>
    <x v="4"/>
    <n v="13.696300000000001"/>
    <n v="-89.168300000000002"/>
    <n v="50.12"/>
    <n v="0"/>
    <n v="0"/>
    <n v="105"/>
    <s v="_x0000_US"/>
  </r>
  <r>
    <x v="4"/>
    <n v="13.696400000000001"/>
    <n v="-89.168300000000002"/>
    <n v="114.56"/>
    <n v="0"/>
    <n v="0"/>
    <n v="105"/>
    <s v="_x0000_US"/>
  </r>
  <r>
    <x v="4"/>
    <n v="13.6966"/>
    <n v="-89.168300000000002"/>
    <n v="221.96"/>
    <n v="0"/>
    <n v="0"/>
    <n v="105"/>
    <s v="_x0000_US"/>
  </r>
  <r>
    <x v="4"/>
    <n v="13.6952"/>
    <n v="-89.168300000000002"/>
    <n v="479.72"/>
    <n v="0"/>
    <n v="0"/>
    <n v="105"/>
    <s v="_x0000_US"/>
  </r>
  <r>
    <x v="4"/>
    <n v="13.695600000000001"/>
    <n v="-89.168300000000002"/>
    <n v="486.88"/>
    <n v="0"/>
    <n v="0"/>
    <n v="105"/>
    <s v="_x0000_US"/>
  </r>
  <r>
    <x v="4"/>
    <n v="13.694900000000001"/>
    <n v="-89.168300000000002"/>
    <n v="486.88"/>
    <n v="0"/>
    <n v="0"/>
    <n v="105"/>
    <s v="_x0000_US"/>
  </r>
  <r>
    <x v="4"/>
    <n v="13.6968"/>
    <n v="-89.168300000000002"/>
    <n v="537"/>
    <n v="0"/>
    <n v="0"/>
    <n v="105"/>
    <s v="_x0000_US"/>
  </r>
  <r>
    <x v="4"/>
    <n v="13.694599999999999"/>
    <n v="-89.168199999999999"/>
    <n v="436.76"/>
    <n v="0"/>
    <n v="0"/>
    <n v="105"/>
    <s v="_x0000_US"/>
  </r>
  <r>
    <x v="4"/>
    <n v="13.6966"/>
    <n v="-89.168099999999995"/>
    <n v="78.760000000000005"/>
    <n v="0"/>
    <n v="0"/>
    <n v="105"/>
    <s v="_x0000_US"/>
  </r>
  <r>
    <x v="4"/>
    <n v="13.695499999999999"/>
    <n v="-89.168000000000006"/>
    <n v="78.760000000000005"/>
    <n v="0"/>
    <n v="0"/>
    <n v="105"/>
    <s v="_x0000_US"/>
  </r>
  <r>
    <x v="4"/>
    <n v="13.694800000000001"/>
    <n v="-89.168000000000006"/>
    <n v="221.96"/>
    <n v="0"/>
    <n v="0"/>
    <n v="105"/>
    <s v="_x0000_US"/>
  </r>
  <r>
    <x v="4"/>
    <n v="13.6951"/>
    <n v="-89.168000000000006"/>
    <n v="229.12"/>
    <n v="0"/>
    <n v="0"/>
    <n v="105"/>
    <s v="_x0000_US"/>
  </r>
  <r>
    <x v="4"/>
    <n v="13.6953"/>
    <n v="-89.168000000000006"/>
    <n v="243.44"/>
    <n v="0"/>
    <n v="0"/>
    <n v="105"/>
    <s v="_x0000_US"/>
  </r>
  <r>
    <x v="4"/>
    <n v="13.696099999999999"/>
    <n v="-89.168000000000006"/>
    <n v="644.4"/>
    <n v="0"/>
    <n v="0"/>
    <n v="105"/>
    <s v="_x0000_US"/>
  </r>
  <r>
    <x v="4"/>
    <n v="13.695499999999999"/>
    <n v="-89.167900000000003"/>
    <n v="157.52000000000001"/>
    <n v="0"/>
    <n v="0"/>
    <n v="105"/>
    <s v="_x0000_US"/>
  </r>
  <r>
    <x v="4"/>
    <n v="13.696199999999999"/>
    <n v="-89.167900000000003"/>
    <n v="644.4"/>
    <n v="0"/>
    <n v="0"/>
    <n v="105"/>
    <s v="_x0000_US"/>
  </r>
  <r>
    <x v="4"/>
    <n v="13.695499999999999"/>
    <n v="-89.1678"/>
    <n v="42.96"/>
    <n v="0"/>
    <n v="0"/>
    <n v="105"/>
    <s v="_x0000_US"/>
  </r>
  <r>
    <x v="4"/>
    <n v="13.695499999999999"/>
    <n v="-89.1678"/>
    <n v="42.96"/>
    <n v="0"/>
    <n v="0"/>
    <n v="105"/>
    <s v="_x0000_US"/>
  </r>
  <r>
    <x v="4"/>
    <n v="13.694900000000001"/>
    <n v="-89.1678"/>
    <n v="279.24"/>
    <n v="0"/>
    <n v="0"/>
    <n v="105"/>
    <s v="_x0000_US"/>
  </r>
  <r>
    <x v="4"/>
    <n v="13.694599999999999"/>
    <n v="-89.1678"/>
    <n v="329.36"/>
    <n v="0"/>
    <n v="0"/>
    <n v="105"/>
    <s v="_x0000_US"/>
  </r>
  <r>
    <x v="4"/>
    <n v="13.6996"/>
    <n v="-89.1678"/>
    <n v="2949.76"/>
    <n v="0"/>
    <n v="0"/>
    <n v="105"/>
    <s v="_x0000_US"/>
  </r>
  <r>
    <x v="4"/>
    <n v="13.7013"/>
    <n v="-89.167699999999996"/>
    <n v="279.24"/>
    <n v="0"/>
    <n v="0"/>
    <n v="105"/>
    <s v="_x0000_US"/>
  </r>
  <r>
    <x v="4"/>
    <n v="13.6944"/>
    <n v="-89.167699999999996"/>
    <n v="279.24"/>
    <n v="0"/>
    <n v="0"/>
    <n v="105"/>
    <s v="_x0000_US"/>
  </r>
  <r>
    <x v="4"/>
    <n v="13.6952"/>
    <n v="-89.167699999999996"/>
    <n v="458.24"/>
    <n v="0"/>
    <n v="0"/>
    <n v="105"/>
    <s v="_x0000_US"/>
  </r>
  <r>
    <x v="4"/>
    <n v="13.6945"/>
    <n v="-89.167599999999993"/>
    <n v="14.32"/>
    <n v="0"/>
    <n v="0"/>
    <n v="105"/>
    <s v="_x0000_US"/>
  </r>
  <r>
    <x v="4"/>
    <n v="13.6958"/>
    <n v="-89.167599999999993"/>
    <n v="57.28"/>
    <n v="0"/>
    <n v="0"/>
    <n v="105"/>
    <s v="_x0000_US"/>
  </r>
  <r>
    <x v="4"/>
    <n v="13.694800000000001"/>
    <n v="-89.167599999999993"/>
    <n v="193.32"/>
    <n v="0"/>
    <n v="0"/>
    <n v="105"/>
    <s v="_x0000_US"/>
  </r>
  <r>
    <x v="4"/>
    <n v="13.694699999999999"/>
    <n v="-89.167500000000004"/>
    <n v="7.16"/>
    <n v="0"/>
    <n v="0"/>
    <n v="105"/>
    <s v="_x0000_US"/>
  </r>
  <r>
    <x v="4"/>
    <n v="13.6943"/>
    <n v="-89.167500000000004"/>
    <n v="64.44"/>
    <n v="0"/>
    <n v="0"/>
    <n v="105"/>
    <s v="_x0000_US"/>
  </r>
  <r>
    <x v="4"/>
    <n v="13.694599999999999"/>
    <n v="-89.167500000000004"/>
    <n v="164.68"/>
    <n v="0"/>
    <n v="0"/>
    <n v="105"/>
    <s v="_x0000_US"/>
  </r>
  <r>
    <x v="4"/>
    <n v="13.6943"/>
    <n v="-89.167400000000001"/>
    <n v="35.799999999999997"/>
    <n v="0"/>
    <n v="0"/>
    <n v="105"/>
    <s v="_x0000_US"/>
  </r>
  <r>
    <x v="4"/>
    <n v="13.694699999999999"/>
    <n v="-89.167400000000001"/>
    <n v="257.76"/>
    <n v="0"/>
    <n v="0"/>
    <n v="105"/>
    <s v="_x0000_US"/>
  </r>
  <r>
    <x v="4"/>
    <n v="13.6976"/>
    <n v="-89.167400000000001"/>
    <n v="494.04"/>
    <n v="0"/>
    <n v="0"/>
    <n v="105"/>
    <s v="_x0000_US"/>
  </r>
  <r>
    <x v="4"/>
    <n v="13.6953"/>
    <n v="-89.167400000000001"/>
    <n v="902.16"/>
    <n v="0"/>
    <n v="0"/>
    <n v="105"/>
    <s v="_x0000_US"/>
  </r>
  <r>
    <x v="4"/>
    <n v="13.694699999999999"/>
    <n v="-89.167199999999994"/>
    <n v="93.08"/>
    <n v="0"/>
    <n v="0"/>
    <n v="105"/>
    <s v="_x0000_US"/>
  </r>
  <r>
    <x v="4"/>
    <n v="13.6944"/>
    <n v="-89.167199999999994"/>
    <n v="307.88"/>
    <n v="0"/>
    <n v="0"/>
    <n v="105"/>
    <s v="_x0000_US"/>
  </r>
  <r>
    <x v="4"/>
    <n v="13.7018"/>
    <n v="-89.167199999999994"/>
    <n v="322.2"/>
    <n v="0"/>
    <n v="0"/>
    <n v="105"/>
    <s v="_x0000_US"/>
  </r>
  <r>
    <x v="4"/>
    <n v="13.694699999999999"/>
    <n v="-89.167199999999994"/>
    <n v="329.36"/>
    <n v="0"/>
    <n v="0"/>
    <n v="105"/>
    <s v="_x0000_US"/>
  </r>
  <r>
    <x v="4"/>
    <n v="13.6957"/>
    <n v="-89.167199999999994"/>
    <n v="537"/>
    <n v="0"/>
    <n v="0"/>
    <n v="105"/>
    <s v="_x0000_US"/>
  </r>
  <r>
    <x v="4"/>
    <n v="13.7019"/>
    <n v="-89.167100000000005"/>
    <n v="71.599999999999994"/>
    <n v="0"/>
    <n v="0"/>
    <n v="105"/>
    <s v="_x0000_US"/>
  </r>
  <r>
    <x v="4"/>
    <n v="13.6981"/>
    <n v="-89.167100000000005"/>
    <n v="551.32000000000005"/>
    <n v="0"/>
    <n v="0"/>
    <n v="105"/>
    <s v="_x0000_US"/>
  </r>
  <r>
    <x v="4"/>
    <n v="13.7004"/>
    <n v="-89.167100000000005"/>
    <n v="959.44"/>
    <n v="0"/>
    <n v="0"/>
    <n v="105"/>
    <s v="_x0000_US"/>
  </r>
  <r>
    <x v="4"/>
    <n v="13.695399999999999"/>
    <n v="-89.167000000000002"/>
    <n v="486.88"/>
    <n v="0"/>
    <n v="0"/>
    <n v="105"/>
    <s v="_x0000_US"/>
  </r>
  <r>
    <x v="4"/>
    <n v="13.699"/>
    <n v="-89.166899999999998"/>
    <n v="1281.6400000000001"/>
    <n v="0"/>
    <n v="0"/>
    <n v="105"/>
    <s v="_x0000_US"/>
  </r>
  <r>
    <x v="4"/>
    <n v="13.6958"/>
    <n v="-89.166799999999995"/>
    <n v="114.56"/>
    <n v="0"/>
    <n v="0"/>
    <n v="105"/>
    <s v="_x0000_US"/>
  </r>
  <r>
    <x v="4"/>
    <n v="13.6957"/>
    <n v="-89.166799999999995"/>
    <n v="358"/>
    <n v="0"/>
    <n v="0"/>
    <n v="105"/>
    <s v="_x0000_US"/>
  </r>
  <r>
    <x v="4"/>
    <n v="13.696"/>
    <n v="-89.166799999999995"/>
    <n v="844.88"/>
    <n v="0"/>
    <n v="0"/>
    <n v="105"/>
    <s v="_x0000_US"/>
  </r>
  <r>
    <x v="4"/>
    <n v="13.694900000000001"/>
    <n v="-89.166600000000003"/>
    <n v="50.12"/>
    <n v="0"/>
    <n v="0"/>
    <n v="105"/>
    <s v="_x0000_US"/>
  </r>
  <r>
    <x v="4"/>
    <n v="13.702"/>
    <n v="-89.166600000000003"/>
    <n v="758.96"/>
    <n v="0"/>
    <n v="0"/>
    <n v="105"/>
    <s v="_x0000_US"/>
  </r>
  <r>
    <x v="4"/>
    <n v="13.6999"/>
    <n v="-89.166499999999999"/>
    <n v="1994.44"/>
    <n v="0"/>
    <n v="0"/>
    <n v="105"/>
    <s v="_x0000_US"/>
  </r>
  <r>
    <x v="4"/>
    <n v="13.6951"/>
    <n v="-89.166300000000007"/>
    <n v="665.88"/>
    <n v="0"/>
    <n v="0"/>
    <n v="105"/>
    <s v="_x0000_US"/>
  </r>
  <r>
    <x v="4"/>
    <n v="13.695600000000001"/>
    <n v="-89.166300000000007"/>
    <n v="1116.96"/>
    <n v="0"/>
    <n v="0"/>
    <n v="105"/>
    <s v="_x0000_US"/>
  </r>
  <r>
    <x v="4"/>
    <n v="13.702199999999999"/>
    <n v="-89.1661"/>
    <n v="28.64"/>
    <n v="0"/>
    <n v="0"/>
    <n v="105"/>
    <s v="_x0000_US"/>
  </r>
  <r>
    <x v="4"/>
    <n v="13.7021"/>
    <n v="-89.1661"/>
    <n v="200.48"/>
    <n v="0"/>
    <n v="0"/>
    <n v="105"/>
    <s v="_x0000_US"/>
  </r>
  <r>
    <x v="4"/>
    <n v="13.696"/>
    <n v="-89.165999999999997"/>
    <n v="694.52"/>
    <n v="0"/>
    <n v="0"/>
    <n v="105"/>
    <s v="_x0000_US"/>
  </r>
  <r>
    <x v="4"/>
    <n v="13.696300000000001"/>
    <n v="-89.165899999999993"/>
    <n v="694.52"/>
    <n v="0"/>
    <n v="0"/>
    <n v="105"/>
    <s v="_x0000_US"/>
  </r>
  <r>
    <x v="4"/>
    <n v="13.694800000000001"/>
    <n v="-89.165899999999993"/>
    <n v="1210.04"/>
    <n v="0"/>
    <n v="0"/>
    <n v="105"/>
    <s v="_x0000_US"/>
  </r>
  <r>
    <x v="4"/>
    <n v="13.6965"/>
    <n v="-89.165800000000004"/>
    <n v="637.24"/>
    <n v="0"/>
    <n v="0"/>
    <n v="105"/>
    <s v="_x0000_US"/>
  </r>
  <r>
    <x v="4"/>
    <n v="13.6967"/>
    <n v="-89.165700000000001"/>
    <n v="601.44000000000005"/>
    <n v="0"/>
    <n v="0"/>
    <n v="105"/>
    <s v="_x0000_US"/>
  </r>
  <r>
    <x v="4"/>
    <n v="13.696"/>
    <n v="-89.165599999999998"/>
    <n v="200.48"/>
    <n v="0"/>
    <n v="0"/>
    <n v="105"/>
    <s v="_x0000_US"/>
  </r>
  <r>
    <x v="4"/>
    <n v="13.696899999999999"/>
    <n v="-89.165599999999998"/>
    <n v="565.64"/>
    <n v="0"/>
    <n v="0"/>
    <n v="105"/>
    <s v="_x0000_US"/>
  </r>
  <r>
    <x v="4"/>
    <n v="13.696199999999999"/>
    <n v="-89.165499999999994"/>
    <n v="207.64"/>
    <n v="0"/>
    <n v="0"/>
    <n v="105"/>
    <s v="_x0000_US"/>
  </r>
  <r>
    <x v="4"/>
    <n v="13.6965"/>
    <n v="-89.165400000000005"/>
    <n v="207.64"/>
    <n v="0"/>
    <n v="0"/>
    <n v="105"/>
    <s v="_x0000_US"/>
  </r>
  <r>
    <x v="4"/>
    <n v="13.6974"/>
    <n v="-89.165400000000005"/>
    <n v="494.04"/>
    <n v="0"/>
    <n v="0"/>
    <n v="105"/>
    <s v="_x0000_US"/>
  </r>
  <r>
    <x v="4"/>
    <n v="13.6972"/>
    <n v="-89.165400000000005"/>
    <n v="494.04"/>
    <n v="0"/>
    <n v="0"/>
    <n v="105"/>
    <s v="_x0000_US"/>
  </r>
  <r>
    <x v="4"/>
    <n v="13.695399999999999"/>
    <n v="-89.165400000000005"/>
    <n v="737.48"/>
    <n v="0"/>
    <n v="0"/>
    <n v="105"/>
    <s v="_x0000_US"/>
  </r>
  <r>
    <x v="4"/>
    <n v="13.6967"/>
    <n v="-89.165300000000002"/>
    <n v="200.48"/>
    <n v="0"/>
    <n v="0"/>
    <n v="105"/>
    <s v="_x0000_US"/>
  </r>
  <r>
    <x v="4"/>
    <n v="13.6957"/>
    <n v="-89.165300000000002"/>
    <n v="558.48"/>
    <n v="0"/>
    <n v="0"/>
    <n v="105"/>
    <s v="_x0000_US"/>
  </r>
  <r>
    <x v="4"/>
    <n v="13.696899999999999"/>
    <n v="-89.165199999999999"/>
    <n v="200.48"/>
    <n v="0"/>
    <n v="0"/>
    <n v="105"/>
    <s v="_x0000_US"/>
  </r>
  <r>
    <x v="4"/>
    <n v="13.695"/>
    <n v="-89.165199999999999"/>
    <n v="229.12"/>
    <n v="0"/>
    <n v="0"/>
    <n v="105"/>
    <s v="_x0000_US"/>
  </r>
  <r>
    <x v="4"/>
    <n v="13.6976"/>
    <n v="-89.165199999999999"/>
    <n v="443.92"/>
    <n v="0"/>
    <n v="0"/>
    <n v="105"/>
    <s v="_x0000_US"/>
  </r>
  <r>
    <x v="4"/>
    <n v="13.6972"/>
    <n v="-89.165099999999995"/>
    <n v="193.32"/>
    <n v="0"/>
    <n v="0"/>
    <n v="105"/>
    <s v="_x0000_US"/>
  </r>
  <r>
    <x v="4"/>
    <n v="13.697900000000001"/>
    <n v="-89.165099999999995"/>
    <n v="415.28"/>
    <n v="0"/>
    <n v="0"/>
    <n v="105"/>
    <s v="_x0000_US"/>
  </r>
  <r>
    <x v="4"/>
    <n v="13.6953"/>
    <n v="-89.165099999999995"/>
    <n v="508.36"/>
    <n v="0"/>
    <n v="0"/>
    <n v="105"/>
    <s v="_x0000_US"/>
  </r>
  <r>
    <x v="4"/>
    <n v="13.6959"/>
    <n v="-89.165099999999995"/>
    <n v="708.84"/>
    <n v="0"/>
    <n v="0"/>
    <n v="105"/>
    <s v="_x0000_US"/>
  </r>
  <r>
    <x v="4"/>
    <n v="13.6973"/>
    <n v="-89.165000000000006"/>
    <n v="35.799999999999997"/>
    <n v="0"/>
    <n v="0"/>
    <n v="105"/>
    <s v="_x0000_US"/>
  </r>
  <r>
    <x v="4"/>
    <n v="13.6974"/>
    <n v="-89.165000000000006"/>
    <n v="164.68"/>
    <n v="0"/>
    <n v="0"/>
    <n v="105"/>
    <s v="_x0000_US"/>
  </r>
  <r>
    <x v="4"/>
    <n v="13.696999999999999"/>
    <n v="-89.165000000000006"/>
    <n v="164.68"/>
    <n v="0"/>
    <n v="0"/>
    <n v="105"/>
    <s v="_x0000_US"/>
  </r>
  <r>
    <x v="4"/>
    <n v="13.696199999999999"/>
    <n v="-89.165000000000006"/>
    <n v="730.32"/>
    <n v="0"/>
    <n v="0"/>
    <n v="105"/>
    <s v="_x0000_US"/>
  </r>
  <r>
    <x v="4"/>
    <n v="13.695600000000001"/>
    <n v="-89.164900000000003"/>
    <n v="157.52000000000001"/>
    <n v="0"/>
    <n v="0"/>
    <n v="105"/>
    <s v="_x0000_US"/>
  </r>
  <r>
    <x v="4"/>
    <n v="13.6973"/>
    <n v="-89.164900000000003"/>
    <n v="157.52000000000001"/>
    <n v="0"/>
    <n v="0"/>
    <n v="105"/>
    <s v="_x0000_US"/>
  </r>
  <r>
    <x v="4"/>
    <n v="13.6976"/>
    <n v="-89.164900000000003"/>
    <n v="221.96"/>
    <n v="0"/>
    <n v="0"/>
    <n v="105"/>
    <s v="_x0000_US"/>
  </r>
  <r>
    <x v="4"/>
    <n v="13.697100000000001"/>
    <n v="-89.164900000000003"/>
    <n v="229.12"/>
    <n v="0"/>
    <n v="0"/>
    <n v="105"/>
    <s v="_x0000_US"/>
  </r>
  <r>
    <x v="4"/>
    <n v="13.696400000000001"/>
    <n v="-89.164900000000003"/>
    <n v="737.48"/>
    <n v="0"/>
    <n v="0"/>
    <n v="105"/>
    <s v="_x0000_US"/>
  </r>
  <r>
    <x v="4"/>
    <n v="13.697800000000001"/>
    <n v="-89.1648"/>
    <n v="35.799999999999997"/>
    <n v="0"/>
    <n v="0"/>
    <n v="105"/>
    <s v="_x0000_US"/>
  </r>
  <r>
    <x v="4"/>
    <n v="13.697900000000001"/>
    <n v="-89.1648"/>
    <n v="193.32"/>
    <n v="0"/>
    <n v="0"/>
    <n v="105"/>
    <s v="_x0000_US"/>
  </r>
  <r>
    <x v="4"/>
    <n v="13.696899999999999"/>
    <n v="-89.1648"/>
    <n v="193.32"/>
    <n v="0"/>
    <n v="0"/>
    <n v="105"/>
    <s v="_x0000_US"/>
  </r>
  <r>
    <x v="4"/>
    <n v="13.6966"/>
    <n v="-89.1648"/>
    <n v="737.48"/>
    <n v="0"/>
    <n v="0"/>
    <n v="105"/>
    <s v="_x0000_US"/>
  </r>
  <r>
    <x v="4"/>
    <n v="13.6953"/>
    <n v="-89.164699999999996"/>
    <n v="78.760000000000005"/>
    <n v="0"/>
    <n v="0"/>
    <n v="105"/>
    <s v="_x0000_US"/>
  </r>
  <r>
    <x v="4"/>
    <n v="13.6957"/>
    <n v="-89.164699999999996"/>
    <n v="150.36000000000001"/>
    <n v="0"/>
    <n v="0"/>
    <n v="105"/>
    <s v="_x0000_US"/>
  </r>
  <r>
    <x v="4"/>
    <n v="13.697800000000001"/>
    <n v="-89.164699999999996"/>
    <n v="157.52000000000001"/>
    <n v="0"/>
    <n v="0"/>
    <n v="105"/>
    <s v="_x0000_US"/>
  </r>
  <r>
    <x v="4"/>
    <n v="13.6982"/>
    <n v="-89.164699999999996"/>
    <n v="193.32"/>
    <n v="0"/>
    <n v="0"/>
    <n v="105"/>
    <s v="_x0000_US"/>
  </r>
  <r>
    <x v="4"/>
    <n v="13.6972"/>
    <n v="-89.164699999999996"/>
    <n v="200.48"/>
    <n v="0"/>
    <n v="0"/>
    <n v="105"/>
    <s v="_x0000_US"/>
  </r>
  <r>
    <x v="4"/>
    <n v="13.696999999999999"/>
    <n v="-89.164699999999996"/>
    <n v="229.12"/>
    <n v="0"/>
    <n v="0"/>
    <n v="105"/>
    <s v="_x0000_US"/>
  </r>
  <r>
    <x v="4"/>
    <n v="13.6975"/>
    <n v="-89.164699999999996"/>
    <n v="422.44"/>
    <n v="0"/>
    <n v="0"/>
    <n v="105"/>
    <s v="_x0000_US"/>
  </r>
  <r>
    <x v="4"/>
    <n v="13.695399999999999"/>
    <n v="-89.164599999999993"/>
    <n v="164.68"/>
    <n v="0"/>
    <n v="0"/>
    <n v="105"/>
    <s v="_x0000_US"/>
  </r>
  <r>
    <x v="4"/>
    <n v="13.6968"/>
    <n v="-89.164599999999993"/>
    <n v="200.48"/>
    <n v="0"/>
    <n v="0"/>
    <n v="105"/>
    <s v="_x0000_US"/>
  </r>
  <r>
    <x v="4"/>
    <n v="13.698399999999999"/>
    <n v="-89.164599999999993"/>
    <n v="200.48"/>
    <n v="0"/>
    <n v="0"/>
    <n v="105"/>
    <s v="_x0000_US"/>
  </r>
  <r>
    <x v="4"/>
    <n v="13.6959"/>
    <n v="-89.164599999999993"/>
    <n v="207.64"/>
    <n v="0"/>
    <n v="0"/>
    <n v="105"/>
    <s v="_x0000_US"/>
  </r>
  <r>
    <x v="4"/>
    <n v="13.698"/>
    <n v="-89.164599999999993"/>
    <n v="257.76"/>
    <n v="0"/>
    <n v="0"/>
    <n v="105"/>
    <s v="_x0000_US"/>
  </r>
  <r>
    <x v="4"/>
    <n v="13.696"/>
    <n v="-89.164500000000004"/>
    <n v="42.96"/>
    <n v="0"/>
    <n v="0"/>
    <n v="105"/>
    <s v="_x0000_US"/>
  </r>
  <r>
    <x v="4"/>
    <n v="13.696099999999999"/>
    <n v="-89.164500000000004"/>
    <n v="150.36000000000001"/>
    <n v="0"/>
    <n v="0"/>
    <n v="105"/>
    <s v="_x0000_US"/>
  </r>
  <r>
    <x v="4"/>
    <n v="13.697699999999999"/>
    <n v="-89.164500000000004"/>
    <n v="193.32"/>
    <n v="0"/>
    <n v="0"/>
    <n v="105"/>
    <s v="_x0000_US"/>
  </r>
  <r>
    <x v="4"/>
    <n v="13.698600000000001"/>
    <n v="-89.164500000000004"/>
    <n v="200.48"/>
    <n v="0"/>
    <n v="0"/>
    <n v="105"/>
    <s v="_x0000_US"/>
  </r>
  <r>
    <x v="4"/>
    <n v="13.697100000000001"/>
    <n v="-89.164500000000004"/>
    <n v="200.48"/>
    <n v="0"/>
    <n v="0"/>
    <n v="105"/>
    <s v="_x0000_US"/>
  </r>
  <r>
    <x v="4"/>
    <n v="13.699"/>
    <n v="-89.164500000000004"/>
    <n v="207.64"/>
    <n v="0"/>
    <n v="0"/>
    <n v="105"/>
    <s v="_x0000_US"/>
  </r>
  <r>
    <x v="4"/>
    <n v="13.6974"/>
    <n v="-89.164500000000004"/>
    <n v="422.44"/>
    <n v="0"/>
    <n v="0"/>
    <n v="105"/>
    <s v="_x0000_US"/>
  </r>
  <r>
    <x v="4"/>
    <n v="13.700200000000001"/>
    <n v="-89.164500000000004"/>
    <n v="5312.92"/>
    <n v="0"/>
    <n v="0"/>
    <n v="105"/>
    <s v="_x0000_US"/>
  </r>
  <r>
    <x v="4"/>
    <n v="13.696300000000001"/>
    <n v="-89.164400000000001"/>
    <n v="93.08"/>
    <n v="0"/>
    <n v="0"/>
    <n v="105"/>
    <s v="_x0000_US"/>
  </r>
  <r>
    <x v="4"/>
    <n v="13.696400000000001"/>
    <n v="-89.164400000000001"/>
    <n v="107.4"/>
    <n v="0"/>
    <n v="0"/>
    <n v="105"/>
    <s v="_x0000_US"/>
  </r>
  <r>
    <x v="4"/>
    <n v="13.6968"/>
    <n v="-89.164400000000001"/>
    <n v="171.84"/>
    <n v="0"/>
    <n v="0"/>
    <n v="105"/>
    <s v="_x0000_US"/>
  </r>
  <r>
    <x v="4"/>
    <n v="13.6989"/>
    <n v="-89.164400000000001"/>
    <n v="200.48"/>
    <n v="0"/>
    <n v="0"/>
    <n v="105"/>
    <s v="_x0000_US"/>
  </r>
  <r>
    <x v="4"/>
    <n v="13.696899999999999"/>
    <n v="-89.164400000000001"/>
    <n v="229.12"/>
    <n v="0"/>
    <n v="0"/>
    <n v="105"/>
    <s v="_x0000_US"/>
  </r>
  <r>
    <x v="4"/>
    <n v="13.696"/>
    <n v="-89.164400000000001"/>
    <n v="229.12"/>
    <n v="0"/>
    <n v="0"/>
    <n v="105"/>
    <s v="_x0000_US"/>
  </r>
  <r>
    <x v="4"/>
    <n v="13.6967"/>
    <n v="-89.164299999999997"/>
    <n v="42.96"/>
    <n v="0"/>
    <n v="0"/>
    <n v="105"/>
    <s v="_x0000_US"/>
  </r>
  <r>
    <x v="4"/>
    <n v="13.6966"/>
    <n v="-89.164299999999997"/>
    <n v="157.52000000000001"/>
    <n v="0"/>
    <n v="0"/>
    <n v="105"/>
    <s v="_x0000_US"/>
  </r>
  <r>
    <x v="4"/>
    <n v="13.696999999999999"/>
    <n v="-89.164299999999997"/>
    <n v="164.68"/>
    <n v="0"/>
    <n v="0"/>
    <n v="105"/>
    <s v="_x0000_US"/>
  </r>
  <r>
    <x v="4"/>
    <n v="13.6973"/>
    <n v="-89.164299999999997"/>
    <n v="393.8"/>
    <n v="0"/>
    <n v="0"/>
    <n v="105"/>
    <s v="_x0000_US"/>
  </r>
  <r>
    <x v="4"/>
    <n v="13.6981"/>
    <n v="-89.164299999999997"/>
    <n v="644.4"/>
    <n v="0"/>
    <n v="0"/>
    <n v="105"/>
    <s v="_x0000_US"/>
  </r>
  <r>
    <x v="4"/>
    <n v="13.696999999999999"/>
    <n v="-89.164199999999994"/>
    <n v="35.799999999999997"/>
    <n v="0"/>
    <n v="0"/>
    <n v="105"/>
    <s v="_x0000_US"/>
  </r>
  <r>
    <x v="4"/>
    <n v="13.6968"/>
    <n v="-89.164199999999994"/>
    <n v="193.32"/>
    <n v="0"/>
    <n v="0"/>
    <n v="105"/>
    <s v="_x0000_US"/>
  </r>
  <r>
    <x v="4"/>
    <n v="13.696300000000001"/>
    <n v="-89.164199999999994"/>
    <n v="358"/>
    <n v="0"/>
    <n v="0"/>
    <n v="105"/>
    <s v="_x0000_US"/>
  </r>
  <r>
    <x v="4"/>
    <n v="13.697699999999999"/>
    <n v="-89.164199999999994"/>
    <n v="415.28"/>
    <n v="0"/>
    <n v="0"/>
    <n v="105"/>
    <s v="_x0000_US"/>
  </r>
  <r>
    <x v="4"/>
    <n v="13.698600000000001"/>
    <n v="-89.164199999999994"/>
    <n v="529.84"/>
    <n v="0"/>
    <n v="0"/>
    <n v="105"/>
    <s v="_x0000_US"/>
  </r>
  <r>
    <x v="4"/>
    <n v="13.698399999999999"/>
    <n v="-89.164199999999994"/>
    <n v="615.76"/>
    <n v="0"/>
    <n v="0"/>
    <n v="105"/>
    <s v="_x0000_US"/>
  </r>
  <r>
    <x v="4"/>
    <n v="13.697100000000001"/>
    <n v="-89.164100000000005"/>
    <n v="221.96"/>
    <n v="0"/>
    <n v="0"/>
    <n v="105"/>
    <s v="_x0000_US"/>
  </r>
  <r>
    <x v="4"/>
    <n v="13.6989"/>
    <n v="-89.164100000000005"/>
    <n v="436.76"/>
    <n v="0"/>
    <n v="0"/>
    <n v="105"/>
    <s v="_x0000_US"/>
  </r>
  <r>
    <x v="4"/>
    <n v="13.6974"/>
    <n v="-89.164000000000001"/>
    <n v="250.6"/>
    <n v="0"/>
    <n v="0"/>
    <n v="105"/>
    <s v="_x0000_US"/>
  </r>
  <r>
    <x v="4"/>
    <n v="13.6966"/>
    <n v="-89.164000000000001"/>
    <n v="436.76"/>
    <n v="0"/>
    <n v="0"/>
    <n v="105"/>
    <s v="_x0000_US"/>
  </r>
  <r>
    <x v="4"/>
    <n v="13.6976"/>
    <n v="-89.163899999999998"/>
    <n v="121.72"/>
    <n v="0"/>
    <n v="0"/>
    <n v="105"/>
    <s v="_x0000_US"/>
  </r>
  <r>
    <x v="4"/>
    <n v="13.697800000000001"/>
    <n v="-89.163899999999998"/>
    <n v="128.88"/>
    <n v="0"/>
    <n v="0"/>
    <n v="105"/>
    <s v="_x0000_US"/>
  </r>
  <r>
    <x v="4"/>
    <n v="13.6968"/>
    <n v="-89.163899999999998"/>
    <n v="529.84"/>
    <n v="0"/>
    <n v="0"/>
    <n v="105"/>
    <s v="_x0000_US"/>
  </r>
  <r>
    <x v="4"/>
    <n v="13.697100000000001"/>
    <n v="-89.163700000000006"/>
    <n v="630.08000000000004"/>
    <n v="0"/>
    <n v="0"/>
    <n v="105"/>
    <s v="_x0000_US"/>
  </r>
  <r>
    <x v="4"/>
    <n v="13.6974"/>
    <n v="-89.163499999999999"/>
    <n v="694.52"/>
    <n v="0"/>
    <n v="0"/>
    <n v="105"/>
    <s v="_x0000_US"/>
  </r>
  <r>
    <x v="4"/>
    <n v="13.697699999999999"/>
    <n v="-89.163399999999996"/>
    <n v="737.48"/>
    <n v="0"/>
    <n v="0"/>
    <n v="105"/>
    <s v="_x0000_US"/>
  </r>
  <r>
    <x v="4"/>
    <n v="13.6989"/>
    <n v="-89.163399999999996"/>
    <n v="1804.32"/>
    <n v="0"/>
    <n v="0"/>
    <n v="105"/>
    <s v="_x0000_US"/>
  </r>
  <r>
    <x v="5"/>
    <n v="13.684900000000001"/>
    <n v="-89.210700000000003"/>
    <n v="46200"/>
    <n v="0"/>
    <n v="0"/>
    <n v="106"/>
    <s v="_x0000_US"/>
  </r>
  <r>
    <x v="5"/>
    <n v="13.6858"/>
    <n v="-89.2012"/>
    <n v="69300"/>
    <n v="0"/>
    <n v="0"/>
    <n v="106"/>
    <s v="_x0000_US"/>
  </r>
  <r>
    <x v="5"/>
    <n v="13.6882"/>
    <n v="-89.192800000000005"/>
    <n v="82600"/>
    <n v="0"/>
    <n v="0"/>
    <n v="106"/>
    <s v="_x0000_US"/>
  </r>
  <r>
    <x v="5"/>
    <n v="13.677"/>
    <n v="-89.246099999999998"/>
    <n v="116200"/>
    <n v="0"/>
    <n v="0"/>
    <n v="106"/>
    <s v="_x0000_US"/>
  </r>
  <r>
    <x v="5"/>
    <n v="13.688700000000001"/>
    <n v="-89.184399999999997"/>
    <n v="131250"/>
    <n v="0"/>
    <n v="0"/>
    <n v="106"/>
    <s v="_x0000_US"/>
  </r>
  <r>
    <x v="5"/>
    <n v="13.6791"/>
    <n v="-89.199200000000005"/>
    <n v="143150"/>
    <n v="0"/>
    <n v="0"/>
    <n v="106"/>
    <s v="_x0000_US"/>
  </r>
  <r>
    <x v="5"/>
    <n v="13.6904"/>
    <n v="-89.216200000000001"/>
    <n v="146650"/>
    <n v="0"/>
    <n v="0"/>
    <n v="106"/>
    <s v="_x0000_US"/>
  </r>
  <r>
    <x v="5"/>
    <n v="13.693300000000001"/>
    <n v="-89.186999999999998"/>
    <n v="156800"/>
    <n v="0"/>
    <n v="0"/>
    <n v="106"/>
    <s v="_x0000_US"/>
  </r>
  <r>
    <x v="5"/>
    <n v="13.6919"/>
    <n v="-89.233599999999996"/>
    <n v="157150"/>
    <n v="0"/>
    <n v="0"/>
    <n v="106"/>
    <s v="_x0000_US"/>
  </r>
  <r>
    <x v="5"/>
    <n v="13.694599999999999"/>
    <n v="-89.187799999999996"/>
    <n v="163800"/>
    <n v="0"/>
    <n v="0"/>
    <n v="106"/>
    <s v="_x0000_US"/>
  </r>
  <r>
    <x v="5"/>
    <n v="13.689399999999999"/>
    <n v="-89.189400000000006"/>
    <n v="179900"/>
    <n v="0"/>
    <n v="0"/>
    <n v="106"/>
    <s v="_x0000_US"/>
  </r>
  <r>
    <x v="5"/>
    <n v="13.6844"/>
    <n v="-89.212999999999994"/>
    <n v="186200"/>
    <n v="0"/>
    <n v="0"/>
    <n v="106"/>
    <s v="_x0000_US"/>
  </r>
  <r>
    <x v="5"/>
    <n v="13.68"/>
    <n v="-89.201400000000007"/>
    <n v="186200"/>
    <n v="0"/>
    <n v="0"/>
    <n v="106"/>
    <s v="_x0000_US"/>
  </r>
  <r>
    <x v="5"/>
    <n v="13.6897"/>
    <n v="-89.212599999999995"/>
    <n v="191450"/>
    <n v="0"/>
    <n v="0"/>
    <n v="106"/>
    <s v="_x0000_US"/>
  </r>
  <r>
    <x v="5"/>
    <n v="13.690899999999999"/>
    <n v="-89.223299999999995"/>
    <n v="195650"/>
    <n v="0"/>
    <n v="0"/>
    <n v="106"/>
    <s v="_x0000_US"/>
  </r>
  <r>
    <x v="5"/>
    <n v="13.6921"/>
    <n v="-89.187299999999993"/>
    <n v="209300"/>
    <n v="0"/>
    <n v="0"/>
    <n v="106"/>
    <s v="_x0000_US"/>
  </r>
  <r>
    <x v="5"/>
    <n v="13.682"/>
    <n v="-89.197500000000005"/>
    <n v="220500"/>
    <n v="0"/>
    <n v="0"/>
    <n v="106"/>
    <s v="_x0000_US"/>
  </r>
  <r>
    <x v="5"/>
    <n v="13.688000000000001"/>
    <n v="-89.229100000000003"/>
    <n v="225050"/>
    <n v="0"/>
    <n v="0"/>
    <n v="106"/>
    <s v="_x0000_US"/>
  </r>
  <r>
    <x v="5"/>
    <n v="13.6906"/>
    <n v="-89.227000000000004"/>
    <n v="225400"/>
    <n v="0"/>
    <n v="0"/>
    <n v="106"/>
    <s v="_x0000_US"/>
  </r>
  <r>
    <x v="5"/>
    <n v="13.696"/>
    <n v="-89.188599999999994"/>
    <n v="227850"/>
    <n v="0"/>
    <n v="0"/>
    <n v="106"/>
    <s v="_x0000_US"/>
  </r>
  <r>
    <x v="5"/>
    <n v="13.6869"/>
    <n v="-89.190700000000007"/>
    <n v="229950"/>
    <n v="0"/>
    <n v="0"/>
    <n v="106"/>
    <s v="_x0000_US"/>
  </r>
  <r>
    <x v="5"/>
    <n v="13.674799999999999"/>
    <n v="-89.249899999999997"/>
    <n v="247100"/>
    <n v="0"/>
    <n v="0"/>
    <n v="106"/>
    <s v="_x0000_US"/>
  </r>
  <r>
    <x v="5"/>
    <n v="13.694800000000001"/>
    <n v="-89.184700000000007"/>
    <n v="259350"/>
    <n v="0"/>
    <n v="0"/>
    <n v="106"/>
    <s v="_x0000_US"/>
  </r>
  <r>
    <x v="5"/>
    <n v="13.6867"/>
    <n v="-89.189599999999999"/>
    <n v="319900"/>
    <n v="0"/>
    <n v="0"/>
    <n v="106"/>
    <s v="_x0000_US"/>
  </r>
  <r>
    <x v="5"/>
    <n v="13.682700000000001"/>
    <n v="-89.198300000000003"/>
    <n v="328650"/>
    <n v="0"/>
    <n v="0"/>
    <n v="106"/>
    <s v="_x0000_US"/>
  </r>
  <r>
    <x v="5"/>
    <n v="13.694699999999999"/>
    <n v="-89.186899999999994"/>
    <n v="365050"/>
    <n v="0"/>
    <n v="0"/>
    <n v="106"/>
    <s v="_x0000_US"/>
  </r>
  <r>
    <x v="5"/>
    <n v="13.678599999999999"/>
    <n v="-89.242500000000007"/>
    <n v="418250"/>
    <n v="0"/>
    <n v="0"/>
    <n v="106"/>
    <s v="_x0000_US"/>
  </r>
  <r>
    <x v="5"/>
    <n v="13.687799999999999"/>
    <n v="-89.189499999999995"/>
    <n v="432250"/>
    <n v="0"/>
    <n v="0"/>
    <n v="106"/>
    <s v="_x0000_US"/>
  </r>
  <r>
    <x v="5"/>
    <n v="13.6911"/>
    <n v="-89.191800000000001"/>
    <n v="438200"/>
    <n v="0"/>
    <n v="0"/>
    <n v="106"/>
    <s v="_x0000_US"/>
  </r>
  <r>
    <x v="5"/>
    <n v="13.685499999999999"/>
    <n v="-89.245099999999994"/>
    <n v="460950"/>
    <n v="0"/>
    <n v="0"/>
    <n v="106"/>
    <s v="_x0000_US"/>
  </r>
  <r>
    <x v="5"/>
    <n v="13.6843"/>
    <n v="-89.212400000000002"/>
    <n v="472500"/>
    <n v="0"/>
    <n v="0"/>
    <n v="106"/>
    <s v="_x0000_US"/>
  </r>
  <r>
    <x v="5"/>
    <n v="13.6851"/>
    <n v="-89.238100000000003"/>
    <n v="554750"/>
    <n v="0"/>
    <n v="0"/>
    <n v="106"/>
    <s v="_x0000_US"/>
  </r>
  <r>
    <x v="5"/>
    <n v="13.686199999999999"/>
    <n v="-89.238600000000005"/>
    <n v="608300"/>
    <n v="0"/>
    <n v="0"/>
    <n v="106"/>
    <s v="_x0000_US"/>
  </r>
  <r>
    <x v="5"/>
    <n v="13.6935"/>
    <n v="-89.187799999999996"/>
    <n v="639100"/>
    <n v="0"/>
    <n v="0"/>
    <n v="106"/>
    <s v="_x0000_US"/>
  </r>
  <r>
    <x v="5"/>
    <n v="13.693099999999999"/>
    <n v="-89.193299999999994"/>
    <n v="677950"/>
    <n v="0"/>
    <n v="0"/>
    <n v="106"/>
    <s v="_x0000_US"/>
  </r>
  <r>
    <x v="5"/>
    <n v="13.6957"/>
    <n v="-89.191299999999998"/>
    <n v="680400"/>
    <n v="0"/>
    <n v="0"/>
    <n v="106"/>
    <s v="_x0000_US"/>
  </r>
  <r>
    <x v="5"/>
    <n v="13.693199999999999"/>
    <n v="-89.226200000000006"/>
    <n v="716450"/>
    <n v="0"/>
    <n v="0"/>
    <n v="106"/>
    <s v="_x0000_US"/>
  </r>
  <r>
    <x v="5"/>
    <n v="13.696"/>
    <n v="-89.175799999999995"/>
    <n v="910000"/>
    <n v="0"/>
    <n v="0"/>
    <n v="106"/>
    <s v="_x0000_US"/>
  </r>
  <r>
    <x v="5"/>
    <n v="13.6808"/>
    <n v="-89.241600000000005"/>
    <n v="923300"/>
    <n v="0"/>
    <n v="0"/>
    <n v="106"/>
    <s v="_x0000_US"/>
  </r>
  <r>
    <x v="5"/>
    <n v="13.6966"/>
    <n v="-89.174400000000006"/>
    <n v="1263150"/>
    <n v="0"/>
    <n v="0"/>
    <n v="106"/>
    <s v="_x0000_US"/>
  </r>
  <r>
    <x v="5"/>
    <n v="13.683199999999999"/>
    <n v="-89.193200000000004"/>
    <n v="1622600"/>
    <n v="0"/>
    <n v="0"/>
    <n v="106"/>
    <s v="_x0000_US"/>
  </r>
  <r>
    <x v="5"/>
    <n v="13.6897"/>
    <n v="-89.233400000000003"/>
    <n v="1700650"/>
    <n v="0"/>
    <n v="0"/>
    <n v="106"/>
    <s v="_x0000_US"/>
  </r>
  <r>
    <x v="5"/>
    <n v="13.684699999999999"/>
    <n v="-89.239800000000002"/>
    <n v="2005150"/>
    <n v="0"/>
    <n v="0"/>
    <n v="106"/>
    <s v="_x0000_US"/>
  </r>
  <r>
    <x v="5"/>
    <n v="13.6806"/>
    <n v="-89.193200000000004"/>
    <n v="2752050"/>
    <n v="0"/>
    <n v="0"/>
    <n v="106"/>
    <s v="_x0000_US"/>
  </r>
  <r>
    <x v="5"/>
    <n v="13.6762"/>
    <n v="-89.197999999999993"/>
    <n v="3458700"/>
    <n v="0"/>
    <n v="0"/>
    <n v="106"/>
    <s v="_x0000_US"/>
  </r>
  <r>
    <x v="5"/>
    <n v="13.6873"/>
    <n v="-89.235799999999998"/>
    <n v="3968650"/>
    <n v="0"/>
    <n v="0"/>
    <n v="106"/>
    <s v="_x0000_US"/>
  </r>
  <r>
    <x v="5"/>
    <n v="13.688700000000001"/>
    <n v="-89.230400000000003"/>
    <n v="4749150"/>
    <n v="0"/>
    <n v="0"/>
    <n v="106"/>
    <s v="_x0000_US"/>
  </r>
  <r>
    <x v="6"/>
    <n v="13.689500000000001"/>
    <n v="-89.180800000000005"/>
    <n v="6"/>
    <n v="0"/>
    <n v="0"/>
    <n v="107"/>
    <s v="_x0000_peopl"/>
  </r>
  <r>
    <x v="6"/>
    <n v="13.6869"/>
    <n v="-89.197500000000005"/>
    <n v="5"/>
    <n v="0"/>
    <n v="0"/>
    <n v="107"/>
    <s v="_x0000_peopl"/>
  </r>
  <r>
    <x v="6"/>
    <n v="13.6952"/>
    <n v="-89.174099999999996"/>
    <n v="3"/>
    <n v="0"/>
    <n v="0"/>
    <n v="107"/>
    <s v="_x0000_peopl"/>
  </r>
  <r>
    <x v="6"/>
    <n v="13.680999999999999"/>
    <n v="-89.1982"/>
    <n v="7"/>
    <n v="0"/>
    <n v="0"/>
    <n v="107"/>
    <s v="_x0000_peopl"/>
  </r>
  <r>
    <x v="6"/>
    <n v="13.693099999999999"/>
    <n v="-89.176199999999994"/>
    <n v="5"/>
    <n v="0"/>
    <n v="0"/>
    <n v="107"/>
    <s v="_x0000_peopl"/>
  </r>
  <r>
    <x v="6"/>
    <n v="13.6799"/>
    <n v="-89.195300000000003"/>
    <n v="5"/>
    <n v="0"/>
    <n v="0"/>
    <n v="107"/>
    <s v="_x0000_peopl"/>
  </r>
  <r>
    <x v="6"/>
    <n v="13.6896"/>
    <n v="-89.235500000000002"/>
    <n v="6"/>
    <n v="0"/>
    <n v="0"/>
    <n v="107"/>
    <s v="_x0000_peopl"/>
  </r>
  <r>
    <x v="6"/>
    <n v="13.6812"/>
    <n v="-89.195400000000006"/>
    <n v="4"/>
    <n v="0"/>
    <n v="0"/>
    <n v="107"/>
    <s v="_x0000_peopl"/>
  </r>
  <r>
    <x v="6"/>
    <n v="13.689299999999999"/>
    <n v="-89.204899999999995"/>
    <n v="6"/>
    <n v="0"/>
    <n v="0"/>
    <n v="107"/>
    <s v="_x0000_peopl"/>
  </r>
  <r>
    <x v="6"/>
    <n v="13.694900000000001"/>
    <n v="-89.183300000000003"/>
    <n v="5"/>
    <n v="0"/>
    <n v="0"/>
    <n v="107"/>
    <s v="_x0000_peopl"/>
  </r>
  <r>
    <x v="6"/>
    <n v="13.685600000000001"/>
    <n v="-89.212000000000003"/>
    <n v="4"/>
    <n v="0"/>
    <n v="0"/>
    <n v="107"/>
    <s v="_x0000_peopl"/>
  </r>
  <r>
    <x v="6"/>
    <n v="13.690799999999999"/>
    <n v="-89.232699999999994"/>
    <n v="7"/>
    <n v="0"/>
    <n v="0"/>
    <n v="107"/>
    <s v="_x0000_peopl"/>
  </r>
  <r>
    <x v="6"/>
    <n v="13.695600000000001"/>
    <n v="-89.174499999999995"/>
    <n v="5"/>
    <n v="0"/>
    <n v="0"/>
    <n v="107"/>
    <s v="_x0000_peopl"/>
  </r>
  <r>
    <x v="6"/>
    <n v="13.694699999999999"/>
    <n v="-89.183499999999995"/>
    <n v="6"/>
    <n v="0"/>
    <n v="0"/>
    <n v="107"/>
    <s v="_x0000_peopl"/>
  </r>
  <r>
    <x v="6"/>
    <n v="13.6891"/>
    <n v="-89.184200000000004"/>
    <n v="9"/>
    <n v="0"/>
    <n v="0"/>
    <n v="107"/>
    <s v="_x0000_peopl"/>
  </r>
  <r>
    <x v="6"/>
    <n v="13.687099999999999"/>
    <n v="-89.202100000000002"/>
    <n v="4"/>
    <n v="0"/>
    <n v="0"/>
    <n v="107"/>
    <s v="_x0000_peopl"/>
  </r>
  <r>
    <x v="6"/>
    <n v="13.687099999999999"/>
    <n v="-89.191699999999997"/>
    <n v="3"/>
    <n v="0"/>
    <n v="0"/>
    <n v="107"/>
    <s v="_x0000_peopl"/>
  </r>
  <r>
    <x v="6"/>
    <n v="13.6896"/>
    <n v="-89.179500000000004"/>
    <n v="1"/>
    <n v="0"/>
    <n v="0"/>
    <n v="107"/>
    <s v="_x0000_peopl"/>
  </r>
  <r>
    <x v="6"/>
    <n v="13.6891"/>
    <n v="-89.191199999999995"/>
    <n v="5"/>
    <n v="0"/>
    <n v="0"/>
    <n v="107"/>
    <s v="_x0000_peopl"/>
  </r>
  <r>
    <x v="6"/>
    <n v="13.690899999999999"/>
    <n v="-89.190700000000007"/>
    <n v="2"/>
    <n v="0"/>
    <n v="0"/>
    <n v="107"/>
    <s v="_x0000_peopl"/>
  </r>
  <r>
    <x v="6"/>
    <n v="13.6806"/>
    <n v="-89.1982"/>
    <n v="2"/>
    <n v="0"/>
    <n v="0"/>
    <n v="107"/>
    <s v="_x0000_peopl"/>
  </r>
  <r>
    <x v="6"/>
    <n v="13.686400000000001"/>
    <n v="-89.213800000000006"/>
    <n v="7"/>
    <n v="0"/>
    <n v="0"/>
    <n v="107"/>
    <s v="_x0000_peopl"/>
  </r>
  <r>
    <x v="6"/>
    <n v="13.686999999999999"/>
    <n v="-89.196600000000004"/>
    <n v="6"/>
    <n v="0"/>
    <n v="0"/>
    <n v="107"/>
    <s v="_x0000_peopl"/>
  </r>
  <r>
    <x v="6"/>
    <n v="13.6861"/>
    <n v="-89.213999999999999"/>
    <n v="5"/>
    <n v="0"/>
    <n v="0"/>
    <n v="107"/>
    <s v="_x0000_peopl"/>
  </r>
  <r>
    <x v="6"/>
    <n v="13.6959"/>
    <n v="-89.173199999999994"/>
    <n v="3"/>
    <n v="0"/>
    <n v="0"/>
    <n v="107"/>
    <s v="_x0000_peopl"/>
  </r>
  <r>
    <x v="6"/>
    <n v="13.6853"/>
    <n v="-89.202200000000005"/>
    <n v="2"/>
    <n v="0"/>
    <n v="0"/>
    <n v="107"/>
    <s v="_x0000_peopl"/>
  </r>
  <r>
    <x v="6"/>
    <n v="13.6912"/>
    <n v="-89.234200000000001"/>
    <n v="3"/>
    <n v="0"/>
    <n v="0"/>
    <n v="107"/>
    <s v="_x0000_peopl"/>
  </r>
  <r>
    <x v="6"/>
    <n v="13.691700000000001"/>
    <n v="-89.226299999999995"/>
    <n v="4"/>
    <n v="0"/>
    <n v="0"/>
    <n v="107"/>
    <s v="_x0000_peopl"/>
  </r>
  <r>
    <x v="6"/>
    <n v="13.6767"/>
    <n v="-89.200100000000006"/>
    <n v="5"/>
    <n v="0"/>
    <n v="0"/>
    <n v="107"/>
    <s v="_x0000_peopl"/>
  </r>
  <r>
    <x v="6"/>
    <n v="13.690300000000001"/>
    <n v="-89.188999999999993"/>
    <n v="3"/>
    <n v="0"/>
    <n v="0"/>
    <n v="107"/>
    <s v="_x0000_peopl"/>
  </r>
  <r>
    <x v="6"/>
    <n v="13.6876"/>
    <n v="-89.194599999999994"/>
    <n v="3"/>
    <n v="0"/>
    <n v="0"/>
    <n v="107"/>
    <s v="_x0000_peopl"/>
  </r>
  <r>
    <x v="6"/>
    <n v="13.6875"/>
    <n v="-89.180999999999997"/>
    <n v="2"/>
    <n v="0"/>
    <n v="0"/>
    <n v="107"/>
    <s v="_x0000_peopl"/>
  </r>
  <r>
    <x v="6"/>
    <n v="13.6911"/>
    <n v="-89.187799999999996"/>
    <n v="6"/>
    <n v="0"/>
    <n v="0"/>
    <n v="107"/>
    <s v="_x0000_peopl"/>
  </r>
  <r>
    <x v="6"/>
    <n v="13.6945"/>
    <n v="-89.174099999999996"/>
    <n v="3"/>
    <n v="0"/>
    <n v="0"/>
    <n v="107"/>
    <s v="_x0000_peopl"/>
  </r>
  <r>
    <x v="6"/>
    <n v="13.6942"/>
    <n v="-89.173400000000001"/>
    <n v="2"/>
    <n v="0"/>
    <n v="0"/>
    <n v="107"/>
    <s v="_x0000_peopl"/>
  </r>
  <r>
    <x v="6"/>
    <n v="13.689399999999999"/>
    <n v="-89.177700000000002"/>
    <n v="5"/>
    <n v="0"/>
    <n v="0"/>
    <n v="107"/>
    <s v="_x0000_peopl"/>
  </r>
  <r>
    <x v="6"/>
    <n v="13.6873"/>
    <n v="-89.197699999999998"/>
    <n v="5"/>
    <n v="0"/>
    <n v="0"/>
    <n v="107"/>
    <s v="_x0000_peopl"/>
  </r>
  <r>
    <x v="6"/>
    <n v="13.6866"/>
    <n v="-89.215699999999998"/>
    <n v="4"/>
    <n v="0"/>
    <n v="0"/>
    <n v="107"/>
    <s v="_x0000_peopl"/>
  </r>
  <r>
    <x v="6"/>
    <n v="13.685600000000001"/>
    <n v="-89.214699999999993"/>
    <n v="2"/>
    <n v="0"/>
    <n v="0"/>
    <n v="107"/>
    <s v="_x0000_peopl"/>
  </r>
  <r>
    <x v="6"/>
    <n v="13.6921"/>
    <n v="-89.222300000000004"/>
    <n v="2"/>
    <n v="0"/>
    <n v="0"/>
    <n v="107"/>
    <s v="_x0000_peopl"/>
  </r>
  <r>
    <x v="6"/>
    <n v="13.6904"/>
    <n v="-89.1892"/>
    <n v="5"/>
    <n v="0"/>
    <n v="0"/>
    <n v="107"/>
    <s v="_x0000_peopl"/>
  </r>
  <r>
    <x v="6"/>
    <n v="13.694800000000001"/>
    <n v="-89.174300000000002"/>
    <n v="0"/>
    <n v="0"/>
    <n v="0"/>
    <n v="107"/>
    <s v="_x0000_peopl"/>
  </r>
  <r>
    <x v="6"/>
    <n v="13.692"/>
    <n v="-89.223600000000005"/>
    <n v="4"/>
    <n v="0"/>
    <n v="0"/>
    <n v="107"/>
    <s v="_x0000_peopl"/>
  </r>
  <r>
    <x v="6"/>
    <n v="13.6943"/>
    <n v="-89.188699999999997"/>
    <n v="3"/>
    <n v="0"/>
    <n v="0"/>
    <n v="107"/>
    <s v="_x0000_peopl"/>
  </r>
  <r>
    <x v="6"/>
    <n v="13.692"/>
    <n v="-89.196200000000005"/>
    <n v="2"/>
    <n v="0"/>
    <n v="0"/>
    <n v="107"/>
    <s v="_x0000_peopl"/>
  </r>
  <r>
    <x v="6"/>
    <n v="13.691599999999999"/>
    <n v="-89.183599999999998"/>
    <n v="4"/>
    <n v="0"/>
    <n v="0"/>
    <n v="107"/>
    <s v="_x0000_peopl"/>
  </r>
  <r>
    <x v="6"/>
    <n v="13.691700000000001"/>
    <n v="-89.1785"/>
    <n v="4"/>
    <n v="0"/>
    <n v="0"/>
    <n v="107"/>
    <s v="_x0000_peopl"/>
  </r>
  <r>
    <x v="6"/>
    <n v="13.695399999999999"/>
    <n v="-89.173500000000004"/>
    <n v="5"/>
    <n v="0"/>
    <n v="0"/>
    <n v="107"/>
    <s v="_x0000_peopl"/>
  </r>
  <r>
    <x v="6"/>
    <n v="13.692"/>
    <n v="-89.196799999999996"/>
    <n v="6"/>
    <n v="0"/>
    <n v="0"/>
    <n v="107"/>
    <s v="_x0000_peopl"/>
  </r>
  <r>
    <x v="6"/>
    <n v="13.696"/>
    <n v="-89.166700000000006"/>
    <n v="4"/>
    <n v="0"/>
    <n v="0"/>
    <n v="107"/>
    <s v="_x0000_peopl"/>
  </r>
  <r>
    <x v="6"/>
    <n v="13.6747"/>
    <n v="-89.252399999999994"/>
    <n v="5"/>
    <n v="0"/>
    <n v="0"/>
    <n v="107"/>
    <s v="_x0000_peopl"/>
  </r>
  <r>
    <x v="6"/>
    <n v="13.687099999999999"/>
    <n v="-89.197400000000002"/>
    <n v="9"/>
    <n v="0"/>
    <n v="0"/>
    <n v="107"/>
    <s v="_x0000_peopl"/>
  </r>
  <r>
    <x v="6"/>
    <n v="13.6951"/>
    <n v="-89.174999999999997"/>
    <n v="7"/>
    <n v="0"/>
    <n v="0"/>
    <n v="107"/>
    <s v="_x0000_peopl"/>
  </r>
  <r>
    <x v="6"/>
    <n v="13.6945"/>
    <n v="-89.174800000000005"/>
    <n v="3"/>
    <n v="0"/>
    <n v="0"/>
    <n v="107"/>
    <s v="_x0000_peopl"/>
  </r>
  <r>
    <x v="6"/>
    <n v="13.678000000000001"/>
    <n v="-89.246499999999997"/>
    <n v="6"/>
    <n v="0"/>
    <n v="0"/>
    <n v="107"/>
    <s v="_x0000_peopl"/>
  </r>
  <r>
    <x v="6"/>
    <n v="13.6913"/>
    <n v="-89.226500000000001"/>
    <n v="2"/>
    <n v="0"/>
    <n v="0"/>
    <n v="107"/>
    <s v="_x0000_peopl"/>
  </r>
  <r>
    <x v="6"/>
    <n v="13.6905"/>
    <n v="-89.234300000000005"/>
    <n v="7"/>
    <n v="0"/>
    <n v="0"/>
    <n v="107"/>
    <s v="_x0000_peopl"/>
  </r>
  <r>
    <x v="6"/>
    <n v="13.6905"/>
    <n v="-89.233699999999999"/>
    <n v="8"/>
    <n v="0"/>
    <n v="0"/>
    <n v="107"/>
    <s v="_x0000_peopl"/>
  </r>
  <r>
    <x v="6"/>
    <n v="13.69"/>
    <n v="-89.228700000000003"/>
    <n v="11"/>
    <n v="0"/>
    <n v="0"/>
    <n v="107"/>
    <s v="_x0000_peopl"/>
  </r>
  <r>
    <x v="6"/>
    <n v="13.6745"/>
    <n v="-89.252099999999999"/>
    <n v="5"/>
    <n v="0"/>
    <n v="0"/>
    <n v="107"/>
    <s v="_x0000_peopl"/>
  </r>
  <r>
    <x v="6"/>
    <n v="13.6853"/>
    <n v="-89.203500000000005"/>
    <n v="6"/>
    <n v="0"/>
    <n v="0"/>
    <n v="107"/>
    <s v="_x0000_peopl"/>
  </r>
  <r>
    <x v="6"/>
    <n v="13.674300000000001"/>
    <n v="-89.251199999999997"/>
    <n v="4"/>
    <n v="0"/>
    <n v="0"/>
    <n v="107"/>
    <s v="_x0000_peopl"/>
  </r>
  <r>
    <x v="6"/>
    <n v="13.687200000000001"/>
    <n v="-89.194500000000005"/>
    <n v="6"/>
    <n v="0"/>
    <n v="0"/>
    <n v="107"/>
    <s v="_x0000_peopl"/>
  </r>
  <r>
    <x v="6"/>
    <n v="13.673999999999999"/>
    <n v="-89.202299999999994"/>
    <n v="3"/>
    <n v="0"/>
    <n v="0"/>
    <n v="107"/>
    <s v="_x0000_peopl"/>
  </r>
  <r>
    <x v="6"/>
    <n v="13.6913"/>
    <n v="-89.234200000000001"/>
    <n v="3"/>
    <n v="0"/>
    <n v="0"/>
    <n v="107"/>
    <s v="_x0000_peopl"/>
  </r>
  <r>
    <x v="6"/>
    <n v="13.694699999999999"/>
    <n v="-89.183899999999994"/>
    <n v="8"/>
    <n v="0"/>
    <n v="0"/>
    <n v="107"/>
    <s v="_x0000_peopl"/>
  </r>
  <r>
    <x v="6"/>
    <n v="13.6869"/>
    <n v="-89.205200000000005"/>
    <n v="7"/>
    <n v="0"/>
    <n v="0"/>
    <n v="107"/>
    <s v="_x0000_peopl"/>
  </r>
  <r>
    <x v="6"/>
    <n v="13.6876"/>
    <n v="-89.179599999999994"/>
    <n v="5"/>
    <n v="0"/>
    <n v="0"/>
    <n v="107"/>
    <s v="_x0000_peopl"/>
  </r>
  <r>
    <x v="6"/>
    <n v="13.688000000000001"/>
    <n v="-89.181100000000001"/>
    <n v="5"/>
    <n v="0"/>
    <n v="0"/>
    <n v="107"/>
    <s v="_x0000_peopl"/>
  </r>
  <r>
    <x v="6"/>
    <n v="13.69"/>
    <n v="-89.235299999999995"/>
    <n v="5"/>
    <n v="0"/>
    <n v="0"/>
    <n v="107"/>
    <s v="_x0000_peopl"/>
  </r>
  <r>
    <x v="6"/>
    <n v="13.6884"/>
    <n v="-89.212000000000003"/>
    <n v="4"/>
    <n v="0"/>
    <n v="0"/>
    <n v="107"/>
    <s v="_x0000_peopl"/>
  </r>
  <r>
    <x v="6"/>
    <n v="13.691800000000001"/>
    <n v="-89.227199999999996"/>
    <n v="7"/>
    <n v="0"/>
    <n v="0"/>
    <n v="107"/>
    <s v="_x0000_peopl"/>
  </r>
  <r>
    <x v="6"/>
    <n v="13.6747"/>
    <n v="-89.199200000000005"/>
    <n v="7"/>
    <n v="0"/>
    <n v="0"/>
    <n v="107"/>
    <s v="_x0000_peopl"/>
  </r>
  <r>
    <x v="6"/>
    <n v="13.6899"/>
    <n v="-89.195800000000006"/>
    <n v="6"/>
    <n v="0"/>
    <n v="0"/>
    <n v="107"/>
    <s v="_x0000_peopl"/>
  </r>
  <r>
    <x v="6"/>
    <n v="13.686199999999999"/>
    <n v="-89.195400000000006"/>
    <n v="5"/>
    <n v="0"/>
    <n v="0"/>
    <n v="107"/>
    <s v="_x0000_peopl"/>
  </r>
  <r>
    <x v="6"/>
    <n v="13.689"/>
    <n v="-89.214699999999993"/>
    <n v="8"/>
    <n v="0"/>
    <n v="0"/>
    <n v="107"/>
    <s v="_x0000_peopl"/>
  </r>
  <r>
    <x v="6"/>
    <n v="13.6875"/>
    <n v="-89.205100000000002"/>
    <n v="3"/>
    <n v="0"/>
    <n v="0"/>
    <n v="107"/>
    <s v="_x0000_peopl"/>
  </r>
  <r>
    <x v="6"/>
    <n v="13.6891"/>
    <n v="-89.184200000000004"/>
    <n v="8"/>
    <n v="0"/>
    <n v="0"/>
    <n v="107"/>
    <s v="_x0000_peopl"/>
  </r>
  <r>
    <x v="6"/>
    <n v="13.685499999999999"/>
    <n v="-89.215199999999996"/>
    <n v="7"/>
    <n v="0"/>
    <n v="0"/>
    <n v="107"/>
    <s v="_x0000_peopl"/>
  </r>
  <r>
    <x v="6"/>
    <n v="13.6906"/>
    <n v="-89.231800000000007"/>
    <n v="7"/>
    <n v="0"/>
    <n v="0"/>
    <n v="107"/>
    <s v="_x0000_peopl"/>
  </r>
  <r>
    <x v="6"/>
    <n v="13.695"/>
    <n v="-89.182400000000001"/>
    <n v="3"/>
    <n v="0"/>
    <n v="0"/>
    <n v="107"/>
    <s v="_x0000_peopl"/>
  </r>
  <r>
    <x v="6"/>
    <n v="13.689399999999999"/>
    <n v="-89.207899999999995"/>
    <n v="5"/>
    <n v="0"/>
    <n v="0"/>
    <n v="107"/>
    <s v="_x0000_peopl"/>
  </r>
  <r>
    <x v="6"/>
    <n v="13.687200000000001"/>
    <n v="-89.180899999999994"/>
    <n v="7"/>
    <n v="0"/>
    <n v="0"/>
    <n v="107"/>
    <s v="_x0000_peopl"/>
  </r>
  <r>
    <x v="6"/>
    <n v="13.6937"/>
    <n v="-89.175700000000006"/>
    <n v="9"/>
    <n v="0"/>
    <n v="0"/>
    <n v="107"/>
    <s v="_x0000_peopl"/>
  </r>
  <r>
    <x v="6"/>
    <n v="13.690300000000001"/>
    <n v="-89.187700000000007"/>
    <n v="10"/>
    <n v="0"/>
    <n v="0"/>
    <n v="107"/>
    <s v="_x0000_peopl"/>
  </r>
  <r>
    <x v="6"/>
    <n v="13.696099999999999"/>
    <n v="-89.171899999999994"/>
    <n v="5"/>
    <n v="0"/>
    <n v="0"/>
    <n v="107"/>
    <s v="_x0000_peopl"/>
  </r>
  <r>
    <x v="6"/>
    <n v="13.6891"/>
    <n v="-89.2363"/>
    <n v="5"/>
    <n v="0"/>
    <n v="0"/>
    <n v="107"/>
    <s v="_x0000_peopl"/>
  </r>
  <r>
    <x v="6"/>
    <n v="13.6793"/>
    <n v="-89.197100000000006"/>
    <n v="5"/>
    <n v="0"/>
    <n v="0"/>
    <n v="107"/>
    <s v="_x0000_peopl"/>
  </r>
  <r>
    <x v="6"/>
    <n v="13.679"/>
    <n v="-89.196600000000004"/>
    <n v="5"/>
    <n v="0"/>
    <n v="0"/>
    <n v="107"/>
    <s v="_x0000_peopl"/>
  </r>
  <r>
    <x v="6"/>
    <n v="13.6919"/>
    <n v="-89.224299999999999"/>
    <n v="9"/>
    <n v="0"/>
    <n v="0"/>
    <n v="107"/>
    <s v="_x0000_peopl"/>
  </r>
  <r>
    <x v="6"/>
    <n v="13.6928"/>
    <n v="-89.224299999999999"/>
    <n v="3"/>
    <n v="0"/>
    <n v="0"/>
    <n v="107"/>
    <s v="_x0000_peopl"/>
  </r>
  <r>
    <x v="6"/>
    <n v="13.6914"/>
    <n v="-89.189499999999995"/>
    <n v="7"/>
    <n v="0"/>
    <n v="0"/>
    <n v="107"/>
    <s v="_x0000_peopl"/>
  </r>
  <r>
    <x v="6"/>
    <n v="13.689299999999999"/>
    <n v="-89.180899999999994"/>
    <n v="1"/>
    <n v="0"/>
    <n v="0"/>
    <n v="107"/>
    <s v="_x0000_peopl"/>
  </r>
  <r>
    <x v="6"/>
    <n v="13.686299999999999"/>
    <n v="-89.193799999999996"/>
    <n v="11"/>
    <n v="0"/>
    <n v="0"/>
    <n v="107"/>
    <s v="_x0000_peopl"/>
  </r>
  <r>
    <x v="6"/>
    <n v="13.687099999999999"/>
    <n v="-89.182900000000004"/>
    <n v="5"/>
    <n v="0"/>
    <n v="0"/>
    <n v="107"/>
    <s v="_x0000_peopl"/>
  </r>
  <r>
    <x v="6"/>
    <n v="13.689399999999999"/>
    <n v="-89.229399999999998"/>
    <n v="8"/>
    <n v="0"/>
    <n v="0"/>
    <n v="107"/>
    <s v="_x0000_peopl"/>
  </r>
  <r>
    <x v="6"/>
    <n v="13.6746"/>
    <n v="-89.202600000000004"/>
    <n v="6"/>
    <n v="0"/>
    <n v="0"/>
    <n v="107"/>
    <s v="_x0000_peopl"/>
  </r>
  <r>
    <x v="6"/>
    <n v="13.6943"/>
    <n v="-89.175200000000004"/>
    <n v="3"/>
    <n v="0"/>
    <n v="0"/>
    <n v="107"/>
    <s v="_x0000_peopl"/>
  </r>
  <r>
    <x v="6"/>
    <n v="13.69"/>
    <n v="-89.190100000000001"/>
    <n v="2"/>
    <n v="0"/>
    <n v="0"/>
    <n v="107"/>
    <s v="_x0000_peopl"/>
  </r>
  <r>
    <x v="6"/>
    <n v="13.6912"/>
    <n v="-89.220200000000006"/>
    <n v="5"/>
    <n v="0"/>
    <n v="0"/>
    <n v="107"/>
    <s v="_x0000_peopl"/>
  </r>
  <r>
    <x v="6"/>
    <n v="13.6952"/>
    <n v="-89.183199999999999"/>
    <n v="4"/>
    <n v="0"/>
    <n v="0"/>
    <n v="107"/>
    <s v="_x0000_peopl"/>
  </r>
  <r>
    <x v="6"/>
    <n v="13.687099999999999"/>
    <n v="-89.215900000000005"/>
    <n v="6"/>
    <n v="0"/>
    <n v="0"/>
    <n v="107"/>
    <s v="_x0000_peopl"/>
  </r>
  <r>
    <x v="6"/>
    <n v="13.6746"/>
    <n v="-89.199399999999997"/>
    <n v="5"/>
    <n v="0"/>
    <n v="0"/>
    <n v="107"/>
    <s v="_x0000_peopl"/>
  </r>
  <r>
    <x v="6"/>
    <n v="13.691800000000001"/>
    <n v="-89.181700000000006"/>
    <n v="5"/>
    <n v="0"/>
    <n v="0"/>
    <n v="107"/>
    <s v="_x0000_peopl"/>
  </r>
  <r>
    <x v="6"/>
    <n v="13.6911"/>
    <n v="-89.235600000000005"/>
    <n v="5"/>
    <n v="0"/>
    <n v="0"/>
    <n v="107"/>
    <s v="_x0000_peopl"/>
  </r>
  <r>
    <x v="6"/>
    <n v="13.694100000000001"/>
    <n v="-89.175700000000006"/>
    <n v="3"/>
    <n v="0"/>
    <n v="0"/>
    <n v="107"/>
    <s v="_x0000_peopl"/>
  </r>
  <r>
    <x v="6"/>
    <n v="13.6875"/>
    <n v="-89.216499999999996"/>
    <n v="9"/>
    <n v="0"/>
    <n v="0"/>
    <n v="107"/>
    <s v="_x0000_peopl"/>
  </r>
  <r>
    <x v="6"/>
    <n v="13.6976"/>
    <n v="-89.171000000000006"/>
    <n v="6"/>
    <n v="0"/>
    <n v="0"/>
    <n v="107"/>
    <s v="_x0000_peopl"/>
  </r>
  <r>
    <x v="6"/>
    <n v="13.694100000000001"/>
    <n v="-89.176400000000001"/>
    <n v="3"/>
    <n v="0"/>
    <n v="0"/>
    <n v="107"/>
    <s v="_x0000_peopl"/>
  </r>
  <r>
    <x v="6"/>
    <n v="13.6869"/>
    <n v="-89.181200000000004"/>
    <n v="7"/>
    <n v="0"/>
    <n v="0"/>
    <n v="107"/>
    <s v="_x0000_peopl"/>
  </r>
  <r>
    <x v="6"/>
    <n v="13.6905"/>
    <n v="-89.186400000000006"/>
    <n v="8"/>
    <n v="0"/>
    <n v="0"/>
    <n v="107"/>
    <s v="_x0000_peopl"/>
  </r>
  <r>
    <x v="6"/>
    <n v="13.686500000000001"/>
    <n v="-89.203699999999998"/>
    <n v="7"/>
    <n v="0"/>
    <n v="0"/>
    <n v="107"/>
    <s v="_x0000_peopl"/>
  </r>
  <r>
    <x v="6"/>
    <n v="13.685600000000001"/>
    <n v="-89.215800000000002"/>
    <n v="4"/>
    <n v="0"/>
    <n v="0"/>
    <n v="107"/>
    <s v="_x0000_peopl"/>
  </r>
  <r>
    <x v="6"/>
    <n v="13.6858"/>
    <n v="-89.212299999999999"/>
    <n v="5"/>
    <n v="0"/>
    <n v="0"/>
    <n v="107"/>
    <s v="_x0000_peopl"/>
  </r>
  <r>
    <x v="6"/>
    <n v="13.6873"/>
    <n v="-89.194900000000004"/>
    <n v="2"/>
    <n v="0"/>
    <n v="0"/>
    <n v="107"/>
    <s v="_x0000_peopl"/>
  </r>
  <r>
    <x v="6"/>
    <n v="13.692600000000001"/>
    <n v="-89.224999999999994"/>
    <n v="5"/>
    <n v="0"/>
    <n v="0"/>
    <n v="107"/>
    <s v="_x0000_peopl"/>
  </r>
  <r>
    <x v="6"/>
    <n v="13.6913"/>
    <n v="-89.185699999999997"/>
    <n v="3"/>
    <n v="0"/>
    <n v="0"/>
    <n v="107"/>
    <s v="_x0000_peopl"/>
  </r>
  <r>
    <x v="6"/>
    <n v="13.6904"/>
    <n v="-89.235200000000006"/>
    <n v="3"/>
    <n v="0"/>
    <n v="0"/>
    <n v="107"/>
    <s v="_x0000_peopl"/>
  </r>
  <r>
    <x v="6"/>
    <n v="13.687200000000001"/>
    <n v="-89.197800000000001"/>
    <n v="6"/>
    <n v="0"/>
    <n v="0"/>
    <n v="107"/>
    <s v="_x0000_peopl"/>
  </r>
  <r>
    <x v="6"/>
    <n v="13.691000000000001"/>
    <n v="-89.219800000000006"/>
    <n v="2"/>
    <n v="0"/>
    <n v="0"/>
    <n v="107"/>
    <s v="_x0000_peopl"/>
  </r>
  <r>
    <x v="6"/>
    <n v="13.689"/>
    <n v="-89.236000000000004"/>
    <n v="4"/>
    <n v="0"/>
    <n v="0"/>
    <n v="107"/>
    <s v="_x0000_peopl"/>
  </r>
  <r>
    <x v="6"/>
    <n v="13.687099999999999"/>
    <n v="-89.183400000000006"/>
    <n v="4"/>
    <n v="0"/>
    <n v="0"/>
    <n v="107"/>
    <s v="_x0000_peopl"/>
  </r>
  <r>
    <x v="6"/>
    <n v="13.68"/>
    <n v="-89.196399999999997"/>
    <n v="4"/>
    <n v="0"/>
    <n v="0"/>
    <n v="107"/>
    <s v="_x0000_peopl"/>
  </r>
  <r>
    <x v="6"/>
    <n v="13.6876"/>
    <n v="-89.181600000000003"/>
    <n v="4"/>
    <n v="0"/>
    <n v="0"/>
    <n v="107"/>
    <s v="_x0000_peopl"/>
  </r>
  <r>
    <x v="6"/>
    <n v="13.6973"/>
    <n v="-89.171599999999998"/>
    <n v="3"/>
    <n v="0"/>
    <n v="0"/>
    <n v="107"/>
    <s v="_x0000_peopl"/>
  </r>
  <r>
    <x v="6"/>
    <n v="13.6957"/>
    <n v="-89.173400000000001"/>
    <n v="1"/>
    <n v="0"/>
    <n v="0"/>
    <n v="107"/>
    <s v="_x0000_peopl"/>
  </r>
  <r>
    <x v="6"/>
    <n v="13.691599999999999"/>
    <n v="-89.179699999999997"/>
    <n v="7"/>
    <n v="0"/>
    <n v="0"/>
    <n v="107"/>
    <s v="_x0000_peopl"/>
  </r>
  <r>
    <x v="6"/>
    <n v="13.690799999999999"/>
    <n v="-89.190700000000007"/>
    <n v="11"/>
    <n v="0"/>
    <n v="0"/>
    <n v="107"/>
    <s v="_x0000_peopl"/>
  </r>
  <r>
    <x v="6"/>
    <n v="13.6905"/>
    <n v="-89.228099999999998"/>
    <n v="6"/>
    <n v="0"/>
    <n v="0"/>
    <n v="107"/>
    <s v="_x0000_peopl"/>
  </r>
  <r>
    <x v="6"/>
    <n v="13.686"/>
    <n v="-89.216300000000004"/>
    <n v="5"/>
    <n v="0"/>
    <n v="0"/>
    <n v="107"/>
    <s v="_x0000_peopl"/>
  </r>
  <r>
    <x v="6"/>
    <n v="13.6936"/>
    <n v="-89.172899999999998"/>
    <n v="1"/>
    <n v="0"/>
    <n v="0"/>
    <n v="107"/>
    <s v="_x0000_peopl"/>
  </r>
  <r>
    <x v="6"/>
    <n v="13.6919"/>
    <n v="-89.224699999999999"/>
    <n v="7"/>
    <n v="0"/>
    <n v="0"/>
    <n v="107"/>
    <s v="_x0000_peopl"/>
  </r>
  <r>
    <x v="6"/>
    <n v="13.6852"/>
    <n v="-89.215299999999999"/>
    <n v="4"/>
    <n v="0"/>
    <n v="0"/>
    <n v="107"/>
    <s v="_x0000_peopl"/>
  </r>
  <r>
    <x v="6"/>
    <n v="13.687200000000001"/>
    <n v="-89.191400000000002"/>
    <n v="2"/>
    <n v="0"/>
    <n v="0"/>
    <n v="107"/>
    <s v="_x0000_peopl"/>
  </r>
  <r>
    <x v="6"/>
    <n v="13.6914"/>
    <n v="-89.226100000000002"/>
    <n v="5"/>
    <n v="0"/>
    <n v="0"/>
    <n v="107"/>
    <s v="_x0000_peopl"/>
  </r>
  <r>
    <x v="6"/>
    <n v="13.6783"/>
    <n v="-89.245400000000004"/>
    <n v="5"/>
    <n v="0"/>
    <n v="0"/>
    <n v="107"/>
    <s v="_x0000_peopl"/>
  </r>
  <r>
    <x v="6"/>
    <n v="13.690899999999999"/>
    <n v="-89.190299999999993"/>
    <n v="5"/>
    <n v="0"/>
    <n v="0"/>
    <n v="107"/>
    <s v="_x0000_peopl"/>
  </r>
  <r>
    <x v="6"/>
    <n v="13.690899999999999"/>
    <n v="-89.194500000000005"/>
    <n v="3"/>
    <n v="0"/>
    <n v="0"/>
    <n v="107"/>
    <s v="_x0000_peopl"/>
  </r>
  <r>
    <x v="6"/>
    <n v="13.695499999999999"/>
    <n v="-89.173599999999993"/>
    <n v="3"/>
    <n v="0"/>
    <n v="0"/>
    <n v="107"/>
    <s v="_x0000_peopl"/>
  </r>
  <r>
    <x v="6"/>
    <n v="13.6897"/>
    <n v="-89.177800000000005"/>
    <n v="7"/>
    <n v="0"/>
    <n v="0"/>
    <n v="107"/>
    <s v="_x0000_peopl"/>
  </r>
  <r>
    <x v="6"/>
    <n v="13.690300000000001"/>
    <n v="-89.1892"/>
    <n v="5"/>
    <n v="0"/>
    <n v="0"/>
    <n v="107"/>
    <s v="_x0000_peopl"/>
  </r>
  <r>
    <x v="6"/>
    <n v="13.692600000000001"/>
    <n v="-89.179299999999998"/>
    <n v="10"/>
    <n v="0"/>
    <n v="0"/>
    <n v="107"/>
    <s v="_x0000_peopl"/>
  </r>
  <r>
    <x v="6"/>
    <n v="13.6777"/>
    <n v="-89.247399999999999"/>
    <n v="3"/>
    <n v="0"/>
    <n v="0"/>
    <n v="107"/>
    <s v="_x0000_peopl"/>
  </r>
  <r>
    <x v="6"/>
    <n v="13.6922"/>
    <n v="-89.222499999999997"/>
    <n v="2"/>
    <n v="0"/>
    <n v="0"/>
    <n v="107"/>
    <s v="_x0000_peopl"/>
  </r>
  <r>
    <x v="6"/>
    <n v="13.685499999999999"/>
    <n v="-89.201499999999996"/>
    <n v="9"/>
    <n v="0"/>
    <n v="0"/>
    <n v="107"/>
    <s v="_x0000_peopl"/>
  </r>
  <r>
    <x v="6"/>
    <n v="13.6968"/>
    <n v="-89.1721"/>
    <n v="7"/>
    <n v="0"/>
    <n v="0"/>
    <n v="107"/>
    <s v="_x0000_peopl"/>
  </r>
  <r>
    <x v="6"/>
    <n v="13.694599999999999"/>
    <n v="-89.185299999999998"/>
    <n v="6"/>
    <n v="0"/>
    <n v="0"/>
    <n v="107"/>
    <s v="_x0000_peopl"/>
  </r>
  <r>
    <x v="6"/>
    <n v="13.6881"/>
    <n v="-89.205100000000002"/>
    <n v="3"/>
    <n v="0"/>
    <n v="0"/>
    <n v="107"/>
    <s v="_x0000_peopl"/>
  </r>
  <r>
    <x v="6"/>
    <n v="13.691000000000001"/>
    <n v="-89.234700000000004"/>
    <n v="3"/>
    <n v="0"/>
    <n v="0"/>
    <n v="107"/>
    <s v="_x0000_peopl"/>
  </r>
  <r>
    <x v="6"/>
    <n v="13.6904"/>
    <n v="-89.188900000000004"/>
    <n v="6"/>
    <n v="0"/>
    <n v="0"/>
    <n v="107"/>
    <s v="_x0000_peopl"/>
  </r>
  <r>
    <x v="6"/>
    <n v="13.6891"/>
    <n v="-89.178799999999995"/>
    <n v="5"/>
    <n v="0"/>
    <n v="0"/>
    <n v="107"/>
    <s v="_x0000_peopl"/>
  </r>
  <r>
    <x v="6"/>
    <n v="13.674799999999999"/>
    <n v="-89.199700000000007"/>
    <n v="0"/>
    <n v="0"/>
    <n v="0"/>
    <n v="107"/>
    <s v="_x0000_peopl"/>
  </r>
  <r>
    <x v="6"/>
    <n v="13.6805"/>
    <n v="-89.1982"/>
    <n v="5"/>
    <n v="0"/>
    <n v="0"/>
    <n v="107"/>
    <s v="_x0000_peopl"/>
  </r>
  <r>
    <x v="6"/>
    <n v="13.6958"/>
    <n v="-89.166300000000007"/>
    <n v="6"/>
    <n v="0"/>
    <n v="0"/>
    <n v="107"/>
    <s v="_x0000_peopl"/>
  </r>
  <r>
    <x v="6"/>
    <n v="13.6896"/>
    <n v="-89.206599999999995"/>
    <n v="7"/>
    <n v="0"/>
    <n v="0"/>
    <n v="107"/>
    <s v="_x0000_peopl"/>
  </r>
  <r>
    <x v="6"/>
    <n v="13.6898"/>
    <n v="-89.189599999999999"/>
    <n v="6"/>
    <n v="0"/>
    <n v="0"/>
    <n v="107"/>
    <s v="_x0000_peopl"/>
  </r>
  <r>
    <x v="6"/>
    <n v="13.687200000000001"/>
    <n v="-89.197900000000004"/>
    <n v="2"/>
    <n v="0"/>
    <n v="0"/>
    <n v="107"/>
    <s v="_x0000_peopl"/>
  </r>
  <r>
    <x v="6"/>
    <n v="13.6952"/>
    <n v="-89.173400000000001"/>
    <n v="5"/>
    <n v="0"/>
    <n v="0"/>
    <n v="107"/>
    <s v="_x0000_peopl"/>
  </r>
  <r>
    <x v="6"/>
    <n v="13.6912"/>
    <n v="-89.232699999999994"/>
    <n v="3"/>
    <n v="0"/>
    <n v="0"/>
    <n v="107"/>
    <s v="_x0000_peopl"/>
  </r>
  <r>
    <x v="6"/>
    <n v="13.6853"/>
    <n v="-89.192899999999995"/>
    <n v="3"/>
    <n v="0"/>
    <n v="0"/>
    <n v="107"/>
    <s v="_x0000_peopl"/>
  </r>
  <r>
    <x v="6"/>
    <n v="13.690899999999999"/>
    <n v="-89.183599999999998"/>
    <n v="3"/>
    <n v="0"/>
    <n v="0"/>
    <n v="107"/>
    <s v="_x0000_peopl"/>
  </r>
  <r>
    <x v="6"/>
    <n v="13.686999999999999"/>
    <n v="-89.197500000000005"/>
    <n v="6"/>
    <n v="0"/>
    <n v="0"/>
    <n v="107"/>
    <s v="_x0000_peopl"/>
  </r>
  <r>
    <x v="6"/>
    <n v="13.687799999999999"/>
    <n v="-89.179699999999997"/>
    <n v="6"/>
    <n v="0"/>
    <n v="0"/>
    <n v="107"/>
    <s v="_x0000_peopl"/>
  </r>
  <r>
    <x v="6"/>
    <n v="13.691700000000001"/>
    <n v="-89.185299999999998"/>
    <n v="4"/>
    <n v="0"/>
    <n v="0"/>
    <n v="107"/>
    <s v="_x0000_peopl"/>
  </r>
  <r>
    <x v="6"/>
    <n v="13.6889"/>
    <n v="-89.198499999999996"/>
    <n v="6"/>
    <n v="0"/>
    <n v="0"/>
    <n v="107"/>
    <s v="_x0000_peopl"/>
  </r>
  <r>
    <x v="6"/>
    <n v="13.691000000000001"/>
    <n v="-89.234399999999994"/>
    <n v="6"/>
    <n v="0"/>
    <n v="0"/>
    <n v="107"/>
    <s v="_x0000_peopl"/>
  </r>
  <r>
    <x v="6"/>
    <n v="13.6913"/>
    <n v="-89.234099999999998"/>
    <n v="9"/>
    <n v="0"/>
    <n v="0"/>
    <n v="107"/>
    <s v="_x0000_peopl"/>
  </r>
  <r>
    <x v="6"/>
    <n v="13.6898"/>
    <n v="-89.190399999999997"/>
    <n v="3"/>
    <n v="0"/>
    <n v="0"/>
    <n v="107"/>
    <s v="_x0000_peopl"/>
  </r>
  <r>
    <x v="6"/>
    <n v="13.691000000000001"/>
    <n v="-89.234399999999994"/>
    <n v="9"/>
    <n v="0"/>
    <n v="0"/>
    <n v="107"/>
    <s v="_x0000_peopl"/>
  </r>
  <r>
    <x v="6"/>
    <n v="13.690899999999999"/>
    <n v="-89.229299999999995"/>
    <n v="7"/>
    <n v="0"/>
    <n v="0"/>
    <n v="107"/>
    <s v="_x0000_peopl"/>
  </r>
  <r>
    <x v="6"/>
    <n v="13.691700000000001"/>
    <n v="-89.186000000000007"/>
    <n v="3"/>
    <n v="0"/>
    <n v="0"/>
    <n v="107"/>
    <s v="_x0000_peopl"/>
  </r>
  <r>
    <x v="6"/>
    <n v="13.6898"/>
    <n v="-89.194000000000003"/>
    <n v="2"/>
    <n v="0"/>
    <n v="0"/>
    <n v="107"/>
    <s v="_x0000_peopl"/>
  </r>
  <r>
    <x v="6"/>
    <n v="13.6943"/>
    <n v="-89.186300000000003"/>
    <n v="7"/>
    <n v="0"/>
    <n v="0"/>
    <n v="107"/>
    <s v="_x0000_peopl"/>
  </r>
  <r>
    <x v="6"/>
    <n v="13.6874"/>
    <n v="-89.195700000000002"/>
    <n v="9"/>
    <n v="0"/>
    <n v="0"/>
    <n v="107"/>
    <s v="_x0000_peopl"/>
  </r>
  <r>
    <x v="6"/>
    <n v="13.6769"/>
    <n v="-89.248400000000004"/>
    <n v="4"/>
    <n v="0"/>
    <n v="0"/>
    <n v="107"/>
    <s v="_x0000_peopl"/>
  </r>
  <r>
    <x v="6"/>
    <n v="13.685600000000001"/>
    <n v="-89.211200000000005"/>
    <n v="3"/>
    <n v="0"/>
    <n v="0"/>
    <n v="107"/>
    <s v="_x0000_peopl"/>
  </r>
  <r>
    <x v="6"/>
    <n v="13.685"/>
    <n v="-89.211500000000001"/>
    <n v="10"/>
    <n v="0"/>
    <n v="0"/>
    <n v="107"/>
    <s v="_x0000_peopl"/>
  </r>
  <r>
    <x v="6"/>
    <n v="13.6852"/>
    <n v="-89.212800000000001"/>
    <n v="3"/>
    <n v="0"/>
    <n v="0"/>
    <n v="107"/>
    <s v="_x0000_peopl"/>
  </r>
  <r>
    <x v="6"/>
    <n v="13.694900000000001"/>
    <n v="-89.175399999999996"/>
    <n v="4"/>
    <n v="0"/>
    <n v="0"/>
    <n v="107"/>
    <s v="_x0000_peopl"/>
  </r>
  <r>
    <x v="6"/>
    <n v="13.6891"/>
    <n v="-89.203000000000003"/>
    <n v="6"/>
    <n v="0"/>
    <n v="0"/>
    <n v="107"/>
    <s v="_x0000_peopl"/>
  </r>
  <r>
    <x v="6"/>
    <n v="13.6875"/>
    <n v="-89.214200000000005"/>
    <n v="7"/>
    <n v="0"/>
    <n v="0"/>
    <n v="107"/>
    <s v="_x0000_peopl"/>
  </r>
  <r>
    <x v="6"/>
    <n v="13.692600000000001"/>
    <n v="-89.175700000000006"/>
    <n v="5"/>
    <n v="0"/>
    <n v="0"/>
    <n v="107"/>
    <s v="_x0000_peopl"/>
  </r>
  <r>
    <x v="6"/>
    <n v="13.689399999999999"/>
    <n v="-89.197299999999998"/>
    <n v="2"/>
    <n v="0"/>
    <n v="0"/>
    <n v="107"/>
    <s v="_x0000_peopl"/>
  </r>
  <r>
    <x v="6"/>
    <n v="13.6945"/>
    <n v="-89.185400000000001"/>
    <n v="3"/>
    <n v="0"/>
    <n v="0"/>
    <n v="107"/>
    <s v="_x0000_peopl"/>
  </r>
  <r>
    <x v="6"/>
    <n v="13.6945"/>
    <n v="-89.182699999999997"/>
    <n v="7"/>
    <n v="0"/>
    <n v="0"/>
    <n v="107"/>
    <s v="_x0000_peopl"/>
  </r>
  <r>
    <x v="6"/>
    <n v="13.6934"/>
    <n v="-89.173199999999994"/>
    <n v="7"/>
    <n v="0"/>
    <n v="0"/>
    <n v="107"/>
    <s v="_x0000_peopl"/>
  </r>
  <r>
    <x v="6"/>
    <n v="13.6891"/>
    <n v="-89.178399999999996"/>
    <n v="5"/>
    <n v="0"/>
    <n v="0"/>
    <n v="107"/>
    <s v="_x0000_peopl"/>
  </r>
  <r>
    <x v="6"/>
    <n v="13.6922"/>
    <n v="-89.225800000000007"/>
    <n v="3"/>
    <n v="0"/>
    <n v="0"/>
    <n v="107"/>
    <s v="_x0000_peopl"/>
  </r>
  <r>
    <x v="6"/>
    <n v="13.6774"/>
    <n v="-89.248000000000005"/>
    <n v="2"/>
    <n v="0"/>
    <n v="0"/>
    <n v="107"/>
    <s v="_x0000_peopl"/>
  </r>
  <r>
    <x v="6"/>
    <n v="13.6911"/>
    <n v="-89.228700000000003"/>
    <n v="7"/>
    <n v="0"/>
    <n v="0"/>
    <n v="107"/>
    <s v="_x0000_peopl"/>
  </r>
  <r>
    <x v="6"/>
    <n v="13.6919"/>
    <n v="-89.224199999999996"/>
    <n v="7"/>
    <n v="0"/>
    <n v="0"/>
    <n v="107"/>
    <s v="_x0000_peopl"/>
  </r>
  <r>
    <x v="6"/>
    <n v="13.689299999999999"/>
    <n v="-89.236199999999997"/>
    <n v="1"/>
    <n v="0"/>
    <n v="0"/>
    <n v="107"/>
    <s v="_x0000_peopl"/>
  </r>
  <r>
    <x v="6"/>
    <n v="13.6907"/>
    <n v="-89.190700000000007"/>
    <n v="5"/>
    <n v="0"/>
    <n v="0"/>
    <n v="107"/>
    <s v="_x0000_peopl"/>
  </r>
  <r>
    <x v="6"/>
    <n v="13.6911"/>
    <n v="-89.190200000000004"/>
    <n v="4"/>
    <n v="0"/>
    <n v="0"/>
    <n v="107"/>
    <s v="_x0000_peopl"/>
  </r>
  <r>
    <x v="6"/>
    <n v="13.687200000000001"/>
    <n v="-89.194900000000004"/>
    <n v="1"/>
    <n v="0"/>
    <n v="0"/>
    <n v="107"/>
    <s v="_x0000_peopl"/>
  </r>
  <r>
    <x v="6"/>
    <n v="13.6922"/>
    <n v="-89.225099999999998"/>
    <n v="4"/>
    <n v="0"/>
    <n v="0"/>
    <n v="107"/>
    <s v="_x0000_peopl"/>
  </r>
  <r>
    <x v="6"/>
    <n v="13.674799999999999"/>
    <n v="-89.202500000000001"/>
    <n v="4"/>
    <n v="0"/>
    <n v="0"/>
    <n v="107"/>
    <s v="_x0000_peopl"/>
  </r>
  <r>
    <x v="6"/>
    <n v="13.688000000000001"/>
    <n v="-89.215800000000002"/>
    <n v="2"/>
    <n v="0"/>
    <n v="0"/>
    <n v="107"/>
    <s v="_x0000_peopl"/>
  </r>
  <r>
    <x v="6"/>
    <n v="13.6852"/>
    <n v="-89.194100000000006"/>
    <n v="6"/>
    <n v="0"/>
    <n v="0"/>
    <n v="107"/>
    <s v="_x0000_peopl"/>
  </r>
  <r>
    <x v="6"/>
    <n v="13.6868"/>
    <n v="-89.192899999999995"/>
    <n v="7"/>
    <n v="0"/>
    <n v="0"/>
    <n v="107"/>
    <s v="_x0000_peopl"/>
  </r>
  <r>
    <x v="6"/>
    <n v="13.687200000000001"/>
    <n v="-89.214600000000004"/>
    <n v="5"/>
    <n v="0"/>
    <n v="0"/>
    <n v="107"/>
    <s v="_x0000_peopl"/>
  </r>
  <r>
    <x v="6"/>
    <n v="13.6793"/>
    <n v="-89.197100000000006"/>
    <n v="4"/>
    <n v="0"/>
    <n v="0"/>
    <n v="107"/>
    <s v="_x0000_peopl"/>
  </r>
  <r>
    <x v="6"/>
    <n v="13.6934"/>
    <n v="-89.1738"/>
    <n v="2"/>
    <n v="0"/>
    <n v="0"/>
    <n v="107"/>
    <s v="_x0000_peopl"/>
  </r>
  <r>
    <x v="6"/>
    <n v="13.6913"/>
    <n v="-89.233699999999999"/>
    <n v="5"/>
    <n v="0"/>
    <n v="0"/>
    <n v="107"/>
    <s v="_x0000_peopl"/>
  </r>
  <r>
    <x v="6"/>
    <n v="13.6846"/>
    <n v="-89.216800000000006"/>
    <n v="5"/>
    <n v="0"/>
    <n v="0"/>
    <n v="107"/>
    <s v="_x0000_peopl"/>
  </r>
  <r>
    <x v="6"/>
    <n v="13.6913"/>
    <n v="-89.189499999999995"/>
    <n v="3"/>
    <n v="0"/>
    <n v="0"/>
    <n v="107"/>
    <s v="_x0000_peopl"/>
  </r>
  <r>
    <x v="6"/>
    <n v="13.673"/>
    <n v="-89.203500000000005"/>
    <n v="3"/>
    <n v="0"/>
    <n v="0"/>
    <n v="107"/>
    <s v="_x0000_peopl"/>
  </r>
  <r>
    <x v="6"/>
    <n v="13.6791"/>
    <n v="-89.196399999999997"/>
    <n v="7"/>
    <n v="0"/>
    <n v="0"/>
    <n v="107"/>
    <s v="_x0000_peopl"/>
  </r>
  <r>
    <x v="6"/>
    <n v="13.6944"/>
    <n v="-89.188999999999993"/>
    <n v="2"/>
    <n v="0"/>
    <n v="0"/>
    <n v="107"/>
    <s v="_x0000_peopl"/>
  </r>
  <r>
    <x v="6"/>
    <n v="13.689399999999999"/>
    <n v="-89.207499999999996"/>
    <n v="7"/>
    <n v="0"/>
    <n v="0"/>
    <n v="107"/>
    <s v="_x0000_peopl"/>
  </r>
  <r>
    <x v="6"/>
    <n v="13.691000000000001"/>
    <n v="-89.190600000000003"/>
    <n v="5"/>
    <n v="0"/>
    <n v="0"/>
    <n v="107"/>
    <s v="_x0000_peopl"/>
  </r>
  <r>
    <x v="6"/>
    <n v="13.6889"/>
    <n v="-89.19"/>
    <n v="10"/>
    <n v="0"/>
    <n v="0"/>
    <n v="107"/>
    <s v="_x0000_peopl"/>
  </r>
  <r>
    <x v="6"/>
    <n v="13.687200000000001"/>
    <n v="-89.211100000000002"/>
    <n v="5"/>
    <n v="0"/>
    <n v="0"/>
    <n v="107"/>
    <s v="_x0000_peopl"/>
  </r>
  <r>
    <x v="6"/>
    <n v="13.6906"/>
    <n v="-89.196200000000005"/>
    <n v="6"/>
    <n v="0"/>
    <n v="0"/>
    <n v="107"/>
    <s v="_x0000_peopl"/>
  </r>
  <r>
    <x v="6"/>
    <n v="13.6876"/>
    <n v="-89.196799999999996"/>
    <n v="5"/>
    <n v="0"/>
    <n v="0"/>
    <n v="107"/>
    <s v="_x0000_peopl"/>
  </r>
  <r>
    <x v="6"/>
    <n v="13.690300000000001"/>
    <n v="-89.177700000000002"/>
    <n v="6"/>
    <n v="0"/>
    <n v="0"/>
    <n v="107"/>
    <s v="_x0000_peopl"/>
  </r>
  <r>
    <x v="6"/>
    <n v="13.694000000000001"/>
    <n v="-89.1751"/>
    <n v="4"/>
    <n v="0"/>
    <n v="0"/>
    <n v="107"/>
    <s v="_x0000_peopl"/>
  </r>
  <r>
    <x v="6"/>
    <n v="13.6854"/>
    <n v="-89.193600000000004"/>
    <n v="4"/>
    <n v="0"/>
    <n v="0"/>
    <n v="107"/>
    <s v="_x0000_peopl"/>
  </r>
  <r>
    <x v="6"/>
    <n v="13.6965"/>
    <n v="-89.171499999999995"/>
    <n v="4"/>
    <n v="0"/>
    <n v="0"/>
    <n v="107"/>
    <s v="_x0000_peopl"/>
  </r>
  <r>
    <x v="6"/>
    <n v="13.6966"/>
    <n v="-89.171800000000005"/>
    <n v="5"/>
    <n v="0"/>
    <n v="0"/>
    <n v="107"/>
    <s v="_x0000_peopl"/>
  </r>
  <r>
    <x v="6"/>
    <n v="13.6921"/>
    <n v="-89.196600000000004"/>
    <n v="5"/>
    <n v="0"/>
    <n v="0"/>
    <n v="107"/>
    <s v="_x0000_peopl"/>
  </r>
  <r>
    <x v="6"/>
    <n v="13.6889"/>
    <n v="-89.236099999999993"/>
    <n v="4"/>
    <n v="0"/>
    <n v="0"/>
    <n v="107"/>
    <s v="_x0000_peopl"/>
  </r>
  <r>
    <x v="6"/>
    <n v="13.6875"/>
    <n v="-89.194500000000005"/>
    <n v="3"/>
    <n v="0"/>
    <n v="0"/>
    <n v="107"/>
    <s v="_x0000_peopl"/>
  </r>
  <r>
    <x v="6"/>
    <n v="13.6919"/>
    <n v="-89.226600000000005"/>
    <n v="6"/>
    <n v="0"/>
    <n v="0"/>
    <n v="107"/>
    <s v="_x0000_peopl"/>
  </r>
  <r>
    <x v="6"/>
    <n v="13.694699999999999"/>
    <n v="-89.174199999999999"/>
    <n v="4"/>
    <n v="0"/>
    <n v="0"/>
    <n v="107"/>
    <s v="_x0000_peopl"/>
  </r>
  <r>
    <x v="6"/>
    <n v="13.6911"/>
    <n v="-89.232600000000005"/>
    <n v="4"/>
    <n v="0"/>
    <n v="0"/>
    <n v="107"/>
    <s v="_x0000_peopl"/>
  </r>
  <r>
    <x v="6"/>
    <n v="13.6898"/>
    <n v="-89.189300000000003"/>
    <n v="4"/>
    <n v="0"/>
    <n v="0"/>
    <n v="107"/>
    <s v="_x0000_peopl"/>
  </r>
  <r>
    <x v="6"/>
    <n v="13.685700000000001"/>
    <n v="-89.212100000000007"/>
    <n v="4"/>
    <n v="0"/>
    <n v="0"/>
    <n v="107"/>
    <s v="_x0000_peopl"/>
  </r>
  <r>
    <x v="6"/>
    <n v="13.688000000000001"/>
    <n v="-89.237300000000005"/>
    <n v="7"/>
    <n v="0"/>
    <n v="0"/>
    <n v="107"/>
    <s v="_x0000_peopl"/>
  </r>
  <r>
    <x v="6"/>
    <n v="13.691800000000001"/>
    <n v="-89.2209"/>
    <n v="3"/>
    <n v="0"/>
    <n v="0"/>
    <n v="107"/>
    <s v="_x0000_peopl"/>
  </r>
  <r>
    <x v="6"/>
    <n v="13.684900000000001"/>
    <n v="-89.216499999999996"/>
    <n v="4"/>
    <n v="0"/>
    <n v="0"/>
    <n v="107"/>
    <s v="_x0000_peopl"/>
  </r>
  <r>
    <x v="6"/>
    <n v="13.6905"/>
    <n v="-89.195400000000006"/>
    <n v="4"/>
    <n v="0"/>
    <n v="0"/>
    <n v="107"/>
    <s v="_x0000_peopl"/>
  </r>
  <r>
    <x v="6"/>
    <n v="13.686999999999999"/>
    <n v="-89.216999999999999"/>
    <n v="5"/>
    <n v="0"/>
    <n v="0"/>
    <n v="107"/>
    <s v="_x0000_peopl"/>
  </r>
  <r>
    <x v="6"/>
    <n v="13.6874"/>
    <n v="-89.194699999999997"/>
    <n v="6"/>
    <n v="0"/>
    <n v="0"/>
    <n v="107"/>
    <s v="_x0000_peopl"/>
  </r>
  <r>
    <x v="6"/>
    <n v="13.6915"/>
    <n v="-89.193399999999997"/>
    <n v="5"/>
    <n v="0"/>
    <n v="0"/>
    <n v="107"/>
    <s v="_x0000_peopl"/>
  </r>
  <r>
    <x v="6"/>
    <n v="13.6883"/>
    <n v="-89.215500000000006"/>
    <n v="6"/>
    <n v="0"/>
    <n v="0"/>
    <n v="107"/>
    <s v="_x0000_peopl"/>
  </r>
  <r>
    <x v="6"/>
    <n v="13.690099999999999"/>
    <n v="-89.197500000000005"/>
    <n v="3"/>
    <n v="0"/>
    <n v="0"/>
    <n v="107"/>
    <s v="_x0000_peopl"/>
  </r>
  <r>
    <x v="6"/>
    <n v="13.692299999999999"/>
    <n v="-89.177899999999994"/>
    <n v="8"/>
    <n v="0"/>
    <n v="0"/>
    <n v="107"/>
    <s v="_x0000_peopl"/>
  </r>
  <r>
    <x v="6"/>
    <n v="13.6723"/>
    <n v="-89.204599999999999"/>
    <n v="7"/>
    <n v="0"/>
    <n v="0"/>
    <n v="107"/>
    <s v="_x0000_peopl"/>
  </r>
  <r>
    <x v="6"/>
    <n v="13.6915"/>
    <n v="-89.193399999999997"/>
    <n v="7"/>
    <n v="0"/>
    <n v="0"/>
    <n v="107"/>
    <s v="_x0000_peopl"/>
  </r>
  <r>
    <x v="6"/>
    <n v="13.694599999999999"/>
    <n v="-89.185500000000005"/>
    <n v="3"/>
    <n v="0"/>
    <n v="0"/>
    <n v="107"/>
    <s v="_x0000_peopl"/>
  </r>
  <r>
    <x v="6"/>
    <n v="13.674899999999999"/>
    <n v="-89.251499999999993"/>
    <n v="4"/>
    <n v="0"/>
    <n v="0"/>
    <n v="107"/>
    <s v="_x0000_peopl"/>
  </r>
  <r>
    <x v="6"/>
    <n v="13.6935"/>
    <n v="-89.1768"/>
    <n v="3"/>
    <n v="0"/>
    <n v="0"/>
    <n v="107"/>
    <s v="_x0000_peopl"/>
  </r>
  <r>
    <x v="6"/>
    <n v="13.689399999999999"/>
    <n v="-89.229299999999995"/>
    <n v="4"/>
    <n v="0"/>
    <n v="0"/>
    <n v="107"/>
    <s v="_x0000_peopl"/>
  </r>
  <r>
    <x v="6"/>
    <n v="13.687099999999999"/>
    <n v="-89.212199999999996"/>
    <n v="4"/>
    <n v="0"/>
    <n v="0"/>
    <n v="107"/>
    <s v="_x0000_peopl"/>
  </r>
  <r>
    <x v="6"/>
    <n v="13.6845"/>
    <n v="-89.211600000000004"/>
    <n v="7"/>
    <n v="0"/>
    <n v="0"/>
    <n v="107"/>
    <s v="_x0000_peopl"/>
  </r>
  <r>
    <x v="6"/>
    <n v="13.6915"/>
    <n v="-89.233400000000003"/>
    <n v="0"/>
    <n v="0"/>
    <n v="0"/>
    <n v="107"/>
    <s v="_x0000_peopl"/>
  </r>
  <r>
    <x v="6"/>
    <n v="13.6896"/>
    <n v="-89.188800000000001"/>
    <n v="4"/>
    <n v="0"/>
    <n v="0"/>
    <n v="107"/>
    <s v="_x0000_peopl"/>
  </r>
  <r>
    <x v="6"/>
    <n v="13.6852"/>
    <n v="-89.217200000000005"/>
    <n v="7"/>
    <n v="0"/>
    <n v="0"/>
    <n v="107"/>
    <s v="_x0000_peopl"/>
  </r>
  <r>
    <x v="6"/>
    <n v="13.6753"/>
    <n v="-89.25"/>
    <n v="5"/>
    <n v="0"/>
    <n v="0"/>
    <n v="107"/>
    <s v="_x0000_peopl"/>
  </r>
  <r>
    <x v="6"/>
    <n v="13.686"/>
    <n v="-89.193899999999999"/>
    <n v="4"/>
    <n v="0"/>
    <n v="0"/>
    <n v="107"/>
    <s v="_x0000_peopl"/>
  </r>
  <r>
    <x v="6"/>
    <n v="13.687200000000001"/>
    <n v="-89.197299999999998"/>
    <n v="4"/>
    <n v="0"/>
    <n v="0"/>
    <n v="107"/>
    <s v="_x0000_peopl"/>
  </r>
  <r>
    <x v="6"/>
    <n v="13.6793"/>
    <n v="-89.197100000000006"/>
    <n v="2"/>
    <n v="0"/>
    <n v="0"/>
    <n v="107"/>
    <s v="_x0000_peopl"/>
  </r>
  <r>
    <x v="6"/>
    <n v="13.688499999999999"/>
    <n v="-89.215999999999994"/>
    <n v="8"/>
    <n v="0"/>
    <n v="0"/>
    <n v="107"/>
    <s v="_x0000_peopl"/>
  </r>
  <r>
    <x v="6"/>
    <n v="13.6944"/>
    <n v="-89.183099999999996"/>
    <n v="5"/>
    <n v="0"/>
    <n v="0"/>
    <n v="107"/>
    <s v="_x0000_peopl"/>
  </r>
  <r>
    <x v="6"/>
    <n v="13.6874"/>
    <n v="-89.197299999999998"/>
    <n v="4"/>
    <n v="0"/>
    <n v="0"/>
    <n v="107"/>
    <s v="_x0000_peopl"/>
  </r>
  <r>
    <x v="6"/>
    <n v="13.690899999999999"/>
    <n v="-89.188599999999994"/>
    <n v="5"/>
    <n v="0"/>
    <n v="0"/>
    <n v="107"/>
    <s v="_x0000_peopl"/>
  </r>
  <r>
    <x v="6"/>
    <n v="13.6861"/>
    <n v="-89.215999999999994"/>
    <n v="5"/>
    <n v="0"/>
    <n v="0"/>
    <n v="107"/>
    <s v="_x0000_peopl"/>
  </r>
  <r>
    <x v="6"/>
    <n v="13.6845"/>
    <n v="-89.213499999999996"/>
    <n v="2"/>
    <n v="0"/>
    <n v="0"/>
    <n v="107"/>
    <s v="_x0000_peopl"/>
  </r>
  <r>
    <x v="6"/>
    <n v="13.696"/>
    <n v="-89.165999999999997"/>
    <n v="5"/>
    <n v="0"/>
    <n v="0"/>
    <n v="107"/>
    <s v="_x0000_peopl"/>
  </r>
  <r>
    <x v="6"/>
    <n v="13.6911"/>
    <n v="-89.233800000000002"/>
    <n v="5"/>
    <n v="0"/>
    <n v="0"/>
    <n v="107"/>
    <s v="_x0000_peopl"/>
  </r>
  <r>
    <x v="6"/>
    <n v="13.691000000000001"/>
    <n v="-89.220100000000002"/>
    <n v="2"/>
    <n v="0"/>
    <n v="0"/>
    <n v="107"/>
    <s v="_x0000_peopl"/>
  </r>
  <r>
    <x v="6"/>
    <n v="13.692"/>
    <n v="-89.227500000000006"/>
    <n v="8"/>
    <n v="0"/>
    <n v="0"/>
    <n v="107"/>
    <s v="_x0000_peopl"/>
  </r>
  <r>
    <x v="6"/>
    <n v="13.6898"/>
    <n v="-89.197400000000002"/>
    <n v="7"/>
    <n v="0"/>
    <n v="0"/>
    <n v="107"/>
    <s v="_x0000_peopl"/>
  </r>
  <r>
    <x v="6"/>
    <n v="13.691000000000001"/>
    <n v="-89.227000000000004"/>
    <n v="8"/>
    <n v="0"/>
    <n v="0"/>
    <n v="107"/>
    <s v="_x0000_peopl"/>
  </r>
  <r>
    <x v="6"/>
    <n v="13.693300000000001"/>
    <n v="-89.188800000000001"/>
    <n v="1"/>
    <n v="0"/>
    <n v="0"/>
    <n v="107"/>
    <s v="_x0000_peopl"/>
  </r>
  <r>
    <x v="6"/>
    <n v="13.689299999999999"/>
    <n v="-89.207999999999998"/>
    <n v="7"/>
    <n v="0"/>
    <n v="0"/>
    <n v="107"/>
    <s v="_x0000_peopl"/>
  </r>
  <r>
    <x v="6"/>
    <n v="13.6876"/>
    <n v="-89.215699999999998"/>
    <n v="9"/>
    <n v="0"/>
    <n v="0"/>
    <n v="107"/>
    <s v="_x0000_peopl"/>
  </r>
  <r>
    <x v="6"/>
    <n v="13.6911"/>
    <n v="-89.228899999999996"/>
    <n v="6"/>
    <n v="0"/>
    <n v="0"/>
    <n v="107"/>
    <s v="_x0000_peopl"/>
  </r>
  <r>
    <x v="6"/>
    <n v="13.6845"/>
    <n v="-89.215400000000002"/>
    <n v="5"/>
    <n v="0"/>
    <n v="0"/>
    <n v="107"/>
    <s v="_x0000_peopl"/>
  </r>
  <r>
    <x v="6"/>
    <n v="13.687799999999999"/>
    <n v="-89.181399999999996"/>
    <n v="6"/>
    <n v="0"/>
    <n v="0"/>
    <n v="107"/>
    <s v="_x0000_peopl"/>
  </r>
  <r>
    <x v="6"/>
    <n v="13.6907"/>
    <n v="-89.185199999999995"/>
    <n v="4"/>
    <n v="0"/>
    <n v="0"/>
    <n v="107"/>
    <s v="_x0000_peopl"/>
  </r>
  <r>
    <x v="6"/>
    <n v="13.691700000000001"/>
    <n v="-89.179699999999997"/>
    <n v="3"/>
    <n v="0"/>
    <n v="0"/>
    <n v="107"/>
    <s v="_x0000_peopl"/>
  </r>
  <r>
    <x v="6"/>
    <n v="13.6904"/>
    <n v="-89.194699999999997"/>
    <n v="2"/>
    <n v="0"/>
    <n v="0"/>
    <n v="107"/>
    <s v="_x0000_peopl"/>
  </r>
  <r>
    <x v="6"/>
    <n v="13.694100000000001"/>
    <n v="-89.174999999999997"/>
    <n v="1"/>
    <n v="0"/>
    <n v="0"/>
    <n v="107"/>
    <s v="_x0000_peopl"/>
  </r>
  <r>
    <x v="6"/>
    <n v="13.6852"/>
    <n v="-89.193700000000007"/>
    <n v="5"/>
    <n v="0"/>
    <n v="0"/>
    <n v="107"/>
    <s v="_x0000_peopl"/>
  </r>
  <r>
    <x v="6"/>
    <n v="13.677099999999999"/>
    <n v="-89.247799999999998"/>
    <n v="7"/>
    <n v="0"/>
    <n v="0"/>
    <n v="107"/>
    <s v="_x0000_peopl"/>
  </r>
  <r>
    <x v="6"/>
    <n v="13.687200000000001"/>
    <n v="-89.195599999999999"/>
    <n v="6"/>
    <n v="0"/>
    <n v="0"/>
    <n v="107"/>
    <s v="_x0000_peopl"/>
  </r>
  <r>
    <x v="6"/>
    <n v="13.687200000000001"/>
    <n v="-89.197100000000006"/>
    <n v="4"/>
    <n v="0"/>
    <n v="0"/>
    <n v="107"/>
    <s v="_x0000_peopl"/>
  </r>
  <r>
    <x v="6"/>
    <n v="13.6851"/>
    <n v="-89.217299999999994"/>
    <n v="6"/>
    <n v="0"/>
    <n v="0"/>
    <n v="107"/>
    <s v="_x0000_peopl"/>
  </r>
  <r>
    <x v="6"/>
    <n v="13.686199999999999"/>
    <n v="-89.201099999999997"/>
    <n v="4"/>
    <n v="0"/>
    <n v="0"/>
    <n v="107"/>
    <s v="_x0000_peopl"/>
  </r>
  <r>
    <x v="6"/>
    <n v="13.6927"/>
    <n v="-89.179100000000005"/>
    <n v="7"/>
    <n v="0"/>
    <n v="0"/>
    <n v="107"/>
    <s v="_x0000_peopl"/>
  </r>
  <r>
    <x v="6"/>
    <n v="13.693300000000001"/>
    <n v="-89.176599999999993"/>
    <n v="12"/>
    <n v="0"/>
    <n v="0"/>
    <n v="107"/>
    <s v="_x0000_peopl"/>
  </r>
  <r>
    <x v="6"/>
    <n v="13.6907"/>
    <n v="-89.191000000000003"/>
    <n v="6"/>
    <n v="0"/>
    <n v="0"/>
    <n v="107"/>
    <s v="_x0000_peopl"/>
  </r>
  <r>
    <x v="6"/>
    <n v="13.685"/>
    <n v="-89.2119"/>
    <n v="6"/>
    <n v="0"/>
    <n v="0"/>
    <n v="107"/>
    <s v="_x0000_peopl"/>
  </r>
  <r>
    <x v="6"/>
    <n v="13.6934"/>
    <n v="-89.176500000000004"/>
    <n v="3"/>
    <n v="0"/>
    <n v="0"/>
    <n v="107"/>
    <s v="_x0000_peopl"/>
  </r>
  <r>
    <x v="6"/>
    <n v="13.6873"/>
    <n v="-89.197100000000006"/>
    <n v="3"/>
    <n v="0"/>
    <n v="0"/>
    <n v="107"/>
    <s v="_x0000_peopl"/>
  </r>
  <r>
    <x v="6"/>
    <n v="13.695399999999999"/>
    <n v="-89.174499999999995"/>
    <n v="5"/>
    <n v="0"/>
    <n v="0"/>
    <n v="107"/>
    <s v="_x0000_peopl"/>
  </r>
  <r>
    <x v="6"/>
    <n v="13.6943"/>
    <n v="-89.1751"/>
    <n v="4"/>
    <n v="0"/>
    <n v="0"/>
    <n v="107"/>
    <s v="_x0000_peopl"/>
  </r>
  <r>
    <x v="6"/>
    <n v="13.6911"/>
    <n v="-89.220200000000006"/>
    <n v="9"/>
    <n v="0"/>
    <n v="0"/>
    <n v="107"/>
    <s v="_x0000_peopl"/>
  </r>
  <r>
    <x v="6"/>
    <n v="13.6874"/>
    <n v="-89.192300000000003"/>
    <n v="5"/>
    <n v="0"/>
    <n v="0"/>
    <n v="107"/>
    <s v="_x0000_peopl"/>
  </r>
  <r>
    <x v="6"/>
    <n v="13.687200000000001"/>
    <n v="-89.183499999999995"/>
    <n v="7"/>
    <n v="0"/>
    <n v="0"/>
    <n v="107"/>
    <s v="_x0000_peopl"/>
  </r>
  <r>
    <x v="6"/>
    <n v="13.6891"/>
    <n v="-89.183899999999994"/>
    <n v="3"/>
    <n v="0"/>
    <n v="0"/>
    <n v="107"/>
    <s v="_x0000_peopl"/>
  </r>
  <r>
    <x v="6"/>
    <n v="13.6752"/>
    <n v="-89.250200000000007"/>
    <n v="8"/>
    <n v="0"/>
    <n v="0"/>
    <n v="107"/>
    <s v="_x0000_peopl"/>
  </r>
  <r>
    <x v="6"/>
    <n v="13.696"/>
    <n v="-89.172899999999998"/>
    <n v="4"/>
    <n v="0"/>
    <n v="0"/>
    <n v="107"/>
    <s v="_x0000_peopl"/>
  </r>
  <r>
    <x v="6"/>
    <n v="13.6937"/>
    <n v="-89.176699999999997"/>
    <n v="3"/>
    <n v="0"/>
    <n v="0"/>
    <n v="107"/>
    <s v="_x0000_peopl"/>
  </r>
  <r>
    <x v="6"/>
    <n v="13.687200000000001"/>
    <n v="-89.211399999999998"/>
    <n v="4"/>
    <n v="0"/>
    <n v="0"/>
    <n v="107"/>
    <s v="_x0000_peopl"/>
  </r>
  <r>
    <x v="6"/>
    <n v="13.6907"/>
    <n v="-89.194199999999995"/>
    <n v="5"/>
    <n v="0"/>
    <n v="0"/>
    <n v="107"/>
    <s v="_x0000_peopl"/>
  </r>
  <r>
    <x v="6"/>
    <n v="13.6883"/>
    <n v="-89.180999999999997"/>
    <n v="6"/>
    <n v="0"/>
    <n v="0"/>
    <n v="107"/>
    <s v="_x0000_peopl"/>
  </r>
  <r>
    <x v="6"/>
    <n v="13.6921"/>
    <n v="-89.1858"/>
    <n v="2"/>
    <n v="0"/>
    <n v="0"/>
    <n v="107"/>
    <s v="_x0000_peopl"/>
  </r>
  <r>
    <x v="6"/>
    <n v="13.6866"/>
    <n v="-89.212299999999999"/>
    <n v="4"/>
    <n v="0"/>
    <n v="0"/>
    <n v="107"/>
    <s v="_x0000_peopl"/>
  </r>
  <r>
    <x v="6"/>
    <n v="13.6906"/>
    <n v="-89.234099999999998"/>
    <n v="6"/>
    <n v="0"/>
    <n v="0"/>
    <n v="107"/>
    <s v="_x0000_peopl"/>
  </r>
  <r>
    <x v="6"/>
    <n v="13.687900000000001"/>
    <n v="-89.204899999999995"/>
    <n v="4"/>
    <n v="0"/>
    <n v="0"/>
    <n v="107"/>
    <s v="_x0000_peopl"/>
  </r>
  <r>
    <x v="6"/>
    <n v="13.6867"/>
    <n v="-89.191500000000005"/>
    <n v="3"/>
    <n v="0"/>
    <n v="0"/>
    <n v="107"/>
    <s v="_x0000_peopl"/>
  </r>
  <r>
    <x v="6"/>
    <n v="13.691800000000001"/>
    <n v="-89.226200000000006"/>
    <n v="5"/>
    <n v="0"/>
    <n v="0"/>
    <n v="107"/>
    <s v="_x0000_peopl"/>
  </r>
  <r>
    <x v="6"/>
    <n v="13.6952"/>
    <n v="-89.174199999999999"/>
    <n v="3"/>
    <n v="0"/>
    <n v="0"/>
    <n v="107"/>
    <s v="_x0000_peopl"/>
  </r>
  <r>
    <x v="6"/>
    <n v="13.687200000000001"/>
    <n v="-89.182599999999994"/>
    <n v="4"/>
    <n v="0"/>
    <n v="0"/>
    <n v="107"/>
    <s v="_x0000_peopl"/>
  </r>
  <r>
    <x v="6"/>
    <n v="13.6915"/>
    <n v="-89.186000000000007"/>
    <n v="10"/>
    <n v="0"/>
    <n v="0"/>
    <n v="107"/>
    <s v="_x0000_peopl"/>
  </r>
  <r>
    <x v="6"/>
    <n v="13.692"/>
    <n v="-89.182000000000002"/>
    <n v="5"/>
    <n v="0"/>
    <n v="0"/>
    <n v="107"/>
    <s v="_x0000_peopl"/>
  </r>
  <r>
    <x v="6"/>
    <n v="13.6874"/>
    <n v="-89.196799999999996"/>
    <n v="8"/>
    <n v="0"/>
    <n v="0"/>
    <n v="107"/>
    <s v="_x0000_peopl"/>
  </r>
  <r>
    <x v="6"/>
    <n v="13.6875"/>
    <n v="-89.194400000000002"/>
    <n v="8"/>
    <n v="0"/>
    <n v="0"/>
    <n v="107"/>
    <s v="_x0000_peopl"/>
  </r>
  <r>
    <x v="6"/>
    <n v="13.691000000000001"/>
    <n v="-89.232900000000001"/>
    <n v="5"/>
    <n v="0"/>
    <n v="0"/>
    <n v="107"/>
    <s v="_x0000_peopl"/>
  </r>
  <r>
    <x v="6"/>
    <n v="13.6851"/>
    <n v="-89.201999999999998"/>
    <n v="2"/>
    <n v="0"/>
    <n v="0"/>
    <n v="107"/>
    <s v="_x0000_peopl"/>
  </r>
  <r>
    <x v="6"/>
    <n v="13.692"/>
    <n v="-89.175799999999995"/>
    <n v="6"/>
    <n v="0"/>
    <n v="0"/>
    <n v="107"/>
    <s v="_x0000_peopl"/>
  </r>
  <r>
    <x v="6"/>
    <n v="13.690799999999999"/>
    <n v="-89.188699999999997"/>
    <n v="7"/>
    <n v="0"/>
    <n v="0"/>
    <n v="107"/>
    <s v="_x0000_peopl"/>
  </r>
  <r>
    <x v="6"/>
    <n v="13.679600000000001"/>
    <n v="-89.197199999999995"/>
    <n v="5"/>
    <n v="0"/>
    <n v="0"/>
    <n v="107"/>
    <s v="_x0000_peopl"/>
  </r>
  <r>
    <x v="6"/>
    <n v="13.6747"/>
    <n v="-89.252200000000002"/>
    <n v="5"/>
    <n v="0"/>
    <n v="0"/>
    <n v="107"/>
    <s v="_x0000_peopl"/>
  </r>
  <r>
    <x v="6"/>
    <n v="13.6913"/>
    <n v="-89.220699999999994"/>
    <n v="6"/>
    <n v="0"/>
    <n v="0"/>
    <n v="107"/>
    <s v="_x0000_peopl"/>
  </r>
  <r>
    <x v="6"/>
    <n v="13.6882"/>
    <n v="-89.193799999999996"/>
    <n v="3"/>
    <n v="0"/>
    <n v="0"/>
    <n v="107"/>
    <s v="_x0000_peopl"/>
  </r>
  <r>
    <x v="6"/>
    <n v="13.6922"/>
    <n v="-89.185000000000002"/>
    <n v="7"/>
    <n v="0"/>
    <n v="0"/>
    <n v="107"/>
    <s v="_x0000_peopl"/>
  </r>
  <r>
    <x v="6"/>
    <n v="13.6922"/>
    <n v="-89.222200000000001"/>
    <n v="5"/>
    <n v="0"/>
    <n v="0"/>
    <n v="107"/>
    <s v="_x0000_peopl"/>
  </r>
  <r>
    <x v="6"/>
    <n v="13.686999999999999"/>
    <n v="-89.211399999999998"/>
    <n v="5"/>
    <n v="0"/>
    <n v="0"/>
    <n v="107"/>
    <s v="_x0000_peopl"/>
  </r>
  <r>
    <x v="6"/>
    <n v="13.694000000000001"/>
    <n v="-89.175899999999999"/>
    <n v="7"/>
    <n v="0"/>
    <n v="0"/>
    <n v="107"/>
    <s v="_x0000_peopl"/>
  </r>
  <r>
    <x v="6"/>
    <n v="13.673999999999999"/>
    <n v="-89.203199999999995"/>
    <n v="5"/>
    <n v="0"/>
    <n v="0"/>
    <n v="107"/>
    <s v="_x0000_peopl"/>
  </r>
  <r>
    <x v="6"/>
    <n v="13.6784"/>
    <n v="-89.245500000000007"/>
    <n v="8"/>
    <n v="0"/>
    <n v="0"/>
    <n v="107"/>
    <s v="_x0000_peopl"/>
  </r>
  <r>
    <x v="6"/>
    <n v="13.680899999999999"/>
    <n v="-89.195899999999995"/>
    <n v="7"/>
    <n v="0"/>
    <n v="0"/>
    <n v="107"/>
    <s v="_x0000_peopl"/>
  </r>
  <r>
    <x v="6"/>
    <n v="13.687799999999999"/>
    <n v="-89.205100000000002"/>
    <n v="7"/>
    <n v="0"/>
    <n v="0"/>
    <n v="107"/>
    <s v="_x0000_peopl"/>
  </r>
  <r>
    <x v="6"/>
    <n v="13.687799999999999"/>
    <n v="-89.195599999999999"/>
    <n v="4"/>
    <n v="0"/>
    <n v="0"/>
    <n v="107"/>
    <s v="_x0000_peopl"/>
  </r>
  <r>
    <x v="6"/>
    <n v="13.690799999999999"/>
    <n v="-89.231899999999996"/>
    <n v="6"/>
    <n v="0"/>
    <n v="0"/>
    <n v="107"/>
    <s v="_x0000_peopl"/>
  </r>
  <r>
    <x v="6"/>
    <n v="13.6905"/>
    <n v="-89.231700000000004"/>
    <n v="6"/>
    <n v="0"/>
    <n v="0"/>
    <n v="107"/>
    <s v="_x0000_peopl"/>
  </r>
  <r>
    <x v="6"/>
    <n v="13.6896"/>
    <n v="-89.206299999999999"/>
    <n v="3"/>
    <n v="0"/>
    <n v="0"/>
    <n v="107"/>
    <s v="_x0000_peopl"/>
  </r>
  <r>
    <x v="6"/>
    <n v="13.6904"/>
    <n v="-89.235799999999998"/>
    <n v="6"/>
    <n v="0"/>
    <n v="0"/>
    <n v="107"/>
    <s v="_x0000_peopl"/>
  </r>
  <r>
    <x v="6"/>
    <n v="13.690799999999999"/>
    <n v="-89.235500000000002"/>
    <n v="6"/>
    <n v="0"/>
    <n v="0"/>
    <n v="107"/>
    <s v="_x0000_peopl"/>
  </r>
  <r>
    <x v="6"/>
    <n v="13.6884"/>
    <n v="-89.236400000000003"/>
    <n v="1"/>
    <n v="0"/>
    <n v="0"/>
    <n v="107"/>
    <s v="_x0000_peopl"/>
  </r>
  <r>
    <x v="6"/>
    <n v="13.69"/>
    <n v="-89.236000000000004"/>
    <n v="1"/>
    <n v="0"/>
    <n v="0"/>
    <n v="107"/>
    <s v="_x0000_peopl"/>
  </r>
  <r>
    <x v="6"/>
    <n v="13.688700000000001"/>
    <n v="-89.189899999999994"/>
    <n v="3"/>
    <n v="0"/>
    <n v="0"/>
    <n v="107"/>
    <s v="_x0000_peopl"/>
  </r>
  <r>
    <x v="6"/>
    <n v="13.693099999999999"/>
    <n v="-89.189499999999995"/>
    <n v="1"/>
    <n v="0"/>
    <n v="0"/>
    <n v="107"/>
    <s v="_x0000_peopl"/>
  </r>
  <r>
    <x v="6"/>
    <n v="13.6891"/>
    <n v="-89.183599999999998"/>
    <n v="7"/>
    <n v="0"/>
    <n v="0"/>
    <n v="107"/>
    <s v="_x0000_peopl"/>
  </r>
  <r>
    <x v="6"/>
    <n v="13.687799999999999"/>
    <n v="-89.195300000000003"/>
    <n v="8"/>
    <n v="0"/>
    <n v="0"/>
    <n v="107"/>
    <s v="_x0000_peopl"/>
  </r>
  <r>
    <x v="6"/>
    <n v="13.6869"/>
    <n v="-89.197400000000002"/>
    <n v="5"/>
    <n v="0"/>
    <n v="0"/>
    <n v="107"/>
    <s v="_x0000_peopl"/>
  </r>
  <r>
    <x v="6"/>
    <n v="13.6899"/>
    <n v="-89.236099999999993"/>
    <n v="4"/>
    <n v="0"/>
    <n v="0"/>
    <n v="107"/>
    <s v="_x0000_peopl"/>
  </r>
  <r>
    <x v="6"/>
    <n v="13.6854"/>
    <n v="-89.201400000000007"/>
    <n v="3"/>
    <n v="0"/>
    <n v="0"/>
    <n v="107"/>
    <s v="_x0000_peopl"/>
  </r>
  <r>
    <x v="6"/>
    <n v="13.6919"/>
    <n v="-89.186000000000007"/>
    <n v="11"/>
    <n v="0"/>
    <n v="0"/>
    <n v="107"/>
    <s v="_x0000_peopl"/>
  </r>
  <r>
    <x v="6"/>
    <n v="13.694800000000001"/>
    <n v="-89.174000000000007"/>
    <n v="7"/>
    <n v="0"/>
    <n v="0"/>
    <n v="107"/>
    <s v="_x0000_peopl"/>
  </r>
  <r>
    <x v="6"/>
    <n v="13.6873"/>
    <n v="-89.197299999999998"/>
    <n v="3"/>
    <n v="0"/>
    <n v="0"/>
    <n v="107"/>
    <s v="_x0000_peopl"/>
  </r>
  <r>
    <x v="6"/>
    <n v="13.6776"/>
    <n v="-89.246600000000001"/>
    <n v="2"/>
    <n v="0"/>
    <n v="0"/>
    <n v="107"/>
    <s v="_x0000_peopl"/>
  </r>
  <r>
    <x v="6"/>
    <n v="13.674899999999999"/>
    <n v="-89.249200000000002"/>
    <n v="4"/>
    <n v="0"/>
    <n v="0"/>
    <n v="107"/>
    <s v="_x0000_peopl"/>
  </r>
  <r>
    <x v="6"/>
    <n v="13.685"/>
    <n v="-89.215400000000002"/>
    <n v="6"/>
    <n v="0"/>
    <n v="0"/>
    <n v="107"/>
    <s v="_x0000_peopl"/>
  </r>
  <r>
    <x v="6"/>
    <n v="13.6944"/>
    <n v="-89.174599999999998"/>
    <n v="4"/>
    <n v="0"/>
    <n v="0"/>
    <n v="107"/>
    <s v="_x0000_peopl"/>
  </r>
  <r>
    <x v="6"/>
    <n v="13.680099999999999"/>
    <n v="-89.194500000000005"/>
    <n v="4"/>
    <n v="0"/>
    <n v="0"/>
    <n v="107"/>
    <s v="_x0000_peopl"/>
  </r>
  <r>
    <x v="6"/>
    <n v="13.675000000000001"/>
    <n v="-89.252099999999999"/>
    <n v="4"/>
    <n v="0"/>
    <n v="0"/>
    <n v="107"/>
    <s v="_x0000_peopl"/>
  </r>
  <r>
    <x v="6"/>
    <n v="13.6911"/>
    <n v="-89.233800000000002"/>
    <n v="3"/>
    <n v="0"/>
    <n v="0"/>
    <n v="107"/>
    <s v="_x0000_peopl"/>
  </r>
  <r>
    <x v="6"/>
    <n v="13.6896"/>
    <n v="-89.2059"/>
    <n v="5"/>
    <n v="0"/>
    <n v="0"/>
    <n v="107"/>
    <s v="_x0000_peopl"/>
  </r>
  <r>
    <x v="6"/>
    <n v="13.691700000000001"/>
    <n v="-89.225800000000007"/>
    <n v="3"/>
    <n v="0"/>
    <n v="0"/>
    <n v="107"/>
    <s v="_x0000_peopl"/>
  </r>
  <r>
    <x v="6"/>
    <n v="13.674300000000001"/>
    <n v="-89.202200000000005"/>
    <n v="4"/>
    <n v="0"/>
    <n v="0"/>
    <n v="107"/>
    <s v="_x0000_peopl"/>
  </r>
  <r>
    <x v="6"/>
    <n v="13.680300000000001"/>
    <n v="-89.198599999999999"/>
    <n v="3"/>
    <n v="0"/>
    <n v="0"/>
    <n v="107"/>
    <s v="_x0000_peopl"/>
  </r>
  <r>
    <x v="6"/>
    <n v="13.690799999999999"/>
    <n v="-89.232600000000005"/>
    <n v="2"/>
    <n v="0"/>
    <n v="0"/>
    <n v="107"/>
    <s v="_x0000_peopl"/>
  </r>
  <r>
    <x v="6"/>
    <n v="13.690899999999999"/>
    <n v="-89.183899999999994"/>
    <n v="5"/>
    <n v="0"/>
    <n v="0"/>
    <n v="107"/>
    <s v="_x0000_peopl"/>
  </r>
  <r>
    <x v="6"/>
    <n v="13.6905"/>
    <n v="-89.234300000000005"/>
    <n v="5"/>
    <n v="0"/>
    <n v="0"/>
    <n v="107"/>
    <s v="_x0000_peopl"/>
  </r>
  <r>
    <x v="6"/>
    <n v="13.6866"/>
    <n v="-89.216200000000001"/>
    <n v="3"/>
    <n v="0"/>
    <n v="0"/>
    <n v="107"/>
    <s v="_x0000_peopl"/>
  </r>
  <r>
    <x v="6"/>
    <n v="13.6907"/>
    <n v="-89.231899999999996"/>
    <n v="6"/>
    <n v="0"/>
    <n v="0"/>
    <n v="107"/>
    <s v="_x0000_peopl"/>
  </r>
  <r>
    <x v="6"/>
    <n v="13.6852"/>
    <n v="-89.217100000000002"/>
    <n v="10"/>
    <n v="0"/>
    <n v="0"/>
    <n v="107"/>
    <s v="_x0000_peopl"/>
  </r>
  <r>
    <x v="6"/>
    <n v="13.6904"/>
    <n v="-89.217500000000001"/>
    <n v="5"/>
    <n v="0"/>
    <n v="0"/>
    <n v="107"/>
    <s v="_x0000_peopl"/>
  </r>
  <r>
    <x v="6"/>
    <n v="13.687099999999999"/>
    <n v="-89.215599999999995"/>
    <n v="4"/>
    <n v="0"/>
    <n v="0"/>
    <n v="107"/>
    <s v="_x0000_peopl"/>
  </r>
  <r>
    <x v="6"/>
    <n v="13.690899999999999"/>
    <n v="-89.235399999999998"/>
    <n v="7"/>
    <n v="0"/>
    <n v="0"/>
    <n v="107"/>
    <s v="_x0000_peopl"/>
  </r>
  <r>
    <x v="6"/>
    <n v="13.688700000000001"/>
    <n v="-89.204099999999997"/>
    <n v="3"/>
    <n v="0"/>
    <n v="0"/>
    <n v="107"/>
    <s v="_x0000_peopl"/>
  </r>
  <r>
    <x v="6"/>
    <n v="13.6912"/>
    <n v="-89.232699999999994"/>
    <n v="3"/>
    <n v="0"/>
    <n v="0"/>
    <n v="107"/>
    <s v="_x0000_peopl"/>
  </r>
  <r>
    <x v="6"/>
    <n v="13.692"/>
    <n v="-89.221800000000002"/>
    <n v="4"/>
    <n v="0"/>
    <n v="0"/>
    <n v="107"/>
    <s v="_x0000_peopl"/>
  </r>
  <r>
    <x v="6"/>
    <n v="13.690300000000001"/>
    <n v="-89.181200000000004"/>
    <n v="4"/>
    <n v="0"/>
    <n v="0"/>
    <n v="107"/>
    <s v="_x0000_peopl"/>
  </r>
  <r>
    <x v="6"/>
    <n v="13.69"/>
    <n v="-89.184799999999996"/>
    <n v="5"/>
    <n v="0"/>
    <n v="0"/>
    <n v="107"/>
    <s v="_x0000_peopl"/>
  </r>
  <r>
    <x v="6"/>
    <n v="13.690300000000001"/>
    <n v="-89.228300000000004"/>
    <n v="4"/>
    <n v="0"/>
    <n v="0"/>
    <n v="107"/>
    <s v="_x0000_peopl"/>
  </r>
  <r>
    <x v="6"/>
    <n v="13.691700000000001"/>
    <n v="-89.181600000000003"/>
    <n v="4"/>
    <n v="0"/>
    <n v="0"/>
    <n v="107"/>
    <s v="_x0000_peopl"/>
  </r>
  <r>
    <x v="6"/>
    <n v="13.6747"/>
    <n v="-89.199299999999994"/>
    <n v="2"/>
    <n v="0"/>
    <n v="0"/>
    <n v="107"/>
    <s v="_x0000_peopl"/>
  </r>
  <r>
    <x v="6"/>
    <n v="13.688599999999999"/>
    <n v="-89.189700000000002"/>
    <n v="1"/>
    <n v="0"/>
    <n v="0"/>
    <n v="107"/>
    <s v="_x0000_peopl"/>
  </r>
  <r>
    <x v="6"/>
    <n v="13.69"/>
    <n v="-89.235399999999998"/>
    <n v="5"/>
    <n v="0"/>
    <n v="0"/>
    <n v="107"/>
    <s v="_x0000_peopl"/>
  </r>
  <r>
    <x v="6"/>
    <n v="13.687799999999999"/>
    <n v="-89.205399999999997"/>
    <n v="5"/>
    <n v="0"/>
    <n v="0"/>
    <n v="107"/>
    <s v="_x0000_peopl"/>
  </r>
  <r>
    <x v="6"/>
    <n v="13.6913"/>
    <n v="-89.234300000000005"/>
    <n v="3"/>
    <n v="0"/>
    <n v="0"/>
    <n v="107"/>
    <s v="_x0000_peopl"/>
  </r>
  <r>
    <x v="6"/>
    <n v="13.677199999999999"/>
    <n v="-89.247399999999999"/>
    <n v="3"/>
    <n v="0"/>
    <n v="0"/>
    <n v="107"/>
    <s v="_x0000_peopl"/>
  </r>
  <r>
    <x v="6"/>
    <n v="13.685"/>
    <n v="-89.216899999999995"/>
    <n v="6"/>
    <n v="0"/>
    <n v="0"/>
    <n v="107"/>
    <s v="_x0000_peopl"/>
  </r>
  <r>
    <x v="6"/>
    <n v="13.689"/>
    <n v="-89.184200000000004"/>
    <n v="4"/>
    <n v="0"/>
    <n v="0"/>
    <n v="107"/>
    <s v="_x0000_peopl"/>
  </r>
  <r>
    <x v="6"/>
    <n v="13.6915"/>
    <n v="-89.234899999999996"/>
    <n v="3"/>
    <n v="0"/>
    <n v="0"/>
    <n v="107"/>
    <s v="_x0000_peopl"/>
  </r>
  <r>
    <x v="6"/>
    <n v="13.6913"/>
    <n v="-89.189499999999995"/>
    <n v="5"/>
    <n v="0"/>
    <n v="0"/>
    <n v="107"/>
    <s v="_x0000_peopl"/>
  </r>
  <r>
    <x v="6"/>
    <n v="13.690799999999999"/>
    <n v="-89.232399999999998"/>
    <n v="6"/>
    <n v="0"/>
    <n v="0"/>
    <n v="107"/>
    <s v="_x0000_peopl"/>
  </r>
  <r>
    <x v="6"/>
    <n v="13.6853"/>
    <n v="-89.211100000000002"/>
    <n v="5"/>
    <n v="0"/>
    <n v="0"/>
    <n v="107"/>
    <s v="_x0000_peopl"/>
  </r>
  <r>
    <x v="6"/>
    <n v="13.686500000000001"/>
    <n v="-89.212599999999995"/>
    <n v="1"/>
    <n v="0"/>
    <n v="0"/>
    <n v="107"/>
    <s v="_x0000_peopl"/>
  </r>
  <r>
    <x v="6"/>
    <n v="13.6919"/>
    <n v="-89.225399999999993"/>
    <n v="7"/>
    <n v="0"/>
    <n v="0"/>
    <n v="107"/>
    <s v="_x0000_peopl"/>
  </r>
  <r>
    <x v="6"/>
    <n v="13.6913"/>
    <n v="-89.233599999999996"/>
    <n v="5"/>
    <n v="0"/>
    <n v="0"/>
    <n v="107"/>
    <s v="_x0000_peopl"/>
  </r>
  <r>
    <x v="6"/>
    <n v="13.6907"/>
    <n v="-89.179000000000002"/>
    <n v="3"/>
    <n v="0"/>
    <n v="0"/>
    <n v="107"/>
    <s v="_x0000_peopl"/>
  </r>
  <r>
    <x v="6"/>
    <n v="13.6922"/>
    <n v="-89.186199999999999"/>
    <n v="4"/>
    <n v="0"/>
    <n v="0"/>
    <n v="107"/>
    <s v="_x0000_peopl"/>
  </r>
  <r>
    <x v="6"/>
    <n v="13.690899999999999"/>
    <n v="-89.187899999999999"/>
    <n v="12"/>
    <n v="0"/>
    <n v="0"/>
    <n v="107"/>
    <s v="_x0000_peopl"/>
  </r>
  <r>
    <x v="6"/>
    <n v="13.6906"/>
    <n v="-89.195899999999995"/>
    <n v="6"/>
    <n v="0"/>
    <n v="0"/>
    <n v="107"/>
    <s v="_x0000_peopl"/>
  </r>
  <r>
    <x v="6"/>
    <n v="13.686500000000001"/>
    <n v="-89.214399999999998"/>
    <n v="3"/>
    <n v="0"/>
    <n v="0"/>
    <n v="107"/>
    <s v="_x0000_peopl"/>
  </r>
  <r>
    <x v="6"/>
    <n v="13.693"/>
    <n v="-89.186300000000003"/>
    <n v="8"/>
    <n v="0"/>
    <n v="0"/>
    <n v="107"/>
    <s v="_x0000_peopl"/>
  </r>
  <r>
    <x v="6"/>
    <n v="13.6896"/>
    <n v="-89.235500000000002"/>
    <n v="6"/>
    <n v="0"/>
    <n v="0"/>
    <n v="107"/>
    <s v="_x0000_peopl"/>
  </r>
  <r>
    <x v="6"/>
    <n v="13.6951"/>
    <n v="-89.173599999999993"/>
    <n v="4"/>
    <n v="0"/>
    <n v="0"/>
    <n v="107"/>
    <s v="_x0000_peopl"/>
  </r>
  <r>
    <x v="6"/>
    <n v="13.6858"/>
    <n v="-89.212199999999996"/>
    <n v="7"/>
    <n v="0"/>
    <n v="0"/>
    <n v="107"/>
    <s v="_x0000_peopl"/>
  </r>
  <r>
    <x v="6"/>
    <n v="13.693300000000001"/>
    <n v="-89.178200000000004"/>
    <n v="3"/>
    <n v="0"/>
    <n v="0"/>
    <n v="107"/>
    <s v="_x0000_peopl"/>
  </r>
  <r>
    <x v="6"/>
    <n v="13.6907"/>
    <n v="-89.227699999999999"/>
    <n v="3"/>
    <n v="0"/>
    <n v="0"/>
    <n v="107"/>
    <s v="_x0000_peopl"/>
  </r>
  <r>
    <x v="6"/>
    <n v="13.6934"/>
    <n v="-89.192400000000006"/>
    <n v="3"/>
    <n v="0"/>
    <n v="0"/>
    <n v="107"/>
    <s v="_x0000_peopl"/>
  </r>
  <r>
    <x v="6"/>
    <n v="13.679500000000001"/>
    <n v="-89.196399999999997"/>
    <n v="3"/>
    <n v="0"/>
    <n v="0"/>
    <n v="107"/>
    <s v="_x0000_peopl"/>
  </r>
  <r>
    <x v="6"/>
    <n v="13.690099999999999"/>
    <n v="-89.189800000000005"/>
    <n v="1"/>
    <n v="0"/>
    <n v="0"/>
    <n v="107"/>
    <s v="_x0000_peopl"/>
  </r>
  <r>
    <x v="6"/>
    <n v="13.692399999999999"/>
    <n v="-89.223399999999998"/>
    <n v="6"/>
    <n v="0"/>
    <n v="0"/>
    <n v="107"/>
    <s v="_x0000_peopl"/>
  </r>
  <r>
    <x v="6"/>
    <n v="13.6937"/>
    <n v="-89.176299999999998"/>
    <n v="7"/>
    <n v="0"/>
    <n v="0"/>
    <n v="107"/>
    <s v="_x0000_peopl"/>
  </r>
  <r>
    <x v="6"/>
    <n v="13.690899999999999"/>
    <n v="-89.2273"/>
    <n v="4"/>
    <n v="0"/>
    <n v="0"/>
    <n v="107"/>
    <s v="_x0000_peopl"/>
  </r>
  <r>
    <x v="6"/>
    <n v="13.688800000000001"/>
    <n v="-89.229399999999998"/>
    <n v="3"/>
    <n v="0"/>
    <n v="0"/>
    <n v="107"/>
    <s v="_x0000_peopl"/>
  </r>
  <r>
    <x v="6"/>
    <n v="13.695399999999999"/>
    <n v="-89.174700000000001"/>
    <n v="5"/>
    <n v="0"/>
    <n v="0"/>
    <n v="107"/>
    <s v="_x0000_peopl"/>
  </r>
  <r>
    <x v="6"/>
    <n v="13.6952"/>
    <n v="-89.171700000000001"/>
    <n v="3"/>
    <n v="0"/>
    <n v="0"/>
    <n v="107"/>
    <s v="_x0000_peopl"/>
  </r>
  <r>
    <x v="6"/>
    <n v="13.6897"/>
    <n v="-89.206299999999999"/>
    <n v="1"/>
    <n v="0"/>
    <n v="0"/>
    <n v="107"/>
    <s v="_x0000_peopl"/>
  </r>
  <r>
    <x v="6"/>
    <n v="13.690200000000001"/>
    <n v="-89.235299999999995"/>
    <n v="7"/>
    <n v="0"/>
    <n v="0"/>
    <n v="107"/>
    <s v="_x0000_peopl"/>
  </r>
  <r>
    <x v="6"/>
    <n v="13.692500000000001"/>
    <n v="-89.223600000000005"/>
    <n v="7"/>
    <n v="0"/>
    <n v="0"/>
    <n v="107"/>
    <s v="_x0000_peopl"/>
  </r>
  <r>
    <x v="6"/>
    <n v="13.6928"/>
    <n v="-89.176699999999997"/>
    <n v="2"/>
    <n v="0"/>
    <n v="0"/>
    <n v="107"/>
    <s v="_x0000_peopl"/>
  </r>
  <r>
    <x v="6"/>
    <n v="13.6853"/>
    <n v="-89.203999999999994"/>
    <n v="10"/>
    <n v="0"/>
    <n v="0"/>
    <n v="107"/>
    <s v="_x0000_peopl"/>
  </r>
  <r>
    <x v="6"/>
    <n v="13.686999999999999"/>
    <n v="-89.194800000000001"/>
    <n v="5"/>
    <n v="0"/>
    <n v="0"/>
    <n v="107"/>
    <s v="_x0000_peopl"/>
  </r>
  <r>
    <x v="6"/>
    <n v="13.6914"/>
    <n v="-89.186400000000006"/>
    <n v="2"/>
    <n v="0"/>
    <n v="0"/>
    <n v="107"/>
    <s v="_x0000_peopl"/>
  </r>
  <r>
    <x v="6"/>
    <n v="13.6951"/>
    <n v="-89.174899999999994"/>
    <n v="4"/>
    <n v="0"/>
    <n v="0"/>
    <n v="107"/>
    <s v="_x0000_peopl"/>
  </r>
  <r>
    <x v="6"/>
    <n v="13.692"/>
    <n v="-89.194299999999998"/>
    <n v="11"/>
    <n v="0"/>
    <n v="0"/>
    <n v="107"/>
    <s v="_x0000_peopl"/>
  </r>
  <r>
    <x v="6"/>
    <n v="13.687099999999999"/>
    <n v="-89.204400000000007"/>
    <n v="10"/>
    <n v="0"/>
    <n v="0"/>
    <n v="107"/>
    <s v="_x0000_peopl"/>
  </r>
  <r>
    <x v="6"/>
    <n v="13.6913"/>
    <n v="-89.189499999999995"/>
    <n v="4"/>
    <n v="0"/>
    <n v="0"/>
    <n v="107"/>
    <s v="_x0000_peopl"/>
  </r>
  <r>
    <x v="6"/>
    <n v="13.685499999999999"/>
    <n v="-89.216399999999993"/>
    <n v="5"/>
    <n v="0"/>
    <n v="0"/>
    <n v="107"/>
    <s v="_x0000_peopl"/>
  </r>
  <r>
    <x v="6"/>
    <n v="13.6943"/>
    <n v="-89.188699999999997"/>
    <n v="6"/>
    <n v="0"/>
    <n v="0"/>
    <n v="107"/>
    <s v="_x0000_peopl"/>
  </r>
  <r>
    <x v="6"/>
    <n v="13.674099999999999"/>
    <n v="-89.201999999999998"/>
    <n v="0"/>
    <n v="0"/>
    <n v="0"/>
    <n v="107"/>
    <s v="_x0000_peopl"/>
  </r>
  <r>
    <x v="6"/>
    <n v="13.6747"/>
    <n v="-89.250799999999998"/>
    <n v="6"/>
    <n v="0"/>
    <n v="0"/>
    <n v="107"/>
    <s v="_x0000_peopl"/>
  </r>
  <r>
    <x v="6"/>
    <n v="13.6877"/>
    <n v="-89.197100000000006"/>
    <n v="6"/>
    <n v="0"/>
    <n v="0"/>
    <n v="107"/>
    <s v="_x0000_peopl"/>
  </r>
  <r>
    <x v="6"/>
    <n v="13.6861"/>
    <n v="-89.1982"/>
    <n v="2"/>
    <n v="0"/>
    <n v="0"/>
    <n v="107"/>
    <s v="_x0000_peopl"/>
  </r>
  <r>
    <x v="6"/>
    <n v="13.692"/>
    <n v="-89.225300000000004"/>
    <n v="2"/>
    <n v="0"/>
    <n v="0"/>
    <n v="107"/>
    <s v="_x0000_peopl"/>
  </r>
  <r>
    <x v="6"/>
    <n v="13.6876"/>
    <n v="-89.194999999999993"/>
    <n v="3"/>
    <n v="0"/>
    <n v="0"/>
    <n v="107"/>
    <s v="_x0000_peopl"/>
  </r>
  <r>
    <x v="6"/>
    <n v="13.6935"/>
    <n v="-89.176699999999997"/>
    <n v="6"/>
    <n v="0"/>
    <n v="0"/>
    <n v="107"/>
    <s v="_x0000_peopl"/>
  </r>
  <r>
    <x v="6"/>
    <n v="13.6915"/>
    <n v="-89.176699999999997"/>
    <n v="5"/>
    <n v="0"/>
    <n v="0"/>
    <n v="107"/>
    <s v="_x0000_peopl"/>
  </r>
  <r>
    <x v="6"/>
    <n v="13.6737"/>
    <n v="-89.202799999999996"/>
    <n v="6"/>
    <n v="0"/>
    <n v="0"/>
    <n v="107"/>
    <s v="_x0000_peopl"/>
  </r>
  <r>
    <x v="6"/>
    <n v="13.688499999999999"/>
    <n v="-89.2166"/>
    <n v="3"/>
    <n v="0"/>
    <n v="0"/>
    <n v="107"/>
    <s v="_x0000_peopl"/>
  </r>
  <r>
    <x v="6"/>
    <n v="13.6911"/>
    <n v="-89.229299999999995"/>
    <n v="10"/>
    <n v="0"/>
    <n v="0"/>
    <n v="107"/>
    <s v="_x0000_peopl"/>
  </r>
  <r>
    <x v="6"/>
    <n v="13.6892"/>
    <n v="-89.183999999999997"/>
    <n v="8"/>
    <n v="0"/>
    <n v="0"/>
    <n v="107"/>
    <s v="_x0000_peopl"/>
  </r>
  <r>
    <x v="6"/>
    <n v="13.6859"/>
    <n v="-89.211500000000001"/>
    <n v="8"/>
    <n v="0"/>
    <n v="0"/>
    <n v="107"/>
    <s v="_x0000_peopl"/>
  </r>
  <r>
    <x v="6"/>
    <n v="13.687799999999999"/>
    <n v="-89.181399999999996"/>
    <n v="1"/>
    <n v="0"/>
    <n v="0"/>
    <n v="107"/>
    <s v="_x0000_peopl"/>
  </r>
  <r>
    <x v="6"/>
    <n v="13.691599999999999"/>
    <n v="-89.2256"/>
    <n v="2"/>
    <n v="0"/>
    <n v="0"/>
    <n v="107"/>
    <s v="_x0000_peopl"/>
  </r>
  <r>
    <x v="6"/>
    <n v="13.691599999999999"/>
    <n v="-89.233699999999999"/>
    <n v="4"/>
    <n v="0"/>
    <n v="0"/>
    <n v="107"/>
    <s v="_x0000_peopl"/>
  </r>
  <r>
    <x v="6"/>
    <n v="13.677199999999999"/>
    <n v="-89.247799999999998"/>
    <n v="8"/>
    <n v="0"/>
    <n v="0"/>
    <n v="107"/>
    <s v="_x0000_peopl"/>
  </r>
  <r>
    <x v="6"/>
    <n v="13.6882"/>
    <n v="-89.180099999999996"/>
    <n v="6"/>
    <n v="0"/>
    <n v="0"/>
    <n v="107"/>
    <s v="_x0000_peopl"/>
  </r>
  <r>
    <x v="6"/>
    <n v="13.6892"/>
    <n v="-89.184100000000001"/>
    <n v="1"/>
    <n v="0"/>
    <n v="0"/>
    <n v="107"/>
    <s v="_x0000_peopl"/>
  </r>
  <r>
    <x v="6"/>
    <n v="13.693899999999999"/>
    <n v="-89.175600000000003"/>
    <n v="11"/>
    <n v="0"/>
    <n v="0"/>
    <n v="107"/>
    <s v="_x0000_peopl"/>
  </r>
  <r>
    <x v="6"/>
    <n v="13.685"/>
    <n v="-89.216200000000001"/>
    <n v="3"/>
    <n v="0"/>
    <n v="0"/>
    <n v="107"/>
    <s v="_x0000_peopl"/>
  </r>
  <r>
    <x v="6"/>
    <n v="13.6907"/>
    <n v="-89.233400000000003"/>
    <n v="4"/>
    <n v="0"/>
    <n v="0"/>
    <n v="107"/>
    <s v="_x0000_peopl"/>
  </r>
  <r>
    <x v="6"/>
    <n v="13.6752"/>
    <n v="-89.1999"/>
    <n v="4"/>
    <n v="0"/>
    <n v="0"/>
    <n v="107"/>
    <s v="_x0000_peopl"/>
  </r>
  <r>
    <x v="6"/>
    <n v="13.6896"/>
    <n v="-89.1982"/>
    <n v="5"/>
    <n v="0"/>
    <n v="0"/>
    <n v="107"/>
    <s v="_x0000_peopl"/>
  </r>
  <r>
    <x v="6"/>
    <n v="13.691800000000001"/>
    <n v="-89.176199999999994"/>
    <n v="8"/>
    <n v="0"/>
    <n v="0"/>
    <n v="107"/>
    <s v="_x0000_peopl"/>
  </r>
  <r>
    <x v="6"/>
    <n v="13.693"/>
    <n v="-89.183599999999998"/>
    <n v="3"/>
    <n v="0"/>
    <n v="0"/>
    <n v="107"/>
    <s v="_x0000_peopl"/>
  </r>
  <r>
    <x v="6"/>
    <n v="13.691700000000001"/>
    <n v="-89.1798"/>
    <n v="5"/>
    <n v="0"/>
    <n v="0"/>
    <n v="107"/>
    <s v="_x0000_peopl"/>
  </r>
  <r>
    <x v="6"/>
    <n v="13.687799999999999"/>
    <n v="-89.194599999999994"/>
    <n v="9"/>
    <n v="0"/>
    <n v="0"/>
    <n v="107"/>
    <s v="_x0000_peopl"/>
  </r>
  <r>
    <x v="6"/>
    <n v="13.690799999999999"/>
    <n v="-89.234499999999997"/>
    <n v="7"/>
    <n v="0"/>
    <n v="0"/>
    <n v="107"/>
    <s v="_x0000_peopl"/>
  </r>
  <r>
    <x v="6"/>
    <n v="13.6935"/>
    <n v="-89.175799999999995"/>
    <n v="8"/>
    <n v="0"/>
    <n v="0"/>
    <n v="107"/>
    <s v="_x0000_peopl"/>
  </r>
  <r>
    <x v="6"/>
    <n v="13.6877"/>
    <n v="-89.1815"/>
    <n v="7"/>
    <n v="0"/>
    <n v="0"/>
    <n v="107"/>
    <s v="_x0000_peopl"/>
  </r>
  <r>
    <x v="6"/>
    <n v="13.677"/>
    <n v="-89.248199999999997"/>
    <n v="6"/>
    <n v="0"/>
    <n v="0"/>
    <n v="107"/>
    <s v="_x0000_peopl"/>
  </r>
  <r>
    <x v="6"/>
    <n v="13.6921"/>
    <n v="-89.179500000000004"/>
    <n v="2"/>
    <n v="0"/>
    <n v="0"/>
    <n v="107"/>
    <s v="_x0000_peopl"/>
  </r>
  <r>
    <x v="6"/>
    <n v="13.686199999999999"/>
    <n v="-89.201400000000007"/>
    <n v="4"/>
    <n v="0"/>
    <n v="0"/>
    <n v="107"/>
    <s v="_x0000_peopl"/>
  </r>
  <r>
    <x v="6"/>
    <n v="13.6911"/>
    <n v="-89.232600000000005"/>
    <n v="7"/>
    <n v="0"/>
    <n v="0"/>
    <n v="107"/>
    <s v="_x0000_peopl"/>
  </r>
  <r>
    <x v="6"/>
    <n v="13.693099999999999"/>
    <n v="-89.173900000000003"/>
    <n v="3"/>
    <n v="0"/>
    <n v="0"/>
    <n v="107"/>
    <s v="_x0000_peopl"/>
  </r>
  <r>
    <x v="6"/>
    <n v="13.6884"/>
    <n v="-89.1905"/>
    <n v="2"/>
    <n v="0"/>
    <n v="0"/>
    <n v="107"/>
    <s v="_x0000_peopl"/>
  </r>
  <r>
    <x v="6"/>
    <n v="13.691700000000001"/>
    <n v="-89.232799999999997"/>
    <n v="6"/>
    <n v="0"/>
    <n v="0"/>
    <n v="107"/>
    <s v="_x0000_peopl"/>
  </r>
  <r>
    <x v="6"/>
    <n v="13.6927"/>
    <n v="-89.184799999999996"/>
    <n v="6"/>
    <n v="0"/>
    <n v="0"/>
    <n v="107"/>
    <s v="_x0000_peopl"/>
  </r>
  <r>
    <x v="6"/>
    <n v="13.6943"/>
    <n v="-89.185400000000001"/>
    <n v="4"/>
    <n v="0"/>
    <n v="0"/>
    <n v="107"/>
    <s v="_x0000_peopl"/>
  </r>
  <r>
    <x v="6"/>
    <n v="13.689299999999999"/>
    <n v="-89.178399999999996"/>
    <n v="4"/>
    <n v="0"/>
    <n v="0"/>
    <n v="107"/>
    <s v="_x0000_peopl"/>
  </r>
  <r>
    <x v="6"/>
    <n v="13.6884"/>
    <n v="-89.215999999999994"/>
    <n v="7"/>
    <n v="0"/>
    <n v="0"/>
    <n v="107"/>
    <s v="_x0000_peopl"/>
  </r>
  <r>
    <x v="6"/>
    <n v="13.690899999999999"/>
    <n v="-89.229299999999995"/>
    <n v="8"/>
    <n v="0"/>
    <n v="0"/>
    <n v="107"/>
    <s v="_x0000_peopl"/>
  </r>
  <r>
    <x v="6"/>
    <n v="13.6868"/>
    <n v="-89.211600000000004"/>
    <n v="5"/>
    <n v="0"/>
    <n v="0"/>
    <n v="107"/>
    <s v="_x0000_peopl"/>
  </r>
  <r>
    <x v="6"/>
    <n v="13.6915"/>
    <n v="-89.186000000000007"/>
    <n v="4"/>
    <n v="0"/>
    <n v="0"/>
    <n v="107"/>
    <s v="_x0000_peopl"/>
  </r>
  <r>
    <x v="6"/>
    <n v="13.6904"/>
    <n v="-89.234499999999997"/>
    <n v="3"/>
    <n v="0"/>
    <n v="0"/>
    <n v="107"/>
    <s v="_x0000_peopl"/>
  </r>
  <r>
    <x v="6"/>
    <n v="13.690300000000001"/>
    <n v="-89.197400000000002"/>
    <n v="7"/>
    <n v="0"/>
    <n v="0"/>
    <n v="107"/>
    <s v="_x0000_peopl"/>
  </r>
  <r>
    <x v="6"/>
    <n v="13.6936"/>
    <n v="-89.176100000000005"/>
    <n v="9"/>
    <n v="0"/>
    <n v="0"/>
    <n v="107"/>
    <s v="_x0000_peopl"/>
  </r>
  <r>
    <x v="6"/>
    <n v="13.6935"/>
    <n v="-89.185500000000005"/>
    <n v="1"/>
    <n v="0"/>
    <n v="0"/>
    <n v="107"/>
    <s v="_x0000_peopl"/>
  </r>
  <r>
    <x v="6"/>
    <n v="13.6861"/>
    <n v="-89.1982"/>
    <n v="6"/>
    <n v="0"/>
    <n v="0"/>
    <n v="107"/>
    <s v="_x0000_peopl"/>
  </r>
  <r>
    <x v="6"/>
    <n v="13.6875"/>
    <n v="-89.215199999999996"/>
    <n v="3"/>
    <n v="0"/>
    <n v="0"/>
    <n v="107"/>
    <s v="_x0000_peopl"/>
  </r>
  <r>
    <x v="6"/>
    <n v="13.6846"/>
    <n v="-89.213399999999993"/>
    <n v="4"/>
    <n v="0"/>
    <n v="0"/>
    <n v="107"/>
    <s v="_x0000_peopl"/>
  </r>
  <r>
    <x v="6"/>
    <n v="13.6937"/>
    <n v="-89.176500000000004"/>
    <n v="4"/>
    <n v="0"/>
    <n v="0"/>
    <n v="107"/>
    <s v="_x0000_peopl"/>
  </r>
  <r>
    <x v="6"/>
    <n v="13.6919"/>
    <n v="-89.179100000000005"/>
    <n v="6"/>
    <n v="0"/>
    <n v="0"/>
    <n v="107"/>
    <s v="_x0000_peopl"/>
  </r>
  <r>
    <x v="6"/>
    <n v="13.6898"/>
    <n v="-89.194199999999995"/>
    <n v="3"/>
    <n v="0"/>
    <n v="0"/>
    <n v="107"/>
    <s v="_x0000_peopl"/>
  </r>
  <r>
    <x v="6"/>
    <n v="13.6972"/>
    <n v="-89.171499999999995"/>
    <n v="2"/>
    <n v="0"/>
    <n v="0"/>
    <n v="107"/>
    <s v="_x0000_peopl"/>
  </r>
  <r>
    <x v="6"/>
    <n v="13.689399999999999"/>
    <n v="-89.207700000000003"/>
    <n v="7"/>
    <n v="0"/>
    <n v="0"/>
    <n v="107"/>
    <s v="_x0000_peopl"/>
  </r>
  <r>
    <x v="6"/>
    <n v="13.6861"/>
    <n v="-89.214299999999994"/>
    <n v="5"/>
    <n v="0"/>
    <n v="0"/>
    <n v="107"/>
    <s v="_x0000_peopl"/>
  </r>
  <r>
    <x v="6"/>
    <n v="13.691599999999999"/>
    <n v="-89.186000000000007"/>
    <n v="7"/>
    <n v="0"/>
    <n v="0"/>
    <n v="107"/>
    <s v="_x0000_peopl"/>
  </r>
  <r>
    <x v="6"/>
    <n v="13.674799999999999"/>
    <n v="-89.251900000000006"/>
    <n v="5"/>
    <n v="0"/>
    <n v="0"/>
    <n v="107"/>
    <s v="_x0000_peopl"/>
  </r>
  <r>
    <x v="6"/>
    <n v="13.6912"/>
    <n v="-89.179299999999998"/>
    <n v="2"/>
    <n v="0"/>
    <n v="0"/>
    <n v="107"/>
    <s v="_x0000_peopl"/>
  </r>
  <r>
    <x v="6"/>
    <n v="13.695399999999999"/>
    <n v="-89.174400000000006"/>
    <n v="4"/>
    <n v="0"/>
    <n v="0"/>
    <n v="107"/>
    <s v="_x0000_peopl"/>
  </r>
  <r>
    <x v="6"/>
    <n v="13.678599999999999"/>
    <n v="-89.245400000000004"/>
    <n v="7"/>
    <n v="0"/>
    <n v="0"/>
    <n v="107"/>
    <s v="_x0000_peopl"/>
  </r>
  <r>
    <x v="6"/>
    <n v="13.6873"/>
    <n v="-89.215100000000007"/>
    <n v="7"/>
    <n v="0"/>
    <n v="0"/>
    <n v="107"/>
    <s v="_x0000_peopl"/>
  </r>
  <r>
    <x v="6"/>
    <n v="13.6897"/>
    <n v="-89.194100000000006"/>
    <n v="4"/>
    <n v="0"/>
    <n v="0"/>
    <n v="107"/>
    <s v="_x0000_peopl"/>
  </r>
  <r>
    <x v="6"/>
    <n v="13.6751"/>
    <n v="-89.248599999999996"/>
    <n v="4"/>
    <n v="0"/>
    <n v="0"/>
    <n v="107"/>
    <s v="_x0000_peopl"/>
  </r>
  <r>
    <x v="6"/>
    <n v="13.6896"/>
    <n v="-89.216399999999993"/>
    <n v="5"/>
    <n v="0"/>
    <n v="0"/>
    <n v="107"/>
    <s v="_x0000_peopl"/>
  </r>
  <r>
    <x v="6"/>
    <n v="13.691700000000001"/>
    <n v="-89.225999999999999"/>
    <n v="3"/>
    <n v="0"/>
    <n v="0"/>
    <n v="107"/>
    <s v="_x0000_peopl"/>
  </r>
  <r>
    <x v="6"/>
    <n v="13.6869"/>
    <n v="-89.194599999999994"/>
    <n v="6"/>
    <n v="0"/>
    <n v="0"/>
    <n v="107"/>
    <s v="_x0000_peopl"/>
  </r>
  <r>
    <x v="6"/>
    <n v="13.686199999999999"/>
    <n v="-89.197999999999993"/>
    <n v="3"/>
    <n v="0"/>
    <n v="0"/>
    <n v="107"/>
    <s v="_x0000_peopl"/>
  </r>
  <r>
    <x v="6"/>
    <n v="13.6881"/>
    <n v="-89.19"/>
    <n v="8"/>
    <n v="0"/>
    <n v="0"/>
    <n v="107"/>
    <s v="_x0000_peopl"/>
  </r>
  <r>
    <x v="6"/>
    <n v="13.690799999999999"/>
    <n v="-89.1905"/>
    <n v="7"/>
    <n v="0"/>
    <n v="0"/>
    <n v="107"/>
    <s v="_x0000_peopl"/>
  </r>
  <r>
    <x v="6"/>
    <n v="13.687900000000001"/>
    <n v="-89.197000000000003"/>
    <n v="2"/>
    <n v="0"/>
    <n v="0"/>
    <n v="107"/>
    <s v="_x0000_peopl"/>
  </r>
  <r>
    <x v="6"/>
    <n v="13.691800000000001"/>
    <n v="-89.178600000000003"/>
    <n v="2"/>
    <n v="0"/>
    <n v="0"/>
    <n v="107"/>
    <s v="_x0000_peopl"/>
  </r>
  <r>
    <x v="6"/>
    <n v="13.685700000000001"/>
    <n v="-89.215199999999996"/>
    <n v="5"/>
    <n v="0"/>
    <n v="0"/>
    <n v="107"/>
    <s v="_x0000_peopl"/>
  </r>
  <r>
    <x v="6"/>
    <n v="13.6891"/>
    <n v="-89.206500000000005"/>
    <n v="8"/>
    <n v="0"/>
    <n v="0"/>
    <n v="107"/>
    <s v="_x0000_peopl"/>
  </r>
  <r>
    <x v="6"/>
    <n v="13.6943"/>
    <n v="-89.172499999999999"/>
    <n v="6"/>
    <n v="0"/>
    <n v="0"/>
    <n v="107"/>
    <s v="_x0000_peopl"/>
  </r>
  <r>
    <x v="6"/>
    <n v="13.690899999999999"/>
    <n v="-89.179299999999998"/>
    <n v="5"/>
    <n v="0"/>
    <n v="0"/>
    <n v="107"/>
    <s v="_x0000_peopl"/>
  </r>
  <r>
    <x v="6"/>
    <n v="13.6882"/>
    <n v="-89.190899999999999"/>
    <n v="4"/>
    <n v="0"/>
    <n v="0"/>
    <n v="107"/>
    <s v="_x0000_peopl"/>
  </r>
  <r>
    <x v="6"/>
    <n v="13.6906"/>
    <n v="-89.178899999999999"/>
    <n v="5"/>
    <n v="0"/>
    <n v="0"/>
    <n v="107"/>
    <s v="_x0000_peopl"/>
  </r>
  <r>
    <x v="6"/>
    <n v="13.686500000000001"/>
    <n v="-89.215999999999994"/>
    <n v="2"/>
    <n v="0"/>
    <n v="0"/>
    <n v="107"/>
    <s v="_x0000_peopl"/>
  </r>
  <r>
    <x v="6"/>
    <n v="13.6868"/>
    <n v="-89.2166"/>
    <n v="2"/>
    <n v="0"/>
    <n v="0"/>
    <n v="107"/>
    <s v="_x0000_peopl"/>
  </r>
  <r>
    <x v="6"/>
    <n v="13.6897"/>
    <n v="-89.179500000000004"/>
    <n v="5"/>
    <n v="0"/>
    <n v="0"/>
    <n v="107"/>
    <s v="_x0000_peopl"/>
  </r>
  <r>
    <x v="6"/>
    <n v="13.692"/>
    <n v="-89.193799999999996"/>
    <n v="1"/>
    <n v="0"/>
    <n v="0"/>
    <n v="107"/>
    <s v="_x0000_peopl"/>
  </r>
  <r>
    <x v="6"/>
    <n v="13.6873"/>
    <n v="-89.195499999999996"/>
    <n v="4"/>
    <n v="0"/>
    <n v="0"/>
    <n v="107"/>
    <s v="_x0000_peopl"/>
  </r>
  <r>
    <x v="6"/>
    <n v="13.696099999999999"/>
    <n v="-89.172600000000003"/>
    <n v="6"/>
    <n v="0"/>
    <n v="0"/>
    <n v="107"/>
    <s v="_x0000_peopl"/>
  </r>
  <r>
    <x v="6"/>
    <n v="13.6854"/>
    <n v="-89.201899999999995"/>
    <n v="9"/>
    <n v="0"/>
    <n v="0"/>
    <n v="107"/>
    <s v="_x0000_peopl"/>
  </r>
  <r>
    <x v="6"/>
    <n v="13.6874"/>
    <n v="-89.197299999999998"/>
    <n v="6"/>
    <n v="0"/>
    <n v="0"/>
    <n v="107"/>
    <s v="_x0000_peopl"/>
  </r>
  <r>
    <x v="6"/>
    <n v="13.691599999999999"/>
    <n v="-89.233000000000004"/>
    <n v="3"/>
    <n v="0"/>
    <n v="0"/>
    <n v="107"/>
    <s v="_x0000_peopl"/>
  </r>
  <r>
    <x v="6"/>
    <n v="13.6934"/>
    <n v="-89.177199999999999"/>
    <n v="3"/>
    <n v="0"/>
    <n v="0"/>
    <n v="107"/>
    <s v="_x0000_peopl"/>
  </r>
  <r>
    <x v="6"/>
    <n v="13.6915"/>
    <n v="-89.1935"/>
    <n v="11"/>
    <n v="0"/>
    <n v="0"/>
    <n v="107"/>
    <s v="_x0000_peopl"/>
  </r>
  <r>
    <x v="6"/>
    <n v="13.6867"/>
    <n v="-89.181600000000003"/>
    <n v="7"/>
    <n v="0"/>
    <n v="0"/>
    <n v="107"/>
    <s v="_x0000_peopl"/>
  </r>
  <r>
    <x v="6"/>
    <n v="13.679"/>
    <n v="-89.1965"/>
    <n v="7"/>
    <n v="0"/>
    <n v="0"/>
    <n v="107"/>
    <s v="_x0000_peopl"/>
  </r>
  <r>
    <x v="6"/>
    <n v="13.691000000000001"/>
    <n v="-89.235600000000005"/>
    <n v="6"/>
    <n v="0"/>
    <n v="0"/>
    <n v="107"/>
    <s v="_x0000_peopl"/>
  </r>
  <r>
    <x v="6"/>
    <n v="13.6884"/>
    <n v="-89.229299999999995"/>
    <n v="4"/>
    <n v="0"/>
    <n v="0"/>
    <n v="107"/>
    <s v="_x0000_peopl"/>
  </r>
  <r>
    <x v="6"/>
    <n v="13.692500000000001"/>
    <n v="-89.184600000000003"/>
    <n v="6"/>
    <n v="0"/>
    <n v="0"/>
    <n v="107"/>
    <s v="_x0000_peopl"/>
  </r>
  <r>
    <x v="6"/>
    <n v="13.689399999999999"/>
    <n v="-89.235799999999998"/>
    <n v="5"/>
    <n v="0"/>
    <n v="0"/>
    <n v="107"/>
    <s v="_x0000_peopl"/>
  </r>
  <r>
    <x v="6"/>
    <n v="13.6919"/>
    <n v="-89.221800000000002"/>
    <n v="6"/>
    <n v="0"/>
    <n v="0"/>
    <n v="107"/>
    <s v="_x0000_peopl"/>
  </r>
  <r>
    <x v="6"/>
    <n v="13.6943"/>
    <n v="-89.189099999999996"/>
    <n v="5"/>
    <n v="0"/>
    <n v="0"/>
    <n v="107"/>
    <s v="_x0000_peopl"/>
  </r>
  <r>
    <x v="6"/>
    <n v="13.694900000000001"/>
    <n v="-89.175399999999996"/>
    <n v="5"/>
    <n v="0"/>
    <n v="0"/>
    <n v="107"/>
    <s v="_x0000_peopl"/>
  </r>
  <r>
    <x v="6"/>
    <n v="13.6905"/>
    <n v="-89.194199999999995"/>
    <n v="4"/>
    <n v="0"/>
    <n v="0"/>
    <n v="107"/>
    <s v="_x0000_peopl"/>
  </r>
  <r>
    <x v="6"/>
    <n v="13.674200000000001"/>
    <n v="-89.252300000000005"/>
    <n v="1"/>
    <n v="0"/>
    <n v="0"/>
    <n v="107"/>
    <s v="_x0000_peopl"/>
  </r>
  <r>
    <x v="6"/>
    <n v="13.686199999999999"/>
    <n v="-89.215299999999999"/>
    <n v="3"/>
    <n v="0"/>
    <n v="0"/>
    <n v="107"/>
    <s v="_x0000_peopl"/>
  </r>
  <r>
    <x v="6"/>
    <n v="13.692"/>
    <n v="-89.177300000000002"/>
    <n v="5"/>
    <n v="0"/>
    <n v="0"/>
    <n v="107"/>
    <s v="_x0000_peopl"/>
  </r>
  <r>
    <x v="6"/>
    <n v="13.6927"/>
    <n v="-89.225099999999998"/>
    <n v="7"/>
    <n v="0"/>
    <n v="0"/>
    <n v="107"/>
    <s v="_x0000_peopl"/>
  </r>
  <r>
    <x v="6"/>
    <n v="13.6912"/>
    <n v="-89.226399999999998"/>
    <n v="3"/>
    <n v="0"/>
    <n v="0"/>
    <n v="107"/>
    <s v="_x0000_peopl"/>
  </r>
  <r>
    <x v="6"/>
    <n v="13.6928"/>
    <n v="-89.2256"/>
    <n v="7"/>
    <n v="0"/>
    <n v="0"/>
    <n v="107"/>
    <s v="_x0000_peopl"/>
  </r>
  <r>
    <x v="6"/>
    <n v="13.6769"/>
    <n v="-89.248000000000005"/>
    <n v="2"/>
    <n v="0"/>
    <n v="0"/>
    <n v="107"/>
    <s v="_x0000_peopl"/>
  </r>
  <r>
    <x v="6"/>
    <n v="13.694699999999999"/>
    <n v="-89.174099999999996"/>
    <n v="6"/>
    <n v="0"/>
    <n v="0"/>
    <n v="107"/>
    <s v="_x0000_peopl"/>
  </r>
  <r>
    <x v="6"/>
    <n v="13.6896"/>
    <n v="-89.183499999999995"/>
    <n v="7"/>
    <n v="0"/>
    <n v="0"/>
    <n v="107"/>
    <s v="_x0000_peopl"/>
  </r>
  <r>
    <x v="6"/>
    <n v="13.687099999999999"/>
    <n v="-89.197800000000001"/>
    <n v="5"/>
    <n v="0"/>
    <n v="0"/>
    <n v="107"/>
    <s v="_x0000_peopl"/>
  </r>
  <r>
    <x v="6"/>
    <n v="13.6914"/>
    <n v="-89.226500000000001"/>
    <n v="3"/>
    <n v="0"/>
    <n v="0"/>
    <n v="107"/>
    <s v="_x0000_peopl"/>
  </r>
  <r>
    <x v="6"/>
    <n v="13.693"/>
    <n v="-89.178100000000001"/>
    <n v="10"/>
    <n v="0"/>
    <n v="0"/>
    <n v="107"/>
    <s v="_x0000_peopl"/>
  </r>
  <r>
    <x v="6"/>
    <n v="13.692"/>
    <n v="-89.224699999999999"/>
    <n v="4"/>
    <n v="0"/>
    <n v="0"/>
    <n v="107"/>
    <s v="_x0000_peopl"/>
  </r>
  <r>
    <x v="6"/>
    <n v="13.6752"/>
    <n v="-89.25"/>
    <n v="7"/>
    <n v="0"/>
    <n v="0"/>
    <n v="107"/>
    <s v="_x0000_peopl"/>
  </r>
  <r>
    <x v="6"/>
    <n v="13.6859"/>
    <n v="-89.214399999999998"/>
    <n v="4"/>
    <n v="0"/>
    <n v="0"/>
    <n v="107"/>
    <s v="_x0000_peopl"/>
  </r>
  <r>
    <x v="6"/>
    <n v="13.692"/>
    <n v="-89.221800000000002"/>
    <n v="6"/>
    <n v="0"/>
    <n v="0"/>
    <n v="107"/>
    <s v="_x0000_peopl"/>
  </r>
  <r>
    <x v="6"/>
    <n v="13.692600000000001"/>
    <n v="-89.224199999999996"/>
    <n v="6"/>
    <n v="0"/>
    <n v="0"/>
    <n v="107"/>
    <s v="_x0000_peopl"/>
  </r>
  <r>
    <x v="6"/>
    <n v="13.689500000000001"/>
    <n v="-89.208100000000002"/>
    <n v="4"/>
    <n v="0"/>
    <n v="0"/>
    <n v="107"/>
    <s v="_x0000_peopl"/>
  </r>
  <r>
    <x v="6"/>
    <n v="13.694900000000001"/>
    <n v="-89.173699999999997"/>
    <n v="8"/>
    <n v="0"/>
    <n v="0"/>
    <n v="107"/>
    <s v="_x0000_peopl"/>
  </r>
  <r>
    <x v="6"/>
    <n v="13.6915"/>
    <n v="-89.189400000000006"/>
    <n v="8"/>
    <n v="0"/>
    <n v="0"/>
    <n v="107"/>
    <s v="_x0000_peopl"/>
  </r>
  <r>
    <x v="6"/>
    <n v="13.6921"/>
    <n v="-89.185100000000006"/>
    <n v="5"/>
    <n v="0"/>
    <n v="0"/>
    <n v="107"/>
    <s v="_x0000_peopl"/>
  </r>
  <r>
    <x v="6"/>
    <n v="13.6882"/>
    <n v="-89.216999999999999"/>
    <n v="6"/>
    <n v="0"/>
    <n v="0"/>
    <n v="107"/>
    <s v="_x0000_peopl"/>
  </r>
  <r>
    <x v="6"/>
    <n v="13.6898"/>
    <n v="-89.2363"/>
    <n v="4"/>
    <n v="0"/>
    <n v="0"/>
    <n v="107"/>
    <s v="_x0000_peopl"/>
  </r>
  <r>
    <x v="6"/>
    <n v="13.690799999999999"/>
    <n v="-89.179299999999998"/>
    <n v="2"/>
    <n v="0"/>
    <n v="0"/>
    <n v="107"/>
    <s v="_x0000_peopl"/>
  </r>
  <r>
    <x v="6"/>
    <n v="13.691800000000001"/>
    <n v="-89.226799999999997"/>
    <n v="2"/>
    <n v="0"/>
    <n v="0"/>
    <n v="107"/>
    <s v="_x0000_peopl"/>
  </r>
  <r>
    <x v="6"/>
    <n v="13.689399999999999"/>
    <n v="-89.184899999999999"/>
    <n v="6"/>
    <n v="0"/>
    <n v="0"/>
    <n v="107"/>
    <s v="_x0000_peopl"/>
  </r>
  <r>
    <x v="6"/>
    <n v="13.6907"/>
    <n v="-89.190600000000003"/>
    <n v="12"/>
    <n v="0"/>
    <n v="0"/>
    <n v="107"/>
    <s v="_x0000_peopl"/>
  </r>
  <r>
    <x v="6"/>
    <n v="13.6915"/>
    <n v="-89.185500000000005"/>
    <n v="2"/>
    <n v="0"/>
    <n v="0"/>
    <n v="107"/>
    <s v="_x0000_peopl"/>
  </r>
  <r>
    <x v="6"/>
    <n v="13.689"/>
    <n v="-89.235900000000001"/>
    <n v="3"/>
    <n v="0"/>
    <n v="0"/>
    <n v="107"/>
    <s v="_x0000_peopl"/>
  </r>
  <r>
    <x v="6"/>
    <n v="13.688599999999999"/>
    <n v="-89.198300000000003"/>
    <n v="5"/>
    <n v="0"/>
    <n v="0"/>
    <n v="107"/>
    <s v="_x0000_peopl"/>
  </r>
  <r>
    <x v="6"/>
    <n v="13.6915"/>
    <n v="-89.186000000000007"/>
    <n v="2"/>
    <n v="0"/>
    <n v="0"/>
    <n v="107"/>
    <s v="_x0000_peopl"/>
  </r>
  <r>
    <x v="6"/>
    <n v="13.6921"/>
    <n v="-89.178799999999995"/>
    <n v="6"/>
    <n v="0"/>
    <n v="0"/>
    <n v="107"/>
    <s v="_x0000_peopl"/>
  </r>
  <r>
    <x v="6"/>
    <n v="13.684200000000001"/>
    <n v="-89.216200000000001"/>
    <n v="1"/>
    <n v="0"/>
    <n v="0"/>
    <n v="107"/>
    <s v="_x0000_peopl"/>
  </r>
  <r>
    <x v="6"/>
    <n v="13.6746"/>
    <n v="-89.202600000000004"/>
    <n v="3"/>
    <n v="0"/>
    <n v="0"/>
    <n v="107"/>
    <s v="_x0000_peopl"/>
  </r>
  <r>
    <x v="6"/>
    <n v="13.6868"/>
    <n v="-89.1815"/>
    <n v="12"/>
    <n v="0"/>
    <n v="0"/>
    <n v="107"/>
    <s v="_x0000_peopl"/>
  </r>
  <r>
    <x v="6"/>
    <n v="13.6907"/>
    <n v="-89.1815"/>
    <n v="3"/>
    <n v="0"/>
    <n v="0"/>
    <n v="107"/>
    <s v="_x0000_peopl"/>
  </r>
  <r>
    <x v="6"/>
    <n v="13.6905"/>
    <n v="-89.194100000000006"/>
    <n v="4"/>
    <n v="0"/>
    <n v="0"/>
    <n v="107"/>
    <s v="_x0000_peopl"/>
  </r>
  <r>
    <x v="6"/>
    <n v="13.687099999999999"/>
    <n v="-89.215999999999994"/>
    <n v="5"/>
    <n v="0"/>
    <n v="0"/>
    <n v="107"/>
    <s v="_x0000_peopl"/>
  </r>
  <r>
    <x v="6"/>
    <n v="13.6935"/>
    <n v="-89.176299999999998"/>
    <n v="4"/>
    <n v="0"/>
    <n v="0"/>
    <n v="107"/>
    <s v="_x0000_peopl"/>
  </r>
  <r>
    <x v="6"/>
    <n v="13.685600000000001"/>
    <n v="-89.216200000000001"/>
    <n v="5"/>
    <n v="0"/>
    <n v="0"/>
    <n v="107"/>
    <s v="_x0000_peopl"/>
  </r>
  <r>
    <x v="6"/>
    <n v="13.691599999999999"/>
    <n v="-89.234200000000001"/>
    <n v="6"/>
    <n v="0"/>
    <n v="0"/>
    <n v="107"/>
    <s v="_x0000_peopl"/>
  </r>
  <r>
    <x v="6"/>
    <n v="13.6854"/>
    <n v="-89.215800000000002"/>
    <n v="3"/>
    <n v="0"/>
    <n v="0"/>
    <n v="107"/>
    <s v="_x0000_peopl"/>
  </r>
  <r>
    <x v="6"/>
    <n v="13.694900000000001"/>
    <n v="-89.172300000000007"/>
    <n v="3"/>
    <n v="0"/>
    <n v="0"/>
    <n v="107"/>
    <s v="_x0000_peopl"/>
  </r>
  <r>
    <x v="6"/>
    <n v="13.69"/>
    <n v="-89.190200000000004"/>
    <n v="2"/>
    <n v="0"/>
    <n v="0"/>
    <n v="107"/>
    <s v="_x0000_peopl"/>
  </r>
  <r>
    <x v="6"/>
    <n v="13.692500000000001"/>
    <n v="-89.224199999999996"/>
    <n v="8"/>
    <n v="0"/>
    <n v="0"/>
    <n v="107"/>
    <s v="_x0000_peopl"/>
  </r>
  <r>
    <x v="6"/>
    <n v="13.6905"/>
    <n v="-89.233599999999996"/>
    <n v="4"/>
    <n v="0"/>
    <n v="0"/>
    <n v="107"/>
    <s v="_x0000_peopl"/>
  </r>
  <r>
    <x v="6"/>
    <n v="13.6911"/>
    <n v="-89.178799999999995"/>
    <n v="3"/>
    <n v="0"/>
    <n v="0"/>
    <n v="107"/>
    <s v="_x0000_peopl"/>
  </r>
  <r>
    <x v="6"/>
    <n v="13.6899"/>
    <n v="-89.188999999999993"/>
    <n v="2"/>
    <n v="0"/>
    <n v="0"/>
    <n v="107"/>
    <s v="_x0000_peopl"/>
  </r>
  <r>
    <x v="6"/>
    <n v="13.697100000000001"/>
    <n v="-89.171499999999995"/>
    <n v="8"/>
    <n v="0"/>
    <n v="0"/>
    <n v="107"/>
    <s v="_x0000_peopl"/>
  </r>
  <r>
    <x v="6"/>
    <n v="13.695"/>
    <n v="-89.174099999999996"/>
    <n v="3"/>
    <n v="0"/>
    <n v="0"/>
    <n v="107"/>
    <s v="_x0000_peopl"/>
  </r>
  <r>
    <x v="6"/>
    <n v="13.684200000000001"/>
    <n v="-89.2136"/>
    <n v="6"/>
    <n v="0"/>
    <n v="0"/>
    <n v="107"/>
    <s v="_x0000_peopl"/>
  </r>
  <r>
    <x v="6"/>
    <n v="13.692600000000001"/>
    <n v="-89.224199999999996"/>
    <n v="6"/>
    <n v="0"/>
    <n v="0"/>
    <n v="107"/>
    <s v="_x0000_peopl"/>
  </r>
  <r>
    <x v="6"/>
    <n v="13.6913"/>
    <n v="-89.189599999999999"/>
    <n v="9"/>
    <n v="0"/>
    <n v="0"/>
    <n v="107"/>
    <s v="_x0000_peopl"/>
  </r>
  <r>
    <x v="6"/>
    <n v="13.6913"/>
    <n v="-89.178600000000003"/>
    <n v="5"/>
    <n v="0"/>
    <n v="0"/>
    <n v="107"/>
    <s v="_x0000_peopl"/>
  </r>
  <r>
    <x v="6"/>
    <n v="13.679600000000001"/>
    <n v="-89.196899999999999"/>
    <n v="7"/>
    <n v="0"/>
    <n v="0"/>
    <n v="107"/>
    <s v="_x0000_peopl"/>
  </r>
  <r>
    <x v="6"/>
    <n v="13.69"/>
    <n v="-89.235699999999994"/>
    <n v="7"/>
    <n v="0"/>
    <n v="0"/>
    <n v="107"/>
    <s v="_x0000_peopl"/>
  </r>
  <r>
    <x v="6"/>
    <n v="13.685"/>
    <n v="-89.214699999999993"/>
    <n v="5"/>
    <n v="0"/>
    <n v="0"/>
    <n v="107"/>
    <s v="_x0000_peopl"/>
  </r>
  <r>
    <x v="6"/>
    <n v="13.688499999999999"/>
    <n v="-89.215999999999994"/>
    <n v="3"/>
    <n v="0"/>
    <n v="0"/>
    <n v="107"/>
    <s v="_x0000_peopl"/>
  </r>
  <r>
    <x v="6"/>
    <n v="13.6913"/>
    <n v="-89.219899999999996"/>
    <n v="10"/>
    <n v="0"/>
    <n v="0"/>
    <n v="107"/>
    <s v="_x0000_peopl"/>
  </r>
  <r>
    <x v="6"/>
    <n v="13.6899"/>
    <n v="-89.216700000000003"/>
    <n v="7"/>
    <n v="0"/>
    <n v="0"/>
    <n v="107"/>
    <s v="_x0000_peopl"/>
  </r>
  <r>
    <x v="6"/>
    <n v="13.6875"/>
    <n v="-89.197299999999998"/>
    <n v="6"/>
    <n v="0"/>
    <n v="0"/>
    <n v="107"/>
    <s v="_x0000_peopl"/>
  </r>
  <r>
    <x v="6"/>
    <n v="13.6866"/>
    <n v="-89.202399999999997"/>
    <n v="7"/>
    <n v="0"/>
    <n v="0"/>
    <n v="107"/>
    <s v="_x0000_peopl"/>
  </r>
  <r>
    <x v="6"/>
    <n v="13.6736"/>
    <n v="-89.251400000000004"/>
    <n v="7"/>
    <n v="0"/>
    <n v="0"/>
    <n v="107"/>
    <s v="_x0000_peopl"/>
  </r>
  <r>
    <x v="6"/>
    <n v="13.6881"/>
    <n v="-89.194400000000002"/>
    <n v="4"/>
    <n v="0"/>
    <n v="0"/>
    <n v="107"/>
    <s v="_x0000_peopl"/>
  </r>
  <r>
    <x v="6"/>
    <n v="13.6884"/>
    <n v="-89.1905"/>
    <n v="3"/>
    <n v="0"/>
    <n v="0"/>
    <n v="107"/>
    <s v="_x0000_peopl"/>
  </r>
  <r>
    <x v="6"/>
    <n v="13.6922"/>
    <n v="-89.225099999999998"/>
    <n v="3"/>
    <n v="0"/>
    <n v="0"/>
    <n v="107"/>
    <s v="_x0000_peopl"/>
  </r>
  <r>
    <x v="6"/>
    <n v="13.690300000000001"/>
    <n v="-89.184799999999996"/>
    <n v="2"/>
    <n v="0"/>
    <n v="0"/>
    <n v="107"/>
    <s v="_x0000_peopl"/>
  </r>
  <r>
    <x v="6"/>
    <n v="13.6883"/>
    <n v="-89.1815"/>
    <n v="5"/>
    <n v="0"/>
    <n v="0"/>
    <n v="107"/>
    <s v="_x0000_peopl"/>
  </r>
  <r>
    <x v="6"/>
    <n v="13.6873"/>
    <n v="-89.195800000000006"/>
    <n v="7"/>
    <n v="0"/>
    <n v="0"/>
    <n v="107"/>
    <s v="_x0000_peopl"/>
  </r>
  <r>
    <x v="6"/>
    <n v="13.688700000000001"/>
    <n v="-89.194500000000005"/>
    <n v="8"/>
    <n v="0"/>
    <n v="0"/>
    <n v="107"/>
    <s v="_x0000_peopl"/>
  </r>
  <r>
    <x v="6"/>
    <n v="13.6927"/>
    <n v="-89.225499999999997"/>
    <n v="2"/>
    <n v="0"/>
    <n v="0"/>
    <n v="107"/>
    <s v="_x0000_peopl"/>
  </r>
  <r>
    <x v="6"/>
    <n v="13.687099999999999"/>
    <n v="-89.197299999999998"/>
    <n v="4"/>
    <n v="0"/>
    <n v="0"/>
    <n v="107"/>
    <s v="_x0000_peopl"/>
  </r>
  <r>
    <x v="6"/>
    <n v="13.685"/>
    <n v="-89.201300000000003"/>
    <n v="10"/>
    <n v="0"/>
    <n v="0"/>
    <n v="107"/>
    <s v="_x0000_peopl"/>
  </r>
  <r>
    <x v="6"/>
    <n v="13.688599999999999"/>
    <n v="-89.216099999999997"/>
    <n v="6"/>
    <n v="0"/>
    <n v="0"/>
    <n v="107"/>
    <s v="_x0000_peopl"/>
  </r>
  <r>
    <x v="6"/>
    <n v="13.693899999999999"/>
    <n v="-89.176400000000001"/>
    <n v="3"/>
    <n v="0"/>
    <n v="0"/>
    <n v="107"/>
    <s v="_x0000_peopl"/>
  </r>
  <r>
    <x v="6"/>
    <n v="13.6914"/>
    <n v="-89.233400000000003"/>
    <n v="5"/>
    <n v="0"/>
    <n v="0"/>
    <n v="107"/>
    <s v="_x0000_peopl"/>
  </r>
  <r>
    <x v="6"/>
    <n v="13.685"/>
    <n v="-89.211100000000002"/>
    <n v="2"/>
    <n v="0"/>
    <n v="0"/>
    <n v="107"/>
    <s v="_x0000_peopl"/>
  </r>
  <r>
    <x v="6"/>
    <n v="13.6812"/>
    <n v="-89.195599999999999"/>
    <n v="6"/>
    <n v="0"/>
    <n v="0"/>
    <n v="107"/>
    <s v="_x0000_peopl"/>
  </r>
  <r>
    <x v="6"/>
    <n v="13.6873"/>
    <n v="-89.197900000000004"/>
    <n v="3"/>
    <n v="0"/>
    <n v="0"/>
    <n v="107"/>
    <s v="_x0000_peopl"/>
  </r>
  <r>
    <x v="6"/>
    <n v="13.6877"/>
    <n v="-89.205200000000005"/>
    <n v="5"/>
    <n v="0"/>
    <n v="0"/>
    <n v="107"/>
    <s v="_x0000_peopl"/>
  </r>
  <r>
    <x v="6"/>
    <n v="13.690799999999999"/>
    <n v="-89.197500000000005"/>
    <n v="4"/>
    <n v="0"/>
    <n v="0"/>
    <n v="107"/>
    <s v="_x0000_peopl"/>
  </r>
  <r>
    <x v="6"/>
    <n v="13.6731"/>
    <n v="-89.204400000000007"/>
    <n v="7"/>
    <n v="0"/>
    <n v="0"/>
    <n v="107"/>
    <s v="_x0000_peopl"/>
  </r>
  <r>
    <x v="6"/>
    <n v="13.692399999999999"/>
    <n v="-89.224000000000004"/>
    <n v="3"/>
    <n v="0"/>
    <n v="0"/>
    <n v="107"/>
    <s v="_x0000_peopl"/>
  </r>
  <r>
    <x v="6"/>
    <n v="13.677099999999999"/>
    <n v="-89.248199999999997"/>
    <n v="3"/>
    <n v="0"/>
    <n v="0"/>
    <n v="107"/>
    <s v="_x0000_peopl"/>
  </r>
  <r>
    <x v="6"/>
    <n v="13.6922"/>
    <n v="-89.178399999999996"/>
    <n v="3"/>
    <n v="0"/>
    <n v="0"/>
    <n v="107"/>
    <s v="_x0000_peopl"/>
  </r>
  <r>
    <x v="6"/>
    <n v="13.686400000000001"/>
    <n v="-89.216399999999993"/>
    <n v="6"/>
    <n v="0"/>
    <n v="0"/>
    <n v="107"/>
    <s v="_x0000_peopl"/>
  </r>
  <r>
    <x v="6"/>
    <n v="13.6755"/>
    <n v="-89.247799999999998"/>
    <n v="8"/>
    <n v="0"/>
    <n v="0"/>
    <n v="107"/>
    <s v="_x0000_peopl"/>
  </r>
  <r>
    <x v="6"/>
    <n v="13.684799999999999"/>
    <n v="-89.215900000000005"/>
    <n v="6"/>
    <n v="0"/>
    <n v="0"/>
    <n v="107"/>
    <s v="_x0000_peopl"/>
  </r>
  <r>
    <x v="6"/>
    <n v="13.6873"/>
    <n v="-89.211200000000005"/>
    <n v="3"/>
    <n v="0"/>
    <n v="0"/>
    <n v="107"/>
    <s v="_x0000_peopl"/>
  </r>
  <r>
    <x v="6"/>
    <n v="13.6891"/>
    <n v="-89.235799999999998"/>
    <n v="2"/>
    <n v="0"/>
    <n v="0"/>
    <n v="107"/>
    <s v="_x0000_peopl"/>
  </r>
  <r>
    <x v="6"/>
    <n v="13.6972"/>
    <n v="-89.171099999999996"/>
    <n v="3"/>
    <n v="0"/>
    <n v="0"/>
    <n v="107"/>
    <s v="_x0000_peopl"/>
  </r>
  <r>
    <x v="6"/>
    <n v="13.6883"/>
    <n v="-89.229399999999998"/>
    <n v="1"/>
    <n v="0"/>
    <n v="0"/>
    <n v="107"/>
    <s v="_x0000_peopl"/>
  </r>
  <r>
    <x v="6"/>
    <n v="13.6919"/>
    <n v="-89.196700000000007"/>
    <n v="3"/>
    <n v="0"/>
    <n v="0"/>
    <n v="107"/>
    <s v="_x0000_peopl"/>
  </r>
  <r>
    <x v="6"/>
    <n v="13.6912"/>
    <n v="-89.234899999999996"/>
    <n v="6"/>
    <n v="0"/>
    <n v="0"/>
    <n v="107"/>
    <s v="_x0000_peopl"/>
  </r>
  <r>
    <x v="6"/>
    <n v="13.6906"/>
    <n v="-89.234099999999998"/>
    <n v="5"/>
    <n v="0"/>
    <n v="0"/>
    <n v="107"/>
    <s v="_x0000_peopl"/>
  </r>
  <r>
    <x v="6"/>
    <n v="13.6953"/>
    <n v="-89.173100000000005"/>
    <n v="5"/>
    <n v="0"/>
    <n v="0"/>
    <n v="107"/>
    <s v="_x0000_peopl"/>
  </r>
  <r>
    <x v="6"/>
    <n v="13.676600000000001"/>
    <n v="-89.200199999999995"/>
    <n v="5"/>
    <n v="0"/>
    <n v="0"/>
    <n v="107"/>
    <s v="_x0000_peopl"/>
  </r>
  <r>
    <x v="6"/>
    <n v="13.690200000000001"/>
    <n v="-89.1798"/>
    <n v="2"/>
    <n v="0"/>
    <n v="0"/>
    <n v="107"/>
    <s v="_x0000_peopl"/>
  </r>
  <r>
    <x v="6"/>
    <n v="13.692500000000001"/>
    <n v="-89.186700000000002"/>
    <n v="9"/>
    <n v="0"/>
    <n v="0"/>
    <n v="107"/>
    <s v="_x0000_peopl"/>
  </r>
  <r>
    <x v="6"/>
    <n v="13.6919"/>
    <n v="-89.226600000000005"/>
    <n v="5"/>
    <n v="0"/>
    <n v="0"/>
    <n v="107"/>
    <s v="_x0000_peopl"/>
  </r>
  <r>
    <x v="6"/>
    <n v="13.692500000000001"/>
    <n v="-89.224100000000007"/>
    <n v="6"/>
    <n v="0"/>
    <n v="0"/>
    <n v="107"/>
    <s v="_x0000_peopl"/>
  </r>
  <r>
    <x v="6"/>
    <n v="13.6913"/>
    <n v="-89.232500000000002"/>
    <n v="7"/>
    <n v="0"/>
    <n v="0"/>
    <n v="107"/>
    <s v="_x0000_peopl"/>
  </r>
  <r>
    <x v="6"/>
    <n v="13.673299999999999"/>
    <n v="-89.204499999999996"/>
    <n v="6"/>
    <n v="0"/>
    <n v="0"/>
    <n v="107"/>
    <s v="_x0000_peopl"/>
  </r>
  <r>
    <x v="6"/>
    <n v="13.6892"/>
    <n v="-89.183999999999997"/>
    <n v="4"/>
    <n v="0"/>
    <n v="0"/>
    <n v="107"/>
    <s v="_x0000_peopl"/>
  </r>
  <r>
    <x v="6"/>
    <n v="13.692299999999999"/>
    <n v="-89.226500000000001"/>
    <n v="2"/>
    <n v="0"/>
    <n v="0"/>
    <n v="107"/>
    <s v="_x0000_peopl"/>
  </r>
  <r>
    <x v="6"/>
    <n v="13.694800000000001"/>
    <n v="-89.174000000000007"/>
    <n v="3"/>
    <n v="0"/>
    <n v="0"/>
    <n v="107"/>
    <s v="_x0000_peopl"/>
  </r>
  <r>
    <x v="6"/>
    <n v="13.6873"/>
    <n v="-89.194599999999994"/>
    <n v="4"/>
    <n v="0"/>
    <n v="0"/>
    <n v="107"/>
    <s v="_x0000_peopl"/>
  </r>
  <r>
    <x v="6"/>
    <n v="13.6859"/>
    <n v="-89.203100000000006"/>
    <n v="10"/>
    <n v="0"/>
    <n v="0"/>
    <n v="107"/>
    <s v="_x0000_peopl"/>
  </r>
  <r>
    <x v="6"/>
    <n v="13.6899"/>
    <n v="-89.193899999999999"/>
    <n v="5"/>
    <n v="0"/>
    <n v="0"/>
    <n v="107"/>
    <s v="_x0000_peopl"/>
  </r>
  <r>
    <x v="6"/>
    <n v="13.6919"/>
    <n v="-89.179199999999994"/>
    <n v="8"/>
    <n v="0"/>
    <n v="0"/>
    <n v="107"/>
    <s v="_x0000_peopl"/>
  </r>
  <r>
    <x v="6"/>
    <n v="13.685499999999999"/>
    <n v="-89.203699999999998"/>
    <n v="5"/>
    <n v="0"/>
    <n v="0"/>
    <n v="107"/>
    <s v="_x0000_peopl"/>
  </r>
  <r>
    <x v="6"/>
    <n v="13.689399999999999"/>
    <n v="-89.179299999999998"/>
    <n v="6"/>
    <n v="0"/>
    <n v="0"/>
    <n v="107"/>
    <s v="_x0000_peopl"/>
  </r>
  <r>
    <x v="6"/>
    <n v="13.6873"/>
    <n v="-89.196399999999997"/>
    <n v="7"/>
    <n v="0"/>
    <n v="0"/>
    <n v="107"/>
    <s v="_x0000_peopl"/>
  </r>
  <r>
    <x v="6"/>
    <n v="13.69"/>
    <n v="-89.179599999999994"/>
    <n v="3"/>
    <n v="0"/>
    <n v="0"/>
    <n v="107"/>
    <s v="_x0000_peopl"/>
  </r>
  <r>
    <x v="6"/>
    <n v="13.6904"/>
    <n v="-89.233800000000002"/>
    <n v="9"/>
    <n v="0"/>
    <n v="0"/>
    <n v="107"/>
    <s v="_x0000_peopl"/>
  </r>
  <r>
    <x v="6"/>
    <n v="13.690899999999999"/>
    <n v="-89.229500000000002"/>
    <n v="8"/>
    <n v="0"/>
    <n v="0"/>
    <n v="107"/>
    <s v="_x0000_peopl"/>
  </r>
  <r>
    <x v="6"/>
    <n v="13.6866"/>
    <n v="-89.191000000000003"/>
    <n v="1"/>
    <n v="0"/>
    <n v="0"/>
    <n v="107"/>
    <s v="_x0000_peopl"/>
  </r>
  <r>
    <x v="6"/>
    <n v="13.6851"/>
    <n v="-89.216899999999995"/>
    <n v="5"/>
    <n v="0"/>
    <n v="0"/>
    <n v="107"/>
    <s v="_x0000_peopl"/>
  </r>
  <r>
    <x v="6"/>
    <n v="13.6905"/>
    <n v="-89.194199999999995"/>
    <n v="2"/>
    <n v="0"/>
    <n v="0"/>
    <n v="107"/>
    <s v="_x0000_peopl"/>
  </r>
  <r>
    <x v="6"/>
    <n v="13.6868"/>
    <n v="-89.181799999999996"/>
    <n v="3"/>
    <n v="0"/>
    <n v="0"/>
    <n v="107"/>
    <s v="_x0000_peopl"/>
  </r>
  <r>
    <x v="6"/>
    <n v="13.6898"/>
    <n v="-89.235299999999995"/>
    <n v="8"/>
    <n v="0"/>
    <n v="0"/>
    <n v="107"/>
    <s v="_x0000_peopl"/>
  </r>
  <r>
    <x v="6"/>
    <n v="13.6915"/>
    <n v="-89.235299999999995"/>
    <n v="1"/>
    <n v="0"/>
    <n v="0"/>
    <n v="107"/>
    <s v="_x0000_peopl"/>
  </r>
  <r>
    <x v="6"/>
    <n v="13.6892"/>
    <n v="-89.235699999999994"/>
    <n v="8"/>
    <n v="0"/>
    <n v="0"/>
    <n v="107"/>
    <s v="_x0000_peopl"/>
  </r>
  <r>
    <x v="6"/>
    <n v="13.6873"/>
    <n v="-89.215000000000003"/>
    <n v="5"/>
    <n v="0"/>
    <n v="0"/>
    <n v="107"/>
    <s v="_x0000_peopl"/>
  </r>
  <r>
    <x v="6"/>
    <n v="13.6912"/>
    <n v="-89.189599999999999"/>
    <n v="2"/>
    <n v="0"/>
    <n v="0"/>
    <n v="107"/>
    <s v="_x0000_peopl"/>
  </r>
  <r>
    <x v="6"/>
    <n v="13.693"/>
    <n v="-89.186000000000007"/>
    <n v="1"/>
    <n v="0"/>
    <n v="0"/>
    <n v="107"/>
    <s v="_x0000_peopl"/>
  </r>
  <r>
    <x v="6"/>
    <n v="13.6858"/>
    <n v="-89.201499999999996"/>
    <n v="5"/>
    <n v="0"/>
    <n v="0"/>
    <n v="107"/>
    <s v="_x0000_peopl"/>
  </r>
  <r>
    <x v="6"/>
    <n v="13.6919"/>
    <n v="-89.224999999999994"/>
    <n v="4"/>
    <n v="0"/>
    <n v="0"/>
    <n v="107"/>
    <s v="_x0000_peopl"/>
  </r>
  <r>
    <x v="6"/>
    <n v="13.692399999999999"/>
    <n v="-89.179000000000002"/>
    <n v="8"/>
    <n v="0"/>
    <n v="0"/>
    <n v="107"/>
    <s v="_x0000_peopl"/>
  </r>
  <r>
    <x v="6"/>
    <n v="13.690899999999999"/>
    <n v="-89.231499999999997"/>
    <n v="3"/>
    <n v="0"/>
    <n v="0"/>
    <n v="107"/>
    <s v="_x0000_peopl"/>
  </r>
  <r>
    <x v="6"/>
    <n v="13.691599999999999"/>
    <n v="-89.228399999999993"/>
    <n v="5"/>
    <n v="0"/>
    <n v="0"/>
    <n v="107"/>
    <s v="_x0000_peopl"/>
  </r>
  <r>
    <x v="6"/>
    <n v="13.6922"/>
    <n v="-89.222499999999997"/>
    <n v="7"/>
    <n v="0"/>
    <n v="0"/>
    <n v="107"/>
    <s v="_x0000_peopl"/>
  </r>
  <r>
    <x v="6"/>
    <n v="13.6883"/>
    <n v="-89.205500000000001"/>
    <n v="3"/>
    <n v="0"/>
    <n v="0"/>
    <n v="107"/>
    <s v="_x0000_peopl"/>
  </r>
  <r>
    <x v="6"/>
    <n v="13.687799999999999"/>
    <n v="-89.1798"/>
    <n v="2"/>
    <n v="0"/>
    <n v="0"/>
    <n v="107"/>
    <s v="_x0000_peopl"/>
  </r>
  <r>
    <x v="6"/>
    <n v="13.6868"/>
    <n v="-89.194599999999994"/>
    <n v="5"/>
    <n v="0"/>
    <n v="0"/>
    <n v="107"/>
    <s v="_x0000_peopl"/>
  </r>
  <r>
    <x v="6"/>
    <n v="13.690899999999999"/>
    <n v="-89.181799999999996"/>
    <n v="6"/>
    <n v="0"/>
    <n v="0"/>
    <n v="107"/>
    <s v="_x0000_peopl"/>
  </r>
  <r>
    <x v="6"/>
    <n v="13.6935"/>
    <n v="-89.1738"/>
    <n v="7"/>
    <n v="0"/>
    <n v="0"/>
    <n v="107"/>
    <s v="_x0000_peopl"/>
  </r>
  <r>
    <x v="6"/>
    <n v="13.691000000000001"/>
    <n v="-89.185299999999998"/>
    <n v="3"/>
    <n v="0"/>
    <n v="0"/>
    <n v="107"/>
    <s v="_x0000_peopl"/>
  </r>
  <r>
    <x v="6"/>
    <n v="13.690799999999999"/>
    <n v="-89.235799999999998"/>
    <n v="6"/>
    <n v="0"/>
    <n v="0"/>
    <n v="107"/>
    <s v="_x0000_peopl"/>
  </r>
  <r>
    <x v="6"/>
    <n v="13.6942"/>
    <n v="-89.175399999999996"/>
    <n v="6"/>
    <n v="0"/>
    <n v="0"/>
    <n v="107"/>
    <s v="_x0000_peopl"/>
  </r>
  <r>
    <x v="6"/>
    <n v="13.6891"/>
    <n v="-89.211399999999998"/>
    <n v="8"/>
    <n v="0"/>
    <n v="0"/>
    <n v="107"/>
    <s v="_x0000_peopl"/>
  </r>
  <r>
    <x v="6"/>
    <n v="13.691000000000001"/>
    <n v="-89.219700000000003"/>
    <n v="8"/>
    <n v="0"/>
    <n v="0"/>
    <n v="107"/>
    <s v="_x0000_peopl"/>
  </r>
  <r>
    <x v="6"/>
    <n v="13.6898"/>
    <n v="-89.193899999999999"/>
    <n v="7"/>
    <n v="0"/>
    <n v="0"/>
    <n v="107"/>
    <s v="_x0000_peopl"/>
  </r>
  <r>
    <x v="6"/>
    <n v="13.695499999999999"/>
    <n v="-89.173900000000003"/>
    <n v="4"/>
    <n v="0"/>
    <n v="0"/>
    <n v="107"/>
    <s v="_x0000_peopl"/>
  </r>
  <r>
    <x v="6"/>
    <n v="13.6904"/>
    <n v="-89.179900000000004"/>
    <n v="10"/>
    <n v="0"/>
    <n v="0"/>
    <n v="107"/>
    <s v="_x0000_peopl"/>
  </r>
  <r>
    <x v="6"/>
    <n v="13.6921"/>
    <n v="-89.183300000000003"/>
    <n v="8"/>
    <n v="0"/>
    <n v="0"/>
    <n v="107"/>
    <s v="_x0000_peopl"/>
  </r>
  <r>
    <x v="6"/>
    <n v="13.6944"/>
    <n v="-89.182599999999994"/>
    <n v="1"/>
    <n v="0"/>
    <n v="0"/>
    <n v="107"/>
    <s v="_x0000_peopl"/>
  </r>
  <r>
    <x v="6"/>
    <n v="13.692399999999999"/>
    <n v="-89.223299999999995"/>
    <n v="5"/>
    <n v="0"/>
    <n v="0"/>
    <n v="107"/>
    <s v="_x0000_peopl"/>
  </r>
  <r>
    <x v="6"/>
    <n v="13.693"/>
    <n v="-89.185500000000005"/>
    <n v="8"/>
    <n v="0"/>
    <n v="0"/>
    <n v="107"/>
    <s v="_x0000_peopl"/>
  </r>
  <r>
    <x v="6"/>
    <n v="13.687200000000001"/>
    <n v="-89.195899999999995"/>
    <n v="2"/>
    <n v="0"/>
    <n v="0"/>
    <n v="107"/>
    <s v="_x0000_peopl"/>
  </r>
  <r>
    <x v="6"/>
    <n v="13.688599999999999"/>
    <n v="-89.190600000000003"/>
    <n v="6"/>
    <n v="0"/>
    <n v="0"/>
    <n v="107"/>
    <s v="_x0000_peopl"/>
  </r>
  <r>
    <x v="6"/>
    <n v="13.6914"/>
    <n v="-89.234499999999997"/>
    <n v="5"/>
    <n v="0"/>
    <n v="0"/>
    <n v="107"/>
    <s v="_x0000_peopl"/>
  </r>
  <r>
    <x v="6"/>
    <n v="13.679600000000001"/>
    <n v="-89.1965"/>
    <n v="4"/>
    <n v="0"/>
    <n v="0"/>
    <n v="107"/>
    <s v="_x0000_peopl"/>
  </r>
  <r>
    <x v="6"/>
    <n v="13.6907"/>
    <n v="-89.194100000000006"/>
    <n v="5"/>
    <n v="0"/>
    <n v="0"/>
    <n v="107"/>
    <s v="_x0000_peopl"/>
  </r>
  <r>
    <x v="6"/>
    <n v="13.690300000000001"/>
    <n v="-89.179699999999997"/>
    <n v="4"/>
    <n v="0"/>
    <n v="0"/>
    <n v="107"/>
    <s v="_x0000_peopl"/>
  </r>
  <r>
    <x v="6"/>
    <n v="13.687099999999999"/>
    <n v="-89.1965"/>
    <n v="8"/>
    <n v="0"/>
    <n v="0"/>
    <n v="107"/>
    <s v="_x0000_peopl"/>
  </r>
  <r>
    <x v="6"/>
    <n v="13.6952"/>
    <n v="-89.174700000000001"/>
    <n v="6"/>
    <n v="0"/>
    <n v="0"/>
    <n v="107"/>
    <s v="_x0000_peopl"/>
  </r>
  <r>
    <x v="6"/>
    <n v="13.6778"/>
    <n v="-89.246799999999993"/>
    <n v="10"/>
    <n v="0"/>
    <n v="0"/>
    <n v="107"/>
    <s v="_x0000_peopl"/>
  </r>
  <r>
    <x v="6"/>
    <n v="13.691800000000001"/>
    <n v="-89.175899999999999"/>
    <n v="2"/>
    <n v="0"/>
    <n v="0"/>
    <n v="107"/>
    <s v="_x0000_peopl"/>
  </r>
  <r>
    <x v="6"/>
    <n v="13.6875"/>
    <n v="-89.214799999999997"/>
    <n v="8"/>
    <n v="0"/>
    <n v="0"/>
    <n v="107"/>
    <s v="_x0000_peopl"/>
  </r>
  <r>
    <x v="6"/>
    <n v="13.6906"/>
    <n v="-89.233699999999999"/>
    <n v="6"/>
    <n v="0"/>
    <n v="0"/>
    <n v="107"/>
    <s v="_x0000_peopl"/>
  </r>
  <r>
    <x v="6"/>
    <n v="13.6882"/>
    <n v="-89.194000000000003"/>
    <n v="5"/>
    <n v="0"/>
    <n v="0"/>
    <n v="107"/>
    <s v="_x0000_peopl"/>
  </r>
  <r>
    <x v="6"/>
    <n v="13.691000000000001"/>
    <n v="-89.188699999999997"/>
    <n v="5"/>
    <n v="0"/>
    <n v="0"/>
    <n v="107"/>
    <s v="_x0000_peopl"/>
  </r>
  <r>
    <x v="6"/>
    <n v="13.686999999999999"/>
    <n v="-89.192599999999999"/>
    <n v="2"/>
    <n v="0"/>
    <n v="0"/>
    <n v="107"/>
    <s v="_x0000_peopl"/>
  </r>
  <r>
    <x v="6"/>
    <n v="13.6906"/>
    <n v="-89.233599999999996"/>
    <n v="4"/>
    <n v="0"/>
    <n v="0"/>
    <n v="107"/>
    <s v="_x0000_peopl"/>
  </r>
  <r>
    <x v="6"/>
    <n v="13.6897"/>
    <n v="-89.177599999999998"/>
    <n v="7"/>
    <n v="0"/>
    <n v="0"/>
    <n v="107"/>
    <s v="_x0000_peopl"/>
  </r>
  <r>
    <x v="6"/>
    <n v="13.685700000000001"/>
    <n v="-89.215100000000007"/>
    <n v="8"/>
    <n v="0"/>
    <n v="0"/>
    <n v="107"/>
    <s v="_x0000_peopl"/>
  </r>
  <r>
    <x v="6"/>
    <n v="13.678900000000001"/>
    <n v="-89.196399999999997"/>
    <n v="3"/>
    <n v="0"/>
    <n v="0"/>
    <n v="107"/>
    <s v="_x0000_peopl"/>
  </r>
  <r>
    <x v="6"/>
    <n v="13.6876"/>
    <n v="-89.197199999999995"/>
    <n v="5"/>
    <n v="0"/>
    <n v="0"/>
    <n v="107"/>
    <s v="_x0000_peopl"/>
  </r>
  <r>
    <x v="6"/>
    <n v="13.6747"/>
    <n v="-89.199600000000004"/>
    <n v="3"/>
    <n v="0"/>
    <n v="0"/>
    <n v="107"/>
    <s v="_x0000_peopl"/>
  </r>
  <r>
    <x v="6"/>
    <n v="13.6951"/>
    <n v="-89.173500000000004"/>
    <n v="6"/>
    <n v="0"/>
    <n v="0"/>
    <n v="107"/>
    <s v="_x0000_peopl"/>
  </r>
  <r>
    <x v="6"/>
    <n v="13.6905"/>
    <n v="-89.231700000000004"/>
    <n v="4"/>
    <n v="0"/>
    <n v="0"/>
    <n v="107"/>
    <s v="_x0000_peopl"/>
  </r>
  <r>
    <x v="6"/>
    <n v="13.6873"/>
    <n v="-89.214799999999997"/>
    <n v="2"/>
    <n v="0"/>
    <n v="0"/>
    <n v="107"/>
    <s v="_x0000_peopl"/>
  </r>
  <r>
    <x v="6"/>
    <n v="13.6938"/>
    <n v="-89.172799999999995"/>
    <n v="2"/>
    <n v="0"/>
    <n v="0"/>
    <n v="107"/>
    <s v="_x0000_peopl"/>
  </r>
  <r>
    <x v="6"/>
    <n v="13.692600000000001"/>
    <n v="-89.178200000000004"/>
    <n v="4"/>
    <n v="0"/>
    <n v="0"/>
    <n v="107"/>
    <s v="_x0000_peopl"/>
  </r>
  <r>
    <x v="6"/>
    <n v="13.6876"/>
    <n v="-89.216700000000003"/>
    <n v="2"/>
    <n v="0"/>
    <n v="0"/>
    <n v="107"/>
    <s v="_x0000_peopl"/>
  </r>
  <r>
    <x v="6"/>
    <n v="13.6806"/>
    <n v="-89.198499999999996"/>
    <n v="5"/>
    <n v="0"/>
    <n v="0"/>
    <n v="107"/>
    <s v="_x0000_peopl"/>
  </r>
  <r>
    <x v="6"/>
    <n v="13.691800000000001"/>
    <n v="-89.186000000000007"/>
    <n v="6"/>
    <n v="0"/>
    <n v="0"/>
    <n v="107"/>
    <s v="_x0000_peopl"/>
  </r>
  <r>
    <x v="6"/>
    <n v="13.690899999999999"/>
    <n v="-89.188900000000004"/>
    <n v="5"/>
    <n v="0"/>
    <n v="0"/>
    <n v="107"/>
    <s v="_x0000_peopl"/>
  </r>
  <r>
    <x v="6"/>
    <n v="13.692500000000001"/>
    <n v="-89.178700000000006"/>
    <n v="10"/>
    <n v="0"/>
    <n v="0"/>
    <n v="107"/>
    <s v="_x0000_peopl"/>
  </r>
  <r>
    <x v="6"/>
    <n v="13.691000000000001"/>
    <n v="-89.233999999999995"/>
    <n v="6"/>
    <n v="0"/>
    <n v="0"/>
    <n v="107"/>
    <s v="_x0000_peopl"/>
  </r>
  <r>
    <x v="6"/>
    <n v="13.696999999999999"/>
    <n v="-89.171400000000006"/>
    <n v="5"/>
    <n v="0"/>
    <n v="0"/>
    <n v="107"/>
    <s v="_x0000_peopl"/>
  </r>
  <r>
    <x v="6"/>
    <n v="13.6915"/>
    <n v="-89.185500000000005"/>
    <n v="4"/>
    <n v="0"/>
    <n v="0"/>
    <n v="107"/>
    <s v="_x0000_peopl"/>
  </r>
  <r>
    <x v="6"/>
    <n v="13.687200000000001"/>
    <n v="-89.195499999999996"/>
    <n v="10"/>
    <n v="0"/>
    <n v="0"/>
    <n v="107"/>
    <s v="_x0000_peopl"/>
  </r>
  <r>
    <x v="6"/>
    <n v="13.6929"/>
    <n v="-89.176400000000001"/>
    <n v="5"/>
    <n v="0"/>
    <n v="0"/>
    <n v="107"/>
    <s v="_x0000_peopl"/>
  </r>
  <r>
    <x v="6"/>
    <n v="13.691700000000001"/>
    <n v="-89.225399999999993"/>
    <n v="7"/>
    <n v="0"/>
    <n v="0"/>
    <n v="107"/>
    <s v="_x0000_peopl"/>
  </r>
  <r>
    <x v="6"/>
    <n v="13.692399999999999"/>
    <n v="-89.175200000000004"/>
    <n v="2"/>
    <n v="0"/>
    <n v="0"/>
    <n v="107"/>
    <s v="_x0000_peopl"/>
  </r>
  <r>
    <x v="6"/>
    <n v="13.692399999999999"/>
    <n v="-89.197500000000005"/>
    <n v="4"/>
    <n v="0"/>
    <n v="0"/>
    <n v="107"/>
    <s v="_x0000_peopl"/>
  </r>
  <r>
    <x v="6"/>
    <n v="13.687099999999999"/>
    <n v="-89.197299999999998"/>
    <n v="6"/>
    <n v="0"/>
    <n v="0"/>
    <n v="107"/>
    <s v="_x0000_peopl"/>
  </r>
  <r>
    <x v="6"/>
    <n v="13.6959"/>
    <n v="-89.173100000000005"/>
    <n v="5"/>
    <n v="0"/>
    <n v="0"/>
    <n v="107"/>
    <s v="_x0000_peopl"/>
  </r>
  <r>
    <x v="6"/>
    <n v="13.692600000000001"/>
    <n v="-89.174300000000002"/>
    <n v="7"/>
    <n v="0"/>
    <n v="0"/>
    <n v="107"/>
    <s v="_x0000_peopl"/>
  </r>
  <r>
    <x v="6"/>
    <n v="13.6904"/>
    <n v="-89.234200000000001"/>
    <n v="4"/>
    <n v="0"/>
    <n v="0"/>
    <n v="107"/>
    <s v="_x0000_peopl"/>
  </r>
  <r>
    <x v="6"/>
    <n v="13.6912"/>
    <n v="-89.23"/>
    <n v="6"/>
    <n v="0"/>
    <n v="0"/>
    <n v="107"/>
    <s v="_x0000_peopl"/>
  </r>
  <r>
    <x v="6"/>
    <n v="13.691700000000001"/>
    <n v="-89.183899999999994"/>
    <n v="8"/>
    <n v="0"/>
    <n v="0"/>
    <n v="107"/>
    <s v="_x0000_peopl"/>
  </r>
  <r>
    <x v="6"/>
    <n v="13.687200000000001"/>
    <n v="-89.182599999999994"/>
    <n v="11"/>
    <n v="0"/>
    <n v="0"/>
    <n v="107"/>
    <s v="_x0000_peopl"/>
  </r>
  <r>
    <x v="6"/>
    <n v="13.690799999999999"/>
    <n v="-89.233500000000006"/>
    <n v="5"/>
    <n v="0"/>
    <n v="0"/>
    <n v="107"/>
    <s v="_x0000_peopl"/>
  </r>
  <r>
    <x v="6"/>
    <n v="13.673299999999999"/>
    <n v="-89.251499999999993"/>
    <n v="6"/>
    <n v="0"/>
    <n v="0"/>
    <n v="107"/>
    <s v="_x0000_peopl"/>
  </r>
  <r>
    <x v="6"/>
    <n v="13.6922"/>
    <n v="-89.179299999999998"/>
    <n v="4"/>
    <n v="0"/>
    <n v="0"/>
    <n v="107"/>
    <s v="_x0000_peopl"/>
  </r>
  <r>
    <x v="6"/>
    <n v="13.684699999999999"/>
    <n v="-89.214200000000005"/>
    <n v="3"/>
    <n v="0"/>
    <n v="0"/>
    <n v="107"/>
    <s v="_x0000_peopl"/>
  </r>
  <r>
    <x v="6"/>
    <n v="13.6858"/>
    <n v="-89.213499999999996"/>
    <n v="3"/>
    <n v="0"/>
    <n v="0"/>
    <n v="107"/>
    <s v="_x0000_peopl"/>
  </r>
  <r>
    <x v="6"/>
    <n v="13.6877"/>
    <n v="-89.197000000000003"/>
    <n v="9"/>
    <n v="0"/>
    <n v="0"/>
    <n v="107"/>
    <s v="_x0000_peopl"/>
  </r>
  <r>
    <x v="6"/>
    <n v="13.684900000000001"/>
    <n v="-89.194000000000003"/>
    <n v="2"/>
    <n v="0"/>
    <n v="0"/>
    <n v="107"/>
    <s v="_x0000_peopl"/>
  </r>
  <r>
    <x v="6"/>
    <n v="13.679500000000001"/>
    <n v="-89.196799999999996"/>
    <n v="3"/>
    <n v="0"/>
    <n v="0"/>
    <n v="107"/>
    <s v="_x0000_peopl"/>
  </r>
  <r>
    <x v="6"/>
    <n v="13.687799999999999"/>
    <n v="-89.194599999999994"/>
    <n v="2"/>
    <n v="0"/>
    <n v="0"/>
    <n v="107"/>
    <s v="_x0000_peopl"/>
  </r>
  <r>
    <x v="6"/>
    <n v="13.686999999999999"/>
    <n v="-89.183599999999998"/>
    <n v="3"/>
    <n v="0"/>
    <n v="0"/>
    <n v="107"/>
    <s v="_x0000_peopl"/>
  </r>
  <r>
    <x v="6"/>
    <n v="13.6934"/>
    <n v="-89.177300000000002"/>
    <n v="3"/>
    <n v="0"/>
    <n v="0"/>
    <n v="107"/>
    <s v="_x0000_peopl"/>
  </r>
  <r>
    <x v="6"/>
    <n v="13.6906"/>
    <n v="-89.235200000000006"/>
    <n v="7"/>
    <n v="0"/>
    <n v="0"/>
    <n v="107"/>
    <s v="_x0000_peopl"/>
  </r>
  <r>
    <x v="6"/>
    <n v="13.693300000000001"/>
    <n v="-89.183300000000003"/>
    <n v="5"/>
    <n v="0"/>
    <n v="0"/>
    <n v="107"/>
    <s v="_x0000_peopl"/>
  </r>
  <r>
    <x v="6"/>
    <n v="13.6868"/>
    <n v="-89.212400000000002"/>
    <n v="8"/>
    <n v="0"/>
    <n v="0"/>
    <n v="107"/>
    <s v="_x0000_peopl"/>
  </r>
  <r>
    <x v="6"/>
    <n v="13.693899999999999"/>
    <n v="-89.175200000000004"/>
    <n v="3"/>
    <n v="0"/>
    <n v="0"/>
    <n v="107"/>
    <s v="_x0000_peopl"/>
  </r>
  <r>
    <x v="6"/>
    <n v="13.692"/>
    <n v="-89.221599999999995"/>
    <n v="6"/>
    <n v="0"/>
    <n v="0"/>
    <n v="107"/>
    <s v="_x0000_peopl"/>
  </r>
  <r>
    <x v="6"/>
    <n v="13.6943"/>
    <n v="-89.173000000000002"/>
    <n v="7"/>
    <n v="0"/>
    <n v="0"/>
    <n v="107"/>
    <s v="_x0000_peopl"/>
  </r>
  <r>
    <x v="6"/>
    <n v="13.6746"/>
    <n v="-89.252399999999994"/>
    <n v="5"/>
    <n v="0"/>
    <n v="0"/>
    <n v="107"/>
    <s v="_x0000_peopl"/>
  </r>
  <r>
    <x v="6"/>
    <n v="13.6907"/>
    <n v="-89.187299999999993"/>
    <n v="4"/>
    <n v="0"/>
    <n v="0"/>
    <n v="107"/>
    <s v="_x0000_peopl"/>
  </r>
  <r>
    <x v="6"/>
    <n v="13.690300000000001"/>
    <n v="-89.228300000000004"/>
    <n v="6"/>
    <n v="0"/>
    <n v="0"/>
    <n v="107"/>
    <s v="_x0000_peopl"/>
  </r>
  <r>
    <x v="6"/>
    <n v="13.6936"/>
    <n v="-89.176699999999997"/>
    <n v="6"/>
    <n v="0"/>
    <n v="0"/>
    <n v="107"/>
    <s v="_x0000_peopl"/>
  </r>
  <r>
    <x v="6"/>
    <n v="13.6905"/>
    <n v="-89.232100000000003"/>
    <n v="3"/>
    <n v="0"/>
    <n v="0"/>
    <n v="107"/>
    <s v="_x0000_peopl"/>
  </r>
  <r>
    <x v="6"/>
    <n v="13.6892"/>
    <n v="-89.229600000000005"/>
    <n v="3"/>
    <n v="0"/>
    <n v="0"/>
    <n v="107"/>
    <s v="_x0000_peopl"/>
  </r>
  <r>
    <x v="6"/>
    <n v="13.6935"/>
    <n v="-89.188699999999997"/>
    <n v="2"/>
    <n v="0"/>
    <n v="0"/>
    <n v="107"/>
    <s v="_x0000_peopl"/>
  </r>
  <r>
    <x v="6"/>
    <n v="13.688700000000001"/>
    <n v="-89.229699999999994"/>
    <n v="7"/>
    <n v="0"/>
    <n v="0"/>
    <n v="107"/>
    <s v="_x0000_peopl"/>
  </r>
  <r>
    <x v="6"/>
    <n v="13.686400000000001"/>
    <n v="-89.214500000000001"/>
    <n v="3"/>
    <n v="0"/>
    <n v="0"/>
    <n v="107"/>
    <s v="_x0000_peopl"/>
  </r>
  <r>
    <x v="6"/>
    <n v="13.6874"/>
    <n v="-89.204300000000003"/>
    <n v="3"/>
    <n v="0"/>
    <n v="0"/>
    <n v="107"/>
    <s v="_x0000_peopl"/>
  </r>
  <r>
    <x v="6"/>
    <n v="13.6928"/>
    <n v="-89.224000000000004"/>
    <n v="4"/>
    <n v="0"/>
    <n v="0"/>
    <n v="107"/>
    <s v="_x0000_peopl"/>
  </r>
  <r>
    <x v="6"/>
    <n v="13.690799999999999"/>
    <n v="-89.197699999999998"/>
    <n v="1"/>
    <n v="0"/>
    <n v="0"/>
    <n v="107"/>
    <s v="_x0000_peopl"/>
  </r>
  <r>
    <x v="6"/>
    <n v="13.6919"/>
    <n v="-89.196299999999994"/>
    <n v="4"/>
    <n v="0"/>
    <n v="0"/>
    <n v="107"/>
    <s v="_x0000_peopl"/>
  </r>
  <r>
    <x v="6"/>
    <n v="13.692600000000001"/>
    <n v="-89.226100000000002"/>
    <n v="7"/>
    <n v="0"/>
    <n v="0"/>
    <n v="107"/>
    <s v="_x0000_peopl"/>
  </r>
  <r>
    <x v="6"/>
    <n v="13.6745"/>
    <n v="-89.199299999999994"/>
    <n v="3"/>
    <n v="0"/>
    <n v="0"/>
    <n v="107"/>
    <s v="_x0000_peopl"/>
  </r>
  <r>
    <x v="6"/>
    <n v="13.6927"/>
    <n v="-89.224100000000007"/>
    <n v="5"/>
    <n v="0"/>
    <n v="0"/>
    <n v="107"/>
    <s v="_x0000_peopl"/>
  </r>
  <r>
    <x v="6"/>
    <n v="13.6936"/>
    <n v="-89.176500000000004"/>
    <n v="4"/>
    <n v="0"/>
    <n v="0"/>
    <n v="107"/>
    <s v="_x0000_peopl"/>
  </r>
  <r>
    <x v="6"/>
    <n v="13.6797"/>
    <n v="-89.196799999999996"/>
    <n v="2"/>
    <n v="0"/>
    <n v="0"/>
    <n v="107"/>
    <s v="_x0000_peopl"/>
  </r>
  <r>
    <x v="6"/>
    <n v="13.691599999999999"/>
    <n v="-89.186000000000007"/>
    <n v="8"/>
    <n v="0"/>
    <n v="0"/>
    <n v="107"/>
    <s v="_x0000_peopl"/>
  </r>
  <r>
    <x v="6"/>
    <n v="13.6906"/>
    <n v="-89.186700000000002"/>
    <n v="7"/>
    <n v="0"/>
    <n v="0"/>
    <n v="107"/>
    <s v="_x0000_peopl"/>
  </r>
  <r>
    <x v="6"/>
    <n v="13.692600000000001"/>
    <n v="-89.174099999999996"/>
    <n v="4"/>
    <n v="0"/>
    <n v="0"/>
    <n v="107"/>
    <s v="_x0000_peopl"/>
  </r>
  <r>
    <x v="6"/>
    <n v="13.6866"/>
    <n v="-89.216399999999993"/>
    <n v="6"/>
    <n v="0"/>
    <n v="0"/>
    <n v="107"/>
    <s v="_x0000_peopl"/>
  </r>
  <r>
    <x v="6"/>
    <n v="13.690200000000001"/>
    <n v="-89.235100000000003"/>
    <n v="8"/>
    <n v="0"/>
    <n v="0"/>
    <n v="107"/>
    <s v="_x0000_peopl"/>
  </r>
  <r>
    <x v="6"/>
    <n v="13.6859"/>
    <n v="-89.202200000000005"/>
    <n v="3"/>
    <n v="0"/>
    <n v="0"/>
    <n v="107"/>
    <s v="_x0000_peopl"/>
  </r>
  <r>
    <x v="6"/>
    <n v="13.6884"/>
    <n v="-89.204700000000003"/>
    <n v="4"/>
    <n v="0"/>
    <n v="0"/>
    <n v="107"/>
    <s v="_x0000_peopl"/>
  </r>
  <r>
    <x v="6"/>
    <n v="13.6854"/>
    <n v="-89.201800000000006"/>
    <n v="3"/>
    <n v="0"/>
    <n v="0"/>
    <n v="107"/>
    <s v="_x0000_peopl"/>
  </r>
  <r>
    <x v="6"/>
    <n v="13.6851"/>
    <n v="-89.216999999999999"/>
    <n v="3"/>
    <n v="0"/>
    <n v="0"/>
    <n v="107"/>
    <s v="_x0000_peopl"/>
  </r>
  <r>
    <x v="6"/>
    <n v="13.690200000000001"/>
    <n v="-89.183199999999999"/>
    <n v="3"/>
    <n v="0"/>
    <n v="0"/>
    <n v="107"/>
    <s v="_x0000_peopl"/>
  </r>
  <r>
    <x v="6"/>
    <n v="13.690899999999999"/>
    <n v="-89.195400000000006"/>
    <n v="2"/>
    <n v="0"/>
    <n v="0"/>
    <n v="107"/>
    <s v="_x0000_peopl"/>
  </r>
  <r>
    <x v="6"/>
    <n v="13.6861"/>
    <n v="-89.195400000000006"/>
    <n v="5"/>
    <n v="0"/>
    <n v="0"/>
    <n v="107"/>
    <s v="_x0000_peopl"/>
  </r>
  <r>
    <x v="6"/>
    <n v="13.6957"/>
    <n v="-89.173299999999998"/>
    <n v="9"/>
    <n v="0"/>
    <n v="0"/>
    <n v="107"/>
    <s v="_x0000_peopl"/>
  </r>
  <r>
    <x v="6"/>
    <n v="13.6736"/>
    <n v="-89.2029"/>
    <n v="2"/>
    <n v="0"/>
    <n v="0"/>
    <n v="107"/>
    <s v="_x0000_peopl"/>
  </r>
  <r>
    <x v="6"/>
    <n v="13.697100000000001"/>
    <n v="-89.171599999999998"/>
    <n v="2"/>
    <n v="0"/>
    <n v="0"/>
    <n v="107"/>
    <s v="_x0000_peopl"/>
  </r>
  <r>
    <x v="6"/>
    <n v="13.6907"/>
    <n v="-89.187600000000003"/>
    <n v="5"/>
    <n v="0"/>
    <n v="0"/>
    <n v="107"/>
    <s v="_x0000_peopl"/>
  </r>
  <r>
    <x v="6"/>
    <n v="13.6927"/>
    <n v="-89.178200000000004"/>
    <n v="3"/>
    <n v="0"/>
    <n v="0"/>
    <n v="107"/>
    <s v="_x0000_peopl"/>
  </r>
  <r>
    <x v="6"/>
    <n v="13.695"/>
    <n v="-89.171899999999994"/>
    <n v="3"/>
    <n v="0"/>
    <n v="0"/>
    <n v="107"/>
    <s v="_x0000_peopl"/>
  </r>
  <r>
    <x v="6"/>
    <n v="13.6904"/>
    <n v="-89.228099999999998"/>
    <n v="5"/>
    <n v="0"/>
    <n v="0"/>
    <n v="107"/>
    <s v="_x0000_peopl"/>
  </r>
  <r>
    <x v="6"/>
    <n v="13.6877"/>
    <n v="-89.180599999999998"/>
    <n v="2"/>
    <n v="0"/>
    <n v="0"/>
    <n v="107"/>
    <s v="_x0000_peopl"/>
  </r>
  <r>
    <x v="6"/>
    <n v="13.695499999999999"/>
    <n v="-89.172899999999998"/>
    <n v="7"/>
    <n v="0"/>
    <n v="0"/>
    <n v="107"/>
    <s v="_x0000_peopl"/>
  </r>
  <r>
    <x v="6"/>
    <n v="13.689"/>
    <n v="-89.190399999999997"/>
    <n v="10"/>
    <n v="0"/>
    <n v="0"/>
    <n v="107"/>
    <s v="_x0000_peopl"/>
  </r>
  <r>
    <x v="6"/>
    <n v="13.6752"/>
    <n v="-89.250299999999996"/>
    <n v="5"/>
    <n v="0"/>
    <n v="0"/>
    <n v="107"/>
    <s v="_x0000_peopl"/>
  </r>
  <r>
    <x v="6"/>
    <n v="13.6744"/>
    <n v="-89.201899999999995"/>
    <n v="4"/>
    <n v="0"/>
    <n v="0"/>
    <n v="107"/>
    <s v="_x0000_peopl"/>
  </r>
  <r>
    <x v="6"/>
    <n v="13.686999999999999"/>
    <n v="-89.183800000000005"/>
    <n v="7"/>
    <n v="0"/>
    <n v="0"/>
    <n v="107"/>
    <s v="_x0000_peopl"/>
  </r>
  <r>
    <x v="6"/>
    <n v="13.687099999999999"/>
    <n v="-89.196899999999999"/>
    <n v="11"/>
    <n v="0"/>
    <n v="0"/>
    <n v="107"/>
    <s v="_x0000_peopl"/>
  </r>
  <r>
    <x v="6"/>
    <n v="13.6868"/>
    <n v="-89.194500000000005"/>
    <n v="2"/>
    <n v="0"/>
    <n v="0"/>
    <n v="107"/>
    <s v="_x0000_peopl"/>
  </r>
  <r>
    <x v="6"/>
    <n v="13.695499999999999"/>
    <n v="-89.173500000000004"/>
    <n v="1"/>
    <n v="0"/>
    <n v="0"/>
    <n v="107"/>
    <s v="_x0000_peopl"/>
  </r>
  <r>
    <x v="6"/>
    <n v="13.691800000000001"/>
    <n v="-89.221800000000002"/>
    <n v="2"/>
    <n v="0"/>
    <n v="0"/>
    <n v="107"/>
    <s v="_x0000_peopl"/>
  </r>
  <r>
    <x v="6"/>
    <n v="13.6751"/>
    <n v="-89.1999"/>
    <n v="5"/>
    <n v="0"/>
    <n v="0"/>
    <n v="107"/>
    <s v="_x0000_peopl"/>
  </r>
  <r>
    <x v="6"/>
    <n v="13.6873"/>
    <n v="-89.194500000000005"/>
    <n v="4"/>
    <n v="0"/>
    <n v="0"/>
    <n v="107"/>
    <s v="_x0000_peopl"/>
  </r>
  <r>
    <x v="6"/>
    <n v="13.69"/>
    <n v="-89.1798"/>
    <n v="4"/>
    <n v="0"/>
    <n v="0"/>
    <n v="107"/>
    <s v="_x0000_peopl"/>
  </r>
  <r>
    <x v="6"/>
    <n v="13.6914"/>
    <n v="-89.234700000000004"/>
    <n v="2"/>
    <n v="0"/>
    <n v="0"/>
    <n v="107"/>
    <s v="_x0000_peopl"/>
  </r>
  <r>
    <x v="6"/>
    <n v="13.6853"/>
    <n v="-89.214200000000005"/>
    <n v="2"/>
    <n v="0"/>
    <n v="0"/>
    <n v="107"/>
    <s v="_x0000_peopl"/>
  </r>
  <r>
    <x v="6"/>
    <n v="13.6797"/>
    <n v="-89.196799999999996"/>
    <n v="5"/>
    <n v="0"/>
    <n v="0"/>
    <n v="107"/>
    <s v="_x0000_peopl"/>
  </r>
  <r>
    <x v="6"/>
    <n v="13.690799999999999"/>
    <n v="-89.234999999999999"/>
    <n v="5"/>
    <n v="0"/>
    <n v="0"/>
    <n v="107"/>
    <s v="_x0000_peopl"/>
  </r>
  <r>
    <x v="6"/>
    <n v="13.696400000000001"/>
    <n v="-89.171700000000001"/>
    <n v="4"/>
    <n v="0"/>
    <n v="0"/>
    <n v="107"/>
    <s v="_x0000_peopl"/>
  </r>
  <r>
    <x v="6"/>
    <n v="13.6884"/>
    <n v="-89.198400000000007"/>
    <n v="8"/>
    <n v="0"/>
    <n v="0"/>
    <n v="107"/>
    <s v="_x0000_peopl"/>
  </r>
  <r>
    <x v="6"/>
    <n v="13.688599999999999"/>
    <n v="-89.190299999999993"/>
    <n v="5"/>
    <n v="0"/>
    <n v="0"/>
    <n v="107"/>
    <s v="_x0000_peopl"/>
  </r>
  <r>
    <x v="6"/>
    <n v="13.6944"/>
    <n v="-89.183300000000003"/>
    <n v="7"/>
    <n v="0"/>
    <n v="0"/>
    <n v="107"/>
    <s v="_x0000_peopl"/>
  </r>
  <r>
    <x v="6"/>
    <n v="13.6897"/>
    <n v="-89.206199999999995"/>
    <n v="2"/>
    <n v="0"/>
    <n v="0"/>
    <n v="107"/>
    <s v="_x0000_peopl"/>
  </r>
  <r>
    <x v="6"/>
    <n v="13.686199999999999"/>
    <n v="-89.193899999999999"/>
    <n v="3"/>
    <n v="0"/>
    <n v="0"/>
    <n v="107"/>
    <s v="_x0000_peopl"/>
  </r>
  <r>
    <x v="6"/>
    <n v="13.674899999999999"/>
    <n v="-89.2517"/>
    <n v="1"/>
    <n v="0"/>
    <n v="0"/>
    <n v="107"/>
    <s v="_x0000_peopl"/>
  </r>
  <r>
    <x v="6"/>
    <n v="13.695499999999999"/>
    <n v="-89.174300000000002"/>
    <n v="4"/>
    <n v="0"/>
    <n v="0"/>
    <n v="107"/>
    <s v="_x0000_peopl"/>
  </r>
  <r>
    <x v="6"/>
    <n v="13.696099999999999"/>
    <n v="-89.172600000000003"/>
    <n v="3"/>
    <n v="0"/>
    <n v="0"/>
    <n v="107"/>
    <s v="_x0000_peopl"/>
  </r>
  <r>
    <x v="6"/>
    <n v="13.6904"/>
    <n v="-89.186899999999994"/>
    <n v="5"/>
    <n v="0"/>
    <n v="0"/>
    <n v="107"/>
    <s v="_x0000_peopl"/>
  </r>
  <r>
    <x v="6"/>
    <n v="13.691000000000001"/>
    <n v="-89.228800000000007"/>
    <n v="3"/>
    <n v="0"/>
    <n v="0"/>
    <n v="107"/>
    <s v="_x0000_peopl"/>
  </r>
  <r>
    <x v="6"/>
    <n v="13.6913"/>
    <n v="-89.232699999999994"/>
    <n v="2"/>
    <n v="0"/>
    <n v="0"/>
    <n v="107"/>
    <s v="_x0000_peopl"/>
  </r>
  <r>
    <x v="6"/>
    <n v="13.686500000000001"/>
    <n v="-89.201999999999998"/>
    <n v="3"/>
    <n v="0"/>
    <n v="0"/>
    <n v="107"/>
    <s v="_x0000_peopl"/>
  </r>
  <r>
    <x v="6"/>
    <n v="13.6883"/>
    <n v="-89.179900000000004"/>
    <n v="8"/>
    <n v="0"/>
    <n v="0"/>
    <n v="107"/>
    <s v="_x0000_peopl"/>
  </r>
  <r>
    <x v="6"/>
    <n v="13.688800000000001"/>
    <n v="-89.205299999999994"/>
    <n v="7"/>
    <n v="0"/>
    <n v="0"/>
    <n v="107"/>
    <s v="_x0000_peopl"/>
  </r>
  <r>
    <x v="6"/>
    <n v="13.6914"/>
    <n v="-89.228399999999993"/>
    <n v="4"/>
    <n v="0"/>
    <n v="0"/>
    <n v="107"/>
    <s v="_x0000_peopl"/>
  </r>
  <r>
    <x v="6"/>
    <n v="13.688499999999999"/>
    <n v="-89.189700000000002"/>
    <n v="6"/>
    <n v="0"/>
    <n v="0"/>
    <n v="107"/>
    <s v="_x0000_peopl"/>
  </r>
  <r>
    <x v="6"/>
    <n v="13.689500000000001"/>
    <n v="-89.206100000000006"/>
    <n v="8"/>
    <n v="0"/>
    <n v="0"/>
    <n v="107"/>
    <s v="_x0000_peopl"/>
  </r>
  <r>
    <x v="6"/>
    <n v="13.6899"/>
    <n v="-89.235399999999998"/>
    <n v="3"/>
    <n v="0"/>
    <n v="0"/>
    <n v="107"/>
    <s v="_x0000_peopl"/>
  </r>
  <r>
    <x v="6"/>
    <n v="13.6873"/>
    <n v="-89.198099999999997"/>
    <n v="1"/>
    <n v="0"/>
    <n v="0"/>
    <n v="107"/>
    <s v="_x0000_peopl"/>
  </r>
  <r>
    <x v="6"/>
    <n v="13.692299999999999"/>
    <n v="-89.224400000000003"/>
    <n v="9"/>
    <n v="0"/>
    <n v="0"/>
    <n v="107"/>
    <s v="_x0000_peopl"/>
  </r>
  <r>
    <x v="6"/>
    <n v="13.6746"/>
    <n v="-89.251099999999994"/>
    <n v="3"/>
    <n v="0"/>
    <n v="0"/>
    <n v="107"/>
    <s v="_x0000_peopl"/>
  </r>
  <r>
    <x v="6"/>
    <n v="13.6813"/>
    <n v="-89.197800000000001"/>
    <n v="4"/>
    <n v="0"/>
    <n v="0"/>
    <n v="107"/>
    <s v="_x0000_peopl"/>
  </r>
  <r>
    <x v="6"/>
    <n v="13.6875"/>
    <n v="-89.197100000000006"/>
    <n v="4"/>
    <n v="0"/>
    <n v="0"/>
    <n v="107"/>
    <s v="_x0000_peopl"/>
  </r>
  <r>
    <x v="6"/>
    <n v="13.6922"/>
    <n v="-89.193700000000007"/>
    <n v="5"/>
    <n v="0"/>
    <n v="0"/>
    <n v="107"/>
    <s v="_x0000_peopl"/>
  </r>
  <r>
    <x v="6"/>
    <n v="13.6896"/>
    <n v="-89.229100000000003"/>
    <n v="6"/>
    <n v="0"/>
    <n v="0"/>
    <n v="107"/>
    <s v="_x0000_peopl"/>
  </r>
  <r>
    <x v="6"/>
    <n v="13.690899999999999"/>
    <n v="-89.233599999999996"/>
    <n v="7"/>
    <n v="0"/>
    <n v="0"/>
    <n v="107"/>
    <s v="_x0000_peopl"/>
  </r>
  <r>
    <x v="6"/>
    <n v="13.6912"/>
    <n v="-89.233500000000006"/>
    <n v="6"/>
    <n v="0"/>
    <n v="0"/>
    <n v="107"/>
    <s v="_x0000_peopl"/>
  </r>
  <r>
    <x v="6"/>
    <n v="13.690899999999999"/>
    <n v="-89.188500000000005"/>
    <n v="1"/>
    <n v="0"/>
    <n v="0"/>
    <n v="107"/>
    <s v="_x0000_peopl"/>
  </r>
  <r>
    <x v="6"/>
    <n v="13.685"/>
    <n v="-89.213999999999999"/>
    <n v="9"/>
    <n v="0"/>
    <n v="0"/>
    <n v="107"/>
    <s v="_x0000_peopl"/>
  </r>
  <r>
    <x v="6"/>
    <n v="13.6753"/>
    <n v="-89.25"/>
    <n v="3"/>
    <n v="0"/>
    <n v="0"/>
    <n v="107"/>
    <s v="_x0000_peopl"/>
  </r>
  <r>
    <x v="6"/>
    <n v="13.688000000000001"/>
    <n v="-89.198700000000002"/>
    <n v="8"/>
    <n v="0"/>
    <n v="0"/>
    <n v="107"/>
    <s v="_x0000_peopl"/>
  </r>
  <r>
    <x v="6"/>
    <n v="13.690300000000001"/>
    <n v="-89.234800000000007"/>
    <n v="7"/>
    <n v="0"/>
    <n v="0"/>
    <n v="107"/>
    <s v="_x0000_peopl"/>
  </r>
  <r>
    <x v="6"/>
    <n v="13.692500000000001"/>
    <n v="-89.186599999999999"/>
    <n v="12"/>
    <n v="0"/>
    <n v="0"/>
    <n v="107"/>
    <s v="_x0000_peopl"/>
  </r>
  <r>
    <x v="6"/>
    <n v="13.692299999999999"/>
    <n v="-89.1751"/>
    <n v="3"/>
    <n v="0"/>
    <n v="0"/>
    <n v="107"/>
    <s v="_x0000_peopl"/>
  </r>
  <r>
    <x v="6"/>
    <n v="13.6919"/>
    <n v="-89.226900000000001"/>
    <n v="5"/>
    <n v="0"/>
    <n v="0"/>
    <n v="107"/>
    <s v="_x0000_peopl"/>
  </r>
  <r>
    <x v="6"/>
    <n v="13.6884"/>
    <n v="-89.229900000000001"/>
    <n v="1"/>
    <n v="0"/>
    <n v="0"/>
    <n v="107"/>
    <s v="_x0000_peopl"/>
  </r>
  <r>
    <x v="6"/>
    <n v="13.6911"/>
    <n v="-89.218900000000005"/>
    <n v="11"/>
    <n v="0"/>
    <n v="0"/>
    <n v="107"/>
    <s v="_x0000_peopl"/>
  </r>
  <r>
    <x v="6"/>
    <n v="13.6912"/>
    <n v="-89.233099999999993"/>
    <n v="4"/>
    <n v="0"/>
    <n v="0"/>
    <n v="107"/>
    <s v="_x0000_peopl"/>
  </r>
  <r>
    <x v="6"/>
    <n v="13.6943"/>
    <n v="-89.189099999999996"/>
    <n v="4"/>
    <n v="0"/>
    <n v="0"/>
    <n v="107"/>
    <s v="_x0000_peopl"/>
  </r>
  <r>
    <x v="6"/>
    <n v="13.6752"/>
    <n v="-89.248599999999996"/>
    <n v="6"/>
    <n v="0"/>
    <n v="0"/>
    <n v="107"/>
    <s v="_x0000_peopl"/>
  </r>
  <r>
    <x v="6"/>
    <n v="13.692500000000001"/>
    <n v="-89.223299999999995"/>
    <n v="2"/>
    <n v="0"/>
    <n v="0"/>
    <n v="107"/>
    <s v="_x0000_peopl"/>
  </r>
  <r>
    <x v="6"/>
    <n v="13.6851"/>
    <n v="-89.215299999999999"/>
    <n v="2"/>
    <n v="0"/>
    <n v="0"/>
    <n v="107"/>
    <s v="_x0000_peopl"/>
  </r>
  <r>
    <x v="6"/>
    <n v="13.6859"/>
    <n v="-89.212699999999998"/>
    <n v="5"/>
    <n v="0"/>
    <n v="0"/>
    <n v="107"/>
    <s v="_x0000_peopl"/>
  </r>
  <r>
    <x v="6"/>
    <n v="13.674099999999999"/>
    <n v="-89.202500000000001"/>
    <n v="4"/>
    <n v="0"/>
    <n v="0"/>
    <n v="107"/>
    <s v="_x0000_peopl"/>
  </r>
  <r>
    <x v="6"/>
    <n v="13.691000000000001"/>
    <n v="-89.2286"/>
    <n v="7"/>
    <n v="0"/>
    <n v="0"/>
    <n v="107"/>
    <s v="_x0000_peopl"/>
  </r>
  <r>
    <x v="6"/>
    <n v="13.689500000000001"/>
    <n v="-89.178600000000003"/>
    <n v="5"/>
    <n v="0"/>
    <n v="0"/>
    <n v="107"/>
    <s v="_x0000_peopl"/>
  </r>
  <r>
    <x v="6"/>
    <n v="13.677899999999999"/>
    <n v="-89.246300000000005"/>
    <n v="6"/>
    <n v="0"/>
    <n v="0"/>
    <n v="107"/>
    <s v="_x0000_peopl"/>
  </r>
  <r>
    <x v="6"/>
    <n v="13.6869"/>
    <n v="-89.194400000000002"/>
    <n v="11"/>
    <n v="0"/>
    <n v="0"/>
    <n v="107"/>
    <s v="_x0000_peopl"/>
  </r>
  <r>
    <x v="6"/>
    <n v="13.6882"/>
    <n v="-89.190299999999993"/>
    <n v="3"/>
    <n v="0"/>
    <n v="0"/>
    <n v="107"/>
    <s v="_x0000_peopl"/>
  </r>
  <r>
    <x v="6"/>
    <n v="13.690899999999999"/>
    <n v="-89.181200000000004"/>
    <n v="6"/>
    <n v="0"/>
    <n v="0"/>
    <n v="107"/>
    <s v="_x0000_peopl"/>
  </r>
  <r>
    <x v="6"/>
    <n v="13.690799999999999"/>
    <n v="-89.194500000000005"/>
    <n v="5"/>
    <n v="0"/>
    <n v="0"/>
    <n v="107"/>
    <s v="_x0000_peopl"/>
  </r>
  <r>
    <x v="6"/>
    <n v="13.687799999999999"/>
    <n v="-89.1815"/>
    <n v="9"/>
    <n v="0"/>
    <n v="0"/>
    <n v="107"/>
    <s v="_x0000_peopl"/>
  </r>
  <r>
    <x v="6"/>
    <n v="13.685"/>
    <n v="-89.201499999999996"/>
    <n v="6"/>
    <n v="0"/>
    <n v="0"/>
    <n v="107"/>
    <s v="_x0000_peopl"/>
  </r>
  <r>
    <x v="6"/>
    <n v="13.694599999999999"/>
    <n v="-89.174300000000002"/>
    <n v="7"/>
    <n v="0"/>
    <n v="0"/>
    <n v="107"/>
    <s v="_x0000_peopl"/>
  </r>
  <r>
    <x v="6"/>
    <n v="13.6904"/>
    <n v="-89.183800000000005"/>
    <n v="5"/>
    <n v="0"/>
    <n v="0"/>
    <n v="107"/>
    <s v="_x0000_peopl"/>
  </r>
  <r>
    <x v="6"/>
    <n v="13.692"/>
    <n v="-89.223399999999998"/>
    <n v="5"/>
    <n v="0"/>
    <n v="0"/>
    <n v="107"/>
    <s v="_x0000_peopl"/>
  </r>
  <r>
    <x v="6"/>
    <n v="13.690300000000001"/>
    <n v="-89.185100000000006"/>
    <n v="4"/>
    <n v="0"/>
    <n v="0"/>
    <n v="107"/>
    <s v="_x0000_peopl"/>
  </r>
  <r>
    <x v="6"/>
    <n v="13.6915"/>
    <n v="-89.2333"/>
    <n v="8"/>
    <n v="0"/>
    <n v="0"/>
    <n v="107"/>
    <s v="_x0000_peopl"/>
  </r>
  <r>
    <x v="6"/>
    <n v="13.6906"/>
    <n v="-89.183099999999996"/>
    <n v="5"/>
    <n v="0"/>
    <n v="0"/>
    <n v="107"/>
    <s v="_x0000_peopl"/>
  </r>
  <r>
    <x v="6"/>
    <n v="13.690300000000001"/>
    <n v="-89.181200000000004"/>
    <n v="3"/>
    <n v="0"/>
    <n v="0"/>
    <n v="107"/>
    <s v="_x0000_peopl"/>
  </r>
  <r>
    <x v="6"/>
    <n v="13.6769"/>
    <n v="-89.247200000000007"/>
    <n v="8"/>
    <n v="0"/>
    <n v="0"/>
    <n v="107"/>
    <s v="_x0000_peopl"/>
  </r>
  <r>
    <x v="6"/>
    <n v="13.6868"/>
    <n v="-89.181700000000006"/>
    <n v="7"/>
    <n v="0"/>
    <n v="0"/>
    <n v="107"/>
    <s v="_x0000_peopl"/>
  </r>
  <r>
    <x v="6"/>
    <n v="13.6942"/>
    <n v="-89.174499999999995"/>
    <n v="5"/>
    <n v="0"/>
    <n v="0"/>
    <n v="107"/>
    <s v="_x0000_peopl"/>
  </r>
  <r>
    <x v="6"/>
    <n v="13.692"/>
    <n v="-89.178600000000003"/>
    <n v="8"/>
    <n v="0"/>
    <n v="0"/>
    <n v="107"/>
    <s v="_x0000_peopl"/>
  </r>
  <r>
    <x v="6"/>
    <n v="13.686999999999999"/>
    <n v="-89.201999999999998"/>
    <n v="5"/>
    <n v="0"/>
    <n v="0"/>
    <n v="107"/>
    <s v="_x0000_peopl"/>
  </r>
  <r>
    <x v="6"/>
    <n v="13.6942"/>
    <n v="-89.190200000000004"/>
    <n v="5"/>
    <n v="0"/>
    <n v="0"/>
    <n v="107"/>
    <s v="_x0000_peopl"/>
  </r>
  <r>
    <x v="6"/>
    <n v="13.6897"/>
    <n v="-89.185699999999997"/>
    <n v="5"/>
    <n v="0"/>
    <n v="0"/>
    <n v="107"/>
    <s v="_x0000_peopl"/>
  </r>
  <r>
    <x v="6"/>
    <n v="13.6853"/>
    <n v="-89.211799999999997"/>
    <n v="6"/>
    <n v="0"/>
    <n v="0"/>
    <n v="107"/>
    <s v="_x0000_peopl"/>
  </r>
  <r>
    <x v="6"/>
    <n v="13.6904"/>
    <n v="-89.177599999999998"/>
    <n v="4"/>
    <n v="0"/>
    <n v="0"/>
    <n v="107"/>
    <s v="_x0000_peopl"/>
  </r>
  <r>
    <x v="6"/>
    <n v="13.6752"/>
    <n v="-89.250299999999996"/>
    <n v="6"/>
    <n v="0"/>
    <n v="0"/>
    <n v="107"/>
    <s v="_x0000_peopl"/>
  </r>
  <r>
    <x v="6"/>
    <n v="13.688800000000001"/>
    <n v="-89.194800000000001"/>
    <n v="3"/>
    <n v="0"/>
    <n v="0"/>
    <n v="107"/>
    <s v="_x0000_peopl"/>
  </r>
  <r>
    <x v="6"/>
    <n v="13.687200000000001"/>
    <n v="-89.211299999999994"/>
    <n v="4"/>
    <n v="0"/>
    <n v="0"/>
    <n v="107"/>
    <s v="_x0000_peopl"/>
  </r>
  <r>
    <x v="6"/>
    <n v="13.6907"/>
    <n v="-89.187299999999993"/>
    <n v="6"/>
    <n v="0"/>
    <n v="0"/>
    <n v="107"/>
    <s v="_x0000_peopl"/>
  </r>
  <r>
    <x v="6"/>
    <n v="13.6883"/>
    <n v="-89.193799999999996"/>
    <n v="6"/>
    <n v="0"/>
    <n v="0"/>
    <n v="107"/>
    <s v="_x0000_peopl"/>
  </r>
  <r>
    <x v="6"/>
    <n v="13.6913"/>
    <n v="-89.179400000000001"/>
    <n v="2"/>
    <n v="0"/>
    <n v="0"/>
    <n v="107"/>
    <s v="_x0000_peopl"/>
  </r>
  <r>
    <x v="6"/>
    <n v="13.6858"/>
    <n v="-89.193899999999999"/>
    <n v="2"/>
    <n v="0"/>
    <n v="0"/>
    <n v="107"/>
    <s v="_x0000_peopl"/>
  </r>
  <r>
    <x v="6"/>
    <n v="13.6892"/>
    <n v="-89.235699999999994"/>
    <n v="5"/>
    <n v="0"/>
    <n v="0"/>
    <n v="107"/>
    <s v="_x0000_peopl"/>
  </r>
  <r>
    <x v="6"/>
    <n v="13.692500000000001"/>
    <n v="-89.174899999999994"/>
    <n v="8"/>
    <n v="0"/>
    <n v="0"/>
    <n v="107"/>
    <s v="_x0000_peopl"/>
  </r>
  <r>
    <x v="6"/>
    <n v="13.692299999999999"/>
    <n v="-89.175299999999993"/>
    <n v="4"/>
    <n v="0"/>
    <n v="0"/>
    <n v="107"/>
    <s v="_x0000_peopl"/>
  </r>
  <r>
    <x v="6"/>
    <n v="13.6877"/>
    <n v="-89.194599999999994"/>
    <n v="6"/>
    <n v="0"/>
    <n v="0"/>
    <n v="107"/>
    <s v="_x0000_peopl"/>
  </r>
  <r>
    <x v="6"/>
    <n v="13.6921"/>
    <n v="-89.183199999999999"/>
    <n v="6"/>
    <n v="0"/>
    <n v="0"/>
    <n v="107"/>
    <s v="_x0000_peopl"/>
  </r>
  <r>
    <x v="6"/>
    <n v="13.690099999999999"/>
    <n v="-89.185000000000002"/>
    <n v="3"/>
    <n v="0"/>
    <n v="0"/>
    <n v="107"/>
    <s v="_x0000_peopl"/>
  </r>
  <r>
    <x v="6"/>
    <n v="13.690899999999999"/>
    <n v="-89.185100000000006"/>
    <n v="6"/>
    <n v="0"/>
    <n v="0"/>
    <n v="107"/>
    <s v="_x0000_peopl"/>
  </r>
  <r>
    <x v="6"/>
    <n v="13.690899999999999"/>
    <n v="-89.190299999999993"/>
    <n v="6"/>
    <n v="0"/>
    <n v="0"/>
    <n v="107"/>
    <s v="_x0000_peopl"/>
  </r>
  <r>
    <x v="6"/>
    <n v="13.691800000000001"/>
    <n v="-89.186499999999995"/>
    <n v="8"/>
    <n v="0"/>
    <n v="0"/>
    <n v="107"/>
    <s v="_x0000_peopl"/>
  </r>
  <r>
    <x v="6"/>
    <n v="13.681100000000001"/>
    <n v="-89.195800000000006"/>
    <n v="8"/>
    <n v="0"/>
    <n v="0"/>
    <n v="107"/>
    <s v="_x0000_peopl"/>
  </r>
  <r>
    <x v="6"/>
    <n v="13.6874"/>
    <n v="-89.195700000000002"/>
    <n v="4"/>
    <n v="0"/>
    <n v="0"/>
    <n v="107"/>
    <s v="_x0000_peopl"/>
  </r>
  <r>
    <x v="6"/>
    <n v="13.686"/>
    <n v="-89.198499999999996"/>
    <n v="4"/>
    <n v="0"/>
    <n v="0"/>
    <n v="107"/>
    <s v="_x0000_peopl"/>
  </r>
  <r>
    <x v="6"/>
    <n v="13.692399999999999"/>
    <n v="-89.174300000000002"/>
    <n v="5"/>
    <n v="0"/>
    <n v="0"/>
    <n v="107"/>
    <s v="_x0000_peopl"/>
  </r>
  <r>
    <x v="6"/>
    <n v="13.6752"/>
    <n v="-89.250299999999996"/>
    <n v="6"/>
    <n v="0"/>
    <n v="0"/>
    <n v="107"/>
    <s v="_x0000_peopl"/>
  </r>
  <r>
    <x v="6"/>
    <n v="13.6854"/>
    <n v="-89.210899999999995"/>
    <n v="7"/>
    <n v="0"/>
    <n v="0"/>
    <n v="107"/>
    <s v="_x0000_peopl"/>
  </r>
  <r>
    <x v="6"/>
    <n v="13.677199999999999"/>
    <n v="-89.247500000000002"/>
    <n v="2"/>
    <n v="0"/>
    <n v="0"/>
    <n v="107"/>
    <s v="_x0000_peopl"/>
  </r>
  <r>
    <x v="6"/>
    <n v="13.6905"/>
    <n v="-89.234499999999997"/>
    <n v="8"/>
    <n v="0"/>
    <n v="0"/>
    <n v="107"/>
    <s v="_x0000_peopl"/>
  </r>
  <r>
    <x v="6"/>
    <n v="13.685700000000001"/>
    <n v="-89.194000000000003"/>
    <n v="3"/>
    <n v="0"/>
    <n v="0"/>
    <n v="107"/>
    <s v="_x0000_peopl"/>
  </r>
  <r>
    <x v="6"/>
    <n v="13.6905"/>
    <n v="-89.1798"/>
    <n v="6"/>
    <n v="0"/>
    <n v="0"/>
    <n v="107"/>
    <s v="_x0000_peopl"/>
  </r>
  <r>
    <x v="6"/>
    <n v="13.691800000000001"/>
    <n v="-89.225300000000004"/>
    <n v="4"/>
    <n v="0"/>
    <n v="0"/>
    <n v="107"/>
    <s v="_x0000_peopl"/>
  </r>
  <r>
    <x v="6"/>
    <n v="13.6914"/>
    <n v="-89.220399999999998"/>
    <n v="6"/>
    <n v="0"/>
    <n v="0"/>
    <n v="107"/>
    <s v="_x0000_peopl"/>
  </r>
  <r>
    <x v="6"/>
    <n v="13.6873"/>
    <n v="-89.210999999999999"/>
    <n v="4"/>
    <n v="0"/>
    <n v="0"/>
    <n v="107"/>
    <s v="_x0000_peopl"/>
  </r>
  <r>
    <x v="6"/>
    <n v="13.692500000000001"/>
    <n v="-89.224299999999999"/>
    <n v="6"/>
    <n v="0"/>
    <n v="0"/>
    <n v="107"/>
    <s v="_x0000_peopl"/>
  </r>
  <r>
    <x v="6"/>
    <n v="13.694800000000001"/>
    <n v="-89.1828"/>
    <n v="4"/>
    <n v="0"/>
    <n v="0"/>
    <n v="107"/>
    <s v="_x0000_peopl"/>
  </r>
  <r>
    <x v="6"/>
    <n v="13.693300000000001"/>
    <n v="-89.185500000000005"/>
    <n v="5"/>
    <n v="0"/>
    <n v="0"/>
    <n v="107"/>
    <s v="_x0000_peopl"/>
  </r>
  <r>
    <x v="6"/>
    <n v="13.688000000000001"/>
    <n v="-89.182699999999997"/>
    <n v="9"/>
    <n v="0"/>
    <n v="0"/>
    <n v="107"/>
    <s v="_x0000_peopl"/>
  </r>
  <r>
    <x v="6"/>
    <n v="13.684900000000001"/>
    <n v="-89.212999999999994"/>
    <n v="6"/>
    <n v="0"/>
    <n v="0"/>
    <n v="107"/>
    <s v="_x0000_peopl"/>
  </r>
  <r>
    <x v="6"/>
    <n v="13.685499999999999"/>
    <n v="-89.201400000000007"/>
    <n v="4"/>
    <n v="0"/>
    <n v="0"/>
    <n v="107"/>
    <s v="_x0000_peopl"/>
  </r>
  <r>
    <x v="6"/>
    <n v="13.690799999999999"/>
    <n v="-89.187600000000003"/>
    <n v="6"/>
    <n v="0"/>
    <n v="0"/>
    <n v="107"/>
    <s v="_x0000_peopl"/>
  </r>
  <r>
    <x v="6"/>
    <n v="13.6904"/>
    <n v="-89.183300000000003"/>
    <n v="7"/>
    <n v="0"/>
    <n v="0"/>
    <n v="107"/>
    <s v="_x0000_peopl"/>
  </r>
  <r>
    <x v="6"/>
    <n v="13.6896"/>
    <n v="-89.194100000000006"/>
    <n v="7"/>
    <n v="0"/>
    <n v="0"/>
    <n v="107"/>
    <s v="_x0000_peopl"/>
  </r>
  <r>
    <x v="6"/>
    <n v="13.6967"/>
    <n v="-89.171300000000002"/>
    <n v="3"/>
    <n v="0"/>
    <n v="0"/>
    <n v="107"/>
    <s v="_x0000_peopl"/>
  </r>
  <r>
    <x v="6"/>
    <n v="13.6899"/>
    <n v="-89.1935"/>
    <n v="4"/>
    <n v="0"/>
    <n v="0"/>
    <n v="107"/>
    <s v="_x0000_peopl"/>
  </r>
  <r>
    <x v="6"/>
    <n v="13.6907"/>
    <n v="-89.233500000000006"/>
    <n v="2"/>
    <n v="0"/>
    <n v="0"/>
    <n v="107"/>
    <s v="_x0000_peopl"/>
  </r>
  <r>
    <x v="6"/>
    <n v="13.6874"/>
    <n v="-89.1828"/>
    <n v="6"/>
    <n v="0"/>
    <n v="0"/>
    <n v="107"/>
    <s v="_x0000_peopl"/>
  </r>
  <r>
    <x v="6"/>
    <n v="13.6777"/>
    <n v="-89.247399999999999"/>
    <n v="6"/>
    <n v="0"/>
    <n v="0"/>
    <n v="107"/>
    <s v="_x0000_peopl"/>
  </r>
  <r>
    <x v="6"/>
    <n v="13.69"/>
    <n v="-89.186999999999998"/>
    <n v="7"/>
    <n v="0"/>
    <n v="0"/>
    <n v="107"/>
    <s v="_x0000_peopl"/>
  </r>
  <r>
    <x v="6"/>
    <n v="13.6768"/>
    <n v="-89.247299999999996"/>
    <n v="7"/>
    <n v="0"/>
    <n v="0"/>
    <n v="107"/>
    <s v="_x0000_peopl"/>
  </r>
  <r>
    <x v="6"/>
    <n v="13.686400000000001"/>
    <n v="-89.215400000000002"/>
    <n v="3"/>
    <n v="0"/>
    <n v="0"/>
    <n v="107"/>
    <s v="_x0000_peopl"/>
  </r>
  <r>
    <x v="6"/>
    <n v="13.691000000000001"/>
    <n v="-89.189300000000003"/>
    <n v="3"/>
    <n v="0"/>
    <n v="0"/>
    <n v="107"/>
    <s v="_x0000_peopl"/>
  </r>
  <r>
    <x v="6"/>
    <n v="13.689299999999999"/>
    <n v="-89.207800000000006"/>
    <n v="1"/>
    <n v="0"/>
    <n v="0"/>
    <n v="107"/>
    <s v="_x0000_peopl"/>
  </r>
  <r>
    <x v="6"/>
    <n v="13.6876"/>
    <n v="-89.194999999999993"/>
    <n v="6"/>
    <n v="0"/>
    <n v="0"/>
    <n v="107"/>
    <s v="_x0000_peopl"/>
  </r>
  <r>
    <x v="6"/>
    <n v="13.690300000000001"/>
    <n v="-89.195700000000002"/>
    <n v="5"/>
    <n v="0"/>
    <n v="0"/>
    <n v="107"/>
    <s v="_x0000_peopl"/>
  </r>
  <r>
    <x v="6"/>
    <n v="13.674099999999999"/>
    <n v="-89.252300000000005"/>
    <n v="4"/>
    <n v="0"/>
    <n v="0"/>
    <n v="107"/>
    <s v="_x0000_peopl"/>
  </r>
  <r>
    <x v="6"/>
    <n v="13.6866"/>
    <n v="-89.212500000000006"/>
    <n v="2"/>
    <n v="0"/>
    <n v="0"/>
    <n v="107"/>
    <s v="_x0000_peopl"/>
  </r>
  <r>
    <x v="6"/>
    <n v="13.688499999999999"/>
    <n v="-89.216300000000004"/>
    <n v="14"/>
    <n v="0"/>
    <n v="0"/>
    <n v="107"/>
    <s v="_x0000_peopl"/>
  </r>
  <r>
    <x v="6"/>
    <n v="13.692399999999999"/>
    <n v="-89.176599999999993"/>
    <n v="3"/>
    <n v="0"/>
    <n v="0"/>
    <n v="107"/>
    <s v="_x0000_peopl"/>
  </r>
  <r>
    <x v="6"/>
    <n v="13.69"/>
    <n v="-89.235299999999995"/>
    <n v="2"/>
    <n v="0"/>
    <n v="0"/>
    <n v="107"/>
    <s v="_x0000_peopl"/>
  </r>
  <r>
    <x v="6"/>
    <n v="13.6912"/>
    <n v="-89.2346"/>
    <n v="7"/>
    <n v="0"/>
    <n v="0"/>
    <n v="107"/>
    <s v="_x0000_peopl"/>
  </r>
  <r>
    <x v="6"/>
    <n v="13.686400000000001"/>
    <n v="-89.193200000000004"/>
    <n v="4"/>
    <n v="0"/>
    <n v="0"/>
    <n v="107"/>
    <s v="_x0000_peopl"/>
  </r>
  <r>
    <x v="6"/>
    <n v="13.6875"/>
    <n v="-89.197199999999995"/>
    <n v="4"/>
    <n v="0"/>
    <n v="0"/>
    <n v="107"/>
    <s v="_x0000_peopl"/>
  </r>
  <r>
    <x v="6"/>
    <n v="13.692"/>
    <n v="-89.185900000000004"/>
    <n v="3"/>
    <n v="0"/>
    <n v="0"/>
    <n v="107"/>
    <s v="_x0000_peopl"/>
  </r>
  <r>
    <x v="6"/>
    <n v="13.696300000000001"/>
    <n v="-89.172799999999995"/>
    <n v="7"/>
    <n v="0"/>
    <n v="0"/>
    <n v="107"/>
    <s v="_x0000_peopl"/>
  </r>
  <r>
    <x v="6"/>
    <n v="13.673"/>
    <n v="-89.204400000000007"/>
    <n v="3"/>
    <n v="0"/>
    <n v="0"/>
    <n v="107"/>
    <s v="_x0000_peopl"/>
  </r>
  <r>
    <x v="6"/>
    <n v="13.6942"/>
    <n v="-89.174499999999995"/>
    <n v="9"/>
    <n v="0"/>
    <n v="0"/>
    <n v="107"/>
    <s v="_x0000_peopl"/>
  </r>
  <r>
    <x v="6"/>
    <n v="13.6751"/>
    <n v="-89.251900000000006"/>
    <n v="7"/>
    <n v="0"/>
    <n v="0"/>
    <n v="107"/>
    <s v="_x0000_peopl"/>
  </r>
  <r>
    <x v="6"/>
    <n v="13.692399999999999"/>
    <n v="-89.224599999999995"/>
    <n v="5"/>
    <n v="0"/>
    <n v="0"/>
    <n v="107"/>
    <s v="_x0000_peopl"/>
  </r>
  <r>
    <x v="6"/>
    <n v="13.688499999999999"/>
    <n v="-89.204099999999997"/>
    <n v="7"/>
    <n v="0"/>
    <n v="0"/>
    <n v="107"/>
    <s v="_x0000_peopl"/>
  </r>
  <r>
    <x v="6"/>
    <n v="13.6934"/>
    <n v="-89.188699999999997"/>
    <n v="6"/>
    <n v="0"/>
    <n v="0"/>
    <n v="107"/>
    <s v="_x0000_peopl"/>
  </r>
  <r>
    <x v="6"/>
    <n v="13.6858"/>
    <n v="-89.215500000000006"/>
    <n v="8"/>
    <n v="0"/>
    <n v="0"/>
    <n v="107"/>
    <s v="_x0000_peopl"/>
  </r>
  <r>
    <x v="6"/>
    <n v="13.693099999999999"/>
    <n v="-89.189700000000002"/>
    <n v="4"/>
    <n v="0"/>
    <n v="0"/>
    <n v="107"/>
    <s v="_x0000_peopl"/>
  </r>
  <r>
    <x v="6"/>
    <n v="13.693099999999999"/>
    <n v="-89.177099999999996"/>
    <n v="3"/>
    <n v="0"/>
    <n v="0"/>
    <n v="107"/>
    <s v="_x0000_peopl"/>
  </r>
  <r>
    <x v="6"/>
    <n v="13.6897"/>
    <n v="-89.177400000000006"/>
    <n v="8"/>
    <n v="0"/>
    <n v="0"/>
    <n v="107"/>
    <s v="_x0000_peopl"/>
  </r>
  <r>
    <x v="6"/>
    <n v="13.6868"/>
    <n v="-89.192800000000005"/>
    <n v="4"/>
    <n v="0"/>
    <n v="0"/>
    <n v="107"/>
    <s v="_x0000_peopl"/>
  </r>
  <r>
    <x v="6"/>
    <n v="13.689399999999999"/>
    <n v="-89.184600000000003"/>
    <n v="6"/>
    <n v="0"/>
    <n v="0"/>
    <n v="107"/>
    <s v="_x0000_peopl"/>
  </r>
  <r>
    <x v="6"/>
    <n v="13.693300000000001"/>
    <n v="-89.178600000000003"/>
    <n v="1"/>
    <n v="0"/>
    <n v="0"/>
    <n v="107"/>
    <s v="_x0000_peopl"/>
  </r>
  <r>
    <x v="6"/>
    <n v="13.677"/>
    <n v="-89.247600000000006"/>
    <n v="1"/>
    <n v="0"/>
    <n v="0"/>
    <n v="107"/>
    <s v="_x0000_peopl"/>
  </r>
  <r>
    <x v="6"/>
    <n v="13.6782"/>
    <n v="-89.196299999999994"/>
    <n v="4"/>
    <n v="0"/>
    <n v="0"/>
    <n v="107"/>
    <s v="_x0000_peopl"/>
  </r>
  <r>
    <x v="6"/>
    <n v="13.6896"/>
    <n v="-89.235799999999998"/>
    <n v="5"/>
    <n v="0"/>
    <n v="0"/>
    <n v="107"/>
    <s v="_x0000_peopl"/>
  </r>
  <r>
    <x v="6"/>
    <n v="13.6875"/>
    <n v="-89.194400000000002"/>
    <n v="9"/>
    <n v="0"/>
    <n v="0"/>
    <n v="107"/>
    <s v="_x0000_peopl"/>
  </r>
  <r>
    <x v="6"/>
    <n v="13.675000000000001"/>
    <n v="-89.251800000000003"/>
    <n v="5"/>
    <n v="0"/>
    <n v="0"/>
    <n v="107"/>
    <s v="_x0000_peopl"/>
  </r>
  <r>
    <x v="6"/>
    <n v="13.6874"/>
    <n v="-89.179900000000004"/>
    <n v="5"/>
    <n v="0"/>
    <n v="0"/>
    <n v="107"/>
    <s v="_x0000_peopl"/>
  </r>
  <r>
    <x v="6"/>
    <n v="13.688499999999999"/>
    <n v="-89.204099999999997"/>
    <n v="8"/>
    <n v="0"/>
    <n v="0"/>
    <n v="107"/>
    <s v="_x0000_peopl"/>
  </r>
  <r>
    <x v="6"/>
    <n v="13.6892"/>
    <n v="-89.1905"/>
    <n v="5"/>
    <n v="0"/>
    <n v="0"/>
    <n v="107"/>
    <s v="_x0000_peopl"/>
  </r>
  <r>
    <x v="6"/>
    <n v="13.675000000000001"/>
    <n v="-89.202399999999997"/>
    <n v="6"/>
    <n v="0"/>
    <n v="0"/>
    <n v="107"/>
    <s v="_x0000_peopl"/>
  </r>
  <r>
    <x v="6"/>
    <n v="13.696"/>
    <n v="-89.172700000000006"/>
    <n v="5"/>
    <n v="0"/>
    <n v="0"/>
    <n v="107"/>
    <s v="_x0000_peopl"/>
  </r>
  <r>
    <x v="6"/>
    <n v="13.695"/>
    <n v="-89.1751"/>
    <n v="5"/>
    <n v="0"/>
    <n v="0"/>
    <n v="107"/>
    <s v="_x0000_peopl"/>
  </r>
  <r>
    <x v="6"/>
    <n v="13.675000000000001"/>
    <n v="-89.252099999999999"/>
    <n v="1"/>
    <n v="0"/>
    <n v="0"/>
    <n v="107"/>
    <s v="_x0000_peopl"/>
  </r>
  <r>
    <x v="6"/>
    <n v="13.692600000000001"/>
    <n v="-89.183899999999994"/>
    <n v="8"/>
    <n v="0"/>
    <n v="0"/>
    <n v="107"/>
    <s v="_x0000_peopl"/>
  </r>
  <r>
    <x v="6"/>
    <n v="13.6914"/>
    <n v="-89.225999999999999"/>
    <n v="12"/>
    <n v="0"/>
    <n v="0"/>
    <n v="107"/>
    <s v="_x0000_peopl"/>
  </r>
  <r>
    <x v="6"/>
    <n v="13.697100000000001"/>
    <n v="-89.171099999999996"/>
    <n v="7"/>
    <n v="0"/>
    <n v="0"/>
    <n v="107"/>
    <s v="_x0000_peopl"/>
  </r>
  <r>
    <x v="6"/>
    <n v="13.6889"/>
    <n v="-89.229100000000003"/>
    <n v="6"/>
    <n v="0"/>
    <n v="0"/>
    <n v="107"/>
    <s v="_x0000_peopl"/>
  </r>
  <r>
    <x v="6"/>
    <n v="13.6874"/>
    <n v="-89.182699999999997"/>
    <n v="4"/>
    <n v="0"/>
    <n v="0"/>
    <n v="107"/>
    <s v="_x0000_peopl"/>
  </r>
  <r>
    <x v="6"/>
    <n v="13.6935"/>
    <n v="-89.177000000000007"/>
    <n v="1"/>
    <n v="0"/>
    <n v="0"/>
    <n v="107"/>
    <s v="_x0000_peopl"/>
  </r>
  <r>
    <x v="6"/>
    <n v="13.691800000000001"/>
    <n v="-89.221199999999996"/>
    <n v="3"/>
    <n v="0"/>
    <n v="0"/>
    <n v="107"/>
    <s v="_x0000_peopl"/>
  </r>
  <r>
    <x v="6"/>
    <n v="13.6754"/>
    <n v="-89.249899999999997"/>
    <n v="4"/>
    <n v="0"/>
    <n v="0"/>
    <n v="107"/>
    <s v="_x0000_peopl"/>
  </r>
  <r>
    <x v="6"/>
    <n v="13.6942"/>
    <n v="-89.176299999999998"/>
    <n v="2"/>
    <n v="0"/>
    <n v="0"/>
    <n v="107"/>
    <s v="_x0000_peopl"/>
  </r>
  <r>
    <x v="6"/>
    <n v="13.6892"/>
    <n v="-89.177499999999995"/>
    <n v="2"/>
    <n v="0"/>
    <n v="0"/>
    <n v="107"/>
    <s v="_x0000_peopl"/>
  </r>
  <r>
    <x v="6"/>
    <n v="13.6905"/>
    <n v="-89.195700000000002"/>
    <n v="3"/>
    <n v="0"/>
    <n v="0"/>
    <n v="107"/>
    <s v="_x0000_peopl"/>
  </r>
  <r>
    <x v="6"/>
    <n v="13.691700000000001"/>
    <n v="-89.233999999999995"/>
    <n v="3"/>
    <n v="0"/>
    <n v="0"/>
    <n v="107"/>
    <s v="_x0000_peopl"/>
  </r>
  <r>
    <x v="6"/>
    <n v="13.6812"/>
    <n v="-89.195499999999996"/>
    <n v="6"/>
    <n v="0"/>
    <n v="0"/>
    <n v="107"/>
    <s v="_x0000_peopl"/>
  </r>
  <r>
    <x v="6"/>
    <n v="13.695399999999999"/>
    <n v="-89.172899999999998"/>
    <n v="3"/>
    <n v="0"/>
    <n v="0"/>
    <n v="107"/>
    <s v="_x0000_peopl"/>
  </r>
  <r>
    <x v="6"/>
    <n v="13.6952"/>
    <n v="-89.174499999999995"/>
    <n v="7"/>
    <n v="0"/>
    <n v="0"/>
    <n v="107"/>
    <s v="_x0000_peopl"/>
  </r>
  <r>
    <x v="6"/>
    <n v="13.6884"/>
    <n v="-89.2042"/>
    <n v="2"/>
    <n v="0"/>
    <n v="0"/>
    <n v="107"/>
    <s v="_x0000_peopl"/>
  </r>
  <r>
    <x v="6"/>
    <n v="13.6851"/>
    <n v="-89.2029"/>
    <n v="7"/>
    <n v="0"/>
    <n v="0"/>
    <n v="107"/>
    <s v="_x0000_peopl"/>
  </r>
  <r>
    <x v="6"/>
    <n v="13.69"/>
    <n v="-89.183700000000002"/>
    <n v="7"/>
    <n v="0"/>
    <n v="0"/>
    <n v="107"/>
    <s v="_x0000_peopl"/>
  </r>
  <r>
    <x v="6"/>
    <n v="13.6866"/>
    <n v="-89.216200000000001"/>
    <n v="7"/>
    <n v="0"/>
    <n v="0"/>
    <n v="107"/>
    <s v="_x0000_peopl"/>
  </r>
  <r>
    <x v="6"/>
    <n v="13.6747"/>
    <n v="-89.199700000000007"/>
    <n v="4"/>
    <n v="0"/>
    <n v="0"/>
    <n v="107"/>
    <s v="_x0000_peopl"/>
  </r>
  <r>
    <x v="6"/>
    <n v="13.690200000000001"/>
    <n v="-89.184200000000004"/>
    <n v="4"/>
    <n v="0"/>
    <n v="0"/>
    <n v="107"/>
    <s v="_x0000_peopl"/>
  </r>
  <r>
    <x v="6"/>
    <n v="13.6906"/>
    <n v="-89.186899999999994"/>
    <n v="11"/>
    <n v="0"/>
    <n v="0"/>
    <n v="107"/>
    <s v="_x0000_peopl"/>
  </r>
  <r>
    <x v="6"/>
    <n v="13.6945"/>
    <n v="-89.183199999999999"/>
    <n v="8"/>
    <n v="0"/>
    <n v="0"/>
    <n v="107"/>
    <s v="_x0000_peopl"/>
  </r>
  <r>
    <x v="6"/>
    <n v="13.6799"/>
    <n v="-89.195099999999996"/>
    <n v="2"/>
    <n v="0"/>
    <n v="0"/>
    <n v="107"/>
    <s v="_x0000_peopl"/>
  </r>
  <r>
    <x v="6"/>
    <n v="13.674899999999999"/>
    <n v="-89.250100000000003"/>
    <n v="5"/>
    <n v="0"/>
    <n v="0"/>
    <n v="107"/>
    <s v="_x0000_peopl"/>
  </r>
  <r>
    <x v="6"/>
    <n v="13.692500000000001"/>
    <n v="-89.223200000000006"/>
    <n v="4"/>
    <n v="0"/>
    <n v="0"/>
    <n v="107"/>
    <s v="_x0000_peopl"/>
  </r>
  <r>
    <x v="6"/>
    <n v="13.6877"/>
    <n v="-89.181700000000006"/>
    <n v="8"/>
    <n v="0"/>
    <n v="0"/>
    <n v="107"/>
    <s v="_x0000_peopl"/>
  </r>
  <r>
    <x v="6"/>
    <n v="13.6915"/>
    <n v="-89.233000000000004"/>
    <n v="3"/>
    <n v="0"/>
    <n v="0"/>
    <n v="107"/>
    <s v="_x0000_peopl"/>
  </r>
  <r>
    <x v="6"/>
    <n v="13.689399999999999"/>
    <n v="-89.208100000000002"/>
    <n v="2"/>
    <n v="0"/>
    <n v="0"/>
    <n v="107"/>
    <s v="_x0000_peopl"/>
  </r>
  <r>
    <x v="6"/>
    <n v="13.6747"/>
    <n v="-89.252200000000002"/>
    <n v="6"/>
    <n v="0"/>
    <n v="0"/>
    <n v="107"/>
    <s v="_x0000_peopl"/>
  </r>
  <r>
    <x v="6"/>
    <n v="13.690300000000001"/>
    <n v="-89.228399999999993"/>
    <n v="5"/>
    <n v="0"/>
    <n v="0"/>
    <n v="107"/>
    <s v="_x0000_peopl"/>
  </r>
  <r>
    <x v="6"/>
    <n v="13.6777"/>
    <n v="-89.245900000000006"/>
    <n v="3"/>
    <n v="0"/>
    <n v="0"/>
    <n v="107"/>
    <s v="_x0000_peopl"/>
  </r>
  <r>
    <x v="6"/>
    <n v="13.6912"/>
    <n v="-89.219399999999993"/>
    <n v="7"/>
    <n v="0"/>
    <n v="0"/>
    <n v="107"/>
    <s v="_x0000_peopl"/>
  </r>
  <r>
    <x v="6"/>
    <n v="13.6884"/>
    <n v="-89.212000000000003"/>
    <n v="3"/>
    <n v="0"/>
    <n v="0"/>
    <n v="107"/>
    <s v="_x0000_peopl"/>
  </r>
  <r>
    <x v="6"/>
    <n v="13.6911"/>
    <n v="-89.229100000000003"/>
    <n v="1"/>
    <n v="0"/>
    <n v="0"/>
    <n v="107"/>
    <s v="_x0000_peopl"/>
  </r>
  <r>
    <x v="6"/>
    <n v="13.6942"/>
    <n v="-89.190200000000004"/>
    <n v="1"/>
    <n v="0"/>
    <n v="0"/>
    <n v="107"/>
    <s v="_x0000_peopl"/>
  </r>
  <r>
    <x v="6"/>
    <n v="13.674799999999999"/>
    <n v="-89.249799999999993"/>
    <n v="1"/>
    <n v="0"/>
    <n v="0"/>
    <n v="107"/>
    <s v="_x0000_peopl"/>
  </r>
  <r>
    <x v="6"/>
    <n v="13.6898"/>
    <n v="-89.194000000000003"/>
    <n v="7"/>
    <n v="0"/>
    <n v="0"/>
    <n v="107"/>
    <s v="_x0000_peopl"/>
  </r>
  <r>
    <x v="6"/>
    <n v="13.690799999999999"/>
    <n v="-89.234999999999999"/>
    <n v="5"/>
    <n v="0"/>
    <n v="0"/>
    <n v="107"/>
    <s v="_x0000_peopl"/>
  </r>
  <r>
    <x v="6"/>
    <n v="13.6881"/>
    <n v="-89.180099999999996"/>
    <n v="6"/>
    <n v="0"/>
    <n v="0"/>
    <n v="107"/>
    <s v="_x0000_peopl"/>
  </r>
  <r>
    <x v="6"/>
    <n v="13.6739"/>
    <n v="-89.202699999999993"/>
    <n v="3"/>
    <n v="0"/>
    <n v="0"/>
    <n v="107"/>
    <s v="_x0000_peopl"/>
  </r>
  <r>
    <x v="6"/>
    <n v="13.679500000000001"/>
    <n v="-89.197299999999998"/>
    <n v="7"/>
    <n v="0"/>
    <n v="0"/>
    <n v="107"/>
    <s v="_x0000_peopl"/>
  </r>
  <r>
    <x v="6"/>
    <n v="13.6899"/>
    <n v="-89.179400000000001"/>
    <n v="6"/>
    <n v="0"/>
    <n v="0"/>
    <n v="107"/>
    <s v="_x0000_peopl"/>
  </r>
  <r>
    <x v="6"/>
    <n v="13.6958"/>
    <n v="-89.173400000000001"/>
    <n v="6"/>
    <n v="0"/>
    <n v="0"/>
    <n v="107"/>
    <s v="_x0000_peopl"/>
  </r>
  <r>
    <x v="6"/>
    <n v="13.6881"/>
    <n v="-89.198700000000002"/>
    <n v="4"/>
    <n v="0"/>
    <n v="0"/>
    <n v="107"/>
    <s v="_x0000_peopl"/>
  </r>
  <r>
    <x v="6"/>
    <n v="13.689399999999999"/>
    <n v="-89.203000000000003"/>
    <n v="3"/>
    <n v="0"/>
    <n v="0"/>
    <n v="107"/>
    <s v="_x0000_peopl"/>
  </r>
  <r>
    <x v="6"/>
    <n v="13.6882"/>
    <n v="-89.216999999999999"/>
    <n v="2"/>
    <n v="0"/>
    <n v="0"/>
    <n v="107"/>
    <s v="_x0000_peopl"/>
  </r>
  <r>
    <x v="6"/>
    <n v="13.6851"/>
    <n v="-89.217399999999998"/>
    <n v="3"/>
    <n v="0"/>
    <n v="0"/>
    <n v="107"/>
    <s v="_x0000_peopl"/>
  </r>
  <r>
    <x v="6"/>
    <n v="13.689500000000001"/>
    <n v="-89.177700000000002"/>
    <n v="6"/>
    <n v="0"/>
    <n v="0"/>
    <n v="107"/>
    <s v="_x0000_peopl"/>
  </r>
  <r>
    <x v="6"/>
    <n v="13.6751"/>
    <n v="-89.251999999999995"/>
    <n v="2"/>
    <n v="0"/>
    <n v="0"/>
    <n v="107"/>
    <s v="_x0000_peopl"/>
  </r>
  <r>
    <x v="6"/>
    <n v="13.6891"/>
    <n v="-89.184100000000001"/>
    <n v="6"/>
    <n v="0"/>
    <n v="0"/>
    <n v="107"/>
    <s v="_x0000_peopl"/>
  </r>
  <r>
    <x v="6"/>
    <n v="13.6922"/>
    <n v="-89.225300000000004"/>
    <n v="4"/>
    <n v="0"/>
    <n v="0"/>
    <n v="107"/>
    <s v="_x0000_peopl"/>
  </r>
  <r>
    <x v="6"/>
    <n v="13.6942"/>
    <n v="-89.175799999999995"/>
    <n v="8"/>
    <n v="0"/>
    <n v="0"/>
    <n v="107"/>
    <s v="_x0000_peopl"/>
  </r>
  <r>
    <x v="6"/>
    <n v="13.6874"/>
    <n v="-89.1798"/>
    <n v="4"/>
    <n v="0"/>
    <n v="0"/>
    <n v="107"/>
    <s v="_x0000_peopl"/>
  </r>
  <r>
    <x v="6"/>
    <n v="13.6739"/>
    <n v="-89.251000000000005"/>
    <n v="4"/>
    <n v="0"/>
    <n v="0"/>
    <n v="107"/>
    <s v="_x0000_peopl"/>
  </r>
  <r>
    <x v="6"/>
    <n v="13.692399999999999"/>
    <n v="-89.224800000000002"/>
    <n v="4"/>
    <n v="0"/>
    <n v="0"/>
    <n v="107"/>
    <s v="_x0000_peopl"/>
  </r>
  <r>
    <x v="6"/>
    <n v="13.693199999999999"/>
    <n v="-89.188500000000005"/>
    <n v="8"/>
    <n v="0"/>
    <n v="0"/>
    <n v="107"/>
    <s v="_x0000_peopl"/>
  </r>
  <r>
    <x v="6"/>
    <n v="13.684699999999999"/>
    <n v="-89.216099999999997"/>
    <n v="5"/>
    <n v="0"/>
    <n v="0"/>
    <n v="107"/>
    <s v="_x0000_peopl"/>
  </r>
  <r>
    <x v="6"/>
    <n v="13.690799999999999"/>
    <n v="-89.187399999999997"/>
    <n v="6"/>
    <n v="0"/>
    <n v="0"/>
    <n v="107"/>
    <s v="_x0000_peopl"/>
  </r>
  <r>
    <x v="6"/>
    <n v="13.6913"/>
    <n v="-89.181600000000003"/>
    <n v="4"/>
    <n v="0"/>
    <n v="0"/>
    <n v="107"/>
    <s v="_x0000_peopl"/>
  </r>
  <r>
    <x v="6"/>
    <n v="13.690899999999999"/>
    <n v="-89.195400000000006"/>
    <n v="7"/>
    <n v="0"/>
    <n v="0"/>
    <n v="107"/>
    <s v="_x0000_peopl"/>
  </r>
  <r>
    <x v="6"/>
    <n v="13.6853"/>
    <n v="-89.215800000000002"/>
    <n v="8"/>
    <n v="0"/>
    <n v="0"/>
    <n v="107"/>
    <s v="_x0000_peopl"/>
  </r>
  <r>
    <x v="6"/>
    <n v="13.6874"/>
    <n v="-89.195400000000006"/>
    <n v="2"/>
    <n v="0"/>
    <n v="0"/>
    <n v="107"/>
    <s v="_x0000_peopl"/>
  </r>
  <r>
    <x v="6"/>
    <n v="13.689299999999999"/>
    <n v="-89.229600000000005"/>
    <n v="3"/>
    <n v="0"/>
    <n v="0"/>
    <n v="107"/>
    <s v="_x0000_peopl"/>
  </r>
  <r>
    <x v="6"/>
    <n v="13.6869"/>
    <n v="-89.2042"/>
    <n v="4"/>
    <n v="0"/>
    <n v="0"/>
    <n v="107"/>
    <s v="_x0000_peopl"/>
  </r>
  <r>
    <x v="6"/>
    <n v="13.688499999999999"/>
    <n v="-89.180999999999997"/>
    <n v="4"/>
    <n v="0"/>
    <n v="0"/>
    <n v="107"/>
    <s v="_x0000_peopl"/>
  </r>
  <r>
    <x v="6"/>
    <n v="13.690899999999999"/>
    <n v="-89.232500000000002"/>
    <n v="3"/>
    <n v="0"/>
    <n v="0"/>
    <n v="107"/>
    <s v="_x0000_peopl"/>
  </r>
  <r>
    <x v="6"/>
    <n v="13.694800000000001"/>
    <n v="-89.172300000000007"/>
    <n v="7"/>
    <n v="0"/>
    <n v="0"/>
    <n v="107"/>
    <s v="_x0000_peopl"/>
  </r>
  <r>
    <x v="6"/>
    <n v="13.6911"/>
    <n v="-89.232900000000001"/>
    <n v="11"/>
    <n v="0"/>
    <n v="0"/>
    <n v="107"/>
    <s v="_x0000_peopl"/>
  </r>
  <r>
    <x v="6"/>
    <n v="13.6915"/>
    <n v="-89.220699999999994"/>
    <n v="3"/>
    <n v="0"/>
    <n v="0"/>
    <n v="107"/>
    <s v="_x0000_peopl"/>
  </r>
  <r>
    <x v="6"/>
    <n v="13.691700000000001"/>
    <n v="-89.186599999999999"/>
    <n v="4"/>
    <n v="0"/>
    <n v="0"/>
    <n v="107"/>
    <s v="_x0000_peopl"/>
  </r>
  <r>
    <x v="6"/>
    <n v="13.6959"/>
    <n v="-89.165800000000004"/>
    <n v="4"/>
    <n v="0"/>
    <n v="0"/>
    <n v="107"/>
    <s v="_x0000_peopl"/>
  </r>
  <r>
    <x v="6"/>
    <n v="13.689299999999999"/>
    <n v="-89.207999999999998"/>
    <n v="7"/>
    <n v="0"/>
    <n v="0"/>
    <n v="107"/>
    <s v="_x0000_peopl"/>
  </r>
  <r>
    <x v="6"/>
    <n v="13.690899999999999"/>
    <n v="-89.186300000000003"/>
    <n v="6"/>
    <n v="0"/>
    <n v="0"/>
    <n v="107"/>
    <s v="_x0000_peopl"/>
  </r>
  <r>
    <x v="6"/>
    <n v="13.687799999999999"/>
    <n v="-89.216700000000003"/>
    <n v="3"/>
    <n v="0"/>
    <n v="0"/>
    <n v="107"/>
    <s v="_x0000_peopl"/>
  </r>
  <r>
    <x v="6"/>
    <n v="13.695499999999999"/>
    <n v="-89.166799999999995"/>
    <n v="9"/>
    <n v="0"/>
    <n v="0"/>
    <n v="107"/>
    <s v="_x0000_peopl"/>
  </r>
  <r>
    <x v="6"/>
    <n v="13.6907"/>
    <n v="-89.227500000000006"/>
    <n v="7"/>
    <n v="0"/>
    <n v="0"/>
    <n v="107"/>
    <s v="_x0000_peopl"/>
  </r>
  <r>
    <x v="6"/>
    <n v="13.6953"/>
    <n v="-89.172399999999996"/>
    <n v="3"/>
    <n v="0"/>
    <n v="0"/>
    <n v="107"/>
    <s v="_x0000_peopl"/>
  </r>
  <r>
    <x v="6"/>
    <n v="13.687799999999999"/>
    <n v="-89.204800000000006"/>
    <n v="9"/>
    <n v="0"/>
    <n v="0"/>
    <n v="107"/>
    <s v="_x0000_peopl"/>
  </r>
  <r>
    <x v="6"/>
    <n v="13.6915"/>
    <n v="-89.1768"/>
    <n v="7"/>
    <n v="0"/>
    <n v="0"/>
    <n v="107"/>
    <s v="_x0000_peopl"/>
  </r>
  <r>
    <x v="6"/>
    <n v="13.6882"/>
    <n v="-89.180599999999998"/>
    <n v="6"/>
    <n v="0"/>
    <n v="0"/>
    <n v="107"/>
    <s v="_x0000_peopl"/>
  </r>
  <r>
    <x v="6"/>
    <n v="13.690799999999999"/>
    <n v="-89.231700000000004"/>
    <n v="1"/>
    <n v="0"/>
    <n v="0"/>
    <n v="107"/>
    <s v="_x0000_peopl"/>
  </r>
  <r>
    <x v="6"/>
    <n v="13.6898"/>
    <n v="-89.229399999999998"/>
    <n v="1"/>
    <n v="0"/>
    <n v="0"/>
    <n v="107"/>
    <s v="_x0000_peopl"/>
  </r>
  <r>
    <x v="6"/>
    <n v="13.696"/>
    <n v="-89.171999999999997"/>
    <n v="11"/>
    <n v="0"/>
    <n v="0"/>
    <n v="107"/>
    <s v="_x0000_peopl"/>
  </r>
  <r>
    <x v="6"/>
    <n v="13.6911"/>
    <n v="-89.188800000000001"/>
    <n v="3"/>
    <n v="0"/>
    <n v="0"/>
    <n v="107"/>
    <s v="_x0000_peopl"/>
  </r>
  <r>
    <x v="6"/>
    <n v="13.69"/>
    <n v="-89.177499999999995"/>
    <n v="3"/>
    <n v="0"/>
    <n v="0"/>
    <n v="107"/>
    <s v="_x0000_peopl"/>
  </r>
  <r>
    <x v="6"/>
    <n v="13.687200000000001"/>
    <n v="-89.197000000000003"/>
    <n v="11"/>
    <n v="0"/>
    <n v="0"/>
    <n v="107"/>
    <s v="_x0000_peopl"/>
  </r>
  <r>
    <x v="6"/>
    <n v="13.6907"/>
    <n v="-89.184700000000007"/>
    <n v="8"/>
    <n v="0"/>
    <n v="0"/>
    <n v="107"/>
    <s v="_x0000_peopl"/>
  </r>
  <r>
    <x v="6"/>
    <n v="13.692299999999999"/>
    <n v="-89.184100000000001"/>
    <n v="7"/>
    <n v="0"/>
    <n v="0"/>
    <n v="107"/>
    <s v="_x0000_peopl"/>
  </r>
  <r>
    <x v="6"/>
    <n v="13.6882"/>
    <n v="-89.198899999999995"/>
    <n v="8"/>
    <n v="0"/>
    <n v="0"/>
    <n v="107"/>
    <s v="_x0000_peopl"/>
  </r>
  <r>
    <x v="6"/>
    <n v="13.6866"/>
    <n v="-89.215699999999998"/>
    <n v="6"/>
    <n v="0"/>
    <n v="0"/>
    <n v="107"/>
    <s v="_x0000_peopl"/>
  </r>
  <r>
    <x v="6"/>
    <n v="13.687200000000001"/>
    <n v="-89.195599999999999"/>
    <n v="1"/>
    <n v="0"/>
    <n v="0"/>
    <n v="107"/>
    <s v="_x0000_peopl"/>
  </r>
  <r>
    <x v="6"/>
    <n v="13.6874"/>
    <n v="-89.183000000000007"/>
    <n v="6"/>
    <n v="0"/>
    <n v="0"/>
    <n v="107"/>
    <s v="_x0000_peopl"/>
  </r>
  <r>
    <x v="6"/>
    <n v="13.690099999999999"/>
    <n v="-89.1798"/>
    <n v="2"/>
    <n v="0"/>
    <n v="0"/>
    <n v="107"/>
    <s v="_x0000_peopl"/>
  </r>
  <r>
    <x v="6"/>
    <n v="13.689500000000001"/>
    <n v="-89.184200000000004"/>
    <n v="6"/>
    <n v="0"/>
    <n v="0"/>
    <n v="107"/>
    <s v="_x0000_peopl"/>
  </r>
  <r>
    <x v="6"/>
    <n v="13.6906"/>
    <n v="-89.235299999999995"/>
    <n v="4"/>
    <n v="0"/>
    <n v="0"/>
    <n v="107"/>
    <s v="_x0000_peopl"/>
  </r>
  <r>
    <x v="6"/>
    <n v="13.6775"/>
    <n v="-89.247"/>
    <n v="5"/>
    <n v="0"/>
    <n v="0"/>
    <n v="107"/>
    <s v="_x0000_peopl"/>
  </r>
  <r>
    <x v="6"/>
    <n v="13.690799999999999"/>
    <n v="-89.187600000000003"/>
    <n v="3"/>
    <n v="0"/>
    <n v="0"/>
    <n v="107"/>
    <s v="_x0000_peopl"/>
  </r>
  <r>
    <x v="6"/>
    <n v="13.694699999999999"/>
    <n v="-89.174800000000005"/>
    <n v="1"/>
    <n v="0"/>
    <n v="0"/>
    <n v="107"/>
    <s v="_x0000_peopl"/>
  </r>
  <r>
    <x v="6"/>
    <n v="13.6875"/>
    <n v="-89.194599999999994"/>
    <n v="5"/>
    <n v="0"/>
    <n v="0"/>
    <n v="107"/>
    <s v="_x0000_peopl"/>
  </r>
  <r>
    <x v="6"/>
    <n v="13.6913"/>
    <n v="-89.234999999999999"/>
    <n v="9"/>
    <n v="0"/>
    <n v="0"/>
    <n v="107"/>
    <s v="_x0000_peopl"/>
  </r>
  <r>
    <x v="6"/>
    <n v="13.687900000000001"/>
    <n v="-89.181399999999996"/>
    <n v="1"/>
    <n v="0"/>
    <n v="0"/>
    <n v="107"/>
    <s v="_x0000_peopl"/>
  </r>
  <r>
    <x v="6"/>
    <n v="13.6846"/>
    <n v="-89.216700000000003"/>
    <n v="8"/>
    <n v="0"/>
    <n v="0"/>
    <n v="107"/>
    <s v="_x0000_peopl"/>
  </r>
  <r>
    <x v="6"/>
    <n v="13.6866"/>
    <n v="-89.216200000000001"/>
    <n v="4"/>
    <n v="0"/>
    <n v="0"/>
    <n v="107"/>
    <s v="_x0000_peopl"/>
  </r>
  <r>
    <x v="6"/>
    <n v="13.6911"/>
    <n v="-89.178799999999995"/>
    <n v="3"/>
    <n v="0"/>
    <n v="0"/>
    <n v="107"/>
    <s v="_x0000_peopl"/>
  </r>
  <r>
    <x v="6"/>
    <n v="13.689299999999999"/>
    <n v="-89.235699999999994"/>
    <n v="4"/>
    <n v="0"/>
    <n v="0"/>
    <n v="107"/>
    <s v="_x0000_peopl"/>
  </r>
  <r>
    <x v="6"/>
    <n v="13.6867"/>
    <n v="-89.211500000000001"/>
    <n v="7"/>
    <n v="0"/>
    <n v="0"/>
    <n v="107"/>
    <s v="_x0000_peopl"/>
  </r>
  <r>
    <x v="6"/>
    <n v="13.687200000000001"/>
    <n v="-89.197800000000001"/>
    <n v="8"/>
    <n v="0"/>
    <n v="0"/>
    <n v="107"/>
    <s v="_x0000_peopl"/>
  </r>
  <r>
    <x v="6"/>
    <n v="13.6915"/>
    <n v="-89.179000000000002"/>
    <n v="4"/>
    <n v="0"/>
    <n v="0"/>
    <n v="107"/>
    <s v="_x0000_peopl"/>
  </r>
  <r>
    <x v="6"/>
    <n v="13.6921"/>
    <n v="-89.197000000000003"/>
    <n v="2"/>
    <n v="0"/>
    <n v="0"/>
    <n v="107"/>
    <s v="_x0000_peopl"/>
  </r>
  <r>
    <x v="6"/>
    <n v="13.6919"/>
    <n v="-89.178299999999993"/>
    <n v="7"/>
    <n v="0"/>
    <n v="0"/>
    <n v="107"/>
    <s v="_x0000_peopl"/>
  </r>
  <r>
    <x v="6"/>
    <n v="13.6913"/>
    <n v="-89.190299999999993"/>
    <n v="0"/>
    <n v="0"/>
    <n v="0"/>
    <n v="107"/>
    <s v="_x0000_peopl"/>
  </r>
  <r>
    <x v="6"/>
    <n v="13.694000000000001"/>
    <n v="-89.176400000000001"/>
    <n v="4"/>
    <n v="0"/>
    <n v="0"/>
    <n v="107"/>
    <s v="_x0000_peopl"/>
  </r>
  <r>
    <x v="6"/>
    <n v="13.6876"/>
    <n v="-89.195499999999996"/>
    <n v="1"/>
    <n v="0"/>
    <n v="0"/>
    <n v="107"/>
    <s v="_x0000_peopl"/>
  </r>
  <r>
    <x v="6"/>
    <n v="13.686999999999999"/>
    <n v="-89.205200000000005"/>
    <n v="1"/>
    <n v="0"/>
    <n v="0"/>
    <n v="107"/>
    <s v="_x0000_peopl"/>
  </r>
  <r>
    <x v="6"/>
    <n v="13.6929"/>
    <n v="-89.184200000000004"/>
    <n v="4"/>
    <n v="0"/>
    <n v="0"/>
    <n v="107"/>
    <s v="_x0000_peopl"/>
  </r>
  <r>
    <x v="6"/>
    <n v="13.6854"/>
    <n v="-89.210800000000006"/>
    <n v="6"/>
    <n v="0"/>
    <n v="0"/>
    <n v="107"/>
    <s v="_x0000_peopl"/>
  </r>
  <r>
    <x v="6"/>
    <n v="13.6877"/>
    <n v="-89.194599999999994"/>
    <n v="7"/>
    <n v="0"/>
    <n v="0"/>
    <n v="107"/>
    <s v="_x0000_peopl"/>
  </r>
  <r>
    <x v="6"/>
    <n v="13.6958"/>
    <n v="-89.172899999999998"/>
    <n v="1"/>
    <n v="0"/>
    <n v="0"/>
    <n v="107"/>
    <s v="_x0000_peopl"/>
  </r>
  <r>
    <x v="6"/>
    <n v="13.691599999999999"/>
    <n v="-89.233999999999995"/>
    <n v="4"/>
    <n v="0"/>
    <n v="0"/>
    <n v="107"/>
    <s v="_x0000_peopl"/>
  </r>
  <r>
    <x v="6"/>
    <n v="13.692299999999999"/>
    <n v="-89.226299999999995"/>
    <n v="3"/>
    <n v="0"/>
    <n v="0"/>
    <n v="107"/>
    <s v="_x0000_peopl"/>
  </r>
  <r>
    <x v="6"/>
    <n v="13.692299999999999"/>
    <n v="-89.226799999999997"/>
    <n v="8"/>
    <n v="0"/>
    <n v="0"/>
    <n v="107"/>
    <s v="_x0000_peopl"/>
  </r>
  <r>
    <x v="6"/>
    <n v="13.6905"/>
    <n v="-89.193399999999997"/>
    <n v="4"/>
    <n v="0"/>
    <n v="0"/>
    <n v="107"/>
    <s v="_x0000_peopl"/>
  </r>
  <r>
    <x v="6"/>
    <n v="13.690799999999999"/>
    <n v="-89.233000000000004"/>
    <n v="6"/>
    <n v="0"/>
    <n v="0"/>
    <n v="107"/>
    <s v="_x0000_peopl"/>
  </r>
  <r>
    <x v="6"/>
    <n v="13.695399999999999"/>
    <n v="-89.173000000000002"/>
    <n v="6"/>
    <n v="0"/>
    <n v="0"/>
    <n v="107"/>
    <s v="_x0000_peopl"/>
  </r>
  <r>
    <x v="6"/>
    <n v="13.690899999999999"/>
    <n v="-89.234999999999999"/>
    <n v="9"/>
    <n v="0"/>
    <n v="0"/>
    <n v="107"/>
    <s v="_x0000_peopl"/>
  </r>
  <r>
    <x v="6"/>
    <n v="13.691599999999999"/>
    <n v="-89.178600000000003"/>
    <n v="8"/>
    <n v="0"/>
    <n v="0"/>
    <n v="107"/>
    <s v="_x0000_peopl"/>
  </r>
  <r>
    <x v="6"/>
    <n v="13.6936"/>
    <n v="-89.188699999999997"/>
    <n v="5"/>
    <n v="0"/>
    <n v="0"/>
    <n v="107"/>
    <s v="_x0000_peopl"/>
  </r>
  <r>
    <x v="6"/>
    <n v="13.6943"/>
    <n v="-89.188900000000004"/>
    <n v="4"/>
    <n v="0"/>
    <n v="0"/>
    <n v="107"/>
    <s v="_x0000_peopl"/>
  </r>
  <r>
    <x v="6"/>
    <n v="13.69"/>
    <n v="-89.186300000000003"/>
    <n v="6"/>
    <n v="0"/>
    <n v="0"/>
    <n v="107"/>
    <s v="_x0000_peopl"/>
  </r>
  <r>
    <x v="6"/>
    <n v="13.6858"/>
    <n v="-89.212900000000005"/>
    <n v="7"/>
    <n v="0"/>
    <n v="0"/>
    <n v="107"/>
    <s v="_x0000_peopl"/>
  </r>
  <r>
    <x v="6"/>
    <n v="13.695600000000001"/>
    <n v="-89.173100000000005"/>
    <n v="2"/>
    <n v="0"/>
    <n v="0"/>
    <n v="107"/>
    <s v="_x0000_peopl"/>
  </r>
  <r>
    <x v="6"/>
    <n v="13.691800000000001"/>
    <n v="-89.225300000000004"/>
    <n v="9"/>
    <n v="0"/>
    <n v="0"/>
    <n v="107"/>
    <s v="_x0000_peopl"/>
  </r>
  <r>
    <x v="6"/>
    <n v="13.6744"/>
    <n v="-89.201999999999998"/>
    <n v="7"/>
    <n v="0"/>
    <n v="0"/>
    <n v="107"/>
    <s v="_x0000_peopl"/>
  </r>
  <r>
    <x v="6"/>
    <n v="13.692"/>
    <n v="-89.224000000000004"/>
    <n v="3"/>
    <n v="0"/>
    <n v="0"/>
    <n v="107"/>
    <s v="_x0000_peopl"/>
  </r>
  <r>
    <x v="6"/>
    <n v="13.6861"/>
    <n v="-89.215000000000003"/>
    <n v="4"/>
    <n v="0"/>
    <n v="0"/>
    <n v="107"/>
    <s v="_x0000_peopl"/>
  </r>
  <r>
    <x v="6"/>
    <n v="13.6907"/>
    <n v="-89.235600000000005"/>
    <n v="3"/>
    <n v="0"/>
    <n v="0"/>
    <n v="107"/>
    <s v="_x0000_peopl"/>
  </r>
  <r>
    <x v="6"/>
    <n v="13.6897"/>
    <n v="-89.216899999999995"/>
    <n v="4"/>
    <n v="0"/>
    <n v="0"/>
    <n v="107"/>
    <s v="_x0000_peopl"/>
  </r>
  <r>
    <x v="6"/>
    <n v="13.674899999999999"/>
    <n v="-89.200100000000006"/>
    <n v="4"/>
    <n v="0"/>
    <n v="0"/>
    <n v="107"/>
    <s v="_x0000_peopl"/>
  </r>
  <r>
    <x v="6"/>
    <n v="13.6874"/>
    <n v="-89.194900000000004"/>
    <n v="5"/>
    <n v="0"/>
    <n v="0"/>
    <n v="107"/>
    <s v="_x0000_peopl"/>
  </r>
  <r>
    <x v="6"/>
    <n v="13.694800000000001"/>
    <n v="-89.172700000000006"/>
    <n v="3"/>
    <n v="0"/>
    <n v="0"/>
    <n v="107"/>
    <s v="_x0000_peopl"/>
  </r>
  <r>
    <x v="6"/>
    <n v="13.692399999999999"/>
    <n v="-89.226299999999995"/>
    <n v="8"/>
    <n v="0"/>
    <n v="0"/>
    <n v="107"/>
    <s v="_x0000_peopl"/>
  </r>
  <r>
    <x v="6"/>
    <n v="13.691000000000001"/>
    <n v="-89.188500000000005"/>
    <n v="6"/>
    <n v="0"/>
    <n v="0"/>
    <n v="107"/>
    <s v="_x0000_peopl"/>
  </r>
  <r>
    <x v="6"/>
    <n v="13.6808"/>
    <n v="-89.198300000000003"/>
    <n v="4"/>
    <n v="0"/>
    <n v="0"/>
    <n v="107"/>
    <s v="_x0000_peopl"/>
  </r>
  <r>
    <x v="6"/>
    <n v="13.6905"/>
    <n v="-89.194400000000002"/>
    <n v="8"/>
    <n v="0"/>
    <n v="0"/>
    <n v="107"/>
    <s v="_x0000_peopl"/>
  </r>
  <r>
    <x v="6"/>
    <n v="13.688599999999999"/>
    <n v="-89.198300000000003"/>
    <n v="9"/>
    <n v="0"/>
    <n v="0"/>
    <n v="107"/>
    <s v="_x0000_peopl"/>
  </r>
  <r>
    <x v="6"/>
    <n v="13.6889"/>
    <n v="-89.180099999999996"/>
    <n v="8"/>
    <n v="0"/>
    <n v="0"/>
    <n v="107"/>
    <s v="_x0000_peopl"/>
  </r>
  <r>
    <x v="6"/>
    <n v="13.69"/>
    <n v="-89.181600000000003"/>
    <n v="4"/>
    <n v="0"/>
    <n v="0"/>
    <n v="107"/>
    <s v="_x0000_peopl"/>
  </r>
  <r>
    <x v="6"/>
    <n v="13.684699999999999"/>
    <n v="-89.213300000000004"/>
    <n v="8"/>
    <n v="0"/>
    <n v="0"/>
    <n v="107"/>
    <s v="_x0000_peopl"/>
  </r>
  <r>
    <x v="6"/>
    <n v="13.691800000000001"/>
    <n v="-89.186499999999995"/>
    <n v="1"/>
    <n v="0"/>
    <n v="0"/>
    <n v="107"/>
    <s v="_x0000_peopl"/>
  </r>
  <r>
    <x v="6"/>
    <n v="13.686400000000001"/>
    <n v="-89.193299999999994"/>
    <n v="4"/>
    <n v="0"/>
    <n v="0"/>
    <n v="107"/>
    <s v="_x0000_peopl"/>
  </r>
  <r>
    <x v="6"/>
    <n v="13.6882"/>
    <n v="-89.1828"/>
    <n v="8"/>
    <n v="0"/>
    <n v="0"/>
    <n v="107"/>
    <s v="_x0000_peopl"/>
  </r>
  <r>
    <x v="6"/>
    <n v="13.6913"/>
    <n v="-89.178799999999995"/>
    <n v="3"/>
    <n v="0"/>
    <n v="0"/>
    <n v="107"/>
    <s v="_x0000_peopl"/>
  </r>
  <r>
    <x v="6"/>
    <n v="13.6905"/>
    <n v="-89.217399999999998"/>
    <n v="7"/>
    <n v="0"/>
    <n v="0"/>
    <n v="107"/>
    <s v="_x0000_peopl"/>
  </r>
  <r>
    <x v="6"/>
    <n v="13.6744"/>
    <n v="-89.251300000000001"/>
    <n v="8"/>
    <n v="0"/>
    <n v="0"/>
    <n v="107"/>
    <s v="_x0000_peopl"/>
  </r>
  <r>
    <x v="6"/>
    <n v="13.6914"/>
    <n v="-89.185599999999994"/>
    <n v="7"/>
    <n v="0"/>
    <n v="0"/>
    <n v="107"/>
    <s v="_x0000_peopl"/>
  </r>
  <r>
    <x v="6"/>
    <n v="13.692299999999999"/>
    <n v="-89.224299999999999"/>
    <n v="4"/>
    <n v="0"/>
    <n v="0"/>
    <n v="107"/>
    <s v="_x0000_peopl"/>
  </r>
  <r>
    <x v="6"/>
    <n v="13.689500000000001"/>
    <n v="-89.197500000000005"/>
    <n v="7"/>
    <n v="0"/>
    <n v="0"/>
    <n v="107"/>
    <s v="_x0000_peopl"/>
  </r>
  <r>
    <x v="6"/>
    <n v="13.6928"/>
    <n v="-89.178200000000004"/>
    <n v="1"/>
    <n v="0"/>
    <n v="0"/>
    <n v="107"/>
    <s v="_x0000_peopl"/>
  </r>
  <r>
    <x v="6"/>
    <n v="13.691700000000001"/>
    <n v="-89.228300000000004"/>
    <n v="3"/>
    <n v="0"/>
    <n v="0"/>
    <n v="107"/>
    <s v="_x0000_peopl"/>
  </r>
  <r>
    <x v="6"/>
    <n v="13.685600000000001"/>
    <n v="-89.202699999999993"/>
    <n v="4"/>
    <n v="0"/>
    <n v="0"/>
    <n v="107"/>
    <s v="_x0000_peopl"/>
  </r>
  <r>
    <x v="6"/>
    <n v="13.690799999999999"/>
    <n v="-89.185900000000004"/>
    <n v="9"/>
    <n v="0"/>
    <n v="0"/>
    <n v="107"/>
    <s v="_x0000_peopl"/>
  </r>
  <r>
    <x v="6"/>
    <n v="13.6852"/>
    <n v="-89.215599999999995"/>
    <n v="7"/>
    <n v="0"/>
    <n v="0"/>
    <n v="107"/>
    <s v="_x0000_peopl"/>
  </r>
  <r>
    <x v="6"/>
    <n v="13.685700000000001"/>
    <n v="-89.212400000000002"/>
    <n v="1"/>
    <n v="0"/>
    <n v="0"/>
    <n v="107"/>
    <s v="_x0000_peopl"/>
  </r>
  <r>
    <x v="6"/>
    <n v="13.6875"/>
    <n v="-89.195099999999996"/>
    <n v="4"/>
    <n v="0"/>
    <n v="0"/>
    <n v="107"/>
    <s v="_x0000_peopl"/>
  </r>
  <r>
    <x v="6"/>
    <n v="13.678000000000001"/>
    <n v="-89.245800000000003"/>
    <n v="3"/>
    <n v="0"/>
    <n v="0"/>
    <n v="107"/>
    <s v="_x0000_peopl"/>
  </r>
  <r>
    <x v="6"/>
    <n v="13.688700000000001"/>
    <n v="-89.205399999999997"/>
    <n v="3"/>
    <n v="0"/>
    <n v="0"/>
    <n v="107"/>
    <s v="_x0000_peopl"/>
  </r>
  <r>
    <x v="6"/>
    <n v="13.692299999999999"/>
    <n v="-89.179400000000001"/>
    <n v="3"/>
    <n v="0"/>
    <n v="0"/>
    <n v="107"/>
    <s v="_x0000_peopl"/>
  </r>
  <r>
    <x v="6"/>
    <n v="13.6898"/>
    <n v="-89.228800000000007"/>
    <n v="5"/>
    <n v="0"/>
    <n v="0"/>
    <n v="107"/>
    <s v="_x0000_peopl"/>
  </r>
  <r>
    <x v="6"/>
    <n v="13.6906"/>
    <n v="-89.235100000000003"/>
    <n v="3"/>
    <n v="0"/>
    <n v="0"/>
    <n v="107"/>
    <s v="_x0000_peopl"/>
  </r>
  <r>
    <x v="6"/>
    <n v="13.6869"/>
    <n v="-89.191299999999998"/>
    <n v="7"/>
    <n v="0"/>
    <n v="0"/>
    <n v="107"/>
    <s v="_x0000_peopl"/>
  </r>
  <r>
    <x v="6"/>
    <n v="13.696"/>
    <n v="-89.172499999999999"/>
    <n v="9"/>
    <n v="0"/>
    <n v="0"/>
    <n v="107"/>
    <s v="_x0000_peopl"/>
  </r>
  <r>
    <x v="6"/>
    <n v="13.677099999999999"/>
    <n v="-89.248400000000004"/>
    <n v="5"/>
    <n v="0"/>
    <n v="0"/>
    <n v="107"/>
    <s v="_x0000_peopl"/>
  </r>
  <r>
    <x v="6"/>
    <n v="13.6853"/>
    <n v="-89.194100000000006"/>
    <n v="5"/>
    <n v="0"/>
    <n v="0"/>
    <n v="107"/>
    <s v="_x0000_peopl"/>
  </r>
  <r>
    <x v="6"/>
    <n v="13.693"/>
    <n v="-89.177700000000002"/>
    <n v="3"/>
    <n v="0"/>
    <n v="0"/>
    <n v="107"/>
    <s v="_x0000_peopl"/>
  </r>
  <r>
    <x v="6"/>
    <n v="13.689399999999999"/>
    <n v="-89.235600000000005"/>
    <n v="6"/>
    <n v="0"/>
    <n v="0"/>
    <n v="107"/>
    <s v="_x0000_peopl"/>
  </r>
  <r>
    <x v="6"/>
    <n v="13.6927"/>
    <n v="-89.225899999999996"/>
    <n v="2"/>
    <n v="0"/>
    <n v="0"/>
    <n v="107"/>
    <s v="_x0000_peopl"/>
  </r>
  <r>
    <x v="6"/>
    <n v="13.6875"/>
    <n v="-89.182100000000005"/>
    <n v="7"/>
    <n v="0"/>
    <n v="0"/>
    <n v="107"/>
    <s v="_x0000_peopl"/>
  </r>
  <r>
    <x v="6"/>
    <n v="13.687099999999999"/>
    <n v="-89.197800000000001"/>
    <n v="4"/>
    <n v="0"/>
    <n v="0"/>
    <n v="107"/>
    <s v="_x0000_peopl"/>
  </r>
  <r>
    <x v="6"/>
    <n v="13.6914"/>
    <n v="-89.220500000000001"/>
    <n v="5"/>
    <n v="0"/>
    <n v="0"/>
    <n v="107"/>
    <s v="_x0000_peopl"/>
  </r>
  <r>
    <x v="6"/>
    <n v="13.690200000000001"/>
    <n v="-89.19"/>
    <n v="5"/>
    <n v="0"/>
    <n v="0"/>
    <n v="107"/>
    <s v="_x0000_peopl"/>
  </r>
  <r>
    <x v="6"/>
    <n v="13.674099999999999"/>
    <n v="-89.252200000000002"/>
    <n v="3"/>
    <n v="0"/>
    <n v="0"/>
    <n v="107"/>
    <s v="_x0000_peopl"/>
  </r>
  <r>
    <x v="6"/>
    <n v="13.6797"/>
    <n v="-89.1965"/>
    <n v="10"/>
    <n v="0"/>
    <n v="0"/>
    <n v="107"/>
    <s v="_x0000_peopl"/>
  </r>
  <r>
    <x v="6"/>
    <n v="13.691000000000001"/>
    <n v="-89.218599999999995"/>
    <n v="3"/>
    <n v="0"/>
    <n v="0"/>
    <n v="107"/>
    <s v="_x0000_peopl"/>
  </r>
  <r>
    <x v="6"/>
    <n v="13.6928"/>
    <n v="-89.179199999999994"/>
    <n v="3"/>
    <n v="0"/>
    <n v="0"/>
    <n v="107"/>
    <s v="_x0000_peopl"/>
  </r>
  <r>
    <x v="6"/>
    <n v="13.692500000000001"/>
    <n v="-89.174199999999999"/>
    <n v="2"/>
    <n v="0"/>
    <n v="0"/>
    <n v="107"/>
    <s v="_x0000_peopl"/>
  </r>
  <r>
    <x v="6"/>
    <n v="13.6906"/>
    <n v="-89.233599999999996"/>
    <n v="4"/>
    <n v="0"/>
    <n v="0"/>
    <n v="107"/>
    <s v="_x0000_peopl"/>
  </r>
  <r>
    <x v="6"/>
    <n v="13.6912"/>
    <n v="-89.233599999999996"/>
    <n v="9"/>
    <n v="0"/>
    <n v="0"/>
    <n v="107"/>
    <s v="_x0000_peopl"/>
  </r>
  <r>
    <x v="6"/>
    <n v="13.696400000000001"/>
    <n v="-89.171599999999998"/>
    <n v="5"/>
    <n v="0"/>
    <n v="0"/>
    <n v="107"/>
    <s v="_x0000_peopl"/>
  </r>
  <r>
    <x v="6"/>
    <n v="13.6912"/>
    <n v="-89.181899999999999"/>
    <n v="4"/>
    <n v="0"/>
    <n v="0"/>
    <n v="107"/>
    <s v="_x0000_peopl"/>
  </r>
  <r>
    <x v="6"/>
    <n v="13.6906"/>
    <n v="-89.233900000000006"/>
    <n v="5"/>
    <n v="0"/>
    <n v="0"/>
    <n v="107"/>
    <s v="_x0000_peopl"/>
  </r>
  <r>
    <x v="6"/>
    <n v="13.6875"/>
    <n v="-89.216800000000006"/>
    <n v="6"/>
    <n v="0"/>
    <n v="0"/>
    <n v="107"/>
    <s v="_x0000_peopl"/>
  </r>
  <r>
    <x v="6"/>
    <n v="13.6922"/>
    <n v="-89.226200000000006"/>
    <n v="3"/>
    <n v="0"/>
    <n v="0"/>
    <n v="107"/>
    <s v="_x0000_peopl"/>
  </r>
  <r>
    <x v="6"/>
    <n v="13.692299999999999"/>
    <n v="-89.174899999999994"/>
    <n v="6"/>
    <n v="0"/>
    <n v="0"/>
    <n v="107"/>
    <s v="_x0000_peopl"/>
  </r>
  <r>
    <x v="6"/>
    <n v="13.6877"/>
    <n v="-89.179900000000004"/>
    <n v="6"/>
    <n v="0"/>
    <n v="0"/>
    <n v="107"/>
    <s v="_x0000_peopl"/>
  </r>
  <r>
    <x v="6"/>
    <n v="13.6851"/>
    <n v="-89.217299999999994"/>
    <n v="6"/>
    <n v="0"/>
    <n v="0"/>
    <n v="107"/>
    <s v="_x0000_peopl"/>
  </r>
  <r>
    <x v="6"/>
    <n v="13.6744"/>
    <n v="-89.252499999999998"/>
    <n v="4"/>
    <n v="0"/>
    <n v="0"/>
    <n v="107"/>
    <s v="_x0000_peopl"/>
  </r>
  <r>
    <x v="6"/>
    <n v="13.6929"/>
    <n v="-89.224599999999995"/>
    <n v="3"/>
    <n v="0"/>
    <n v="0"/>
    <n v="107"/>
    <s v="_x0000_peopl"/>
  </r>
  <r>
    <x v="6"/>
    <n v="13.690300000000001"/>
    <n v="-89.234099999999998"/>
    <n v="8"/>
    <n v="0"/>
    <n v="0"/>
    <n v="107"/>
    <s v="_x0000_peopl"/>
  </r>
  <r>
    <x v="6"/>
    <n v="13.6942"/>
    <n v="-89.183199999999999"/>
    <n v="3"/>
    <n v="0"/>
    <n v="0"/>
    <n v="107"/>
    <s v="_x0000_peopl"/>
  </r>
  <r>
    <x v="6"/>
    <n v="13.6877"/>
    <n v="-89.194599999999994"/>
    <n v="5"/>
    <n v="0"/>
    <n v="0"/>
    <n v="107"/>
    <s v="_x0000_peopl"/>
  </r>
  <r>
    <x v="6"/>
    <n v="13.6922"/>
    <n v="-89.179699999999997"/>
    <n v="1"/>
    <n v="0"/>
    <n v="0"/>
    <n v="107"/>
    <s v="_x0000_peopl"/>
  </r>
  <r>
    <x v="6"/>
    <n v="13.6737"/>
    <n v="-89.202799999999996"/>
    <n v="3"/>
    <n v="0"/>
    <n v="0"/>
    <n v="107"/>
    <s v="_x0000_peopl"/>
  </r>
  <r>
    <x v="6"/>
    <n v="13.6935"/>
    <n v="-89.176900000000003"/>
    <n v="7"/>
    <n v="0"/>
    <n v="0"/>
    <n v="107"/>
    <s v="_x0000_peopl"/>
  </r>
  <r>
    <x v="6"/>
    <n v="13.6907"/>
    <n v="-89.1815"/>
    <n v="5"/>
    <n v="0"/>
    <n v="0"/>
    <n v="107"/>
    <s v="_x0000_peopl"/>
  </r>
  <r>
    <x v="6"/>
    <n v="13.685700000000001"/>
    <n v="-89.212699999999998"/>
    <n v="6"/>
    <n v="0"/>
    <n v="0"/>
    <n v="107"/>
    <s v="_x0000_peopl"/>
  </r>
  <r>
    <x v="6"/>
    <n v="13.689500000000001"/>
    <n v="-89.205100000000002"/>
    <n v="7"/>
    <n v="0"/>
    <n v="0"/>
    <n v="107"/>
    <s v="_x0000_peopl"/>
  </r>
  <r>
    <x v="6"/>
    <n v="13.6876"/>
    <n v="-89.216499999999996"/>
    <n v="5"/>
    <n v="0"/>
    <n v="0"/>
    <n v="107"/>
    <s v="_x0000_peopl"/>
  </r>
  <r>
    <x v="6"/>
    <n v="13.691800000000001"/>
    <n v="-89.226100000000002"/>
    <n v="5"/>
    <n v="0"/>
    <n v="0"/>
    <n v="107"/>
    <s v="_x0000_peopl"/>
  </r>
  <r>
    <x v="6"/>
    <n v="13.6892"/>
    <n v="-89.229699999999994"/>
    <n v="5"/>
    <n v="0"/>
    <n v="0"/>
    <n v="107"/>
    <s v="_x0000_peopl"/>
  </r>
  <r>
    <x v="6"/>
    <n v="13.6874"/>
    <n v="-89.194400000000002"/>
    <n v="4"/>
    <n v="0"/>
    <n v="0"/>
    <n v="107"/>
    <s v="_x0000_peopl"/>
  </r>
  <r>
    <x v="6"/>
    <n v="13.6919"/>
    <n v="-89.225499999999997"/>
    <n v="5"/>
    <n v="0"/>
    <n v="0"/>
    <n v="107"/>
    <s v="_x0000_peopl"/>
  </r>
  <r>
    <x v="6"/>
    <n v="13.688700000000001"/>
    <n v="-89.18"/>
    <n v="6"/>
    <n v="0"/>
    <n v="0"/>
    <n v="107"/>
    <s v="_x0000_peopl"/>
  </r>
  <r>
    <x v="6"/>
    <n v="13.689500000000001"/>
    <n v="-89.207999999999998"/>
    <n v="3"/>
    <n v="0"/>
    <n v="0"/>
    <n v="107"/>
    <s v="_x0000_peopl"/>
  </r>
  <r>
    <x v="6"/>
    <n v="13.6915"/>
    <n v="-89.1935"/>
    <n v="7"/>
    <n v="0"/>
    <n v="0"/>
    <n v="107"/>
    <s v="_x0000_peopl"/>
  </r>
  <r>
    <x v="6"/>
    <n v="13.6938"/>
    <n v="-89.173699999999997"/>
    <n v="5"/>
    <n v="0"/>
    <n v="0"/>
    <n v="107"/>
    <s v="_x0000_peopl"/>
  </r>
  <r>
    <x v="6"/>
    <n v="13.6751"/>
    <n v="-89.252099999999999"/>
    <n v="6"/>
    <n v="0"/>
    <n v="0"/>
    <n v="107"/>
    <s v="_x0000_peopl"/>
  </r>
  <r>
    <x v="6"/>
    <n v="13.691800000000001"/>
    <n v="-89.179000000000002"/>
    <n v="5"/>
    <n v="0"/>
    <n v="0"/>
    <n v="107"/>
    <s v="_x0000_peopl"/>
  </r>
  <r>
    <x v="6"/>
    <n v="13.6943"/>
    <n v="-89.188599999999994"/>
    <n v="4"/>
    <n v="0"/>
    <n v="0"/>
    <n v="107"/>
    <s v="_x0000_peopl"/>
  </r>
  <r>
    <x v="6"/>
    <n v="13.688599999999999"/>
    <n v="-89.204700000000003"/>
    <n v="2"/>
    <n v="0"/>
    <n v="0"/>
    <n v="107"/>
    <s v="_x0000_peopl"/>
  </r>
  <r>
    <x v="6"/>
    <n v="13.6905"/>
    <n v="-89.194299999999998"/>
    <n v="4"/>
    <n v="0"/>
    <n v="0"/>
    <n v="107"/>
    <s v="_x0000_peopl"/>
  </r>
  <r>
    <x v="6"/>
    <n v="13.693099999999999"/>
    <n v="-89.183800000000005"/>
    <n v="7"/>
    <n v="0"/>
    <n v="0"/>
    <n v="107"/>
    <s v="_x0000_peopl"/>
  </r>
  <r>
    <x v="6"/>
    <n v="13.692299999999999"/>
    <n v="-89.226299999999995"/>
    <n v="5"/>
    <n v="0"/>
    <n v="0"/>
    <n v="107"/>
    <s v="_x0000_peopl"/>
  </r>
  <r>
    <x v="6"/>
    <n v="13.6919"/>
    <n v="-89.226699999999994"/>
    <n v="11"/>
    <n v="0"/>
    <n v="0"/>
    <n v="107"/>
    <s v="_x0000_peopl"/>
  </r>
  <r>
    <x v="6"/>
    <n v="13.6873"/>
    <n v="-89.197800000000001"/>
    <n v="3"/>
    <n v="0"/>
    <n v="0"/>
    <n v="107"/>
    <s v="_x0000_peopl"/>
  </r>
  <r>
    <x v="6"/>
    <n v="13.690099999999999"/>
    <n v="-89.1815"/>
    <n v="6"/>
    <n v="0"/>
    <n v="0"/>
    <n v="107"/>
    <s v="_x0000_peopl"/>
  </r>
  <r>
    <x v="6"/>
    <n v="13.6846"/>
    <n v="-89.217200000000005"/>
    <n v="5"/>
    <n v="0"/>
    <n v="0"/>
    <n v="107"/>
    <s v="_x0000_peopl"/>
  </r>
  <r>
    <x v="6"/>
    <n v="13.6852"/>
    <n v="-89.215000000000003"/>
    <n v="5"/>
    <n v="0"/>
    <n v="0"/>
    <n v="107"/>
    <s v="_x0000_peopl"/>
  </r>
  <r>
    <x v="6"/>
    <n v="13.691800000000001"/>
    <n v="-89.194299999999998"/>
    <n v="6"/>
    <n v="0"/>
    <n v="0"/>
    <n v="107"/>
    <s v="_x0000_peopl"/>
  </r>
  <r>
    <x v="6"/>
    <n v="13.6853"/>
    <n v="-89.215000000000003"/>
    <n v="4"/>
    <n v="0"/>
    <n v="0"/>
    <n v="107"/>
    <s v="_x0000_peopl"/>
  </r>
  <r>
    <x v="6"/>
    <n v="13.690899999999999"/>
    <n v="-89.219800000000006"/>
    <n v="4"/>
    <n v="0"/>
    <n v="0"/>
    <n v="107"/>
    <s v="_x0000_peopl"/>
  </r>
  <r>
    <x v="6"/>
    <n v="13.690200000000001"/>
    <n v="-89.179699999999997"/>
    <n v="2"/>
    <n v="0"/>
    <n v="0"/>
    <n v="107"/>
    <s v="_x0000_peopl"/>
  </r>
  <r>
    <x v="6"/>
    <n v="13.694599999999999"/>
    <n v="-89.174499999999995"/>
    <n v="7"/>
    <n v="0"/>
    <n v="0"/>
    <n v="107"/>
    <s v="_x0000_peopl"/>
  </r>
  <r>
    <x v="6"/>
    <n v="13.692"/>
    <n v="-89.225200000000001"/>
    <n v="3"/>
    <n v="0"/>
    <n v="0"/>
    <n v="107"/>
    <s v="_x0000_peopl"/>
  </r>
  <r>
    <x v="6"/>
    <n v="13.6899"/>
    <n v="-89.177599999999998"/>
    <n v="3"/>
    <n v="0"/>
    <n v="0"/>
    <n v="107"/>
    <s v="_x0000_peopl"/>
  </r>
  <r>
    <x v="6"/>
    <n v="13.685499999999999"/>
    <n v="-89.211200000000005"/>
    <n v="6"/>
    <n v="0"/>
    <n v="0"/>
    <n v="107"/>
    <s v="_x0000_peopl"/>
  </r>
  <r>
    <x v="6"/>
    <n v="13.692299999999999"/>
    <n v="-89.222700000000003"/>
    <n v="5"/>
    <n v="0"/>
    <n v="0"/>
    <n v="107"/>
    <s v="_x0000_peopl"/>
  </r>
  <r>
    <x v="6"/>
    <n v="13.689500000000001"/>
    <n v="-89.206500000000005"/>
    <n v="6"/>
    <n v="0"/>
    <n v="0"/>
    <n v="107"/>
    <s v="_x0000_peopl"/>
  </r>
  <r>
    <x v="6"/>
    <n v="13.694699999999999"/>
    <n v="-89.174999999999997"/>
    <n v="5"/>
    <n v="0"/>
    <n v="0"/>
    <n v="107"/>
    <s v="_x0000_peopl"/>
  </r>
  <r>
    <x v="6"/>
    <n v="13.6751"/>
    <n v="-89.251900000000006"/>
    <n v="7"/>
    <n v="0"/>
    <n v="0"/>
    <n v="107"/>
    <s v="_x0000_peopl"/>
  </r>
  <r>
    <x v="6"/>
    <n v="13.691000000000001"/>
    <n v="-89.234800000000007"/>
    <n v="5"/>
    <n v="0"/>
    <n v="0"/>
    <n v="107"/>
    <s v="_x0000_peopl"/>
  </r>
  <r>
    <x v="6"/>
    <n v="13.694599999999999"/>
    <n v="-89.174199999999999"/>
    <n v="7"/>
    <n v="0"/>
    <n v="0"/>
    <n v="107"/>
    <s v="_x0000_peopl"/>
  </r>
  <r>
    <x v="6"/>
    <n v="13.686"/>
    <n v="-89.215699999999998"/>
    <n v="3"/>
    <n v="0"/>
    <n v="0"/>
    <n v="107"/>
    <s v="_x0000_peopl"/>
  </r>
  <r>
    <x v="6"/>
    <n v="13.689399999999999"/>
    <n v="-89.202799999999996"/>
    <n v="4"/>
    <n v="0"/>
    <n v="0"/>
    <n v="107"/>
    <s v="_x0000_peopl"/>
  </r>
  <r>
    <x v="6"/>
    <n v="13.691599999999999"/>
    <n v="-89.179299999999998"/>
    <n v="5"/>
    <n v="0"/>
    <n v="0"/>
    <n v="107"/>
    <s v="_x0000_peopl"/>
  </r>
  <r>
    <x v="6"/>
    <n v="13.690899999999999"/>
    <n v="-89.2316"/>
    <n v="5"/>
    <n v="0"/>
    <n v="0"/>
    <n v="107"/>
    <s v="_x0000_peopl"/>
  </r>
  <r>
    <x v="6"/>
    <n v="13.692299999999999"/>
    <n v="-89.225700000000003"/>
    <n v="5"/>
    <n v="0"/>
    <n v="0"/>
    <n v="107"/>
    <s v="_x0000_peopl"/>
  </r>
  <r>
    <x v="6"/>
    <n v="13.6935"/>
    <n v="-89.188800000000001"/>
    <n v="6"/>
    <n v="0"/>
    <n v="0"/>
    <n v="107"/>
    <s v="_x0000_peopl"/>
  </r>
  <r>
    <x v="6"/>
    <n v="13.693"/>
    <n v="-89.177000000000007"/>
    <n v="1"/>
    <n v="0"/>
    <n v="0"/>
    <n v="107"/>
    <s v="_x0000_peopl"/>
  </r>
  <r>
    <x v="6"/>
    <n v="13.6907"/>
    <n v="-89.186000000000007"/>
    <n v="1"/>
    <n v="0"/>
    <n v="0"/>
    <n v="107"/>
    <s v="_x0000_peopl"/>
  </r>
  <r>
    <x v="6"/>
    <n v="13.6798"/>
    <n v="-89.196700000000007"/>
    <n v="5"/>
    <n v="0"/>
    <n v="0"/>
    <n v="107"/>
    <s v="_x0000_peopl"/>
  </r>
  <r>
    <x v="6"/>
    <n v="13.688800000000001"/>
    <n v="-89.194800000000001"/>
    <n v="6"/>
    <n v="0"/>
    <n v="0"/>
    <n v="107"/>
    <s v="_x0000_peopl"/>
  </r>
  <r>
    <x v="6"/>
    <n v="13.691800000000001"/>
    <n v="-89.224800000000002"/>
    <n v="6"/>
    <n v="0"/>
    <n v="0"/>
    <n v="107"/>
    <s v="_x0000_peopl"/>
  </r>
  <r>
    <x v="6"/>
    <n v="13.674200000000001"/>
    <n v="-89.201899999999995"/>
    <n v="2"/>
    <n v="0"/>
    <n v="0"/>
    <n v="107"/>
    <s v="_x0000_peopl"/>
  </r>
  <r>
    <x v="6"/>
    <n v="13.6873"/>
    <n v="-89.194500000000005"/>
    <n v="4"/>
    <n v="0"/>
    <n v="0"/>
    <n v="107"/>
    <s v="_x0000_peopl"/>
  </r>
  <r>
    <x v="6"/>
    <n v="13.6745"/>
    <n v="-89.199100000000001"/>
    <n v="6"/>
    <n v="0"/>
    <n v="0"/>
    <n v="107"/>
    <s v="_x0000_peopl"/>
  </r>
  <r>
    <x v="6"/>
    <n v="13.6904"/>
    <n v="-89.186099999999996"/>
    <n v="5"/>
    <n v="0"/>
    <n v="0"/>
    <n v="107"/>
    <s v="_x0000_peopl"/>
  </r>
  <r>
    <x v="6"/>
    <n v="13.6927"/>
    <n v="-89.224999999999994"/>
    <n v="6"/>
    <n v="0"/>
    <n v="0"/>
    <n v="107"/>
    <s v="_x0000_peopl"/>
  </r>
  <r>
    <x v="6"/>
    <n v="13.677"/>
    <n v="-89.247399999999999"/>
    <n v="5"/>
    <n v="0"/>
    <n v="0"/>
    <n v="107"/>
    <s v="_x0000_peopl"/>
  </r>
  <r>
    <x v="6"/>
    <n v="13.6913"/>
    <n v="-89.189400000000006"/>
    <n v="3"/>
    <n v="0"/>
    <n v="0"/>
    <n v="107"/>
    <s v="_x0000_peopl"/>
  </r>
  <r>
    <x v="6"/>
    <n v="13.6904"/>
    <n v="-89.193299999999994"/>
    <n v="5"/>
    <n v="0"/>
    <n v="0"/>
    <n v="107"/>
    <s v="_x0000_peopl"/>
  </r>
  <r>
    <x v="6"/>
    <n v="13.6912"/>
    <n v="-89.22"/>
    <n v="6"/>
    <n v="0"/>
    <n v="0"/>
    <n v="107"/>
    <s v="_x0000_peopl"/>
  </r>
  <r>
    <x v="6"/>
    <n v="13.6753"/>
    <n v="-89.248199999999997"/>
    <n v="3"/>
    <n v="0"/>
    <n v="0"/>
    <n v="107"/>
    <s v="_x0000_peopl"/>
  </r>
  <r>
    <x v="6"/>
    <n v="13.691700000000001"/>
    <n v="-89.181700000000006"/>
    <n v="5"/>
    <n v="0"/>
    <n v="0"/>
    <n v="107"/>
    <s v="_x0000_peopl"/>
  </r>
  <r>
    <x v="6"/>
    <n v="13.696899999999999"/>
    <n v="-89.171999999999997"/>
    <n v="3"/>
    <n v="0"/>
    <n v="0"/>
    <n v="107"/>
    <s v="_x0000_peopl"/>
  </r>
  <r>
    <x v="6"/>
    <n v="13.695499999999999"/>
    <n v="-89.166600000000003"/>
    <n v="8"/>
    <n v="0"/>
    <n v="0"/>
    <n v="107"/>
    <s v="_x0000_peopl"/>
  </r>
  <r>
    <x v="6"/>
    <n v="13.686999999999999"/>
    <n v="-89.197100000000006"/>
    <n v="2"/>
    <n v="0"/>
    <n v="0"/>
    <n v="107"/>
    <s v="_x0000_peopl"/>
  </r>
  <r>
    <x v="6"/>
    <n v="13.692500000000001"/>
    <n v="-89.183199999999999"/>
    <n v="4"/>
    <n v="0"/>
    <n v="0"/>
    <n v="107"/>
    <s v="_x0000_peopl"/>
  </r>
  <r>
    <x v="6"/>
    <n v="13.6874"/>
    <n v="-89.196299999999994"/>
    <n v="11"/>
    <n v="0"/>
    <n v="0"/>
    <n v="107"/>
    <s v="_x0000_peopl"/>
  </r>
  <r>
    <x v="6"/>
    <n v="13.6877"/>
    <n v="-89.179699999999997"/>
    <n v="2"/>
    <n v="0"/>
    <n v="0"/>
    <n v="107"/>
    <s v="_x0000_peopl"/>
  </r>
  <r>
    <x v="6"/>
    <n v="13.695499999999999"/>
    <n v="-89.171800000000005"/>
    <n v="8"/>
    <n v="0"/>
    <n v="0"/>
    <n v="107"/>
    <s v="_x0000_peopl"/>
  </r>
  <r>
    <x v="6"/>
    <n v="13.6898"/>
    <n v="-89.194100000000006"/>
    <n v="3"/>
    <n v="0"/>
    <n v="0"/>
    <n v="107"/>
    <s v="_x0000_peopl"/>
  </r>
  <r>
    <x v="6"/>
    <n v="13.677199999999999"/>
    <n v="-89.199700000000007"/>
    <n v="3"/>
    <n v="0"/>
    <n v="0"/>
    <n v="107"/>
    <s v="_x0000_peopl"/>
  </r>
  <r>
    <x v="6"/>
    <n v="13.691700000000001"/>
    <n v="-89.183199999999999"/>
    <n v="6"/>
    <n v="0"/>
    <n v="0"/>
    <n v="107"/>
    <s v="_x0000_peopl"/>
  </r>
  <r>
    <x v="6"/>
    <n v="13.693099999999999"/>
    <n v="-89.185500000000005"/>
    <n v="2"/>
    <n v="0"/>
    <n v="0"/>
    <n v="107"/>
    <s v="_x0000_peopl"/>
  </r>
  <r>
    <x v="6"/>
    <n v="13.690300000000001"/>
    <n v="-89.235500000000002"/>
    <n v="7"/>
    <n v="0"/>
    <n v="0"/>
    <n v="107"/>
    <s v="_x0000_peopl"/>
  </r>
  <r>
    <x v="6"/>
    <n v="13.6912"/>
    <n v="-89.2333"/>
    <n v="7"/>
    <n v="0"/>
    <n v="0"/>
    <n v="107"/>
    <s v="_x0000_peopl"/>
  </r>
  <r>
    <x v="6"/>
    <n v="13.6928"/>
    <n v="-89.178100000000001"/>
    <n v="2"/>
    <n v="0"/>
    <n v="0"/>
    <n v="107"/>
    <s v="_x0000_peopl"/>
  </r>
  <r>
    <x v="6"/>
    <n v="13.6851"/>
    <n v="-89.217200000000005"/>
    <n v="5"/>
    <n v="0"/>
    <n v="0"/>
    <n v="107"/>
    <s v="_x0000_peopl"/>
  </r>
  <r>
    <x v="6"/>
    <n v="13.6911"/>
    <n v="-89.233999999999995"/>
    <n v="5"/>
    <n v="0"/>
    <n v="0"/>
    <n v="107"/>
    <s v="_x0000_peopl"/>
  </r>
  <r>
    <x v="6"/>
    <n v="13.6906"/>
    <n v="-89.184799999999996"/>
    <n v="3"/>
    <n v="0"/>
    <n v="0"/>
    <n v="107"/>
    <s v="_x0000_peopl"/>
  </r>
  <r>
    <x v="6"/>
    <n v="13.685499999999999"/>
    <n v="-89.212699999999998"/>
    <n v="8"/>
    <n v="0"/>
    <n v="0"/>
    <n v="107"/>
    <s v="_x0000_peopl"/>
  </r>
  <r>
    <x v="6"/>
    <n v="13.674899999999999"/>
    <n v="-89.199600000000004"/>
    <n v="5"/>
    <n v="0"/>
    <n v="0"/>
    <n v="107"/>
    <s v="_x0000_peopl"/>
  </r>
  <r>
    <x v="6"/>
    <n v="13.692399999999999"/>
    <n v="-89.174700000000001"/>
    <n v="2"/>
    <n v="0"/>
    <n v="0"/>
    <n v="107"/>
    <s v="_x0000_peopl"/>
  </r>
  <r>
    <x v="6"/>
    <n v="13.674099999999999"/>
    <n v="-89.252499999999998"/>
    <n v="5"/>
    <n v="0"/>
    <n v="0"/>
    <n v="107"/>
    <s v="_x0000_peopl"/>
  </r>
  <r>
    <x v="6"/>
    <n v="13.687799999999999"/>
    <n v="-89.181399999999996"/>
    <n v="5"/>
    <n v="0"/>
    <n v="0"/>
    <n v="107"/>
    <s v="_x0000_peopl"/>
  </r>
  <r>
    <x v="6"/>
    <n v="13.6914"/>
    <n v="-89.233999999999995"/>
    <n v="3"/>
    <n v="0"/>
    <n v="0"/>
    <n v="107"/>
    <s v="_x0000_peopl"/>
  </r>
  <r>
    <x v="6"/>
    <n v="13.689500000000001"/>
    <n v="-89.235399999999998"/>
    <n v="6"/>
    <n v="0"/>
    <n v="0"/>
    <n v="107"/>
    <s v="_x0000_peopl"/>
  </r>
  <r>
    <x v="6"/>
    <n v="13.691700000000001"/>
    <n v="-89.1785"/>
    <n v="4"/>
    <n v="0"/>
    <n v="0"/>
    <n v="107"/>
    <s v="_x0000_peopl"/>
  </r>
  <r>
    <x v="6"/>
    <n v="13.6911"/>
    <n v="-89.235699999999994"/>
    <n v="5"/>
    <n v="0"/>
    <n v="0"/>
    <n v="107"/>
    <s v="_x0000_peopl"/>
  </r>
  <r>
    <x v="6"/>
    <n v="13.690799999999999"/>
    <n v="-89.189300000000003"/>
    <n v="4"/>
    <n v="0"/>
    <n v="0"/>
    <n v="107"/>
    <s v="_x0000_peopl"/>
  </r>
  <r>
    <x v="6"/>
    <n v="13.6915"/>
    <n v="-89.233400000000003"/>
    <n v="4"/>
    <n v="0"/>
    <n v="0"/>
    <n v="107"/>
    <s v="_x0000_peopl"/>
  </r>
  <r>
    <x v="6"/>
    <n v="13.688700000000001"/>
    <n v="-89.217200000000005"/>
    <n v="8"/>
    <n v="0"/>
    <n v="0"/>
    <n v="107"/>
    <s v="_x0000_peopl"/>
  </r>
  <r>
    <x v="6"/>
    <n v="13.6905"/>
    <n v="-89.227800000000002"/>
    <n v="4"/>
    <n v="0"/>
    <n v="0"/>
    <n v="107"/>
    <s v="_x0000_peopl"/>
  </r>
  <r>
    <x v="6"/>
    <n v="13.677199999999999"/>
    <n v="-89.199700000000007"/>
    <n v="9"/>
    <n v="0"/>
    <n v="0"/>
    <n v="107"/>
    <s v="_x0000_peopl"/>
  </r>
  <r>
    <x v="6"/>
    <n v="13.689299999999999"/>
    <n v="-89.177700000000002"/>
    <n v="5"/>
    <n v="0"/>
    <n v="0"/>
    <n v="107"/>
    <s v="_x0000_peopl"/>
  </r>
  <r>
    <x v="6"/>
    <n v="13.696899999999999"/>
    <n v="-89.171400000000006"/>
    <n v="3"/>
    <n v="0"/>
    <n v="0"/>
    <n v="107"/>
    <s v="_x0000_peopl"/>
  </r>
  <r>
    <x v="6"/>
    <n v="13.6859"/>
    <n v="-89.211299999999994"/>
    <n v="1"/>
    <n v="0"/>
    <n v="0"/>
    <n v="107"/>
    <s v="_x0000_peopl"/>
  </r>
  <r>
    <x v="6"/>
    <n v="13.691000000000001"/>
    <n v="-89.235200000000006"/>
    <n v="6"/>
    <n v="0"/>
    <n v="0"/>
    <n v="107"/>
    <s v="_x0000_peopl"/>
  </r>
  <r>
    <x v="6"/>
    <n v="13.6736"/>
    <n v="-89.251300000000001"/>
    <n v="3"/>
    <n v="0"/>
    <n v="0"/>
    <n v="107"/>
    <s v="_x0000_peopl"/>
  </r>
  <r>
    <x v="6"/>
    <n v="13.6907"/>
    <n v="-89.231999999999999"/>
    <n v="2"/>
    <n v="0"/>
    <n v="0"/>
    <n v="107"/>
    <s v="_x0000_peopl"/>
  </r>
  <r>
    <x v="6"/>
    <n v="13.689299999999999"/>
    <n v="-89.206100000000006"/>
    <n v="6"/>
    <n v="0"/>
    <n v="0"/>
    <n v="107"/>
    <s v="_x0000_peopl"/>
  </r>
  <r>
    <x v="6"/>
    <n v="13.694599999999999"/>
    <n v="-89.1828"/>
    <n v="5"/>
    <n v="0"/>
    <n v="0"/>
    <n v="107"/>
    <s v="_x0000_peopl"/>
  </r>
  <r>
    <x v="6"/>
    <n v="13.692500000000001"/>
    <n v="-89.225099999999998"/>
    <n v="4"/>
    <n v="0"/>
    <n v="0"/>
    <n v="107"/>
    <s v="_x0000_peopl"/>
  </r>
  <r>
    <x v="6"/>
    <n v="13.6944"/>
    <n v="-89.183300000000003"/>
    <n v="2"/>
    <n v="0"/>
    <n v="0"/>
    <n v="107"/>
    <s v="_x0000_peopl"/>
  </r>
  <r>
    <x v="6"/>
    <n v="13.69"/>
    <n v="-89.184899999999999"/>
    <n v="4"/>
    <n v="0"/>
    <n v="0"/>
    <n v="107"/>
    <s v="_x0000_peopl"/>
  </r>
  <r>
    <x v="6"/>
    <n v="13.6875"/>
    <n v="-89.197199999999995"/>
    <n v="4"/>
    <n v="0"/>
    <n v="0"/>
    <n v="107"/>
    <s v="_x0000_peopl"/>
  </r>
  <r>
    <x v="6"/>
    <n v="13.6907"/>
    <n v="-89.235399999999998"/>
    <n v="5"/>
    <n v="0"/>
    <n v="0"/>
    <n v="107"/>
    <s v="_x0000_peopl"/>
  </r>
  <r>
    <x v="6"/>
    <n v="13.6883"/>
    <n v="-89.194599999999994"/>
    <n v="3"/>
    <n v="0"/>
    <n v="0"/>
    <n v="107"/>
    <s v="_x0000_peopl"/>
  </r>
  <r>
    <x v="6"/>
    <n v="13.687099999999999"/>
    <n v="-89.211200000000005"/>
    <n v="2"/>
    <n v="0"/>
    <n v="0"/>
    <n v="107"/>
    <s v="_x0000_peopl"/>
  </r>
  <r>
    <x v="6"/>
    <n v="13.690899999999999"/>
    <n v="-89.179199999999994"/>
    <n v="4"/>
    <n v="0"/>
    <n v="0"/>
    <n v="107"/>
    <s v="_x0000_peopl"/>
  </r>
  <r>
    <x v="6"/>
    <n v="13.6876"/>
    <n v="-89.194299999999998"/>
    <n v="5"/>
    <n v="0"/>
    <n v="0"/>
    <n v="107"/>
    <s v="_x0000_peopl"/>
  </r>
  <r>
    <x v="6"/>
    <n v="13.689399999999999"/>
    <n v="-89.197400000000002"/>
    <n v="7"/>
    <n v="0"/>
    <n v="0"/>
    <n v="107"/>
    <s v="_x0000_peopl"/>
  </r>
  <r>
    <x v="6"/>
    <n v="13.685"/>
    <n v="-89.193799999999996"/>
    <n v="2"/>
    <n v="0"/>
    <n v="0"/>
    <n v="107"/>
    <s v="_x0000_peopl"/>
  </r>
  <r>
    <x v="6"/>
    <n v="13.692299999999999"/>
    <n v="-89.179100000000005"/>
    <n v="5"/>
    <n v="0"/>
    <n v="0"/>
    <n v="107"/>
    <s v="_x0000_peopl"/>
  </r>
  <r>
    <x v="6"/>
    <n v="13.689500000000001"/>
    <n v="-89.235600000000005"/>
    <n v="4"/>
    <n v="0"/>
    <n v="0"/>
    <n v="107"/>
    <s v="_x0000_peopl"/>
  </r>
  <r>
    <x v="6"/>
    <n v="13.693"/>
    <n v="-89.178100000000001"/>
    <n v="7"/>
    <n v="0"/>
    <n v="0"/>
    <n v="107"/>
    <s v="_x0000_peopl"/>
  </r>
  <r>
    <x v="6"/>
    <n v="13.690200000000001"/>
    <n v="-89.188400000000001"/>
    <n v="3"/>
    <n v="0"/>
    <n v="0"/>
    <n v="107"/>
    <s v="_x0000_peopl"/>
  </r>
  <r>
    <x v="6"/>
    <n v="13.688599999999999"/>
    <n v="-89.1905"/>
    <n v="6"/>
    <n v="0"/>
    <n v="0"/>
    <n v="107"/>
    <s v="_x0000_peopl"/>
  </r>
  <r>
    <x v="6"/>
    <n v="13.6845"/>
    <n v="-89.211699999999993"/>
    <n v="7"/>
    <n v="0"/>
    <n v="0"/>
    <n v="107"/>
    <s v="_x0000_peopl"/>
  </r>
  <r>
    <x v="6"/>
    <n v="13.6861"/>
    <n v="-89.198099999999997"/>
    <n v="8"/>
    <n v="0"/>
    <n v="0"/>
    <n v="107"/>
    <s v="_x0000_peopl"/>
  </r>
  <r>
    <x v="6"/>
    <n v="13.6721"/>
    <n v="-89.205100000000002"/>
    <n v="5"/>
    <n v="0"/>
    <n v="0"/>
    <n v="107"/>
    <s v="_x0000_peopl"/>
  </r>
  <r>
    <x v="6"/>
    <n v="13.693"/>
    <n v="-89.189800000000005"/>
    <n v="6"/>
    <n v="0"/>
    <n v="0"/>
    <n v="107"/>
    <s v="_x0000_peopl"/>
  </r>
  <r>
    <x v="6"/>
    <n v="13.6915"/>
    <n v="-89.220399999999998"/>
    <n v="6"/>
    <n v="0"/>
    <n v="0"/>
    <n v="107"/>
    <s v="_x0000_peopl"/>
  </r>
  <r>
    <x v="6"/>
    <n v="13.6935"/>
    <n v="-89.176500000000004"/>
    <n v="2"/>
    <n v="0"/>
    <n v="0"/>
    <n v="107"/>
    <s v="_x0000_peopl"/>
  </r>
  <r>
    <x v="6"/>
    <n v="13.687200000000001"/>
    <n v="-89.197400000000002"/>
    <n v="6"/>
    <n v="0"/>
    <n v="0"/>
    <n v="107"/>
    <s v="_x0000_peopl"/>
  </r>
  <r>
    <x v="6"/>
    <n v="13.6942"/>
    <n v="-89.174700000000001"/>
    <n v="4"/>
    <n v="0"/>
    <n v="0"/>
    <n v="107"/>
    <s v="_x0000_peopl"/>
  </r>
  <r>
    <x v="6"/>
    <n v="13.6891"/>
    <n v="-89.236199999999997"/>
    <n v="13"/>
    <n v="0"/>
    <n v="0"/>
    <n v="107"/>
    <s v="_x0000_peopl"/>
  </r>
  <r>
    <x v="6"/>
    <n v="13.6898"/>
    <n v="-89.235399999999998"/>
    <n v="4"/>
    <n v="0"/>
    <n v="0"/>
    <n v="107"/>
    <s v="_x0000_peopl"/>
  </r>
  <r>
    <x v="6"/>
    <n v="13.6852"/>
    <n v="-89.216800000000006"/>
    <n v="4"/>
    <n v="0"/>
    <n v="0"/>
    <n v="107"/>
    <s v="_x0000_peopl"/>
  </r>
  <r>
    <x v="6"/>
    <n v="13.6929"/>
    <n v="-89.224000000000004"/>
    <n v="9"/>
    <n v="0"/>
    <n v="0"/>
    <n v="107"/>
    <s v="_x0000_peopl"/>
  </r>
  <r>
    <x v="6"/>
    <n v="13.688599999999999"/>
    <n v="-89.206699999999998"/>
    <n v="6"/>
    <n v="0"/>
    <n v="0"/>
    <n v="107"/>
    <s v="_x0000_peopl"/>
  </r>
  <r>
    <x v="6"/>
    <n v="13.6912"/>
    <n v="-89.190399999999997"/>
    <n v="4"/>
    <n v="0"/>
    <n v="0"/>
    <n v="107"/>
    <s v="_x0000_peopl"/>
  </r>
  <r>
    <x v="6"/>
    <n v="13.6882"/>
    <n v="-89.204800000000006"/>
    <n v="1"/>
    <n v="0"/>
    <n v="0"/>
    <n v="107"/>
    <s v="_x0000_peopl"/>
  </r>
  <r>
    <x v="6"/>
    <n v="13.679399999999999"/>
    <n v="-89.197299999999998"/>
    <n v="7"/>
    <n v="0"/>
    <n v="0"/>
    <n v="107"/>
    <s v="_x0000_peopl"/>
  </r>
  <r>
    <x v="6"/>
    <n v="13.6906"/>
    <n v="-89.227699999999999"/>
    <n v="4"/>
    <n v="0"/>
    <n v="0"/>
    <n v="107"/>
    <s v="_x0000_peopl"/>
  </r>
  <r>
    <x v="6"/>
    <n v="13.6746"/>
    <n v="-89.199700000000007"/>
    <n v="3"/>
    <n v="0"/>
    <n v="0"/>
    <n v="107"/>
    <s v="_x0000_peopl"/>
  </r>
  <r>
    <x v="6"/>
    <n v="13.691000000000001"/>
    <n v="-89.185500000000005"/>
    <n v="3"/>
    <n v="0"/>
    <n v="0"/>
    <n v="107"/>
    <s v="_x0000_peopl"/>
  </r>
  <r>
    <x v="6"/>
    <n v="13.6945"/>
    <n v="-89.185100000000006"/>
    <n v="4"/>
    <n v="0"/>
    <n v="0"/>
    <n v="107"/>
    <s v="_x0000_peopl"/>
  </r>
  <r>
    <x v="6"/>
    <n v="13.6859"/>
    <n v="-89.214399999999998"/>
    <n v="9"/>
    <n v="0"/>
    <n v="0"/>
    <n v="107"/>
    <s v="_x0000_peopl"/>
  </r>
  <r>
    <x v="6"/>
    <n v="13.6919"/>
    <n v="-89.221100000000007"/>
    <n v="2"/>
    <n v="0"/>
    <n v="0"/>
    <n v="107"/>
    <s v="_x0000_peopl"/>
  </r>
  <r>
    <x v="6"/>
    <n v="13.685600000000001"/>
    <n v="-89.211500000000001"/>
    <n v="5"/>
    <n v="0"/>
    <n v="0"/>
    <n v="107"/>
    <s v="_x0000_peopl"/>
  </r>
  <r>
    <x v="6"/>
    <n v="13.695399999999999"/>
    <n v="-89.173699999999997"/>
    <n v="3"/>
    <n v="0"/>
    <n v="0"/>
    <n v="107"/>
    <s v="_x0000_peopl"/>
  </r>
  <r>
    <x v="6"/>
    <n v="13.6866"/>
    <n v="-89.202200000000005"/>
    <n v="6"/>
    <n v="0"/>
    <n v="0"/>
    <n v="107"/>
    <s v="_x0000_peopl"/>
  </r>
  <r>
    <x v="6"/>
    <n v="13.680400000000001"/>
    <n v="-89.197100000000006"/>
    <n v="8"/>
    <n v="0"/>
    <n v="0"/>
    <n v="107"/>
    <s v="_x0000_peopl"/>
  </r>
  <r>
    <x v="6"/>
    <n v="13.69"/>
    <n v="-89.193600000000004"/>
    <n v="5"/>
    <n v="0"/>
    <n v="0"/>
    <n v="107"/>
    <s v="_x0000_peopl"/>
  </r>
  <r>
    <x v="6"/>
    <n v="13.6775"/>
    <n v="-89.247200000000007"/>
    <n v="6"/>
    <n v="0"/>
    <n v="0"/>
    <n v="107"/>
    <s v="_x0000_peopl"/>
  </r>
  <r>
    <x v="6"/>
    <n v="13.6911"/>
    <n v="-89.181600000000003"/>
    <n v="5"/>
    <n v="0"/>
    <n v="0"/>
    <n v="107"/>
    <s v="_x0000_peopl"/>
  </r>
  <r>
    <x v="6"/>
    <n v="13.6778"/>
    <n v="-89.246799999999993"/>
    <n v="7"/>
    <n v="0"/>
    <n v="0"/>
    <n v="107"/>
    <s v="_x0000_peopl"/>
  </r>
  <r>
    <x v="6"/>
    <n v="13.692399999999999"/>
    <n v="-89.189700000000002"/>
    <n v="5"/>
    <n v="0"/>
    <n v="0"/>
    <n v="107"/>
    <s v="_x0000_peopl"/>
  </r>
  <r>
    <x v="6"/>
    <n v="13.687099999999999"/>
    <n v="-89.1828"/>
    <n v="8"/>
    <n v="0"/>
    <n v="0"/>
    <n v="107"/>
    <s v="_x0000_peopl"/>
  </r>
  <r>
    <x v="6"/>
    <n v="13.684799999999999"/>
    <n v="-89.203199999999995"/>
    <n v="8"/>
    <n v="0"/>
    <n v="0"/>
    <n v="107"/>
    <s v="_x0000_peopl"/>
  </r>
  <r>
    <x v="6"/>
    <n v="13.6892"/>
    <n v="-89.183899999999994"/>
    <n v="7"/>
    <n v="0"/>
    <n v="0"/>
    <n v="107"/>
    <s v="_x0000_peopl"/>
  </r>
  <r>
    <x v="6"/>
    <n v="13.681100000000001"/>
    <n v="-89.197800000000001"/>
    <n v="6"/>
    <n v="0"/>
    <n v="0"/>
    <n v="107"/>
    <s v="_x0000_peopl"/>
  </r>
  <r>
    <x v="6"/>
    <n v="13.692399999999999"/>
    <n v="-89.175299999999993"/>
    <n v="6"/>
    <n v="0"/>
    <n v="0"/>
    <n v="107"/>
    <s v="_x0000_peopl"/>
  </r>
  <r>
    <x v="6"/>
    <n v="13.6883"/>
    <n v="-89.216800000000006"/>
    <n v="4"/>
    <n v="0"/>
    <n v="0"/>
    <n v="107"/>
    <s v="_x0000_peopl"/>
  </r>
  <r>
    <x v="6"/>
    <n v="13.690200000000001"/>
    <n v="-89.2346"/>
    <n v="1"/>
    <n v="0"/>
    <n v="0"/>
    <n v="107"/>
    <s v="_x0000_peopl"/>
  </r>
  <r>
    <x v="6"/>
    <n v="13.6746"/>
    <n v="-89.199100000000001"/>
    <n v="4"/>
    <n v="0"/>
    <n v="0"/>
    <n v="107"/>
    <s v="_x0000_peopl"/>
  </r>
  <r>
    <x v="6"/>
    <n v="13.6937"/>
    <n v="-89.176400000000001"/>
    <n v="4"/>
    <n v="0"/>
    <n v="0"/>
    <n v="107"/>
    <s v="_x0000_peopl"/>
  </r>
  <r>
    <x v="6"/>
    <n v="13.6755"/>
    <n v="-89.247900000000001"/>
    <n v="3"/>
    <n v="0"/>
    <n v="0"/>
    <n v="107"/>
    <s v="_x0000_peopl"/>
  </r>
  <r>
    <x v="6"/>
    <n v="13.6957"/>
    <n v="-89.172600000000003"/>
    <n v="2"/>
    <n v="0"/>
    <n v="0"/>
    <n v="107"/>
    <s v="_x0000_peopl"/>
  </r>
  <r>
    <x v="6"/>
    <n v="13.6873"/>
    <n v="-89.197199999999995"/>
    <n v="7"/>
    <n v="0"/>
    <n v="0"/>
    <n v="107"/>
    <s v="_x0000_peopl"/>
  </r>
  <r>
    <x v="6"/>
    <n v="13.687200000000001"/>
    <n v="-89.217100000000002"/>
    <n v="9"/>
    <n v="0"/>
    <n v="0"/>
    <n v="107"/>
    <s v="_x0000_peopl"/>
  </r>
  <r>
    <x v="6"/>
    <n v="13.6912"/>
    <n v="-89.235299999999995"/>
    <n v="6"/>
    <n v="0"/>
    <n v="0"/>
    <n v="107"/>
    <s v="_x0000_peopl"/>
  </r>
  <r>
    <x v="6"/>
    <n v="13.6922"/>
    <n v="-89.224000000000004"/>
    <n v="5"/>
    <n v="0"/>
    <n v="0"/>
    <n v="107"/>
    <s v="_x0000_peopl"/>
  </r>
  <r>
    <x v="6"/>
    <n v="13.674899999999999"/>
    <n v="-89.249700000000004"/>
    <n v="5"/>
    <n v="0"/>
    <n v="0"/>
    <n v="107"/>
    <s v="_x0000_peopl"/>
  </r>
  <r>
    <x v="6"/>
    <n v="13.695499999999999"/>
    <n v="-89.172799999999995"/>
    <n v="10"/>
    <n v="0"/>
    <n v="0"/>
    <n v="107"/>
    <s v="_x0000_peopl"/>
  </r>
  <r>
    <x v="6"/>
    <n v="13.674899999999999"/>
    <n v="-89.249099999999999"/>
    <n v="3"/>
    <n v="0"/>
    <n v="0"/>
    <n v="107"/>
    <s v="_x0000_peopl"/>
  </r>
  <r>
    <x v="6"/>
    <n v="13.690899999999999"/>
    <n v="-89.234300000000005"/>
    <n v="6"/>
    <n v="0"/>
    <n v="0"/>
    <n v="107"/>
    <s v="_x0000_peopl"/>
  </r>
  <r>
    <x v="6"/>
    <n v="13.6898"/>
    <n v="-89.197900000000004"/>
    <n v="5"/>
    <n v="0"/>
    <n v="0"/>
    <n v="107"/>
    <s v="_x0000_peopl"/>
  </r>
  <r>
    <x v="6"/>
    <n v="13.6929"/>
    <n v="-89.224199999999996"/>
    <n v="3"/>
    <n v="0"/>
    <n v="0"/>
    <n v="107"/>
    <s v="_x0000_peopl"/>
  </r>
  <r>
    <x v="6"/>
    <n v="13.694000000000001"/>
    <n v="-89.186300000000003"/>
    <n v="2"/>
    <n v="0"/>
    <n v="0"/>
    <n v="107"/>
    <s v="_x0000_peopl"/>
  </r>
  <r>
    <x v="6"/>
    <n v="13.6912"/>
    <n v="-89.178700000000006"/>
    <n v="4"/>
    <n v="0"/>
    <n v="0"/>
    <n v="107"/>
    <s v="_x0000_peopl"/>
  </r>
  <r>
    <x v="6"/>
    <n v="13.692500000000001"/>
    <n v="-89.190200000000004"/>
    <n v="5"/>
    <n v="0"/>
    <n v="0"/>
    <n v="107"/>
    <s v="_x0000_peopl"/>
  </r>
  <r>
    <x v="6"/>
    <n v="13.6884"/>
    <n v="-89.190799999999996"/>
    <n v="4"/>
    <n v="0"/>
    <n v="0"/>
    <n v="107"/>
    <s v="_x0000_peopl"/>
  </r>
  <r>
    <x v="6"/>
    <n v="13.6853"/>
    <n v="-89.211299999999994"/>
    <n v="3"/>
    <n v="0"/>
    <n v="0"/>
    <n v="107"/>
    <s v="_x0000_peopl"/>
  </r>
  <r>
    <x v="6"/>
    <n v="13.6874"/>
    <n v="-89.195800000000006"/>
    <n v="3"/>
    <n v="0"/>
    <n v="0"/>
    <n v="107"/>
    <s v="_x0000_peopl"/>
  </r>
  <r>
    <x v="6"/>
    <n v="13.6936"/>
    <n v="-89.190299999999993"/>
    <n v="3"/>
    <n v="0"/>
    <n v="0"/>
    <n v="107"/>
    <s v="_x0000_peopl"/>
  </r>
  <r>
    <x v="6"/>
    <n v="13.692299999999999"/>
    <n v="-89.222800000000007"/>
    <n v="5"/>
    <n v="0"/>
    <n v="0"/>
    <n v="107"/>
    <s v="_x0000_peopl"/>
  </r>
  <r>
    <x v="6"/>
    <n v="13.6915"/>
    <n v="-89.183400000000006"/>
    <n v="4"/>
    <n v="0"/>
    <n v="0"/>
    <n v="107"/>
    <s v="_x0000_peopl"/>
  </r>
  <r>
    <x v="6"/>
    <n v="13.691599999999999"/>
    <n v="-89.185699999999997"/>
    <n v="6"/>
    <n v="0"/>
    <n v="0"/>
    <n v="107"/>
    <s v="_x0000_peopl"/>
  </r>
  <r>
    <x v="6"/>
    <n v="13.692299999999999"/>
    <n v="-89.225200000000001"/>
    <n v="5"/>
    <n v="0"/>
    <n v="0"/>
    <n v="107"/>
    <s v="_x0000_peopl"/>
  </r>
  <r>
    <x v="6"/>
    <n v="13.685"/>
    <n v="-89.201499999999996"/>
    <n v="3"/>
    <n v="0"/>
    <n v="0"/>
    <n v="107"/>
    <s v="_x0000_peopl"/>
  </r>
  <r>
    <x v="6"/>
    <n v="13.69"/>
    <n v="-89.236000000000004"/>
    <n v="12"/>
    <n v="0"/>
    <n v="0"/>
    <n v="107"/>
    <s v="_x0000_peopl"/>
  </r>
  <r>
    <x v="6"/>
    <n v="13.6915"/>
    <n v="-89.220500000000001"/>
    <n v="3"/>
    <n v="0"/>
    <n v="0"/>
    <n v="107"/>
    <s v="_x0000_peopl"/>
  </r>
  <r>
    <x v="6"/>
    <n v="13.6869"/>
    <n v="-89.191400000000002"/>
    <n v="10"/>
    <n v="0"/>
    <n v="0"/>
    <n v="107"/>
    <s v="_x0000_peopl"/>
  </r>
  <r>
    <x v="6"/>
    <n v="13.6935"/>
    <n v="-89.1892"/>
    <n v="8"/>
    <n v="0"/>
    <n v="0"/>
    <n v="107"/>
    <s v="_x0000_peopl"/>
  </r>
  <r>
    <x v="6"/>
    <n v="13.6876"/>
    <n v="-89.195400000000006"/>
    <n v="7"/>
    <n v="0"/>
    <n v="0"/>
    <n v="107"/>
    <s v="_x0000_peopl"/>
  </r>
  <r>
    <x v="6"/>
    <n v="13.6896"/>
    <n v="-89.229299999999995"/>
    <n v="5"/>
    <n v="0"/>
    <n v="0"/>
    <n v="107"/>
    <s v="_x0000_peopl"/>
  </r>
  <r>
    <x v="6"/>
    <n v="13.688499999999999"/>
    <n v="-89.190799999999996"/>
    <n v="3"/>
    <n v="0"/>
    <n v="0"/>
    <n v="107"/>
    <s v="_x0000_peopl"/>
  </r>
  <r>
    <x v="6"/>
    <n v="13.690200000000001"/>
    <n v="-89.228499999999997"/>
    <n v="11"/>
    <n v="0"/>
    <n v="0"/>
    <n v="107"/>
    <s v="_x0000_peopl"/>
  </r>
  <r>
    <x v="6"/>
    <n v="13.6799"/>
    <n v="-89.1952"/>
    <n v="12"/>
    <n v="0"/>
    <n v="0"/>
    <n v="107"/>
    <s v="_x0000_peopl"/>
  </r>
  <r>
    <x v="6"/>
    <n v="13.69"/>
    <n v="-89.179900000000004"/>
    <n v="7"/>
    <n v="0"/>
    <n v="0"/>
    <n v="107"/>
    <s v="_x0000_peopl"/>
  </r>
  <r>
    <x v="6"/>
    <n v="13.694699999999999"/>
    <n v="-89.175200000000004"/>
    <n v="6"/>
    <n v="0"/>
    <n v="0"/>
    <n v="107"/>
    <s v="_x0000_peopl"/>
  </r>
  <r>
    <x v="6"/>
    <n v="13.6776"/>
    <n v="-89.246399999999994"/>
    <n v="8"/>
    <n v="0"/>
    <n v="0"/>
    <n v="107"/>
    <s v="_x0000_peopl"/>
  </r>
  <r>
    <x v="6"/>
    <n v="13.685499999999999"/>
    <n v="-89.214799999999997"/>
    <n v="6"/>
    <n v="0"/>
    <n v="0"/>
    <n v="107"/>
    <s v="_x0000_peopl"/>
  </r>
  <r>
    <x v="6"/>
    <n v="13.6921"/>
    <n v="-89.222200000000001"/>
    <n v="0"/>
    <n v="0"/>
    <n v="0"/>
    <n v="107"/>
    <s v="_x0000_peopl"/>
  </r>
  <r>
    <x v="6"/>
    <n v="13.679500000000001"/>
    <n v="-89.197000000000003"/>
    <n v="3"/>
    <n v="0"/>
    <n v="0"/>
    <n v="107"/>
    <s v="_x0000_peopl"/>
  </r>
  <r>
    <x v="6"/>
    <n v="13.687200000000001"/>
    <n v="-89.195499999999996"/>
    <n v="7"/>
    <n v="0"/>
    <n v="0"/>
    <n v="107"/>
    <s v="_x0000_peopl"/>
  </r>
  <r>
    <x v="6"/>
    <n v="13.6807"/>
    <n v="-89.195999999999998"/>
    <n v="1"/>
    <n v="0"/>
    <n v="0"/>
    <n v="107"/>
    <s v="_x0000_peopl"/>
  </r>
  <r>
    <x v="6"/>
    <n v="13.692399999999999"/>
    <n v="-89.186800000000005"/>
    <n v="3"/>
    <n v="0"/>
    <n v="0"/>
    <n v="107"/>
    <s v="_x0000_peopl"/>
  </r>
  <r>
    <x v="6"/>
    <n v="13.6899"/>
    <n v="-89.194100000000006"/>
    <n v="5"/>
    <n v="0"/>
    <n v="0"/>
    <n v="107"/>
    <s v="_x0000_peopl"/>
  </r>
  <r>
    <x v="6"/>
    <n v="13.6914"/>
    <n v="-89.233400000000003"/>
    <n v="5"/>
    <n v="0"/>
    <n v="0"/>
    <n v="107"/>
    <s v="_x0000_peopl"/>
  </r>
  <r>
    <x v="6"/>
    <n v="13.692600000000001"/>
    <n v="-89.179199999999994"/>
    <n v="3"/>
    <n v="0"/>
    <n v="0"/>
    <n v="107"/>
    <s v="_x0000_peopl"/>
  </r>
  <r>
    <x v="6"/>
    <n v="13.6873"/>
    <n v="-89.194400000000002"/>
    <n v="7"/>
    <n v="0"/>
    <n v="0"/>
    <n v="107"/>
    <s v="_x0000_peopl"/>
  </r>
  <r>
    <x v="6"/>
    <n v="13.693"/>
    <n v="-89.176299999999998"/>
    <n v="4"/>
    <n v="0"/>
    <n v="0"/>
    <n v="107"/>
    <s v="_x0000_peopl"/>
  </r>
  <r>
    <x v="6"/>
    <n v="13.6951"/>
    <n v="-89.175200000000004"/>
    <n v="11"/>
    <n v="0"/>
    <n v="0"/>
    <n v="107"/>
    <s v="_x0000_peopl"/>
  </r>
  <r>
    <x v="6"/>
    <n v="13.696999999999999"/>
    <n v="-89.171899999999994"/>
    <n v="3"/>
    <n v="0"/>
    <n v="0"/>
    <n v="107"/>
    <s v="_x0000_peopl"/>
  </r>
  <r>
    <x v="6"/>
    <n v="13.6953"/>
    <n v="-89.173400000000001"/>
    <n v="4"/>
    <n v="0"/>
    <n v="0"/>
    <n v="107"/>
    <s v="_x0000_peopl"/>
  </r>
  <r>
    <x v="6"/>
    <n v="13.6846"/>
    <n v="-89.212599999999995"/>
    <n v="5"/>
    <n v="0"/>
    <n v="0"/>
    <n v="107"/>
    <s v="_x0000_peopl"/>
  </r>
  <r>
    <x v="6"/>
    <n v="13.692600000000001"/>
    <n v="-89.189899999999994"/>
    <n v="3"/>
    <n v="0"/>
    <n v="0"/>
    <n v="107"/>
    <s v="_x0000_peopl"/>
  </r>
  <r>
    <x v="6"/>
    <n v="13.690099999999999"/>
    <n v="-89.236099999999993"/>
    <n v="1"/>
    <n v="0"/>
    <n v="0"/>
    <n v="107"/>
    <s v="_x0000_peopl"/>
  </r>
  <r>
    <x v="6"/>
    <n v="13.688499999999999"/>
    <n v="-89.204300000000003"/>
    <n v="8"/>
    <n v="0"/>
    <n v="0"/>
    <n v="107"/>
    <s v="_x0000_peopl"/>
  </r>
  <r>
    <x v="6"/>
    <n v="13.6899"/>
    <n v="-89.217299999999994"/>
    <n v="6"/>
    <n v="0"/>
    <n v="0"/>
    <n v="107"/>
    <s v="_x0000_peopl"/>
  </r>
  <r>
    <x v="6"/>
    <n v="13.690200000000001"/>
    <n v="-89.193899999999999"/>
    <n v="6"/>
    <n v="0"/>
    <n v="0"/>
    <n v="107"/>
    <s v="_x0000_peopl"/>
  </r>
  <r>
    <x v="6"/>
    <n v="13.6919"/>
    <n v="-89.194100000000006"/>
    <n v="4"/>
    <n v="0"/>
    <n v="0"/>
    <n v="107"/>
    <s v="_x0000_peopl"/>
  </r>
  <r>
    <x v="6"/>
    <n v="13.691000000000001"/>
    <n v="-89.230999999999995"/>
    <n v="4"/>
    <n v="0"/>
    <n v="0"/>
    <n v="107"/>
    <s v="_x0000_peopl"/>
  </r>
  <r>
    <x v="6"/>
    <n v="13.6904"/>
    <n v="-89.187600000000003"/>
    <n v="4"/>
    <n v="0"/>
    <n v="0"/>
    <n v="107"/>
    <s v="_x0000_peopl"/>
  </r>
  <r>
    <x v="6"/>
    <n v="13.6875"/>
    <n v="-89.214500000000001"/>
    <n v="1"/>
    <n v="0"/>
    <n v="0"/>
    <n v="107"/>
    <s v="_x0000_peopl"/>
  </r>
  <r>
    <x v="6"/>
    <n v="13.6868"/>
    <n v="-89.194299999999998"/>
    <n v="5"/>
    <n v="0"/>
    <n v="0"/>
    <n v="107"/>
    <s v="_x0000_peopl"/>
  </r>
  <r>
    <x v="6"/>
    <n v="13.6911"/>
    <n v="-89.226900000000001"/>
    <n v="3"/>
    <n v="0"/>
    <n v="0"/>
    <n v="107"/>
    <s v="_x0000_peopl"/>
  </r>
  <r>
    <x v="6"/>
    <n v="13.6913"/>
    <n v="-89.189400000000006"/>
    <n v="6"/>
    <n v="0"/>
    <n v="0"/>
    <n v="107"/>
    <s v="_x0000_peopl"/>
  </r>
  <r>
    <x v="6"/>
    <n v="13.6875"/>
    <n v="-89.180199999999999"/>
    <n v="9"/>
    <n v="0"/>
    <n v="0"/>
    <n v="107"/>
    <s v="_x0000_peopl"/>
  </r>
  <r>
    <x v="6"/>
    <n v="13.6911"/>
    <n v="-89.2333"/>
    <n v="6"/>
    <n v="0"/>
    <n v="0"/>
    <n v="107"/>
    <s v="_x0000_peopl"/>
  </r>
  <r>
    <x v="6"/>
    <n v="13.6904"/>
    <n v="-89.235600000000005"/>
    <n v="5"/>
    <n v="0"/>
    <n v="0"/>
    <n v="107"/>
    <s v="_x0000_peopl"/>
  </r>
  <r>
    <x v="6"/>
    <n v="13.692299999999999"/>
    <n v="-89.1785"/>
    <n v="6"/>
    <n v="0"/>
    <n v="0"/>
    <n v="107"/>
    <s v="_x0000_peopl"/>
  </r>
  <r>
    <x v="6"/>
    <n v="13.685"/>
    <n v="-89.213499999999996"/>
    <n v="6"/>
    <n v="0"/>
    <n v="0"/>
    <n v="107"/>
    <s v="_x0000_peopl"/>
  </r>
  <r>
    <x v="6"/>
    <n v="13.689399999999999"/>
    <n v="-89.197400000000002"/>
    <n v="4"/>
    <n v="0"/>
    <n v="0"/>
    <n v="107"/>
    <s v="_x0000_peopl"/>
  </r>
  <r>
    <x v="6"/>
    <n v="13.689"/>
    <n v="-89.204899999999995"/>
    <n v="5"/>
    <n v="0"/>
    <n v="0"/>
    <n v="107"/>
    <s v="_x0000_peopl"/>
  </r>
  <r>
    <x v="6"/>
    <n v="13.687799999999999"/>
    <n v="-89.193799999999996"/>
    <n v="3"/>
    <n v="0"/>
    <n v="0"/>
    <n v="107"/>
    <s v="_x0000_peopl"/>
  </r>
  <r>
    <x v="6"/>
    <n v="13.6915"/>
    <n v="-89.185699999999997"/>
    <n v="5"/>
    <n v="0"/>
    <n v="0"/>
    <n v="107"/>
    <s v="_x0000_peopl"/>
  </r>
  <r>
    <x v="6"/>
    <n v="13.690200000000001"/>
    <n v="-89.193200000000004"/>
    <n v="8"/>
    <n v="0"/>
    <n v="0"/>
    <n v="107"/>
    <s v="_x0000_peopl"/>
  </r>
  <r>
    <x v="6"/>
    <n v="13.690899999999999"/>
    <n v="-89.183099999999996"/>
    <n v="2"/>
    <n v="0"/>
    <n v="0"/>
    <n v="107"/>
    <s v="_x0000_peopl"/>
  </r>
  <r>
    <x v="6"/>
    <n v="13.690799999999999"/>
    <n v="-89.231499999999997"/>
    <n v="10"/>
    <n v="0"/>
    <n v="0"/>
    <n v="107"/>
    <s v="_x0000_peopl"/>
  </r>
  <r>
    <x v="6"/>
    <n v="13.692600000000001"/>
    <n v="-89.179299999999998"/>
    <n v="2"/>
    <n v="0"/>
    <n v="0"/>
    <n v="107"/>
    <s v="_x0000_peopl"/>
  </r>
  <r>
    <x v="6"/>
    <n v="13.6896"/>
    <n v="-89.184299999999993"/>
    <n v="7"/>
    <n v="0"/>
    <n v="0"/>
    <n v="107"/>
    <s v="_x0000_peopl"/>
  </r>
  <r>
    <x v="6"/>
    <n v="13.6911"/>
    <n v="-89.178899999999999"/>
    <n v="4"/>
    <n v="0"/>
    <n v="0"/>
    <n v="107"/>
    <s v="_x0000_peopl"/>
  </r>
  <r>
    <x v="6"/>
    <n v="13.6914"/>
    <n v="-89.234200000000001"/>
    <n v="6"/>
    <n v="0"/>
    <n v="0"/>
    <n v="107"/>
    <s v="_x0000_peopl"/>
  </r>
  <r>
    <x v="6"/>
    <n v="13.691000000000001"/>
    <n v="-89.219800000000006"/>
    <n v="2"/>
    <n v="0"/>
    <n v="0"/>
    <n v="107"/>
    <s v="_x0000_peopl"/>
  </r>
  <r>
    <x v="6"/>
    <n v="13.6747"/>
    <n v="-89.199799999999996"/>
    <n v="4"/>
    <n v="0"/>
    <n v="0"/>
    <n v="107"/>
    <s v="_x0000_peopl"/>
  </r>
  <r>
    <x v="6"/>
    <n v="13.6869"/>
    <n v="-89.182599999999994"/>
    <n v="11"/>
    <n v="0"/>
    <n v="0"/>
    <n v="107"/>
    <s v="_x0000_peopl"/>
  </r>
  <r>
    <x v="6"/>
    <n v="13.689"/>
    <n v="-89.183999999999997"/>
    <n v="4"/>
    <n v="0"/>
    <n v="0"/>
    <n v="107"/>
    <s v="_x0000_peopl"/>
  </r>
  <r>
    <x v="6"/>
    <n v="13.695600000000001"/>
    <n v="-89.172899999999998"/>
    <n v="6"/>
    <n v="0"/>
    <n v="0"/>
    <n v="107"/>
    <s v="_x0000_peopl"/>
  </r>
  <r>
    <x v="6"/>
    <n v="13.674300000000001"/>
    <n v="-89.202200000000005"/>
    <n v="8"/>
    <n v="0"/>
    <n v="0"/>
    <n v="107"/>
    <s v="_x0000_peopl"/>
  </r>
  <r>
    <x v="6"/>
    <n v="13.685"/>
    <n v="-89.216800000000006"/>
    <n v="2"/>
    <n v="0"/>
    <n v="0"/>
    <n v="107"/>
    <s v="_x0000_peopl"/>
  </r>
  <r>
    <x v="6"/>
    <n v="13.6906"/>
    <n v="-89.235100000000003"/>
    <n v="7"/>
    <n v="0"/>
    <n v="0"/>
    <n v="107"/>
    <s v="_x0000_peopl"/>
  </r>
  <r>
    <x v="6"/>
    <n v="13.693099999999999"/>
    <n v="-89.177099999999996"/>
    <n v="1"/>
    <n v="0"/>
    <n v="0"/>
    <n v="107"/>
    <s v="_x0000_peopl"/>
  </r>
  <r>
    <x v="6"/>
    <n v="13.6897"/>
    <n v="-89.189599999999999"/>
    <n v="3"/>
    <n v="0"/>
    <n v="0"/>
    <n v="107"/>
    <s v="_x0000_peopl"/>
  </r>
  <r>
    <x v="6"/>
    <n v="13.6874"/>
    <n v="-89.1935"/>
    <n v="9"/>
    <n v="0"/>
    <n v="0"/>
    <n v="107"/>
    <s v="_x0000_peopl"/>
  </r>
  <r>
    <x v="6"/>
    <n v="13.6907"/>
    <n v="-89.1905"/>
    <n v="6"/>
    <n v="0"/>
    <n v="0"/>
    <n v="107"/>
    <s v="_x0000_peopl"/>
  </r>
  <r>
    <x v="6"/>
    <n v="13.6921"/>
    <n v="-89.196399999999997"/>
    <n v="3"/>
    <n v="0"/>
    <n v="0"/>
    <n v="107"/>
    <s v="_x0000_peopl"/>
  </r>
  <r>
    <x v="6"/>
    <n v="13.685"/>
    <n v="-89.201599999999999"/>
    <n v="6"/>
    <n v="0"/>
    <n v="0"/>
    <n v="107"/>
    <s v="_x0000_peopl"/>
  </r>
  <r>
    <x v="6"/>
    <n v="13.6915"/>
    <n v="-89.228200000000001"/>
    <n v="7"/>
    <n v="0"/>
    <n v="0"/>
    <n v="107"/>
    <s v="_x0000_peopl"/>
  </r>
  <r>
    <x v="6"/>
    <n v="13.6929"/>
    <n v="-89.224400000000003"/>
    <n v="5"/>
    <n v="0"/>
    <n v="0"/>
    <n v="107"/>
    <s v="_x0000_peopl"/>
  </r>
  <r>
    <x v="6"/>
    <n v="13.691000000000001"/>
    <n v="-89.220200000000006"/>
    <n v="8"/>
    <n v="0"/>
    <n v="0"/>
    <n v="107"/>
    <s v="_x0000_peopl"/>
  </r>
  <r>
    <x v="6"/>
    <n v="13.6905"/>
    <n v="-89.195499999999996"/>
    <n v="2"/>
    <n v="0"/>
    <n v="0"/>
    <n v="107"/>
    <s v="_x0000_peopl"/>
  </r>
  <r>
    <x v="6"/>
    <n v="13.6746"/>
    <n v="-89.199700000000007"/>
    <n v="5"/>
    <n v="0"/>
    <n v="0"/>
    <n v="107"/>
    <s v="_x0000_peopl"/>
  </r>
  <r>
    <x v="6"/>
    <n v="13.6876"/>
    <n v="-89.197000000000003"/>
    <n v="5"/>
    <n v="0"/>
    <n v="0"/>
    <n v="107"/>
    <s v="_x0000_peopl"/>
  </r>
  <r>
    <x v="6"/>
    <n v="13.6907"/>
    <n v="-89.233500000000006"/>
    <n v="4"/>
    <n v="0"/>
    <n v="0"/>
    <n v="107"/>
    <s v="_x0000_peopl"/>
  </r>
  <r>
    <x v="6"/>
    <n v="13.680899999999999"/>
    <n v="-89.195800000000006"/>
    <n v="6"/>
    <n v="0"/>
    <n v="0"/>
    <n v="107"/>
    <s v="_x0000_peopl"/>
  </r>
  <r>
    <x v="6"/>
    <n v="13.6897"/>
    <n v="-89.1982"/>
    <n v="6"/>
    <n v="0"/>
    <n v="0"/>
    <n v="107"/>
    <s v="_x0000_peopl"/>
  </r>
  <r>
    <x v="6"/>
    <n v="13.6747"/>
    <n v="-89.251999999999995"/>
    <n v="3"/>
    <n v="0"/>
    <n v="0"/>
    <n v="107"/>
    <s v="_x0000_peopl"/>
  </r>
  <r>
    <x v="6"/>
    <n v="13.6945"/>
    <n v="-89.183300000000003"/>
    <n v="3"/>
    <n v="0"/>
    <n v="0"/>
    <n v="107"/>
    <s v="_x0000_peopl"/>
  </r>
  <r>
    <x v="6"/>
    <n v="13.691000000000001"/>
    <n v="-89.233400000000003"/>
    <n v="9"/>
    <n v="0"/>
    <n v="0"/>
    <n v="107"/>
    <s v="_x0000_peopl"/>
  </r>
  <r>
    <x v="6"/>
    <n v="13.6922"/>
    <n v="-89.175200000000004"/>
    <n v="6"/>
    <n v="0"/>
    <n v="0"/>
    <n v="107"/>
    <s v="_x0000_peopl"/>
  </r>
  <r>
    <x v="6"/>
    <n v="13.6891"/>
    <n v="-89.191100000000006"/>
    <n v="6"/>
    <n v="0"/>
    <n v="0"/>
    <n v="107"/>
    <s v="_x0000_peopl"/>
  </r>
  <r>
    <x v="6"/>
    <n v="13.6891"/>
    <n v="-89.229399999999998"/>
    <n v="1"/>
    <n v="0"/>
    <n v="0"/>
    <n v="107"/>
    <s v="_x0000_peopl"/>
  </r>
  <r>
    <x v="6"/>
    <n v="13.689299999999999"/>
    <n v="-89.185500000000005"/>
    <n v="7"/>
    <n v="0"/>
    <n v="0"/>
    <n v="107"/>
    <s v="_x0000_peopl"/>
  </r>
  <r>
    <x v="6"/>
    <n v="13.675000000000001"/>
    <n v="-89.252200000000002"/>
    <n v="5"/>
    <n v="0"/>
    <n v="0"/>
    <n v="107"/>
    <s v="_x0000_peopl"/>
  </r>
  <r>
    <x v="6"/>
    <n v="13.6913"/>
    <n v="-89.234999999999999"/>
    <n v="6"/>
    <n v="0"/>
    <n v="0"/>
    <n v="107"/>
    <s v="_x0000_peopl"/>
  </r>
  <r>
    <x v="6"/>
    <n v="13.690899999999999"/>
    <n v="-89.185400000000001"/>
    <n v="4"/>
    <n v="0"/>
    <n v="0"/>
    <n v="107"/>
    <s v="_x0000_peopl"/>
  </r>
  <r>
    <x v="6"/>
    <n v="13.6853"/>
    <n v="-89.203500000000005"/>
    <n v="4"/>
    <n v="0"/>
    <n v="0"/>
    <n v="107"/>
    <s v="_x0000_peopl"/>
  </r>
  <r>
    <x v="6"/>
    <n v="13.685700000000001"/>
    <n v="-89.215199999999996"/>
    <n v="5"/>
    <n v="0"/>
    <n v="0"/>
    <n v="107"/>
    <s v="_x0000_peopl"/>
  </r>
  <r>
    <x v="6"/>
    <n v="13.6874"/>
    <n v="-89.216800000000006"/>
    <n v="5"/>
    <n v="0"/>
    <n v="0"/>
    <n v="107"/>
    <s v="_x0000_peopl"/>
  </r>
  <r>
    <x v="6"/>
    <n v="13.6853"/>
    <n v="-89.194100000000006"/>
    <n v="5"/>
    <n v="0"/>
    <n v="0"/>
    <n v="107"/>
    <s v="_x0000_peopl"/>
  </r>
  <r>
    <x v="6"/>
    <n v="13.6952"/>
    <n v="-89.172300000000007"/>
    <n v="4"/>
    <n v="0"/>
    <n v="0"/>
    <n v="107"/>
    <s v="_x0000_peopl"/>
  </r>
  <r>
    <x v="6"/>
    <n v="13.6793"/>
    <n v="-89.197100000000006"/>
    <n v="5"/>
    <n v="0"/>
    <n v="0"/>
    <n v="107"/>
    <s v="_x0000_peopl"/>
  </r>
  <r>
    <x v="6"/>
    <n v="13.6768"/>
    <n v="-89.199399999999997"/>
    <n v="3"/>
    <n v="0"/>
    <n v="0"/>
    <n v="107"/>
    <s v="_x0000_peopl"/>
  </r>
  <r>
    <x v="6"/>
    <n v="13.689"/>
    <n v="-89.2149"/>
    <n v="5"/>
    <n v="0"/>
    <n v="0"/>
    <n v="107"/>
    <s v="_x0000_peopl"/>
  </r>
  <r>
    <x v="6"/>
    <n v="13.6907"/>
    <n v="-89.234499999999997"/>
    <n v="10"/>
    <n v="0"/>
    <n v="0"/>
    <n v="107"/>
    <s v="_x0000_peopl"/>
  </r>
  <r>
    <x v="6"/>
    <n v="13.6858"/>
    <n v="-89.201800000000006"/>
    <n v="6"/>
    <n v="0"/>
    <n v="0"/>
    <n v="107"/>
    <s v="_x0000_peopl"/>
  </r>
  <r>
    <x v="6"/>
    <n v="13.690799999999999"/>
    <n v="-89.186000000000007"/>
    <n v="0"/>
    <n v="0"/>
    <n v="0"/>
    <n v="107"/>
    <s v="_x0000_peopl"/>
  </r>
  <r>
    <x v="6"/>
    <n v="13.6907"/>
    <n v="-89.178799999999995"/>
    <n v="2"/>
    <n v="0"/>
    <n v="0"/>
    <n v="107"/>
    <s v="_x0000_peopl"/>
  </r>
  <r>
    <x v="6"/>
    <n v="13.6915"/>
    <n v="-89.220100000000002"/>
    <n v="5"/>
    <n v="0"/>
    <n v="0"/>
    <n v="107"/>
    <s v="_x0000_peopl"/>
  </r>
  <r>
    <x v="6"/>
    <n v="13.690300000000001"/>
    <n v="-89.235200000000006"/>
    <n v="9"/>
    <n v="0"/>
    <n v="0"/>
    <n v="107"/>
    <s v="_x0000_peopl"/>
  </r>
  <r>
    <x v="6"/>
    <n v="13.692"/>
    <n v="-89.224100000000007"/>
    <n v="10"/>
    <n v="0"/>
    <n v="0"/>
    <n v="107"/>
    <s v="_x0000_peopl"/>
  </r>
  <r>
    <x v="6"/>
    <n v="13.690899999999999"/>
    <n v="-89.189099999999996"/>
    <n v="8"/>
    <n v="0"/>
    <n v="0"/>
    <n v="107"/>
    <s v="_x0000_peopl"/>
  </r>
  <r>
    <x v="6"/>
    <n v="13.672800000000001"/>
    <n v="-89.203699999999998"/>
    <n v="5"/>
    <n v="0"/>
    <n v="0"/>
    <n v="107"/>
    <s v="_x0000_peopl"/>
  </r>
  <r>
    <x v="6"/>
    <n v="13.6873"/>
    <n v="-89.196399999999997"/>
    <n v="4"/>
    <n v="0"/>
    <n v="0"/>
    <n v="107"/>
    <s v="_x0000_peopl"/>
  </r>
  <r>
    <x v="6"/>
    <n v="13.6858"/>
    <n v="-89.194000000000003"/>
    <n v="4"/>
    <n v="0"/>
    <n v="0"/>
    <n v="107"/>
    <s v="_x0000_peopl"/>
  </r>
  <r>
    <x v="6"/>
    <n v="13.691599999999999"/>
    <n v="-89.188000000000002"/>
    <n v="3"/>
    <n v="0"/>
    <n v="0"/>
    <n v="107"/>
    <s v="_x0000_peopl"/>
  </r>
  <r>
    <x v="6"/>
    <n v="13.6914"/>
    <n v="-89.178899999999999"/>
    <n v="2"/>
    <n v="0"/>
    <n v="0"/>
    <n v="107"/>
    <s v="_x0000_peopl"/>
  </r>
  <r>
    <x v="6"/>
    <n v="13.690300000000001"/>
    <n v="-89.179900000000004"/>
    <n v="4"/>
    <n v="0"/>
    <n v="0"/>
    <n v="107"/>
    <s v="_x0000_peopl"/>
  </r>
  <r>
    <x v="6"/>
    <n v="13.6927"/>
    <n v="-89.224599999999995"/>
    <n v="5"/>
    <n v="0"/>
    <n v="0"/>
    <n v="107"/>
    <s v="_x0000_peopl"/>
  </r>
  <r>
    <x v="6"/>
    <n v="13.689"/>
    <n v="-89.229200000000006"/>
    <n v="5"/>
    <n v="0"/>
    <n v="0"/>
    <n v="107"/>
    <s v="_x0000_peopl"/>
  </r>
  <r>
    <x v="6"/>
    <n v="13.687200000000001"/>
    <n v="-89.194699999999997"/>
    <n v="5"/>
    <n v="0"/>
    <n v="0"/>
    <n v="107"/>
    <s v="_x0000_peopl"/>
  </r>
  <r>
    <x v="6"/>
    <n v="13.6968"/>
    <n v="-89.171700000000001"/>
    <n v="7"/>
    <n v="0"/>
    <n v="0"/>
    <n v="107"/>
    <s v="_x0000_peopl"/>
  </r>
  <r>
    <x v="6"/>
    <n v="13.6914"/>
    <n v="-89.233000000000004"/>
    <n v="3"/>
    <n v="0"/>
    <n v="0"/>
    <n v="107"/>
    <s v="_x0000_peopl"/>
  </r>
  <r>
    <x v="6"/>
    <n v="13.692"/>
    <n v="-89.223699999999994"/>
    <n v="8"/>
    <n v="0"/>
    <n v="0"/>
    <n v="107"/>
    <s v="_x0000_peopl"/>
  </r>
  <r>
    <x v="6"/>
    <n v="13.687099999999999"/>
    <n v="-89.196700000000007"/>
    <n v="7"/>
    <n v="0"/>
    <n v="0"/>
    <n v="107"/>
    <s v="_x0000_peopl"/>
  </r>
  <r>
    <x v="6"/>
    <n v="13.6919"/>
    <n v="-89.1935"/>
    <n v="7"/>
    <n v="0"/>
    <n v="0"/>
    <n v="107"/>
    <s v="_x0000_peopl"/>
  </r>
  <r>
    <x v="6"/>
    <n v="13.6906"/>
    <n v="-89.234899999999996"/>
    <n v="2"/>
    <n v="0"/>
    <n v="0"/>
    <n v="107"/>
    <s v="_x0000_peopl"/>
  </r>
  <r>
    <x v="6"/>
    <n v="13.6929"/>
    <n v="-89.183300000000003"/>
    <n v="8"/>
    <n v="0"/>
    <n v="0"/>
    <n v="107"/>
    <s v="_x0000_peopl"/>
  </r>
  <r>
    <x v="6"/>
    <n v="13.6935"/>
    <n v="-89.188699999999997"/>
    <n v="3"/>
    <n v="0"/>
    <n v="0"/>
    <n v="107"/>
    <s v="_x0000_peopl"/>
  </r>
  <r>
    <x v="6"/>
    <n v="13.693199999999999"/>
    <n v="-89.19"/>
    <n v="6"/>
    <n v="0"/>
    <n v="0"/>
    <n v="107"/>
    <s v="_x0000_peopl"/>
  </r>
  <r>
    <x v="6"/>
    <n v="13.690099999999999"/>
    <n v="-89.2286"/>
    <n v="12"/>
    <n v="0"/>
    <n v="0"/>
    <n v="107"/>
    <s v="_x0000_peopl"/>
  </r>
  <r>
    <x v="6"/>
    <n v="13.685600000000001"/>
    <n v="-89.212900000000005"/>
    <n v="4"/>
    <n v="0"/>
    <n v="0"/>
    <n v="107"/>
    <s v="_x0000_peopl"/>
  </r>
  <r>
    <x v="6"/>
    <n v="13.685499999999999"/>
    <n v="-89.215100000000007"/>
    <n v="6"/>
    <n v="0"/>
    <n v="0"/>
    <n v="107"/>
    <s v="_x0000_peopl"/>
  </r>
  <r>
    <x v="6"/>
    <n v="13.674799999999999"/>
    <n v="-89.251499999999993"/>
    <n v="8"/>
    <n v="0"/>
    <n v="0"/>
    <n v="107"/>
    <s v="_x0000_peopl"/>
  </r>
  <r>
    <x v="6"/>
    <n v="13.696"/>
    <n v="-89.172399999999996"/>
    <n v="3"/>
    <n v="0"/>
    <n v="0"/>
    <n v="107"/>
    <s v="_x0000_peopl"/>
  </r>
  <r>
    <x v="6"/>
    <n v="13.688800000000001"/>
    <n v="-89.215199999999996"/>
    <n v="5"/>
    <n v="0"/>
    <n v="0"/>
    <n v="107"/>
    <s v="_x0000_peopl"/>
  </r>
  <r>
    <x v="6"/>
    <n v="13.6746"/>
    <n v="-89.2517"/>
    <n v="4"/>
    <n v="0"/>
    <n v="0"/>
    <n v="107"/>
    <s v="_x0000_peopl"/>
  </r>
  <r>
    <x v="6"/>
    <n v="13.6875"/>
    <n v="-89.194400000000002"/>
    <n v="4"/>
    <n v="0"/>
    <n v="0"/>
    <n v="107"/>
    <s v="_x0000_peopl"/>
  </r>
  <r>
    <x v="6"/>
    <n v="13.6936"/>
    <n v="-89.176699999999997"/>
    <n v="3"/>
    <n v="0"/>
    <n v="0"/>
    <n v="107"/>
    <s v="_x0000_peopl"/>
  </r>
  <r>
    <x v="6"/>
    <n v="13.6945"/>
    <n v="-89.188900000000004"/>
    <n v="3"/>
    <n v="0"/>
    <n v="0"/>
    <n v="107"/>
    <s v="_x0000_peopl"/>
  </r>
  <r>
    <x v="6"/>
    <n v="13.69"/>
    <n v="-89.228499999999997"/>
    <n v="5"/>
    <n v="0"/>
    <n v="0"/>
    <n v="107"/>
    <s v="_x0000_peopl"/>
  </r>
  <r>
    <x v="6"/>
    <n v="13.6867"/>
    <n v="-89.211600000000004"/>
    <n v="6"/>
    <n v="0"/>
    <n v="0"/>
    <n v="107"/>
    <s v="_x0000_peopl"/>
  </r>
  <r>
    <x v="6"/>
    <n v="13.692500000000001"/>
    <n v="-89.224400000000003"/>
    <n v="5"/>
    <n v="0"/>
    <n v="0"/>
    <n v="107"/>
    <s v="_x0000_peopl"/>
  </r>
  <r>
    <x v="6"/>
    <n v="13.6921"/>
    <n v="-89.223200000000006"/>
    <n v="0"/>
    <n v="0"/>
    <n v="0"/>
    <n v="107"/>
    <s v="_x0000_peopl"/>
  </r>
  <r>
    <x v="6"/>
    <n v="13.6928"/>
    <n v="-89.224900000000005"/>
    <n v="5"/>
    <n v="0"/>
    <n v="0"/>
    <n v="107"/>
    <s v="_x0000_peopl"/>
  </r>
  <r>
    <x v="6"/>
    <n v="13.6881"/>
    <n v="-89.229399999999998"/>
    <n v="9"/>
    <n v="0"/>
    <n v="0"/>
    <n v="107"/>
    <s v="_x0000_peopl"/>
  </r>
  <r>
    <x v="6"/>
    <n v="13.6889"/>
    <n v="-89.198599999999999"/>
    <n v="4"/>
    <n v="0"/>
    <n v="0"/>
    <n v="107"/>
    <s v="_x0000_peopl"/>
  </r>
  <r>
    <x v="6"/>
    <n v="13.6875"/>
    <n v="-89.180999999999997"/>
    <n v="5"/>
    <n v="0"/>
    <n v="0"/>
    <n v="107"/>
    <s v="_x0000_peopl"/>
  </r>
  <r>
    <x v="6"/>
    <n v="13.693"/>
    <n v="-89.177999999999997"/>
    <n v="9"/>
    <n v="0"/>
    <n v="0"/>
    <n v="107"/>
    <s v="_x0000_peopl"/>
  </r>
  <r>
    <x v="6"/>
    <n v="13.690799999999999"/>
    <n v="-89.194400000000002"/>
    <n v="5"/>
    <n v="0"/>
    <n v="0"/>
    <n v="107"/>
    <s v="_x0000_peopl"/>
  </r>
  <r>
    <x v="6"/>
    <n v="13.6919"/>
    <n v="-89.194400000000002"/>
    <n v="1"/>
    <n v="0"/>
    <n v="0"/>
    <n v="107"/>
    <s v="_x0000_peopl"/>
  </r>
  <r>
    <x v="6"/>
    <n v="13.689299999999999"/>
    <n v="-89.189700000000002"/>
    <n v="5"/>
    <n v="0"/>
    <n v="0"/>
    <n v="107"/>
    <s v="_x0000_peopl"/>
  </r>
  <r>
    <x v="6"/>
    <n v="13.692500000000001"/>
    <n v="-89.225200000000001"/>
    <n v="4"/>
    <n v="0"/>
    <n v="0"/>
    <n v="107"/>
    <s v="_x0000_peopl"/>
  </r>
  <r>
    <x v="6"/>
    <n v="13.687200000000001"/>
    <n v="-89.196200000000005"/>
    <n v="6"/>
    <n v="0"/>
    <n v="0"/>
    <n v="107"/>
    <s v="_x0000_peopl"/>
  </r>
  <r>
    <x v="6"/>
    <n v="13.687200000000001"/>
    <n v="-89.193799999999996"/>
    <n v="3"/>
    <n v="0"/>
    <n v="0"/>
    <n v="107"/>
    <s v="_x0000_peopl"/>
  </r>
  <r>
    <x v="6"/>
    <n v="13.6922"/>
    <n v="-89.177800000000005"/>
    <n v="5"/>
    <n v="0"/>
    <n v="0"/>
    <n v="107"/>
    <s v="_x0000_peopl"/>
  </r>
  <r>
    <x v="6"/>
    <n v="13.6907"/>
    <n v="-89.195300000000003"/>
    <n v="6"/>
    <n v="0"/>
    <n v="0"/>
    <n v="107"/>
    <s v="_x0000_peopl"/>
  </r>
  <r>
    <x v="6"/>
    <n v="13.673"/>
    <n v="-89.203500000000005"/>
    <n v="5"/>
    <n v="0"/>
    <n v="0"/>
    <n v="107"/>
    <s v="_x0000_peopl"/>
  </r>
  <r>
    <x v="6"/>
    <n v="13.691800000000001"/>
    <n v="-89.226900000000001"/>
    <n v="10"/>
    <n v="0"/>
    <n v="0"/>
    <n v="107"/>
    <s v="_x0000_peopl"/>
  </r>
  <r>
    <x v="6"/>
    <n v="13.6853"/>
    <n v="-89.2012"/>
    <n v="3"/>
    <n v="0"/>
    <n v="0"/>
    <n v="107"/>
    <s v="_x0000_peopl"/>
  </r>
  <r>
    <x v="6"/>
    <n v="13.690899999999999"/>
    <n v="-89.235200000000006"/>
    <n v="6"/>
    <n v="0"/>
    <n v="0"/>
    <n v="107"/>
    <s v="_x0000_peopl"/>
  </r>
  <r>
    <x v="6"/>
    <n v="13.689299999999999"/>
    <n v="-89.228899999999996"/>
    <n v="5"/>
    <n v="0"/>
    <n v="0"/>
    <n v="107"/>
    <s v="_x0000_peopl"/>
  </r>
  <r>
    <x v="6"/>
    <n v="13.690899999999999"/>
    <n v="-89.233800000000002"/>
    <n v="7"/>
    <n v="0"/>
    <n v="0"/>
    <n v="107"/>
    <s v="_x0000_peopl"/>
  </r>
  <r>
    <x v="6"/>
    <n v="13.6769"/>
    <n v="-89.247799999999998"/>
    <n v="4"/>
    <n v="0"/>
    <n v="0"/>
    <n v="107"/>
    <s v="_x0000_peopl"/>
  </r>
  <r>
    <x v="6"/>
    <n v="13.695"/>
    <n v="-89.182599999999994"/>
    <n v="5"/>
    <n v="0"/>
    <n v="0"/>
    <n v="107"/>
    <s v="_x0000_peopl"/>
  </r>
  <r>
    <x v="6"/>
    <n v="13.69"/>
    <n v="-89.183599999999998"/>
    <n v="2"/>
    <n v="0"/>
    <n v="0"/>
    <n v="107"/>
    <s v="_x0000_peopl"/>
  </r>
  <r>
    <x v="6"/>
    <n v="13.6953"/>
    <n v="-89.174000000000007"/>
    <n v="6"/>
    <n v="0"/>
    <n v="0"/>
    <n v="107"/>
    <s v="_x0000_peopl"/>
  </r>
  <r>
    <x v="6"/>
    <n v="13.6884"/>
    <n v="-89.1982"/>
    <n v="1"/>
    <n v="0"/>
    <n v="0"/>
    <n v="107"/>
    <s v="_x0000_peopl"/>
  </r>
  <r>
    <x v="6"/>
    <n v="13.6915"/>
    <n v="-89.188199999999995"/>
    <n v="9"/>
    <n v="0"/>
    <n v="0"/>
    <n v="107"/>
    <s v="_x0000_peopl"/>
  </r>
  <r>
    <x v="6"/>
    <n v="13.6921"/>
    <n v="-89.225399999999993"/>
    <n v="7"/>
    <n v="0"/>
    <n v="0"/>
    <n v="107"/>
    <s v="_x0000_peopl"/>
  </r>
  <r>
    <x v="6"/>
    <n v="13.684799999999999"/>
    <n v="-89.193899999999999"/>
    <n v="8"/>
    <n v="0"/>
    <n v="0"/>
    <n v="107"/>
    <s v="_x0000_peopl"/>
  </r>
  <r>
    <x v="6"/>
    <n v="13.6921"/>
    <n v="-89.178600000000003"/>
    <n v="4"/>
    <n v="0"/>
    <n v="0"/>
    <n v="107"/>
    <s v="_x0000_peopl"/>
  </r>
  <r>
    <x v="6"/>
    <n v="13.690799999999999"/>
    <n v="-89.1875"/>
    <n v="4"/>
    <n v="0"/>
    <n v="0"/>
    <n v="107"/>
    <s v="_x0000_peopl"/>
  </r>
  <r>
    <x v="6"/>
    <n v="13.692299999999999"/>
    <n v="-89.179299999999998"/>
    <n v="3"/>
    <n v="0"/>
    <n v="0"/>
    <n v="107"/>
    <s v="_x0000_peopl"/>
  </r>
  <r>
    <x v="6"/>
    <n v="13.6915"/>
    <n v="-89.1768"/>
    <n v="6"/>
    <n v="0"/>
    <n v="0"/>
    <n v="107"/>
    <s v="_x0000_peopl"/>
  </r>
  <r>
    <x v="6"/>
    <n v="13.6889"/>
    <n v="-89.190399999999997"/>
    <n v="5"/>
    <n v="0"/>
    <n v="0"/>
    <n v="107"/>
    <s v="_x0000_peopl"/>
  </r>
  <r>
    <x v="6"/>
    <n v="13.6882"/>
    <n v="-89.194400000000002"/>
    <n v="7"/>
    <n v="0"/>
    <n v="0"/>
    <n v="107"/>
    <s v="_x0000_peopl"/>
  </r>
  <r>
    <x v="6"/>
    <n v="13.6913"/>
    <n v="-89.226299999999995"/>
    <n v="4"/>
    <n v="0"/>
    <n v="0"/>
    <n v="107"/>
    <s v="_x0000_peopl"/>
  </r>
  <r>
    <x v="6"/>
    <n v="13.6793"/>
    <n v="-89.196899999999999"/>
    <n v="10"/>
    <n v="0"/>
    <n v="0"/>
    <n v="107"/>
    <s v="_x0000_peopl"/>
  </r>
  <r>
    <x v="6"/>
    <n v="13.684900000000001"/>
    <n v="-89.216999999999999"/>
    <n v="3"/>
    <n v="0"/>
    <n v="0"/>
    <n v="107"/>
    <s v="_x0000_peopl"/>
  </r>
  <r>
    <x v="6"/>
    <n v="13.6913"/>
    <n v="-89.188599999999994"/>
    <n v="5"/>
    <n v="0"/>
    <n v="0"/>
    <n v="107"/>
    <s v="_x0000_peopl"/>
  </r>
  <r>
    <x v="6"/>
    <n v="13.687099999999999"/>
    <n v="-89.192499999999995"/>
    <n v="3"/>
    <n v="0"/>
    <n v="0"/>
    <n v="107"/>
    <s v="_x0000_peopl"/>
  </r>
  <r>
    <x v="6"/>
    <n v="13.687200000000001"/>
    <n v="-89.194599999999994"/>
    <n v="2"/>
    <n v="0"/>
    <n v="0"/>
    <n v="107"/>
    <s v="_x0000_peopl"/>
  </r>
  <r>
    <x v="6"/>
    <n v="13.689500000000001"/>
    <n v="-89.206100000000006"/>
    <n v="8"/>
    <n v="0"/>
    <n v="0"/>
    <n v="107"/>
    <s v="_x0000_peopl"/>
  </r>
  <r>
    <x v="6"/>
    <n v="13.6859"/>
    <n v="-89.193899999999999"/>
    <n v="8"/>
    <n v="0"/>
    <n v="0"/>
    <n v="107"/>
    <s v="_x0000_peopl"/>
  </r>
  <r>
    <x v="6"/>
    <n v="13.6852"/>
    <n v="-89.194199999999995"/>
    <n v="7"/>
    <n v="0"/>
    <n v="0"/>
    <n v="107"/>
    <s v="_x0000_peopl"/>
  </r>
  <r>
    <x v="6"/>
    <n v="13.694699999999999"/>
    <n v="-89.172899999999998"/>
    <n v="3"/>
    <n v="0"/>
    <n v="0"/>
    <n v="107"/>
    <s v="_x0000_peopl"/>
  </r>
  <r>
    <x v="6"/>
    <n v="13.673299999999999"/>
    <n v="-89.251400000000004"/>
    <n v="6"/>
    <n v="0"/>
    <n v="0"/>
    <n v="107"/>
    <s v="_x0000_peopl"/>
  </r>
  <r>
    <x v="6"/>
    <n v="13.6958"/>
    <n v="-89.173199999999994"/>
    <n v="4"/>
    <n v="0"/>
    <n v="0"/>
    <n v="107"/>
    <s v="_x0000_peopl"/>
  </r>
  <r>
    <x v="6"/>
    <n v="13.693899999999999"/>
    <n v="-89.173500000000004"/>
    <n v="4"/>
    <n v="0"/>
    <n v="0"/>
    <n v="107"/>
    <s v="_x0000_peopl"/>
  </r>
  <r>
    <x v="6"/>
    <n v="13.692399999999999"/>
    <n v="-89.184399999999997"/>
    <n v="4"/>
    <n v="0"/>
    <n v="0"/>
    <n v="107"/>
    <s v="_x0000_peopl"/>
  </r>
  <r>
    <x v="6"/>
    <n v="13.6915"/>
    <n v="-89.197400000000002"/>
    <n v="3"/>
    <n v="0"/>
    <n v="0"/>
    <n v="107"/>
    <s v="_x0000_peopl"/>
  </r>
  <r>
    <x v="6"/>
    <n v="13.6874"/>
    <n v="-89.196299999999994"/>
    <n v="6"/>
    <n v="0"/>
    <n v="0"/>
    <n v="107"/>
    <s v="_x0000_peopl"/>
  </r>
  <r>
    <x v="6"/>
    <n v="13.6791"/>
    <n v="-89.196399999999997"/>
    <n v="9"/>
    <n v="0"/>
    <n v="0"/>
    <n v="107"/>
    <s v="_x0000_peopl"/>
  </r>
  <r>
    <x v="6"/>
    <n v="13.6945"/>
    <n v="-89.183199999999999"/>
    <n v="4"/>
    <n v="0"/>
    <n v="0"/>
    <n v="107"/>
    <s v="_x0000_peopl"/>
  </r>
  <r>
    <x v="6"/>
    <n v="13.674099999999999"/>
    <n v="-89.252300000000005"/>
    <n v="6"/>
    <n v="0"/>
    <n v="0"/>
    <n v="107"/>
    <s v="_x0000_peopl"/>
  </r>
  <r>
    <x v="6"/>
    <n v="13.6943"/>
    <n v="-89.174800000000005"/>
    <n v="4"/>
    <n v="0"/>
    <n v="0"/>
    <n v="107"/>
    <s v="_x0000_peopl"/>
  </r>
  <r>
    <x v="6"/>
    <n v="13.6876"/>
    <n v="-89.195099999999996"/>
    <n v="4"/>
    <n v="0"/>
    <n v="0"/>
    <n v="107"/>
    <s v="_x0000_peopl"/>
  </r>
  <r>
    <x v="6"/>
    <n v="13.692299999999999"/>
    <n v="-89.194500000000005"/>
    <n v="7"/>
    <n v="0"/>
    <n v="0"/>
    <n v="107"/>
    <s v="_x0000_peopl"/>
  </r>
  <r>
    <x v="6"/>
    <n v="13.6775"/>
    <n v="-89.246799999999993"/>
    <n v="6"/>
    <n v="0"/>
    <n v="0"/>
    <n v="107"/>
    <s v="_x0000_peopl"/>
  </r>
  <r>
    <x v="6"/>
    <n v="13.69"/>
    <n v="-89.235699999999994"/>
    <n v="4"/>
    <n v="0"/>
    <n v="0"/>
    <n v="107"/>
    <s v="_x0000_peopl"/>
  </r>
  <r>
    <x v="6"/>
    <n v="13.6907"/>
    <n v="-89.185400000000001"/>
    <n v="4"/>
    <n v="0"/>
    <n v="0"/>
    <n v="107"/>
    <s v="_x0000_peopl"/>
  </r>
  <r>
    <x v="6"/>
    <n v="13.684900000000001"/>
    <n v="-89.216899999999995"/>
    <n v="4"/>
    <n v="0"/>
    <n v="0"/>
    <n v="107"/>
    <s v="_x0000_peopl"/>
  </r>
  <r>
    <x v="6"/>
    <n v="13.6921"/>
    <n v="-89.180099999999996"/>
    <n v="7"/>
    <n v="0"/>
    <n v="0"/>
    <n v="107"/>
    <s v="_x0000_peopl"/>
  </r>
  <r>
    <x v="6"/>
    <n v="13.696300000000001"/>
    <n v="-89.172799999999995"/>
    <n v="5"/>
    <n v="0"/>
    <n v="0"/>
    <n v="107"/>
    <s v="_x0000_peopl"/>
  </r>
  <r>
    <x v="6"/>
    <n v="13.685499999999999"/>
    <n v="-89.203699999999998"/>
    <n v="3"/>
    <n v="0"/>
    <n v="0"/>
    <n v="107"/>
    <s v="_x0000_peopl"/>
  </r>
  <r>
    <x v="6"/>
    <n v="13.693199999999999"/>
    <n v="-89.188900000000004"/>
    <n v="5"/>
    <n v="0"/>
    <n v="0"/>
    <n v="107"/>
    <s v="_x0000_peopl"/>
  </r>
  <r>
    <x v="6"/>
    <n v="13.6907"/>
    <n v="-89.2316"/>
    <n v="8"/>
    <n v="0"/>
    <n v="0"/>
    <n v="107"/>
    <s v="_x0000_peopl"/>
  </r>
  <r>
    <x v="6"/>
    <n v="13.692"/>
    <n v="-89.223799999999997"/>
    <n v="5"/>
    <n v="0"/>
    <n v="0"/>
    <n v="107"/>
    <s v="_x0000_peopl"/>
  </r>
  <r>
    <x v="6"/>
    <n v="13.6851"/>
    <n v="-89.213099999999997"/>
    <n v="2"/>
    <n v="0"/>
    <n v="0"/>
    <n v="107"/>
    <s v="_x0000_peopl"/>
  </r>
  <r>
    <x v="6"/>
    <n v="13.6854"/>
    <n v="-89.201499999999996"/>
    <n v="4"/>
    <n v="0"/>
    <n v="0"/>
    <n v="107"/>
    <s v="_x0000_peopl"/>
  </r>
  <r>
    <x v="6"/>
    <n v="13.69"/>
    <n v="-89.236199999999997"/>
    <n v="5"/>
    <n v="0"/>
    <n v="0"/>
    <n v="107"/>
    <s v="_x0000_peopl"/>
  </r>
  <r>
    <x v="6"/>
    <n v="13.6867"/>
    <n v="-89.194500000000005"/>
    <n v="9"/>
    <n v="0"/>
    <n v="0"/>
    <n v="107"/>
    <s v="_x0000_peopl"/>
  </r>
  <r>
    <x v="6"/>
    <n v="13.692"/>
    <n v="-89.227500000000006"/>
    <n v="5"/>
    <n v="0"/>
    <n v="0"/>
    <n v="107"/>
    <s v="_x0000_peopl"/>
  </r>
  <r>
    <x v="6"/>
    <n v="13.6907"/>
    <n v="-89.188699999999997"/>
    <n v="7"/>
    <n v="0"/>
    <n v="0"/>
    <n v="107"/>
    <s v="_x0000_peopl"/>
  </r>
  <r>
    <x v="6"/>
    <n v="13.679600000000001"/>
    <n v="-89.197199999999995"/>
    <n v="2"/>
    <n v="0"/>
    <n v="0"/>
    <n v="107"/>
    <s v="_x0000_peopl"/>
  </r>
  <r>
    <x v="6"/>
    <n v="13.690300000000001"/>
    <n v="-89.1798"/>
    <n v="1"/>
    <n v="0"/>
    <n v="0"/>
    <n v="107"/>
    <s v="_x0000_peopl"/>
  </r>
  <r>
    <x v="6"/>
    <n v="13.688000000000001"/>
    <n v="-89.205500000000001"/>
    <n v="5"/>
    <n v="0"/>
    <n v="0"/>
    <n v="107"/>
    <s v="_x0000_peopl"/>
  </r>
  <r>
    <x v="6"/>
    <n v="13.690200000000001"/>
    <n v="-89.235500000000002"/>
    <n v="10"/>
    <n v="0"/>
    <n v="0"/>
    <n v="107"/>
    <s v="_x0000_peopl"/>
  </r>
  <r>
    <x v="6"/>
    <n v="13.687900000000001"/>
    <n v="-89.205799999999996"/>
    <n v="3"/>
    <n v="0"/>
    <n v="0"/>
    <n v="107"/>
    <s v="_x0000_peopl"/>
  </r>
  <r>
    <x v="6"/>
    <n v="13.6911"/>
    <n v="-89.226699999999994"/>
    <n v="1"/>
    <n v="0"/>
    <n v="0"/>
    <n v="107"/>
    <s v="_x0000_peopl"/>
  </r>
  <r>
    <x v="6"/>
    <n v="13.694699999999999"/>
    <n v="-89.185400000000001"/>
    <n v="8"/>
    <n v="0"/>
    <n v="0"/>
    <n v="107"/>
    <s v="_x0000_peopl"/>
  </r>
  <r>
    <x v="6"/>
    <n v="13.6868"/>
    <n v="-89.215000000000003"/>
    <n v="3"/>
    <n v="0"/>
    <n v="0"/>
    <n v="107"/>
    <s v="_x0000_peopl"/>
  </r>
  <r>
    <x v="6"/>
    <n v="13.6943"/>
    <n v="-89.174800000000005"/>
    <n v="13"/>
    <n v="0"/>
    <n v="0"/>
    <n v="107"/>
    <s v="_x0000_peopl"/>
  </r>
  <r>
    <x v="6"/>
    <n v="13.687099999999999"/>
    <n v="-89.216499999999996"/>
    <n v="5"/>
    <n v="0"/>
    <n v="0"/>
    <n v="107"/>
    <s v="_x0000_peopl"/>
  </r>
  <r>
    <x v="6"/>
    <n v="13.686400000000001"/>
    <n v="-89.203900000000004"/>
    <n v="6"/>
    <n v="0"/>
    <n v="0"/>
    <n v="107"/>
    <s v="_x0000_peopl"/>
  </r>
  <r>
    <x v="6"/>
    <n v="13.6892"/>
    <n v="-89.206000000000003"/>
    <n v="8"/>
    <n v="0"/>
    <n v="0"/>
    <n v="107"/>
    <s v="_x0000_peopl"/>
  </r>
  <r>
    <x v="6"/>
    <n v="13.6875"/>
    <n v="-89.195400000000006"/>
    <n v="10"/>
    <n v="0"/>
    <n v="0"/>
    <n v="107"/>
    <s v="_x0000_peopl"/>
  </r>
  <r>
    <x v="6"/>
    <n v="13.6852"/>
    <n v="-89.193700000000007"/>
    <n v="6"/>
    <n v="0"/>
    <n v="0"/>
    <n v="107"/>
    <s v="_x0000_peopl"/>
  </r>
  <r>
    <x v="6"/>
    <n v="13.678000000000001"/>
    <n v="-89.245500000000007"/>
    <n v="8"/>
    <n v="0"/>
    <n v="0"/>
    <n v="107"/>
    <s v="_x0000_peopl"/>
  </r>
  <r>
    <x v="6"/>
    <n v="13.6884"/>
    <n v="-89.229399999999998"/>
    <n v="5"/>
    <n v="0"/>
    <n v="0"/>
    <n v="107"/>
    <s v="_x0000_peopl"/>
  </r>
  <r>
    <x v="6"/>
    <n v="13.686199999999999"/>
    <n v="-89.212500000000006"/>
    <n v="5"/>
    <n v="0"/>
    <n v="0"/>
    <n v="107"/>
    <s v="_x0000_peopl"/>
  </r>
  <r>
    <x v="6"/>
    <n v="13.6891"/>
    <n v="-89.229100000000003"/>
    <n v="3"/>
    <n v="0"/>
    <n v="0"/>
    <n v="107"/>
    <s v="_x0000_peopl"/>
  </r>
  <r>
    <x v="6"/>
    <n v="13.679399999999999"/>
    <n v="-89.196700000000007"/>
    <n v="3"/>
    <n v="0"/>
    <n v="0"/>
    <n v="107"/>
    <s v="_x0000_peopl"/>
  </r>
  <r>
    <x v="6"/>
    <n v="13.695600000000001"/>
    <n v="-89.171599999999998"/>
    <n v="6"/>
    <n v="0"/>
    <n v="0"/>
    <n v="107"/>
    <s v="_x0000_peopl"/>
  </r>
  <r>
    <x v="6"/>
    <n v="13.689"/>
    <n v="-89.211500000000001"/>
    <n v="5"/>
    <n v="0"/>
    <n v="0"/>
    <n v="107"/>
    <s v="_x0000_peopl"/>
  </r>
  <r>
    <x v="6"/>
    <n v="13.6768"/>
    <n v="-89.2"/>
    <n v="5"/>
    <n v="0"/>
    <n v="0"/>
    <n v="107"/>
    <s v="_x0000_peopl"/>
  </r>
  <r>
    <x v="6"/>
    <n v="13.69"/>
    <n v="-89.1798"/>
    <n v="3"/>
    <n v="0"/>
    <n v="0"/>
    <n v="107"/>
    <s v="_x0000_peopl"/>
  </r>
  <r>
    <x v="6"/>
    <n v="13.6752"/>
    <n v="-89.248500000000007"/>
    <n v="6"/>
    <n v="0"/>
    <n v="0"/>
    <n v="107"/>
    <s v="_x0000_peopl"/>
  </r>
  <r>
    <x v="6"/>
    <n v="13.6904"/>
    <n v="-89.178399999999996"/>
    <n v="3"/>
    <n v="0"/>
    <n v="0"/>
    <n v="107"/>
    <s v="_x0000_peopl"/>
  </r>
  <r>
    <x v="6"/>
    <n v="13.695"/>
    <n v="-89.1721"/>
    <n v="5"/>
    <n v="0"/>
    <n v="0"/>
    <n v="107"/>
    <s v="_x0000_peopl"/>
  </r>
  <r>
    <x v="6"/>
    <n v="13.6945"/>
    <n v="-89.174099999999996"/>
    <n v="3"/>
    <n v="0"/>
    <n v="0"/>
    <n v="107"/>
    <s v="_x0000_peopl"/>
  </r>
  <r>
    <x v="6"/>
    <n v="13.6915"/>
    <n v="-89.189300000000003"/>
    <n v="7"/>
    <n v="0"/>
    <n v="0"/>
    <n v="107"/>
    <s v="_x0000_peopl"/>
  </r>
  <r>
    <x v="6"/>
    <n v="13.691599999999999"/>
    <n v="-89.233800000000002"/>
    <n v="8"/>
    <n v="0"/>
    <n v="0"/>
    <n v="107"/>
    <s v="_x0000_peopl"/>
  </r>
  <r>
    <x v="6"/>
    <n v="13.690899999999999"/>
    <n v="-89.229600000000005"/>
    <n v="3"/>
    <n v="0"/>
    <n v="0"/>
    <n v="107"/>
    <s v="_x0000_peopl"/>
  </r>
  <r>
    <x v="6"/>
    <n v="13.690899999999999"/>
    <n v="-89.188500000000005"/>
    <n v="10"/>
    <n v="0"/>
    <n v="0"/>
    <n v="107"/>
    <s v="_x0000_peopl"/>
  </r>
  <r>
    <x v="6"/>
    <n v="13.6891"/>
    <n v="-89.191100000000006"/>
    <n v="4"/>
    <n v="0"/>
    <n v="0"/>
    <n v="107"/>
    <s v="_x0000_peopl"/>
  </r>
  <r>
    <x v="6"/>
    <n v="13.6869"/>
    <n v="-89.183599999999998"/>
    <n v="5"/>
    <n v="0"/>
    <n v="0"/>
    <n v="107"/>
    <s v="_x0000_peopl"/>
  </r>
  <r>
    <x v="6"/>
    <n v="13.691700000000001"/>
    <n v="-89.232600000000005"/>
    <n v="5"/>
    <n v="0"/>
    <n v="0"/>
    <n v="107"/>
    <s v="_x0000_peopl"/>
  </r>
  <r>
    <x v="6"/>
    <n v="13.692299999999999"/>
    <n v="-89.178799999999995"/>
    <n v="0"/>
    <n v="0"/>
    <n v="0"/>
    <n v="107"/>
    <s v="_x0000_peopl"/>
  </r>
  <r>
    <x v="6"/>
    <n v="13.6844"/>
    <n v="-89.217100000000002"/>
    <n v="6"/>
    <n v="0"/>
    <n v="0"/>
    <n v="107"/>
    <s v="_x0000_peopl"/>
  </r>
  <r>
    <x v="6"/>
    <n v="13.6943"/>
    <n v="-89.188699999999997"/>
    <n v="6"/>
    <n v="0"/>
    <n v="0"/>
    <n v="107"/>
    <s v="_x0000_peopl"/>
  </r>
  <r>
    <x v="6"/>
    <n v="13.692299999999999"/>
    <n v="-89.225800000000007"/>
    <n v="1"/>
    <n v="0"/>
    <n v="0"/>
    <n v="107"/>
    <s v="_x0000_peopl"/>
  </r>
  <r>
    <x v="6"/>
    <n v="13.6958"/>
    <n v="-89.172399999999996"/>
    <n v="5"/>
    <n v="0"/>
    <n v="0"/>
    <n v="107"/>
    <s v="_x0000_peopl"/>
  </r>
  <r>
    <x v="6"/>
    <n v="13.688700000000001"/>
    <n v="-89.205500000000001"/>
    <n v="7"/>
    <n v="0"/>
    <n v="0"/>
    <n v="107"/>
    <s v="_x0000_peopl"/>
  </r>
  <r>
    <x v="6"/>
    <n v="13.6928"/>
    <n v="-89.183999999999997"/>
    <n v="5"/>
    <n v="0"/>
    <n v="0"/>
    <n v="107"/>
    <s v="_x0000_peopl"/>
  </r>
  <r>
    <x v="6"/>
    <n v="13.6945"/>
    <n v="-89.175299999999993"/>
    <n v="7"/>
    <n v="0"/>
    <n v="0"/>
    <n v="107"/>
    <s v="_x0000_peopl"/>
  </r>
  <r>
    <x v="6"/>
    <n v="13.69"/>
    <n v="-89.188500000000005"/>
    <n v="4"/>
    <n v="0"/>
    <n v="0"/>
    <n v="107"/>
    <s v="_x0000_peopl"/>
  </r>
  <r>
    <x v="6"/>
    <n v="13.6945"/>
    <n v="-89.172899999999998"/>
    <n v="8"/>
    <n v="0"/>
    <n v="0"/>
    <n v="107"/>
    <s v="_x0000_peopl"/>
  </r>
  <r>
    <x v="6"/>
    <n v="13.692"/>
    <n v="-89.224100000000007"/>
    <n v="6"/>
    <n v="0"/>
    <n v="0"/>
    <n v="107"/>
    <s v="_x0000_peopl"/>
  </r>
  <r>
    <x v="6"/>
    <n v="13.6854"/>
    <n v="-89.213800000000006"/>
    <n v="2"/>
    <n v="0"/>
    <n v="0"/>
    <n v="107"/>
    <s v="_x0000_peopl"/>
  </r>
  <r>
    <x v="6"/>
    <n v="13.6875"/>
    <n v="-89.216899999999995"/>
    <n v="6"/>
    <n v="0"/>
    <n v="0"/>
    <n v="107"/>
    <s v="_x0000_peopl"/>
  </r>
  <r>
    <x v="6"/>
    <n v="13.690300000000001"/>
    <n v="-89.197699999999998"/>
    <n v="5"/>
    <n v="0"/>
    <n v="0"/>
    <n v="107"/>
    <s v="_x0000_peopl"/>
  </r>
  <r>
    <x v="6"/>
    <n v="13.6915"/>
    <n v="-89.228300000000004"/>
    <n v="3"/>
    <n v="0"/>
    <n v="0"/>
    <n v="107"/>
    <s v="_x0000_peopl"/>
  </r>
  <r>
    <x v="6"/>
    <n v="13.6912"/>
    <n v="-89.229200000000006"/>
    <n v="7"/>
    <n v="0"/>
    <n v="0"/>
    <n v="107"/>
    <s v="_x0000_peopl"/>
  </r>
  <r>
    <x v="6"/>
    <n v="13.6896"/>
    <n v="-89.235699999999994"/>
    <n v="6"/>
    <n v="0"/>
    <n v="0"/>
    <n v="107"/>
    <s v="_x0000_peopl"/>
  </r>
  <r>
    <x v="6"/>
    <n v="13.688499999999999"/>
    <n v="-89.190799999999996"/>
    <n v="1"/>
    <n v="0"/>
    <n v="0"/>
    <n v="107"/>
    <s v="_x0000_peopl"/>
  </r>
  <r>
    <x v="6"/>
    <n v="13.672000000000001"/>
    <n v="-89.203800000000001"/>
    <n v="7"/>
    <n v="0"/>
    <n v="0"/>
    <n v="107"/>
    <s v="_x0000_peopl"/>
  </r>
  <r>
    <x v="6"/>
    <n v="13.6905"/>
    <n v="-89.181299999999993"/>
    <n v="6"/>
    <n v="0"/>
    <n v="0"/>
    <n v="107"/>
    <s v="_x0000_peopl"/>
  </r>
  <r>
    <x v="6"/>
    <n v="13.6906"/>
    <n v="-89.190799999999996"/>
    <n v="5"/>
    <n v="0"/>
    <n v="0"/>
    <n v="107"/>
    <s v="_x0000_peopl"/>
  </r>
  <r>
    <x v="6"/>
    <n v="13.6892"/>
    <n v="-89.205600000000004"/>
    <n v="7"/>
    <n v="0"/>
    <n v="0"/>
    <n v="107"/>
    <s v="_x0000_peopl"/>
  </r>
  <r>
    <x v="6"/>
    <n v="13.686999999999999"/>
    <n v="-89.182400000000001"/>
    <n v="6"/>
    <n v="0"/>
    <n v="0"/>
    <n v="107"/>
    <s v="_x0000_peopl"/>
  </r>
  <r>
    <x v="6"/>
    <n v="13.6906"/>
    <n v="-89.186300000000003"/>
    <n v="3"/>
    <n v="0"/>
    <n v="0"/>
    <n v="107"/>
    <s v="_x0000_peopl"/>
  </r>
  <r>
    <x v="6"/>
    <n v="13.674799999999999"/>
    <n v="-89.249300000000005"/>
    <n v="8"/>
    <n v="0"/>
    <n v="0"/>
    <n v="107"/>
    <s v="_x0000_peopl"/>
  </r>
  <r>
    <x v="6"/>
    <n v="13.685700000000001"/>
    <n v="-89.202399999999997"/>
    <n v="7"/>
    <n v="0"/>
    <n v="0"/>
    <n v="107"/>
    <s v="_x0000_peopl"/>
  </r>
  <r>
    <x v="6"/>
    <n v="13.689500000000001"/>
    <n v="-89.194100000000006"/>
    <n v="5"/>
    <n v="0"/>
    <n v="0"/>
    <n v="107"/>
    <s v="_x0000_peopl"/>
  </r>
  <r>
    <x v="6"/>
    <n v="13.689399999999999"/>
    <n v="-89.206699999999998"/>
    <n v="5"/>
    <n v="0"/>
    <n v="0"/>
    <n v="107"/>
    <s v="_x0000_peopl"/>
  </r>
  <r>
    <x v="6"/>
    <n v="13.690200000000001"/>
    <n v="-89.197800000000001"/>
    <n v="7"/>
    <n v="0"/>
    <n v="0"/>
    <n v="107"/>
    <s v="_x0000_peopl"/>
  </r>
  <r>
    <x v="6"/>
    <n v="13.688000000000001"/>
    <n v="-89.179699999999997"/>
    <n v="9"/>
    <n v="0"/>
    <n v="0"/>
    <n v="107"/>
    <s v="_x0000_peopl"/>
  </r>
  <r>
    <x v="6"/>
    <n v="13.674200000000001"/>
    <n v="-89.202399999999997"/>
    <n v="8"/>
    <n v="0"/>
    <n v="0"/>
    <n v="107"/>
    <s v="_x0000_peopl"/>
  </r>
  <r>
    <x v="6"/>
    <n v="13.6912"/>
    <n v="-89.226399999999998"/>
    <n v="5"/>
    <n v="0"/>
    <n v="0"/>
    <n v="107"/>
    <s v="_x0000_peopl"/>
  </r>
  <r>
    <x v="6"/>
    <n v="13.689500000000001"/>
    <n v="-89.206599999999995"/>
    <n v="4"/>
    <n v="0"/>
    <n v="0"/>
    <n v="107"/>
    <s v="_x0000_peopl"/>
  </r>
  <r>
    <x v="6"/>
    <n v="13.6959"/>
    <n v="-89.165899999999993"/>
    <n v="5"/>
    <n v="0"/>
    <n v="0"/>
    <n v="107"/>
    <s v="_x0000_peopl"/>
  </r>
  <r>
    <x v="6"/>
    <n v="13.6915"/>
    <n v="-89.226500000000001"/>
    <n v="5"/>
    <n v="0"/>
    <n v="0"/>
    <n v="107"/>
    <s v="_x0000_peopl"/>
  </r>
  <r>
    <x v="6"/>
    <n v="13.687200000000001"/>
    <n v="-89.194800000000001"/>
    <n v="6"/>
    <n v="0"/>
    <n v="0"/>
    <n v="107"/>
    <s v="_x0000_peopl"/>
  </r>
  <r>
    <x v="6"/>
    <n v="13.6904"/>
    <n v="-89.235299999999995"/>
    <n v="0"/>
    <n v="0"/>
    <n v="0"/>
    <n v="107"/>
    <s v="_x0000_peopl"/>
  </r>
  <r>
    <x v="6"/>
    <n v="13.689299999999999"/>
    <n v="-89.185299999999998"/>
    <n v="5"/>
    <n v="0"/>
    <n v="0"/>
    <n v="107"/>
    <s v="_x0000_peopl"/>
  </r>
  <r>
    <x v="6"/>
    <n v="13.692600000000001"/>
    <n v="-89.223500000000001"/>
    <n v="5"/>
    <n v="0"/>
    <n v="0"/>
    <n v="107"/>
    <s v="_x0000_peopl"/>
  </r>
  <r>
    <x v="6"/>
    <n v="13.6915"/>
    <n v="-89.185500000000005"/>
    <n v="4"/>
    <n v="0"/>
    <n v="0"/>
    <n v="107"/>
    <s v="_x0000_peopl"/>
  </r>
  <r>
    <x v="6"/>
    <n v="13.678599999999999"/>
    <n v="-89.245500000000007"/>
    <n v="6"/>
    <n v="0"/>
    <n v="0"/>
    <n v="107"/>
    <s v="_x0000_peopl"/>
  </r>
  <r>
    <x v="6"/>
    <n v="13.690899999999999"/>
    <n v="-89.232600000000005"/>
    <n v="3"/>
    <n v="0"/>
    <n v="0"/>
    <n v="107"/>
    <s v="_x0000_peopl"/>
  </r>
  <r>
    <x v="6"/>
    <n v="13.689299999999999"/>
    <n v="-89.184799999999996"/>
    <n v="8"/>
    <n v="0"/>
    <n v="0"/>
    <n v="107"/>
    <s v="_x0000_peopl"/>
  </r>
  <r>
    <x v="6"/>
    <n v="13.6876"/>
    <n v="-89.1798"/>
    <n v="3"/>
    <n v="0"/>
    <n v="0"/>
    <n v="107"/>
    <s v="_x0000_peopl"/>
  </r>
  <r>
    <x v="6"/>
    <n v="13.681100000000001"/>
    <n v="-89.195499999999996"/>
    <n v="6"/>
    <n v="0"/>
    <n v="0"/>
    <n v="107"/>
    <s v="_x0000_peopl"/>
  </r>
  <r>
    <x v="6"/>
    <n v="13.690099999999999"/>
    <n v="-89.184899999999999"/>
    <n v="7"/>
    <n v="0"/>
    <n v="0"/>
    <n v="107"/>
    <s v="_x0000_peopl"/>
  </r>
  <r>
    <x v="6"/>
    <n v="13.6905"/>
    <n v="-89.188999999999993"/>
    <n v="7"/>
    <n v="0"/>
    <n v="0"/>
    <n v="107"/>
    <s v="_x0000_peopl"/>
  </r>
  <r>
    <x v="6"/>
    <n v="13.6892"/>
    <n v="-89.236099999999993"/>
    <n v="7"/>
    <n v="0"/>
    <n v="0"/>
    <n v="107"/>
    <s v="_x0000_peopl"/>
  </r>
  <r>
    <x v="6"/>
    <n v="13.695399999999999"/>
    <n v="-89.174400000000006"/>
    <n v="2"/>
    <n v="0"/>
    <n v="0"/>
    <n v="107"/>
    <s v="_x0000_peopl"/>
  </r>
  <r>
    <x v="6"/>
    <n v="13.6957"/>
    <n v="-89.172799999999995"/>
    <n v="6"/>
    <n v="0"/>
    <n v="0"/>
    <n v="107"/>
    <s v="_x0000_peopl"/>
  </r>
  <r>
    <x v="6"/>
    <n v="13.6882"/>
    <n v="-89.216700000000003"/>
    <n v="1"/>
    <n v="0"/>
    <n v="0"/>
    <n v="107"/>
    <s v="_x0000_peopl"/>
  </r>
  <r>
    <x v="6"/>
    <n v="13.685700000000001"/>
    <n v="-89.211200000000005"/>
    <n v="5"/>
    <n v="0"/>
    <n v="0"/>
    <n v="107"/>
    <s v="_x0000_peopl"/>
  </r>
  <r>
    <x v="6"/>
    <n v="13.6935"/>
    <n v="-89.188800000000001"/>
    <n v="6"/>
    <n v="0"/>
    <n v="0"/>
    <n v="107"/>
    <s v="_x0000_peopl"/>
  </r>
  <r>
    <x v="6"/>
    <n v="13.684100000000001"/>
    <n v="-89.216300000000004"/>
    <n v="4"/>
    <n v="0"/>
    <n v="0"/>
    <n v="107"/>
    <s v="_x0000_peopl"/>
  </r>
  <r>
    <x v="6"/>
    <n v="13.691700000000001"/>
    <n v="-89.232600000000005"/>
    <n v="8"/>
    <n v="0"/>
    <n v="0"/>
    <n v="107"/>
    <s v="_x0000_peopl"/>
  </r>
  <r>
    <x v="6"/>
    <n v="13.690899999999999"/>
    <n v="-89.229100000000003"/>
    <n v="7"/>
    <n v="0"/>
    <n v="0"/>
    <n v="107"/>
    <s v="_x0000_peopl"/>
  </r>
  <r>
    <x v="6"/>
    <n v="13.693300000000001"/>
    <n v="-89.183300000000003"/>
    <n v="4"/>
    <n v="0"/>
    <n v="0"/>
    <n v="107"/>
    <s v="_x0000_peopl"/>
  </r>
  <r>
    <x v="6"/>
    <n v="13.6906"/>
    <n v="-89.234999999999999"/>
    <n v="9"/>
    <n v="0"/>
    <n v="0"/>
    <n v="107"/>
    <s v="_x0000_peopl"/>
  </r>
  <r>
    <x v="6"/>
    <n v="13.695499999999999"/>
    <n v="-89.174000000000007"/>
    <n v="3"/>
    <n v="0"/>
    <n v="0"/>
    <n v="107"/>
    <s v="_x0000_peopl"/>
  </r>
  <r>
    <x v="6"/>
    <n v="13.6874"/>
    <n v="-89.193700000000007"/>
    <n v="6"/>
    <n v="0"/>
    <n v="0"/>
    <n v="107"/>
    <s v="_x0000_peopl"/>
  </r>
  <r>
    <x v="6"/>
    <n v="13.6892"/>
    <n v="-89.180999999999997"/>
    <n v="7"/>
    <n v="0"/>
    <n v="0"/>
    <n v="107"/>
    <s v="_x0000_peopl"/>
  </r>
  <r>
    <x v="6"/>
    <n v="13.694100000000001"/>
    <n v="-89.176199999999994"/>
    <n v="7"/>
    <n v="0"/>
    <n v="0"/>
    <n v="107"/>
    <s v="_x0000_peopl"/>
  </r>
  <r>
    <x v="6"/>
    <n v="13.6913"/>
    <n v="-89.232699999999994"/>
    <n v="4"/>
    <n v="0"/>
    <n v="0"/>
    <n v="107"/>
    <s v="_x0000_peopl"/>
  </r>
  <r>
    <x v="6"/>
    <n v="13.6911"/>
    <n v="-89.188699999999997"/>
    <n v="1"/>
    <n v="0"/>
    <n v="0"/>
    <n v="107"/>
    <s v="_x0000_peopl"/>
  </r>
  <r>
    <x v="6"/>
    <n v="13.6873"/>
    <n v="-89.215299999999999"/>
    <n v="8"/>
    <n v="0"/>
    <n v="0"/>
    <n v="107"/>
    <s v="_x0000_peopl"/>
  </r>
  <r>
    <x v="6"/>
    <n v="13.689399999999999"/>
    <n v="-89.216899999999995"/>
    <n v="2"/>
    <n v="0"/>
    <n v="0"/>
    <n v="107"/>
    <s v="_x0000_peopl"/>
  </r>
  <r>
    <x v="6"/>
    <n v="13.6898"/>
    <n v="-89.188500000000005"/>
    <n v="4"/>
    <n v="0"/>
    <n v="0"/>
    <n v="107"/>
    <s v="_x0000_peopl"/>
  </r>
  <r>
    <x v="6"/>
    <n v="13.6868"/>
    <n v="-89.182500000000005"/>
    <n v="5"/>
    <n v="0"/>
    <n v="0"/>
    <n v="107"/>
    <s v="_x0000_peopl"/>
  </r>
  <r>
    <x v="6"/>
    <n v="13.691800000000001"/>
    <n v="-89.186499999999995"/>
    <n v="8"/>
    <n v="0"/>
    <n v="0"/>
    <n v="107"/>
    <s v="_x0000_peopl"/>
  </r>
  <r>
    <x v="6"/>
    <n v="13.6915"/>
    <n v="-89.233999999999995"/>
    <n v="4"/>
    <n v="0"/>
    <n v="0"/>
    <n v="107"/>
    <s v="_x0000_peopl"/>
  </r>
  <r>
    <x v="6"/>
    <n v="13.6867"/>
    <n v="-89.181399999999996"/>
    <n v="4"/>
    <n v="0"/>
    <n v="0"/>
    <n v="107"/>
    <s v="_x0000_peopl"/>
  </r>
  <r>
    <x v="6"/>
    <n v="13.685700000000001"/>
    <n v="-89.193899999999999"/>
    <n v="8"/>
    <n v="0"/>
    <n v="0"/>
    <n v="107"/>
    <s v="_x0000_peopl"/>
  </r>
  <r>
    <x v="6"/>
    <n v="13.689399999999999"/>
    <n v="-89.184899999999999"/>
    <n v="4"/>
    <n v="0"/>
    <n v="0"/>
    <n v="107"/>
    <s v="_x0000_peopl"/>
  </r>
  <r>
    <x v="6"/>
    <n v="13.689299999999999"/>
    <n v="-89.236099999999993"/>
    <n v="5"/>
    <n v="0"/>
    <n v="0"/>
    <n v="107"/>
    <s v="_x0000_peopl"/>
  </r>
  <r>
    <x v="6"/>
    <n v="13.6896"/>
    <n v="-89.229299999999995"/>
    <n v="3"/>
    <n v="0"/>
    <n v="0"/>
    <n v="107"/>
    <s v="_x0000_peopl"/>
  </r>
  <r>
    <x v="6"/>
    <n v="13.697699999999999"/>
    <n v="-89.171199999999999"/>
    <n v="6"/>
    <n v="0"/>
    <n v="0"/>
    <n v="107"/>
    <s v="_x0000_peopl"/>
  </r>
  <r>
    <x v="6"/>
    <n v="13.685499999999999"/>
    <n v="-89.1935"/>
    <n v="9"/>
    <n v="0"/>
    <n v="0"/>
    <n v="107"/>
    <s v="_x0000_peopl"/>
  </r>
  <r>
    <x v="6"/>
    <n v="13.6751"/>
    <n v="-89.199799999999996"/>
    <n v="2"/>
    <n v="0"/>
    <n v="0"/>
    <n v="107"/>
    <s v="_x0000_peopl"/>
  </r>
  <r>
    <x v="6"/>
    <n v="13.687200000000001"/>
    <n v="-89.216800000000006"/>
    <n v="10"/>
    <n v="0"/>
    <n v="0"/>
    <n v="107"/>
    <s v="_x0000_peopl"/>
  </r>
  <r>
    <x v="6"/>
    <n v="13.6907"/>
    <n v="-89.178700000000006"/>
    <n v="7"/>
    <n v="0"/>
    <n v="0"/>
    <n v="107"/>
    <s v="_x0000_peopl"/>
  </r>
  <r>
    <x v="6"/>
    <n v="13.6928"/>
    <n v="-89.189599999999999"/>
    <n v="13"/>
    <n v="0"/>
    <n v="0"/>
    <n v="107"/>
    <s v="_x0000_peopl"/>
  </r>
  <r>
    <x v="6"/>
    <n v="13.6812"/>
    <n v="-89.197900000000004"/>
    <n v="4"/>
    <n v="0"/>
    <n v="0"/>
    <n v="107"/>
    <s v="_x0000_peopl"/>
  </r>
  <r>
    <x v="6"/>
    <n v="13.6913"/>
    <n v="-89.234399999999994"/>
    <n v="4"/>
    <n v="0"/>
    <n v="0"/>
    <n v="107"/>
    <s v="_x0000_peopl"/>
  </r>
  <r>
    <x v="6"/>
    <n v="13.674300000000001"/>
    <n v="-89.252099999999999"/>
    <n v="0"/>
    <n v="0"/>
    <n v="0"/>
    <n v="107"/>
    <s v="_x0000_peopl"/>
  </r>
  <r>
    <x v="6"/>
    <n v="13.6905"/>
    <n v="-89.193399999999997"/>
    <n v="4"/>
    <n v="0"/>
    <n v="0"/>
    <n v="107"/>
    <s v="_x0000_peopl"/>
  </r>
  <r>
    <x v="6"/>
    <n v="13.6957"/>
    <n v="-89.172799999999995"/>
    <n v="4"/>
    <n v="0"/>
    <n v="0"/>
    <n v="107"/>
    <s v="_x0000_peopl"/>
  </r>
  <r>
    <x v="6"/>
    <n v="13.6914"/>
    <n v="-89.179699999999997"/>
    <n v="8"/>
    <n v="0"/>
    <n v="0"/>
    <n v="107"/>
    <s v="_x0000_peopl"/>
  </r>
  <r>
    <x v="6"/>
    <n v="13.6853"/>
    <n v="-89.217200000000005"/>
    <n v="6"/>
    <n v="0"/>
    <n v="0"/>
    <n v="107"/>
    <s v="_x0000_peopl"/>
  </r>
  <r>
    <x v="6"/>
    <n v="13.6892"/>
    <n v="-89.229100000000003"/>
    <n v="8"/>
    <n v="0"/>
    <n v="0"/>
    <n v="107"/>
    <s v="_x0000_peopl"/>
  </r>
  <r>
    <x v="6"/>
    <n v="13.6874"/>
    <n v="-89.195400000000006"/>
    <n v="9"/>
    <n v="0"/>
    <n v="0"/>
    <n v="107"/>
    <s v="_x0000_peopl"/>
  </r>
  <r>
    <x v="6"/>
    <n v="13.696"/>
    <n v="-89.172700000000006"/>
    <n v="5"/>
    <n v="0"/>
    <n v="0"/>
    <n v="107"/>
    <s v="_x0000_peopl"/>
  </r>
  <r>
    <x v="6"/>
    <n v="13.690200000000001"/>
    <n v="-89.193200000000004"/>
    <n v="6"/>
    <n v="0"/>
    <n v="0"/>
    <n v="107"/>
    <s v="_x0000_peopl"/>
  </r>
  <r>
    <x v="6"/>
    <n v="13.687200000000001"/>
    <n v="-89.191599999999994"/>
    <n v="7"/>
    <n v="0"/>
    <n v="0"/>
    <n v="107"/>
    <s v="_x0000_peopl"/>
  </r>
  <r>
    <x v="6"/>
    <n v="13.693"/>
    <n v="-89.183199999999999"/>
    <n v="2"/>
    <n v="0"/>
    <n v="0"/>
    <n v="107"/>
    <s v="_x0000_peopl"/>
  </r>
  <r>
    <x v="6"/>
    <n v="13.6934"/>
    <n v="-89.178299999999993"/>
    <n v="6"/>
    <n v="0"/>
    <n v="0"/>
    <n v="107"/>
    <s v="_x0000_peopl"/>
  </r>
  <r>
    <x v="6"/>
    <n v="13.688700000000001"/>
    <n v="-89.189800000000005"/>
    <n v="3"/>
    <n v="0"/>
    <n v="0"/>
    <n v="107"/>
    <s v="_x0000_peopl"/>
  </r>
  <r>
    <x v="6"/>
    <n v="13.6873"/>
    <n v="-89.196299999999994"/>
    <n v="4"/>
    <n v="0"/>
    <n v="0"/>
    <n v="107"/>
    <s v="_x0000_peopl"/>
  </r>
  <r>
    <x v="6"/>
    <n v="13.687200000000001"/>
    <n v="-89.194500000000005"/>
    <n v="3"/>
    <n v="0"/>
    <n v="0"/>
    <n v="107"/>
    <s v="_x0000_peopl"/>
  </r>
  <r>
    <x v="6"/>
    <n v="13.6873"/>
    <n v="-89.194400000000002"/>
    <n v="2"/>
    <n v="0"/>
    <n v="0"/>
    <n v="107"/>
    <s v="_x0000_peopl"/>
  </r>
  <r>
    <x v="6"/>
    <n v="13.691000000000001"/>
    <n v="-89.233500000000006"/>
    <n v="8"/>
    <n v="0"/>
    <n v="0"/>
    <n v="107"/>
    <s v="_x0000_peopl"/>
  </r>
  <r>
    <x v="6"/>
    <n v="13.6914"/>
    <n v="-89.219800000000006"/>
    <n v="5"/>
    <n v="0"/>
    <n v="0"/>
    <n v="107"/>
    <s v="_x0000_peopl"/>
  </r>
  <r>
    <x v="6"/>
    <n v="13.690200000000001"/>
    <n v="-89.193200000000004"/>
    <n v="3"/>
    <n v="0"/>
    <n v="0"/>
    <n v="107"/>
    <s v="_x0000_peopl"/>
  </r>
  <r>
    <x v="6"/>
    <n v="13.688599999999999"/>
    <n v="-89.216200000000001"/>
    <n v="4"/>
    <n v="0"/>
    <n v="0"/>
    <n v="107"/>
    <s v="_x0000_peopl"/>
  </r>
  <r>
    <x v="6"/>
    <n v="13.6875"/>
    <n v="-89.195499999999996"/>
    <n v="7"/>
    <n v="0"/>
    <n v="0"/>
    <n v="107"/>
    <s v="_x0000_peopl"/>
  </r>
  <r>
    <x v="6"/>
    <n v="13.6899"/>
    <n v="-89.189300000000003"/>
    <n v="4"/>
    <n v="0"/>
    <n v="0"/>
    <n v="107"/>
    <s v="_x0000_peopl"/>
  </r>
  <r>
    <x v="6"/>
    <n v="13.6912"/>
    <n v="-89.229900000000001"/>
    <n v="8"/>
    <n v="0"/>
    <n v="0"/>
    <n v="107"/>
    <s v="_x0000_peopl"/>
  </r>
  <r>
    <x v="6"/>
    <n v="13.6912"/>
    <n v="-89.235100000000003"/>
    <n v="2"/>
    <n v="0"/>
    <n v="0"/>
    <n v="107"/>
    <s v="_x0000_peopl"/>
  </r>
  <r>
    <x v="6"/>
    <n v="13.6874"/>
    <n v="-89.215900000000005"/>
    <n v="6"/>
    <n v="0"/>
    <n v="0"/>
    <n v="107"/>
    <s v="_x0000_peopl"/>
  </r>
  <r>
    <x v="6"/>
    <n v="13.692500000000001"/>
    <n v="-89.175700000000006"/>
    <n v="5"/>
    <n v="0"/>
    <n v="0"/>
    <n v="107"/>
    <s v="_x0000_peopl"/>
  </r>
  <r>
    <x v="6"/>
    <n v="13.686999999999999"/>
    <n v="-89.192599999999999"/>
    <n v="7"/>
    <n v="0"/>
    <n v="0"/>
    <n v="107"/>
    <s v="_x0000_peopl"/>
  </r>
  <r>
    <x v="6"/>
    <n v="13.6981"/>
    <n v="-89.169300000000007"/>
    <n v="6"/>
    <n v="0"/>
    <n v="0"/>
    <n v="107"/>
    <s v="_x0000_peopl"/>
  </r>
  <r>
    <x v="6"/>
    <n v="13.6858"/>
    <n v="-89.214799999999997"/>
    <n v="8"/>
    <n v="0"/>
    <n v="0"/>
    <n v="107"/>
    <s v="_x0000_peopl"/>
  </r>
  <r>
    <x v="6"/>
    <n v="13.697100000000001"/>
    <n v="-89.171700000000001"/>
    <n v="5"/>
    <n v="0"/>
    <n v="0"/>
    <n v="107"/>
    <s v="_x0000_peopl"/>
  </r>
  <r>
    <x v="6"/>
    <n v="13.687099999999999"/>
    <n v="-89.215900000000005"/>
    <n v="8"/>
    <n v="0"/>
    <n v="0"/>
    <n v="107"/>
    <s v="_x0000_peopl"/>
  </r>
  <r>
    <x v="6"/>
    <n v="13.6922"/>
    <n v="-89.184100000000001"/>
    <n v="1"/>
    <n v="0"/>
    <n v="0"/>
    <n v="107"/>
    <s v="_x0000_peopl"/>
  </r>
  <r>
    <x v="6"/>
    <n v="13.6884"/>
    <n v="-89.194699999999997"/>
    <n v="2"/>
    <n v="0"/>
    <n v="0"/>
    <n v="107"/>
    <s v="_x0000_peopl"/>
  </r>
  <r>
    <x v="6"/>
    <n v="13.6883"/>
    <n v="-89.215400000000002"/>
    <n v="10"/>
    <n v="0"/>
    <n v="0"/>
    <n v="107"/>
    <s v="_x0000_peopl"/>
  </r>
  <r>
    <x v="6"/>
    <n v="13.6911"/>
    <n v="-89.220399999999998"/>
    <n v="4"/>
    <n v="0"/>
    <n v="0"/>
    <n v="107"/>
    <s v="_x0000_peopl"/>
  </r>
  <r>
    <x v="6"/>
    <n v="13.6938"/>
    <n v="-89.186400000000006"/>
    <n v="6"/>
    <n v="0"/>
    <n v="0"/>
    <n v="107"/>
    <s v="_x0000_peopl"/>
  </r>
  <r>
    <x v="6"/>
    <n v="13.6911"/>
    <n v="-89.233800000000002"/>
    <n v="9"/>
    <n v="0"/>
    <n v="0"/>
    <n v="107"/>
    <s v="_x0000_peopl"/>
  </r>
  <r>
    <x v="6"/>
    <n v="13.689399999999999"/>
    <n v="-89.196700000000007"/>
    <n v="6"/>
    <n v="0"/>
    <n v="0"/>
    <n v="107"/>
    <s v="_x0000_peopl"/>
  </r>
  <r>
    <x v="6"/>
    <n v="13.688800000000001"/>
    <n v="-89.217200000000005"/>
    <n v="4"/>
    <n v="0"/>
    <n v="0"/>
    <n v="107"/>
    <s v="_x0000_peopl"/>
  </r>
  <r>
    <x v="6"/>
    <n v="13.6914"/>
    <n v="-89.234999999999999"/>
    <n v="3"/>
    <n v="0"/>
    <n v="0"/>
    <n v="107"/>
    <s v="_x0000_peopl"/>
  </r>
  <r>
    <x v="6"/>
    <n v="13.690300000000001"/>
    <n v="-89.188400000000001"/>
    <n v="6"/>
    <n v="0"/>
    <n v="0"/>
    <n v="107"/>
    <s v="_x0000_peopl"/>
  </r>
  <r>
    <x v="6"/>
    <n v="13.693"/>
    <n v="-89.177800000000005"/>
    <n v="11"/>
    <n v="0"/>
    <n v="0"/>
    <n v="107"/>
    <s v="_x0000_peopl"/>
  </r>
  <r>
    <x v="6"/>
    <n v="13.687200000000001"/>
    <n v="-89.197999999999993"/>
    <n v="3"/>
    <n v="0"/>
    <n v="0"/>
    <n v="107"/>
    <s v="_x0000_peopl"/>
  </r>
  <r>
    <x v="6"/>
    <n v="13.675599999999999"/>
    <n v="-89.247600000000006"/>
    <n v="5"/>
    <n v="0"/>
    <n v="0"/>
    <n v="107"/>
    <s v="_x0000_peopl"/>
  </r>
  <r>
    <x v="6"/>
    <n v="13.690799999999999"/>
    <n v="-89.233400000000003"/>
    <n v="6"/>
    <n v="0"/>
    <n v="0"/>
    <n v="107"/>
    <s v="_x0000_peopl"/>
  </r>
  <r>
    <x v="6"/>
    <n v="13.6905"/>
    <n v="-89.194199999999995"/>
    <n v="5"/>
    <n v="0"/>
    <n v="0"/>
    <n v="107"/>
    <s v="_x0000_peopl"/>
  </r>
  <r>
    <x v="6"/>
    <n v="13.6914"/>
    <n v="-89.19"/>
    <n v="1"/>
    <n v="0"/>
    <n v="0"/>
    <n v="107"/>
    <s v="_x0000_peopl"/>
  </r>
  <r>
    <x v="6"/>
    <n v="13.689299999999999"/>
    <n v="-89.229299999999995"/>
    <n v="3"/>
    <n v="0"/>
    <n v="0"/>
    <n v="107"/>
    <s v="_x0000_peopl"/>
  </r>
  <r>
    <x v="6"/>
    <n v="13.685600000000001"/>
    <n v="-89.202500000000001"/>
    <n v="5"/>
    <n v="0"/>
    <n v="0"/>
    <n v="107"/>
    <s v="_x0000_peopl"/>
  </r>
  <r>
    <x v="6"/>
    <n v="13.688800000000001"/>
    <n v="-89.197999999999993"/>
    <n v="3"/>
    <n v="0"/>
    <n v="0"/>
    <n v="107"/>
    <s v="_x0000_peopl"/>
  </r>
  <r>
    <x v="6"/>
    <n v="13.6875"/>
    <n v="-89.194599999999994"/>
    <n v="3"/>
    <n v="0"/>
    <n v="0"/>
    <n v="107"/>
    <s v="_x0000_peopl"/>
  </r>
  <r>
    <x v="6"/>
    <n v="13.6968"/>
    <n v="-89.171700000000001"/>
    <n v="5"/>
    <n v="0"/>
    <n v="0"/>
    <n v="107"/>
    <s v="_x0000_peopl"/>
  </r>
  <r>
    <x v="6"/>
    <n v="13.689299999999999"/>
    <n v="-89.207999999999998"/>
    <n v="5"/>
    <n v="0"/>
    <n v="0"/>
    <n v="107"/>
    <s v="_x0000_peopl"/>
  </r>
  <r>
    <x v="6"/>
    <n v="13.687799999999999"/>
    <n v="-89.197100000000006"/>
    <n v="3"/>
    <n v="0"/>
    <n v="0"/>
    <n v="107"/>
    <s v="_x0000_peopl"/>
  </r>
  <r>
    <x v="6"/>
    <n v="13.679399999999999"/>
    <n v="-89.196799999999996"/>
    <n v="5"/>
    <n v="0"/>
    <n v="0"/>
    <n v="107"/>
    <s v="_x0000_peopl"/>
  </r>
  <r>
    <x v="6"/>
    <n v="13.692399999999999"/>
    <n v="-89.174899999999994"/>
    <n v="9"/>
    <n v="0"/>
    <n v="0"/>
    <n v="107"/>
    <s v="_x0000_peopl"/>
  </r>
  <r>
    <x v="6"/>
    <n v="13.688000000000001"/>
    <n v="-89.237200000000001"/>
    <n v="5"/>
    <n v="0"/>
    <n v="0"/>
    <n v="107"/>
    <s v="_x0000_peopl"/>
  </r>
  <r>
    <x v="6"/>
    <n v="13.6919"/>
    <n v="-89.194299999999998"/>
    <n v="5"/>
    <n v="0"/>
    <n v="0"/>
    <n v="107"/>
    <s v="_x0000_peopl"/>
  </r>
  <r>
    <x v="6"/>
    <n v="13.689500000000001"/>
    <n v="-89.184299999999993"/>
    <n v="4"/>
    <n v="0"/>
    <n v="0"/>
    <n v="107"/>
    <s v="_x0000_peopl"/>
  </r>
  <r>
    <x v="6"/>
    <n v="13.691599999999999"/>
    <n v="-89.220799999999997"/>
    <n v="5"/>
    <n v="0"/>
    <n v="0"/>
    <n v="107"/>
    <s v="_x0000_peopl"/>
  </r>
  <r>
    <x v="6"/>
    <n v="13.693199999999999"/>
    <n v="-89.176900000000003"/>
    <n v="4"/>
    <n v="0"/>
    <n v="0"/>
    <n v="107"/>
    <s v="_x0000_peopl"/>
  </r>
  <r>
    <x v="6"/>
    <n v="13.6853"/>
    <n v="-89.216899999999995"/>
    <n v="4"/>
    <n v="0"/>
    <n v="0"/>
    <n v="107"/>
    <s v="_x0000_peopl"/>
  </r>
  <r>
    <x v="6"/>
    <n v="13.690300000000001"/>
    <n v="-89.179699999999997"/>
    <n v="8"/>
    <n v="0"/>
    <n v="0"/>
    <n v="107"/>
    <s v="_x0000_peopl"/>
  </r>
  <r>
    <x v="6"/>
    <n v="13.6891"/>
    <n v="-89.180899999999994"/>
    <n v="3"/>
    <n v="0"/>
    <n v="0"/>
    <n v="107"/>
    <s v="_x0000_peopl"/>
  </r>
  <r>
    <x v="6"/>
    <n v="13.6898"/>
    <n v="-89.229100000000003"/>
    <n v="4"/>
    <n v="0"/>
    <n v="0"/>
    <n v="107"/>
    <s v="_x0000_peopl"/>
  </r>
  <r>
    <x v="6"/>
    <n v="13.689"/>
    <n v="-89.229399999999998"/>
    <n v="2"/>
    <n v="0"/>
    <n v="0"/>
    <n v="107"/>
    <s v="_x0000_peopl"/>
  </r>
  <r>
    <x v="6"/>
    <n v="13.6936"/>
    <n v="-89.1738"/>
    <n v="6"/>
    <n v="0"/>
    <n v="0"/>
    <n v="107"/>
    <s v="_x0000_peopl"/>
  </r>
  <r>
    <x v="6"/>
    <n v="13.687799999999999"/>
    <n v="-89.194599999999994"/>
    <n v="5"/>
    <n v="0"/>
    <n v="0"/>
    <n v="107"/>
    <s v="_x0000_peopl"/>
  </r>
  <r>
    <x v="6"/>
    <n v="13.689"/>
    <n v="-89.215599999999995"/>
    <n v="5"/>
    <n v="0"/>
    <n v="0"/>
    <n v="107"/>
    <s v="_x0000_peopl"/>
  </r>
  <r>
    <x v="6"/>
    <n v="13.686500000000001"/>
    <n v="-89.211399999999998"/>
    <n v="8"/>
    <n v="0"/>
    <n v="0"/>
    <n v="107"/>
    <s v="_x0000_peopl"/>
  </r>
  <r>
    <x v="6"/>
    <n v="13.675000000000001"/>
    <n v="-89.200100000000006"/>
    <n v="6"/>
    <n v="0"/>
    <n v="0"/>
    <n v="107"/>
    <s v="_x0000_peopl"/>
  </r>
  <r>
    <x v="6"/>
    <n v="13.690200000000001"/>
    <n v="-89.184899999999999"/>
    <n v="2"/>
    <n v="0"/>
    <n v="0"/>
    <n v="107"/>
    <s v="_x0000_peopl"/>
  </r>
  <r>
    <x v="6"/>
    <n v="13.6883"/>
    <n v="-89.216700000000003"/>
    <n v="2"/>
    <n v="0"/>
    <n v="0"/>
    <n v="107"/>
    <s v="_x0000_peopl"/>
  </r>
  <r>
    <x v="6"/>
    <n v="13.687200000000001"/>
    <n v="-89.197299999999998"/>
    <n v="10"/>
    <n v="0"/>
    <n v="0"/>
    <n v="107"/>
    <s v="_x0000_peopl"/>
  </r>
  <r>
    <x v="6"/>
    <n v="13.693099999999999"/>
    <n v="-89.185900000000004"/>
    <n v="7"/>
    <n v="0"/>
    <n v="0"/>
    <n v="107"/>
    <s v="_x0000_peopl"/>
  </r>
  <r>
    <x v="6"/>
    <n v="13.6783"/>
    <n v="-89.246200000000002"/>
    <n v="6"/>
    <n v="0"/>
    <n v="0"/>
    <n v="107"/>
    <s v="_x0000_peopl"/>
  </r>
  <r>
    <x v="6"/>
    <n v="13.688599999999999"/>
    <n v="-89.204599999999999"/>
    <n v="6"/>
    <n v="0"/>
    <n v="0"/>
    <n v="107"/>
    <s v="_x0000_peopl"/>
  </r>
  <r>
    <x v="6"/>
    <n v="13.674200000000001"/>
    <n v="-89.202200000000005"/>
    <n v="4"/>
    <n v="0"/>
    <n v="0"/>
    <n v="107"/>
    <s v="_x0000_peopl"/>
  </r>
  <r>
    <x v="6"/>
    <n v="13.694699999999999"/>
    <n v="-89.185199999999995"/>
    <n v="5"/>
    <n v="0"/>
    <n v="0"/>
    <n v="107"/>
    <s v="_x0000_peopl"/>
  </r>
  <r>
    <x v="6"/>
    <n v="13.694100000000001"/>
    <n v="-89.182400000000001"/>
    <n v="4"/>
    <n v="0"/>
    <n v="0"/>
    <n v="107"/>
    <s v="_x0000_peopl"/>
  </r>
  <r>
    <x v="6"/>
    <n v="13.6975"/>
    <n v="-89.171000000000006"/>
    <n v="6"/>
    <n v="0"/>
    <n v="0"/>
    <n v="107"/>
    <s v="_x0000_peopl"/>
  </r>
  <r>
    <x v="6"/>
    <n v="13.6958"/>
    <n v="-89.172499999999999"/>
    <n v="4"/>
    <n v="0"/>
    <n v="0"/>
    <n v="107"/>
    <s v="_x0000_peopl"/>
  </r>
  <r>
    <x v="6"/>
    <n v="13.689299999999999"/>
    <n v="-89.185400000000001"/>
    <n v="4"/>
    <n v="0"/>
    <n v="0"/>
    <n v="107"/>
    <s v="_x0000_peopl"/>
  </r>
  <r>
    <x v="6"/>
    <n v="13.6914"/>
    <n v="-89.228999999999999"/>
    <n v="4"/>
    <n v="0"/>
    <n v="0"/>
    <n v="107"/>
    <s v="_x0000_peopl"/>
  </r>
  <r>
    <x v="6"/>
    <n v="13.6889"/>
    <n v="-89.229600000000005"/>
    <n v="10"/>
    <n v="0"/>
    <n v="0"/>
    <n v="107"/>
    <s v="_x0000_peopl"/>
  </r>
  <r>
    <x v="6"/>
    <n v="13.6778"/>
    <n v="-89.246200000000002"/>
    <n v="6"/>
    <n v="0"/>
    <n v="0"/>
    <n v="107"/>
    <s v="_x0000_peopl"/>
  </r>
  <r>
    <x v="6"/>
    <n v="13.6951"/>
    <n v="-89.182699999999997"/>
    <n v="4"/>
    <n v="0"/>
    <n v="0"/>
    <n v="107"/>
    <s v="_x0000_peopl"/>
  </r>
  <r>
    <x v="6"/>
    <n v="13.690300000000001"/>
    <n v="-89.228200000000001"/>
    <n v="4"/>
    <n v="0"/>
    <n v="0"/>
    <n v="107"/>
    <s v="_x0000_peopl"/>
  </r>
  <r>
    <x v="6"/>
    <n v="13.6853"/>
    <n v="-89.204099999999997"/>
    <n v="5"/>
    <n v="0"/>
    <n v="0"/>
    <n v="107"/>
    <s v="_x0000_peopl"/>
  </r>
  <r>
    <x v="6"/>
    <n v="13.679500000000001"/>
    <n v="-89.197299999999998"/>
    <n v="4"/>
    <n v="0"/>
    <n v="0"/>
    <n v="107"/>
    <s v="_x0000_peopl"/>
  </r>
  <r>
    <x v="6"/>
    <n v="13.6844"/>
    <n v="-89.213099999999997"/>
    <n v="7"/>
    <n v="0"/>
    <n v="0"/>
    <n v="107"/>
    <s v="_x0000_peopl"/>
  </r>
  <r>
    <x v="6"/>
    <n v="13.6904"/>
    <n v="-89.186199999999999"/>
    <n v="4"/>
    <n v="0"/>
    <n v="0"/>
    <n v="107"/>
    <s v="_x0000_peopl"/>
  </r>
  <r>
    <x v="6"/>
    <n v="13.690899999999999"/>
    <n v="-89.187700000000007"/>
    <n v="4"/>
    <n v="0"/>
    <n v="0"/>
    <n v="107"/>
    <s v="_x0000_peopl"/>
  </r>
  <r>
    <x v="6"/>
    <n v="13.692"/>
    <n v="-89.224900000000005"/>
    <n v="3"/>
    <n v="0"/>
    <n v="0"/>
    <n v="107"/>
    <s v="_x0000_peopl"/>
  </r>
  <r>
    <x v="6"/>
    <n v="13.6858"/>
    <n v="-89.194000000000003"/>
    <n v="2"/>
    <n v="0"/>
    <n v="0"/>
    <n v="107"/>
    <s v="_x0000_peopl"/>
  </r>
  <r>
    <x v="6"/>
    <n v="13.6937"/>
    <n v="-89.176699999999997"/>
    <n v="4"/>
    <n v="0"/>
    <n v="0"/>
    <n v="107"/>
    <s v="_x0000_peopl"/>
  </r>
  <r>
    <x v="6"/>
    <n v="13.6892"/>
    <n v="-89.228899999999996"/>
    <n v="4"/>
    <n v="0"/>
    <n v="0"/>
    <n v="107"/>
    <s v="_x0000_peopl"/>
  </r>
  <r>
    <x v="6"/>
    <n v="13.69"/>
    <n v="-89.193899999999999"/>
    <n v="3"/>
    <n v="0"/>
    <n v="0"/>
    <n v="107"/>
    <s v="_x0000_peopl"/>
  </r>
  <r>
    <x v="6"/>
    <n v="13.687099999999999"/>
    <n v="-89.193899999999999"/>
    <n v="3"/>
    <n v="0"/>
    <n v="0"/>
    <n v="107"/>
    <s v="_x0000_peopl"/>
  </r>
  <r>
    <x v="6"/>
    <n v="13.6882"/>
    <n v="-89.195099999999996"/>
    <n v="7"/>
    <n v="0"/>
    <n v="0"/>
    <n v="107"/>
    <s v="_x0000_peopl"/>
  </r>
  <r>
    <x v="6"/>
    <n v="13.6958"/>
    <n v="-89.172600000000003"/>
    <n v="6"/>
    <n v="0"/>
    <n v="0"/>
    <n v="107"/>
    <s v="_x0000_peopl"/>
  </r>
  <r>
    <x v="6"/>
    <n v="13.686"/>
    <n v="-89.201899999999995"/>
    <n v="7"/>
    <n v="0"/>
    <n v="0"/>
    <n v="107"/>
    <s v="_x0000_peopl"/>
  </r>
  <r>
    <x v="6"/>
    <n v="13.695499999999999"/>
    <n v="-89.171800000000005"/>
    <n v="6"/>
    <n v="0"/>
    <n v="0"/>
    <n v="107"/>
    <s v="_x0000_peopl"/>
  </r>
  <r>
    <x v="6"/>
    <n v="13.688800000000001"/>
    <n v="-89.204700000000003"/>
    <n v="7"/>
    <n v="0"/>
    <n v="0"/>
    <n v="107"/>
    <s v="_x0000_peopl"/>
  </r>
  <r>
    <x v="6"/>
    <n v="13.6929"/>
    <n v="-89.1738"/>
    <n v="8"/>
    <n v="0"/>
    <n v="0"/>
    <n v="107"/>
    <s v="_x0000_peopl"/>
  </r>
  <r>
    <x v="6"/>
    <n v="13.6929"/>
    <n v="-89.1738"/>
    <n v="10"/>
    <n v="0"/>
    <n v="0"/>
    <n v="107"/>
    <s v="_x0000_peopl"/>
  </r>
  <r>
    <x v="6"/>
    <n v="13.689299999999999"/>
    <n v="-89.229399999999998"/>
    <n v="3"/>
    <n v="0"/>
    <n v="0"/>
    <n v="107"/>
    <s v="_x0000_peopl"/>
  </r>
  <r>
    <x v="6"/>
    <n v="13.6934"/>
    <n v="-89.192400000000006"/>
    <n v="4"/>
    <n v="0"/>
    <n v="0"/>
    <n v="107"/>
    <s v="_x0000_peopl"/>
  </r>
  <r>
    <x v="6"/>
    <n v="13.685700000000001"/>
    <n v="-89.215999999999994"/>
    <n v="6"/>
    <n v="0"/>
    <n v="0"/>
    <n v="107"/>
    <s v="_x0000_peopl"/>
  </r>
  <r>
    <x v="6"/>
    <n v="13.687200000000001"/>
    <n v="-89.211500000000001"/>
    <n v="7"/>
    <n v="0"/>
    <n v="0"/>
    <n v="107"/>
    <s v="_x0000_peopl"/>
  </r>
  <r>
    <x v="6"/>
    <n v="13.685"/>
    <n v="-89.212599999999995"/>
    <n v="1"/>
    <n v="0"/>
    <n v="0"/>
    <n v="107"/>
    <s v="_x0000_peopl"/>
  </r>
  <r>
    <x v="6"/>
    <n v="13.686299999999999"/>
    <n v="-89.212199999999996"/>
    <n v="8"/>
    <n v="0"/>
    <n v="0"/>
    <n v="107"/>
    <s v="_x0000_peopl"/>
  </r>
  <r>
    <x v="6"/>
    <n v="13.6883"/>
    <n v="-89.216700000000003"/>
    <n v="5"/>
    <n v="0"/>
    <n v="0"/>
    <n v="107"/>
    <s v="_x0000_peopl"/>
  </r>
  <r>
    <x v="6"/>
    <n v="13.687099999999999"/>
    <n v="-89.181100000000001"/>
    <n v="6"/>
    <n v="0"/>
    <n v="0"/>
    <n v="107"/>
    <s v="_x0000_peopl"/>
  </r>
  <r>
    <x v="6"/>
    <n v="13.689"/>
    <n v="-89.214600000000004"/>
    <n v="9"/>
    <n v="0"/>
    <n v="0"/>
    <n v="107"/>
    <s v="_x0000_peopl"/>
  </r>
  <r>
    <x v="6"/>
    <n v="13.6874"/>
    <n v="-89.197199999999995"/>
    <n v="9"/>
    <n v="0"/>
    <n v="0"/>
    <n v="107"/>
    <s v="_x0000_peopl"/>
  </r>
  <r>
    <x v="6"/>
    <n v="13.6845"/>
    <n v="-89.211699999999993"/>
    <n v="4"/>
    <n v="0"/>
    <n v="0"/>
    <n v="107"/>
    <s v="_x0000_peopl"/>
  </r>
  <r>
    <x v="6"/>
    <n v="13.6905"/>
    <n v="-89.194400000000002"/>
    <n v="5"/>
    <n v="0"/>
    <n v="0"/>
    <n v="107"/>
    <s v="_x0000_peopl"/>
  </r>
  <r>
    <x v="6"/>
    <n v="13.6744"/>
    <n v="-89.199200000000005"/>
    <n v="6"/>
    <n v="0"/>
    <n v="0"/>
    <n v="107"/>
    <s v="_x0000_peopl"/>
  </r>
  <r>
    <x v="6"/>
    <n v="13.6912"/>
    <n v="-89.178799999999995"/>
    <n v="5"/>
    <n v="0"/>
    <n v="0"/>
    <n v="107"/>
    <s v="_x0000_peopl"/>
  </r>
  <r>
    <x v="6"/>
    <n v="13.6914"/>
    <n v="-89.189400000000006"/>
    <n v="1"/>
    <n v="0"/>
    <n v="0"/>
    <n v="107"/>
    <s v="_x0000_peopl"/>
  </r>
  <r>
    <x v="6"/>
    <n v="13.684799999999999"/>
    <n v="-89.216800000000006"/>
    <n v="6"/>
    <n v="0"/>
    <n v="0"/>
    <n v="107"/>
    <s v="_x0000_peopl"/>
  </r>
  <r>
    <x v="6"/>
    <n v="13.694599999999999"/>
    <n v="-89.182599999999994"/>
    <n v="7"/>
    <n v="0"/>
    <n v="0"/>
    <n v="107"/>
    <s v="_x0000_peopl"/>
  </r>
  <r>
    <x v="6"/>
    <n v="13.693300000000001"/>
    <n v="-89.188299999999998"/>
    <n v="6"/>
    <n v="0"/>
    <n v="0"/>
    <n v="107"/>
    <s v="_x0000_peopl"/>
  </r>
  <r>
    <x v="6"/>
    <n v="13.6866"/>
    <n v="-89.212500000000006"/>
    <n v="8"/>
    <n v="0"/>
    <n v="0"/>
    <n v="107"/>
    <s v="_x0000_peopl"/>
  </r>
  <r>
    <x v="6"/>
    <n v="13.6798"/>
    <n v="-89.196799999999996"/>
    <n v="4"/>
    <n v="0"/>
    <n v="0"/>
    <n v="107"/>
    <s v="_x0000_peopl"/>
  </r>
  <r>
    <x v="6"/>
    <n v="13.6911"/>
    <n v="-89.235900000000001"/>
    <n v="4"/>
    <n v="0"/>
    <n v="0"/>
    <n v="107"/>
    <s v="_x0000_peopl"/>
  </r>
  <r>
    <x v="6"/>
    <n v="13.6915"/>
    <n v="-89.234899999999996"/>
    <n v="9"/>
    <n v="0"/>
    <n v="0"/>
    <n v="107"/>
    <s v="_x0000_peopl"/>
  </r>
  <r>
    <x v="6"/>
    <n v="13.6906"/>
    <n v="-89.235500000000002"/>
    <n v="5"/>
    <n v="0"/>
    <n v="0"/>
    <n v="107"/>
    <s v="_x0000_peopl"/>
  </r>
  <r>
    <x v="6"/>
    <n v="13.679600000000001"/>
    <n v="-89.197299999999998"/>
    <n v="7"/>
    <n v="0"/>
    <n v="0"/>
    <n v="107"/>
    <s v="_x0000_peopl"/>
  </r>
  <r>
    <x v="6"/>
    <n v="13.6853"/>
    <n v="-89.201400000000007"/>
    <n v="8"/>
    <n v="0"/>
    <n v="0"/>
    <n v="107"/>
    <s v="_x0000_peopl"/>
  </r>
  <r>
    <x v="6"/>
    <n v="13.693099999999999"/>
    <n v="-89.174099999999996"/>
    <n v="5"/>
    <n v="0"/>
    <n v="0"/>
    <n v="107"/>
    <s v="_x0000_peopl"/>
  </r>
  <r>
    <x v="6"/>
    <n v="13.6896"/>
    <n v="-89.190100000000001"/>
    <n v="5"/>
    <n v="0"/>
    <n v="0"/>
    <n v="107"/>
    <s v="_x0000_peopl"/>
  </r>
  <r>
    <x v="6"/>
    <n v="13.696899999999999"/>
    <n v="-89.171800000000005"/>
    <n v="5"/>
    <n v="0"/>
    <n v="0"/>
    <n v="107"/>
    <s v="_x0000_peopl"/>
  </r>
  <r>
    <x v="6"/>
    <n v="13.685700000000001"/>
    <n v="-89.2042"/>
    <n v="2"/>
    <n v="0"/>
    <n v="0"/>
    <n v="107"/>
    <s v="_x0000_peopl"/>
  </r>
  <r>
    <x v="6"/>
    <n v="13.6912"/>
    <n v="-89.219399999999993"/>
    <n v="1"/>
    <n v="0"/>
    <n v="0"/>
    <n v="107"/>
    <s v="_x0000_peopl"/>
  </r>
  <r>
    <x v="6"/>
    <n v="13.6957"/>
    <n v="-89.173400000000001"/>
    <n v="3"/>
    <n v="0"/>
    <n v="0"/>
    <n v="107"/>
    <s v="_x0000_peopl"/>
  </r>
  <r>
    <x v="6"/>
    <n v="13.695"/>
    <n v="-89.173699999999997"/>
    <n v="4"/>
    <n v="0"/>
    <n v="0"/>
    <n v="107"/>
    <s v="_x0000_peopl"/>
  </r>
  <r>
    <x v="6"/>
    <n v="13.688700000000001"/>
    <n v="-89.1982"/>
    <n v="5"/>
    <n v="0"/>
    <n v="0"/>
    <n v="107"/>
    <s v="_x0000_peopl"/>
  </r>
  <r>
    <x v="6"/>
    <n v="13.6928"/>
    <n v="-89.224199999999996"/>
    <n v="7"/>
    <n v="0"/>
    <n v="0"/>
    <n v="107"/>
    <s v="_x0000_peopl"/>
  </r>
  <r>
    <x v="6"/>
    <n v="13.691000000000001"/>
    <n v="-89.1905"/>
    <n v="3"/>
    <n v="0"/>
    <n v="0"/>
    <n v="107"/>
    <s v="_x0000_peopl"/>
  </r>
  <r>
    <x v="6"/>
    <n v="13.6942"/>
    <n v="-89.175799999999995"/>
    <n v="8"/>
    <n v="0"/>
    <n v="0"/>
    <n v="107"/>
    <s v="_x0000_peopl"/>
  </r>
  <r>
    <x v="6"/>
    <n v="13.679500000000001"/>
    <n v="-89.1965"/>
    <n v="7"/>
    <n v="0"/>
    <n v="0"/>
    <n v="107"/>
    <s v="_x0000_peopl"/>
  </r>
  <r>
    <x v="6"/>
    <n v="13.6912"/>
    <n v="-89.228399999999993"/>
    <n v="6"/>
    <n v="0"/>
    <n v="0"/>
    <n v="107"/>
    <s v="_x0000_peopl"/>
  </r>
  <r>
    <x v="6"/>
    <n v="13.677300000000001"/>
    <n v="-89.247900000000001"/>
    <n v="3"/>
    <n v="0"/>
    <n v="0"/>
    <n v="107"/>
    <s v="_x0000_peopl"/>
  </r>
  <r>
    <x v="6"/>
    <n v="13.6884"/>
    <n v="-89.2042"/>
    <n v="5"/>
    <n v="0"/>
    <n v="0"/>
    <n v="107"/>
    <s v="_x0000_peopl"/>
  </r>
  <r>
    <x v="6"/>
    <n v="13.6967"/>
    <n v="-89.171700000000001"/>
    <n v="5"/>
    <n v="0"/>
    <n v="0"/>
    <n v="107"/>
    <s v="_x0000_peopl"/>
  </r>
  <r>
    <x v="6"/>
    <n v="13.6974"/>
    <n v="-89.171700000000001"/>
    <n v="5"/>
    <n v="0"/>
    <n v="0"/>
    <n v="107"/>
    <s v="_x0000_peopl"/>
  </r>
  <r>
    <x v="6"/>
    <n v="13.686500000000001"/>
    <n v="-89.2119"/>
    <n v="6"/>
    <n v="0"/>
    <n v="0"/>
    <n v="107"/>
    <s v="_x0000_peopl"/>
  </r>
  <r>
    <x v="6"/>
    <n v="13.693899999999999"/>
    <n v="-89.176299999999998"/>
    <n v="4"/>
    <n v="0"/>
    <n v="0"/>
    <n v="107"/>
    <s v="_x0000_peopl"/>
  </r>
  <r>
    <x v="6"/>
    <n v="13.69"/>
    <n v="-89.217399999999998"/>
    <n v="3"/>
    <n v="0"/>
    <n v="0"/>
    <n v="107"/>
    <s v="_x0000_peopl"/>
  </r>
  <r>
    <x v="6"/>
    <n v="13.6874"/>
    <n v="-89.194800000000001"/>
    <n v="5"/>
    <n v="0"/>
    <n v="0"/>
    <n v="107"/>
    <s v="_x0000_peopl"/>
  </r>
  <r>
    <x v="6"/>
    <n v="13.688599999999999"/>
    <n v="-89.229399999999998"/>
    <n v="7"/>
    <n v="0"/>
    <n v="0"/>
    <n v="107"/>
    <s v="_x0000_peopl"/>
  </r>
  <r>
    <x v="6"/>
    <n v="13.6867"/>
    <n v="-89.214799999999997"/>
    <n v="5"/>
    <n v="0"/>
    <n v="0"/>
    <n v="107"/>
    <s v="_x0000_peopl"/>
  </r>
  <r>
    <x v="6"/>
    <n v="13.6927"/>
    <n v="-89.179199999999994"/>
    <n v="3"/>
    <n v="0"/>
    <n v="0"/>
    <n v="107"/>
    <s v="_x0000_peopl"/>
  </r>
  <r>
    <x v="6"/>
    <n v="13.688800000000001"/>
    <n v="-89.178200000000004"/>
    <n v="2"/>
    <n v="0"/>
    <n v="0"/>
    <n v="107"/>
    <s v="_x0000_peopl"/>
  </r>
  <r>
    <x v="6"/>
    <n v="13.674799999999999"/>
    <n v="-89.1999"/>
    <n v="5"/>
    <n v="0"/>
    <n v="0"/>
    <n v="107"/>
    <s v="_x0000_peopl"/>
  </r>
  <r>
    <x v="6"/>
    <n v="13.6868"/>
    <n v="-89.2029"/>
    <n v="7"/>
    <n v="0"/>
    <n v="0"/>
    <n v="107"/>
    <s v="_x0000_peopl"/>
  </r>
  <r>
    <x v="6"/>
    <n v="13.6907"/>
    <n v="-89.187299999999993"/>
    <n v="6"/>
    <n v="0"/>
    <n v="0"/>
    <n v="107"/>
    <s v="_x0000_peopl"/>
  </r>
  <r>
    <x v="6"/>
    <n v="13.6746"/>
    <n v="-89.2517"/>
    <n v="10"/>
    <n v="0"/>
    <n v="0"/>
    <n v="107"/>
    <s v="_x0000_peopl"/>
  </r>
  <r>
    <x v="6"/>
    <n v="13.6911"/>
    <n v="-89.219700000000003"/>
    <n v="4"/>
    <n v="0"/>
    <n v="0"/>
    <n v="107"/>
    <s v="_x0000_peopl"/>
  </r>
  <r>
    <x v="6"/>
    <n v="13.6868"/>
    <n v="-89.191699999999997"/>
    <n v="4"/>
    <n v="0"/>
    <n v="0"/>
    <n v="107"/>
    <s v="_x0000_peopl"/>
  </r>
  <r>
    <x v="6"/>
    <n v="13.694900000000001"/>
    <n v="-89.174199999999999"/>
    <n v="1"/>
    <n v="0"/>
    <n v="0"/>
    <n v="107"/>
    <s v="_x0000_peopl"/>
  </r>
  <r>
    <x v="6"/>
    <n v="13.690099999999999"/>
    <n v="-89.189899999999994"/>
    <n v="3"/>
    <n v="0"/>
    <n v="0"/>
    <n v="107"/>
    <s v="_x0000_peopl"/>
  </r>
  <r>
    <x v="6"/>
    <n v="13.6876"/>
    <n v="-89.194299999999998"/>
    <n v="5"/>
    <n v="0"/>
    <n v="0"/>
    <n v="107"/>
    <s v="_x0000_peopl"/>
  </r>
  <r>
    <x v="6"/>
    <n v="13.674099999999999"/>
    <n v="-89.202600000000004"/>
    <n v="2"/>
    <n v="0"/>
    <n v="0"/>
    <n v="107"/>
    <s v="_x0000_peopl"/>
  </r>
  <r>
    <x v="6"/>
    <n v="13.688499999999999"/>
    <n v="-89.216200000000001"/>
    <n v="1"/>
    <n v="0"/>
    <n v="0"/>
    <n v="107"/>
    <s v="_x0000_peopl"/>
  </r>
  <r>
    <x v="6"/>
    <n v="13.6877"/>
    <n v="-89.179699999999997"/>
    <n v="7"/>
    <n v="0"/>
    <n v="0"/>
    <n v="107"/>
    <s v="_x0000_peopl"/>
  </r>
  <r>
    <x v="6"/>
    <n v="13.687200000000001"/>
    <n v="-89.202299999999994"/>
    <n v="4"/>
    <n v="0"/>
    <n v="0"/>
    <n v="107"/>
    <s v="_x0000_peopl"/>
  </r>
  <r>
    <x v="6"/>
    <n v="13.6875"/>
    <n v="-89.194900000000004"/>
    <n v="5"/>
    <n v="0"/>
    <n v="0"/>
    <n v="107"/>
    <s v="_x0000_peopl"/>
  </r>
  <r>
    <x v="6"/>
    <n v="13.6913"/>
    <n v="-89.188500000000005"/>
    <n v="5"/>
    <n v="0"/>
    <n v="0"/>
    <n v="107"/>
    <s v="_x0000_peopl"/>
  </r>
  <r>
    <x v="6"/>
    <n v="13.686999999999999"/>
    <n v="-89.201700000000002"/>
    <n v="5"/>
    <n v="0"/>
    <n v="0"/>
    <n v="107"/>
    <s v="_x0000_peopl"/>
  </r>
  <r>
    <x v="6"/>
    <n v="13.694599999999999"/>
    <n v="-89.172700000000006"/>
    <n v="11"/>
    <n v="0"/>
    <n v="0"/>
    <n v="107"/>
    <s v="_x0000_peopl"/>
  </r>
  <r>
    <x v="6"/>
    <n v="13.6929"/>
    <n v="-89.186199999999999"/>
    <n v="4"/>
    <n v="0"/>
    <n v="0"/>
    <n v="107"/>
    <s v="_x0000_peopl"/>
  </r>
  <r>
    <x v="6"/>
    <n v="13.6874"/>
    <n v="-89.194699999999997"/>
    <n v="3"/>
    <n v="0"/>
    <n v="0"/>
    <n v="107"/>
    <s v="_x0000_peopl"/>
  </r>
  <r>
    <x v="6"/>
    <n v="13.6934"/>
    <n v="-89.188699999999997"/>
    <n v="4"/>
    <n v="0"/>
    <n v="0"/>
    <n v="107"/>
    <s v="_x0000_peopl"/>
  </r>
  <r>
    <x v="6"/>
    <n v="13.6791"/>
    <n v="-89.1965"/>
    <n v="4"/>
    <n v="0"/>
    <n v="0"/>
    <n v="107"/>
    <s v="_x0000_peopl"/>
  </r>
  <r>
    <x v="6"/>
    <n v="13.691599999999999"/>
    <n v="-89.226500000000001"/>
    <n v="9"/>
    <n v="0"/>
    <n v="0"/>
    <n v="107"/>
    <s v="_x0000_peopl"/>
  </r>
  <r>
    <x v="6"/>
    <n v="13.692600000000001"/>
    <n v="-89.224800000000002"/>
    <n v="3"/>
    <n v="0"/>
    <n v="0"/>
    <n v="107"/>
    <s v="_x0000_peopl"/>
  </r>
  <r>
    <x v="6"/>
    <n v="13.6845"/>
    <n v="-89.217299999999994"/>
    <n v="4"/>
    <n v="0"/>
    <n v="0"/>
    <n v="107"/>
    <s v="_x0000_peopl"/>
  </r>
  <r>
    <x v="6"/>
    <n v="13.6907"/>
    <n v="-89.235399999999998"/>
    <n v="5"/>
    <n v="0"/>
    <n v="0"/>
    <n v="107"/>
    <s v="_x0000_peopl"/>
  </r>
  <r>
    <x v="6"/>
    <n v="13.686299999999999"/>
    <n v="-89.2029"/>
    <n v="2"/>
    <n v="0"/>
    <n v="0"/>
    <n v="107"/>
    <s v="_x0000_peopl"/>
  </r>
  <r>
    <x v="6"/>
    <n v="13.6927"/>
    <n v="-89.193799999999996"/>
    <n v="4"/>
    <n v="0"/>
    <n v="0"/>
    <n v="107"/>
    <s v="_x0000_peopl"/>
  </r>
  <r>
    <x v="6"/>
    <n v="13.6914"/>
    <n v="-89.197100000000006"/>
    <n v="2"/>
    <n v="0"/>
    <n v="0"/>
    <n v="107"/>
    <s v="_x0000_peopl"/>
  </r>
  <r>
    <x v="6"/>
    <n v="13.677199999999999"/>
    <n v="-89.199100000000001"/>
    <n v="7"/>
    <n v="0"/>
    <n v="0"/>
    <n v="107"/>
    <s v="_x0000_peopl"/>
  </r>
  <r>
    <x v="6"/>
    <n v="13.689399999999999"/>
    <n v="-89.190299999999993"/>
    <n v="7"/>
    <n v="0"/>
    <n v="0"/>
    <n v="107"/>
    <s v="_x0000_peopl"/>
  </r>
  <r>
    <x v="6"/>
    <n v="13.695600000000001"/>
    <n v="-89.172799999999995"/>
    <n v="6"/>
    <n v="0"/>
    <n v="0"/>
    <n v="107"/>
    <s v="_x0000_peopl"/>
  </r>
  <r>
    <x v="6"/>
    <n v="13.688499999999999"/>
    <n v="-89.1982"/>
    <n v="3"/>
    <n v="0"/>
    <n v="0"/>
    <n v="107"/>
    <s v="_x0000_peopl"/>
  </r>
  <r>
    <x v="6"/>
    <n v="13.6921"/>
    <n v="-89.1785"/>
    <n v="6"/>
    <n v="0"/>
    <n v="0"/>
    <n v="107"/>
    <s v="_x0000_peopl"/>
  </r>
  <r>
    <x v="6"/>
    <n v="13.673299999999999"/>
    <n v="-89.203800000000001"/>
    <n v="7"/>
    <n v="0"/>
    <n v="0"/>
    <n v="107"/>
    <s v="_x0000_peopl"/>
  </r>
  <r>
    <x v="6"/>
    <n v="13.6913"/>
    <n v="-89.235200000000006"/>
    <n v="6"/>
    <n v="0"/>
    <n v="0"/>
    <n v="107"/>
    <s v="_x0000_peopl"/>
  </r>
  <r>
    <x v="6"/>
    <n v="13.690300000000001"/>
    <n v="-89.188500000000005"/>
    <n v="3"/>
    <n v="0"/>
    <n v="0"/>
    <n v="107"/>
    <s v="_x0000_peopl"/>
  </r>
  <r>
    <x v="6"/>
    <n v="13.6775"/>
    <n v="-89.246200000000002"/>
    <n v="6"/>
    <n v="0"/>
    <n v="0"/>
    <n v="107"/>
    <s v="_x0000_peopl"/>
  </r>
  <r>
    <x v="6"/>
    <n v="13.6911"/>
    <n v="-89.233000000000004"/>
    <n v="8"/>
    <n v="0"/>
    <n v="0"/>
    <n v="107"/>
    <s v="_x0000_peopl"/>
  </r>
  <r>
    <x v="6"/>
    <n v="13.690799999999999"/>
    <n v="-89.1905"/>
    <n v="7"/>
    <n v="0"/>
    <n v="0"/>
    <n v="107"/>
    <s v="_x0000_peopl"/>
  </r>
  <r>
    <x v="6"/>
    <n v="13.6914"/>
    <n v="-89.234800000000007"/>
    <n v="4"/>
    <n v="0"/>
    <n v="0"/>
    <n v="107"/>
    <s v="_x0000_peopl"/>
  </r>
  <r>
    <x v="6"/>
    <n v="13.6853"/>
    <n v="-89.215599999999995"/>
    <n v="5"/>
    <n v="0"/>
    <n v="0"/>
    <n v="107"/>
    <s v="_x0000_peopl"/>
  </r>
  <r>
    <x v="6"/>
    <n v="13.6945"/>
    <n v="-89.185500000000005"/>
    <n v="6"/>
    <n v="0"/>
    <n v="0"/>
    <n v="107"/>
    <s v="_x0000_peopl"/>
  </r>
  <r>
    <x v="6"/>
    <n v="13.681100000000001"/>
    <n v="-89.195499999999996"/>
    <n v="5"/>
    <n v="0"/>
    <n v="0"/>
    <n v="107"/>
    <s v="_x0000_peopl"/>
  </r>
  <r>
    <x v="6"/>
    <n v="13.686400000000001"/>
    <n v="-89.212900000000005"/>
    <n v="7"/>
    <n v="0"/>
    <n v="0"/>
    <n v="107"/>
    <s v="_x0000_peopl"/>
  </r>
  <r>
    <x v="6"/>
    <n v="13.694599999999999"/>
    <n v="-89.185500000000005"/>
    <n v="11"/>
    <n v="0"/>
    <n v="0"/>
    <n v="107"/>
    <s v="_x0000_peopl"/>
  </r>
  <r>
    <x v="6"/>
    <n v="13.6915"/>
    <n v="-89.226299999999995"/>
    <n v="7"/>
    <n v="0"/>
    <n v="0"/>
    <n v="107"/>
    <s v="_x0000_peopl"/>
  </r>
  <r>
    <x v="6"/>
    <n v="13.6914"/>
    <n v="-89.2346"/>
    <n v="11"/>
    <n v="0"/>
    <n v="0"/>
    <n v="107"/>
    <s v="_x0000_peopl"/>
  </r>
  <r>
    <x v="6"/>
    <n v="13.693300000000001"/>
    <n v="-89.176199999999994"/>
    <n v="6"/>
    <n v="0"/>
    <n v="0"/>
    <n v="107"/>
    <s v="_x0000_peopl"/>
  </r>
  <r>
    <x v="6"/>
    <n v="13.6937"/>
    <n v="-89.1768"/>
    <n v="5"/>
    <n v="0"/>
    <n v="0"/>
    <n v="107"/>
    <s v="_x0000_peopl"/>
  </r>
  <r>
    <x v="6"/>
    <n v="13.685"/>
    <n v="-89.212299999999999"/>
    <n v="5"/>
    <n v="0"/>
    <n v="0"/>
    <n v="107"/>
    <s v="_x0000_peopl"/>
  </r>
  <r>
    <x v="6"/>
    <n v="13.6907"/>
    <n v="-89.234700000000004"/>
    <n v="7"/>
    <n v="0"/>
    <n v="0"/>
    <n v="107"/>
    <s v="_x0000_peopl"/>
  </r>
  <r>
    <x v="6"/>
    <n v="13.6874"/>
    <n v="-89.194699999999997"/>
    <n v="1"/>
    <n v="0"/>
    <n v="0"/>
    <n v="107"/>
    <s v="_x0000_peopl"/>
  </r>
  <r>
    <x v="6"/>
    <n v="13.686999999999999"/>
    <n v="-89.183499999999995"/>
    <n v="5"/>
    <n v="0"/>
    <n v="0"/>
    <n v="107"/>
    <s v="_x0000_peopl"/>
  </r>
  <r>
    <x v="6"/>
    <n v="13.6874"/>
    <n v="-89.197299999999998"/>
    <n v="3"/>
    <n v="0"/>
    <n v="0"/>
    <n v="107"/>
    <s v="_x0000_peopl"/>
  </r>
  <r>
    <x v="6"/>
    <n v="13.6744"/>
    <n v="-89.252200000000002"/>
    <n v="5"/>
    <n v="0"/>
    <n v="0"/>
    <n v="107"/>
    <s v="_x0000_peopl"/>
  </r>
  <r>
    <x v="6"/>
    <n v="13.691599999999999"/>
    <n v="-89.226299999999995"/>
    <n v="6"/>
    <n v="0"/>
    <n v="0"/>
    <n v="107"/>
    <s v="_x0000_peopl"/>
  </r>
  <r>
    <x v="6"/>
    <n v="13.6853"/>
    <n v="-89.202399999999997"/>
    <n v="6"/>
    <n v="0"/>
    <n v="0"/>
    <n v="107"/>
    <s v="_x0000_peopl"/>
  </r>
  <r>
    <x v="6"/>
    <n v="13.6873"/>
    <n v="-89.211500000000001"/>
    <n v="7"/>
    <n v="0"/>
    <n v="0"/>
    <n v="107"/>
    <s v="_x0000_peopl"/>
  </r>
  <r>
    <x v="6"/>
    <n v="13.6867"/>
    <n v="-89.191400000000002"/>
    <n v="12"/>
    <n v="0"/>
    <n v="0"/>
    <n v="107"/>
    <s v="_x0000_peopl"/>
  </r>
  <r>
    <x v="6"/>
    <n v="13.692"/>
    <n v="-89.225700000000003"/>
    <n v="5"/>
    <n v="0"/>
    <n v="0"/>
    <n v="107"/>
    <s v="_x0000_peopl"/>
  </r>
  <r>
    <x v="6"/>
    <n v="13.6952"/>
    <n v="-89.173500000000004"/>
    <n v="4"/>
    <n v="0"/>
    <n v="0"/>
    <n v="107"/>
    <s v="_x0000_peopl"/>
  </r>
  <r>
    <x v="6"/>
    <n v="13.6919"/>
    <n v="-89.186899999999994"/>
    <n v="10"/>
    <n v="0"/>
    <n v="0"/>
    <n v="107"/>
    <s v="_x0000_peopl"/>
  </r>
  <r>
    <x v="6"/>
    <n v="13.6892"/>
    <n v="-89.180199999999999"/>
    <n v="6"/>
    <n v="0"/>
    <n v="0"/>
    <n v="107"/>
    <s v="_x0000_peopl"/>
  </r>
  <r>
    <x v="6"/>
    <n v="13.6745"/>
    <n v="-89.1995"/>
    <n v="5"/>
    <n v="0"/>
    <n v="0"/>
    <n v="107"/>
    <s v="_x0000_peopl"/>
  </r>
  <r>
    <x v="6"/>
    <n v="13.692299999999999"/>
    <n v="-89.223699999999994"/>
    <n v="5"/>
    <n v="0"/>
    <n v="0"/>
    <n v="107"/>
    <s v="_x0000_peopl"/>
  </r>
  <r>
    <x v="6"/>
    <n v="13.691599999999999"/>
    <n v="-89.179900000000004"/>
    <n v="7"/>
    <n v="0"/>
    <n v="0"/>
    <n v="107"/>
    <s v="_x0000_peopl"/>
  </r>
  <r>
    <x v="6"/>
    <n v="13.6936"/>
    <n v="-89.176900000000003"/>
    <n v="3"/>
    <n v="0"/>
    <n v="0"/>
    <n v="107"/>
    <s v="_x0000_peopl"/>
  </r>
  <r>
    <x v="6"/>
    <n v="13.6913"/>
    <n v="-89.226399999999998"/>
    <n v="6"/>
    <n v="0"/>
    <n v="0"/>
    <n v="107"/>
    <s v="_x0000_peopl"/>
  </r>
  <r>
    <x v="6"/>
    <n v="13.687799999999999"/>
    <n v="-89.194599999999994"/>
    <n v="5"/>
    <n v="0"/>
    <n v="0"/>
    <n v="107"/>
    <s v="_x0000_peopl"/>
  </r>
  <r>
    <x v="6"/>
    <n v="13.6869"/>
    <n v="-89.197400000000002"/>
    <n v="5"/>
    <n v="0"/>
    <n v="0"/>
    <n v="107"/>
    <s v="_x0000_peopl"/>
  </r>
  <r>
    <x v="6"/>
    <n v="13.692299999999999"/>
    <n v="-89.186599999999999"/>
    <n v="8"/>
    <n v="0"/>
    <n v="0"/>
    <n v="107"/>
    <s v="_x0000_peopl"/>
  </r>
  <r>
    <x v="6"/>
    <n v="13.691599999999999"/>
    <n v="-89.226799999999997"/>
    <n v="7"/>
    <n v="0"/>
    <n v="0"/>
    <n v="107"/>
    <s v="_x0000_peopl"/>
  </r>
  <r>
    <x v="6"/>
    <n v="13.6898"/>
    <n v="-89.193899999999999"/>
    <n v="5"/>
    <n v="0"/>
    <n v="0"/>
    <n v="107"/>
    <s v="_x0000_peopl"/>
  </r>
  <r>
    <x v="6"/>
    <n v="13.6913"/>
    <n v="-89.228899999999996"/>
    <n v="5"/>
    <n v="0"/>
    <n v="0"/>
    <n v="107"/>
    <s v="_x0000_peopl"/>
  </r>
  <r>
    <x v="6"/>
    <n v="13.692299999999999"/>
    <n v="-89.189700000000002"/>
    <n v="10"/>
    <n v="0"/>
    <n v="0"/>
    <n v="107"/>
    <s v="_x0000_peopl"/>
  </r>
  <r>
    <x v="6"/>
    <n v="13.6883"/>
    <n v="-89.19"/>
    <n v="6"/>
    <n v="0"/>
    <n v="0"/>
    <n v="107"/>
    <s v="_x0000_peopl"/>
  </r>
  <r>
    <x v="6"/>
    <n v="13.6858"/>
    <n v="-89.215199999999996"/>
    <n v="5"/>
    <n v="0"/>
    <n v="0"/>
    <n v="107"/>
    <s v="_x0000_peopl"/>
  </r>
  <r>
    <x v="6"/>
    <n v="13.686999999999999"/>
    <n v="-89.194599999999994"/>
    <n v="6"/>
    <n v="0"/>
    <n v="0"/>
    <n v="107"/>
    <s v="_x0000_peopl"/>
  </r>
  <r>
    <x v="6"/>
    <n v="13.694900000000001"/>
    <n v="-89.171700000000001"/>
    <n v="12"/>
    <n v="0"/>
    <n v="0"/>
    <n v="107"/>
    <s v="_x0000_peopl"/>
  </r>
  <r>
    <x v="6"/>
    <n v="13.6897"/>
    <n v="-89.190399999999997"/>
    <n v="5"/>
    <n v="0"/>
    <n v="0"/>
    <n v="107"/>
    <s v="_x0000_peopl"/>
  </r>
  <r>
    <x v="6"/>
    <n v="13.6875"/>
    <n v="-89.216700000000003"/>
    <n v="4"/>
    <n v="0"/>
    <n v="0"/>
    <n v="107"/>
    <s v="_x0000_peopl"/>
  </r>
  <r>
    <x v="6"/>
    <n v="13.6896"/>
    <n v="-89.188900000000004"/>
    <n v="6"/>
    <n v="0"/>
    <n v="0"/>
    <n v="107"/>
    <s v="_x0000_peopl"/>
  </r>
  <r>
    <x v="6"/>
    <n v="13.687099999999999"/>
    <n v="-89.215900000000005"/>
    <n v="4"/>
    <n v="0"/>
    <n v="0"/>
    <n v="107"/>
    <s v="_x0000_peopl"/>
  </r>
  <r>
    <x v="6"/>
    <n v="13.6873"/>
    <n v="-89.2166"/>
    <n v="6"/>
    <n v="0"/>
    <n v="0"/>
    <n v="107"/>
    <s v="_x0000_peopl"/>
  </r>
  <r>
    <x v="6"/>
    <n v="13.685600000000001"/>
    <n v="-89.212900000000005"/>
    <n v="2"/>
    <n v="0"/>
    <n v="0"/>
    <n v="107"/>
    <s v="_x0000_peopl"/>
  </r>
  <r>
    <x v="6"/>
    <n v="13.6747"/>
    <n v="-89.252099999999999"/>
    <n v="5"/>
    <n v="0"/>
    <n v="0"/>
    <n v="107"/>
    <s v="_x0000_peopl"/>
  </r>
  <r>
    <x v="6"/>
    <n v="13.69"/>
    <n v="-89.1845"/>
    <n v="6"/>
    <n v="0"/>
    <n v="0"/>
    <n v="107"/>
    <s v="_x0000_peopl"/>
  </r>
  <r>
    <x v="6"/>
    <n v="13.6968"/>
    <n v="-89.171300000000002"/>
    <n v="2"/>
    <n v="0"/>
    <n v="0"/>
    <n v="107"/>
    <s v="_x0000_peopl"/>
  </r>
  <r>
    <x v="6"/>
    <n v="13.691000000000001"/>
    <n v="-89.232900000000001"/>
    <n v="5"/>
    <n v="0"/>
    <n v="0"/>
    <n v="107"/>
    <s v="_x0000_peopl"/>
  </r>
  <r>
    <x v="6"/>
    <n v="13.6927"/>
    <n v="-89.178399999999996"/>
    <n v="8"/>
    <n v="0"/>
    <n v="0"/>
    <n v="107"/>
    <s v="_x0000_peopl"/>
  </r>
  <r>
    <x v="6"/>
    <n v="13.6915"/>
    <n v="-89.185199999999995"/>
    <n v="5"/>
    <n v="0"/>
    <n v="0"/>
    <n v="107"/>
    <s v="_x0000_peopl"/>
  </r>
  <r>
    <x v="6"/>
    <n v="13.6859"/>
    <n v="-89.211699999999993"/>
    <n v="6"/>
    <n v="0"/>
    <n v="0"/>
    <n v="107"/>
    <s v="_x0000_peopl"/>
  </r>
  <r>
    <x v="6"/>
    <n v="13.6873"/>
    <n v="-89.182599999999994"/>
    <n v="4"/>
    <n v="0"/>
    <n v="0"/>
    <n v="107"/>
    <s v="_x0000_peopl"/>
  </r>
  <r>
    <x v="6"/>
    <n v="13.6914"/>
    <n v="-89.233199999999997"/>
    <n v="5"/>
    <n v="0"/>
    <n v="0"/>
    <n v="107"/>
    <s v="_x0000_peopl"/>
  </r>
  <r>
    <x v="6"/>
    <n v="13.674899999999999"/>
    <n v="-89.251800000000003"/>
    <n v="4"/>
    <n v="0"/>
    <n v="0"/>
    <n v="107"/>
    <s v="_x0000_peopl"/>
  </r>
  <r>
    <x v="6"/>
    <n v="13.687799999999999"/>
    <n v="-89.1815"/>
    <n v="5"/>
    <n v="0"/>
    <n v="0"/>
    <n v="107"/>
    <s v="_x0000_peopl"/>
  </r>
  <r>
    <x v="6"/>
    <n v="13.691000000000001"/>
    <n v="-89.229200000000006"/>
    <n v="7"/>
    <n v="0"/>
    <n v="0"/>
    <n v="107"/>
    <s v="_x0000_peopl"/>
  </r>
  <r>
    <x v="6"/>
    <n v="13.690899999999999"/>
    <n v="-89.229399999999998"/>
    <n v="5"/>
    <n v="0"/>
    <n v="0"/>
    <n v="107"/>
    <s v="_x0000_peopl"/>
  </r>
  <r>
    <x v="6"/>
    <n v="13.6942"/>
    <n v="-89.190200000000004"/>
    <n v="10"/>
    <n v="0"/>
    <n v="0"/>
    <n v="107"/>
    <s v="_x0000_peopl"/>
  </r>
  <r>
    <x v="6"/>
    <n v="13.6935"/>
    <n v="-89.188800000000001"/>
    <n v="5"/>
    <n v="0"/>
    <n v="0"/>
    <n v="107"/>
    <s v="_x0000_peopl"/>
  </r>
  <r>
    <x v="6"/>
    <n v="13.6892"/>
    <n v="-89.229200000000006"/>
    <n v="5"/>
    <n v="0"/>
    <n v="0"/>
    <n v="107"/>
    <s v="_x0000_peopl"/>
  </r>
  <r>
    <x v="6"/>
    <n v="13.6907"/>
    <n v="-89.186700000000002"/>
    <n v="4"/>
    <n v="0"/>
    <n v="0"/>
    <n v="107"/>
    <s v="_x0000_peopl"/>
  </r>
  <r>
    <x v="6"/>
    <n v="13.6929"/>
    <n v="-89.1768"/>
    <n v="5"/>
    <n v="0"/>
    <n v="0"/>
    <n v="107"/>
    <s v="_x0000_peopl"/>
  </r>
  <r>
    <x v="6"/>
    <n v="13.6914"/>
    <n v="-89.193299999999994"/>
    <n v="6"/>
    <n v="0"/>
    <n v="0"/>
    <n v="107"/>
    <s v="_x0000_peopl"/>
  </r>
  <r>
    <x v="6"/>
    <n v="13.684200000000001"/>
    <n v="-89.216399999999993"/>
    <n v="4"/>
    <n v="0"/>
    <n v="0"/>
    <n v="107"/>
    <s v="_x0000_peopl"/>
  </r>
  <r>
    <x v="6"/>
    <n v="13.685700000000001"/>
    <n v="-89.193899999999999"/>
    <n v="6"/>
    <n v="0"/>
    <n v="0"/>
    <n v="107"/>
    <s v="_x0000_peopl"/>
  </r>
  <r>
    <x v="6"/>
    <n v="13.6777"/>
    <n v="-89.247500000000002"/>
    <n v="4"/>
    <n v="0"/>
    <n v="0"/>
    <n v="107"/>
    <s v="_x0000_peopl"/>
  </r>
  <r>
    <x v="6"/>
    <n v="13.6721"/>
    <n v="-89.203800000000001"/>
    <n v="8"/>
    <n v="0"/>
    <n v="0"/>
    <n v="107"/>
    <s v="_x0000_peopl"/>
  </r>
  <r>
    <x v="6"/>
    <n v="13.6882"/>
    <n v="-89.217100000000002"/>
    <n v="2"/>
    <n v="0"/>
    <n v="0"/>
    <n v="107"/>
    <s v="_x0000_peopl"/>
  </r>
  <r>
    <x v="6"/>
    <n v="13.6911"/>
    <n v="-89.2333"/>
    <n v="2"/>
    <n v="0"/>
    <n v="0"/>
    <n v="107"/>
    <s v="_x0000_peopl"/>
  </r>
  <r>
    <x v="6"/>
    <n v="13.6912"/>
    <n v="-89.220399999999998"/>
    <n v="4"/>
    <n v="0"/>
    <n v="0"/>
    <n v="107"/>
    <s v="_x0000_peopl"/>
  </r>
  <r>
    <x v="6"/>
    <n v="13.693"/>
    <n v="-89.176299999999998"/>
    <n v="9"/>
    <n v="0"/>
    <n v="0"/>
    <n v="107"/>
    <s v="_x0000_peopl"/>
  </r>
  <r>
    <x v="6"/>
    <n v="13.696099999999999"/>
    <n v="-89.172899999999998"/>
    <n v="7"/>
    <n v="0"/>
    <n v="0"/>
    <n v="107"/>
    <s v="_x0000_peopl"/>
  </r>
  <r>
    <x v="6"/>
    <n v="13.690799999999999"/>
    <n v="-89.195300000000003"/>
    <n v="4"/>
    <n v="0"/>
    <n v="0"/>
    <n v="107"/>
    <s v="_x0000_peopl"/>
  </r>
  <r>
    <x v="6"/>
    <n v="13.6897"/>
    <n v="-89.194000000000003"/>
    <n v="7"/>
    <n v="0"/>
    <n v="0"/>
    <n v="107"/>
    <s v="_x0000_peopl"/>
  </r>
  <r>
    <x v="6"/>
    <n v="13.675599999999999"/>
    <n v="-89.247500000000002"/>
    <n v="5"/>
    <n v="0"/>
    <n v="0"/>
    <n v="107"/>
    <s v="_x0000_peopl"/>
  </r>
  <r>
    <x v="6"/>
    <n v="13.685600000000001"/>
    <n v="-89.193899999999999"/>
    <n v="5"/>
    <n v="0"/>
    <n v="0"/>
    <n v="107"/>
    <s v="_x0000_peopl"/>
  </r>
  <r>
    <x v="6"/>
    <n v="13.687200000000001"/>
    <n v="-89.194500000000005"/>
    <n v="4"/>
    <n v="0"/>
    <n v="0"/>
    <n v="107"/>
    <s v="_x0000_peopl"/>
  </r>
  <r>
    <x v="6"/>
    <n v="13.6874"/>
    <n v="-89.183899999999994"/>
    <n v="5"/>
    <n v="0"/>
    <n v="0"/>
    <n v="107"/>
    <s v="_x0000_peopl"/>
  </r>
  <r>
    <x v="6"/>
    <n v="13.6921"/>
    <n v="-89.222399999999993"/>
    <n v="2"/>
    <n v="0"/>
    <n v="0"/>
    <n v="107"/>
    <s v="_x0000_peopl"/>
  </r>
  <r>
    <x v="6"/>
    <n v="13.684900000000001"/>
    <n v="-89.217100000000002"/>
    <n v="4"/>
    <n v="0"/>
    <n v="0"/>
    <n v="107"/>
    <s v="_x0000_peopl"/>
  </r>
  <r>
    <x v="6"/>
    <n v="13.6914"/>
    <n v="-89.233599999999996"/>
    <n v="1"/>
    <n v="0"/>
    <n v="0"/>
    <n v="107"/>
    <s v="_x0000_peopl"/>
  </r>
  <r>
    <x v="6"/>
    <n v="13.6876"/>
    <n v="-89.194699999999997"/>
    <n v="6"/>
    <n v="0"/>
    <n v="0"/>
    <n v="107"/>
    <s v="_x0000_peopl"/>
  </r>
  <r>
    <x v="6"/>
    <n v="13.691000000000001"/>
    <n v="-89.233900000000006"/>
    <n v="5"/>
    <n v="0"/>
    <n v="0"/>
    <n v="107"/>
    <s v="_x0000_peopl"/>
  </r>
  <r>
    <x v="6"/>
    <n v="13.6944"/>
    <n v="-89.188900000000004"/>
    <n v="3"/>
    <n v="0"/>
    <n v="0"/>
    <n v="107"/>
    <s v="_x0000_peopl"/>
  </r>
  <r>
    <x v="6"/>
    <n v="13.6881"/>
    <n v="-89.180599999999998"/>
    <n v="6"/>
    <n v="0"/>
    <n v="0"/>
    <n v="107"/>
    <s v="_x0000_peopl"/>
  </r>
  <r>
    <x v="6"/>
    <n v="13.6912"/>
    <n v="-89.229900000000001"/>
    <n v="5"/>
    <n v="0"/>
    <n v="0"/>
    <n v="107"/>
    <s v="_x0000_peopl"/>
  </r>
  <r>
    <x v="6"/>
    <n v="13.6914"/>
    <n v="-89.189499999999995"/>
    <n v="3"/>
    <n v="0"/>
    <n v="0"/>
    <n v="107"/>
    <s v="_x0000_peopl"/>
  </r>
  <r>
    <x v="6"/>
    <n v="13.6921"/>
    <n v="-89.193799999999996"/>
    <n v="3"/>
    <n v="0"/>
    <n v="0"/>
    <n v="107"/>
    <s v="_x0000_peopl"/>
  </r>
  <r>
    <x v="6"/>
    <n v="13.686500000000001"/>
    <n v="-89.193100000000001"/>
    <n v="5"/>
    <n v="0"/>
    <n v="0"/>
    <n v="107"/>
    <s v="_x0000_peopl"/>
  </r>
  <r>
    <x v="6"/>
    <n v="13.687799999999999"/>
    <n v="-89.179699999999997"/>
    <n v="7"/>
    <n v="0"/>
    <n v="0"/>
    <n v="107"/>
    <s v="_x0000_peopl"/>
  </r>
  <r>
    <x v="6"/>
    <n v="13.6951"/>
    <n v="-89.1828"/>
    <n v="3"/>
    <n v="0"/>
    <n v="0"/>
    <n v="107"/>
    <s v="_x0000_peopl"/>
  </r>
  <r>
    <x v="6"/>
    <n v="13.690899999999999"/>
    <n v="-89.190399999999997"/>
    <n v="5"/>
    <n v="0"/>
    <n v="0"/>
    <n v="107"/>
    <s v="_x0000_peopl"/>
  </r>
  <r>
    <x v="6"/>
    <n v="13.6912"/>
    <n v="-89.178600000000003"/>
    <n v="4"/>
    <n v="0"/>
    <n v="0"/>
    <n v="107"/>
    <s v="_x0000_peopl"/>
  </r>
  <r>
    <x v="6"/>
    <n v="13.691800000000001"/>
    <n v="-89.194400000000002"/>
    <n v="7"/>
    <n v="0"/>
    <n v="0"/>
    <n v="107"/>
    <s v="_x0000_peopl"/>
  </r>
  <r>
    <x v="6"/>
    <n v="13.692299999999999"/>
    <n v="-89.185000000000002"/>
    <n v="10"/>
    <n v="0"/>
    <n v="0"/>
    <n v="107"/>
    <s v="_x0000_peopl"/>
  </r>
  <r>
    <x v="6"/>
    <n v="13.6928"/>
    <n v="-89.179199999999994"/>
    <n v="6"/>
    <n v="0"/>
    <n v="0"/>
    <n v="107"/>
    <s v="_x0000_peopl"/>
  </r>
  <r>
    <x v="6"/>
    <n v="13.692500000000001"/>
    <n v="-89.175899999999999"/>
    <n v="2"/>
    <n v="0"/>
    <n v="0"/>
    <n v="107"/>
    <s v="_x0000_peopl"/>
  </r>
  <r>
    <x v="6"/>
    <n v="13.686999999999999"/>
    <n v="-89.216800000000006"/>
    <n v="3"/>
    <n v="0"/>
    <n v="0"/>
    <n v="107"/>
    <s v="_x0000_peopl"/>
  </r>
  <r>
    <x v="6"/>
    <n v="13.6912"/>
    <n v="-89.234800000000007"/>
    <n v="4"/>
    <n v="0"/>
    <n v="0"/>
    <n v="107"/>
    <s v="_x0000_peopl"/>
  </r>
  <r>
    <x v="6"/>
    <n v="13.6858"/>
    <n v="-89.194100000000006"/>
    <n v="6"/>
    <n v="0"/>
    <n v="0"/>
    <n v="107"/>
    <s v="_x0000_peopl"/>
  </r>
  <r>
    <x v="6"/>
    <n v="13.6882"/>
    <n v="-89.216899999999995"/>
    <n v="6"/>
    <n v="0"/>
    <n v="0"/>
    <n v="107"/>
    <s v="_x0000_peopl"/>
  </r>
  <r>
    <x v="6"/>
    <n v="13.692500000000001"/>
    <n v="-89.224199999999996"/>
    <n v="6"/>
    <n v="0"/>
    <n v="0"/>
    <n v="107"/>
    <s v="_x0000_peopl"/>
  </r>
  <r>
    <x v="6"/>
    <n v="13.690200000000001"/>
    <n v="-89.185000000000002"/>
    <n v="5"/>
    <n v="0"/>
    <n v="0"/>
    <n v="107"/>
    <s v="_x0000_peopl"/>
  </r>
  <r>
    <x v="6"/>
    <n v="13.690099999999999"/>
    <n v="-89.1905"/>
    <n v="4"/>
    <n v="0"/>
    <n v="0"/>
    <n v="107"/>
    <s v="_x0000_peopl"/>
  </r>
  <r>
    <x v="6"/>
    <n v="13.6936"/>
    <n v="-89.183400000000006"/>
    <n v="5"/>
    <n v="0"/>
    <n v="0"/>
    <n v="107"/>
    <s v="_x0000_peopl"/>
  </r>
  <r>
    <x v="6"/>
    <n v="13.686500000000001"/>
    <n v="-89.2119"/>
    <n v="5"/>
    <n v="0"/>
    <n v="0"/>
    <n v="107"/>
    <s v="_x0000_peopl"/>
  </r>
  <r>
    <x v="6"/>
    <n v="13.6891"/>
    <n v="-89.211399999999998"/>
    <n v="4"/>
    <n v="0"/>
    <n v="0"/>
    <n v="107"/>
    <s v="_x0000_peopl"/>
  </r>
  <r>
    <x v="6"/>
    <n v="13.6867"/>
    <n v="-89.181399999999996"/>
    <n v="3"/>
    <n v="0"/>
    <n v="0"/>
    <n v="107"/>
    <s v="_x0000_peopl"/>
  </r>
  <r>
    <x v="6"/>
    <n v="13.690300000000001"/>
    <n v="-89.181299999999993"/>
    <n v="3"/>
    <n v="0"/>
    <n v="0"/>
    <n v="107"/>
    <s v="_x0000_peopl"/>
  </r>
  <r>
    <x v="6"/>
    <n v="13.674300000000001"/>
    <n v="-89.202299999999994"/>
    <n v="4"/>
    <n v="0"/>
    <n v="0"/>
    <n v="107"/>
    <s v="_x0000_peopl"/>
  </r>
  <r>
    <x v="6"/>
    <n v="13.691599999999999"/>
    <n v="-89.232900000000001"/>
    <n v="3"/>
    <n v="0"/>
    <n v="0"/>
    <n v="107"/>
    <s v="_x0000_peopl"/>
  </r>
  <r>
    <x v="6"/>
    <n v="13.689299999999999"/>
    <n v="-89.206000000000003"/>
    <n v="6"/>
    <n v="0"/>
    <n v="0"/>
    <n v="107"/>
    <s v="_x0000_peopl"/>
  </r>
  <r>
    <x v="6"/>
    <n v="13.6892"/>
    <n v="-89.184799999999996"/>
    <n v="8"/>
    <n v="0"/>
    <n v="0"/>
    <n v="107"/>
    <s v="_x0000_peopl"/>
  </r>
  <r>
    <x v="6"/>
    <n v="13.694900000000001"/>
    <n v="-89.175399999999996"/>
    <n v="1"/>
    <n v="0"/>
    <n v="0"/>
    <n v="107"/>
    <s v="_x0000_peopl"/>
  </r>
  <r>
    <x v="6"/>
    <n v="13.6922"/>
    <n v="-89.174999999999997"/>
    <n v="9"/>
    <n v="0"/>
    <n v="0"/>
    <n v="107"/>
    <s v="_x0000_peopl"/>
  </r>
  <r>
    <x v="6"/>
    <n v="13.693099999999999"/>
    <n v="-89.189700000000002"/>
    <n v="7"/>
    <n v="0"/>
    <n v="0"/>
    <n v="107"/>
    <s v="_x0000_peopl"/>
  </r>
  <r>
    <x v="6"/>
    <n v="13.6953"/>
    <n v="-89.173900000000003"/>
    <n v="2"/>
    <n v="0"/>
    <n v="0"/>
    <n v="107"/>
    <s v="_x0000_peopl"/>
  </r>
  <r>
    <x v="6"/>
    <n v="13.6953"/>
    <n v="-89.174000000000007"/>
    <n v="6"/>
    <n v="0"/>
    <n v="0"/>
    <n v="107"/>
    <s v="_x0000_peopl"/>
  </r>
  <r>
    <x v="6"/>
    <n v="13.696"/>
    <n v="-89.172300000000007"/>
    <n v="8"/>
    <n v="0"/>
    <n v="0"/>
    <n v="107"/>
    <s v="_x0000_peopl"/>
  </r>
  <r>
    <x v="6"/>
    <n v="13.6874"/>
    <n v="-89.181799999999996"/>
    <n v="1"/>
    <n v="0"/>
    <n v="0"/>
    <n v="107"/>
    <s v="_x0000_peopl"/>
  </r>
  <r>
    <x v="6"/>
    <n v="13.6874"/>
    <n v="-89.194400000000002"/>
    <n v="2"/>
    <n v="0"/>
    <n v="0"/>
    <n v="107"/>
    <s v="_x0000_peopl"/>
  </r>
  <r>
    <x v="6"/>
    <n v="13.6874"/>
    <n v="-89.193799999999996"/>
    <n v="4"/>
    <n v="0"/>
    <n v="0"/>
    <n v="107"/>
    <s v="_x0000_peopl"/>
  </r>
  <r>
    <x v="6"/>
    <n v="13.692500000000001"/>
    <n v="-89.186400000000006"/>
    <n v="6"/>
    <n v="0"/>
    <n v="0"/>
    <n v="107"/>
    <s v="_x0000_peopl"/>
  </r>
  <r>
    <x v="6"/>
    <n v="13.6883"/>
    <n v="-89.1982"/>
    <n v="6"/>
    <n v="0"/>
    <n v="0"/>
    <n v="107"/>
    <s v="_x0000_peopl"/>
  </r>
  <r>
    <x v="6"/>
    <n v="13.6897"/>
    <n v="-89.185500000000005"/>
    <n v="5"/>
    <n v="0"/>
    <n v="0"/>
    <n v="107"/>
    <s v="_x0000_peopl"/>
  </r>
  <r>
    <x v="6"/>
    <n v="13.687200000000001"/>
    <n v="-89.194599999999994"/>
    <n v="7"/>
    <n v="0"/>
    <n v="0"/>
    <n v="107"/>
    <s v="_x0000_peopl"/>
  </r>
  <r>
    <x v="6"/>
    <n v="13.6911"/>
    <n v="-89.234499999999997"/>
    <n v="7"/>
    <n v="0"/>
    <n v="0"/>
    <n v="107"/>
    <s v="_x0000_peopl"/>
  </r>
  <r>
    <x v="6"/>
    <n v="13.6915"/>
    <n v="-89.234499999999997"/>
    <n v="3"/>
    <n v="0"/>
    <n v="0"/>
    <n v="107"/>
    <s v="_x0000_peopl"/>
  </r>
  <r>
    <x v="6"/>
    <n v="13.684699999999999"/>
    <n v="-89.213399999999993"/>
    <n v="7"/>
    <n v="0"/>
    <n v="0"/>
    <n v="107"/>
    <s v="_x0000_peopl"/>
  </r>
  <r>
    <x v="6"/>
    <n v="13.693899999999999"/>
    <n v="-89.175600000000003"/>
    <n v="2"/>
    <n v="0"/>
    <n v="0"/>
    <n v="107"/>
    <s v="_x0000_peopl"/>
  </r>
  <r>
    <x v="6"/>
    <n v="13.6911"/>
    <n v="-89.229600000000005"/>
    <n v="6"/>
    <n v="0"/>
    <n v="0"/>
    <n v="107"/>
    <s v="_x0000_peopl"/>
  </r>
  <r>
    <x v="6"/>
    <n v="13.6907"/>
    <n v="-89.194199999999995"/>
    <n v="2"/>
    <n v="0"/>
    <n v="0"/>
    <n v="107"/>
    <s v="_x0000_peopl"/>
  </r>
  <r>
    <x v="6"/>
    <n v="13.6852"/>
    <n v="-89.211200000000005"/>
    <n v="7"/>
    <n v="0"/>
    <n v="0"/>
    <n v="107"/>
    <s v="_x0000_peopl"/>
  </r>
  <r>
    <x v="6"/>
    <n v="13.6883"/>
    <n v="-89.182400000000001"/>
    <n v="8"/>
    <n v="0"/>
    <n v="0"/>
    <n v="107"/>
    <s v="_x0000_peopl"/>
  </r>
  <r>
    <x v="6"/>
    <n v="13.6911"/>
    <n v="-89.234899999999996"/>
    <n v="7"/>
    <n v="0"/>
    <n v="0"/>
    <n v="107"/>
    <s v="_x0000_peopl"/>
  </r>
  <r>
    <x v="6"/>
    <n v="13.6854"/>
    <n v="-89.201499999999996"/>
    <n v="5"/>
    <n v="0"/>
    <n v="0"/>
    <n v="107"/>
    <s v="_x0000_peopl"/>
  </r>
  <r>
    <x v="6"/>
    <n v="13.690799999999999"/>
    <n v="-89.194900000000004"/>
    <n v="8"/>
    <n v="0"/>
    <n v="0"/>
    <n v="107"/>
    <s v="_x0000_peopl"/>
  </r>
  <r>
    <x v="6"/>
    <n v="13.6928"/>
    <n v="-89.224699999999999"/>
    <n v="3"/>
    <n v="0"/>
    <n v="0"/>
    <n v="107"/>
    <s v="_x0000_peopl"/>
  </r>
  <r>
    <x v="6"/>
    <n v="13.6882"/>
    <n v="-89.1828"/>
    <n v="5"/>
    <n v="0"/>
    <n v="0"/>
    <n v="107"/>
    <s v="_x0000_peopl"/>
  </r>
  <r>
    <x v="6"/>
    <n v="13.693099999999999"/>
    <n v="-89.1858"/>
    <n v="4"/>
    <n v="0"/>
    <n v="0"/>
    <n v="107"/>
    <s v="_x0000_peopl"/>
  </r>
  <r>
    <x v="6"/>
    <n v="13.692"/>
    <n v="-89.194400000000002"/>
    <n v="4"/>
    <n v="0"/>
    <n v="0"/>
    <n v="107"/>
    <s v="_x0000_peopl"/>
  </r>
  <r>
    <x v="6"/>
    <n v="13.6875"/>
    <n v="-89.196600000000004"/>
    <n v="8"/>
    <n v="0"/>
    <n v="0"/>
    <n v="107"/>
    <s v="_x0000_peopl"/>
  </r>
  <r>
    <x v="6"/>
    <n v="13.685700000000001"/>
    <n v="-89.211600000000004"/>
    <n v="1"/>
    <n v="0"/>
    <n v="0"/>
    <n v="107"/>
    <s v="_x0000_peopl"/>
  </r>
  <r>
    <x v="6"/>
    <n v="13.6953"/>
    <n v="-89.173500000000004"/>
    <n v="3"/>
    <n v="0"/>
    <n v="0"/>
    <n v="107"/>
    <s v="_x0000_peopl"/>
  </r>
  <r>
    <x v="6"/>
    <n v="13.6915"/>
    <n v="-89.232500000000002"/>
    <n v="3"/>
    <n v="0"/>
    <n v="0"/>
    <n v="107"/>
    <s v="_x0000_peopl"/>
  </r>
  <r>
    <x v="6"/>
    <n v="13.690300000000001"/>
    <n v="-89.235699999999994"/>
    <n v="4"/>
    <n v="0"/>
    <n v="0"/>
    <n v="107"/>
    <s v="_x0000_peopl"/>
  </r>
  <r>
    <x v="6"/>
    <n v="13.6952"/>
    <n v="-89.1721"/>
    <n v="4"/>
    <n v="0"/>
    <n v="0"/>
    <n v="107"/>
    <s v="_x0000_peopl"/>
  </r>
  <r>
    <x v="6"/>
    <n v="13.691000000000001"/>
    <n v="-89.228899999999996"/>
    <n v="9"/>
    <n v="0"/>
    <n v="0"/>
    <n v="107"/>
    <s v="_x0000_peopl"/>
  </r>
  <r>
    <x v="6"/>
    <n v="13.6799"/>
    <n v="-89.195899999999995"/>
    <n v="3"/>
    <n v="0"/>
    <n v="0"/>
    <n v="107"/>
    <s v="_x0000_peopl"/>
  </r>
  <r>
    <x v="6"/>
    <n v="13.6944"/>
    <n v="-89.183099999999996"/>
    <n v="4"/>
    <n v="0"/>
    <n v="0"/>
    <n v="107"/>
    <s v="_x0000_peopl"/>
  </r>
  <r>
    <x v="6"/>
    <n v="13.6744"/>
    <n v="-89.251999999999995"/>
    <n v="10"/>
    <n v="0"/>
    <n v="0"/>
    <n v="107"/>
    <s v="_x0000_peopl"/>
  </r>
  <r>
    <x v="6"/>
    <n v="13.6896"/>
    <n v="-89.216300000000004"/>
    <n v="4"/>
    <n v="0"/>
    <n v="0"/>
    <n v="107"/>
    <s v="_x0000_peopl"/>
  </r>
  <r>
    <x v="6"/>
    <n v="13.6873"/>
    <n v="-89.196299999999994"/>
    <n v="7"/>
    <n v="0"/>
    <n v="0"/>
    <n v="107"/>
    <s v="_x0000_peopl"/>
  </r>
  <r>
    <x v="6"/>
    <n v="13.6919"/>
    <n v="-89.225099999999998"/>
    <n v="8"/>
    <n v="0"/>
    <n v="0"/>
    <n v="107"/>
    <s v="_x0000_peopl"/>
  </r>
  <r>
    <x v="6"/>
    <n v="13.6968"/>
    <n v="-89.171999999999997"/>
    <n v="7"/>
    <n v="0"/>
    <n v="0"/>
    <n v="107"/>
    <s v="_x0000_peopl"/>
  </r>
  <r>
    <x v="6"/>
    <n v="13.690899999999999"/>
    <n v="-89.2196"/>
    <n v="3"/>
    <n v="0"/>
    <n v="0"/>
    <n v="107"/>
    <s v="_x0000_peopl"/>
  </r>
  <r>
    <x v="6"/>
    <n v="13.692"/>
    <n v="-89.196200000000005"/>
    <n v="3"/>
    <n v="0"/>
    <n v="0"/>
    <n v="107"/>
    <s v="_x0000_peopl"/>
  </r>
  <r>
    <x v="6"/>
    <n v="13.6914"/>
    <n v="-89.188100000000006"/>
    <n v="5"/>
    <n v="0"/>
    <n v="0"/>
    <n v="107"/>
    <s v="_x0000_peopl"/>
  </r>
  <r>
    <x v="6"/>
    <n v="13.6944"/>
    <n v="-89.174899999999994"/>
    <n v="4"/>
    <n v="0"/>
    <n v="0"/>
    <n v="107"/>
    <s v="_x0000_peopl"/>
  </r>
  <r>
    <x v="6"/>
    <n v="13.6867"/>
    <n v="-89.213300000000004"/>
    <n v="7"/>
    <n v="0"/>
    <n v="0"/>
    <n v="107"/>
    <s v="_x0000_peopl"/>
  </r>
  <r>
    <x v="6"/>
    <n v="13.687099999999999"/>
    <n v="-89.216800000000006"/>
    <n v="7"/>
    <n v="0"/>
    <n v="0"/>
    <n v="107"/>
    <s v="_x0000_peopl"/>
  </r>
  <r>
    <x v="6"/>
    <n v="13.6911"/>
    <n v="-89.219099999999997"/>
    <n v="6"/>
    <n v="0"/>
    <n v="0"/>
    <n v="107"/>
    <s v="_x0000_peopl"/>
  </r>
  <r>
    <x v="6"/>
    <n v="13.6914"/>
    <n v="-89.233699999999999"/>
    <n v="2"/>
    <n v="0"/>
    <n v="0"/>
    <n v="107"/>
    <s v="_x0000_peopl"/>
  </r>
  <r>
    <x v="6"/>
    <n v="13.687799999999999"/>
    <n v="-89.215199999999996"/>
    <n v="5"/>
    <n v="0"/>
    <n v="0"/>
    <n v="107"/>
    <s v="_x0000_peopl"/>
  </r>
  <r>
    <x v="6"/>
    <n v="13.6914"/>
    <n v="-89.233400000000003"/>
    <n v="4"/>
    <n v="0"/>
    <n v="0"/>
    <n v="107"/>
    <s v="_x0000_peopl"/>
  </r>
  <r>
    <x v="6"/>
    <n v="13.6913"/>
    <n v="-89.234499999999997"/>
    <n v="7"/>
    <n v="0"/>
    <n v="0"/>
    <n v="107"/>
    <s v="_x0000_peopl"/>
  </r>
  <r>
    <x v="6"/>
    <n v="13.6914"/>
    <n v="-89.226200000000006"/>
    <n v="5"/>
    <n v="0"/>
    <n v="0"/>
    <n v="107"/>
    <s v="_x0000_peopl"/>
  </r>
  <r>
    <x v="6"/>
    <n v="13.6873"/>
    <n v="-89.194800000000001"/>
    <n v="9"/>
    <n v="0"/>
    <n v="0"/>
    <n v="107"/>
    <s v="_x0000_peopl"/>
  </r>
  <r>
    <x v="6"/>
    <n v="13.690300000000001"/>
    <n v="-89.228399999999993"/>
    <n v="2"/>
    <n v="0"/>
    <n v="0"/>
    <n v="107"/>
    <s v="_x0000_peopl"/>
  </r>
  <r>
    <x v="6"/>
    <n v="13.684699999999999"/>
    <n v="-89.216999999999999"/>
    <n v="5"/>
    <n v="0"/>
    <n v="0"/>
    <n v="107"/>
    <s v="_x0000_peopl"/>
  </r>
  <r>
    <x v="6"/>
    <n v="13.6935"/>
    <n v="-89.192300000000003"/>
    <n v="2"/>
    <n v="0"/>
    <n v="0"/>
    <n v="107"/>
    <s v="_x0000_peopl"/>
  </r>
  <r>
    <x v="6"/>
    <n v="13.6744"/>
    <n v="-89.199200000000005"/>
    <n v="6"/>
    <n v="0"/>
    <n v="0"/>
    <n v="107"/>
    <s v="_x0000_peopl"/>
  </r>
  <r>
    <x v="6"/>
    <n v="13.6915"/>
    <n v="-89.232500000000002"/>
    <n v="6"/>
    <n v="0"/>
    <n v="0"/>
    <n v="107"/>
    <s v="_x0000_peopl"/>
  </r>
  <r>
    <x v="6"/>
    <n v="13.6911"/>
    <n v="-89.183300000000003"/>
    <n v="6"/>
    <n v="0"/>
    <n v="0"/>
    <n v="107"/>
    <s v="_x0000_peopl"/>
  </r>
  <r>
    <x v="6"/>
    <n v="13.686999999999999"/>
    <n v="-89.201999999999998"/>
    <n v="7"/>
    <n v="0"/>
    <n v="0"/>
    <n v="107"/>
    <s v="_x0000_peopl"/>
  </r>
  <r>
    <x v="6"/>
    <n v="13.6915"/>
    <n v="-89.232900000000001"/>
    <n v="3"/>
    <n v="0"/>
    <n v="0"/>
    <n v="107"/>
    <s v="_x0000_peopl"/>
  </r>
  <r>
    <x v="6"/>
    <n v="13.674799999999999"/>
    <n v="-89.251900000000006"/>
    <n v="5"/>
    <n v="0"/>
    <n v="0"/>
    <n v="107"/>
    <s v="_x0000_peopl"/>
  </r>
  <r>
    <x v="6"/>
    <n v="13.69"/>
    <n v="-89.1798"/>
    <n v="4"/>
    <n v="0"/>
    <n v="0"/>
    <n v="107"/>
    <s v="_x0000_peopl"/>
  </r>
  <r>
    <x v="6"/>
    <n v="13.690799999999999"/>
    <n v="-89.194500000000005"/>
    <n v="3"/>
    <n v="0"/>
    <n v="0"/>
    <n v="107"/>
    <s v="_x0000_peopl"/>
  </r>
  <r>
    <x v="6"/>
    <n v="13.6744"/>
    <n v="-89.251800000000003"/>
    <n v="8"/>
    <n v="0"/>
    <n v="0"/>
    <n v="107"/>
    <s v="_x0000_peopl"/>
  </r>
  <r>
    <x v="6"/>
    <n v="13.692299999999999"/>
    <n v="-89.184600000000003"/>
    <n v="6"/>
    <n v="0"/>
    <n v="0"/>
    <n v="107"/>
    <s v="_x0000_peopl"/>
  </r>
  <r>
    <x v="6"/>
    <n v="13.696899999999999"/>
    <n v="-89.171899999999994"/>
    <n v="3"/>
    <n v="0"/>
    <n v="0"/>
    <n v="107"/>
    <s v="_x0000_peopl"/>
  </r>
  <r>
    <x v="6"/>
    <n v="13.6851"/>
    <n v="-89.203500000000005"/>
    <n v="6"/>
    <n v="0"/>
    <n v="0"/>
    <n v="107"/>
    <s v="_x0000_peopl"/>
  </r>
  <r>
    <x v="6"/>
    <n v="13.6904"/>
    <n v="-89.236099999999993"/>
    <n v="7"/>
    <n v="0"/>
    <n v="0"/>
    <n v="107"/>
    <s v="_x0000_peopl"/>
  </r>
  <r>
    <x v="6"/>
    <n v="13.6889"/>
    <n v="-89.190399999999997"/>
    <n v="1"/>
    <n v="0"/>
    <n v="0"/>
    <n v="107"/>
    <s v="_x0000_peopl"/>
  </r>
  <r>
    <x v="6"/>
    <n v="13.6875"/>
    <n v="-89.1922"/>
    <n v="5"/>
    <n v="0"/>
    <n v="0"/>
    <n v="107"/>
    <s v="_x0000_peopl"/>
  </r>
  <r>
    <x v="6"/>
    <n v="13.6884"/>
    <n v="-89.204300000000003"/>
    <n v="4"/>
    <n v="0"/>
    <n v="0"/>
    <n v="107"/>
    <s v="_x0000_peopl"/>
  </r>
  <r>
    <x v="6"/>
    <n v="13.6905"/>
    <n v="-89.188800000000001"/>
    <n v="5"/>
    <n v="0"/>
    <n v="0"/>
    <n v="107"/>
    <s v="_x0000_peopl"/>
  </r>
  <r>
    <x v="6"/>
    <n v="13.6877"/>
    <n v="-89.217100000000002"/>
    <n v="7"/>
    <n v="0"/>
    <n v="0"/>
    <n v="107"/>
    <s v="_x0000_peopl"/>
  </r>
  <r>
    <x v="6"/>
    <n v="13.690799999999999"/>
    <n v="-89.235900000000001"/>
    <n v="3"/>
    <n v="0"/>
    <n v="0"/>
    <n v="107"/>
    <s v="_x0000_peopl"/>
  </r>
  <r>
    <x v="6"/>
    <n v="13.690099999999999"/>
    <n v="-89.184200000000004"/>
    <n v="1"/>
    <n v="0"/>
    <n v="0"/>
    <n v="107"/>
    <s v="_x0000_peopl"/>
  </r>
  <r>
    <x v="6"/>
    <n v="13.687900000000001"/>
    <n v="-89.205100000000002"/>
    <n v="3"/>
    <n v="0"/>
    <n v="0"/>
    <n v="107"/>
    <s v="_x0000_peopl"/>
  </r>
  <r>
    <x v="6"/>
    <n v="13.6897"/>
    <n v="-89.179500000000004"/>
    <n v="4"/>
    <n v="0"/>
    <n v="0"/>
    <n v="107"/>
    <s v="_x0000_peopl"/>
  </r>
  <r>
    <x v="6"/>
    <n v="13.6731"/>
    <n v="-89.203999999999994"/>
    <n v="8"/>
    <n v="0"/>
    <n v="0"/>
    <n v="107"/>
    <s v="_x0000_peopl"/>
  </r>
  <r>
    <x v="6"/>
    <n v="13.674099999999999"/>
    <n v="-89.2029"/>
    <n v="9"/>
    <n v="0"/>
    <n v="0"/>
    <n v="107"/>
    <s v="_x0000_peopl"/>
  </r>
  <r>
    <x v="6"/>
    <n v="13.6919"/>
    <n v="-89.180199999999999"/>
    <n v="4"/>
    <n v="0"/>
    <n v="0"/>
    <n v="107"/>
    <s v="_x0000_peopl"/>
  </r>
  <r>
    <x v="6"/>
    <n v="13.6915"/>
    <n v="-89.2346"/>
    <n v="5"/>
    <n v="0"/>
    <n v="0"/>
    <n v="107"/>
    <s v="_x0000_peopl"/>
  </r>
  <r>
    <x v="6"/>
    <n v="13.6892"/>
    <n v="-89.178899999999999"/>
    <n v="4"/>
    <n v="0"/>
    <n v="0"/>
    <n v="107"/>
    <s v="_x0000_peopl"/>
  </r>
  <r>
    <x v="6"/>
    <n v="13.687900000000001"/>
    <n v="-89.212100000000007"/>
    <n v="7"/>
    <n v="0"/>
    <n v="0"/>
    <n v="107"/>
    <s v="_x0000_peopl"/>
  </r>
  <r>
    <x v="6"/>
    <n v="13.695399999999999"/>
    <n v="-89.173599999999993"/>
    <n v="8"/>
    <n v="0"/>
    <n v="0"/>
    <n v="107"/>
    <s v="_x0000_peopl"/>
  </r>
  <r>
    <x v="6"/>
    <n v="13.686999999999999"/>
    <n v="-89.197400000000002"/>
    <n v="6"/>
    <n v="0"/>
    <n v="0"/>
    <n v="107"/>
    <s v="_x0000_peopl"/>
  </r>
  <r>
    <x v="6"/>
    <n v="13.6919"/>
    <n v="-89.187799999999996"/>
    <n v="5"/>
    <n v="0"/>
    <n v="0"/>
    <n v="107"/>
    <s v="_x0000_peopl"/>
  </r>
  <r>
    <x v="6"/>
    <n v="13.6951"/>
    <n v="-89.183099999999996"/>
    <n v="7"/>
    <n v="0"/>
    <n v="0"/>
    <n v="107"/>
    <s v="_x0000_peopl"/>
  </r>
  <r>
    <x v="6"/>
    <n v="13.695399999999999"/>
    <n v="-89.1738"/>
    <n v="2"/>
    <n v="0"/>
    <n v="0"/>
    <n v="107"/>
    <s v="_x0000_peopl"/>
  </r>
  <r>
    <x v="6"/>
    <n v="13.6875"/>
    <n v="-89.180199999999999"/>
    <n v="4"/>
    <n v="0"/>
    <n v="0"/>
    <n v="107"/>
    <s v="_x0000_peopl"/>
  </r>
  <r>
    <x v="6"/>
    <n v="13.690099999999999"/>
    <n v="-89.190299999999993"/>
    <n v="6"/>
    <n v="0"/>
    <n v="0"/>
    <n v="107"/>
    <s v="_x0000_peopl"/>
  </r>
  <r>
    <x v="6"/>
    <n v="13.694000000000001"/>
    <n v="-89.176199999999994"/>
    <n v="5"/>
    <n v="0"/>
    <n v="0"/>
    <n v="107"/>
    <s v="_x0000_peopl"/>
  </r>
  <r>
    <x v="6"/>
    <n v="13.6846"/>
    <n v="-89.217100000000002"/>
    <n v="4"/>
    <n v="0"/>
    <n v="0"/>
    <n v="107"/>
    <s v="_x0000_peopl"/>
  </r>
  <r>
    <x v="6"/>
    <n v="13.691700000000001"/>
    <n v="-89.220600000000005"/>
    <n v="7"/>
    <n v="0"/>
    <n v="0"/>
    <n v="107"/>
    <s v="_x0000_peopl"/>
  </r>
  <r>
    <x v="6"/>
    <n v="13.674799999999999"/>
    <n v="-89.251800000000003"/>
    <n v="3"/>
    <n v="0"/>
    <n v="0"/>
    <n v="107"/>
    <s v="_x0000_peopl"/>
  </r>
  <r>
    <x v="6"/>
    <n v="13.6881"/>
    <n v="-89.19"/>
    <n v="2"/>
    <n v="0"/>
    <n v="0"/>
    <n v="107"/>
    <s v="_x0000_peopl"/>
  </r>
  <r>
    <x v="6"/>
    <n v="13.6927"/>
    <n v="-89.189499999999995"/>
    <n v="7"/>
    <n v="0"/>
    <n v="0"/>
    <n v="107"/>
    <s v="_x0000_peopl"/>
  </r>
  <r>
    <x v="6"/>
    <n v="13.696"/>
    <n v="-89.166200000000003"/>
    <n v="6"/>
    <n v="0"/>
    <n v="0"/>
    <n v="107"/>
    <s v="_x0000_peopl"/>
  </r>
  <r>
    <x v="6"/>
    <n v="13.6884"/>
    <n v="-89.190799999999996"/>
    <n v="3"/>
    <n v="0"/>
    <n v="0"/>
    <n v="107"/>
    <s v="_x0000_peopl"/>
  </r>
  <r>
    <x v="6"/>
    <n v="13.6905"/>
    <n v="-89.227999999999994"/>
    <n v="1"/>
    <n v="0"/>
    <n v="0"/>
    <n v="107"/>
    <s v="_x0000_peopl"/>
  </r>
  <r>
    <x v="6"/>
    <n v="13.686500000000001"/>
    <n v="-89.215699999999998"/>
    <n v="3"/>
    <n v="0"/>
    <n v="0"/>
    <n v="107"/>
    <s v="_x0000_peopl"/>
  </r>
  <r>
    <x v="6"/>
    <n v="13.684799999999999"/>
    <n v="-89.216700000000003"/>
    <n v="7"/>
    <n v="0"/>
    <n v="0"/>
    <n v="107"/>
    <s v="_x0000_peopl"/>
  </r>
  <r>
    <x v="6"/>
    <n v="13.6868"/>
    <n v="-89.215199999999996"/>
    <n v="5"/>
    <n v="0"/>
    <n v="0"/>
    <n v="107"/>
    <s v="_x0000_peopl"/>
  </r>
  <r>
    <x v="6"/>
    <n v="13.692299999999999"/>
    <n v="-89.185000000000002"/>
    <n v="8"/>
    <n v="0"/>
    <n v="0"/>
    <n v="107"/>
    <s v="_x0000_peopl"/>
  </r>
  <r>
    <x v="6"/>
    <n v="13.6928"/>
    <n v="-89.224100000000007"/>
    <n v="3"/>
    <n v="0"/>
    <n v="0"/>
    <n v="107"/>
    <s v="_x0000_peopl"/>
  </r>
  <r>
    <x v="6"/>
    <n v="13.6868"/>
    <n v="-89.183099999999996"/>
    <n v="3"/>
    <n v="0"/>
    <n v="0"/>
    <n v="107"/>
    <s v="_x0000_peopl"/>
  </r>
  <r>
    <x v="6"/>
    <n v="13.6898"/>
    <n v="-89.206199999999995"/>
    <n v="2"/>
    <n v="0"/>
    <n v="0"/>
    <n v="107"/>
    <s v="_x0000_peopl"/>
  </r>
  <r>
    <x v="6"/>
    <n v="13.6876"/>
    <n v="-89.181799999999996"/>
    <n v="8"/>
    <n v="0"/>
    <n v="0"/>
    <n v="107"/>
    <s v="_x0000_peopl"/>
  </r>
  <r>
    <x v="6"/>
    <n v="13.6882"/>
    <n v="-89.215500000000006"/>
    <n v="3"/>
    <n v="0"/>
    <n v="0"/>
    <n v="107"/>
    <s v="_x0000_peopl"/>
  </r>
  <r>
    <x v="6"/>
    <n v="13.6907"/>
    <n v="-89.179100000000005"/>
    <n v="7"/>
    <n v="0"/>
    <n v="0"/>
    <n v="107"/>
    <s v="_x0000_peopl"/>
  </r>
  <r>
    <x v="6"/>
    <n v="13.685"/>
    <n v="-89.212199999999996"/>
    <n v="5"/>
    <n v="0"/>
    <n v="0"/>
    <n v="107"/>
    <s v="_x0000_peopl"/>
  </r>
  <r>
    <x v="6"/>
    <n v="13.6853"/>
    <n v="-89.212599999999995"/>
    <n v="6"/>
    <n v="0"/>
    <n v="0"/>
    <n v="107"/>
    <s v="_x0000_peopl"/>
  </r>
  <r>
    <x v="6"/>
    <n v="13.6853"/>
    <n v="-89.212500000000006"/>
    <n v="9"/>
    <n v="0"/>
    <n v="0"/>
    <n v="107"/>
    <s v="_x0000_peopl"/>
  </r>
  <r>
    <x v="6"/>
    <n v="13.6907"/>
    <n v="-89.233699999999999"/>
    <n v="9"/>
    <n v="0"/>
    <n v="0"/>
    <n v="107"/>
    <s v="_x0000_peopl"/>
  </r>
  <r>
    <x v="6"/>
    <n v="13.6884"/>
    <n v="-89.2042"/>
    <n v="4"/>
    <n v="0"/>
    <n v="0"/>
    <n v="107"/>
    <s v="_x0000_peopl"/>
  </r>
  <r>
    <x v="6"/>
    <n v="13.6873"/>
    <n v="-89.215699999999998"/>
    <n v="4"/>
    <n v="0"/>
    <n v="0"/>
    <n v="107"/>
    <s v="_x0000_peopl"/>
  </r>
  <r>
    <x v="6"/>
    <n v="13.691800000000001"/>
    <n v="-89.225200000000001"/>
    <n v="6"/>
    <n v="0"/>
    <n v="0"/>
    <n v="107"/>
    <s v="_x0000_peopl"/>
  </r>
  <r>
    <x v="6"/>
    <n v="13.6899"/>
    <n v="-89.197699999999998"/>
    <n v="6"/>
    <n v="0"/>
    <n v="0"/>
    <n v="107"/>
    <s v="_x0000_peopl"/>
  </r>
  <r>
    <x v="6"/>
    <n v="13.6892"/>
    <n v="-89.229399999999998"/>
    <n v="5"/>
    <n v="0"/>
    <n v="0"/>
    <n v="107"/>
    <s v="_x0000_peopl"/>
  </r>
  <r>
    <x v="6"/>
    <n v="13.6889"/>
    <n v="-89.229399999999998"/>
    <n v="8"/>
    <n v="0"/>
    <n v="0"/>
    <n v="107"/>
    <s v="_x0000_peopl"/>
  </r>
  <r>
    <x v="6"/>
    <n v="13.6915"/>
    <n v="-89.226399999999998"/>
    <n v="5"/>
    <n v="0"/>
    <n v="0"/>
    <n v="107"/>
    <s v="_x0000_peopl"/>
  </r>
  <r>
    <x v="6"/>
    <n v="13.675000000000001"/>
    <n v="-89.251599999999996"/>
    <n v="2"/>
    <n v="0"/>
    <n v="0"/>
    <n v="107"/>
    <s v="_x0000_peopl"/>
  </r>
  <r>
    <x v="6"/>
    <n v="13.691800000000001"/>
    <n v="-89.196100000000001"/>
    <n v="6"/>
    <n v="0"/>
    <n v="0"/>
    <n v="107"/>
    <s v="_x0000_peopl"/>
  </r>
  <r>
    <x v="6"/>
    <n v="13.6915"/>
    <n v="-89.227000000000004"/>
    <n v="3"/>
    <n v="0"/>
    <n v="0"/>
    <n v="107"/>
    <s v="_x0000_peopl"/>
  </r>
  <r>
    <x v="6"/>
    <n v="13.691000000000001"/>
    <n v="-89.183999999999997"/>
    <n v="2"/>
    <n v="0"/>
    <n v="0"/>
    <n v="107"/>
    <s v="_x0000_peopl"/>
  </r>
  <r>
    <x v="6"/>
    <n v="13.6935"/>
    <n v="-89.173299999999998"/>
    <n v="3"/>
    <n v="0"/>
    <n v="0"/>
    <n v="107"/>
    <s v="_x0000_peopl"/>
  </r>
  <r>
    <x v="6"/>
    <n v="13.69"/>
    <n v="-89.177599999999998"/>
    <n v="3"/>
    <n v="0"/>
    <n v="0"/>
    <n v="107"/>
    <s v="_x0000_peopl"/>
  </r>
  <r>
    <x v="6"/>
    <n v="13.6869"/>
    <n v="-89.203500000000005"/>
    <n v="6"/>
    <n v="0"/>
    <n v="0"/>
    <n v="107"/>
    <s v="_x0000_peopl"/>
  </r>
  <r>
    <x v="6"/>
    <n v="13.691000000000001"/>
    <n v="-89.228800000000007"/>
    <n v="3"/>
    <n v="0"/>
    <n v="0"/>
    <n v="107"/>
    <s v="_x0000_peopl"/>
  </r>
  <r>
    <x v="6"/>
    <n v="13.6851"/>
    <n v="-89.217100000000002"/>
    <n v="2"/>
    <n v="0"/>
    <n v="0"/>
    <n v="107"/>
    <s v="_x0000_peopl"/>
  </r>
  <r>
    <x v="6"/>
    <n v="13.688700000000001"/>
    <n v="-89.204499999999996"/>
    <n v="9"/>
    <n v="0"/>
    <n v="0"/>
    <n v="107"/>
    <s v="_x0000_peopl"/>
  </r>
  <r>
    <x v="6"/>
    <n v="13.6874"/>
    <n v="-89.193700000000007"/>
    <n v="5"/>
    <n v="0"/>
    <n v="0"/>
    <n v="107"/>
    <s v="_x0000_peopl"/>
  </r>
  <r>
    <x v="6"/>
    <n v="13.6859"/>
    <n v="-89.203299999999999"/>
    <n v="5"/>
    <n v="0"/>
    <n v="0"/>
    <n v="107"/>
    <s v="_x0000_peopl"/>
  </r>
  <r>
    <x v="6"/>
    <n v="13.6877"/>
    <n v="-89.180599999999998"/>
    <n v="9"/>
    <n v="0"/>
    <n v="0"/>
    <n v="107"/>
    <s v="_x0000_peopl"/>
  </r>
  <r>
    <x v="6"/>
    <n v="13.689399999999999"/>
    <n v="-89.180300000000003"/>
    <n v="4"/>
    <n v="0"/>
    <n v="0"/>
    <n v="107"/>
    <s v="_x0000_peopl"/>
  </r>
  <r>
    <x v="6"/>
    <n v="13.6844"/>
    <n v="-89.217200000000005"/>
    <n v="7"/>
    <n v="0"/>
    <n v="0"/>
    <n v="107"/>
    <s v="_x0000_peopl"/>
  </r>
  <r>
    <x v="6"/>
    <n v="13.689"/>
    <n v="-89.190100000000001"/>
    <n v="10"/>
    <n v="0"/>
    <n v="0"/>
    <n v="107"/>
    <s v="_x0000_peopl"/>
  </r>
  <r>
    <x v="6"/>
    <n v="13.6911"/>
    <n v="-89.189300000000003"/>
    <n v="5"/>
    <n v="0"/>
    <n v="0"/>
    <n v="107"/>
    <s v="_x0000_peopl"/>
  </r>
  <r>
    <x v="6"/>
    <n v="13.6958"/>
    <n v="-89.172899999999998"/>
    <n v="5"/>
    <n v="0"/>
    <n v="0"/>
    <n v="107"/>
    <s v="_x0000_peopl"/>
  </r>
  <r>
    <x v="6"/>
    <n v="13.6737"/>
    <n v="-89.251099999999994"/>
    <n v="9"/>
    <n v="0"/>
    <n v="0"/>
    <n v="107"/>
    <s v="_x0000_peopl"/>
  </r>
  <r>
    <x v="6"/>
    <n v="13.692600000000001"/>
    <n v="-89.197000000000003"/>
    <n v="3"/>
    <n v="0"/>
    <n v="0"/>
    <n v="107"/>
    <s v="_x0000_peopl"/>
  </r>
  <r>
    <x v="6"/>
    <n v="13.696899999999999"/>
    <n v="-89.171499999999995"/>
    <n v="4"/>
    <n v="0"/>
    <n v="0"/>
    <n v="107"/>
    <s v="_x0000_peopl"/>
  </r>
  <r>
    <x v="6"/>
    <n v="13.6904"/>
    <n v="-89.177700000000002"/>
    <n v="0"/>
    <n v="0"/>
    <n v="0"/>
    <n v="107"/>
    <s v="_x0000_peopl"/>
  </r>
  <r>
    <x v="6"/>
    <n v="13.692500000000001"/>
    <n v="-89.226399999999998"/>
    <n v="4"/>
    <n v="0"/>
    <n v="0"/>
    <n v="107"/>
    <s v="_x0000_peopl"/>
  </r>
  <r>
    <x v="6"/>
    <n v="13.689399999999999"/>
    <n v="-89.236000000000004"/>
    <n v="3"/>
    <n v="0"/>
    <n v="0"/>
    <n v="107"/>
    <s v="_x0000_peopl"/>
  </r>
  <r>
    <x v="6"/>
    <n v="13.688499999999999"/>
    <n v="-89.206800000000001"/>
    <n v="7"/>
    <n v="0"/>
    <n v="0"/>
    <n v="107"/>
    <s v="_x0000_peopl"/>
  </r>
  <r>
    <x v="6"/>
    <n v="13.6922"/>
    <n v="-89.196899999999999"/>
    <n v="5"/>
    <n v="0"/>
    <n v="0"/>
    <n v="107"/>
    <s v="_x0000_peopl"/>
  </r>
  <r>
    <x v="6"/>
    <n v="13.687799999999999"/>
    <n v="-89.197100000000006"/>
    <n v="9"/>
    <n v="0"/>
    <n v="0"/>
    <n v="107"/>
    <s v="_x0000_peopl"/>
  </r>
  <r>
    <x v="6"/>
    <n v="13.695499999999999"/>
    <n v="-89.173100000000005"/>
    <n v="1"/>
    <n v="0"/>
    <n v="0"/>
    <n v="107"/>
    <s v="_x0000_peopl"/>
  </r>
  <r>
    <x v="6"/>
    <n v="13.691700000000001"/>
    <n v="-89.233500000000006"/>
    <n v="4"/>
    <n v="0"/>
    <n v="0"/>
    <n v="107"/>
    <s v="_x0000_peopl"/>
  </r>
  <r>
    <x v="6"/>
    <n v="13.6942"/>
    <n v="-89.175299999999993"/>
    <n v="5"/>
    <n v="0"/>
    <n v="0"/>
    <n v="107"/>
    <s v="_x0000_peopl"/>
  </r>
  <r>
    <x v="6"/>
    <n v="13.688700000000001"/>
    <n v="-89.204499999999996"/>
    <n v="5"/>
    <n v="0"/>
    <n v="0"/>
    <n v="107"/>
    <s v="_x0000_peopl"/>
  </r>
  <r>
    <x v="6"/>
    <n v="13.6914"/>
    <n v="-89.233599999999996"/>
    <n v="6"/>
    <n v="0"/>
    <n v="0"/>
    <n v="107"/>
    <s v="_x0000_peopl"/>
  </r>
  <r>
    <x v="6"/>
    <n v="13.692299999999999"/>
    <n v="-89.179000000000002"/>
    <n v="7"/>
    <n v="0"/>
    <n v="0"/>
    <n v="107"/>
    <s v="_x0000_peopl"/>
  </r>
  <r>
    <x v="6"/>
    <n v="13.674799999999999"/>
    <n v="-89.252300000000005"/>
    <n v="7"/>
    <n v="0"/>
    <n v="0"/>
    <n v="107"/>
    <s v="_x0000_peopl"/>
  </r>
  <r>
    <x v="6"/>
    <n v="13.690799999999999"/>
    <n v="-89.183499999999995"/>
    <n v="4"/>
    <n v="0"/>
    <n v="0"/>
    <n v="107"/>
    <s v="_x0000_peopl"/>
  </r>
  <r>
    <x v="6"/>
    <n v="13.688499999999999"/>
    <n v="-89.198099999999997"/>
    <n v="6"/>
    <n v="0"/>
    <n v="0"/>
    <n v="107"/>
    <s v="_x0000_peopl"/>
  </r>
  <r>
    <x v="6"/>
    <n v="13.688000000000001"/>
    <n v="-89.1798"/>
    <n v="1"/>
    <n v="0"/>
    <n v="0"/>
    <n v="107"/>
    <s v="_x0000_peopl"/>
  </r>
  <r>
    <x v="6"/>
    <n v="13.691700000000001"/>
    <n v="-89.233800000000002"/>
    <n v="6"/>
    <n v="0"/>
    <n v="0"/>
    <n v="107"/>
    <s v="_x0000_peopl"/>
  </r>
  <r>
    <x v="6"/>
    <n v="13.6934"/>
    <n v="-89.176199999999994"/>
    <n v="2"/>
    <n v="0"/>
    <n v="0"/>
    <n v="107"/>
    <s v="_x0000_peopl"/>
  </r>
  <r>
    <x v="6"/>
    <n v="13.687200000000001"/>
    <n v="-89.194900000000004"/>
    <n v="4"/>
    <n v="0"/>
    <n v="0"/>
    <n v="107"/>
    <s v="_x0000_peopl"/>
  </r>
  <r>
    <x v="6"/>
    <n v="13.696"/>
    <n v="-89.1678"/>
    <n v="3"/>
    <n v="0"/>
    <n v="0"/>
    <n v="107"/>
    <s v="_x0000_peopl"/>
  </r>
  <r>
    <x v="6"/>
    <n v="13.685600000000001"/>
    <n v="-89.201999999999998"/>
    <n v="6"/>
    <n v="0"/>
    <n v="0"/>
    <n v="107"/>
    <s v="_x0000_peopl"/>
  </r>
  <r>
    <x v="6"/>
    <n v="13.696400000000001"/>
    <n v="-89.171700000000001"/>
    <n v="7"/>
    <n v="0"/>
    <n v="0"/>
    <n v="107"/>
    <s v="_x0000_peopl"/>
  </r>
  <r>
    <x v="6"/>
    <n v="13.678800000000001"/>
    <n v="-89.1965"/>
    <n v="6"/>
    <n v="0"/>
    <n v="0"/>
    <n v="107"/>
    <s v="_x0000_peopl"/>
  </r>
  <r>
    <x v="6"/>
    <n v="13.6883"/>
    <n v="-89.216899999999995"/>
    <n v="3"/>
    <n v="0"/>
    <n v="0"/>
    <n v="107"/>
    <s v="_x0000_peopl"/>
  </r>
  <r>
    <x v="6"/>
    <n v="13.692299999999999"/>
    <n v="-89.184399999999997"/>
    <n v="4"/>
    <n v="0"/>
    <n v="0"/>
    <n v="107"/>
    <s v="_x0000_peopl"/>
  </r>
  <r>
    <x v="6"/>
    <n v="13.6875"/>
    <n v="-89.195099999999996"/>
    <n v="6"/>
    <n v="0"/>
    <n v="0"/>
    <n v="107"/>
    <s v="_x0000_peopl"/>
  </r>
  <r>
    <x v="6"/>
    <n v="13.690799999999999"/>
    <n v="-89.194100000000006"/>
    <n v="3"/>
    <n v="0"/>
    <n v="0"/>
    <n v="107"/>
    <s v="_x0000_peopl"/>
  </r>
  <r>
    <x v="6"/>
    <n v="13.688800000000001"/>
    <n v="-89.204800000000006"/>
    <n v="11"/>
    <n v="0"/>
    <n v="0"/>
    <n v="107"/>
    <s v="_x0000_peopl"/>
  </r>
  <r>
    <x v="6"/>
    <n v="13.6792"/>
    <n v="-89.193899999999999"/>
    <n v="2"/>
    <n v="0"/>
    <n v="0"/>
    <n v="107"/>
    <s v="_x0000_peopl"/>
  </r>
  <r>
    <x v="6"/>
    <n v="13.6922"/>
    <n v="-89.178700000000006"/>
    <n v="4"/>
    <n v="0"/>
    <n v="0"/>
    <n v="107"/>
    <s v="_x0000_peopl"/>
  </r>
  <r>
    <x v="6"/>
    <n v="13.6934"/>
    <n v="-89.173400000000001"/>
    <n v="5"/>
    <n v="0"/>
    <n v="0"/>
    <n v="107"/>
    <s v="_x0000_peopl"/>
  </r>
  <r>
    <x v="6"/>
    <n v="13.6919"/>
    <n v="-89.221100000000007"/>
    <n v="2"/>
    <n v="0"/>
    <n v="0"/>
    <n v="107"/>
    <s v="_x0000_peopl"/>
  </r>
  <r>
    <x v="6"/>
    <n v="13.674099999999999"/>
    <n v="-89.2029"/>
    <n v="3"/>
    <n v="0"/>
    <n v="0"/>
    <n v="107"/>
    <s v="_x0000_peopl"/>
  </r>
  <r>
    <x v="6"/>
    <n v="13.693899999999999"/>
    <n v="-89.175899999999999"/>
    <n v="2"/>
    <n v="0"/>
    <n v="0"/>
    <n v="107"/>
    <s v="_x0000_peopl"/>
  </r>
  <r>
    <x v="6"/>
    <n v="13.6927"/>
    <n v="-89.184299999999993"/>
    <n v="4"/>
    <n v="0"/>
    <n v="0"/>
    <n v="107"/>
    <s v="_x0000_peopl"/>
  </r>
  <r>
    <x v="6"/>
    <n v="13.6874"/>
    <n v="-89.198400000000007"/>
    <n v="4"/>
    <n v="0"/>
    <n v="0"/>
    <n v="107"/>
    <s v="_x0000_peopl"/>
  </r>
  <r>
    <x v="6"/>
    <n v="13.6897"/>
    <n v="-89.193799999999996"/>
    <n v="2"/>
    <n v="0"/>
    <n v="0"/>
    <n v="107"/>
    <s v="_x0000_peopl"/>
  </r>
  <r>
    <x v="6"/>
    <n v="13.6882"/>
    <n v="-89.205699999999993"/>
    <n v="3"/>
    <n v="0"/>
    <n v="0"/>
    <n v="107"/>
    <s v="_x0000_peopl"/>
  </r>
  <r>
    <x v="6"/>
    <n v="13.6922"/>
    <n v="-89.225800000000007"/>
    <n v="7"/>
    <n v="0"/>
    <n v="0"/>
    <n v="107"/>
    <s v="_x0000_peopl"/>
  </r>
  <r>
    <x v="6"/>
    <n v="13.6874"/>
    <n v="-89.194500000000005"/>
    <n v="5"/>
    <n v="0"/>
    <n v="0"/>
    <n v="107"/>
    <s v="_x0000_peopl"/>
  </r>
  <r>
    <x v="6"/>
    <n v="13.687099999999999"/>
    <n v="-89.204599999999999"/>
    <n v="3"/>
    <n v="0"/>
    <n v="0"/>
    <n v="107"/>
    <s v="_x0000_peopl"/>
  </r>
  <r>
    <x v="6"/>
    <n v="13.6972"/>
    <n v="-89.171800000000005"/>
    <n v="2"/>
    <n v="0"/>
    <n v="0"/>
    <n v="107"/>
    <s v="_x0000_peopl"/>
  </r>
  <r>
    <x v="6"/>
    <n v="13.6876"/>
    <n v="-89.194299999999998"/>
    <n v="8"/>
    <n v="0"/>
    <n v="0"/>
    <n v="107"/>
    <s v="_x0000_peopl"/>
  </r>
  <r>
    <x v="6"/>
    <n v="13.687200000000001"/>
    <n v="-89.194599999999994"/>
    <n v="6"/>
    <n v="0"/>
    <n v="0"/>
    <n v="107"/>
    <s v="_x0000_peopl"/>
  </r>
  <r>
    <x v="6"/>
    <n v="13.691800000000001"/>
    <n v="-89.196700000000007"/>
    <n v="5"/>
    <n v="0"/>
    <n v="0"/>
    <n v="107"/>
    <s v="_x0000_peopl"/>
  </r>
  <r>
    <x v="6"/>
    <n v="13.6873"/>
    <n v="-89.197199999999995"/>
    <n v="2"/>
    <n v="0"/>
    <n v="0"/>
    <n v="107"/>
    <s v="_x0000_peopl"/>
  </r>
  <r>
    <x v="6"/>
    <n v="13.6944"/>
    <n v="-89.185400000000001"/>
    <n v="2"/>
    <n v="0"/>
    <n v="0"/>
    <n v="107"/>
    <s v="_x0000_peopl"/>
  </r>
  <r>
    <x v="6"/>
    <n v="13.686"/>
    <n v="-89.194000000000003"/>
    <n v="3"/>
    <n v="0"/>
    <n v="0"/>
    <n v="107"/>
    <s v="_x0000_peopl"/>
  </r>
  <r>
    <x v="6"/>
    <n v="13.678900000000001"/>
    <n v="-89.1965"/>
    <n v="4"/>
    <n v="0"/>
    <n v="0"/>
    <n v="107"/>
    <s v="_x0000_peopl"/>
  </r>
  <r>
    <x v="6"/>
    <n v="13.6928"/>
    <n v="-89.19"/>
    <n v="3"/>
    <n v="0"/>
    <n v="0"/>
    <n v="107"/>
    <s v="_x0000_peopl"/>
  </r>
  <r>
    <x v="6"/>
    <n v="13.6882"/>
    <n v="-89.216200000000001"/>
    <n v="4"/>
    <n v="0"/>
    <n v="0"/>
    <n v="107"/>
    <s v="_x0000_peopl"/>
  </r>
  <r>
    <x v="6"/>
    <n v="13.686999999999999"/>
    <n v="-89.205200000000005"/>
    <n v="5"/>
    <n v="0"/>
    <n v="0"/>
    <n v="107"/>
    <s v="_x0000_peopl"/>
  </r>
  <r>
    <x v="6"/>
    <n v="13.677"/>
    <n v="-89.248500000000007"/>
    <n v="8"/>
    <n v="0"/>
    <n v="0"/>
    <n v="107"/>
    <s v="_x0000_peopl"/>
  </r>
  <r>
    <x v="6"/>
    <n v="13.6867"/>
    <n v="-89.191199999999995"/>
    <n v="6"/>
    <n v="0"/>
    <n v="0"/>
    <n v="107"/>
    <s v="_x0000_peopl"/>
  </r>
  <r>
    <x v="6"/>
    <n v="13.689"/>
    <n v="-89.229299999999995"/>
    <n v="6"/>
    <n v="0"/>
    <n v="0"/>
    <n v="107"/>
    <s v="_x0000_peopl"/>
  </r>
  <r>
    <x v="6"/>
    <n v="13.6892"/>
    <n v="-89.180099999999996"/>
    <n v="7"/>
    <n v="0"/>
    <n v="0"/>
    <n v="107"/>
    <s v="_x0000_peopl"/>
  </r>
  <r>
    <x v="6"/>
    <n v="13.6884"/>
    <n v="-89.198599999999999"/>
    <n v="5"/>
    <n v="0"/>
    <n v="0"/>
    <n v="107"/>
    <s v="_x0000_peopl"/>
  </r>
  <r>
    <x v="6"/>
    <n v="13.687200000000001"/>
    <n v="-89.194500000000005"/>
    <n v="4"/>
    <n v="0"/>
    <n v="0"/>
    <n v="107"/>
    <s v="_x0000_peopl"/>
  </r>
  <r>
    <x v="6"/>
    <n v="13.689299999999999"/>
    <n v="-89.205399999999997"/>
    <n v="8"/>
    <n v="0"/>
    <n v="0"/>
    <n v="107"/>
    <s v="_x0000_peopl"/>
  </r>
  <r>
    <x v="6"/>
    <n v="13.687799999999999"/>
    <n v="-89.217100000000002"/>
    <n v="7"/>
    <n v="0"/>
    <n v="0"/>
    <n v="107"/>
    <s v="_x0000_peopl"/>
  </r>
  <r>
    <x v="6"/>
    <n v="13.690300000000001"/>
    <n v="-89.235100000000003"/>
    <n v="6"/>
    <n v="0"/>
    <n v="0"/>
    <n v="107"/>
    <s v="_x0000_peopl"/>
  </r>
  <r>
    <x v="6"/>
    <n v="13.6861"/>
    <n v="-89.193899999999999"/>
    <n v="6"/>
    <n v="0"/>
    <n v="0"/>
    <n v="107"/>
    <s v="_x0000_peopl"/>
  </r>
  <r>
    <x v="6"/>
    <n v="13.691700000000001"/>
    <n v="-89.226500000000001"/>
    <n v="5"/>
    <n v="0"/>
    <n v="0"/>
    <n v="107"/>
    <s v="_x0000_peopl"/>
  </r>
  <r>
    <x v="6"/>
    <n v="13.6874"/>
    <n v="-89.197199999999995"/>
    <n v="7"/>
    <n v="0"/>
    <n v="0"/>
    <n v="107"/>
    <s v="_x0000_peopl"/>
  </r>
  <r>
    <x v="6"/>
    <n v="13.69"/>
    <n v="-89.197699999999998"/>
    <n v="9"/>
    <n v="0"/>
    <n v="0"/>
    <n v="107"/>
    <s v="_x0000_peopl"/>
  </r>
  <r>
    <x v="6"/>
    <n v="13.692"/>
    <n v="-89.179500000000004"/>
    <n v="6"/>
    <n v="0"/>
    <n v="0"/>
    <n v="107"/>
    <s v="_x0000_peopl"/>
  </r>
  <r>
    <x v="6"/>
    <n v="13.6875"/>
    <n v="-89.215599999999995"/>
    <n v="6"/>
    <n v="0"/>
    <n v="0"/>
    <n v="107"/>
    <s v="_x0000_peopl"/>
  </r>
  <r>
    <x v="6"/>
    <n v="13.685700000000001"/>
    <n v="-89.193799999999996"/>
    <n v="5"/>
    <n v="0"/>
    <n v="0"/>
    <n v="107"/>
    <s v="_x0000_peopl"/>
  </r>
  <r>
    <x v="6"/>
    <n v="13.693300000000001"/>
    <n v="-89.188900000000004"/>
    <n v="2"/>
    <n v="0"/>
    <n v="0"/>
    <n v="107"/>
    <s v="_x0000_peopl"/>
  </r>
  <r>
    <x v="6"/>
    <n v="13.6958"/>
    <n v="-89.173299999999998"/>
    <n v="5"/>
    <n v="0"/>
    <n v="0"/>
    <n v="107"/>
    <s v="_x0000_peopl"/>
  </r>
  <r>
    <x v="6"/>
    <n v="13.676600000000001"/>
    <n v="-89.199600000000004"/>
    <n v="5"/>
    <n v="0"/>
    <n v="0"/>
    <n v="107"/>
    <s v="_x0000_peopl"/>
  </r>
  <r>
    <x v="6"/>
    <n v="13.691599999999999"/>
    <n v="-89.2209"/>
    <n v="6"/>
    <n v="0"/>
    <n v="0"/>
    <n v="107"/>
    <s v="_x0000_peopl"/>
  </r>
  <r>
    <x v="6"/>
    <n v="13.691000000000001"/>
    <n v="-89.1905"/>
    <n v="7"/>
    <n v="0"/>
    <n v="0"/>
    <n v="107"/>
    <s v="_x0000_peopl"/>
  </r>
  <r>
    <x v="6"/>
    <n v="13.6892"/>
    <n v="-89.197299999999998"/>
    <n v="5"/>
    <n v="0"/>
    <n v="0"/>
    <n v="107"/>
    <s v="_x0000_peopl"/>
  </r>
  <r>
    <x v="6"/>
    <n v="13.689399999999999"/>
    <n v="-89.204999999999998"/>
    <n v="7"/>
    <n v="0"/>
    <n v="0"/>
    <n v="107"/>
    <s v="_x0000_peopl"/>
  </r>
  <r>
    <x v="6"/>
    <n v="13.6874"/>
    <n v="-89.192300000000003"/>
    <n v="5"/>
    <n v="0"/>
    <n v="0"/>
    <n v="107"/>
    <s v="_x0000_peopl"/>
  </r>
  <r>
    <x v="6"/>
    <n v="13.686199999999999"/>
    <n v="-89.213200000000001"/>
    <n v="1"/>
    <n v="0"/>
    <n v="0"/>
    <n v="107"/>
    <s v="_x0000_peopl"/>
  </r>
  <r>
    <x v="6"/>
    <n v="13.696099999999999"/>
    <n v="-89.171800000000005"/>
    <n v="8"/>
    <n v="0"/>
    <n v="0"/>
    <n v="107"/>
    <s v="_x0000_peopl"/>
  </r>
  <r>
    <x v="6"/>
    <n v="13.687099999999999"/>
    <n v="-89.196600000000004"/>
    <n v="6"/>
    <n v="0"/>
    <n v="0"/>
    <n v="107"/>
    <s v="_x0000_peopl"/>
  </r>
  <r>
    <x v="6"/>
    <n v="13.690300000000001"/>
    <n v="-89.235100000000003"/>
    <n v="8"/>
    <n v="0"/>
    <n v="0"/>
    <n v="107"/>
    <s v="_x0000_peopl"/>
  </r>
  <r>
    <x v="6"/>
    <n v="13.696"/>
    <n v="-89.172700000000006"/>
    <n v="4"/>
    <n v="0"/>
    <n v="0"/>
    <n v="107"/>
    <s v="_x0000_peopl"/>
  </r>
  <r>
    <x v="6"/>
    <n v="13.684900000000001"/>
    <n v="-89.202699999999993"/>
    <n v="5"/>
    <n v="0"/>
    <n v="0"/>
    <n v="107"/>
    <s v="_x0000_peopl"/>
  </r>
  <r>
    <x v="6"/>
    <n v="13.693"/>
    <n v="-89.174099999999996"/>
    <n v="5"/>
    <n v="0"/>
    <n v="0"/>
    <n v="107"/>
    <s v="_x0000_peopl"/>
  </r>
  <r>
    <x v="6"/>
    <n v="13.6905"/>
    <n v="-89.227900000000005"/>
    <n v="4"/>
    <n v="0"/>
    <n v="0"/>
    <n v="107"/>
    <s v="_x0000_peopl"/>
  </r>
  <r>
    <x v="6"/>
    <n v="13.6913"/>
    <n v="-89.186700000000002"/>
    <n v="7"/>
    <n v="0"/>
    <n v="0"/>
    <n v="107"/>
    <s v="_x0000_peopl"/>
  </r>
  <r>
    <x v="6"/>
    <n v="13.6792"/>
    <n v="-89.196799999999996"/>
    <n v="4"/>
    <n v="0"/>
    <n v="0"/>
    <n v="107"/>
    <s v="_x0000_peopl"/>
  </r>
  <r>
    <x v="6"/>
    <n v="13.6897"/>
    <n v="-89.235500000000002"/>
    <n v="7"/>
    <n v="0"/>
    <n v="0"/>
    <n v="107"/>
    <s v="_x0000_peopl"/>
  </r>
  <r>
    <x v="6"/>
    <n v="13.6974"/>
    <n v="-89.171000000000006"/>
    <n v="4"/>
    <n v="0"/>
    <n v="0"/>
    <n v="107"/>
    <s v="_x0000_peopl"/>
  </r>
  <r>
    <x v="6"/>
    <n v="13.6861"/>
    <n v="-89.215100000000007"/>
    <n v="5"/>
    <n v="0"/>
    <n v="0"/>
    <n v="107"/>
    <s v="_x0000_peopl"/>
  </r>
  <r>
    <x v="6"/>
    <n v="13.6892"/>
    <n v="-89.203000000000003"/>
    <n v="10"/>
    <n v="0"/>
    <n v="0"/>
    <n v="107"/>
    <s v="_x0000_peopl"/>
  </r>
  <r>
    <x v="6"/>
    <n v="13.6868"/>
    <n v="-89.194599999999994"/>
    <n v="8"/>
    <n v="0"/>
    <n v="0"/>
    <n v="107"/>
    <s v="_x0000_peopl"/>
  </r>
  <r>
    <x v="6"/>
    <n v="13.691599999999999"/>
    <n v="-89.227099999999993"/>
    <n v="6"/>
    <n v="0"/>
    <n v="0"/>
    <n v="107"/>
    <s v="_x0000_peopl"/>
  </r>
  <r>
    <x v="6"/>
    <n v="13.674300000000001"/>
    <n v="-89.202399999999997"/>
    <n v="5"/>
    <n v="0"/>
    <n v="0"/>
    <n v="107"/>
    <s v="_x0000_peopl"/>
  </r>
  <r>
    <x v="6"/>
    <n v="13.6853"/>
    <n v="-89.193100000000001"/>
    <n v="4"/>
    <n v="0"/>
    <n v="0"/>
    <n v="107"/>
    <s v="_x0000_peopl"/>
  </r>
  <r>
    <x v="6"/>
    <n v="13.6896"/>
    <n v="-89.185500000000005"/>
    <n v="5"/>
    <n v="0"/>
    <n v="0"/>
    <n v="107"/>
    <s v="_x0000_peopl"/>
  </r>
  <r>
    <x v="6"/>
    <n v="13.6905"/>
    <n v="-89.188800000000001"/>
    <n v="9"/>
    <n v="0"/>
    <n v="0"/>
    <n v="107"/>
    <s v="_x0000_peopl"/>
  </r>
  <r>
    <x v="6"/>
    <n v="13.686400000000001"/>
    <n v="-89.215299999999999"/>
    <n v="8"/>
    <n v="0"/>
    <n v="0"/>
    <n v="107"/>
    <s v="_x0000_peopl"/>
  </r>
  <r>
    <x v="6"/>
    <n v="13.6906"/>
    <n v="-89.234499999999997"/>
    <n v="6"/>
    <n v="0"/>
    <n v="0"/>
    <n v="107"/>
    <s v="_x0000_peopl"/>
  </r>
  <r>
    <x v="6"/>
    <n v="13.6861"/>
    <n v="-89.201700000000002"/>
    <n v="7"/>
    <n v="0"/>
    <n v="0"/>
    <n v="107"/>
    <s v="_x0000_peopl"/>
  </r>
  <r>
    <x v="6"/>
    <n v="13.680099999999999"/>
    <n v="-89.195999999999998"/>
    <n v="7"/>
    <n v="0"/>
    <n v="0"/>
    <n v="107"/>
    <s v="_x0000_peopl"/>
  </r>
  <r>
    <x v="6"/>
    <n v="13.690099999999999"/>
    <n v="-89.228499999999997"/>
    <n v="6"/>
    <n v="0"/>
    <n v="0"/>
    <n v="107"/>
    <s v="_x0000_peopl"/>
  </r>
  <r>
    <x v="6"/>
    <n v="13.6874"/>
    <n v="-89.195599999999999"/>
    <n v="3"/>
    <n v="0"/>
    <n v="0"/>
    <n v="107"/>
    <s v="_x0000_peopl"/>
  </r>
  <r>
    <x v="6"/>
    <n v="13.692500000000001"/>
    <n v="-89.178100000000001"/>
    <n v="4"/>
    <n v="0"/>
    <n v="0"/>
    <n v="107"/>
    <s v="_x0000_peopl"/>
  </r>
  <r>
    <x v="6"/>
    <n v="13.690799999999999"/>
    <n v="-89.231899999999996"/>
    <n v="4"/>
    <n v="0"/>
    <n v="0"/>
    <n v="107"/>
    <s v="_x0000_peopl"/>
  </r>
  <r>
    <x v="6"/>
    <n v="13.687799999999999"/>
    <n v="-89.215400000000002"/>
    <n v="6"/>
    <n v="0"/>
    <n v="0"/>
    <n v="107"/>
    <s v="_x0000_peopl"/>
  </r>
  <r>
    <x v="6"/>
    <n v="13.687200000000001"/>
    <n v="-89.195899999999995"/>
    <n v="3"/>
    <n v="0"/>
    <n v="0"/>
    <n v="107"/>
    <s v="_x0000_peopl"/>
  </r>
  <r>
    <x v="6"/>
    <n v="13.672700000000001"/>
    <n v="-89.204599999999999"/>
    <n v="2"/>
    <n v="0"/>
    <n v="0"/>
    <n v="107"/>
    <s v="_x0000_peopl"/>
  </r>
  <r>
    <x v="6"/>
    <n v="13.6774"/>
    <n v="-89.246600000000001"/>
    <n v="6"/>
    <n v="0"/>
    <n v="0"/>
    <n v="107"/>
    <s v="_x0000_peopl"/>
  </r>
  <r>
    <x v="6"/>
    <n v="13.692399999999999"/>
    <n v="-89.222399999999993"/>
    <n v="6"/>
    <n v="0"/>
    <n v="0"/>
    <n v="107"/>
    <s v="_x0000_peopl"/>
  </r>
  <r>
    <x v="6"/>
    <n v="13.696"/>
    <n v="-89.1721"/>
    <n v="6"/>
    <n v="0"/>
    <n v="0"/>
    <n v="107"/>
    <s v="_x0000_peopl"/>
  </r>
  <r>
    <x v="6"/>
    <n v="13.686999999999999"/>
    <n v="-89.194100000000006"/>
    <n v="3"/>
    <n v="0"/>
    <n v="0"/>
    <n v="107"/>
    <s v="_x0000_peopl"/>
  </r>
  <r>
    <x v="6"/>
    <n v="13.6851"/>
    <n v="-89.2119"/>
    <n v="8"/>
    <n v="0"/>
    <n v="0"/>
    <n v="107"/>
    <s v="_x0000_peopl"/>
  </r>
  <r>
    <x v="6"/>
    <n v="13.6866"/>
    <n v="-89.192999999999998"/>
    <n v="6"/>
    <n v="0"/>
    <n v="0"/>
    <n v="107"/>
    <s v="_x0000_peopl"/>
  </r>
  <r>
    <x v="6"/>
    <n v="13.691599999999999"/>
    <n v="-89.188100000000006"/>
    <n v="8"/>
    <n v="0"/>
    <n v="0"/>
    <n v="107"/>
    <s v="_x0000_peopl"/>
  </r>
  <r>
    <x v="6"/>
    <n v="13.6868"/>
    <n v="-89.182400000000001"/>
    <n v="8"/>
    <n v="0"/>
    <n v="0"/>
    <n v="107"/>
    <s v="_x0000_peopl"/>
  </r>
  <r>
    <x v="6"/>
    <n v="13.6873"/>
    <n v="-89.193899999999999"/>
    <n v="5"/>
    <n v="0"/>
    <n v="0"/>
    <n v="107"/>
    <s v="_x0000_peopl"/>
  </r>
  <r>
    <x v="6"/>
    <n v="13.6935"/>
    <n v="-89.173199999999994"/>
    <n v="3"/>
    <n v="0"/>
    <n v="0"/>
    <n v="107"/>
    <s v="_x0000_peopl"/>
  </r>
  <r>
    <x v="6"/>
    <n v="13.6875"/>
    <n v="-89.1965"/>
    <n v="6"/>
    <n v="0"/>
    <n v="0"/>
    <n v="107"/>
    <s v="_x0000_peopl"/>
  </r>
  <r>
    <x v="6"/>
    <n v="13.6935"/>
    <n v="-89.177199999999999"/>
    <n v="9"/>
    <n v="0"/>
    <n v="0"/>
    <n v="107"/>
    <s v="_x0000_peopl"/>
  </r>
  <r>
    <x v="6"/>
    <n v="13.6873"/>
    <n v="-89.211299999999994"/>
    <n v="3"/>
    <n v="0"/>
    <n v="0"/>
    <n v="107"/>
    <s v="_x0000_peopl"/>
  </r>
  <r>
    <x v="6"/>
    <n v="13.692"/>
    <n v="-89.223399999999998"/>
    <n v="8"/>
    <n v="0"/>
    <n v="0"/>
    <n v="107"/>
    <s v="_x0000_peopl"/>
  </r>
  <r>
    <x v="6"/>
    <n v="13.690799999999999"/>
    <n v="-89.197599999999994"/>
    <n v="7"/>
    <n v="0"/>
    <n v="0"/>
    <n v="107"/>
    <s v="_x0000_peopl"/>
  </r>
  <r>
    <x v="6"/>
    <n v="13.690899999999999"/>
    <n v="-89.235900000000001"/>
    <n v="8"/>
    <n v="0"/>
    <n v="0"/>
    <n v="107"/>
    <s v="_x0000_peopl"/>
  </r>
  <r>
    <x v="6"/>
    <n v="13.691599999999999"/>
    <n v="-89.179599999999994"/>
    <n v="4"/>
    <n v="0"/>
    <n v="0"/>
    <n v="107"/>
    <s v="_x0000_peopl"/>
  </r>
  <r>
    <x v="6"/>
    <n v="13.6877"/>
    <n v="-89.194599999999994"/>
    <n v="2"/>
    <n v="0"/>
    <n v="0"/>
    <n v="107"/>
    <s v="_x0000_peopl"/>
  </r>
  <r>
    <x v="6"/>
    <n v="13.6905"/>
    <n v="-89.196100000000001"/>
    <n v="7"/>
    <n v="0"/>
    <n v="0"/>
    <n v="107"/>
    <s v="_x0000_peopl"/>
  </r>
  <r>
    <x v="6"/>
    <n v="13.685499999999999"/>
    <n v="-89.193600000000004"/>
    <n v="4"/>
    <n v="0"/>
    <n v="0"/>
    <n v="107"/>
    <s v="_x0000_peopl"/>
  </r>
  <r>
    <x v="6"/>
    <n v="13.6922"/>
    <n v="-89.223299999999995"/>
    <n v="2"/>
    <n v="0"/>
    <n v="0"/>
    <n v="107"/>
    <s v="_x0000_peopl"/>
  </r>
  <r>
    <x v="6"/>
    <n v="13.6752"/>
    <n v="-89.248500000000007"/>
    <n v="6"/>
    <n v="0"/>
    <n v="0"/>
    <n v="107"/>
    <s v="_x0000_peopl"/>
  </r>
  <r>
    <x v="6"/>
    <n v="13.6921"/>
    <n v="-89.222099999999998"/>
    <n v="1"/>
    <n v="0"/>
    <n v="0"/>
    <n v="107"/>
    <s v="_x0000_peopl"/>
  </r>
  <r>
    <x v="6"/>
    <n v="13.672000000000001"/>
    <n v="-89.204999999999998"/>
    <n v="6"/>
    <n v="0"/>
    <n v="0"/>
    <n v="107"/>
    <s v="_x0000_peopl"/>
  </r>
  <r>
    <x v="6"/>
    <n v="13.679500000000001"/>
    <n v="-89.197199999999995"/>
    <n v="9"/>
    <n v="0"/>
    <n v="0"/>
    <n v="107"/>
    <s v="_x0000_peopl"/>
  </r>
  <r>
    <x v="6"/>
    <n v="13.694599999999999"/>
    <n v="-89.183000000000007"/>
    <n v="5"/>
    <n v="0"/>
    <n v="0"/>
    <n v="107"/>
    <s v="_x0000_peopl"/>
  </r>
  <r>
    <x v="6"/>
    <n v="13.673400000000001"/>
    <n v="-89.251499999999993"/>
    <n v="10"/>
    <n v="0"/>
    <n v="0"/>
    <n v="107"/>
    <s v="_x0000_peopl"/>
  </r>
  <r>
    <x v="6"/>
    <n v="13.688499999999999"/>
    <n v="-89.180899999999994"/>
    <n v="3"/>
    <n v="0"/>
    <n v="0"/>
    <n v="107"/>
    <s v="_x0000_peopl"/>
  </r>
  <r>
    <x v="6"/>
    <n v="13.69"/>
    <n v="-89.235900000000001"/>
    <n v="3"/>
    <n v="0"/>
    <n v="0"/>
    <n v="107"/>
    <s v="_x0000_peopl"/>
  </r>
  <r>
    <x v="6"/>
    <n v="13.687799999999999"/>
    <n v="-89.181399999999996"/>
    <n v="7"/>
    <n v="0"/>
    <n v="0"/>
    <n v="107"/>
    <s v="_x0000_peopl"/>
  </r>
  <r>
    <x v="6"/>
    <n v="13.6883"/>
    <n v="-89.217100000000002"/>
    <n v="3"/>
    <n v="0"/>
    <n v="0"/>
    <n v="107"/>
    <s v="_x0000_peopl"/>
  </r>
  <r>
    <x v="6"/>
    <n v="13.6914"/>
    <n v="-89.186599999999999"/>
    <n v="8"/>
    <n v="0"/>
    <n v="0"/>
    <n v="107"/>
    <s v="_x0000_peopl"/>
  </r>
  <r>
    <x v="6"/>
    <n v="13.6746"/>
    <n v="-89.251999999999995"/>
    <n v="8"/>
    <n v="0"/>
    <n v="0"/>
    <n v="107"/>
    <s v="_x0000_peopl"/>
  </r>
  <r>
    <x v="6"/>
    <n v="13.690799999999999"/>
    <n v="-89.190700000000007"/>
    <n v="4"/>
    <n v="0"/>
    <n v="0"/>
    <n v="107"/>
    <s v="_x0000_peopl"/>
  </r>
  <r>
    <x v="6"/>
    <n v="13.690799999999999"/>
    <n v="-89.228999999999999"/>
    <n v="10"/>
    <n v="0"/>
    <n v="0"/>
    <n v="107"/>
    <s v="_x0000_peopl"/>
  </r>
  <r>
    <x v="6"/>
    <n v="13.684900000000001"/>
    <n v="-89.213700000000003"/>
    <n v="5"/>
    <n v="0"/>
    <n v="0"/>
    <n v="107"/>
    <s v="_x0000_peopl"/>
  </r>
  <r>
    <x v="6"/>
    <n v="13.6813"/>
    <n v="-89.1952"/>
    <n v="1"/>
    <n v="0"/>
    <n v="0"/>
    <n v="107"/>
    <s v="_x0000_peopl"/>
  </r>
  <r>
    <x v="6"/>
    <n v="13.696199999999999"/>
    <n v="-89.171999999999997"/>
    <n v="2"/>
    <n v="0"/>
    <n v="0"/>
    <n v="107"/>
    <s v="_x0000_peopl"/>
  </r>
  <r>
    <x v="6"/>
    <n v="13.6907"/>
    <n v="-89.194199999999995"/>
    <n v="2"/>
    <n v="0"/>
    <n v="0"/>
    <n v="107"/>
    <s v="_x0000_peopl"/>
  </r>
  <r>
    <x v="6"/>
    <n v="13.6945"/>
    <n v="-89.183300000000003"/>
    <n v="4"/>
    <n v="0"/>
    <n v="0"/>
    <n v="107"/>
    <s v="_x0000_peopl"/>
  </r>
  <r>
    <x v="6"/>
    <n v="13.6921"/>
    <n v="-89.1785"/>
    <n v="5"/>
    <n v="0"/>
    <n v="0"/>
    <n v="107"/>
    <s v="_x0000_peopl"/>
  </r>
  <r>
    <x v="6"/>
    <n v="13.6905"/>
    <n v="-89.189099999999996"/>
    <n v="3"/>
    <n v="0"/>
    <n v="0"/>
    <n v="107"/>
    <s v="_x0000_peopl"/>
  </r>
  <r>
    <x v="6"/>
    <n v="13.6951"/>
    <n v="-89.174899999999994"/>
    <n v="4"/>
    <n v="0"/>
    <n v="0"/>
    <n v="107"/>
    <s v="_x0000_peopl"/>
  </r>
  <r>
    <x v="6"/>
    <n v="13.6958"/>
    <n v="-89.173299999999998"/>
    <n v="5"/>
    <n v="0"/>
    <n v="0"/>
    <n v="107"/>
    <s v="_x0000_peopl"/>
  </r>
  <r>
    <x v="6"/>
    <n v="13.686400000000001"/>
    <n v="-89.215999999999994"/>
    <n v="4"/>
    <n v="0"/>
    <n v="0"/>
    <n v="107"/>
    <s v="_x0000_peopl"/>
  </r>
  <r>
    <x v="6"/>
    <n v="13.6912"/>
    <n v="-89.2196"/>
    <n v="7"/>
    <n v="0"/>
    <n v="0"/>
    <n v="107"/>
    <s v="_x0000_peopl"/>
  </r>
  <r>
    <x v="6"/>
    <n v="13.6915"/>
    <n v="-89.233400000000003"/>
    <n v="4"/>
    <n v="0"/>
    <n v="0"/>
    <n v="107"/>
    <s v="_x0000_peopl"/>
  </r>
  <r>
    <x v="6"/>
    <n v="13.6959"/>
    <n v="-89.165899999999993"/>
    <n v="3"/>
    <n v="0"/>
    <n v="0"/>
    <n v="107"/>
    <s v="_x0000_peopl"/>
  </r>
  <r>
    <x v="6"/>
    <n v="13.6945"/>
    <n v="-89.183300000000003"/>
    <n v="4"/>
    <n v="0"/>
    <n v="0"/>
    <n v="107"/>
    <s v="_x0000_peopl"/>
  </r>
  <r>
    <x v="6"/>
    <n v="13.6868"/>
    <n v="-89.182900000000004"/>
    <n v="4"/>
    <n v="0"/>
    <n v="0"/>
    <n v="107"/>
    <s v="_x0000_peopl"/>
  </r>
  <r>
    <x v="6"/>
    <n v="13.692"/>
    <n v="-89.194299999999998"/>
    <n v="3"/>
    <n v="0"/>
    <n v="0"/>
    <n v="107"/>
    <s v="_x0000_peopl"/>
  </r>
  <r>
    <x v="6"/>
    <n v="13.678100000000001"/>
    <n v="-89.1965"/>
    <n v="5"/>
    <n v="0"/>
    <n v="0"/>
    <n v="107"/>
    <s v="_x0000_peopl"/>
  </r>
  <r>
    <x v="6"/>
    <n v="13.6921"/>
    <n v="-89.224000000000004"/>
    <n v="7"/>
    <n v="0"/>
    <n v="0"/>
    <n v="107"/>
    <s v="_x0000_peopl"/>
  </r>
  <r>
    <x v="6"/>
    <n v="13.6934"/>
    <n v="-89.188699999999997"/>
    <n v="6"/>
    <n v="0"/>
    <n v="0"/>
    <n v="107"/>
    <s v="_x0000_peopl"/>
  </r>
  <r>
    <x v="6"/>
    <n v="13.689500000000001"/>
    <n v="-89.179199999999994"/>
    <n v="7"/>
    <n v="0"/>
    <n v="0"/>
    <n v="107"/>
    <s v="_x0000_peopl"/>
  </r>
  <r>
    <x v="6"/>
    <n v="13.6904"/>
    <n v="-89.217399999999998"/>
    <n v="0"/>
    <n v="0"/>
    <n v="0"/>
    <n v="107"/>
    <s v="_x0000_peopl"/>
  </r>
  <r>
    <x v="6"/>
    <n v="13.685700000000001"/>
    <n v="-89.214799999999997"/>
    <n v="6"/>
    <n v="0"/>
    <n v="0"/>
    <n v="107"/>
    <s v="_x0000_peopl"/>
  </r>
  <r>
    <x v="6"/>
    <n v="13.6875"/>
    <n v="-89.195700000000002"/>
    <n v="2"/>
    <n v="0"/>
    <n v="0"/>
    <n v="107"/>
    <s v="_x0000_peopl"/>
  </r>
  <r>
    <x v="6"/>
    <n v="13.6769"/>
    <n v="-89.247299999999996"/>
    <n v="5"/>
    <n v="0"/>
    <n v="0"/>
    <n v="107"/>
    <s v="_x0000_peopl"/>
  </r>
  <r>
    <x v="6"/>
    <n v="13.696"/>
    <n v="-89.172499999999999"/>
    <n v="3"/>
    <n v="0"/>
    <n v="0"/>
    <n v="107"/>
    <s v="_x0000_peopl"/>
  </r>
  <r>
    <x v="6"/>
    <n v="13.69"/>
    <n v="-89.236099999999993"/>
    <n v="4"/>
    <n v="0"/>
    <n v="0"/>
    <n v="107"/>
    <s v="_x0000_peopl"/>
  </r>
  <r>
    <x v="6"/>
    <n v="13.690899999999999"/>
    <n v="-89.228800000000007"/>
    <n v="8"/>
    <n v="0"/>
    <n v="0"/>
    <n v="107"/>
    <s v="_x0000_peopl"/>
  </r>
  <r>
    <x v="6"/>
    <n v="13.6845"/>
    <n v="-89.211699999999993"/>
    <n v="6"/>
    <n v="0"/>
    <n v="0"/>
    <n v="107"/>
    <s v="_x0000_peopl"/>
  </r>
  <r>
    <x v="6"/>
    <n v="13.6914"/>
    <n v="-89.225999999999999"/>
    <n v="7"/>
    <n v="0"/>
    <n v="0"/>
    <n v="107"/>
    <s v="_x0000_peopl"/>
  </r>
  <r>
    <x v="6"/>
    <n v="13.687099999999999"/>
    <n v="-89.182400000000001"/>
    <n v="4"/>
    <n v="0"/>
    <n v="0"/>
    <n v="107"/>
    <s v="_x0000_peopl"/>
  </r>
  <r>
    <x v="6"/>
    <n v="13.6921"/>
    <n v="-89.194400000000002"/>
    <n v="4"/>
    <n v="0"/>
    <n v="0"/>
    <n v="107"/>
    <s v="_x0000_peopl"/>
  </r>
  <r>
    <x v="6"/>
    <n v="13.689299999999999"/>
    <n v="-89.207800000000006"/>
    <n v="3"/>
    <n v="0"/>
    <n v="0"/>
    <n v="107"/>
    <s v="_x0000_peopl"/>
  </r>
  <r>
    <x v="6"/>
    <n v="13.6874"/>
    <n v="-89.1935"/>
    <n v="6"/>
    <n v="0"/>
    <n v="0"/>
    <n v="107"/>
    <s v="_x0000_peopl"/>
  </r>
  <r>
    <x v="6"/>
    <n v="13.6967"/>
    <n v="-89.171700000000001"/>
    <n v="5"/>
    <n v="0"/>
    <n v="0"/>
    <n v="107"/>
    <s v="_x0000_peopl"/>
  </r>
  <r>
    <x v="6"/>
    <n v="13.6905"/>
    <n v="-89.231999999999999"/>
    <n v="4"/>
    <n v="0"/>
    <n v="0"/>
    <n v="107"/>
    <s v="_x0000_peopl"/>
  </r>
  <r>
    <x v="6"/>
    <n v="13.693899999999999"/>
    <n v="-89.173199999999994"/>
    <n v="3"/>
    <n v="0"/>
    <n v="0"/>
    <n v="107"/>
    <s v="_x0000_peopl"/>
  </r>
  <r>
    <x v="6"/>
    <n v="13.6873"/>
    <n v="-89.193899999999999"/>
    <n v="5"/>
    <n v="0"/>
    <n v="0"/>
    <n v="107"/>
    <s v="_x0000_peopl"/>
  </r>
  <r>
    <x v="6"/>
    <n v="13.6747"/>
    <n v="-89.252200000000002"/>
    <n v="10"/>
    <n v="0"/>
    <n v="0"/>
    <n v="107"/>
    <s v="_x0000_peopl"/>
  </r>
  <r>
    <x v="6"/>
    <n v="13.6874"/>
    <n v="-89.196700000000007"/>
    <n v="5"/>
    <n v="0"/>
    <n v="0"/>
    <n v="107"/>
    <s v="_x0000_peopl"/>
  </r>
  <r>
    <x v="6"/>
    <n v="13.6981"/>
    <n v="-89.169300000000007"/>
    <n v="9"/>
    <n v="0"/>
    <n v="0"/>
    <n v="107"/>
    <s v="_x0000_peopl"/>
  </r>
  <r>
    <x v="6"/>
    <n v="13.686500000000001"/>
    <n v="-89.216399999999993"/>
    <n v="4"/>
    <n v="0"/>
    <n v="0"/>
    <n v="107"/>
    <s v="_x0000_peopl"/>
  </r>
  <r>
    <x v="6"/>
    <n v="13.687799999999999"/>
    <n v="-89.196899999999999"/>
    <n v="9"/>
    <n v="0"/>
    <n v="0"/>
    <n v="107"/>
    <s v="_x0000_peopl"/>
  </r>
  <r>
    <x v="6"/>
    <n v="13.692299999999999"/>
    <n v="-89.184700000000007"/>
    <n v="8"/>
    <n v="0"/>
    <n v="0"/>
    <n v="107"/>
    <s v="_x0000_peopl"/>
  </r>
  <r>
    <x v="6"/>
    <n v="13.6775"/>
    <n v="-89.246700000000004"/>
    <n v="5"/>
    <n v="0"/>
    <n v="0"/>
    <n v="107"/>
    <s v="_x0000_peopl"/>
  </r>
  <r>
    <x v="6"/>
    <n v="13.6853"/>
    <n v="-89.217399999999998"/>
    <n v="3"/>
    <n v="0"/>
    <n v="0"/>
    <n v="107"/>
    <s v="_x0000_peopl"/>
  </r>
  <r>
    <x v="6"/>
    <n v="13.686"/>
    <n v="-89.211200000000005"/>
    <n v="1"/>
    <n v="0"/>
    <n v="0"/>
    <n v="107"/>
    <s v="_x0000_peopl"/>
  </r>
  <r>
    <x v="6"/>
    <n v="13.686400000000001"/>
    <n v="-89.2119"/>
    <n v="6"/>
    <n v="0"/>
    <n v="0"/>
    <n v="107"/>
    <s v="_x0000_peopl"/>
  </r>
  <r>
    <x v="6"/>
    <n v="13.6778"/>
    <n v="-89.245800000000003"/>
    <n v="2"/>
    <n v="0"/>
    <n v="0"/>
    <n v="107"/>
    <s v="_x0000_peopl"/>
  </r>
  <r>
    <x v="6"/>
    <n v="13.672499999999999"/>
    <n v="-89.204599999999999"/>
    <n v="4"/>
    <n v="0"/>
    <n v="0"/>
    <n v="107"/>
    <s v="_x0000_peopl"/>
  </r>
  <r>
    <x v="6"/>
    <n v="13.687799999999999"/>
    <n v="-89.205100000000002"/>
    <n v="2"/>
    <n v="0"/>
    <n v="0"/>
    <n v="107"/>
    <s v="_x0000_peopl"/>
  </r>
  <r>
    <x v="6"/>
    <n v="13.6752"/>
    <n v="-89.200100000000006"/>
    <n v="11"/>
    <n v="0"/>
    <n v="0"/>
    <n v="107"/>
    <s v="_x0000_peopl"/>
  </r>
  <r>
    <x v="6"/>
    <n v="13.693199999999999"/>
    <n v="-89.177499999999995"/>
    <n v="7"/>
    <n v="0"/>
    <n v="0"/>
    <n v="107"/>
    <s v="_x0000_peopl"/>
  </r>
  <r>
    <x v="6"/>
    <n v="13.6858"/>
    <n v="-89.215500000000006"/>
    <n v="3"/>
    <n v="0"/>
    <n v="0"/>
    <n v="107"/>
    <s v="_x0000_peopl"/>
  </r>
  <r>
    <x v="6"/>
    <n v="13.6896"/>
    <n v="-89.189499999999995"/>
    <n v="7"/>
    <n v="0"/>
    <n v="0"/>
    <n v="107"/>
    <s v="_x0000_peopl"/>
  </r>
  <r>
    <x v="6"/>
    <n v="13.6852"/>
    <n v="-89.217200000000005"/>
    <n v="8"/>
    <n v="0"/>
    <n v="0"/>
    <n v="107"/>
    <s v="_x0000_peopl"/>
  </r>
  <r>
    <x v="6"/>
    <n v="13.691599999999999"/>
    <n v="-89.233199999999997"/>
    <n v="6"/>
    <n v="0"/>
    <n v="0"/>
    <n v="107"/>
    <s v="_x0000_peopl"/>
  </r>
  <r>
    <x v="6"/>
    <n v="13.6927"/>
    <n v="-89.175899999999999"/>
    <n v="6"/>
    <n v="0"/>
    <n v="0"/>
    <n v="107"/>
    <s v="_x0000_peopl"/>
  </r>
  <r>
    <x v="6"/>
    <n v="13.690899999999999"/>
    <n v="-89.179199999999994"/>
    <n v="5"/>
    <n v="0"/>
    <n v="0"/>
    <n v="107"/>
    <s v="_x0000_peopl"/>
  </r>
  <r>
    <x v="6"/>
    <n v="13.685499999999999"/>
    <n v="-89.211200000000005"/>
    <n v="11"/>
    <n v="0"/>
    <n v="0"/>
    <n v="107"/>
    <s v="_x0000_peopl"/>
  </r>
  <r>
    <x v="6"/>
    <n v="13.685499999999999"/>
    <n v="-89.211399999999998"/>
    <n v="5"/>
    <n v="0"/>
    <n v="0"/>
    <n v="107"/>
    <s v="_x0000_peopl"/>
  </r>
  <r>
    <x v="6"/>
    <n v="13.690200000000001"/>
    <n v="-89.190100000000001"/>
    <n v="1"/>
    <n v="0"/>
    <n v="0"/>
    <n v="107"/>
    <s v="_x0000_peopl"/>
  </r>
  <r>
    <x v="6"/>
    <n v="13.6898"/>
    <n v="-89.197800000000001"/>
    <n v="8"/>
    <n v="0"/>
    <n v="0"/>
    <n v="107"/>
    <s v="_x0000_peopl"/>
  </r>
  <r>
    <x v="6"/>
    <n v="13.6911"/>
    <n v="-89.229799999999997"/>
    <n v="7"/>
    <n v="0"/>
    <n v="0"/>
    <n v="107"/>
    <s v="_x0000_peopl"/>
  </r>
  <r>
    <x v="6"/>
    <n v="13.6921"/>
    <n v="-89.223799999999997"/>
    <n v="7"/>
    <n v="0"/>
    <n v="0"/>
    <n v="107"/>
    <s v="_x0000_peopl"/>
  </r>
  <r>
    <x v="6"/>
    <n v="13.694900000000001"/>
    <n v="-89.174300000000002"/>
    <n v="8"/>
    <n v="0"/>
    <n v="0"/>
    <n v="107"/>
    <s v="_x0000_peopl"/>
  </r>
  <r>
    <x v="6"/>
    <n v="13.6905"/>
    <n v="-89.235500000000002"/>
    <n v="4"/>
    <n v="0"/>
    <n v="0"/>
    <n v="107"/>
    <s v="_x0000_peopl"/>
  </r>
  <r>
    <x v="6"/>
    <n v="13.6868"/>
    <n v="-89.194400000000002"/>
    <n v="4"/>
    <n v="0"/>
    <n v="0"/>
    <n v="107"/>
    <s v="_x0000_peopl"/>
  </r>
  <r>
    <x v="6"/>
    <n v="13.688000000000001"/>
    <n v="-89.198899999999995"/>
    <n v="3"/>
    <n v="0"/>
    <n v="0"/>
    <n v="107"/>
    <s v="_x0000_peopl"/>
  </r>
  <r>
    <x v="6"/>
    <n v="13.6868"/>
    <n v="-89.214699999999993"/>
    <n v="8"/>
    <n v="0"/>
    <n v="0"/>
    <n v="107"/>
    <s v="_x0000_peopl"/>
  </r>
  <r>
    <x v="6"/>
    <n v="13.6869"/>
    <n v="-89.181200000000004"/>
    <n v="5"/>
    <n v="0"/>
    <n v="0"/>
    <n v="107"/>
    <s v="_x0000_peopl"/>
  </r>
  <r>
    <x v="6"/>
    <n v="13.6944"/>
    <n v="-89.185400000000001"/>
    <n v="5"/>
    <n v="0"/>
    <n v="0"/>
    <n v="107"/>
    <s v="_x0000_peopl"/>
  </r>
  <r>
    <x v="6"/>
    <n v="13.690899999999999"/>
    <n v="-89.232799999999997"/>
    <n v="3"/>
    <n v="0"/>
    <n v="0"/>
    <n v="107"/>
    <s v="_x0000_peopl"/>
  </r>
  <r>
    <x v="6"/>
    <n v="13.695499999999999"/>
    <n v="-89.174499999999995"/>
    <n v="3"/>
    <n v="0"/>
    <n v="0"/>
    <n v="107"/>
    <s v="_x0000_peopl"/>
  </r>
  <r>
    <x v="6"/>
    <n v="13.6869"/>
    <n v="-89.183800000000005"/>
    <n v="1"/>
    <n v="0"/>
    <n v="0"/>
    <n v="107"/>
    <s v="_x0000_peopl"/>
  </r>
  <r>
    <x v="6"/>
    <n v="13.6953"/>
    <n v="-89.174099999999996"/>
    <n v="5"/>
    <n v="0"/>
    <n v="0"/>
    <n v="107"/>
    <s v="_x0000_peopl"/>
  </r>
  <r>
    <x v="6"/>
    <n v="13.690899999999999"/>
    <n v="-89.190600000000003"/>
    <n v="8"/>
    <n v="0"/>
    <n v="0"/>
    <n v="107"/>
    <s v="_x0000_peopl"/>
  </r>
  <r>
    <x v="6"/>
    <n v="13.6959"/>
    <n v="-89.172399999999996"/>
    <n v="6"/>
    <n v="0"/>
    <n v="0"/>
    <n v="107"/>
    <s v="_x0000_peopl"/>
  </r>
  <r>
    <x v="6"/>
    <n v="13.6913"/>
    <n v="-89.228499999999997"/>
    <n v="3"/>
    <n v="0"/>
    <n v="0"/>
    <n v="107"/>
    <s v="_x0000_peopl"/>
  </r>
  <r>
    <x v="6"/>
    <n v="13.685700000000001"/>
    <n v="-89.202100000000002"/>
    <n v="6"/>
    <n v="0"/>
    <n v="0"/>
    <n v="107"/>
    <s v="_x0000_peopl"/>
  </r>
  <r>
    <x v="6"/>
    <n v="13.6914"/>
    <n v="-89.178700000000006"/>
    <n v="6"/>
    <n v="0"/>
    <n v="0"/>
    <n v="107"/>
    <s v="_x0000_peopl"/>
  </r>
  <r>
    <x v="6"/>
    <n v="13.6874"/>
    <n v="-89.191500000000005"/>
    <n v="4"/>
    <n v="0"/>
    <n v="0"/>
    <n v="107"/>
    <s v="_x0000_peopl"/>
  </r>
  <r>
    <x v="6"/>
    <n v="13.692600000000001"/>
    <n v="-89.175700000000006"/>
    <n v="9"/>
    <n v="0"/>
    <n v="0"/>
    <n v="107"/>
    <s v="_x0000_peopl"/>
  </r>
  <r>
    <x v="6"/>
    <n v="13.6915"/>
    <n v="-89.233800000000002"/>
    <n v="4"/>
    <n v="0"/>
    <n v="0"/>
    <n v="107"/>
    <s v="_x0000_peopl"/>
  </r>
  <r>
    <x v="6"/>
    <n v="13.690899999999999"/>
    <n v="-89.231399999999994"/>
    <n v="6"/>
    <n v="0"/>
    <n v="0"/>
    <n v="107"/>
    <s v="_x0000_peopl"/>
  </r>
  <r>
    <x v="6"/>
    <n v="13.6882"/>
    <n v="-89.215299999999999"/>
    <n v="4"/>
    <n v="0"/>
    <n v="0"/>
    <n v="107"/>
    <s v="_x0000_peopl"/>
  </r>
  <r>
    <x v="6"/>
    <n v="13.6896"/>
    <n v="-89.216899999999995"/>
    <n v="4"/>
    <n v="0"/>
    <n v="0"/>
    <n v="107"/>
    <s v="_x0000_peopl"/>
  </r>
  <r>
    <x v="6"/>
    <n v="13.6912"/>
    <n v="-89.2346"/>
    <n v="7"/>
    <n v="0"/>
    <n v="0"/>
    <n v="107"/>
    <s v="_x0000_peopl"/>
  </r>
  <r>
    <x v="6"/>
    <n v="13.694100000000001"/>
    <n v="-89.176500000000004"/>
    <n v="8"/>
    <n v="0"/>
    <n v="0"/>
    <n v="107"/>
    <s v="_x0000_peopl"/>
  </r>
  <r>
    <x v="6"/>
    <n v="13.6914"/>
    <n v="-89.228499999999997"/>
    <n v="3"/>
    <n v="0"/>
    <n v="0"/>
    <n v="107"/>
    <s v="_x0000_peopl"/>
  </r>
  <r>
    <x v="6"/>
    <n v="13.6898"/>
    <n v="-89.184899999999999"/>
    <n v="6"/>
    <n v="0"/>
    <n v="0"/>
    <n v="107"/>
    <s v="_x0000_peopl"/>
  </r>
  <r>
    <x v="6"/>
    <n v="13.6913"/>
    <n v="-89.233599999999996"/>
    <n v="5"/>
    <n v="0"/>
    <n v="0"/>
    <n v="107"/>
    <s v="_x0000_peopl"/>
  </r>
  <r>
    <x v="6"/>
    <n v="13.6944"/>
    <n v="-89.183300000000003"/>
    <n v="2"/>
    <n v="0"/>
    <n v="0"/>
    <n v="107"/>
    <s v="_x0000_peopl"/>
  </r>
  <r>
    <x v="6"/>
    <n v="13.692500000000001"/>
    <n v="-89.223799999999997"/>
    <n v="4"/>
    <n v="0"/>
    <n v="0"/>
    <n v="107"/>
    <s v="_x0000_peopl"/>
  </r>
  <r>
    <x v="6"/>
    <n v="13.674200000000001"/>
    <n v="-89.252499999999998"/>
    <n v="8"/>
    <n v="0"/>
    <n v="0"/>
    <n v="107"/>
    <s v="_x0000_peopl"/>
  </r>
  <r>
    <x v="6"/>
    <n v="13.6904"/>
    <n v="-89.2346"/>
    <n v="7"/>
    <n v="0"/>
    <n v="0"/>
    <n v="107"/>
    <s v="_x0000_peopl"/>
  </r>
  <r>
    <x v="6"/>
    <n v="13.693199999999999"/>
    <n v="-89.174099999999996"/>
    <n v="5"/>
    <n v="0"/>
    <n v="0"/>
    <n v="107"/>
    <s v="_x0000_peopl"/>
  </r>
  <r>
    <x v="6"/>
    <n v="13.6854"/>
    <n v="-89.203500000000005"/>
    <n v="5"/>
    <n v="0"/>
    <n v="0"/>
    <n v="107"/>
    <s v="_x0000_peopl"/>
  </r>
  <r>
    <x v="6"/>
    <n v="13.674799999999999"/>
    <n v="-89.251999999999995"/>
    <n v="10"/>
    <n v="0"/>
    <n v="0"/>
    <n v="107"/>
    <s v="_x0000_peopl"/>
  </r>
  <r>
    <x v="6"/>
    <n v="13.6851"/>
    <n v="-89.216099999999997"/>
    <n v="8"/>
    <n v="0"/>
    <n v="0"/>
    <n v="107"/>
    <s v="_x0000_peopl"/>
  </r>
  <r>
    <x v="6"/>
    <n v="13.690799999999999"/>
    <n v="-89.186400000000006"/>
    <n v="4"/>
    <n v="0"/>
    <n v="0"/>
    <n v="107"/>
    <s v="_x0000_peopl"/>
  </r>
  <r>
    <x v="6"/>
    <n v="13.691000000000001"/>
    <n v="-89.233199999999997"/>
    <n v="4"/>
    <n v="0"/>
    <n v="0"/>
    <n v="107"/>
    <s v="_x0000_peopl"/>
  </r>
  <r>
    <x v="6"/>
    <n v="13.6942"/>
    <n v="-89.175200000000004"/>
    <n v="9"/>
    <n v="0"/>
    <n v="0"/>
    <n v="107"/>
    <s v="_x0000_peopl"/>
  </r>
  <r>
    <x v="6"/>
    <n v="13.690799999999999"/>
    <n v="-89.232500000000002"/>
    <n v="3"/>
    <n v="0"/>
    <n v="0"/>
    <n v="107"/>
    <s v="_x0000_peopl"/>
  </r>
  <r>
    <x v="6"/>
    <n v="13.6935"/>
    <n v="-89.176400000000001"/>
    <n v="1"/>
    <n v="0"/>
    <n v="0"/>
    <n v="107"/>
    <s v="_x0000_peopl"/>
  </r>
  <r>
    <x v="6"/>
    <n v="13.680400000000001"/>
    <n v="-89.198599999999999"/>
    <n v="4"/>
    <n v="0"/>
    <n v="0"/>
    <n v="107"/>
    <s v="_x0000_peopl"/>
  </r>
  <r>
    <x v="6"/>
    <n v="13.689299999999999"/>
    <n v="-89.185000000000002"/>
    <n v="3"/>
    <n v="0"/>
    <n v="0"/>
    <n v="107"/>
    <s v="_x0000_peopl"/>
  </r>
  <r>
    <x v="6"/>
    <n v="13.679500000000001"/>
    <n v="-89.197400000000002"/>
    <n v="5"/>
    <n v="0"/>
    <n v="0"/>
    <n v="107"/>
    <s v="_x0000_peopl"/>
  </r>
  <r>
    <x v="6"/>
    <n v="13.6785"/>
    <n v="-89.245400000000004"/>
    <n v="13"/>
    <n v="0"/>
    <n v="0"/>
    <n v="107"/>
    <s v="_x0000_peopl"/>
  </r>
  <r>
    <x v="6"/>
    <n v="13.691599999999999"/>
    <n v="-89.228200000000001"/>
    <n v="10"/>
    <n v="0"/>
    <n v="0"/>
    <n v="107"/>
    <s v="_x0000_peopl"/>
  </r>
  <r>
    <x v="6"/>
    <n v="13.6792"/>
    <n v="-89.196600000000004"/>
    <n v="3"/>
    <n v="0"/>
    <n v="0"/>
    <n v="107"/>
    <s v="_x0000_peopl"/>
  </r>
  <r>
    <x v="6"/>
    <n v="13.694599999999999"/>
    <n v="-89.175399999999996"/>
    <n v="4"/>
    <n v="0"/>
    <n v="0"/>
    <n v="107"/>
    <s v="_x0000_peopl"/>
  </r>
  <r>
    <x v="6"/>
    <n v="13.6912"/>
    <n v="-89.230099999999993"/>
    <n v="3"/>
    <n v="0"/>
    <n v="0"/>
    <n v="107"/>
    <s v="_x0000_peopl"/>
  </r>
  <r>
    <x v="6"/>
    <n v="13.6936"/>
    <n v="-89.176699999999997"/>
    <n v="7"/>
    <n v="0"/>
    <n v="0"/>
    <n v="107"/>
    <s v="_x0000_peopl"/>
  </r>
  <r>
    <x v="6"/>
    <n v="13.689500000000001"/>
    <n v="-89.180700000000002"/>
    <n v="8"/>
    <n v="0"/>
    <n v="0"/>
    <n v="107"/>
    <s v="_x0000_peopl"/>
  </r>
  <r>
    <x v="6"/>
    <n v="13.6899"/>
    <n v="-89.183899999999994"/>
    <n v="5"/>
    <n v="0"/>
    <n v="0"/>
    <n v="107"/>
    <s v="_x0000_peopl"/>
  </r>
  <r>
    <x v="6"/>
    <n v="13.6958"/>
    <n v="-89.165700000000001"/>
    <n v="7"/>
    <n v="0"/>
    <n v="0"/>
    <n v="107"/>
    <s v="_x0000_peopl"/>
  </r>
  <r>
    <x v="6"/>
    <n v="13.6892"/>
    <n v="-89.183899999999994"/>
    <n v="4"/>
    <n v="0"/>
    <n v="0"/>
    <n v="107"/>
    <s v="_x0000_peopl"/>
  </r>
  <r>
    <x v="6"/>
    <n v="13.685700000000001"/>
    <n v="-89.212199999999996"/>
    <n v="6"/>
    <n v="0"/>
    <n v="0"/>
    <n v="107"/>
    <s v="_x0000_peopl"/>
  </r>
  <r>
    <x v="6"/>
    <n v="13.6914"/>
    <n v="-89.181799999999996"/>
    <n v="8"/>
    <n v="0"/>
    <n v="0"/>
    <n v="107"/>
    <s v="_x0000_peopl"/>
  </r>
  <r>
    <x v="6"/>
    <n v="13.695600000000001"/>
    <n v="-89.172600000000003"/>
    <n v="8"/>
    <n v="0"/>
    <n v="0"/>
    <n v="107"/>
    <s v="_x0000_peopl"/>
  </r>
  <r>
    <x v="6"/>
    <n v="13.6913"/>
    <n v="-89.232600000000005"/>
    <n v="1"/>
    <n v="0"/>
    <n v="0"/>
    <n v="107"/>
    <s v="_x0000_peopl"/>
  </r>
  <r>
    <x v="6"/>
    <n v="13.69"/>
    <n v="-89.235200000000006"/>
    <n v="9"/>
    <n v="0"/>
    <n v="0"/>
    <n v="107"/>
    <s v="_x0000_peopl"/>
  </r>
  <r>
    <x v="6"/>
    <n v="13.6858"/>
    <n v="-89.2136"/>
    <n v="7"/>
    <n v="0"/>
    <n v="0"/>
    <n v="107"/>
    <s v="_x0000_peopl"/>
  </r>
  <r>
    <x v="6"/>
    <n v="13.6921"/>
    <n v="-89.225999999999999"/>
    <n v="2"/>
    <n v="0"/>
    <n v="0"/>
    <n v="107"/>
    <s v="_x0000_peopl"/>
  </r>
  <r>
    <x v="6"/>
    <n v="13.6799"/>
    <n v="-89.195400000000006"/>
    <n v="4"/>
    <n v="0"/>
    <n v="0"/>
    <n v="107"/>
    <s v="_x0000_peopl"/>
  </r>
  <r>
    <x v="6"/>
    <n v="13.6854"/>
    <n v="-89.215100000000007"/>
    <n v="3"/>
    <n v="0"/>
    <n v="0"/>
    <n v="107"/>
    <s v="_x0000_peopl"/>
  </r>
  <r>
    <x v="6"/>
    <n v="13.691599999999999"/>
    <n v="-89.2209"/>
    <n v="4"/>
    <n v="0"/>
    <n v="0"/>
    <n v="107"/>
    <s v="_x0000_peopl"/>
  </r>
  <r>
    <x v="6"/>
    <n v="13.686299999999999"/>
    <n v="-89.213499999999996"/>
    <n v="2"/>
    <n v="0"/>
    <n v="0"/>
    <n v="107"/>
    <s v="_x0000_peopl"/>
  </r>
  <r>
    <x v="6"/>
    <n v="13.6981"/>
    <n v="-89.1691"/>
    <n v="2"/>
    <n v="0"/>
    <n v="0"/>
    <n v="107"/>
    <s v="_x0000_peopl"/>
  </r>
  <r>
    <x v="6"/>
    <n v="13.6859"/>
    <n v="-89.211699999999993"/>
    <n v="7"/>
    <n v="0"/>
    <n v="0"/>
    <n v="107"/>
    <s v="_x0000_peopl"/>
  </r>
  <r>
    <x v="6"/>
    <n v="13.674200000000001"/>
    <n v="-89.252499999999998"/>
    <n v="3"/>
    <n v="0"/>
    <n v="0"/>
    <n v="107"/>
    <s v="_x0000_peopl"/>
  </r>
  <r>
    <x v="6"/>
    <n v="13.6974"/>
    <n v="-89.171199999999999"/>
    <n v="1"/>
    <n v="0"/>
    <n v="0"/>
    <n v="107"/>
    <s v="_x0000_peopl"/>
  </r>
  <r>
    <x v="6"/>
    <n v="13.6912"/>
    <n v="-89.226699999999994"/>
    <n v="3"/>
    <n v="0"/>
    <n v="0"/>
    <n v="107"/>
    <s v="_x0000_peopl"/>
  </r>
  <r>
    <x v="6"/>
    <n v="13.689500000000001"/>
    <n v="-89.185400000000001"/>
    <n v="3"/>
    <n v="0"/>
    <n v="0"/>
    <n v="107"/>
    <s v="_x0000_peopl"/>
  </r>
  <r>
    <x v="6"/>
    <n v="13.679600000000001"/>
    <n v="-89.197199999999995"/>
    <n v="4"/>
    <n v="0"/>
    <n v="0"/>
    <n v="107"/>
    <s v="_x0000_peopl"/>
  </r>
  <r>
    <x v="6"/>
    <n v="13.6722"/>
    <n v="-89.203999999999994"/>
    <n v="4"/>
    <n v="0"/>
    <n v="0"/>
    <n v="107"/>
    <s v="_x0000_peopl"/>
  </r>
  <r>
    <x v="6"/>
    <n v="13.692600000000001"/>
    <n v="-89.226200000000006"/>
    <n v="6"/>
    <n v="0"/>
    <n v="0"/>
    <n v="107"/>
    <s v="_x0000_peopl"/>
  </r>
  <r>
    <x v="6"/>
    <n v="13.690899999999999"/>
    <n v="-89.1875"/>
    <n v="8"/>
    <n v="0"/>
    <n v="0"/>
    <n v="107"/>
    <s v="_x0000_peopl"/>
  </r>
  <r>
    <x v="6"/>
    <n v="13.6745"/>
    <n v="-89.251900000000006"/>
    <n v="5"/>
    <n v="0"/>
    <n v="0"/>
    <n v="107"/>
    <s v="_x0000_peopl"/>
  </r>
  <r>
    <x v="6"/>
    <n v="13.691000000000001"/>
    <n v="-89.181899999999999"/>
    <n v="5"/>
    <n v="0"/>
    <n v="0"/>
    <n v="107"/>
    <s v="_x0000_peopl"/>
  </r>
  <r>
    <x v="6"/>
    <n v="13.688000000000001"/>
    <n v="-89.181899999999999"/>
    <n v="6"/>
    <n v="0"/>
    <n v="0"/>
    <n v="107"/>
    <s v="_x0000_peopl"/>
  </r>
  <r>
    <x v="6"/>
    <n v="13.6851"/>
    <n v="-89.213200000000001"/>
    <n v="5"/>
    <n v="0"/>
    <n v="0"/>
    <n v="107"/>
    <s v="_x0000_peopl"/>
  </r>
  <r>
    <x v="6"/>
    <n v="13.6915"/>
    <n v="-89.220299999999995"/>
    <n v="5"/>
    <n v="0"/>
    <n v="0"/>
    <n v="107"/>
    <s v="_x0000_peopl"/>
  </r>
  <r>
    <x v="6"/>
    <n v="13.6921"/>
    <n v="-89.225399999999993"/>
    <n v="5"/>
    <n v="0"/>
    <n v="0"/>
    <n v="107"/>
    <s v="_x0000_peopl"/>
  </r>
  <r>
    <x v="6"/>
    <n v="13.690799999999999"/>
    <n v="-89.194199999999995"/>
    <n v="9"/>
    <n v="0"/>
    <n v="0"/>
    <n v="107"/>
    <s v="_x0000_peopl"/>
  </r>
  <r>
    <x v="6"/>
    <n v="13.690300000000001"/>
    <n v="-89.188500000000005"/>
    <n v="12"/>
    <n v="0"/>
    <n v="0"/>
    <n v="107"/>
    <s v="_x0000_peopl"/>
  </r>
  <r>
    <x v="6"/>
    <n v="13.695"/>
    <n v="-89.174199999999999"/>
    <n v="3"/>
    <n v="0"/>
    <n v="0"/>
    <n v="107"/>
    <s v="_x0000_peopl"/>
  </r>
  <r>
    <x v="6"/>
    <n v="13.692399999999999"/>
    <n v="-89.189899999999994"/>
    <n v="3"/>
    <n v="0"/>
    <n v="0"/>
    <n v="107"/>
    <s v="_x0000_peopl"/>
  </r>
  <r>
    <x v="6"/>
    <n v="13.689299999999999"/>
    <n v="-89.229699999999994"/>
    <n v="6"/>
    <n v="0"/>
    <n v="0"/>
    <n v="107"/>
    <s v="_x0000_peopl"/>
  </r>
  <r>
    <x v="6"/>
    <n v="13.689500000000001"/>
    <n v="-89.205600000000004"/>
    <n v="4"/>
    <n v="0"/>
    <n v="0"/>
    <n v="107"/>
    <s v="_x0000_peopl"/>
  </r>
  <r>
    <x v="6"/>
    <n v="13.690899999999999"/>
    <n v="-89.188500000000005"/>
    <n v="5"/>
    <n v="0"/>
    <n v="0"/>
    <n v="107"/>
    <s v="_x0000_peopl"/>
  </r>
  <r>
    <x v="6"/>
    <n v="13.6959"/>
    <n v="-89.173000000000002"/>
    <n v="1"/>
    <n v="0"/>
    <n v="0"/>
    <n v="107"/>
    <s v="_x0000_peopl"/>
  </r>
  <r>
    <x v="6"/>
    <n v="13.6751"/>
    <n v="-89.248800000000003"/>
    <n v="5"/>
    <n v="0"/>
    <n v="0"/>
    <n v="107"/>
    <s v="_x0000_peopl"/>
  </r>
  <r>
    <x v="6"/>
    <n v="13.6873"/>
    <n v="-89.215699999999998"/>
    <n v="6"/>
    <n v="0"/>
    <n v="0"/>
    <n v="107"/>
    <s v="_x0000_peopl"/>
  </r>
  <r>
    <x v="6"/>
    <n v="13.6912"/>
    <n v="-89.228499999999997"/>
    <n v="6"/>
    <n v="0"/>
    <n v="0"/>
    <n v="107"/>
    <s v="_x0000_peopl"/>
  </r>
  <r>
    <x v="6"/>
    <n v="13.6915"/>
    <n v="-89.228700000000003"/>
    <n v="6"/>
    <n v="0"/>
    <n v="0"/>
    <n v="107"/>
    <s v="_x0000_peopl"/>
  </r>
  <r>
    <x v="6"/>
    <n v="13.6881"/>
    <n v="-89.236900000000006"/>
    <n v="7"/>
    <n v="0"/>
    <n v="0"/>
    <n v="107"/>
    <s v="_x0000_peopl"/>
  </r>
  <r>
    <x v="6"/>
    <n v="13.691599999999999"/>
    <n v="-89.226200000000006"/>
    <n v="2"/>
    <n v="0"/>
    <n v="0"/>
    <n v="107"/>
    <s v="_x0000_peopl"/>
  </r>
  <r>
    <x v="6"/>
    <n v="13.691700000000001"/>
    <n v="-89.226900000000001"/>
    <n v="6"/>
    <n v="0"/>
    <n v="0"/>
    <n v="107"/>
    <s v="_x0000_peopl"/>
  </r>
  <r>
    <x v="6"/>
    <n v="13.687200000000001"/>
    <n v="-89.197000000000003"/>
    <n v="5"/>
    <n v="0"/>
    <n v="0"/>
    <n v="107"/>
    <s v="_x0000_peopl"/>
  </r>
  <r>
    <x v="6"/>
    <n v="13.686999999999999"/>
    <n v="-89.191699999999997"/>
    <n v="5"/>
    <n v="0"/>
    <n v="0"/>
    <n v="107"/>
    <s v="_x0000_peopl"/>
  </r>
  <r>
    <x v="6"/>
    <n v="13.693099999999999"/>
    <n v="-89.177599999999998"/>
    <n v="6"/>
    <n v="0"/>
    <n v="0"/>
    <n v="107"/>
    <s v="_x0000_peopl"/>
  </r>
  <r>
    <x v="6"/>
    <n v="13.6936"/>
    <n v="-89.1768"/>
    <n v="4"/>
    <n v="0"/>
    <n v="0"/>
    <n v="107"/>
    <s v="_x0000_peopl"/>
  </r>
  <r>
    <x v="6"/>
    <n v="13.692500000000001"/>
    <n v="-89.223200000000006"/>
    <n v="5"/>
    <n v="0"/>
    <n v="0"/>
    <n v="107"/>
    <s v="_x0000_peopl"/>
  </r>
  <r>
    <x v="6"/>
    <n v="13.6869"/>
    <n v="-89.215900000000005"/>
    <n v="8"/>
    <n v="0"/>
    <n v="0"/>
    <n v="107"/>
    <s v="_x0000_peopl"/>
  </r>
  <r>
    <x v="6"/>
    <n v="13.6907"/>
    <n v="-89.231499999999997"/>
    <n v="5"/>
    <n v="0"/>
    <n v="0"/>
    <n v="107"/>
    <s v="_x0000_peopl"/>
  </r>
  <r>
    <x v="6"/>
    <n v="13.688700000000001"/>
    <n v="-89.190299999999993"/>
    <n v="5"/>
    <n v="0"/>
    <n v="0"/>
    <n v="107"/>
    <s v="_x0000_peopl"/>
  </r>
  <r>
    <x v="6"/>
    <n v="13.6919"/>
    <n v="-89.179000000000002"/>
    <n v="4"/>
    <n v="0"/>
    <n v="0"/>
    <n v="107"/>
    <s v="_x0000_peopl"/>
  </r>
  <r>
    <x v="6"/>
    <n v="13.690099999999999"/>
    <n v="-89.184100000000001"/>
    <n v="6"/>
    <n v="0"/>
    <n v="0"/>
    <n v="107"/>
    <s v="_x0000_peopl"/>
  </r>
  <r>
    <x v="6"/>
    <n v="13.6913"/>
    <n v="-89.228499999999997"/>
    <n v="6"/>
    <n v="0"/>
    <n v="0"/>
    <n v="107"/>
    <s v="_x0000_peopl"/>
  </r>
  <r>
    <x v="6"/>
    <n v="13.691000000000001"/>
    <n v="-89.234099999999998"/>
    <n v="4"/>
    <n v="0"/>
    <n v="0"/>
    <n v="107"/>
    <s v="_x0000_peopl"/>
  </r>
  <r>
    <x v="6"/>
    <n v="13.6875"/>
    <n v="-89.216800000000006"/>
    <n v="4"/>
    <n v="0"/>
    <n v="0"/>
    <n v="107"/>
    <s v="_x0000_peopl"/>
  </r>
  <r>
    <x v="6"/>
    <n v="13.6858"/>
    <n v="-89.211500000000001"/>
    <n v="3"/>
    <n v="0"/>
    <n v="0"/>
    <n v="107"/>
    <s v="_x0000_peopl"/>
  </r>
  <r>
    <x v="6"/>
    <n v="13.6915"/>
    <n v="-89.227199999999996"/>
    <n v="6"/>
    <n v="0"/>
    <n v="0"/>
    <n v="107"/>
    <s v="_x0000_peopl"/>
  </r>
  <r>
    <x v="6"/>
    <n v="13.673400000000001"/>
    <n v="-89.251499999999993"/>
    <n v="9"/>
    <n v="0"/>
    <n v="0"/>
    <n v="107"/>
    <s v="_x0000_peopl"/>
  </r>
  <r>
    <x v="6"/>
    <n v="13.6915"/>
    <n v="-89.197299999999998"/>
    <n v="7"/>
    <n v="0"/>
    <n v="0"/>
    <n v="107"/>
    <s v="_x0000_peopl"/>
  </r>
  <r>
    <x v="6"/>
    <n v="13.688599999999999"/>
    <n v="-89.216399999999993"/>
    <n v="5"/>
    <n v="0"/>
    <n v="0"/>
    <n v="107"/>
    <s v="_x0000_peopl"/>
  </r>
  <r>
    <x v="6"/>
    <n v="13.695"/>
    <n v="-89.173500000000004"/>
    <n v="4"/>
    <n v="0"/>
    <n v="0"/>
    <n v="107"/>
    <s v="_x0000_peopl"/>
  </r>
  <r>
    <x v="6"/>
    <n v="13.691000000000001"/>
    <n v="-89.186400000000006"/>
    <n v="5"/>
    <n v="0"/>
    <n v="0"/>
    <n v="107"/>
    <s v="_x0000_peopl"/>
  </r>
  <r>
    <x v="6"/>
    <n v="13.6873"/>
    <n v="-89.194500000000005"/>
    <n v="7"/>
    <n v="0"/>
    <n v="0"/>
    <n v="107"/>
    <s v="_x0000_peopl"/>
  </r>
  <r>
    <x v="6"/>
    <n v="13.688599999999999"/>
    <n v="-89.190600000000003"/>
    <n v="3"/>
    <n v="0"/>
    <n v="0"/>
    <n v="107"/>
    <s v="_x0000_peopl"/>
  </r>
  <r>
    <x v="6"/>
    <n v="13.690300000000001"/>
    <n v="-89.235699999999994"/>
    <n v="7"/>
    <n v="0"/>
    <n v="0"/>
    <n v="107"/>
    <s v="_x0000_peopl"/>
  </r>
  <r>
    <x v="6"/>
    <n v="13.6905"/>
    <n v="-89.233800000000002"/>
    <n v="5"/>
    <n v="0"/>
    <n v="0"/>
    <n v="107"/>
    <s v="_x0000_peopl"/>
  </r>
  <r>
    <x v="6"/>
    <n v="13.691000000000001"/>
    <n v="-89.230400000000003"/>
    <n v="4"/>
    <n v="0"/>
    <n v="0"/>
    <n v="107"/>
    <s v="_x0000_peopl"/>
  </r>
  <r>
    <x v="6"/>
    <n v="13.6953"/>
    <n v="-89.174300000000002"/>
    <n v="2"/>
    <n v="0"/>
    <n v="0"/>
    <n v="107"/>
    <s v="_x0000_peopl"/>
  </r>
  <r>
    <x v="6"/>
    <n v="13.6915"/>
    <n v="-89.233599999999996"/>
    <n v="6"/>
    <n v="0"/>
    <n v="0"/>
    <n v="107"/>
    <s v="_x0000_peopl"/>
  </r>
  <r>
    <x v="6"/>
    <n v="13.69"/>
    <n v="-89.235200000000006"/>
    <n v="7"/>
    <n v="0"/>
    <n v="0"/>
    <n v="107"/>
    <s v="_x0000_peopl"/>
  </r>
  <r>
    <x v="6"/>
    <n v="13.685600000000001"/>
    <n v="-89.216399999999993"/>
    <n v="6"/>
    <n v="0"/>
    <n v="0"/>
    <n v="107"/>
    <s v="_x0000_peopl"/>
  </r>
  <r>
    <x v="6"/>
    <n v="13.6881"/>
    <n v="-89.19"/>
    <n v="6"/>
    <n v="0"/>
    <n v="0"/>
    <n v="107"/>
    <s v="_x0000_peopl"/>
  </r>
  <r>
    <x v="6"/>
    <n v="13.694599999999999"/>
    <n v="-89.183199999999999"/>
    <n v="2"/>
    <n v="0"/>
    <n v="0"/>
    <n v="107"/>
    <s v="_x0000_peopl"/>
  </r>
  <r>
    <x v="6"/>
    <n v="13.6859"/>
    <n v="-89.211200000000005"/>
    <n v="3"/>
    <n v="0"/>
    <n v="0"/>
    <n v="107"/>
    <s v="_x0000_peopl"/>
  </r>
  <r>
    <x v="6"/>
    <n v="13.6851"/>
    <n v="-89.202600000000004"/>
    <n v="8"/>
    <n v="0"/>
    <n v="0"/>
    <n v="107"/>
    <s v="_x0000_peopl"/>
  </r>
  <r>
    <x v="6"/>
    <n v="13.6873"/>
    <n v="-89.194100000000006"/>
    <n v="4"/>
    <n v="0"/>
    <n v="0"/>
    <n v="107"/>
    <s v="_x0000_peopl"/>
  </r>
  <r>
    <x v="6"/>
    <n v="13.692399999999999"/>
    <n v="-89.224100000000007"/>
    <n v="6"/>
    <n v="0"/>
    <n v="0"/>
    <n v="107"/>
    <s v="_x0000_peopl"/>
  </r>
  <r>
    <x v="6"/>
    <n v="13.6929"/>
    <n v="-89.176900000000003"/>
    <n v="2"/>
    <n v="0"/>
    <n v="0"/>
    <n v="107"/>
    <s v="_x0000_peopl"/>
  </r>
  <r>
    <x v="6"/>
    <n v="13.691599999999999"/>
    <n v="-89.226399999999998"/>
    <n v="2"/>
    <n v="0"/>
    <n v="0"/>
    <n v="107"/>
    <s v="_x0000_peopl"/>
  </r>
  <r>
    <x v="6"/>
    <n v="13.6898"/>
    <n v="-89.193899999999999"/>
    <n v="2"/>
    <n v="0"/>
    <n v="0"/>
    <n v="107"/>
    <s v="_x0000_peopl"/>
  </r>
  <r>
    <x v="6"/>
    <n v="13.6851"/>
    <n v="-89.193799999999996"/>
    <n v="1"/>
    <n v="0"/>
    <n v="0"/>
    <n v="107"/>
    <s v="_x0000_peopl"/>
  </r>
  <r>
    <x v="6"/>
    <n v="13.674200000000001"/>
    <n v="-89.252399999999994"/>
    <n v="6"/>
    <n v="0"/>
    <n v="0"/>
    <n v="107"/>
    <s v="_x0000_peopl"/>
  </r>
  <r>
    <x v="6"/>
    <n v="13.679600000000001"/>
    <n v="-89.194299999999998"/>
    <n v="4"/>
    <n v="0"/>
    <n v="0"/>
    <n v="107"/>
    <s v="_x0000_peopl"/>
  </r>
  <r>
    <x v="6"/>
    <n v="13.6875"/>
    <n v="-89.194800000000001"/>
    <n v="13"/>
    <n v="0"/>
    <n v="0"/>
    <n v="107"/>
    <s v="_x0000_peopl"/>
  </r>
  <r>
    <x v="6"/>
    <n v="13.6869"/>
    <n v="-89.182500000000005"/>
    <n v="2"/>
    <n v="0"/>
    <n v="0"/>
    <n v="107"/>
    <s v="_x0000_peopl"/>
  </r>
  <r>
    <x v="6"/>
    <n v="13.6953"/>
    <n v="-89.172300000000007"/>
    <n v="5"/>
    <n v="0"/>
    <n v="0"/>
    <n v="107"/>
    <s v="_x0000_peopl"/>
  </r>
  <r>
    <x v="6"/>
    <n v="13.690200000000001"/>
    <n v="-89.195899999999995"/>
    <n v="4"/>
    <n v="0"/>
    <n v="0"/>
    <n v="107"/>
    <s v="_x0000_peopl"/>
  </r>
  <r>
    <x v="6"/>
    <n v="13.696999999999999"/>
    <n v="-89.171700000000001"/>
    <n v="5"/>
    <n v="0"/>
    <n v="0"/>
    <n v="107"/>
    <s v="_x0000_peopl"/>
  </r>
  <r>
    <x v="6"/>
    <n v="13.684900000000001"/>
    <n v="-89.213300000000004"/>
    <n v="7"/>
    <n v="0"/>
    <n v="0"/>
    <n v="107"/>
    <s v="_x0000_peopl"/>
  </r>
  <r>
    <x v="6"/>
    <n v="13.6899"/>
    <n v="-89.235500000000002"/>
    <n v="4"/>
    <n v="0"/>
    <n v="0"/>
    <n v="107"/>
    <s v="_x0000_peopl"/>
  </r>
  <r>
    <x v="6"/>
    <n v="13.6873"/>
    <n v="-89.191599999999994"/>
    <n v="4"/>
    <n v="0"/>
    <n v="0"/>
    <n v="107"/>
    <s v="_x0000_peopl"/>
  </r>
  <r>
    <x v="6"/>
    <n v="13.6882"/>
    <n v="-89.216899999999995"/>
    <n v="4"/>
    <n v="0"/>
    <n v="0"/>
    <n v="107"/>
    <s v="_x0000_peopl"/>
  </r>
  <r>
    <x v="6"/>
    <n v="13.690899999999999"/>
    <n v="-89.235600000000005"/>
    <n v="2"/>
    <n v="0"/>
    <n v="0"/>
    <n v="107"/>
    <s v="_x0000_peopl"/>
  </r>
  <r>
    <x v="6"/>
    <n v="13.687200000000001"/>
    <n v="-89.194699999999997"/>
    <n v="3"/>
    <n v="0"/>
    <n v="0"/>
    <n v="107"/>
    <s v="_x0000_peopl"/>
  </r>
  <r>
    <x v="6"/>
    <n v="13.6853"/>
    <n v="-89.215299999999999"/>
    <n v="0"/>
    <n v="0"/>
    <n v="0"/>
    <n v="107"/>
    <s v="_x0000_peopl"/>
  </r>
  <r>
    <x v="6"/>
    <n v="13.691800000000001"/>
    <n v="-89.194400000000002"/>
    <n v="2"/>
    <n v="0"/>
    <n v="0"/>
    <n v="107"/>
    <s v="_x0000_peopl"/>
  </r>
  <r>
    <x v="6"/>
    <n v="13.6858"/>
    <n v="-89.211500000000001"/>
    <n v="10"/>
    <n v="0"/>
    <n v="0"/>
    <n v="107"/>
    <s v="_x0000_peopl"/>
  </r>
  <r>
    <x v="6"/>
    <n v="13.6912"/>
    <n v="-89.2196"/>
    <n v="5"/>
    <n v="0"/>
    <n v="0"/>
    <n v="107"/>
    <s v="_x0000_peopl"/>
  </r>
  <r>
    <x v="6"/>
    <n v="13.685499999999999"/>
    <n v="-89.211200000000005"/>
    <n v="8"/>
    <n v="0"/>
    <n v="0"/>
    <n v="107"/>
    <s v="_x0000_peopl"/>
  </r>
  <r>
    <x v="6"/>
    <n v="13.695"/>
    <n v="-89.173699999999997"/>
    <n v="10"/>
    <n v="0"/>
    <n v="0"/>
    <n v="107"/>
    <s v="_x0000_peopl"/>
  </r>
  <r>
    <x v="6"/>
    <n v="13.685700000000001"/>
    <n v="-89.213899999999995"/>
    <n v="3"/>
    <n v="0"/>
    <n v="0"/>
    <n v="107"/>
    <s v="_x0000_peopl"/>
  </r>
  <r>
    <x v="6"/>
    <n v="13.6914"/>
    <n v="-89.227099999999993"/>
    <n v="5"/>
    <n v="0"/>
    <n v="0"/>
    <n v="107"/>
    <s v="_x0000_peopl"/>
  </r>
  <r>
    <x v="6"/>
    <n v="13.690300000000001"/>
    <n v="-89.179900000000004"/>
    <n v="8"/>
    <n v="0"/>
    <n v="0"/>
    <n v="107"/>
    <s v="_x0000_peopl"/>
  </r>
  <r>
    <x v="6"/>
    <n v="13.6853"/>
    <n v="-89.211299999999994"/>
    <n v="7"/>
    <n v="0"/>
    <n v="0"/>
    <n v="107"/>
    <s v="_x0000_peopl"/>
  </r>
  <r>
    <x v="6"/>
    <n v="13.674899999999999"/>
    <n v="-89.199600000000004"/>
    <n v="3"/>
    <n v="0"/>
    <n v="0"/>
    <n v="107"/>
    <s v="_x0000_peopl"/>
  </r>
  <r>
    <x v="6"/>
    <n v="13.691599999999999"/>
    <n v="-89.185500000000005"/>
    <n v="1"/>
    <n v="0"/>
    <n v="0"/>
    <n v="107"/>
    <s v="_x0000_peopl"/>
  </r>
  <r>
    <x v="6"/>
    <n v="13.6751"/>
    <n v="-89.25"/>
    <n v="2"/>
    <n v="0"/>
    <n v="0"/>
    <n v="107"/>
    <s v="_x0000_peopl"/>
  </r>
  <r>
    <x v="6"/>
    <n v="13.6907"/>
    <n v="-89.190600000000003"/>
    <n v="7"/>
    <n v="0"/>
    <n v="0"/>
    <n v="107"/>
    <s v="_x0000_peopl"/>
  </r>
  <r>
    <x v="6"/>
    <n v="13.6928"/>
    <n v="-89.224599999999995"/>
    <n v="4"/>
    <n v="0"/>
    <n v="0"/>
    <n v="107"/>
    <s v="_x0000_peopl"/>
  </r>
  <r>
    <x v="6"/>
    <n v="13.690099999999999"/>
    <n v="-89.236000000000004"/>
    <n v="1"/>
    <n v="0"/>
    <n v="0"/>
    <n v="107"/>
    <s v="_x0000_peopl"/>
  </r>
  <r>
    <x v="6"/>
    <n v="13.6928"/>
    <n v="-89.224699999999999"/>
    <n v="6"/>
    <n v="0"/>
    <n v="0"/>
    <n v="107"/>
    <s v="_x0000_peopl"/>
  </r>
  <r>
    <x v="6"/>
    <n v="13.692"/>
    <n v="-89.221800000000002"/>
    <n v="4"/>
    <n v="0"/>
    <n v="0"/>
    <n v="107"/>
    <s v="_x0000_peopl"/>
  </r>
  <r>
    <x v="6"/>
    <n v="13.690200000000001"/>
    <n v="-89.179599999999994"/>
    <n v="8"/>
    <n v="0"/>
    <n v="0"/>
    <n v="107"/>
    <s v="_x0000_peopl"/>
  </r>
  <r>
    <x v="6"/>
    <n v="13.6883"/>
    <n v="-89.216700000000003"/>
    <n v="7"/>
    <n v="0"/>
    <n v="0"/>
    <n v="107"/>
    <s v="_x0000_peopl"/>
  </r>
  <r>
    <x v="6"/>
    <n v="13.6774"/>
    <n v="-89.246700000000004"/>
    <n v="6"/>
    <n v="0"/>
    <n v="0"/>
    <n v="107"/>
    <s v="_x0000_peopl"/>
  </r>
  <r>
    <x v="6"/>
    <n v="13.6967"/>
    <n v="-89.171499999999995"/>
    <n v="4"/>
    <n v="0"/>
    <n v="0"/>
    <n v="107"/>
    <s v="_x0000_peopl"/>
  </r>
  <r>
    <x v="6"/>
    <n v="13.6883"/>
    <n v="-89.205600000000004"/>
    <n v="4"/>
    <n v="0"/>
    <n v="0"/>
    <n v="107"/>
    <s v="_x0000_peopl"/>
  </r>
  <r>
    <x v="6"/>
    <n v="13.6868"/>
    <n v="-89.194500000000005"/>
    <n v="3"/>
    <n v="0"/>
    <n v="0"/>
    <n v="107"/>
    <s v="_x0000_peopl"/>
  </r>
  <r>
    <x v="6"/>
    <n v="13.691700000000001"/>
    <n v="-89.225499999999997"/>
    <n v="4"/>
    <n v="0"/>
    <n v="0"/>
    <n v="107"/>
    <s v="_x0000_peopl"/>
  </r>
  <r>
    <x v="6"/>
    <n v="13.6896"/>
    <n v="-89.188900000000004"/>
    <n v="5"/>
    <n v="0"/>
    <n v="0"/>
    <n v="107"/>
    <s v="_x0000_peopl"/>
  </r>
  <r>
    <x v="6"/>
    <n v="13.6906"/>
    <n v="-89.194299999999998"/>
    <n v="10"/>
    <n v="0"/>
    <n v="0"/>
    <n v="107"/>
    <s v="_x0000_peopl"/>
  </r>
  <r>
    <x v="6"/>
    <n v="13.694000000000001"/>
    <n v="-89.175299999999993"/>
    <n v="5"/>
    <n v="0"/>
    <n v="0"/>
    <n v="107"/>
    <s v="_x0000_peopl"/>
  </r>
  <r>
    <x v="6"/>
    <n v="13.674799999999999"/>
    <n v="-89.251999999999995"/>
    <n v="4"/>
    <n v="0"/>
    <n v="0"/>
    <n v="107"/>
    <s v="_x0000_peopl"/>
  </r>
  <r>
    <x v="6"/>
    <n v="13.696"/>
    <n v="-89.172499999999999"/>
    <n v="6"/>
    <n v="0"/>
    <n v="0"/>
    <n v="107"/>
    <s v="_x0000_peopl"/>
  </r>
  <r>
    <x v="6"/>
    <n v="13.692600000000001"/>
    <n v="-89.225800000000007"/>
    <n v="2"/>
    <n v="0"/>
    <n v="0"/>
    <n v="107"/>
    <s v="_x0000_peopl"/>
  </r>
  <r>
    <x v="6"/>
    <n v="13.6896"/>
    <n v="-89.235699999999994"/>
    <n v="7"/>
    <n v="0"/>
    <n v="0"/>
    <n v="107"/>
    <s v="_x0000_peopl"/>
  </r>
  <r>
    <x v="6"/>
    <n v="13.6868"/>
    <n v="-89.2149"/>
    <n v="7"/>
    <n v="0"/>
    <n v="0"/>
    <n v="107"/>
    <s v="_x0000_peopl"/>
  </r>
  <r>
    <x v="6"/>
    <n v="13.692600000000001"/>
    <n v="-89.224800000000002"/>
    <n v="3"/>
    <n v="0"/>
    <n v="0"/>
    <n v="107"/>
    <s v="_x0000_peopl"/>
  </r>
  <r>
    <x v="6"/>
    <n v="13.6945"/>
    <n v="-89.188999999999993"/>
    <n v="3"/>
    <n v="0"/>
    <n v="0"/>
    <n v="107"/>
    <s v="_x0000_peopl"/>
  </r>
  <r>
    <x v="6"/>
    <n v="13.6853"/>
    <n v="-89.217299999999994"/>
    <n v="4"/>
    <n v="0"/>
    <n v="0"/>
    <n v="107"/>
    <s v="_x0000_peopl"/>
  </r>
  <r>
    <x v="6"/>
    <n v="13.6897"/>
    <n v="-89.193899999999999"/>
    <n v="6"/>
    <n v="0"/>
    <n v="0"/>
    <n v="107"/>
    <s v="_x0000_peopl"/>
  </r>
  <r>
    <x v="6"/>
    <n v="13.686"/>
    <n v="-89.211299999999994"/>
    <n v="6"/>
    <n v="0"/>
    <n v="0"/>
    <n v="107"/>
    <s v="_x0000_peopl"/>
  </r>
  <r>
    <x v="6"/>
    <n v="13.6854"/>
    <n v="-89.202399999999997"/>
    <n v="8"/>
    <n v="0"/>
    <n v="0"/>
    <n v="107"/>
    <s v="_x0000_peopl"/>
  </r>
  <r>
    <x v="6"/>
    <n v="13.6915"/>
    <n v="-89.226900000000001"/>
    <n v="3"/>
    <n v="0"/>
    <n v="0"/>
    <n v="107"/>
    <s v="_x0000_peopl"/>
  </r>
  <r>
    <x v="6"/>
    <n v="13.6953"/>
    <n v="-89.174199999999999"/>
    <n v="2"/>
    <n v="0"/>
    <n v="0"/>
    <n v="107"/>
    <s v="_x0000_peopl"/>
  </r>
  <r>
    <x v="6"/>
    <n v="13.690799999999999"/>
    <n v="-89.194599999999994"/>
    <n v="4"/>
    <n v="0"/>
    <n v="0"/>
    <n v="107"/>
    <s v="_x0000_peopl"/>
  </r>
  <r>
    <x v="6"/>
    <n v="13.6919"/>
    <n v="-89.183199999999999"/>
    <n v="4"/>
    <n v="0"/>
    <n v="0"/>
    <n v="107"/>
    <s v="_x0000_peopl"/>
  </r>
  <r>
    <x v="6"/>
    <n v="13.696199999999999"/>
    <n v="-89.171800000000005"/>
    <n v="5"/>
    <n v="0"/>
    <n v="0"/>
    <n v="107"/>
    <s v="_x0000_peopl"/>
  </r>
  <r>
    <x v="6"/>
    <n v="13.687200000000001"/>
    <n v="-89.1965"/>
    <n v="8"/>
    <n v="0"/>
    <n v="0"/>
    <n v="107"/>
    <s v="_x0000_peopl"/>
  </r>
  <r>
    <x v="6"/>
    <n v="13.689299999999999"/>
    <n v="-89.207999999999998"/>
    <n v="6"/>
    <n v="0"/>
    <n v="0"/>
    <n v="107"/>
    <s v="_x0000_peopl"/>
  </r>
  <r>
    <x v="6"/>
    <n v="13.688499999999999"/>
    <n v="-89.198300000000003"/>
    <n v="15"/>
    <n v="0"/>
    <n v="0"/>
    <n v="107"/>
    <s v="_x0000_peopl"/>
  </r>
  <r>
    <x v="6"/>
    <n v="13.690899999999999"/>
    <n v="-89.232799999999997"/>
    <n v="6"/>
    <n v="0"/>
    <n v="0"/>
    <n v="107"/>
    <s v="_x0000_peopl"/>
  </r>
  <r>
    <x v="6"/>
    <n v="13.6799"/>
    <n v="-89.197100000000006"/>
    <n v="5"/>
    <n v="0"/>
    <n v="0"/>
    <n v="107"/>
    <s v="_x0000_peopl"/>
  </r>
  <r>
    <x v="6"/>
    <n v="13.6868"/>
    <n v="-89.202600000000004"/>
    <n v="1"/>
    <n v="0"/>
    <n v="0"/>
    <n v="107"/>
    <s v="_x0000_peopl"/>
  </r>
  <r>
    <x v="6"/>
    <n v="13.6883"/>
    <n v="-89.198099999999997"/>
    <n v="4"/>
    <n v="0"/>
    <n v="0"/>
    <n v="107"/>
    <s v="_x0000_peopl"/>
  </r>
  <r>
    <x v="6"/>
    <n v="13.6945"/>
    <n v="-89.175299999999993"/>
    <n v="2"/>
    <n v="0"/>
    <n v="0"/>
    <n v="107"/>
    <s v="_x0000_peopl"/>
  </r>
  <r>
    <x v="6"/>
    <n v="13.6944"/>
    <n v="-89.183099999999996"/>
    <n v="5"/>
    <n v="0"/>
    <n v="0"/>
    <n v="107"/>
    <s v="_x0000_peopl"/>
  </r>
  <r>
    <x v="6"/>
    <n v="13.690300000000001"/>
    <n v="-89.184299999999993"/>
    <n v="6"/>
    <n v="0"/>
    <n v="0"/>
    <n v="107"/>
    <s v="_x0000_peopl"/>
  </r>
  <r>
    <x v="6"/>
    <n v="13.695399999999999"/>
    <n v="-89.173299999999998"/>
    <n v="13"/>
    <n v="0"/>
    <n v="0"/>
    <n v="107"/>
    <s v="_x0000_peopl"/>
  </r>
  <r>
    <x v="6"/>
    <n v="13.6907"/>
    <n v="-89.235200000000006"/>
    <n v="2"/>
    <n v="0"/>
    <n v="0"/>
    <n v="107"/>
    <s v="_x0000_peopl"/>
  </r>
  <r>
    <x v="6"/>
    <n v="13.685700000000001"/>
    <n v="-89.201999999999998"/>
    <n v="7"/>
    <n v="0"/>
    <n v="0"/>
    <n v="107"/>
    <s v="_x0000_peopl"/>
  </r>
  <r>
    <x v="6"/>
    <n v="13.6896"/>
    <n v="-89.228800000000007"/>
    <n v="3"/>
    <n v="0"/>
    <n v="0"/>
    <n v="107"/>
    <s v="_x0000_peopl"/>
  </r>
  <r>
    <x v="6"/>
    <n v="13.698"/>
    <n v="-89.168700000000001"/>
    <n v="4"/>
    <n v="0"/>
    <n v="0"/>
    <n v="107"/>
    <s v="_x0000_peopl"/>
  </r>
  <r>
    <x v="6"/>
    <n v="13.6905"/>
    <n v="-89.235399999999998"/>
    <n v="6"/>
    <n v="0"/>
    <n v="0"/>
    <n v="107"/>
    <s v="_x0000_peopl"/>
  </r>
  <r>
    <x v="6"/>
    <n v="13.694599999999999"/>
    <n v="-89.174099999999996"/>
    <n v="4"/>
    <n v="0"/>
    <n v="0"/>
    <n v="107"/>
    <s v="_x0000_peopl"/>
  </r>
  <r>
    <x v="6"/>
    <n v="13.690899999999999"/>
    <n v="-89.232699999999994"/>
    <n v="4"/>
    <n v="0"/>
    <n v="0"/>
    <n v="107"/>
    <s v="_x0000_peopl"/>
  </r>
  <r>
    <x v="6"/>
    <n v="13.6913"/>
    <n v="-89.219800000000006"/>
    <n v="7"/>
    <n v="0"/>
    <n v="0"/>
    <n v="107"/>
    <s v="_x0000_peopl"/>
  </r>
  <r>
    <x v="6"/>
    <n v="13.687099999999999"/>
    <n v="-89.181100000000001"/>
    <n v="8"/>
    <n v="0"/>
    <n v="0"/>
    <n v="107"/>
    <s v="_x0000_peopl"/>
  </r>
  <r>
    <x v="6"/>
    <n v="13.6959"/>
    <n v="-89.165899999999993"/>
    <n v="4"/>
    <n v="0"/>
    <n v="0"/>
    <n v="107"/>
    <s v="_x0000_peopl"/>
  </r>
  <r>
    <x v="6"/>
    <n v="13.6747"/>
    <n v="-89.199399999999997"/>
    <n v="4"/>
    <n v="0"/>
    <n v="0"/>
    <n v="107"/>
    <s v="_x0000_peopl"/>
  </r>
  <r>
    <x v="6"/>
    <n v="13.686999999999999"/>
    <n v="-89.201499999999996"/>
    <n v="5"/>
    <n v="0"/>
    <n v="0"/>
    <n v="107"/>
    <s v="_x0000_peopl"/>
  </r>
  <r>
    <x v="6"/>
    <n v="13.6907"/>
    <n v="-89.187299999999993"/>
    <n v="4"/>
    <n v="0"/>
    <n v="0"/>
    <n v="107"/>
    <s v="_x0000_peopl"/>
  </r>
  <r>
    <x v="6"/>
    <n v="13.6915"/>
    <n v="-89.185500000000005"/>
    <n v="4"/>
    <n v="0"/>
    <n v="0"/>
    <n v="107"/>
    <s v="_x0000_peopl"/>
  </r>
  <r>
    <x v="6"/>
    <n v="13.6898"/>
    <n v="-89.193899999999999"/>
    <n v="4"/>
    <n v="0"/>
    <n v="0"/>
    <n v="107"/>
    <s v="_x0000_peopl"/>
  </r>
  <r>
    <x v="6"/>
    <n v="13.691700000000001"/>
    <n v="-89.220799999999997"/>
    <n v="5"/>
    <n v="0"/>
    <n v="0"/>
    <n v="107"/>
    <s v="_x0000_peopl"/>
  </r>
  <r>
    <x v="6"/>
    <n v="13.6875"/>
    <n v="-89.1815"/>
    <n v="6"/>
    <n v="0"/>
    <n v="0"/>
    <n v="107"/>
    <s v="_x0000_peopl"/>
  </r>
  <r>
    <x v="6"/>
    <n v="13.6852"/>
    <n v="-89.216300000000004"/>
    <n v="5"/>
    <n v="0"/>
    <n v="0"/>
    <n v="107"/>
    <s v="_x0000_peopl"/>
  </r>
  <r>
    <x v="6"/>
    <n v="13.690799999999999"/>
    <n v="-89.235100000000003"/>
    <n v="6"/>
    <n v="0"/>
    <n v="0"/>
    <n v="107"/>
    <s v="_x0000_peopl"/>
  </r>
  <r>
    <x v="6"/>
    <n v="13.6921"/>
    <n v="-89.179199999999994"/>
    <n v="8"/>
    <n v="0"/>
    <n v="0"/>
    <n v="107"/>
    <s v="_x0000_peopl"/>
  </r>
  <r>
    <x v="6"/>
    <n v="13.688800000000001"/>
    <n v="-89.204400000000007"/>
    <n v="5"/>
    <n v="0"/>
    <n v="0"/>
    <n v="107"/>
    <s v="_x0000_peopl"/>
  </r>
  <r>
    <x v="6"/>
    <n v="13.689399999999999"/>
    <n v="-89.228999999999999"/>
    <n v="8"/>
    <n v="0"/>
    <n v="0"/>
    <n v="107"/>
    <s v="_x0000_peopl"/>
  </r>
  <r>
    <x v="6"/>
    <n v="13.689500000000001"/>
    <n v="-89.188900000000004"/>
    <n v="4"/>
    <n v="0"/>
    <n v="0"/>
    <n v="107"/>
    <s v="_x0000_peopl"/>
  </r>
  <r>
    <x v="6"/>
    <n v="13.6869"/>
    <n v="-89.194299999999998"/>
    <n v="5"/>
    <n v="0"/>
    <n v="0"/>
    <n v="107"/>
    <s v="_x0000_peopl"/>
  </r>
  <r>
    <x v="6"/>
    <n v="13.6752"/>
    <n v="-89.250200000000007"/>
    <n v="4"/>
    <n v="0"/>
    <n v="0"/>
    <n v="107"/>
    <s v="_x0000_peopl"/>
  </r>
  <r>
    <x v="6"/>
    <n v="13.6907"/>
    <n v="-89.181299999999993"/>
    <n v="6"/>
    <n v="0"/>
    <n v="0"/>
    <n v="107"/>
    <s v="_x0000_peopl"/>
  </r>
  <r>
    <x v="6"/>
    <n v="13.6906"/>
    <n v="-89.181299999999993"/>
    <n v="3"/>
    <n v="0"/>
    <n v="0"/>
    <n v="107"/>
    <s v="_x0000_peopl"/>
  </r>
  <r>
    <x v="6"/>
    <n v="13.689399999999999"/>
    <n v="-89.229100000000003"/>
    <n v="8"/>
    <n v="0"/>
    <n v="0"/>
    <n v="107"/>
    <s v="_x0000_peopl"/>
  </r>
  <r>
    <x v="6"/>
    <n v="13.692600000000001"/>
    <n v="-89.179299999999998"/>
    <n v="6"/>
    <n v="0"/>
    <n v="0"/>
    <n v="107"/>
    <s v="_x0000_peopl"/>
  </r>
  <r>
    <x v="6"/>
    <n v="13.6935"/>
    <n v="-89.176000000000002"/>
    <n v="6"/>
    <n v="0"/>
    <n v="0"/>
    <n v="107"/>
    <s v="_x0000_peopl"/>
  </r>
  <r>
    <x v="6"/>
    <n v="13.686299999999999"/>
    <n v="-89.203000000000003"/>
    <n v="4"/>
    <n v="0"/>
    <n v="0"/>
    <n v="107"/>
    <s v="_x0000_peopl"/>
  </r>
  <r>
    <x v="6"/>
    <n v="13.6798"/>
    <n v="-89.195400000000006"/>
    <n v="9"/>
    <n v="0"/>
    <n v="0"/>
    <n v="107"/>
    <s v="_x0000_peopl"/>
  </r>
  <r>
    <x v="6"/>
    <n v="13.689399999999999"/>
    <n v="-89.180700000000002"/>
    <n v="7"/>
    <n v="0"/>
    <n v="0"/>
    <n v="107"/>
    <s v="_x0000_peopl"/>
  </r>
  <r>
    <x v="6"/>
    <n v="13.6798"/>
    <n v="-89.194500000000005"/>
    <n v="4"/>
    <n v="0"/>
    <n v="0"/>
    <n v="107"/>
    <s v="_x0000_peopl"/>
  </r>
  <r>
    <x v="6"/>
    <n v="13.697100000000001"/>
    <n v="-89.171700000000001"/>
    <n v="3"/>
    <n v="0"/>
    <n v="0"/>
    <n v="107"/>
    <s v="_x0000_peopl"/>
  </r>
  <r>
    <x v="6"/>
    <n v="13.6943"/>
    <n v="-89.183300000000003"/>
    <n v="2"/>
    <n v="0"/>
    <n v="0"/>
    <n v="107"/>
    <s v="_x0000_peopl"/>
  </r>
  <r>
    <x v="6"/>
    <n v="13.6891"/>
    <n v="-89.205100000000002"/>
    <n v="6"/>
    <n v="0"/>
    <n v="0"/>
    <n v="107"/>
    <s v="_x0000_peopl"/>
  </r>
  <r>
    <x v="6"/>
    <n v="13.6892"/>
    <n v="-89.178100000000001"/>
    <n v="7"/>
    <n v="0"/>
    <n v="0"/>
    <n v="107"/>
    <s v="_x0000_peopl"/>
  </r>
  <r>
    <x v="6"/>
    <n v="13.6753"/>
    <n v="-89.250200000000007"/>
    <n v="5"/>
    <n v="0"/>
    <n v="0"/>
    <n v="107"/>
    <s v="_x0000_peopl"/>
  </r>
  <r>
    <x v="6"/>
    <n v="13.6851"/>
    <n v="-89.217100000000002"/>
    <n v="4"/>
    <n v="0"/>
    <n v="0"/>
    <n v="107"/>
    <s v="_x0000_peopl"/>
  </r>
  <r>
    <x v="6"/>
    <n v="13.6951"/>
    <n v="-89.172499999999999"/>
    <n v="6"/>
    <n v="0"/>
    <n v="0"/>
    <n v="107"/>
    <s v="_x0000_peopl"/>
  </r>
  <r>
    <x v="6"/>
    <n v="13.6911"/>
    <n v="-89.220399999999998"/>
    <n v="7"/>
    <n v="0"/>
    <n v="0"/>
    <n v="107"/>
    <s v="_x0000_peopl"/>
  </r>
  <r>
    <x v="6"/>
    <n v="13.6904"/>
    <n v="-89.194699999999997"/>
    <n v="7"/>
    <n v="0"/>
    <n v="0"/>
    <n v="107"/>
    <s v="_x0000_peopl"/>
  </r>
  <r>
    <x v="6"/>
    <n v="13.6927"/>
    <n v="-89.179000000000002"/>
    <n v="7"/>
    <n v="0"/>
    <n v="0"/>
    <n v="107"/>
    <s v="_x0000_peopl"/>
  </r>
  <r>
    <x v="6"/>
    <n v="13.688800000000001"/>
    <n v="-89.215400000000002"/>
    <n v="6"/>
    <n v="0"/>
    <n v="0"/>
    <n v="107"/>
    <s v="_x0000_peopl"/>
  </r>
  <r>
    <x v="6"/>
    <n v="13.6914"/>
    <n v="-89.185699999999997"/>
    <n v="4"/>
    <n v="0"/>
    <n v="0"/>
    <n v="107"/>
    <s v="_x0000_peopl"/>
  </r>
  <r>
    <x v="6"/>
    <n v="13.6873"/>
    <n v="-89.197900000000004"/>
    <n v="2"/>
    <n v="0"/>
    <n v="0"/>
    <n v="107"/>
    <s v="_x0000_peopl"/>
  </r>
  <r>
    <x v="6"/>
    <n v="13.692299999999999"/>
    <n v="-89.174700000000001"/>
    <n v="8"/>
    <n v="0"/>
    <n v="0"/>
    <n v="107"/>
    <s v="_x0000_peopl"/>
  </r>
  <r>
    <x v="6"/>
    <n v="13.6921"/>
    <n v="-89.185699999999997"/>
    <n v="6"/>
    <n v="0"/>
    <n v="0"/>
    <n v="107"/>
    <s v="_x0000_peopl"/>
  </r>
  <r>
    <x v="6"/>
    <n v="13.6929"/>
    <n v="-89.178200000000004"/>
    <n v="4"/>
    <n v="0"/>
    <n v="0"/>
    <n v="107"/>
    <s v="_x0000_peopl"/>
  </r>
  <r>
    <x v="6"/>
    <n v="13.6943"/>
    <n v="-89.188999999999993"/>
    <n v="3"/>
    <n v="0"/>
    <n v="0"/>
    <n v="107"/>
    <s v="_x0000_peopl"/>
  </r>
  <r>
    <x v="6"/>
    <n v="13.6798"/>
    <n v="-89.194999999999993"/>
    <n v="4"/>
    <n v="0"/>
    <n v="0"/>
    <n v="107"/>
    <s v="_x0000_peopl"/>
  </r>
  <r>
    <x v="6"/>
    <n v="13.673299999999999"/>
    <n v="-89.204300000000003"/>
    <n v="4"/>
    <n v="0"/>
    <n v="0"/>
    <n v="107"/>
    <s v="_x0000_peopl"/>
  </r>
  <r>
    <x v="6"/>
    <n v="13.6972"/>
    <n v="-89.171199999999999"/>
    <n v="4"/>
    <n v="0"/>
    <n v="0"/>
    <n v="107"/>
    <s v="_x0000_peopl"/>
  </r>
  <r>
    <x v="6"/>
    <n v="13.6889"/>
    <n v="-89.229399999999998"/>
    <n v="4"/>
    <n v="0"/>
    <n v="0"/>
    <n v="107"/>
    <s v="_x0000_peopl"/>
  </r>
  <r>
    <x v="6"/>
    <n v="13.689299999999999"/>
    <n v="-89.2363"/>
    <n v="5"/>
    <n v="0"/>
    <n v="0"/>
    <n v="107"/>
    <s v="_x0000_peopl"/>
  </r>
  <r>
    <x v="6"/>
    <n v="13.689500000000001"/>
    <n v="-89.184600000000003"/>
    <n v="3"/>
    <n v="0"/>
    <n v="0"/>
    <n v="107"/>
    <s v="_x0000_peopl"/>
  </r>
  <r>
    <x v="6"/>
    <n v="13.6912"/>
    <n v="-89.190299999999993"/>
    <n v="3"/>
    <n v="0"/>
    <n v="0"/>
    <n v="107"/>
    <s v="_x0000_peopl"/>
  </r>
  <r>
    <x v="6"/>
    <n v="13.695600000000001"/>
    <n v="-89.174000000000007"/>
    <n v="2"/>
    <n v="0"/>
    <n v="0"/>
    <n v="107"/>
    <s v="_x0000_peopl"/>
  </r>
  <r>
    <x v="6"/>
    <n v="13.6911"/>
    <n v="-89.188500000000005"/>
    <n v="5"/>
    <n v="0"/>
    <n v="0"/>
    <n v="107"/>
    <s v="_x0000_peopl"/>
  </r>
  <r>
    <x v="6"/>
    <n v="13.691000000000001"/>
    <n v="-89.2333"/>
    <n v="3"/>
    <n v="0"/>
    <n v="0"/>
    <n v="107"/>
    <s v="_x0000_peopl"/>
  </r>
  <r>
    <x v="6"/>
    <n v="13.6883"/>
    <n v="-89.204400000000007"/>
    <n v="3"/>
    <n v="0"/>
    <n v="0"/>
    <n v="107"/>
    <s v="_x0000_peopl"/>
  </r>
  <r>
    <x v="6"/>
    <n v="13.6921"/>
    <n v="-89.223399999999998"/>
    <n v="6"/>
    <n v="0"/>
    <n v="0"/>
    <n v="107"/>
    <s v="_x0000_peopl"/>
  </r>
  <r>
    <x v="6"/>
    <n v="13.690300000000001"/>
    <n v="-89.217500000000001"/>
    <n v="3"/>
    <n v="0"/>
    <n v="0"/>
    <n v="107"/>
    <s v="_x0000_peopl"/>
  </r>
  <r>
    <x v="6"/>
    <n v="13.6913"/>
    <n v="-89.219700000000003"/>
    <n v="1"/>
    <n v="0"/>
    <n v="0"/>
    <n v="107"/>
    <s v="_x0000_peopl"/>
  </r>
  <r>
    <x v="6"/>
    <n v="13.6934"/>
    <n v="-89.188800000000001"/>
    <n v="0"/>
    <n v="0"/>
    <n v="0"/>
    <n v="107"/>
    <s v="_x0000_peopl"/>
  </r>
  <r>
    <x v="6"/>
    <n v="13.6959"/>
    <n v="-89.172200000000004"/>
    <n v="2"/>
    <n v="0"/>
    <n v="0"/>
    <n v="107"/>
    <s v="_x0000_peopl"/>
  </r>
  <r>
    <x v="6"/>
    <n v="13.6915"/>
    <n v="-89.197400000000002"/>
    <n v="2"/>
    <n v="0"/>
    <n v="0"/>
    <n v="107"/>
    <s v="_x0000_peopl"/>
  </r>
  <r>
    <x v="6"/>
    <n v="13.688800000000001"/>
    <n v="-89.211699999999993"/>
    <n v="5"/>
    <n v="0"/>
    <n v="0"/>
    <n v="107"/>
    <s v="_x0000_peopl"/>
  </r>
  <r>
    <x v="6"/>
    <n v="13.690899999999999"/>
    <n v="-89.190700000000007"/>
    <n v="5"/>
    <n v="0"/>
    <n v="0"/>
    <n v="107"/>
    <s v="_x0000_peopl"/>
  </r>
  <r>
    <x v="6"/>
    <n v="13.6943"/>
    <n v="-89.174999999999997"/>
    <n v="5"/>
    <n v="0"/>
    <n v="0"/>
    <n v="107"/>
    <s v="_x0000_peopl"/>
  </r>
  <r>
    <x v="6"/>
    <n v="13.691700000000001"/>
    <n v="-89.1785"/>
    <n v="6"/>
    <n v="0"/>
    <n v="0"/>
    <n v="107"/>
    <s v="_x0000_peopl"/>
  </r>
  <r>
    <x v="6"/>
    <n v="13.690899999999999"/>
    <n v="-89.187200000000004"/>
    <n v="4"/>
    <n v="0"/>
    <n v="0"/>
    <n v="107"/>
    <s v="_x0000_peopl"/>
  </r>
  <r>
    <x v="6"/>
    <n v="13.6875"/>
    <n v="-89.194500000000005"/>
    <n v="2"/>
    <n v="0"/>
    <n v="0"/>
    <n v="107"/>
    <s v="_x0000_peopl"/>
  </r>
  <r>
    <x v="6"/>
    <n v="13.6922"/>
    <n v="-89.196899999999999"/>
    <n v="2"/>
    <n v="0"/>
    <n v="0"/>
    <n v="107"/>
    <s v="_x0000_peopl"/>
  </r>
  <r>
    <x v="6"/>
    <n v="13.6859"/>
    <n v="-89.214799999999997"/>
    <n v="6"/>
    <n v="0"/>
    <n v="0"/>
    <n v="107"/>
    <s v="_x0000_peopl"/>
  </r>
  <r>
    <x v="6"/>
    <n v="13.6934"/>
    <n v="-89.188299999999998"/>
    <n v="6"/>
    <n v="0"/>
    <n v="0"/>
    <n v="107"/>
    <s v="_x0000_peopl"/>
  </r>
  <r>
    <x v="6"/>
    <n v="13.685499999999999"/>
    <n v="-89.201499999999996"/>
    <n v="6"/>
    <n v="0"/>
    <n v="0"/>
    <n v="107"/>
    <s v="_x0000_peopl"/>
  </r>
  <r>
    <x v="6"/>
    <n v="13.6891"/>
    <n v="-89.18"/>
    <n v="5"/>
    <n v="0"/>
    <n v="0"/>
    <n v="107"/>
    <s v="_x0000_peopl"/>
  </r>
  <r>
    <x v="6"/>
    <n v="13.6904"/>
    <n v="-89.233800000000002"/>
    <n v="9"/>
    <n v="0"/>
    <n v="0"/>
    <n v="107"/>
    <s v="_x0000_peopl"/>
  </r>
  <r>
    <x v="6"/>
    <n v="13.6899"/>
    <n v="-89.189400000000006"/>
    <n v="3"/>
    <n v="0"/>
    <n v="0"/>
    <n v="107"/>
    <s v="_x0000_peopl"/>
  </r>
  <r>
    <x v="6"/>
    <n v="13.692500000000001"/>
    <n v="-89.226100000000002"/>
    <n v="2"/>
    <n v="0"/>
    <n v="0"/>
    <n v="107"/>
    <s v="_x0000_peopl"/>
  </r>
  <r>
    <x v="6"/>
    <n v="13.6912"/>
    <n v="-89.229600000000005"/>
    <n v="6"/>
    <n v="0"/>
    <n v="0"/>
    <n v="107"/>
    <s v="_x0000_peopl"/>
  </r>
  <r>
    <x v="6"/>
    <n v="13.691000000000001"/>
    <n v="-89.228700000000003"/>
    <n v="9"/>
    <n v="0"/>
    <n v="0"/>
    <n v="107"/>
    <s v="_x0000_peopl"/>
  </r>
  <r>
    <x v="6"/>
    <n v="13.6934"/>
    <n v="-89.176299999999998"/>
    <n v="3"/>
    <n v="0"/>
    <n v="0"/>
    <n v="107"/>
    <s v="_x0000_peopl"/>
  </r>
  <r>
    <x v="6"/>
    <n v="13.6915"/>
    <n v="-89.228700000000003"/>
    <n v="9"/>
    <n v="0"/>
    <n v="0"/>
    <n v="107"/>
    <s v="_x0000_peopl"/>
  </r>
  <r>
    <x v="6"/>
    <n v="13.688000000000001"/>
    <n v="-89.237099999999998"/>
    <n v="4"/>
    <n v="0"/>
    <n v="0"/>
    <n v="107"/>
    <s v="_x0000_peopl"/>
  </r>
  <r>
    <x v="6"/>
    <n v="13.6943"/>
    <n v="-89.172600000000003"/>
    <n v="5"/>
    <n v="0"/>
    <n v="0"/>
    <n v="107"/>
    <s v="_x0000_peopl"/>
  </r>
  <r>
    <x v="6"/>
    <n v="13.692299999999999"/>
    <n v="-89.184799999999996"/>
    <n v="7"/>
    <n v="0"/>
    <n v="0"/>
    <n v="107"/>
    <s v="_x0000_peopl"/>
  </r>
  <r>
    <x v="6"/>
    <n v="13.688499999999999"/>
    <n v="-89.216099999999997"/>
    <n v="3"/>
    <n v="0"/>
    <n v="0"/>
    <n v="107"/>
    <s v="_x0000_peopl"/>
  </r>
  <r>
    <x v="6"/>
    <n v="13.6914"/>
    <n v="-89.228800000000007"/>
    <n v="5"/>
    <n v="0"/>
    <n v="0"/>
    <n v="107"/>
    <s v="_x0000_peopl"/>
  </r>
  <r>
    <x v="6"/>
    <n v="13.687099999999999"/>
    <n v="-89.1828"/>
    <n v="5"/>
    <n v="0"/>
    <n v="0"/>
    <n v="107"/>
    <s v="_x0000_peopl"/>
  </r>
  <r>
    <x v="6"/>
    <n v="13.691700000000001"/>
    <n v="-89.232399999999998"/>
    <n v="2"/>
    <n v="0"/>
    <n v="0"/>
    <n v="107"/>
    <s v="_x0000_peopl"/>
  </r>
  <r>
    <x v="6"/>
    <n v="13.689299999999999"/>
    <n v="-89.207499999999996"/>
    <n v="9"/>
    <n v="0"/>
    <n v="0"/>
    <n v="107"/>
    <s v="_x0000_peopl"/>
  </r>
  <r>
    <x v="6"/>
    <n v="13.6897"/>
    <n v="-89.229100000000003"/>
    <n v="5"/>
    <n v="0"/>
    <n v="0"/>
    <n v="107"/>
    <s v="_x0000_peopl"/>
  </r>
  <r>
    <x v="6"/>
    <n v="13.6929"/>
    <n v="-89.177899999999994"/>
    <n v="2"/>
    <n v="0"/>
    <n v="0"/>
    <n v="107"/>
    <s v="_x0000_peopl"/>
  </r>
  <r>
    <x v="6"/>
    <n v="13.6911"/>
    <n v="-89.218800000000002"/>
    <n v="8"/>
    <n v="0"/>
    <n v="0"/>
    <n v="107"/>
    <s v="_x0000_peopl"/>
  </r>
  <r>
    <x v="6"/>
    <n v="13.6915"/>
    <n v="-89.189300000000003"/>
    <n v="1"/>
    <n v="0"/>
    <n v="0"/>
    <n v="107"/>
    <s v="_x0000_peopl"/>
  </r>
  <r>
    <x v="6"/>
    <n v="13.692600000000001"/>
    <n v="-89.179400000000001"/>
    <n v="2"/>
    <n v="0"/>
    <n v="0"/>
    <n v="107"/>
    <s v="_x0000_peopl"/>
  </r>
  <r>
    <x v="6"/>
    <n v="13.6747"/>
    <n v="-89.1995"/>
    <n v="4"/>
    <n v="0"/>
    <n v="0"/>
    <n v="107"/>
    <s v="_x0000_peopl"/>
  </r>
  <r>
    <x v="6"/>
    <n v="13.692500000000001"/>
    <n v="-89.223399999999998"/>
    <n v="4"/>
    <n v="0"/>
    <n v="0"/>
    <n v="107"/>
    <s v="_x0000_peopl"/>
  </r>
  <r>
    <x v="6"/>
    <n v="13.6873"/>
    <n v="-89.181700000000006"/>
    <n v="6"/>
    <n v="0"/>
    <n v="0"/>
    <n v="107"/>
    <s v="_x0000_peopl"/>
  </r>
  <r>
    <x v="6"/>
    <n v="13.6944"/>
    <n v="-89.188999999999993"/>
    <n v="4"/>
    <n v="0"/>
    <n v="0"/>
    <n v="107"/>
    <s v="_x0000_peopl"/>
  </r>
  <r>
    <x v="6"/>
    <n v="13.6914"/>
    <n v="-89.185299999999998"/>
    <n v="5"/>
    <n v="0"/>
    <n v="0"/>
    <n v="107"/>
    <s v="_x0000_peopl"/>
  </r>
  <r>
    <x v="6"/>
    <n v="13.694900000000001"/>
    <n v="-89.172200000000004"/>
    <n v="10"/>
    <n v="0"/>
    <n v="0"/>
    <n v="107"/>
    <s v="_x0000_peopl"/>
  </r>
  <r>
    <x v="6"/>
    <n v="13.6861"/>
    <n v="-89.215999999999994"/>
    <n v="9"/>
    <n v="0"/>
    <n v="0"/>
    <n v="107"/>
    <s v="_x0000_peopl"/>
  </r>
  <r>
    <x v="6"/>
    <n v="13.6738"/>
    <n v="-89.2029"/>
    <n v="6"/>
    <n v="0"/>
    <n v="0"/>
    <n v="107"/>
    <s v="_x0000_peopl"/>
  </r>
  <r>
    <x v="6"/>
    <n v="13.692399999999999"/>
    <n v="-89.183400000000006"/>
    <n v="5"/>
    <n v="0"/>
    <n v="0"/>
    <n v="107"/>
    <s v="_x0000_peopl"/>
  </r>
  <r>
    <x v="6"/>
    <n v="13.6891"/>
    <n v="-89.178700000000006"/>
    <n v="3"/>
    <n v="0"/>
    <n v="0"/>
    <n v="107"/>
    <s v="_x0000_peopl"/>
  </r>
  <r>
    <x v="6"/>
    <n v="13.688000000000001"/>
    <n v="-89.215599999999995"/>
    <n v="5"/>
    <n v="0"/>
    <n v="0"/>
    <n v="107"/>
    <s v="_x0000_peopl"/>
  </r>
  <r>
    <x v="6"/>
    <n v="13.6945"/>
    <n v="-89.185299999999998"/>
    <n v="1"/>
    <n v="0"/>
    <n v="0"/>
    <n v="107"/>
    <s v="_x0000_peopl"/>
  </r>
  <r>
    <x v="6"/>
    <n v="13.687799999999999"/>
    <n v="-89.216200000000001"/>
    <n v="6"/>
    <n v="0"/>
    <n v="0"/>
    <n v="107"/>
    <s v="_x0000_peopl"/>
  </r>
  <r>
    <x v="6"/>
    <n v="13.6858"/>
    <n v="-89.202500000000001"/>
    <n v="5"/>
    <n v="0"/>
    <n v="0"/>
    <n v="107"/>
    <s v="_x0000_peopl"/>
  </r>
  <r>
    <x v="6"/>
    <n v="13.6873"/>
    <n v="-89.195700000000002"/>
    <n v="4"/>
    <n v="0"/>
    <n v="0"/>
    <n v="107"/>
    <s v="_x0000_peopl"/>
  </r>
  <r>
    <x v="6"/>
    <n v="13.695600000000001"/>
    <n v="-89.173199999999994"/>
    <n v="5"/>
    <n v="0"/>
    <n v="0"/>
    <n v="107"/>
    <s v="_x0000_peopl"/>
  </r>
  <r>
    <x v="6"/>
    <n v="13.689299999999999"/>
    <n v="-89.184200000000004"/>
    <n v="4"/>
    <n v="0"/>
    <n v="0"/>
    <n v="107"/>
    <s v="_x0000_peopl"/>
  </r>
  <r>
    <x v="6"/>
    <n v="13.6912"/>
    <n v="-89.235100000000003"/>
    <n v="3"/>
    <n v="0"/>
    <n v="0"/>
    <n v="107"/>
    <s v="_x0000_peopl"/>
  </r>
  <r>
    <x v="6"/>
    <n v="13.6904"/>
    <n v="-89.194800000000001"/>
    <n v="4"/>
    <n v="0"/>
    <n v="0"/>
    <n v="107"/>
    <s v="_x0000_peopl"/>
  </r>
  <r>
    <x v="6"/>
    <n v="13.689500000000001"/>
    <n v="-89.235900000000001"/>
    <n v="4"/>
    <n v="0"/>
    <n v="0"/>
    <n v="107"/>
    <s v="_x0000_peopl"/>
  </r>
  <r>
    <x v="6"/>
    <n v="13.6906"/>
    <n v="-89.234999999999999"/>
    <n v="5"/>
    <n v="0"/>
    <n v="0"/>
    <n v="107"/>
    <s v="_x0000_peopl"/>
  </r>
  <r>
    <x v="6"/>
    <n v="13.692"/>
    <n v="-89.185500000000005"/>
    <n v="3"/>
    <n v="0"/>
    <n v="0"/>
    <n v="107"/>
    <s v="_x0000_peopl"/>
  </r>
  <r>
    <x v="6"/>
    <n v="13.6904"/>
    <n v="-89.194500000000005"/>
    <n v="5"/>
    <n v="0"/>
    <n v="0"/>
    <n v="107"/>
    <s v="_x0000_peopl"/>
  </r>
  <r>
    <x v="6"/>
    <n v="13.6873"/>
    <n v="-89.203999999999994"/>
    <n v="4"/>
    <n v="0"/>
    <n v="0"/>
    <n v="107"/>
    <s v="_x0000_peopl"/>
  </r>
  <r>
    <x v="6"/>
    <n v="13.686299999999999"/>
    <n v="-89.212500000000006"/>
    <n v="5"/>
    <n v="0"/>
    <n v="0"/>
    <n v="107"/>
    <s v="_x0000_peopl"/>
  </r>
  <r>
    <x v="6"/>
    <n v="13.6958"/>
    <n v="-89.165499999999994"/>
    <n v="5"/>
    <n v="0"/>
    <n v="0"/>
    <n v="107"/>
    <s v="_x0000_peopl"/>
  </r>
  <r>
    <x v="6"/>
    <n v="13.6906"/>
    <n v="-89.178799999999995"/>
    <n v="5"/>
    <n v="0"/>
    <n v="0"/>
    <n v="107"/>
    <s v="_x0000_peopl"/>
  </r>
  <r>
    <x v="6"/>
    <n v="13.691599999999999"/>
    <n v="-89.220500000000001"/>
    <n v="7"/>
    <n v="0"/>
    <n v="0"/>
    <n v="107"/>
    <s v="_x0000_peopl"/>
  </r>
  <r>
    <x v="6"/>
    <n v="13.6921"/>
    <n v="-89.178799999999995"/>
    <n v="5"/>
    <n v="0"/>
    <n v="0"/>
    <n v="107"/>
    <s v="_x0000_peopl"/>
  </r>
  <r>
    <x v="6"/>
    <n v="13.6875"/>
    <n v="-89.197199999999995"/>
    <n v="5"/>
    <n v="0"/>
    <n v="0"/>
    <n v="107"/>
    <s v="_x0000_peopl"/>
  </r>
  <r>
    <x v="6"/>
    <n v="13.6904"/>
    <n v="-89.186700000000002"/>
    <n v="6"/>
    <n v="0"/>
    <n v="0"/>
    <n v="107"/>
    <s v="_x0000_peopl"/>
  </r>
  <r>
    <x v="6"/>
    <n v="13.6922"/>
    <n v="-89.226200000000006"/>
    <n v="6"/>
    <n v="0"/>
    <n v="0"/>
    <n v="107"/>
    <s v="_x0000_peopl"/>
  </r>
  <r>
    <x v="6"/>
    <n v="13.677099999999999"/>
    <n v="-89.247299999999996"/>
    <n v="6"/>
    <n v="0"/>
    <n v="0"/>
    <n v="107"/>
    <s v="_x0000_peopl"/>
  </r>
  <r>
    <x v="6"/>
    <n v="13.6912"/>
    <n v="-89.234499999999997"/>
    <n v="4"/>
    <n v="0"/>
    <n v="0"/>
    <n v="107"/>
    <s v="_x0000_peopl"/>
  </r>
  <r>
    <x v="6"/>
    <n v="13.6746"/>
    <n v="-89.199600000000004"/>
    <n v="7"/>
    <n v="0"/>
    <n v="0"/>
    <n v="107"/>
    <s v="_x0000_peopl"/>
  </r>
  <r>
    <x v="6"/>
    <n v="13.6898"/>
    <n v="-89.177499999999995"/>
    <n v="3"/>
    <n v="0"/>
    <n v="0"/>
    <n v="107"/>
    <s v="_x0000_peopl"/>
  </r>
  <r>
    <x v="6"/>
    <n v="13.6869"/>
    <n v="-89.201499999999996"/>
    <n v="2"/>
    <n v="0"/>
    <n v="0"/>
    <n v="107"/>
    <s v="_x0000_peopl"/>
  </r>
  <r>
    <x v="6"/>
    <n v="13.675599999999999"/>
    <n v="-89.247399999999999"/>
    <n v="3"/>
    <n v="0"/>
    <n v="0"/>
    <n v="107"/>
    <s v="_x0000_peopl"/>
  </r>
  <r>
    <x v="6"/>
    <n v="13.674799999999999"/>
    <n v="-89.252099999999999"/>
    <n v="5"/>
    <n v="0"/>
    <n v="0"/>
    <n v="107"/>
    <s v="_x0000_peopl"/>
  </r>
  <r>
    <x v="6"/>
    <n v="13.6922"/>
    <n v="-89.184899999999999"/>
    <n v="6"/>
    <n v="0"/>
    <n v="0"/>
    <n v="107"/>
    <s v="_x0000_peopl"/>
  </r>
  <r>
    <x v="6"/>
    <n v="13.6951"/>
    <n v="-89.174899999999994"/>
    <n v="2"/>
    <n v="0"/>
    <n v="0"/>
    <n v="107"/>
    <s v="_x0000_peopl"/>
  </r>
  <r>
    <x v="6"/>
    <n v="13.690899999999999"/>
    <n v="-89.234999999999999"/>
    <n v="5"/>
    <n v="0"/>
    <n v="0"/>
    <n v="107"/>
    <s v="_x0000_peopl"/>
  </r>
  <r>
    <x v="6"/>
    <n v="13.673"/>
    <n v="-89.204400000000007"/>
    <n v="6"/>
    <n v="0"/>
    <n v="0"/>
    <n v="107"/>
    <s v="_x0000_peopl"/>
  </r>
  <r>
    <x v="6"/>
    <n v="13.6906"/>
    <n v="-89.235100000000003"/>
    <n v="6"/>
    <n v="0"/>
    <n v="0"/>
    <n v="107"/>
    <s v="_x0000_peopl"/>
  </r>
  <r>
    <x v="6"/>
    <n v="13.6944"/>
    <n v="-89.175200000000004"/>
    <n v="4"/>
    <n v="0"/>
    <n v="0"/>
    <n v="107"/>
    <s v="_x0000_peopl"/>
  </r>
  <r>
    <x v="6"/>
    <n v="13.6907"/>
    <n v="-89.234899999999996"/>
    <n v="7"/>
    <n v="0"/>
    <n v="0"/>
    <n v="107"/>
    <s v="_x0000_peopl"/>
  </r>
  <r>
    <x v="6"/>
    <n v="13.6928"/>
    <n v="-89.183700000000002"/>
    <n v="5"/>
    <n v="0"/>
    <n v="0"/>
    <n v="107"/>
    <s v="_x0000_peopl"/>
  </r>
  <r>
    <x v="6"/>
    <n v="13.6896"/>
    <n v="-89.185299999999998"/>
    <n v="7"/>
    <n v="0"/>
    <n v="0"/>
    <n v="107"/>
    <s v="_x0000_peopl"/>
  </r>
  <r>
    <x v="6"/>
    <n v="13.6907"/>
    <n v="-89.235699999999994"/>
    <n v="2"/>
    <n v="0"/>
    <n v="0"/>
    <n v="107"/>
    <s v="_x0000_peopl"/>
  </r>
  <r>
    <x v="6"/>
    <n v="13.687200000000001"/>
    <n v="-89.181799999999996"/>
    <n v="2"/>
    <n v="0"/>
    <n v="0"/>
    <n v="107"/>
    <s v="_x0000_peopl"/>
  </r>
  <r>
    <x v="6"/>
    <n v="13.6919"/>
    <n v="-89.221699999999998"/>
    <n v="5"/>
    <n v="0"/>
    <n v="0"/>
    <n v="107"/>
    <s v="_x0000_peopl"/>
  </r>
  <r>
    <x v="6"/>
    <n v="13.677"/>
    <n v="-89.2483"/>
    <n v="3"/>
    <n v="0"/>
    <n v="0"/>
    <n v="107"/>
    <s v="_x0000_peopl"/>
  </r>
  <r>
    <x v="6"/>
    <n v="13.6858"/>
    <n v="-89.215299999999999"/>
    <n v="7"/>
    <n v="0"/>
    <n v="0"/>
    <n v="107"/>
    <s v="_x0000_peopl"/>
  </r>
  <r>
    <x v="6"/>
    <n v="13.6965"/>
    <n v="-89.171800000000005"/>
    <n v="5"/>
    <n v="0"/>
    <n v="0"/>
    <n v="107"/>
    <s v="_x0000_peopl"/>
  </r>
  <r>
    <x v="6"/>
    <n v="13.680899999999999"/>
    <n v="-89.195899999999995"/>
    <n v="4"/>
    <n v="0"/>
    <n v="0"/>
    <n v="107"/>
    <s v="_x0000_peopl"/>
  </r>
  <r>
    <x v="6"/>
    <n v="13.6913"/>
    <n v="-89.183999999999997"/>
    <n v="7"/>
    <n v="0"/>
    <n v="0"/>
    <n v="107"/>
    <s v="_x0000_peopl"/>
  </r>
  <r>
    <x v="6"/>
    <n v="13.6919"/>
    <n v="-89.194299999999998"/>
    <n v="3"/>
    <n v="0"/>
    <n v="0"/>
    <n v="107"/>
    <s v="_x0000_peopl"/>
  </r>
  <r>
    <x v="6"/>
    <n v="13.6928"/>
    <n v="-89.178200000000004"/>
    <n v="7"/>
    <n v="0"/>
    <n v="0"/>
    <n v="107"/>
    <s v="_x0000_peopl"/>
  </r>
  <r>
    <x v="6"/>
    <n v="13.6877"/>
    <n v="-89.215800000000002"/>
    <n v="4"/>
    <n v="0"/>
    <n v="0"/>
    <n v="107"/>
    <s v="_x0000_peopl"/>
  </r>
  <r>
    <x v="6"/>
    <n v="13.6877"/>
    <n v="-89.181399999999996"/>
    <n v="4"/>
    <n v="0"/>
    <n v="0"/>
    <n v="107"/>
    <s v="_x0000_peopl"/>
  </r>
  <r>
    <x v="6"/>
    <n v="13.6866"/>
    <n v="-89.203800000000001"/>
    <n v="8"/>
    <n v="0"/>
    <n v="0"/>
    <n v="107"/>
    <s v="_x0000_peopl"/>
  </r>
  <r>
    <x v="6"/>
    <n v="13.6869"/>
    <n v="-89.215199999999996"/>
    <n v="4"/>
    <n v="0"/>
    <n v="0"/>
    <n v="107"/>
    <s v="_x0000_peopl"/>
  </r>
  <r>
    <x v="6"/>
    <n v="13.69"/>
    <n v="-89.197699999999998"/>
    <n v="6"/>
    <n v="0"/>
    <n v="0"/>
    <n v="107"/>
    <s v="_x0000_peopl"/>
  </r>
  <r>
    <x v="6"/>
    <n v="13.6873"/>
    <n v="-89.194000000000003"/>
    <n v="5"/>
    <n v="0"/>
    <n v="0"/>
    <n v="107"/>
    <s v="_x0000_peopl"/>
  </r>
  <r>
    <x v="6"/>
    <n v="13.6967"/>
    <n v="-89.171599999999998"/>
    <n v="11"/>
    <n v="0"/>
    <n v="0"/>
    <n v="107"/>
    <s v="_x0000_peopl"/>
  </r>
  <r>
    <x v="6"/>
    <n v="13.6853"/>
    <n v="-89.212100000000007"/>
    <n v="7"/>
    <n v="0"/>
    <n v="0"/>
    <n v="107"/>
    <s v="_x0000_peopl"/>
  </r>
  <r>
    <x v="6"/>
    <n v="13.693199999999999"/>
    <n v="-89.189899999999994"/>
    <n v="2"/>
    <n v="0"/>
    <n v="0"/>
    <n v="107"/>
    <s v="_x0000_peopl"/>
  </r>
  <r>
    <x v="6"/>
    <n v="13.6869"/>
    <n v="-89.204400000000007"/>
    <n v="6"/>
    <n v="0"/>
    <n v="0"/>
    <n v="107"/>
    <s v="_x0000_peopl"/>
  </r>
  <r>
    <x v="6"/>
    <n v="13.6892"/>
    <n v="-89.190100000000001"/>
    <n v="9"/>
    <n v="0"/>
    <n v="0"/>
    <n v="107"/>
    <s v="_x0000_peopl"/>
  </r>
  <r>
    <x v="6"/>
    <n v="13.6919"/>
    <n v="-89.221599999999995"/>
    <n v="3"/>
    <n v="0"/>
    <n v="0"/>
    <n v="107"/>
    <s v="_x0000_peopl"/>
  </r>
  <r>
    <x v="6"/>
    <n v="13.693"/>
    <n v="-89.176599999999993"/>
    <n v="5"/>
    <n v="0"/>
    <n v="0"/>
    <n v="107"/>
    <s v="_x0000_peopl"/>
  </r>
  <r>
    <x v="6"/>
    <n v="13.6876"/>
    <n v="-89.214600000000004"/>
    <n v="6"/>
    <n v="0"/>
    <n v="0"/>
    <n v="107"/>
    <s v="_x0000_peopl"/>
  </r>
  <r>
    <x v="6"/>
    <n v="13.6767"/>
    <n v="-89.247900000000001"/>
    <n v="1"/>
    <n v="0"/>
    <n v="0"/>
    <n v="107"/>
    <s v="_x0000_peopl"/>
  </r>
  <r>
    <x v="6"/>
    <n v="13.690799999999999"/>
    <n v="-89.232900000000001"/>
    <n v="3"/>
    <n v="0"/>
    <n v="0"/>
    <n v="107"/>
    <s v="_x0000_peopl"/>
  </r>
  <r>
    <x v="6"/>
    <n v="13.679"/>
    <n v="-89.196399999999997"/>
    <n v="6"/>
    <n v="0"/>
    <n v="0"/>
    <n v="107"/>
    <s v="_x0000_peopl"/>
  </r>
  <r>
    <x v="6"/>
    <n v="13.6745"/>
    <n v="-89.1995"/>
    <n v="5"/>
    <n v="0"/>
    <n v="0"/>
    <n v="107"/>
    <s v="_x0000_peopl"/>
  </r>
  <r>
    <x v="6"/>
    <n v="13.696400000000001"/>
    <n v="-89.171700000000001"/>
    <n v="3"/>
    <n v="0"/>
    <n v="0"/>
    <n v="107"/>
    <s v="_x0000_peopl"/>
  </r>
  <r>
    <x v="6"/>
    <n v="13.695"/>
    <n v="-89.171800000000005"/>
    <n v="2"/>
    <n v="0"/>
    <n v="0"/>
    <n v="107"/>
    <s v="_x0000_peopl"/>
  </r>
  <r>
    <x v="6"/>
    <n v="13.690099999999999"/>
    <n v="-89.177499999999995"/>
    <n v="11"/>
    <n v="0"/>
    <n v="0"/>
    <n v="107"/>
    <s v="_x0000_peopl"/>
  </r>
  <r>
    <x v="6"/>
    <n v="13.6944"/>
    <n v="-89.174899999999994"/>
    <n v="5"/>
    <n v="0"/>
    <n v="0"/>
    <n v="107"/>
    <s v="_x0000_peopl"/>
  </r>
  <r>
    <x v="6"/>
    <n v="13.6883"/>
    <n v="-89.198300000000003"/>
    <n v="5"/>
    <n v="0"/>
    <n v="0"/>
    <n v="107"/>
    <s v="_x0000_peopl"/>
  </r>
  <r>
    <x v="6"/>
    <n v="13.6792"/>
    <n v="-89.196600000000004"/>
    <n v="6"/>
    <n v="0"/>
    <n v="0"/>
    <n v="107"/>
    <s v="_x0000_peopl"/>
  </r>
  <r>
    <x v="6"/>
    <n v="13.6936"/>
    <n v="-89.176199999999994"/>
    <n v="6"/>
    <n v="0"/>
    <n v="0"/>
    <n v="107"/>
    <s v="_x0000_peopl"/>
  </r>
  <r>
    <x v="6"/>
    <n v="13.6859"/>
    <n v="-89.201800000000006"/>
    <n v="4"/>
    <n v="0"/>
    <n v="0"/>
    <n v="107"/>
    <s v="_x0000_peopl"/>
  </r>
  <r>
    <x v="6"/>
    <n v="13.691700000000001"/>
    <n v="-89.185500000000005"/>
    <n v="5"/>
    <n v="0"/>
    <n v="0"/>
    <n v="107"/>
    <s v="_x0000_peopl"/>
  </r>
  <r>
    <x v="6"/>
    <n v="13.6858"/>
    <n v="-89.215500000000006"/>
    <n v="3"/>
    <n v="0"/>
    <n v="0"/>
    <n v="107"/>
    <s v="_x0000_peopl"/>
  </r>
  <r>
    <x v="6"/>
    <n v="13.694699999999999"/>
    <n v="-89.172300000000007"/>
    <n v="6"/>
    <n v="0"/>
    <n v="0"/>
    <n v="107"/>
    <s v="_x0000_peopl"/>
  </r>
  <r>
    <x v="6"/>
    <n v="13.6869"/>
    <n v="-89.201499999999996"/>
    <n v="6"/>
    <n v="0"/>
    <n v="0"/>
    <n v="107"/>
    <s v="_x0000_peopl"/>
  </r>
  <r>
    <x v="6"/>
    <n v="13.694100000000001"/>
    <n v="-89.174800000000005"/>
    <n v="4"/>
    <n v="0"/>
    <n v="0"/>
    <n v="107"/>
    <s v="_x0000_peopl"/>
  </r>
  <r>
    <x v="6"/>
    <n v="13.6965"/>
    <n v="-89.172499999999999"/>
    <n v="9"/>
    <n v="0"/>
    <n v="0"/>
    <n v="107"/>
    <s v="_x0000_peopl"/>
  </r>
  <r>
    <x v="6"/>
    <n v="13.690300000000001"/>
    <n v="-89.194699999999997"/>
    <n v="3"/>
    <n v="0"/>
    <n v="0"/>
    <n v="107"/>
    <s v="_x0000_peopl"/>
  </r>
  <r>
    <x v="6"/>
    <n v="13.690099999999999"/>
    <n v="-89.188900000000004"/>
    <n v="7"/>
    <n v="0"/>
    <n v="0"/>
    <n v="107"/>
    <s v="_x0000_peopl"/>
  </r>
  <r>
    <x v="6"/>
    <n v="13.691700000000001"/>
    <n v="-89.227099999999993"/>
    <n v="7"/>
    <n v="0"/>
    <n v="0"/>
    <n v="107"/>
    <s v="_x0000_peopl"/>
  </r>
  <r>
    <x v="6"/>
    <n v="13.6874"/>
    <n v="-89.194400000000002"/>
    <n v="3"/>
    <n v="0"/>
    <n v="0"/>
    <n v="107"/>
    <s v="_x0000_peopl"/>
  </r>
  <r>
    <x v="6"/>
    <n v="13.688499999999999"/>
    <n v="-89.190799999999996"/>
    <n v="9"/>
    <n v="0"/>
    <n v="0"/>
    <n v="107"/>
    <s v="_x0000_peopl"/>
  </r>
  <r>
    <x v="6"/>
    <n v="13.691800000000001"/>
    <n v="-89.186000000000007"/>
    <n v="6"/>
    <n v="0"/>
    <n v="0"/>
    <n v="107"/>
    <s v="_x0000_peopl"/>
  </r>
  <r>
    <x v="6"/>
    <n v="13.690899999999999"/>
    <n v="-89.194299999999998"/>
    <n v="4"/>
    <n v="0"/>
    <n v="0"/>
    <n v="107"/>
    <s v="_x0000_peopl"/>
  </r>
  <r>
    <x v="6"/>
    <n v="13.686"/>
    <n v="-89.214399999999998"/>
    <n v="6"/>
    <n v="0"/>
    <n v="0"/>
    <n v="107"/>
    <s v="_x0000_peopl"/>
  </r>
  <r>
    <x v="6"/>
    <n v="13.6858"/>
    <n v="-89.212400000000002"/>
    <n v="5"/>
    <n v="0"/>
    <n v="0"/>
    <n v="107"/>
    <s v="_x0000_peopl"/>
  </r>
  <r>
    <x v="6"/>
    <n v="13.689"/>
    <n v="-89.183700000000002"/>
    <n v="5"/>
    <n v="0"/>
    <n v="0"/>
    <n v="107"/>
    <s v="_x0000_peopl"/>
  </r>
  <r>
    <x v="6"/>
    <n v="13.6861"/>
    <n v="-89.212000000000003"/>
    <n v="2"/>
    <n v="0"/>
    <n v="0"/>
    <n v="107"/>
    <s v="_x0000_peopl"/>
  </r>
  <r>
    <x v="6"/>
    <n v="13.6852"/>
    <n v="-89.203500000000005"/>
    <n v="11"/>
    <n v="0"/>
    <n v="0"/>
    <n v="107"/>
    <s v="_x0000_peopl"/>
  </r>
  <r>
    <x v="6"/>
    <n v="13.685499999999999"/>
    <n v="-89.2136"/>
    <n v="5"/>
    <n v="0"/>
    <n v="0"/>
    <n v="107"/>
    <s v="_x0000_peopl"/>
  </r>
  <r>
    <x v="6"/>
    <n v="13.688499999999999"/>
    <n v="-89.229399999999998"/>
    <n v="6"/>
    <n v="0"/>
    <n v="0"/>
    <n v="107"/>
    <s v="_x0000_peopl"/>
  </r>
  <r>
    <x v="6"/>
    <n v="13.686999999999999"/>
    <n v="-89.182900000000004"/>
    <n v="7"/>
    <n v="0"/>
    <n v="0"/>
    <n v="107"/>
    <s v="_x0000_peopl"/>
  </r>
  <r>
    <x v="6"/>
    <n v="13.689399999999999"/>
    <n v="-89.198099999999997"/>
    <n v="7"/>
    <n v="0"/>
    <n v="0"/>
    <n v="107"/>
    <s v="_x0000_peopl"/>
  </r>
  <r>
    <x v="6"/>
    <n v="13.692399999999999"/>
    <n v="-89.186300000000003"/>
    <n v="5"/>
    <n v="0"/>
    <n v="0"/>
    <n v="107"/>
    <s v="_x0000_peopl"/>
  </r>
  <r>
    <x v="6"/>
    <n v="13.690899999999999"/>
    <n v="-89.187700000000007"/>
    <n v="6"/>
    <n v="0"/>
    <n v="0"/>
    <n v="107"/>
    <s v="_x0000_peopl"/>
  </r>
  <r>
    <x v="6"/>
    <n v="13.6896"/>
    <n v="-89.235600000000005"/>
    <n v="6"/>
    <n v="0"/>
    <n v="0"/>
    <n v="107"/>
    <s v="_x0000_peopl"/>
  </r>
  <r>
    <x v="6"/>
    <n v="13.688599999999999"/>
    <n v="-89.198400000000007"/>
    <n v="2"/>
    <n v="0"/>
    <n v="0"/>
    <n v="107"/>
    <s v="_x0000_peopl"/>
  </r>
  <r>
    <x v="6"/>
    <n v="13.6937"/>
    <n v="-89.183599999999998"/>
    <n v="8"/>
    <n v="0"/>
    <n v="0"/>
    <n v="107"/>
    <s v="_x0000_peopl"/>
  </r>
  <r>
    <x v="6"/>
    <n v="13.6892"/>
    <n v="-89.197100000000006"/>
    <n v="5"/>
    <n v="0"/>
    <n v="0"/>
    <n v="107"/>
    <s v="_x0000_peopl"/>
  </r>
  <r>
    <x v="6"/>
    <n v="13.674899999999999"/>
    <n v="-89.251400000000004"/>
    <n v="6"/>
    <n v="0"/>
    <n v="0"/>
    <n v="107"/>
    <s v="_x0000_peopl"/>
  </r>
  <r>
    <x v="6"/>
    <n v="13.6873"/>
    <n v="-89.197699999999998"/>
    <n v="5"/>
    <n v="0"/>
    <n v="0"/>
    <n v="107"/>
    <s v="_x0000_peopl"/>
  </r>
  <r>
    <x v="6"/>
    <n v="13.679600000000001"/>
    <n v="-89.196600000000004"/>
    <n v="6"/>
    <n v="0"/>
    <n v="0"/>
    <n v="107"/>
    <s v="_x0000_peopl"/>
  </r>
  <r>
    <x v="6"/>
    <n v="13.690099999999999"/>
    <n v="-89.195700000000002"/>
    <n v="5"/>
    <n v="0"/>
    <n v="0"/>
    <n v="107"/>
    <s v="_x0000_peopl"/>
  </r>
  <r>
    <x v="6"/>
    <n v="13.6874"/>
    <n v="-89.194599999999994"/>
    <n v="7"/>
    <n v="0"/>
    <n v="0"/>
    <n v="107"/>
    <s v="_x0000_peopl"/>
  </r>
  <r>
    <x v="6"/>
    <n v="13.684900000000001"/>
    <n v="-89.213399999999993"/>
    <n v="1"/>
    <n v="0"/>
    <n v="0"/>
    <n v="107"/>
    <s v="_x0000_peopl"/>
  </r>
  <r>
    <x v="6"/>
    <n v="13.689299999999999"/>
    <n v="-89.229299999999995"/>
    <n v="5"/>
    <n v="0"/>
    <n v="0"/>
    <n v="107"/>
    <s v="_x0000_peopl"/>
  </r>
  <r>
    <x v="6"/>
    <n v="13.6873"/>
    <n v="-89.195499999999996"/>
    <n v="6"/>
    <n v="0"/>
    <n v="0"/>
    <n v="107"/>
    <s v="_x0000_peopl"/>
  </r>
  <r>
    <x v="6"/>
    <n v="13.685"/>
    <n v="-89.212500000000006"/>
    <n v="7"/>
    <n v="0"/>
    <n v="0"/>
    <n v="107"/>
    <s v="_x0000_peopl"/>
  </r>
  <r>
    <x v="6"/>
    <n v="13.690799999999999"/>
    <n v="-89.187600000000003"/>
    <n v="5"/>
    <n v="0"/>
    <n v="0"/>
    <n v="107"/>
    <s v="_x0000_peopl"/>
  </r>
  <r>
    <x v="6"/>
    <n v="13.688000000000001"/>
    <n v="-89.2149"/>
    <n v="6"/>
    <n v="0"/>
    <n v="0"/>
    <n v="107"/>
    <s v="_x0000_peopl"/>
  </r>
  <r>
    <x v="6"/>
    <n v="13.679600000000001"/>
    <n v="-89.197199999999995"/>
    <n v="5"/>
    <n v="0"/>
    <n v="0"/>
    <n v="107"/>
    <s v="_x0000_peopl"/>
  </r>
  <r>
    <x v="6"/>
    <n v="13.6875"/>
    <n v="-89.194299999999998"/>
    <n v="7"/>
    <n v="0"/>
    <n v="0"/>
    <n v="107"/>
    <s v="_x0000_peopl"/>
  </r>
  <r>
    <x v="6"/>
    <n v="13.6873"/>
    <n v="-89.216499999999996"/>
    <n v="3"/>
    <n v="0"/>
    <n v="0"/>
    <n v="107"/>
    <s v="_x0000_peopl"/>
  </r>
  <r>
    <x v="6"/>
    <n v="13.6915"/>
    <n v="-89.233999999999995"/>
    <n v="3"/>
    <n v="0"/>
    <n v="0"/>
    <n v="107"/>
    <s v="_x0000_peopl"/>
  </r>
  <r>
    <x v="6"/>
    <n v="13.6935"/>
    <n v="-89.176400000000001"/>
    <n v="5"/>
    <n v="0"/>
    <n v="0"/>
    <n v="107"/>
    <s v="_x0000_peopl"/>
  </r>
  <r>
    <x v="6"/>
    <n v="13.688000000000001"/>
    <n v="-89.237099999999998"/>
    <n v="8"/>
    <n v="0"/>
    <n v="0"/>
    <n v="107"/>
    <s v="_x0000_peopl"/>
  </r>
  <r>
    <x v="6"/>
    <n v="13.692600000000001"/>
    <n v="-89.183000000000007"/>
    <n v="5"/>
    <n v="0"/>
    <n v="0"/>
    <n v="107"/>
    <s v="_x0000_peopl"/>
  </r>
  <r>
    <x v="6"/>
    <n v="13.684900000000001"/>
    <n v="-89.213700000000003"/>
    <n v="6"/>
    <n v="0"/>
    <n v="0"/>
    <n v="107"/>
    <s v="_x0000_peopl"/>
  </r>
  <r>
    <x v="6"/>
    <n v="13.6944"/>
    <n v="-89.188800000000001"/>
    <n v="5"/>
    <n v="0"/>
    <n v="0"/>
    <n v="107"/>
    <s v="_x0000_peopl"/>
  </r>
  <r>
    <x v="6"/>
    <n v="13.688499999999999"/>
    <n v="-89.229900000000001"/>
    <n v="5"/>
    <n v="0"/>
    <n v="0"/>
    <n v="107"/>
    <s v="_x0000_peopl"/>
  </r>
  <r>
    <x v="6"/>
    <n v="13.6927"/>
    <n v="-89.2239"/>
    <n v="7"/>
    <n v="0"/>
    <n v="0"/>
    <n v="107"/>
    <s v="_x0000_peopl"/>
  </r>
  <r>
    <x v="6"/>
    <n v="13.686400000000001"/>
    <n v="-89.213200000000001"/>
    <n v="2"/>
    <n v="0"/>
    <n v="0"/>
    <n v="107"/>
    <s v="_x0000_peopl"/>
  </r>
  <r>
    <x v="6"/>
    <n v="13.691599999999999"/>
    <n v="-89.225800000000007"/>
    <n v="6"/>
    <n v="0"/>
    <n v="0"/>
    <n v="107"/>
    <s v="_x0000_peopl"/>
  </r>
  <r>
    <x v="6"/>
    <n v="13.6904"/>
    <n v="-89.194800000000001"/>
    <n v="7"/>
    <n v="0"/>
    <n v="0"/>
    <n v="107"/>
    <s v="_x0000_peopl"/>
  </r>
  <r>
    <x v="6"/>
    <n v="13.6913"/>
    <n v="-89.219499999999996"/>
    <n v="9"/>
    <n v="0"/>
    <n v="0"/>
    <n v="107"/>
    <s v="_x0000_peopl"/>
  </r>
  <r>
    <x v="6"/>
    <n v="13.6899"/>
    <n v="-89.234899999999996"/>
    <n v="7"/>
    <n v="0"/>
    <n v="0"/>
    <n v="107"/>
    <s v="_x0000_peopl"/>
  </r>
  <r>
    <x v="6"/>
    <n v="13.688800000000001"/>
    <n v="-89.203999999999994"/>
    <n v="8"/>
    <n v="0"/>
    <n v="0"/>
    <n v="107"/>
    <s v="_x0000_peopl"/>
  </r>
  <r>
    <x v="6"/>
    <n v="13.686400000000001"/>
    <n v="-89.216300000000004"/>
    <n v="12"/>
    <n v="0"/>
    <n v="0"/>
    <n v="107"/>
    <s v="_x0000_peopl"/>
  </r>
  <r>
    <x v="6"/>
    <n v="13.693199999999999"/>
    <n v="-89.177499999999995"/>
    <n v="2"/>
    <n v="0"/>
    <n v="0"/>
    <n v="107"/>
    <s v="_x0000_peopl"/>
  </r>
  <r>
    <x v="6"/>
    <n v="13.690799999999999"/>
    <n v="-89.188500000000005"/>
    <n v="7"/>
    <n v="0"/>
    <n v="0"/>
    <n v="107"/>
    <s v="_x0000_peopl"/>
  </r>
  <r>
    <x v="6"/>
    <n v="13.6854"/>
    <n v="-89.201700000000002"/>
    <n v="6"/>
    <n v="0"/>
    <n v="0"/>
    <n v="107"/>
    <s v="_x0000_peopl"/>
  </r>
  <r>
    <x v="6"/>
    <n v="13.6905"/>
    <n v="-89.183800000000005"/>
    <n v="4"/>
    <n v="0"/>
    <n v="0"/>
    <n v="107"/>
    <s v="_x0000_peopl"/>
  </r>
  <r>
    <x v="6"/>
    <n v="13.6915"/>
    <n v="-89.232600000000005"/>
    <n v="4"/>
    <n v="0"/>
    <n v="0"/>
    <n v="107"/>
    <s v="_x0000_peopl"/>
  </r>
  <r>
    <x v="6"/>
    <n v="13.690200000000001"/>
    <n v="-89.217200000000005"/>
    <n v="3"/>
    <n v="0"/>
    <n v="0"/>
    <n v="107"/>
    <s v="_x0000_peopl"/>
  </r>
  <r>
    <x v="6"/>
    <n v="13.6898"/>
    <n v="-89.183400000000006"/>
    <n v="7"/>
    <n v="0"/>
    <n v="0"/>
    <n v="107"/>
    <s v="_x0000_peopl"/>
  </r>
  <r>
    <x v="6"/>
    <n v="13.687099999999999"/>
    <n v="-89.215699999999998"/>
    <n v="11"/>
    <n v="0"/>
    <n v="0"/>
    <n v="107"/>
    <s v="_x0000_peopl"/>
  </r>
  <r>
    <x v="6"/>
    <n v="13.6919"/>
    <n v="-89.224400000000003"/>
    <n v="3"/>
    <n v="0"/>
    <n v="0"/>
    <n v="107"/>
    <s v="_x0000_peopl"/>
  </r>
  <r>
    <x v="6"/>
    <n v="13.6906"/>
    <n v="-89.194400000000002"/>
    <n v="6"/>
    <n v="0"/>
    <n v="0"/>
    <n v="107"/>
    <s v="_x0000_peopl"/>
  </r>
  <r>
    <x v="6"/>
    <n v="13.692399999999999"/>
    <n v="-89.223799999999997"/>
    <n v="5"/>
    <n v="0"/>
    <n v="0"/>
    <n v="107"/>
    <s v="_x0000_peopl"/>
  </r>
  <r>
    <x v="6"/>
    <n v="13.6889"/>
    <n v="-89.229200000000006"/>
    <n v="7"/>
    <n v="0"/>
    <n v="0"/>
    <n v="107"/>
    <s v="_x0000_peopl"/>
  </r>
  <r>
    <x v="6"/>
    <n v="13.6851"/>
    <n v="-89.215800000000002"/>
    <n v="3"/>
    <n v="0"/>
    <n v="0"/>
    <n v="107"/>
    <s v="_x0000_peopl"/>
  </r>
  <r>
    <x v="6"/>
    <n v="13.6922"/>
    <n v="-89.174800000000005"/>
    <n v="8"/>
    <n v="0"/>
    <n v="0"/>
    <n v="107"/>
    <s v="_x0000_peopl"/>
  </r>
  <r>
    <x v="6"/>
    <n v="13.693300000000001"/>
    <n v="-89.177400000000006"/>
    <n v="7"/>
    <n v="0"/>
    <n v="0"/>
    <n v="107"/>
    <s v="_x0000_peopl"/>
  </r>
  <r>
    <x v="6"/>
    <n v="13.6927"/>
    <n v="-89.183099999999996"/>
    <n v="3"/>
    <n v="0"/>
    <n v="0"/>
    <n v="107"/>
    <s v="_x0000_peopl"/>
  </r>
  <r>
    <x v="6"/>
    <n v="13.696099999999999"/>
    <n v="-89.1721"/>
    <n v="5"/>
    <n v="0"/>
    <n v="0"/>
    <n v="107"/>
    <s v="_x0000_peopl"/>
  </r>
  <r>
    <x v="6"/>
    <n v="13.684900000000001"/>
    <n v="-89.202100000000002"/>
    <n v="3"/>
    <n v="0"/>
    <n v="0"/>
    <n v="107"/>
    <s v="_x0000_peopl"/>
  </r>
  <r>
    <x v="6"/>
    <n v="13.690799999999999"/>
    <n v="-89.233000000000004"/>
    <n v="7"/>
    <n v="0"/>
    <n v="0"/>
    <n v="107"/>
    <s v="_x0000_peopl"/>
  </r>
  <r>
    <x v="6"/>
    <n v="13.685499999999999"/>
    <n v="-89.201400000000007"/>
    <n v="6"/>
    <n v="0"/>
    <n v="0"/>
    <n v="107"/>
    <s v="_x0000_peopl"/>
  </r>
  <r>
    <x v="6"/>
    <n v="13.6919"/>
    <n v="-89.187700000000007"/>
    <n v="3"/>
    <n v="0"/>
    <n v="0"/>
    <n v="107"/>
    <s v="_x0000_peopl"/>
  </r>
  <r>
    <x v="6"/>
    <n v="13.691599999999999"/>
    <n v="-89.232600000000005"/>
    <n v="6"/>
    <n v="0"/>
    <n v="0"/>
    <n v="107"/>
    <s v="_x0000_peopl"/>
  </r>
  <r>
    <x v="6"/>
    <n v="13.6937"/>
    <n v="-89.176599999999993"/>
    <n v="2"/>
    <n v="0"/>
    <n v="0"/>
    <n v="107"/>
    <s v="_x0000_peopl"/>
  </r>
  <r>
    <x v="6"/>
    <n v="13.686500000000001"/>
    <n v="-89.202100000000002"/>
    <n v="4"/>
    <n v="0"/>
    <n v="0"/>
    <n v="107"/>
    <s v="_x0000_peopl"/>
  </r>
  <r>
    <x v="6"/>
    <n v="13.690799999999999"/>
    <n v="-89.195400000000006"/>
    <n v="5"/>
    <n v="0"/>
    <n v="0"/>
    <n v="107"/>
    <s v="_x0000_peopl"/>
  </r>
  <r>
    <x v="6"/>
    <n v="13.692600000000001"/>
    <n v="-89.179500000000004"/>
    <n v="7"/>
    <n v="0"/>
    <n v="0"/>
    <n v="107"/>
    <s v="_x0000_peopl"/>
  </r>
  <r>
    <x v="6"/>
    <n v="13.691000000000001"/>
    <n v="-89.234899999999996"/>
    <n v="3"/>
    <n v="0"/>
    <n v="0"/>
    <n v="107"/>
    <s v="_x0000_peopl"/>
  </r>
  <r>
    <x v="6"/>
    <n v="13.687900000000001"/>
    <n v="-89.180099999999996"/>
    <n v="5"/>
    <n v="0"/>
    <n v="0"/>
    <n v="107"/>
    <s v="_x0000_peopl"/>
  </r>
  <r>
    <x v="6"/>
    <n v="13.688800000000001"/>
    <n v="-89.217200000000005"/>
    <n v="8"/>
    <n v="0"/>
    <n v="0"/>
    <n v="107"/>
    <s v="_x0000_peopl"/>
  </r>
  <r>
    <x v="6"/>
    <n v="13.6774"/>
    <n v="-89.247399999999999"/>
    <n v="3"/>
    <n v="0"/>
    <n v="0"/>
    <n v="107"/>
    <s v="_x0000_peopl"/>
  </r>
  <r>
    <x v="6"/>
    <n v="13.6777"/>
    <n v="-89.247100000000003"/>
    <n v="2"/>
    <n v="0"/>
    <n v="0"/>
    <n v="107"/>
    <s v="_x0000_peopl"/>
  </r>
  <r>
    <x v="6"/>
    <n v="13.687900000000001"/>
    <n v="-89.179500000000004"/>
    <n v="9"/>
    <n v="0"/>
    <n v="0"/>
    <n v="107"/>
    <s v="_x0000_peopl"/>
  </r>
  <r>
    <x v="6"/>
    <n v="13.6767"/>
    <n v="-89.1995"/>
    <n v="4"/>
    <n v="0"/>
    <n v="0"/>
    <n v="107"/>
    <s v="_x0000_peopl"/>
  </r>
  <r>
    <x v="6"/>
    <n v="13.6914"/>
    <n v="-89.185400000000001"/>
    <n v="4"/>
    <n v="0"/>
    <n v="0"/>
    <n v="107"/>
    <s v="_x0000_peopl"/>
  </r>
  <r>
    <x v="6"/>
    <n v="13.6912"/>
    <n v="-89.183999999999997"/>
    <n v="3"/>
    <n v="0"/>
    <n v="0"/>
    <n v="107"/>
    <s v="_x0000_peopl"/>
  </r>
  <r>
    <x v="6"/>
    <n v="13.6957"/>
    <n v="-89.173699999999997"/>
    <n v="5"/>
    <n v="0"/>
    <n v="0"/>
    <n v="107"/>
    <s v="_x0000_peopl"/>
  </r>
  <r>
    <x v="6"/>
    <n v="13.6942"/>
    <n v="-89.186300000000003"/>
    <n v="5"/>
    <n v="0"/>
    <n v="0"/>
    <n v="107"/>
    <s v="_x0000_peopl"/>
  </r>
  <r>
    <x v="6"/>
    <n v="13.685600000000001"/>
    <n v="-89.194100000000006"/>
    <n v="6"/>
    <n v="0"/>
    <n v="0"/>
    <n v="107"/>
    <s v="_x0000_peopl"/>
  </r>
  <r>
    <x v="6"/>
    <n v="13.6897"/>
    <n v="-89.229299999999995"/>
    <n v="4"/>
    <n v="0"/>
    <n v="0"/>
    <n v="107"/>
    <s v="_x0000_peopl"/>
  </r>
  <r>
    <x v="6"/>
    <n v="13.6953"/>
    <n v="-89.174099999999996"/>
    <n v="9"/>
    <n v="0"/>
    <n v="0"/>
    <n v="107"/>
    <s v="_x0000_peopl"/>
  </r>
  <r>
    <x v="6"/>
    <n v="13.690799999999999"/>
    <n v="-89.187600000000003"/>
    <n v="4"/>
    <n v="0"/>
    <n v="0"/>
    <n v="107"/>
    <s v="_x0000_peopl"/>
  </r>
  <r>
    <x v="6"/>
    <n v="13.6853"/>
    <n v="-89.213099999999997"/>
    <n v="3"/>
    <n v="0"/>
    <n v="0"/>
    <n v="107"/>
    <s v="_x0000_peopl"/>
  </r>
  <r>
    <x v="6"/>
    <n v="13.695600000000001"/>
    <n v="-89.174099999999996"/>
    <n v="6"/>
    <n v="0"/>
    <n v="0"/>
    <n v="107"/>
    <s v="_x0000_peopl"/>
  </r>
  <r>
    <x v="6"/>
    <n v="13.6854"/>
    <n v="-89.214200000000005"/>
    <n v="6"/>
    <n v="0"/>
    <n v="0"/>
    <n v="107"/>
    <s v="_x0000_peopl"/>
  </r>
  <r>
    <x v="6"/>
    <n v="13.6898"/>
    <n v="-89.179100000000005"/>
    <n v="3"/>
    <n v="0"/>
    <n v="0"/>
    <n v="107"/>
    <s v="_x0000_peopl"/>
  </r>
  <r>
    <x v="6"/>
    <n v="13.6876"/>
    <n v="-89.179699999999997"/>
    <n v="7"/>
    <n v="0"/>
    <n v="0"/>
    <n v="107"/>
    <s v="_x0000_peopl"/>
  </r>
  <r>
    <x v="6"/>
    <n v="13.6919"/>
    <n v="-89.193600000000004"/>
    <n v="3"/>
    <n v="0"/>
    <n v="0"/>
    <n v="107"/>
    <s v="_x0000_peopl"/>
  </r>
  <r>
    <x v="6"/>
    <n v="13.6745"/>
    <n v="-89.202600000000004"/>
    <n v="6"/>
    <n v="0"/>
    <n v="0"/>
    <n v="107"/>
    <s v="_x0000_peopl"/>
  </r>
  <r>
    <x v="6"/>
    <n v="13.687200000000001"/>
    <n v="-89.197100000000006"/>
    <n v="7"/>
    <n v="0"/>
    <n v="0"/>
    <n v="107"/>
    <s v="_x0000_peopl"/>
  </r>
  <r>
    <x v="6"/>
    <n v="13.679500000000001"/>
    <n v="-89.196700000000007"/>
    <n v="3"/>
    <n v="0"/>
    <n v="0"/>
    <n v="107"/>
    <s v="_x0000_peopl"/>
  </r>
  <r>
    <x v="6"/>
    <n v="13.6904"/>
    <n v="-89.193399999999997"/>
    <n v="9"/>
    <n v="0"/>
    <n v="0"/>
    <n v="107"/>
    <s v="_x0000_peopl"/>
  </r>
  <r>
    <x v="6"/>
    <n v="13.6891"/>
    <n v="-89.180599999999998"/>
    <n v="9"/>
    <n v="0"/>
    <n v="0"/>
    <n v="107"/>
    <s v="_x0000_peopl"/>
  </r>
  <r>
    <x v="6"/>
    <n v="13.692"/>
    <n v="-89.180400000000006"/>
    <n v="4"/>
    <n v="0"/>
    <n v="0"/>
    <n v="107"/>
    <s v="_x0000_peopl"/>
  </r>
  <r>
    <x v="6"/>
    <n v="13.688000000000001"/>
    <n v="-89.181799999999996"/>
    <n v="3"/>
    <n v="0"/>
    <n v="0"/>
    <n v="107"/>
    <s v="_x0000_peopl"/>
  </r>
  <r>
    <x v="6"/>
    <n v="13.6915"/>
    <n v="-89.220699999999994"/>
    <n v="6"/>
    <n v="0"/>
    <n v="0"/>
    <n v="107"/>
    <s v="_x0000_peopl"/>
  </r>
  <r>
    <x v="6"/>
    <n v="13.6905"/>
    <n v="-89.235900000000001"/>
    <n v="6"/>
    <n v="0"/>
    <n v="0"/>
    <n v="107"/>
    <s v="_x0000_peopl"/>
  </r>
  <r>
    <x v="6"/>
    <n v="13.6907"/>
    <n v="-89.234700000000004"/>
    <n v="7"/>
    <n v="0"/>
    <n v="0"/>
    <n v="107"/>
    <s v="_x0000_peopl"/>
  </r>
  <r>
    <x v="6"/>
    <n v="13.687900000000001"/>
    <n v="-89.182699999999997"/>
    <n v="4"/>
    <n v="0"/>
    <n v="0"/>
    <n v="107"/>
    <s v="_x0000_peopl"/>
  </r>
  <r>
    <x v="6"/>
    <n v="13.687900000000001"/>
    <n v="-89.205299999999994"/>
    <n v="4"/>
    <n v="0"/>
    <n v="0"/>
    <n v="107"/>
    <s v="_x0000_peopl"/>
  </r>
  <r>
    <x v="6"/>
    <n v="13.684200000000001"/>
    <n v="-89.213399999999993"/>
    <n v="8"/>
    <n v="0"/>
    <n v="0"/>
    <n v="107"/>
    <s v="_x0000_peopl"/>
  </r>
  <r>
    <x v="6"/>
    <n v="13.688700000000001"/>
    <n v="-89.229699999999994"/>
    <n v="3"/>
    <n v="0"/>
    <n v="0"/>
    <n v="107"/>
    <s v="_x0000_peopl"/>
  </r>
  <r>
    <x v="6"/>
    <n v="13.6929"/>
    <n v="-89.224400000000003"/>
    <n v="3"/>
    <n v="0"/>
    <n v="0"/>
    <n v="107"/>
    <s v="_x0000_peopl"/>
  </r>
  <r>
    <x v="6"/>
    <n v="13.6919"/>
    <n v="-89.224699999999999"/>
    <n v="1"/>
    <n v="0"/>
    <n v="0"/>
    <n v="107"/>
    <s v="_x0000_peopl"/>
  </r>
  <r>
    <x v="6"/>
    <n v="13.6873"/>
    <n v="-89.195700000000002"/>
    <n v="2"/>
    <n v="0"/>
    <n v="0"/>
    <n v="107"/>
    <s v="_x0000_peopl"/>
  </r>
  <r>
    <x v="6"/>
    <n v="13.6905"/>
    <n v="-89.234499999999997"/>
    <n v="4"/>
    <n v="0"/>
    <n v="0"/>
    <n v="107"/>
    <s v="_x0000_peopl"/>
  </r>
  <r>
    <x v="6"/>
    <n v="13.689299999999999"/>
    <n v="-89.229500000000002"/>
    <n v="10"/>
    <n v="0"/>
    <n v="0"/>
    <n v="107"/>
    <s v="_x0000_peopl"/>
  </r>
  <r>
    <x v="6"/>
    <n v="13.6898"/>
    <n v="-89.229299999999995"/>
    <n v="3"/>
    <n v="0"/>
    <n v="0"/>
    <n v="107"/>
    <s v="_x0000_peopl"/>
  </r>
  <r>
    <x v="6"/>
    <n v="13.6913"/>
    <n v="-89.233099999999993"/>
    <n v="5"/>
    <n v="0"/>
    <n v="0"/>
    <n v="107"/>
    <s v="_x0000_peopl"/>
  </r>
  <r>
    <x v="6"/>
    <n v="13.6869"/>
    <n v="-89.212400000000002"/>
    <n v="6"/>
    <n v="0"/>
    <n v="0"/>
    <n v="107"/>
    <s v="_x0000_peopl"/>
  </r>
  <r>
    <x v="6"/>
    <n v="13.691700000000001"/>
    <n v="-89.232500000000002"/>
    <n v="4"/>
    <n v="0"/>
    <n v="0"/>
    <n v="107"/>
    <s v="_x0000_peopl"/>
  </r>
  <r>
    <x v="6"/>
    <n v="13.6896"/>
    <n v="-89.185400000000001"/>
    <n v="8"/>
    <n v="0"/>
    <n v="0"/>
    <n v="107"/>
    <s v="_x0000_peopl"/>
  </r>
  <r>
    <x v="6"/>
    <n v="13.679"/>
    <n v="-89.196399999999997"/>
    <n v="3"/>
    <n v="0"/>
    <n v="0"/>
    <n v="107"/>
    <s v="_x0000_peopl"/>
  </r>
  <r>
    <x v="6"/>
    <n v="13.6915"/>
    <n v="-89.227000000000004"/>
    <n v="3"/>
    <n v="0"/>
    <n v="0"/>
    <n v="107"/>
    <s v="_x0000_peopl"/>
  </r>
  <r>
    <x v="6"/>
    <n v="13.6914"/>
    <n v="-89.235100000000003"/>
    <n v="7"/>
    <n v="0"/>
    <n v="0"/>
    <n v="107"/>
    <s v="_x0000_peopl"/>
  </r>
  <r>
    <x v="6"/>
    <n v="13.690099999999999"/>
    <n v="-89.184899999999999"/>
    <n v="4"/>
    <n v="0"/>
    <n v="0"/>
    <n v="107"/>
    <s v="_x0000_peopl"/>
  </r>
  <r>
    <x v="6"/>
    <n v="13.6861"/>
    <n v="-89.198300000000003"/>
    <n v="5"/>
    <n v="0"/>
    <n v="0"/>
    <n v="107"/>
    <s v="_x0000_peopl"/>
  </r>
  <r>
    <x v="6"/>
    <n v="13.6958"/>
    <n v="-89.172600000000003"/>
    <n v="8"/>
    <n v="0"/>
    <n v="0"/>
    <n v="107"/>
    <s v="_x0000_peopl"/>
  </r>
  <r>
    <x v="6"/>
    <n v="13.685700000000001"/>
    <n v="-89.204099999999997"/>
    <n v="7"/>
    <n v="0"/>
    <n v="0"/>
    <n v="107"/>
    <s v="_x0000_peopl"/>
  </r>
  <r>
    <x v="6"/>
    <n v="13.690799999999999"/>
    <n v="-89.235900000000001"/>
    <n v="6"/>
    <n v="0"/>
    <n v="0"/>
    <n v="107"/>
    <s v="_x0000_peopl"/>
  </r>
  <r>
    <x v="6"/>
    <n v="13.690099999999999"/>
    <n v="-89.235100000000003"/>
    <n v="6"/>
    <n v="0"/>
    <n v="0"/>
    <n v="107"/>
    <s v="_x0000_peopl"/>
  </r>
  <r>
    <x v="6"/>
    <n v="13.692"/>
    <n v="-89.179199999999994"/>
    <n v="4"/>
    <n v="0"/>
    <n v="0"/>
    <n v="107"/>
    <s v="_x0000_peopl"/>
  </r>
  <r>
    <x v="6"/>
    <n v="13.6914"/>
    <n v="-89.228800000000007"/>
    <n v="4"/>
    <n v="0"/>
    <n v="0"/>
    <n v="107"/>
    <s v="_x0000_peopl"/>
  </r>
  <r>
    <x v="6"/>
    <n v="13.6904"/>
    <n v="-89.177499999999995"/>
    <n v="5"/>
    <n v="0"/>
    <n v="0"/>
    <n v="107"/>
    <s v="_x0000_peopl"/>
  </r>
  <r>
    <x v="6"/>
    <n v="13.695600000000001"/>
    <n v="-89.173500000000004"/>
    <n v="7"/>
    <n v="0"/>
    <n v="0"/>
    <n v="107"/>
    <s v="_x0000_peopl"/>
  </r>
  <r>
    <x v="6"/>
    <n v="13.6799"/>
    <n v="-89.197199999999995"/>
    <n v="2"/>
    <n v="0"/>
    <n v="0"/>
    <n v="107"/>
    <s v="_x0000_peopl"/>
  </r>
  <r>
    <x v="6"/>
    <n v="13.675000000000001"/>
    <n v="-89.200100000000006"/>
    <n v="2"/>
    <n v="0"/>
    <n v="0"/>
    <n v="107"/>
    <s v="_x0000_peopl"/>
  </r>
  <r>
    <x v="6"/>
    <n v="13.694000000000001"/>
    <n v="-89.174999999999997"/>
    <n v="4"/>
    <n v="0"/>
    <n v="0"/>
    <n v="107"/>
    <s v="_x0000_peopl"/>
  </r>
  <r>
    <x v="6"/>
    <n v="13.687900000000001"/>
    <n v="-89.195499999999996"/>
    <n v="6"/>
    <n v="0"/>
    <n v="0"/>
    <n v="107"/>
    <s v="_x0000_peopl"/>
  </r>
  <r>
    <x v="6"/>
    <n v="13.689399999999999"/>
    <n v="-89.190200000000004"/>
    <n v="6"/>
    <n v="0"/>
    <n v="0"/>
    <n v="107"/>
    <s v="_x0000_peopl"/>
  </r>
  <r>
    <x v="6"/>
    <n v="13.690300000000001"/>
    <n v="-89.193299999999994"/>
    <n v="2"/>
    <n v="0"/>
    <n v="0"/>
    <n v="107"/>
    <s v="_x0000_peopl"/>
  </r>
  <r>
    <x v="6"/>
    <n v="13.695499999999999"/>
    <n v="-89.174000000000007"/>
    <n v="4"/>
    <n v="0"/>
    <n v="0"/>
    <n v="107"/>
    <s v="_x0000_peopl"/>
  </r>
  <r>
    <x v="6"/>
    <n v="13.6869"/>
    <n v="-89.194699999999997"/>
    <n v="8"/>
    <n v="0"/>
    <n v="0"/>
    <n v="107"/>
    <s v="_x0000_peopl"/>
  </r>
  <r>
    <x v="6"/>
    <n v="13.6874"/>
    <n v="-89.203999999999994"/>
    <n v="5"/>
    <n v="0"/>
    <n v="0"/>
    <n v="107"/>
    <s v="_x0000_peopl"/>
  </r>
  <r>
    <x v="6"/>
    <n v="13.6883"/>
    <n v="-89.217100000000002"/>
    <n v="5"/>
    <n v="0"/>
    <n v="0"/>
    <n v="107"/>
    <s v="_x0000_peopl"/>
  </r>
  <r>
    <x v="6"/>
    <n v="13.690799999999999"/>
    <n v="-89.194299999999998"/>
    <n v="3"/>
    <n v="0"/>
    <n v="0"/>
    <n v="107"/>
    <s v="_x0000_peopl"/>
  </r>
  <r>
    <x v="6"/>
    <n v="13.6928"/>
    <n v="-89.224199999999996"/>
    <n v="2"/>
    <n v="0"/>
    <n v="0"/>
    <n v="107"/>
    <s v="_x0000_peopl"/>
  </r>
  <r>
    <x v="6"/>
    <n v="13.679500000000001"/>
    <n v="-89.197199999999995"/>
    <n v="7"/>
    <n v="0"/>
    <n v="0"/>
    <n v="107"/>
    <s v="_x0000_peopl"/>
  </r>
  <r>
    <x v="6"/>
    <n v="13.6873"/>
    <n v="-89.180300000000003"/>
    <n v="2"/>
    <n v="0"/>
    <n v="0"/>
    <n v="107"/>
    <s v="_x0000_peopl"/>
  </r>
  <r>
    <x v="6"/>
    <n v="13.690899999999999"/>
    <n v="-89.235699999999994"/>
    <n v="4"/>
    <n v="0"/>
    <n v="0"/>
    <n v="107"/>
    <s v="_x0000_peopl"/>
  </r>
  <r>
    <x v="6"/>
    <n v="13.690899999999999"/>
    <n v="-89.235299999999995"/>
    <n v="5"/>
    <n v="0"/>
    <n v="0"/>
    <n v="107"/>
    <s v="_x0000_peopl"/>
  </r>
  <r>
    <x v="6"/>
    <n v="13.6905"/>
    <n v="-89.235200000000006"/>
    <n v="0"/>
    <n v="0"/>
    <n v="0"/>
    <n v="107"/>
    <s v="_x0000_peopl"/>
  </r>
  <r>
    <x v="6"/>
    <n v="13.6873"/>
    <n v="-89.197299999999998"/>
    <n v="3"/>
    <n v="0"/>
    <n v="0"/>
    <n v="107"/>
    <s v="_x0000_peopl"/>
  </r>
  <r>
    <x v="6"/>
    <n v="13.692399999999999"/>
    <n v="-89.225800000000007"/>
    <n v="3"/>
    <n v="0"/>
    <n v="0"/>
    <n v="107"/>
    <s v="_x0000_peopl"/>
  </r>
  <r>
    <x v="6"/>
    <n v="13.6874"/>
    <n v="-89.197299999999998"/>
    <n v="5"/>
    <n v="0"/>
    <n v="0"/>
    <n v="107"/>
    <s v="_x0000_peopl"/>
  </r>
  <r>
    <x v="6"/>
    <n v="13.6915"/>
    <n v="-89.188199999999995"/>
    <n v="4"/>
    <n v="0"/>
    <n v="0"/>
    <n v="107"/>
    <s v="_x0000_peopl"/>
  </r>
  <r>
    <x v="6"/>
    <n v="13.693199999999999"/>
    <n v="-89.188400000000001"/>
    <n v="4"/>
    <n v="0"/>
    <n v="0"/>
    <n v="107"/>
    <s v="_x0000_peopl"/>
  </r>
  <r>
    <x v="6"/>
    <n v="13.692399999999999"/>
    <n v="-89.183000000000007"/>
    <n v="4"/>
    <n v="0"/>
    <n v="0"/>
    <n v="107"/>
    <s v="_x0000_peopl"/>
  </r>
  <r>
    <x v="6"/>
    <n v="13.674899999999999"/>
    <n v="-89.252300000000005"/>
    <n v="5"/>
    <n v="0"/>
    <n v="0"/>
    <n v="107"/>
    <s v="_x0000_peopl"/>
  </r>
  <r>
    <x v="6"/>
    <n v="13.6913"/>
    <n v="-89.189499999999995"/>
    <n v="5"/>
    <n v="0"/>
    <n v="0"/>
    <n v="107"/>
    <s v="_x0000_peopl"/>
  </r>
  <r>
    <x v="6"/>
    <n v="13.691000000000001"/>
    <n v="-89.229299999999995"/>
    <n v="0"/>
    <n v="0"/>
    <n v="0"/>
    <n v="107"/>
    <s v="_x0000_peopl"/>
  </r>
  <r>
    <x v="6"/>
    <n v="13.677099999999999"/>
    <n v="-89.247699999999995"/>
    <n v="2"/>
    <n v="0"/>
    <n v="0"/>
    <n v="107"/>
    <s v="_x0000_peopl"/>
  </r>
  <r>
    <x v="6"/>
    <n v="13.696"/>
    <n v="-89.1678"/>
    <n v="3"/>
    <n v="0"/>
    <n v="0"/>
    <n v="107"/>
    <s v="_x0000_peopl"/>
  </r>
  <r>
    <x v="6"/>
    <n v="13.687200000000001"/>
    <n v="-89.211200000000005"/>
    <n v="4"/>
    <n v="0"/>
    <n v="0"/>
    <n v="107"/>
    <s v="_x0000_peopl"/>
  </r>
  <r>
    <x v="6"/>
    <n v="13.689500000000001"/>
    <n v="-89.216300000000004"/>
    <n v="3"/>
    <n v="0"/>
    <n v="0"/>
    <n v="107"/>
    <s v="_x0000_peopl"/>
  </r>
  <r>
    <x v="6"/>
    <n v="13.6892"/>
    <n v="-89.180899999999994"/>
    <n v="8"/>
    <n v="0"/>
    <n v="0"/>
    <n v="107"/>
    <s v="_x0000_peopl"/>
  </r>
  <r>
    <x v="6"/>
    <n v="13.693"/>
    <n v="-89.183700000000002"/>
    <n v="5"/>
    <n v="0"/>
    <n v="0"/>
    <n v="107"/>
    <s v="_x0000_peopl"/>
  </r>
  <r>
    <x v="6"/>
    <n v="13.675000000000001"/>
    <n v="-89.250100000000003"/>
    <n v="7"/>
    <n v="0"/>
    <n v="0"/>
    <n v="107"/>
    <s v="_x0000_peopl"/>
  </r>
  <r>
    <x v="6"/>
    <n v="13.690899999999999"/>
    <n v="-89.2286"/>
    <n v="8"/>
    <n v="0"/>
    <n v="0"/>
    <n v="107"/>
    <s v="_x0000_peopl"/>
  </r>
  <r>
    <x v="6"/>
    <n v="13.692299999999999"/>
    <n v="-89.186400000000006"/>
    <n v="3"/>
    <n v="0"/>
    <n v="0"/>
    <n v="107"/>
    <s v="_x0000_peopl"/>
  </r>
  <r>
    <x v="6"/>
    <n v="13.6859"/>
    <n v="-89.193899999999999"/>
    <n v="7"/>
    <n v="0"/>
    <n v="0"/>
    <n v="107"/>
    <s v="_x0000_peopl"/>
  </r>
  <r>
    <x v="6"/>
    <n v="13.6883"/>
    <n v="-89.181600000000003"/>
    <n v="11"/>
    <n v="0"/>
    <n v="0"/>
    <n v="107"/>
    <s v="_x0000_peopl"/>
  </r>
  <r>
    <x v="6"/>
    <n v="13.677099999999999"/>
    <n v="-89.198899999999995"/>
    <n v="4"/>
    <n v="0"/>
    <n v="0"/>
    <n v="107"/>
    <s v="_x0000_peopl"/>
  </r>
  <r>
    <x v="6"/>
    <n v="13.6744"/>
    <n v="-89.202100000000002"/>
    <n v="5"/>
    <n v="0"/>
    <n v="0"/>
    <n v="107"/>
    <s v="_x0000_peopl"/>
  </r>
  <r>
    <x v="6"/>
    <n v="13.6858"/>
    <n v="-89.211299999999994"/>
    <n v="2"/>
    <n v="0"/>
    <n v="0"/>
    <n v="107"/>
    <s v="_x0000_peopl"/>
  </r>
  <r>
    <x v="6"/>
    <n v="13.6959"/>
    <n v="-89.173400000000001"/>
    <n v="6"/>
    <n v="0"/>
    <n v="0"/>
    <n v="107"/>
    <s v="_x0000_peopl"/>
  </r>
  <r>
    <x v="6"/>
    <n v="13.6881"/>
    <n v="-89.182599999999994"/>
    <n v="9"/>
    <n v="0"/>
    <n v="0"/>
    <n v="107"/>
    <s v="_x0000_peopl"/>
  </r>
  <r>
    <x v="6"/>
    <n v="13.690799999999999"/>
    <n v="-89.231999999999999"/>
    <n v="2"/>
    <n v="0"/>
    <n v="0"/>
    <n v="107"/>
    <s v="_x0000_peopl"/>
  </r>
  <r>
    <x v="6"/>
    <n v="13.6913"/>
    <n v="-89.233000000000004"/>
    <n v="3"/>
    <n v="0"/>
    <n v="0"/>
    <n v="107"/>
    <s v="_x0000_peopl"/>
  </r>
  <r>
    <x v="6"/>
    <n v="13.688700000000001"/>
    <n v="-89.216300000000004"/>
    <n v="4"/>
    <n v="0"/>
    <n v="0"/>
    <n v="107"/>
    <s v="_x0000_peopl"/>
  </r>
  <r>
    <x v="6"/>
    <n v="13.6884"/>
    <n v="-89.217100000000002"/>
    <n v="7"/>
    <n v="0"/>
    <n v="0"/>
    <n v="107"/>
    <s v="_x0000_peopl"/>
  </r>
  <r>
    <x v="6"/>
    <n v="13.6882"/>
    <n v="-89.182100000000005"/>
    <n v="4"/>
    <n v="0"/>
    <n v="0"/>
    <n v="107"/>
    <s v="_x0000_peopl"/>
  </r>
  <r>
    <x v="6"/>
    <n v="13.6881"/>
    <n v="-89.194400000000002"/>
    <n v="1"/>
    <n v="0"/>
    <n v="0"/>
    <n v="107"/>
    <s v="_x0000_peopl"/>
  </r>
  <r>
    <x v="6"/>
    <n v="13.694900000000001"/>
    <n v="-89.171700000000001"/>
    <n v="7"/>
    <n v="0"/>
    <n v="0"/>
    <n v="107"/>
    <s v="_x0000_peopl"/>
  </r>
  <r>
    <x v="6"/>
    <n v="13.680300000000001"/>
    <n v="-89.1982"/>
    <n v="2"/>
    <n v="0"/>
    <n v="0"/>
    <n v="107"/>
    <s v="_x0000_peopl"/>
  </r>
  <r>
    <x v="6"/>
    <n v="13.6919"/>
    <n v="-89.179199999999994"/>
    <n v="6"/>
    <n v="0"/>
    <n v="0"/>
    <n v="107"/>
    <s v="_x0000_peopl"/>
  </r>
  <r>
    <x v="6"/>
    <n v="13.686500000000001"/>
    <n v="-89.201599999999999"/>
    <n v="6"/>
    <n v="0"/>
    <n v="0"/>
    <n v="107"/>
    <s v="_x0000_peopl"/>
  </r>
  <r>
    <x v="6"/>
    <n v="13.6845"/>
    <n v="-89.214699999999993"/>
    <n v="3"/>
    <n v="0"/>
    <n v="0"/>
    <n v="107"/>
    <s v="_x0000_peopl"/>
  </r>
  <r>
    <x v="6"/>
    <n v="13.6914"/>
    <n v="-89.235299999999995"/>
    <n v="7"/>
    <n v="0"/>
    <n v="0"/>
    <n v="107"/>
    <s v="_x0000_peopl"/>
  </r>
  <r>
    <x v="6"/>
    <n v="13.6866"/>
    <n v="-89.214399999999998"/>
    <n v="7"/>
    <n v="0"/>
    <n v="0"/>
    <n v="107"/>
    <s v="_x0000_peopl"/>
  </r>
  <r>
    <x v="6"/>
    <n v="13.687799999999999"/>
    <n v="-89.204300000000003"/>
    <n v="10"/>
    <n v="0"/>
    <n v="0"/>
    <n v="107"/>
    <s v="_x0000_peopl"/>
  </r>
  <r>
    <x v="6"/>
    <n v="13.684900000000001"/>
    <n v="-89.217100000000002"/>
    <n v="6"/>
    <n v="0"/>
    <n v="0"/>
    <n v="107"/>
    <s v="_x0000_peopl"/>
  </r>
  <r>
    <x v="6"/>
    <n v="13.691800000000001"/>
    <n v="-89.221599999999995"/>
    <n v="6"/>
    <n v="0"/>
    <n v="0"/>
    <n v="107"/>
    <s v="_x0000_peopl"/>
  </r>
  <r>
    <x v="6"/>
    <n v="13.6884"/>
    <n v="-89.198700000000002"/>
    <n v="5"/>
    <n v="0"/>
    <n v="0"/>
    <n v="107"/>
    <s v="_x0000_peopl"/>
  </r>
  <r>
    <x v="6"/>
    <n v="13.6965"/>
    <n v="-89.171999999999997"/>
    <n v="8"/>
    <n v="0"/>
    <n v="0"/>
    <n v="107"/>
    <s v="_x0000_peopl"/>
  </r>
  <r>
    <x v="6"/>
    <n v="13.6968"/>
    <n v="-89.171700000000001"/>
    <n v="8"/>
    <n v="0"/>
    <n v="0"/>
    <n v="107"/>
    <s v="_x0000_peopl"/>
  </r>
  <r>
    <x v="6"/>
    <n v="13.6859"/>
    <n v="-89.212500000000006"/>
    <n v="4"/>
    <n v="0"/>
    <n v="0"/>
    <n v="107"/>
    <s v="_x0000_peopl"/>
  </r>
  <r>
    <x v="6"/>
    <n v="13.6869"/>
    <n v="-89.214299999999994"/>
    <n v="7"/>
    <n v="0"/>
    <n v="0"/>
    <n v="107"/>
    <s v="_x0000_peopl"/>
  </r>
  <r>
    <x v="6"/>
    <n v="13.686199999999999"/>
    <n v="-89.212999999999994"/>
    <n v="3"/>
    <n v="0"/>
    <n v="0"/>
    <n v="107"/>
    <s v="_x0000_peopl"/>
  </r>
  <r>
    <x v="6"/>
    <n v="13.6867"/>
    <n v="-89.211600000000004"/>
    <n v="3"/>
    <n v="0"/>
    <n v="0"/>
    <n v="107"/>
    <s v="_x0000_peopl"/>
  </r>
  <r>
    <x v="6"/>
    <n v="13.6899"/>
    <n v="-89.1892"/>
    <n v="4"/>
    <n v="0"/>
    <n v="0"/>
    <n v="107"/>
    <s v="_x0000_peopl"/>
  </r>
  <r>
    <x v="6"/>
    <n v="13.692399999999999"/>
    <n v="-89.225499999999997"/>
    <n v="5"/>
    <n v="0"/>
    <n v="0"/>
    <n v="107"/>
    <s v="_x0000_peopl"/>
  </r>
  <r>
    <x v="6"/>
    <n v="13.688499999999999"/>
    <n v="-89.1982"/>
    <n v="6"/>
    <n v="0"/>
    <n v="0"/>
    <n v="107"/>
    <s v="_x0000_peopl"/>
  </r>
  <r>
    <x v="6"/>
    <n v="13.687200000000001"/>
    <n v="-89.181799999999996"/>
    <n v="1"/>
    <n v="0"/>
    <n v="0"/>
    <n v="107"/>
    <s v="_x0000_peopl"/>
  </r>
  <r>
    <x v="6"/>
    <n v="13.692500000000001"/>
    <n v="-89.179000000000002"/>
    <n v="2"/>
    <n v="0"/>
    <n v="0"/>
    <n v="107"/>
    <s v="_x0000_peopl"/>
  </r>
  <r>
    <x v="6"/>
    <n v="13.6899"/>
    <n v="-89.190399999999997"/>
    <n v="8"/>
    <n v="0"/>
    <n v="0"/>
    <n v="107"/>
    <s v="_x0000_peopl"/>
  </r>
  <r>
    <x v="6"/>
    <n v="13.684900000000001"/>
    <n v="-89.216999999999999"/>
    <n v="8"/>
    <n v="0"/>
    <n v="0"/>
    <n v="107"/>
    <s v="_x0000_peopl"/>
  </r>
  <r>
    <x v="6"/>
    <n v="13.6768"/>
    <n v="-89.199200000000005"/>
    <n v="2"/>
    <n v="0"/>
    <n v="0"/>
    <n v="107"/>
    <s v="_x0000_peopl"/>
  </r>
  <r>
    <x v="6"/>
    <n v="13.6913"/>
    <n v="-89.219899999999996"/>
    <n v="4"/>
    <n v="0"/>
    <n v="0"/>
    <n v="107"/>
    <s v="_x0000_peopl"/>
  </r>
  <r>
    <x v="6"/>
    <n v="13.6919"/>
    <n v="-89.221299999999999"/>
    <n v="6"/>
    <n v="0"/>
    <n v="0"/>
    <n v="107"/>
    <s v="_x0000_peopl"/>
  </r>
  <r>
    <x v="6"/>
    <n v="13.678000000000001"/>
    <n v="-89.246799999999993"/>
    <n v="4"/>
    <n v="0"/>
    <n v="0"/>
    <n v="107"/>
    <s v="_x0000_peopl"/>
  </r>
  <r>
    <x v="6"/>
    <n v="13.689299999999999"/>
    <n v="-89.196700000000007"/>
    <n v="8"/>
    <n v="0"/>
    <n v="0"/>
    <n v="107"/>
    <s v="_x0000_peopl"/>
  </r>
  <r>
    <x v="6"/>
    <n v="13.6912"/>
    <n v="-89.235200000000006"/>
    <n v="7"/>
    <n v="0"/>
    <n v="0"/>
    <n v="107"/>
    <s v="_x0000_peopl"/>
  </r>
  <r>
    <x v="6"/>
    <n v="13.6883"/>
    <n v="-89.1905"/>
    <n v="6"/>
    <n v="0"/>
    <n v="0"/>
    <n v="107"/>
    <s v="_x0000_peopl"/>
  </r>
  <r>
    <x v="6"/>
    <n v="13.690099999999999"/>
    <n v="-89.236000000000004"/>
    <n v="0"/>
    <n v="0"/>
    <n v="0"/>
    <n v="107"/>
    <s v="_x0000_peopl"/>
  </r>
  <r>
    <x v="6"/>
    <n v="13.6892"/>
    <n v="-89.18"/>
    <n v="4"/>
    <n v="0"/>
    <n v="0"/>
    <n v="107"/>
    <s v="_x0000_peopl"/>
  </r>
  <r>
    <x v="6"/>
    <n v="13.695"/>
    <n v="-89.171999999999997"/>
    <n v="4"/>
    <n v="0"/>
    <n v="0"/>
    <n v="107"/>
    <s v="_x0000_peopl"/>
  </r>
  <r>
    <x v="6"/>
    <n v="13.694100000000001"/>
    <n v="-89.173500000000004"/>
    <n v="5"/>
    <n v="0"/>
    <n v="0"/>
    <n v="107"/>
    <s v="_x0000_peopl"/>
  </r>
  <r>
    <x v="6"/>
    <n v="13.6883"/>
    <n v="-89.205299999999994"/>
    <n v="7"/>
    <n v="0"/>
    <n v="0"/>
    <n v="107"/>
    <s v="_x0000_peopl"/>
  </r>
  <r>
    <x v="6"/>
    <n v="13.6873"/>
    <n v="-89.197699999999998"/>
    <n v="5"/>
    <n v="0"/>
    <n v="0"/>
    <n v="107"/>
    <s v="_x0000_peopl"/>
  </r>
  <r>
    <x v="6"/>
    <n v="13.687200000000001"/>
    <n v="-89.195499999999996"/>
    <n v="3"/>
    <n v="0"/>
    <n v="0"/>
    <n v="107"/>
    <s v="_x0000_peopl"/>
  </r>
  <r>
    <x v="6"/>
    <n v="13.690200000000001"/>
    <n v="-89.177800000000005"/>
    <n v="10"/>
    <n v="0"/>
    <n v="0"/>
    <n v="107"/>
    <s v="_x0000_peopl"/>
  </r>
  <r>
    <x v="6"/>
    <n v="13.689"/>
    <n v="-89.194299999999998"/>
    <n v="6"/>
    <n v="0"/>
    <n v="0"/>
    <n v="107"/>
    <s v="_x0000_peopl"/>
  </r>
  <r>
    <x v="6"/>
    <n v="13.686999999999999"/>
    <n v="-89.197100000000006"/>
    <n v="12"/>
    <n v="0"/>
    <n v="0"/>
    <n v="107"/>
    <s v="_x0000_peopl"/>
  </r>
  <r>
    <x v="6"/>
    <n v="13.692"/>
    <n v="-89.194299999999998"/>
    <n v="5"/>
    <n v="0"/>
    <n v="0"/>
    <n v="107"/>
    <s v="_x0000_peopl"/>
  </r>
  <r>
    <x v="6"/>
    <n v="13.6861"/>
    <n v="-89.203599999999994"/>
    <n v="2"/>
    <n v="0"/>
    <n v="0"/>
    <n v="107"/>
    <s v="_x0000_peopl"/>
  </r>
  <r>
    <x v="6"/>
    <n v="13.688000000000001"/>
    <n v="-89.205799999999996"/>
    <n v="5"/>
    <n v="0"/>
    <n v="0"/>
    <n v="107"/>
    <s v="_x0000_peopl"/>
  </r>
  <r>
    <x v="6"/>
    <n v="13.691700000000001"/>
    <n v="-89.185400000000001"/>
    <n v="5"/>
    <n v="0"/>
    <n v="0"/>
    <n v="107"/>
    <s v="_x0000_peopl"/>
  </r>
  <r>
    <x v="6"/>
    <n v="13.6853"/>
    <n v="-89.194100000000006"/>
    <n v="5"/>
    <n v="0"/>
    <n v="0"/>
    <n v="107"/>
    <s v="_x0000_peopl"/>
  </r>
  <r>
    <x v="6"/>
    <n v="13.687900000000001"/>
    <n v="-89.194100000000006"/>
    <n v="3"/>
    <n v="0"/>
    <n v="0"/>
    <n v="107"/>
    <s v="_x0000_peopl"/>
  </r>
  <r>
    <x v="6"/>
    <n v="13.679500000000001"/>
    <n v="-89.194199999999995"/>
    <n v="7"/>
    <n v="0"/>
    <n v="0"/>
    <n v="107"/>
    <s v="_x0000_peopl"/>
  </r>
  <r>
    <x v="6"/>
    <n v="13.695"/>
    <n v="-89.174999999999997"/>
    <n v="2"/>
    <n v="0"/>
    <n v="0"/>
    <n v="107"/>
    <s v="_x0000_peopl"/>
  </r>
  <r>
    <x v="6"/>
    <n v="13.6951"/>
    <n v="-89.182699999999997"/>
    <n v="10"/>
    <n v="0"/>
    <n v="0"/>
    <n v="107"/>
    <s v="_x0000_peopl"/>
  </r>
  <r>
    <x v="6"/>
    <n v="13.6912"/>
    <n v="-89.233699999999999"/>
    <n v="6"/>
    <n v="0"/>
    <n v="0"/>
    <n v="107"/>
    <s v="_x0000_peopl"/>
  </r>
  <r>
    <x v="6"/>
    <n v="13.6876"/>
    <n v="-89.194299999999998"/>
    <n v="2"/>
    <n v="0"/>
    <n v="0"/>
    <n v="107"/>
    <s v="_x0000_peopl"/>
  </r>
  <r>
    <x v="6"/>
    <n v="13.6877"/>
    <n v="-89.179599999999994"/>
    <n v="3"/>
    <n v="0"/>
    <n v="0"/>
    <n v="107"/>
    <s v="_x0000_peopl"/>
  </r>
  <r>
    <x v="6"/>
    <n v="13.6922"/>
    <n v="-89.2256"/>
    <n v="4"/>
    <n v="0"/>
    <n v="0"/>
    <n v="107"/>
    <s v="_x0000_peopl"/>
  </r>
  <r>
    <x v="6"/>
    <n v="13.693199999999999"/>
    <n v="-89.176299999999998"/>
    <n v="9"/>
    <n v="0"/>
    <n v="0"/>
    <n v="107"/>
    <s v="_x0000_peopl"/>
  </r>
  <r>
    <x v="6"/>
    <n v="13.674799999999999"/>
    <n v="-89.199799999999996"/>
    <n v="3"/>
    <n v="0"/>
    <n v="0"/>
    <n v="107"/>
    <s v="_x0000_peopl"/>
  </r>
  <r>
    <x v="6"/>
    <n v="13.6873"/>
    <n v="-89.194900000000004"/>
    <n v="3"/>
    <n v="0"/>
    <n v="0"/>
    <n v="107"/>
    <s v="_x0000_peopl"/>
  </r>
  <r>
    <x v="6"/>
    <n v="13.688000000000001"/>
    <n v="-89.212800000000001"/>
    <n v="3"/>
    <n v="0"/>
    <n v="0"/>
    <n v="107"/>
    <s v="_x0000_peopl"/>
  </r>
  <r>
    <x v="6"/>
    <n v="13.6928"/>
    <n v="-89.186400000000006"/>
    <n v="3"/>
    <n v="0"/>
    <n v="0"/>
    <n v="107"/>
    <s v="_x0000_peopl"/>
  </r>
  <r>
    <x v="6"/>
    <n v="13.6898"/>
    <n v="-89.2363"/>
    <n v="1"/>
    <n v="0"/>
    <n v="0"/>
    <n v="107"/>
    <s v="_x0000_peopl"/>
  </r>
  <r>
    <x v="6"/>
    <n v="13.688499999999999"/>
    <n v="-89.181600000000003"/>
    <n v="5"/>
    <n v="0"/>
    <n v="0"/>
    <n v="107"/>
    <s v="_x0000_peopl"/>
  </r>
  <r>
    <x v="6"/>
    <n v="13.6957"/>
    <n v="-89.171700000000001"/>
    <n v="7"/>
    <n v="0"/>
    <n v="0"/>
    <n v="107"/>
    <s v="_x0000_peopl"/>
  </r>
  <r>
    <x v="6"/>
    <n v="13.693099999999999"/>
    <n v="-89.176699999999997"/>
    <n v="6"/>
    <n v="0"/>
    <n v="0"/>
    <n v="107"/>
    <s v="_x0000_peopl"/>
  </r>
  <r>
    <x v="6"/>
    <n v="13.6912"/>
    <n v="-89.232900000000001"/>
    <n v="4"/>
    <n v="0"/>
    <n v="0"/>
    <n v="107"/>
    <s v="_x0000_peopl"/>
  </r>
  <r>
    <x v="6"/>
    <n v="13.688800000000001"/>
    <n v="-89.216700000000003"/>
    <n v="8"/>
    <n v="0"/>
    <n v="0"/>
    <n v="107"/>
    <s v="_x0000_peopl"/>
  </r>
  <r>
    <x v="6"/>
    <n v="13.686199999999999"/>
    <n v="-89.201499999999996"/>
    <n v="3"/>
    <n v="0"/>
    <n v="0"/>
    <n v="107"/>
    <s v="_x0000_peopl"/>
  </r>
  <r>
    <x v="6"/>
    <n v="13.6898"/>
    <n v="-89.193799999999996"/>
    <n v="3"/>
    <n v="0"/>
    <n v="0"/>
    <n v="107"/>
    <s v="_x0000_peopl"/>
  </r>
  <r>
    <x v="6"/>
    <n v="13.694000000000001"/>
    <n v="-89.176299999999998"/>
    <n v="7"/>
    <n v="0"/>
    <n v="0"/>
    <n v="107"/>
    <s v="_x0000_peopl"/>
  </r>
  <r>
    <x v="6"/>
    <n v="13.688499999999999"/>
    <n v="-89.190899999999999"/>
    <n v="4"/>
    <n v="0"/>
    <n v="0"/>
    <n v="107"/>
    <s v="_x0000_peopl"/>
  </r>
  <r>
    <x v="6"/>
    <n v="13.6799"/>
    <n v="-89.195800000000006"/>
    <n v="2"/>
    <n v="0"/>
    <n v="0"/>
    <n v="107"/>
    <s v="_x0000_peopl"/>
  </r>
  <r>
    <x v="6"/>
    <n v="13.694599999999999"/>
    <n v="-89.183199999999999"/>
    <n v="2"/>
    <n v="0"/>
    <n v="0"/>
    <n v="107"/>
    <s v="_x0000_peopl"/>
  </r>
  <r>
    <x v="6"/>
    <n v="13.690799999999999"/>
    <n v="-89.232600000000005"/>
    <n v="6"/>
    <n v="0"/>
    <n v="0"/>
    <n v="107"/>
    <s v="_x0000_peopl"/>
  </r>
  <r>
    <x v="6"/>
    <n v="13.69"/>
    <n v="-89.217399999999998"/>
    <n v="4"/>
    <n v="0"/>
    <n v="0"/>
    <n v="107"/>
    <s v="_x0000_peopl"/>
  </r>
  <r>
    <x v="6"/>
    <n v="13.6927"/>
    <n v="-89.189499999999995"/>
    <n v="2"/>
    <n v="0"/>
    <n v="0"/>
    <n v="107"/>
    <s v="_x0000_peopl"/>
  </r>
  <r>
    <x v="6"/>
    <n v="13.6873"/>
    <n v="-89.192400000000006"/>
    <n v="3"/>
    <n v="0"/>
    <n v="0"/>
    <n v="107"/>
    <s v="_x0000_peopl"/>
  </r>
  <r>
    <x v="6"/>
    <n v="13.689"/>
    <n v="-89.180199999999999"/>
    <n v="5"/>
    <n v="0"/>
    <n v="0"/>
    <n v="107"/>
    <s v="_x0000_peopl"/>
  </r>
  <r>
    <x v="6"/>
    <n v="13.6934"/>
    <n v="-89.177099999999996"/>
    <n v="10"/>
    <n v="0"/>
    <n v="0"/>
    <n v="107"/>
    <s v="_x0000_peopl"/>
  </r>
  <r>
    <x v="6"/>
    <n v="13.693199999999999"/>
    <n v="-89.189700000000002"/>
    <n v="6"/>
    <n v="0"/>
    <n v="0"/>
    <n v="107"/>
    <s v="_x0000_peopl"/>
  </r>
  <r>
    <x v="6"/>
    <n v="13.690899999999999"/>
    <n v="-89.227400000000003"/>
    <n v="4"/>
    <n v="0"/>
    <n v="0"/>
    <n v="107"/>
    <s v="_x0000_peopl"/>
  </r>
  <r>
    <x v="6"/>
    <n v="13.6914"/>
    <n v="-89.188100000000006"/>
    <n v="3"/>
    <n v="0"/>
    <n v="0"/>
    <n v="107"/>
    <s v="_x0000_peopl"/>
  </r>
  <r>
    <x v="6"/>
    <n v="13.6915"/>
    <n v="-89.178600000000003"/>
    <n v="7"/>
    <n v="0"/>
    <n v="0"/>
    <n v="107"/>
    <s v="_x0000_peopl"/>
  </r>
  <r>
    <x v="6"/>
    <n v="13.6873"/>
    <n v="-89.194800000000001"/>
    <n v="1"/>
    <n v="0"/>
    <n v="0"/>
    <n v="107"/>
    <s v="_x0000_peopl"/>
  </r>
  <r>
    <x v="6"/>
    <n v="13.694800000000001"/>
    <n v="-89.183000000000007"/>
    <n v="3"/>
    <n v="0"/>
    <n v="0"/>
    <n v="107"/>
    <s v="_x0000_peopl"/>
  </r>
  <r>
    <x v="6"/>
    <n v="13.6882"/>
    <n v="-89.216200000000001"/>
    <n v="4"/>
    <n v="0"/>
    <n v="0"/>
    <n v="107"/>
    <s v="_x0000_peopl"/>
  </r>
  <r>
    <x v="6"/>
    <n v="13.6951"/>
    <n v="-89.174700000000001"/>
    <n v="6"/>
    <n v="0"/>
    <n v="0"/>
    <n v="107"/>
    <s v="_x0000_peopl"/>
  </r>
  <r>
    <x v="6"/>
    <n v="13.690899999999999"/>
    <n v="-89.235100000000003"/>
    <n v="2"/>
    <n v="0"/>
    <n v="0"/>
    <n v="107"/>
    <s v="_x0000_peopl"/>
  </r>
  <r>
    <x v="6"/>
    <n v="13.694599999999999"/>
    <n v="-89.174000000000007"/>
    <n v="6"/>
    <n v="0"/>
    <n v="0"/>
    <n v="107"/>
    <s v="_x0000_peopl"/>
  </r>
  <r>
    <x v="6"/>
    <n v="13.6867"/>
    <n v="-89.191100000000006"/>
    <n v="3"/>
    <n v="0"/>
    <n v="0"/>
    <n v="107"/>
    <s v="_x0000_peopl"/>
  </r>
  <r>
    <x v="6"/>
    <n v="13.687099999999999"/>
    <n v="-89.213899999999995"/>
    <n v="6"/>
    <n v="0"/>
    <n v="0"/>
    <n v="107"/>
    <s v="_x0000_peopl"/>
  </r>
  <r>
    <x v="6"/>
    <n v="13.6927"/>
    <n v="-89.179500000000004"/>
    <n v="6"/>
    <n v="0"/>
    <n v="0"/>
    <n v="107"/>
    <s v="_x0000_peopl"/>
  </r>
  <r>
    <x v="6"/>
    <n v="13.690099999999999"/>
    <n v="-89.177599999999998"/>
    <n v="7"/>
    <n v="0"/>
    <n v="0"/>
    <n v="107"/>
    <s v="_x0000_peopl"/>
  </r>
  <r>
    <x v="6"/>
    <n v="13.6912"/>
    <n v="-89.226699999999994"/>
    <n v="9"/>
    <n v="0"/>
    <n v="0"/>
    <n v="107"/>
    <s v="_x0000_peopl"/>
  </r>
  <r>
    <x v="6"/>
    <n v="13.685499999999999"/>
    <n v="-89.215500000000006"/>
    <n v="6"/>
    <n v="0"/>
    <n v="0"/>
    <n v="107"/>
    <s v="_x0000_peopl"/>
  </r>
  <r>
    <x v="6"/>
    <n v="13.674300000000001"/>
    <n v="-89.251300000000001"/>
    <n v="4"/>
    <n v="0"/>
    <n v="0"/>
    <n v="107"/>
    <s v="_x0000_peopl"/>
  </r>
  <r>
    <x v="6"/>
    <n v="13.689"/>
    <n v="-89.183599999999998"/>
    <n v="10"/>
    <n v="0"/>
    <n v="0"/>
    <n v="107"/>
    <s v="_x0000_peopl"/>
  </r>
  <r>
    <x v="6"/>
    <n v="13.687799999999999"/>
    <n v="-89.216200000000001"/>
    <n v="3"/>
    <n v="0"/>
    <n v="0"/>
    <n v="107"/>
    <s v="_x0000_peopl"/>
  </r>
  <r>
    <x v="6"/>
    <n v="13.6867"/>
    <n v="-89.194500000000005"/>
    <n v="4"/>
    <n v="0"/>
    <n v="0"/>
    <n v="107"/>
    <s v="_x0000_peopl"/>
  </r>
  <r>
    <x v="6"/>
    <n v="13.684200000000001"/>
    <n v="-89.216800000000006"/>
    <n v="3"/>
    <n v="0"/>
    <n v="0"/>
    <n v="107"/>
    <s v="_x0000_peopl"/>
  </r>
  <r>
    <x v="6"/>
    <n v="13.678100000000001"/>
    <n v="-89.196399999999997"/>
    <n v="3"/>
    <n v="0"/>
    <n v="0"/>
    <n v="107"/>
    <s v="_x0000_peopl"/>
  </r>
  <r>
    <x v="6"/>
    <n v="13.6881"/>
    <n v="-89.182000000000002"/>
    <n v="8"/>
    <n v="0"/>
    <n v="0"/>
    <n v="107"/>
    <s v="_x0000_peopl"/>
  </r>
  <r>
    <x v="6"/>
    <n v="13.686500000000001"/>
    <n v="-89.211500000000001"/>
    <n v="3"/>
    <n v="0"/>
    <n v="0"/>
    <n v="107"/>
    <s v="_x0000_peopl"/>
  </r>
  <r>
    <x v="6"/>
    <n v="13.6852"/>
    <n v="-89.203199999999995"/>
    <n v="9"/>
    <n v="0"/>
    <n v="0"/>
    <n v="107"/>
    <s v="_x0000_peopl"/>
  </r>
  <r>
    <x v="6"/>
    <n v="13.689500000000001"/>
    <n v="-89.235699999999994"/>
    <n v="4"/>
    <n v="0"/>
    <n v="0"/>
    <n v="107"/>
    <s v="_x0000_peopl"/>
  </r>
  <r>
    <x v="6"/>
    <n v="13.689500000000001"/>
    <n v="-89.181100000000001"/>
    <n v="6"/>
    <n v="0"/>
    <n v="0"/>
    <n v="107"/>
    <s v="_x0000_peopl"/>
  </r>
  <r>
    <x v="6"/>
    <n v="13.690200000000001"/>
    <n v="-89.188299999999998"/>
    <n v="4"/>
    <n v="0"/>
    <n v="0"/>
    <n v="107"/>
    <s v="_x0000_peopl"/>
  </r>
  <r>
    <x v="6"/>
    <n v="13.6913"/>
    <n v="-89.229299999999995"/>
    <n v="3"/>
    <n v="0"/>
    <n v="0"/>
    <n v="107"/>
    <s v="_x0000_peopl"/>
  </r>
  <r>
    <x v="6"/>
    <n v="13.6747"/>
    <n v="-89.199299999999994"/>
    <n v="6"/>
    <n v="0"/>
    <n v="0"/>
    <n v="107"/>
    <s v="_x0000_peopl"/>
  </r>
  <r>
    <x v="6"/>
    <n v="13.6874"/>
    <n v="-89.197800000000001"/>
    <n v="6"/>
    <n v="0"/>
    <n v="0"/>
    <n v="107"/>
    <s v="_x0000_peopl"/>
  </r>
  <r>
    <x v="6"/>
    <n v="13.6873"/>
    <n v="-89.211100000000002"/>
    <n v="4"/>
    <n v="0"/>
    <n v="0"/>
    <n v="107"/>
    <s v="_x0000_peopl"/>
  </r>
  <r>
    <x v="6"/>
    <n v="13.685600000000001"/>
    <n v="-89.193799999999996"/>
    <n v="4"/>
    <n v="0"/>
    <n v="0"/>
    <n v="107"/>
    <s v="_x0000_peopl"/>
  </r>
  <r>
    <x v="6"/>
    <n v="13.6907"/>
    <n v="-89.235900000000001"/>
    <n v="6"/>
    <n v="0"/>
    <n v="0"/>
    <n v="107"/>
    <s v="_x0000_peopl"/>
  </r>
  <r>
    <x v="6"/>
    <n v="13.6905"/>
    <n v="-89.233800000000002"/>
    <n v="5"/>
    <n v="0"/>
    <n v="0"/>
    <n v="107"/>
    <s v="_x0000_peopl"/>
  </r>
  <r>
    <x v="6"/>
    <n v="13.6861"/>
    <n v="-89.197900000000004"/>
    <n v="3"/>
    <n v="0"/>
    <n v="0"/>
    <n v="107"/>
    <s v="_x0000_peopl"/>
  </r>
  <r>
    <x v="6"/>
    <n v="13.6844"/>
    <n v="-89.213499999999996"/>
    <n v="6"/>
    <n v="0"/>
    <n v="0"/>
    <n v="107"/>
    <s v="_x0000_peopl"/>
  </r>
  <r>
    <x v="6"/>
    <n v="13.688800000000001"/>
    <n v="-89.229600000000005"/>
    <n v="5"/>
    <n v="0"/>
    <n v="0"/>
    <n v="107"/>
    <s v="_x0000_peopl"/>
  </r>
  <r>
    <x v="6"/>
    <n v="13.6875"/>
    <n v="-89.183099999999996"/>
    <n v="8"/>
    <n v="0"/>
    <n v="0"/>
    <n v="107"/>
    <s v="_x0000_peopl"/>
  </r>
  <r>
    <x v="6"/>
    <n v="13.6913"/>
    <n v="-89.189400000000006"/>
    <n v="4"/>
    <n v="0"/>
    <n v="0"/>
    <n v="107"/>
    <s v="_x0000_peopl"/>
  </r>
  <r>
    <x v="6"/>
    <n v="13.6881"/>
    <n v="-89.216499999999996"/>
    <n v="9"/>
    <n v="0"/>
    <n v="0"/>
    <n v="107"/>
    <s v="_x0000_peopl"/>
  </r>
  <r>
    <x v="6"/>
    <n v="13.6944"/>
    <n v="-89.189099999999996"/>
    <n v="6"/>
    <n v="0"/>
    <n v="0"/>
    <n v="107"/>
    <s v="_x0000_peopl"/>
  </r>
  <r>
    <x v="6"/>
    <n v="13.6875"/>
    <n v="-89.194699999999997"/>
    <n v="3"/>
    <n v="0"/>
    <n v="0"/>
    <n v="107"/>
    <s v="_x0000_peopl"/>
  </r>
  <r>
    <x v="6"/>
    <n v="13.691599999999999"/>
    <n v="-89.197400000000002"/>
    <n v="7"/>
    <n v="0"/>
    <n v="0"/>
    <n v="107"/>
    <s v="_x0000_peopl"/>
  </r>
  <r>
    <x v="6"/>
    <n v="13.6896"/>
    <n v="-89.190399999999997"/>
    <n v="2"/>
    <n v="0"/>
    <n v="0"/>
    <n v="107"/>
    <s v="_x0000_peopl"/>
  </r>
  <r>
    <x v="6"/>
    <n v="13.688700000000001"/>
    <n v="-89.217100000000002"/>
    <n v="5"/>
    <n v="0"/>
    <n v="0"/>
    <n v="107"/>
    <s v="_x0000_peopl"/>
  </r>
  <r>
    <x v="6"/>
    <n v="13.684900000000001"/>
    <n v="-89.216800000000006"/>
    <n v="8"/>
    <n v="0"/>
    <n v="0"/>
    <n v="107"/>
    <s v="_x0000_peopl"/>
  </r>
  <r>
    <x v="6"/>
    <n v="13.6915"/>
    <n v="-89.189400000000006"/>
    <n v="4"/>
    <n v="0"/>
    <n v="0"/>
    <n v="107"/>
    <s v="_x0000_peopl"/>
  </r>
  <r>
    <x v="6"/>
    <n v="13.6767"/>
    <n v="-89.247600000000006"/>
    <n v="4"/>
    <n v="0"/>
    <n v="0"/>
    <n v="107"/>
    <s v="_x0000_peopl"/>
  </r>
  <r>
    <x v="6"/>
    <n v="13.6936"/>
    <n v="-89.1785"/>
    <n v="3"/>
    <n v="0"/>
    <n v="0"/>
    <n v="107"/>
    <s v="_x0000_peopl"/>
  </r>
  <r>
    <x v="6"/>
    <n v="13.6898"/>
    <n v="-89.195599999999999"/>
    <n v="3"/>
    <n v="0"/>
    <n v="0"/>
    <n v="107"/>
    <s v="_x0000_peopl"/>
  </r>
  <r>
    <x v="6"/>
    <n v="13.692299999999999"/>
    <n v="-89.225499999999997"/>
    <n v="2"/>
    <n v="0"/>
    <n v="0"/>
    <n v="107"/>
    <s v="_x0000_peopl"/>
  </r>
  <r>
    <x v="6"/>
    <n v="13.6869"/>
    <n v="-89.191299999999998"/>
    <n v="5"/>
    <n v="0"/>
    <n v="0"/>
    <n v="107"/>
    <s v="_x0000_peopl"/>
  </r>
  <r>
    <x v="6"/>
    <n v="13.696400000000001"/>
    <n v="-89.1721"/>
    <n v="2"/>
    <n v="0"/>
    <n v="0"/>
    <n v="107"/>
    <s v="_x0000_peopl"/>
  </r>
  <r>
    <x v="6"/>
    <n v="13.6882"/>
    <n v="-89.205299999999994"/>
    <n v="4"/>
    <n v="0"/>
    <n v="0"/>
    <n v="107"/>
    <s v="_x0000_peopl"/>
  </r>
  <r>
    <x v="6"/>
    <n v="13.6915"/>
    <n v="-89.225700000000003"/>
    <n v="5"/>
    <n v="0"/>
    <n v="0"/>
    <n v="107"/>
    <s v="_x0000_peopl"/>
  </r>
  <r>
    <x v="6"/>
    <n v="13.692500000000001"/>
    <n v="-89.176699999999997"/>
    <n v="7"/>
    <n v="0"/>
    <n v="0"/>
    <n v="107"/>
    <s v="_x0000_peopl"/>
  </r>
  <r>
    <x v="6"/>
    <n v="13.6905"/>
    <n v="-89.186499999999995"/>
    <n v="6"/>
    <n v="0"/>
    <n v="0"/>
    <n v="107"/>
    <s v="_x0000_peopl"/>
  </r>
  <r>
    <x v="6"/>
    <n v="13.6883"/>
    <n v="-89.180599999999998"/>
    <n v="8"/>
    <n v="0"/>
    <n v="0"/>
    <n v="107"/>
    <s v="_x0000_peopl"/>
  </r>
  <r>
    <x v="6"/>
    <n v="13.6912"/>
    <n v="-89.181600000000003"/>
    <n v="4"/>
    <n v="0"/>
    <n v="0"/>
    <n v="107"/>
    <s v="_x0000_peopl"/>
  </r>
  <r>
    <x v="6"/>
    <n v="13.6914"/>
    <n v="-89.220399999999998"/>
    <n v="3"/>
    <n v="0"/>
    <n v="0"/>
    <n v="107"/>
    <s v="_x0000_peopl"/>
  </r>
  <r>
    <x v="6"/>
    <n v="13.692399999999999"/>
    <n v="-89.223200000000006"/>
    <n v="2"/>
    <n v="0"/>
    <n v="0"/>
    <n v="107"/>
    <s v="_x0000_peopl"/>
  </r>
  <r>
    <x v="6"/>
    <n v="13.687099999999999"/>
    <n v="-89.191500000000005"/>
    <n v="5"/>
    <n v="0"/>
    <n v="0"/>
    <n v="107"/>
    <s v="_x0000_peopl"/>
  </r>
  <r>
    <x v="6"/>
    <n v="13.684900000000001"/>
    <n v="-89.217200000000005"/>
    <n v="4"/>
    <n v="0"/>
    <n v="0"/>
    <n v="107"/>
    <s v="_x0000_peopl"/>
  </r>
  <r>
    <x v="6"/>
    <n v="13.6745"/>
    <n v="-89.199299999999994"/>
    <n v="5"/>
    <n v="0"/>
    <n v="0"/>
    <n v="107"/>
    <s v="_x0000_peopl"/>
  </r>
  <r>
    <x v="6"/>
    <n v="13.6957"/>
    <n v="-89.173100000000005"/>
    <n v="2"/>
    <n v="0"/>
    <n v="0"/>
    <n v="107"/>
    <s v="_x0000_peopl"/>
  </r>
  <r>
    <x v="6"/>
    <n v="13.6913"/>
    <n v="-89.229200000000006"/>
    <n v="6"/>
    <n v="0"/>
    <n v="0"/>
    <n v="107"/>
    <s v="_x0000_peopl"/>
  </r>
  <r>
    <x v="6"/>
    <n v="13.6914"/>
    <n v="-89.232900000000001"/>
    <n v="5"/>
    <n v="0"/>
    <n v="0"/>
    <n v="107"/>
    <s v="_x0000_peopl"/>
  </r>
  <r>
    <x v="6"/>
    <n v="13.690899999999999"/>
    <n v="-89.185199999999995"/>
    <n v="1"/>
    <n v="0"/>
    <n v="0"/>
    <n v="107"/>
    <s v="_x0000_peopl"/>
  </r>
  <r>
    <x v="6"/>
    <n v="13.6873"/>
    <n v="-89.194100000000006"/>
    <n v="6"/>
    <n v="0"/>
    <n v="0"/>
    <n v="107"/>
    <s v="_x0000_peopl"/>
  </r>
  <r>
    <x v="6"/>
    <n v="13.6935"/>
    <n v="-89.192400000000006"/>
    <n v="5"/>
    <n v="0"/>
    <n v="0"/>
    <n v="107"/>
    <s v="_x0000_peopl"/>
  </r>
  <r>
    <x v="6"/>
    <n v="13.6907"/>
    <n v="-89.183899999999994"/>
    <n v="5"/>
    <n v="0"/>
    <n v="0"/>
    <n v="107"/>
    <s v="_x0000_peopl"/>
  </r>
  <r>
    <x v="6"/>
    <n v="13.6944"/>
    <n v="-89.175200000000004"/>
    <n v="6"/>
    <n v="0"/>
    <n v="0"/>
    <n v="107"/>
    <s v="_x0000_peopl"/>
  </r>
  <r>
    <x v="6"/>
    <n v="13.692399999999999"/>
    <n v="-89.224100000000007"/>
    <n v="5"/>
    <n v="0"/>
    <n v="0"/>
    <n v="107"/>
    <s v="_x0000_peopl"/>
  </r>
  <r>
    <x v="6"/>
    <n v="13.692399999999999"/>
    <n v="-89.224800000000002"/>
    <n v="2"/>
    <n v="0"/>
    <n v="0"/>
    <n v="107"/>
    <s v="_x0000_peopl"/>
  </r>
  <r>
    <x v="6"/>
    <n v="13.686999999999999"/>
    <n v="-89.183199999999999"/>
    <n v="8"/>
    <n v="0"/>
    <n v="0"/>
    <n v="107"/>
    <s v="_x0000_peopl"/>
  </r>
  <r>
    <x v="6"/>
    <n v="13.6899"/>
    <n v="-89.236199999999997"/>
    <n v="7"/>
    <n v="0"/>
    <n v="0"/>
    <n v="107"/>
    <s v="_x0000_peopl"/>
  </r>
  <r>
    <x v="6"/>
    <n v="13.684900000000001"/>
    <n v="-89.212000000000003"/>
    <n v="8"/>
    <n v="0"/>
    <n v="0"/>
    <n v="107"/>
    <s v="_x0000_peopl"/>
  </r>
  <r>
    <x v="6"/>
    <n v="13.6769"/>
    <n v="-89.199700000000007"/>
    <n v="9"/>
    <n v="0"/>
    <n v="0"/>
    <n v="107"/>
    <s v="_x0000_peopl"/>
  </r>
  <r>
    <x v="6"/>
    <n v="13.6907"/>
    <n v="-89.235500000000002"/>
    <n v="7"/>
    <n v="0"/>
    <n v="0"/>
    <n v="107"/>
    <s v="_x0000_peopl"/>
  </r>
  <r>
    <x v="6"/>
    <n v="13.689500000000001"/>
    <n v="-89.202699999999993"/>
    <n v="3"/>
    <n v="0"/>
    <n v="0"/>
    <n v="107"/>
    <s v="_x0000_peopl"/>
  </r>
  <r>
    <x v="6"/>
    <n v="13.691000000000001"/>
    <n v="-89.183099999999996"/>
    <n v="2"/>
    <n v="0"/>
    <n v="0"/>
    <n v="107"/>
    <s v="_x0000_peopl"/>
  </r>
  <r>
    <x v="6"/>
    <n v="13.6945"/>
    <n v="-89.174199999999999"/>
    <n v="4"/>
    <n v="0"/>
    <n v="0"/>
    <n v="107"/>
    <s v="_x0000_peopl"/>
  </r>
  <r>
    <x v="6"/>
    <n v="13.673"/>
    <n v="-89.203699999999998"/>
    <n v="6"/>
    <n v="0"/>
    <n v="0"/>
    <n v="107"/>
    <s v="_x0000_peopl"/>
  </r>
  <r>
    <x v="6"/>
    <n v="13.690099999999999"/>
    <n v="-89.195700000000002"/>
    <n v="7"/>
    <n v="0"/>
    <n v="0"/>
    <n v="107"/>
    <s v="_x0000_peopl"/>
  </r>
  <r>
    <x v="6"/>
    <n v="13.674200000000001"/>
    <n v="-89.252099999999999"/>
    <n v="1"/>
    <n v="0"/>
    <n v="0"/>
    <n v="107"/>
    <s v="_x0000_peopl"/>
  </r>
  <r>
    <x v="6"/>
    <n v="13.688700000000001"/>
    <n v="-89.205200000000005"/>
    <n v="7"/>
    <n v="0"/>
    <n v="0"/>
    <n v="107"/>
    <s v="_x0000_peopl"/>
  </r>
  <r>
    <x v="6"/>
    <n v="13.684699999999999"/>
    <n v="-89.213700000000003"/>
    <n v="4"/>
    <n v="0"/>
    <n v="0"/>
    <n v="107"/>
    <s v="_x0000_peopl"/>
  </r>
  <r>
    <x v="6"/>
    <n v="13.684900000000001"/>
    <n v="-89.215900000000005"/>
    <n v="6"/>
    <n v="0"/>
    <n v="0"/>
    <n v="107"/>
    <s v="_x0000_peopl"/>
  </r>
  <r>
    <x v="6"/>
    <n v="13.690300000000001"/>
    <n v="-89.234300000000005"/>
    <n v="4"/>
    <n v="0"/>
    <n v="0"/>
    <n v="107"/>
    <s v="_x0000_peopl"/>
  </r>
  <r>
    <x v="6"/>
    <n v="13.688800000000001"/>
    <n v="-89.229699999999994"/>
    <n v="5"/>
    <n v="0"/>
    <n v="0"/>
    <n v="107"/>
    <s v="_x0000_peopl"/>
  </r>
  <r>
    <x v="6"/>
    <n v="13.691599999999999"/>
    <n v="-89.181799999999996"/>
    <n v="2"/>
    <n v="0"/>
    <n v="0"/>
    <n v="107"/>
    <s v="_x0000_peopl"/>
  </r>
  <r>
    <x v="6"/>
    <n v="13.692500000000001"/>
    <n v="-89.175399999999996"/>
    <n v="7"/>
    <n v="0"/>
    <n v="0"/>
    <n v="107"/>
    <s v="_x0000_peopl"/>
  </r>
  <r>
    <x v="6"/>
    <n v="13.6875"/>
    <n v="-89.194599999999994"/>
    <n v="4"/>
    <n v="0"/>
    <n v="0"/>
    <n v="107"/>
    <s v="_x0000_peopl"/>
  </r>
  <r>
    <x v="6"/>
    <n v="13.679500000000001"/>
    <n v="-89.197199999999995"/>
    <n v="9"/>
    <n v="0"/>
    <n v="0"/>
    <n v="107"/>
    <s v="_x0000_peopl"/>
  </r>
  <r>
    <x v="6"/>
    <n v="13.6875"/>
    <n v="-89.195099999999996"/>
    <n v="2"/>
    <n v="0"/>
    <n v="0"/>
    <n v="107"/>
    <s v="_x0000_peopl"/>
  </r>
  <r>
    <x v="6"/>
    <n v="13.6927"/>
    <n v="-89.176500000000004"/>
    <n v="4"/>
    <n v="0"/>
    <n v="0"/>
    <n v="107"/>
    <s v="_x0000_peopl"/>
  </r>
  <r>
    <x v="6"/>
    <n v="13.6867"/>
    <n v="-89.214299999999994"/>
    <n v="6"/>
    <n v="0"/>
    <n v="0"/>
    <n v="107"/>
    <s v="_x0000_peopl"/>
  </r>
  <r>
    <x v="6"/>
    <n v="13.691800000000001"/>
    <n v="-89.221299999999999"/>
    <n v="5"/>
    <n v="0"/>
    <n v="0"/>
    <n v="107"/>
    <s v="_x0000_peopl"/>
  </r>
  <r>
    <x v="6"/>
    <n v="13.690200000000001"/>
    <n v="-89.177400000000006"/>
    <n v="5"/>
    <n v="0"/>
    <n v="0"/>
    <n v="107"/>
    <s v="_x0000_peopl"/>
  </r>
  <r>
    <x v="6"/>
    <n v="13.6892"/>
    <n v="-89.196899999999999"/>
    <n v="7"/>
    <n v="0"/>
    <n v="0"/>
    <n v="107"/>
    <s v="_x0000_peopl"/>
  </r>
  <r>
    <x v="6"/>
    <n v="13.694699999999999"/>
    <n v="-89.183700000000002"/>
    <n v="1"/>
    <n v="0"/>
    <n v="0"/>
    <n v="107"/>
    <s v="_x0000_peopl"/>
  </r>
  <r>
    <x v="6"/>
    <n v="13.69"/>
    <n v="-89.189899999999994"/>
    <n v="3"/>
    <n v="0"/>
    <n v="0"/>
    <n v="107"/>
    <s v="_x0000_peopl"/>
  </r>
  <r>
    <x v="6"/>
    <n v="13.6877"/>
    <n v="-89.182000000000002"/>
    <n v="7"/>
    <n v="0"/>
    <n v="0"/>
    <n v="107"/>
    <s v="_x0000_peopl"/>
  </r>
  <r>
    <x v="6"/>
    <n v="13.691700000000001"/>
    <n v="-89.228099999999998"/>
    <n v="4"/>
    <n v="0"/>
    <n v="0"/>
    <n v="107"/>
    <s v="_x0000_peopl"/>
  </r>
  <r>
    <x v="6"/>
    <n v="13.690200000000001"/>
    <n v="-89.184799999999996"/>
    <n v="5"/>
    <n v="0"/>
    <n v="0"/>
    <n v="107"/>
    <s v="_x0000_peopl"/>
  </r>
  <r>
    <x v="6"/>
    <n v="13.676399999999999"/>
    <n v="-89.2"/>
    <n v="5"/>
    <n v="0"/>
    <n v="0"/>
    <n v="107"/>
    <s v="_x0000_peopl"/>
  </r>
  <r>
    <x v="6"/>
    <n v="13.69"/>
    <n v="-89.216800000000006"/>
    <n v="2"/>
    <n v="0"/>
    <n v="0"/>
    <n v="107"/>
    <s v="_x0000_peopl"/>
  </r>
  <r>
    <x v="6"/>
    <n v="13.688499999999999"/>
    <n v="-89.18"/>
    <n v="5"/>
    <n v="0"/>
    <n v="0"/>
    <n v="107"/>
    <s v="_x0000_peopl"/>
  </r>
  <r>
    <x v="6"/>
    <n v="13.6973"/>
    <n v="-89.171400000000006"/>
    <n v="5"/>
    <n v="0"/>
    <n v="0"/>
    <n v="107"/>
    <s v="_x0000_peopl"/>
  </r>
  <r>
    <x v="6"/>
    <n v="13.691700000000001"/>
    <n v="-89.186499999999995"/>
    <n v="10"/>
    <n v="0"/>
    <n v="0"/>
    <n v="107"/>
    <s v="_x0000_peopl"/>
  </r>
  <r>
    <x v="6"/>
    <n v="13.692"/>
    <n v="-89.221500000000006"/>
    <n v="7"/>
    <n v="0"/>
    <n v="0"/>
    <n v="107"/>
    <s v="_x0000_peopl"/>
  </r>
  <r>
    <x v="6"/>
    <n v="13.686199999999999"/>
    <n v="-89.212599999999995"/>
    <n v="5"/>
    <n v="0"/>
    <n v="0"/>
    <n v="107"/>
    <s v="_x0000_peopl"/>
  </r>
  <r>
    <x v="6"/>
    <n v="13.674899999999999"/>
    <n v="-89.251000000000005"/>
    <n v="2"/>
    <n v="0"/>
    <n v="0"/>
    <n v="107"/>
    <s v="_x0000_peopl"/>
  </r>
  <r>
    <x v="6"/>
    <n v="13.6896"/>
    <n v="-89.185299999999998"/>
    <n v="7"/>
    <n v="0"/>
    <n v="0"/>
    <n v="107"/>
    <s v="_x0000_peopl"/>
  </r>
  <r>
    <x v="6"/>
    <n v="13.6921"/>
    <n v="-89.223799999999997"/>
    <n v="5"/>
    <n v="0"/>
    <n v="0"/>
    <n v="107"/>
    <s v="_x0000_peopl"/>
  </r>
  <r>
    <x v="6"/>
    <n v="13.6745"/>
    <n v="-89.202799999999996"/>
    <n v="4"/>
    <n v="0"/>
    <n v="0"/>
    <n v="107"/>
    <s v="_x0000_peopl"/>
  </r>
  <r>
    <x v="6"/>
    <n v="13.690300000000001"/>
    <n v="-89.188100000000006"/>
    <n v="4"/>
    <n v="0"/>
    <n v="0"/>
    <n v="107"/>
    <s v="_x0000_peopl"/>
  </r>
  <r>
    <x v="6"/>
    <n v="13.691000000000001"/>
    <n v="-89.232500000000002"/>
    <n v="1"/>
    <n v="0"/>
    <n v="0"/>
    <n v="107"/>
    <s v="_x0000_peopl"/>
  </r>
  <r>
    <x v="6"/>
    <n v="13.6858"/>
    <n v="-89.212999999999994"/>
    <n v="4"/>
    <n v="0"/>
    <n v="0"/>
    <n v="107"/>
    <s v="_x0000_peopl"/>
  </r>
  <r>
    <x v="6"/>
    <n v="13.687200000000001"/>
    <n v="-89.203999999999994"/>
    <n v="2"/>
    <n v="0"/>
    <n v="0"/>
    <n v="107"/>
    <s v="_x0000_peopl"/>
  </r>
  <r>
    <x v="6"/>
    <n v="13.687799999999999"/>
    <n v="-89.195599999999999"/>
    <n v="5"/>
    <n v="0"/>
    <n v="0"/>
    <n v="107"/>
    <s v="_x0000_peopl"/>
  </r>
  <r>
    <x v="6"/>
    <n v="13.6943"/>
    <n v="-89.188900000000004"/>
    <n v="6"/>
    <n v="0"/>
    <n v="0"/>
    <n v="107"/>
    <s v="_x0000_peopl"/>
  </r>
  <r>
    <x v="6"/>
    <n v="13.692"/>
    <n v="-89.1965"/>
    <n v="11"/>
    <n v="0"/>
    <n v="0"/>
    <n v="107"/>
    <s v="_x0000_peopl"/>
  </r>
  <r>
    <x v="6"/>
    <n v="13.692"/>
    <n v="-89.227599999999995"/>
    <n v="2"/>
    <n v="0"/>
    <n v="0"/>
    <n v="107"/>
    <s v="_x0000_peopl"/>
  </r>
  <r>
    <x v="6"/>
    <n v="13.696300000000001"/>
    <n v="-89.172499999999999"/>
    <n v="9"/>
    <n v="0"/>
    <n v="0"/>
    <n v="107"/>
    <s v="_x0000_peopl"/>
  </r>
  <r>
    <x v="6"/>
    <n v="13.6881"/>
    <n v="-89.215800000000002"/>
    <n v="3"/>
    <n v="0"/>
    <n v="0"/>
    <n v="107"/>
    <s v="_x0000_peopl"/>
  </r>
  <r>
    <x v="6"/>
    <n v="13.6882"/>
    <n v="-89.212000000000003"/>
    <n v="3"/>
    <n v="0"/>
    <n v="0"/>
    <n v="107"/>
    <s v="_x0000_peopl"/>
  </r>
  <r>
    <x v="6"/>
    <n v="13.689500000000001"/>
    <n v="-89.179599999999994"/>
    <n v="6"/>
    <n v="0"/>
    <n v="0"/>
    <n v="107"/>
    <s v="_x0000_peopl"/>
  </r>
  <r>
    <x v="6"/>
    <n v="13.6844"/>
    <n v="-89.216800000000006"/>
    <n v="3"/>
    <n v="0"/>
    <n v="0"/>
    <n v="107"/>
    <s v="_x0000_peopl"/>
  </r>
  <r>
    <x v="6"/>
    <n v="13.6915"/>
    <n v="-89.185500000000005"/>
    <n v="4"/>
    <n v="0"/>
    <n v="0"/>
    <n v="107"/>
    <s v="_x0000_peopl"/>
  </r>
  <r>
    <x v="6"/>
    <n v="13.6776"/>
    <n v="-89.245900000000006"/>
    <n v="9"/>
    <n v="0"/>
    <n v="0"/>
    <n v="107"/>
    <s v="_x0000_peopl"/>
  </r>
  <r>
    <x v="6"/>
    <n v="13.691800000000001"/>
    <n v="-89.196200000000005"/>
    <n v="8"/>
    <n v="0"/>
    <n v="0"/>
    <n v="107"/>
    <s v="_x0000_peopl"/>
  </r>
  <r>
    <x v="6"/>
    <n v="13.696899999999999"/>
    <n v="-89.171700000000001"/>
    <n v="8"/>
    <n v="0"/>
    <n v="0"/>
    <n v="107"/>
    <s v="_x0000_peopl"/>
  </r>
  <r>
    <x v="6"/>
    <n v="13.6877"/>
    <n v="-89.216800000000006"/>
    <n v="8"/>
    <n v="0"/>
    <n v="0"/>
    <n v="107"/>
    <s v="_x0000_peopl"/>
  </r>
  <r>
    <x v="6"/>
    <n v="13.6927"/>
    <n v="-89.178799999999995"/>
    <n v="6"/>
    <n v="0"/>
    <n v="0"/>
    <n v="107"/>
    <s v="_x0000_peopl"/>
  </r>
  <r>
    <x v="6"/>
    <n v="13.6934"/>
    <n v="-89.178299999999993"/>
    <n v="6"/>
    <n v="0"/>
    <n v="0"/>
    <n v="107"/>
    <s v="_x0000_peopl"/>
  </r>
  <r>
    <x v="6"/>
    <n v="13.6919"/>
    <n v="-89.179599999999994"/>
    <n v="8"/>
    <n v="0"/>
    <n v="0"/>
    <n v="107"/>
    <s v="_x0000_peopl"/>
  </r>
  <r>
    <x v="6"/>
    <n v="13.6777"/>
    <n v="-89.247"/>
    <n v="4"/>
    <n v="0"/>
    <n v="0"/>
    <n v="107"/>
    <s v="_x0000_peopl"/>
  </r>
  <r>
    <x v="6"/>
    <n v="13.680099999999999"/>
    <n v="-89.194599999999994"/>
    <n v="4"/>
    <n v="0"/>
    <n v="0"/>
    <n v="107"/>
    <s v="_x0000_peopl"/>
  </r>
  <r>
    <x v="6"/>
    <n v="13.692399999999999"/>
    <n v="-89.225499999999997"/>
    <n v="4"/>
    <n v="0"/>
    <n v="0"/>
    <n v="107"/>
    <s v="_x0000_peopl"/>
  </r>
  <r>
    <x v="6"/>
    <n v="13.6911"/>
    <n v="-89.234499999999997"/>
    <n v="6"/>
    <n v="0"/>
    <n v="0"/>
    <n v="107"/>
    <s v="_x0000_peopl"/>
  </r>
  <r>
    <x v="6"/>
    <n v="13.6874"/>
    <n v="-89.215699999999998"/>
    <n v="2"/>
    <n v="0"/>
    <n v="0"/>
    <n v="107"/>
    <s v="_x0000_peopl"/>
  </r>
  <r>
    <x v="6"/>
    <n v="13.6905"/>
    <n v="-89.236000000000004"/>
    <n v="4"/>
    <n v="0"/>
    <n v="0"/>
    <n v="107"/>
    <s v="_x0000_peopl"/>
  </r>
  <r>
    <x v="6"/>
    <n v="13.6921"/>
    <n v="-89.225499999999997"/>
    <n v="7"/>
    <n v="0"/>
    <n v="0"/>
    <n v="107"/>
    <s v="_x0000_peopl"/>
  </r>
  <r>
    <x v="6"/>
    <n v="13.691800000000001"/>
    <n v="-89.226600000000005"/>
    <n v="5"/>
    <n v="0"/>
    <n v="0"/>
    <n v="107"/>
    <s v="_x0000_peopl"/>
  </r>
  <r>
    <x v="6"/>
    <n v="13.6915"/>
    <n v="-89.189499999999995"/>
    <n v="8"/>
    <n v="0"/>
    <n v="0"/>
    <n v="107"/>
    <s v="_x0000_peopl"/>
  </r>
  <r>
    <x v="6"/>
    <n v="13.679500000000001"/>
    <n v="-89.197299999999998"/>
    <n v="2"/>
    <n v="0"/>
    <n v="0"/>
    <n v="107"/>
    <s v="_x0000_peopl"/>
  </r>
  <r>
    <x v="6"/>
    <n v="13.691599999999999"/>
    <n v="-89.186000000000007"/>
    <n v="3"/>
    <n v="0"/>
    <n v="0"/>
    <n v="107"/>
    <s v="_x0000_peopl"/>
  </r>
  <r>
    <x v="6"/>
    <n v="13.6782"/>
    <n v="-89.245999999999995"/>
    <n v="4"/>
    <n v="0"/>
    <n v="0"/>
    <n v="107"/>
    <s v="_x0000_peopl"/>
  </r>
  <r>
    <x v="6"/>
    <n v="13.679399999999999"/>
    <n v="-89.1965"/>
    <n v="7"/>
    <n v="0"/>
    <n v="0"/>
    <n v="107"/>
    <s v="_x0000_peopl"/>
  </r>
  <r>
    <x v="6"/>
    <n v="13.692"/>
    <n v="-89.224800000000002"/>
    <n v="5"/>
    <n v="0"/>
    <n v="0"/>
    <n v="107"/>
    <s v="_x0000_peopl"/>
  </r>
  <r>
    <x v="6"/>
    <n v="13.686400000000001"/>
    <n v="-89.216300000000004"/>
    <n v="6"/>
    <n v="0"/>
    <n v="0"/>
    <n v="107"/>
    <s v="_x0000_peopl"/>
  </r>
  <r>
    <x v="6"/>
    <n v="13.691599999999999"/>
    <n v="-89.233599999999996"/>
    <n v="5"/>
    <n v="0"/>
    <n v="0"/>
    <n v="107"/>
    <s v="_x0000_peopl"/>
  </r>
  <r>
    <x v="6"/>
    <n v="13.6911"/>
    <n v="-89.219200000000001"/>
    <n v="2"/>
    <n v="0"/>
    <n v="0"/>
    <n v="107"/>
    <s v="_x0000_peopl"/>
  </r>
  <r>
    <x v="6"/>
    <n v="13.694000000000001"/>
    <n v="-89.173500000000004"/>
    <n v="7"/>
    <n v="0"/>
    <n v="0"/>
    <n v="107"/>
    <s v="_x0000_peopl"/>
  </r>
  <r>
    <x v="6"/>
    <n v="13.6905"/>
    <n v="-89.234700000000004"/>
    <n v="6"/>
    <n v="0"/>
    <n v="0"/>
    <n v="107"/>
    <s v="_x0000_peopl"/>
  </r>
  <r>
    <x v="6"/>
    <n v="13.694000000000001"/>
    <n v="-89.176299999999998"/>
    <n v="3"/>
    <n v="0"/>
    <n v="0"/>
    <n v="107"/>
    <s v="_x0000_peopl"/>
  </r>
  <r>
    <x v="6"/>
    <n v="13.6911"/>
    <n v="-89.229500000000002"/>
    <n v="2"/>
    <n v="0"/>
    <n v="0"/>
    <n v="107"/>
    <s v="_x0000_peopl"/>
  </r>
  <r>
    <x v="6"/>
    <n v="13.6877"/>
    <n v="-89.180700000000002"/>
    <n v="6"/>
    <n v="0"/>
    <n v="0"/>
    <n v="107"/>
    <s v="_x0000_peopl"/>
  </r>
  <r>
    <x v="6"/>
    <n v="13.6943"/>
    <n v="-89.183300000000003"/>
    <n v="5"/>
    <n v="0"/>
    <n v="0"/>
    <n v="107"/>
    <s v="_x0000_peopl"/>
  </r>
  <r>
    <x v="6"/>
    <n v="13.6861"/>
    <n v="-89.193899999999999"/>
    <n v="7"/>
    <n v="0"/>
    <n v="0"/>
    <n v="107"/>
    <s v="_x0000_peopl"/>
  </r>
  <r>
    <x v="6"/>
    <n v="13.6881"/>
    <n v="-89.216700000000003"/>
    <n v="2"/>
    <n v="0"/>
    <n v="0"/>
    <n v="107"/>
    <s v="_x0000_peopl"/>
  </r>
  <r>
    <x v="6"/>
    <n v="13.684900000000001"/>
    <n v="-89.212199999999996"/>
    <n v="8"/>
    <n v="0"/>
    <n v="0"/>
    <n v="107"/>
    <s v="_x0000_peopl"/>
  </r>
  <r>
    <x v="6"/>
    <n v="13.685"/>
    <n v="-89.217100000000002"/>
    <n v="5"/>
    <n v="0"/>
    <n v="0"/>
    <n v="107"/>
    <s v="_x0000_peopl"/>
  </r>
  <r>
    <x v="6"/>
    <n v="13.6919"/>
    <n v="-89.224500000000006"/>
    <n v="8"/>
    <n v="0"/>
    <n v="0"/>
    <n v="107"/>
    <s v="_x0000_peopl"/>
  </r>
  <r>
    <x v="6"/>
    <n v="13.688499999999999"/>
    <n v="-89.182100000000005"/>
    <n v="2"/>
    <n v="0"/>
    <n v="0"/>
    <n v="107"/>
    <s v="_x0000_peopl"/>
  </r>
  <r>
    <x v="6"/>
    <n v="13.688700000000001"/>
    <n v="-89.205299999999994"/>
    <n v="5"/>
    <n v="0"/>
    <n v="0"/>
    <n v="107"/>
    <s v="_x0000_peopl"/>
  </r>
  <r>
    <x v="6"/>
    <n v="13.690200000000001"/>
    <n v="-89.195800000000006"/>
    <n v="6"/>
    <n v="0"/>
    <n v="0"/>
    <n v="107"/>
    <s v="_x0000_peopl"/>
  </r>
  <r>
    <x v="6"/>
    <n v="13.687200000000001"/>
    <n v="-89.1965"/>
    <n v="4"/>
    <n v="0"/>
    <n v="0"/>
    <n v="107"/>
    <s v="_x0000_peopl"/>
  </r>
  <r>
    <x v="6"/>
    <n v="13.691700000000001"/>
    <n v="-89.176500000000004"/>
    <n v="4"/>
    <n v="0"/>
    <n v="0"/>
    <n v="107"/>
    <s v="_x0000_peopl"/>
  </r>
  <r>
    <x v="6"/>
    <n v="13.6921"/>
    <n v="-89.222700000000003"/>
    <n v="4"/>
    <n v="0"/>
    <n v="0"/>
    <n v="107"/>
    <s v="_x0000_peopl"/>
  </r>
  <r>
    <x v="6"/>
    <n v="13.688499999999999"/>
    <n v="-89.229500000000002"/>
    <n v="5"/>
    <n v="0"/>
    <n v="0"/>
    <n v="107"/>
    <s v="_x0000_peopl"/>
  </r>
  <r>
    <x v="6"/>
    <n v="13.692600000000001"/>
    <n v="-89.178299999999993"/>
    <n v="2"/>
    <n v="0"/>
    <n v="0"/>
    <n v="107"/>
    <s v="_x0000_peopl"/>
  </r>
  <r>
    <x v="6"/>
    <n v="13.688000000000001"/>
    <n v="-89.216099999999997"/>
    <n v="11"/>
    <n v="0"/>
    <n v="0"/>
    <n v="107"/>
    <s v="_x0000_peopl"/>
  </r>
  <r>
    <x v="6"/>
    <n v="13.6915"/>
    <n v="-89.220100000000002"/>
    <n v="2"/>
    <n v="0"/>
    <n v="0"/>
    <n v="107"/>
    <s v="_x0000_peopl"/>
  </r>
  <r>
    <x v="6"/>
    <n v="13.6882"/>
    <n v="-89.180199999999999"/>
    <n v="2"/>
    <n v="0"/>
    <n v="0"/>
    <n v="107"/>
    <s v="_x0000_peopl"/>
  </r>
  <r>
    <x v="6"/>
    <n v="13.6912"/>
    <n v="-89.235100000000003"/>
    <n v="4"/>
    <n v="0"/>
    <n v="0"/>
    <n v="107"/>
    <s v="_x0000_peopl"/>
  </r>
  <r>
    <x v="6"/>
    <n v="13.6875"/>
    <n v="-89.194400000000002"/>
    <n v="3"/>
    <n v="0"/>
    <n v="0"/>
    <n v="107"/>
    <s v="_x0000_peopl"/>
  </r>
  <r>
    <x v="6"/>
    <n v="13.6943"/>
    <n v="-89.188699999999997"/>
    <n v="6"/>
    <n v="0"/>
    <n v="0"/>
    <n v="107"/>
    <s v="_x0000_peopl"/>
  </r>
  <r>
    <x v="6"/>
    <n v="13.689500000000001"/>
    <n v="-89.235699999999994"/>
    <n v="2"/>
    <n v="0"/>
    <n v="0"/>
    <n v="107"/>
    <s v="_x0000_peopl"/>
  </r>
  <r>
    <x v="6"/>
    <n v="13.6881"/>
    <n v="-89.189899999999994"/>
    <n v="7"/>
    <n v="0"/>
    <n v="0"/>
    <n v="107"/>
    <s v="_x0000_peopl"/>
  </r>
  <r>
    <x v="6"/>
    <n v="13.6774"/>
    <n v="-89.247600000000006"/>
    <n v="6"/>
    <n v="0"/>
    <n v="0"/>
    <n v="107"/>
    <s v="_x0000_peopl"/>
  </r>
  <r>
    <x v="6"/>
    <n v="13.694699999999999"/>
    <n v="-89.182599999999994"/>
    <n v="5"/>
    <n v="0"/>
    <n v="0"/>
    <n v="107"/>
    <s v="_x0000_peopl"/>
  </r>
  <r>
    <x v="6"/>
    <n v="13.674099999999999"/>
    <n v="-89.202600000000004"/>
    <n v="1"/>
    <n v="0"/>
    <n v="0"/>
    <n v="107"/>
    <s v="_x0000_peopl"/>
  </r>
  <r>
    <x v="6"/>
    <n v="13.690300000000001"/>
    <n v="-89.183199999999999"/>
    <n v="6"/>
    <n v="0"/>
    <n v="0"/>
    <n v="107"/>
    <s v="_x0000_peopl"/>
  </r>
  <r>
    <x v="6"/>
    <n v="13.673999999999999"/>
    <n v="-89.252300000000005"/>
    <n v="6"/>
    <n v="0"/>
    <n v="0"/>
    <n v="107"/>
    <s v="_x0000_peopl"/>
  </r>
  <r>
    <x v="6"/>
    <n v="13.6912"/>
    <n v="-89.190200000000004"/>
    <n v="4"/>
    <n v="0"/>
    <n v="0"/>
    <n v="107"/>
    <s v="_x0000_peopl"/>
  </r>
  <r>
    <x v="6"/>
    <n v="13.6907"/>
    <n v="-89.235900000000001"/>
    <n v="3"/>
    <n v="0"/>
    <n v="0"/>
    <n v="107"/>
    <s v="_x0000_peopl"/>
  </r>
  <r>
    <x v="6"/>
    <n v="13.688700000000001"/>
    <n v="-89.180199999999999"/>
    <n v="7"/>
    <n v="0"/>
    <n v="0"/>
    <n v="107"/>
    <s v="_x0000_peopl"/>
  </r>
  <r>
    <x v="6"/>
    <n v="13.690799999999999"/>
    <n v="-89.232699999999994"/>
    <n v="7"/>
    <n v="0"/>
    <n v="0"/>
    <n v="107"/>
    <s v="_x0000_peopl"/>
  </r>
  <r>
    <x v="6"/>
    <n v="13.690099999999999"/>
    <n v="-89.197599999999994"/>
    <n v="4"/>
    <n v="0"/>
    <n v="0"/>
    <n v="107"/>
    <s v="_x0000_peopl"/>
  </r>
  <r>
    <x v="6"/>
    <n v="13.6905"/>
    <n v="-89.235200000000006"/>
    <n v="7"/>
    <n v="0"/>
    <n v="0"/>
    <n v="107"/>
    <s v="_x0000_peopl"/>
  </r>
  <r>
    <x v="6"/>
    <n v="13.692500000000001"/>
    <n v="-89.176000000000002"/>
    <n v="1"/>
    <n v="0"/>
    <n v="0"/>
    <n v="107"/>
    <s v="_x0000_peopl"/>
  </r>
  <r>
    <x v="6"/>
    <n v="13.69"/>
    <n v="-89.234999999999999"/>
    <n v="6"/>
    <n v="0"/>
    <n v="0"/>
    <n v="107"/>
    <s v="_x0000_peopl"/>
  </r>
  <r>
    <x v="6"/>
    <n v="13.6914"/>
    <n v="-89.234899999999996"/>
    <n v="3"/>
    <n v="0"/>
    <n v="0"/>
    <n v="107"/>
    <s v="_x0000_peopl"/>
  </r>
  <r>
    <x v="6"/>
    <n v="13.6892"/>
    <n v="-89.235799999999998"/>
    <n v="3"/>
    <n v="0"/>
    <n v="0"/>
    <n v="107"/>
    <s v="_x0000_peopl"/>
  </r>
  <r>
    <x v="6"/>
    <n v="13.673999999999999"/>
    <n v="-89.202399999999997"/>
    <n v="5"/>
    <n v="0"/>
    <n v="0"/>
    <n v="107"/>
    <s v="_x0000_peopl"/>
  </r>
  <r>
    <x v="6"/>
    <n v="13.6799"/>
    <n v="-89.196200000000005"/>
    <n v="4"/>
    <n v="0"/>
    <n v="0"/>
    <n v="107"/>
    <s v="_x0000_peopl"/>
  </r>
  <r>
    <x v="6"/>
    <n v="13.6874"/>
    <n v="-89.196299999999994"/>
    <n v="8"/>
    <n v="0"/>
    <n v="0"/>
    <n v="107"/>
    <s v="_x0000_peopl"/>
  </r>
  <r>
    <x v="6"/>
    <n v="13.688499999999999"/>
    <n v="-89.217100000000002"/>
    <n v="6"/>
    <n v="0"/>
    <n v="0"/>
    <n v="107"/>
    <s v="_x0000_peopl"/>
  </r>
  <r>
    <x v="6"/>
    <n v="13.6873"/>
    <n v="-89.216899999999995"/>
    <n v="3"/>
    <n v="0"/>
    <n v="0"/>
    <n v="107"/>
    <s v="_x0000_peopl"/>
  </r>
  <r>
    <x v="6"/>
    <n v="13.686"/>
    <n v="-89.203900000000004"/>
    <n v="5"/>
    <n v="0"/>
    <n v="0"/>
    <n v="107"/>
    <s v="_x0000_peopl"/>
  </r>
  <r>
    <x v="6"/>
    <n v="13.692299999999999"/>
    <n v="-89.175799999999995"/>
    <n v="8"/>
    <n v="0"/>
    <n v="0"/>
    <n v="107"/>
    <s v="_x0000_peopl"/>
  </r>
  <r>
    <x v="6"/>
    <n v="13.686"/>
    <n v="-89.198300000000003"/>
    <n v="4"/>
    <n v="0"/>
    <n v="0"/>
    <n v="107"/>
    <s v="_x0000_peopl"/>
  </r>
  <r>
    <x v="6"/>
    <n v="13.674300000000001"/>
    <n v="-89.251199999999997"/>
    <n v="7"/>
    <n v="0"/>
    <n v="0"/>
    <n v="107"/>
    <s v="_x0000_peopl"/>
  </r>
  <r>
    <x v="6"/>
    <n v="13.695499999999999"/>
    <n v="-89.166899999999998"/>
    <n v="6"/>
    <n v="0"/>
    <n v="0"/>
    <n v="107"/>
    <s v="_x0000_peopl"/>
  </r>
  <r>
    <x v="6"/>
    <n v="13.690899999999999"/>
    <n v="-89.232600000000005"/>
    <n v="7"/>
    <n v="0"/>
    <n v="0"/>
    <n v="107"/>
    <s v="_x0000_peopl"/>
  </r>
  <r>
    <x v="6"/>
    <n v="13.6912"/>
    <n v="-89.219800000000006"/>
    <n v="5"/>
    <n v="0"/>
    <n v="0"/>
    <n v="107"/>
    <s v="_x0000_peopl"/>
  </r>
  <r>
    <x v="6"/>
    <n v="13.6907"/>
    <n v="-89.231700000000004"/>
    <n v="5"/>
    <n v="0"/>
    <n v="0"/>
    <n v="107"/>
    <s v="_x0000_peopl"/>
  </r>
  <r>
    <x v="6"/>
    <n v="13.6891"/>
    <n v="-89.189700000000002"/>
    <n v="8"/>
    <n v="0"/>
    <n v="0"/>
    <n v="107"/>
    <s v="_x0000_peopl"/>
  </r>
  <r>
    <x v="6"/>
    <n v="13.691700000000001"/>
    <n v="-89.225899999999996"/>
    <n v="3"/>
    <n v="0"/>
    <n v="0"/>
    <n v="107"/>
    <s v="_x0000_peopl"/>
  </r>
  <r>
    <x v="6"/>
    <n v="13.6739"/>
    <n v="-89.202699999999993"/>
    <n v="4"/>
    <n v="0"/>
    <n v="0"/>
    <n v="107"/>
    <s v="_x0000_peopl"/>
  </r>
  <r>
    <x v="6"/>
    <n v="13.6897"/>
    <n v="-89.19"/>
    <n v="1"/>
    <n v="0"/>
    <n v="0"/>
    <n v="107"/>
    <s v="_x0000_peopl"/>
  </r>
  <r>
    <x v="6"/>
    <n v="13.6951"/>
    <n v="-89.183300000000003"/>
    <n v="6"/>
    <n v="0"/>
    <n v="0"/>
    <n v="107"/>
    <s v="_x0000_peopl"/>
  </r>
  <r>
    <x v="6"/>
    <n v="13.6945"/>
    <n v="-89.184600000000003"/>
    <n v="7"/>
    <n v="0"/>
    <n v="0"/>
    <n v="107"/>
    <s v="_x0000_peopl"/>
  </r>
  <r>
    <x v="6"/>
    <n v="13.685700000000001"/>
    <n v="-89.211299999999994"/>
    <n v="7"/>
    <n v="0"/>
    <n v="0"/>
    <n v="107"/>
    <s v="_x0000_peopl"/>
  </r>
  <r>
    <x v="6"/>
    <n v="13.6873"/>
    <n v="-89.194400000000002"/>
    <n v="4"/>
    <n v="0"/>
    <n v="0"/>
    <n v="107"/>
    <s v="_x0000_peopl"/>
  </r>
  <r>
    <x v="6"/>
    <n v="13.6912"/>
    <n v="-89.226299999999995"/>
    <n v="8"/>
    <n v="0"/>
    <n v="0"/>
    <n v="107"/>
    <s v="_x0000_peopl"/>
  </r>
  <r>
    <x v="6"/>
    <n v="13.692600000000001"/>
    <n v="-89.224199999999996"/>
    <n v="7"/>
    <n v="0"/>
    <n v="0"/>
    <n v="107"/>
    <s v="_x0000_peopl"/>
  </r>
  <r>
    <x v="6"/>
    <n v="13.674200000000001"/>
    <n v="-89.202600000000004"/>
    <n v="3"/>
    <n v="0"/>
    <n v="0"/>
    <n v="107"/>
    <s v="_x0000_peopl"/>
  </r>
  <r>
    <x v="6"/>
    <n v="13.689299999999999"/>
    <n v="-89.205600000000004"/>
    <n v="3"/>
    <n v="0"/>
    <n v="0"/>
    <n v="107"/>
    <s v="_x0000_peopl"/>
  </r>
  <r>
    <x v="6"/>
    <n v="13.6915"/>
    <n v="-89.189400000000006"/>
    <n v="7"/>
    <n v="0"/>
    <n v="0"/>
    <n v="107"/>
    <s v="_x0000_peopl"/>
  </r>
  <r>
    <x v="6"/>
    <n v="13.688499999999999"/>
    <n v="-89.1905"/>
    <n v="2"/>
    <n v="0"/>
    <n v="0"/>
    <n v="107"/>
    <s v="_x0000_peopl"/>
  </r>
  <r>
    <x v="6"/>
    <n v="13.690799999999999"/>
    <n v="-89.190399999999997"/>
    <n v="4"/>
    <n v="0"/>
    <n v="0"/>
    <n v="107"/>
    <s v="_x0000_peopl"/>
  </r>
  <r>
    <x v="6"/>
    <n v="13.692399999999999"/>
    <n v="-89.224599999999995"/>
    <n v="7"/>
    <n v="0"/>
    <n v="0"/>
    <n v="107"/>
    <s v="_x0000_peopl"/>
  </r>
  <r>
    <x v="6"/>
    <n v="13.6904"/>
    <n v="-89.234700000000004"/>
    <n v="5"/>
    <n v="0"/>
    <n v="0"/>
    <n v="107"/>
    <s v="_x0000_peopl"/>
  </r>
  <r>
    <x v="6"/>
    <n v="13.6769"/>
    <n v="-89.1999"/>
    <n v="4"/>
    <n v="0"/>
    <n v="0"/>
    <n v="107"/>
    <s v="_x0000_peopl"/>
  </r>
  <r>
    <x v="6"/>
    <n v="13.6904"/>
    <n v="-89.228200000000001"/>
    <n v="3"/>
    <n v="0"/>
    <n v="0"/>
    <n v="107"/>
    <s v="_x0000_peopl"/>
  </r>
  <r>
    <x v="6"/>
    <n v="13.6846"/>
    <n v="-89.216700000000003"/>
    <n v="4"/>
    <n v="0"/>
    <n v="0"/>
    <n v="107"/>
    <s v="_x0000_peopl"/>
  </r>
  <r>
    <x v="6"/>
    <n v="13.684200000000001"/>
    <n v="-89.216499999999996"/>
    <n v="3"/>
    <n v="0"/>
    <n v="0"/>
    <n v="107"/>
    <s v="_x0000_peopl"/>
  </r>
  <r>
    <x v="6"/>
    <n v="13.695"/>
    <n v="-89.1751"/>
    <n v="1"/>
    <n v="0"/>
    <n v="0"/>
    <n v="107"/>
    <s v="_x0000_peopl"/>
  </r>
  <r>
    <x v="6"/>
    <n v="13.6919"/>
    <n v="-89.221299999999999"/>
    <n v="6"/>
    <n v="0"/>
    <n v="0"/>
    <n v="107"/>
    <s v="_x0000_peopl"/>
  </r>
  <r>
    <x v="6"/>
    <n v="13.687099999999999"/>
    <n v="-89.182100000000005"/>
    <n v="6"/>
    <n v="0"/>
    <n v="0"/>
    <n v="107"/>
    <s v="_x0000_peopl"/>
  </r>
  <r>
    <x v="6"/>
    <n v="13.6874"/>
    <n v="-89.194699999999997"/>
    <n v="9"/>
    <n v="0"/>
    <n v="0"/>
    <n v="107"/>
    <s v="_x0000_peopl"/>
  </r>
  <r>
    <x v="6"/>
    <n v="13.6912"/>
    <n v="-89.230199999999996"/>
    <n v="3"/>
    <n v="0"/>
    <n v="0"/>
    <n v="107"/>
    <s v="_x0000_peopl"/>
  </r>
  <r>
    <x v="6"/>
    <n v="13.688000000000001"/>
    <n v="-89.236900000000006"/>
    <n v="6"/>
    <n v="0"/>
    <n v="0"/>
    <n v="107"/>
    <s v="_x0000_peopl"/>
  </r>
  <r>
    <x v="6"/>
    <n v="13.6911"/>
    <n v="-89.233099999999993"/>
    <n v="3"/>
    <n v="0"/>
    <n v="0"/>
    <n v="107"/>
    <s v="_x0000_peopl"/>
  </r>
  <r>
    <x v="6"/>
    <n v="13.6869"/>
    <n v="-89.215699999999998"/>
    <n v="5"/>
    <n v="0"/>
    <n v="0"/>
    <n v="107"/>
    <s v="_x0000_peopl"/>
  </r>
  <r>
    <x v="6"/>
    <n v="13.6912"/>
    <n v="-89.227099999999993"/>
    <n v="8"/>
    <n v="0"/>
    <n v="0"/>
    <n v="107"/>
    <s v="_x0000_peopl"/>
  </r>
  <r>
    <x v="6"/>
    <n v="13.6884"/>
    <n v="-89.204700000000003"/>
    <n v="7"/>
    <n v="0"/>
    <n v="0"/>
    <n v="107"/>
    <s v="_x0000_peopl"/>
  </r>
  <r>
    <x v="6"/>
    <n v="13.685700000000001"/>
    <n v="-89.211200000000005"/>
    <n v="6"/>
    <n v="0"/>
    <n v="0"/>
    <n v="107"/>
    <s v="_x0000_peopl"/>
  </r>
  <r>
    <x v="6"/>
    <n v="13.673999999999999"/>
    <n v="-89.203000000000003"/>
    <n v="9"/>
    <n v="0"/>
    <n v="0"/>
    <n v="107"/>
    <s v="_x0000_peopl"/>
  </r>
  <r>
    <x v="6"/>
    <n v="13.6906"/>
    <n v="-89.185900000000004"/>
    <n v="6"/>
    <n v="0"/>
    <n v="0"/>
    <n v="107"/>
    <s v="_x0000_peopl"/>
  </r>
  <r>
    <x v="6"/>
    <n v="13.6921"/>
    <n v="-89.222099999999998"/>
    <n v="3"/>
    <n v="0"/>
    <n v="0"/>
    <n v="107"/>
    <s v="_x0000_peopl"/>
  </r>
  <r>
    <x v="6"/>
    <n v="13.692600000000001"/>
    <n v="-89.184299999999993"/>
    <n v="1"/>
    <n v="0"/>
    <n v="0"/>
    <n v="107"/>
    <s v="_x0000_peopl"/>
  </r>
  <r>
    <x v="6"/>
    <n v="13.6911"/>
    <n v="-89.232399999999998"/>
    <n v="2"/>
    <n v="0"/>
    <n v="0"/>
    <n v="107"/>
    <s v="_x0000_peopl"/>
  </r>
  <r>
    <x v="6"/>
    <n v="13.6915"/>
    <n v="-89.196899999999999"/>
    <n v="4"/>
    <n v="0"/>
    <n v="0"/>
    <n v="107"/>
    <s v="_x0000_peopl"/>
  </r>
  <r>
    <x v="6"/>
    <n v="13.6866"/>
    <n v="-89.213499999999996"/>
    <n v="7"/>
    <n v="0"/>
    <n v="0"/>
    <n v="107"/>
    <s v="_x0000_peopl"/>
  </r>
  <r>
    <x v="6"/>
    <n v="13.6919"/>
    <n v="-89.185500000000005"/>
    <n v="6"/>
    <n v="0"/>
    <n v="0"/>
    <n v="107"/>
    <s v="_x0000_peopl"/>
  </r>
  <r>
    <x v="6"/>
    <n v="13.6927"/>
    <n v="-89.179199999999994"/>
    <n v="3"/>
    <n v="0"/>
    <n v="0"/>
    <n v="107"/>
    <s v="_x0000_peopl"/>
  </r>
  <r>
    <x v="6"/>
    <n v="13.6876"/>
    <n v="-89.195700000000002"/>
    <n v="3"/>
    <n v="0"/>
    <n v="0"/>
    <n v="107"/>
    <s v="_x0000_peopl"/>
  </r>
  <r>
    <x v="6"/>
    <n v="13.689500000000001"/>
    <n v="-89.1982"/>
    <n v="9"/>
    <n v="0"/>
    <n v="0"/>
    <n v="107"/>
    <s v="_x0000_peopl"/>
  </r>
  <r>
    <x v="6"/>
    <n v="13.6882"/>
    <n v="-89.198400000000007"/>
    <n v="2"/>
    <n v="0"/>
    <n v="0"/>
    <n v="107"/>
    <s v="_x0000_peopl"/>
  </r>
  <r>
    <x v="6"/>
    <n v="13.6907"/>
    <n v="-89.234700000000004"/>
    <n v="8"/>
    <n v="0"/>
    <n v="0"/>
    <n v="107"/>
    <s v="_x0000_peopl"/>
  </r>
  <r>
    <x v="6"/>
    <n v="13.6882"/>
    <n v="-89.182500000000005"/>
    <n v="6"/>
    <n v="0"/>
    <n v="0"/>
    <n v="107"/>
    <s v="_x0000_peopl"/>
  </r>
  <r>
    <x v="6"/>
    <n v="13.6897"/>
    <n v="-89.206599999999995"/>
    <n v="4"/>
    <n v="0"/>
    <n v="0"/>
    <n v="107"/>
    <s v="_x0000_peopl"/>
  </r>
  <r>
    <x v="6"/>
    <n v="13.6898"/>
    <n v="-89.235399999999998"/>
    <n v="6"/>
    <n v="0"/>
    <n v="0"/>
    <n v="107"/>
    <s v="_x0000_peopl"/>
  </r>
  <r>
    <x v="6"/>
    <n v="13.6737"/>
    <n v="-89.203199999999995"/>
    <n v="6"/>
    <n v="0"/>
    <n v="0"/>
    <n v="107"/>
    <s v="_x0000_peopl"/>
  </r>
  <r>
    <x v="6"/>
    <n v="13.6867"/>
    <n v="-89.181399999999996"/>
    <n v="7"/>
    <n v="0"/>
    <n v="0"/>
    <n v="107"/>
    <s v="_x0000_peopl"/>
  </r>
  <r>
    <x v="6"/>
    <n v="13.6945"/>
    <n v="-89.183099999999996"/>
    <n v="1"/>
    <n v="0"/>
    <n v="0"/>
    <n v="107"/>
    <s v="_x0000_peopl"/>
  </r>
  <r>
    <x v="6"/>
    <n v="13.6747"/>
    <n v="-89.202500000000001"/>
    <n v="5"/>
    <n v="0"/>
    <n v="0"/>
    <n v="107"/>
    <s v="_x0000_peopl"/>
  </r>
  <r>
    <x v="6"/>
    <n v="13.695"/>
    <n v="-89.182699999999997"/>
    <n v="1"/>
    <n v="0"/>
    <n v="0"/>
    <n v="107"/>
    <s v="_x0000_peopl"/>
  </r>
  <r>
    <x v="6"/>
    <n v="13.689"/>
    <n v="-89.183800000000005"/>
    <n v="4"/>
    <n v="0"/>
    <n v="0"/>
    <n v="107"/>
    <s v="_x0000_peopl"/>
  </r>
  <r>
    <x v="6"/>
    <n v="13.6892"/>
    <n v="-89.206500000000005"/>
    <n v="6"/>
    <n v="0"/>
    <n v="0"/>
    <n v="107"/>
    <s v="_x0000_peopl"/>
  </r>
  <r>
    <x v="6"/>
    <n v="13.695"/>
    <n v="-89.174800000000005"/>
    <n v="1"/>
    <n v="0"/>
    <n v="0"/>
    <n v="107"/>
    <s v="_x0000_peopl"/>
  </r>
  <r>
    <x v="6"/>
    <n v="13.686500000000001"/>
    <n v="-89.212100000000007"/>
    <n v="5"/>
    <n v="0"/>
    <n v="0"/>
    <n v="107"/>
    <s v="_x0000_peopl"/>
  </r>
  <r>
    <x v="6"/>
    <n v="13.6882"/>
    <n v="-89.190200000000004"/>
    <n v="5"/>
    <n v="0"/>
    <n v="0"/>
    <n v="107"/>
    <s v="_x0000_peopl"/>
  </r>
  <r>
    <x v="6"/>
    <n v="13.692600000000001"/>
    <n v="-89.226200000000006"/>
    <n v="9"/>
    <n v="0"/>
    <n v="0"/>
    <n v="107"/>
    <s v="_x0000_peopl"/>
  </r>
  <r>
    <x v="6"/>
    <n v="13.684699999999999"/>
    <n v="-89.216700000000003"/>
    <n v="5"/>
    <n v="0"/>
    <n v="0"/>
    <n v="107"/>
    <s v="_x0000_peopl"/>
  </r>
  <r>
    <x v="6"/>
    <n v="13.6858"/>
    <n v="-89.202200000000005"/>
    <n v="4"/>
    <n v="0"/>
    <n v="0"/>
    <n v="107"/>
    <s v="_x0000_peopl"/>
  </r>
  <r>
    <x v="6"/>
    <n v="13.6874"/>
    <n v="-89.216899999999995"/>
    <n v="5"/>
    <n v="0"/>
    <n v="0"/>
    <n v="107"/>
    <s v="_x0000_peopl"/>
  </r>
  <r>
    <x v="6"/>
    <n v="13.6912"/>
    <n v="-89.229100000000003"/>
    <n v="7"/>
    <n v="0"/>
    <n v="0"/>
    <n v="107"/>
    <s v="_x0000_peopl"/>
  </r>
  <r>
    <x v="6"/>
    <n v="13.694699999999999"/>
    <n v="-89.183199999999999"/>
    <n v="5"/>
    <n v="0"/>
    <n v="0"/>
    <n v="107"/>
    <s v="_x0000_peopl"/>
  </r>
  <r>
    <x v="6"/>
    <n v="13.6792"/>
    <n v="-89.196799999999996"/>
    <n v="11"/>
    <n v="0"/>
    <n v="0"/>
    <n v="107"/>
    <s v="_x0000_peopl"/>
  </r>
  <r>
    <x v="6"/>
    <n v="13.687200000000001"/>
    <n v="-89.196600000000004"/>
    <n v="5"/>
    <n v="0"/>
    <n v="0"/>
    <n v="107"/>
    <s v="_x0000_peopl"/>
  </r>
  <r>
    <x v="6"/>
    <n v="13.6873"/>
    <n v="-89.205200000000005"/>
    <n v="3"/>
    <n v="0"/>
    <n v="0"/>
    <n v="107"/>
    <s v="_x0000_peopl"/>
  </r>
  <r>
    <x v="6"/>
    <n v="13.690300000000001"/>
    <n v="-89.234200000000001"/>
    <n v="6"/>
    <n v="0"/>
    <n v="0"/>
    <n v="107"/>
    <s v="_x0000_peopl"/>
  </r>
  <r>
    <x v="6"/>
    <n v="13.6904"/>
    <n v="-89.195599999999999"/>
    <n v="7"/>
    <n v="0"/>
    <n v="0"/>
    <n v="107"/>
    <s v="_x0000_peopl"/>
  </r>
  <r>
    <x v="6"/>
    <n v="13.6922"/>
    <n v="-89.181899999999999"/>
    <n v="6"/>
    <n v="0"/>
    <n v="0"/>
    <n v="107"/>
    <s v="_x0000_peopl"/>
  </r>
  <r>
    <x v="6"/>
    <n v="13.6904"/>
    <n v="-89.2346"/>
    <n v="8"/>
    <n v="0"/>
    <n v="0"/>
    <n v="107"/>
    <s v="_x0000_peopl"/>
  </r>
  <r>
    <x v="6"/>
    <n v="13.689399999999999"/>
    <n v="-89.229399999999998"/>
    <n v="8"/>
    <n v="0"/>
    <n v="0"/>
    <n v="107"/>
    <s v="_x0000_peopl"/>
  </r>
  <r>
    <x v="6"/>
    <n v="13.6904"/>
    <n v="-89.195700000000002"/>
    <n v="3"/>
    <n v="0"/>
    <n v="0"/>
    <n v="107"/>
    <s v="_x0000_peopl"/>
  </r>
  <r>
    <x v="6"/>
    <n v="13.687200000000001"/>
    <n v="-89.194500000000005"/>
    <n v="6"/>
    <n v="0"/>
    <n v="0"/>
    <n v="107"/>
    <s v="_x0000_peopl"/>
  </r>
  <r>
    <x v="6"/>
    <n v="13.688599999999999"/>
    <n v="-89.204599999999999"/>
    <n v="11"/>
    <n v="0"/>
    <n v="0"/>
    <n v="107"/>
    <s v="_x0000_peopl"/>
  </r>
  <r>
    <x v="6"/>
    <n v="13.6942"/>
    <n v="-89.1755"/>
    <n v="6"/>
    <n v="0"/>
    <n v="0"/>
    <n v="107"/>
    <s v="_x0000_peopl"/>
  </r>
  <r>
    <x v="6"/>
    <n v="13.6891"/>
    <n v="-89.183700000000002"/>
    <n v="9"/>
    <n v="0"/>
    <n v="0"/>
    <n v="107"/>
    <s v="_x0000_peopl"/>
  </r>
  <r>
    <x v="6"/>
    <n v="13.6907"/>
    <n v="-89.197500000000005"/>
    <n v="5"/>
    <n v="0"/>
    <n v="0"/>
    <n v="107"/>
    <s v="_x0000_peopl"/>
  </r>
  <r>
    <x v="6"/>
    <n v="13.690899999999999"/>
    <n v="-89.2333"/>
    <n v="6"/>
    <n v="0"/>
    <n v="0"/>
    <n v="107"/>
    <s v="_x0000_peopl"/>
  </r>
  <r>
    <x v="6"/>
    <n v="13.6858"/>
    <n v="-89.194000000000003"/>
    <n v="6"/>
    <n v="0"/>
    <n v="0"/>
    <n v="107"/>
    <s v="_x0000_peopl"/>
  </r>
  <r>
    <x v="6"/>
    <n v="13.688000000000001"/>
    <n v="-89.205100000000002"/>
    <n v="8"/>
    <n v="0"/>
    <n v="0"/>
    <n v="107"/>
    <s v="_x0000_peopl"/>
  </r>
  <r>
    <x v="6"/>
    <n v="13.6905"/>
    <n v="-89.194299999999998"/>
    <n v="4"/>
    <n v="0"/>
    <n v="0"/>
    <n v="107"/>
    <s v="_x0000_peopl"/>
  </r>
  <r>
    <x v="6"/>
    <n v="13.690899999999999"/>
    <n v="-89.187399999999997"/>
    <n v="5"/>
    <n v="0"/>
    <n v="0"/>
    <n v="107"/>
    <s v="_x0000_peopl"/>
  </r>
  <r>
    <x v="6"/>
    <n v="13.6861"/>
    <n v="-89.212400000000002"/>
    <n v="9"/>
    <n v="0"/>
    <n v="0"/>
    <n v="107"/>
    <s v="_x0000_peopl"/>
  </r>
  <r>
    <x v="6"/>
    <n v="13.6877"/>
    <n v="-89.197100000000006"/>
    <n v="6"/>
    <n v="0"/>
    <n v="0"/>
    <n v="107"/>
    <s v="_x0000_peopl"/>
  </r>
  <r>
    <x v="6"/>
    <n v="13.6881"/>
    <n v="-89.193700000000007"/>
    <n v="2"/>
    <n v="0"/>
    <n v="0"/>
    <n v="107"/>
    <s v="_x0000_peopl"/>
  </r>
  <r>
    <x v="6"/>
    <n v="13.694900000000001"/>
    <n v="-89.175200000000004"/>
    <n v="5"/>
    <n v="0"/>
    <n v="0"/>
    <n v="107"/>
    <s v="_x0000_peopl"/>
  </r>
  <r>
    <x v="6"/>
    <n v="13.686999999999999"/>
    <n v="-89.212999999999994"/>
    <n v="3"/>
    <n v="0"/>
    <n v="0"/>
    <n v="107"/>
    <s v="_x0000_peopl"/>
  </r>
  <r>
    <x v="6"/>
    <n v="13.6844"/>
    <n v="-89.216999999999999"/>
    <n v="5"/>
    <n v="0"/>
    <n v="0"/>
    <n v="107"/>
    <s v="_x0000_peopl"/>
  </r>
  <r>
    <x v="6"/>
    <n v="13.6938"/>
    <n v="-89.176199999999994"/>
    <n v="8"/>
    <n v="0"/>
    <n v="0"/>
    <n v="107"/>
    <s v="_x0000_peopl"/>
  </r>
  <r>
    <x v="6"/>
    <n v="13.674200000000001"/>
    <n v="-89.2029"/>
    <n v="6"/>
    <n v="0"/>
    <n v="0"/>
    <n v="107"/>
    <s v="_x0000_peopl"/>
  </r>
  <r>
    <x v="6"/>
    <n v="13.6914"/>
    <n v="-89.233000000000004"/>
    <n v="5"/>
    <n v="0"/>
    <n v="0"/>
    <n v="107"/>
    <s v="_x0000_peopl"/>
  </r>
  <r>
    <x v="6"/>
    <n v="13.691599999999999"/>
    <n v="-89.185500000000005"/>
    <n v="2"/>
    <n v="0"/>
    <n v="0"/>
    <n v="107"/>
    <s v="_x0000_peopl"/>
  </r>
  <r>
    <x v="6"/>
    <n v="13.6936"/>
    <n v="-89.188699999999997"/>
    <n v="2"/>
    <n v="0"/>
    <n v="0"/>
    <n v="107"/>
    <s v="_x0000_peopl"/>
  </r>
  <r>
    <x v="6"/>
    <n v="13.685600000000001"/>
    <n v="-89.201899999999995"/>
    <n v="5"/>
    <n v="0"/>
    <n v="0"/>
    <n v="107"/>
    <s v="_x0000_peopl"/>
  </r>
  <r>
    <x v="6"/>
    <n v="13.686999999999999"/>
    <n v="-89.204599999999999"/>
    <n v="2"/>
    <n v="0"/>
    <n v="0"/>
    <n v="107"/>
    <s v="_x0000_peopl"/>
  </r>
  <r>
    <x v="6"/>
    <n v="13.693199999999999"/>
    <n v="-89.1768"/>
    <n v="10"/>
    <n v="0"/>
    <n v="0"/>
    <n v="107"/>
    <s v="_x0000_peopl"/>
  </r>
  <r>
    <x v="6"/>
    <n v="13.6898"/>
    <n v="-89.184899999999999"/>
    <n v="7"/>
    <n v="0"/>
    <n v="0"/>
    <n v="107"/>
    <s v="_x0000_peopl"/>
  </r>
  <r>
    <x v="6"/>
    <n v="13.684799999999999"/>
    <n v="-89.216800000000006"/>
    <n v="8"/>
    <n v="0"/>
    <n v="0"/>
    <n v="107"/>
    <s v="_x0000_peopl"/>
  </r>
  <r>
    <x v="6"/>
    <n v="13.6934"/>
    <n v="-89.173599999999993"/>
    <n v="5"/>
    <n v="0"/>
    <n v="0"/>
    <n v="107"/>
    <s v="_x0000_peopl"/>
  </r>
  <r>
    <x v="6"/>
    <n v="13.6919"/>
    <n v="-89.186000000000007"/>
    <n v="5"/>
    <n v="0"/>
    <n v="0"/>
    <n v="107"/>
    <s v="_x0000_peopl"/>
  </r>
  <r>
    <x v="6"/>
    <n v="13.689299999999999"/>
    <n v="-89.208200000000005"/>
    <n v="6"/>
    <n v="0"/>
    <n v="0"/>
    <n v="107"/>
    <s v="_x0000_peopl"/>
  </r>
  <r>
    <x v="6"/>
    <n v="13.6943"/>
    <n v="-89.183199999999999"/>
    <n v="10"/>
    <n v="0"/>
    <n v="0"/>
    <n v="107"/>
    <s v="_x0000_peopl"/>
  </r>
  <r>
    <x v="6"/>
    <n v="13.692399999999999"/>
    <n v="-89.174199999999999"/>
    <n v="2"/>
    <n v="0"/>
    <n v="0"/>
    <n v="107"/>
    <s v="_x0000_peopl"/>
  </r>
  <r>
    <x v="6"/>
    <n v="13.6899"/>
    <n v="-89.195800000000006"/>
    <n v="6"/>
    <n v="0"/>
    <n v="0"/>
    <n v="107"/>
    <s v="_x0000_peopl"/>
  </r>
  <r>
    <x v="6"/>
    <n v="13.6906"/>
    <n v="-89.234099999999998"/>
    <n v="6"/>
    <n v="0"/>
    <n v="0"/>
    <n v="107"/>
    <s v="_x0000_peopl"/>
  </r>
  <r>
    <x v="6"/>
    <n v="13.6896"/>
    <n v="-89.229500000000002"/>
    <n v="10"/>
    <n v="0"/>
    <n v="0"/>
    <n v="107"/>
    <s v="_x0000_peopl"/>
  </r>
  <r>
    <x v="6"/>
    <n v="13.687099999999999"/>
    <n v="-89.211299999999994"/>
    <n v="7"/>
    <n v="0"/>
    <n v="0"/>
    <n v="107"/>
    <s v="_x0000_peopl"/>
  </r>
  <r>
    <x v="6"/>
    <n v="13.6808"/>
    <n v="-89.197800000000001"/>
    <n v="4"/>
    <n v="0"/>
    <n v="0"/>
    <n v="107"/>
    <s v="_x0000_peopl"/>
  </r>
  <r>
    <x v="6"/>
    <n v="13.684699999999999"/>
    <n v="-89.213399999999993"/>
    <n v="4"/>
    <n v="0"/>
    <n v="0"/>
    <n v="107"/>
    <s v="_x0000_peopl"/>
  </r>
  <r>
    <x v="6"/>
    <n v="13.691700000000001"/>
    <n v="-89.221000000000004"/>
    <n v="7"/>
    <n v="0"/>
    <n v="0"/>
    <n v="107"/>
    <s v="_x0000_peopl"/>
  </r>
  <r>
    <x v="6"/>
    <n v="13.695"/>
    <n v="-89.182500000000005"/>
    <n v="3"/>
    <n v="0"/>
    <n v="0"/>
    <n v="107"/>
    <s v="_x0000_peopl"/>
  </r>
  <r>
    <x v="6"/>
    <n v="13.6915"/>
    <n v="-89.179299999999998"/>
    <n v="5"/>
    <n v="0"/>
    <n v="0"/>
    <n v="107"/>
    <s v="_x0000_peopl"/>
  </r>
  <r>
    <x v="6"/>
    <n v="13.690799999999999"/>
    <n v="-89.190700000000007"/>
    <n v="2"/>
    <n v="0"/>
    <n v="0"/>
    <n v="107"/>
    <s v="_x0000_peopl"/>
  </r>
  <r>
    <x v="6"/>
    <n v="13.6913"/>
    <n v="-89.188199999999995"/>
    <n v="12"/>
    <n v="0"/>
    <n v="0"/>
    <n v="107"/>
    <s v="_x0000_peopl"/>
  </r>
  <r>
    <x v="6"/>
    <n v="13.6907"/>
    <n v="-89.235299999999995"/>
    <n v="0"/>
    <n v="0"/>
    <n v="0"/>
    <n v="107"/>
    <s v="_x0000_peopl"/>
  </r>
  <r>
    <x v="6"/>
    <n v="13.689299999999999"/>
    <n v="-89.197599999999994"/>
    <n v="7"/>
    <n v="0"/>
    <n v="0"/>
    <n v="107"/>
    <s v="_x0000_peopl"/>
  </r>
  <r>
    <x v="6"/>
    <n v="13.6883"/>
    <n v="-89.229600000000005"/>
    <n v="5"/>
    <n v="0"/>
    <n v="0"/>
    <n v="107"/>
    <s v="_x0000_peopl"/>
  </r>
  <r>
    <x v="6"/>
    <n v="13.689500000000001"/>
    <n v="-89.235699999999994"/>
    <n v="6"/>
    <n v="0"/>
    <n v="0"/>
    <n v="107"/>
    <s v="_x0000_peopl"/>
  </r>
  <r>
    <x v="6"/>
    <n v="13.6882"/>
    <n v="-89.194400000000002"/>
    <n v="5"/>
    <n v="0"/>
    <n v="0"/>
    <n v="107"/>
    <s v="_x0000_peopl"/>
  </r>
  <r>
    <x v="6"/>
    <n v="13.688599999999999"/>
    <n v="-89.229799999999997"/>
    <n v="11"/>
    <n v="0"/>
    <n v="0"/>
    <n v="107"/>
    <s v="_x0000_peopl"/>
  </r>
  <r>
    <x v="6"/>
    <n v="13.690200000000001"/>
    <n v="-89.217500000000001"/>
    <n v="3"/>
    <n v="0"/>
    <n v="0"/>
    <n v="107"/>
    <s v="_x0000_peopl"/>
  </r>
  <r>
    <x v="6"/>
    <n v="13.689399999999999"/>
    <n v="-89.235500000000002"/>
    <n v="5"/>
    <n v="0"/>
    <n v="0"/>
    <n v="107"/>
    <s v="_x0000_peopl"/>
  </r>
  <r>
    <x v="6"/>
    <n v="13.6915"/>
    <n v="-89.183899999999994"/>
    <n v="6"/>
    <n v="0"/>
    <n v="0"/>
    <n v="107"/>
    <s v="_x0000_peopl"/>
  </r>
  <r>
    <x v="6"/>
    <n v="13.6934"/>
    <n v="-89.176599999999993"/>
    <n v="2"/>
    <n v="0"/>
    <n v="0"/>
    <n v="107"/>
    <s v="_x0000_peopl"/>
  </r>
  <r>
    <x v="6"/>
    <n v="13.691599999999999"/>
    <n v="-89.235299999999995"/>
    <n v="7"/>
    <n v="0"/>
    <n v="0"/>
    <n v="107"/>
    <s v="_x0000_peopl"/>
  </r>
  <r>
    <x v="6"/>
    <n v="13.691800000000001"/>
    <n v="-89.2209"/>
    <n v="4"/>
    <n v="0"/>
    <n v="0"/>
    <n v="107"/>
    <s v="_x0000_peopl"/>
  </r>
  <r>
    <x v="6"/>
    <n v="13.696400000000001"/>
    <n v="-89.171899999999994"/>
    <n v="6"/>
    <n v="0"/>
    <n v="0"/>
    <n v="107"/>
    <s v="_x0000_peopl"/>
  </r>
  <r>
    <x v="6"/>
    <n v="13.6898"/>
    <n v="-89.194199999999995"/>
    <n v="3"/>
    <n v="0"/>
    <n v="0"/>
    <n v="107"/>
    <s v="_x0000_peopl"/>
  </r>
  <r>
    <x v="6"/>
    <n v="13.6899"/>
    <n v="-89.177499999999995"/>
    <n v="5"/>
    <n v="0"/>
    <n v="0"/>
    <n v="107"/>
    <s v="_x0000_peopl"/>
  </r>
  <r>
    <x v="6"/>
    <n v="13.691800000000001"/>
    <n v="-89.226299999999995"/>
    <n v="7"/>
    <n v="0"/>
    <n v="0"/>
    <n v="107"/>
    <s v="_x0000_peopl"/>
  </r>
  <r>
    <x v="6"/>
    <n v="13.6907"/>
    <n v="-89.235200000000006"/>
    <n v="7"/>
    <n v="0"/>
    <n v="0"/>
    <n v="107"/>
    <s v="_x0000_peopl"/>
  </r>
  <r>
    <x v="6"/>
    <n v="13.688499999999999"/>
    <n v="-89.190700000000007"/>
    <n v="11"/>
    <n v="0"/>
    <n v="0"/>
    <n v="107"/>
    <s v="_x0000_peopl"/>
  </r>
  <r>
    <x v="6"/>
    <n v="13.6942"/>
    <n v="-89.183199999999999"/>
    <n v="3"/>
    <n v="0"/>
    <n v="0"/>
    <n v="107"/>
    <s v="_x0000_peopl"/>
  </r>
  <r>
    <x v="6"/>
    <n v="13.6983"/>
    <n v="-89.169399999999996"/>
    <n v="5"/>
    <n v="0"/>
    <n v="0"/>
    <n v="107"/>
    <s v="_x0000_peopl"/>
  </r>
  <r>
    <x v="6"/>
    <n v="13.6889"/>
    <n v="-89.178299999999993"/>
    <n v="5"/>
    <n v="0"/>
    <n v="0"/>
    <n v="107"/>
    <s v="_x0000_peopl"/>
  </r>
  <r>
    <x v="6"/>
    <n v="13.687200000000001"/>
    <n v="-89.181200000000004"/>
    <n v="4"/>
    <n v="0"/>
    <n v="0"/>
    <n v="107"/>
    <s v="_x0000_peopl"/>
  </r>
  <r>
    <x v="6"/>
    <n v="13.691000000000001"/>
    <n v="-89.226900000000001"/>
    <n v="3"/>
    <n v="0"/>
    <n v="0"/>
    <n v="107"/>
    <s v="_x0000_peopl"/>
  </r>
  <r>
    <x v="6"/>
    <n v="13.6913"/>
    <n v="-89.189499999999995"/>
    <n v="5"/>
    <n v="0"/>
    <n v="0"/>
    <n v="107"/>
    <s v="_x0000_peopl"/>
  </r>
  <r>
    <x v="6"/>
    <n v="13.6875"/>
    <n v="-89.197199999999995"/>
    <n v="6"/>
    <n v="0"/>
    <n v="0"/>
    <n v="107"/>
    <s v="_x0000_peopl"/>
  </r>
  <r>
    <x v="6"/>
    <n v="13.686"/>
    <n v="-89.201999999999998"/>
    <n v="4"/>
    <n v="0"/>
    <n v="0"/>
    <n v="107"/>
    <s v="_x0000_peopl"/>
  </r>
  <r>
    <x v="6"/>
    <n v="13.6907"/>
    <n v="-89.235600000000005"/>
    <n v="7"/>
    <n v="0"/>
    <n v="0"/>
    <n v="107"/>
    <s v="_x0000_peopl"/>
  </r>
  <r>
    <x v="6"/>
    <n v="13.688499999999999"/>
    <n v="-89.2042"/>
    <n v="6"/>
    <n v="0"/>
    <n v="0"/>
    <n v="107"/>
    <s v="_x0000_peopl"/>
  </r>
  <r>
    <x v="6"/>
    <n v="13.6852"/>
    <n v="-89.216399999999993"/>
    <n v="5"/>
    <n v="0"/>
    <n v="0"/>
    <n v="107"/>
    <s v="_x0000_peopl"/>
  </r>
  <r>
    <x v="6"/>
    <n v="13.6877"/>
    <n v="-89.204700000000003"/>
    <n v="2"/>
    <n v="0"/>
    <n v="0"/>
    <n v="107"/>
    <s v="_x0000_peopl"/>
  </r>
  <r>
    <x v="6"/>
    <n v="13.677199999999999"/>
    <n v="-89.1995"/>
    <n v="3"/>
    <n v="0"/>
    <n v="0"/>
    <n v="107"/>
    <s v="_x0000_peopl"/>
  </r>
  <r>
    <x v="6"/>
    <n v="13.6868"/>
    <n v="-89.194500000000005"/>
    <n v="4"/>
    <n v="0"/>
    <n v="0"/>
    <n v="107"/>
    <s v="_x0000_peopl"/>
  </r>
  <r>
    <x v="6"/>
    <n v="13.695499999999999"/>
    <n v="-89.174300000000002"/>
    <n v="6"/>
    <n v="0"/>
    <n v="0"/>
    <n v="107"/>
    <s v="_x0000_peopl"/>
  </r>
  <r>
    <x v="6"/>
    <n v="13.691800000000001"/>
    <n v="-89.186199999999999"/>
    <n v="4"/>
    <n v="0"/>
    <n v="0"/>
    <n v="107"/>
    <s v="_x0000_peopl"/>
  </r>
  <r>
    <x v="6"/>
    <n v="13.687099999999999"/>
    <n v="-89.180999999999997"/>
    <n v="6"/>
    <n v="0"/>
    <n v="0"/>
    <n v="107"/>
    <s v="_x0000_peopl"/>
  </r>
  <r>
    <x v="6"/>
    <n v="13.6883"/>
    <n v="-89.182699999999997"/>
    <n v="3"/>
    <n v="0"/>
    <n v="0"/>
    <n v="107"/>
    <s v="_x0000_peopl"/>
  </r>
  <r>
    <x v="6"/>
    <n v="13.6928"/>
    <n v="-89.224599999999995"/>
    <n v="10"/>
    <n v="0"/>
    <n v="0"/>
    <n v="107"/>
    <s v="_x0000_peopl"/>
  </r>
  <r>
    <x v="6"/>
    <n v="13.6892"/>
    <n v="-89.207499999999996"/>
    <n v="8"/>
    <n v="0"/>
    <n v="0"/>
    <n v="107"/>
    <s v="_x0000_peopl"/>
  </r>
  <r>
    <x v="6"/>
    <n v="13.6723"/>
    <n v="-89.205399999999997"/>
    <n v="9"/>
    <n v="0"/>
    <n v="0"/>
    <n v="107"/>
    <s v="_x0000_peopl"/>
  </r>
  <r>
    <x v="6"/>
    <n v="13.688599999999999"/>
    <n v="-89.1905"/>
    <n v="2"/>
    <n v="0"/>
    <n v="0"/>
    <n v="107"/>
    <s v="_x0000_peopl"/>
  </r>
  <r>
    <x v="6"/>
    <n v="13.691800000000001"/>
    <n v="-89.178799999999995"/>
    <n v="5"/>
    <n v="0"/>
    <n v="0"/>
    <n v="107"/>
    <s v="_x0000_peopl"/>
  </r>
  <r>
    <x v="6"/>
    <n v="13.674300000000001"/>
    <n v="-89.251300000000001"/>
    <n v="7"/>
    <n v="0"/>
    <n v="0"/>
    <n v="107"/>
    <s v="_x0000_peopl"/>
  </r>
  <r>
    <x v="6"/>
    <n v="13.694900000000001"/>
    <n v="-89.174099999999996"/>
    <n v="5"/>
    <n v="0"/>
    <n v="0"/>
    <n v="107"/>
    <s v="_x0000_peopl"/>
  </r>
  <r>
    <x v="6"/>
    <n v="13.687200000000001"/>
    <n v="-89.194800000000001"/>
    <n v="5"/>
    <n v="0"/>
    <n v="0"/>
    <n v="107"/>
    <s v="_x0000_peopl"/>
  </r>
  <r>
    <x v="6"/>
    <n v="13.6861"/>
    <n v="-89.214299999999994"/>
    <n v="8"/>
    <n v="0"/>
    <n v="0"/>
    <n v="107"/>
    <s v="_x0000_peopl"/>
  </r>
  <r>
    <x v="6"/>
    <n v="13.673999999999999"/>
    <n v="-89.203199999999995"/>
    <n v="5"/>
    <n v="0"/>
    <n v="0"/>
    <n v="107"/>
    <s v="_x0000_peopl"/>
  </r>
  <r>
    <x v="6"/>
    <n v="13.68"/>
    <n v="-89.195899999999995"/>
    <n v="7"/>
    <n v="0"/>
    <n v="0"/>
    <n v="107"/>
    <s v="_x0000_peopl"/>
  </r>
  <r>
    <x v="6"/>
    <n v="13.692600000000001"/>
    <n v="-89.1845"/>
    <n v="4"/>
    <n v="0"/>
    <n v="0"/>
    <n v="107"/>
    <s v="_x0000_peopl"/>
  </r>
  <r>
    <x v="6"/>
    <n v="13.6744"/>
    <n v="-89.251099999999994"/>
    <n v="8"/>
    <n v="0"/>
    <n v="0"/>
    <n v="107"/>
    <s v="_x0000_peopl"/>
  </r>
  <r>
    <x v="6"/>
    <n v="13.6928"/>
    <n v="-89.224500000000006"/>
    <n v="0"/>
    <n v="0"/>
    <n v="0"/>
    <n v="107"/>
    <s v="_x0000_peopl"/>
  </r>
  <r>
    <x v="6"/>
    <n v="13.6861"/>
    <n v="-89.2149"/>
    <n v="5"/>
    <n v="0"/>
    <n v="0"/>
    <n v="107"/>
    <s v="_x0000_peopl"/>
  </r>
  <r>
    <x v="6"/>
    <n v="13.692"/>
    <n v="-89.175799999999995"/>
    <n v="6"/>
    <n v="0"/>
    <n v="0"/>
    <n v="107"/>
    <s v="_x0000_peopl"/>
  </r>
  <r>
    <x v="6"/>
    <n v="13.690799999999999"/>
    <n v="-89.194400000000002"/>
    <n v="5"/>
    <n v="0"/>
    <n v="0"/>
    <n v="107"/>
    <s v="_x0000_peopl"/>
  </r>
  <r>
    <x v="6"/>
    <n v="13.6866"/>
    <n v="-89.212400000000002"/>
    <n v="3"/>
    <n v="0"/>
    <n v="0"/>
    <n v="107"/>
    <s v="_x0000_peopl"/>
  </r>
  <r>
    <x v="6"/>
    <n v="13.6881"/>
    <n v="-89.182900000000004"/>
    <n v="3"/>
    <n v="0"/>
    <n v="0"/>
    <n v="107"/>
    <s v="_x0000_peopl"/>
  </r>
  <r>
    <x v="6"/>
    <n v="13.6899"/>
    <n v="-89.194000000000003"/>
    <n v="6"/>
    <n v="0"/>
    <n v="0"/>
    <n v="107"/>
    <s v="_x0000_peopl"/>
  </r>
  <r>
    <x v="6"/>
    <n v="13.6892"/>
    <n v="-89.236000000000004"/>
    <n v="6"/>
    <n v="0"/>
    <n v="0"/>
    <n v="107"/>
    <s v="_x0000_peopl"/>
  </r>
  <r>
    <x v="6"/>
    <n v="13.687099999999999"/>
    <n v="-89.216499999999996"/>
    <n v="7"/>
    <n v="0"/>
    <n v="0"/>
    <n v="107"/>
    <s v="_x0000_peopl"/>
  </r>
  <r>
    <x v="6"/>
    <n v="13.694900000000001"/>
    <n v="-89.171800000000005"/>
    <n v="5"/>
    <n v="0"/>
    <n v="0"/>
    <n v="107"/>
    <s v="_x0000_peopl"/>
  </r>
  <r>
    <x v="6"/>
    <n v="13.6927"/>
    <n v="-89.225999999999999"/>
    <n v="6"/>
    <n v="0"/>
    <n v="0"/>
    <n v="107"/>
    <s v="_x0000_peopl"/>
  </r>
  <r>
    <x v="6"/>
    <n v="13.686999999999999"/>
    <n v="-89.201599999999999"/>
    <n v="5"/>
    <n v="0"/>
    <n v="0"/>
    <n v="107"/>
    <s v="_x0000_peopl"/>
  </r>
  <r>
    <x v="6"/>
    <n v="13.6911"/>
    <n v="-89.183000000000007"/>
    <n v="7"/>
    <n v="0"/>
    <n v="0"/>
    <n v="107"/>
    <s v="_x0000_peopl"/>
  </r>
  <r>
    <x v="6"/>
    <n v="13.6898"/>
    <n v="-89.185699999999997"/>
    <n v="5"/>
    <n v="0"/>
    <n v="0"/>
    <n v="107"/>
    <s v="_x0000_peopl"/>
  </r>
  <r>
    <x v="6"/>
    <n v="13.687099999999999"/>
    <n v="-89.202600000000004"/>
    <n v="6"/>
    <n v="0"/>
    <n v="0"/>
    <n v="107"/>
    <s v="_x0000_peopl"/>
  </r>
  <r>
    <x v="6"/>
    <n v="13.6799"/>
    <n v="-89.195700000000002"/>
    <n v="4"/>
    <n v="0"/>
    <n v="0"/>
    <n v="107"/>
    <s v="_x0000_peopl"/>
  </r>
  <r>
    <x v="6"/>
    <n v="13.6754"/>
    <n v="-89.202200000000005"/>
    <n v="4"/>
    <n v="0"/>
    <n v="0"/>
    <n v="107"/>
    <s v="_x0000_peopl"/>
  </r>
  <r>
    <x v="6"/>
    <n v="13.690300000000001"/>
    <n v="-89.195700000000002"/>
    <n v="7"/>
    <n v="0"/>
    <n v="0"/>
    <n v="107"/>
    <s v="_x0000_peopl"/>
  </r>
  <r>
    <x v="6"/>
    <n v="13.6915"/>
    <n v="-89.220299999999995"/>
    <n v="4"/>
    <n v="0"/>
    <n v="0"/>
    <n v="107"/>
    <s v="_x0000_peopl"/>
  </r>
  <r>
    <x v="6"/>
    <n v="13.6897"/>
    <n v="-89.235600000000005"/>
    <n v="6"/>
    <n v="0"/>
    <n v="0"/>
    <n v="107"/>
    <s v="_x0000_peopl"/>
  </r>
  <r>
    <x v="6"/>
    <n v="13.6906"/>
    <n v="-89.183099999999996"/>
    <n v="1"/>
    <n v="0"/>
    <n v="0"/>
    <n v="107"/>
    <s v="_x0000_peopl"/>
  </r>
  <r>
    <x v="6"/>
    <n v="13.674099999999999"/>
    <n v="-89.202399999999997"/>
    <n v="5"/>
    <n v="0"/>
    <n v="0"/>
    <n v="107"/>
    <s v="_x0000_peopl"/>
  </r>
  <r>
    <x v="6"/>
    <n v="13.690200000000001"/>
    <n v="-89.188299999999998"/>
    <n v="0"/>
    <n v="0"/>
    <n v="0"/>
    <n v="107"/>
    <s v="_x0000_peopl"/>
  </r>
  <r>
    <x v="6"/>
    <n v="13.6911"/>
    <n v="-89.2346"/>
    <n v="12"/>
    <n v="0"/>
    <n v="0"/>
    <n v="107"/>
    <s v="_x0000_peopl"/>
  </r>
  <r>
    <x v="6"/>
    <n v="13.6896"/>
    <n v="-89.194000000000003"/>
    <n v="9"/>
    <n v="0"/>
    <n v="0"/>
    <n v="107"/>
    <s v="_x0000_peopl"/>
  </r>
  <r>
    <x v="6"/>
    <n v="13.6912"/>
    <n v="-89.177199999999999"/>
    <n v="5"/>
    <n v="0"/>
    <n v="0"/>
    <n v="107"/>
    <s v="_x0000_peopl"/>
  </r>
  <r>
    <x v="6"/>
    <n v="13.6912"/>
    <n v="-89.2286"/>
    <n v="2"/>
    <n v="0"/>
    <n v="0"/>
    <n v="107"/>
    <s v="_x0000_peopl"/>
  </r>
  <r>
    <x v="6"/>
    <n v="13.691599999999999"/>
    <n v="-89.193100000000001"/>
    <n v="6"/>
    <n v="0"/>
    <n v="0"/>
    <n v="107"/>
    <s v="_x0000_peopl"/>
  </r>
  <r>
    <x v="6"/>
    <n v="13.678599999999999"/>
    <n v="-89.196399999999997"/>
    <n v="6"/>
    <n v="0"/>
    <n v="0"/>
    <n v="107"/>
    <s v="_x0000_peopl"/>
  </r>
  <r>
    <x v="6"/>
    <n v="13.6852"/>
    <n v="-89.212999999999994"/>
    <n v="2"/>
    <n v="0"/>
    <n v="0"/>
    <n v="107"/>
    <s v="_x0000_peopl"/>
  </r>
  <r>
    <x v="6"/>
    <n v="13.6751"/>
    <n v="-89.248800000000003"/>
    <n v="4"/>
    <n v="0"/>
    <n v="0"/>
    <n v="107"/>
    <s v="_x0000_peopl"/>
  </r>
  <r>
    <x v="6"/>
    <n v="13.6896"/>
    <n v="-89.190100000000001"/>
    <n v="6"/>
    <n v="0"/>
    <n v="0"/>
    <n v="107"/>
    <s v="_x0000_peopl"/>
  </r>
  <r>
    <x v="6"/>
    <n v="13.6884"/>
    <n v="-89.229299999999995"/>
    <n v="8"/>
    <n v="0"/>
    <n v="0"/>
    <n v="107"/>
    <s v="_x0000_peopl"/>
  </r>
  <r>
    <x v="6"/>
    <n v="13.693899999999999"/>
    <n v="-89.176400000000001"/>
    <n v="3"/>
    <n v="0"/>
    <n v="0"/>
    <n v="107"/>
    <s v="_x0000_peopl"/>
  </r>
  <r>
    <x v="6"/>
    <n v="13.6882"/>
    <n v="-89.180400000000006"/>
    <n v="3"/>
    <n v="0"/>
    <n v="0"/>
    <n v="107"/>
    <s v="_x0000_peopl"/>
  </r>
  <r>
    <x v="6"/>
    <n v="13.6875"/>
    <n v="-89.194900000000004"/>
    <n v="6"/>
    <n v="0"/>
    <n v="0"/>
    <n v="107"/>
    <s v="_x0000_peopl"/>
  </r>
  <r>
    <x v="6"/>
    <n v="13.6736"/>
    <n v="-89.251199999999997"/>
    <n v="4"/>
    <n v="0"/>
    <n v="0"/>
    <n v="107"/>
    <s v="_x0000_peopl"/>
  </r>
  <r>
    <x v="6"/>
    <n v="13.687099999999999"/>
    <n v="-89.194800000000001"/>
    <n v="6"/>
    <n v="0"/>
    <n v="0"/>
    <n v="107"/>
    <s v="_x0000_peopl"/>
  </r>
  <r>
    <x v="6"/>
    <n v="13.6874"/>
    <n v="-89.197100000000006"/>
    <n v="5"/>
    <n v="0"/>
    <n v="0"/>
    <n v="107"/>
    <s v="_x0000_peopl"/>
  </r>
  <r>
    <x v="6"/>
    <n v="13.695499999999999"/>
    <n v="-89.174199999999999"/>
    <n v="6"/>
    <n v="0"/>
    <n v="0"/>
    <n v="107"/>
    <s v="_x0000_peopl"/>
  </r>
  <r>
    <x v="6"/>
    <n v="13.692500000000001"/>
    <n v="-89.197100000000006"/>
    <n v="8"/>
    <n v="0"/>
    <n v="0"/>
    <n v="107"/>
    <s v="_x0000_peopl"/>
  </r>
  <r>
    <x v="6"/>
    <n v="13.692600000000001"/>
    <n v="-89.223600000000005"/>
    <n v="5"/>
    <n v="0"/>
    <n v="0"/>
    <n v="107"/>
    <s v="_x0000_peopl"/>
  </r>
  <r>
    <x v="6"/>
    <n v="13.6914"/>
    <n v="-89.233699999999999"/>
    <n v="2"/>
    <n v="0"/>
    <n v="0"/>
    <n v="107"/>
    <s v="_x0000_peopl"/>
  </r>
  <r>
    <x v="6"/>
    <n v="13.6892"/>
    <n v="-89.236000000000004"/>
    <n v="3"/>
    <n v="0"/>
    <n v="0"/>
    <n v="107"/>
    <s v="_x0000_peopl"/>
  </r>
  <r>
    <x v="6"/>
    <n v="13.6928"/>
    <n v="-89.184100000000001"/>
    <n v="5"/>
    <n v="0"/>
    <n v="0"/>
    <n v="107"/>
    <s v="_x0000_peopl"/>
  </r>
  <r>
    <x v="6"/>
    <n v="13.6776"/>
    <n v="-89.247299999999996"/>
    <n v="9"/>
    <n v="0"/>
    <n v="0"/>
    <n v="107"/>
    <s v="_x0000_peopl"/>
  </r>
  <r>
    <x v="6"/>
    <n v="13.6953"/>
    <n v="-89.174000000000007"/>
    <n v="4"/>
    <n v="0"/>
    <n v="0"/>
    <n v="107"/>
    <s v="_x0000_peopl"/>
  </r>
  <r>
    <x v="6"/>
    <n v="13.6957"/>
    <n v="-89.173000000000002"/>
    <n v="1"/>
    <n v="0"/>
    <n v="0"/>
    <n v="107"/>
    <s v="_x0000_peopl"/>
  </r>
  <r>
    <x v="6"/>
    <n v="13.6904"/>
    <n v="-89.228200000000001"/>
    <n v="3"/>
    <n v="0"/>
    <n v="0"/>
    <n v="107"/>
    <s v="_x0000_peopl"/>
  </r>
  <r>
    <x v="6"/>
    <n v="13.6911"/>
    <n v="-89.229900000000001"/>
    <n v="6"/>
    <n v="0"/>
    <n v="0"/>
    <n v="107"/>
    <s v="_x0000_peopl"/>
  </r>
  <r>
    <x v="6"/>
    <n v="13.684900000000001"/>
    <n v="-89.212000000000003"/>
    <n v="10"/>
    <n v="0"/>
    <n v="0"/>
    <n v="107"/>
    <s v="_x0000_peopl"/>
  </r>
  <r>
    <x v="6"/>
    <n v="13.6973"/>
    <n v="-89.171400000000006"/>
    <n v="7"/>
    <n v="0"/>
    <n v="0"/>
    <n v="107"/>
    <s v="_x0000_peopl"/>
  </r>
  <r>
    <x v="6"/>
    <n v="13.6891"/>
    <n v="-89.235699999999994"/>
    <n v="1"/>
    <n v="0"/>
    <n v="0"/>
    <n v="107"/>
    <s v="_x0000_peopl"/>
  </r>
  <r>
    <x v="6"/>
    <n v="13.6914"/>
    <n v="-89.226200000000006"/>
    <n v="5"/>
    <n v="0"/>
    <n v="0"/>
    <n v="107"/>
    <s v="_x0000_peopl"/>
  </r>
  <r>
    <x v="6"/>
    <n v="13.6907"/>
    <n v="-89.234899999999996"/>
    <n v="5"/>
    <n v="0"/>
    <n v="0"/>
    <n v="107"/>
    <s v="_x0000_peopl"/>
  </r>
  <r>
    <x v="6"/>
    <n v="13.679600000000001"/>
    <n v="-89.197299999999998"/>
    <n v="4"/>
    <n v="0"/>
    <n v="0"/>
    <n v="107"/>
    <s v="_x0000_peopl"/>
  </r>
  <r>
    <x v="6"/>
    <n v="13.686500000000001"/>
    <n v="-89.204300000000003"/>
    <n v="6"/>
    <n v="0"/>
    <n v="0"/>
    <n v="107"/>
    <s v="_x0000_peopl"/>
  </r>
  <r>
    <x v="6"/>
    <n v="13.6911"/>
    <n v="-89.226600000000005"/>
    <n v="1"/>
    <n v="0"/>
    <n v="0"/>
    <n v="107"/>
    <s v="_x0000_peopl"/>
  </r>
  <r>
    <x v="6"/>
    <n v="13.6846"/>
    <n v="-89.193899999999999"/>
    <n v="5"/>
    <n v="0"/>
    <n v="0"/>
    <n v="107"/>
    <s v="_x0000_peopl"/>
  </r>
  <r>
    <x v="6"/>
    <n v="13.6942"/>
    <n v="-89.185400000000001"/>
    <n v="3"/>
    <n v="0"/>
    <n v="0"/>
    <n v="107"/>
    <s v="_x0000_peopl"/>
  </r>
  <r>
    <x v="6"/>
    <n v="13.6861"/>
    <n v="-89.197999999999993"/>
    <n v="5"/>
    <n v="0"/>
    <n v="0"/>
    <n v="107"/>
    <s v="_x0000_peopl"/>
  </r>
  <r>
    <x v="6"/>
    <n v="13.6927"/>
    <n v="-89.179000000000002"/>
    <n v="6"/>
    <n v="0"/>
    <n v="0"/>
    <n v="107"/>
    <s v="_x0000_peopl"/>
  </r>
  <r>
    <x v="6"/>
    <n v="13.6874"/>
    <n v="-89.193700000000007"/>
    <n v="5"/>
    <n v="0"/>
    <n v="0"/>
    <n v="107"/>
    <s v="_x0000_peopl"/>
  </r>
  <r>
    <x v="6"/>
    <n v="13.6972"/>
    <n v="-89.171400000000006"/>
    <n v="5"/>
    <n v="0"/>
    <n v="0"/>
    <n v="107"/>
    <s v="_x0000_peopl"/>
  </r>
  <r>
    <x v="6"/>
    <n v="13.6959"/>
    <n v="-89.1721"/>
    <n v="8"/>
    <n v="0"/>
    <n v="0"/>
    <n v="107"/>
    <s v="_x0000_peopl"/>
  </r>
  <r>
    <x v="6"/>
    <n v="13.6844"/>
    <n v="-89.216499999999996"/>
    <n v="7"/>
    <n v="0"/>
    <n v="0"/>
    <n v="107"/>
    <s v="_x0000_peopl"/>
  </r>
  <r>
    <x v="6"/>
    <n v="13.6943"/>
    <n v="-89.185500000000005"/>
    <n v="3"/>
    <n v="0"/>
    <n v="0"/>
    <n v="107"/>
    <s v="_x0000_peopl"/>
  </r>
  <r>
    <x v="6"/>
    <n v="13.6953"/>
    <n v="-89.174499999999995"/>
    <n v="2"/>
    <n v="0"/>
    <n v="0"/>
    <n v="107"/>
    <s v="_x0000_peopl"/>
  </r>
  <r>
    <x v="6"/>
    <n v="13.685"/>
    <n v="-89.203500000000005"/>
    <n v="5"/>
    <n v="0"/>
    <n v="0"/>
    <n v="107"/>
    <s v="_x0000_peopl"/>
  </r>
  <r>
    <x v="6"/>
    <n v="13.692399999999999"/>
    <n v="-89.184600000000003"/>
    <n v="9"/>
    <n v="0"/>
    <n v="0"/>
    <n v="107"/>
    <s v="_x0000_peopl"/>
  </r>
  <r>
    <x v="6"/>
    <n v="13.6883"/>
    <n v="-89.215400000000002"/>
    <n v="6"/>
    <n v="0"/>
    <n v="0"/>
    <n v="107"/>
    <s v="_x0000_peopl"/>
  </r>
  <r>
    <x v="6"/>
    <n v="13.674899999999999"/>
    <n v="-89.249200000000002"/>
    <n v="3"/>
    <n v="0"/>
    <n v="0"/>
    <n v="107"/>
    <s v="_x0000_peopl"/>
  </r>
  <r>
    <x v="6"/>
    <n v="13.6874"/>
    <n v="-89.1815"/>
    <n v="4"/>
    <n v="0"/>
    <n v="0"/>
    <n v="107"/>
    <s v="_x0000_peopl"/>
  </r>
  <r>
    <x v="6"/>
    <n v="13.6905"/>
    <n v="-89.181399999999996"/>
    <n v="2"/>
    <n v="0"/>
    <n v="0"/>
    <n v="107"/>
    <s v="_x0000_peopl"/>
  </r>
  <r>
    <x v="6"/>
    <n v="13.6845"/>
    <n v="-89.211699999999993"/>
    <n v="4"/>
    <n v="0"/>
    <n v="0"/>
    <n v="107"/>
    <s v="_x0000_peopl"/>
  </r>
  <r>
    <x v="6"/>
    <n v="13.69"/>
    <n v="-89.234899999999996"/>
    <n v="5"/>
    <n v="0"/>
    <n v="0"/>
    <n v="107"/>
    <s v="_x0000_peopl"/>
  </r>
  <r>
    <x v="6"/>
    <n v="13.677899999999999"/>
    <n v="-89.245800000000003"/>
    <n v="8"/>
    <n v="0"/>
    <n v="0"/>
    <n v="107"/>
    <s v="_x0000_peopl"/>
  </r>
  <r>
    <x v="6"/>
    <n v="13.695"/>
    <n v="-89.183300000000003"/>
    <n v="5"/>
    <n v="0"/>
    <n v="0"/>
    <n v="107"/>
    <s v="_x0000_peopl"/>
  </r>
  <r>
    <x v="6"/>
    <n v="13.6927"/>
    <n v="-89.223799999999997"/>
    <n v="5"/>
    <n v="0"/>
    <n v="0"/>
    <n v="107"/>
    <s v="_x0000_peopl"/>
  </r>
  <r>
    <x v="6"/>
    <n v="13.690899999999999"/>
    <n v="-89.232799999999997"/>
    <n v="5"/>
    <n v="0"/>
    <n v="0"/>
    <n v="107"/>
    <s v="_x0000_peopl"/>
  </r>
  <r>
    <x v="6"/>
    <n v="13.6919"/>
    <n v="-89.194299999999998"/>
    <n v="5"/>
    <n v="0"/>
    <n v="0"/>
    <n v="107"/>
    <s v="_x0000_peopl"/>
  </r>
  <r>
    <x v="6"/>
    <n v="13.674899999999999"/>
    <n v="-89.251099999999994"/>
    <n v="5"/>
    <n v="0"/>
    <n v="0"/>
    <n v="107"/>
    <s v="_x0000_peopl"/>
  </r>
  <r>
    <x v="6"/>
    <n v="13.6881"/>
    <n v="-89.180700000000002"/>
    <n v="3"/>
    <n v="0"/>
    <n v="0"/>
    <n v="107"/>
    <s v="_x0000_peopl"/>
  </r>
  <r>
    <x v="6"/>
    <n v="13.6929"/>
    <n v="-89.177800000000005"/>
    <n v="5"/>
    <n v="0"/>
    <n v="0"/>
    <n v="107"/>
    <s v="_x0000_peopl"/>
  </r>
  <r>
    <x v="6"/>
    <n v="13.6897"/>
    <n v="-89.189499999999995"/>
    <n v="9"/>
    <n v="0"/>
    <n v="0"/>
    <n v="107"/>
    <s v="_x0000_peopl"/>
  </r>
  <r>
    <x v="6"/>
    <n v="13.6914"/>
    <n v="-89.189400000000006"/>
    <n v="5"/>
    <n v="0"/>
    <n v="0"/>
    <n v="107"/>
    <s v="_x0000_peopl"/>
  </r>
  <r>
    <x v="6"/>
    <n v="13.690799999999999"/>
    <n v="-89.186700000000002"/>
    <n v="4"/>
    <n v="0"/>
    <n v="0"/>
    <n v="107"/>
    <s v="_x0000_peopl"/>
  </r>
  <r>
    <x v="6"/>
    <n v="13.691700000000001"/>
    <n v="-89.226100000000002"/>
    <n v="5"/>
    <n v="0"/>
    <n v="0"/>
    <n v="107"/>
    <s v="_x0000_peopl"/>
  </r>
  <r>
    <x v="6"/>
    <n v="13.6914"/>
    <n v="-89.189300000000003"/>
    <n v="5"/>
    <n v="0"/>
    <n v="0"/>
    <n v="107"/>
    <s v="_x0000_peopl"/>
  </r>
  <r>
    <x v="6"/>
    <n v="13.6966"/>
    <n v="-89.171899999999994"/>
    <n v="4"/>
    <n v="0"/>
    <n v="0"/>
    <n v="107"/>
    <s v="_x0000_peopl"/>
  </r>
  <r>
    <x v="6"/>
    <n v="13.6934"/>
    <n v="-89.173500000000004"/>
    <n v="5"/>
    <n v="0"/>
    <n v="0"/>
    <n v="107"/>
    <s v="_x0000_peopl"/>
  </r>
  <r>
    <x v="6"/>
    <n v="13.686400000000001"/>
    <n v="-89.213300000000004"/>
    <n v="5"/>
    <n v="0"/>
    <n v="0"/>
    <n v="107"/>
    <s v="_x0000_peopl"/>
  </r>
  <r>
    <x v="6"/>
    <n v="13.6911"/>
    <n v="-89.186700000000002"/>
    <n v="5"/>
    <n v="0"/>
    <n v="0"/>
    <n v="107"/>
    <s v="_x0000_peopl"/>
  </r>
  <r>
    <x v="6"/>
    <n v="13.695399999999999"/>
    <n v="-89.173100000000005"/>
    <n v="9"/>
    <n v="0"/>
    <n v="0"/>
    <n v="107"/>
    <s v="_x0000_peopl"/>
  </r>
  <r>
    <x v="6"/>
    <n v="13.691800000000001"/>
    <n v="-89.186000000000007"/>
    <n v="6"/>
    <n v="0"/>
    <n v="0"/>
    <n v="107"/>
    <s v="_x0000_peopl"/>
  </r>
  <r>
    <x v="6"/>
    <n v="13.692299999999999"/>
    <n v="-89.194400000000002"/>
    <n v="3"/>
    <n v="0"/>
    <n v="0"/>
    <n v="107"/>
    <s v="_x0000_peopl"/>
  </r>
  <r>
    <x v="6"/>
    <n v="13.674899999999999"/>
    <n v="-89.1995"/>
    <n v="2"/>
    <n v="0"/>
    <n v="0"/>
    <n v="107"/>
    <s v="_x0000_peopl"/>
  </r>
  <r>
    <x v="6"/>
    <n v="13.694699999999999"/>
    <n v="-89.174000000000007"/>
    <n v="4"/>
    <n v="0"/>
    <n v="0"/>
    <n v="107"/>
    <s v="_x0000_peopl"/>
  </r>
  <r>
    <x v="6"/>
    <n v="13.6883"/>
    <n v="-89.182599999999994"/>
    <n v="2"/>
    <n v="0"/>
    <n v="0"/>
    <n v="107"/>
    <s v="_x0000_peopl"/>
  </r>
  <r>
    <x v="6"/>
    <n v="13.6873"/>
    <n v="-89.194900000000004"/>
    <n v="1"/>
    <n v="0"/>
    <n v="0"/>
    <n v="107"/>
    <s v="_x0000_peopl"/>
  </r>
  <r>
    <x v="6"/>
    <n v="13.6884"/>
    <n v="-89.198599999999999"/>
    <n v="3"/>
    <n v="0"/>
    <n v="0"/>
    <n v="107"/>
    <s v="_x0000_peopl"/>
  </r>
  <r>
    <x v="6"/>
    <n v="13.6884"/>
    <n v="-89.198300000000003"/>
    <n v="7"/>
    <n v="0"/>
    <n v="0"/>
    <n v="107"/>
    <s v="_x0000_peopl"/>
  </r>
  <r>
    <x v="6"/>
    <n v="13.690200000000001"/>
    <n v="-89.184200000000004"/>
    <n v="8"/>
    <n v="0"/>
    <n v="0"/>
    <n v="107"/>
    <s v="_x0000_peopl"/>
  </r>
  <r>
    <x v="6"/>
    <n v="13.6907"/>
    <n v="-89.185500000000005"/>
    <n v="6"/>
    <n v="0"/>
    <n v="0"/>
    <n v="107"/>
    <s v="_x0000_peopl"/>
  </r>
  <r>
    <x v="6"/>
    <n v="13.6951"/>
    <n v="-89.1738"/>
    <n v="4"/>
    <n v="0"/>
    <n v="0"/>
    <n v="107"/>
    <s v="_x0000_peopl"/>
  </r>
  <r>
    <x v="6"/>
    <n v="13.696099999999999"/>
    <n v="-89.1721"/>
    <n v="8"/>
    <n v="0"/>
    <n v="0"/>
    <n v="107"/>
    <s v="_x0000_peopl"/>
  </r>
  <r>
    <x v="6"/>
    <n v="13.688700000000001"/>
    <n v="-89.216800000000006"/>
    <n v="8"/>
    <n v="0"/>
    <n v="0"/>
    <n v="107"/>
    <s v="_x0000_peopl"/>
  </r>
  <r>
    <x v="6"/>
    <n v="13.690099999999999"/>
    <n v="-89.185000000000002"/>
    <n v="3"/>
    <n v="0"/>
    <n v="0"/>
    <n v="107"/>
    <s v="_x0000_peopl"/>
  </r>
  <r>
    <x v="6"/>
    <n v="13.6868"/>
    <n v="-89.194599999999994"/>
    <n v="4"/>
    <n v="0"/>
    <n v="0"/>
    <n v="107"/>
    <s v="_x0000_peopl"/>
  </r>
  <r>
    <x v="6"/>
    <n v="13.684900000000001"/>
    <n v="-89.213200000000001"/>
    <n v="8"/>
    <n v="0"/>
    <n v="0"/>
    <n v="107"/>
    <s v="_x0000_peopl"/>
  </r>
  <r>
    <x v="6"/>
    <n v="13.6845"/>
    <n v="-89.217200000000005"/>
    <n v="2"/>
    <n v="0"/>
    <n v="0"/>
    <n v="107"/>
    <s v="_x0000_peopl"/>
  </r>
  <r>
    <x v="6"/>
    <n v="13.6869"/>
    <n v="-89.201599999999999"/>
    <n v="2"/>
    <n v="0"/>
    <n v="0"/>
    <n v="107"/>
    <s v="_x0000_peopl"/>
  </r>
  <r>
    <x v="6"/>
    <n v="13.691800000000001"/>
    <n v="-89.180899999999994"/>
    <n v="2"/>
    <n v="0"/>
    <n v="0"/>
    <n v="107"/>
    <s v="_x0000_peopl"/>
  </r>
  <r>
    <x v="6"/>
    <n v="13.691800000000001"/>
    <n v="-89.186000000000007"/>
    <n v="9"/>
    <n v="0"/>
    <n v="0"/>
    <n v="107"/>
    <s v="_x0000_peopl"/>
  </r>
  <r>
    <x v="6"/>
    <n v="13.674799999999999"/>
    <n v="-89.252200000000002"/>
    <n v="8"/>
    <n v="0"/>
    <n v="0"/>
    <n v="107"/>
    <s v="_x0000_peopl"/>
  </r>
  <r>
    <x v="6"/>
    <n v="13.677199999999999"/>
    <n v="-89.198899999999995"/>
    <n v="4"/>
    <n v="0"/>
    <n v="0"/>
    <n v="107"/>
    <s v="_x0000_peopl"/>
  </r>
  <r>
    <x v="6"/>
    <n v="13.6914"/>
    <n v="-89.2346"/>
    <n v="2"/>
    <n v="0"/>
    <n v="0"/>
    <n v="107"/>
    <s v="_x0000_peopl"/>
  </r>
  <r>
    <x v="6"/>
    <n v="13.6911"/>
    <n v="-89.232900000000001"/>
    <n v="5"/>
    <n v="0"/>
    <n v="0"/>
    <n v="107"/>
    <s v="_x0000_peopl"/>
  </r>
  <r>
    <x v="6"/>
    <n v="13.6921"/>
    <n v="-89.225300000000004"/>
    <n v="7"/>
    <n v="0"/>
    <n v="0"/>
    <n v="107"/>
    <s v="_x0000_peopl"/>
  </r>
  <r>
    <x v="6"/>
    <n v="13.689399999999999"/>
    <n v="-89.197500000000005"/>
    <n v="4"/>
    <n v="0"/>
    <n v="0"/>
    <n v="107"/>
    <s v="_x0000_peopl"/>
  </r>
  <r>
    <x v="6"/>
    <n v="13.691700000000001"/>
    <n v="-89.220699999999994"/>
    <n v="5"/>
    <n v="0"/>
    <n v="0"/>
    <n v="107"/>
    <s v="_x0000_peopl"/>
  </r>
  <r>
    <x v="6"/>
    <n v="13.688800000000001"/>
    <n v="-89.216800000000006"/>
    <n v="4"/>
    <n v="0"/>
    <n v="0"/>
    <n v="107"/>
    <s v="_x0000_peopl"/>
  </r>
  <r>
    <x v="6"/>
    <n v="13.6875"/>
    <n v="-89.179699999999997"/>
    <n v="9"/>
    <n v="0"/>
    <n v="0"/>
    <n v="107"/>
    <s v="_x0000_peopl"/>
  </r>
  <r>
    <x v="6"/>
    <n v="13.6935"/>
    <n v="-89.192400000000006"/>
    <n v="1"/>
    <n v="0"/>
    <n v="0"/>
    <n v="107"/>
    <s v="_x0000_peopl"/>
  </r>
  <r>
    <x v="6"/>
    <n v="13.6852"/>
    <n v="-89.216999999999999"/>
    <n v="5"/>
    <n v="0"/>
    <n v="0"/>
    <n v="107"/>
    <s v="_x0000_peopl"/>
  </r>
  <r>
    <x v="6"/>
    <n v="13.675599999999999"/>
    <n v="-89.247500000000002"/>
    <n v="6"/>
    <n v="0"/>
    <n v="0"/>
    <n v="107"/>
    <s v="_x0000_peopl"/>
  </r>
  <r>
    <x v="6"/>
    <n v="13.6877"/>
    <n v="-89.205399999999997"/>
    <n v="5"/>
    <n v="0"/>
    <n v="0"/>
    <n v="107"/>
    <s v="_x0000_peopl"/>
  </r>
  <r>
    <x v="6"/>
    <n v="13.689"/>
    <n v="-89.236000000000004"/>
    <n v="8"/>
    <n v="0"/>
    <n v="0"/>
    <n v="107"/>
    <s v="_x0000_peopl"/>
  </r>
  <r>
    <x v="6"/>
    <n v="13.692600000000001"/>
    <n v="-89.176699999999997"/>
    <n v="8"/>
    <n v="0"/>
    <n v="0"/>
    <n v="107"/>
    <s v="_x0000_peopl"/>
  </r>
  <r>
    <x v="6"/>
    <n v="13.694599999999999"/>
    <n v="-89.183199999999999"/>
    <n v="4"/>
    <n v="0"/>
    <n v="0"/>
    <n v="107"/>
    <s v="_x0000_peopl"/>
  </r>
  <r>
    <x v="6"/>
    <n v="13.6799"/>
    <n v="-89.1952"/>
    <n v="7"/>
    <n v="0"/>
    <n v="0"/>
    <n v="107"/>
    <s v="_x0000_peopl"/>
  </r>
  <r>
    <x v="6"/>
    <n v="13.6873"/>
    <n v="-89.195700000000002"/>
    <n v="7"/>
    <n v="0"/>
    <n v="0"/>
    <n v="107"/>
    <s v="_x0000_peopl"/>
  </r>
  <r>
    <x v="6"/>
    <n v="13.6934"/>
    <n v="-89.183000000000007"/>
    <n v="3"/>
    <n v="0"/>
    <n v="0"/>
    <n v="107"/>
    <s v="_x0000_peopl"/>
  </r>
  <r>
    <x v="6"/>
    <n v="13.690799999999999"/>
    <n v="-89.185199999999995"/>
    <n v="7"/>
    <n v="0"/>
    <n v="0"/>
    <n v="107"/>
    <s v="_x0000_peopl"/>
  </r>
  <r>
    <x v="6"/>
    <n v="13.6945"/>
    <n v="-89.174099999999996"/>
    <n v="5"/>
    <n v="0"/>
    <n v="0"/>
    <n v="107"/>
    <s v="_x0000_peopl"/>
  </r>
  <r>
    <x v="6"/>
    <n v="13.693"/>
    <n v="-89.184700000000007"/>
    <n v="5"/>
    <n v="0"/>
    <n v="0"/>
    <n v="107"/>
    <s v="_x0000_peopl"/>
  </r>
  <r>
    <x v="6"/>
    <n v="13.6922"/>
    <n v="-89.180199999999999"/>
    <n v="6"/>
    <n v="0"/>
    <n v="0"/>
    <n v="107"/>
    <s v="_x0000_peopl"/>
  </r>
  <r>
    <x v="6"/>
    <n v="13.691800000000001"/>
    <n v="-89.224900000000005"/>
    <n v="5"/>
    <n v="0"/>
    <n v="0"/>
    <n v="107"/>
    <s v="_x0000_peopl"/>
  </r>
  <r>
    <x v="6"/>
    <n v="13.6874"/>
    <n v="-89.195700000000002"/>
    <n v="5"/>
    <n v="0"/>
    <n v="0"/>
    <n v="107"/>
    <s v="_x0000_peopl"/>
  </r>
  <r>
    <x v="6"/>
    <n v="13.6898"/>
    <n v="-89.190399999999997"/>
    <n v="6"/>
    <n v="0"/>
    <n v="0"/>
    <n v="107"/>
    <s v="_x0000_peopl"/>
  </r>
  <r>
    <x v="6"/>
    <n v="13.6876"/>
    <n v="-89.194299999999998"/>
    <n v="6"/>
    <n v="0"/>
    <n v="0"/>
    <n v="107"/>
    <s v="_x0000_peopl"/>
  </r>
  <r>
    <x v="6"/>
    <n v="13.6953"/>
    <n v="-89.1738"/>
    <n v="8"/>
    <n v="0"/>
    <n v="0"/>
    <n v="107"/>
    <s v="_x0000_peopl"/>
  </r>
  <r>
    <x v="6"/>
    <n v="13.6861"/>
    <n v="-89.197900000000004"/>
    <n v="4"/>
    <n v="0"/>
    <n v="0"/>
    <n v="107"/>
    <s v="_x0000_peopl"/>
  </r>
  <r>
    <x v="6"/>
    <n v="13.696199999999999"/>
    <n v="-89.172799999999995"/>
    <n v="5"/>
    <n v="0"/>
    <n v="0"/>
    <n v="107"/>
    <s v="_x0000_peopl"/>
  </r>
  <r>
    <x v="6"/>
    <n v="13.6866"/>
    <n v="-89.201800000000006"/>
    <n v="5"/>
    <n v="0"/>
    <n v="0"/>
    <n v="107"/>
    <s v="_x0000_peopl"/>
  </r>
  <r>
    <x v="6"/>
    <n v="13.6898"/>
    <n v="-89.177800000000005"/>
    <n v="7"/>
    <n v="0"/>
    <n v="0"/>
    <n v="107"/>
    <s v="_x0000_peopl"/>
  </r>
  <r>
    <x v="6"/>
    <n v="13.692600000000001"/>
    <n v="-89.184299999999993"/>
    <n v="5"/>
    <n v="0"/>
    <n v="0"/>
    <n v="107"/>
    <s v="_x0000_peopl"/>
  </r>
  <r>
    <x v="6"/>
    <n v="13.6904"/>
    <n v="-89.188800000000001"/>
    <n v="6"/>
    <n v="0"/>
    <n v="0"/>
    <n v="107"/>
    <s v="_x0000_peopl"/>
  </r>
  <r>
    <x v="6"/>
    <n v="13.6934"/>
    <n v="-89.173100000000005"/>
    <n v="6"/>
    <n v="0"/>
    <n v="0"/>
    <n v="107"/>
    <s v="_x0000_peopl"/>
  </r>
  <r>
    <x v="6"/>
    <n v="13.6913"/>
    <n v="-89.220100000000002"/>
    <n v="8"/>
    <n v="0"/>
    <n v="0"/>
    <n v="107"/>
    <s v="_x0000_peopl"/>
  </r>
  <r>
    <x v="6"/>
    <n v="13.6874"/>
    <n v="-89.216999999999999"/>
    <n v="8"/>
    <n v="0"/>
    <n v="0"/>
    <n v="107"/>
    <s v="_x0000_peopl"/>
  </r>
  <r>
    <x v="6"/>
    <n v="13.6739"/>
    <n v="-89.203199999999995"/>
    <n v="4"/>
    <n v="0"/>
    <n v="0"/>
    <n v="107"/>
    <s v="_x0000_peopl"/>
  </r>
  <r>
    <x v="6"/>
    <n v="13.6907"/>
    <n v="-89.227699999999999"/>
    <n v="5"/>
    <n v="0"/>
    <n v="0"/>
    <n v="107"/>
    <s v="_x0000_peopl"/>
  </r>
  <r>
    <x v="6"/>
    <n v="13.674799999999999"/>
    <n v="-89.249799999999993"/>
    <n v="5"/>
    <n v="0"/>
    <n v="0"/>
    <n v="107"/>
    <s v="_x0000_peopl"/>
  </r>
  <r>
    <x v="6"/>
    <n v="13.695399999999999"/>
    <n v="-89.174099999999996"/>
    <n v="5"/>
    <n v="0"/>
    <n v="0"/>
    <n v="107"/>
    <s v="_x0000_peopl"/>
  </r>
  <r>
    <x v="6"/>
    <n v="13.6744"/>
    <n v="-89.251300000000001"/>
    <n v="7"/>
    <n v="0"/>
    <n v="0"/>
    <n v="107"/>
    <s v="_x0000_peopl"/>
  </r>
  <r>
    <x v="6"/>
    <n v="13.6896"/>
    <n v="-89.228999999999999"/>
    <n v="9"/>
    <n v="0"/>
    <n v="0"/>
    <n v="107"/>
    <s v="_x0000_peopl"/>
  </r>
  <r>
    <x v="6"/>
    <n v="13.6883"/>
    <n v="-89.204300000000003"/>
    <n v="3"/>
    <n v="0"/>
    <n v="0"/>
    <n v="107"/>
    <s v="_x0000_peopl"/>
  </r>
  <r>
    <x v="6"/>
    <n v="13.6911"/>
    <n v="-89.178700000000006"/>
    <n v="6"/>
    <n v="0"/>
    <n v="0"/>
    <n v="107"/>
    <s v="_x0000_peopl"/>
  </r>
  <r>
    <x v="6"/>
    <n v="13.6873"/>
    <n v="-89.216499999999996"/>
    <n v="2"/>
    <n v="0"/>
    <n v="0"/>
    <n v="107"/>
    <s v="_x0000_peopl"/>
  </r>
  <r>
    <x v="6"/>
    <n v="13.6852"/>
    <n v="-89.216899999999995"/>
    <n v="7"/>
    <n v="0"/>
    <n v="0"/>
    <n v="107"/>
    <s v="_x0000_peopl"/>
  </r>
  <r>
    <x v="6"/>
    <n v="13.6944"/>
    <n v="-89.173299999999998"/>
    <n v="8"/>
    <n v="0"/>
    <n v="0"/>
    <n v="107"/>
    <s v="_x0000_peopl"/>
  </r>
  <r>
    <x v="6"/>
    <n v="13.6897"/>
    <n v="-89.189599999999999"/>
    <n v="5"/>
    <n v="0"/>
    <n v="0"/>
    <n v="107"/>
    <s v="_x0000_peopl"/>
  </r>
  <r>
    <x v="6"/>
    <n v="13.690200000000001"/>
    <n v="-89.234499999999997"/>
    <n v="3"/>
    <n v="0"/>
    <n v="0"/>
    <n v="107"/>
    <s v="_x0000_peopl"/>
  </r>
  <r>
    <x v="6"/>
    <n v="13.689500000000001"/>
    <n v="-89.183499999999995"/>
    <n v="0"/>
    <n v="0"/>
    <n v="0"/>
    <n v="107"/>
    <s v="_x0000_peopl"/>
  </r>
  <r>
    <x v="6"/>
    <n v="13.6906"/>
    <n v="-89.194599999999994"/>
    <n v="6"/>
    <n v="0"/>
    <n v="0"/>
    <n v="107"/>
    <s v="_x0000_peopl"/>
  </r>
  <r>
    <x v="6"/>
    <n v="13.692399999999999"/>
    <n v="-89.178700000000006"/>
    <n v="6"/>
    <n v="0"/>
    <n v="0"/>
    <n v="107"/>
    <s v="_x0000_peopl"/>
  </r>
  <r>
    <x v="6"/>
    <n v="13.685"/>
    <n v="-89.2136"/>
    <n v="6"/>
    <n v="0"/>
    <n v="0"/>
    <n v="107"/>
    <s v="_x0000_peopl"/>
  </r>
  <r>
    <x v="6"/>
    <n v="13.6869"/>
    <n v="-89.202399999999997"/>
    <n v="3"/>
    <n v="0"/>
    <n v="0"/>
    <n v="107"/>
    <s v="_x0000_peopl"/>
  </r>
  <r>
    <x v="6"/>
    <n v="13.6898"/>
    <n v="-89.177400000000006"/>
    <n v="3"/>
    <n v="0"/>
    <n v="0"/>
    <n v="107"/>
    <s v="_x0000_peopl"/>
  </r>
  <r>
    <x v="6"/>
    <n v="13.690799999999999"/>
    <n v="-89.186099999999996"/>
    <n v="5"/>
    <n v="0"/>
    <n v="0"/>
    <n v="107"/>
    <s v="_x0000_peopl"/>
  </r>
  <r>
    <x v="6"/>
    <n v="13.680099999999999"/>
    <n v="-89.194500000000005"/>
    <n v="6"/>
    <n v="0"/>
    <n v="0"/>
    <n v="107"/>
    <s v="_x0000_peopl"/>
  </r>
  <r>
    <x v="6"/>
    <n v="13.6883"/>
    <n v="-89.194299999999998"/>
    <n v="4"/>
    <n v="0"/>
    <n v="0"/>
    <n v="107"/>
    <s v="_x0000_peopl"/>
  </r>
  <r>
    <x v="6"/>
    <n v="13.6898"/>
    <n v="-89.195800000000006"/>
    <n v="1"/>
    <n v="0"/>
    <n v="0"/>
    <n v="107"/>
    <s v="_x0000_peopl"/>
  </r>
  <r>
    <x v="6"/>
    <n v="13.6942"/>
    <n v="-89.1751"/>
    <n v="4"/>
    <n v="0"/>
    <n v="0"/>
    <n v="107"/>
    <s v="_x0000_peopl"/>
  </r>
  <r>
    <x v="6"/>
    <n v="13.691000000000001"/>
    <n v="-89.229299999999995"/>
    <n v="5"/>
    <n v="0"/>
    <n v="0"/>
    <n v="107"/>
    <s v="_x0000_peopl"/>
  </r>
  <r>
    <x v="6"/>
    <n v="13.684200000000001"/>
    <n v="-89.217500000000001"/>
    <n v="4"/>
    <n v="0"/>
    <n v="0"/>
    <n v="107"/>
    <s v="_x0000_peopl"/>
  </r>
  <r>
    <x v="6"/>
    <n v="13.6883"/>
    <n v="-89.204300000000003"/>
    <n v="4"/>
    <n v="0"/>
    <n v="0"/>
    <n v="107"/>
    <s v="_x0000_peopl"/>
  </r>
  <r>
    <x v="6"/>
    <n v="13.69"/>
    <n v="-89.193899999999999"/>
    <n v="3"/>
    <n v="0"/>
    <n v="0"/>
    <n v="107"/>
    <s v="_x0000_peopl"/>
  </r>
  <r>
    <x v="6"/>
    <n v="13.6858"/>
    <n v="-89.213200000000001"/>
    <n v="2"/>
    <n v="0"/>
    <n v="0"/>
    <n v="107"/>
    <s v="_x0000_peopl"/>
  </r>
  <r>
    <x v="6"/>
    <n v="13.691800000000001"/>
    <n v="-89.225099999999998"/>
    <n v="4"/>
    <n v="0"/>
    <n v="0"/>
    <n v="107"/>
    <s v="_x0000_peopl"/>
  </r>
  <r>
    <x v="6"/>
    <n v="13.690899999999999"/>
    <n v="-89.233199999999997"/>
    <n v="4"/>
    <n v="0"/>
    <n v="0"/>
    <n v="107"/>
    <s v="_x0000_peopl"/>
  </r>
  <r>
    <x v="6"/>
    <n v="13.686500000000001"/>
    <n v="-89.201800000000006"/>
    <n v="6"/>
    <n v="0"/>
    <n v="0"/>
    <n v="107"/>
    <s v="_x0000_peopl"/>
  </r>
  <r>
    <x v="6"/>
    <n v="13.6967"/>
    <n v="-89.171400000000006"/>
    <n v="7"/>
    <n v="0"/>
    <n v="0"/>
    <n v="107"/>
    <s v="_x0000_peopl"/>
  </r>
  <r>
    <x v="6"/>
    <n v="13.6922"/>
    <n v="-89.196799999999996"/>
    <n v="5"/>
    <n v="0"/>
    <n v="0"/>
    <n v="107"/>
    <s v="_x0000_peopl"/>
  </r>
  <r>
    <x v="6"/>
    <n v="13.6736"/>
    <n v="-89.2029"/>
    <n v="3"/>
    <n v="0"/>
    <n v="0"/>
    <n v="107"/>
    <s v="_x0000_peopl"/>
  </r>
  <r>
    <x v="6"/>
    <n v="13.672000000000001"/>
    <n v="-89.203999999999994"/>
    <n v="10"/>
    <n v="0"/>
    <n v="0"/>
    <n v="107"/>
    <s v="_x0000_peopl"/>
  </r>
  <r>
    <x v="6"/>
    <n v="13.698"/>
    <n v="-89.168800000000005"/>
    <n v="7"/>
    <n v="0"/>
    <n v="0"/>
    <n v="107"/>
    <s v="_x0000_peopl"/>
  </r>
  <r>
    <x v="6"/>
    <n v="13.6892"/>
    <n v="-89.207400000000007"/>
    <n v="6"/>
    <n v="0"/>
    <n v="0"/>
    <n v="107"/>
    <s v="_x0000_peopl"/>
  </r>
  <r>
    <x v="6"/>
    <n v="13.690899999999999"/>
    <n v="-89.195400000000006"/>
    <n v="6"/>
    <n v="0"/>
    <n v="0"/>
    <n v="107"/>
    <s v="_x0000_peopl"/>
  </r>
  <r>
    <x v="6"/>
    <n v="13.6898"/>
    <n v="-89.189499999999995"/>
    <n v="1"/>
    <n v="0"/>
    <n v="0"/>
    <n v="107"/>
    <s v="_x0000_peopl"/>
  </r>
  <r>
    <x v="6"/>
    <n v="13.6915"/>
    <n v="-89.181600000000003"/>
    <n v="3"/>
    <n v="0"/>
    <n v="0"/>
    <n v="107"/>
    <s v="_x0000_peopl"/>
  </r>
  <r>
    <x v="6"/>
    <n v="13.690099999999999"/>
    <n v="-89.234999999999999"/>
    <n v="3"/>
    <n v="0"/>
    <n v="0"/>
    <n v="107"/>
    <s v="_x0000_peopl"/>
  </r>
  <r>
    <x v="6"/>
    <n v="13.6913"/>
    <n v="-89.234499999999997"/>
    <n v="5"/>
    <n v="0"/>
    <n v="0"/>
    <n v="107"/>
    <s v="_x0000_peopl"/>
  </r>
  <r>
    <x v="6"/>
    <n v="13.6943"/>
    <n v="-89.183300000000003"/>
    <n v="4"/>
    <n v="0"/>
    <n v="0"/>
    <n v="107"/>
    <s v="_x0000_peopl"/>
  </r>
  <r>
    <x v="6"/>
    <n v="13.686999999999999"/>
    <n v="-89.181299999999993"/>
    <n v="8"/>
    <n v="0"/>
    <n v="0"/>
    <n v="107"/>
    <s v="_x0000_peopl"/>
  </r>
  <r>
    <x v="6"/>
    <n v="13.687200000000001"/>
    <n v="-89.212800000000001"/>
    <n v="4"/>
    <n v="0"/>
    <n v="0"/>
    <n v="107"/>
    <s v="_x0000_peopl"/>
  </r>
  <r>
    <x v="6"/>
    <n v="13.6972"/>
    <n v="-89.171700000000001"/>
    <n v="5"/>
    <n v="0"/>
    <n v="0"/>
    <n v="107"/>
    <s v="_x0000_peopl"/>
  </r>
  <r>
    <x v="6"/>
    <n v="13.687099999999999"/>
    <n v="-89.2166"/>
    <n v="6"/>
    <n v="0"/>
    <n v="0"/>
    <n v="107"/>
    <s v="_x0000_peopl"/>
  </r>
  <r>
    <x v="6"/>
    <n v="13.6859"/>
    <n v="-89.204400000000007"/>
    <n v="4"/>
    <n v="0"/>
    <n v="0"/>
    <n v="107"/>
    <s v="_x0000_peopl"/>
  </r>
  <r>
    <x v="6"/>
    <n v="13.6911"/>
    <n v="-89.2333"/>
    <n v="6"/>
    <n v="0"/>
    <n v="0"/>
    <n v="107"/>
    <s v="_x0000_peopl"/>
  </r>
  <r>
    <x v="6"/>
    <n v="13.691599999999999"/>
    <n v="-89.225700000000003"/>
    <n v="8"/>
    <n v="0"/>
    <n v="0"/>
    <n v="107"/>
    <s v="_x0000_peopl"/>
  </r>
  <r>
    <x v="6"/>
    <n v="13.692299999999999"/>
    <n v="-89.189800000000005"/>
    <n v="5"/>
    <n v="0"/>
    <n v="0"/>
    <n v="107"/>
    <s v="_x0000_peopl"/>
  </r>
  <r>
    <x v="6"/>
    <n v="13.687200000000001"/>
    <n v="-89.194800000000001"/>
    <n v="5"/>
    <n v="0"/>
    <n v="0"/>
    <n v="107"/>
    <s v="_x0000_peopl"/>
  </r>
  <r>
    <x v="6"/>
    <n v="13.6944"/>
    <n v="-89.185500000000005"/>
    <n v="3"/>
    <n v="0"/>
    <n v="0"/>
    <n v="107"/>
    <s v="_x0000_peopl"/>
  </r>
  <r>
    <x v="6"/>
    <n v="13.6914"/>
    <n v="-89.189499999999995"/>
    <n v="3"/>
    <n v="0"/>
    <n v="0"/>
    <n v="107"/>
    <s v="_x0000_peopl"/>
  </r>
  <r>
    <x v="6"/>
    <n v="13.6874"/>
    <n v="-89.196600000000004"/>
    <n v="6"/>
    <n v="0"/>
    <n v="0"/>
    <n v="107"/>
    <s v="_x0000_peopl"/>
  </r>
  <r>
    <x v="6"/>
    <n v="13.695399999999999"/>
    <n v="-89.174700000000001"/>
    <n v="3"/>
    <n v="0"/>
    <n v="0"/>
    <n v="107"/>
    <s v="_x0000_peopl"/>
  </r>
  <r>
    <x v="6"/>
    <n v="13.6914"/>
    <n v="-89.183899999999994"/>
    <n v="3"/>
    <n v="0"/>
    <n v="0"/>
    <n v="107"/>
    <s v="_x0000_peopl"/>
  </r>
  <r>
    <x v="6"/>
    <n v="13.6913"/>
    <n v="-89.220500000000001"/>
    <n v="5"/>
    <n v="0"/>
    <n v="0"/>
    <n v="107"/>
    <s v="_x0000_peopl"/>
  </r>
  <r>
    <x v="6"/>
    <n v="13.688700000000001"/>
    <n v="-89.198300000000003"/>
    <n v="5"/>
    <n v="0"/>
    <n v="0"/>
    <n v="107"/>
    <s v="_x0000_peopl"/>
  </r>
  <r>
    <x v="6"/>
    <n v="13.6912"/>
    <n v="-89.235299999999995"/>
    <n v="9"/>
    <n v="0"/>
    <n v="0"/>
    <n v="107"/>
    <s v="_x0000_peopl"/>
  </r>
  <r>
    <x v="6"/>
    <n v="13.6934"/>
    <n v="-89.176199999999994"/>
    <n v="7"/>
    <n v="0"/>
    <n v="0"/>
    <n v="107"/>
    <s v="_x0000_peopl"/>
  </r>
  <r>
    <x v="6"/>
    <n v="13.686999999999999"/>
    <n v="-89.215000000000003"/>
    <n v="6"/>
    <n v="0"/>
    <n v="0"/>
    <n v="107"/>
    <s v="_x0000_peopl"/>
  </r>
  <r>
    <x v="6"/>
    <n v="13.687799999999999"/>
    <n v="-89.194999999999993"/>
    <n v="5"/>
    <n v="0"/>
    <n v="0"/>
    <n v="107"/>
    <s v="_x0000_peopl"/>
  </r>
  <r>
    <x v="6"/>
    <n v="13.677099999999999"/>
    <n v="-89.247399999999999"/>
    <n v="2"/>
    <n v="0"/>
    <n v="0"/>
    <n v="107"/>
    <s v="_x0000_peopl"/>
  </r>
  <r>
    <x v="6"/>
    <n v="13.6934"/>
    <n v="-89.173299999999998"/>
    <n v="7"/>
    <n v="0"/>
    <n v="0"/>
    <n v="107"/>
    <s v="_x0000_peopl"/>
  </r>
  <r>
    <x v="6"/>
    <n v="13.692399999999999"/>
    <n v="-89.175799999999995"/>
    <n v="5"/>
    <n v="0"/>
    <n v="0"/>
    <n v="107"/>
    <s v="_x0000_peopl"/>
  </r>
  <r>
    <x v="6"/>
    <n v="13.6905"/>
    <n v="-89.234099999999998"/>
    <n v="4"/>
    <n v="0"/>
    <n v="0"/>
    <n v="107"/>
    <s v="_x0000_peopl"/>
  </r>
  <r>
    <x v="6"/>
    <n v="13.6905"/>
    <n v="-89.231999999999999"/>
    <n v="6"/>
    <n v="0"/>
    <n v="0"/>
    <n v="107"/>
    <s v="_x0000_peopl"/>
  </r>
  <r>
    <x v="6"/>
    <n v="13.6899"/>
    <n v="-89.194000000000003"/>
    <n v="4"/>
    <n v="0"/>
    <n v="0"/>
    <n v="107"/>
    <s v="_x0000_peopl"/>
  </r>
  <r>
    <x v="6"/>
    <n v="13.6844"/>
    <n v="-89.215999999999994"/>
    <n v="6"/>
    <n v="0"/>
    <n v="0"/>
    <n v="107"/>
    <s v="_x0000_peopl"/>
  </r>
  <r>
    <x v="6"/>
    <n v="13.679500000000001"/>
    <n v="-89.197199999999995"/>
    <n v="3"/>
    <n v="0"/>
    <n v="0"/>
    <n v="107"/>
    <s v="_x0000_peopl"/>
  </r>
  <r>
    <x v="6"/>
    <n v="13.689299999999999"/>
    <n v="-89.194299999999998"/>
    <n v="5"/>
    <n v="0"/>
    <n v="0"/>
    <n v="107"/>
    <s v="_x0000_peopl"/>
  </r>
  <r>
    <x v="6"/>
    <n v="13.6911"/>
    <n v="-89.228800000000007"/>
    <n v="4"/>
    <n v="0"/>
    <n v="0"/>
    <n v="107"/>
    <s v="_x0000_peopl"/>
  </r>
  <r>
    <x v="6"/>
    <n v="13.6904"/>
    <n v="-89.235799999999998"/>
    <n v="3"/>
    <n v="0"/>
    <n v="0"/>
    <n v="107"/>
    <s v="_x0000_peopl"/>
  </r>
  <r>
    <x v="6"/>
    <n v="13.6892"/>
    <n v="-89.191299999999998"/>
    <n v="4"/>
    <n v="0"/>
    <n v="0"/>
    <n v="107"/>
    <s v="_x0000_peopl"/>
  </r>
  <r>
    <x v="6"/>
    <n v="13.674099999999999"/>
    <n v="-89.252399999999994"/>
    <n v="5"/>
    <n v="0"/>
    <n v="0"/>
    <n v="107"/>
    <s v="_x0000_peopl"/>
  </r>
  <r>
    <x v="6"/>
    <n v="13.6876"/>
    <n v="-89.216399999999993"/>
    <n v="1"/>
    <n v="0"/>
    <n v="0"/>
    <n v="107"/>
    <s v="_x0000_peopl"/>
  </r>
  <r>
    <x v="6"/>
    <n v="13.6929"/>
    <n v="-89.184299999999993"/>
    <n v="3"/>
    <n v="0"/>
    <n v="0"/>
    <n v="107"/>
    <s v="_x0000_peopl"/>
  </r>
  <r>
    <x v="6"/>
    <n v="13.6921"/>
    <n v="-89.179599999999994"/>
    <n v="3"/>
    <n v="0"/>
    <n v="0"/>
    <n v="107"/>
    <s v="_x0000_peopl"/>
  </r>
  <r>
    <x v="6"/>
    <n v="13.687099999999999"/>
    <n v="-89.181100000000001"/>
    <n v="5"/>
    <n v="0"/>
    <n v="0"/>
    <n v="107"/>
    <s v="_x0000_peopl"/>
  </r>
  <r>
    <x v="6"/>
    <n v="13.6914"/>
    <n v="-89.234899999999996"/>
    <n v="11"/>
    <n v="0"/>
    <n v="0"/>
    <n v="107"/>
    <s v="_x0000_peopl"/>
  </r>
  <r>
    <x v="6"/>
    <n v="13.6854"/>
    <n v="-89.2012"/>
    <n v="5"/>
    <n v="0"/>
    <n v="0"/>
    <n v="107"/>
    <s v="_x0000_peopl"/>
  </r>
  <r>
    <x v="6"/>
    <n v="13.6919"/>
    <n v="-89.178700000000006"/>
    <n v="0"/>
    <n v="0"/>
    <n v="0"/>
    <n v="107"/>
    <s v="_x0000_peopl"/>
  </r>
  <r>
    <x v="6"/>
    <n v="13.69"/>
    <n v="-89.188500000000005"/>
    <n v="4"/>
    <n v="0"/>
    <n v="0"/>
    <n v="107"/>
    <s v="_x0000_peopl"/>
  </r>
  <r>
    <x v="6"/>
    <n v="13.696300000000001"/>
    <n v="-89.172700000000006"/>
    <n v="9"/>
    <n v="0"/>
    <n v="0"/>
    <n v="107"/>
    <s v="_x0000_peopl"/>
  </r>
  <r>
    <x v="6"/>
    <n v="13.691700000000001"/>
    <n v="-89.178700000000006"/>
    <n v="3"/>
    <n v="0"/>
    <n v="0"/>
    <n v="107"/>
    <s v="_x0000_peopl"/>
  </r>
  <r>
    <x v="6"/>
    <n v="13.692500000000001"/>
    <n v="-89.2239"/>
    <n v="7"/>
    <n v="0"/>
    <n v="0"/>
    <n v="107"/>
    <s v="_x0000_peopl"/>
  </r>
  <r>
    <x v="6"/>
    <n v="13.6854"/>
    <n v="-89.214799999999997"/>
    <n v="2"/>
    <n v="0"/>
    <n v="0"/>
    <n v="107"/>
    <s v="_x0000_peopl"/>
  </r>
  <r>
    <x v="6"/>
    <n v="13.6891"/>
    <n v="-89.190299999999993"/>
    <n v="0"/>
    <n v="0"/>
    <n v="0"/>
    <n v="107"/>
    <s v="_x0000_peopl"/>
  </r>
  <r>
    <x v="6"/>
    <n v="13.695600000000001"/>
    <n v="-89.172700000000006"/>
    <n v="3"/>
    <n v="0"/>
    <n v="0"/>
    <n v="107"/>
    <s v="_x0000_peopl"/>
  </r>
  <r>
    <x v="6"/>
    <n v="13.6943"/>
    <n v="-89.172899999999998"/>
    <n v="4"/>
    <n v="0"/>
    <n v="0"/>
    <n v="107"/>
    <s v="_x0000_peopl"/>
  </r>
  <r>
    <x v="6"/>
    <n v="13.679399999999999"/>
    <n v="-89.196299999999994"/>
    <n v="3"/>
    <n v="0"/>
    <n v="0"/>
    <n v="107"/>
    <s v="_x0000_peopl"/>
  </r>
  <r>
    <x v="6"/>
    <n v="13.6853"/>
    <n v="-89.201800000000006"/>
    <n v="2"/>
    <n v="0"/>
    <n v="0"/>
    <n v="107"/>
    <s v="_x0000_peopl"/>
  </r>
  <r>
    <x v="6"/>
    <n v="13.686999999999999"/>
    <n v="-89.197500000000005"/>
    <n v="7"/>
    <n v="0"/>
    <n v="0"/>
    <n v="107"/>
    <s v="_x0000_peopl"/>
  </r>
  <r>
    <x v="6"/>
    <n v="13.6938"/>
    <n v="-89.175399999999996"/>
    <n v="8"/>
    <n v="0"/>
    <n v="0"/>
    <n v="107"/>
    <s v="_x0000_peopl"/>
  </r>
  <r>
    <x v="6"/>
    <n v="13.6905"/>
    <n v="-89.196100000000001"/>
    <n v="3"/>
    <n v="0"/>
    <n v="0"/>
    <n v="107"/>
    <s v="_x0000_peopl"/>
  </r>
  <r>
    <x v="6"/>
    <n v="13.6952"/>
    <n v="-89.174800000000005"/>
    <n v="6"/>
    <n v="0"/>
    <n v="0"/>
    <n v="107"/>
    <s v="_x0000_peopl"/>
  </r>
  <r>
    <x v="6"/>
    <n v="13.694900000000001"/>
    <n v="-89.174999999999997"/>
    <n v="6"/>
    <n v="0"/>
    <n v="0"/>
    <n v="107"/>
    <s v="_x0000_peopl"/>
  </r>
  <r>
    <x v="6"/>
    <n v="13.6951"/>
    <n v="-89.173500000000004"/>
    <n v="2"/>
    <n v="0"/>
    <n v="0"/>
    <n v="107"/>
    <s v="_x0000_peopl"/>
  </r>
  <r>
    <x v="6"/>
    <n v="13.674799999999999"/>
    <n v="-89.202600000000004"/>
    <n v="4"/>
    <n v="0"/>
    <n v="0"/>
    <n v="107"/>
    <s v="_x0000_peopl"/>
  </r>
  <r>
    <x v="6"/>
    <n v="13.691700000000001"/>
    <n v="-89.1935"/>
    <n v="3"/>
    <n v="0"/>
    <n v="0"/>
    <n v="107"/>
    <s v="_x0000_peopl"/>
  </r>
  <r>
    <x v="6"/>
    <n v="13.6907"/>
    <n v="-89.187299999999993"/>
    <n v="3"/>
    <n v="0"/>
    <n v="0"/>
    <n v="107"/>
    <s v="_x0000_peopl"/>
  </r>
  <r>
    <x v="6"/>
    <n v="13.6921"/>
    <n v="-89.178799999999995"/>
    <n v="3"/>
    <n v="0"/>
    <n v="0"/>
    <n v="107"/>
    <s v="_x0000_peopl"/>
  </r>
  <r>
    <x v="6"/>
    <n v="13.6906"/>
    <n v="-89.227800000000002"/>
    <n v="5"/>
    <n v="0"/>
    <n v="0"/>
    <n v="107"/>
    <s v="_x0000_peopl"/>
  </r>
  <r>
    <x v="6"/>
    <n v="13.6945"/>
    <n v="-89.188699999999997"/>
    <n v="4"/>
    <n v="0"/>
    <n v="0"/>
    <n v="107"/>
    <s v="_x0000_peopl"/>
  </r>
  <r>
    <x v="6"/>
    <n v="13.6922"/>
    <n v="-89.1798"/>
    <n v="4"/>
    <n v="0"/>
    <n v="0"/>
    <n v="107"/>
    <s v="_x0000_peopl"/>
  </r>
  <r>
    <x v="6"/>
    <n v="13.6904"/>
    <n v="-89.234300000000005"/>
    <n v="2"/>
    <n v="0"/>
    <n v="0"/>
    <n v="107"/>
    <s v="_x0000_peopl"/>
  </r>
  <r>
    <x v="6"/>
    <n v="13.6958"/>
    <n v="-89.165700000000001"/>
    <n v="3"/>
    <n v="0"/>
    <n v="0"/>
    <n v="107"/>
    <s v="_x0000_peopl"/>
  </r>
  <r>
    <x v="6"/>
    <n v="13.686400000000001"/>
    <n v="-89.216399999999993"/>
    <n v="7"/>
    <n v="0"/>
    <n v="0"/>
    <n v="107"/>
    <s v="_x0000_peopl"/>
  </r>
  <r>
    <x v="6"/>
    <n v="13.684900000000001"/>
    <n v="-89.214399999999998"/>
    <n v="3"/>
    <n v="0"/>
    <n v="0"/>
    <n v="107"/>
    <s v="_x0000_peopl"/>
  </r>
  <r>
    <x v="6"/>
    <n v="13.690099999999999"/>
    <n v="-89.235299999999995"/>
    <n v="8"/>
    <n v="0"/>
    <n v="0"/>
    <n v="107"/>
    <s v="_x0000_peopl"/>
  </r>
  <r>
    <x v="6"/>
    <n v="13.691800000000001"/>
    <n v="-89.179299999999998"/>
    <n v="4"/>
    <n v="0"/>
    <n v="0"/>
    <n v="107"/>
    <s v="_x0000_peopl"/>
  </r>
  <r>
    <x v="6"/>
    <n v="13.6861"/>
    <n v="-89.212400000000002"/>
    <n v="4"/>
    <n v="0"/>
    <n v="0"/>
    <n v="107"/>
    <s v="_x0000_peopl"/>
  </r>
  <r>
    <x v="6"/>
    <n v="13.690799999999999"/>
    <n v="-89.231999999999999"/>
    <n v="9"/>
    <n v="0"/>
    <n v="0"/>
    <n v="107"/>
    <s v="_x0000_peopl"/>
  </r>
  <r>
    <x v="6"/>
    <n v="13.6744"/>
    <n v="-89.251199999999997"/>
    <n v="3"/>
    <n v="0"/>
    <n v="0"/>
    <n v="107"/>
    <s v="_x0000_peopl"/>
  </r>
  <r>
    <x v="6"/>
    <n v="13.6904"/>
    <n v="-89.186800000000005"/>
    <n v="6"/>
    <n v="0"/>
    <n v="0"/>
    <n v="107"/>
    <s v="_x0000_peopl"/>
  </r>
  <r>
    <x v="6"/>
    <n v="13.6851"/>
    <n v="-89.217100000000002"/>
    <n v="3"/>
    <n v="0"/>
    <n v="0"/>
    <n v="107"/>
    <s v="_x0000_peopl"/>
  </r>
  <r>
    <x v="6"/>
    <n v="13.693199999999999"/>
    <n v="-89.185500000000005"/>
    <n v="5"/>
    <n v="0"/>
    <n v="0"/>
    <n v="107"/>
    <s v="_x0000_peopl"/>
  </r>
  <r>
    <x v="6"/>
    <n v="13.6904"/>
    <n v="-89.193299999999994"/>
    <n v="8"/>
    <n v="0"/>
    <n v="0"/>
    <n v="107"/>
    <s v="_x0000_peopl"/>
  </r>
  <r>
    <x v="6"/>
    <n v="13.6858"/>
    <n v="-89.211399999999998"/>
    <n v="5"/>
    <n v="0"/>
    <n v="0"/>
    <n v="107"/>
    <s v="_x0000_peopl"/>
  </r>
  <r>
    <x v="6"/>
    <n v="13.692299999999999"/>
    <n v="-89.183000000000007"/>
    <n v="6"/>
    <n v="0"/>
    <n v="0"/>
    <n v="107"/>
    <s v="_x0000_peopl"/>
  </r>
  <r>
    <x v="6"/>
    <n v="13.6769"/>
    <n v="-89.247799999999998"/>
    <n v="10"/>
    <n v="0"/>
    <n v="0"/>
    <n v="107"/>
    <s v="_x0000_peopl"/>
  </r>
  <r>
    <x v="6"/>
    <n v="13.6911"/>
    <n v="-89.234899999999996"/>
    <n v="7"/>
    <n v="0"/>
    <n v="0"/>
    <n v="107"/>
    <s v="_x0000_peopl"/>
  </r>
  <r>
    <x v="6"/>
    <n v="13.689500000000001"/>
    <n v="-89.202699999999993"/>
    <n v="6"/>
    <n v="0"/>
    <n v="0"/>
    <n v="107"/>
    <s v="_x0000_peopl"/>
  </r>
  <r>
    <x v="6"/>
    <n v="13.6843"/>
    <n v="-89.215999999999994"/>
    <n v="6"/>
    <n v="0"/>
    <n v="0"/>
    <n v="107"/>
    <s v="_x0000_peopl"/>
  </r>
  <r>
    <x v="6"/>
    <n v="13.6913"/>
    <n v="-89.228399999999993"/>
    <n v="7"/>
    <n v="0"/>
    <n v="0"/>
    <n v="107"/>
    <s v="_x0000_peopl"/>
  </r>
  <r>
    <x v="6"/>
    <n v="13.688499999999999"/>
    <n v="-89.229200000000006"/>
    <n v="6"/>
    <n v="0"/>
    <n v="0"/>
    <n v="107"/>
    <s v="_x0000_peopl"/>
  </r>
  <r>
    <x v="6"/>
    <n v="13.688000000000001"/>
    <n v="-89.194500000000005"/>
    <n v="3"/>
    <n v="0"/>
    <n v="0"/>
    <n v="107"/>
    <s v="_x0000_peopl"/>
  </r>
  <r>
    <x v="6"/>
    <n v="13.687799999999999"/>
    <n v="-89.194400000000002"/>
    <n v="5"/>
    <n v="0"/>
    <n v="0"/>
    <n v="107"/>
    <s v="_x0000_peopl"/>
  </r>
  <r>
    <x v="6"/>
    <n v="13.6907"/>
    <n v="-89.196200000000005"/>
    <n v="4"/>
    <n v="0"/>
    <n v="0"/>
    <n v="107"/>
    <s v="_x0000_peopl"/>
  </r>
  <r>
    <x v="6"/>
    <n v="13.6851"/>
    <n v="-89.203000000000003"/>
    <n v="1"/>
    <n v="0"/>
    <n v="0"/>
    <n v="107"/>
    <s v="_x0000_peopl"/>
  </r>
  <r>
    <x v="6"/>
    <n v="13.691700000000001"/>
    <n v="-89.1798"/>
    <n v="5"/>
    <n v="0"/>
    <n v="0"/>
    <n v="107"/>
    <s v="_x0000_peopl"/>
  </r>
  <r>
    <x v="6"/>
    <n v="13.687799999999999"/>
    <n v="-89.193700000000007"/>
    <n v="9"/>
    <n v="0"/>
    <n v="0"/>
    <n v="107"/>
    <s v="_x0000_peopl"/>
  </r>
  <r>
    <x v="6"/>
    <n v="13.6791"/>
    <n v="-89.196399999999997"/>
    <n v="3"/>
    <n v="0"/>
    <n v="0"/>
    <n v="107"/>
    <s v="_x0000_peopl"/>
  </r>
  <r>
    <x v="6"/>
    <n v="13.6875"/>
    <n v="-89.194699999999997"/>
    <n v="6"/>
    <n v="0"/>
    <n v="0"/>
    <n v="107"/>
    <s v="_x0000_peopl"/>
  </r>
  <r>
    <x v="6"/>
    <n v="13.6876"/>
    <n v="-89.181100000000001"/>
    <n v="4"/>
    <n v="0"/>
    <n v="0"/>
    <n v="107"/>
    <s v="_x0000_peopl"/>
  </r>
  <r>
    <x v="6"/>
    <n v="13.6913"/>
    <n v="-89.226200000000006"/>
    <n v="4"/>
    <n v="0"/>
    <n v="0"/>
    <n v="107"/>
    <s v="_x0000_peopl"/>
  </r>
  <r>
    <x v="6"/>
    <n v="13.6859"/>
    <n v="-89.215400000000002"/>
    <n v="6"/>
    <n v="0"/>
    <n v="0"/>
    <n v="107"/>
    <s v="_x0000_peopl"/>
  </r>
  <r>
    <x v="6"/>
    <n v="13.6799"/>
    <n v="-89.196600000000004"/>
    <n v="6"/>
    <n v="0"/>
    <n v="0"/>
    <n v="107"/>
    <s v="_x0000_peopl"/>
  </r>
  <r>
    <x v="6"/>
    <n v="13.688700000000001"/>
    <n v="-89.189800000000005"/>
    <n v="6"/>
    <n v="0"/>
    <n v="0"/>
    <n v="107"/>
    <s v="_x0000_peopl"/>
  </r>
  <r>
    <x v="6"/>
    <n v="13.6873"/>
    <n v="-89.197100000000006"/>
    <n v="4"/>
    <n v="0"/>
    <n v="0"/>
    <n v="107"/>
    <s v="_x0000_peopl"/>
  </r>
  <r>
    <x v="6"/>
    <n v="13.692600000000001"/>
    <n v="-89.178399999999996"/>
    <n v="7"/>
    <n v="0"/>
    <n v="0"/>
    <n v="107"/>
    <s v="_x0000_peopl"/>
  </r>
  <r>
    <x v="6"/>
    <n v="13.6912"/>
    <n v="-89.230199999999996"/>
    <n v="6"/>
    <n v="0"/>
    <n v="0"/>
    <n v="107"/>
    <s v="_x0000_peopl"/>
  </r>
  <r>
    <x v="6"/>
    <n v="13.684799999999999"/>
    <n v="-89.213499999999996"/>
    <n v="2"/>
    <n v="0"/>
    <n v="0"/>
    <n v="107"/>
    <s v="_x0000_peopl"/>
  </r>
  <r>
    <x v="6"/>
    <n v="13.6875"/>
    <n v="-89.194800000000001"/>
    <n v="4"/>
    <n v="0"/>
    <n v="0"/>
    <n v="107"/>
    <s v="_x0000_peopl"/>
  </r>
  <r>
    <x v="6"/>
    <n v="13.6889"/>
    <n v="-89.194699999999997"/>
    <n v="7"/>
    <n v="0"/>
    <n v="0"/>
    <n v="107"/>
    <s v="_x0000_peopl"/>
  </r>
  <r>
    <x v="6"/>
    <n v="13.6797"/>
    <n v="-89.194400000000002"/>
    <n v="3"/>
    <n v="0"/>
    <n v="0"/>
    <n v="107"/>
    <s v="_x0000_peopl"/>
  </r>
  <r>
    <x v="6"/>
    <n v="13.690200000000001"/>
    <n v="-89.234899999999996"/>
    <n v="6"/>
    <n v="0"/>
    <n v="0"/>
    <n v="107"/>
    <s v="_x0000_peopl"/>
  </r>
  <r>
    <x v="6"/>
    <n v="13.690300000000001"/>
    <n v="-89.234399999999994"/>
    <n v="7"/>
    <n v="0"/>
    <n v="0"/>
    <n v="107"/>
    <s v="_x0000_peopl"/>
  </r>
  <r>
    <x v="6"/>
    <n v="13.686"/>
    <n v="-89.215800000000002"/>
    <n v="7"/>
    <n v="0"/>
    <n v="0"/>
    <n v="107"/>
    <s v="_x0000_peopl"/>
  </r>
  <r>
    <x v="6"/>
    <n v="13.6934"/>
    <n v="-89.177199999999999"/>
    <n v="5"/>
    <n v="0"/>
    <n v="0"/>
    <n v="107"/>
    <s v="_x0000_peopl"/>
  </r>
  <r>
    <x v="6"/>
    <n v="13.6875"/>
    <n v="-89.194699999999997"/>
    <n v="6"/>
    <n v="0"/>
    <n v="0"/>
    <n v="107"/>
    <s v="_x0000_peopl"/>
  </r>
  <r>
    <x v="6"/>
    <n v="13.690799999999999"/>
    <n v="-89.227599999999995"/>
    <n v="8"/>
    <n v="0"/>
    <n v="0"/>
    <n v="107"/>
    <s v="_x0000_peopl"/>
  </r>
  <r>
    <x v="6"/>
    <n v="13.684699999999999"/>
    <n v="-89.203900000000004"/>
    <n v="4"/>
    <n v="0"/>
    <n v="0"/>
    <n v="107"/>
    <s v="_x0000_peopl"/>
  </r>
  <r>
    <x v="6"/>
    <n v="13.6876"/>
    <n v="-89.197000000000003"/>
    <n v="7"/>
    <n v="0"/>
    <n v="0"/>
    <n v="107"/>
    <s v="_x0000_peopl"/>
  </r>
  <r>
    <x v="6"/>
    <n v="13.687200000000001"/>
    <n v="-89.197100000000006"/>
    <n v="7"/>
    <n v="0"/>
    <n v="0"/>
    <n v="107"/>
    <s v="_x0000_peopl"/>
  </r>
  <r>
    <x v="6"/>
    <n v="13.6919"/>
    <n v="-89.194299999999998"/>
    <n v="5"/>
    <n v="0"/>
    <n v="0"/>
    <n v="107"/>
    <s v="_x0000_peopl"/>
  </r>
  <r>
    <x v="6"/>
    <n v="13.691599999999999"/>
    <n v="-89.185400000000001"/>
    <n v="9"/>
    <n v="0"/>
    <n v="0"/>
    <n v="107"/>
    <s v="_x0000_peopl"/>
  </r>
  <r>
    <x v="6"/>
    <n v="13.6876"/>
    <n v="-89.195099999999996"/>
    <n v="2"/>
    <n v="0"/>
    <n v="0"/>
    <n v="107"/>
    <s v="_x0000_peopl"/>
  </r>
  <r>
    <x v="6"/>
    <n v="13.674200000000001"/>
    <n v="-89.202100000000002"/>
    <n v="9"/>
    <n v="0"/>
    <n v="0"/>
    <n v="107"/>
    <s v="_x0000_peopl"/>
  </r>
  <r>
    <x v="6"/>
    <n v="13.691800000000001"/>
    <n v="-89.221100000000007"/>
    <n v="5"/>
    <n v="0"/>
    <n v="0"/>
    <n v="107"/>
    <s v="_x0000_peopl"/>
  </r>
  <r>
    <x v="6"/>
    <n v="13.6922"/>
    <n v="-89.227199999999996"/>
    <n v="2"/>
    <n v="0"/>
    <n v="0"/>
    <n v="107"/>
    <s v="_x0000_peopl"/>
  </r>
  <r>
    <x v="6"/>
    <n v="13.6927"/>
    <n v="-89.224900000000005"/>
    <n v="5"/>
    <n v="0"/>
    <n v="0"/>
    <n v="107"/>
    <s v="_x0000_peopl"/>
  </r>
  <r>
    <x v="6"/>
    <n v="13.6937"/>
    <n v="-89.185299999999998"/>
    <n v="4"/>
    <n v="0"/>
    <n v="0"/>
    <n v="107"/>
    <s v="_x0000_peopl"/>
  </r>
  <r>
    <x v="6"/>
    <n v="13.6768"/>
    <n v="-89.248000000000005"/>
    <n v="3"/>
    <n v="0"/>
    <n v="0"/>
    <n v="107"/>
    <s v="_x0000_peopl"/>
  </r>
  <r>
    <x v="6"/>
    <n v="13.692399999999999"/>
    <n v="-89.176599999999993"/>
    <n v="5"/>
    <n v="0"/>
    <n v="0"/>
    <n v="107"/>
    <s v="_x0000_peopl"/>
  </r>
  <r>
    <x v="6"/>
    <n v="13.6859"/>
    <n v="-89.204099999999997"/>
    <n v="6"/>
    <n v="0"/>
    <n v="0"/>
    <n v="107"/>
    <s v="_x0000_peopl"/>
  </r>
  <r>
    <x v="6"/>
    <n v="13.6884"/>
    <n v="-89.190600000000003"/>
    <n v="2"/>
    <n v="0"/>
    <n v="0"/>
    <n v="107"/>
    <s v="_x0000_peopl"/>
  </r>
  <r>
    <x v="6"/>
    <n v="13.6919"/>
    <n v="-89.224500000000006"/>
    <n v="5"/>
    <n v="0"/>
    <n v="0"/>
    <n v="107"/>
    <s v="_x0000_peopl"/>
  </r>
  <r>
    <x v="6"/>
    <n v="13.6889"/>
    <n v="-89.19"/>
    <n v="6"/>
    <n v="0"/>
    <n v="0"/>
    <n v="107"/>
    <s v="_x0000_peopl"/>
  </r>
  <r>
    <x v="6"/>
    <n v="13.6889"/>
    <n v="-89.204800000000006"/>
    <n v="9"/>
    <n v="0"/>
    <n v="0"/>
    <n v="107"/>
    <s v="_x0000_peopl"/>
  </r>
  <r>
    <x v="6"/>
    <n v="13.686"/>
    <n v="-89.202299999999994"/>
    <n v="3"/>
    <n v="0"/>
    <n v="0"/>
    <n v="107"/>
    <s v="_x0000_peopl"/>
  </r>
  <r>
    <x v="6"/>
    <n v="13.6869"/>
    <n v="-89.197999999999993"/>
    <n v="2"/>
    <n v="0"/>
    <n v="0"/>
    <n v="107"/>
    <s v="_x0000_peopl"/>
  </r>
  <r>
    <x v="6"/>
    <n v="13.688700000000001"/>
    <n v="-89.205100000000002"/>
    <n v="6"/>
    <n v="0"/>
    <n v="0"/>
    <n v="107"/>
    <s v="_x0000_peopl"/>
  </r>
  <r>
    <x v="6"/>
    <n v="13.6905"/>
    <n v="-89.186899999999994"/>
    <n v="4"/>
    <n v="0"/>
    <n v="0"/>
    <n v="107"/>
    <s v="_x0000_peopl"/>
  </r>
  <r>
    <x v="6"/>
    <n v="13.687099999999999"/>
    <n v="-89.182599999999994"/>
    <n v="2"/>
    <n v="0"/>
    <n v="0"/>
    <n v="107"/>
    <s v="_x0000_peopl"/>
  </r>
  <r>
    <x v="6"/>
    <n v="13.6944"/>
    <n v="-89.183300000000003"/>
    <n v="8"/>
    <n v="0"/>
    <n v="0"/>
    <n v="107"/>
    <s v="_x0000_peopl"/>
  </r>
  <r>
    <x v="6"/>
    <n v="13.6851"/>
    <n v="-89.215400000000002"/>
    <n v="4"/>
    <n v="0"/>
    <n v="0"/>
    <n v="107"/>
    <s v="_x0000_peopl"/>
  </r>
  <r>
    <x v="6"/>
    <n v="13.6897"/>
    <n v="-89.179900000000004"/>
    <n v="6"/>
    <n v="0"/>
    <n v="0"/>
    <n v="107"/>
    <s v="_x0000_peopl"/>
  </r>
  <r>
    <x v="6"/>
    <n v="13.679600000000001"/>
    <n v="-89.196600000000004"/>
    <n v="6"/>
    <n v="0"/>
    <n v="0"/>
    <n v="107"/>
    <s v="_x0000_peopl"/>
  </r>
  <r>
    <x v="6"/>
    <n v="13.685499999999999"/>
    <n v="-89.193700000000007"/>
    <n v="9"/>
    <n v="0"/>
    <n v="0"/>
    <n v="107"/>
    <s v="_x0000_peopl"/>
  </r>
  <r>
    <x v="6"/>
    <n v="13.6793"/>
    <n v="-89.196600000000004"/>
    <n v="5"/>
    <n v="0"/>
    <n v="0"/>
    <n v="107"/>
    <s v="_x0000_peopl"/>
  </r>
  <r>
    <x v="6"/>
    <n v="13.687200000000001"/>
    <n v="-89.182400000000001"/>
    <n v="4"/>
    <n v="0"/>
    <n v="0"/>
    <n v="107"/>
    <s v="_x0000_peopl"/>
  </r>
  <r>
    <x v="6"/>
    <n v="13.6915"/>
    <n v="-89.188199999999995"/>
    <n v="4"/>
    <n v="0"/>
    <n v="0"/>
    <n v="107"/>
    <s v="_x0000_peopl"/>
  </r>
  <r>
    <x v="6"/>
    <n v="13.693199999999999"/>
    <n v="-89.183700000000002"/>
    <n v="4"/>
    <n v="0"/>
    <n v="0"/>
    <n v="107"/>
    <s v="_x0000_peopl"/>
  </r>
  <r>
    <x v="6"/>
    <n v="13.6921"/>
    <n v="-89.223299999999995"/>
    <n v="7"/>
    <n v="0"/>
    <n v="0"/>
    <n v="107"/>
    <s v="_x0000_peopl"/>
  </r>
  <r>
    <x v="6"/>
    <n v="13.6914"/>
    <n v="-89.233400000000003"/>
    <n v="7"/>
    <n v="0"/>
    <n v="0"/>
    <n v="107"/>
    <s v="_x0000_peopl"/>
  </r>
  <r>
    <x v="6"/>
    <n v="13.6907"/>
    <n v="-89.186000000000007"/>
    <n v="4"/>
    <n v="0"/>
    <n v="0"/>
    <n v="107"/>
    <s v="_x0000_peopl"/>
  </r>
  <r>
    <x v="6"/>
    <n v="13.674799999999999"/>
    <n v="-89.251900000000006"/>
    <n v="5"/>
    <n v="0"/>
    <n v="0"/>
    <n v="107"/>
    <s v="_x0000_peopl"/>
  </r>
  <r>
    <x v="6"/>
    <n v="13.6951"/>
    <n v="-89.172499999999999"/>
    <n v="7"/>
    <n v="0"/>
    <n v="0"/>
    <n v="107"/>
    <s v="_x0000_peopl"/>
  </r>
  <r>
    <x v="6"/>
    <n v="13.6877"/>
    <n v="-89.197000000000003"/>
    <n v="0"/>
    <n v="0"/>
    <n v="0"/>
    <n v="107"/>
    <s v="_x0000_peopl"/>
  </r>
  <r>
    <x v="6"/>
    <n v="13.690300000000001"/>
    <n v="-89.234899999999996"/>
    <n v="5"/>
    <n v="0"/>
    <n v="0"/>
    <n v="107"/>
    <s v="_x0000_peopl"/>
  </r>
  <r>
    <x v="6"/>
    <n v="13.686999999999999"/>
    <n v="-89.182900000000004"/>
    <n v="1"/>
    <n v="0"/>
    <n v="0"/>
    <n v="107"/>
    <s v="_x0000_peopl"/>
  </r>
  <r>
    <x v="6"/>
    <n v="13.6914"/>
    <n v="-89.189499999999995"/>
    <n v="6"/>
    <n v="0"/>
    <n v="0"/>
    <n v="107"/>
    <s v="_x0000_peopl"/>
  </r>
  <r>
    <x v="6"/>
    <n v="13.691800000000001"/>
    <n v="-89.186499999999995"/>
    <n v="6"/>
    <n v="0"/>
    <n v="0"/>
    <n v="107"/>
    <s v="_x0000_peopl"/>
  </r>
  <r>
    <x v="6"/>
    <n v="13.6891"/>
    <n v="-89.205200000000005"/>
    <n v="7"/>
    <n v="0"/>
    <n v="0"/>
    <n v="107"/>
    <s v="_x0000_peopl"/>
  </r>
  <r>
    <x v="6"/>
    <n v="13.6952"/>
    <n v="-89.173699999999997"/>
    <n v="5"/>
    <n v="0"/>
    <n v="0"/>
    <n v="107"/>
    <s v="_x0000_peopl"/>
  </r>
  <r>
    <x v="6"/>
    <n v="13.6905"/>
    <n v="-89.2346"/>
    <n v="5"/>
    <n v="0"/>
    <n v="0"/>
    <n v="107"/>
    <s v="_x0000_peopl"/>
  </r>
  <r>
    <x v="6"/>
    <n v="13.6798"/>
    <n v="-89.197100000000006"/>
    <n v="3"/>
    <n v="0"/>
    <n v="0"/>
    <n v="107"/>
    <s v="_x0000_peopl"/>
  </r>
  <r>
    <x v="6"/>
    <n v="13.688000000000001"/>
    <n v="-89.213200000000001"/>
    <n v="7"/>
    <n v="0"/>
    <n v="0"/>
    <n v="107"/>
    <s v="_x0000_peopl"/>
  </r>
  <r>
    <x v="6"/>
    <n v="13.690899999999999"/>
    <n v="-89.190600000000003"/>
    <n v="6"/>
    <n v="0"/>
    <n v="0"/>
    <n v="107"/>
    <s v="_x0000_peopl"/>
  </r>
  <r>
    <x v="6"/>
    <n v="13.6913"/>
    <n v="-89.179299999999998"/>
    <n v="9"/>
    <n v="0"/>
    <n v="0"/>
    <n v="107"/>
    <s v="_x0000_peopl"/>
  </r>
  <r>
    <x v="6"/>
    <n v="13.6881"/>
    <n v="-89.180199999999999"/>
    <n v="7"/>
    <n v="0"/>
    <n v="0"/>
    <n v="107"/>
    <s v="_x0000_peopl"/>
  </r>
  <r>
    <x v="6"/>
    <n v="13.677099999999999"/>
    <n v="-89.247500000000002"/>
    <n v="5"/>
    <n v="0"/>
    <n v="0"/>
    <n v="107"/>
    <s v="_x0000_peopl"/>
  </r>
  <r>
    <x v="6"/>
    <n v="13.685700000000001"/>
    <n v="-89.202299999999994"/>
    <n v="9"/>
    <n v="0"/>
    <n v="0"/>
    <n v="107"/>
    <s v="_x0000_peopl"/>
  </r>
  <r>
    <x v="6"/>
    <n v="13.6914"/>
    <n v="-89.193399999999997"/>
    <n v="7"/>
    <n v="0"/>
    <n v="0"/>
    <n v="107"/>
    <s v="_x0000_peopl"/>
  </r>
  <r>
    <x v="6"/>
    <n v="13.691700000000001"/>
    <n v="-89.1935"/>
    <n v="4"/>
    <n v="0"/>
    <n v="0"/>
    <n v="107"/>
    <s v="_x0000_peopl"/>
  </r>
  <r>
    <x v="6"/>
    <n v="13.687900000000001"/>
    <n v="-89.212599999999995"/>
    <n v="6"/>
    <n v="0"/>
    <n v="0"/>
    <n v="107"/>
    <s v="_x0000_peopl"/>
  </r>
  <r>
    <x v="6"/>
    <n v="13.689299999999999"/>
    <n v="-89.197100000000006"/>
    <n v="6"/>
    <n v="0"/>
    <n v="0"/>
    <n v="107"/>
    <s v="_x0000_peopl"/>
  </r>
  <r>
    <x v="6"/>
    <n v="13.6869"/>
    <n v="-89.197500000000005"/>
    <n v="9"/>
    <n v="0"/>
    <n v="0"/>
    <n v="107"/>
    <s v="_x0000_peopl"/>
  </r>
  <r>
    <x v="6"/>
    <n v="13.6853"/>
    <n v="-89.202600000000004"/>
    <n v="6"/>
    <n v="0"/>
    <n v="0"/>
    <n v="107"/>
    <s v="_x0000_peopl"/>
  </r>
  <r>
    <x v="6"/>
    <n v="13.6942"/>
    <n v="-89.183099999999996"/>
    <n v="4"/>
    <n v="0"/>
    <n v="0"/>
    <n v="107"/>
    <s v="_x0000_peopl"/>
  </r>
  <r>
    <x v="6"/>
    <n v="13.696"/>
    <n v="-89.171999999999997"/>
    <n v="5"/>
    <n v="0"/>
    <n v="0"/>
    <n v="107"/>
    <s v="_x0000_peopl"/>
  </r>
  <r>
    <x v="6"/>
    <n v="13.687099999999999"/>
    <n v="-89.183499999999995"/>
    <n v="4"/>
    <n v="0"/>
    <n v="0"/>
    <n v="107"/>
    <s v="_x0000_peopl"/>
  </r>
  <r>
    <x v="6"/>
    <n v="13.6904"/>
    <n v="-89.235299999999995"/>
    <n v="6"/>
    <n v="0"/>
    <n v="0"/>
    <n v="107"/>
    <s v="_x0000_peopl"/>
  </r>
  <r>
    <x v="6"/>
    <n v="13.6914"/>
    <n v="-89.233400000000003"/>
    <n v="2"/>
    <n v="0"/>
    <n v="0"/>
    <n v="107"/>
    <s v="_x0000_peopl"/>
  </r>
  <r>
    <x v="6"/>
    <n v="13.6911"/>
    <n v="-89.233599999999996"/>
    <n v="1"/>
    <n v="0"/>
    <n v="0"/>
    <n v="107"/>
    <s v="_x0000_peopl"/>
  </r>
  <r>
    <x v="6"/>
    <n v="13.690300000000001"/>
    <n v="-89.186800000000005"/>
    <n v="7"/>
    <n v="0"/>
    <n v="0"/>
    <n v="107"/>
    <s v="_x0000_peopl"/>
  </r>
  <r>
    <x v="6"/>
    <n v="13.686"/>
    <n v="-89.201300000000003"/>
    <n v="6"/>
    <n v="0"/>
    <n v="0"/>
    <n v="107"/>
    <s v="_x0000_peopl"/>
  </r>
  <r>
    <x v="6"/>
    <n v="13.6912"/>
    <n v="-89.226600000000005"/>
    <n v="3"/>
    <n v="0"/>
    <n v="0"/>
    <n v="107"/>
    <s v="_x0000_peopl"/>
  </r>
  <r>
    <x v="6"/>
    <n v="13.6768"/>
    <n v="-89.248199999999997"/>
    <n v="8"/>
    <n v="0"/>
    <n v="0"/>
    <n v="107"/>
    <s v="_x0000_peopl"/>
  </r>
  <r>
    <x v="6"/>
    <n v="13.685499999999999"/>
    <n v="-89.211299999999994"/>
    <n v="8"/>
    <n v="0"/>
    <n v="0"/>
    <n v="107"/>
    <s v="_x0000_peopl"/>
  </r>
  <r>
    <x v="6"/>
    <n v="13.6793"/>
    <n v="-89.196299999999994"/>
    <n v="8"/>
    <n v="0"/>
    <n v="0"/>
    <n v="107"/>
    <s v="_x0000_peopl"/>
  </r>
  <r>
    <x v="6"/>
    <n v="13.6907"/>
    <n v="-89.190700000000007"/>
    <n v="8"/>
    <n v="0"/>
    <n v="0"/>
    <n v="107"/>
    <s v="_x0000_peopl"/>
  </r>
  <r>
    <x v="6"/>
    <n v="13.6853"/>
    <n v="-89.211399999999998"/>
    <n v="2"/>
    <n v="0"/>
    <n v="0"/>
    <n v="107"/>
    <s v="_x0000_peopl"/>
  </r>
  <r>
    <x v="6"/>
    <n v="13.689"/>
    <n v="-89.190399999999997"/>
    <n v="4"/>
    <n v="0"/>
    <n v="0"/>
    <n v="107"/>
    <s v="_x0000_peopl"/>
  </r>
  <r>
    <x v="6"/>
    <n v="13.674200000000001"/>
    <n v="-89.199299999999994"/>
    <n v="6"/>
    <n v="0"/>
    <n v="0"/>
    <n v="107"/>
    <s v="_x0000_peopl"/>
  </r>
  <r>
    <x v="6"/>
    <n v="13.6905"/>
    <n v="-89.233900000000006"/>
    <n v="3"/>
    <n v="0"/>
    <n v="0"/>
    <n v="107"/>
    <s v="_x0000_peopl"/>
  </r>
  <r>
    <x v="6"/>
    <n v="13.673500000000001"/>
    <n v="-89.251300000000001"/>
    <n v="4"/>
    <n v="0"/>
    <n v="0"/>
    <n v="107"/>
    <s v="_x0000_peopl"/>
  </r>
  <r>
    <x v="6"/>
    <n v="13.691000000000001"/>
    <n v="-89.188999999999993"/>
    <n v="7"/>
    <n v="0"/>
    <n v="0"/>
    <n v="107"/>
    <s v="_x0000_peopl"/>
  </r>
  <r>
    <x v="6"/>
    <n v="13.6914"/>
    <n v="-89.232600000000005"/>
    <n v="2"/>
    <n v="0"/>
    <n v="0"/>
    <n v="107"/>
    <s v="_x0000_peopl"/>
  </r>
  <r>
    <x v="6"/>
    <n v="13.691700000000001"/>
    <n v="-89.225499999999997"/>
    <n v="4"/>
    <n v="0"/>
    <n v="0"/>
    <n v="107"/>
    <s v="_x0000_peopl"/>
  </r>
  <r>
    <x v="6"/>
    <n v="13.6911"/>
    <n v="-89.183999999999997"/>
    <n v="4"/>
    <n v="0"/>
    <n v="0"/>
    <n v="107"/>
    <s v="_x0000_peopl"/>
  </r>
  <r>
    <x v="6"/>
    <n v="13.6907"/>
    <n v="-89.187299999999993"/>
    <n v="3"/>
    <n v="0"/>
    <n v="0"/>
    <n v="107"/>
    <s v="_x0000_peopl"/>
  </r>
  <r>
    <x v="6"/>
    <n v="13.689500000000001"/>
    <n v="-89.236000000000004"/>
    <n v="2"/>
    <n v="0"/>
    <n v="0"/>
    <n v="107"/>
    <s v="_x0000_peopl"/>
  </r>
  <r>
    <x v="6"/>
    <n v="13.6867"/>
    <n v="-89.181399999999996"/>
    <n v="4"/>
    <n v="0"/>
    <n v="0"/>
    <n v="107"/>
    <s v="_x0000_peopl"/>
  </r>
  <r>
    <x v="6"/>
    <n v="13.6919"/>
    <n v="-89.179400000000001"/>
    <n v="3"/>
    <n v="0"/>
    <n v="0"/>
    <n v="107"/>
    <s v="_x0000_peopl"/>
  </r>
  <r>
    <x v="6"/>
    <n v="13.6891"/>
    <n v="-89.215100000000007"/>
    <n v="5"/>
    <n v="0"/>
    <n v="0"/>
    <n v="107"/>
    <s v="_x0000_peopl"/>
  </r>
  <r>
    <x v="6"/>
    <n v="13.6883"/>
    <n v="-89.180099999999996"/>
    <n v="3"/>
    <n v="0"/>
    <n v="0"/>
    <n v="107"/>
    <s v="_x0000_peopl"/>
  </r>
  <r>
    <x v="6"/>
    <n v="13.684900000000001"/>
    <n v="-89.212299999999999"/>
    <n v="5"/>
    <n v="0"/>
    <n v="0"/>
    <n v="107"/>
    <s v="_x0000_peopl"/>
  </r>
  <r>
    <x v="6"/>
    <n v="13.685600000000001"/>
    <n v="-89.193799999999996"/>
    <n v="9"/>
    <n v="0"/>
    <n v="0"/>
    <n v="107"/>
    <s v="_x0000_peopl"/>
  </r>
  <r>
    <x v="6"/>
    <n v="13.6953"/>
    <n v="-89.174300000000002"/>
    <n v="4"/>
    <n v="0"/>
    <n v="0"/>
    <n v="107"/>
    <s v="_x0000_peopl"/>
  </r>
  <r>
    <x v="6"/>
    <n v="13.691000000000001"/>
    <n v="-89.231099999999998"/>
    <n v="6"/>
    <n v="0"/>
    <n v="0"/>
    <n v="107"/>
    <s v="_x0000_peopl"/>
  </r>
  <r>
    <x v="6"/>
    <n v="13.6906"/>
    <n v="-89.194199999999995"/>
    <n v="5"/>
    <n v="0"/>
    <n v="0"/>
    <n v="107"/>
    <s v="_x0000_peopl"/>
  </r>
  <r>
    <x v="6"/>
    <n v="13.6915"/>
    <n v="-89.235200000000006"/>
    <n v="3"/>
    <n v="0"/>
    <n v="0"/>
    <n v="107"/>
    <s v="_x0000_peopl"/>
  </r>
  <r>
    <x v="6"/>
    <n v="13.687799999999999"/>
    <n v="-89.181299999999993"/>
    <n v="3"/>
    <n v="0"/>
    <n v="0"/>
    <n v="107"/>
    <s v="_x0000_peopl"/>
  </r>
  <r>
    <x v="6"/>
    <n v="13.687200000000001"/>
    <n v="-89.197299999999998"/>
    <n v="8"/>
    <n v="0"/>
    <n v="0"/>
    <n v="107"/>
    <s v="_x0000_peopl"/>
  </r>
  <r>
    <x v="6"/>
    <n v="13.685"/>
    <n v="-89.212599999999995"/>
    <n v="4"/>
    <n v="0"/>
    <n v="0"/>
    <n v="107"/>
    <s v="_x0000_peopl"/>
  </r>
  <r>
    <x v="6"/>
    <n v="13.6943"/>
    <n v="-89.188800000000001"/>
    <n v="5"/>
    <n v="0"/>
    <n v="0"/>
    <n v="107"/>
    <s v="_x0000_peopl"/>
  </r>
  <r>
    <x v="6"/>
    <n v="13.6889"/>
    <n v="-89.177999999999997"/>
    <n v="2"/>
    <n v="0"/>
    <n v="0"/>
    <n v="107"/>
    <s v="_x0000_peopl"/>
  </r>
  <r>
    <x v="6"/>
    <n v="13.6899"/>
    <n v="-89.185900000000004"/>
    <n v="4"/>
    <n v="0"/>
    <n v="0"/>
    <n v="107"/>
    <s v="_x0000_peopl"/>
  </r>
  <r>
    <x v="6"/>
    <n v="13.6952"/>
    <n v="-89.173299999999998"/>
    <n v="5"/>
    <n v="0"/>
    <n v="0"/>
    <n v="107"/>
    <s v="_x0000_peopl"/>
  </r>
  <r>
    <x v="6"/>
    <n v="13.6891"/>
    <n v="-89.229299999999995"/>
    <n v="6"/>
    <n v="0"/>
    <n v="0"/>
    <n v="107"/>
    <s v="_x0000_peopl"/>
  </r>
  <r>
    <x v="6"/>
    <n v="13.6935"/>
    <n v="-89.176500000000004"/>
    <n v="3"/>
    <n v="0"/>
    <n v="0"/>
    <n v="107"/>
    <s v="_x0000_peopl"/>
  </r>
  <r>
    <x v="6"/>
    <n v="13.6869"/>
    <n v="-89.183400000000006"/>
    <n v="6"/>
    <n v="0"/>
    <n v="0"/>
    <n v="107"/>
    <s v="_x0000_peopl"/>
  </r>
  <r>
    <x v="6"/>
    <n v="13.6858"/>
    <n v="-89.212500000000006"/>
    <n v="4"/>
    <n v="0"/>
    <n v="0"/>
    <n v="107"/>
    <s v="_x0000_peopl"/>
  </r>
  <r>
    <x v="6"/>
    <n v="13.6861"/>
    <n v="-89.211600000000004"/>
    <n v="2"/>
    <n v="0"/>
    <n v="0"/>
    <n v="107"/>
    <s v="_x0000_peopl"/>
  </r>
  <r>
    <x v="6"/>
    <n v="13.6929"/>
    <n v="-89.1768"/>
    <n v="7"/>
    <n v="0"/>
    <n v="0"/>
    <n v="107"/>
    <s v="_x0000_peopl"/>
  </r>
  <r>
    <x v="6"/>
    <n v="13.6889"/>
    <n v="-89.180899999999994"/>
    <n v="4"/>
    <n v="0"/>
    <n v="0"/>
    <n v="107"/>
    <s v="_x0000_peopl"/>
  </r>
  <r>
    <x v="6"/>
    <n v="13.6938"/>
    <n v="-89.189099999999996"/>
    <n v="8"/>
    <n v="0"/>
    <n v="0"/>
    <n v="107"/>
    <s v="_x0000_peopl"/>
  </r>
  <r>
    <x v="6"/>
    <n v="13.674799999999999"/>
    <n v="-89.199600000000004"/>
    <n v="5"/>
    <n v="0"/>
    <n v="0"/>
    <n v="107"/>
    <s v="_x0000_peopl"/>
  </r>
  <r>
    <x v="6"/>
    <n v="13.690899999999999"/>
    <n v="-89.189700000000002"/>
    <n v="6"/>
    <n v="0"/>
    <n v="0"/>
    <n v="107"/>
    <s v="_x0000_peopl"/>
  </r>
  <r>
    <x v="6"/>
    <n v="13.687200000000001"/>
    <n v="-89.197699999999998"/>
    <n v="6"/>
    <n v="0"/>
    <n v="0"/>
    <n v="107"/>
    <s v="_x0000_peopl"/>
  </r>
  <r>
    <x v="6"/>
    <n v="13.687799999999999"/>
    <n v="-89.196299999999994"/>
    <n v="8"/>
    <n v="0"/>
    <n v="0"/>
    <n v="107"/>
    <s v="_x0000_peopl"/>
  </r>
  <r>
    <x v="6"/>
    <n v="13.693"/>
    <n v="-89.183499999999995"/>
    <n v="8"/>
    <n v="0"/>
    <n v="0"/>
    <n v="107"/>
    <s v="_x0000_peopl"/>
  </r>
  <r>
    <x v="6"/>
    <n v="13.688599999999999"/>
    <n v="-89.1982"/>
    <n v="9"/>
    <n v="0"/>
    <n v="0"/>
    <n v="107"/>
    <s v="_x0000_peopl"/>
  </r>
  <r>
    <x v="6"/>
    <n v="13.6891"/>
    <n v="-89.181100000000001"/>
    <n v="3"/>
    <n v="0"/>
    <n v="0"/>
    <n v="107"/>
    <s v="_x0000_peopl"/>
  </r>
  <r>
    <x v="6"/>
    <n v="13.691000000000001"/>
    <n v="-89.233999999999995"/>
    <n v="6"/>
    <n v="0"/>
    <n v="0"/>
    <n v="107"/>
    <s v="_x0000_peopl"/>
  </r>
  <r>
    <x v="6"/>
    <n v="13.687799999999999"/>
    <n v="-89.197100000000006"/>
    <n v="3"/>
    <n v="0"/>
    <n v="0"/>
    <n v="107"/>
    <s v="_x0000_peopl"/>
  </r>
  <r>
    <x v="6"/>
    <n v="13.6877"/>
    <n v="-89.197000000000003"/>
    <n v="5"/>
    <n v="0"/>
    <n v="0"/>
    <n v="107"/>
    <s v="_x0000_peopl"/>
  </r>
  <r>
    <x v="6"/>
    <n v="13.6922"/>
    <n v="-89.193299999999994"/>
    <n v="3"/>
    <n v="0"/>
    <n v="0"/>
    <n v="107"/>
    <s v="_x0000_peopl"/>
  </r>
  <r>
    <x v="6"/>
    <n v="13.6914"/>
    <n v="-89.232699999999994"/>
    <n v="4"/>
    <n v="0"/>
    <n v="0"/>
    <n v="107"/>
    <s v="_x0000_peopl"/>
  </r>
  <r>
    <x v="6"/>
    <n v="13.6868"/>
    <n v="-89.194599999999994"/>
    <n v="1"/>
    <n v="0"/>
    <n v="0"/>
    <n v="107"/>
    <s v="_x0000_peopl"/>
  </r>
  <r>
    <x v="6"/>
    <n v="13.6915"/>
    <n v="-89.189800000000005"/>
    <n v="5"/>
    <n v="0"/>
    <n v="0"/>
    <n v="107"/>
    <s v="_x0000_peopl"/>
  </r>
  <r>
    <x v="6"/>
    <n v="13.6928"/>
    <n v="-89.179000000000002"/>
    <n v="6"/>
    <n v="0"/>
    <n v="0"/>
    <n v="107"/>
    <s v="_x0000_peopl"/>
  </r>
  <r>
    <x v="6"/>
    <n v="13.6897"/>
    <n v="-89.181600000000003"/>
    <n v="6"/>
    <n v="0"/>
    <n v="0"/>
    <n v="107"/>
    <s v="_x0000_peopl"/>
  </r>
  <r>
    <x v="6"/>
    <n v="13.6881"/>
    <n v="-89.216200000000001"/>
    <n v="4"/>
    <n v="0"/>
    <n v="0"/>
    <n v="107"/>
    <s v="_x0000_peopl"/>
  </r>
  <r>
    <x v="6"/>
    <n v="13.676299999999999"/>
    <n v="-89.199700000000007"/>
    <n v="6"/>
    <n v="0"/>
    <n v="0"/>
    <n v="107"/>
    <s v="_x0000_peopl"/>
  </r>
  <r>
    <x v="6"/>
    <n v="13.688499999999999"/>
    <n v="-89.229299999999995"/>
    <n v="2"/>
    <n v="0"/>
    <n v="0"/>
    <n v="107"/>
    <s v="_x0000_peopl"/>
  </r>
  <r>
    <x v="6"/>
    <n v="13.692399999999999"/>
    <n v="-89.184299999999993"/>
    <n v="3"/>
    <n v="0"/>
    <n v="0"/>
    <n v="107"/>
    <s v="_x0000_peopl"/>
  </r>
  <r>
    <x v="6"/>
    <n v="13.6873"/>
    <n v="-89.216499999999996"/>
    <n v="4"/>
    <n v="0"/>
    <n v="0"/>
    <n v="107"/>
    <s v="_x0000_peopl"/>
  </r>
  <r>
    <x v="6"/>
    <n v="13.6851"/>
    <n v="-89.211399999999998"/>
    <n v="5"/>
    <n v="0"/>
    <n v="0"/>
    <n v="107"/>
    <s v="_x0000_peopl"/>
  </r>
  <r>
    <x v="6"/>
    <n v="13.6883"/>
    <n v="-89.181700000000006"/>
    <n v="3"/>
    <n v="0"/>
    <n v="0"/>
    <n v="107"/>
    <s v="_x0000_peopl"/>
  </r>
  <r>
    <x v="6"/>
    <n v="13.6913"/>
    <n v="-89.188100000000006"/>
    <n v="7"/>
    <n v="0"/>
    <n v="0"/>
    <n v="107"/>
    <s v="_x0000_peopl"/>
  </r>
  <r>
    <x v="6"/>
    <n v="13.691700000000001"/>
    <n v="-89.221299999999999"/>
    <n v="4"/>
    <n v="0"/>
    <n v="0"/>
    <n v="107"/>
    <s v="_x0000_peopl"/>
  </r>
  <r>
    <x v="6"/>
    <n v="13.6873"/>
    <n v="-89.194500000000005"/>
    <n v="4"/>
    <n v="0"/>
    <n v="0"/>
    <n v="107"/>
    <s v="_x0000_peopl"/>
  </r>
  <r>
    <x v="6"/>
    <n v="13.6747"/>
    <n v="-89.252300000000005"/>
    <n v="4"/>
    <n v="0"/>
    <n v="0"/>
    <n v="107"/>
    <s v="_x0000_peopl"/>
  </r>
  <r>
    <x v="6"/>
    <n v="13.688000000000001"/>
    <n v="-89.194299999999998"/>
    <n v="4"/>
    <n v="0"/>
    <n v="0"/>
    <n v="107"/>
    <s v="_x0000_peopl"/>
  </r>
  <r>
    <x v="6"/>
    <n v="13.6911"/>
    <n v="-89.234700000000004"/>
    <n v="5"/>
    <n v="0"/>
    <n v="0"/>
    <n v="107"/>
    <s v="_x0000_peopl"/>
  </r>
  <r>
    <x v="6"/>
    <n v="13.6852"/>
    <n v="-89.214200000000005"/>
    <n v="5"/>
    <n v="0"/>
    <n v="0"/>
    <n v="107"/>
    <s v="_x0000_peopl"/>
  </r>
  <r>
    <x v="6"/>
    <n v="13.6899"/>
    <n v="-89.188699999999997"/>
    <n v="6"/>
    <n v="0"/>
    <n v="0"/>
    <n v="107"/>
    <s v="_x0000_peopl"/>
  </r>
  <r>
    <x v="6"/>
    <n v="13.6869"/>
    <n v="-89.183400000000006"/>
    <n v="5"/>
    <n v="0"/>
    <n v="0"/>
    <n v="107"/>
    <s v="_x0000_peopl"/>
  </r>
  <r>
    <x v="6"/>
    <n v="13.6852"/>
    <n v="-89.194199999999995"/>
    <n v="13"/>
    <n v="0"/>
    <n v="0"/>
    <n v="107"/>
    <s v="_x0000_peopl"/>
  </r>
  <r>
    <x v="6"/>
    <n v="13.6914"/>
    <n v="-89.189400000000006"/>
    <n v="6"/>
    <n v="0"/>
    <n v="0"/>
    <n v="107"/>
    <s v="_x0000_peopl"/>
  </r>
  <r>
    <x v="6"/>
    <n v="13.691000000000001"/>
    <n v="-89.228999999999999"/>
    <n v="4"/>
    <n v="0"/>
    <n v="0"/>
    <n v="107"/>
    <s v="_x0000_peopl"/>
  </r>
  <r>
    <x v="6"/>
    <n v="13.692399999999999"/>
    <n v="-89.175899999999999"/>
    <n v="5"/>
    <n v="0"/>
    <n v="0"/>
    <n v="107"/>
    <s v="_x0000_peopl"/>
  </r>
  <r>
    <x v="6"/>
    <n v="13.69"/>
    <n v="-89.180099999999996"/>
    <n v="6"/>
    <n v="0"/>
    <n v="0"/>
    <n v="107"/>
    <s v="_x0000_peopl"/>
  </r>
  <r>
    <x v="6"/>
    <n v="13.6968"/>
    <n v="-89.171800000000005"/>
    <n v="3"/>
    <n v="0"/>
    <n v="0"/>
    <n v="107"/>
    <s v="_x0000_peopl"/>
  </r>
  <r>
    <x v="6"/>
    <n v="13.6891"/>
    <n v="-89.177899999999994"/>
    <n v="7"/>
    <n v="0"/>
    <n v="0"/>
    <n v="107"/>
    <s v="_x0000_peopl"/>
  </r>
  <r>
    <x v="6"/>
    <n v="13.689299999999999"/>
    <n v="-89.235900000000001"/>
    <n v="6"/>
    <n v="0"/>
    <n v="0"/>
    <n v="107"/>
    <s v="_x0000_peopl"/>
  </r>
  <r>
    <x v="6"/>
    <n v="13.69"/>
    <n v="-89.236199999999997"/>
    <n v="7"/>
    <n v="0"/>
    <n v="0"/>
    <n v="107"/>
    <s v="_x0000_peopl"/>
  </r>
  <r>
    <x v="6"/>
    <n v="13.689"/>
    <n v="-89.229600000000005"/>
    <n v="5"/>
    <n v="0"/>
    <n v="0"/>
    <n v="107"/>
    <s v="_x0000_peopl"/>
  </r>
  <r>
    <x v="6"/>
    <n v="13.684799999999999"/>
    <n v="-89.213499999999996"/>
    <n v="5"/>
    <n v="0"/>
    <n v="0"/>
    <n v="107"/>
    <s v="_x0000_peopl"/>
  </r>
  <r>
    <x v="6"/>
    <n v="13.6724"/>
    <n v="-89.204099999999997"/>
    <n v="1"/>
    <n v="0"/>
    <n v="0"/>
    <n v="107"/>
    <s v="_x0000_peopl"/>
  </r>
  <r>
    <x v="6"/>
    <n v="13.6867"/>
    <n v="-89.194500000000005"/>
    <n v="4"/>
    <n v="0"/>
    <n v="0"/>
    <n v="107"/>
    <s v="_x0000_peopl"/>
  </r>
  <r>
    <x v="6"/>
    <n v="13.6892"/>
    <n v="-89.236000000000004"/>
    <n v="4"/>
    <n v="0"/>
    <n v="0"/>
    <n v="107"/>
    <s v="_x0000_peopl"/>
  </r>
  <r>
    <x v="6"/>
    <n v="13.690899999999999"/>
    <n v="-89.185000000000002"/>
    <n v="4"/>
    <n v="0"/>
    <n v="0"/>
    <n v="107"/>
    <s v="_x0000_peopl"/>
  </r>
  <r>
    <x v="6"/>
    <n v="13.684699999999999"/>
    <n v="-89.213200000000001"/>
    <n v="4"/>
    <n v="0"/>
    <n v="0"/>
    <n v="107"/>
    <s v="_x0000_peopl"/>
  </r>
  <r>
    <x v="6"/>
    <n v="13.6858"/>
    <n v="-89.203699999999998"/>
    <n v="8"/>
    <n v="0"/>
    <n v="0"/>
    <n v="107"/>
    <s v="_x0000_peopl"/>
  </r>
  <r>
    <x v="6"/>
    <n v="13.6913"/>
    <n v="-89.235100000000003"/>
    <n v="2"/>
    <n v="0"/>
    <n v="0"/>
    <n v="107"/>
    <s v="_x0000_peopl"/>
  </r>
  <r>
    <x v="6"/>
    <n v="13.6945"/>
    <n v="-89.175399999999996"/>
    <n v="2"/>
    <n v="0"/>
    <n v="0"/>
    <n v="107"/>
    <s v="_x0000_peopl"/>
  </r>
  <r>
    <x v="6"/>
    <n v="13.6896"/>
    <n v="-89.235500000000002"/>
    <n v="7"/>
    <n v="0"/>
    <n v="0"/>
    <n v="107"/>
    <s v="_x0000_peopl"/>
  </r>
  <r>
    <x v="6"/>
    <n v="13.6889"/>
    <n v="-89.177899999999994"/>
    <n v="9"/>
    <n v="0"/>
    <n v="0"/>
    <n v="107"/>
    <s v="_x0000_peopl"/>
  </r>
  <r>
    <x v="6"/>
    <n v="13.6874"/>
    <n v="-89.194299999999998"/>
    <n v="5"/>
    <n v="0"/>
    <n v="0"/>
    <n v="107"/>
    <s v="_x0000_peopl"/>
  </r>
  <r>
    <x v="6"/>
    <n v="13.688800000000001"/>
    <n v="-89.229100000000003"/>
    <n v="3"/>
    <n v="0"/>
    <n v="0"/>
    <n v="107"/>
    <s v="_x0000_peopl"/>
  </r>
  <r>
    <x v="6"/>
    <n v="13.6868"/>
    <n v="-89.182900000000004"/>
    <n v="7"/>
    <n v="0"/>
    <n v="0"/>
    <n v="107"/>
    <s v="_x0000_peopl"/>
  </r>
  <r>
    <x v="6"/>
    <n v="13.6915"/>
    <n v="-89.189300000000003"/>
    <n v="3"/>
    <n v="0"/>
    <n v="0"/>
    <n v="107"/>
    <s v="_x0000_peopl"/>
  </r>
  <r>
    <x v="6"/>
    <n v="13.6911"/>
    <n v="-89.189300000000003"/>
    <n v="3"/>
    <n v="0"/>
    <n v="0"/>
    <n v="107"/>
    <s v="_x0000_peopl"/>
  </r>
  <r>
    <x v="6"/>
    <n v="13.6751"/>
    <n v="-89.248699999999999"/>
    <n v="10"/>
    <n v="0"/>
    <n v="0"/>
    <n v="107"/>
    <s v="_x0000_peopl"/>
  </r>
  <r>
    <x v="6"/>
    <n v="13.6859"/>
    <n v="-89.202699999999993"/>
    <n v="1"/>
    <n v="0"/>
    <n v="0"/>
    <n v="107"/>
    <s v="_x0000_peopl"/>
  </r>
  <r>
    <x v="6"/>
    <n v="13.6877"/>
    <n v="-89.195499999999996"/>
    <n v="8"/>
    <n v="0"/>
    <n v="0"/>
    <n v="107"/>
    <s v="_x0000_peopl"/>
  </r>
  <r>
    <x v="6"/>
    <n v="13.691700000000001"/>
    <n v="-89.188000000000002"/>
    <n v="6"/>
    <n v="0"/>
    <n v="0"/>
    <n v="107"/>
    <s v="_x0000_peopl"/>
  </r>
  <r>
    <x v="6"/>
    <n v="13.674899999999999"/>
    <n v="-89.249099999999999"/>
    <n v="7"/>
    <n v="0"/>
    <n v="0"/>
    <n v="107"/>
    <s v="_x0000_peopl"/>
  </r>
  <r>
    <x v="6"/>
    <n v="13.6898"/>
    <n v="-89.177499999999995"/>
    <n v="5"/>
    <n v="0"/>
    <n v="0"/>
    <n v="107"/>
    <s v="_x0000_peopl"/>
  </r>
  <r>
    <x v="6"/>
    <n v="13.6798"/>
    <n v="-89.194900000000004"/>
    <n v="3"/>
    <n v="0"/>
    <n v="0"/>
    <n v="107"/>
    <s v="_x0000_peopl"/>
  </r>
  <r>
    <x v="6"/>
    <n v="13.677099999999999"/>
    <n v="-89.1995"/>
    <n v="7"/>
    <n v="0"/>
    <n v="0"/>
    <n v="107"/>
    <s v="_x0000_peopl"/>
  </r>
  <r>
    <x v="6"/>
    <n v="13.686500000000001"/>
    <n v="-89.203500000000005"/>
    <n v="3"/>
    <n v="0"/>
    <n v="0"/>
    <n v="107"/>
    <s v="_x0000_peopl"/>
  </r>
  <r>
    <x v="6"/>
    <n v="13.691700000000001"/>
    <n v="-89.221000000000004"/>
    <n v="5"/>
    <n v="0"/>
    <n v="0"/>
    <n v="107"/>
    <s v="_x0000_peopl"/>
  </r>
  <r>
    <x v="6"/>
    <n v="13.690200000000001"/>
    <n v="-89.228499999999997"/>
    <n v="3"/>
    <n v="0"/>
    <n v="0"/>
    <n v="107"/>
    <s v="_x0000_peopl"/>
  </r>
  <r>
    <x v="6"/>
    <n v="13.6913"/>
    <n v="-89.189499999999995"/>
    <n v="1"/>
    <n v="0"/>
    <n v="0"/>
    <n v="107"/>
    <s v="_x0000_peopl"/>
  </r>
  <r>
    <x v="6"/>
    <n v="13.6936"/>
    <n v="-89.188699999999997"/>
    <n v="5"/>
    <n v="0"/>
    <n v="0"/>
    <n v="107"/>
    <s v="_x0000_peopl"/>
  </r>
  <r>
    <x v="6"/>
    <n v="13.691000000000001"/>
    <n v="-89.186199999999999"/>
    <n v="5"/>
    <n v="0"/>
    <n v="0"/>
    <n v="107"/>
    <s v="_x0000_peopl"/>
  </r>
  <r>
    <x v="6"/>
    <n v="13.6922"/>
    <n v="-89.196899999999999"/>
    <n v="5"/>
    <n v="0"/>
    <n v="0"/>
    <n v="107"/>
    <s v="_x0000_peopl"/>
  </r>
  <r>
    <x v="6"/>
    <n v="13.6911"/>
    <n v="-89.228499999999997"/>
    <n v="5"/>
    <n v="0"/>
    <n v="0"/>
    <n v="107"/>
    <s v="_x0000_peopl"/>
  </r>
  <r>
    <x v="6"/>
    <n v="13.691700000000001"/>
    <n v="-89.232600000000005"/>
    <n v="2"/>
    <n v="0"/>
    <n v="0"/>
    <n v="107"/>
    <s v="_x0000_peopl"/>
  </r>
  <r>
    <x v="6"/>
    <n v="13.691700000000001"/>
    <n v="-89.2256"/>
    <n v="9"/>
    <n v="0"/>
    <n v="0"/>
    <n v="107"/>
    <s v="_x0000_peopl"/>
  </r>
  <r>
    <x v="6"/>
    <n v="13.6806"/>
    <n v="-89.195999999999998"/>
    <n v="6"/>
    <n v="0"/>
    <n v="0"/>
    <n v="107"/>
    <s v="_x0000_peopl"/>
  </r>
  <r>
    <x v="6"/>
    <n v="13.6876"/>
    <n v="-89.197100000000006"/>
    <n v="6"/>
    <n v="0"/>
    <n v="0"/>
    <n v="107"/>
    <s v="_x0000_peopl"/>
  </r>
  <r>
    <x v="6"/>
    <n v="13.6915"/>
    <n v="-89.186000000000007"/>
    <n v="10"/>
    <n v="0"/>
    <n v="0"/>
    <n v="107"/>
    <s v="_x0000_peopl"/>
  </r>
  <r>
    <x v="6"/>
    <n v="13.686299999999999"/>
    <n v="-89.211399999999998"/>
    <n v="5"/>
    <n v="0"/>
    <n v="0"/>
    <n v="107"/>
    <s v="_x0000_peopl"/>
  </r>
  <r>
    <x v="6"/>
    <n v="13.6911"/>
    <n v="-89.232900000000001"/>
    <n v="2"/>
    <n v="0"/>
    <n v="0"/>
    <n v="107"/>
    <s v="_x0000_peopl"/>
  </r>
  <r>
    <x v="6"/>
    <n v="13.6915"/>
    <n v="-89.234099999999998"/>
    <n v="4"/>
    <n v="0"/>
    <n v="0"/>
    <n v="107"/>
    <s v="_x0000_peopl"/>
  </r>
  <r>
    <x v="6"/>
    <n v="13.6934"/>
    <n v="-89.188699999999997"/>
    <n v="2"/>
    <n v="0"/>
    <n v="0"/>
    <n v="107"/>
    <s v="_x0000_peopl"/>
  </r>
  <r>
    <x v="6"/>
    <n v="13.6911"/>
    <n v="-89.229299999999995"/>
    <n v="2"/>
    <n v="0"/>
    <n v="0"/>
    <n v="107"/>
    <s v="_x0000_peopl"/>
  </r>
  <r>
    <x v="6"/>
    <n v="13.6874"/>
    <n v="-89.194599999999994"/>
    <n v="7"/>
    <n v="0"/>
    <n v="0"/>
    <n v="107"/>
    <s v="_x0000_peopl"/>
  </r>
  <r>
    <x v="6"/>
    <n v="13.690799999999999"/>
    <n v="-89.234999999999999"/>
    <n v="3"/>
    <n v="0"/>
    <n v="0"/>
    <n v="107"/>
    <s v="_x0000_peopl"/>
  </r>
  <r>
    <x v="6"/>
    <n v="13.692600000000001"/>
    <n v="-89.224100000000007"/>
    <n v="5"/>
    <n v="0"/>
    <n v="0"/>
    <n v="107"/>
    <s v="_x0000_peopl"/>
  </r>
  <r>
    <x v="6"/>
    <n v="13.687799999999999"/>
    <n v="-89.197199999999995"/>
    <n v="4"/>
    <n v="0"/>
    <n v="0"/>
    <n v="107"/>
    <s v="_x0000_peopl"/>
  </r>
  <r>
    <x v="6"/>
    <n v="13.6876"/>
    <n v="-89.197100000000006"/>
    <n v="4"/>
    <n v="0"/>
    <n v="0"/>
    <n v="107"/>
    <s v="_x0000_peopl"/>
  </r>
  <r>
    <x v="6"/>
    <n v="13.6877"/>
    <n v="-89.179599999999994"/>
    <n v="7"/>
    <n v="0"/>
    <n v="0"/>
    <n v="107"/>
    <s v="_x0000_peopl"/>
  </r>
  <r>
    <x v="6"/>
    <n v="13.6914"/>
    <n v="-89.234499999999997"/>
    <n v="7"/>
    <n v="0"/>
    <n v="0"/>
    <n v="107"/>
    <s v="_x0000_peopl"/>
  </r>
  <r>
    <x v="6"/>
    <n v="13.6898"/>
    <n v="-89.194000000000003"/>
    <n v="7"/>
    <n v="0"/>
    <n v="0"/>
    <n v="107"/>
    <s v="_x0000_peopl"/>
  </r>
  <r>
    <x v="6"/>
    <n v="13.690300000000001"/>
    <n v="-89.236099999999993"/>
    <n v="4"/>
    <n v="0"/>
    <n v="0"/>
    <n v="107"/>
    <s v="_x0000_peopl"/>
  </r>
  <r>
    <x v="6"/>
    <n v="13.693300000000001"/>
    <n v="-89.192400000000006"/>
    <n v="6"/>
    <n v="0"/>
    <n v="0"/>
    <n v="107"/>
    <s v="_x0000_peopl"/>
  </r>
  <r>
    <x v="6"/>
    <n v="13.673999999999999"/>
    <n v="-89.202600000000004"/>
    <n v="8"/>
    <n v="0"/>
    <n v="0"/>
    <n v="107"/>
    <s v="_x0000_peopl"/>
  </r>
  <r>
    <x v="6"/>
    <n v="13.6915"/>
    <n v="-89.227099999999993"/>
    <n v="1"/>
    <n v="0"/>
    <n v="0"/>
    <n v="107"/>
    <s v="_x0000_peopl"/>
  </r>
  <r>
    <x v="6"/>
    <n v="13.6919"/>
    <n v="-89.185500000000005"/>
    <n v="5"/>
    <n v="0"/>
    <n v="0"/>
    <n v="107"/>
    <s v="_x0000_peopl"/>
  </r>
  <r>
    <x v="6"/>
    <n v="13.686400000000001"/>
    <n v="-89.204300000000003"/>
    <n v="6"/>
    <n v="0"/>
    <n v="0"/>
    <n v="107"/>
    <s v="_x0000_peopl"/>
  </r>
  <r>
    <x v="6"/>
    <n v="13.6869"/>
    <n v="-89.191299999999998"/>
    <n v="5"/>
    <n v="0"/>
    <n v="0"/>
    <n v="107"/>
    <s v="_x0000_peopl"/>
  </r>
  <r>
    <x v="6"/>
    <n v="13.6951"/>
    <n v="-89.173699999999997"/>
    <n v="4"/>
    <n v="0"/>
    <n v="0"/>
    <n v="107"/>
    <s v="_x0000_peopl"/>
  </r>
  <r>
    <x v="6"/>
    <n v="13.684699999999999"/>
    <n v="-89.213099999999997"/>
    <n v="3"/>
    <n v="0"/>
    <n v="0"/>
    <n v="107"/>
    <s v="_x0000_peopl"/>
  </r>
  <r>
    <x v="6"/>
    <n v="13.687200000000001"/>
    <n v="-89.196399999999997"/>
    <n v="5"/>
    <n v="0"/>
    <n v="0"/>
    <n v="107"/>
    <s v="_x0000_peopl"/>
  </r>
  <r>
    <x v="6"/>
    <n v="13.690200000000001"/>
    <n v="-89.188400000000001"/>
    <n v="5"/>
    <n v="0"/>
    <n v="0"/>
    <n v="107"/>
    <s v="_x0000_peopl"/>
  </r>
  <r>
    <x v="6"/>
    <n v="13.6904"/>
    <n v="-89.178700000000006"/>
    <n v="7"/>
    <n v="0"/>
    <n v="0"/>
    <n v="107"/>
    <s v="_x0000_peopl"/>
  </r>
  <r>
    <x v="6"/>
    <n v="13.687900000000001"/>
    <n v="-89.179599999999994"/>
    <n v="4"/>
    <n v="0"/>
    <n v="0"/>
    <n v="107"/>
    <s v="_x0000_peopl"/>
  </r>
  <r>
    <x v="6"/>
    <n v="13.6891"/>
    <n v="-89.215000000000003"/>
    <n v="4"/>
    <n v="0"/>
    <n v="0"/>
    <n v="107"/>
    <s v="_x0000_peopl"/>
  </r>
  <r>
    <x v="6"/>
    <n v="13.6906"/>
    <n v="-89.194299999999998"/>
    <n v="3"/>
    <n v="0"/>
    <n v="0"/>
    <n v="107"/>
    <s v="_x0000_peopl"/>
  </r>
  <r>
    <x v="6"/>
    <n v="13.6921"/>
    <n v="-89.1798"/>
    <n v="7"/>
    <n v="0"/>
    <n v="0"/>
    <n v="107"/>
    <s v="_x0000_peopl"/>
  </r>
  <r>
    <x v="6"/>
    <n v="13.692399999999999"/>
    <n v="-89.1768"/>
    <n v="5"/>
    <n v="0"/>
    <n v="0"/>
    <n v="107"/>
    <s v="_x0000_peopl"/>
  </r>
  <r>
    <x v="6"/>
    <n v="13.691599999999999"/>
    <n v="-89.185500000000005"/>
    <n v="6"/>
    <n v="0"/>
    <n v="0"/>
    <n v="107"/>
    <s v="_x0000_peopl"/>
  </r>
  <r>
    <x v="6"/>
    <n v="13.687200000000001"/>
    <n v="-89.205399999999997"/>
    <n v="6"/>
    <n v="0"/>
    <n v="0"/>
    <n v="107"/>
    <s v="_x0000_peopl"/>
  </r>
  <r>
    <x v="6"/>
    <n v="13.674099999999999"/>
    <n v="-89.202200000000005"/>
    <n v="6"/>
    <n v="0"/>
    <n v="0"/>
    <n v="107"/>
    <s v="_x0000_peopl"/>
  </r>
  <r>
    <x v="6"/>
    <n v="13.686199999999999"/>
    <n v="-89.212900000000005"/>
    <n v="4"/>
    <n v="0"/>
    <n v="0"/>
    <n v="107"/>
    <s v="_x0000_peopl"/>
  </r>
  <r>
    <x v="6"/>
    <n v="13.689"/>
    <n v="-89.190100000000001"/>
    <n v="7"/>
    <n v="0"/>
    <n v="0"/>
    <n v="107"/>
    <s v="_x0000_peopl"/>
  </r>
  <r>
    <x v="6"/>
    <n v="13.690899999999999"/>
    <n v="-89.233099999999993"/>
    <n v="3"/>
    <n v="0"/>
    <n v="0"/>
    <n v="107"/>
    <s v="_x0000_peopl"/>
  </r>
  <r>
    <x v="6"/>
    <n v="13.691700000000001"/>
    <n v="-89.1815"/>
    <n v="4"/>
    <n v="0"/>
    <n v="0"/>
    <n v="107"/>
    <s v="_x0000_peopl"/>
  </r>
  <r>
    <x v="6"/>
    <n v="13.674899999999999"/>
    <n v="-89.251499999999993"/>
    <n v="2"/>
    <n v="0"/>
    <n v="0"/>
    <n v="107"/>
    <s v="_x0000_peopl"/>
  </r>
  <r>
    <x v="6"/>
    <n v="13.6937"/>
    <n v="-89.190299999999993"/>
    <n v="4"/>
    <n v="0"/>
    <n v="0"/>
    <n v="107"/>
    <s v="_x0000_peopl"/>
  </r>
  <r>
    <x v="6"/>
    <n v="13.6957"/>
    <n v="-89.172700000000006"/>
    <n v="2"/>
    <n v="0"/>
    <n v="0"/>
    <n v="107"/>
    <s v="_x0000_peopl"/>
  </r>
  <r>
    <x v="6"/>
    <n v="13.687099999999999"/>
    <n v="-89.194699999999997"/>
    <n v="10"/>
    <n v="0"/>
    <n v="0"/>
    <n v="107"/>
    <s v="_x0000_peopl"/>
  </r>
  <r>
    <x v="6"/>
    <n v="13.6889"/>
    <n v="-89.229699999999994"/>
    <n v="3"/>
    <n v="0"/>
    <n v="0"/>
    <n v="107"/>
    <s v="_x0000_peopl"/>
  </r>
  <r>
    <x v="6"/>
    <n v="13.691599999999999"/>
    <n v="-89.183199999999999"/>
    <n v="4"/>
    <n v="0"/>
    <n v="0"/>
    <n v="107"/>
    <s v="_x0000_peopl"/>
  </r>
  <r>
    <x v="6"/>
    <n v="13.690899999999999"/>
    <n v="-89.233199999999997"/>
    <n v="4"/>
    <n v="0"/>
    <n v="0"/>
    <n v="107"/>
    <s v="_x0000_peopl"/>
  </r>
  <r>
    <x v="6"/>
    <n v="13.692299999999999"/>
    <n v="-89.174999999999997"/>
    <n v="10"/>
    <n v="0"/>
    <n v="0"/>
    <n v="107"/>
    <s v="_x0000_peopl"/>
  </r>
  <r>
    <x v="6"/>
    <n v="13.6897"/>
    <n v="-89.1935"/>
    <n v="6"/>
    <n v="0"/>
    <n v="0"/>
    <n v="107"/>
    <s v="_x0000_peopl"/>
  </r>
  <r>
    <x v="6"/>
    <n v="13.691599999999999"/>
    <n v="-89.234499999999997"/>
    <n v="2"/>
    <n v="0"/>
    <n v="0"/>
    <n v="107"/>
    <s v="_x0000_peopl"/>
  </r>
  <r>
    <x v="6"/>
    <n v="13.684900000000001"/>
    <n v="-89.216700000000003"/>
    <n v="4"/>
    <n v="0"/>
    <n v="0"/>
    <n v="107"/>
    <s v="_x0000_peopl"/>
  </r>
  <r>
    <x v="6"/>
    <n v="13.6898"/>
    <n v="-89.193899999999999"/>
    <n v="5"/>
    <n v="0"/>
    <n v="0"/>
    <n v="107"/>
    <s v="_x0000_peopl"/>
  </r>
  <r>
    <x v="6"/>
    <n v="13.6936"/>
    <n v="-89.175600000000003"/>
    <n v="2"/>
    <n v="0"/>
    <n v="0"/>
    <n v="107"/>
    <s v="_x0000_peopl"/>
  </r>
  <r>
    <x v="6"/>
    <n v="13.6869"/>
    <n v="-89.194400000000002"/>
    <n v="3"/>
    <n v="0"/>
    <n v="0"/>
    <n v="107"/>
    <s v="_x0000_peopl"/>
  </r>
  <r>
    <x v="6"/>
    <n v="13.6852"/>
    <n v="-89.211200000000005"/>
    <n v="5"/>
    <n v="0"/>
    <n v="0"/>
    <n v="107"/>
    <s v="_x0000_peopl"/>
  </r>
  <r>
    <x v="6"/>
    <n v="13.6889"/>
    <n v="-89.214500000000001"/>
    <n v="7"/>
    <n v="0"/>
    <n v="0"/>
    <n v="107"/>
    <s v="_x0000_peopl"/>
  </r>
  <r>
    <x v="6"/>
    <n v="13.691599999999999"/>
    <n v="-89.232699999999994"/>
    <n v="6"/>
    <n v="0"/>
    <n v="0"/>
    <n v="107"/>
    <s v="_x0000_peopl"/>
  </r>
  <r>
    <x v="6"/>
    <n v="13.691700000000001"/>
    <n v="-89.186499999999995"/>
    <n v="6"/>
    <n v="0"/>
    <n v="0"/>
    <n v="107"/>
    <s v="_x0000_peopl"/>
  </r>
  <r>
    <x v="6"/>
    <n v="13.686199999999999"/>
    <n v="-89.203699999999998"/>
    <n v="7"/>
    <n v="0"/>
    <n v="0"/>
    <n v="107"/>
    <s v="_x0000_peopl"/>
  </r>
  <r>
    <x v="6"/>
    <n v="13.6911"/>
    <n v="-89.234499999999997"/>
    <n v="7"/>
    <n v="0"/>
    <n v="0"/>
    <n v="107"/>
    <s v="_x0000_peopl"/>
  </r>
  <r>
    <x v="6"/>
    <n v="13.6899"/>
    <n v="-89.194100000000006"/>
    <n v="5"/>
    <n v="0"/>
    <n v="0"/>
    <n v="107"/>
    <s v="_x0000_peopl"/>
  </r>
  <r>
    <x v="6"/>
    <n v="13.687200000000001"/>
    <n v="-89.195800000000006"/>
    <n v="2"/>
    <n v="0"/>
    <n v="0"/>
    <n v="107"/>
    <s v="_x0000_peopl"/>
  </r>
  <r>
    <x v="6"/>
    <n v="13.686"/>
    <n v="-89.201099999999997"/>
    <n v="1"/>
    <n v="0"/>
    <n v="0"/>
    <n v="107"/>
    <s v="_x0000_peopl"/>
  </r>
  <r>
    <x v="6"/>
    <n v="13.685"/>
    <n v="-89.216499999999996"/>
    <n v="6"/>
    <n v="0"/>
    <n v="0"/>
    <n v="107"/>
    <s v="_x0000_peopl"/>
  </r>
  <r>
    <x v="6"/>
    <n v="13.6851"/>
    <n v="-89.217200000000005"/>
    <n v="6"/>
    <n v="0"/>
    <n v="0"/>
    <n v="107"/>
    <s v="_x0000_peopl"/>
  </r>
  <r>
    <x v="6"/>
    <n v="13.692500000000001"/>
    <n v="-89.226500000000001"/>
    <n v="8"/>
    <n v="0"/>
    <n v="0"/>
    <n v="107"/>
    <s v="_x0000_peopl"/>
  </r>
  <r>
    <x v="6"/>
    <n v="13.6898"/>
    <n v="-89.193799999999996"/>
    <n v="7"/>
    <n v="0"/>
    <n v="0"/>
    <n v="107"/>
    <s v="_x0000_peopl"/>
  </r>
  <r>
    <x v="6"/>
    <n v="13.6944"/>
    <n v="-89.1751"/>
    <n v="6"/>
    <n v="0"/>
    <n v="0"/>
    <n v="107"/>
    <s v="_x0000_peopl"/>
  </r>
  <r>
    <x v="6"/>
    <n v="13.691800000000001"/>
    <n v="-89.221299999999999"/>
    <n v="9"/>
    <n v="0"/>
    <n v="0"/>
    <n v="107"/>
    <s v="_x0000_peopl"/>
  </r>
  <r>
    <x v="6"/>
    <n v="13.685700000000001"/>
    <n v="-89.204400000000007"/>
    <n v="2"/>
    <n v="0"/>
    <n v="0"/>
    <n v="107"/>
    <s v="_x0000_peopl"/>
  </r>
  <r>
    <x v="6"/>
    <n v="13.6745"/>
    <n v="-89.251300000000001"/>
    <n v="4"/>
    <n v="0"/>
    <n v="0"/>
    <n v="107"/>
    <s v="_x0000_peopl"/>
  </r>
  <r>
    <x v="6"/>
    <n v="13.688700000000001"/>
    <n v="-89.216700000000003"/>
    <n v="7"/>
    <n v="0"/>
    <n v="0"/>
    <n v="107"/>
    <s v="_x0000_peopl"/>
  </r>
  <r>
    <x v="6"/>
    <n v="13.68"/>
    <n v="-89.194599999999994"/>
    <n v="6"/>
    <n v="0"/>
    <n v="0"/>
    <n v="107"/>
    <s v="_x0000_peopl"/>
  </r>
  <r>
    <x v="6"/>
    <n v="13.6921"/>
    <n v="-89.175799999999995"/>
    <n v="4"/>
    <n v="0"/>
    <n v="0"/>
    <n v="107"/>
    <s v="_x0000_peopl"/>
  </r>
  <r>
    <x v="6"/>
    <n v="13.6913"/>
    <n v="-89.220299999999995"/>
    <n v="9"/>
    <n v="0"/>
    <n v="0"/>
    <n v="107"/>
    <s v="_x0000_peopl"/>
  </r>
  <r>
    <x v="6"/>
    <n v="13.6945"/>
    <n v="-89.183199999999999"/>
    <n v="5"/>
    <n v="0"/>
    <n v="0"/>
    <n v="107"/>
    <s v="_x0000_peopl"/>
  </r>
  <r>
    <x v="6"/>
    <n v="13.690200000000001"/>
    <n v="-89.235500000000002"/>
    <n v="6"/>
    <n v="0"/>
    <n v="0"/>
    <n v="107"/>
    <s v="_x0000_peopl"/>
  </r>
  <r>
    <x v="6"/>
    <n v="13.6873"/>
    <n v="-89.181200000000004"/>
    <n v="2"/>
    <n v="0"/>
    <n v="0"/>
    <n v="107"/>
    <s v="_x0000_peopl"/>
  </r>
  <r>
    <x v="6"/>
    <n v="13.6945"/>
    <n v="-89.174999999999997"/>
    <n v="3"/>
    <n v="0"/>
    <n v="0"/>
    <n v="107"/>
    <s v="_x0000_peopl"/>
  </r>
  <r>
    <x v="6"/>
    <n v="13.687200000000001"/>
    <n v="-89.196399999999997"/>
    <n v="7"/>
    <n v="0"/>
    <n v="0"/>
    <n v="107"/>
    <s v="_x0000_peopl"/>
  </r>
  <r>
    <x v="6"/>
    <n v="13.6873"/>
    <n v="-89.197900000000004"/>
    <n v="2"/>
    <n v="0"/>
    <n v="0"/>
    <n v="107"/>
    <s v="_x0000_peopl"/>
  </r>
  <r>
    <x v="6"/>
    <n v="13.6945"/>
    <n v="-89.185500000000005"/>
    <n v="0"/>
    <n v="0"/>
    <n v="0"/>
    <n v="107"/>
    <s v="_x0000_peopl"/>
  </r>
  <r>
    <x v="6"/>
    <n v="13.677099999999999"/>
    <n v="-89.247900000000001"/>
    <n v="5"/>
    <n v="0"/>
    <n v="0"/>
    <n v="107"/>
    <s v="_x0000_peopl"/>
  </r>
  <r>
    <x v="6"/>
    <n v="13.689299999999999"/>
    <n v="-89.235600000000005"/>
    <n v="3"/>
    <n v="0"/>
    <n v="0"/>
    <n v="107"/>
    <s v="_x0000_peopl"/>
  </r>
  <r>
    <x v="6"/>
    <n v="13.6884"/>
    <n v="-89.229900000000001"/>
    <n v="4"/>
    <n v="0"/>
    <n v="0"/>
    <n v="107"/>
    <s v="_x0000_peopl"/>
  </r>
  <r>
    <x v="6"/>
    <n v="13.6921"/>
    <n v="-89.193100000000001"/>
    <n v="6"/>
    <n v="0"/>
    <n v="0"/>
    <n v="107"/>
    <s v="_x0000_peopl"/>
  </r>
  <r>
    <x v="6"/>
    <n v="13.6942"/>
    <n v="-89.185500000000005"/>
    <n v="4"/>
    <n v="0"/>
    <n v="0"/>
    <n v="107"/>
    <s v="_x0000_peopl"/>
  </r>
  <r>
    <x v="6"/>
    <n v="13.6905"/>
    <n v="-89.177499999999995"/>
    <n v="6"/>
    <n v="0"/>
    <n v="0"/>
    <n v="107"/>
    <s v="_x0000_peopl"/>
  </r>
  <r>
    <x v="6"/>
    <n v="13.692399999999999"/>
    <n v="-89.197000000000003"/>
    <n v="6"/>
    <n v="0"/>
    <n v="0"/>
    <n v="107"/>
    <s v="_x0000_peopl"/>
  </r>
  <r>
    <x v="6"/>
    <n v="13.688499999999999"/>
    <n v="-89.2042"/>
    <n v="5"/>
    <n v="0"/>
    <n v="0"/>
    <n v="107"/>
    <s v="_x0000_peopl"/>
  </r>
  <r>
    <x v="6"/>
    <n v="13.6884"/>
    <n v="-89.189899999999994"/>
    <n v="4"/>
    <n v="0"/>
    <n v="0"/>
    <n v="107"/>
    <s v="_x0000_peopl"/>
  </r>
  <r>
    <x v="6"/>
    <n v="13.6914"/>
    <n v="-89.234999999999999"/>
    <n v="6"/>
    <n v="0"/>
    <n v="0"/>
    <n v="107"/>
    <s v="_x0000_peopl"/>
  </r>
  <r>
    <x v="6"/>
    <n v="13.689500000000001"/>
    <n v="-89.229600000000005"/>
    <n v="3"/>
    <n v="0"/>
    <n v="0"/>
    <n v="107"/>
    <s v="_x0000_peopl"/>
  </r>
  <r>
    <x v="6"/>
    <n v="13.691599999999999"/>
    <n v="-89.179599999999994"/>
    <n v="9"/>
    <n v="0"/>
    <n v="0"/>
    <n v="107"/>
    <s v="_x0000_peopl"/>
  </r>
  <r>
    <x v="6"/>
    <n v="13.692600000000001"/>
    <n v="-89.225099999999998"/>
    <n v="4"/>
    <n v="0"/>
    <n v="0"/>
    <n v="107"/>
    <s v="_x0000_peopl"/>
  </r>
  <r>
    <x v="6"/>
    <n v="13.6858"/>
    <n v="-89.211200000000005"/>
    <n v="3"/>
    <n v="0"/>
    <n v="0"/>
    <n v="107"/>
    <s v="_x0000_peopl"/>
  </r>
  <r>
    <x v="6"/>
    <n v="13.690099999999999"/>
    <n v="-89.236199999999997"/>
    <n v="4"/>
    <n v="0"/>
    <n v="0"/>
    <n v="107"/>
    <s v="_x0000_peopl"/>
  </r>
  <r>
    <x v="6"/>
    <n v="13.689"/>
    <n v="-89.215500000000006"/>
    <n v="2"/>
    <n v="0"/>
    <n v="0"/>
    <n v="107"/>
    <s v="_x0000_peopl"/>
  </r>
  <r>
    <x v="6"/>
    <n v="13.696400000000001"/>
    <n v="-89.172499999999999"/>
    <n v="3"/>
    <n v="0"/>
    <n v="0"/>
    <n v="107"/>
    <s v="_x0000_peopl"/>
  </r>
  <r>
    <x v="6"/>
    <n v="13.686299999999999"/>
    <n v="-89.212100000000007"/>
    <n v="8"/>
    <n v="0"/>
    <n v="0"/>
    <n v="107"/>
    <s v="_x0000_peopl"/>
  </r>
  <r>
    <x v="6"/>
    <n v="13.692600000000001"/>
    <n v="-89.224500000000006"/>
    <n v="8"/>
    <n v="0"/>
    <n v="0"/>
    <n v="107"/>
    <s v="_x0000_peopl"/>
  </r>
  <r>
    <x v="6"/>
    <n v="13.6904"/>
    <n v="-89.227999999999994"/>
    <n v="5"/>
    <n v="0"/>
    <n v="0"/>
    <n v="107"/>
    <s v="_x0000_peopl"/>
  </r>
  <r>
    <x v="6"/>
    <n v="13.6966"/>
    <n v="-89.171999999999997"/>
    <n v="6"/>
    <n v="0"/>
    <n v="0"/>
    <n v="107"/>
    <s v="_x0000_peopl"/>
  </r>
  <r>
    <x v="6"/>
    <n v="13.6928"/>
    <n v="-89.225399999999993"/>
    <n v="8"/>
    <n v="0"/>
    <n v="0"/>
    <n v="107"/>
    <s v="_x0000_peopl"/>
  </r>
  <r>
    <x v="6"/>
    <n v="13.689"/>
    <n v="-89.1905"/>
    <n v="6"/>
    <n v="0"/>
    <n v="0"/>
    <n v="107"/>
    <s v="_x0000_peopl"/>
  </r>
  <r>
    <x v="6"/>
    <n v="13.6911"/>
    <n v="-89.179299999999998"/>
    <n v="3"/>
    <n v="0"/>
    <n v="0"/>
    <n v="107"/>
    <s v="_x0000_peopl"/>
  </r>
  <r>
    <x v="6"/>
    <n v="13.690799999999999"/>
    <n v="-89.189300000000003"/>
    <n v="4"/>
    <n v="0"/>
    <n v="0"/>
    <n v="107"/>
    <s v="_x0000_peopl"/>
  </r>
  <r>
    <x v="6"/>
    <n v="13.691000000000001"/>
    <n v="-89.186300000000003"/>
    <n v="8"/>
    <n v="0"/>
    <n v="0"/>
    <n v="107"/>
    <s v="_x0000_peopl"/>
  </r>
  <r>
    <x v="6"/>
    <n v="13.687099999999999"/>
    <n v="-89.193700000000007"/>
    <n v="8"/>
    <n v="0"/>
    <n v="0"/>
    <n v="107"/>
    <s v="_x0000_peopl"/>
  </r>
  <r>
    <x v="6"/>
    <n v="13.692600000000001"/>
    <n v="-89.179100000000005"/>
    <n v="3"/>
    <n v="0"/>
    <n v="0"/>
    <n v="107"/>
    <s v="_x0000_peopl"/>
  </r>
  <r>
    <x v="6"/>
    <n v="13.6747"/>
    <n v="-89.199299999999994"/>
    <n v="5"/>
    <n v="0"/>
    <n v="0"/>
    <n v="107"/>
    <s v="_x0000_peopl"/>
  </r>
  <r>
    <x v="6"/>
    <n v="13.6858"/>
    <n v="-89.213300000000004"/>
    <n v="5"/>
    <n v="0"/>
    <n v="0"/>
    <n v="107"/>
    <s v="_x0000_peopl"/>
  </r>
  <r>
    <x v="6"/>
    <n v="13.6904"/>
    <n v="-89.186999999999998"/>
    <n v="2"/>
    <n v="0"/>
    <n v="0"/>
    <n v="107"/>
    <s v="_x0000_peopl"/>
  </r>
  <r>
    <x v="6"/>
    <n v="13.687099999999999"/>
    <n v="-89.194599999999994"/>
    <n v="7"/>
    <n v="0"/>
    <n v="0"/>
    <n v="107"/>
    <s v="_x0000_peopl"/>
  </r>
  <r>
    <x v="6"/>
    <n v="13.6945"/>
    <n v="-89.172499999999999"/>
    <n v="3"/>
    <n v="0"/>
    <n v="0"/>
    <n v="107"/>
    <s v="_x0000_peopl"/>
  </r>
  <r>
    <x v="6"/>
    <n v="13.6915"/>
    <n v="-89.185299999999998"/>
    <n v="9"/>
    <n v="0"/>
    <n v="0"/>
    <n v="107"/>
    <s v="_x0000_peopl"/>
  </r>
  <r>
    <x v="6"/>
    <n v="13.694800000000001"/>
    <n v="-89.186300000000003"/>
    <n v="7"/>
    <n v="0"/>
    <n v="0"/>
    <n v="107"/>
    <s v="_x0000_peopl"/>
  </r>
  <r>
    <x v="6"/>
    <n v="13.674899999999999"/>
    <n v="-89.250299999999996"/>
    <n v="8"/>
    <n v="0"/>
    <n v="0"/>
    <n v="107"/>
    <s v="_x0000_peopl"/>
  </r>
  <r>
    <x v="6"/>
    <n v="13.692399999999999"/>
    <n v="-89.184899999999999"/>
    <n v="3"/>
    <n v="0"/>
    <n v="0"/>
    <n v="107"/>
    <s v="_x0000_peopl"/>
  </r>
  <r>
    <x v="6"/>
    <n v="13.6854"/>
    <n v="-89.212400000000002"/>
    <n v="3"/>
    <n v="0"/>
    <n v="0"/>
    <n v="107"/>
    <s v="_x0000_peopl"/>
  </r>
  <r>
    <x v="6"/>
    <n v="13.6921"/>
    <n v="-89.182900000000004"/>
    <n v="0"/>
    <n v="0"/>
    <n v="0"/>
    <n v="107"/>
    <s v="_x0000_peopl"/>
  </r>
  <r>
    <x v="6"/>
    <n v="13.692"/>
    <n v="-89.176100000000005"/>
    <n v="10"/>
    <n v="0"/>
    <n v="0"/>
    <n v="107"/>
    <s v="_x0000_peopl"/>
  </r>
  <r>
    <x v="6"/>
    <n v="13.689399999999999"/>
    <n v="-89.184200000000004"/>
    <n v="3"/>
    <n v="0"/>
    <n v="0"/>
    <n v="107"/>
    <s v="_x0000_peopl"/>
  </r>
  <r>
    <x v="6"/>
    <n v="13.6922"/>
    <n v="-89.193600000000004"/>
    <n v="6"/>
    <n v="0"/>
    <n v="0"/>
    <n v="107"/>
    <s v="_x0000_peopl"/>
  </r>
  <r>
    <x v="6"/>
    <n v="13.6896"/>
    <n v="-89.235900000000001"/>
    <n v="6"/>
    <n v="0"/>
    <n v="0"/>
    <n v="107"/>
    <s v="_x0000_peopl"/>
  </r>
  <r>
    <x v="6"/>
    <n v="13.6975"/>
    <n v="-89.171599999999998"/>
    <n v="6"/>
    <n v="0"/>
    <n v="0"/>
    <n v="107"/>
    <s v="_x0000_peopl"/>
  </r>
  <r>
    <x v="6"/>
    <n v="13.6882"/>
    <n v="-89.190200000000004"/>
    <n v="4"/>
    <n v="0"/>
    <n v="0"/>
    <n v="107"/>
    <s v="_x0000_peopl"/>
  </r>
  <r>
    <x v="6"/>
    <n v="13.689399999999999"/>
    <n v="-89.235900000000001"/>
    <n v="7"/>
    <n v="0"/>
    <n v="0"/>
    <n v="107"/>
    <s v="_x0000_peopl"/>
  </r>
  <r>
    <x v="6"/>
    <n v="13.6753"/>
    <n v="-89.25"/>
    <n v="4"/>
    <n v="0"/>
    <n v="0"/>
    <n v="107"/>
    <s v="_x0000_peopl"/>
  </r>
  <r>
    <x v="6"/>
    <n v="13.6952"/>
    <n v="-89.174199999999999"/>
    <n v="4"/>
    <n v="0"/>
    <n v="0"/>
    <n v="107"/>
    <s v="_x0000_peopl"/>
  </r>
  <r>
    <x v="6"/>
    <n v="13.675000000000001"/>
    <n v="-89.202299999999994"/>
    <n v="6"/>
    <n v="0"/>
    <n v="0"/>
    <n v="107"/>
    <s v="_x0000_peopl"/>
  </r>
  <r>
    <x v="6"/>
    <n v="13.6881"/>
    <n v="-89.198599999999999"/>
    <n v="4"/>
    <n v="0"/>
    <n v="0"/>
    <n v="107"/>
    <s v="_x0000_peopl"/>
  </r>
  <r>
    <x v="6"/>
    <n v="13.674799999999999"/>
    <n v="-89.249700000000004"/>
    <n v="4"/>
    <n v="0"/>
    <n v="0"/>
    <n v="107"/>
    <s v="_x0000_peopl"/>
  </r>
  <r>
    <x v="6"/>
    <n v="13.687200000000001"/>
    <n v="-89.1965"/>
    <n v="4"/>
    <n v="0"/>
    <n v="0"/>
    <n v="107"/>
    <s v="_x0000_peopl"/>
  </r>
  <r>
    <x v="6"/>
    <n v="13.6876"/>
    <n v="-89.204800000000006"/>
    <n v="7"/>
    <n v="0"/>
    <n v="0"/>
    <n v="107"/>
    <s v="_x0000_peopl"/>
  </r>
  <r>
    <x v="6"/>
    <n v="13.691000000000001"/>
    <n v="-89.235900000000001"/>
    <n v="3"/>
    <n v="0"/>
    <n v="0"/>
    <n v="107"/>
    <s v="_x0000_peopl"/>
  </r>
  <r>
    <x v="6"/>
    <n v="13.6911"/>
    <n v="-89.226799999999997"/>
    <n v="4"/>
    <n v="0"/>
    <n v="0"/>
    <n v="107"/>
    <s v="_x0000_peopl"/>
  </r>
  <r>
    <x v="6"/>
    <n v="13.687200000000001"/>
    <n v="-89.193600000000004"/>
    <n v="4"/>
    <n v="0"/>
    <n v="0"/>
    <n v="107"/>
    <s v="_x0000_peopl"/>
  </r>
  <r>
    <x v="6"/>
    <n v="13.691000000000001"/>
    <n v="-89.230999999999995"/>
    <n v="4"/>
    <n v="0"/>
    <n v="0"/>
    <n v="107"/>
    <s v="_x0000_peopl"/>
  </r>
  <r>
    <x v="6"/>
    <n v="13.689399999999999"/>
    <n v="-89.206400000000002"/>
    <n v="5"/>
    <n v="0"/>
    <n v="0"/>
    <n v="107"/>
    <s v="_x0000_peopl"/>
  </r>
  <r>
    <x v="6"/>
    <n v="13.693199999999999"/>
    <n v="-89.176400000000001"/>
    <n v="5"/>
    <n v="0"/>
    <n v="0"/>
    <n v="107"/>
    <s v="_x0000_peopl"/>
  </r>
  <r>
    <x v="6"/>
    <n v="13.691700000000001"/>
    <n v="-89.186400000000006"/>
    <n v="9"/>
    <n v="0"/>
    <n v="0"/>
    <n v="107"/>
    <s v="_x0000_peopl"/>
  </r>
  <r>
    <x v="6"/>
    <n v="13.6928"/>
    <n v="-89.225399999999993"/>
    <n v="11"/>
    <n v="0"/>
    <n v="0"/>
    <n v="107"/>
    <s v="_x0000_peopl"/>
  </r>
  <r>
    <x v="6"/>
    <n v="13.6747"/>
    <n v="-89.249499999999998"/>
    <n v="5"/>
    <n v="0"/>
    <n v="0"/>
    <n v="107"/>
    <s v="_x0000_peopl"/>
  </r>
  <r>
    <x v="6"/>
    <n v="13.6907"/>
    <n v="-89.235100000000003"/>
    <n v="8"/>
    <n v="0"/>
    <n v="0"/>
    <n v="107"/>
    <s v="_x0000_peopl"/>
  </r>
  <r>
    <x v="6"/>
    <n v="13.6914"/>
    <n v="-89.234300000000005"/>
    <n v="3"/>
    <n v="0"/>
    <n v="0"/>
    <n v="107"/>
    <s v="_x0000_peopl"/>
  </r>
  <r>
    <x v="6"/>
    <n v="13.688000000000001"/>
    <n v="-89.215400000000002"/>
    <n v="7"/>
    <n v="0"/>
    <n v="0"/>
    <n v="107"/>
    <s v="_x0000_peopl"/>
  </r>
  <r>
    <x v="6"/>
    <n v="13.692399999999999"/>
    <n v="-89.226200000000006"/>
    <n v="5"/>
    <n v="0"/>
    <n v="0"/>
    <n v="107"/>
    <s v="_x0000_peopl"/>
  </r>
  <r>
    <x v="6"/>
    <n v="13.690799999999999"/>
    <n v="-89.1952"/>
    <n v="7"/>
    <n v="0"/>
    <n v="0"/>
    <n v="107"/>
    <s v="_x0000_peopl"/>
  </r>
  <r>
    <x v="6"/>
    <n v="13.687900000000001"/>
    <n v="-89.205399999999997"/>
    <n v="1"/>
    <n v="0"/>
    <n v="0"/>
    <n v="107"/>
    <s v="_x0000_peopl"/>
  </r>
  <r>
    <x v="6"/>
    <n v="13.687200000000001"/>
    <n v="-89.197400000000002"/>
    <n v="4"/>
    <n v="0"/>
    <n v="0"/>
    <n v="107"/>
    <s v="_x0000_peopl"/>
  </r>
  <r>
    <x v="6"/>
    <n v="13.6884"/>
    <n v="-89.1982"/>
    <n v="7"/>
    <n v="0"/>
    <n v="0"/>
    <n v="107"/>
    <s v="_x0000_peopl"/>
  </r>
  <r>
    <x v="6"/>
    <n v="13.6911"/>
    <n v="-89.233000000000004"/>
    <n v="7"/>
    <n v="0"/>
    <n v="0"/>
    <n v="107"/>
    <s v="_x0000_peopl"/>
  </r>
  <r>
    <x v="6"/>
    <n v="13.6915"/>
    <n v="-89.225800000000007"/>
    <n v="8"/>
    <n v="0"/>
    <n v="0"/>
    <n v="107"/>
    <s v="_x0000_peopl"/>
  </r>
  <r>
    <x v="6"/>
    <n v="13.6896"/>
    <n v="-89.185500000000005"/>
    <n v="5"/>
    <n v="0"/>
    <n v="0"/>
    <n v="107"/>
    <s v="_x0000_peopl"/>
  </r>
  <r>
    <x v="6"/>
    <n v="13.6906"/>
    <n v="-89.185299999999998"/>
    <n v="5"/>
    <n v="0"/>
    <n v="0"/>
    <n v="107"/>
    <s v="_x0000_peopl"/>
  </r>
  <r>
    <x v="6"/>
    <n v="13.692500000000001"/>
    <n v="-89.225999999999999"/>
    <n v="2"/>
    <n v="0"/>
    <n v="0"/>
    <n v="107"/>
    <s v="_x0000_peopl"/>
  </r>
  <r>
    <x v="6"/>
    <n v="13.6915"/>
    <n v="-89.179400000000001"/>
    <n v="8"/>
    <n v="0"/>
    <n v="0"/>
    <n v="107"/>
    <s v="_x0000_peopl"/>
  </r>
  <r>
    <x v="6"/>
    <n v="13.686400000000001"/>
    <n v="-89.1935"/>
    <n v="7"/>
    <n v="0"/>
    <n v="0"/>
    <n v="107"/>
    <s v="_x0000_peopl"/>
  </r>
  <r>
    <x v="6"/>
    <n v="13.691000000000001"/>
    <n v="-89.229399999999998"/>
    <n v="4"/>
    <n v="0"/>
    <n v="0"/>
    <n v="107"/>
    <s v="_x0000_peopl"/>
  </r>
  <r>
    <x v="6"/>
    <n v="13.686999999999999"/>
    <n v="-89.194699999999997"/>
    <n v="6"/>
    <n v="0"/>
    <n v="0"/>
    <n v="107"/>
    <s v="_x0000_peopl"/>
  </r>
  <r>
    <x v="6"/>
    <n v="13.6907"/>
    <n v="-89.195300000000003"/>
    <n v="4"/>
    <n v="0"/>
    <n v="0"/>
    <n v="107"/>
    <s v="_x0000_peopl"/>
  </r>
  <r>
    <x v="6"/>
    <n v="13.6775"/>
    <n v="-89.247399999999999"/>
    <n v="3"/>
    <n v="0"/>
    <n v="0"/>
    <n v="107"/>
    <s v="_x0000_peopl"/>
  </r>
  <r>
    <x v="6"/>
    <n v="13.6958"/>
    <n v="-89.172700000000006"/>
    <n v="6"/>
    <n v="0"/>
    <n v="0"/>
    <n v="107"/>
    <s v="_x0000_peopl"/>
  </r>
  <r>
    <x v="6"/>
    <n v="13.6898"/>
    <n v="-89.179599999999994"/>
    <n v="9"/>
    <n v="0"/>
    <n v="0"/>
    <n v="107"/>
    <s v="_x0000_peopl"/>
  </r>
  <r>
    <x v="6"/>
    <n v="13.693300000000001"/>
    <n v="-89.183700000000002"/>
    <n v="3"/>
    <n v="0"/>
    <n v="0"/>
    <n v="107"/>
    <s v="_x0000_peopl"/>
  </r>
  <r>
    <x v="6"/>
    <n v="13.687200000000001"/>
    <n v="-89.197000000000003"/>
    <n v="4"/>
    <n v="0"/>
    <n v="0"/>
    <n v="107"/>
    <s v="_x0000_peopl"/>
  </r>
  <r>
    <x v="6"/>
    <n v="13.6896"/>
    <n v="-89.179199999999994"/>
    <n v="7"/>
    <n v="0"/>
    <n v="0"/>
    <n v="107"/>
    <s v="_x0000_peopl"/>
  </r>
  <r>
    <x v="6"/>
    <n v="13.689399999999999"/>
    <n v="-89.183800000000005"/>
    <n v="6"/>
    <n v="0"/>
    <n v="0"/>
    <n v="107"/>
    <s v="_x0000_peopl"/>
  </r>
  <r>
    <x v="6"/>
    <n v="13.6899"/>
    <n v="-89.228700000000003"/>
    <n v="2"/>
    <n v="0"/>
    <n v="0"/>
    <n v="107"/>
    <s v="_x0000_peopl"/>
  </r>
  <r>
    <x v="6"/>
    <n v="13.6968"/>
    <n v="-89.171899999999994"/>
    <n v="5"/>
    <n v="0"/>
    <n v="0"/>
    <n v="107"/>
    <s v="_x0000_peopl"/>
  </r>
  <r>
    <x v="6"/>
    <n v="13.6896"/>
    <n v="-89.180899999999994"/>
    <n v="6"/>
    <n v="0"/>
    <n v="0"/>
    <n v="107"/>
    <s v="_x0000_peopl"/>
  </r>
  <r>
    <x v="6"/>
    <n v="13.687099999999999"/>
    <n v="-89.198099999999997"/>
    <n v="5"/>
    <n v="0"/>
    <n v="0"/>
    <n v="107"/>
    <s v="_x0000_peopl"/>
  </r>
  <r>
    <x v="6"/>
    <n v="13.6869"/>
    <n v="-89.182000000000002"/>
    <n v="3"/>
    <n v="0"/>
    <n v="0"/>
    <n v="107"/>
    <s v="_x0000_peopl"/>
  </r>
  <r>
    <x v="6"/>
    <n v="13.6883"/>
    <n v="-89.1828"/>
    <n v="2"/>
    <n v="0"/>
    <n v="0"/>
    <n v="107"/>
    <s v="_x0000_peopl"/>
  </r>
  <r>
    <x v="6"/>
    <n v="13.685700000000001"/>
    <n v="-89.211399999999998"/>
    <n v="2"/>
    <n v="0"/>
    <n v="0"/>
    <n v="107"/>
    <s v="_x0000_peopl"/>
  </r>
  <r>
    <x v="6"/>
    <n v="13.690200000000001"/>
    <n v="-89.234800000000007"/>
    <n v="5"/>
    <n v="0"/>
    <n v="0"/>
    <n v="107"/>
    <s v="_x0000_peopl"/>
  </r>
  <r>
    <x v="6"/>
    <n v="13.6869"/>
    <n v="-89.212500000000006"/>
    <n v="4"/>
    <n v="0"/>
    <n v="0"/>
    <n v="107"/>
    <s v="_x0000_peopl"/>
  </r>
  <r>
    <x v="6"/>
    <n v="13.6943"/>
    <n v="-89.188900000000004"/>
    <n v="6"/>
    <n v="0"/>
    <n v="0"/>
    <n v="107"/>
    <s v="_x0000_peopl"/>
  </r>
  <r>
    <x v="6"/>
    <n v="13.6906"/>
    <n v="-89.194100000000006"/>
    <n v="4"/>
    <n v="0"/>
    <n v="0"/>
    <n v="107"/>
    <s v="_x0000_peopl"/>
  </r>
  <r>
    <x v="6"/>
    <n v="13.694800000000001"/>
    <n v="-89.182400000000001"/>
    <n v="7"/>
    <n v="0"/>
    <n v="0"/>
    <n v="107"/>
    <s v="_x0000_peopl"/>
  </r>
  <r>
    <x v="6"/>
    <n v="13.692399999999999"/>
    <n v="-89.223500000000001"/>
    <n v="8"/>
    <n v="0"/>
    <n v="0"/>
    <n v="107"/>
    <s v="_x0000_peopl"/>
  </r>
  <r>
    <x v="6"/>
    <n v="13.686999999999999"/>
    <n v="-89.197500000000005"/>
    <n v="2"/>
    <n v="0"/>
    <n v="0"/>
    <n v="107"/>
    <s v="_x0000_peopl"/>
  </r>
  <r>
    <x v="6"/>
    <n v="13.6724"/>
    <n v="-89.203999999999994"/>
    <n v="5"/>
    <n v="0"/>
    <n v="0"/>
    <n v="107"/>
    <s v="_x0000_peopl"/>
  </r>
  <r>
    <x v="6"/>
    <n v="13.691800000000001"/>
    <n v="-89.178899999999999"/>
    <n v="6"/>
    <n v="0"/>
    <n v="0"/>
    <n v="107"/>
    <s v="_x0000_peopl"/>
  </r>
  <r>
    <x v="6"/>
    <n v="13.692299999999999"/>
    <n v="-89.222499999999997"/>
    <n v="6"/>
    <n v="0"/>
    <n v="0"/>
    <n v="107"/>
    <s v="_x0000_peopl"/>
  </r>
  <r>
    <x v="6"/>
    <n v="13.6751"/>
    <n v="-89.250799999999998"/>
    <n v="7"/>
    <n v="0"/>
    <n v="0"/>
    <n v="107"/>
    <s v="_x0000_peopl"/>
  </r>
  <r>
    <x v="6"/>
    <n v="13.694599999999999"/>
    <n v="-89.174400000000006"/>
    <n v="7"/>
    <n v="0"/>
    <n v="0"/>
    <n v="107"/>
    <s v="_x0000_peopl"/>
  </r>
  <r>
    <x v="6"/>
    <n v="13.6851"/>
    <n v="-89.213300000000004"/>
    <n v="10"/>
    <n v="0"/>
    <n v="0"/>
    <n v="107"/>
    <s v="_x0000_peopl"/>
  </r>
  <r>
    <x v="6"/>
    <n v="13.690899999999999"/>
    <n v="-89.232900000000001"/>
    <n v="4"/>
    <n v="0"/>
    <n v="0"/>
    <n v="107"/>
    <s v="_x0000_peopl"/>
  </r>
  <r>
    <x v="6"/>
    <n v="13.692"/>
    <n v="-89.1798"/>
    <n v="5"/>
    <n v="0"/>
    <n v="0"/>
    <n v="107"/>
    <s v="_x0000_peopl"/>
  </r>
  <r>
    <x v="6"/>
    <n v="13.688499999999999"/>
    <n v="-89.198300000000003"/>
    <n v="12"/>
    <n v="0"/>
    <n v="0"/>
    <n v="107"/>
    <s v="_x0000_peopl"/>
  </r>
  <r>
    <x v="6"/>
    <n v="13.6906"/>
    <n v="-89.227900000000005"/>
    <n v="9"/>
    <n v="0"/>
    <n v="0"/>
    <n v="107"/>
    <s v="_x0000_peopl"/>
  </r>
  <r>
    <x v="6"/>
    <n v="13.6892"/>
    <n v="-89.207400000000007"/>
    <n v="2"/>
    <n v="0"/>
    <n v="0"/>
    <n v="107"/>
    <s v="_x0000_peopl"/>
  </r>
  <r>
    <x v="6"/>
    <n v="13.688700000000001"/>
    <n v="-89.181100000000001"/>
    <n v="2"/>
    <n v="0"/>
    <n v="0"/>
    <n v="107"/>
    <s v="_x0000_peopl"/>
  </r>
  <r>
    <x v="6"/>
    <n v="13.6883"/>
    <n v="-89.216999999999999"/>
    <n v="5"/>
    <n v="0"/>
    <n v="0"/>
    <n v="107"/>
    <s v="_x0000_peopl"/>
  </r>
  <r>
    <x v="6"/>
    <n v="13.6911"/>
    <n v="-89.198499999999996"/>
    <n v="8"/>
    <n v="0"/>
    <n v="0"/>
    <n v="107"/>
    <s v="_x0000_peopl"/>
  </r>
  <r>
    <x v="6"/>
    <n v="13.692299999999999"/>
    <n v="-89.174800000000005"/>
    <n v="3"/>
    <n v="0"/>
    <n v="0"/>
    <n v="107"/>
    <s v="_x0000_peopl"/>
  </r>
  <r>
    <x v="6"/>
    <n v="13.69"/>
    <n v="-89.193100000000001"/>
    <n v="9"/>
    <n v="0"/>
    <n v="0"/>
    <n v="107"/>
    <s v="_x0000_peopl"/>
  </r>
  <r>
    <x v="6"/>
    <n v="13.6896"/>
    <n v="-89.190600000000003"/>
    <n v="1"/>
    <n v="0"/>
    <n v="0"/>
    <n v="107"/>
    <s v="_x0000_peopl"/>
  </r>
  <r>
    <x v="6"/>
    <n v="13.6843"/>
    <n v="-89.216800000000006"/>
    <n v="4"/>
    <n v="0"/>
    <n v="0"/>
    <n v="107"/>
    <s v="_x0000_peopl"/>
  </r>
  <r>
    <x v="6"/>
    <n v="13.6905"/>
    <n v="-89.186599999999999"/>
    <n v="5"/>
    <n v="0"/>
    <n v="0"/>
    <n v="107"/>
    <s v="_x0000_peopl"/>
  </r>
  <r>
    <x v="6"/>
    <n v="13.690300000000001"/>
    <n v="-89.217200000000005"/>
    <n v="3"/>
    <n v="0"/>
    <n v="0"/>
    <n v="107"/>
    <s v="_x0000_peopl"/>
  </r>
  <r>
    <x v="6"/>
    <n v="13.6845"/>
    <n v="-89.213499999999996"/>
    <n v="6"/>
    <n v="0"/>
    <n v="0"/>
    <n v="107"/>
    <s v="_x0000_peopl"/>
  </r>
  <r>
    <x v="6"/>
    <n v="13.692"/>
    <n v="-89.1935"/>
    <n v="10"/>
    <n v="0"/>
    <n v="0"/>
    <n v="107"/>
    <s v="_x0000_peopl"/>
  </r>
  <r>
    <x v="6"/>
    <n v="13.691700000000001"/>
    <n v="-89.225399999999993"/>
    <n v="4"/>
    <n v="0"/>
    <n v="0"/>
    <n v="107"/>
    <s v="_x0000_peopl"/>
  </r>
  <r>
    <x v="6"/>
    <n v="13.687099999999999"/>
    <n v="-89.183499999999995"/>
    <n v="8"/>
    <n v="0"/>
    <n v="0"/>
    <n v="107"/>
    <s v="_x0000_peopl"/>
  </r>
  <r>
    <x v="6"/>
    <n v="13.6913"/>
    <n v="-89.226200000000006"/>
    <n v="5"/>
    <n v="0"/>
    <n v="0"/>
    <n v="107"/>
    <s v="_x0000_peopl"/>
  </r>
  <r>
    <x v="6"/>
    <n v="13.6938"/>
    <n v="-89.1755"/>
    <n v="5"/>
    <n v="0"/>
    <n v="0"/>
    <n v="107"/>
    <s v="_x0000_peopl"/>
  </r>
  <r>
    <x v="6"/>
    <n v="13.684799999999999"/>
    <n v="-89.212900000000005"/>
    <n v="4"/>
    <n v="0"/>
    <n v="0"/>
    <n v="107"/>
    <s v="_x0000_peopl"/>
  </r>
  <r>
    <x v="6"/>
    <n v="13.691000000000001"/>
    <n v="-89.228899999999996"/>
    <n v="5"/>
    <n v="0"/>
    <n v="0"/>
    <n v="107"/>
    <s v="_x0000_peopl"/>
  </r>
  <r>
    <x v="6"/>
    <n v="13.6877"/>
    <n v="-89.196600000000004"/>
    <n v="4"/>
    <n v="0"/>
    <n v="0"/>
    <n v="107"/>
    <s v="_x0000_peopl"/>
  </r>
  <r>
    <x v="6"/>
    <n v="13.6904"/>
    <n v="-89.194800000000001"/>
    <n v="2"/>
    <n v="0"/>
    <n v="0"/>
    <n v="107"/>
    <s v="_x0000_peopl"/>
  </r>
  <r>
    <x v="6"/>
    <n v="13.6919"/>
    <n v="-89.186000000000007"/>
    <n v="4"/>
    <n v="0"/>
    <n v="0"/>
    <n v="107"/>
    <s v="_x0000_peopl"/>
  </r>
  <r>
    <x v="6"/>
    <n v="13.6897"/>
    <n v="-89.189800000000005"/>
    <n v="1"/>
    <n v="0"/>
    <n v="0"/>
    <n v="107"/>
    <s v="_x0000_peopl"/>
  </r>
  <r>
    <x v="6"/>
    <n v="13.6896"/>
    <n v="-89.228999999999999"/>
    <n v="5"/>
    <n v="0"/>
    <n v="0"/>
    <n v="107"/>
    <s v="_x0000_peopl"/>
  </r>
  <r>
    <x v="6"/>
    <n v="13.689"/>
    <n v="-89.181299999999993"/>
    <n v="4"/>
    <n v="0"/>
    <n v="0"/>
    <n v="107"/>
    <s v="_x0000_peopl"/>
  </r>
  <r>
    <x v="6"/>
    <n v="13.692600000000001"/>
    <n v="-89.224400000000003"/>
    <n v="6"/>
    <n v="0"/>
    <n v="0"/>
    <n v="107"/>
    <s v="_x0000_peopl"/>
  </r>
  <r>
    <x v="6"/>
    <n v="13.687099999999999"/>
    <n v="-89.197100000000006"/>
    <n v="4"/>
    <n v="0"/>
    <n v="0"/>
    <n v="107"/>
    <s v="_x0000_peopl"/>
  </r>
  <r>
    <x v="6"/>
    <n v="13.690899999999999"/>
    <n v="-89.187399999999997"/>
    <n v="2"/>
    <n v="0"/>
    <n v="0"/>
    <n v="107"/>
    <s v="_x0000_peopl"/>
  </r>
  <r>
    <x v="6"/>
    <n v="13.6746"/>
    <n v="-89.250799999999998"/>
    <n v="6"/>
    <n v="0"/>
    <n v="0"/>
    <n v="107"/>
    <s v="_x0000_peopl"/>
  </r>
  <r>
    <x v="6"/>
    <n v="13.673999999999999"/>
    <n v="-89.2029"/>
    <n v="3"/>
    <n v="0"/>
    <n v="0"/>
    <n v="107"/>
    <s v="_x0000_peopl"/>
  </r>
  <r>
    <x v="6"/>
    <n v="13.6912"/>
    <n v="-89.219700000000003"/>
    <n v="7"/>
    <n v="0"/>
    <n v="0"/>
    <n v="107"/>
    <s v="_x0000_peopl"/>
  </r>
  <r>
    <x v="6"/>
    <n v="13.686"/>
    <n v="-89.216399999999993"/>
    <n v="4"/>
    <n v="0"/>
    <n v="0"/>
    <n v="107"/>
    <s v="_x0000_peopl"/>
  </r>
  <r>
    <x v="6"/>
    <n v="13.6899"/>
    <n v="-89.177599999999998"/>
    <n v="9"/>
    <n v="0"/>
    <n v="0"/>
    <n v="107"/>
    <s v="_x0000_peopl"/>
  </r>
  <r>
    <x v="6"/>
    <n v="13.685499999999999"/>
    <n v="-89.203199999999995"/>
    <n v="2"/>
    <n v="0"/>
    <n v="0"/>
    <n v="107"/>
    <s v="_x0000_peopl"/>
  </r>
  <r>
    <x v="6"/>
    <n v="13.6937"/>
    <n v="-89.186400000000006"/>
    <n v="5"/>
    <n v="0"/>
    <n v="0"/>
    <n v="107"/>
    <s v="_x0000_peopl"/>
  </r>
  <r>
    <x v="6"/>
    <n v="13.688599999999999"/>
    <n v="-89.198499999999996"/>
    <n v="6"/>
    <n v="0"/>
    <n v="0"/>
    <n v="107"/>
    <s v="_x0000_peopl"/>
  </r>
  <r>
    <x v="6"/>
    <n v="13.690799999999999"/>
    <n v="-89.219499999999996"/>
    <n v="6"/>
    <n v="0"/>
    <n v="0"/>
    <n v="107"/>
    <s v="_x0000_peopl"/>
  </r>
  <r>
    <x v="6"/>
    <n v="13.689"/>
    <n v="-89.228999999999999"/>
    <n v="5"/>
    <n v="0"/>
    <n v="0"/>
    <n v="107"/>
    <s v="_x0000_peopl"/>
  </r>
  <r>
    <x v="6"/>
    <n v="13.6936"/>
    <n v="-89.183300000000003"/>
    <n v="3"/>
    <n v="0"/>
    <n v="0"/>
    <n v="107"/>
    <s v="_x0000_peopl"/>
  </r>
  <r>
    <x v="6"/>
    <n v="13.6914"/>
    <n v="-89.188199999999995"/>
    <n v="6"/>
    <n v="0"/>
    <n v="0"/>
    <n v="107"/>
    <s v="_x0000_peopl"/>
  </r>
  <r>
    <x v="6"/>
    <n v="13.6898"/>
    <n v="-89.194000000000003"/>
    <n v="9"/>
    <n v="0"/>
    <n v="0"/>
    <n v="107"/>
    <s v="_x0000_peopl"/>
  </r>
  <r>
    <x v="6"/>
    <n v="13.688700000000001"/>
    <n v="-89.216200000000001"/>
    <n v="8"/>
    <n v="0"/>
    <n v="0"/>
    <n v="107"/>
    <s v="_x0000_peopl"/>
  </r>
  <r>
    <x v="6"/>
    <n v="13.6732"/>
    <n v="-89.204099999999997"/>
    <n v="10"/>
    <n v="0"/>
    <n v="0"/>
    <n v="107"/>
    <s v="_x0000_peopl"/>
  </r>
  <r>
    <x v="6"/>
    <n v="13.689399999999999"/>
    <n v="-89.235299999999995"/>
    <n v="4"/>
    <n v="0"/>
    <n v="0"/>
    <n v="107"/>
    <s v="_x0000_peopl"/>
  </r>
  <r>
    <x v="6"/>
    <n v="13.687099999999999"/>
    <n v="-89.197299999999998"/>
    <n v="2"/>
    <n v="0"/>
    <n v="0"/>
    <n v="107"/>
    <s v="_x0000_peopl"/>
  </r>
  <r>
    <x v="6"/>
    <n v="13.690200000000001"/>
    <n v="-89.188500000000005"/>
    <n v="3"/>
    <n v="0"/>
    <n v="0"/>
    <n v="107"/>
    <s v="_x0000_peopl"/>
  </r>
  <r>
    <x v="6"/>
    <n v="13.6869"/>
    <n v="-89.192800000000005"/>
    <n v="5"/>
    <n v="0"/>
    <n v="0"/>
    <n v="107"/>
    <s v="_x0000_peopl"/>
  </r>
  <r>
    <x v="6"/>
    <n v="13.691000000000001"/>
    <n v="-89.233000000000004"/>
    <n v="6"/>
    <n v="0"/>
    <n v="0"/>
    <n v="107"/>
    <s v="_x0000_peopl"/>
  </r>
  <r>
    <x v="6"/>
    <n v="13.6874"/>
    <n v="-89.193700000000007"/>
    <n v="5"/>
    <n v="0"/>
    <n v="0"/>
    <n v="107"/>
    <s v="_x0000_peopl"/>
  </r>
  <r>
    <x v="6"/>
    <n v="13.6869"/>
    <n v="-89.194299999999998"/>
    <n v="3"/>
    <n v="0"/>
    <n v="0"/>
    <n v="107"/>
    <s v="_x0000_peopl"/>
  </r>
  <r>
    <x v="6"/>
    <n v="13.689299999999999"/>
    <n v="-89.235900000000001"/>
    <n v="9"/>
    <n v="0"/>
    <n v="0"/>
    <n v="107"/>
    <s v="_x0000_peopl"/>
  </r>
  <r>
    <x v="6"/>
    <n v="13.6906"/>
    <n v="-89.233699999999999"/>
    <n v="9"/>
    <n v="0"/>
    <n v="0"/>
    <n v="107"/>
    <s v="_x0000_peopl"/>
  </r>
  <r>
    <x v="6"/>
    <n v="13.6891"/>
    <n v="-89.184700000000007"/>
    <n v="9"/>
    <n v="0"/>
    <n v="0"/>
    <n v="107"/>
    <s v="_x0000_peopl"/>
  </r>
  <r>
    <x v="6"/>
    <n v="13.6953"/>
    <n v="-89.171800000000005"/>
    <n v="4"/>
    <n v="0"/>
    <n v="0"/>
    <n v="107"/>
    <s v="_x0000_peopl"/>
  </r>
  <r>
    <x v="6"/>
    <n v="13.691800000000001"/>
    <n v="-89.225499999999997"/>
    <n v="1"/>
    <n v="0"/>
    <n v="0"/>
    <n v="107"/>
    <s v="_x0000_peopl"/>
  </r>
  <r>
    <x v="6"/>
    <n v="13.691800000000001"/>
    <n v="-89.196600000000004"/>
    <n v="5"/>
    <n v="0"/>
    <n v="0"/>
    <n v="107"/>
    <s v="_x0000_peopl"/>
  </r>
  <r>
    <x v="6"/>
    <n v="13.689299999999999"/>
    <n v="-89.207499999999996"/>
    <n v="5"/>
    <n v="0"/>
    <n v="0"/>
    <n v="107"/>
    <s v="_x0000_peopl"/>
  </r>
  <r>
    <x v="6"/>
    <n v="13.6958"/>
    <n v="-89.173299999999998"/>
    <n v="6"/>
    <n v="0"/>
    <n v="0"/>
    <n v="107"/>
    <s v="_x0000_peopl"/>
  </r>
  <r>
    <x v="6"/>
    <n v="13.691700000000001"/>
    <n v="-89.227199999999996"/>
    <n v="5"/>
    <n v="0"/>
    <n v="0"/>
    <n v="107"/>
    <s v="_x0000_peopl"/>
  </r>
  <r>
    <x v="6"/>
    <n v="13.6965"/>
    <n v="-89.171499999999995"/>
    <n v="8"/>
    <n v="0"/>
    <n v="0"/>
    <n v="107"/>
    <s v="_x0000_peopl"/>
  </r>
  <r>
    <x v="6"/>
    <n v="13.6915"/>
    <n v="-89.188000000000002"/>
    <n v="9"/>
    <n v="0"/>
    <n v="0"/>
    <n v="107"/>
    <s v="_x0000_peopl"/>
  </r>
  <r>
    <x v="6"/>
    <n v="13.6898"/>
    <n v="-89.206199999999995"/>
    <n v="10"/>
    <n v="0"/>
    <n v="0"/>
    <n v="107"/>
    <s v="_x0000_peopl"/>
  </r>
  <r>
    <x v="6"/>
    <n v="13.6892"/>
    <n v="-89.183800000000005"/>
    <n v="4"/>
    <n v="0"/>
    <n v="0"/>
    <n v="107"/>
    <s v="_x0000_peopl"/>
  </r>
  <r>
    <x v="6"/>
    <n v="13.6882"/>
    <n v="-89.216700000000003"/>
    <n v="4"/>
    <n v="0"/>
    <n v="0"/>
    <n v="107"/>
    <s v="_x0000_peopl"/>
  </r>
  <r>
    <x v="6"/>
    <n v="13.6892"/>
    <n v="-89.184200000000004"/>
    <n v="5"/>
    <n v="0"/>
    <n v="0"/>
    <n v="107"/>
    <s v="_x0000_peopl"/>
  </r>
  <r>
    <x v="6"/>
    <n v="13.6943"/>
    <n v="-89.172700000000006"/>
    <n v="5"/>
    <n v="0"/>
    <n v="0"/>
    <n v="107"/>
    <s v="_x0000_peopl"/>
  </r>
  <r>
    <x v="6"/>
    <n v="13.6937"/>
    <n v="-89.172899999999998"/>
    <n v="5"/>
    <n v="0"/>
    <n v="0"/>
    <n v="107"/>
    <s v="_x0000_peopl"/>
  </r>
  <r>
    <x v="6"/>
    <n v="13.6854"/>
    <n v="-89.213800000000006"/>
    <n v="5"/>
    <n v="0"/>
    <n v="0"/>
    <n v="107"/>
    <s v="_x0000_peopl"/>
  </r>
  <r>
    <x v="6"/>
    <n v="13.6874"/>
    <n v="-89.1815"/>
    <n v="7"/>
    <n v="0"/>
    <n v="0"/>
    <n v="107"/>
    <s v="_x0000_peopl"/>
  </r>
  <r>
    <x v="6"/>
    <n v="13.6874"/>
    <n v="-89.194000000000003"/>
    <n v="3"/>
    <n v="0"/>
    <n v="0"/>
    <n v="107"/>
    <s v="_x0000_peopl"/>
  </r>
  <r>
    <x v="6"/>
    <n v="13.692299999999999"/>
    <n v="-89.226699999999994"/>
    <n v="10"/>
    <n v="0"/>
    <n v="0"/>
    <n v="107"/>
    <s v="_x0000_peopl"/>
  </r>
  <r>
    <x v="6"/>
    <n v="13.688499999999999"/>
    <n v="-89.216899999999995"/>
    <n v="3"/>
    <n v="0"/>
    <n v="0"/>
    <n v="107"/>
    <s v="_x0000_peopl"/>
  </r>
  <r>
    <x v="6"/>
    <n v="13.685600000000001"/>
    <n v="-89.211299999999994"/>
    <n v="7"/>
    <n v="0"/>
    <n v="0"/>
    <n v="107"/>
    <s v="_x0000_peopl"/>
  </r>
  <r>
    <x v="6"/>
    <n v="13.692600000000001"/>
    <n v="-89.2256"/>
    <n v="5"/>
    <n v="0"/>
    <n v="0"/>
    <n v="107"/>
    <s v="_x0000_peopl"/>
  </r>
  <r>
    <x v="6"/>
    <n v="13.6882"/>
    <n v="-89.216899999999995"/>
    <n v="4"/>
    <n v="0"/>
    <n v="0"/>
    <n v="107"/>
    <s v="_x0000_peopl"/>
  </r>
  <r>
    <x v="6"/>
    <n v="13.6907"/>
    <n v="-89.186499999999995"/>
    <n v="7"/>
    <n v="0"/>
    <n v="0"/>
    <n v="107"/>
    <s v="_x0000_peopl"/>
  </r>
  <r>
    <x v="6"/>
    <n v="13.6935"/>
    <n v="-89.188999999999993"/>
    <n v="4"/>
    <n v="0"/>
    <n v="0"/>
    <n v="107"/>
    <s v="_x0000_peopl"/>
  </r>
  <r>
    <x v="6"/>
    <n v="13.69"/>
    <n v="-89.183800000000005"/>
    <n v="5"/>
    <n v="0"/>
    <n v="0"/>
    <n v="107"/>
    <s v="_x0000_peopl"/>
  </r>
  <r>
    <x v="6"/>
    <n v="13.69"/>
    <n v="-89.217299999999994"/>
    <n v="5"/>
    <n v="0"/>
    <n v="0"/>
    <n v="107"/>
    <s v="_x0000_peopl"/>
  </r>
  <r>
    <x v="6"/>
    <n v="13.691000000000001"/>
    <n v="-89.186599999999999"/>
    <n v="3"/>
    <n v="0"/>
    <n v="0"/>
    <n v="107"/>
    <s v="_x0000_peopl"/>
  </r>
  <r>
    <x v="6"/>
    <n v="13.68"/>
    <n v="-89.197100000000006"/>
    <n v="4"/>
    <n v="0"/>
    <n v="0"/>
    <n v="107"/>
    <s v="_x0000_peopl"/>
  </r>
  <r>
    <x v="6"/>
    <n v="13.6868"/>
    <n v="-89.183700000000002"/>
    <n v="6"/>
    <n v="0"/>
    <n v="0"/>
    <n v="107"/>
    <s v="_x0000_peopl"/>
  </r>
  <r>
    <x v="6"/>
    <n v="13.691000000000001"/>
    <n v="-89.228899999999996"/>
    <n v="3"/>
    <n v="0"/>
    <n v="0"/>
    <n v="107"/>
    <s v="_x0000_peopl"/>
  </r>
  <r>
    <x v="6"/>
    <n v="13.694699999999999"/>
    <n v="-89.185400000000001"/>
    <n v="6"/>
    <n v="0"/>
    <n v="0"/>
    <n v="107"/>
    <s v="_x0000_peopl"/>
  </r>
  <r>
    <x v="6"/>
    <n v="13.691800000000001"/>
    <n v="-89.221000000000004"/>
    <n v="2"/>
    <n v="0"/>
    <n v="0"/>
    <n v="107"/>
    <s v="_x0000_peopl"/>
  </r>
  <r>
    <x v="6"/>
    <n v="13.6906"/>
    <n v="-89.233599999999996"/>
    <n v="3"/>
    <n v="0"/>
    <n v="0"/>
    <n v="107"/>
    <s v="_x0000_peopl"/>
  </r>
  <r>
    <x v="6"/>
    <n v="13.6913"/>
    <n v="-89.227099999999993"/>
    <n v="2"/>
    <n v="0"/>
    <n v="0"/>
    <n v="107"/>
    <s v="_x0000_peopl"/>
  </r>
  <r>
    <x v="6"/>
    <n v="13.6905"/>
    <n v="-89.186700000000002"/>
    <n v="5"/>
    <n v="0"/>
    <n v="0"/>
    <n v="107"/>
    <s v="_x0000_peopl"/>
  </r>
  <r>
    <x v="6"/>
    <n v="13.687200000000001"/>
    <n v="-89.212800000000001"/>
    <n v="5"/>
    <n v="0"/>
    <n v="0"/>
    <n v="107"/>
    <s v="_x0000_peopl"/>
  </r>
  <r>
    <x v="6"/>
    <n v="13.6904"/>
    <n v="-89.188999999999993"/>
    <n v="12"/>
    <n v="0"/>
    <n v="0"/>
    <n v="107"/>
    <s v="_x0000_peopl"/>
  </r>
  <r>
    <x v="6"/>
    <n v="13.6884"/>
    <n v="-89.2042"/>
    <n v="4"/>
    <n v="0"/>
    <n v="0"/>
    <n v="107"/>
    <s v="_x0000_peopl"/>
  </r>
  <r>
    <x v="6"/>
    <n v="13.6905"/>
    <n v="-89.231899999999996"/>
    <n v="3"/>
    <n v="0"/>
    <n v="0"/>
    <n v="107"/>
    <s v="_x0000_peopl"/>
  </r>
  <r>
    <x v="6"/>
    <n v="13.6913"/>
    <n v="-89.185900000000004"/>
    <n v="2"/>
    <n v="0"/>
    <n v="0"/>
    <n v="107"/>
    <s v="_x0000_peopl"/>
  </r>
  <r>
    <x v="6"/>
    <n v="13.6922"/>
    <n v="-89.194500000000005"/>
    <n v="5"/>
    <n v="0"/>
    <n v="0"/>
    <n v="107"/>
    <s v="_x0000_peopl"/>
  </r>
  <r>
    <x v="6"/>
    <n v="13.69"/>
    <n v="-89.217200000000005"/>
    <n v="7"/>
    <n v="0"/>
    <n v="0"/>
    <n v="107"/>
    <s v="_x0000_peopl"/>
  </r>
  <r>
    <x v="6"/>
    <n v="13.6912"/>
    <n v="-89.233000000000004"/>
    <n v="4"/>
    <n v="0"/>
    <n v="0"/>
    <n v="107"/>
    <s v="_x0000_peopl"/>
  </r>
  <r>
    <x v="6"/>
    <n v="13.6957"/>
    <n v="-89.173000000000002"/>
    <n v="6"/>
    <n v="0"/>
    <n v="0"/>
    <n v="107"/>
    <s v="_x0000_peopl"/>
  </r>
  <r>
    <x v="6"/>
    <n v="13.69"/>
    <n v="-89.183599999999998"/>
    <n v="4"/>
    <n v="0"/>
    <n v="0"/>
    <n v="107"/>
    <s v="_x0000_peopl"/>
  </r>
  <r>
    <x v="6"/>
    <n v="13.690899999999999"/>
    <n v="-89.189400000000006"/>
    <n v="3"/>
    <n v="0"/>
    <n v="0"/>
    <n v="107"/>
    <s v="_x0000_peopl"/>
  </r>
  <r>
    <x v="6"/>
    <n v="13.690099999999999"/>
    <n v="-89.234899999999996"/>
    <n v="2"/>
    <n v="0"/>
    <n v="0"/>
    <n v="107"/>
    <s v="_x0000_peopl"/>
  </r>
  <r>
    <x v="6"/>
    <n v="13.688700000000001"/>
    <n v="-89.229200000000006"/>
    <n v="6"/>
    <n v="0"/>
    <n v="0"/>
    <n v="107"/>
    <s v="_x0000_peopl"/>
  </r>
  <r>
    <x v="6"/>
    <n v="13.692"/>
    <n v="-89.193700000000007"/>
    <n v="8"/>
    <n v="0"/>
    <n v="0"/>
    <n v="107"/>
    <s v="_x0000_peopl"/>
  </r>
  <r>
    <x v="6"/>
    <n v="13.6915"/>
    <n v="-89.185299999999998"/>
    <n v="6"/>
    <n v="0"/>
    <n v="0"/>
    <n v="107"/>
    <s v="_x0000_peopl"/>
  </r>
  <r>
    <x v="6"/>
    <n v="13.6974"/>
    <n v="-89.171199999999999"/>
    <n v="8"/>
    <n v="0"/>
    <n v="0"/>
    <n v="107"/>
    <s v="_x0000_peopl"/>
  </r>
  <r>
    <x v="6"/>
    <n v="13.6843"/>
    <n v="-89.216899999999995"/>
    <n v="3"/>
    <n v="0"/>
    <n v="0"/>
    <n v="107"/>
    <s v="_x0000_peopl"/>
  </r>
  <r>
    <x v="6"/>
    <n v="13.687200000000001"/>
    <n v="-89.191599999999994"/>
    <n v="5"/>
    <n v="0"/>
    <n v="0"/>
    <n v="107"/>
    <s v="_x0000_peopl"/>
  </r>
  <r>
    <x v="6"/>
    <n v="13.693300000000001"/>
    <n v="-89.178200000000004"/>
    <n v="9"/>
    <n v="0"/>
    <n v="0"/>
    <n v="107"/>
    <s v="_x0000_peopl"/>
  </r>
  <r>
    <x v="6"/>
    <n v="13.6899"/>
    <n v="-89.184799999999996"/>
    <n v="5"/>
    <n v="0"/>
    <n v="0"/>
    <n v="107"/>
    <s v="_x0000_peopl"/>
  </r>
  <r>
    <x v="6"/>
    <n v="13.688800000000001"/>
    <n v="-89.217200000000005"/>
    <n v="4"/>
    <n v="0"/>
    <n v="0"/>
    <n v="107"/>
    <s v="_x0000_peopl"/>
  </r>
  <r>
    <x v="6"/>
    <n v="13.691800000000001"/>
    <n v="-89.225200000000001"/>
    <n v="3"/>
    <n v="0"/>
    <n v="0"/>
    <n v="107"/>
    <s v="_x0000_peopl"/>
  </r>
  <r>
    <x v="6"/>
    <n v="13.674899999999999"/>
    <n v="-89.249700000000004"/>
    <n v="5"/>
    <n v="0"/>
    <n v="0"/>
    <n v="107"/>
    <s v="_x0000_peopl"/>
  </r>
  <r>
    <x v="6"/>
    <n v="13.6852"/>
    <n v="-89.202600000000004"/>
    <n v="2"/>
    <n v="0"/>
    <n v="0"/>
    <n v="107"/>
    <s v="_x0000_peopl"/>
  </r>
  <r>
    <x v="6"/>
    <n v="13.696899999999999"/>
    <n v="-89.1721"/>
    <n v="5"/>
    <n v="0"/>
    <n v="0"/>
    <n v="107"/>
    <s v="_x0000_peopl"/>
  </r>
  <r>
    <x v="6"/>
    <n v="13.690799999999999"/>
    <n v="-89.194199999999995"/>
    <n v="4"/>
    <n v="0"/>
    <n v="0"/>
    <n v="107"/>
    <s v="_x0000_peopl"/>
  </r>
  <r>
    <x v="6"/>
    <n v="13.6867"/>
    <n v="-89.214299999999994"/>
    <n v="4"/>
    <n v="0"/>
    <n v="0"/>
    <n v="107"/>
    <s v="_x0000_peopl"/>
  </r>
  <r>
    <x v="6"/>
    <n v="13.690200000000001"/>
    <n v="-89.177599999999998"/>
    <n v="5"/>
    <n v="0"/>
    <n v="0"/>
    <n v="107"/>
    <s v="_x0000_peopl"/>
  </r>
  <r>
    <x v="6"/>
    <n v="13.693300000000001"/>
    <n v="-89.192800000000005"/>
    <n v="2"/>
    <n v="0"/>
    <n v="0"/>
    <n v="107"/>
    <s v="_x0000_peopl"/>
  </r>
  <r>
    <x v="6"/>
    <n v="13.686999999999999"/>
    <n v="-89.182000000000002"/>
    <n v="6"/>
    <n v="0"/>
    <n v="0"/>
    <n v="107"/>
    <s v="_x0000_peopl"/>
  </r>
  <r>
    <x v="6"/>
    <n v="13.686999999999999"/>
    <n v="-89.194599999999994"/>
    <n v="8"/>
    <n v="0"/>
    <n v="0"/>
    <n v="107"/>
    <s v="_x0000_peopl"/>
  </r>
  <r>
    <x v="6"/>
    <n v="13.674899999999999"/>
    <n v="-89.251900000000006"/>
    <n v="4"/>
    <n v="0"/>
    <n v="0"/>
    <n v="107"/>
    <s v="_x0000_peopl"/>
  </r>
  <r>
    <x v="6"/>
    <n v="13.6935"/>
    <n v="-89.173599999999993"/>
    <n v="5"/>
    <n v="0"/>
    <n v="0"/>
    <n v="107"/>
    <s v="_x0000_peopl"/>
  </r>
  <r>
    <x v="6"/>
    <n v="13.692600000000001"/>
    <n v="-89.175700000000006"/>
    <n v="5"/>
    <n v="0"/>
    <n v="0"/>
    <n v="107"/>
    <s v="_x0000_peopl"/>
  </r>
  <r>
    <x v="6"/>
    <n v="13.6912"/>
    <n v="-89.233999999999995"/>
    <n v="7"/>
    <n v="0"/>
    <n v="0"/>
    <n v="107"/>
    <s v="_x0000_peopl"/>
  </r>
  <r>
    <x v="6"/>
    <n v="13.6745"/>
    <n v="-89.2517"/>
    <n v="6"/>
    <n v="0"/>
    <n v="0"/>
    <n v="107"/>
    <s v="_x0000_peopl"/>
  </r>
  <r>
    <x v="6"/>
    <n v="13.696300000000001"/>
    <n v="-89.171999999999997"/>
    <n v="6"/>
    <n v="0"/>
    <n v="0"/>
    <n v="107"/>
    <s v="_x0000_peopl"/>
  </r>
  <r>
    <x v="6"/>
    <n v="13.6851"/>
    <n v="-89.211299999999994"/>
    <n v="4"/>
    <n v="0"/>
    <n v="0"/>
    <n v="107"/>
    <s v="_x0000_peopl"/>
  </r>
  <r>
    <x v="6"/>
    <n v="13.687200000000001"/>
    <n v="-89.195899999999995"/>
    <n v="9"/>
    <n v="0"/>
    <n v="0"/>
    <n v="107"/>
    <s v="_x0000_peopl"/>
  </r>
  <r>
    <x v="6"/>
    <n v="13.6876"/>
    <n v="-89.194299999999998"/>
    <n v="8"/>
    <n v="0"/>
    <n v="0"/>
    <n v="107"/>
    <s v="_x0000_peopl"/>
  </r>
  <r>
    <x v="6"/>
    <n v="13.6881"/>
    <n v="-89.229500000000002"/>
    <n v="3"/>
    <n v="0"/>
    <n v="0"/>
    <n v="107"/>
    <s v="_x0000_peopl"/>
  </r>
  <r>
    <x v="6"/>
    <n v="13.6915"/>
    <n v="-89.178600000000003"/>
    <n v="6"/>
    <n v="0"/>
    <n v="0"/>
    <n v="107"/>
    <s v="_x0000_peopl"/>
  </r>
  <r>
    <x v="6"/>
    <n v="13.6899"/>
    <n v="-89.177700000000002"/>
    <n v="3"/>
    <n v="0"/>
    <n v="0"/>
    <n v="107"/>
    <s v="_x0000_peopl"/>
  </r>
  <r>
    <x v="6"/>
    <n v="13.693199999999999"/>
    <n v="-89.189800000000005"/>
    <n v="11"/>
    <n v="0"/>
    <n v="0"/>
    <n v="107"/>
    <s v="_x0000_peopl"/>
  </r>
  <r>
    <x v="6"/>
    <n v="13.693199999999999"/>
    <n v="-89.177300000000002"/>
    <n v="3"/>
    <n v="0"/>
    <n v="0"/>
    <n v="107"/>
    <s v="_x0000_peopl"/>
  </r>
  <r>
    <x v="6"/>
    <n v="13.6905"/>
    <n v="-89.235299999999995"/>
    <n v="3"/>
    <n v="0"/>
    <n v="0"/>
    <n v="107"/>
    <s v="_x0000_peopl"/>
  </r>
  <r>
    <x v="6"/>
    <n v="13.6877"/>
    <n v="-89.197100000000006"/>
    <n v="5"/>
    <n v="0"/>
    <n v="0"/>
    <n v="107"/>
    <s v="_x0000_peopl"/>
  </r>
  <r>
    <x v="6"/>
    <n v="13.687200000000001"/>
    <n v="-89.211399999999998"/>
    <n v="7"/>
    <n v="0"/>
    <n v="0"/>
    <n v="107"/>
    <s v="_x0000_peopl"/>
  </r>
  <r>
    <x v="6"/>
    <n v="13.6913"/>
    <n v="-89.179199999999994"/>
    <n v="8"/>
    <n v="0"/>
    <n v="0"/>
    <n v="107"/>
    <s v="_x0000_peopl"/>
  </r>
  <r>
    <x v="6"/>
    <n v="13.686999999999999"/>
    <n v="-89.194599999999994"/>
    <n v="3"/>
    <n v="0"/>
    <n v="0"/>
    <n v="107"/>
    <s v="_x0000_peopl"/>
  </r>
  <r>
    <x v="6"/>
    <n v="13.689399999999999"/>
    <n v="-89.180199999999999"/>
    <n v="4"/>
    <n v="0"/>
    <n v="0"/>
    <n v="107"/>
    <s v="_x0000_peopl"/>
  </r>
  <r>
    <x v="6"/>
    <n v="13.696199999999999"/>
    <n v="-89.171700000000001"/>
    <n v="5"/>
    <n v="0"/>
    <n v="0"/>
    <n v="107"/>
    <s v="_x0000_peopl"/>
  </r>
  <r>
    <x v="6"/>
    <n v="13.6858"/>
    <n v="-89.215699999999998"/>
    <n v="7"/>
    <n v="0"/>
    <n v="0"/>
    <n v="107"/>
    <s v="_x0000_peopl"/>
  </r>
  <r>
    <x v="6"/>
    <n v="13.6904"/>
    <n v="-89.194699999999997"/>
    <n v="7"/>
    <n v="0"/>
    <n v="0"/>
    <n v="107"/>
    <s v="_x0000_peopl"/>
  </r>
  <r>
    <x v="6"/>
    <n v="13.6882"/>
    <n v="-89.194400000000002"/>
    <n v="9"/>
    <n v="0"/>
    <n v="0"/>
    <n v="107"/>
    <s v="_x0000_peopl"/>
  </r>
  <r>
    <x v="6"/>
    <n v="13.6875"/>
    <n v="-89.196399999999997"/>
    <n v="3"/>
    <n v="0"/>
    <n v="0"/>
    <n v="107"/>
    <s v="_x0000_peopl"/>
  </r>
  <r>
    <x v="6"/>
    <n v="13.6922"/>
    <n v="-89.183000000000007"/>
    <n v="3"/>
    <n v="0"/>
    <n v="0"/>
    <n v="107"/>
    <s v="_x0000_peopl"/>
  </r>
  <r>
    <x v="6"/>
    <n v="13.692399999999999"/>
    <n v="-89.189700000000002"/>
    <n v="3"/>
    <n v="0"/>
    <n v="0"/>
    <n v="107"/>
    <s v="_x0000_peopl"/>
  </r>
  <r>
    <x v="6"/>
    <n v="13.685600000000001"/>
    <n v="-89.194000000000003"/>
    <n v="4"/>
    <n v="0"/>
    <n v="0"/>
    <n v="107"/>
    <s v="_x0000_peopl"/>
  </r>
  <r>
    <x v="6"/>
    <n v="13.6904"/>
    <n v="-89.1798"/>
    <n v="9"/>
    <n v="0"/>
    <n v="0"/>
    <n v="107"/>
    <s v="_x0000_peopl"/>
  </r>
  <r>
    <x v="6"/>
    <n v="13.674799999999999"/>
    <n v="-89.252300000000005"/>
    <n v="2"/>
    <n v="0"/>
    <n v="0"/>
    <n v="107"/>
    <s v="_x0000_peopl"/>
  </r>
  <r>
    <x v="6"/>
    <n v="13.6898"/>
    <n v="-89.190100000000001"/>
    <n v="3"/>
    <n v="0"/>
    <n v="0"/>
    <n v="107"/>
    <s v="_x0000_peopl"/>
  </r>
  <r>
    <x v="6"/>
    <n v="13.6906"/>
    <n v="-89.183800000000005"/>
    <n v="6"/>
    <n v="0"/>
    <n v="0"/>
    <n v="107"/>
    <s v="_x0000_peopl"/>
  </r>
  <r>
    <x v="6"/>
    <n v="13.691599999999999"/>
    <n v="-89.232500000000002"/>
    <n v="7"/>
    <n v="0"/>
    <n v="0"/>
    <n v="107"/>
    <s v="_x0000_peopl"/>
  </r>
  <r>
    <x v="6"/>
    <n v="13.691700000000001"/>
    <n v="-89.178700000000006"/>
    <n v="9"/>
    <n v="0"/>
    <n v="0"/>
    <n v="107"/>
    <s v="_x0000_peopl"/>
  </r>
  <r>
    <x v="6"/>
    <n v="13.6877"/>
    <n v="-89.1815"/>
    <n v="2"/>
    <n v="0"/>
    <n v="0"/>
    <n v="107"/>
    <s v="_x0000_peopl"/>
  </r>
  <r>
    <x v="6"/>
    <n v="13.6906"/>
    <n v="-89.195700000000002"/>
    <n v="4"/>
    <n v="0"/>
    <n v="0"/>
    <n v="107"/>
    <s v="_x0000_peopl"/>
  </r>
  <r>
    <x v="6"/>
    <n v="13.693"/>
    <n v="-89.189899999999994"/>
    <n v="2"/>
    <n v="0"/>
    <n v="0"/>
    <n v="107"/>
    <s v="_x0000_peopl"/>
  </r>
  <r>
    <x v="6"/>
    <n v="13.696"/>
    <n v="-89.172799999999995"/>
    <n v="3"/>
    <n v="0"/>
    <n v="0"/>
    <n v="107"/>
    <s v="_x0000_peopl"/>
  </r>
  <r>
    <x v="6"/>
    <n v="13.6914"/>
    <n v="-89.189300000000003"/>
    <n v="5"/>
    <n v="0"/>
    <n v="0"/>
    <n v="107"/>
    <s v="_x0000_peopl"/>
  </r>
  <r>
    <x v="6"/>
    <n v="13.6876"/>
    <n v="-89.204800000000006"/>
    <n v="2"/>
    <n v="0"/>
    <n v="0"/>
    <n v="107"/>
    <s v="_x0000_peopl"/>
  </r>
  <r>
    <x v="6"/>
    <n v="13.694599999999999"/>
    <n v="-89.183099999999996"/>
    <n v="6"/>
    <n v="0"/>
    <n v="0"/>
    <n v="107"/>
    <s v="_x0000_peopl"/>
  </r>
  <r>
    <x v="6"/>
    <n v="13.688599999999999"/>
    <n v="-89.229299999999995"/>
    <n v="4"/>
    <n v="0"/>
    <n v="0"/>
    <n v="107"/>
    <s v="_x0000_peopl"/>
  </r>
  <r>
    <x v="6"/>
    <n v="13.6913"/>
    <n v="-89.189400000000006"/>
    <n v="2"/>
    <n v="0"/>
    <n v="0"/>
    <n v="107"/>
    <s v="_x0000_peopl"/>
  </r>
  <r>
    <x v="6"/>
    <n v="13.673400000000001"/>
    <n v="-89.251400000000004"/>
    <n v="1"/>
    <n v="0"/>
    <n v="0"/>
    <n v="107"/>
    <s v="_x0000_peopl"/>
  </r>
  <r>
    <x v="6"/>
    <n v="13.6729"/>
    <n v="-89.204099999999997"/>
    <n v="3"/>
    <n v="0"/>
    <n v="0"/>
    <n v="107"/>
    <s v="_x0000_peopl"/>
  </r>
  <r>
    <x v="6"/>
    <n v="13.6904"/>
    <n v="-89.186700000000002"/>
    <n v="2"/>
    <n v="0"/>
    <n v="0"/>
    <n v="107"/>
    <s v="_x0000_peopl"/>
  </r>
  <r>
    <x v="6"/>
    <n v="13.6873"/>
    <n v="-89.195499999999996"/>
    <n v="1"/>
    <n v="0"/>
    <n v="0"/>
    <n v="107"/>
    <s v="_x0000_peopl"/>
  </r>
  <r>
    <x v="6"/>
    <n v="13.6905"/>
    <n v="-89.193299999999994"/>
    <n v="5"/>
    <n v="0"/>
    <n v="0"/>
    <n v="107"/>
    <s v="_x0000_peopl"/>
  </r>
  <r>
    <x v="6"/>
    <n v="13.684900000000001"/>
    <n v="-89.211200000000005"/>
    <n v="2"/>
    <n v="0"/>
    <n v="0"/>
    <n v="107"/>
    <s v="_x0000_peopl"/>
  </r>
  <r>
    <x v="6"/>
    <n v="13.6869"/>
    <n v="-89.191400000000002"/>
    <n v="4"/>
    <n v="0"/>
    <n v="0"/>
    <n v="107"/>
    <s v="_x0000_peopl"/>
  </r>
  <r>
    <x v="6"/>
    <n v="13.691700000000001"/>
    <n v="-89.186199999999999"/>
    <n v="8"/>
    <n v="0"/>
    <n v="0"/>
    <n v="107"/>
    <s v="_x0000_peopl"/>
  </r>
  <r>
    <x v="6"/>
    <n v="13.6736"/>
    <n v="-89.204400000000007"/>
    <n v="2"/>
    <n v="0"/>
    <n v="0"/>
    <n v="107"/>
    <s v="_x0000_peopl"/>
  </r>
  <r>
    <x v="6"/>
    <n v="13.6907"/>
    <n v="-89.194100000000006"/>
    <n v="3"/>
    <n v="0"/>
    <n v="0"/>
    <n v="107"/>
    <s v="_x0000_peopl"/>
  </r>
  <r>
    <x v="6"/>
    <n v="13.6854"/>
    <n v="-89.213300000000004"/>
    <n v="6"/>
    <n v="0"/>
    <n v="0"/>
    <n v="107"/>
    <s v="_x0000_peopl"/>
  </r>
  <r>
    <x v="6"/>
    <n v="13.6904"/>
    <n v="-89.236000000000004"/>
    <n v="4"/>
    <n v="0"/>
    <n v="0"/>
    <n v="107"/>
    <s v="_x0000_peopl"/>
  </r>
  <r>
    <x v="6"/>
    <n v="13.6934"/>
    <n v="-89.192800000000005"/>
    <n v="4"/>
    <n v="0"/>
    <n v="0"/>
    <n v="107"/>
    <s v="_x0000_peopl"/>
  </r>
  <r>
    <x v="6"/>
    <n v="13.6859"/>
    <n v="-89.193799999999996"/>
    <n v="5"/>
    <n v="0"/>
    <n v="0"/>
    <n v="107"/>
    <s v="_x0000_peopl"/>
  </r>
  <r>
    <x v="6"/>
    <n v="13.6929"/>
    <n v="-89.224900000000005"/>
    <n v="6"/>
    <n v="0"/>
    <n v="0"/>
    <n v="107"/>
    <s v="_x0000_peopl"/>
  </r>
  <r>
    <x v="6"/>
    <n v="13.6876"/>
    <n v="-89.204700000000003"/>
    <n v="7"/>
    <n v="0"/>
    <n v="0"/>
    <n v="107"/>
    <s v="_x0000_peopl"/>
  </r>
  <r>
    <x v="6"/>
    <n v="13.6907"/>
    <n v="-89.232200000000006"/>
    <n v="5"/>
    <n v="0"/>
    <n v="0"/>
    <n v="107"/>
    <s v="_x0000_peopl"/>
  </r>
  <r>
    <x v="6"/>
    <n v="13.691800000000001"/>
    <n v="-89.221199999999996"/>
    <n v="6"/>
    <n v="0"/>
    <n v="0"/>
    <n v="107"/>
    <s v="_x0000_peopl"/>
  </r>
  <r>
    <x v="6"/>
    <n v="13.688000000000001"/>
    <n v="-89.180499999999995"/>
    <n v="9"/>
    <n v="0"/>
    <n v="0"/>
    <n v="107"/>
    <s v="_x0000_peopl"/>
  </r>
  <r>
    <x v="6"/>
    <n v="13.6907"/>
    <n v="-89.1875"/>
    <n v="7"/>
    <n v="0"/>
    <n v="0"/>
    <n v="107"/>
    <s v="_x0000_peopl"/>
  </r>
  <r>
    <x v="6"/>
    <n v="13.6913"/>
    <n v="-89.220500000000001"/>
    <n v="4"/>
    <n v="0"/>
    <n v="0"/>
    <n v="107"/>
    <s v="_x0000_peopl"/>
  </r>
  <r>
    <x v="6"/>
    <n v="13.6913"/>
    <n v="-89.226600000000005"/>
    <n v="2"/>
    <n v="0"/>
    <n v="0"/>
    <n v="107"/>
    <s v="_x0000_peopl"/>
  </r>
  <r>
    <x v="6"/>
    <n v="13.674899999999999"/>
    <n v="-89.251199999999997"/>
    <n v="5"/>
    <n v="0"/>
    <n v="0"/>
    <n v="107"/>
    <s v="_x0000_peopl"/>
  </r>
  <r>
    <x v="6"/>
    <n v="13.678900000000001"/>
    <n v="-89.1965"/>
    <n v="9"/>
    <n v="0"/>
    <n v="0"/>
    <n v="107"/>
    <s v="_x0000_peopl"/>
  </r>
  <r>
    <x v="6"/>
    <n v="13.6889"/>
    <n v="-89.180800000000005"/>
    <n v="8"/>
    <n v="0"/>
    <n v="0"/>
    <n v="107"/>
    <s v="_x0000_peopl"/>
  </r>
  <r>
    <x v="6"/>
    <n v="13.674899999999999"/>
    <n v="-89.199799999999996"/>
    <n v="6"/>
    <n v="0"/>
    <n v="0"/>
    <n v="107"/>
    <s v="_x0000_peopl"/>
  </r>
  <r>
    <x v="6"/>
    <n v="13.689299999999999"/>
    <n v="-89.203100000000006"/>
    <n v="5"/>
    <n v="0"/>
    <n v="0"/>
    <n v="107"/>
    <s v="_x0000_peopl"/>
  </r>
  <r>
    <x v="6"/>
    <n v="13.6883"/>
    <n v="-89.193799999999996"/>
    <n v="8"/>
    <n v="0"/>
    <n v="0"/>
    <n v="107"/>
    <s v="_x0000_peopl"/>
  </r>
  <r>
    <x v="6"/>
    <n v="13.6858"/>
    <n v="-89.203599999999994"/>
    <n v="4"/>
    <n v="0"/>
    <n v="0"/>
    <n v="107"/>
    <s v="_x0000_peopl"/>
  </r>
  <r>
    <x v="6"/>
    <n v="13.690899999999999"/>
    <n v="-89.231399999999994"/>
    <n v="4"/>
    <n v="0"/>
    <n v="0"/>
    <n v="107"/>
    <s v="_x0000_peopl"/>
  </r>
  <r>
    <x v="6"/>
    <n v="13.6913"/>
    <n v="-89.189499999999995"/>
    <n v="10"/>
    <n v="0"/>
    <n v="0"/>
    <n v="107"/>
    <s v="_x0000_peopl"/>
  </r>
  <r>
    <x v="6"/>
    <n v="13.6911"/>
    <n v="-89.220299999999995"/>
    <n v="6"/>
    <n v="0"/>
    <n v="0"/>
    <n v="107"/>
    <s v="_x0000_peopl"/>
  </r>
  <r>
    <x v="6"/>
    <n v="13.6892"/>
    <n v="-89.185199999999995"/>
    <n v="3"/>
    <n v="0"/>
    <n v="0"/>
    <n v="107"/>
    <s v="_x0000_peopl"/>
  </r>
  <r>
    <x v="6"/>
    <n v="13.691000000000001"/>
    <n v="-89.226900000000001"/>
    <n v="4"/>
    <n v="0"/>
    <n v="0"/>
    <n v="107"/>
    <s v="_x0000_peopl"/>
  </r>
  <r>
    <x v="6"/>
    <n v="13.690799999999999"/>
    <n v="-89.196200000000005"/>
    <n v="8"/>
    <n v="0"/>
    <n v="0"/>
    <n v="107"/>
    <s v="_x0000_peopl"/>
  </r>
  <r>
    <x v="6"/>
    <n v="13.684799999999999"/>
    <n v="-89.212699999999998"/>
    <n v="2"/>
    <n v="0"/>
    <n v="0"/>
    <n v="107"/>
    <s v="_x0000_peopl"/>
  </r>
  <r>
    <x v="6"/>
    <n v="13.6859"/>
    <n v="-89.211299999999994"/>
    <n v="4"/>
    <n v="0"/>
    <n v="0"/>
    <n v="107"/>
    <s v="_x0000_peopl"/>
  </r>
  <r>
    <x v="6"/>
    <n v="13.6904"/>
    <n v="-89.231800000000007"/>
    <n v="8"/>
    <n v="0"/>
    <n v="0"/>
    <n v="107"/>
    <s v="_x0000_peopl"/>
  </r>
  <r>
    <x v="6"/>
    <n v="13.6914"/>
    <n v="-89.189400000000006"/>
    <n v="4"/>
    <n v="0"/>
    <n v="0"/>
    <n v="107"/>
    <s v="_x0000_peopl"/>
  </r>
  <r>
    <x v="6"/>
    <n v="13.689399999999999"/>
    <n v="-89.189700000000002"/>
    <n v="6"/>
    <n v="0"/>
    <n v="0"/>
    <n v="107"/>
    <s v="_x0000_peopl"/>
  </r>
  <r>
    <x v="6"/>
    <n v="13.6874"/>
    <n v="-89.194400000000002"/>
    <n v="7"/>
    <n v="0"/>
    <n v="0"/>
    <n v="107"/>
    <s v="_x0000_peopl"/>
  </r>
  <r>
    <x v="6"/>
    <n v="13.690200000000001"/>
    <n v="-89.236099999999993"/>
    <n v="10"/>
    <n v="0"/>
    <n v="0"/>
    <n v="107"/>
    <s v="_x0000_peopl"/>
  </r>
  <r>
    <x v="6"/>
    <n v="13.6844"/>
    <n v="-89.216899999999995"/>
    <n v="7"/>
    <n v="0"/>
    <n v="0"/>
    <n v="107"/>
    <s v="_x0000_peopl"/>
  </r>
  <r>
    <x v="6"/>
    <n v="13.6912"/>
    <n v="-89.219200000000001"/>
    <n v="2"/>
    <n v="0"/>
    <n v="0"/>
    <n v="107"/>
    <s v="_x0000_peopl"/>
  </r>
  <r>
    <x v="6"/>
    <n v="13.6936"/>
    <n v="-89.173199999999994"/>
    <n v="4"/>
    <n v="0"/>
    <n v="0"/>
    <n v="107"/>
    <s v="_x0000_peopl"/>
  </r>
  <r>
    <x v="6"/>
    <n v="13.6929"/>
    <n v="-89.184399999999997"/>
    <n v="6"/>
    <n v="0"/>
    <n v="0"/>
    <n v="107"/>
    <s v="_x0000_peopl"/>
  </r>
  <r>
    <x v="6"/>
    <n v="13.6929"/>
    <n v="-89.225099999999998"/>
    <n v="3"/>
    <n v="0"/>
    <n v="0"/>
    <n v="107"/>
    <s v="_x0000_peopl"/>
  </r>
  <r>
    <x v="6"/>
    <n v="13.687200000000001"/>
    <n v="-89.216899999999995"/>
    <n v="7"/>
    <n v="0"/>
    <n v="0"/>
    <n v="107"/>
    <s v="_x0000_peopl"/>
  </r>
  <r>
    <x v="6"/>
    <n v="13.6942"/>
    <n v="-89.173400000000001"/>
    <n v="9"/>
    <n v="0"/>
    <n v="0"/>
    <n v="107"/>
    <s v="_x0000_peopl"/>
  </r>
  <r>
    <x v="6"/>
    <n v="13.690799999999999"/>
    <n v="-89.1952"/>
    <n v="3"/>
    <n v="0"/>
    <n v="0"/>
    <n v="107"/>
    <s v="_x0000_peopl"/>
  </r>
  <r>
    <x v="6"/>
    <n v="13.692"/>
    <n v="-89.221500000000006"/>
    <n v="5"/>
    <n v="0"/>
    <n v="0"/>
    <n v="107"/>
    <s v="_x0000_peopl"/>
  </r>
  <r>
    <x v="6"/>
    <n v="13.690799999999999"/>
    <n v="-89.2333"/>
    <n v="3"/>
    <n v="0"/>
    <n v="0"/>
    <n v="107"/>
    <s v="_x0000_peopl"/>
  </r>
  <r>
    <x v="6"/>
    <n v="13.690799999999999"/>
    <n v="-89.235600000000005"/>
    <n v="3"/>
    <n v="0"/>
    <n v="0"/>
    <n v="107"/>
    <s v="_x0000_peopl"/>
  </r>
  <r>
    <x v="6"/>
    <n v="13.690899999999999"/>
    <n v="-89.187600000000003"/>
    <n v="3"/>
    <n v="0"/>
    <n v="0"/>
    <n v="107"/>
    <s v="_x0000_peopl"/>
  </r>
  <r>
    <x v="6"/>
    <n v="13.6881"/>
    <n v="-89.216499999999996"/>
    <n v="8"/>
    <n v="0"/>
    <n v="0"/>
    <n v="107"/>
    <s v="_x0000_peopl"/>
  </r>
  <r>
    <x v="6"/>
    <n v="13.6898"/>
    <n v="-89.189700000000002"/>
    <n v="6"/>
    <n v="0"/>
    <n v="0"/>
    <n v="107"/>
    <s v="_x0000_peopl"/>
  </r>
  <r>
    <x v="6"/>
    <n v="13.694599999999999"/>
    <n v="-89.185299999999998"/>
    <n v="8"/>
    <n v="0"/>
    <n v="0"/>
    <n v="107"/>
    <s v="_x0000_peopl"/>
  </r>
  <r>
    <x v="6"/>
    <n v="13.6912"/>
    <n v="-89.219399999999993"/>
    <n v="3"/>
    <n v="0"/>
    <n v="0"/>
    <n v="107"/>
    <s v="_x0000_peopl"/>
  </r>
  <r>
    <x v="6"/>
    <n v="13.691800000000001"/>
    <n v="-89.224900000000005"/>
    <n v="7"/>
    <n v="0"/>
    <n v="0"/>
    <n v="107"/>
    <s v="_x0000_peopl"/>
  </r>
  <r>
    <x v="6"/>
    <n v="13.692"/>
    <n v="-89.2273"/>
    <n v="8"/>
    <n v="0"/>
    <n v="0"/>
    <n v="107"/>
    <s v="_x0000_peopl"/>
  </r>
  <r>
    <x v="6"/>
    <n v="13.690200000000001"/>
    <n v="-89.188199999999995"/>
    <n v="3"/>
    <n v="0"/>
    <n v="0"/>
    <n v="107"/>
    <s v="_x0000_peopl"/>
  </r>
  <r>
    <x v="6"/>
    <n v="13.687200000000001"/>
    <n v="-89.194900000000004"/>
    <n v="5"/>
    <n v="0"/>
    <n v="0"/>
    <n v="107"/>
    <s v="_x0000_peopl"/>
  </r>
  <r>
    <x v="6"/>
    <n v="13.6912"/>
    <n v="-89.234700000000004"/>
    <n v="4"/>
    <n v="0"/>
    <n v="0"/>
    <n v="107"/>
    <s v="_x0000_peopl"/>
  </r>
  <r>
    <x v="6"/>
    <n v="13.691800000000001"/>
    <n v="-89.2256"/>
    <n v="4"/>
    <n v="0"/>
    <n v="0"/>
    <n v="107"/>
    <s v="_x0000_peopl"/>
  </r>
  <r>
    <x v="6"/>
    <n v="13.674799999999999"/>
    <n v="-89.199399999999997"/>
    <n v="8"/>
    <n v="0"/>
    <n v="0"/>
    <n v="107"/>
    <s v="_x0000_peopl"/>
  </r>
  <r>
    <x v="6"/>
    <n v="13.692600000000001"/>
    <n v="-89.224900000000005"/>
    <n v="1"/>
    <n v="0"/>
    <n v="0"/>
    <n v="107"/>
    <s v="_x0000_peopl"/>
  </r>
  <r>
    <x v="6"/>
    <n v="13.687200000000001"/>
    <n v="-89.183199999999999"/>
    <n v="3"/>
    <n v="0"/>
    <n v="0"/>
    <n v="107"/>
    <s v="_x0000_peopl"/>
  </r>
  <r>
    <x v="6"/>
    <n v="13.6892"/>
    <n v="-89.184200000000004"/>
    <n v="5"/>
    <n v="0"/>
    <n v="0"/>
    <n v="107"/>
    <s v="_x0000_peopl"/>
  </r>
  <r>
    <x v="6"/>
    <n v="13.6873"/>
    <n v="-89.183300000000003"/>
    <n v="5"/>
    <n v="0"/>
    <n v="0"/>
    <n v="107"/>
    <s v="_x0000_peopl"/>
  </r>
  <r>
    <x v="6"/>
    <n v="13.6966"/>
    <n v="-89.171800000000005"/>
    <n v="6"/>
    <n v="0"/>
    <n v="0"/>
    <n v="107"/>
    <s v="_x0000_peopl"/>
  </r>
  <r>
    <x v="6"/>
    <n v="13.6892"/>
    <n v="-89.183800000000005"/>
    <n v="5"/>
    <n v="0"/>
    <n v="0"/>
    <n v="107"/>
    <s v="_x0000_peopl"/>
  </r>
  <r>
    <x v="6"/>
    <n v="13.674099999999999"/>
    <n v="-89.252600000000001"/>
    <n v="7"/>
    <n v="0"/>
    <n v="0"/>
    <n v="107"/>
    <s v="_x0000_peopl"/>
  </r>
  <r>
    <x v="6"/>
    <n v="13.691800000000001"/>
    <n v="-89.1785"/>
    <n v="3"/>
    <n v="0"/>
    <n v="0"/>
    <n v="107"/>
    <s v="_x0000_peopl"/>
  </r>
  <r>
    <x v="6"/>
    <n v="13.6936"/>
    <n v="-89.176400000000001"/>
    <n v="3"/>
    <n v="0"/>
    <n v="0"/>
    <n v="107"/>
    <s v="_x0000_peopl"/>
  </r>
  <r>
    <x v="6"/>
    <n v="13.6942"/>
    <n v="-89.183099999999996"/>
    <n v="8"/>
    <n v="0"/>
    <n v="0"/>
    <n v="107"/>
    <s v="_x0000_peopl"/>
  </r>
  <r>
    <x v="6"/>
    <n v="13.6861"/>
    <n v="-89.211799999999997"/>
    <n v="7"/>
    <n v="0"/>
    <n v="0"/>
    <n v="107"/>
    <s v="_x0000_peopl"/>
  </r>
  <r>
    <x v="6"/>
    <n v="13.678699999999999"/>
    <n v="-89.196399999999997"/>
    <n v="4"/>
    <n v="0"/>
    <n v="0"/>
    <n v="107"/>
    <s v="_x0000_peopl"/>
  </r>
  <r>
    <x v="6"/>
    <n v="13.691700000000001"/>
    <n v="-89.186499999999995"/>
    <n v="7"/>
    <n v="0"/>
    <n v="0"/>
    <n v="107"/>
    <s v="_x0000_peopl"/>
  </r>
  <r>
    <x v="6"/>
    <n v="13.6754"/>
    <n v="-89.248099999999994"/>
    <n v="9"/>
    <n v="0"/>
    <n v="0"/>
    <n v="107"/>
    <s v="_x0000_peopl"/>
  </r>
  <r>
    <x v="6"/>
    <n v="13.6889"/>
    <n v="-89.215199999999996"/>
    <n v="7"/>
    <n v="0"/>
    <n v="0"/>
    <n v="107"/>
    <s v="_x0000_peopl"/>
  </r>
  <r>
    <x v="6"/>
    <n v="13.685700000000001"/>
    <n v="-89.212500000000006"/>
    <n v="1"/>
    <n v="0"/>
    <n v="0"/>
    <n v="107"/>
    <s v="_x0000_peopl"/>
  </r>
  <r>
    <x v="6"/>
    <n v="13.692299999999999"/>
    <n v="-89.194500000000005"/>
    <n v="3"/>
    <n v="0"/>
    <n v="0"/>
    <n v="107"/>
    <s v="_x0000_peopl"/>
  </r>
  <r>
    <x v="6"/>
    <n v="13.692"/>
    <n v="-89.183199999999999"/>
    <n v="3"/>
    <n v="0"/>
    <n v="0"/>
    <n v="107"/>
    <s v="_x0000_peopl"/>
  </r>
  <r>
    <x v="6"/>
    <n v="13.6911"/>
    <n v="-89.229100000000003"/>
    <n v="5"/>
    <n v="0"/>
    <n v="0"/>
    <n v="107"/>
    <s v="_x0000_peopl"/>
  </r>
  <r>
    <x v="6"/>
    <n v="13.6869"/>
    <n v="-89.182500000000005"/>
    <n v="5"/>
    <n v="0"/>
    <n v="0"/>
    <n v="107"/>
    <s v="_x0000_peopl"/>
  </r>
  <r>
    <x v="6"/>
    <n v="13.684799999999999"/>
    <n v="-89.217100000000002"/>
    <n v="5"/>
    <n v="0"/>
    <n v="0"/>
    <n v="107"/>
    <s v="_x0000_peopl"/>
  </r>
  <r>
    <x v="6"/>
    <n v="13.6913"/>
    <n v="-89.232399999999998"/>
    <n v="5"/>
    <n v="0"/>
    <n v="0"/>
    <n v="107"/>
    <s v="_x0000_peopl"/>
  </r>
  <r>
    <x v="6"/>
    <n v="13.6798"/>
    <n v="-89.195700000000002"/>
    <n v="2"/>
    <n v="0"/>
    <n v="0"/>
    <n v="107"/>
    <s v="_x0000_peopl"/>
  </r>
  <r>
    <x v="6"/>
    <n v="13.684699999999999"/>
    <n v="-89.2136"/>
    <n v="5"/>
    <n v="0"/>
    <n v="0"/>
    <n v="107"/>
    <s v="_x0000_peopl"/>
  </r>
  <r>
    <x v="6"/>
    <n v="13.687099999999999"/>
    <n v="-89.197299999999998"/>
    <n v="10"/>
    <n v="0"/>
    <n v="0"/>
    <n v="107"/>
    <s v="_x0000_peopl"/>
  </r>
  <r>
    <x v="6"/>
    <n v="13.6905"/>
    <n v="-89.235399999999998"/>
    <n v="3"/>
    <n v="0"/>
    <n v="0"/>
    <n v="107"/>
    <s v="_x0000_peopl"/>
  </r>
  <r>
    <x v="6"/>
    <n v="13.6912"/>
    <n v="-89.233699999999999"/>
    <n v="4"/>
    <n v="0"/>
    <n v="0"/>
    <n v="107"/>
    <s v="_x0000_peopl"/>
  </r>
  <r>
    <x v="6"/>
    <n v="13.6904"/>
    <n v="-89.234099999999998"/>
    <n v="8"/>
    <n v="0"/>
    <n v="0"/>
    <n v="107"/>
    <s v="_x0000_peopl"/>
  </r>
  <r>
    <x v="6"/>
    <n v="13.686999999999999"/>
    <n v="-89.216899999999995"/>
    <n v="0"/>
    <n v="0"/>
    <n v="0"/>
    <n v="107"/>
    <s v="_x0000_peopl"/>
  </r>
  <r>
    <x v="6"/>
    <n v="13.6843"/>
    <n v="-89.213200000000001"/>
    <n v="8"/>
    <n v="0"/>
    <n v="0"/>
    <n v="107"/>
    <s v="_x0000_peopl"/>
  </r>
  <r>
    <x v="6"/>
    <n v="13.696"/>
    <n v="-89.167699999999996"/>
    <n v="5"/>
    <n v="0"/>
    <n v="0"/>
    <n v="107"/>
    <s v="_x0000_peopl"/>
  </r>
  <r>
    <x v="6"/>
    <n v="13.680899999999999"/>
    <n v="-89.195800000000006"/>
    <n v="2"/>
    <n v="0"/>
    <n v="0"/>
    <n v="107"/>
    <s v="_x0000_peopl"/>
  </r>
  <r>
    <x v="6"/>
    <n v="13.6899"/>
    <n v="-89.189400000000006"/>
    <n v="5"/>
    <n v="0"/>
    <n v="0"/>
    <n v="107"/>
    <s v="_x0000_peopl"/>
  </r>
  <r>
    <x v="6"/>
    <n v="13.6845"/>
    <n v="-89.215599999999995"/>
    <n v="4"/>
    <n v="0"/>
    <n v="0"/>
    <n v="107"/>
    <s v="_x0000_peopl"/>
  </r>
  <r>
    <x v="6"/>
    <n v="13.685499999999999"/>
    <n v="-89.194100000000006"/>
    <n v="5"/>
    <n v="0"/>
    <n v="0"/>
    <n v="107"/>
    <s v="_x0000_peopl"/>
  </r>
  <r>
    <x v="6"/>
    <n v="13.6922"/>
    <n v="-89.223399999999998"/>
    <n v="4"/>
    <n v="0"/>
    <n v="0"/>
    <n v="107"/>
    <s v="_x0000_peopl"/>
  </r>
  <r>
    <x v="6"/>
    <n v="13.6907"/>
    <n v="-89.2346"/>
    <n v="3"/>
    <n v="0"/>
    <n v="0"/>
    <n v="107"/>
    <s v="_x0000_peopl"/>
  </r>
  <r>
    <x v="6"/>
    <n v="13.694800000000001"/>
    <n v="-89.186300000000003"/>
    <n v="1"/>
    <n v="0"/>
    <n v="0"/>
    <n v="107"/>
    <s v="_x0000_peopl"/>
  </r>
  <r>
    <x v="6"/>
    <n v="13.684699999999999"/>
    <n v="-89.211600000000004"/>
    <n v="3"/>
    <n v="0"/>
    <n v="0"/>
    <n v="107"/>
    <s v="_x0000_peopl"/>
  </r>
  <r>
    <x v="6"/>
    <n v="13.674200000000001"/>
    <n v="-89.252399999999994"/>
    <n v="8"/>
    <n v="0"/>
    <n v="0"/>
    <n v="107"/>
    <s v="_x0000_peopl"/>
  </r>
  <r>
    <x v="6"/>
    <n v="13.6934"/>
    <n v="-89.188299999999998"/>
    <n v="4"/>
    <n v="0"/>
    <n v="0"/>
    <n v="107"/>
    <s v="_x0000_peopl"/>
  </r>
  <r>
    <x v="6"/>
    <n v="13.6911"/>
    <n v="-89.228800000000007"/>
    <n v="8"/>
    <n v="0"/>
    <n v="0"/>
    <n v="107"/>
    <s v="_x0000_peopl"/>
  </r>
  <r>
    <x v="6"/>
    <n v="13.684699999999999"/>
    <n v="-89.216800000000006"/>
    <n v="4"/>
    <n v="0"/>
    <n v="0"/>
    <n v="107"/>
    <s v="_x0000_peopl"/>
  </r>
  <r>
    <x v="6"/>
    <n v="13.6919"/>
    <n v="-89.182000000000002"/>
    <n v="7"/>
    <n v="0"/>
    <n v="0"/>
    <n v="107"/>
    <s v="_x0000_peopl"/>
  </r>
  <r>
    <x v="6"/>
    <n v="13.692399999999999"/>
    <n v="-89.184200000000004"/>
    <n v="3"/>
    <n v="0"/>
    <n v="0"/>
    <n v="107"/>
    <s v="_x0000_peopl"/>
  </r>
  <r>
    <x v="6"/>
    <n v="13.6739"/>
    <n v="-89.203000000000003"/>
    <n v="5"/>
    <n v="0"/>
    <n v="0"/>
    <n v="107"/>
    <s v="_x0000_peopl"/>
  </r>
  <r>
    <x v="6"/>
    <n v="13.694699999999999"/>
    <n v="-89.174099999999996"/>
    <n v="1"/>
    <n v="0"/>
    <n v="0"/>
    <n v="107"/>
    <s v="_x0000_peopl"/>
  </r>
  <r>
    <x v="6"/>
    <n v="13.6896"/>
    <n v="-89.235600000000005"/>
    <n v="4"/>
    <n v="0"/>
    <n v="0"/>
    <n v="107"/>
    <s v="_x0000_peopl"/>
  </r>
  <r>
    <x v="6"/>
    <n v="13.6876"/>
    <n v="-89.181799999999996"/>
    <n v="6"/>
    <n v="0"/>
    <n v="0"/>
    <n v="107"/>
    <s v="_x0000_peopl"/>
  </r>
  <r>
    <x v="6"/>
    <n v="13.687099999999999"/>
    <n v="-89.193899999999999"/>
    <n v="6"/>
    <n v="0"/>
    <n v="0"/>
    <n v="107"/>
    <s v="_x0000_peopl"/>
  </r>
  <r>
    <x v="6"/>
    <n v="13.6915"/>
    <n v="-89.225999999999999"/>
    <n v="4"/>
    <n v="0"/>
    <n v="0"/>
    <n v="107"/>
    <s v="_x0000_peopl"/>
  </r>
  <r>
    <x v="6"/>
    <n v="13.6911"/>
    <n v="-89.232600000000005"/>
    <n v="5"/>
    <n v="0"/>
    <n v="0"/>
    <n v="107"/>
    <s v="_x0000_peopl"/>
  </r>
  <r>
    <x v="6"/>
    <n v="13.6853"/>
    <n v="-89.2149"/>
    <n v="2"/>
    <n v="0"/>
    <n v="0"/>
    <n v="107"/>
    <s v="_x0000_peopl"/>
  </r>
  <r>
    <x v="6"/>
    <n v="13.689500000000001"/>
    <n v="-89.235500000000002"/>
    <n v="5"/>
    <n v="0"/>
    <n v="0"/>
    <n v="107"/>
    <s v="_x0000_peopl"/>
  </r>
  <r>
    <x v="6"/>
    <n v="13.6892"/>
    <n v="-89.229699999999994"/>
    <n v="4"/>
    <n v="0"/>
    <n v="0"/>
    <n v="107"/>
    <s v="_x0000_peopl"/>
  </r>
  <r>
    <x v="6"/>
    <n v="13.686500000000001"/>
    <n v="-89.193100000000001"/>
    <n v="5"/>
    <n v="0"/>
    <n v="0"/>
    <n v="107"/>
    <s v="_x0000_peopl"/>
  </r>
  <r>
    <x v="6"/>
    <n v="13.686199999999999"/>
    <n v="-89.193799999999996"/>
    <n v="2"/>
    <n v="0"/>
    <n v="0"/>
    <n v="107"/>
    <s v="_x0000_peopl"/>
  </r>
  <r>
    <x v="6"/>
    <n v="13.6965"/>
    <n v="-89.172399999999996"/>
    <n v="2"/>
    <n v="0"/>
    <n v="0"/>
    <n v="107"/>
    <s v="_x0000_peopl"/>
  </r>
  <r>
    <x v="6"/>
    <n v="13.687099999999999"/>
    <n v="-89.197400000000002"/>
    <n v="7"/>
    <n v="0"/>
    <n v="0"/>
    <n v="107"/>
    <s v="_x0000_peopl"/>
  </r>
  <r>
    <x v="6"/>
    <n v="13.686"/>
    <n v="-89.213200000000001"/>
    <n v="3"/>
    <n v="0"/>
    <n v="0"/>
    <n v="107"/>
    <s v="_x0000_peopl"/>
  </r>
  <r>
    <x v="6"/>
    <n v="13.6882"/>
    <n v="-89.216700000000003"/>
    <n v="5"/>
    <n v="0"/>
    <n v="0"/>
    <n v="107"/>
    <s v="_x0000_peopl"/>
  </r>
  <r>
    <x v="6"/>
    <n v="13.692600000000001"/>
    <n v="-89.184600000000003"/>
    <n v="5"/>
    <n v="0"/>
    <n v="0"/>
    <n v="107"/>
    <s v="_x0000_peopl"/>
  </r>
  <r>
    <x v="6"/>
    <n v="13.692500000000001"/>
    <n v="-89.225700000000003"/>
    <n v="8"/>
    <n v="0"/>
    <n v="0"/>
    <n v="107"/>
    <s v="_x0000_peopl"/>
  </r>
  <r>
    <x v="6"/>
    <n v="13.688700000000001"/>
    <n v="-89.204499999999996"/>
    <n v="2"/>
    <n v="0"/>
    <n v="0"/>
    <n v="107"/>
    <s v="_x0000_peopl"/>
  </r>
  <r>
    <x v="6"/>
    <n v="13.695600000000001"/>
    <n v="-89.174099999999996"/>
    <n v="2"/>
    <n v="0"/>
    <n v="0"/>
    <n v="107"/>
    <s v="_x0000_peopl"/>
  </r>
  <r>
    <x v="6"/>
    <n v="13.687200000000001"/>
    <n v="-89.195800000000006"/>
    <n v="7"/>
    <n v="0"/>
    <n v="0"/>
    <n v="107"/>
    <s v="_x0000_peopl"/>
  </r>
  <r>
    <x v="6"/>
    <n v="13.692399999999999"/>
    <n v="-89.175899999999999"/>
    <n v="6"/>
    <n v="0"/>
    <n v="0"/>
    <n v="107"/>
    <s v="_x0000_peopl"/>
  </r>
  <r>
    <x v="6"/>
    <n v="13.688599999999999"/>
    <n v="-89.198800000000006"/>
    <n v="3"/>
    <n v="0"/>
    <n v="0"/>
    <n v="107"/>
    <s v="_x0000_peopl"/>
  </r>
  <r>
    <x v="6"/>
    <n v="13.673"/>
    <n v="-89.204599999999999"/>
    <n v="1"/>
    <n v="0"/>
    <n v="0"/>
    <n v="107"/>
    <s v="_x0000_peopl"/>
  </r>
  <r>
    <x v="6"/>
    <n v="13.6793"/>
    <n v="-89.194000000000003"/>
    <n v="6"/>
    <n v="0"/>
    <n v="0"/>
    <n v="107"/>
    <s v="_x0000_peopl"/>
  </r>
  <r>
    <x v="6"/>
    <n v="13.6739"/>
    <n v="-89.202799999999996"/>
    <n v="7"/>
    <n v="0"/>
    <n v="0"/>
    <n v="107"/>
    <s v="_x0000_peopl"/>
  </r>
  <r>
    <x v="6"/>
    <n v="13.6914"/>
    <n v="-89.235299999999995"/>
    <n v="3"/>
    <n v="0"/>
    <n v="0"/>
    <n v="107"/>
    <s v="_x0000_peopl"/>
  </r>
  <r>
    <x v="6"/>
    <n v="13.689500000000001"/>
    <n v="-89.235299999999995"/>
    <n v="3"/>
    <n v="0"/>
    <n v="0"/>
    <n v="107"/>
    <s v="_x0000_peopl"/>
  </r>
  <r>
    <x v="6"/>
    <n v="13.6898"/>
    <n v="-89.216800000000006"/>
    <n v="1"/>
    <n v="0"/>
    <n v="0"/>
    <n v="107"/>
    <s v="_x0000_peopl"/>
  </r>
  <r>
    <x v="6"/>
    <n v="13.6914"/>
    <n v="-89.233599999999996"/>
    <n v="5"/>
    <n v="0"/>
    <n v="0"/>
    <n v="107"/>
    <s v="_x0000_peopl"/>
  </r>
  <r>
    <x v="6"/>
    <n v="13.6927"/>
    <n v="-89.174000000000007"/>
    <n v="6"/>
    <n v="0"/>
    <n v="0"/>
    <n v="107"/>
    <s v="_x0000_peopl"/>
  </r>
  <r>
    <x v="6"/>
    <n v="13.6867"/>
    <n v="-89.191299999999998"/>
    <n v="4"/>
    <n v="0"/>
    <n v="0"/>
    <n v="107"/>
    <s v="_x0000_peopl"/>
  </r>
  <r>
    <x v="6"/>
    <n v="13.6943"/>
    <n v="-89.173400000000001"/>
    <n v="6"/>
    <n v="0"/>
    <n v="0"/>
    <n v="107"/>
    <s v="_x0000_peopl"/>
  </r>
  <r>
    <x v="6"/>
    <n v="13.6907"/>
    <n v="-89.186199999999999"/>
    <n v="11"/>
    <n v="0"/>
    <n v="0"/>
    <n v="107"/>
    <s v="_x0000_peopl"/>
  </r>
  <r>
    <x v="6"/>
    <n v="13.690899999999999"/>
    <n v="-89.181600000000003"/>
    <n v="5"/>
    <n v="0"/>
    <n v="0"/>
    <n v="107"/>
    <s v="_x0000_peopl"/>
  </r>
  <r>
    <x v="6"/>
    <n v="13.6937"/>
    <n v="-89.173299999999998"/>
    <n v="5"/>
    <n v="0"/>
    <n v="0"/>
    <n v="107"/>
    <s v="_x0000_peopl"/>
  </r>
  <r>
    <x v="6"/>
    <n v="13.6914"/>
    <n v="-89.188199999999995"/>
    <n v="3"/>
    <n v="0"/>
    <n v="0"/>
    <n v="107"/>
    <s v="_x0000_peopl"/>
  </r>
  <r>
    <x v="6"/>
    <n v="13.674799999999999"/>
    <n v="-89.249499999999998"/>
    <n v="2"/>
    <n v="0"/>
    <n v="0"/>
    <n v="107"/>
    <s v="_x0000_peopl"/>
  </r>
  <r>
    <x v="6"/>
    <n v="13.673999999999999"/>
    <n v="-89.252300000000005"/>
    <n v="7"/>
    <n v="0"/>
    <n v="0"/>
    <n v="107"/>
    <s v="_x0000_peopl"/>
  </r>
  <r>
    <x v="6"/>
    <n v="13.692"/>
    <n v="-89.193600000000004"/>
    <n v="4"/>
    <n v="0"/>
    <n v="0"/>
    <n v="107"/>
    <s v="_x0000_peopl"/>
  </r>
  <r>
    <x v="6"/>
    <n v="13.691000000000001"/>
    <n v="-89.186599999999999"/>
    <n v="7"/>
    <n v="0"/>
    <n v="0"/>
    <n v="107"/>
    <s v="_x0000_peopl"/>
  </r>
  <r>
    <x v="6"/>
    <n v="13.6798"/>
    <n v="-89.195800000000006"/>
    <n v="6"/>
    <n v="0"/>
    <n v="0"/>
    <n v="107"/>
    <s v="_x0000_peopl"/>
  </r>
  <r>
    <x v="6"/>
    <n v="13.693099999999999"/>
    <n v="-89.189899999999994"/>
    <n v="7"/>
    <n v="0"/>
    <n v="0"/>
    <n v="107"/>
    <s v="_x0000_peopl"/>
  </r>
  <r>
    <x v="6"/>
    <n v="13.690899999999999"/>
    <n v="-89.233099999999993"/>
    <n v="4"/>
    <n v="0"/>
    <n v="0"/>
    <n v="107"/>
    <s v="_x0000_peopl"/>
  </r>
  <r>
    <x v="6"/>
    <n v="13.690300000000001"/>
    <n v="-89.188500000000005"/>
    <n v="5"/>
    <n v="0"/>
    <n v="0"/>
    <n v="107"/>
    <s v="_x0000_peopl"/>
  </r>
  <r>
    <x v="6"/>
    <n v="13.6911"/>
    <n v="-89.226500000000001"/>
    <n v="7"/>
    <n v="0"/>
    <n v="0"/>
    <n v="107"/>
    <s v="_x0000_peopl"/>
  </r>
  <r>
    <x v="6"/>
    <n v="13.690200000000001"/>
    <n v="-89.195899999999995"/>
    <n v="5"/>
    <n v="0"/>
    <n v="0"/>
    <n v="107"/>
    <s v="_x0000_peopl"/>
  </r>
  <r>
    <x v="6"/>
    <n v="13.686999999999999"/>
    <n v="-89.197299999999998"/>
    <n v="3"/>
    <n v="0"/>
    <n v="0"/>
    <n v="107"/>
    <s v="_x0000_peopl"/>
  </r>
  <r>
    <x v="6"/>
    <n v="13.691599999999999"/>
    <n v="-89.186000000000007"/>
    <n v="7"/>
    <n v="0"/>
    <n v="0"/>
    <n v="107"/>
    <s v="_x0000_peopl"/>
  </r>
  <r>
    <x v="6"/>
    <n v="13.674300000000001"/>
    <n v="-89.251000000000005"/>
    <n v="6"/>
    <n v="0"/>
    <n v="0"/>
    <n v="107"/>
    <s v="_x0000_peopl"/>
  </r>
  <r>
    <x v="6"/>
    <n v="13.6904"/>
    <n v="-89.235600000000005"/>
    <n v="6"/>
    <n v="0"/>
    <n v="0"/>
    <n v="107"/>
    <s v="_x0000_peopl"/>
  </r>
  <r>
    <x v="6"/>
    <n v="13.6874"/>
    <n v="-89.1828"/>
    <n v="3"/>
    <n v="0"/>
    <n v="0"/>
    <n v="107"/>
    <s v="_x0000_peopl"/>
  </r>
  <r>
    <x v="6"/>
    <n v="13.690899999999999"/>
    <n v="-89.190799999999996"/>
    <n v="5"/>
    <n v="0"/>
    <n v="0"/>
    <n v="107"/>
    <s v="_x0000_peopl"/>
  </r>
  <r>
    <x v="6"/>
    <n v="13.6974"/>
    <n v="-89.171400000000006"/>
    <n v="7"/>
    <n v="0"/>
    <n v="0"/>
    <n v="107"/>
    <s v="_x0000_peopl"/>
  </r>
  <r>
    <x v="6"/>
    <n v="13.691700000000001"/>
    <n v="-89.186000000000007"/>
    <n v="6"/>
    <n v="0"/>
    <n v="0"/>
    <n v="107"/>
    <s v="_x0000_peopl"/>
  </r>
  <r>
    <x v="6"/>
    <n v="13.6898"/>
    <n v="-89.185900000000004"/>
    <n v="3"/>
    <n v="0"/>
    <n v="0"/>
    <n v="107"/>
    <s v="_x0000_peopl"/>
  </r>
  <r>
    <x v="6"/>
    <n v="13.684900000000001"/>
    <n v="-89.203500000000005"/>
    <n v="8"/>
    <n v="0"/>
    <n v="0"/>
    <n v="107"/>
    <s v="_x0000_peopl"/>
  </r>
  <r>
    <x v="6"/>
    <n v="13.691599999999999"/>
    <n v="-89.233400000000003"/>
    <n v="6"/>
    <n v="0"/>
    <n v="0"/>
    <n v="107"/>
    <s v="_x0000_peopl"/>
  </r>
  <r>
    <x v="6"/>
    <n v="13.6958"/>
    <n v="-89.165599999999998"/>
    <n v="3"/>
    <n v="0"/>
    <n v="0"/>
    <n v="107"/>
    <s v="_x0000_peopl"/>
  </r>
  <r>
    <x v="6"/>
    <n v="13.6875"/>
    <n v="-89.194400000000002"/>
    <n v="8"/>
    <n v="0"/>
    <n v="0"/>
    <n v="107"/>
    <s v="_x0000_peopl"/>
  </r>
  <r>
    <x v="6"/>
    <n v="13.6868"/>
    <n v="-89.212599999999995"/>
    <n v="5"/>
    <n v="0"/>
    <n v="0"/>
    <n v="107"/>
    <s v="_x0000_peopl"/>
  </r>
  <r>
    <x v="6"/>
    <n v="13.6919"/>
    <n v="-89.224000000000004"/>
    <n v="6"/>
    <n v="0"/>
    <n v="0"/>
    <n v="107"/>
    <s v="_x0000_peopl"/>
  </r>
  <r>
    <x v="6"/>
    <n v="13.6852"/>
    <n v="-89.194000000000003"/>
    <n v="1"/>
    <n v="0"/>
    <n v="0"/>
    <n v="107"/>
    <s v="_x0000_peopl"/>
  </r>
  <r>
    <x v="6"/>
    <n v="13.6868"/>
    <n v="-89.211600000000004"/>
    <n v="2"/>
    <n v="0"/>
    <n v="0"/>
    <n v="107"/>
    <s v="_x0000_peopl"/>
  </r>
  <r>
    <x v="6"/>
    <n v="13.6922"/>
    <n v="-89.222200000000001"/>
    <n v="7"/>
    <n v="0"/>
    <n v="0"/>
    <n v="107"/>
    <s v="_x0000_peopl"/>
  </r>
  <r>
    <x v="6"/>
    <n v="13.686999999999999"/>
    <n v="-89.197100000000006"/>
    <n v="11"/>
    <n v="0"/>
    <n v="0"/>
    <n v="107"/>
    <s v="_x0000_peopl"/>
  </r>
  <r>
    <x v="6"/>
    <n v="13.692299999999999"/>
    <n v="-89.223600000000005"/>
    <n v="3"/>
    <n v="0"/>
    <n v="0"/>
    <n v="107"/>
    <s v="_x0000_peopl"/>
  </r>
  <r>
    <x v="6"/>
    <n v="13.6942"/>
    <n v="-89.175299999999993"/>
    <n v="10"/>
    <n v="0"/>
    <n v="0"/>
    <n v="107"/>
    <s v="_x0000_peopl"/>
  </r>
  <r>
    <x v="6"/>
    <n v="13.6899"/>
    <n v="-89.184700000000007"/>
    <n v="6"/>
    <n v="0"/>
    <n v="0"/>
    <n v="107"/>
    <s v="_x0000_peopl"/>
  </r>
  <r>
    <x v="6"/>
    <n v="13.6854"/>
    <n v="-89.215800000000002"/>
    <n v="14"/>
    <n v="0"/>
    <n v="0"/>
    <n v="107"/>
    <s v="_x0000_peopl"/>
  </r>
  <r>
    <x v="6"/>
    <n v="13.691700000000001"/>
    <n v="-89.233099999999993"/>
    <n v="11"/>
    <n v="0"/>
    <n v="0"/>
    <n v="107"/>
    <s v="_x0000_peopl"/>
  </r>
  <r>
    <x v="6"/>
    <n v="13.691599999999999"/>
    <n v="-89.233900000000006"/>
    <n v="6"/>
    <n v="0"/>
    <n v="0"/>
    <n v="107"/>
    <s v="_x0000_peopl"/>
  </r>
  <r>
    <x v="6"/>
    <n v="13.6922"/>
    <n v="-89.175200000000004"/>
    <n v="3"/>
    <n v="0"/>
    <n v="0"/>
    <n v="107"/>
    <s v="_x0000_peopl"/>
  </r>
  <r>
    <x v="6"/>
    <n v="13.692399999999999"/>
    <n v="-89.184700000000007"/>
    <n v="5"/>
    <n v="0"/>
    <n v="0"/>
    <n v="107"/>
    <s v="_x0000_peopl"/>
  </r>
  <r>
    <x v="6"/>
    <n v="13.695600000000001"/>
    <n v="-89.173500000000004"/>
    <n v="9"/>
    <n v="0"/>
    <n v="0"/>
    <n v="107"/>
    <s v="_x0000_peopl"/>
  </r>
  <r>
    <x v="6"/>
    <n v="13.6884"/>
    <n v="-89.2042"/>
    <n v="3"/>
    <n v="0"/>
    <n v="0"/>
    <n v="107"/>
    <s v="_x0000_peopl"/>
  </r>
  <r>
    <x v="6"/>
    <n v="13.6739"/>
    <n v="-89.2029"/>
    <n v="6"/>
    <n v="0"/>
    <n v="0"/>
    <n v="107"/>
    <s v="_x0000_peopl"/>
  </r>
  <r>
    <x v="6"/>
    <n v="13.686"/>
    <n v="-89.216300000000004"/>
    <n v="5"/>
    <n v="0"/>
    <n v="0"/>
    <n v="107"/>
    <s v="_x0000_peopl"/>
  </r>
  <r>
    <x v="6"/>
    <n v="13.686500000000001"/>
    <n v="-89.192999999999998"/>
    <n v="4"/>
    <n v="0"/>
    <n v="0"/>
    <n v="107"/>
    <s v="_x0000_peopl"/>
  </r>
  <r>
    <x v="6"/>
    <n v="13.686299999999999"/>
    <n v="-89.204300000000003"/>
    <n v="5"/>
    <n v="0"/>
    <n v="0"/>
    <n v="107"/>
    <s v="_x0000_peopl"/>
  </r>
  <r>
    <x v="6"/>
    <n v="13.691700000000001"/>
    <n v="-89.179599999999994"/>
    <n v="1"/>
    <n v="0"/>
    <n v="0"/>
    <n v="107"/>
    <s v="_x0000_peopl"/>
  </r>
  <r>
    <x v="6"/>
    <n v="13.6873"/>
    <n v="-89.196299999999994"/>
    <n v="6"/>
    <n v="0"/>
    <n v="0"/>
    <n v="107"/>
    <s v="_x0000_peopl"/>
  </r>
  <r>
    <x v="6"/>
    <n v="13.674099999999999"/>
    <n v="-89.252200000000002"/>
    <n v="4"/>
    <n v="0"/>
    <n v="0"/>
    <n v="107"/>
    <s v="_x0000_peopl"/>
  </r>
  <r>
    <x v="6"/>
    <n v="13.6745"/>
    <n v="-89.199600000000004"/>
    <n v="4"/>
    <n v="0"/>
    <n v="0"/>
    <n v="107"/>
    <s v="_x0000_peopl"/>
  </r>
  <r>
    <x v="6"/>
    <n v="13.687900000000001"/>
    <n v="-89.212500000000006"/>
    <n v="3"/>
    <n v="0"/>
    <n v="0"/>
    <n v="107"/>
    <s v="_x0000_peopl"/>
  </r>
  <r>
    <x v="6"/>
    <n v="13.6881"/>
    <n v="-89.189899999999994"/>
    <n v="9"/>
    <n v="0"/>
    <n v="0"/>
    <n v="107"/>
    <s v="_x0000_peopl"/>
  </r>
  <r>
    <x v="6"/>
    <n v="13.6899"/>
    <n v="-89.177800000000005"/>
    <n v="2"/>
    <n v="0"/>
    <n v="0"/>
    <n v="107"/>
    <s v="_x0000_peopl"/>
  </r>
  <r>
    <x v="6"/>
    <n v="13.694900000000001"/>
    <n v="-89.175299999999993"/>
    <n v="6"/>
    <n v="0"/>
    <n v="0"/>
    <n v="107"/>
    <s v="_x0000_peopl"/>
  </r>
  <r>
    <x v="6"/>
    <n v="13.6907"/>
    <n v="-89.234399999999994"/>
    <n v="8"/>
    <n v="0"/>
    <n v="0"/>
    <n v="107"/>
    <s v="_x0000_peopl"/>
  </r>
  <r>
    <x v="6"/>
    <n v="13.674300000000001"/>
    <n v="-89.251999999999995"/>
    <n v="0"/>
    <n v="0"/>
    <n v="0"/>
    <n v="107"/>
    <s v="_x0000_peopl"/>
  </r>
  <r>
    <x v="6"/>
    <n v="13.6907"/>
    <n v="-89.183599999999998"/>
    <n v="7"/>
    <n v="0"/>
    <n v="0"/>
    <n v="107"/>
    <s v="_x0000_peopl"/>
  </r>
  <r>
    <x v="6"/>
    <n v="13.6905"/>
    <n v="-89.227800000000002"/>
    <n v="5"/>
    <n v="0"/>
    <n v="0"/>
    <n v="107"/>
    <s v="_x0000_peopl"/>
  </r>
  <r>
    <x v="6"/>
    <n v="13.691000000000001"/>
    <n v="-89.232600000000005"/>
    <n v="8"/>
    <n v="0"/>
    <n v="0"/>
    <n v="107"/>
    <s v="_x0000_peopl"/>
  </r>
  <r>
    <x v="6"/>
    <n v="13.6927"/>
    <n v="-89.183199999999999"/>
    <n v="3"/>
    <n v="0"/>
    <n v="0"/>
    <n v="107"/>
    <s v="_x0000_peopl"/>
  </r>
  <r>
    <x v="6"/>
    <n v="13.6915"/>
    <n v="-89.232900000000001"/>
    <n v="6"/>
    <n v="0"/>
    <n v="0"/>
    <n v="107"/>
    <s v="_x0000_peopl"/>
  </r>
  <r>
    <x v="6"/>
    <n v="13.691700000000001"/>
    <n v="-89.186000000000007"/>
    <n v="3"/>
    <n v="0"/>
    <n v="0"/>
    <n v="107"/>
    <s v="_x0000_peopl"/>
  </r>
  <r>
    <x v="6"/>
    <n v="13.6913"/>
    <n v="-89.232900000000001"/>
    <n v="7"/>
    <n v="0"/>
    <n v="0"/>
    <n v="107"/>
    <s v="_x0000_peopl"/>
  </r>
  <r>
    <x v="6"/>
    <n v="13.6914"/>
    <n v="-89.22"/>
    <n v="7"/>
    <n v="0"/>
    <n v="0"/>
    <n v="107"/>
    <s v="_x0000_peopl"/>
  </r>
  <r>
    <x v="6"/>
    <n v="13.688700000000001"/>
    <n v="-89.229299999999995"/>
    <n v="1"/>
    <n v="0"/>
    <n v="0"/>
    <n v="107"/>
    <s v="_x0000_peopl"/>
  </r>
  <r>
    <x v="6"/>
    <n v="13.690099999999999"/>
    <n v="-89.2286"/>
    <n v="0"/>
    <n v="0"/>
    <n v="0"/>
    <n v="107"/>
    <s v="_x0000_peopl"/>
  </r>
  <r>
    <x v="6"/>
    <n v="13.691599999999999"/>
    <n v="-89.232699999999994"/>
    <n v="6"/>
    <n v="0"/>
    <n v="0"/>
    <n v="107"/>
    <s v="_x0000_peopl"/>
  </r>
  <r>
    <x v="6"/>
    <n v="13.695"/>
    <n v="-89.182500000000005"/>
    <n v="4"/>
    <n v="0"/>
    <n v="0"/>
    <n v="107"/>
    <s v="_x0000_peopl"/>
  </r>
  <r>
    <x v="6"/>
    <n v="13.691599999999999"/>
    <n v="-89.225499999999997"/>
    <n v="2"/>
    <n v="0"/>
    <n v="0"/>
    <n v="107"/>
    <s v="_x0000_peopl"/>
  </r>
  <r>
    <x v="6"/>
    <n v="13.6858"/>
    <n v="-89.215400000000002"/>
    <n v="7"/>
    <n v="0"/>
    <n v="0"/>
    <n v="107"/>
    <s v="_x0000_peopl"/>
  </r>
  <r>
    <x v="6"/>
    <n v="13.686"/>
    <n v="-89.215199999999996"/>
    <n v="8"/>
    <n v="0"/>
    <n v="0"/>
    <n v="107"/>
    <s v="_x0000_peopl"/>
  </r>
  <r>
    <x v="6"/>
    <n v="13.6877"/>
    <n v="-89.179699999999997"/>
    <n v="8"/>
    <n v="0"/>
    <n v="0"/>
    <n v="107"/>
    <s v="_x0000_peopl"/>
  </r>
  <r>
    <x v="6"/>
    <n v="13.684900000000001"/>
    <n v="-89.213499999999996"/>
    <n v="4"/>
    <n v="0"/>
    <n v="0"/>
    <n v="107"/>
    <s v="_x0000_peopl"/>
  </r>
  <r>
    <x v="6"/>
    <n v="13.690799999999999"/>
    <n v="-89.227599999999995"/>
    <n v="5"/>
    <n v="0"/>
    <n v="0"/>
    <n v="107"/>
    <s v="_x0000_peopl"/>
  </r>
  <r>
    <x v="6"/>
    <n v="13.691000000000001"/>
    <n v="-89.233999999999995"/>
    <n v="10"/>
    <n v="0"/>
    <n v="0"/>
    <n v="107"/>
    <s v="_x0000_peopl"/>
  </r>
  <r>
    <x v="6"/>
    <n v="13.6935"/>
    <n v="-89.176699999999997"/>
    <n v="3"/>
    <n v="0"/>
    <n v="0"/>
    <n v="107"/>
    <s v="_x0000_peopl"/>
  </r>
  <r>
    <x v="6"/>
    <n v="13.689299999999999"/>
    <n v="-89.235799999999998"/>
    <n v="5"/>
    <n v="0"/>
    <n v="0"/>
    <n v="107"/>
    <s v="_x0000_peopl"/>
  </r>
  <r>
    <x v="6"/>
    <n v="13.6874"/>
    <n v="-89.182400000000001"/>
    <n v="4"/>
    <n v="0"/>
    <n v="0"/>
    <n v="107"/>
    <s v="_x0000_peopl"/>
  </r>
  <r>
    <x v="6"/>
    <n v="13.694599999999999"/>
    <n v="-89.174199999999999"/>
    <n v="3"/>
    <n v="0"/>
    <n v="0"/>
    <n v="107"/>
    <s v="_x0000_peopl"/>
  </r>
  <r>
    <x v="6"/>
    <n v="13.694699999999999"/>
    <n v="-89.174899999999994"/>
    <n v="5"/>
    <n v="0"/>
    <n v="0"/>
    <n v="107"/>
    <s v="_x0000_peopl"/>
  </r>
  <r>
    <x v="6"/>
    <n v="13.691599999999999"/>
    <n v="-89.186000000000007"/>
    <n v="1"/>
    <n v="0"/>
    <n v="0"/>
    <n v="107"/>
    <s v="_x0000_peopl"/>
  </r>
  <r>
    <x v="6"/>
    <n v="13.6912"/>
    <n v="-89.233199999999997"/>
    <n v="1"/>
    <n v="0"/>
    <n v="0"/>
    <n v="107"/>
    <s v="_x0000_peopl"/>
  </r>
  <r>
    <x v="6"/>
    <n v="13.6914"/>
    <n v="-89.183199999999999"/>
    <n v="4"/>
    <n v="0"/>
    <n v="0"/>
    <n v="107"/>
    <s v="_x0000_peopl"/>
  </r>
  <r>
    <x v="6"/>
    <n v="13.693300000000001"/>
    <n v="-89.176699999999997"/>
    <n v="5"/>
    <n v="0"/>
    <n v="0"/>
    <n v="107"/>
    <s v="_x0000_peopl"/>
  </r>
  <r>
    <x v="6"/>
    <n v="13.685499999999999"/>
    <n v="-89.211299999999994"/>
    <n v="6"/>
    <n v="0"/>
    <n v="0"/>
    <n v="107"/>
    <s v="_x0000_peopl"/>
  </r>
  <r>
    <x v="6"/>
    <n v="13.692600000000001"/>
    <n v="-89.225200000000001"/>
    <n v="7"/>
    <n v="0"/>
    <n v="0"/>
    <n v="107"/>
    <s v="_x0000_peopl"/>
  </r>
  <r>
    <x v="6"/>
    <n v="13.687200000000001"/>
    <n v="-89.197699999999998"/>
    <n v="6"/>
    <n v="0"/>
    <n v="0"/>
    <n v="107"/>
    <s v="_x0000_peopl"/>
  </r>
  <r>
    <x v="6"/>
    <n v="13.679399999999999"/>
    <n v="-89.197100000000006"/>
    <n v="5"/>
    <n v="0"/>
    <n v="0"/>
    <n v="107"/>
    <s v="_x0000_peopl"/>
  </r>
  <r>
    <x v="6"/>
    <n v="13.6851"/>
    <n v="-89.217299999999994"/>
    <n v="4"/>
    <n v="0"/>
    <n v="0"/>
    <n v="107"/>
    <s v="_x0000_peopl"/>
  </r>
  <r>
    <x v="6"/>
    <n v="13.6915"/>
    <n v="-89.1892"/>
    <n v="6"/>
    <n v="0"/>
    <n v="0"/>
    <n v="107"/>
    <s v="_x0000_peopl"/>
  </r>
  <r>
    <x v="6"/>
    <n v="13.6915"/>
    <n v="-89.185500000000005"/>
    <n v="5"/>
    <n v="0"/>
    <n v="0"/>
    <n v="107"/>
    <s v="_x0000_peopl"/>
  </r>
  <r>
    <x v="6"/>
    <n v="13.690200000000001"/>
    <n v="-89.235900000000001"/>
    <n v="7"/>
    <n v="0"/>
    <n v="0"/>
    <n v="107"/>
    <s v="_x0000_peopl"/>
  </r>
  <r>
    <x v="6"/>
    <n v="13.686199999999999"/>
    <n v="-89.211500000000001"/>
    <n v="6"/>
    <n v="0"/>
    <n v="0"/>
    <n v="107"/>
    <s v="_x0000_peopl"/>
  </r>
  <r>
    <x v="6"/>
    <n v="13.6898"/>
    <n v="-89.189099999999996"/>
    <n v="3"/>
    <n v="0"/>
    <n v="0"/>
    <n v="107"/>
    <s v="_x0000_peopl"/>
  </r>
  <r>
    <x v="6"/>
    <n v="13.69"/>
    <n v="-89.236000000000004"/>
    <n v="4"/>
    <n v="0"/>
    <n v="0"/>
    <n v="107"/>
    <s v="_x0000_peopl"/>
  </r>
  <r>
    <x v="6"/>
    <n v="13.6913"/>
    <n v="-89.194400000000002"/>
    <n v="6"/>
    <n v="0"/>
    <n v="0"/>
    <n v="107"/>
    <s v="_x0000_peopl"/>
  </r>
  <r>
    <x v="6"/>
    <n v="13.6851"/>
    <n v="-89.214600000000004"/>
    <n v="5"/>
    <n v="0"/>
    <n v="0"/>
    <n v="107"/>
    <s v="_x0000_peopl"/>
  </r>
  <r>
    <x v="6"/>
    <n v="13.6854"/>
    <n v="-89.203199999999995"/>
    <n v="6"/>
    <n v="0"/>
    <n v="0"/>
    <n v="107"/>
    <s v="_x0000_peopl"/>
  </r>
  <r>
    <x v="6"/>
    <n v="13.6875"/>
    <n v="-89.179599999999994"/>
    <n v="4"/>
    <n v="0"/>
    <n v="0"/>
    <n v="107"/>
    <s v="_x0000_peopl"/>
  </r>
  <r>
    <x v="6"/>
    <n v="13.6876"/>
    <n v="-89.195099999999996"/>
    <n v="4"/>
    <n v="0"/>
    <n v="0"/>
    <n v="107"/>
    <s v="_x0000_peopl"/>
  </r>
  <r>
    <x v="6"/>
    <n v="13.6873"/>
    <n v="-89.211500000000001"/>
    <n v="7"/>
    <n v="0"/>
    <n v="0"/>
    <n v="107"/>
    <s v="_x0000_peopl"/>
  </r>
  <r>
    <x v="6"/>
    <n v="13.689500000000001"/>
    <n v="-89.235699999999994"/>
    <n v="3"/>
    <n v="0"/>
    <n v="0"/>
    <n v="107"/>
    <s v="_x0000_peopl"/>
  </r>
  <r>
    <x v="6"/>
    <n v="13.690899999999999"/>
    <n v="-89.231200000000001"/>
    <n v="4"/>
    <n v="0"/>
    <n v="0"/>
    <n v="107"/>
    <s v="_x0000_peopl"/>
  </r>
  <r>
    <x v="6"/>
    <n v="13.6966"/>
    <n v="-89.171400000000006"/>
    <n v="4"/>
    <n v="0"/>
    <n v="0"/>
    <n v="107"/>
    <s v="_x0000_peopl"/>
  </r>
  <r>
    <x v="6"/>
    <n v="13.6854"/>
    <n v="-89.193200000000004"/>
    <n v="3"/>
    <n v="0"/>
    <n v="0"/>
    <n v="107"/>
    <s v="_x0000_peopl"/>
  </r>
  <r>
    <x v="6"/>
    <n v="13.6922"/>
    <n v="-89.175399999999996"/>
    <n v="2"/>
    <n v="0"/>
    <n v="0"/>
    <n v="107"/>
    <s v="_x0000_peopl"/>
  </r>
  <r>
    <x v="6"/>
    <n v="13.6859"/>
    <n v="-89.204099999999997"/>
    <n v="4"/>
    <n v="0"/>
    <n v="0"/>
    <n v="107"/>
    <s v="_x0000_peopl"/>
  </r>
  <r>
    <x v="6"/>
    <n v="13.6875"/>
    <n v="-89.196600000000004"/>
    <n v="4"/>
    <n v="0"/>
    <n v="0"/>
    <n v="107"/>
    <s v="_x0000_peopl"/>
  </r>
  <r>
    <x v="6"/>
    <n v="13.6914"/>
    <n v="-89.220600000000005"/>
    <n v="5"/>
    <n v="0"/>
    <n v="0"/>
    <n v="107"/>
    <s v="_x0000_peopl"/>
  </r>
  <r>
    <x v="6"/>
    <n v="13.6957"/>
    <n v="-89.173000000000002"/>
    <n v="2"/>
    <n v="0"/>
    <n v="0"/>
    <n v="107"/>
    <s v="_x0000_peopl"/>
  </r>
  <r>
    <x v="6"/>
    <n v="13.6943"/>
    <n v="-89.175799999999995"/>
    <n v="8"/>
    <n v="0"/>
    <n v="0"/>
    <n v="107"/>
    <s v="_x0000_peopl"/>
  </r>
  <r>
    <x v="6"/>
    <n v="13.690099999999999"/>
    <n v="-89.235699999999994"/>
    <n v="6"/>
    <n v="0"/>
    <n v="0"/>
    <n v="107"/>
    <s v="_x0000_peopl"/>
  </r>
  <r>
    <x v="6"/>
    <n v="13.6904"/>
    <n v="-89.186199999999999"/>
    <n v="6"/>
    <n v="0"/>
    <n v="0"/>
    <n v="107"/>
    <s v="_x0000_peopl"/>
  </r>
  <r>
    <x v="6"/>
    <n v="13.6812"/>
    <n v="-89.195300000000003"/>
    <n v="5"/>
    <n v="0"/>
    <n v="0"/>
    <n v="107"/>
    <s v="_x0000_peopl"/>
  </r>
  <r>
    <x v="6"/>
    <n v="13.6907"/>
    <n v="-89.232399999999998"/>
    <n v="5"/>
    <n v="0"/>
    <n v="0"/>
    <n v="107"/>
    <s v="_x0000_peopl"/>
  </r>
  <r>
    <x v="6"/>
    <n v="13.691800000000001"/>
    <n v="-89.186499999999995"/>
    <n v="5"/>
    <n v="0"/>
    <n v="0"/>
    <n v="107"/>
    <s v="_x0000_peopl"/>
  </r>
  <r>
    <x v="6"/>
    <n v="13.695499999999999"/>
    <n v="-89.173100000000005"/>
    <n v="5"/>
    <n v="0"/>
    <n v="0"/>
    <n v="107"/>
    <s v="_x0000_peopl"/>
  </r>
  <r>
    <x v="6"/>
    <n v="13.6861"/>
    <n v="-89.198300000000003"/>
    <n v="5"/>
    <n v="0"/>
    <n v="0"/>
    <n v="107"/>
    <s v="_x0000_peopl"/>
  </r>
  <r>
    <x v="6"/>
    <n v="13.692399999999999"/>
    <n v="-89.225399999999993"/>
    <n v="4"/>
    <n v="0"/>
    <n v="0"/>
    <n v="107"/>
    <s v="_x0000_peopl"/>
  </r>
  <r>
    <x v="6"/>
    <n v="13.689500000000001"/>
    <n v="-89.208100000000002"/>
    <n v="5"/>
    <n v="0"/>
    <n v="0"/>
    <n v="107"/>
    <s v="_x0000_peopl"/>
  </r>
  <r>
    <x v="6"/>
    <n v="13.677099999999999"/>
    <n v="-89.247699999999995"/>
    <n v="3"/>
    <n v="0"/>
    <n v="0"/>
    <n v="107"/>
    <s v="_x0000_peopl"/>
  </r>
  <r>
    <x v="6"/>
    <n v="13.6919"/>
    <n v="-89.175899999999999"/>
    <n v="7"/>
    <n v="0"/>
    <n v="0"/>
    <n v="107"/>
    <s v="_x0000_peopl"/>
  </r>
  <r>
    <x v="6"/>
    <n v="13.690099999999999"/>
    <n v="-89.18"/>
    <n v="1"/>
    <n v="0"/>
    <n v="0"/>
    <n v="107"/>
    <s v="_x0000_peopl"/>
  </r>
  <r>
    <x v="6"/>
    <n v="13.689500000000001"/>
    <n v="-89.228899999999996"/>
    <n v="3"/>
    <n v="0"/>
    <n v="0"/>
    <n v="107"/>
    <s v="_x0000_peopl"/>
  </r>
  <r>
    <x v="6"/>
    <n v="13.6867"/>
    <n v="-89.192899999999995"/>
    <n v="5"/>
    <n v="0"/>
    <n v="0"/>
    <n v="107"/>
    <s v="_x0000_peopl"/>
  </r>
  <r>
    <x v="6"/>
    <n v="13.686199999999999"/>
    <n v="-89.193899999999999"/>
    <n v="3"/>
    <n v="0"/>
    <n v="0"/>
    <n v="107"/>
    <s v="_x0000_peopl"/>
  </r>
  <r>
    <x v="6"/>
    <n v="13.692600000000001"/>
    <n v="-89.225200000000001"/>
    <n v="4"/>
    <n v="0"/>
    <n v="0"/>
    <n v="107"/>
    <s v="_x0000_peopl"/>
  </r>
  <r>
    <x v="6"/>
    <n v="13.6951"/>
    <n v="-89.174599999999998"/>
    <n v="4"/>
    <n v="0"/>
    <n v="0"/>
    <n v="107"/>
    <s v="_x0000_peopl"/>
  </r>
  <r>
    <x v="6"/>
    <n v="13.6914"/>
    <n v="-89.2286"/>
    <n v="6"/>
    <n v="0"/>
    <n v="0"/>
    <n v="107"/>
    <s v="_x0000_peopl"/>
  </r>
  <r>
    <x v="6"/>
    <n v="13.696099999999999"/>
    <n v="-89.172600000000003"/>
    <n v="7"/>
    <n v="0"/>
    <n v="0"/>
    <n v="107"/>
    <s v="_x0000_peopl"/>
  </r>
  <r>
    <x v="6"/>
    <n v="13.690200000000001"/>
    <n v="-89.186400000000006"/>
    <n v="3"/>
    <n v="0"/>
    <n v="0"/>
    <n v="107"/>
    <s v="_x0000_peopl"/>
  </r>
  <r>
    <x v="6"/>
    <n v="13.692"/>
    <n v="-89.224199999999996"/>
    <n v="5"/>
    <n v="0"/>
    <n v="0"/>
    <n v="107"/>
    <s v="_x0000_peopl"/>
  </r>
  <r>
    <x v="6"/>
    <n v="13.690099999999999"/>
    <n v="-89.235799999999998"/>
    <n v="2"/>
    <n v="0"/>
    <n v="0"/>
    <n v="107"/>
    <s v="_x0000_peopl"/>
  </r>
  <r>
    <x v="6"/>
    <n v="13.6921"/>
    <n v="-89.196299999999994"/>
    <n v="5"/>
    <n v="0"/>
    <n v="0"/>
    <n v="107"/>
    <s v="_x0000_peopl"/>
  </r>
  <r>
    <x v="6"/>
    <n v="13.685499999999999"/>
    <n v="-89.213800000000006"/>
    <n v="4"/>
    <n v="0"/>
    <n v="0"/>
    <n v="107"/>
    <s v="_x0000_peopl"/>
  </r>
  <r>
    <x v="6"/>
    <n v="13.6754"/>
    <n v="-89.202299999999994"/>
    <n v="4"/>
    <n v="0"/>
    <n v="0"/>
    <n v="107"/>
    <s v="_x0000_peopl"/>
  </r>
  <r>
    <x v="6"/>
    <n v="13.686299999999999"/>
    <n v="-89.193799999999996"/>
    <n v="5"/>
    <n v="0"/>
    <n v="0"/>
    <n v="107"/>
    <s v="_x0000_peopl"/>
  </r>
  <r>
    <x v="6"/>
    <n v="13.693199999999999"/>
    <n v="-89.177400000000006"/>
    <n v="7"/>
    <n v="0"/>
    <n v="0"/>
    <n v="107"/>
    <s v="_x0000_peopl"/>
  </r>
  <r>
    <x v="6"/>
    <n v="13.691800000000001"/>
    <n v="-89.196100000000001"/>
    <n v="8"/>
    <n v="0"/>
    <n v="0"/>
    <n v="107"/>
    <s v="_x0000_peopl"/>
  </r>
  <r>
    <x v="6"/>
    <n v="13.6792"/>
    <n v="-89.196899999999999"/>
    <n v="3"/>
    <n v="0"/>
    <n v="0"/>
    <n v="107"/>
    <s v="_x0000_peopl"/>
  </r>
  <r>
    <x v="6"/>
    <n v="13.6854"/>
    <n v="-89.211299999999994"/>
    <n v="5"/>
    <n v="0"/>
    <n v="0"/>
    <n v="107"/>
    <s v="_x0000_peopl"/>
  </r>
  <r>
    <x v="6"/>
    <n v="13.690099999999999"/>
    <n v="-89.181600000000003"/>
    <n v="8"/>
    <n v="0"/>
    <n v="0"/>
    <n v="107"/>
    <s v="_x0000_peopl"/>
  </r>
  <r>
    <x v="6"/>
    <n v="13.6874"/>
    <n v="-89.216899999999995"/>
    <n v="3"/>
    <n v="0"/>
    <n v="0"/>
    <n v="107"/>
    <s v="_x0000_peopl"/>
  </r>
  <r>
    <x v="6"/>
    <n v="13.684900000000001"/>
    <n v="-89.216300000000004"/>
    <n v="2"/>
    <n v="0"/>
    <n v="0"/>
    <n v="107"/>
    <s v="_x0000_peopl"/>
  </r>
  <r>
    <x v="6"/>
    <n v="13.6896"/>
    <n v="-89.185699999999997"/>
    <n v="4"/>
    <n v="0"/>
    <n v="0"/>
    <n v="107"/>
    <s v="_x0000_peopl"/>
  </r>
  <r>
    <x v="6"/>
    <n v="13.6905"/>
    <n v="-89.234999999999999"/>
    <n v="1"/>
    <n v="0"/>
    <n v="0"/>
    <n v="107"/>
    <s v="_x0000_peopl"/>
  </r>
  <r>
    <x v="6"/>
    <n v="13.690899999999999"/>
    <n v="-89.235299999999995"/>
    <n v="2"/>
    <n v="0"/>
    <n v="0"/>
    <n v="107"/>
    <s v="_x0000_peopl"/>
  </r>
  <r>
    <x v="6"/>
    <n v="13.6907"/>
    <n v="-89.183700000000002"/>
    <n v="6"/>
    <n v="0"/>
    <n v="0"/>
    <n v="107"/>
    <s v="_x0000_peopl"/>
  </r>
  <r>
    <x v="6"/>
    <n v="13.6913"/>
    <n v="-89.228800000000007"/>
    <n v="3"/>
    <n v="0"/>
    <n v="0"/>
    <n v="107"/>
    <s v="_x0000_peopl"/>
  </r>
  <r>
    <x v="6"/>
    <n v="13.686999999999999"/>
    <n v="-89.180999999999997"/>
    <n v="5"/>
    <n v="0"/>
    <n v="0"/>
    <n v="107"/>
    <s v="_x0000_peopl"/>
  </r>
  <r>
    <x v="6"/>
    <n v="13.691599999999999"/>
    <n v="-89.232500000000002"/>
    <n v="5"/>
    <n v="0"/>
    <n v="0"/>
    <n v="107"/>
    <s v="_x0000_peopl"/>
  </r>
  <r>
    <x v="6"/>
    <n v="13.690799999999999"/>
    <n v="-89.235500000000002"/>
    <n v="4"/>
    <n v="0"/>
    <n v="0"/>
    <n v="107"/>
    <s v="_x0000_peopl"/>
  </r>
  <r>
    <x v="6"/>
    <n v="13.6959"/>
    <n v="-89.166700000000006"/>
    <n v="5"/>
    <n v="0"/>
    <n v="0"/>
    <n v="107"/>
    <s v="_x0000_peopl"/>
  </r>
  <r>
    <x v="6"/>
    <n v="13.6874"/>
    <n v="-89.197199999999995"/>
    <n v="8"/>
    <n v="0"/>
    <n v="0"/>
    <n v="107"/>
    <s v="_x0000_peopl"/>
  </r>
  <r>
    <x v="6"/>
    <n v="13.694599999999999"/>
    <n v="-89.183099999999996"/>
    <n v="9"/>
    <n v="0"/>
    <n v="0"/>
    <n v="107"/>
    <s v="_x0000_peopl"/>
  </r>
  <r>
    <x v="6"/>
    <n v="13.688599999999999"/>
    <n v="-89.1815"/>
    <n v="8"/>
    <n v="0"/>
    <n v="0"/>
    <n v="107"/>
    <s v="_x0000_peopl"/>
  </r>
  <r>
    <x v="6"/>
    <n v="13.686400000000001"/>
    <n v="-89.193399999999997"/>
    <n v="8"/>
    <n v="0"/>
    <n v="0"/>
    <n v="107"/>
    <s v="_x0000_peopl"/>
  </r>
  <r>
    <x v="6"/>
    <n v="13.6915"/>
    <n v="-89.186499999999995"/>
    <n v="8"/>
    <n v="0"/>
    <n v="0"/>
    <n v="107"/>
    <s v="_x0000_peopl"/>
  </r>
  <r>
    <x v="6"/>
    <n v="13.6935"/>
    <n v="-89.192400000000006"/>
    <n v="5"/>
    <n v="0"/>
    <n v="0"/>
    <n v="107"/>
    <s v="_x0000_peopl"/>
  </r>
  <r>
    <x v="6"/>
    <n v="13.688000000000001"/>
    <n v="-89.180400000000006"/>
    <n v="4"/>
    <n v="0"/>
    <n v="0"/>
    <n v="107"/>
    <s v="_x0000_peopl"/>
  </r>
  <r>
    <x v="6"/>
    <n v="13.686400000000001"/>
    <n v="-89.193200000000004"/>
    <n v="2"/>
    <n v="0"/>
    <n v="0"/>
    <n v="107"/>
    <s v="_x0000_peopl"/>
  </r>
  <r>
    <x v="6"/>
    <n v="13.692399999999999"/>
    <n v="-89.192499999999995"/>
    <n v="5"/>
    <n v="0"/>
    <n v="0"/>
    <n v="107"/>
    <s v="_x0000_peopl"/>
  </r>
  <r>
    <x v="6"/>
    <n v="13.692600000000001"/>
    <n v="-89.175600000000003"/>
    <n v="5"/>
    <n v="0"/>
    <n v="0"/>
    <n v="107"/>
    <s v="_x0000_peopl"/>
  </r>
  <r>
    <x v="6"/>
    <n v="13.6915"/>
    <n v="-89.189400000000006"/>
    <n v="6"/>
    <n v="0"/>
    <n v="0"/>
    <n v="107"/>
    <s v="_x0000_peopl"/>
  </r>
  <r>
    <x v="6"/>
    <n v="13.695499999999999"/>
    <n v="-89.173699999999997"/>
    <n v="7"/>
    <n v="0"/>
    <n v="0"/>
    <n v="107"/>
    <s v="_x0000_peopl"/>
  </r>
  <r>
    <x v="6"/>
    <n v="13.6912"/>
    <n v="-89.2286"/>
    <n v="6"/>
    <n v="0"/>
    <n v="0"/>
    <n v="107"/>
    <s v="_x0000_peopl"/>
  </r>
  <r>
    <x v="6"/>
    <n v="13.6915"/>
    <n v="-89.179100000000005"/>
    <n v="2"/>
    <n v="0"/>
    <n v="0"/>
    <n v="107"/>
    <s v="_x0000_peopl"/>
  </r>
  <r>
    <x v="6"/>
    <n v="13.6943"/>
    <n v="-89.188699999999997"/>
    <n v="3"/>
    <n v="0"/>
    <n v="0"/>
    <n v="107"/>
    <s v="_x0000_peopl"/>
  </r>
  <r>
    <x v="6"/>
    <n v="13.6921"/>
    <n v="-89.175899999999999"/>
    <n v="3"/>
    <n v="0"/>
    <n v="0"/>
    <n v="107"/>
    <s v="_x0000_peopl"/>
  </r>
  <r>
    <x v="6"/>
    <n v="13.6853"/>
    <n v="-89.202200000000005"/>
    <n v="6"/>
    <n v="0"/>
    <n v="0"/>
    <n v="107"/>
    <s v="_x0000_peopl"/>
  </r>
  <r>
    <x v="6"/>
    <n v="13.6752"/>
    <n v="-89.25"/>
    <n v="6"/>
    <n v="0"/>
    <n v="0"/>
    <n v="107"/>
    <s v="_x0000_peopl"/>
  </r>
  <r>
    <x v="6"/>
    <n v="13.6911"/>
    <n v="-89.234200000000001"/>
    <n v="4"/>
    <n v="0"/>
    <n v="0"/>
    <n v="107"/>
    <s v="_x0000_peopl"/>
  </r>
  <r>
    <x v="6"/>
    <n v="13.6921"/>
    <n v="-89.183400000000006"/>
    <n v="1"/>
    <n v="0"/>
    <n v="0"/>
    <n v="107"/>
    <s v="_x0000_peopl"/>
  </r>
  <r>
    <x v="6"/>
    <n v="13.688800000000001"/>
    <n v="-89.180700000000002"/>
    <n v="5"/>
    <n v="0"/>
    <n v="0"/>
    <n v="107"/>
    <s v="_x0000_peopl"/>
  </r>
  <r>
    <x v="6"/>
    <n v="13.6914"/>
    <n v="-89.232500000000002"/>
    <n v="8"/>
    <n v="0"/>
    <n v="0"/>
    <n v="107"/>
    <s v="_x0000_peopl"/>
  </r>
  <r>
    <x v="6"/>
    <n v="13.689299999999999"/>
    <n v="-89.183800000000005"/>
    <n v="7"/>
    <n v="0"/>
    <n v="0"/>
    <n v="107"/>
    <s v="_x0000_peopl"/>
  </r>
  <r>
    <x v="6"/>
    <n v="13.691700000000001"/>
    <n v="-89.186000000000007"/>
    <n v="4"/>
    <n v="0"/>
    <n v="0"/>
    <n v="107"/>
    <s v="_x0000_peopl"/>
  </r>
  <r>
    <x v="6"/>
    <n v="13.6907"/>
    <n v="-89.235200000000006"/>
    <n v="5"/>
    <n v="0"/>
    <n v="0"/>
    <n v="107"/>
    <s v="_x0000_peopl"/>
  </r>
  <r>
    <x v="6"/>
    <n v="13.69"/>
    <n v="-89.234999999999999"/>
    <n v="4"/>
    <n v="0"/>
    <n v="0"/>
    <n v="107"/>
    <s v="_x0000_peopl"/>
  </r>
  <r>
    <x v="6"/>
    <n v="13.6915"/>
    <n v="-89.189700000000002"/>
    <n v="5"/>
    <n v="0"/>
    <n v="0"/>
    <n v="107"/>
    <s v="_x0000_peopl"/>
  </r>
  <r>
    <x v="6"/>
    <n v="13.6854"/>
    <n v="-89.201300000000003"/>
    <n v="11"/>
    <n v="0"/>
    <n v="0"/>
    <n v="107"/>
    <s v="_x0000_peopl"/>
  </r>
  <r>
    <x v="6"/>
    <n v="13.689299999999999"/>
    <n v="-89.185100000000006"/>
    <n v="2"/>
    <n v="0"/>
    <n v="0"/>
    <n v="107"/>
    <s v="_x0000_peopl"/>
  </r>
  <r>
    <x v="6"/>
    <n v="13.690899999999999"/>
    <n v="-89.234899999999996"/>
    <n v="3"/>
    <n v="0"/>
    <n v="0"/>
    <n v="107"/>
    <s v="_x0000_peopl"/>
  </r>
  <r>
    <x v="6"/>
    <n v="13.692399999999999"/>
    <n v="-89.224400000000003"/>
    <n v="3"/>
    <n v="0"/>
    <n v="0"/>
    <n v="107"/>
    <s v="_x0000_peopl"/>
  </r>
  <r>
    <x v="6"/>
    <n v="13.687099999999999"/>
    <n v="-89.194800000000001"/>
    <n v="3"/>
    <n v="0"/>
    <n v="0"/>
    <n v="107"/>
    <s v="_x0000_peopl"/>
  </r>
  <r>
    <x v="6"/>
    <n v="13.6808"/>
    <n v="-89.195999999999998"/>
    <n v="7"/>
    <n v="0"/>
    <n v="0"/>
    <n v="107"/>
    <s v="_x0000_peopl"/>
  </r>
  <r>
    <x v="6"/>
    <n v="13.6904"/>
    <n v="-89.184299999999993"/>
    <n v="10"/>
    <n v="0"/>
    <n v="0"/>
    <n v="107"/>
    <s v="_x0000_peopl"/>
  </r>
  <r>
    <x v="6"/>
    <n v="13.690200000000001"/>
    <n v="-89.186800000000005"/>
    <n v="6"/>
    <n v="0"/>
    <n v="0"/>
    <n v="107"/>
    <s v="_x0000_peopl"/>
  </r>
  <r>
    <x v="6"/>
    <n v="13.690899999999999"/>
    <n v="-89.1875"/>
    <n v="3"/>
    <n v="0"/>
    <n v="0"/>
    <n v="107"/>
    <s v="_x0000_peopl"/>
  </r>
  <r>
    <x v="6"/>
    <n v="13.690099999999999"/>
    <n v="-89.235100000000003"/>
    <n v="5"/>
    <n v="0"/>
    <n v="0"/>
    <n v="107"/>
    <s v="_x0000_peopl"/>
  </r>
  <r>
    <x v="6"/>
    <n v="13.6959"/>
    <n v="-89.173199999999994"/>
    <n v="3"/>
    <n v="0"/>
    <n v="0"/>
    <n v="107"/>
    <s v="_x0000_peopl"/>
  </r>
  <r>
    <x v="6"/>
    <n v="13.691000000000001"/>
    <n v="-89.1905"/>
    <n v="4"/>
    <n v="0"/>
    <n v="0"/>
    <n v="107"/>
    <s v="_x0000_peopl"/>
  </r>
  <r>
    <x v="6"/>
    <n v="13.689"/>
    <n v="-89.184100000000001"/>
    <n v="4"/>
    <n v="0"/>
    <n v="0"/>
    <n v="107"/>
    <s v="_x0000_peopl"/>
  </r>
  <r>
    <x v="6"/>
    <n v="13.6877"/>
    <n v="-89.180099999999996"/>
    <n v="2"/>
    <n v="0"/>
    <n v="0"/>
    <n v="107"/>
    <s v="_x0000_peopl"/>
  </r>
  <r>
    <x v="6"/>
    <n v="13.6921"/>
    <n v="-89.179400000000001"/>
    <n v="3"/>
    <n v="0"/>
    <n v="0"/>
    <n v="107"/>
    <s v="_x0000_peopl"/>
  </r>
  <r>
    <x v="6"/>
    <n v="13.678800000000001"/>
    <n v="-89.196399999999997"/>
    <n v="5"/>
    <n v="0"/>
    <n v="0"/>
    <n v="107"/>
    <s v="_x0000_peopl"/>
  </r>
  <r>
    <x v="6"/>
    <n v="13.696099999999999"/>
    <n v="-89.167199999999994"/>
    <n v="10"/>
    <n v="0"/>
    <n v="0"/>
    <n v="107"/>
    <s v="_x0000_peopl"/>
  </r>
  <r>
    <x v="6"/>
    <n v="13.690799999999999"/>
    <n v="-89.179299999999998"/>
    <n v="4"/>
    <n v="0"/>
    <n v="0"/>
    <n v="107"/>
    <s v="_x0000_peopl"/>
  </r>
  <r>
    <x v="6"/>
    <n v="13.689500000000001"/>
    <n v="-89.179000000000002"/>
    <n v="8"/>
    <n v="0"/>
    <n v="0"/>
    <n v="107"/>
    <s v="_x0000_peopl"/>
  </r>
  <r>
    <x v="6"/>
    <n v="13.6928"/>
    <n v="-89.225499999999997"/>
    <n v="7"/>
    <n v="0"/>
    <n v="0"/>
    <n v="107"/>
    <s v="_x0000_peopl"/>
  </r>
  <r>
    <x v="6"/>
    <n v="13.6907"/>
    <n v="-89.188000000000002"/>
    <n v="4"/>
    <n v="0"/>
    <n v="0"/>
    <n v="107"/>
    <s v="_x0000_peopl"/>
  </r>
  <r>
    <x v="6"/>
    <n v="13.690200000000001"/>
    <n v="-89.195800000000006"/>
    <n v="5"/>
    <n v="0"/>
    <n v="0"/>
    <n v="107"/>
    <s v="_x0000_peopl"/>
  </r>
  <r>
    <x v="6"/>
    <n v="13.6868"/>
    <n v="-89.202399999999997"/>
    <n v="7"/>
    <n v="0"/>
    <n v="0"/>
    <n v="107"/>
    <s v="_x0000_peopl"/>
  </r>
  <r>
    <x v="6"/>
    <n v="13.6891"/>
    <n v="-89.183999999999997"/>
    <n v="0"/>
    <n v="0"/>
    <n v="0"/>
    <n v="107"/>
    <s v="_x0000_peopl"/>
  </r>
  <r>
    <x v="6"/>
    <n v="13.6898"/>
    <n v="-89.206299999999999"/>
    <n v="2"/>
    <n v="0"/>
    <n v="0"/>
    <n v="107"/>
    <s v="_x0000_peopl"/>
  </r>
  <r>
    <x v="6"/>
    <n v="13.690899999999999"/>
    <n v="-89.184799999999996"/>
    <n v="2"/>
    <n v="0"/>
    <n v="0"/>
    <n v="107"/>
    <s v="_x0000_peopl"/>
  </r>
  <r>
    <x v="6"/>
    <n v="13.6898"/>
    <n v="-89.177700000000002"/>
    <n v="3"/>
    <n v="0"/>
    <n v="0"/>
    <n v="107"/>
    <s v="_x0000_peopl"/>
  </r>
  <r>
    <x v="6"/>
    <n v="13.6914"/>
    <n v="-89.188199999999995"/>
    <n v="5"/>
    <n v="0"/>
    <n v="0"/>
    <n v="107"/>
    <s v="_x0000_peopl"/>
  </r>
  <r>
    <x v="6"/>
    <n v="13.690200000000001"/>
    <n v="-89.186400000000006"/>
    <n v="6"/>
    <n v="0"/>
    <n v="0"/>
    <n v="107"/>
    <s v="_x0000_peopl"/>
  </r>
  <r>
    <x v="6"/>
    <n v="13.6777"/>
    <n v="-89.245800000000003"/>
    <n v="2"/>
    <n v="0"/>
    <n v="0"/>
    <n v="107"/>
    <s v="_x0000_peopl"/>
  </r>
  <r>
    <x v="6"/>
    <n v="13.684699999999999"/>
    <n v="-89.213200000000001"/>
    <n v="4"/>
    <n v="0"/>
    <n v="0"/>
    <n v="107"/>
    <s v="_x0000_peopl"/>
  </r>
  <r>
    <x v="6"/>
    <n v="13.6873"/>
    <n v="-89.195700000000002"/>
    <n v="3"/>
    <n v="0"/>
    <n v="0"/>
    <n v="107"/>
    <s v="_x0000_peopl"/>
  </r>
  <r>
    <x v="6"/>
    <n v="13.685"/>
    <n v="-89.193799999999996"/>
    <n v="4"/>
    <n v="0"/>
    <n v="0"/>
    <n v="107"/>
    <s v="_x0000_peopl"/>
  </r>
  <r>
    <x v="6"/>
    <n v="13.6791"/>
    <n v="-89.1965"/>
    <n v="2"/>
    <n v="0"/>
    <n v="0"/>
    <n v="107"/>
    <s v="_x0000_peopl"/>
  </r>
  <r>
    <x v="6"/>
    <n v="13.6845"/>
    <n v="-89.216399999999993"/>
    <n v="6"/>
    <n v="0"/>
    <n v="0"/>
    <n v="107"/>
    <s v="_x0000_peopl"/>
  </r>
  <r>
    <x v="6"/>
    <n v="13.6805"/>
    <n v="-89.196100000000001"/>
    <n v="4"/>
    <n v="0"/>
    <n v="0"/>
    <n v="107"/>
    <s v="_x0000_peopl"/>
  </r>
  <r>
    <x v="6"/>
    <n v="13.6883"/>
    <n v="-89.216899999999995"/>
    <n v="5"/>
    <n v="0"/>
    <n v="0"/>
    <n v="107"/>
    <s v="_x0000_peopl"/>
  </r>
  <r>
    <x v="6"/>
    <n v="13.6905"/>
    <n v="-89.233599999999996"/>
    <n v="4"/>
    <n v="0"/>
    <n v="0"/>
    <n v="107"/>
    <s v="_x0000_peopl"/>
  </r>
  <r>
    <x v="6"/>
    <n v="13.6798"/>
    <n v="-89.197199999999995"/>
    <n v="4"/>
    <n v="0"/>
    <n v="0"/>
    <n v="107"/>
    <s v="_x0000_peopl"/>
  </r>
  <r>
    <x v="6"/>
    <n v="13.686299999999999"/>
    <n v="-89.193600000000004"/>
    <n v="8"/>
    <n v="0"/>
    <n v="0"/>
    <n v="107"/>
    <s v="_x0000_peopl"/>
  </r>
  <r>
    <x v="6"/>
    <n v="13.687900000000001"/>
    <n v="-89.181600000000003"/>
    <n v="2"/>
    <n v="0"/>
    <n v="0"/>
    <n v="107"/>
    <s v="_x0000_peopl"/>
  </r>
  <r>
    <x v="6"/>
    <n v="13.6927"/>
    <n v="-89.184100000000001"/>
    <n v="4"/>
    <n v="0"/>
    <n v="0"/>
    <n v="107"/>
    <s v="_x0000_peopl"/>
  </r>
  <r>
    <x v="6"/>
    <n v="13.689"/>
    <n v="-89.183999999999997"/>
    <n v="5"/>
    <n v="0"/>
    <n v="0"/>
    <n v="107"/>
    <s v="_x0000_peopl"/>
  </r>
  <r>
    <x v="6"/>
    <n v="13.692500000000001"/>
    <n v="-89.192800000000005"/>
    <n v="7"/>
    <n v="0"/>
    <n v="0"/>
    <n v="107"/>
    <s v="_x0000_peopl"/>
  </r>
  <r>
    <x v="6"/>
    <n v="13.692600000000001"/>
    <n v="-89.178899999999999"/>
    <n v="4"/>
    <n v="0"/>
    <n v="0"/>
    <n v="107"/>
    <s v="_x0000_peopl"/>
  </r>
  <r>
    <x v="6"/>
    <n v="13.694599999999999"/>
    <n v="-89.174499999999995"/>
    <n v="9"/>
    <n v="0"/>
    <n v="0"/>
    <n v="107"/>
    <s v="_x0000_peopl"/>
  </r>
  <r>
    <x v="6"/>
    <n v="13.6899"/>
    <n v="-89.195700000000002"/>
    <n v="3"/>
    <n v="0"/>
    <n v="0"/>
    <n v="107"/>
    <s v="_x0000_peopl"/>
  </r>
  <r>
    <x v="6"/>
    <n v="13.6967"/>
    <n v="-89.171999999999997"/>
    <n v="2"/>
    <n v="0"/>
    <n v="0"/>
    <n v="107"/>
    <s v="_x0000_peopl"/>
  </r>
  <r>
    <x v="6"/>
    <n v="13.689500000000001"/>
    <n v="-89.229100000000003"/>
    <n v="4"/>
    <n v="0"/>
    <n v="0"/>
    <n v="107"/>
    <s v="_x0000_peopl"/>
  </r>
  <r>
    <x v="6"/>
    <n v="13.6869"/>
    <n v="-89.183099999999996"/>
    <n v="4"/>
    <n v="0"/>
    <n v="0"/>
    <n v="107"/>
    <s v="_x0000_peopl"/>
  </r>
  <r>
    <x v="6"/>
    <n v="13.6913"/>
    <n v="-89.177099999999996"/>
    <n v="5"/>
    <n v="0"/>
    <n v="0"/>
    <n v="107"/>
    <s v="_x0000_peopl"/>
  </r>
  <r>
    <x v="6"/>
    <n v="13.691599999999999"/>
    <n v="-89.233500000000006"/>
    <n v="3"/>
    <n v="0"/>
    <n v="0"/>
    <n v="107"/>
    <s v="_x0000_peopl"/>
  </r>
  <r>
    <x v="6"/>
    <n v="13.6914"/>
    <n v="-89.189499999999995"/>
    <n v="6"/>
    <n v="0"/>
    <n v="0"/>
    <n v="107"/>
    <s v="_x0000_peopl"/>
  </r>
  <r>
    <x v="6"/>
    <n v="13.692500000000001"/>
    <n v="-89.223299999999995"/>
    <n v="4"/>
    <n v="0"/>
    <n v="0"/>
    <n v="107"/>
    <s v="_x0000_peopl"/>
  </r>
  <r>
    <x v="6"/>
    <n v="13.687200000000001"/>
    <n v="-89.197299999999998"/>
    <n v="3"/>
    <n v="0"/>
    <n v="0"/>
    <n v="107"/>
    <s v="_x0000_peopl"/>
  </r>
  <r>
    <x v="6"/>
    <n v="13.691000000000001"/>
    <n v="-89.229100000000003"/>
    <n v="4"/>
    <n v="0"/>
    <n v="0"/>
    <n v="107"/>
    <s v="_x0000_peopl"/>
  </r>
  <r>
    <x v="6"/>
    <n v="13.6921"/>
    <n v="-89.194500000000005"/>
    <n v="4"/>
    <n v="0"/>
    <n v="0"/>
    <n v="107"/>
    <s v="_x0000_peopl"/>
  </r>
  <r>
    <x v="6"/>
    <n v="13.693"/>
    <n v="-89.174099999999996"/>
    <n v="2"/>
    <n v="0"/>
    <n v="0"/>
    <n v="107"/>
    <s v="_x0000_peopl"/>
  </r>
  <r>
    <x v="6"/>
    <n v="13.6915"/>
    <n v="-89.226500000000001"/>
    <n v="2"/>
    <n v="0"/>
    <n v="0"/>
    <n v="107"/>
    <s v="_x0000_peopl"/>
  </r>
  <r>
    <x v="6"/>
    <n v="13.6905"/>
    <n v="-89.235200000000006"/>
    <n v="10"/>
    <n v="0"/>
    <n v="0"/>
    <n v="107"/>
    <s v="_x0000_peopl"/>
  </r>
  <r>
    <x v="6"/>
    <n v="13.696099999999999"/>
    <n v="-89.167100000000005"/>
    <n v="6"/>
    <n v="0"/>
    <n v="0"/>
    <n v="107"/>
    <s v="_x0000_peopl"/>
  </r>
  <r>
    <x v="6"/>
    <n v="13.688000000000001"/>
    <n v="-89.216999999999999"/>
    <n v="4"/>
    <n v="0"/>
    <n v="0"/>
    <n v="107"/>
    <s v="_x0000_peopl"/>
  </r>
  <r>
    <x v="6"/>
    <n v="13.685600000000001"/>
    <n v="-89.211299999999994"/>
    <n v="3"/>
    <n v="0"/>
    <n v="0"/>
    <n v="107"/>
    <s v="_x0000_peopl"/>
  </r>
  <r>
    <x v="6"/>
    <n v="13.6911"/>
    <n v="-89.229699999999994"/>
    <n v="4"/>
    <n v="0"/>
    <n v="0"/>
    <n v="107"/>
    <s v="_x0000_peopl"/>
  </r>
  <r>
    <x v="6"/>
    <n v="13.6943"/>
    <n v="-89.175399999999996"/>
    <n v="5"/>
    <n v="0"/>
    <n v="0"/>
    <n v="107"/>
    <s v="_x0000_peopl"/>
  </r>
  <r>
    <x v="6"/>
    <n v="13.6898"/>
    <n v="-89.2286"/>
    <n v="4"/>
    <n v="0"/>
    <n v="0"/>
    <n v="107"/>
    <s v="_x0000_peopl"/>
  </r>
  <r>
    <x v="6"/>
    <n v="13.688499999999999"/>
    <n v="-89.229299999999995"/>
    <n v="5"/>
    <n v="0"/>
    <n v="0"/>
    <n v="107"/>
    <s v="_x0000_peopl"/>
  </r>
  <r>
    <x v="6"/>
    <n v="13.6882"/>
    <n v="-89.190200000000004"/>
    <n v="6"/>
    <n v="0"/>
    <n v="0"/>
    <n v="107"/>
    <s v="_x0000_peopl"/>
  </r>
  <r>
    <x v="6"/>
    <n v="13.6869"/>
    <n v="-89.183000000000007"/>
    <n v="2"/>
    <n v="0"/>
    <n v="0"/>
    <n v="107"/>
    <s v="_x0000_peopl"/>
  </r>
  <r>
    <x v="6"/>
    <n v="13.6875"/>
    <n v="-89.216200000000001"/>
    <n v="6"/>
    <n v="0"/>
    <n v="0"/>
    <n v="107"/>
    <s v="_x0000_peopl"/>
  </r>
  <r>
    <x v="6"/>
    <n v="13.6874"/>
    <n v="-89.195599999999999"/>
    <n v="3"/>
    <n v="0"/>
    <n v="0"/>
    <n v="107"/>
    <s v="_x0000_peopl"/>
  </r>
  <r>
    <x v="6"/>
    <n v="13.692399999999999"/>
    <n v="-89.222899999999996"/>
    <n v="6"/>
    <n v="0"/>
    <n v="0"/>
    <n v="107"/>
    <s v="_x0000_peopl"/>
  </r>
  <r>
    <x v="6"/>
    <n v="13.6883"/>
    <n v="-89.2166"/>
    <n v="2"/>
    <n v="0"/>
    <n v="0"/>
    <n v="107"/>
    <s v="_x0000_peopl"/>
  </r>
  <r>
    <x v="6"/>
    <n v="13.687900000000001"/>
    <n v="-89.195599999999999"/>
    <n v="7"/>
    <n v="0"/>
    <n v="0"/>
    <n v="107"/>
    <s v="_x0000_peopl"/>
  </r>
  <r>
    <x v="6"/>
    <n v="13.6875"/>
    <n v="-89.198300000000003"/>
    <n v="2"/>
    <n v="0"/>
    <n v="0"/>
    <n v="107"/>
    <s v="_x0000_peopl"/>
  </r>
  <r>
    <x v="6"/>
    <n v="13.692299999999999"/>
    <n v="-89.176599999999993"/>
    <n v="10"/>
    <n v="0"/>
    <n v="0"/>
    <n v="107"/>
    <s v="_x0000_peopl"/>
  </r>
  <r>
    <x v="6"/>
    <n v="13.690899999999999"/>
    <n v="-89.231300000000005"/>
    <n v="5"/>
    <n v="0"/>
    <n v="0"/>
    <n v="107"/>
    <s v="_x0000_peopl"/>
  </r>
  <r>
    <x v="6"/>
    <n v="13.6867"/>
    <n v="-89.1815"/>
    <n v="2"/>
    <n v="0"/>
    <n v="0"/>
    <n v="107"/>
    <s v="_x0000_peopl"/>
  </r>
  <r>
    <x v="6"/>
    <n v="13.686"/>
    <n v="-89.201300000000003"/>
    <n v="2"/>
    <n v="0"/>
    <n v="0"/>
    <n v="107"/>
    <s v="_x0000_peopl"/>
  </r>
  <r>
    <x v="6"/>
    <n v="13.6873"/>
    <n v="-89.215000000000003"/>
    <n v="3"/>
    <n v="0"/>
    <n v="0"/>
    <n v="107"/>
    <s v="_x0000_peopl"/>
  </r>
  <r>
    <x v="6"/>
    <n v="13.6922"/>
    <n v="-89.193799999999996"/>
    <n v="8"/>
    <n v="0"/>
    <n v="0"/>
    <n v="107"/>
    <s v="_x0000_peopl"/>
  </r>
  <r>
    <x v="6"/>
    <n v="13.6875"/>
    <n v="-89.194900000000004"/>
    <n v="6"/>
    <n v="0"/>
    <n v="0"/>
    <n v="107"/>
    <s v="_x0000_peopl"/>
  </r>
  <r>
    <x v="6"/>
    <n v="13.694599999999999"/>
    <n v="-89.183099999999996"/>
    <n v="5"/>
    <n v="0"/>
    <n v="0"/>
    <n v="107"/>
    <s v="_x0000_peopl"/>
  </r>
  <r>
    <x v="6"/>
    <n v="13.679600000000001"/>
    <n v="-89.197199999999995"/>
    <n v="7"/>
    <n v="0"/>
    <n v="0"/>
    <n v="107"/>
    <s v="_x0000_peopl"/>
  </r>
  <r>
    <x v="6"/>
    <n v="13.685"/>
    <n v="-89.201999999999998"/>
    <n v="7"/>
    <n v="0"/>
    <n v="0"/>
    <n v="107"/>
    <s v="_x0000_peopl"/>
  </r>
  <r>
    <x v="6"/>
    <n v="13.688499999999999"/>
    <n v="-89.180899999999994"/>
    <n v="6"/>
    <n v="0"/>
    <n v="0"/>
    <n v="107"/>
    <s v="_x0000_peopl"/>
  </r>
  <r>
    <x v="6"/>
    <n v="13.6958"/>
    <n v="-89.173400000000001"/>
    <n v="8"/>
    <n v="0"/>
    <n v="0"/>
    <n v="107"/>
    <s v="_x0000_peopl"/>
  </r>
  <r>
    <x v="6"/>
    <n v="13.6944"/>
    <n v="-89.188800000000001"/>
    <n v="4"/>
    <n v="0"/>
    <n v="0"/>
    <n v="107"/>
    <s v="_x0000_peopl"/>
  </r>
  <r>
    <x v="6"/>
    <n v="13.691000000000001"/>
    <n v="-89.188500000000005"/>
    <n v="3"/>
    <n v="0"/>
    <n v="0"/>
    <n v="107"/>
    <s v="_x0000_peopl"/>
  </r>
  <r>
    <x v="6"/>
    <n v="13.6859"/>
    <n v="-89.211600000000004"/>
    <n v="9"/>
    <n v="0"/>
    <n v="0"/>
    <n v="107"/>
    <s v="_x0000_peopl"/>
  </r>
  <r>
    <x v="6"/>
    <n v="13.691599999999999"/>
    <n v="-89.220799999999997"/>
    <n v="5"/>
    <n v="0"/>
    <n v="0"/>
    <n v="107"/>
    <s v="_x0000_peopl"/>
  </r>
  <r>
    <x v="6"/>
    <n v="13.688000000000001"/>
    <n v="-89.182000000000002"/>
    <n v="7"/>
    <n v="0"/>
    <n v="0"/>
    <n v="107"/>
    <s v="_x0000_peopl"/>
  </r>
  <r>
    <x v="6"/>
    <n v="13.694699999999999"/>
    <n v="-89.1751"/>
    <n v="6"/>
    <n v="0"/>
    <n v="0"/>
    <n v="107"/>
    <s v="_x0000_peopl"/>
  </r>
  <r>
    <x v="6"/>
    <n v="13.6845"/>
    <n v="-89.213499999999996"/>
    <n v="11"/>
    <n v="0"/>
    <n v="0"/>
    <n v="107"/>
    <s v="_x0000_peopl"/>
  </r>
  <r>
    <x v="6"/>
    <n v="13.6913"/>
    <n v="-89.189400000000006"/>
    <n v="5"/>
    <n v="0"/>
    <n v="0"/>
    <n v="107"/>
    <s v="_x0000_peopl"/>
  </r>
  <r>
    <x v="6"/>
    <n v="13.6919"/>
    <n v="-89.180099999999996"/>
    <n v="4"/>
    <n v="0"/>
    <n v="0"/>
    <n v="107"/>
    <s v="_x0000_peopl"/>
  </r>
  <r>
    <x v="6"/>
    <n v="13.6951"/>
    <n v="-89.1751"/>
    <n v="7"/>
    <n v="0"/>
    <n v="0"/>
    <n v="107"/>
    <s v="_x0000_peopl"/>
  </r>
  <r>
    <x v="6"/>
    <n v="13.6854"/>
    <n v="-89.201599999999999"/>
    <n v="2"/>
    <n v="0"/>
    <n v="0"/>
    <n v="107"/>
    <s v="_x0000_peopl"/>
  </r>
  <r>
    <x v="6"/>
    <n v="13.6915"/>
    <n v="-89.197599999999994"/>
    <n v="2"/>
    <n v="0"/>
    <n v="0"/>
    <n v="107"/>
    <s v="_x0000_peopl"/>
  </r>
  <r>
    <x v="6"/>
    <n v="13.6919"/>
    <n v="-89.183000000000007"/>
    <n v="5"/>
    <n v="0"/>
    <n v="0"/>
    <n v="107"/>
    <s v="_x0000_peopl"/>
  </r>
  <r>
    <x v="6"/>
    <n v="13.674099999999999"/>
    <n v="-89.203100000000006"/>
    <n v="6"/>
    <n v="0"/>
    <n v="0"/>
    <n v="107"/>
    <s v="_x0000_peopl"/>
  </r>
  <r>
    <x v="6"/>
    <n v="13.6852"/>
    <n v="-89.212199999999996"/>
    <n v="5"/>
    <n v="0"/>
    <n v="0"/>
    <n v="107"/>
    <s v="_x0000_peopl"/>
  </r>
  <r>
    <x v="6"/>
    <n v="13.6915"/>
    <n v="-89.188199999999995"/>
    <n v="7"/>
    <n v="0"/>
    <n v="0"/>
    <n v="107"/>
    <s v="_x0000_peopl"/>
  </r>
  <r>
    <x v="6"/>
    <n v="13.690799999999999"/>
    <n v="-89.233000000000004"/>
    <n v="3"/>
    <n v="0"/>
    <n v="0"/>
    <n v="107"/>
    <s v="_x0000_peopl"/>
  </r>
  <r>
    <x v="6"/>
    <n v="13.690200000000001"/>
    <n v="-89.235200000000006"/>
    <n v="6"/>
    <n v="0"/>
    <n v="0"/>
    <n v="107"/>
    <s v="_x0000_peopl"/>
  </r>
  <r>
    <x v="6"/>
    <n v="13.6738"/>
    <n v="-89.202600000000004"/>
    <n v="2"/>
    <n v="0"/>
    <n v="0"/>
    <n v="107"/>
    <s v="_x0000_peopl"/>
  </r>
  <r>
    <x v="6"/>
    <n v="13.6852"/>
    <n v="-89.217399999999998"/>
    <n v="9"/>
    <n v="0"/>
    <n v="0"/>
    <n v="107"/>
    <s v="_x0000_peopl"/>
  </r>
  <r>
    <x v="6"/>
    <n v="13.694699999999999"/>
    <n v="-89.185500000000005"/>
    <n v="6"/>
    <n v="0"/>
    <n v="0"/>
    <n v="107"/>
    <s v="_x0000_peopl"/>
  </r>
  <r>
    <x v="6"/>
    <n v="13.687799999999999"/>
    <n v="-89.197000000000003"/>
    <n v="4"/>
    <n v="0"/>
    <n v="0"/>
    <n v="107"/>
    <s v="_x0000_peopl"/>
  </r>
  <r>
    <x v="6"/>
    <n v="13.673999999999999"/>
    <n v="-89.202500000000001"/>
    <n v="11"/>
    <n v="0"/>
    <n v="0"/>
    <n v="107"/>
    <s v="_x0000_peopl"/>
  </r>
  <r>
    <x v="6"/>
    <n v="13.687799999999999"/>
    <n v="-89.204899999999995"/>
    <n v="4"/>
    <n v="0"/>
    <n v="0"/>
    <n v="107"/>
    <s v="_x0000_peopl"/>
  </r>
  <r>
    <x v="6"/>
    <n v="13.689"/>
    <n v="-89.229699999999994"/>
    <n v="7"/>
    <n v="0"/>
    <n v="0"/>
    <n v="107"/>
    <s v="_x0000_peopl"/>
  </r>
  <r>
    <x v="6"/>
    <n v="13.6912"/>
    <n v="-89.233400000000003"/>
    <n v="5"/>
    <n v="0"/>
    <n v="0"/>
    <n v="107"/>
    <s v="_x0000_peopl"/>
  </r>
  <r>
    <x v="6"/>
    <n v="13.687099999999999"/>
    <n v="-89.215999999999994"/>
    <n v="3"/>
    <n v="0"/>
    <n v="0"/>
    <n v="107"/>
    <s v="_x0000_peopl"/>
  </r>
  <r>
    <x v="6"/>
    <n v="13.6928"/>
    <n v="-89.225300000000004"/>
    <n v="4"/>
    <n v="0"/>
    <n v="0"/>
    <n v="107"/>
    <s v="_x0000_peopl"/>
  </r>
  <r>
    <x v="6"/>
    <n v="13.693899999999999"/>
    <n v="-89.175299999999993"/>
    <n v="4"/>
    <n v="0"/>
    <n v="0"/>
    <n v="107"/>
    <s v="_x0000_peopl"/>
  </r>
  <r>
    <x v="6"/>
    <n v="13.6904"/>
    <n v="-89.234700000000004"/>
    <n v="7"/>
    <n v="0"/>
    <n v="0"/>
    <n v="107"/>
    <s v="_x0000_peopl"/>
  </r>
  <r>
    <x v="6"/>
    <n v="13.688599999999999"/>
    <n v="-89.204400000000007"/>
    <n v="2"/>
    <n v="0"/>
    <n v="0"/>
    <n v="107"/>
    <s v="_x0000_peopl"/>
  </r>
  <r>
    <x v="6"/>
    <n v="13.6896"/>
    <n v="-89.185400000000001"/>
    <n v="3"/>
    <n v="0"/>
    <n v="0"/>
    <n v="107"/>
    <s v="_x0000_peopl"/>
  </r>
  <r>
    <x v="6"/>
    <n v="13.6884"/>
    <n v="-89.229500000000002"/>
    <n v="5"/>
    <n v="0"/>
    <n v="0"/>
    <n v="107"/>
    <s v="_x0000_peopl"/>
  </r>
  <r>
    <x v="6"/>
    <n v="13.6944"/>
    <n v="-89.1751"/>
    <n v="6"/>
    <n v="0"/>
    <n v="0"/>
    <n v="107"/>
    <s v="_x0000_peopl"/>
  </r>
  <r>
    <x v="6"/>
    <n v="13.6913"/>
    <n v="-89.183999999999997"/>
    <n v="2"/>
    <n v="0"/>
    <n v="0"/>
    <n v="107"/>
    <s v="_x0000_peopl"/>
  </r>
  <r>
    <x v="6"/>
    <n v="13.687099999999999"/>
    <n v="-89.194800000000001"/>
    <n v="7"/>
    <n v="0"/>
    <n v="0"/>
    <n v="107"/>
    <s v="_x0000_peopl"/>
  </r>
  <r>
    <x v="6"/>
    <n v="13.6928"/>
    <n v="-89.225499999999997"/>
    <n v="6"/>
    <n v="0"/>
    <n v="0"/>
    <n v="107"/>
    <s v="_x0000_peopl"/>
  </r>
  <r>
    <x v="6"/>
    <n v="13.6884"/>
    <n v="-89.229699999999994"/>
    <n v="3"/>
    <n v="0"/>
    <n v="0"/>
    <n v="107"/>
    <s v="_x0000_peopl"/>
  </r>
  <r>
    <x v="6"/>
    <n v="13.693099999999999"/>
    <n v="-89.174099999999996"/>
    <n v="6"/>
    <n v="0"/>
    <n v="0"/>
    <n v="107"/>
    <s v="_x0000_peopl"/>
  </r>
  <r>
    <x v="6"/>
    <n v="13.684799999999999"/>
    <n v="-89.216099999999997"/>
    <n v="5"/>
    <n v="0"/>
    <n v="0"/>
    <n v="107"/>
    <s v="_x0000_peopl"/>
  </r>
  <r>
    <x v="6"/>
    <n v="13.692600000000001"/>
    <n v="-89.184399999999997"/>
    <n v="6"/>
    <n v="0"/>
    <n v="0"/>
    <n v="107"/>
    <s v="_x0000_peopl"/>
  </r>
  <r>
    <x v="6"/>
    <n v="13.6906"/>
    <n v="-89.1845"/>
    <n v="8"/>
    <n v="0"/>
    <n v="0"/>
    <n v="107"/>
    <s v="_x0000_peopl"/>
  </r>
  <r>
    <x v="6"/>
    <n v="13.687099999999999"/>
    <n v="-89.197800000000001"/>
    <n v="1"/>
    <n v="0"/>
    <n v="0"/>
    <n v="107"/>
    <s v="_x0000_peopl"/>
  </r>
  <r>
    <x v="6"/>
    <n v="13.674799999999999"/>
    <n v="-89.251400000000004"/>
    <n v="3"/>
    <n v="0"/>
    <n v="0"/>
    <n v="107"/>
    <s v="_x0000_peopl"/>
  </r>
  <r>
    <x v="6"/>
    <n v="13.694599999999999"/>
    <n v="-89.174199999999999"/>
    <n v="4"/>
    <n v="0"/>
    <n v="0"/>
    <n v="107"/>
    <s v="_x0000_peopl"/>
  </r>
  <r>
    <x v="6"/>
    <n v="13.689"/>
    <n v="-89.190299999999993"/>
    <n v="4"/>
    <n v="0"/>
    <n v="0"/>
    <n v="107"/>
    <s v="_x0000_peopl"/>
  </r>
  <r>
    <x v="6"/>
    <n v="13.695499999999999"/>
    <n v="-89.173400000000001"/>
    <n v="4"/>
    <n v="0"/>
    <n v="0"/>
    <n v="107"/>
    <s v="_x0000_peopl"/>
  </r>
  <r>
    <x v="6"/>
    <n v="13.6911"/>
    <n v="-89.229200000000006"/>
    <n v="4"/>
    <n v="0"/>
    <n v="0"/>
    <n v="107"/>
    <s v="_x0000_peopl"/>
  </r>
  <r>
    <x v="6"/>
    <n v="13.6913"/>
    <n v="-89.228700000000003"/>
    <n v="4"/>
    <n v="0"/>
    <n v="0"/>
    <n v="107"/>
    <s v="_x0000_peopl"/>
  </r>
  <r>
    <x v="6"/>
    <n v="13.6751"/>
    <n v="-89.199700000000007"/>
    <n v="5"/>
    <n v="0"/>
    <n v="0"/>
    <n v="107"/>
    <s v="_x0000_peopl"/>
  </r>
  <r>
    <x v="6"/>
    <n v="13.6853"/>
    <n v="-89.215100000000007"/>
    <n v="0"/>
    <n v="0"/>
    <n v="0"/>
    <n v="107"/>
    <s v="_x0000_peopl"/>
  </r>
  <r>
    <x v="6"/>
    <n v="13.693099999999999"/>
    <n v="-89.177899999999994"/>
    <n v="4"/>
    <n v="0"/>
    <n v="0"/>
    <n v="107"/>
    <s v="_x0000_peopl"/>
  </r>
  <r>
    <x v="6"/>
    <n v="13.6845"/>
    <n v="-89.214399999999998"/>
    <n v="4"/>
    <n v="0"/>
    <n v="0"/>
    <n v="107"/>
    <s v="_x0000_peopl"/>
  </r>
  <r>
    <x v="6"/>
    <n v="13.6905"/>
    <n v="-89.177499999999995"/>
    <n v="8"/>
    <n v="0"/>
    <n v="0"/>
    <n v="107"/>
    <s v="_x0000_peopl"/>
  </r>
  <r>
    <x v="6"/>
    <n v="13.695499999999999"/>
    <n v="-89.173299999999998"/>
    <n v="4"/>
    <n v="0"/>
    <n v="0"/>
    <n v="107"/>
    <s v="_x0000_peopl"/>
  </r>
  <r>
    <x v="6"/>
    <n v="13.6881"/>
    <n v="-89.198899999999995"/>
    <n v="5"/>
    <n v="0"/>
    <n v="0"/>
    <n v="107"/>
    <s v="_x0000_peopl"/>
  </r>
  <r>
    <x v="6"/>
    <n v="13.6867"/>
    <n v="-89.211399999999998"/>
    <n v="6"/>
    <n v="0"/>
    <n v="0"/>
    <n v="107"/>
    <s v="_x0000_peopl"/>
  </r>
  <r>
    <x v="6"/>
    <n v="13.692500000000001"/>
    <n v="-89.186800000000005"/>
    <n v="5"/>
    <n v="0"/>
    <n v="0"/>
    <n v="107"/>
    <s v="_x0000_peopl"/>
  </r>
  <r>
    <x v="6"/>
    <n v="13.6976"/>
    <n v="-89.171199999999999"/>
    <n v="8"/>
    <n v="0"/>
    <n v="0"/>
    <n v="107"/>
    <s v="_x0000_peopl"/>
  </r>
  <r>
    <x v="6"/>
    <n v="13.6869"/>
    <n v="-89.215900000000005"/>
    <n v="2"/>
    <n v="0"/>
    <n v="0"/>
    <n v="107"/>
    <s v="_x0000_peopl"/>
  </r>
  <r>
    <x v="6"/>
    <n v="13.684900000000001"/>
    <n v="-89.213399999999993"/>
    <n v="3"/>
    <n v="0"/>
    <n v="0"/>
    <n v="107"/>
    <s v="_x0000_peopl"/>
  </r>
  <r>
    <x v="6"/>
    <n v="13.6852"/>
    <n v="-89.202100000000002"/>
    <n v="3"/>
    <n v="0"/>
    <n v="0"/>
    <n v="107"/>
    <s v="_x0000_peopl"/>
  </r>
  <r>
    <x v="6"/>
    <n v="13.6875"/>
    <n v="-89.194699999999997"/>
    <n v="6"/>
    <n v="0"/>
    <n v="0"/>
    <n v="107"/>
    <s v="_x0000_peopl"/>
  </r>
  <r>
    <x v="6"/>
    <n v="13.694599999999999"/>
    <n v="-89.172300000000007"/>
    <n v="6"/>
    <n v="0"/>
    <n v="0"/>
    <n v="107"/>
    <s v="_x0000_peopl"/>
  </r>
  <r>
    <x v="6"/>
    <n v="13.696"/>
    <n v="-89.171999999999997"/>
    <n v="2"/>
    <n v="0"/>
    <n v="0"/>
    <n v="107"/>
    <s v="_x0000_peopl"/>
  </r>
  <r>
    <x v="6"/>
    <n v="13.678800000000001"/>
    <n v="-89.1965"/>
    <n v="7"/>
    <n v="0"/>
    <n v="0"/>
    <n v="107"/>
    <s v="_x0000_peopl"/>
  </r>
  <r>
    <x v="6"/>
    <n v="13.690799999999999"/>
    <n v="-89.234399999999994"/>
    <n v="7"/>
    <n v="0"/>
    <n v="0"/>
    <n v="107"/>
    <s v="_x0000_peopl"/>
  </r>
  <r>
    <x v="6"/>
    <n v="13.688499999999999"/>
    <n v="-89.1982"/>
    <n v="5"/>
    <n v="0"/>
    <n v="0"/>
    <n v="107"/>
    <s v="_x0000_peopl"/>
  </r>
  <r>
    <x v="6"/>
    <n v="13.6884"/>
    <n v="-89.180899999999994"/>
    <n v="4"/>
    <n v="0"/>
    <n v="0"/>
    <n v="107"/>
    <s v="_x0000_peopl"/>
  </r>
  <r>
    <x v="6"/>
    <n v="13.687200000000001"/>
    <n v="-89.194800000000001"/>
    <n v="4"/>
    <n v="0"/>
    <n v="0"/>
    <n v="107"/>
    <s v="_x0000_peopl"/>
  </r>
  <r>
    <x v="6"/>
    <n v="13.6913"/>
    <n v="-89.181600000000003"/>
    <n v="3"/>
    <n v="0"/>
    <n v="0"/>
    <n v="107"/>
    <s v="_x0000_peopl"/>
  </r>
  <r>
    <x v="6"/>
    <n v="13.692500000000001"/>
    <n v="-89.223799999999997"/>
    <n v="4"/>
    <n v="0"/>
    <n v="0"/>
    <n v="107"/>
    <s v="_x0000_peopl"/>
  </r>
  <r>
    <x v="6"/>
    <n v="13.693300000000001"/>
    <n v="-89.178299999999993"/>
    <n v="5"/>
    <n v="0"/>
    <n v="0"/>
    <n v="107"/>
    <s v="_x0000_peopl"/>
  </r>
  <r>
    <x v="6"/>
    <n v="13.6906"/>
    <n v="-89.232299999999995"/>
    <n v="4"/>
    <n v="0"/>
    <n v="0"/>
    <n v="107"/>
    <s v="_x0000_peopl"/>
  </r>
  <r>
    <x v="6"/>
    <n v="13.687799999999999"/>
    <n v="-89.205699999999993"/>
    <n v="4"/>
    <n v="0"/>
    <n v="0"/>
    <n v="107"/>
    <s v="_x0000_peopl"/>
  </r>
  <r>
    <x v="6"/>
    <n v="13.6928"/>
    <n v="-89.224000000000004"/>
    <n v="6"/>
    <n v="0"/>
    <n v="0"/>
    <n v="107"/>
    <s v="_x0000_peopl"/>
  </r>
  <r>
    <x v="6"/>
    <n v="13.678699999999999"/>
    <n v="-89.196399999999997"/>
    <n v="6"/>
    <n v="0"/>
    <n v="0"/>
    <n v="107"/>
    <s v="_x0000_peopl"/>
  </r>
  <r>
    <x v="6"/>
    <n v="13.6793"/>
    <n v="-89.197199999999995"/>
    <n v="10"/>
    <n v="0"/>
    <n v="0"/>
    <n v="107"/>
    <s v="_x0000_peopl"/>
  </r>
  <r>
    <x v="6"/>
    <n v="13.6883"/>
    <n v="-89.194400000000002"/>
    <n v="7"/>
    <n v="0"/>
    <n v="0"/>
    <n v="107"/>
    <s v="_x0000_peopl"/>
  </r>
  <r>
    <x v="6"/>
    <n v="13.687200000000001"/>
    <n v="-89.194500000000005"/>
    <n v="2"/>
    <n v="0"/>
    <n v="0"/>
    <n v="107"/>
    <s v="_x0000_peopl"/>
  </r>
  <r>
    <x v="6"/>
    <n v="13.690899999999999"/>
    <n v="-89.234999999999999"/>
    <n v="8"/>
    <n v="0"/>
    <n v="0"/>
    <n v="107"/>
    <s v="_x0000_peopl"/>
  </r>
  <r>
    <x v="6"/>
    <n v="13.691000000000001"/>
    <n v="-89.229299999999995"/>
    <n v="6"/>
    <n v="0"/>
    <n v="0"/>
    <n v="107"/>
    <s v="_x0000_peopl"/>
  </r>
  <r>
    <x v="6"/>
    <n v="13.6921"/>
    <n v="-89.221900000000005"/>
    <n v="4"/>
    <n v="0"/>
    <n v="0"/>
    <n v="107"/>
    <s v="_x0000_peopl"/>
  </r>
  <r>
    <x v="6"/>
    <n v="13.684699999999999"/>
    <n v="-89.216099999999997"/>
    <n v="5"/>
    <n v="0"/>
    <n v="0"/>
    <n v="107"/>
    <s v="_x0000_peopl"/>
  </r>
  <r>
    <x v="6"/>
    <n v="13.692"/>
    <n v="-89.224000000000004"/>
    <n v="5"/>
    <n v="0"/>
    <n v="0"/>
    <n v="107"/>
    <s v="_x0000_peopl"/>
  </r>
  <r>
    <x v="6"/>
    <n v="13.6922"/>
    <n v="-89.178100000000001"/>
    <n v="6"/>
    <n v="0"/>
    <n v="0"/>
    <n v="107"/>
    <s v="_x0000_peopl"/>
  </r>
  <r>
    <x v="6"/>
    <n v="13.693300000000001"/>
    <n v="-89.176900000000003"/>
    <n v="5"/>
    <n v="0"/>
    <n v="0"/>
    <n v="107"/>
    <s v="_x0000_peopl"/>
  </r>
  <r>
    <x v="6"/>
    <n v="13.6912"/>
    <n v="-89.232799999999997"/>
    <n v="5"/>
    <n v="0"/>
    <n v="0"/>
    <n v="107"/>
    <s v="_x0000_peopl"/>
  </r>
  <r>
    <x v="6"/>
    <n v="13.685"/>
    <n v="-89.216099999999997"/>
    <n v="4"/>
    <n v="0"/>
    <n v="0"/>
    <n v="107"/>
    <s v="_x0000_peopl"/>
  </r>
  <r>
    <x v="6"/>
    <n v="13.691800000000001"/>
    <n v="-89.225399999999993"/>
    <n v="4"/>
    <n v="0"/>
    <n v="0"/>
    <n v="107"/>
    <s v="_x0000_peopl"/>
  </r>
  <r>
    <x v="6"/>
    <n v="13.6851"/>
    <n v="-89.215999999999994"/>
    <n v="5"/>
    <n v="0"/>
    <n v="0"/>
    <n v="107"/>
    <s v="_x0000_peopl"/>
  </r>
  <r>
    <x v="6"/>
    <n v="13.692600000000001"/>
    <n v="-89.184700000000007"/>
    <n v="3"/>
    <n v="0"/>
    <n v="0"/>
    <n v="107"/>
    <s v="_x0000_peopl"/>
  </r>
  <r>
    <x v="6"/>
    <n v="13.6744"/>
    <n v="-89.198999999999998"/>
    <n v="3"/>
    <n v="0"/>
    <n v="0"/>
    <n v="107"/>
    <s v="_x0000_peopl"/>
  </r>
  <r>
    <x v="6"/>
    <n v="13.690200000000001"/>
    <n v="-89.179500000000004"/>
    <n v="3"/>
    <n v="0"/>
    <n v="0"/>
    <n v="107"/>
    <s v="_x0000_peopl"/>
  </r>
  <r>
    <x v="6"/>
    <n v="13.689"/>
    <n v="-89.181299999999993"/>
    <n v="4"/>
    <n v="0"/>
    <n v="0"/>
    <n v="107"/>
    <s v="_x0000_peopl"/>
  </r>
  <r>
    <x v="6"/>
    <n v="13.6867"/>
    <n v="-89.194500000000005"/>
    <n v="6"/>
    <n v="0"/>
    <n v="0"/>
    <n v="107"/>
    <s v="_x0000_peopl"/>
  </r>
  <r>
    <x v="6"/>
    <n v="13.692"/>
    <n v="-89.194100000000006"/>
    <n v="5"/>
    <n v="0"/>
    <n v="0"/>
    <n v="107"/>
    <s v="_x0000_peopl"/>
  </r>
  <r>
    <x v="6"/>
    <n v="13.6911"/>
    <n v="-89.232699999999994"/>
    <n v="0"/>
    <n v="0"/>
    <n v="0"/>
    <n v="107"/>
    <s v="_x0000_peopl"/>
  </r>
  <r>
    <x v="6"/>
    <n v="13.6869"/>
    <n v="-89.194699999999997"/>
    <n v="6"/>
    <n v="0"/>
    <n v="0"/>
    <n v="107"/>
    <s v="_x0000_peopl"/>
  </r>
  <r>
    <x v="6"/>
    <n v="13.6898"/>
    <n v="-89.1935"/>
    <n v="3"/>
    <n v="0"/>
    <n v="0"/>
    <n v="107"/>
    <s v="_x0000_peopl"/>
  </r>
  <r>
    <x v="6"/>
    <n v="13.6944"/>
    <n v="-89.183199999999999"/>
    <n v="6"/>
    <n v="0"/>
    <n v="0"/>
    <n v="107"/>
    <s v="_x0000_peopl"/>
  </r>
  <r>
    <x v="6"/>
    <n v="13.6861"/>
    <n v="-89.215100000000007"/>
    <n v="2"/>
    <n v="0"/>
    <n v="0"/>
    <n v="107"/>
    <s v="_x0000_peopl"/>
  </r>
  <r>
    <x v="6"/>
    <n v="13.692399999999999"/>
    <n v="-89.184600000000003"/>
    <n v="2"/>
    <n v="0"/>
    <n v="0"/>
    <n v="107"/>
    <s v="_x0000_peopl"/>
  </r>
  <r>
    <x v="6"/>
    <n v="13.689"/>
    <n v="-89.207300000000004"/>
    <n v="7"/>
    <n v="0"/>
    <n v="0"/>
    <n v="107"/>
    <s v="_x0000_peopl"/>
  </r>
  <r>
    <x v="6"/>
    <n v="13.6873"/>
    <n v="-89.196899999999999"/>
    <n v="6"/>
    <n v="0"/>
    <n v="0"/>
    <n v="107"/>
    <s v="_x0000_peopl"/>
  </r>
  <r>
    <x v="6"/>
    <n v="13.691599999999999"/>
    <n v="-89.196899999999999"/>
    <n v="11"/>
    <n v="0"/>
    <n v="0"/>
    <n v="107"/>
    <s v="_x0000_peopl"/>
  </r>
  <r>
    <x v="6"/>
    <n v="13.685700000000001"/>
    <n v="-89.211500000000001"/>
    <n v="10"/>
    <n v="0"/>
    <n v="0"/>
    <n v="107"/>
    <s v="_x0000_peopl"/>
  </r>
  <r>
    <x v="6"/>
    <n v="13.688499999999999"/>
    <n v="-89.190600000000003"/>
    <n v="6"/>
    <n v="0"/>
    <n v="0"/>
    <n v="107"/>
    <s v="_x0000_peopl"/>
  </r>
  <r>
    <x v="6"/>
    <n v="13.691800000000001"/>
    <n v="-89.194400000000002"/>
    <n v="3"/>
    <n v="0"/>
    <n v="0"/>
    <n v="107"/>
    <s v="_x0000_peopl"/>
  </r>
  <r>
    <x v="6"/>
    <n v="13.692399999999999"/>
    <n v="-89.183700000000002"/>
    <n v="5"/>
    <n v="0"/>
    <n v="0"/>
    <n v="107"/>
    <s v="_x0000_peopl"/>
  </r>
  <r>
    <x v="6"/>
    <n v="13.685499999999999"/>
    <n v="-89.213399999999993"/>
    <n v="4"/>
    <n v="0"/>
    <n v="0"/>
    <n v="107"/>
    <s v="_x0000_peopl"/>
  </r>
  <r>
    <x v="6"/>
    <n v="13.6844"/>
    <n v="-89.211699999999993"/>
    <n v="2"/>
    <n v="0"/>
    <n v="0"/>
    <n v="107"/>
    <s v="_x0000_peopl"/>
  </r>
  <r>
    <x v="6"/>
    <n v="13.692299999999999"/>
    <n v="-89.174599999999998"/>
    <n v="5"/>
    <n v="0"/>
    <n v="0"/>
    <n v="107"/>
    <s v="_x0000_peopl"/>
  </r>
  <r>
    <x v="6"/>
    <n v="13.692299999999999"/>
    <n v="-89.181899999999999"/>
    <n v="8"/>
    <n v="0"/>
    <n v="0"/>
    <n v="107"/>
    <s v="_x0000_peopl"/>
  </r>
  <r>
    <x v="6"/>
    <n v="13.6912"/>
    <n v="-89.232900000000001"/>
    <n v="6"/>
    <n v="0"/>
    <n v="0"/>
    <n v="107"/>
    <s v="_x0000_peopl"/>
  </r>
  <r>
    <x v="6"/>
    <n v="13.6877"/>
    <n v="-89.194599999999994"/>
    <n v="5"/>
    <n v="0"/>
    <n v="0"/>
    <n v="107"/>
    <s v="_x0000_peopl"/>
  </r>
  <r>
    <x v="6"/>
    <n v="13.690200000000001"/>
    <n v="-89.183800000000005"/>
    <n v="4"/>
    <n v="0"/>
    <n v="0"/>
    <n v="107"/>
    <s v="_x0000_peopl"/>
  </r>
  <r>
    <x v="6"/>
    <n v="13.692299999999999"/>
    <n v="-89.226900000000001"/>
    <n v="6"/>
    <n v="0"/>
    <n v="0"/>
    <n v="107"/>
    <s v="_x0000_peopl"/>
  </r>
  <r>
    <x v="6"/>
    <n v="13.6911"/>
    <n v="-89.1905"/>
    <n v="4"/>
    <n v="0"/>
    <n v="0"/>
    <n v="107"/>
    <s v="_x0000_peopl"/>
  </r>
  <r>
    <x v="6"/>
    <n v="13.6874"/>
    <n v="-89.195599999999999"/>
    <n v="4"/>
    <n v="0"/>
    <n v="0"/>
    <n v="107"/>
    <s v="_x0000_peopl"/>
  </r>
  <r>
    <x v="6"/>
    <n v="13.686999999999999"/>
    <n v="-89.2149"/>
    <n v="6"/>
    <n v="0"/>
    <n v="0"/>
    <n v="107"/>
    <s v="_x0000_peopl"/>
  </r>
  <r>
    <x v="6"/>
    <n v="13.6911"/>
    <n v="-89.181600000000003"/>
    <n v="4"/>
    <n v="0"/>
    <n v="0"/>
    <n v="107"/>
    <s v="_x0000_peopl"/>
  </r>
  <r>
    <x v="6"/>
    <n v="13.6929"/>
    <n v="-89.173900000000003"/>
    <n v="3"/>
    <n v="0"/>
    <n v="0"/>
    <n v="107"/>
    <s v="_x0000_peopl"/>
  </r>
  <r>
    <x v="6"/>
    <n v="13.6914"/>
    <n v="-89.189300000000003"/>
    <n v="4"/>
    <n v="0"/>
    <n v="0"/>
    <n v="107"/>
    <s v="_x0000_peopl"/>
  </r>
  <r>
    <x v="6"/>
    <n v="13.690099999999999"/>
    <n v="-89.234999999999999"/>
    <n v="6"/>
    <n v="0"/>
    <n v="0"/>
    <n v="107"/>
    <s v="_x0000_peopl"/>
  </r>
  <r>
    <x v="6"/>
    <n v="13.690300000000001"/>
    <n v="-89.1798"/>
    <n v="7"/>
    <n v="0"/>
    <n v="0"/>
    <n v="107"/>
    <s v="_x0000_peopl"/>
  </r>
  <r>
    <x v="6"/>
    <n v="13.6877"/>
    <n v="-89.194599999999994"/>
    <n v="4"/>
    <n v="0"/>
    <n v="0"/>
    <n v="107"/>
    <s v="_x0000_peopl"/>
  </r>
  <r>
    <x v="6"/>
    <n v="13.675599999999999"/>
    <n v="-89.247500000000002"/>
    <n v="2"/>
    <n v="0"/>
    <n v="0"/>
    <n v="107"/>
    <s v="_x0000_peopl"/>
  </r>
  <r>
    <x v="6"/>
    <n v="13.6958"/>
    <n v="-89.172499999999999"/>
    <n v="4"/>
    <n v="0"/>
    <n v="0"/>
    <n v="107"/>
    <s v="_x0000_peopl"/>
  </r>
  <r>
    <x v="6"/>
    <n v="13.691700000000001"/>
    <n v="-89.2333"/>
    <n v="4"/>
    <n v="0"/>
    <n v="0"/>
    <n v="107"/>
    <s v="_x0000_peopl"/>
  </r>
  <r>
    <x v="6"/>
    <n v="13.6858"/>
    <n v="-89.215000000000003"/>
    <n v="9"/>
    <n v="0"/>
    <n v="0"/>
    <n v="107"/>
    <s v="_x0000_peopl"/>
  </r>
  <r>
    <x v="6"/>
    <n v="13.6891"/>
    <n v="-89.236199999999997"/>
    <n v="7"/>
    <n v="0"/>
    <n v="0"/>
    <n v="107"/>
    <s v="_x0000_peopl"/>
  </r>
  <r>
    <x v="6"/>
    <n v="13.6934"/>
    <n v="-89.176199999999994"/>
    <n v="6"/>
    <n v="0"/>
    <n v="0"/>
    <n v="107"/>
    <s v="_x0000_peopl"/>
  </r>
  <r>
    <x v="6"/>
    <n v="13.6929"/>
    <n v="-89.183199999999999"/>
    <n v="9"/>
    <n v="0"/>
    <n v="0"/>
    <n v="107"/>
    <s v="_x0000_peopl"/>
  </r>
  <r>
    <x v="6"/>
    <n v="13.6936"/>
    <n v="-89.188699999999997"/>
    <n v="0"/>
    <n v="0"/>
    <n v="0"/>
    <n v="107"/>
    <s v="_x0000_peopl"/>
  </r>
  <r>
    <x v="6"/>
    <n v="13.690300000000001"/>
    <n v="-89.183800000000005"/>
    <n v="7"/>
    <n v="0"/>
    <n v="0"/>
    <n v="107"/>
    <s v="_x0000_peopl"/>
  </r>
  <r>
    <x v="6"/>
    <n v="13.691000000000001"/>
    <n v="-89.229600000000005"/>
    <n v="7"/>
    <n v="0"/>
    <n v="0"/>
    <n v="107"/>
    <s v="_x0000_peopl"/>
  </r>
  <r>
    <x v="6"/>
    <n v="13.684699999999999"/>
    <n v="-89.213300000000004"/>
    <n v="6"/>
    <n v="0"/>
    <n v="0"/>
    <n v="107"/>
    <s v="_x0000_peopl"/>
  </r>
  <r>
    <x v="6"/>
    <n v="13.6889"/>
    <n v="-89.229299999999995"/>
    <n v="6"/>
    <n v="0"/>
    <n v="0"/>
    <n v="107"/>
    <s v="_x0000_peopl"/>
  </r>
  <r>
    <x v="6"/>
    <n v="13.686299999999999"/>
    <n v="-89.212900000000005"/>
    <n v="4"/>
    <n v="0"/>
    <n v="0"/>
    <n v="107"/>
    <s v="_x0000_peopl"/>
  </r>
  <r>
    <x v="6"/>
    <n v="13.6928"/>
    <n v="-89.178299999999993"/>
    <n v="5"/>
    <n v="0"/>
    <n v="0"/>
    <n v="107"/>
    <s v="_x0000_peopl"/>
  </r>
  <r>
    <x v="6"/>
    <n v="13.6899"/>
    <n v="-89.177499999999995"/>
    <n v="6"/>
    <n v="0"/>
    <n v="0"/>
    <n v="107"/>
    <s v="_x0000_peopl"/>
  </r>
  <r>
    <x v="6"/>
    <n v="13.689500000000001"/>
    <n v="-89.229399999999998"/>
    <n v="5"/>
    <n v="0"/>
    <n v="0"/>
    <n v="107"/>
    <s v="_x0000_peopl"/>
  </r>
  <r>
    <x v="6"/>
    <n v="13.6892"/>
    <n v="-89.2363"/>
    <n v="3"/>
    <n v="0"/>
    <n v="0"/>
    <n v="107"/>
    <s v="_x0000_peopl"/>
  </r>
  <r>
    <x v="6"/>
    <n v="13.691800000000001"/>
    <n v="-89.194100000000006"/>
    <n v="2"/>
    <n v="0"/>
    <n v="0"/>
    <n v="107"/>
    <s v="_x0000_peopl"/>
  </r>
  <r>
    <x v="6"/>
    <n v="13.6843"/>
    <n v="-89.217200000000005"/>
    <n v="10"/>
    <n v="0"/>
    <n v="0"/>
    <n v="107"/>
    <s v="_x0000_peopl"/>
  </r>
  <r>
    <x v="6"/>
    <n v="13.6875"/>
    <n v="-89.214399999999998"/>
    <n v="3"/>
    <n v="0"/>
    <n v="0"/>
    <n v="107"/>
    <s v="_x0000_peopl"/>
  </r>
  <r>
    <x v="6"/>
    <n v="13.692299999999999"/>
    <n v="-89.226500000000001"/>
    <n v="3"/>
    <n v="0"/>
    <n v="0"/>
    <n v="107"/>
    <s v="_x0000_peopl"/>
  </r>
  <r>
    <x v="6"/>
    <n v="13.6891"/>
    <n v="-89.205399999999997"/>
    <n v="5"/>
    <n v="0"/>
    <n v="0"/>
    <n v="107"/>
    <s v="_x0000_peopl"/>
  </r>
  <r>
    <x v="6"/>
    <n v="13.6874"/>
    <n v="-89.195499999999996"/>
    <n v="1"/>
    <n v="0"/>
    <n v="0"/>
    <n v="107"/>
    <s v="_x0000_peopl"/>
  </r>
  <r>
    <x v="6"/>
    <n v="13.6752"/>
    <n v="-89.202299999999994"/>
    <n v="5"/>
    <n v="0"/>
    <n v="0"/>
    <n v="107"/>
    <s v="_x0000_peopl"/>
  </r>
  <r>
    <x v="6"/>
    <n v="13.6891"/>
    <n v="-89.207400000000007"/>
    <n v="1"/>
    <n v="0"/>
    <n v="0"/>
    <n v="107"/>
    <s v="_x0000_peopl"/>
  </r>
  <r>
    <x v="6"/>
    <n v="13.6952"/>
    <n v="-89.173599999999993"/>
    <n v="8"/>
    <n v="0"/>
    <n v="0"/>
    <n v="107"/>
    <s v="_x0000_peopl"/>
  </r>
  <r>
    <x v="6"/>
    <n v="13.6873"/>
    <n v="-89.192300000000003"/>
    <n v="11"/>
    <n v="0"/>
    <n v="0"/>
    <n v="107"/>
    <s v="_x0000_peopl"/>
  </r>
  <r>
    <x v="6"/>
    <n v="13.6891"/>
    <n v="-89.205299999999994"/>
    <n v="4"/>
    <n v="0"/>
    <n v="0"/>
    <n v="107"/>
    <s v="_x0000_peopl"/>
  </r>
  <r>
    <x v="6"/>
    <n v="13.6875"/>
    <n v="-89.194699999999997"/>
    <n v="2"/>
    <n v="0"/>
    <n v="0"/>
    <n v="107"/>
    <s v="_x0000_peopl"/>
  </r>
  <r>
    <x v="6"/>
    <n v="13.6884"/>
    <n v="-89.204300000000003"/>
    <n v="5"/>
    <n v="0"/>
    <n v="0"/>
    <n v="107"/>
    <s v="_x0000_peopl"/>
  </r>
  <r>
    <x v="6"/>
    <n v="13.6942"/>
    <n v="-89.174599999999998"/>
    <n v="7"/>
    <n v="0"/>
    <n v="0"/>
    <n v="107"/>
    <s v="_x0000_peopl"/>
  </r>
  <r>
    <x v="6"/>
    <n v="13.6927"/>
    <n v="-89.224000000000004"/>
    <n v="6"/>
    <n v="0"/>
    <n v="0"/>
    <n v="107"/>
    <s v="_x0000_peopl"/>
  </r>
  <r>
    <x v="6"/>
    <n v="13.6934"/>
    <n v="-89.188800000000001"/>
    <n v="6"/>
    <n v="0"/>
    <n v="0"/>
    <n v="107"/>
    <s v="_x0000_peopl"/>
  </r>
  <r>
    <x v="6"/>
    <n v="13.6869"/>
    <n v="-89.215100000000007"/>
    <n v="1"/>
    <n v="0"/>
    <n v="0"/>
    <n v="107"/>
    <s v="_x0000_peopl"/>
  </r>
  <r>
    <x v="6"/>
    <n v="13.675000000000001"/>
    <n v="-89.199700000000007"/>
    <n v="3"/>
    <n v="0"/>
    <n v="0"/>
    <n v="107"/>
    <s v="_x0000_peopl"/>
  </r>
  <r>
    <x v="6"/>
    <n v="13.696"/>
    <n v="-89.172399999999996"/>
    <n v="3"/>
    <n v="0"/>
    <n v="0"/>
    <n v="107"/>
    <s v="_x0000_peopl"/>
  </r>
  <r>
    <x v="6"/>
    <n v="13.6913"/>
    <n v="-89.1858"/>
    <n v="6"/>
    <n v="0"/>
    <n v="0"/>
    <n v="107"/>
    <s v="_x0000_peopl"/>
  </r>
  <r>
    <x v="6"/>
    <n v="13.6945"/>
    <n v="-89.171599999999998"/>
    <n v="5"/>
    <n v="0"/>
    <n v="0"/>
    <n v="107"/>
    <s v="_x0000_peopl"/>
  </r>
  <r>
    <x v="6"/>
    <n v="13.6874"/>
    <n v="-89.196799999999996"/>
    <n v="5"/>
    <n v="0"/>
    <n v="0"/>
    <n v="107"/>
    <s v="_x0000_peopl"/>
  </r>
  <r>
    <x v="6"/>
    <n v="13.6738"/>
    <n v="-89.202799999999996"/>
    <n v="5"/>
    <n v="0"/>
    <n v="0"/>
    <n v="107"/>
    <s v="_x0000_peopl"/>
  </r>
  <r>
    <x v="6"/>
    <n v="13.690799999999999"/>
    <n v="-89.187399999999997"/>
    <n v="5"/>
    <n v="0"/>
    <n v="0"/>
    <n v="107"/>
    <s v="_x0000_peopl"/>
  </r>
  <r>
    <x v="6"/>
    <n v="13.6945"/>
    <n v="-89.189099999999996"/>
    <n v="7"/>
    <n v="0"/>
    <n v="0"/>
    <n v="107"/>
    <s v="_x0000_peopl"/>
  </r>
  <r>
    <x v="6"/>
    <n v="13.6874"/>
    <n v="-89.197199999999995"/>
    <n v="3"/>
    <n v="0"/>
    <n v="0"/>
    <n v="107"/>
    <s v="_x0000_peopl"/>
  </r>
  <r>
    <x v="6"/>
    <n v="13.690899999999999"/>
    <n v="-89.235799999999998"/>
    <n v="3"/>
    <n v="0"/>
    <n v="0"/>
    <n v="107"/>
    <s v="_x0000_peopl"/>
  </r>
  <r>
    <x v="6"/>
    <n v="13.691599999999999"/>
    <n v="-89.226600000000005"/>
    <n v="5"/>
    <n v="0"/>
    <n v="0"/>
    <n v="107"/>
    <s v="_x0000_peopl"/>
  </r>
  <r>
    <x v="6"/>
    <n v="13.686999999999999"/>
    <n v="-89.194599999999994"/>
    <n v="7"/>
    <n v="0"/>
    <n v="0"/>
    <n v="107"/>
    <s v="_x0000_peopl"/>
  </r>
  <r>
    <x v="6"/>
    <n v="13.6912"/>
    <n v="-89.220399999999998"/>
    <n v="6"/>
    <n v="0"/>
    <n v="0"/>
    <n v="107"/>
    <s v="_x0000_peopl"/>
  </r>
  <r>
    <x v="6"/>
    <n v="13.688000000000001"/>
    <n v="-89.180099999999996"/>
    <n v="2"/>
    <n v="0"/>
    <n v="0"/>
    <n v="107"/>
    <s v="_x0000_peopl"/>
  </r>
  <r>
    <x v="6"/>
    <n v="13.6752"/>
    <n v="-89.250100000000003"/>
    <n v="7"/>
    <n v="0"/>
    <n v="0"/>
    <n v="107"/>
    <s v="_x0000_peopl"/>
  </r>
  <r>
    <x v="6"/>
    <n v="13.6935"/>
    <n v="-89.188199999999995"/>
    <n v="3"/>
    <n v="0"/>
    <n v="0"/>
    <n v="107"/>
    <s v="_x0000_peopl"/>
  </r>
  <r>
    <x v="6"/>
    <n v="13.691000000000001"/>
    <n v="-89.198499999999996"/>
    <n v="6"/>
    <n v="0"/>
    <n v="0"/>
    <n v="107"/>
    <s v="_x0000_peopl"/>
  </r>
  <r>
    <x v="6"/>
    <n v="13.685499999999999"/>
    <n v="-89.204499999999996"/>
    <n v="4"/>
    <n v="0"/>
    <n v="0"/>
    <n v="107"/>
    <s v="_x0000_peopl"/>
  </r>
  <r>
    <x v="6"/>
    <n v="13.6883"/>
    <n v="-89.229799999999997"/>
    <n v="5"/>
    <n v="0"/>
    <n v="0"/>
    <n v="107"/>
    <s v="_x0000_peopl"/>
  </r>
  <r>
    <x v="6"/>
    <n v="13.6861"/>
    <n v="-89.204400000000007"/>
    <n v="7"/>
    <n v="0"/>
    <n v="0"/>
    <n v="107"/>
    <s v="_x0000_peopl"/>
  </r>
  <r>
    <x v="6"/>
    <n v="13.6899"/>
    <n v="-89.197800000000001"/>
    <n v="4"/>
    <n v="0"/>
    <n v="0"/>
    <n v="107"/>
    <s v="_x0000_peopl"/>
  </r>
  <r>
    <x v="6"/>
    <n v="13.696899999999999"/>
    <n v="-89.171499999999995"/>
    <n v="6"/>
    <n v="0"/>
    <n v="0"/>
    <n v="107"/>
    <s v="_x0000_peopl"/>
  </r>
  <r>
    <x v="6"/>
    <n v="13.690200000000001"/>
    <n v="-89.1798"/>
    <n v="4"/>
    <n v="0"/>
    <n v="0"/>
    <n v="107"/>
    <s v="_x0000_peopl"/>
  </r>
  <r>
    <x v="6"/>
    <n v="13.6905"/>
    <n v="-89.186599999999999"/>
    <n v="6"/>
    <n v="0"/>
    <n v="0"/>
    <n v="107"/>
    <s v="_x0000_peopl"/>
  </r>
  <r>
    <x v="6"/>
    <n v="13.6905"/>
    <n v="-89.235699999999994"/>
    <n v="2"/>
    <n v="0"/>
    <n v="0"/>
    <n v="107"/>
    <s v="_x0000_peopl"/>
  </r>
  <r>
    <x v="6"/>
    <n v="13.6922"/>
    <n v="-89.222499999999997"/>
    <n v="1"/>
    <n v="0"/>
    <n v="0"/>
    <n v="107"/>
    <s v="_x0000_peopl"/>
  </r>
  <r>
    <x v="6"/>
    <n v="13.6922"/>
    <n v="-89.179400000000001"/>
    <n v="1"/>
    <n v="0"/>
    <n v="0"/>
    <n v="107"/>
    <s v="_x0000_peopl"/>
  </r>
  <r>
    <x v="6"/>
    <n v="13.6928"/>
    <n v="-89.176699999999997"/>
    <n v="3"/>
    <n v="0"/>
    <n v="0"/>
    <n v="107"/>
    <s v="_x0000_peopl"/>
  </r>
  <r>
    <x v="6"/>
    <n v="13.6892"/>
    <n v="-89.197500000000005"/>
    <n v="8"/>
    <n v="0"/>
    <n v="0"/>
    <n v="107"/>
    <s v="_x0000_peopl"/>
  </r>
  <r>
    <x v="6"/>
    <n v="13.6744"/>
    <n v="-89.251900000000006"/>
    <n v="4"/>
    <n v="0"/>
    <n v="0"/>
    <n v="107"/>
    <s v="_x0000_peopl"/>
  </r>
  <r>
    <x v="6"/>
    <n v="13.687099999999999"/>
    <n v="-89.197100000000006"/>
    <n v="5"/>
    <n v="0"/>
    <n v="0"/>
    <n v="107"/>
    <s v="_x0000_peopl"/>
  </r>
  <r>
    <x v="6"/>
    <n v="13.6753"/>
    <n v="-89.249899999999997"/>
    <n v="6"/>
    <n v="0"/>
    <n v="0"/>
    <n v="107"/>
    <s v="_x0000_peopl"/>
  </r>
  <r>
    <x v="6"/>
    <n v="13.6875"/>
    <n v="-89.214100000000002"/>
    <n v="6"/>
    <n v="0"/>
    <n v="0"/>
    <n v="107"/>
    <s v="_x0000_peopl"/>
  </r>
  <r>
    <x v="6"/>
    <n v="13.676500000000001"/>
    <n v="-89.1995"/>
    <n v="5"/>
    <n v="0"/>
    <n v="0"/>
    <n v="107"/>
    <s v="_x0000_peopl"/>
  </r>
  <r>
    <x v="6"/>
    <n v="13.694800000000001"/>
    <n v="-89.174400000000006"/>
    <n v="1"/>
    <n v="0"/>
    <n v="0"/>
    <n v="107"/>
    <s v="_x0000_peopl"/>
  </r>
  <r>
    <x v="6"/>
    <n v="13.6914"/>
    <n v="-89.2333"/>
    <n v="3"/>
    <n v="0"/>
    <n v="0"/>
    <n v="107"/>
    <s v="_x0000_peopl"/>
  </r>
  <r>
    <x v="6"/>
    <n v="13.694800000000001"/>
    <n v="-89.174099999999996"/>
    <n v="7"/>
    <n v="0"/>
    <n v="0"/>
    <n v="107"/>
    <s v="_x0000_peopl"/>
  </r>
  <r>
    <x v="6"/>
    <n v="13.6874"/>
    <n v="-89.194599999999994"/>
    <n v="4"/>
    <n v="0"/>
    <n v="0"/>
    <n v="107"/>
    <s v="_x0000_peopl"/>
  </r>
  <r>
    <x v="6"/>
    <n v="13.6746"/>
    <n v="-89.252300000000005"/>
    <n v="3"/>
    <n v="0"/>
    <n v="0"/>
    <n v="107"/>
    <s v="_x0000_peopl"/>
  </r>
  <r>
    <x v="6"/>
    <n v="13.691000000000001"/>
    <n v="-89.2273"/>
    <n v="6"/>
    <n v="0"/>
    <n v="0"/>
    <n v="107"/>
    <s v="_x0000_peopl"/>
  </r>
  <r>
    <x v="6"/>
    <n v="13.690099999999999"/>
    <n v="-89.186800000000005"/>
    <n v="2"/>
    <n v="0"/>
    <n v="0"/>
    <n v="107"/>
    <s v="_x0000_peopl"/>
  </r>
  <r>
    <x v="6"/>
    <n v="13.692399999999999"/>
    <n v="-89.192599999999999"/>
    <n v="5"/>
    <n v="0"/>
    <n v="0"/>
    <n v="107"/>
    <s v="_x0000_peopl"/>
  </r>
  <r>
    <x v="6"/>
    <n v="13.6852"/>
    <n v="-89.213999999999999"/>
    <n v="5"/>
    <n v="0"/>
    <n v="0"/>
    <n v="107"/>
    <s v="_x0000_peopl"/>
  </r>
  <r>
    <x v="6"/>
    <n v="13.686"/>
    <n v="-89.202200000000005"/>
    <n v="2"/>
    <n v="0"/>
    <n v="0"/>
    <n v="107"/>
    <s v="_x0000_peopl"/>
  </r>
  <r>
    <x v="6"/>
    <n v="13.687799999999999"/>
    <n v="-89.181799999999996"/>
    <n v="8"/>
    <n v="0"/>
    <n v="0"/>
    <n v="107"/>
    <s v="_x0000_peopl"/>
  </r>
  <r>
    <x v="6"/>
    <n v="13.6873"/>
    <n v="-89.191400000000002"/>
    <n v="11"/>
    <n v="0"/>
    <n v="0"/>
    <n v="107"/>
    <s v="_x0000_peopl"/>
  </r>
  <r>
    <x v="6"/>
    <n v="13.6877"/>
    <n v="-89.197199999999995"/>
    <n v="5"/>
    <n v="0"/>
    <n v="0"/>
    <n v="107"/>
    <s v="_x0000_peopl"/>
  </r>
  <r>
    <x v="6"/>
    <n v="13.688499999999999"/>
    <n v="-89.198400000000007"/>
    <n v="5"/>
    <n v="0"/>
    <n v="0"/>
    <n v="107"/>
    <s v="_x0000_peopl"/>
  </r>
  <r>
    <x v="6"/>
    <n v="13.6921"/>
    <n v="-89.194400000000002"/>
    <n v="9"/>
    <n v="0"/>
    <n v="0"/>
    <n v="107"/>
    <s v="_x0000_peopl"/>
  </r>
  <r>
    <x v="6"/>
    <n v="13.689500000000001"/>
    <n v="-89.197100000000006"/>
    <n v="4"/>
    <n v="0"/>
    <n v="0"/>
    <n v="107"/>
    <s v="_x0000_peopl"/>
  </r>
  <r>
    <x v="6"/>
    <n v="13.686999999999999"/>
    <n v="-89.212999999999994"/>
    <n v="5"/>
    <n v="0"/>
    <n v="0"/>
    <n v="107"/>
    <s v="_x0000_peopl"/>
  </r>
  <r>
    <x v="6"/>
    <n v="13.6896"/>
    <n v="-89.229600000000005"/>
    <n v="11"/>
    <n v="0"/>
    <n v="0"/>
    <n v="107"/>
    <s v="_x0000_peopl"/>
  </r>
  <r>
    <x v="6"/>
    <n v="13.694599999999999"/>
    <n v="-89.174999999999997"/>
    <n v="7"/>
    <n v="0"/>
    <n v="0"/>
    <n v="107"/>
    <s v="_x0000_peopl"/>
  </r>
  <r>
    <x v="6"/>
    <n v="13.6805"/>
    <n v="-89.198099999999997"/>
    <n v="7"/>
    <n v="0"/>
    <n v="0"/>
    <n v="107"/>
    <s v="_x0000_peopl"/>
  </r>
  <r>
    <x v="6"/>
    <n v="13.692500000000001"/>
    <n v="-89.183099999999996"/>
    <n v="2"/>
    <n v="0"/>
    <n v="0"/>
    <n v="107"/>
    <s v="_x0000_peopl"/>
  </r>
  <r>
    <x v="6"/>
    <n v="13.6897"/>
    <n v="-89.235600000000005"/>
    <n v="2"/>
    <n v="0"/>
    <n v="0"/>
    <n v="107"/>
    <s v="_x0000_peopl"/>
  </r>
  <r>
    <x v="6"/>
    <n v="13.6874"/>
    <n v="-89.198300000000003"/>
    <n v="6"/>
    <n v="0"/>
    <n v="0"/>
    <n v="107"/>
    <s v="_x0000_peopl"/>
  </r>
  <r>
    <x v="6"/>
    <n v="13.6881"/>
    <n v="-89.205299999999994"/>
    <n v="3"/>
    <n v="0"/>
    <n v="0"/>
    <n v="107"/>
    <s v="_x0000_peopl"/>
  </r>
  <r>
    <x v="6"/>
    <n v="13.689500000000001"/>
    <n v="-89.208100000000002"/>
    <n v="7"/>
    <n v="0"/>
    <n v="0"/>
    <n v="107"/>
    <s v="_x0000_peopl"/>
  </r>
  <r>
    <x v="6"/>
    <n v="13.686299999999999"/>
    <n v="-89.213399999999993"/>
    <n v="7"/>
    <n v="0"/>
    <n v="0"/>
    <n v="107"/>
    <s v="_x0000_peopl"/>
  </r>
  <r>
    <x v="6"/>
    <n v="13.6921"/>
    <n v="-89.226900000000001"/>
    <n v="4"/>
    <n v="0"/>
    <n v="0"/>
    <n v="107"/>
    <s v="_x0000_peopl"/>
  </r>
  <r>
    <x v="6"/>
    <n v="13.690899999999999"/>
    <n v="-89.194400000000002"/>
    <n v="7"/>
    <n v="0"/>
    <n v="0"/>
    <n v="107"/>
    <s v="_x0000_peopl"/>
  </r>
  <r>
    <x v="6"/>
    <n v="13.693300000000001"/>
    <n v="-89.178299999999993"/>
    <n v="3"/>
    <n v="0"/>
    <n v="0"/>
    <n v="107"/>
    <s v="_x0000_peopl"/>
  </r>
  <r>
    <x v="6"/>
    <n v="13.696999999999999"/>
    <n v="-89.171400000000006"/>
    <n v="8"/>
    <n v="0"/>
    <n v="0"/>
    <n v="107"/>
    <s v="_x0000_peopl"/>
  </r>
  <r>
    <x v="6"/>
    <n v="13.691599999999999"/>
    <n v="-89.227199999999996"/>
    <n v="5"/>
    <n v="0"/>
    <n v="0"/>
    <n v="107"/>
    <s v="_x0000_peopl"/>
  </r>
  <r>
    <x v="6"/>
    <n v="13.693199999999999"/>
    <n v="-89.190299999999993"/>
    <n v="7"/>
    <n v="0"/>
    <n v="0"/>
    <n v="107"/>
    <s v="_x0000_peopl"/>
  </r>
  <r>
    <x v="6"/>
    <n v="13.677300000000001"/>
    <n v="-89.247399999999999"/>
    <n v="2"/>
    <n v="0"/>
    <n v="0"/>
    <n v="107"/>
    <s v="_x0000_peopl"/>
  </r>
  <r>
    <x v="6"/>
    <n v="13.6752"/>
    <n v="-89.250200000000007"/>
    <n v="3"/>
    <n v="0"/>
    <n v="0"/>
    <n v="107"/>
    <s v="_x0000_peopl"/>
  </r>
  <r>
    <x v="6"/>
    <n v="13.687799999999999"/>
    <n v="-89.215299999999999"/>
    <n v="4"/>
    <n v="0"/>
    <n v="0"/>
    <n v="107"/>
    <s v="_x0000_peopl"/>
  </r>
  <r>
    <x v="6"/>
    <n v="13.6907"/>
    <n v="-89.234200000000001"/>
    <n v="7"/>
    <n v="0"/>
    <n v="0"/>
    <n v="107"/>
    <s v="_x0000_peopl"/>
  </r>
  <r>
    <x v="6"/>
    <n v="13.6898"/>
    <n v="-89.189700000000002"/>
    <n v="7"/>
    <n v="0"/>
    <n v="0"/>
    <n v="107"/>
    <s v="_x0000_peopl"/>
  </r>
  <r>
    <x v="6"/>
    <n v="13.696099999999999"/>
    <n v="-89.172399999999996"/>
    <n v="2"/>
    <n v="0"/>
    <n v="0"/>
    <n v="107"/>
    <s v="_x0000_peopl"/>
  </r>
  <r>
    <x v="6"/>
    <n v="13.6911"/>
    <n v="-89.188699999999997"/>
    <n v="8"/>
    <n v="0"/>
    <n v="0"/>
    <n v="107"/>
    <s v="_x0000_peopl"/>
  </r>
  <r>
    <x v="6"/>
    <n v="13.6875"/>
    <n v="-89.182900000000004"/>
    <n v="10"/>
    <n v="0"/>
    <n v="0"/>
    <n v="107"/>
    <s v="_x0000_peopl"/>
  </r>
  <r>
    <x v="6"/>
    <n v="13.687200000000001"/>
    <n v="-89.194800000000001"/>
    <n v="2"/>
    <n v="0"/>
    <n v="0"/>
    <n v="107"/>
    <s v="_x0000_peopl"/>
  </r>
  <r>
    <x v="6"/>
    <n v="13.6866"/>
    <n v="-89.215999999999994"/>
    <n v="2"/>
    <n v="0"/>
    <n v="0"/>
    <n v="107"/>
    <s v="_x0000_peopl"/>
  </r>
  <r>
    <x v="6"/>
    <n v="13.689399999999999"/>
    <n v="-89.205100000000002"/>
    <n v="5"/>
    <n v="0"/>
    <n v="0"/>
    <n v="107"/>
    <s v="_x0000_peopl"/>
  </r>
  <r>
    <x v="6"/>
    <n v="13.6874"/>
    <n v="-89.197699999999998"/>
    <n v="11"/>
    <n v="0"/>
    <n v="0"/>
    <n v="107"/>
    <s v="_x0000_peopl"/>
  </r>
  <r>
    <x v="6"/>
    <n v="13.686999999999999"/>
    <n v="-89.196600000000004"/>
    <n v="3"/>
    <n v="0"/>
    <n v="0"/>
    <n v="107"/>
    <s v="_x0000_peopl"/>
  </r>
  <r>
    <x v="6"/>
    <n v="13.691599999999999"/>
    <n v="-89.234999999999999"/>
    <n v="6"/>
    <n v="0"/>
    <n v="0"/>
    <n v="107"/>
    <s v="_x0000_peopl"/>
  </r>
  <r>
    <x v="6"/>
    <n v="13.6896"/>
    <n v="-89.235399999999998"/>
    <n v="6"/>
    <n v="0"/>
    <n v="0"/>
    <n v="107"/>
    <s v="_x0000_peopl"/>
  </r>
  <r>
    <x v="6"/>
    <n v="13.692299999999999"/>
    <n v="-89.225999999999999"/>
    <n v="5"/>
    <n v="0"/>
    <n v="0"/>
    <n v="107"/>
    <s v="_x0000_peopl"/>
  </r>
  <r>
    <x v="6"/>
    <n v="13.6905"/>
    <n v="-89.177499999999995"/>
    <n v="4"/>
    <n v="0"/>
    <n v="0"/>
    <n v="107"/>
    <s v="_x0000_peopl"/>
  </r>
  <r>
    <x v="6"/>
    <n v="13.696999999999999"/>
    <n v="-89.171800000000005"/>
    <n v="7"/>
    <n v="0"/>
    <n v="0"/>
    <n v="107"/>
    <s v="_x0000_peopl"/>
  </r>
  <r>
    <x v="6"/>
    <n v="13.695499999999999"/>
    <n v="-89.166700000000006"/>
    <n v="5"/>
    <n v="0"/>
    <n v="0"/>
    <n v="107"/>
    <s v="_x0000_peopl"/>
  </r>
  <r>
    <x v="6"/>
    <n v="13.6905"/>
    <n v="-89.193299999999994"/>
    <n v="7"/>
    <n v="0"/>
    <n v="0"/>
    <n v="107"/>
    <s v="_x0000_peopl"/>
  </r>
  <r>
    <x v="6"/>
    <n v="13.690899999999999"/>
    <n v="-89.187299999999993"/>
    <n v="7"/>
    <n v="0"/>
    <n v="0"/>
    <n v="107"/>
    <s v="_x0000_peopl"/>
  </r>
  <r>
    <x v="6"/>
    <n v="13.6919"/>
    <n v="-89.224599999999995"/>
    <n v="5"/>
    <n v="0"/>
    <n v="0"/>
    <n v="107"/>
    <s v="_x0000_peopl"/>
  </r>
  <r>
    <x v="6"/>
    <n v="13.687200000000001"/>
    <n v="-89.197800000000001"/>
    <n v="4"/>
    <n v="0"/>
    <n v="0"/>
    <n v="107"/>
    <s v="_x0000_peopl"/>
  </r>
  <r>
    <x v="6"/>
    <n v="13.6859"/>
    <n v="-89.203299999999999"/>
    <n v="7"/>
    <n v="0"/>
    <n v="0"/>
    <n v="107"/>
    <s v="_x0000_peopl"/>
  </r>
  <r>
    <x v="6"/>
    <n v="13.6884"/>
    <n v="-89.229399999999998"/>
    <n v="3"/>
    <n v="0"/>
    <n v="0"/>
    <n v="107"/>
    <s v="_x0000_peopl"/>
  </r>
  <r>
    <x v="6"/>
    <n v="13.6929"/>
    <n v="-89.183999999999997"/>
    <n v="3"/>
    <n v="0"/>
    <n v="0"/>
    <n v="107"/>
    <s v="_x0000_peopl"/>
  </r>
  <r>
    <x v="6"/>
    <n v="13.6927"/>
    <n v="-89.1845"/>
    <n v="5"/>
    <n v="0"/>
    <n v="0"/>
    <n v="107"/>
    <s v="_x0000_peopl"/>
  </r>
  <r>
    <x v="6"/>
    <n v="13.6896"/>
    <n v="-89.235799999999998"/>
    <n v="4"/>
    <n v="0"/>
    <n v="0"/>
    <n v="107"/>
    <s v="_x0000_peopl"/>
  </r>
  <r>
    <x v="6"/>
    <n v="13.6899"/>
    <n v="-89.235600000000005"/>
    <n v="4"/>
    <n v="0"/>
    <n v="0"/>
    <n v="107"/>
    <s v="_x0000_peopl"/>
  </r>
  <r>
    <x v="6"/>
    <n v="13.686299999999999"/>
    <n v="-89.211699999999993"/>
    <n v="7"/>
    <n v="0"/>
    <n v="0"/>
    <n v="107"/>
    <s v="_x0000_peopl"/>
  </r>
  <r>
    <x v="6"/>
    <n v="13.688599999999999"/>
    <n v="-89.229799999999997"/>
    <n v="5"/>
    <n v="0"/>
    <n v="0"/>
    <n v="107"/>
    <s v="_x0000_peopl"/>
  </r>
  <r>
    <x v="6"/>
    <n v="13.687200000000001"/>
    <n v="-89.196700000000007"/>
    <n v="1"/>
    <n v="0"/>
    <n v="0"/>
    <n v="107"/>
    <s v="_x0000_peopl"/>
  </r>
  <r>
    <x v="6"/>
    <n v="13.6877"/>
    <n v="-89.215999999999994"/>
    <n v="2"/>
    <n v="0"/>
    <n v="0"/>
    <n v="107"/>
    <s v="_x0000_peopl"/>
  </r>
  <r>
    <x v="6"/>
    <n v="13.6876"/>
    <n v="-89.194699999999997"/>
    <n v="6"/>
    <n v="0"/>
    <n v="0"/>
    <n v="107"/>
    <s v="_x0000_peopl"/>
  </r>
  <r>
    <x v="6"/>
    <n v="13.691000000000001"/>
    <n v="-89.234200000000001"/>
    <n v="6"/>
    <n v="0"/>
    <n v="0"/>
    <n v="107"/>
    <s v="_x0000_peopl"/>
  </r>
  <r>
    <x v="6"/>
    <n v="13.6884"/>
    <n v="-89.182199999999995"/>
    <n v="4"/>
    <n v="0"/>
    <n v="0"/>
    <n v="107"/>
    <s v="_x0000_peopl"/>
  </r>
  <r>
    <x v="6"/>
    <n v="13.691700000000001"/>
    <n v="-89.185299999999998"/>
    <n v="6"/>
    <n v="0"/>
    <n v="0"/>
    <n v="107"/>
    <s v="_x0000_peopl"/>
  </r>
  <r>
    <x v="6"/>
    <n v="13.694000000000001"/>
    <n v="-89.1755"/>
    <n v="4"/>
    <n v="0"/>
    <n v="0"/>
    <n v="107"/>
    <s v="_x0000_peopl"/>
  </r>
  <r>
    <x v="6"/>
    <n v="13.6843"/>
    <n v="-89.211799999999997"/>
    <n v="5"/>
    <n v="0"/>
    <n v="0"/>
    <n v="107"/>
    <s v="_x0000_peopl"/>
  </r>
  <r>
    <x v="6"/>
    <n v="13.675000000000001"/>
    <n v="-89.199799999999996"/>
    <n v="7"/>
    <n v="0"/>
    <n v="0"/>
    <n v="107"/>
    <s v="_x0000_peopl"/>
  </r>
  <r>
    <x v="6"/>
    <n v="13.6915"/>
    <n v="-89.185599999999994"/>
    <n v="3"/>
    <n v="0"/>
    <n v="0"/>
    <n v="107"/>
    <s v="_x0000_peopl"/>
  </r>
  <r>
    <x v="6"/>
    <n v="13.6868"/>
    <n v="-89.215000000000003"/>
    <n v="7"/>
    <n v="0"/>
    <n v="0"/>
    <n v="107"/>
    <s v="_x0000_peopl"/>
  </r>
  <r>
    <x v="6"/>
    <n v="13.691800000000001"/>
    <n v="-89.220799999999997"/>
    <n v="6"/>
    <n v="0"/>
    <n v="0"/>
    <n v="107"/>
    <s v="_x0000_peopl"/>
  </r>
  <r>
    <x v="6"/>
    <n v="13.691599999999999"/>
    <n v="-89.183899999999994"/>
    <n v="5"/>
    <n v="0"/>
    <n v="0"/>
    <n v="107"/>
    <s v="_x0000_peopl"/>
  </r>
  <r>
    <x v="6"/>
    <n v="13.688800000000001"/>
    <n v="-89.229699999999994"/>
    <n v="10"/>
    <n v="0"/>
    <n v="0"/>
    <n v="107"/>
    <s v="_x0000_peopl"/>
  </r>
  <r>
    <x v="6"/>
    <n v="13.690099999999999"/>
    <n v="-89.236000000000004"/>
    <n v="6"/>
    <n v="0"/>
    <n v="0"/>
    <n v="107"/>
    <s v="_x0000_peopl"/>
  </r>
  <r>
    <x v="6"/>
    <n v="13.6921"/>
    <n v="-89.2239"/>
    <n v="2"/>
    <n v="0"/>
    <n v="0"/>
    <n v="107"/>
    <s v="_x0000_peopl"/>
  </r>
  <r>
    <x v="6"/>
    <n v="13.689399999999999"/>
    <n v="-89.235900000000001"/>
    <n v="6"/>
    <n v="0"/>
    <n v="0"/>
    <n v="107"/>
    <s v="_x0000_peopl"/>
  </r>
  <r>
    <x v="6"/>
    <n v="13.6904"/>
    <n v="-89.186899999999994"/>
    <n v="6"/>
    <n v="0"/>
    <n v="0"/>
    <n v="107"/>
    <s v="_x0000_peopl"/>
  </r>
  <r>
    <x v="6"/>
    <n v="13.6896"/>
    <n v="-89.193899999999999"/>
    <n v="4"/>
    <n v="0"/>
    <n v="0"/>
    <n v="107"/>
    <s v="_x0000_peopl"/>
  </r>
  <r>
    <x v="6"/>
    <n v="13.6873"/>
    <n v="-89.196399999999997"/>
    <n v="8"/>
    <n v="0"/>
    <n v="0"/>
    <n v="107"/>
    <s v="_x0000_peopl"/>
  </r>
  <r>
    <x v="6"/>
    <n v="13.6919"/>
    <n v="-89.178600000000003"/>
    <n v="6"/>
    <n v="0"/>
    <n v="0"/>
    <n v="107"/>
    <s v="_x0000_peopl"/>
  </r>
  <r>
    <x v="6"/>
    <n v="13.684799999999999"/>
    <n v="-89.211399999999998"/>
    <n v="6"/>
    <n v="0"/>
    <n v="0"/>
    <n v="107"/>
    <s v="_x0000_peopl"/>
  </r>
  <r>
    <x v="6"/>
    <n v="13.690899999999999"/>
    <n v="-89.194699999999997"/>
    <n v="4"/>
    <n v="0"/>
    <n v="0"/>
    <n v="107"/>
    <s v="_x0000_peopl"/>
  </r>
  <r>
    <x v="6"/>
    <n v="13.6854"/>
    <n v="-89.210700000000003"/>
    <n v="5"/>
    <n v="0"/>
    <n v="0"/>
    <n v="107"/>
    <s v="_x0000_peopl"/>
  </r>
  <r>
    <x v="6"/>
    <n v="13.686999999999999"/>
    <n v="-89.212500000000006"/>
    <n v="1"/>
    <n v="0"/>
    <n v="0"/>
    <n v="107"/>
    <s v="_x0000_peopl"/>
  </r>
  <r>
    <x v="6"/>
    <n v="13.6905"/>
    <n v="-89.234499999999997"/>
    <n v="3"/>
    <n v="0"/>
    <n v="0"/>
    <n v="107"/>
    <s v="_x0000_peopl"/>
  </r>
  <r>
    <x v="6"/>
    <n v="13.679600000000001"/>
    <n v="-89.194299999999998"/>
    <n v="3"/>
    <n v="0"/>
    <n v="0"/>
    <n v="107"/>
    <s v="_x0000_peopl"/>
  </r>
  <r>
    <x v="6"/>
    <n v="13.691599999999999"/>
    <n v="-89.221000000000004"/>
    <n v="6"/>
    <n v="0"/>
    <n v="0"/>
    <n v="107"/>
    <s v="_x0000_peopl"/>
  </r>
  <r>
    <x v="6"/>
    <n v="13.693300000000001"/>
    <n v="-89.178299999999993"/>
    <n v="2"/>
    <n v="0"/>
    <n v="0"/>
    <n v="107"/>
    <s v="_x0000_peopl"/>
  </r>
  <r>
    <x v="6"/>
    <n v="13.693099999999999"/>
    <n v="-89.176400000000001"/>
    <n v="9"/>
    <n v="0"/>
    <n v="0"/>
    <n v="107"/>
    <s v="_x0000_peopl"/>
  </r>
  <r>
    <x v="6"/>
    <n v="13.679500000000001"/>
    <n v="-89.196700000000007"/>
    <n v="4"/>
    <n v="0"/>
    <n v="0"/>
    <n v="107"/>
    <s v="_x0000_peopl"/>
  </r>
  <r>
    <x v="6"/>
    <n v="13.677"/>
    <n v="-89.248400000000004"/>
    <n v="6"/>
    <n v="0"/>
    <n v="0"/>
    <n v="107"/>
    <s v="_x0000_peopl"/>
  </r>
  <r>
    <x v="6"/>
    <n v="13.6914"/>
    <n v="-89.226299999999995"/>
    <n v="6"/>
    <n v="0"/>
    <n v="0"/>
    <n v="107"/>
    <s v="_x0000_peopl"/>
  </r>
  <r>
    <x v="6"/>
    <n v="13.686400000000001"/>
    <n v="-89.214799999999997"/>
    <n v="8"/>
    <n v="0"/>
    <n v="0"/>
    <n v="107"/>
    <s v="_x0000_peopl"/>
  </r>
  <r>
    <x v="6"/>
    <n v="13.692399999999999"/>
    <n v="-89.223600000000005"/>
    <n v="7"/>
    <n v="0"/>
    <n v="0"/>
    <n v="107"/>
    <s v="_x0000_peopl"/>
  </r>
  <r>
    <x v="6"/>
    <n v="13.6875"/>
    <n v="-89.216499999999996"/>
    <n v="4"/>
    <n v="0"/>
    <n v="0"/>
    <n v="107"/>
    <s v="_x0000_peopl"/>
  </r>
  <r>
    <x v="6"/>
    <n v="13.689500000000001"/>
    <n v="-89.229399999999998"/>
    <n v="5"/>
    <n v="0"/>
    <n v="0"/>
    <n v="107"/>
    <s v="_x0000_peopl"/>
  </r>
  <r>
    <x v="6"/>
    <n v="13.691700000000001"/>
    <n v="-89.186599999999999"/>
    <n v="6"/>
    <n v="0"/>
    <n v="0"/>
    <n v="107"/>
    <s v="_x0000_peopl"/>
  </r>
  <r>
    <x v="6"/>
    <n v="13.6915"/>
    <n v="-89.185900000000004"/>
    <n v="6"/>
    <n v="0"/>
    <n v="0"/>
    <n v="107"/>
    <s v="_x0000_peopl"/>
  </r>
  <r>
    <x v="6"/>
    <n v="13.6907"/>
    <n v="-89.235200000000006"/>
    <n v="9"/>
    <n v="0"/>
    <n v="0"/>
    <n v="107"/>
    <s v="_x0000_peopl"/>
  </r>
  <r>
    <x v="6"/>
    <n v="13.690300000000001"/>
    <n v="-89.186700000000002"/>
    <n v="5"/>
    <n v="0"/>
    <n v="0"/>
    <n v="107"/>
    <s v="_x0000_peopl"/>
  </r>
  <r>
    <x v="6"/>
    <n v="13.691000000000001"/>
    <n v="-89.190200000000004"/>
    <n v="2"/>
    <n v="0"/>
    <n v="0"/>
    <n v="107"/>
    <s v="_x0000_peopl"/>
  </r>
  <r>
    <x v="6"/>
    <n v="13.6919"/>
    <n v="-89.225700000000003"/>
    <n v="6"/>
    <n v="0"/>
    <n v="0"/>
    <n v="107"/>
    <s v="_x0000_peopl"/>
  </r>
  <r>
    <x v="6"/>
    <n v="13.687200000000001"/>
    <n v="-89.193799999999996"/>
    <n v="2"/>
    <n v="0"/>
    <n v="0"/>
    <n v="107"/>
    <s v="_x0000_peopl"/>
  </r>
  <r>
    <x v="6"/>
    <n v="13.696300000000001"/>
    <n v="-89.172700000000006"/>
    <n v="4"/>
    <n v="0"/>
    <n v="0"/>
    <n v="107"/>
    <s v="_x0000_peopl"/>
  </r>
  <r>
    <x v="6"/>
    <n v="13.6904"/>
    <n v="-89.193299999999994"/>
    <n v="2"/>
    <n v="0"/>
    <n v="0"/>
    <n v="107"/>
    <s v="_x0000_peopl"/>
  </r>
  <r>
    <x v="6"/>
    <n v="13.6921"/>
    <n v="-89.225300000000004"/>
    <n v="4"/>
    <n v="0"/>
    <n v="0"/>
    <n v="107"/>
    <s v="_x0000_peopl"/>
  </r>
  <r>
    <x v="6"/>
    <n v="13.691800000000001"/>
    <n v="-89.2256"/>
    <n v="6"/>
    <n v="0"/>
    <n v="0"/>
    <n v="107"/>
    <s v="_x0000_peopl"/>
  </r>
  <r>
    <x v="6"/>
    <n v="13.6858"/>
    <n v="-89.214399999999998"/>
    <n v="2"/>
    <n v="0"/>
    <n v="0"/>
    <n v="107"/>
    <s v="_x0000_peopl"/>
  </r>
  <r>
    <x v="6"/>
    <n v="13.6936"/>
    <n v="-89.188800000000001"/>
    <n v="3"/>
    <n v="0"/>
    <n v="0"/>
    <n v="107"/>
    <s v="_x0000_peopl"/>
  </r>
  <r>
    <x v="6"/>
    <n v="13.6922"/>
    <n v="-89.1798"/>
    <n v="4"/>
    <n v="0"/>
    <n v="0"/>
    <n v="107"/>
    <s v="_x0000_peopl"/>
  </r>
  <r>
    <x v="6"/>
    <n v="13.689299999999999"/>
    <n v="-89.185599999999994"/>
    <n v="7"/>
    <n v="0"/>
    <n v="0"/>
    <n v="107"/>
    <s v="_x0000_peopl"/>
  </r>
  <r>
    <x v="6"/>
    <n v="13.6927"/>
    <n v="-89.179599999999994"/>
    <n v="10"/>
    <n v="0"/>
    <n v="0"/>
    <n v="107"/>
    <s v="_x0000_peopl"/>
  </r>
  <r>
    <x v="6"/>
    <n v="13.6912"/>
    <n v="-89.229699999999994"/>
    <n v="7"/>
    <n v="0"/>
    <n v="0"/>
    <n v="107"/>
    <s v="_x0000_peopl"/>
  </r>
  <r>
    <x v="6"/>
    <n v="13.6957"/>
    <n v="-89.173500000000004"/>
    <n v="4"/>
    <n v="0"/>
    <n v="0"/>
    <n v="107"/>
    <s v="_x0000_peopl"/>
  </r>
  <r>
    <x v="6"/>
    <n v="13.690200000000001"/>
    <n v="-89.179900000000004"/>
    <n v="5"/>
    <n v="0"/>
    <n v="0"/>
    <n v="107"/>
    <s v="_x0000_peopl"/>
  </r>
  <r>
    <x v="6"/>
    <n v="13.690200000000001"/>
    <n v="-89.185100000000006"/>
    <n v="5"/>
    <n v="0"/>
    <n v="0"/>
    <n v="107"/>
    <s v="_x0000_peopl"/>
  </r>
  <r>
    <x v="6"/>
    <n v="13.679399999999999"/>
    <n v="-89.197299999999998"/>
    <n v="7"/>
    <n v="0"/>
    <n v="0"/>
    <n v="107"/>
    <s v="_x0000_peopl"/>
  </r>
  <r>
    <x v="6"/>
    <n v="13.6907"/>
    <n v="-89.232299999999995"/>
    <n v="3"/>
    <n v="0"/>
    <n v="0"/>
    <n v="107"/>
    <s v="_x0000_peopl"/>
  </r>
  <r>
    <x v="6"/>
    <n v="13.6881"/>
    <n v="-89.193799999999996"/>
    <n v="8"/>
    <n v="0"/>
    <n v="0"/>
    <n v="107"/>
    <s v="_x0000_peopl"/>
  </r>
  <r>
    <x v="6"/>
    <n v="13.691700000000001"/>
    <n v="-89.186000000000007"/>
    <n v="4"/>
    <n v="0"/>
    <n v="0"/>
    <n v="107"/>
    <s v="_x0000_peopl"/>
  </r>
  <r>
    <x v="6"/>
    <n v="13.6914"/>
    <n v="-89.189499999999995"/>
    <n v="2"/>
    <n v="0"/>
    <n v="0"/>
    <n v="107"/>
    <s v="_x0000_peopl"/>
  </r>
  <r>
    <x v="6"/>
    <n v="13.6797"/>
    <n v="-89.197299999999998"/>
    <n v="7"/>
    <n v="0"/>
    <n v="0"/>
    <n v="107"/>
    <s v="_x0000_peopl"/>
  </r>
  <r>
    <x v="6"/>
    <n v="13.689399999999999"/>
    <n v="-89.235399999999998"/>
    <n v="6"/>
    <n v="0"/>
    <n v="0"/>
    <n v="107"/>
    <s v="_x0000_peopl"/>
  </r>
  <r>
    <x v="6"/>
    <n v="13.686999999999999"/>
    <n v="-89.194699999999997"/>
    <n v="4"/>
    <n v="0"/>
    <n v="0"/>
    <n v="107"/>
    <s v="_x0000_peopl"/>
  </r>
  <r>
    <x v="6"/>
    <n v="13.687099999999999"/>
    <n v="-89.197100000000006"/>
    <n v="3"/>
    <n v="0"/>
    <n v="0"/>
    <n v="107"/>
    <s v="_x0000_peopl"/>
  </r>
  <r>
    <x v="6"/>
    <n v="13.677199999999999"/>
    <n v="-89.247600000000006"/>
    <n v="4"/>
    <n v="0"/>
    <n v="0"/>
    <n v="107"/>
    <s v="_x0000_peopl"/>
  </r>
  <r>
    <x v="6"/>
    <n v="13.6915"/>
    <n v="-89.2286"/>
    <n v="4"/>
    <n v="0"/>
    <n v="0"/>
    <n v="107"/>
    <s v="_x0000_peopl"/>
  </r>
  <r>
    <x v="6"/>
    <n v="13.6915"/>
    <n v="-89.220600000000005"/>
    <n v="6"/>
    <n v="0"/>
    <n v="0"/>
    <n v="107"/>
    <s v="_x0000_peopl"/>
  </r>
  <r>
    <x v="6"/>
    <n v="13.6957"/>
    <n v="-89.172399999999996"/>
    <n v="0"/>
    <n v="0"/>
    <n v="0"/>
    <n v="107"/>
    <s v="_x0000_peopl"/>
  </r>
  <r>
    <x v="6"/>
    <n v="13.690099999999999"/>
    <n v="-89.186899999999994"/>
    <n v="8"/>
    <n v="0"/>
    <n v="0"/>
    <n v="107"/>
    <s v="_x0000_peopl"/>
  </r>
  <r>
    <x v="6"/>
    <n v="13.687099999999999"/>
    <n v="-89.205200000000005"/>
    <n v="6"/>
    <n v="0"/>
    <n v="0"/>
    <n v="107"/>
    <s v="_x0000_peopl"/>
  </r>
  <r>
    <x v="6"/>
    <n v="13.692"/>
    <n v="-89.221900000000005"/>
    <n v="6"/>
    <n v="0"/>
    <n v="0"/>
    <n v="107"/>
    <s v="_x0000_peopl"/>
  </r>
  <r>
    <x v="6"/>
    <n v="13.6875"/>
    <n v="-89.196799999999996"/>
    <n v="4"/>
    <n v="0"/>
    <n v="0"/>
    <n v="107"/>
    <s v="_x0000_peopl"/>
  </r>
  <r>
    <x v="6"/>
    <n v="13.691800000000001"/>
    <n v="-89.196100000000001"/>
    <n v="4"/>
    <n v="0"/>
    <n v="0"/>
    <n v="107"/>
    <s v="_x0000_peopl"/>
  </r>
  <r>
    <x v="6"/>
    <n v="13.6896"/>
    <n v="-89.178899999999999"/>
    <n v="3"/>
    <n v="0"/>
    <n v="0"/>
    <n v="107"/>
    <s v="_x0000_peopl"/>
  </r>
  <r>
    <x v="6"/>
    <n v="13.6861"/>
    <n v="-89.213999999999999"/>
    <n v="1"/>
    <n v="0"/>
    <n v="0"/>
    <n v="107"/>
    <s v="_x0000_peopl"/>
  </r>
  <r>
    <x v="6"/>
    <n v="13.691000000000001"/>
    <n v="-89.227500000000006"/>
    <n v="4"/>
    <n v="0"/>
    <n v="0"/>
    <n v="107"/>
    <s v="_x0000_peopl"/>
  </r>
  <r>
    <x v="6"/>
    <n v="13.6891"/>
    <n v="-89.190299999999993"/>
    <n v="6"/>
    <n v="0"/>
    <n v="0"/>
    <n v="107"/>
    <s v="_x0000_peopl"/>
  </r>
  <r>
    <x v="6"/>
    <n v="13.6907"/>
    <n v="-89.227500000000006"/>
    <n v="6"/>
    <n v="0"/>
    <n v="0"/>
    <n v="107"/>
    <s v="_x0000_peopl"/>
  </r>
  <r>
    <x v="6"/>
    <n v="13.685600000000001"/>
    <n v="-89.212199999999996"/>
    <n v="7"/>
    <n v="0"/>
    <n v="0"/>
    <n v="107"/>
    <s v="_x0000_peopl"/>
  </r>
  <r>
    <x v="6"/>
    <n v="13.692"/>
    <n v="-89.194299999999998"/>
    <n v="7"/>
    <n v="0"/>
    <n v="0"/>
    <n v="107"/>
    <s v="_x0000_peopl"/>
  </r>
  <r>
    <x v="6"/>
    <n v="13.687099999999999"/>
    <n v="-89.211200000000005"/>
    <n v="3"/>
    <n v="0"/>
    <n v="0"/>
    <n v="107"/>
    <s v="_x0000_peopl"/>
  </r>
  <r>
    <x v="6"/>
    <n v="13.6928"/>
    <n v="-89.189800000000005"/>
    <n v="3"/>
    <n v="0"/>
    <n v="0"/>
    <n v="107"/>
    <s v="_x0000_peopl"/>
  </r>
  <r>
    <x v="6"/>
    <n v="13.691700000000001"/>
    <n v="-89.225899999999996"/>
    <n v="7"/>
    <n v="0"/>
    <n v="0"/>
    <n v="107"/>
    <s v="_x0000_peopl"/>
  </r>
  <r>
    <x v="6"/>
    <n v="13.688800000000001"/>
    <n v="-89.198300000000003"/>
    <n v="5"/>
    <n v="0"/>
    <n v="0"/>
    <n v="107"/>
    <s v="_x0000_peopl"/>
  </r>
  <r>
    <x v="6"/>
    <n v="13.692299999999999"/>
    <n v="-89.186499999999995"/>
    <n v="6"/>
    <n v="0"/>
    <n v="0"/>
    <n v="107"/>
    <s v="_x0000_peopl"/>
  </r>
  <r>
    <x v="6"/>
    <n v="13.6914"/>
    <n v="-89.228300000000004"/>
    <n v="9"/>
    <n v="0"/>
    <n v="0"/>
    <n v="107"/>
    <s v="_x0000_peopl"/>
  </r>
  <r>
    <x v="6"/>
    <n v="13.684799999999999"/>
    <n v="-89.215299999999999"/>
    <n v="3"/>
    <n v="0"/>
    <n v="0"/>
    <n v="107"/>
    <s v="_x0000_peopl"/>
  </r>
  <r>
    <x v="6"/>
    <n v="13.6913"/>
    <n v="-89.178799999999995"/>
    <n v="5"/>
    <n v="0"/>
    <n v="0"/>
    <n v="107"/>
    <s v="_x0000_peopl"/>
  </r>
  <r>
    <x v="6"/>
    <n v="13.6919"/>
    <n v="-89.225200000000001"/>
    <n v="7"/>
    <n v="0"/>
    <n v="0"/>
    <n v="107"/>
    <s v="_x0000_peopl"/>
  </r>
  <r>
    <x v="6"/>
    <n v="13.6869"/>
    <n v="-89.183300000000003"/>
    <n v="11"/>
    <n v="0"/>
    <n v="0"/>
    <n v="107"/>
    <s v="_x0000_peopl"/>
  </r>
  <r>
    <x v="6"/>
    <n v="13.6873"/>
    <n v="-89.194900000000004"/>
    <n v="4"/>
    <n v="0"/>
    <n v="0"/>
    <n v="107"/>
    <s v="_x0000_peopl"/>
  </r>
  <r>
    <x v="6"/>
    <n v="13.694000000000001"/>
    <n v="-89.173199999999994"/>
    <n v="2"/>
    <n v="0"/>
    <n v="0"/>
    <n v="107"/>
    <s v="_x0000_peopl"/>
  </r>
  <r>
    <x v="6"/>
    <n v="13.690799999999999"/>
    <n v="-89.1905"/>
    <n v="4"/>
    <n v="0"/>
    <n v="0"/>
    <n v="107"/>
    <s v="_x0000_peopl"/>
  </r>
  <r>
    <x v="6"/>
    <n v="13.6919"/>
    <n v="-89.1815"/>
    <n v="7"/>
    <n v="0"/>
    <n v="0"/>
    <n v="107"/>
    <s v="_x0000_peopl"/>
  </r>
  <r>
    <x v="6"/>
    <n v="13.6873"/>
    <n v="-89.194900000000004"/>
    <n v="2"/>
    <n v="0"/>
    <n v="0"/>
    <n v="107"/>
    <s v="_x0000_peopl"/>
  </r>
  <r>
    <x v="6"/>
    <n v="13.6905"/>
    <n v="-89.234999999999999"/>
    <n v="3"/>
    <n v="0"/>
    <n v="0"/>
    <n v="107"/>
    <s v="_x0000_peopl"/>
  </r>
  <r>
    <x v="6"/>
    <n v="13.6914"/>
    <n v="-89.197000000000003"/>
    <n v="12"/>
    <n v="0"/>
    <n v="0"/>
    <n v="107"/>
    <s v="_x0000_peopl"/>
  </r>
  <r>
    <x v="6"/>
    <n v="13.6899"/>
    <n v="-89.217399999999998"/>
    <n v="8"/>
    <n v="0"/>
    <n v="0"/>
    <n v="107"/>
    <s v="_x0000_peopl"/>
  </r>
  <r>
    <x v="6"/>
    <n v="13.689500000000001"/>
    <n v="-89.197400000000002"/>
    <n v="4"/>
    <n v="0"/>
    <n v="0"/>
    <n v="107"/>
    <s v="_x0000_peopl"/>
  </r>
  <r>
    <x v="6"/>
    <n v="13.6866"/>
    <n v="-89.2119"/>
    <n v="8"/>
    <n v="0"/>
    <n v="0"/>
    <n v="107"/>
    <s v="_x0000_peopl"/>
  </r>
  <r>
    <x v="6"/>
    <n v="13.6899"/>
    <n v="-89.183999999999997"/>
    <n v="3"/>
    <n v="0"/>
    <n v="0"/>
    <n v="107"/>
    <s v="_x0000_peopl"/>
  </r>
  <r>
    <x v="6"/>
    <n v="13.692600000000001"/>
    <n v="-89.184100000000001"/>
    <n v="4"/>
    <n v="0"/>
    <n v="0"/>
    <n v="107"/>
    <s v="_x0000_peopl"/>
  </r>
  <r>
    <x v="6"/>
    <n v="13.691000000000001"/>
    <n v="-89.186099999999996"/>
    <n v="2"/>
    <n v="0"/>
    <n v="0"/>
    <n v="107"/>
    <s v="_x0000_peopl"/>
  </r>
  <r>
    <x v="6"/>
    <n v="13.6953"/>
    <n v="-89.174599999999998"/>
    <n v="5"/>
    <n v="0"/>
    <n v="0"/>
    <n v="107"/>
    <s v="_x0000_peopl"/>
  </r>
  <r>
    <x v="6"/>
    <n v="13.6874"/>
    <n v="-89.182500000000005"/>
    <n v="5"/>
    <n v="0"/>
    <n v="0"/>
    <n v="107"/>
    <s v="_x0000_peopl"/>
  </r>
  <r>
    <x v="6"/>
    <n v="13.6884"/>
    <n v="-89.1905"/>
    <n v="7"/>
    <n v="0"/>
    <n v="0"/>
    <n v="107"/>
    <s v="_x0000_peopl"/>
  </r>
  <r>
    <x v="6"/>
    <n v="13.673999999999999"/>
    <n v="-89.2029"/>
    <n v="11"/>
    <n v="0"/>
    <n v="0"/>
    <n v="107"/>
    <s v="_x0000_peopl"/>
  </r>
  <r>
    <x v="6"/>
    <n v="13.687799999999999"/>
    <n v="-89.194500000000005"/>
    <n v="7"/>
    <n v="0"/>
    <n v="0"/>
    <n v="107"/>
    <s v="_x0000_peopl"/>
  </r>
  <r>
    <x v="6"/>
    <n v="13.685"/>
    <n v="-89.216200000000001"/>
    <n v="5"/>
    <n v="0"/>
    <n v="0"/>
    <n v="107"/>
    <s v="_x0000_peopl"/>
  </r>
  <r>
    <x v="6"/>
    <n v="13.6906"/>
    <n v="-89.234300000000005"/>
    <n v="5"/>
    <n v="0"/>
    <n v="0"/>
    <n v="107"/>
    <s v="_x0000_peopl"/>
  </r>
  <r>
    <x v="6"/>
    <n v="13.6911"/>
    <n v="-89.179100000000005"/>
    <n v="5"/>
    <n v="0"/>
    <n v="0"/>
    <n v="107"/>
    <s v="_x0000_peopl"/>
  </r>
  <r>
    <x v="6"/>
    <n v="13.691000000000001"/>
    <n v="-89.181200000000004"/>
    <n v="9"/>
    <n v="0"/>
    <n v="0"/>
    <n v="107"/>
    <s v="_x0000_peopl"/>
  </r>
  <r>
    <x v="6"/>
    <n v="13.690799999999999"/>
    <n v="-89.235600000000005"/>
    <n v="4"/>
    <n v="0"/>
    <n v="0"/>
    <n v="107"/>
    <s v="_x0000_peopl"/>
  </r>
  <r>
    <x v="6"/>
    <n v="13.6877"/>
    <n v="-89.1798"/>
    <n v="0"/>
    <n v="0"/>
    <n v="0"/>
    <n v="107"/>
    <s v="_x0000_peopl"/>
  </r>
  <r>
    <x v="6"/>
    <n v="13.6897"/>
    <n v="-89.193899999999999"/>
    <n v="6"/>
    <n v="0"/>
    <n v="0"/>
    <n v="107"/>
    <s v="_x0000_peopl"/>
  </r>
  <r>
    <x v="6"/>
    <n v="13.688000000000001"/>
    <n v="-89.215999999999994"/>
    <n v="5"/>
    <n v="0"/>
    <n v="0"/>
    <n v="107"/>
    <s v="_x0000_peopl"/>
  </r>
  <r>
    <x v="6"/>
    <n v="13.6935"/>
    <n v="-89.177000000000007"/>
    <n v="3"/>
    <n v="0"/>
    <n v="0"/>
    <n v="107"/>
    <s v="_x0000_peopl"/>
  </r>
  <r>
    <x v="6"/>
    <n v="13.691800000000001"/>
    <n v="-89.179699999999997"/>
    <n v="8"/>
    <n v="0"/>
    <n v="0"/>
    <n v="107"/>
    <s v="_x0000_peopl"/>
  </r>
  <r>
    <x v="6"/>
    <n v="13.6958"/>
    <n v="-89.173199999999994"/>
    <n v="6"/>
    <n v="0"/>
    <n v="0"/>
    <n v="107"/>
    <s v="_x0000_peopl"/>
  </r>
  <r>
    <x v="6"/>
    <n v="13.6922"/>
    <n v="-89.178700000000006"/>
    <n v="11"/>
    <n v="0"/>
    <n v="0"/>
    <n v="107"/>
    <s v="_x0000_peopl"/>
  </r>
  <r>
    <x v="6"/>
    <n v="13.6721"/>
    <n v="-89.205200000000005"/>
    <n v="7"/>
    <n v="0"/>
    <n v="0"/>
    <n v="107"/>
    <s v="_x0000_peopl"/>
  </r>
  <r>
    <x v="6"/>
    <n v="13.6913"/>
    <n v="-89.226799999999997"/>
    <n v="5"/>
    <n v="0"/>
    <n v="0"/>
    <n v="107"/>
    <s v="_x0000_peopl"/>
  </r>
  <r>
    <x v="6"/>
    <n v="13.687200000000001"/>
    <n v="-89.194500000000005"/>
    <n v="4"/>
    <n v="0"/>
    <n v="0"/>
    <n v="107"/>
    <s v="_x0000_peopl"/>
  </r>
  <r>
    <x v="6"/>
    <n v="13.686500000000001"/>
    <n v="-89.211699999999993"/>
    <n v="9"/>
    <n v="0"/>
    <n v="0"/>
    <n v="107"/>
    <s v="_x0000_peopl"/>
  </r>
  <r>
    <x v="6"/>
    <n v="13.6904"/>
    <n v="-89.235100000000003"/>
    <n v="2"/>
    <n v="0"/>
    <n v="0"/>
    <n v="107"/>
    <s v="_x0000_peopl"/>
  </r>
  <r>
    <x v="6"/>
    <n v="13.6904"/>
    <n v="-89.186099999999996"/>
    <n v="6"/>
    <n v="0"/>
    <n v="0"/>
    <n v="107"/>
    <s v="_x0000_peopl"/>
  </r>
  <r>
    <x v="6"/>
    <n v="13.6875"/>
    <n v="-89.215299999999999"/>
    <n v="0"/>
    <n v="0"/>
    <n v="0"/>
    <n v="107"/>
    <s v="_x0000_peopl"/>
  </r>
  <r>
    <x v="6"/>
    <n v="13.691700000000001"/>
    <n v="-89.185400000000001"/>
    <n v="6"/>
    <n v="0"/>
    <n v="0"/>
    <n v="107"/>
    <s v="_x0000_peopl"/>
  </r>
  <r>
    <x v="6"/>
    <n v="13.695399999999999"/>
    <n v="-89.173100000000005"/>
    <n v="2"/>
    <n v="0"/>
    <n v="0"/>
    <n v="107"/>
    <s v="_x0000_peopl"/>
  </r>
  <r>
    <x v="6"/>
    <n v="13.6897"/>
    <n v="-89.193600000000004"/>
    <n v="3"/>
    <n v="0"/>
    <n v="0"/>
    <n v="107"/>
    <s v="_x0000_peopl"/>
  </r>
  <r>
    <x v="6"/>
    <n v="13.6937"/>
    <n v="-89.176299999999998"/>
    <n v="7"/>
    <n v="0"/>
    <n v="0"/>
    <n v="107"/>
    <s v="_x0000_peopl"/>
  </r>
  <r>
    <x v="6"/>
    <n v="13.690899999999999"/>
    <n v="-89.187600000000003"/>
    <n v="3"/>
    <n v="0"/>
    <n v="0"/>
    <n v="107"/>
    <s v="_x0000_peopl"/>
  </r>
  <r>
    <x v="6"/>
    <n v="13.691599999999999"/>
    <n v="-89.226299999999995"/>
    <n v="3"/>
    <n v="0"/>
    <n v="0"/>
    <n v="107"/>
    <s v="_x0000_peopl"/>
  </r>
  <r>
    <x v="6"/>
    <n v="13.6905"/>
    <n v="-89.235799999999998"/>
    <n v="5"/>
    <n v="0"/>
    <n v="0"/>
    <n v="107"/>
    <s v="_x0000_peopl"/>
  </r>
  <r>
    <x v="6"/>
    <n v="13.686999999999999"/>
    <n v="-89.197400000000002"/>
    <n v="5"/>
    <n v="0"/>
    <n v="0"/>
    <n v="107"/>
    <s v="_x0000_peopl"/>
  </r>
  <r>
    <x v="6"/>
    <n v="13.6881"/>
    <n v="-89.182100000000005"/>
    <n v="5"/>
    <n v="0"/>
    <n v="0"/>
    <n v="107"/>
    <s v="_x0000_peopl"/>
  </r>
  <r>
    <x v="6"/>
    <n v="13.6919"/>
    <n v="-89.221699999999998"/>
    <n v="4"/>
    <n v="0"/>
    <n v="0"/>
    <n v="107"/>
    <s v="_x0000_peopl"/>
  </r>
  <r>
    <x v="6"/>
    <n v="13.6892"/>
    <n v="-89.190399999999997"/>
    <n v="4"/>
    <n v="0"/>
    <n v="0"/>
    <n v="107"/>
    <s v="_x0000_peopl"/>
  </r>
  <r>
    <x v="6"/>
    <n v="13.6907"/>
    <n v="-89.235500000000002"/>
    <n v="6"/>
    <n v="0"/>
    <n v="0"/>
    <n v="107"/>
    <s v="_x0000_peopl"/>
  </r>
  <r>
    <x v="6"/>
    <n v="13.6937"/>
    <n v="-89.173599999999993"/>
    <n v="4"/>
    <n v="0"/>
    <n v="0"/>
    <n v="107"/>
    <s v="_x0000_peopl"/>
  </r>
  <r>
    <x v="6"/>
    <n v="13.679399999999999"/>
    <n v="-89.194000000000003"/>
    <n v="5"/>
    <n v="0"/>
    <n v="0"/>
    <n v="107"/>
    <s v="_x0000_peopl"/>
  </r>
  <r>
    <x v="6"/>
    <n v="13.687099999999999"/>
    <n v="-89.183499999999995"/>
    <n v="2"/>
    <n v="0"/>
    <n v="0"/>
    <n v="107"/>
    <s v="_x0000_peopl"/>
  </r>
  <r>
    <x v="6"/>
    <n v="13.688700000000001"/>
    <n v="-89.198400000000007"/>
    <n v="6"/>
    <n v="0"/>
    <n v="0"/>
    <n v="107"/>
    <s v="_x0000_peopl"/>
  </r>
  <r>
    <x v="6"/>
    <n v="13.6882"/>
    <n v="-89.182599999999994"/>
    <n v="4"/>
    <n v="0"/>
    <n v="0"/>
    <n v="107"/>
    <s v="_x0000_peopl"/>
  </r>
  <r>
    <x v="6"/>
    <n v="13.690799999999999"/>
    <n v="-89.194599999999994"/>
    <n v="5"/>
    <n v="0"/>
    <n v="0"/>
    <n v="107"/>
    <s v="_x0000_peopl"/>
  </r>
  <r>
    <x v="6"/>
    <n v="13.6952"/>
    <n v="-89.173699999999997"/>
    <n v="10"/>
    <n v="0"/>
    <n v="0"/>
    <n v="107"/>
    <s v="_x0000_peopl"/>
  </r>
  <r>
    <x v="6"/>
    <n v="13.69"/>
    <n v="-89.189700000000002"/>
    <n v="4"/>
    <n v="0"/>
    <n v="0"/>
    <n v="107"/>
    <s v="_x0000_peopl"/>
  </r>
  <r>
    <x v="6"/>
    <n v="13.6915"/>
    <n v="-89.189499999999995"/>
    <n v="3"/>
    <n v="0"/>
    <n v="0"/>
    <n v="107"/>
    <s v="_x0000_peopl"/>
  </r>
  <r>
    <x v="6"/>
    <n v="13.6751"/>
    <n v="-89.251999999999995"/>
    <n v="7"/>
    <n v="0"/>
    <n v="0"/>
    <n v="107"/>
    <s v="_x0000_peopl"/>
  </r>
  <r>
    <x v="6"/>
    <n v="13.6897"/>
    <n v="-89.228700000000003"/>
    <n v="6"/>
    <n v="0"/>
    <n v="0"/>
    <n v="107"/>
    <s v="_x0000_peopl"/>
  </r>
  <r>
    <x v="6"/>
    <n v="13.692"/>
    <n v="-89.187600000000003"/>
    <n v="7"/>
    <n v="0"/>
    <n v="0"/>
    <n v="107"/>
    <s v="_x0000_peopl"/>
  </r>
  <r>
    <x v="6"/>
    <n v="13.6906"/>
    <n v="-89.2346"/>
    <n v="7"/>
    <n v="0"/>
    <n v="0"/>
    <n v="107"/>
    <s v="_x0000_peopl"/>
  </r>
  <r>
    <x v="6"/>
    <n v="13.6858"/>
    <n v="-89.215500000000006"/>
    <n v="6"/>
    <n v="0"/>
    <n v="0"/>
    <n v="107"/>
    <s v="_x0000_peopl"/>
  </r>
  <r>
    <x v="6"/>
    <n v="13.688599999999999"/>
    <n v="-89.198400000000007"/>
    <n v="9"/>
    <n v="0"/>
    <n v="0"/>
    <n v="107"/>
    <s v="_x0000_peopl"/>
  </r>
  <r>
    <x v="6"/>
    <n v="13.690099999999999"/>
    <n v="-89.179299999999998"/>
    <n v="3"/>
    <n v="0"/>
    <n v="0"/>
    <n v="107"/>
    <s v="_x0000_peopl"/>
  </r>
  <r>
    <x v="6"/>
    <n v="13.6913"/>
    <n v="-89.229200000000006"/>
    <n v="4"/>
    <n v="0"/>
    <n v="0"/>
    <n v="107"/>
    <s v="_x0000_peopl"/>
  </r>
  <r>
    <x v="6"/>
    <n v="13.6919"/>
    <n v="-89.224100000000007"/>
    <n v="2"/>
    <n v="0"/>
    <n v="0"/>
    <n v="107"/>
    <s v="_x0000_peopl"/>
  </r>
  <r>
    <x v="6"/>
    <n v="13.6913"/>
    <n v="-89.179299999999998"/>
    <n v="4"/>
    <n v="0"/>
    <n v="0"/>
    <n v="107"/>
    <s v="_x0000_peopl"/>
  </r>
  <r>
    <x v="6"/>
    <n v="13.6912"/>
    <n v="-89.178700000000006"/>
    <n v="4"/>
    <n v="0"/>
    <n v="0"/>
    <n v="107"/>
    <s v="_x0000_peopl"/>
  </r>
  <r>
    <x v="6"/>
    <n v="13.6911"/>
    <n v="-89.219800000000006"/>
    <n v="6"/>
    <n v="0"/>
    <n v="0"/>
    <n v="107"/>
    <s v="_x0000_peopl"/>
  </r>
  <r>
    <x v="6"/>
    <n v="13.6906"/>
    <n v="-89.231899999999996"/>
    <n v="10"/>
    <n v="0"/>
    <n v="0"/>
    <n v="107"/>
    <s v="_x0000_peopl"/>
  </r>
  <r>
    <x v="6"/>
    <n v="13.6891"/>
    <n v="-89.203100000000006"/>
    <n v="6"/>
    <n v="0"/>
    <n v="0"/>
    <n v="107"/>
    <s v="_x0000_peopl"/>
  </r>
  <r>
    <x v="6"/>
    <n v="13.6913"/>
    <n v="-89.2346"/>
    <n v="6"/>
    <n v="0"/>
    <n v="0"/>
    <n v="107"/>
    <s v="_x0000_peopl"/>
  </r>
  <r>
    <x v="6"/>
    <n v="13.6875"/>
    <n v="-89.196700000000007"/>
    <n v="8"/>
    <n v="0"/>
    <n v="0"/>
    <n v="107"/>
    <s v="_x0000_peopl"/>
  </r>
  <r>
    <x v="6"/>
    <n v="13.686999999999999"/>
    <n v="-89.1828"/>
    <n v="6"/>
    <n v="0"/>
    <n v="0"/>
    <n v="107"/>
    <s v="_x0000_peopl"/>
  </r>
  <r>
    <x v="6"/>
    <n v="13.693199999999999"/>
    <n v="-89.177599999999998"/>
    <n v="2"/>
    <n v="0"/>
    <n v="0"/>
    <n v="107"/>
    <s v="_x0000_peopl"/>
  </r>
  <r>
    <x v="6"/>
    <n v="13.674200000000001"/>
    <n v="-89.199200000000005"/>
    <n v="7"/>
    <n v="0"/>
    <n v="0"/>
    <n v="107"/>
    <s v="_x0000_peopl"/>
  </r>
  <r>
    <x v="6"/>
    <n v="13.6754"/>
    <n v="-89.249899999999997"/>
    <n v="3"/>
    <n v="0"/>
    <n v="0"/>
    <n v="107"/>
    <s v="_x0000_peopl"/>
  </r>
  <r>
    <x v="6"/>
    <n v="13.692600000000001"/>
    <n v="-89.224400000000003"/>
    <n v="4"/>
    <n v="0"/>
    <n v="0"/>
    <n v="107"/>
    <s v="_x0000_peopl"/>
  </r>
  <r>
    <x v="6"/>
    <n v="13.6851"/>
    <n v="-89.213499999999996"/>
    <n v="5"/>
    <n v="0"/>
    <n v="0"/>
    <n v="107"/>
    <s v="_x0000_peopl"/>
  </r>
  <r>
    <x v="6"/>
    <n v="13.687099999999999"/>
    <n v="-89.181100000000001"/>
    <n v="3"/>
    <n v="0"/>
    <n v="0"/>
    <n v="107"/>
    <s v="_x0000_peopl"/>
  </r>
  <r>
    <x v="6"/>
    <n v="13.6906"/>
    <n v="-89.186400000000006"/>
    <n v="8"/>
    <n v="0"/>
    <n v="0"/>
    <n v="107"/>
    <s v="_x0000_peopl"/>
  </r>
  <r>
    <x v="6"/>
    <n v="13.6753"/>
    <n v="-89.249899999999997"/>
    <n v="5"/>
    <n v="0"/>
    <n v="0"/>
    <n v="107"/>
    <s v="_x0000_peopl"/>
  </r>
  <r>
    <x v="6"/>
    <n v="13.696199999999999"/>
    <n v="-89.168199999999999"/>
    <n v="6"/>
    <n v="0"/>
    <n v="0"/>
    <n v="107"/>
    <s v="_x0000_peopl"/>
  </r>
  <r>
    <x v="6"/>
    <n v="13.6881"/>
    <n v="-89.198499999999996"/>
    <n v="7"/>
    <n v="0"/>
    <n v="0"/>
    <n v="107"/>
    <s v="_x0000_peopl"/>
  </r>
  <r>
    <x v="6"/>
    <n v="13.692"/>
    <n v="-89.227500000000006"/>
    <n v="7"/>
    <n v="0"/>
    <n v="0"/>
    <n v="107"/>
    <s v="_x0000_peopl"/>
  </r>
  <r>
    <x v="6"/>
    <n v="13.685"/>
    <n v="-89.193899999999999"/>
    <n v="8"/>
    <n v="0"/>
    <n v="0"/>
    <n v="107"/>
    <s v="_x0000_peopl"/>
  </r>
  <r>
    <x v="6"/>
    <n v="13.6915"/>
    <n v="-89.185299999999998"/>
    <n v="6"/>
    <n v="0"/>
    <n v="0"/>
    <n v="107"/>
    <s v="_x0000_peopl"/>
  </r>
  <r>
    <x v="6"/>
    <n v="13.674200000000001"/>
    <n v="-89.202299999999994"/>
    <n v="5"/>
    <n v="0"/>
    <n v="0"/>
    <n v="107"/>
    <s v="_x0000_peopl"/>
  </r>
  <r>
    <x v="6"/>
    <n v="13.6906"/>
    <n v="-89.186400000000006"/>
    <n v="3"/>
    <n v="0"/>
    <n v="0"/>
    <n v="107"/>
    <s v="_x0000_peopl"/>
  </r>
  <r>
    <x v="6"/>
    <n v="13.690799999999999"/>
    <n v="-89.233099999999993"/>
    <n v="3"/>
    <n v="0"/>
    <n v="0"/>
    <n v="107"/>
    <s v="_x0000_peopl"/>
  </r>
  <r>
    <x v="6"/>
    <n v="13.6753"/>
    <n v="-89.25"/>
    <n v="4"/>
    <n v="0"/>
    <n v="0"/>
    <n v="107"/>
    <s v="_x0000_peopl"/>
  </r>
  <r>
    <x v="6"/>
    <n v="13.6747"/>
    <n v="-89.249700000000004"/>
    <n v="4"/>
    <n v="0"/>
    <n v="0"/>
    <n v="107"/>
    <s v="_x0000_peopl"/>
  </r>
  <r>
    <x v="6"/>
    <n v="13.6927"/>
    <n v="-89.189599999999999"/>
    <n v="4"/>
    <n v="0"/>
    <n v="0"/>
    <n v="107"/>
    <s v="_x0000_peopl"/>
  </r>
  <r>
    <x v="6"/>
    <n v="13.690099999999999"/>
    <n v="-89.193100000000001"/>
    <n v="10"/>
    <n v="0"/>
    <n v="0"/>
    <n v="107"/>
    <s v="_x0000_peopl"/>
  </r>
  <r>
    <x v="6"/>
    <n v="13.693"/>
    <n v="-89.177499999999995"/>
    <n v="9"/>
    <n v="0"/>
    <n v="0"/>
    <n v="107"/>
    <s v="_x0000_peopl"/>
  </r>
  <r>
    <x v="6"/>
    <n v="13.688700000000001"/>
    <n v="-89.204899999999995"/>
    <n v="3"/>
    <n v="0"/>
    <n v="0"/>
    <n v="107"/>
    <s v="_x0000_peopl"/>
  </r>
  <r>
    <x v="6"/>
    <n v="13.6919"/>
    <n v="-89.193600000000004"/>
    <n v="7"/>
    <n v="0"/>
    <n v="0"/>
    <n v="107"/>
    <s v="_x0000_peopl"/>
  </r>
  <r>
    <x v="6"/>
    <n v="13.6919"/>
    <n v="-89.175799999999995"/>
    <n v="4"/>
    <n v="0"/>
    <n v="0"/>
    <n v="107"/>
    <s v="_x0000_peopl"/>
  </r>
  <r>
    <x v="6"/>
    <n v="13.688499999999999"/>
    <n v="-89.190700000000007"/>
    <n v="3"/>
    <n v="0"/>
    <n v="0"/>
    <n v="107"/>
    <s v="_x0000_peopl"/>
  </r>
  <r>
    <x v="6"/>
    <n v="13.690099999999999"/>
    <n v="-89.235200000000006"/>
    <n v="5"/>
    <n v="0"/>
    <n v="0"/>
    <n v="107"/>
    <s v="_x0000_peopl"/>
  </r>
  <r>
    <x v="6"/>
    <n v="13.6798"/>
    <n v="-89.196600000000004"/>
    <n v="6"/>
    <n v="0"/>
    <n v="0"/>
    <n v="107"/>
    <s v="_x0000_peopl"/>
  </r>
  <r>
    <x v="6"/>
    <n v="13.688000000000001"/>
    <n v="-89.181100000000001"/>
    <n v="4"/>
    <n v="0"/>
    <n v="0"/>
    <n v="107"/>
    <s v="_x0000_peopl"/>
  </r>
  <r>
    <x v="6"/>
    <n v="13.6905"/>
    <n v="-89.194100000000006"/>
    <n v="4"/>
    <n v="0"/>
    <n v="0"/>
    <n v="107"/>
    <s v="_x0000_peopl"/>
  </r>
  <r>
    <x v="6"/>
    <n v="13.6747"/>
    <n v="-89.251900000000006"/>
    <n v="4"/>
    <n v="0"/>
    <n v="0"/>
    <n v="107"/>
    <s v="_x0000_peopl"/>
  </r>
  <r>
    <x v="6"/>
    <n v="13.690799999999999"/>
    <n v="-89.197699999999998"/>
    <n v="9"/>
    <n v="0"/>
    <n v="0"/>
    <n v="107"/>
    <s v="_x0000_peopl"/>
  </r>
  <r>
    <x v="6"/>
    <n v="13.692"/>
    <n v="-89.194199999999995"/>
    <n v="5"/>
    <n v="0"/>
    <n v="0"/>
    <n v="107"/>
    <s v="_x0000_peopl"/>
  </r>
  <r>
    <x v="6"/>
    <n v="13.689299999999999"/>
    <n v="-89.229500000000002"/>
    <n v="2"/>
    <n v="0"/>
    <n v="0"/>
    <n v="107"/>
    <s v="_x0000_peopl"/>
  </r>
  <r>
    <x v="6"/>
    <n v="13.696099999999999"/>
    <n v="-89.172200000000004"/>
    <n v="4"/>
    <n v="0"/>
    <n v="0"/>
    <n v="107"/>
    <s v="_x0000_peopl"/>
  </r>
  <r>
    <x v="6"/>
    <n v="13.673299999999999"/>
    <n v="-89.251499999999993"/>
    <n v="2"/>
    <n v="0"/>
    <n v="0"/>
    <n v="107"/>
    <s v="_x0000_peopl"/>
  </r>
  <r>
    <x v="6"/>
    <n v="13.6896"/>
    <n v="-89.1798"/>
    <n v="3"/>
    <n v="0"/>
    <n v="0"/>
    <n v="107"/>
    <s v="_x0000_peopl"/>
  </r>
  <r>
    <x v="6"/>
    <n v="13.690799999999999"/>
    <n v="-89.227400000000003"/>
    <n v="6"/>
    <n v="0"/>
    <n v="0"/>
    <n v="107"/>
    <s v="_x0000_peopl"/>
  </r>
  <r>
    <x v="6"/>
    <n v="13.690899999999999"/>
    <n v="-89.234200000000001"/>
    <n v="8"/>
    <n v="0"/>
    <n v="0"/>
    <n v="107"/>
    <s v="_x0000_peopl"/>
  </r>
  <r>
    <x v="6"/>
    <n v="13.6912"/>
    <n v="-89.228399999999993"/>
    <n v="2"/>
    <n v="0"/>
    <n v="0"/>
    <n v="107"/>
    <s v="_x0000_peopl"/>
  </r>
  <r>
    <x v="6"/>
    <n v="13.690899999999999"/>
    <n v="-89.188599999999994"/>
    <n v="5"/>
    <n v="0"/>
    <n v="0"/>
    <n v="107"/>
    <s v="_x0000_peopl"/>
  </r>
  <r>
    <x v="6"/>
    <n v="13.6943"/>
    <n v="-89.188999999999993"/>
    <n v="2"/>
    <n v="0"/>
    <n v="0"/>
    <n v="107"/>
    <s v="_x0000_peopl"/>
  </r>
  <r>
    <x v="6"/>
    <n v="13.6927"/>
    <n v="-89.224599999999995"/>
    <n v="9"/>
    <n v="0"/>
    <n v="0"/>
    <n v="107"/>
    <s v="_x0000_peopl"/>
  </r>
  <r>
    <x v="6"/>
    <n v="13.6906"/>
    <n v="-89.179000000000002"/>
    <n v="2"/>
    <n v="0"/>
    <n v="0"/>
    <n v="107"/>
    <s v="_x0000_peopl"/>
  </r>
  <r>
    <x v="6"/>
    <n v="13.6799"/>
    <n v="-89.195700000000002"/>
    <n v="4"/>
    <n v="0"/>
    <n v="0"/>
    <n v="107"/>
    <s v="_x0000_peopl"/>
  </r>
  <r>
    <x v="6"/>
    <n v="13.69"/>
    <n v="-89.1798"/>
    <n v="7"/>
    <n v="0"/>
    <n v="0"/>
    <n v="107"/>
    <s v="_x0000_peopl"/>
  </r>
  <r>
    <x v="6"/>
    <n v="13.6869"/>
    <n v="-89.201899999999995"/>
    <n v="5"/>
    <n v="0"/>
    <n v="0"/>
    <n v="107"/>
    <s v="_x0000_peopl"/>
  </r>
  <r>
    <x v="6"/>
    <n v="13.688599999999999"/>
    <n v="-89.198700000000002"/>
    <n v="7"/>
    <n v="0"/>
    <n v="0"/>
    <n v="107"/>
    <s v="_x0000_peopl"/>
  </r>
  <r>
    <x v="6"/>
    <n v="13.685600000000001"/>
    <n v="-89.216300000000004"/>
    <n v="5"/>
    <n v="0"/>
    <n v="0"/>
    <n v="107"/>
    <s v="_x0000_peopl"/>
  </r>
  <r>
    <x v="6"/>
    <n v="13.6867"/>
    <n v="-89.194500000000005"/>
    <n v="2"/>
    <n v="0"/>
    <n v="0"/>
    <n v="107"/>
    <s v="_x0000_peopl"/>
  </r>
  <r>
    <x v="6"/>
    <n v="13.689500000000001"/>
    <n v="-89.205500000000001"/>
    <n v="6"/>
    <n v="0"/>
    <n v="0"/>
    <n v="107"/>
    <s v="_x0000_peopl"/>
  </r>
  <r>
    <x v="6"/>
    <n v="13.691599999999999"/>
    <n v="-89.226200000000006"/>
    <n v="3"/>
    <n v="0"/>
    <n v="0"/>
    <n v="107"/>
    <s v="_x0000_peopl"/>
  </r>
  <r>
    <x v="6"/>
    <n v="13.690799999999999"/>
    <n v="-89.233099999999993"/>
    <n v="7"/>
    <n v="0"/>
    <n v="0"/>
    <n v="107"/>
    <s v="_x0000_peopl"/>
  </r>
  <r>
    <x v="6"/>
    <n v="13.688499999999999"/>
    <n v="-89.190799999999996"/>
    <n v="3"/>
    <n v="0"/>
    <n v="0"/>
    <n v="107"/>
    <s v="_x0000_peopl"/>
  </r>
  <r>
    <x v="6"/>
    <n v="13.687200000000001"/>
    <n v="-89.191500000000005"/>
    <n v="7"/>
    <n v="0"/>
    <n v="0"/>
    <n v="107"/>
    <s v="_x0000_peopl"/>
  </r>
  <r>
    <x v="6"/>
    <n v="13.687900000000001"/>
    <n v="-89.196700000000007"/>
    <n v="6"/>
    <n v="0"/>
    <n v="0"/>
    <n v="107"/>
    <s v="_x0000_peopl"/>
  </r>
  <r>
    <x v="6"/>
    <n v="13.6876"/>
    <n v="-89.196899999999999"/>
    <n v="5"/>
    <n v="0"/>
    <n v="0"/>
    <n v="107"/>
    <s v="_x0000_peopl"/>
  </r>
  <r>
    <x v="6"/>
    <n v="13.6882"/>
    <n v="-89.217100000000002"/>
    <n v="2"/>
    <n v="0"/>
    <n v="0"/>
    <n v="107"/>
    <s v="_x0000_peopl"/>
  </r>
  <r>
    <x v="6"/>
    <n v="13.6869"/>
    <n v="-89.204599999999999"/>
    <n v="4"/>
    <n v="0"/>
    <n v="0"/>
    <n v="107"/>
    <s v="_x0000_peopl"/>
  </r>
  <r>
    <x v="6"/>
    <n v="13.690099999999999"/>
    <n v="-89.179599999999994"/>
    <n v="6"/>
    <n v="0"/>
    <n v="0"/>
    <n v="107"/>
    <s v="_x0000_peopl"/>
  </r>
  <r>
    <x v="6"/>
    <n v="13.6854"/>
    <n v="-89.201499999999996"/>
    <n v="10"/>
    <n v="0"/>
    <n v="0"/>
    <n v="107"/>
    <s v="_x0000_peopl"/>
  </r>
  <r>
    <x v="6"/>
    <n v="13.691700000000001"/>
    <n v="-89.228300000000004"/>
    <n v="4"/>
    <n v="0"/>
    <n v="0"/>
    <n v="107"/>
    <s v="_x0000_peopl"/>
  </r>
  <r>
    <x v="6"/>
    <n v="13.6853"/>
    <n v="-89.202100000000002"/>
    <n v="7"/>
    <n v="0"/>
    <n v="0"/>
    <n v="107"/>
    <s v="_x0000_peopl"/>
  </r>
  <r>
    <x v="6"/>
    <n v="13.6911"/>
    <n v="-89.218800000000002"/>
    <n v="8"/>
    <n v="0"/>
    <n v="0"/>
    <n v="107"/>
    <s v="_x0000_peopl"/>
  </r>
  <r>
    <x v="6"/>
    <n v="13.6883"/>
    <n v="-89.216399999999993"/>
    <n v="6"/>
    <n v="0"/>
    <n v="0"/>
    <n v="107"/>
    <s v="_x0000_peopl"/>
  </r>
  <r>
    <x v="6"/>
    <n v="13.6959"/>
    <n v="-89.172300000000007"/>
    <n v="6"/>
    <n v="0"/>
    <n v="0"/>
    <n v="107"/>
    <s v="_x0000_peopl"/>
  </r>
  <r>
    <x v="6"/>
    <n v="13.6936"/>
    <n v="-89.183700000000002"/>
    <n v="3"/>
    <n v="0"/>
    <n v="0"/>
    <n v="107"/>
    <s v="_x0000_peopl"/>
  </r>
  <r>
    <x v="6"/>
    <n v="13.691000000000001"/>
    <n v="-89.1905"/>
    <n v="8"/>
    <n v="0"/>
    <n v="0"/>
    <n v="107"/>
    <s v="_x0000_peopl"/>
  </r>
  <r>
    <x v="6"/>
    <n v="13.69"/>
    <n v="-89.184100000000001"/>
    <n v="4"/>
    <n v="0"/>
    <n v="0"/>
    <n v="107"/>
    <s v="_x0000_peopl"/>
  </r>
  <r>
    <x v="6"/>
    <n v="13.687900000000001"/>
    <n v="-89.193799999999996"/>
    <n v="9"/>
    <n v="0"/>
    <n v="0"/>
    <n v="107"/>
    <s v="_x0000_peopl"/>
  </r>
  <r>
    <x v="6"/>
    <n v="13.6914"/>
    <n v="-89.226100000000002"/>
    <n v="2"/>
    <n v="0"/>
    <n v="0"/>
    <n v="107"/>
    <s v="_x0000_peopl"/>
  </r>
  <r>
    <x v="6"/>
    <n v="13.690799999999999"/>
    <n v="-89.235299999999995"/>
    <n v="4"/>
    <n v="0"/>
    <n v="0"/>
    <n v="107"/>
    <s v="_x0000_peopl"/>
  </r>
  <r>
    <x v="6"/>
    <n v="13.6868"/>
    <n v="-89.213300000000004"/>
    <n v="5"/>
    <n v="0"/>
    <n v="0"/>
    <n v="107"/>
    <s v="_x0000_peopl"/>
  </r>
  <r>
    <x v="6"/>
    <n v="13.689500000000001"/>
    <n v="-89.183700000000002"/>
    <n v="4"/>
    <n v="0"/>
    <n v="0"/>
    <n v="107"/>
    <s v="_x0000_peopl"/>
  </r>
  <r>
    <x v="6"/>
    <n v="13.6911"/>
    <n v="-89.228800000000007"/>
    <n v="3"/>
    <n v="0"/>
    <n v="0"/>
    <n v="107"/>
    <s v="_x0000_peopl"/>
  </r>
  <r>
    <x v="6"/>
    <n v="13.696300000000001"/>
    <n v="-89.171899999999994"/>
    <n v="3"/>
    <n v="0"/>
    <n v="0"/>
    <n v="107"/>
    <s v="_x0000_peopl"/>
  </r>
  <r>
    <x v="6"/>
    <n v="13.690899999999999"/>
    <n v="-89.233199999999997"/>
    <n v="7"/>
    <n v="0"/>
    <n v="0"/>
    <n v="107"/>
    <s v="_x0000_peopl"/>
  </r>
  <r>
    <x v="6"/>
    <n v="13.693300000000001"/>
    <n v="-89.176199999999994"/>
    <n v="0"/>
    <n v="0"/>
    <n v="0"/>
    <n v="107"/>
    <s v="_x0000_peopl"/>
  </r>
  <r>
    <x v="6"/>
    <n v="13.690300000000001"/>
    <n v="-89.1798"/>
    <n v="4"/>
    <n v="0"/>
    <n v="0"/>
    <n v="107"/>
    <s v="_x0000_peopl"/>
  </r>
  <r>
    <x v="6"/>
    <n v="13.69"/>
    <n v="-89.195700000000002"/>
    <n v="4"/>
    <n v="0"/>
    <n v="0"/>
    <n v="107"/>
    <s v="_x0000_peopl"/>
  </r>
  <r>
    <x v="6"/>
    <n v="13.6875"/>
    <n v="-89.195099999999996"/>
    <n v="8"/>
    <n v="0"/>
    <n v="0"/>
    <n v="107"/>
    <s v="_x0000_peopl"/>
  </r>
  <r>
    <x v="6"/>
    <n v="13.691599999999999"/>
    <n v="-89.225499999999997"/>
    <n v="3"/>
    <n v="0"/>
    <n v="0"/>
    <n v="107"/>
    <s v="_x0000_peopl"/>
  </r>
  <r>
    <x v="6"/>
    <n v="13.6874"/>
    <n v="-89.194699999999997"/>
    <n v="6"/>
    <n v="0"/>
    <n v="0"/>
    <n v="107"/>
    <s v="_x0000_peopl"/>
  </r>
  <r>
    <x v="6"/>
    <n v="13.689399999999999"/>
    <n v="-89.207800000000006"/>
    <n v="2"/>
    <n v="0"/>
    <n v="0"/>
    <n v="107"/>
    <s v="_x0000_peopl"/>
  </r>
  <r>
    <x v="6"/>
    <n v="13.6874"/>
    <n v="-89.180899999999994"/>
    <n v="6"/>
    <n v="0"/>
    <n v="0"/>
    <n v="107"/>
    <s v="_x0000_peopl"/>
  </r>
  <r>
    <x v="6"/>
    <n v="13.6882"/>
    <n v="-89.229600000000005"/>
    <n v="5"/>
    <n v="0"/>
    <n v="0"/>
    <n v="107"/>
    <s v="_x0000_peopl"/>
  </r>
  <r>
    <x v="6"/>
    <n v="13.6799"/>
    <n v="-89.194599999999994"/>
    <n v="4"/>
    <n v="0"/>
    <n v="0"/>
    <n v="107"/>
    <s v="_x0000_peopl"/>
  </r>
  <r>
    <x v="6"/>
    <n v="13.6747"/>
    <n v="-89.251800000000003"/>
    <n v="4"/>
    <n v="0"/>
    <n v="0"/>
    <n v="107"/>
    <s v="_x0000_peopl"/>
  </r>
  <r>
    <x v="6"/>
    <n v="13.6913"/>
    <n v="-89.189499999999995"/>
    <n v="8"/>
    <n v="0"/>
    <n v="0"/>
    <n v="107"/>
    <s v="_x0000_peopl"/>
  </r>
  <r>
    <x v="6"/>
    <n v="13.674099999999999"/>
    <n v="-89.2029"/>
    <n v="2"/>
    <n v="0"/>
    <n v="0"/>
    <n v="107"/>
    <s v="_x0000_peopl"/>
  </r>
  <r>
    <x v="6"/>
    <n v="13.674099999999999"/>
    <n v="-89.203000000000003"/>
    <n v="3"/>
    <n v="0"/>
    <n v="0"/>
    <n v="107"/>
    <s v="_x0000_peopl"/>
  </r>
  <r>
    <x v="6"/>
    <n v="13.6942"/>
    <n v="-89.174899999999994"/>
    <n v="5"/>
    <n v="0"/>
    <n v="0"/>
    <n v="107"/>
    <s v="_x0000_peopl"/>
  </r>
  <r>
    <x v="6"/>
    <n v="13.6896"/>
    <n v="-89.216399999999993"/>
    <n v="2"/>
    <n v="0"/>
    <n v="0"/>
    <n v="107"/>
    <s v="_x0000_peopl"/>
  </r>
  <r>
    <x v="6"/>
    <n v="13.6919"/>
    <n v="-89.184200000000004"/>
    <n v="6"/>
    <n v="0"/>
    <n v="0"/>
    <n v="107"/>
    <s v="_x0000_peopl"/>
  </r>
  <r>
    <x v="6"/>
    <n v="13.6905"/>
    <n v="-89.234099999999998"/>
    <n v="7"/>
    <n v="0"/>
    <n v="0"/>
    <n v="107"/>
    <s v="_x0000_peopl"/>
  </r>
  <r>
    <x v="6"/>
    <n v="13.690099999999999"/>
    <n v="-89.185000000000002"/>
    <n v="6"/>
    <n v="0"/>
    <n v="0"/>
    <n v="107"/>
    <s v="_x0000_peopl"/>
  </r>
  <r>
    <x v="6"/>
    <n v="13.6944"/>
    <n v="-89.183099999999996"/>
    <n v="5"/>
    <n v="0"/>
    <n v="0"/>
    <n v="107"/>
    <s v="_x0000_peopl"/>
  </r>
  <r>
    <x v="6"/>
    <n v="13.6959"/>
    <n v="-89.172799999999995"/>
    <n v="7"/>
    <n v="0"/>
    <n v="0"/>
    <n v="107"/>
    <s v="_x0000_peopl"/>
  </r>
  <r>
    <x v="6"/>
    <n v="13.685499999999999"/>
    <n v="-89.202600000000004"/>
    <n v="2"/>
    <n v="0"/>
    <n v="0"/>
    <n v="107"/>
    <s v="_x0000_peopl"/>
  </r>
  <r>
    <x v="6"/>
    <n v="13.6875"/>
    <n v="-89.194900000000004"/>
    <n v="7"/>
    <n v="0"/>
    <n v="0"/>
    <n v="107"/>
    <s v="_x0000_peopl"/>
  </r>
  <r>
    <x v="6"/>
    <n v="13.6882"/>
    <n v="-89.190299999999993"/>
    <n v="13"/>
    <n v="0"/>
    <n v="0"/>
    <n v="107"/>
    <s v="_x0000_peopl"/>
  </r>
  <r>
    <x v="6"/>
    <n v="13.6927"/>
    <n v="-89.189599999999999"/>
    <n v="3"/>
    <n v="0"/>
    <n v="0"/>
    <n v="107"/>
    <s v="_x0000_peopl"/>
  </r>
  <r>
    <x v="6"/>
    <n v="13.686"/>
    <n v="-89.2136"/>
    <n v="6"/>
    <n v="0"/>
    <n v="0"/>
    <n v="107"/>
    <s v="_x0000_peopl"/>
  </r>
  <r>
    <x v="6"/>
    <n v="13.6884"/>
    <n v="-89.190299999999993"/>
    <n v="7"/>
    <n v="0"/>
    <n v="0"/>
    <n v="107"/>
    <s v="_x0000_peopl"/>
  </r>
  <r>
    <x v="6"/>
    <n v="13.6914"/>
    <n v="-89.233199999999997"/>
    <n v="6"/>
    <n v="0"/>
    <n v="0"/>
    <n v="107"/>
    <s v="_x0000_peopl"/>
  </r>
  <r>
    <x v="6"/>
    <n v="13.6936"/>
    <n v="-89.176500000000004"/>
    <n v="3"/>
    <n v="0"/>
    <n v="0"/>
    <n v="107"/>
    <s v="_x0000_peopl"/>
  </r>
  <r>
    <x v="6"/>
    <n v="13.685"/>
    <n v="-89.212000000000003"/>
    <n v="4"/>
    <n v="0"/>
    <n v="0"/>
    <n v="107"/>
    <s v="_x0000_peopl"/>
  </r>
  <r>
    <x v="6"/>
    <n v="13.6907"/>
    <n v="-89.195400000000006"/>
    <n v="4"/>
    <n v="0"/>
    <n v="0"/>
    <n v="107"/>
    <s v="_x0000_peopl"/>
  </r>
  <r>
    <x v="6"/>
    <n v="13.689500000000001"/>
    <n v="-89.205500000000001"/>
    <n v="6"/>
    <n v="0"/>
    <n v="0"/>
    <n v="107"/>
    <s v="_x0000_peopl"/>
  </r>
  <r>
    <x v="6"/>
    <n v="13.696099999999999"/>
    <n v="-89.173000000000002"/>
    <n v="6"/>
    <n v="0"/>
    <n v="0"/>
    <n v="107"/>
    <s v="_x0000_peopl"/>
  </r>
  <r>
    <x v="6"/>
    <n v="13.6914"/>
    <n v="-89.227000000000004"/>
    <n v="4"/>
    <n v="0"/>
    <n v="0"/>
    <n v="107"/>
    <s v="_x0000_peopl"/>
  </r>
  <r>
    <x v="6"/>
    <n v="13.6919"/>
    <n v="-89.184299999999993"/>
    <n v="4"/>
    <n v="0"/>
    <n v="0"/>
    <n v="107"/>
    <s v="_x0000_peopl"/>
  </r>
  <r>
    <x v="6"/>
    <n v="13.690099999999999"/>
    <n v="-89.177800000000005"/>
    <n v="2"/>
    <n v="0"/>
    <n v="0"/>
    <n v="107"/>
    <s v="_x0000_peopl"/>
  </r>
  <r>
    <x v="6"/>
    <n v="13.6913"/>
    <n v="-89.226699999999994"/>
    <n v="8"/>
    <n v="0"/>
    <n v="0"/>
    <n v="107"/>
    <s v="_x0000_peopl"/>
  </r>
  <r>
    <x v="6"/>
    <n v="13.6753"/>
    <n v="-89.202200000000005"/>
    <n v="8"/>
    <n v="0"/>
    <n v="0"/>
    <n v="107"/>
    <s v="_x0000_peopl"/>
  </r>
  <r>
    <x v="6"/>
    <n v="13.6911"/>
    <n v="-89.235299999999995"/>
    <n v="8"/>
    <n v="0"/>
    <n v="0"/>
    <n v="107"/>
    <s v="_x0000_peopl"/>
  </r>
  <r>
    <x v="6"/>
    <n v="13.6914"/>
    <n v="-89.189400000000006"/>
    <n v="2"/>
    <n v="0"/>
    <n v="0"/>
    <n v="107"/>
    <s v="_x0000_peopl"/>
  </r>
  <r>
    <x v="6"/>
    <n v="13.6868"/>
    <n v="-89.202799999999996"/>
    <n v="5"/>
    <n v="0"/>
    <n v="0"/>
    <n v="107"/>
    <s v="_x0000_peopl"/>
  </r>
  <r>
    <x v="6"/>
    <n v="13.684699999999999"/>
    <n v="-89.211200000000005"/>
    <n v="4"/>
    <n v="0"/>
    <n v="0"/>
    <n v="107"/>
    <s v="_x0000_peopl"/>
  </r>
  <r>
    <x v="6"/>
    <n v="13.690799999999999"/>
    <n v="-89.231399999999994"/>
    <n v="5"/>
    <n v="0"/>
    <n v="0"/>
    <n v="107"/>
    <s v="_x0000_peopl"/>
  </r>
  <r>
    <x v="6"/>
    <n v="13.6883"/>
    <n v="-89.181399999999996"/>
    <n v="6"/>
    <n v="0"/>
    <n v="0"/>
    <n v="107"/>
    <s v="_x0000_peopl"/>
  </r>
  <r>
    <x v="6"/>
    <n v="13.6869"/>
    <n v="-89.183099999999996"/>
    <n v="10"/>
    <n v="0"/>
    <n v="0"/>
    <n v="107"/>
    <s v="_x0000_peopl"/>
  </r>
  <r>
    <x v="6"/>
    <n v="13.6852"/>
    <n v="-89.213800000000006"/>
    <n v="4"/>
    <n v="0"/>
    <n v="0"/>
    <n v="107"/>
    <s v="_x0000_peopl"/>
  </r>
  <r>
    <x v="6"/>
    <n v="13.6752"/>
    <n v="-89.252099999999999"/>
    <n v="1"/>
    <n v="0"/>
    <n v="0"/>
    <n v="107"/>
    <s v="_x0000_peopl"/>
  </r>
  <r>
    <x v="6"/>
    <n v="13.674799999999999"/>
    <n v="-89.252099999999999"/>
    <n v="6"/>
    <n v="0"/>
    <n v="0"/>
    <n v="107"/>
    <s v="_x0000_peopl"/>
  </r>
  <r>
    <x v="6"/>
    <n v="13.6845"/>
    <n v="-89.211799999999997"/>
    <n v="9"/>
    <n v="0"/>
    <n v="0"/>
    <n v="107"/>
    <s v="_x0000_peopl"/>
  </r>
  <r>
    <x v="6"/>
    <n v="13.692299999999999"/>
    <n v="-89.174999999999997"/>
    <n v="7"/>
    <n v="0"/>
    <n v="0"/>
    <n v="107"/>
    <s v="_x0000_peopl"/>
  </r>
  <r>
    <x v="6"/>
    <n v="13.686400000000001"/>
    <n v="-89.203400000000002"/>
    <n v="3"/>
    <n v="0"/>
    <n v="0"/>
    <n v="107"/>
    <s v="_x0000_peopl"/>
  </r>
  <r>
    <x v="6"/>
    <n v="13.691800000000001"/>
    <n v="-89.178700000000006"/>
    <n v="11"/>
    <n v="0"/>
    <n v="0"/>
    <n v="107"/>
    <s v="_x0000_peopl"/>
  </r>
  <r>
    <x v="6"/>
    <n v="13.6927"/>
    <n v="-89.225499999999997"/>
    <n v="3"/>
    <n v="0"/>
    <n v="0"/>
    <n v="107"/>
    <s v="_x0000_peopl"/>
  </r>
  <r>
    <x v="6"/>
    <n v="13.6899"/>
    <n v="-89.189700000000002"/>
    <n v="7"/>
    <n v="0"/>
    <n v="0"/>
    <n v="107"/>
    <s v="_x0000_peopl"/>
  </r>
  <r>
    <x v="6"/>
    <n v="13.6914"/>
    <n v="-89.188400000000001"/>
    <n v="5"/>
    <n v="0"/>
    <n v="0"/>
    <n v="107"/>
    <s v="_x0000_peopl"/>
  </r>
  <r>
    <x v="6"/>
    <n v="13.6808"/>
    <n v="-89.195899999999995"/>
    <n v="5"/>
    <n v="0"/>
    <n v="0"/>
    <n v="107"/>
    <s v="_x0000_peopl"/>
  </r>
  <r>
    <x v="6"/>
    <n v="13.690899999999999"/>
    <n v="-89.233099999999993"/>
    <n v="3"/>
    <n v="0"/>
    <n v="0"/>
    <n v="107"/>
    <s v="_x0000_peopl"/>
  </r>
  <r>
    <x v="6"/>
    <n v="13.6915"/>
    <n v="-89.220399999999998"/>
    <n v="4"/>
    <n v="0"/>
    <n v="0"/>
    <n v="107"/>
    <s v="_x0000_peopl"/>
  </r>
  <r>
    <x v="6"/>
    <n v="13.674799999999999"/>
    <n v="-89.249700000000004"/>
    <n v="5"/>
    <n v="0"/>
    <n v="0"/>
    <n v="107"/>
    <s v="_x0000_peopl"/>
  </r>
  <r>
    <x v="6"/>
    <n v="13.689299999999999"/>
    <n v="-89.235699999999994"/>
    <n v="6"/>
    <n v="0"/>
    <n v="0"/>
    <n v="107"/>
    <s v="_x0000_peopl"/>
  </r>
  <r>
    <x v="6"/>
    <n v="13.6875"/>
    <n v="-89.197299999999998"/>
    <n v="7"/>
    <n v="0"/>
    <n v="0"/>
    <n v="107"/>
    <s v="_x0000_peopl"/>
  </r>
  <r>
    <x v="6"/>
    <n v="13.6921"/>
    <n v="-89.185900000000004"/>
    <n v="5"/>
    <n v="0"/>
    <n v="0"/>
    <n v="107"/>
    <s v="_x0000_peopl"/>
  </r>
  <r>
    <x v="6"/>
    <n v="13.6859"/>
    <n v="-89.211500000000001"/>
    <n v="4"/>
    <n v="0"/>
    <n v="0"/>
    <n v="107"/>
    <s v="_x0000_peopl"/>
  </r>
  <r>
    <x v="6"/>
    <n v="13.6843"/>
    <n v="-89.216899999999995"/>
    <n v="8"/>
    <n v="0"/>
    <n v="0"/>
    <n v="107"/>
    <s v="_x0000_peopl"/>
  </r>
  <r>
    <x v="6"/>
    <n v="13.690200000000001"/>
    <n v="-89.186499999999995"/>
    <n v="1"/>
    <n v="0"/>
    <n v="0"/>
    <n v="107"/>
    <s v="_x0000_peopl"/>
  </r>
  <r>
    <x v="6"/>
    <n v="13.6927"/>
    <n v="-89.183599999999998"/>
    <n v="5"/>
    <n v="0"/>
    <n v="0"/>
    <n v="107"/>
    <s v="_x0000_peopl"/>
  </r>
  <r>
    <x v="6"/>
    <n v="13.6851"/>
    <n v="-89.203199999999995"/>
    <n v="5"/>
    <n v="0"/>
    <n v="0"/>
    <n v="107"/>
    <s v="_x0000_peopl"/>
  </r>
  <r>
    <x v="6"/>
    <n v="13.690300000000001"/>
    <n v="-89.178399999999996"/>
    <n v="8"/>
    <n v="0"/>
    <n v="0"/>
    <n v="107"/>
    <s v="_x0000_peopl"/>
  </r>
  <r>
    <x v="6"/>
    <n v="13.6938"/>
    <n v="-89.176400000000001"/>
    <n v="4"/>
    <n v="0"/>
    <n v="0"/>
    <n v="107"/>
    <s v="_x0000_peopl"/>
  </r>
  <r>
    <x v="6"/>
    <n v="13.690899999999999"/>
    <n v="-89.235600000000005"/>
    <n v="2"/>
    <n v="0"/>
    <n v="0"/>
    <n v="107"/>
    <s v="_x0000_peopl"/>
  </r>
  <r>
    <x v="6"/>
    <n v="13.696300000000001"/>
    <n v="-89.172499999999999"/>
    <n v="4"/>
    <n v="0"/>
    <n v="0"/>
    <n v="107"/>
    <s v="_x0000_peopl"/>
  </r>
  <r>
    <x v="6"/>
    <n v="13.6958"/>
    <n v="-89.173599999999993"/>
    <n v="1"/>
    <n v="0"/>
    <n v="0"/>
    <n v="107"/>
    <s v="_x0000_peopl"/>
  </r>
  <r>
    <x v="6"/>
    <n v="13.6913"/>
    <n v="-89.189400000000006"/>
    <n v="10"/>
    <n v="0"/>
    <n v="0"/>
    <n v="107"/>
    <s v="_x0000_peopl"/>
  </r>
  <r>
    <x v="6"/>
    <n v="13.684699999999999"/>
    <n v="-89.203800000000001"/>
    <n v="5"/>
    <n v="0"/>
    <n v="0"/>
    <n v="107"/>
    <s v="_x0000_peopl"/>
  </r>
  <r>
    <x v="6"/>
    <n v="13.6953"/>
    <n v="-89.173500000000004"/>
    <n v="2"/>
    <n v="0"/>
    <n v="0"/>
    <n v="107"/>
    <s v="_x0000_peopl"/>
  </r>
  <r>
    <x v="6"/>
    <n v="13.6913"/>
    <n v="-89.234700000000004"/>
    <n v="4"/>
    <n v="0"/>
    <n v="0"/>
    <n v="107"/>
    <s v="_x0000_peopl"/>
  </r>
  <r>
    <x v="6"/>
    <n v="13.678599999999999"/>
    <n v="-89.196299999999994"/>
    <n v="9"/>
    <n v="0"/>
    <n v="0"/>
    <n v="107"/>
    <s v="_x0000_peopl"/>
  </r>
  <r>
    <x v="6"/>
    <n v="13.6945"/>
    <n v="-89.185500000000005"/>
    <n v="5"/>
    <n v="0"/>
    <n v="0"/>
    <n v="107"/>
    <s v="_x0000_peopl"/>
  </r>
  <r>
    <x v="6"/>
    <n v="13.685600000000001"/>
    <n v="-89.202699999999993"/>
    <n v="5"/>
    <n v="0"/>
    <n v="0"/>
    <n v="107"/>
    <s v="_x0000_peopl"/>
  </r>
  <r>
    <x v="6"/>
    <n v="13.691000000000001"/>
    <n v="-89.226799999999997"/>
    <n v="6"/>
    <n v="0"/>
    <n v="0"/>
    <n v="107"/>
    <s v="_x0000_peopl"/>
  </r>
  <r>
    <x v="6"/>
    <n v="13.6907"/>
    <n v="-89.232299999999995"/>
    <n v="5"/>
    <n v="0"/>
    <n v="0"/>
    <n v="107"/>
    <s v="_x0000_peopl"/>
  </r>
  <r>
    <x v="6"/>
    <n v="13.6899"/>
    <n v="-89.185000000000002"/>
    <n v="3"/>
    <n v="0"/>
    <n v="0"/>
    <n v="107"/>
    <s v="_x0000_peopl"/>
  </r>
  <r>
    <x v="6"/>
    <n v="13.6799"/>
    <n v="-89.1965"/>
    <n v="4"/>
    <n v="0"/>
    <n v="0"/>
    <n v="107"/>
    <s v="_x0000_peopl"/>
  </r>
  <r>
    <x v="6"/>
    <n v="13.680300000000001"/>
    <n v="-89.196100000000001"/>
    <n v="4"/>
    <n v="0"/>
    <n v="0"/>
    <n v="107"/>
    <s v="_x0000_peopl"/>
  </r>
  <r>
    <x v="6"/>
    <n v="13.687200000000001"/>
    <n v="-89.182699999999997"/>
    <n v="5"/>
    <n v="0"/>
    <n v="0"/>
    <n v="107"/>
    <s v="_x0000_peopl"/>
  </r>
  <r>
    <x v="6"/>
    <n v="13.6813"/>
    <n v="-89.195300000000003"/>
    <n v="3"/>
    <n v="0"/>
    <n v="0"/>
    <n v="107"/>
    <s v="_x0000_peopl"/>
  </r>
  <r>
    <x v="6"/>
    <n v="13.689399999999999"/>
    <n v="-89.184200000000004"/>
    <n v="7"/>
    <n v="0"/>
    <n v="0"/>
    <n v="107"/>
    <s v="_x0000_peopl"/>
  </r>
  <r>
    <x v="6"/>
    <n v="13.690099999999999"/>
    <n v="-89.193899999999999"/>
    <n v="3"/>
    <n v="0"/>
    <n v="0"/>
    <n v="107"/>
    <s v="_x0000_peopl"/>
  </r>
  <r>
    <x v="6"/>
    <n v="13.687200000000001"/>
    <n v="-89.196200000000005"/>
    <n v="8"/>
    <n v="0"/>
    <n v="0"/>
    <n v="107"/>
    <s v="_x0000_peopl"/>
  </r>
  <r>
    <x v="6"/>
    <n v="13.691700000000001"/>
    <n v="-89.197000000000003"/>
    <n v="2"/>
    <n v="0"/>
    <n v="0"/>
    <n v="107"/>
    <s v="_x0000_peopl"/>
  </r>
  <r>
    <x v="6"/>
    <n v="13.6921"/>
    <n v="-89.179500000000004"/>
    <n v="0"/>
    <n v="0"/>
    <n v="0"/>
    <n v="107"/>
    <s v="_x0000_peopl"/>
  </r>
  <r>
    <x v="6"/>
    <n v="13.689500000000001"/>
    <n v="-89.235900000000001"/>
    <n v="6"/>
    <n v="0"/>
    <n v="0"/>
    <n v="107"/>
    <s v="_x0000_peopl"/>
  </r>
  <r>
    <x v="6"/>
    <n v="13.691599999999999"/>
    <n v="-89.228399999999993"/>
    <n v="3"/>
    <n v="0"/>
    <n v="0"/>
    <n v="107"/>
    <s v="_x0000_peopl"/>
  </r>
  <r>
    <x v="6"/>
    <n v="13.690099999999999"/>
    <n v="-89.234700000000004"/>
    <n v="4"/>
    <n v="0"/>
    <n v="0"/>
    <n v="107"/>
    <s v="_x0000_peopl"/>
  </r>
  <r>
    <x v="6"/>
    <n v="13.693"/>
    <n v="-89.173900000000003"/>
    <n v="1"/>
    <n v="0"/>
    <n v="0"/>
    <n v="107"/>
    <s v="_x0000_peopl"/>
  </r>
  <r>
    <x v="6"/>
    <n v="13.690200000000001"/>
    <n v="-89.235699999999994"/>
    <n v="6"/>
    <n v="0"/>
    <n v="0"/>
    <n v="107"/>
    <s v="_x0000_peopl"/>
  </r>
  <r>
    <x v="6"/>
    <n v="13.6907"/>
    <n v="-89.233999999999995"/>
    <n v="4"/>
    <n v="0"/>
    <n v="0"/>
    <n v="107"/>
    <s v="_x0000_peopl"/>
  </r>
  <r>
    <x v="6"/>
    <n v="13.6776"/>
    <n v="-89.247100000000003"/>
    <n v="6"/>
    <n v="0"/>
    <n v="0"/>
    <n v="107"/>
    <s v="_x0000_peopl"/>
  </r>
  <r>
    <x v="6"/>
    <n v="13.692600000000001"/>
    <n v="-89.176699999999997"/>
    <n v="2"/>
    <n v="0"/>
    <n v="0"/>
    <n v="107"/>
    <s v="_x0000_peopl"/>
  </r>
  <r>
    <x v="6"/>
    <n v="13.6966"/>
    <n v="-89.171499999999995"/>
    <n v="6"/>
    <n v="0"/>
    <n v="0"/>
    <n v="107"/>
    <s v="_x0000_peopl"/>
  </r>
  <r>
    <x v="6"/>
    <n v="13.691000000000001"/>
    <n v="-89.186700000000002"/>
    <n v="4"/>
    <n v="0"/>
    <n v="0"/>
    <n v="107"/>
    <s v="_x0000_peopl"/>
  </r>
  <r>
    <x v="6"/>
    <n v="13.672000000000001"/>
    <n v="-89.204599999999999"/>
    <n v="4"/>
    <n v="0"/>
    <n v="0"/>
    <n v="107"/>
    <s v="_x0000_peopl"/>
  </r>
  <r>
    <x v="6"/>
    <n v="13.691599999999999"/>
    <n v="-89.178700000000006"/>
    <n v="3"/>
    <n v="0"/>
    <n v="0"/>
    <n v="107"/>
    <s v="_x0000_peopl"/>
  </r>
  <r>
    <x v="6"/>
    <n v="13.6907"/>
    <n v="-89.187299999999993"/>
    <n v="5"/>
    <n v="0"/>
    <n v="0"/>
    <n v="107"/>
    <s v="_x0000_peopl"/>
  </r>
  <r>
    <x v="6"/>
    <n v="13.6915"/>
    <n v="-89.189300000000003"/>
    <n v="3"/>
    <n v="0"/>
    <n v="0"/>
    <n v="107"/>
    <s v="_x0000_peopl"/>
  </r>
  <r>
    <x v="6"/>
    <n v="13.6959"/>
    <n v="-89.173000000000002"/>
    <n v="9"/>
    <n v="0"/>
    <n v="0"/>
    <n v="107"/>
    <s v="_x0000_peopl"/>
  </r>
  <r>
    <x v="6"/>
    <n v="13.6883"/>
    <n v="-89.216499999999996"/>
    <n v="3"/>
    <n v="0"/>
    <n v="0"/>
    <n v="107"/>
    <s v="_x0000_peopl"/>
  </r>
  <r>
    <x v="6"/>
    <n v="13.685"/>
    <n v="-89.203199999999995"/>
    <n v="4"/>
    <n v="0"/>
    <n v="0"/>
    <n v="107"/>
    <s v="_x0000_peopl"/>
  </r>
  <r>
    <x v="6"/>
    <n v="13.6915"/>
    <n v="-89.228499999999997"/>
    <n v="2"/>
    <n v="0"/>
    <n v="0"/>
    <n v="107"/>
    <s v="_x0000_peopl"/>
  </r>
  <r>
    <x v="6"/>
    <n v="13.688499999999999"/>
    <n v="-89.206699999999998"/>
    <n v="8"/>
    <n v="0"/>
    <n v="0"/>
    <n v="107"/>
    <s v="_x0000_peopl"/>
  </r>
  <r>
    <x v="6"/>
    <n v="13.691599999999999"/>
    <n v="-89.193399999999997"/>
    <n v="6"/>
    <n v="0"/>
    <n v="0"/>
    <n v="107"/>
    <s v="_x0000_peopl"/>
  </r>
  <r>
    <x v="6"/>
    <n v="13.687200000000001"/>
    <n v="-89.191299999999998"/>
    <n v="7"/>
    <n v="0"/>
    <n v="0"/>
    <n v="107"/>
    <s v="_x0000_peopl"/>
  </r>
  <r>
    <x v="6"/>
    <n v="13.6907"/>
    <n v="-89.187399999999997"/>
    <n v="4"/>
    <n v="0"/>
    <n v="0"/>
    <n v="107"/>
    <s v="_x0000_peopl"/>
  </r>
  <r>
    <x v="6"/>
    <n v="13.6914"/>
    <n v="-89.235200000000006"/>
    <n v="6"/>
    <n v="0"/>
    <n v="0"/>
    <n v="107"/>
    <s v="_x0000_peopl"/>
  </r>
  <r>
    <x v="6"/>
    <n v="13.679500000000001"/>
    <n v="-89.194199999999995"/>
    <n v="8"/>
    <n v="0"/>
    <n v="0"/>
    <n v="107"/>
    <s v="_x0000_peopl"/>
  </r>
  <r>
    <x v="6"/>
    <n v="13.6868"/>
    <n v="-89.2149"/>
    <n v="5"/>
    <n v="0"/>
    <n v="0"/>
    <n v="107"/>
    <s v="_x0000_peopl"/>
  </r>
  <r>
    <x v="6"/>
    <n v="13.6875"/>
    <n v="-89.216999999999999"/>
    <n v="6"/>
    <n v="0"/>
    <n v="0"/>
    <n v="107"/>
    <s v="_x0000_peopl"/>
  </r>
  <r>
    <x v="6"/>
    <n v="13.691700000000001"/>
    <n v="-89.227099999999993"/>
    <n v="6"/>
    <n v="0"/>
    <n v="0"/>
    <n v="107"/>
    <s v="_x0000_peopl"/>
  </r>
  <r>
    <x v="6"/>
    <n v="13.6745"/>
    <n v="-89.251800000000003"/>
    <n v="8"/>
    <n v="0"/>
    <n v="0"/>
    <n v="107"/>
    <s v="_x0000_peopl"/>
  </r>
  <r>
    <x v="6"/>
    <n v="13.6904"/>
    <n v="-89.188900000000004"/>
    <n v="8"/>
    <n v="0"/>
    <n v="0"/>
    <n v="107"/>
    <s v="_x0000_peopl"/>
  </r>
  <r>
    <x v="6"/>
    <n v="13.691599999999999"/>
    <n v="-89.220600000000005"/>
    <n v="4"/>
    <n v="0"/>
    <n v="0"/>
    <n v="107"/>
    <s v="_x0000_peopl"/>
  </r>
  <r>
    <x v="6"/>
    <n v="13.6868"/>
    <n v="-89.215400000000002"/>
    <n v="3"/>
    <n v="0"/>
    <n v="0"/>
    <n v="107"/>
    <s v="_x0000_peopl"/>
  </r>
  <r>
    <x v="6"/>
    <n v="13.688599999999999"/>
    <n v="-89.216200000000001"/>
    <n v="2"/>
    <n v="0"/>
    <n v="0"/>
    <n v="107"/>
    <s v="_x0000_peopl"/>
  </r>
  <r>
    <x v="6"/>
    <n v="13.6905"/>
    <n v="-89.195499999999996"/>
    <n v="3"/>
    <n v="0"/>
    <n v="0"/>
    <n v="107"/>
    <s v="_x0000_peopl"/>
  </r>
  <r>
    <x v="6"/>
    <n v="13.6873"/>
    <n v="-89.196600000000004"/>
    <n v="5"/>
    <n v="0"/>
    <n v="0"/>
    <n v="107"/>
    <s v="_x0000_peopl"/>
  </r>
  <r>
    <x v="6"/>
    <n v="13.6813"/>
    <n v="-89.1952"/>
    <n v="4"/>
    <n v="0"/>
    <n v="0"/>
    <n v="107"/>
    <s v="_x0000_peopl"/>
  </r>
  <r>
    <x v="6"/>
    <n v="13.685499999999999"/>
    <n v="-89.201400000000007"/>
    <n v="5"/>
    <n v="0"/>
    <n v="0"/>
    <n v="107"/>
    <s v="_x0000_peopl"/>
  </r>
  <r>
    <x v="6"/>
    <n v="13.6911"/>
    <n v="-89.229200000000006"/>
    <n v="5"/>
    <n v="0"/>
    <n v="0"/>
    <n v="107"/>
    <s v="_x0000_peopl"/>
  </r>
  <r>
    <x v="6"/>
    <n v="13.691800000000001"/>
    <n v="-89.194400000000002"/>
    <n v="8"/>
    <n v="0"/>
    <n v="0"/>
    <n v="107"/>
    <s v="_x0000_peopl"/>
  </r>
  <r>
    <x v="6"/>
    <n v="13.684900000000001"/>
    <n v="-89.213099999999997"/>
    <n v="4"/>
    <n v="0"/>
    <n v="0"/>
    <n v="107"/>
    <s v="_x0000_peopl"/>
  </r>
  <r>
    <x v="6"/>
    <n v="13.692299999999999"/>
    <n v="-89.2226"/>
    <n v="6"/>
    <n v="0"/>
    <n v="0"/>
    <n v="107"/>
    <s v="_x0000_peopl"/>
  </r>
  <r>
    <x v="6"/>
    <n v="13.69"/>
    <n v="-89.184899999999999"/>
    <n v="4"/>
    <n v="0"/>
    <n v="0"/>
    <n v="107"/>
    <s v="_x0000_peopl"/>
  </r>
  <r>
    <x v="6"/>
    <n v="13.687099999999999"/>
    <n v="-89.197400000000002"/>
    <n v="4"/>
    <n v="0"/>
    <n v="0"/>
    <n v="107"/>
    <s v="_x0000_peopl"/>
  </r>
  <r>
    <x v="6"/>
    <n v="13.6919"/>
    <n v="-89.179400000000001"/>
    <n v="6"/>
    <n v="0"/>
    <n v="0"/>
    <n v="107"/>
    <s v="_x0000_peopl"/>
  </r>
  <r>
    <x v="6"/>
    <n v="13.6858"/>
    <n v="-89.201599999999999"/>
    <n v="6"/>
    <n v="0"/>
    <n v="0"/>
    <n v="107"/>
    <s v="_x0000_peopl"/>
  </r>
  <r>
    <x v="6"/>
    <n v="13.69"/>
    <n v="-89.190399999999997"/>
    <n v="5"/>
    <n v="0"/>
    <n v="0"/>
    <n v="107"/>
    <s v="_x0000_peopl"/>
  </r>
  <r>
    <x v="6"/>
    <n v="13.6943"/>
    <n v="-89.175899999999999"/>
    <n v="3"/>
    <n v="0"/>
    <n v="0"/>
    <n v="107"/>
    <s v="_x0000_peopl"/>
  </r>
  <r>
    <x v="6"/>
    <n v="13.691700000000001"/>
    <n v="-89.178799999999995"/>
    <n v="3"/>
    <n v="0"/>
    <n v="0"/>
    <n v="107"/>
    <s v="_x0000_peopl"/>
  </r>
  <r>
    <x v="6"/>
    <n v="13.6891"/>
    <n v="-89.177800000000005"/>
    <n v="5"/>
    <n v="0"/>
    <n v="0"/>
    <n v="107"/>
    <s v="_x0000_peopl"/>
  </r>
  <r>
    <x v="6"/>
    <n v="13.690300000000001"/>
    <n v="-89.193299999999994"/>
    <n v="6"/>
    <n v="0"/>
    <n v="0"/>
    <n v="107"/>
    <s v="_x0000_peopl"/>
  </r>
  <r>
    <x v="6"/>
    <n v="13.688700000000001"/>
    <n v="-89.189800000000005"/>
    <n v="2"/>
    <n v="0"/>
    <n v="0"/>
    <n v="107"/>
    <s v="_x0000_peopl"/>
  </r>
  <r>
    <x v="6"/>
    <n v="13.6945"/>
    <n v="-89.188999999999993"/>
    <n v="5"/>
    <n v="0"/>
    <n v="0"/>
    <n v="107"/>
    <s v="_x0000_peopl"/>
  </r>
  <r>
    <x v="6"/>
    <n v="13.679500000000001"/>
    <n v="-89.1965"/>
    <n v="6"/>
    <n v="0"/>
    <n v="0"/>
    <n v="107"/>
    <s v="_x0000_peopl"/>
  </r>
  <r>
    <x v="6"/>
    <n v="13.692600000000001"/>
    <n v="-89.174099999999996"/>
    <n v="5"/>
    <n v="0"/>
    <n v="0"/>
    <n v="107"/>
    <s v="_x0000_peopl"/>
  </r>
  <r>
    <x v="6"/>
    <n v="13.692600000000001"/>
    <n v="-89.225200000000001"/>
    <n v="10"/>
    <n v="0"/>
    <n v="0"/>
    <n v="107"/>
    <s v="_x0000_peopl"/>
  </r>
  <r>
    <x v="6"/>
    <n v="13.693300000000001"/>
    <n v="-89.188699999999997"/>
    <n v="5"/>
    <n v="0"/>
    <n v="0"/>
    <n v="107"/>
    <s v="_x0000_peopl"/>
  </r>
  <r>
    <x v="6"/>
    <n v="13.6844"/>
    <n v="-89.194000000000003"/>
    <n v="8"/>
    <n v="0"/>
    <n v="0"/>
    <n v="107"/>
    <s v="_x0000_peopl"/>
  </r>
  <r>
    <x v="6"/>
    <n v="13.690200000000001"/>
    <n v="-89.197500000000005"/>
    <n v="5"/>
    <n v="0"/>
    <n v="0"/>
    <n v="107"/>
    <s v="_x0000_peopl"/>
  </r>
  <r>
    <x v="6"/>
    <n v="13.6914"/>
    <n v="-89.228399999999993"/>
    <n v="5"/>
    <n v="0"/>
    <n v="0"/>
    <n v="107"/>
    <s v="_x0000_peopl"/>
  </r>
  <r>
    <x v="6"/>
    <n v="13.684699999999999"/>
    <n v="-89.211500000000001"/>
    <n v="2"/>
    <n v="0"/>
    <n v="0"/>
    <n v="107"/>
    <s v="_x0000_peopl"/>
  </r>
  <r>
    <x v="6"/>
    <n v="13.6873"/>
    <n v="-89.194400000000002"/>
    <n v="5"/>
    <n v="0"/>
    <n v="0"/>
    <n v="107"/>
    <s v="_x0000_peopl"/>
  </r>
  <r>
    <x v="6"/>
    <n v="13.6892"/>
    <n v="-89.206100000000006"/>
    <n v="11"/>
    <n v="0"/>
    <n v="0"/>
    <n v="107"/>
    <s v="_x0000_peopl"/>
  </r>
  <r>
    <x v="6"/>
    <n v="13.692299999999999"/>
    <n v="-89.179299999999998"/>
    <n v="7"/>
    <n v="0"/>
    <n v="0"/>
    <n v="107"/>
    <s v="_x0000_peopl"/>
  </r>
  <r>
    <x v="6"/>
    <n v="13.6905"/>
    <n v="-89.178799999999995"/>
    <n v="4"/>
    <n v="0"/>
    <n v="0"/>
    <n v="107"/>
    <s v="_x0000_peopl"/>
  </r>
  <r>
    <x v="6"/>
    <n v="13.692399999999999"/>
    <n v="-89.196899999999999"/>
    <n v="9"/>
    <n v="0"/>
    <n v="0"/>
    <n v="107"/>
    <s v="_x0000_peopl"/>
  </r>
  <r>
    <x v="6"/>
    <n v="13.6745"/>
    <n v="-89.251099999999994"/>
    <n v="3"/>
    <n v="0"/>
    <n v="0"/>
    <n v="107"/>
    <s v="_x0000_peopl"/>
  </r>
  <r>
    <x v="6"/>
    <n v="13.6876"/>
    <n v="-89.194299999999998"/>
    <n v="8"/>
    <n v="0"/>
    <n v="0"/>
    <n v="107"/>
    <s v="_x0000_peopl"/>
  </r>
  <r>
    <x v="6"/>
    <n v="13.690799999999999"/>
    <n v="-89.195400000000006"/>
    <n v="4"/>
    <n v="0"/>
    <n v="0"/>
    <n v="107"/>
    <s v="_x0000_peopl"/>
  </r>
  <r>
    <x v="6"/>
    <n v="13.6944"/>
    <n v="-89.175799999999995"/>
    <n v="1"/>
    <n v="0"/>
    <n v="0"/>
    <n v="107"/>
    <s v="_x0000_peopl"/>
  </r>
  <r>
    <x v="6"/>
    <n v="13.6912"/>
    <n v="-89.228899999999996"/>
    <n v="4"/>
    <n v="0"/>
    <n v="0"/>
    <n v="107"/>
    <s v="_x0000_peopl"/>
  </r>
  <r>
    <x v="6"/>
    <n v="13.690899999999999"/>
    <n v="-89.219700000000003"/>
    <n v="2"/>
    <n v="0"/>
    <n v="0"/>
    <n v="107"/>
    <s v="_x0000_peopl"/>
  </r>
  <r>
    <x v="6"/>
    <n v="13.6853"/>
    <n v="-89.212699999999998"/>
    <n v="5"/>
    <n v="0"/>
    <n v="0"/>
    <n v="107"/>
    <s v="_x0000_peopl"/>
  </r>
  <r>
    <x v="6"/>
    <n v="13.691599999999999"/>
    <n v="-89.225999999999999"/>
    <n v="7"/>
    <n v="0"/>
    <n v="0"/>
    <n v="107"/>
    <s v="_x0000_peopl"/>
  </r>
  <r>
    <x v="6"/>
    <n v="13.6911"/>
    <n v="-89.232600000000005"/>
    <n v="5"/>
    <n v="0"/>
    <n v="0"/>
    <n v="107"/>
    <s v="_x0000_peopl"/>
  </r>
  <r>
    <x v="6"/>
    <n v="13.688800000000001"/>
    <n v="-89.190399999999997"/>
    <n v="5"/>
    <n v="0"/>
    <n v="0"/>
    <n v="107"/>
    <s v="_x0000_peopl"/>
  </r>
  <r>
    <x v="6"/>
    <n v="13.692399999999999"/>
    <n v="-89.226699999999994"/>
    <n v="1"/>
    <n v="0"/>
    <n v="0"/>
    <n v="107"/>
    <s v="_x0000_peopl"/>
  </r>
  <r>
    <x v="6"/>
    <n v="13.6957"/>
    <n v="-89.172899999999998"/>
    <n v="9"/>
    <n v="0"/>
    <n v="0"/>
    <n v="107"/>
    <s v="_x0000_peopl"/>
  </r>
  <r>
    <x v="6"/>
    <n v="13.6899"/>
    <n v="-89.2363"/>
    <n v="4"/>
    <n v="0"/>
    <n v="0"/>
    <n v="107"/>
    <s v="_x0000_peopl"/>
  </r>
  <r>
    <x v="6"/>
    <n v="13.6944"/>
    <n v="-89.185400000000001"/>
    <n v="2"/>
    <n v="0"/>
    <n v="0"/>
    <n v="107"/>
    <s v="_x0000_peopl"/>
  </r>
  <r>
    <x v="6"/>
    <n v="13.6884"/>
    <n v="-89.204400000000007"/>
    <n v="4"/>
    <n v="0"/>
    <n v="0"/>
    <n v="107"/>
    <s v="_x0000_peopl"/>
  </r>
  <r>
    <x v="6"/>
    <n v="13.674899999999999"/>
    <n v="-89.199700000000007"/>
    <n v="4"/>
    <n v="0"/>
    <n v="0"/>
    <n v="107"/>
    <s v="_x0000_peopl"/>
  </r>
  <r>
    <x v="6"/>
    <n v="13.690899999999999"/>
    <n v="-89.231800000000007"/>
    <n v="7"/>
    <n v="0"/>
    <n v="0"/>
    <n v="107"/>
    <s v="_x0000_peopl"/>
  </r>
  <r>
    <x v="6"/>
    <n v="13.6906"/>
    <n v="-89.233699999999999"/>
    <n v="3"/>
    <n v="0"/>
    <n v="0"/>
    <n v="107"/>
    <s v="_x0000_peopl"/>
  </r>
  <r>
    <x v="6"/>
    <n v="13.6752"/>
    <n v="-89.1999"/>
    <n v="12"/>
    <n v="0"/>
    <n v="0"/>
    <n v="107"/>
    <s v="_x0000_peopl"/>
  </r>
  <r>
    <x v="6"/>
    <n v="13.6907"/>
    <n v="-89.234800000000007"/>
    <n v="5"/>
    <n v="0"/>
    <n v="0"/>
    <n v="107"/>
    <s v="_x0000_peopl"/>
  </r>
  <r>
    <x v="6"/>
    <n v="13.6944"/>
    <n v="-89.185500000000005"/>
    <n v="2"/>
    <n v="0"/>
    <n v="0"/>
    <n v="107"/>
    <s v="_x0000_peopl"/>
  </r>
  <r>
    <x v="6"/>
    <n v="13.6915"/>
    <n v="-89.189300000000003"/>
    <n v="4"/>
    <n v="0"/>
    <n v="0"/>
    <n v="107"/>
    <s v="_x0000_peopl"/>
  </r>
  <r>
    <x v="6"/>
    <n v="13.690799999999999"/>
    <n v="-89.194299999999998"/>
    <n v="2"/>
    <n v="0"/>
    <n v="0"/>
    <n v="107"/>
    <s v="_x0000_peopl"/>
  </r>
  <r>
    <x v="6"/>
    <n v="13.690899999999999"/>
    <n v="-89.228700000000003"/>
    <n v="5"/>
    <n v="0"/>
    <n v="0"/>
    <n v="107"/>
    <s v="_x0000_peopl"/>
  </r>
  <r>
    <x v="6"/>
    <n v="13.69"/>
    <n v="-89.184700000000007"/>
    <n v="4"/>
    <n v="0"/>
    <n v="0"/>
    <n v="107"/>
    <s v="_x0000_peopl"/>
  </r>
  <r>
    <x v="6"/>
    <n v="13.6882"/>
    <n v="-89.198400000000007"/>
    <n v="9"/>
    <n v="0"/>
    <n v="0"/>
    <n v="107"/>
    <s v="_x0000_peopl"/>
  </r>
  <r>
    <x v="6"/>
    <n v="13.6845"/>
    <n v="-89.216200000000001"/>
    <n v="5"/>
    <n v="0"/>
    <n v="0"/>
    <n v="107"/>
    <s v="_x0000_peopl"/>
  </r>
  <r>
    <x v="6"/>
    <n v="13.6911"/>
    <n v="-89.226900000000001"/>
    <n v="3"/>
    <n v="0"/>
    <n v="0"/>
    <n v="107"/>
    <s v="_x0000_peopl"/>
  </r>
  <r>
    <x v="6"/>
    <n v="13.6876"/>
    <n v="-89.196600000000004"/>
    <n v="5"/>
    <n v="0"/>
    <n v="0"/>
    <n v="107"/>
    <s v="_x0000_peopl"/>
  </r>
  <r>
    <x v="6"/>
    <n v="13.674799999999999"/>
    <n v="-89.202500000000001"/>
    <n v="5"/>
    <n v="0"/>
    <n v="0"/>
    <n v="107"/>
    <s v="_x0000_peopl"/>
  </r>
  <r>
    <x v="6"/>
    <n v="13.6874"/>
    <n v="-89.194699999999997"/>
    <n v="7"/>
    <n v="0"/>
    <n v="0"/>
    <n v="107"/>
    <s v="_x0000_peopl"/>
  </r>
  <r>
    <x v="6"/>
    <n v="13.69"/>
    <n v="-89.235500000000002"/>
    <n v="8"/>
    <n v="0"/>
    <n v="0"/>
    <n v="107"/>
    <s v="_x0000_peopl"/>
  </r>
  <r>
    <x v="6"/>
    <n v="13.687099999999999"/>
    <n v="-89.197400000000002"/>
    <n v="2"/>
    <n v="0"/>
    <n v="0"/>
    <n v="107"/>
    <s v="_x0000_peopl"/>
  </r>
  <r>
    <x v="6"/>
    <n v="13.6945"/>
    <n v="-89.185500000000005"/>
    <n v="5"/>
    <n v="0"/>
    <n v="0"/>
    <n v="107"/>
    <s v="_x0000_peopl"/>
  </r>
  <r>
    <x v="6"/>
    <n v="13.674899999999999"/>
    <n v="-89.251599999999996"/>
    <n v="8"/>
    <n v="0"/>
    <n v="0"/>
    <n v="107"/>
    <s v="_x0000_peopl"/>
  </r>
  <r>
    <x v="6"/>
    <n v="13.6914"/>
    <n v="-89.228800000000007"/>
    <n v="5"/>
    <n v="0"/>
    <n v="0"/>
    <n v="107"/>
    <s v="_x0000_peopl"/>
  </r>
  <r>
    <x v="6"/>
    <n v="13.690799999999999"/>
    <n v="-89.2333"/>
    <n v="4"/>
    <n v="0"/>
    <n v="0"/>
    <n v="107"/>
    <s v="_x0000_peopl"/>
  </r>
  <r>
    <x v="6"/>
    <n v="13.694599999999999"/>
    <n v="-89.1755"/>
    <n v="7"/>
    <n v="0"/>
    <n v="0"/>
    <n v="107"/>
    <s v="_x0000_peopl"/>
  </r>
  <r>
    <x v="6"/>
    <n v="13.690799999999999"/>
    <n v="-89.185000000000002"/>
    <n v="1"/>
    <n v="0"/>
    <n v="0"/>
    <n v="107"/>
    <s v="_x0000_peopl"/>
  </r>
  <r>
    <x v="6"/>
    <n v="13.6943"/>
    <n v="-89.174400000000006"/>
    <n v="1"/>
    <n v="0"/>
    <n v="0"/>
    <n v="107"/>
    <s v="_x0000_peopl"/>
  </r>
  <r>
    <x v="6"/>
    <n v="13.6896"/>
    <n v="-89.18"/>
    <n v="3"/>
    <n v="0"/>
    <n v="0"/>
    <n v="107"/>
    <s v="_x0000_peopl"/>
  </r>
  <r>
    <x v="6"/>
    <n v="13.6921"/>
    <n v="-89.180400000000006"/>
    <n v="6"/>
    <n v="0"/>
    <n v="0"/>
    <n v="107"/>
    <s v="_x0000_peopl"/>
  </r>
  <r>
    <x v="6"/>
    <n v="13.692399999999999"/>
    <n v="-89.184600000000003"/>
    <n v="2"/>
    <n v="0"/>
    <n v="0"/>
    <n v="107"/>
    <s v="_x0000_peopl"/>
  </r>
  <r>
    <x v="6"/>
    <n v="13.680300000000001"/>
    <n v="-89.1982"/>
    <n v="7"/>
    <n v="0"/>
    <n v="0"/>
    <n v="107"/>
    <s v="_x0000_peopl"/>
  </r>
  <r>
    <x v="6"/>
    <n v="13.6899"/>
    <n v="-89.217299999999994"/>
    <n v="4"/>
    <n v="0"/>
    <n v="0"/>
    <n v="107"/>
    <s v="_x0000_peopl"/>
  </r>
  <r>
    <x v="6"/>
    <n v="13.690899999999999"/>
    <n v="-89.235299999999995"/>
    <n v="1"/>
    <n v="0"/>
    <n v="0"/>
    <n v="107"/>
    <s v="_x0000_peopl"/>
  </r>
  <r>
    <x v="6"/>
    <n v="13.6904"/>
    <n v="-89.194599999999994"/>
    <n v="3"/>
    <n v="0"/>
    <n v="0"/>
    <n v="107"/>
    <s v="_x0000_peopl"/>
  </r>
  <r>
    <x v="6"/>
    <n v="13.688499999999999"/>
    <n v="-89.206699999999998"/>
    <n v="5"/>
    <n v="0"/>
    <n v="0"/>
    <n v="107"/>
    <s v="_x0000_peopl"/>
  </r>
  <r>
    <x v="6"/>
    <n v="13.692600000000001"/>
    <n v="-89.224999999999994"/>
    <n v="5"/>
    <n v="0"/>
    <n v="0"/>
    <n v="107"/>
    <s v="_x0000_peopl"/>
  </r>
  <r>
    <x v="6"/>
    <n v="13.6881"/>
    <n v="-89.182699999999997"/>
    <n v="4"/>
    <n v="0"/>
    <n v="0"/>
    <n v="107"/>
    <s v="_x0000_peopl"/>
  </r>
  <r>
    <x v="6"/>
    <n v="13.692500000000001"/>
    <n v="-89.178799999999995"/>
    <n v="11"/>
    <n v="0"/>
    <n v="0"/>
    <n v="107"/>
    <s v="_x0000_peopl"/>
  </r>
  <r>
    <x v="6"/>
    <n v="13.6913"/>
    <n v="-89.189400000000006"/>
    <n v="2"/>
    <n v="0"/>
    <n v="0"/>
    <n v="107"/>
    <s v="_x0000_peopl"/>
  </r>
  <r>
    <x v="6"/>
    <n v="13.6898"/>
    <n v="-89.184700000000007"/>
    <n v="3"/>
    <n v="0"/>
    <n v="0"/>
    <n v="107"/>
    <s v="_x0000_peopl"/>
  </r>
  <r>
    <x v="6"/>
    <n v="13.692399999999999"/>
    <n v="-89.223799999999997"/>
    <n v="7"/>
    <n v="0"/>
    <n v="0"/>
    <n v="107"/>
    <s v="_x0000_peopl"/>
  </r>
  <r>
    <x v="6"/>
    <n v="13.6921"/>
    <n v="-89.2273"/>
    <n v="11"/>
    <n v="0"/>
    <n v="0"/>
    <n v="107"/>
    <s v="_x0000_peopl"/>
  </r>
  <r>
    <x v="6"/>
    <n v="13.6973"/>
    <n v="-89.171199999999999"/>
    <n v="6"/>
    <n v="0"/>
    <n v="0"/>
    <n v="107"/>
    <s v="_x0000_peopl"/>
  </r>
  <r>
    <x v="6"/>
    <n v="13.6747"/>
    <n v="-89.199399999999997"/>
    <n v="5"/>
    <n v="0"/>
    <n v="0"/>
    <n v="107"/>
    <s v="_x0000_peopl"/>
  </r>
  <r>
    <x v="6"/>
    <n v="13.6792"/>
    <n v="-89.196399999999997"/>
    <n v="8"/>
    <n v="0"/>
    <n v="0"/>
    <n v="107"/>
    <s v="_x0000_peopl"/>
  </r>
  <r>
    <x v="6"/>
    <n v="13.6904"/>
    <n v="-89.235399999999998"/>
    <n v="13"/>
    <n v="0"/>
    <n v="0"/>
    <n v="107"/>
    <s v="_x0000_peopl"/>
  </r>
  <r>
    <x v="6"/>
    <n v="13.6884"/>
    <n v="-89.194999999999993"/>
    <n v="3"/>
    <n v="0"/>
    <n v="0"/>
    <n v="107"/>
    <s v="_x0000_peopl"/>
  </r>
  <r>
    <x v="6"/>
    <n v="13.691800000000001"/>
    <n v="-89.194299999999998"/>
    <n v="8"/>
    <n v="0"/>
    <n v="0"/>
    <n v="107"/>
    <s v="_x0000_peopl"/>
  </r>
  <r>
    <x v="6"/>
    <n v="13.691000000000001"/>
    <n v="-89.190600000000003"/>
    <n v="2"/>
    <n v="0"/>
    <n v="0"/>
    <n v="107"/>
    <s v="_x0000_peopl"/>
  </r>
  <r>
    <x v="6"/>
    <n v="13.692600000000001"/>
    <n v="-89.189700000000002"/>
    <n v="4"/>
    <n v="0"/>
    <n v="0"/>
    <n v="107"/>
    <s v="_x0000_peopl"/>
  </r>
  <r>
    <x v="6"/>
    <n v="13.679500000000001"/>
    <n v="-89.197199999999995"/>
    <n v="3"/>
    <n v="0"/>
    <n v="0"/>
    <n v="107"/>
    <s v="_x0000_peopl"/>
  </r>
  <r>
    <x v="6"/>
    <n v="13.6881"/>
    <n v="-89.204499999999996"/>
    <n v="6"/>
    <n v="0"/>
    <n v="0"/>
    <n v="107"/>
    <s v="_x0000_peopl"/>
  </r>
  <r>
    <x v="6"/>
    <n v="13.692500000000001"/>
    <n v="-89.224999999999994"/>
    <n v="8"/>
    <n v="0"/>
    <n v="0"/>
    <n v="107"/>
    <s v="_x0000_peopl"/>
  </r>
  <r>
    <x v="6"/>
    <n v="13.690799999999999"/>
    <n v="-89.233699999999999"/>
    <n v="2"/>
    <n v="0"/>
    <n v="0"/>
    <n v="107"/>
    <s v="_x0000_peopl"/>
  </r>
  <r>
    <x v="6"/>
    <n v="13.6874"/>
    <n v="-89.197100000000006"/>
    <n v="6"/>
    <n v="0"/>
    <n v="0"/>
    <n v="107"/>
    <s v="_x0000_peopl"/>
  </r>
  <r>
    <x v="6"/>
    <n v="13.692"/>
    <n v="-89.185900000000004"/>
    <n v="4"/>
    <n v="0"/>
    <n v="0"/>
    <n v="107"/>
    <s v="_x0000_peopl"/>
  </r>
  <r>
    <x v="6"/>
    <n v="13.693300000000001"/>
    <n v="-89.178200000000004"/>
    <n v="5"/>
    <n v="0"/>
    <n v="0"/>
    <n v="107"/>
    <s v="_x0000_peopl"/>
  </r>
  <r>
    <x v="6"/>
    <n v="13.6852"/>
    <n v="-89.194000000000003"/>
    <n v="8"/>
    <n v="0"/>
    <n v="0"/>
    <n v="107"/>
    <s v="_x0000_peopl"/>
  </r>
  <r>
    <x v="6"/>
    <n v="13.690099999999999"/>
    <n v="-89.217500000000001"/>
    <n v="4"/>
    <n v="0"/>
    <n v="0"/>
    <n v="107"/>
    <s v="_x0000_peopl"/>
  </r>
  <r>
    <x v="6"/>
    <n v="13.686999999999999"/>
    <n v="-89.194699999999997"/>
    <n v="4"/>
    <n v="0"/>
    <n v="0"/>
    <n v="107"/>
    <s v="_x0000_peopl"/>
  </r>
  <r>
    <x v="6"/>
    <n v="13.692"/>
    <n v="-89.221699999999998"/>
    <n v="3"/>
    <n v="0"/>
    <n v="0"/>
    <n v="107"/>
    <s v="_x0000_peopl"/>
  </r>
  <r>
    <x v="6"/>
    <n v="13.686999999999999"/>
    <n v="-89.197299999999998"/>
    <n v="5"/>
    <n v="0"/>
    <n v="0"/>
    <n v="107"/>
    <s v="_x0000_peopl"/>
  </r>
  <r>
    <x v="6"/>
    <n v="13.6922"/>
    <n v="-89.186999999999998"/>
    <n v="8"/>
    <n v="0"/>
    <n v="0"/>
    <n v="107"/>
    <s v="_x0000_peopl"/>
  </r>
  <r>
    <x v="6"/>
    <n v="13.691800000000001"/>
    <n v="-89.179199999999994"/>
    <n v="4"/>
    <n v="0"/>
    <n v="0"/>
    <n v="107"/>
    <s v="_x0000_peopl"/>
  </r>
  <r>
    <x v="6"/>
    <n v="13.6907"/>
    <n v="-89.185100000000006"/>
    <n v="7"/>
    <n v="0"/>
    <n v="0"/>
    <n v="107"/>
    <s v="_x0000_peopl"/>
  </r>
  <r>
    <x v="6"/>
    <n v="13.687099999999999"/>
    <n v="-89.202299999999994"/>
    <n v="7"/>
    <n v="0"/>
    <n v="0"/>
    <n v="107"/>
    <s v="_x0000_peopl"/>
  </r>
  <r>
    <x v="6"/>
    <n v="13.690899999999999"/>
    <n v="-89.195300000000003"/>
    <n v="8"/>
    <n v="0"/>
    <n v="0"/>
    <n v="107"/>
    <s v="_x0000_peopl"/>
  </r>
  <r>
    <x v="6"/>
    <n v="13.692600000000001"/>
    <n v="-89.181899999999999"/>
    <n v="2"/>
    <n v="0"/>
    <n v="0"/>
    <n v="107"/>
    <s v="_x0000_peopl"/>
  </r>
  <r>
    <x v="6"/>
    <n v="13.688700000000001"/>
    <n v="-89.205600000000004"/>
    <n v="5"/>
    <n v="0"/>
    <n v="0"/>
    <n v="107"/>
    <s v="_x0000_peopl"/>
  </r>
  <r>
    <x v="6"/>
    <n v="13.694699999999999"/>
    <n v="-89.183400000000006"/>
    <n v="7"/>
    <n v="0"/>
    <n v="0"/>
    <n v="107"/>
    <s v="_x0000_peopl"/>
  </r>
  <r>
    <x v="6"/>
    <n v="13.693"/>
    <n v="-89.183800000000005"/>
    <n v="13"/>
    <n v="0"/>
    <n v="0"/>
    <n v="107"/>
    <s v="_x0000_peopl"/>
  </r>
  <r>
    <x v="6"/>
    <n v="13.695399999999999"/>
    <n v="-89.1738"/>
    <n v="2"/>
    <n v="0"/>
    <n v="0"/>
    <n v="107"/>
    <s v="_x0000_peopl"/>
  </r>
  <r>
    <x v="6"/>
    <n v="13.692399999999999"/>
    <n v="-89.197100000000006"/>
    <n v="4"/>
    <n v="0"/>
    <n v="0"/>
    <n v="107"/>
    <s v="_x0000_peopl"/>
  </r>
  <r>
    <x v="6"/>
    <n v="13.6897"/>
    <n v="-89.190100000000001"/>
    <n v="5"/>
    <n v="0"/>
    <n v="0"/>
    <n v="107"/>
    <s v="_x0000_peopl"/>
  </r>
  <r>
    <x v="6"/>
    <n v="13.6911"/>
    <n v="-89.220299999999995"/>
    <n v="6"/>
    <n v="0"/>
    <n v="0"/>
    <n v="107"/>
    <s v="_x0000_peopl"/>
  </r>
  <r>
    <x v="6"/>
    <n v="13.6853"/>
    <n v="-89.217299999999994"/>
    <n v="5"/>
    <n v="0"/>
    <n v="0"/>
    <n v="107"/>
    <s v="_x0000_peopl"/>
  </r>
  <r>
    <x v="6"/>
    <n v="13.6904"/>
    <n v="-89.183800000000005"/>
    <n v="7"/>
    <n v="0"/>
    <n v="0"/>
    <n v="107"/>
    <s v="_x0000_peopl"/>
  </r>
  <r>
    <x v="6"/>
    <n v="13.6853"/>
    <n v="-89.213200000000001"/>
    <n v="5"/>
    <n v="0"/>
    <n v="0"/>
    <n v="107"/>
    <s v="_x0000_peopl"/>
  </r>
  <r>
    <x v="6"/>
    <n v="13.691000000000001"/>
    <n v="-89.232799999999997"/>
    <n v="3"/>
    <n v="0"/>
    <n v="0"/>
    <n v="107"/>
    <s v="_x0000_peopl"/>
  </r>
  <r>
    <x v="6"/>
    <n v="13.6919"/>
    <n v="-89.197599999999994"/>
    <n v="7"/>
    <n v="0"/>
    <n v="0"/>
    <n v="107"/>
    <s v="_x0000_peopl"/>
  </r>
  <r>
    <x v="6"/>
    <n v="13.6921"/>
    <n v="-89.226299999999995"/>
    <n v="9"/>
    <n v="0"/>
    <n v="0"/>
    <n v="107"/>
    <s v="_x0000_peopl"/>
  </r>
  <r>
    <x v="6"/>
    <n v="13.6874"/>
    <n v="-89.194699999999997"/>
    <n v="9"/>
    <n v="0"/>
    <n v="0"/>
    <n v="107"/>
    <s v="_x0000_peopl"/>
  </r>
  <r>
    <x v="6"/>
    <n v="13.6952"/>
    <n v="-89.173199999999994"/>
    <n v="4"/>
    <n v="0"/>
    <n v="0"/>
    <n v="107"/>
    <s v="_x0000_peopl"/>
  </r>
  <r>
    <x v="6"/>
    <n v="13.691000000000001"/>
    <n v="-89.228999999999999"/>
    <n v="7"/>
    <n v="0"/>
    <n v="0"/>
    <n v="107"/>
    <s v="_x0000_peopl"/>
  </r>
  <r>
    <x v="6"/>
    <n v="13.6873"/>
    <n v="-89.194400000000002"/>
    <n v="4"/>
    <n v="0"/>
    <n v="0"/>
    <n v="107"/>
    <s v="_x0000_peopl"/>
  </r>
  <r>
    <x v="6"/>
    <n v="13.6914"/>
    <n v="-89.179699999999997"/>
    <n v="6"/>
    <n v="0"/>
    <n v="0"/>
    <n v="107"/>
    <s v="_x0000_peopl"/>
  </r>
  <r>
    <x v="6"/>
    <n v="13.6905"/>
    <n v="-89.236000000000004"/>
    <n v="5"/>
    <n v="0"/>
    <n v="0"/>
    <n v="107"/>
    <s v="_x0000_peopl"/>
  </r>
  <r>
    <x v="6"/>
    <n v="13.6945"/>
    <n v="-89.183099999999996"/>
    <n v="3"/>
    <n v="0"/>
    <n v="0"/>
    <n v="107"/>
    <s v="_x0000_peopl"/>
  </r>
  <r>
    <x v="6"/>
    <n v="13.6912"/>
    <n v="-89.229500000000002"/>
    <n v="6"/>
    <n v="0"/>
    <n v="0"/>
    <n v="107"/>
    <s v="_x0000_peopl"/>
  </r>
  <r>
    <x v="6"/>
    <n v="13.6899"/>
    <n v="-89.228800000000007"/>
    <n v="2"/>
    <n v="0"/>
    <n v="0"/>
    <n v="107"/>
    <s v="_x0000_peopl"/>
  </r>
  <r>
    <x v="6"/>
    <n v="13.6919"/>
    <n v="-89.183499999999995"/>
    <n v="6"/>
    <n v="0"/>
    <n v="0"/>
    <n v="107"/>
    <s v="_x0000_peopl"/>
  </r>
  <r>
    <x v="6"/>
    <n v="13.6853"/>
    <n v="-89.216999999999999"/>
    <n v="4"/>
    <n v="0"/>
    <n v="0"/>
    <n v="107"/>
    <s v="_x0000_peopl"/>
  </r>
  <r>
    <x v="6"/>
    <n v="13.6934"/>
    <n v="-89.1768"/>
    <n v="4"/>
    <n v="0"/>
    <n v="0"/>
    <n v="107"/>
    <s v="_x0000_peopl"/>
  </r>
  <r>
    <x v="6"/>
    <n v="13.691000000000001"/>
    <n v="-89.190399999999997"/>
    <n v="2"/>
    <n v="0"/>
    <n v="0"/>
    <n v="107"/>
    <s v="_x0000_peopl"/>
  </r>
  <r>
    <x v="6"/>
    <n v="13.687799999999999"/>
    <n v="-89.1815"/>
    <n v="6"/>
    <n v="0"/>
    <n v="0"/>
    <n v="107"/>
    <s v="_x0000_peopl"/>
  </r>
  <r>
    <x v="6"/>
    <n v="13.6891"/>
    <n v="-89.184200000000004"/>
    <n v="2"/>
    <n v="0"/>
    <n v="0"/>
    <n v="107"/>
    <s v="_x0000_peopl"/>
  </r>
  <r>
    <x v="6"/>
    <n v="13.6868"/>
    <n v="-89.181799999999996"/>
    <n v="2"/>
    <n v="0"/>
    <n v="0"/>
    <n v="107"/>
    <s v="_x0000_peopl"/>
  </r>
  <r>
    <x v="6"/>
    <n v="13.6873"/>
    <n v="-89.216700000000003"/>
    <n v="3"/>
    <n v="0"/>
    <n v="0"/>
    <n v="107"/>
    <s v="_x0000_peopl"/>
  </r>
  <r>
    <x v="6"/>
    <n v="13.6911"/>
    <n v="-89.234999999999999"/>
    <n v="5"/>
    <n v="0"/>
    <n v="0"/>
    <n v="107"/>
    <s v="_x0000_peopl"/>
  </r>
  <r>
    <x v="6"/>
    <n v="13.691700000000001"/>
    <n v="-89.186499999999995"/>
    <n v="8"/>
    <n v="0"/>
    <n v="0"/>
    <n v="107"/>
    <s v="_x0000_peopl"/>
  </r>
  <r>
    <x v="6"/>
    <n v="13.6913"/>
    <n v="-89.232900000000001"/>
    <n v="9"/>
    <n v="0"/>
    <n v="0"/>
    <n v="107"/>
    <s v="_x0000_peopl"/>
  </r>
  <r>
    <x v="6"/>
    <n v="13.674300000000001"/>
    <n v="-89.252099999999999"/>
    <n v="5"/>
    <n v="0"/>
    <n v="0"/>
    <n v="107"/>
    <s v="_x0000_peopl"/>
  </r>
  <r>
    <x v="6"/>
    <n v="13.690300000000001"/>
    <n v="-89.195800000000006"/>
    <n v="7"/>
    <n v="0"/>
    <n v="0"/>
    <n v="107"/>
    <s v="_x0000_peopl"/>
  </r>
  <r>
    <x v="6"/>
    <n v="13.6911"/>
    <n v="-89.234200000000001"/>
    <n v="6"/>
    <n v="0"/>
    <n v="0"/>
    <n v="107"/>
    <s v="_x0000_peopl"/>
  </r>
  <r>
    <x v="6"/>
    <n v="13.6914"/>
    <n v="-89.228499999999997"/>
    <n v="4"/>
    <n v="0"/>
    <n v="0"/>
    <n v="107"/>
    <s v="_x0000_peopl"/>
  </r>
  <r>
    <x v="6"/>
    <n v="13.6927"/>
    <n v="-89.223699999999994"/>
    <n v="4"/>
    <n v="0"/>
    <n v="0"/>
    <n v="107"/>
    <s v="_x0000_peopl"/>
  </r>
  <r>
    <x v="6"/>
    <n v="13.675000000000001"/>
    <n v="-89.252200000000002"/>
    <n v="8"/>
    <n v="0"/>
    <n v="0"/>
    <n v="107"/>
    <s v="_x0000_peopl"/>
  </r>
  <r>
    <x v="6"/>
    <n v="13.6859"/>
    <n v="-89.202200000000005"/>
    <n v="4"/>
    <n v="0"/>
    <n v="0"/>
    <n v="107"/>
    <s v="_x0000_peopl"/>
  </r>
  <r>
    <x v="6"/>
    <n v="13.691800000000001"/>
    <n v="-89.2256"/>
    <n v="7"/>
    <n v="0"/>
    <n v="0"/>
    <n v="107"/>
    <s v="_x0000_peopl"/>
  </r>
  <r>
    <x v="6"/>
    <n v="13.6905"/>
    <n v="-89.178799999999995"/>
    <n v="6"/>
    <n v="0"/>
    <n v="0"/>
    <n v="107"/>
    <s v="_x0000_peopl"/>
  </r>
  <r>
    <x v="6"/>
    <n v="13.694599999999999"/>
    <n v="-89.174999999999997"/>
    <n v="3"/>
    <n v="0"/>
    <n v="0"/>
    <n v="107"/>
    <s v="_x0000_peopl"/>
  </r>
  <r>
    <x v="6"/>
    <n v="13.6915"/>
    <n v="-89.226600000000005"/>
    <n v="6"/>
    <n v="0"/>
    <n v="0"/>
    <n v="107"/>
    <s v="_x0000_peopl"/>
  </r>
  <r>
    <x v="6"/>
    <n v="13.692500000000001"/>
    <n v="-89.223100000000002"/>
    <n v="5"/>
    <n v="0"/>
    <n v="0"/>
    <n v="107"/>
    <s v="_x0000_peopl"/>
  </r>
  <r>
    <x v="6"/>
    <n v="13.686400000000001"/>
    <n v="-89.211699999999993"/>
    <n v="8"/>
    <n v="0"/>
    <n v="0"/>
    <n v="107"/>
    <s v="_x0000_peopl"/>
  </r>
  <r>
    <x v="6"/>
    <n v="13.687799999999999"/>
    <n v="-89.194500000000005"/>
    <n v="7"/>
    <n v="0"/>
    <n v="0"/>
    <n v="107"/>
    <s v="_x0000_peopl"/>
  </r>
  <r>
    <x v="6"/>
    <n v="13.694000000000001"/>
    <n v="-89.174999999999997"/>
    <n v="5"/>
    <n v="0"/>
    <n v="0"/>
    <n v="107"/>
    <s v="_x0000_peopl"/>
  </r>
  <r>
    <x v="6"/>
    <n v="13.695600000000001"/>
    <n v="-89.172799999999995"/>
    <n v="8"/>
    <n v="0"/>
    <n v="0"/>
    <n v="107"/>
    <s v="_x0000_peopl"/>
  </r>
  <r>
    <x v="6"/>
    <n v="13.692500000000001"/>
    <n v="-89.189899999999994"/>
    <n v="5"/>
    <n v="0"/>
    <n v="0"/>
    <n v="107"/>
    <s v="_x0000_peopl"/>
  </r>
  <r>
    <x v="6"/>
    <n v="13.6899"/>
    <n v="-89.197599999999994"/>
    <n v="2"/>
    <n v="0"/>
    <n v="0"/>
    <n v="107"/>
    <s v="_x0000_peopl"/>
  </r>
  <r>
    <x v="6"/>
    <n v="13.691800000000001"/>
    <n v="-89.178899999999999"/>
    <n v="4"/>
    <n v="0"/>
    <n v="0"/>
    <n v="107"/>
    <s v="_x0000_peopl"/>
  </r>
  <r>
    <x v="6"/>
    <n v="13.690799999999999"/>
    <n v="-89.219499999999996"/>
    <n v="2"/>
    <n v="0"/>
    <n v="0"/>
    <n v="107"/>
    <s v="_x0000_peopl"/>
  </r>
  <r>
    <x v="6"/>
    <n v="13.687799999999999"/>
    <n v="-89.180199999999999"/>
    <n v="8"/>
    <n v="0"/>
    <n v="0"/>
    <n v="107"/>
    <s v="_x0000_peopl"/>
  </r>
  <r>
    <x v="6"/>
    <n v="13.6915"/>
    <n v="-89.22"/>
    <n v="2"/>
    <n v="0"/>
    <n v="0"/>
    <n v="107"/>
    <s v="_x0000_peopl"/>
  </r>
  <r>
    <x v="6"/>
    <n v="13.6876"/>
    <n v="-89.179599999999994"/>
    <n v="7"/>
    <n v="0"/>
    <n v="0"/>
    <n v="107"/>
    <s v="_x0000_peopl"/>
  </r>
  <r>
    <x v="6"/>
    <n v="13.6746"/>
    <n v="-89.199200000000005"/>
    <n v="4"/>
    <n v="0"/>
    <n v="0"/>
    <n v="107"/>
    <s v="_x0000_peopl"/>
  </r>
  <r>
    <x v="6"/>
    <n v="13.6798"/>
    <n v="-89.195800000000006"/>
    <n v="3"/>
    <n v="0"/>
    <n v="0"/>
    <n v="107"/>
    <s v="_x0000_peopl"/>
  </r>
  <r>
    <x v="6"/>
    <n v="13.686400000000001"/>
    <n v="-89.214699999999993"/>
    <n v="3"/>
    <n v="0"/>
    <n v="0"/>
    <n v="107"/>
    <s v="_x0000_peopl"/>
  </r>
  <r>
    <x v="6"/>
    <n v="13.6891"/>
    <n v="-89.235799999999998"/>
    <n v="5"/>
    <n v="0"/>
    <n v="0"/>
    <n v="107"/>
    <s v="_x0000_peopl"/>
  </r>
  <r>
    <x v="6"/>
    <n v="13.677"/>
    <n v="-89.199200000000005"/>
    <n v="3"/>
    <n v="0"/>
    <n v="0"/>
    <n v="107"/>
    <s v="_x0000_peopl"/>
  </r>
  <r>
    <x v="6"/>
    <n v="13.6884"/>
    <n v="-89.198899999999995"/>
    <n v="2"/>
    <n v="0"/>
    <n v="0"/>
    <n v="107"/>
    <s v="_x0000_peopl"/>
  </r>
  <r>
    <x v="6"/>
    <n v="13.690099999999999"/>
    <n v="-89.193100000000001"/>
    <n v="4"/>
    <n v="0"/>
    <n v="0"/>
    <n v="107"/>
    <s v="_x0000_peopl"/>
  </r>
  <r>
    <x v="6"/>
    <n v="13.6922"/>
    <n v="-89.223399999999998"/>
    <n v="3"/>
    <n v="0"/>
    <n v="0"/>
    <n v="107"/>
    <s v="_x0000_peopl"/>
  </r>
  <r>
    <x v="6"/>
    <n v="13.6905"/>
    <n v="-89.234800000000007"/>
    <n v="4"/>
    <n v="0"/>
    <n v="0"/>
    <n v="107"/>
    <s v="_x0000_peopl"/>
  </r>
  <r>
    <x v="6"/>
    <n v="13.6881"/>
    <n v="-89.204499999999996"/>
    <n v="3"/>
    <n v="0"/>
    <n v="0"/>
    <n v="107"/>
    <s v="_x0000_peopl"/>
  </r>
  <r>
    <x v="6"/>
    <n v="13.6907"/>
    <n v="-89.235799999999998"/>
    <n v="5"/>
    <n v="0"/>
    <n v="0"/>
    <n v="107"/>
    <s v="_x0000_peopl"/>
  </r>
  <r>
    <x v="6"/>
    <n v="13.694599999999999"/>
    <n v="-89.171800000000005"/>
    <n v="2"/>
    <n v="0"/>
    <n v="0"/>
    <n v="107"/>
    <s v="_x0000_peopl"/>
  </r>
  <r>
    <x v="6"/>
    <n v="13.685499999999999"/>
    <n v="-89.201899999999995"/>
    <n v="3"/>
    <n v="0"/>
    <n v="0"/>
    <n v="107"/>
    <s v="_x0000_peopl"/>
  </r>
  <r>
    <x v="6"/>
    <n v="13.690899999999999"/>
    <n v="-89.183599999999998"/>
    <n v="6"/>
    <n v="0"/>
    <n v="0"/>
    <n v="107"/>
    <s v="_x0000_peopl"/>
  </r>
  <r>
    <x v="6"/>
    <n v="13.6915"/>
    <n v="-89.185500000000005"/>
    <n v="7"/>
    <n v="0"/>
    <n v="0"/>
    <n v="107"/>
    <s v="_x0000_peopl"/>
  </r>
  <r>
    <x v="6"/>
    <n v="13.694000000000001"/>
    <n v="-89.175200000000004"/>
    <n v="1"/>
    <n v="0"/>
    <n v="0"/>
    <n v="107"/>
    <s v="_x0000_peopl"/>
  </r>
  <r>
    <x v="6"/>
    <n v="13.6912"/>
    <n v="-89.219700000000003"/>
    <n v="2"/>
    <n v="0"/>
    <n v="0"/>
    <n v="107"/>
    <s v="_x0000_peopl"/>
  </r>
  <r>
    <x v="6"/>
    <n v="13.6869"/>
    <n v="-89.191299999999998"/>
    <n v="5"/>
    <n v="0"/>
    <n v="0"/>
    <n v="107"/>
    <s v="_x0000_peopl"/>
  </r>
  <r>
    <x v="6"/>
    <n v="13.689500000000001"/>
    <n v="-89.235600000000005"/>
    <n v="3"/>
    <n v="0"/>
    <n v="0"/>
    <n v="107"/>
    <s v="_x0000_peopl"/>
  </r>
  <r>
    <x v="6"/>
    <n v="13.6935"/>
    <n v="-89.192499999999995"/>
    <n v="5"/>
    <n v="0"/>
    <n v="0"/>
    <n v="107"/>
    <s v="_x0000_peopl"/>
  </r>
  <r>
    <x v="6"/>
    <n v="13.6889"/>
    <n v="-89.229699999999994"/>
    <n v="3"/>
    <n v="0"/>
    <n v="0"/>
    <n v="107"/>
    <s v="_x0000_peopl"/>
  </r>
  <r>
    <x v="6"/>
    <n v="13.6912"/>
    <n v="-89.234800000000007"/>
    <n v="7"/>
    <n v="0"/>
    <n v="0"/>
    <n v="107"/>
    <s v="_x0000_peopl"/>
  </r>
  <r>
    <x v="6"/>
    <n v="13.687900000000001"/>
    <n v="-89.195400000000006"/>
    <n v="6"/>
    <n v="0"/>
    <n v="0"/>
    <n v="107"/>
    <s v="_x0000_peopl"/>
  </r>
  <r>
    <x v="6"/>
    <n v="13.691000000000001"/>
    <n v="-89.22"/>
    <n v="4"/>
    <n v="0"/>
    <n v="0"/>
    <n v="107"/>
    <s v="_x0000_peopl"/>
  </r>
  <r>
    <x v="6"/>
    <n v="13.685"/>
    <n v="-89.203000000000003"/>
    <n v="4"/>
    <n v="0"/>
    <n v="0"/>
    <n v="107"/>
    <s v="_x0000_peopl"/>
  </r>
  <r>
    <x v="6"/>
    <n v="13.6906"/>
    <n v="-89.194800000000001"/>
    <n v="8"/>
    <n v="0"/>
    <n v="0"/>
    <n v="107"/>
    <s v="_x0000_peopl"/>
  </r>
  <r>
    <x v="6"/>
    <n v="13.6861"/>
    <n v="-89.212699999999998"/>
    <n v="9"/>
    <n v="0"/>
    <n v="0"/>
    <n v="107"/>
    <s v="_x0000_peopl"/>
  </r>
  <r>
    <x v="6"/>
    <n v="13.691800000000001"/>
    <n v="-89.179900000000004"/>
    <n v="4"/>
    <n v="0"/>
    <n v="0"/>
    <n v="107"/>
    <s v="_x0000_peopl"/>
  </r>
  <r>
    <x v="6"/>
    <n v="13.6915"/>
    <n v="-89.220699999999994"/>
    <n v="10"/>
    <n v="0"/>
    <n v="0"/>
    <n v="107"/>
    <s v="_x0000_peopl"/>
  </r>
  <r>
    <x v="6"/>
    <n v="13.6952"/>
    <n v="-89.171899999999994"/>
    <n v="4"/>
    <n v="0"/>
    <n v="0"/>
    <n v="107"/>
    <s v="_x0000_peopl"/>
  </r>
  <r>
    <x v="6"/>
    <n v="13.694000000000001"/>
    <n v="-89.173000000000002"/>
    <n v="7"/>
    <n v="0"/>
    <n v="0"/>
    <n v="107"/>
    <s v="_x0000_peopl"/>
  </r>
  <r>
    <x v="6"/>
    <n v="13.6868"/>
    <n v="-89.212400000000002"/>
    <n v="5"/>
    <n v="0"/>
    <n v="0"/>
    <n v="107"/>
    <s v="_x0000_peopl"/>
  </r>
  <r>
    <x v="6"/>
    <n v="13.690300000000001"/>
    <n v="-89.235900000000001"/>
    <n v="5"/>
    <n v="0"/>
    <n v="0"/>
    <n v="107"/>
    <s v="_x0000_peopl"/>
  </r>
  <r>
    <x v="6"/>
    <n v="13.684799999999999"/>
    <n v="-89.211299999999994"/>
    <n v="4"/>
    <n v="0"/>
    <n v="0"/>
    <n v="107"/>
    <s v="_x0000_peopl"/>
  </r>
  <r>
    <x v="6"/>
    <n v="13.687200000000001"/>
    <n v="-89.194599999999994"/>
    <n v="4"/>
    <n v="0"/>
    <n v="0"/>
    <n v="107"/>
    <s v="_x0000_peopl"/>
  </r>
  <r>
    <x v="6"/>
    <n v="13.688700000000001"/>
    <n v="-89.206699999999998"/>
    <n v="6"/>
    <n v="0"/>
    <n v="0"/>
    <n v="107"/>
    <s v="_x0000_peopl"/>
  </r>
  <r>
    <x v="6"/>
    <n v="13.677099999999999"/>
    <n v="-89.198999999999998"/>
    <n v="4"/>
    <n v="0"/>
    <n v="0"/>
    <n v="107"/>
    <s v="_x0000_peopl"/>
  </r>
  <r>
    <x v="6"/>
    <n v="13.696"/>
    <n v="-89.172600000000003"/>
    <n v="3"/>
    <n v="0"/>
    <n v="0"/>
    <n v="107"/>
    <s v="_x0000_peopl"/>
  </r>
  <r>
    <x v="6"/>
    <n v="13.690200000000001"/>
    <n v="-89.181399999999996"/>
    <n v="6"/>
    <n v="0"/>
    <n v="0"/>
    <n v="107"/>
    <s v="_x0000_peopl"/>
  </r>
  <r>
    <x v="6"/>
    <n v="13.6744"/>
    <n v="-89.1995"/>
    <n v="4"/>
    <n v="0"/>
    <n v="0"/>
    <n v="107"/>
    <s v="_x0000_peopl"/>
  </r>
  <r>
    <x v="6"/>
    <n v="13.689500000000001"/>
    <n v="-89.2029"/>
    <n v="6"/>
    <n v="0"/>
    <n v="0"/>
    <n v="107"/>
    <s v="_x0000_peopl"/>
  </r>
  <r>
    <x v="6"/>
    <n v="13.6913"/>
    <n v="-89.228300000000004"/>
    <n v="4"/>
    <n v="0"/>
    <n v="0"/>
    <n v="107"/>
    <s v="_x0000_peopl"/>
  </r>
  <r>
    <x v="6"/>
    <n v="13.687900000000001"/>
    <n v="-89.215699999999998"/>
    <n v="3"/>
    <n v="0"/>
    <n v="0"/>
    <n v="107"/>
    <s v="_x0000_peopl"/>
  </r>
  <r>
    <x v="6"/>
    <n v="13.686999999999999"/>
    <n v="-89.182400000000001"/>
    <n v="5"/>
    <n v="0"/>
    <n v="0"/>
    <n v="107"/>
    <s v="_x0000_peopl"/>
  </r>
  <r>
    <x v="6"/>
    <n v="13.6907"/>
    <n v="-89.186099999999996"/>
    <n v="3"/>
    <n v="0"/>
    <n v="0"/>
    <n v="107"/>
    <s v="_x0000_peopl"/>
  </r>
  <r>
    <x v="6"/>
    <n v="13.6911"/>
    <n v="-89.235299999999995"/>
    <n v="3"/>
    <n v="0"/>
    <n v="0"/>
    <n v="107"/>
    <s v="_x0000_peopl"/>
  </r>
  <r>
    <x v="6"/>
    <n v="13.6912"/>
    <n v="-89.178600000000003"/>
    <n v="7"/>
    <n v="0"/>
    <n v="0"/>
    <n v="107"/>
    <s v="_x0000_peopl"/>
  </r>
  <r>
    <x v="6"/>
    <n v="13.6874"/>
    <n v="-89.197100000000006"/>
    <n v="9"/>
    <n v="0"/>
    <n v="0"/>
    <n v="107"/>
    <s v="_x0000_peopl"/>
  </r>
  <r>
    <x v="6"/>
    <n v="13.691700000000001"/>
    <n v="-89.178899999999999"/>
    <n v="6"/>
    <n v="0"/>
    <n v="0"/>
    <n v="107"/>
    <s v="_x0000_peopl"/>
  </r>
  <r>
    <x v="6"/>
    <n v="13.686400000000001"/>
    <n v="-89.215199999999996"/>
    <n v="8"/>
    <n v="0"/>
    <n v="0"/>
    <n v="107"/>
    <s v="_x0000_peopl"/>
  </r>
  <r>
    <x v="6"/>
    <n v="13.6907"/>
    <n v="-89.186400000000006"/>
    <n v="5"/>
    <n v="0"/>
    <n v="0"/>
    <n v="107"/>
    <s v="_x0000_peopl"/>
  </r>
  <r>
    <x v="6"/>
    <n v="13.6913"/>
    <n v="-89.183499999999995"/>
    <n v="2"/>
    <n v="0"/>
    <n v="0"/>
    <n v="107"/>
    <s v="_x0000_peopl"/>
  </r>
  <r>
    <x v="6"/>
    <n v="13.687200000000001"/>
    <n v="-89.197100000000006"/>
    <n v="1"/>
    <n v="0"/>
    <n v="0"/>
    <n v="107"/>
    <s v="_x0000_peopl"/>
  </r>
  <r>
    <x v="6"/>
    <n v="13.692"/>
    <n v="-89.184200000000004"/>
    <n v="5"/>
    <n v="0"/>
    <n v="0"/>
    <n v="107"/>
    <s v="_x0000_peopl"/>
  </r>
  <r>
    <x v="6"/>
    <n v="13.6928"/>
    <n v="-89.224500000000006"/>
    <n v="6"/>
    <n v="0"/>
    <n v="0"/>
    <n v="107"/>
    <s v="_x0000_peopl"/>
  </r>
  <r>
    <x v="6"/>
    <n v="13.696400000000001"/>
    <n v="-89.172600000000003"/>
    <n v="6"/>
    <n v="0"/>
    <n v="0"/>
    <n v="107"/>
    <s v="_x0000_peopl"/>
  </r>
  <r>
    <x v="6"/>
    <n v="13.690899999999999"/>
    <n v="-89.232699999999994"/>
    <n v="10"/>
    <n v="0"/>
    <n v="0"/>
    <n v="107"/>
    <s v="_x0000_peopl"/>
  </r>
  <r>
    <x v="6"/>
    <n v="13.6922"/>
    <n v="-89.194500000000005"/>
    <n v="1"/>
    <n v="0"/>
    <n v="0"/>
    <n v="107"/>
    <s v="_x0000_peopl"/>
  </r>
  <r>
    <x v="6"/>
    <n v="13.6858"/>
    <n v="-89.214699999999993"/>
    <n v="4"/>
    <n v="0"/>
    <n v="0"/>
    <n v="107"/>
    <s v="_x0000_peopl"/>
  </r>
  <r>
    <x v="6"/>
    <n v="13.690799999999999"/>
    <n v="-89.187600000000003"/>
    <n v="2"/>
    <n v="0"/>
    <n v="0"/>
    <n v="107"/>
    <s v="_x0000_peopl"/>
  </r>
  <r>
    <x v="6"/>
    <n v="13.6866"/>
    <n v="-89.201599999999999"/>
    <n v="3"/>
    <n v="0"/>
    <n v="0"/>
    <n v="107"/>
    <s v="_x0000_peopl"/>
  </r>
  <r>
    <x v="6"/>
    <n v="13.689"/>
    <n v="-89.189599999999999"/>
    <n v="1"/>
    <n v="0"/>
    <n v="0"/>
    <n v="107"/>
    <s v="_x0000_peopl"/>
  </r>
  <r>
    <x v="6"/>
    <n v="13.6875"/>
    <n v="-89.194400000000002"/>
    <n v="6"/>
    <n v="0"/>
    <n v="0"/>
    <n v="107"/>
    <s v="_x0000_peopl"/>
  </r>
  <r>
    <x v="6"/>
    <n v="13.675000000000001"/>
    <n v="-89.250799999999998"/>
    <n v="6"/>
    <n v="0"/>
    <n v="0"/>
    <n v="107"/>
    <s v="_x0000_peopl"/>
  </r>
  <r>
    <x v="6"/>
    <n v="13.693199999999999"/>
    <n v="-89.176199999999994"/>
    <n v="4"/>
    <n v="0"/>
    <n v="0"/>
    <n v="107"/>
    <s v="_x0000_peopl"/>
  </r>
  <r>
    <x v="6"/>
    <n v="13.696400000000001"/>
    <n v="-89.171999999999997"/>
    <n v="6"/>
    <n v="0"/>
    <n v="0"/>
    <n v="107"/>
    <s v="_x0000_peopl"/>
  </r>
  <r>
    <x v="6"/>
    <n v="13.6882"/>
    <n v="-89.193799999999996"/>
    <n v="6"/>
    <n v="0"/>
    <n v="0"/>
    <n v="107"/>
    <s v="_x0000_peopl"/>
  </r>
  <r>
    <x v="6"/>
    <n v="13.690899999999999"/>
    <n v="-89.234800000000007"/>
    <n v="4"/>
    <n v="0"/>
    <n v="0"/>
    <n v="107"/>
    <s v="_x0000_peopl"/>
  </r>
  <r>
    <x v="6"/>
    <n v="13.687200000000001"/>
    <n v="-89.180999999999997"/>
    <n v="7"/>
    <n v="0"/>
    <n v="0"/>
    <n v="107"/>
    <s v="_x0000_peopl"/>
  </r>
  <r>
    <x v="6"/>
    <n v="13.6897"/>
    <n v="-89.229500000000002"/>
    <n v="4"/>
    <n v="0"/>
    <n v="0"/>
    <n v="107"/>
    <s v="_x0000_peopl"/>
  </r>
  <r>
    <x v="6"/>
    <n v="13.692500000000001"/>
    <n v="-89.225099999999998"/>
    <n v="1"/>
    <n v="0"/>
    <n v="0"/>
    <n v="107"/>
    <s v="_x0000_peopl"/>
  </r>
  <r>
    <x v="6"/>
    <n v="13.6736"/>
    <n v="-89.251499999999993"/>
    <n v="5"/>
    <n v="0"/>
    <n v="0"/>
    <n v="107"/>
    <s v="_x0000_peopl"/>
  </r>
  <r>
    <x v="6"/>
    <n v="13.694800000000001"/>
    <n v="-89.171899999999994"/>
    <n v="5"/>
    <n v="0"/>
    <n v="0"/>
    <n v="107"/>
    <s v="_x0000_peopl"/>
  </r>
  <r>
    <x v="6"/>
    <n v="13.6898"/>
    <n v="-89.188900000000004"/>
    <n v="4"/>
    <n v="0"/>
    <n v="0"/>
    <n v="107"/>
    <s v="_x0000_peopl"/>
  </r>
  <r>
    <x v="6"/>
    <n v="13.677"/>
    <n v="-89.247299999999996"/>
    <n v="5"/>
    <n v="0"/>
    <n v="0"/>
    <n v="107"/>
    <s v="_x0000_peopl"/>
  </r>
  <r>
    <x v="6"/>
    <n v="13.6877"/>
    <n v="-89.197100000000006"/>
    <n v="4"/>
    <n v="0"/>
    <n v="0"/>
    <n v="107"/>
    <s v="_x0000_peopl"/>
  </r>
  <r>
    <x v="6"/>
    <n v="13.691800000000001"/>
    <n v="-89.186400000000006"/>
    <n v="9"/>
    <n v="0"/>
    <n v="0"/>
    <n v="107"/>
    <s v="_x0000_peopl"/>
  </r>
  <r>
    <x v="6"/>
    <n v="13.686500000000001"/>
    <n v="-89.216099999999997"/>
    <n v="5"/>
    <n v="0"/>
    <n v="0"/>
    <n v="107"/>
    <s v="_x0000_peopl"/>
  </r>
  <r>
    <x v="6"/>
    <n v="13.6896"/>
    <n v="-89.229100000000003"/>
    <n v="10"/>
    <n v="0"/>
    <n v="0"/>
    <n v="107"/>
    <s v="_x0000_peopl"/>
  </r>
  <r>
    <x v="6"/>
    <n v="13.685600000000001"/>
    <n v="-89.2136"/>
    <n v="4"/>
    <n v="0"/>
    <n v="0"/>
    <n v="107"/>
    <s v="_x0000_peopl"/>
  </r>
  <r>
    <x v="6"/>
    <n v="13.690899999999999"/>
    <n v="-89.1952"/>
    <n v="5"/>
    <n v="0"/>
    <n v="0"/>
    <n v="107"/>
    <s v="_x0000_peopl"/>
  </r>
  <r>
    <x v="6"/>
    <n v="13.6858"/>
    <n v="-89.215299999999999"/>
    <n v="3"/>
    <n v="0"/>
    <n v="0"/>
    <n v="107"/>
    <s v="_x0000_peopl"/>
  </r>
  <r>
    <x v="6"/>
    <n v="13.679399999999999"/>
    <n v="-89.196600000000004"/>
    <n v="7"/>
    <n v="0"/>
    <n v="0"/>
    <n v="107"/>
    <s v="_x0000_peopl"/>
  </r>
  <r>
    <x v="6"/>
    <n v="13.691800000000001"/>
    <n v="-89.194299999999998"/>
    <n v="6"/>
    <n v="0"/>
    <n v="0"/>
    <n v="107"/>
    <s v="_x0000_peopl"/>
  </r>
  <r>
    <x v="6"/>
    <n v="13.688499999999999"/>
    <n v="-89.2042"/>
    <n v="7"/>
    <n v="0"/>
    <n v="0"/>
    <n v="107"/>
    <s v="_x0000_peopl"/>
  </r>
  <r>
    <x v="6"/>
    <n v="13.6891"/>
    <n v="-89.236000000000004"/>
    <n v="4"/>
    <n v="0"/>
    <n v="0"/>
    <n v="107"/>
    <s v="_x0000_peopl"/>
  </r>
  <r>
    <x v="6"/>
    <n v="13.686500000000001"/>
    <n v="-89.212000000000003"/>
    <n v="4"/>
    <n v="0"/>
    <n v="0"/>
    <n v="107"/>
    <s v="_x0000_peopl"/>
  </r>
  <r>
    <x v="6"/>
    <n v="13.674799999999999"/>
    <n v="-89.251900000000006"/>
    <n v="8"/>
    <n v="0"/>
    <n v="0"/>
    <n v="107"/>
    <s v="_x0000_peopl"/>
  </r>
  <r>
    <x v="6"/>
    <n v="13.691000000000001"/>
    <n v="-89.179000000000002"/>
    <n v="4"/>
    <n v="0"/>
    <n v="0"/>
    <n v="107"/>
    <s v="_x0000_peopl"/>
  </r>
  <r>
    <x v="6"/>
    <n v="13.694000000000001"/>
    <n v="-89.172899999999998"/>
    <n v="9"/>
    <n v="0"/>
    <n v="0"/>
    <n v="107"/>
    <s v="_x0000_peopl"/>
  </r>
  <r>
    <x v="6"/>
    <n v="13.6869"/>
    <n v="-89.197400000000002"/>
    <n v="8"/>
    <n v="0"/>
    <n v="0"/>
    <n v="107"/>
    <s v="_x0000_peopl"/>
  </r>
  <r>
    <x v="6"/>
    <n v="13.6897"/>
    <n v="-89.229299999999995"/>
    <n v="2"/>
    <n v="0"/>
    <n v="0"/>
    <n v="107"/>
    <s v="_x0000_peopl"/>
  </r>
  <r>
    <x v="6"/>
    <n v="13.6966"/>
    <n v="-89.171400000000006"/>
    <n v="4"/>
    <n v="0"/>
    <n v="0"/>
    <n v="107"/>
    <s v="_x0000_peopl"/>
  </r>
  <r>
    <x v="6"/>
    <n v="13.685700000000001"/>
    <n v="-89.193799999999996"/>
    <n v="1"/>
    <n v="0"/>
    <n v="0"/>
    <n v="107"/>
    <s v="_x0000_peopl"/>
  </r>
  <r>
    <x v="6"/>
    <n v="13.696400000000001"/>
    <n v="-89.171800000000005"/>
    <n v="6"/>
    <n v="0"/>
    <n v="0"/>
    <n v="107"/>
    <s v="_x0000_peopl"/>
  </r>
  <r>
    <x v="6"/>
    <n v="13.6906"/>
    <n v="-89.194599999999994"/>
    <n v="4"/>
    <n v="0"/>
    <n v="0"/>
    <n v="107"/>
    <s v="_x0000_peopl"/>
  </r>
  <r>
    <x v="6"/>
    <n v="13.688499999999999"/>
    <n v="-89.1982"/>
    <n v="10"/>
    <n v="0"/>
    <n v="0"/>
    <n v="107"/>
    <s v="_x0000_peopl"/>
  </r>
  <r>
    <x v="6"/>
    <n v="13.6921"/>
    <n v="-89.179000000000002"/>
    <n v="3"/>
    <n v="0"/>
    <n v="0"/>
    <n v="107"/>
    <s v="_x0000_peopl"/>
  </r>
  <r>
    <x v="6"/>
    <n v="13.6915"/>
    <n v="-89.2209"/>
    <n v="3"/>
    <n v="0"/>
    <n v="0"/>
    <n v="107"/>
    <s v="_x0000_peopl"/>
  </r>
  <r>
    <x v="6"/>
    <n v="13.687099999999999"/>
    <n v="-89.183000000000007"/>
    <n v="3"/>
    <n v="0"/>
    <n v="0"/>
    <n v="107"/>
    <s v="_x0000_peopl"/>
  </r>
  <r>
    <x v="6"/>
    <n v="13.6877"/>
    <n v="-89.191999999999993"/>
    <n v="5"/>
    <n v="0"/>
    <n v="0"/>
    <n v="107"/>
    <s v="_x0000_peopl"/>
  </r>
  <r>
    <x v="6"/>
    <n v="13.690300000000001"/>
    <n v="-89.183999999999997"/>
    <n v="3"/>
    <n v="0"/>
    <n v="0"/>
    <n v="107"/>
    <s v="_x0000_peopl"/>
  </r>
  <r>
    <x v="6"/>
    <n v="13.6875"/>
    <n v="-89.193700000000007"/>
    <n v="7"/>
    <n v="0"/>
    <n v="0"/>
    <n v="107"/>
    <s v="_x0000_peopl"/>
  </r>
  <r>
    <x v="6"/>
    <n v="13.6919"/>
    <n v="-89.186000000000007"/>
    <n v="3"/>
    <n v="0"/>
    <n v="0"/>
    <n v="107"/>
    <s v="_x0000_peopl"/>
  </r>
  <r>
    <x v="6"/>
    <n v="13.691800000000001"/>
    <n v="-89.221400000000003"/>
    <n v="1"/>
    <n v="0"/>
    <n v="0"/>
    <n v="107"/>
    <s v="_x0000_peopl"/>
  </r>
  <r>
    <x v="6"/>
    <n v="13.688800000000001"/>
    <n v="-89.205200000000005"/>
    <n v="7"/>
    <n v="0"/>
    <n v="0"/>
    <n v="107"/>
    <s v="_x0000_peopl"/>
  </r>
  <r>
    <x v="6"/>
    <n v="13.6852"/>
    <n v="-89.2166"/>
    <n v="5"/>
    <n v="0"/>
    <n v="0"/>
    <n v="107"/>
    <s v="_x0000_peopl"/>
  </r>
  <r>
    <x v="6"/>
    <n v="13.691000000000001"/>
    <n v="-89.2346"/>
    <n v="8"/>
    <n v="0"/>
    <n v="0"/>
    <n v="107"/>
    <s v="_x0000_peopl"/>
  </r>
  <r>
    <x v="6"/>
    <n v="13.688700000000001"/>
    <n v="-89.229500000000002"/>
    <n v="4"/>
    <n v="0"/>
    <n v="0"/>
    <n v="107"/>
    <s v="_x0000_peopl"/>
  </r>
  <r>
    <x v="6"/>
    <n v="13.693199999999999"/>
    <n v="-89.189599999999999"/>
    <n v="4"/>
    <n v="0"/>
    <n v="0"/>
    <n v="107"/>
    <s v="_x0000_peopl"/>
  </r>
  <r>
    <x v="6"/>
    <n v="13.6911"/>
    <n v="-89.229200000000006"/>
    <n v="4"/>
    <n v="0"/>
    <n v="0"/>
    <n v="107"/>
    <s v="_x0000_peopl"/>
  </r>
  <r>
    <x v="6"/>
    <n v="13.6873"/>
    <n v="-89.197599999999994"/>
    <n v="4"/>
    <n v="0"/>
    <n v="0"/>
    <n v="107"/>
    <s v="_x0000_peopl"/>
  </r>
  <r>
    <x v="6"/>
    <n v="13.6859"/>
    <n v="-89.203800000000001"/>
    <n v="2"/>
    <n v="0"/>
    <n v="0"/>
    <n v="107"/>
    <s v="_x0000_peopl"/>
  </r>
  <r>
    <x v="6"/>
    <n v="13.689500000000001"/>
    <n v="-89.205200000000005"/>
    <n v="4"/>
    <n v="0"/>
    <n v="0"/>
    <n v="107"/>
    <s v="_x0000_peopl"/>
  </r>
  <r>
    <x v="6"/>
    <n v="13.673500000000001"/>
    <n v="-89.251400000000004"/>
    <n v="6"/>
    <n v="0"/>
    <n v="0"/>
    <n v="107"/>
    <s v="_x0000_peopl"/>
  </r>
  <r>
    <x v="6"/>
    <n v="13.6904"/>
    <n v="-89.236000000000004"/>
    <n v="2"/>
    <n v="0"/>
    <n v="0"/>
    <n v="107"/>
    <s v="_x0000_peopl"/>
  </r>
  <r>
    <x v="6"/>
    <n v="13.6906"/>
    <n v="-89.227599999999995"/>
    <n v="2"/>
    <n v="0"/>
    <n v="0"/>
    <n v="107"/>
    <s v="_x0000_peopl"/>
  </r>
  <r>
    <x v="6"/>
    <n v="13.6913"/>
    <n v="-89.233400000000003"/>
    <n v="4"/>
    <n v="0"/>
    <n v="0"/>
    <n v="107"/>
    <s v="_x0000_peopl"/>
  </r>
  <r>
    <x v="6"/>
    <n v="13.6869"/>
    <n v="-89.191500000000005"/>
    <n v="4"/>
    <n v="0"/>
    <n v="0"/>
    <n v="107"/>
    <s v="_x0000_peopl"/>
  </r>
  <r>
    <x v="6"/>
    <n v="13.687799999999999"/>
    <n v="-89.215599999999995"/>
    <n v="9"/>
    <n v="0"/>
    <n v="0"/>
    <n v="107"/>
    <s v="_x0000_peopl"/>
  </r>
  <r>
    <x v="6"/>
    <n v="13.6869"/>
    <n v="-89.211699999999993"/>
    <n v="8"/>
    <n v="0"/>
    <n v="0"/>
    <n v="107"/>
    <s v="_x0000_peopl"/>
  </r>
  <r>
    <x v="6"/>
    <n v="13.689299999999999"/>
    <n v="-89.205299999999994"/>
    <n v="7"/>
    <n v="0"/>
    <n v="0"/>
    <n v="107"/>
    <s v="_x0000_peopl"/>
  </r>
  <r>
    <x v="6"/>
    <n v="13.6913"/>
    <n v="-89.229100000000003"/>
    <n v="5"/>
    <n v="0"/>
    <n v="0"/>
    <n v="107"/>
    <s v="_x0000_peopl"/>
  </r>
  <r>
    <x v="6"/>
    <n v="13.691800000000001"/>
    <n v="-89.178700000000006"/>
    <n v="6"/>
    <n v="0"/>
    <n v="0"/>
    <n v="107"/>
    <s v="_x0000_peopl"/>
  </r>
  <r>
    <x v="6"/>
    <n v="13.6874"/>
    <n v="-89.197100000000006"/>
    <n v="0"/>
    <n v="0"/>
    <n v="0"/>
    <n v="107"/>
    <s v="_x0000_peopl"/>
  </r>
  <r>
    <x v="6"/>
    <n v="13.6868"/>
    <n v="-89.203999999999994"/>
    <n v="2"/>
    <n v="0"/>
    <n v="0"/>
    <n v="107"/>
    <s v="_x0000_peopl"/>
  </r>
  <r>
    <x v="6"/>
    <n v="13.674899999999999"/>
    <n v="-89.250799999999998"/>
    <n v="4"/>
    <n v="0"/>
    <n v="0"/>
    <n v="107"/>
    <s v="_x0000_peopl"/>
  </r>
  <r>
    <x v="6"/>
    <n v="13.6921"/>
    <n v="-89.2226"/>
    <n v="0"/>
    <n v="0"/>
    <n v="0"/>
    <n v="107"/>
    <s v="_x0000_peopl"/>
  </r>
  <r>
    <x v="6"/>
    <n v="13.674300000000001"/>
    <n v="-89.199100000000001"/>
    <n v="6"/>
    <n v="0"/>
    <n v="0"/>
    <n v="107"/>
    <s v="_x0000_peopl"/>
  </r>
  <r>
    <x v="6"/>
    <n v="13.6866"/>
    <n v="-89.214699999999993"/>
    <n v="3"/>
    <n v="0"/>
    <n v="0"/>
    <n v="107"/>
    <s v="_x0000_peopl"/>
  </r>
  <r>
    <x v="6"/>
    <n v="13.692299999999999"/>
    <n v="-89.183199999999999"/>
    <n v="7"/>
    <n v="0"/>
    <n v="0"/>
    <n v="107"/>
    <s v="_x0000_peopl"/>
  </r>
  <r>
    <x v="6"/>
    <n v="13.6858"/>
    <n v="-89.213399999999993"/>
    <n v="4"/>
    <n v="0"/>
    <n v="0"/>
    <n v="107"/>
    <s v="_x0000_peopl"/>
  </r>
  <r>
    <x v="6"/>
    <n v="13.684100000000001"/>
    <n v="-89.213200000000001"/>
    <n v="6"/>
    <n v="0"/>
    <n v="0"/>
    <n v="107"/>
    <s v="_x0000_peopl"/>
  </r>
  <r>
    <x v="6"/>
    <n v="13.687099999999999"/>
    <n v="-89.197100000000006"/>
    <n v="6"/>
    <n v="0"/>
    <n v="0"/>
    <n v="107"/>
    <s v="_x0000_peopl"/>
  </r>
  <r>
    <x v="6"/>
    <n v="13.6912"/>
    <n v="-89.228499999999997"/>
    <n v="5"/>
    <n v="0"/>
    <n v="0"/>
    <n v="107"/>
    <s v="_x0000_peopl"/>
  </r>
  <r>
    <x v="6"/>
    <n v="13.6876"/>
    <n v="-89.180300000000003"/>
    <n v="8"/>
    <n v="0"/>
    <n v="0"/>
    <n v="107"/>
    <s v="_x0000_peopl"/>
  </r>
  <r>
    <x v="6"/>
    <n v="13.692"/>
    <n v="-89.224100000000007"/>
    <n v="3"/>
    <n v="0"/>
    <n v="0"/>
    <n v="107"/>
    <s v="_x0000_peopl"/>
  </r>
  <r>
    <x v="6"/>
    <n v="13.679600000000001"/>
    <n v="-89.197400000000002"/>
    <n v="4"/>
    <n v="0"/>
    <n v="0"/>
    <n v="107"/>
    <s v="_x0000_peopl"/>
  </r>
  <r>
    <x v="6"/>
    <n v="13.696899999999999"/>
    <n v="-89.171999999999997"/>
    <n v="11"/>
    <n v="0"/>
    <n v="0"/>
    <n v="107"/>
    <s v="_x0000_peopl"/>
  </r>
  <r>
    <x v="6"/>
    <n v="13.6876"/>
    <n v="-89.1935"/>
    <n v="1"/>
    <n v="0"/>
    <n v="0"/>
    <n v="107"/>
    <s v="_x0000_peopl"/>
  </r>
  <r>
    <x v="6"/>
    <n v="13.6914"/>
    <n v="-89.2333"/>
    <n v="4"/>
    <n v="0"/>
    <n v="0"/>
    <n v="107"/>
    <s v="_x0000_peopl"/>
  </r>
  <r>
    <x v="6"/>
    <n v="13.6874"/>
    <n v="-89.1982"/>
    <n v="5"/>
    <n v="0"/>
    <n v="0"/>
    <n v="107"/>
    <s v="_x0000_peopl"/>
  </r>
  <r>
    <x v="6"/>
    <n v="13.679500000000001"/>
    <n v="-89.197299999999998"/>
    <n v="5"/>
    <n v="0"/>
    <n v="0"/>
    <n v="107"/>
    <s v="_x0000_peopl"/>
  </r>
  <r>
    <x v="6"/>
    <n v="13.684100000000001"/>
    <n v="-89.212800000000001"/>
    <n v="4"/>
    <n v="0"/>
    <n v="0"/>
    <n v="107"/>
    <s v="_x0000_peopl"/>
  </r>
  <r>
    <x v="6"/>
    <n v="13.690899999999999"/>
    <n v="-89.183899999999994"/>
    <n v="4"/>
    <n v="0"/>
    <n v="0"/>
    <n v="107"/>
    <s v="_x0000_peopl"/>
  </r>
  <r>
    <x v="6"/>
    <n v="13.6892"/>
    <n v="-89.206599999999995"/>
    <n v="7"/>
    <n v="0"/>
    <n v="0"/>
    <n v="107"/>
    <s v="_x0000_peopl"/>
  </r>
  <r>
    <x v="6"/>
    <n v="13.6854"/>
    <n v="-89.202600000000004"/>
    <n v="3"/>
    <n v="0"/>
    <n v="0"/>
    <n v="107"/>
    <s v="_x0000_peopl"/>
  </r>
  <r>
    <x v="6"/>
    <n v="13.6867"/>
    <n v="-89.194500000000005"/>
    <n v="3"/>
    <n v="0"/>
    <n v="0"/>
    <n v="107"/>
    <s v="_x0000_peopl"/>
  </r>
  <r>
    <x v="6"/>
    <n v="13.6952"/>
    <n v="-89.174800000000005"/>
    <n v="6"/>
    <n v="0"/>
    <n v="0"/>
    <n v="107"/>
    <s v="_x0000_peopl"/>
  </r>
  <r>
    <x v="6"/>
    <n v="13.688499999999999"/>
    <n v="-89.190600000000003"/>
    <n v="9"/>
    <n v="0"/>
    <n v="0"/>
    <n v="107"/>
    <s v="_x0000_peopl"/>
  </r>
  <r>
    <x v="6"/>
    <n v="13.6899"/>
    <n v="-89.190299999999993"/>
    <n v="3"/>
    <n v="0"/>
    <n v="0"/>
    <n v="107"/>
    <s v="_x0000_peopl"/>
  </r>
  <r>
    <x v="6"/>
    <n v="13.685600000000001"/>
    <n v="-89.211399999999998"/>
    <n v="4"/>
    <n v="0"/>
    <n v="0"/>
    <n v="107"/>
    <s v="_x0000_peopl"/>
  </r>
  <r>
    <x v="6"/>
    <n v="13.6775"/>
    <n v="-89.247100000000003"/>
    <n v="3"/>
    <n v="0"/>
    <n v="0"/>
    <n v="107"/>
    <s v="_x0000_peopl"/>
  </r>
  <r>
    <x v="6"/>
    <n v="13.690099999999999"/>
    <n v="-89.193700000000007"/>
    <n v="8"/>
    <n v="0"/>
    <n v="0"/>
    <n v="107"/>
    <s v="_x0000_peopl"/>
  </r>
  <r>
    <x v="6"/>
    <n v="13.6927"/>
    <n v="-89.184600000000003"/>
    <n v="4"/>
    <n v="0"/>
    <n v="0"/>
    <n v="107"/>
    <s v="_x0000_peopl"/>
  </r>
  <r>
    <x v="6"/>
    <n v="13.691700000000001"/>
    <n v="-89.225300000000004"/>
    <n v="1"/>
    <n v="0"/>
    <n v="0"/>
    <n v="107"/>
    <s v="_x0000_peopl"/>
  </r>
  <r>
    <x v="6"/>
    <n v="13.690799999999999"/>
    <n v="-89.234899999999996"/>
    <n v="8"/>
    <n v="0"/>
    <n v="0"/>
    <n v="107"/>
    <s v="_x0000_peopl"/>
  </r>
  <r>
    <x v="6"/>
    <n v="13.690899999999999"/>
    <n v="-89.183300000000003"/>
    <n v="8"/>
    <n v="0"/>
    <n v="0"/>
    <n v="107"/>
    <s v="_x0000_peopl"/>
  </r>
  <r>
    <x v="6"/>
    <n v="13.6881"/>
    <n v="-89.193799999999996"/>
    <n v="6"/>
    <n v="0"/>
    <n v="0"/>
    <n v="107"/>
    <s v="_x0000_peopl"/>
  </r>
  <r>
    <x v="6"/>
    <n v="13.684799999999999"/>
    <n v="-89.217399999999998"/>
    <n v="6"/>
    <n v="0"/>
    <n v="0"/>
    <n v="107"/>
    <s v="_x0000_peopl"/>
  </r>
  <r>
    <x v="6"/>
    <n v="13.693199999999999"/>
    <n v="-89.177700000000002"/>
    <n v="5"/>
    <n v="0"/>
    <n v="0"/>
    <n v="107"/>
    <s v="_x0000_peopl"/>
  </r>
  <r>
    <x v="6"/>
    <n v="13.6899"/>
    <n v="-89.235500000000002"/>
    <n v="6"/>
    <n v="0"/>
    <n v="0"/>
    <n v="107"/>
    <s v="_x0000_peopl"/>
  </r>
  <r>
    <x v="6"/>
    <n v="13.6919"/>
    <n v="-89.196100000000001"/>
    <n v="1"/>
    <n v="0"/>
    <n v="0"/>
    <n v="107"/>
    <s v="_x0000_peopl"/>
  </r>
  <r>
    <x v="6"/>
    <n v="13.691000000000001"/>
    <n v="-89.190399999999997"/>
    <n v="5"/>
    <n v="0"/>
    <n v="0"/>
    <n v="107"/>
    <s v="_x0000_peopl"/>
  </r>
  <r>
    <x v="6"/>
    <n v="13.6798"/>
    <n v="-89.194400000000002"/>
    <n v="4"/>
    <n v="0"/>
    <n v="0"/>
    <n v="107"/>
    <s v="_x0000_peopl"/>
  </r>
  <r>
    <x v="6"/>
    <n v="13.685600000000001"/>
    <n v="-89.213800000000006"/>
    <n v="4"/>
    <n v="0"/>
    <n v="0"/>
    <n v="107"/>
    <s v="_x0000_peopl"/>
  </r>
  <r>
    <x v="6"/>
    <n v="13.6905"/>
    <n v="-89.178899999999999"/>
    <n v="5"/>
    <n v="0"/>
    <n v="0"/>
    <n v="107"/>
    <s v="_x0000_peopl"/>
  </r>
  <r>
    <x v="6"/>
    <n v="13.6812"/>
    <n v="-89.195499999999996"/>
    <n v="5"/>
    <n v="0"/>
    <n v="0"/>
    <n v="107"/>
    <s v="_x0000_peopl"/>
  </r>
  <r>
    <x v="6"/>
    <n v="13.689299999999999"/>
    <n v="-89.197100000000006"/>
    <n v="3"/>
    <n v="0"/>
    <n v="0"/>
    <n v="107"/>
    <s v="_x0000_peopl"/>
  </r>
  <r>
    <x v="6"/>
    <n v="13.6922"/>
    <n v="-89.225099999999998"/>
    <n v="7"/>
    <n v="0"/>
    <n v="0"/>
    <n v="107"/>
    <s v="_x0000_peopl"/>
  </r>
  <r>
    <x v="6"/>
    <n v="13.6907"/>
    <n v="-89.185199999999995"/>
    <n v="3"/>
    <n v="0"/>
    <n v="0"/>
    <n v="107"/>
    <s v="_x0000_peopl"/>
  </r>
  <r>
    <x v="6"/>
    <n v="13.6912"/>
    <n v="-89.234999999999999"/>
    <n v="8"/>
    <n v="0"/>
    <n v="0"/>
    <n v="107"/>
    <s v="_x0000_peopl"/>
  </r>
  <r>
    <x v="6"/>
    <n v="13.6935"/>
    <n v="-89.176299999999998"/>
    <n v="7"/>
    <n v="0"/>
    <n v="0"/>
    <n v="107"/>
    <s v="_x0000_peopl"/>
  </r>
  <r>
    <x v="6"/>
    <n v="13.6913"/>
    <n v="-89.188100000000006"/>
    <n v="6"/>
    <n v="0"/>
    <n v="0"/>
    <n v="107"/>
    <s v="_x0000_peopl"/>
  </r>
  <r>
    <x v="6"/>
    <n v="13.6731"/>
    <n v="-89.203900000000004"/>
    <n v="4"/>
    <n v="0"/>
    <n v="0"/>
    <n v="107"/>
    <s v="_x0000_peopl"/>
  </r>
  <r>
    <x v="6"/>
    <n v="13.6861"/>
    <n v="-89.198499999999996"/>
    <n v="11"/>
    <n v="0"/>
    <n v="0"/>
    <n v="107"/>
    <s v="_x0000_peopl"/>
  </r>
  <r>
    <x v="6"/>
    <n v="13.6944"/>
    <n v="-89.183099999999996"/>
    <n v="10"/>
    <n v="0"/>
    <n v="0"/>
    <n v="107"/>
    <s v="_x0000_peopl"/>
  </r>
  <r>
    <x v="6"/>
    <n v="13.691599999999999"/>
    <n v="-89.1935"/>
    <n v="8"/>
    <n v="0"/>
    <n v="0"/>
    <n v="107"/>
    <s v="_x0000_peopl"/>
  </r>
  <r>
    <x v="6"/>
    <n v="13.6959"/>
    <n v="-89.172799999999995"/>
    <n v="3"/>
    <n v="0"/>
    <n v="0"/>
    <n v="107"/>
    <s v="_x0000_peopl"/>
  </r>
  <r>
    <x v="6"/>
    <n v="13.6873"/>
    <n v="-89.197100000000006"/>
    <n v="6"/>
    <n v="0"/>
    <n v="0"/>
    <n v="107"/>
    <s v="_x0000_peopl"/>
  </r>
  <r>
    <x v="6"/>
    <n v="13.690300000000001"/>
    <n v="-89.181200000000004"/>
    <n v="5"/>
    <n v="0"/>
    <n v="0"/>
    <n v="107"/>
    <s v="_x0000_peopl"/>
  </r>
  <r>
    <x v="6"/>
    <n v="13.6845"/>
    <n v="-89.215299999999999"/>
    <n v="6"/>
    <n v="0"/>
    <n v="0"/>
    <n v="107"/>
    <s v="_x0000_peopl"/>
  </r>
  <r>
    <x v="6"/>
    <n v="13.6873"/>
    <n v="-89.191299999999998"/>
    <n v="5"/>
    <n v="0"/>
    <n v="0"/>
    <n v="107"/>
    <s v="_x0000_peopl"/>
  </r>
  <r>
    <x v="6"/>
    <n v="13.6881"/>
    <n v="-89.217100000000002"/>
    <n v="6"/>
    <n v="0"/>
    <n v="0"/>
    <n v="107"/>
    <s v="_x0000_peopl"/>
  </r>
  <r>
    <x v="6"/>
    <n v="13.690300000000001"/>
    <n v="-89.186400000000006"/>
    <n v="6"/>
    <n v="0"/>
    <n v="0"/>
    <n v="107"/>
    <s v="_x0000_peopl"/>
  </r>
  <r>
    <x v="6"/>
    <n v="13.686500000000001"/>
    <n v="-89.190799999999996"/>
    <n v="5"/>
    <n v="0"/>
    <n v="0"/>
    <n v="107"/>
    <s v="_x0000_peopl"/>
  </r>
  <r>
    <x v="6"/>
    <n v="13.6867"/>
    <n v="-89.201899999999995"/>
    <n v="5"/>
    <n v="0"/>
    <n v="0"/>
    <n v="107"/>
    <s v="_x0000_peopl"/>
  </r>
  <r>
    <x v="6"/>
    <n v="13.6922"/>
    <n v="-89.221599999999995"/>
    <n v="3"/>
    <n v="0"/>
    <n v="0"/>
    <n v="107"/>
    <s v="_x0000_peopl"/>
  </r>
  <r>
    <x v="6"/>
    <n v="13.689299999999999"/>
    <n v="-89.207800000000006"/>
    <n v="4"/>
    <n v="0"/>
    <n v="0"/>
    <n v="107"/>
    <s v="_x0000_peopl"/>
  </r>
  <r>
    <x v="6"/>
    <n v="13.6936"/>
    <n v="-89.177000000000007"/>
    <n v="2"/>
    <n v="0"/>
    <n v="0"/>
    <n v="107"/>
    <s v="_x0000_peopl"/>
  </r>
  <r>
    <x v="6"/>
    <n v="13.6846"/>
    <n v="-89.211600000000004"/>
    <n v="4"/>
    <n v="0"/>
    <n v="0"/>
    <n v="107"/>
    <s v="_x0000_peopl"/>
  </r>
  <r>
    <x v="6"/>
    <n v="13.6907"/>
    <n v="-89.233699999999999"/>
    <n v="11"/>
    <n v="0"/>
    <n v="0"/>
    <n v="107"/>
    <s v="_x0000_peopl"/>
  </r>
  <r>
    <x v="6"/>
    <n v="13.673299999999999"/>
    <n v="-89.204599999999999"/>
    <n v="2"/>
    <n v="0"/>
    <n v="0"/>
    <n v="107"/>
    <s v="_x0000_peopl"/>
  </r>
  <r>
    <x v="6"/>
    <n v="13.6951"/>
    <n v="-89.174099999999996"/>
    <n v="3"/>
    <n v="0"/>
    <n v="0"/>
    <n v="107"/>
    <s v="_x0000_peopl"/>
  </r>
  <r>
    <x v="6"/>
    <n v="13.677"/>
    <n v="-89.198999999999998"/>
    <n v="5"/>
    <n v="0"/>
    <n v="0"/>
    <n v="107"/>
    <s v="_x0000_peopl"/>
  </r>
  <r>
    <x v="6"/>
    <n v="13.690300000000001"/>
    <n v="-89.217399999999998"/>
    <n v="5"/>
    <n v="0"/>
    <n v="0"/>
    <n v="107"/>
    <s v="_x0000_peopl"/>
  </r>
  <r>
    <x v="6"/>
    <n v="13.6953"/>
    <n v="-89.171899999999994"/>
    <n v="4"/>
    <n v="0"/>
    <n v="0"/>
    <n v="107"/>
    <s v="_x0000_peopl"/>
  </r>
  <r>
    <x v="6"/>
    <n v="13.674799999999999"/>
    <n v="-89.199600000000004"/>
    <n v="6"/>
    <n v="0"/>
    <n v="0"/>
    <n v="107"/>
    <s v="_x0000_peopl"/>
  </r>
  <r>
    <x v="6"/>
    <n v="13.679600000000001"/>
    <n v="-89.194299999999998"/>
    <n v="3"/>
    <n v="0"/>
    <n v="0"/>
    <n v="107"/>
    <s v="_x0000_peopl"/>
  </r>
  <r>
    <x v="6"/>
    <n v="13.694599999999999"/>
    <n v="-89.174099999999996"/>
    <n v="3"/>
    <n v="0"/>
    <n v="0"/>
    <n v="107"/>
    <s v="_x0000_peopl"/>
  </r>
  <r>
    <x v="6"/>
    <n v="13.696"/>
    <n v="-89.172600000000003"/>
    <n v="9"/>
    <n v="0"/>
    <n v="0"/>
    <n v="107"/>
    <s v="_x0000_peopl"/>
  </r>
  <r>
    <x v="6"/>
    <n v="13.691700000000001"/>
    <n v="-89.232699999999994"/>
    <n v="8"/>
    <n v="0"/>
    <n v="0"/>
    <n v="107"/>
    <s v="_x0000_peopl"/>
  </r>
  <r>
    <x v="6"/>
    <n v="13.6915"/>
    <n v="-89.233099999999993"/>
    <n v="6"/>
    <n v="0"/>
    <n v="0"/>
    <n v="107"/>
    <s v="_x0000_peopl"/>
  </r>
  <r>
    <x v="6"/>
    <n v="13.6906"/>
    <n v="-89.183400000000006"/>
    <n v="7"/>
    <n v="0"/>
    <n v="0"/>
    <n v="107"/>
    <s v="_x0000_peopl"/>
  </r>
  <r>
    <x v="6"/>
    <n v="13.6915"/>
    <n v="-89.234499999999997"/>
    <n v="1"/>
    <n v="0"/>
    <n v="0"/>
    <n v="107"/>
    <s v="_x0000_peopl"/>
  </r>
  <r>
    <x v="6"/>
    <n v="13.6899"/>
    <n v="-89.180099999999996"/>
    <n v="1"/>
    <n v="0"/>
    <n v="0"/>
    <n v="107"/>
    <s v="_x0000_peopl"/>
  </r>
  <r>
    <x v="6"/>
    <n v="13.6915"/>
    <n v="-89.226799999999997"/>
    <n v="0"/>
    <n v="0"/>
    <n v="0"/>
    <n v="107"/>
    <s v="_x0000_peopl"/>
  </r>
  <r>
    <x v="6"/>
    <n v="13.6957"/>
    <n v="-89.166200000000003"/>
    <n v="6"/>
    <n v="0"/>
    <n v="0"/>
    <n v="107"/>
    <s v="_x0000_peopl"/>
  </r>
  <r>
    <x v="6"/>
    <n v="13.695399999999999"/>
    <n v="-89.171899999999994"/>
    <n v="8"/>
    <n v="0"/>
    <n v="0"/>
    <n v="107"/>
    <s v="_x0000_peopl"/>
  </r>
  <r>
    <x v="6"/>
    <n v="13.6912"/>
    <n v="-89.232900000000001"/>
    <n v="4"/>
    <n v="0"/>
    <n v="0"/>
    <n v="107"/>
    <s v="_x0000_peopl"/>
  </r>
  <r>
    <x v="6"/>
    <n v="13.6851"/>
    <n v="-89.212800000000001"/>
    <n v="5"/>
    <n v="0"/>
    <n v="0"/>
    <n v="107"/>
    <s v="_x0000_peopl"/>
  </r>
  <r>
    <x v="6"/>
    <n v="13.692500000000001"/>
    <n v="-89.175799999999995"/>
    <n v="6"/>
    <n v="0"/>
    <n v="0"/>
    <n v="107"/>
    <s v="_x0000_peopl"/>
  </r>
  <r>
    <x v="6"/>
    <n v="13.693"/>
    <n v="-89.173900000000003"/>
    <n v="5"/>
    <n v="0"/>
    <n v="0"/>
    <n v="107"/>
    <s v="_x0000_peopl"/>
  </r>
  <r>
    <x v="6"/>
    <n v="13.696300000000001"/>
    <n v="-89.171700000000001"/>
    <n v="3"/>
    <n v="0"/>
    <n v="0"/>
    <n v="107"/>
    <s v="_x0000_peopl"/>
  </r>
  <r>
    <x v="6"/>
    <n v="13.689299999999999"/>
    <n v="-89.180800000000005"/>
    <n v="6"/>
    <n v="0"/>
    <n v="0"/>
    <n v="107"/>
    <s v="_x0000_peopl"/>
  </r>
  <r>
    <x v="6"/>
    <n v="13.688000000000001"/>
    <n v="-89.193799999999996"/>
    <n v="3"/>
    <n v="0"/>
    <n v="0"/>
    <n v="107"/>
    <s v="_x0000_peopl"/>
  </r>
  <r>
    <x v="6"/>
    <n v="13.689"/>
    <n v="-89.190399999999997"/>
    <n v="5"/>
    <n v="0"/>
    <n v="0"/>
    <n v="107"/>
    <s v="_x0000_peopl"/>
  </r>
  <r>
    <x v="6"/>
    <n v="13.691599999999999"/>
    <n v="-89.220399999999998"/>
    <n v="5"/>
    <n v="0"/>
    <n v="0"/>
    <n v="107"/>
    <s v="_x0000_peopl"/>
  </r>
  <r>
    <x v="6"/>
    <n v="13.678800000000001"/>
    <n v="-89.196299999999994"/>
    <n v="4"/>
    <n v="0"/>
    <n v="0"/>
    <n v="107"/>
    <s v="_x0000_peopl"/>
  </r>
  <r>
    <x v="6"/>
    <n v="13.686999999999999"/>
    <n v="-89.197400000000002"/>
    <n v="4"/>
    <n v="0"/>
    <n v="0"/>
    <n v="107"/>
    <s v="_x0000_peopl"/>
  </r>
  <r>
    <x v="6"/>
    <n v="13.6751"/>
    <n v="-89.200199999999995"/>
    <n v="0"/>
    <n v="0"/>
    <n v="0"/>
    <n v="107"/>
    <s v="_x0000_peopl"/>
  </r>
  <r>
    <x v="6"/>
    <n v="13.6853"/>
    <n v="-89.217100000000002"/>
    <n v="8"/>
    <n v="0"/>
    <n v="0"/>
    <n v="107"/>
    <s v="_x0000_peopl"/>
  </r>
  <r>
    <x v="6"/>
    <n v="13.697100000000001"/>
    <n v="-89.171899999999994"/>
    <n v="6"/>
    <n v="0"/>
    <n v="0"/>
    <n v="107"/>
    <s v="_x0000_peopl"/>
  </r>
  <r>
    <x v="6"/>
    <n v="13.690099999999999"/>
    <n v="-89.235399999999998"/>
    <n v="3"/>
    <n v="0"/>
    <n v="0"/>
    <n v="107"/>
    <s v="_x0000_peopl"/>
  </r>
  <r>
    <x v="6"/>
    <n v="13.695399999999999"/>
    <n v="-89.174199999999999"/>
    <n v="6"/>
    <n v="0"/>
    <n v="0"/>
    <n v="107"/>
    <s v="_x0000_peopl"/>
  </r>
  <r>
    <x v="6"/>
    <n v="13.692299999999999"/>
    <n v="-89.223699999999994"/>
    <n v="4"/>
    <n v="0"/>
    <n v="0"/>
    <n v="107"/>
    <s v="_x0000_peopl"/>
  </r>
  <r>
    <x v="6"/>
    <n v="13.6911"/>
    <n v="-89.232500000000002"/>
    <n v="2"/>
    <n v="0"/>
    <n v="0"/>
    <n v="107"/>
    <s v="_x0000_peopl"/>
  </r>
  <r>
    <x v="6"/>
    <n v="13.692"/>
    <n v="-89.193899999999999"/>
    <n v="3"/>
    <n v="0"/>
    <n v="0"/>
    <n v="107"/>
    <s v="_x0000_peopl"/>
  </r>
  <r>
    <x v="6"/>
    <n v="13.692399999999999"/>
    <n v="-89.224000000000004"/>
    <n v="6"/>
    <n v="0"/>
    <n v="0"/>
    <n v="107"/>
    <s v="_x0000_peopl"/>
  </r>
  <r>
    <x v="6"/>
    <n v="13.6927"/>
    <n v="-89.184600000000003"/>
    <n v="4"/>
    <n v="0"/>
    <n v="0"/>
    <n v="107"/>
    <s v="_x0000_peopl"/>
  </r>
  <r>
    <x v="6"/>
    <n v="13.690899999999999"/>
    <n v="-89.178899999999999"/>
    <n v="4"/>
    <n v="0"/>
    <n v="0"/>
    <n v="107"/>
    <s v="_x0000_peopl"/>
  </r>
  <r>
    <x v="6"/>
    <n v="13.6883"/>
    <n v="-89.216899999999995"/>
    <n v="6"/>
    <n v="0"/>
    <n v="0"/>
    <n v="107"/>
    <s v="_x0000_peopl"/>
  </r>
  <r>
    <x v="6"/>
    <n v="13.688800000000001"/>
    <n v="-89.190299999999993"/>
    <n v="6"/>
    <n v="0"/>
    <n v="0"/>
    <n v="107"/>
    <s v="_x0000_peopl"/>
  </r>
  <r>
    <x v="6"/>
    <n v="13.684699999999999"/>
    <n v="-89.216700000000003"/>
    <n v="6"/>
    <n v="0"/>
    <n v="0"/>
    <n v="107"/>
    <s v="_x0000_peopl"/>
  </r>
  <r>
    <x v="6"/>
    <n v="13.6874"/>
    <n v="-89.194400000000002"/>
    <n v="6"/>
    <n v="0"/>
    <n v="0"/>
    <n v="107"/>
    <s v="_x0000_peopl"/>
  </r>
  <r>
    <x v="6"/>
    <n v="13.6752"/>
    <n v="-89.200100000000006"/>
    <n v="8"/>
    <n v="0"/>
    <n v="0"/>
    <n v="107"/>
    <s v="_x0000_peopl"/>
  </r>
  <r>
    <x v="6"/>
    <n v="13.6876"/>
    <n v="-89.195400000000006"/>
    <n v="3"/>
    <n v="0"/>
    <n v="0"/>
    <n v="107"/>
    <s v="_x0000_peopl"/>
  </r>
  <r>
    <x v="6"/>
    <n v="13.6911"/>
    <n v="-89.233999999999995"/>
    <n v="2"/>
    <n v="0"/>
    <n v="0"/>
    <n v="107"/>
    <s v="_x0000_peopl"/>
  </r>
  <r>
    <x v="6"/>
    <n v="13.6914"/>
    <n v="-89.226299999999995"/>
    <n v="7"/>
    <n v="0"/>
    <n v="0"/>
    <n v="107"/>
    <s v="_x0000_peopl"/>
  </r>
  <r>
    <x v="6"/>
    <n v="13.6915"/>
    <n v="-89.234200000000001"/>
    <n v="6"/>
    <n v="0"/>
    <n v="0"/>
    <n v="107"/>
    <s v="_x0000_peopl"/>
  </r>
  <r>
    <x v="6"/>
    <n v="13.6892"/>
    <n v="-89.207400000000007"/>
    <n v="6"/>
    <n v="0"/>
    <n v="0"/>
    <n v="107"/>
    <s v="_x0000_peopl"/>
  </r>
  <r>
    <x v="6"/>
    <n v="13.685499999999999"/>
    <n v="-89.213800000000006"/>
    <n v="2"/>
    <n v="0"/>
    <n v="0"/>
    <n v="107"/>
    <s v="_x0000_peopl"/>
  </r>
  <r>
    <x v="6"/>
    <n v="13.693"/>
    <n v="-89.183000000000007"/>
    <n v="4"/>
    <n v="0"/>
    <n v="0"/>
    <n v="107"/>
    <s v="_x0000_peopl"/>
  </r>
  <r>
    <x v="6"/>
    <n v="13.6868"/>
    <n v="-89.201899999999995"/>
    <n v="5"/>
    <n v="0"/>
    <n v="0"/>
    <n v="107"/>
    <s v="_x0000_peopl"/>
  </r>
  <r>
    <x v="6"/>
    <n v="13.6952"/>
    <n v="-89.1721"/>
    <n v="7"/>
    <n v="0"/>
    <n v="0"/>
    <n v="107"/>
    <s v="_x0000_peopl"/>
  </r>
  <r>
    <x v="6"/>
    <n v="13.6913"/>
    <n v="-89.186899999999994"/>
    <n v="7"/>
    <n v="0"/>
    <n v="0"/>
    <n v="107"/>
    <s v="_x0000_peopl"/>
  </r>
  <r>
    <x v="6"/>
    <n v="13.696099999999999"/>
    <n v="-89.172300000000007"/>
    <n v="2"/>
    <n v="0"/>
    <n v="0"/>
    <n v="107"/>
    <s v="_x0000_peopl"/>
  </r>
  <r>
    <x v="6"/>
    <n v="13.6915"/>
    <n v="-89.226600000000005"/>
    <n v="1"/>
    <n v="0"/>
    <n v="0"/>
    <n v="107"/>
    <s v="_x0000_peopl"/>
  </r>
  <r>
    <x v="6"/>
    <n v="13.689500000000001"/>
    <n v="-89.205200000000005"/>
    <n v="5"/>
    <n v="0"/>
    <n v="0"/>
    <n v="107"/>
    <s v="_x0000_peopl"/>
  </r>
  <r>
    <x v="6"/>
    <n v="13.687200000000001"/>
    <n v="-89.214699999999993"/>
    <n v="6"/>
    <n v="0"/>
    <n v="0"/>
    <n v="107"/>
    <s v="_x0000_peopl"/>
  </r>
  <r>
    <x v="6"/>
    <n v="13.6874"/>
    <n v="-89.197299999999998"/>
    <n v="5"/>
    <n v="0"/>
    <n v="0"/>
    <n v="107"/>
    <s v="_x0000_peopl"/>
  </r>
  <r>
    <x v="6"/>
    <n v="13.695"/>
    <n v="-89.172700000000006"/>
    <n v="10"/>
    <n v="0"/>
    <n v="0"/>
    <n v="107"/>
    <s v="_x0000_peopl"/>
  </r>
  <r>
    <x v="6"/>
    <n v="13.690300000000001"/>
    <n v="-89.217399999999998"/>
    <n v="6"/>
    <n v="0"/>
    <n v="0"/>
    <n v="107"/>
    <s v="_x0000_peopl"/>
  </r>
  <r>
    <x v="6"/>
    <n v="13.679600000000001"/>
    <n v="-89.194299999999998"/>
    <n v="7"/>
    <n v="0"/>
    <n v="0"/>
    <n v="107"/>
    <s v="_x0000_peopl"/>
  </r>
  <r>
    <x v="6"/>
    <n v="13.6882"/>
    <n v="-89.190100000000001"/>
    <n v="3"/>
    <n v="0"/>
    <n v="0"/>
    <n v="107"/>
    <s v="_x0000_peopl"/>
  </r>
  <r>
    <x v="6"/>
    <n v="13.696400000000001"/>
    <n v="-89.172200000000004"/>
    <n v="4"/>
    <n v="0"/>
    <n v="0"/>
    <n v="107"/>
    <s v="_x0000_peopl"/>
  </r>
  <r>
    <x v="6"/>
    <n v="13.6853"/>
    <n v="-89.194100000000006"/>
    <n v="4"/>
    <n v="0"/>
    <n v="0"/>
    <n v="107"/>
    <s v="_x0000_peopl"/>
  </r>
  <r>
    <x v="6"/>
    <n v="13.6792"/>
    <n v="-89.196799999999996"/>
    <n v="4"/>
    <n v="0"/>
    <n v="0"/>
    <n v="107"/>
    <s v="_x0000_peopl"/>
  </r>
  <r>
    <x v="6"/>
    <n v="13.6875"/>
    <n v="-89.181299999999993"/>
    <n v="8"/>
    <n v="0"/>
    <n v="0"/>
    <n v="107"/>
    <s v="_x0000_peopl"/>
  </r>
  <r>
    <x v="6"/>
    <n v="13.6746"/>
    <n v="-89.251900000000006"/>
    <n v="4"/>
    <n v="0"/>
    <n v="0"/>
    <n v="107"/>
    <s v="_x0000_peopl"/>
  </r>
  <r>
    <x v="6"/>
    <n v="13.688000000000001"/>
    <n v="-89.180999999999997"/>
    <n v="6"/>
    <n v="0"/>
    <n v="0"/>
    <n v="107"/>
    <s v="_x0000_peopl"/>
  </r>
  <r>
    <x v="6"/>
    <n v="13.684200000000001"/>
    <n v="-89.217500000000001"/>
    <n v="3"/>
    <n v="0"/>
    <n v="0"/>
    <n v="107"/>
    <s v="_x0000_peopl"/>
  </r>
  <r>
    <x v="6"/>
    <n v="13.691800000000001"/>
    <n v="-89.186000000000007"/>
    <n v="5"/>
    <n v="0"/>
    <n v="0"/>
    <n v="107"/>
    <s v="_x0000_peopl"/>
  </r>
  <r>
    <x v="6"/>
    <n v="13.6873"/>
    <n v="-89.1982"/>
    <n v="8"/>
    <n v="0"/>
    <n v="0"/>
    <n v="107"/>
    <s v="_x0000_peopl"/>
  </r>
  <r>
    <x v="6"/>
    <n v="13.690899999999999"/>
    <n v="-89.188400000000001"/>
    <n v="3"/>
    <n v="0"/>
    <n v="0"/>
    <n v="107"/>
    <s v="_x0000_peopl"/>
  </r>
  <r>
    <x v="6"/>
    <n v="13.69"/>
    <n v="-89.188500000000005"/>
    <n v="3"/>
    <n v="0"/>
    <n v="0"/>
    <n v="107"/>
    <s v="_x0000_peopl"/>
  </r>
  <r>
    <x v="6"/>
    <n v="13.689"/>
    <n v="-89.183800000000005"/>
    <n v="5"/>
    <n v="0"/>
    <n v="0"/>
    <n v="107"/>
    <s v="_x0000_peopl"/>
  </r>
  <r>
    <x v="6"/>
    <n v="13.6906"/>
    <n v="-89.234399999999994"/>
    <n v="5"/>
    <n v="0"/>
    <n v="0"/>
    <n v="107"/>
    <s v="_x0000_peopl"/>
  </r>
  <r>
    <x v="6"/>
    <n v="13.6767"/>
    <n v="-89.199200000000005"/>
    <n v="10"/>
    <n v="0"/>
    <n v="0"/>
    <n v="107"/>
    <s v="_x0000_peopl"/>
  </r>
  <r>
    <x v="6"/>
    <n v="13.691700000000001"/>
    <n v="-89.186000000000007"/>
    <n v="6"/>
    <n v="0"/>
    <n v="0"/>
    <n v="107"/>
    <s v="_x0000_peopl"/>
  </r>
  <r>
    <x v="6"/>
    <n v="13.694100000000001"/>
    <n v="-89.175899999999999"/>
    <n v="2"/>
    <n v="0"/>
    <n v="0"/>
    <n v="107"/>
    <s v="_x0000_peopl"/>
  </r>
  <r>
    <x v="6"/>
    <n v="13.6897"/>
    <n v="-89.229200000000006"/>
    <n v="5"/>
    <n v="0"/>
    <n v="0"/>
    <n v="107"/>
    <s v="_x0000_peopl"/>
  </r>
  <r>
    <x v="6"/>
    <n v="13.6883"/>
    <n v="-89.181299999999993"/>
    <n v="7"/>
    <n v="0"/>
    <n v="0"/>
    <n v="107"/>
    <s v="_x0000_peopl"/>
  </r>
  <r>
    <x v="6"/>
    <n v="13.686999999999999"/>
    <n v="-89.214100000000002"/>
    <n v="6"/>
    <n v="0"/>
    <n v="0"/>
    <n v="107"/>
    <s v="_x0000_peopl"/>
  </r>
  <r>
    <x v="6"/>
    <n v="13.691700000000001"/>
    <n v="-89.186400000000006"/>
    <n v="4"/>
    <n v="0"/>
    <n v="0"/>
    <n v="107"/>
    <s v="_x0000_peopl"/>
  </r>
  <r>
    <x v="6"/>
    <n v="13.694800000000001"/>
    <n v="-89.172600000000003"/>
    <n v="9"/>
    <n v="0"/>
    <n v="0"/>
    <n v="107"/>
    <s v="_x0000_peopl"/>
  </r>
  <r>
    <x v="6"/>
    <n v="13.6851"/>
    <n v="-89.2136"/>
    <n v="4"/>
    <n v="0"/>
    <n v="0"/>
    <n v="107"/>
    <s v="_x0000_peopl"/>
  </r>
  <r>
    <x v="6"/>
    <n v="13.691000000000001"/>
    <n v="-89.1905"/>
    <n v="7"/>
    <n v="0"/>
    <n v="0"/>
    <n v="107"/>
    <s v="_x0000_peopl"/>
  </r>
  <r>
    <x v="6"/>
    <n v="13.692399999999999"/>
    <n v="-89.224500000000006"/>
    <n v="7"/>
    <n v="0"/>
    <n v="0"/>
    <n v="107"/>
    <s v="_x0000_peopl"/>
  </r>
  <r>
    <x v="6"/>
    <n v="13.691700000000001"/>
    <n v="-89.226600000000005"/>
    <n v="5"/>
    <n v="0"/>
    <n v="0"/>
    <n v="107"/>
    <s v="_x0000_peopl"/>
  </r>
  <r>
    <x v="6"/>
    <n v="13.6747"/>
    <n v="-89.252200000000002"/>
    <n v="9"/>
    <n v="0"/>
    <n v="0"/>
    <n v="107"/>
    <s v="_x0000_peopl"/>
  </r>
  <r>
    <x v="6"/>
    <n v="13.6873"/>
    <n v="-89.183300000000003"/>
    <n v="1"/>
    <n v="0"/>
    <n v="0"/>
    <n v="107"/>
    <s v="_x0000_peopl"/>
  </r>
  <r>
    <x v="6"/>
    <n v="13.6881"/>
    <n v="-89.215999999999994"/>
    <n v="4"/>
    <n v="0"/>
    <n v="0"/>
    <n v="107"/>
    <s v="_x0000_peopl"/>
  </r>
  <r>
    <x v="6"/>
    <n v="13.6883"/>
    <n v="-89.216700000000003"/>
    <n v="4"/>
    <n v="0"/>
    <n v="0"/>
    <n v="107"/>
    <s v="_x0000_peopl"/>
  </r>
  <r>
    <x v="6"/>
    <n v="13.6722"/>
    <n v="-89.205299999999994"/>
    <n v="9"/>
    <n v="0"/>
    <n v="0"/>
    <n v="107"/>
    <s v="_x0000_peopl"/>
  </r>
  <r>
    <x v="6"/>
    <n v="13.6911"/>
    <n v="-89.2303"/>
    <n v="6"/>
    <n v="0"/>
    <n v="0"/>
    <n v="107"/>
    <s v="_x0000_peopl"/>
  </r>
  <r>
    <x v="6"/>
    <n v="13.6873"/>
    <n v="-89.197299999999998"/>
    <n v="7"/>
    <n v="0"/>
    <n v="0"/>
    <n v="107"/>
    <s v="_x0000_peopl"/>
  </r>
  <r>
    <x v="6"/>
    <n v="13.6852"/>
    <n v="-89.215100000000007"/>
    <n v="4"/>
    <n v="0"/>
    <n v="0"/>
    <n v="107"/>
    <s v="_x0000_peopl"/>
  </r>
  <r>
    <x v="6"/>
    <n v="13.690899999999999"/>
    <n v="-89.231700000000004"/>
    <n v="6"/>
    <n v="0"/>
    <n v="0"/>
    <n v="107"/>
    <s v="_x0000_peopl"/>
  </r>
  <r>
    <x v="6"/>
    <n v="13.6739"/>
    <n v="-89.202600000000004"/>
    <n v="8"/>
    <n v="0"/>
    <n v="0"/>
    <n v="107"/>
    <s v="_x0000_peopl"/>
  </r>
  <r>
    <x v="6"/>
    <n v="13.6874"/>
    <n v="-89.196600000000004"/>
    <n v="4"/>
    <n v="0"/>
    <n v="0"/>
    <n v="107"/>
    <s v="_x0000_peopl"/>
  </r>
  <r>
    <x v="6"/>
    <n v="13.691800000000001"/>
    <n v="-89.225200000000001"/>
    <n v="2"/>
    <n v="0"/>
    <n v="0"/>
    <n v="107"/>
    <s v="_x0000_peopl"/>
  </r>
  <r>
    <x v="6"/>
    <n v="13.690799999999999"/>
    <n v="-89.234800000000007"/>
    <n v="9"/>
    <n v="0"/>
    <n v="0"/>
    <n v="107"/>
    <s v="_x0000_peopl"/>
  </r>
  <r>
    <x v="6"/>
    <n v="13.6919"/>
    <n v="-89.179900000000004"/>
    <n v="2"/>
    <n v="0"/>
    <n v="0"/>
    <n v="107"/>
    <s v="_x0000_peopl"/>
  </r>
  <r>
    <x v="6"/>
    <n v="13.6906"/>
    <n v="-89.235299999999995"/>
    <n v="4"/>
    <n v="0"/>
    <n v="0"/>
    <n v="107"/>
    <s v="_x0000_peopl"/>
  </r>
  <r>
    <x v="6"/>
    <n v="13.690799999999999"/>
    <n v="-89.178799999999995"/>
    <n v="2"/>
    <n v="0"/>
    <n v="0"/>
    <n v="107"/>
    <s v="_x0000_peopl"/>
  </r>
  <r>
    <x v="6"/>
    <n v="13.695600000000001"/>
    <n v="-89.173900000000003"/>
    <n v="6"/>
    <n v="0"/>
    <n v="0"/>
    <n v="107"/>
    <s v="_x0000_peopl"/>
  </r>
  <r>
    <x v="6"/>
    <n v="13.688499999999999"/>
    <n v="-89.189899999999994"/>
    <n v="4"/>
    <n v="0"/>
    <n v="0"/>
    <n v="107"/>
    <s v="_x0000_peopl"/>
  </r>
  <r>
    <x v="6"/>
    <n v="13.6898"/>
    <n v="-89.184600000000003"/>
    <n v="5"/>
    <n v="0"/>
    <n v="0"/>
    <n v="107"/>
    <s v="_x0000_peopl"/>
  </r>
  <r>
    <x v="6"/>
    <n v="13.6929"/>
    <n v="-89.178299999999993"/>
    <n v="5"/>
    <n v="0"/>
    <n v="0"/>
    <n v="107"/>
    <s v="_x0000_peopl"/>
  </r>
  <r>
    <x v="6"/>
    <n v="13.689299999999999"/>
    <n v="-89.197199999999995"/>
    <n v="3"/>
    <n v="0"/>
    <n v="0"/>
    <n v="107"/>
    <s v="_x0000_peopl"/>
  </r>
  <r>
    <x v="6"/>
    <n v="13.6936"/>
    <n v="-89.174300000000002"/>
    <n v="2"/>
    <n v="0"/>
    <n v="0"/>
    <n v="107"/>
    <s v="_x0000_peopl"/>
  </r>
  <r>
    <x v="6"/>
    <n v="13.6798"/>
    <n v="-89.194500000000005"/>
    <n v="8"/>
    <n v="0"/>
    <n v="0"/>
    <n v="107"/>
    <s v="_x0000_peopl"/>
  </r>
  <r>
    <x v="6"/>
    <n v="13.691000000000001"/>
    <n v="-89.189700000000002"/>
    <n v="3"/>
    <n v="0"/>
    <n v="0"/>
    <n v="107"/>
    <s v="_x0000_peopl"/>
  </r>
  <r>
    <x v="6"/>
    <n v="13.6882"/>
    <n v="-89.204599999999999"/>
    <n v="3"/>
    <n v="0"/>
    <n v="0"/>
    <n v="107"/>
    <s v="_x0000_peopl"/>
  </r>
  <r>
    <x v="6"/>
    <n v="13.6935"/>
    <n v="-89.183099999999996"/>
    <n v="3"/>
    <n v="0"/>
    <n v="0"/>
    <n v="107"/>
    <s v="_x0000_peopl"/>
  </r>
  <r>
    <x v="6"/>
    <n v="13.6905"/>
    <n v="-89.194100000000006"/>
    <n v="4"/>
    <n v="0"/>
    <n v="0"/>
    <n v="107"/>
    <s v="_x0000_peopl"/>
  </r>
  <r>
    <x v="6"/>
    <n v="13.6875"/>
    <n v="-89.197100000000006"/>
    <n v="4"/>
    <n v="0"/>
    <n v="0"/>
    <n v="107"/>
    <s v="_x0000_peopl"/>
  </r>
  <r>
    <x v="6"/>
    <n v="13.6942"/>
    <n v="-89.175700000000006"/>
    <n v="2"/>
    <n v="0"/>
    <n v="0"/>
    <n v="107"/>
    <s v="_x0000_peopl"/>
  </r>
  <r>
    <x v="6"/>
    <n v="13.6875"/>
    <n v="-89.181600000000003"/>
    <n v="8"/>
    <n v="0"/>
    <n v="0"/>
    <n v="107"/>
    <s v="_x0000_peopl"/>
  </r>
  <r>
    <x v="6"/>
    <n v="13.674300000000001"/>
    <n v="-89.201999999999998"/>
    <n v="7"/>
    <n v="0"/>
    <n v="0"/>
    <n v="107"/>
    <s v="_x0000_peopl"/>
  </r>
  <r>
    <x v="6"/>
    <n v="13.6731"/>
    <n v="-89.2042"/>
    <n v="8"/>
    <n v="0"/>
    <n v="0"/>
    <n v="107"/>
    <s v="_x0000_peopl"/>
  </r>
  <r>
    <x v="6"/>
    <n v="13.685499999999999"/>
    <n v="-89.193600000000004"/>
    <n v="10"/>
    <n v="0"/>
    <n v="0"/>
    <n v="107"/>
    <s v="_x0000_peopl"/>
  </r>
  <r>
    <x v="6"/>
    <n v="13.695399999999999"/>
    <n v="-89.174099999999996"/>
    <n v="10"/>
    <n v="0"/>
    <n v="0"/>
    <n v="107"/>
    <s v="_x0000_peopl"/>
  </r>
  <r>
    <x v="6"/>
    <n v="13.690300000000001"/>
    <n v="-89.181299999999993"/>
    <n v="3"/>
    <n v="0"/>
    <n v="0"/>
    <n v="107"/>
    <s v="_x0000_peopl"/>
  </r>
  <r>
    <x v="6"/>
    <n v="13.6952"/>
    <n v="-89.1738"/>
    <n v="3"/>
    <n v="0"/>
    <n v="0"/>
    <n v="107"/>
    <s v="_x0000_peopl"/>
  </r>
  <r>
    <x v="6"/>
    <n v="13.68"/>
    <n v="-89.196799999999996"/>
    <n v="5"/>
    <n v="0"/>
    <n v="0"/>
    <n v="107"/>
    <s v="_x0000_peopl"/>
  </r>
  <r>
    <x v="6"/>
    <n v="13.6906"/>
    <n v="-89.185599999999994"/>
    <n v="4"/>
    <n v="0"/>
    <n v="0"/>
    <n v="107"/>
    <s v="_x0000_peopl"/>
  </r>
  <r>
    <x v="6"/>
    <n v="13.692299999999999"/>
    <n v="-89.174599999999998"/>
    <n v="11"/>
    <n v="0"/>
    <n v="0"/>
    <n v="107"/>
    <s v="_x0000_peopl"/>
  </r>
  <r>
    <x v="6"/>
    <n v="13.6906"/>
    <n v="-89.179000000000002"/>
    <n v="7"/>
    <n v="0"/>
    <n v="0"/>
    <n v="107"/>
    <s v="_x0000_peopl"/>
  </r>
  <r>
    <x v="6"/>
    <n v="13.674799999999999"/>
    <n v="-89.199700000000007"/>
    <n v="5"/>
    <n v="0"/>
    <n v="0"/>
    <n v="107"/>
    <s v="_x0000_peopl"/>
  </r>
  <r>
    <x v="6"/>
    <n v="13.691000000000001"/>
    <n v="-89.235399999999998"/>
    <n v="6"/>
    <n v="0"/>
    <n v="0"/>
    <n v="107"/>
    <s v="_x0000_peopl"/>
  </r>
  <r>
    <x v="6"/>
    <n v="13.6899"/>
    <n v="-89.195800000000006"/>
    <n v="11"/>
    <n v="0"/>
    <n v="0"/>
    <n v="107"/>
    <s v="_x0000_peopl"/>
  </r>
  <r>
    <x v="6"/>
    <n v="13.692399999999999"/>
    <n v="-89.224900000000005"/>
    <n v="8"/>
    <n v="0"/>
    <n v="0"/>
    <n v="107"/>
    <s v="_x0000_peopl"/>
  </r>
  <r>
    <x v="6"/>
    <n v="13.687200000000001"/>
    <n v="-89.183400000000006"/>
    <n v="6"/>
    <n v="0"/>
    <n v="0"/>
    <n v="107"/>
    <s v="_x0000_peopl"/>
  </r>
  <r>
    <x v="6"/>
    <n v="13.687200000000001"/>
    <n v="-89.202100000000002"/>
    <n v="4"/>
    <n v="0"/>
    <n v="0"/>
    <n v="107"/>
    <s v="_x0000_peopl"/>
  </r>
  <r>
    <x v="6"/>
    <n v="13.696899999999999"/>
    <n v="-89.171599999999998"/>
    <n v="1"/>
    <n v="0"/>
    <n v="0"/>
    <n v="107"/>
    <s v="_x0000_peopl"/>
  </r>
  <r>
    <x v="6"/>
    <n v="13.6752"/>
    <n v="-89.251999999999995"/>
    <n v="5"/>
    <n v="0"/>
    <n v="0"/>
    <n v="107"/>
    <s v="_x0000_peopl"/>
  </r>
  <r>
    <x v="6"/>
    <n v="13.690200000000001"/>
    <n v="-89.235399999999998"/>
    <n v="5"/>
    <n v="0"/>
    <n v="0"/>
    <n v="107"/>
    <s v="_x0000_peopl"/>
  </r>
  <r>
    <x v="6"/>
    <n v="13.687200000000001"/>
    <n v="-89.197900000000004"/>
    <n v="10"/>
    <n v="0"/>
    <n v="0"/>
    <n v="107"/>
    <s v="_x0000_peopl"/>
  </r>
  <r>
    <x v="6"/>
    <n v="13.6869"/>
    <n v="-89.191500000000005"/>
    <n v="7"/>
    <n v="0"/>
    <n v="0"/>
    <n v="107"/>
    <s v="_x0000_peopl"/>
  </r>
  <r>
    <x v="6"/>
    <n v="13.6859"/>
    <n v="-89.202200000000005"/>
    <n v="8"/>
    <n v="0"/>
    <n v="0"/>
    <n v="107"/>
    <s v="_x0000_peopl"/>
  </r>
  <r>
    <x v="6"/>
    <n v="13.694699999999999"/>
    <n v="-89.172200000000004"/>
    <n v="4"/>
    <n v="0"/>
    <n v="0"/>
    <n v="107"/>
    <s v="_x0000_peopl"/>
  </r>
  <r>
    <x v="6"/>
    <n v="13.6906"/>
    <n v="-89.194199999999995"/>
    <n v="5"/>
    <n v="0"/>
    <n v="0"/>
    <n v="107"/>
    <s v="_x0000_peopl"/>
  </r>
  <r>
    <x v="6"/>
    <n v="13.687900000000001"/>
    <n v="-89.212299999999999"/>
    <n v="3"/>
    <n v="0"/>
    <n v="0"/>
    <n v="107"/>
    <s v="_x0000_peopl"/>
  </r>
  <r>
    <x v="6"/>
    <n v="13.693300000000001"/>
    <n v="-89.192800000000005"/>
    <n v="9"/>
    <n v="0"/>
    <n v="0"/>
    <n v="107"/>
    <s v="_x0000_peopl"/>
  </r>
  <r>
    <x v="6"/>
    <n v="13.691800000000001"/>
    <n v="-89.224900000000005"/>
    <n v="5"/>
    <n v="0"/>
    <n v="0"/>
    <n v="107"/>
    <s v="_x0000_peopl"/>
  </r>
  <r>
    <x v="6"/>
    <n v="13.6937"/>
    <n v="-89.1892"/>
    <n v="7"/>
    <n v="0"/>
    <n v="0"/>
    <n v="107"/>
    <s v="_x0000_peopl"/>
  </r>
  <r>
    <x v="6"/>
    <n v="13.6912"/>
    <n v="-89.233900000000006"/>
    <n v="2"/>
    <n v="0"/>
    <n v="0"/>
    <n v="107"/>
    <s v="_x0000_peopl"/>
  </r>
  <r>
    <x v="6"/>
    <n v="13.686400000000001"/>
    <n v="-89.213499999999996"/>
    <n v="9"/>
    <n v="0"/>
    <n v="0"/>
    <n v="107"/>
    <s v="_x0000_peopl"/>
  </r>
  <r>
    <x v="6"/>
    <n v="13.6898"/>
    <n v="-89.197599999999994"/>
    <n v="5"/>
    <n v="0"/>
    <n v="0"/>
    <n v="107"/>
    <s v="_x0000_peopl"/>
  </r>
  <r>
    <x v="6"/>
    <n v="13.6905"/>
    <n v="-89.178700000000006"/>
    <n v="2"/>
    <n v="0"/>
    <n v="0"/>
    <n v="107"/>
    <s v="_x0000_peopl"/>
  </r>
  <r>
    <x v="6"/>
    <n v="13.689500000000001"/>
    <n v="-89.179599999999994"/>
    <n v="8"/>
    <n v="0"/>
    <n v="0"/>
    <n v="107"/>
    <s v="_x0000_peopl"/>
  </r>
  <r>
    <x v="6"/>
    <n v="13.6959"/>
    <n v="-89.173000000000002"/>
    <n v="2"/>
    <n v="0"/>
    <n v="0"/>
    <n v="107"/>
    <s v="_x0000_peopl"/>
  </r>
  <r>
    <x v="6"/>
    <n v="13.691700000000001"/>
    <n v="-89.197100000000006"/>
    <n v="2"/>
    <n v="0"/>
    <n v="0"/>
    <n v="107"/>
    <s v="_x0000_peopl"/>
  </r>
  <r>
    <x v="6"/>
    <n v="13.690799999999999"/>
    <n v="-89.233400000000003"/>
    <n v="4"/>
    <n v="0"/>
    <n v="0"/>
    <n v="107"/>
    <s v="_x0000_peopl"/>
  </r>
  <r>
    <x v="6"/>
    <n v="13.688499999999999"/>
    <n v="-89.2042"/>
    <n v="3"/>
    <n v="0"/>
    <n v="0"/>
    <n v="107"/>
    <s v="_x0000_peopl"/>
  </r>
  <r>
    <x v="6"/>
    <n v="13.6913"/>
    <n v="-89.235299999999995"/>
    <n v="4"/>
    <n v="0"/>
    <n v="0"/>
    <n v="107"/>
    <s v="_x0000_peopl"/>
  </r>
  <r>
    <x v="6"/>
    <n v="13.6914"/>
    <n v="-89.232500000000002"/>
    <n v="6"/>
    <n v="0"/>
    <n v="0"/>
    <n v="107"/>
    <s v="_x0000_peopl"/>
  </r>
  <r>
    <x v="6"/>
    <n v="13.694100000000001"/>
    <n v="-89.173000000000002"/>
    <n v="4"/>
    <n v="0"/>
    <n v="0"/>
    <n v="107"/>
    <s v="_x0000_peopl"/>
  </r>
  <r>
    <x v="6"/>
    <n v="13.6852"/>
    <n v="-89.215199999999996"/>
    <n v="6"/>
    <n v="0"/>
    <n v="0"/>
    <n v="107"/>
    <s v="_x0000_peopl"/>
  </r>
  <r>
    <x v="6"/>
    <n v="13.6793"/>
    <n v="-89.196399999999997"/>
    <n v="5"/>
    <n v="0"/>
    <n v="0"/>
    <n v="107"/>
    <s v="_x0000_peopl"/>
  </r>
  <r>
    <x v="6"/>
    <n v="13.685700000000001"/>
    <n v="-89.203900000000004"/>
    <n v="7"/>
    <n v="0"/>
    <n v="0"/>
    <n v="107"/>
    <s v="_x0000_peopl"/>
  </r>
  <r>
    <x v="6"/>
    <n v="13.6912"/>
    <n v="-89.219499999999996"/>
    <n v="3"/>
    <n v="0"/>
    <n v="0"/>
    <n v="107"/>
    <s v="_x0000_peopl"/>
  </r>
  <r>
    <x v="6"/>
    <n v="13.6868"/>
    <n v="-89.194500000000005"/>
    <n v="7"/>
    <n v="0"/>
    <n v="0"/>
    <n v="107"/>
    <s v="_x0000_peopl"/>
  </r>
  <r>
    <x v="6"/>
    <n v="13.685600000000001"/>
    <n v="-89.193700000000007"/>
    <n v="7"/>
    <n v="0"/>
    <n v="0"/>
    <n v="107"/>
    <s v="_x0000_peopl"/>
  </r>
  <r>
    <x v="6"/>
    <n v="13.696999999999999"/>
    <n v="-89.171700000000001"/>
    <n v="6"/>
    <n v="0"/>
    <n v="0"/>
    <n v="107"/>
    <s v="_x0000_peopl"/>
  </r>
  <r>
    <x v="6"/>
    <n v="13.674300000000001"/>
    <n v="-89.199100000000001"/>
    <n v="3"/>
    <n v="0"/>
    <n v="0"/>
    <n v="107"/>
    <s v="_x0000_peopl"/>
  </r>
  <r>
    <x v="6"/>
    <n v="13.6911"/>
    <n v="-89.179100000000005"/>
    <n v="3"/>
    <n v="0"/>
    <n v="0"/>
    <n v="107"/>
    <s v="_x0000_peopl"/>
  </r>
  <r>
    <x v="6"/>
    <n v="13.691599999999999"/>
    <n v="-89.186000000000007"/>
    <n v="4"/>
    <n v="0"/>
    <n v="0"/>
    <n v="107"/>
    <s v="_x0000_peopl"/>
  </r>
  <r>
    <x v="6"/>
    <n v="13.6905"/>
    <n v="-89.232100000000003"/>
    <n v="8"/>
    <n v="0"/>
    <n v="0"/>
    <n v="107"/>
    <s v="_x0000_peopl"/>
  </r>
  <r>
    <x v="6"/>
    <n v="13.687799999999999"/>
    <n v="-89.197100000000006"/>
    <n v="5"/>
    <n v="0"/>
    <n v="0"/>
    <n v="107"/>
    <s v="_x0000_peopl"/>
  </r>
  <r>
    <x v="6"/>
    <n v="13.69"/>
    <n v="-89.234899999999996"/>
    <n v="4"/>
    <n v="0"/>
    <n v="0"/>
    <n v="107"/>
    <s v="_x0000_peopl"/>
  </r>
  <r>
    <x v="6"/>
    <n v="13.690799999999999"/>
    <n v="-89.185599999999994"/>
    <n v="5"/>
    <n v="0"/>
    <n v="0"/>
    <n v="107"/>
    <s v="_x0000_peopl"/>
  </r>
  <r>
    <x v="6"/>
    <n v="13.687200000000001"/>
    <n v="-89.197299999999998"/>
    <n v="4"/>
    <n v="0"/>
    <n v="0"/>
    <n v="107"/>
    <s v="_x0000_peopl"/>
  </r>
  <r>
    <x v="6"/>
    <n v="13.688000000000001"/>
    <n v="-89.182699999999997"/>
    <n v="6"/>
    <n v="0"/>
    <n v="0"/>
    <n v="107"/>
    <s v="_x0000_peopl"/>
  </r>
  <r>
    <x v="6"/>
    <n v="13.692600000000001"/>
    <n v="-89.2239"/>
    <n v="3"/>
    <n v="0"/>
    <n v="0"/>
    <n v="107"/>
    <s v="_x0000_peopl"/>
  </r>
  <r>
    <x v="6"/>
    <n v="13.692500000000001"/>
    <n v="-89.174300000000002"/>
    <n v="3"/>
    <n v="0"/>
    <n v="0"/>
    <n v="107"/>
    <s v="_x0000_peopl"/>
  </r>
  <r>
    <x v="6"/>
    <n v="13.688700000000001"/>
    <n v="-89.217200000000005"/>
    <n v="3"/>
    <n v="0"/>
    <n v="0"/>
    <n v="107"/>
    <s v="_x0000_peopl"/>
  </r>
  <r>
    <x v="6"/>
    <n v="13.6945"/>
    <n v="-89.175700000000006"/>
    <n v="10"/>
    <n v="0"/>
    <n v="0"/>
    <n v="107"/>
    <s v="_x0000_peopl"/>
  </r>
  <r>
    <x v="6"/>
    <n v="13.6875"/>
    <n v="-89.2149"/>
    <n v="3"/>
    <n v="0"/>
    <n v="0"/>
    <n v="107"/>
    <s v="_x0000_peopl"/>
  </r>
  <r>
    <x v="6"/>
    <n v="13.6866"/>
    <n v="-89.215800000000002"/>
    <n v="6"/>
    <n v="0"/>
    <n v="0"/>
    <n v="107"/>
    <s v="_x0000_peopl"/>
  </r>
  <r>
    <x v="6"/>
    <n v="13.6914"/>
    <n v="-89.178899999999999"/>
    <n v="4"/>
    <n v="0"/>
    <n v="0"/>
    <n v="107"/>
    <s v="_x0000_peopl"/>
  </r>
  <r>
    <x v="6"/>
    <n v="13.69"/>
    <n v="-89.1845"/>
    <n v="8"/>
    <n v="0"/>
    <n v="0"/>
    <n v="107"/>
    <s v="_x0000_peopl"/>
  </r>
  <r>
    <x v="6"/>
    <n v="13.6922"/>
    <n v="-89.221400000000003"/>
    <n v="4"/>
    <n v="0"/>
    <n v="0"/>
    <n v="107"/>
    <s v="_x0000_peopl"/>
  </r>
  <r>
    <x v="6"/>
    <n v="13.6737"/>
    <n v="-89.202699999999993"/>
    <n v="6"/>
    <n v="0"/>
    <n v="0"/>
    <n v="107"/>
    <s v="_x0000_peopl"/>
  </r>
  <r>
    <x v="6"/>
    <n v="13.6943"/>
    <n v="-89.188800000000001"/>
    <n v="9"/>
    <n v="0"/>
    <n v="0"/>
    <n v="107"/>
    <s v="_x0000_peopl"/>
  </r>
  <r>
    <x v="6"/>
    <n v="13.6959"/>
    <n v="-89.172200000000004"/>
    <n v="3"/>
    <n v="0"/>
    <n v="0"/>
    <n v="107"/>
    <s v="_x0000_peopl"/>
  </r>
  <r>
    <x v="6"/>
    <n v="13.677099999999999"/>
    <n v="-89.247299999999996"/>
    <n v="2"/>
    <n v="0"/>
    <n v="0"/>
    <n v="107"/>
    <s v="_x0000_peopl"/>
  </r>
  <r>
    <x v="6"/>
    <n v="13.6882"/>
    <n v="-89.180899999999994"/>
    <n v="9"/>
    <n v="0"/>
    <n v="0"/>
    <n v="107"/>
    <s v="_x0000_peopl"/>
  </r>
  <r>
    <x v="6"/>
    <n v="13.6905"/>
    <n v="-89.233999999999995"/>
    <n v="1"/>
    <n v="0"/>
    <n v="0"/>
    <n v="107"/>
    <s v="_x0000_peopl"/>
  </r>
  <r>
    <x v="6"/>
    <n v="13.6919"/>
    <n v="-89.186800000000005"/>
    <n v="5"/>
    <n v="0"/>
    <n v="0"/>
    <n v="107"/>
    <s v="_x0000_peopl"/>
  </r>
  <r>
    <x v="6"/>
    <n v="13.694800000000001"/>
    <n v="-89.174000000000007"/>
    <n v="4"/>
    <n v="0"/>
    <n v="0"/>
    <n v="107"/>
    <s v="_x0000_peopl"/>
  </r>
  <r>
    <x v="6"/>
    <n v="13.686299999999999"/>
    <n v="-89.212000000000003"/>
    <n v="6"/>
    <n v="0"/>
    <n v="0"/>
    <n v="107"/>
    <s v="_x0000_peopl"/>
  </r>
  <r>
    <x v="6"/>
    <n v="13.6896"/>
    <n v="-89.229200000000006"/>
    <n v="5"/>
    <n v="0"/>
    <n v="0"/>
    <n v="107"/>
    <s v="_x0000_peopl"/>
  </r>
  <r>
    <x v="6"/>
    <n v="13.696999999999999"/>
    <n v="-89.171300000000002"/>
    <n v="3"/>
    <n v="0"/>
    <n v="0"/>
    <n v="107"/>
    <s v="_x0000_peopl"/>
  </r>
  <r>
    <x v="6"/>
    <n v="13.6884"/>
    <n v="-89.212000000000003"/>
    <n v="5"/>
    <n v="0"/>
    <n v="0"/>
    <n v="107"/>
    <s v="_x0000_peopl"/>
  </r>
  <r>
    <x v="6"/>
    <n v="13.6974"/>
    <n v="-89.171400000000006"/>
    <n v="3"/>
    <n v="0"/>
    <n v="0"/>
    <n v="107"/>
    <s v="_x0000_peopl"/>
  </r>
  <r>
    <x v="6"/>
    <n v="13.6899"/>
    <n v="-89.2286"/>
    <n v="4"/>
    <n v="0"/>
    <n v="0"/>
    <n v="107"/>
    <s v="_x0000_peopl"/>
  </r>
  <r>
    <x v="6"/>
    <n v="13.688000000000001"/>
    <n v="-89.216800000000006"/>
    <n v="2"/>
    <n v="0"/>
    <n v="0"/>
    <n v="107"/>
    <s v="_x0000_peopl"/>
  </r>
  <r>
    <x v="6"/>
    <n v="13.690899999999999"/>
    <n v="-89.228899999999996"/>
    <n v="4"/>
    <n v="0"/>
    <n v="0"/>
    <n v="107"/>
    <s v="_x0000_peopl"/>
  </r>
  <r>
    <x v="6"/>
    <n v="13.6912"/>
    <n v="-89.2286"/>
    <n v="3"/>
    <n v="0"/>
    <n v="0"/>
    <n v="107"/>
    <s v="_x0000_peopl"/>
  </r>
  <r>
    <x v="6"/>
    <n v="13.6876"/>
    <n v="-89.181299999999993"/>
    <n v="4"/>
    <n v="0"/>
    <n v="0"/>
    <n v="107"/>
    <s v="_x0000_peopl"/>
  </r>
  <r>
    <x v="6"/>
    <n v="13.684799999999999"/>
    <n v="-89.214299999999994"/>
    <n v="4"/>
    <n v="0"/>
    <n v="0"/>
    <n v="107"/>
    <s v="_x0000_peopl"/>
  </r>
  <r>
    <x v="6"/>
    <n v="13.6854"/>
    <n v="-89.2042"/>
    <n v="2"/>
    <n v="0"/>
    <n v="0"/>
    <n v="107"/>
    <s v="_x0000_peopl"/>
  </r>
  <r>
    <x v="6"/>
    <n v="13.6929"/>
    <n v="-89.183000000000007"/>
    <n v="6"/>
    <n v="0"/>
    <n v="0"/>
    <n v="107"/>
    <s v="_x0000_peopl"/>
  </r>
  <r>
    <x v="6"/>
    <n v="13.6792"/>
    <n v="-89.196700000000007"/>
    <n v="6"/>
    <n v="0"/>
    <n v="0"/>
    <n v="107"/>
    <s v="_x0000_peopl"/>
  </r>
  <r>
    <x v="6"/>
    <n v="13.688700000000001"/>
    <n v="-89.216700000000003"/>
    <n v="9"/>
    <n v="0"/>
    <n v="0"/>
    <n v="107"/>
    <s v="_x0000_peopl"/>
  </r>
  <r>
    <x v="6"/>
    <n v="13.6884"/>
    <n v="-89.2042"/>
    <n v="6"/>
    <n v="0"/>
    <n v="0"/>
    <n v="107"/>
    <s v="_x0000_peopl"/>
  </r>
  <r>
    <x v="6"/>
    <n v="13.686999999999999"/>
    <n v="-89.2042"/>
    <n v="3"/>
    <n v="0"/>
    <n v="0"/>
    <n v="107"/>
    <s v="_x0000_peopl"/>
  </r>
  <r>
    <x v="6"/>
    <n v="13.692"/>
    <n v="-89.1798"/>
    <n v="4"/>
    <n v="0"/>
    <n v="0"/>
    <n v="107"/>
    <s v="_x0000_peopl"/>
  </r>
  <r>
    <x v="6"/>
    <n v="13.6891"/>
    <n v="-89.204899999999995"/>
    <n v="7"/>
    <n v="0"/>
    <n v="0"/>
    <n v="107"/>
    <s v="_x0000_peopl"/>
  </r>
  <r>
    <x v="6"/>
    <n v="13.6891"/>
    <n v="-89.178100000000001"/>
    <n v="5"/>
    <n v="0"/>
    <n v="0"/>
    <n v="107"/>
    <s v="_x0000_peopl"/>
  </r>
  <r>
    <x v="6"/>
    <n v="13.691599999999999"/>
    <n v="-89.197100000000006"/>
    <n v="5"/>
    <n v="0"/>
    <n v="0"/>
    <n v="107"/>
    <s v="_x0000_peopl"/>
  </r>
  <r>
    <x v="6"/>
    <n v="13.6889"/>
    <n v="-89.190399999999997"/>
    <n v="4"/>
    <n v="0"/>
    <n v="0"/>
    <n v="107"/>
    <s v="_x0000_peopl"/>
  </r>
  <r>
    <x v="6"/>
    <n v="13.6915"/>
    <n v="-89.185199999999995"/>
    <n v="5"/>
    <n v="0"/>
    <n v="0"/>
    <n v="107"/>
    <s v="_x0000_peopl"/>
  </r>
  <r>
    <x v="6"/>
    <n v="13.6882"/>
    <n v="-89.1815"/>
    <n v="4"/>
    <n v="0"/>
    <n v="0"/>
    <n v="107"/>
    <s v="_x0000_peopl"/>
  </r>
  <r>
    <x v="6"/>
    <n v="13.692"/>
    <n v="-89.193700000000007"/>
    <n v="4"/>
    <n v="0"/>
    <n v="0"/>
    <n v="107"/>
    <s v="_x0000_peopl"/>
  </r>
  <r>
    <x v="6"/>
    <n v="13.690899999999999"/>
    <n v="-89.190700000000007"/>
    <n v="7"/>
    <n v="0"/>
    <n v="0"/>
    <n v="107"/>
    <s v="_x0000_peopl"/>
  </r>
  <r>
    <x v="6"/>
    <n v="13.6846"/>
    <n v="-89.211299999999994"/>
    <n v="6"/>
    <n v="0"/>
    <n v="0"/>
    <n v="107"/>
    <s v="_x0000_peopl"/>
  </r>
  <r>
    <x v="6"/>
    <n v="13.6904"/>
    <n v="-89.234899999999996"/>
    <n v="7"/>
    <n v="0"/>
    <n v="0"/>
    <n v="107"/>
    <s v="_x0000_peopl"/>
  </r>
  <r>
    <x v="6"/>
    <n v="13.6897"/>
    <n v="-89.183400000000006"/>
    <n v="5"/>
    <n v="0"/>
    <n v="0"/>
    <n v="107"/>
    <s v="_x0000_peopl"/>
  </r>
  <r>
    <x v="6"/>
    <n v="13.691599999999999"/>
    <n v="-89.1798"/>
    <n v="6"/>
    <n v="0"/>
    <n v="0"/>
    <n v="107"/>
    <s v="_x0000_peopl"/>
  </r>
  <r>
    <x v="6"/>
    <n v="13.6929"/>
    <n v="-89.184600000000003"/>
    <n v="4"/>
    <n v="0"/>
    <n v="0"/>
    <n v="107"/>
    <s v="_x0000_peopl"/>
  </r>
  <r>
    <x v="6"/>
    <n v="13.693099999999999"/>
    <n v="-89.185900000000004"/>
    <n v="3"/>
    <n v="0"/>
    <n v="0"/>
    <n v="107"/>
    <s v="_x0000_peopl"/>
  </r>
  <r>
    <x v="6"/>
    <n v="13.6965"/>
    <n v="-89.172499999999999"/>
    <n v="4"/>
    <n v="0"/>
    <n v="0"/>
    <n v="107"/>
    <s v="_x0000_peopl"/>
  </r>
  <r>
    <x v="6"/>
    <n v="13.692500000000001"/>
    <n v="-89.179100000000005"/>
    <n v="5"/>
    <n v="0"/>
    <n v="0"/>
    <n v="107"/>
    <s v="_x0000_peopl"/>
  </r>
  <r>
    <x v="6"/>
    <n v="13.6914"/>
    <n v="-89.177000000000007"/>
    <n v="8"/>
    <n v="0"/>
    <n v="0"/>
    <n v="107"/>
    <s v="_x0000_peopl"/>
  </r>
  <r>
    <x v="6"/>
    <n v="13.691700000000001"/>
    <n v="-89.183000000000007"/>
    <n v="1"/>
    <n v="0"/>
    <n v="0"/>
    <n v="107"/>
    <s v="_x0000_peopl"/>
  </r>
  <r>
    <x v="6"/>
    <n v="13.687200000000001"/>
    <n v="-89.182400000000001"/>
    <n v="7"/>
    <n v="0"/>
    <n v="0"/>
    <n v="107"/>
    <s v="_x0000_peopl"/>
  </r>
  <r>
    <x v="6"/>
    <n v="13.687900000000001"/>
    <n v="-89.212400000000002"/>
    <n v="4"/>
    <n v="0"/>
    <n v="0"/>
    <n v="107"/>
    <s v="_x0000_peopl"/>
  </r>
  <r>
    <x v="6"/>
    <n v="13.687099999999999"/>
    <n v="-89.216700000000003"/>
    <n v="2"/>
    <n v="0"/>
    <n v="0"/>
    <n v="107"/>
    <s v="_x0000_peopl"/>
  </r>
  <r>
    <x v="6"/>
    <n v="13.685600000000001"/>
    <n v="-89.202600000000004"/>
    <n v="4"/>
    <n v="0"/>
    <n v="0"/>
    <n v="107"/>
    <s v="_x0000_peopl"/>
  </r>
  <r>
    <x v="6"/>
    <n v="13.686500000000001"/>
    <n v="-89.216300000000004"/>
    <n v="4"/>
    <n v="0"/>
    <n v="0"/>
    <n v="107"/>
    <s v="_x0000_peopl"/>
  </r>
  <r>
    <x v="6"/>
    <n v="13.684699999999999"/>
    <n v="-89.212999999999994"/>
    <n v="6"/>
    <n v="0"/>
    <n v="0"/>
    <n v="107"/>
    <s v="_x0000_peopl"/>
  </r>
  <r>
    <x v="6"/>
    <n v="13.692"/>
    <n v="-89.225399999999993"/>
    <n v="5"/>
    <n v="0"/>
    <n v="0"/>
    <n v="107"/>
    <s v="_x0000_peopl"/>
  </r>
  <r>
    <x v="6"/>
    <n v="13.6799"/>
    <n v="-89.195700000000002"/>
    <n v="5"/>
    <n v="0"/>
    <n v="0"/>
    <n v="107"/>
    <s v="_x0000_peopl"/>
  </r>
  <r>
    <x v="6"/>
    <n v="13.6883"/>
    <n v="-89.229799999999997"/>
    <n v="2"/>
    <n v="0"/>
    <n v="0"/>
    <n v="107"/>
    <s v="_x0000_peopl"/>
  </r>
  <r>
    <x v="6"/>
    <n v="13.6943"/>
    <n v="-89.188800000000001"/>
    <n v="3"/>
    <n v="0"/>
    <n v="0"/>
    <n v="107"/>
    <s v="_x0000_peopl"/>
  </r>
  <r>
    <x v="6"/>
    <n v="13.684699999999999"/>
    <n v="-89.212800000000001"/>
    <n v="4"/>
    <n v="0"/>
    <n v="0"/>
    <n v="107"/>
    <s v="_x0000_peopl"/>
  </r>
  <r>
    <x v="6"/>
    <n v="13.6911"/>
    <n v="-89.234899999999996"/>
    <n v="7"/>
    <n v="0"/>
    <n v="0"/>
    <n v="107"/>
    <s v="_x0000_peopl"/>
  </r>
  <r>
    <x v="6"/>
    <n v="13.6877"/>
    <n v="-89.205600000000004"/>
    <n v="7"/>
    <n v="0"/>
    <n v="0"/>
    <n v="107"/>
    <s v="_x0000_peopl"/>
  </r>
  <r>
    <x v="6"/>
    <n v="13.692399999999999"/>
    <n v="-89.2239"/>
    <n v="7"/>
    <n v="0"/>
    <n v="0"/>
    <n v="107"/>
    <s v="_x0000_peopl"/>
  </r>
  <r>
    <x v="6"/>
    <n v="13.692"/>
    <n v="-89.2239"/>
    <n v="6"/>
    <n v="0"/>
    <n v="0"/>
    <n v="107"/>
    <s v="_x0000_peopl"/>
  </r>
  <r>
    <x v="6"/>
    <n v="13.6911"/>
    <n v="-89.232799999999997"/>
    <n v="5"/>
    <n v="0"/>
    <n v="0"/>
    <n v="107"/>
    <s v="_x0000_peopl"/>
  </r>
  <r>
    <x v="6"/>
    <n v="13.690200000000001"/>
    <n v="-89.187399999999997"/>
    <n v="2"/>
    <n v="0"/>
    <n v="0"/>
    <n v="107"/>
    <s v="_x0000_peopl"/>
  </r>
  <r>
    <x v="6"/>
    <n v="13.6945"/>
    <n v="-89.175600000000003"/>
    <n v="4"/>
    <n v="0"/>
    <n v="0"/>
    <n v="107"/>
    <s v="_x0000_peopl"/>
  </r>
  <r>
    <x v="6"/>
    <n v="13.6968"/>
    <n v="-89.171899999999994"/>
    <n v="7"/>
    <n v="0"/>
    <n v="0"/>
    <n v="107"/>
    <s v="_x0000_peopl"/>
  </r>
  <r>
    <x v="6"/>
    <n v="13.691599999999999"/>
    <n v="-89.228499999999997"/>
    <n v="7"/>
    <n v="0"/>
    <n v="0"/>
    <n v="107"/>
    <s v="_x0000_peopl"/>
  </r>
  <r>
    <x v="6"/>
    <n v="13.6907"/>
    <n v="-89.186300000000003"/>
    <n v="4"/>
    <n v="0"/>
    <n v="0"/>
    <n v="107"/>
    <s v="_x0000_peopl"/>
  </r>
  <r>
    <x v="6"/>
    <n v="13.6913"/>
    <n v="-89.220399999999998"/>
    <n v="5"/>
    <n v="0"/>
    <n v="0"/>
    <n v="107"/>
    <s v="_x0000_peopl"/>
  </r>
  <r>
    <x v="6"/>
    <n v="13.690799999999999"/>
    <n v="-89.1815"/>
    <n v="1"/>
    <n v="0"/>
    <n v="0"/>
    <n v="107"/>
    <s v="_x0000_peopl"/>
  </r>
  <r>
    <x v="6"/>
    <n v="13.6896"/>
    <n v="-89.180800000000005"/>
    <n v="4"/>
    <n v="0"/>
    <n v="0"/>
    <n v="107"/>
    <s v="_x0000_peopl"/>
  </r>
  <r>
    <x v="6"/>
    <n v="13.6934"/>
    <n v="-89.192599999999999"/>
    <n v="6"/>
    <n v="0"/>
    <n v="0"/>
    <n v="107"/>
    <s v="_x0000_peopl"/>
  </r>
  <r>
    <x v="6"/>
    <n v="13.6867"/>
    <n v="-89.203900000000004"/>
    <n v="10"/>
    <n v="0"/>
    <n v="0"/>
    <n v="107"/>
    <s v="_x0000_peopl"/>
  </r>
  <r>
    <x v="6"/>
    <n v="13.6874"/>
    <n v="-89.194299999999998"/>
    <n v="8"/>
    <n v="0"/>
    <n v="0"/>
    <n v="107"/>
    <s v="_x0000_peopl"/>
  </r>
  <r>
    <x v="6"/>
    <n v="13.691700000000001"/>
    <n v="-89.196200000000005"/>
    <n v="2"/>
    <n v="0"/>
    <n v="0"/>
    <n v="107"/>
    <s v="_x0000_peopl"/>
  </r>
  <r>
    <x v="6"/>
    <n v="13.684799999999999"/>
    <n v="-89.193899999999999"/>
    <n v="2"/>
    <n v="0"/>
    <n v="0"/>
    <n v="107"/>
    <s v="_x0000_peopl"/>
  </r>
  <r>
    <x v="6"/>
    <n v="13.6906"/>
    <n v="-89.188900000000004"/>
    <n v="5"/>
    <n v="0"/>
    <n v="0"/>
    <n v="107"/>
    <s v="_x0000_peopl"/>
  </r>
  <r>
    <x v="6"/>
    <n v="13.695499999999999"/>
    <n v="-89.173100000000005"/>
    <n v="10"/>
    <n v="0"/>
    <n v="0"/>
    <n v="107"/>
    <s v="_x0000_peopl"/>
  </r>
  <r>
    <x v="6"/>
    <n v="13.6913"/>
    <n v="-89.228999999999999"/>
    <n v="3"/>
    <n v="0"/>
    <n v="0"/>
    <n v="107"/>
    <s v="_x0000_peopl"/>
  </r>
  <r>
    <x v="6"/>
    <n v="13.6912"/>
    <n v="-89.188599999999994"/>
    <n v="10"/>
    <n v="0"/>
    <n v="0"/>
    <n v="107"/>
    <s v="_x0000_peopl"/>
  </r>
  <r>
    <x v="6"/>
    <n v="13.6899"/>
    <n v="-89.193899999999999"/>
    <n v="7"/>
    <n v="0"/>
    <n v="0"/>
    <n v="107"/>
    <s v="_x0000_peopl"/>
  </r>
  <r>
    <x v="6"/>
    <n v="13.6922"/>
    <n v="-89.194500000000005"/>
    <n v="2"/>
    <n v="0"/>
    <n v="0"/>
    <n v="107"/>
    <s v="_x0000_peopl"/>
  </r>
  <r>
    <x v="6"/>
    <n v="13.6896"/>
    <n v="-89.228800000000007"/>
    <n v="6"/>
    <n v="0"/>
    <n v="0"/>
    <n v="107"/>
    <s v="_x0000_peopl"/>
  </r>
  <r>
    <x v="6"/>
    <n v="13.690099999999999"/>
    <n v="-89.193700000000007"/>
    <n v="3"/>
    <n v="0"/>
    <n v="0"/>
    <n v="107"/>
    <s v="_x0000_peopl"/>
  </r>
  <r>
    <x v="6"/>
    <n v="13.6897"/>
    <n v="-89.229200000000006"/>
    <n v="6"/>
    <n v="0"/>
    <n v="0"/>
    <n v="107"/>
    <s v="_x0000_peopl"/>
  </r>
  <r>
    <x v="6"/>
    <n v="13.690300000000001"/>
    <n v="-89.236000000000004"/>
    <n v="3"/>
    <n v="0"/>
    <n v="0"/>
    <n v="107"/>
    <s v="_x0000_peopl"/>
  </r>
  <r>
    <x v="6"/>
    <n v="13.692600000000001"/>
    <n v="-89.184299999999993"/>
    <n v="4"/>
    <n v="0"/>
    <n v="0"/>
    <n v="107"/>
    <s v="_x0000_peopl"/>
  </r>
  <r>
    <x v="6"/>
    <n v="13.6966"/>
    <n v="-89.1721"/>
    <n v="4"/>
    <n v="0"/>
    <n v="0"/>
    <n v="107"/>
    <s v="_x0000_peopl"/>
  </r>
  <r>
    <x v="6"/>
    <n v="13.6846"/>
    <n v="-89.217399999999998"/>
    <n v="3"/>
    <n v="0"/>
    <n v="0"/>
    <n v="107"/>
    <s v="_x0000_peopl"/>
  </r>
  <r>
    <x v="6"/>
    <n v="13.6869"/>
    <n v="-89.1828"/>
    <n v="3"/>
    <n v="0"/>
    <n v="0"/>
    <n v="107"/>
    <s v="_x0000_peopl"/>
  </r>
  <r>
    <x v="6"/>
    <n v="13.691000000000001"/>
    <n v="-89.233000000000004"/>
    <n v="7"/>
    <n v="0"/>
    <n v="0"/>
    <n v="107"/>
    <s v="_x0000_peopl"/>
  </r>
  <r>
    <x v="6"/>
    <n v="13.6921"/>
    <n v="-89.186199999999999"/>
    <n v="2"/>
    <n v="0"/>
    <n v="0"/>
    <n v="107"/>
    <s v="_x0000_peopl"/>
  </r>
  <r>
    <x v="6"/>
    <n v="13.6942"/>
    <n v="-89.185500000000005"/>
    <n v="3"/>
    <n v="0"/>
    <n v="0"/>
    <n v="107"/>
    <s v="_x0000_peopl"/>
  </r>
  <r>
    <x v="6"/>
    <n v="13.690799999999999"/>
    <n v="-89.179299999999998"/>
    <n v="5"/>
    <n v="0"/>
    <n v="0"/>
    <n v="107"/>
    <s v="_x0000_peopl"/>
  </r>
  <r>
    <x v="6"/>
    <n v="13.6919"/>
    <n v="-89.225300000000004"/>
    <n v="9"/>
    <n v="0"/>
    <n v="0"/>
    <n v="107"/>
    <s v="_x0000_peopl"/>
  </r>
  <r>
    <x v="6"/>
    <n v="13.6859"/>
    <n v="-89.215500000000006"/>
    <n v="4"/>
    <n v="0"/>
    <n v="0"/>
    <n v="107"/>
    <s v="_x0000_peopl"/>
  </r>
  <r>
    <x v="6"/>
    <n v="13.6874"/>
    <n v="-89.197800000000001"/>
    <n v="5"/>
    <n v="0"/>
    <n v="0"/>
    <n v="107"/>
    <s v="_x0000_peopl"/>
  </r>
  <r>
    <x v="6"/>
    <n v="13.6853"/>
    <n v="-89.214799999999997"/>
    <n v="4"/>
    <n v="0"/>
    <n v="0"/>
    <n v="107"/>
    <s v="_x0000_peopl"/>
  </r>
  <r>
    <x v="6"/>
    <n v="13.6938"/>
    <n v="-89.176299999999998"/>
    <n v="0"/>
    <n v="0"/>
    <n v="0"/>
    <n v="107"/>
    <s v="_x0000_peopl"/>
  </r>
  <r>
    <x v="6"/>
    <n v="13.692500000000001"/>
    <n v="-89.175600000000003"/>
    <n v="7"/>
    <n v="0"/>
    <n v="0"/>
    <n v="107"/>
    <s v="_x0000_peopl"/>
  </r>
  <r>
    <x v="6"/>
    <n v="13.687200000000001"/>
    <n v="-89.181799999999996"/>
    <n v="3"/>
    <n v="0"/>
    <n v="0"/>
    <n v="107"/>
    <s v="_x0000_peopl"/>
  </r>
  <r>
    <x v="6"/>
    <n v="13.687099999999999"/>
    <n v="-89.181100000000001"/>
    <n v="3"/>
    <n v="0"/>
    <n v="0"/>
    <n v="107"/>
    <s v="_x0000_peopl"/>
  </r>
  <r>
    <x v="6"/>
    <n v="13.6853"/>
    <n v="-89.202200000000005"/>
    <n v="3"/>
    <n v="0"/>
    <n v="0"/>
    <n v="107"/>
    <s v="_x0000_peopl"/>
  </r>
  <r>
    <x v="6"/>
    <n v="13.681100000000001"/>
    <n v="-89.195599999999999"/>
    <n v="2"/>
    <n v="0"/>
    <n v="0"/>
    <n v="107"/>
    <s v="_x0000_peopl"/>
  </r>
  <r>
    <x v="6"/>
    <n v="13.690799999999999"/>
    <n v="-89.233999999999995"/>
    <n v="3"/>
    <n v="0"/>
    <n v="0"/>
    <n v="107"/>
    <s v="_x0000_peopl"/>
  </r>
  <r>
    <x v="6"/>
    <n v="13.6753"/>
    <n v="-89.202399999999997"/>
    <n v="3"/>
    <n v="0"/>
    <n v="0"/>
    <n v="107"/>
    <s v="_x0000_peopl"/>
  </r>
  <r>
    <x v="6"/>
    <n v="13.6907"/>
    <n v="-89.235699999999994"/>
    <n v="3"/>
    <n v="0"/>
    <n v="0"/>
    <n v="107"/>
    <s v="_x0000_peopl"/>
  </r>
  <r>
    <x v="6"/>
    <n v="13.679600000000001"/>
    <n v="-89.196899999999999"/>
    <n v="5"/>
    <n v="0"/>
    <n v="0"/>
    <n v="107"/>
    <s v="_x0000_peopl"/>
  </r>
  <r>
    <x v="6"/>
    <n v="13.692399999999999"/>
    <n v="-89.224199999999996"/>
    <n v="3"/>
    <n v="0"/>
    <n v="0"/>
    <n v="107"/>
    <s v="_x0000_peopl"/>
  </r>
  <r>
    <x v="6"/>
    <n v="13.6943"/>
    <n v="-89.183300000000003"/>
    <n v="4"/>
    <n v="0"/>
    <n v="0"/>
    <n v="107"/>
    <s v="_x0000_peopl"/>
  </r>
  <r>
    <x v="6"/>
    <n v="13.680199999999999"/>
    <n v="-89.197100000000006"/>
    <n v="6"/>
    <n v="0"/>
    <n v="0"/>
    <n v="107"/>
    <s v="_x0000_peopl"/>
  </r>
  <r>
    <x v="6"/>
    <n v="13.6911"/>
    <n v="-89.229200000000006"/>
    <n v="3"/>
    <n v="0"/>
    <n v="0"/>
    <n v="107"/>
    <s v="_x0000_peopl"/>
  </r>
  <r>
    <x v="6"/>
    <n v="13.692399999999999"/>
    <n v="-89.189700000000002"/>
    <n v="7"/>
    <n v="0"/>
    <n v="0"/>
    <n v="107"/>
    <s v="_x0000_peopl"/>
  </r>
  <r>
    <x v="6"/>
    <n v="13.689500000000001"/>
    <n v="-89.185100000000006"/>
    <n v="6"/>
    <n v="0"/>
    <n v="0"/>
    <n v="107"/>
    <s v="_x0000_peopl"/>
  </r>
  <r>
    <x v="6"/>
    <n v="13.687200000000001"/>
    <n v="-89.216200000000001"/>
    <n v="7"/>
    <n v="0"/>
    <n v="0"/>
    <n v="107"/>
    <s v="_x0000_peopl"/>
  </r>
  <r>
    <x v="6"/>
    <n v="13.686999999999999"/>
    <n v="-89.194599999999994"/>
    <n v="8"/>
    <n v="0"/>
    <n v="0"/>
    <n v="107"/>
    <s v="_x0000_peopl"/>
  </r>
  <r>
    <x v="6"/>
    <n v="13.690799999999999"/>
    <n v="-89.185500000000005"/>
    <n v="4"/>
    <n v="0"/>
    <n v="0"/>
    <n v="107"/>
    <s v="_x0000_peopl"/>
  </r>
  <r>
    <x v="6"/>
    <n v="13.690799999999999"/>
    <n v="-89.233400000000003"/>
    <n v="4"/>
    <n v="0"/>
    <n v="0"/>
    <n v="107"/>
    <s v="_x0000_peopl"/>
  </r>
  <r>
    <x v="6"/>
    <n v="13.6744"/>
    <n v="-89.251900000000006"/>
    <n v="3"/>
    <n v="0"/>
    <n v="0"/>
    <n v="107"/>
    <s v="_x0000_peopl"/>
  </r>
  <r>
    <x v="6"/>
    <n v="13.689299999999999"/>
    <n v="-89.178200000000004"/>
    <n v="5"/>
    <n v="0"/>
    <n v="0"/>
    <n v="107"/>
    <s v="_x0000_peopl"/>
  </r>
  <r>
    <x v="6"/>
    <n v="13.690799999999999"/>
    <n v="-89.197599999999994"/>
    <n v="7"/>
    <n v="0"/>
    <n v="0"/>
    <n v="107"/>
    <s v="_x0000_peopl"/>
  </r>
  <r>
    <x v="6"/>
    <n v="13.6852"/>
    <n v="-89.217299999999994"/>
    <n v="5"/>
    <n v="0"/>
    <n v="0"/>
    <n v="107"/>
    <s v="_x0000_peopl"/>
  </r>
  <r>
    <x v="6"/>
    <n v="13.6891"/>
    <n v="-89.184299999999993"/>
    <n v="5"/>
    <n v="0"/>
    <n v="0"/>
    <n v="107"/>
    <s v="_x0000_peopl"/>
  </r>
  <r>
    <x v="6"/>
    <n v="13.694599999999999"/>
    <n v="-89.175200000000004"/>
    <n v="7"/>
    <n v="0"/>
    <n v="0"/>
    <n v="107"/>
    <s v="_x0000_peopl"/>
  </r>
  <r>
    <x v="6"/>
    <n v="13.691599999999999"/>
    <n v="-89.186300000000003"/>
    <n v="6"/>
    <n v="0"/>
    <n v="0"/>
    <n v="107"/>
    <s v="_x0000_peopl"/>
  </r>
  <r>
    <x v="6"/>
    <n v="13.69"/>
    <n v="-89.1798"/>
    <n v="3"/>
    <n v="0"/>
    <n v="0"/>
    <n v="107"/>
    <s v="_x0000_peopl"/>
  </r>
  <r>
    <x v="6"/>
    <n v="13.691000000000001"/>
    <n v="-89.198099999999997"/>
    <n v="10"/>
    <n v="0"/>
    <n v="0"/>
    <n v="107"/>
    <s v="_x0000_peopl"/>
  </r>
  <r>
    <x v="6"/>
    <n v="13.6943"/>
    <n v="-89.1751"/>
    <n v="3"/>
    <n v="0"/>
    <n v="0"/>
    <n v="107"/>
    <s v="_x0000_peopl"/>
  </r>
  <r>
    <x v="6"/>
    <n v="13.6968"/>
    <n v="-89.171599999999998"/>
    <n v="5"/>
    <n v="0"/>
    <n v="0"/>
    <n v="107"/>
    <s v="_x0000_peopl"/>
  </r>
  <r>
    <x v="6"/>
    <n v="13.688000000000001"/>
    <n v="-89.180199999999999"/>
    <n v="7"/>
    <n v="0"/>
    <n v="0"/>
    <n v="107"/>
    <s v="_x0000_peopl"/>
  </r>
  <r>
    <x v="6"/>
    <n v="13.6869"/>
    <n v="-89.205200000000005"/>
    <n v="2"/>
    <n v="0"/>
    <n v="0"/>
    <n v="107"/>
    <s v="_x0000_peopl"/>
  </r>
  <r>
    <x v="6"/>
    <n v="13.6943"/>
    <n v="-89.183300000000003"/>
    <n v="7"/>
    <n v="0"/>
    <n v="0"/>
    <n v="107"/>
    <s v="_x0000_peopl"/>
  </r>
  <r>
    <x v="6"/>
    <n v="13.686500000000001"/>
    <n v="-89.211699999999993"/>
    <n v="4"/>
    <n v="0"/>
    <n v="0"/>
    <n v="107"/>
    <s v="_x0000_peopl"/>
  </r>
  <r>
    <x v="6"/>
    <n v="13.6754"/>
    <n v="-89.249799999999993"/>
    <n v="7"/>
    <n v="0"/>
    <n v="0"/>
    <n v="107"/>
    <s v="_x0000_peopl"/>
  </r>
  <r>
    <x v="6"/>
    <n v="13.685499999999999"/>
    <n v="-89.215500000000006"/>
    <n v="5"/>
    <n v="0"/>
    <n v="0"/>
    <n v="107"/>
    <s v="_x0000_peopl"/>
  </r>
  <r>
    <x v="6"/>
    <n v="13.6904"/>
    <n v="-89.234499999999997"/>
    <n v="3"/>
    <n v="0"/>
    <n v="0"/>
    <n v="107"/>
    <s v="_x0000_peopl"/>
  </r>
  <r>
    <x v="6"/>
    <n v="13.6944"/>
    <n v="-89.174700000000001"/>
    <n v="8"/>
    <n v="0"/>
    <n v="0"/>
    <n v="107"/>
    <s v="_x0000_peopl"/>
  </r>
  <r>
    <x v="6"/>
    <n v="13.686400000000001"/>
    <n v="-89.213200000000001"/>
    <n v="5"/>
    <n v="0"/>
    <n v="0"/>
    <n v="107"/>
    <s v="_x0000_peopl"/>
  </r>
  <r>
    <x v="6"/>
    <n v="13.6907"/>
    <n v="-89.194100000000006"/>
    <n v="2"/>
    <n v="0"/>
    <n v="0"/>
    <n v="107"/>
    <s v="_x0000_peopl"/>
  </r>
  <r>
    <x v="6"/>
    <n v="13.6919"/>
    <n v="-89.225399999999993"/>
    <n v="4"/>
    <n v="0"/>
    <n v="0"/>
    <n v="107"/>
    <s v="_x0000_peopl"/>
  </r>
  <r>
    <x v="6"/>
    <n v="13.690300000000001"/>
    <n v="-89.193700000000007"/>
    <n v="8"/>
    <n v="0"/>
    <n v="0"/>
    <n v="107"/>
    <s v="_x0000_peopl"/>
  </r>
  <r>
    <x v="6"/>
    <n v="13.6904"/>
    <n v="-89.235200000000006"/>
    <n v="4"/>
    <n v="0"/>
    <n v="0"/>
    <n v="107"/>
    <s v="_x0000_peopl"/>
  </r>
  <r>
    <x v="6"/>
    <n v="13.6927"/>
    <n v="-89.175700000000006"/>
    <n v="5"/>
    <n v="0"/>
    <n v="0"/>
    <n v="107"/>
    <s v="_x0000_peopl"/>
  </r>
  <r>
    <x v="6"/>
    <n v="13.692399999999999"/>
    <n v="-89.1768"/>
    <n v="5"/>
    <n v="0"/>
    <n v="0"/>
    <n v="107"/>
    <s v="_x0000_peopl"/>
  </r>
  <r>
    <x v="6"/>
    <n v="13.686999999999999"/>
    <n v="-89.212400000000002"/>
    <n v="3"/>
    <n v="0"/>
    <n v="0"/>
    <n v="107"/>
    <s v="_x0000_peopl"/>
  </r>
  <r>
    <x v="6"/>
    <n v="13.692399999999999"/>
    <n v="-89.178899999999999"/>
    <n v="4"/>
    <n v="0"/>
    <n v="0"/>
    <n v="107"/>
    <s v="_x0000_peopl"/>
  </r>
  <r>
    <x v="6"/>
    <n v="13.6913"/>
    <n v="-89.226399999999998"/>
    <n v="2"/>
    <n v="0"/>
    <n v="0"/>
    <n v="107"/>
    <s v="_x0000_peopl"/>
  </r>
  <r>
    <x v="6"/>
    <n v="13.6913"/>
    <n v="-89.234300000000005"/>
    <n v="10"/>
    <n v="0"/>
    <n v="0"/>
    <n v="107"/>
    <s v="_x0000_peopl"/>
  </r>
  <r>
    <x v="6"/>
    <n v="13.6922"/>
    <n v="-89.196799999999996"/>
    <n v="5"/>
    <n v="0"/>
    <n v="0"/>
    <n v="107"/>
    <s v="_x0000_peopl"/>
  </r>
  <r>
    <x v="6"/>
    <n v="13.691700000000001"/>
    <n v="-89.227000000000004"/>
    <n v="2"/>
    <n v="0"/>
    <n v="0"/>
    <n v="107"/>
    <s v="_x0000_peopl"/>
  </r>
  <r>
    <x v="6"/>
    <n v="13.6922"/>
    <n v="-89.222700000000003"/>
    <n v="6"/>
    <n v="0"/>
    <n v="0"/>
    <n v="107"/>
    <s v="_x0000_peopl"/>
  </r>
  <r>
    <x v="6"/>
    <n v="13.689299999999999"/>
    <n v="-89.207800000000006"/>
    <n v="8"/>
    <n v="0"/>
    <n v="0"/>
    <n v="107"/>
    <s v="_x0000_peopl"/>
  </r>
  <r>
    <x v="6"/>
    <n v="13.690099999999999"/>
    <n v="-89.193100000000001"/>
    <n v="4"/>
    <n v="0"/>
    <n v="0"/>
    <n v="107"/>
    <s v="_x0000_peopl"/>
  </r>
  <r>
    <x v="6"/>
    <n v="13.6906"/>
    <n v="-89.195499999999996"/>
    <n v="3"/>
    <n v="0"/>
    <n v="0"/>
    <n v="107"/>
    <s v="_x0000_peopl"/>
  </r>
  <r>
    <x v="6"/>
    <n v="13.6927"/>
    <n v="-89.189499999999995"/>
    <n v="7"/>
    <n v="0"/>
    <n v="0"/>
    <n v="107"/>
    <s v="_x0000_peopl"/>
  </r>
  <r>
    <x v="6"/>
    <n v="13.6859"/>
    <n v="-89.211399999999998"/>
    <n v="6"/>
    <n v="0"/>
    <n v="0"/>
    <n v="107"/>
    <s v="_x0000_peopl"/>
  </r>
  <r>
    <x v="6"/>
    <n v="13.690799999999999"/>
    <n v="-89.1952"/>
    <n v="2"/>
    <n v="0"/>
    <n v="0"/>
    <n v="107"/>
    <s v="_x0000_peopl"/>
  </r>
  <r>
    <x v="6"/>
    <n v="13.6874"/>
    <n v="-89.197299999999998"/>
    <n v="3"/>
    <n v="0"/>
    <n v="0"/>
    <n v="107"/>
    <s v="_x0000_peopl"/>
  </r>
  <r>
    <x v="6"/>
    <n v="13.6868"/>
    <n v="-89.191199999999995"/>
    <n v="6"/>
    <n v="0"/>
    <n v="0"/>
    <n v="107"/>
    <s v="_x0000_peopl"/>
  </r>
  <r>
    <x v="6"/>
    <n v="13.685499999999999"/>
    <n v="-89.202399999999997"/>
    <n v="4"/>
    <n v="0"/>
    <n v="0"/>
    <n v="107"/>
    <s v="_x0000_peopl"/>
  </r>
  <r>
    <x v="6"/>
    <n v="13.6906"/>
    <n v="-89.179100000000005"/>
    <n v="4"/>
    <n v="0"/>
    <n v="0"/>
    <n v="107"/>
    <s v="_x0000_peopl"/>
  </r>
  <r>
    <x v="6"/>
    <n v="13.688000000000001"/>
    <n v="-89.180400000000006"/>
    <n v="5"/>
    <n v="0"/>
    <n v="0"/>
    <n v="107"/>
    <s v="_x0000_peopl"/>
  </r>
  <r>
    <x v="6"/>
    <n v="13.6914"/>
    <n v="-89.179599999999994"/>
    <n v="6"/>
    <n v="0"/>
    <n v="0"/>
    <n v="107"/>
    <s v="_x0000_peopl"/>
  </r>
  <r>
    <x v="6"/>
    <n v="13.6927"/>
    <n v="-89.1785"/>
    <n v="6"/>
    <n v="0"/>
    <n v="0"/>
    <n v="107"/>
    <s v="_x0000_peopl"/>
  </r>
  <r>
    <x v="6"/>
    <n v="13.6927"/>
    <n v="-89.184399999999997"/>
    <n v="5"/>
    <n v="0"/>
    <n v="0"/>
    <n v="107"/>
    <s v="_x0000_peopl"/>
  </r>
  <r>
    <x v="6"/>
    <n v="13.6905"/>
    <n v="-89.188900000000004"/>
    <n v="2"/>
    <n v="0"/>
    <n v="0"/>
    <n v="107"/>
    <s v="_x0000_peopl"/>
  </r>
  <r>
    <x v="6"/>
    <n v="13.6861"/>
    <n v="-89.2136"/>
    <n v="3"/>
    <n v="0"/>
    <n v="0"/>
    <n v="107"/>
    <s v="_x0000_peopl"/>
  </r>
  <r>
    <x v="6"/>
    <n v="13.6898"/>
    <n v="-89.189599999999999"/>
    <n v="6"/>
    <n v="0"/>
    <n v="0"/>
    <n v="107"/>
    <s v="_x0000_peopl"/>
  </r>
  <r>
    <x v="6"/>
    <n v="13.692399999999999"/>
    <n v="-89.174300000000002"/>
    <n v="4"/>
    <n v="0"/>
    <n v="0"/>
    <n v="107"/>
    <s v="_x0000_peopl"/>
  </r>
  <r>
    <x v="6"/>
    <n v="13.6769"/>
    <n v="-89.2"/>
    <n v="3"/>
    <n v="0"/>
    <n v="0"/>
    <n v="107"/>
    <s v="_x0000_peopl"/>
  </r>
  <r>
    <x v="6"/>
    <n v="13.6922"/>
    <n v="-89.193700000000007"/>
    <n v="8"/>
    <n v="0"/>
    <n v="0"/>
    <n v="107"/>
    <s v="_x0000_peopl"/>
  </r>
  <r>
    <x v="6"/>
    <n v="13.689299999999999"/>
    <n v="-89.184200000000004"/>
    <n v="8"/>
    <n v="0"/>
    <n v="0"/>
    <n v="107"/>
    <s v="_x0000_peopl"/>
  </r>
  <r>
    <x v="6"/>
    <n v="13.6913"/>
    <n v="-89.188199999999995"/>
    <n v="9"/>
    <n v="0"/>
    <n v="0"/>
    <n v="107"/>
    <s v="_x0000_peopl"/>
  </r>
  <r>
    <x v="6"/>
    <n v="13.692299999999999"/>
    <n v="-89.174499999999995"/>
    <n v="5"/>
    <n v="0"/>
    <n v="0"/>
    <n v="107"/>
    <s v="_x0000_peopl"/>
  </r>
  <r>
    <x v="6"/>
    <n v="13.6882"/>
    <n v="-89.216700000000003"/>
    <n v="4"/>
    <n v="0"/>
    <n v="0"/>
    <n v="107"/>
    <s v="_x0000_peopl"/>
  </r>
  <r>
    <x v="6"/>
    <n v="13.6905"/>
    <n v="-89.227800000000002"/>
    <n v="1"/>
    <n v="0"/>
    <n v="0"/>
    <n v="107"/>
    <s v="_x0000_peopl"/>
  </r>
  <r>
    <x v="6"/>
    <n v="13.6928"/>
    <n v="-89.225300000000004"/>
    <n v="4"/>
    <n v="0"/>
    <n v="0"/>
    <n v="107"/>
    <s v="_x0000_peopl"/>
  </r>
  <r>
    <x v="6"/>
    <n v="13.6883"/>
    <n v="-89.1982"/>
    <n v="5"/>
    <n v="0"/>
    <n v="0"/>
    <n v="107"/>
    <s v="_x0000_peopl"/>
  </r>
  <r>
    <x v="6"/>
    <n v="13.696099999999999"/>
    <n v="-89.172700000000006"/>
    <n v="6"/>
    <n v="0"/>
    <n v="0"/>
    <n v="107"/>
    <s v="_x0000_peopl"/>
  </r>
  <r>
    <x v="6"/>
    <n v="13.689399999999999"/>
    <n v="-89.185699999999997"/>
    <n v="4"/>
    <n v="0"/>
    <n v="0"/>
    <n v="107"/>
    <s v="_x0000_peopl"/>
  </r>
  <r>
    <x v="6"/>
    <n v="13.691800000000001"/>
    <n v="-89.197299999999998"/>
    <n v="3"/>
    <n v="0"/>
    <n v="0"/>
    <n v="107"/>
    <s v="_x0000_peopl"/>
  </r>
  <r>
    <x v="6"/>
    <n v="13.6922"/>
    <n v="-89.227099999999993"/>
    <n v="1"/>
    <n v="0"/>
    <n v="0"/>
    <n v="107"/>
    <s v="_x0000_peopl"/>
  </r>
  <r>
    <x v="6"/>
    <n v="13.688000000000001"/>
    <n v="-89.193700000000007"/>
    <n v="3"/>
    <n v="0"/>
    <n v="0"/>
    <n v="107"/>
    <s v="_x0000_peopl"/>
  </r>
  <r>
    <x v="6"/>
    <n v="13.6768"/>
    <n v="-89.2483"/>
    <n v="5"/>
    <n v="0"/>
    <n v="0"/>
    <n v="107"/>
    <s v="_x0000_peopl"/>
  </r>
  <r>
    <x v="6"/>
    <n v="13.6904"/>
    <n v="-89.195999999999998"/>
    <n v="5"/>
    <n v="0"/>
    <n v="0"/>
    <n v="107"/>
    <s v="_x0000_peopl"/>
  </r>
  <r>
    <x v="6"/>
    <n v="13.673400000000001"/>
    <n v="-89.204400000000007"/>
    <n v="8"/>
    <n v="0"/>
    <n v="0"/>
    <n v="107"/>
    <s v="_x0000_peopl"/>
  </r>
  <r>
    <x v="6"/>
    <n v="13.6889"/>
    <n v="-89.205500000000001"/>
    <n v="2"/>
    <n v="0"/>
    <n v="0"/>
    <n v="107"/>
    <s v="_x0000_peopl"/>
  </r>
  <r>
    <x v="6"/>
    <n v="13.687200000000001"/>
    <n v="-89.197699999999998"/>
    <n v="5"/>
    <n v="0"/>
    <n v="0"/>
    <n v="107"/>
    <s v="_x0000_peopl"/>
  </r>
  <r>
    <x v="6"/>
    <n v="13.686999999999999"/>
    <n v="-89.2166"/>
    <n v="4"/>
    <n v="0"/>
    <n v="0"/>
    <n v="107"/>
    <s v="_x0000_peopl"/>
  </r>
  <r>
    <x v="6"/>
    <n v="13.691599999999999"/>
    <n v="-89.2346"/>
    <n v="4"/>
    <n v="0"/>
    <n v="0"/>
    <n v="107"/>
    <s v="_x0000_peopl"/>
  </r>
  <r>
    <x v="6"/>
    <n v="13.688800000000001"/>
    <n v="-89.198099999999997"/>
    <n v="8"/>
    <n v="0"/>
    <n v="0"/>
    <n v="107"/>
    <s v="_x0000_peopl"/>
  </r>
  <r>
    <x v="6"/>
    <n v="13.6867"/>
    <n v="-89.201899999999995"/>
    <n v="4"/>
    <n v="0"/>
    <n v="0"/>
    <n v="107"/>
    <s v="_x0000_peopl"/>
  </r>
  <r>
    <x v="6"/>
    <n v="13.6914"/>
    <n v="-89.188100000000006"/>
    <n v="2"/>
    <n v="0"/>
    <n v="0"/>
    <n v="107"/>
    <s v="_x0000_peopl"/>
  </r>
  <r>
    <x v="6"/>
    <n v="13.6911"/>
    <n v="-89.23"/>
    <n v="2"/>
    <n v="0"/>
    <n v="0"/>
    <n v="107"/>
    <s v="_x0000_peopl"/>
  </r>
  <r>
    <x v="6"/>
    <n v="13.6882"/>
    <n v="-89.215800000000002"/>
    <n v="5"/>
    <n v="0"/>
    <n v="0"/>
    <n v="107"/>
    <s v="_x0000_peopl"/>
  </r>
  <r>
    <x v="6"/>
    <n v="13.691000000000001"/>
    <n v="-89.233199999999997"/>
    <n v="8"/>
    <n v="0"/>
    <n v="0"/>
    <n v="107"/>
    <s v="_x0000_peopl"/>
  </r>
  <r>
    <x v="6"/>
    <n v="13.691599999999999"/>
    <n v="-89.235100000000003"/>
    <n v="6"/>
    <n v="0"/>
    <n v="0"/>
    <n v="107"/>
    <s v="_x0000_peopl"/>
  </r>
  <r>
    <x v="6"/>
    <n v="13.69"/>
    <n v="-89.188599999999994"/>
    <n v="13"/>
    <n v="0"/>
    <n v="0"/>
    <n v="107"/>
    <s v="_x0000_peopl"/>
  </r>
  <r>
    <x v="6"/>
    <n v="13.6868"/>
    <n v="-89.212900000000005"/>
    <n v="3"/>
    <n v="0"/>
    <n v="0"/>
    <n v="107"/>
    <s v="_x0000_peopl"/>
  </r>
  <r>
    <x v="6"/>
    <n v="13.6874"/>
    <n v="-89.196600000000004"/>
    <n v="7"/>
    <n v="0"/>
    <n v="0"/>
    <n v="107"/>
    <s v="_x0000_peopl"/>
  </r>
  <r>
    <x v="6"/>
    <n v="13.693099999999999"/>
    <n v="-89.186300000000003"/>
    <n v="2"/>
    <n v="0"/>
    <n v="0"/>
    <n v="107"/>
    <s v="_x0000_peopl"/>
  </r>
  <r>
    <x v="6"/>
    <n v="13.691800000000001"/>
    <n v="-89.225399999999993"/>
    <n v="3"/>
    <n v="0"/>
    <n v="0"/>
    <n v="107"/>
    <s v="_x0000_peopl"/>
  </r>
  <r>
    <x v="6"/>
    <n v="13.691700000000001"/>
    <n v="-89.232399999999998"/>
    <n v="1"/>
    <n v="0"/>
    <n v="0"/>
    <n v="107"/>
    <s v="_x0000_peopl"/>
  </r>
  <r>
    <x v="6"/>
    <n v="13.6876"/>
    <n v="-89.2042"/>
    <n v="5"/>
    <n v="0"/>
    <n v="0"/>
    <n v="107"/>
    <s v="_x0000_peopl"/>
  </r>
  <r>
    <x v="6"/>
    <n v="13.689500000000001"/>
    <n v="-89.185199999999995"/>
    <n v="4"/>
    <n v="0"/>
    <n v="0"/>
    <n v="107"/>
    <s v="_x0000_peopl"/>
  </r>
  <r>
    <x v="6"/>
    <n v="13.6892"/>
    <n v="-89.235799999999998"/>
    <n v="3"/>
    <n v="0"/>
    <n v="0"/>
    <n v="107"/>
    <s v="_x0000_peopl"/>
  </r>
  <r>
    <x v="6"/>
    <n v="13.687099999999999"/>
    <n v="-89.197199999999995"/>
    <n v="6"/>
    <n v="0"/>
    <n v="0"/>
    <n v="107"/>
    <s v="_x0000_peopl"/>
  </r>
  <r>
    <x v="6"/>
    <n v="13.692500000000001"/>
    <n v="-89.224400000000003"/>
    <n v="2"/>
    <n v="0"/>
    <n v="0"/>
    <n v="107"/>
    <s v="_x0000_peopl"/>
  </r>
  <r>
    <x v="6"/>
    <n v="13.6913"/>
    <n v="-89.235200000000006"/>
    <n v="6"/>
    <n v="0"/>
    <n v="0"/>
    <n v="107"/>
    <s v="_x0000_peopl"/>
  </r>
  <r>
    <x v="6"/>
    <n v="13.688000000000001"/>
    <n v="-89.216800000000006"/>
    <n v="6"/>
    <n v="0"/>
    <n v="0"/>
    <n v="107"/>
    <s v="_x0000_peopl"/>
  </r>
  <r>
    <x v="6"/>
    <n v="13.692500000000001"/>
    <n v="-89.223500000000001"/>
    <n v="5"/>
    <n v="0"/>
    <n v="0"/>
    <n v="107"/>
    <s v="_x0000_peopl"/>
  </r>
  <r>
    <x v="6"/>
    <n v="13.689399999999999"/>
    <n v="-89.183800000000005"/>
    <n v="4"/>
    <n v="0"/>
    <n v="0"/>
    <n v="107"/>
    <s v="_x0000_peopl"/>
  </r>
  <r>
    <x v="6"/>
    <n v="13.686"/>
    <n v="-89.198499999999996"/>
    <n v="2"/>
    <n v="0"/>
    <n v="0"/>
    <n v="107"/>
    <s v="_x0000_peopl"/>
  </r>
  <r>
    <x v="6"/>
    <n v="13.6914"/>
    <n v="-89.219899999999996"/>
    <n v="4"/>
    <n v="0"/>
    <n v="0"/>
    <n v="107"/>
    <s v="_x0000_peopl"/>
  </r>
  <r>
    <x v="6"/>
    <n v="13.686999999999999"/>
    <n v="-89.211299999999994"/>
    <n v="4"/>
    <n v="0"/>
    <n v="0"/>
    <n v="107"/>
    <s v="_x0000_peopl"/>
  </r>
  <r>
    <x v="6"/>
    <n v="13.6913"/>
    <n v="-89.234999999999999"/>
    <n v="5"/>
    <n v="0"/>
    <n v="0"/>
    <n v="107"/>
    <s v="_x0000_peopl"/>
  </r>
  <r>
    <x v="6"/>
    <n v="13.6874"/>
    <n v="-89.182100000000005"/>
    <n v="5"/>
    <n v="0"/>
    <n v="0"/>
    <n v="107"/>
    <s v="_x0000_peopl"/>
  </r>
  <r>
    <x v="6"/>
    <n v="13.6845"/>
    <n v="-89.2136"/>
    <n v="4"/>
    <n v="0"/>
    <n v="0"/>
    <n v="107"/>
    <s v="_x0000_peopl"/>
  </r>
  <r>
    <x v="6"/>
    <n v="13.6942"/>
    <n v="-89.185500000000005"/>
    <n v="7"/>
    <n v="0"/>
    <n v="0"/>
    <n v="107"/>
    <s v="_x0000_peopl"/>
  </r>
  <r>
    <x v="6"/>
    <n v="13.6915"/>
    <n v="-89.234099999999998"/>
    <n v="3"/>
    <n v="0"/>
    <n v="0"/>
    <n v="107"/>
    <s v="_x0000_peopl"/>
  </r>
  <r>
    <x v="6"/>
    <n v="13.690799999999999"/>
    <n v="-89.186199999999999"/>
    <n v="6"/>
    <n v="0"/>
    <n v="0"/>
    <n v="107"/>
    <s v="_x0000_peopl"/>
  </r>
  <r>
    <x v="6"/>
    <n v="13.685700000000001"/>
    <n v="-89.202200000000005"/>
    <n v="3"/>
    <n v="0"/>
    <n v="0"/>
    <n v="107"/>
    <s v="_x0000_peopl"/>
  </r>
  <r>
    <x v="6"/>
    <n v="13.6754"/>
    <n v="-89.249899999999997"/>
    <n v="6"/>
    <n v="0"/>
    <n v="0"/>
    <n v="107"/>
    <s v="_x0000_peopl"/>
  </r>
  <r>
    <x v="6"/>
    <n v="13.684900000000001"/>
    <n v="-89.216700000000003"/>
    <n v="7"/>
    <n v="0"/>
    <n v="0"/>
    <n v="107"/>
    <s v="_x0000_peopl"/>
  </r>
  <r>
    <x v="6"/>
    <n v="13.694699999999999"/>
    <n v="-89.183300000000003"/>
    <n v="4"/>
    <n v="0"/>
    <n v="0"/>
    <n v="107"/>
    <s v="_x0000_peopl"/>
  </r>
  <r>
    <x v="6"/>
    <n v="13.6731"/>
    <n v="-89.204499999999996"/>
    <n v="7"/>
    <n v="0"/>
    <n v="0"/>
    <n v="107"/>
    <s v="_x0000_peopl"/>
  </r>
  <r>
    <x v="6"/>
    <n v="13.679600000000001"/>
    <n v="-89.197199999999995"/>
    <n v="2"/>
    <n v="0"/>
    <n v="0"/>
    <n v="107"/>
    <s v="_x0000_peopl"/>
  </r>
  <r>
    <x v="6"/>
    <n v="13.6739"/>
    <n v="-89.202600000000004"/>
    <n v="4"/>
    <n v="0"/>
    <n v="0"/>
    <n v="107"/>
    <s v="_x0000_peopl"/>
  </r>
  <r>
    <x v="6"/>
    <n v="13.6927"/>
    <n v="-89.223699999999994"/>
    <n v="3"/>
    <n v="0"/>
    <n v="0"/>
    <n v="107"/>
    <s v="_x0000_peopl"/>
  </r>
  <r>
    <x v="6"/>
    <n v="13.6873"/>
    <n v="-89.194400000000002"/>
    <n v="5"/>
    <n v="0"/>
    <n v="0"/>
    <n v="107"/>
    <s v="_x0000_peopl"/>
  </r>
  <r>
    <x v="6"/>
    <n v="13.6911"/>
    <n v="-89.228800000000007"/>
    <n v="8"/>
    <n v="0"/>
    <n v="0"/>
    <n v="107"/>
    <s v="_x0000_peopl"/>
  </r>
  <r>
    <x v="6"/>
    <n v="13.676500000000001"/>
    <n v="-89.2"/>
    <n v="3"/>
    <n v="0"/>
    <n v="0"/>
    <n v="107"/>
    <s v="_x0000_peopl"/>
  </r>
  <r>
    <x v="6"/>
    <n v="13.688700000000001"/>
    <n v="-89.206999999999994"/>
    <n v="6"/>
    <n v="0"/>
    <n v="0"/>
    <n v="107"/>
    <s v="_x0000_peopl"/>
  </r>
  <r>
    <x v="6"/>
    <n v="13.691800000000001"/>
    <n v="-89.221000000000004"/>
    <n v="8"/>
    <n v="0"/>
    <n v="0"/>
    <n v="107"/>
    <s v="_x0000_peopl"/>
  </r>
  <r>
    <x v="6"/>
    <n v="13.6966"/>
    <n v="-89.172200000000004"/>
    <n v="5"/>
    <n v="0"/>
    <n v="0"/>
    <n v="107"/>
    <s v="_x0000_peopl"/>
  </r>
  <r>
    <x v="6"/>
    <n v="13.691000000000001"/>
    <n v="-89.234999999999999"/>
    <n v="8"/>
    <n v="0"/>
    <n v="0"/>
    <n v="107"/>
    <s v="_x0000_peopl"/>
  </r>
  <r>
    <x v="6"/>
    <n v="13.6899"/>
    <n v="-89.194100000000006"/>
    <n v="6"/>
    <n v="0"/>
    <n v="0"/>
    <n v="107"/>
    <s v="_x0000_peopl"/>
  </r>
  <r>
    <x v="6"/>
    <n v="13.6874"/>
    <n v="-89.216899999999995"/>
    <n v="3"/>
    <n v="0"/>
    <n v="0"/>
    <n v="107"/>
    <s v="_x0000_peopl"/>
  </r>
  <r>
    <x v="6"/>
    <n v="13.695600000000001"/>
    <n v="-89.171999999999997"/>
    <n v="2"/>
    <n v="0"/>
    <n v="0"/>
    <n v="107"/>
    <s v="_x0000_peopl"/>
  </r>
  <r>
    <x v="6"/>
    <n v="13.691000000000001"/>
    <n v="-89.229399999999998"/>
    <n v="7"/>
    <n v="0"/>
    <n v="0"/>
    <n v="107"/>
    <s v="_x0000_peopl"/>
  </r>
  <r>
    <x v="6"/>
    <n v="13.697100000000001"/>
    <n v="-89.171599999999998"/>
    <n v="10"/>
    <n v="0"/>
    <n v="0"/>
    <n v="107"/>
    <s v="_x0000_peopl"/>
  </r>
  <r>
    <x v="6"/>
    <n v="13.687200000000001"/>
    <n v="-89.205399999999997"/>
    <n v="2"/>
    <n v="0"/>
    <n v="0"/>
    <n v="107"/>
    <s v="_x0000_peopl"/>
  </r>
  <r>
    <x v="6"/>
    <n v="13.6875"/>
    <n v="-89.194299999999998"/>
    <n v="2"/>
    <n v="0"/>
    <n v="0"/>
    <n v="107"/>
    <s v="_x0000_peopl"/>
  </r>
  <r>
    <x v="6"/>
    <n v="13.6723"/>
    <n v="-89.205200000000005"/>
    <n v="2"/>
    <n v="0"/>
    <n v="0"/>
    <n v="107"/>
    <s v="_x0000_peopl"/>
  </r>
  <r>
    <x v="6"/>
    <n v="13.6959"/>
    <n v="-89.173000000000002"/>
    <n v="5"/>
    <n v="0"/>
    <n v="0"/>
    <n v="107"/>
    <s v="_x0000_peopl"/>
  </r>
  <r>
    <x v="6"/>
    <n v="13.688599999999999"/>
    <n v="-89.229600000000005"/>
    <n v="2"/>
    <n v="0"/>
    <n v="0"/>
    <n v="107"/>
    <s v="_x0000_peopl"/>
  </r>
  <r>
    <x v="6"/>
    <n v="13.6891"/>
    <n v="-89.183899999999994"/>
    <n v="7"/>
    <n v="0"/>
    <n v="0"/>
    <n v="107"/>
    <s v="_x0000_peopl"/>
  </r>
  <r>
    <x v="6"/>
    <n v="13.6873"/>
    <n v="-89.194500000000005"/>
    <n v="5"/>
    <n v="0"/>
    <n v="0"/>
    <n v="107"/>
    <s v="_x0000_peopl"/>
  </r>
  <r>
    <x v="6"/>
    <n v="13.6868"/>
    <n v="-89.181299999999993"/>
    <n v="8"/>
    <n v="0"/>
    <n v="0"/>
    <n v="107"/>
    <s v="_x0000_peopl"/>
  </r>
  <r>
    <x v="6"/>
    <n v="13.690099999999999"/>
    <n v="-89.188400000000001"/>
    <n v="4"/>
    <n v="0"/>
    <n v="0"/>
    <n v="107"/>
    <s v="_x0000_peopl"/>
  </r>
  <r>
    <x v="6"/>
    <n v="13.684699999999999"/>
    <n v="-89.213200000000001"/>
    <n v="5"/>
    <n v="0"/>
    <n v="0"/>
    <n v="107"/>
    <s v="_x0000_peopl"/>
  </r>
  <r>
    <x v="6"/>
    <n v="13.6914"/>
    <n v="-89.185299999999998"/>
    <n v="8"/>
    <n v="0"/>
    <n v="0"/>
    <n v="107"/>
    <s v="_x0000_peopl"/>
  </r>
  <r>
    <x v="6"/>
    <n v="13.6873"/>
    <n v="-89.215900000000005"/>
    <n v="4"/>
    <n v="0"/>
    <n v="0"/>
    <n v="107"/>
    <s v="_x0000_peopl"/>
  </r>
  <r>
    <x v="6"/>
    <n v="13.6944"/>
    <n v="-89.189099999999996"/>
    <n v="2"/>
    <n v="0"/>
    <n v="0"/>
    <n v="107"/>
    <s v="_x0000_peopl"/>
  </r>
  <r>
    <x v="6"/>
    <n v="13.680300000000001"/>
    <n v="-89.197999999999993"/>
    <n v="3"/>
    <n v="0"/>
    <n v="0"/>
    <n v="107"/>
    <s v="_x0000_peopl"/>
  </r>
  <r>
    <x v="6"/>
    <n v="13.6874"/>
    <n v="-89.197800000000001"/>
    <n v="3"/>
    <n v="0"/>
    <n v="0"/>
    <n v="107"/>
    <s v="_x0000_peopl"/>
  </r>
  <r>
    <x v="6"/>
    <n v="13.691599999999999"/>
    <n v="-89.1935"/>
    <n v="3"/>
    <n v="0"/>
    <n v="0"/>
    <n v="107"/>
    <s v="_x0000_peopl"/>
  </r>
  <r>
    <x v="6"/>
    <n v="13.691800000000001"/>
    <n v="-89.176100000000005"/>
    <n v="4"/>
    <n v="0"/>
    <n v="0"/>
    <n v="107"/>
    <s v="_x0000_peopl"/>
  </r>
  <r>
    <x v="6"/>
    <n v="13.691599999999999"/>
    <n v="-89.197100000000006"/>
    <n v="5"/>
    <n v="0"/>
    <n v="0"/>
    <n v="107"/>
    <s v="_x0000_peopl"/>
  </r>
  <r>
    <x v="6"/>
    <n v="13.6889"/>
    <n v="-89.198400000000007"/>
    <n v="10"/>
    <n v="0"/>
    <n v="0"/>
    <n v="107"/>
    <s v="_x0000_peopl"/>
  </r>
  <r>
    <x v="6"/>
    <n v="13.6723"/>
    <n v="-89.204899999999995"/>
    <n v="4"/>
    <n v="0"/>
    <n v="0"/>
    <n v="107"/>
    <s v="_x0000_peopl"/>
  </r>
  <r>
    <x v="6"/>
    <n v="13.695399999999999"/>
    <n v="-89.173599999999993"/>
    <n v="6"/>
    <n v="0"/>
    <n v="0"/>
    <n v="107"/>
    <s v="_x0000_peopl"/>
  </r>
  <r>
    <x v="6"/>
    <n v="13.6875"/>
    <n v="-89.194900000000004"/>
    <n v="4"/>
    <n v="0"/>
    <n v="0"/>
    <n v="107"/>
    <s v="_x0000_peopl"/>
  </r>
  <r>
    <x v="6"/>
    <n v="13.691599999999999"/>
    <n v="-89.234899999999996"/>
    <n v="7"/>
    <n v="0"/>
    <n v="0"/>
    <n v="107"/>
    <s v="_x0000_peopl"/>
  </r>
  <r>
    <x v="6"/>
    <n v="13.686"/>
    <n v="-89.213099999999997"/>
    <n v="5"/>
    <n v="0"/>
    <n v="0"/>
    <n v="107"/>
    <s v="_x0000_peopl"/>
  </r>
  <r>
    <x v="6"/>
    <n v="13.690799999999999"/>
    <n v="-89.190799999999996"/>
    <n v="6"/>
    <n v="0"/>
    <n v="0"/>
    <n v="107"/>
    <s v="_x0000_peopl"/>
  </r>
  <r>
    <x v="6"/>
    <n v="13.692299999999999"/>
    <n v="-89.177899999999994"/>
    <n v="7"/>
    <n v="0"/>
    <n v="0"/>
    <n v="107"/>
    <s v="_x0000_peopl"/>
  </r>
  <r>
    <x v="6"/>
    <n v="13.6921"/>
    <n v="-89.225200000000001"/>
    <n v="6"/>
    <n v="0"/>
    <n v="0"/>
    <n v="107"/>
    <s v="_x0000_peopl"/>
  </r>
  <r>
    <x v="6"/>
    <n v="13.690799999999999"/>
    <n v="-89.227099999999993"/>
    <n v="6"/>
    <n v="0"/>
    <n v="0"/>
    <n v="107"/>
    <s v="_x0000_peopl"/>
  </r>
  <r>
    <x v="6"/>
    <n v="13.6911"/>
    <n v="-89.1905"/>
    <n v="7"/>
    <n v="0"/>
    <n v="0"/>
    <n v="107"/>
    <s v="_x0000_peopl"/>
  </r>
  <r>
    <x v="6"/>
    <n v="13.692500000000001"/>
    <n v="-89.226200000000006"/>
    <n v="4"/>
    <n v="0"/>
    <n v="0"/>
    <n v="107"/>
    <s v="_x0000_peopl"/>
  </r>
  <r>
    <x v="6"/>
    <n v="13.6912"/>
    <n v="-89.233400000000003"/>
    <n v="5"/>
    <n v="0"/>
    <n v="0"/>
    <n v="107"/>
    <s v="_x0000_peopl"/>
  </r>
  <r>
    <x v="6"/>
    <n v="13.6934"/>
    <n v="-89.188699999999997"/>
    <n v="4"/>
    <n v="0"/>
    <n v="0"/>
    <n v="107"/>
    <s v="_x0000_peopl"/>
  </r>
  <r>
    <x v="6"/>
    <n v="13.6858"/>
    <n v="-89.214399999999998"/>
    <n v="5"/>
    <n v="0"/>
    <n v="0"/>
    <n v="107"/>
    <s v="_x0000_peopl"/>
  </r>
  <r>
    <x v="6"/>
    <n v="13.6859"/>
    <n v="-89.193899999999999"/>
    <n v="5"/>
    <n v="0"/>
    <n v="0"/>
    <n v="107"/>
    <s v="_x0000_peopl"/>
  </r>
  <r>
    <x v="6"/>
    <n v="13.6898"/>
    <n v="-89.194000000000003"/>
    <n v="5"/>
    <n v="0"/>
    <n v="0"/>
    <n v="107"/>
    <s v="_x0000_peopl"/>
  </r>
  <r>
    <x v="6"/>
    <n v="13.6877"/>
    <n v="-89.180999999999997"/>
    <n v="3"/>
    <n v="0"/>
    <n v="0"/>
    <n v="107"/>
    <s v="_x0000_peopl"/>
  </r>
  <r>
    <x v="6"/>
    <n v="13.679500000000001"/>
    <n v="-89.197199999999995"/>
    <n v="3"/>
    <n v="0"/>
    <n v="0"/>
    <n v="107"/>
    <s v="_x0000_peopl"/>
  </r>
  <r>
    <x v="6"/>
    <n v="13.6798"/>
    <n v="-89.196799999999996"/>
    <n v="6"/>
    <n v="0"/>
    <n v="0"/>
    <n v="107"/>
    <s v="_x0000_peopl"/>
  </r>
  <r>
    <x v="6"/>
    <n v="13.6861"/>
    <n v="-89.213899999999995"/>
    <n v="7"/>
    <n v="0"/>
    <n v="0"/>
    <n v="107"/>
    <s v="_x0000_peopl"/>
  </r>
  <r>
    <x v="6"/>
    <n v="13.6905"/>
    <n v="-89.183300000000003"/>
    <n v="5"/>
    <n v="0"/>
    <n v="0"/>
    <n v="107"/>
    <s v="_x0000_peopl"/>
  </r>
  <r>
    <x v="6"/>
    <n v="13.6778"/>
    <n v="-89.245699999999999"/>
    <n v="8"/>
    <n v="0"/>
    <n v="0"/>
    <n v="107"/>
    <s v="_x0000_peopl"/>
  </r>
  <r>
    <x v="6"/>
    <n v="13.689500000000001"/>
    <n v="-89.184600000000003"/>
    <n v="10"/>
    <n v="0"/>
    <n v="0"/>
    <n v="107"/>
    <s v="_x0000_peopl"/>
  </r>
  <r>
    <x v="6"/>
    <n v="13.691700000000001"/>
    <n v="-89.220600000000005"/>
    <n v="8"/>
    <n v="0"/>
    <n v="0"/>
    <n v="107"/>
    <s v="_x0000_peopl"/>
  </r>
  <r>
    <x v="6"/>
    <n v="13.6927"/>
    <n v="-89.178299999999993"/>
    <n v="1"/>
    <n v="0"/>
    <n v="0"/>
    <n v="107"/>
    <s v="_x0000_peopl"/>
  </r>
  <r>
    <x v="6"/>
    <n v="13.6859"/>
    <n v="-89.202200000000005"/>
    <n v="6"/>
    <n v="0"/>
    <n v="0"/>
    <n v="107"/>
    <s v="_x0000_peopl"/>
  </r>
  <r>
    <x v="6"/>
    <n v="13.689299999999999"/>
    <n v="-89.183800000000005"/>
    <n v="7"/>
    <n v="0"/>
    <n v="0"/>
    <n v="107"/>
    <s v="_x0000_peopl"/>
  </r>
  <r>
    <x v="6"/>
    <n v="13.692500000000001"/>
    <n v="-89.184600000000003"/>
    <n v="5"/>
    <n v="0"/>
    <n v="0"/>
    <n v="107"/>
    <s v="_x0000_peopl"/>
  </r>
  <r>
    <x v="6"/>
    <n v="13.6912"/>
    <n v="-89.178600000000003"/>
    <n v="5"/>
    <n v="0"/>
    <n v="0"/>
    <n v="107"/>
    <s v="_x0000_peopl"/>
  </r>
  <r>
    <x v="6"/>
    <n v="13.6953"/>
    <n v="-89.173299999999998"/>
    <n v="5"/>
    <n v="0"/>
    <n v="0"/>
    <n v="107"/>
    <s v="_x0000_peopl"/>
  </r>
  <r>
    <x v="6"/>
    <n v="13.6912"/>
    <n v="-89.230099999999993"/>
    <n v="5"/>
    <n v="0"/>
    <n v="0"/>
    <n v="107"/>
    <s v="_x0000_peopl"/>
  </r>
  <r>
    <x v="6"/>
    <n v="13.692299999999999"/>
    <n v="-89.189599999999999"/>
    <n v="7"/>
    <n v="0"/>
    <n v="0"/>
    <n v="107"/>
    <s v="_x0000_peopl"/>
  </r>
  <r>
    <x v="6"/>
    <n v="13.6867"/>
    <n v="-89.190799999999996"/>
    <n v="5"/>
    <n v="0"/>
    <n v="0"/>
    <n v="107"/>
    <s v="_x0000_peopl"/>
  </r>
  <r>
    <x v="6"/>
    <n v="13.690300000000001"/>
    <n v="-89.181299999999993"/>
    <n v="9"/>
    <n v="0"/>
    <n v="0"/>
    <n v="107"/>
    <s v="_x0000_peopl"/>
  </r>
  <r>
    <x v="6"/>
    <n v="13.6914"/>
    <n v="-89.235299999999995"/>
    <n v="8"/>
    <n v="0"/>
    <n v="0"/>
    <n v="107"/>
    <s v="_x0000_peopl"/>
  </r>
  <r>
    <x v="6"/>
    <n v="13.692500000000001"/>
    <n v="-89.224599999999995"/>
    <n v="7"/>
    <n v="0"/>
    <n v="0"/>
    <n v="107"/>
    <s v="_x0000_peopl"/>
  </r>
  <r>
    <x v="6"/>
    <n v="13.691000000000001"/>
    <n v="-89.179199999999994"/>
    <n v="3"/>
    <n v="0"/>
    <n v="0"/>
    <n v="107"/>
    <s v="_x0000_peopl"/>
  </r>
  <r>
    <x v="6"/>
    <n v="13.690799999999999"/>
    <n v="-89.187100000000001"/>
    <n v="7"/>
    <n v="0"/>
    <n v="0"/>
    <n v="107"/>
    <s v="_x0000_peopl"/>
  </r>
  <r>
    <x v="6"/>
    <n v="13.6953"/>
    <n v="-89.173599999999993"/>
    <n v="10"/>
    <n v="0"/>
    <n v="0"/>
    <n v="107"/>
    <s v="_x0000_peopl"/>
  </r>
  <r>
    <x v="6"/>
    <n v="13.6797"/>
    <n v="-89.197199999999995"/>
    <n v="3"/>
    <n v="0"/>
    <n v="0"/>
    <n v="107"/>
    <s v="_x0000_peopl"/>
  </r>
  <r>
    <x v="6"/>
    <n v="13.674300000000001"/>
    <n v="-89.202100000000002"/>
    <n v="6"/>
    <n v="0"/>
    <n v="0"/>
    <n v="107"/>
    <s v="_x0000_peopl"/>
  </r>
  <r>
    <x v="6"/>
    <n v="13.6854"/>
    <n v="-89.211299999999994"/>
    <n v="5"/>
    <n v="0"/>
    <n v="0"/>
    <n v="107"/>
    <s v="_x0000_peopl"/>
  </r>
  <r>
    <x v="6"/>
    <n v="13.6869"/>
    <n v="-89.214200000000005"/>
    <n v="5"/>
    <n v="0"/>
    <n v="0"/>
    <n v="107"/>
    <s v="_x0000_peopl"/>
  </r>
  <r>
    <x v="6"/>
    <n v="13.689"/>
    <n v="-89.194199999999995"/>
    <n v="5"/>
    <n v="0"/>
    <n v="0"/>
    <n v="107"/>
    <s v="_x0000_peopl"/>
  </r>
  <r>
    <x v="6"/>
    <n v="13.6911"/>
    <n v="-89.219899999999996"/>
    <n v="3"/>
    <n v="0"/>
    <n v="0"/>
    <n v="107"/>
    <s v="_x0000_peopl"/>
  </r>
  <r>
    <x v="6"/>
    <n v="13.692500000000001"/>
    <n v="-89.175600000000003"/>
    <n v="9"/>
    <n v="0"/>
    <n v="0"/>
    <n v="107"/>
    <s v="_x0000_peopl"/>
  </r>
  <r>
    <x v="6"/>
    <n v="13.688800000000001"/>
    <n v="-89.205200000000005"/>
    <n v="5"/>
    <n v="0"/>
    <n v="0"/>
    <n v="107"/>
    <s v="_x0000_peopl"/>
  </r>
  <r>
    <x v="6"/>
    <n v="13.690899999999999"/>
    <n v="-89.185299999999998"/>
    <n v="3"/>
    <n v="0"/>
    <n v="0"/>
    <n v="107"/>
    <s v="_x0000_peopl"/>
  </r>
  <r>
    <x v="6"/>
    <n v="13.690899999999999"/>
    <n v="-89.229500000000002"/>
    <n v="6"/>
    <n v="0"/>
    <n v="0"/>
    <n v="107"/>
    <s v="_x0000_peopl"/>
  </r>
  <r>
    <x v="6"/>
    <n v="13.690300000000001"/>
    <n v="-89.193100000000001"/>
    <n v="5"/>
    <n v="0"/>
    <n v="0"/>
    <n v="107"/>
    <s v="_x0000_peopl"/>
  </r>
  <r>
    <x v="6"/>
    <n v="13.688800000000001"/>
    <n v="-89.204999999999998"/>
    <n v="7"/>
    <n v="0"/>
    <n v="0"/>
    <n v="107"/>
    <s v="_x0000_peopl"/>
  </r>
  <r>
    <x v="6"/>
    <n v="13.6889"/>
    <n v="-89.198599999999999"/>
    <n v="1"/>
    <n v="0"/>
    <n v="0"/>
    <n v="107"/>
    <s v="_x0000_peopl"/>
  </r>
  <r>
    <x v="6"/>
    <n v="13.687200000000001"/>
    <n v="-89.194900000000004"/>
    <n v="3"/>
    <n v="0"/>
    <n v="0"/>
    <n v="107"/>
    <s v="_x0000_peopl"/>
  </r>
  <r>
    <x v="6"/>
    <n v="13.690200000000001"/>
    <n v="-89.235600000000005"/>
    <n v="8"/>
    <n v="0"/>
    <n v="0"/>
    <n v="107"/>
    <s v="_x0000_peopl"/>
  </r>
  <r>
    <x v="6"/>
    <n v="13.6911"/>
    <n v="-89.234800000000007"/>
    <n v="5"/>
    <n v="0"/>
    <n v="0"/>
    <n v="107"/>
    <s v="_x0000_peopl"/>
  </r>
  <r>
    <x v="6"/>
    <n v="13.691700000000001"/>
    <n v="-89.225999999999999"/>
    <n v="2"/>
    <n v="0"/>
    <n v="0"/>
    <n v="107"/>
    <s v="_x0000_peopl"/>
  </r>
  <r>
    <x v="6"/>
    <n v="13.6913"/>
    <n v="-89.179000000000002"/>
    <n v="3"/>
    <n v="0"/>
    <n v="0"/>
    <n v="107"/>
    <s v="_x0000_peopl"/>
  </r>
  <r>
    <x v="6"/>
    <n v="13.677199999999999"/>
    <n v="-89.198700000000002"/>
    <n v="5"/>
    <n v="0"/>
    <n v="0"/>
    <n v="107"/>
    <s v="_x0000_peopl"/>
  </r>
  <r>
    <x v="6"/>
    <n v="13.691700000000001"/>
    <n v="-89.179900000000004"/>
    <n v="4"/>
    <n v="0"/>
    <n v="0"/>
    <n v="107"/>
    <s v="_x0000_peopl"/>
  </r>
  <r>
    <x v="6"/>
    <n v="13.693"/>
    <n v="-89.178100000000001"/>
    <n v="9"/>
    <n v="0"/>
    <n v="0"/>
    <n v="107"/>
    <s v="_x0000_peopl"/>
  </r>
  <r>
    <x v="6"/>
    <n v="13.692299999999999"/>
    <n v="-89.177800000000005"/>
    <n v="9"/>
    <n v="0"/>
    <n v="0"/>
    <n v="107"/>
    <s v="_x0000_peopl"/>
  </r>
  <r>
    <x v="6"/>
    <n v="13.6927"/>
    <n v="-89.184299999999993"/>
    <n v="5"/>
    <n v="0"/>
    <n v="0"/>
    <n v="107"/>
    <s v="_x0000_peopl"/>
  </r>
  <r>
    <x v="6"/>
    <n v="13.6785"/>
    <n v="-89.196299999999994"/>
    <n v="6"/>
    <n v="0"/>
    <n v="0"/>
    <n v="107"/>
    <s v="_x0000_peopl"/>
  </r>
  <r>
    <x v="6"/>
    <n v="13.6892"/>
    <n v="-89.194500000000005"/>
    <n v="6"/>
    <n v="0"/>
    <n v="0"/>
    <n v="107"/>
    <s v="_x0000_peopl"/>
  </r>
  <r>
    <x v="6"/>
    <n v="13.692299999999999"/>
    <n v="-89.175799999999995"/>
    <n v="6"/>
    <n v="0"/>
    <n v="0"/>
    <n v="107"/>
    <s v="_x0000_peopl"/>
  </r>
  <r>
    <x v="6"/>
    <n v="13.690899999999999"/>
    <n v="-89.190600000000003"/>
    <n v="8"/>
    <n v="0"/>
    <n v="0"/>
    <n v="107"/>
    <s v="_x0000_peopl"/>
  </r>
  <r>
    <x v="6"/>
    <n v="13.673999999999999"/>
    <n v="-89.203100000000006"/>
    <n v="4"/>
    <n v="0"/>
    <n v="0"/>
    <n v="107"/>
    <s v="_x0000_peopl"/>
  </r>
  <r>
    <x v="6"/>
    <n v="13.679399999999999"/>
    <n v="-89.197199999999995"/>
    <n v="7"/>
    <n v="0"/>
    <n v="0"/>
    <n v="107"/>
    <s v="_x0000_peopl"/>
  </r>
  <r>
    <x v="6"/>
    <n v="13.690899999999999"/>
    <n v="-89.185000000000002"/>
    <n v="6"/>
    <n v="0"/>
    <n v="0"/>
    <n v="107"/>
    <s v="_x0000_peopl"/>
  </r>
  <r>
    <x v="6"/>
    <n v="13.6913"/>
    <n v="-89.226500000000001"/>
    <n v="6"/>
    <n v="0"/>
    <n v="0"/>
    <n v="107"/>
    <s v="_x0000_peopl"/>
  </r>
  <r>
    <x v="6"/>
    <n v="13.6845"/>
    <n v="-89.211799999999997"/>
    <n v="2"/>
    <n v="0"/>
    <n v="0"/>
    <n v="107"/>
    <s v="_x0000_peopl"/>
  </r>
  <r>
    <x v="6"/>
    <n v="13.6736"/>
    <n v="-89.204499999999996"/>
    <n v="5"/>
    <n v="0"/>
    <n v="0"/>
    <n v="107"/>
    <s v="_x0000_peopl"/>
  </r>
  <r>
    <x v="6"/>
    <n v="13.6798"/>
    <n v="-89.1965"/>
    <n v="9"/>
    <n v="0"/>
    <n v="0"/>
    <n v="107"/>
    <s v="_x0000_peopl"/>
  </r>
  <r>
    <x v="6"/>
    <n v="13.6914"/>
    <n v="-89.220799999999997"/>
    <n v="1"/>
    <n v="0"/>
    <n v="0"/>
    <n v="107"/>
    <s v="_x0000_peopl"/>
  </r>
  <r>
    <x v="6"/>
    <n v="13.6938"/>
    <n v="-89.176299999999998"/>
    <n v="8"/>
    <n v="0"/>
    <n v="0"/>
    <n v="107"/>
    <s v="_x0000_peopl"/>
  </r>
  <r>
    <x v="6"/>
    <n v="13.691800000000001"/>
    <n v="-89.194400000000002"/>
    <n v="9"/>
    <n v="0"/>
    <n v="0"/>
    <n v="107"/>
    <s v="_x0000_peopl"/>
  </r>
  <r>
    <x v="6"/>
    <n v="13.691599999999999"/>
    <n v="-89.233599999999996"/>
    <n v="4"/>
    <n v="0"/>
    <n v="0"/>
    <n v="107"/>
    <s v="_x0000_peopl"/>
  </r>
  <r>
    <x v="6"/>
    <n v="13.6881"/>
    <n v="-89.205799999999996"/>
    <n v="6"/>
    <n v="0"/>
    <n v="0"/>
    <n v="107"/>
    <s v="_x0000_peopl"/>
  </r>
  <r>
    <x v="6"/>
    <n v="13.6968"/>
    <n v="-89.172200000000004"/>
    <n v="3"/>
    <n v="0"/>
    <n v="0"/>
    <n v="107"/>
    <s v="_x0000_peopl"/>
  </r>
  <r>
    <x v="6"/>
    <n v="13.6899"/>
    <n v="-89.235699999999994"/>
    <n v="4"/>
    <n v="0"/>
    <n v="0"/>
    <n v="107"/>
    <s v="_x0000_peopl"/>
  </r>
  <r>
    <x v="6"/>
    <n v="13.6897"/>
    <n v="-89.235500000000002"/>
    <n v="5"/>
    <n v="0"/>
    <n v="0"/>
    <n v="107"/>
    <s v="_x0000_peopl"/>
  </r>
  <r>
    <x v="6"/>
    <n v="13.688499999999999"/>
    <n v="-89.2042"/>
    <n v="7"/>
    <n v="0"/>
    <n v="0"/>
    <n v="107"/>
    <s v="_x0000_peopl"/>
  </r>
  <r>
    <x v="6"/>
    <n v="13.6799"/>
    <n v="-89.196700000000007"/>
    <n v="3"/>
    <n v="0"/>
    <n v="0"/>
    <n v="107"/>
    <s v="_x0000_peopl"/>
  </r>
  <r>
    <x v="6"/>
    <n v="13.6784"/>
    <n v="-89.196399999999997"/>
    <n v="3"/>
    <n v="0"/>
    <n v="0"/>
    <n v="107"/>
    <s v="_x0000_peopl"/>
  </r>
  <r>
    <x v="6"/>
    <n v="13.674899999999999"/>
    <n v="-89.202500000000001"/>
    <n v="5"/>
    <n v="0"/>
    <n v="0"/>
    <n v="107"/>
    <s v="_x0000_peopl"/>
  </r>
  <r>
    <x v="6"/>
    <n v="13.692399999999999"/>
    <n v="-89.224500000000006"/>
    <n v="7"/>
    <n v="0"/>
    <n v="0"/>
    <n v="107"/>
    <s v="_x0000_peopl"/>
  </r>
  <r>
    <x v="6"/>
    <n v="13.691700000000001"/>
    <n v="-89.233599999999996"/>
    <n v="4"/>
    <n v="0"/>
    <n v="0"/>
    <n v="107"/>
    <s v="_x0000_peopl"/>
  </r>
  <r>
    <x v="6"/>
    <n v="13.6915"/>
    <n v="-89.228200000000001"/>
    <n v="8"/>
    <n v="0"/>
    <n v="0"/>
    <n v="107"/>
    <s v="_x0000_peopl"/>
  </r>
  <r>
    <x v="6"/>
    <n v="13.6934"/>
    <n v="-89.188199999999995"/>
    <n v="5"/>
    <n v="0"/>
    <n v="0"/>
    <n v="107"/>
    <s v="_x0000_peopl"/>
  </r>
  <r>
    <x v="6"/>
    <n v="13.6914"/>
    <n v="-89.226600000000005"/>
    <n v="4"/>
    <n v="0"/>
    <n v="0"/>
    <n v="107"/>
    <s v="_x0000_peopl"/>
  </r>
  <r>
    <x v="6"/>
    <n v="13.687900000000001"/>
    <n v="-89.181299999999993"/>
    <n v="3"/>
    <n v="0"/>
    <n v="0"/>
    <n v="107"/>
    <s v="_x0000_peopl"/>
  </r>
  <r>
    <x v="6"/>
    <n v="13.690300000000001"/>
    <n v="-89.228200000000001"/>
    <n v="7"/>
    <n v="0"/>
    <n v="0"/>
    <n v="107"/>
    <s v="_x0000_peopl"/>
  </r>
  <r>
    <x v="6"/>
    <n v="13.6876"/>
    <n v="-89.194699999999997"/>
    <n v="4"/>
    <n v="0"/>
    <n v="0"/>
    <n v="107"/>
    <s v="_x0000_peopl"/>
  </r>
  <r>
    <x v="6"/>
    <n v="13.689299999999999"/>
    <n v="-89.236400000000003"/>
    <n v="7"/>
    <n v="0"/>
    <n v="0"/>
    <n v="107"/>
    <s v="_x0000_peopl"/>
  </r>
  <r>
    <x v="6"/>
    <n v="13.686199999999999"/>
    <n v="-89.193799999999996"/>
    <n v="6"/>
    <n v="0"/>
    <n v="0"/>
    <n v="107"/>
    <s v="_x0000_peopl"/>
  </r>
  <r>
    <x v="6"/>
    <n v="13.6873"/>
    <n v="-89.194400000000002"/>
    <n v="5"/>
    <n v="0"/>
    <n v="0"/>
    <n v="107"/>
    <s v="_x0000_peopl"/>
  </r>
  <r>
    <x v="6"/>
    <n v="13.6873"/>
    <n v="-89.196600000000004"/>
    <n v="5"/>
    <n v="0"/>
    <n v="0"/>
    <n v="107"/>
    <s v="_x0000_peopl"/>
  </r>
  <r>
    <x v="6"/>
    <n v="13.672499999999999"/>
    <n v="-89.204899999999995"/>
    <n v="9"/>
    <n v="0"/>
    <n v="0"/>
    <n v="107"/>
    <s v="_x0000_peopl"/>
  </r>
  <r>
    <x v="6"/>
    <n v="13.6951"/>
    <n v="-89.173699999999997"/>
    <n v="5"/>
    <n v="0"/>
    <n v="0"/>
    <n v="107"/>
    <s v="_x0000_peopl"/>
  </r>
  <r>
    <x v="6"/>
    <n v="13.6736"/>
    <n v="-89.204599999999999"/>
    <n v="3"/>
    <n v="0"/>
    <n v="0"/>
    <n v="107"/>
    <s v="_x0000_peopl"/>
  </r>
  <r>
    <x v="6"/>
    <n v="13.6873"/>
    <n v="-89.213800000000006"/>
    <n v="3"/>
    <n v="0"/>
    <n v="0"/>
    <n v="107"/>
    <s v="_x0000_peopl"/>
  </r>
  <r>
    <x v="6"/>
    <n v="13.690200000000001"/>
    <n v="-89.193799999999996"/>
    <n v="7"/>
    <n v="0"/>
    <n v="0"/>
    <n v="107"/>
    <s v="_x0000_peopl"/>
  </r>
  <r>
    <x v="6"/>
    <n v="13.6852"/>
    <n v="-89.202100000000002"/>
    <n v="5"/>
    <n v="0"/>
    <n v="0"/>
    <n v="107"/>
    <s v="_x0000_peopl"/>
  </r>
  <r>
    <x v="6"/>
    <n v="13.692299999999999"/>
    <n v="-89.226399999999998"/>
    <n v="5"/>
    <n v="0"/>
    <n v="0"/>
    <n v="107"/>
    <s v="_x0000_peopl"/>
  </r>
  <r>
    <x v="6"/>
    <n v="13.6911"/>
    <n v="-89.226600000000005"/>
    <n v="8"/>
    <n v="0"/>
    <n v="0"/>
    <n v="107"/>
    <s v="_x0000_peopl"/>
  </r>
  <r>
    <x v="6"/>
    <n v="13.689500000000001"/>
    <n v="-89.235799999999998"/>
    <n v="2"/>
    <n v="0"/>
    <n v="0"/>
    <n v="107"/>
    <s v="_x0000_peopl"/>
  </r>
  <r>
    <x v="6"/>
    <n v="13.687900000000001"/>
    <n v="-89.197100000000006"/>
    <n v="5"/>
    <n v="0"/>
    <n v="0"/>
    <n v="107"/>
    <s v="_x0000_peopl"/>
  </r>
  <r>
    <x v="6"/>
    <n v="13.692299999999999"/>
    <n v="-89.225800000000007"/>
    <n v="4"/>
    <n v="0"/>
    <n v="0"/>
    <n v="107"/>
    <s v="_x0000_peopl"/>
  </r>
  <r>
    <x v="6"/>
    <n v="13.690799999999999"/>
    <n v="-89.233500000000006"/>
    <n v="4"/>
    <n v="0"/>
    <n v="0"/>
    <n v="107"/>
    <s v="_x0000_peopl"/>
  </r>
  <r>
    <x v="6"/>
    <n v="13.6913"/>
    <n v="-89.232600000000005"/>
    <n v="3"/>
    <n v="0"/>
    <n v="0"/>
    <n v="107"/>
    <s v="_x0000_peopl"/>
  </r>
  <r>
    <x v="6"/>
    <n v="13.6745"/>
    <n v="-89.251900000000006"/>
    <n v="8"/>
    <n v="0"/>
    <n v="0"/>
    <n v="107"/>
    <s v="_x0000_peopl"/>
  </r>
  <r>
    <x v="6"/>
    <n v="13.690799999999999"/>
    <n v="-89.187600000000003"/>
    <n v="7"/>
    <n v="0"/>
    <n v="0"/>
    <n v="107"/>
    <s v="_x0000_peopl"/>
  </r>
  <r>
    <x v="6"/>
    <n v="13.6861"/>
    <n v="-89.198099999999997"/>
    <n v="4"/>
    <n v="0"/>
    <n v="0"/>
    <n v="107"/>
    <s v="_x0000_peopl"/>
  </r>
  <r>
    <x v="6"/>
    <n v="13.690799999999999"/>
    <n v="-89.190700000000007"/>
    <n v="8"/>
    <n v="0"/>
    <n v="0"/>
    <n v="107"/>
    <s v="_x0000_peopl"/>
  </r>
  <r>
    <x v="6"/>
    <n v="13.6747"/>
    <n v="-89.1995"/>
    <n v="4"/>
    <n v="0"/>
    <n v="0"/>
    <n v="107"/>
    <s v="_x0000_peopl"/>
  </r>
  <r>
    <x v="6"/>
    <n v="13.686"/>
    <n v="-89.2149"/>
    <n v="9"/>
    <n v="0"/>
    <n v="0"/>
    <n v="107"/>
    <s v="_x0000_peopl"/>
  </r>
  <r>
    <x v="6"/>
    <n v="13.690899999999999"/>
    <n v="-89.190700000000007"/>
    <n v="4"/>
    <n v="0"/>
    <n v="0"/>
    <n v="107"/>
    <s v="_x0000_peopl"/>
  </r>
  <r>
    <x v="6"/>
    <n v="13.69"/>
    <n v="-89.190299999999993"/>
    <n v="6"/>
    <n v="0"/>
    <n v="0"/>
    <n v="107"/>
    <s v="_x0000_peopl"/>
  </r>
  <r>
    <x v="6"/>
    <n v="13.6907"/>
    <n v="-89.179100000000005"/>
    <n v="5"/>
    <n v="0"/>
    <n v="0"/>
    <n v="107"/>
    <s v="_x0000_peopl"/>
  </r>
  <r>
    <x v="6"/>
    <n v="13.6866"/>
    <n v="-89.212999999999994"/>
    <n v="1"/>
    <n v="0"/>
    <n v="0"/>
    <n v="107"/>
    <s v="_x0000_peopl"/>
  </r>
  <r>
    <x v="6"/>
    <n v="13.688599999999999"/>
    <n v="-89.216300000000004"/>
    <n v="3"/>
    <n v="0"/>
    <n v="0"/>
    <n v="107"/>
    <s v="_x0000_peopl"/>
  </r>
  <r>
    <x v="6"/>
    <n v="13.6905"/>
    <n v="-89.197500000000005"/>
    <n v="7"/>
    <n v="0"/>
    <n v="0"/>
    <n v="107"/>
    <s v="_x0000_peopl"/>
  </r>
  <r>
    <x v="6"/>
    <n v="13.696099999999999"/>
    <n v="-89.172700000000006"/>
    <n v="2"/>
    <n v="0"/>
    <n v="0"/>
    <n v="107"/>
    <s v="_x0000_peopl"/>
  </r>
  <r>
    <x v="6"/>
    <n v="13.6897"/>
    <n v="-89.229500000000002"/>
    <n v="1"/>
    <n v="0"/>
    <n v="0"/>
    <n v="107"/>
    <s v="_x0000_peopl"/>
  </r>
  <r>
    <x v="6"/>
    <n v="13.6876"/>
    <n v="-89.194999999999993"/>
    <n v="3"/>
    <n v="0"/>
    <n v="0"/>
    <n v="107"/>
    <s v="_x0000_peopl"/>
  </r>
  <r>
    <x v="6"/>
    <n v="13.6846"/>
    <n v="-89.216899999999995"/>
    <n v="5"/>
    <n v="0"/>
    <n v="0"/>
    <n v="107"/>
    <s v="_x0000_peopl"/>
  </r>
  <r>
    <x v="6"/>
    <n v="13.6914"/>
    <n v="-89.1785"/>
    <n v="1"/>
    <n v="0"/>
    <n v="0"/>
    <n v="107"/>
    <s v="_x0000_peopl"/>
  </r>
  <r>
    <x v="6"/>
    <n v="13.6798"/>
    <n v="-89.195499999999996"/>
    <n v="10"/>
    <n v="0"/>
    <n v="0"/>
    <n v="107"/>
    <s v="_x0000_peopl"/>
  </r>
  <r>
    <x v="6"/>
    <n v="13.6906"/>
    <n v="-89.186599999999999"/>
    <n v="9"/>
    <n v="0"/>
    <n v="0"/>
    <n v="107"/>
    <s v="_x0000_peopl"/>
  </r>
  <r>
    <x v="6"/>
    <n v="13.6747"/>
    <n v="-89.251099999999994"/>
    <n v="6"/>
    <n v="0"/>
    <n v="0"/>
    <n v="107"/>
    <s v="_x0000_peopl"/>
  </r>
  <r>
    <x v="6"/>
    <n v="13.6911"/>
    <n v="-89.233199999999997"/>
    <n v="5"/>
    <n v="0"/>
    <n v="0"/>
    <n v="107"/>
    <s v="_x0000_peopl"/>
  </r>
  <r>
    <x v="6"/>
    <n v="13.6943"/>
    <n v="-89.185500000000005"/>
    <n v="9"/>
    <n v="0"/>
    <n v="0"/>
    <n v="107"/>
    <s v="_x0000_peopl"/>
  </r>
  <r>
    <x v="6"/>
    <n v="13.6905"/>
    <n v="-89.178899999999999"/>
    <n v="3"/>
    <n v="0"/>
    <n v="0"/>
    <n v="107"/>
    <s v="_x0000_peopl"/>
  </r>
  <r>
    <x v="6"/>
    <n v="13.6935"/>
    <n v="-89.176199999999994"/>
    <n v="2"/>
    <n v="0"/>
    <n v="0"/>
    <n v="107"/>
    <s v="_x0000_peopl"/>
  </r>
  <r>
    <x v="6"/>
    <n v="13.6858"/>
    <n v="-89.211600000000004"/>
    <n v="4"/>
    <n v="0"/>
    <n v="0"/>
    <n v="107"/>
    <s v="_x0000_peopl"/>
  </r>
  <r>
    <x v="6"/>
    <n v="13.6874"/>
    <n v="-89.214299999999994"/>
    <n v="3"/>
    <n v="0"/>
    <n v="0"/>
    <n v="107"/>
    <s v="_x0000_peopl"/>
  </r>
  <r>
    <x v="6"/>
    <n v="13.6914"/>
    <n v="-89.234200000000001"/>
    <n v="2"/>
    <n v="0"/>
    <n v="0"/>
    <n v="107"/>
    <s v="_x0000_peopl"/>
  </r>
  <r>
    <x v="6"/>
    <n v="13.6911"/>
    <n v="-89.232500000000002"/>
    <n v="3"/>
    <n v="0"/>
    <n v="0"/>
    <n v="107"/>
    <s v="_x0000_peopl"/>
  </r>
  <r>
    <x v="6"/>
    <n v="13.686199999999999"/>
    <n v="-89.197999999999993"/>
    <n v="8"/>
    <n v="0"/>
    <n v="0"/>
    <n v="107"/>
    <s v="_x0000_peopl"/>
  </r>
  <r>
    <x v="6"/>
    <n v="13.686999999999999"/>
    <n v="-89.183199999999999"/>
    <n v="7"/>
    <n v="0"/>
    <n v="0"/>
    <n v="107"/>
    <s v="_x0000_peopl"/>
  </r>
  <r>
    <x v="6"/>
    <n v="13.689"/>
    <n v="-89.178299999999993"/>
    <n v="4"/>
    <n v="0"/>
    <n v="0"/>
    <n v="107"/>
    <s v="_x0000_peopl"/>
  </r>
  <r>
    <x v="6"/>
    <n v="13.6934"/>
    <n v="-89.176500000000004"/>
    <n v="6"/>
    <n v="0"/>
    <n v="0"/>
    <n v="107"/>
    <s v="_x0000_peopl"/>
  </r>
  <r>
    <x v="6"/>
    <n v="13.6913"/>
    <n v="-89.190299999999993"/>
    <n v="3"/>
    <n v="0"/>
    <n v="0"/>
    <n v="107"/>
    <s v="_x0000_peopl"/>
  </r>
  <r>
    <x v="6"/>
    <n v="13.678900000000001"/>
    <n v="-89.196399999999997"/>
    <n v="3"/>
    <n v="0"/>
    <n v="0"/>
    <n v="107"/>
    <s v="_x0000_peopl"/>
  </r>
  <r>
    <x v="6"/>
    <n v="13.6907"/>
    <n v="-89.231800000000007"/>
    <n v="2"/>
    <n v="0"/>
    <n v="0"/>
    <n v="107"/>
    <s v="_x0000_peopl"/>
  </r>
  <r>
    <x v="6"/>
    <n v="13.689299999999999"/>
    <n v="-89.208100000000002"/>
    <n v="4"/>
    <n v="0"/>
    <n v="0"/>
    <n v="107"/>
    <s v="_x0000_peopl"/>
  </r>
  <r>
    <x v="6"/>
    <n v="13.6899"/>
    <n v="-89.179599999999994"/>
    <n v="4"/>
    <n v="0"/>
    <n v="0"/>
    <n v="107"/>
    <s v="_x0000_peopl"/>
  </r>
  <r>
    <x v="6"/>
    <n v="13.6915"/>
    <n v="-89.193399999999997"/>
    <n v="6"/>
    <n v="0"/>
    <n v="0"/>
    <n v="107"/>
    <s v="_x0000_peopl"/>
  </r>
  <r>
    <x v="6"/>
    <n v="13.688800000000001"/>
    <n v="-89.229100000000003"/>
    <n v="8"/>
    <n v="0"/>
    <n v="0"/>
    <n v="107"/>
    <s v="_x0000_peopl"/>
  </r>
  <r>
    <x v="6"/>
    <n v="13.692299999999999"/>
    <n v="-89.226200000000006"/>
    <n v="6"/>
    <n v="0"/>
    <n v="0"/>
    <n v="107"/>
    <s v="_x0000_peopl"/>
  </r>
  <r>
    <x v="6"/>
    <n v="13.691599999999999"/>
    <n v="-89.234999999999999"/>
    <n v="4"/>
    <n v="0"/>
    <n v="0"/>
    <n v="107"/>
    <s v="_x0000_peopl"/>
  </r>
  <r>
    <x v="6"/>
    <n v="13.6914"/>
    <n v="-89.189899999999994"/>
    <n v="2"/>
    <n v="0"/>
    <n v="0"/>
    <n v="107"/>
    <s v="_x0000_peopl"/>
  </r>
  <r>
    <x v="6"/>
    <n v="13.679399999999999"/>
    <n v="-89.1965"/>
    <n v="0"/>
    <n v="0"/>
    <n v="0"/>
    <n v="107"/>
    <s v="_x0000_peopl"/>
  </r>
  <r>
    <x v="6"/>
    <n v="13.6913"/>
    <n v="-89.22"/>
    <n v="7"/>
    <n v="0"/>
    <n v="0"/>
    <n v="107"/>
    <s v="_x0000_peopl"/>
  </r>
  <r>
    <x v="6"/>
    <n v="13.6942"/>
    <n v="-89.173000000000002"/>
    <n v="3"/>
    <n v="0"/>
    <n v="0"/>
    <n v="107"/>
    <s v="_x0000_peopl"/>
  </r>
  <r>
    <x v="6"/>
    <n v="13.691000000000001"/>
    <n v="-89.233800000000002"/>
    <n v="7"/>
    <n v="0"/>
    <n v="0"/>
    <n v="107"/>
    <s v="_x0000_peopl"/>
  </r>
  <r>
    <x v="6"/>
    <n v="13.6905"/>
    <n v="-89.231899999999996"/>
    <n v="5"/>
    <n v="0"/>
    <n v="0"/>
    <n v="107"/>
    <s v="_x0000_peopl"/>
  </r>
  <r>
    <x v="6"/>
    <n v="13.679399999999999"/>
    <n v="-89.196799999999996"/>
    <n v="1"/>
    <n v="0"/>
    <n v="0"/>
    <n v="107"/>
    <s v="_x0000_peopl"/>
  </r>
  <r>
    <x v="6"/>
    <n v="13.6922"/>
    <n v="-89.223299999999995"/>
    <n v="3"/>
    <n v="0"/>
    <n v="0"/>
    <n v="107"/>
    <s v="_x0000_peopl"/>
  </r>
  <r>
    <x v="6"/>
    <n v="13.690899999999999"/>
    <n v="-89.181700000000006"/>
    <n v="7"/>
    <n v="0"/>
    <n v="0"/>
    <n v="107"/>
    <s v="_x0000_peopl"/>
  </r>
  <r>
    <x v="6"/>
    <n v="13.684799999999999"/>
    <n v="-89.203100000000006"/>
    <n v="3"/>
    <n v="0"/>
    <n v="0"/>
    <n v="107"/>
    <s v="_x0000_peopl"/>
  </r>
  <r>
    <x v="6"/>
    <n v="13.692399999999999"/>
    <n v="-89.174999999999997"/>
    <n v="7"/>
    <n v="0"/>
    <n v="0"/>
    <n v="107"/>
    <s v="_x0000_peopl"/>
  </r>
  <r>
    <x v="6"/>
    <n v="13.6869"/>
    <n v="-89.216200000000001"/>
    <n v="11"/>
    <n v="0"/>
    <n v="0"/>
    <n v="107"/>
    <s v="_x0000_peopl"/>
  </r>
  <r>
    <x v="6"/>
    <n v="13.684900000000001"/>
    <n v="-89.216800000000006"/>
    <n v="7"/>
    <n v="0"/>
    <n v="0"/>
    <n v="107"/>
    <s v="_x0000_peopl"/>
  </r>
  <r>
    <x v="6"/>
    <n v="13.6921"/>
    <n v="-89.185900000000004"/>
    <n v="3"/>
    <n v="0"/>
    <n v="0"/>
    <n v="107"/>
    <s v="_x0000_peopl"/>
  </r>
  <r>
    <x v="6"/>
    <n v="13.677199999999999"/>
    <n v="-89.199100000000001"/>
    <n v="6"/>
    <n v="0"/>
    <n v="0"/>
    <n v="107"/>
    <s v="_x0000_peopl"/>
  </r>
  <r>
    <x v="6"/>
    <n v="13.6858"/>
    <n v="-89.215500000000006"/>
    <n v="5"/>
    <n v="0"/>
    <n v="0"/>
    <n v="107"/>
    <s v="_x0000_peopl"/>
  </r>
  <r>
    <x v="6"/>
    <n v="13.694599999999999"/>
    <n v="-89.185500000000005"/>
    <n v="5"/>
    <n v="0"/>
    <n v="0"/>
    <n v="107"/>
    <s v="_x0000_peopl"/>
  </r>
  <r>
    <x v="6"/>
    <n v="13.6915"/>
    <n v="-89.183199999999999"/>
    <n v="8"/>
    <n v="0"/>
    <n v="0"/>
    <n v="107"/>
    <s v="_x0000_peopl"/>
  </r>
  <r>
    <x v="6"/>
    <n v="13.6884"/>
    <n v="-89.216899999999995"/>
    <n v="6"/>
    <n v="0"/>
    <n v="0"/>
    <n v="107"/>
    <s v="_x0000_peopl"/>
  </r>
  <r>
    <x v="6"/>
    <n v="13.6913"/>
    <n v="-89.235100000000003"/>
    <n v="6"/>
    <n v="0"/>
    <n v="0"/>
    <n v="107"/>
    <s v="_x0000_peopl"/>
  </r>
  <r>
    <x v="6"/>
    <n v="13.674099999999999"/>
    <n v="-89.252099999999999"/>
    <n v="7"/>
    <n v="0"/>
    <n v="0"/>
    <n v="107"/>
    <s v="_x0000_peopl"/>
  </r>
  <r>
    <x v="6"/>
    <n v="13.6904"/>
    <n v="-89.194900000000004"/>
    <n v="4"/>
    <n v="0"/>
    <n v="0"/>
    <n v="107"/>
    <s v="_x0000_peopl"/>
  </r>
  <r>
    <x v="6"/>
    <n v="13.6752"/>
    <n v="-89.2"/>
    <n v="7"/>
    <n v="0"/>
    <n v="0"/>
    <n v="107"/>
    <s v="_x0000_peopl"/>
  </r>
  <r>
    <x v="6"/>
    <n v="13.6965"/>
    <n v="-89.171700000000001"/>
    <n v="7"/>
    <n v="0"/>
    <n v="0"/>
    <n v="107"/>
    <s v="_x0000_peopl"/>
  </r>
  <r>
    <x v="6"/>
    <n v="13.690300000000001"/>
    <n v="-89.2346"/>
    <n v="7"/>
    <n v="0"/>
    <n v="0"/>
    <n v="107"/>
    <s v="_x0000_peopl"/>
  </r>
  <r>
    <x v="6"/>
    <n v="13.6854"/>
    <n v="-89.2136"/>
    <n v="8"/>
    <n v="0"/>
    <n v="0"/>
    <n v="107"/>
    <s v="_x0000_peopl"/>
  </r>
  <r>
    <x v="6"/>
    <n v="13.690200000000001"/>
    <n v="-89.228300000000004"/>
    <n v="6"/>
    <n v="0"/>
    <n v="0"/>
    <n v="107"/>
    <s v="_x0000_peopl"/>
  </r>
  <r>
    <x v="6"/>
    <n v="13.684799999999999"/>
    <n v="-89.194000000000003"/>
    <n v="5"/>
    <n v="0"/>
    <n v="0"/>
    <n v="107"/>
    <s v="_x0000_peopl"/>
  </r>
  <r>
    <x v="6"/>
    <n v="13.6958"/>
    <n v="-89.173100000000005"/>
    <n v="5"/>
    <n v="0"/>
    <n v="0"/>
    <n v="107"/>
    <s v="_x0000_peopl"/>
  </r>
  <r>
    <x v="6"/>
    <n v="13.6882"/>
    <n v="-89.194000000000003"/>
    <n v="12"/>
    <n v="0"/>
    <n v="0"/>
    <n v="107"/>
    <s v="_x0000_peopl"/>
  </r>
  <r>
    <x v="6"/>
    <n v="13.6906"/>
    <n v="-89.193399999999997"/>
    <n v="4"/>
    <n v="0"/>
    <n v="0"/>
    <n v="107"/>
    <s v="_x0000_peopl"/>
  </r>
  <r>
    <x v="6"/>
    <n v="13.6896"/>
    <n v="-89.179199999999994"/>
    <n v="1"/>
    <n v="0"/>
    <n v="0"/>
    <n v="107"/>
    <s v="_x0000_peopl"/>
  </r>
  <r>
    <x v="6"/>
    <n v="13.6891"/>
    <n v="-89.205500000000001"/>
    <n v="4"/>
    <n v="0"/>
    <n v="0"/>
    <n v="107"/>
    <s v="_x0000_peopl"/>
  </r>
  <r>
    <x v="6"/>
    <n v="13.6746"/>
    <n v="-89.202699999999993"/>
    <n v="7"/>
    <n v="0"/>
    <n v="0"/>
    <n v="107"/>
    <s v="_x0000_peopl"/>
  </r>
  <r>
    <x v="6"/>
    <n v="13.6881"/>
    <n v="-89.180800000000005"/>
    <n v="2"/>
    <n v="0"/>
    <n v="0"/>
    <n v="107"/>
    <s v="_x0000_peopl"/>
  </r>
  <r>
    <x v="6"/>
    <n v="13.676600000000001"/>
    <n v="-89.199399999999997"/>
    <n v="2"/>
    <n v="0"/>
    <n v="0"/>
    <n v="107"/>
    <s v="_x0000_peopl"/>
  </r>
  <r>
    <x v="6"/>
    <n v="13.6851"/>
    <n v="-89.212299999999999"/>
    <n v="3"/>
    <n v="0"/>
    <n v="0"/>
    <n v="107"/>
    <s v="_x0000_peopl"/>
  </r>
  <r>
    <x v="6"/>
    <n v="13.6854"/>
    <n v="-89.215299999999999"/>
    <n v="2"/>
    <n v="0"/>
    <n v="0"/>
    <n v="107"/>
    <s v="_x0000_peopl"/>
  </r>
  <r>
    <x v="6"/>
    <n v="13.6898"/>
    <n v="-89.179900000000004"/>
    <n v="5"/>
    <n v="0"/>
    <n v="0"/>
    <n v="107"/>
    <s v="_x0000_peopl"/>
  </r>
  <r>
    <x v="6"/>
    <n v="13.6897"/>
    <n v="-89.229500000000002"/>
    <n v="6"/>
    <n v="0"/>
    <n v="0"/>
    <n v="107"/>
    <s v="_x0000_peopl"/>
  </r>
  <r>
    <x v="6"/>
    <n v="13.694699999999999"/>
    <n v="-89.174400000000006"/>
    <n v="5"/>
    <n v="0"/>
    <n v="0"/>
    <n v="107"/>
    <s v="_x0000_peopl"/>
  </r>
  <r>
    <x v="6"/>
    <n v="13.6799"/>
    <n v="-89.194500000000005"/>
    <n v="6"/>
    <n v="0"/>
    <n v="0"/>
    <n v="107"/>
    <s v="_x0000_peopl"/>
  </r>
  <r>
    <x v="6"/>
    <n v="13.684799999999999"/>
    <n v="-89.211699999999993"/>
    <n v="5"/>
    <n v="0"/>
    <n v="0"/>
    <n v="107"/>
    <s v="_x0000_peopl"/>
  </r>
  <r>
    <x v="6"/>
    <n v="13.6745"/>
    <n v="-89.199100000000001"/>
    <n v="5"/>
    <n v="0"/>
    <n v="0"/>
    <n v="107"/>
    <s v="_x0000_peopl"/>
  </r>
  <r>
    <x v="6"/>
    <n v="13.6869"/>
    <n v="-89.2166"/>
    <n v="3"/>
    <n v="0"/>
    <n v="0"/>
    <n v="107"/>
    <s v="_x0000_peopl"/>
  </r>
  <r>
    <x v="6"/>
    <n v="13.6744"/>
    <n v="-89.251300000000001"/>
    <n v="8"/>
    <n v="0"/>
    <n v="0"/>
    <n v="107"/>
    <s v="_x0000_peopl"/>
  </r>
  <r>
    <x v="6"/>
    <n v="13.689299999999999"/>
    <n v="-89.181200000000004"/>
    <n v="1"/>
    <n v="0"/>
    <n v="0"/>
    <n v="107"/>
    <s v="_x0000_peopl"/>
  </r>
  <r>
    <x v="6"/>
    <n v="13.689399999999999"/>
    <n v="-89.185400000000001"/>
    <n v="4"/>
    <n v="0"/>
    <n v="0"/>
    <n v="107"/>
    <s v="_x0000_peopl"/>
  </r>
  <r>
    <x v="6"/>
    <n v="13.689299999999999"/>
    <n v="-89.229299999999995"/>
    <n v="5"/>
    <n v="0"/>
    <n v="0"/>
    <n v="107"/>
    <s v="_x0000_peopl"/>
  </r>
  <r>
    <x v="6"/>
    <n v="13.6913"/>
    <n v="-89.228800000000007"/>
    <n v="8"/>
    <n v="0"/>
    <n v="0"/>
    <n v="107"/>
    <s v="_x0000_peopl"/>
  </r>
  <r>
    <x v="6"/>
    <n v="13.6914"/>
    <n v="-89.226900000000001"/>
    <n v="9"/>
    <n v="0"/>
    <n v="0"/>
    <n v="107"/>
    <s v="_x0000_peopl"/>
  </r>
  <r>
    <x v="6"/>
    <n v="13.6899"/>
    <n v="-89.236199999999997"/>
    <n v="4"/>
    <n v="0"/>
    <n v="0"/>
    <n v="107"/>
    <s v="_x0000_peopl"/>
  </r>
  <r>
    <x v="6"/>
    <n v="13.6927"/>
    <n v="-89.184100000000001"/>
    <n v="4"/>
    <n v="0"/>
    <n v="0"/>
    <n v="107"/>
    <s v="_x0000_peopl"/>
  </r>
  <r>
    <x v="6"/>
    <n v="13.6922"/>
    <n v="-89.225800000000007"/>
    <n v="4"/>
    <n v="0"/>
    <n v="0"/>
    <n v="107"/>
    <s v="_x0000_peopl"/>
  </r>
  <r>
    <x v="6"/>
    <n v="13.6793"/>
    <n v="-89.196799999999996"/>
    <n v="6"/>
    <n v="0"/>
    <n v="0"/>
    <n v="107"/>
    <s v="_x0000_peopl"/>
  </r>
  <r>
    <x v="6"/>
    <n v="13.6952"/>
    <n v="-89.173599999999993"/>
    <n v="3"/>
    <n v="0"/>
    <n v="0"/>
    <n v="107"/>
    <s v="_x0000_peopl"/>
  </r>
  <r>
    <x v="6"/>
    <n v="13.6952"/>
    <n v="-89.174700000000001"/>
    <n v="7"/>
    <n v="0"/>
    <n v="0"/>
    <n v="107"/>
    <s v="_x0000_peopl"/>
  </r>
  <r>
    <x v="6"/>
    <n v="13.690799999999999"/>
    <n v="-89.219399999999993"/>
    <n v="12"/>
    <n v="0"/>
    <n v="0"/>
    <n v="107"/>
    <s v="_x0000_peopl"/>
  </r>
  <r>
    <x v="6"/>
    <n v="13.6881"/>
    <n v="-89.193799999999996"/>
    <n v="8"/>
    <n v="0"/>
    <n v="0"/>
    <n v="107"/>
    <s v="_x0000_peopl"/>
  </r>
  <r>
    <x v="6"/>
    <n v="13.6747"/>
    <n v="-89.251099999999994"/>
    <n v="4"/>
    <n v="0"/>
    <n v="0"/>
    <n v="107"/>
    <s v="_x0000_peopl"/>
  </r>
  <r>
    <x v="6"/>
    <n v="13.6853"/>
    <n v="-89.203000000000003"/>
    <n v="3"/>
    <n v="0"/>
    <n v="0"/>
    <n v="107"/>
    <s v="_x0000_peopl"/>
  </r>
  <r>
    <x v="6"/>
    <n v="13.685499999999999"/>
    <n v="-89.201499999999996"/>
    <n v="6"/>
    <n v="0"/>
    <n v="0"/>
    <n v="107"/>
    <s v="_x0000_peopl"/>
  </r>
  <r>
    <x v="6"/>
    <n v="13.6899"/>
    <n v="-89.190299999999993"/>
    <n v="1"/>
    <n v="0"/>
    <n v="0"/>
    <n v="107"/>
    <s v="_x0000_peopl"/>
  </r>
  <r>
    <x v="6"/>
    <n v="13.679600000000001"/>
    <n v="-89.197199999999995"/>
    <n v="5"/>
    <n v="0"/>
    <n v="0"/>
    <n v="107"/>
    <s v="_x0000_peopl"/>
  </r>
  <r>
    <x v="6"/>
    <n v="13.6943"/>
    <n v="-89.183099999999996"/>
    <n v="5"/>
    <n v="0"/>
    <n v="0"/>
    <n v="107"/>
    <s v="_x0000_peopl"/>
  </r>
  <r>
    <x v="6"/>
    <n v="13.687200000000001"/>
    <n v="-89.194599999999994"/>
    <n v="7"/>
    <n v="0"/>
    <n v="0"/>
    <n v="107"/>
    <s v="_x0000_peopl"/>
  </r>
  <r>
    <x v="6"/>
    <n v="13.6898"/>
    <n v="-89.194100000000006"/>
    <n v="7"/>
    <n v="0"/>
    <n v="0"/>
    <n v="107"/>
    <s v="_x0000_peopl"/>
  </r>
  <r>
    <x v="6"/>
    <n v="13.687900000000001"/>
    <n v="-89.196899999999999"/>
    <n v="3"/>
    <n v="0"/>
    <n v="0"/>
    <n v="107"/>
    <s v="_x0000_peopl"/>
  </r>
  <r>
    <x v="6"/>
    <n v="13.6861"/>
    <n v="-89.214200000000005"/>
    <n v="3"/>
    <n v="0"/>
    <n v="0"/>
    <n v="107"/>
    <s v="_x0000_peopl"/>
  </r>
  <r>
    <x v="6"/>
    <n v="13.6874"/>
    <n v="-89.193899999999999"/>
    <n v="6"/>
    <n v="0"/>
    <n v="0"/>
    <n v="107"/>
    <s v="_x0000_peopl"/>
  </r>
  <r>
    <x v="6"/>
    <n v="13.6777"/>
    <n v="-89.245800000000003"/>
    <n v="2"/>
    <n v="0"/>
    <n v="0"/>
    <n v="107"/>
    <s v="_x0000_peopl"/>
  </r>
  <r>
    <x v="6"/>
    <n v="13.6907"/>
    <n v="-89.235500000000002"/>
    <n v="4"/>
    <n v="0"/>
    <n v="0"/>
    <n v="107"/>
    <s v="_x0000_peopl"/>
  </r>
  <r>
    <x v="6"/>
    <n v="13.690899999999999"/>
    <n v="-89.194599999999994"/>
    <n v="8"/>
    <n v="0"/>
    <n v="0"/>
    <n v="107"/>
    <s v="_x0000_peopl"/>
  </r>
  <r>
    <x v="6"/>
    <n v="13.693199999999999"/>
    <n v="-89.177400000000006"/>
    <n v="6"/>
    <n v="0"/>
    <n v="0"/>
    <n v="107"/>
    <s v="_x0000_peopl"/>
  </r>
  <r>
    <x v="6"/>
    <n v="13.6868"/>
    <n v="-89.194599999999994"/>
    <n v="6"/>
    <n v="0"/>
    <n v="0"/>
    <n v="107"/>
    <s v="_x0000_peopl"/>
  </r>
  <r>
    <x v="6"/>
    <n v="13.6875"/>
    <n v="-89.194599999999994"/>
    <n v="4"/>
    <n v="0"/>
    <n v="0"/>
    <n v="107"/>
    <s v="_x0000_peopl"/>
  </r>
  <r>
    <x v="6"/>
    <n v="13.690099999999999"/>
    <n v="-89.195700000000002"/>
    <n v="8"/>
    <n v="0"/>
    <n v="0"/>
    <n v="107"/>
    <s v="_x0000_peopl"/>
  </r>
  <r>
    <x v="6"/>
    <n v="13.6911"/>
    <n v="-89.232500000000002"/>
    <n v="5"/>
    <n v="0"/>
    <n v="0"/>
    <n v="107"/>
    <s v="_x0000_peopl"/>
  </r>
  <r>
    <x v="6"/>
    <n v="13.6907"/>
    <n v="-89.231700000000004"/>
    <n v="1"/>
    <n v="0"/>
    <n v="0"/>
    <n v="107"/>
    <s v="_x0000_peopl"/>
  </r>
  <r>
    <x v="6"/>
    <n v="13.686199999999999"/>
    <n v="-89.213899999999995"/>
    <n v="6"/>
    <n v="0"/>
    <n v="0"/>
    <n v="107"/>
    <s v="_x0000_peopl"/>
  </r>
  <r>
    <x v="6"/>
    <n v="13.6889"/>
    <n v="-89.204800000000006"/>
    <n v="3"/>
    <n v="0"/>
    <n v="0"/>
    <n v="107"/>
    <s v="_x0000_peopl"/>
  </r>
  <r>
    <x v="6"/>
    <n v="13.684200000000001"/>
    <n v="-89.212800000000001"/>
    <n v="4"/>
    <n v="0"/>
    <n v="0"/>
    <n v="107"/>
    <s v="_x0000_peopl"/>
  </r>
  <r>
    <x v="6"/>
    <n v="13.6919"/>
    <n v="-89.196399999999997"/>
    <n v="5"/>
    <n v="0"/>
    <n v="0"/>
    <n v="107"/>
    <s v="_x0000_peopl"/>
  </r>
  <r>
    <x v="6"/>
    <n v="13.6911"/>
    <n v="-89.178700000000006"/>
    <n v="9"/>
    <n v="0"/>
    <n v="0"/>
    <n v="107"/>
    <s v="_x0000_peopl"/>
  </r>
  <r>
    <x v="6"/>
    <n v="13.6922"/>
    <n v="-89.222800000000007"/>
    <n v="6"/>
    <n v="0"/>
    <n v="0"/>
    <n v="107"/>
    <s v="_x0000_peopl"/>
  </r>
  <r>
    <x v="6"/>
    <n v="13.6867"/>
    <n v="-89.2119"/>
    <n v="2"/>
    <n v="0"/>
    <n v="0"/>
    <n v="107"/>
    <s v="_x0000_peopl"/>
  </r>
  <r>
    <x v="6"/>
    <n v="13.691800000000001"/>
    <n v="-89.197599999999994"/>
    <n v="7"/>
    <n v="0"/>
    <n v="0"/>
    <n v="107"/>
    <s v="_x0000_peopl"/>
  </r>
  <r>
    <x v="6"/>
    <n v="13.692"/>
    <n v="-89.226699999999994"/>
    <n v="5"/>
    <n v="0"/>
    <n v="0"/>
    <n v="107"/>
    <s v="_x0000_peopl"/>
  </r>
  <r>
    <x v="6"/>
    <n v="13.690799999999999"/>
    <n v="-89.234099999999998"/>
    <n v="4"/>
    <n v="0"/>
    <n v="0"/>
    <n v="107"/>
    <s v="_x0000_peopl"/>
  </r>
  <r>
    <x v="6"/>
    <n v="13.6745"/>
    <n v="-89.199299999999994"/>
    <n v="4"/>
    <n v="0"/>
    <n v="0"/>
    <n v="107"/>
    <s v="_x0000_peopl"/>
  </r>
  <r>
    <x v="6"/>
    <n v="13.6912"/>
    <n v="-89.232600000000005"/>
    <n v="5"/>
    <n v="0"/>
    <n v="0"/>
    <n v="107"/>
    <s v="_x0000_peopl"/>
  </r>
  <r>
    <x v="6"/>
    <n v="13.6745"/>
    <n v="-89.251099999999994"/>
    <n v="7"/>
    <n v="0"/>
    <n v="0"/>
    <n v="107"/>
    <s v="_x0000_peopl"/>
  </r>
  <r>
    <x v="6"/>
    <n v="13.6866"/>
    <n v="-89.203800000000001"/>
    <n v="8"/>
    <n v="0"/>
    <n v="0"/>
    <n v="107"/>
    <s v="_x0000_peopl"/>
  </r>
  <r>
    <x v="6"/>
    <n v="13.6906"/>
    <n v="-89.227900000000005"/>
    <n v="6"/>
    <n v="0"/>
    <n v="0"/>
    <n v="107"/>
    <s v="_x0000_peopl"/>
  </r>
  <r>
    <x v="6"/>
    <n v="13.690799999999999"/>
    <n v="-89.233199999999997"/>
    <n v="4"/>
    <n v="0"/>
    <n v="0"/>
    <n v="107"/>
    <s v="_x0000_peopl"/>
  </r>
  <r>
    <x v="6"/>
    <n v="13.6942"/>
    <n v="-89.185500000000005"/>
    <n v="5"/>
    <n v="0"/>
    <n v="0"/>
    <n v="107"/>
    <s v="_x0000_peopl"/>
  </r>
  <r>
    <x v="6"/>
    <n v="13.692500000000001"/>
    <n v="-89.176699999999997"/>
    <n v="9"/>
    <n v="0"/>
    <n v="0"/>
    <n v="107"/>
    <s v="_x0000_peopl"/>
  </r>
  <r>
    <x v="6"/>
    <n v="13.6911"/>
    <n v="-89.198499999999996"/>
    <n v="5"/>
    <n v="0"/>
    <n v="0"/>
    <n v="107"/>
    <s v="_x0000_peopl"/>
  </r>
  <r>
    <x v="6"/>
    <n v="13.687200000000001"/>
    <n v="-89.194599999999994"/>
    <n v="5"/>
    <n v="0"/>
    <n v="0"/>
    <n v="107"/>
    <s v="_x0000_peopl"/>
  </r>
  <r>
    <x v="6"/>
    <n v="13.694599999999999"/>
    <n v="-89.175700000000006"/>
    <n v="4"/>
    <n v="0"/>
    <n v="0"/>
    <n v="107"/>
    <s v="_x0000_peopl"/>
  </r>
  <r>
    <x v="6"/>
    <n v="13.695"/>
    <n v="-89.175299999999993"/>
    <n v="7"/>
    <n v="0"/>
    <n v="0"/>
    <n v="107"/>
    <s v="_x0000_peopl"/>
  </r>
  <r>
    <x v="6"/>
    <n v="13.690799999999999"/>
    <n v="-89.186400000000006"/>
    <n v="1"/>
    <n v="0"/>
    <n v="0"/>
    <n v="107"/>
    <s v="_x0000_peopl"/>
  </r>
  <r>
    <x v="6"/>
    <n v="13.6845"/>
    <n v="-89.193899999999999"/>
    <n v="6"/>
    <n v="0"/>
    <n v="0"/>
    <n v="107"/>
    <s v="_x0000_peopl"/>
  </r>
  <r>
    <x v="6"/>
    <n v="13.6873"/>
    <n v="-89.197999999999993"/>
    <n v="7"/>
    <n v="0"/>
    <n v="0"/>
    <n v="107"/>
    <s v="_x0000_peopl"/>
  </r>
  <r>
    <x v="6"/>
    <n v="13.688800000000001"/>
    <n v="-89.204300000000003"/>
    <n v="6"/>
    <n v="0"/>
    <n v="0"/>
    <n v="107"/>
    <s v="_x0000_peopl"/>
  </r>
  <r>
    <x v="6"/>
    <n v="13.693099999999999"/>
    <n v="-89.189899999999994"/>
    <n v="4"/>
    <n v="0"/>
    <n v="0"/>
    <n v="107"/>
    <s v="_x0000_peopl"/>
  </r>
  <r>
    <x v="6"/>
    <n v="13.692399999999999"/>
    <n v="-89.181899999999999"/>
    <n v="14"/>
    <n v="0"/>
    <n v="0"/>
    <n v="107"/>
    <s v="_x0000_peopl"/>
  </r>
  <r>
    <x v="6"/>
    <n v="13.686500000000001"/>
    <n v="-89.204099999999997"/>
    <n v="9"/>
    <n v="0"/>
    <n v="0"/>
    <n v="107"/>
    <s v="_x0000_peopl"/>
  </r>
  <r>
    <x v="6"/>
    <n v="13.6861"/>
    <n v="-89.216099999999997"/>
    <n v="7"/>
    <n v="0"/>
    <n v="0"/>
    <n v="107"/>
    <s v="_x0000_peopl"/>
  </r>
  <r>
    <x v="6"/>
    <n v="13.687099999999999"/>
    <n v="-89.194699999999997"/>
    <n v="1"/>
    <n v="0"/>
    <n v="0"/>
    <n v="107"/>
    <s v="_x0000_peopl"/>
  </r>
  <r>
    <x v="6"/>
    <n v="13.690899999999999"/>
    <n v="-89.228700000000003"/>
    <n v="7"/>
    <n v="0"/>
    <n v="0"/>
    <n v="107"/>
    <s v="_x0000_peopl"/>
  </r>
  <r>
    <x v="6"/>
    <n v="13.6929"/>
    <n v="-89.173900000000003"/>
    <n v="4"/>
    <n v="0"/>
    <n v="0"/>
    <n v="107"/>
    <s v="_x0000_peopl"/>
  </r>
  <r>
    <x v="6"/>
    <n v="13.691000000000001"/>
    <n v="-89.233900000000006"/>
    <n v="7"/>
    <n v="0"/>
    <n v="0"/>
    <n v="107"/>
    <s v="_x0000_peopl"/>
  </r>
  <r>
    <x v="6"/>
    <n v="13.685499999999999"/>
    <n v="-89.2136"/>
    <n v="4"/>
    <n v="0"/>
    <n v="0"/>
    <n v="107"/>
    <s v="_x0000_peopl"/>
  </r>
  <r>
    <x v="6"/>
    <n v="13.6915"/>
    <n v="-89.228499999999997"/>
    <n v="5"/>
    <n v="0"/>
    <n v="0"/>
    <n v="107"/>
    <s v="_x0000_peopl"/>
  </r>
  <r>
    <x v="6"/>
    <n v="13.694000000000001"/>
    <n v="-89.176100000000005"/>
    <n v="6"/>
    <n v="0"/>
    <n v="0"/>
    <n v="107"/>
    <s v="_x0000_peopl"/>
  </r>
  <r>
    <x v="6"/>
    <n v="13.6915"/>
    <n v="-89.1935"/>
    <n v="5"/>
    <n v="0"/>
    <n v="0"/>
    <n v="107"/>
    <s v="_x0000_peopl"/>
  </r>
  <r>
    <x v="6"/>
    <n v="13.692600000000001"/>
    <n v="-89.224699999999999"/>
    <n v="4"/>
    <n v="0"/>
    <n v="0"/>
    <n v="107"/>
    <s v="_x0000_peopl"/>
  </r>
  <r>
    <x v="6"/>
    <n v="13.6915"/>
    <n v="-89.189300000000003"/>
    <n v="3"/>
    <n v="0"/>
    <n v="0"/>
    <n v="107"/>
    <s v="_x0000_peopl"/>
  </r>
  <r>
    <x v="6"/>
    <n v="13.6867"/>
    <n v="-89.211600000000004"/>
    <n v="3"/>
    <n v="0"/>
    <n v="0"/>
    <n v="107"/>
    <s v="_x0000_peopl"/>
  </r>
  <r>
    <x v="6"/>
    <n v="13.6898"/>
    <n v="-89.179699999999997"/>
    <n v="8"/>
    <n v="0"/>
    <n v="0"/>
    <n v="107"/>
    <s v="_x0000_peopl"/>
  </r>
  <r>
    <x v="6"/>
    <n v="13.692600000000001"/>
    <n v="-89.223699999999994"/>
    <n v="4"/>
    <n v="0"/>
    <n v="0"/>
    <n v="107"/>
    <s v="_x0000_peopl"/>
  </r>
  <r>
    <x v="6"/>
    <n v="13.6861"/>
    <n v="-89.197999999999993"/>
    <n v="11"/>
    <n v="0"/>
    <n v="0"/>
    <n v="107"/>
    <s v="_x0000_peopl"/>
  </r>
  <r>
    <x v="6"/>
    <n v="13.6892"/>
    <n v="-89.236400000000003"/>
    <n v="3"/>
    <n v="0"/>
    <n v="0"/>
    <n v="107"/>
    <s v="_x0000_peopl"/>
  </r>
  <r>
    <x v="6"/>
    <n v="13.6892"/>
    <n v="-89.229500000000002"/>
    <n v="4"/>
    <n v="0"/>
    <n v="0"/>
    <n v="107"/>
    <s v="_x0000_peopl"/>
  </r>
  <r>
    <x v="6"/>
    <n v="13.6919"/>
    <n v="-89.194299999999998"/>
    <n v="6"/>
    <n v="0"/>
    <n v="0"/>
    <n v="107"/>
    <s v="_x0000_peopl"/>
  </r>
  <r>
    <x v="6"/>
    <n v="13.677099999999999"/>
    <n v="-89.247399999999999"/>
    <n v="5"/>
    <n v="0"/>
    <n v="0"/>
    <n v="107"/>
    <s v="_x0000_peopl"/>
  </r>
  <r>
    <x v="6"/>
    <n v="13.690899999999999"/>
    <n v="-89.1875"/>
    <n v="5"/>
    <n v="0"/>
    <n v="0"/>
    <n v="107"/>
    <s v="_x0000_peopl"/>
  </r>
  <r>
    <x v="6"/>
    <n v="13.6873"/>
    <n v="-89.197000000000003"/>
    <n v="5"/>
    <n v="0"/>
    <n v="0"/>
    <n v="107"/>
    <s v="_x0000_peopl"/>
  </r>
  <r>
    <x v="6"/>
    <n v="13.6919"/>
    <n v="-89.225099999999998"/>
    <n v="7"/>
    <n v="0"/>
    <n v="0"/>
    <n v="107"/>
    <s v="_x0000_peopl"/>
  </r>
  <r>
    <x v="6"/>
    <n v="13.6884"/>
    <n v="-89.229600000000005"/>
    <n v="6"/>
    <n v="0"/>
    <n v="0"/>
    <n v="107"/>
    <s v="_x0000_peopl"/>
  </r>
  <r>
    <x v="6"/>
    <n v="13.691800000000001"/>
    <n v="-89.225300000000004"/>
    <n v="6"/>
    <n v="0"/>
    <n v="0"/>
    <n v="107"/>
    <s v="_x0000_peopl"/>
  </r>
  <r>
    <x v="6"/>
    <n v="13.6927"/>
    <n v="-89.178299999999993"/>
    <n v="3"/>
    <n v="0"/>
    <n v="0"/>
    <n v="107"/>
    <s v="_x0000_peopl"/>
  </r>
  <r>
    <x v="6"/>
    <n v="13.694599999999999"/>
    <n v="-89.174599999999998"/>
    <n v="10"/>
    <n v="0"/>
    <n v="0"/>
    <n v="107"/>
    <s v="_x0000_peopl"/>
  </r>
  <r>
    <x v="6"/>
    <n v="13.690799999999999"/>
    <n v="-89.186199999999999"/>
    <n v="9"/>
    <n v="0"/>
    <n v="0"/>
    <n v="107"/>
    <s v="_x0000_peopl"/>
  </r>
  <r>
    <x v="6"/>
    <n v="13.6919"/>
    <n v="-89.224999999999994"/>
    <n v="5"/>
    <n v="0"/>
    <n v="0"/>
    <n v="107"/>
    <s v="_x0000_peopl"/>
  </r>
  <r>
    <x v="6"/>
    <n v="13.687900000000001"/>
    <n v="-89.212299999999999"/>
    <n v="5"/>
    <n v="0"/>
    <n v="0"/>
    <n v="107"/>
    <s v="_x0000_peopl"/>
  </r>
  <r>
    <x v="6"/>
    <n v="13.690099999999999"/>
    <n v="-89.235600000000005"/>
    <n v="4"/>
    <n v="0"/>
    <n v="0"/>
    <n v="107"/>
    <s v="_x0000_peopl"/>
  </r>
  <r>
    <x v="6"/>
    <n v="13.6783"/>
    <n v="-89.196399999999997"/>
    <n v="7"/>
    <n v="0"/>
    <n v="0"/>
    <n v="107"/>
    <s v="_x0000_peopl"/>
  </r>
  <r>
    <x v="6"/>
    <n v="13.6906"/>
    <n v="-89.194699999999997"/>
    <n v="1"/>
    <n v="0"/>
    <n v="0"/>
    <n v="107"/>
    <s v="_x0000_peopl"/>
  </r>
  <r>
    <x v="6"/>
    <n v="13.6852"/>
    <n v="-89.216700000000003"/>
    <n v="9"/>
    <n v="0"/>
    <n v="0"/>
    <n v="107"/>
    <s v="_x0000_peopl"/>
  </r>
  <r>
    <x v="6"/>
    <n v="13.691700000000001"/>
    <n v="-89.226600000000005"/>
    <n v="8"/>
    <n v="0"/>
    <n v="0"/>
    <n v="107"/>
    <s v="_x0000_peopl"/>
  </r>
  <r>
    <x v="6"/>
    <n v="13.6904"/>
    <n v="-89.193299999999994"/>
    <n v="2"/>
    <n v="0"/>
    <n v="0"/>
    <n v="107"/>
    <s v="_x0000_peopl"/>
  </r>
  <r>
    <x v="6"/>
    <n v="13.6899"/>
    <n v="-89.197699999999998"/>
    <n v="1"/>
    <n v="0"/>
    <n v="0"/>
    <n v="107"/>
    <s v="_x0000_peopl"/>
  </r>
  <r>
    <x v="6"/>
    <n v="13.692600000000001"/>
    <n v="-89.224000000000004"/>
    <n v="4"/>
    <n v="0"/>
    <n v="0"/>
    <n v="107"/>
    <s v="_x0000_peopl"/>
  </r>
  <r>
    <x v="6"/>
    <n v="13.691700000000001"/>
    <n v="-89.186000000000007"/>
    <n v="4"/>
    <n v="0"/>
    <n v="0"/>
    <n v="107"/>
    <s v="_x0000_peopl"/>
  </r>
  <r>
    <x v="6"/>
    <n v="13.689399999999999"/>
    <n v="-89.197100000000006"/>
    <n v="7"/>
    <n v="0"/>
    <n v="0"/>
    <n v="107"/>
    <s v="_x0000_peopl"/>
  </r>
  <r>
    <x v="6"/>
    <n v="13.687099999999999"/>
    <n v="-89.194800000000001"/>
    <n v="3"/>
    <n v="0"/>
    <n v="0"/>
    <n v="107"/>
    <s v="_x0000_peopl"/>
  </r>
  <r>
    <x v="6"/>
    <n v="13.691700000000001"/>
    <n v="-89.179699999999997"/>
    <n v="4"/>
    <n v="0"/>
    <n v="0"/>
    <n v="107"/>
    <s v="_x0000_peopl"/>
  </r>
  <r>
    <x v="6"/>
    <n v="13.6944"/>
    <n v="-89.185400000000001"/>
    <n v="3"/>
    <n v="0"/>
    <n v="0"/>
    <n v="107"/>
    <s v="_x0000_peopl"/>
  </r>
  <r>
    <x v="6"/>
    <n v="13.6927"/>
    <n v="-89.192999999999998"/>
    <n v="7"/>
    <n v="0"/>
    <n v="0"/>
    <n v="107"/>
    <s v="_x0000_peopl"/>
  </r>
  <r>
    <x v="6"/>
    <n v="13.6866"/>
    <n v="-89.2166"/>
    <n v="5"/>
    <n v="0"/>
    <n v="0"/>
    <n v="107"/>
    <s v="_x0000_peopl"/>
  </r>
  <r>
    <x v="6"/>
    <n v="13.686400000000001"/>
    <n v="-89.1935"/>
    <n v="12"/>
    <n v="0"/>
    <n v="0"/>
    <n v="107"/>
    <s v="_x0000_peopl"/>
  </r>
  <r>
    <x v="6"/>
    <n v="13.692600000000001"/>
    <n v="-89.1845"/>
    <n v="9"/>
    <n v="0"/>
    <n v="0"/>
    <n v="107"/>
    <s v="_x0000_peopl"/>
  </r>
  <r>
    <x v="6"/>
    <n v="13.6905"/>
    <n v="-89.178700000000006"/>
    <n v="9"/>
    <n v="0"/>
    <n v="0"/>
    <n v="107"/>
    <s v="_x0000_peopl"/>
  </r>
  <r>
    <x v="6"/>
    <n v="13.687099999999999"/>
    <n v="-89.1982"/>
    <n v="3"/>
    <n v="0"/>
    <n v="0"/>
    <n v="107"/>
    <s v="_x0000_peopl"/>
  </r>
  <r>
    <x v="6"/>
    <n v="13.691700000000001"/>
    <n v="-89.196200000000005"/>
    <n v="3"/>
    <n v="0"/>
    <n v="0"/>
    <n v="107"/>
    <s v="_x0000_peopl"/>
  </r>
  <r>
    <x v="6"/>
    <n v="13.685600000000001"/>
    <n v="-89.202200000000005"/>
    <n v="6"/>
    <n v="0"/>
    <n v="0"/>
    <n v="107"/>
    <s v="_x0000_peopl"/>
  </r>
  <r>
    <x v="6"/>
    <n v="13.6899"/>
    <n v="-89.195700000000002"/>
    <n v="6"/>
    <n v="0"/>
    <n v="0"/>
    <n v="107"/>
    <s v="_x0000_peopl"/>
  </r>
  <r>
    <x v="6"/>
    <n v="13.6854"/>
    <n v="-89.213200000000001"/>
    <n v="5"/>
    <n v="0"/>
    <n v="0"/>
    <n v="107"/>
    <s v="_x0000_peopl"/>
  </r>
  <r>
    <x v="6"/>
    <n v="13.6905"/>
    <n v="-89.233699999999999"/>
    <n v="2"/>
    <n v="0"/>
    <n v="0"/>
    <n v="107"/>
    <s v="_x0000_peopl"/>
  </r>
  <r>
    <x v="6"/>
    <n v="13.691599999999999"/>
    <n v="-89.183499999999995"/>
    <n v="3"/>
    <n v="0"/>
    <n v="0"/>
    <n v="107"/>
    <s v="_x0000_peopl"/>
  </r>
  <r>
    <x v="6"/>
    <n v="13.694599999999999"/>
    <n v="-89.1751"/>
    <n v="4"/>
    <n v="0"/>
    <n v="0"/>
    <n v="107"/>
    <s v="_x0000_peopl"/>
  </r>
  <r>
    <x v="6"/>
    <n v="13.6891"/>
    <n v="-89.183800000000005"/>
    <n v="3"/>
    <n v="0"/>
    <n v="0"/>
    <n v="107"/>
    <s v="_x0000_peopl"/>
  </r>
  <r>
    <x v="6"/>
    <n v="13.6921"/>
    <n v="-89.223699999999994"/>
    <n v="6"/>
    <n v="0"/>
    <n v="0"/>
    <n v="107"/>
    <s v="_x0000_peopl"/>
  </r>
  <r>
    <x v="6"/>
    <n v="13.691599999999999"/>
    <n v="-89.179699999999997"/>
    <n v="9"/>
    <n v="0"/>
    <n v="0"/>
    <n v="107"/>
    <s v="_x0000_peopl"/>
  </r>
  <r>
    <x v="6"/>
    <n v="13.6869"/>
    <n v="-89.213200000000001"/>
    <n v="7"/>
    <n v="0"/>
    <n v="0"/>
    <n v="107"/>
    <s v="_x0000_peopl"/>
  </r>
  <r>
    <x v="6"/>
    <n v="13.6913"/>
    <n v="-89.188100000000006"/>
    <n v="3"/>
    <n v="0"/>
    <n v="0"/>
    <n v="107"/>
    <s v="_x0000_peopl"/>
  </r>
  <r>
    <x v="6"/>
    <n v="13.6974"/>
    <n v="-89.171499999999995"/>
    <n v="1"/>
    <n v="0"/>
    <n v="0"/>
    <n v="107"/>
    <s v="_x0000_peopl"/>
  </r>
  <r>
    <x v="6"/>
    <n v="13.6907"/>
    <n v="-89.1952"/>
    <n v="2"/>
    <n v="0"/>
    <n v="0"/>
    <n v="107"/>
    <s v="_x0000_peopl"/>
  </r>
  <r>
    <x v="6"/>
    <n v="13.6898"/>
    <n v="-89.229299999999995"/>
    <n v="6"/>
    <n v="0"/>
    <n v="0"/>
    <n v="107"/>
    <s v="_x0000_peopl"/>
  </r>
  <r>
    <x v="6"/>
    <n v="13.6906"/>
    <n v="-89.189700000000002"/>
    <n v="2"/>
    <n v="0"/>
    <n v="0"/>
    <n v="107"/>
    <s v="_x0000_peopl"/>
  </r>
  <r>
    <x v="6"/>
    <n v="13.688800000000001"/>
    <n v="-89.190100000000001"/>
    <n v="3"/>
    <n v="0"/>
    <n v="0"/>
    <n v="107"/>
    <s v="_x0000_peopl"/>
  </r>
  <r>
    <x v="6"/>
    <n v="13.6891"/>
    <n v="-89.235799999999998"/>
    <n v="6"/>
    <n v="0"/>
    <n v="0"/>
    <n v="107"/>
    <s v="_x0000_peopl"/>
  </r>
  <r>
    <x v="6"/>
    <n v="13.6944"/>
    <n v="-89.188999999999993"/>
    <n v="3"/>
    <n v="0"/>
    <n v="0"/>
    <n v="107"/>
    <s v="_x0000_peopl"/>
  </r>
  <r>
    <x v="6"/>
    <n v="13.674200000000001"/>
    <n v="-89.251099999999994"/>
    <n v="11"/>
    <n v="0"/>
    <n v="0"/>
    <n v="107"/>
    <s v="_x0000_peopl"/>
  </r>
  <r>
    <x v="6"/>
    <n v="13.692500000000001"/>
    <n v="-89.224500000000006"/>
    <n v="5"/>
    <n v="0"/>
    <n v="0"/>
    <n v="107"/>
    <s v="_x0000_peopl"/>
  </r>
  <r>
    <x v="6"/>
    <n v="13.677099999999999"/>
    <n v="-89.199799999999996"/>
    <n v="7"/>
    <n v="0"/>
    <n v="0"/>
    <n v="107"/>
    <s v="_x0000_peopl"/>
  </r>
  <r>
    <x v="6"/>
    <n v="13.688599999999999"/>
    <n v="-89.198300000000003"/>
    <n v="6"/>
    <n v="0"/>
    <n v="0"/>
    <n v="107"/>
    <s v="_x0000_peopl"/>
  </r>
  <r>
    <x v="6"/>
    <n v="13.6911"/>
    <n v="-89.188699999999997"/>
    <n v="3"/>
    <n v="0"/>
    <n v="0"/>
    <n v="107"/>
    <s v="_x0000_peopl"/>
  </r>
  <r>
    <x v="6"/>
    <n v="13.685499999999999"/>
    <n v="-89.215900000000005"/>
    <n v="3"/>
    <n v="0"/>
    <n v="0"/>
    <n v="107"/>
    <s v="_x0000_peopl"/>
  </r>
  <r>
    <x v="6"/>
    <n v="13.686500000000001"/>
    <n v="-89.201599999999999"/>
    <n v="2"/>
    <n v="0"/>
    <n v="0"/>
    <n v="107"/>
    <s v="_x0000_peopl"/>
  </r>
  <r>
    <x v="6"/>
    <n v="13.690200000000001"/>
    <n v="-89.186300000000003"/>
    <n v="1"/>
    <n v="0"/>
    <n v="0"/>
    <n v="107"/>
    <s v="_x0000_peopl"/>
  </r>
  <r>
    <x v="6"/>
    <n v="13.691000000000001"/>
    <n v="-89.183700000000002"/>
    <n v="2"/>
    <n v="0"/>
    <n v="0"/>
    <n v="107"/>
    <s v="_x0000_peopl"/>
  </r>
  <r>
    <x v="6"/>
    <n v="13.6899"/>
    <n v="-89.193899999999999"/>
    <n v="6"/>
    <n v="0"/>
    <n v="0"/>
    <n v="107"/>
    <s v="_x0000_peopl"/>
  </r>
  <r>
    <x v="6"/>
    <n v="13.685600000000001"/>
    <n v="-89.204499999999996"/>
    <n v="3"/>
    <n v="0"/>
    <n v="0"/>
    <n v="107"/>
    <s v="_x0000_peopl"/>
  </r>
  <r>
    <x v="6"/>
    <n v="13.6942"/>
    <n v="-89.173000000000002"/>
    <n v="7"/>
    <n v="0"/>
    <n v="0"/>
    <n v="107"/>
    <s v="_x0000_peopl"/>
  </r>
  <r>
    <x v="6"/>
    <n v="13.688800000000001"/>
    <n v="-89.194400000000002"/>
    <n v="2"/>
    <n v="0"/>
    <n v="0"/>
    <n v="107"/>
    <s v="_x0000_peopl"/>
  </r>
  <r>
    <x v="6"/>
    <n v="13.6957"/>
    <n v="-89.165999999999997"/>
    <n v="2"/>
    <n v="0"/>
    <n v="0"/>
    <n v="107"/>
    <s v="_x0000_peopl"/>
  </r>
  <r>
    <x v="6"/>
    <n v="13.6919"/>
    <n v="-89.196299999999994"/>
    <n v="6"/>
    <n v="0"/>
    <n v="0"/>
    <n v="107"/>
    <s v="_x0000_peopl"/>
  </r>
  <r>
    <x v="6"/>
    <n v="13.6868"/>
    <n v="-89.182699999999997"/>
    <n v="2"/>
    <n v="0"/>
    <n v="0"/>
    <n v="107"/>
    <s v="_x0000_peopl"/>
  </r>
  <r>
    <x v="6"/>
    <n v="13.694699999999999"/>
    <n v="-89.185599999999994"/>
    <n v="5"/>
    <n v="0"/>
    <n v="0"/>
    <n v="107"/>
    <s v="_x0000_peopl"/>
  </r>
  <r>
    <x v="6"/>
    <n v="13.692"/>
    <n v="-89.179100000000005"/>
    <n v="4"/>
    <n v="0"/>
    <n v="0"/>
    <n v="107"/>
    <s v="_x0000_peopl"/>
  </r>
  <r>
    <x v="6"/>
    <n v="13.691700000000001"/>
    <n v="-89.221100000000007"/>
    <n v="4"/>
    <n v="0"/>
    <n v="0"/>
    <n v="107"/>
    <s v="_x0000_peopl"/>
  </r>
  <r>
    <x v="6"/>
    <n v="13.6944"/>
    <n v="-89.183300000000003"/>
    <n v="1"/>
    <n v="0"/>
    <n v="0"/>
    <n v="107"/>
    <s v="_x0000_peopl"/>
  </r>
  <r>
    <x v="6"/>
    <n v="13.6945"/>
    <n v="-89.173000000000002"/>
    <n v="5"/>
    <n v="0"/>
    <n v="0"/>
    <n v="107"/>
    <s v="_x0000_peopl"/>
  </r>
  <r>
    <x v="6"/>
    <n v="13.6846"/>
    <n v="-89.215599999999995"/>
    <n v="5"/>
    <n v="0"/>
    <n v="0"/>
    <n v="107"/>
    <s v="_x0000_peopl"/>
  </r>
  <r>
    <x v="6"/>
    <n v="13.686500000000001"/>
    <n v="-89.213099999999997"/>
    <n v="6"/>
    <n v="0"/>
    <n v="0"/>
    <n v="107"/>
    <s v="_x0000_peopl"/>
  </r>
  <r>
    <x v="6"/>
    <n v="13.6973"/>
    <n v="-89.171700000000001"/>
    <n v="5"/>
    <n v="0"/>
    <n v="0"/>
    <n v="107"/>
    <s v="_x0000_peopl"/>
  </r>
  <r>
    <x v="6"/>
    <n v="13.6919"/>
    <n v="-89.179100000000005"/>
    <n v="3"/>
    <n v="0"/>
    <n v="0"/>
    <n v="107"/>
    <s v="_x0000_peopl"/>
  </r>
  <r>
    <x v="6"/>
    <n v="13.688599999999999"/>
    <n v="-89.216300000000004"/>
    <n v="6"/>
    <n v="0"/>
    <n v="0"/>
    <n v="107"/>
    <s v="_x0000_peopl"/>
  </r>
  <r>
    <x v="6"/>
    <n v="13.691000000000001"/>
    <n v="-89.232799999999997"/>
    <n v="3"/>
    <n v="0"/>
    <n v="0"/>
    <n v="107"/>
    <s v="_x0000_peopl"/>
  </r>
  <r>
    <x v="6"/>
    <n v="13.6906"/>
    <n v="-89.235299999999995"/>
    <n v="9"/>
    <n v="0"/>
    <n v="0"/>
    <n v="107"/>
    <s v="_x0000_peopl"/>
  </r>
  <r>
    <x v="6"/>
    <n v="13.686999999999999"/>
    <n v="-89.194800000000001"/>
    <n v="5"/>
    <n v="0"/>
    <n v="0"/>
    <n v="107"/>
    <s v="_x0000_peopl"/>
  </r>
  <r>
    <x v="6"/>
    <n v="13.693"/>
    <n v="-89.176400000000001"/>
    <n v="3"/>
    <n v="0"/>
    <n v="0"/>
    <n v="107"/>
    <s v="_x0000_peopl"/>
  </r>
  <r>
    <x v="6"/>
    <n v="13.690799999999999"/>
    <n v="-89.179100000000005"/>
    <n v="3"/>
    <n v="0"/>
    <n v="0"/>
    <n v="107"/>
    <s v="_x0000_peopl"/>
  </r>
  <r>
    <x v="6"/>
    <n v="13.6936"/>
    <n v="-89.176599999999993"/>
    <n v="4"/>
    <n v="0"/>
    <n v="0"/>
    <n v="107"/>
    <s v="_x0000_peopl"/>
  </r>
  <r>
    <x v="6"/>
    <n v="13.6907"/>
    <n v="-89.194299999999998"/>
    <n v="3"/>
    <n v="0"/>
    <n v="0"/>
    <n v="107"/>
    <s v="_x0000_peopl"/>
  </r>
  <r>
    <x v="6"/>
    <n v="13.6889"/>
    <n v="-89.190299999999993"/>
    <n v="7"/>
    <n v="0"/>
    <n v="0"/>
    <n v="107"/>
    <s v="_x0000_peopl"/>
  </r>
  <r>
    <x v="6"/>
    <n v="13.6876"/>
    <n v="-89.194299999999998"/>
    <n v="8"/>
    <n v="0"/>
    <n v="0"/>
    <n v="107"/>
    <s v="_x0000_peopl"/>
  </r>
  <r>
    <x v="6"/>
    <n v="13.6942"/>
    <n v="-89.172799999999995"/>
    <n v="3"/>
    <n v="0"/>
    <n v="0"/>
    <n v="107"/>
    <s v="_x0000_peopl"/>
  </r>
  <r>
    <x v="6"/>
    <n v="13.687200000000001"/>
    <n v="-89.195800000000006"/>
    <n v="11"/>
    <n v="0"/>
    <n v="0"/>
    <n v="107"/>
    <s v="_x0000_peopl"/>
  </r>
  <r>
    <x v="6"/>
    <n v="13.688700000000001"/>
    <n v="-89.205699999999993"/>
    <n v="3"/>
    <n v="0"/>
    <n v="0"/>
    <n v="107"/>
    <s v="_x0000_peopl"/>
  </r>
  <r>
    <x v="6"/>
    <n v="13.689399999999999"/>
    <n v="-89.235900000000001"/>
    <n v="7"/>
    <n v="0"/>
    <n v="0"/>
    <n v="107"/>
    <s v="_x0000_peopl"/>
  </r>
  <r>
    <x v="6"/>
    <n v="13.6776"/>
    <n v="-89.247399999999999"/>
    <n v="8"/>
    <n v="0"/>
    <n v="0"/>
    <n v="107"/>
    <s v="_x0000_peopl"/>
  </r>
  <r>
    <x v="6"/>
    <n v="13.691700000000001"/>
    <n v="-89.2209"/>
    <n v="7"/>
    <n v="0"/>
    <n v="0"/>
    <n v="107"/>
    <s v="_x0000_peopl"/>
  </r>
  <r>
    <x v="6"/>
    <n v="13.679"/>
    <n v="-89.1965"/>
    <n v="9"/>
    <n v="0"/>
    <n v="0"/>
    <n v="107"/>
    <s v="_x0000_peopl"/>
  </r>
  <r>
    <x v="6"/>
    <n v="13.687200000000001"/>
    <n v="-89.195700000000002"/>
    <n v="7"/>
    <n v="0"/>
    <n v="0"/>
    <n v="107"/>
    <s v="_x0000_peopl"/>
  </r>
  <r>
    <x v="6"/>
    <n v="13.6934"/>
    <n v="-89.176900000000003"/>
    <n v="7"/>
    <n v="0"/>
    <n v="0"/>
    <n v="107"/>
    <s v="_x0000_peopl"/>
  </r>
  <r>
    <x v="6"/>
    <n v="13.6881"/>
    <n v="-89.180099999999996"/>
    <n v="4"/>
    <n v="0"/>
    <n v="0"/>
    <n v="107"/>
    <s v="_x0000_peopl"/>
  </r>
  <r>
    <x v="6"/>
    <n v="13.686400000000001"/>
    <n v="-89.204300000000003"/>
    <n v="2"/>
    <n v="0"/>
    <n v="0"/>
    <n v="107"/>
    <s v="_x0000_peopl"/>
  </r>
  <r>
    <x v="6"/>
    <n v="13.6906"/>
    <n v="-89.186099999999996"/>
    <n v="4"/>
    <n v="0"/>
    <n v="0"/>
    <n v="107"/>
    <s v="_x0000_peopl"/>
  </r>
  <r>
    <x v="6"/>
    <n v="13.686500000000001"/>
    <n v="-89.216300000000004"/>
    <n v="4"/>
    <n v="0"/>
    <n v="0"/>
    <n v="107"/>
    <s v="_x0000_peopl"/>
  </r>
  <r>
    <x v="6"/>
    <n v="13.692500000000001"/>
    <n v="-89.184100000000001"/>
    <n v="8"/>
    <n v="0"/>
    <n v="0"/>
    <n v="107"/>
    <s v="_x0000_peopl"/>
  </r>
  <r>
    <x v="6"/>
    <n v="13.691800000000001"/>
    <n v="-89.1935"/>
    <n v="4"/>
    <n v="0"/>
    <n v="0"/>
    <n v="107"/>
    <s v="_x0000_peopl"/>
  </r>
  <r>
    <x v="6"/>
    <n v="13.6913"/>
    <n v="-89.189400000000006"/>
    <n v="4"/>
    <n v="0"/>
    <n v="0"/>
    <n v="107"/>
    <s v="_x0000_peopl"/>
  </r>
  <r>
    <x v="6"/>
    <n v="13.692399999999999"/>
    <n v="-89.226399999999998"/>
    <n v="4"/>
    <n v="0"/>
    <n v="0"/>
    <n v="107"/>
    <s v="_x0000_peopl"/>
  </r>
  <r>
    <x v="6"/>
    <n v="13.6877"/>
    <n v="-89.197100000000006"/>
    <n v="5"/>
    <n v="0"/>
    <n v="0"/>
    <n v="107"/>
    <s v="_x0000_peopl"/>
  </r>
  <r>
    <x v="6"/>
    <n v="13.6775"/>
    <n v="-89.246899999999997"/>
    <n v="3"/>
    <n v="0"/>
    <n v="0"/>
    <n v="107"/>
    <s v="_x0000_peopl"/>
  </r>
  <r>
    <x v="6"/>
    <n v="13.692"/>
    <n v="-89.185599999999994"/>
    <n v="3"/>
    <n v="0"/>
    <n v="0"/>
    <n v="107"/>
    <s v="_x0000_peopl"/>
  </r>
  <r>
    <x v="6"/>
    <n v="13.6943"/>
    <n v="-89.183300000000003"/>
    <n v="3"/>
    <n v="0"/>
    <n v="0"/>
    <n v="107"/>
    <s v="_x0000_peopl"/>
  </r>
  <r>
    <x v="6"/>
    <n v="13.691000000000001"/>
    <n v="-89.229500000000002"/>
    <n v="2"/>
    <n v="0"/>
    <n v="0"/>
    <n v="107"/>
    <s v="_x0000_peopl"/>
  </r>
  <r>
    <x v="6"/>
    <n v="13.6906"/>
    <n v="-89.2346"/>
    <n v="3"/>
    <n v="0"/>
    <n v="0"/>
    <n v="107"/>
    <s v="_x0000_peopl"/>
  </r>
  <r>
    <x v="6"/>
    <n v="13.6913"/>
    <n v="-89.188000000000002"/>
    <n v="5"/>
    <n v="0"/>
    <n v="0"/>
    <n v="107"/>
    <s v="_x0000_peopl"/>
  </r>
  <r>
    <x v="6"/>
    <n v="13.6922"/>
    <n v="-89.2226"/>
    <n v="2"/>
    <n v="0"/>
    <n v="0"/>
    <n v="107"/>
    <s v="_x0000_peopl"/>
  </r>
  <r>
    <x v="6"/>
    <n v="13.6868"/>
    <n v="-89.194199999999995"/>
    <n v="4"/>
    <n v="0"/>
    <n v="0"/>
    <n v="107"/>
    <s v="_x0000_peopl"/>
  </r>
  <r>
    <x v="6"/>
    <n v="13.6919"/>
    <n v="-89.224199999999996"/>
    <n v="5"/>
    <n v="0"/>
    <n v="0"/>
    <n v="107"/>
    <s v="_x0000_peopl"/>
  </r>
  <r>
    <x v="6"/>
    <n v="13.691000000000001"/>
    <n v="-89.183300000000003"/>
    <n v="8"/>
    <n v="0"/>
    <n v="0"/>
    <n v="107"/>
    <s v="_x0000_peopl"/>
  </r>
  <r>
    <x v="6"/>
    <n v="13.6913"/>
    <n v="-89.226500000000001"/>
    <n v="5"/>
    <n v="0"/>
    <n v="0"/>
    <n v="107"/>
    <s v="_x0000_peopl"/>
  </r>
  <r>
    <x v="6"/>
    <n v="13.6899"/>
    <n v="-89.186099999999996"/>
    <n v="4"/>
    <n v="0"/>
    <n v="0"/>
    <n v="107"/>
    <s v="_x0000_peopl"/>
  </r>
  <r>
    <x v="6"/>
    <n v="13.689399999999999"/>
    <n v="-89.185599999999994"/>
    <n v="6"/>
    <n v="0"/>
    <n v="0"/>
    <n v="107"/>
    <s v="_x0000_peopl"/>
  </r>
  <r>
    <x v="6"/>
    <n v="13.6965"/>
    <n v="-89.1721"/>
    <n v="4"/>
    <n v="0"/>
    <n v="0"/>
    <n v="107"/>
    <s v="_x0000_peopl"/>
  </r>
  <r>
    <x v="6"/>
    <n v="13.6943"/>
    <n v="-89.183300000000003"/>
    <n v="6"/>
    <n v="0"/>
    <n v="0"/>
    <n v="107"/>
    <s v="_x0000_peopl"/>
  </r>
  <r>
    <x v="6"/>
    <n v="13.692600000000001"/>
    <n v="-89.223399999999998"/>
    <n v="5"/>
    <n v="0"/>
    <n v="0"/>
    <n v="107"/>
    <s v="_x0000_peopl"/>
  </r>
  <r>
    <x v="6"/>
    <n v="13.691700000000001"/>
    <n v="-89.179199999999994"/>
    <n v="4"/>
    <n v="0"/>
    <n v="0"/>
    <n v="107"/>
    <s v="_x0000_peopl"/>
  </r>
  <r>
    <x v="6"/>
    <n v="13.6945"/>
    <n v="-89.185500000000005"/>
    <n v="9"/>
    <n v="0"/>
    <n v="0"/>
    <n v="107"/>
    <s v="_x0000_peopl"/>
  </r>
  <r>
    <x v="6"/>
    <n v="13.688000000000001"/>
    <n v="-89.217100000000002"/>
    <n v="1"/>
    <n v="0"/>
    <n v="0"/>
    <n v="107"/>
    <s v="_x0000_peopl"/>
  </r>
  <r>
    <x v="6"/>
    <n v="13.6929"/>
    <n v="-89.224800000000002"/>
    <n v="4"/>
    <n v="0"/>
    <n v="0"/>
    <n v="107"/>
    <s v="_x0000_peopl"/>
  </r>
  <r>
    <x v="6"/>
    <n v="13.692"/>
    <n v="-89.223500000000001"/>
    <n v="7"/>
    <n v="0"/>
    <n v="0"/>
    <n v="107"/>
    <s v="_x0000_peopl"/>
  </r>
  <r>
    <x v="6"/>
    <n v="13.690899999999999"/>
    <n v="-89.189700000000002"/>
    <n v="6"/>
    <n v="0"/>
    <n v="0"/>
    <n v="107"/>
    <s v="_x0000_peopl"/>
  </r>
  <r>
    <x v="6"/>
    <n v="13.690300000000001"/>
    <n v="-89.234200000000001"/>
    <n v="2"/>
    <n v="0"/>
    <n v="0"/>
    <n v="107"/>
    <s v="_x0000_peopl"/>
  </r>
  <r>
    <x v="6"/>
    <n v="13.686999999999999"/>
    <n v="-89.194599999999994"/>
    <n v="5"/>
    <n v="0"/>
    <n v="0"/>
    <n v="107"/>
    <s v="_x0000_peopl"/>
  </r>
  <r>
    <x v="6"/>
    <n v="13.6899"/>
    <n v="-89.190200000000004"/>
    <n v="3"/>
    <n v="0"/>
    <n v="0"/>
    <n v="107"/>
    <s v="_x0000_peopl"/>
  </r>
  <r>
    <x v="6"/>
    <n v="13.689500000000001"/>
    <n v="-89.185500000000005"/>
    <n v="2"/>
    <n v="0"/>
    <n v="0"/>
    <n v="107"/>
    <s v="_x0000_peopl"/>
  </r>
  <r>
    <x v="6"/>
    <n v="13.6913"/>
    <n v="-89.2196"/>
    <n v="1"/>
    <n v="0"/>
    <n v="0"/>
    <n v="107"/>
    <s v="_x0000_peopl"/>
  </r>
  <r>
    <x v="6"/>
    <n v="13.6921"/>
    <n v="-89.223500000000001"/>
    <n v="5"/>
    <n v="0"/>
    <n v="0"/>
    <n v="107"/>
    <s v="_x0000_peopl"/>
  </r>
  <r>
    <x v="6"/>
    <n v="13.6753"/>
    <n v="-89.2"/>
    <n v="4"/>
    <n v="0"/>
    <n v="0"/>
    <n v="107"/>
    <s v="_x0000_peopl"/>
  </r>
  <r>
    <x v="6"/>
    <n v="13.6799"/>
    <n v="-89.194599999999994"/>
    <n v="3"/>
    <n v="0"/>
    <n v="0"/>
    <n v="107"/>
    <s v="_x0000_peopl"/>
  </r>
  <r>
    <x v="6"/>
    <n v="13.6905"/>
    <n v="-89.195700000000002"/>
    <n v="7"/>
    <n v="0"/>
    <n v="0"/>
    <n v="107"/>
    <s v="_x0000_peopl"/>
  </r>
  <r>
    <x v="6"/>
    <n v="13.6905"/>
    <n v="-89.181399999999996"/>
    <n v="12"/>
    <n v="0"/>
    <n v="0"/>
    <n v="107"/>
    <s v="_x0000_peopl"/>
  </r>
  <r>
    <x v="6"/>
    <n v="13.69"/>
    <n v="-89.236199999999997"/>
    <n v="6"/>
    <n v="0"/>
    <n v="0"/>
    <n v="107"/>
    <s v="_x0000_peopl"/>
  </r>
  <r>
    <x v="6"/>
    <n v="13.692399999999999"/>
    <n v="-89.222800000000007"/>
    <n v="7"/>
    <n v="0"/>
    <n v="0"/>
    <n v="107"/>
    <s v="_x0000_peopl"/>
  </r>
  <r>
    <x v="6"/>
    <n v="13.687799999999999"/>
    <n v="-89.1798"/>
    <n v="7"/>
    <n v="0"/>
    <n v="0"/>
    <n v="107"/>
    <s v="_x0000_peopl"/>
  </r>
  <r>
    <x v="6"/>
    <n v="13.6752"/>
    <n v="-89.199700000000007"/>
    <n v="7"/>
    <n v="0"/>
    <n v="0"/>
    <n v="107"/>
    <s v="_x0000_peopl"/>
  </r>
  <r>
    <x v="6"/>
    <n v="13.6854"/>
    <n v="-89.193299999999994"/>
    <n v="5"/>
    <n v="0"/>
    <n v="0"/>
    <n v="107"/>
    <s v="_x0000_peopl"/>
  </r>
  <r>
    <x v="6"/>
    <n v="13.6899"/>
    <n v="-89.193299999999994"/>
    <n v="7"/>
    <n v="0"/>
    <n v="0"/>
    <n v="107"/>
    <s v="_x0000_peopl"/>
  </r>
  <r>
    <x v="6"/>
    <n v="13.6852"/>
    <n v="-89.216800000000006"/>
    <n v="3"/>
    <n v="0"/>
    <n v="0"/>
    <n v="107"/>
    <s v="_x0000_peopl"/>
  </r>
  <r>
    <x v="6"/>
    <n v="13.689500000000001"/>
    <n v="-89.1798"/>
    <n v="6"/>
    <n v="0"/>
    <n v="0"/>
    <n v="107"/>
    <s v="_x0000_peopl"/>
  </r>
  <r>
    <x v="6"/>
    <n v="13.6914"/>
    <n v="-89.196899999999999"/>
    <n v="4"/>
    <n v="0"/>
    <n v="0"/>
    <n v="107"/>
    <s v="_x0000_peopl"/>
  </r>
  <r>
    <x v="6"/>
    <n v="13.6874"/>
    <n v="-89.193700000000007"/>
    <n v="7"/>
    <n v="0"/>
    <n v="0"/>
    <n v="107"/>
    <s v="_x0000_peopl"/>
  </r>
  <r>
    <x v="6"/>
    <n v="13.6884"/>
    <n v="-89.2042"/>
    <n v="2"/>
    <n v="0"/>
    <n v="0"/>
    <n v="107"/>
    <s v="_x0000_peopl"/>
  </r>
  <r>
    <x v="6"/>
    <n v="13.6852"/>
    <n v="-89.217399999999998"/>
    <n v="2"/>
    <n v="0"/>
    <n v="0"/>
    <n v="107"/>
    <s v="_x0000_peopl"/>
  </r>
  <r>
    <x v="6"/>
    <n v="13.6876"/>
    <n v="-89.1935"/>
    <n v="5"/>
    <n v="0"/>
    <n v="0"/>
    <n v="107"/>
    <s v="_x0000_peopl"/>
  </r>
  <r>
    <x v="6"/>
    <n v="13.687200000000001"/>
    <n v="-89.194100000000006"/>
    <n v="6"/>
    <n v="0"/>
    <n v="0"/>
    <n v="107"/>
    <s v="_x0000_peopl"/>
  </r>
  <r>
    <x v="6"/>
    <n v="13.690300000000001"/>
    <n v="-89.184200000000004"/>
    <n v="5"/>
    <n v="0"/>
    <n v="0"/>
    <n v="107"/>
    <s v="_x0000_peopl"/>
  </r>
  <r>
    <x v="6"/>
    <n v="13.6869"/>
    <n v="-89.214799999999997"/>
    <n v="6"/>
    <n v="0"/>
    <n v="0"/>
    <n v="107"/>
    <s v="_x0000_peopl"/>
  </r>
  <r>
    <x v="6"/>
    <n v="13.684900000000001"/>
    <n v="-89.210899999999995"/>
    <n v="3"/>
    <n v="0"/>
    <n v="0"/>
    <n v="107"/>
    <s v="_x0000_peopl"/>
  </r>
  <r>
    <x v="6"/>
    <n v="13.6915"/>
    <n v="-89.233199999999997"/>
    <n v="3"/>
    <n v="0"/>
    <n v="0"/>
    <n v="107"/>
    <s v="_x0000_peopl"/>
  </r>
  <r>
    <x v="6"/>
    <n v="13.693"/>
    <n v="-89.184799999999996"/>
    <n v="5"/>
    <n v="0"/>
    <n v="0"/>
    <n v="107"/>
    <s v="_x0000_peopl"/>
  </r>
  <r>
    <x v="6"/>
    <n v="13.691000000000001"/>
    <n v="-89.233699999999999"/>
    <n v="5"/>
    <n v="0"/>
    <n v="0"/>
    <n v="107"/>
    <s v="_x0000_peopl"/>
  </r>
  <r>
    <x v="6"/>
    <n v="13.691599999999999"/>
    <n v="-89.185199999999995"/>
    <n v="4"/>
    <n v="0"/>
    <n v="0"/>
    <n v="107"/>
    <s v="_x0000_peopl"/>
  </r>
  <r>
    <x v="6"/>
    <n v="13.686"/>
    <n v="-89.193899999999999"/>
    <n v="8"/>
    <n v="0"/>
    <n v="0"/>
    <n v="107"/>
    <s v="_x0000_peopl"/>
  </r>
  <r>
    <x v="6"/>
    <n v="13.685499999999999"/>
    <n v="-89.216300000000004"/>
    <n v="10"/>
    <n v="0"/>
    <n v="0"/>
    <n v="107"/>
    <s v="_x0000_peopl"/>
  </r>
  <r>
    <x v="6"/>
    <n v="13.6953"/>
    <n v="-89.171899999999994"/>
    <n v="3"/>
    <n v="0"/>
    <n v="0"/>
    <n v="107"/>
    <s v="_x0000_peopl"/>
  </r>
  <r>
    <x v="6"/>
    <n v="13.692500000000001"/>
    <n v="-89.174099999999996"/>
    <n v="3"/>
    <n v="0"/>
    <n v="0"/>
    <n v="107"/>
    <s v="_x0000_peopl"/>
  </r>
  <r>
    <x v="6"/>
    <n v="13.691700000000001"/>
    <n v="-89.197599999999994"/>
    <n v="5"/>
    <n v="0"/>
    <n v="0"/>
    <n v="107"/>
    <s v="_x0000_peopl"/>
  </r>
  <r>
    <x v="6"/>
    <n v="13.691000000000001"/>
    <n v="-89.233699999999999"/>
    <n v="8"/>
    <n v="0"/>
    <n v="0"/>
    <n v="107"/>
    <s v="_x0000_peopl"/>
  </r>
  <r>
    <x v="6"/>
    <n v="13.690200000000001"/>
    <n v="-89.195700000000002"/>
    <n v="6"/>
    <n v="0"/>
    <n v="0"/>
    <n v="107"/>
    <s v="_x0000_peopl"/>
  </r>
  <r>
    <x v="6"/>
    <n v="13.6913"/>
    <n v="-89.226900000000001"/>
    <n v="3"/>
    <n v="0"/>
    <n v="0"/>
    <n v="107"/>
    <s v="_x0000_peopl"/>
  </r>
  <r>
    <x v="6"/>
    <n v="13.6873"/>
    <n v="-89.2149"/>
    <n v="9"/>
    <n v="0"/>
    <n v="0"/>
    <n v="107"/>
    <s v="_x0000_peopl"/>
  </r>
  <r>
    <x v="6"/>
    <n v="13.691700000000001"/>
    <n v="-89.232900000000001"/>
    <n v="4"/>
    <n v="0"/>
    <n v="0"/>
    <n v="107"/>
    <s v="_x0000_peopl"/>
  </r>
  <r>
    <x v="6"/>
    <n v="13.688000000000001"/>
    <n v="-89.1815"/>
    <n v="3"/>
    <n v="0"/>
    <n v="0"/>
    <n v="107"/>
    <s v="_x0000_peopl"/>
  </r>
  <r>
    <x v="6"/>
    <n v="13.6934"/>
    <n v="-89.190600000000003"/>
    <n v="3"/>
    <n v="0"/>
    <n v="0"/>
    <n v="107"/>
    <s v="_x0000_peopl"/>
  </r>
  <r>
    <x v="6"/>
    <n v="13.685"/>
    <n v="-89.212400000000002"/>
    <n v="3"/>
    <n v="0"/>
    <n v="0"/>
    <n v="107"/>
    <s v="_x0000_peopl"/>
  </r>
  <r>
    <x v="6"/>
    <n v="13.673"/>
    <n v="-89.204300000000003"/>
    <n v="8"/>
    <n v="0"/>
    <n v="0"/>
    <n v="107"/>
    <s v="_x0000_peopl"/>
  </r>
  <r>
    <x v="6"/>
    <n v="13.6906"/>
    <n v="-89.185400000000001"/>
    <n v="8"/>
    <n v="0"/>
    <n v="0"/>
    <n v="107"/>
    <s v="_x0000_peopl"/>
  </r>
  <r>
    <x v="6"/>
    <n v="13.694100000000001"/>
    <n v="-89.175200000000004"/>
    <n v="3"/>
    <n v="0"/>
    <n v="0"/>
    <n v="107"/>
    <s v="_x0000_peopl"/>
  </r>
  <r>
    <x v="6"/>
    <n v="13.6915"/>
    <n v="-89.189400000000006"/>
    <n v="7"/>
    <n v="0"/>
    <n v="0"/>
    <n v="107"/>
    <s v="_x0000_peopl"/>
  </r>
  <r>
    <x v="6"/>
    <n v="13.6914"/>
    <n v="-89.186400000000006"/>
    <n v="4"/>
    <n v="0"/>
    <n v="0"/>
    <n v="107"/>
    <s v="_x0000_peopl"/>
  </r>
  <r>
    <x v="6"/>
    <n v="13.685499999999999"/>
    <n v="-89.214200000000005"/>
    <n v="4"/>
    <n v="0"/>
    <n v="0"/>
    <n v="107"/>
    <s v="_x0000_peopl"/>
  </r>
  <r>
    <x v="6"/>
    <n v="13.6906"/>
    <n v="-89.186000000000007"/>
    <n v="3"/>
    <n v="0"/>
    <n v="0"/>
    <n v="107"/>
    <s v="_x0000_peopl"/>
  </r>
  <r>
    <x v="6"/>
    <n v="13.684699999999999"/>
    <n v="-89.211699999999993"/>
    <n v="9"/>
    <n v="0"/>
    <n v="0"/>
    <n v="107"/>
    <s v="_x0000_peopl"/>
  </r>
  <r>
    <x v="6"/>
    <n v="13.6851"/>
    <n v="-89.2136"/>
    <n v="8"/>
    <n v="0"/>
    <n v="0"/>
    <n v="107"/>
    <s v="_x0000_peopl"/>
  </r>
  <r>
    <x v="6"/>
    <n v="13.679399999999999"/>
    <n v="-89.194100000000006"/>
    <n v="4"/>
    <n v="0"/>
    <n v="0"/>
    <n v="107"/>
    <s v="_x0000_peopl"/>
  </r>
  <r>
    <x v="6"/>
    <n v="13.6876"/>
    <n v="-89.179699999999997"/>
    <n v="5"/>
    <n v="0"/>
    <n v="0"/>
    <n v="107"/>
    <s v="_x0000_peopl"/>
  </r>
  <r>
    <x v="6"/>
    <n v="13.692"/>
    <n v="-89.224900000000005"/>
    <n v="6"/>
    <n v="0"/>
    <n v="0"/>
    <n v="107"/>
    <s v="_x0000_peopl"/>
  </r>
  <r>
    <x v="6"/>
    <n v="13.6724"/>
    <n v="-89.204400000000007"/>
    <n v="2"/>
    <n v="0"/>
    <n v="0"/>
    <n v="107"/>
    <s v="_x0000_peopl"/>
  </r>
  <r>
    <x v="6"/>
    <n v="13.6914"/>
    <n v="-89.233800000000002"/>
    <n v="4"/>
    <n v="0"/>
    <n v="0"/>
    <n v="107"/>
    <s v="_x0000_peopl"/>
  </r>
  <r>
    <x v="6"/>
    <n v="13.6873"/>
    <n v="-89.195700000000002"/>
    <n v="12"/>
    <n v="0"/>
    <n v="0"/>
    <n v="107"/>
    <s v="_x0000_peopl"/>
  </r>
  <r>
    <x v="6"/>
    <n v="13.6744"/>
    <n v="-89.1995"/>
    <n v="4"/>
    <n v="0"/>
    <n v="0"/>
    <n v="107"/>
    <s v="_x0000_peopl"/>
  </r>
  <r>
    <x v="6"/>
    <n v="13.687200000000001"/>
    <n v="-89.213999999999999"/>
    <n v="4"/>
    <n v="0"/>
    <n v="0"/>
    <n v="107"/>
    <s v="_x0000_peopl"/>
  </r>
  <r>
    <x v="6"/>
    <n v="13.6854"/>
    <n v="-89.204400000000007"/>
    <n v="11"/>
    <n v="0"/>
    <n v="0"/>
    <n v="107"/>
    <s v="_x0000_peopl"/>
  </r>
  <r>
    <x v="6"/>
    <n v="13.6851"/>
    <n v="-89.202100000000002"/>
    <n v="6"/>
    <n v="0"/>
    <n v="0"/>
    <n v="107"/>
    <s v="_x0000_peopl"/>
  </r>
  <r>
    <x v="6"/>
    <n v="13.6965"/>
    <n v="-89.172200000000004"/>
    <n v="6"/>
    <n v="0"/>
    <n v="0"/>
    <n v="107"/>
    <s v="_x0000_peopl"/>
  </r>
  <r>
    <x v="6"/>
    <n v="13.6919"/>
    <n v="-89.194400000000002"/>
    <n v="8"/>
    <n v="0"/>
    <n v="0"/>
    <n v="107"/>
    <s v="_x0000_peopl"/>
  </r>
  <r>
    <x v="6"/>
    <n v="13.696"/>
    <n v="-89.172200000000004"/>
    <n v="3"/>
    <n v="0"/>
    <n v="0"/>
    <n v="107"/>
    <s v="_x0000_peopl"/>
  </r>
  <r>
    <x v="6"/>
    <n v="13.6868"/>
    <n v="-89.182199999999995"/>
    <n v="2"/>
    <n v="0"/>
    <n v="0"/>
    <n v="107"/>
    <s v="_x0000_peopl"/>
  </r>
  <r>
    <x v="6"/>
    <n v="13.692"/>
    <n v="-89.179500000000004"/>
    <n v="4"/>
    <n v="0"/>
    <n v="0"/>
    <n v="107"/>
    <s v="_x0000_peopl"/>
  </r>
  <r>
    <x v="6"/>
    <n v="13.6876"/>
    <n v="-89.216499999999996"/>
    <n v="5"/>
    <n v="0"/>
    <n v="0"/>
    <n v="107"/>
    <s v="_x0000_peopl"/>
  </r>
  <r>
    <x v="6"/>
    <n v="13.6868"/>
    <n v="-89.181399999999996"/>
    <n v="8"/>
    <n v="0"/>
    <n v="0"/>
    <n v="107"/>
    <s v="_x0000_peopl"/>
  </r>
  <r>
    <x v="6"/>
    <n v="13.687200000000001"/>
    <n v="-89.182299999999998"/>
    <n v="6"/>
    <n v="0"/>
    <n v="0"/>
    <n v="107"/>
    <s v="_x0000_peopl"/>
  </r>
  <r>
    <x v="6"/>
    <n v="13.695399999999999"/>
    <n v="-89.1738"/>
    <n v="4"/>
    <n v="0"/>
    <n v="0"/>
    <n v="107"/>
    <s v="_x0000_peopl"/>
  </r>
  <r>
    <x v="6"/>
    <n v="13.6904"/>
    <n v="-89.233800000000002"/>
    <n v="4"/>
    <n v="0"/>
    <n v="0"/>
    <n v="107"/>
    <s v="_x0000_peopl"/>
  </r>
  <r>
    <x v="6"/>
    <n v="13.6799"/>
    <n v="-89.195599999999999"/>
    <n v="5"/>
    <n v="0"/>
    <n v="0"/>
    <n v="107"/>
    <s v="_x0000_peopl"/>
  </r>
  <r>
    <x v="6"/>
    <n v="13.693199999999999"/>
    <n v="-89.177499999999995"/>
    <n v="5"/>
    <n v="0"/>
    <n v="0"/>
    <n v="107"/>
    <s v="_x0000_peopl"/>
  </r>
  <r>
    <x v="6"/>
    <n v="13.694599999999999"/>
    <n v="-89.174000000000007"/>
    <n v="8"/>
    <n v="0"/>
    <n v="0"/>
    <n v="107"/>
    <s v="_x0000_peopl"/>
  </r>
  <r>
    <x v="6"/>
    <n v="13.6859"/>
    <n v="-89.214299999999994"/>
    <n v="7"/>
    <n v="0"/>
    <n v="0"/>
    <n v="107"/>
    <s v="_x0000_peopl"/>
  </r>
  <r>
    <x v="6"/>
    <n v="13.6792"/>
    <n v="-89.196600000000004"/>
    <n v="5"/>
    <n v="0"/>
    <n v="0"/>
    <n v="107"/>
    <s v="_x0000_peopl"/>
  </r>
  <r>
    <x v="6"/>
    <n v="13.6906"/>
    <n v="-89.189099999999996"/>
    <n v="5"/>
    <n v="0"/>
    <n v="0"/>
    <n v="107"/>
    <s v="_x0000_peopl"/>
  </r>
  <r>
    <x v="6"/>
    <n v="13.6934"/>
    <n v="-89.176000000000002"/>
    <n v="6"/>
    <n v="0"/>
    <n v="0"/>
    <n v="107"/>
    <s v="_x0000_peopl"/>
  </r>
  <r>
    <x v="6"/>
    <n v="13.6866"/>
    <n v="-89.190899999999999"/>
    <n v="6"/>
    <n v="0"/>
    <n v="0"/>
    <n v="107"/>
    <s v="_x0000_peopl"/>
  </r>
  <r>
    <x v="6"/>
    <n v="13.686400000000001"/>
    <n v="-89.203199999999995"/>
    <n v="7"/>
    <n v="0"/>
    <n v="0"/>
    <n v="107"/>
    <s v="_x0000_peopl"/>
  </r>
  <r>
    <x v="6"/>
    <n v="13.6898"/>
    <n v="-89.177700000000002"/>
    <n v="3"/>
    <n v="0"/>
    <n v="0"/>
    <n v="107"/>
    <s v="_x0000_peopl"/>
  </r>
  <r>
    <x v="6"/>
    <n v="13.6744"/>
    <n v="-89.199200000000005"/>
    <n v="1"/>
    <n v="0"/>
    <n v="0"/>
    <n v="107"/>
    <s v="_x0000_peopl"/>
  </r>
  <r>
    <x v="6"/>
    <n v="13.6889"/>
    <n v="-89.203999999999994"/>
    <n v="7"/>
    <n v="0"/>
    <n v="0"/>
    <n v="107"/>
    <s v="_x0000_peopl"/>
  </r>
  <r>
    <x v="6"/>
    <n v="13.6867"/>
    <n v="-89.201499999999996"/>
    <n v="3"/>
    <n v="0"/>
    <n v="0"/>
    <n v="107"/>
    <s v="_x0000_peopl"/>
  </r>
  <r>
    <x v="6"/>
    <n v="13.6914"/>
    <n v="-89.233099999999993"/>
    <n v="9"/>
    <n v="0"/>
    <n v="0"/>
    <n v="107"/>
    <s v="_x0000_peopl"/>
  </r>
  <r>
    <x v="6"/>
    <n v="13.6953"/>
    <n v="-89.1738"/>
    <n v="5"/>
    <n v="0"/>
    <n v="0"/>
    <n v="107"/>
    <s v="_x0000_peopl"/>
  </r>
  <r>
    <x v="6"/>
    <n v="13.6945"/>
    <n v="-89.173000000000002"/>
    <n v="5"/>
    <n v="0"/>
    <n v="0"/>
    <n v="107"/>
    <s v="_x0000_peopl"/>
  </r>
  <r>
    <x v="6"/>
    <n v="13.674200000000001"/>
    <n v="-89.251099999999994"/>
    <n v="4"/>
    <n v="0"/>
    <n v="0"/>
    <n v="107"/>
    <s v="_x0000_peopl"/>
  </r>
  <r>
    <x v="6"/>
    <n v="13.677199999999999"/>
    <n v="-89.247500000000002"/>
    <n v="6"/>
    <n v="0"/>
    <n v="0"/>
    <n v="107"/>
    <s v="_x0000_peopl"/>
  </r>
  <r>
    <x v="6"/>
    <n v="13.6774"/>
    <n v="-89.246300000000005"/>
    <n v="6"/>
    <n v="0"/>
    <n v="0"/>
    <n v="107"/>
    <s v="_x0000_peopl"/>
  </r>
  <r>
    <x v="6"/>
    <n v="13.687799999999999"/>
    <n v="-89.18"/>
    <n v="6"/>
    <n v="0"/>
    <n v="0"/>
    <n v="107"/>
    <s v="_x0000_peopl"/>
  </r>
  <r>
    <x v="6"/>
    <n v="13.680899999999999"/>
    <n v="-89.195800000000006"/>
    <n v="6"/>
    <n v="0"/>
    <n v="0"/>
    <n v="107"/>
    <s v="_x0000_peopl"/>
  </r>
  <r>
    <x v="6"/>
    <n v="13.6869"/>
    <n v="-89.213399999999993"/>
    <n v="1"/>
    <n v="0"/>
    <n v="0"/>
    <n v="107"/>
    <s v="_x0000_peopl"/>
  </r>
  <r>
    <x v="6"/>
    <n v="13.689500000000001"/>
    <n v="-89.185199999999995"/>
    <n v="6"/>
    <n v="0"/>
    <n v="0"/>
    <n v="107"/>
    <s v="_x0000_peopl"/>
  </r>
  <r>
    <x v="6"/>
    <n v="13.695"/>
    <n v="-89.174000000000007"/>
    <n v="3"/>
    <n v="0"/>
    <n v="0"/>
    <n v="107"/>
    <s v="_x0000_peopl"/>
  </r>
  <r>
    <x v="6"/>
    <n v="13.6898"/>
    <n v="-89.216700000000003"/>
    <n v="7"/>
    <n v="0"/>
    <n v="0"/>
    <n v="107"/>
    <s v="_x0000_peopl"/>
  </r>
  <r>
    <x v="6"/>
    <n v="13.691700000000001"/>
    <n v="-89.186499999999995"/>
    <n v="2"/>
    <n v="0"/>
    <n v="0"/>
    <n v="107"/>
    <s v="_x0000_peopl"/>
  </r>
  <r>
    <x v="6"/>
    <n v="13.6877"/>
    <n v="-89.180499999999995"/>
    <n v="6"/>
    <n v="0"/>
    <n v="0"/>
    <n v="107"/>
    <s v="_x0000_peopl"/>
  </r>
  <r>
    <x v="6"/>
    <n v="13.686400000000001"/>
    <n v="-89.213399999999993"/>
    <n v="2"/>
    <n v="0"/>
    <n v="0"/>
    <n v="107"/>
    <s v="_x0000_peopl"/>
  </r>
  <r>
    <x v="6"/>
    <n v="13.6928"/>
    <n v="-89.189899999999994"/>
    <n v="5"/>
    <n v="0"/>
    <n v="0"/>
    <n v="107"/>
    <s v="_x0000_peopl"/>
  </r>
  <r>
    <x v="6"/>
    <n v="13.6915"/>
    <n v="-89.189300000000003"/>
    <n v="1"/>
    <n v="0"/>
    <n v="0"/>
    <n v="107"/>
    <s v="_x0000_peopl"/>
  </r>
  <r>
    <x v="6"/>
    <n v="13.6927"/>
    <n v="-89.179500000000004"/>
    <n v="5"/>
    <n v="0"/>
    <n v="0"/>
    <n v="107"/>
    <s v="_x0000_peopl"/>
  </r>
  <r>
    <x v="6"/>
    <n v="13.6876"/>
    <n v="-89.179699999999997"/>
    <n v="2"/>
    <n v="0"/>
    <n v="0"/>
    <n v="107"/>
    <s v="_x0000_peopl"/>
  </r>
  <r>
    <x v="6"/>
    <n v="13.672599999999999"/>
    <n v="-89.204700000000003"/>
    <n v="1"/>
    <n v="0"/>
    <n v="0"/>
    <n v="107"/>
    <s v="_x0000_peopl"/>
  </r>
  <r>
    <x v="6"/>
    <n v="13.674200000000001"/>
    <n v="-89.201800000000006"/>
    <n v="7"/>
    <n v="0"/>
    <n v="0"/>
    <n v="107"/>
    <s v="_x0000_peopl"/>
  </r>
  <r>
    <x v="6"/>
    <n v="13.6922"/>
    <n v="-89.178899999999999"/>
    <n v="5"/>
    <n v="0"/>
    <n v="0"/>
    <n v="107"/>
    <s v="_x0000_peopl"/>
  </r>
  <r>
    <x v="6"/>
    <n v="13.6921"/>
    <n v="-89.222300000000004"/>
    <n v="3"/>
    <n v="0"/>
    <n v="0"/>
    <n v="107"/>
    <s v="_x0000_peopl"/>
  </r>
  <r>
    <x v="6"/>
    <n v="13.69"/>
    <n v="-89.234700000000004"/>
    <n v="2"/>
    <n v="0"/>
    <n v="0"/>
    <n v="107"/>
    <s v="_x0000_peopl"/>
  </r>
  <r>
    <x v="6"/>
    <n v="13.689500000000001"/>
    <n v="-89.203000000000003"/>
    <n v="2"/>
    <n v="0"/>
    <n v="0"/>
    <n v="107"/>
    <s v="_x0000_peopl"/>
  </r>
  <r>
    <x v="6"/>
    <n v="13.6911"/>
    <n v="-89.234399999999994"/>
    <n v="3"/>
    <n v="0"/>
    <n v="0"/>
    <n v="107"/>
    <s v="_x0000_peopl"/>
  </r>
  <r>
    <x v="6"/>
    <n v="13.692600000000001"/>
    <n v="-89.223500000000001"/>
    <n v="11"/>
    <n v="0"/>
    <n v="0"/>
    <n v="107"/>
    <s v="_x0000_peopl"/>
  </r>
  <r>
    <x v="6"/>
    <n v="13.6873"/>
    <n v="-89.215599999999995"/>
    <n v="5"/>
    <n v="0"/>
    <n v="0"/>
    <n v="107"/>
    <s v="_x0000_peopl"/>
  </r>
  <r>
    <x v="6"/>
    <n v="13.6853"/>
    <n v="-89.2166"/>
    <n v="5"/>
    <n v="0"/>
    <n v="0"/>
    <n v="107"/>
    <s v="_x0000_peopl"/>
  </r>
  <r>
    <x v="6"/>
    <n v="13.6907"/>
    <n v="-89.187399999999997"/>
    <n v="4"/>
    <n v="0"/>
    <n v="0"/>
    <n v="107"/>
    <s v="_x0000_peopl"/>
  </r>
  <r>
    <x v="6"/>
    <n v="13.6877"/>
    <n v="-89.194599999999994"/>
    <n v="4"/>
    <n v="0"/>
    <n v="0"/>
    <n v="107"/>
    <s v="_x0000_peopl"/>
  </r>
  <r>
    <x v="6"/>
    <n v="13.6898"/>
    <n v="-89.189700000000002"/>
    <n v="4"/>
    <n v="0"/>
    <n v="0"/>
    <n v="107"/>
    <s v="_x0000_peopl"/>
  </r>
  <r>
    <x v="6"/>
    <n v="13.686400000000001"/>
    <n v="-89.215000000000003"/>
    <n v="6"/>
    <n v="0"/>
    <n v="0"/>
    <n v="107"/>
    <s v="_x0000_peopl"/>
  </r>
  <r>
    <x v="6"/>
    <n v="13.6957"/>
    <n v="-89.173599999999993"/>
    <n v="7"/>
    <n v="0"/>
    <n v="0"/>
    <n v="107"/>
    <s v="_x0000_peopl"/>
  </r>
  <r>
    <x v="6"/>
    <n v="13.6897"/>
    <n v="-89.193799999999996"/>
    <n v="3"/>
    <n v="0"/>
    <n v="0"/>
    <n v="107"/>
    <s v="_x0000_peopl"/>
  </r>
  <r>
    <x v="6"/>
    <n v="13.6873"/>
    <n v="-89.194100000000006"/>
    <n v="4"/>
    <n v="0"/>
    <n v="0"/>
    <n v="107"/>
    <s v="_x0000_peopl"/>
  </r>
  <r>
    <x v="6"/>
    <n v="13.6922"/>
    <n v="-89.194599999999994"/>
    <n v="2"/>
    <n v="0"/>
    <n v="0"/>
    <n v="107"/>
    <s v="_x0000_peopl"/>
  </r>
  <r>
    <x v="6"/>
    <n v="13.694900000000001"/>
    <n v="-89.174899999999994"/>
    <n v="3"/>
    <n v="0"/>
    <n v="0"/>
    <n v="107"/>
    <s v="_x0000_peopl"/>
  </r>
  <r>
    <x v="6"/>
    <n v="13.6966"/>
    <n v="-89.171700000000001"/>
    <n v="4"/>
    <n v="0"/>
    <n v="0"/>
    <n v="107"/>
    <s v="_x0000_peopl"/>
  </r>
  <r>
    <x v="6"/>
    <n v="13.6846"/>
    <n v="-89.212800000000001"/>
    <n v="6"/>
    <n v="0"/>
    <n v="0"/>
    <n v="107"/>
    <s v="_x0000_peopl"/>
  </r>
  <r>
    <x v="6"/>
    <n v="13.686999999999999"/>
    <n v="-89.197299999999998"/>
    <n v="8"/>
    <n v="0"/>
    <n v="0"/>
    <n v="107"/>
    <s v="_x0000_peopl"/>
  </r>
  <r>
    <x v="6"/>
    <n v="13.6861"/>
    <n v="-89.204099999999997"/>
    <n v="3"/>
    <n v="0"/>
    <n v="0"/>
    <n v="107"/>
    <s v="_x0000_peopl"/>
  </r>
  <r>
    <x v="6"/>
    <n v="13.695499999999999"/>
    <n v="-89.173900000000003"/>
    <n v="6"/>
    <n v="0"/>
    <n v="0"/>
    <n v="107"/>
    <s v="_x0000_peopl"/>
  </r>
  <r>
    <x v="6"/>
    <n v="13.685"/>
    <n v="-89.201499999999996"/>
    <n v="4"/>
    <n v="0"/>
    <n v="0"/>
    <n v="107"/>
    <s v="_x0000_peopl"/>
  </r>
  <r>
    <x v="6"/>
    <n v="13.6906"/>
    <n v="-89.235900000000001"/>
    <n v="2"/>
    <n v="0"/>
    <n v="0"/>
    <n v="107"/>
    <s v="_x0000_peopl"/>
  </r>
  <r>
    <x v="6"/>
    <n v="13.6927"/>
    <n v="-89.1845"/>
    <n v="4"/>
    <n v="0"/>
    <n v="0"/>
    <n v="107"/>
    <s v="_x0000_peopl"/>
  </r>
  <r>
    <x v="6"/>
    <n v="13.6899"/>
    <n v="-89.216700000000003"/>
    <n v="8"/>
    <n v="0"/>
    <n v="0"/>
    <n v="107"/>
    <s v="_x0000_peopl"/>
  </r>
  <r>
    <x v="6"/>
    <n v="13.6851"/>
    <n v="-89.217299999999994"/>
    <n v="3"/>
    <n v="0"/>
    <n v="0"/>
    <n v="107"/>
    <s v="_x0000_peopl"/>
  </r>
  <r>
    <x v="6"/>
    <n v="13.6945"/>
    <n v="-89.188800000000001"/>
    <n v="7"/>
    <n v="0"/>
    <n v="0"/>
    <n v="107"/>
    <s v="_x0000_peopl"/>
  </r>
  <r>
    <x v="6"/>
    <n v="13.697100000000001"/>
    <n v="-89.171899999999994"/>
    <n v="4"/>
    <n v="0"/>
    <n v="0"/>
    <n v="107"/>
    <s v="_x0000_peopl"/>
  </r>
  <r>
    <x v="6"/>
    <n v="13.6913"/>
    <n v="-89.229299999999995"/>
    <n v="4"/>
    <n v="0"/>
    <n v="0"/>
    <n v="107"/>
    <s v="_x0000_peopl"/>
  </r>
  <r>
    <x v="6"/>
    <n v="13.6882"/>
    <n v="-89.2166"/>
    <n v="6"/>
    <n v="0"/>
    <n v="0"/>
    <n v="107"/>
    <s v="_x0000_peopl"/>
  </r>
  <r>
    <x v="6"/>
    <n v="13.694900000000001"/>
    <n v="-89.174999999999997"/>
    <n v="6"/>
    <n v="0"/>
    <n v="0"/>
    <n v="107"/>
    <s v="_x0000_peopl"/>
  </r>
  <r>
    <x v="6"/>
    <n v="13.6852"/>
    <n v="-89.194100000000006"/>
    <n v="4"/>
    <n v="0"/>
    <n v="0"/>
    <n v="107"/>
    <s v="_x0000_peopl"/>
  </r>
  <r>
    <x v="6"/>
    <n v="13.6892"/>
    <n v="-89.235900000000001"/>
    <n v="6"/>
    <n v="0"/>
    <n v="0"/>
    <n v="107"/>
    <s v="_x0000_peopl"/>
  </r>
  <r>
    <x v="6"/>
    <n v="13.6919"/>
    <n v="-89.227599999999995"/>
    <n v="6"/>
    <n v="0"/>
    <n v="0"/>
    <n v="107"/>
    <s v="_x0000_peopl"/>
  </r>
  <r>
    <x v="6"/>
    <n v="13.6906"/>
    <n v="-89.178799999999995"/>
    <n v="8"/>
    <n v="0"/>
    <n v="0"/>
    <n v="107"/>
    <s v="_x0000_peopl"/>
  </r>
  <r>
    <x v="6"/>
    <n v="13.6913"/>
    <n v="-89.234499999999997"/>
    <n v="7"/>
    <n v="0"/>
    <n v="0"/>
    <n v="107"/>
    <s v="_x0000_peopl"/>
  </r>
  <r>
    <x v="6"/>
    <n v="13.685700000000001"/>
    <n v="-89.193899999999999"/>
    <n v="0"/>
    <n v="0"/>
    <n v="0"/>
    <n v="107"/>
    <s v="_x0000_peopl"/>
  </r>
  <r>
    <x v="6"/>
    <n v="13.6911"/>
    <n v="-89.23"/>
    <n v="1"/>
    <n v="0"/>
    <n v="0"/>
    <n v="107"/>
    <s v="_x0000_peopl"/>
  </r>
  <r>
    <x v="6"/>
    <n v="13.690099999999999"/>
    <n v="-89.188299999999998"/>
    <n v="4"/>
    <n v="0"/>
    <n v="0"/>
    <n v="107"/>
    <s v="_x0000_peopl"/>
  </r>
  <r>
    <x v="6"/>
    <n v="13.6919"/>
    <n v="-89.226399999999998"/>
    <n v="3"/>
    <n v="0"/>
    <n v="0"/>
    <n v="107"/>
    <s v="_x0000_peopl"/>
  </r>
  <r>
    <x v="6"/>
    <n v="13.689299999999999"/>
    <n v="-89.189800000000005"/>
    <n v="2"/>
    <n v="0"/>
    <n v="0"/>
    <n v="107"/>
    <s v="_x0000_peopl"/>
  </r>
  <r>
    <x v="6"/>
    <n v="13.6913"/>
    <n v="-89.220200000000006"/>
    <n v="3"/>
    <n v="0"/>
    <n v="0"/>
    <n v="107"/>
    <s v="_x0000_peopl"/>
  </r>
  <r>
    <x v="6"/>
    <n v="13.6874"/>
    <n v="-89.195499999999996"/>
    <n v="2"/>
    <n v="0"/>
    <n v="0"/>
    <n v="107"/>
    <s v="_x0000_peopl"/>
  </r>
  <r>
    <x v="6"/>
    <n v="13.6896"/>
    <n v="-89.216800000000006"/>
    <n v="2"/>
    <n v="0"/>
    <n v="0"/>
    <n v="107"/>
    <s v="_x0000_peopl"/>
  </r>
  <r>
    <x v="6"/>
    <n v="13.686999999999999"/>
    <n v="-89.197199999999995"/>
    <n v="4"/>
    <n v="0"/>
    <n v="0"/>
    <n v="107"/>
    <s v="_x0000_peopl"/>
  </r>
  <r>
    <x v="6"/>
    <n v="13.688800000000001"/>
    <n v="-89.205100000000002"/>
    <n v="3"/>
    <n v="0"/>
    <n v="0"/>
    <n v="107"/>
    <s v="_x0000_peopl"/>
  </r>
  <r>
    <x v="6"/>
    <n v="13.691700000000001"/>
    <n v="-89.196899999999999"/>
    <n v="11"/>
    <n v="0"/>
    <n v="0"/>
    <n v="107"/>
    <s v="_x0000_peopl"/>
  </r>
  <r>
    <x v="6"/>
    <n v="13.6753"/>
    <n v="-89.248199999999997"/>
    <n v="8"/>
    <n v="0"/>
    <n v="0"/>
    <n v="107"/>
    <s v="_x0000_peopl"/>
  </r>
  <r>
    <x v="6"/>
    <n v="13.6921"/>
    <n v="-89.223299999999995"/>
    <n v="5"/>
    <n v="0"/>
    <n v="0"/>
    <n v="107"/>
    <s v="_x0000_peopl"/>
  </r>
  <r>
    <x v="6"/>
    <n v="13.6915"/>
    <n v="-89.220399999999998"/>
    <n v="2"/>
    <n v="0"/>
    <n v="0"/>
    <n v="107"/>
    <s v="_x0000_peopl"/>
  </r>
  <r>
    <x v="6"/>
    <n v="13.6922"/>
    <n v="-89.186300000000003"/>
    <n v="10"/>
    <n v="0"/>
    <n v="0"/>
    <n v="107"/>
    <s v="_x0000_peopl"/>
  </r>
  <r>
    <x v="6"/>
    <n v="13.685499999999999"/>
    <n v="-89.201300000000003"/>
    <n v="5"/>
    <n v="0"/>
    <n v="0"/>
    <n v="107"/>
    <s v="_x0000_peopl"/>
  </r>
  <r>
    <x v="6"/>
    <n v="13.6744"/>
    <n v="-89.251300000000001"/>
    <n v="4"/>
    <n v="0"/>
    <n v="0"/>
    <n v="107"/>
    <s v="_x0000_peopl"/>
  </r>
  <r>
    <x v="6"/>
    <n v="13.6882"/>
    <n v="-89.194400000000002"/>
    <n v="2"/>
    <n v="0"/>
    <n v="0"/>
    <n v="107"/>
    <s v="_x0000_peopl"/>
  </r>
  <r>
    <x v="6"/>
    <n v="13.691800000000001"/>
    <n v="-89.226200000000006"/>
    <n v="7"/>
    <n v="0"/>
    <n v="0"/>
    <n v="107"/>
    <s v="_x0000_peopl"/>
  </r>
  <r>
    <x v="6"/>
    <n v="13.692500000000001"/>
    <n v="-89.224199999999996"/>
    <n v="3"/>
    <n v="0"/>
    <n v="0"/>
    <n v="107"/>
    <s v="_x0000_peopl"/>
  </r>
  <r>
    <x v="6"/>
    <n v="13.691700000000001"/>
    <n v="-89.227099999999993"/>
    <n v="2"/>
    <n v="0"/>
    <n v="0"/>
    <n v="107"/>
    <s v="_x0000_peopl"/>
  </r>
  <r>
    <x v="6"/>
    <n v="13.6935"/>
    <n v="-89.1768"/>
    <n v="5"/>
    <n v="0"/>
    <n v="0"/>
    <n v="107"/>
    <s v="_x0000_peopl"/>
  </r>
  <r>
    <x v="6"/>
    <n v="13.6873"/>
    <n v="-89.183899999999994"/>
    <n v="10"/>
    <n v="0"/>
    <n v="0"/>
    <n v="107"/>
    <s v="_x0000_peopl"/>
  </r>
  <r>
    <x v="6"/>
    <n v="13.6851"/>
    <n v="-89.217200000000005"/>
    <n v="4"/>
    <n v="0"/>
    <n v="0"/>
    <n v="107"/>
    <s v="_x0000_peopl"/>
  </r>
  <r>
    <x v="6"/>
    <n v="13.694599999999999"/>
    <n v="-89.185299999999998"/>
    <n v="3"/>
    <n v="0"/>
    <n v="0"/>
    <n v="107"/>
    <s v="_x0000_peopl"/>
  </r>
  <r>
    <x v="6"/>
    <n v="13.6896"/>
    <n v="-89.183599999999998"/>
    <n v="8"/>
    <n v="0"/>
    <n v="0"/>
    <n v="107"/>
    <s v="_x0000_peopl"/>
  </r>
  <r>
    <x v="6"/>
    <n v="13.6913"/>
    <n v="-89.234099999999998"/>
    <n v="2"/>
    <n v="0"/>
    <n v="0"/>
    <n v="107"/>
    <s v="_x0000_peopl"/>
  </r>
  <r>
    <x v="6"/>
    <n v="13.6873"/>
    <n v="-89.216999999999999"/>
    <n v="6"/>
    <n v="0"/>
    <n v="0"/>
    <n v="107"/>
    <s v="_x0000_peopl"/>
  </r>
  <r>
    <x v="6"/>
    <n v="13.692"/>
    <n v="-89.185400000000001"/>
    <n v="7"/>
    <n v="0"/>
    <n v="0"/>
    <n v="107"/>
    <s v="_x0000_peopl"/>
  </r>
  <r>
    <x v="6"/>
    <n v="13.6911"/>
    <n v="-89.233500000000006"/>
    <n v="6"/>
    <n v="0"/>
    <n v="0"/>
    <n v="107"/>
    <s v="_x0000_peopl"/>
  </r>
  <r>
    <x v="6"/>
    <n v="13.687799999999999"/>
    <n v="-89.194500000000005"/>
    <n v="5"/>
    <n v="0"/>
    <n v="0"/>
    <n v="107"/>
    <s v="_x0000_peopl"/>
  </r>
  <r>
    <x v="6"/>
    <n v="13.6912"/>
    <n v="-89.233999999999995"/>
    <n v="4"/>
    <n v="0"/>
    <n v="0"/>
    <n v="107"/>
    <s v="_x0000_peopl"/>
  </r>
  <r>
    <x v="6"/>
    <n v="13.6915"/>
    <n v="-89.176699999999997"/>
    <n v="2"/>
    <n v="0"/>
    <n v="0"/>
    <n v="107"/>
    <s v="_x0000_peopl"/>
  </r>
  <r>
    <x v="6"/>
    <n v="13.688000000000001"/>
    <n v="-89.180300000000003"/>
    <n v="6"/>
    <n v="0"/>
    <n v="0"/>
    <n v="107"/>
    <s v="_x0000_peopl"/>
  </r>
  <r>
    <x v="6"/>
    <n v="13.685499999999999"/>
    <n v="-89.201499999999996"/>
    <n v="5"/>
    <n v="0"/>
    <n v="0"/>
    <n v="107"/>
    <s v="_x0000_peopl"/>
  </r>
  <r>
    <x v="6"/>
    <n v="13.6928"/>
    <n v="-89.225200000000001"/>
    <n v="5"/>
    <n v="0"/>
    <n v="0"/>
    <n v="107"/>
    <s v="_x0000_peopl"/>
  </r>
  <r>
    <x v="6"/>
    <n v="13.677300000000001"/>
    <n v="-89.199600000000004"/>
    <n v="5"/>
    <n v="0"/>
    <n v="0"/>
    <n v="107"/>
    <s v="_x0000_peopl"/>
  </r>
  <r>
    <x v="6"/>
    <n v="13.6913"/>
    <n v="-89.189499999999995"/>
    <n v="4"/>
    <n v="0"/>
    <n v="0"/>
    <n v="107"/>
    <s v="_x0000_peopl"/>
  </r>
  <r>
    <x v="6"/>
    <n v="13.685600000000001"/>
    <n v="-89.212699999999998"/>
    <n v="5"/>
    <n v="0"/>
    <n v="0"/>
    <n v="107"/>
    <s v="_x0000_peopl"/>
  </r>
  <r>
    <x v="6"/>
    <n v="13.6898"/>
    <n v="-89.229299999999995"/>
    <n v="3"/>
    <n v="0"/>
    <n v="0"/>
    <n v="107"/>
    <s v="_x0000_peopl"/>
  </r>
  <r>
    <x v="6"/>
    <n v="13.688800000000001"/>
    <n v="-89.190399999999997"/>
    <n v="5"/>
    <n v="0"/>
    <n v="0"/>
    <n v="107"/>
    <s v="_x0000_peopl"/>
  </r>
  <r>
    <x v="6"/>
    <n v="13.6913"/>
    <n v="-89.235100000000003"/>
    <n v="2"/>
    <n v="0"/>
    <n v="0"/>
    <n v="107"/>
    <s v="_x0000_peopl"/>
  </r>
  <r>
    <x v="6"/>
    <n v="13.6889"/>
    <n v="-89.19"/>
    <n v="3"/>
    <n v="0"/>
    <n v="0"/>
    <n v="107"/>
    <s v="_x0000_peopl"/>
  </r>
  <r>
    <x v="6"/>
    <n v="13.686500000000001"/>
    <n v="-89.211600000000004"/>
    <n v="4"/>
    <n v="0"/>
    <n v="0"/>
    <n v="107"/>
    <s v="_x0000_peopl"/>
  </r>
  <r>
    <x v="6"/>
    <n v="13.6892"/>
    <n v="-89.211299999999994"/>
    <n v="8"/>
    <n v="0"/>
    <n v="0"/>
    <n v="107"/>
    <s v="_x0000_peopl"/>
  </r>
  <r>
    <x v="6"/>
    <n v="13.6937"/>
    <n v="-89.176500000000004"/>
    <n v="6"/>
    <n v="0"/>
    <n v="0"/>
    <n v="107"/>
    <s v="_x0000_peopl"/>
  </r>
  <r>
    <x v="6"/>
    <n v="13.691000000000001"/>
    <n v="-89.229600000000005"/>
    <n v="2"/>
    <n v="0"/>
    <n v="0"/>
    <n v="107"/>
    <s v="_x0000_peopl"/>
  </r>
  <r>
    <x v="6"/>
    <n v="13.674099999999999"/>
    <n v="-89.202799999999996"/>
    <n v="6"/>
    <n v="0"/>
    <n v="0"/>
    <n v="107"/>
    <s v="_x0000_peopl"/>
  </r>
  <r>
    <x v="6"/>
    <n v="13.692399999999999"/>
    <n v="-89.224900000000005"/>
    <n v="4"/>
    <n v="0"/>
    <n v="0"/>
    <n v="107"/>
    <s v="_x0000_peopl"/>
  </r>
  <r>
    <x v="6"/>
    <n v="13.690899999999999"/>
    <n v="-89.2273"/>
    <n v="8"/>
    <n v="0"/>
    <n v="0"/>
    <n v="107"/>
    <s v="_x0000_peopl"/>
  </r>
  <r>
    <x v="6"/>
    <n v="13.684900000000001"/>
    <n v="-89.216300000000004"/>
    <n v="4"/>
    <n v="0"/>
    <n v="0"/>
    <n v="107"/>
    <s v="_x0000_peopl"/>
  </r>
  <r>
    <x v="6"/>
    <n v="13.690799999999999"/>
    <n v="-89.190700000000007"/>
    <n v="9"/>
    <n v="0"/>
    <n v="0"/>
    <n v="107"/>
    <s v="_x0000_peopl"/>
  </r>
  <r>
    <x v="6"/>
    <n v="13.68"/>
    <n v="-89.196600000000004"/>
    <n v="4"/>
    <n v="0"/>
    <n v="0"/>
    <n v="107"/>
    <s v="_x0000_peopl"/>
  </r>
  <r>
    <x v="6"/>
    <n v="13.674200000000001"/>
    <n v="-89.251199999999997"/>
    <n v="10"/>
    <n v="0"/>
    <n v="0"/>
    <n v="107"/>
    <s v="_x0000_peopl"/>
  </r>
  <r>
    <x v="6"/>
    <n v="13.6873"/>
    <n v="-89.194500000000005"/>
    <n v="4"/>
    <n v="0"/>
    <n v="0"/>
    <n v="107"/>
    <s v="_x0000_peopl"/>
  </r>
  <r>
    <x v="6"/>
    <n v="13.6791"/>
    <n v="-89.196700000000007"/>
    <n v="2"/>
    <n v="0"/>
    <n v="0"/>
    <n v="107"/>
    <s v="_x0000_peopl"/>
  </r>
  <r>
    <x v="6"/>
    <n v="13.6919"/>
    <n v="-89.187899999999999"/>
    <n v="5"/>
    <n v="0"/>
    <n v="0"/>
    <n v="107"/>
    <s v="_x0000_peopl"/>
  </r>
  <r>
    <x v="6"/>
    <n v="13.692299999999999"/>
    <n v="-89.1751"/>
    <n v="3"/>
    <n v="0"/>
    <n v="0"/>
    <n v="107"/>
    <s v="_x0000_peopl"/>
  </r>
  <r>
    <x v="6"/>
    <n v="13.692299999999999"/>
    <n v="-89.226799999999997"/>
    <n v="5"/>
    <n v="0"/>
    <n v="0"/>
    <n v="107"/>
    <s v="_x0000_peopl"/>
  </r>
  <r>
    <x v="6"/>
    <n v="13.692"/>
    <n v="-89.223500000000001"/>
    <n v="6"/>
    <n v="0"/>
    <n v="0"/>
    <n v="107"/>
    <s v="_x0000_peopl"/>
  </r>
  <r>
    <x v="6"/>
    <n v="13.6875"/>
    <n v="-89.195099999999996"/>
    <n v="7"/>
    <n v="0"/>
    <n v="0"/>
    <n v="107"/>
    <s v="_x0000_peopl"/>
  </r>
  <r>
    <x v="6"/>
    <n v="13.695399999999999"/>
    <n v="-89.173199999999994"/>
    <n v="5"/>
    <n v="0"/>
    <n v="0"/>
    <n v="107"/>
    <s v="_x0000_peopl"/>
  </r>
  <r>
    <x v="6"/>
    <n v="13.689299999999999"/>
    <n v="-89.184700000000007"/>
    <n v="4"/>
    <n v="0"/>
    <n v="0"/>
    <n v="107"/>
    <s v="_x0000_peopl"/>
  </r>
  <r>
    <x v="6"/>
    <n v="13.6915"/>
    <n v="-89.232500000000002"/>
    <n v="9"/>
    <n v="0"/>
    <n v="0"/>
    <n v="107"/>
    <s v="_x0000_peopl"/>
  </r>
  <r>
    <x v="6"/>
    <n v="13.692399999999999"/>
    <n v="-89.196700000000007"/>
    <n v="6"/>
    <n v="0"/>
    <n v="0"/>
    <n v="107"/>
    <s v="_x0000_peopl"/>
  </r>
  <r>
    <x v="6"/>
    <n v="13.6928"/>
    <n v="-89.178700000000006"/>
    <n v="9"/>
    <n v="0"/>
    <n v="0"/>
    <n v="107"/>
    <s v="_x0000_peopl"/>
  </r>
  <r>
    <x v="6"/>
    <n v="13.674200000000001"/>
    <n v="-89.199299999999994"/>
    <n v="5"/>
    <n v="0"/>
    <n v="0"/>
    <n v="107"/>
    <s v="_x0000_peopl"/>
  </r>
  <r>
    <x v="6"/>
    <n v="13.687900000000001"/>
    <n v="-89.182699999999997"/>
    <n v="5"/>
    <n v="0"/>
    <n v="0"/>
    <n v="107"/>
    <s v="_x0000_peopl"/>
  </r>
  <r>
    <x v="6"/>
    <n v="13.688499999999999"/>
    <n v="-89.216899999999995"/>
    <n v="5"/>
    <n v="0"/>
    <n v="0"/>
    <n v="107"/>
    <s v="_x0000_peopl"/>
  </r>
  <r>
    <x v="6"/>
    <n v="13.6942"/>
    <n v="-89.174800000000005"/>
    <n v="5"/>
    <n v="0"/>
    <n v="0"/>
    <n v="107"/>
    <s v="_x0000_peopl"/>
  </r>
  <r>
    <x v="6"/>
    <n v="13.685700000000001"/>
    <n v="-89.211200000000005"/>
    <n v="4"/>
    <n v="0"/>
    <n v="0"/>
    <n v="107"/>
    <s v="_x0000_peopl"/>
  </r>
  <r>
    <x v="6"/>
    <n v="13.6913"/>
    <n v="-89.226600000000005"/>
    <n v="5"/>
    <n v="0"/>
    <n v="0"/>
    <n v="107"/>
    <s v="_x0000_peopl"/>
  </r>
  <r>
    <x v="6"/>
    <n v="13.689500000000001"/>
    <n v="-89.177499999999995"/>
    <n v="7"/>
    <n v="0"/>
    <n v="0"/>
    <n v="107"/>
    <s v="_x0000_peopl"/>
  </r>
  <r>
    <x v="6"/>
    <n v="13.689399999999999"/>
    <n v="-89.197100000000006"/>
    <n v="11"/>
    <n v="0"/>
    <n v="0"/>
    <n v="107"/>
    <s v="_x0000_peopl"/>
  </r>
  <r>
    <x v="6"/>
    <n v="13.691800000000001"/>
    <n v="-89.186499999999995"/>
    <n v="3"/>
    <n v="0"/>
    <n v="0"/>
    <n v="107"/>
    <s v="_x0000_peopl"/>
  </r>
  <r>
    <x v="6"/>
    <n v="13.6914"/>
    <n v="-89.22"/>
    <n v="5"/>
    <n v="0"/>
    <n v="0"/>
    <n v="107"/>
    <s v="_x0000_peopl"/>
  </r>
  <r>
    <x v="6"/>
    <n v="13.6907"/>
    <n v="-89.197900000000004"/>
    <n v="3"/>
    <n v="0"/>
    <n v="0"/>
    <n v="107"/>
    <s v="_x0000_peopl"/>
  </r>
  <r>
    <x v="6"/>
    <n v="13.690200000000001"/>
    <n v="-89.185000000000002"/>
    <n v="4"/>
    <n v="0"/>
    <n v="0"/>
    <n v="107"/>
    <s v="_x0000_peopl"/>
  </r>
  <r>
    <x v="6"/>
    <n v="13.686199999999999"/>
    <n v="-89.204099999999997"/>
    <n v="11"/>
    <n v="0"/>
    <n v="0"/>
    <n v="107"/>
    <s v="_x0000_peopl"/>
  </r>
  <r>
    <x v="6"/>
    <n v="13.689"/>
    <n v="-89.19"/>
    <n v="5"/>
    <n v="0"/>
    <n v="0"/>
    <n v="107"/>
    <s v="_x0000_peopl"/>
  </r>
  <r>
    <x v="6"/>
    <n v="13.6922"/>
    <n v="-89.183499999999995"/>
    <n v="2"/>
    <n v="0"/>
    <n v="0"/>
    <n v="107"/>
    <s v="_x0000_peopl"/>
  </r>
  <r>
    <x v="6"/>
    <n v="13.6897"/>
    <n v="-89.193899999999999"/>
    <n v="6"/>
    <n v="0"/>
    <n v="0"/>
    <n v="107"/>
    <s v="_x0000_peopl"/>
  </r>
  <r>
    <x v="6"/>
    <n v="13.6891"/>
    <n v="-89.211500000000001"/>
    <n v="8"/>
    <n v="0"/>
    <n v="0"/>
    <n v="107"/>
    <s v="_x0000_peopl"/>
  </r>
  <r>
    <x v="6"/>
    <n v="13.6873"/>
    <n v="-89.196700000000007"/>
    <n v="1"/>
    <n v="0"/>
    <n v="0"/>
    <n v="107"/>
    <s v="_x0000_peopl"/>
  </r>
  <r>
    <x v="6"/>
    <n v="13.693300000000001"/>
    <n v="-89.176299999999998"/>
    <n v="3"/>
    <n v="0"/>
    <n v="0"/>
    <n v="107"/>
    <s v="_x0000_peopl"/>
  </r>
  <r>
    <x v="6"/>
    <n v="13.675000000000001"/>
    <n v="-89.2"/>
    <n v="5"/>
    <n v="0"/>
    <n v="0"/>
    <n v="107"/>
    <s v="_x0000_peopl"/>
  </r>
  <r>
    <x v="6"/>
    <n v="13.6892"/>
    <n v="-89.236000000000004"/>
    <n v="8"/>
    <n v="0"/>
    <n v="0"/>
    <n v="107"/>
    <s v="_x0000_peopl"/>
  </r>
  <r>
    <x v="6"/>
    <n v="13.691800000000001"/>
    <n v="-89.1815"/>
    <n v="5"/>
    <n v="0"/>
    <n v="0"/>
    <n v="107"/>
    <s v="_x0000_peopl"/>
  </r>
  <r>
    <x v="6"/>
    <n v="13.696"/>
    <n v="-89.172399999999996"/>
    <n v="3"/>
    <n v="0"/>
    <n v="0"/>
    <n v="107"/>
    <s v="_x0000_peopl"/>
  </r>
  <r>
    <x v="6"/>
    <n v="13.690899999999999"/>
    <n v="-89.235200000000006"/>
    <n v="8"/>
    <n v="0"/>
    <n v="0"/>
    <n v="107"/>
    <s v="_x0000_peopl"/>
  </r>
  <r>
    <x v="6"/>
    <n v="13.6845"/>
    <n v="-89.194299999999998"/>
    <n v="3"/>
    <n v="0"/>
    <n v="0"/>
    <n v="107"/>
    <s v="_x0000_peopl"/>
  </r>
  <r>
    <x v="6"/>
    <n v="13.684699999999999"/>
    <n v="-89.216999999999999"/>
    <n v="6"/>
    <n v="0"/>
    <n v="0"/>
    <n v="107"/>
    <s v="_x0000_peopl"/>
  </r>
  <r>
    <x v="6"/>
    <n v="13.6897"/>
    <n v="-89.228999999999999"/>
    <n v="8"/>
    <n v="0"/>
    <n v="0"/>
    <n v="107"/>
    <s v="_x0000_peopl"/>
  </r>
  <r>
    <x v="6"/>
    <n v="13.691800000000001"/>
    <n v="-89.179400000000001"/>
    <n v="3"/>
    <n v="0"/>
    <n v="0"/>
    <n v="107"/>
    <s v="_x0000_peopl"/>
  </r>
  <r>
    <x v="6"/>
    <n v="13.687099999999999"/>
    <n v="-89.212400000000002"/>
    <n v="1"/>
    <n v="0"/>
    <n v="0"/>
    <n v="107"/>
    <s v="_x0000_peopl"/>
  </r>
  <r>
    <x v="6"/>
    <n v="13.6775"/>
    <n v="-89.246099999999998"/>
    <n v="2"/>
    <n v="0"/>
    <n v="0"/>
    <n v="107"/>
    <s v="_x0000_peopl"/>
  </r>
  <r>
    <x v="6"/>
    <n v="13.6896"/>
    <n v="-89.19"/>
    <n v="6"/>
    <n v="0"/>
    <n v="0"/>
    <n v="107"/>
    <s v="_x0000_peopl"/>
  </r>
  <r>
    <x v="6"/>
    <n v="13.6875"/>
    <n v="-89.181100000000001"/>
    <n v="7"/>
    <n v="0"/>
    <n v="0"/>
    <n v="107"/>
    <s v="_x0000_peopl"/>
  </r>
  <r>
    <x v="6"/>
    <n v="13.689"/>
    <n v="-89.190200000000004"/>
    <n v="7"/>
    <n v="0"/>
    <n v="0"/>
    <n v="107"/>
    <s v="_x0000_peopl"/>
  </r>
  <r>
    <x v="6"/>
    <n v="13.690899999999999"/>
    <n v="-89.231099999999998"/>
    <n v="5"/>
    <n v="0"/>
    <n v="0"/>
    <n v="107"/>
    <s v="_x0000_peopl"/>
  </r>
  <r>
    <x v="6"/>
    <n v="13.677"/>
    <n v="-89.247399999999999"/>
    <n v="4"/>
    <n v="0"/>
    <n v="0"/>
    <n v="107"/>
    <s v="_x0000_peopl"/>
  </r>
  <r>
    <x v="6"/>
    <n v="13.6846"/>
    <n v="-89.211600000000004"/>
    <n v="5"/>
    <n v="0"/>
    <n v="0"/>
    <n v="107"/>
    <s v="_x0000_peopl"/>
  </r>
  <r>
    <x v="6"/>
    <n v="13.691599999999999"/>
    <n v="-89.1785"/>
    <n v="4"/>
    <n v="0"/>
    <n v="0"/>
    <n v="107"/>
    <s v="_x0000_peopl"/>
  </r>
  <r>
    <x v="6"/>
    <n v="13.6877"/>
    <n v="-89.205500000000001"/>
    <n v="7"/>
    <n v="0"/>
    <n v="0"/>
    <n v="107"/>
    <s v="_x0000_peopl"/>
  </r>
  <r>
    <x v="6"/>
    <n v="13.6921"/>
    <n v="-89.225200000000001"/>
    <n v="7"/>
    <n v="0"/>
    <n v="0"/>
    <n v="107"/>
    <s v="_x0000_peopl"/>
  </r>
  <r>
    <x v="6"/>
    <n v="13.690899999999999"/>
    <n v="-89.194599999999994"/>
    <n v="5"/>
    <n v="0"/>
    <n v="0"/>
    <n v="107"/>
    <s v="_x0000_peopl"/>
  </r>
  <r>
    <x v="6"/>
    <n v="13.693199999999999"/>
    <n v="-89.177499999999995"/>
    <n v="9"/>
    <n v="0"/>
    <n v="0"/>
    <n v="107"/>
    <s v="_x0000_peopl"/>
  </r>
  <r>
    <x v="6"/>
    <n v="13.6937"/>
    <n v="-89.178399999999996"/>
    <n v="5"/>
    <n v="0"/>
    <n v="0"/>
    <n v="107"/>
    <s v="_x0000_peopl"/>
  </r>
  <r>
    <x v="6"/>
    <n v="13.6868"/>
    <n v="-89.194299999999998"/>
    <n v="3"/>
    <n v="0"/>
    <n v="0"/>
    <n v="107"/>
    <s v="_x0000_peopl"/>
  </r>
  <r>
    <x v="6"/>
    <n v="13.692399999999999"/>
    <n v="-89.175799999999995"/>
    <n v="5"/>
    <n v="0"/>
    <n v="0"/>
    <n v="107"/>
    <s v="_x0000_peopl"/>
  </r>
  <r>
    <x v="6"/>
    <n v="13.6919"/>
    <n v="-89.225300000000004"/>
    <n v="4"/>
    <n v="0"/>
    <n v="0"/>
    <n v="107"/>
    <s v="_x0000_peopl"/>
  </r>
  <r>
    <x v="6"/>
    <n v="13.690899999999999"/>
    <n v="-89.190299999999993"/>
    <n v="8"/>
    <n v="0"/>
    <n v="0"/>
    <n v="107"/>
    <s v="_x0000_peopl"/>
  </r>
  <r>
    <x v="6"/>
    <n v="13.6892"/>
    <n v="-89.184200000000004"/>
    <n v="4"/>
    <n v="0"/>
    <n v="0"/>
    <n v="107"/>
    <s v="_x0000_peopl"/>
  </r>
  <r>
    <x v="6"/>
    <n v="13.671900000000001"/>
    <n v="-89.203699999999998"/>
    <n v="2"/>
    <n v="0"/>
    <n v="0"/>
    <n v="107"/>
    <s v="_x0000_peopl"/>
  </r>
  <r>
    <x v="6"/>
    <n v="13.6911"/>
    <n v="-89.234700000000004"/>
    <n v="10"/>
    <n v="0"/>
    <n v="0"/>
    <n v="107"/>
    <s v="_x0000_peopl"/>
  </r>
  <r>
    <x v="6"/>
    <n v="13.6921"/>
    <n v="-89.182000000000002"/>
    <n v="5"/>
    <n v="0"/>
    <n v="0"/>
    <n v="107"/>
    <s v="_x0000_peopl"/>
  </r>
  <r>
    <x v="6"/>
    <n v="13.6912"/>
    <n v="-89.219300000000004"/>
    <n v="3"/>
    <n v="0"/>
    <n v="0"/>
    <n v="107"/>
    <s v="_x0000_peopl"/>
  </r>
  <r>
    <x v="6"/>
    <n v="13.6858"/>
    <n v="-89.202200000000005"/>
    <n v="13"/>
    <n v="0"/>
    <n v="0"/>
    <n v="107"/>
    <s v="_x0000_peopl"/>
  </r>
  <r>
    <x v="6"/>
    <n v="13.6854"/>
    <n v="-89.201499999999996"/>
    <n v="3"/>
    <n v="0"/>
    <n v="0"/>
    <n v="107"/>
    <s v="_x0000_peopl"/>
  </r>
  <r>
    <x v="6"/>
    <n v="13.6753"/>
    <n v="-89.250100000000003"/>
    <n v="7"/>
    <n v="0"/>
    <n v="0"/>
    <n v="107"/>
    <s v="_x0000_peopl"/>
  </r>
  <r>
    <x v="6"/>
    <n v="13.690899999999999"/>
    <n v="-89.179400000000001"/>
    <n v="6"/>
    <n v="0"/>
    <n v="0"/>
    <n v="107"/>
    <s v="_x0000_peopl"/>
  </r>
  <r>
    <x v="6"/>
    <n v="13.692600000000001"/>
    <n v="-89.225499999999997"/>
    <n v="3"/>
    <n v="0"/>
    <n v="0"/>
    <n v="107"/>
    <s v="_x0000_peopl"/>
  </r>
  <r>
    <x v="6"/>
    <n v="13.6853"/>
    <n v="-89.211799999999997"/>
    <n v="4"/>
    <n v="0"/>
    <n v="0"/>
    <n v="107"/>
    <s v="_x0000_peopl"/>
  </r>
  <r>
    <x v="6"/>
    <n v="13.6906"/>
    <n v="-89.178899999999999"/>
    <n v="2"/>
    <n v="0"/>
    <n v="0"/>
    <n v="107"/>
    <s v="_x0000_peopl"/>
  </r>
  <r>
    <x v="6"/>
    <n v="13.686299999999999"/>
    <n v="-89.193600000000004"/>
    <n v="7"/>
    <n v="0"/>
    <n v="0"/>
    <n v="107"/>
    <s v="_x0000_peopl"/>
  </r>
  <r>
    <x v="6"/>
    <n v="13.6899"/>
    <n v="-89.181600000000003"/>
    <n v="5"/>
    <n v="0"/>
    <n v="0"/>
    <n v="107"/>
    <s v="_x0000_peopl"/>
  </r>
  <r>
    <x v="6"/>
    <n v="13.6876"/>
    <n v="-89.194299999999998"/>
    <n v="2"/>
    <n v="0"/>
    <n v="0"/>
    <n v="107"/>
    <s v="_x0000_peopl"/>
  </r>
  <r>
    <x v="6"/>
    <n v="13.690899999999999"/>
    <n v="-89.190399999999997"/>
    <n v="9"/>
    <n v="0"/>
    <n v="0"/>
    <n v="107"/>
    <s v="_x0000_peopl"/>
  </r>
  <r>
    <x v="6"/>
    <n v="13.694599999999999"/>
    <n v="-89.183000000000007"/>
    <n v="7"/>
    <n v="0"/>
    <n v="0"/>
    <n v="107"/>
    <s v="_x0000_peopl"/>
  </r>
  <r>
    <x v="6"/>
    <n v="13.6976"/>
    <n v="-89.171199999999999"/>
    <n v="5"/>
    <n v="0"/>
    <n v="0"/>
    <n v="107"/>
    <s v="_x0000_peopl"/>
  </r>
  <r>
    <x v="6"/>
    <n v="13.686999999999999"/>
    <n v="-89.205200000000005"/>
    <n v="6"/>
    <n v="0"/>
    <n v="0"/>
    <n v="107"/>
    <s v="_x0000_peopl"/>
  </r>
  <r>
    <x v="6"/>
    <n v="13.6922"/>
    <n v="-89.225300000000004"/>
    <n v="5"/>
    <n v="0"/>
    <n v="0"/>
    <n v="107"/>
    <s v="_x0000_peopl"/>
  </r>
  <r>
    <x v="6"/>
    <n v="13.6874"/>
    <n v="-89.1965"/>
    <n v="2"/>
    <n v="0"/>
    <n v="0"/>
    <n v="107"/>
    <s v="_x0000_peopl"/>
  </r>
  <r>
    <x v="6"/>
    <n v="13.692399999999999"/>
    <n v="-89.179100000000005"/>
    <n v="5"/>
    <n v="0"/>
    <n v="0"/>
    <n v="107"/>
    <s v="_x0000_peopl"/>
  </r>
  <r>
    <x v="6"/>
    <n v="13.689399999999999"/>
    <n v="-89.185199999999995"/>
    <n v="4"/>
    <n v="0"/>
    <n v="0"/>
    <n v="107"/>
    <s v="_x0000_peopl"/>
  </r>
  <r>
    <x v="6"/>
    <n v="13.687200000000001"/>
    <n v="-89.195800000000006"/>
    <n v="6"/>
    <n v="0"/>
    <n v="0"/>
    <n v="107"/>
    <s v="_x0000_peopl"/>
  </r>
  <r>
    <x v="6"/>
    <n v="13.6919"/>
    <n v="-89.186000000000007"/>
    <n v="4"/>
    <n v="0"/>
    <n v="0"/>
    <n v="107"/>
    <s v="_x0000_peopl"/>
  </r>
  <r>
    <x v="6"/>
    <n v="13.6914"/>
    <n v="-89.188100000000006"/>
    <n v="5"/>
    <n v="0"/>
    <n v="0"/>
    <n v="107"/>
    <s v="_x0000_peopl"/>
  </r>
  <r>
    <x v="6"/>
    <n v="13.6852"/>
    <n v="-89.216499999999996"/>
    <n v="4"/>
    <n v="0"/>
    <n v="0"/>
    <n v="107"/>
    <s v="_x0000_peopl"/>
  </r>
  <r>
    <x v="6"/>
    <n v="13.6907"/>
    <n v="-89.231999999999999"/>
    <n v="7"/>
    <n v="0"/>
    <n v="0"/>
    <n v="107"/>
    <s v="_x0000_peopl"/>
  </r>
  <r>
    <x v="6"/>
    <n v="13.690799999999999"/>
    <n v="-89.234899999999996"/>
    <n v="5"/>
    <n v="0"/>
    <n v="0"/>
    <n v="107"/>
    <s v="_x0000_peopl"/>
  </r>
  <r>
    <x v="6"/>
    <n v="13.6861"/>
    <n v="-89.193799999999996"/>
    <n v="3"/>
    <n v="0"/>
    <n v="0"/>
    <n v="107"/>
    <s v="_x0000_peopl"/>
  </r>
  <r>
    <x v="6"/>
    <n v="13.695"/>
    <n v="-89.171800000000005"/>
    <n v="4"/>
    <n v="0"/>
    <n v="0"/>
    <n v="107"/>
    <s v="_x0000_peopl"/>
  </r>
  <r>
    <x v="6"/>
    <n v="13.6873"/>
    <n v="-89.195899999999995"/>
    <n v="7"/>
    <n v="0"/>
    <n v="0"/>
    <n v="107"/>
    <s v="_x0000_peopl"/>
  </r>
  <r>
    <x v="6"/>
    <n v="13.689500000000001"/>
    <n v="-89.178600000000003"/>
    <n v="3"/>
    <n v="0"/>
    <n v="0"/>
    <n v="107"/>
    <s v="_x0000_peopl"/>
  </r>
  <r>
    <x v="6"/>
    <n v="13.679500000000001"/>
    <n v="-89.197199999999995"/>
    <n v="5"/>
    <n v="0"/>
    <n v="0"/>
    <n v="107"/>
    <s v="_x0000_peopl"/>
  </r>
  <r>
    <x v="6"/>
    <n v="13.6922"/>
    <n v="-89.226399999999998"/>
    <n v="9"/>
    <n v="0"/>
    <n v="0"/>
    <n v="107"/>
    <s v="_x0000_peopl"/>
  </r>
  <r>
    <x v="6"/>
    <n v="13.6907"/>
    <n v="-89.235500000000002"/>
    <n v="4"/>
    <n v="0"/>
    <n v="0"/>
    <n v="107"/>
    <s v="_x0000_peopl"/>
  </r>
  <r>
    <x v="6"/>
    <n v="13.689299999999999"/>
    <n v="-89.180999999999997"/>
    <n v="2"/>
    <n v="0"/>
    <n v="0"/>
    <n v="107"/>
    <s v="_x0000_peopl"/>
  </r>
  <r>
    <x v="6"/>
    <n v="13.6914"/>
    <n v="-89.183999999999997"/>
    <n v="7"/>
    <n v="0"/>
    <n v="0"/>
    <n v="107"/>
    <s v="_x0000_peopl"/>
  </r>
  <r>
    <x v="6"/>
    <n v="13.690099999999999"/>
    <n v="-89.184200000000004"/>
    <n v="5"/>
    <n v="0"/>
    <n v="0"/>
    <n v="107"/>
    <s v="_x0000_peopl"/>
  </r>
  <r>
    <x v="6"/>
    <n v="13.679600000000001"/>
    <n v="-89.197199999999995"/>
    <n v="6"/>
    <n v="0"/>
    <n v="0"/>
    <n v="107"/>
    <s v="_x0000_peopl"/>
  </r>
  <r>
    <x v="6"/>
    <n v="13.692"/>
    <n v="-89.194299999999998"/>
    <n v="6"/>
    <n v="0"/>
    <n v="0"/>
    <n v="107"/>
    <s v="_x0000_peopl"/>
  </r>
  <r>
    <x v="6"/>
    <n v="13.6913"/>
    <n v="-89.233800000000002"/>
    <n v="3"/>
    <n v="0"/>
    <n v="0"/>
    <n v="107"/>
    <s v="_x0000_peopl"/>
  </r>
  <r>
    <x v="6"/>
    <n v="13.68"/>
    <n v="-89.195999999999998"/>
    <n v="7"/>
    <n v="0"/>
    <n v="0"/>
    <n v="107"/>
    <s v="_x0000_peopl"/>
  </r>
  <r>
    <x v="6"/>
    <n v="13.690300000000001"/>
    <n v="-89.177400000000006"/>
    <n v="3"/>
    <n v="0"/>
    <n v="0"/>
    <n v="107"/>
    <s v="_x0000_peopl"/>
  </r>
  <r>
    <x v="6"/>
    <n v="13.6958"/>
    <n v="-89.172799999999995"/>
    <n v="13"/>
    <n v="0"/>
    <n v="0"/>
    <n v="107"/>
    <s v="_x0000_peopl"/>
  </r>
  <r>
    <x v="6"/>
    <n v="13.686400000000001"/>
    <n v="-89.214799999999997"/>
    <n v="6"/>
    <n v="0"/>
    <n v="0"/>
    <n v="107"/>
    <s v="_x0000_peopl"/>
  </r>
  <r>
    <x v="6"/>
    <n v="13.690799999999999"/>
    <n v="-89.231499999999997"/>
    <n v="4"/>
    <n v="0"/>
    <n v="0"/>
    <n v="107"/>
    <s v="_x0000_peopl"/>
  </r>
  <r>
    <x v="6"/>
    <n v="13.6968"/>
    <n v="-89.171899999999994"/>
    <n v="8"/>
    <n v="0"/>
    <n v="0"/>
    <n v="107"/>
    <s v="_x0000_peopl"/>
  </r>
  <r>
    <x v="6"/>
    <n v="13.6919"/>
    <n v="-89.221500000000006"/>
    <n v="5"/>
    <n v="0"/>
    <n v="0"/>
    <n v="107"/>
    <s v="_x0000_peopl"/>
  </r>
  <r>
    <x v="6"/>
    <n v="13.6851"/>
    <n v="-89.212999999999994"/>
    <n v="5"/>
    <n v="0"/>
    <n v="0"/>
    <n v="107"/>
    <s v="_x0000_peopl"/>
  </r>
  <r>
    <x v="6"/>
    <n v="13.6912"/>
    <n v="-89.228700000000003"/>
    <n v="4"/>
    <n v="0"/>
    <n v="0"/>
    <n v="107"/>
    <s v="_x0000_peopl"/>
  </r>
  <r>
    <x v="6"/>
    <n v="13.6921"/>
    <n v="-89.225099999999998"/>
    <n v="4"/>
    <n v="0"/>
    <n v="0"/>
    <n v="107"/>
    <s v="_x0000_peopl"/>
  </r>
  <r>
    <x v="6"/>
    <n v="13.6854"/>
    <n v="-89.216300000000004"/>
    <n v="6"/>
    <n v="0"/>
    <n v="0"/>
    <n v="107"/>
    <s v="_x0000_peopl"/>
  </r>
  <r>
    <x v="6"/>
    <n v="13.690200000000001"/>
    <n v="-89.177400000000006"/>
    <n v="4"/>
    <n v="0"/>
    <n v="0"/>
    <n v="107"/>
    <s v="_x0000_peopl"/>
  </r>
  <r>
    <x v="6"/>
    <n v="13.692500000000001"/>
    <n v="-89.186499999999995"/>
    <n v="4"/>
    <n v="0"/>
    <n v="0"/>
    <n v="107"/>
    <s v="_x0000_peopl"/>
  </r>
  <r>
    <x v="6"/>
    <n v="13.692"/>
    <n v="-89.227099999999993"/>
    <n v="6"/>
    <n v="0"/>
    <n v="0"/>
    <n v="107"/>
    <s v="_x0000_peopl"/>
  </r>
  <r>
    <x v="6"/>
    <n v="13.692500000000001"/>
    <n v="-89.2239"/>
    <n v="5"/>
    <n v="0"/>
    <n v="0"/>
    <n v="107"/>
    <s v="_x0000_peopl"/>
  </r>
  <r>
    <x v="6"/>
    <n v="13.6874"/>
    <n v="-89.194999999999993"/>
    <n v="4"/>
    <n v="0"/>
    <n v="0"/>
    <n v="107"/>
    <s v="_x0000_peopl"/>
  </r>
  <r>
    <x v="6"/>
    <n v="13.679600000000001"/>
    <n v="-89.197299999999998"/>
    <n v="4"/>
    <n v="0"/>
    <n v="0"/>
    <n v="107"/>
    <s v="_x0000_peopl"/>
  </r>
  <r>
    <x v="6"/>
    <n v="13.6873"/>
    <n v="-89.215599999999995"/>
    <n v="4"/>
    <n v="0"/>
    <n v="0"/>
    <n v="107"/>
    <s v="_x0000_peopl"/>
  </r>
  <r>
    <x v="6"/>
    <n v="13.687200000000001"/>
    <n v="-89.196399999999997"/>
    <n v="3"/>
    <n v="0"/>
    <n v="0"/>
    <n v="107"/>
    <s v="_x0000_peopl"/>
  </r>
  <r>
    <x v="6"/>
    <n v="13.6936"/>
    <n v="-89.176900000000003"/>
    <n v="4"/>
    <n v="0"/>
    <n v="0"/>
    <n v="107"/>
    <s v="_x0000_peopl"/>
  </r>
  <r>
    <x v="6"/>
    <n v="13.693300000000001"/>
    <n v="-89.189099999999996"/>
    <n v="5"/>
    <n v="0"/>
    <n v="0"/>
    <n v="107"/>
    <s v="_x0000_peopl"/>
  </r>
  <r>
    <x v="6"/>
    <n v="13.692299999999999"/>
    <n v="-89.226600000000005"/>
    <n v="2"/>
    <n v="0"/>
    <n v="0"/>
    <n v="107"/>
    <s v="_x0000_peopl"/>
  </r>
  <r>
    <x v="6"/>
    <n v="13.6938"/>
    <n v="-89.183599999999998"/>
    <n v="5"/>
    <n v="0"/>
    <n v="0"/>
    <n v="107"/>
    <s v="_x0000_peopl"/>
  </r>
  <r>
    <x v="6"/>
    <n v="13.688000000000001"/>
    <n v="-89.212000000000003"/>
    <n v="6"/>
    <n v="0"/>
    <n v="0"/>
    <n v="107"/>
    <s v="_x0000_peopl"/>
  </r>
  <r>
    <x v="6"/>
    <n v="13.6914"/>
    <n v="-89.181899999999999"/>
    <n v="8"/>
    <n v="0"/>
    <n v="0"/>
    <n v="107"/>
    <s v="_x0000_peopl"/>
  </r>
  <r>
    <x v="6"/>
    <n v="13.686999999999999"/>
    <n v="-89.205399999999997"/>
    <n v="4"/>
    <n v="0"/>
    <n v="0"/>
    <n v="107"/>
    <s v="_x0000_peopl"/>
  </r>
  <r>
    <x v="6"/>
    <n v="13.687099999999999"/>
    <n v="-89.194599999999994"/>
    <n v="3"/>
    <n v="0"/>
    <n v="0"/>
    <n v="107"/>
    <s v="_x0000_peopl"/>
  </r>
  <r>
    <x v="6"/>
    <n v="13.685"/>
    <n v="-89.202500000000001"/>
    <n v="7"/>
    <n v="0"/>
    <n v="0"/>
    <n v="107"/>
    <s v="_x0000_peopl"/>
  </r>
  <r>
    <x v="6"/>
    <n v="13.6874"/>
    <n v="-89.210899999999995"/>
    <n v="11"/>
    <n v="0"/>
    <n v="0"/>
    <n v="107"/>
    <s v="_x0000_peopl"/>
  </r>
  <r>
    <x v="6"/>
    <n v="13.690799999999999"/>
    <n v="-89.233599999999996"/>
    <n v="4"/>
    <n v="0"/>
    <n v="0"/>
    <n v="107"/>
    <s v="_x0000_peopl"/>
  </r>
  <r>
    <x v="6"/>
    <n v="13.6915"/>
    <n v="-89.186499999999995"/>
    <n v="2"/>
    <n v="0"/>
    <n v="0"/>
    <n v="107"/>
    <s v="_x0000_peopl"/>
  </r>
  <r>
    <x v="6"/>
    <n v="13.6927"/>
    <n v="-89.225200000000001"/>
    <n v="3"/>
    <n v="0"/>
    <n v="0"/>
    <n v="107"/>
    <s v="_x0000_peopl"/>
  </r>
  <r>
    <x v="6"/>
    <n v="13.6867"/>
    <n v="-89.194500000000005"/>
    <n v="4"/>
    <n v="0"/>
    <n v="0"/>
    <n v="107"/>
    <s v="_x0000_peopl"/>
  </r>
  <r>
    <x v="6"/>
    <n v="13.6942"/>
    <n v="-89.173500000000004"/>
    <n v="5"/>
    <n v="0"/>
    <n v="0"/>
    <n v="107"/>
    <s v="_x0000_peopl"/>
  </r>
  <r>
    <x v="6"/>
    <n v="13.6907"/>
    <n v="-89.233999999999995"/>
    <n v="5"/>
    <n v="0"/>
    <n v="0"/>
    <n v="107"/>
    <s v="_x0000_peopl"/>
  </r>
  <r>
    <x v="6"/>
    <n v="13.687099999999999"/>
    <n v="-89.204300000000003"/>
    <n v="6"/>
    <n v="0"/>
    <n v="0"/>
    <n v="107"/>
    <s v="_x0000_peopl"/>
  </r>
  <r>
    <x v="6"/>
    <n v="13.692"/>
    <n v="-89.2239"/>
    <n v="8"/>
    <n v="0"/>
    <n v="0"/>
    <n v="107"/>
    <s v="_x0000_peopl"/>
  </r>
  <r>
    <x v="6"/>
    <n v="13.6905"/>
    <n v="-89.227900000000005"/>
    <n v="5"/>
    <n v="0"/>
    <n v="0"/>
    <n v="107"/>
    <s v="_x0000_peopl"/>
  </r>
  <r>
    <x v="6"/>
    <n v="13.6874"/>
    <n v="-89.180199999999999"/>
    <n v="5"/>
    <n v="0"/>
    <n v="0"/>
    <n v="107"/>
    <s v="_x0000_peopl"/>
  </r>
  <r>
    <x v="6"/>
    <n v="13.6915"/>
    <n v="-89.185299999999998"/>
    <n v="5"/>
    <n v="0"/>
    <n v="0"/>
    <n v="107"/>
    <s v="_x0000_peopl"/>
  </r>
  <r>
    <x v="6"/>
    <n v="13.6868"/>
    <n v="-89.1828"/>
    <n v="2"/>
    <n v="0"/>
    <n v="0"/>
    <n v="107"/>
    <s v="_x0000_peopl"/>
  </r>
  <r>
    <x v="6"/>
    <n v="13.686999999999999"/>
    <n v="-89.212800000000001"/>
    <n v="7"/>
    <n v="0"/>
    <n v="0"/>
    <n v="107"/>
    <s v="_x0000_peopl"/>
  </r>
  <r>
    <x v="6"/>
    <n v="13.691000000000001"/>
    <n v="-89.190600000000003"/>
    <n v="4"/>
    <n v="0"/>
    <n v="0"/>
    <n v="107"/>
    <s v="_x0000_peopl"/>
  </r>
  <r>
    <x v="6"/>
    <n v="13.688800000000001"/>
    <n v="-89.229399999999998"/>
    <n v="2"/>
    <n v="0"/>
    <n v="0"/>
    <n v="107"/>
    <s v="_x0000_peopl"/>
  </r>
  <r>
    <x v="6"/>
    <n v="13.6883"/>
    <n v="-89.236599999999996"/>
    <n v="8"/>
    <n v="0"/>
    <n v="0"/>
    <n v="107"/>
    <s v="_x0000_peopl"/>
  </r>
  <r>
    <x v="6"/>
    <n v="13.675000000000001"/>
    <n v="-89.251900000000006"/>
    <n v="6"/>
    <n v="0"/>
    <n v="0"/>
    <n v="107"/>
    <s v="_x0000_peopl"/>
  </r>
  <r>
    <x v="6"/>
    <n v="13.686999999999999"/>
    <n v="-89.205200000000005"/>
    <n v="5"/>
    <n v="0"/>
    <n v="0"/>
    <n v="107"/>
    <s v="_x0000_peopl"/>
  </r>
  <r>
    <x v="6"/>
    <n v="13.689500000000001"/>
    <n v="-89.235500000000002"/>
    <n v="2"/>
    <n v="0"/>
    <n v="0"/>
    <n v="107"/>
    <s v="_x0000_peopl"/>
  </r>
  <r>
    <x v="6"/>
    <n v="13.690899999999999"/>
    <n v="-89.190600000000003"/>
    <n v="8"/>
    <n v="0"/>
    <n v="0"/>
    <n v="107"/>
    <s v="_x0000_peopl"/>
  </r>
  <r>
    <x v="6"/>
    <n v="13.6869"/>
    <n v="-89.216300000000004"/>
    <n v="5"/>
    <n v="0"/>
    <n v="0"/>
    <n v="107"/>
    <s v="_x0000_peopl"/>
  </r>
  <r>
    <x v="6"/>
    <n v="13.69"/>
    <n v="-89.184700000000007"/>
    <n v="1"/>
    <n v="0"/>
    <n v="0"/>
    <n v="107"/>
    <s v="_x0000_peopl"/>
  </r>
  <r>
    <x v="6"/>
    <n v="13.6945"/>
    <n v="-89.183499999999995"/>
    <n v="3"/>
    <n v="0"/>
    <n v="0"/>
    <n v="107"/>
    <s v="_x0000_peopl"/>
  </r>
  <r>
    <x v="6"/>
    <n v="13.6911"/>
    <n v="-89.190100000000001"/>
    <n v="5"/>
    <n v="0"/>
    <n v="0"/>
    <n v="107"/>
    <s v="_x0000_peopl"/>
  </r>
  <r>
    <x v="6"/>
    <n v="13.688499999999999"/>
    <n v="-89.198099999999997"/>
    <n v="1"/>
    <n v="0"/>
    <n v="0"/>
    <n v="107"/>
    <s v="_x0000_peopl"/>
  </r>
  <r>
    <x v="6"/>
    <n v="13.685700000000001"/>
    <n v="-89.214699999999993"/>
    <n v="0"/>
    <n v="0"/>
    <n v="0"/>
    <n v="107"/>
    <s v="_x0000_peopl"/>
  </r>
  <r>
    <x v="6"/>
    <n v="13.688700000000001"/>
    <n v="-89.216499999999996"/>
    <n v="1"/>
    <n v="0"/>
    <n v="0"/>
    <n v="107"/>
    <s v="_x0000_peopl"/>
  </r>
  <r>
    <x v="6"/>
    <n v="13.686199999999999"/>
    <n v="-89.201300000000003"/>
    <n v="5"/>
    <n v="0"/>
    <n v="0"/>
    <n v="107"/>
    <s v="_x0000_peopl"/>
  </r>
  <r>
    <x v="6"/>
    <n v="13.695600000000001"/>
    <n v="-89.173000000000002"/>
    <n v="3"/>
    <n v="0"/>
    <n v="0"/>
    <n v="107"/>
    <s v="_x0000_peopl"/>
  </r>
  <r>
    <x v="6"/>
    <n v="13.692"/>
    <n v="-89.179299999999998"/>
    <n v="3"/>
    <n v="0"/>
    <n v="0"/>
    <n v="107"/>
    <s v="_x0000_peopl"/>
  </r>
  <r>
    <x v="6"/>
    <n v="13.6884"/>
    <n v="-89.1982"/>
    <n v="3"/>
    <n v="0"/>
    <n v="0"/>
    <n v="107"/>
    <s v="_x0000_peopl"/>
  </r>
  <r>
    <x v="6"/>
    <n v="13.6782"/>
    <n v="-89.1965"/>
    <n v="3"/>
    <n v="0"/>
    <n v="0"/>
    <n v="107"/>
    <s v="_x0000_peopl"/>
  </r>
  <r>
    <x v="6"/>
    <n v="13.6927"/>
    <n v="-89.175799999999995"/>
    <n v="3"/>
    <n v="0"/>
    <n v="0"/>
    <n v="107"/>
    <s v="_x0000_peopl"/>
  </r>
  <r>
    <x v="6"/>
    <n v="13.685499999999999"/>
    <n v="-89.201300000000003"/>
    <n v="5"/>
    <n v="0"/>
    <n v="0"/>
    <n v="107"/>
    <s v="_x0000_peopl"/>
  </r>
  <r>
    <x v="6"/>
    <n v="13.6881"/>
    <n v="-89.237099999999998"/>
    <n v="7"/>
    <n v="0"/>
    <n v="0"/>
    <n v="107"/>
    <s v="_x0000_peopl"/>
  </r>
  <r>
    <x v="6"/>
    <n v="13.692600000000001"/>
    <n v="-89.184899999999999"/>
    <n v="9"/>
    <n v="0"/>
    <n v="0"/>
    <n v="107"/>
    <s v="_x0000_peopl"/>
  </r>
  <r>
    <x v="6"/>
    <n v="13.688000000000001"/>
    <n v="-89.215900000000005"/>
    <n v="9"/>
    <n v="0"/>
    <n v="0"/>
    <n v="107"/>
    <s v="_x0000_peopl"/>
  </r>
  <r>
    <x v="6"/>
    <n v="13.691800000000001"/>
    <n v="-89.179199999999994"/>
    <n v="3"/>
    <n v="0"/>
    <n v="0"/>
    <n v="107"/>
    <s v="_x0000_peopl"/>
  </r>
  <r>
    <x v="6"/>
    <n v="13.691599999999999"/>
    <n v="-89.2333"/>
    <n v="7"/>
    <n v="0"/>
    <n v="0"/>
    <n v="107"/>
    <s v="_x0000_peopl"/>
  </r>
  <r>
    <x v="6"/>
    <n v="13.686"/>
    <n v="-89.198400000000007"/>
    <n v="7"/>
    <n v="0"/>
    <n v="0"/>
    <n v="107"/>
    <s v="_x0000_peopl"/>
  </r>
  <r>
    <x v="6"/>
    <n v="13.687799999999999"/>
    <n v="-89.2166"/>
    <n v="9"/>
    <n v="0"/>
    <n v="0"/>
    <n v="107"/>
    <s v="_x0000_peopl"/>
  </r>
  <r>
    <x v="6"/>
    <n v="13.6907"/>
    <n v="-89.186400000000006"/>
    <n v="3"/>
    <n v="0"/>
    <n v="0"/>
    <n v="107"/>
    <s v="_x0000_peopl"/>
  </r>
  <r>
    <x v="6"/>
    <n v="13.696"/>
    <n v="-89.172799999999995"/>
    <n v="6"/>
    <n v="0"/>
    <n v="0"/>
    <n v="107"/>
    <s v="_x0000_peopl"/>
  </r>
  <r>
    <x v="6"/>
    <n v="13.692399999999999"/>
    <n v="-89.178799999999995"/>
    <n v="3"/>
    <n v="0"/>
    <n v="0"/>
    <n v="107"/>
    <s v="_x0000_peopl"/>
  </r>
  <r>
    <x v="6"/>
    <n v="13.694900000000001"/>
    <n v="-89.174899999999994"/>
    <n v="3"/>
    <n v="0"/>
    <n v="0"/>
    <n v="107"/>
    <s v="_x0000_peopl"/>
  </r>
  <r>
    <x v="6"/>
    <n v="13.684799999999999"/>
    <n v="-89.215599999999995"/>
    <n v="6"/>
    <n v="0"/>
    <n v="0"/>
    <n v="107"/>
    <s v="_x0000_peopl"/>
  </r>
  <r>
    <x v="6"/>
    <n v="13.691700000000001"/>
    <n v="-89.232399999999998"/>
    <n v="5"/>
    <n v="0"/>
    <n v="0"/>
    <n v="107"/>
    <s v="_x0000_peopl"/>
  </r>
  <r>
    <x v="6"/>
    <n v="13.687099999999999"/>
    <n v="-89.197500000000005"/>
    <n v="5"/>
    <n v="0"/>
    <n v="0"/>
    <n v="107"/>
    <s v="_x0000_peopl"/>
  </r>
  <r>
    <x v="6"/>
    <n v="13.6934"/>
    <n v="-89.173500000000004"/>
    <n v="8"/>
    <n v="0"/>
    <n v="0"/>
    <n v="107"/>
    <s v="_x0000_peopl"/>
  </r>
  <r>
    <x v="6"/>
    <n v="13.6884"/>
    <n v="-89.204300000000003"/>
    <n v="2"/>
    <n v="0"/>
    <n v="0"/>
    <n v="107"/>
    <s v="_x0000_peopl"/>
  </r>
  <r>
    <x v="6"/>
    <n v="13.6867"/>
    <n v="-89.182599999999994"/>
    <n v="6"/>
    <n v="0"/>
    <n v="0"/>
    <n v="107"/>
    <s v="_x0000_peopl"/>
  </r>
  <r>
    <x v="6"/>
    <n v="13.687099999999999"/>
    <n v="-89.197699999999998"/>
    <n v="2"/>
    <n v="0"/>
    <n v="0"/>
    <n v="107"/>
    <s v="_x0000_peopl"/>
  </r>
  <r>
    <x v="6"/>
    <n v="13.692299999999999"/>
    <n v="-89.2226"/>
    <n v="5"/>
    <n v="0"/>
    <n v="0"/>
    <n v="107"/>
    <s v="_x0000_peopl"/>
  </r>
  <r>
    <x v="6"/>
    <n v="13.6873"/>
    <n v="-89.1935"/>
    <n v="3"/>
    <n v="0"/>
    <n v="0"/>
    <n v="107"/>
    <s v="_x0000_peopl"/>
  </r>
  <r>
    <x v="6"/>
    <n v="13.6944"/>
    <n v="-89.185500000000005"/>
    <n v="7"/>
    <n v="0"/>
    <n v="0"/>
    <n v="107"/>
    <s v="_x0000_peopl"/>
  </r>
  <r>
    <x v="6"/>
    <n v="13.6859"/>
    <n v="-89.211399999999998"/>
    <n v="5"/>
    <n v="0"/>
    <n v="0"/>
    <n v="107"/>
    <s v="_x0000_peopl"/>
  </r>
  <r>
    <x v="6"/>
    <n v="13.6919"/>
    <n v="-89.221599999999995"/>
    <n v="3"/>
    <n v="0"/>
    <n v="0"/>
    <n v="107"/>
    <s v="_x0000_peopl"/>
  </r>
  <r>
    <x v="6"/>
    <n v="13.6881"/>
    <n v="-89.180999999999997"/>
    <n v="6"/>
    <n v="0"/>
    <n v="0"/>
    <n v="107"/>
    <s v="_x0000_peopl"/>
  </r>
  <r>
    <x v="6"/>
    <n v="13.6899"/>
    <n v="-89.216899999999995"/>
    <n v="3"/>
    <n v="0"/>
    <n v="0"/>
    <n v="107"/>
    <s v="_x0000_peopl"/>
  </r>
  <r>
    <x v="6"/>
    <n v="13.6912"/>
    <n v="-89.228499999999997"/>
    <n v="3"/>
    <n v="0"/>
    <n v="0"/>
    <n v="107"/>
    <s v="_x0000_peopl"/>
  </r>
  <r>
    <x v="6"/>
    <n v="13.6904"/>
    <n v="-89.183400000000006"/>
    <n v="4"/>
    <n v="0"/>
    <n v="0"/>
    <n v="107"/>
    <s v="_x0000_peopl"/>
  </r>
  <r>
    <x v="6"/>
    <n v="13.6854"/>
    <n v="-89.201800000000006"/>
    <n v="6"/>
    <n v="0"/>
    <n v="0"/>
    <n v="107"/>
    <s v="_x0000_peopl"/>
  </r>
  <r>
    <x v="6"/>
    <n v="13.693099999999999"/>
    <n v="-89.189800000000005"/>
    <n v="3"/>
    <n v="0"/>
    <n v="0"/>
    <n v="107"/>
    <s v="_x0000_peopl"/>
  </r>
  <r>
    <x v="6"/>
    <n v="13.6746"/>
    <n v="-89.199399999999997"/>
    <n v="4"/>
    <n v="0"/>
    <n v="0"/>
    <n v="107"/>
    <s v="_x0000_peopl"/>
  </r>
  <r>
    <x v="6"/>
    <n v="13.691700000000001"/>
    <n v="-89.232699999999994"/>
    <n v="6"/>
    <n v="0"/>
    <n v="0"/>
    <n v="107"/>
    <s v="_x0000_peopl"/>
  </r>
  <r>
    <x v="6"/>
    <n v="13.684900000000001"/>
    <n v="-89.201800000000006"/>
    <n v="4"/>
    <n v="0"/>
    <n v="0"/>
    <n v="107"/>
    <s v="_x0000_peopl"/>
  </r>
  <r>
    <x v="6"/>
    <n v="13.6875"/>
    <n v="-89.194800000000001"/>
    <n v="4"/>
    <n v="0"/>
    <n v="0"/>
    <n v="107"/>
    <s v="_x0000_peopl"/>
  </r>
  <r>
    <x v="6"/>
    <n v="13.688599999999999"/>
    <n v="-89.180400000000006"/>
    <n v="1"/>
    <n v="0"/>
    <n v="0"/>
    <n v="107"/>
    <s v="_x0000_peopl"/>
  </r>
  <r>
    <x v="6"/>
    <n v="13.6945"/>
    <n v="-89.185299999999998"/>
    <n v="4"/>
    <n v="0"/>
    <n v="0"/>
    <n v="107"/>
    <s v="_x0000_peopl"/>
  </r>
  <r>
    <x v="6"/>
    <n v="13.686999999999999"/>
    <n v="-89.194699999999997"/>
    <n v="4"/>
    <n v="0"/>
    <n v="0"/>
    <n v="107"/>
    <s v="_x0000_peopl"/>
  </r>
  <r>
    <x v="6"/>
    <n v="13.686400000000001"/>
    <n v="-89.203299999999999"/>
    <n v="5"/>
    <n v="0"/>
    <n v="0"/>
    <n v="107"/>
    <s v="_x0000_peopl"/>
  </r>
  <r>
    <x v="6"/>
    <n v="13.689399999999999"/>
    <n v="-89.184799999999996"/>
    <n v="5"/>
    <n v="0"/>
    <n v="0"/>
    <n v="107"/>
    <s v="_x0000_peopl"/>
  </r>
  <r>
    <x v="6"/>
    <n v="13.692500000000001"/>
    <n v="-89.226299999999995"/>
    <n v="2"/>
    <n v="0"/>
    <n v="0"/>
    <n v="107"/>
    <s v="_x0000_peopl"/>
  </r>
  <r>
    <x v="6"/>
    <n v="13.6874"/>
    <n v="-89.194999999999993"/>
    <n v="4"/>
    <n v="0"/>
    <n v="0"/>
    <n v="107"/>
    <s v="_x0000_peopl"/>
  </r>
  <r>
    <x v="6"/>
    <n v="13.6919"/>
    <n v="-89.183499999999995"/>
    <n v="2"/>
    <n v="0"/>
    <n v="0"/>
    <n v="107"/>
    <s v="_x0000_peopl"/>
  </r>
  <r>
    <x v="6"/>
    <n v="13.6853"/>
    <n v="-89.202100000000002"/>
    <n v="2"/>
    <n v="0"/>
    <n v="0"/>
    <n v="107"/>
    <s v="_x0000_peopl"/>
  </r>
  <r>
    <x v="6"/>
    <n v="13.692399999999999"/>
    <n v="-89.223200000000006"/>
    <n v="6"/>
    <n v="0"/>
    <n v="0"/>
    <n v="107"/>
    <s v="_x0000_peopl"/>
  </r>
  <r>
    <x v="6"/>
    <n v="13.6913"/>
    <n v="-89.228899999999996"/>
    <n v="6"/>
    <n v="0"/>
    <n v="0"/>
    <n v="107"/>
    <s v="_x0000_peopl"/>
  </r>
  <r>
    <x v="6"/>
    <n v="13.685600000000001"/>
    <n v="-89.193600000000004"/>
    <n v="4"/>
    <n v="0"/>
    <n v="0"/>
    <n v="107"/>
    <s v="_x0000_peopl"/>
  </r>
  <r>
    <x v="6"/>
    <n v="13.6904"/>
    <n v="-89.235699999999994"/>
    <n v="6"/>
    <n v="0"/>
    <n v="0"/>
    <n v="107"/>
    <s v="_x0000_peopl"/>
  </r>
  <r>
    <x v="6"/>
    <n v="13.691599999999999"/>
    <n v="-89.193399999999997"/>
    <n v="5"/>
    <n v="0"/>
    <n v="0"/>
    <n v="107"/>
    <s v="_x0000_peopl"/>
  </r>
  <r>
    <x v="6"/>
    <n v="13.6889"/>
    <n v="-89.205399999999997"/>
    <n v="5"/>
    <n v="0"/>
    <n v="0"/>
    <n v="107"/>
    <s v="_x0000_peopl"/>
  </r>
  <r>
    <x v="6"/>
    <n v="13.693199999999999"/>
    <n v="-89.176500000000004"/>
    <n v="4"/>
    <n v="0"/>
    <n v="0"/>
    <n v="107"/>
    <s v="_x0000_peopl"/>
  </r>
  <r>
    <x v="6"/>
    <n v="13.6877"/>
    <n v="-89.1798"/>
    <n v="6"/>
    <n v="0"/>
    <n v="0"/>
    <n v="107"/>
    <s v="_x0000_peopl"/>
  </r>
  <r>
    <x v="6"/>
    <n v="13.6907"/>
    <n v="-89.1875"/>
    <n v="4"/>
    <n v="0"/>
    <n v="0"/>
    <n v="107"/>
    <s v="_x0000_peopl"/>
  </r>
  <r>
    <x v="6"/>
    <n v="13.692399999999999"/>
    <n v="-89.225899999999996"/>
    <n v="1"/>
    <n v="0"/>
    <n v="0"/>
    <n v="107"/>
    <s v="_x0000_peopl"/>
  </r>
  <r>
    <x v="6"/>
    <n v="13.6914"/>
    <n v="-89.232399999999998"/>
    <n v="10"/>
    <n v="0"/>
    <n v="0"/>
    <n v="107"/>
    <s v="_x0000_peopl"/>
  </r>
  <r>
    <x v="6"/>
    <n v="13.6859"/>
    <n v="-89.211600000000004"/>
    <n v="2"/>
    <n v="0"/>
    <n v="0"/>
    <n v="107"/>
    <s v="_x0000_peopl"/>
  </r>
  <r>
    <x v="6"/>
    <n v="13.675000000000001"/>
    <n v="-89.250900000000001"/>
    <n v="7"/>
    <n v="0"/>
    <n v="0"/>
    <n v="107"/>
    <s v="_x0000_peopl"/>
  </r>
  <r>
    <x v="6"/>
    <n v="13.686999999999999"/>
    <n v="-89.205500000000001"/>
    <n v="5"/>
    <n v="0"/>
    <n v="0"/>
    <n v="107"/>
    <s v="_x0000_peopl"/>
  </r>
  <r>
    <x v="6"/>
    <n v="13.687099999999999"/>
    <n v="-89.1815"/>
    <n v="4"/>
    <n v="0"/>
    <n v="0"/>
    <n v="107"/>
    <s v="_x0000_peopl"/>
  </r>
  <r>
    <x v="6"/>
    <n v="13.684699999999999"/>
    <n v="-89.215500000000006"/>
    <n v="4"/>
    <n v="0"/>
    <n v="0"/>
    <n v="107"/>
    <s v="_x0000_peopl"/>
  </r>
  <r>
    <x v="6"/>
    <n v="13.687200000000001"/>
    <n v="-89.180999999999997"/>
    <n v="5"/>
    <n v="0"/>
    <n v="0"/>
    <n v="107"/>
    <s v="_x0000_peopl"/>
  </r>
  <r>
    <x v="6"/>
    <n v="13.691000000000001"/>
    <n v="-89.219800000000006"/>
    <n v="6"/>
    <n v="0"/>
    <n v="0"/>
    <n v="107"/>
    <s v="_x0000_peopl"/>
  </r>
  <r>
    <x v="6"/>
    <n v="13.688800000000001"/>
    <n v="-89.181399999999996"/>
    <n v="9"/>
    <n v="0"/>
    <n v="0"/>
    <n v="107"/>
    <s v="_x0000_peopl"/>
  </r>
  <r>
    <x v="6"/>
    <n v="13.689399999999999"/>
    <n v="-89.197699999999998"/>
    <n v="2"/>
    <n v="0"/>
    <n v="0"/>
    <n v="107"/>
    <s v="_x0000_peopl"/>
  </r>
  <r>
    <x v="6"/>
    <n v="13.679600000000001"/>
    <n v="-89.196700000000007"/>
    <n v="2"/>
    <n v="0"/>
    <n v="0"/>
    <n v="107"/>
    <s v="_x0000_peopl"/>
  </r>
  <r>
    <x v="6"/>
    <n v="13.687799999999999"/>
    <n v="-89.204800000000006"/>
    <n v="2"/>
    <n v="0"/>
    <n v="0"/>
    <n v="107"/>
    <s v="_x0000_peopl"/>
  </r>
  <r>
    <x v="6"/>
    <n v="13.6922"/>
    <n v="-89.179900000000004"/>
    <n v="6"/>
    <n v="0"/>
    <n v="0"/>
    <n v="107"/>
    <s v="_x0000_peopl"/>
  </r>
  <r>
    <x v="6"/>
    <n v="13.692"/>
    <n v="-89.178799999999995"/>
    <n v="2"/>
    <n v="0"/>
    <n v="0"/>
    <n v="107"/>
    <s v="_x0000_peopl"/>
  </r>
  <r>
    <x v="6"/>
    <n v="13.691000000000001"/>
    <n v="-89.234800000000007"/>
    <n v="5"/>
    <n v="0"/>
    <n v="0"/>
    <n v="107"/>
    <s v="_x0000_peopl"/>
  </r>
  <r>
    <x v="6"/>
    <n v="13.6768"/>
    <n v="-89.199299999999994"/>
    <n v="8"/>
    <n v="0"/>
    <n v="0"/>
    <n v="107"/>
    <s v="_x0000_peopl"/>
  </r>
  <r>
    <x v="6"/>
    <n v="13.6867"/>
    <n v="-89.194500000000005"/>
    <n v="6"/>
    <n v="0"/>
    <n v="0"/>
    <n v="107"/>
    <s v="_x0000_peopl"/>
  </r>
  <r>
    <x v="6"/>
    <n v="13.6927"/>
    <n v="-89.184299999999993"/>
    <n v="4"/>
    <n v="0"/>
    <n v="0"/>
    <n v="107"/>
    <s v="_x0000_peopl"/>
  </r>
  <r>
    <x v="6"/>
    <n v="13.690799999999999"/>
    <n v="-89.1905"/>
    <n v="5"/>
    <n v="0"/>
    <n v="0"/>
    <n v="107"/>
    <s v="_x0000_peopl"/>
  </r>
  <r>
    <x v="6"/>
    <n v="13.692299999999999"/>
    <n v="-89.224100000000007"/>
    <n v="4"/>
    <n v="0"/>
    <n v="0"/>
    <n v="107"/>
    <s v="_x0000_peopl"/>
  </r>
  <r>
    <x v="6"/>
    <n v="13.6914"/>
    <n v="-89.177000000000007"/>
    <n v="3"/>
    <n v="0"/>
    <n v="0"/>
    <n v="107"/>
    <s v="_x0000_peopl"/>
  </r>
  <r>
    <x v="6"/>
    <n v="13.6799"/>
    <n v="-89.195800000000006"/>
    <n v="6"/>
    <n v="0"/>
    <n v="0"/>
    <n v="107"/>
    <s v="_x0000_peopl"/>
  </r>
  <r>
    <x v="6"/>
    <n v="13.6877"/>
    <n v="-89.194599999999994"/>
    <n v="3"/>
    <n v="0"/>
    <n v="0"/>
    <n v="107"/>
    <s v="_x0000_peopl"/>
  </r>
  <r>
    <x v="6"/>
    <n v="13.6919"/>
    <n v="-89.224699999999999"/>
    <n v="4"/>
    <n v="0"/>
    <n v="0"/>
    <n v="107"/>
    <s v="_x0000_peopl"/>
  </r>
  <r>
    <x v="6"/>
    <n v="13.6919"/>
    <n v="-89.221699999999998"/>
    <n v="5"/>
    <n v="0"/>
    <n v="0"/>
    <n v="107"/>
    <s v="_x0000_peopl"/>
  </r>
  <r>
    <x v="6"/>
    <n v="13.6769"/>
    <n v="-89.248400000000004"/>
    <n v="7"/>
    <n v="0"/>
    <n v="0"/>
    <n v="107"/>
    <s v="_x0000_peopl"/>
  </r>
  <r>
    <x v="6"/>
    <n v="13.694599999999999"/>
    <n v="-89.185299999999998"/>
    <n v="2"/>
    <n v="0"/>
    <n v="0"/>
    <n v="107"/>
    <s v="_x0000_peopl"/>
  </r>
  <r>
    <x v="6"/>
    <n v="13.6944"/>
    <n v="-89.174999999999997"/>
    <n v="4"/>
    <n v="0"/>
    <n v="0"/>
    <n v="107"/>
    <s v="_x0000_peopl"/>
  </r>
  <r>
    <x v="6"/>
    <n v="13.691599999999999"/>
    <n v="-89.228200000000001"/>
    <n v="6"/>
    <n v="0"/>
    <n v="0"/>
    <n v="107"/>
    <s v="_x0000_peopl"/>
  </r>
  <r>
    <x v="6"/>
    <n v="13.687099999999999"/>
    <n v="-89.203999999999994"/>
    <n v="2"/>
    <n v="0"/>
    <n v="0"/>
    <n v="107"/>
    <s v="_x0000_peopl"/>
  </r>
  <r>
    <x v="6"/>
    <n v="13.674899999999999"/>
    <n v="-89.2517"/>
    <n v="12"/>
    <n v="0"/>
    <n v="0"/>
    <n v="107"/>
    <s v="_x0000_peopl"/>
  </r>
  <r>
    <x v="6"/>
    <n v="13.6907"/>
    <n v="-89.187200000000004"/>
    <n v="8"/>
    <n v="0"/>
    <n v="0"/>
    <n v="107"/>
    <s v="_x0000_peopl"/>
  </r>
  <r>
    <x v="6"/>
    <n v="13.687799999999999"/>
    <n v="-89.216800000000006"/>
    <n v="9"/>
    <n v="0"/>
    <n v="0"/>
    <n v="107"/>
    <s v="_x0000_peopl"/>
  </r>
  <r>
    <x v="6"/>
    <n v="13.6914"/>
    <n v="-89.232799999999997"/>
    <n v="2"/>
    <n v="0"/>
    <n v="0"/>
    <n v="107"/>
    <s v="_x0000_peopl"/>
  </r>
  <r>
    <x v="6"/>
    <n v="13.6861"/>
    <n v="-89.215199999999996"/>
    <n v="5"/>
    <n v="0"/>
    <n v="0"/>
    <n v="107"/>
    <s v="_x0000_peopl"/>
  </r>
  <r>
    <x v="6"/>
    <n v="13.6875"/>
    <n v="-89.196399999999997"/>
    <n v="3"/>
    <n v="0"/>
    <n v="0"/>
    <n v="107"/>
    <s v="_x0000_peopl"/>
  </r>
  <r>
    <x v="6"/>
    <n v="13.692500000000001"/>
    <n v="-89.225300000000004"/>
    <n v="3"/>
    <n v="0"/>
    <n v="0"/>
    <n v="107"/>
    <s v="_x0000_peopl"/>
  </r>
  <r>
    <x v="6"/>
    <n v="13.689399999999999"/>
    <n v="-89.181100000000001"/>
    <n v="6"/>
    <n v="0"/>
    <n v="0"/>
    <n v="107"/>
    <s v="_x0000_peopl"/>
  </r>
  <r>
    <x v="6"/>
    <n v="13.686999999999999"/>
    <n v="-89.197400000000002"/>
    <n v="4"/>
    <n v="0"/>
    <n v="0"/>
    <n v="107"/>
    <s v="_x0000_peopl"/>
  </r>
  <r>
    <x v="6"/>
    <n v="13.6851"/>
    <n v="-89.215199999999996"/>
    <n v="4"/>
    <n v="0"/>
    <n v="0"/>
    <n v="107"/>
    <s v="_x0000_peopl"/>
  </r>
  <r>
    <x v="6"/>
    <n v="13.690200000000001"/>
    <n v="-89.193200000000004"/>
    <n v="5"/>
    <n v="0"/>
    <n v="0"/>
    <n v="107"/>
    <s v="_x0000_peopl"/>
  </r>
  <r>
    <x v="6"/>
    <n v="13.6919"/>
    <n v="-89.226399999999998"/>
    <n v="2"/>
    <n v="0"/>
    <n v="0"/>
    <n v="107"/>
    <s v="_x0000_peopl"/>
  </r>
  <r>
    <x v="6"/>
    <n v="13.681100000000001"/>
    <n v="-89.195599999999999"/>
    <n v="5"/>
    <n v="0"/>
    <n v="0"/>
    <n v="107"/>
    <s v="_x0000_peopl"/>
  </r>
  <r>
    <x v="6"/>
    <n v="13.687200000000001"/>
    <n v="-89.194500000000005"/>
    <n v="4"/>
    <n v="0"/>
    <n v="0"/>
    <n v="107"/>
    <s v="_x0000_peopl"/>
  </r>
  <r>
    <x v="6"/>
    <n v="13.688800000000001"/>
    <n v="-89.2166"/>
    <n v="5"/>
    <n v="0"/>
    <n v="0"/>
    <n v="107"/>
    <s v="_x0000_peopl"/>
  </r>
  <r>
    <x v="6"/>
    <n v="13.6898"/>
    <n v="-89.188800000000001"/>
    <n v="5"/>
    <n v="0"/>
    <n v="0"/>
    <n v="107"/>
    <s v="_x0000_peopl"/>
  </r>
  <r>
    <x v="6"/>
    <n v="13.6854"/>
    <n v="-89.211799999999997"/>
    <n v="1"/>
    <n v="0"/>
    <n v="0"/>
    <n v="107"/>
    <s v="_x0000_peopl"/>
  </r>
  <r>
    <x v="6"/>
    <n v="13.6921"/>
    <n v="-89.195999999999998"/>
    <n v="4"/>
    <n v="0"/>
    <n v="0"/>
    <n v="107"/>
    <s v="_x0000_peopl"/>
  </r>
  <r>
    <x v="6"/>
    <n v="13.692"/>
    <n v="-89.224299999999999"/>
    <n v="5"/>
    <n v="0"/>
    <n v="0"/>
    <n v="107"/>
    <s v="_x0000_peopl"/>
  </r>
  <r>
    <x v="6"/>
    <n v="13.6891"/>
    <n v="-89.184399999999997"/>
    <n v="2"/>
    <n v="0"/>
    <n v="0"/>
    <n v="107"/>
    <s v="_x0000_peopl"/>
  </r>
  <r>
    <x v="6"/>
    <n v="13.685600000000001"/>
    <n v="-89.202399999999997"/>
    <n v="7"/>
    <n v="0"/>
    <n v="0"/>
    <n v="107"/>
    <s v="_x0000_peopl"/>
  </r>
  <r>
    <x v="6"/>
    <n v="13.690099999999999"/>
    <n v="-89.235699999999994"/>
    <n v="4"/>
    <n v="0"/>
    <n v="0"/>
    <n v="107"/>
    <s v="_x0000_peopl"/>
  </r>
  <r>
    <x v="6"/>
    <n v="13.6792"/>
    <n v="-89.196700000000007"/>
    <n v="6"/>
    <n v="0"/>
    <n v="0"/>
    <n v="107"/>
    <s v="_x0000_peopl"/>
  </r>
  <r>
    <x v="6"/>
    <n v="13.689299999999999"/>
    <n v="-89.184100000000001"/>
    <n v="5"/>
    <n v="0"/>
    <n v="0"/>
    <n v="107"/>
    <s v="_x0000_peopl"/>
  </r>
  <r>
    <x v="6"/>
    <n v="13.6874"/>
    <n v="-89.195599999999999"/>
    <n v="6"/>
    <n v="0"/>
    <n v="0"/>
    <n v="107"/>
    <s v="_x0000_peopl"/>
  </r>
  <r>
    <x v="6"/>
    <n v="13.685"/>
    <n v="-89.211600000000004"/>
    <n v="4"/>
    <n v="0"/>
    <n v="0"/>
    <n v="107"/>
    <s v="_x0000_peopl"/>
  </r>
  <r>
    <x v="6"/>
    <n v="13.6922"/>
    <n v="-89.175299999999993"/>
    <n v="6"/>
    <n v="0"/>
    <n v="0"/>
    <n v="107"/>
    <s v="_x0000_peopl"/>
  </r>
  <r>
    <x v="6"/>
    <n v="13.6873"/>
    <n v="-89.194000000000003"/>
    <n v="2"/>
    <n v="0"/>
    <n v="0"/>
    <n v="107"/>
    <s v="_x0000_peopl"/>
  </r>
  <r>
    <x v="6"/>
    <n v="13.691800000000001"/>
    <n v="-89.225099999999998"/>
    <n v="5"/>
    <n v="0"/>
    <n v="0"/>
    <n v="107"/>
    <s v="_x0000_peopl"/>
  </r>
  <r>
    <x v="6"/>
    <n v="13.6898"/>
    <n v="-89.194000000000003"/>
    <n v="5"/>
    <n v="0"/>
    <n v="0"/>
    <n v="107"/>
    <s v="_x0000_peopl"/>
  </r>
  <r>
    <x v="6"/>
    <n v="13.690899999999999"/>
    <n v="-89.234499999999997"/>
    <n v="6"/>
    <n v="0"/>
    <n v="0"/>
    <n v="107"/>
    <s v="_x0000_peopl"/>
  </r>
  <r>
    <x v="6"/>
    <n v="13.6858"/>
    <n v="-89.215400000000002"/>
    <n v="5"/>
    <n v="0"/>
    <n v="0"/>
    <n v="107"/>
    <s v="_x0000_peopl"/>
  </r>
  <r>
    <x v="6"/>
    <n v="13.6945"/>
    <n v="-89.174199999999999"/>
    <n v="4"/>
    <n v="0"/>
    <n v="0"/>
    <n v="107"/>
    <s v="_x0000_peopl"/>
  </r>
  <r>
    <x v="6"/>
    <n v="13.6869"/>
    <n v="-89.194699999999997"/>
    <n v="4"/>
    <n v="0"/>
    <n v="0"/>
    <n v="107"/>
    <s v="_x0000_peopl"/>
  </r>
  <r>
    <x v="6"/>
    <n v="13.6861"/>
    <n v="-89.216300000000004"/>
    <n v="3"/>
    <n v="0"/>
    <n v="0"/>
    <n v="107"/>
    <s v="_x0000_peopl"/>
  </r>
  <r>
    <x v="6"/>
    <n v="13.685600000000001"/>
    <n v="-89.211799999999997"/>
    <n v="9"/>
    <n v="0"/>
    <n v="0"/>
    <n v="107"/>
    <s v="_x0000_peopl"/>
  </r>
  <r>
    <x v="6"/>
    <n v="13.687200000000001"/>
    <n v="-89.215699999999998"/>
    <n v="10"/>
    <n v="0"/>
    <n v="0"/>
    <n v="107"/>
    <s v="_x0000_peopl"/>
  </r>
  <r>
    <x v="6"/>
    <n v="13.6899"/>
    <n v="-89.197999999999993"/>
    <n v="3"/>
    <n v="0"/>
    <n v="0"/>
    <n v="107"/>
    <s v="_x0000_peopl"/>
  </r>
  <r>
    <x v="6"/>
    <n v="13.6752"/>
    <n v="-89.251999999999995"/>
    <n v="2"/>
    <n v="0"/>
    <n v="0"/>
    <n v="107"/>
    <s v="_x0000_peopl"/>
  </r>
  <r>
    <x v="6"/>
    <n v="13.693199999999999"/>
    <n v="-89.177700000000002"/>
    <n v="7"/>
    <n v="0"/>
    <n v="0"/>
    <n v="107"/>
    <s v="_x0000_peopl"/>
  </r>
  <r>
    <x v="6"/>
    <n v="13.6957"/>
    <n v="-89.171800000000005"/>
    <n v="7"/>
    <n v="0"/>
    <n v="0"/>
    <n v="107"/>
    <s v="_x0000_peopl"/>
  </r>
  <r>
    <x v="6"/>
    <n v="13.694599999999999"/>
    <n v="-89.174800000000005"/>
    <n v="4"/>
    <n v="0"/>
    <n v="0"/>
    <n v="107"/>
    <s v="_x0000_peopl"/>
  </r>
  <r>
    <x v="6"/>
    <n v="13.690899999999999"/>
    <n v="-89.190600000000003"/>
    <n v="5"/>
    <n v="0"/>
    <n v="0"/>
    <n v="107"/>
    <s v="_x0000_peopl"/>
  </r>
  <r>
    <x v="6"/>
    <n v="13.686999999999999"/>
    <n v="-89.194599999999994"/>
    <n v="8"/>
    <n v="0"/>
    <n v="0"/>
    <n v="107"/>
    <s v="_x0000_peopl"/>
  </r>
  <r>
    <x v="6"/>
    <n v="13.6896"/>
    <n v="-89.181100000000001"/>
    <n v="3"/>
    <n v="0"/>
    <n v="0"/>
    <n v="107"/>
    <s v="_x0000_peopl"/>
  </r>
  <r>
    <x v="6"/>
    <n v="13.687099999999999"/>
    <n v="-89.194699999999997"/>
    <n v="9"/>
    <n v="0"/>
    <n v="0"/>
    <n v="107"/>
    <s v="_x0000_peopl"/>
  </r>
  <r>
    <x v="6"/>
    <n v="13.691000000000001"/>
    <n v="-89.228700000000003"/>
    <n v="3"/>
    <n v="0"/>
    <n v="0"/>
    <n v="107"/>
    <s v="_x0000_peopl"/>
  </r>
  <r>
    <x v="6"/>
    <n v="13.691700000000001"/>
    <n v="-89.226799999999997"/>
    <n v="10"/>
    <n v="0"/>
    <n v="0"/>
    <n v="107"/>
    <s v="_x0000_peopl"/>
  </r>
  <r>
    <x v="6"/>
    <n v="13.6907"/>
    <n v="-89.186499999999995"/>
    <n v="7"/>
    <n v="0"/>
    <n v="0"/>
    <n v="107"/>
    <s v="_x0000_peopl"/>
  </r>
  <r>
    <x v="6"/>
    <n v="13.6952"/>
    <n v="-89.173900000000003"/>
    <n v="3"/>
    <n v="0"/>
    <n v="0"/>
    <n v="107"/>
    <s v="_x0000_peopl"/>
  </r>
  <r>
    <x v="6"/>
    <n v="13.691700000000001"/>
    <n v="-89.225700000000003"/>
    <n v="3"/>
    <n v="0"/>
    <n v="0"/>
    <n v="107"/>
    <s v="_x0000_peopl"/>
  </r>
  <r>
    <x v="6"/>
    <n v="13.69"/>
    <n v="-89.217200000000005"/>
    <n v="8"/>
    <n v="0"/>
    <n v="0"/>
    <n v="107"/>
    <s v="_x0000_peopl"/>
  </r>
  <r>
    <x v="6"/>
    <n v="13.694800000000001"/>
    <n v="-89.174999999999997"/>
    <n v="5"/>
    <n v="0"/>
    <n v="0"/>
    <n v="107"/>
    <s v="_x0000_peopl"/>
  </r>
  <r>
    <x v="6"/>
    <n v="13.69"/>
    <n v="-89.179599999999994"/>
    <n v="8"/>
    <n v="0"/>
    <n v="0"/>
    <n v="107"/>
    <s v="_x0000_peopl"/>
  </r>
  <r>
    <x v="6"/>
    <n v="13.686999999999999"/>
    <n v="-89.204599999999999"/>
    <n v="6"/>
    <n v="0"/>
    <n v="0"/>
    <n v="107"/>
    <s v="_x0000_peopl"/>
  </r>
  <r>
    <x v="6"/>
    <n v="13.6935"/>
    <n v="-89.188699999999997"/>
    <n v="5"/>
    <n v="0"/>
    <n v="0"/>
    <n v="107"/>
    <s v="_x0000_peopl"/>
  </r>
  <r>
    <x v="6"/>
    <n v="13.6921"/>
    <n v="-89.185900000000004"/>
    <n v="5"/>
    <n v="0"/>
    <n v="0"/>
    <n v="107"/>
    <s v="_x0000_peopl"/>
  </r>
  <r>
    <x v="6"/>
    <n v="13.6912"/>
    <n v="-89.228800000000007"/>
    <n v="10"/>
    <n v="0"/>
    <n v="0"/>
    <n v="107"/>
    <s v="_x0000_peopl"/>
  </r>
  <r>
    <x v="6"/>
    <n v="13.694100000000001"/>
    <n v="-89.182400000000001"/>
    <n v="3"/>
    <n v="0"/>
    <n v="0"/>
    <n v="107"/>
    <s v="_x0000_peopl"/>
  </r>
  <r>
    <x v="6"/>
    <n v="13.695499999999999"/>
    <n v="-89.173400000000001"/>
    <n v="9"/>
    <n v="0"/>
    <n v="0"/>
    <n v="107"/>
    <s v="_x0000_peopl"/>
  </r>
  <r>
    <x v="6"/>
    <n v="13.6907"/>
    <n v="-89.186899999999994"/>
    <n v="2"/>
    <n v="0"/>
    <n v="0"/>
    <n v="107"/>
    <s v="_x0000_peopl"/>
  </r>
  <r>
    <x v="6"/>
    <n v="13.69"/>
    <n v="-89.234800000000007"/>
    <n v="5"/>
    <n v="0"/>
    <n v="0"/>
    <n v="107"/>
    <s v="_x0000_peopl"/>
  </r>
  <r>
    <x v="6"/>
    <n v="13.690200000000001"/>
    <n v="-89.179699999999997"/>
    <n v="7"/>
    <n v="0"/>
    <n v="0"/>
    <n v="107"/>
    <s v="_x0000_peopl"/>
  </r>
  <r>
    <x v="6"/>
    <n v="13.6921"/>
    <n v="-89.180400000000006"/>
    <n v="3"/>
    <n v="0"/>
    <n v="0"/>
    <n v="107"/>
    <s v="_x0000_peopl"/>
  </r>
  <r>
    <x v="6"/>
    <n v="13.6737"/>
    <n v="-89.251199999999997"/>
    <n v="4"/>
    <n v="0"/>
    <n v="0"/>
    <n v="107"/>
    <s v="_x0000_peopl"/>
  </r>
  <r>
    <x v="6"/>
    <n v="13.6892"/>
    <n v="-89.178299999999993"/>
    <n v="7"/>
    <n v="0"/>
    <n v="0"/>
    <n v="107"/>
    <s v="_x0000_peopl"/>
  </r>
  <r>
    <x v="6"/>
    <n v="13.6928"/>
    <n v="-89.224400000000003"/>
    <n v="5"/>
    <n v="0"/>
    <n v="0"/>
    <n v="107"/>
    <s v="_x0000_peopl"/>
  </r>
  <r>
    <x v="6"/>
    <n v="13.687200000000001"/>
    <n v="-89.204599999999999"/>
    <n v="5"/>
    <n v="0"/>
    <n v="0"/>
    <n v="107"/>
    <s v="_x0000_peopl"/>
  </r>
  <r>
    <x v="6"/>
    <n v="13.6881"/>
    <n v="-89.216399999999993"/>
    <n v="7"/>
    <n v="0"/>
    <n v="0"/>
    <n v="107"/>
    <s v="_x0000_peopl"/>
  </r>
  <r>
    <x v="6"/>
    <n v="13.6873"/>
    <n v="-89.197299999999998"/>
    <n v="9"/>
    <n v="0"/>
    <n v="0"/>
    <n v="107"/>
    <s v="_x0000_peopl"/>
  </r>
  <r>
    <x v="6"/>
    <n v="13.680999999999999"/>
    <n v="-89.195700000000002"/>
    <n v="9"/>
    <n v="0"/>
    <n v="0"/>
    <n v="107"/>
    <s v="_x0000_peopl"/>
  </r>
  <r>
    <x v="6"/>
    <n v="13.687099999999999"/>
    <n v="-89.193799999999996"/>
    <n v="3"/>
    <n v="0"/>
    <n v="0"/>
    <n v="107"/>
    <s v="_x0000_peopl"/>
  </r>
  <r>
    <x v="6"/>
    <n v="13.6922"/>
    <n v="-89.176699999999997"/>
    <n v="5"/>
    <n v="0"/>
    <n v="0"/>
    <n v="107"/>
    <s v="_x0000_peopl"/>
  </r>
  <r>
    <x v="6"/>
    <n v="13.686199999999999"/>
    <n v="-89.198099999999997"/>
    <n v="2"/>
    <n v="0"/>
    <n v="0"/>
    <n v="107"/>
    <s v="_x0000_peopl"/>
  </r>
  <r>
    <x v="6"/>
    <n v="13.6883"/>
    <n v="-89.193799999999996"/>
    <n v="8"/>
    <n v="0"/>
    <n v="0"/>
    <n v="107"/>
    <s v="_x0000_peopl"/>
  </r>
  <r>
    <x v="6"/>
    <n v="13.6943"/>
    <n v="-89.188999999999993"/>
    <n v="3"/>
    <n v="0"/>
    <n v="0"/>
    <n v="107"/>
    <s v="_x0000_peopl"/>
  </r>
  <r>
    <x v="6"/>
    <n v="13.6911"/>
    <n v="-89.183999999999997"/>
    <n v="8"/>
    <n v="0"/>
    <n v="0"/>
    <n v="107"/>
    <s v="_x0000_peopl"/>
  </r>
  <r>
    <x v="6"/>
    <n v="13.6732"/>
    <n v="-89.2042"/>
    <n v="8"/>
    <n v="0"/>
    <n v="0"/>
    <n v="107"/>
    <s v="_x0000_peopl"/>
  </r>
  <r>
    <x v="6"/>
    <n v="13.6922"/>
    <n v="-89.2226"/>
    <n v="4"/>
    <n v="0"/>
    <n v="0"/>
    <n v="107"/>
    <s v="_x0000_peopl"/>
  </r>
  <r>
    <x v="6"/>
    <n v="13.6853"/>
    <n v="-89.215800000000002"/>
    <n v="7"/>
    <n v="0"/>
    <n v="0"/>
    <n v="107"/>
    <s v="_x0000_peopl"/>
  </r>
  <r>
    <x v="6"/>
    <n v="13.6958"/>
    <n v="-89.1661"/>
    <n v="5"/>
    <n v="0"/>
    <n v="0"/>
    <n v="107"/>
    <s v="_x0000_peopl"/>
  </r>
  <r>
    <x v="6"/>
    <n v="13.6898"/>
    <n v="-89.229100000000003"/>
    <n v="2"/>
    <n v="0"/>
    <n v="0"/>
    <n v="107"/>
    <s v="_x0000_peopl"/>
  </r>
  <r>
    <x v="6"/>
    <n v="13.6861"/>
    <n v="-89.216399999999993"/>
    <n v="5"/>
    <n v="0"/>
    <n v="0"/>
    <n v="107"/>
    <s v="_x0000_peopl"/>
  </r>
  <r>
    <x v="6"/>
    <n v="13.6873"/>
    <n v="-89.204499999999996"/>
    <n v="5"/>
    <n v="0"/>
    <n v="0"/>
    <n v="107"/>
    <s v="_x0000_peopl"/>
  </r>
  <r>
    <x v="6"/>
    <n v="13.6936"/>
    <n v="-89.188800000000001"/>
    <n v="2"/>
    <n v="0"/>
    <n v="0"/>
    <n v="107"/>
    <s v="_x0000_peopl"/>
  </r>
  <r>
    <x v="6"/>
    <n v="13.687200000000001"/>
    <n v="-89.197100000000006"/>
    <n v="3"/>
    <n v="0"/>
    <n v="0"/>
    <n v="107"/>
    <s v="_x0000_peopl"/>
  </r>
  <r>
    <x v="6"/>
    <n v="13.6906"/>
    <n v="-89.196200000000005"/>
    <n v="7"/>
    <n v="0"/>
    <n v="0"/>
    <n v="107"/>
    <s v="_x0000_peopl"/>
  </r>
  <r>
    <x v="6"/>
    <n v="13.6935"/>
    <n v="-89.188699999999997"/>
    <n v="3"/>
    <n v="0"/>
    <n v="0"/>
    <n v="107"/>
    <s v="_x0000_peopl"/>
  </r>
  <r>
    <x v="6"/>
    <n v="13.6876"/>
    <n v="-89.196899999999999"/>
    <n v="8"/>
    <n v="0"/>
    <n v="0"/>
    <n v="107"/>
    <s v="_x0000_peopl"/>
  </r>
  <r>
    <x v="6"/>
    <n v="13.691800000000001"/>
    <n v="-89.225099999999998"/>
    <n v="1"/>
    <n v="0"/>
    <n v="0"/>
    <n v="107"/>
    <s v="_x0000_peopl"/>
  </r>
  <r>
    <x v="6"/>
    <n v="13.691800000000001"/>
    <n v="-89.178399999999996"/>
    <n v="5"/>
    <n v="0"/>
    <n v="0"/>
    <n v="107"/>
    <s v="_x0000_peopl"/>
  </r>
  <r>
    <x v="6"/>
    <n v="13.6845"/>
    <n v="-89.217200000000005"/>
    <n v="4"/>
    <n v="0"/>
    <n v="0"/>
    <n v="107"/>
    <s v="_x0000_peopl"/>
  </r>
  <r>
    <x v="6"/>
    <n v="13.6906"/>
    <n v="-89.232299999999995"/>
    <n v="4"/>
    <n v="0"/>
    <n v="0"/>
    <n v="107"/>
    <s v="_x0000_peopl"/>
  </r>
  <r>
    <x v="6"/>
    <n v="13.6972"/>
    <n v="-89.171700000000001"/>
    <n v="4"/>
    <n v="0"/>
    <n v="0"/>
    <n v="107"/>
    <s v="_x0000_peopl"/>
  </r>
  <r>
    <x v="6"/>
    <n v="13.6911"/>
    <n v="-89.188900000000004"/>
    <n v="6"/>
    <n v="0"/>
    <n v="0"/>
    <n v="107"/>
    <s v="_x0000_peopl"/>
  </r>
  <r>
    <x v="6"/>
    <n v="13.691000000000001"/>
    <n v="-89.219700000000003"/>
    <n v="8"/>
    <n v="0"/>
    <n v="0"/>
    <n v="107"/>
    <s v="_x0000_peopl"/>
  </r>
  <r>
    <x v="6"/>
    <n v="13.6928"/>
    <n v="-89.189700000000002"/>
    <n v="2"/>
    <n v="0"/>
    <n v="0"/>
    <n v="107"/>
    <s v="_x0000_peopl"/>
  </r>
  <r>
    <x v="6"/>
    <n v="13.691000000000001"/>
    <n v="-89.188699999999997"/>
    <n v="9"/>
    <n v="0"/>
    <n v="0"/>
    <n v="107"/>
    <s v="_x0000_peopl"/>
  </r>
  <r>
    <x v="6"/>
    <n v="13.684900000000001"/>
    <n v="-89.193899999999999"/>
    <n v="1"/>
    <n v="0"/>
    <n v="0"/>
    <n v="107"/>
    <s v="_x0000_peopl"/>
  </r>
  <r>
    <x v="6"/>
    <n v="13.6869"/>
    <n v="-89.216099999999997"/>
    <n v="5"/>
    <n v="0"/>
    <n v="0"/>
    <n v="107"/>
    <s v="_x0000_peopl"/>
  </r>
  <r>
    <x v="6"/>
    <n v="13.675000000000001"/>
    <n v="-89.199600000000004"/>
    <n v="6"/>
    <n v="0"/>
    <n v="0"/>
    <n v="107"/>
    <s v="_x0000_peopl"/>
  </r>
  <r>
    <x v="6"/>
    <n v="13.6868"/>
    <n v="-89.194500000000005"/>
    <n v="5"/>
    <n v="0"/>
    <n v="0"/>
    <n v="107"/>
    <s v="_x0000_peopl"/>
  </r>
  <r>
    <x v="6"/>
    <n v="13.6874"/>
    <n v="-89.197299999999998"/>
    <n v="3"/>
    <n v="0"/>
    <n v="0"/>
    <n v="107"/>
    <s v="_x0000_peopl"/>
  </r>
  <r>
    <x v="6"/>
    <n v="13.674099999999999"/>
    <n v="-89.252300000000005"/>
    <n v="4"/>
    <n v="0"/>
    <n v="0"/>
    <n v="107"/>
    <s v="_x0000_peopl"/>
  </r>
  <r>
    <x v="6"/>
    <n v="13.6891"/>
    <n v="-89.190299999999993"/>
    <n v="6"/>
    <n v="0"/>
    <n v="0"/>
    <n v="107"/>
    <s v="_x0000_peopl"/>
  </r>
  <r>
    <x v="6"/>
    <n v="13.6868"/>
    <n v="-89.183300000000003"/>
    <n v="4"/>
    <n v="0"/>
    <n v="0"/>
    <n v="107"/>
    <s v="_x0000_peopl"/>
  </r>
  <r>
    <x v="6"/>
    <n v="13.6897"/>
    <n v="-89.192499999999995"/>
    <n v="4"/>
    <n v="0"/>
    <n v="0"/>
    <n v="107"/>
    <s v="_x0000_peopl"/>
  </r>
  <r>
    <x v="6"/>
    <n v="13.695600000000001"/>
    <n v="-89.173500000000004"/>
    <n v="7"/>
    <n v="0"/>
    <n v="0"/>
    <n v="107"/>
    <s v="_x0000_peopl"/>
  </r>
  <r>
    <x v="6"/>
    <n v="13.6889"/>
    <n v="-89.198800000000006"/>
    <n v="7"/>
    <n v="0"/>
    <n v="0"/>
    <n v="107"/>
    <s v="_x0000_peopl"/>
  </r>
  <r>
    <x v="6"/>
    <n v="13.6874"/>
    <n v="-89.195599999999999"/>
    <n v="4"/>
    <n v="0"/>
    <n v="0"/>
    <n v="107"/>
    <s v="_x0000_peopl"/>
  </r>
  <r>
    <x v="6"/>
    <n v="13.6942"/>
    <n v="-89.185500000000005"/>
    <n v="1"/>
    <n v="0"/>
    <n v="0"/>
    <n v="107"/>
    <s v="_x0000_peopl"/>
  </r>
  <r>
    <x v="6"/>
    <n v="13.694800000000001"/>
    <n v="-89.174999999999997"/>
    <n v="6"/>
    <n v="0"/>
    <n v="0"/>
    <n v="107"/>
    <s v="_x0000_peopl"/>
  </r>
  <r>
    <x v="6"/>
    <n v="13.6891"/>
    <n v="-89.180800000000005"/>
    <n v="6"/>
    <n v="0"/>
    <n v="0"/>
    <n v="107"/>
    <s v="_x0000_peopl"/>
  </r>
  <r>
    <x v="6"/>
    <n v="13.690799999999999"/>
    <n v="-89.1952"/>
    <n v="6"/>
    <n v="0"/>
    <n v="0"/>
    <n v="107"/>
    <s v="_x0000_peopl"/>
  </r>
  <r>
    <x v="6"/>
    <n v="13.6912"/>
    <n v="-89.233800000000002"/>
    <n v="4"/>
    <n v="0"/>
    <n v="0"/>
    <n v="107"/>
    <s v="_x0000_peopl"/>
  </r>
  <r>
    <x v="6"/>
    <n v="13.6875"/>
    <n v="-89.197000000000003"/>
    <n v="4"/>
    <n v="0"/>
    <n v="0"/>
    <n v="107"/>
    <s v="_x0000_peopl"/>
  </r>
  <r>
    <x v="6"/>
    <n v="13.692299999999999"/>
    <n v="-89.177999999999997"/>
    <n v="3"/>
    <n v="0"/>
    <n v="0"/>
    <n v="107"/>
    <s v="_x0000_peopl"/>
  </r>
  <r>
    <x v="6"/>
    <n v="13.689500000000001"/>
    <n v="-89.202699999999993"/>
    <n v="7"/>
    <n v="0"/>
    <n v="0"/>
    <n v="107"/>
    <s v="_x0000_peopl"/>
  </r>
  <r>
    <x v="6"/>
    <n v="13.694000000000001"/>
    <n v="-89.176400000000001"/>
    <n v="2"/>
    <n v="0"/>
    <n v="0"/>
    <n v="107"/>
    <s v="_x0000_peopl"/>
  </r>
  <r>
    <x v="6"/>
    <n v="13.686400000000001"/>
    <n v="-89.203299999999999"/>
    <n v="1"/>
    <n v="0"/>
    <n v="0"/>
    <n v="107"/>
    <s v="_x0000_peopl"/>
  </r>
  <r>
    <x v="6"/>
    <n v="13.6945"/>
    <n v="-89.188999999999993"/>
    <n v="6"/>
    <n v="0"/>
    <n v="0"/>
    <n v="107"/>
    <s v="_x0000_peopl"/>
  </r>
  <r>
    <x v="6"/>
    <n v="13.685"/>
    <n v="-89.214200000000005"/>
    <n v="6"/>
    <n v="0"/>
    <n v="0"/>
    <n v="107"/>
    <s v="_x0000_peopl"/>
  </r>
  <r>
    <x v="6"/>
    <n v="13.685700000000001"/>
    <n v="-89.203999999999994"/>
    <n v="5"/>
    <n v="0"/>
    <n v="0"/>
    <n v="107"/>
    <s v="_x0000_peopl"/>
  </r>
  <r>
    <x v="6"/>
    <n v="13.6859"/>
    <n v="-89.201999999999998"/>
    <n v="8"/>
    <n v="0"/>
    <n v="0"/>
    <n v="107"/>
    <s v="_x0000_peopl"/>
  </r>
  <r>
    <x v="6"/>
    <n v="13.694900000000001"/>
    <n v="-89.174899999999994"/>
    <n v="4"/>
    <n v="0"/>
    <n v="0"/>
    <n v="107"/>
    <s v="_x0000_peopl"/>
  </r>
  <r>
    <x v="6"/>
    <n v="13.692600000000001"/>
    <n v="-89.224800000000002"/>
    <n v="5"/>
    <n v="0"/>
    <n v="0"/>
    <n v="107"/>
    <s v="_x0000_peopl"/>
  </r>
  <r>
    <x v="6"/>
    <n v="13.679500000000001"/>
    <n v="-89.197299999999998"/>
    <n v="4"/>
    <n v="0"/>
    <n v="0"/>
    <n v="107"/>
    <s v="_x0000_peopl"/>
  </r>
  <r>
    <x v="6"/>
    <n v="13.6736"/>
    <n v="-89.203100000000006"/>
    <n v="10"/>
    <n v="0"/>
    <n v="0"/>
    <n v="107"/>
    <s v="_x0000_peopl"/>
  </r>
  <r>
    <x v="6"/>
    <n v="13.689500000000001"/>
    <n v="-89.235299999999995"/>
    <n v="3"/>
    <n v="0"/>
    <n v="0"/>
    <n v="107"/>
    <s v="_x0000_peopl"/>
  </r>
  <r>
    <x v="6"/>
    <n v="13.692"/>
    <n v="-89.225200000000001"/>
    <n v="4"/>
    <n v="0"/>
    <n v="0"/>
    <n v="107"/>
    <s v="_x0000_peopl"/>
  </r>
  <r>
    <x v="6"/>
    <n v="13.674799999999999"/>
    <n v="-89.251499999999993"/>
    <n v="3"/>
    <n v="0"/>
    <n v="0"/>
    <n v="107"/>
    <s v="_x0000_peopl"/>
  </r>
  <r>
    <x v="6"/>
    <n v="13.6889"/>
    <n v="-89.216999999999999"/>
    <n v="2"/>
    <n v="0"/>
    <n v="0"/>
    <n v="107"/>
    <s v="_x0000_peopl"/>
  </r>
  <r>
    <x v="6"/>
    <n v="13.691800000000001"/>
    <n v="-89.178899999999999"/>
    <n v="5"/>
    <n v="0"/>
    <n v="0"/>
    <n v="107"/>
    <s v="_x0000_peopl"/>
  </r>
  <r>
    <x v="6"/>
    <n v="13.6907"/>
    <n v="-89.234399999999994"/>
    <n v="6"/>
    <n v="0"/>
    <n v="0"/>
    <n v="107"/>
    <s v="_x0000_peopl"/>
  </r>
  <r>
    <x v="6"/>
    <n v="13.692500000000001"/>
    <n v="-89.178799999999995"/>
    <n v="9"/>
    <n v="0"/>
    <n v="0"/>
    <n v="107"/>
    <s v="_x0000_peopl"/>
  </r>
  <r>
    <x v="6"/>
    <n v="13.685499999999999"/>
    <n v="-89.193399999999997"/>
    <n v="9"/>
    <n v="0"/>
    <n v="0"/>
    <n v="107"/>
    <s v="_x0000_peopl"/>
  </r>
  <r>
    <x v="6"/>
    <n v="13.6896"/>
    <n v="-89.177800000000005"/>
    <n v="3"/>
    <n v="0"/>
    <n v="0"/>
    <n v="107"/>
    <s v="_x0000_peopl"/>
  </r>
  <r>
    <x v="6"/>
    <n v="13.6843"/>
    <n v="-89.217299999999994"/>
    <n v="7"/>
    <n v="0"/>
    <n v="0"/>
    <n v="107"/>
    <s v="_x0000_peopl"/>
  </r>
  <r>
    <x v="6"/>
    <n v="13.686199999999999"/>
    <n v="-89.193899999999999"/>
    <n v="5"/>
    <n v="0"/>
    <n v="0"/>
    <n v="107"/>
    <s v="_x0000_peopl"/>
  </r>
  <r>
    <x v="6"/>
    <n v="13.6911"/>
    <n v="-89.235500000000002"/>
    <n v="5"/>
    <n v="0"/>
    <n v="0"/>
    <n v="107"/>
    <s v="_x0000_peopl"/>
  </r>
  <r>
    <x v="6"/>
    <n v="13.6944"/>
    <n v="-89.188900000000004"/>
    <n v="4"/>
    <n v="0"/>
    <n v="0"/>
    <n v="107"/>
    <s v="_x0000_peopl"/>
  </r>
  <r>
    <x v="6"/>
    <n v="13.6721"/>
    <n v="-89.204899999999995"/>
    <n v="5"/>
    <n v="0"/>
    <n v="0"/>
    <n v="107"/>
    <s v="_x0000_peopl"/>
  </r>
  <r>
    <x v="6"/>
    <n v="13.692"/>
    <n v="-89.224400000000003"/>
    <n v="8"/>
    <n v="0"/>
    <n v="0"/>
    <n v="107"/>
    <s v="_x0000_peopl"/>
  </r>
  <r>
    <x v="6"/>
    <n v="13.687200000000001"/>
    <n v="-89.214600000000004"/>
    <n v="6"/>
    <n v="0"/>
    <n v="0"/>
    <n v="107"/>
    <s v="_x0000_peopl"/>
  </r>
  <r>
    <x v="6"/>
    <n v="13.679399999999999"/>
    <n v="-89.196899999999999"/>
    <n v="2"/>
    <n v="0"/>
    <n v="0"/>
    <n v="107"/>
    <s v="_x0000_peopl"/>
  </r>
  <r>
    <x v="6"/>
    <n v="13.691800000000001"/>
    <n v="-89.2273"/>
    <n v="4"/>
    <n v="0"/>
    <n v="0"/>
    <n v="107"/>
    <s v="_x0000_peopl"/>
  </r>
  <r>
    <x v="6"/>
    <n v="13.688599999999999"/>
    <n v="-89.189700000000002"/>
    <n v="6"/>
    <n v="0"/>
    <n v="0"/>
    <n v="107"/>
    <s v="_x0000_peopl"/>
  </r>
  <r>
    <x v="6"/>
    <n v="13.6891"/>
    <n v="-89.235799999999998"/>
    <n v="8"/>
    <n v="0"/>
    <n v="0"/>
    <n v="107"/>
    <s v="_x0000_peopl"/>
  </r>
  <r>
    <x v="6"/>
    <n v="13.6869"/>
    <n v="-89.197299999999998"/>
    <n v="3"/>
    <n v="0"/>
    <n v="0"/>
    <n v="107"/>
    <s v="_x0000_peopl"/>
  </r>
  <r>
    <x v="6"/>
    <n v="13.6906"/>
    <n v="-89.178899999999999"/>
    <n v="1"/>
    <n v="0"/>
    <n v="0"/>
    <n v="107"/>
    <s v="_x0000_peopl"/>
  </r>
  <r>
    <x v="6"/>
    <n v="13.690300000000001"/>
    <n v="-89.181299999999993"/>
    <n v="3"/>
    <n v="0"/>
    <n v="0"/>
    <n v="107"/>
    <s v="_x0000_peopl"/>
  </r>
  <r>
    <x v="6"/>
    <n v="13.675000000000001"/>
    <n v="-89.250900000000001"/>
    <n v="6"/>
    <n v="0"/>
    <n v="0"/>
    <n v="107"/>
    <s v="_x0000_peopl"/>
  </r>
  <r>
    <x v="6"/>
    <n v="13.6889"/>
    <n v="-89.203999999999994"/>
    <n v="6"/>
    <n v="0"/>
    <n v="0"/>
    <n v="107"/>
    <s v="_x0000_peopl"/>
  </r>
  <r>
    <x v="6"/>
    <n v="13.69"/>
    <n v="-89.216700000000003"/>
    <n v="6"/>
    <n v="0"/>
    <n v="0"/>
    <n v="107"/>
    <s v="_x0000_peopl"/>
  </r>
  <r>
    <x v="6"/>
    <n v="13.685499999999999"/>
    <n v="-89.211200000000005"/>
    <n v="2"/>
    <n v="0"/>
    <n v="0"/>
    <n v="107"/>
    <s v="_x0000_peopl"/>
  </r>
  <r>
    <x v="6"/>
    <n v="13.6907"/>
    <n v="-89.235299999999995"/>
    <n v="5"/>
    <n v="0"/>
    <n v="0"/>
    <n v="107"/>
    <s v="_x0000_peopl"/>
  </r>
  <r>
    <x v="6"/>
    <n v="13.6869"/>
    <n v="-89.211699999999993"/>
    <n v="7"/>
    <n v="0"/>
    <n v="0"/>
    <n v="107"/>
    <s v="_x0000_peopl"/>
  </r>
  <r>
    <x v="6"/>
    <n v="13.6912"/>
    <n v="-89.186800000000005"/>
    <n v="1"/>
    <n v="0"/>
    <n v="0"/>
    <n v="107"/>
    <s v="_x0000_peopl"/>
  </r>
  <r>
    <x v="6"/>
    <n v="13.688499999999999"/>
    <n v="-89.194999999999993"/>
    <n v="11"/>
    <n v="0"/>
    <n v="0"/>
    <n v="107"/>
    <s v="_x0000_peopl"/>
  </r>
  <r>
    <x v="6"/>
    <n v="13.6942"/>
    <n v="-89.183099999999996"/>
    <n v="9"/>
    <n v="0"/>
    <n v="0"/>
    <n v="107"/>
    <s v="_x0000_peopl"/>
  </r>
  <r>
    <x v="6"/>
    <n v="13.6935"/>
    <n v="-89.173900000000003"/>
    <n v="7"/>
    <n v="0"/>
    <n v="0"/>
    <n v="107"/>
    <s v="_x0000_peopl"/>
  </r>
  <r>
    <x v="6"/>
    <n v="13.6881"/>
    <n v="-89.212000000000003"/>
    <n v="4"/>
    <n v="0"/>
    <n v="0"/>
    <n v="107"/>
    <s v="_x0000_peopl"/>
  </r>
  <r>
    <x v="6"/>
    <n v="13.690300000000001"/>
    <n v="-89.193399999999997"/>
    <n v="7"/>
    <n v="0"/>
    <n v="0"/>
    <n v="107"/>
    <s v="_x0000_peopl"/>
  </r>
  <r>
    <x v="6"/>
    <n v="13.6906"/>
    <n v="-89.231899999999996"/>
    <n v="5"/>
    <n v="0"/>
    <n v="0"/>
    <n v="107"/>
    <s v="_x0000_peopl"/>
  </r>
  <r>
    <x v="6"/>
    <n v="13.6884"/>
    <n v="-89.204099999999997"/>
    <n v="6"/>
    <n v="0"/>
    <n v="0"/>
    <n v="107"/>
    <s v="_x0000_peopl"/>
  </r>
  <r>
    <x v="6"/>
    <n v="13.6889"/>
    <n v="-89.229500000000002"/>
    <n v="6"/>
    <n v="0"/>
    <n v="0"/>
    <n v="107"/>
    <s v="_x0000_peopl"/>
  </r>
  <r>
    <x v="6"/>
    <n v="13.6936"/>
    <n v="-89.176199999999994"/>
    <n v="4"/>
    <n v="0"/>
    <n v="0"/>
    <n v="107"/>
    <s v="_x0000_peopl"/>
  </r>
  <r>
    <x v="6"/>
    <n v="13.685700000000001"/>
    <n v="-89.211299999999994"/>
    <n v="11"/>
    <n v="0"/>
    <n v="0"/>
    <n v="107"/>
    <s v="_x0000_peopl"/>
  </r>
  <r>
    <x v="6"/>
    <n v="13.6911"/>
    <n v="-89.190399999999997"/>
    <n v="5"/>
    <n v="0"/>
    <n v="0"/>
    <n v="107"/>
    <s v="_x0000_peopl"/>
  </r>
  <r>
    <x v="6"/>
    <n v="13.691700000000001"/>
    <n v="-89.233599999999996"/>
    <n v="4"/>
    <n v="0"/>
    <n v="0"/>
    <n v="107"/>
    <s v="_x0000_peopl"/>
  </r>
  <r>
    <x v="6"/>
    <n v="13.689299999999999"/>
    <n v="-89.229200000000006"/>
    <n v="5"/>
    <n v="0"/>
    <n v="0"/>
    <n v="107"/>
    <s v="_x0000_peopl"/>
  </r>
  <r>
    <x v="6"/>
    <n v="13.6906"/>
    <n v="-89.187200000000004"/>
    <n v="7"/>
    <n v="0"/>
    <n v="0"/>
    <n v="107"/>
    <s v="_x0000_peopl"/>
  </r>
  <r>
    <x v="6"/>
    <n v="13.677199999999999"/>
    <n v="-89.248400000000004"/>
    <n v="6"/>
    <n v="0"/>
    <n v="0"/>
    <n v="107"/>
    <s v="_x0000_peopl"/>
  </r>
  <r>
    <x v="6"/>
    <n v="13.6915"/>
    <n v="-89.179599999999994"/>
    <n v="4"/>
    <n v="0"/>
    <n v="0"/>
    <n v="107"/>
    <s v="_x0000_peopl"/>
  </r>
  <r>
    <x v="6"/>
    <n v="13.696"/>
    <n v="-89.172200000000004"/>
    <n v="7"/>
    <n v="0"/>
    <n v="0"/>
    <n v="107"/>
    <s v="_x0000_peopl"/>
  </r>
  <r>
    <x v="6"/>
    <n v="13.6892"/>
    <n v="-89.180300000000003"/>
    <n v="7"/>
    <n v="0"/>
    <n v="0"/>
    <n v="107"/>
    <s v="_x0000_peopl"/>
  </r>
  <r>
    <x v="6"/>
    <n v="13.6906"/>
    <n v="-89.194299999999998"/>
    <n v="3"/>
    <n v="0"/>
    <n v="0"/>
    <n v="107"/>
    <s v="_x0000_peopl"/>
  </r>
  <r>
    <x v="6"/>
    <n v="13.692500000000001"/>
    <n v="-89.224699999999999"/>
    <n v="4"/>
    <n v="0"/>
    <n v="0"/>
    <n v="107"/>
    <s v="_x0000_peopl"/>
  </r>
  <r>
    <x v="6"/>
    <n v="13.6858"/>
    <n v="-89.215100000000007"/>
    <n v="2"/>
    <n v="0"/>
    <n v="0"/>
    <n v="107"/>
    <s v="_x0000_peopl"/>
  </r>
  <r>
    <x v="6"/>
    <n v="13.690200000000001"/>
    <n v="-89.234399999999994"/>
    <n v="5"/>
    <n v="0"/>
    <n v="0"/>
    <n v="107"/>
    <s v="_x0000_peopl"/>
  </r>
  <r>
    <x v="6"/>
    <n v="13.687900000000001"/>
    <n v="-89.181799999999996"/>
    <n v="3"/>
    <n v="0"/>
    <n v="0"/>
    <n v="107"/>
    <s v="_x0000_peopl"/>
  </r>
  <r>
    <x v="6"/>
    <n v="13.6854"/>
    <n v="-89.201499999999996"/>
    <n v="6"/>
    <n v="0"/>
    <n v="0"/>
    <n v="107"/>
    <s v="_x0000_peopl"/>
  </r>
  <r>
    <x v="6"/>
    <n v="13.6913"/>
    <n v="-89.220299999999995"/>
    <n v="4"/>
    <n v="0"/>
    <n v="0"/>
    <n v="107"/>
    <s v="_x0000_peopl"/>
  </r>
  <r>
    <x v="6"/>
    <n v="13.6913"/>
    <n v="-89.189599999999999"/>
    <n v="4"/>
    <n v="0"/>
    <n v="0"/>
    <n v="107"/>
    <s v="_x0000_peopl"/>
  </r>
  <r>
    <x v="6"/>
    <n v="13.691000000000001"/>
    <n v="-89.228800000000007"/>
    <n v="6"/>
    <n v="0"/>
    <n v="0"/>
    <n v="107"/>
    <s v="_x0000_peopl"/>
  </r>
  <r>
    <x v="6"/>
    <n v="13.6907"/>
    <n v="-89.185500000000005"/>
    <n v="8"/>
    <n v="0"/>
    <n v="0"/>
    <n v="107"/>
    <s v="_x0000_peopl"/>
  </r>
  <r>
    <x v="6"/>
    <n v="13.6951"/>
    <n v="-89.173900000000003"/>
    <n v="2"/>
    <n v="0"/>
    <n v="0"/>
    <n v="107"/>
    <s v="_x0000_peopl"/>
  </r>
  <r>
    <x v="6"/>
    <n v="13.6942"/>
    <n v="-89.173500000000004"/>
    <n v="5"/>
    <n v="0"/>
    <n v="0"/>
    <n v="107"/>
    <s v="_x0000_peopl"/>
  </r>
  <r>
    <x v="6"/>
    <n v="13.6915"/>
    <n v="-89.233099999999993"/>
    <n v="5"/>
    <n v="0"/>
    <n v="0"/>
    <n v="107"/>
    <s v="_x0000_peopl"/>
  </r>
  <r>
    <x v="6"/>
    <n v="13.691800000000001"/>
    <n v="-89.232399999999998"/>
    <n v="8"/>
    <n v="0"/>
    <n v="0"/>
    <n v="107"/>
    <s v="_x0000_peopl"/>
  </r>
  <r>
    <x v="6"/>
    <n v="13.6945"/>
    <n v="-89.185299999999998"/>
    <n v="5"/>
    <n v="0"/>
    <n v="0"/>
    <n v="107"/>
    <s v="_x0000_peopl"/>
  </r>
  <r>
    <x v="6"/>
    <n v="13.688499999999999"/>
    <n v="-89.2119"/>
    <n v="5"/>
    <n v="0"/>
    <n v="0"/>
    <n v="107"/>
    <s v="_x0000_peopl"/>
  </r>
  <r>
    <x v="6"/>
    <n v="13.691599999999999"/>
    <n v="-89.183899999999994"/>
    <n v="3"/>
    <n v="0"/>
    <n v="0"/>
    <n v="107"/>
    <s v="_x0000_peopl"/>
  </r>
  <r>
    <x v="6"/>
    <n v="13.691700000000001"/>
    <n v="-89.1798"/>
    <n v="9"/>
    <n v="0"/>
    <n v="0"/>
    <n v="107"/>
    <s v="_x0000_peopl"/>
  </r>
  <r>
    <x v="6"/>
    <n v="13.690799999999999"/>
    <n v="-89.197699999999998"/>
    <n v="3"/>
    <n v="0"/>
    <n v="0"/>
    <n v="107"/>
    <s v="_x0000_peopl"/>
  </r>
  <r>
    <x v="6"/>
    <n v="13.6869"/>
    <n v="-89.183000000000007"/>
    <n v="6"/>
    <n v="0"/>
    <n v="0"/>
    <n v="107"/>
    <s v="_x0000_peopl"/>
  </r>
  <r>
    <x v="6"/>
    <n v="13.6911"/>
    <n v="-89.232699999999994"/>
    <n v="8"/>
    <n v="0"/>
    <n v="0"/>
    <n v="107"/>
    <s v="_x0000_peopl"/>
  </r>
  <r>
    <x v="6"/>
    <n v="13.6934"/>
    <n v="-89.185500000000005"/>
    <n v="3"/>
    <n v="0"/>
    <n v="0"/>
    <n v="107"/>
    <s v="_x0000_peopl"/>
  </r>
  <r>
    <x v="6"/>
    <n v="13.6866"/>
    <n v="-89.194999999999993"/>
    <n v="1"/>
    <n v="0"/>
    <n v="0"/>
    <n v="107"/>
    <s v="_x0000_peopl"/>
  </r>
  <r>
    <x v="6"/>
    <n v="13.6928"/>
    <n v="-89.184100000000001"/>
    <n v="10"/>
    <n v="0"/>
    <n v="0"/>
    <n v="107"/>
    <s v="_x0000_peopl"/>
  </r>
  <r>
    <x v="6"/>
    <n v="13.694599999999999"/>
    <n v="-89.175299999999993"/>
    <n v="7"/>
    <n v="0"/>
    <n v="0"/>
    <n v="107"/>
    <s v="_x0000_peopl"/>
  </r>
  <r>
    <x v="6"/>
    <n v="13.691000000000001"/>
    <n v="-89.235100000000003"/>
    <n v="6"/>
    <n v="0"/>
    <n v="0"/>
    <n v="107"/>
    <s v="_x0000_peopl"/>
  </r>
  <r>
    <x v="6"/>
    <n v="13.6852"/>
    <n v="-89.201999999999998"/>
    <n v="6"/>
    <n v="0"/>
    <n v="0"/>
    <n v="107"/>
    <s v="_x0000_peopl"/>
  </r>
  <r>
    <x v="6"/>
    <n v="13.6937"/>
    <n v="-89.176199999999994"/>
    <n v="3"/>
    <n v="0"/>
    <n v="0"/>
    <n v="107"/>
    <s v="_x0000_peopl"/>
  </r>
  <r>
    <x v="6"/>
    <n v="13.689"/>
    <n v="-89.190399999999997"/>
    <n v="2"/>
    <n v="0"/>
    <n v="0"/>
    <n v="107"/>
    <s v="_x0000_peopl"/>
  </r>
  <r>
    <x v="6"/>
    <n v="13.6877"/>
    <n v="-89.215500000000006"/>
    <n v="9"/>
    <n v="0"/>
    <n v="0"/>
    <n v="107"/>
    <s v="_x0000_peopl"/>
  </r>
  <r>
    <x v="6"/>
    <n v="13.6747"/>
    <n v="-89.252300000000005"/>
    <n v="5"/>
    <n v="0"/>
    <n v="0"/>
    <n v="107"/>
    <s v="_x0000_peopl"/>
  </r>
  <r>
    <x v="6"/>
    <n v="13.689"/>
    <n v="-89.229600000000005"/>
    <n v="7"/>
    <n v="0"/>
    <n v="0"/>
    <n v="107"/>
    <s v="_x0000_peopl"/>
  </r>
  <r>
    <x v="6"/>
    <n v="13.6913"/>
    <n v="-89.227099999999993"/>
    <n v="9"/>
    <n v="0"/>
    <n v="0"/>
    <n v="107"/>
    <s v="_x0000_peopl"/>
  </r>
  <r>
    <x v="6"/>
    <n v="13.6912"/>
    <n v="-89.229100000000003"/>
    <n v="5"/>
    <n v="0"/>
    <n v="0"/>
    <n v="107"/>
    <s v="_x0000_peopl"/>
  </r>
  <r>
    <x v="6"/>
    <n v="13.684900000000001"/>
    <n v="-89.212199999999996"/>
    <n v="3"/>
    <n v="0"/>
    <n v="0"/>
    <n v="107"/>
    <s v="_x0000_peopl"/>
  </r>
  <r>
    <x v="6"/>
    <n v="13.6851"/>
    <n v="-89.194000000000003"/>
    <n v="4"/>
    <n v="0"/>
    <n v="0"/>
    <n v="107"/>
    <s v="_x0000_peopl"/>
  </r>
  <r>
    <x v="6"/>
    <n v="13.6914"/>
    <n v="-89.189400000000006"/>
    <n v="4"/>
    <n v="0"/>
    <n v="0"/>
    <n v="107"/>
    <s v="_x0000_peopl"/>
  </r>
  <r>
    <x v="6"/>
    <n v="13.692"/>
    <n v="-89.175700000000006"/>
    <n v="5"/>
    <n v="0"/>
    <n v="0"/>
    <n v="107"/>
    <s v="_x0000_peopl"/>
  </r>
  <r>
    <x v="6"/>
    <n v="13.696199999999999"/>
    <n v="-89.172399999999996"/>
    <n v="9"/>
    <n v="0"/>
    <n v="0"/>
    <n v="107"/>
    <s v="_x0000_peopl"/>
  </r>
  <r>
    <x v="6"/>
    <n v="13.692399999999999"/>
    <n v="-89.197199999999995"/>
    <n v="4"/>
    <n v="0"/>
    <n v="0"/>
    <n v="107"/>
    <s v="_x0000_peopl"/>
  </r>
  <r>
    <x v="6"/>
    <n v="13.690799999999999"/>
    <n v="-89.194100000000006"/>
    <n v="2"/>
    <n v="0"/>
    <n v="0"/>
    <n v="107"/>
    <s v="_x0000_peopl"/>
  </r>
  <r>
    <x v="6"/>
    <n v="13.687200000000001"/>
    <n v="-89.194599999999994"/>
    <n v="6"/>
    <n v="0"/>
    <n v="0"/>
    <n v="107"/>
    <s v="_x0000_peopl"/>
  </r>
  <r>
    <x v="6"/>
    <n v="13.6921"/>
    <n v="-89.178600000000003"/>
    <n v="5"/>
    <n v="0"/>
    <n v="0"/>
    <n v="107"/>
    <s v="_x0000_peopl"/>
  </r>
  <r>
    <x v="6"/>
    <n v="13.6914"/>
    <n v="-89.186700000000002"/>
    <n v="4"/>
    <n v="0"/>
    <n v="0"/>
    <n v="107"/>
    <s v="_x0000_peopl"/>
  </r>
  <r>
    <x v="6"/>
    <n v="13.690799999999999"/>
    <n v="-89.231700000000004"/>
    <n v="2"/>
    <n v="0"/>
    <n v="0"/>
    <n v="107"/>
    <s v="_x0000_peopl"/>
  </r>
  <r>
    <x v="6"/>
    <n v="13.687200000000001"/>
    <n v="-89.215900000000005"/>
    <n v="7"/>
    <n v="0"/>
    <n v="0"/>
    <n v="107"/>
    <s v="_x0000_peopl"/>
  </r>
  <r>
    <x v="6"/>
    <n v="13.6882"/>
    <n v="-89.190200000000004"/>
    <n v="3"/>
    <n v="0"/>
    <n v="0"/>
    <n v="107"/>
    <s v="_x0000_peopl"/>
  </r>
  <r>
    <x v="6"/>
    <n v="13.6868"/>
    <n v="-89.215100000000007"/>
    <n v="5"/>
    <n v="0"/>
    <n v="0"/>
    <n v="107"/>
    <s v="_x0000_peopl"/>
  </r>
  <r>
    <x v="6"/>
    <n v="13.6928"/>
    <n v="-89.175700000000006"/>
    <n v="10"/>
    <n v="0"/>
    <n v="0"/>
    <n v="107"/>
    <s v="_x0000_peopl"/>
  </r>
  <r>
    <x v="6"/>
    <n v="13.691700000000001"/>
    <n v="-89.220600000000005"/>
    <n v="5"/>
    <n v="0"/>
    <n v="0"/>
    <n v="107"/>
    <s v="_x0000_peopl"/>
  </r>
  <r>
    <x v="6"/>
    <n v="13.6744"/>
    <n v="-89.252099999999999"/>
    <n v="3"/>
    <n v="0"/>
    <n v="0"/>
    <n v="107"/>
    <s v="_x0000_peopl"/>
  </r>
  <r>
    <x v="6"/>
    <n v="13.6914"/>
    <n v="-89.220200000000006"/>
    <n v="6"/>
    <n v="0"/>
    <n v="0"/>
    <n v="107"/>
    <s v="_x0000_peopl"/>
  </r>
  <r>
    <x v="6"/>
    <n v="13.68"/>
    <n v="-89.195800000000006"/>
    <n v="10"/>
    <n v="0"/>
    <n v="0"/>
    <n v="107"/>
    <s v="_x0000_peopl"/>
  </r>
  <r>
    <x v="6"/>
    <n v="13.686"/>
    <n v="-89.215000000000003"/>
    <n v="6"/>
    <n v="0"/>
    <n v="0"/>
    <n v="107"/>
    <s v="_x0000_peopl"/>
  </r>
  <r>
    <x v="6"/>
    <n v="13.687900000000001"/>
    <n v="-89.195700000000002"/>
    <n v="6"/>
    <n v="0"/>
    <n v="0"/>
    <n v="107"/>
    <s v="_x0000_peopl"/>
  </r>
  <r>
    <x v="6"/>
    <n v="13.6897"/>
    <n v="-89.177899999999994"/>
    <n v="5"/>
    <n v="0"/>
    <n v="0"/>
    <n v="107"/>
    <s v="_x0000_peopl"/>
  </r>
  <r>
    <x v="6"/>
    <n v="13.6945"/>
    <n v="-89.174800000000005"/>
    <n v="5"/>
    <n v="0"/>
    <n v="0"/>
    <n v="107"/>
    <s v="_x0000_peopl"/>
  </r>
  <r>
    <x v="6"/>
    <n v="13.6911"/>
    <n v="-89.226900000000001"/>
    <n v="8"/>
    <n v="0"/>
    <n v="0"/>
    <n v="107"/>
    <s v="_x0000_peopl"/>
  </r>
  <r>
    <x v="6"/>
    <n v="13.6776"/>
    <n v="-89.246099999999998"/>
    <n v="4"/>
    <n v="0"/>
    <n v="0"/>
    <n v="107"/>
    <s v="_x0000_peopl"/>
  </r>
  <r>
    <x v="6"/>
    <n v="13.692600000000001"/>
    <n v="-89.184899999999999"/>
    <n v="4"/>
    <n v="0"/>
    <n v="0"/>
    <n v="107"/>
    <s v="_x0000_peopl"/>
  </r>
  <r>
    <x v="6"/>
    <n v="13.691700000000001"/>
    <n v="-89.186499999999995"/>
    <n v="4"/>
    <n v="0"/>
    <n v="0"/>
    <n v="107"/>
    <s v="_x0000_peopl"/>
  </r>
  <r>
    <x v="6"/>
    <n v="13.693300000000001"/>
    <n v="-89.177499999999995"/>
    <n v="7"/>
    <n v="0"/>
    <n v="0"/>
    <n v="107"/>
    <s v="_x0000_peopl"/>
  </r>
  <r>
    <x v="6"/>
    <n v="13.6904"/>
    <n v="-89.235399999999998"/>
    <n v="5"/>
    <n v="0"/>
    <n v="0"/>
    <n v="107"/>
    <s v="_x0000_peopl"/>
  </r>
  <r>
    <x v="6"/>
    <n v="13.693199999999999"/>
    <n v="-89.189700000000002"/>
    <n v="6"/>
    <n v="0"/>
    <n v="0"/>
    <n v="107"/>
    <s v="_x0000_peopl"/>
  </r>
  <r>
    <x v="6"/>
    <n v="13.690899999999999"/>
    <n v="-89.195599999999999"/>
    <n v="4"/>
    <n v="0"/>
    <n v="0"/>
    <n v="107"/>
    <s v="_x0000_peopl"/>
  </r>
  <r>
    <x v="6"/>
    <n v="13.6911"/>
    <n v="-89.218999999999994"/>
    <n v="4"/>
    <n v="0"/>
    <n v="0"/>
    <n v="107"/>
    <s v="_x0000_peopl"/>
  </r>
  <r>
    <x v="6"/>
    <n v="13.6853"/>
    <n v="-89.217200000000005"/>
    <n v="5"/>
    <n v="0"/>
    <n v="0"/>
    <n v="107"/>
    <s v="_x0000_peopl"/>
  </r>
  <r>
    <x v="6"/>
    <n v="13.692399999999999"/>
    <n v="-89.184600000000003"/>
    <n v="4"/>
    <n v="0"/>
    <n v="0"/>
    <n v="107"/>
    <s v="_x0000_peopl"/>
  </r>
  <r>
    <x v="6"/>
    <n v="13.6884"/>
    <n v="-89.217100000000002"/>
    <n v="10"/>
    <n v="0"/>
    <n v="0"/>
    <n v="107"/>
    <s v="_x0000_peopl"/>
  </r>
  <r>
    <x v="6"/>
    <n v="13.6851"/>
    <n v="-89.213200000000001"/>
    <n v="5"/>
    <n v="0"/>
    <n v="0"/>
    <n v="107"/>
    <s v="_x0000_peopl"/>
  </r>
  <r>
    <x v="6"/>
    <n v="13.6874"/>
    <n v="-89.197100000000006"/>
    <n v="6"/>
    <n v="0"/>
    <n v="0"/>
    <n v="107"/>
    <s v="_x0000_peopl"/>
  </r>
  <r>
    <x v="6"/>
    <n v="13.6876"/>
    <n v="-89.194999999999993"/>
    <n v="4"/>
    <n v="0"/>
    <n v="0"/>
    <n v="107"/>
    <s v="_x0000_peopl"/>
  </r>
  <r>
    <x v="6"/>
    <n v="13.686199999999999"/>
    <n v="-89.212999999999994"/>
    <n v="1"/>
    <n v="0"/>
    <n v="0"/>
    <n v="107"/>
    <s v="_x0000_peopl"/>
  </r>
  <r>
    <x v="6"/>
    <n v="13.687200000000001"/>
    <n v="-89.215699999999998"/>
    <n v="6"/>
    <n v="0"/>
    <n v="0"/>
    <n v="107"/>
    <s v="_x0000_peopl"/>
  </r>
  <r>
    <x v="6"/>
    <n v="13.6869"/>
    <n v="-89.211600000000004"/>
    <n v="4"/>
    <n v="0"/>
    <n v="0"/>
    <n v="107"/>
    <s v="_x0000_peopl"/>
  </r>
  <r>
    <x v="6"/>
    <n v="13.6897"/>
    <n v="-89.188699999999997"/>
    <n v="9"/>
    <n v="0"/>
    <n v="0"/>
    <n v="107"/>
    <s v="_x0000_peopl"/>
  </r>
  <r>
    <x v="6"/>
    <n v="13.6919"/>
    <n v="-89.224199999999996"/>
    <n v="2"/>
    <n v="0"/>
    <n v="0"/>
    <n v="107"/>
    <s v="_x0000_peopl"/>
  </r>
  <r>
    <x v="6"/>
    <n v="13.690099999999999"/>
    <n v="-89.184700000000007"/>
    <n v="7"/>
    <n v="0"/>
    <n v="0"/>
    <n v="107"/>
    <s v="_x0000_peopl"/>
  </r>
  <r>
    <x v="6"/>
    <n v="13.6945"/>
    <n v="-89.183099999999996"/>
    <n v="2"/>
    <n v="0"/>
    <n v="0"/>
    <n v="107"/>
    <s v="_x0000_peopl"/>
  </r>
  <r>
    <x v="6"/>
    <n v="13.690099999999999"/>
    <n v="-89.235600000000005"/>
    <n v="4"/>
    <n v="0"/>
    <n v="0"/>
    <n v="107"/>
    <s v="_x0000_peopl"/>
  </r>
  <r>
    <x v="6"/>
    <n v="13.696"/>
    <n v="-89.173000000000002"/>
    <n v="7"/>
    <n v="0"/>
    <n v="0"/>
    <n v="107"/>
    <s v="_x0000_peopl"/>
  </r>
  <r>
    <x v="6"/>
    <n v="13.689399999999999"/>
    <n v="-89.180700000000002"/>
    <n v="13"/>
    <n v="0"/>
    <n v="0"/>
    <n v="107"/>
    <s v="_x0000_peopl"/>
  </r>
  <r>
    <x v="6"/>
    <n v="13.692"/>
    <n v="-89.179199999999994"/>
    <n v="2"/>
    <n v="0"/>
    <n v="0"/>
    <n v="107"/>
    <s v="_x0000_peopl"/>
  </r>
  <r>
    <x v="6"/>
    <n v="13.6906"/>
    <n v="-89.236000000000004"/>
    <n v="6"/>
    <n v="0"/>
    <n v="0"/>
    <n v="107"/>
    <s v="_x0000_peopl"/>
  </r>
  <r>
    <x v="6"/>
    <n v="13.6915"/>
    <n v="-89.188199999999995"/>
    <n v="4"/>
    <n v="0"/>
    <n v="0"/>
    <n v="107"/>
    <s v="_x0000_peopl"/>
  </r>
  <r>
    <x v="6"/>
    <n v="13.689"/>
    <n v="-89.229299999999995"/>
    <n v="3"/>
    <n v="0"/>
    <n v="0"/>
    <n v="107"/>
    <s v="_x0000_peopl"/>
  </r>
  <r>
    <x v="6"/>
    <n v="13.6853"/>
    <n v="-89.216800000000006"/>
    <n v="3"/>
    <n v="0"/>
    <n v="0"/>
    <n v="107"/>
    <s v="_x0000_peopl"/>
  </r>
  <r>
    <x v="6"/>
    <n v="13.6911"/>
    <n v="-89.234399999999994"/>
    <n v="6"/>
    <n v="0"/>
    <n v="0"/>
    <n v="107"/>
    <s v="_x0000_peopl"/>
  </r>
  <r>
    <x v="6"/>
    <n v="13.688499999999999"/>
    <n v="-89.229500000000002"/>
    <n v="5"/>
    <n v="0"/>
    <n v="0"/>
    <n v="107"/>
    <s v="_x0000_peopl"/>
  </r>
  <r>
    <x v="6"/>
    <n v="13.6853"/>
    <n v="-89.216999999999999"/>
    <n v="8"/>
    <n v="0"/>
    <n v="0"/>
    <n v="107"/>
    <s v="_x0000_peopl"/>
  </r>
  <r>
    <x v="6"/>
    <n v="13.6906"/>
    <n v="-89.232200000000006"/>
    <n v="7"/>
    <n v="0"/>
    <n v="0"/>
    <n v="107"/>
    <s v="_x0000_peopl"/>
  </r>
  <r>
    <x v="6"/>
    <n v="13.6911"/>
    <n v="-89.229399999999998"/>
    <n v="6"/>
    <n v="0"/>
    <n v="0"/>
    <n v="107"/>
    <s v="_x0000_peopl"/>
  </r>
  <r>
    <x v="6"/>
    <n v="13.685700000000001"/>
    <n v="-89.212599999999995"/>
    <n v="5"/>
    <n v="0"/>
    <n v="0"/>
    <n v="107"/>
    <s v="_x0000_peopl"/>
  </r>
  <r>
    <x v="6"/>
    <n v="13.6935"/>
    <n v="-89.1768"/>
    <n v="6"/>
    <n v="0"/>
    <n v="0"/>
    <n v="107"/>
    <s v="_x0000_peopl"/>
  </r>
  <r>
    <x v="6"/>
    <n v="13.686999999999999"/>
    <n v="-89.202200000000005"/>
    <n v="6"/>
    <n v="0"/>
    <n v="0"/>
    <n v="107"/>
    <s v="_x0000_peopl"/>
  </r>
  <r>
    <x v="6"/>
    <n v="13.687099999999999"/>
    <n v="-89.194599999999994"/>
    <n v="4"/>
    <n v="0"/>
    <n v="0"/>
    <n v="107"/>
    <s v="_x0000_peopl"/>
  </r>
  <r>
    <x v="6"/>
    <n v="13.6883"/>
    <n v="-89.229699999999994"/>
    <n v="4"/>
    <n v="0"/>
    <n v="0"/>
    <n v="107"/>
    <s v="_x0000_peopl"/>
  </r>
  <r>
    <x v="6"/>
    <n v="13.6921"/>
    <n v="-89.197299999999998"/>
    <n v="3"/>
    <n v="0"/>
    <n v="0"/>
    <n v="107"/>
    <s v="_x0000_peopl"/>
  </r>
  <r>
    <x v="6"/>
    <n v="13.6914"/>
    <n v="-89.228700000000003"/>
    <n v="7"/>
    <n v="0"/>
    <n v="0"/>
    <n v="107"/>
    <s v="_x0000_peopl"/>
  </r>
  <r>
    <x v="6"/>
    <n v="13.6913"/>
    <n v="-89.229399999999998"/>
    <n v="5"/>
    <n v="0"/>
    <n v="0"/>
    <n v="107"/>
    <s v="_x0000_peopl"/>
  </r>
  <r>
    <x v="6"/>
    <n v="13.692399999999999"/>
    <n v="-89.225999999999999"/>
    <n v="7"/>
    <n v="0"/>
    <n v="0"/>
    <n v="107"/>
    <s v="_x0000_peopl"/>
  </r>
  <r>
    <x v="6"/>
    <n v="13.6769"/>
    <n v="-89.248400000000004"/>
    <n v="7"/>
    <n v="0"/>
    <n v="0"/>
    <n v="107"/>
    <s v="_x0000_peopl"/>
  </r>
  <r>
    <x v="6"/>
    <n v="13.690099999999999"/>
    <n v="-89.193100000000001"/>
    <n v="5"/>
    <n v="0"/>
    <n v="0"/>
    <n v="107"/>
    <s v="_x0000_peopl"/>
  </r>
  <r>
    <x v="6"/>
    <n v="13.691000000000001"/>
    <n v="-89.226799999999997"/>
    <n v="7"/>
    <n v="0"/>
    <n v="0"/>
    <n v="107"/>
    <s v="_x0000_peopl"/>
  </r>
  <r>
    <x v="6"/>
    <n v="13.6891"/>
    <n v="-89.229200000000006"/>
    <n v="8"/>
    <n v="0"/>
    <n v="0"/>
    <n v="107"/>
    <s v="_x0000_peopl"/>
  </r>
  <r>
    <x v="6"/>
    <n v="13.692299999999999"/>
    <n v="-89.194500000000005"/>
    <n v="3"/>
    <n v="0"/>
    <n v="0"/>
    <n v="107"/>
    <s v="_x0000_peopl"/>
  </r>
  <r>
    <x v="6"/>
    <n v="13.6905"/>
    <n v="-89.235799999999998"/>
    <n v="9"/>
    <n v="0"/>
    <n v="0"/>
    <n v="107"/>
    <s v="_x0000_peopl"/>
  </r>
  <r>
    <x v="6"/>
    <n v="13.687799999999999"/>
    <n v="-89.180999999999997"/>
    <n v="7"/>
    <n v="0"/>
    <n v="0"/>
    <n v="107"/>
    <s v="_x0000_peopl"/>
  </r>
  <r>
    <x v="6"/>
    <n v="13.686999999999999"/>
    <n v="-89.194599999999994"/>
    <n v="2"/>
    <n v="0"/>
    <n v="0"/>
    <n v="107"/>
    <s v="_x0000_peopl"/>
  </r>
  <r>
    <x v="6"/>
    <n v="13.694900000000001"/>
    <n v="-89.174899999999994"/>
    <n v="6"/>
    <n v="0"/>
    <n v="0"/>
    <n v="107"/>
    <s v="_x0000_peopl"/>
  </r>
  <r>
    <x v="6"/>
    <n v="13.696199999999999"/>
    <n v="-89.171800000000005"/>
    <n v="6"/>
    <n v="0"/>
    <n v="0"/>
    <n v="107"/>
    <s v="_x0000_peopl"/>
  </r>
  <r>
    <x v="6"/>
    <n v="13.690899999999999"/>
    <n v="-89.194199999999995"/>
    <n v="6"/>
    <n v="0"/>
    <n v="0"/>
    <n v="107"/>
    <s v="_x0000_peopl"/>
  </r>
  <r>
    <x v="6"/>
    <n v="13.684799999999999"/>
    <n v="-89.210999999999999"/>
    <n v="9"/>
    <n v="0"/>
    <n v="0"/>
    <n v="107"/>
    <s v="_x0000_peopl"/>
  </r>
  <r>
    <x v="6"/>
    <n v="13.6914"/>
    <n v="-89.188100000000006"/>
    <n v="2"/>
    <n v="0"/>
    <n v="0"/>
    <n v="107"/>
    <s v="_x0000_peopl"/>
  </r>
  <r>
    <x v="6"/>
    <n v="13.693099999999999"/>
    <n v="-89.177400000000006"/>
    <n v="7"/>
    <n v="0"/>
    <n v="0"/>
    <n v="107"/>
    <s v="_x0000_peopl"/>
  </r>
  <r>
    <x v="6"/>
    <n v="13.6874"/>
    <n v="-89.204400000000007"/>
    <n v="2"/>
    <n v="0"/>
    <n v="0"/>
    <n v="107"/>
    <s v="_x0000_peopl"/>
  </r>
  <r>
    <x v="6"/>
    <n v="13.6867"/>
    <n v="-89.191500000000005"/>
    <n v="4"/>
    <n v="0"/>
    <n v="0"/>
    <n v="107"/>
    <s v="_x0000_peopl"/>
  </r>
  <r>
    <x v="6"/>
    <n v="13.672599999999999"/>
    <n v="-89.204599999999999"/>
    <n v="5"/>
    <n v="0"/>
    <n v="0"/>
    <n v="107"/>
    <s v="_x0000_peopl"/>
  </r>
  <r>
    <x v="6"/>
    <n v="13.6899"/>
    <n v="-89.177400000000006"/>
    <n v="2"/>
    <n v="0"/>
    <n v="0"/>
    <n v="107"/>
    <s v="_x0000_peopl"/>
  </r>
  <r>
    <x v="6"/>
    <n v="13.688499999999999"/>
    <n v="-89.204099999999997"/>
    <n v="3"/>
    <n v="0"/>
    <n v="0"/>
    <n v="107"/>
    <s v="_x0000_peopl"/>
  </r>
  <r>
    <x v="6"/>
    <n v="13.674799999999999"/>
    <n v="-89.250900000000001"/>
    <n v="3"/>
    <n v="0"/>
    <n v="0"/>
    <n v="107"/>
    <s v="_x0000_peopl"/>
  </r>
  <r>
    <x v="6"/>
    <n v="13.690300000000001"/>
    <n v="-89.181299999999993"/>
    <n v="4"/>
    <n v="0"/>
    <n v="0"/>
    <n v="107"/>
    <s v="_x0000_peopl"/>
  </r>
  <r>
    <x v="6"/>
    <n v="13.6942"/>
    <n v="-89.176000000000002"/>
    <n v="2"/>
    <n v="0"/>
    <n v="0"/>
    <n v="107"/>
    <s v="_x0000_peopl"/>
  </r>
  <r>
    <x v="6"/>
    <n v="13.677"/>
    <n v="-89.199600000000004"/>
    <n v="2"/>
    <n v="0"/>
    <n v="0"/>
    <n v="107"/>
    <s v="_x0000_peopl"/>
  </r>
  <r>
    <x v="6"/>
    <n v="13.6891"/>
    <n v="-89.191199999999995"/>
    <n v="4"/>
    <n v="0"/>
    <n v="0"/>
    <n v="107"/>
    <s v="_x0000_peopl"/>
  </r>
  <r>
    <x v="6"/>
    <n v="13.6868"/>
    <n v="-89.182500000000005"/>
    <n v="0"/>
    <n v="0"/>
    <n v="0"/>
    <n v="107"/>
    <s v="_x0000_peopl"/>
  </r>
  <r>
    <x v="6"/>
    <n v="13.690200000000001"/>
    <n v="-89.195700000000002"/>
    <n v="8"/>
    <n v="0"/>
    <n v="0"/>
    <n v="107"/>
    <s v="_x0000_peopl"/>
  </r>
  <r>
    <x v="6"/>
    <n v="13.6875"/>
    <n v="-89.205399999999997"/>
    <n v="3"/>
    <n v="0"/>
    <n v="0"/>
    <n v="107"/>
    <s v="_x0000_peopl"/>
  </r>
  <r>
    <x v="6"/>
    <n v="13.6876"/>
    <n v="-89.195700000000002"/>
    <n v="5"/>
    <n v="0"/>
    <n v="0"/>
    <n v="107"/>
    <s v="_x0000_peopl"/>
  </r>
  <r>
    <x v="6"/>
    <n v="13.6911"/>
    <n v="-89.229399999999998"/>
    <n v="5"/>
    <n v="0"/>
    <n v="0"/>
    <n v="107"/>
    <s v="_x0000_peopl"/>
  </r>
  <r>
    <x v="6"/>
    <n v="13.6874"/>
    <n v="-89.211200000000005"/>
    <n v="10"/>
    <n v="0"/>
    <n v="0"/>
    <n v="107"/>
    <s v="_x0000_peopl"/>
  </r>
  <r>
    <x v="6"/>
    <n v="13.6911"/>
    <n v="-89.188500000000005"/>
    <n v="6"/>
    <n v="0"/>
    <n v="0"/>
    <n v="107"/>
    <s v="_x0000_peopl"/>
  </r>
  <r>
    <x v="6"/>
    <n v="13.680099999999999"/>
    <n v="-89.194599999999994"/>
    <n v="7"/>
    <n v="0"/>
    <n v="0"/>
    <n v="107"/>
    <s v="_x0000_peopl"/>
  </r>
  <r>
    <x v="6"/>
    <n v="13.691599999999999"/>
    <n v="-89.179199999999994"/>
    <n v="6"/>
    <n v="0"/>
    <n v="0"/>
    <n v="107"/>
    <s v="_x0000_peopl"/>
  </r>
  <r>
    <x v="6"/>
    <n v="13.6876"/>
    <n v="-89.194299999999998"/>
    <n v="3"/>
    <n v="0"/>
    <n v="0"/>
    <n v="107"/>
    <s v="_x0000_peopl"/>
  </r>
  <r>
    <x v="6"/>
    <n v="13.689399999999999"/>
    <n v="-89.207999999999998"/>
    <n v="6"/>
    <n v="0"/>
    <n v="0"/>
    <n v="107"/>
    <s v="_x0000_peopl"/>
  </r>
  <r>
    <x v="6"/>
    <n v="13.696199999999999"/>
    <n v="-89.172499999999999"/>
    <n v="11"/>
    <n v="0"/>
    <n v="0"/>
    <n v="107"/>
    <s v="_x0000_peopl"/>
  </r>
  <r>
    <x v="6"/>
    <n v="13.6854"/>
    <n v="-89.201499999999996"/>
    <n v="6"/>
    <n v="0"/>
    <n v="0"/>
    <n v="107"/>
    <s v="_x0000_peopl"/>
  </r>
  <r>
    <x v="6"/>
    <n v="13.687200000000001"/>
    <n v="-89.194500000000005"/>
    <n v="6"/>
    <n v="0"/>
    <n v="0"/>
    <n v="107"/>
    <s v="_x0000_peopl"/>
  </r>
  <r>
    <x v="6"/>
    <n v="13.6911"/>
    <n v="-89.179299999999998"/>
    <n v="5"/>
    <n v="0"/>
    <n v="0"/>
    <n v="107"/>
    <s v="_x0000_peopl"/>
  </r>
  <r>
    <x v="6"/>
    <n v="13.6869"/>
    <n v="-89.194599999999994"/>
    <n v="9"/>
    <n v="0"/>
    <n v="0"/>
    <n v="107"/>
    <s v="_x0000_peopl"/>
  </r>
  <r>
    <x v="6"/>
    <n v="13.687799999999999"/>
    <n v="-89.197000000000003"/>
    <n v="3"/>
    <n v="0"/>
    <n v="0"/>
    <n v="107"/>
    <s v="_x0000_peopl"/>
  </r>
  <r>
    <x v="6"/>
    <n v="13.684900000000001"/>
    <n v="-89.213200000000001"/>
    <n v="1"/>
    <n v="0"/>
    <n v="0"/>
    <n v="107"/>
    <s v="_x0000_peopl"/>
  </r>
  <r>
    <x v="6"/>
    <n v="13.6874"/>
    <n v="-89.182299999999998"/>
    <n v="7"/>
    <n v="0"/>
    <n v="0"/>
    <n v="107"/>
    <s v="_x0000_peopl"/>
  </r>
  <r>
    <x v="6"/>
    <n v="13.6876"/>
    <n v="-89.179699999999997"/>
    <n v="6"/>
    <n v="0"/>
    <n v="0"/>
    <n v="107"/>
    <s v="_x0000_peopl"/>
  </r>
  <r>
    <x v="6"/>
    <n v="13.6972"/>
    <n v="-89.171599999999998"/>
    <n v="6"/>
    <n v="0"/>
    <n v="0"/>
    <n v="107"/>
    <s v="_x0000_peopl"/>
  </r>
  <r>
    <x v="6"/>
    <n v="13.689299999999999"/>
    <n v="-89.184200000000004"/>
    <n v="10"/>
    <n v="0"/>
    <n v="0"/>
    <n v="107"/>
    <s v="_x0000_peopl"/>
  </r>
  <r>
    <x v="6"/>
    <n v="13.6883"/>
    <n v="-89.181899999999999"/>
    <n v="4"/>
    <n v="0"/>
    <n v="0"/>
    <n v="107"/>
    <s v="_x0000_peopl"/>
  </r>
  <r>
    <x v="6"/>
    <n v="13.687900000000001"/>
    <n v="-89.215400000000002"/>
    <n v="7"/>
    <n v="0"/>
    <n v="0"/>
    <n v="107"/>
    <s v="_x0000_peopl"/>
  </r>
  <r>
    <x v="6"/>
    <n v="13.689399999999999"/>
    <n v="-89.197500000000005"/>
    <n v="13"/>
    <n v="0"/>
    <n v="0"/>
    <n v="107"/>
    <s v="_x0000_peopl"/>
  </r>
  <r>
    <x v="6"/>
    <n v="13.6891"/>
    <n v="-89.1905"/>
    <n v="3"/>
    <n v="0"/>
    <n v="0"/>
    <n v="107"/>
    <s v="_x0000_peopl"/>
  </r>
  <r>
    <x v="6"/>
    <n v="13.6807"/>
    <n v="-89.197800000000001"/>
    <n v="7"/>
    <n v="0"/>
    <n v="0"/>
    <n v="107"/>
    <s v="_x0000_peopl"/>
  </r>
  <r>
    <x v="6"/>
    <n v="13.6874"/>
    <n v="-89.194400000000002"/>
    <n v="4"/>
    <n v="0"/>
    <n v="0"/>
    <n v="107"/>
    <s v="_x0000_peopl"/>
  </r>
  <r>
    <x v="6"/>
    <n v="13.678800000000001"/>
    <n v="-89.245199999999997"/>
    <n v="3"/>
    <n v="0"/>
    <n v="0"/>
    <n v="107"/>
    <s v="_x0000_peopl"/>
  </r>
  <r>
    <x v="6"/>
    <n v="13.687099999999999"/>
    <n v="-89.213999999999999"/>
    <n v="4"/>
    <n v="0"/>
    <n v="0"/>
    <n v="107"/>
    <s v="_x0000_peopl"/>
  </r>
  <r>
    <x v="6"/>
    <n v="13.688599999999999"/>
    <n v="-89.1815"/>
    <n v="4"/>
    <n v="0"/>
    <n v="0"/>
    <n v="107"/>
    <s v="_x0000_peopl"/>
  </r>
  <r>
    <x v="6"/>
    <n v="13.693300000000001"/>
    <n v="-89.188699999999997"/>
    <n v="10"/>
    <n v="0"/>
    <n v="0"/>
    <n v="107"/>
    <s v="_x0000_peopl"/>
  </r>
  <r>
    <x v="6"/>
    <n v="13.691700000000001"/>
    <n v="-89.186499999999995"/>
    <n v="1"/>
    <n v="0"/>
    <n v="0"/>
    <n v="107"/>
    <s v="_x0000_peopl"/>
  </r>
  <r>
    <x v="6"/>
    <n v="13.6869"/>
    <n v="-89.197500000000005"/>
    <n v="4"/>
    <n v="0"/>
    <n v="0"/>
    <n v="107"/>
    <s v="_x0000_peopl"/>
  </r>
  <r>
    <x v="6"/>
    <n v="13.6943"/>
    <n v="-89.176100000000005"/>
    <n v="5"/>
    <n v="0"/>
    <n v="0"/>
    <n v="107"/>
    <s v="_x0000_peopl"/>
  </r>
  <r>
    <x v="6"/>
    <n v="13.6919"/>
    <n v="-89.178399999999996"/>
    <n v="5"/>
    <n v="0"/>
    <n v="0"/>
    <n v="107"/>
    <s v="_x0000_peopl"/>
  </r>
  <r>
    <x v="6"/>
    <n v="13.6934"/>
    <n v="-89.176199999999994"/>
    <n v="5"/>
    <n v="0"/>
    <n v="0"/>
    <n v="107"/>
    <s v="_x0000_peopl"/>
  </r>
  <r>
    <x v="6"/>
    <n v="13.6935"/>
    <n v="-89.177000000000007"/>
    <n v="7"/>
    <n v="0"/>
    <n v="0"/>
    <n v="107"/>
    <s v="_x0000_peopl"/>
  </r>
  <r>
    <x v="6"/>
    <n v="13.6913"/>
    <n v="-89.179599999999994"/>
    <n v="8"/>
    <n v="0"/>
    <n v="0"/>
    <n v="107"/>
    <s v="_x0000_peopl"/>
  </r>
  <r>
    <x v="6"/>
    <n v="13.6927"/>
    <n v="-89.175799999999995"/>
    <n v="8"/>
    <n v="0"/>
    <n v="0"/>
    <n v="107"/>
    <s v="_x0000_peopl"/>
  </r>
  <r>
    <x v="6"/>
    <n v="13.6853"/>
    <n v="-89.216899999999995"/>
    <n v="5"/>
    <n v="0"/>
    <n v="0"/>
    <n v="107"/>
    <s v="_x0000_peopl"/>
  </r>
  <r>
    <x v="6"/>
    <n v="13.6868"/>
    <n v="-89.214299999999994"/>
    <n v="6"/>
    <n v="0"/>
    <n v="0"/>
    <n v="107"/>
    <s v="_x0000_peopl"/>
  </r>
  <r>
    <x v="6"/>
    <n v="13.691800000000001"/>
    <n v="-89.185400000000001"/>
    <n v="3"/>
    <n v="0"/>
    <n v="0"/>
    <n v="107"/>
    <s v="_x0000_peopl"/>
  </r>
  <r>
    <x v="6"/>
    <n v="13.6906"/>
    <n v="-89.235399999999998"/>
    <n v="7"/>
    <n v="0"/>
    <n v="0"/>
    <n v="107"/>
    <s v="_x0000_peopl"/>
  </r>
  <r>
    <x v="6"/>
    <n v="13.6868"/>
    <n v="-89.182599999999994"/>
    <n v="5"/>
    <n v="0"/>
    <n v="0"/>
    <n v="107"/>
    <s v="_x0000_peopl"/>
  </r>
  <r>
    <x v="6"/>
    <n v="13.6957"/>
    <n v="-89.172700000000006"/>
    <n v="2"/>
    <n v="0"/>
    <n v="0"/>
    <n v="107"/>
    <s v="_x0000_peopl"/>
  </r>
  <r>
    <x v="6"/>
    <n v="13.6911"/>
    <n v="-89.233699999999999"/>
    <n v="8"/>
    <n v="0"/>
    <n v="0"/>
    <n v="107"/>
    <s v="_x0000_peopl"/>
  </r>
  <r>
    <x v="6"/>
    <n v="13.674200000000001"/>
    <n v="-89.202200000000005"/>
    <n v="7"/>
    <n v="0"/>
    <n v="0"/>
    <n v="107"/>
    <s v="_x0000_peopl"/>
  </r>
  <r>
    <x v="6"/>
    <n v="13.6854"/>
    <n v="-89.201300000000003"/>
    <n v="2"/>
    <n v="0"/>
    <n v="0"/>
    <n v="107"/>
    <s v="_x0000_peopl"/>
  </r>
  <r>
    <x v="6"/>
    <n v="13.686999999999999"/>
    <n v="-89.183499999999995"/>
    <n v="2"/>
    <n v="0"/>
    <n v="0"/>
    <n v="107"/>
    <s v="_x0000_peopl"/>
  </r>
  <r>
    <x v="6"/>
    <n v="13.694000000000001"/>
    <n v="-89.174899999999994"/>
    <n v="4"/>
    <n v="0"/>
    <n v="0"/>
    <n v="107"/>
    <s v="_x0000_peopl"/>
  </r>
  <r>
    <x v="6"/>
    <n v="13.6859"/>
    <n v="-89.203299999999999"/>
    <n v="4"/>
    <n v="0"/>
    <n v="0"/>
    <n v="107"/>
    <s v="_x0000_peopl"/>
  </r>
  <r>
    <x v="6"/>
    <n v="13.6874"/>
    <n v="-89.194500000000005"/>
    <n v="4"/>
    <n v="0"/>
    <n v="0"/>
    <n v="107"/>
    <s v="_x0000_peopl"/>
  </r>
  <r>
    <x v="6"/>
    <n v="13.6958"/>
    <n v="-89.166499999999999"/>
    <n v="12"/>
    <n v="0"/>
    <n v="0"/>
    <n v="107"/>
    <s v="_x0000_peopl"/>
  </r>
  <r>
    <x v="6"/>
    <n v="13.6851"/>
    <n v="-89.201300000000003"/>
    <n v="6"/>
    <n v="0"/>
    <n v="0"/>
    <n v="107"/>
    <s v="_x0000_peopl"/>
  </r>
  <r>
    <x v="6"/>
    <n v="13.6927"/>
    <n v="-89.192999999999998"/>
    <n v="5"/>
    <n v="0"/>
    <n v="0"/>
    <n v="107"/>
    <s v="_x0000_peopl"/>
  </r>
  <r>
    <x v="6"/>
    <n v="13.689299999999999"/>
    <n v="-89.207700000000003"/>
    <n v="4"/>
    <n v="0"/>
    <n v="0"/>
    <n v="107"/>
    <s v="_x0000_peopl"/>
  </r>
  <r>
    <x v="6"/>
    <n v="13.6967"/>
    <n v="-89.171999999999997"/>
    <n v="3"/>
    <n v="0"/>
    <n v="0"/>
    <n v="107"/>
    <s v="_x0000_peopl"/>
  </r>
  <r>
    <x v="6"/>
    <n v="13.6739"/>
    <n v="-89.202799999999996"/>
    <n v="6"/>
    <n v="0"/>
    <n v="0"/>
    <n v="107"/>
    <s v="_x0000_peopl"/>
  </r>
  <r>
    <x v="6"/>
    <n v="13.6891"/>
    <n v="-89.205299999999994"/>
    <n v="5"/>
    <n v="0"/>
    <n v="0"/>
    <n v="107"/>
    <s v="_x0000_peopl"/>
  </r>
  <r>
    <x v="6"/>
    <n v="13.6914"/>
    <n v="-89.189499999999995"/>
    <n v="9"/>
    <n v="0"/>
    <n v="0"/>
    <n v="107"/>
    <s v="_x0000_peopl"/>
  </r>
  <r>
    <x v="6"/>
    <n v="13.6897"/>
    <n v="-89.193899999999999"/>
    <n v="6"/>
    <n v="0"/>
    <n v="0"/>
    <n v="107"/>
    <s v="_x0000_peopl"/>
  </r>
  <r>
    <x v="6"/>
    <n v="13.6922"/>
    <n v="-89.194400000000002"/>
    <n v="7"/>
    <n v="0"/>
    <n v="0"/>
    <n v="107"/>
    <s v="_x0000_peopl"/>
  </r>
  <r>
    <x v="6"/>
    <n v="13.674899999999999"/>
    <n v="-89.249300000000005"/>
    <n v="10"/>
    <n v="0"/>
    <n v="0"/>
    <n v="107"/>
    <s v="_x0000_peopl"/>
  </r>
  <r>
    <x v="6"/>
    <n v="13.694000000000001"/>
    <n v="-89.173400000000001"/>
    <n v="4"/>
    <n v="0"/>
    <n v="0"/>
    <n v="107"/>
    <s v="_x0000_peopl"/>
  </r>
  <r>
    <x v="6"/>
    <n v="13.6891"/>
    <n v="-89.190399999999997"/>
    <n v="4"/>
    <n v="0"/>
    <n v="0"/>
    <n v="107"/>
    <s v="_x0000_peopl"/>
  </r>
  <r>
    <x v="6"/>
    <n v="13.692500000000001"/>
    <n v="-89.1768"/>
    <n v="5"/>
    <n v="0"/>
    <n v="0"/>
    <n v="107"/>
    <s v="_x0000_peopl"/>
  </r>
  <r>
    <x v="6"/>
    <n v="13.6905"/>
    <n v="-89.234800000000007"/>
    <n v="3"/>
    <n v="0"/>
    <n v="0"/>
    <n v="107"/>
    <s v="_x0000_peopl"/>
  </r>
  <r>
    <x v="6"/>
    <n v="13.679399999999999"/>
    <n v="-89.197199999999995"/>
    <n v="12"/>
    <n v="0"/>
    <n v="0"/>
    <n v="107"/>
    <s v="_x0000_peopl"/>
  </r>
  <r>
    <x v="6"/>
    <n v="13.687200000000001"/>
    <n v="-89.197500000000005"/>
    <n v="7"/>
    <n v="0"/>
    <n v="0"/>
    <n v="107"/>
    <s v="_x0000_peopl"/>
  </r>
  <r>
    <x v="6"/>
    <n v="13.6858"/>
    <n v="-89.203400000000002"/>
    <n v="5"/>
    <n v="0"/>
    <n v="0"/>
    <n v="107"/>
    <s v="_x0000_peopl"/>
  </r>
  <r>
    <x v="6"/>
    <n v="13.694599999999999"/>
    <n v="-89.185299999999998"/>
    <n v="10"/>
    <n v="0"/>
    <n v="0"/>
    <n v="107"/>
    <s v="_x0000_peopl"/>
  </r>
  <r>
    <x v="6"/>
    <n v="13.695600000000001"/>
    <n v="-89.173000000000002"/>
    <n v="5"/>
    <n v="0"/>
    <n v="0"/>
    <n v="107"/>
    <s v="_x0000_peopl"/>
  </r>
  <r>
    <x v="6"/>
    <n v="13.692600000000001"/>
    <n v="-89.224000000000004"/>
    <n v="5"/>
    <n v="0"/>
    <n v="0"/>
    <n v="107"/>
    <s v="_x0000_peopl"/>
  </r>
  <r>
    <x v="6"/>
    <n v="13.6936"/>
    <n v="-89.176599999999993"/>
    <n v="3"/>
    <n v="0"/>
    <n v="0"/>
    <n v="107"/>
    <s v="_x0000_peopl"/>
  </r>
  <r>
    <x v="6"/>
    <n v="13.692399999999999"/>
    <n v="-89.181899999999999"/>
    <n v="7"/>
    <n v="0"/>
    <n v="0"/>
    <n v="107"/>
    <s v="_x0000_peopl"/>
  </r>
  <r>
    <x v="6"/>
    <n v="13.688700000000001"/>
    <n v="-89.1982"/>
    <n v="4"/>
    <n v="0"/>
    <n v="0"/>
    <n v="107"/>
    <s v="_x0000_peopl"/>
  </r>
  <r>
    <x v="6"/>
    <n v="13.6906"/>
    <n v="-89.234800000000007"/>
    <n v="4"/>
    <n v="0"/>
    <n v="0"/>
    <n v="107"/>
    <s v="_x0000_peopl"/>
  </r>
  <r>
    <x v="6"/>
    <n v="13.689"/>
    <n v="-89.180599999999998"/>
    <n v="4"/>
    <n v="0"/>
    <n v="0"/>
    <n v="107"/>
    <s v="_x0000_peopl"/>
  </r>
  <r>
    <x v="6"/>
    <n v="13.6913"/>
    <n v="-89.234099999999998"/>
    <n v="6"/>
    <n v="0"/>
    <n v="0"/>
    <n v="107"/>
    <s v="_x0000_peopl"/>
  </r>
  <r>
    <x v="6"/>
    <n v="13.6915"/>
    <n v="-89.185500000000005"/>
    <n v="3"/>
    <n v="0"/>
    <n v="0"/>
    <n v="107"/>
    <s v="_x0000_peopl"/>
  </r>
  <r>
    <x v="6"/>
    <n v="13.6799"/>
    <n v="-89.195300000000003"/>
    <n v="5"/>
    <n v="0"/>
    <n v="0"/>
    <n v="107"/>
    <s v="_x0000_peopl"/>
  </r>
  <r>
    <x v="6"/>
    <n v="13.6852"/>
    <n v="-89.201400000000007"/>
    <n v="2"/>
    <n v="0"/>
    <n v="0"/>
    <n v="107"/>
    <s v="_x0000_peopl"/>
  </r>
  <r>
    <x v="6"/>
    <n v="13.690899999999999"/>
    <n v="-89.188599999999994"/>
    <n v="6"/>
    <n v="0"/>
    <n v="0"/>
    <n v="107"/>
    <s v="_x0000_peopl"/>
  </r>
  <r>
    <x v="6"/>
    <n v="13.691599999999999"/>
    <n v="-89.197199999999995"/>
    <n v="3"/>
    <n v="0"/>
    <n v="0"/>
    <n v="107"/>
    <s v="_x0000_peopl"/>
  </r>
  <r>
    <x v="6"/>
    <n v="13.6928"/>
    <n v="-89.224800000000002"/>
    <n v="1"/>
    <n v="0"/>
    <n v="0"/>
    <n v="107"/>
    <s v="_x0000_peopl"/>
  </r>
  <r>
    <x v="6"/>
    <n v="13.694699999999999"/>
    <n v="-89.185299999999998"/>
    <n v="8"/>
    <n v="0"/>
    <n v="0"/>
    <n v="107"/>
    <s v="_x0000_peopl"/>
  </r>
  <r>
    <x v="6"/>
    <n v="13.680400000000001"/>
    <n v="-89.198499999999996"/>
    <n v="9"/>
    <n v="0"/>
    <n v="0"/>
    <n v="107"/>
    <s v="_x0000_peopl"/>
  </r>
  <r>
    <x v="6"/>
    <n v="13.6884"/>
    <n v="-89.194699999999997"/>
    <n v="8"/>
    <n v="0"/>
    <n v="0"/>
    <n v="107"/>
    <s v="_x0000_peopl"/>
  </r>
  <r>
    <x v="6"/>
    <n v="13.686999999999999"/>
    <n v="-89.205200000000005"/>
    <n v="6"/>
    <n v="0"/>
    <n v="0"/>
    <n v="107"/>
    <s v="_x0000_peopl"/>
  </r>
  <r>
    <x v="6"/>
    <n v="13.692600000000001"/>
    <n v="-89.224800000000002"/>
    <n v="2"/>
    <n v="0"/>
    <n v="0"/>
    <n v="107"/>
    <s v="_x0000_peopl"/>
  </r>
  <r>
    <x v="6"/>
    <n v="13.693"/>
    <n v="-89.189899999999994"/>
    <n v="5"/>
    <n v="0"/>
    <n v="0"/>
    <n v="107"/>
    <s v="_x0000_peopl"/>
  </r>
  <r>
    <x v="6"/>
    <n v="13.6873"/>
    <n v="-89.193899999999999"/>
    <n v="5"/>
    <n v="0"/>
    <n v="0"/>
    <n v="107"/>
    <s v="_x0000_peopl"/>
  </r>
  <r>
    <x v="6"/>
    <n v="13.692600000000001"/>
    <n v="-89.196899999999999"/>
    <n v="4"/>
    <n v="0"/>
    <n v="0"/>
    <n v="107"/>
    <s v="_x0000_peopl"/>
  </r>
  <r>
    <x v="6"/>
    <n v="13.674899999999999"/>
    <n v="-89.1995"/>
    <n v="5"/>
    <n v="0"/>
    <n v="0"/>
    <n v="107"/>
    <s v="_x0000_peopl"/>
  </r>
  <r>
    <x v="6"/>
    <n v="13.692600000000001"/>
    <n v="-89.224100000000007"/>
    <n v="1"/>
    <n v="0"/>
    <n v="0"/>
    <n v="107"/>
    <s v="_x0000_peopl"/>
  </r>
  <r>
    <x v="6"/>
    <n v="13.676600000000001"/>
    <n v="-89.200100000000006"/>
    <n v="6"/>
    <n v="0"/>
    <n v="0"/>
    <n v="107"/>
    <s v="_x0000_peopl"/>
  </r>
  <r>
    <x v="6"/>
    <n v="13.6906"/>
    <n v="-89.236000000000004"/>
    <n v="3"/>
    <n v="0"/>
    <n v="0"/>
    <n v="107"/>
    <s v="_x0000_peopl"/>
  </r>
  <r>
    <x v="6"/>
    <n v="13.694800000000001"/>
    <n v="-89.174400000000006"/>
    <n v="4"/>
    <n v="0"/>
    <n v="0"/>
    <n v="107"/>
    <s v="_x0000_peopl"/>
  </r>
  <r>
    <x v="6"/>
    <n v="13.694599999999999"/>
    <n v="-89.174199999999999"/>
    <n v="6"/>
    <n v="0"/>
    <n v="0"/>
    <n v="107"/>
    <s v="_x0000_peopl"/>
  </r>
  <r>
    <x v="6"/>
    <n v="13.691700000000001"/>
    <n v="-89.225300000000004"/>
    <n v="2"/>
    <n v="0"/>
    <n v="0"/>
    <n v="107"/>
    <s v="_x0000_peopl"/>
  </r>
  <r>
    <x v="6"/>
    <n v="13.6915"/>
    <n v="-89.189300000000003"/>
    <n v="9"/>
    <n v="0"/>
    <n v="0"/>
    <n v="107"/>
    <s v="_x0000_peopl"/>
  </r>
  <r>
    <x v="6"/>
    <n v="13.6845"/>
    <n v="-89.211600000000004"/>
    <n v="4"/>
    <n v="0"/>
    <n v="0"/>
    <n v="107"/>
    <s v="_x0000_peopl"/>
  </r>
  <r>
    <x v="6"/>
    <n v="13.6922"/>
    <n v="-89.1751"/>
    <n v="4"/>
    <n v="0"/>
    <n v="0"/>
    <n v="107"/>
    <s v="_x0000_peopl"/>
  </r>
  <r>
    <x v="6"/>
    <n v="13.6919"/>
    <n v="-89.194299999999998"/>
    <n v="5"/>
    <n v="0"/>
    <n v="0"/>
    <n v="107"/>
    <s v="_x0000_peopl"/>
  </r>
  <r>
    <x v="6"/>
    <n v="13.6868"/>
    <n v="-89.202200000000005"/>
    <n v="5"/>
    <n v="0"/>
    <n v="0"/>
    <n v="107"/>
    <s v="_x0000_peopl"/>
  </r>
  <r>
    <x v="6"/>
    <n v="13.6873"/>
    <n v="-89.216300000000004"/>
    <n v="3"/>
    <n v="0"/>
    <n v="0"/>
    <n v="107"/>
    <s v="_x0000_peopl"/>
  </r>
  <r>
    <x v="6"/>
    <n v="13.6891"/>
    <n v="-89.215699999999998"/>
    <n v="6"/>
    <n v="0"/>
    <n v="0"/>
    <n v="107"/>
    <s v="_x0000_peopl"/>
  </r>
  <r>
    <x v="6"/>
    <n v="13.688700000000001"/>
    <n v="-89.214500000000001"/>
    <n v="12"/>
    <n v="0"/>
    <n v="0"/>
    <n v="107"/>
    <s v="_x0000_peopl"/>
  </r>
  <r>
    <x v="6"/>
    <n v="13.69"/>
    <n v="-89.228700000000003"/>
    <n v="2"/>
    <n v="0"/>
    <n v="0"/>
    <n v="107"/>
    <s v="_x0000_peopl"/>
  </r>
  <r>
    <x v="6"/>
    <n v="13.6899"/>
    <n v="-89.179100000000005"/>
    <n v="5"/>
    <n v="0"/>
    <n v="0"/>
    <n v="107"/>
    <s v="_x0000_peopl"/>
  </r>
  <r>
    <x v="6"/>
    <n v="13.6799"/>
    <n v="-89.195899999999995"/>
    <n v="6"/>
    <n v="0"/>
    <n v="0"/>
    <n v="107"/>
    <s v="_x0000_peopl"/>
  </r>
  <r>
    <x v="6"/>
    <n v="13.6919"/>
    <n v="-89.224000000000004"/>
    <n v="6"/>
    <n v="0"/>
    <n v="0"/>
    <n v="107"/>
    <s v="_x0000_peopl"/>
  </r>
  <r>
    <x v="6"/>
    <n v="13.684699999999999"/>
    <n v="-89.216399999999993"/>
    <n v="4"/>
    <n v="0"/>
    <n v="0"/>
    <n v="107"/>
    <s v="_x0000_peopl"/>
  </r>
  <r>
    <x v="6"/>
    <n v="13.6953"/>
    <n v="-89.173299999999998"/>
    <n v="5"/>
    <n v="0"/>
    <n v="0"/>
    <n v="107"/>
    <s v="_x0000_peopl"/>
  </r>
  <r>
    <x v="6"/>
    <n v="13.6952"/>
    <n v="-89.174499999999995"/>
    <n v="4"/>
    <n v="0"/>
    <n v="0"/>
    <n v="107"/>
    <s v="_x0000_peopl"/>
  </r>
  <r>
    <x v="6"/>
    <n v="13.692399999999999"/>
    <n v="-89.192899999999995"/>
    <n v="5"/>
    <n v="0"/>
    <n v="0"/>
    <n v="107"/>
    <s v="_x0000_peopl"/>
  </r>
  <r>
    <x v="6"/>
    <n v="13.672800000000001"/>
    <n v="-89.203800000000001"/>
    <n v="3"/>
    <n v="0"/>
    <n v="0"/>
    <n v="107"/>
    <s v="_x0000_peopl"/>
  </r>
  <r>
    <x v="6"/>
    <n v="13.686999999999999"/>
    <n v="-89.181600000000003"/>
    <n v="6"/>
    <n v="0"/>
    <n v="0"/>
    <n v="107"/>
    <s v="_x0000_peopl"/>
  </r>
  <r>
    <x v="6"/>
    <n v="13.695"/>
    <n v="-89.174700000000001"/>
    <n v="4"/>
    <n v="0"/>
    <n v="0"/>
    <n v="107"/>
    <s v="_x0000_peopl"/>
  </r>
  <r>
    <x v="6"/>
    <n v="13.6906"/>
    <n v="-89.232200000000006"/>
    <n v="3"/>
    <n v="0"/>
    <n v="0"/>
    <n v="107"/>
    <s v="_x0000_peopl"/>
  </r>
  <r>
    <x v="6"/>
    <n v="13.6874"/>
    <n v="-89.197199999999995"/>
    <n v="6"/>
    <n v="0"/>
    <n v="0"/>
    <n v="107"/>
    <s v="_x0000_peopl"/>
  </r>
  <r>
    <x v="6"/>
    <n v="13.696400000000001"/>
    <n v="-89.171700000000001"/>
    <n v="4"/>
    <n v="0"/>
    <n v="0"/>
    <n v="107"/>
    <s v="_x0000_peopl"/>
  </r>
  <r>
    <x v="6"/>
    <n v="13.6737"/>
    <n v="-89.203400000000002"/>
    <n v="5"/>
    <n v="0"/>
    <n v="0"/>
    <n v="107"/>
    <s v="_x0000_peopl"/>
  </r>
  <r>
    <x v="6"/>
    <n v="13.6935"/>
    <n v="-89.176299999999998"/>
    <n v="5"/>
    <n v="0"/>
    <n v="0"/>
    <n v="107"/>
    <s v="_x0000_peopl"/>
  </r>
  <r>
    <x v="6"/>
    <n v="13.6915"/>
    <n v="-89.228300000000004"/>
    <n v="1"/>
    <n v="0"/>
    <n v="0"/>
    <n v="107"/>
    <s v="_x0000_peopl"/>
  </r>
  <r>
    <x v="6"/>
    <n v="13.6869"/>
    <n v="-89.182699999999997"/>
    <n v="7"/>
    <n v="0"/>
    <n v="0"/>
    <n v="107"/>
    <s v="_x0000_peopl"/>
  </r>
  <r>
    <x v="6"/>
    <n v="13.6897"/>
    <n v="-89.179199999999994"/>
    <n v="5"/>
    <n v="0"/>
    <n v="0"/>
    <n v="107"/>
    <s v="_x0000_peopl"/>
  </r>
  <r>
    <x v="6"/>
    <n v="13.691000000000001"/>
    <n v="-89.232500000000002"/>
    <n v="3"/>
    <n v="0"/>
    <n v="0"/>
    <n v="107"/>
    <s v="_x0000_peopl"/>
  </r>
  <r>
    <x v="6"/>
    <n v="13.684699999999999"/>
    <n v="-89.211699999999993"/>
    <n v="6"/>
    <n v="0"/>
    <n v="0"/>
    <n v="107"/>
    <s v="_x0000_peopl"/>
  </r>
  <r>
    <x v="6"/>
    <n v="13.6881"/>
    <n v="-89.215400000000002"/>
    <n v="9"/>
    <n v="0"/>
    <n v="0"/>
    <n v="107"/>
    <s v="_x0000_peopl"/>
  </r>
  <r>
    <x v="6"/>
    <n v="13.6874"/>
    <n v="-89.216200000000001"/>
    <n v="6"/>
    <n v="0"/>
    <n v="0"/>
    <n v="107"/>
    <s v="_x0000_peopl"/>
  </r>
  <r>
    <x v="6"/>
    <n v="13.692299999999999"/>
    <n v="-89.224000000000004"/>
    <n v="5"/>
    <n v="0"/>
    <n v="0"/>
    <n v="107"/>
    <s v="_x0000_peopl"/>
  </r>
  <r>
    <x v="6"/>
    <n v="13.6922"/>
    <n v="-89.175600000000003"/>
    <n v="7"/>
    <n v="0"/>
    <n v="0"/>
    <n v="107"/>
    <s v="_x0000_peopl"/>
  </r>
  <r>
    <x v="6"/>
    <n v="13.691700000000001"/>
    <n v="-89.227099999999993"/>
    <n v="0"/>
    <n v="0"/>
    <n v="0"/>
    <n v="107"/>
    <s v="_x0000_peopl"/>
  </r>
  <r>
    <x v="6"/>
    <n v="13.692299999999999"/>
    <n v="-89.179299999999998"/>
    <n v="7"/>
    <n v="0"/>
    <n v="0"/>
    <n v="107"/>
    <s v="_x0000_peopl"/>
  </r>
  <r>
    <x v="6"/>
    <n v="13.689299999999999"/>
    <n v="-89.206800000000001"/>
    <n v="5"/>
    <n v="0"/>
    <n v="0"/>
    <n v="107"/>
    <s v="_x0000_peopl"/>
  </r>
  <r>
    <x v="6"/>
    <n v="13.6911"/>
    <n v="-89.181200000000004"/>
    <n v="7"/>
    <n v="0"/>
    <n v="0"/>
    <n v="107"/>
    <s v="_x0000_peopl"/>
  </r>
  <r>
    <x v="6"/>
    <n v="13.6944"/>
    <n v="-89.173400000000001"/>
    <n v="5"/>
    <n v="0"/>
    <n v="0"/>
    <n v="107"/>
    <s v="_x0000_peopl"/>
  </r>
  <r>
    <x v="6"/>
    <n v="13.6907"/>
    <n v="-89.233500000000006"/>
    <n v="5"/>
    <n v="0"/>
    <n v="0"/>
    <n v="107"/>
    <s v="_x0000_peopl"/>
  </r>
  <r>
    <x v="6"/>
    <n v="13.689500000000001"/>
    <n v="-89.235900000000001"/>
    <n v="3"/>
    <n v="0"/>
    <n v="0"/>
    <n v="107"/>
    <s v="_x0000_peopl"/>
  </r>
  <r>
    <x v="6"/>
    <n v="13.6874"/>
    <n v="-89.1982"/>
    <n v="6"/>
    <n v="0"/>
    <n v="0"/>
    <n v="107"/>
    <s v="_x0000_peopl"/>
  </r>
  <r>
    <x v="6"/>
    <n v="13.689500000000001"/>
    <n v="-89.180499999999995"/>
    <n v="3"/>
    <n v="0"/>
    <n v="0"/>
    <n v="107"/>
    <s v="_x0000_peopl"/>
  </r>
  <r>
    <x v="6"/>
    <n v="13.6861"/>
    <n v="-89.216300000000004"/>
    <n v="9"/>
    <n v="0"/>
    <n v="0"/>
    <n v="107"/>
    <s v="_x0000_peopl"/>
  </r>
  <r>
    <x v="6"/>
    <n v="13.692299999999999"/>
    <n v="-89.222899999999996"/>
    <n v="4"/>
    <n v="0"/>
    <n v="0"/>
    <n v="107"/>
    <s v="_x0000_peopl"/>
  </r>
  <r>
    <x v="6"/>
    <n v="13.6913"/>
    <n v="-89.219899999999996"/>
    <n v="3"/>
    <n v="0"/>
    <n v="0"/>
    <n v="107"/>
    <s v="_x0000_peopl"/>
  </r>
  <r>
    <x v="6"/>
    <n v="13.6883"/>
    <n v="-89.204800000000006"/>
    <n v="2"/>
    <n v="0"/>
    <n v="0"/>
    <n v="107"/>
    <s v="_x0000_peopl"/>
  </r>
  <r>
    <x v="6"/>
    <n v="13.692299999999999"/>
    <n v="-89.179400000000001"/>
    <n v="6"/>
    <n v="0"/>
    <n v="0"/>
    <n v="107"/>
    <s v="_x0000_peopl"/>
  </r>
  <r>
    <x v="6"/>
    <n v="13.6899"/>
    <n v="-89.235200000000006"/>
    <n v="1"/>
    <n v="0"/>
    <n v="0"/>
    <n v="107"/>
    <s v="_x0000_peopl"/>
  </r>
  <r>
    <x v="6"/>
    <n v="13.6942"/>
    <n v="-89.183099999999996"/>
    <n v="8"/>
    <n v="0"/>
    <n v="0"/>
    <n v="107"/>
    <s v="_x0000_peopl"/>
  </r>
  <r>
    <x v="6"/>
    <n v="13.689"/>
    <n v="-89.183899999999994"/>
    <n v="5"/>
    <n v="0"/>
    <n v="0"/>
    <n v="107"/>
    <s v="_x0000_peopl"/>
  </r>
  <r>
    <x v="6"/>
    <n v="13.686500000000001"/>
    <n v="-89.203500000000005"/>
    <n v="6"/>
    <n v="0"/>
    <n v="0"/>
    <n v="107"/>
    <s v="_x0000_peopl"/>
  </r>
  <r>
    <x v="6"/>
    <n v="13.6745"/>
    <n v="-89.252099999999999"/>
    <n v="4"/>
    <n v="0"/>
    <n v="0"/>
    <n v="107"/>
    <s v="_x0000_peopl"/>
  </r>
  <r>
    <x v="6"/>
    <n v="13.6912"/>
    <n v="-89.233199999999997"/>
    <n v="3"/>
    <n v="0"/>
    <n v="0"/>
    <n v="107"/>
    <s v="_x0000_peopl"/>
  </r>
  <r>
    <x v="6"/>
    <n v="13.6957"/>
    <n v="-89.173400000000001"/>
    <n v="8"/>
    <n v="0"/>
    <n v="0"/>
    <n v="107"/>
    <s v="_x0000_peopl"/>
  </r>
  <r>
    <x v="6"/>
    <n v="13.692600000000001"/>
    <n v="-89.225800000000007"/>
    <n v="5"/>
    <n v="0"/>
    <n v="0"/>
    <n v="107"/>
    <s v="_x0000_peopl"/>
  </r>
  <r>
    <x v="6"/>
    <n v="13.6851"/>
    <n v="-89.215599999999995"/>
    <n v="4"/>
    <n v="0"/>
    <n v="0"/>
    <n v="107"/>
    <s v="_x0000_peopl"/>
  </r>
  <r>
    <x v="6"/>
    <n v="13.690099999999999"/>
    <n v="-89.217200000000005"/>
    <n v="3"/>
    <n v="0"/>
    <n v="0"/>
    <n v="107"/>
    <s v="_x0000_peopl"/>
  </r>
  <r>
    <x v="6"/>
    <n v="13.687799999999999"/>
    <n v="-89.197199999999995"/>
    <n v="9"/>
    <n v="0"/>
    <n v="0"/>
    <n v="107"/>
    <s v="_x0000_peopl"/>
  </r>
  <r>
    <x v="6"/>
    <n v="13.674899999999999"/>
    <n v="-89.251800000000003"/>
    <n v="5"/>
    <n v="0"/>
    <n v="0"/>
    <n v="107"/>
    <s v="_x0000_peopl"/>
  </r>
  <r>
    <x v="6"/>
    <n v="13.690799999999999"/>
    <n v="-89.234700000000004"/>
    <n v="5"/>
    <n v="0"/>
    <n v="0"/>
    <n v="107"/>
    <s v="_x0000_peopl"/>
  </r>
  <r>
    <x v="6"/>
    <n v="13.691599999999999"/>
    <n v="-89.176400000000001"/>
    <n v="5"/>
    <n v="0"/>
    <n v="0"/>
    <n v="107"/>
    <s v="_x0000_peopl"/>
  </r>
  <r>
    <x v="6"/>
    <n v="13.692299999999999"/>
    <n v="-89.1798"/>
    <n v="4"/>
    <n v="0"/>
    <n v="0"/>
    <n v="107"/>
    <s v="_x0000_peopl"/>
  </r>
  <r>
    <x v="6"/>
    <n v="13.687200000000001"/>
    <n v="-89.183499999999995"/>
    <n v="5"/>
    <n v="0"/>
    <n v="0"/>
    <n v="107"/>
    <s v="_x0000_peopl"/>
  </r>
  <r>
    <x v="6"/>
    <n v="13.687200000000001"/>
    <n v="-89.213999999999999"/>
    <n v="5"/>
    <n v="0"/>
    <n v="0"/>
    <n v="107"/>
    <s v="_x0000_peopl"/>
  </r>
  <r>
    <x v="6"/>
    <n v="13.6914"/>
    <n v="-89.228899999999996"/>
    <n v="3"/>
    <n v="0"/>
    <n v="0"/>
    <n v="107"/>
    <s v="_x0000_peopl"/>
  </r>
  <r>
    <x v="6"/>
    <n v="13.6797"/>
    <n v="-89.196600000000004"/>
    <n v="4"/>
    <n v="0"/>
    <n v="0"/>
    <n v="107"/>
    <s v="_x0000_peopl"/>
  </r>
  <r>
    <x v="6"/>
    <n v="13.692500000000001"/>
    <n v="-89.175899999999999"/>
    <n v="6"/>
    <n v="0"/>
    <n v="0"/>
    <n v="107"/>
    <s v="_x0000_peopl"/>
  </r>
  <r>
    <x v="6"/>
    <n v="13.689500000000001"/>
    <n v="-89.196899999999999"/>
    <n v="2"/>
    <n v="0"/>
    <n v="0"/>
    <n v="107"/>
    <s v="_x0000_peopl"/>
  </r>
  <r>
    <x v="6"/>
    <n v="13.687799999999999"/>
    <n v="-89.196799999999996"/>
    <n v="5"/>
    <n v="0"/>
    <n v="0"/>
    <n v="107"/>
    <s v="_x0000_peopl"/>
  </r>
  <r>
    <x v="6"/>
    <n v="13.6892"/>
    <n v="-89.204899999999995"/>
    <n v="6"/>
    <n v="0"/>
    <n v="0"/>
    <n v="107"/>
    <s v="_x0000_peopl"/>
  </r>
  <r>
    <x v="6"/>
    <n v="13.673"/>
    <n v="-89.204499999999996"/>
    <n v="4"/>
    <n v="0"/>
    <n v="0"/>
    <n v="107"/>
    <s v="_x0000_peopl"/>
  </r>
  <r>
    <x v="6"/>
    <n v="13.692399999999999"/>
    <n v="-89.183199999999999"/>
    <n v="6"/>
    <n v="0"/>
    <n v="0"/>
    <n v="107"/>
    <s v="_x0000_peopl"/>
  </r>
  <r>
    <x v="6"/>
    <n v="13.6912"/>
    <n v="-89.228999999999999"/>
    <n v="2"/>
    <n v="0"/>
    <n v="0"/>
    <n v="107"/>
    <s v="_x0000_peopl"/>
  </r>
  <r>
    <x v="6"/>
    <n v="13.6911"/>
    <n v="-89.232399999999998"/>
    <n v="3"/>
    <n v="0"/>
    <n v="0"/>
    <n v="107"/>
    <s v="_x0000_peopl"/>
  </r>
  <r>
    <x v="6"/>
    <n v="13.6877"/>
    <n v="-89.216399999999993"/>
    <n v="2"/>
    <n v="0"/>
    <n v="0"/>
    <n v="107"/>
    <s v="_x0000_peopl"/>
  </r>
  <r>
    <x v="6"/>
    <n v="13.6911"/>
    <n v="-89.229100000000003"/>
    <n v="4"/>
    <n v="0"/>
    <n v="0"/>
    <n v="107"/>
    <s v="_x0000_peopl"/>
  </r>
  <r>
    <x v="6"/>
    <n v="13.6906"/>
    <n v="-89.234399999999994"/>
    <n v="4"/>
    <n v="0"/>
    <n v="0"/>
    <n v="107"/>
    <s v="_x0000_peopl"/>
  </r>
  <r>
    <x v="6"/>
    <n v="13.690799999999999"/>
    <n v="-89.195300000000003"/>
    <n v="8"/>
    <n v="0"/>
    <n v="0"/>
    <n v="107"/>
    <s v="_x0000_peopl"/>
  </r>
  <r>
    <x v="6"/>
    <n v="13.6785"/>
    <n v="-89.245500000000007"/>
    <n v="4"/>
    <n v="0"/>
    <n v="0"/>
    <n v="107"/>
    <s v="_x0000_peopl"/>
  </r>
  <r>
    <x v="6"/>
    <n v="13.6866"/>
    <n v="-89.215900000000005"/>
    <n v="7"/>
    <n v="0"/>
    <n v="0"/>
    <n v="107"/>
    <s v="_x0000_peopl"/>
  </r>
  <r>
    <x v="6"/>
    <n v="13.6896"/>
    <n v="-89.235799999999998"/>
    <n v="4"/>
    <n v="0"/>
    <n v="0"/>
    <n v="107"/>
    <s v="_x0000_peopl"/>
  </r>
  <r>
    <x v="6"/>
    <n v="13.6957"/>
    <n v="-89.165400000000005"/>
    <n v="1"/>
    <n v="0"/>
    <n v="0"/>
    <n v="107"/>
    <s v="_x0000_peopl"/>
  </r>
  <r>
    <x v="6"/>
    <n v="13.6914"/>
    <n v="-89.220299999999995"/>
    <n v="5"/>
    <n v="0"/>
    <n v="0"/>
    <n v="107"/>
    <s v="_x0000_peopl"/>
  </r>
  <r>
    <x v="6"/>
    <n v="13.690799999999999"/>
    <n v="-89.234099999999998"/>
    <n v="5"/>
    <n v="0"/>
    <n v="0"/>
    <n v="107"/>
    <s v="_x0000_peopl"/>
  </r>
  <r>
    <x v="6"/>
    <n v="13.687900000000001"/>
    <n v="-89.204899999999995"/>
    <n v="3"/>
    <n v="0"/>
    <n v="0"/>
    <n v="107"/>
    <s v="_x0000_peopl"/>
  </r>
  <r>
    <x v="6"/>
    <n v="13.687799999999999"/>
    <n v="-89.181399999999996"/>
    <n v="6"/>
    <n v="0"/>
    <n v="0"/>
    <n v="107"/>
    <s v="_x0000_peopl"/>
  </r>
  <r>
    <x v="6"/>
    <n v="13.693099999999999"/>
    <n v="-89.177899999999994"/>
    <n v="2"/>
    <n v="0"/>
    <n v="0"/>
    <n v="107"/>
    <s v="_x0000_peopl"/>
  </r>
  <r>
    <x v="6"/>
    <n v="13.6798"/>
    <n v="-89.194400000000002"/>
    <n v="3"/>
    <n v="0"/>
    <n v="0"/>
    <n v="107"/>
    <s v="_x0000_peopl"/>
  </r>
  <r>
    <x v="6"/>
    <n v="13.696899999999999"/>
    <n v="-89.171400000000006"/>
    <n v="7"/>
    <n v="0"/>
    <n v="0"/>
    <n v="107"/>
    <s v="_x0000_peopl"/>
  </r>
  <r>
    <x v="6"/>
    <n v="13.6858"/>
    <n v="-89.202299999999994"/>
    <n v="6"/>
    <n v="0"/>
    <n v="0"/>
    <n v="107"/>
    <s v="_x0000_peopl"/>
  </r>
  <r>
    <x v="6"/>
    <n v="13.686"/>
    <n v="-89.202200000000005"/>
    <n v="8"/>
    <n v="0"/>
    <n v="0"/>
    <n v="107"/>
    <s v="_x0000_peopl"/>
  </r>
  <r>
    <x v="6"/>
    <n v="13.691599999999999"/>
    <n v="-89.232399999999998"/>
    <n v="7"/>
    <n v="0"/>
    <n v="0"/>
    <n v="107"/>
    <s v="_x0000_peopl"/>
  </r>
  <r>
    <x v="6"/>
    <n v="13.6753"/>
    <n v="-89.251999999999995"/>
    <n v="4"/>
    <n v="0"/>
    <n v="0"/>
    <n v="107"/>
    <s v="_x0000_peopl"/>
  </r>
  <r>
    <x v="6"/>
    <n v="13.6912"/>
    <n v="-89.226600000000005"/>
    <n v="6"/>
    <n v="0"/>
    <n v="0"/>
    <n v="107"/>
    <s v="_x0000_peopl"/>
  </r>
  <r>
    <x v="6"/>
    <n v="13.6922"/>
    <n v="-89.175899999999999"/>
    <n v="7"/>
    <n v="0"/>
    <n v="0"/>
    <n v="107"/>
    <s v="_x0000_peopl"/>
  </r>
  <r>
    <x v="6"/>
    <n v="13.695399999999999"/>
    <n v="-89.173900000000003"/>
    <n v="7"/>
    <n v="0"/>
    <n v="0"/>
    <n v="107"/>
    <s v="_x0000_peopl"/>
  </r>
  <r>
    <x v="6"/>
    <n v="13.687099999999999"/>
    <n v="-89.197800000000001"/>
    <n v="10"/>
    <n v="0"/>
    <n v="0"/>
    <n v="107"/>
    <s v="_x0000_peopl"/>
  </r>
  <r>
    <x v="6"/>
    <n v="13.6897"/>
    <n v="-89.235500000000002"/>
    <n v="3"/>
    <n v="0"/>
    <n v="0"/>
    <n v="107"/>
    <s v="_x0000_peopl"/>
  </r>
  <r>
    <x v="6"/>
    <n v="13.690899999999999"/>
    <n v="-89.234099999999998"/>
    <n v="3"/>
    <n v="0"/>
    <n v="0"/>
    <n v="107"/>
    <s v="_x0000_peopl"/>
  </r>
  <r>
    <x v="6"/>
    <n v="13.6906"/>
    <n v="-89.186700000000002"/>
    <n v="2"/>
    <n v="0"/>
    <n v="0"/>
    <n v="107"/>
    <s v="_x0000_peopl"/>
  </r>
  <r>
    <x v="6"/>
    <n v="13.6897"/>
    <n v="-89.193899999999999"/>
    <n v="8"/>
    <n v="0"/>
    <n v="0"/>
    <n v="107"/>
    <s v="_x0000_peopl"/>
  </r>
  <r>
    <x v="6"/>
    <n v="13.690899999999999"/>
    <n v="-89.228999999999999"/>
    <n v="7"/>
    <n v="0"/>
    <n v="0"/>
    <n v="107"/>
    <s v="_x0000_peopl"/>
  </r>
  <r>
    <x v="6"/>
    <n v="13.684799999999999"/>
    <n v="-89.216399999999993"/>
    <n v="4"/>
    <n v="0"/>
    <n v="0"/>
    <n v="107"/>
    <s v="_x0000_peopl"/>
  </r>
  <r>
    <x v="6"/>
    <n v="13.6852"/>
    <n v="-89.216700000000003"/>
    <n v="8"/>
    <n v="0"/>
    <n v="0"/>
    <n v="107"/>
    <s v="_x0000_peopl"/>
  </r>
  <r>
    <x v="6"/>
    <n v="13.6944"/>
    <n v="-89.188699999999997"/>
    <n v="5"/>
    <n v="0"/>
    <n v="0"/>
    <n v="107"/>
    <s v="_x0000_peopl"/>
  </r>
  <r>
    <x v="6"/>
    <n v="13.688499999999999"/>
    <n v="-89.216200000000001"/>
    <n v="6"/>
    <n v="0"/>
    <n v="0"/>
    <n v="107"/>
    <s v="_x0000_peopl"/>
  </r>
  <r>
    <x v="6"/>
    <n v="13.691000000000001"/>
    <n v="-89.235500000000002"/>
    <n v="7"/>
    <n v="0"/>
    <n v="0"/>
    <n v="107"/>
    <s v="_x0000_peopl"/>
  </r>
  <r>
    <x v="6"/>
    <n v="13.690799999999999"/>
    <n v="-89.186700000000002"/>
    <n v="4"/>
    <n v="0"/>
    <n v="0"/>
    <n v="107"/>
    <s v="_x0000_peopl"/>
  </r>
  <r>
    <x v="6"/>
    <n v="13.6921"/>
    <n v="-89.1798"/>
    <n v="8"/>
    <n v="0"/>
    <n v="0"/>
    <n v="107"/>
    <s v="_x0000_peopl"/>
  </r>
  <r>
    <x v="6"/>
    <n v="13.6913"/>
    <n v="-89.2286"/>
    <n v="6"/>
    <n v="0"/>
    <n v="0"/>
    <n v="107"/>
    <s v="_x0000_peopl"/>
  </r>
  <r>
    <x v="6"/>
    <n v="13.6792"/>
    <n v="-89.1965"/>
    <n v="2"/>
    <n v="0"/>
    <n v="0"/>
    <n v="107"/>
    <s v="_x0000_peopl"/>
  </r>
  <r>
    <x v="6"/>
    <n v="13.692"/>
    <n v="-89.223200000000006"/>
    <n v="9"/>
    <n v="0"/>
    <n v="0"/>
    <n v="107"/>
    <s v="_x0000_peopl"/>
  </r>
  <r>
    <x v="6"/>
    <n v="13.6873"/>
    <n v="-89.197699999999998"/>
    <n v="5"/>
    <n v="0"/>
    <n v="0"/>
    <n v="107"/>
    <s v="_x0000_peopl"/>
  </r>
  <r>
    <x v="6"/>
    <n v="13.6882"/>
    <n v="-89.216200000000001"/>
    <n v="3"/>
    <n v="0"/>
    <n v="0"/>
    <n v="107"/>
    <s v="_x0000_peopl"/>
  </r>
  <r>
    <x v="6"/>
    <n v="13.691700000000001"/>
    <n v="-89.186000000000007"/>
    <n v="6"/>
    <n v="0"/>
    <n v="0"/>
    <n v="107"/>
    <s v="_x0000_peopl"/>
  </r>
  <r>
    <x v="6"/>
    <n v="13.690200000000001"/>
    <n v="-89.184700000000007"/>
    <n v="5"/>
    <n v="0"/>
    <n v="0"/>
    <n v="107"/>
    <s v="_x0000_peopl"/>
  </r>
  <r>
    <x v="6"/>
    <n v="13.692299999999999"/>
    <n v="-89.223699999999994"/>
    <n v="6"/>
    <n v="0"/>
    <n v="0"/>
    <n v="107"/>
    <s v="_x0000_peopl"/>
  </r>
  <r>
    <x v="6"/>
    <n v="13.6906"/>
    <n v="-89.235600000000005"/>
    <n v="0"/>
    <n v="0"/>
    <n v="0"/>
    <n v="107"/>
    <s v="_x0000_peopl"/>
  </r>
  <r>
    <x v="6"/>
    <n v="13.690899999999999"/>
    <n v="-89.235399999999998"/>
    <n v="7"/>
    <n v="0"/>
    <n v="0"/>
    <n v="107"/>
    <s v="_x0000_peopl"/>
  </r>
  <r>
    <x v="6"/>
    <n v="13.6911"/>
    <n v="-89.218900000000005"/>
    <n v="2"/>
    <n v="0"/>
    <n v="0"/>
    <n v="107"/>
    <s v="_x0000_peopl"/>
  </r>
  <r>
    <x v="6"/>
    <n v="13.686999999999999"/>
    <n v="-89.182100000000005"/>
    <n v="6"/>
    <n v="0"/>
    <n v="0"/>
    <n v="107"/>
    <s v="_x0000_peopl"/>
  </r>
  <r>
    <x v="6"/>
    <n v="13.690899999999999"/>
    <n v="-89.231700000000004"/>
    <n v="1"/>
    <n v="0"/>
    <n v="0"/>
    <n v="107"/>
    <s v="_x0000_peopl"/>
  </r>
  <r>
    <x v="6"/>
    <n v="13.688700000000001"/>
    <n v="-89.217200000000005"/>
    <n v="6"/>
    <n v="0"/>
    <n v="0"/>
    <n v="107"/>
    <s v="_x0000_peopl"/>
  </r>
  <r>
    <x v="6"/>
    <n v="13.689399999999999"/>
    <n v="-89.235399999999998"/>
    <n v="2"/>
    <n v="0"/>
    <n v="0"/>
    <n v="107"/>
    <s v="_x0000_peopl"/>
  </r>
  <r>
    <x v="6"/>
    <n v="13.678100000000001"/>
    <n v="-89.196299999999994"/>
    <n v="7"/>
    <n v="0"/>
    <n v="0"/>
    <n v="107"/>
    <s v="_x0000_peopl"/>
  </r>
  <r>
    <x v="6"/>
    <n v="13.689399999999999"/>
    <n v="-89.235900000000001"/>
    <n v="5"/>
    <n v="0"/>
    <n v="0"/>
    <n v="107"/>
    <s v="_x0000_peopl"/>
  </r>
  <r>
    <x v="6"/>
    <n v="13.688599999999999"/>
    <n v="-89.1982"/>
    <n v="6"/>
    <n v="0"/>
    <n v="0"/>
    <n v="107"/>
    <s v="_x0000_peopl"/>
  </r>
  <r>
    <x v="6"/>
    <n v="13.691800000000001"/>
    <n v="-89.220799999999997"/>
    <n v="3"/>
    <n v="0"/>
    <n v="0"/>
    <n v="107"/>
    <s v="_x0000_peopl"/>
  </r>
  <r>
    <x v="6"/>
    <n v="13.6861"/>
    <n v="-89.214399999999998"/>
    <n v="2"/>
    <n v="0"/>
    <n v="0"/>
    <n v="107"/>
    <s v="_x0000_peopl"/>
  </r>
  <r>
    <x v="6"/>
    <n v="13.6881"/>
    <n v="-89.180599999999998"/>
    <n v="6"/>
    <n v="0"/>
    <n v="0"/>
    <n v="107"/>
    <s v="_x0000_peopl"/>
  </r>
  <r>
    <x v="6"/>
    <n v="13.6912"/>
    <n v="-89.228700000000003"/>
    <n v="1"/>
    <n v="0"/>
    <n v="0"/>
    <n v="107"/>
    <s v="_x0000_peopl"/>
  </r>
  <r>
    <x v="6"/>
    <n v="13.690799999999999"/>
    <n v="-89.188500000000005"/>
    <n v="5"/>
    <n v="0"/>
    <n v="0"/>
    <n v="107"/>
    <s v="_x0000_peopl"/>
  </r>
  <r>
    <x v="6"/>
    <n v="13.6944"/>
    <n v="-89.188999999999993"/>
    <n v="3"/>
    <n v="0"/>
    <n v="0"/>
    <n v="107"/>
    <s v="_x0000_peopl"/>
  </r>
  <r>
    <x v="6"/>
    <n v="13.6892"/>
    <n v="-89.184200000000004"/>
    <n v="5"/>
    <n v="0"/>
    <n v="0"/>
    <n v="107"/>
    <s v="_x0000_peopl"/>
  </r>
  <r>
    <x v="6"/>
    <n v="13.692600000000001"/>
    <n v="-89.225800000000007"/>
    <n v="6"/>
    <n v="0"/>
    <n v="0"/>
    <n v="107"/>
    <s v="_x0000_peopl"/>
  </r>
  <r>
    <x v="6"/>
    <n v="13.6907"/>
    <n v="-89.186599999999999"/>
    <n v="4"/>
    <n v="0"/>
    <n v="0"/>
    <n v="107"/>
    <s v="_x0000_peopl"/>
  </r>
  <r>
    <x v="6"/>
    <n v="13.6912"/>
    <n v="-89.234099999999998"/>
    <n v="0"/>
    <n v="0"/>
    <n v="0"/>
    <n v="107"/>
    <s v="_x0000_peopl"/>
  </r>
  <r>
    <x v="6"/>
    <n v="13.6873"/>
    <n v="-89.216999999999999"/>
    <n v="2"/>
    <n v="0"/>
    <n v="0"/>
    <n v="107"/>
    <s v="_x0000_peopl"/>
  </r>
  <r>
    <x v="6"/>
    <n v="13.6935"/>
    <n v="-89.176599999999993"/>
    <n v="2"/>
    <n v="0"/>
    <n v="0"/>
    <n v="107"/>
    <s v="_x0000_peopl"/>
  </r>
  <r>
    <x v="6"/>
    <n v="13.6913"/>
    <n v="-89.177099999999996"/>
    <n v="5"/>
    <n v="0"/>
    <n v="0"/>
    <n v="107"/>
    <s v="_x0000_peopl"/>
  </r>
  <r>
    <x v="6"/>
    <n v="13.692299999999999"/>
    <n v="-89.225099999999998"/>
    <n v="3"/>
    <n v="0"/>
    <n v="0"/>
    <n v="107"/>
    <s v="_x0000_peopl"/>
  </r>
  <r>
    <x v="6"/>
    <n v="13.690799999999999"/>
    <n v="-89.227400000000003"/>
    <n v="6"/>
    <n v="0"/>
    <n v="0"/>
    <n v="107"/>
    <s v="_x0000_peopl"/>
  </r>
  <r>
    <x v="6"/>
    <n v="13.691700000000001"/>
    <n v="-89.187600000000003"/>
    <n v="4"/>
    <n v="0"/>
    <n v="0"/>
    <n v="107"/>
    <s v="_x0000_peopl"/>
  </r>
  <r>
    <x v="6"/>
    <n v="13.687099999999999"/>
    <n v="-89.196399999999997"/>
    <n v="4"/>
    <n v="0"/>
    <n v="0"/>
    <n v="107"/>
    <s v="_x0000_peopl"/>
  </r>
  <r>
    <x v="6"/>
    <n v="13.6877"/>
    <n v="-89.1798"/>
    <n v="9"/>
    <n v="0"/>
    <n v="0"/>
    <n v="107"/>
    <s v="_x0000_peopl"/>
  </r>
  <r>
    <x v="6"/>
    <n v="13.690899999999999"/>
    <n v="-89.188599999999994"/>
    <n v="11"/>
    <n v="0"/>
    <n v="0"/>
    <n v="107"/>
    <s v="_x0000_peopl"/>
  </r>
  <r>
    <x v="6"/>
    <n v="13.6874"/>
    <n v="-89.214600000000004"/>
    <n v="10"/>
    <n v="0"/>
    <n v="0"/>
    <n v="107"/>
    <s v="_x0000_peopl"/>
  </r>
  <r>
    <x v="6"/>
    <n v="13.687200000000001"/>
    <n v="-89.213999999999999"/>
    <n v="7"/>
    <n v="0"/>
    <n v="0"/>
    <n v="107"/>
    <s v="_x0000_peopl"/>
  </r>
  <r>
    <x v="6"/>
    <n v="13.6911"/>
    <n v="-89.228700000000003"/>
    <n v="3"/>
    <n v="0"/>
    <n v="0"/>
    <n v="107"/>
    <s v="_x0000_peopl"/>
  </r>
  <r>
    <x v="6"/>
    <n v="13.676299999999999"/>
    <n v="-89.1999"/>
    <n v="3"/>
    <n v="0"/>
    <n v="0"/>
    <n v="107"/>
    <s v="_x0000_peopl"/>
  </r>
  <r>
    <x v="6"/>
    <n v="13.687200000000001"/>
    <n v="-89.196399999999997"/>
    <n v="10"/>
    <n v="0"/>
    <n v="0"/>
    <n v="107"/>
    <s v="_x0000_peopl"/>
  </r>
  <r>
    <x v="6"/>
    <n v="13.690200000000001"/>
    <n v="-89.234999999999999"/>
    <n v="6"/>
    <n v="0"/>
    <n v="0"/>
    <n v="107"/>
    <s v="_x0000_peopl"/>
  </r>
  <r>
    <x v="6"/>
    <n v="13.674099999999999"/>
    <n v="-89.252499999999998"/>
    <n v="2"/>
    <n v="0"/>
    <n v="0"/>
    <n v="107"/>
    <s v="_x0000_peopl"/>
  </r>
  <r>
    <x v="6"/>
    <n v="13.6877"/>
    <n v="-89.181399999999996"/>
    <n v="7"/>
    <n v="0"/>
    <n v="0"/>
    <n v="107"/>
    <s v="_x0000_peopl"/>
  </r>
  <r>
    <x v="6"/>
    <n v="13.6959"/>
    <n v="-89.172899999999998"/>
    <n v="2"/>
    <n v="0"/>
    <n v="0"/>
    <n v="107"/>
    <s v="_x0000_peopl"/>
  </r>
  <r>
    <x v="6"/>
    <n v="13.6905"/>
    <n v="-89.233999999999995"/>
    <n v="3"/>
    <n v="0"/>
    <n v="0"/>
    <n v="107"/>
    <s v="_x0000_peopl"/>
  </r>
  <r>
    <x v="6"/>
    <n v="13.692500000000001"/>
    <n v="-89.183899999999994"/>
    <n v="5"/>
    <n v="0"/>
    <n v="0"/>
    <n v="107"/>
    <s v="_x0000_peopl"/>
  </r>
  <r>
    <x v="6"/>
    <n v="13.6907"/>
    <n v="-89.185900000000004"/>
    <n v="7"/>
    <n v="0"/>
    <n v="0"/>
    <n v="107"/>
    <s v="_x0000_peopl"/>
  </r>
  <r>
    <x v="6"/>
    <n v="13.6892"/>
    <n v="-89.185000000000002"/>
    <n v="6"/>
    <n v="0"/>
    <n v="0"/>
    <n v="107"/>
    <s v="_x0000_peopl"/>
  </r>
  <r>
    <x v="6"/>
    <n v="13.6755"/>
    <n v="-89.202200000000005"/>
    <n v="6"/>
    <n v="0"/>
    <n v="0"/>
    <n v="107"/>
    <s v="_x0000_peopl"/>
  </r>
  <r>
    <x v="6"/>
    <n v="13.692399999999999"/>
    <n v="-89.223699999999994"/>
    <n v="3"/>
    <n v="0"/>
    <n v="0"/>
    <n v="107"/>
    <s v="_x0000_peopl"/>
  </r>
  <r>
    <x v="6"/>
    <n v="13.674300000000001"/>
    <n v="-89.199399999999997"/>
    <n v="12"/>
    <n v="0"/>
    <n v="0"/>
    <n v="107"/>
    <s v="_x0000_peopl"/>
  </r>
  <r>
    <x v="6"/>
    <n v="13.684900000000001"/>
    <n v="-89.215000000000003"/>
    <n v="5"/>
    <n v="0"/>
    <n v="0"/>
    <n v="107"/>
    <s v="_x0000_peopl"/>
  </r>
  <r>
    <x v="6"/>
    <n v="13.679600000000001"/>
    <n v="-89.196700000000007"/>
    <n v="4"/>
    <n v="0"/>
    <n v="0"/>
    <n v="107"/>
    <s v="_x0000_peopl"/>
  </r>
  <r>
    <x v="6"/>
    <n v="13.692399999999999"/>
    <n v="-89.226399999999998"/>
    <n v="3"/>
    <n v="0"/>
    <n v="0"/>
    <n v="107"/>
    <s v="_x0000_peopl"/>
  </r>
  <r>
    <x v="6"/>
    <n v="13.691700000000001"/>
    <n v="-89.233900000000006"/>
    <n v="4"/>
    <n v="0"/>
    <n v="0"/>
    <n v="107"/>
    <s v="_x0000_peopl"/>
  </r>
  <r>
    <x v="6"/>
    <n v="13.689299999999999"/>
    <n v="-89.191800000000001"/>
    <n v="5"/>
    <n v="0"/>
    <n v="0"/>
    <n v="107"/>
    <s v="_x0000_peopl"/>
  </r>
  <r>
    <x v="6"/>
    <n v="13.6889"/>
    <n v="-89.205500000000001"/>
    <n v="3"/>
    <n v="0"/>
    <n v="0"/>
    <n v="107"/>
    <s v="_x0000_peopl"/>
  </r>
  <r>
    <x v="6"/>
    <n v="13.689399999999999"/>
    <n v="-89.207800000000006"/>
    <n v="3"/>
    <n v="0"/>
    <n v="0"/>
    <n v="107"/>
    <s v="_x0000_peopl"/>
  </r>
  <r>
    <x v="6"/>
    <n v="13.6873"/>
    <n v="-89.194400000000002"/>
    <n v="4"/>
    <n v="0"/>
    <n v="0"/>
    <n v="107"/>
    <s v="_x0000_peopl"/>
  </r>
  <r>
    <x v="6"/>
    <n v="13.685700000000001"/>
    <n v="-89.193899999999999"/>
    <n v="5"/>
    <n v="0"/>
    <n v="0"/>
    <n v="107"/>
    <s v="_x0000_peopl"/>
  </r>
  <r>
    <x v="6"/>
    <n v="13.691599999999999"/>
    <n v="-89.232600000000005"/>
    <n v="2"/>
    <n v="0"/>
    <n v="0"/>
    <n v="107"/>
    <s v="_x0000_peopl"/>
  </r>
  <r>
    <x v="6"/>
    <n v="13.679600000000001"/>
    <n v="-89.197299999999998"/>
    <n v="7"/>
    <n v="0"/>
    <n v="0"/>
    <n v="107"/>
    <s v="_x0000_peopl"/>
  </r>
  <r>
    <x v="6"/>
    <n v="13.6892"/>
    <n v="-89.184299999999993"/>
    <n v="4"/>
    <n v="0"/>
    <n v="0"/>
    <n v="107"/>
    <s v="_x0000_peopl"/>
  </r>
  <r>
    <x v="6"/>
    <n v="13.690099999999999"/>
    <n v="-89.184600000000003"/>
    <n v="7"/>
    <n v="0"/>
    <n v="0"/>
    <n v="107"/>
    <s v="_x0000_peopl"/>
  </r>
  <r>
    <x v="6"/>
    <n v="13.6732"/>
    <n v="-89.204400000000007"/>
    <n v="6"/>
    <n v="0"/>
    <n v="0"/>
    <n v="107"/>
    <s v="_x0000_peopl"/>
  </r>
  <r>
    <x v="6"/>
    <n v="13.6919"/>
    <n v="-89.224400000000003"/>
    <n v="2"/>
    <n v="0"/>
    <n v="0"/>
    <n v="107"/>
    <s v="_x0000_peopl"/>
  </r>
  <r>
    <x v="6"/>
    <n v="13.689"/>
    <n v="-89.229500000000002"/>
    <n v="9"/>
    <n v="0"/>
    <n v="0"/>
    <n v="107"/>
    <s v="_x0000_peopl"/>
  </r>
  <r>
    <x v="6"/>
    <n v="13.691599999999999"/>
    <n v="-89.186000000000007"/>
    <n v="3"/>
    <n v="0"/>
    <n v="0"/>
    <n v="107"/>
    <s v="_x0000_peopl"/>
  </r>
  <r>
    <x v="6"/>
    <n v="13.6883"/>
    <n v="-89.229500000000002"/>
    <n v="1"/>
    <n v="0"/>
    <n v="0"/>
    <n v="107"/>
    <s v="_x0000_peopl"/>
  </r>
  <r>
    <x v="6"/>
    <n v="13.6911"/>
    <n v="-89.233699999999999"/>
    <n v="5"/>
    <n v="0"/>
    <n v="0"/>
    <n v="107"/>
    <s v="_x0000_peopl"/>
  </r>
  <r>
    <x v="6"/>
    <n v="13.69"/>
    <n v="-89.177800000000005"/>
    <n v="4"/>
    <n v="0"/>
    <n v="0"/>
    <n v="107"/>
    <s v="_x0000_peopl"/>
  </r>
  <r>
    <x v="6"/>
    <n v="13.685700000000001"/>
    <n v="-89.212500000000006"/>
    <n v="3"/>
    <n v="0"/>
    <n v="0"/>
    <n v="107"/>
    <s v="_x0000_peopl"/>
  </r>
  <r>
    <x v="6"/>
    <n v="13.685499999999999"/>
    <n v="-89.201499999999996"/>
    <n v="2"/>
    <n v="0"/>
    <n v="0"/>
    <n v="107"/>
    <s v="_x0000_peopl"/>
  </r>
  <r>
    <x v="6"/>
    <n v="13.688700000000001"/>
    <n v="-89.204700000000003"/>
    <n v="6"/>
    <n v="0"/>
    <n v="0"/>
    <n v="107"/>
    <s v="_x0000_peopl"/>
  </r>
  <r>
    <x v="6"/>
    <n v="13.6944"/>
    <n v="-89.173199999999994"/>
    <n v="7"/>
    <n v="0"/>
    <n v="0"/>
    <n v="107"/>
    <s v="_x0000_peopl"/>
  </r>
  <r>
    <x v="6"/>
    <n v="13.6906"/>
    <n v="-89.179100000000005"/>
    <n v="4"/>
    <n v="0"/>
    <n v="0"/>
    <n v="107"/>
    <s v="_x0000_peopl"/>
  </r>
  <r>
    <x v="6"/>
    <n v="13.687799999999999"/>
    <n v="-89.215000000000003"/>
    <n v="3"/>
    <n v="0"/>
    <n v="0"/>
    <n v="107"/>
    <s v="_x0000_peopl"/>
  </r>
  <r>
    <x v="6"/>
    <n v="13.6875"/>
    <n v="-89.194299999999998"/>
    <n v="3"/>
    <n v="0"/>
    <n v="0"/>
    <n v="107"/>
    <s v="_x0000_peopl"/>
  </r>
  <r>
    <x v="6"/>
    <n v="13.6929"/>
    <n v="-89.176299999999998"/>
    <n v="8"/>
    <n v="0"/>
    <n v="0"/>
    <n v="107"/>
    <s v="_x0000_peopl"/>
  </r>
  <r>
    <x v="6"/>
    <n v="13.6957"/>
    <n v="-89.172899999999998"/>
    <n v="3"/>
    <n v="0"/>
    <n v="0"/>
    <n v="107"/>
    <s v="_x0000_peopl"/>
  </r>
  <r>
    <x v="6"/>
    <n v="13.6921"/>
    <n v="-89.2273"/>
    <n v="3"/>
    <n v="0"/>
    <n v="0"/>
    <n v="107"/>
    <s v="_x0000_peopl"/>
  </r>
  <r>
    <x v="6"/>
    <n v="13.687099999999999"/>
    <n v="-89.197199999999995"/>
    <n v="8"/>
    <n v="0"/>
    <n v="0"/>
    <n v="107"/>
    <s v="_x0000_peopl"/>
  </r>
  <r>
    <x v="6"/>
    <n v="13.6921"/>
    <n v="-89.175600000000003"/>
    <n v="4"/>
    <n v="0"/>
    <n v="0"/>
    <n v="107"/>
    <s v="_x0000_peopl"/>
  </r>
  <r>
    <x v="6"/>
    <n v="13.689399999999999"/>
    <n v="-89.228899999999996"/>
    <n v="4"/>
    <n v="0"/>
    <n v="0"/>
    <n v="107"/>
    <s v="_x0000_peopl"/>
  </r>
  <r>
    <x v="6"/>
    <n v="13.688499999999999"/>
    <n v="-89.229699999999994"/>
    <n v="5"/>
    <n v="0"/>
    <n v="0"/>
    <n v="107"/>
    <s v="_x0000_peopl"/>
  </r>
  <r>
    <x v="6"/>
    <n v="13.6913"/>
    <n v="-89.228499999999997"/>
    <n v="4"/>
    <n v="0"/>
    <n v="0"/>
    <n v="107"/>
    <s v="_x0000_peopl"/>
  </r>
  <r>
    <x v="6"/>
    <n v="13.6905"/>
    <n v="-89.235399999999998"/>
    <n v="8"/>
    <n v="0"/>
    <n v="0"/>
    <n v="107"/>
    <s v="_x0000_peopl"/>
  </r>
  <r>
    <x v="6"/>
    <n v="13.696099999999999"/>
    <n v="-89.168000000000006"/>
    <n v="6"/>
    <n v="0"/>
    <n v="0"/>
    <n v="107"/>
    <s v="_x0000_peopl"/>
  </r>
  <r>
    <x v="6"/>
    <n v="13.6746"/>
    <n v="-89.251099999999994"/>
    <n v="5"/>
    <n v="0"/>
    <n v="0"/>
    <n v="107"/>
    <s v="_x0000_peopl"/>
  </r>
  <r>
    <x v="6"/>
    <n v="13.694100000000001"/>
    <n v="-89.176400000000001"/>
    <n v="5"/>
    <n v="0"/>
    <n v="0"/>
    <n v="107"/>
    <s v="_x0000_peopl"/>
  </r>
  <r>
    <x v="6"/>
    <n v="13.6915"/>
    <n v="-89.1935"/>
    <n v="0"/>
    <n v="0"/>
    <n v="0"/>
    <n v="107"/>
    <s v="_x0000_peopl"/>
  </r>
  <r>
    <x v="6"/>
    <n v="13.687200000000001"/>
    <n v="-89.181200000000004"/>
    <n v="9"/>
    <n v="0"/>
    <n v="0"/>
    <n v="107"/>
    <s v="_x0000_peopl"/>
  </r>
  <r>
    <x v="6"/>
    <n v="13.6873"/>
    <n v="-89.179599999999994"/>
    <n v="6"/>
    <n v="0"/>
    <n v="0"/>
    <n v="107"/>
    <s v="_x0000_peopl"/>
  </r>
  <r>
    <x v="6"/>
    <n v="13.69"/>
    <n v="-89.197699999999998"/>
    <n v="5"/>
    <n v="0"/>
    <n v="0"/>
    <n v="107"/>
    <s v="_x0000_peopl"/>
  </r>
  <r>
    <x v="6"/>
    <n v="13.6906"/>
    <n v="-89.233699999999999"/>
    <n v="10"/>
    <n v="0"/>
    <n v="0"/>
    <n v="107"/>
    <s v="_x0000_peopl"/>
  </r>
  <r>
    <x v="6"/>
    <n v="13.6919"/>
    <n v="-89.179299999999998"/>
    <n v="6"/>
    <n v="0"/>
    <n v="0"/>
    <n v="107"/>
    <s v="_x0000_peopl"/>
  </r>
  <r>
    <x v="6"/>
    <n v="13.6915"/>
    <n v="-89.232799999999997"/>
    <n v="13"/>
    <n v="0"/>
    <n v="0"/>
    <n v="107"/>
    <s v="_x0000_peopl"/>
  </r>
  <r>
    <x v="6"/>
    <n v="13.6904"/>
    <n v="-89.183999999999997"/>
    <n v="4"/>
    <n v="0"/>
    <n v="0"/>
    <n v="107"/>
    <s v="_x0000_peopl"/>
  </r>
  <r>
    <x v="6"/>
    <n v="13.694599999999999"/>
    <n v="-89.174099999999996"/>
    <n v="6"/>
    <n v="0"/>
    <n v="0"/>
    <n v="107"/>
    <s v="_x0000_peopl"/>
  </r>
  <r>
    <x v="6"/>
    <n v="13.6881"/>
    <n v="-89.180899999999994"/>
    <n v="3"/>
    <n v="0"/>
    <n v="0"/>
    <n v="107"/>
    <s v="_x0000_peopl"/>
  </r>
  <r>
    <x v="6"/>
    <n v="13.689299999999999"/>
    <n v="-89.206599999999995"/>
    <n v="8"/>
    <n v="0"/>
    <n v="0"/>
    <n v="107"/>
    <s v="_x0000_peopl"/>
  </r>
  <r>
    <x v="6"/>
    <n v="13.688000000000001"/>
    <n v="-89.205500000000001"/>
    <n v="3"/>
    <n v="0"/>
    <n v="0"/>
    <n v="107"/>
    <s v="_x0000_peopl"/>
  </r>
  <r>
    <x v="6"/>
    <n v="13.679500000000001"/>
    <n v="-89.197299999999998"/>
    <n v="6"/>
    <n v="0"/>
    <n v="0"/>
    <n v="107"/>
    <s v="_x0000_peopl"/>
  </r>
  <r>
    <x v="6"/>
    <n v="13.690799999999999"/>
    <n v="-89.195499999999996"/>
    <n v="3"/>
    <n v="0"/>
    <n v="0"/>
    <n v="107"/>
    <s v="_x0000_peopl"/>
  </r>
  <r>
    <x v="6"/>
    <n v="13.6912"/>
    <n v="-89.219499999999996"/>
    <n v="6"/>
    <n v="0"/>
    <n v="0"/>
    <n v="107"/>
    <s v="_x0000_peopl"/>
  </r>
  <r>
    <x v="6"/>
    <n v="13.692299999999999"/>
    <n v="-89.174899999999994"/>
    <n v="2"/>
    <n v="0"/>
    <n v="0"/>
    <n v="107"/>
    <s v="_x0000_peopl"/>
  </r>
  <r>
    <x v="6"/>
    <n v="13.6751"/>
    <n v="-89.251900000000006"/>
    <n v="5"/>
    <n v="0"/>
    <n v="0"/>
    <n v="107"/>
    <s v="_x0000_peopl"/>
  </r>
  <r>
    <x v="6"/>
    <n v="13.6913"/>
    <n v="-89.228800000000007"/>
    <n v="2"/>
    <n v="0"/>
    <n v="0"/>
    <n v="107"/>
    <s v="_x0000_peopl"/>
  </r>
  <r>
    <x v="6"/>
    <n v="13.6873"/>
    <n v="-89.194500000000005"/>
    <n v="5"/>
    <n v="0"/>
    <n v="0"/>
    <n v="107"/>
    <s v="_x0000_peopl"/>
  </r>
  <r>
    <x v="6"/>
    <n v="13.6966"/>
    <n v="-89.172200000000004"/>
    <n v="3"/>
    <n v="0"/>
    <n v="0"/>
    <n v="107"/>
    <s v="_x0000_peopl"/>
  </r>
  <r>
    <x v="6"/>
    <n v="13.689"/>
    <n v="-89.180800000000005"/>
    <n v="4"/>
    <n v="0"/>
    <n v="0"/>
    <n v="107"/>
    <s v="_x0000_peopl"/>
  </r>
  <r>
    <x v="6"/>
    <n v="13.686999999999999"/>
    <n v="-89.197199999999995"/>
    <n v="6"/>
    <n v="0"/>
    <n v="0"/>
    <n v="107"/>
    <s v="_x0000_peopl"/>
  </r>
  <r>
    <x v="6"/>
    <n v="13.691700000000001"/>
    <n v="-89.186400000000006"/>
    <n v="4"/>
    <n v="0"/>
    <n v="0"/>
    <n v="107"/>
    <s v="_x0000_peopl"/>
  </r>
  <r>
    <x v="6"/>
    <n v="13.690099999999999"/>
    <n v="-89.177400000000006"/>
    <n v="7"/>
    <n v="0"/>
    <n v="0"/>
    <n v="107"/>
    <s v="_x0000_peopl"/>
  </r>
  <r>
    <x v="6"/>
    <n v="13.6883"/>
    <n v="-89.215299999999999"/>
    <n v="3"/>
    <n v="0"/>
    <n v="0"/>
    <n v="107"/>
    <s v="_x0000_peopl"/>
  </r>
  <r>
    <x v="6"/>
    <n v="13.6745"/>
    <n v="-89.251800000000003"/>
    <n v="8"/>
    <n v="0"/>
    <n v="0"/>
    <n v="107"/>
    <s v="_x0000_peopl"/>
  </r>
  <r>
    <x v="6"/>
    <n v="13.6904"/>
    <n v="-89.195700000000002"/>
    <n v="4"/>
    <n v="0"/>
    <n v="0"/>
    <n v="107"/>
    <s v="_x0000_peopl"/>
  </r>
  <r>
    <x v="6"/>
    <n v="13.6875"/>
    <n v="-89.2166"/>
    <n v="2"/>
    <n v="0"/>
    <n v="0"/>
    <n v="107"/>
    <s v="_x0000_peopl"/>
  </r>
  <r>
    <x v="6"/>
    <n v="13.691700000000001"/>
    <n v="-89.226500000000001"/>
    <n v="4"/>
    <n v="0"/>
    <n v="0"/>
    <n v="107"/>
    <s v="_x0000_peopl"/>
  </r>
  <r>
    <x v="6"/>
    <n v="13.6913"/>
    <n v="-89.2333"/>
    <n v="4"/>
    <n v="0"/>
    <n v="0"/>
    <n v="107"/>
    <s v="_x0000_peopl"/>
  </r>
  <r>
    <x v="6"/>
    <n v="13.695600000000001"/>
    <n v="-89.173000000000002"/>
    <n v="5"/>
    <n v="0"/>
    <n v="0"/>
    <n v="107"/>
    <s v="_x0000_peopl"/>
  </r>
  <r>
    <x v="6"/>
    <n v="13.6873"/>
    <n v="-89.195499999999996"/>
    <n v="4"/>
    <n v="0"/>
    <n v="0"/>
    <n v="107"/>
    <s v="_x0000_peopl"/>
  </r>
  <r>
    <x v="6"/>
    <n v="13.6853"/>
    <n v="-89.193799999999996"/>
    <n v="3"/>
    <n v="0"/>
    <n v="0"/>
    <n v="107"/>
    <s v="_x0000_peopl"/>
  </r>
  <r>
    <x v="6"/>
    <n v="13.692399999999999"/>
    <n v="-89.2239"/>
    <n v="7"/>
    <n v="0"/>
    <n v="0"/>
    <n v="107"/>
    <s v="_x0000_peopl"/>
  </r>
  <r>
    <x v="6"/>
    <n v="13.695499999999999"/>
    <n v="-89.174599999999998"/>
    <n v="7"/>
    <n v="0"/>
    <n v="0"/>
    <n v="107"/>
    <s v="_x0000_peopl"/>
  </r>
  <r>
    <x v="6"/>
    <n v="13.689299999999999"/>
    <n v="-89.235699999999994"/>
    <n v="6"/>
    <n v="0"/>
    <n v="0"/>
    <n v="107"/>
    <s v="_x0000_peopl"/>
  </r>
  <r>
    <x v="6"/>
    <n v="13.6966"/>
    <n v="-89.171599999999998"/>
    <n v="2"/>
    <n v="0"/>
    <n v="0"/>
    <n v="107"/>
    <s v="_x0000_peopl"/>
  </r>
  <r>
    <x v="6"/>
    <n v="13.674300000000001"/>
    <n v="-89.252200000000002"/>
    <n v="6"/>
    <n v="0"/>
    <n v="0"/>
    <n v="107"/>
    <s v="_x0000_peopl"/>
  </r>
  <r>
    <x v="6"/>
    <n v="13.689"/>
    <n v="-89.190200000000004"/>
    <n v="5"/>
    <n v="0"/>
    <n v="0"/>
    <n v="107"/>
    <s v="_x0000_peopl"/>
  </r>
  <r>
    <x v="6"/>
    <n v="13.6942"/>
    <n v="-89.175399999999996"/>
    <n v="2"/>
    <n v="0"/>
    <n v="0"/>
    <n v="107"/>
    <s v="_x0000_peopl"/>
  </r>
  <r>
    <x v="6"/>
    <n v="13.6875"/>
    <n v="-89.197000000000003"/>
    <n v="5"/>
    <n v="0"/>
    <n v="0"/>
    <n v="107"/>
    <s v="_x0000_peopl"/>
  </r>
  <r>
    <x v="6"/>
    <n v="13.6911"/>
    <n v="-89.233400000000003"/>
    <n v="6"/>
    <n v="0"/>
    <n v="0"/>
    <n v="107"/>
    <s v="_x0000_peopl"/>
  </r>
  <r>
    <x v="6"/>
    <n v="13.6958"/>
    <n v="-89.172300000000007"/>
    <n v="3"/>
    <n v="0"/>
    <n v="0"/>
    <n v="107"/>
    <s v="_x0000_peopl"/>
  </r>
  <r>
    <x v="6"/>
    <n v="13.690099999999999"/>
    <n v="-89.188699999999997"/>
    <n v="5"/>
    <n v="0"/>
    <n v="0"/>
    <n v="107"/>
    <s v="_x0000_peopl"/>
  </r>
  <r>
    <x v="6"/>
    <n v="13.691800000000001"/>
    <n v="-89.185500000000005"/>
    <n v="5"/>
    <n v="0"/>
    <n v="0"/>
    <n v="107"/>
    <s v="_x0000_peopl"/>
  </r>
  <r>
    <x v="6"/>
    <n v="13.692"/>
    <n v="-89.178700000000006"/>
    <n v="2"/>
    <n v="0"/>
    <n v="0"/>
    <n v="107"/>
    <s v="_x0000_peopl"/>
  </r>
  <r>
    <x v="6"/>
    <n v="13.684900000000001"/>
    <n v="-89.202799999999996"/>
    <n v="7"/>
    <n v="0"/>
    <n v="0"/>
    <n v="107"/>
    <s v="_x0000_peopl"/>
  </r>
  <r>
    <x v="6"/>
    <n v="13.679500000000001"/>
    <n v="-89.196600000000004"/>
    <n v="5"/>
    <n v="0"/>
    <n v="0"/>
    <n v="107"/>
    <s v="_x0000_peopl"/>
  </r>
  <r>
    <x v="6"/>
    <n v="13.6904"/>
    <n v="-89.188999999999993"/>
    <n v="6"/>
    <n v="0"/>
    <n v="0"/>
    <n v="107"/>
    <s v="_x0000_peopl"/>
  </r>
  <r>
    <x v="6"/>
    <n v="13.6897"/>
    <n v="-89.193899999999999"/>
    <n v="5"/>
    <n v="0"/>
    <n v="0"/>
    <n v="107"/>
    <s v="_x0000_peopl"/>
  </r>
  <r>
    <x v="6"/>
    <n v="13.690200000000001"/>
    <n v="-89.186599999999999"/>
    <n v="4"/>
    <n v="0"/>
    <n v="0"/>
    <n v="107"/>
    <s v="_x0000_peopl"/>
  </r>
  <r>
    <x v="6"/>
    <n v="13.6874"/>
    <n v="-89.215900000000005"/>
    <n v="4"/>
    <n v="0"/>
    <n v="0"/>
    <n v="107"/>
    <s v="_x0000_peopl"/>
  </r>
  <r>
    <x v="6"/>
    <n v="13.691700000000001"/>
    <n v="-89.220500000000001"/>
    <n v="1"/>
    <n v="0"/>
    <n v="0"/>
    <n v="107"/>
    <s v="_x0000_peopl"/>
  </r>
  <r>
    <x v="6"/>
    <n v="13.6906"/>
    <n v="-89.227800000000002"/>
    <n v="6"/>
    <n v="0"/>
    <n v="0"/>
    <n v="107"/>
    <s v="_x0000_peopl"/>
  </r>
  <r>
    <x v="6"/>
    <n v="13.691000000000001"/>
    <n v="-89.233099999999993"/>
    <n v="4"/>
    <n v="0"/>
    <n v="0"/>
    <n v="107"/>
    <s v="_x0000_peopl"/>
  </r>
  <r>
    <x v="6"/>
    <n v="13.6904"/>
    <n v="-89.227999999999994"/>
    <n v="6"/>
    <n v="0"/>
    <n v="0"/>
    <n v="107"/>
    <s v="_x0000_peopl"/>
  </r>
  <r>
    <x v="6"/>
    <n v="13.690099999999999"/>
    <n v="-89.236099999999993"/>
    <n v="5"/>
    <n v="0"/>
    <n v="0"/>
    <n v="107"/>
    <s v="_x0000_peopl"/>
  </r>
  <r>
    <x v="6"/>
    <n v="13.6938"/>
    <n v="-89.176299999999998"/>
    <n v="7"/>
    <n v="0"/>
    <n v="0"/>
    <n v="107"/>
    <s v="_x0000_peopl"/>
  </r>
  <r>
    <x v="6"/>
    <n v="13.6858"/>
    <n v="-89.213999999999999"/>
    <n v="11"/>
    <n v="0"/>
    <n v="0"/>
    <n v="107"/>
    <s v="_x0000_peopl"/>
  </r>
  <r>
    <x v="6"/>
    <n v="13.693199999999999"/>
    <n v="-89.188599999999994"/>
    <n v="9"/>
    <n v="0"/>
    <n v="0"/>
    <n v="107"/>
    <s v="_x0000_peopl"/>
  </r>
  <r>
    <x v="6"/>
    <n v="13.6889"/>
    <n v="-89.205500000000001"/>
    <n v="6"/>
    <n v="0"/>
    <n v="0"/>
    <n v="107"/>
    <s v="_x0000_peopl"/>
  </r>
  <r>
    <x v="6"/>
    <n v="13.6913"/>
    <n v="-89.189499999999995"/>
    <n v="3"/>
    <n v="0"/>
    <n v="0"/>
    <n v="107"/>
    <s v="_x0000_peopl"/>
  </r>
  <r>
    <x v="6"/>
    <n v="13.6915"/>
    <n v="-89.2346"/>
    <n v="3"/>
    <n v="0"/>
    <n v="0"/>
    <n v="107"/>
    <s v="_x0000_peopl"/>
  </r>
  <r>
    <x v="6"/>
    <n v="13.6874"/>
    <n v="-89.194699999999997"/>
    <n v="5"/>
    <n v="0"/>
    <n v="0"/>
    <n v="107"/>
    <s v="_x0000_peopl"/>
  </r>
  <r>
    <x v="6"/>
    <n v="13.691599999999999"/>
    <n v="-89.221000000000004"/>
    <n v="2"/>
    <n v="0"/>
    <n v="0"/>
    <n v="107"/>
    <s v="_x0000_peopl"/>
  </r>
  <r>
    <x v="6"/>
    <n v="13.686999999999999"/>
    <n v="-89.182500000000005"/>
    <n v="5"/>
    <n v="0"/>
    <n v="0"/>
    <n v="107"/>
    <s v="_x0000_peopl"/>
  </r>
  <r>
    <x v="6"/>
    <n v="13.6785"/>
    <n v="-89.196299999999994"/>
    <n v="5"/>
    <n v="0"/>
    <n v="0"/>
    <n v="107"/>
    <s v="_x0000_peopl"/>
  </r>
  <r>
    <x v="6"/>
    <n v="13.691000000000001"/>
    <n v="-89.229200000000006"/>
    <n v="5"/>
    <n v="0"/>
    <n v="0"/>
    <n v="107"/>
    <s v="_x0000_peopl"/>
  </r>
  <r>
    <x v="6"/>
    <n v="13.689399999999999"/>
    <n v="-89.180400000000006"/>
    <n v="9"/>
    <n v="0"/>
    <n v="0"/>
    <n v="107"/>
    <s v="_x0000_peopl"/>
  </r>
  <r>
    <x v="6"/>
    <n v="13.696899999999999"/>
    <n v="-89.171700000000001"/>
    <n v="6"/>
    <n v="0"/>
    <n v="0"/>
    <n v="107"/>
    <s v="_x0000_peopl"/>
  </r>
  <r>
    <x v="6"/>
    <n v="13.6904"/>
    <n v="-89.186899999999994"/>
    <n v="2"/>
    <n v="0"/>
    <n v="0"/>
    <n v="107"/>
    <s v="_x0000_peopl"/>
  </r>
  <r>
    <x v="6"/>
    <n v="13.6944"/>
    <n v="-89.186300000000003"/>
    <n v="6"/>
    <n v="0"/>
    <n v="0"/>
    <n v="107"/>
    <s v="_x0000_peopl"/>
  </r>
  <r>
    <x v="6"/>
    <n v="13.6846"/>
    <n v="-89.216800000000006"/>
    <n v="5"/>
    <n v="0"/>
    <n v="0"/>
    <n v="107"/>
    <s v="_x0000_peopl"/>
  </r>
  <r>
    <x v="6"/>
    <n v="13.6927"/>
    <n v="-89.223699999999994"/>
    <n v="3"/>
    <n v="0"/>
    <n v="0"/>
    <n v="107"/>
    <s v="_x0000_peopl"/>
  </r>
  <r>
    <x v="6"/>
    <n v="13.6868"/>
    <n v="-89.213300000000004"/>
    <n v="6"/>
    <n v="0"/>
    <n v="0"/>
    <n v="107"/>
    <s v="_x0000_peopl"/>
  </r>
  <r>
    <x v="6"/>
    <n v="13.692500000000001"/>
    <n v="-89.225499999999997"/>
    <n v="6"/>
    <n v="0"/>
    <n v="0"/>
    <n v="107"/>
    <s v="_x0000_peopl"/>
  </r>
  <r>
    <x v="6"/>
    <n v="13.692600000000001"/>
    <n v="-89.182900000000004"/>
    <n v="4"/>
    <n v="0"/>
    <n v="0"/>
    <n v="107"/>
    <s v="_x0000_peopl"/>
  </r>
  <r>
    <x v="6"/>
    <n v="13.6873"/>
    <n v="-89.182500000000005"/>
    <n v="6"/>
    <n v="0"/>
    <n v="0"/>
    <n v="107"/>
    <s v="_x0000_peopl"/>
  </r>
  <r>
    <x v="6"/>
    <n v="13.692"/>
    <n v="-89.194199999999995"/>
    <n v="5"/>
    <n v="0"/>
    <n v="0"/>
    <n v="107"/>
    <s v="_x0000_peopl"/>
  </r>
  <r>
    <x v="6"/>
    <n v="13.691599999999999"/>
    <n v="-89.233599999999996"/>
    <n v="3"/>
    <n v="0"/>
    <n v="0"/>
    <n v="107"/>
    <s v="_x0000_peopl"/>
  </r>
  <r>
    <x v="6"/>
    <n v="13.694800000000001"/>
    <n v="-89.175200000000004"/>
    <n v="6"/>
    <n v="0"/>
    <n v="0"/>
    <n v="107"/>
    <s v="_x0000_peopl"/>
  </r>
  <r>
    <x v="6"/>
    <n v="13.691599999999999"/>
    <n v="-89.225499999999997"/>
    <n v="7"/>
    <n v="0"/>
    <n v="0"/>
    <n v="107"/>
    <s v="_x0000_peopl"/>
  </r>
  <r>
    <x v="6"/>
    <n v="13.6852"/>
    <n v="-89.202399999999997"/>
    <n v="1"/>
    <n v="0"/>
    <n v="0"/>
    <n v="107"/>
    <s v="_x0000_peopl"/>
  </r>
  <r>
    <x v="6"/>
    <n v="13.6882"/>
    <n v="-89.205699999999993"/>
    <n v="4"/>
    <n v="0"/>
    <n v="0"/>
    <n v="107"/>
    <s v="_x0000_peopl"/>
  </r>
  <r>
    <x v="6"/>
    <n v="13.688700000000001"/>
    <n v="-89.229399999999998"/>
    <n v="3"/>
    <n v="0"/>
    <n v="0"/>
    <n v="107"/>
    <s v="_x0000_peopl"/>
  </r>
  <r>
    <x v="6"/>
    <n v="13.68"/>
    <n v="-89.196399999999997"/>
    <n v="7"/>
    <n v="0"/>
    <n v="0"/>
    <n v="107"/>
    <s v="_x0000_peopl"/>
  </r>
  <r>
    <x v="6"/>
    <n v="13.686400000000001"/>
    <n v="-89.212599999999995"/>
    <n v="4"/>
    <n v="0"/>
    <n v="0"/>
    <n v="107"/>
    <s v="_x0000_peopl"/>
  </r>
  <r>
    <x v="6"/>
    <n v="13.6854"/>
    <n v="-89.202399999999997"/>
    <n v="6"/>
    <n v="0"/>
    <n v="0"/>
    <n v="107"/>
    <s v="_x0000_peopl"/>
  </r>
  <r>
    <x v="6"/>
    <n v="13.692600000000001"/>
    <n v="-89.189599999999999"/>
    <n v="4"/>
    <n v="0"/>
    <n v="0"/>
    <n v="107"/>
    <s v="_x0000_peopl"/>
  </r>
  <r>
    <x v="6"/>
    <n v="13.6934"/>
    <n v="-89.188299999999998"/>
    <n v="5"/>
    <n v="0"/>
    <n v="0"/>
    <n v="107"/>
    <s v="_x0000_peopl"/>
  </r>
  <r>
    <x v="6"/>
    <n v="13.6915"/>
    <n v="-89.2333"/>
    <n v="3"/>
    <n v="0"/>
    <n v="0"/>
    <n v="107"/>
    <s v="_x0000_peopl"/>
  </r>
  <r>
    <x v="6"/>
    <n v="13.6877"/>
    <n v="-89.195499999999996"/>
    <n v="10"/>
    <n v="0"/>
    <n v="0"/>
    <n v="107"/>
    <s v="_x0000_peopl"/>
  </r>
  <r>
    <x v="6"/>
    <n v="13.6897"/>
    <n v="-89.228800000000007"/>
    <n v="2"/>
    <n v="0"/>
    <n v="0"/>
    <n v="107"/>
    <s v="_x0000_peopl"/>
  </r>
  <r>
    <x v="6"/>
    <n v="13.691800000000001"/>
    <n v="-89.186000000000007"/>
    <n v="7"/>
    <n v="0"/>
    <n v="0"/>
    <n v="107"/>
    <s v="_x0000_peopl"/>
  </r>
  <r>
    <x v="6"/>
    <n v="13.677099999999999"/>
    <n v="-89.247600000000006"/>
    <n v="7"/>
    <n v="0"/>
    <n v="0"/>
    <n v="107"/>
    <s v="_x0000_peopl"/>
  </r>
  <r>
    <x v="6"/>
    <n v="13.6913"/>
    <n v="-89.186000000000007"/>
    <n v="4"/>
    <n v="0"/>
    <n v="0"/>
    <n v="107"/>
    <s v="_x0000_peopl"/>
  </r>
  <r>
    <x v="6"/>
    <n v="13.685499999999999"/>
    <n v="-89.1935"/>
    <n v="7"/>
    <n v="0"/>
    <n v="0"/>
    <n v="107"/>
    <s v="_x0000_peopl"/>
  </r>
  <r>
    <x v="6"/>
    <n v="13.685"/>
    <n v="-89.214100000000002"/>
    <n v="6"/>
    <n v="0"/>
    <n v="0"/>
    <n v="107"/>
    <s v="_x0000_peopl"/>
  </r>
  <r>
    <x v="6"/>
    <n v="13.686"/>
    <n v="-89.194000000000003"/>
    <n v="6"/>
    <n v="0"/>
    <n v="0"/>
    <n v="107"/>
    <s v="_x0000_peopl"/>
  </r>
  <r>
    <x v="6"/>
    <n v="13.688599999999999"/>
    <n v="-89.217200000000005"/>
    <n v="7"/>
    <n v="0"/>
    <n v="0"/>
    <n v="107"/>
    <s v="_x0000_peopl"/>
  </r>
  <r>
    <x v="6"/>
    <n v="13.6921"/>
    <n v="-89.223399999999998"/>
    <n v="6"/>
    <n v="0"/>
    <n v="0"/>
    <n v="107"/>
    <s v="_x0000_peopl"/>
  </r>
  <r>
    <x v="6"/>
    <n v="13.693199999999999"/>
    <n v="-89.176699999999997"/>
    <n v="3"/>
    <n v="0"/>
    <n v="0"/>
    <n v="107"/>
    <s v="_x0000_peopl"/>
  </r>
  <r>
    <x v="6"/>
    <n v="13.6915"/>
    <n v="-89.232799999999997"/>
    <n v="3"/>
    <n v="0"/>
    <n v="0"/>
    <n v="107"/>
    <s v="_x0000_peopl"/>
  </r>
  <r>
    <x v="6"/>
    <n v="13.6922"/>
    <n v="-89.226299999999995"/>
    <n v="7"/>
    <n v="0"/>
    <n v="0"/>
    <n v="107"/>
    <s v="_x0000_peopl"/>
  </r>
  <r>
    <x v="6"/>
    <n v="13.689399999999999"/>
    <n v="-89.216700000000003"/>
    <n v="8"/>
    <n v="0"/>
    <n v="0"/>
    <n v="107"/>
    <s v="_x0000_peopl"/>
  </r>
  <r>
    <x v="6"/>
    <n v="13.6881"/>
    <n v="-89.189899999999994"/>
    <n v="7"/>
    <n v="0"/>
    <n v="0"/>
    <n v="107"/>
    <s v="_x0000_peopl"/>
  </r>
  <r>
    <x v="6"/>
    <n v="13.6896"/>
    <n v="-89.1858"/>
    <n v="2"/>
    <n v="0"/>
    <n v="0"/>
    <n v="107"/>
    <s v="_x0000_peopl"/>
  </r>
  <r>
    <x v="6"/>
    <n v="13.6959"/>
    <n v="-89.1721"/>
    <n v="7"/>
    <n v="0"/>
    <n v="0"/>
    <n v="107"/>
    <s v="_x0000_peopl"/>
  </r>
  <r>
    <x v="6"/>
    <n v="13.689399999999999"/>
    <n v="-89.206500000000005"/>
    <n v="0"/>
    <n v="0"/>
    <n v="0"/>
    <n v="107"/>
    <s v="_x0000_peopl"/>
  </r>
  <r>
    <x v="6"/>
    <n v="13.6859"/>
    <n v="-89.212599999999995"/>
    <n v="7"/>
    <n v="0"/>
    <n v="0"/>
    <n v="107"/>
    <s v="_x0000_peopl"/>
  </r>
  <r>
    <x v="6"/>
    <n v="13.6873"/>
    <n v="-89.211200000000005"/>
    <n v="4"/>
    <n v="0"/>
    <n v="0"/>
    <n v="107"/>
    <s v="_x0000_peopl"/>
  </r>
  <r>
    <x v="6"/>
    <n v="13.694699999999999"/>
    <n v="-89.174300000000002"/>
    <n v="11"/>
    <n v="0"/>
    <n v="0"/>
    <n v="107"/>
    <s v="_x0000_peopl"/>
  </r>
  <r>
    <x v="6"/>
    <n v="13.674899999999999"/>
    <n v="-89.250900000000001"/>
    <n v="2"/>
    <n v="0"/>
    <n v="0"/>
    <n v="107"/>
    <s v="_x0000_peopl"/>
  </r>
  <r>
    <x v="6"/>
    <n v="13.6868"/>
    <n v="-89.201499999999996"/>
    <n v="4"/>
    <n v="0"/>
    <n v="0"/>
    <n v="107"/>
    <s v="_x0000_peopl"/>
  </r>
  <r>
    <x v="6"/>
    <n v="13.6869"/>
    <n v="-89.194699999999997"/>
    <n v="3"/>
    <n v="0"/>
    <n v="0"/>
    <n v="107"/>
    <s v="_x0000_peopl"/>
  </r>
  <r>
    <x v="6"/>
    <n v="13.6914"/>
    <n v="-89.220200000000006"/>
    <n v="3"/>
    <n v="0"/>
    <n v="0"/>
    <n v="107"/>
    <s v="_x0000_peopl"/>
  </r>
  <r>
    <x v="6"/>
    <n v="13.6883"/>
    <n v="-89.190700000000007"/>
    <n v="8"/>
    <n v="0"/>
    <n v="0"/>
    <n v="107"/>
    <s v="_x0000_peopl"/>
  </r>
  <r>
    <x v="6"/>
    <n v="13.6912"/>
    <n v="-89.234700000000004"/>
    <n v="10"/>
    <n v="0"/>
    <n v="0"/>
    <n v="107"/>
    <s v="_x0000_peopl"/>
  </r>
  <r>
    <x v="6"/>
    <n v="13.69"/>
    <n v="-89.177800000000005"/>
    <n v="6"/>
    <n v="0"/>
    <n v="0"/>
    <n v="107"/>
    <s v="_x0000_peopl"/>
  </r>
  <r>
    <x v="6"/>
    <n v="13.6876"/>
    <n v="-89.191999999999993"/>
    <n v="5"/>
    <n v="0"/>
    <n v="0"/>
    <n v="107"/>
    <s v="_x0000_peopl"/>
  </r>
  <r>
    <x v="6"/>
    <n v="13.6769"/>
    <n v="-89.2483"/>
    <n v="7"/>
    <n v="0"/>
    <n v="0"/>
    <n v="107"/>
    <s v="_x0000_peopl"/>
  </r>
  <r>
    <x v="6"/>
    <n v="13.687900000000001"/>
    <n v="-89.215400000000002"/>
    <n v="3"/>
    <n v="0"/>
    <n v="0"/>
    <n v="107"/>
    <s v="_x0000_peopl"/>
  </r>
  <r>
    <x v="6"/>
    <n v="13.6944"/>
    <n v="-89.188699999999997"/>
    <n v="6"/>
    <n v="0"/>
    <n v="0"/>
    <n v="107"/>
    <s v="_x0000_peopl"/>
  </r>
  <r>
    <x v="6"/>
    <n v="13.6861"/>
    <n v="-89.212000000000003"/>
    <n v="2"/>
    <n v="0"/>
    <n v="0"/>
    <n v="107"/>
    <s v="_x0000_peopl"/>
  </r>
  <r>
    <x v="6"/>
    <n v="13.690200000000001"/>
    <n v="-89.234999999999999"/>
    <n v="5"/>
    <n v="0"/>
    <n v="0"/>
    <n v="107"/>
    <s v="_x0000_peopl"/>
  </r>
  <r>
    <x v="6"/>
    <n v="13.6914"/>
    <n v="-89.227000000000004"/>
    <n v="2"/>
    <n v="0"/>
    <n v="0"/>
    <n v="107"/>
    <s v="_x0000_peopl"/>
  </r>
  <r>
    <x v="6"/>
    <n v="13.6915"/>
    <n v="-89.233500000000006"/>
    <n v="5"/>
    <n v="0"/>
    <n v="0"/>
    <n v="107"/>
    <s v="_x0000_peopl"/>
  </r>
  <r>
    <x v="6"/>
    <n v="13.6892"/>
    <n v="-89.184200000000004"/>
    <n v="5"/>
    <n v="0"/>
    <n v="0"/>
    <n v="107"/>
    <s v="_x0000_peopl"/>
  </r>
  <r>
    <x v="6"/>
    <n v="13.674899999999999"/>
    <n v="-89.252300000000005"/>
    <n v="6"/>
    <n v="0"/>
    <n v="0"/>
    <n v="107"/>
    <s v="_x0000_peopl"/>
  </r>
  <r>
    <x v="6"/>
    <n v="13.687200000000001"/>
    <n v="-89.182900000000004"/>
    <n v="4"/>
    <n v="0"/>
    <n v="0"/>
    <n v="107"/>
    <s v="_x0000_peopl"/>
  </r>
  <r>
    <x v="6"/>
    <n v="13.6769"/>
    <n v="-89.199100000000001"/>
    <n v="8"/>
    <n v="0"/>
    <n v="0"/>
    <n v="107"/>
    <s v="_x0000_peopl"/>
  </r>
  <r>
    <x v="6"/>
    <n v="13.6724"/>
    <n v="-89.204800000000006"/>
    <n v="7"/>
    <n v="0"/>
    <n v="0"/>
    <n v="107"/>
    <s v="_x0000_peopl"/>
  </r>
  <r>
    <x v="6"/>
    <n v="13.674200000000001"/>
    <n v="-89.199200000000005"/>
    <n v="3"/>
    <n v="0"/>
    <n v="0"/>
    <n v="107"/>
    <s v="_x0000_peopl"/>
  </r>
  <r>
    <x v="6"/>
    <n v="13.694800000000001"/>
    <n v="-89.182699999999997"/>
    <n v="2"/>
    <n v="0"/>
    <n v="0"/>
    <n v="107"/>
    <s v="_x0000_peopl"/>
  </r>
  <r>
    <x v="6"/>
    <n v="13.6881"/>
    <n v="-89.180899999999994"/>
    <n v="6"/>
    <n v="0"/>
    <n v="0"/>
    <n v="107"/>
    <s v="_x0000_peopl"/>
  </r>
  <r>
    <x v="6"/>
    <n v="13.6867"/>
    <n v="-89.214699999999993"/>
    <n v="1"/>
    <n v="0"/>
    <n v="0"/>
    <n v="107"/>
    <s v="_x0000_peopl"/>
  </r>
  <r>
    <x v="6"/>
    <n v="13.691700000000001"/>
    <n v="-89.179599999999994"/>
    <n v="4"/>
    <n v="0"/>
    <n v="0"/>
    <n v="107"/>
    <s v="_x0000_peopl"/>
  </r>
  <r>
    <x v="6"/>
    <n v="13.6851"/>
    <n v="-89.216300000000004"/>
    <n v="1"/>
    <n v="0"/>
    <n v="0"/>
    <n v="107"/>
    <s v="_x0000_peopl"/>
  </r>
  <r>
    <x v="6"/>
    <n v="13.6869"/>
    <n v="-89.197400000000002"/>
    <n v="9"/>
    <n v="0"/>
    <n v="0"/>
    <n v="107"/>
    <s v="_x0000_peopl"/>
  </r>
  <r>
    <x v="6"/>
    <n v="13.690899999999999"/>
    <n v="-89.228800000000007"/>
    <n v="4"/>
    <n v="0"/>
    <n v="0"/>
    <n v="107"/>
    <s v="_x0000_peopl"/>
  </r>
  <r>
    <x v="6"/>
    <n v="13.6899"/>
    <n v="-89.197400000000002"/>
    <n v="6"/>
    <n v="0"/>
    <n v="0"/>
    <n v="107"/>
    <s v="_x0000_peopl"/>
  </r>
  <r>
    <x v="6"/>
    <n v="13.689500000000001"/>
    <n v="-89.228800000000007"/>
    <n v="7"/>
    <n v="0"/>
    <n v="0"/>
    <n v="107"/>
    <s v="_x0000_peopl"/>
  </r>
  <r>
    <x v="6"/>
    <n v="13.6919"/>
    <n v="-89.226500000000001"/>
    <n v="7"/>
    <n v="0"/>
    <n v="0"/>
    <n v="107"/>
    <s v="_x0000_peopl"/>
  </r>
  <r>
    <x v="6"/>
    <n v="13.691000000000001"/>
    <n v="-89.228700000000003"/>
    <n v="6"/>
    <n v="0"/>
    <n v="0"/>
    <n v="107"/>
    <s v="_x0000_peopl"/>
  </r>
  <r>
    <x v="6"/>
    <n v="13.6907"/>
    <n v="-89.187299999999993"/>
    <n v="7"/>
    <n v="0"/>
    <n v="0"/>
    <n v="107"/>
    <s v="_x0000_peopl"/>
  </r>
  <r>
    <x v="6"/>
    <n v="13.6882"/>
    <n v="-89.204300000000003"/>
    <n v="5"/>
    <n v="0"/>
    <n v="0"/>
    <n v="107"/>
    <s v="_x0000_peopl"/>
  </r>
  <r>
    <x v="6"/>
    <n v="13.6913"/>
    <n v="-89.178899999999999"/>
    <n v="2"/>
    <n v="0"/>
    <n v="0"/>
    <n v="107"/>
    <s v="_x0000_peopl"/>
  </r>
  <r>
    <x v="6"/>
    <n v="13.6877"/>
    <n v="-89.180800000000005"/>
    <n v="6"/>
    <n v="0"/>
    <n v="0"/>
    <n v="107"/>
    <s v="_x0000_peopl"/>
  </r>
  <r>
    <x v="6"/>
    <n v="13.6921"/>
    <n v="-89.185000000000002"/>
    <n v="9"/>
    <n v="0"/>
    <n v="0"/>
    <n v="107"/>
    <s v="_x0000_peopl"/>
  </r>
  <r>
    <x v="6"/>
    <n v="13.689"/>
    <n v="-89.206199999999995"/>
    <n v="6"/>
    <n v="0"/>
    <n v="0"/>
    <n v="107"/>
    <s v="_x0000_peopl"/>
  </r>
  <r>
    <x v="6"/>
    <n v="13.6906"/>
    <n v="-89.194199999999995"/>
    <n v="4"/>
    <n v="0"/>
    <n v="0"/>
    <n v="107"/>
    <s v="_x0000_peopl"/>
  </r>
  <r>
    <x v="6"/>
    <n v="13.689299999999999"/>
    <n v="-89.207599999999999"/>
    <n v="2"/>
    <n v="0"/>
    <n v="0"/>
    <n v="107"/>
    <s v="_x0000_peopl"/>
  </r>
  <r>
    <x v="6"/>
    <n v="13.6914"/>
    <n v="-89.234099999999998"/>
    <n v="1"/>
    <n v="0"/>
    <n v="0"/>
    <n v="107"/>
    <s v="_x0000_peopl"/>
  </r>
  <r>
    <x v="6"/>
    <n v="13.690200000000001"/>
    <n v="-89.189700000000002"/>
    <n v="3"/>
    <n v="0"/>
    <n v="0"/>
    <n v="107"/>
    <s v="_x0000_peopl"/>
  </r>
  <r>
    <x v="6"/>
    <n v="13.680400000000001"/>
    <n v="-89.196100000000001"/>
    <n v="6"/>
    <n v="0"/>
    <n v="0"/>
    <n v="107"/>
    <s v="_x0000_peopl"/>
  </r>
  <r>
    <x v="6"/>
    <n v="13.6868"/>
    <n v="-89.211799999999997"/>
    <n v="3"/>
    <n v="0"/>
    <n v="0"/>
    <n v="107"/>
    <s v="_x0000_peopl"/>
  </r>
  <r>
    <x v="6"/>
    <n v="13.6914"/>
    <n v="-89.189400000000006"/>
    <n v="1"/>
    <n v="0"/>
    <n v="0"/>
    <n v="107"/>
    <s v="_x0000_peopl"/>
  </r>
  <r>
    <x v="6"/>
    <n v="13.686299999999999"/>
    <n v="-89.203100000000006"/>
    <n v="5"/>
    <n v="0"/>
    <n v="0"/>
    <n v="107"/>
    <s v="_x0000_peopl"/>
  </r>
  <r>
    <x v="6"/>
    <n v="13.6882"/>
    <n v="-89.229399999999998"/>
    <n v="2"/>
    <n v="0"/>
    <n v="0"/>
    <n v="107"/>
    <s v="_x0000_peopl"/>
  </r>
  <r>
    <x v="6"/>
    <n v="13.685"/>
    <n v="-89.214299999999994"/>
    <n v="9"/>
    <n v="0"/>
    <n v="0"/>
    <n v="107"/>
    <s v="_x0000_peopl"/>
  </r>
  <r>
    <x v="6"/>
    <n v="13.691599999999999"/>
    <n v="-89.227099999999993"/>
    <n v="4"/>
    <n v="0"/>
    <n v="0"/>
    <n v="107"/>
    <s v="_x0000_peopl"/>
  </r>
  <r>
    <x v="6"/>
    <n v="13.692399999999999"/>
    <n v="-89.223699999999994"/>
    <n v="3"/>
    <n v="0"/>
    <n v="0"/>
    <n v="107"/>
    <s v="_x0000_peopl"/>
  </r>
  <r>
    <x v="6"/>
    <n v="13.6906"/>
    <n v="-89.234800000000007"/>
    <n v="5"/>
    <n v="0"/>
    <n v="0"/>
    <n v="107"/>
    <s v="_x0000_peopl"/>
  </r>
  <r>
    <x v="6"/>
    <n v="13.6851"/>
    <n v="-89.216800000000006"/>
    <n v="8"/>
    <n v="0"/>
    <n v="0"/>
    <n v="107"/>
    <s v="_x0000_peopl"/>
  </r>
  <r>
    <x v="6"/>
    <n v="13.6945"/>
    <n v="-89.185400000000001"/>
    <n v="5"/>
    <n v="0"/>
    <n v="0"/>
    <n v="107"/>
    <s v="_x0000_peopl"/>
  </r>
  <r>
    <x v="6"/>
    <n v="13.6928"/>
    <n v="-89.224500000000006"/>
    <n v="4"/>
    <n v="0"/>
    <n v="0"/>
    <n v="107"/>
    <s v="_x0000_peopl"/>
  </r>
  <r>
    <x v="6"/>
    <n v="13.691700000000001"/>
    <n v="-89.228200000000001"/>
    <n v="7"/>
    <n v="0"/>
    <n v="0"/>
    <n v="107"/>
    <s v="_x0000_peopl"/>
  </r>
  <r>
    <x v="6"/>
    <n v="13.6911"/>
    <n v="-89.234200000000001"/>
    <n v="8"/>
    <n v="0"/>
    <n v="0"/>
    <n v="107"/>
    <s v="_x0000_peopl"/>
  </r>
  <r>
    <x v="6"/>
    <n v="13.6896"/>
    <n v="-89.2166"/>
    <n v="8"/>
    <n v="0"/>
    <n v="0"/>
    <n v="107"/>
    <s v="_x0000_peopl"/>
  </r>
  <r>
    <x v="6"/>
    <n v="13.694100000000001"/>
    <n v="-89.174999999999997"/>
    <n v="8"/>
    <n v="0"/>
    <n v="0"/>
    <n v="107"/>
    <s v="_x0000_peopl"/>
  </r>
  <r>
    <x v="6"/>
    <n v="13.6904"/>
    <n v="-89.234200000000001"/>
    <n v="6"/>
    <n v="0"/>
    <n v="0"/>
    <n v="107"/>
    <s v="_x0000_peopl"/>
  </r>
  <r>
    <x v="6"/>
    <n v="13.691700000000001"/>
    <n v="-89.226399999999998"/>
    <n v="3"/>
    <n v="0"/>
    <n v="0"/>
    <n v="107"/>
    <s v="_x0000_peopl"/>
  </r>
  <r>
    <x v="6"/>
    <n v="13.691599999999999"/>
    <n v="-89.226399999999998"/>
    <n v="5"/>
    <n v="0"/>
    <n v="0"/>
    <n v="107"/>
    <s v="_x0000_peopl"/>
  </r>
  <r>
    <x v="6"/>
    <n v="13.689"/>
    <n v="-89.190299999999993"/>
    <n v="5"/>
    <n v="0"/>
    <n v="0"/>
    <n v="107"/>
    <s v="_x0000_peopl"/>
  </r>
  <r>
    <x v="6"/>
    <n v="13.691700000000001"/>
    <n v="-89.178600000000003"/>
    <n v="5"/>
    <n v="0"/>
    <n v="0"/>
    <n v="107"/>
    <s v="_x0000_peopl"/>
  </r>
  <r>
    <x v="6"/>
    <n v="13.690300000000001"/>
    <n v="-89.186899999999994"/>
    <n v="7"/>
    <n v="0"/>
    <n v="0"/>
    <n v="107"/>
    <s v="_x0000_peopl"/>
  </r>
  <r>
    <x v="6"/>
    <n v="13.6852"/>
    <n v="-89.213999999999999"/>
    <n v="3"/>
    <n v="0"/>
    <n v="0"/>
    <n v="107"/>
    <s v="_x0000_peopl"/>
  </r>
  <r>
    <x v="6"/>
    <n v="13.687099999999999"/>
    <n v="-89.196299999999994"/>
    <n v="8"/>
    <n v="0"/>
    <n v="0"/>
    <n v="107"/>
    <s v="_x0000_peopl"/>
  </r>
  <r>
    <x v="6"/>
    <n v="13.6875"/>
    <n v="-89.194299999999998"/>
    <n v="8"/>
    <n v="0"/>
    <n v="0"/>
    <n v="107"/>
    <s v="_x0000_peopl"/>
  </r>
  <r>
    <x v="6"/>
    <n v="13.689"/>
    <n v="-89.214799999999997"/>
    <n v="7"/>
    <n v="0"/>
    <n v="0"/>
    <n v="107"/>
    <s v="_x0000_peopl"/>
  </r>
  <r>
    <x v="6"/>
    <n v="13.690799999999999"/>
    <n v="-89.194900000000004"/>
    <n v="7"/>
    <n v="0"/>
    <n v="0"/>
    <n v="107"/>
    <s v="_x0000_peopl"/>
  </r>
  <r>
    <x v="6"/>
    <n v="13.6869"/>
    <n v="-89.201899999999995"/>
    <n v="6"/>
    <n v="0"/>
    <n v="0"/>
    <n v="107"/>
    <s v="_x0000_peopl"/>
  </r>
  <r>
    <x v="6"/>
    <n v="13.6854"/>
    <n v="-89.193100000000001"/>
    <n v="5"/>
    <n v="0"/>
    <n v="0"/>
    <n v="107"/>
    <s v="_x0000_peopl"/>
  </r>
  <r>
    <x v="6"/>
    <n v="13.684699999999999"/>
    <n v="-89.217100000000002"/>
    <n v="6"/>
    <n v="0"/>
    <n v="0"/>
    <n v="107"/>
    <s v="_x0000_peopl"/>
  </r>
  <r>
    <x v="6"/>
    <n v="13.686400000000001"/>
    <n v="-89.216300000000004"/>
    <n v="1"/>
    <n v="0"/>
    <n v="0"/>
    <n v="107"/>
    <s v="_x0000_peopl"/>
  </r>
  <r>
    <x v="6"/>
    <n v="13.685600000000001"/>
    <n v="-89.203699999999998"/>
    <n v="6"/>
    <n v="0"/>
    <n v="0"/>
    <n v="107"/>
    <s v="_x0000_peopl"/>
  </r>
  <r>
    <x v="6"/>
    <n v="13.686500000000001"/>
    <n v="-89.203699999999998"/>
    <n v="4"/>
    <n v="0"/>
    <n v="0"/>
    <n v="107"/>
    <s v="_x0000_peopl"/>
  </r>
  <r>
    <x v="6"/>
    <n v="13.691599999999999"/>
    <n v="-89.226299999999995"/>
    <n v="6"/>
    <n v="0"/>
    <n v="0"/>
    <n v="107"/>
    <s v="_x0000_peopl"/>
  </r>
  <r>
    <x v="6"/>
    <n v="13.692299999999999"/>
    <n v="-89.194500000000005"/>
    <n v="8"/>
    <n v="0"/>
    <n v="0"/>
    <n v="107"/>
    <s v="_x0000_peopl"/>
  </r>
  <r>
    <x v="6"/>
    <n v="13.6845"/>
    <n v="-89.216499999999996"/>
    <n v="6"/>
    <n v="0"/>
    <n v="0"/>
    <n v="107"/>
    <s v="_x0000_peopl"/>
  </r>
  <r>
    <x v="6"/>
    <n v="13.692"/>
    <n v="-89.185500000000005"/>
    <n v="3"/>
    <n v="0"/>
    <n v="0"/>
    <n v="107"/>
    <s v="_x0000_peopl"/>
  </r>
  <r>
    <x v="6"/>
    <n v="13.691000000000001"/>
    <n v="-89.181200000000004"/>
    <n v="9"/>
    <n v="0"/>
    <n v="0"/>
    <n v="107"/>
    <s v="_x0000_peopl"/>
  </r>
  <r>
    <x v="6"/>
    <n v="13.6952"/>
    <n v="-89.173500000000004"/>
    <n v="2"/>
    <n v="0"/>
    <n v="0"/>
    <n v="107"/>
    <s v="_x0000_peopl"/>
  </r>
  <r>
    <x v="6"/>
    <n v="13.6915"/>
    <n v="-89.189300000000003"/>
    <n v="5"/>
    <n v="0"/>
    <n v="0"/>
    <n v="107"/>
    <s v="_x0000_peopl"/>
  </r>
  <r>
    <x v="6"/>
    <n v="13.6914"/>
    <n v="-89.235299999999995"/>
    <n v="2"/>
    <n v="0"/>
    <n v="0"/>
    <n v="107"/>
    <s v="_x0000_peopl"/>
  </r>
  <r>
    <x v="6"/>
    <n v="13.691000000000001"/>
    <n v="-89.235600000000005"/>
    <n v="3"/>
    <n v="0"/>
    <n v="0"/>
    <n v="107"/>
    <s v="_x0000_peopl"/>
  </r>
  <r>
    <x v="6"/>
    <n v="13.6904"/>
    <n v="-89.1785"/>
    <n v="3"/>
    <n v="0"/>
    <n v="0"/>
    <n v="107"/>
    <s v="_x0000_peopl"/>
  </r>
  <r>
    <x v="6"/>
    <n v="13.6867"/>
    <n v="-89.1815"/>
    <n v="8"/>
    <n v="0"/>
    <n v="0"/>
    <n v="107"/>
    <s v="_x0000_peopl"/>
  </r>
  <r>
    <x v="6"/>
    <n v="13.6919"/>
    <n v="-89.221500000000006"/>
    <n v="5"/>
    <n v="0"/>
    <n v="0"/>
    <n v="107"/>
    <s v="_x0000_peopl"/>
  </r>
  <r>
    <x v="6"/>
    <n v="13.6915"/>
    <n v="-89.176500000000004"/>
    <n v="5"/>
    <n v="0"/>
    <n v="0"/>
    <n v="107"/>
    <s v="_x0000_peopl"/>
  </r>
  <r>
    <x v="6"/>
    <n v="13.691599999999999"/>
    <n v="-89.232600000000005"/>
    <n v="7"/>
    <n v="0"/>
    <n v="0"/>
    <n v="107"/>
    <s v="_x0000_peopl"/>
  </r>
  <r>
    <x v="6"/>
    <n v="13.6913"/>
    <n v="-89.235200000000006"/>
    <n v="5"/>
    <n v="0"/>
    <n v="0"/>
    <n v="107"/>
    <s v="_x0000_peopl"/>
  </r>
  <r>
    <x v="6"/>
    <n v="13.6868"/>
    <n v="-89.183000000000007"/>
    <n v="5"/>
    <n v="0"/>
    <n v="0"/>
    <n v="107"/>
    <s v="_x0000_peopl"/>
  </r>
  <r>
    <x v="6"/>
    <n v="13.691700000000001"/>
    <n v="-89.2256"/>
    <n v="1"/>
    <n v="0"/>
    <n v="0"/>
    <n v="107"/>
    <s v="_x0000_peopl"/>
  </r>
  <r>
    <x v="6"/>
    <n v="13.6873"/>
    <n v="-89.204400000000007"/>
    <n v="2"/>
    <n v="0"/>
    <n v="0"/>
    <n v="107"/>
    <s v="_x0000_peopl"/>
  </r>
  <r>
    <x v="6"/>
    <n v="13.6858"/>
    <n v="-89.215100000000007"/>
    <n v="4"/>
    <n v="0"/>
    <n v="0"/>
    <n v="107"/>
    <s v="_x0000_peopl"/>
  </r>
  <r>
    <x v="6"/>
    <n v="13.6861"/>
    <n v="-89.213899999999995"/>
    <n v="7"/>
    <n v="0"/>
    <n v="0"/>
    <n v="107"/>
    <s v="_x0000_peopl"/>
  </r>
  <r>
    <x v="6"/>
    <n v="13.695"/>
    <n v="-89.175200000000004"/>
    <n v="5"/>
    <n v="0"/>
    <n v="0"/>
    <n v="107"/>
    <s v="_x0000_peopl"/>
  </r>
  <r>
    <x v="6"/>
    <n v="13.6884"/>
    <n v="-89.2042"/>
    <n v="6"/>
    <n v="0"/>
    <n v="0"/>
    <n v="107"/>
    <s v="_x0000_peopl"/>
  </r>
  <r>
    <x v="6"/>
    <n v="13.692500000000001"/>
    <n v="-89.19"/>
    <n v="2"/>
    <n v="0"/>
    <n v="0"/>
    <n v="107"/>
    <s v="_x0000_peopl"/>
  </r>
  <r>
    <x v="6"/>
    <n v="13.676600000000001"/>
    <n v="-89.199299999999994"/>
    <n v="4"/>
    <n v="0"/>
    <n v="0"/>
    <n v="107"/>
    <s v="_x0000_peopl"/>
  </r>
  <r>
    <x v="6"/>
    <n v="13.6873"/>
    <n v="-89.194900000000004"/>
    <n v="8"/>
    <n v="0"/>
    <n v="0"/>
    <n v="107"/>
    <s v="_x0000_peopl"/>
  </r>
  <r>
    <x v="6"/>
    <n v="13.6889"/>
    <n v="-89.189899999999994"/>
    <n v="7"/>
    <n v="0"/>
    <n v="0"/>
    <n v="107"/>
    <s v="_x0000_peopl"/>
  </r>
  <r>
    <x v="6"/>
    <n v="13.6912"/>
    <n v="-89.232399999999998"/>
    <n v="7"/>
    <n v="0"/>
    <n v="0"/>
    <n v="107"/>
    <s v="_x0000_peopl"/>
  </r>
  <r>
    <x v="6"/>
    <n v="13.6911"/>
    <n v="-89.233000000000004"/>
    <n v="2"/>
    <n v="0"/>
    <n v="0"/>
    <n v="107"/>
    <s v="_x0000_peopl"/>
  </r>
  <r>
    <x v="6"/>
    <n v="13.6967"/>
    <n v="-89.171899999999994"/>
    <n v="7"/>
    <n v="0"/>
    <n v="0"/>
    <n v="107"/>
    <s v="_x0000_peopl"/>
  </r>
  <r>
    <x v="6"/>
    <n v="13.6874"/>
    <n v="-89.197199999999995"/>
    <n v="5"/>
    <n v="0"/>
    <n v="0"/>
    <n v="107"/>
    <s v="_x0000_peopl"/>
  </r>
  <r>
    <x v="6"/>
    <n v="13.687099999999999"/>
    <n v="-89.197400000000002"/>
    <n v="4"/>
    <n v="0"/>
    <n v="0"/>
    <n v="107"/>
    <s v="_x0000_peopl"/>
  </r>
  <r>
    <x v="6"/>
    <n v="13.6853"/>
    <n v="-89.210999999999999"/>
    <n v="5"/>
    <n v="0"/>
    <n v="0"/>
    <n v="107"/>
    <s v="_x0000_peopl"/>
  </r>
  <r>
    <x v="6"/>
    <n v="13.6904"/>
    <n v="-89.197500000000005"/>
    <n v="2"/>
    <n v="0"/>
    <n v="0"/>
    <n v="107"/>
    <s v="_x0000_peopl"/>
  </r>
  <r>
    <x v="6"/>
    <n v="13.687099999999999"/>
    <n v="-89.181700000000006"/>
    <n v="8"/>
    <n v="0"/>
    <n v="0"/>
    <n v="107"/>
    <s v="_x0000_peopl"/>
  </r>
  <r>
    <x v="6"/>
    <n v="13.6869"/>
    <n v="-89.197599999999994"/>
    <n v="5"/>
    <n v="0"/>
    <n v="0"/>
    <n v="107"/>
    <s v="_x0000_peopl"/>
  </r>
  <r>
    <x v="6"/>
    <n v="13.6851"/>
    <n v="-89.193899999999999"/>
    <n v="5"/>
    <n v="0"/>
    <n v="0"/>
    <n v="107"/>
    <s v="_x0000_peopl"/>
  </r>
  <r>
    <x v="6"/>
    <n v="13.6797"/>
    <n v="-89.196700000000007"/>
    <n v="5"/>
    <n v="0"/>
    <n v="0"/>
    <n v="107"/>
    <s v="_x0000_peopl"/>
  </r>
  <r>
    <x v="6"/>
    <n v="13.688599999999999"/>
    <n v="-89.229200000000006"/>
    <n v="6"/>
    <n v="0"/>
    <n v="0"/>
    <n v="107"/>
    <s v="_x0000_peopl"/>
  </r>
  <r>
    <x v="6"/>
    <n v="13.6911"/>
    <n v="-89.178700000000006"/>
    <n v="4"/>
    <n v="0"/>
    <n v="0"/>
    <n v="107"/>
    <s v="_x0000_peopl"/>
  </r>
  <r>
    <x v="6"/>
    <n v="13.6873"/>
    <n v="-89.1982"/>
    <n v="4"/>
    <n v="0"/>
    <n v="0"/>
    <n v="107"/>
    <s v="_x0000_peopl"/>
  </r>
  <r>
    <x v="6"/>
    <n v="13.696099999999999"/>
    <n v="-89.167199999999994"/>
    <n v="4"/>
    <n v="0"/>
    <n v="0"/>
    <n v="107"/>
    <s v="_x0000_peopl"/>
  </r>
  <r>
    <x v="6"/>
    <n v="13.6913"/>
    <n v="-89.178899999999999"/>
    <n v="3"/>
    <n v="0"/>
    <n v="0"/>
    <n v="107"/>
    <s v="_x0000_peopl"/>
  </r>
  <r>
    <x v="6"/>
    <n v="13.685"/>
    <n v="-89.215500000000006"/>
    <n v="3"/>
    <n v="0"/>
    <n v="0"/>
    <n v="107"/>
    <s v="_x0000_peopl"/>
  </r>
  <r>
    <x v="6"/>
    <n v="13.690099999999999"/>
    <n v="-89.193100000000001"/>
    <n v="4"/>
    <n v="0"/>
    <n v="0"/>
    <n v="107"/>
    <s v="_x0000_peopl"/>
  </r>
  <r>
    <x v="6"/>
    <n v="13.6898"/>
    <n v="-89.183999999999997"/>
    <n v="5"/>
    <n v="0"/>
    <n v="0"/>
    <n v="107"/>
    <s v="_x0000_peopl"/>
  </r>
  <r>
    <x v="6"/>
    <n v="13.686999999999999"/>
    <n v="-89.214100000000002"/>
    <n v="4"/>
    <n v="0"/>
    <n v="0"/>
    <n v="107"/>
    <s v="_x0000_peopl"/>
  </r>
  <r>
    <x v="6"/>
    <n v="13.6922"/>
    <n v="-89.179400000000001"/>
    <n v="4"/>
    <n v="0"/>
    <n v="0"/>
    <n v="107"/>
    <s v="_x0000_peopl"/>
  </r>
  <r>
    <x v="6"/>
    <n v="13.6914"/>
    <n v="-89.2333"/>
    <n v="4"/>
    <n v="0"/>
    <n v="0"/>
    <n v="107"/>
    <s v="_x0000_peopl"/>
  </r>
  <r>
    <x v="6"/>
    <n v="13.687200000000001"/>
    <n v="-89.196200000000005"/>
    <n v="1"/>
    <n v="0"/>
    <n v="0"/>
    <n v="107"/>
    <s v="_x0000_peopl"/>
  </r>
  <r>
    <x v="6"/>
    <n v="13.694599999999999"/>
    <n v="-89.172700000000006"/>
    <n v="4"/>
    <n v="0"/>
    <n v="0"/>
    <n v="107"/>
    <s v="_x0000_peopl"/>
  </r>
  <r>
    <x v="6"/>
    <n v="13.6881"/>
    <n v="-89.182699999999997"/>
    <n v="8"/>
    <n v="0"/>
    <n v="0"/>
    <n v="107"/>
    <s v="_x0000_peopl"/>
  </r>
  <r>
    <x v="6"/>
    <n v="13.690099999999999"/>
    <n v="-89.177499999999995"/>
    <n v="7"/>
    <n v="0"/>
    <n v="0"/>
    <n v="107"/>
    <s v="_x0000_peopl"/>
  </r>
  <r>
    <x v="6"/>
    <n v="13.6883"/>
    <n v="-89.193799999999996"/>
    <n v="6"/>
    <n v="0"/>
    <n v="0"/>
    <n v="107"/>
    <s v="_x0000_peopl"/>
  </r>
  <r>
    <x v="6"/>
    <n v="13.6914"/>
    <n v="-89.227099999999993"/>
    <n v="5"/>
    <n v="0"/>
    <n v="0"/>
    <n v="107"/>
    <s v="_x0000_peopl"/>
  </r>
  <r>
    <x v="6"/>
    <n v="13.6899"/>
    <n v="-89.185000000000002"/>
    <n v="3"/>
    <n v="0"/>
    <n v="0"/>
    <n v="107"/>
    <s v="_x0000_peopl"/>
  </r>
  <r>
    <x v="6"/>
    <n v="13.690799999999999"/>
    <n v="-89.186099999999996"/>
    <n v="2"/>
    <n v="0"/>
    <n v="0"/>
    <n v="107"/>
    <s v="_x0000_peopl"/>
  </r>
  <r>
    <x v="6"/>
    <n v="13.689299999999999"/>
    <n v="-89.196899999999999"/>
    <n v="7"/>
    <n v="0"/>
    <n v="0"/>
    <n v="107"/>
    <s v="_x0000_peopl"/>
  </r>
  <r>
    <x v="6"/>
    <n v="13.6873"/>
    <n v="-89.196799999999996"/>
    <n v="3"/>
    <n v="0"/>
    <n v="0"/>
    <n v="107"/>
    <s v="_x0000_peopl"/>
  </r>
  <r>
    <x v="6"/>
    <n v="13.6945"/>
    <n v="-89.186400000000006"/>
    <n v="4"/>
    <n v="0"/>
    <n v="0"/>
    <n v="107"/>
    <s v="_x0000_peopl"/>
  </r>
  <r>
    <x v="6"/>
    <n v="13.690899999999999"/>
    <n v="-89.235500000000002"/>
    <n v="9"/>
    <n v="0"/>
    <n v="0"/>
    <n v="107"/>
    <s v="_x0000_peopl"/>
  </r>
  <r>
    <x v="6"/>
    <n v="13.686400000000001"/>
    <n v="-89.215800000000002"/>
    <n v="6"/>
    <n v="0"/>
    <n v="0"/>
    <n v="107"/>
    <s v="_x0000_peopl"/>
  </r>
  <r>
    <x v="6"/>
    <n v="13.691700000000001"/>
    <n v="-89.233900000000006"/>
    <n v="5"/>
    <n v="0"/>
    <n v="0"/>
    <n v="107"/>
    <s v="_x0000_peopl"/>
  </r>
  <r>
    <x v="6"/>
    <n v="13.696"/>
    <n v="-89.166200000000003"/>
    <n v="7"/>
    <n v="0"/>
    <n v="0"/>
    <n v="107"/>
    <s v="_x0000_peopl"/>
  </r>
  <r>
    <x v="6"/>
    <n v="13.6843"/>
    <n v="-89.215900000000005"/>
    <n v="6"/>
    <n v="0"/>
    <n v="0"/>
    <n v="107"/>
    <s v="_x0000_peopl"/>
  </r>
  <r>
    <x v="6"/>
    <n v="13.686"/>
    <n v="-89.193799999999996"/>
    <n v="6"/>
    <n v="0"/>
    <n v="0"/>
    <n v="107"/>
    <s v="_x0000_peopl"/>
  </r>
  <r>
    <x v="6"/>
    <n v="13.690300000000001"/>
    <n v="-89.181200000000004"/>
    <n v="7"/>
    <n v="0"/>
    <n v="0"/>
    <n v="107"/>
    <s v="_x0000_peopl"/>
  </r>
  <r>
    <x v="6"/>
    <n v="13.684799999999999"/>
    <n v="-89.216099999999997"/>
    <n v="5"/>
    <n v="0"/>
    <n v="0"/>
    <n v="107"/>
    <s v="_x0000_peopl"/>
  </r>
  <r>
    <x v="6"/>
    <n v="13.6906"/>
    <n v="-89.234899999999996"/>
    <n v="3"/>
    <n v="0"/>
    <n v="0"/>
    <n v="107"/>
    <s v="_x0000_peopl"/>
  </r>
  <r>
    <x v="6"/>
    <n v="13.692"/>
    <n v="-89.194299999999998"/>
    <n v="4"/>
    <n v="0"/>
    <n v="0"/>
    <n v="107"/>
    <s v="_x0000_peopl"/>
  </r>
  <r>
    <x v="6"/>
    <n v="13.6914"/>
    <n v="-89.2286"/>
    <n v="2"/>
    <n v="0"/>
    <n v="0"/>
    <n v="107"/>
    <s v="_x0000_peopl"/>
  </r>
  <r>
    <x v="6"/>
    <n v="13.6945"/>
    <n v="-89.171899999999994"/>
    <n v="5"/>
    <n v="0"/>
    <n v="0"/>
    <n v="107"/>
    <s v="_x0000_peopl"/>
  </r>
  <r>
    <x v="6"/>
    <n v="13.6778"/>
    <n v="-89.246499999999997"/>
    <n v="0"/>
    <n v="0"/>
    <n v="0"/>
    <n v="107"/>
    <s v="_x0000_peopl"/>
  </r>
  <r>
    <x v="6"/>
    <n v="13.6896"/>
    <n v="-89.235399999999998"/>
    <n v="6"/>
    <n v="0"/>
    <n v="0"/>
    <n v="107"/>
    <s v="_x0000_peopl"/>
  </r>
  <r>
    <x v="6"/>
    <n v="13.6914"/>
    <n v="-89.228899999999996"/>
    <n v="4"/>
    <n v="0"/>
    <n v="0"/>
    <n v="107"/>
    <s v="_x0000_peopl"/>
  </r>
  <r>
    <x v="6"/>
    <n v="13.6905"/>
    <n v="-89.178399999999996"/>
    <n v="7"/>
    <n v="0"/>
    <n v="0"/>
    <n v="107"/>
    <s v="_x0000_peopl"/>
  </r>
  <r>
    <x v="6"/>
    <n v="13.6937"/>
    <n v="-89.174199999999999"/>
    <n v="10"/>
    <n v="0"/>
    <n v="0"/>
    <n v="107"/>
    <s v="_x0000_peopl"/>
  </r>
  <r>
    <x v="6"/>
    <n v="13.6912"/>
    <n v="-89.234999999999999"/>
    <n v="3"/>
    <n v="0"/>
    <n v="0"/>
    <n v="107"/>
    <s v="_x0000_peopl"/>
  </r>
  <r>
    <x v="6"/>
    <n v="13.6915"/>
    <n v="-89.197299999999998"/>
    <n v="10"/>
    <n v="0"/>
    <n v="0"/>
    <n v="107"/>
    <s v="_x0000_peopl"/>
  </r>
  <r>
    <x v="6"/>
    <n v="13.688499999999999"/>
    <n v="-89.190600000000003"/>
    <n v="5"/>
    <n v="0"/>
    <n v="0"/>
    <n v="107"/>
    <s v="_x0000_peopl"/>
  </r>
  <r>
    <x v="6"/>
    <n v="13.6853"/>
    <n v="-89.203699999999998"/>
    <n v="7"/>
    <n v="0"/>
    <n v="0"/>
    <n v="107"/>
    <s v="_x0000_peopl"/>
  </r>
  <r>
    <x v="6"/>
    <n v="13.6721"/>
    <n v="-89.2042"/>
    <n v="3"/>
    <n v="0"/>
    <n v="0"/>
    <n v="107"/>
    <s v="_x0000_peopl"/>
  </r>
  <r>
    <x v="6"/>
    <n v="13.6914"/>
    <n v="-89.225999999999999"/>
    <n v="5"/>
    <n v="0"/>
    <n v="0"/>
    <n v="107"/>
    <s v="_x0000_peopl"/>
  </r>
  <r>
    <x v="6"/>
    <n v="13.6906"/>
    <n v="-89.185100000000006"/>
    <n v="6"/>
    <n v="0"/>
    <n v="0"/>
    <n v="107"/>
    <s v="_x0000_peopl"/>
  </r>
  <r>
    <x v="6"/>
    <n v="13.690799999999999"/>
    <n v="-89.185000000000002"/>
    <n v="6"/>
    <n v="0"/>
    <n v="0"/>
    <n v="107"/>
    <s v="_x0000_peopl"/>
  </r>
  <r>
    <x v="6"/>
    <n v="13.6914"/>
    <n v="-89.226399999999998"/>
    <n v="5"/>
    <n v="0"/>
    <n v="0"/>
    <n v="107"/>
    <s v="_x0000_peopl"/>
  </r>
  <r>
    <x v="6"/>
    <n v="13.6861"/>
    <n v="-89.216399999999993"/>
    <n v="5"/>
    <n v="0"/>
    <n v="0"/>
    <n v="107"/>
    <s v="_x0000_peopl"/>
  </r>
  <r>
    <x v="6"/>
    <n v="13.694599999999999"/>
    <n v="-89.183199999999999"/>
    <n v="8"/>
    <n v="0"/>
    <n v="0"/>
    <n v="107"/>
    <s v="_x0000_peopl"/>
  </r>
  <r>
    <x v="6"/>
    <n v="13.690200000000001"/>
    <n v="-89.183999999999997"/>
    <n v="9"/>
    <n v="0"/>
    <n v="0"/>
    <n v="107"/>
    <s v="_x0000_peopl"/>
  </r>
  <r>
    <x v="6"/>
    <n v="13.6852"/>
    <n v="-89.216999999999999"/>
    <n v="5"/>
    <n v="0"/>
    <n v="0"/>
    <n v="107"/>
    <s v="_x0000_peopl"/>
  </r>
  <r>
    <x v="6"/>
    <n v="13.6746"/>
    <n v="-89.202500000000001"/>
    <n v="4"/>
    <n v="0"/>
    <n v="0"/>
    <n v="107"/>
    <s v="_x0000_peopl"/>
  </r>
  <r>
    <x v="6"/>
    <n v="13.677199999999999"/>
    <n v="-89.248400000000004"/>
    <n v="4"/>
    <n v="0"/>
    <n v="0"/>
    <n v="107"/>
    <s v="_x0000_peopl"/>
  </r>
  <r>
    <x v="6"/>
    <n v="13.687799999999999"/>
    <n v="-89.194599999999994"/>
    <n v="4"/>
    <n v="0"/>
    <n v="0"/>
    <n v="107"/>
    <s v="_x0000_peopl"/>
  </r>
  <r>
    <x v="6"/>
    <n v="13.677899999999999"/>
    <n v="-89.246499999999997"/>
    <n v="5"/>
    <n v="0"/>
    <n v="0"/>
    <n v="107"/>
    <s v="_x0000_peopl"/>
  </r>
  <r>
    <x v="6"/>
    <n v="13.6919"/>
    <n v="-89.226699999999994"/>
    <n v="2"/>
    <n v="0"/>
    <n v="0"/>
    <n v="107"/>
    <s v="_x0000_peopl"/>
  </r>
  <r>
    <x v="6"/>
    <n v="13.6899"/>
    <n v="-89.195800000000006"/>
    <n v="5"/>
    <n v="0"/>
    <n v="0"/>
    <n v="107"/>
    <s v="_x0000_peopl"/>
  </r>
  <r>
    <x v="6"/>
    <n v="13.692500000000001"/>
    <n v="-89.226299999999995"/>
    <n v="3"/>
    <n v="0"/>
    <n v="0"/>
    <n v="107"/>
    <s v="_x0000_peopl"/>
  </r>
  <r>
    <x v="6"/>
    <n v="13.690899999999999"/>
    <n v="-89.187600000000003"/>
    <n v="9"/>
    <n v="0"/>
    <n v="0"/>
    <n v="107"/>
    <s v="_x0000_peopl"/>
  </r>
  <r>
    <x v="6"/>
    <n v="13.692500000000001"/>
    <n v="-89.223399999999998"/>
    <n v="7"/>
    <n v="0"/>
    <n v="0"/>
    <n v="107"/>
    <s v="_x0000_peopl"/>
  </r>
  <r>
    <x v="6"/>
    <n v="13.690899999999999"/>
    <n v="-89.195899999999995"/>
    <n v="3"/>
    <n v="0"/>
    <n v="0"/>
    <n v="107"/>
    <s v="_x0000_peopl"/>
  </r>
  <r>
    <x v="6"/>
    <n v="13.6898"/>
    <n v="-89.197900000000004"/>
    <n v="4"/>
    <n v="0"/>
    <n v="0"/>
    <n v="107"/>
    <s v="_x0000_peopl"/>
  </r>
  <r>
    <x v="6"/>
    <n v="13.6943"/>
    <n v="-89.188999999999993"/>
    <n v="6"/>
    <n v="0"/>
    <n v="0"/>
    <n v="107"/>
    <s v="_x0000_peopl"/>
  </r>
  <r>
    <x v="6"/>
    <n v="13.6869"/>
    <n v="-89.194699999999997"/>
    <n v="4"/>
    <n v="0"/>
    <n v="0"/>
    <n v="107"/>
    <s v="_x0000_peopl"/>
  </r>
  <r>
    <x v="6"/>
    <n v="13.691700000000001"/>
    <n v="-89.220500000000001"/>
    <n v="6"/>
    <n v="0"/>
    <n v="0"/>
    <n v="107"/>
    <s v="_x0000_peopl"/>
  </r>
  <r>
    <x v="6"/>
    <n v="13.689399999999999"/>
    <n v="-89.228999999999999"/>
    <n v="1"/>
    <n v="0"/>
    <n v="0"/>
    <n v="107"/>
    <s v="_x0000_peopl"/>
  </r>
  <r>
    <x v="6"/>
    <n v="13.673299999999999"/>
    <n v="-89.2042"/>
    <n v="0"/>
    <n v="0"/>
    <n v="0"/>
    <n v="107"/>
    <s v="_x0000_peopl"/>
  </r>
  <r>
    <x v="6"/>
    <n v="13.6914"/>
    <n v="-89.189499999999995"/>
    <n v="5"/>
    <n v="0"/>
    <n v="0"/>
    <n v="107"/>
    <s v="_x0000_peopl"/>
  </r>
  <r>
    <x v="6"/>
    <n v="13.6934"/>
    <n v="-89.177000000000007"/>
    <n v="3"/>
    <n v="0"/>
    <n v="0"/>
    <n v="107"/>
    <s v="_x0000_peopl"/>
  </r>
  <r>
    <x v="6"/>
    <n v="13.6853"/>
    <n v="-89.192899999999995"/>
    <n v="3"/>
    <n v="0"/>
    <n v="0"/>
    <n v="107"/>
    <s v="_x0000_peopl"/>
  </r>
  <r>
    <x v="6"/>
    <n v="13.695399999999999"/>
    <n v="-89.174199999999999"/>
    <n v="4"/>
    <n v="0"/>
    <n v="0"/>
    <n v="107"/>
    <s v="_x0000_peopl"/>
  </r>
  <r>
    <x v="6"/>
    <n v="13.6906"/>
    <n v="-89.227999999999994"/>
    <n v="5"/>
    <n v="0"/>
    <n v="0"/>
    <n v="107"/>
    <s v="_x0000_peopl"/>
  </r>
  <r>
    <x v="6"/>
    <n v="13.689500000000001"/>
    <n v="-89.180599999999998"/>
    <n v="4"/>
    <n v="0"/>
    <n v="0"/>
    <n v="107"/>
    <s v="_x0000_peopl"/>
  </r>
  <r>
    <x v="6"/>
    <n v="13.690799999999999"/>
    <n v="-89.195800000000006"/>
    <n v="3"/>
    <n v="0"/>
    <n v="0"/>
    <n v="107"/>
    <s v="_x0000_peopl"/>
  </r>
  <r>
    <x v="6"/>
    <n v="13.6874"/>
    <n v="-89.1965"/>
    <n v="7"/>
    <n v="0"/>
    <n v="0"/>
    <n v="107"/>
    <s v="_x0000_peopl"/>
  </r>
  <r>
    <x v="6"/>
    <n v="13.6913"/>
    <n v="-89.2286"/>
    <n v="6"/>
    <n v="0"/>
    <n v="0"/>
    <n v="107"/>
    <s v="_x0000_peopl"/>
  </r>
  <r>
    <x v="6"/>
    <n v="13.6853"/>
    <n v="-89.203000000000003"/>
    <n v="2"/>
    <n v="0"/>
    <n v="0"/>
    <n v="107"/>
    <s v="_x0000_peopl"/>
  </r>
  <r>
    <x v="6"/>
    <n v="13.688599999999999"/>
    <n v="-89.198599999999999"/>
    <n v="3"/>
    <n v="0"/>
    <n v="0"/>
    <n v="107"/>
    <s v="_x0000_peopl"/>
  </r>
  <r>
    <x v="6"/>
    <n v="13.693300000000001"/>
    <n v="-89.178299999999993"/>
    <n v="7"/>
    <n v="0"/>
    <n v="0"/>
    <n v="107"/>
    <s v="_x0000_peopl"/>
  </r>
  <r>
    <x v="6"/>
    <n v="13.6911"/>
    <n v="-89.232799999999997"/>
    <n v="7"/>
    <n v="0"/>
    <n v="0"/>
    <n v="107"/>
    <s v="_x0000_peopl"/>
  </r>
  <r>
    <x v="6"/>
    <n v="13.687099999999999"/>
    <n v="-89.196600000000004"/>
    <n v="4"/>
    <n v="0"/>
    <n v="0"/>
    <n v="107"/>
    <s v="_x0000_peopl"/>
  </r>
  <r>
    <x v="6"/>
    <n v="13.6751"/>
    <n v="-89.2"/>
    <n v="9"/>
    <n v="0"/>
    <n v="0"/>
    <n v="107"/>
    <s v="_x0000_peopl"/>
  </r>
  <r>
    <x v="6"/>
    <n v="13.6861"/>
    <n v="-89.1982"/>
    <n v="0"/>
    <n v="0"/>
    <n v="0"/>
    <n v="107"/>
    <s v="_x0000_peopl"/>
  </r>
  <r>
    <x v="6"/>
    <n v="13.6904"/>
    <n v="-89.178700000000006"/>
    <n v="10"/>
    <n v="0"/>
    <n v="0"/>
    <n v="107"/>
    <s v="_x0000_peopl"/>
  </r>
  <r>
    <x v="6"/>
    <n v="13.692"/>
    <n v="-89.179900000000004"/>
    <n v="2"/>
    <n v="0"/>
    <n v="0"/>
    <n v="107"/>
    <s v="_x0000_peopl"/>
  </r>
  <r>
    <x v="6"/>
    <n v="13.688700000000001"/>
    <n v="-89.189800000000005"/>
    <n v="8"/>
    <n v="0"/>
    <n v="0"/>
    <n v="107"/>
    <s v="_x0000_peopl"/>
  </r>
  <r>
    <x v="6"/>
    <n v="13.691700000000001"/>
    <n v="-89.178799999999995"/>
    <n v="13"/>
    <n v="0"/>
    <n v="0"/>
    <n v="107"/>
    <s v="_x0000_peopl"/>
  </r>
  <r>
    <x v="6"/>
    <n v="13.689500000000001"/>
    <n v="-89.184200000000004"/>
    <n v="2"/>
    <n v="0"/>
    <n v="0"/>
    <n v="107"/>
    <s v="_x0000_peopl"/>
  </r>
  <r>
    <x v="6"/>
    <n v="13.6797"/>
    <n v="-89.197199999999995"/>
    <n v="7"/>
    <n v="0"/>
    <n v="0"/>
    <n v="107"/>
    <s v="_x0000_peopl"/>
  </r>
  <r>
    <x v="6"/>
    <n v="13.689"/>
    <n v="-89.177999999999997"/>
    <n v="6"/>
    <n v="0"/>
    <n v="0"/>
    <n v="107"/>
    <s v="_x0000_peopl"/>
  </r>
  <r>
    <x v="6"/>
    <n v="13.6747"/>
    <n v="-89.251900000000006"/>
    <n v="3"/>
    <n v="0"/>
    <n v="0"/>
    <n v="107"/>
    <s v="_x0000_peopl"/>
  </r>
  <r>
    <x v="6"/>
    <n v="13.6746"/>
    <n v="-89.251900000000006"/>
    <n v="5"/>
    <n v="0"/>
    <n v="0"/>
    <n v="107"/>
    <s v="_x0000_peopl"/>
  </r>
  <r>
    <x v="6"/>
    <n v="13.6919"/>
    <n v="-89.224299999999999"/>
    <n v="6"/>
    <n v="0"/>
    <n v="0"/>
    <n v="107"/>
    <s v="_x0000_peopl"/>
  </r>
  <r>
    <x v="6"/>
    <n v="13.674300000000001"/>
    <n v="-89.202299999999994"/>
    <n v="9"/>
    <n v="0"/>
    <n v="0"/>
    <n v="107"/>
    <s v="_x0000_peopl"/>
  </r>
  <r>
    <x v="6"/>
    <n v="13.6883"/>
    <n v="-89.193799999999996"/>
    <n v="4"/>
    <n v="0"/>
    <n v="0"/>
    <n v="107"/>
    <s v="_x0000_peopl"/>
  </r>
  <r>
    <x v="6"/>
    <n v="13.674899999999999"/>
    <n v="-89.250799999999998"/>
    <n v="3"/>
    <n v="0"/>
    <n v="0"/>
    <n v="107"/>
    <s v="_x0000_peopl"/>
  </r>
  <r>
    <x v="6"/>
    <n v="13.6907"/>
    <n v="-89.233599999999996"/>
    <n v="4"/>
    <n v="0"/>
    <n v="0"/>
    <n v="107"/>
    <s v="_x0000_peopl"/>
  </r>
  <r>
    <x v="6"/>
    <n v="13.687799999999999"/>
    <n v="-89.194599999999994"/>
    <n v="7"/>
    <n v="0"/>
    <n v="0"/>
    <n v="107"/>
    <s v="_x0000_peopl"/>
  </r>
  <r>
    <x v="6"/>
    <n v="13.6859"/>
    <n v="-89.213800000000006"/>
    <n v="2"/>
    <n v="0"/>
    <n v="0"/>
    <n v="107"/>
    <s v="_x0000_peopl"/>
  </r>
  <r>
    <x v="6"/>
    <n v="13.6892"/>
    <n v="-89.206699999999998"/>
    <n v="6"/>
    <n v="0"/>
    <n v="0"/>
    <n v="107"/>
    <s v="_x0000_peopl"/>
  </r>
  <r>
    <x v="6"/>
    <n v="13.6952"/>
    <n v="-89.174199999999999"/>
    <n v="7"/>
    <n v="0"/>
    <n v="0"/>
    <n v="107"/>
    <s v="_x0000_peopl"/>
  </r>
  <r>
    <x v="6"/>
    <n v="13.696"/>
    <n v="-89.173100000000005"/>
    <n v="6"/>
    <n v="0"/>
    <n v="0"/>
    <n v="107"/>
    <s v="_x0000_peopl"/>
  </r>
  <r>
    <x v="6"/>
    <n v="13.6943"/>
    <n v="-89.190399999999997"/>
    <n v="3"/>
    <n v="0"/>
    <n v="0"/>
    <n v="107"/>
    <s v="_x0000_peopl"/>
  </r>
  <r>
    <x v="6"/>
    <n v="13.6867"/>
    <n v="-89.2119"/>
    <n v="6"/>
    <n v="0"/>
    <n v="0"/>
    <n v="107"/>
    <s v="_x0000_peopl"/>
  </r>
  <r>
    <x v="6"/>
    <n v="13.692600000000001"/>
    <n v="-89.223600000000005"/>
    <n v="8"/>
    <n v="0"/>
    <n v="0"/>
    <n v="107"/>
    <s v="_x0000_peopl"/>
  </r>
  <r>
    <x v="6"/>
    <n v="13.6875"/>
    <n v="-89.205200000000005"/>
    <n v="8"/>
    <n v="0"/>
    <n v="0"/>
    <n v="107"/>
    <s v="_x0000_peopl"/>
  </r>
  <r>
    <x v="6"/>
    <n v="13.690899999999999"/>
    <n v="-89.197900000000004"/>
    <n v="4"/>
    <n v="0"/>
    <n v="0"/>
    <n v="107"/>
    <s v="_x0000_peopl"/>
  </r>
  <r>
    <x v="6"/>
    <n v="13.6915"/>
    <n v="-89.1785"/>
    <n v="8"/>
    <n v="0"/>
    <n v="0"/>
    <n v="107"/>
    <s v="_x0000_peopl"/>
  </r>
  <r>
    <x v="6"/>
    <n v="13.674899999999999"/>
    <n v="-89.251800000000003"/>
    <n v="4"/>
    <n v="0"/>
    <n v="0"/>
    <n v="107"/>
    <s v="_x0000_peopl"/>
  </r>
  <r>
    <x v="6"/>
    <n v="13.692600000000001"/>
    <n v="-89.179199999999994"/>
    <n v="6"/>
    <n v="0"/>
    <n v="0"/>
    <n v="107"/>
    <s v="_x0000_peopl"/>
  </r>
  <r>
    <x v="6"/>
    <n v="13.688599999999999"/>
    <n v="-89.194900000000004"/>
    <n v="5"/>
    <n v="0"/>
    <n v="0"/>
    <n v="107"/>
    <s v="_x0000_peopl"/>
  </r>
  <r>
    <x v="6"/>
    <n v="13.686500000000001"/>
    <n v="-89.203999999999994"/>
    <n v="7"/>
    <n v="0"/>
    <n v="0"/>
    <n v="107"/>
    <s v="_x0000_peopl"/>
  </r>
  <r>
    <x v="6"/>
    <n v="13.691599999999999"/>
    <n v="-89.226600000000005"/>
    <n v="3"/>
    <n v="0"/>
    <n v="0"/>
    <n v="107"/>
    <s v="_x0000_peopl"/>
  </r>
  <r>
    <x v="6"/>
    <n v="13.677"/>
    <n v="-89.247799999999998"/>
    <n v="5"/>
    <n v="0"/>
    <n v="0"/>
    <n v="107"/>
    <s v="_x0000_peopl"/>
  </r>
  <r>
    <x v="6"/>
    <n v="13.687200000000001"/>
    <n v="-89.194000000000003"/>
    <n v="6"/>
    <n v="0"/>
    <n v="0"/>
    <n v="107"/>
    <s v="_x0000_peopl"/>
  </r>
  <r>
    <x v="6"/>
    <n v="13.6873"/>
    <n v="-89.195499999999996"/>
    <n v="3"/>
    <n v="0"/>
    <n v="0"/>
    <n v="107"/>
    <s v="_x0000_peopl"/>
  </r>
  <r>
    <x v="6"/>
    <n v="13.691700000000001"/>
    <n v="-89.179000000000002"/>
    <n v="8"/>
    <n v="0"/>
    <n v="0"/>
    <n v="107"/>
    <s v="_x0000_peopl"/>
  </r>
  <r>
    <x v="6"/>
    <n v="13.686199999999999"/>
    <n v="-89.2012"/>
    <n v="4"/>
    <n v="0"/>
    <n v="0"/>
    <n v="107"/>
    <s v="_x0000_peopl"/>
  </r>
  <r>
    <x v="6"/>
    <n v="13.686999999999999"/>
    <n v="-89.183400000000006"/>
    <n v="5"/>
    <n v="0"/>
    <n v="0"/>
    <n v="107"/>
    <s v="_x0000_peopl"/>
  </r>
  <r>
    <x v="6"/>
    <n v="13.687099999999999"/>
    <n v="-89.205200000000005"/>
    <n v="2"/>
    <n v="0"/>
    <n v="0"/>
    <n v="107"/>
    <s v="_x0000_peopl"/>
  </r>
  <r>
    <x v="6"/>
    <n v="13.6921"/>
    <n v="-89.1858"/>
    <n v="5"/>
    <n v="0"/>
    <n v="0"/>
    <n v="107"/>
    <s v="_x0000_peopl"/>
  </r>
  <r>
    <x v="6"/>
    <n v="13.680300000000001"/>
    <n v="-89.198300000000003"/>
    <n v="7"/>
    <n v="0"/>
    <n v="0"/>
    <n v="107"/>
    <s v="_x0000_peopl"/>
  </r>
  <r>
    <x v="6"/>
    <n v="13.692600000000001"/>
    <n v="-89.184200000000004"/>
    <n v="4"/>
    <n v="0"/>
    <n v="0"/>
    <n v="107"/>
    <s v="_x0000_peopl"/>
  </r>
  <r>
    <x v="6"/>
    <n v="13.693300000000001"/>
    <n v="-89.177000000000007"/>
    <n v="6"/>
    <n v="0"/>
    <n v="0"/>
    <n v="107"/>
    <s v="_x0000_peopl"/>
  </r>
  <r>
    <x v="6"/>
    <n v="13.6891"/>
    <n v="-89.206500000000005"/>
    <n v="4"/>
    <n v="0"/>
    <n v="0"/>
    <n v="107"/>
    <s v="_x0000_peopl"/>
  </r>
  <r>
    <x v="6"/>
    <n v="13.673500000000001"/>
    <n v="-89.2029"/>
    <n v="4"/>
    <n v="0"/>
    <n v="0"/>
    <n v="107"/>
    <s v="_x0000_peopl"/>
  </r>
  <r>
    <x v="6"/>
    <n v="13.6915"/>
    <n v="-89.186000000000007"/>
    <n v="5"/>
    <n v="0"/>
    <n v="0"/>
    <n v="107"/>
    <s v="_x0000_peopl"/>
  </r>
  <r>
    <x v="6"/>
    <n v="13.691000000000001"/>
    <n v="-89.229699999999994"/>
    <n v="6"/>
    <n v="0"/>
    <n v="0"/>
    <n v="107"/>
    <s v="_x0000_peopl"/>
  </r>
  <r>
    <x v="6"/>
    <n v="13.6936"/>
    <n v="-89.177000000000007"/>
    <n v="4"/>
    <n v="0"/>
    <n v="0"/>
    <n v="107"/>
    <s v="_x0000_peopl"/>
  </r>
  <r>
    <x v="6"/>
    <n v="13.692600000000001"/>
    <n v="-89.224100000000007"/>
    <n v="5"/>
    <n v="0"/>
    <n v="0"/>
    <n v="107"/>
    <s v="_x0000_peopl"/>
  </r>
  <r>
    <x v="6"/>
    <n v="13.6913"/>
    <n v="-89.232500000000002"/>
    <n v="7"/>
    <n v="0"/>
    <n v="0"/>
    <n v="107"/>
    <s v="_x0000_peopl"/>
  </r>
  <r>
    <x v="6"/>
    <n v="13.6906"/>
    <n v="-89.183300000000003"/>
    <n v="7"/>
    <n v="0"/>
    <n v="0"/>
    <n v="107"/>
    <s v="_x0000_peopl"/>
  </r>
  <r>
    <x v="6"/>
    <n v="13.691800000000001"/>
    <n v="-89.188000000000002"/>
    <n v="5"/>
    <n v="0"/>
    <n v="0"/>
    <n v="107"/>
    <s v="_x0000_peopl"/>
  </r>
  <r>
    <x v="6"/>
    <n v="13.689299999999999"/>
    <n v="-89.183800000000005"/>
    <n v="4"/>
    <n v="0"/>
    <n v="0"/>
    <n v="107"/>
    <s v="_x0000_peopl"/>
  </r>
  <r>
    <x v="6"/>
    <n v="13.6869"/>
    <n v="-89.194299999999998"/>
    <n v="3"/>
    <n v="0"/>
    <n v="0"/>
    <n v="107"/>
    <s v="_x0000_peopl"/>
  </r>
  <r>
    <x v="6"/>
    <n v="13.674300000000001"/>
    <n v="-89.201899999999995"/>
    <n v="4"/>
    <n v="0"/>
    <n v="0"/>
    <n v="107"/>
    <s v="_x0000_peopl"/>
  </r>
  <r>
    <x v="6"/>
    <n v="13.690300000000001"/>
    <n v="-89.179500000000004"/>
    <n v="5"/>
    <n v="0"/>
    <n v="0"/>
    <n v="107"/>
    <s v="_x0000_peopl"/>
  </r>
  <r>
    <x v="6"/>
    <n v="13.690899999999999"/>
    <n v="-89.229100000000003"/>
    <n v="5"/>
    <n v="0"/>
    <n v="0"/>
    <n v="107"/>
    <s v="_x0000_peopl"/>
  </r>
  <r>
    <x v="6"/>
    <n v="13.692399999999999"/>
    <n v="-89.1751"/>
    <n v="5"/>
    <n v="0"/>
    <n v="0"/>
    <n v="107"/>
    <s v="_x0000_peopl"/>
  </r>
  <r>
    <x v="6"/>
    <n v="13.693"/>
    <n v="-89.177999999999997"/>
    <n v="6"/>
    <n v="0"/>
    <n v="0"/>
    <n v="107"/>
    <s v="_x0000_peopl"/>
  </r>
  <r>
    <x v="6"/>
    <n v="13.6915"/>
    <n v="-89.233999999999995"/>
    <n v="6"/>
    <n v="0"/>
    <n v="0"/>
    <n v="107"/>
    <s v="_x0000_peopl"/>
  </r>
  <r>
    <x v="6"/>
    <n v="13.6912"/>
    <n v="-89.2333"/>
    <n v="3"/>
    <n v="0"/>
    <n v="0"/>
    <n v="107"/>
    <s v="_x0000_peopl"/>
  </r>
  <r>
    <x v="6"/>
    <n v="13.6915"/>
    <n v="-89.234499999999997"/>
    <n v="5"/>
    <n v="0"/>
    <n v="0"/>
    <n v="107"/>
    <s v="_x0000_peopl"/>
  </r>
  <r>
    <x v="6"/>
    <n v="13.6891"/>
    <n v="-89.190399999999997"/>
    <n v="7"/>
    <n v="0"/>
    <n v="0"/>
    <n v="107"/>
    <s v="_x0000_peopl"/>
  </r>
  <r>
    <x v="6"/>
    <n v="13.690099999999999"/>
    <n v="-89.188199999999995"/>
    <n v="5"/>
    <n v="0"/>
    <n v="0"/>
    <n v="107"/>
    <s v="_x0000_peopl"/>
  </r>
  <r>
    <x v="6"/>
    <n v="13.685600000000001"/>
    <n v="-89.203100000000006"/>
    <n v="9"/>
    <n v="0"/>
    <n v="0"/>
    <n v="107"/>
    <s v="_x0000_peopl"/>
  </r>
  <r>
    <x v="6"/>
    <n v="13.6876"/>
    <n v="-89.195400000000006"/>
    <n v="9"/>
    <n v="0"/>
    <n v="0"/>
    <n v="107"/>
    <s v="_x0000_peopl"/>
  </r>
  <r>
    <x v="6"/>
    <n v="13.691599999999999"/>
    <n v="-89.2256"/>
    <n v="5"/>
    <n v="0"/>
    <n v="0"/>
    <n v="107"/>
    <s v="_x0000_peopl"/>
  </r>
  <r>
    <x v="6"/>
    <n v="13.6927"/>
    <n v="-89.183400000000006"/>
    <n v="1"/>
    <n v="0"/>
    <n v="0"/>
    <n v="107"/>
    <s v="_x0000_peopl"/>
  </r>
  <r>
    <x v="6"/>
    <n v="13.6911"/>
    <n v="-89.186400000000006"/>
    <n v="5"/>
    <n v="0"/>
    <n v="0"/>
    <n v="107"/>
    <s v="_x0000_peopl"/>
  </r>
  <r>
    <x v="6"/>
    <n v="13.692299999999999"/>
    <n v="-89.179000000000002"/>
    <n v="4"/>
    <n v="0"/>
    <n v="0"/>
    <n v="107"/>
    <s v="_x0000_peopl"/>
  </r>
  <r>
    <x v="6"/>
    <n v="13.6884"/>
    <n v="-89.204300000000003"/>
    <n v="5"/>
    <n v="0"/>
    <n v="0"/>
    <n v="107"/>
    <s v="_x0000_peopl"/>
  </r>
  <r>
    <x v="6"/>
    <n v="13.6957"/>
    <n v="-89.165499999999994"/>
    <n v="5"/>
    <n v="0"/>
    <n v="0"/>
    <n v="107"/>
    <s v="_x0000_peopl"/>
  </r>
  <r>
    <x v="6"/>
    <n v="13.6874"/>
    <n v="-89.197199999999995"/>
    <n v="7"/>
    <n v="0"/>
    <n v="0"/>
    <n v="107"/>
    <s v="_x0000_peopl"/>
  </r>
  <r>
    <x v="6"/>
    <n v="13.6907"/>
    <n v="-89.183800000000005"/>
    <n v="2"/>
    <n v="0"/>
    <n v="0"/>
    <n v="107"/>
    <s v="_x0000_peopl"/>
  </r>
  <r>
    <x v="6"/>
    <n v="13.686400000000001"/>
    <n v="-89.215100000000007"/>
    <n v="9"/>
    <n v="0"/>
    <n v="0"/>
    <n v="107"/>
    <s v="_x0000_peopl"/>
  </r>
  <r>
    <x v="6"/>
    <n v="13.6854"/>
    <n v="-89.212999999999994"/>
    <n v="3"/>
    <n v="0"/>
    <n v="0"/>
    <n v="107"/>
    <s v="_x0000_peopl"/>
  </r>
  <r>
    <x v="6"/>
    <n v="13.688499999999999"/>
    <n v="-89.2042"/>
    <n v="4"/>
    <n v="0"/>
    <n v="0"/>
    <n v="107"/>
    <s v="_x0000_peopl"/>
  </r>
  <r>
    <x v="6"/>
    <n v="13.692600000000001"/>
    <n v="-89.178899999999999"/>
    <n v="3"/>
    <n v="0"/>
    <n v="0"/>
    <n v="107"/>
    <s v="_x0000_peopl"/>
  </r>
  <r>
    <x v="6"/>
    <n v="13.688499999999999"/>
    <n v="-89.2042"/>
    <n v="5"/>
    <n v="0"/>
    <n v="0"/>
    <n v="107"/>
    <s v="_x0000_peopl"/>
  </r>
  <r>
    <x v="6"/>
    <n v="13.6899"/>
    <n v="-89.235900000000001"/>
    <n v="3"/>
    <n v="0"/>
    <n v="0"/>
    <n v="107"/>
    <s v="_x0000_peopl"/>
  </r>
  <r>
    <x v="6"/>
    <n v="13.686"/>
    <n v="-89.215299999999999"/>
    <n v="2"/>
    <n v="0"/>
    <n v="0"/>
    <n v="107"/>
    <s v="_x0000_peopl"/>
  </r>
  <r>
    <x v="6"/>
    <n v="13.690300000000001"/>
    <n v="-89.234099999999998"/>
    <n v="8"/>
    <n v="0"/>
    <n v="0"/>
    <n v="107"/>
    <s v="_x0000_peopl"/>
  </r>
  <r>
    <x v="6"/>
    <n v="13.689299999999999"/>
    <n v="-89.184700000000007"/>
    <n v="4"/>
    <n v="0"/>
    <n v="0"/>
    <n v="107"/>
    <s v="_x0000_peopl"/>
  </r>
  <r>
    <x v="6"/>
    <n v="13.6875"/>
    <n v="-89.1965"/>
    <n v="6"/>
    <n v="0"/>
    <n v="0"/>
    <n v="107"/>
    <s v="_x0000_peopl"/>
  </r>
  <r>
    <x v="6"/>
    <n v="13.691000000000001"/>
    <n v="-89.179100000000005"/>
    <n v="7"/>
    <n v="0"/>
    <n v="0"/>
    <n v="107"/>
    <s v="_x0000_peopl"/>
  </r>
  <r>
    <x v="6"/>
    <n v="13.695600000000001"/>
    <n v="-89.173199999999994"/>
    <n v="9"/>
    <n v="0"/>
    <n v="0"/>
    <n v="107"/>
    <s v="_x0000_peopl"/>
  </r>
  <r>
    <x v="6"/>
    <n v="13.6913"/>
    <n v="-89.235299999999995"/>
    <n v="4"/>
    <n v="0"/>
    <n v="0"/>
    <n v="107"/>
    <s v="_x0000_peopl"/>
  </r>
  <r>
    <x v="6"/>
    <n v="13.685600000000001"/>
    <n v="-89.203500000000005"/>
    <n v="5"/>
    <n v="0"/>
    <n v="0"/>
    <n v="107"/>
    <s v="_x0000_peopl"/>
  </r>
  <r>
    <x v="6"/>
    <n v="13.677099999999999"/>
    <n v="-89.2483"/>
    <n v="6"/>
    <n v="0"/>
    <n v="0"/>
    <n v="107"/>
    <s v="_x0000_peopl"/>
  </r>
  <r>
    <x v="6"/>
    <n v="13.6934"/>
    <n v="-89.188199999999995"/>
    <n v="6"/>
    <n v="0"/>
    <n v="0"/>
    <n v="107"/>
    <s v="_x0000_peopl"/>
  </r>
  <r>
    <x v="6"/>
    <n v="13.686"/>
    <n v="-89.214600000000004"/>
    <n v="1"/>
    <n v="0"/>
    <n v="0"/>
    <n v="107"/>
    <s v="_x0000_peopl"/>
  </r>
  <r>
    <x v="6"/>
    <n v="13.6889"/>
    <n v="-89.216899999999995"/>
    <n v="2"/>
    <n v="0"/>
    <n v="0"/>
    <n v="107"/>
    <s v="_x0000_peopl"/>
  </r>
  <r>
    <x v="6"/>
    <n v="13.6907"/>
    <n v="-89.189400000000006"/>
    <n v="3"/>
    <n v="0"/>
    <n v="0"/>
    <n v="107"/>
    <s v="_x0000_peopl"/>
  </r>
  <r>
    <x v="6"/>
    <n v="13.688000000000001"/>
    <n v="-89.212900000000005"/>
    <n v="3"/>
    <n v="0"/>
    <n v="0"/>
    <n v="107"/>
    <s v="_x0000_peopl"/>
  </r>
  <r>
    <x v="6"/>
    <n v="13.6928"/>
    <n v="-89.189499999999995"/>
    <n v="3"/>
    <n v="0"/>
    <n v="0"/>
    <n v="107"/>
    <s v="_x0000_peopl"/>
  </r>
  <r>
    <x v="6"/>
    <n v="13.694599999999999"/>
    <n v="-89.174700000000001"/>
    <n v="4"/>
    <n v="0"/>
    <n v="0"/>
    <n v="107"/>
    <s v="_x0000_peopl"/>
  </r>
  <r>
    <x v="6"/>
    <n v="13.676500000000001"/>
    <n v="-89.249399999999994"/>
    <n v="5"/>
    <n v="0"/>
    <n v="0"/>
    <n v="107"/>
    <s v="_x0000_peopl"/>
  </r>
  <r>
    <x v="6"/>
    <n v="13.6873"/>
    <n v="-89.1965"/>
    <n v="9"/>
    <n v="0"/>
    <n v="0"/>
    <n v="107"/>
    <s v="_x0000_peopl"/>
  </r>
  <r>
    <x v="6"/>
    <n v="13.6882"/>
    <n v="-89.180099999999996"/>
    <n v="5"/>
    <n v="0"/>
    <n v="0"/>
    <n v="107"/>
    <s v="_x0000_peopl"/>
  </r>
  <r>
    <x v="6"/>
    <n v="13.6852"/>
    <n v="-89.2119"/>
    <n v="0"/>
    <n v="0"/>
    <n v="0"/>
    <n v="107"/>
    <s v="_x0000_peopl"/>
  </r>
  <r>
    <x v="6"/>
    <n v="13.6913"/>
    <n v="-89.186800000000005"/>
    <n v="6"/>
    <n v="0"/>
    <n v="0"/>
    <n v="107"/>
    <s v="_x0000_peopl"/>
  </r>
  <r>
    <x v="6"/>
    <n v="13.6859"/>
    <n v="-89.216399999999993"/>
    <n v="4"/>
    <n v="0"/>
    <n v="0"/>
    <n v="107"/>
    <s v="_x0000_peopl"/>
  </r>
  <r>
    <x v="6"/>
    <n v="13.685700000000001"/>
    <n v="-89.203400000000002"/>
    <n v="12"/>
    <n v="0"/>
    <n v="0"/>
    <n v="107"/>
    <s v="_x0000_peopl"/>
  </r>
  <r>
    <x v="6"/>
    <n v="13.6959"/>
    <n v="-89.172600000000003"/>
    <n v="1"/>
    <n v="0"/>
    <n v="0"/>
    <n v="107"/>
    <s v="_x0000_peopl"/>
  </r>
  <r>
    <x v="6"/>
    <n v="13.6868"/>
    <n v="-89.183099999999996"/>
    <n v="1"/>
    <n v="0"/>
    <n v="0"/>
    <n v="107"/>
    <s v="_x0000_peopl"/>
  </r>
  <r>
    <x v="6"/>
    <n v="13.6913"/>
    <n v="-89.226500000000001"/>
    <n v="13"/>
    <n v="0"/>
    <n v="0"/>
    <n v="107"/>
    <s v="_x0000_peopl"/>
  </r>
  <r>
    <x v="6"/>
    <n v="13.6875"/>
    <n v="-89.205299999999994"/>
    <n v="5"/>
    <n v="0"/>
    <n v="0"/>
    <n v="107"/>
    <s v="_x0000_peopl"/>
  </r>
  <r>
    <x v="6"/>
    <n v="13.688000000000001"/>
    <n v="-89.216899999999995"/>
    <n v="5"/>
    <n v="0"/>
    <n v="0"/>
    <n v="107"/>
    <s v="_x0000_peopl"/>
  </r>
  <r>
    <x v="6"/>
    <n v="13.6889"/>
    <n v="-89.190299999999993"/>
    <n v="2"/>
    <n v="0"/>
    <n v="0"/>
    <n v="107"/>
    <s v="_x0000_peopl"/>
  </r>
  <r>
    <x v="6"/>
    <n v="13.6858"/>
    <n v="-89.201700000000002"/>
    <n v="3"/>
    <n v="0"/>
    <n v="0"/>
    <n v="107"/>
    <s v="_x0000_peopl"/>
  </r>
  <r>
    <x v="6"/>
    <n v="13.6873"/>
    <n v="-89.196700000000007"/>
    <n v="3"/>
    <n v="0"/>
    <n v="0"/>
    <n v="107"/>
    <s v="_x0000_peopl"/>
  </r>
  <r>
    <x v="6"/>
    <n v="13.6927"/>
    <n v="-89.193799999999996"/>
    <n v="3"/>
    <n v="0"/>
    <n v="0"/>
    <n v="107"/>
    <s v="_x0000_peopl"/>
  </r>
  <r>
    <x v="6"/>
    <n v="13.6927"/>
    <n v="-89.223600000000005"/>
    <n v="7"/>
    <n v="0"/>
    <n v="0"/>
    <n v="107"/>
    <s v="_x0000_peopl"/>
  </r>
  <r>
    <x v="6"/>
    <n v="13.695"/>
    <n v="-89.172300000000007"/>
    <n v="3"/>
    <n v="0"/>
    <n v="0"/>
    <n v="107"/>
    <s v="_x0000_peopl"/>
  </r>
  <r>
    <x v="6"/>
    <n v="13.6874"/>
    <n v="-89.196600000000004"/>
    <n v="4"/>
    <n v="0"/>
    <n v="0"/>
    <n v="107"/>
    <s v="_x0000_peopl"/>
  </r>
  <r>
    <x v="6"/>
    <n v="13.689399999999999"/>
    <n v="-89.229500000000002"/>
    <n v="1"/>
    <n v="0"/>
    <n v="0"/>
    <n v="107"/>
    <s v="_x0000_peopl"/>
  </r>
  <r>
    <x v="6"/>
    <n v="13.6911"/>
    <n v="-89.226699999999994"/>
    <n v="7"/>
    <n v="0"/>
    <n v="0"/>
    <n v="107"/>
    <s v="_x0000_peopl"/>
  </r>
  <r>
    <x v="6"/>
    <n v="13.687799999999999"/>
    <n v="-89.197199999999995"/>
    <n v="3"/>
    <n v="0"/>
    <n v="0"/>
    <n v="107"/>
    <s v="_x0000_peopl"/>
  </r>
  <r>
    <x v="6"/>
    <n v="13.6936"/>
    <n v="-89.176900000000003"/>
    <n v="1"/>
    <n v="0"/>
    <n v="0"/>
    <n v="107"/>
    <s v="_x0000_peopl"/>
  </r>
  <r>
    <x v="6"/>
    <n v="13.6798"/>
    <n v="-89.194900000000004"/>
    <n v="8"/>
    <n v="0"/>
    <n v="0"/>
    <n v="107"/>
    <s v="_x0000_peopl"/>
  </r>
  <r>
    <x v="6"/>
    <n v="13.6953"/>
    <n v="-89.173599999999993"/>
    <n v="0"/>
    <n v="0"/>
    <n v="0"/>
    <n v="107"/>
    <s v="_x0000_peopl"/>
  </r>
  <r>
    <x v="6"/>
    <n v="13.692500000000001"/>
    <n v="-89.226399999999998"/>
    <n v="1"/>
    <n v="0"/>
    <n v="0"/>
    <n v="107"/>
    <s v="_x0000_peopl"/>
  </r>
  <r>
    <x v="6"/>
    <n v="13.690099999999999"/>
    <n v="-89.193600000000004"/>
    <n v="3"/>
    <n v="0"/>
    <n v="0"/>
    <n v="107"/>
    <s v="_x0000_peopl"/>
  </r>
  <r>
    <x v="6"/>
    <n v="13.684799999999999"/>
    <n v="-89.216300000000004"/>
    <n v="8"/>
    <n v="0"/>
    <n v="0"/>
    <n v="107"/>
    <s v="_x0000_peopl"/>
  </r>
  <r>
    <x v="6"/>
    <n v="13.6869"/>
    <n v="-89.197199999999995"/>
    <n v="6"/>
    <n v="0"/>
    <n v="0"/>
    <n v="107"/>
    <s v="_x0000_peopl"/>
  </r>
  <r>
    <x v="6"/>
    <n v="13.6911"/>
    <n v="-89.219099999999997"/>
    <n v="4"/>
    <n v="0"/>
    <n v="0"/>
    <n v="107"/>
    <s v="_x0000_peopl"/>
  </r>
  <r>
    <x v="6"/>
    <n v="13.693099999999999"/>
    <n v="-89.173900000000003"/>
    <n v="0"/>
    <n v="0"/>
    <n v="0"/>
    <n v="107"/>
    <s v="_x0000_peopl"/>
  </r>
  <r>
    <x v="6"/>
    <n v="13.6891"/>
    <n v="-89.184100000000001"/>
    <n v="7"/>
    <n v="0"/>
    <n v="0"/>
    <n v="107"/>
    <s v="_x0000_peopl"/>
  </r>
  <r>
    <x v="6"/>
    <n v="13.690799999999999"/>
    <n v="-89.190399999999997"/>
    <n v="3"/>
    <n v="0"/>
    <n v="0"/>
    <n v="107"/>
    <s v="_x0000_peopl"/>
  </r>
  <r>
    <x v="6"/>
    <n v="13.6944"/>
    <n v="-89.188999999999993"/>
    <n v="7"/>
    <n v="0"/>
    <n v="0"/>
    <n v="107"/>
    <s v="_x0000_peopl"/>
  </r>
  <r>
    <x v="6"/>
    <n v="13.684699999999999"/>
    <n v="-89.217299999999994"/>
    <n v="9"/>
    <n v="0"/>
    <n v="0"/>
    <n v="107"/>
    <s v="_x0000_peopl"/>
  </r>
  <r>
    <x v="6"/>
    <n v="13.685600000000001"/>
    <n v="-89.215500000000006"/>
    <n v="3"/>
    <n v="0"/>
    <n v="0"/>
    <n v="107"/>
    <s v="_x0000_peopl"/>
  </r>
  <r>
    <x v="6"/>
    <n v="13.690200000000001"/>
    <n v="-89.188500000000005"/>
    <n v="1"/>
    <n v="0"/>
    <n v="0"/>
    <n v="107"/>
    <s v="_x0000_peopl"/>
  </r>
  <r>
    <x v="6"/>
    <n v="13.6854"/>
    <n v="-89.202100000000002"/>
    <n v="2"/>
    <n v="0"/>
    <n v="0"/>
    <n v="107"/>
    <s v="_x0000_peopl"/>
  </r>
  <r>
    <x v="6"/>
    <n v="13.691800000000001"/>
    <n v="-89.197299999999998"/>
    <n v="2"/>
    <n v="0"/>
    <n v="0"/>
    <n v="107"/>
    <s v="_x0000_peopl"/>
  </r>
  <r>
    <x v="6"/>
    <n v="13.674300000000001"/>
    <n v="-89.202399999999997"/>
    <n v="3"/>
    <n v="0"/>
    <n v="0"/>
    <n v="107"/>
    <s v="_x0000_peopl"/>
  </r>
  <r>
    <x v="6"/>
    <n v="13.677300000000001"/>
    <n v="-89.247299999999996"/>
    <n v="4"/>
    <n v="0"/>
    <n v="0"/>
    <n v="107"/>
    <s v="_x0000_peopl"/>
  </r>
  <r>
    <x v="6"/>
    <n v="13.687200000000001"/>
    <n v="-89.212100000000007"/>
    <n v="7"/>
    <n v="0"/>
    <n v="0"/>
    <n v="107"/>
    <s v="_x0000_peopl"/>
  </r>
  <r>
    <x v="6"/>
    <n v="13.6889"/>
    <n v="-89.181200000000004"/>
    <n v="10"/>
    <n v="0"/>
    <n v="0"/>
    <n v="107"/>
    <s v="_x0000_peopl"/>
  </r>
  <r>
    <x v="6"/>
    <n v="13.6907"/>
    <n v="-89.187399999999997"/>
    <n v="4"/>
    <n v="0"/>
    <n v="0"/>
    <n v="107"/>
    <s v="_x0000_peopl"/>
  </r>
  <r>
    <x v="6"/>
    <n v="13.6921"/>
    <n v="-89.2226"/>
    <n v="3"/>
    <n v="0"/>
    <n v="0"/>
    <n v="107"/>
    <s v="_x0000_peopl"/>
  </r>
  <r>
    <x v="6"/>
    <n v="13.691599999999999"/>
    <n v="-89.1935"/>
    <n v="5"/>
    <n v="0"/>
    <n v="0"/>
    <n v="107"/>
    <s v="_x0000_peopl"/>
  </r>
  <r>
    <x v="6"/>
    <n v="13.6919"/>
    <n v="-89.183300000000003"/>
    <n v="3"/>
    <n v="0"/>
    <n v="0"/>
    <n v="107"/>
    <s v="_x0000_peopl"/>
  </r>
  <r>
    <x v="6"/>
    <n v="13.692399999999999"/>
    <n v="-89.224199999999996"/>
    <n v="5"/>
    <n v="0"/>
    <n v="0"/>
    <n v="107"/>
    <s v="_x0000_peopl"/>
  </r>
  <r>
    <x v="6"/>
    <n v="13.6936"/>
    <n v="-89.176500000000004"/>
    <n v="3"/>
    <n v="0"/>
    <n v="0"/>
    <n v="107"/>
    <s v="_x0000_peopl"/>
  </r>
  <r>
    <x v="6"/>
    <n v="13.677099999999999"/>
    <n v="-89.248099999999994"/>
    <n v="6"/>
    <n v="0"/>
    <n v="0"/>
    <n v="107"/>
    <s v="_x0000_peopl"/>
  </r>
  <r>
    <x v="6"/>
    <n v="13.6919"/>
    <n v="-89.179299999999998"/>
    <n v="9"/>
    <n v="0"/>
    <n v="0"/>
    <n v="107"/>
    <s v="_x0000_peopl"/>
  </r>
  <r>
    <x v="6"/>
    <n v="13.6897"/>
    <n v="-89.194100000000006"/>
    <n v="4"/>
    <n v="0"/>
    <n v="0"/>
    <n v="107"/>
    <s v="_x0000_peopl"/>
  </r>
  <r>
    <x v="6"/>
    <n v="13.693099999999999"/>
    <n v="-89.183300000000003"/>
    <n v="3"/>
    <n v="0"/>
    <n v="0"/>
    <n v="107"/>
    <s v="_x0000_peopl"/>
  </r>
  <r>
    <x v="6"/>
    <n v="13.690200000000001"/>
    <n v="-89.193200000000004"/>
    <n v="6"/>
    <n v="0"/>
    <n v="0"/>
    <n v="107"/>
    <s v="_x0000_peopl"/>
  </r>
  <r>
    <x v="6"/>
    <n v="13.6873"/>
    <n v="-89.194100000000006"/>
    <n v="4"/>
    <n v="0"/>
    <n v="0"/>
    <n v="107"/>
    <s v="_x0000_peopl"/>
  </r>
  <r>
    <x v="6"/>
    <n v="13.6889"/>
    <n v="-89.229299999999995"/>
    <n v="5"/>
    <n v="0"/>
    <n v="0"/>
    <n v="107"/>
    <s v="_x0000_peopl"/>
  </r>
  <r>
    <x v="6"/>
    <n v="13.6945"/>
    <n v="-89.183300000000003"/>
    <n v="8"/>
    <n v="0"/>
    <n v="0"/>
    <n v="107"/>
    <s v="_x0000_peopl"/>
  </r>
  <r>
    <x v="6"/>
    <n v="13.6873"/>
    <n v="-89.213899999999995"/>
    <n v="3"/>
    <n v="0"/>
    <n v="0"/>
    <n v="107"/>
    <s v="_x0000_peopl"/>
  </r>
  <r>
    <x v="6"/>
    <n v="13.6914"/>
    <n v="-89.232799999999997"/>
    <n v="4"/>
    <n v="0"/>
    <n v="0"/>
    <n v="107"/>
    <s v="_x0000_peopl"/>
  </r>
  <r>
    <x v="6"/>
    <n v="13.690300000000001"/>
    <n v="-89.181299999999993"/>
    <n v="2"/>
    <n v="0"/>
    <n v="0"/>
    <n v="107"/>
    <s v="_x0000_peopl"/>
  </r>
  <r>
    <x v="6"/>
    <n v="13.689399999999999"/>
    <n v="-89.196799999999996"/>
    <n v="3"/>
    <n v="0"/>
    <n v="0"/>
    <n v="107"/>
    <s v="_x0000_peopl"/>
  </r>
  <r>
    <x v="6"/>
    <n v="13.689"/>
    <n v="-89.19"/>
    <n v="4"/>
    <n v="0"/>
    <n v="0"/>
    <n v="107"/>
    <s v="_x0000_peopl"/>
  </r>
  <r>
    <x v="6"/>
    <n v="13.6912"/>
    <n v="-89.226699999999994"/>
    <n v="5"/>
    <n v="0"/>
    <n v="0"/>
    <n v="107"/>
    <s v="_x0000_peopl"/>
  </r>
  <r>
    <x v="6"/>
    <n v="13.6907"/>
    <n v="-89.194299999999998"/>
    <n v="8"/>
    <n v="0"/>
    <n v="0"/>
    <n v="107"/>
    <s v="_x0000_peopl"/>
  </r>
  <r>
    <x v="6"/>
    <n v="13.6915"/>
    <n v="-89.185299999999998"/>
    <n v="3"/>
    <n v="0"/>
    <n v="0"/>
    <n v="107"/>
    <s v="_x0000_peopl"/>
  </r>
  <r>
    <x v="6"/>
    <n v="13.6873"/>
    <n v="-89.193899999999999"/>
    <n v="5"/>
    <n v="0"/>
    <n v="0"/>
    <n v="107"/>
    <s v="_x0000_peopl"/>
  </r>
  <r>
    <x v="6"/>
    <n v="13.6881"/>
    <n v="-89.216499999999996"/>
    <n v="7"/>
    <n v="0"/>
    <n v="0"/>
    <n v="107"/>
    <s v="_x0000_peopl"/>
  </r>
  <r>
    <x v="6"/>
    <n v="13.6905"/>
    <n v="-89.235100000000003"/>
    <n v="7"/>
    <n v="0"/>
    <n v="0"/>
    <n v="107"/>
    <s v="_x0000_peopl"/>
  </r>
  <r>
    <x v="6"/>
    <n v="13.6907"/>
    <n v="-89.227699999999999"/>
    <n v="3"/>
    <n v="0"/>
    <n v="0"/>
    <n v="107"/>
    <s v="_x0000_peopl"/>
  </r>
  <r>
    <x v="6"/>
    <n v="13.6882"/>
    <n v="-89.180199999999999"/>
    <n v="6"/>
    <n v="0"/>
    <n v="0"/>
    <n v="107"/>
    <s v="_x0000_peopl"/>
  </r>
  <r>
    <x v="6"/>
    <n v="13.692299999999999"/>
    <n v="-89.186700000000002"/>
    <n v="5"/>
    <n v="0"/>
    <n v="0"/>
    <n v="107"/>
    <s v="_x0000_peopl"/>
  </r>
  <r>
    <x v="6"/>
    <n v="13.69"/>
    <n v="-89.179900000000004"/>
    <n v="2"/>
    <n v="0"/>
    <n v="0"/>
    <n v="107"/>
    <s v="_x0000_peopl"/>
  </r>
  <r>
    <x v="6"/>
    <n v="13.6799"/>
    <n v="-89.196700000000007"/>
    <n v="2"/>
    <n v="0"/>
    <n v="0"/>
    <n v="107"/>
    <s v="_x0000_peopl"/>
  </r>
  <r>
    <x v="6"/>
    <n v="13.687900000000001"/>
    <n v="-89.181399999999996"/>
    <n v="4"/>
    <n v="0"/>
    <n v="0"/>
    <n v="107"/>
    <s v="_x0000_peopl"/>
  </r>
  <r>
    <x v="6"/>
    <n v="13.691700000000001"/>
    <n v="-89.186000000000007"/>
    <n v="4"/>
    <n v="0"/>
    <n v="0"/>
    <n v="107"/>
    <s v="_x0000_peopl"/>
  </r>
  <r>
    <x v="6"/>
    <n v="13.6937"/>
    <n v="-89.172799999999995"/>
    <n v="4"/>
    <n v="0"/>
    <n v="0"/>
    <n v="107"/>
    <s v="_x0000_peopl"/>
  </r>
  <r>
    <x v="6"/>
    <n v="13.6876"/>
    <n v="-89.214500000000001"/>
    <n v="5"/>
    <n v="0"/>
    <n v="0"/>
    <n v="107"/>
    <s v="_x0000_peopl"/>
  </r>
  <r>
    <x v="6"/>
    <n v="13.692500000000001"/>
    <n v="-89.184600000000003"/>
    <n v="7"/>
    <n v="0"/>
    <n v="0"/>
    <n v="107"/>
    <s v="_x0000_peopl"/>
  </r>
  <r>
    <x v="6"/>
    <n v="13.688499999999999"/>
    <n v="-89.229699999999994"/>
    <n v="4"/>
    <n v="0"/>
    <n v="0"/>
    <n v="107"/>
    <s v="_x0000_peopl"/>
  </r>
  <r>
    <x v="6"/>
    <n v="13.696999999999999"/>
    <n v="-89.171999999999997"/>
    <n v="8"/>
    <n v="0"/>
    <n v="0"/>
    <n v="107"/>
    <s v="_x0000_peopl"/>
  </r>
  <r>
    <x v="6"/>
    <n v="13.6882"/>
    <n v="-89.180800000000005"/>
    <n v="2"/>
    <n v="0"/>
    <n v="0"/>
    <n v="107"/>
    <s v="_x0000_peopl"/>
  </r>
  <r>
    <x v="6"/>
    <n v="13.6896"/>
    <n v="-89.177400000000006"/>
    <n v="8"/>
    <n v="0"/>
    <n v="0"/>
    <n v="107"/>
    <s v="_x0000_peopl"/>
  </r>
  <r>
    <x v="6"/>
    <n v="13.6843"/>
    <n v="-89.2119"/>
    <n v="4"/>
    <n v="0"/>
    <n v="0"/>
    <n v="107"/>
    <s v="_x0000_peopl"/>
  </r>
  <r>
    <x v="6"/>
    <n v="13.686"/>
    <n v="-89.204099999999997"/>
    <n v="6"/>
    <n v="0"/>
    <n v="0"/>
    <n v="107"/>
    <s v="_x0000_peopl"/>
  </r>
  <r>
    <x v="6"/>
    <n v="13.6907"/>
    <n v="-89.195599999999999"/>
    <n v="8"/>
    <n v="0"/>
    <n v="0"/>
    <n v="107"/>
    <s v="_x0000_peopl"/>
  </r>
  <r>
    <x v="6"/>
    <n v="13.684900000000001"/>
    <n v="-89.216700000000003"/>
    <n v="6"/>
    <n v="0"/>
    <n v="0"/>
    <n v="107"/>
    <s v="_x0000_peopl"/>
  </r>
  <r>
    <x v="6"/>
    <n v="13.686299999999999"/>
    <n v="-89.193700000000007"/>
    <n v="5"/>
    <n v="0"/>
    <n v="0"/>
    <n v="107"/>
    <s v="_x0000_peopl"/>
  </r>
  <r>
    <x v="6"/>
    <n v="13.6859"/>
    <n v="-89.202100000000002"/>
    <n v="4"/>
    <n v="0"/>
    <n v="0"/>
    <n v="107"/>
    <s v="_x0000_peopl"/>
  </r>
  <r>
    <x v="6"/>
    <n v="13.691800000000001"/>
    <n v="-89.179299999999998"/>
    <n v="4"/>
    <n v="0"/>
    <n v="0"/>
    <n v="107"/>
    <s v="_x0000_peopl"/>
  </r>
  <r>
    <x v="6"/>
    <n v="13.688499999999999"/>
    <n v="-89.1905"/>
    <n v="8"/>
    <n v="0"/>
    <n v="0"/>
    <n v="107"/>
    <s v="_x0000_peopl"/>
  </r>
  <r>
    <x v="6"/>
    <n v="13.684699999999999"/>
    <n v="-89.203999999999994"/>
    <n v="4"/>
    <n v="0"/>
    <n v="0"/>
    <n v="107"/>
    <s v="_x0000_peopl"/>
  </r>
  <r>
    <x v="6"/>
    <n v="13.690799999999999"/>
    <n v="-89.234800000000007"/>
    <n v="0"/>
    <n v="0"/>
    <n v="0"/>
    <n v="107"/>
    <s v="_x0000_peopl"/>
  </r>
  <r>
    <x v="6"/>
    <n v="13.686299999999999"/>
    <n v="-89.193700000000007"/>
    <n v="5"/>
    <n v="0"/>
    <n v="0"/>
    <n v="107"/>
    <s v="_x0000_peopl"/>
  </r>
  <r>
    <x v="6"/>
    <n v="13.6959"/>
    <n v="-89.172399999999996"/>
    <n v="7"/>
    <n v="0"/>
    <n v="0"/>
    <n v="107"/>
    <s v="_x0000_peopl"/>
  </r>
  <r>
    <x v="6"/>
    <n v="13.686999999999999"/>
    <n v="-89.197400000000002"/>
    <n v="5"/>
    <n v="0"/>
    <n v="0"/>
    <n v="107"/>
    <s v="_x0000_peopl"/>
  </r>
  <r>
    <x v="6"/>
    <n v="13.6945"/>
    <n v="-89.171700000000001"/>
    <n v="4"/>
    <n v="0"/>
    <n v="0"/>
    <n v="107"/>
    <s v="_x0000_peopl"/>
  </r>
  <r>
    <x v="6"/>
    <n v="13.689299999999999"/>
    <n v="-89.180899999999994"/>
    <n v="7"/>
    <n v="0"/>
    <n v="0"/>
    <n v="107"/>
    <s v="_x0000_peopl"/>
  </r>
  <r>
    <x v="6"/>
    <n v="13.6867"/>
    <n v="-89.215400000000002"/>
    <n v="5"/>
    <n v="0"/>
    <n v="0"/>
    <n v="107"/>
    <s v="_x0000_peopl"/>
  </r>
  <r>
    <x v="6"/>
    <n v="13.691000000000001"/>
    <n v="-89.233400000000003"/>
    <n v="5"/>
    <n v="0"/>
    <n v="0"/>
    <n v="107"/>
    <s v="_x0000_peopl"/>
  </r>
  <r>
    <x v="6"/>
    <n v="13.6851"/>
    <n v="-89.202399999999997"/>
    <n v="8"/>
    <n v="0"/>
    <n v="0"/>
    <n v="107"/>
    <s v="_x0000_peopl"/>
  </r>
  <r>
    <x v="6"/>
    <n v="13.686999999999999"/>
    <n v="-89.197400000000002"/>
    <n v="4"/>
    <n v="0"/>
    <n v="0"/>
    <n v="107"/>
    <s v="_x0000_peopl"/>
  </r>
  <r>
    <x v="6"/>
    <n v="13.687900000000001"/>
    <n v="-89.212699999999998"/>
    <n v="3"/>
    <n v="0"/>
    <n v="0"/>
    <n v="107"/>
    <s v="_x0000_peopl"/>
  </r>
  <r>
    <x v="6"/>
    <n v="13.690799999999999"/>
    <n v="-89.197599999999994"/>
    <n v="4"/>
    <n v="0"/>
    <n v="0"/>
    <n v="107"/>
    <s v="_x0000_peopl"/>
  </r>
  <r>
    <x v="6"/>
    <n v="13.694800000000001"/>
    <n v="-89.182900000000004"/>
    <n v="1"/>
    <n v="0"/>
    <n v="0"/>
    <n v="107"/>
    <s v="_x0000_peopl"/>
  </r>
  <r>
    <x v="6"/>
    <n v="13.694000000000001"/>
    <n v="-89.174999999999997"/>
    <n v="5"/>
    <n v="0"/>
    <n v="0"/>
    <n v="107"/>
    <s v="_x0000_peopl"/>
  </r>
  <r>
    <x v="6"/>
    <n v="13.6883"/>
    <n v="-89.229299999999995"/>
    <n v="8"/>
    <n v="0"/>
    <n v="0"/>
    <n v="107"/>
    <s v="_x0000_peopl"/>
  </r>
  <r>
    <x v="6"/>
    <n v="13.692500000000001"/>
    <n v="-89.224999999999994"/>
    <n v="3"/>
    <n v="0"/>
    <n v="0"/>
    <n v="107"/>
    <s v="_x0000_peopl"/>
  </r>
  <r>
    <x v="6"/>
    <n v="13.6899"/>
    <n v="-89.184600000000003"/>
    <n v="3"/>
    <n v="0"/>
    <n v="0"/>
    <n v="107"/>
    <s v="_x0000_peopl"/>
  </r>
  <r>
    <x v="6"/>
    <n v="13.6915"/>
    <n v="-89.2286"/>
    <n v="4"/>
    <n v="0"/>
    <n v="0"/>
    <n v="107"/>
    <s v="_x0000_peopl"/>
  </r>
  <r>
    <x v="6"/>
    <n v="13.6898"/>
    <n v="-89.189499999999995"/>
    <n v="5"/>
    <n v="0"/>
    <n v="0"/>
    <n v="107"/>
    <s v="_x0000_peopl"/>
  </r>
  <r>
    <x v="6"/>
    <n v="13.6892"/>
    <n v="-89.236099999999993"/>
    <n v="10"/>
    <n v="0"/>
    <n v="0"/>
    <n v="107"/>
    <s v="_x0000_peopl"/>
  </r>
  <r>
    <x v="6"/>
    <n v="13.6912"/>
    <n v="-89.232900000000001"/>
    <n v="4"/>
    <n v="0"/>
    <n v="0"/>
    <n v="107"/>
    <s v="_x0000_peopl"/>
  </r>
  <r>
    <x v="6"/>
    <n v="13.6877"/>
    <n v="-89.180700000000002"/>
    <n v="1"/>
    <n v="0"/>
    <n v="0"/>
    <n v="107"/>
    <s v="_x0000_peopl"/>
  </r>
  <r>
    <x v="6"/>
    <n v="13.6869"/>
    <n v="-89.197400000000002"/>
    <n v="3"/>
    <n v="0"/>
    <n v="0"/>
    <n v="107"/>
    <s v="_x0000_peopl"/>
  </r>
  <r>
    <x v="6"/>
    <n v="13.6874"/>
    <n v="-89.194299999999998"/>
    <n v="1"/>
    <n v="0"/>
    <n v="0"/>
    <n v="107"/>
    <s v="_x0000_peopl"/>
  </r>
  <r>
    <x v="6"/>
    <n v="13.690799999999999"/>
    <n v="-89.194400000000002"/>
    <n v="5"/>
    <n v="0"/>
    <n v="0"/>
    <n v="107"/>
    <s v="_x0000_peopl"/>
  </r>
  <r>
    <x v="6"/>
    <n v="13.6875"/>
    <n v="-89.215900000000005"/>
    <n v="6"/>
    <n v="0"/>
    <n v="0"/>
    <n v="107"/>
    <s v="_x0000_peopl"/>
  </r>
  <r>
    <x v="6"/>
    <n v="13.69"/>
    <n v="-89.217399999999998"/>
    <n v="2"/>
    <n v="0"/>
    <n v="0"/>
    <n v="107"/>
    <s v="_x0000_peopl"/>
  </r>
  <r>
    <x v="6"/>
    <n v="13.6874"/>
    <n v="-89.194400000000002"/>
    <n v="4"/>
    <n v="0"/>
    <n v="0"/>
    <n v="107"/>
    <s v="_x0000_peopl"/>
  </r>
  <r>
    <x v="6"/>
    <n v="13.6913"/>
    <n v="-89.233000000000004"/>
    <n v="2"/>
    <n v="0"/>
    <n v="0"/>
    <n v="107"/>
    <s v="_x0000_peopl"/>
  </r>
  <r>
    <x v="6"/>
    <n v="13.6892"/>
    <n v="-89.228999999999999"/>
    <n v="5"/>
    <n v="0"/>
    <n v="0"/>
    <n v="107"/>
    <s v="_x0000_peopl"/>
  </r>
  <r>
    <x v="6"/>
    <n v="13.6876"/>
    <n v="-89.214500000000001"/>
    <n v="2"/>
    <n v="0"/>
    <n v="0"/>
    <n v="107"/>
    <s v="_x0000_peopl"/>
  </r>
  <r>
    <x v="6"/>
    <n v="13.6927"/>
    <n v="-89.225899999999996"/>
    <n v="3"/>
    <n v="0"/>
    <n v="0"/>
    <n v="107"/>
    <s v="_x0000_peopl"/>
  </r>
  <r>
    <x v="6"/>
    <n v="13.6881"/>
    <n v="-89.18"/>
    <n v="4"/>
    <n v="0"/>
    <n v="0"/>
    <n v="107"/>
    <s v="_x0000_peopl"/>
  </r>
  <r>
    <x v="6"/>
    <n v="13.6975"/>
    <n v="-89.171199999999999"/>
    <n v="2"/>
    <n v="0"/>
    <n v="0"/>
    <n v="107"/>
    <s v="_x0000_peopl"/>
  </r>
  <r>
    <x v="6"/>
    <n v="13.69"/>
    <n v="-89.186899999999994"/>
    <n v="5"/>
    <n v="0"/>
    <n v="0"/>
    <n v="107"/>
    <s v="_x0000_peopl"/>
  </r>
  <r>
    <x v="6"/>
    <n v="13.6912"/>
    <n v="-89.219300000000004"/>
    <n v="1"/>
    <n v="0"/>
    <n v="0"/>
    <n v="107"/>
    <s v="_x0000_peopl"/>
  </r>
  <r>
    <x v="6"/>
    <n v="13.691800000000001"/>
    <n v="-89.195999999999998"/>
    <n v="5"/>
    <n v="0"/>
    <n v="0"/>
    <n v="107"/>
    <s v="_x0000_peopl"/>
  </r>
  <r>
    <x v="6"/>
    <n v="13.6937"/>
    <n v="-89.1768"/>
    <n v="5"/>
    <n v="0"/>
    <n v="0"/>
    <n v="107"/>
    <s v="_x0000_peopl"/>
  </r>
  <r>
    <x v="6"/>
    <n v="13.6737"/>
    <n v="-89.203000000000003"/>
    <n v="8"/>
    <n v="0"/>
    <n v="0"/>
    <n v="107"/>
    <s v="_x0000_peopl"/>
  </r>
  <r>
    <x v="6"/>
    <n v="13.6913"/>
    <n v="-89.228999999999999"/>
    <n v="5"/>
    <n v="0"/>
    <n v="0"/>
    <n v="107"/>
    <s v="_x0000_peopl"/>
  </r>
  <r>
    <x v="6"/>
    <n v="13.6905"/>
    <n v="-89.235200000000006"/>
    <n v="6"/>
    <n v="0"/>
    <n v="0"/>
    <n v="107"/>
    <s v="_x0000_peopl"/>
  </r>
  <r>
    <x v="6"/>
    <n v="13.6889"/>
    <n v="-89.229100000000003"/>
    <n v="9"/>
    <n v="0"/>
    <n v="0"/>
    <n v="107"/>
    <s v="_x0000_peopl"/>
  </r>
  <r>
    <x v="6"/>
    <n v="13.689399999999999"/>
    <n v="-89.207499999999996"/>
    <n v="3"/>
    <n v="0"/>
    <n v="0"/>
    <n v="107"/>
    <s v="_x0000_peopl"/>
  </r>
  <r>
    <x v="6"/>
    <n v="13.692"/>
    <n v="-89.179000000000002"/>
    <n v="6"/>
    <n v="0"/>
    <n v="0"/>
    <n v="107"/>
    <s v="_x0000_peopl"/>
  </r>
  <r>
    <x v="6"/>
    <n v="13.6935"/>
    <n v="-89.176299999999998"/>
    <n v="3"/>
    <n v="0"/>
    <n v="0"/>
    <n v="107"/>
    <s v="_x0000_peopl"/>
  </r>
  <r>
    <x v="6"/>
    <n v="13.686999999999999"/>
    <n v="-89.212900000000005"/>
    <n v="4"/>
    <n v="0"/>
    <n v="0"/>
    <n v="107"/>
    <s v="_x0000_peopl"/>
  </r>
  <r>
    <x v="6"/>
    <n v="13.6861"/>
    <n v="-89.213499999999996"/>
    <n v="9"/>
    <n v="0"/>
    <n v="0"/>
    <n v="107"/>
    <s v="_x0000_peopl"/>
  </r>
  <r>
    <x v="6"/>
    <n v="13.6938"/>
    <n v="-89.176500000000004"/>
    <n v="4"/>
    <n v="0"/>
    <n v="0"/>
    <n v="107"/>
    <s v="_x0000_peopl"/>
  </r>
  <r>
    <x v="6"/>
    <n v="13.680999999999999"/>
    <n v="-89.197900000000004"/>
    <n v="6"/>
    <n v="0"/>
    <n v="0"/>
    <n v="107"/>
    <s v="_x0000_peopl"/>
  </r>
  <r>
    <x v="6"/>
    <n v="13.686400000000001"/>
    <n v="-89.213999999999999"/>
    <n v="3"/>
    <n v="0"/>
    <n v="0"/>
    <n v="107"/>
    <s v="_x0000_peopl"/>
  </r>
  <r>
    <x v="6"/>
    <n v="13.6875"/>
    <n v="-89.194800000000001"/>
    <n v="4"/>
    <n v="0"/>
    <n v="0"/>
    <n v="107"/>
    <s v="_x0000_peopl"/>
  </r>
  <r>
    <x v="6"/>
    <n v="13.6914"/>
    <n v="-89.22"/>
    <n v="2"/>
    <n v="0"/>
    <n v="0"/>
    <n v="107"/>
    <s v="_x0000_peopl"/>
  </r>
  <r>
    <x v="6"/>
    <n v="13.6919"/>
    <n v="-89.18"/>
    <n v="6"/>
    <n v="0"/>
    <n v="0"/>
    <n v="107"/>
    <s v="_x0000_peopl"/>
  </r>
  <r>
    <x v="6"/>
    <n v="13.674200000000001"/>
    <n v="-89.251999999999995"/>
    <n v="3"/>
    <n v="0"/>
    <n v="0"/>
    <n v="107"/>
    <s v="_x0000_peopl"/>
  </r>
  <r>
    <x v="6"/>
    <n v="13.690300000000001"/>
    <n v="-89.217500000000001"/>
    <n v="4"/>
    <n v="0"/>
    <n v="0"/>
    <n v="107"/>
    <s v="_x0000_peopl"/>
  </r>
  <r>
    <x v="6"/>
    <n v="13.695399999999999"/>
    <n v="-89.174499999999995"/>
    <n v="4"/>
    <n v="0"/>
    <n v="0"/>
    <n v="107"/>
    <s v="_x0000_peopl"/>
  </r>
  <r>
    <x v="6"/>
    <n v="13.6731"/>
    <n v="-89.204599999999999"/>
    <n v="8"/>
    <n v="0"/>
    <n v="0"/>
    <n v="107"/>
    <s v="_x0000_peopl"/>
  </r>
  <r>
    <x v="6"/>
    <n v="13.6852"/>
    <n v="-89.203000000000003"/>
    <n v="6"/>
    <n v="0"/>
    <n v="0"/>
    <n v="107"/>
    <s v="_x0000_peopl"/>
  </r>
  <r>
    <x v="6"/>
    <n v="13.696"/>
    <n v="-89.173100000000005"/>
    <n v="7"/>
    <n v="0"/>
    <n v="0"/>
    <n v="107"/>
    <s v="_x0000_peopl"/>
  </r>
  <r>
    <x v="6"/>
    <n v="13.691000000000001"/>
    <n v="-89.229900000000001"/>
    <n v="9"/>
    <n v="0"/>
    <n v="0"/>
    <n v="107"/>
    <s v="_x0000_peopl"/>
  </r>
  <r>
    <x v="6"/>
    <n v="13.6877"/>
    <n v="-89.216800000000006"/>
    <n v="8"/>
    <n v="0"/>
    <n v="0"/>
    <n v="107"/>
    <s v="_x0000_peopl"/>
  </r>
  <r>
    <x v="6"/>
    <n v="13.690099999999999"/>
    <n v="-89.181600000000003"/>
    <n v="6"/>
    <n v="0"/>
    <n v="0"/>
    <n v="107"/>
    <s v="_x0000_peopl"/>
  </r>
  <r>
    <x v="6"/>
    <n v="13.6896"/>
    <n v="-89.205500000000001"/>
    <n v="4"/>
    <n v="0"/>
    <n v="0"/>
    <n v="107"/>
    <s v="_x0000_peopl"/>
  </r>
  <r>
    <x v="6"/>
    <n v="13.694699999999999"/>
    <n v="-89.172799999999995"/>
    <n v="4"/>
    <n v="0"/>
    <n v="0"/>
    <n v="107"/>
    <s v="_x0000_peopl"/>
  </r>
  <r>
    <x v="6"/>
    <n v="13.6958"/>
    <n v="-89.173100000000005"/>
    <n v="3"/>
    <n v="0"/>
    <n v="0"/>
    <n v="107"/>
    <s v="_x0000_peopl"/>
  </r>
  <r>
    <x v="6"/>
    <n v="13.6905"/>
    <n v="-89.183099999999996"/>
    <n v="8"/>
    <n v="0"/>
    <n v="0"/>
    <n v="107"/>
    <s v="_x0000_peopl"/>
  </r>
  <r>
    <x v="6"/>
    <n v="13.691000000000001"/>
    <n v="-89.1815"/>
    <n v="6"/>
    <n v="0"/>
    <n v="0"/>
    <n v="107"/>
    <s v="_x0000_peopl"/>
  </r>
  <r>
    <x v="6"/>
    <n v="13.6936"/>
    <n v="-89.176599999999993"/>
    <n v="3"/>
    <n v="0"/>
    <n v="0"/>
    <n v="107"/>
    <s v="_x0000_peopl"/>
  </r>
  <r>
    <x v="6"/>
    <n v="13.6967"/>
    <n v="-89.171400000000006"/>
    <n v="2"/>
    <n v="0"/>
    <n v="0"/>
    <n v="107"/>
    <s v="_x0000_peopl"/>
  </r>
  <r>
    <x v="6"/>
    <n v="13.6935"/>
    <n v="-89.190700000000007"/>
    <n v="8"/>
    <n v="0"/>
    <n v="0"/>
    <n v="107"/>
    <s v="_x0000_peopl"/>
  </r>
  <r>
    <x v="6"/>
    <n v="13.6784"/>
    <n v="-89.196399999999997"/>
    <n v="6"/>
    <n v="0"/>
    <n v="0"/>
    <n v="107"/>
    <s v="_x0000_peopl"/>
  </r>
  <r>
    <x v="6"/>
    <n v="13.689399999999999"/>
    <n v="-89.177899999999994"/>
    <n v="3"/>
    <n v="0"/>
    <n v="0"/>
    <n v="107"/>
    <s v="_x0000_peopl"/>
  </r>
  <r>
    <x v="6"/>
    <n v="13.6922"/>
    <n v="-89.194500000000005"/>
    <n v="2"/>
    <n v="0"/>
    <n v="0"/>
    <n v="107"/>
    <s v="_x0000_peopl"/>
  </r>
  <r>
    <x v="6"/>
    <n v="13.690300000000001"/>
    <n v="-89.186800000000005"/>
    <n v="4"/>
    <n v="0"/>
    <n v="0"/>
    <n v="107"/>
    <s v="_x0000_peopl"/>
  </r>
  <r>
    <x v="6"/>
    <n v="13.688800000000001"/>
    <n v="-89.190399999999997"/>
    <n v="4"/>
    <n v="0"/>
    <n v="0"/>
    <n v="107"/>
    <s v="_x0000_peopl"/>
  </r>
  <r>
    <x v="6"/>
    <n v="13.6869"/>
    <n v="-89.194299999999998"/>
    <n v="6"/>
    <n v="0"/>
    <n v="0"/>
    <n v="107"/>
    <s v="_x0000_peopl"/>
  </r>
  <r>
    <x v="6"/>
    <n v="13.6958"/>
    <n v="-89.172300000000007"/>
    <n v="3"/>
    <n v="0"/>
    <n v="0"/>
    <n v="107"/>
    <s v="_x0000_peopl"/>
  </r>
  <r>
    <x v="6"/>
    <n v="13.686400000000001"/>
    <n v="-89.215000000000003"/>
    <n v="1"/>
    <n v="0"/>
    <n v="0"/>
    <n v="107"/>
    <s v="_x0000_peopl"/>
  </r>
  <r>
    <x v="6"/>
    <n v="13.6899"/>
    <n v="-89.197400000000002"/>
    <n v="6"/>
    <n v="0"/>
    <n v="0"/>
    <n v="107"/>
    <s v="_x0000_peopl"/>
  </r>
  <r>
    <x v="6"/>
    <n v="13.691800000000001"/>
    <n v="-89.227699999999999"/>
    <n v="4"/>
    <n v="0"/>
    <n v="0"/>
    <n v="107"/>
    <s v="_x0000_peopl"/>
  </r>
  <r>
    <x v="6"/>
    <n v="13.684900000000001"/>
    <n v="-89.203199999999995"/>
    <n v="3"/>
    <n v="0"/>
    <n v="0"/>
    <n v="107"/>
    <s v="_x0000_peopl"/>
  </r>
  <r>
    <x v="6"/>
    <n v="13.6868"/>
    <n v="-89.181799999999996"/>
    <n v="5"/>
    <n v="0"/>
    <n v="0"/>
    <n v="107"/>
    <s v="_x0000_peopl"/>
  </r>
  <r>
    <x v="6"/>
    <n v="13.689299999999999"/>
    <n v="-89.236000000000004"/>
    <n v="6"/>
    <n v="0"/>
    <n v="0"/>
    <n v="107"/>
    <s v="_x0000_peopl"/>
  </r>
  <r>
    <x v="6"/>
    <n v="13.691000000000001"/>
    <n v="-89.188699999999997"/>
    <n v="3"/>
    <n v="0"/>
    <n v="0"/>
    <n v="107"/>
    <s v="_x0000_peopl"/>
  </r>
  <r>
    <x v="6"/>
    <n v="13.689299999999999"/>
    <n v="-89.184600000000003"/>
    <n v="7"/>
    <n v="0"/>
    <n v="0"/>
    <n v="107"/>
    <s v="_x0000_peopl"/>
  </r>
  <r>
    <x v="6"/>
    <n v="13.687200000000001"/>
    <n v="-89.211699999999993"/>
    <n v="9"/>
    <n v="0"/>
    <n v="0"/>
    <n v="107"/>
    <s v="_x0000_peopl"/>
  </r>
  <r>
    <x v="6"/>
    <n v="13.6927"/>
    <n v="-89.224500000000006"/>
    <n v="4"/>
    <n v="0"/>
    <n v="0"/>
    <n v="107"/>
    <s v="_x0000_peopl"/>
  </r>
  <r>
    <x v="6"/>
    <n v="13.69"/>
    <n v="-89.189700000000002"/>
    <n v="4"/>
    <n v="0"/>
    <n v="0"/>
    <n v="107"/>
    <s v="_x0000_peopl"/>
  </r>
  <r>
    <x v="6"/>
    <n v="13.6912"/>
    <n v="-89.188999999999993"/>
    <n v="3"/>
    <n v="0"/>
    <n v="0"/>
    <n v="107"/>
    <s v="_x0000_peopl"/>
  </r>
  <r>
    <x v="6"/>
    <n v="13.691599999999999"/>
    <n v="-89.227099999999993"/>
    <n v="5"/>
    <n v="0"/>
    <n v="0"/>
    <n v="107"/>
    <s v="_x0000_peopl"/>
  </r>
  <r>
    <x v="6"/>
    <n v="13.688800000000001"/>
    <n v="-89.229600000000005"/>
    <n v="6"/>
    <n v="0"/>
    <n v="0"/>
    <n v="107"/>
    <s v="_x0000_peopl"/>
  </r>
  <r>
    <x v="6"/>
    <n v="13.6868"/>
    <n v="-89.183400000000006"/>
    <n v="6"/>
    <n v="0"/>
    <n v="0"/>
    <n v="107"/>
    <s v="_x0000_peopl"/>
  </r>
  <r>
    <x v="6"/>
    <n v="13.692399999999999"/>
    <n v="-89.175399999999996"/>
    <n v="6"/>
    <n v="0"/>
    <n v="0"/>
    <n v="107"/>
    <s v="_x0000_peopl"/>
  </r>
  <r>
    <x v="6"/>
    <n v="13.6755"/>
    <n v="-89.202399999999997"/>
    <n v="0"/>
    <n v="0"/>
    <n v="0"/>
    <n v="107"/>
    <s v="_x0000_peopl"/>
  </r>
  <r>
    <x v="6"/>
    <n v="13.693199999999999"/>
    <n v="-89.178399999999996"/>
    <n v="5"/>
    <n v="0"/>
    <n v="0"/>
    <n v="107"/>
    <s v="_x0000_peopl"/>
  </r>
  <r>
    <x v="6"/>
    <n v="13.684799999999999"/>
    <n v="-89.213700000000003"/>
    <n v="5"/>
    <n v="0"/>
    <n v="0"/>
    <n v="107"/>
    <s v="_x0000_peopl"/>
  </r>
  <r>
    <x v="6"/>
    <n v="13.6906"/>
    <n v="-89.227699999999999"/>
    <n v="6"/>
    <n v="0"/>
    <n v="0"/>
    <n v="107"/>
    <s v="_x0000_peopl"/>
  </r>
  <r>
    <x v="6"/>
    <n v="13.6934"/>
    <n v="-89.176199999999994"/>
    <n v="6"/>
    <n v="0"/>
    <n v="0"/>
    <n v="107"/>
    <s v="_x0000_peopl"/>
  </r>
  <r>
    <x v="6"/>
    <n v="13.6944"/>
    <n v="-89.185400000000001"/>
    <n v="2"/>
    <n v="0"/>
    <n v="0"/>
    <n v="107"/>
    <s v="_x0000_peopl"/>
  </r>
  <r>
    <x v="6"/>
    <n v="13.691000000000001"/>
    <n v="-89.186800000000005"/>
    <n v="4"/>
    <n v="0"/>
    <n v="0"/>
    <n v="107"/>
    <s v="_x0000_peopl"/>
  </r>
  <r>
    <x v="6"/>
    <n v="13.6881"/>
    <n v="-89.189899999999994"/>
    <n v="6"/>
    <n v="0"/>
    <n v="0"/>
    <n v="107"/>
    <s v="_x0000_peopl"/>
  </r>
  <r>
    <x v="6"/>
    <n v="13.6907"/>
    <n v="-89.234999999999999"/>
    <n v="7"/>
    <n v="0"/>
    <n v="0"/>
    <n v="107"/>
    <s v="_x0000_peopl"/>
  </r>
  <r>
    <x v="6"/>
    <n v="13.6883"/>
    <n v="-89.193799999999996"/>
    <n v="3"/>
    <n v="0"/>
    <n v="0"/>
    <n v="107"/>
    <s v="_x0000_peopl"/>
  </r>
  <r>
    <x v="6"/>
    <n v="13.690200000000001"/>
    <n v="-89.183400000000006"/>
    <n v="8"/>
    <n v="0"/>
    <n v="0"/>
    <n v="107"/>
    <s v="_x0000_peopl"/>
  </r>
  <r>
    <x v="6"/>
    <n v="13.674899999999999"/>
    <n v="-89.1995"/>
    <n v="3"/>
    <n v="0"/>
    <n v="0"/>
    <n v="107"/>
    <s v="_x0000_peopl"/>
  </r>
  <r>
    <x v="6"/>
    <n v="13.690899999999999"/>
    <n v="-89.234800000000007"/>
    <n v="7"/>
    <n v="0"/>
    <n v="0"/>
    <n v="107"/>
    <s v="_x0000_peopl"/>
  </r>
  <r>
    <x v="6"/>
    <n v="13.6877"/>
    <n v="-89.2042"/>
    <n v="5"/>
    <n v="0"/>
    <n v="0"/>
    <n v="107"/>
    <s v="_x0000_peopl"/>
  </r>
  <r>
    <x v="6"/>
    <n v="13.694599999999999"/>
    <n v="-89.175200000000004"/>
    <n v="4"/>
    <n v="0"/>
    <n v="0"/>
    <n v="107"/>
    <s v="_x0000_peopl"/>
  </r>
  <r>
    <x v="6"/>
    <n v="13.6883"/>
    <n v="-89.2166"/>
    <n v="4"/>
    <n v="0"/>
    <n v="0"/>
    <n v="107"/>
    <s v="_x0000_peopl"/>
  </r>
  <r>
    <x v="6"/>
    <n v="13.6845"/>
    <n v="-89.211399999999998"/>
    <n v="6"/>
    <n v="0"/>
    <n v="0"/>
    <n v="107"/>
    <s v="_x0000_peopl"/>
  </r>
  <r>
    <x v="6"/>
    <n v="13.6874"/>
    <n v="-89.183199999999999"/>
    <n v="8"/>
    <n v="0"/>
    <n v="0"/>
    <n v="107"/>
    <s v="_x0000_peopl"/>
  </r>
  <r>
    <x v="6"/>
    <n v="13.6922"/>
    <n v="-89.225200000000001"/>
    <n v="1"/>
    <n v="0"/>
    <n v="0"/>
    <n v="107"/>
    <s v="_x0000_peopl"/>
  </r>
  <r>
    <x v="6"/>
    <n v="13.687200000000001"/>
    <n v="-89.182100000000005"/>
    <n v="9"/>
    <n v="0"/>
    <n v="0"/>
    <n v="107"/>
    <s v="_x0000_peopl"/>
  </r>
  <r>
    <x v="6"/>
    <n v="13.6911"/>
    <n v="-89.219899999999996"/>
    <n v="3"/>
    <n v="0"/>
    <n v="0"/>
    <n v="107"/>
    <s v="_x0000_peopl"/>
  </r>
  <r>
    <x v="6"/>
    <n v="13.686400000000001"/>
    <n v="-89.215299999999999"/>
    <n v="2"/>
    <n v="0"/>
    <n v="0"/>
    <n v="107"/>
    <s v="_x0000_peopl"/>
  </r>
  <r>
    <x v="6"/>
    <n v="13.694800000000001"/>
    <n v="-89.171800000000005"/>
    <n v="4"/>
    <n v="0"/>
    <n v="0"/>
    <n v="107"/>
    <s v="_x0000_peopl"/>
  </r>
  <r>
    <x v="6"/>
    <n v="13.6881"/>
    <n v="-89.182400000000001"/>
    <n v="9"/>
    <n v="0"/>
    <n v="0"/>
    <n v="107"/>
    <s v="_x0000_peopl"/>
  </r>
  <r>
    <x v="6"/>
    <n v="13.6973"/>
    <n v="-89.171000000000006"/>
    <n v="3"/>
    <n v="0"/>
    <n v="0"/>
    <n v="107"/>
    <s v="_x0000_peopl"/>
  </r>
  <r>
    <x v="6"/>
    <n v="13.696899999999999"/>
    <n v="-89.171400000000006"/>
    <n v="4"/>
    <n v="0"/>
    <n v="0"/>
    <n v="107"/>
    <s v="_x0000_peopl"/>
  </r>
  <r>
    <x v="6"/>
    <n v="13.687200000000001"/>
    <n v="-89.191400000000002"/>
    <n v="8"/>
    <n v="0"/>
    <n v="0"/>
    <n v="107"/>
    <s v="_x0000_peopl"/>
  </r>
  <r>
    <x v="6"/>
    <n v="13.694599999999999"/>
    <n v="-89.174599999999998"/>
    <n v="10"/>
    <n v="0"/>
    <n v="0"/>
    <n v="107"/>
    <s v="_x0000_peopl"/>
  </r>
  <r>
    <x v="6"/>
    <n v="13.692399999999999"/>
    <n v="-89.175399999999996"/>
    <n v="5"/>
    <n v="0"/>
    <n v="0"/>
    <n v="107"/>
    <s v="_x0000_peopl"/>
  </r>
  <r>
    <x v="6"/>
    <n v="13.6928"/>
    <n v="-89.2256"/>
    <n v="4"/>
    <n v="0"/>
    <n v="0"/>
    <n v="107"/>
    <s v="_x0000_peopl"/>
  </r>
  <r>
    <x v="6"/>
    <n v="13.6906"/>
    <n v="-89.232799999999997"/>
    <n v="4"/>
    <n v="0"/>
    <n v="0"/>
    <n v="107"/>
    <s v="_x0000_peopl"/>
  </r>
  <r>
    <x v="6"/>
    <n v="13.6953"/>
    <n v="-89.174199999999999"/>
    <n v="7"/>
    <n v="0"/>
    <n v="0"/>
    <n v="107"/>
    <s v="_x0000_peopl"/>
  </r>
  <r>
    <x v="6"/>
    <n v="13.6883"/>
    <n v="-89.215699999999998"/>
    <n v="4"/>
    <n v="0"/>
    <n v="0"/>
    <n v="107"/>
    <s v="_x0000_peopl"/>
  </r>
  <r>
    <x v="6"/>
    <n v="13.6896"/>
    <n v="-89.18"/>
    <n v="5"/>
    <n v="0"/>
    <n v="0"/>
    <n v="107"/>
    <s v="_x0000_peopl"/>
  </r>
  <r>
    <x v="6"/>
    <n v="13.6976"/>
    <n v="-89.171000000000006"/>
    <n v="9"/>
    <n v="0"/>
    <n v="0"/>
    <n v="107"/>
    <s v="_x0000_peopl"/>
  </r>
  <r>
    <x v="6"/>
    <n v="13.6899"/>
    <n v="-89.193899999999999"/>
    <n v="7"/>
    <n v="0"/>
    <n v="0"/>
    <n v="107"/>
    <s v="_x0000_peopl"/>
  </r>
  <r>
    <x v="6"/>
    <n v="13.693199999999999"/>
    <n v="-89.176500000000004"/>
    <n v="4"/>
    <n v="0"/>
    <n v="0"/>
    <n v="107"/>
    <s v="_x0000_peopl"/>
  </r>
  <r>
    <x v="6"/>
    <n v="13.6919"/>
    <n v="-89.221199999999996"/>
    <n v="8"/>
    <n v="0"/>
    <n v="0"/>
    <n v="107"/>
    <s v="_x0000_peopl"/>
  </r>
  <r>
    <x v="6"/>
    <n v="13.694800000000001"/>
    <n v="-89.175200000000004"/>
    <n v="3"/>
    <n v="0"/>
    <n v="0"/>
    <n v="107"/>
    <s v="_x0000_peopl"/>
  </r>
  <r>
    <x v="6"/>
    <n v="13.685499999999999"/>
    <n v="-89.212599999999995"/>
    <n v="4"/>
    <n v="0"/>
    <n v="0"/>
    <n v="107"/>
    <s v="_x0000_peopl"/>
  </r>
  <r>
    <x v="6"/>
    <n v="13.6975"/>
    <n v="-89.171300000000002"/>
    <n v="6"/>
    <n v="0"/>
    <n v="0"/>
    <n v="107"/>
    <s v="_x0000_peopl"/>
  </r>
  <r>
    <x v="6"/>
    <n v="13.6952"/>
    <n v="-89.174999999999997"/>
    <n v="10"/>
    <n v="0"/>
    <n v="0"/>
    <n v="107"/>
    <s v="_x0000_peopl"/>
  </r>
  <r>
    <x v="6"/>
    <n v="13.6913"/>
    <n v="-89.228999999999999"/>
    <n v="7"/>
    <n v="0"/>
    <n v="0"/>
    <n v="107"/>
    <s v="_x0000_peopl"/>
  </r>
  <r>
    <x v="6"/>
    <n v="13.693300000000001"/>
    <n v="-89.188800000000001"/>
    <n v="3"/>
    <n v="0"/>
    <n v="0"/>
    <n v="107"/>
    <s v="_x0000_peopl"/>
  </r>
  <r>
    <x v="6"/>
    <n v="13.6942"/>
    <n v="-89.172700000000006"/>
    <n v="3"/>
    <n v="0"/>
    <n v="0"/>
    <n v="107"/>
    <s v="_x0000_peopl"/>
  </r>
  <r>
    <x v="6"/>
    <n v="13.688800000000001"/>
    <n v="-89.207099999999997"/>
    <n v="6"/>
    <n v="0"/>
    <n v="0"/>
    <n v="107"/>
    <s v="_x0000_peopl"/>
  </r>
  <r>
    <x v="6"/>
    <n v="13.691800000000001"/>
    <n v="-89.183899999999994"/>
    <n v="3"/>
    <n v="0"/>
    <n v="0"/>
    <n v="107"/>
    <s v="_x0000_peopl"/>
  </r>
  <r>
    <x v="6"/>
    <n v="13.6905"/>
    <n v="-89.177599999999998"/>
    <n v="3"/>
    <n v="0"/>
    <n v="0"/>
    <n v="107"/>
    <s v="_x0000_peopl"/>
  </r>
  <r>
    <x v="6"/>
    <n v="13.6881"/>
    <n v="-89.194400000000002"/>
    <n v="7"/>
    <n v="0"/>
    <n v="0"/>
    <n v="107"/>
    <s v="_x0000_peopl"/>
  </r>
  <r>
    <x v="6"/>
    <n v="13.679500000000001"/>
    <n v="-89.197299999999998"/>
    <n v="4"/>
    <n v="0"/>
    <n v="0"/>
    <n v="107"/>
    <s v="_x0000_peopl"/>
  </r>
  <r>
    <x v="6"/>
    <n v="13.6915"/>
    <n v="-89.225899999999996"/>
    <n v="4"/>
    <n v="0"/>
    <n v="0"/>
    <n v="107"/>
    <s v="_x0000_peopl"/>
  </r>
  <r>
    <x v="6"/>
    <n v="13.6914"/>
    <n v="-89.225800000000007"/>
    <n v="6"/>
    <n v="0"/>
    <n v="0"/>
    <n v="107"/>
    <s v="_x0000_peopl"/>
  </r>
  <r>
    <x v="6"/>
    <n v="13.690899999999999"/>
    <n v="-89.2316"/>
    <n v="12"/>
    <n v="0"/>
    <n v="0"/>
    <n v="107"/>
    <s v="_x0000_peopl"/>
  </r>
  <r>
    <x v="6"/>
    <n v="13.688599999999999"/>
    <n v="-89.181700000000006"/>
    <n v="8"/>
    <n v="0"/>
    <n v="0"/>
    <n v="107"/>
    <s v="_x0000_peopl"/>
  </r>
  <r>
    <x v="6"/>
    <n v="13.6736"/>
    <n v="-89.251199999999997"/>
    <n v="6"/>
    <n v="0"/>
    <n v="0"/>
    <n v="107"/>
    <s v="_x0000_peopl"/>
  </r>
  <r>
    <x v="6"/>
    <n v="13.6751"/>
    <n v="-89.200199999999995"/>
    <n v="5"/>
    <n v="0"/>
    <n v="0"/>
    <n v="107"/>
    <s v="_x0000_peopl"/>
  </r>
  <r>
    <x v="6"/>
    <n v="13.6958"/>
    <n v="-89.173100000000005"/>
    <n v="9"/>
    <n v="0"/>
    <n v="0"/>
    <n v="107"/>
    <s v="_x0000_peopl"/>
  </r>
  <r>
    <x v="6"/>
    <n v="13.674799999999999"/>
    <n v="-89.249700000000004"/>
    <n v="1"/>
    <n v="0"/>
    <n v="0"/>
    <n v="107"/>
    <s v="_x0000_peopl"/>
  </r>
  <r>
    <x v="6"/>
    <n v="13.6875"/>
    <n v="-89.195099999999996"/>
    <n v="1"/>
    <n v="0"/>
    <n v="0"/>
    <n v="107"/>
    <s v="_x0000_peopl"/>
  </r>
  <r>
    <x v="6"/>
    <n v="13.690799999999999"/>
    <n v="-89.2346"/>
    <n v="5"/>
    <n v="0"/>
    <n v="0"/>
    <n v="107"/>
    <s v="_x0000_peopl"/>
  </r>
  <r>
    <x v="6"/>
    <n v="13.6877"/>
    <n v="-89.180400000000006"/>
    <n v="4"/>
    <n v="0"/>
    <n v="0"/>
    <n v="107"/>
    <s v="_x0000_peopl"/>
  </r>
  <r>
    <x v="6"/>
    <n v="13.693300000000001"/>
    <n v="-89.183000000000007"/>
    <n v="4"/>
    <n v="0"/>
    <n v="0"/>
    <n v="107"/>
    <s v="_x0000_peopl"/>
  </r>
  <r>
    <x v="6"/>
    <n v="13.6907"/>
    <n v="-89.179199999999994"/>
    <n v="5"/>
    <n v="0"/>
    <n v="0"/>
    <n v="107"/>
    <s v="_x0000_peopl"/>
  </r>
  <r>
    <x v="6"/>
    <n v="13.692"/>
    <n v="-89.227599999999995"/>
    <n v="3"/>
    <n v="0"/>
    <n v="0"/>
    <n v="107"/>
    <s v="_x0000_peopl"/>
  </r>
  <r>
    <x v="6"/>
    <n v="13.6915"/>
    <n v="-89.183000000000007"/>
    <n v="3"/>
    <n v="0"/>
    <n v="0"/>
    <n v="107"/>
    <s v="_x0000_peopl"/>
  </r>
  <r>
    <x v="6"/>
    <n v="13.6875"/>
    <n v="-89.214699999999993"/>
    <n v="7"/>
    <n v="0"/>
    <n v="0"/>
    <n v="107"/>
    <s v="_x0000_peopl"/>
  </r>
  <r>
    <x v="6"/>
    <n v="13.6877"/>
    <n v="-89.205299999999994"/>
    <n v="6"/>
    <n v="0"/>
    <n v="0"/>
    <n v="107"/>
    <s v="_x0000_peopl"/>
  </r>
  <r>
    <x v="6"/>
    <n v="13.684799999999999"/>
    <n v="-89.216899999999995"/>
    <n v="5"/>
    <n v="0"/>
    <n v="0"/>
    <n v="107"/>
    <s v="_x0000_peopl"/>
  </r>
  <r>
    <x v="6"/>
    <n v="13.689299999999999"/>
    <n v="-89.184899999999999"/>
    <n v="3"/>
    <n v="0"/>
    <n v="0"/>
    <n v="107"/>
    <s v="_x0000_peopl"/>
  </r>
  <r>
    <x v="6"/>
    <n v="13.694000000000001"/>
    <n v="-89.174800000000005"/>
    <n v="2"/>
    <n v="0"/>
    <n v="0"/>
    <n v="107"/>
    <s v="_x0000_peopl"/>
  </r>
  <r>
    <x v="6"/>
    <n v="13.6914"/>
    <n v="-89.181600000000003"/>
    <n v="3"/>
    <n v="0"/>
    <n v="0"/>
    <n v="107"/>
    <s v="_x0000_peopl"/>
  </r>
  <r>
    <x v="6"/>
    <n v="13.6906"/>
    <n v="-89.1845"/>
    <n v="5"/>
    <n v="0"/>
    <n v="0"/>
    <n v="107"/>
    <s v="_x0000_peopl"/>
  </r>
  <r>
    <x v="6"/>
    <n v="13.6882"/>
    <n v="-89.216999999999999"/>
    <n v="4"/>
    <n v="0"/>
    <n v="0"/>
    <n v="107"/>
    <s v="_x0000_peopl"/>
  </r>
  <r>
    <x v="6"/>
    <n v="13.687099999999999"/>
    <n v="-89.181299999999993"/>
    <n v="7"/>
    <n v="0"/>
    <n v="0"/>
    <n v="107"/>
    <s v="_x0000_peopl"/>
  </r>
  <r>
    <x v="6"/>
    <n v="13.6853"/>
    <n v="-89.202299999999994"/>
    <n v="2"/>
    <n v="0"/>
    <n v="0"/>
    <n v="107"/>
    <s v="_x0000_peopl"/>
  </r>
  <r>
    <x v="6"/>
    <n v="13.6845"/>
    <n v="-89.213200000000001"/>
    <n v="4"/>
    <n v="0"/>
    <n v="0"/>
    <n v="107"/>
    <s v="_x0000_peopl"/>
  </r>
  <r>
    <x v="6"/>
    <n v="13.6899"/>
    <n v="-89.193899999999999"/>
    <n v="5"/>
    <n v="0"/>
    <n v="0"/>
    <n v="107"/>
    <s v="_x0000_peopl"/>
  </r>
  <r>
    <x v="6"/>
    <n v="13.686999999999999"/>
    <n v="-89.197400000000002"/>
    <n v="8"/>
    <n v="0"/>
    <n v="0"/>
    <n v="107"/>
    <s v="_x0000_peopl"/>
  </r>
  <r>
    <x v="6"/>
    <n v="13.6868"/>
    <n v="-89.2119"/>
    <n v="9"/>
    <n v="0"/>
    <n v="0"/>
    <n v="107"/>
    <s v="_x0000_peopl"/>
  </r>
  <r>
    <x v="6"/>
    <n v="13.694100000000001"/>
    <n v="-89.1751"/>
    <n v="4"/>
    <n v="0"/>
    <n v="0"/>
    <n v="107"/>
    <s v="_x0000_peopl"/>
  </r>
  <r>
    <x v="6"/>
    <n v="13.6852"/>
    <n v="-89.193899999999999"/>
    <n v="6"/>
    <n v="0"/>
    <n v="0"/>
    <n v="107"/>
    <s v="_x0000_peopl"/>
  </r>
  <r>
    <x v="6"/>
    <n v="13.685600000000001"/>
    <n v="-89.213899999999995"/>
    <n v="6"/>
    <n v="0"/>
    <n v="0"/>
    <n v="107"/>
    <s v="_x0000_peopl"/>
  </r>
  <r>
    <x v="6"/>
    <n v="13.691599999999999"/>
    <n v="-89.1935"/>
    <n v="4"/>
    <n v="0"/>
    <n v="0"/>
    <n v="107"/>
    <s v="_x0000_peopl"/>
  </r>
  <r>
    <x v="6"/>
    <n v="13.687799999999999"/>
    <n v="-89.194500000000005"/>
    <n v="6"/>
    <n v="0"/>
    <n v="0"/>
    <n v="107"/>
    <s v="_x0000_peopl"/>
  </r>
  <r>
    <x v="6"/>
    <n v="13.6951"/>
    <n v="-89.175299999999993"/>
    <n v="4"/>
    <n v="0"/>
    <n v="0"/>
    <n v="107"/>
    <s v="_x0000_peopl"/>
  </r>
  <r>
    <x v="6"/>
    <n v="13.686400000000001"/>
    <n v="-89.213899999999995"/>
    <n v="4"/>
    <n v="0"/>
    <n v="0"/>
    <n v="107"/>
    <s v="_x0000_peopl"/>
  </r>
  <r>
    <x v="6"/>
    <n v="13.674899999999999"/>
    <n v="-89.251900000000006"/>
    <n v="6"/>
    <n v="0"/>
    <n v="0"/>
    <n v="107"/>
    <s v="_x0000_peopl"/>
  </r>
  <r>
    <x v="6"/>
    <n v="13.691599999999999"/>
    <n v="-89.234099999999998"/>
    <n v="9"/>
    <n v="0"/>
    <n v="0"/>
    <n v="107"/>
    <s v="_x0000_peopl"/>
  </r>
  <r>
    <x v="6"/>
    <n v="13.6898"/>
    <n v="-89.179400000000001"/>
    <n v="11"/>
    <n v="0"/>
    <n v="0"/>
    <n v="107"/>
    <s v="_x0000_peopl"/>
  </r>
  <r>
    <x v="6"/>
    <n v="13.6867"/>
    <n v="-89.182500000000005"/>
    <n v="4"/>
    <n v="0"/>
    <n v="0"/>
    <n v="107"/>
    <s v="_x0000_peopl"/>
  </r>
  <r>
    <x v="6"/>
    <n v="13.6906"/>
    <n v="-89.186499999999995"/>
    <n v="2"/>
    <n v="0"/>
    <n v="0"/>
    <n v="107"/>
    <s v="_x0000_peopl"/>
  </r>
  <r>
    <x v="6"/>
    <n v="13.688599999999999"/>
    <n v="-89.190200000000004"/>
    <n v="6"/>
    <n v="0"/>
    <n v="0"/>
    <n v="107"/>
    <s v="_x0000_peopl"/>
  </r>
  <r>
    <x v="6"/>
    <n v="13.6973"/>
    <n v="-89.171300000000002"/>
    <n v="7"/>
    <n v="0"/>
    <n v="0"/>
    <n v="107"/>
    <s v="_x0000_peopl"/>
  </r>
  <r>
    <x v="6"/>
    <n v="13.6884"/>
    <n v="-89.180899999999994"/>
    <n v="6"/>
    <n v="0"/>
    <n v="0"/>
    <n v="107"/>
    <s v="_x0000_peopl"/>
  </r>
  <r>
    <x v="6"/>
    <n v="13.691599999999999"/>
    <n v="-89.197000000000003"/>
    <n v="8"/>
    <n v="0"/>
    <n v="0"/>
    <n v="107"/>
    <s v="_x0000_peopl"/>
  </r>
  <r>
    <x v="6"/>
    <n v="13.692500000000001"/>
    <n v="-89.189899999999994"/>
    <n v="2"/>
    <n v="0"/>
    <n v="0"/>
    <n v="107"/>
    <s v="_x0000_peopl"/>
  </r>
  <r>
    <x v="6"/>
    <n v="13.6922"/>
    <n v="-89.197100000000006"/>
    <n v="5"/>
    <n v="0"/>
    <n v="0"/>
    <n v="107"/>
    <s v="_x0000_peopl"/>
  </r>
  <r>
    <x v="6"/>
    <n v="13.6959"/>
    <n v="-89.173299999999998"/>
    <n v="5"/>
    <n v="0"/>
    <n v="0"/>
    <n v="107"/>
    <s v="_x0000_peopl"/>
  </r>
  <r>
    <x v="6"/>
    <n v="13.689399999999999"/>
    <n v="-89.229600000000005"/>
    <n v="5"/>
    <n v="0"/>
    <n v="0"/>
    <n v="107"/>
    <s v="_x0000_peopl"/>
  </r>
  <r>
    <x v="6"/>
    <n v="13.6867"/>
    <n v="-89.194500000000005"/>
    <n v="5"/>
    <n v="0"/>
    <n v="0"/>
    <n v="107"/>
    <s v="_x0000_peopl"/>
  </r>
  <r>
    <x v="6"/>
    <n v="13.686999999999999"/>
    <n v="-89.205200000000005"/>
    <n v="3"/>
    <n v="0"/>
    <n v="0"/>
    <n v="107"/>
    <s v="_x0000_peopl"/>
  </r>
  <r>
    <x v="6"/>
    <n v="13.689500000000001"/>
    <n v="-89.183700000000002"/>
    <n v="3"/>
    <n v="0"/>
    <n v="0"/>
    <n v="107"/>
    <s v="_x0000_peopl"/>
  </r>
  <r>
    <x v="6"/>
    <n v="13.6853"/>
    <n v="-89.216499999999996"/>
    <n v="3"/>
    <n v="0"/>
    <n v="0"/>
    <n v="107"/>
    <s v="_x0000_peopl"/>
  </r>
  <r>
    <x v="6"/>
    <n v="13.688700000000001"/>
    <n v="-89.217200000000005"/>
    <n v="3"/>
    <n v="0"/>
    <n v="0"/>
    <n v="107"/>
    <s v="_x0000_peopl"/>
  </r>
  <r>
    <x v="6"/>
    <n v="13.69"/>
    <n v="-89.2286"/>
    <n v="4"/>
    <n v="0"/>
    <n v="0"/>
    <n v="107"/>
    <s v="_x0000_peopl"/>
  </r>
  <r>
    <x v="6"/>
    <n v="13.6883"/>
    <n v="-89.1905"/>
    <n v="4"/>
    <n v="0"/>
    <n v="0"/>
    <n v="107"/>
    <s v="_x0000_peopl"/>
  </r>
  <r>
    <x v="6"/>
    <n v="13.686400000000001"/>
    <n v="-89.216200000000001"/>
    <n v="9"/>
    <n v="0"/>
    <n v="0"/>
    <n v="107"/>
    <s v="_x0000_peopl"/>
  </r>
  <r>
    <x v="6"/>
    <n v="13.6914"/>
    <n v="-89.189499999999995"/>
    <n v="4"/>
    <n v="0"/>
    <n v="0"/>
    <n v="107"/>
    <s v="_x0000_peopl"/>
  </r>
  <r>
    <x v="6"/>
    <n v="13.674899999999999"/>
    <n v="-89.249700000000004"/>
    <n v="6"/>
    <n v="0"/>
    <n v="0"/>
    <n v="107"/>
    <s v="_x0000_peopl"/>
  </r>
  <r>
    <x v="6"/>
    <n v="13.6868"/>
    <n v="-89.201700000000002"/>
    <n v="0"/>
    <n v="0"/>
    <n v="0"/>
    <n v="107"/>
    <s v="_x0000_peopl"/>
  </r>
  <r>
    <x v="6"/>
    <n v="13.690899999999999"/>
    <n v="-89.229299999999995"/>
    <n v="1"/>
    <n v="0"/>
    <n v="0"/>
    <n v="107"/>
    <s v="_x0000_peopl"/>
  </r>
  <r>
    <x v="6"/>
    <n v="13.6922"/>
    <n v="-89.227099999999993"/>
    <n v="10"/>
    <n v="0"/>
    <n v="0"/>
    <n v="107"/>
    <s v="_x0000_peopl"/>
  </r>
  <r>
    <x v="6"/>
    <n v="13.687099999999999"/>
    <n v="-89.196899999999999"/>
    <n v="5"/>
    <n v="0"/>
    <n v="0"/>
    <n v="107"/>
    <s v="_x0000_peopl"/>
  </r>
  <r>
    <x v="6"/>
    <n v="13.693"/>
    <n v="-89.183000000000007"/>
    <n v="8"/>
    <n v="0"/>
    <n v="0"/>
    <n v="107"/>
    <s v="_x0000_peopl"/>
  </r>
  <r>
    <x v="6"/>
    <n v="13.6873"/>
    <n v="-89.180999999999997"/>
    <n v="5"/>
    <n v="0"/>
    <n v="0"/>
    <n v="107"/>
    <s v="_x0000_peopl"/>
  </r>
  <r>
    <x v="6"/>
    <n v="13.6915"/>
    <n v="-89.189400000000006"/>
    <n v="4"/>
    <n v="0"/>
    <n v="0"/>
    <n v="107"/>
    <s v="_x0000_peopl"/>
  </r>
  <r>
    <x v="6"/>
    <n v="13.695600000000001"/>
    <n v="-89.174499999999995"/>
    <n v="3"/>
    <n v="0"/>
    <n v="0"/>
    <n v="107"/>
    <s v="_x0000_peopl"/>
  </r>
  <r>
    <x v="6"/>
    <n v="13.692399999999999"/>
    <n v="-89.226699999999994"/>
    <n v="5"/>
    <n v="0"/>
    <n v="0"/>
    <n v="107"/>
    <s v="_x0000_peopl"/>
  </r>
  <r>
    <x v="6"/>
    <n v="13.6906"/>
    <n v="-89.197500000000005"/>
    <n v="0"/>
    <n v="0"/>
    <n v="0"/>
    <n v="107"/>
    <s v="_x0000_peopl"/>
  </r>
  <r>
    <x v="6"/>
    <n v="13.6912"/>
    <n v="-89.233500000000006"/>
    <n v="6"/>
    <n v="0"/>
    <n v="0"/>
    <n v="107"/>
    <s v="_x0000_peopl"/>
  </r>
  <r>
    <x v="6"/>
    <n v="13.688599999999999"/>
    <n v="-89.211799999999997"/>
    <n v="1"/>
    <n v="0"/>
    <n v="0"/>
    <n v="107"/>
    <s v="_x0000_peopl"/>
  </r>
  <r>
    <x v="6"/>
    <n v="13.6919"/>
    <n v="-89.226799999999997"/>
    <n v="5"/>
    <n v="0"/>
    <n v="0"/>
    <n v="107"/>
    <s v="_x0000_peopl"/>
  </r>
  <r>
    <x v="6"/>
    <n v="13.6905"/>
    <n v="-89.235699999999994"/>
    <n v="8"/>
    <n v="0"/>
    <n v="0"/>
    <n v="107"/>
    <s v="_x0000_peopl"/>
  </r>
  <r>
    <x v="6"/>
    <n v="13.6874"/>
    <n v="-89.194500000000005"/>
    <n v="3"/>
    <n v="0"/>
    <n v="0"/>
    <n v="107"/>
    <s v="_x0000_peopl"/>
  </r>
  <r>
    <x v="6"/>
    <n v="13.6929"/>
    <n v="-89.174099999999996"/>
    <n v="6"/>
    <n v="0"/>
    <n v="0"/>
    <n v="107"/>
    <s v="_x0000_peopl"/>
  </r>
  <r>
    <x v="6"/>
    <n v="13.676600000000001"/>
    <n v="-89.247900000000001"/>
    <n v="8"/>
    <n v="0"/>
    <n v="0"/>
    <n v="107"/>
    <s v="_x0000_peopl"/>
  </r>
  <r>
    <x v="6"/>
    <n v="13.6873"/>
    <n v="-89.182900000000004"/>
    <n v="5"/>
    <n v="0"/>
    <n v="0"/>
    <n v="107"/>
    <s v="_x0000_peopl"/>
  </r>
  <r>
    <x v="6"/>
    <n v="13.677300000000001"/>
    <n v="-89.1995"/>
    <n v="7"/>
    <n v="0"/>
    <n v="0"/>
    <n v="107"/>
    <s v="_x0000_peopl"/>
  </r>
  <r>
    <x v="6"/>
    <n v="13.6853"/>
    <n v="-89.203199999999995"/>
    <n v="3"/>
    <n v="0"/>
    <n v="0"/>
    <n v="107"/>
    <s v="_x0000_peopl"/>
  </r>
  <r>
    <x v="6"/>
    <n v="13.687200000000001"/>
    <n v="-89.194900000000004"/>
    <n v="7"/>
    <n v="0"/>
    <n v="0"/>
    <n v="107"/>
    <s v="_x0000_peopl"/>
  </r>
  <r>
    <x v="6"/>
    <n v="13.69"/>
    <n v="-89.194000000000003"/>
    <n v="5"/>
    <n v="0"/>
    <n v="0"/>
    <n v="107"/>
    <s v="_x0000_peopl"/>
  </r>
  <r>
    <x v="6"/>
    <n v="13.6907"/>
    <n v="-89.232100000000003"/>
    <n v="3"/>
    <n v="0"/>
    <n v="0"/>
    <n v="107"/>
    <s v="_x0000_peopl"/>
  </r>
  <r>
    <x v="6"/>
    <n v="13.691599999999999"/>
    <n v="-89.233400000000003"/>
    <n v="4"/>
    <n v="0"/>
    <n v="0"/>
    <n v="107"/>
    <s v="_x0000_peopl"/>
  </r>
  <r>
    <x v="6"/>
    <n v="13.690300000000001"/>
    <n v="-89.178399999999996"/>
    <n v="3"/>
    <n v="0"/>
    <n v="0"/>
    <n v="107"/>
    <s v="_x0000_peopl"/>
  </r>
  <r>
    <x v="6"/>
    <n v="13.6936"/>
    <n v="-89.1768"/>
    <n v="4"/>
    <n v="0"/>
    <n v="0"/>
    <n v="107"/>
    <s v="_x0000_peopl"/>
  </r>
  <r>
    <x v="6"/>
    <n v="13.6922"/>
    <n v="-89.183199999999999"/>
    <n v="6"/>
    <n v="0"/>
    <n v="0"/>
    <n v="107"/>
    <s v="_x0000_peopl"/>
  </r>
  <r>
    <x v="6"/>
    <n v="13.6936"/>
    <n v="-89.188699999999997"/>
    <n v="4"/>
    <n v="0"/>
    <n v="0"/>
    <n v="107"/>
    <s v="_x0000_peopl"/>
  </r>
  <r>
    <x v="6"/>
    <n v="13.692500000000001"/>
    <n v="-89.179000000000002"/>
    <n v="4"/>
    <n v="0"/>
    <n v="0"/>
    <n v="107"/>
    <s v="_x0000_peopl"/>
  </r>
  <r>
    <x v="6"/>
    <n v="13.694699999999999"/>
    <n v="-89.1751"/>
    <n v="5"/>
    <n v="0"/>
    <n v="0"/>
    <n v="107"/>
    <s v="_x0000_peopl"/>
  </r>
  <r>
    <x v="6"/>
    <n v="13.687099999999999"/>
    <n v="-89.197900000000004"/>
    <n v="7"/>
    <n v="0"/>
    <n v="0"/>
    <n v="107"/>
    <s v="_x0000_peopl"/>
  </r>
  <r>
    <x v="6"/>
    <n v="13.6915"/>
    <n v="-89.233699999999999"/>
    <n v="5"/>
    <n v="0"/>
    <n v="0"/>
    <n v="107"/>
    <s v="_x0000_peopl"/>
  </r>
  <r>
    <x v="6"/>
    <n v="13.6904"/>
    <n v="-89.177499999999995"/>
    <n v="1"/>
    <n v="0"/>
    <n v="0"/>
    <n v="107"/>
    <s v="_x0000_peopl"/>
  </r>
  <r>
    <x v="6"/>
    <n v="13.692"/>
    <n v="-89.179699999999997"/>
    <n v="5"/>
    <n v="0"/>
    <n v="0"/>
    <n v="107"/>
    <s v="_x0000_peopl"/>
  </r>
  <r>
    <x v="6"/>
    <n v="13.688599999999999"/>
    <n v="-89.198400000000007"/>
    <n v="4"/>
    <n v="0"/>
    <n v="0"/>
    <n v="107"/>
    <s v="_x0000_peopl"/>
  </r>
  <r>
    <x v="6"/>
    <n v="13.686999999999999"/>
    <n v="-89.197100000000006"/>
    <n v="2"/>
    <n v="0"/>
    <n v="0"/>
    <n v="107"/>
    <s v="_x0000_peopl"/>
  </r>
  <r>
    <x v="6"/>
    <n v="13.692"/>
    <n v="-89.178899999999999"/>
    <n v="8"/>
    <n v="0"/>
    <n v="0"/>
    <n v="107"/>
    <s v="_x0000_peopl"/>
  </r>
  <r>
    <x v="6"/>
    <n v="13.6792"/>
    <n v="-89.196299999999994"/>
    <n v="6"/>
    <n v="0"/>
    <n v="0"/>
    <n v="107"/>
    <s v="_x0000_peopl"/>
  </r>
  <r>
    <x v="6"/>
    <n v="13.684699999999999"/>
    <n v="-89.193899999999999"/>
    <n v="8"/>
    <n v="0"/>
    <n v="0"/>
    <n v="107"/>
    <s v="_x0000_peopl"/>
  </r>
  <r>
    <x v="6"/>
    <n v="13.690899999999999"/>
    <n v="-89.188800000000001"/>
    <n v="7"/>
    <n v="0"/>
    <n v="0"/>
    <n v="107"/>
    <s v="_x0000_peopl"/>
  </r>
  <r>
    <x v="6"/>
    <n v="13.690799999999999"/>
    <n v="-89.234499999999997"/>
    <n v="4"/>
    <n v="0"/>
    <n v="0"/>
    <n v="107"/>
    <s v="_x0000_peopl"/>
  </r>
  <r>
    <x v="6"/>
    <n v="13.6915"/>
    <n v="-89.226600000000005"/>
    <n v="6"/>
    <n v="0"/>
    <n v="0"/>
    <n v="107"/>
    <s v="_x0000_peopl"/>
  </r>
  <r>
    <x v="6"/>
    <n v="13.6945"/>
    <n v="-89.174300000000002"/>
    <n v="4"/>
    <n v="0"/>
    <n v="0"/>
    <n v="107"/>
    <s v="_x0000_peopl"/>
  </r>
  <r>
    <x v="6"/>
    <n v="13.692399999999999"/>
    <n v="-89.174899999999994"/>
    <n v="2"/>
    <n v="0"/>
    <n v="0"/>
    <n v="107"/>
    <s v="_x0000_peopl"/>
  </r>
  <r>
    <x v="6"/>
    <n v="13.6915"/>
    <n v="-89.197500000000005"/>
    <n v="7"/>
    <n v="0"/>
    <n v="0"/>
    <n v="107"/>
    <s v="_x0000_peopl"/>
  </r>
  <r>
    <x v="6"/>
    <n v="13.685700000000001"/>
    <n v="-89.204099999999997"/>
    <n v="2"/>
    <n v="0"/>
    <n v="0"/>
    <n v="107"/>
    <s v="_x0000_peopl"/>
  </r>
  <r>
    <x v="6"/>
    <n v="13.6883"/>
    <n v="-89.193899999999999"/>
    <n v="5"/>
    <n v="0"/>
    <n v="0"/>
    <n v="107"/>
    <s v="_x0000_peopl"/>
  </r>
  <r>
    <x v="6"/>
    <n v="13.6875"/>
    <n v="-89.215000000000003"/>
    <n v="7"/>
    <n v="0"/>
    <n v="0"/>
    <n v="107"/>
    <s v="_x0000_peopl"/>
  </r>
  <r>
    <x v="6"/>
    <n v="13.6859"/>
    <n v="-89.201700000000002"/>
    <n v="3"/>
    <n v="0"/>
    <n v="0"/>
    <n v="107"/>
    <s v="_x0000_peopl"/>
  </r>
  <r>
    <x v="6"/>
    <n v="13.687200000000001"/>
    <n v="-89.194800000000001"/>
    <n v="4"/>
    <n v="0"/>
    <n v="0"/>
    <n v="107"/>
    <s v="_x0000_peopl"/>
  </r>
  <r>
    <x v="6"/>
    <n v="13.6915"/>
    <n v="-89.220200000000006"/>
    <n v="7"/>
    <n v="0"/>
    <n v="0"/>
    <n v="107"/>
    <s v="_x0000_peopl"/>
  </r>
  <r>
    <x v="6"/>
    <n v="13.689399999999999"/>
    <n v="-89.235600000000005"/>
    <n v="9"/>
    <n v="0"/>
    <n v="0"/>
    <n v="107"/>
    <s v="_x0000_peopl"/>
  </r>
  <r>
    <x v="6"/>
    <n v="13.6959"/>
    <n v="-89.173000000000002"/>
    <n v="0"/>
    <n v="0"/>
    <n v="0"/>
    <n v="107"/>
    <s v="_x0000_peopl"/>
  </r>
  <r>
    <x v="6"/>
    <n v="13.6929"/>
    <n v="-89.224500000000006"/>
    <n v="3"/>
    <n v="0"/>
    <n v="0"/>
    <n v="107"/>
    <s v="_x0000_peopl"/>
  </r>
  <r>
    <x v="6"/>
    <n v="13.6873"/>
    <n v="-89.210999999999999"/>
    <n v="7"/>
    <n v="0"/>
    <n v="0"/>
    <n v="107"/>
    <s v="_x0000_peopl"/>
  </r>
  <r>
    <x v="6"/>
    <n v="13.685499999999999"/>
    <n v="-89.193299999999994"/>
    <n v="8"/>
    <n v="0"/>
    <n v="0"/>
    <n v="107"/>
    <s v="_x0000_peopl"/>
  </r>
  <r>
    <x v="6"/>
    <n v="13.6906"/>
    <n v="-89.231800000000007"/>
    <n v="3"/>
    <n v="0"/>
    <n v="0"/>
    <n v="107"/>
    <s v="_x0000_peopl"/>
  </r>
  <r>
    <x v="6"/>
    <n v="13.694599999999999"/>
    <n v="-89.171899999999994"/>
    <n v="2"/>
    <n v="0"/>
    <n v="0"/>
    <n v="107"/>
    <s v="_x0000_peopl"/>
  </r>
  <r>
    <x v="6"/>
    <n v="13.696"/>
    <n v="-89.172600000000003"/>
    <n v="4"/>
    <n v="0"/>
    <n v="0"/>
    <n v="107"/>
    <s v="_x0000_peopl"/>
  </r>
  <r>
    <x v="6"/>
    <n v="13.691700000000001"/>
    <n v="-89.186400000000006"/>
    <n v="3"/>
    <n v="0"/>
    <n v="0"/>
    <n v="107"/>
    <s v="_x0000_peopl"/>
  </r>
  <r>
    <x v="6"/>
    <n v="13.692399999999999"/>
    <n v="-89.179199999999994"/>
    <n v="8"/>
    <n v="0"/>
    <n v="0"/>
    <n v="107"/>
    <s v="_x0000_peopl"/>
  </r>
  <r>
    <x v="6"/>
    <n v="13.686999999999999"/>
    <n v="-89.197400000000002"/>
    <n v="3"/>
    <n v="0"/>
    <n v="0"/>
    <n v="107"/>
    <s v="_x0000_peopl"/>
  </r>
  <r>
    <x v="6"/>
    <n v="13.689399999999999"/>
    <n v="-89.229600000000005"/>
    <n v="3"/>
    <n v="0"/>
    <n v="0"/>
    <n v="107"/>
    <s v="_x0000_peopl"/>
  </r>
  <r>
    <x v="6"/>
    <n v="13.691800000000001"/>
    <n v="-89.195999999999998"/>
    <n v="2"/>
    <n v="0"/>
    <n v="0"/>
    <n v="107"/>
    <s v="_x0000_peopl"/>
  </r>
  <r>
    <x v="6"/>
    <n v="13.6891"/>
    <n v="-89.184200000000004"/>
    <n v="3"/>
    <n v="0"/>
    <n v="0"/>
    <n v="107"/>
    <s v="_x0000_peopl"/>
  </r>
  <r>
    <x v="6"/>
    <n v="13.6945"/>
    <n v="-89.188999999999993"/>
    <n v="7"/>
    <n v="0"/>
    <n v="0"/>
    <n v="107"/>
    <s v="_x0000_peopl"/>
  </r>
  <r>
    <x v="6"/>
    <n v="13.691700000000001"/>
    <n v="-89.197400000000002"/>
    <n v="6"/>
    <n v="0"/>
    <n v="0"/>
    <n v="107"/>
    <s v="_x0000_peopl"/>
  </r>
  <r>
    <x v="6"/>
    <n v="13.6936"/>
    <n v="-89.193299999999994"/>
    <n v="4"/>
    <n v="0"/>
    <n v="0"/>
    <n v="107"/>
    <s v="_x0000_peopl"/>
  </r>
  <r>
    <x v="6"/>
    <n v="13.690200000000001"/>
    <n v="-89.188400000000001"/>
    <n v="5"/>
    <n v="0"/>
    <n v="0"/>
    <n v="107"/>
    <s v="_x0000_peopl"/>
  </r>
  <r>
    <x v="6"/>
    <n v="13.688599999999999"/>
    <n v="-89.189700000000002"/>
    <n v="5"/>
    <n v="0"/>
    <n v="0"/>
    <n v="107"/>
    <s v="_x0000_peopl"/>
  </r>
  <r>
    <x v="6"/>
    <n v="13.691700000000001"/>
    <n v="-89.179000000000002"/>
    <n v="4"/>
    <n v="0"/>
    <n v="0"/>
    <n v="107"/>
    <s v="_x0000_peopl"/>
  </r>
  <r>
    <x v="6"/>
    <n v="13.6884"/>
    <n v="-89.190799999999996"/>
    <n v="1"/>
    <n v="0"/>
    <n v="0"/>
    <n v="107"/>
    <s v="_x0000_peopl"/>
  </r>
  <r>
    <x v="6"/>
    <n v="13.6797"/>
    <n v="-89.194500000000005"/>
    <n v="3"/>
    <n v="0"/>
    <n v="0"/>
    <n v="107"/>
    <s v="_x0000_peopl"/>
  </r>
  <r>
    <x v="6"/>
    <n v="13.6884"/>
    <n v="-89.229600000000005"/>
    <n v="6"/>
    <n v="0"/>
    <n v="0"/>
    <n v="107"/>
    <s v="_x0000_peopl"/>
  </r>
  <r>
    <x v="6"/>
    <n v="13.6869"/>
    <n v="-89.194299999999998"/>
    <n v="7"/>
    <n v="0"/>
    <n v="0"/>
    <n v="107"/>
    <s v="_x0000_peopl"/>
  </r>
  <r>
    <x v="6"/>
    <n v="13.690799999999999"/>
    <n v="-89.227599999999995"/>
    <n v="6"/>
    <n v="0"/>
    <n v="0"/>
    <n v="107"/>
    <s v="_x0000_peopl"/>
  </r>
  <r>
    <x v="6"/>
    <n v="13.6891"/>
    <n v="-89.178299999999993"/>
    <n v="5"/>
    <n v="0"/>
    <n v="0"/>
    <n v="107"/>
    <s v="_x0000_peopl"/>
  </r>
  <r>
    <x v="6"/>
    <n v="13.674899999999999"/>
    <n v="-89.251199999999997"/>
    <n v="2"/>
    <n v="0"/>
    <n v="0"/>
    <n v="107"/>
    <s v="_x0000_peopl"/>
  </r>
  <r>
    <x v="6"/>
    <n v="13.6911"/>
    <n v="-89.234499999999997"/>
    <n v="7"/>
    <n v="0"/>
    <n v="0"/>
    <n v="107"/>
    <s v="_x0000_peopl"/>
  </r>
  <r>
    <x v="6"/>
    <n v="13.6904"/>
    <n v="-89.235900000000001"/>
    <n v="3"/>
    <n v="0"/>
    <n v="0"/>
    <n v="107"/>
    <s v="_x0000_peopl"/>
  </r>
  <r>
    <x v="6"/>
    <n v="13.6904"/>
    <n v="-89.228099999999998"/>
    <n v="8"/>
    <n v="0"/>
    <n v="0"/>
    <n v="107"/>
    <s v="_x0000_peopl"/>
  </r>
  <r>
    <x v="6"/>
    <n v="13.694000000000001"/>
    <n v="-89.176500000000004"/>
    <n v="5"/>
    <n v="0"/>
    <n v="0"/>
    <n v="107"/>
    <s v="_x0000_peopl"/>
  </r>
  <r>
    <x v="6"/>
    <n v="13.6913"/>
    <n v="-89.179500000000004"/>
    <n v="8"/>
    <n v="0"/>
    <n v="0"/>
    <n v="107"/>
    <s v="_x0000_peopl"/>
  </r>
  <r>
    <x v="6"/>
    <n v="13.6775"/>
    <n v="-89.247299999999996"/>
    <n v="5"/>
    <n v="0"/>
    <n v="0"/>
    <n v="107"/>
    <s v="_x0000_peopl"/>
  </r>
  <r>
    <x v="6"/>
    <n v="13.6798"/>
    <n v="-89.197100000000006"/>
    <n v="3"/>
    <n v="0"/>
    <n v="0"/>
    <n v="107"/>
    <s v="_x0000_peopl"/>
  </r>
  <r>
    <x v="6"/>
    <n v="13.6899"/>
    <n v="-89.183499999999995"/>
    <n v="6"/>
    <n v="0"/>
    <n v="0"/>
    <n v="107"/>
    <s v="_x0000_peopl"/>
  </r>
  <r>
    <x v="6"/>
    <n v="13.6919"/>
    <n v="-89.221500000000006"/>
    <n v="8"/>
    <n v="0"/>
    <n v="0"/>
    <n v="107"/>
    <s v="_x0000_peopl"/>
  </r>
  <r>
    <x v="6"/>
    <n v="13.6915"/>
    <n v="-89.185299999999998"/>
    <n v="9"/>
    <n v="0"/>
    <n v="0"/>
    <n v="107"/>
    <s v="_x0000_peopl"/>
  </r>
  <r>
    <x v="6"/>
    <n v="13.6851"/>
    <n v="-89.215500000000006"/>
    <n v="5"/>
    <n v="0"/>
    <n v="0"/>
    <n v="107"/>
    <s v="_x0000_peopl"/>
  </r>
  <r>
    <x v="6"/>
    <n v="13.6769"/>
    <n v="-89.199600000000004"/>
    <n v="6"/>
    <n v="0"/>
    <n v="0"/>
    <n v="107"/>
    <s v="_x0000_peopl"/>
  </r>
  <r>
    <x v="6"/>
    <n v="13.6913"/>
    <n v="-89.189400000000006"/>
    <n v="7"/>
    <n v="0"/>
    <n v="0"/>
    <n v="107"/>
    <s v="_x0000_peopl"/>
  </r>
  <r>
    <x v="6"/>
    <n v="13.695600000000001"/>
    <n v="-89.1738"/>
    <n v="6"/>
    <n v="0"/>
    <n v="0"/>
    <n v="107"/>
    <s v="_x0000_peopl"/>
  </r>
  <r>
    <x v="6"/>
    <n v="13.687200000000001"/>
    <n v="-89.216499999999996"/>
    <n v="3"/>
    <n v="0"/>
    <n v="0"/>
    <n v="107"/>
    <s v="_x0000_peopl"/>
  </r>
  <r>
    <x v="6"/>
    <n v="13.686"/>
    <n v="-89.202299999999994"/>
    <n v="5"/>
    <n v="0"/>
    <n v="0"/>
    <n v="107"/>
    <s v="_x0000_peopl"/>
  </r>
  <r>
    <x v="6"/>
    <n v="13.6873"/>
    <n v="-89.205399999999997"/>
    <n v="6"/>
    <n v="0"/>
    <n v="0"/>
    <n v="107"/>
    <s v="_x0000_peopl"/>
  </r>
  <r>
    <x v="6"/>
    <n v="13.6896"/>
    <n v="-89.216899999999995"/>
    <n v="1"/>
    <n v="0"/>
    <n v="0"/>
    <n v="107"/>
    <s v="_x0000_peopl"/>
  </r>
  <r>
    <x v="6"/>
    <n v="13.695"/>
    <n v="-89.174999999999997"/>
    <n v="4"/>
    <n v="0"/>
    <n v="0"/>
    <n v="107"/>
    <s v="_x0000_peopl"/>
  </r>
  <r>
    <x v="6"/>
    <n v="13.687200000000001"/>
    <n v="-89.193799999999996"/>
    <n v="4"/>
    <n v="0"/>
    <n v="0"/>
    <n v="107"/>
    <s v="_x0000_peopl"/>
  </r>
  <r>
    <x v="6"/>
    <n v="13.693300000000001"/>
    <n v="-89.176400000000001"/>
    <n v="3"/>
    <n v="0"/>
    <n v="0"/>
    <n v="107"/>
    <s v="_x0000_peopl"/>
  </r>
  <r>
    <x v="6"/>
    <n v="13.6874"/>
    <n v="-89.197199999999995"/>
    <n v="2"/>
    <n v="0"/>
    <n v="0"/>
    <n v="107"/>
    <s v="_x0000_peopl"/>
  </r>
  <r>
    <x v="6"/>
    <n v="13.6935"/>
    <n v="-89.183700000000002"/>
    <n v="3"/>
    <n v="0"/>
    <n v="0"/>
    <n v="107"/>
    <s v="_x0000_peopl"/>
  </r>
  <r>
    <x v="6"/>
    <n v="13.691800000000001"/>
    <n v="-89.186700000000002"/>
    <n v="5"/>
    <n v="0"/>
    <n v="0"/>
    <n v="107"/>
    <s v="_x0000_peopl"/>
  </r>
  <r>
    <x v="6"/>
    <n v="13.6911"/>
    <n v="-89.229500000000002"/>
    <n v="8"/>
    <n v="0"/>
    <n v="0"/>
    <n v="107"/>
    <s v="_x0000_peopl"/>
  </r>
  <r>
    <x v="6"/>
    <n v="13.690200000000001"/>
    <n v="-89.188299999999998"/>
    <n v="6"/>
    <n v="0"/>
    <n v="0"/>
    <n v="107"/>
    <s v="_x0000_peopl"/>
  </r>
  <r>
    <x v="6"/>
    <n v="13.6898"/>
    <n v="-89.194000000000003"/>
    <n v="4"/>
    <n v="0"/>
    <n v="0"/>
    <n v="107"/>
    <s v="_x0000_peopl"/>
  </r>
  <r>
    <x v="6"/>
    <n v="13.692399999999999"/>
    <n v="-89.176599999999993"/>
    <n v="3"/>
    <n v="0"/>
    <n v="0"/>
    <n v="107"/>
    <s v="_x0000_peopl"/>
  </r>
  <r>
    <x v="6"/>
    <n v="13.6874"/>
    <n v="-89.194400000000002"/>
    <n v="8"/>
    <n v="0"/>
    <n v="0"/>
    <n v="107"/>
    <s v="_x0000_peopl"/>
  </r>
  <r>
    <x v="6"/>
    <n v="13.692"/>
    <n v="-89.184200000000004"/>
    <n v="7"/>
    <n v="0"/>
    <n v="0"/>
    <n v="107"/>
    <s v="_x0000_peopl"/>
  </r>
  <r>
    <x v="6"/>
    <n v="13.6959"/>
    <n v="-89.167599999999993"/>
    <n v="3"/>
    <n v="0"/>
    <n v="0"/>
    <n v="107"/>
    <s v="_x0000_peopl"/>
  </r>
  <r>
    <x v="6"/>
    <n v="13.695"/>
    <n v="-89.173699999999997"/>
    <n v="3"/>
    <n v="0"/>
    <n v="0"/>
    <n v="107"/>
    <s v="_x0000_peopl"/>
  </r>
  <r>
    <x v="6"/>
    <n v="13.690799999999999"/>
    <n v="-89.233099999999993"/>
    <n v="3"/>
    <n v="0"/>
    <n v="0"/>
    <n v="107"/>
    <s v="_x0000_peopl"/>
  </r>
  <r>
    <x v="6"/>
    <n v="13.685"/>
    <n v="-89.214100000000002"/>
    <n v="8"/>
    <n v="0"/>
    <n v="0"/>
    <n v="107"/>
    <s v="_x0000_peopl"/>
  </r>
  <r>
    <x v="6"/>
    <n v="13.6965"/>
    <n v="-89.172200000000004"/>
    <n v="3"/>
    <n v="0"/>
    <n v="0"/>
    <n v="107"/>
    <s v="_x0000_peopl"/>
  </r>
  <r>
    <x v="6"/>
    <n v="13.6936"/>
    <n v="-89.173299999999998"/>
    <n v="6"/>
    <n v="0"/>
    <n v="0"/>
    <n v="107"/>
    <s v="_x0000_peopl"/>
  </r>
  <r>
    <x v="6"/>
    <n v="13.690200000000001"/>
    <n v="-89.179699999999997"/>
    <n v="3"/>
    <n v="0"/>
    <n v="0"/>
    <n v="107"/>
    <s v="_x0000_peopl"/>
  </r>
  <r>
    <x v="6"/>
    <n v="13.6874"/>
    <n v="-89.1965"/>
    <n v="6"/>
    <n v="0"/>
    <n v="0"/>
    <n v="107"/>
    <s v="_x0000_peopl"/>
  </r>
  <r>
    <x v="6"/>
    <n v="13.6904"/>
    <n v="-89.177700000000002"/>
    <n v="5"/>
    <n v="0"/>
    <n v="0"/>
    <n v="107"/>
    <s v="_x0000_peopl"/>
  </r>
  <r>
    <x v="6"/>
    <n v="13.6883"/>
    <n v="-89.193799999999996"/>
    <n v="11"/>
    <n v="0"/>
    <n v="0"/>
    <n v="107"/>
    <s v="_x0000_peopl"/>
  </r>
  <r>
    <x v="6"/>
    <n v="13.690799999999999"/>
    <n v="-89.231999999999999"/>
    <n v="3"/>
    <n v="0"/>
    <n v="0"/>
    <n v="107"/>
    <s v="_x0000_peopl"/>
  </r>
  <r>
    <x v="6"/>
    <n v="13.692299999999999"/>
    <n v="-89.222700000000003"/>
    <n v="4"/>
    <n v="0"/>
    <n v="0"/>
    <n v="107"/>
    <s v="_x0000_peopl"/>
  </r>
  <r>
    <x v="6"/>
    <n v="13.6907"/>
    <n v="-89.194299999999998"/>
    <n v="2"/>
    <n v="0"/>
    <n v="0"/>
    <n v="107"/>
    <s v="_x0000_peopl"/>
  </r>
  <r>
    <x v="6"/>
    <n v="13.6875"/>
    <n v="-89.194400000000002"/>
    <n v="6"/>
    <n v="0"/>
    <n v="0"/>
    <n v="107"/>
    <s v="_x0000_peopl"/>
  </r>
  <r>
    <x v="6"/>
    <n v="13.693"/>
    <n v="-89.184600000000003"/>
    <n v="1"/>
    <n v="0"/>
    <n v="0"/>
    <n v="107"/>
    <s v="_x0000_peopl"/>
  </r>
  <r>
    <x v="6"/>
    <n v="13.6907"/>
    <n v="-89.186199999999999"/>
    <n v="8"/>
    <n v="0"/>
    <n v="0"/>
    <n v="107"/>
    <s v="_x0000_peopl"/>
  </r>
  <r>
    <x v="6"/>
    <n v="13.692600000000001"/>
    <n v="-89.183899999999994"/>
    <n v="4"/>
    <n v="0"/>
    <n v="0"/>
    <n v="107"/>
    <s v="_x0000_peopl"/>
  </r>
  <r>
    <x v="6"/>
    <n v="13.688700000000001"/>
    <n v="-89.189599999999999"/>
    <n v="4"/>
    <n v="0"/>
    <n v="0"/>
    <n v="107"/>
    <s v="_x0000_peopl"/>
  </r>
  <r>
    <x v="6"/>
    <n v="13.6861"/>
    <n v="-89.203900000000004"/>
    <n v="4"/>
    <n v="0"/>
    <n v="0"/>
    <n v="107"/>
    <s v="_x0000_peopl"/>
  </r>
  <r>
    <x v="6"/>
    <n v="13.689399999999999"/>
    <n v="-89.183499999999995"/>
    <n v="6"/>
    <n v="0"/>
    <n v="0"/>
    <n v="107"/>
    <s v="_x0000_peopl"/>
  </r>
  <r>
    <x v="6"/>
    <n v="13.6874"/>
    <n v="-89.216999999999999"/>
    <n v="8"/>
    <n v="0"/>
    <n v="0"/>
    <n v="107"/>
    <s v="_x0000_peopl"/>
  </r>
  <r>
    <x v="6"/>
    <n v="13.6904"/>
    <n v="-89.195700000000002"/>
    <n v="9"/>
    <n v="0"/>
    <n v="0"/>
    <n v="107"/>
    <s v="_x0000_peopl"/>
  </r>
  <r>
    <x v="6"/>
    <n v="13.6922"/>
    <n v="-89.179100000000005"/>
    <n v="4"/>
    <n v="0"/>
    <n v="0"/>
    <n v="107"/>
    <s v="_x0000_peopl"/>
  </r>
  <r>
    <x v="6"/>
    <n v="13.686"/>
    <n v="-89.198400000000007"/>
    <n v="6"/>
    <n v="0"/>
    <n v="0"/>
    <n v="107"/>
    <s v="_x0000_peopl"/>
  </r>
  <r>
    <x v="6"/>
    <n v="13.6928"/>
    <n v="-89.225800000000007"/>
    <n v="5"/>
    <n v="0"/>
    <n v="0"/>
    <n v="107"/>
    <s v="_x0000_peopl"/>
  </r>
  <r>
    <x v="6"/>
    <n v="13.6806"/>
    <n v="-89.195999999999998"/>
    <n v="7"/>
    <n v="0"/>
    <n v="0"/>
    <n v="107"/>
    <s v="_x0000_peopl"/>
  </r>
  <r>
    <x v="6"/>
    <n v="13.6899"/>
    <n v="-89.189800000000005"/>
    <n v="3"/>
    <n v="0"/>
    <n v="0"/>
    <n v="107"/>
    <s v="_x0000_peopl"/>
  </r>
  <r>
    <x v="6"/>
    <n v="13.687099999999999"/>
    <n v="-89.197699999999998"/>
    <n v="5"/>
    <n v="0"/>
    <n v="0"/>
    <n v="107"/>
    <s v="_x0000_peopl"/>
  </r>
  <r>
    <x v="6"/>
    <n v="13.6891"/>
    <n v="-89.204800000000006"/>
    <n v="5"/>
    <n v="0"/>
    <n v="0"/>
    <n v="107"/>
    <s v="_x0000_peopl"/>
  </r>
  <r>
    <x v="6"/>
    <n v="13.689299999999999"/>
    <n v="-89.206299999999999"/>
    <n v="4"/>
    <n v="0"/>
    <n v="0"/>
    <n v="107"/>
    <s v="_x0000_peopl"/>
  </r>
  <r>
    <x v="6"/>
    <n v="13.6945"/>
    <n v="-89.183000000000007"/>
    <n v="4"/>
    <n v="0"/>
    <n v="0"/>
    <n v="107"/>
    <s v="_x0000_peopl"/>
  </r>
  <r>
    <x v="6"/>
    <n v="13.674799999999999"/>
    <n v="-89.251300000000001"/>
    <n v="10"/>
    <n v="0"/>
    <n v="0"/>
    <n v="107"/>
    <s v="_x0000_peopl"/>
  </r>
  <r>
    <x v="6"/>
    <n v="13.691700000000001"/>
    <n v="-89.179000000000002"/>
    <n v="8"/>
    <n v="0"/>
    <n v="0"/>
    <n v="107"/>
    <s v="_x0000_peopl"/>
  </r>
  <r>
    <x v="6"/>
    <n v="13.692600000000001"/>
    <n v="-89.223799999999997"/>
    <n v="3"/>
    <n v="0"/>
    <n v="0"/>
    <n v="107"/>
    <s v="_x0000_peopl"/>
  </r>
  <r>
    <x v="6"/>
    <n v="13.6944"/>
    <n v="-89.174499999999995"/>
    <n v="5"/>
    <n v="0"/>
    <n v="0"/>
    <n v="107"/>
    <s v="_x0000_peopl"/>
  </r>
  <r>
    <x v="6"/>
    <n v="13.6747"/>
    <n v="-89.251900000000006"/>
    <n v="4"/>
    <n v="0"/>
    <n v="0"/>
    <n v="107"/>
    <s v="_x0000_peopl"/>
  </r>
  <r>
    <x v="6"/>
    <n v="13.6966"/>
    <n v="-89.171499999999995"/>
    <n v="5"/>
    <n v="0"/>
    <n v="0"/>
    <n v="107"/>
    <s v="_x0000_peopl"/>
  </r>
  <r>
    <x v="6"/>
    <n v="13.6861"/>
    <n v="-89.211699999999993"/>
    <n v="2"/>
    <n v="0"/>
    <n v="0"/>
    <n v="107"/>
    <s v="_x0000_peopl"/>
  </r>
  <r>
    <x v="6"/>
    <n v="13.686999999999999"/>
    <n v="-89.195400000000006"/>
    <n v="4"/>
    <n v="0"/>
    <n v="0"/>
    <n v="107"/>
    <s v="_x0000_peopl"/>
  </r>
  <r>
    <x v="6"/>
    <n v="13.692"/>
    <n v="-89.226399999999998"/>
    <n v="4"/>
    <n v="0"/>
    <n v="0"/>
    <n v="107"/>
    <s v="_x0000_peopl"/>
  </r>
  <r>
    <x v="6"/>
    <n v="13.6935"/>
    <n v="-89.185599999999994"/>
    <n v="9"/>
    <n v="0"/>
    <n v="0"/>
    <n v="107"/>
    <s v="_x0000_peopl"/>
  </r>
  <r>
    <x v="6"/>
    <n v="13.689399999999999"/>
    <n v="-89.207999999999998"/>
    <n v="7"/>
    <n v="0"/>
    <n v="0"/>
    <n v="107"/>
    <s v="_x0000_peopl"/>
  </r>
  <r>
    <x v="6"/>
    <n v="13.6797"/>
    <n v="-89.197199999999995"/>
    <n v="1"/>
    <n v="0"/>
    <n v="0"/>
    <n v="107"/>
    <s v="_x0000_peopl"/>
  </r>
  <r>
    <x v="6"/>
    <n v="13.6905"/>
    <n v="-89.194299999999998"/>
    <n v="7"/>
    <n v="0"/>
    <n v="0"/>
    <n v="107"/>
    <s v="_x0000_peopl"/>
  </r>
  <r>
    <x v="6"/>
    <n v="13.692600000000001"/>
    <n v="-89.225499999999997"/>
    <n v="5"/>
    <n v="0"/>
    <n v="0"/>
    <n v="107"/>
    <s v="_x0000_peopl"/>
  </r>
  <r>
    <x v="6"/>
    <n v="13.6877"/>
    <n v="-89.1815"/>
    <n v="6"/>
    <n v="0"/>
    <n v="0"/>
    <n v="107"/>
    <s v="_x0000_peopl"/>
  </r>
  <r>
    <x v="6"/>
    <n v="13.694800000000001"/>
    <n v="-89.1738"/>
    <n v="6"/>
    <n v="0"/>
    <n v="0"/>
    <n v="107"/>
    <s v="_x0000_peopl"/>
  </r>
  <r>
    <x v="6"/>
    <n v="13.6783"/>
    <n v="-89.245900000000006"/>
    <n v="3"/>
    <n v="0"/>
    <n v="0"/>
    <n v="107"/>
    <s v="_x0000_peopl"/>
  </r>
  <r>
    <x v="6"/>
    <n v="13.674300000000001"/>
    <n v="-89.199100000000001"/>
    <n v="5"/>
    <n v="0"/>
    <n v="0"/>
    <n v="107"/>
    <s v="_x0000_peopl"/>
  </r>
  <r>
    <x v="6"/>
    <n v="13.6881"/>
    <n v="-89.194500000000005"/>
    <n v="5"/>
    <n v="0"/>
    <n v="0"/>
    <n v="107"/>
    <s v="_x0000_peopl"/>
  </r>
  <r>
    <x v="6"/>
    <n v="13.6853"/>
    <n v="-89.202600000000004"/>
    <n v="7"/>
    <n v="0"/>
    <n v="0"/>
    <n v="107"/>
    <s v="_x0000_peopl"/>
  </r>
  <r>
    <x v="6"/>
    <n v="13.6906"/>
    <n v="-89.235200000000006"/>
    <n v="5"/>
    <n v="0"/>
    <n v="0"/>
    <n v="107"/>
    <s v="_x0000_peopl"/>
  </r>
  <r>
    <x v="6"/>
    <n v="13.6873"/>
    <n v="-89.215699999999998"/>
    <n v="5"/>
    <n v="0"/>
    <n v="0"/>
    <n v="107"/>
    <s v="_x0000_peopl"/>
  </r>
  <r>
    <x v="6"/>
    <n v="13.6922"/>
    <n v="-89.222399999999993"/>
    <n v="1"/>
    <n v="0"/>
    <n v="0"/>
    <n v="107"/>
    <s v="_x0000_peopl"/>
  </r>
  <r>
    <x v="6"/>
    <n v="13.691800000000001"/>
    <n v="-89.183000000000007"/>
    <n v="2"/>
    <n v="0"/>
    <n v="0"/>
    <n v="107"/>
    <s v="_x0000_peopl"/>
  </r>
  <r>
    <x v="6"/>
    <n v="13.6843"/>
    <n v="-89.216800000000006"/>
    <n v="4"/>
    <n v="0"/>
    <n v="0"/>
    <n v="107"/>
    <s v="_x0000_peopl"/>
  </r>
  <r>
    <x v="6"/>
    <n v="13.694699999999999"/>
    <n v="-89.174099999999996"/>
    <n v="3"/>
    <n v="0"/>
    <n v="0"/>
    <n v="107"/>
    <s v="_x0000_peopl"/>
  </r>
  <r>
    <x v="6"/>
    <n v="13.674300000000001"/>
    <n v="-89.201899999999995"/>
    <n v="5"/>
    <n v="0"/>
    <n v="0"/>
    <n v="107"/>
    <s v="_x0000_peopl"/>
  </r>
  <r>
    <x v="6"/>
    <n v="13.6906"/>
    <n v="-89.194500000000005"/>
    <n v="10"/>
    <n v="0"/>
    <n v="0"/>
    <n v="107"/>
    <s v="_x0000_peopl"/>
  </r>
  <r>
    <x v="6"/>
    <n v="13.6922"/>
    <n v="-89.226200000000006"/>
    <n v="4"/>
    <n v="0"/>
    <n v="0"/>
    <n v="107"/>
    <s v="_x0000_peopl"/>
  </r>
  <r>
    <x v="6"/>
    <n v="13.684799999999999"/>
    <n v="-89.214299999999994"/>
    <n v="6"/>
    <n v="0"/>
    <n v="0"/>
    <n v="107"/>
    <s v="_x0000_peopl"/>
  </r>
  <r>
    <x v="6"/>
    <n v="13.687900000000001"/>
    <n v="-89.215599999999995"/>
    <n v="7"/>
    <n v="0"/>
    <n v="0"/>
    <n v="107"/>
    <s v="_x0000_peopl"/>
  </r>
  <r>
    <x v="6"/>
    <n v="13.687799999999999"/>
    <n v="-89.181399999999996"/>
    <n v="6"/>
    <n v="0"/>
    <n v="0"/>
    <n v="107"/>
    <s v="_x0000_peopl"/>
  </r>
  <r>
    <x v="6"/>
    <n v="13.687099999999999"/>
    <n v="-89.194699999999997"/>
    <n v="4"/>
    <n v="0"/>
    <n v="0"/>
    <n v="107"/>
    <s v="_x0000_peopl"/>
  </r>
  <r>
    <x v="6"/>
    <n v="13.6854"/>
    <n v="-89.215199999999996"/>
    <n v="1"/>
    <n v="0"/>
    <n v="0"/>
    <n v="107"/>
    <s v="_x0000_peopl"/>
  </r>
  <r>
    <x v="6"/>
    <n v="13.686999999999999"/>
    <n v="-89.197500000000005"/>
    <n v="5"/>
    <n v="0"/>
    <n v="0"/>
    <n v="107"/>
    <s v="_x0000_peopl"/>
  </r>
  <r>
    <x v="6"/>
    <n v="13.6937"/>
    <n v="-89.176900000000003"/>
    <n v="9"/>
    <n v="0"/>
    <n v="0"/>
    <n v="107"/>
    <s v="_x0000_peopl"/>
  </r>
  <r>
    <x v="6"/>
    <n v="13.6897"/>
    <n v="-89.190399999999997"/>
    <n v="1"/>
    <n v="0"/>
    <n v="0"/>
    <n v="107"/>
    <s v="_x0000_peopl"/>
  </r>
  <r>
    <x v="6"/>
    <n v="13.674200000000001"/>
    <n v="-89.202399999999997"/>
    <n v="9"/>
    <n v="0"/>
    <n v="0"/>
    <n v="107"/>
    <s v="_x0000_peopl"/>
  </r>
  <r>
    <x v="6"/>
    <n v="13.692399999999999"/>
    <n v="-89.186800000000005"/>
    <n v="4"/>
    <n v="0"/>
    <n v="0"/>
    <n v="107"/>
    <s v="_x0000_peopl"/>
  </r>
  <r>
    <x v="6"/>
    <n v="13.6899"/>
    <n v="-89.193299999999994"/>
    <n v="8"/>
    <n v="0"/>
    <n v="0"/>
    <n v="107"/>
    <s v="_x0000_peopl"/>
  </r>
  <r>
    <x v="6"/>
    <n v="13.6797"/>
    <n v="-89.194500000000005"/>
    <n v="3"/>
    <n v="0"/>
    <n v="0"/>
    <n v="107"/>
    <s v="_x0000_peopl"/>
  </r>
  <r>
    <x v="6"/>
    <n v="13.685499999999999"/>
    <n v="-89.203000000000003"/>
    <n v="3"/>
    <n v="0"/>
    <n v="0"/>
    <n v="107"/>
    <s v="_x0000_peopl"/>
  </r>
  <r>
    <x v="6"/>
    <n v="13.688700000000001"/>
    <n v="-89.180599999999998"/>
    <n v="5"/>
    <n v="0"/>
    <n v="0"/>
    <n v="107"/>
    <s v="_x0000_peopl"/>
  </r>
  <r>
    <x v="6"/>
    <n v="13.692399999999999"/>
    <n v="-89.183899999999994"/>
    <n v="6"/>
    <n v="0"/>
    <n v="0"/>
    <n v="107"/>
    <s v="_x0000_peopl"/>
  </r>
  <r>
    <x v="6"/>
    <n v="13.693199999999999"/>
    <n v="-89.183000000000007"/>
    <n v="5"/>
    <n v="0"/>
    <n v="0"/>
    <n v="107"/>
    <s v="_x0000_peopl"/>
  </r>
  <r>
    <x v="6"/>
    <n v="13.6891"/>
    <n v="-89.183899999999994"/>
    <n v="2"/>
    <n v="0"/>
    <n v="0"/>
    <n v="107"/>
    <s v="_x0000_peopl"/>
  </r>
  <r>
    <x v="6"/>
    <n v="13.687200000000001"/>
    <n v="-89.197000000000003"/>
    <n v="5"/>
    <n v="0"/>
    <n v="0"/>
    <n v="107"/>
    <s v="_x0000_peopl"/>
  </r>
  <r>
    <x v="6"/>
    <n v="13.689399999999999"/>
    <n v="-89.206400000000002"/>
    <n v="4"/>
    <n v="0"/>
    <n v="0"/>
    <n v="107"/>
    <s v="_x0000_peopl"/>
  </r>
  <r>
    <x v="6"/>
    <n v="13.6905"/>
    <n v="-89.1845"/>
    <n v="5"/>
    <n v="0"/>
    <n v="0"/>
    <n v="107"/>
    <s v="_x0000_peopl"/>
  </r>
  <r>
    <x v="6"/>
    <n v="13.6868"/>
    <n v="-89.194299999999998"/>
    <n v="7"/>
    <n v="0"/>
    <n v="0"/>
    <n v="107"/>
    <s v="_x0000_peopl"/>
  </r>
  <r>
    <x v="6"/>
    <n v="13.693899999999999"/>
    <n v="-89.175399999999996"/>
    <n v="1"/>
    <n v="0"/>
    <n v="0"/>
    <n v="107"/>
    <s v="_x0000_peopl"/>
  </r>
  <r>
    <x v="6"/>
    <n v="13.6791"/>
    <n v="-89.193899999999999"/>
    <n v="3"/>
    <n v="0"/>
    <n v="0"/>
    <n v="107"/>
    <s v="_x0000_peopl"/>
  </r>
  <r>
    <x v="6"/>
    <n v="13.6913"/>
    <n v="-89.234899999999996"/>
    <n v="0"/>
    <n v="0"/>
    <n v="0"/>
    <n v="107"/>
    <s v="_x0000_peopl"/>
  </r>
  <r>
    <x v="6"/>
    <n v="13.692500000000001"/>
    <n v="-89.224900000000005"/>
    <n v="5"/>
    <n v="0"/>
    <n v="0"/>
    <n v="107"/>
    <s v="_x0000_peopl"/>
  </r>
  <r>
    <x v="6"/>
    <n v="13.690200000000001"/>
    <n v="-89.228499999999997"/>
    <n v="5"/>
    <n v="0"/>
    <n v="0"/>
    <n v="107"/>
    <s v="_x0000_peopl"/>
  </r>
  <r>
    <x v="6"/>
    <n v="13.6874"/>
    <n v="-89.194699999999997"/>
    <n v="4"/>
    <n v="0"/>
    <n v="0"/>
    <n v="107"/>
    <s v="_x0000_peopl"/>
  </r>
  <r>
    <x v="6"/>
    <n v="13.6852"/>
    <n v="-89.217100000000002"/>
    <n v="4"/>
    <n v="0"/>
    <n v="0"/>
    <n v="107"/>
    <s v="_x0000_peopl"/>
  </r>
  <r>
    <x v="6"/>
    <n v="13.689299999999999"/>
    <n v="-89.183499999999995"/>
    <n v="6"/>
    <n v="0"/>
    <n v="0"/>
    <n v="107"/>
    <s v="_x0000_peopl"/>
  </r>
  <r>
    <x v="6"/>
    <n v="13.686"/>
    <n v="-89.1982"/>
    <n v="3"/>
    <n v="0"/>
    <n v="0"/>
    <n v="107"/>
    <s v="_x0000_peopl"/>
  </r>
  <r>
    <x v="6"/>
    <n v="13.6877"/>
    <n v="-89.181700000000006"/>
    <n v="3"/>
    <n v="0"/>
    <n v="0"/>
    <n v="107"/>
    <s v="_x0000_peopl"/>
  </r>
  <r>
    <x v="6"/>
    <n v="13.686"/>
    <n v="-89.214399999999998"/>
    <n v="5"/>
    <n v="0"/>
    <n v="0"/>
    <n v="107"/>
    <s v="_x0000_peopl"/>
  </r>
  <r>
    <x v="6"/>
    <n v="13.691599999999999"/>
    <n v="-89.234800000000007"/>
    <n v="4"/>
    <n v="0"/>
    <n v="0"/>
    <n v="107"/>
    <s v="_x0000_peopl"/>
  </r>
  <r>
    <x v="6"/>
    <n v="13.690300000000001"/>
    <n v="-89.234700000000004"/>
    <n v="2"/>
    <n v="0"/>
    <n v="0"/>
    <n v="107"/>
    <s v="_x0000_peopl"/>
  </r>
  <r>
    <x v="6"/>
    <n v="13.6854"/>
    <n v="-89.194000000000003"/>
    <n v="6"/>
    <n v="0"/>
    <n v="0"/>
    <n v="107"/>
    <s v="_x0000_peopl"/>
  </r>
  <r>
    <x v="6"/>
    <n v="13.691000000000001"/>
    <n v="-89.234999999999999"/>
    <n v="7"/>
    <n v="0"/>
    <n v="0"/>
    <n v="107"/>
    <s v="_x0000_peopl"/>
  </r>
  <r>
    <x v="6"/>
    <n v="13.6897"/>
    <n v="-89.229100000000003"/>
    <n v="4"/>
    <n v="0"/>
    <n v="0"/>
    <n v="107"/>
    <s v="_x0000_peopl"/>
  </r>
  <r>
    <x v="6"/>
    <n v="13.691000000000001"/>
    <n v="-89.185400000000001"/>
    <n v="9"/>
    <n v="0"/>
    <n v="0"/>
    <n v="107"/>
    <s v="_x0000_peopl"/>
  </r>
  <r>
    <x v="6"/>
    <n v="13.6892"/>
    <n v="-89.204999999999998"/>
    <n v="1"/>
    <n v="0"/>
    <n v="0"/>
    <n v="107"/>
    <s v="_x0000_peopl"/>
  </r>
  <r>
    <x v="6"/>
    <n v="13.6745"/>
    <n v="-89.252399999999994"/>
    <n v="6"/>
    <n v="0"/>
    <n v="0"/>
    <n v="107"/>
    <s v="_x0000_peopl"/>
  </r>
  <r>
    <x v="6"/>
    <n v="13.691000000000001"/>
    <n v="-89.229699999999994"/>
    <n v="0"/>
    <n v="0"/>
    <n v="0"/>
    <n v="107"/>
    <s v="_x0000_peopl"/>
  </r>
  <r>
    <x v="6"/>
    <n v="13.685600000000001"/>
    <n v="-89.212100000000007"/>
    <n v="2"/>
    <n v="0"/>
    <n v="0"/>
    <n v="107"/>
    <s v="_x0000_peopl"/>
  </r>
  <r>
    <x v="6"/>
    <n v="13.6915"/>
    <n v="-89.2346"/>
    <n v="4"/>
    <n v="0"/>
    <n v="0"/>
    <n v="107"/>
    <s v="_x0000_peopl"/>
  </r>
  <r>
    <x v="6"/>
    <n v="13.688599999999999"/>
    <n v="-89.2119"/>
    <n v="6"/>
    <n v="0"/>
    <n v="0"/>
    <n v="107"/>
    <s v="_x0000_peopl"/>
  </r>
  <r>
    <x v="6"/>
    <n v="13.6874"/>
    <n v="-89.193700000000007"/>
    <n v="9"/>
    <n v="0"/>
    <n v="0"/>
    <n v="107"/>
    <s v="_x0000_peopl"/>
  </r>
  <r>
    <x v="6"/>
    <n v="13.6915"/>
    <n v="-89.193399999999997"/>
    <n v="4"/>
    <n v="0"/>
    <n v="0"/>
    <n v="107"/>
    <s v="_x0000_peopl"/>
  </r>
  <r>
    <x v="6"/>
    <n v="13.687200000000001"/>
    <n v="-89.194599999999994"/>
    <n v="3"/>
    <n v="0"/>
    <n v="0"/>
    <n v="107"/>
    <s v="_x0000_peopl"/>
  </r>
  <r>
    <x v="6"/>
    <n v="13.6877"/>
    <n v="-89.196899999999999"/>
    <n v="5"/>
    <n v="0"/>
    <n v="0"/>
    <n v="107"/>
    <s v="_x0000_peopl"/>
  </r>
  <r>
    <x v="6"/>
    <n v="13.689500000000001"/>
    <n v="-89.185000000000002"/>
    <n v="5"/>
    <n v="0"/>
    <n v="0"/>
    <n v="107"/>
    <s v="_x0000_peopl"/>
  </r>
  <r>
    <x v="6"/>
    <n v="13.691599999999999"/>
    <n v="-89.220600000000005"/>
    <n v="9"/>
    <n v="0"/>
    <n v="0"/>
    <n v="107"/>
    <s v="_x0000_peopl"/>
  </r>
  <r>
    <x v="6"/>
    <n v="13.6914"/>
    <n v="-89.188100000000006"/>
    <n v="3"/>
    <n v="0"/>
    <n v="0"/>
    <n v="107"/>
    <s v="_x0000_peopl"/>
  </r>
  <r>
    <x v="6"/>
    <n v="13.694599999999999"/>
    <n v="-89.175200000000004"/>
    <n v="0"/>
    <n v="0"/>
    <n v="0"/>
    <n v="107"/>
    <s v="_x0000_peopl"/>
  </r>
  <r>
    <x v="6"/>
    <n v="13.6806"/>
    <n v="-89.198300000000003"/>
    <n v="1"/>
    <n v="0"/>
    <n v="0"/>
    <n v="107"/>
    <s v="_x0000_peopl"/>
  </r>
  <r>
    <x v="6"/>
    <n v="13.6867"/>
    <n v="-89.211500000000001"/>
    <n v="4"/>
    <n v="0"/>
    <n v="0"/>
    <n v="107"/>
    <s v="_x0000_peopl"/>
  </r>
  <r>
    <x v="6"/>
    <n v="13.692399999999999"/>
    <n v="-89.186899999999994"/>
    <n v="3"/>
    <n v="0"/>
    <n v="0"/>
    <n v="107"/>
    <s v="_x0000_peopl"/>
  </r>
  <r>
    <x v="6"/>
    <n v="13.6751"/>
    <n v="-89.202399999999997"/>
    <n v="8"/>
    <n v="0"/>
    <n v="0"/>
    <n v="107"/>
    <s v="_x0000_peopl"/>
  </r>
  <r>
    <x v="6"/>
    <n v="13.6882"/>
    <n v="-89.215800000000002"/>
    <n v="6"/>
    <n v="0"/>
    <n v="0"/>
    <n v="107"/>
    <s v="_x0000_peopl"/>
  </r>
  <r>
    <x v="6"/>
    <n v="13.6921"/>
    <n v="-89.225300000000004"/>
    <n v="4"/>
    <n v="0"/>
    <n v="0"/>
    <n v="107"/>
    <s v="_x0000_peopl"/>
  </r>
  <r>
    <x v="6"/>
    <n v="13.6906"/>
    <n v="-89.197699999999998"/>
    <n v="6"/>
    <n v="0"/>
    <n v="0"/>
    <n v="107"/>
    <s v="_x0000_peopl"/>
  </r>
  <r>
    <x v="6"/>
    <n v="13.6934"/>
    <n v="-89.188699999999997"/>
    <n v="5"/>
    <n v="0"/>
    <n v="0"/>
    <n v="107"/>
    <s v="_x0000_peopl"/>
  </r>
  <r>
    <x v="6"/>
    <n v="13.694100000000001"/>
    <n v="-89.176299999999998"/>
    <n v="8"/>
    <n v="0"/>
    <n v="0"/>
    <n v="107"/>
    <s v="_x0000_peopl"/>
  </r>
  <r>
    <x v="6"/>
    <n v="13.674300000000001"/>
    <n v="-89.251999999999995"/>
    <n v="5"/>
    <n v="0"/>
    <n v="0"/>
    <n v="107"/>
    <s v="_x0000_peopl"/>
  </r>
  <r>
    <x v="6"/>
    <n v="13.690799999999999"/>
    <n v="-89.233800000000002"/>
    <n v="7"/>
    <n v="0"/>
    <n v="0"/>
    <n v="107"/>
    <s v="_x0000_peopl"/>
  </r>
  <r>
    <x v="6"/>
    <n v="13.6913"/>
    <n v="-89.228800000000007"/>
    <n v="2"/>
    <n v="0"/>
    <n v="0"/>
    <n v="107"/>
    <s v="_x0000_peopl"/>
  </r>
  <r>
    <x v="6"/>
    <n v="13.6853"/>
    <n v="-89.212400000000002"/>
    <n v="2"/>
    <n v="0"/>
    <n v="0"/>
    <n v="107"/>
    <s v="_x0000_peopl"/>
  </r>
  <r>
    <x v="6"/>
    <n v="13.6891"/>
    <n v="-89.190299999999993"/>
    <n v="4"/>
    <n v="0"/>
    <n v="0"/>
    <n v="107"/>
    <s v="_x0000_peopl"/>
  </r>
  <r>
    <x v="6"/>
    <n v="13.6869"/>
    <n v="-89.202200000000005"/>
    <n v="6"/>
    <n v="0"/>
    <n v="0"/>
    <n v="107"/>
    <s v="_x0000_peopl"/>
  </r>
  <r>
    <x v="6"/>
    <n v="13.6911"/>
    <n v="-89.234300000000005"/>
    <n v="4"/>
    <n v="0"/>
    <n v="0"/>
    <n v="107"/>
    <s v="_x0000_peopl"/>
  </r>
  <r>
    <x v="6"/>
    <n v="13.6877"/>
    <n v="-89.180999999999997"/>
    <n v="4"/>
    <n v="0"/>
    <n v="0"/>
    <n v="107"/>
    <s v="_x0000_peopl"/>
  </r>
  <r>
    <x v="6"/>
    <n v="13.6751"/>
    <n v="-89.199799999999996"/>
    <n v="7"/>
    <n v="0"/>
    <n v="0"/>
    <n v="107"/>
    <s v="_x0000_peopl"/>
  </r>
  <r>
    <x v="6"/>
    <n v="13.690799999999999"/>
    <n v="-89.234200000000001"/>
    <n v="4"/>
    <n v="0"/>
    <n v="0"/>
    <n v="107"/>
    <s v="_x0000_peopl"/>
  </r>
  <r>
    <x v="6"/>
    <n v="13.690099999999999"/>
    <n v="-89.235100000000003"/>
    <n v="7"/>
    <n v="0"/>
    <n v="0"/>
    <n v="107"/>
    <s v="_x0000_peopl"/>
  </r>
  <r>
    <x v="6"/>
    <n v="13.6852"/>
    <n v="-89.202500000000001"/>
    <n v="7"/>
    <n v="0"/>
    <n v="0"/>
    <n v="107"/>
    <s v="_x0000_peopl"/>
  </r>
  <r>
    <x v="6"/>
    <n v="13.689299999999999"/>
    <n v="-89.207700000000003"/>
    <n v="2"/>
    <n v="0"/>
    <n v="0"/>
    <n v="107"/>
    <s v="_x0000_peopl"/>
  </r>
  <r>
    <x v="6"/>
    <n v="13.6915"/>
    <n v="-89.233999999999995"/>
    <n v="7"/>
    <n v="0"/>
    <n v="0"/>
    <n v="107"/>
    <s v="_x0000_peopl"/>
  </r>
  <r>
    <x v="6"/>
    <n v="13.692"/>
    <n v="-89.222700000000003"/>
    <n v="4"/>
    <n v="0"/>
    <n v="0"/>
    <n v="107"/>
    <s v="_x0000_peopl"/>
  </r>
  <r>
    <x v="6"/>
    <n v="13.6875"/>
    <n v="-89.180899999999994"/>
    <n v="4"/>
    <n v="0"/>
    <n v="0"/>
    <n v="107"/>
    <s v="_x0000_peopl"/>
  </r>
  <r>
    <x v="6"/>
    <n v="13.696400000000001"/>
    <n v="-89.1721"/>
    <n v="4"/>
    <n v="0"/>
    <n v="0"/>
    <n v="107"/>
    <s v="_x0000_peopl"/>
  </r>
  <r>
    <x v="6"/>
    <n v="13.675000000000001"/>
    <n v="-89.248900000000006"/>
    <n v="6"/>
    <n v="0"/>
    <n v="0"/>
    <n v="107"/>
    <s v="_x0000_peopl"/>
  </r>
  <r>
    <x v="6"/>
    <n v="13.6754"/>
    <n v="-89.248000000000005"/>
    <n v="6"/>
    <n v="0"/>
    <n v="0"/>
    <n v="107"/>
    <s v="_x0000_peopl"/>
  </r>
  <r>
    <x v="6"/>
    <n v="13.6782"/>
    <n v="-89.245400000000004"/>
    <n v="2"/>
    <n v="0"/>
    <n v="0"/>
    <n v="107"/>
    <s v="_x0000_peopl"/>
  </r>
  <r>
    <x v="6"/>
    <n v="13.6882"/>
    <n v="-89.194299999999998"/>
    <n v="5"/>
    <n v="0"/>
    <n v="0"/>
    <n v="107"/>
    <s v="_x0000_peopl"/>
  </r>
  <r>
    <x v="6"/>
    <n v="13.690899999999999"/>
    <n v="-89.183300000000003"/>
    <n v="3"/>
    <n v="0"/>
    <n v="0"/>
    <n v="107"/>
    <s v="_x0000_peopl"/>
  </r>
  <r>
    <x v="6"/>
    <n v="13.696400000000001"/>
    <n v="-89.171899999999994"/>
    <n v="9"/>
    <n v="0"/>
    <n v="0"/>
    <n v="107"/>
    <s v="_x0000_peopl"/>
  </r>
  <r>
    <x v="6"/>
    <n v="13.6907"/>
    <n v="-89.233599999999996"/>
    <n v="3"/>
    <n v="0"/>
    <n v="0"/>
    <n v="107"/>
    <s v="_x0000_peopl"/>
  </r>
  <r>
    <x v="6"/>
    <n v="13.6898"/>
    <n v="-89.193899999999999"/>
    <n v="10"/>
    <n v="0"/>
    <n v="0"/>
    <n v="107"/>
    <s v="_x0000_peopl"/>
  </r>
  <r>
    <x v="6"/>
    <n v="13.6793"/>
    <n v="-89.197199999999995"/>
    <n v="5"/>
    <n v="0"/>
    <n v="0"/>
    <n v="107"/>
    <s v="_x0000_peopl"/>
  </r>
  <r>
    <x v="6"/>
    <n v="13.691599999999999"/>
    <n v="-89.186400000000006"/>
    <n v="5"/>
    <n v="0"/>
    <n v="0"/>
    <n v="107"/>
    <s v="_x0000_peopl"/>
  </r>
  <r>
    <x v="6"/>
    <n v="13.6896"/>
    <n v="-89.183700000000002"/>
    <n v="5"/>
    <n v="0"/>
    <n v="0"/>
    <n v="107"/>
    <s v="_x0000_peopl"/>
  </r>
  <r>
    <x v="6"/>
    <n v="13.6883"/>
    <n v="-89.229399999999998"/>
    <n v="2"/>
    <n v="0"/>
    <n v="0"/>
    <n v="107"/>
    <s v="_x0000_peopl"/>
  </r>
  <r>
    <x v="6"/>
    <n v="13.674899999999999"/>
    <n v="-89.2"/>
    <n v="3"/>
    <n v="0"/>
    <n v="0"/>
    <n v="107"/>
    <s v="_x0000_peopl"/>
  </r>
  <r>
    <x v="6"/>
    <n v="13.691000000000001"/>
    <n v="-89.189300000000003"/>
    <n v="6"/>
    <n v="0"/>
    <n v="0"/>
    <n v="107"/>
    <s v="_x0000_peopl"/>
  </r>
  <r>
    <x v="6"/>
    <n v="13.6914"/>
    <n v="-89.179599999999994"/>
    <n v="9"/>
    <n v="0"/>
    <n v="0"/>
    <n v="107"/>
    <s v="_x0000_peopl"/>
  </r>
  <r>
    <x v="6"/>
    <n v="13.6898"/>
    <n v="-89.179100000000005"/>
    <n v="7"/>
    <n v="0"/>
    <n v="0"/>
    <n v="107"/>
    <s v="_x0000_peopl"/>
  </r>
  <r>
    <x v="6"/>
    <n v="13.6859"/>
    <n v="-89.211500000000001"/>
    <n v="3"/>
    <n v="0"/>
    <n v="0"/>
    <n v="107"/>
    <s v="_x0000_peopl"/>
  </r>
  <r>
    <x v="6"/>
    <n v="13.6881"/>
    <n v="-89.19"/>
    <n v="2"/>
    <n v="0"/>
    <n v="0"/>
    <n v="107"/>
    <s v="_x0000_peopl"/>
  </r>
  <r>
    <x v="6"/>
    <n v="13.6873"/>
    <n v="-89.205200000000005"/>
    <n v="4"/>
    <n v="0"/>
    <n v="0"/>
    <n v="107"/>
    <s v="_x0000_peopl"/>
  </r>
  <r>
    <x v="6"/>
    <n v="13.686999999999999"/>
    <n v="-89.183400000000006"/>
    <n v="6"/>
    <n v="0"/>
    <n v="0"/>
    <n v="107"/>
    <s v="_x0000_peopl"/>
  </r>
  <r>
    <x v="6"/>
    <n v="13.6859"/>
    <n v="-89.214100000000002"/>
    <n v="5"/>
    <n v="0"/>
    <n v="0"/>
    <n v="107"/>
    <s v="_x0000_peopl"/>
  </r>
  <r>
    <x v="6"/>
    <n v="13.689399999999999"/>
    <n v="-89.180899999999994"/>
    <n v="4"/>
    <n v="0"/>
    <n v="0"/>
    <n v="107"/>
    <s v="_x0000_peopl"/>
  </r>
  <r>
    <x v="6"/>
    <n v="13.691599999999999"/>
    <n v="-89.178600000000003"/>
    <n v="5"/>
    <n v="0"/>
    <n v="0"/>
    <n v="107"/>
    <s v="_x0000_peopl"/>
  </r>
  <r>
    <x v="6"/>
    <n v="13.6914"/>
    <n v="-89.176900000000003"/>
    <n v="2"/>
    <n v="0"/>
    <n v="0"/>
    <n v="107"/>
    <s v="_x0000_peopl"/>
  </r>
  <r>
    <x v="6"/>
    <n v="13.6912"/>
    <n v="-89.234399999999994"/>
    <n v="8"/>
    <n v="0"/>
    <n v="0"/>
    <n v="107"/>
    <s v="_x0000_peopl"/>
  </r>
  <r>
    <x v="6"/>
    <n v="13.6744"/>
    <n v="-89.251199999999997"/>
    <n v="2"/>
    <n v="0"/>
    <n v="0"/>
    <n v="107"/>
    <s v="_x0000_peopl"/>
  </r>
  <r>
    <x v="6"/>
    <n v="13.691800000000001"/>
    <n v="-89.197400000000002"/>
    <n v="7"/>
    <n v="0"/>
    <n v="0"/>
    <n v="107"/>
    <s v="_x0000_peopl"/>
  </r>
  <r>
    <x v="6"/>
    <n v="13.6914"/>
    <n v="-89.228499999999997"/>
    <n v="6"/>
    <n v="0"/>
    <n v="0"/>
    <n v="107"/>
    <s v="_x0000_peopl"/>
  </r>
  <r>
    <x v="6"/>
    <n v="13.685"/>
    <n v="-89.202500000000001"/>
    <n v="4"/>
    <n v="0"/>
    <n v="0"/>
    <n v="107"/>
    <s v="_x0000_peopl"/>
  </r>
  <r>
    <x v="6"/>
    <n v="13.690300000000001"/>
    <n v="-89.1798"/>
    <n v="1"/>
    <n v="0"/>
    <n v="0"/>
    <n v="107"/>
    <s v="_x0000_peopl"/>
  </r>
  <r>
    <x v="6"/>
    <n v="13.690799999999999"/>
    <n v="-89.231399999999994"/>
    <n v="3"/>
    <n v="0"/>
    <n v="0"/>
    <n v="107"/>
    <s v="_x0000_peopl"/>
  </r>
  <r>
    <x v="6"/>
    <n v="13.6927"/>
    <n v="-89.190200000000004"/>
    <n v="7"/>
    <n v="0"/>
    <n v="0"/>
    <n v="107"/>
    <s v="_x0000_peopl"/>
  </r>
  <r>
    <x v="6"/>
    <n v="13.6914"/>
    <n v="-89.226200000000006"/>
    <n v="6"/>
    <n v="0"/>
    <n v="0"/>
    <n v="107"/>
    <s v="_x0000_peopl"/>
  </r>
  <r>
    <x v="6"/>
    <n v="13.686999999999999"/>
    <n v="-89.194699999999997"/>
    <n v="5"/>
    <n v="0"/>
    <n v="0"/>
    <n v="107"/>
    <s v="_x0000_peopl"/>
  </r>
  <r>
    <x v="6"/>
    <n v="13.690799999999999"/>
    <n v="-89.183899999999994"/>
    <n v="2"/>
    <n v="0"/>
    <n v="0"/>
    <n v="107"/>
    <s v="_x0000_peopl"/>
  </r>
  <r>
    <x v="6"/>
    <n v="13.674799999999999"/>
    <n v="-89.199299999999994"/>
    <n v="5"/>
    <n v="0"/>
    <n v="0"/>
    <n v="107"/>
    <s v="_x0000_peopl"/>
  </r>
  <r>
    <x v="6"/>
    <n v="13.6907"/>
    <n v="-89.1892"/>
    <n v="4"/>
    <n v="0"/>
    <n v="0"/>
    <n v="107"/>
    <s v="_x0000_peopl"/>
  </r>
  <r>
    <x v="6"/>
    <n v="13.6896"/>
    <n v="-89.229399999999998"/>
    <n v="7"/>
    <n v="0"/>
    <n v="0"/>
    <n v="107"/>
    <s v="_x0000_peopl"/>
  </r>
  <r>
    <x v="6"/>
    <n v="13.689399999999999"/>
    <n v="-89.229100000000003"/>
    <n v="5"/>
    <n v="0"/>
    <n v="0"/>
    <n v="107"/>
    <s v="_x0000_peopl"/>
  </r>
  <r>
    <x v="6"/>
    <n v="13.6883"/>
    <n v="-89.229699999999994"/>
    <n v="2"/>
    <n v="0"/>
    <n v="0"/>
    <n v="107"/>
    <s v="_x0000_peopl"/>
  </r>
  <r>
    <x v="6"/>
    <n v="13.6906"/>
    <n v="-89.217200000000005"/>
    <n v="4"/>
    <n v="0"/>
    <n v="0"/>
    <n v="107"/>
    <s v="_x0000_peopl"/>
  </r>
  <r>
    <x v="6"/>
    <n v="13.6907"/>
    <n v="-89.227599999999995"/>
    <n v="4"/>
    <n v="0"/>
    <n v="0"/>
    <n v="107"/>
    <s v="_x0000_peopl"/>
  </r>
  <r>
    <x v="6"/>
    <n v="13.6754"/>
    <n v="-89.249799999999993"/>
    <n v="7"/>
    <n v="0"/>
    <n v="0"/>
    <n v="107"/>
    <s v="_x0000_peopl"/>
  </r>
  <r>
    <x v="6"/>
    <n v="13.6913"/>
    <n v="-89.188000000000002"/>
    <n v="5"/>
    <n v="0"/>
    <n v="0"/>
    <n v="107"/>
    <s v="_x0000_peopl"/>
  </r>
  <r>
    <x v="6"/>
    <n v="13.696300000000001"/>
    <n v="-89.171899999999994"/>
    <n v="0"/>
    <n v="0"/>
    <n v="0"/>
    <n v="107"/>
    <s v="_x0000_peopl"/>
  </r>
  <r>
    <x v="6"/>
    <n v="13.6927"/>
    <n v="-89.184200000000004"/>
    <n v="2"/>
    <n v="0"/>
    <n v="0"/>
    <n v="107"/>
    <s v="_x0000_peopl"/>
  </r>
  <r>
    <x v="6"/>
    <n v="13.692399999999999"/>
    <n v="-89.174300000000002"/>
    <n v="6"/>
    <n v="0"/>
    <n v="0"/>
    <n v="107"/>
    <s v="_x0000_peopl"/>
  </r>
  <r>
    <x v="6"/>
    <n v="13.691000000000001"/>
    <n v="-89.232699999999994"/>
    <n v="10"/>
    <n v="0"/>
    <n v="0"/>
    <n v="107"/>
    <s v="_x0000_peopl"/>
  </r>
  <r>
    <x v="6"/>
    <n v="13.690799999999999"/>
    <n v="-89.234499999999997"/>
    <n v="4"/>
    <n v="0"/>
    <n v="0"/>
    <n v="107"/>
    <s v="_x0000_peopl"/>
  </r>
  <r>
    <x v="6"/>
    <n v="13.6869"/>
    <n v="-89.192700000000002"/>
    <n v="3"/>
    <n v="0"/>
    <n v="0"/>
    <n v="107"/>
    <s v="_x0000_peopl"/>
  </r>
  <r>
    <x v="6"/>
    <n v="13.688000000000001"/>
    <n v="-89.216700000000003"/>
    <n v="1"/>
    <n v="0"/>
    <n v="0"/>
    <n v="107"/>
    <s v="_x0000_peopl"/>
  </r>
  <r>
    <x v="6"/>
    <n v="13.690099999999999"/>
    <n v="-89.18"/>
    <n v="10"/>
    <n v="0"/>
    <n v="0"/>
    <n v="107"/>
    <s v="_x0000_peopl"/>
  </r>
  <r>
    <x v="6"/>
    <n v="13.690799999999999"/>
    <n v="-89.179299999999998"/>
    <n v="3"/>
    <n v="0"/>
    <n v="0"/>
    <n v="107"/>
    <s v="_x0000_peopl"/>
  </r>
  <r>
    <x v="6"/>
    <n v="13.696199999999999"/>
    <n v="-89.172799999999995"/>
    <n v="6"/>
    <n v="0"/>
    <n v="0"/>
    <n v="107"/>
    <s v="_x0000_peopl"/>
  </r>
  <r>
    <x v="6"/>
    <n v="13.685700000000001"/>
    <n v="-89.211299999999994"/>
    <n v="7"/>
    <n v="0"/>
    <n v="0"/>
    <n v="107"/>
    <s v="_x0000_peopl"/>
  </r>
  <r>
    <x v="6"/>
    <n v="13.689"/>
    <n v="-89.190299999999993"/>
    <n v="3"/>
    <n v="0"/>
    <n v="0"/>
    <n v="107"/>
    <s v="_x0000_peopl"/>
  </r>
  <r>
    <x v="6"/>
    <n v="13.6906"/>
    <n v="-89.178700000000006"/>
    <n v="3"/>
    <n v="0"/>
    <n v="0"/>
    <n v="107"/>
    <s v="_x0000_peopl"/>
  </r>
  <r>
    <x v="6"/>
    <n v="13.686299999999999"/>
    <n v="-89.211500000000001"/>
    <n v="3"/>
    <n v="0"/>
    <n v="0"/>
    <n v="107"/>
    <s v="_x0000_peopl"/>
  </r>
  <r>
    <x v="6"/>
    <n v="13.692399999999999"/>
    <n v="-89.179100000000005"/>
    <n v="2"/>
    <n v="0"/>
    <n v="0"/>
    <n v="107"/>
    <s v="_x0000_peopl"/>
  </r>
  <r>
    <x v="6"/>
    <n v="13.691800000000001"/>
    <n v="-89.224400000000003"/>
    <n v="5"/>
    <n v="0"/>
    <n v="0"/>
    <n v="107"/>
    <s v="_x0000_peopl"/>
  </r>
  <r>
    <x v="6"/>
    <n v="13.686999999999999"/>
    <n v="-89.216700000000003"/>
    <n v="5"/>
    <n v="0"/>
    <n v="0"/>
    <n v="107"/>
    <s v="_x0000_peopl"/>
  </r>
  <r>
    <x v="6"/>
    <n v="13.689299999999999"/>
    <n v="-89.177899999999994"/>
    <n v="1"/>
    <n v="0"/>
    <n v="0"/>
    <n v="107"/>
    <s v="_x0000_peopl"/>
  </r>
  <r>
    <x v="6"/>
    <n v="13.6942"/>
    <n v="-89.173100000000005"/>
    <n v="4"/>
    <n v="0"/>
    <n v="0"/>
    <n v="107"/>
    <s v="_x0000_peopl"/>
  </r>
  <r>
    <x v="6"/>
    <n v="13.691800000000001"/>
    <n v="-89.197599999999994"/>
    <n v="4"/>
    <n v="0"/>
    <n v="0"/>
    <n v="107"/>
    <s v="_x0000_peopl"/>
  </r>
  <r>
    <x v="6"/>
    <n v="13.692"/>
    <n v="-89.186899999999994"/>
    <n v="5"/>
    <n v="0"/>
    <n v="0"/>
    <n v="107"/>
    <s v="_x0000_peopl"/>
  </r>
  <r>
    <x v="6"/>
    <n v="13.6876"/>
    <n v="-89.181399999999996"/>
    <n v="7"/>
    <n v="0"/>
    <n v="0"/>
    <n v="107"/>
    <s v="_x0000_peopl"/>
  </r>
  <r>
    <x v="6"/>
    <n v="13.6904"/>
    <n v="-89.234099999999998"/>
    <n v="4"/>
    <n v="0"/>
    <n v="0"/>
    <n v="107"/>
    <s v="_x0000_peopl"/>
  </r>
  <r>
    <x v="6"/>
    <n v="13.690899999999999"/>
    <n v="-89.233999999999995"/>
    <n v="3"/>
    <n v="0"/>
    <n v="0"/>
    <n v="107"/>
    <s v="_x0000_peopl"/>
  </r>
  <r>
    <x v="6"/>
    <n v="13.6873"/>
    <n v="-89.181600000000003"/>
    <n v="3"/>
    <n v="0"/>
    <n v="0"/>
    <n v="107"/>
    <s v="_x0000_peopl"/>
  </r>
  <r>
    <x v="6"/>
    <n v="13.687200000000001"/>
    <n v="-89.182900000000004"/>
    <n v="3"/>
    <n v="0"/>
    <n v="0"/>
    <n v="107"/>
    <s v="_x0000_peopl"/>
  </r>
  <r>
    <x v="6"/>
    <n v="13.6906"/>
    <n v="-89.193399999999997"/>
    <n v="1"/>
    <n v="0"/>
    <n v="0"/>
    <n v="107"/>
    <s v="_x0000_peopl"/>
  </r>
  <r>
    <x v="6"/>
    <n v="13.687900000000001"/>
    <n v="-89.1815"/>
    <n v="4"/>
    <n v="0"/>
    <n v="0"/>
    <n v="107"/>
    <s v="_x0000_peopl"/>
  </r>
  <r>
    <x v="6"/>
    <n v="13.6922"/>
    <n v="-89.225200000000001"/>
    <n v="8"/>
    <n v="0"/>
    <n v="0"/>
    <n v="107"/>
    <s v="_x0000_peopl"/>
  </r>
  <r>
    <x v="6"/>
    <n v="13.6896"/>
    <n v="-89.235600000000005"/>
    <n v="0"/>
    <n v="0"/>
    <n v="0"/>
    <n v="107"/>
    <s v="_x0000_peopl"/>
  </r>
  <r>
    <x v="6"/>
    <n v="13.691700000000001"/>
    <n v="-89.179900000000004"/>
    <n v="4"/>
    <n v="0"/>
    <n v="0"/>
    <n v="107"/>
    <s v="_x0000_peopl"/>
  </r>
  <r>
    <x v="6"/>
    <n v="13.688599999999999"/>
    <n v="-89.216099999999997"/>
    <n v="6"/>
    <n v="0"/>
    <n v="0"/>
    <n v="107"/>
    <s v="_x0000_peopl"/>
  </r>
  <r>
    <x v="6"/>
    <n v="13.689299999999999"/>
    <n v="-89.229399999999998"/>
    <n v="6"/>
    <n v="0"/>
    <n v="0"/>
    <n v="107"/>
    <s v="_x0000_peopl"/>
  </r>
  <r>
    <x v="6"/>
    <n v="13.6914"/>
    <n v="-89.179900000000004"/>
    <n v="6"/>
    <n v="0"/>
    <n v="0"/>
    <n v="107"/>
    <s v="_x0000_peopl"/>
  </r>
  <r>
    <x v="6"/>
    <n v="13.6846"/>
    <n v="-89.216099999999997"/>
    <n v="5"/>
    <n v="0"/>
    <n v="0"/>
    <n v="107"/>
    <s v="_x0000_peopl"/>
  </r>
  <r>
    <x v="6"/>
    <n v="13.6906"/>
    <n v="-89.227599999999995"/>
    <n v="8"/>
    <n v="0"/>
    <n v="0"/>
    <n v="107"/>
    <s v="_x0000_peopl"/>
  </r>
  <r>
    <x v="6"/>
    <n v="13.6746"/>
    <n v="-89.252099999999999"/>
    <n v="4"/>
    <n v="0"/>
    <n v="0"/>
    <n v="107"/>
    <s v="_x0000_peopl"/>
  </r>
  <r>
    <x v="6"/>
    <n v="13.6891"/>
    <n v="-89.181200000000004"/>
    <n v="13"/>
    <n v="0"/>
    <n v="0"/>
    <n v="107"/>
    <s v="_x0000_peopl"/>
  </r>
  <r>
    <x v="6"/>
    <n v="13.688800000000001"/>
    <n v="-89.229200000000006"/>
    <n v="7"/>
    <n v="0"/>
    <n v="0"/>
    <n v="107"/>
    <s v="_x0000_peopl"/>
  </r>
  <r>
    <x v="6"/>
    <n v="13.690799999999999"/>
    <n v="-89.194599999999994"/>
    <n v="8"/>
    <n v="0"/>
    <n v="0"/>
    <n v="107"/>
    <s v="_x0000_peopl"/>
  </r>
  <r>
    <x v="6"/>
    <n v="13.6897"/>
    <n v="-89.179699999999997"/>
    <n v="5"/>
    <n v="0"/>
    <n v="0"/>
    <n v="107"/>
    <s v="_x0000_peopl"/>
  </r>
  <r>
    <x v="6"/>
    <n v="13.6892"/>
    <n v="-89.2029"/>
    <n v="3"/>
    <n v="0"/>
    <n v="0"/>
    <n v="107"/>
    <s v="_x0000_peopl"/>
  </r>
  <r>
    <x v="6"/>
    <n v="13.6912"/>
    <n v="-89.228999999999999"/>
    <n v="8"/>
    <n v="0"/>
    <n v="0"/>
    <n v="107"/>
    <s v="_x0000_peopl"/>
  </r>
  <r>
    <x v="6"/>
    <n v="13.690899999999999"/>
    <n v="-89.233900000000006"/>
    <n v="7"/>
    <n v="0"/>
    <n v="0"/>
    <n v="107"/>
    <s v="_x0000_peopl"/>
  </r>
  <r>
    <x v="6"/>
    <n v="13.6905"/>
    <n v="-89.234800000000007"/>
    <n v="6"/>
    <n v="0"/>
    <n v="0"/>
    <n v="107"/>
    <s v="_x0000_peopl"/>
  </r>
  <r>
    <x v="6"/>
    <n v="13.690799999999999"/>
    <n v="-89.231999999999999"/>
    <n v="5"/>
    <n v="0"/>
    <n v="0"/>
    <n v="107"/>
    <s v="_x0000_peopl"/>
  </r>
  <r>
    <x v="6"/>
    <n v="13.6904"/>
    <n v="-89.193399999999997"/>
    <n v="5"/>
    <n v="0"/>
    <n v="0"/>
    <n v="107"/>
    <s v="_x0000_peopl"/>
  </r>
  <r>
    <x v="6"/>
    <n v="13.690899999999999"/>
    <n v="-89.186400000000006"/>
    <n v="5"/>
    <n v="0"/>
    <n v="0"/>
    <n v="107"/>
    <s v="_x0000_peopl"/>
  </r>
  <r>
    <x v="6"/>
    <n v="13.6746"/>
    <n v="-89.199700000000007"/>
    <n v="4"/>
    <n v="0"/>
    <n v="0"/>
    <n v="107"/>
    <s v="_x0000_peopl"/>
  </r>
  <r>
    <x v="6"/>
    <n v="13.686"/>
    <n v="-89.2012"/>
    <n v="6"/>
    <n v="0"/>
    <n v="0"/>
    <n v="107"/>
    <s v="_x0000_peopl"/>
  </r>
  <r>
    <x v="6"/>
    <n v="13.6897"/>
    <n v="-89.193899999999999"/>
    <n v="6"/>
    <n v="0"/>
    <n v="0"/>
    <n v="107"/>
    <s v="_x0000_peopl"/>
  </r>
  <r>
    <x v="6"/>
    <n v="13.690899999999999"/>
    <n v="-89.228800000000007"/>
    <n v="2"/>
    <n v="0"/>
    <n v="0"/>
    <n v="107"/>
    <s v="_x0000_peopl"/>
  </r>
  <r>
    <x v="6"/>
    <n v="13.693300000000001"/>
    <n v="-89.188999999999993"/>
    <n v="5"/>
    <n v="0"/>
    <n v="0"/>
    <n v="107"/>
    <s v="_x0000_peopl"/>
  </r>
  <r>
    <x v="6"/>
    <n v="13.692299999999999"/>
    <n v="-89.176699999999997"/>
    <n v="6"/>
    <n v="0"/>
    <n v="0"/>
    <n v="107"/>
    <s v="_x0000_peopl"/>
  </r>
  <r>
    <x v="6"/>
    <n v="13.6898"/>
    <n v="-89.193899999999999"/>
    <n v="6"/>
    <n v="0"/>
    <n v="0"/>
    <n v="107"/>
    <s v="_x0000_peopl"/>
  </r>
  <r>
    <x v="6"/>
    <n v="13.690200000000001"/>
    <n v="-89.184200000000004"/>
    <n v="3"/>
    <n v="0"/>
    <n v="0"/>
    <n v="107"/>
    <s v="_x0000_peopl"/>
  </r>
  <r>
    <x v="6"/>
    <n v="13.6899"/>
    <n v="-89.193799999999996"/>
    <n v="5"/>
    <n v="0"/>
    <n v="0"/>
    <n v="107"/>
    <s v="_x0000_peopl"/>
  </r>
  <r>
    <x v="6"/>
    <n v="13.687799999999999"/>
    <n v="-89.191900000000004"/>
    <n v="4"/>
    <n v="0"/>
    <n v="0"/>
    <n v="107"/>
    <s v="_x0000_peopl"/>
  </r>
  <r>
    <x v="6"/>
    <n v="13.6775"/>
    <n v="-89.247399999999999"/>
    <n v="6"/>
    <n v="0"/>
    <n v="0"/>
    <n v="107"/>
    <s v="_x0000_peopl"/>
  </r>
  <r>
    <x v="6"/>
    <n v="13.6928"/>
    <n v="-89.224599999999995"/>
    <n v="7"/>
    <n v="0"/>
    <n v="0"/>
    <n v="107"/>
    <s v="_x0000_peopl"/>
  </r>
  <r>
    <x v="6"/>
    <n v="13.6769"/>
    <n v="-89.247699999999995"/>
    <n v="3"/>
    <n v="0"/>
    <n v="0"/>
    <n v="107"/>
    <s v="_x0000_peopl"/>
  </r>
  <r>
    <x v="6"/>
    <n v="13.691000000000001"/>
    <n v="-89.229500000000002"/>
    <n v="3"/>
    <n v="0"/>
    <n v="0"/>
    <n v="107"/>
    <s v="_x0000_peopl"/>
  </r>
  <r>
    <x v="6"/>
    <n v="13.6914"/>
    <n v="-89.233999999999995"/>
    <n v="8"/>
    <n v="0"/>
    <n v="0"/>
    <n v="107"/>
    <s v="_x0000_peopl"/>
  </r>
  <r>
    <x v="6"/>
    <n v="13.677"/>
    <n v="-89.1999"/>
    <n v="5"/>
    <n v="0"/>
    <n v="0"/>
    <n v="107"/>
    <s v="_x0000_peopl"/>
  </r>
  <r>
    <x v="6"/>
    <n v="13.6859"/>
    <n v="-89.211299999999994"/>
    <n v="3"/>
    <n v="0"/>
    <n v="0"/>
    <n v="107"/>
    <s v="_x0000_peopl"/>
  </r>
  <r>
    <x v="6"/>
    <n v="13.6852"/>
    <n v="-89.215800000000002"/>
    <n v="4"/>
    <n v="0"/>
    <n v="0"/>
    <n v="107"/>
    <s v="_x0000_peopl"/>
  </r>
  <r>
    <x v="6"/>
    <n v="13.689399999999999"/>
    <n v="-89.184200000000004"/>
    <n v="5"/>
    <n v="0"/>
    <n v="0"/>
    <n v="107"/>
    <s v="_x0000_peopl"/>
  </r>
  <r>
    <x v="6"/>
    <n v="13.689399999999999"/>
    <n v="-89.235799999999998"/>
    <n v="5"/>
    <n v="0"/>
    <n v="0"/>
    <n v="107"/>
    <s v="_x0000_peopl"/>
  </r>
  <r>
    <x v="6"/>
    <n v="13.6867"/>
    <n v="-89.1815"/>
    <n v="5"/>
    <n v="0"/>
    <n v="0"/>
    <n v="107"/>
    <s v="_x0000_peopl"/>
  </r>
  <r>
    <x v="6"/>
    <n v="13.6921"/>
    <n v="-89.194400000000002"/>
    <n v="2"/>
    <n v="0"/>
    <n v="0"/>
    <n v="107"/>
    <s v="_x0000_peopl"/>
  </r>
  <r>
    <x v="6"/>
    <n v="13.691000000000001"/>
    <n v="-89.198599999999999"/>
    <n v="2"/>
    <n v="0"/>
    <n v="0"/>
    <n v="107"/>
    <s v="_x0000_peopl"/>
  </r>
  <r>
    <x v="6"/>
    <n v="13.6858"/>
    <n v="-89.215000000000003"/>
    <n v="6"/>
    <n v="0"/>
    <n v="0"/>
    <n v="107"/>
    <s v="_x0000_peopl"/>
  </r>
  <r>
    <x v="6"/>
    <n v="13.686999999999999"/>
    <n v="-89.205200000000005"/>
    <n v="3"/>
    <n v="0"/>
    <n v="0"/>
    <n v="107"/>
    <s v="_x0000_peopl"/>
  </r>
  <r>
    <x v="6"/>
    <n v="13.692399999999999"/>
    <n v="-89.2256"/>
    <n v="5"/>
    <n v="0"/>
    <n v="0"/>
    <n v="107"/>
    <s v="_x0000_peopl"/>
  </r>
  <r>
    <x v="6"/>
    <n v="13.688599999999999"/>
    <n v="-89.1982"/>
    <n v="2"/>
    <n v="0"/>
    <n v="0"/>
    <n v="107"/>
    <s v="_x0000_peopl"/>
  </r>
  <r>
    <x v="6"/>
    <n v="13.6934"/>
    <n v="-89.185299999999998"/>
    <n v="9"/>
    <n v="0"/>
    <n v="0"/>
    <n v="107"/>
    <s v="_x0000_peopl"/>
  </r>
  <r>
    <x v="6"/>
    <n v="13.6899"/>
    <n v="-89.185900000000004"/>
    <n v="13"/>
    <n v="0"/>
    <n v="0"/>
    <n v="107"/>
    <s v="_x0000_peopl"/>
  </r>
  <r>
    <x v="6"/>
    <n v="13.687200000000001"/>
    <n v="-89.183099999999996"/>
    <n v="6"/>
    <n v="0"/>
    <n v="0"/>
    <n v="107"/>
    <s v="_x0000_peopl"/>
  </r>
  <r>
    <x v="6"/>
    <n v="13.6882"/>
    <n v="-89.181899999999999"/>
    <n v="3"/>
    <n v="0"/>
    <n v="0"/>
    <n v="107"/>
    <s v="_x0000_peopl"/>
  </r>
  <r>
    <x v="6"/>
    <n v="13.6913"/>
    <n v="-89.234499999999997"/>
    <n v="0"/>
    <n v="0"/>
    <n v="0"/>
    <n v="107"/>
    <s v="_x0000_peopl"/>
  </r>
  <r>
    <x v="6"/>
    <n v="13.679600000000001"/>
    <n v="-89.197400000000002"/>
    <n v="2"/>
    <n v="0"/>
    <n v="0"/>
    <n v="107"/>
    <s v="_x0000_peopl"/>
  </r>
  <r>
    <x v="6"/>
    <n v="13.6891"/>
    <n v="-89.184100000000001"/>
    <n v="9"/>
    <n v="0"/>
    <n v="0"/>
    <n v="107"/>
    <s v="_x0000_peopl"/>
  </r>
  <r>
    <x v="6"/>
    <n v="13.6915"/>
    <n v="-89.233400000000003"/>
    <n v="6"/>
    <n v="0"/>
    <n v="0"/>
    <n v="107"/>
    <s v="_x0000_peopl"/>
  </r>
  <r>
    <x v="6"/>
    <n v="13.693099999999999"/>
    <n v="-89.189800000000005"/>
    <n v="5"/>
    <n v="0"/>
    <n v="0"/>
    <n v="107"/>
    <s v="_x0000_peopl"/>
  </r>
  <r>
    <x v="6"/>
    <n v="13.690300000000001"/>
    <n v="-89.179699999999997"/>
    <n v="6"/>
    <n v="0"/>
    <n v="0"/>
    <n v="107"/>
    <s v="_x0000_peopl"/>
  </r>
  <r>
    <x v="6"/>
    <n v="13.687900000000001"/>
    <n v="-89.179500000000004"/>
    <n v="3"/>
    <n v="0"/>
    <n v="0"/>
    <n v="107"/>
    <s v="_x0000_peopl"/>
  </r>
  <r>
    <x v="6"/>
    <n v="13.6852"/>
    <n v="-89.201599999999999"/>
    <n v="8"/>
    <n v="0"/>
    <n v="0"/>
    <n v="107"/>
    <s v="_x0000_peopl"/>
  </r>
  <r>
    <x v="6"/>
    <n v="13.691800000000001"/>
    <n v="-89.187600000000003"/>
    <n v="3"/>
    <n v="0"/>
    <n v="0"/>
    <n v="107"/>
    <s v="_x0000_peopl"/>
  </r>
  <r>
    <x v="6"/>
    <n v="13.6877"/>
    <n v="-89.1815"/>
    <n v="6"/>
    <n v="0"/>
    <n v="0"/>
    <n v="107"/>
    <s v="_x0000_peopl"/>
  </r>
  <r>
    <x v="6"/>
    <n v="13.687099999999999"/>
    <n v="-89.211600000000004"/>
    <n v="4"/>
    <n v="0"/>
    <n v="0"/>
    <n v="107"/>
    <s v="_x0000_peopl"/>
  </r>
  <r>
    <x v="6"/>
    <n v="13.691000000000001"/>
    <n v="-89.233599999999996"/>
    <n v="2"/>
    <n v="0"/>
    <n v="0"/>
    <n v="107"/>
    <s v="_x0000_peopl"/>
  </r>
  <r>
    <x v="6"/>
    <n v="13.6907"/>
    <n v="-89.187700000000007"/>
    <n v="4"/>
    <n v="0"/>
    <n v="0"/>
    <n v="107"/>
    <s v="_x0000_peopl"/>
  </r>
  <r>
    <x v="6"/>
    <n v="13.692500000000001"/>
    <n v="-89.224900000000005"/>
    <n v="4"/>
    <n v="0"/>
    <n v="0"/>
    <n v="107"/>
    <s v="_x0000_peopl"/>
  </r>
  <r>
    <x v="6"/>
    <n v="13.691000000000001"/>
    <n v="-89.183700000000002"/>
    <n v="7"/>
    <n v="0"/>
    <n v="0"/>
    <n v="107"/>
    <s v="_x0000_peopl"/>
  </r>
  <r>
    <x v="6"/>
    <n v="13.6906"/>
    <n v="-89.233699999999999"/>
    <n v="4"/>
    <n v="0"/>
    <n v="0"/>
    <n v="107"/>
    <s v="_x0000_peopl"/>
  </r>
  <r>
    <x v="6"/>
    <n v="13.675000000000001"/>
    <n v="-89.1995"/>
    <n v="4"/>
    <n v="0"/>
    <n v="0"/>
    <n v="107"/>
    <s v="_x0000_peopl"/>
  </r>
  <r>
    <x v="6"/>
    <n v="13.684900000000001"/>
    <n v="-89.212400000000002"/>
    <n v="4"/>
    <n v="0"/>
    <n v="0"/>
    <n v="107"/>
    <s v="_x0000_peopl"/>
  </r>
  <r>
    <x v="6"/>
    <n v="13.6854"/>
    <n v="-89.212100000000007"/>
    <n v="3"/>
    <n v="0"/>
    <n v="0"/>
    <n v="107"/>
    <s v="_x0000_peopl"/>
  </r>
  <r>
    <x v="6"/>
    <n v="13.693"/>
    <n v="-89.1738"/>
    <n v="5"/>
    <n v="0"/>
    <n v="0"/>
    <n v="107"/>
    <s v="_x0000_peopl"/>
  </r>
  <r>
    <x v="6"/>
    <n v="13.6774"/>
    <n v="-89.199600000000004"/>
    <n v="3"/>
    <n v="0"/>
    <n v="0"/>
    <n v="107"/>
    <s v="_x0000_peopl"/>
  </r>
  <r>
    <x v="6"/>
    <n v="13.684799999999999"/>
    <n v="-89.215900000000005"/>
    <n v="3"/>
    <n v="0"/>
    <n v="0"/>
    <n v="107"/>
    <s v="_x0000_peopl"/>
  </r>
  <r>
    <x v="6"/>
    <n v="13.6882"/>
    <n v="-89.180700000000002"/>
    <n v="6"/>
    <n v="0"/>
    <n v="0"/>
    <n v="107"/>
    <s v="_x0000_peopl"/>
  </r>
  <r>
    <x v="6"/>
    <n v="13.687900000000001"/>
    <n v="-89.212999999999994"/>
    <n v="4"/>
    <n v="0"/>
    <n v="0"/>
    <n v="107"/>
    <s v="_x0000_peopl"/>
  </r>
  <r>
    <x v="6"/>
    <n v="13.690200000000001"/>
    <n v="-89.188500000000005"/>
    <n v="6"/>
    <n v="0"/>
    <n v="0"/>
    <n v="107"/>
    <s v="_x0000_peopl"/>
  </r>
  <r>
    <x v="6"/>
    <n v="13.6897"/>
    <n v="-89.193899999999999"/>
    <n v="4"/>
    <n v="0"/>
    <n v="0"/>
    <n v="107"/>
    <s v="_x0000_peopl"/>
  </r>
  <r>
    <x v="6"/>
    <n v="13.694699999999999"/>
    <n v="-89.183400000000006"/>
    <n v="9"/>
    <n v="0"/>
    <n v="0"/>
    <n v="107"/>
    <s v="_x0000_peopl"/>
  </r>
  <r>
    <x v="6"/>
    <n v="13.6944"/>
    <n v="-89.183099999999996"/>
    <n v="5"/>
    <n v="0"/>
    <n v="0"/>
    <n v="107"/>
    <s v="_x0000_peopl"/>
  </r>
  <r>
    <x v="6"/>
    <n v="13.679500000000001"/>
    <n v="-89.196700000000007"/>
    <n v="7"/>
    <n v="0"/>
    <n v="0"/>
    <n v="107"/>
    <s v="_x0000_peopl"/>
  </r>
  <r>
    <x v="6"/>
    <n v="13.6769"/>
    <n v="-89.247900000000001"/>
    <n v="2"/>
    <n v="0"/>
    <n v="0"/>
    <n v="107"/>
    <s v="_x0000_peopl"/>
  </r>
  <r>
    <x v="6"/>
    <n v="13.6919"/>
    <n v="-89.179100000000005"/>
    <n v="2"/>
    <n v="0"/>
    <n v="0"/>
    <n v="107"/>
    <s v="_x0000_peopl"/>
  </r>
  <r>
    <x v="6"/>
    <n v="13.6927"/>
    <n v="-89.225800000000007"/>
    <n v="6"/>
    <n v="0"/>
    <n v="0"/>
    <n v="107"/>
    <s v="_x0000_peopl"/>
  </r>
  <r>
    <x v="6"/>
    <n v="13.6861"/>
    <n v="-89.211399999999998"/>
    <n v="6"/>
    <n v="0"/>
    <n v="0"/>
    <n v="107"/>
    <s v="_x0000_peopl"/>
  </r>
  <r>
    <x v="6"/>
    <n v="13.688700000000001"/>
    <n v="-89.189899999999994"/>
    <n v="4"/>
    <n v="0"/>
    <n v="0"/>
    <n v="107"/>
    <s v="_x0000_peopl"/>
  </r>
  <r>
    <x v="6"/>
    <n v="13.690099999999999"/>
    <n v="-89.18"/>
    <n v="7"/>
    <n v="0"/>
    <n v="0"/>
    <n v="107"/>
    <s v="_x0000_peopl"/>
  </r>
  <r>
    <x v="6"/>
    <n v="13.6853"/>
    <n v="-89.212100000000007"/>
    <n v="7"/>
    <n v="0"/>
    <n v="0"/>
    <n v="107"/>
    <s v="_x0000_peopl"/>
  </r>
  <r>
    <x v="6"/>
    <n v="13.691599999999999"/>
    <n v="-89.220200000000006"/>
    <n v="4"/>
    <n v="0"/>
    <n v="0"/>
    <n v="107"/>
    <s v="_x0000_peopl"/>
  </r>
  <r>
    <x v="6"/>
    <n v="13.691700000000001"/>
    <n v="-89.233000000000004"/>
    <n v="3"/>
    <n v="0"/>
    <n v="0"/>
    <n v="107"/>
    <s v="_x0000_peopl"/>
  </r>
  <r>
    <x v="6"/>
    <n v="13.687200000000001"/>
    <n v="-89.197199999999995"/>
    <n v="6"/>
    <n v="0"/>
    <n v="0"/>
    <n v="107"/>
    <s v="_x0000_peopl"/>
  </r>
  <r>
    <x v="6"/>
    <n v="13.693199999999999"/>
    <n v="-89.188699999999997"/>
    <n v="6"/>
    <n v="0"/>
    <n v="0"/>
    <n v="107"/>
    <s v="_x0000_peopl"/>
  </r>
  <r>
    <x v="6"/>
    <n v="13.688700000000001"/>
    <n v="-89.189700000000002"/>
    <n v="4"/>
    <n v="0"/>
    <n v="0"/>
    <n v="107"/>
    <s v="_x0000_peopl"/>
  </r>
  <r>
    <x v="6"/>
    <n v="13.6898"/>
    <n v="-89.177599999999998"/>
    <n v="6"/>
    <n v="0"/>
    <n v="0"/>
    <n v="107"/>
    <s v="_x0000_peopl"/>
  </r>
  <r>
    <x v="6"/>
    <n v="13.686"/>
    <n v="-89.212900000000005"/>
    <n v="6"/>
    <n v="0"/>
    <n v="0"/>
    <n v="107"/>
    <s v="_x0000_peopl"/>
  </r>
  <r>
    <x v="6"/>
    <n v="13.6915"/>
    <n v="-89.226100000000002"/>
    <n v="6"/>
    <n v="0"/>
    <n v="0"/>
    <n v="107"/>
    <s v="_x0000_peopl"/>
  </r>
  <r>
    <x v="6"/>
    <n v="13.684900000000001"/>
    <n v="-89.202200000000005"/>
    <n v="8"/>
    <n v="0"/>
    <n v="0"/>
    <n v="107"/>
    <s v="_x0000_peopl"/>
  </r>
  <r>
    <x v="6"/>
    <n v="13.674200000000001"/>
    <n v="-89.202500000000001"/>
    <n v="8"/>
    <n v="0"/>
    <n v="0"/>
    <n v="107"/>
    <s v="_x0000_peopl"/>
  </r>
  <r>
    <x v="6"/>
    <n v="13.6896"/>
    <n v="-89.235900000000001"/>
    <n v="7"/>
    <n v="0"/>
    <n v="0"/>
    <n v="107"/>
    <s v="_x0000_peopl"/>
  </r>
  <r>
    <x v="6"/>
    <n v="13.6897"/>
    <n v="-89.193799999999996"/>
    <n v="6"/>
    <n v="0"/>
    <n v="0"/>
    <n v="107"/>
    <s v="_x0000_peopl"/>
  </r>
  <r>
    <x v="6"/>
    <n v="13.691599999999999"/>
    <n v="-89.220500000000001"/>
    <n v="6"/>
    <n v="0"/>
    <n v="0"/>
    <n v="107"/>
    <s v="_x0000_peopl"/>
  </r>
  <r>
    <x v="6"/>
    <n v="13.674300000000001"/>
    <n v="-89.251199999999997"/>
    <n v="5"/>
    <n v="0"/>
    <n v="0"/>
    <n v="107"/>
    <s v="_x0000_peopl"/>
  </r>
  <r>
    <x v="6"/>
    <n v="13.690799999999999"/>
    <n v="-89.194299999999998"/>
    <n v="5"/>
    <n v="0"/>
    <n v="0"/>
    <n v="107"/>
    <s v="_x0000_peopl"/>
  </r>
  <r>
    <x v="6"/>
    <n v="13.690200000000001"/>
    <n v="-89.193100000000001"/>
    <n v="4"/>
    <n v="0"/>
    <n v="0"/>
    <n v="107"/>
    <s v="_x0000_peopl"/>
  </r>
  <r>
    <x v="6"/>
    <n v="13.691800000000001"/>
    <n v="-89.197199999999995"/>
    <n v="12"/>
    <n v="0"/>
    <n v="0"/>
    <n v="107"/>
    <s v="_x0000_peopl"/>
  </r>
  <r>
    <x v="6"/>
    <n v="13.6873"/>
    <n v="-89.215699999999998"/>
    <n v="6"/>
    <n v="0"/>
    <n v="0"/>
    <n v="107"/>
    <s v="_x0000_peopl"/>
  </r>
  <r>
    <x v="6"/>
    <n v="13.6951"/>
    <n v="-89.174599999999998"/>
    <n v="3"/>
    <n v="0"/>
    <n v="0"/>
    <n v="107"/>
    <s v="_x0000_peopl"/>
  </r>
  <r>
    <x v="6"/>
    <n v="13.690300000000001"/>
    <n v="-89.178399999999996"/>
    <n v="6"/>
    <n v="0"/>
    <n v="0"/>
    <n v="107"/>
    <s v="_x0000_peopl"/>
  </r>
  <r>
    <x v="6"/>
    <n v="13.690300000000001"/>
    <n v="-89.187700000000007"/>
    <n v="3"/>
    <n v="0"/>
    <n v="0"/>
    <n v="107"/>
    <s v="_x0000_peopl"/>
  </r>
  <r>
    <x v="6"/>
    <n v="13.69"/>
    <n v="-89.235200000000006"/>
    <n v="2"/>
    <n v="0"/>
    <n v="0"/>
    <n v="107"/>
    <s v="_x0000_peopl"/>
  </r>
  <r>
    <x v="6"/>
    <n v="13.6915"/>
    <n v="-89.233999999999995"/>
    <n v="7"/>
    <n v="0"/>
    <n v="0"/>
    <n v="107"/>
    <s v="_x0000_peopl"/>
  </r>
  <r>
    <x v="6"/>
    <n v="13.687200000000001"/>
    <n v="-89.197800000000001"/>
    <n v="8"/>
    <n v="0"/>
    <n v="0"/>
    <n v="107"/>
    <s v="_x0000_peopl"/>
  </r>
  <r>
    <x v="6"/>
    <n v="13.691000000000001"/>
    <n v="-89.1905"/>
    <n v="8"/>
    <n v="0"/>
    <n v="0"/>
    <n v="107"/>
    <s v="_x0000_peopl"/>
  </r>
  <r>
    <x v="6"/>
    <n v="13.687200000000001"/>
    <n v="-89.205200000000005"/>
    <n v="7"/>
    <n v="0"/>
    <n v="0"/>
    <n v="107"/>
    <s v="_x0000_peopl"/>
  </r>
  <r>
    <x v="6"/>
    <n v="13.691700000000001"/>
    <n v="-89.2256"/>
    <n v="4"/>
    <n v="0"/>
    <n v="0"/>
    <n v="107"/>
    <s v="_x0000_peopl"/>
  </r>
  <r>
    <x v="6"/>
    <n v="13.6928"/>
    <n v="-89.224599999999995"/>
    <n v="11"/>
    <n v="0"/>
    <n v="0"/>
    <n v="107"/>
    <s v="_x0000_peopl"/>
  </r>
  <r>
    <x v="6"/>
    <n v="13.691000000000001"/>
    <n v="-89.235799999999998"/>
    <n v="2"/>
    <n v="0"/>
    <n v="0"/>
    <n v="107"/>
    <s v="_x0000_peopl"/>
  </r>
  <r>
    <x v="6"/>
    <n v="13.69"/>
    <n v="-89.193600000000004"/>
    <n v="9"/>
    <n v="0"/>
    <n v="0"/>
    <n v="107"/>
    <s v="_x0000_peopl"/>
  </r>
  <r>
    <x v="6"/>
    <n v="13.6927"/>
    <n v="-89.184399999999997"/>
    <n v="7"/>
    <n v="0"/>
    <n v="0"/>
    <n v="107"/>
    <s v="_x0000_peopl"/>
  </r>
  <r>
    <x v="6"/>
    <n v="13.686400000000001"/>
    <n v="-89.213899999999995"/>
    <n v="7"/>
    <n v="0"/>
    <n v="0"/>
    <n v="107"/>
    <s v="_x0000_peopl"/>
  </r>
  <r>
    <x v="6"/>
    <n v="13.6912"/>
    <n v="-89.234099999999998"/>
    <n v="6"/>
    <n v="0"/>
    <n v="0"/>
    <n v="107"/>
    <s v="_x0000_peopl"/>
  </r>
  <r>
    <x v="6"/>
    <n v="13.687200000000001"/>
    <n v="-89.192400000000006"/>
    <n v="6"/>
    <n v="0"/>
    <n v="0"/>
    <n v="107"/>
    <s v="_x0000_peopl"/>
  </r>
  <r>
    <x v="6"/>
    <n v="13.6911"/>
    <n v="-89.185400000000001"/>
    <n v="5"/>
    <n v="0"/>
    <n v="0"/>
    <n v="107"/>
    <s v="_x0000_peopl"/>
  </r>
  <r>
    <x v="6"/>
    <n v="13.6945"/>
    <n v="-89.189099999999996"/>
    <n v="4"/>
    <n v="0"/>
    <n v="0"/>
    <n v="107"/>
    <s v="_x0000_peopl"/>
  </r>
  <r>
    <x v="6"/>
    <n v="13.6943"/>
    <n v="-89.188900000000004"/>
    <n v="6"/>
    <n v="0"/>
    <n v="0"/>
    <n v="107"/>
    <s v="_x0000_peopl"/>
  </r>
  <r>
    <x v="6"/>
    <n v="13.6859"/>
    <n v="-89.214200000000005"/>
    <n v="3"/>
    <n v="0"/>
    <n v="0"/>
    <n v="107"/>
    <s v="_x0000_peopl"/>
  </r>
  <r>
    <x v="6"/>
    <n v="13.6968"/>
    <n v="-89.171499999999995"/>
    <n v="9"/>
    <n v="0"/>
    <n v="0"/>
    <n v="107"/>
    <s v="_x0000_peopl"/>
  </r>
  <r>
    <x v="6"/>
    <n v="13.690799999999999"/>
    <n v="-89.190700000000007"/>
    <n v="4"/>
    <n v="0"/>
    <n v="0"/>
    <n v="107"/>
    <s v="_x0000_peopl"/>
  </r>
  <r>
    <x v="6"/>
    <n v="13.694699999999999"/>
    <n v="-89.183300000000003"/>
    <n v="5"/>
    <n v="0"/>
    <n v="0"/>
    <n v="107"/>
    <s v="_x0000_peopl"/>
  </r>
  <r>
    <x v="6"/>
    <n v="13.686299999999999"/>
    <n v="-89.211600000000004"/>
    <n v="5"/>
    <n v="0"/>
    <n v="0"/>
    <n v="107"/>
    <s v="_x0000_peopl"/>
  </r>
  <r>
    <x v="6"/>
    <n v="13.688499999999999"/>
    <n v="-89.197999999999993"/>
    <n v="6"/>
    <n v="0"/>
    <n v="0"/>
    <n v="107"/>
    <s v="_x0000_peopl"/>
  </r>
  <r>
    <x v="6"/>
    <n v="13.6721"/>
    <n v="-89.204800000000006"/>
    <n v="0"/>
    <n v="0"/>
    <n v="0"/>
    <n v="107"/>
    <s v="_x0000_peopl"/>
  </r>
  <r>
    <x v="6"/>
    <n v="13.6898"/>
    <n v="-89.216800000000006"/>
    <n v="2"/>
    <n v="0"/>
    <n v="0"/>
    <n v="107"/>
    <s v="_x0000_peopl"/>
  </r>
  <r>
    <x v="6"/>
    <n v="13.6776"/>
    <n v="-89.247200000000007"/>
    <n v="3"/>
    <n v="0"/>
    <n v="0"/>
    <n v="107"/>
    <s v="_x0000_peopl"/>
  </r>
  <r>
    <x v="6"/>
    <n v="13.6785"/>
    <n v="-89.196399999999997"/>
    <n v="4"/>
    <n v="0"/>
    <n v="0"/>
    <n v="107"/>
    <s v="_x0000_peopl"/>
  </r>
  <r>
    <x v="6"/>
    <n v="13.6897"/>
    <n v="-89.216700000000003"/>
    <n v="2"/>
    <n v="0"/>
    <n v="0"/>
    <n v="107"/>
    <s v="_x0000_peopl"/>
  </r>
  <r>
    <x v="6"/>
    <n v="13.6897"/>
    <n v="-89.178899999999999"/>
    <n v="7"/>
    <n v="0"/>
    <n v="0"/>
    <n v="107"/>
    <s v="_x0000_peopl"/>
  </r>
  <r>
    <x v="6"/>
    <n v="13.6877"/>
    <n v="-89.179699999999997"/>
    <n v="1"/>
    <n v="0"/>
    <n v="0"/>
    <n v="107"/>
    <s v="_x0000_peopl"/>
  </r>
  <r>
    <x v="6"/>
    <n v="13.674200000000001"/>
    <n v="-89.252200000000002"/>
    <n v="4"/>
    <n v="0"/>
    <n v="0"/>
    <n v="107"/>
    <s v="_x0000_peopl"/>
  </r>
  <r>
    <x v="6"/>
    <n v="13.6746"/>
    <n v="-89.199200000000005"/>
    <n v="2"/>
    <n v="0"/>
    <n v="0"/>
    <n v="107"/>
    <s v="_x0000_peopl"/>
  </r>
  <r>
    <x v="6"/>
    <n v="13.6911"/>
    <n v="-89.234399999999994"/>
    <n v="4"/>
    <n v="0"/>
    <n v="0"/>
    <n v="107"/>
    <s v="_x0000_peopl"/>
  </r>
  <r>
    <x v="6"/>
    <n v="13.6897"/>
    <n v="-89.183599999999998"/>
    <n v="4"/>
    <n v="0"/>
    <n v="0"/>
    <n v="107"/>
    <s v="_x0000_peopl"/>
  </r>
  <r>
    <x v="6"/>
    <n v="13.6915"/>
    <n v="-89.232399999999998"/>
    <n v="7"/>
    <n v="0"/>
    <n v="0"/>
    <n v="107"/>
    <s v="_x0000_peopl"/>
  </r>
  <r>
    <x v="6"/>
    <n v="13.6859"/>
    <n v="-89.193899999999999"/>
    <n v="6"/>
    <n v="0"/>
    <n v="0"/>
    <n v="107"/>
    <s v="_x0000_peopl"/>
  </r>
  <r>
    <x v="6"/>
    <n v="13.693099999999999"/>
    <n v="-89.183800000000005"/>
    <n v="4"/>
    <n v="0"/>
    <n v="0"/>
    <n v="107"/>
    <s v="_x0000_peopl"/>
  </r>
  <r>
    <x v="6"/>
    <n v="13.6912"/>
    <n v="-89.234999999999999"/>
    <n v="4"/>
    <n v="0"/>
    <n v="0"/>
    <n v="107"/>
    <s v="_x0000_peopl"/>
  </r>
  <r>
    <x v="6"/>
    <n v="13.694599999999999"/>
    <n v="-89.185500000000005"/>
    <n v="4"/>
    <n v="0"/>
    <n v="0"/>
    <n v="107"/>
    <s v="_x0000_peopl"/>
  </r>
  <r>
    <x v="6"/>
    <n v="13.687200000000001"/>
    <n v="-89.194500000000005"/>
    <n v="4"/>
    <n v="0"/>
    <n v="0"/>
    <n v="107"/>
    <s v="_x0000_peopl"/>
  </r>
  <r>
    <x v="6"/>
    <n v="13.6912"/>
    <n v="-89.179199999999994"/>
    <n v="1"/>
    <n v="0"/>
    <n v="0"/>
    <n v="107"/>
    <s v="_x0000_peopl"/>
  </r>
  <r>
    <x v="6"/>
    <n v="13.6927"/>
    <n v="-89.225099999999998"/>
    <n v="7"/>
    <n v="0"/>
    <n v="0"/>
    <n v="107"/>
    <s v="_x0000_peopl"/>
  </r>
  <r>
    <x v="6"/>
    <n v="13.691700000000001"/>
    <n v="-89.227000000000004"/>
    <n v="11"/>
    <n v="0"/>
    <n v="0"/>
    <n v="107"/>
    <s v="_x0000_peopl"/>
  </r>
  <r>
    <x v="6"/>
    <n v="13.690899999999999"/>
    <n v="-89.186400000000006"/>
    <n v="5"/>
    <n v="0"/>
    <n v="0"/>
    <n v="107"/>
    <s v="_x0000_peopl"/>
  </r>
  <r>
    <x v="6"/>
    <n v="13.6906"/>
    <n v="-89.186300000000003"/>
    <n v="6"/>
    <n v="0"/>
    <n v="0"/>
    <n v="107"/>
    <s v="_x0000_peopl"/>
  </r>
  <r>
    <x v="6"/>
    <n v="13.6936"/>
    <n v="-89.176299999999998"/>
    <n v="3"/>
    <n v="0"/>
    <n v="0"/>
    <n v="107"/>
    <s v="_x0000_peopl"/>
  </r>
  <r>
    <x v="6"/>
    <n v="13.6746"/>
    <n v="-89.252300000000005"/>
    <n v="0"/>
    <n v="0"/>
    <n v="0"/>
    <n v="107"/>
    <s v="_x0000_peopl"/>
  </r>
  <r>
    <x v="6"/>
    <n v="13.6869"/>
    <n v="-89.197199999999995"/>
    <n v="1"/>
    <n v="0"/>
    <n v="0"/>
    <n v="107"/>
    <s v="_x0000_peopl"/>
  </r>
  <r>
    <x v="6"/>
    <n v="13.691599999999999"/>
    <n v="-89.220299999999995"/>
    <n v="2"/>
    <n v="0"/>
    <n v="0"/>
    <n v="107"/>
    <s v="_x0000_peopl"/>
  </r>
  <r>
    <x v="6"/>
    <n v="13.6792"/>
    <n v="-89.193899999999999"/>
    <n v="5"/>
    <n v="0"/>
    <n v="0"/>
    <n v="107"/>
    <s v="_x0000_peopl"/>
  </r>
  <r>
    <x v="6"/>
    <n v="13.6851"/>
    <n v="-89.215100000000007"/>
    <n v="4"/>
    <n v="0"/>
    <n v="0"/>
    <n v="107"/>
    <s v="_x0000_peopl"/>
  </r>
  <r>
    <x v="6"/>
    <n v="13.691000000000001"/>
    <n v="-89.22"/>
    <n v="3"/>
    <n v="0"/>
    <n v="0"/>
    <n v="107"/>
    <s v="_x0000_peopl"/>
  </r>
  <r>
    <x v="6"/>
    <n v="13.6853"/>
    <n v="-89.212999999999994"/>
    <n v="4"/>
    <n v="0"/>
    <n v="0"/>
    <n v="107"/>
    <s v="_x0000_peopl"/>
  </r>
  <r>
    <x v="6"/>
    <n v="13.686"/>
    <n v="-89.212599999999995"/>
    <n v="9"/>
    <n v="0"/>
    <n v="0"/>
    <n v="107"/>
    <s v="_x0000_peopl"/>
  </r>
  <r>
    <x v="6"/>
    <n v="13.695600000000001"/>
    <n v="-89.173199999999994"/>
    <n v="6"/>
    <n v="0"/>
    <n v="0"/>
    <n v="107"/>
    <s v="_x0000_peopl"/>
  </r>
  <r>
    <x v="6"/>
    <n v="13.688700000000001"/>
    <n v="-89.189599999999999"/>
    <n v="2"/>
    <n v="0"/>
    <n v="0"/>
    <n v="107"/>
    <s v="_x0000_peopl"/>
  </r>
  <r>
    <x v="6"/>
    <n v="13.6899"/>
    <n v="-89.235299999999995"/>
    <n v="4"/>
    <n v="0"/>
    <n v="0"/>
    <n v="107"/>
    <s v="_x0000_peopl"/>
  </r>
  <r>
    <x v="6"/>
    <n v="13.687200000000001"/>
    <n v="-89.195999999999998"/>
    <n v="8"/>
    <n v="0"/>
    <n v="0"/>
    <n v="107"/>
    <s v="_x0000_peopl"/>
  </r>
  <r>
    <x v="6"/>
    <n v="13.6898"/>
    <n v="-89.228700000000003"/>
    <n v="5"/>
    <n v="0"/>
    <n v="0"/>
    <n v="107"/>
    <s v="_x0000_peopl"/>
  </r>
  <r>
    <x v="6"/>
    <n v="13.685600000000001"/>
    <n v="-89.211100000000002"/>
    <n v="10"/>
    <n v="0"/>
    <n v="0"/>
    <n v="107"/>
    <s v="_x0000_peopl"/>
  </r>
  <r>
    <x v="6"/>
    <n v="13.6784"/>
    <n v="-89.196299999999994"/>
    <n v="3"/>
    <n v="0"/>
    <n v="0"/>
    <n v="107"/>
    <s v="_x0000_peopl"/>
  </r>
  <r>
    <x v="6"/>
    <n v="13.689299999999999"/>
    <n v="-89.207400000000007"/>
    <n v="4"/>
    <n v="0"/>
    <n v="0"/>
    <n v="107"/>
    <s v="_x0000_peopl"/>
  </r>
  <r>
    <x v="6"/>
    <n v="13.6899"/>
    <n v="-89.189599999999999"/>
    <n v="6"/>
    <n v="0"/>
    <n v="0"/>
    <n v="107"/>
    <s v="_x0000_peopl"/>
  </r>
  <r>
    <x v="6"/>
    <n v="13.692500000000001"/>
    <n v="-89.175600000000003"/>
    <n v="5"/>
    <n v="0"/>
    <n v="0"/>
    <n v="107"/>
    <s v="_x0000_peopl"/>
  </r>
  <r>
    <x v="6"/>
    <n v="13.692"/>
    <n v="-89.223299999999995"/>
    <n v="1"/>
    <n v="0"/>
    <n v="0"/>
    <n v="107"/>
    <s v="_x0000_peopl"/>
  </r>
  <r>
    <x v="6"/>
    <n v="13.6904"/>
    <n v="-89.178600000000003"/>
    <n v="6"/>
    <n v="0"/>
    <n v="0"/>
    <n v="107"/>
    <s v="_x0000_peopl"/>
  </r>
  <r>
    <x v="6"/>
    <n v="13.688800000000001"/>
    <n v="-89.1982"/>
    <n v="8"/>
    <n v="0"/>
    <n v="0"/>
    <n v="107"/>
    <s v="_x0000_peopl"/>
  </r>
  <r>
    <x v="6"/>
    <n v="13.687200000000001"/>
    <n v="-89.194800000000001"/>
    <n v="7"/>
    <n v="0"/>
    <n v="0"/>
    <n v="107"/>
    <s v="_x0000_peopl"/>
  </r>
  <r>
    <x v="6"/>
    <n v="13.692600000000001"/>
    <n v="-89.224599999999995"/>
    <n v="4"/>
    <n v="0"/>
    <n v="0"/>
    <n v="107"/>
    <s v="_x0000_peopl"/>
  </r>
  <r>
    <x v="6"/>
    <n v="13.691700000000001"/>
    <n v="-89.233500000000006"/>
    <n v="7"/>
    <n v="0"/>
    <n v="0"/>
    <n v="107"/>
    <s v="_x0000_peopl"/>
  </r>
  <r>
    <x v="6"/>
    <n v="13.6747"/>
    <n v="-89.249700000000004"/>
    <n v="1"/>
    <n v="0"/>
    <n v="0"/>
    <n v="107"/>
    <s v="_x0000_peopl"/>
  </r>
  <r>
    <x v="6"/>
    <n v="13.679399999999999"/>
    <n v="-89.197199999999995"/>
    <n v="6"/>
    <n v="0"/>
    <n v="0"/>
    <n v="107"/>
    <s v="_x0000_peopl"/>
  </r>
  <r>
    <x v="6"/>
    <n v="13.690899999999999"/>
    <n v="-89.2346"/>
    <n v="6"/>
    <n v="0"/>
    <n v="0"/>
    <n v="107"/>
    <s v="_x0000_peopl"/>
  </r>
  <r>
    <x v="6"/>
    <n v="13.6873"/>
    <n v="-89.198300000000003"/>
    <n v="6"/>
    <n v="0"/>
    <n v="0"/>
    <n v="107"/>
    <s v="_x0000_peopl"/>
  </r>
  <r>
    <x v="6"/>
    <n v="13.688000000000001"/>
    <n v="-89.213300000000004"/>
    <n v="1"/>
    <n v="0"/>
    <n v="0"/>
    <n v="107"/>
    <s v="_x0000_peopl"/>
  </r>
  <r>
    <x v="6"/>
    <n v="13.6891"/>
    <n v="-89.180599999999998"/>
    <n v="7"/>
    <n v="0"/>
    <n v="0"/>
    <n v="107"/>
    <s v="_x0000_peopl"/>
  </r>
  <r>
    <x v="6"/>
    <n v="13.6768"/>
    <n v="-89.247600000000006"/>
    <n v="4"/>
    <n v="0"/>
    <n v="0"/>
    <n v="107"/>
    <s v="_x0000_peopl"/>
  </r>
  <r>
    <x v="6"/>
    <n v="13.6874"/>
    <n v="-89.197100000000006"/>
    <n v="6"/>
    <n v="0"/>
    <n v="0"/>
    <n v="107"/>
    <s v="_x0000_peopl"/>
  </r>
  <r>
    <x v="6"/>
    <n v="13.687099999999999"/>
    <n v="-89.197400000000002"/>
    <n v="7"/>
    <n v="0"/>
    <n v="0"/>
    <n v="107"/>
    <s v="_x0000_peopl"/>
  </r>
  <r>
    <x v="6"/>
    <n v="13.686199999999999"/>
    <n v="-89.193799999999996"/>
    <n v="8"/>
    <n v="0"/>
    <n v="0"/>
    <n v="107"/>
    <s v="_x0000_peopl"/>
  </r>
  <r>
    <x v="6"/>
    <n v="13.6944"/>
    <n v="-89.183199999999999"/>
    <n v="5"/>
    <n v="0"/>
    <n v="0"/>
    <n v="107"/>
    <s v="_x0000_peopl"/>
  </r>
  <r>
    <x v="6"/>
    <n v="13.6912"/>
    <n v="-89.232399999999998"/>
    <n v="4"/>
    <n v="0"/>
    <n v="0"/>
    <n v="107"/>
    <s v="_x0000_peopl"/>
  </r>
  <r>
    <x v="6"/>
    <n v="13.6965"/>
    <n v="-89.172300000000007"/>
    <n v="2"/>
    <n v="0"/>
    <n v="0"/>
    <n v="107"/>
    <s v="_x0000_peopl"/>
  </r>
  <r>
    <x v="6"/>
    <n v="13.6861"/>
    <n v="-89.193799999999996"/>
    <n v="7"/>
    <n v="0"/>
    <n v="0"/>
    <n v="107"/>
    <s v="_x0000_peopl"/>
  </r>
  <r>
    <x v="6"/>
    <n v="13.687200000000001"/>
    <n v="-89.194100000000006"/>
    <n v="4"/>
    <n v="0"/>
    <n v="0"/>
    <n v="107"/>
    <s v="_x0000_peopl"/>
  </r>
  <r>
    <x v="6"/>
    <n v="13.6892"/>
    <n v="-89.229399999999998"/>
    <n v="6"/>
    <n v="0"/>
    <n v="0"/>
    <n v="107"/>
    <s v="_x0000_peopl"/>
  </r>
  <r>
    <x v="6"/>
    <n v="13.689500000000001"/>
    <n v="-89.228999999999999"/>
    <n v="7"/>
    <n v="0"/>
    <n v="0"/>
    <n v="107"/>
    <s v="_x0000_peopl"/>
  </r>
  <r>
    <x v="6"/>
    <n v="13.6845"/>
    <n v="-89.214600000000004"/>
    <n v="3"/>
    <n v="0"/>
    <n v="0"/>
    <n v="107"/>
    <s v="_x0000_peopl"/>
  </r>
  <r>
    <x v="6"/>
    <n v="13.6905"/>
    <n v="-89.235500000000002"/>
    <n v="7"/>
    <n v="0"/>
    <n v="0"/>
    <n v="107"/>
    <s v="_x0000_peopl"/>
  </r>
  <r>
    <x v="6"/>
    <n v="13.690799999999999"/>
    <n v="-89.233500000000006"/>
    <n v="5"/>
    <n v="0"/>
    <n v="0"/>
    <n v="107"/>
    <s v="_x0000_peopl"/>
  </r>
  <r>
    <x v="6"/>
    <n v="13.691700000000001"/>
    <n v="-89.2333"/>
    <n v="5"/>
    <n v="0"/>
    <n v="0"/>
    <n v="107"/>
    <s v="_x0000_peopl"/>
  </r>
  <r>
    <x v="6"/>
    <n v="13.691800000000001"/>
    <n v="-89.227000000000004"/>
    <n v="5"/>
    <n v="0"/>
    <n v="0"/>
    <n v="107"/>
    <s v="_x0000_peopl"/>
  </r>
  <r>
    <x v="6"/>
    <n v="13.6915"/>
    <n v="-89.178799999999995"/>
    <n v="5"/>
    <n v="0"/>
    <n v="0"/>
    <n v="107"/>
    <s v="_x0000_peopl"/>
  </r>
  <r>
    <x v="6"/>
    <n v="13.6938"/>
    <n v="-89.175899999999999"/>
    <n v="6"/>
    <n v="0"/>
    <n v="0"/>
    <n v="107"/>
    <s v="_x0000_peopl"/>
  </r>
  <r>
    <x v="6"/>
    <n v="13.688800000000001"/>
    <n v="-89.211699999999993"/>
    <n v="1"/>
    <n v="0"/>
    <n v="0"/>
    <n v="107"/>
    <s v="_x0000_peopl"/>
  </r>
  <r>
    <x v="6"/>
    <n v="13.690799999999999"/>
    <n v="-89.188800000000001"/>
    <n v="3"/>
    <n v="0"/>
    <n v="0"/>
    <n v="107"/>
    <s v="_x0000_peopl"/>
  </r>
  <r>
    <x v="6"/>
    <n v="13.687200000000001"/>
    <n v="-89.192499999999995"/>
    <n v="2"/>
    <n v="0"/>
    <n v="0"/>
    <n v="107"/>
    <s v="_x0000_peopl"/>
  </r>
  <r>
    <x v="6"/>
    <n v="13.6911"/>
    <n v="-89.23"/>
    <n v="1"/>
    <n v="0"/>
    <n v="0"/>
    <n v="107"/>
    <s v="_x0000_peopl"/>
  </r>
  <r>
    <x v="6"/>
    <n v="13.6905"/>
    <n v="-89.188900000000004"/>
    <n v="4"/>
    <n v="0"/>
    <n v="0"/>
    <n v="107"/>
    <s v="_x0000_peopl"/>
  </r>
  <r>
    <x v="6"/>
    <n v="13.691700000000001"/>
    <n v="-89.182000000000002"/>
    <n v="2"/>
    <n v="0"/>
    <n v="0"/>
    <n v="107"/>
    <s v="_x0000_peopl"/>
  </r>
  <r>
    <x v="6"/>
    <n v="13.6896"/>
    <n v="-89.205299999999994"/>
    <n v="6"/>
    <n v="0"/>
    <n v="0"/>
    <n v="107"/>
    <s v="_x0000_peopl"/>
  </r>
  <r>
    <x v="6"/>
    <n v="13.696999999999999"/>
    <n v="-89.171800000000005"/>
    <n v="5"/>
    <n v="0"/>
    <n v="0"/>
    <n v="107"/>
    <s v="_x0000_peopl"/>
  </r>
  <r>
    <x v="6"/>
    <n v="13.6753"/>
    <n v="-89.248400000000004"/>
    <n v="7"/>
    <n v="0"/>
    <n v="0"/>
    <n v="107"/>
    <s v="_x0000_peopl"/>
  </r>
  <r>
    <x v="6"/>
    <n v="13.6876"/>
    <n v="-89.197199999999995"/>
    <n v="1"/>
    <n v="0"/>
    <n v="0"/>
    <n v="107"/>
    <s v="_x0000_peopl"/>
  </r>
  <r>
    <x v="6"/>
    <n v="13.69"/>
    <n v="-89.234800000000007"/>
    <n v="5"/>
    <n v="0"/>
    <n v="0"/>
    <n v="107"/>
    <s v="_x0000_peopl"/>
  </r>
  <r>
    <x v="6"/>
    <n v="13.6882"/>
    <n v="-89.180400000000006"/>
    <n v="7"/>
    <n v="0"/>
    <n v="0"/>
    <n v="107"/>
    <s v="_x0000_peopl"/>
  </r>
  <r>
    <x v="6"/>
    <n v="13.6853"/>
    <n v="-89.211799999999997"/>
    <n v="2"/>
    <n v="0"/>
    <n v="0"/>
    <n v="107"/>
    <s v="_x0000_peopl"/>
  </r>
  <r>
    <x v="6"/>
    <n v="13.690899999999999"/>
    <n v="-89.229600000000005"/>
    <n v="5"/>
    <n v="0"/>
    <n v="0"/>
    <n v="107"/>
    <s v="_x0000_peopl"/>
  </r>
  <r>
    <x v="6"/>
    <n v="13.679399999999999"/>
    <n v="-89.197100000000006"/>
    <n v="5"/>
    <n v="0"/>
    <n v="0"/>
    <n v="107"/>
    <s v="_x0000_peopl"/>
  </r>
  <r>
    <x v="6"/>
    <n v="13.6898"/>
    <n v="-89.194000000000003"/>
    <n v="3"/>
    <n v="0"/>
    <n v="0"/>
    <n v="107"/>
    <s v="_x0000_peopl"/>
  </r>
  <r>
    <x v="6"/>
    <n v="13.687799999999999"/>
    <n v="-89.179500000000004"/>
    <n v="3"/>
    <n v="0"/>
    <n v="0"/>
    <n v="107"/>
    <s v="_x0000_peopl"/>
  </r>
  <r>
    <x v="6"/>
    <n v="13.691700000000001"/>
    <n v="-89.178899999999999"/>
    <n v="5"/>
    <n v="0"/>
    <n v="0"/>
    <n v="107"/>
    <s v="_x0000_peopl"/>
  </r>
  <r>
    <x v="6"/>
    <n v="13.690300000000001"/>
    <n v="-89.235799999999998"/>
    <n v="5"/>
    <n v="0"/>
    <n v="0"/>
    <n v="107"/>
    <s v="_x0000_peopl"/>
  </r>
  <r>
    <x v="6"/>
    <n v="13.6914"/>
    <n v="-89.176900000000003"/>
    <n v="6"/>
    <n v="0"/>
    <n v="0"/>
    <n v="107"/>
    <s v="_x0000_peopl"/>
  </r>
  <r>
    <x v="6"/>
    <n v="13.6867"/>
    <n v="-89.211699999999993"/>
    <n v="4"/>
    <n v="0"/>
    <n v="0"/>
    <n v="107"/>
    <s v="_x0000_peopl"/>
  </r>
  <r>
    <x v="6"/>
    <n v="13.692"/>
    <n v="-89.221599999999995"/>
    <n v="6"/>
    <n v="0"/>
    <n v="0"/>
    <n v="107"/>
    <s v="_x0000_peopl"/>
  </r>
  <r>
    <x v="6"/>
    <n v="13.6874"/>
    <n v="-89.215699999999998"/>
    <n v="6"/>
    <n v="0"/>
    <n v="0"/>
    <n v="107"/>
    <s v="_x0000_peopl"/>
  </r>
  <r>
    <x v="6"/>
    <n v="13.690899999999999"/>
    <n v="-89.194400000000002"/>
    <n v="4"/>
    <n v="0"/>
    <n v="0"/>
    <n v="107"/>
    <s v="_x0000_peopl"/>
  </r>
  <r>
    <x v="6"/>
    <n v="13.6859"/>
    <n v="-89.201599999999999"/>
    <n v="5"/>
    <n v="0"/>
    <n v="0"/>
    <n v="107"/>
    <s v="_x0000_peopl"/>
  </r>
  <r>
    <x v="6"/>
    <n v="13.6945"/>
    <n v="-89.1755"/>
    <n v="5"/>
    <n v="0"/>
    <n v="0"/>
    <n v="107"/>
    <s v="_x0000_peopl"/>
  </r>
  <r>
    <x v="6"/>
    <n v="13.690300000000001"/>
    <n v="-89.197800000000001"/>
    <n v="5"/>
    <n v="0"/>
    <n v="0"/>
    <n v="107"/>
    <s v="_x0000_peopl"/>
  </r>
  <r>
    <x v="6"/>
    <n v="13.690300000000001"/>
    <n v="-89.181200000000004"/>
    <n v="6"/>
    <n v="0"/>
    <n v="0"/>
    <n v="107"/>
    <s v="_x0000_peopl"/>
  </r>
  <r>
    <x v="6"/>
    <n v="13.6883"/>
    <n v="-89.180800000000005"/>
    <n v="5"/>
    <n v="0"/>
    <n v="0"/>
    <n v="107"/>
    <s v="_x0000_peopl"/>
  </r>
  <r>
    <x v="6"/>
    <n v="13.687799999999999"/>
    <n v="-89.216499999999996"/>
    <n v="9"/>
    <n v="0"/>
    <n v="0"/>
    <n v="107"/>
    <s v="_x0000_peopl"/>
  </r>
  <r>
    <x v="6"/>
    <n v="13.687200000000001"/>
    <n v="-89.196700000000007"/>
    <n v="5"/>
    <n v="0"/>
    <n v="0"/>
    <n v="107"/>
    <s v="_x0000_peopl"/>
  </r>
  <r>
    <x v="6"/>
    <n v="13.691700000000001"/>
    <n v="-89.225999999999999"/>
    <n v="5"/>
    <n v="0"/>
    <n v="0"/>
    <n v="107"/>
    <s v="_x0000_peopl"/>
  </r>
  <r>
    <x v="6"/>
    <n v="13.687200000000001"/>
    <n v="-89.197400000000002"/>
    <n v="3"/>
    <n v="0"/>
    <n v="0"/>
    <n v="107"/>
    <s v="_x0000_peopl"/>
  </r>
  <r>
    <x v="6"/>
    <n v="13.6891"/>
    <n v="-89.229699999999994"/>
    <n v="5"/>
    <n v="0"/>
    <n v="0"/>
    <n v="107"/>
    <s v="_x0000_peopl"/>
  </r>
  <r>
    <x v="6"/>
    <n v="13.690300000000001"/>
    <n v="-89.1798"/>
    <n v="5"/>
    <n v="0"/>
    <n v="0"/>
    <n v="107"/>
    <s v="_x0000_peopl"/>
  </r>
  <r>
    <x v="6"/>
    <n v="13.6915"/>
    <n v="-89.179699999999997"/>
    <n v="8"/>
    <n v="0"/>
    <n v="0"/>
    <n v="107"/>
    <s v="_x0000_peopl"/>
  </r>
  <r>
    <x v="6"/>
    <n v="13.686299999999999"/>
    <n v="-89.203800000000001"/>
    <n v="3"/>
    <n v="0"/>
    <n v="0"/>
    <n v="107"/>
    <s v="_x0000_peopl"/>
  </r>
  <r>
    <x v="6"/>
    <n v="13.6907"/>
    <n v="-89.234999999999999"/>
    <n v="4"/>
    <n v="0"/>
    <n v="0"/>
    <n v="107"/>
    <s v="_x0000_peopl"/>
  </r>
  <r>
    <x v="6"/>
    <n v="13.691800000000001"/>
    <n v="-89.225499999999997"/>
    <n v="5"/>
    <n v="0"/>
    <n v="0"/>
    <n v="107"/>
    <s v="_x0000_peopl"/>
  </r>
  <r>
    <x v="6"/>
    <n v="13.6938"/>
    <n v="-89.174099999999996"/>
    <n v="7"/>
    <n v="0"/>
    <n v="0"/>
    <n v="107"/>
    <s v="_x0000_peopl"/>
  </r>
  <r>
    <x v="6"/>
    <n v="13.6854"/>
    <n v="-89.212500000000006"/>
    <n v="8"/>
    <n v="0"/>
    <n v="0"/>
    <n v="107"/>
    <s v="_x0000_peopl"/>
  </r>
  <r>
    <x v="6"/>
    <n v="13.686999999999999"/>
    <n v="-89.204300000000003"/>
    <n v="5"/>
    <n v="0"/>
    <n v="0"/>
    <n v="107"/>
    <s v="_x0000_peopl"/>
  </r>
  <r>
    <x v="6"/>
    <n v="13.684900000000001"/>
    <n v="-89.201599999999999"/>
    <n v="5"/>
    <n v="0"/>
    <n v="0"/>
    <n v="107"/>
    <s v="_x0000_peopl"/>
  </r>
  <r>
    <x v="6"/>
    <n v="13.686"/>
    <n v="-89.211399999999998"/>
    <n v="7"/>
    <n v="0"/>
    <n v="0"/>
    <n v="107"/>
    <s v="_x0000_peopl"/>
  </r>
  <r>
    <x v="6"/>
    <n v="13.6915"/>
    <n v="-89.220600000000005"/>
    <n v="9"/>
    <n v="0"/>
    <n v="0"/>
    <n v="107"/>
    <s v="_x0000_peopl"/>
  </r>
  <r>
    <x v="6"/>
    <n v="13.687099999999999"/>
    <n v="-89.194800000000001"/>
    <n v="4"/>
    <n v="0"/>
    <n v="0"/>
    <n v="107"/>
    <s v="_x0000_peopl"/>
  </r>
  <r>
    <x v="6"/>
    <n v="13.6906"/>
    <n v="-89.194199999999995"/>
    <n v="6"/>
    <n v="0"/>
    <n v="0"/>
    <n v="107"/>
    <s v="_x0000_peopl"/>
  </r>
  <r>
    <x v="6"/>
    <n v="13.6744"/>
    <n v="-89.202200000000005"/>
    <n v="4"/>
    <n v="0"/>
    <n v="0"/>
    <n v="107"/>
    <s v="_x0000_peopl"/>
  </r>
  <r>
    <x v="6"/>
    <n v="13.6921"/>
    <n v="-89.223299999999995"/>
    <n v="2"/>
    <n v="0"/>
    <n v="0"/>
    <n v="107"/>
    <s v="_x0000_peopl"/>
  </r>
  <r>
    <x v="6"/>
    <n v="13.6915"/>
    <n v="-89.226699999999994"/>
    <n v="10"/>
    <n v="0"/>
    <n v="0"/>
    <n v="107"/>
    <s v="_x0000_peopl"/>
  </r>
  <r>
    <x v="6"/>
    <n v="13.690899999999999"/>
    <n v="-89.235699999999994"/>
    <n v="7"/>
    <n v="0"/>
    <n v="0"/>
    <n v="107"/>
    <s v="_x0000_peopl"/>
  </r>
  <r>
    <x v="6"/>
    <n v="13.6913"/>
    <n v="-89.233500000000006"/>
    <n v="4"/>
    <n v="0"/>
    <n v="0"/>
    <n v="107"/>
    <s v="_x0000_peopl"/>
  </r>
  <r>
    <x v="6"/>
    <n v="13.6913"/>
    <n v="-89.188699999999997"/>
    <n v="7"/>
    <n v="0"/>
    <n v="0"/>
    <n v="107"/>
    <s v="_x0000_peopl"/>
  </r>
  <r>
    <x v="6"/>
    <n v="13.694699999999999"/>
    <n v="-89.185500000000005"/>
    <n v="5"/>
    <n v="0"/>
    <n v="0"/>
    <n v="107"/>
    <s v="_x0000_peopl"/>
  </r>
  <r>
    <x v="6"/>
    <n v="13.6944"/>
    <n v="-89.183199999999999"/>
    <n v="7"/>
    <n v="0"/>
    <n v="0"/>
    <n v="107"/>
    <s v="_x0000_peopl"/>
  </r>
  <r>
    <x v="6"/>
    <n v="13.6922"/>
    <n v="-89.225700000000003"/>
    <n v="8"/>
    <n v="0"/>
    <n v="0"/>
    <n v="107"/>
    <s v="_x0000_peopl"/>
  </r>
  <r>
    <x v="6"/>
    <n v="13.6851"/>
    <n v="-89.217299999999994"/>
    <n v="5"/>
    <n v="0"/>
    <n v="0"/>
    <n v="107"/>
    <s v="_x0000_peopl"/>
  </r>
  <r>
    <x v="6"/>
    <n v="13.694599999999999"/>
    <n v="-89.174199999999999"/>
    <n v="6"/>
    <n v="0"/>
    <n v="0"/>
    <n v="107"/>
    <s v="_x0000_peopl"/>
  </r>
  <r>
    <x v="6"/>
    <n v="13.693300000000001"/>
    <n v="-89.177499999999995"/>
    <n v="2"/>
    <n v="0"/>
    <n v="0"/>
    <n v="107"/>
    <s v="_x0000_peopl"/>
  </r>
  <r>
    <x v="6"/>
    <n v="13.6911"/>
    <n v="-89.229799999999997"/>
    <n v="4"/>
    <n v="0"/>
    <n v="0"/>
    <n v="107"/>
    <s v="_x0000_peopl"/>
  </r>
  <r>
    <x v="6"/>
    <n v="13.688000000000001"/>
    <n v="-89.237300000000005"/>
    <n v="3"/>
    <n v="0"/>
    <n v="0"/>
    <n v="107"/>
    <s v="_x0000_peopl"/>
  </r>
  <r>
    <x v="6"/>
    <n v="13.6957"/>
    <n v="-89.174000000000007"/>
    <n v="8"/>
    <n v="0"/>
    <n v="0"/>
    <n v="107"/>
    <s v="_x0000_peopl"/>
  </r>
  <r>
    <x v="6"/>
    <n v="13.6966"/>
    <n v="-89.172300000000007"/>
    <n v="6"/>
    <n v="0"/>
    <n v="0"/>
    <n v="107"/>
    <s v="_x0000_peopl"/>
  </r>
  <r>
    <x v="6"/>
    <n v="13.688599999999999"/>
    <n v="-89.198700000000002"/>
    <n v="4"/>
    <n v="0"/>
    <n v="0"/>
    <n v="107"/>
    <s v="_x0000_peopl"/>
  </r>
  <r>
    <x v="6"/>
    <n v="13.6913"/>
    <n v="-89.187799999999996"/>
    <n v="2"/>
    <n v="0"/>
    <n v="0"/>
    <n v="107"/>
    <s v="_x0000_peopl"/>
  </r>
  <r>
    <x v="6"/>
    <n v="13.691599999999999"/>
    <n v="-89.225899999999996"/>
    <n v="9"/>
    <n v="0"/>
    <n v="0"/>
    <n v="107"/>
    <s v="_x0000_peopl"/>
  </r>
  <r>
    <x v="6"/>
    <n v="13.690799999999999"/>
    <n v="-89.186000000000007"/>
    <n v="1"/>
    <n v="0"/>
    <n v="0"/>
    <n v="107"/>
    <s v="_x0000_peopl"/>
  </r>
  <r>
    <x v="6"/>
    <n v="13.687099999999999"/>
    <n v="-89.194699999999997"/>
    <n v="5"/>
    <n v="0"/>
    <n v="0"/>
    <n v="107"/>
    <s v="_x0000_peopl"/>
  </r>
  <r>
    <x v="6"/>
    <n v="13.690799999999999"/>
    <n v="-89.233199999999997"/>
    <n v="4"/>
    <n v="0"/>
    <n v="0"/>
    <n v="107"/>
    <s v="_x0000_peopl"/>
  </r>
  <r>
    <x v="6"/>
    <n v="13.673"/>
    <n v="-89.204400000000007"/>
    <n v="6"/>
    <n v="0"/>
    <n v="0"/>
    <n v="107"/>
    <s v="_x0000_peopl"/>
  </r>
  <r>
    <x v="6"/>
    <n v="13.6929"/>
    <n v="-89.224900000000005"/>
    <n v="8"/>
    <n v="0"/>
    <n v="0"/>
    <n v="107"/>
    <s v="_x0000_peopl"/>
  </r>
  <r>
    <x v="6"/>
    <n v="13.691800000000001"/>
    <n v="-89.179900000000004"/>
    <n v="3"/>
    <n v="0"/>
    <n v="0"/>
    <n v="107"/>
    <s v="_x0000_peopl"/>
  </r>
  <r>
    <x v="6"/>
    <n v="13.6753"/>
    <n v="-89.250100000000003"/>
    <n v="4"/>
    <n v="0"/>
    <n v="0"/>
    <n v="107"/>
    <s v="_x0000_peopl"/>
  </r>
  <r>
    <x v="6"/>
    <n v="13.692399999999999"/>
    <n v="-89.226600000000005"/>
    <n v="5"/>
    <n v="0"/>
    <n v="0"/>
    <n v="107"/>
    <s v="_x0000_peopl"/>
  </r>
  <r>
    <x v="6"/>
    <n v="13.693199999999999"/>
    <n v="-89.177400000000006"/>
    <n v="1"/>
    <n v="0"/>
    <n v="0"/>
    <n v="107"/>
    <s v="_x0000_peopl"/>
  </r>
  <r>
    <x v="6"/>
    <n v="13.6876"/>
    <n v="-89.215900000000005"/>
    <n v="6"/>
    <n v="0"/>
    <n v="0"/>
    <n v="107"/>
    <s v="_x0000_peopl"/>
  </r>
  <r>
    <x v="6"/>
    <n v="13.696099999999999"/>
    <n v="-89.172499999999999"/>
    <n v="4"/>
    <n v="0"/>
    <n v="0"/>
    <n v="107"/>
    <s v="_x0000_peopl"/>
  </r>
  <r>
    <x v="6"/>
    <n v="13.6852"/>
    <n v="-89.217299999999994"/>
    <n v="3"/>
    <n v="0"/>
    <n v="0"/>
    <n v="107"/>
    <s v="_x0000_peopl"/>
  </r>
  <r>
    <x v="6"/>
    <n v="13.6891"/>
    <n v="-89.204999999999998"/>
    <n v="7"/>
    <n v="0"/>
    <n v="0"/>
    <n v="107"/>
    <s v="_x0000_peopl"/>
  </r>
  <r>
    <x v="6"/>
    <n v="13.6883"/>
    <n v="-89.198099999999997"/>
    <n v="2"/>
    <n v="0"/>
    <n v="0"/>
    <n v="107"/>
    <s v="_x0000_peopl"/>
  </r>
  <r>
    <x v="6"/>
    <n v="13.6922"/>
    <n v="-89.194400000000002"/>
    <n v="2"/>
    <n v="0"/>
    <n v="0"/>
    <n v="107"/>
    <s v="_x0000_peopl"/>
  </r>
  <r>
    <x v="6"/>
    <n v="13.6922"/>
    <n v="-89.175700000000006"/>
    <n v="3"/>
    <n v="0"/>
    <n v="0"/>
    <n v="107"/>
    <s v="_x0000_peopl"/>
  </r>
  <r>
    <x v="6"/>
    <n v="13.679500000000001"/>
    <n v="-89.197000000000003"/>
    <n v="5"/>
    <n v="0"/>
    <n v="0"/>
    <n v="107"/>
    <s v="_x0000_peopl"/>
  </r>
  <r>
    <x v="6"/>
    <n v="13.690799999999999"/>
    <n v="-89.189300000000003"/>
    <n v="9"/>
    <n v="0"/>
    <n v="0"/>
    <n v="107"/>
    <s v="_x0000_peopl"/>
  </r>
  <r>
    <x v="6"/>
    <n v="13.688499999999999"/>
    <n v="-89.180800000000005"/>
    <n v="4"/>
    <n v="0"/>
    <n v="0"/>
    <n v="107"/>
    <s v="_x0000_peopl"/>
  </r>
  <r>
    <x v="6"/>
    <n v="13.6858"/>
    <n v="-89.193899999999999"/>
    <n v="5"/>
    <n v="0"/>
    <n v="0"/>
    <n v="107"/>
    <s v="_x0000_peopl"/>
  </r>
  <r>
    <x v="6"/>
    <n v="13.692399999999999"/>
    <n v="-89.174499999999995"/>
    <n v="5"/>
    <n v="0"/>
    <n v="0"/>
    <n v="107"/>
    <s v="_x0000_peopl"/>
  </r>
  <r>
    <x v="6"/>
    <n v="13.6874"/>
    <n v="-89.194900000000004"/>
    <n v="5"/>
    <n v="0"/>
    <n v="0"/>
    <n v="107"/>
    <s v="_x0000_peopl"/>
  </r>
  <r>
    <x v="6"/>
    <n v="13.6875"/>
    <n v="-89.194599999999994"/>
    <n v="4"/>
    <n v="0"/>
    <n v="0"/>
    <n v="107"/>
    <s v="_x0000_peopl"/>
  </r>
  <r>
    <x v="6"/>
    <n v="13.688000000000001"/>
    <n v="-89.181100000000001"/>
    <n v="4"/>
    <n v="0"/>
    <n v="0"/>
    <n v="107"/>
    <s v="_x0000_peopl"/>
  </r>
  <r>
    <x v="6"/>
    <n v="13.6867"/>
    <n v="-89.216300000000004"/>
    <n v="9"/>
    <n v="0"/>
    <n v="0"/>
    <n v="107"/>
    <s v="_x0000_peopl"/>
  </r>
  <r>
    <x v="6"/>
    <n v="13.6898"/>
    <n v="-89.179900000000004"/>
    <n v="5"/>
    <n v="0"/>
    <n v="0"/>
    <n v="107"/>
    <s v="_x0000_peopl"/>
  </r>
  <r>
    <x v="6"/>
    <n v="13.690099999999999"/>
    <n v="-89.228499999999997"/>
    <n v="5"/>
    <n v="0"/>
    <n v="0"/>
    <n v="107"/>
    <s v="_x0000_peopl"/>
  </r>
  <r>
    <x v="6"/>
    <n v="13.6906"/>
    <n v="-89.232200000000006"/>
    <n v="5"/>
    <n v="0"/>
    <n v="0"/>
    <n v="107"/>
    <s v="_x0000_peopl"/>
  </r>
  <r>
    <x v="6"/>
    <n v="13.674099999999999"/>
    <n v="-89.202500000000001"/>
    <n v="8"/>
    <n v="0"/>
    <n v="0"/>
    <n v="107"/>
    <s v="_x0000_peopl"/>
  </r>
  <r>
    <x v="6"/>
    <n v="13.687099999999999"/>
    <n v="-89.213200000000001"/>
    <n v="5"/>
    <n v="0"/>
    <n v="0"/>
    <n v="107"/>
    <s v="_x0000_peopl"/>
  </r>
  <r>
    <x v="6"/>
    <n v="13.6912"/>
    <n v="-89.229799999999997"/>
    <n v="7"/>
    <n v="0"/>
    <n v="0"/>
    <n v="107"/>
    <s v="_x0000_peopl"/>
  </r>
  <r>
    <x v="6"/>
    <n v="13.688599999999999"/>
    <n v="-89.198099999999997"/>
    <n v="3"/>
    <n v="0"/>
    <n v="0"/>
    <n v="107"/>
    <s v="_x0000_peopl"/>
  </r>
  <r>
    <x v="6"/>
    <n v="13.689399999999999"/>
    <n v="-89.205399999999997"/>
    <n v="6"/>
    <n v="0"/>
    <n v="0"/>
    <n v="107"/>
    <s v="_x0000_peopl"/>
  </r>
  <r>
    <x v="6"/>
    <n v="13.6866"/>
    <n v="-89.212900000000005"/>
    <n v="8"/>
    <n v="0"/>
    <n v="0"/>
    <n v="107"/>
    <s v="_x0000_peopl"/>
  </r>
  <r>
    <x v="6"/>
    <n v="13.689500000000001"/>
    <n v="-89.19"/>
    <n v="4"/>
    <n v="0"/>
    <n v="0"/>
    <n v="107"/>
    <s v="_x0000_peopl"/>
  </r>
  <r>
    <x v="6"/>
    <n v="13.6934"/>
    <n v="-89.176500000000004"/>
    <n v="5"/>
    <n v="0"/>
    <n v="0"/>
    <n v="107"/>
    <s v="_x0000_peopl"/>
  </r>
  <r>
    <x v="6"/>
    <n v="13.688599999999999"/>
    <n v="-89.204599999999999"/>
    <n v="6"/>
    <n v="0"/>
    <n v="0"/>
    <n v="107"/>
    <s v="_x0000_peopl"/>
  </r>
  <r>
    <x v="6"/>
    <n v="13.690799999999999"/>
    <n v="-89.197599999999994"/>
    <n v="2"/>
    <n v="0"/>
    <n v="0"/>
    <n v="107"/>
    <s v="_x0000_peopl"/>
  </r>
  <r>
    <x v="6"/>
    <n v="13.694900000000001"/>
    <n v="-89.173599999999993"/>
    <n v="1"/>
    <n v="0"/>
    <n v="0"/>
    <n v="107"/>
    <s v="_x0000_peopl"/>
  </r>
  <r>
    <x v="6"/>
    <n v="13.692600000000001"/>
    <n v="-89.224000000000004"/>
    <n v="4"/>
    <n v="0"/>
    <n v="0"/>
    <n v="107"/>
    <s v="_x0000_peopl"/>
  </r>
  <r>
    <x v="6"/>
    <n v="13.6914"/>
    <n v="-89.220699999999994"/>
    <n v="5"/>
    <n v="0"/>
    <n v="0"/>
    <n v="107"/>
    <s v="_x0000_peopl"/>
  </r>
  <r>
    <x v="6"/>
    <n v="13.690200000000001"/>
    <n v="-89.186700000000002"/>
    <n v="6"/>
    <n v="0"/>
    <n v="0"/>
    <n v="107"/>
    <s v="_x0000_peopl"/>
  </r>
  <r>
    <x v="6"/>
    <n v="13.692600000000001"/>
    <n v="-89.224400000000003"/>
    <n v="5"/>
    <n v="0"/>
    <n v="0"/>
    <n v="107"/>
    <s v="_x0000_peopl"/>
  </r>
  <r>
    <x v="6"/>
    <n v="13.6915"/>
    <n v="-89.179100000000005"/>
    <n v="4"/>
    <n v="0"/>
    <n v="0"/>
    <n v="107"/>
    <s v="_x0000_peopl"/>
  </r>
  <r>
    <x v="6"/>
    <n v="13.6915"/>
    <n v="-89.189400000000006"/>
    <n v="6"/>
    <n v="0"/>
    <n v="0"/>
    <n v="107"/>
    <s v="_x0000_peopl"/>
  </r>
  <r>
    <x v="6"/>
    <n v="13.6911"/>
    <n v="-89.235100000000003"/>
    <n v="7"/>
    <n v="0"/>
    <n v="0"/>
    <n v="107"/>
    <s v="_x0000_peopl"/>
  </r>
  <r>
    <x v="6"/>
    <n v="13.691800000000001"/>
    <n v="-89.224999999999994"/>
    <n v="3"/>
    <n v="0"/>
    <n v="0"/>
    <n v="107"/>
    <s v="_x0000_peopl"/>
  </r>
  <r>
    <x v="6"/>
    <n v="13.691000000000001"/>
    <n v="-89.186499999999995"/>
    <n v="6"/>
    <n v="0"/>
    <n v="0"/>
    <n v="107"/>
    <s v="_x0000_peopl"/>
  </r>
  <r>
    <x v="6"/>
    <n v="13.696199999999999"/>
    <n v="-89.171899999999994"/>
    <n v="2"/>
    <n v="0"/>
    <n v="0"/>
    <n v="107"/>
    <s v="_x0000_peopl"/>
  </r>
  <r>
    <x v="6"/>
    <n v="13.6874"/>
    <n v="-89.194000000000003"/>
    <n v="8"/>
    <n v="0"/>
    <n v="0"/>
    <n v="107"/>
    <s v="_x0000_peopl"/>
  </r>
  <r>
    <x v="6"/>
    <n v="13.686299999999999"/>
    <n v="-89.202799999999996"/>
    <n v="7"/>
    <n v="0"/>
    <n v="0"/>
    <n v="107"/>
    <s v="_x0000_peopl"/>
  </r>
  <r>
    <x v="6"/>
    <n v="13.692"/>
    <n v="-89.2256"/>
    <n v="7"/>
    <n v="0"/>
    <n v="0"/>
    <n v="107"/>
    <s v="_x0000_peopl"/>
  </r>
  <r>
    <x v="6"/>
    <n v="13.690099999999999"/>
    <n v="-89.2346"/>
    <n v="3"/>
    <n v="0"/>
    <n v="0"/>
    <n v="107"/>
    <s v="_x0000_peopl"/>
  </r>
  <r>
    <x v="6"/>
    <n v="13.690099999999999"/>
    <n v="-89.236099999999993"/>
    <n v="5"/>
    <n v="0"/>
    <n v="0"/>
    <n v="107"/>
    <s v="_x0000_peopl"/>
  </r>
  <r>
    <x v="6"/>
    <n v="13.6914"/>
    <n v="-89.189800000000005"/>
    <n v="3"/>
    <n v="0"/>
    <n v="0"/>
    <n v="107"/>
    <s v="_x0000_peopl"/>
  </r>
  <r>
    <x v="6"/>
    <n v="13.690200000000001"/>
    <n v="-89.234700000000004"/>
    <n v="3"/>
    <n v="0"/>
    <n v="0"/>
    <n v="107"/>
    <s v="_x0000_peopl"/>
  </r>
  <r>
    <x v="6"/>
    <n v="13.693199999999999"/>
    <n v="-89.189599999999999"/>
    <n v="8"/>
    <n v="0"/>
    <n v="0"/>
    <n v="107"/>
    <s v="_x0000_peopl"/>
  </r>
  <r>
    <x v="6"/>
    <n v="13.6853"/>
    <n v="-89.202399999999997"/>
    <n v="5"/>
    <n v="0"/>
    <n v="0"/>
    <n v="107"/>
    <s v="_x0000_peopl"/>
  </r>
  <r>
    <x v="6"/>
    <n v="13.6873"/>
    <n v="-89.194599999999994"/>
    <n v="8"/>
    <n v="0"/>
    <n v="0"/>
    <n v="107"/>
    <s v="_x0000_peopl"/>
  </r>
  <r>
    <x v="6"/>
    <n v="13.6869"/>
    <n v="-89.203299999999999"/>
    <n v="6"/>
    <n v="0"/>
    <n v="0"/>
    <n v="107"/>
    <s v="_x0000_peopl"/>
  </r>
  <r>
    <x v="6"/>
    <n v="13.691800000000001"/>
    <n v="-89.183400000000006"/>
    <n v="11"/>
    <n v="0"/>
    <n v="0"/>
    <n v="107"/>
    <s v="_x0000_peopl"/>
  </r>
  <r>
    <x v="6"/>
    <n v="13.6859"/>
    <n v="-89.211799999999997"/>
    <n v="5"/>
    <n v="0"/>
    <n v="0"/>
    <n v="107"/>
    <s v="_x0000_peopl"/>
  </r>
  <r>
    <x v="6"/>
    <n v="13.6912"/>
    <n v="-89.233900000000006"/>
    <n v="8"/>
    <n v="0"/>
    <n v="0"/>
    <n v="107"/>
    <s v="_x0000_peopl"/>
  </r>
  <r>
    <x v="6"/>
    <n v="13.692600000000001"/>
    <n v="-89.184299999999993"/>
    <n v="5"/>
    <n v="0"/>
    <n v="0"/>
    <n v="107"/>
    <s v="_x0000_peopl"/>
  </r>
  <r>
    <x v="6"/>
    <n v="13.687200000000001"/>
    <n v="-89.194000000000003"/>
    <n v="5"/>
    <n v="0"/>
    <n v="0"/>
    <n v="107"/>
    <s v="_x0000_peopl"/>
  </r>
  <r>
    <x v="6"/>
    <n v="13.6958"/>
    <n v="-89.165599999999998"/>
    <n v="8"/>
    <n v="0"/>
    <n v="0"/>
    <n v="107"/>
    <s v="_x0000_peopl"/>
  </r>
  <r>
    <x v="6"/>
    <n v="13.6904"/>
    <n v="-89.195899999999995"/>
    <n v="4"/>
    <n v="0"/>
    <n v="0"/>
    <n v="107"/>
    <s v="_x0000_peopl"/>
  </r>
  <r>
    <x v="6"/>
    <n v="13.689500000000001"/>
    <n v="-89.184600000000003"/>
    <n v="5"/>
    <n v="0"/>
    <n v="0"/>
    <n v="107"/>
    <s v="_x0000_peopl"/>
  </r>
  <r>
    <x v="6"/>
    <n v="13.692"/>
    <n v="-89.194299999999998"/>
    <n v="6"/>
    <n v="0"/>
    <n v="0"/>
    <n v="107"/>
    <s v="_x0000_peopl"/>
  </r>
  <r>
    <x v="6"/>
    <n v="13.692600000000001"/>
    <n v="-89.224299999999999"/>
    <n v="11"/>
    <n v="0"/>
    <n v="0"/>
    <n v="107"/>
    <s v="_x0000_peopl"/>
  </r>
  <r>
    <x v="6"/>
    <n v="13.690200000000001"/>
    <n v="-89.188999999999993"/>
    <n v="1"/>
    <n v="0"/>
    <n v="0"/>
    <n v="107"/>
    <s v="_x0000_peopl"/>
  </r>
  <r>
    <x v="6"/>
    <n v="13.691700000000001"/>
    <n v="-89.225200000000001"/>
    <n v="6"/>
    <n v="0"/>
    <n v="0"/>
    <n v="107"/>
    <s v="_x0000_peopl"/>
  </r>
  <r>
    <x v="6"/>
    <n v="13.691000000000001"/>
    <n v="-89.234200000000001"/>
    <n v="3"/>
    <n v="0"/>
    <n v="0"/>
    <n v="107"/>
    <s v="_x0000_peopl"/>
  </r>
  <r>
    <x v="6"/>
    <n v="13.6913"/>
    <n v="-89.233099999999993"/>
    <n v="2"/>
    <n v="0"/>
    <n v="0"/>
    <n v="107"/>
    <s v="_x0000_peopl"/>
  </r>
  <r>
    <x v="6"/>
    <n v="13.685700000000001"/>
    <n v="-89.215100000000007"/>
    <n v="4"/>
    <n v="0"/>
    <n v="0"/>
    <n v="107"/>
    <s v="_x0000_peopl"/>
  </r>
  <r>
    <x v="6"/>
    <n v="13.689299999999999"/>
    <n v="-89.207599999999999"/>
    <n v="9"/>
    <n v="0"/>
    <n v="0"/>
    <n v="107"/>
    <s v="_x0000_peopl"/>
  </r>
  <r>
    <x v="6"/>
    <n v="13.6866"/>
    <n v="-89.213200000000001"/>
    <n v="1"/>
    <n v="0"/>
    <n v="0"/>
    <n v="107"/>
    <s v="_x0000_peopl"/>
  </r>
  <r>
    <x v="6"/>
    <n v="13.6793"/>
    <n v="-89.197299999999998"/>
    <n v="4"/>
    <n v="0"/>
    <n v="0"/>
    <n v="107"/>
    <s v="_x0000_peopl"/>
  </r>
  <r>
    <x v="6"/>
    <n v="13.691800000000001"/>
    <n v="-89.179199999999994"/>
    <n v="4"/>
    <n v="0"/>
    <n v="0"/>
    <n v="107"/>
    <s v="_x0000_peopl"/>
  </r>
  <r>
    <x v="6"/>
    <n v="13.6873"/>
    <n v="-89.204300000000003"/>
    <n v="5"/>
    <n v="0"/>
    <n v="0"/>
    <n v="107"/>
    <s v="_x0000_peopl"/>
  </r>
  <r>
    <x v="6"/>
    <n v="13.6912"/>
    <n v="-89.2333"/>
    <n v="6"/>
    <n v="0"/>
    <n v="0"/>
    <n v="107"/>
    <s v="_x0000_peopl"/>
  </r>
  <r>
    <x v="6"/>
    <n v="13.6873"/>
    <n v="-89.217100000000002"/>
    <n v="2"/>
    <n v="0"/>
    <n v="0"/>
    <n v="107"/>
    <s v="_x0000_peopl"/>
  </r>
  <r>
    <x v="6"/>
    <n v="13.6915"/>
    <n v="-89.178700000000006"/>
    <n v="6"/>
    <n v="0"/>
    <n v="0"/>
    <n v="107"/>
    <s v="_x0000_peopl"/>
  </r>
  <r>
    <x v="6"/>
    <n v="13.692600000000001"/>
    <n v="-89.2256"/>
    <n v="5"/>
    <n v="0"/>
    <n v="0"/>
    <n v="107"/>
    <s v="_x0000_peopl"/>
  </r>
  <r>
    <x v="6"/>
    <n v="13.6915"/>
    <n v="-89.185599999999994"/>
    <n v="8"/>
    <n v="0"/>
    <n v="0"/>
    <n v="107"/>
    <s v="_x0000_peopl"/>
  </r>
  <r>
    <x v="6"/>
    <n v="13.6851"/>
    <n v="-89.216499999999996"/>
    <n v="2"/>
    <n v="0"/>
    <n v="0"/>
    <n v="107"/>
    <s v="_x0000_peopl"/>
  </r>
  <r>
    <x v="6"/>
    <n v="13.6899"/>
    <n v="-89.235600000000005"/>
    <n v="13"/>
    <n v="0"/>
    <n v="0"/>
    <n v="107"/>
    <s v="_x0000_peopl"/>
  </r>
  <r>
    <x v="6"/>
    <n v="13.696099999999999"/>
    <n v="-89.171899999999994"/>
    <n v="6"/>
    <n v="0"/>
    <n v="0"/>
    <n v="107"/>
    <s v="_x0000_peopl"/>
  </r>
  <r>
    <x v="6"/>
    <n v="13.692500000000001"/>
    <n v="-89.225499999999997"/>
    <n v="9"/>
    <n v="0"/>
    <n v="0"/>
    <n v="107"/>
    <s v="_x0000_peopl"/>
  </r>
  <r>
    <x v="6"/>
    <n v="13.6745"/>
    <n v="-89.251300000000001"/>
    <n v="5"/>
    <n v="0"/>
    <n v="0"/>
    <n v="107"/>
    <s v="_x0000_peopl"/>
  </r>
  <r>
    <x v="6"/>
    <n v="13.6747"/>
    <n v="-89.250799999999998"/>
    <n v="4"/>
    <n v="0"/>
    <n v="0"/>
    <n v="107"/>
    <s v="_x0000_peopl"/>
  </r>
  <r>
    <x v="6"/>
    <n v="13.6899"/>
    <n v="-89.235100000000003"/>
    <n v="6"/>
    <n v="0"/>
    <n v="0"/>
    <n v="107"/>
    <s v="_x0000_peopl"/>
  </r>
  <r>
    <x v="6"/>
    <n v="13.6876"/>
    <n v="-89.195099999999996"/>
    <n v="5"/>
    <n v="0"/>
    <n v="0"/>
    <n v="107"/>
    <s v="_x0000_peopl"/>
  </r>
  <r>
    <x v="6"/>
    <n v="13.6877"/>
    <n v="-89.217200000000005"/>
    <n v="5"/>
    <n v="0"/>
    <n v="0"/>
    <n v="107"/>
    <s v="_x0000_peopl"/>
  </r>
  <r>
    <x v="6"/>
    <n v="13.6907"/>
    <n v="-89.1875"/>
    <n v="7"/>
    <n v="0"/>
    <n v="0"/>
    <n v="107"/>
    <s v="_x0000_peopl"/>
  </r>
  <r>
    <x v="6"/>
    <n v="13.6927"/>
    <n v="-89.184299999999993"/>
    <n v="4"/>
    <n v="0"/>
    <n v="0"/>
    <n v="107"/>
    <s v="_x0000_peopl"/>
  </r>
  <r>
    <x v="6"/>
    <n v="13.6913"/>
    <n v="-89.178899999999999"/>
    <n v="4"/>
    <n v="0"/>
    <n v="0"/>
    <n v="107"/>
    <s v="_x0000_peopl"/>
  </r>
  <r>
    <x v="6"/>
    <n v="13.6875"/>
    <n v="-89.205200000000005"/>
    <n v="6"/>
    <n v="0"/>
    <n v="0"/>
    <n v="107"/>
    <s v="_x0000_peopl"/>
  </r>
  <r>
    <x v="6"/>
    <n v="13.6746"/>
    <n v="-89.251099999999994"/>
    <n v="5"/>
    <n v="0"/>
    <n v="0"/>
    <n v="107"/>
    <s v="_x0000_peopl"/>
  </r>
  <r>
    <x v="6"/>
    <n v="13.6915"/>
    <n v="-89.225800000000007"/>
    <n v="6"/>
    <n v="0"/>
    <n v="0"/>
    <n v="107"/>
    <s v="_x0000_peopl"/>
  </r>
  <r>
    <x v="6"/>
    <n v="13.6868"/>
    <n v="-89.194599999999994"/>
    <n v="4"/>
    <n v="0"/>
    <n v="0"/>
    <n v="107"/>
    <s v="_x0000_peopl"/>
  </r>
  <r>
    <x v="6"/>
    <n v="13.6875"/>
    <n v="-89.194599999999994"/>
    <n v="8"/>
    <n v="0"/>
    <n v="0"/>
    <n v="107"/>
    <s v="_x0000_peopl"/>
  </r>
  <r>
    <x v="6"/>
    <n v="13.6904"/>
    <n v="-89.235799999999998"/>
    <n v="3"/>
    <n v="0"/>
    <n v="0"/>
    <n v="107"/>
    <s v="_x0000_peopl"/>
  </r>
  <r>
    <x v="6"/>
    <n v="13.6873"/>
    <n v="-89.194500000000005"/>
    <n v="5"/>
    <n v="0"/>
    <n v="0"/>
    <n v="107"/>
    <s v="_x0000_peopl"/>
  </r>
  <r>
    <x v="6"/>
    <n v="13.692600000000001"/>
    <n v="-89.178600000000003"/>
    <n v="7"/>
    <n v="0"/>
    <n v="0"/>
    <n v="107"/>
    <s v="_x0000_peopl"/>
  </r>
  <r>
    <x v="6"/>
    <n v="13.6911"/>
    <n v="-89.218699999999998"/>
    <n v="4"/>
    <n v="0"/>
    <n v="0"/>
    <n v="107"/>
    <s v="_x0000_peopl"/>
  </r>
  <r>
    <x v="6"/>
    <n v="13.687799999999999"/>
    <n v="-89.1798"/>
    <n v="3"/>
    <n v="0"/>
    <n v="0"/>
    <n v="107"/>
    <s v="_x0000_peopl"/>
  </r>
  <r>
    <x v="6"/>
    <n v="13.692500000000001"/>
    <n v="-89.225300000000004"/>
    <n v="3"/>
    <n v="0"/>
    <n v="0"/>
    <n v="107"/>
    <s v="_x0000_peopl"/>
  </r>
  <r>
    <x v="6"/>
    <n v="13.6934"/>
    <n v="-89.188800000000001"/>
    <n v="6"/>
    <n v="0"/>
    <n v="0"/>
    <n v="107"/>
    <s v="_x0000_peopl"/>
  </r>
  <r>
    <x v="6"/>
    <n v="13.691800000000001"/>
    <n v="-89.185400000000001"/>
    <n v="7"/>
    <n v="0"/>
    <n v="0"/>
    <n v="107"/>
    <s v="_x0000_peopl"/>
  </r>
  <r>
    <x v="6"/>
    <n v="13.6876"/>
    <n v="-89.196600000000004"/>
    <n v="5"/>
    <n v="0"/>
    <n v="0"/>
    <n v="107"/>
    <s v="_x0000_peopl"/>
  </r>
  <r>
    <x v="6"/>
    <n v="13.692600000000001"/>
    <n v="-89.225999999999999"/>
    <n v="4"/>
    <n v="0"/>
    <n v="0"/>
    <n v="107"/>
    <s v="_x0000_peopl"/>
  </r>
  <r>
    <x v="6"/>
    <n v="13.696099999999999"/>
    <n v="-89.1721"/>
    <n v="3"/>
    <n v="0"/>
    <n v="0"/>
    <n v="107"/>
    <s v="_x0000_peopl"/>
  </r>
  <r>
    <x v="6"/>
    <n v="13.6744"/>
    <n v="-89.252099999999999"/>
    <n v="6"/>
    <n v="0"/>
    <n v="0"/>
    <n v="107"/>
    <s v="_x0000_peopl"/>
  </r>
  <r>
    <x v="6"/>
    <n v="13.679500000000001"/>
    <n v="-89.194100000000006"/>
    <n v="5"/>
    <n v="0"/>
    <n v="0"/>
    <n v="107"/>
    <s v="_x0000_peopl"/>
  </r>
  <r>
    <x v="6"/>
    <n v="13.688000000000001"/>
    <n v="-89.181200000000004"/>
    <n v="8"/>
    <n v="0"/>
    <n v="0"/>
    <n v="107"/>
    <s v="_x0000_peopl"/>
  </r>
  <r>
    <x v="6"/>
    <n v="13.6899"/>
    <n v="-89.1798"/>
    <n v="7"/>
    <n v="0"/>
    <n v="0"/>
    <n v="107"/>
    <s v="_x0000_peopl"/>
  </r>
  <r>
    <x v="6"/>
    <n v="13.6892"/>
    <n v="-89.180999999999997"/>
    <n v="1"/>
    <n v="0"/>
    <n v="0"/>
    <n v="107"/>
    <s v="_x0000_peopl"/>
  </r>
  <r>
    <x v="6"/>
    <n v="13.684900000000001"/>
    <n v="-89.201599999999999"/>
    <n v="4"/>
    <n v="0"/>
    <n v="0"/>
    <n v="107"/>
    <s v="_x0000_peopl"/>
  </r>
  <r>
    <x v="6"/>
    <n v="13.6852"/>
    <n v="-89.201700000000002"/>
    <n v="5"/>
    <n v="0"/>
    <n v="0"/>
    <n v="107"/>
    <s v="_x0000_peopl"/>
  </r>
  <r>
    <x v="6"/>
    <n v="13.6942"/>
    <n v="-89.173599999999993"/>
    <n v="6"/>
    <n v="0"/>
    <n v="0"/>
    <n v="107"/>
    <s v="_x0000_peopl"/>
  </r>
  <r>
    <x v="6"/>
    <n v="13.69"/>
    <n v="-89.2286"/>
    <n v="4"/>
    <n v="0"/>
    <n v="0"/>
    <n v="107"/>
    <s v="_x0000_peopl"/>
  </r>
  <r>
    <x v="6"/>
    <n v="13.6876"/>
    <n v="-89.195300000000003"/>
    <n v="7"/>
    <n v="0"/>
    <n v="0"/>
    <n v="107"/>
    <s v="_x0000_peopl"/>
  </r>
  <r>
    <x v="6"/>
    <n v="13.6876"/>
    <n v="-89.183599999999998"/>
    <n v="5"/>
    <n v="0"/>
    <n v="0"/>
    <n v="107"/>
    <s v="_x0000_peopl"/>
  </r>
  <r>
    <x v="6"/>
    <n v="13.6952"/>
    <n v="-89.173400000000001"/>
    <n v="4"/>
    <n v="0"/>
    <n v="0"/>
    <n v="107"/>
    <s v="_x0000_peopl"/>
  </r>
  <r>
    <x v="6"/>
    <n v="13.689299999999999"/>
    <n v="-89.228899999999996"/>
    <n v="3"/>
    <n v="0"/>
    <n v="0"/>
    <n v="107"/>
    <s v="_x0000_peopl"/>
  </r>
  <r>
    <x v="6"/>
    <n v="13.6914"/>
    <n v="-89.178799999999995"/>
    <n v="4"/>
    <n v="0"/>
    <n v="0"/>
    <n v="107"/>
    <s v="_x0000_peopl"/>
  </r>
  <r>
    <x v="6"/>
    <n v="13.6913"/>
    <n v="-89.188100000000006"/>
    <n v="4"/>
    <n v="0"/>
    <n v="0"/>
    <n v="107"/>
    <s v="_x0000_peopl"/>
  </r>
  <r>
    <x v="6"/>
    <n v="13.686500000000001"/>
    <n v="-89.213499999999996"/>
    <n v="1"/>
    <n v="0"/>
    <n v="0"/>
    <n v="107"/>
    <s v="_x0000_peopl"/>
  </r>
  <r>
    <x v="6"/>
    <n v="13.6907"/>
    <n v="-89.231999999999999"/>
    <n v="2"/>
    <n v="0"/>
    <n v="0"/>
    <n v="107"/>
    <s v="_x0000_peopl"/>
  </r>
  <r>
    <x v="6"/>
    <n v="13.691800000000001"/>
    <n v="-89.226900000000001"/>
    <n v="5"/>
    <n v="0"/>
    <n v="0"/>
    <n v="107"/>
    <s v="_x0000_peopl"/>
  </r>
  <r>
    <x v="6"/>
    <n v="13.6873"/>
    <n v="-89.194599999999994"/>
    <n v="7"/>
    <n v="0"/>
    <n v="0"/>
    <n v="107"/>
    <s v="_x0000_peopl"/>
  </r>
  <r>
    <x v="6"/>
    <n v="13.6921"/>
    <n v="-89.193600000000004"/>
    <n v="5"/>
    <n v="0"/>
    <n v="0"/>
    <n v="107"/>
    <s v="_x0000_peopl"/>
  </r>
  <r>
    <x v="6"/>
    <n v="13.686199999999999"/>
    <n v="-89.204300000000003"/>
    <n v="3"/>
    <n v="0"/>
    <n v="0"/>
    <n v="107"/>
    <s v="_x0000_peopl"/>
  </r>
  <r>
    <x v="6"/>
    <n v="13.691599999999999"/>
    <n v="-89.233599999999996"/>
    <n v="5"/>
    <n v="0"/>
    <n v="0"/>
    <n v="107"/>
    <s v="_x0000_peopl"/>
  </r>
  <r>
    <x v="6"/>
    <n v="13.6927"/>
    <n v="-89.225999999999999"/>
    <n v="2"/>
    <n v="0"/>
    <n v="0"/>
    <n v="107"/>
    <s v="_x0000_peopl"/>
  </r>
  <r>
    <x v="6"/>
    <n v="13.692299999999999"/>
    <n v="-89.189899999999994"/>
    <n v="1"/>
    <n v="0"/>
    <n v="0"/>
    <n v="107"/>
    <s v="_x0000_peopl"/>
  </r>
  <r>
    <x v="6"/>
    <n v="13.694599999999999"/>
    <n v="-89.1751"/>
    <n v="5"/>
    <n v="0"/>
    <n v="0"/>
    <n v="107"/>
    <s v="_x0000_peopl"/>
  </r>
  <r>
    <x v="6"/>
    <n v="13.692500000000001"/>
    <n v="-89.176500000000004"/>
    <n v="3"/>
    <n v="0"/>
    <n v="0"/>
    <n v="107"/>
    <s v="_x0000_peopl"/>
  </r>
  <r>
    <x v="6"/>
    <n v="13.691000000000001"/>
    <n v="-89.188699999999997"/>
    <n v="1"/>
    <n v="0"/>
    <n v="0"/>
    <n v="107"/>
    <s v="_x0000_peopl"/>
  </r>
  <r>
    <x v="6"/>
    <n v="13.679500000000001"/>
    <n v="-89.196600000000004"/>
    <n v="1"/>
    <n v="0"/>
    <n v="0"/>
    <n v="107"/>
    <s v="_x0000_peopl"/>
  </r>
  <r>
    <x v="6"/>
    <n v="13.6876"/>
    <n v="-89.179699999999997"/>
    <n v="4"/>
    <n v="0"/>
    <n v="0"/>
    <n v="107"/>
    <s v="_x0000_peopl"/>
  </r>
  <r>
    <x v="6"/>
    <n v="13.691599999999999"/>
    <n v="-89.232500000000002"/>
    <n v="4"/>
    <n v="0"/>
    <n v="0"/>
    <n v="107"/>
    <s v="_x0000_peopl"/>
  </r>
  <r>
    <x v="6"/>
    <n v="13.690300000000001"/>
    <n v="-89.236099999999993"/>
    <n v="5"/>
    <n v="0"/>
    <n v="0"/>
    <n v="107"/>
    <s v="_x0000_peopl"/>
  </r>
  <r>
    <x v="6"/>
    <n v="13.6881"/>
    <n v="-89.183000000000007"/>
    <n v="3"/>
    <n v="0"/>
    <n v="0"/>
    <n v="107"/>
    <s v="_x0000_peopl"/>
  </r>
  <r>
    <x v="6"/>
    <n v="13.6936"/>
    <n v="-89.173500000000004"/>
    <n v="3"/>
    <n v="0"/>
    <n v="0"/>
    <n v="107"/>
    <s v="_x0000_peopl"/>
  </r>
  <r>
    <x v="6"/>
    <n v="13.6936"/>
    <n v="-89.188800000000001"/>
    <n v="7"/>
    <n v="0"/>
    <n v="0"/>
    <n v="107"/>
    <s v="_x0000_peopl"/>
  </r>
  <r>
    <x v="6"/>
    <n v="13.6907"/>
    <n v="-89.189700000000002"/>
    <n v="11"/>
    <n v="0"/>
    <n v="0"/>
    <n v="107"/>
    <s v="_x0000_peopl"/>
  </r>
  <r>
    <x v="6"/>
    <n v="13.6921"/>
    <n v="-89.227400000000003"/>
    <n v="6"/>
    <n v="0"/>
    <n v="0"/>
    <n v="107"/>
    <s v="_x0000_peopl"/>
  </r>
  <r>
    <x v="6"/>
    <n v="13.6905"/>
    <n v="-89.186300000000003"/>
    <n v="4"/>
    <n v="0"/>
    <n v="0"/>
    <n v="107"/>
    <s v="_x0000_peopl"/>
  </r>
  <r>
    <x v="6"/>
    <n v="13.6911"/>
    <n v="-89.22"/>
    <n v="8"/>
    <n v="0"/>
    <n v="0"/>
    <n v="107"/>
    <s v="_x0000_peopl"/>
  </r>
  <r>
    <x v="6"/>
    <n v="13.6934"/>
    <n v="-89.173699999999997"/>
    <n v="3"/>
    <n v="0"/>
    <n v="0"/>
    <n v="107"/>
    <s v="_x0000_peopl"/>
  </r>
  <r>
    <x v="6"/>
    <n v="13.684799999999999"/>
    <n v="-89.216300000000004"/>
    <n v="4"/>
    <n v="0"/>
    <n v="0"/>
    <n v="107"/>
    <s v="_x0000_peopl"/>
  </r>
  <r>
    <x v="6"/>
    <n v="13.6882"/>
    <n v="-89.212000000000003"/>
    <n v="5"/>
    <n v="0"/>
    <n v="0"/>
    <n v="107"/>
    <s v="_x0000_peopl"/>
  </r>
  <r>
    <x v="6"/>
    <n v="13.6746"/>
    <n v="-89.199399999999997"/>
    <n v="2"/>
    <n v="0"/>
    <n v="0"/>
    <n v="107"/>
    <s v="_x0000_peopl"/>
  </r>
  <r>
    <x v="6"/>
    <n v="13.6915"/>
    <n v="-89.232900000000001"/>
    <n v="5"/>
    <n v="0"/>
    <n v="0"/>
    <n v="107"/>
    <s v="_x0000_peopl"/>
  </r>
  <r>
    <x v="6"/>
    <n v="13.687200000000001"/>
    <n v="-89.197699999999998"/>
    <n v="5"/>
    <n v="0"/>
    <n v="0"/>
    <n v="107"/>
    <s v="_x0000_peopl"/>
  </r>
  <r>
    <x v="6"/>
    <n v="13.685600000000001"/>
    <n v="-89.214799999999997"/>
    <n v="6"/>
    <n v="0"/>
    <n v="0"/>
    <n v="107"/>
    <s v="_x0000_peopl"/>
  </r>
  <r>
    <x v="6"/>
    <n v="13.6912"/>
    <n v="-89.219899999999996"/>
    <n v="9"/>
    <n v="0"/>
    <n v="0"/>
    <n v="107"/>
    <s v="_x0000_peopl"/>
  </r>
  <r>
    <x v="6"/>
    <n v="13.692500000000001"/>
    <n v="-89.223699999999994"/>
    <n v="2"/>
    <n v="0"/>
    <n v="0"/>
    <n v="107"/>
    <s v="_x0000_peopl"/>
  </r>
  <r>
    <x v="6"/>
    <n v="13.6798"/>
    <n v="-89.194999999999993"/>
    <n v="4"/>
    <n v="0"/>
    <n v="0"/>
    <n v="107"/>
    <s v="_x0000_peopl"/>
  </r>
  <r>
    <x v="6"/>
    <n v="13.675599999999999"/>
    <n v="-89.247600000000006"/>
    <n v="0"/>
    <n v="0"/>
    <n v="0"/>
    <n v="107"/>
    <s v="_x0000_peopl"/>
  </r>
  <r>
    <x v="6"/>
    <n v="13.679600000000001"/>
    <n v="-89.197299999999998"/>
    <n v="8"/>
    <n v="0"/>
    <n v="0"/>
    <n v="107"/>
    <s v="_x0000_peopl"/>
  </r>
  <r>
    <x v="6"/>
    <n v="13.686299999999999"/>
    <n v="-89.203800000000001"/>
    <n v="5"/>
    <n v="0"/>
    <n v="0"/>
    <n v="107"/>
    <s v="_x0000_peopl"/>
  </r>
  <r>
    <x v="6"/>
    <n v="13.691800000000001"/>
    <n v="-89.178299999999993"/>
    <n v="7"/>
    <n v="0"/>
    <n v="0"/>
    <n v="107"/>
    <s v="_x0000_peopl"/>
  </r>
  <r>
    <x v="6"/>
    <n v="13.6899"/>
    <n v="-89.197599999999994"/>
    <n v="8"/>
    <n v="0"/>
    <n v="0"/>
    <n v="107"/>
    <s v="_x0000_peopl"/>
  </r>
  <r>
    <x v="6"/>
    <n v="13.6927"/>
    <n v="-89.179000000000002"/>
    <n v="7"/>
    <n v="0"/>
    <n v="0"/>
    <n v="107"/>
    <s v="_x0000_peopl"/>
  </r>
  <r>
    <x v="6"/>
    <n v="13.6868"/>
    <n v="-89.194500000000005"/>
    <n v="10"/>
    <n v="0"/>
    <n v="0"/>
    <n v="107"/>
    <s v="_x0000_peopl"/>
  </r>
  <r>
    <x v="6"/>
    <n v="13.6934"/>
    <n v="-89.178399999999996"/>
    <n v="6"/>
    <n v="0"/>
    <n v="0"/>
    <n v="107"/>
    <s v="_x0000_peopl"/>
  </r>
  <r>
    <x v="6"/>
    <n v="13.696099999999999"/>
    <n v="-89.172600000000003"/>
    <n v="3"/>
    <n v="0"/>
    <n v="0"/>
    <n v="107"/>
    <s v="_x0000_peopl"/>
  </r>
  <r>
    <x v="6"/>
    <n v="13.6874"/>
    <n v="-89.216499999999996"/>
    <n v="7"/>
    <n v="0"/>
    <n v="0"/>
    <n v="107"/>
    <s v="_x0000_peopl"/>
  </r>
  <r>
    <x v="6"/>
    <n v="13.677"/>
    <n v="-89.248000000000005"/>
    <n v="3"/>
    <n v="0"/>
    <n v="0"/>
    <n v="107"/>
    <s v="_x0000_peopl"/>
  </r>
  <r>
    <x v="6"/>
    <n v="13.6846"/>
    <n v="-89.211799999999997"/>
    <n v="3"/>
    <n v="0"/>
    <n v="0"/>
    <n v="107"/>
    <s v="_x0000_peopl"/>
  </r>
  <r>
    <x v="6"/>
    <n v="13.6913"/>
    <n v="-89.189599999999999"/>
    <n v="4"/>
    <n v="0"/>
    <n v="0"/>
    <n v="107"/>
    <s v="_x0000_peopl"/>
  </r>
  <r>
    <x v="6"/>
    <n v="13.690799999999999"/>
    <n v="-89.233699999999999"/>
    <n v="8"/>
    <n v="0"/>
    <n v="0"/>
    <n v="107"/>
    <s v="_x0000_peopl"/>
  </r>
  <r>
    <x v="6"/>
    <n v="13.6851"/>
    <n v="-89.203199999999995"/>
    <n v="8"/>
    <n v="0"/>
    <n v="0"/>
    <n v="107"/>
    <s v="_x0000_peopl"/>
  </r>
  <r>
    <x v="6"/>
    <n v="13.6929"/>
    <n v="-89.173900000000003"/>
    <n v="3"/>
    <n v="0"/>
    <n v="0"/>
    <n v="107"/>
    <s v="_x0000_peopl"/>
  </r>
  <r>
    <x v="6"/>
    <n v="13.6911"/>
    <n v="-89.219700000000003"/>
    <n v="2"/>
    <n v="0"/>
    <n v="0"/>
    <n v="107"/>
    <s v="_x0000_peopl"/>
  </r>
  <r>
    <x v="6"/>
    <n v="13.690899999999999"/>
    <n v="-89.233400000000003"/>
    <n v="8"/>
    <n v="0"/>
    <n v="0"/>
    <n v="107"/>
    <s v="_x0000_peopl"/>
  </r>
  <r>
    <x v="6"/>
    <n v="13.691800000000001"/>
    <n v="-89.227099999999993"/>
    <n v="4"/>
    <n v="0"/>
    <n v="0"/>
    <n v="107"/>
    <s v="_x0000_peopl"/>
  </r>
  <r>
    <x v="6"/>
    <n v="13.694599999999999"/>
    <n v="-89.183199999999999"/>
    <n v="4"/>
    <n v="0"/>
    <n v="0"/>
    <n v="107"/>
    <s v="_x0000_peopl"/>
  </r>
  <r>
    <x v="6"/>
    <n v="13.6919"/>
    <n v="-89.226399999999998"/>
    <n v="3"/>
    <n v="0"/>
    <n v="0"/>
    <n v="107"/>
    <s v="_x0000_peopl"/>
  </r>
  <r>
    <x v="6"/>
    <n v="13.691800000000001"/>
    <n v="-89.194800000000001"/>
    <n v="7"/>
    <n v="0"/>
    <n v="0"/>
    <n v="107"/>
    <s v="_x0000_peopl"/>
  </r>
  <r>
    <x v="6"/>
    <n v="13.6922"/>
    <n v="-89.223200000000006"/>
    <n v="3"/>
    <n v="0"/>
    <n v="0"/>
    <n v="107"/>
    <s v="_x0000_peopl"/>
  </r>
  <r>
    <x v="6"/>
    <n v="13.6911"/>
    <n v="-89.232900000000001"/>
    <n v="9"/>
    <n v="0"/>
    <n v="0"/>
    <n v="107"/>
    <s v="_x0000_peopl"/>
  </r>
  <r>
    <x v="6"/>
    <n v="13.6859"/>
    <n v="-89.215699999999998"/>
    <n v="5"/>
    <n v="0"/>
    <n v="0"/>
    <n v="107"/>
    <s v="_x0000_peopl"/>
  </r>
  <r>
    <x v="6"/>
    <n v="13.691599999999999"/>
    <n v="-89.226500000000001"/>
    <n v="1"/>
    <n v="0"/>
    <n v="0"/>
    <n v="107"/>
    <s v="_x0000_peopl"/>
  </r>
  <r>
    <x v="6"/>
    <n v="13.6915"/>
    <n v="-89.234999999999999"/>
    <n v="9"/>
    <n v="0"/>
    <n v="0"/>
    <n v="107"/>
    <s v="_x0000_peopl"/>
  </r>
  <r>
    <x v="6"/>
    <n v="13.680099999999999"/>
    <n v="-89.196399999999997"/>
    <n v="4"/>
    <n v="0"/>
    <n v="0"/>
    <n v="107"/>
    <s v="_x0000_peopl"/>
  </r>
  <r>
    <x v="6"/>
    <n v="13.673999999999999"/>
    <n v="-89.202299999999994"/>
    <n v="6"/>
    <n v="0"/>
    <n v="0"/>
    <n v="107"/>
    <s v="_x0000_peopl"/>
  </r>
  <r>
    <x v="6"/>
    <n v="13.6919"/>
    <n v="-89.225499999999997"/>
    <n v="7"/>
    <n v="0"/>
    <n v="0"/>
    <n v="107"/>
    <s v="_x0000_peopl"/>
  </r>
  <r>
    <x v="6"/>
    <n v="13.6928"/>
    <n v="-89.225700000000003"/>
    <n v="5"/>
    <n v="0"/>
    <n v="0"/>
    <n v="107"/>
    <s v="_x0000_peopl"/>
  </r>
  <r>
    <x v="6"/>
    <n v="13.687099999999999"/>
    <n v="-89.197299999999998"/>
    <n v="1"/>
    <n v="0"/>
    <n v="0"/>
    <n v="107"/>
    <s v="_x0000_peopl"/>
  </r>
  <r>
    <x v="6"/>
    <n v="13.6869"/>
    <n v="-89.194699999999997"/>
    <n v="6"/>
    <n v="0"/>
    <n v="0"/>
    <n v="107"/>
    <s v="_x0000_peopl"/>
  </r>
  <r>
    <x v="6"/>
    <n v="13.687200000000001"/>
    <n v="-89.194599999999994"/>
    <n v="11"/>
    <n v="0"/>
    <n v="0"/>
    <n v="107"/>
    <s v="_x0000_peopl"/>
  </r>
  <r>
    <x v="6"/>
    <n v="13.6914"/>
    <n v="-89.186800000000005"/>
    <n v="6"/>
    <n v="0"/>
    <n v="0"/>
    <n v="107"/>
    <s v="_x0000_peopl"/>
  </r>
  <r>
    <x v="6"/>
    <n v="13.688800000000001"/>
    <n v="-89.190299999999993"/>
    <n v="4"/>
    <n v="0"/>
    <n v="0"/>
    <n v="107"/>
    <s v="_x0000_peopl"/>
  </r>
  <r>
    <x v="6"/>
    <n v="13.6876"/>
    <n v="-89.194299999999998"/>
    <n v="8"/>
    <n v="0"/>
    <n v="0"/>
    <n v="107"/>
    <s v="_x0000_peopl"/>
  </r>
  <r>
    <x v="6"/>
    <n v="13.6927"/>
    <n v="-89.225300000000004"/>
    <n v="3"/>
    <n v="0"/>
    <n v="0"/>
    <n v="107"/>
    <s v="_x0000_peopl"/>
  </r>
  <r>
    <x v="6"/>
    <n v="13.6898"/>
    <n v="-89.184700000000007"/>
    <n v="9"/>
    <n v="0"/>
    <n v="0"/>
    <n v="107"/>
    <s v="_x0000_peopl"/>
  </r>
  <r>
    <x v="6"/>
    <n v="13.6944"/>
    <n v="-89.174499999999995"/>
    <n v="3"/>
    <n v="0"/>
    <n v="0"/>
    <n v="107"/>
    <s v="_x0000_peopl"/>
  </r>
  <r>
    <x v="6"/>
    <n v="13.684799999999999"/>
    <n v="-89.215199999999996"/>
    <n v="6"/>
    <n v="0"/>
    <n v="0"/>
    <n v="107"/>
    <s v="_x0000_peopl"/>
  </r>
  <r>
    <x v="6"/>
    <n v="13.6843"/>
    <n v="-89.216800000000006"/>
    <n v="5"/>
    <n v="0"/>
    <n v="0"/>
    <n v="107"/>
    <s v="_x0000_peopl"/>
  </r>
  <r>
    <x v="6"/>
    <n v="13.687900000000001"/>
    <n v="-89.197100000000006"/>
    <n v="4"/>
    <n v="0"/>
    <n v="0"/>
    <n v="107"/>
    <s v="_x0000_peopl"/>
  </r>
  <r>
    <x v="6"/>
    <n v="13.6912"/>
    <n v="-89.183000000000007"/>
    <n v="3"/>
    <n v="0"/>
    <n v="0"/>
    <n v="107"/>
    <s v="_x0000_peopl"/>
  </r>
  <r>
    <x v="6"/>
    <n v="13.6873"/>
    <n v="-89.1965"/>
    <n v="3"/>
    <n v="0"/>
    <n v="0"/>
    <n v="107"/>
    <s v="_x0000_peopl"/>
  </r>
  <r>
    <x v="6"/>
    <n v="13.687200000000001"/>
    <n v="-89.194800000000001"/>
    <n v="2"/>
    <n v="0"/>
    <n v="0"/>
    <n v="107"/>
    <s v="_x0000_peopl"/>
  </r>
  <r>
    <x v="6"/>
    <n v="13.6867"/>
    <n v="-89.191400000000002"/>
    <n v="1"/>
    <n v="0"/>
    <n v="0"/>
    <n v="107"/>
    <s v="_x0000_peopl"/>
  </r>
  <r>
    <x v="6"/>
    <n v="13.6921"/>
    <n v="-89.177599999999998"/>
    <n v="3"/>
    <n v="0"/>
    <n v="0"/>
    <n v="107"/>
    <s v="_x0000_peopl"/>
  </r>
  <r>
    <x v="6"/>
    <n v="13.689399999999999"/>
    <n v="-89.208100000000002"/>
    <n v="0"/>
    <n v="0"/>
    <n v="0"/>
    <n v="107"/>
    <s v="_x0000_peopl"/>
  </r>
  <r>
    <x v="6"/>
    <n v="13.6911"/>
    <n v="-89.190100000000001"/>
    <n v="5"/>
    <n v="0"/>
    <n v="0"/>
    <n v="107"/>
    <s v="_x0000_peopl"/>
  </r>
  <r>
    <x v="6"/>
    <n v="13.680999999999999"/>
    <n v="-89.195700000000002"/>
    <n v="8"/>
    <n v="0"/>
    <n v="0"/>
    <n v="107"/>
    <s v="_x0000_peopl"/>
  </r>
  <r>
    <x v="6"/>
    <n v="13.6905"/>
    <n v="-89.235200000000006"/>
    <n v="3"/>
    <n v="0"/>
    <n v="0"/>
    <n v="107"/>
    <s v="_x0000_peopl"/>
  </r>
  <r>
    <x v="6"/>
    <n v="13.6852"/>
    <n v="-89.193899999999999"/>
    <n v="6"/>
    <n v="0"/>
    <n v="0"/>
    <n v="107"/>
    <s v="_x0000_peopl"/>
  </r>
  <r>
    <x v="6"/>
    <n v="13.6914"/>
    <n v="-89.220100000000002"/>
    <n v="6"/>
    <n v="0"/>
    <n v="0"/>
    <n v="107"/>
    <s v="_x0000_peopl"/>
  </r>
  <r>
    <x v="6"/>
    <n v="13.6889"/>
    <n v="-89.215100000000007"/>
    <n v="6"/>
    <n v="0"/>
    <n v="0"/>
    <n v="107"/>
    <s v="_x0000_peopl"/>
  </r>
  <r>
    <x v="6"/>
    <n v="13.6785"/>
    <n v="-89.196399999999997"/>
    <n v="6"/>
    <n v="0"/>
    <n v="0"/>
    <n v="107"/>
    <s v="_x0000_peopl"/>
  </r>
  <r>
    <x v="6"/>
    <n v="13.6892"/>
    <n v="-89.236199999999997"/>
    <n v="3"/>
    <n v="0"/>
    <n v="0"/>
    <n v="107"/>
    <s v="_x0000_peopl"/>
  </r>
  <r>
    <x v="6"/>
    <n v="13.6921"/>
    <n v="-89.178399999999996"/>
    <n v="4"/>
    <n v="0"/>
    <n v="0"/>
    <n v="107"/>
    <s v="_x0000_peopl"/>
  </r>
  <r>
    <x v="6"/>
    <n v="13.678100000000001"/>
    <n v="-89.1965"/>
    <n v="9"/>
    <n v="0"/>
    <n v="0"/>
    <n v="107"/>
    <s v="_x0000_peopl"/>
  </r>
  <r>
    <x v="6"/>
    <n v="13.6919"/>
    <n v="-89.225300000000004"/>
    <n v="6"/>
    <n v="0"/>
    <n v="0"/>
    <n v="107"/>
    <s v="_x0000_peopl"/>
  </r>
  <r>
    <x v="6"/>
    <n v="13.6899"/>
    <n v="-89.184100000000001"/>
    <n v="2"/>
    <n v="0"/>
    <n v="0"/>
    <n v="107"/>
    <s v="_x0000_peopl"/>
  </r>
  <r>
    <x v="6"/>
    <n v="13.6904"/>
    <n v="-89.1815"/>
    <n v="6"/>
    <n v="0"/>
    <n v="0"/>
    <n v="107"/>
    <s v="_x0000_peopl"/>
  </r>
  <r>
    <x v="6"/>
    <n v="13.696400000000001"/>
    <n v="-89.171499999999995"/>
    <n v="7"/>
    <n v="0"/>
    <n v="0"/>
    <n v="107"/>
    <s v="_x0000_peopl"/>
  </r>
  <r>
    <x v="6"/>
    <n v="13.6943"/>
    <n v="-89.183099999999996"/>
    <n v="9"/>
    <n v="0"/>
    <n v="0"/>
    <n v="107"/>
    <s v="_x0000_peopl"/>
  </r>
  <r>
    <x v="6"/>
    <n v="13.6904"/>
    <n v="-89.177400000000006"/>
    <n v="9"/>
    <n v="0"/>
    <n v="0"/>
    <n v="107"/>
    <s v="_x0000_peopl"/>
  </r>
  <r>
    <x v="6"/>
    <n v="13.6944"/>
    <n v="-89.185500000000005"/>
    <n v="1"/>
    <n v="0"/>
    <n v="0"/>
    <n v="107"/>
    <s v="_x0000_peopl"/>
  </r>
  <r>
    <x v="6"/>
    <n v="13.69"/>
    <n v="-89.179299999999998"/>
    <n v="10"/>
    <n v="0"/>
    <n v="0"/>
    <n v="107"/>
    <s v="_x0000_peopl"/>
  </r>
  <r>
    <x v="6"/>
    <n v="13.6935"/>
    <n v="-89.188800000000001"/>
    <n v="0"/>
    <n v="0"/>
    <n v="0"/>
    <n v="107"/>
    <s v="_x0000_peopl"/>
  </r>
  <r>
    <x v="6"/>
    <n v="13.6907"/>
    <n v="-89.233800000000002"/>
    <n v="6"/>
    <n v="0"/>
    <n v="0"/>
    <n v="107"/>
    <s v="_x0000_peopl"/>
  </r>
  <r>
    <x v="6"/>
    <n v="13.6899"/>
    <n v="-89.197800000000001"/>
    <n v="6"/>
    <n v="0"/>
    <n v="0"/>
    <n v="107"/>
    <s v="_x0000_peopl"/>
  </r>
  <r>
    <x v="6"/>
    <n v="13.6896"/>
    <n v="-89.216499999999996"/>
    <n v="4"/>
    <n v="0"/>
    <n v="0"/>
    <n v="107"/>
    <s v="_x0000_peopl"/>
  </r>
  <r>
    <x v="6"/>
    <n v="13.690099999999999"/>
    <n v="-89.183499999999995"/>
    <n v="5"/>
    <n v="0"/>
    <n v="0"/>
    <n v="107"/>
    <s v="_x0000_peopl"/>
  </r>
  <r>
    <x v="6"/>
    <n v="13.6845"/>
    <n v="-89.217200000000005"/>
    <n v="4"/>
    <n v="0"/>
    <n v="0"/>
    <n v="107"/>
    <s v="_x0000_peopl"/>
  </r>
  <r>
    <x v="6"/>
    <n v="13.692"/>
    <n v="-89.194299999999998"/>
    <n v="4"/>
    <n v="0"/>
    <n v="0"/>
    <n v="107"/>
    <s v="_x0000_peopl"/>
  </r>
  <r>
    <x v="6"/>
    <n v="13.6919"/>
    <n v="-89.221400000000003"/>
    <n v="6"/>
    <n v="0"/>
    <n v="0"/>
    <n v="107"/>
    <s v="_x0000_peopl"/>
  </r>
  <r>
    <x v="6"/>
    <n v="13.690200000000001"/>
    <n v="-89.235399999999998"/>
    <n v="1"/>
    <n v="0"/>
    <n v="0"/>
    <n v="107"/>
    <s v="_x0000_peopl"/>
  </r>
  <r>
    <x v="6"/>
    <n v="13.690200000000001"/>
    <n v="-89.193799999999996"/>
    <n v="5"/>
    <n v="0"/>
    <n v="0"/>
    <n v="107"/>
    <s v="_x0000_peopl"/>
  </r>
  <r>
    <x v="6"/>
    <n v="13.6906"/>
    <n v="-89.194100000000006"/>
    <n v="4"/>
    <n v="0"/>
    <n v="0"/>
    <n v="107"/>
    <s v="_x0000_peopl"/>
  </r>
  <r>
    <x v="6"/>
    <n v="13.6853"/>
    <n v="-89.216200000000001"/>
    <n v="5"/>
    <n v="0"/>
    <n v="0"/>
    <n v="107"/>
    <s v="_x0000_peopl"/>
  </r>
  <r>
    <x v="6"/>
    <n v="13.6739"/>
    <n v="-89.202699999999993"/>
    <n v="5"/>
    <n v="0"/>
    <n v="0"/>
    <n v="107"/>
    <s v="_x0000_peopl"/>
  </r>
  <r>
    <x v="6"/>
    <n v="13.6882"/>
    <n v="-89.180499999999995"/>
    <n v="4"/>
    <n v="0"/>
    <n v="0"/>
    <n v="107"/>
    <s v="_x0000_peopl"/>
  </r>
  <r>
    <x v="6"/>
    <n v="13.6874"/>
    <n v="-89.181200000000004"/>
    <n v="4"/>
    <n v="0"/>
    <n v="0"/>
    <n v="107"/>
    <s v="_x0000_peopl"/>
  </r>
  <r>
    <x v="6"/>
    <n v="13.6912"/>
    <n v="-89.179500000000004"/>
    <n v="3"/>
    <n v="0"/>
    <n v="0"/>
    <n v="107"/>
    <s v="_x0000_peopl"/>
  </r>
  <r>
    <x v="6"/>
    <n v="13.6929"/>
    <n v="-89.184799999999996"/>
    <n v="5"/>
    <n v="0"/>
    <n v="0"/>
    <n v="107"/>
    <s v="_x0000_peopl"/>
  </r>
  <r>
    <x v="6"/>
    <n v="13.6905"/>
    <n v="-89.233699999999999"/>
    <n v="5"/>
    <n v="0"/>
    <n v="0"/>
    <n v="107"/>
    <s v="_x0000_peopl"/>
  </r>
  <r>
    <x v="6"/>
    <n v="13.6943"/>
    <n v="-89.183099999999996"/>
    <n v="3"/>
    <n v="0"/>
    <n v="0"/>
    <n v="107"/>
    <s v="_x0000_peopl"/>
  </r>
  <r>
    <x v="6"/>
    <n v="13.6906"/>
    <n v="-89.233999999999995"/>
    <n v="3"/>
    <n v="0"/>
    <n v="0"/>
    <n v="107"/>
    <s v="_x0000_peopl"/>
  </r>
  <r>
    <x v="6"/>
    <n v="13.690799999999999"/>
    <n v="-89.2316"/>
    <n v="4"/>
    <n v="0"/>
    <n v="0"/>
    <n v="107"/>
    <s v="_x0000_peopl"/>
  </r>
  <r>
    <x v="6"/>
    <n v="13.6914"/>
    <n v="-89.188199999999995"/>
    <n v="3"/>
    <n v="0"/>
    <n v="0"/>
    <n v="107"/>
    <s v="_x0000_peopl"/>
  </r>
  <r>
    <x v="6"/>
    <n v="13.6778"/>
    <n v="-89.246700000000004"/>
    <n v="8"/>
    <n v="0"/>
    <n v="0"/>
    <n v="107"/>
    <s v="_x0000_peopl"/>
  </r>
  <r>
    <x v="6"/>
    <n v="13.694100000000001"/>
    <n v="-89.173299999999998"/>
    <n v="2"/>
    <n v="0"/>
    <n v="0"/>
    <n v="107"/>
    <s v="_x0000_peopl"/>
  </r>
  <r>
    <x v="6"/>
    <n v="13.692500000000001"/>
    <n v="-89.190100000000001"/>
    <n v="2"/>
    <n v="0"/>
    <n v="0"/>
    <n v="107"/>
    <s v="_x0000_peopl"/>
  </r>
  <r>
    <x v="6"/>
    <n v="13.689399999999999"/>
    <n v="-89.184600000000003"/>
    <n v="5"/>
    <n v="0"/>
    <n v="0"/>
    <n v="107"/>
    <s v="_x0000_peopl"/>
  </r>
  <r>
    <x v="6"/>
    <n v="13.686"/>
    <n v="-89.215900000000005"/>
    <n v="4"/>
    <n v="0"/>
    <n v="0"/>
    <n v="107"/>
    <s v="_x0000_peopl"/>
  </r>
  <r>
    <x v="6"/>
    <n v="13.6883"/>
    <n v="-89.190600000000003"/>
    <n v="6"/>
    <n v="0"/>
    <n v="0"/>
    <n v="107"/>
    <s v="_x0000_peopl"/>
  </r>
  <r>
    <x v="6"/>
    <n v="13.6843"/>
    <n v="-89.211799999999997"/>
    <n v="11"/>
    <n v="0"/>
    <n v="0"/>
    <n v="107"/>
    <s v="_x0000_peopl"/>
  </r>
  <r>
    <x v="6"/>
    <n v="13.693"/>
    <n v="-89.185599999999994"/>
    <n v="9"/>
    <n v="0"/>
    <n v="0"/>
    <n v="107"/>
    <s v="_x0000_peopl"/>
  </r>
  <r>
    <x v="6"/>
    <n v="13.6851"/>
    <n v="-89.193799999999996"/>
    <n v="7"/>
    <n v="0"/>
    <n v="0"/>
    <n v="107"/>
    <s v="_x0000_peopl"/>
  </r>
  <r>
    <x v="6"/>
    <n v="13.6869"/>
    <n v="-89.192700000000002"/>
    <n v="6"/>
    <n v="0"/>
    <n v="0"/>
    <n v="107"/>
    <s v="_x0000_peopl"/>
  </r>
  <r>
    <x v="6"/>
    <n v="13.6867"/>
    <n v="-89.214699999999993"/>
    <n v="7"/>
    <n v="0"/>
    <n v="0"/>
    <n v="107"/>
    <s v="_x0000_peopl"/>
  </r>
  <r>
    <x v="6"/>
    <n v="13.6905"/>
    <n v="-89.217200000000005"/>
    <n v="9"/>
    <n v="0"/>
    <n v="0"/>
    <n v="107"/>
    <s v="_x0000_peopl"/>
  </r>
  <r>
    <x v="6"/>
    <n v="13.690799999999999"/>
    <n v="-89.227500000000006"/>
    <n v="5"/>
    <n v="0"/>
    <n v="0"/>
    <n v="107"/>
    <s v="_x0000_peopl"/>
  </r>
  <r>
    <x v="6"/>
    <n v="13.6873"/>
    <n v="-89.197100000000006"/>
    <n v="5"/>
    <n v="0"/>
    <n v="0"/>
    <n v="107"/>
    <s v="_x0000_peopl"/>
  </r>
  <r>
    <x v="6"/>
    <n v="13.692"/>
    <n v="-89.179299999999998"/>
    <n v="2"/>
    <n v="0"/>
    <n v="0"/>
    <n v="107"/>
    <s v="_x0000_peopl"/>
  </r>
  <r>
    <x v="6"/>
    <n v="13.6899"/>
    <n v="-89.189599999999999"/>
    <n v="4"/>
    <n v="0"/>
    <n v="0"/>
    <n v="107"/>
    <s v="_x0000_peopl"/>
  </r>
  <r>
    <x v="6"/>
    <n v="13.6904"/>
    <n v="-89.186300000000003"/>
    <n v="4"/>
    <n v="0"/>
    <n v="0"/>
    <n v="107"/>
    <s v="_x0000_peopl"/>
  </r>
  <r>
    <x v="6"/>
    <n v="13.6922"/>
    <n v="-89.226500000000001"/>
    <n v="8"/>
    <n v="0"/>
    <n v="0"/>
    <n v="107"/>
    <s v="_x0000_peopl"/>
  </r>
  <r>
    <x v="6"/>
    <n v="13.688000000000001"/>
    <n v="-89.216200000000001"/>
    <n v="3"/>
    <n v="0"/>
    <n v="0"/>
    <n v="107"/>
    <s v="_x0000_peopl"/>
  </r>
  <r>
    <x v="6"/>
    <n v="13.687200000000001"/>
    <n v="-89.215699999999998"/>
    <n v="4"/>
    <n v="0"/>
    <n v="0"/>
    <n v="107"/>
    <s v="_x0000_peopl"/>
  </r>
  <r>
    <x v="6"/>
    <n v="13.692"/>
    <n v="-89.221699999999998"/>
    <n v="7"/>
    <n v="0"/>
    <n v="0"/>
    <n v="107"/>
    <s v="_x0000_peopl"/>
  </r>
  <r>
    <x v="6"/>
    <n v="13.690899999999999"/>
    <n v="-89.233199999999997"/>
    <n v="9"/>
    <n v="0"/>
    <n v="0"/>
    <n v="107"/>
    <s v="_x0000_peopl"/>
  </r>
  <r>
    <x v="6"/>
    <n v="13.687799999999999"/>
    <n v="-89.216099999999997"/>
    <n v="3"/>
    <n v="0"/>
    <n v="0"/>
    <n v="107"/>
    <s v="_x0000_peopl"/>
  </r>
  <r>
    <x v="6"/>
    <n v="13.6915"/>
    <n v="-89.235200000000006"/>
    <n v="6"/>
    <n v="0"/>
    <n v="0"/>
    <n v="107"/>
    <s v="_x0000_peopl"/>
  </r>
  <r>
    <x v="6"/>
    <n v="13.672499999999999"/>
    <n v="-89.2042"/>
    <n v="7"/>
    <n v="0"/>
    <n v="0"/>
    <n v="107"/>
    <s v="_x0000_peopl"/>
  </r>
  <r>
    <x v="6"/>
    <n v="13.6889"/>
    <n v="-89.215400000000002"/>
    <n v="8"/>
    <n v="0"/>
    <n v="0"/>
    <n v="107"/>
    <s v="_x0000_peopl"/>
  </r>
  <r>
    <x v="6"/>
    <n v="13.674300000000001"/>
    <n v="-89.201999999999998"/>
    <n v="3"/>
    <n v="0"/>
    <n v="0"/>
    <n v="107"/>
    <s v="_x0000_peopl"/>
  </r>
  <r>
    <x v="6"/>
    <n v="13.691700000000001"/>
    <n v="-89.226699999999994"/>
    <n v="5"/>
    <n v="0"/>
    <n v="0"/>
    <n v="107"/>
    <s v="_x0000_peopl"/>
  </r>
  <r>
    <x v="6"/>
    <n v="13.692"/>
    <n v="-89.183000000000007"/>
    <n v="5"/>
    <n v="0"/>
    <n v="0"/>
    <n v="107"/>
    <s v="_x0000_peopl"/>
  </r>
  <r>
    <x v="6"/>
    <n v="13.691800000000001"/>
    <n v="-89.225399999999993"/>
    <n v="4"/>
    <n v="0"/>
    <n v="0"/>
    <n v="107"/>
    <s v="_x0000_peopl"/>
  </r>
  <r>
    <x v="6"/>
    <n v="13.696300000000001"/>
    <n v="-89.172600000000003"/>
    <n v="4"/>
    <n v="0"/>
    <n v="0"/>
    <n v="107"/>
    <s v="_x0000_peopl"/>
  </r>
  <r>
    <x v="6"/>
    <n v="13.687799999999999"/>
    <n v="-89.181399999999996"/>
    <n v="6"/>
    <n v="0"/>
    <n v="0"/>
    <n v="107"/>
    <s v="_x0000_peopl"/>
  </r>
  <r>
    <x v="6"/>
    <n v="13.684900000000001"/>
    <n v="-89.201800000000006"/>
    <n v="5"/>
    <n v="0"/>
    <n v="0"/>
    <n v="107"/>
    <s v="_x0000_peopl"/>
  </r>
  <r>
    <x v="6"/>
    <n v="13.690899999999999"/>
    <n v="-89.1952"/>
    <n v="6"/>
    <n v="0"/>
    <n v="0"/>
    <n v="107"/>
    <s v="_x0000_peopl"/>
  </r>
  <r>
    <x v="6"/>
    <n v="13.6753"/>
    <n v="-89.1999"/>
    <n v="4"/>
    <n v="0"/>
    <n v="0"/>
    <n v="107"/>
    <s v="_x0000_peopl"/>
  </r>
  <r>
    <x v="6"/>
    <n v="13.690099999999999"/>
    <n v="-89.234800000000007"/>
    <n v="3"/>
    <n v="0"/>
    <n v="0"/>
    <n v="107"/>
    <s v="_x0000_peopl"/>
  </r>
  <r>
    <x v="6"/>
    <n v="13.685600000000001"/>
    <n v="-89.202799999999996"/>
    <n v="6"/>
    <n v="0"/>
    <n v="0"/>
    <n v="107"/>
    <s v="_x0000_peopl"/>
  </r>
  <r>
    <x v="6"/>
    <n v="13.6851"/>
    <n v="-89.202699999999993"/>
    <n v="5"/>
    <n v="0"/>
    <n v="0"/>
    <n v="107"/>
    <s v="_x0000_peopl"/>
  </r>
  <r>
    <x v="6"/>
    <n v="13.6944"/>
    <n v="-89.183300000000003"/>
    <n v="13"/>
    <n v="0"/>
    <n v="0"/>
    <n v="107"/>
    <s v="_x0000_peopl"/>
  </r>
  <r>
    <x v="6"/>
    <n v="13.690300000000001"/>
    <n v="-89.235299999999995"/>
    <n v="2"/>
    <n v="0"/>
    <n v="0"/>
    <n v="107"/>
    <s v="_x0000_peopl"/>
  </r>
  <r>
    <x v="6"/>
    <n v="13.6876"/>
    <n v="-89.204099999999997"/>
    <n v="5"/>
    <n v="0"/>
    <n v="0"/>
    <n v="107"/>
    <s v="_x0000_peopl"/>
  </r>
  <r>
    <x v="6"/>
    <n v="13.6881"/>
    <n v="-89.194400000000002"/>
    <n v="5"/>
    <n v="0"/>
    <n v="0"/>
    <n v="107"/>
    <s v="_x0000_peopl"/>
  </r>
  <r>
    <x v="6"/>
    <n v="13.6875"/>
    <n v="-89.194900000000004"/>
    <n v="7"/>
    <n v="0"/>
    <n v="0"/>
    <n v="107"/>
    <s v="_x0000_peopl"/>
  </r>
  <r>
    <x v="6"/>
    <n v="13.686999999999999"/>
    <n v="-89.201499999999996"/>
    <n v="2"/>
    <n v="0"/>
    <n v="0"/>
    <n v="107"/>
    <s v="_x0000_peopl"/>
  </r>
  <r>
    <x v="6"/>
    <n v="13.6873"/>
    <n v="-89.196600000000004"/>
    <n v="3"/>
    <n v="0"/>
    <n v="0"/>
    <n v="107"/>
    <s v="_x0000_peopl"/>
  </r>
  <r>
    <x v="6"/>
    <n v="13.686999999999999"/>
    <n v="-89.183099999999996"/>
    <n v="4"/>
    <n v="0"/>
    <n v="0"/>
    <n v="107"/>
    <s v="_x0000_peopl"/>
  </r>
  <r>
    <x v="6"/>
    <n v="13.690099999999999"/>
    <n v="-89.236199999999997"/>
    <n v="3"/>
    <n v="0"/>
    <n v="0"/>
    <n v="107"/>
    <s v="_x0000_peopl"/>
  </r>
  <r>
    <x v="6"/>
    <n v="13.6876"/>
    <n v="-89.182000000000002"/>
    <n v="2"/>
    <n v="0"/>
    <n v="0"/>
    <n v="107"/>
    <s v="_x0000_peopl"/>
  </r>
  <r>
    <x v="6"/>
    <n v="13.6922"/>
    <n v="-89.224400000000003"/>
    <n v="4"/>
    <n v="0"/>
    <n v="0"/>
    <n v="107"/>
    <s v="_x0000_peopl"/>
  </r>
  <r>
    <x v="6"/>
    <n v="13.6959"/>
    <n v="-89.173199999999994"/>
    <n v="5"/>
    <n v="0"/>
    <n v="0"/>
    <n v="107"/>
    <s v="_x0000_peopl"/>
  </r>
  <r>
    <x v="6"/>
    <n v="13.6875"/>
    <n v="-89.196600000000004"/>
    <n v="2"/>
    <n v="0"/>
    <n v="0"/>
    <n v="107"/>
    <s v="_x0000_peopl"/>
  </r>
  <r>
    <x v="6"/>
    <n v="13.694000000000001"/>
    <n v="-89.1738"/>
    <n v="6"/>
    <n v="0"/>
    <n v="0"/>
    <n v="107"/>
    <s v="_x0000_peopl"/>
  </r>
  <r>
    <x v="6"/>
    <n v="13.684699999999999"/>
    <n v="-89.194100000000006"/>
    <n v="3"/>
    <n v="0"/>
    <n v="0"/>
    <n v="107"/>
    <s v="_x0000_peopl"/>
  </r>
  <r>
    <x v="6"/>
    <n v="13.678699999999999"/>
    <n v="-89.2453"/>
    <n v="6"/>
    <n v="0"/>
    <n v="0"/>
    <n v="107"/>
    <s v="_x0000_peopl"/>
  </r>
  <r>
    <x v="6"/>
    <n v="13.679500000000001"/>
    <n v="-89.196899999999999"/>
    <n v="4"/>
    <n v="0"/>
    <n v="0"/>
    <n v="107"/>
    <s v="_x0000_peopl"/>
  </r>
  <r>
    <x v="6"/>
    <n v="13.6869"/>
    <n v="-89.191400000000002"/>
    <n v="9"/>
    <n v="0"/>
    <n v="0"/>
    <n v="107"/>
    <s v="_x0000_peopl"/>
  </r>
  <r>
    <x v="6"/>
    <n v="13.686"/>
    <n v="-89.203500000000005"/>
    <n v="4"/>
    <n v="0"/>
    <n v="0"/>
    <n v="107"/>
    <s v="_x0000_peopl"/>
  </r>
  <r>
    <x v="6"/>
    <n v="13.695600000000001"/>
    <n v="-89.174099999999996"/>
    <n v="7"/>
    <n v="0"/>
    <n v="0"/>
    <n v="107"/>
    <s v="_x0000_peopl"/>
  </r>
  <r>
    <x v="6"/>
    <n v="13.6915"/>
    <n v="-89.176500000000004"/>
    <n v="3"/>
    <n v="0"/>
    <n v="0"/>
    <n v="107"/>
    <s v="_x0000_peopl"/>
  </r>
  <r>
    <x v="6"/>
    <n v="13.691000000000001"/>
    <n v="-89.188699999999997"/>
    <n v="5"/>
    <n v="0"/>
    <n v="0"/>
    <n v="107"/>
    <s v="_x0000_peopl"/>
  </r>
  <r>
    <x v="6"/>
    <n v="13.688599999999999"/>
    <n v="-89.216099999999997"/>
    <n v="5"/>
    <n v="0"/>
    <n v="0"/>
    <n v="107"/>
    <s v="_x0000_peopl"/>
  </r>
  <r>
    <x v="6"/>
    <n v="13.684900000000001"/>
    <n v="-89.212999999999994"/>
    <n v="4"/>
    <n v="0"/>
    <n v="0"/>
    <n v="107"/>
    <s v="_x0000_peopl"/>
  </r>
  <r>
    <x v="6"/>
    <n v="13.6914"/>
    <n v="-89.189400000000006"/>
    <n v="1"/>
    <n v="0"/>
    <n v="0"/>
    <n v="107"/>
    <s v="_x0000_peopl"/>
  </r>
  <r>
    <x v="6"/>
    <n v="13.691800000000001"/>
    <n v="-89.193899999999999"/>
    <n v="0"/>
    <n v="0"/>
    <n v="0"/>
    <n v="107"/>
    <s v="_x0000_peopl"/>
  </r>
  <r>
    <x v="6"/>
    <n v="13.690899999999999"/>
    <n v="-89.232900000000001"/>
    <n v="5"/>
    <n v="0"/>
    <n v="0"/>
    <n v="107"/>
    <s v="_x0000_peopl"/>
  </r>
  <r>
    <x v="6"/>
    <n v="13.6861"/>
    <n v="-89.215299999999999"/>
    <n v="4"/>
    <n v="0"/>
    <n v="0"/>
    <n v="107"/>
    <s v="_x0000_peopl"/>
  </r>
  <r>
    <x v="6"/>
    <n v="13.6912"/>
    <n v="-89.228800000000007"/>
    <n v="5"/>
    <n v="0"/>
    <n v="0"/>
    <n v="107"/>
    <s v="_x0000_peopl"/>
  </r>
  <r>
    <x v="6"/>
    <n v="13.6861"/>
    <n v="-89.212199999999996"/>
    <n v="7"/>
    <n v="0"/>
    <n v="0"/>
    <n v="107"/>
    <s v="_x0000_peopl"/>
  </r>
  <r>
    <x v="6"/>
    <n v="13.688000000000001"/>
    <n v="-89.198700000000002"/>
    <n v="4"/>
    <n v="0"/>
    <n v="0"/>
    <n v="107"/>
    <s v="_x0000_peopl"/>
  </r>
  <r>
    <x v="6"/>
    <n v="13.688499999999999"/>
    <n v="-89.204499999999996"/>
    <n v="5"/>
    <n v="0"/>
    <n v="0"/>
    <n v="107"/>
    <s v="_x0000_peopl"/>
  </r>
  <r>
    <x v="6"/>
    <n v="13.684799999999999"/>
    <n v="-89.216899999999995"/>
    <n v="6"/>
    <n v="0"/>
    <n v="0"/>
    <n v="107"/>
    <s v="_x0000_peopl"/>
  </r>
  <r>
    <x v="6"/>
    <n v="13.6973"/>
    <n v="-89.171199999999999"/>
    <n v="5"/>
    <n v="0"/>
    <n v="0"/>
    <n v="107"/>
    <s v="_x0000_peopl"/>
  </r>
  <r>
    <x v="6"/>
    <n v="13.691000000000001"/>
    <n v="-89.179199999999994"/>
    <n v="2"/>
    <n v="0"/>
    <n v="0"/>
    <n v="107"/>
    <s v="_x0000_peopl"/>
  </r>
  <r>
    <x v="6"/>
    <n v="13.690300000000001"/>
    <n v="-89.235399999999998"/>
    <n v="4"/>
    <n v="0"/>
    <n v="0"/>
    <n v="107"/>
    <s v="_x0000_peopl"/>
  </r>
  <r>
    <x v="6"/>
    <n v="13.6907"/>
    <n v="-89.1892"/>
    <n v="3"/>
    <n v="0"/>
    <n v="0"/>
    <n v="107"/>
    <s v="_x0000_peopl"/>
  </r>
  <r>
    <x v="6"/>
    <n v="13.6938"/>
    <n v="-89.175799999999995"/>
    <n v="6"/>
    <n v="0"/>
    <n v="0"/>
    <n v="107"/>
    <s v="_x0000_peopl"/>
  </r>
  <r>
    <x v="6"/>
    <n v="13.6854"/>
    <n v="-89.203699999999998"/>
    <n v="3"/>
    <n v="0"/>
    <n v="0"/>
    <n v="107"/>
    <s v="_x0000_peopl"/>
  </r>
  <r>
    <x v="6"/>
    <n v="13.6805"/>
    <n v="-89.197999999999993"/>
    <n v="8"/>
    <n v="0"/>
    <n v="0"/>
    <n v="107"/>
    <s v="_x0000_peopl"/>
  </r>
  <r>
    <x v="6"/>
    <n v="13.6874"/>
    <n v="-89.204499999999996"/>
    <n v="5"/>
    <n v="0"/>
    <n v="0"/>
    <n v="107"/>
    <s v="_x0000_peopl"/>
  </r>
  <r>
    <x v="6"/>
    <n v="13.692399999999999"/>
    <n v="-89.189899999999994"/>
    <n v="8"/>
    <n v="0"/>
    <n v="0"/>
    <n v="107"/>
    <s v="_x0000_peopl"/>
  </r>
  <r>
    <x v="6"/>
    <n v="13.690899999999999"/>
    <n v="-89.232900000000001"/>
    <n v="4"/>
    <n v="0"/>
    <n v="0"/>
    <n v="107"/>
    <s v="_x0000_peopl"/>
  </r>
  <r>
    <x v="6"/>
    <n v="13.686"/>
    <n v="-89.215400000000002"/>
    <n v="4"/>
    <n v="0"/>
    <n v="0"/>
    <n v="107"/>
    <s v="_x0000_peopl"/>
  </r>
  <r>
    <x v="6"/>
    <n v="13.690899999999999"/>
    <n v="-89.233599999999996"/>
    <n v="4"/>
    <n v="0"/>
    <n v="0"/>
    <n v="107"/>
    <s v="_x0000_peopl"/>
  </r>
  <r>
    <x v="6"/>
    <n v="13.6899"/>
    <n v="-89.189400000000006"/>
    <n v="4"/>
    <n v="0"/>
    <n v="0"/>
    <n v="107"/>
    <s v="_x0000_peopl"/>
  </r>
  <r>
    <x v="6"/>
    <n v="13.687200000000001"/>
    <n v="-89.204400000000007"/>
    <n v="7"/>
    <n v="0"/>
    <n v="0"/>
    <n v="107"/>
    <s v="_x0000_peopl"/>
  </r>
  <r>
    <x v="6"/>
    <n v="13.692500000000001"/>
    <n v="-89.179500000000004"/>
    <n v="5"/>
    <n v="0"/>
    <n v="0"/>
    <n v="107"/>
    <s v="_x0000_peopl"/>
  </r>
  <r>
    <x v="6"/>
    <n v="13.686999999999999"/>
    <n v="-89.213200000000001"/>
    <n v="3"/>
    <n v="0"/>
    <n v="0"/>
    <n v="107"/>
    <s v="_x0000_peopl"/>
  </r>
  <r>
    <x v="6"/>
    <n v="13.687099999999999"/>
    <n v="-89.197400000000002"/>
    <n v="3"/>
    <n v="0"/>
    <n v="0"/>
    <n v="107"/>
    <s v="_x0000_peopl"/>
  </r>
  <r>
    <x v="6"/>
    <n v="13.6927"/>
    <n v="-89.225300000000004"/>
    <n v="3"/>
    <n v="0"/>
    <n v="0"/>
    <n v="107"/>
    <s v="_x0000_peopl"/>
  </r>
  <r>
    <x v="6"/>
    <n v="13.6922"/>
    <n v="-89.1785"/>
    <n v="5"/>
    <n v="0"/>
    <n v="0"/>
    <n v="107"/>
    <s v="_x0000_peopl"/>
  </r>
  <r>
    <x v="6"/>
    <n v="13.691000000000001"/>
    <n v="-89.232699999999994"/>
    <n v="2"/>
    <n v="0"/>
    <n v="0"/>
    <n v="107"/>
    <s v="_x0000_peopl"/>
  </r>
  <r>
    <x v="6"/>
    <n v="13.6927"/>
    <n v="-89.176599999999993"/>
    <n v="7"/>
    <n v="0"/>
    <n v="0"/>
    <n v="107"/>
    <s v="_x0000_peopl"/>
  </r>
  <r>
    <x v="6"/>
    <n v="13.6913"/>
    <n v="-89.189499999999995"/>
    <n v="6"/>
    <n v="0"/>
    <n v="0"/>
    <n v="107"/>
    <s v="_x0000_peopl"/>
  </r>
  <r>
    <x v="6"/>
    <n v="13.690799999999999"/>
    <n v="-89.235200000000006"/>
    <n v="5"/>
    <n v="0"/>
    <n v="0"/>
    <n v="107"/>
    <s v="_x0000_peopl"/>
  </r>
  <r>
    <x v="6"/>
    <n v="13.6875"/>
    <n v="-89.197100000000006"/>
    <n v="4"/>
    <n v="0"/>
    <n v="0"/>
    <n v="107"/>
    <s v="_x0000_peopl"/>
  </r>
  <r>
    <x v="6"/>
    <n v="13.695"/>
    <n v="-89.174700000000001"/>
    <n v="6"/>
    <n v="0"/>
    <n v="0"/>
    <n v="107"/>
    <s v="_x0000_peopl"/>
  </r>
  <r>
    <x v="6"/>
    <n v="13.6953"/>
    <n v="-89.174800000000005"/>
    <n v="4"/>
    <n v="0"/>
    <n v="0"/>
    <n v="107"/>
    <s v="_x0000_peopl"/>
  </r>
  <r>
    <x v="6"/>
    <n v="13.674799999999999"/>
    <n v="-89.251999999999995"/>
    <n v="7"/>
    <n v="0"/>
    <n v="0"/>
    <n v="107"/>
    <s v="_x0000_peopl"/>
  </r>
  <r>
    <x v="6"/>
    <n v="13.6877"/>
    <n v="-89.197199999999995"/>
    <n v="5"/>
    <n v="0"/>
    <n v="0"/>
    <n v="107"/>
    <s v="_x0000_peopl"/>
  </r>
  <r>
    <x v="6"/>
    <n v="13.6869"/>
    <n v="-89.215999999999994"/>
    <n v="7"/>
    <n v="0"/>
    <n v="0"/>
    <n v="107"/>
    <s v="_x0000_peopl"/>
  </r>
  <r>
    <x v="6"/>
    <n v="13.6751"/>
    <n v="-89.2"/>
    <n v="5"/>
    <n v="0"/>
    <n v="0"/>
    <n v="107"/>
    <s v="_x0000_peopl"/>
  </r>
  <r>
    <x v="6"/>
    <n v="13.692399999999999"/>
    <n v="-89.190299999999993"/>
    <n v="7"/>
    <n v="0"/>
    <n v="0"/>
    <n v="107"/>
    <s v="_x0000_peopl"/>
  </r>
  <r>
    <x v="6"/>
    <n v="13.689399999999999"/>
    <n v="-89.235600000000005"/>
    <n v="4"/>
    <n v="0"/>
    <n v="0"/>
    <n v="107"/>
    <s v="_x0000_peopl"/>
  </r>
  <r>
    <x v="6"/>
    <n v="13.692500000000001"/>
    <n v="-89.224699999999999"/>
    <n v="9"/>
    <n v="0"/>
    <n v="0"/>
    <n v="107"/>
    <s v="_x0000_peopl"/>
  </r>
  <r>
    <x v="6"/>
    <n v="13.689399999999999"/>
    <n v="-89.235500000000002"/>
    <n v="3"/>
    <n v="0"/>
    <n v="0"/>
    <n v="107"/>
    <s v="_x0000_peopl"/>
  </r>
  <r>
    <x v="6"/>
    <n v="13.6915"/>
    <n v="-89.234999999999999"/>
    <n v="9"/>
    <n v="0"/>
    <n v="0"/>
    <n v="107"/>
    <s v="_x0000_peopl"/>
  </r>
  <r>
    <x v="6"/>
    <n v="13.6911"/>
    <n v="-89.233900000000006"/>
    <n v="6"/>
    <n v="0"/>
    <n v="0"/>
    <n v="107"/>
    <s v="_x0000_peopl"/>
  </r>
  <r>
    <x v="6"/>
    <n v="13.69"/>
    <n v="-89.183899999999994"/>
    <n v="4"/>
    <n v="0"/>
    <n v="0"/>
    <n v="107"/>
    <s v="_x0000_peopl"/>
  </r>
  <r>
    <x v="6"/>
    <n v="13.687099999999999"/>
    <n v="-89.211600000000004"/>
    <n v="5"/>
    <n v="0"/>
    <n v="0"/>
    <n v="107"/>
    <s v="_x0000_peopl"/>
  </r>
  <r>
    <x v="6"/>
    <n v="13.687200000000001"/>
    <n v="-89.215699999999998"/>
    <n v="4"/>
    <n v="0"/>
    <n v="0"/>
    <n v="107"/>
    <s v="_x0000_peopl"/>
  </r>
  <r>
    <x v="6"/>
    <n v="13.690099999999999"/>
    <n v="-89.193299999999994"/>
    <n v="3"/>
    <n v="0"/>
    <n v="0"/>
    <n v="107"/>
    <s v="_x0000_peopl"/>
  </r>
  <r>
    <x v="6"/>
    <n v="13.673400000000001"/>
    <n v="-89.251400000000004"/>
    <n v="5"/>
    <n v="0"/>
    <n v="0"/>
    <n v="107"/>
    <s v="_x0000_peopl"/>
  </r>
  <r>
    <x v="6"/>
    <n v="13.697100000000001"/>
    <n v="-89.171400000000006"/>
    <n v="8"/>
    <n v="0"/>
    <n v="0"/>
    <n v="107"/>
    <s v="_x0000_peopl"/>
  </r>
  <r>
    <x v="6"/>
    <n v="13.6911"/>
    <n v="-89.234999999999999"/>
    <n v="5"/>
    <n v="0"/>
    <n v="0"/>
    <n v="107"/>
    <s v="_x0000_peopl"/>
  </r>
  <r>
    <x v="6"/>
    <n v="13.6906"/>
    <n v="-89.231700000000004"/>
    <n v="2"/>
    <n v="0"/>
    <n v="0"/>
    <n v="107"/>
    <s v="_x0000_peopl"/>
  </r>
  <r>
    <x v="6"/>
    <n v="13.6928"/>
    <n v="-89.178200000000004"/>
    <n v="2"/>
    <n v="0"/>
    <n v="0"/>
    <n v="107"/>
    <s v="_x0000_peopl"/>
  </r>
  <r>
    <x v="6"/>
    <n v="13.689"/>
    <n v="-89.204899999999995"/>
    <n v="6"/>
    <n v="0"/>
    <n v="0"/>
    <n v="107"/>
    <s v="_x0000_peopl"/>
  </r>
  <r>
    <x v="6"/>
    <n v="13.689399999999999"/>
    <n v="-89.185299999999998"/>
    <n v="3"/>
    <n v="0"/>
    <n v="0"/>
    <n v="107"/>
    <s v="_x0000_peopl"/>
  </r>
  <r>
    <x v="6"/>
    <n v="13.6873"/>
    <n v="-89.195700000000002"/>
    <n v="2"/>
    <n v="0"/>
    <n v="0"/>
    <n v="107"/>
    <s v="_x0000_peopl"/>
  </r>
  <r>
    <x v="6"/>
    <n v="13.687200000000001"/>
    <n v="-89.196700000000007"/>
    <n v="4"/>
    <n v="0"/>
    <n v="0"/>
    <n v="107"/>
    <s v="_x0000_peopl"/>
  </r>
  <r>
    <x v="6"/>
    <n v="13.6858"/>
    <n v="-89.201300000000003"/>
    <n v="5"/>
    <n v="0"/>
    <n v="0"/>
    <n v="107"/>
    <s v="_x0000_peopl"/>
  </r>
  <r>
    <x v="6"/>
    <n v="13.690200000000001"/>
    <n v="-89.228399999999993"/>
    <n v="7"/>
    <n v="0"/>
    <n v="0"/>
    <n v="107"/>
    <s v="_x0000_peopl"/>
  </r>
  <r>
    <x v="6"/>
    <n v="13.690899999999999"/>
    <n v="-89.190299999999993"/>
    <n v="5"/>
    <n v="0"/>
    <n v="0"/>
    <n v="107"/>
    <s v="_x0000_peopl"/>
  </r>
  <r>
    <x v="6"/>
    <n v="13.6912"/>
    <n v="-89.220100000000002"/>
    <n v="5"/>
    <n v="0"/>
    <n v="0"/>
    <n v="107"/>
    <s v="_x0000_peopl"/>
  </r>
  <r>
    <x v="6"/>
    <n v="13.6899"/>
    <n v="-89.194000000000003"/>
    <n v="5"/>
    <n v="0"/>
    <n v="0"/>
    <n v="107"/>
    <s v="_x0000_peopl"/>
  </r>
  <r>
    <x v="6"/>
    <n v="13.694599999999999"/>
    <n v="-89.183099999999996"/>
    <n v="10"/>
    <n v="0"/>
    <n v="0"/>
    <n v="107"/>
    <s v="_x0000_peopl"/>
  </r>
  <r>
    <x v="6"/>
    <n v="13.687200000000001"/>
    <n v="-89.194500000000005"/>
    <n v="7"/>
    <n v="0"/>
    <n v="0"/>
    <n v="107"/>
    <s v="_x0000_peopl"/>
  </r>
  <r>
    <x v="6"/>
    <n v="13.6936"/>
    <n v="-89.188699999999997"/>
    <n v="5"/>
    <n v="0"/>
    <n v="0"/>
    <n v="107"/>
    <s v="_x0000_peopl"/>
  </r>
  <r>
    <x v="6"/>
    <n v="13.6877"/>
    <n v="-89.179699999999997"/>
    <n v="7"/>
    <n v="0"/>
    <n v="0"/>
    <n v="107"/>
    <s v="_x0000_peopl"/>
  </r>
  <r>
    <x v="6"/>
    <n v="13.6859"/>
    <n v="-89.201499999999996"/>
    <n v="10"/>
    <n v="0"/>
    <n v="0"/>
    <n v="107"/>
    <s v="_x0000_peopl"/>
  </r>
  <r>
    <x v="6"/>
    <n v="13.688000000000001"/>
    <n v="-89.194299999999998"/>
    <n v="3"/>
    <n v="0"/>
    <n v="0"/>
    <n v="107"/>
    <s v="_x0000_peopl"/>
  </r>
  <r>
    <x v="6"/>
    <n v="13.6868"/>
    <n v="-89.192800000000005"/>
    <n v="3"/>
    <n v="0"/>
    <n v="0"/>
    <n v="107"/>
    <s v="_x0000_peopl"/>
  </r>
  <r>
    <x v="6"/>
    <n v="13.673999999999999"/>
    <n v="-89.203100000000006"/>
    <n v="5"/>
    <n v="0"/>
    <n v="0"/>
    <n v="107"/>
    <s v="_x0000_peopl"/>
  </r>
  <r>
    <x v="6"/>
    <n v="13.678800000000001"/>
    <n v="-89.196399999999997"/>
    <n v="7"/>
    <n v="0"/>
    <n v="0"/>
    <n v="107"/>
    <s v="_x0000_peopl"/>
  </r>
  <r>
    <x v="6"/>
    <n v="13.686500000000001"/>
    <n v="-89.213800000000006"/>
    <n v="3"/>
    <n v="0"/>
    <n v="0"/>
    <n v="107"/>
    <s v="_x0000_peopl"/>
  </r>
  <r>
    <x v="6"/>
    <n v="13.691700000000001"/>
    <n v="-89.178399999999996"/>
    <n v="5"/>
    <n v="0"/>
    <n v="0"/>
    <n v="107"/>
    <s v="_x0000_peopl"/>
  </r>
  <r>
    <x v="6"/>
    <n v="13.6944"/>
    <n v="-89.172499999999999"/>
    <n v="5"/>
    <n v="0"/>
    <n v="0"/>
    <n v="107"/>
    <s v="_x0000_peopl"/>
  </r>
  <r>
    <x v="6"/>
    <n v="13.687099999999999"/>
    <n v="-89.181600000000003"/>
    <n v="5"/>
    <n v="0"/>
    <n v="0"/>
    <n v="107"/>
    <s v="_x0000_peopl"/>
  </r>
  <r>
    <x v="6"/>
    <n v="13.6852"/>
    <n v="-89.216800000000006"/>
    <n v="1"/>
    <n v="0"/>
    <n v="0"/>
    <n v="107"/>
    <s v="_x0000_peopl"/>
  </r>
  <r>
    <x v="6"/>
    <n v="13.686500000000001"/>
    <n v="-89.201800000000006"/>
    <n v="4"/>
    <n v="0"/>
    <n v="0"/>
    <n v="107"/>
    <s v="_x0000_peopl"/>
  </r>
  <r>
    <x v="6"/>
    <n v="13.691000000000001"/>
    <n v="-89.1905"/>
    <n v="2"/>
    <n v="0"/>
    <n v="0"/>
    <n v="107"/>
    <s v="_x0000_peopl"/>
  </r>
  <r>
    <x v="6"/>
    <n v="13.6905"/>
    <n v="-89.234200000000001"/>
    <n v="5"/>
    <n v="0"/>
    <n v="0"/>
    <n v="107"/>
    <s v="_x0000_peopl"/>
  </r>
  <r>
    <x v="6"/>
    <n v="13.6935"/>
    <n v="-89.176500000000004"/>
    <n v="4"/>
    <n v="0"/>
    <n v="0"/>
    <n v="107"/>
    <s v="_x0000_peopl"/>
  </r>
  <r>
    <x v="6"/>
    <n v="13.6891"/>
    <n v="-89.215699999999998"/>
    <n v="6"/>
    <n v="0"/>
    <n v="0"/>
    <n v="107"/>
    <s v="_x0000_peopl"/>
  </r>
  <r>
    <x v="6"/>
    <n v="13.691000000000001"/>
    <n v="-89.188500000000005"/>
    <n v="4"/>
    <n v="0"/>
    <n v="0"/>
    <n v="107"/>
    <s v="_x0000_peopl"/>
  </r>
  <r>
    <x v="6"/>
    <n v="13.6744"/>
    <n v="-89.199399999999997"/>
    <n v="5"/>
    <n v="0"/>
    <n v="0"/>
    <n v="107"/>
    <s v="_x0000_peopl"/>
  </r>
  <r>
    <x v="6"/>
    <n v="13.6967"/>
    <n v="-89.171800000000005"/>
    <n v="5"/>
    <n v="0"/>
    <n v="0"/>
    <n v="107"/>
    <s v="_x0000_peopl"/>
  </r>
  <r>
    <x v="6"/>
    <n v="13.696099999999999"/>
    <n v="-89.171999999999997"/>
    <n v="4"/>
    <n v="0"/>
    <n v="0"/>
    <n v="107"/>
    <s v="_x0000_peopl"/>
  </r>
  <r>
    <x v="6"/>
    <n v="13.6972"/>
    <n v="-89.171300000000002"/>
    <n v="7"/>
    <n v="0"/>
    <n v="0"/>
    <n v="107"/>
    <s v="_x0000_peopl"/>
  </r>
  <r>
    <x v="6"/>
    <n v="13.6746"/>
    <n v="-89.251099999999994"/>
    <n v="1"/>
    <n v="0"/>
    <n v="0"/>
    <n v="107"/>
    <s v="_x0000_peopl"/>
  </r>
  <r>
    <x v="6"/>
    <n v="13.694599999999999"/>
    <n v="-89.1751"/>
    <n v="7"/>
    <n v="0"/>
    <n v="0"/>
    <n v="107"/>
    <s v="_x0000_peopl"/>
  </r>
  <r>
    <x v="6"/>
    <n v="13.694699999999999"/>
    <n v="-89.183599999999998"/>
    <n v="5"/>
    <n v="0"/>
    <n v="0"/>
    <n v="107"/>
    <s v="_x0000_peopl"/>
  </r>
  <r>
    <x v="6"/>
    <n v="13.691599999999999"/>
    <n v="-89.2346"/>
    <n v="5"/>
    <n v="0"/>
    <n v="0"/>
    <n v="107"/>
    <s v="_x0000_peopl"/>
  </r>
  <r>
    <x v="6"/>
    <n v="13.6911"/>
    <n v="-89.229699999999994"/>
    <n v="5"/>
    <n v="0"/>
    <n v="0"/>
    <n v="107"/>
    <s v="_x0000_peopl"/>
  </r>
  <r>
    <x v="6"/>
    <n v="13.674200000000001"/>
    <n v="-89.202799999999996"/>
    <n v="7"/>
    <n v="0"/>
    <n v="0"/>
    <n v="107"/>
    <s v="_x0000_peopl"/>
  </r>
  <r>
    <x v="6"/>
    <n v="13.691000000000001"/>
    <n v="-89.232699999999994"/>
    <n v="5"/>
    <n v="0"/>
    <n v="0"/>
    <n v="107"/>
    <s v="_x0000_peopl"/>
  </r>
  <r>
    <x v="6"/>
    <n v="13.692500000000001"/>
    <n v="-89.183499999999995"/>
    <n v="8"/>
    <n v="0"/>
    <n v="0"/>
    <n v="107"/>
    <s v="_x0000_peopl"/>
  </r>
  <r>
    <x v="6"/>
    <n v="13.6883"/>
    <n v="-89.181100000000001"/>
    <n v="5"/>
    <n v="0"/>
    <n v="0"/>
    <n v="107"/>
    <s v="_x0000_peopl"/>
  </r>
  <r>
    <x v="6"/>
    <n v="13.691800000000001"/>
    <n v="-89.179299999999998"/>
    <n v="4"/>
    <n v="0"/>
    <n v="0"/>
    <n v="107"/>
    <s v="_x0000_peopl"/>
  </r>
  <r>
    <x v="6"/>
    <n v="13.686400000000001"/>
    <n v="-89.215100000000007"/>
    <n v="3"/>
    <n v="0"/>
    <n v="0"/>
    <n v="107"/>
    <s v="_x0000_peopl"/>
  </r>
  <r>
    <x v="6"/>
    <n v="13.6873"/>
    <n v="-89.197199999999995"/>
    <n v="3"/>
    <n v="0"/>
    <n v="0"/>
    <n v="107"/>
    <s v="_x0000_peopl"/>
  </r>
  <r>
    <x v="6"/>
    <n v="13.691800000000001"/>
    <n v="-89.185900000000004"/>
    <n v="4"/>
    <n v="0"/>
    <n v="0"/>
    <n v="107"/>
    <s v="_x0000_peopl"/>
  </r>
  <r>
    <x v="6"/>
    <n v="13.694599999999999"/>
    <n v="-89.175600000000003"/>
    <n v="1"/>
    <n v="0"/>
    <n v="0"/>
    <n v="107"/>
    <s v="_x0000_peopl"/>
  </r>
  <r>
    <x v="6"/>
    <n v="13.6936"/>
    <n v="-89.188699999999997"/>
    <n v="3"/>
    <n v="0"/>
    <n v="0"/>
    <n v="107"/>
    <s v="_x0000_peopl"/>
  </r>
  <r>
    <x v="6"/>
    <n v="13.693099999999999"/>
    <n v="-89.176599999999993"/>
    <n v="6"/>
    <n v="0"/>
    <n v="0"/>
    <n v="107"/>
    <s v="_x0000_peopl"/>
  </r>
  <r>
    <x v="6"/>
    <n v="13.695399999999999"/>
    <n v="-89.172200000000004"/>
    <n v="7"/>
    <n v="0"/>
    <n v="0"/>
    <n v="107"/>
    <s v="_x0000_peopl"/>
  </r>
  <r>
    <x v="6"/>
    <n v="13.6861"/>
    <n v="-89.211600000000004"/>
    <n v="7"/>
    <n v="0"/>
    <n v="0"/>
    <n v="107"/>
    <s v="_x0000_peopl"/>
  </r>
  <r>
    <x v="6"/>
    <n v="13.6883"/>
    <n v="-89.190700000000007"/>
    <n v="3"/>
    <n v="0"/>
    <n v="0"/>
    <n v="107"/>
    <s v="_x0000_peopl"/>
  </r>
  <r>
    <x v="6"/>
    <n v="13.694100000000001"/>
    <n v="-89.174999999999997"/>
    <n v="3"/>
    <n v="0"/>
    <n v="0"/>
    <n v="107"/>
    <s v="_x0000_peopl"/>
  </r>
  <r>
    <x v="6"/>
    <n v="13.6876"/>
    <n v="-89.194299999999998"/>
    <n v="4"/>
    <n v="0"/>
    <n v="0"/>
    <n v="107"/>
    <s v="_x0000_peopl"/>
  </r>
  <r>
    <x v="6"/>
    <n v="13.6891"/>
    <n v="-89.229600000000005"/>
    <n v="4"/>
    <n v="0"/>
    <n v="0"/>
    <n v="107"/>
    <s v="_x0000_peopl"/>
  </r>
  <r>
    <x v="6"/>
    <n v="13.692299999999999"/>
    <n v="-89.225999999999999"/>
    <n v="0"/>
    <n v="0"/>
    <n v="0"/>
    <n v="107"/>
    <s v="_x0000_peopl"/>
  </r>
  <r>
    <x v="6"/>
    <n v="13.691000000000001"/>
    <n v="-89.228999999999999"/>
    <n v="5"/>
    <n v="0"/>
    <n v="0"/>
    <n v="107"/>
    <s v="_x0000_peopl"/>
  </r>
  <r>
    <x v="6"/>
    <n v="13.691599999999999"/>
    <n v="-89.233900000000006"/>
    <n v="3"/>
    <n v="0"/>
    <n v="0"/>
    <n v="107"/>
    <s v="_x0000_peopl"/>
  </r>
  <r>
    <x v="6"/>
    <n v="13.6799"/>
    <n v="-89.194500000000005"/>
    <n v="3"/>
    <n v="0"/>
    <n v="0"/>
    <n v="107"/>
    <s v="_x0000_peopl"/>
  </r>
  <r>
    <x v="6"/>
    <n v="13.692500000000001"/>
    <n v="-89.223399999999998"/>
    <n v="2"/>
    <n v="0"/>
    <n v="0"/>
    <n v="107"/>
    <s v="_x0000_peopl"/>
  </r>
  <r>
    <x v="6"/>
    <n v="13.689299999999999"/>
    <n v="-89.184299999999993"/>
    <n v="4"/>
    <n v="0"/>
    <n v="0"/>
    <n v="107"/>
    <s v="_x0000_peopl"/>
  </r>
  <r>
    <x v="6"/>
    <n v="13.6738"/>
    <n v="-89.203000000000003"/>
    <n v="5"/>
    <n v="0"/>
    <n v="0"/>
    <n v="107"/>
    <s v="_x0000_peopl"/>
  </r>
  <r>
    <x v="6"/>
    <n v="13.6873"/>
    <n v="-89.215199999999996"/>
    <n v="4"/>
    <n v="0"/>
    <n v="0"/>
    <n v="107"/>
    <s v="_x0000_peopl"/>
  </r>
  <r>
    <x v="6"/>
    <n v="13.6868"/>
    <n v="-89.194500000000005"/>
    <n v="6"/>
    <n v="0"/>
    <n v="0"/>
    <n v="107"/>
    <s v="_x0000_peopl"/>
  </r>
  <r>
    <x v="6"/>
    <n v="13.690799999999999"/>
    <n v="-89.188699999999997"/>
    <n v="6"/>
    <n v="0"/>
    <n v="0"/>
    <n v="107"/>
    <s v="_x0000_peopl"/>
  </r>
  <r>
    <x v="6"/>
    <n v="13.689299999999999"/>
    <n v="-89.189800000000005"/>
    <n v="6"/>
    <n v="0"/>
    <n v="0"/>
    <n v="107"/>
    <s v="_x0000_peopl"/>
  </r>
  <r>
    <x v="6"/>
    <n v="13.691000000000001"/>
    <n v="-89.232500000000002"/>
    <n v="5"/>
    <n v="0"/>
    <n v="0"/>
    <n v="107"/>
    <s v="_x0000_peopl"/>
  </r>
  <r>
    <x v="6"/>
    <n v="13.69"/>
    <n v="-89.197599999999994"/>
    <n v="5"/>
    <n v="0"/>
    <n v="0"/>
    <n v="107"/>
    <s v="_x0000_peopl"/>
  </r>
  <r>
    <x v="6"/>
    <n v="13.6891"/>
    <n v="-89.183800000000005"/>
    <n v="4"/>
    <n v="0"/>
    <n v="0"/>
    <n v="107"/>
    <s v="_x0000_peopl"/>
  </r>
  <r>
    <x v="6"/>
    <n v="13.687200000000001"/>
    <n v="-89.195999999999998"/>
    <n v="8"/>
    <n v="0"/>
    <n v="0"/>
    <n v="107"/>
    <s v="_x0000_peopl"/>
  </r>
  <r>
    <x v="6"/>
    <n v="13.694800000000001"/>
    <n v="-89.1721"/>
    <n v="2"/>
    <n v="0"/>
    <n v="0"/>
    <n v="107"/>
    <s v="_x0000_peopl"/>
  </r>
  <r>
    <x v="6"/>
    <n v="13.6904"/>
    <n v="-89.234800000000007"/>
    <n v="1"/>
    <n v="0"/>
    <n v="0"/>
    <n v="107"/>
    <s v="_x0000_peopl"/>
  </r>
  <r>
    <x v="6"/>
    <n v="13.674200000000001"/>
    <n v="-89.202299999999994"/>
    <n v="4"/>
    <n v="0"/>
    <n v="0"/>
    <n v="107"/>
    <s v="_x0000_peopl"/>
  </r>
  <r>
    <x v="6"/>
    <n v="13.6966"/>
    <n v="-89.171899999999994"/>
    <n v="7"/>
    <n v="0"/>
    <n v="0"/>
    <n v="107"/>
    <s v="_x0000_peopl"/>
  </r>
  <r>
    <x v="6"/>
    <n v="13.6907"/>
    <n v="-89.194900000000004"/>
    <n v="3"/>
    <n v="0"/>
    <n v="0"/>
    <n v="107"/>
    <s v="_x0000_peopl"/>
  </r>
  <r>
    <x v="6"/>
    <n v="13.686999999999999"/>
    <n v="-89.197400000000002"/>
    <n v="7"/>
    <n v="0"/>
    <n v="0"/>
    <n v="107"/>
    <s v="_x0000_peopl"/>
  </r>
  <r>
    <x v="6"/>
    <n v="13.6921"/>
    <n v="-89.221800000000002"/>
    <n v="5"/>
    <n v="0"/>
    <n v="0"/>
    <n v="107"/>
    <s v="_x0000_peopl"/>
  </r>
  <r>
    <x v="6"/>
    <n v="13.6851"/>
    <n v="-89.217100000000002"/>
    <n v="8"/>
    <n v="0"/>
    <n v="0"/>
    <n v="107"/>
    <s v="_x0000_peopl"/>
  </r>
  <r>
    <x v="6"/>
    <n v="13.687099999999999"/>
    <n v="-89.201700000000002"/>
    <n v="7"/>
    <n v="0"/>
    <n v="0"/>
    <n v="107"/>
    <s v="_x0000_peopl"/>
  </r>
  <r>
    <x v="6"/>
    <n v="13.690899999999999"/>
    <n v="-89.219899999999996"/>
    <n v="4"/>
    <n v="0"/>
    <n v="0"/>
    <n v="107"/>
    <s v="_x0000_peopl"/>
  </r>
  <r>
    <x v="6"/>
    <n v="13.6922"/>
    <n v="-89.178399999999996"/>
    <n v="3"/>
    <n v="0"/>
    <n v="0"/>
    <n v="107"/>
    <s v="_x0000_peopl"/>
  </r>
  <r>
    <x v="6"/>
    <n v="13.690899999999999"/>
    <n v="-89.235500000000002"/>
    <n v="6"/>
    <n v="0"/>
    <n v="0"/>
    <n v="107"/>
    <s v="_x0000_peopl"/>
  </r>
  <r>
    <x v="6"/>
    <n v="13.6737"/>
    <n v="-89.203100000000006"/>
    <n v="2"/>
    <n v="0"/>
    <n v="0"/>
    <n v="107"/>
    <s v="_x0000_peopl"/>
  </r>
  <r>
    <x v="6"/>
    <n v="13.694699999999999"/>
    <n v="-89.1721"/>
    <n v="1"/>
    <n v="0"/>
    <n v="0"/>
    <n v="107"/>
    <s v="_x0000_peopl"/>
  </r>
  <r>
    <x v="6"/>
    <n v="13.691800000000001"/>
    <n v="-89.1785"/>
    <n v="4"/>
    <n v="0"/>
    <n v="0"/>
    <n v="107"/>
    <s v="_x0000_peopl"/>
  </r>
  <r>
    <x v="6"/>
    <n v="13.6912"/>
    <n v="-89.232799999999997"/>
    <n v="7"/>
    <n v="0"/>
    <n v="0"/>
    <n v="107"/>
    <s v="_x0000_peopl"/>
  </r>
  <r>
    <x v="6"/>
    <n v="13.6792"/>
    <n v="-89.197199999999995"/>
    <n v="10"/>
    <n v="0"/>
    <n v="0"/>
    <n v="107"/>
    <s v="_x0000_peopl"/>
  </r>
  <r>
    <x v="6"/>
    <n v="13.6899"/>
    <n v="-89.193899999999999"/>
    <n v="5"/>
    <n v="0"/>
    <n v="0"/>
    <n v="107"/>
    <s v="_x0000_peopl"/>
  </r>
  <r>
    <x v="6"/>
    <n v="13.6899"/>
    <n v="-89.195599999999999"/>
    <n v="8"/>
    <n v="0"/>
    <n v="0"/>
    <n v="107"/>
    <s v="_x0000_peopl"/>
  </r>
  <r>
    <x v="6"/>
    <n v="13.6889"/>
    <n v="-89.178100000000001"/>
    <n v="5"/>
    <n v="0"/>
    <n v="0"/>
    <n v="107"/>
    <s v="_x0000_peopl"/>
  </r>
  <r>
    <x v="6"/>
    <n v="13.6965"/>
    <n v="-89.172399999999996"/>
    <n v="5"/>
    <n v="0"/>
    <n v="0"/>
    <n v="107"/>
    <s v="_x0000_peopl"/>
  </r>
  <r>
    <x v="6"/>
    <n v="13.6854"/>
    <n v="-89.1935"/>
    <n v="3"/>
    <n v="0"/>
    <n v="0"/>
    <n v="107"/>
    <s v="_x0000_peopl"/>
  </r>
  <r>
    <x v="6"/>
    <n v="13.6911"/>
    <n v="-89.1905"/>
    <n v="2"/>
    <n v="0"/>
    <n v="0"/>
    <n v="107"/>
    <s v="_x0000_peopl"/>
  </r>
  <r>
    <x v="6"/>
    <n v="13.6904"/>
    <n v="-89.188999999999993"/>
    <n v="1"/>
    <n v="0"/>
    <n v="0"/>
    <n v="107"/>
    <s v="_x0000_peopl"/>
  </r>
  <r>
    <x v="6"/>
    <n v="13.6915"/>
    <n v="-89.233699999999999"/>
    <n v="4"/>
    <n v="0"/>
    <n v="0"/>
    <n v="107"/>
    <s v="_x0000_peopl"/>
  </r>
  <r>
    <x v="6"/>
    <n v="13.694100000000001"/>
    <n v="-89.173500000000004"/>
    <n v="4"/>
    <n v="0"/>
    <n v="0"/>
    <n v="107"/>
    <s v="_x0000_peopl"/>
  </r>
  <r>
    <x v="6"/>
    <n v="13.6875"/>
    <n v="-89.197100000000006"/>
    <n v="4"/>
    <n v="0"/>
    <n v="0"/>
    <n v="107"/>
    <s v="_x0000_peopl"/>
  </r>
  <r>
    <x v="6"/>
    <n v="13.691000000000001"/>
    <n v="-89.235100000000003"/>
    <n v="5"/>
    <n v="0"/>
    <n v="0"/>
    <n v="107"/>
    <s v="_x0000_peopl"/>
  </r>
  <r>
    <x v="6"/>
    <n v="13.69"/>
    <n v="-89.185000000000002"/>
    <n v="2"/>
    <n v="0"/>
    <n v="0"/>
    <n v="107"/>
    <s v="_x0000_peopl"/>
  </r>
  <r>
    <x v="6"/>
    <n v="13.6873"/>
    <n v="-89.216800000000006"/>
    <n v="7"/>
    <n v="0"/>
    <n v="0"/>
    <n v="107"/>
    <s v="_x0000_peopl"/>
  </r>
  <r>
    <x v="6"/>
    <n v="13.685700000000001"/>
    <n v="-89.211399999999998"/>
    <n v="4"/>
    <n v="0"/>
    <n v="0"/>
    <n v="107"/>
    <s v="_x0000_peopl"/>
  </r>
  <r>
    <x v="6"/>
    <n v="13.6928"/>
    <n v="-89.1845"/>
    <n v="3"/>
    <n v="0"/>
    <n v="0"/>
    <n v="107"/>
    <s v="_x0000_peopl"/>
  </r>
  <r>
    <x v="6"/>
    <n v="13.6889"/>
    <n v="-89.229200000000006"/>
    <n v="4"/>
    <n v="0"/>
    <n v="0"/>
    <n v="107"/>
    <s v="_x0000_peopl"/>
  </r>
  <r>
    <x v="6"/>
    <n v="13.678900000000001"/>
    <n v="-89.196600000000004"/>
    <n v="5"/>
    <n v="0"/>
    <n v="0"/>
    <n v="107"/>
    <s v="_x0000_peopl"/>
  </r>
  <r>
    <x v="6"/>
    <n v="13.6915"/>
    <n v="-89.226699999999994"/>
    <n v="7"/>
    <n v="0"/>
    <n v="0"/>
    <n v="107"/>
    <s v="_x0000_peopl"/>
  </r>
  <r>
    <x v="6"/>
    <n v="13.691599999999999"/>
    <n v="-89.193399999999997"/>
    <n v="5"/>
    <n v="0"/>
    <n v="0"/>
    <n v="107"/>
    <s v="_x0000_peopl"/>
  </r>
  <r>
    <x v="6"/>
    <n v="13.6869"/>
    <n v="-89.2042"/>
    <n v="10"/>
    <n v="0"/>
    <n v="0"/>
    <n v="107"/>
    <s v="_x0000_peopl"/>
  </r>
  <r>
    <x v="6"/>
    <n v="13.6912"/>
    <n v="-89.179500000000004"/>
    <n v="5"/>
    <n v="0"/>
    <n v="0"/>
    <n v="107"/>
    <s v="_x0000_peopl"/>
  </r>
  <r>
    <x v="6"/>
    <n v="13.690300000000001"/>
    <n v="-89.188599999999994"/>
    <n v="6"/>
    <n v="0"/>
    <n v="0"/>
    <n v="107"/>
    <s v="_x0000_peopl"/>
  </r>
  <r>
    <x v="6"/>
    <n v="13.6899"/>
    <n v="-89.193700000000007"/>
    <n v="2"/>
    <n v="0"/>
    <n v="0"/>
    <n v="107"/>
    <s v="_x0000_peopl"/>
  </r>
  <r>
    <x v="6"/>
    <n v="13.687200000000001"/>
    <n v="-89.183499999999995"/>
    <n v="2"/>
    <n v="0"/>
    <n v="0"/>
    <n v="107"/>
    <s v="_x0000_peopl"/>
  </r>
  <r>
    <x v="6"/>
    <n v="13.6921"/>
    <n v="-89.222800000000007"/>
    <n v="7"/>
    <n v="0"/>
    <n v="0"/>
    <n v="107"/>
    <s v="_x0000_peopl"/>
  </r>
  <r>
    <x v="6"/>
    <n v="13.691000000000001"/>
    <n v="-89.189700000000002"/>
    <n v="3"/>
    <n v="0"/>
    <n v="0"/>
    <n v="107"/>
    <s v="_x0000_peopl"/>
  </r>
  <r>
    <x v="6"/>
    <n v="13.693099999999999"/>
    <n v="-89.188000000000002"/>
    <n v="11"/>
    <n v="0"/>
    <n v="0"/>
    <n v="107"/>
    <s v="_x0000_peopl"/>
  </r>
  <r>
    <x v="6"/>
    <n v="13.6904"/>
    <n v="-89.227900000000005"/>
    <n v="8"/>
    <n v="0"/>
    <n v="0"/>
    <n v="107"/>
    <s v="_x0000_peopl"/>
  </r>
  <r>
    <x v="6"/>
    <n v="13.686"/>
    <n v="-89.211399999999998"/>
    <n v="5"/>
    <n v="0"/>
    <n v="0"/>
    <n v="107"/>
    <s v="_x0000_peopl"/>
  </r>
  <r>
    <x v="6"/>
    <n v="13.6907"/>
    <n v="-89.233900000000006"/>
    <n v="5"/>
    <n v="0"/>
    <n v="0"/>
    <n v="107"/>
    <s v="_x0000_peopl"/>
  </r>
  <r>
    <x v="6"/>
    <n v="13.695499999999999"/>
    <n v="-89.173299999999998"/>
    <n v="6"/>
    <n v="0"/>
    <n v="0"/>
    <n v="107"/>
    <s v="_x0000_peopl"/>
  </r>
  <r>
    <x v="6"/>
    <n v="13.674899999999999"/>
    <n v="-89.251400000000004"/>
    <n v="8"/>
    <n v="0"/>
    <n v="0"/>
    <n v="107"/>
    <s v="_x0000_peopl"/>
  </r>
  <r>
    <x v="6"/>
    <n v="13.689299999999999"/>
    <n v="-89.216200000000001"/>
    <n v="4"/>
    <n v="0"/>
    <n v="0"/>
    <n v="107"/>
    <s v="_x0000_peopl"/>
  </r>
  <r>
    <x v="6"/>
    <n v="13.6912"/>
    <n v="-89.233099999999993"/>
    <n v="2"/>
    <n v="0"/>
    <n v="0"/>
    <n v="107"/>
    <s v="_x0000_peopl"/>
  </r>
  <r>
    <x v="6"/>
    <n v="13.694900000000001"/>
    <n v="-89.174300000000002"/>
    <n v="5"/>
    <n v="0"/>
    <n v="0"/>
    <n v="107"/>
    <s v="_x0000_peopl"/>
  </r>
  <r>
    <x v="6"/>
    <n v="13.691800000000001"/>
    <n v="-89.186400000000006"/>
    <n v="0"/>
    <n v="0"/>
    <n v="0"/>
    <n v="107"/>
    <s v="_x0000_peopl"/>
  </r>
  <r>
    <x v="6"/>
    <n v="13.6905"/>
    <n v="-89.188800000000001"/>
    <n v="3"/>
    <n v="0"/>
    <n v="0"/>
    <n v="107"/>
    <s v="_x0000_peopl"/>
  </r>
  <r>
    <x v="6"/>
    <n v="13.687200000000001"/>
    <n v="-89.194699999999997"/>
    <n v="7"/>
    <n v="0"/>
    <n v="0"/>
    <n v="107"/>
    <s v="_x0000_peopl"/>
  </r>
  <r>
    <x v="6"/>
    <n v="13.6851"/>
    <n v="-89.194000000000003"/>
    <n v="5"/>
    <n v="0"/>
    <n v="0"/>
    <n v="107"/>
    <s v="_x0000_peopl"/>
  </r>
  <r>
    <x v="6"/>
    <n v="13.6793"/>
    <n v="-89.196600000000004"/>
    <n v="3"/>
    <n v="0"/>
    <n v="0"/>
    <n v="107"/>
    <s v="_x0000_peopl"/>
  </r>
  <r>
    <x v="6"/>
    <n v="13.6853"/>
    <n v="-89.212599999999995"/>
    <n v="0"/>
    <n v="0"/>
    <n v="0"/>
    <n v="107"/>
    <s v="_x0000_peopl"/>
  </r>
  <r>
    <x v="6"/>
    <n v="13.675000000000001"/>
    <n v="-89.199799999999996"/>
    <n v="4"/>
    <n v="0"/>
    <n v="0"/>
    <n v="107"/>
    <s v="_x0000_peopl"/>
  </r>
  <r>
    <x v="6"/>
    <n v="13.6858"/>
    <n v="-89.215299999999999"/>
    <n v="5"/>
    <n v="0"/>
    <n v="0"/>
    <n v="107"/>
    <s v="_x0000_peopl"/>
  </r>
  <r>
    <x v="6"/>
    <n v="13.691700000000001"/>
    <n v="-89.193399999999997"/>
    <n v="5"/>
    <n v="0"/>
    <n v="0"/>
    <n v="107"/>
    <s v="_x0000_peopl"/>
  </r>
  <r>
    <x v="6"/>
    <n v="13.6752"/>
    <n v="-89.200100000000006"/>
    <n v="4"/>
    <n v="0"/>
    <n v="0"/>
    <n v="107"/>
    <s v="_x0000_peopl"/>
  </r>
  <r>
    <x v="6"/>
    <n v="13.6884"/>
    <n v="-89.182699999999997"/>
    <n v="7"/>
    <n v="0"/>
    <n v="0"/>
    <n v="107"/>
    <s v="_x0000_peopl"/>
  </r>
  <r>
    <x v="6"/>
    <n v="13.6953"/>
    <n v="-89.173699999999997"/>
    <n v="5"/>
    <n v="0"/>
    <n v="0"/>
    <n v="107"/>
    <s v="_x0000_peopl"/>
  </r>
  <r>
    <x v="6"/>
    <n v="13.685600000000001"/>
    <n v="-89.215199999999996"/>
    <n v="4"/>
    <n v="0"/>
    <n v="0"/>
    <n v="107"/>
    <s v="_x0000_peopl"/>
  </r>
  <r>
    <x v="6"/>
    <n v="13.692399999999999"/>
    <n v="-89.196899999999999"/>
    <n v="8"/>
    <n v="0"/>
    <n v="0"/>
    <n v="107"/>
    <s v="_x0000_peopl"/>
  </r>
  <r>
    <x v="6"/>
    <n v="13.684699999999999"/>
    <n v="-89.215999999999994"/>
    <n v="6"/>
    <n v="0"/>
    <n v="0"/>
    <n v="107"/>
    <s v="_x0000_peopl"/>
  </r>
  <r>
    <x v="6"/>
    <n v="13.6959"/>
    <n v="-89.172200000000004"/>
    <n v="2"/>
    <n v="0"/>
    <n v="0"/>
    <n v="107"/>
    <s v="_x0000_peopl"/>
  </r>
  <r>
    <x v="6"/>
    <n v="13.6905"/>
    <n v="-89.177400000000006"/>
    <n v="5"/>
    <n v="0"/>
    <n v="0"/>
    <n v="107"/>
    <s v="_x0000_peopl"/>
  </r>
  <r>
    <x v="6"/>
    <n v="13.6914"/>
    <n v="-89.234200000000001"/>
    <n v="3"/>
    <n v="0"/>
    <n v="0"/>
    <n v="107"/>
    <s v="_x0000_peopl"/>
  </r>
  <r>
    <x v="6"/>
    <n v="13.6921"/>
    <n v="-89.223699999999994"/>
    <n v="7"/>
    <n v="0"/>
    <n v="0"/>
    <n v="107"/>
    <s v="_x0000_peopl"/>
  </r>
  <r>
    <x v="6"/>
    <n v="13.6808"/>
    <n v="-89.195999999999998"/>
    <n v="3"/>
    <n v="0"/>
    <n v="0"/>
    <n v="107"/>
    <s v="_x0000_peopl"/>
  </r>
  <r>
    <x v="6"/>
    <n v="13.692299999999999"/>
    <n v="-89.225899999999996"/>
    <n v="6"/>
    <n v="0"/>
    <n v="0"/>
    <n v="107"/>
    <s v="_x0000_peopl"/>
  </r>
  <r>
    <x v="6"/>
    <n v="13.6936"/>
    <n v="-89.176299999999998"/>
    <n v="2"/>
    <n v="0"/>
    <n v="0"/>
    <n v="107"/>
    <s v="_x0000_peopl"/>
  </r>
  <r>
    <x v="6"/>
    <n v="13.6942"/>
    <n v="-89.176299999999998"/>
    <n v="1"/>
    <n v="0"/>
    <n v="0"/>
    <n v="107"/>
    <s v="_x0000_peopl"/>
  </r>
  <r>
    <x v="6"/>
    <n v="13.6874"/>
    <n v="-89.197100000000006"/>
    <n v="9"/>
    <n v="0"/>
    <n v="0"/>
    <n v="107"/>
    <s v="_x0000_peopl"/>
  </r>
  <r>
    <x v="6"/>
    <n v="13.691700000000001"/>
    <n v="-89.226100000000002"/>
    <n v="6"/>
    <n v="0"/>
    <n v="0"/>
    <n v="107"/>
    <s v="_x0000_peopl"/>
  </r>
  <r>
    <x v="6"/>
    <n v="13.692500000000001"/>
    <n v="-89.184899999999999"/>
    <n v="4"/>
    <n v="0"/>
    <n v="0"/>
    <n v="107"/>
    <s v="_x0000_peopl"/>
  </r>
  <r>
    <x v="6"/>
    <n v="13.684900000000001"/>
    <n v="-89.216899999999995"/>
    <n v="3"/>
    <n v="0"/>
    <n v="0"/>
    <n v="107"/>
    <s v="_x0000_peopl"/>
  </r>
  <r>
    <x v="6"/>
    <n v="13.6915"/>
    <n v="-89.189400000000006"/>
    <n v="4"/>
    <n v="0"/>
    <n v="0"/>
    <n v="107"/>
    <s v="_x0000_peopl"/>
  </r>
  <r>
    <x v="6"/>
    <n v="13.692399999999999"/>
    <n v="-89.186999999999998"/>
    <n v="4"/>
    <n v="0"/>
    <n v="0"/>
    <n v="107"/>
    <s v="_x0000_peopl"/>
  </r>
  <r>
    <x v="6"/>
    <n v="13.694699999999999"/>
    <n v="-89.174800000000005"/>
    <n v="5"/>
    <n v="0"/>
    <n v="0"/>
    <n v="107"/>
    <s v="_x0000_peopl"/>
  </r>
  <r>
    <x v="6"/>
    <n v="13.697100000000001"/>
    <n v="-89.171499999999995"/>
    <n v="4"/>
    <n v="0"/>
    <n v="0"/>
    <n v="107"/>
    <s v="_x0000_peopl"/>
  </r>
  <r>
    <x v="6"/>
    <n v="13.692299999999999"/>
    <n v="-89.183599999999998"/>
    <n v="0"/>
    <n v="0"/>
    <n v="0"/>
    <n v="107"/>
    <s v="_x0000_peopl"/>
  </r>
  <r>
    <x v="6"/>
    <n v="13.694100000000001"/>
    <n v="-89.174899999999994"/>
    <n v="3"/>
    <n v="0"/>
    <n v="0"/>
    <n v="107"/>
    <s v="_x0000_peopl"/>
  </r>
  <r>
    <x v="6"/>
    <n v="13.6851"/>
    <n v="-89.202399999999997"/>
    <n v="3"/>
    <n v="0"/>
    <n v="0"/>
    <n v="107"/>
    <s v="_x0000_peopl"/>
  </r>
  <r>
    <x v="6"/>
    <n v="13.6745"/>
    <n v="-89.198999999999998"/>
    <n v="6"/>
    <n v="0"/>
    <n v="0"/>
    <n v="107"/>
    <s v="_x0000_peopl"/>
  </r>
  <r>
    <x v="6"/>
    <n v="13.677899999999999"/>
    <n v="-89.245599999999996"/>
    <n v="8"/>
    <n v="0"/>
    <n v="0"/>
    <n v="107"/>
    <s v="_x0000_peopl"/>
  </r>
  <r>
    <x v="6"/>
    <n v="13.6957"/>
    <n v="-89.173400000000001"/>
    <n v="8"/>
    <n v="0"/>
    <n v="0"/>
    <n v="107"/>
    <s v="_x0000_peopl"/>
  </r>
  <r>
    <x v="6"/>
    <n v="13.6858"/>
    <n v="-89.213700000000003"/>
    <n v="6"/>
    <n v="0"/>
    <n v="0"/>
    <n v="107"/>
    <s v="_x0000_peopl"/>
  </r>
  <r>
    <x v="6"/>
    <n v="13.6875"/>
    <n v="-89.196799999999996"/>
    <n v="4"/>
    <n v="0"/>
    <n v="0"/>
    <n v="107"/>
    <s v="_x0000_peopl"/>
  </r>
  <r>
    <x v="6"/>
    <n v="13.6915"/>
    <n v="-89.233599999999996"/>
    <n v="7"/>
    <n v="0"/>
    <n v="0"/>
    <n v="107"/>
    <s v="_x0000_peopl"/>
  </r>
  <r>
    <x v="6"/>
    <n v="13.6875"/>
    <n v="-89.194900000000004"/>
    <n v="4"/>
    <n v="0"/>
    <n v="0"/>
    <n v="107"/>
    <s v="_x0000_peopl"/>
  </r>
  <r>
    <x v="6"/>
    <n v="13.6793"/>
    <n v="-89.196799999999996"/>
    <n v="4"/>
    <n v="0"/>
    <n v="0"/>
    <n v="107"/>
    <s v="_x0000_peopl"/>
  </r>
  <r>
    <x v="6"/>
    <n v="13.6936"/>
    <n v="-89.173699999999997"/>
    <n v="3"/>
    <n v="0"/>
    <n v="0"/>
    <n v="107"/>
    <s v="_x0000_peopl"/>
  </r>
  <r>
    <x v="6"/>
    <n v="13.6884"/>
    <n v="-89.229500000000002"/>
    <n v="3"/>
    <n v="0"/>
    <n v="0"/>
    <n v="107"/>
    <s v="_x0000_peopl"/>
  </r>
  <r>
    <x v="6"/>
    <n v="13.692399999999999"/>
    <n v="-89.1845"/>
    <n v="6"/>
    <n v="0"/>
    <n v="0"/>
    <n v="107"/>
    <s v="_x0000_peopl"/>
  </r>
  <r>
    <x v="6"/>
    <n v="13.692"/>
    <n v="-89.227099999999993"/>
    <n v="5"/>
    <n v="0"/>
    <n v="0"/>
    <n v="107"/>
    <s v="_x0000_peopl"/>
  </r>
  <r>
    <x v="6"/>
    <n v="13.6904"/>
    <n v="-89.234099999999998"/>
    <n v="8"/>
    <n v="0"/>
    <n v="0"/>
    <n v="107"/>
    <s v="_x0000_peopl"/>
  </r>
  <r>
    <x v="6"/>
    <n v="13.6913"/>
    <n v="-89.234800000000007"/>
    <n v="6"/>
    <n v="0"/>
    <n v="0"/>
    <n v="107"/>
    <s v="_x0000_peopl"/>
  </r>
  <r>
    <x v="6"/>
    <n v="13.6957"/>
    <n v="-89.1661"/>
    <n v="4"/>
    <n v="0"/>
    <n v="0"/>
    <n v="107"/>
    <s v="_x0000_peopl"/>
  </r>
  <r>
    <x v="6"/>
    <n v="13.693"/>
    <n v="-89.177000000000007"/>
    <n v="4"/>
    <n v="0"/>
    <n v="0"/>
    <n v="107"/>
    <s v="_x0000_peopl"/>
  </r>
  <r>
    <x v="6"/>
    <n v="13.6897"/>
    <n v="-89.185599999999994"/>
    <n v="0"/>
    <n v="0"/>
    <n v="0"/>
    <n v="107"/>
    <s v="_x0000_peopl"/>
  </r>
  <r>
    <x v="6"/>
    <n v="13.6852"/>
    <n v="-89.194000000000003"/>
    <n v="2"/>
    <n v="0"/>
    <n v="0"/>
    <n v="107"/>
    <s v="_x0000_peopl"/>
  </r>
  <r>
    <x v="6"/>
    <n v="13.6919"/>
    <n v="-89.181700000000006"/>
    <n v="5"/>
    <n v="0"/>
    <n v="0"/>
    <n v="107"/>
    <s v="_x0000_peopl"/>
  </r>
  <r>
    <x v="6"/>
    <n v="13.6851"/>
    <n v="-89.193700000000007"/>
    <n v="5"/>
    <n v="0"/>
    <n v="0"/>
    <n v="107"/>
    <s v="_x0000_peopl"/>
  </r>
  <r>
    <x v="6"/>
    <n v="13.693"/>
    <n v="-89.185699999999997"/>
    <n v="4"/>
    <n v="0"/>
    <n v="0"/>
    <n v="107"/>
    <s v="_x0000_peopl"/>
  </r>
  <r>
    <x v="6"/>
    <n v="13.692399999999999"/>
    <n v="-89.182900000000004"/>
    <n v="5"/>
    <n v="0"/>
    <n v="0"/>
    <n v="107"/>
    <s v="_x0000_peopl"/>
  </r>
  <r>
    <x v="6"/>
    <n v="13.6739"/>
    <n v="-89.203100000000006"/>
    <n v="6"/>
    <n v="0"/>
    <n v="0"/>
    <n v="107"/>
    <s v="_x0000_peopl"/>
  </r>
  <r>
    <x v="6"/>
    <n v="13.6873"/>
    <n v="-89.216999999999999"/>
    <n v="5"/>
    <n v="0"/>
    <n v="0"/>
    <n v="107"/>
    <s v="_x0000_peopl"/>
  </r>
  <r>
    <x v="6"/>
    <n v="13.6942"/>
    <n v="-89.190200000000004"/>
    <n v="3"/>
    <n v="0"/>
    <n v="0"/>
    <n v="107"/>
    <s v="_x0000_peopl"/>
  </r>
  <r>
    <x v="6"/>
    <n v="13.696199999999999"/>
    <n v="-89.167000000000002"/>
    <n v="7"/>
    <n v="0"/>
    <n v="0"/>
    <n v="107"/>
    <s v="_x0000_peopl"/>
  </r>
  <r>
    <x v="6"/>
    <n v="13.6915"/>
    <n v="-89.189400000000006"/>
    <n v="7"/>
    <n v="0"/>
    <n v="0"/>
    <n v="107"/>
    <s v="_x0000_peopl"/>
  </r>
  <r>
    <x v="6"/>
    <n v="13.690799999999999"/>
    <n v="-89.2346"/>
    <n v="6"/>
    <n v="0"/>
    <n v="0"/>
    <n v="107"/>
    <s v="_x0000_peopl"/>
  </r>
  <r>
    <x v="6"/>
    <n v="13.694800000000001"/>
    <n v="-89.183099999999996"/>
    <n v="4"/>
    <n v="0"/>
    <n v="0"/>
    <n v="107"/>
    <s v="_x0000_peopl"/>
  </r>
  <r>
    <x v="6"/>
    <n v="13.6873"/>
    <n v="-89.194400000000002"/>
    <n v="6"/>
    <n v="0"/>
    <n v="0"/>
    <n v="107"/>
    <s v="_x0000_peopl"/>
  </r>
  <r>
    <x v="6"/>
    <n v="13.6874"/>
    <n v="-89.216700000000003"/>
    <n v="7"/>
    <n v="0"/>
    <n v="0"/>
    <n v="107"/>
    <s v="_x0000_peopl"/>
  </r>
  <r>
    <x v="6"/>
    <n v="13.6861"/>
    <n v="-89.214799999999997"/>
    <n v="9"/>
    <n v="0"/>
    <n v="0"/>
    <n v="107"/>
    <s v="_x0000_peopl"/>
  </r>
  <r>
    <x v="6"/>
    <n v="13.690799999999999"/>
    <n v="-89.181200000000004"/>
    <n v="4"/>
    <n v="0"/>
    <n v="0"/>
    <n v="107"/>
    <s v="_x0000_peopl"/>
  </r>
  <r>
    <x v="6"/>
    <n v="13.688800000000001"/>
    <n v="-89.1982"/>
    <n v="3"/>
    <n v="0"/>
    <n v="0"/>
    <n v="107"/>
    <s v="_x0000_peopl"/>
  </r>
  <r>
    <x v="6"/>
    <n v="13.6898"/>
    <n v="-89.177599999999998"/>
    <n v="2"/>
    <n v="0"/>
    <n v="0"/>
    <n v="107"/>
    <s v="_x0000_peopl"/>
  </r>
  <r>
    <x v="6"/>
    <n v="13.679600000000001"/>
    <n v="-89.196799999999996"/>
    <n v="3"/>
    <n v="0"/>
    <n v="0"/>
    <n v="107"/>
    <s v="_x0000_peopl"/>
  </r>
  <r>
    <x v="6"/>
    <n v="13.694000000000001"/>
    <n v="-89.175200000000004"/>
    <n v="4"/>
    <n v="0"/>
    <n v="0"/>
    <n v="107"/>
    <s v="_x0000_peopl"/>
  </r>
  <r>
    <x v="6"/>
    <n v="13.6915"/>
    <n v="-89.234999999999999"/>
    <n v="8"/>
    <n v="0"/>
    <n v="0"/>
    <n v="107"/>
    <s v="_x0000_peopl"/>
  </r>
  <r>
    <x v="6"/>
    <n v="13.6785"/>
    <n v="-89.1965"/>
    <n v="4"/>
    <n v="0"/>
    <n v="0"/>
    <n v="107"/>
    <s v="_x0000_peopl"/>
  </r>
  <r>
    <x v="6"/>
    <n v="13.696"/>
    <n v="-89.1661"/>
    <n v="5"/>
    <n v="0"/>
    <n v="0"/>
    <n v="107"/>
    <s v="_x0000_peopl"/>
  </r>
  <r>
    <x v="6"/>
    <n v="13.6927"/>
    <n v="-89.189599999999999"/>
    <n v="5"/>
    <n v="0"/>
    <n v="0"/>
    <n v="107"/>
    <s v="_x0000_peopl"/>
  </r>
  <r>
    <x v="6"/>
    <n v="13.685499999999999"/>
    <n v="-89.202200000000005"/>
    <n v="6"/>
    <n v="0"/>
    <n v="0"/>
    <n v="107"/>
    <s v="_x0000_peopl"/>
  </r>
  <r>
    <x v="6"/>
    <n v="13.691700000000001"/>
    <n v="-89.227000000000004"/>
    <n v="2"/>
    <n v="0"/>
    <n v="0"/>
    <n v="107"/>
    <s v="_x0000_peopl"/>
  </r>
  <r>
    <x v="6"/>
    <n v="13.6858"/>
    <n v="-89.204400000000007"/>
    <n v="6"/>
    <n v="0"/>
    <n v="0"/>
    <n v="107"/>
    <s v="_x0000_peopl"/>
  </r>
  <r>
    <x v="6"/>
    <n v="13.6907"/>
    <n v="-89.186099999999996"/>
    <n v="7"/>
    <n v="0"/>
    <n v="0"/>
    <n v="107"/>
    <s v="_x0000_peopl"/>
  </r>
  <r>
    <x v="6"/>
    <n v="13.690300000000001"/>
    <n v="-89.234800000000007"/>
    <n v="5"/>
    <n v="0"/>
    <n v="0"/>
    <n v="107"/>
    <s v="_x0000_peopl"/>
  </r>
  <r>
    <x v="6"/>
    <n v="13.689399999999999"/>
    <n v="-89.197400000000002"/>
    <n v="6"/>
    <n v="0"/>
    <n v="0"/>
    <n v="107"/>
    <s v="_x0000_peopl"/>
  </r>
  <r>
    <x v="6"/>
    <n v="13.6921"/>
    <n v="-89.183400000000006"/>
    <n v="6"/>
    <n v="0"/>
    <n v="0"/>
    <n v="107"/>
    <s v="_x0000_peopl"/>
  </r>
  <r>
    <x v="6"/>
    <n v="13.6854"/>
    <n v="-89.204499999999996"/>
    <n v="4"/>
    <n v="0"/>
    <n v="0"/>
    <n v="107"/>
    <s v="_x0000_peopl"/>
  </r>
  <r>
    <x v="6"/>
    <n v="13.6906"/>
    <n v="-89.1815"/>
    <n v="8"/>
    <n v="0"/>
    <n v="0"/>
    <n v="107"/>
    <s v="_x0000_peopl"/>
  </r>
  <r>
    <x v="6"/>
    <n v="13.692600000000001"/>
    <n v="-89.175799999999995"/>
    <n v="8"/>
    <n v="0"/>
    <n v="0"/>
    <n v="107"/>
    <s v="_x0000_peopl"/>
  </r>
  <r>
    <x v="6"/>
    <n v="13.6914"/>
    <n v="-89.225800000000007"/>
    <n v="7"/>
    <n v="0"/>
    <n v="0"/>
    <n v="107"/>
    <s v="_x0000_peopl"/>
  </r>
  <r>
    <x v="6"/>
    <n v="13.688800000000001"/>
    <n v="-89.181399999999996"/>
    <n v="4"/>
    <n v="0"/>
    <n v="0"/>
    <n v="107"/>
    <s v="_x0000_peopl"/>
  </r>
  <r>
    <x v="6"/>
    <n v="13.6876"/>
    <n v="-89.216800000000006"/>
    <n v="10"/>
    <n v="0"/>
    <n v="0"/>
    <n v="107"/>
    <s v="_x0000_peopl"/>
  </r>
  <r>
    <x v="6"/>
    <n v="13.6866"/>
    <n v="-89.214399999999998"/>
    <n v="3"/>
    <n v="0"/>
    <n v="0"/>
    <n v="107"/>
    <s v="_x0000_peopl"/>
  </r>
  <r>
    <x v="6"/>
    <n v="13.686199999999999"/>
    <n v="-89.198099999999997"/>
    <n v="2"/>
    <n v="0"/>
    <n v="0"/>
    <n v="107"/>
    <s v="_x0000_peopl"/>
  </r>
  <r>
    <x v="6"/>
    <n v="13.6921"/>
    <n v="-89.178600000000003"/>
    <n v="1"/>
    <n v="0"/>
    <n v="0"/>
    <n v="107"/>
    <s v="_x0000_peopl"/>
  </r>
  <r>
    <x v="6"/>
    <n v="13.6861"/>
    <n v="-89.193899999999999"/>
    <n v="4"/>
    <n v="0"/>
    <n v="0"/>
    <n v="107"/>
    <s v="_x0000_peopl"/>
  </r>
  <r>
    <x v="6"/>
    <n v="13.6972"/>
    <n v="-89.171400000000006"/>
    <n v="3"/>
    <n v="0"/>
    <n v="0"/>
    <n v="107"/>
    <s v="_x0000_peopl"/>
  </r>
  <r>
    <x v="6"/>
    <n v="13.686999999999999"/>
    <n v="-89.194599999999994"/>
    <n v="2"/>
    <n v="0"/>
    <n v="0"/>
    <n v="107"/>
    <s v="_x0000_peopl"/>
  </r>
  <r>
    <x v="6"/>
    <n v="13.6915"/>
    <n v="-89.176599999999993"/>
    <n v="5"/>
    <n v="0"/>
    <n v="0"/>
    <n v="107"/>
    <s v="_x0000_peopl"/>
  </r>
  <r>
    <x v="6"/>
    <n v="13.686"/>
    <n v="-89.215400000000002"/>
    <n v="1"/>
    <n v="0"/>
    <n v="0"/>
    <n v="107"/>
    <s v="_x0000_peopl"/>
  </r>
  <r>
    <x v="6"/>
    <n v="13.6927"/>
    <n v="-89.184200000000004"/>
    <n v="5"/>
    <n v="0"/>
    <n v="0"/>
    <n v="107"/>
    <s v="_x0000_peopl"/>
  </r>
  <r>
    <x v="6"/>
    <n v="13.6929"/>
    <n v="-89.184700000000007"/>
    <n v="3"/>
    <n v="0"/>
    <n v="0"/>
    <n v="107"/>
    <s v="_x0000_peopl"/>
  </r>
  <r>
    <x v="6"/>
    <n v="13.6869"/>
    <n v="-89.191500000000005"/>
    <n v="7"/>
    <n v="0"/>
    <n v="0"/>
    <n v="107"/>
    <s v="_x0000_peopl"/>
  </r>
  <r>
    <x v="6"/>
    <n v="13.6877"/>
    <n v="-89.181399999999996"/>
    <n v="5"/>
    <n v="0"/>
    <n v="0"/>
    <n v="107"/>
    <s v="_x0000_peopl"/>
  </r>
  <r>
    <x v="6"/>
    <n v="13.691800000000001"/>
    <n v="-89.195999999999998"/>
    <n v="6"/>
    <n v="0"/>
    <n v="0"/>
    <n v="107"/>
    <s v="_x0000_peopl"/>
  </r>
  <r>
    <x v="6"/>
    <n v="13.685"/>
    <n v="-89.203000000000003"/>
    <n v="6"/>
    <n v="0"/>
    <n v="0"/>
    <n v="107"/>
    <s v="_x0000_peopl"/>
  </r>
  <r>
    <x v="6"/>
    <n v="13.6942"/>
    <n v="-89.190200000000004"/>
    <n v="6"/>
    <n v="0"/>
    <n v="0"/>
    <n v="107"/>
    <s v="_x0000_peopl"/>
  </r>
  <r>
    <x v="6"/>
    <n v="13.6882"/>
    <n v="-89.216700000000003"/>
    <n v="5"/>
    <n v="0"/>
    <n v="0"/>
    <n v="107"/>
    <s v="_x0000_peopl"/>
  </r>
  <r>
    <x v="6"/>
    <n v="13.675000000000001"/>
    <n v="-89.1999"/>
    <n v="3"/>
    <n v="0"/>
    <n v="0"/>
    <n v="107"/>
    <s v="_x0000_peopl"/>
  </r>
  <r>
    <x v="6"/>
    <n v="13.6907"/>
    <n v="-89.195499999999996"/>
    <n v="4"/>
    <n v="0"/>
    <n v="0"/>
    <n v="107"/>
    <s v="_x0000_peopl"/>
  </r>
  <r>
    <x v="6"/>
    <n v="13.6906"/>
    <n v="-89.179000000000002"/>
    <n v="3"/>
    <n v="0"/>
    <n v="0"/>
    <n v="107"/>
    <s v="_x0000_peopl"/>
  </r>
  <r>
    <x v="6"/>
    <n v="13.691800000000001"/>
    <n v="-89.194299999999998"/>
    <n v="7"/>
    <n v="0"/>
    <n v="0"/>
    <n v="107"/>
    <s v="_x0000_peopl"/>
  </r>
  <r>
    <x v="6"/>
    <n v="13.6868"/>
    <n v="-89.181700000000006"/>
    <n v="4"/>
    <n v="0"/>
    <n v="0"/>
    <n v="107"/>
    <s v="_x0000_peopl"/>
  </r>
  <r>
    <x v="6"/>
    <n v="13.6922"/>
    <n v="-89.177999999999997"/>
    <n v="6"/>
    <n v="0"/>
    <n v="0"/>
    <n v="107"/>
    <s v="_x0000_peopl"/>
  </r>
  <r>
    <x v="6"/>
    <n v="13.692299999999999"/>
    <n v="-89.189700000000002"/>
    <n v="7"/>
    <n v="0"/>
    <n v="0"/>
    <n v="107"/>
    <s v="_x0000_peopl"/>
  </r>
  <r>
    <x v="6"/>
    <n v="13.6919"/>
    <n v="-89.225399999999993"/>
    <n v="5"/>
    <n v="0"/>
    <n v="0"/>
    <n v="107"/>
    <s v="_x0000_peopl"/>
  </r>
  <r>
    <x v="6"/>
    <n v="13.6952"/>
    <n v="-89.183300000000003"/>
    <n v="7"/>
    <n v="0"/>
    <n v="0"/>
    <n v="107"/>
    <s v="_x0000_peopl"/>
  </r>
  <r>
    <x v="6"/>
    <n v="13.674799999999999"/>
    <n v="-89.249399999999994"/>
    <n v="6"/>
    <n v="0"/>
    <n v="0"/>
    <n v="107"/>
    <s v="_x0000_peopl"/>
  </r>
  <r>
    <x v="6"/>
    <n v="13.6752"/>
    <n v="-89.250299999999996"/>
    <n v="3"/>
    <n v="0"/>
    <n v="0"/>
    <n v="107"/>
    <s v="_x0000_peopl"/>
  </r>
  <r>
    <x v="6"/>
    <n v="13.688000000000001"/>
    <n v="-89.237200000000001"/>
    <n v="8"/>
    <n v="0"/>
    <n v="0"/>
    <n v="107"/>
    <s v="_x0000_peopl"/>
  </r>
  <r>
    <x v="6"/>
    <n v="13.690300000000001"/>
    <n v="-89.186800000000005"/>
    <n v="3"/>
    <n v="0"/>
    <n v="0"/>
    <n v="107"/>
    <s v="_x0000_peopl"/>
  </r>
  <r>
    <x v="6"/>
    <n v="13.6754"/>
    <n v="-89.251800000000003"/>
    <n v="7"/>
    <n v="0"/>
    <n v="0"/>
    <n v="107"/>
    <s v="_x0000_peopl"/>
  </r>
  <r>
    <x v="6"/>
    <n v="13.6906"/>
    <n v="-89.232100000000003"/>
    <n v="7"/>
    <n v="0"/>
    <n v="0"/>
    <n v="107"/>
    <s v="_x0000_peopl"/>
  </r>
  <r>
    <x v="6"/>
    <n v="13.6752"/>
    <n v="-89.251999999999995"/>
    <n v="8"/>
    <n v="0"/>
    <n v="0"/>
    <n v="107"/>
    <s v="_x0000_peopl"/>
  </r>
  <r>
    <x v="6"/>
    <n v="13.691599999999999"/>
    <n v="-89.2256"/>
    <n v="8"/>
    <n v="0"/>
    <n v="0"/>
    <n v="107"/>
    <s v="_x0000_peopl"/>
  </r>
  <r>
    <x v="6"/>
    <n v="13.688599999999999"/>
    <n v="-89.215999999999994"/>
    <n v="4"/>
    <n v="0"/>
    <n v="0"/>
    <n v="107"/>
    <s v="_x0000_peopl"/>
  </r>
  <r>
    <x v="6"/>
    <n v="13.674200000000001"/>
    <n v="-89.252200000000002"/>
    <n v="5"/>
    <n v="0"/>
    <n v="0"/>
    <n v="107"/>
    <s v="_x0000_peopl"/>
  </r>
  <r>
    <x v="6"/>
    <n v="13.6859"/>
    <n v="-89.213999999999999"/>
    <n v="6"/>
    <n v="0"/>
    <n v="0"/>
    <n v="107"/>
    <s v="_x0000_peopl"/>
  </r>
  <r>
    <x v="6"/>
    <n v="13.685700000000001"/>
    <n v="-89.211500000000001"/>
    <n v="3"/>
    <n v="0"/>
    <n v="0"/>
    <n v="107"/>
    <s v="_x0000_peopl"/>
  </r>
  <r>
    <x v="6"/>
    <n v="13.690799999999999"/>
    <n v="-89.235799999999998"/>
    <n v="7"/>
    <n v="0"/>
    <n v="0"/>
    <n v="107"/>
    <s v="_x0000_peopl"/>
  </r>
  <r>
    <x v="6"/>
    <n v="13.692600000000001"/>
    <n v="-89.225399999999993"/>
    <n v="8"/>
    <n v="0"/>
    <n v="0"/>
    <n v="107"/>
    <s v="_x0000_peopl"/>
  </r>
  <r>
    <x v="6"/>
    <n v="13.6874"/>
    <n v="-89.194400000000002"/>
    <n v="4"/>
    <n v="0"/>
    <n v="0"/>
    <n v="107"/>
    <s v="_x0000_peopl"/>
  </r>
  <r>
    <x v="6"/>
    <n v="13.6854"/>
    <n v="-89.201400000000007"/>
    <n v="6"/>
    <n v="0"/>
    <n v="0"/>
    <n v="107"/>
    <s v="_x0000_peopl"/>
  </r>
  <r>
    <x v="6"/>
    <n v="13.686999999999999"/>
    <n v="-89.194599999999994"/>
    <n v="6"/>
    <n v="0"/>
    <n v="0"/>
    <n v="107"/>
    <s v="_x0000_peopl"/>
  </r>
  <r>
    <x v="6"/>
    <n v="13.688000000000001"/>
    <n v="-89.236999999999995"/>
    <n v="5"/>
    <n v="0"/>
    <n v="0"/>
    <n v="107"/>
    <s v="_x0000_peopl"/>
  </r>
  <r>
    <x v="6"/>
    <n v="13.6882"/>
    <n v="-89.229500000000002"/>
    <n v="4"/>
    <n v="0"/>
    <n v="0"/>
    <n v="107"/>
    <s v="_x0000_peopl"/>
  </r>
  <r>
    <x v="6"/>
    <n v="13.6866"/>
    <n v="-89.212599999999995"/>
    <n v="5"/>
    <n v="0"/>
    <n v="0"/>
    <n v="107"/>
    <s v="_x0000_peopl"/>
  </r>
  <r>
    <x v="6"/>
    <n v="13.689299999999999"/>
    <n v="-89.203000000000003"/>
    <n v="5"/>
    <n v="0"/>
    <n v="0"/>
    <n v="107"/>
    <s v="_x0000_peopl"/>
  </r>
  <r>
    <x v="6"/>
    <n v="13.688599999999999"/>
    <n v="-89.180099999999996"/>
    <n v="5"/>
    <n v="0"/>
    <n v="0"/>
    <n v="107"/>
    <s v="_x0000_peopl"/>
  </r>
  <r>
    <x v="6"/>
    <n v="13.6883"/>
    <n v="-89.204300000000003"/>
    <n v="5"/>
    <n v="0"/>
    <n v="0"/>
    <n v="107"/>
    <s v="_x0000_peopl"/>
  </r>
  <r>
    <x v="6"/>
    <n v="13.692399999999999"/>
    <n v="-89.174599999999998"/>
    <n v="9"/>
    <n v="0"/>
    <n v="0"/>
    <n v="107"/>
    <s v="_x0000_peopl"/>
  </r>
  <r>
    <x v="6"/>
    <n v="13.6959"/>
    <n v="-89.172499999999999"/>
    <n v="6"/>
    <n v="0"/>
    <n v="0"/>
    <n v="107"/>
    <s v="_x0000_peopl"/>
  </r>
  <r>
    <x v="6"/>
    <n v="13.6869"/>
    <n v="-89.191500000000005"/>
    <n v="5"/>
    <n v="0"/>
    <n v="0"/>
    <n v="107"/>
    <s v="_x0000_peopl"/>
  </r>
  <r>
    <x v="6"/>
    <n v="13.6846"/>
    <n v="-89.217200000000005"/>
    <n v="1"/>
    <n v="0"/>
    <n v="0"/>
    <n v="107"/>
    <s v="_x0000_peopl"/>
  </r>
  <r>
    <x v="6"/>
    <n v="13.684900000000001"/>
    <n v="-89.213999999999999"/>
    <n v="6"/>
    <n v="0"/>
    <n v="0"/>
    <n v="107"/>
    <s v="_x0000_peopl"/>
  </r>
  <r>
    <x v="6"/>
    <n v="13.6958"/>
    <n v="-89.165599999999998"/>
    <n v="4"/>
    <n v="0"/>
    <n v="0"/>
    <n v="107"/>
    <s v="_x0000_peopl"/>
  </r>
  <r>
    <x v="6"/>
    <n v="13.6919"/>
    <n v="-89.194100000000006"/>
    <n v="3"/>
    <n v="0"/>
    <n v="0"/>
    <n v="107"/>
    <s v="_x0000_peopl"/>
  </r>
  <r>
    <x v="6"/>
    <n v="13.6889"/>
    <n v="-89.229600000000005"/>
    <n v="4"/>
    <n v="0"/>
    <n v="0"/>
    <n v="107"/>
    <s v="_x0000_peopl"/>
  </r>
  <r>
    <x v="6"/>
    <n v="13.6868"/>
    <n v="-89.212999999999994"/>
    <n v="3"/>
    <n v="0"/>
    <n v="0"/>
    <n v="107"/>
    <s v="_x0000_peopl"/>
  </r>
  <r>
    <x v="6"/>
    <n v="13.6906"/>
    <n v="-89.232100000000003"/>
    <n v="5"/>
    <n v="0"/>
    <n v="0"/>
    <n v="107"/>
    <s v="_x0000_peopl"/>
  </r>
  <r>
    <x v="6"/>
    <n v="13.6919"/>
    <n v="-89.1815"/>
    <n v="9"/>
    <n v="0"/>
    <n v="0"/>
    <n v="107"/>
    <s v="_x0000_peopl"/>
  </r>
  <r>
    <x v="6"/>
    <n v="13.674899999999999"/>
    <n v="-89.249799999999993"/>
    <n v="6"/>
    <n v="0"/>
    <n v="0"/>
    <n v="107"/>
    <s v="_x0000_peopl"/>
  </r>
  <r>
    <x v="6"/>
    <n v="13.675000000000001"/>
    <n v="-89.252300000000005"/>
    <n v="3"/>
    <n v="0"/>
    <n v="0"/>
    <n v="107"/>
    <s v="_x0000_peopl"/>
  </r>
  <r>
    <x v="6"/>
    <n v="13.694100000000001"/>
    <n v="-89.176500000000004"/>
    <n v="6"/>
    <n v="0"/>
    <n v="0"/>
    <n v="107"/>
    <s v="_x0000_peopl"/>
  </r>
  <r>
    <x v="6"/>
    <n v="13.6852"/>
    <n v="-89.211399999999998"/>
    <n v="1"/>
    <n v="0"/>
    <n v="0"/>
    <n v="107"/>
    <s v="_x0000_peopl"/>
  </r>
  <r>
    <x v="6"/>
    <n v="13.694699999999999"/>
    <n v="-89.185500000000005"/>
    <n v="6"/>
    <n v="0"/>
    <n v="0"/>
    <n v="107"/>
    <s v="_x0000_peopl"/>
  </r>
  <r>
    <x v="6"/>
    <n v="13.6854"/>
    <n v="-89.211200000000005"/>
    <n v="6"/>
    <n v="0"/>
    <n v="0"/>
    <n v="107"/>
    <s v="_x0000_peopl"/>
  </r>
  <r>
    <x v="6"/>
    <n v="13.690899999999999"/>
    <n v="-89.235600000000005"/>
    <n v="10"/>
    <n v="0"/>
    <n v="0"/>
    <n v="107"/>
    <s v="_x0000_peopl"/>
  </r>
  <r>
    <x v="6"/>
    <n v="13.6959"/>
    <n v="-89.173100000000005"/>
    <n v="5"/>
    <n v="0"/>
    <n v="0"/>
    <n v="107"/>
    <s v="_x0000_peopl"/>
  </r>
  <r>
    <x v="6"/>
    <n v="13.6884"/>
    <n v="-89.204300000000003"/>
    <n v="2"/>
    <n v="0"/>
    <n v="0"/>
    <n v="107"/>
    <s v="_x0000_peopl"/>
  </r>
  <r>
    <x v="6"/>
    <n v="13.6897"/>
    <n v="-89.228700000000003"/>
    <n v="4"/>
    <n v="0"/>
    <n v="0"/>
    <n v="107"/>
    <s v="_x0000_peopl"/>
  </r>
  <r>
    <x v="6"/>
    <n v="13.6898"/>
    <n v="-89.229399999999998"/>
    <n v="8"/>
    <n v="0"/>
    <n v="0"/>
    <n v="107"/>
    <s v="_x0000_peopl"/>
  </r>
  <r>
    <x v="6"/>
    <n v="13.6769"/>
    <n v="-89.247600000000006"/>
    <n v="3"/>
    <n v="0"/>
    <n v="0"/>
    <n v="107"/>
    <s v="_x0000_peopl"/>
  </r>
  <r>
    <x v="6"/>
    <n v="13.6846"/>
    <n v="-89.214200000000005"/>
    <n v="7"/>
    <n v="0"/>
    <n v="0"/>
    <n v="107"/>
    <s v="_x0000_peopl"/>
  </r>
  <r>
    <x v="6"/>
    <n v="13.6915"/>
    <n v="-89.179599999999994"/>
    <n v="5"/>
    <n v="0"/>
    <n v="0"/>
    <n v="107"/>
    <s v="_x0000_peopl"/>
  </r>
  <r>
    <x v="6"/>
    <n v="13.6915"/>
    <n v="-89.178799999999995"/>
    <n v="4"/>
    <n v="0"/>
    <n v="0"/>
    <n v="107"/>
    <s v="_x0000_peopl"/>
  </r>
  <r>
    <x v="6"/>
    <n v="13.6899"/>
    <n v="-89.195700000000002"/>
    <n v="8"/>
    <n v="0"/>
    <n v="0"/>
    <n v="107"/>
    <s v="_x0000_peopl"/>
  </r>
  <r>
    <x v="6"/>
    <n v="13.6792"/>
    <n v="-89.197199999999995"/>
    <n v="7"/>
    <n v="0"/>
    <n v="0"/>
    <n v="107"/>
    <s v="_x0000_peopl"/>
  </r>
  <r>
    <x v="6"/>
    <n v="13.6907"/>
    <n v="-89.189400000000006"/>
    <n v="6"/>
    <n v="0"/>
    <n v="0"/>
    <n v="107"/>
    <s v="_x0000_peopl"/>
  </r>
  <r>
    <x v="6"/>
    <n v="13.674300000000001"/>
    <n v="-89.199299999999994"/>
    <n v="1"/>
    <n v="0"/>
    <n v="0"/>
    <n v="107"/>
    <s v="_x0000_peopl"/>
  </r>
  <r>
    <x v="6"/>
    <n v="13.6868"/>
    <n v="-89.181799999999996"/>
    <n v="3"/>
    <n v="0"/>
    <n v="0"/>
    <n v="107"/>
    <s v="_x0000_peopl"/>
  </r>
  <r>
    <x v="6"/>
    <n v="13.694800000000001"/>
    <n v="-89.174300000000002"/>
    <n v="2"/>
    <n v="0"/>
    <n v="0"/>
    <n v="107"/>
    <s v="_x0000_peopl"/>
  </r>
  <r>
    <x v="6"/>
    <n v="13.688700000000001"/>
    <n v="-89.229600000000005"/>
    <n v="1"/>
    <n v="0"/>
    <n v="0"/>
    <n v="107"/>
    <s v="_x0000_peopl"/>
  </r>
  <r>
    <x v="6"/>
    <n v="13.691700000000001"/>
    <n v="-89.225399999999993"/>
    <n v="2"/>
    <n v="0"/>
    <n v="0"/>
    <n v="107"/>
    <s v="_x0000_peopl"/>
  </r>
  <r>
    <x v="6"/>
    <n v="13.6914"/>
    <n v="-89.183000000000007"/>
    <n v="11"/>
    <n v="0"/>
    <n v="0"/>
    <n v="107"/>
    <s v="_x0000_peopl"/>
  </r>
  <r>
    <x v="6"/>
    <n v="13.687200000000001"/>
    <n v="-89.194599999999994"/>
    <n v="4"/>
    <n v="0"/>
    <n v="0"/>
    <n v="107"/>
    <s v="_x0000_peopl"/>
  </r>
  <r>
    <x v="6"/>
    <n v="13.692500000000001"/>
    <n v="-89.183300000000003"/>
    <n v="4"/>
    <n v="0"/>
    <n v="0"/>
    <n v="107"/>
    <s v="_x0000_peopl"/>
  </r>
  <r>
    <x v="6"/>
    <n v="13.6966"/>
    <n v="-89.1721"/>
    <n v="1"/>
    <n v="0"/>
    <n v="0"/>
    <n v="107"/>
    <s v="_x0000_peopl"/>
  </r>
  <r>
    <x v="6"/>
    <n v="13.6906"/>
    <n v="-89.231800000000007"/>
    <n v="4"/>
    <n v="0"/>
    <n v="0"/>
    <n v="107"/>
    <s v="_x0000_peopl"/>
  </r>
  <r>
    <x v="6"/>
    <n v="13.6913"/>
    <n v="-89.186199999999999"/>
    <n v="3"/>
    <n v="0"/>
    <n v="0"/>
    <n v="107"/>
    <s v="_x0000_peopl"/>
  </r>
  <r>
    <x v="6"/>
    <n v="13.6928"/>
    <n v="-89.183999999999997"/>
    <n v="3"/>
    <n v="0"/>
    <n v="0"/>
    <n v="107"/>
    <s v="_x0000_peopl"/>
  </r>
  <r>
    <x v="6"/>
    <n v="13.689500000000001"/>
    <n v="-89.229299999999995"/>
    <n v="3"/>
    <n v="0"/>
    <n v="0"/>
    <n v="107"/>
    <s v="_x0000_peopl"/>
  </r>
  <r>
    <x v="6"/>
    <n v="13.6873"/>
    <n v="-89.197599999999994"/>
    <n v="1"/>
    <n v="0"/>
    <n v="0"/>
    <n v="107"/>
    <s v="_x0000_peopl"/>
  </r>
  <r>
    <x v="6"/>
    <n v="13.6905"/>
    <n v="-89.2346"/>
    <n v="8"/>
    <n v="0"/>
    <n v="0"/>
    <n v="107"/>
    <s v="_x0000_peopl"/>
  </r>
  <r>
    <x v="6"/>
    <n v="13.6919"/>
    <n v="-89.194400000000002"/>
    <n v="5"/>
    <n v="0"/>
    <n v="0"/>
    <n v="107"/>
    <s v="_x0000_peopl"/>
  </r>
  <r>
    <x v="6"/>
    <n v="13.691000000000001"/>
    <n v="-89.233599999999996"/>
    <n v="7"/>
    <n v="0"/>
    <n v="0"/>
    <n v="107"/>
    <s v="_x0000_peopl"/>
  </r>
  <r>
    <x v="6"/>
    <n v="13.693300000000001"/>
    <n v="-89.1892"/>
    <n v="0"/>
    <n v="0"/>
    <n v="0"/>
    <n v="107"/>
    <s v="_x0000_peopl"/>
  </r>
  <r>
    <x v="6"/>
    <n v="13.693300000000001"/>
    <n v="-89.1785"/>
    <n v="8"/>
    <n v="0"/>
    <n v="0"/>
    <n v="107"/>
    <s v="_x0000_peopl"/>
  </r>
  <r>
    <x v="6"/>
    <n v="13.688800000000001"/>
    <n v="-89.203999999999994"/>
    <n v="5"/>
    <n v="0"/>
    <n v="0"/>
    <n v="107"/>
    <s v="_x0000_peopl"/>
  </r>
  <r>
    <x v="6"/>
    <n v="13.6913"/>
    <n v="-89.234099999999998"/>
    <n v="4"/>
    <n v="0"/>
    <n v="0"/>
    <n v="107"/>
    <s v="_x0000_peopl"/>
  </r>
  <r>
    <x v="6"/>
    <n v="13.6914"/>
    <n v="-89.219899999999996"/>
    <n v="6"/>
    <n v="0"/>
    <n v="0"/>
    <n v="107"/>
    <s v="_x0000_peopl"/>
  </r>
  <r>
    <x v="6"/>
    <n v="13.6868"/>
    <n v="-89.202799999999996"/>
    <n v="8"/>
    <n v="0"/>
    <n v="0"/>
    <n v="107"/>
    <s v="_x0000_peopl"/>
  </r>
  <r>
    <x v="6"/>
    <n v="13.676500000000001"/>
    <n v="-89.247900000000001"/>
    <n v="7"/>
    <n v="0"/>
    <n v="0"/>
    <n v="107"/>
    <s v="_x0000_peopl"/>
  </r>
  <r>
    <x v="6"/>
    <n v="13.6945"/>
    <n v="-89.172799999999995"/>
    <n v="4"/>
    <n v="0"/>
    <n v="0"/>
    <n v="107"/>
    <s v="_x0000_peopl"/>
  </r>
  <r>
    <x v="6"/>
    <n v="13.6953"/>
    <n v="-89.173199999999994"/>
    <n v="5"/>
    <n v="0"/>
    <n v="0"/>
    <n v="107"/>
    <s v="_x0000_peopl"/>
  </r>
  <r>
    <x v="6"/>
    <n v="13.6876"/>
    <n v="-89.192099999999996"/>
    <n v="5"/>
    <n v="0"/>
    <n v="0"/>
    <n v="107"/>
    <s v="_x0000_peopl"/>
  </r>
  <r>
    <x v="6"/>
    <n v="13.6892"/>
    <n v="-89.235799999999998"/>
    <n v="7"/>
    <n v="0"/>
    <n v="0"/>
    <n v="107"/>
    <s v="_x0000_peopl"/>
  </r>
  <r>
    <x v="6"/>
    <n v="13.6873"/>
    <n v="-89.197299999999998"/>
    <n v="5"/>
    <n v="0"/>
    <n v="0"/>
    <n v="107"/>
    <s v="_x0000_peopl"/>
  </r>
  <r>
    <x v="6"/>
    <n v="13.689399999999999"/>
    <n v="-89.196899999999999"/>
    <n v="10"/>
    <n v="0"/>
    <n v="0"/>
    <n v="107"/>
    <s v="_x0000_peopl"/>
  </r>
  <r>
    <x v="6"/>
    <n v="13.689399999999999"/>
    <n v="-89.183599999999998"/>
    <n v="5"/>
    <n v="0"/>
    <n v="0"/>
    <n v="107"/>
    <s v="_x0000_peopl"/>
  </r>
  <r>
    <x v="6"/>
    <n v="13.6798"/>
    <n v="-89.196200000000005"/>
    <n v="1"/>
    <n v="0"/>
    <n v="0"/>
    <n v="107"/>
    <s v="_x0000_peopl"/>
  </r>
  <r>
    <x v="6"/>
    <n v="13.6851"/>
    <n v="-89.214600000000004"/>
    <n v="3"/>
    <n v="0"/>
    <n v="0"/>
    <n v="107"/>
    <s v="_x0000_peopl"/>
  </r>
  <r>
    <x v="6"/>
    <n v="13.691599999999999"/>
    <n v="-89.181600000000003"/>
    <n v="7"/>
    <n v="0"/>
    <n v="0"/>
    <n v="107"/>
    <s v="_x0000_peopl"/>
  </r>
  <r>
    <x v="6"/>
    <n v="13.690300000000001"/>
    <n v="-89.177599999999998"/>
    <n v="2"/>
    <n v="0"/>
    <n v="0"/>
    <n v="107"/>
    <s v="_x0000_peopl"/>
  </r>
  <r>
    <x v="6"/>
    <n v="13.690099999999999"/>
    <n v="-89.235900000000001"/>
    <n v="1"/>
    <n v="0"/>
    <n v="0"/>
    <n v="107"/>
    <s v="_x0000_peopl"/>
  </r>
  <r>
    <x v="6"/>
    <n v="13.6869"/>
    <n v="-89.216800000000006"/>
    <n v="8"/>
    <n v="0"/>
    <n v="0"/>
    <n v="107"/>
    <s v="_x0000_peopl"/>
  </r>
  <r>
    <x v="6"/>
    <n v="13.6919"/>
    <n v="-89.225200000000001"/>
    <n v="5"/>
    <n v="0"/>
    <n v="0"/>
    <n v="107"/>
    <s v="_x0000_peopl"/>
  </r>
  <r>
    <x v="6"/>
    <n v="13.690099999999999"/>
    <n v="-89.235799999999998"/>
    <n v="4"/>
    <n v="0"/>
    <n v="0"/>
    <n v="107"/>
    <s v="_x0000_peopl"/>
  </r>
  <r>
    <x v="6"/>
    <n v="13.684699999999999"/>
    <n v="-89.217100000000002"/>
    <n v="5"/>
    <n v="0"/>
    <n v="0"/>
    <n v="107"/>
    <s v="_x0000_peopl"/>
  </r>
  <r>
    <x v="6"/>
    <n v="13.6905"/>
    <n v="-89.178899999999999"/>
    <n v="5"/>
    <n v="0"/>
    <n v="0"/>
    <n v="107"/>
    <s v="_x0000_peopl"/>
  </r>
  <r>
    <x v="6"/>
    <n v="13.693300000000001"/>
    <n v="-89.178100000000001"/>
    <n v="5"/>
    <n v="0"/>
    <n v="0"/>
    <n v="107"/>
    <s v="_x0000_peopl"/>
  </r>
  <r>
    <x v="6"/>
    <n v="13.688599999999999"/>
    <n v="-89.229200000000006"/>
    <n v="4"/>
    <n v="0"/>
    <n v="0"/>
    <n v="107"/>
    <s v="_x0000_peopl"/>
  </r>
  <r>
    <x v="6"/>
    <n v="13.690300000000001"/>
    <n v="-89.187600000000003"/>
    <n v="4"/>
    <n v="0"/>
    <n v="0"/>
    <n v="107"/>
    <s v="_x0000_peopl"/>
  </r>
  <r>
    <x v="6"/>
    <n v="13.684900000000001"/>
    <n v="-89.194000000000003"/>
    <n v="2"/>
    <n v="0"/>
    <n v="0"/>
    <n v="107"/>
    <s v="_x0000_peopl"/>
  </r>
  <r>
    <x v="6"/>
    <n v="13.690099999999999"/>
    <n v="-89.193100000000001"/>
    <n v="10"/>
    <n v="0"/>
    <n v="0"/>
    <n v="107"/>
    <s v="_x0000_peopl"/>
  </r>
  <r>
    <x v="6"/>
    <n v="13.689399999999999"/>
    <n v="-89.183599999999998"/>
    <n v="3"/>
    <n v="0"/>
    <n v="0"/>
    <n v="107"/>
    <s v="_x0000_peopl"/>
  </r>
  <r>
    <x v="6"/>
    <n v="13.6907"/>
    <n v="-89.234700000000004"/>
    <n v="6"/>
    <n v="0"/>
    <n v="0"/>
    <n v="107"/>
    <s v="_x0000_peopl"/>
  </r>
  <r>
    <x v="6"/>
    <n v="13.685499999999999"/>
    <n v="-89.211100000000002"/>
    <n v="3"/>
    <n v="0"/>
    <n v="0"/>
    <n v="107"/>
    <s v="_x0000_peopl"/>
  </r>
  <r>
    <x v="6"/>
    <n v="13.690899999999999"/>
    <n v="-89.188900000000004"/>
    <n v="2"/>
    <n v="0"/>
    <n v="0"/>
    <n v="107"/>
    <s v="_x0000_peopl"/>
  </r>
  <r>
    <x v="6"/>
    <n v="13.6951"/>
    <n v="-89.171700000000001"/>
    <n v="7"/>
    <n v="0"/>
    <n v="0"/>
    <n v="107"/>
    <s v="_x0000_peopl"/>
  </r>
  <r>
    <x v="6"/>
    <n v="13.691700000000001"/>
    <n v="-89.225800000000007"/>
    <n v="4"/>
    <n v="0"/>
    <n v="0"/>
    <n v="107"/>
    <s v="_x0000_peopl"/>
  </r>
  <r>
    <x v="6"/>
    <n v="13.6844"/>
    <n v="-89.211799999999997"/>
    <n v="6"/>
    <n v="0"/>
    <n v="0"/>
    <n v="107"/>
    <s v="_x0000_peopl"/>
  </r>
  <r>
    <x v="6"/>
    <n v="13.689399999999999"/>
    <n v="-89.236000000000004"/>
    <n v="7"/>
    <n v="0"/>
    <n v="0"/>
    <n v="107"/>
    <s v="_x0000_peopl"/>
  </r>
  <r>
    <x v="6"/>
    <n v="13.6914"/>
    <n v="-89.178600000000003"/>
    <n v="4"/>
    <n v="0"/>
    <n v="0"/>
    <n v="107"/>
    <s v="_x0000_peopl"/>
  </r>
  <r>
    <x v="6"/>
    <n v="13.688700000000001"/>
    <n v="-89.189800000000005"/>
    <n v="8"/>
    <n v="0"/>
    <n v="0"/>
    <n v="107"/>
    <s v="_x0000_peopl"/>
  </r>
  <r>
    <x v="6"/>
    <n v="13.688499999999999"/>
    <n v="-89.229799999999997"/>
    <n v="10"/>
    <n v="0"/>
    <n v="0"/>
    <n v="107"/>
    <s v="_x0000_peopl"/>
  </r>
  <r>
    <x v="6"/>
    <n v="13.691599999999999"/>
    <n v="-89.220699999999994"/>
    <n v="6"/>
    <n v="0"/>
    <n v="0"/>
    <n v="107"/>
    <s v="_x0000_peopl"/>
  </r>
  <r>
    <x v="6"/>
    <n v="13.691800000000001"/>
    <n v="-89.196200000000005"/>
    <n v="4"/>
    <n v="0"/>
    <n v="0"/>
    <n v="107"/>
    <s v="_x0000_peopl"/>
  </r>
  <r>
    <x v="6"/>
    <n v="13.6812"/>
    <n v="-89.195700000000002"/>
    <n v="3"/>
    <n v="0"/>
    <n v="0"/>
    <n v="107"/>
    <s v="_x0000_peopl"/>
  </r>
  <r>
    <x v="6"/>
    <n v="13.6928"/>
    <n v="-89.177899999999994"/>
    <n v="6"/>
    <n v="0"/>
    <n v="0"/>
    <n v="107"/>
    <s v="_x0000_peopl"/>
  </r>
  <r>
    <x v="6"/>
    <n v="13.6891"/>
    <n v="-89.178899999999999"/>
    <n v="4"/>
    <n v="0"/>
    <n v="0"/>
    <n v="107"/>
    <s v="_x0000_peopl"/>
  </r>
  <r>
    <x v="6"/>
    <n v="13.689500000000001"/>
    <n v="-89.177899999999994"/>
    <n v="5"/>
    <n v="0"/>
    <n v="0"/>
    <n v="107"/>
    <s v="_x0000_peopl"/>
  </r>
  <r>
    <x v="6"/>
    <n v="13.696899999999999"/>
    <n v="-89.171800000000005"/>
    <n v="6"/>
    <n v="0"/>
    <n v="0"/>
    <n v="107"/>
    <s v="_x0000_peopl"/>
  </r>
  <r>
    <x v="6"/>
    <n v="13.692299999999999"/>
    <n v="-89.226500000000001"/>
    <n v="10"/>
    <n v="0"/>
    <n v="0"/>
    <n v="107"/>
    <s v="_x0000_peopl"/>
  </r>
  <r>
    <x v="6"/>
    <n v="13.6873"/>
    <n v="-89.192300000000003"/>
    <n v="5"/>
    <n v="0"/>
    <n v="0"/>
    <n v="107"/>
    <s v="_x0000_peopl"/>
  </r>
  <r>
    <x v="6"/>
    <n v="13.6791"/>
    <n v="-89.196600000000004"/>
    <n v="3"/>
    <n v="0"/>
    <n v="0"/>
    <n v="107"/>
    <s v="_x0000_peopl"/>
  </r>
  <r>
    <x v="6"/>
    <n v="13.690799999999999"/>
    <n v="-89.2273"/>
    <n v="5"/>
    <n v="0"/>
    <n v="0"/>
    <n v="107"/>
    <s v="_x0000_peopl"/>
  </r>
  <r>
    <x v="6"/>
    <n v="13.686"/>
    <n v="-89.201400000000007"/>
    <n v="7"/>
    <n v="0"/>
    <n v="0"/>
    <n v="107"/>
    <s v="_x0000_peopl"/>
  </r>
  <r>
    <x v="6"/>
    <n v="13.6911"/>
    <n v="-89.235200000000006"/>
    <n v="4"/>
    <n v="0"/>
    <n v="0"/>
    <n v="107"/>
    <s v="_x0000_peopl"/>
  </r>
  <r>
    <x v="6"/>
    <n v="13.6881"/>
    <n v="-89.198899999999995"/>
    <n v="7"/>
    <n v="0"/>
    <n v="0"/>
    <n v="107"/>
    <s v="_x0000_peopl"/>
  </r>
  <r>
    <x v="6"/>
    <n v="13.6915"/>
    <n v="-89.185400000000001"/>
    <n v="2"/>
    <n v="0"/>
    <n v="0"/>
    <n v="107"/>
    <s v="_x0000_peopl"/>
  </r>
  <r>
    <x v="6"/>
    <n v="13.686"/>
    <n v="-89.211299999999994"/>
    <n v="8"/>
    <n v="0"/>
    <n v="0"/>
    <n v="107"/>
    <s v="_x0000_peopl"/>
  </r>
  <r>
    <x v="6"/>
    <n v="13.6915"/>
    <n v="-89.232600000000005"/>
    <n v="0"/>
    <n v="0"/>
    <n v="0"/>
    <n v="107"/>
    <s v="_x0000_peopl"/>
  </r>
  <r>
    <x v="6"/>
    <n v="13.696999999999999"/>
    <n v="-89.171599999999998"/>
    <n v="3"/>
    <n v="0"/>
    <n v="0"/>
    <n v="107"/>
    <s v="_x0000_peopl"/>
  </r>
  <r>
    <x v="6"/>
    <n v="13.6935"/>
    <n v="-89.188199999999995"/>
    <n v="4"/>
    <n v="0"/>
    <n v="0"/>
    <n v="107"/>
    <s v="_x0000_peopl"/>
  </r>
  <r>
    <x v="6"/>
    <n v="13.692"/>
    <n v="-89.179699999999997"/>
    <n v="9"/>
    <n v="0"/>
    <n v="0"/>
    <n v="107"/>
    <s v="_x0000_peopl"/>
  </r>
  <r>
    <x v="6"/>
    <n v="13.6884"/>
    <n v="-89.198800000000006"/>
    <n v="5"/>
    <n v="0"/>
    <n v="0"/>
    <n v="107"/>
    <s v="_x0000_peopl"/>
  </r>
  <r>
    <x v="6"/>
    <n v="13.6945"/>
    <n v="-89.183099999999996"/>
    <n v="12"/>
    <n v="0"/>
    <n v="0"/>
    <n v="107"/>
    <s v="_x0000_peopl"/>
  </r>
  <r>
    <x v="6"/>
    <n v="13.6944"/>
    <n v="-89.188999999999993"/>
    <n v="9"/>
    <n v="0"/>
    <n v="0"/>
    <n v="107"/>
    <s v="_x0000_peopl"/>
  </r>
  <r>
    <x v="6"/>
    <n v="13.6739"/>
    <n v="-89.251099999999994"/>
    <n v="7"/>
    <n v="0"/>
    <n v="0"/>
    <n v="107"/>
    <s v="_x0000_peopl"/>
  </r>
  <r>
    <x v="6"/>
    <n v="13.6767"/>
    <n v="-89.247600000000006"/>
    <n v="3"/>
    <n v="0"/>
    <n v="0"/>
    <n v="107"/>
    <s v="_x0000_peopl"/>
  </r>
  <r>
    <x v="6"/>
    <n v="13.6915"/>
    <n v="-89.234800000000007"/>
    <n v="4"/>
    <n v="0"/>
    <n v="0"/>
    <n v="107"/>
    <s v="_x0000_peopl"/>
  </r>
  <r>
    <x v="6"/>
    <n v="13.692299999999999"/>
    <n v="-89.226600000000005"/>
    <n v="5"/>
    <n v="0"/>
    <n v="0"/>
    <n v="107"/>
    <s v="_x0000_peopl"/>
  </r>
  <r>
    <x v="6"/>
    <n v="13.688599999999999"/>
    <n v="-89.229299999999995"/>
    <n v="3"/>
    <n v="0"/>
    <n v="0"/>
    <n v="107"/>
    <s v="_x0000_peopl"/>
  </r>
  <r>
    <x v="6"/>
    <n v="13.690099999999999"/>
    <n v="-89.235299999999995"/>
    <n v="3"/>
    <n v="0"/>
    <n v="0"/>
    <n v="107"/>
    <s v="_x0000_peopl"/>
  </r>
  <r>
    <x v="6"/>
    <n v="13.6873"/>
    <n v="-89.215699999999998"/>
    <n v="5"/>
    <n v="0"/>
    <n v="0"/>
    <n v="107"/>
    <s v="_x0000_peopl"/>
  </r>
  <r>
    <x v="6"/>
    <n v="13.6907"/>
    <n v="-89.234399999999994"/>
    <n v="6"/>
    <n v="0"/>
    <n v="0"/>
    <n v="107"/>
    <s v="_x0000_peopl"/>
  </r>
  <r>
    <x v="6"/>
    <n v="13.688700000000001"/>
    <n v="-89.1815"/>
    <n v="5"/>
    <n v="0"/>
    <n v="0"/>
    <n v="107"/>
    <s v="_x0000_peopl"/>
  </r>
  <r>
    <x v="6"/>
    <n v="13.6891"/>
    <n v="-89.178600000000003"/>
    <n v="3"/>
    <n v="0"/>
    <n v="0"/>
    <n v="107"/>
    <s v="_x0000_peopl"/>
  </r>
  <r>
    <x v="6"/>
    <n v="13.689"/>
    <n v="-89.180999999999997"/>
    <n v="4"/>
    <n v="0"/>
    <n v="0"/>
    <n v="107"/>
    <s v="_x0000_peopl"/>
  </r>
  <r>
    <x v="6"/>
    <n v="13.6891"/>
    <n v="-89.228999999999999"/>
    <n v="5"/>
    <n v="0"/>
    <n v="0"/>
    <n v="107"/>
    <s v="_x0000_peopl"/>
  </r>
  <r>
    <x v="6"/>
    <n v="13.6898"/>
    <n v="-89.236199999999997"/>
    <n v="6"/>
    <n v="0"/>
    <n v="0"/>
    <n v="107"/>
    <s v="_x0000_peopl"/>
  </r>
  <r>
    <x v="6"/>
    <n v="13.692"/>
    <n v="-89.2273"/>
    <n v="2"/>
    <n v="0"/>
    <n v="0"/>
    <n v="107"/>
    <s v="_x0000_peopl"/>
  </r>
  <r>
    <x v="6"/>
    <n v="13.690899999999999"/>
    <n v="-89.229200000000006"/>
    <n v="5"/>
    <n v="0"/>
    <n v="0"/>
    <n v="107"/>
    <s v="_x0000_peopl"/>
  </r>
  <r>
    <x v="6"/>
    <n v="13.685"/>
    <n v="-89.216899999999995"/>
    <n v="2"/>
    <n v="0"/>
    <n v="0"/>
    <n v="107"/>
    <s v="_x0000_peopl"/>
  </r>
  <r>
    <x v="6"/>
    <n v="13.690899999999999"/>
    <n v="-89.234300000000005"/>
    <n v="4"/>
    <n v="0"/>
    <n v="0"/>
    <n v="107"/>
    <s v="_x0000_peopl"/>
  </r>
  <r>
    <x v="6"/>
    <n v="13.6934"/>
    <n v="-89.1785"/>
    <n v="5"/>
    <n v="0"/>
    <n v="0"/>
    <n v="107"/>
    <s v="_x0000_peopl"/>
  </r>
  <r>
    <x v="6"/>
    <n v="13.687099999999999"/>
    <n v="-89.201899999999995"/>
    <n v="5"/>
    <n v="0"/>
    <n v="0"/>
    <n v="107"/>
    <s v="_x0000_peopl"/>
  </r>
  <r>
    <x v="6"/>
    <n v="13.693"/>
    <n v="-89.189499999999995"/>
    <n v="3"/>
    <n v="0"/>
    <n v="0"/>
    <n v="107"/>
    <s v="_x0000_peopl"/>
  </r>
  <r>
    <x v="6"/>
    <n v="13.6852"/>
    <n v="-89.201499999999996"/>
    <n v="1"/>
    <n v="0"/>
    <n v="0"/>
    <n v="107"/>
    <s v="_x0000_peopl"/>
  </r>
  <r>
    <x v="6"/>
    <n v="13.6881"/>
    <n v="-89.215299999999999"/>
    <n v="3"/>
    <n v="0"/>
    <n v="0"/>
    <n v="107"/>
    <s v="_x0000_peopl"/>
  </r>
  <r>
    <x v="6"/>
    <n v="13.673400000000001"/>
    <n v="-89.251300000000001"/>
    <n v="5"/>
    <n v="0"/>
    <n v="0"/>
    <n v="107"/>
    <s v="_x0000_peopl"/>
  </r>
  <r>
    <x v="6"/>
    <n v="13.6874"/>
    <n v="-89.197199999999995"/>
    <n v="4"/>
    <n v="0"/>
    <n v="0"/>
    <n v="107"/>
    <s v="_x0000_peopl"/>
  </r>
  <r>
    <x v="6"/>
    <n v="13.689299999999999"/>
    <n v="-89.235500000000002"/>
    <n v="11"/>
    <n v="0"/>
    <n v="0"/>
    <n v="107"/>
    <s v="_x0000_peopl"/>
  </r>
  <r>
    <x v="6"/>
    <n v="13.688499999999999"/>
    <n v="-89.204099999999997"/>
    <n v="5"/>
    <n v="0"/>
    <n v="0"/>
    <n v="107"/>
    <s v="_x0000_peopl"/>
  </r>
  <r>
    <x v="6"/>
    <n v="13.6959"/>
    <n v="-89.172399999999996"/>
    <n v="9"/>
    <n v="0"/>
    <n v="0"/>
    <n v="107"/>
    <s v="_x0000_peopl"/>
  </r>
  <r>
    <x v="6"/>
    <n v="13.6875"/>
    <n v="-89.195400000000006"/>
    <n v="6"/>
    <n v="0"/>
    <n v="0"/>
    <n v="107"/>
    <s v="_x0000_peopl"/>
  </r>
  <r>
    <x v="6"/>
    <n v="13.6919"/>
    <n v="-89.196799999999996"/>
    <n v="6"/>
    <n v="0"/>
    <n v="0"/>
    <n v="107"/>
    <s v="_x0000_peopl"/>
  </r>
  <r>
    <x v="6"/>
    <n v="13.692299999999999"/>
    <n v="-89.174400000000006"/>
    <n v="6"/>
    <n v="0"/>
    <n v="0"/>
    <n v="107"/>
    <s v="_x0000_peopl"/>
  </r>
  <r>
    <x v="6"/>
    <n v="13.6922"/>
    <n v="-89.227199999999996"/>
    <n v="6"/>
    <n v="0"/>
    <n v="0"/>
    <n v="107"/>
    <s v="_x0000_peopl"/>
  </r>
  <r>
    <x v="6"/>
    <n v="13.687200000000001"/>
    <n v="-89.213800000000006"/>
    <n v="5"/>
    <n v="0"/>
    <n v="0"/>
    <n v="107"/>
    <s v="_x0000_peopl"/>
  </r>
  <r>
    <x v="6"/>
    <n v="13.690799999999999"/>
    <n v="-89.235500000000002"/>
    <n v="6"/>
    <n v="0"/>
    <n v="0"/>
    <n v="107"/>
    <s v="_x0000_peopl"/>
  </r>
  <r>
    <x v="6"/>
    <n v="13.6874"/>
    <n v="-89.197800000000001"/>
    <n v="5"/>
    <n v="0"/>
    <n v="0"/>
    <n v="107"/>
    <s v="_x0000_peopl"/>
  </r>
  <r>
    <x v="6"/>
    <n v="13.690300000000001"/>
    <n v="-89.177800000000005"/>
    <n v="4"/>
    <n v="0"/>
    <n v="0"/>
    <n v="107"/>
    <s v="_x0000_peopl"/>
  </r>
  <r>
    <x v="6"/>
    <n v="13.695499999999999"/>
    <n v="-89.173199999999994"/>
    <n v="7"/>
    <n v="0"/>
    <n v="0"/>
    <n v="107"/>
    <s v="_x0000_peopl"/>
  </r>
  <r>
    <x v="6"/>
    <n v="13.6914"/>
    <n v="-89.233999999999995"/>
    <n v="2"/>
    <n v="0"/>
    <n v="0"/>
    <n v="107"/>
    <s v="_x0000_peopl"/>
  </r>
  <r>
    <x v="6"/>
    <n v="13.6951"/>
    <n v="-89.1721"/>
    <n v="4"/>
    <n v="0"/>
    <n v="0"/>
    <n v="107"/>
    <s v="_x0000_peopl"/>
  </r>
  <r>
    <x v="6"/>
    <n v="13.6915"/>
    <n v="-89.176599999999993"/>
    <n v="3"/>
    <n v="0"/>
    <n v="0"/>
    <n v="107"/>
    <s v="_x0000_peopl"/>
  </r>
  <r>
    <x v="6"/>
    <n v="13.69"/>
    <n v="-89.217399999999998"/>
    <n v="0"/>
    <n v="0"/>
    <n v="0"/>
    <n v="107"/>
    <s v="_x0000_peopl"/>
  </r>
  <r>
    <x v="6"/>
    <n v="13.6868"/>
    <n v="-89.194299999999998"/>
    <n v="6"/>
    <n v="0"/>
    <n v="0"/>
    <n v="107"/>
    <s v="_x0000_peopl"/>
  </r>
  <r>
    <x v="6"/>
    <n v="13.690799999999999"/>
    <n v="-89.187399999999997"/>
    <n v="1"/>
    <n v="0"/>
    <n v="0"/>
    <n v="107"/>
    <s v="_x0000_peopl"/>
  </r>
  <r>
    <x v="6"/>
    <n v="13.6912"/>
    <n v="-89.178799999999995"/>
    <n v="4"/>
    <n v="0"/>
    <n v="0"/>
    <n v="107"/>
    <s v="_x0000_peopl"/>
  </r>
  <r>
    <x v="6"/>
    <n v="13.6776"/>
    <n v="-89.247"/>
    <n v="4"/>
    <n v="0"/>
    <n v="0"/>
    <n v="107"/>
    <s v="_x0000_peopl"/>
  </r>
  <r>
    <x v="6"/>
    <n v="13.692299999999999"/>
    <n v="-89.2239"/>
    <n v="5"/>
    <n v="0"/>
    <n v="0"/>
    <n v="107"/>
    <s v="_x0000_peopl"/>
  </r>
  <r>
    <x v="6"/>
    <n v="13.691599999999999"/>
    <n v="-89.185199999999995"/>
    <n v="5"/>
    <n v="0"/>
    <n v="0"/>
    <n v="107"/>
    <s v="_x0000_peopl"/>
  </r>
  <r>
    <x v="6"/>
    <n v="13.686299999999999"/>
    <n v="-89.215400000000002"/>
    <n v="2"/>
    <n v="0"/>
    <n v="0"/>
    <n v="107"/>
    <s v="_x0000_peopl"/>
  </r>
  <r>
    <x v="6"/>
    <n v="13.690799999999999"/>
    <n v="-89.233900000000006"/>
    <n v="3"/>
    <n v="0"/>
    <n v="0"/>
    <n v="107"/>
    <s v="_x0000_peopl"/>
  </r>
  <r>
    <x v="6"/>
    <n v="13.6873"/>
    <n v="-89.194800000000001"/>
    <n v="9"/>
    <n v="0"/>
    <n v="0"/>
    <n v="107"/>
    <s v="_x0000_peopl"/>
  </r>
  <r>
    <x v="6"/>
    <n v="13.6869"/>
    <n v="-89.201700000000002"/>
    <n v="6"/>
    <n v="0"/>
    <n v="0"/>
    <n v="107"/>
    <s v="_x0000_peopl"/>
  </r>
  <r>
    <x v="6"/>
    <n v="13.6866"/>
    <n v="-89.203599999999994"/>
    <n v="2"/>
    <n v="0"/>
    <n v="0"/>
    <n v="107"/>
    <s v="_x0000_peopl"/>
  </r>
  <r>
    <x v="6"/>
    <n v="13.6881"/>
    <n v="-89.212000000000003"/>
    <n v="1"/>
    <n v="0"/>
    <n v="0"/>
    <n v="107"/>
    <s v="_x0000_peopl"/>
  </r>
  <r>
    <x v="6"/>
    <n v="13.692500000000001"/>
    <n v="-89.184600000000003"/>
    <n v="4"/>
    <n v="0"/>
    <n v="0"/>
    <n v="107"/>
    <s v="_x0000_peopl"/>
  </r>
  <r>
    <x v="6"/>
    <n v="13.688599999999999"/>
    <n v="-89.198300000000003"/>
    <n v="1"/>
    <n v="0"/>
    <n v="0"/>
    <n v="107"/>
    <s v="_x0000_peopl"/>
  </r>
  <r>
    <x v="6"/>
    <n v="13.690899999999999"/>
    <n v="-89.190399999999997"/>
    <n v="6"/>
    <n v="0"/>
    <n v="0"/>
    <n v="107"/>
    <s v="_x0000_peopl"/>
  </r>
  <r>
    <x v="6"/>
    <n v="13.694599999999999"/>
    <n v="-89.174700000000001"/>
    <n v="7"/>
    <n v="0"/>
    <n v="0"/>
    <n v="107"/>
    <s v="_x0000_peopl"/>
  </r>
  <r>
    <x v="6"/>
    <n v="13.688700000000001"/>
    <n v="-89.216200000000001"/>
    <n v="3"/>
    <n v="0"/>
    <n v="0"/>
    <n v="107"/>
    <s v="_x0000_peopl"/>
  </r>
  <r>
    <x v="6"/>
    <n v="13.690099999999999"/>
    <n v="-89.188299999999998"/>
    <n v="2"/>
    <n v="0"/>
    <n v="0"/>
    <n v="107"/>
    <s v="_x0000_peopl"/>
  </r>
  <r>
    <x v="6"/>
    <n v="13.6751"/>
    <n v="-89.199700000000007"/>
    <n v="3"/>
    <n v="0"/>
    <n v="0"/>
    <n v="107"/>
    <s v="_x0000_peopl"/>
  </r>
  <r>
    <x v="6"/>
    <n v="13.6912"/>
    <n v="-89.233000000000004"/>
    <n v="7"/>
    <n v="0"/>
    <n v="0"/>
    <n v="107"/>
    <s v="_x0000_peopl"/>
  </r>
  <r>
    <x v="6"/>
    <n v="13.674799999999999"/>
    <n v="-89.251099999999994"/>
    <n v="5"/>
    <n v="0"/>
    <n v="0"/>
    <n v="107"/>
    <s v="_x0000_peopl"/>
  </r>
  <r>
    <x v="6"/>
    <n v="13.6884"/>
    <n v="-89.197999999999993"/>
    <n v="5"/>
    <n v="0"/>
    <n v="0"/>
    <n v="107"/>
    <s v="_x0000_peopl"/>
  </r>
  <r>
    <x v="6"/>
    <n v="13.6875"/>
    <n v="-89.181799999999996"/>
    <n v="3"/>
    <n v="0"/>
    <n v="0"/>
    <n v="107"/>
    <s v="_x0000_peopl"/>
  </r>
  <r>
    <x v="6"/>
    <n v="13.6882"/>
    <n v="-89.182400000000001"/>
    <n v="3"/>
    <n v="0"/>
    <n v="0"/>
    <n v="107"/>
    <s v="_x0000_peopl"/>
  </r>
  <r>
    <x v="6"/>
    <n v="13.690200000000001"/>
    <n v="-89.235600000000005"/>
    <n v="4"/>
    <n v="0"/>
    <n v="0"/>
    <n v="107"/>
    <s v="_x0000_peopl"/>
  </r>
  <r>
    <x v="6"/>
    <n v="13.688700000000001"/>
    <n v="-89.211799999999997"/>
    <n v="2"/>
    <n v="0"/>
    <n v="0"/>
    <n v="107"/>
    <s v="_x0000_peopl"/>
  </r>
  <r>
    <x v="6"/>
    <n v="13.6869"/>
    <n v="-89.1828"/>
    <n v="4"/>
    <n v="0"/>
    <n v="0"/>
    <n v="107"/>
    <s v="_x0000_peopl"/>
  </r>
  <r>
    <x v="6"/>
    <n v="13.680300000000001"/>
    <n v="-89.198099999999997"/>
    <n v="3"/>
    <n v="0"/>
    <n v="0"/>
    <n v="107"/>
    <s v="_x0000_peopl"/>
  </r>
  <r>
    <x v="6"/>
    <n v="13.6958"/>
    <n v="-89.172499999999999"/>
    <n v="9"/>
    <n v="0"/>
    <n v="0"/>
    <n v="107"/>
    <s v="_x0000_peopl"/>
  </r>
  <r>
    <x v="6"/>
    <n v="13.6942"/>
    <n v="-89.183199999999999"/>
    <n v="6"/>
    <n v="0"/>
    <n v="0"/>
    <n v="107"/>
    <s v="_x0000_peopl"/>
  </r>
  <r>
    <x v="6"/>
    <n v="13.690799999999999"/>
    <n v="-89.235399999999998"/>
    <n v="2"/>
    <n v="0"/>
    <n v="0"/>
    <n v="107"/>
    <s v="_x0000_peopl"/>
  </r>
  <r>
    <x v="6"/>
    <n v="13.695"/>
    <n v="-89.173500000000004"/>
    <n v="3"/>
    <n v="0"/>
    <n v="0"/>
    <n v="107"/>
    <s v="_x0000_peopl"/>
  </r>
  <r>
    <x v="6"/>
    <n v="13.6845"/>
    <n v="-89.213700000000003"/>
    <n v="3"/>
    <n v="0"/>
    <n v="0"/>
    <n v="107"/>
    <s v="_x0000_peopl"/>
  </r>
  <r>
    <x v="6"/>
    <n v="13.6906"/>
    <n v="-89.2316"/>
    <n v="5"/>
    <n v="0"/>
    <n v="0"/>
    <n v="107"/>
    <s v="_x0000_peopl"/>
  </r>
  <r>
    <x v="6"/>
    <n v="13.689399999999999"/>
    <n v="-89.228899999999996"/>
    <n v="7"/>
    <n v="0"/>
    <n v="0"/>
    <n v="107"/>
    <s v="_x0000_peopl"/>
  </r>
  <r>
    <x v="6"/>
    <n v="13.691700000000001"/>
    <n v="-89.232799999999997"/>
    <n v="8"/>
    <n v="0"/>
    <n v="0"/>
    <n v="107"/>
    <s v="_x0000_peopl"/>
  </r>
  <r>
    <x v="6"/>
    <n v="13.6912"/>
    <n v="-89.229399999999998"/>
    <n v="5"/>
    <n v="0"/>
    <n v="0"/>
    <n v="107"/>
    <s v="_x0000_peopl"/>
  </r>
  <r>
    <x v="6"/>
    <n v="13.690200000000001"/>
    <n v="-89.188500000000005"/>
    <n v="9"/>
    <n v="0"/>
    <n v="0"/>
    <n v="107"/>
    <s v="_x0000_peopl"/>
  </r>
  <r>
    <x v="6"/>
    <n v="13.688800000000001"/>
    <n v="-89.216700000000003"/>
    <n v="2"/>
    <n v="0"/>
    <n v="0"/>
    <n v="107"/>
    <s v="_x0000_peopl"/>
  </r>
  <r>
    <x v="6"/>
    <n v="13.696899999999999"/>
    <n v="-89.171300000000002"/>
    <n v="7"/>
    <n v="0"/>
    <n v="0"/>
    <n v="107"/>
    <s v="_x0000_peopl"/>
  </r>
  <r>
    <x v="6"/>
    <n v="13.6875"/>
    <n v="-89.195499999999996"/>
    <n v="2"/>
    <n v="0"/>
    <n v="0"/>
    <n v="107"/>
    <s v="_x0000_peopl"/>
  </r>
  <r>
    <x v="6"/>
    <n v="13.6874"/>
    <n v="-89.191500000000005"/>
    <n v="3"/>
    <n v="0"/>
    <n v="0"/>
    <n v="107"/>
    <s v="_x0000_peopl"/>
  </r>
  <r>
    <x v="6"/>
    <n v="13.690099999999999"/>
    <n v="-89.235500000000002"/>
    <n v="8"/>
    <n v="0"/>
    <n v="0"/>
    <n v="107"/>
    <s v="_x0000_peopl"/>
  </r>
  <r>
    <x v="6"/>
    <n v="13.6915"/>
    <n v="-89.185299999999998"/>
    <n v="8"/>
    <n v="0"/>
    <n v="0"/>
    <n v="107"/>
    <s v="_x0000_peopl"/>
  </r>
  <r>
    <x v="6"/>
    <n v="13.6905"/>
    <n v="-89.186800000000005"/>
    <n v="6"/>
    <n v="0"/>
    <n v="0"/>
    <n v="107"/>
    <s v="_x0000_peopl"/>
  </r>
  <r>
    <x v="6"/>
    <n v="13.687200000000001"/>
    <n v="-89.216999999999999"/>
    <n v="3"/>
    <n v="0"/>
    <n v="0"/>
    <n v="107"/>
    <s v="_x0000_peopl"/>
  </r>
  <r>
    <x v="6"/>
    <n v="13.695600000000001"/>
    <n v="-89.172600000000003"/>
    <n v="7"/>
    <n v="0"/>
    <n v="0"/>
    <n v="107"/>
    <s v="_x0000_peopl"/>
  </r>
  <r>
    <x v="6"/>
    <n v="13.6873"/>
    <n v="-89.197100000000006"/>
    <n v="4"/>
    <n v="0"/>
    <n v="0"/>
    <n v="107"/>
    <s v="_x0000_peopl"/>
  </r>
  <r>
    <x v="6"/>
    <n v="13.687200000000001"/>
    <n v="-89.182100000000005"/>
    <n v="5"/>
    <n v="0"/>
    <n v="0"/>
    <n v="107"/>
    <s v="_x0000_peopl"/>
  </r>
  <r>
    <x v="6"/>
    <n v="13.6869"/>
    <n v="-89.191400000000002"/>
    <n v="3"/>
    <n v="0"/>
    <n v="0"/>
    <n v="107"/>
    <s v="_x0000_peopl"/>
  </r>
  <r>
    <x v="6"/>
    <n v="13.690200000000001"/>
    <n v="-89.235299999999995"/>
    <n v="3"/>
    <n v="0"/>
    <n v="0"/>
    <n v="107"/>
    <s v="_x0000_peopl"/>
  </r>
  <r>
    <x v="6"/>
    <n v="13.689399999999999"/>
    <n v="-89.2166"/>
    <n v="4"/>
    <n v="0"/>
    <n v="0"/>
    <n v="107"/>
    <s v="_x0000_peopl"/>
  </r>
  <r>
    <x v="6"/>
    <n v="13.691000000000001"/>
    <n v="-89.186499999999995"/>
    <n v="4"/>
    <n v="0"/>
    <n v="0"/>
    <n v="107"/>
    <s v="_x0000_peopl"/>
  </r>
  <r>
    <x v="6"/>
    <n v="13.6807"/>
    <n v="-89.198400000000007"/>
    <n v="4"/>
    <n v="0"/>
    <n v="0"/>
    <n v="107"/>
    <s v="_x0000_peopl"/>
  </r>
  <r>
    <x v="6"/>
    <n v="13.688000000000001"/>
    <n v="-89.213099999999997"/>
    <n v="3"/>
    <n v="0"/>
    <n v="0"/>
    <n v="107"/>
    <s v="_x0000_peopl"/>
  </r>
  <r>
    <x v="6"/>
    <n v="13.6913"/>
    <n v="-89.233900000000006"/>
    <n v="5"/>
    <n v="0"/>
    <n v="0"/>
    <n v="107"/>
    <s v="_x0000_peopl"/>
  </r>
  <r>
    <x v="6"/>
    <n v="13.6846"/>
    <n v="-89.211699999999993"/>
    <n v="6"/>
    <n v="0"/>
    <n v="0"/>
    <n v="107"/>
    <s v="_x0000_peopl"/>
  </r>
  <r>
    <x v="6"/>
    <n v="13.6873"/>
    <n v="-89.195800000000006"/>
    <n v="3"/>
    <n v="0"/>
    <n v="0"/>
    <n v="107"/>
    <s v="_x0000_peopl"/>
  </r>
  <r>
    <x v="6"/>
    <n v="13.69"/>
    <n v="-89.235500000000002"/>
    <n v="5"/>
    <n v="0"/>
    <n v="0"/>
    <n v="107"/>
    <s v="_x0000_peopl"/>
  </r>
  <r>
    <x v="6"/>
    <n v="13.687799999999999"/>
    <n v="-89.216499999999996"/>
    <n v="4"/>
    <n v="0"/>
    <n v="0"/>
    <n v="107"/>
    <s v="_x0000_peopl"/>
  </r>
  <r>
    <x v="6"/>
    <n v="13.694599999999999"/>
    <n v="-89.183199999999999"/>
    <n v="4"/>
    <n v="0"/>
    <n v="0"/>
    <n v="107"/>
    <s v="_x0000_peopl"/>
  </r>
  <r>
    <x v="6"/>
    <n v="13.6911"/>
    <n v="-89.234099999999998"/>
    <n v="11"/>
    <n v="0"/>
    <n v="0"/>
    <n v="107"/>
    <s v="_x0000_peopl"/>
  </r>
  <r>
    <x v="6"/>
    <n v="13.687900000000001"/>
    <n v="-89.194199999999995"/>
    <n v="2"/>
    <n v="0"/>
    <n v="0"/>
    <n v="107"/>
    <s v="_x0000_peopl"/>
  </r>
  <r>
    <x v="6"/>
    <n v="13.691800000000001"/>
    <n v="-89.226799999999997"/>
    <n v="3"/>
    <n v="0"/>
    <n v="0"/>
    <n v="107"/>
    <s v="_x0000_peopl"/>
  </r>
  <r>
    <x v="6"/>
    <n v="13.6874"/>
    <n v="-89.194400000000002"/>
    <n v="5"/>
    <n v="0"/>
    <n v="0"/>
    <n v="107"/>
    <s v="_x0000_peopl"/>
  </r>
  <r>
    <x v="6"/>
    <n v="13.6751"/>
    <n v="-89.200100000000006"/>
    <n v="3"/>
    <n v="0"/>
    <n v="0"/>
    <n v="107"/>
    <s v="_x0000_peopl"/>
  </r>
  <r>
    <x v="6"/>
    <n v="13.6952"/>
    <n v="-89.174599999999998"/>
    <n v="2"/>
    <n v="0"/>
    <n v="0"/>
    <n v="107"/>
    <s v="_x0000_peopl"/>
  </r>
  <r>
    <x v="6"/>
    <n v="13.686"/>
    <n v="-89.213399999999993"/>
    <n v="9"/>
    <n v="0"/>
    <n v="0"/>
    <n v="107"/>
    <s v="_x0000_peopl"/>
  </r>
  <r>
    <x v="6"/>
    <n v="13.6915"/>
    <n v="-89.228399999999993"/>
    <n v="8"/>
    <n v="0"/>
    <n v="0"/>
    <n v="107"/>
    <s v="_x0000_peopl"/>
  </r>
  <r>
    <x v="6"/>
    <n v="13.6906"/>
    <n v="-89.233599999999996"/>
    <n v="4"/>
    <n v="0"/>
    <n v="0"/>
    <n v="107"/>
    <s v="_x0000_peopl"/>
  </r>
  <r>
    <x v="6"/>
    <n v="13.696"/>
    <n v="-89.172700000000006"/>
    <n v="4"/>
    <n v="0"/>
    <n v="0"/>
    <n v="107"/>
    <s v="_x0000_peopl"/>
  </r>
  <r>
    <x v="6"/>
    <n v="13.6912"/>
    <n v="-89.185699999999997"/>
    <n v="2"/>
    <n v="0"/>
    <n v="0"/>
    <n v="107"/>
    <s v="_x0000_peopl"/>
  </r>
  <r>
    <x v="6"/>
    <n v="13.6911"/>
    <n v="-89.1982"/>
    <n v="3"/>
    <n v="0"/>
    <n v="0"/>
    <n v="107"/>
    <s v="_x0000_peopl"/>
  </r>
  <r>
    <x v="6"/>
    <n v="13.6966"/>
    <n v="-89.171899999999994"/>
    <n v="5"/>
    <n v="0"/>
    <n v="0"/>
    <n v="107"/>
    <s v="_x0000_peopl"/>
  </r>
  <r>
    <x v="6"/>
    <n v="13.690099999999999"/>
    <n v="-89.234800000000007"/>
    <n v="2"/>
    <n v="0"/>
    <n v="0"/>
    <n v="107"/>
    <s v="_x0000_peopl"/>
  </r>
  <r>
    <x v="6"/>
    <n v="13.687099999999999"/>
    <n v="-89.194699999999997"/>
    <n v="4"/>
    <n v="0"/>
    <n v="0"/>
    <n v="107"/>
    <s v="_x0000_peopl"/>
  </r>
  <r>
    <x v="6"/>
    <n v="13.6906"/>
    <n v="-89.189700000000002"/>
    <n v="0"/>
    <n v="0"/>
    <n v="0"/>
    <n v="107"/>
    <s v="_x0000_peopl"/>
  </r>
  <r>
    <x v="6"/>
    <n v="13.6874"/>
    <n v="-89.194500000000005"/>
    <n v="2"/>
    <n v="0"/>
    <n v="0"/>
    <n v="107"/>
    <s v="_x0000_peopl"/>
  </r>
  <r>
    <x v="6"/>
    <n v="13.686"/>
    <n v="-89.215100000000007"/>
    <n v="3"/>
    <n v="0"/>
    <n v="0"/>
    <n v="107"/>
    <s v="_x0000_peopl"/>
  </r>
  <r>
    <x v="6"/>
    <n v="13.6911"/>
    <n v="-89.2286"/>
    <n v="10"/>
    <n v="0"/>
    <n v="0"/>
    <n v="107"/>
    <s v="_x0000_peopl"/>
  </r>
  <r>
    <x v="6"/>
    <n v="13.6799"/>
    <n v="-89.195800000000006"/>
    <n v="5"/>
    <n v="0"/>
    <n v="0"/>
    <n v="107"/>
    <s v="_x0000_peopl"/>
  </r>
  <r>
    <x v="6"/>
    <n v="13.692"/>
    <n v="-89.224599999999995"/>
    <n v="5"/>
    <n v="0"/>
    <n v="0"/>
    <n v="107"/>
    <s v="_x0000_peopl"/>
  </r>
  <r>
    <x v="6"/>
    <n v="13.687799999999999"/>
    <n v="-89.215100000000007"/>
    <n v="3"/>
    <n v="0"/>
    <n v="0"/>
    <n v="107"/>
    <s v="_x0000_peopl"/>
  </r>
  <r>
    <x v="6"/>
    <n v="13.674200000000001"/>
    <n v="-89.202100000000002"/>
    <n v="3"/>
    <n v="0"/>
    <n v="0"/>
    <n v="107"/>
    <s v="_x0000_peopl"/>
  </r>
  <r>
    <x v="6"/>
    <n v="13.690799999999999"/>
    <n v="-89.231999999999999"/>
    <n v="6"/>
    <n v="0"/>
    <n v="0"/>
    <n v="107"/>
    <s v="_x0000_peopl"/>
  </r>
  <r>
    <x v="6"/>
    <n v="13.6905"/>
    <n v="-89.184399999999997"/>
    <n v="4"/>
    <n v="0"/>
    <n v="0"/>
    <n v="107"/>
    <s v="_x0000_peopl"/>
  </r>
  <r>
    <x v="6"/>
    <n v="13.686299999999999"/>
    <n v="-89.215599999999995"/>
    <n v="2"/>
    <n v="0"/>
    <n v="0"/>
    <n v="107"/>
    <s v="_x0000_peopl"/>
  </r>
  <r>
    <x v="6"/>
    <n v="13.691000000000001"/>
    <n v="-89.234499999999997"/>
    <n v="3"/>
    <n v="0"/>
    <n v="0"/>
    <n v="107"/>
    <s v="_x0000_peopl"/>
  </r>
  <r>
    <x v="6"/>
    <n v="13.692"/>
    <n v="-89.178799999999995"/>
    <n v="5"/>
    <n v="0"/>
    <n v="0"/>
    <n v="107"/>
    <s v="_x0000_peopl"/>
  </r>
  <r>
    <x v="6"/>
    <n v="13.690899999999999"/>
    <n v="-89.179100000000005"/>
    <n v="5"/>
    <n v="0"/>
    <n v="0"/>
    <n v="107"/>
    <s v="_x0000_peopl"/>
  </r>
  <r>
    <x v="6"/>
    <n v="13.6846"/>
    <n v="-89.211699999999993"/>
    <n v="8"/>
    <n v="0"/>
    <n v="0"/>
    <n v="107"/>
    <s v="_x0000_peopl"/>
  </r>
  <r>
    <x v="6"/>
    <n v="13.687200000000001"/>
    <n v="-89.194500000000005"/>
    <n v="8"/>
    <n v="0"/>
    <n v="0"/>
    <n v="107"/>
    <s v="_x0000_peopl"/>
  </r>
  <r>
    <x v="6"/>
    <n v="13.689500000000001"/>
    <n v="-89.205500000000001"/>
    <n v="7"/>
    <n v="0"/>
    <n v="0"/>
    <n v="107"/>
    <s v="_x0000_peopl"/>
  </r>
  <r>
    <x v="6"/>
    <n v="13.691800000000001"/>
    <n v="-89.197400000000002"/>
    <n v="3"/>
    <n v="0"/>
    <n v="0"/>
    <n v="107"/>
    <s v="_x0000_peopl"/>
  </r>
  <r>
    <x v="6"/>
    <n v="13.6874"/>
    <n v="-89.196600000000004"/>
    <n v="6"/>
    <n v="0"/>
    <n v="0"/>
    <n v="107"/>
    <s v="_x0000_peopl"/>
  </r>
  <r>
    <x v="6"/>
    <n v="13.691599999999999"/>
    <n v="-89.228300000000004"/>
    <n v="1"/>
    <n v="0"/>
    <n v="0"/>
    <n v="107"/>
    <s v="_x0000_peopl"/>
  </r>
  <r>
    <x v="6"/>
    <n v="13.685700000000001"/>
    <n v="-89.216399999999993"/>
    <n v="4"/>
    <n v="0"/>
    <n v="0"/>
    <n v="107"/>
    <s v="_x0000_peopl"/>
  </r>
  <r>
    <x v="6"/>
    <n v="13.690799999999999"/>
    <n v="-89.195700000000002"/>
    <n v="4"/>
    <n v="0"/>
    <n v="0"/>
    <n v="107"/>
    <s v="_x0000_peopl"/>
  </r>
  <r>
    <x v="6"/>
    <n v="13.6793"/>
    <n v="-89.1965"/>
    <n v="2"/>
    <n v="0"/>
    <n v="0"/>
    <n v="107"/>
    <s v="_x0000_peopl"/>
  </r>
  <r>
    <x v="6"/>
    <n v="13.6884"/>
    <n v="-89.189700000000002"/>
    <n v="4"/>
    <n v="0"/>
    <n v="0"/>
    <n v="107"/>
    <s v="_x0000_peopl"/>
  </r>
  <r>
    <x v="6"/>
    <n v="13.6869"/>
    <n v="-89.194599999999994"/>
    <n v="4"/>
    <n v="0"/>
    <n v="0"/>
    <n v="107"/>
    <s v="_x0000_peopl"/>
  </r>
  <r>
    <x v="6"/>
    <n v="13.6845"/>
    <n v="-89.194000000000003"/>
    <n v="4"/>
    <n v="0"/>
    <n v="0"/>
    <n v="107"/>
    <s v="_x0000_peopl"/>
  </r>
  <r>
    <x v="6"/>
    <n v="13.685700000000001"/>
    <n v="-89.213800000000006"/>
    <n v="4"/>
    <n v="0"/>
    <n v="0"/>
    <n v="107"/>
    <s v="_x0000_peopl"/>
  </r>
  <r>
    <x v="6"/>
    <n v="13.6844"/>
    <n v="-89.213099999999997"/>
    <n v="4"/>
    <n v="0"/>
    <n v="0"/>
    <n v="107"/>
    <s v="_x0000_peopl"/>
  </r>
  <r>
    <x v="6"/>
    <n v="13.690899999999999"/>
    <n v="-89.179699999999997"/>
    <n v="5"/>
    <n v="0"/>
    <n v="0"/>
    <n v="107"/>
    <s v="_x0000_peopl"/>
  </r>
  <r>
    <x v="6"/>
    <n v="13.695399999999999"/>
    <n v="-89.173400000000001"/>
    <n v="7"/>
    <n v="0"/>
    <n v="0"/>
    <n v="107"/>
    <s v="_x0000_peopl"/>
  </r>
  <r>
    <x v="6"/>
    <n v="13.6844"/>
    <n v="-89.216800000000006"/>
    <n v="1"/>
    <n v="0"/>
    <n v="0"/>
    <n v="107"/>
    <s v="_x0000_peopl"/>
  </r>
  <r>
    <x v="6"/>
    <n v="13.692500000000001"/>
    <n v="-89.197000000000003"/>
    <n v="6"/>
    <n v="0"/>
    <n v="0"/>
    <n v="107"/>
    <s v="_x0000_peopl"/>
  </r>
  <r>
    <x v="6"/>
    <n v="13.692299999999999"/>
    <n v="-89.178899999999999"/>
    <n v="5"/>
    <n v="0"/>
    <n v="0"/>
    <n v="107"/>
    <s v="_x0000_peopl"/>
  </r>
  <r>
    <x v="6"/>
    <n v="13.678900000000001"/>
    <n v="-89.196399999999997"/>
    <n v="3"/>
    <n v="0"/>
    <n v="0"/>
    <n v="107"/>
    <s v="_x0000_peopl"/>
  </r>
  <r>
    <x v="6"/>
    <n v="13.6966"/>
    <n v="-89.171599999999998"/>
    <n v="5"/>
    <n v="0"/>
    <n v="0"/>
    <n v="107"/>
    <s v="_x0000_peopl"/>
  </r>
  <r>
    <x v="6"/>
    <n v="13.689399999999999"/>
    <n v="-89.197400000000002"/>
    <n v="5"/>
    <n v="0"/>
    <n v="0"/>
    <n v="107"/>
    <s v="_x0000_peopl"/>
  </r>
  <r>
    <x v="6"/>
    <n v="13.684799999999999"/>
    <n v="-89.216300000000004"/>
    <n v="7"/>
    <n v="0"/>
    <n v="0"/>
    <n v="107"/>
    <s v="_x0000_peopl"/>
  </r>
  <r>
    <x v="6"/>
    <n v="13.6953"/>
    <n v="-89.174599999999998"/>
    <n v="8"/>
    <n v="0"/>
    <n v="0"/>
    <n v="107"/>
    <s v="_x0000_peopl"/>
  </r>
  <r>
    <x v="6"/>
    <n v="13.6875"/>
    <n v="-89.194599999999994"/>
    <n v="6"/>
    <n v="0"/>
    <n v="0"/>
    <n v="107"/>
    <s v="_x0000_peopl"/>
  </r>
  <r>
    <x v="6"/>
    <n v="13.679600000000001"/>
    <n v="-89.197199999999995"/>
    <n v="6"/>
    <n v="0"/>
    <n v="0"/>
    <n v="107"/>
    <s v="_x0000_peopl"/>
  </r>
  <r>
    <x v="6"/>
    <n v="13.688000000000001"/>
    <n v="-89.181799999999996"/>
    <n v="3"/>
    <n v="0"/>
    <n v="0"/>
    <n v="107"/>
    <s v="_x0000_peopl"/>
  </r>
  <r>
    <x v="6"/>
    <n v="13.689299999999999"/>
    <n v="-89.206000000000003"/>
    <n v="4"/>
    <n v="0"/>
    <n v="0"/>
    <n v="107"/>
    <s v="_x0000_peopl"/>
  </r>
  <r>
    <x v="6"/>
    <n v="13.692299999999999"/>
    <n v="-89.178899999999999"/>
    <n v="5"/>
    <n v="0"/>
    <n v="0"/>
    <n v="107"/>
    <s v="_x0000_peopl"/>
  </r>
  <r>
    <x v="6"/>
    <n v="13.692399999999999"/>
    <n v="-89.226600000000005"/>
    <n v="5"/>
    <n v="0"/>
    <n v="0"/>
    <n v="107"/>
    <s v="_x0000_peopl"/>
  </r>
  <r>
    <x v="6"/>
    <n v="13.6905"/>
    <n v="-89.1892"/>
    <n v="5"/>
    <n v="0"/>
    <n v="0"/>
    <n v="107"/>
    <s v="_x0000_peopl"/>
  </r>
  <r>
    <x v="6"/>
    <n v="13.6927"/>
    <n v="-89.184799999999996"/>
    <n v="7"/>
    <n v="0"/>
    <n v="0"/>
    <n v="107"/>
    <s v="_x0000_peopl"/>
  </r>
  <r>
    <x v="6"/>
    <n v="13.6881"/>
    <n v="-89.216399999999993"/>
    <n v="6"/>
    <n v="0"/>
    <n v="0"/>
    <n v="107"/>
    <s v="_x0000_peopl"/>
  </r>
  <r>
    <x v="6"/>
    <n v="13.690899999999999"/>
    <n v="-89.229399999999998"/>
    <n v="5"/>
    <n v="0"/>
    <n v="0"/>
    <n v="107"/>
    <s v="_x0000_peopl"/>
  </r>
  <r>
    <x v="6"/>
    <n v="13.6882"/>
    <n v="-89.194400000000002"/>
    <n v="4"/>
    <n v="0"/>
    <n v="0"/>
    <n v="107"/>
    <s v="_x0000_peopl"/>
  </r>
  <r>
    <x v="6"/>
    <n v="13.692600000000001"/>
    <n v="-89.184299999999993"/>
    <n v="7"/>
    <n v="0"/>
    <n v="0"/>
    <n v="107"/>
    <s v="_x0000_peopl"/>
  </r>
  <r>
    <x v="6"/>
    <n v="13.6869"/>
    <n v="-89.197299999999998"/>
    <n v="8"/>
    <n v="0"/>
    <n v="0"/>
    <n v="107"/>
    <s v="_x0000_peopl"/>
  </r>
  <r>
    <x v="6"/>
    <n v="13.6873"/>
    <n v="-89.197299999999998"/>
    <n v="5"/>
    <n v="0"/>
    <n v="0"/>
    <n v="107"/>
    <s v="_x0000_peopl"/>
  </r>
  <r>
    <x v="6"/>
    <n v="13.6851"/>
    <n v="-89.216899999999995"/>
    <n v="4"/>
    <n v="0"/>
    <n v="0"/>
    <n v="107"/>
    <s v="_x0000_peopl"/>
  </r>
  <r>
    <x v="6"/>
    <n v="13.6884"/>
    <n v="-89.198400000000007"/>
    <n v="4"/>
    <n v="0"/>
    <n v="0"/>
    <n v="107"/>
    <s v="_x0000_peopl"/>
  </r>
  <r>
    <x v="6"/>
    <n v="13.691000000000001"/>
    <n v="-89.1905"/>
    <n v="5"/>
    <n v="0"/>
    <n v="0"/>
    <n v="107"/>
    <s v="_x0000_peopl"/>
  </r>
  <r>
    <x v="6"/>
    <n v="13.690799999999999"/>
    <n v="-89.231300000000005"/>
    <n v="9"/>
    <n v="0"/>
    <n v="0"/>
    <n v="107"/>
    <s v="_x0000_peopl"/>
  </r>
  <r>
    <x v="6"/>
    <n v="13.691599999999999"/>
    <n v="-89.232900000000001"/>
    <n v="8"/>
    <n v="0"/>
    <n v="0"/>
    <n v="107"/>
    <s v="_x0000_peopl"/>
  </r>
  <r>
    <x v="6"/>
    <n v="13.691700000000001"/>
    <n v="-89.234099999999998"/>
    <n v="4"/>
    <n v="0"/>
    <n v="0"/>
    <n v="107"/>
    <s v="_x0000_peopl"/>
  </r>
  <r>
    <x v="6"/>
    <n v="13.6867"/>
    <n v="-89.191000000000003"/>
    <n v="6"/>
    <n v="0"/>
    <n v="0"/>
    <n v="107"/>
    <s v="_x0000_peopl"/>
  </r>
  <r>
    <x v="6"/>
    <n v="13.6912"/>
    <n v="-89.226500000000001"/>
    <n v="7"/>
    <n v="0"/>
    <n v="0"/>
    <n v="107"/>
    <s v="_x0000_peopl"/>
  </r>
  <r>
    <x v="6"/>
    <n v="13.689"/>
    <n v="-89.236099999999993"/>
    <n v="5"/>
    <n v="0"/>
    <n v="0"/>
    <n v="107"/>
    <s v="_x0000_peopl"/>
  </r>
  <r>
    <x v="6"/>
    <n v="13.684699999999999"/>
    <n v="-89.213700000000003"/>
    <n v="4"/>
    <n v="0"/>
    <n v="0"/>
    <n v="107"/>
    <s v="_x0000_peopl"/>
  </r>
  <r>
    <x v="6"/>
    <n v="13.6873"/>
    <n v="-89.1965"/>
    <n v="7"/>
    <n v="0"/>
    <n v="0"/>
    <n v="107"/>
    <s v="_x0000_peopl"/>
  </r>
  <r>
    <x v="6"/>
    <n v="13.6921"/>
    <n v="-89.221900000000005"/>
    <n v="5"/>
    <n v="0"/>
    <n v="0"/>
    <n v="107"/>
    <s v="_x0000_peopl"/>
  </r>
  <r>
    <x v="6"/>
    <n v="13.6881"/>
    <n v="-89.182599999999994"/>
    <n v="4"/>
    <n v="0"/>
    <n v="0"/>
    <n v="107"/>
    <s v="_x0000_peopl"/>
  </r>
  <r>
    <x v="6"/>
    <n v="13.692299999999999"/>
    <n v="-89.189899999999994"/>
    <n v="8"/>
    <n v="0"/>
    <n v="0"/>
    <n v="107"/>
    <s v="_x0000_peopl"/>
  </r>
  <r>
    <x v="6"/>
    <n v="13.6875"/>
    <n v="-89.198300000000003"/>
    <n v="3"/>
    <n v="0"/>
    <n v="0"/>
    <n v="107"/>
    <s v="_x0000_peopl"/>
  </r>
  <r>
    <x v="6"/>
    <n v="13.6892"/>
    <n v="-89.183800000000005"/>
    <n v="6"/>
    <n v="0"/>
    <n v="0"/>
    <n v="107"/>
    <s v="_x0000_peopl"/>
  </r>
  <r>
    <x v="6"/>
    <n v="13.6965"/>
    <n v="-89.171400000000006"/>
    <n v="4"/>
    <n v="0"/>
    <n v="0"/>
    <n v="107"/>
    <s v="_x0000_peopl"/>
  </r>
  <r>
    <x v="6"/>
    <n v="13.692299999999999"/>
    <n v="-89.179699999999997"/>
    <n v="3"/>
    <n v="0"/>
    <n v="0"/>
    <n v="107"/>
    <s v="_x0000_peopl"/>
  </r>
  <r>
    <x v="6"/>
    <n v="13.6776"/>
    <n v="-89.246799999999993"/>
    <n v="6"/>
    <n v="0"/>
    <n v="0"/>
    <n v="107"/>
    <s v="_x0000_peopl"/>
  </r>
  <r>
    <x v="6"/>
    <n v="13.690099999999999"/>
    <n v="-89.188500000000005"/>
    <n v="5"/>
    <n v="0"/>
    <n v="0"/>
    <n v="107"/>
    <s v="_x0000_peopl"/>
  </r>
  <r>
    <x v="6"/>
    <n v="13.6808"/>
    <n v="-89.195899999999995"/>
    <n v="7"/>
    <n v="0"/>
    <n v="0"/>
    <n v="107"/>
    <s v="_x0000_peopl"/>
  </r>
  <r>
    <x v="6"/>
    <n v="13.690099999999999"/>
    <n v="-89.190200000000004"/>
    <n v="4"/>
    <n v="0"/>
    <n v="0"/>
    <n v="107"/>
    <s v="_x0000_peopl"/>
  </r>
  <r>
    <x v="6"/>
    <n v="13.6866"/>
    <n v="-89.201800000000006"/>
    <n v="7"/>
    <n v="0"/>
    <n v="0"/>
    <n v="107"/>
    <s v="_x0000_peopl"/>
  </r>
  <r>
    <x v="6"/>
    <n v="13.6774"/>
    <n v="-89.247200000000007"/>
    <n v="9"/>
    <n v="0"/>
    <n v="0"/>
    <n v="107"/>
    <s v="_x0000_peopl"/>
  </r>
  <r>
    <x v="6"/>
    <n v="13.6751"/>
    <n v="-89.251900000000006"/>
    <n v="4"/>
    <n v="0"/>
    <n v="0"/>
    <n v="107"/>
    <s v="_x0000_peopl"/>
  </r>
  <r>
    <x v="6"/>
    <n v="13.6915"/>
    <n v="-89.189300000000003"/>
    <n v="6"/>
    <n v="0"/>
    <n v="0"/>
    <n v="107"/>
    <s v="_x0000_peopl"/>
  </r>
  <r>
    <x v="6"/>
    <n v="13.6798"/>
    <n v="-89.197199999999995"/>
    <n v="4"/>
    <n v="0"/>
    <n v="0"/>
    <n v="107"/>
    <s v="_x0000_peopl"/>
  </r>
  <r>
    <x v="6"/>
    <n v="13.674200000000001"/>
    <n v="-89.251999999999995"/>
    <n v="5"/>
    <n v="0"/>
    <n v="0"/>
    <n v="107"/>
    <s v="_x0000_peopl"/>
  </r>
  <r>
    <x v="6"/>
    <n v="13.6935"/>
    <n v="-89.188699999999997"/>
    <n v="8"/>
    <n v="0"/>
    <n v="0"/>
    <n v="107"/>
    <s v="_x0000_peopl"/>
  </r>
  <r>
    <x v="6"/>
    <n v="13.6875"/>
    <n v="-89.197199999999995"/>
    <n v="4"/>
    <n v="0"/>
    <n v="0"/>
    <n v="107"/>
    <s v="_x0000_peopl"/>
  </r>
  <r>
    <x v="6"/>
    <n v="13.6859"/>
    <n v="-89.216399999999993"/>
    <n v="3"/>
    <n v="0"/>
    <n v="0"/>
    <n v="107"/>
    <s v="_x0000_peopl"/>
  </r>
  <r>
    <x v="6"/>
    <n v="13.691700000000001"/>
    <n v="-89.2209"/>
    <n v="5"/>
    <n v="0"/>
    <n v="0"/>
    <n v="107"/>
    <s v="_x0000_peopl"/>
  </r>
  <r>
    <x v="6"/>
    <n v="13.6935"/>
    <n v="-89.190299999999993"/>
    <n v="6"/>
    <n v="0"/>
    <n v="0"/>
    <n v="107"/>
    <s v="_x0000_peopl"/>
  </r>
  <r>
    <x v="6"/>
    <n v="13.6869"/>
    <n v="-89.212800000000001"/>
    <n v="5"/>
    <n v="0"/>
    <n v="0"/>
    <n v="107"/>
    <s v="_x0000_peopl"/>
  </r>
  <r>
    <x v="6"/>
    <n v="13.686400000000001"/>
    <n v="-89.2149"/>
    <n v="8"/>
    <n v="0"/>
    <n v="0"/>
    <n v="107"/>
    <s v="_x0000_peopl"/>
  </r>
  <r>
    <x v="6"/>
    <n v="13.6957"/>
    <n v="-89.172499999999999"/>
    <n v="7"/>
    <n v="0"/>
    <n v="0"/>
    <n v="107"/>
    <s v="_x0000_peopl"/>
  </r>
  <r>
    <x v="6"/>
    <n v="13.6723"/>
    <n v="-89.205100000000002"/>
    <n v="5"/>
    <n v="0"/>
    <n v="0"/>
    <n v="107"/>
    <s v="_x0000_peopl"/>
  </r>
  <r>
    <x v="6"/>
    <n v="13.687200000000001"/>
    <n v="-89.1828"/>
    <n v="4"/>
    <n v="0"/>
    <n v="0"/>
    <n v="107"/>
    <s v="_x0000_peopl"/>
  </r>
  <r>
    <x v="6"/>
    <n v="13.687900000000001"/>
    <n v="-89.181100000000001"/>
    <n v="3"/>
    <n v="0"/>
    <n v="0"/>
    <n v="107"/>
    <s v="_x0000_peopl"/>
  </r>
  <r>
    <x v="6"/>
    <n v="13.6729"/>
    <n v="-89.204499999999996"/>
    <n v="6"/>
    <n v="0"/>
    <n v="0"/>
    <n v="107"/>
    <s v="_x0000_peopl"/>
  </r>
  <r>
    <x v="6"/>
    <n v="13.6945"/>
    <n v="-89.185299999999998"/>
    <n v="8"/>
    <n v="0"/>
    <n v="0"/>
    <n v="107"/>
    <s v="_x0000_peopl"/>
  </r>
  <r>
    <x v="6"/>
    <n v="13.695399999999999"/>
    <n v="-89.174800000000005"/>
    <n v="4"/>
    <n v="0"/>
    <n v="0"/>
    <n v="107"/>
    <s v="_x0000_peopl"/>
  </r>
  <r>
    <x v="6"/>
    <n v="13.690099999999999"/>
    <n v="-89.184600000000003"/>
    <n v="5"/>
    <n v="0"/>
    <n v="0"/>
    <n v="107"/>
    <s v="_x0000_peopl"/>
  </r>
  <r>
    <x v="6"/>
    <n v="13.6935"/>
    <n v="-89.1892"/>
    <n v="6"/>
    <n v="0"/>
    <n v="0"/>
    <n v="107"/>
    <s v="_x0000_peopl"/>
  </r>
  <r>
    <x v="6"/>
    <n v="13.6846"/>
    <n v="-89.211699999999993"/>
    <n v="2"/>
    <n v="0"/>
    <n v="0"/>
    <n v="107"/>
    <s v="_x0000_peopl"/>
  </r>
  <r>
    <x v="6"/>
    <n v="13.6942"/>
    <n v="-89.183099999999996"/>
    <n v="4"/>
    <n v="0"/>
    <n v="0"/>
    <n v="107"/>
    <s v="_x0000_peopl"/>
  </r>
  <r>
    <x v="6"/>
    <n v="13.689299999999999"/>
    <n v="-89.235900000000001"/>
    <n v="4"/>
    <n v="0"/>
    <n v="0"/>
    <n v="107"/>
    <s v="_x0000_peopl"/>
  </r>
  <r>
    <x v="6"/>
    <n v="13.6867"/>
    <n v="-89.202200000000005"/>
    <n v="7"/>
    <n v="0"/>
    <n v="0"/>
    <n v="107"/>
    <s v="_x0000_peopl"/>
  </r>
  <r>
    <x v="6"/>
    <n v="13.6905"/>
    <n v="-89.235399999999998"/>
    <n v="5"/>
    <n v="0"/>
    <n v="0"/>
    <n v="107"/>
    <s v="_x0000_peopl"/>
  </r>
  <r>
    <x v="6"/>
    <n v="13.6744"/>
    <n v="-89.251999999999995"/>
    <n v="1"/>
    <n v="0"/>
    <n v="0"/>
    <n v="107"/>
    <s v="_x0000_peopl"/>
  </r>
  <r>
    <x v="6"/>
    <n v="13.6874"/>
    <n v="-89.197999999999993"/>
    <n v="4"/>
    <n v="0"/>
    <n v="0"/>
    <n v="107"/>
    <s v="_x0000_peopl"/>
  </r>
  <r>
    <x v="6"/>
    <n v="13.6975"/>
    <n v="-89.171400000000006"/>
    <n v="2"/>
    <n v="0"/>
    <n v="0"/>
    <n v="107"/>
    <s v="_x0000_peopl"/>
  </r>
  <r>
    <x v="6"/>
    <n v="13.686999999999999"/>
    <n v="-89.194599999999994"/>
    <n v="3"/>
    <n v="0"/>
    <n v="0"/>
    <n v="107"/>
    <s v="_x0000_peopl"/>
  </r>
  <r>
    <x v="6"/>
    <n v="13.691800000000001"/>
    <n v="-89.186000000000007"/>
    <n v="3"/>
    <n v="0"/>
    <n v="0"/>
    <n v="107"/>
    <s v="_x0000_peopl"/>
  </r>
  <r>
    <x v="6"/>
    <n v="13.691000000000001"/>
    <n v="-89.234300000000005"/>
    <n v="6"/>
    <n v="0"/>
    <n v="0"/>
    <n v="107"/>
    <s v="_x0000_peopl"/>
  </r>
  <r>
    <x v="6"/>
    <n v="13.69"/>
    <n v="-89.236099999999993"/>
    <n v="3"/>
    <n v="0"/>
    <n v="0"/>
    <n v="107"/>
    <s v="_x0000_peopl"/>
  </r>
  <r>
    <x v="6"/>
    <n v="13.692"/>
    <n v="-89.2256"/>
    <n v="7"/>
    <n v="0"/>
    <n v="0"/>
    <n v="107"/>
    <s v="_x0000_peopl"/>
  </r>
  <r>
    <x v="6"/>
    <n v="13.6869"/>
    <n v="-89.215599999999995"/>
    <n v="3"/>
    <n v="0"/>
    <n v="0"/>
    <n v="107"/>
    <s v="_x0000_peopl"/>
  </r>
  <r>
    <x v="6"/>
    <n v="13.687099999999999"/>
    <n v="-89.183400000000006"/>
    <n v="12"/>
    <n v="0"/>
    <n v="0"/>
    <n v="107"/>
    <s v="_x0000_peopl"/>
  </r>
  <r>
    <x v="6"/>
    <n v="13.687099999999999"/>
    <n v="-89.197000000000003"/>
    <n v="5"/>
    <n v="0"/>
    <n v="0"/>
    <n v="107"/>
    <s v="_x0000_peopl"/>
  </r>
  <r>
    <x v="6"/>
    <n v="13.6907"/>
    <n v="-89.227800000000002"/>
    <n v="8"/>
    <n v="0"/>
    <n v="0"/>
    <n v="107"/>
    <s v="_x0000_peopl"/>
  </r>
  <r>
    <x v="6"/>
    <n v="13.689299999999999"/>
    <n v="-89.184200000000004"/>
    <n v="3"/>
    <n v="0"/>
    <n v="0"/>
    <n v="107"/>
    <s v="_x0000_peopl"/>
  </r>
  <r>
    <x v="6"/>
    <n v="13.6873"/>
    <n v="-89.194400000000002"/>
    <n v="5"/>
    <n v="0"/>
    <n v="0"/>
    <n v="107"/>
    <s v="_x0000_peopl"/>
  </r>
  <r>
    <x v="6"/>
    <n v="13.6905"/>
    <n v="-89.233699999999999"/>
    <n v="3"/>
    <n v="0"/>
    <n v="0"/>
    <n v="107"/>
    <s v="_x0000_peopl"/>
  </r>
  <r>
    <x v="6"/>
    <n v="13.690799999999999"/>
    <n v="-89.194500000000005"/>
    <n v="2"/>
    <n v="0"/>
    <n v="0"/>
    <n v="107"/>
    <s v="_x0000_peopl"/>
  </r>
  <r>
    <x v="6"/>
    <n v="13.687099999999999"/>
    <n v="-89.195800000000006"/>
    <n v="6"/>
    <n v="0"/>
    <n v="0"/>
    <n v="107"/>
    <s v="_x0000_peopl"/>
  </r>
  <r>
    <x v="6"/>
    <n v="13.6919"/>
    <n v="-89.194400000000002"/>
    <n v="7"/>
    <n v="0"/>
    <n v="0"/>
    <n v="107"/>
    <s v="_x0000_peopl"/>
  </r>
  <r>
    <x v="6"/>
    <n v="13.689500000000001"/>
    <n v="-89.177499999999995"/>
    <n v="4"/>
    <n v="0"/>
    <n v="0"/>
    <n v="107"/>
    <s v="_x0000_peopl"/>
  </r>
  <r>
    <x v="6"/>
    <n v="13.6844"/>
    <n v="-89.211699999999993"/>
    <n v="8"/>
    <n v="0"/>
    <n v="0"/>
    <n v="107"/>
    <s v="_x0000_peopl"/>
  </r>
  <r>
    <x v="6"/>
    <n v="13.6912"/>
    <n v="-89.186400000000006"/>
    <n v="9"/>
    <n v="0"/>
    <n v="0"/>
    <n v="107"/>
    <s v="_x0000_peopl"/>
  </r>
  <r>
    <x v="6"/>
    <n v="13.6914"/>
    <n v="-89.189400000000006"/>
    <n v="2"/>
    <n v="0"/>
    <n v="0"/>
    <n v="107"/>
    <s v="_x0000_peopl"/>
  </r>
  <r>
    <x v="6"/>
    <n v="13.6944"/>
    <n v="-89.188999999999993"/>
    <n v="8"/>
    <n v="0"/>
    <n v="0"/>
    <n v="107"/>
    <s v="_x0000_peopl"/>
  </r>
  <r>
    <x v="6"/>
    <n v="13.6906"/>
    <n v="-89.186000000000007"/>
    <n v="5"/>
    <n v="0"/>
    <n v="0"/>
    <n v="107"/>
    <s v="_x0000_peopl"/>
  </r>
  <r>
    <x v="6"/>
    <n v="13.6935"/>
    <n v="-89.192099999999996"/>
    <n v="6"/>
    <n v="0"/>
    <n v="0"/>
    <n v="107"/>
    <s v="_x0000_peopl"/>
  </r>
  <r>
    <x v="6"/>
    <n v="13.688499999999999"/>
    <n v="-89.216700000000003"/>
    <n v="4"/>
    <n v="0"/>
    <n v="0"/>
    <n v="107"/>
    <s v="_x0000_peopl"/>
  </r>
  <r>
    <x v="6"/>
    <n v="13.6936"/>
    <n v="-89.173599999999993"/>
    <n v="7"/>
    <n v="0"/>
    <n v="0"/>
    <n v="107"/>
    <s v="_x0000_peopl"/>
  </r>
  <r>
    <x v="6"/>
    <n v="13.690300000000001"/>
    <n v="-89.184899999999999"/>
    <n v="12"/>
    <n v="0"/>
    <n v="0"/>
    <n v="107"/>
    <s v="_x0000_peopl"/>
  </r>
  <r>
    <x v="6"/>
    <n v="13.6876"/>
    <n v="-89.194900000000004"/>
    <n v="3"/>
    <n v="0"/>
    <n v="0"/>
    <n v="107"/>
    <s v="_x0000_peopl"/>
  </r>
  <r>
    <x v="6"/>
    <n v="13.6736"/>
    <n v="-89.202799999999996"/>
    <n v="5"/>
    <n v="0"/>
    <n v="0"/>
    <n v="107"/>
    <s v="_x0000_peopl"/>
  </r>
  <r>
    <x v="6"/>
    <n v="13.693199999999999"/>
    <n v="-89.1785"/>
    <n v="6"/>
    <n v="0"/>
    <n v="0"/>
    <n v="107"/>
    <s v="_x0000_peopl"/>
  </r>
  <r>
    <x v="6"/>
    <n v="13.691700000000001"/>
    <n v="-89.227000000000004"/>
    <n v="7"/>
    <n v="0"/>
    <n v="0"/>
    <n v="107"/>
    <s v="_x0000_peopl"/>
  </r>
  <r>
    <x v="6"/>
    <n v="13.692500000000001"/>
    <n v="-89.179299999999998"/>
    <n v="5"/>
    <n v="0"/>
    <n v="0"/>
    <n v="107"/>
    <s v="_x0000_peopl"/>
  </r>
  <r>
    <x v="6"/>
    <n v="13.6845"/>
    <n v="-89.216700000000003"/>
    <n v="9"/>
    <n v="0"/>
    <n v="0"/>
    <n v="107"/>
    <s v="_x0000_peopl"/>
  </r>
  <r>
    <x v="6"/>
    <n v="13.6854"/>
    <n v="-89.213099999999997"/>
    <n v="5"/>
    <n v="0"/>
    <n v="0"/>
    <n v="107"/>
    <s v="_x0000_peopl"/>
  </r>
  <r>
    <x v="6"/>
    <n v="13.694000000000001"/>
    <n v="-89.176299999999998"/>
    <n v="5"/>
    <n v="0"/>
    <n v="0"/>
    <n v="107"/>
    <s v="_x0000_peopl"/>
  </r>
  <r>
    <x v="6"/>
    <n v="13.6914"/>
    <n v="-89.193700000000007"/>
    <n v="7"/>
    <n v="0"/>
    <n v="0"/>
    <n v="107"/>
    <s v="_x0000_peopl"/>
  </r>
  <r>
    <x v="6"/>
    <n v="13.694699999999999"/>
    <n v="-89.185400000000001"/>
    <n v="3"/>
    <n v="0"/>
    <n v="0"/>
    <n v="107"/>
    <s v="_x0000_peopl"/>
  </r>
  <r>
    <x v="6"/>
    <n v="13.6929"/>
    <n v="-89.176400000000001"/>
    <n v="1"/>
    <n v="0"/>
    <n v="0"/>
    <n v="107"/>
    <s v="_x0000_peopl"/>
  </r>
  <r>
    <x v="6"/>
    <n v="13.6904"/>
    <n v="-89.195599999999999"/>
    <n v="7"/>
    <n v="0"/>
    <n v="0"/>
    <n v="107"/>
    <s v="_x0000_peopl"/>
  </r>
  <r>
    <x v="6"/>
    <n v="13.6913"/>
    <n v="-89.177099999999996"/>
    <n v="6"/>
    <n v="0"/>
    <n v="0"/>
    <n v="107"/>
    <s v="_x0000_peopl"/>
  </r>
  <r>
    <x v="6"/>
    <n v="13.684900000000001"/>
    <n v="-89.212299999999999"/>
    <n v="8"/>
    <n v="0"/>
    <n v="0"/>
    <n v="107"/>
    <s v="_x0000_peopl"/>
  </r>
  <r>
    <x v="6"/>
    <n v="13.675000000000001"/>
    <n v="-89.1999"/>
    <n v="9"/>
    <n v="0"/>
    <n v="0"/>
    <n v="107"/>
    <s v="_x0000_peopl"/>
  </r>
  <r>
    <x v="6"/>
    <n v="13.687799999999999"/>
    <n v="-89.194500000000005"/>
    <n v="9"/>
    <n v="0"/>
    <n v="0"/>
    <n v="107"/>
    <s v="_x0000_peopl"/>
  </r>
  <r>
    <x v="6"/>
    <n v="13.6859"/>
    <n v="-89.203900000000004"/>
    <n v="5"/>
    <n v="0"/>
    <n v="0"/>
    <n v="107"/>
    <s v="_x0000_peopl"/>
  </r>
  <r>
    <x v="6"/>
    <n v="13.691800000000001"/>
    <n v="-89.178399999999996"/>
    <n v="9"/>
    <n v="0"/>
    <n v="0"/>
    <n v="107"/>
    <s v="_x0000_peopl"/>
  </r>
  <r>
    <x v="6"/>
    <n v="13.6884"/>
    <n v="-89.1905"/>
    <n v="2"/>
    <n v="0"/>
    <n v="0"/>
    <n v="107"/>
    <s v="_x0000_peopl"/>
  </r>
  <r>
    <x v="6"/>
    <n v="13.6911"/>
    <n v="-89.185599999999994"/>
    <n v="3"/>
    <n v="0"/>
    <n v="0"/>
    <n v="107"/>
    <s v="_x0000_peopl"/>
  </r>
  <r>
    <x v="6"/>
    <n v="13.6899"/>
    <n v="-89.194100000000006"/>
    <n v="4"/>
    <n v="0"/>
    <n v="0"/>
    <n v="107"/>
    <s v="_x0000_peopl"/>
  </r>
  <r>
    <x v="6"/>
    <n v="13.691000000000001"/>
    <n v="-89.219899999999996"/>
    <n v="9"/>
    <n v="0"/>
    <n v="0"/>
    <n v="107"/>
    <s v="_x0000_peopl"/>
  </r>
  <r>
    <x v="6"/>
    <n v="13.6897"/>
    <n v="-89.229100000000003"/>
    <n v="7"/>
    <n v="0"/>
    <n v="0"/>
    <n v="107"/>
    <s v="_x0000_peopl"/>
  </r>
  <r>
    <x v="6"/>
    <n v="13.6904"/>
    <n v="-89.179599999999994"/>
    <n v="3"/>
    <n v="0"/>
    <n v="0"/>
    <n v="107"/>
    <s v="_x0000_peopl"/>
  </r>
  <r>
    <x v="6"/>
    <n v="13.686500000000001"/>
    <n v="-89.190799999999996"/>
    <n v="6"/>
    <n v="0"/>
    <n v="0"/>
    <n v="107"/>
    <s v="_x0000_peopl"/>
  </r>
  <r>
    <x v="6"/>
    <n v="13.689"/>
    <n v="-89.215599999999995"/>
    <n v="6"/>
    <n v="0"/>
    <n v="0"/>
    <n v="107"/>
    <s v="_x0000_peopl"/>
  </r>
  <r>
    <x v="6"/>
    <n v="13.692"/>
    <n v="-89.194299999999998"/>
    <n v="5"/>
    <n v="0"/>
    <n v="0"/>
    <n v="107"/>
    <s v="_x0000_peopl"/>
  </r>
  <r>
    <x v="6"/>
    <n v="13.690099999999999"/>
    <n v="-89.193799999999996"/>
    <n v="6"/>
    <n v="0"/>
    <n v="0"/>
    <n v="107"/>
    <s v="_x0000_peopl"/>
  </r>
  <r>
    <x v="6"/>
    <n v="13.695"/>
    <n v="-89.173599999999993"/>
    <n v="10"/>
    <n v="0"/>
    <n v="0"/>
    <n v="107"/>
    <s v="_x0000_peopl"/>
  </r>
  <r>
    <x v="6"/>
    <n v="13.6869"/>
    <n v="-89.181899999999999"/>
    <n v="6"/>
    <n v="0"/>
    <n v="0"/>
    <n v="107"/>
    <s v="_x0000_peopl"/>
  </r>
  <r>
    <x v="6"/>
    <n v="13.6942"/>
    <n v="-89.183099999999996"/>
    <n v="3"/>
    <n v="0"/>
    <n v="0"/>
    <n v="107"/>
    <s v="_x0000_peopl"/>
  </r>
  <r>
    <x v="6"/>
    <n v="13.6968"/>
    <n v="-89.171400000000006"/>
    <n v="4"/>
    <n v="0"/>
    <n v="0"/>
    <n v="107"/>
    <s v="_x0000_peopl"/>
  </r>
  <r>
    <x v="6"/>
    <n v="13.6846"/>
    <n v="-89.211200000000005"/>
    <n v="5"/>
    <n v="0"/>
    <n v="0"/>
    <n v="107"/>
    <s v="_x0000_peopl"/>
  </r>
  <r>
    <x v="6"/>
    <n v="13.697100000000001"/>
    <n v="-89.171300000000002"/>
    <n v="9"/>
    <n v="0"/>
    <n v="0"/>
    <n v="107"/>
    <s v="_x0000_peopl"/>
  </r>
  <r>
    <x v="6"/>
    <n v="13.692"/>
    <n v="-89.223200000000006"/>
    <n v="7"/>
    <n v="0"/>
    <n v="0"/>
    <n v="107"/>
    <s v="_x0000_peopl"/>
  </r>
  <r>
    <x v="6"/>
    <n v="13.687200000000001"/>
    <n v="-89.194599999999994"/>
    <n v="2"/>
    <n v="0"/>
    <n v="0"/>
    <n v="107"/>
    <s v="_x0000_peopl"/>
  </r>
  <r>
    <x v="6"/>
    <n v="13.688499999999999"/>
    <n v="-89.190600000000003"/>
    <n v="3"/>
    <n v="0"/>
    <n v="0"/>
    <n v="107"/>
    <s v="_x0000_peopl"/>
  </r>
  <r>
    <x v="6"/>
    <n v="13.6897"/>
    <n v="-89.206400000000002"/>
    <n v="4"/>
    <n v="0"/>
    <n v="0"/>
    <n v="107"/>
    <s v="_x0000_peopl"/>
  </r>
  <r>
    <x v="6"/>
    <n v="13.687200000000001"/>
    <n v="-89.183000000000007"/>
    <n v="6"/>
    <n v="0"/>
    <n v="0"/>
    <n v="107"/>
    <s v="_x0000_peopl"/>
  </r>
  <r>
    <x v="6"/>
    <n v="13.6884"/>
    <n v="-89.191000000000003"/>
    <n v="4"/>
    <n v="0"/>
    <n v="0"/>
    <n v="107"/>
    <s v="_x0000_peopl"/>
  </r>
  <r>
    <x v="6"/>
    <n v="13.694800000000001"/>
    <n v="-89.174099999999996"/>
    <n v="3"/>
    <n v="0"/>
    <n v="0"/>
    <n v="107"/>
    <s v="_x0000_peopl"/>
  </r>
  <r>
    <x v="6"/>
    <n v="13.674099999999999"/>
    <n v="-89.202699999999993"/>
    <n v="3"/>
    <n v="0"/>
    <n v="0"/>
    <n v="107"/>
    <s v="_x0000_peopl"/>
  </r>
  <r>
    <x v="6"/>
    <n v="13.6907"/>
    <n v="-89.231800000000007"/>
    <n v="4"/>
    <n v="0"/>
    <n v="0"/>
    <n v="107"/>
    <s v="_x0000_peopl"/>
  </r>
  <r>
    <x v="6"/>
    <n v="13.6943"/>
    <n v="-89.183099999999996"/>
    <n v="6"/>
    <n v="0"/>
    <n v="0"/>
    <n v="107"/>
    <s v="_x0000_peopl"/>
  </r>
  <r>
    <x v="6"/>
    <n v="13.6891"/>
    <n v="-89.1785"/>
    <n v="5"/>
    <n v="0"/>
    <n v="0"/>
    <n v="107"/>
    <s v="_x0000_peopl"/>
  </r>
  <r>
    <x v="6"/>
    <n v="13.687099999999999"/>
    <n v="-89.183700000000002"/>
    <n v="3"/>
    <n v="0"/>
    <n v="0"/>
    <n v="107"/>
    <s v="_x0000_peopl"/>
  </r>
  <r>
    <x v="6"/>
    <n v="13.6783"/>
    <n v="-89.196299999999994"/>
    <n v="6"/>
    <n v="0"/>
    <n v="0"/>
    <n v="107"/>
    <s v="_x0000_peopl"/>
  </r>
  <r>
    <x v="6"/>
    <n v="13.6851"/>
    <n v="-89.194000000000003"/>
    <n v="6"/>
    <n v="0"/>
    <n v="0"/>
    <n v="107"/>
    <s v="_x0000_peopl"/>
  </r>
  <r>
    <x v="6"/>
    <n v="13.676600000000001"/>
    <n v="-89.1999"/>
    <n v="8"/>
    <n v="0"/>
    <n v="0"/>
    <n v="107"/>
    <s v="_x0000_peopl"/>
  </r>
  <r>
    <x v="6"/>
    <n v="13.691599999999999"/>
    <n v="-89.226699999999994"/>
    <n v="3"/>
    <n v="0"/>
    <n v="0"/>
    <n v="107"/>
    <s v="_x0000_peopl"/>
  </r>
  <r>
    <x v="6"/>
    <n v="13.6912"/>
    <n v="-89.232500000000002"/>
    <n v="5"/>
    <n v="0"/>
    <n v="0"/>
    <n v="107"/>
    <s v="_x0000_peopl"/>
  </r>
  <r>
    <x v="6"/>
    <n v="13.6911"/>
    <n v="-89.183300000000003"/>
    <n v="2"/>
    <n v="0"/>
    <n v="0"/>
    <n v="107"/>
    <s v="_x0000_peopl"/>
  </r>
  <r>
    <x v="6"/>
    <n v="13.694100000000001"/>
    <n v="-89.175600000000003"/>
    <n v="8"/>
    <n v="0"/>
    <n v="0"/>
    <n v="107"/>
    <s v="_x0000_peopl"/>
  </r>
  <r>
    <x v="6"/>
    <n v="13.6914"/>
    <n v="-89.220200000000006"/>
    <n v="7"/>
    <n v="0"/>
    <n v="0"/>
    <n v="107"/>
    <s v="_x0000_peopl"/>
  </r>
  <r>
    <x v="6"/>
    <n v="13.6854"/>
    <n v="-89.212500000000006"/>
    <n v="8"/>
    <n v="0"/>
    <n v="0"/>
    <n v="107"/>
    <s v="_x0000_peopl"/>
  </r>
  <r>
    <x v="6"/>
    <n v="13.694000000000001"/>
    <n v="-89.176000000000002"/>
    <n v="7"/>
    <n v="0"/>
    <n v="0"/>
    <n v="107"/>
    <s v="_x0000_peopl"/>
  </r>
  <r>
    <x v="6"/>
    <n v="13.679399999999999"/>
    <n v="-89.196399999999997"/>
    <n v="5"/>
    <n v="0"/>
    <n v="0"/>
    <n v="107"/>
    <s v="_x0000_peopl"/>
  </r>
  <r>
    <x v="6"/>
    <n v="13.686999999999999"/>
    <n v="-89.205200000000005"/>
    <n v="2"/>
    <n v="0"/>
    <n v="0"/>
    <n v="107"/>
    <s v="_x0000_peopl"/>
  </r>
  <r>
    <x v="6"/>
    <n v="13.6873"/>
    <n v="-89.194400000000002"/>
    <n v="6"/>
    <n v="0"/>
    <n v="0"/>
    <n v="107"/>
    <s v="_x0000_peopl"/>
  </r>
  <r>
    <x v="6"/>
    <n v="13.6892"/>
    <n v="-89.229100000000003"/>
    <n v="10"/>
    <n v="0"/>
    <n v="0"/>
    <n v="107"/>
    <s v="_x0000_peopl"/>
  </r>
  <r>
    <x v="6"/>
    <n v="13.6922"/>
    <n v="-89.175700000000006"/>
    <n v="8"/>
    <n v="0"/>
    <n v="0"/>
    <n v="107"/>
    <s v="_x0000_peopl"/>
  </r>
  <r>
    <x v="6"/>
    <n v="13.6853"/>
    <n v="-89.213099999999997"/>
    <n v="3"/>
    <n v="0"/>
    <n v="0"/>
    <n v="107"/>
    <s v="_x0000_peopl"/>
  </r>
  <r>
    <x v="6"/>
    <n v="13.690200000000001"/>
    <n v="-89.235200000000006"/>
    <n v="4"/>
    <n v="0"/>
    <n v="0"/>
    <n v="107"/>
    <s v="_x0000_peopl"/>
  </r>
  <r>
    <x v="6"/>
    <n v="13.6905"/>
    <n v="-89.179000000000002"/>
    <n v="8"/>
    <n v="0"/>
    <n v="0"/>
    <n v="107"/>
    <s v="_x0000_peopl"/>
  </r>
  <r>
    <x v="6"/>
    <n v="13.6845"/>
    <n v="-89.216300000000004"/>
    <n v="5"/>
    <n v="0"/>
    <n v="0"/>
    <n v="107"/>
    <s v="_x0000_peopl"/>
  </r>
  <r>
    <x v="6"/>
    <n v="13.688599999999999"/>
    <n v="-89.206699999999998"/>
    <n v="5"/>
    <n v="0"/>
    <n v="0"/>
    <n v="107"/>
    <s v="_x0000_peopl"/>
  </r>
  <r>
    <x v="6"/>
    <n v="13.690799999999999"/>
    <n v="-89.194500000000005"/>
    <n v="4"/>
    <n v="0"/>
    <n v="0"/>
    <n v="107"/>
    <s v="_x0000_peopl"/>
  </r>
  <r>
    <x v="6"/>
    <n v="13.6899"/>
    <n v="-89.183999999999997"/>
    <n v="2"/>
    <n v="0"/>
    <n v="0"/>
    <n v="107"/>
    <s v="_x0000_peopl"/>
  </r>
  <r>
    <x v="6"/>
    <n v="13.692399999999999"/>
    <n v="-89.224100000000007"/>
    <n v="4"/>
    <n v="0"/>
    <n v="0"/>
    <n v="107"/>
    <s v="_x0000_peopl"/>
  </r>
  <r>
    <x v="6"/>
    <n v="13.6873"/>
    <n v="-89.191500000000005"/>
    <n v="4"/>
    <n v="0"/>
    <n v="0"/>
    <n v="107"/>
    <s v="_x0000_peopl"/>
  </r>
  <r>
    <x v="6"/>
    <n v="13.687099999999999"/>
    <n v="-89.183300000000003"/>
    <n v="7"/>
    <n v="0"/>
    <n v="0"/>
    <n v="107"/>
    <s v="_x0000_peopl"/>
  </r>
  <r>
    <x v="6"/>
    <n v="13.689299999999999"/>
    <n v="-89.235900000000001"/>
    <n v="5"/>
    <n v="0"/>
    <n v="0"/>
    <n v="107"/>
    <s v="_x0000_peopl"/>
  </r>
  <r>
    <x v="6"/>
    <n v="13.6928"/>
    <n v="-89.178100000000001"/>
    <n v="4"/>
    <n v="0"/>
    <n v="0"/>
    <n v="107"/>
    <s v="_x0000_peopl"/>
  </r>
  <r>
    <x v="6"/>
    <n v="13.689299999999999"/>
    <n v="-89.206699999999998"/>
    <n v="6"/>
    <n v="0"/>
    <n v="0"/>
    <n v="107"/>
    <s v="_x0000_peopl"/>
  </r>
  <r>
    <x v="6"/>
    <n v="13.6881"/>
    <n v="-89.205600000000004"/>
    <n v="5"/>
    <n v="0"/>
    <n v="0"/>
    <n v="107"/>
    <s v="_x0000_peopl"/>
  </r>
  <r>
    <x v="6"/>
    <n v="13.6897"/>
    <n v="-89.189599999999999"/>
    <n v="4"/>
    <n v="0"/>
    <n v="0"/>
    <n v="107"/>
    <s v="_x0000_peopl"/>
  </r>
  <r>
    <x v="6"/>
    <n v="13.6915"/>
    <n v="-89.226100000000002"/>
    <n v="4"/>
    <n v="0"/>
    <n v="0"/>
    <n v="107"/>
    <s v="_x0000_peopl"/>
  </r>
  <r>
    <x v="6"/>
    <n v="13.6897"/>
    <n v="-89.180999999999997"/>
    <n v="5"/>
    <n v="0"/>
    <n v="0"/>
    <n v="107"/>
    <s v="_x0000_peopl"/>
  </r>
  <r>
    <x v="6"/>
    <n v="13.6951"/>
    <n v="-89.174800000000005"/>
    <n v="7"/>
    <n v="0"/>
    <n v="0"/>
    <n v="107"/>
    <s v="_x0000_peopl"/>
  </r>
  <r>
    <x v="6"/>
    <n v="13.6896"/>
    <n v="-89.229399999999998"/>
    <n v="2"/>
    <n v="0"/>
    <n v="0"/>
    <n v="107"/>
    <s v="_x0000_peopl"/>
  </r>
  <r>
    <x v="6"/>
    <n v="13.6911"/>
    <n v="-89.186599999999999"/>
    <n v="3"/>
    <n v="0"/>
    <n v="0"/>
    <n v="107"/>
    <s v="_x0000_peopl"/>
  </r>
  <r>
    <x v="6"/>
    <n v="13.6866"/>
    <n v="-89.215900000000005"/>
    <n v="4"/>
    <n v="0"/>
    <n v="0"/>
    <n v="107"/>
    <s v="_x0000_peopl"/>
  </r>
  <r>
    <x v="6"/>
    <n v="13.678000000000001"/>
    <n v="-89.245599999999996"/>
    <n v="9"/>
    <n v="0"/>
    <n v="0"/>
    <n v="107"/>
    <s v="_x0000_peopl"/>
  </r>
  <r>
    <x v="6"/>
    <n v="13.691700000000001"/>
    <n v="-89.18"/>
    <n v="5"/>
    <n v="0"/>
    <n v="0"/>
    <n v="107"/>
    <s v="_x0000_peopl"/>
  </r>
  <r>
    <x v="6"/>
    <n v="13.6913"/>
    <n v="-89.183300000000003"/>
    <n v="6"/>
    <n v="0"/>
    <n v="0"/>
    <n v="107"/>
    <s v="_x0000_peopl"/>
  </r>
  <r>
    <x v="6"/>
    <n v="13.69"/>
    <n v="-89.177400000000006"/>
    <n v="2"/>
    <n v="0"/>
    <n v="0"/>
    <n v="107"/>
    <s v="_x0000_peopl"/>
  </r>
  <r>
    <x v="6"/>
    <n v="13.691599999999999"/>
    <n v="-89.186499999999995"/>
    <n v="9"/>
    <n v="0"/>
    <n v="0"/>
    <n v="107"/>
    <s v="_x0000_peopl"/>
  </r>
  <r>
    <x v="6"/>
    <n v="13.6876"/>
    <n v="-89.197100000000006"/>
    <n v="2"/>
    <n v="0"/>
    <n v="0"/>
    <n v="107"/>
    <s v="_x0000_peopl"/>
  </r>
  <r>
    <x v="6"/>
    <n v="13.6898"/>
    <n v="-89.177800000000005"/>
    <n v="7"/>
    <n v="0"/>
    <n v="0"/>
    <n v="107"/>
    <s v="_x0000_peopl"/>
  </r>
  <r>
    <x v="6"/>
    <n v="13.687200000000001"/>
    <n v="-89.194800000000001"/>
    <n v="5"/>
    <n v="0"/>
    <n v="0"/>
    <n v="107"/>
    <s v="_x0000_peopl"/>
  </r>
  <r>
    <x v="6"/>
    <n v="13.687799999999999"/>
    <n v="-89.197000000000003"/>
    <n v="5"/>
    <n v="0"/>
    <n v="0"/>
    <n v="107"/>
    <s v="_x0000_peopl"/>
  </r>
  <r>
    <x v="6"/>
    <n v="13.674099999999999"/>
    <n v="-89.202799999999996"/>
    <n v="5"/>
    <n v="0"/>
    <n v="0"/>
    <n v="107"/>
    <s v="_x0000_peopl"/>
  </r>
  <r>
    <x v="6"/>
    <n v="13.6875"/>
    <n v="-89.216899999999995"/>
    <n v="1"/>
    <n v="0"/>
    <n v="0"/>
    <n v="107"/>
    <s v="_x0000_peopl"/>
  </r>
  <r>
    <x v="6"/>
    <n v="13.692299999999999"/>
    <n v="-89.226600000000005"/>
    <n v="9"/>
    <n v="0"/>
    <n v="0"/>
    <n v="107"/>
    <s v="_x0000_peopl"/>
  </r>
  <r>
    <x v="6"/>
    <n v="13.687200000000001"/>
    <n v="-89.197400000000002"/>
    <n v="7"/>
    <n v="0"/>
    <n v="0"/>
    <n v="107"/>
    <s v="_x0000_peopl"/>
  </r>
  <r>
    <x v="6"/>
    <n v="13.690899999999999"/>
    <n v="-89.235699999999994"/>
    <n v="5"/>
    <n v="0"/>
    <n v="0"/>
    <n v="107"/>
    <s v="_x0000_peopl"/>
  </r>
  <r>
    <x v="6"/>
    <n v="13.6915"/>
    <n v="-89.234700000000004"/>
    <n v="5"/>
    <n v="0"/>
    <n v="0"/>
    <n v="107"/>
    <s v="_x0000_peopl"/>
  </r>
  <r>
    <x v="6"/>
    <n v="13.6905"/>
    <n v="-89.193399999999997"/>
    <n v="6"/>
    <n v="0"/>
    <n v="0"/>
    <n v="107"/>
    <s v="_x0000_peopl"/>
  </r>
  <r>
    <x v="6"/>
    <n v="13.693"/>
    <n v="-89.176500000000004"/>
    <n v="10"/>
    <n v="0"/>
    <n v="0"/>
    <n v="107"/>
    <s v="_x0000_peopl"/>
  </r>
  <r>
    <x v="6"/>
    <n v="13.6943"/>
    <n v="-89.175899999999999"/>
    <n v="4"/>
    <n v="0"/>
    <n v="0"/>
    <n v="107"/>
    <s v="_x0000_peopl"/>
  </r>
  <r>
    <x v="6"/>
    <n v="13.6877"/>
    <n v="-89.194599999999994"/>
    <n v="2"/>
    <n v="0"/>
    <n v="0"/>
    <n v="107"/>
    <s v="_x0000_peopl"/>
  </r>
  <r>
    <x v="6"/>
    <n v="13.6915"/>
    <n v="-89.185599999999994"/>
    <n v="5"/>
    <n v="0"/>
    <n v="0"/>
    <n v="107"/>
    <s v="_x0000_peopl"/>
  </r>
  <r>
    <x v="6"/>
    <n v="13.6913"/>
    <n v="-89.232699999999994"/>
    <n v="5"/>
    <n v="0"/>
    <n v="0"/>
    <n v="107"/>
    <s v="_x0000_peopl"/>
  </r>
  <r>
    <x v="6"/>
    <n v="13.6966"/>
    <n v="-89.171599999999998"/>
    <n v="5"/>
    <n v="0"/>
    <n v="0"/>
    <n v="107"/>
    <s v="_x0000_peopl"/>
  </r>
  <r>
    <x v="6"/>
    <n v="13.6873"/>
    <n v="-89.182500000000005"/>
    <n v="4"/>
    <n v="0"/>
    <n v="0"/>
    <n v="107"/>
    <s v="_x0000_peopl"/>
  </r>
  <r>
    <x v="6"/>
    <n v="13.6874"/>
    <n v="-89.194400000000002"/>
    <n v="3"/>
    <n v="0"/>
    <n v="0"/>
    <n v="107"/>
    <s v="_x0000_peopl"/>
  </r>
  <r>
    <x v="6"/>
    <n v="13.6754"/>
    <n v="-89.202500000000001"/>
    <n v="6"/>
    <n v="0"/>
    <n v="0"/>
    <n v="107"/>
    <s v="_x0000_peopl"/>
  </r>
  <r>
    <x v="6"/>
    <n v="13.6853"/>
    <n v="-89.201499999999996"/>
    <n v="2"/>
    <n v="0"/>
    <n v="0"/>
    <n v="107"/>
    <s v="_x0000_peopl"/>
  </r>
  <r>
    <x v="6"/>
    <n v="13.698"/>
    <n v="-89.168800000000005"/>
    <n v="8"/>
    <n v="0"/>
    <n v="0"/>
    <n v="107"/>
    <s v="_x0000_peopl"/>
  </r>
  <r>
    <x v="6"/>
    <n v="13.687799999999999"/>
    <n v="-89.215400000000002"/>
    <n v="1"/>
    <n v="0"/>
    <n v="0"/>
    <n v="107"/>
    <s v="_x0000_peopl"/>
  </r>
  <r>
    <x v="6"/>
    <n v="13.6934"/>
    <n v="-89.176400000000001"/>
    <n v="8"/>
    <n v="0"/>
    <n v="0"/>
    <n v="107"/>
    <s v="_x0000_peopl"/>
  </r>
  <r>
    <x v="6"/>
    <n v="13.6915"/>
    <n v="-89.233800000000002"/>
    <n v="8"/>
    <n v="0"/>
    <n v="0"/>
    <n v="107"/>
    <s v="_x0000_peopl"/>
  </r>
  <r>
    <x v="6"/>
    <n v="13.6972"/>
    <n v="-89.171599999999998"/>
    <n v="4"/>
    <n v="0"/>
    <n v="0"/>
    <n v="107"/>
    <s v="_x0000_peopl"/>
  </r>
  <r>
    <x v="6"/>
    <n v="13.6851"/>
    <n v="-89.210800000000006"/>
    <n v="8"/>
    <n v="0"/>
    <n v="0"/>
    <n v="107"/>
    <s v="_x0000_peopl"/>
  </r>
  <r>
    <x v="6"/>
    <n v="13.694000000000001"/>
    <n v="-89.1751"/>
    <n v="7"/>
    <n v="0"/>
    <n v="0"/>
    <n v="107"/>
    <s v="_x0000_peopl"/>
  </r>
  <r>
    <x v="6"/>
    <n v="13.685600000000001"/>
    <n v="-89.193700000000007"/>
    <n v="6"/>
    <n v="0"/>
    <n v="0"/>
    <n v="107"/>
    <s v="_x0000_peopl"/>
  </r>
  <r>
    <x v="6"/>
    <n v="13.6922"/>
    <n v="-89.225899999999996"/>
    <n v="7"/>
    <n v="0"/>
    <n v="0"/>
    <n v="107"/>
    <s v="_x0000_peopl"/>
  </r>
  <r>
    <x v="6"/>
    <n v="13.6922"/>
    <n v="-89.1751"/>
    <n v="9"/>
    <n v="0"/>
    <n v="0"/>
    <n v="107"/>
    <s v="_x0000_peopl"/>
  </r>
  <r>
    <x v="6"/>
    <n v="13.6974"/>
    <n v="-89.171599999999998"/>
    <n v="7"/>
    <n v="0"/>
    <n v="0"/>
    <n v="107"/>
    <s v="_x0000_peopl"/>
  </r>
  <r>
    <x v="6"/>
    <n v="13.690300000000001"/>
    <n v="-89.197699999999998"/>
    <n v="5"/>
    <n v="0"/>
    <n v="0"/>
    <n v="107"/>
    <s v="_x0000_peopl"/>
  </r>
  <r>
    <x v="6"/>
    <n v="13.6892"/>
    <n v="-89.207899999999995"/>
    <n v="1"/>
    <n v="0"/>
    <n v="0"/>
    <n v="107"/>
    <s v="_x0000_peopl"/>
  </r>
  <r>
    <x v="6"/>
    <n v="13.6943"/>
    <n v="-89.188800000000001"/>
    <n v="4"/>
    <n v="0"/>
    <n v="0"/>
    <n v="107"/>
    <s v="_x0000_peopl"/>
  </r>
  <r>
    <x v="6"/>
    <n v="13.674899999999999"/>
    <n v="-89.250900000000001"/>
    <n v="4"/>
    <n v="0"/>
    <n v="0"/>
    <n v="107"/>
    <s v="_x0000_peopl"/>
  </r>
  <r>
    <x v="6"/>
    <n v="13.6913"/>
    <n v="-89.178799999999995"/>
    <n v="6"/>
    <n v="0"/>
    <n v="0"/>
    <n v="107"/>
    <s v="_x0000_peopl"/>
  </r>
  <r>
    <x v="6"/>
    <n v="13.6874"/>
    <n v="-89.195499999999996"/>
    <n v="6"/>
    <n v="0"/>
    <n v="0"/>
    <n v="107"/>
    <s v="_x0000_peopl"/>
  </r>
  <r>
    <x v="6"/>
    <n v="13.677099999999999"/>
    <n v="-89.199200000000005"/>
    <n v="8"/>
    <n v="0"/>
    <n v="0"/>
    <n v="107"/>
    <s v="_x0000_peopl"/>
  </r>
  <r>
    <x v="6"/>
    <n v="13.692600000000001"/>
    <n v="-89.175600000000003"/>
    <n v="5"/>
    <n v="0"/>
    <n v="0"/>
    <n v="107"/>
    <s v="_x0000_peopl"/>
  </r>
  <r>
    <x v="6"/>
    <n v="13.6943"/>
    <n v="-89.175200000000004"/>
    <n v="9"/>
    <n v="0"/>
    <n v="0"/>
    <n v="107"/>
    <s v="_x0000_peopl"/>
  </r>
  <r>
    <x v="6"/>
    <n v="13.6883"/>
    <n v="-89.205500000000001"/>
    <n v="7"/>
    <n v="0"/>
    <n v="0"/>
    <n v="107"/>
    <s v="_x0000_peopl"/>
  </r>
  <r>
    <x v="6"/>
    <n v="13.6919"/>
    <n v="-89.181700000000006"/>
    <n v="2"/>
    <n v="0"/>
    <n v="0"/>
    <n v="107"/>
    <s v="_x0000_peopl"/>
  </r>
  <r>
    <x v="6"/>
    <n v="13.686999999999999"/>
    <n v="-89.194599999999994"/>
    <n v="8"/>
    <n v="0"/>
    <n v="0"/>
    <n v="107"/>
    <s v="_x0000_peopl"/>
  </r>
  <r>
    <x v="6"/>
    <n v="13.6891"/>
    <n v="-89.2363"/>
    <n v="5"/>
    <n v="0"/>
    <n v="0"/>
    <n v="107"/>
    <s v="_x0000_peopl"/>
  </r>
  <r>
    <x v="6"/>
    <n v="13.6852"/>
    <n v="-89.213399999999993"/>
    <n v="3"/>
    <n v="0"/>
    <n v="0"/>
    <n v="107"/>
    <s v="_x0000_peopl"/>
  </r>
  <r>
    <x v="6"/>
    <n v="13.690799999999999"/>
    <n v="-89.197699999999998"/>
    <n v="5"/>
    <n v="0"/>
    <n v="0"/>
    <n v="107"/>
    <s v="_x0000_peopl"/>
  </r>
  <r>
    <x v="6"/>
    <n v="13.6873"/>
    <n v="-89.182000000000002"/>
    <n v="1"/>
    <n v="0"/>
    <n v="0"/>
    <n v="107"/>
    <s v="_x0000_peopl"/>
  </r>
  <r>
    <x v="6"/>
    <n v="13.679500000000001"/>
    <n v="-89.196600000000004"/>
    <n v="10"/>
    <n v="0"/>
    <n v="0"/>
    <n v="107"/>
    <s v="_x0000_peopl"/>
  </r>
  <r>
    <x v="6"/>
    <n v="13.680899999999999"/>
    <n v="-89.195800000000006"/>
    <n v="7"/>
    <n v="0"/>
    <n v="0"/>
    <n v="107"/>
    <s v="_x0000_peopl"/>
  </r>
  <r>
    <x v="6"/>
    <n v="13.674300000000001"/>
    <n v="-89.251199999999997"/>
    <n v="3"/>
    <n v="0"/>
    <n v="0"/>
    <n v="107"/>
    <s v="_x0000_peopl"/>
  </r>
  <r>
    <x v="6"/>
    <n v="13.6873"/>
    <n v="-89.1828"/>
    <n v="6"/>
    <n v="0"/>
    <n v="0"/>
    <n v="107"/>
    <s v="_x0000_peopl"/>
  </r>
  <r>
    <x v="6"/>
    <n v="13.690899999999999"/>
    <n v="-89.233099999999993"/>
    <n v="9"/>
    <n v="0"/>
    <n v="0"/>
    <n v="107"/>
    <s v="_x0000_peopl"/>
  </r>
  <r>
    <x v="6"/>
    <n v="13.689"/>
    <n v="-89.184200000000004"/>
    <n v="4"/>
    <n v="0"/>
    <n v="0"/>
    <n v="107"/>
    <s v="_x0000_peopl"/>
  </r>
  <r>
    <x v="6"/>
    <n v="13.690799999999999"/>
    <n v="-89.233599999999996"/>
    <n v="3"/>
    <n v="0"/>
    <n v="0"/>
    <n v="107"/>
    <s v="_x0000_peopl"/>
  </r>
  <r>
    <x v="6"/>
    <n v="13.692399999999999"/>
    <n v="-89.224100000000007"/>
    <n v="7"/>
    <n v="0"/>
    <n v="0"/>
    <n v="107"/>
    <s v="_x0000_peopl"/>
  </r>
  <r>
    <x v="6"/>
    <n v="13.688499999999999"/>
    <n v="-89.216099999999997"/>
    <n v="0"/>
    <n v="0"/>
    <n v="0"/>
    <n v="107"/>
    <s v="_x0000_peopl"/>
  </r>
  <r>
    <x v="6"/>
    <n v="13.6868"/>
    <n v="-89.2029"/>
    <n v="7"/>
    <n v="0"/>
    <n v="0"/>
    <n v="107"/>
    <s v="_x0000_peopl"/>
  </r>
  <r>
    <x v="6"/>
    <n v="13.6919"/>
    <n v="-89.186199999999999"/>
    <n v="7"/>
    <n v="0"/>
    <n v="0"/>
    <n v="107"/>
    <s v="_x0000_peopl"/>
  </r>
  <r>
    <x v="6"/>
    <n v="13.694900000000001"/>
    <n v="-89.1721"/>
    <n v="3"/>
    <n v="0"/>
    <n v="0"/>
    <n v="107"/>
    <s v="_x0000_peopl"/>
  </r>
  <r>
    <x v="6"/>
    <n v="13.6854"/>
    <n v="-89.201499999999996"/>
    <n v="3"/>
    <n v="0"/>
    <n v="0"/>
    <n v="107"/>
    <s v="_x0000_peopl"/>
  </r>
  <r>
    <x v="6"/>
    <n v="13.6854"/>
    <n v="-89.2149"/>
    <n v="5"/>
    <n v="0"/>
    <n v="0"/>
    <n v="107"/>
    <s v="_x0000_peopl"/>
  </r>
  <r>
    <x v="6"/>
    <n v="13.696099999999999"/>
    <n v="-89.167900000000003"/>
    <n v="3"/>
    <n v="0"/>
    <n v="0"/>
    <n v="107"/>
    <s v="_x0000_peopl"/>
  </r>
  <r>
    <x v="6"/>
    <n v="13.685499999999999"/>
    <n v="-89.213899999999995"/>
    <n v="4"/>
    <n v="0"/>
    <n v="0"/>
    <n v="107"/>
    <s v="_x0000_peopl"/>
  </r>
  <r>
    <x v="6"/>
    <n v="13.6866"/>
    <n v="-89.215800000000002"/>
    <n v="5"/>
    <n v="0"/>
    <n v="0"/>
    <n v="107"/>
    <s v="_x0000_peopl"/>
  </r>
  <r>
    <x v="6"/>
    <n v="13.6897"/>
    <n v="-89.197500000000005"/>
    <n v="10"/>
    <n v="0"/>
    <n v="0"/>
    <n v="107"/>
    <s v="_x0000_peopl"/>
  </r>
  <r>
    <x v="6"/>
    <n v="13.6945"/>
    <n v="-89.188699999999997"/>
    <n v="3"/>
    <n v="0"/>
    <n v="0"/>
    <n v="107"/>
    <s v="_x0000_peopl"/>
  </r>
  <r>
    <x v="6"/>
    <n v="13.685700000000001"/>
    <n v="-89.194000000000003"/>
    <n v="4"/>
    <n v="0"/>
    <n v="0"/>
    <n v="107"/>
    <s v="_x0000_peopl"/>
  </r>
  <r>
    <x v="6"/>
    <n v="13.6957"/>
    <n v="-89.172799999999995"/>
    <n v="4"/>
    <n v="0"/>
    <n v="0"/>
    <n v="107"/>
    <s v="_x0000_peopl"/>
  </r>
  <r>
    <x v="6"/>
    <n v="13.690799999999999"/>
    <n v="-89.195300000000003"/>
    <n v="2"/>
    <n v="0"/>
    <n v="0"/>
    <n v="107"/>
    <s v="_x0000_peopl"/>
  </r>
  <r>
    <x v="6"/>
    <n v="13.692"/>
    <n v="-89.194299999999998"/>
    <n v="2"/>
    <n v="0"/>
    <n v="0"/>
    <n v="107"/>
    <s v="_x0000_peopl"/>
  </r>
  <r>
    <x v="6"/>
    <n v="13.6914"/>
    <n v="-89.1798"/>
    <n v="5"/>
    <n v="0"/>
    <n v="0"/>
    <n v="107"/>
    <s v="_x0000_peopl"/>
  </r>
  <r>
    <x v="6"/>
    <n v="13.692299999999999"/>
    <n v="-89.174999999999997"/>
    <n v="3"/>
    <n v="0"/>
    <n v="0"/>
    <n v="107"/>
    <s v="_x0000_peopl"/>
  </r>
  <r>
    <x v="6"/>
    <n v="13.6942"/>
    <n v="-89.173199999999994"/>
    <n v="4"/>
    <n v="0"/>
    <n v="0"/>
    <n v="107"/>
    <s v="_x0000_peopl"/>
  </r>
  <r>
    <x v="6"/>
    <n v="13.69"/>
    <n v="-89.186300000000003"/>
    <n v="5"/>
    <n v="0"/>
    <n v="0"/>
    <n v="107"/>
    <s v="_x0000_peopl"/>
  </r>
  <r>
    <x v="6"/>
    <n v="13.6907"/>
    <n v="-89.194900000000004"/>
    <n v="3"/>
    <n v="0"/>
    <n v="0"/>
    <n v="107"/>
    <s v="_x0000_peopl"/>
  </r>
  <r>
    <x v="6"/>
    <n v="13.691599999999999"/>
    <n v="-89.178899999999999"/>
    <n v="7"/>
    <n v="0"/>
    <n v="0"/>
    <n v="107"/>
    <s v="_x0000_peopl"/>
  </r>
  <r>
    <x v="6"/>
    <n v="13.6876"/>
    <n v="-89.194599999999994"/>
    <n v="7"/>
    <n v="0"/>
    <n v="0"/>
    <n v="107"/>
    <s v="_x0000_peopl"/>
  </r>
  <r>
    <x v="6"/>
    <n v="13.686999999999999"/>
    <n v="-89.214200000000005"/>
    <n v="6"/>
    <n v="0"/>
    <n v="0"/>
    <n v="107"/>
    <s v="_x0000_peopl"/>
  </r>
  <r>
    <x v="6"/>
    <n v="13.6877"/>
    <n v="-89.216700000000003"/>
    <n v="9"/>
    <n v="0"/>
    <n v="0"/>
    <n v="107"/>
    <s v="_x0000_peopl"/>
  </r>
  <r>
    <x v="6"/>
    <n v="13.6807"/>
    <n v="-89.198400000000007"/>
    <n v="2"/>
    <n v="0"/>
    <n v="0"/>
    <n v="107"/>
    <s v="_x0000_peopl"/>
  </r>
  <r>
    <x v="6"/>
    <n v="13.690200000000001"/>
    <n v="-89.236099999999993"/>
    <n v="5"/>
    <n v="0"/>
    <n v="0"/>
    <n v="107"/>
    <s v="_x0000_peopl"/>
  </r>
  <r>
    <x v="6"/>
    <n v="13.6767"/>
    <n v="-89.248000000000005"/>
    <n v="5"/>
    <n v="0"/>
    <n v="0"/>
    <n v="107"/>
    <s v="_x0000_peopl"/>
  </r>
  <r>
    <x v="6"/>
    <n v="13.6906"/>
    <n v="-89.232100000000003"/>
    <n v="6"/>
    <n v="0"/>
    <n v="0"/>
    <n v="107"/>
    <s v="_x0000_peopl"/>
  </r>
  <r>
    <x v="6"/>
    <n v="13.686999999999999"/>
    <n v="-89.197999999999993"/>
    <n v="9"/>
    <n v="0"/>
    <n v="0"/>
    <n v="107"/>
    <s v="_x0000_peopl"/>
  </r>
  <r>
    <x v="6"/>
    <n v="13.6889"/>
    <n v="-89.211600000000004"/>
    <n v="5"/>
    <n v="0"/>
    <n v="0"/>
    <n v="107"/>
    <s v="_x0000_peopl"/>
  </r>
  <r>
    <x v="6"/>
    <n v="13.687799999999999"/>
    <n v="-89.195400000000006"/>
    <n v="3"/>
    <n v="0"/>
    <n v="0"/>
    <n v="107"/>
    <s v="_x0000_peopl"/>
  </r>
  <r>
    <x v="6"/>
    <n v="13.686199999999999"/>
    <n v="-89.215400000000002"/>
    <n v="2"/>
    <n v="0"/>
    <n v="0"/>
    <n v="107"/>
    <s v="_x0000_peopl"/>
  </r>
  <r>
    <x v="6"/>
    <n v="13.690200000000001"/>
    <n v="-89.235799999999998"/>
    <n v="9"/>
    <n v="0"/>
    <n v="0"/>
    <n v="107"/>
    <s v="_x0000_peopl"/>
  </r>
  <r>
    <x v="6"/>
    <n v="13.690799999999999"/>
    <n v="-89.234700000000004"/>
    <n v="8"/>
    <n v="0"/>
    <n v="0"/>
    <n v="107"/>
    <s v="_x0000_peopl"/>
  </r>
  <r>
    <x v="6"/>
    <n v="13.692500000000001"/>
    <n v="-89.224400000000003"/>
    <n v="2"/>
    <n v="0"/>
    <n v="0"/>
    <n v="107"/>
    <s v="_x0000_peopl"/>
  </r>
  <r>
    <x v="6"/>
    <n v="13.691599999999999"/>
    <n v="-89.178899999999999"/>
    <n v="3"/>
    <n v="0"/>
    <n v="0"/>
    <n v="107"/>
    <s v="_x0000_peopl"/>
  </r>
  <r>
    <x v="6"/>
    <n v="13.6911"/>
    <n v="-89.233099999999993"/>
    <n v="3"/>
    <n v="0"/>
    <n v="0"/>
    <n v="107"/>
    <s v="_x0000_peopl"/>
  </r>
  <r>
    <x v="6"/>
    <n v="13.686999999999999"/>
    <n v="-89.212400000000002"/>
    <n v="6"/>
    <n v="0"/>
    <n v="0"/>
    <n v="107"/>
    <s v="_x0000_peopl"/>
  </r>
  <r>
    <x v="6"/>
    <n v="13.6905"/>
    <n v="-89.186400000000006"/>
    <n v="6"/>
    <n v="0"/>
    <n v="0"/>
    <n v="107"/>
    <s v="_x0000_peopl"/>
  </r>
  <r>
    <x v="6"/>
    <n v="13.690899999999999"/>
    <n v="-89.179299999999998"/>
    <n v="8"/>
    <n v="0"/>
    <n v="0"/>
    <n v="107"/>
    <s v="_x0000_peopl"/>
  </r>
  <r>
    <x v="6"/>
    <n v="13.6904"/>
    <n v="-89.186800000000005"/>
    <n v="3"/>
    <n v="0"/>
    <n v="0"/>
    <n v="107"/>
    <s v="_x0000_peopl"/>
  </r>
  <r>
    <x v="6"/>
    <n v="13.694900000000001"/>
    <n v="-89.1751"/>
    <n v="5"/>
    <n v="0"/>
    <n v="0"/>
    <n v="107"/>
    <s v="_x0000_peopl"/>
  </r>
  <r>
    <x v="6"/>
    <n v="13.6906"/>
    <n v="-89.235200000000006"/>
    <n v="4"/>
    <n v="0"/>
    <n v="0"/>
    <n v="107"/>
    <s v="_x0000_peopl"/>
  </r>
  <r>
    <x v="6"/>
    <n v="13.685600000000001"/>
    <n v="-89.201400000000007"/>
    <n v="8"/>
    <n v="0"/>
    <n v="0"/>
    <n v="107"/>
    <s v="_x0000_peopl"/>
  </r>
  <r>
    <x v="6"/>
    <n v="13.689299999999999"/>
    <n v="-89.202799999999996"/>
    <n v="3"/>
    <n v="0"/>
    <n v="0"/>
    <n v="107"/>
    <s v="_x0000_peopl"/>
  </r>
  <r>
    <x v="6"/>
    <n v="13.691599999999999"/>
    <n v="-89.197299999999998"/>
    <n v="2"/>
    <n v="0"/>
    <n v="0"/>
    <n v="107"/>
    <s v="_x0000_peopl"/>
  </r>
  <r>
    <x v="6"/>
    <n v="13.6911"/>
    <n v="-89.228999999999999"/>
    <n v="2"/>
    <n v="0"/>
    <n v="0"/>
    <n v="107"/>
    <s v="_x0000_peopl"/>
  </r>
  <r>
    <x v="6"/>
    <n v="13.688499999999999"/>
    <n v="-89.216800000000006"/>
    <n v="3"/>
    <n v="0"/>
    <n v="0"/>
    <n v="107"/>
    <s v="_x0000_peopl"/>
  </r>
  <r>
    <x v="6"/>
    <n v="13.687900000000001"/>
    <n v="-89.205500000000001"/>
    <n v="10"/>
    <n v="0"/>
    <n v="0"/>
    <n v="107"/>
    <s v="_x0000_peopl"/>
  </r>
  <r>
    <x v="6"/>
    <n v="13.6858"/>
    <n v="-89.202399999999997"/>
    <n v="6"/>
    <n v="0"/>
    <n v="0"/>
    <n v="107"/>
    <s v="_x0000_peopl"/>
  </r>
  <r>
    <x v="6"/>
    <n v="13.6898"/>
    <n v="-89.194000000000003"/>
    <n v="3"/>
    <n v="0"/>
    <n v="0"/>
    <n v="107"/>
    <s v="_x0000_peopl"/>
  </r>
  <r>
    <x v="6"/>
    <n v="13.6777"/>
    <n v="-89.246700000000004"/>
    <n v="3"/>
    <n v="0"/>
    <n v="0"/>
    <n v="107"/>
    <s v="_x0000_peopl"/>
  </r>
  <r>
    <x v="6"/>
    <n v="13.6907"/>
    <n v="-89.234300000000005"/>
    <n v="4"/>
    <n v="0"/>
    <n v="0"/>
    <n v="107"/>
    <s v="_x0000_peopl"/>
  </r>
  <r>
    <x v="6"/>
    <n v="13.689500000000001"/>
    <n v="-89.183499999999995"/>
    <n v="3"/>
    <n v="0"/>
    <n v="0"/>
    <n v="107"/>
    <s v="_x0000_peopl"/>
  </r>
  <r>
    <x v="6"/>
    <n v="13.6858"/>
    <n v="-89.211200000000005"/>
    <n v="3"/>
    <n v="0"/>
    <n v="0"/>
    <n v="107"/>
    <s v="_x0000_peopl"/>
  </r>
  <r>
    <x v="6"/>
    <n v="13.690799999999999"/>
    <n v="-89.195400000000006"/>
    <n v="3"/>
    <n v="0"/>
    <n v="0"/>
    <n v="107"/>
    <s v="_x0000_peopl"/>
  </r>
  <r>
    <x v="6"/>
    <n v="13.692"/>
    <n v="-89.225300000000004"/>
    <n v="7"/>
    <n v="0"/>
    <n v="0"/>
    <n v="107"/>
    <s v="_x0000_peopl"/>
  </r>
  <r>
    <x v="6"/>
    <n v="13.695399999999999"/>
    <n v="-89.173400000000001"/>
    <n v="8"/>
    <n v="0"/>
    <n v="0"/>
    <n v="107"/>
    <s v="_x0000_peopl"/>
  </r>
  <r>
    <x v="6"/>
    <n v="13.6875"/>
    <n v="-89.216499999999996"/>
    <n v="3"/>
    <n v="0"/>
    <n v="0"/>
    <n v="107"/>
    <s v="_x0000_peopl"/>
  </r>
  <r>
    <x v="6"/>
    <n v="13.6911"/>
    <n v="-89.2286"/>
    <n v="5"/>
    <n v="0"/>
    <n v="0"/>
    <n v="107"/>
    <s v="_x0000_peopl"/>
  </r>
  <r>
    <x v="6"/>
    <n v="13.6891"/>
    <n v="-89.236099999999993"/>
    <n v="4"/>
    <n v="0"/>
    <n v="0"/>
    <n v="107"/>
    <s v="_x0000_peopl"/>
  </r>
  <r>
    <x v="6"/>
    <n v="13.6906"/>
    <n v="-89.235699999999994"/>
    <n v="3"/>
    <n v="0"/>
    <n v="0"/>
    <n v="107"/>
    <s v="_x0000_peopl"/>
  </r>
  <r>
    <x v="6"/>
    <n v="13.6958"/>
    <n v="-89.172700000000006"/>
    <n v="3"/>
    <n v="0"/>
    <n v="0"/>
    <n v="107"/>
    <s v="_x0000_peopl"/>
  </r>
  <r>
    <x v="6"/>
    <n v="13.6913"/>
    <n v="-89.233400000000003"/>
    <n v="1"/>
    <n v="0"/>
    <n v="0"/>
    <n v="107"/>
    <s v="_x0000_peopl"/>
  </r>
  <r>
    <x v="6"/>
    <n v="13.6911"/>
    <n v="-89.234899999999996"/>
    <n v="4"/>
    <n v="0"/>
    <n v="0"/>
    <n v="107"/>
    <s v="_x0000_peopl"/>
  </r>
  <r>
    <x v="6"/>
    <n v="13.6927"/>
    <n v="-89.2256"/>
    <n v="4"/>
    <n v="0"/>
    <n v="0"/>
    <n v="107"/>
    <s v="_x0000_peopl"/>
  </r>
  <r>
    <x v="6"/>
    <n v="13.690799999999999"/>
    <n v="-89.194800000000001"/>
    <n v="5"/>
    <n v="0"/>
    <n v="0"/>
    <n v="107"/>
    <s v="_x0000_peopl"/>
  </r>
  <r>
    <x v="6"/>
    <n v="13.6912"/>
    <n v="-89.188800000000001"/>
    <n v="3"/>
    <n v="0"/>
    <n v="0"/>
    <n v="107"/>
    <s v="_x0000_peopl"/>
  </r>
  <r>
    <x v="6"/>
    <n v="13.690300000000001"/>
    <n v="-89.217200000000005"/>
    <n v="6"/>
    <n v="0"/>
    <n v="0"/>
    <n v="107"/>
    <s v="_x0000_peopl"/>
  </r>
  <r>
    <x v="6"/>
    <n v="13.6845"/>
    <n v="-89.194100000000006"/>
    <n v="9"/>
    <n v="0"/>
    <n v="0"/>
    <n v="107"/>
    <s v="_x0000_peopl"/>
  </r>
  <r>
    <x v="6"/>
    <n v="13.687200000000001"/>
    <n v="-89.195700000000002"/>
    <n v="4"/>
    <n v="0"/>
    <n v="0"/>
    <n v="107"/>
    <s v="_x0000_peopl"/>
  </r>
  <r>
    <x v="6"/>
    <n v="13.690899999999999"/>
    <n v="-89.229399999999998"/>
    <n v="3"/>
    <n v="0"/>
    <n v="0"/>
    <n v="107"/>
    <s v="_x0000_peopl"/>
  </r>
  <r>
    <x v="6"/>
    <n v="13.6881"/>
    <n v="-89.182100000000005"/>
    <n v="3"/>
    <n v="0"/>
    <n v="0"/>
    <n v="107"/>
    <s v="_x0000_peopl"/>
  </r>
  <r>
    <x v="6"/>
    <n v="13.687200000000001"/>
    <n v="-89.1965"/>
    <n v="4"/>
    <n v="0"/>
    <n v="0"/>
    <n v="107"/>
    <s v="_x0000_peopl"/>
  </r>
  <r>
    <x v="6"/>
    <n v="13.675000000000001"/>
    <n v="-89.2517"/>
    <n v="8"/>
    <n v="0"/>
    <n v="0"/>
    <n v="107"/>
    <s v="_x0000_peopl"/>
  </r>
  <r>
    <x v="6"/>
    <n v="13.689299999999999"/>
    <n v="-89.181200000000004"/>
    <n v="3"/>
    <n v="0"/>
    <n v="0"/>
    <n v="107"/>
    <s v="_x0000_peopl"/>
  </r>
  <r>
    <x v="6"/>
    <n v="13.6882"/>
    <n v="-89.190100000000001"/>
    <n v="4"/>
    <n v="0"/>
    <n v="0"/>
    <n v="107"/>
    <s v="_x0000_peopl"/>
  </r>
  <r>
    <x v="6"/>
    <n v="13.6906"/>
    <n v="-89.187200000000004"/>
    <n v="7"/>
    <n v="0"/>
    <n v="0"/>
    <n v="107"/>
    <s v="_x0000_peopl"/>
  </r>
  <r>
    <x v="6"/>
    <n v="13.688800000000001"/>
    <n v="-89.204400000000007"/>
    <n v="5"/>
    <n v="0"/>
    <n v="0"/>
    <n v="107"/>
    <s v="_x0000_peopl"/>
  </r>
  <r>
    <x v="6"/>
    <n v="13.6922"/>
    <n v="-89.179100000000005"/>
    <n v="3"/>
    <n v="0"/>
    <n v="0"/>
    <n v="107"/>
    <s v="_x0000_peopl"/>
  </r>
  <r>
    <x v="6"/>
    <n v="13.692299999999999"/>
    <n v="-89.1935"/>
    <n v="4"/>
    <n v="0"/>
    <n v="0"/>
    <n v="107"/>
    <s v="_x0000_peopl"/>
  </r>
  <r>
    <x v="6"/>
    <n v="13.689399999999999"/>
    <n v="-89.184799999999996"/>
    <n v="2"/>
    <n v="0"/>
    <n v="0"/>
    <n v="107"/>
    <s v="_x0000_peopl"/>
  </r>
  <r>
    <x v="6"/>
    <n v="13.6852"/>
    <n v="-89.211399999999998"/>
    <n v="5"/>
    <n v="0"/>
    <n v="0"/>
    <n v="107"/>
    <s v="_x0000_peopl"/>
  </r>
  <r>
    <x v="6"/>
    <n v="13.6896"/>
    <n v="-89.228899999999996"/>
    <n v="2"/>
    <n v="0"/>
    <n v="0"/>
    <n v="107"/>
    <s v="_x0000_peopl"/>
  </r>
  <r>
    <x v="6"/>
    <n v="13.6914"/>
    <n v="-89.189300000000003"/>
    <n v="6"/>
    <n v="0"/>
    <n v="0"/>
    <n v="107"/>
    <s v="_x0000_peopl"/>
  </r>
  <r>
    <x v="6"/>
    <n v="13.6898"/>
    <n v="-89.193799999999996"/>
    <n v="6"/>
    <n v="0"/>
    <n v="0"/>
    <n v="107"/>
    <s v="_x0000_peopl"/>
  </r>
  <r>
    <x v="6"/>
    <n v="13.6904"/>
    <n v="-89.235500000000002"/>
    <n v="10"/>
    <n v="0"/>
    <n v="0"/>
    <n v="107"/>
    <s v="_x0000_peopl"/>
  </r>
  <r>
    <x v="6"/>
    <n v="13.6769"/>
    <n v="-89.199299999999994"/>
    <n v="3"/>
    <n v="0"/>
    <n v="0"/>
    <n v="107"/>
    <s v="_x0000_peopl"/>
  </r>
  <r>
    <x v="6"/>
    <n v="13.689"/>
    <n v="-89.206100000000006"/>
    <n v="3"/>
    <n v="0"/>
    <n v="0"/>
    <n v="107"/>
    <s v="_x0000_peopl"/>
  </r>
  <r>
    <x v="6"/>
    <n v="13.689299999999999"/>
    <n v="-89.197999999999993"/>
    <n v="6"/>
    <n v="0"/>
    <n v="0"/>
    <n v="107"/>
    <s v="_x0000_peopl"/>
  </r>
  <r>
    <x v="6"/>
    <n v="13.674799999999999"/>
    <n v="-89.1999"/>
    <n v="3"/>
    <n v="0"/>
    <n v="0"/>
    <n v="107"/>
    <s v="_x0000_peopl"/>
  </r>
  <r>
    <x v="6"/>
    <n v="13.6953"/>
    <n v="-89.174599999999998"/>
    <n v="4"/>
    <n v="0"/>
    <n v="0"/>
    <n v="107"/>
    <s v="_x0000_peopl"/>
  </r>
  <r>
    <x v="6"/>
    <n v="13.6746"/>
    <n v="-89.251599999999996"/>
    <n v="6"/>
    <n v="0"/>
    <n v="0"/>
    <n v="107"/>
    <s v="_x0000_peopl"/>
  </r>
  <r>
    <x v="6"/>
    <n v="13.6882"/>
    <n v="-89.229500000000002"/>
    <n v="2"/>
    <n v="0"/>
    <n v="0"/>
    <n v="107"/>
    <s v="_x0000_peopl"/>
  </r>
  <r>
    <x v="6"/>
    <n v="13.6914"/>
    <n v="-89.185699999999997"/>
    <n v="6"/>
    <n v="0"/>
    <n v="0"/>
    <n v="107"/>
    <s v="_x0000_peopl"/>
  </r>
  <r>
    <x v="6"/>
    <n v="13.677300000000001"/>
    <n v="-89.248000000000005"/>
    <n v="4"/>
    <n v="0"/>
    <n v="0"/>
    <n v="107"/>
    <s v="_x0000_peopl"/>
  </r>
  <r>
    <x v="6"/>
    <n v="13.685"/>
    <n v="-89.210999999999999"/>
    <n v="7"/>
    <n v="0"/>
    <n v="0"/>
    <n v="107"/>
    <s v="_x0000_peopl"/>
  </r>
  <r>
    <x v="6"/>
    <n v="13.6891"/>
    <n v="-89.205100000000002"/>
    <n v="7"/>
    <n v="0"/>
    <n v="0"/>
    <n v="107"/>
    <s v="_x0000_peopl"/>
  </r>
  <r>
    <x v="6"/>
    <n v="13.689299999999999"/>
    <n v="-89.197800000000001"/>
    <n v="10"/>
    <n v="0"/>
    <n v="0"/>
    <n v="107"/>
    <s v="_x0000_peopl"/>
  </r>
  <r>
    <x v="6"/>
    <n v="13.692299999999999"/>
    <n v="-89.222999999999999"/>
    <n v="4"/>
    <n v="0"/>
    <n v="0"/>
    <n v="107"/>
    <s v="_x0000_peopl"/>
  </r>
  <r>
    <x v="6"/>
    <n v="13.6957"/>
    <n v="-89.172499999999999"/>
    <n v="2"/>
    <n v="0"/>
    <n v="0"/>
    <n v="107"/>
    <s v="_x0000_peopl"/>
  </r>
  <r>
    <x v="6"/>
    <n v="13.6882"/>
    <n v="-89.193700000000007"/>
    <n v="2"/>
    <n v="0"/>
    <n v="0"/>
    <n v="107"/>
    <s v="_x0000_peopl"/>
  </r>
  <r>
    <x v="6"/>
    <n v="13.6883"/>
    <n v="-89.215299999999999"/>
    <n v="2"/>
    <n v="0"/>
    <n v="0"/>
    <n v="107"/>
    <s v="_x0000_peopl"/>
  </r>
  <r>
    <x v="6"/>
    <n v="13.6968"/>
    <n v="-89.171800000000005"/>
    <n v="4"/>
    <n v="0"/>
    <n v="0"/>
    <n v="107"/>
    <s v="_x0000_peopl"/>
  </r>
  <r>
    <x v="6"/>
    <n v="13.6914"/>
    <n v="-89.234700000000004"/>
    <n v="5"/>
    <n v="0"/>
    <n v="0"/>
    <n v="107"/>
    <s v="_x0000_peopl"/>
  </r>
  <r>
    <x v="6"/>
    <n v="13.691000000000001"/>
    <n v="-89.233099999999993"/>
    <n v="6"/>
    <n v="0"/>
    <n v="0"/>
    <n v="107"/>
    <s v="_x0000_peopl"/>
  </r>
  <r>
    <x v="6"/>
    <n v="13.696099999999999"/>
    <n v="-89.172300000000007"/>
    <n v="7"/>
    <n v="0"/>
    <n v="0"/>
    <n v="107"/>
    <s v="_x0000_peopl"/>
  </r>
  <r>
    <x v="6"/>
    <n v="13.6914"/>
    <n v="-89.232500000000002"/>
    <n v="5"/>
    <n v="0"/>
    <n v="0"/>
    <n v="107"/>
    <s v="_x0000_peopl"/>
  </r>
  <r>
    <x v="6"/>
    <n v="13.6907"/>
    <n v="-89.195300000000003"/>
    <n v="5"/>
    <n v="0"/>
    <n v="0"/>
    <n v="107"/>
    <s v="_x0000_peopl"/>
  </r>
  <r>
    <x v="6"/>
    <n v="13.6876"/>
    <n v="-89.204499999999996"/>
    <n v="6"/>
    <n v="0"/>
    <n v="0"/>
    <n v="107"/>
    <s v="_x0000_peopl"/>
  </r>
  <r>
    <x v="6"/>
    <n v="13.6853"/>
    <n v="-89.192999999999998"/>
    <n v="3"/>
    <n v="0"/>
    <n v="0"/>
    <n v="107"/>
    <s v="_x0000_peopl"/>
  </r>
  <r>
    <x v="6"/>
    <n v="13.692600000000001"/>
    <n v="-89.225099999999998"/>
    <n v="9"/>
    <n v="0"/>
    <n v="0"/>
    <n v="107"/>
    <s v="_x0000_peopl"/>
  </r>
  <r>
    <x v="6"/>
    <n v="13.6851"/>
    <n v="-89.216999999999999"/>
    <n v="6"/>
    <n v="0"/>
    <n v="0"/>
    <n v="107"/>
    <s v="_x0000_peopl"/>
  </r>
  <r>
    <x v="6"/>
    <n v="13.6922"/>
    <n v="-89.178600000000003"/>
    <n v="2"/>
    <n v="0"/>
    <n v="0"/>
    <n v="107"/>
    <s v="_x0000_peopl"/>
  </r>
  <r>
    <x v="6"/>
    <n v="13.6753"/>
    <n v="-89.249799999999993"/>
    <n v="2"/>
    <n v="0"/>
    <n v="0"/>
    <n v="107"/>
    <s v="_x0000_peopl"/>
  </r>
  <r>
    <x v="6"/>
    <n v="13.686999999999999"/>
    <n v="-89.194800000000001"/>
    <n v="4"/>
    <n v="0"/>
    <n v="0"/>
    <n v="107"/>
    <s v="_x0000_peopl"/>
  </r>
  <r>
    <x v="6"/>
    <n v="13.692299999999999"/>
    <n v="-89.175600000000003"/>
    <n v="6"/>
    <n v="0"/>
    <n v="0"/>
    <n v="107"/>
    <s v="_x0000_peopl"/>
  </r>
  <r>
    <x v="6"/>
    <n v="13.688499999999999"/>
    <n v="-89.2166"/>
    <n v="5"/>
    <n v="0"/>
    <n v="0"/>
    <n v="107"/>
    <s v="_x0000_peopl"/>
  </r>
  <r>
    <x v="6"/>
    <n v="13.6866"/>
    <n v="-89.216099999999997"/>
    <n v="5"/>
    <n v="0"/>
    <n v="0"/>
    <n v="107"/>
    <s v="_x0000_peopl"/>
  </r>
  <r>
    <x v="6"/>
    <n v="13.690799999999999"/>
    <n v="-89.195300000000003"/>
    <n v="1"/>
    <n v="0"/>
    <n v="0"/>
    <n v="107"/>
    <s v="_x0000_peopl"/>
  </r>
  <r>
    <x v="6"/>
    <n v="13.696999999999999"/>
    <n v="-89.171800000000005"/>
    <n v="5"/>
    <n v="0"/>
    <n v="0"/>
    <n v="107"/>
    <s v="_x0000_peopl"/>
  </r>
  <r>
    <x v="6"/>
    <n v="13.691800000000001"/>
    <n v="-89.196700000000007"/>
    <n v="5"/>
    <n v="0"/>
    <n v="0"/>
    <n v="107"/>
    <s v="_x0000_peopl"/>
  </r>
  <r>
    <x v="6"/>
    <n v="13.679399999999999"/>
    <n v="-89.197199999999995"/>
    <n v="4"/>
    <n v="0"/>
    <n v="0"/>
    <n v="107"/>
    <s v="_x0000_peopl"/>
  </r>
  <r>
    <x v="6"/>
    <n v="13.693"/>
    <n v="-89.1845"/>
    <n v="7"/>
    <n v="0"/>
    <n v="0"/>
    <n v="107"/>
    <s v="_x0000_peopl"/>
  </r>
  <r>
    <x v="6"/>
    <n v="13.6738"/>
    <n v="-89.203100000000006"/>
    <n v="5"/>
    <n v="0"/>
    <n v="0"/>
    <n v="107"/>
    <s v="_x0000_peopl"/>
  </r>
  <r>
    <x v="6"/>
    <n v="13.674300000000001"/>
    <n v="-89.199299999999994"/>
    <n v="4"/>
    <n v="0"/>
    <n v="0"/>
    <n v="107"/>
    <s v="_x0000_peopl"/>
  </r>
  <r>
    <x v="6"/>
    <n v="13.6904"/>
    <n v="-89.233699999999999"/>
    <n v="7"/>
    <n v="0"/>
    <n v="0"/>
    <n v="107"/>
    <s v="_x0000_peopl"/>
  </r>
  <r>
    <x v="6"/>
    <n v="13.6858"/>
    <n v="-89.215400000000002"/>
    <n v="5"/>
    <n v="0"/>
    <n v="0"/>
    <n v="107"/>
    <s v="_x0000_peopl"/>
  </r>
  <r>
    <x v="6"/>
    <n v="13.6851"/>
    <n v="-89.2119"/>
    <n v="1"/>
    <n v="0"/>
    <n v="0"/>
    <n v="107"/>
    <s v="_x0000_peopl"/>
  </r>
  <r>
    <x v="6"/>
    <n v="13.6884"/>
    <n v="-89.18"/>
    <n v="4"/>
    <n v="0"/>
    <n v="0"/>
    <n v="107"/>
    <s v="_x0000_peopl"/>
  </r>
  <r>
    <x v="6"/>
    <n v="13.690200000000001"/>
    <n v="-89.193799999999996"/>
    <n v="7"/>
    <n v="0"/>
    <n v="0"/>
    <n v="107"/>
    <s v="_x0000_peopl"/>
  </r>
  <r>
    <x v="6"/>
    <n v="13.691700000000001"/>
    <n v="-89.226399999999998"/>
    <n v="5"/>
    <n v="0"/>
    <n v="0"/>
    <n v="107"/>
    <s v="_x0000_peopl"/>
  </r>
  <r>
    <x v="6"/>
    <n v="13.6952"/>
    <n v="-89.174300000000002"/>
    <n v="4"/>
    <n v="0"/>
    <n v="0"/>
    <n v="107"/>
    <s v="_x0000_peopl"/>
  </r>
  <r>
    <x v="6"/>
    <n v="13.690899999999999"/>
    <n v="-89.186300000000003"/>
    <n v="9"/>
    <n v="0"/>
    <n v="0"/>
    <n v="107"/>
    <s v="_x0000_peopl"/>
  </r>
  <r>
    <x v="6"/>
    <n v="13.685"/>
    <n v="-89.216200000000001"/>
    <n v="10"/>
    <n v="0"/>
    <n v="0"/>
    <n v="107"/>
    <s v="_x0000_peopl"/>
  </r>
  <r>
    <x v="6"/>
    <n v="13.685600000000001"/>
    <n v="-89.213800000000006"/>
    <n v="3"/>
    <n v="0"/>
    <n v="0"/>
    <n v="107"/>
    <s v="_x0000_peopl"/>
  </r>
  <r>
    <x v="6"/>
    <n v="13.685"/>
    <n v="-89.201599999999999"/>
    <n v="4"/>
    <n v="0"/>
    <n v="0"/>
    <n v="107"/>
    <s v="_x0000_peopl"/>
  </r>
  <r>
    <x v="6"/>
    <n v="13.692399999999999"/>
    <n v="-89.226200000000006"/>
    <n v="2"/>
    <n v="0"/>
    <n v="0"/>
    <n v="107"/>
    <s v="_x0000_peopl"/>
  </r>
  <r>
    <x v="6"/>
    <n v="13.687900000000001"/>
    <n v="-89.197199999999995"/>
    <n v="4"/>
    <n v="0"/>
    <n v="0"/>
    <n v="107"/>
    <s v="_x0000_peopl"/>
  </r>
  <r>
    <x v="6"/>
    <n v="13.692500000000001"/>
    <n v="-89.176000000000002"/>
    <n v="6"/>
    <n v="0"/>
    <n v="0"/>
    <n v="107"/>
    <s v="_x0000_peopl"/>
  </r>
  <r>
    <x v="6"/>
    <n v="13.6912"/>
    <n v="-89.229799999999997"/>
    <n v="7"/>
    <n v="0"/>
    <n v="0"/>
    <n v="107"/>
    <s v="_x0000_peopl"/>
  </r>
  <r>
    <x v="6"/>
    <n v="13.6905"/>
    <n v="-89.235100000000003"/>
    <n v="5"/>
    <n v="0"/>
    <n v="0"/>
    <n v="107"/>
    <s v="_x0000_peopl"/>
  </r>
  <r>
    <x v="6"/>
    <n v="13.6911"/>
    <n v="-89.220100000000002"/>
    <n v="8"/>
    <n v="0"/>
    <n v="0"/>
    <n v="107"/>
    <s v="_x0000_peopl"/>
  </r>
  <r>
    <x v="6"/>
    <n v="13.6875"/>
    <n v="-89.194699999999997"/>
    <n v="1"/>
    <n v="0"/>
    <n v="0"/>
    <n v="107"/>
    <s v="_x0000_peopl"/>
  </r>
  <r>
    <x v="6"/>
    <n v="13.691000000000001"/>
    <n v="-89.229799999999997"/>
    <n v="9"/>
    <n v="0"/>
    <n v="0"/>
    <n v="107"/>
    <s v="_x0000_peopl"/>
  </r>
  <r>
    <x v="6"/>
    <n v="13.688800000000001"/>
    <n v="-89.180800000000005"/>
    <n v="8"/>
    <n v="0"/>
    <n v="0"/>
    <n v="107"/>
    <s v="_x0000_peopl"/>
  </r>
  <r>
    <x v="6"/>
    <n v="13.6899"/>
    <n v="-89.197400000000002"/>
    <n v="4"/>
    <n v="0"/>
    <n v="0"/>
    <n v="107"/>
    <s v="_x0000_peopl"/>
  </r>
  <r>
    <x v="6"/>
    <n v="13.686"/>
    <n v="-89.193799999999996"/>
    <n v="7"/>
    <n v="0"/>
    <n v="0"/>
    <n v="107"/>
    <s v="_x0000_peopl"/>
  </r>
  <r>
    <x v="6"/>
    <n v="13.672499999999999"/>
    <n v="-89.204599999999999"/>
    <n v="9"/>
    <n v="0"/>
    <n v="0"/>
    <n v="107"/>
    <s v="_x0000_peopl"/>
  </r>
  <r>
    <x v="6"/>
    <n v="13.6732"/>
    <n v="-89.204599999999999"/>
    <n v="3"/>
    <n v="0"/>
    <n v="0"/>
    <n v="107"/>
    <s v="_x0000_peopl"/>
  </r>
  <r>
    <x v="6"/>
    <n v="13.6875"/>
    <n v="-89.216700000000003"/>
    <n v="8"/>
    <n v="0"/>
    <n v="0"/>
    <n v="107"/>
    <s v="_x0000_peopl"/>
  </r>
  <r>
    <x v="6"/>
    <n v="13.691800000000001"/>
    <n v="-89.226500000000001"/>
    <n v="11"/>
    <n v="0"/>
    <n v="0"/>
    <n v="107"/>
    <s v="_x0000_peopl"/>
  </r>
  <r>
    <x v="6"/>
    <n v="13.6776"/>
    <n v="-89.246899999999997"/>
    <n v="8"/>
    <n v="0"/>
    <n v="0"/>
    <n v="107"/>
    <s v="_x0000_peopl"/>
  </r>
  <r>
    <x v="6"/>
    <n v="13.6853"/>
    <n v="-89.217100000000002"/>
    <n v="5"/>
    <n v="0"/>
    <n v="0"/>
    <n v="107"/>
    <s v="_x0000_peopl"/>
  </r>
  <r>
    <x v="6"/>
    <n v="13.6892"/>
    <n v="-89.197599999999994"/>
    <n v="11"/>
    <n v="0"/>
    <n v="0"/>
    <n v="107"/>
    <s v="_x0000_peopl"/>
  </r>
  <r>
    <x v="6"/>
    <n v="13.6868"/>
    <n v="-89.203000000000003"/>
    <n v="7"/>
    <n v="0"/>
    <n v="0"/>
    <n v="107"/>
    <s v="_x0000_peopl"/>
  </r>
  <r>
    <x v="6"/>
    <n v="13.6882"/>
    <n v="-89.181600000000003"/>
    <n v="6"/>
    <n v="0"/>
    <n v="0"/>
    <n v="107"/>
    <s v="_x0000_peopl"/>
  </r>
  <r>
    <x v="6"/>
    <n v="13.6883"/>
    <n v="-89.198899999999995"/>
    <n v="7"/>
    <n v="0"/>
    <n v="0"/>
    <n v="107"/>
    <s v="_x0000_peopl"/>
  </r>
  <r>
    <x v="6"/>
    <n v="13.6889"/>
    <n v="-89.190200000000004"/>
    <n v="5"/>
    <n v="0"/>
    <n v="0"/>
    <n v="107"/>
    <s v="_x0000_peopl"/>
  </r>
  <r>
    <x v="6"/>
    <n v="13.693199999999999"/>
    <n v="-89.178200000000004"/>
    <n v="4"/>
    <n v="0"/>
    <n v="0"/>
    <n v="107"/>
    <s v="_x0000_peopl"/>
  </r>
  <r>
    <x v="6"/>
    <n v="13.69"/>
    <n v="-89.197900000000004"/>
    <n v="6"/>
    <n v="0"/>
    <n v="0"/>
    <n v="107"/>
    <s v="_x0000_peopl"/>
  </r>
  <r>
    <x v="6"/>
    <n v="13.692299999999999"/>
    <n v="-89.174899999999994"/>
    <n v="3"/>
    <n v="0"/>
    <n v="0"/>
    <n v="107"/>
    <s v="_x0000_peopl"/>
  </r>
  <r>
    <x v="6"/>
    <n v="13.6967"/>
    <n v="-89.171400000000006"/>
    <n v="4"/>
    <n v="0"/>
    <n v="0"/>
    <n v="107"/>
    <s v="_x0000_peopl"/>
  </r>
  <r>
    <x v="6"/>
    <n v="13.6891"/>
    <n v="-89.1905"/>
    <n v="5"/>
    <n v="0"/>
    <n v="0"/>
    <n v="107"/>
    <s v="_x0000_peopl"/>
  </r>
  <r>
    <x v="6"/>
    <n v="13.693300000000001"/>
    <n v="-89.178299999999993"/>
    <n v="5"/>
    <n v="0"/>
    <n v="0"/>
    <n v="107"/>
    <s v="_x0000_peopl"/>
  </r>
  <r>
    <x v="6"/>
    <n v="13.694599999999999"/>
    <n v="-89.183099999999996"/>
    <n v="3"/>
    <n v="0"/>
    <n v="0"/>
    <n v="107"/>
    <s v="_x0000_peopl"/>
  </r>
  <r>
    <x v="6"/>
    <n v="13.6914"/>
    <n v="-89.189499999999995"/>
    <n v="6"/>
    <n v="0"/>
    <n v="0"/>
    <n v="107"/>
    <s v="_x0000_peopl"/>
  </r>
  <r>
    <x v="6"/>
    <n v="13.6906"/>
    <n v="-89.194500000000005"/>
    <n v="4"/>
    <n v="0"/>
    <n v="0"/>
    <n v="107"/>
    <s v="_x0000_peopl"/>
  </r>
  <r>
    <x v="6"/>
    <n v="13.6898"/>
    <n v="-89.186000000000007"/>
    <n v="3"/>
    <n v="0"/>
    <n v="0"/>
    <n v="107"/>
    <s v="_x0000_peopl"/>
  </r>
  <r>
    <x v="6"/>
    <n v="13.6911"/>
    <n v="-89.198099999999997"/>
    <n v="11"/>
    <n v="0"/>
    <n v="0"/>
    <n v="107"/>
    <s v="_x0000_peopl"/>
  </r>
  <r>
    <x v="6"/>
    <n v="13.6981"/>
    <n v="-89.169399999999996"/>
    <n v="9"/>
    <n v="0"/>
    <n v="0"/>
    <n v="107"/>
    <s v="_x0000_peopl"/>
  </r>
  <r>
    <x v="6"/>
    <n v="13.696"/>
    <n v="-89.1661"/>
    <n v="5"/>
    <n v="0"/>
    <n v="0"/>
    <n v="107"/>
    <s v="_x0000_peopl"/>
  </r>
  <r>
    <x v="6"/>
    <n v="13.6843"/>
    <n v="-89.217399999999998"/>
    <n v="4"/>
    <n v="0"/>
    <n v="0"/>
    <n v="107"/>
    <s v="_x0000_peopl"/>
  </r>
  <r>
    <x v="6"/>
    <n v="13.6912"/>
    <n v="-89.2346"/>
    <n v="4"/>
    <n v="0"/>
    <n v="0"/>
    <n v="107"/>
    <s v="_x0000_peopl"/>
  </r>
  <r>
    <x v="6"/>
    <n v="13.692399999999999"/>
    <n v="-89.176000000000002"/>
    <n v="6"/>
    <n v="0"/>
    <n v="0"/>
    <n v="107"/>
    <s v="_x0000_peopl"/>
  </r>
  <r>
    <x v="6"/>
    <n v="13.690799999999999"/>
    <n v="-89.194599999999994"/>
    <n v="5"/>
    <n v="0"/>
    <n v="0"/>
    <n v="107"/>
    <s v="_x0000_peopl"/>
  </r>
  <r>
    <x v="6"/>
    <n v="13.6899"/>
    <n v="-89.186099999999996"/>
    <n v="3"/>
    <n v="0"/>
    <n v="0"/>
    <n v="107"/>
    <s v="_x0000_peopl"/>
  </r>
  <r>
    <x v="6"/>
    <n v="13.6782"/>
    <n v="-89.245500000000007"/>
    <n v="4"/>
    <n v="0"/>
    <n v="0"/>
    <n v="107"/>
    <s v="_x0000_peopl"/>
  </r>
  <r>
    <x v="6"/>
    <n v="13.6927"/>
    <n v="-89.178600000000003"/>
    <n v="10"/>
    <n v="0"/>
    <n v="0"/>
    <n v="107"/>
    <s v="_x0000_peopl"/>
  </r>
  <r>
    <x v="6"/>
    <n v="13.6922"/>
    <n v="-89.225800000000007"/>
    <n v="8"/>
    <n v="0"/>
    <n v="0"/>
    <n v="107"/>
    <s v="_x0000_peopl"/>
  </r>
  <r>
    <x v="6"/>
    <n v="13.6874"/>
    <n v="-89.213999999999999"/>
    <n v="6"/>
    <n v="0"/>
    <n v="0"/>
    <n v="107"/>
    <s v="_x0000_peopl"/>
  </r>
  <r>
    <x v="6"/>
    <n v="13.6915"/>
    <n v="-89.232699999999994"/>
    <n v="3"/>
    <n v="0"/>
    <n v="0"/>
    <n v="107"/>
    <s v="_x0000_peopl"/>
  </r>
  <r>
    <x v="6"/>
    <n v="13.6929"/>
    <n v="-89.1738"/>
    <n v="7"/>
    <n v="0"/>
    <n v="0"/>
    <n v="107"/>
    <s v="_x0000_peopl"/>
  </r>
  <r>
    <x v="6"/>
    <n v="13.693300000000001"/>
    <n v="-89.192599999999999"/>
    <n v="6"/>
    <n v="0"/>
    <n v="0"/>
    <n v="107"/>
    <s v="_x0000_peopl"/>
  </r>
  <r>
    <x v="6"/>
    <n v="13.675000000000001"/>
    <n v="-89.251000000000005"/>
    <n v="4"/>
    <n v="0"/>
    <n v="0"/>
    <n v="107"/>
    <s v="_x0000_peopl"/>
  </r>
  <r>
    <x v="6"/>
    <n v="13.6852"/>
    <n v="-89.216700000000003"/>
    <n v="4"/>
    <n v="0"/>
    <n v="0"/>
    <n v="107"/>
    <s v="_x0000_peopl"/>
  </r>
  <r>
    <x v="6"/>
    <n v="13.6928"/>
    <n v="-89.189599999999999"/>
    <n v="4"/>
    <n v="0"/>
    <n v="0"/>
    <n v="107"/>
    <s v="_x0000_peopl"/>
  </r>
  <r>
    <x v="6"/>
    <n v="13.687099999999999"/>
    <n v="-89.181600000000003"/>
    <n v="2"/>
    <n v="0"/>
    <n v="0"/>
    <n v="107"/>
    <s v="_x0000_peopl"/>
  </r>
  <r>
    <x v="6"/>
    <n v="13.690200000000001"/>
    <n v="-89.190200000000004"/>
    <n v="4"/>
    <n v="0"/>
    <n v="0"/>
    <n v="107"/>
    <s v="_x0000_peopl"/>
  </r>
  <r>
    <x v="6"/>
    <n v="13.6913"/>
    <n v="-89.179000000000002"/>
    <n v="4"/>
    <n v="0"/>
    <n v="0"/>
    <n v="107"/>
    <s v="_x0000_peopl"/>
  </r>
  <r>
    <x v="6"/>
    <n v="13.696199999999999"/>
    <n v="-89.172399999999996"/>
    <n v="5"/>
    <n v="0"/>
    <n v="0"/>
    <n v="107"/>
    <s v="_x0000_peopl"/>
  </r>
  <r>
    <x v="6"/>
    <n v="13.692500000000001"/>
    <n v="-89.181899999999999"/>
    <n v="5"/>
    <n v="0"/>
    <n v="0"/>
    <n v="107"/>
    <s v="_x0000_peopl"/>
  </r>
  <r>
    <x v="6"/>
    <n v="13.6846"/>
    <n v="-89.194000000000003"/>
    <n v="7"/>
    <n v="0"/>
    <n v="0"/>
    <n v="107"/>
    <s v="_x0000_peopl"/>
  </r>
  <r>
    <x v="6"/>
    <n v="13.6935"/>
    <n v="-89.188699999999997"/>
    <n v="3"/>
    <n v="0"/>
    <n v="0"/>
    <n v="107"/>
    <s v="_x0000_peopl"/>
  </r>
  <r>
    <x v="6"/>
    <n v="13.6914"/>
    <n v="-89.178600000000003"/>
    <n v="9"/>
    <n v="0"/>
    <n v="0"/>
    <n v="107"/>
    <s v="_x0000_peopl"/>
  </r>
  <r>
    <x v="6"/>
    <n v="13.6868"/>
    <n v="-89.215199999999996"/>
    <n v="5"/>
    <n v="0"/>
    <n v="0"/>
    <n v="107"/>
    <s v="_x0000_peopl"/>
  </r>
  <r>
    <x v="6"/>
    <n v="13.694699999999999"/>
    <n v="-89.173000000000002"/>
    <n v="4"/>
    <n v="0"/>
    <n v="0"/>
    <n v="107"/>
    <s v="_x0000_peopl"/>
  </r>
  <r>
    <x v="6"/>
    <n v="13.6922"/>
    <n v="-89.1785"/>
    <n v="8"/>
    <n v="0"/>
    <n v="0"/>
    <n v="107"/>
    <s v="_x0000_peopl"/>
  </r>
  <r>
    <x v="6"/>
    <n v="13.6968"/>
    <n v="-89.171400000000006"/>
    <n v="9"/>
    <n v="0"/>
    <n v="0"/>
    <n v="107"/>
    <s v="_x0000_peopl"/>
  </r>
  <r>
    <x v="6"/>
    <n v="13.6867"/>
    <n v="-89.212000000000003"/>
    <n v="6"/>
    <n v="0"/>
    <n v="0"/>
    <n v="107"/>
    <s v="_x0000_peopl"/>
  </r>
  <r>
    <x v="6"/>
    <n v="13.689500000000001"/>
    <n v="-89.228999999999999"/>
    <n v="3"/>
    <n v="0"/>
    <n v="0"/>
    <n v="107"/>
    <s v="_x0000_peopl"/>
  </r>
  <r>
    <x v="6"/>
    <n v="13.6867"/>
    <n v="-89.191599999999994"/>
    <n v="3"/>
    <n v="0"/>
    <n v="0"/>
    <n v="107"/>
    <s v="_x0000_peopl"/>
  </r>
  <r>
    <x v="6"/>
    <n v="13.69"/>
    <n v="-89.228499999999997"/>
    <n v="11"/>
    <n v="0"/>
    <n v="0"/>
    <n v="107"/>
    <s v="_x0000_peopl"/>
  </r>
  <r>
    <x v="6"/>
    <n v="13.6869"/>
    <n v="-89.183099999999996"/>
    <n v="2"/>
    <n v="0"/>
    <n v="0"/>
    <n v="107"/>
    <s v="_x0000_peopl"/>
  </r>
  <r>
    <x v="6"/>
    <n v="13.6915"/>
    <n v="-89.185299999999998"/>
    <n v="2"/>
    <n v="0"/>
    <n v="0"/>
    <n v="107"/>
    <s v="_x0000_peopl"/>
  </r>
  <r>
    <x v="6"/>
    <n v="13.6921"/>
    <n v="-89.184899999999999"/>
    <n v="3"/>
    <n v="0"/>
    <n v="0"/>
    <n v="107"/>
    <s v="_x0000_peopl"/>
  </r>
  <r>
    <x v="6"/>
    <n v="13.6852"/>
    <n v="-89.216899999999995"/>
    <n v="10"/>
    <n v="0"/>
    <n v="0"/>
    <n v="107"/>
    <s v="_x0000_peopl"/>
  </r>
  <r>
    <x v="6"/>
    <n v="13.6874"/>
    <n v="-89.196700000000007"/>
    <n v="6"/>
    <n v="0"/>
    <n v="0"/>
    <n v="107"/>
    <s v="_x0000_peopl"/>
  </r>
  <r>
    <x v="6"/>
    <n v="13.6922"/>
    <n v="-89.179900000000004"/>
    <n v="4"/>
    <n v="0"/>
    <n v="0"/>
    <n v="107"/>
    <s v="_x0000_peopl"/>
  </r>
  <r>
    <x v="6"/>
    <n v="13.6904"/>
    <n v="-89.235600000000005"/>
    <n v="6"/>
    <n v="0"/>
    <n v="0"/>
    <n v="107"/>
    <s v="_x0000_peopl"/>
  </r>
  <r>
    <x v="6"/>
    <n v="13.6953"/>
    <n v="-89.173000000000002"/>
    <n v="6"/>
    <n v="0"/>
    <n v="0"/>
    <n v="107"/>
    <s v="_x0000_peopl"/>
  </r>
  <r>
    <x v="6"/>
    <n v="13.6744"/>
    <n v="-89.251099999999994"/>
    <n v="4"/>
    <n v="0"/>
    <n v="0"/>
    <n v="107"/>
    <s v="_x0000_peopl"/>
  </r>
  <r>
    <x v="6"/>
    <n v="13.686999999999999"/>
    <n v="-89.194699999999997"/>
    <n v="9"/>
    <n v="0"/>
    <n v="0"/>
    <n v="107"/>
    <s v="_x0000_peopl"/>
  </r>
  <r>
    <x v="6"/>
    <n v="13.690899999999999"/>
    <n v="-89.195300000000003"/>
    <n v="3"/>
    <n v="0"/>
    <n v="0"/>
    <n v="107"/>
    <s v="_x0000_peopl"/>
  </r>
  <r>
    <x v="6"/>
    <n v="13.685499999999999"/>
    <n v="-89.2012"/>
    <n v="1"/>
    <n v="0"/>
    <n v="0"/>
    <n v="107"/>
    <s v="_x0000_peopl"/>
  </r>
  <r>
    <x v="6"/>
    <n v="13.6899"/>
    <n v="-89.184799999999996"/>
    <n v="4"/>
    <n v="0"/>
    <n v="0"/>
    <n v="107"/>
    <s v="_x0000_peopl"/>
  </r>
  <r>
    <x v="6"/>
    <n v="13.6913"/>
    <n v="-89.189400000000006"/>
    <n v="4"/>
    <n v="0"/>
    <n v="0"/>
    <n v="107"/>
    <s v="_x0000_peopl"/>
  </r>
  <r>
    <x v="6"/>
    <n v="13.6877"/>
    <n v="-89.1798"/>
    <n v="4"/>
    <n v="0"/>
    <n v="0"/>
    <n v="107"/>
    <s v="_x0000_peopl"/>
  </r>
  <r>
    <x v="6"/>
    <n v="13.6876"/>
    <n v="-89.195300000000003"/>
    <n v="1"/>
    <n v="0"/>
    <n v="0"/>
    <n v="107"/>
    <s v="_x0000_peopl"/>
  </r>
  <r>
    <x v="6"/>
    <n v="13.691000000000001"/>
    <n v="-89.235600000000005"/>
    <n v="8"/>
    <n v="0"/>
    <n v="0"/>
    <n v="107"/>
    <s v="_x0000_peopl"/>
  </r>
  <r>
    <x v="6"/>
    <n v="13.6942"/>
    <n v="-89.174599999999998"/>
    <n v="2"/>
    <n v="0"/>
    <n v="0"/>
    <n v="107"/>
    <s v="_x0000_peopl"/>
  </r>
  <r>
    <x v="6"/>
    <n v="13.6934"/>
    <n v="-89.188699999999997"/>
    <n v="10"/>
    <n v="0"/>
    <n v="0"/>
    <n v="107"/>
    <s v="_x0000_peopl"/>
  </r>
  <r>
    <x v="6"/>
    <n v="13.689399999999999"/>
    <n v="-89.228899999999996"/>
    <n v="5"/>
    <n v="0"/>
    <n v="0"/>
    <n v="107"/>
    <s v="_x0000_peopl"/>
  </r>
  <r>
    <x v="6"/>
    <n v="13.690300000000001"/>
    <n v="-89.181299999999993"/>
    <n v="5"/>
    <n v="0"/>
    <n v="0"/>
    <n v="107"/>
    <s v="_x0000_peopl"/>
  </r>
  <r>
    <x v="6"/>
    <n v="13.6915"/>
    <n v="-89.1892"/>
    <n v="5"/>
    <n v="0"/>
    <n v="0"/>
    <n v="107"/>
    <s v="_x0000_peopl"/>
  </r>
  <r>
    <x v="6"/>
    <n v="13.692600000000001"/>
    <n v="-89.223799999999997"/>
    <n v="6"/>
    <n v="0"/>
    <n v="0"/>
    <n v="107"/>
    <s v="_x0000_peopl"/>
  </r>
  <r>
    <x v="6"/>
    <n v="13.6927"/>
    <n v="-89.189700000000002"/>
    <n v="8"/>
    <n v="0"/>
    <n v="0"/>
    <n v="107"/>
    <s v="_x0000_peopl"/>
  </r>
  <r>
    <x v="6"/>
    <n v="13.6934"/>
    <n v="-89.192400000000006"/>
    <n v="2"/>
    <n v="0"/>
    <n v="0"/>
    <n v="107"/>
    <s v="_x0000_peopl"/>
  </r>
  <r>
    <x v="6"/>
    <n v="13.6858"/>
    <n v="-89.211299999999994"/>
    <n v="3"/>
    <n v="0"/>
    <n v="0"/>
    <n v="107"/>
    <s v="_x0000_peopl"/>
  </r>
  <r>
    <x v="6"/>
    <n v="13.6851"/>
    <n v="-89.216999999999999"/>
    <n v="3"/>
    <n v="0"/>
    <n v="0"/>
    <n v="107"/>
    <s v="_x0000_peopl"/>
  </r>
  <r>
    <x v="6"/>
    <n v="13.6891"/>
    <n v="-89.184600000000003"/>
    <n v="4"/>
    <n v="0"/>
    <n v="0"/>
    <n v="107"/>
    <s v="_x0000_peopl"/>
  </r>
  <r>
    <x v="6"/>
    <n v="13.6873"/>
    <n v="-89.2166"/>
    <n v="7"/>
    <n v="0"/>
    <n v="0"/>
    <n v="107"/>
    <s v="_x0000_peopl"/>
  </r>
  <r>
    <x v="6"/>
    <n v="13.69"/>
    <n v="-89.193899999999999"/>
    <n v="6"/>
    <n v="0"/>
    <n v="0"/>
    <n v="107"/>
    <s v="_x0000_peopl"/>
  </r>
  <r>
    <x v="6"/>
    <n v="13.6845"/>
    <n v="-89.216200000000001"/>
    <n v="7"/>
    <n v="0"/>
    <n v="0"/>
    <n v="107"/>
    <s v="_x0000_peopl"/>
  </r>
  <r>
    <x v="6"/>
    <n v="13.687799999999999"/>
    <n v="-89.179699999999997"/>
    <n v="4"/>
    <n v="0"/>
    <n v="0"/>
    <n v="107"/>
    <s v="_x0000_peopl"/>
  </r>
  <r>
    <x v="6"/>
    <n v="13.6905"/>
    <n v="-89.235299999999995"/>
    <n v="5"/>
    <n v="0"/>
    <n v="0"/>
    <n v="107"/>
    <s v="_x0000_peopl"/>
  </r>
  <r>
    <x v="6"/>
    <n v="13.6869"/>
    <n v="-89.203299999999999"/>
    <n v="4"/>
    <n v="0"/>
    <n v="0"/>
    <n v="107"/>
    <s v="_x0000_peopl"/>
  </r>
  <r>
    <x v="6"/>
    <n v="13.687900000000001"/>
    <n v="-89.18"/>
    <n v="5"/>
    <n v="0"/>
    <n v="0"/>
    <n v="107"/>
    <s v="_x0000_peopl"/>
  </r>
  <r>
    <x v="6"/>
    <n v="13.6943"/>
    <n v="-89.174899999999994"/>
    <n v="7"/>
    <n v="0"/>
    <n v="0"/>
    <n v="107"/>
    <s v="_x0000_peopl"/>
  </r>
  <r>
    <x v="6"/>
    <n v="13.6891"/>
    <n v="-89.183999999999997"/>
    <n v="5"/>
    <n v="0"/>
    <n v="0"/>
    <n v="107"/>
    <s v="_x0000_peopl"/>
  </r>
  <r>
    <x v="6"/>
    <n v="13.6883"/>
    <n v="-89.182299999999998"/>
    <n v="3"/>
    <n v="0"/>
    <n v="0"/>
    <n v="107"/>
    <s v="_x0000_peopl"/>
  </r>
  <r>
    <x v="6"/>
    <n v="13.6921"/>
    <n v="-89.194900000000004"/>
    <n v="1"/>
    <n v="0"/>
    <n v="0"/>
    <n v="107"/>
    <s v="_x0000_peopl"/>
  </r>
  <r>
    <x v="6"/>
    <n v="13.686999999999999"/>
    <n v="-89.215400000000002"/>
    <n v="7"/>
    <n v="0"/>
    <n v="0"/>
    <n v="107"/>
    <s v="_x0000_peopl"/>
  </r>
  <r>
    <x v="6"/>
    <n v="13.692399999999999"/>
    <n v="-89.224800000000002"/>
    <n v="4"/>
    <n v="0"/>
    <n v="0"/>
    <n v="107"/>
    <s v="_x0000_peopl"/>
  </r>
  <r>
    <x v="6"/>
    <n v="13.692399999999999"/>
    <n v="-89.225700000000003"/>
    <n v="4"/>
    <n v="0"/>
    <n v="0"/>
    <n v="107"/>
    <s v="_x0000_peopl"/>
  </r>
  <r>
    <x v="6"/>
    <n v="13.694800000000001"/>
    <n v="-89.174899999999994"/>
    <n v="3"/>
    <n v="0"/>
    <n v="0"/>
    <n v="107"/>
    <s v="_x0000_peopl"/>
  </r>
  <r>
    <x v="6"/>
    <n v="13.684799999999999"/>
    <n v="-89.216300000000004"/>
    <n v="3"/>
    <n v="0"/>
    <n v="0"/>
    <n v="107"/>
    <s v="_x0000_peopl"/>
  </r>
  <r>
    <x v="6"/>
    <n v="13.6844"/>
    <n v="-89.216800000000006"/>
    <n v="7"/>
    <n v="0"/>
    <n v="0"/>
    <n v="107"/>
    <s v="_x0000_peopl"/>
  </r>
  <r>
    <x v="6"/>
    <n v="13.6866"/>
    <n v="-89.215599999999995"/>
    <n v="6"/>
    <n v="0"/>
    <n v="0"/>
    <n v="107"/>
    <s v="_x0000_peopl"/>
  </r>
  <r>
    <x v="6"/>
    <n v="13.685600000000001"/>
    <n v="-89.211399999999998"/>
    <n v="4"/>
    <n v="0"/>
    <n v="0"/>
    <n v="107"/>
    <s v="_x0000_peopl"/>
  </r>
  <r>
    <x v="6"/>
    <n v="13.692299999999999"/>
    <n v="-89.179199999999994"/>
    <n v="4"/>
    <n v="0"/>
    <n v="0"/>
    <n v="107"/>
    <s v="_x0000_peopl"/>
  </r>
  <r>
    <x v="6"/>
    <n v="13.686"/>
    <n v="-89.198300000000003"/>
    <n v="5"/>
    <n v="0"/>
    <n v="0"/>
    <n v="107"/>
    <s v="_x0000_peopl"/>
  </r>
  <r>
    <x v="6"/>
    <n v="13.6914"/>
    <n v="-89.228700000000003"/>
    <n v="5"/>
    <n v="0"/>
    <n v="0"/>
    <n v="107"/>
    <s v="_x0000_peopl"/>
  </r>
  <r>
    <x v="6"/>
    <n v="13.6943"/>
    <n v="-89.183300000000003"/>
    <n v="3"/>
    <n v="0"/>
    <n v="0"/>
    <n v="107"/>
    <s v="_x0000_peopl"/>
  </r>
  <r>
    <x v="6"/>
    <n v="13.6913"/>
    <n v="-89.233800000000002"/>
    <n v="3"/>
    <n v="0"/>
    <n v="0"/>
    <n v="107"/>
    <s v="_x0000_peopl"/>
  </r>
  <r>
    <x v="6"/>
    <n v="13.686199999999999"/>
    <n v="-89.203699999999998"/>
    <n v="6"/>
    <n v="0"/>
    <n v="0"/>
    <n v="107"/>
    <s v="_x0000_peopl"/>
  </r>
  <r>
    <x v="6"/>
    <n v="13.6897"/>
    <n v="-89.193899999999999"/>
    <n v="4"/>
    <n v="0"/>
    <n v="0"/>
    <n v="107"/>
    <s v="_x0000_peopl"/>
  </r>
  <r>
    <x v="6"/>
    <n v="13.6875"/>
    <n v="-89.215100000000007"/>
    <n v="7"/>
    <n v="0"/>
    <n v="0"/>
    <n v="107"/>
    <s v="_x0000_peopl"/>
  </r>
  <r>
    <x v="6"/>
    <n v="13.687799999999999"/>
    <n v="-89.194500000000005"/>
    <n v="5"/>
    <n v="0"/>
    <n v="0"/>
    <n v="107"/>
    <s v="_x0000_peopl"/>
  </r>
  <r>
    <x v="6"/>
    <n v="13.680999999999999"/>
    <n v="-89.195800000000006"/>
    <n v="4"/>
    <n v="0"/>
    <n v="0"/>
    <n v="107"/>
    <s v="_x0000_peopl"/>
  </r>
  <r>
    <x v="6"/>
    <n v="13.6914"/>
    <n v="-89.227099999999993"/>
    <n v="3"/>
    <n v="0"/>
    <n v="0"/>
    <n v="107"/>
    <s v="_x0000_peopl"/>
  </r>
  <r>
    <x v="6"/>
    <n v="13.6899"/>
    <n v="-89.179400000000001"/>
    <n v="3"/>
    <n v="0"/>
    <n v="0"/>
    <n v="107"/>
    <s v="_x0000_peopl"/>
  </r>
  <r>
    <x v="6"/>
    <n v="13.686500000000001"/>
    <n v="-89.214500000000001"/>
    <n v="3"/>
    <n v="0"/>
    <n v="0"/>
    <n v="107"/>
    <s v="_x0000_peopl"/>
  </r>
  <r>
    <x v="6"/>
    <n v="13.691000000000001"/>
    <n v="-89.227400000000003"/>
    <n v="6"/>
    <n v="0"/>
    <n v="0"/>
    <n v="107"/>
    <s v="_x0000_peopl"/>
  </r>
  <r>
    <x v="6"/>
    <n v="13.688700000000001"/>
    <n v="-89.2166"/>
    <n v="5"/>
    <n v="0"/>
    <n v="0"/>
    <n v="107"/>
    <s v="_x0000_peopl"/>
  </r>
  <r>
    <x v="6"/>
    <n v="13.6919"/>
    <n v="-89.179400000000001"/>
    <n v="8"/>
    <n v="0"/>
    <n v="0"/>
    <n v="107"/>
    <s v="_x0000_peopl"/>
  </r>
  <r>
    <x v="6"/>
    <n v="13.694800000000001"/>
    <n v="-89.174199999999999"/>
    <n v="5"/>
    <n v="0"/>
    <n v="0"/>
    <n v="107"/>
    <s v="_x0000_peopl"/>
  </r>
  <r>
    <x v="6"/>
    <n v="13.689"/>
    <n v="-89.229200000000006"/>
    <n v="5"/>
    <n v="0"/>
    <n v="0"/>
    <n v="107"/>
    <s v="_x0000_peopl"/>
  </r>
  <r>
    <x v="6"/>
    <n v="13.693199999999999"/>
    <n v="-89.183300000000003"/>
    <n v="4"/>
    <n v="0"/>
    <n v="0"/>
    <n v="107"/>
    <s v="_x0000_peopl"/>
  </r>
  <r>
    <x v="6"/>
    <n v="13.692299999999999"/>
    <n v="-89.1768"/>
    <n v="7"/>
    <n v="0"/>
    <n v="0"/>
    <n v="107"/>
    <s v="_x0000_peopl"/>
  </r>
  <r>
    <x v="6"/>
    <n v="13.690300000000001"/>
    <n v="-89.181200000000004"/>
    <n v="2"/>
    <n v="0"/>
    <n v="0"/>
    <n v="107"/>
    <s v="_x0000_peopl"/>
  </r>
  <r>
    <x v="6"/>
    <n v="13.680300000000001"/>
    <n v="-89.198400000000007"/>
    <n v="9"/>
    <n v="0"/>
    <n v="0"/>
    <n v="107"/>
    <s v="_x0000_peopl"/>
  </r>
  <r>
    <x v="6"/>
    <n v="13.695600000000001"/>
    <n v="-89.1738"/>
    <n v="0"/>
    <n v="0"/>
    <n v="0"/>
    <n v="107"/>
    <s v="_x0000_peopl"/>
  </r>
  <r>
    <x v="6"/>
    <n v="13.6854"/>
    <n v="-89.212199999999996"/>
    <n v="2"/>
    <n v="0"/>
    <n v="0"/>
    <n v="107"/>
    <s v="_x0000_peopl"/>
  </r>
  <r>
    <x v="6"/>
    <n v="13.690899999999999"/>
    <n v="-89.234800000000007"/>
    <n v="6"/>
    <n v="0"/>
    <n v="0"/>
    <n v="107"/>
    <s v="_x0000_peopl"/>
  </r>
  <r>
    <x v="6"/>
    <n v="13.6866"/>
    <n v="-89.215800000000002"/>
    <n v="4"/>
    <n v="0"/>
    <n v="0"/>
    <n v="107"/>
    <s v="_x0000_peopl"/>
  </r>
  <r>
    <x v="6"/>
    <n v="13.689"/>
    <n v="-89.177800000000005"/>
    <n v="2"/>
    <n v="0"/>
    <n v="0"/>
    <n v="107"/>
    <s v="_x0000_peopl"/>
  </r>
  <r>
    <x v="6"/>
    <n v="13.6876"/>
    <n v="-89.197000000000003"/>
    <n v="5"/>
    <n v="0"/>
    <n v="0"/>
    <n v="107"/>
    <s v="_x0000_peopl"/>
  </r>
  <r>
    <x v="6"/>
    <n v="13.6911"/>
    <n v="-89.229299999999995"/>
    <n v="2"/>
    <n v="0"/>
    <n v="0"/>
    <n v="107"/>
    <s v="_x0000_peopl"/>
  </r>
  <r>
    <x v="6"/>
    <n v="13.6906"/>
    <n v="-89.186199999999999"/>
    <n v="5"/>
    <n v="0"/>
    <n v="0"/>
    <n v="107"/>
    <s v="_x0000_peopl"/>
  </r>
  <r>
    <x v="6"/>
    <n v="13.691800000000001"/>
    <n v="-89.221400000000003"/>
    <n v="2"/>
    <n v="0"/>
    <n v="0"/>
    <n v="107"/>
    <s v="_x0000_peopl"/>
  </r>
  <r>
    <x v="6"/>
    <n v="13.688599999999999"/>
    <n v="-89.180199999999999"/>
    <n v="8"/>
    <n v="0"/>
    <n v="0"/>
    <n v="107"/>
    <s v="_x0000_peopl"/>
  </r>
  <r>
    <x v="6"/>
    <n v="13.6904"/>
    <n v="-89.177400000000006"/>
    <n v="5"/>
    <n v="0"/>
    <n v="0"/>
    <n v="107"/>
    <s v="_x0000_peopl"/>
  </r>
  <r>
    <x v="6"/>
    <n v="13.6974"/>
    <n v="-89.171400000000006"/>
    <n v="6"/>
    <n v="0"/>
    <n v="0"/>
    <n v="107"/>
    <s v="_x0000_peopl"/>
  </r>
  <r>
    <x v="6"/>
    <n v="13.688499999999999"/>
    <n v="-89.2042"/>
    <n v="6"/>
    <n v="0"/>
    <n v="0"/>
    <n v="107"/>
    <s v="_x0000_peopl"/>
  </r>
  <r>
    <x v="6"/>
    <n v="13.6935"/>
    <n v="-89.188699999999997"/>
    <n v="4"/>
    <n v="0"/>
    <n v="0"/>
    <n v="107"/>
    <s v="_x0000_peopl"/>
  </r>
  <r>
    <x v="6"/>
    <n v="13.6869"/>
    <n v="-89.181899999999999"/>
    <n v="2"/>
    <n v="0"/>
    <n v="0"/>
    <n v="107"/>
    <s v="_x0000_peopl"/>
  </r>
  <r>
    <x v="6"/>
    <n v="13.6899"/>
    <n v="-89.180099999999996"/>
    <n v="6"/>
    <n v="0"/>
    <n v="0"/>
    <n v="107"/>
    <s v="_x0000_peopl"/>
  </r>
  <r>
    <x v="6"/>
    <n v="13.6851"/>
    <n v="-89.216800000000006"/>
    <n v="5"/>
    <n v="0"/>
    <n v="0"/>
    <n v="107"/>
    <s v="_x0000_peopl"/>
  </r>
  <r>
    <x v="6"/>
    <n v="13.692500000000001"/>
    <n v="-89.178600000000003"/>
    <n v="8"/>
    <n v="0"/>
    <n v="0"/>
    <n v="107"/>
    <s v="_x0000_peopl"/>
  </r>
  <r>
    <x v="6"/>
    <n v="13.690300000000001"/>
    <n v="-89.195599999999999"/>
    <n v="7"/>
    <n v="0"/>
    <n v="0"/>
    <n v="107"/>
    <s v="_x0000_peopl"/>
  </r>
  <r>
    <x v="6"/>
    <n v="13.695600000000001"/>
    <n v="-89.173599999999993"/>
    <n v="5"/>
    <n v="0"/>
    <n v="0"/>
    <n v="107"/>
    <s v="_x0000_peopl"/>
  </r>
  <r>
    <x v="6"/>
    <n v="13.691599999999999"/>
    <n v="-89.179699999999997"/>
    <n v="3"/>
    <n v="0"/>
    <n v="0"/>
    <n v="107"/>
    <s v="_x0000_peopl"/>
  </r>
  <r>
    <x v="6"/>
    <n v="13.6958"/>
    <n v="-89.172399999999996"/>
    <n v="7"/>
    <n v="0"/>
    <n v="0"/>
    <n v="107"/>
    <s v="_x0000_peopl"/>
  </r>
  <r>
    <x v="6"/>
    <n v="13.6754"/>
    <n v="-89.1999"/>
    <n v="4"/>
    <n v="0"/>
    <n v="0"/>
    <n v="107"/>
    <s v="_x0000_peopl"/>
  </r>
  <r>
    <x v="6"/>
    <n v="13.690300000000001"/>
    <n v="-89.181200000000004"/>
    <n v="9"/>
    <n v="0"/>
    <n v="0"/>
    <n v="107"/>
    <s v="_x0000_peopl"/>
  </r>
  <r>
    <x v="6"/>
    <n v="13.6859"/>
    <n v="-89.212999999999994"/>
    <n v="5"/>
    <n v="0"/>
    <n v="0"/>
    <n v="107"/>
    <s v="_x0000_peopl"/>
  </r>
  <r>
    <x v="6"/>
    <n v="13.6873"/>
    <n v="-89.197699999999998"/>
    <n v="5"/>
    <n v="0"/>
    <n v="0"/>
    <n v="107"/>
    <s v="_x0000_peopl"/>
  </r>
  <r>
    <x v="6"/>
    <n v="13.691599999999999"/>
    <n v="-89.234700000000004"/>
    <n v="3"/>
    <n v="0"/>
    <n v="0"/>
    <n v="107"/>
    <s v="_x0000_peopl"/>
  </r>
  <r>
    <x v="6"/>
    <n v="13.6869"/>
    <n v="-89.197500000000005"/>
    <n v="6"/>
    <n v="0"/>
    <n v="0"/>
    <n v="107"/>
    <s v="_x0000_peopl"/>
  </r>
  <r>
    <x v="6"/>
    <n v="13.693099999999999"/>
    <n v="-89.183000000000007"/>
    <n v="5"/>
    <n v="0"/>
    <n v="0"/>
    <n v="107"/>
    <s v="_x0000_peopl"/>
  </r>
  <r>
    <x v="6"/>
    <n v="13.694699999999999"/>
    <n v="-89.185500000000005"/>
    <n v="2"/>
    <n v="0"/>
    <n v="0"/>
    <n v="107"/>
    <s v="_x0000_peopl"/>
  </r>
  <r>
    <x v="6"/>
    <n v="13.692600000000001"/>
    <n v="-89.224599999999995"/>
    <n v="1"/>
    <n v="0"/>
    <n v="0"/>
    <n v="107"/>
    <s v="_x0000_peopl"/>
  </r>
  <r>
    <x v="6"/>
    <n v="13.687799999999999"/>
    <n v="-89.194900000000004"/>
    <n v="8"/>
    <n v="0"/>
    <n v="0"/>
    <n v="107"/>
    <s v="_x0000_peopl"/>
  </r>
  <r>
    <x v="6"/>
    <n v="13.6867"/>
    <n v="-89.182599999999994"/>
    <n v="5"/>
    <n v="0"/>
    <n v="0"/>
    <n v="107"/>
    <s v="_x0000_peopl"/>
  </r>
  <r>
    <x v="6"/>
    <n v="13.694599999999999"/>
    <n v="-89.174700000000001"/>
    <n v="8"/>
    <n v="0"/>
    <n v="0"/>
    <n v="107"/>
    <s v="_x0000_peopl"/>
  </r>
  <r>
    <x v="6"/>
    <n v="13.6868"/>
    <n v="-89.216300000000004"/>
    <n v="8"/>
    <n v="0"/>
    <n v="0"/>
    <n v="107"/>
    <s v="_x0000_peopl"/>
  </r>
  <r>
    <x v="6"/>
    <n v="13.689399999999999"/>
    <n v="-89.1858"/>
    <n v="5"/>
    <n v="0"/>
    <n v="0"/>
    <n v="107"/>
    <s v="_x0000_peopl"/>
  </r>
  <r>
    <x v="6"/>
    <n v="13.6877"/>
    <n v="-89.196799999999996"/>
    <n v="6"/>
    <n v="0"/>
    <n v="0"/>
    <n v="107"/>
    <s v="_x0000_peopl"/>
  </r>
  <r>
    <x v="6"/>
    <n v="13.673"/>
    <n v="-89.203800000000001"/>
    <n v="4"/>
    <n v="0"/>
    <n v="0"/>
    <n v="107"/>
    <s v="_x0000_peopl"/>
  </r>
  <r>
    <x v="6"/>
    <n v="13.6852"/>
    <n v="-89.2012"/>
    <n v="7"/>
    <n v="0"/>
    <n v="0"/>
    <n v="107"/>
    <s v="_x0000_peopl"/>
  </r>
  <r>
    <x v="6"/>
    <n v="13.692"/>
    <n v="-89.194299999999998"/>
    <n v="4"/>
    <n v="0"/>
    <n v="0"/>
    <n v="107"/>
    <s v="_x0000_peopl"/>
  </r>
  <r>
    <x v="6"/>
    <n v="13.688000000000001"/>
    <n v="-89.236900000000006"/>
    <n v="5"/>
    <n v="0"/>
    <n v="0"/>
    <n v="107"/>
    <s v="_x0000_peopl"/>
  </r>
  <r>
    <x v="6"/>
    <n v="13.6934"/>
    <n v="-89.190399999999997"/>
    <n v="1"/>
    <n v="0"/>
    <n v="0"/>
    <n v="107"/>
    <s v="_x0000_peopl"/>
  </r>
  <r>
    <x v="6"/>
    <n v="13.6883"/>
    <n v="-89.182500000000005"/>
    <n v="8"/>
    <n v="0"/>
    <n v="0"/>
    <n v="107"/>
    <s v="_x0000_peopl"/>
  </r>
  <r>
    <x v="6"/>
    <n v="13.687099999999999"/>
    <n v="-89.194000000000003"/>
    <n v="4"/>
    <n v="0"/>
    <n v="0"/>
    <n v="107"/>
    <s v="_x0000_peopl"/>
  </r>
  <r>
    <x v="6"/>
    <n v="13.691000000000001"/>
    <n v="-89.190600000000003"/>
    <n v="5"/>
    <n v="0"/>
    <n v="0"/>
    <n v="107"/>
    <s v="_x0000_peopl"/>
  </r>
  <r>
    <x v="6"/>
    <n v="13.6851"/>
    <n v="-89.216099999999997"/>
    <n v="6"/>
    <n v="0"/>
    <n v="0"/>
    <n v="107"/>
    <s v="_x0000_peopl"/>
  </r>
  <r>
    <x v="6"/>
    <n v="13.6868"/>
    <n v="-89.181600000000003"/>
    <n v="2"/>
    <n v="0"/>
    <n v="0"/>
    <n v="107"/>
    <s v="_x0000_peopl"/>
  </r>
  <r>
    <x v="6"/>
    <n v="13.689500000000001"/>
    <n v="-89.185599999999994"/>
    <n v="6"/>
    <n v="0"/>
    <n v="0"/>
    <n v="107"/>
    <s v="_x0000_peopl"/>
  </r>
  <r>
    <x v="6"/>
    <n v="13.6899"/>
    <n v="-89.189599999999999"/>
    <n v="3"/>
    <n v="0"/>
    <n v="0"/>
    <n v="107"/>
    <s v="_x0000_peopl"/>
  </r>
  <r>
    <x v="6"/>
    <n v="13.6868"/>
    <n v="-89.194500000000005"/>
    <n v="9"/>
    <n v="0"/>
    <n v="0"/>
    <n v="107"/>
    <s v="_x0000_peopl"/>
  </r>
  <r>
    <x v="6"/>
    <n v="13.685700000000001"/>
    <n v="-89.194000000000003"/>
    <n v="4"/>
    <n v="0"/>
    <n v="0"/>
    <n v="107"/>
    <s v="_x0000_peopl"/>
  </r>
  <r>
    <x v="6"/>
    <n v="13.6853"/>
    <n v="-89.214299999999994"/>
    <n v="5"/>
    <n v="0"/>
    <n v="0"/>
    <n v="107"/>
    <s v="_x0000_peopl"/>
  </r>
  <r>
    <x v="6"/>
    <n v="13.6873"/>
    <n v="-89.194400000000002"/>
    <n v="4"/>
    <n v="0"/>
    <n v="0"/>
    <n v="107"/>
    <s v="_x0000_peopl"/>
  </r>
  <r>
    <x v="6"/>
    <n v="13.6927"/>
    <n v="-89.197400000000002"/>
    <n v="3"/>
    <n v="0"/>
    <n v="0"/>
    <n v="107"/>
    <s v="_x0000_peopl"/>
  </r>
  <r>
    <x v="6"/>
    <n v="13.6868"/>
    <n v="-89.194500000000005"/>
    <n v="3"/>
    <n v="0"/>
    <n v="0"/>
    <n v="107"/>
    <s v="_x0000_peopl"/>
  </r>
  <r>
    <x v="6"/>
    <n v="13.6929"/>
    <n v="-89.178100000000001"/>
    <n v="2"/>
    <n v="0"/>
    <n v="0"/>
    <n v="107"/>
    <s v="_x0000_peopl"/>
  </r>
  <r>
    <x v="6"/>
    <n v="13.6934"/>
    <n v="-89.178299999999993"/>
    <n v="8"/>
    <n v="0"/>
    <n v="0"/>
    <n v="107"/>
    <s v="_x0000_peopl"/>
  </r>
  <r>
    <x v="6"/>
    <n v="13.673999999999999"/>
    <n v="-89.202699999999993"/>
    <n v="1"/>
    <n v="0"/>
    <n v="0"/>
    <n v="107"/>
    <s v="_x0000_peopl"/>
  </r>
  <r>
    <x v="6"/>
    <n v="13.69"/>
    <n v="-89.235399999999998"/>
    <n v="3"/>
    <n v="0"/>
    <n v="0"/>
    <n v="107"/>
    <s v="_x0000_peopl"/>
  </r>
  <r>
    <x v="6"/>
    <n v="13.688599999999999"/>
    <n v="-89.204400000000007"/>
    <n v="5"/>
    <n v="0"/>
    <n v="0"/>
    <n v="107"/>
    <s v="_x0000_peopl"/>
  </r>
  <r>
    <x v="6"/>
    <n v="13.689500000000001"/>
    <n v="-89.208200000000005"/>
    <n v="7"/>
    <n v="0"/>
    <n v="0"/>
    <n v="107"/>
    <s v="_x0000_peopl"/>
  </r>
  <r>
    <x v="6"/>
    <n v="13.6921"/>
    <n v="-89.193600000000004"/>
    <n v="7"/>
    <n v="0"/>
    <n v="0"/>
    <n v="107"/>
    <s v="_x0000_peopl"/>
  </r>
  <r>
    <x v="6"/>
    <n v="13.689399999999999"/>
    <n v="-89.184299999999993"/>
    <n v="6"/>
    <n v="0"/>
    <n v="0"/>
    <n v="107"/>
    <s v="_x0000_peopl"/>
  </r>
  <r>
    <x v="6"/>
    <n v="13.694800000000001"/>
    <n v="-89.173699999999997"/>
    <n v="10"/>
    <n v="0"/>
    <n v="0"/>
    <n v="107"/>
    <s v="_x0000_peopl"/>
  </r>
  <r>
    <x v="6"/>
    <n v="13.6861"/>
    <n v="-89.215199999999996"/>
    <n v="7"/>
    <n v="0"/>
    <n v="0"/>
    <n v="107"/>
    <s v="_x0000_peopl"/>
  </r>
  <r>
    <x v="6"/>
    <n v="13.6922"/>
    <n v="-89.225700000000003"/>
    <n v="2"/>
    <n v="0"/>
    <n v="0"/>
    <n v="107"/>
    <s v="_x0000_peopl"/>
  </r>
  <r>
    <x v="6"/>
    <n v="13.6904"/>
    <n v="-89.188900000000004"/>
    <n v="4"/>
    <n v="0"/>
    <n v="0"/>
    <n v="107"/>
    <s v="_x0000_peopl"/>
  </r>
  <r>
    <x v="6"/>
    <n v="13.691800000000001"/>
    <n v="-89.1798"/>
    <n v="5"/>
    <n v="0"/>
    <n v="0"/>
    <n v="107"/>
    <s v="_x0000_peopl"/>
  </r>
  <r>
    <x v="6"/>
    <n v="13.6881"/>
    <n v="-89.181100000000001"/>
    <n v="6"/>
    <n v="0"/>
    <n v="0"/>
    <n v="107"/>
    <s v="_x0000_peopl"/>
  </r>
  <r>
    <x v="6"/>
    <n v="13.690099999999999"/>
    <n v="-89.2346"/>
    <n v="6"/>
    <n v="0"/>
    <n v="0"/>
    <n v="107"/>
    <s v="_x0000_peopl"/>
  </r>
  <r>
    <x v="6"/>
    <n v="13.689500000000001"/>
    <n v="-89.185199999999995"/>
    <n v="3"/>
    <n v="0"/>
    <n v="0"/>
    <n v="107"/>
    <s v="_x0000_peopl"/>
  </r>
  <r>
    <x v="6"/>
    <n v="13.6874"/>
    <n v="-89.197100000000006"/>
    <n v="9"/>
    <n v="0"/>
    <n v="0"/>
    <n v="107"/>
    <s v="_x0000_peopl"/>
  </r>
  <r>
    <x v="6"/>
    <n v="13.6867"/>
    <n v="-89.181700000000006"/>
    <n v="6"/>
    <n v="0"/>
    <n v="0"/>
    <n v="107"/>
    <s v="_x0000_peopl"/>
  </r>
  <r>
    <x v="6"/>
    <n v="13.697100000000001"/>
    <n v="-89.171300000000002"/>
    <n v="5"/>
    <n v="0"/>
    <n v="0"/>
    <n v="107"/>
    <s v="_x0000_peopl"/>
  </r>
  <r>
    <x v="6"/>
    <n v="13.6899"/>
    <n v="-89.216899999999995"/>
    <n v="4"/>
    <n v="0"/>
    <n v="0"/>
    <n v="107"/>
    <s v="_x0000_peopl"/>
  </r>
  <r>
    <x v="6"/>
    <n v="13.6883"/>
    <n v="-89.197999999999993"/>
    <n v="5"/>
    <n v="0"/>
    <n v="0"/>
    <n v="107"/>
    <s v="_x0000_peopl"/>
  </r>
  <r>
    <x v="6"/>
    <n v="13.6913"/>
    <n v="-89.227000000000004"/>
    <n v="9"/>
    <n v="0"/>
    <n v="0"/>
    <n v="107"/>
    <s v="_x0000_peopl"/>
  </r>
  <r>
    <x v="6"/>
    <n v="13.69"/>
    <n v="-89.188400000000001"/>
    <n v="6"/>
    <n v="0"/>
    <n v="0"/>
    <n v="107"/>
    <s v="_x0000_peopl"/>
  </r>
  <r>
    <x v="6"/>
    <n v="13.675000000000001"/>
    <n v="-89.2517"/>
    <n v="2"/>
    <n v="0"/>
    <n v="0"/>
    <n v="107"/>
    <s v="_x0000_peopl"/>
  </r>
  <r>
    <x v="6"/>
    <n v="13.6791"/>
    <n v="-89.196399999999997"/>
    <n v="1"/>
    <n v="0"/>
    <n v="0"/>
    <n v="107"/>
    <s v="_x0000_peopl"/>
  </r>
  <r>
    <x v="6"/>
    <n v="13.687099999999999"/>
    <n v="-89.197400000000002"/>
    <n v="5"/>
    <n v="0"/>
    <n v="0"/>
    <n v="107"/>
    <s v="_x0000_peopl"/>
  </r>
  <r>
    <x v="6"/>
    <n v="13.6944"/>
    <n v="-89.188900000000004"/>
    <n v="3"/>
    <n v="0"/>
    <n v="0"/>
    <n v="107"/>
    <s v="_x0000_peopl"/>
  </r>
  <r>
    <x v="6"/>
    <n v="13.695499999999999"/>
    <n v="-89.173000000000002"/>
    <n v="7"/>
    <n v="0"/>
    <n v="0"/>
    <n v="107"/>
    <s v="_x0000_peopl"/>
  </r>
  <r>
    <x v="6"/>
    <n v="13.6919"/>
    <n v="-89.176000000000002"/>
    <n v="4"/>
    <n v="0"/>
    <n v="0"/>
    <n v="107"/>
    <s v="_x0000_peopl"/>
  </r>
  <r>
    <x v="6"/>
    <n v="13.6896"/>
    <n v="-89.228800000000007"/>
    <n v="4"/>
    <n v="0"/>
    <n v="0"/>
    <n v="107"/>
    <s v="_x0000_peopl"/>
  </r>
  <r>
    <x v="6"/>
    <n v="13.6919"/>
    <n v="-89.224599999999995"/>
    <n v="5"/>
    <n v="0"/>
    <n v="0"/>
    <n v="107"/>
    <s v="_x0000_peopl"/>
  </r>
  <r>
    <x v="6"/>
    <n v="13.6812"/>
    <n v="-89.195499999999996"/>
    <n v="7"/>
    <n v="0"/>
    <n v="0"/>
    <n v="107"/>
    <s v="_x0000_peopl"/>
  </r>
  <r>
    <x v="6"/>
    <n v="13.677099999999999"/>
    <n v="-89.2483"/>
    <n v="5"/>
    <n v="0"/>
    <n v="0"/>
    <n v="107"/>
    <s v="_x0000_peopl"/>
  </r>
  <r>
    <x v="6"/>
    <n v="13.6852"/>
    <n v="-89.214299999999994"/>
    <n v="5"/>
    <n v="0"/>
    <n v="0"/>
    <n v="107"/>
    <s v="_x0000_peopl"/>
  </r>
  <r>
    <x v="6"/>
    <n v="13.6913"/>
    <n v="-89.185900000000004"/>
    <n v="5"/>
    <n v="0"/>
    <n v="0"/>
    <n v="107"/>
    <s v="_x0000_peopl"/>
  </r>
  <r>
    <x v="6"/>
    <n v="13.6922"/>
    <n v="-89.183000000000007"/>
    <n v="4"/>
    <n v="0"/>
    <n v="0"/>
    <n v="107"/>
    <s v="_x0000_peopl"/>
  </r>
  <r>
    <x v="6"/>
    <n v="13.691599999999999"/>
    <n v="-89.220699999999994"/>
    <n v="2"/>
    <n v="0"/>
    <n v="0"/>
    <n v="107"/>
    <s v="_x0000_peopl"/>
  </r>
  <r>
    <x v="6"/>
    <n v="13.6869"/>
    <n v="-89.182400000000001"/>
    <n v="2"/>
    <n v="0"/>
    <n v="0"/>
    <n v="107"/>
    <s v="_x0000_peopl"/>
  </r>
  <r>
    <x v="6"/>
    <n v="13.6896"/>
    <n v="-89.194000000000003"/>
    <n v="3"/>
    <n v="0"/>
    <n v="0"/>
    <n v="107"/>
    <s v="_x0000_peopl"/>
  </r>
  <r>
    <x v="6"/>
    <n v="13.6921"/>
    <n v="-89.225099999999998"/>
    <n v="10"/>
    <n v="0"/>
    <n v="0"/>
    <n v="107"/>
    <s v="_x0000_peopl"/>
  </r>
  <r>
    <x v="6"/>
    <n v="13.6851"/>
    <n v="-89.216899999999995"/>
    <n v="3"/>
    <n v="0"/>
    <n v="0"/>
    <n v="107"/>
    <s v="_x0000_peopl"/>
  </r>
  <r>
    <x v="6"/>
    <n v="13.695499999999999"/>
    <n v="-89.171999999999997"/>
    <n v="7"/>
    <n v="0"/>
    <n v="0"/>
    <n v="107"/>
    <s v="_x0000_peopl"/>
  </r>
  <r>
    <x v="6"/>
    <n v="13.6958"/>
    <n v="-89.166700000000006"/>
    <n v="2"/>
    <n v="0"/>
    <n v="0"/>
    <n v="107"/>
    <s v="_x0000_peopl"/>
  </r>
  <r>
    <x v="6"/>
    <n v="13.6934"/>
    <n v="-89.188800000000001"/>
    <n v="7"/>
    <n v="0"/>
    <n v="0"/>
    <n v="107"/>
    <s v="_x0000_peopl"/>
  </r>
  <r>
    <x v="6"/>
    <n v="13.6929"/>
    <n v="-89.174099999999996"/>
    <n v="5"/>
    <n v="0"/>
    <n v="0"/>
    <n v="107"/>
    <s v="_x0000_peopl"/>
  </r>
  <r>
    <x v="6"/>
    <n v="13.6892"/>
    <n v="-89.235699999999994"/>
    <n v="2"/>
    <n v="0"/>
    <n v="0"/>
    <n v="107"/>
    <s v="_x0000_peopl"/>
  </r>
  <r>
    <x v="6"/>
    <n v="13.6876"/>
    <n v="-89.215999999999994"/>
    <n v="1"/>
    <n v="0"/>
    <n v="0"/>
    <n v="107"/>
    <s v="_x0000_peopl"/>
  </r>
  <r>
    <x v="6"/>
    <n v="13.6958"/>
    <n v="-89.172700000000006"/>
    <n v="12"/>
    <n v="0"/>
    <n v="0"/>
    <n v="107"/>
    <s v="_x0000_peopl"/>
  </r>
  <r>
    <x v="6"/>
    <n v="13.6921"/>
    <n v="-89.196799999999996"/>
    <n v="6"/>
    <n v="0"/>
    <n v="0"/>
    <n v="107"/>
    <s v="_x0000_peopl"/>
  </r>
  <r>
    <x v="6"/>
    <n v="13.6799"/>
    <n v="-89.196200000000005"/>
    <n v="4"/>
    <n v="0"/>
    <n v="0"/>
    <n v="107"/>
    <s v="_x0000_peopl"/>
  </r>
  <r>
    <x v="6"/>
    <n v="13.690799999999999"/>
    <n v="-89.231800000000007"/>
    <n v="1"/>
    <n v="0"/>
    <n v="0"/>
    <n v="107"/>
    <s v="_x0000_peopl"/>
  </r>
  <r>
    <x v="6"/>
    <n v="13.691000000000001"/>
    <n v="-89.231099999999998"/>
    <n v="9"/>
    <n v="0"/>
    <n v="0"/>
    <n v="107"/>
    <s v="_x0000_peopl"/>
  </r>
  <r>
    <x v="6"/>
    <n v="13.6935"/>
    <n v="-89.176400000000001"/>
    <n v="2"/>
    <n v="0"/>
    <n v="0"/>
    <n v="107"/>
    <s v="_x0000_peopl"/>
  </r>
  <r>
    <x v="6"/>
    <n v="13.6921"/>
    <n v="-89.184200000000004"/>
    <n v="6"/>
    <n v="0"/>
    <n v="0"/>
    <n v="107"/>
    <s v="_x0000_peopl"/>
  </r>
  <r>
    <x v="6"/>
    <n v="13.6905"/>
    <n v="-89.193299999999994"/>
    <n v="1"/>
    <n v="0"/>
    <n v="0"/>
    <n v="107"/>
    <s v="_x0000_peopl"/>
  </r>
  <r>
    <x v="6"/>
    <n v="13.691599999999999"/>
    <n v="-89.226699999999994"/>
    <n v="7"/>
    <n v="0"/>
    <n v="0"/>
    <n v="107"/>
    <s v="_x0000_peopl"/>
  </r>
  <r>
    <x v="6"/>
    <n v="13.673999999999999"/>
    <n v="-89.202799999999996"/>
    <n v="7"/>
    <n v="0"/>
    <n v="0"/>
    <n v="107"/>
    <s v="_x0000_peopl"/>
  </r>
  <r>
    <x v="6"/>
    <n v="13.679600000000001"/>
    <n v="-89.196799999999996"/>
    <n v="11"/>
    <n v="0"/>
    <n v="0"/>
    <n v="107"/>
    <s v="_x0000_peopl"/>
  </r>
  <r>
    <x v="6"/>
    <n v="13.686999999999999"/>
    <n v="-89.197800000000001"/>
    <n v="6"/>
    <n v="0"/>
    <n v="0"/>
    <n v="107"/>
    <s v="_x0000_peopl"/>
  </r>
  <r>
    <x v="6"/>
    <n v="13.689500000000001"/>
    <n v="-89.179000000000002"/>
    <n v="3"/>
    <n v="0"/>
    <n v="0"/>
    <n v="107"/>
    <s v="_x0000_peopl"/>
  </r>
  <r>
    <x v="6"/>
    <n v="13.691599999999999"/>
    <n v="-89.183000000000007"/>
    <n v="7"/>
    <n v="0"/>
    <n v="0"/>
    <n v="107"/>
    <s v="_x0000_peopl"/>
  </r>
  <r>
    <x v="6"/>
    <n v="13.6896"/>
    <n v="-89.235600000000005"/>
    <n v="5"/>
    <n v="0"/>
    <n v="0"/>
    <n v="107"/>
    <s v="_x0000_peopl"/>
  </r>
  <r>
    <x v="6"/>
    <n v="13.6913"/>
    <n v="-89.219700000000003"/>
    <n v="4"/>
    <n v="0"/>
    <n v="0"/>
    <n v="107"/>
    <s v="_x0000_peopl"/>
  </r>
  <r>
    <x v="6"/>
    <n v="13.6953"/>
    <n v="-89.1738"/>
    <n v="1"/>
    <n v="0"/>
    <n v="0"/>
    <n v="107"/>
    <s v="_x0000_peopl"/>
  </r>
  <r>
    <x v="6"/>
    <n v="13.6892"/>
    <n v="-89.185199999999995"/>
    <n v="7"/>
    <n v="0"/>
    <n v="0"/>
    <n v="107"/>
    <s v="_x0000_peopl"/>
  </r>
  <r>
    <x v="6"/>
    <n v="13.692600000000001"/>
    <n v="-89.223399999999998"/>
    <n v="4"/>
    <n v="0"/>
    <n v="0"/>
    <n v="107"/>
    <s v="_x0000_peopl"/>
  </r>
  <r>
    <x v="6"/>
    <n v="13.690099999999999"/>
    <n v="-89.197900000000004"/>
    <n v="6"/>
    <n v="0"/>
    <n v="0"/>
    <n v="107"/>
    <s v="_x0000_peopl"/>
  </r>
  <r>
    <x v="6"/>
    <n v="13.6877"/>
    <n v="-89.181399999999996"/>
    <n v="4"/>
    <n v="0"/>
    <n v="0"/>
    <n v="107"/>
    <s v="_x0000_peopl"/>
  </r>
  <r>
    <x v="6"/>
    <n v="13.687200000000001"/>
    <n v="-89.197400000000002"/>
    <n v="6"/>
    <n v="0"/>
    <n v="0"/>
    <n v="107"/>
    <s v="_x0000_peopl"/>
  </r>
  <r>
    <x v="6"/>
    <n v="13.6907"/>
    <n v="-89.232200000000006"/>
    <n v="4"/>
    <n v="0"/>
    <n v="0"/>
    <n v="107"/>
    <s v="_x0000_peopl"/>
  </r>
  <r>
    <x v="6"/>
    <n v="13.6935"/>
    <n v="-89.176599999999993"/>
    <n v="6"/>
    <n v="0"/>
    <n v="0"/>
    <n v="107"/>
    <s v="_x0000_peopl"/>
  </r>
  <r>
    <x v="6"/>
    <n v="13.6973"/>
    <n v="-89.171400000000006"/>
    <n v="7"/>
    <n v="0"/>
    <n v="0"/>
    <n v="107"/>
    <s v="_x0000_peopl"/>
  </r>
  <r>
    <x v="6"/>
    <n v="13.693199999999999"/>
    <n v="-89.188400000000001"/>
    <n v="3"/>
    <n v="0"/>
    <n v="0"/>
    <n v="107"/>
    <s v="_x0000_peopl"/>
  </r>
  <r>
    <x v="6"/>
    <n v="13.6943"/>
    <n v="-89.185400000000001"/>
    <n v="2"/>
    <n v="0"/>
    <n v="0"/>
    <n v="107"/>
    <s v="_x0000_peopl"/>
  </r>
  <r>
    <x v="6"/>
    <n v="13.6899"/>
    <n v="-89.188500000000005"/>
    <n v="5"/>
    <n v="0"/>
    <n v="0"/>
    <n v="107"/>
    <s v="_x0000_peopl"/>
  </r>
  <r>
    <x v="6"/>
    <n v="13.674099999999999"/>
    <n v="-89.202699999999993"/>
    <n v="5"/>
    <n v="0"/>
    <n v="0"/>
    <n v="107"/>
    <s v="_x0000_peopl"/>
  </r>
  <r>
    <x v="6"/>
    <n v="13.696099999999999"/>
    <n v="-89.172499999999999"/>
    <n v="4"/>
    <n v="0"/>
    <n v="0"/>
    <n v="107"/>
    <s v="_x0000_peopl"/>
  </r>
  <r>
    <x v="6"/>
    <n v="13.6912"/>
    <n v="-89.177199999999999"/>
    <n v="4"/>
    <n v="0"/>
    <n v="0"/>
    <n v="107"/>
    <s v="_x0000_peopl"/>
  </r>
  <r>
    <x v="6"/>
    <n v="13.6907"/>
    <n v="-89.233599999999996"/>
    <n v="6"/>
    <n v="0"/>
    <n v="0"/>
    <n v="107"/>
    <s v="_x0000_peopl"/>
  </r>
  <r>
    <x v="6"/>
    <n v="13.685499999999999"/>
    <n v="-89.193399999999997"/>
    <n v="6"/>
    <n v="0"/>
    <n v="0"/>
    <n v="107"/>
    <s v="_x0000_peopl"/>
  </r>
  <r>
    <x v="6"/>
    <n v="13.6873"/>
    <n v="-89.213899999999995"/>
    <n v="2"/>
    <n v="0"/>
    <n v="0"/>
    <n v="107"/>
    <s v="_x0000_peopl"/>
  </r>
  <r>
    <x v="6"/>
    <n v="13.6874"/>
    <n v="-89.194299999999998"/>
    <n v="9"/>
    <n v="0"/>
    <n v="0"/>
    <n v="107"/>
    <s v="_x0000_peopl"/>
  </r>
  <r>
    <x v="6"/>
    <n v="13.6914"/>
    <n v="-89.180099999999996"/>
    <n v="8"/>
    <n v="0"/>
    <n v="0"/>
    <n v="107"/>
    <s v="_x0000_peopl"/>
  </r>
  <r>
    <x v="6"/>
    <n v="13.687900000000001"/>
    <n v="-89.205100000000002"/>
    <n v="5"/>
    <n v="0"/>
    <n v="0"/>
    <n v="107"/>
    <s v="_x0000_peopl"/>
  </r>
  <r>
    <x v="6"/>
    <n v="13.6943"/>
    <n v="-89.185500000000005"/>
    <n v="4"/>
    <n v="0"/>
    <n v="0"/>
    <n v="107"/>
    <s v="_x0000_peopl"/>
  </r>
  <r>
    <x v="6"/>
    <n v="13.690200000000001"/>
    <n v="-89.1798"/>
    <n v="7"/>
    <n v="0"/>
    <n v="0"/>
    <n v="107"/>
    <s v="_x0000_peopl"/>
  </r>
  <r>
    <x v="6"/>
    <n v="13.6959"/>
    <n v="-89.165800000000004"/>
    <n v="3"/>
    <n v="0"/>
    <n v="0"/>
    <n v="107"/>
    <s v="_x0000_peopl"/>
  </r>
  <r>
    <x v="6"/>
    <n v="13.691700000000001"/>
    <n v="-89.226699999999994"/>
    <n v="7"/>
    <n v="0"/>
    <n v="0"/>
    <n v="107"/>
    <s v="_x0000_peopl"/>
  </r>
  <r>
    <x v="6"/>
    <n v="13.689299999999999"/>
    <n v="-89.235900000000001"/>
    <n v="6"/>
    <n v="0"/>
    <n v="0"/>
    <n v="107"/>
    <s v="_x0000_peopl"/>
  </r>
  <r>
    <x v="6"/>
    <n v="13.6927"/>
    <n v="-89.189700000000002"/>
    <n v="3"/>
    <n v="0"/>
    <n v="0"/>
    <n v="107"/>
    <s v="_x0000_peopl"/>
  </r>
  <r>
    <x v="6"/>
    <n v="13.692"/>
    <n v="-89.223799999999997"/>
    <n v="6"/>
    <n v="0"/>
    <n v="0"/>
    <n v="107"/>
    <s v="_x0000_peopl"/>
  </r>
  <r>
    <x v="6"/>
    <n v="13.6919"/>
    <n v="-89.226900000000001"/>
    <n v="6"/>
    <n v="0"/>
    <n v="0"/>
    <n v="107"/>
    <s v="_x0000_peopl"/>
  </r>
  <r>
    <x v="6"/>
    <n v="13.6922"/>
    <n v="-89.222499999999997"/>
    <n v="4"/>
    <n v="0"/>
    <n v="0"/>
    <n v="107"/>
    <s v="_x0000_peopl"/>
  </r>
  <r>
    <x v="6"/>
    <n v="13.6967"/>
    <n v="-89.171800000000005"/>
    <n v="4"/>
    <n v="0"/>
    <n v="0"/>
    <n v="107"/>
    <s v="_x0000_peopl"/>
  </r>
  <r>
    <x v="6"/>
    <n v="13.690200000000001"/>
    <n v="-89.234499999999997"/>
    <n v="4"/>
    <n v="0"/>
    <n v="0"/>
    <n v="107"/>
    <s v="_x0000_peopl"/>
  </r>
  <r>
    <x v="6"/>
    <n v="13.6736"/>
    <n v="-89.203000000000003"/>
    <n v="5"/>
    <n v="0"/>
    <n v="0"/>
    <n v="107"/>
    <s v="_x0000_peopl"/>
  </r>
  <r>
    <x v="6"/>
    <n v="13.6767"/>
    <n v="-89.199799999999996"/>
    <n v="8"/>
    <n v="0"/>
    <n v="0"/>
    <n v="107"/>
    <s v="_x0000_peopl"/>
  </r>
  <r>
    <x v="6"/>
    <n v="13.6937"/>
    <n v="-89.173199999999994"/>
    <n v="7"/>
    <n v="0"/>
    <n v="0"/>
    <n v="107"/>
    <s v="_x0000_peopl"/>
  </r>
  <r>
    <x v="6"/>
    <n v="13.6859"/>
    <n v="-89.214399999999998"/>
    <n v="9"/>
    <n v="0"/>
    <n v="0"/>
    <n v="107"/>
    <s v="_x0000_peopl"/>
  </r>
  <r>
    <x v="6"/>
    <n v="13.6905"/>
    <n v="-89.2346"/>
    <n v="2"/>
    <n v="0"/>
    <n v="0"/>
    <n v="107"/>
    <s v="_x0000_peopl"/>
  </r>
  <r>
    <x v="6"/>
    <n v="13.6854"/>
    <n v="-89.194100000000006"/>
    <n v="4"/>
    <n v="0"/>
    <n v="0"/>
    <n v="107"/>
    <s v="_x0000_peopl"/>
  </r>
  <r>
    <x v="6"/>
    <n v="13.6899"/>
    <n v="-89.183400000000006"/>
    <n v="11"/>
    <n v="0"/>
    <n v="0"/>
    <n v="107"/>
    <s v="_x0000_peopl"/>
  </r>
  <r>
    <x v="6"/>
    <n v="13.694599999999999"/>
    <n v="-89.182500000000005"/>
    <n v="7"/>
    <n v="0"/>
    <n v="0"/>
    <n v="107"/>
    <s v="_x0000_peopl"/>
  </r>
  <r>
    <x v="6"/>
    <n v="13.690899999999999"/>
    <n v="-89.232500000000002"/>
    <n v="3"/>
    <n v="0"/>
    <n v="0"/>
    <n v="107"/>
    <s v="_x0000_peopl"/>
  </r>
  <r>
    <x v="6"/>
    <n v="13.6921"/>
    <n v="-89.227000000000004"/>
    <n v="4"/>
    <n v="0"/>
    <n v="0"/>
    <n v="107"/>
    <s v="_x0000_peopl"/>
  </r>
  <r>
    <x v="6"/>
    <n v="13.6882"/>
    <n v="-89.204599999999999"/>
    <n v="9"/>
    <n v="0"/>
    <n v="0"/>
    <n v="107"/>
    <s v="_x0000_peopl"/>
  </r>
  <r>
    <x v="6"/>
    <n v="13.693"/>
    <n v="-89.183400000000006"/>
    <n v="5"/>
    <n v="0"/>
    <n v="0"/>
    <n v="107"/>
    <s v="_x0000_peopl"/>
  </r>
  <r>
    <x v="6"/>
    <n v="13.684699999999999"/>
    <n v="-89.216800000000006"/>
    <n v="7"/>
    <n v="0"/>
    <n v="0"/>
    <n v="107"/>
    <s v="_x0000_peopl"/>
  </r>
  <r>
    <x v="6"/>
    <n v="13.685499999999999"/>
    <n v="-89.201400000000007"/>
    <n v="3"/>
    <n v="0"/>
    <n v="0"/>
    <n v="107"/>
    <s v="_x0000_peopl"/>
  </r>
  <r>
    <x v="6"/>
    <n v="13.692399999999999"/>
    <n v="-89.175799999999995"/>
    <n v="3"/>
    <n v="0"/>
    <n v="0"/>
    <n v="107"/>
    <s v="_x0000_peopl"/>
  </r>
  <r>
    <x v="6"/>
    <n v="13.6912"/>
    <n v="-89.229500000000002"/>
    <n v="4"/>
    <n v="0"/>
    <n v="0"/>
    <n v="107"/>
    <s v="_x0000_peopl"/>
  </r>
  <r>
    <x v="6"/>
    <n v="13.690200000000001"/>
    <n v="-89.235900000000001"/>
    <n v="4"/>
    <n v="0"/>
    <n v="0"/>
    <n v="107"/>
    <s v="_x0000_peopl"/>
  </r>
  <r>
    <x v="6"/>
    <n v="13.692500000000001"/>
    <n v="-89.190299999999993"/>
    <n v="2"/>
    <n v="0"/>
    <n v="0"/>
    <n v="107"/>
    <s v="_x0000_peopl"/>
  </r>
  <r>
    <x v="6"/>
    <n v="13.691599999999999"/>
    <n v="-89.232600000000005"/>
    <n v="2"/>
    <n v="0"/>
    <n v="0"/>
    <n v="107"/>
    <s v="_x0000_peopl"/>
  </r>
  <r>
    <x v="6"/>
    <n v="13.6873"/>
    <n v="-89.191400000000002"/>
    <n v="4"/>
    <n v="0"/>
    <n v="0"/>
    <n v="107"/>
    <s v="_x0000_peopl"/>
  </r>
  <r>
    <x v="6"/>
    <n v="13.691800000000001"/>
    <n v="-89.187700000000007"/>
    <n v="2"/>
    <n v="0"/>
    <n v="0"/>
    <n v="107"/>
    <s v="_x0000_peopl"/>
  </r>
  <r>
    <x v="6"/>
    <n v="13.690300000000001"/>
    <n v="-89.181299999999993"/>
    <n v="2"/>
    <n v="0"/>
    <n v="0"/>
    <n v="107"/>
    <s v="_x0000_peopl"/>
  </r>
  <r>
    <x v="6"/>
    <n v="13.6944"/>
    <n v="-89.174899999999994"/>
    <n v="7"/>
    <n v="0"/>
    <n v="0"/>
    <n v="107"/>
    <s v="_x0000_peopl"/>
  </r>
  <r>
    <x v="6"/>
    <n v="13.687099999999999"/>
    <n v="-89.212999999999994"/>
    <n v="2"/>
    <n v="0"/>
    <n v="0"/>
    <n v="107"/>
    <s v="_x0000_peopl"/>
  </r>
  <r>
    <x v="6"/>
    <n v="13.677"/>
    <n v="-89.248400000000004"/>
    <n v="4"/>
    <n v="0"/>
    <n v="0"/>
    <n v="107"/>
    <s v="_x0000_peopl"/>
  </r>
  <r>
    <x v="6"/>
    <n v="13.6922"/>
    <n v="-89.179599999999994"/>
    <n v="4"/>
    <n v="0"/>
    <n v="0"/>
    <n v="107"/>
    <s v="_x0000_peopl"/>
  </r>
  <r>
    <x v="6"/>
    <n v="13.694800000000001"/>
    <n v="-89.175299999999993"/>
    <n v="7"/>
    <n v="0"/>
    <n v="0"/>
    <n v="107"/>
    <s v="_x0000_peopl"/>
  </r>
  <r>
    <x v="6"/>
    <n v="13.674899999999999"/>
    <n v="-89.1999"/>
    <n v="5"/>
    <n v="0"/>
    <n v="0"/>
    <n v="107"/>
    <s v="_x0000_peopl"/>
  </r>
  <r>
    <x v="6"/>
    <n v="13.6899"/>
    <n v="-89.1798"/>
    <n v="1"/>
    <n v="0"/>
    <n v="0"/>
    <n v="107"/>
    <s v="_x0000_peopl"/>
  </r>
  <r>
    <x v="6"/>
    <n v="13.6915"/>
    <n v="-89.178899999999999"/>
    <n v="3"/>
    <n v="0"/>
    <n v="0"/>
    <n v="107"/>
    <s v="_x0000_peopl"/>
  </r>
  <r>
    <x v="6"/>
    <n v="13.6883"/>
    <n v="-89.190299999999993"/>
    <n v="5"/>
    <n v="0"/>
    <n v="0"/>
    <n v="107"/>
    <s v="_x0000_peopl"/>
  </r>
  <r>
    <x v="6"/>
    <n v="13.6751"/>
    <n v="-89.252200000000002"/>
    <n v="8"/>
    <n v="0"/>
    <n v="0"/>
    <n v="107"/>
    <s v="_x0000_peopl"/>
  </r>
  <r>
    <x v="6"/>
    <n v="13.685499999999999"/>
    <n v="-89.2012"/>
    <n v="3"/>
    <n v="0"/>
    <n v="0"/>
    <n v="107"/>
    <s v="_x0000_peopl"/>
  </r>
  <r>
    <x v="6"/>
    <n v="13.689399999999999"/>
    <n v="-89.207599999999999"/>
    <n v="9"/>
    <n v="0"/>
    <n v="0"/>
    <n v="107"/>
    <s v="_x0000_peopl"/>
  </r>
  <r>
    <x v="6"/>
    <n v="13.6905"/>
    <n v="-89.235699999999994"/>
    <n v="4"/>
    <n v="0"/>
    <n v="0"/>
    <n v="107"/>
    <s v="_x0000_peopl"/>
  </r>
  <r>
    <x v="6"/>
    <n v="13.675000000000001"/>
    <n v="-89.251800000000003"/>
    <n v="6"/>
    <n v="0"/>
    <n v="0"/>
    <n v="107"/>
    <s v="_x0000_peopl"/>
  </r>
  <r>
    <x v="6"/>
    <n v="13.686199999999999"/>
    <n v="-89.215400000000002"/>
    <n v="7"/>
    <n v="0"/>
    <n v="0"/>
    <n v="107"/>
    <s v="_x0000_peopl"/>
  </r>
  <r>
    <x v="6"/>
    <n v="13.6869"/>
    <n v="-89.183899999999994"/>
    <n v="6"/>
    <n v="0"/>
    <n v="0"/>
    <n v="107"/>
    <s v="_x0000_peopl"/>
  </r>
  <r>
    <x v="6"/>
    <n v="13.6952"/>
    <n v="-89.183300000000003"/>
    <n v="2"/>
    <n v="0"/>
    <n v="0"/>
    <n v="107"/>
    <s v="_x0000_peopl"/>
  </r>
  <r>
    <x v="6"/>
    <n v="13.689500000000001"/>
    <n v="-89.197599999999994"/>
    <n v="5"/>
    <n v="0"/>
    <n v="0"/>
    <n v="107"/>
    <s v="_x0000_peopl"/>
  </r>
  <r>
    <x v="6"/>
    <n v="13.6906"/>
    <n v="-89.186099999999996"/>
    <n v="4"/>
    <n v="0"/>
    <n v="0"/>
    <n v="107"/>
    <s v="_x0000_peopl"/>
  </r>
  <r>
    <x v="6"/>
    <n v="13.6919"/>
    <n v="-89.178600000000003"/>
    <n v="8"/>
    <n v="0"/>
    <n v="0"/>
    <n v="107"/>
    <s v="_x0000_peopl"/>
  </r>
  <r>
    <x v="6"/>
    <n v="13.676500000000001"/>
    <n v="-89.199799999999996"/>
    <n v="5"/>
    <n v="0"/>
    <n v="0"/>
    <n v="107"/>
    <s v="_x0000_peopl"/>
  </r>
  <r>
    <x v="6"/>
    <n v="13.6914"/>
    <n v="-89.233699999999999"/>
    <n v="2"/>
    <n v="0"/>
    <n v="0"/>
    <n v="107"/>
    <s v="_x0000_peopl"/>
  </r>
  <r>
    <x v="6"/>
    <n v="13.6876"/>
    <n v="-89.215500000000006"/>
    <n v="5"/>
    <n v="0"/>
    <n v="0"/>
    <n v="107"/>
    <s v="_x0000_peopl"/>
  </r>
  <r>
    <x v="6"/>
    <n v="13.690899999999999"/>
    <n v="-89.233400000000003"/>
    <n v="9"/>
    <n v="0"/>
    <n v="0"/>
    <n v="107"/>
    <s v="_x0000_peopl"/>
  </r>
  <r>
    <x v="6"/>
    <n v="13.691599999999999"/>
    <n v="-89.188100000000006"/>
    <n v="7"/>
    <n v="0"/>
    <n v="0"/>
    <n v="107"/>
    <s v="_x0000_peopl"/>
  </r>
  <r>
    <x v="6"/>
    <n v="13.6876"/>
    <n v="-89.179599999999994"/>
    <n v="7"/>
    <n v="0"/>
    <n v="0"/>
    <n v="107"/>
    <s v="_x0000_peopl"/>
  </r>
  <r>
    <x v="6"/>
    <n v="13.6869"/>
    <n v="-89.216099999999997"/>
    <n v="5"/>
    <n v="0"/>
    <n v="0"/>
    <n v="107"/>
    <s v="_x0000_peopl"/>
  </r>
  <r>
    <x v="6"/>
    <n v="13.6937"/>
    <n v="-89.176599999999993"/>
    <n v="7"/>
    <n v="0"/>
    <n v="0"/>
    <n v="107"/>
    <s v="_x0000_peopl"/>
  </r>
  <r>
    <x v="6"/>
    <n v="13.6913"/>
    <n v="-89.183400000000006"/>
    <n v="7"/>
    <n v="0"/>
    <n v="0"/>
    <n v="107"/>
    <s v="_x0000_peopl"/>
  </r>
  <r>
    <x v="6"/>
    <n v="13.693199999999999"/>
    <n v="-89.19"/>
    <n v="7"/>
    <n v="0"/>
    <n v="0"/>
    <n v="107"/>
    <s v="_x0000_peopl"/>
  </r>
  <r>
    <x v="6"/>
    <n v="13.687200000000001"/>
    <n v="-89.213800000000006"/>
    <n v="6"/>
    <n v="0"/>
    <n v="0"/>
    <n v="107"/>
    <s v="_x0000_peopl"/>
  </r>
  <r>
    <x v="6"/>
    <n v="13.6898"/>
    <n v="-89.198099999999997"/>
    <n v="6"/>
    <n v="0"/>
    <n v="0"/>
    <n v="107"/>
    <s v="_x0000_peopl"/>
  </r>
  <r>
    <x v="6"/>
    <n v="13.6913"/>
    <n v="-89.189400000000006"/>
    <n v="7"/>
    <n v="0"/>
    <n v="0"/>
    <n v="107"/>
    <s v="_x0000_peopl"/>
  </r>
  <r>
    <x v="6"/>
    <n v="13.688700000000001"/>
    <n v="-89.229399999999998"/>
    <n v="6"/>
    <n v="0"/>
    <n v="0"/>
    <n v="107"/>
    <s v="_x0000_peopl"/>
  </r>
  <r>
    <x v="6"/>
    <n v="13.691700000000001"/>
    <n v="-89.227199999999996"/>
    <n v="3"/>
    <n v="0"/>
    <n v="0"/>
    <n v="107"/>
    <s v="_x0000_peopl"/>
  </r>
  <r>
    <x v="6"/>
    <n v="13.6958"/>
    <n v="-89.173599999999993"/>
    <n v="5"/>
    <n v="0"/>
    <n v="0"/>
    <n v="107"/>
    <s v="_x0000_peopl"/>
  </r>
  <r>
    <x v="6"/>
    <n v="13.6906"/>
    <n v="-89.234999999999999"/>
    <n v="2"/>
    <n v="0"/>
    <n v="0"/>
    <n v="107"/>
    <s v="_x0000_peopl"/>
  </r>
  <r>
    <x v="6"/>
    <n v="13.689399999999999"/>
    <n v="-89.180099999999996"/>
    <n v="3"/>
    <n v="0"/>
    <n v="0"/>
    <n v="107"/>
    <s v="_x0000_peopl"/>
  </r>
  <r>
    <x v="6"/>
    <n v="13.6938"/>
    <n v="-89.176000000000002"/>
    <n v="4"/>
    <n v="0"/>
    <n v="0"/>
    <n v="107"/>
    <s v="_x0000_peopl"/>
  </r>
  <r>
    <x v="6"/>
    <n v="13.6936"/>
    <n v="-89.188699999999997"/>
    <n v="5"/>
    <n v="0"/>
    <n v="0"/>
    <n v="107"/>
    <s v="_x0000_peopl"/>
  </r>
  <r>
    <x v="6"/>
    <n v="13.6889"/>
    <n v="-89.190399999999997"/>
    <n v="5"/>
    <n v="0"/>
    <n v="0"/>
    <n v="107"/>
    <s v="_x0000_peopl"/>
  </r>
  <r>
    <x v="6"/>
    <n v="13.692"/>
    <n v="-89.193299999999994"/>
    <n v="8"/>
    <n v="0"/>
    <n v="0"/>
    <n v="107"/>
    <s v="_x0000_peopl"/>
  </r>
  <r>
    <x v="6"/>
    <n v="13.6753"/>
    <n v="-89.2483"/>
    <n v="5"/>
    <n v="0"/>
    <n v="0"/>
    <n v="107"/>
    <s v="_x0000_peopl"/>
  </r>
  <r>
    <x v="6"/>
    <n v="13.6882"/>
    <n v="-89.217100000000002"/>
    <n v="7"/>
    <n v="0"/>
    <n v="0"/>
    <n v="107"/>
    <s v="_x0000_peopl"/>
  </r>
  <r>
    <x v="6"/>
    <n v="13.6915"/>
    <n v="-89.232799999999997"/>
    <n v="6"/>
    <n v="0"/>
    <n v="0"/>
    <n v="107"/>
    <s v="_x0000_peopl"/>
  </r>
  <r>
    <x v="6"/>
    <n v="13.6873"/>
    <n v="-89.194400000000002"/>
    <n v="3"/>
    <n v="0"/>
    <n v="0"/>
    <n v="107"/>
    <s v="_x0000_peopl"/>
  </r>
  <r>
    <x v="6"/>
    <n v="13.6897"/>
    <n v="-89.235600000000005"/>
    <n v="1"/>
    <n v="0"/>
    <n v="0"/>
    <n v="107"/>
    <s v="_x0000_peopl"/>
  </r>
  <r>
    <x v="6"/>
    <n v="13.6752"/>
    <n v="-89.252099999999999"/>
    <n v="10"/>
    <n v="0"/>
    <n v="0"/>
    <n v="107"/>
    <s v="_x0000_peopl"/>
  </r>
  <r>
    <x v="6"/>
    <n v="13.688499999999999"/>
    <n v="-89.198300000000003"/>
    <n v="4"/>
    <n v="0"/>
    <n v="0"/>
    <n v="107"/>
    <s v="_x0000_peopl"/>
  </r>
  <r>
    <x v="6"/>
    <n v="13.688599999999999"/>
    <n v="-89.189700000000002"/>
    <n v="7"/>
    <n v="0"/>
    <n v="0"/>
    <n v="107"/>
    <s v="_x0000_peopl"/>
  </r>
  <r>
    <x v="6"/>
    <n v="13.693099999999999"/>
    <n v="-89.177199999999999"/>
    <n v="5"/>
    <n v="0"/>
    <n v="0"/>
    <n v="107"/>
    <s v="_x0000_peopl"/>
  </r>
  <r>
    <x v="6"/>
    <n v="13.692500000000001"/>
    <n v="-89.196899999999999"/>
    <n v="6"/>
    <n v="0"/>
    <n v="0"/>
    <n v="107"/>
    <s v="_x0000_peopl"/>
  </r>
  <r>
    <x v="6"/>
    <n v="13.695499999999999"/>
    <n v="-89.173299999999998"/>
    <n v="4"/>
    <n v="0"/>
    <n v="0"/>
    <n v="107"/>
    <s v="_x0000_peopl"/>
  </r>
  <r>
    <x v="6"/>
    <n v="13.6943"/>
    <n v="-89.175299999999993"/>
    <n v="3"/>
    <n v="0"/>
    <n v="0"/>
    <n v="107"/>
    <s v="_x0000_peopl"/>
  </r>
  <r>
    <x v="6"/>
    <n v="13.6881"/>
    <n v="-89.182000000000002"/>
    <n v="3"/>
    <n v="0"/>
    <n v="0"/>
    <n v="107"/>
    <s v="_x0000_peopl"/>
  </r>
  <r>
    <x v="6"/>
    <n v="13.6753"/>
    <n v="-89.2"/>
    <n v="7"/>
    <n v="0"/>
    <n v="0"/>
    <n v="107"/>
    <s v="_x0000_peopl"/>
  </r>
  <r>
    <x v="6"/>
    <n v="13.6945"/>
    <n v="-89.189099999999996"/>
    <n v="3"/>
    <n v="0"/>
    <n v="0"/>
    <n v="107"/>
    <s v="_x0000_peopl"/>
  </r>
  <r>
    <x v="6"/>
    <n v="13.6799"/>
    <n v="-89.196299999999994"/>
    <n v="5"/>
    <n v="0"/>
    <n v="0"/>
    <n v="107"/>
    <s v="_x0000_peopl"/>
  </r>
  <r>
    <x v="6"/>
    <n v="13.6906"/>
    <n v="-89.188900000000004"/>
    <n v="9"/>
    <n v="0"/>
    <n v="0"/>
    <n v="107"/>
    <s v="_x0000_peopl"/>
  </r>
  <r>
    <x v="6"/>
    <n v="13.6883"/>
    <n v="-89.193799999999996"/>
    <n v="6"/>
    <n v="0"/>
    <n v="0"/>
    <n v="107"/>
    <s v="_x0000_peopl"/>
  </r>
  <r>
    <x v="6"/>
    <n v="13.692"/>
    <n v="-89.223600000000005"/>
    <n v="3"/>
    <n v="0"/>
    <n v="0"/>
    <n v="107"/>
    <s v="_x0000_peopl"/>
  </r>
  <r>
    <x v="6"/>
    <n v="13.6845"/>
    <n v="-89.217200000000005"/>
    <n v="4"/>
    <n v="0"/>
    <n v="0"/>
    <n v="107"/>
    <s v="_x0000_peopl"/>
  </r>
  <r>
    <x v="6"/>
    <n v="13.6745"/>
    <n v="-89.251099999999994"/>
    <n v="7"/>
    <n v="0"/>
    <n v="0"/>
    <n v="107"/>
    <s v="_x0000_peopl"/>
  </r>
  <r>
    <x v="6"/>
    <n v="13.6867"/>
    <n v="-89.202399999999997"/>
    <n v="4"/>
    <n v="0"/>
    <n v="0"/>
    <n v="107"/>
    <s v="_x0000_peopl"/>
  </r>
  <r>
    <x v="6"/>
    <n v="13.687200000000001"/>
    <n v="-89.197699999999998"/>
    <n v="9"/>
    <n v="0"/>
    <n v="0"/>
    <n v="107"/>
    <s v="_x0000_peopl"/>
  </r>
  <r>
    <x v="6"/>
    <n v="13.6891"/>
    <n v="-89.206599999999995"/>
    <n v="3"/>
    <n v="0"/>
    <n v="0"/>
    <n v="107"/>
    <s v="_x0000_peopl"/>
  </r>
  <r>
    <x v="6"/>
    <n v="13.687099999999999"/>
    <n v="-89.216700000000003"/>
    <n v="4"/>
    <n v="0"/>
    <n v="0"/>
    <n v="107"/>
    <s v="_x0000_peopl"/>
  </r>
  <r>
    <x v="6"/>
    <n v="13.6746"/>
    <n v="-89.252099999999999"/>
    <n v="6"/>
    <n v="0"/>
    <n v="0"/>
    <n v="107"/>
    <s v="_x0000_peopl"/>
  </r>
  <r>
    <x v="6"/>
    <n v="13.6913"/>
    <n v="-89.219800000000006"/>
    <n v="3"/>
    <n v="0"/>
    <n v="0"/>
    <n v="107"/>
    <s v="_x0000_peopl"/>
  </r>
  <r>
    <x v="6"/>
    <n v="13.6919"/>
    <n v="-89.226399999999998"/>
    <n v="5"/>
    <n v="0"/>
    <n v="0"/>
    <n v="107"/>
    <s v="_x0000_peopl"/>
  </r>
  <r>
    <x v="6"/>
    <n v="13.6922"/>
    <n v="-89.183199999999999"/>
    <n v="3"/>
    <n v="0"/>
    <n v="0"/>
    <n v="107"/>
    <s v="_x0000_peopl"/>
  </r>
  <r>
    <x v="6"/>
    <n v="13.6883"/>
    <n v="-89.1905"/>
    <n v="7"/>
    <n v="0"/>
    <n v="0"/>
    <n v="107"/>
    <s v="_x0000_peopl"/>
  </r>
  <r>
    <x v="6"/>
    <n v="13.6899"/>
    <n v="-89.235100000000003"/>
    <n v="4"/>
    <n v="0"/>
    <n v="0"/>
    <n v="107"/>
    <s v="_x0000_peopl"/>
  </r>
  <r>
    <x v="6"/>
    <n v="13.691599999999999"/>
    <n v="-89.186400000000006"/>
    <n v="5"/>
    <n v="0"/>
    <n v="0"/>
    <n v="107"/>
    <s v="_x0000_peopl"/>
  </r>
  <r>
    <x v="6"/>
    <n v="13.6858"/>
    <n v="-89.213099999999997"/>
    <n v="3"/>
    <n v="0"/>
    <n v="0"/>
    <n v="107"/>
    <s v="_x0000_peopl"/>
  </r>
  <r>
    <x v="6"/>
    <n v="13.677199999999999"/>
    <n v="-89.248000000000005"/>
    <n v="6"/>
    <n v="0"/>
    <n v="0"/>
    <n v="107"/>
    <s v="_x0000_peopl"/>
  </r>
  <r>
    <x v="6"/>
    <n v="13.6899"/>
    <n v="-89.186800000000005"/>
    <n v="8"/>
    <n v="0"/>
    <n v="0"/>
    <n v="107"/>
    <s v="_x0000_peopl"/>
  </r>
  <r>
    <x v="6"/>
    <n v="13.6915"/>
    <n v="-89.189400000000006"/>
    <n v="10"/>
    <n v="0"/>
    <n v="0"/>
    <n v="107"/>
    <s v="_x0000_peopl"/>
  </r>
  <r>
    <x v="6"/>
    <n v="13.692399999999999"/>
    <n v="-89.196799999999996"/>
    <n v="5"/>
    <n v="0"/>
    <n v="0"/>
    <n v="107"/>
    <s v="_x0000_peopl"/>
  </r>
  <r>
    <x v="6"/>
    <n v="13.6922"/>
    <n v="-89.184100000000001"/>
    <n v="4"/>
    <n v="0"/>
    <n v="0"/>
    <n v="107"/>
    <s v="_x0000_peopl"/>
  </r>
  <r>
    <x v="6"/>
    <n v="13.6873"/>
    <n v="-89.197199999999995"/>
    <n v="6"/>
    <n v="0"/>
    <n v="0"/>
    <n v="107"/>
    <s v="_x0000_peopl"/>
  </r>
  <r>
    <x v="6"/>
    <n v="13.6877"/>
    <n v="-89.194599999999994"/>
    <n v="4"/>
    <n v="0"/>
    <n v="0"/>
    <n v="107"/>
    <s v="_x0000_peopl"/>
  </r>
  <r>
    <x v="6"/>
    <n v="13.696"/>
    <n v="-89.173000000000002"/>
    <n v="5"/>
    <n v="0"/>
    <n v="0"/>
    <n v="107"/>
    <s v="_x0000_peopl"/>
  </r>
  <r>
    <x v="6"/>
    <n v="13.6951"/>
    <n v="-89.172200000000004"/>
    <n v="3"/>
    <n v="0"/>
    <n v="0"/>
    <n v="107"/>
    <s v="_x0000_peopl"/>
  </r>
  <r>
    <x v="6"/>
    <n v="13.6911"/>
    <n v="-89.183099999999996"/>
    <n v="4"/>
    <n v="0"/>
    <n v="0"/>
    <n v="107"/>
    <s v="_x0000_peopl"/>
  </r>
  <r>
    <x v="6"/>
    <n v="13.692299999999999"/>
    <n v="-89.222800000000007"/>
    <n v="4"/>
    <n v="0"/>
    <n v="0"/>
    <n v="107"/>
    <s v="_x0000_peopl"/>
  </r>
  <r>
    <x v="6"/>
    <n v="13.691000000000001"/>
    <n v="-89.229100000000003"/>
    <n v="4"/>
    <n v="0"/>
    <n v="0"/>
    <n v="107"/>
    <s v="_x0000_peopl"/>
  </r>
  <r>
    <x v="6"/>
    <n v="13.6915"/>
    <n v="-89.225700000000003"/>
    <n v="3"/>
    <n v="0"/>
    <n v="0"/>
    <n v="107"/>
    <s v="_x0000_peopl"/>
  </r>
  <r>
    <x v="6"/>
    <n v="13.6965"/>
    <n v="-89.171800000000005"/>
    <n v="4"/>
    <n v="0"/>
    <n v="0"/>
    <n v="107"/>
    <s v="_x0000_peopl"/>
  </r>
  <r>
    <x v="6"/>
    <n v="13.691700000000001"/>
    <n v="-89.232500000000002"/>
    <n v="1"/>
    <n v="0"/>
    <n v="0"/>
    <n v="107"/>
    <s v="_x0000_peopl"/>
  </r>
  <r>
    <x v="6"/>
    <n v="13.6915"/>
    <n v="-89.233599999999996"/>
    <n v="7"/>
    <n v="0"/>
    <n v="0"/>
    <n v="107"/>
    <s v="_x0000_peopl"/>
  </r>
  <r>
    <x v="6"/>
    <n v="13.6868"/>
    <n v="-89.194299999999998"/>
    <n v="3"/>
    <n v="0"/>
    <n v="0"/>
    <n v="107"/>
    <s v="_x0000_peopl"/>
  </r>
  <r>
    <x v="6"/>
    <n v="13.674200000000001"/>
    <n v="-89.252499999999998"/>
    <n v="2"/>
    <n v="0"/>
    <n v="0"/>
    <n v="107"/>
    <s v="_x0000_peopl"/>
  </r>
  <r>
    <x v="6"/>
    <n v="13.6899"/>
    <n v="-89.2286"/>
    <n v="5"/>
    <n v="0"/>
    <n v="0"/>
    <n v="107"/>
    <s v="_x0000_peopl"/>
  </r>
  <r>
    <x v="6"/>
    <n v="13.686299999999999"/>
    <n v="-89.193299999999994"/>
    <n v="4"/>
    <n v="0"/>
    <n v="0"/>
    <n v="107"/>
    <s v="_x0000_peopl"/>
  </r>
  <r>
    <x v="6"/>
    <n v="13.6799"/>
    <n v="-89.196299999999994"/>
    <n v="8"/>
    <n v="0"/>
    <n v="0"/>
    <n v="107"/>
    <s v="_x0000_peopl"/>
  </r>
  <r>
    <x v="6"/>
    <n v="13.694000000000001"/>
    <n v="-89.186300000000003"/>
    <n v="6"/>
    <n v="0"/>
    <n v="0"/>
    <n v="107"/>
    <s v="_x0000_peopl"/>
  </r>
  <r>
    <x v="6"/>
    <n v="13.69"/>
    <n v="-89.228499999999997"/>
    <n v="2"/>
    <n v="0"/>
    <n v="0"/>
    <n v="107"/>
    <s v="_x0000_peopl"/>
  </r>
  <r>
    <x v="6"/>
    <n v="13.696999999999999"/>
    <n v="-89.171499999999995"/>
    <n v="6"/>
    <n v="0"/>
    <n v="0"/>
    <n v="107"/>
    <s v="_x0000_peopl"/>
  </r>
  <r>
    <x v="6"/>
    <n v="13.6869"/>
    <n v="-89.214699999999993"/>
    <n v="7"/>
    <n v="0"/>
    <n v="0"/>
    <n v="107"/>
    <s v="_x0000_peopl"/>
  </r>
  <r>
    <x v="6"/>
    <n v="13.6935"/>
    <n v="-89.188699999999997"/>
    <n v="4"/>
    <n v="0"/>
    <n v="0"/>
    <n v="107"/>
    <s v="_x0000_peopl"/>
  </r>
  <r>
    <x v="6"/>
    <n v="13.684799999999999"/>
    <n v="-89.216200000000001"/>
    <n v="4"/>
    <n v="0"/>
    <n v="0"/>
    <n v="107"/>
    <s v="_x0000_peopl"/>
  </r>
  <r>
    <x v="6"/>
    <n v="13.6852"/>
    <n v="-89.201700000000002"/>
    <n v="2"/>
    <n v="0"/>
    <n v="0"/>
    <n v="107"/>
    <s v="_x0000_peopl"/>
  </r>
  <r>
    <x v="6"/>
    <n v="13.6911"/>
    <n v="-89.234300000000005"/>
    <n v="7"/>
    <n v="0"/>
    <n v="0"/>
    <n v="107"/>
    <s v="_x0000_peopl"/>
  </r>
  <r>
    <x v="6"/>
    <n v="13.680199999999999"/>
    <n v="-89.196600000000004"/>
    <n v="6"/>
    <n v="0"/>
    <n v="0"/>
    <n v="107"/>
    <s v="_x0000_peopl"/>
  </r>
  <r>
    <x v="6"/>
    <n v="13.6861"/>
    <n v="-89.198400000000007"/>
    <n v="4"/>
    <n v="0"/>
    <n v="0"/>
    <n v="107"/>
    <s v="_x0000_peopl"/>
  </r>
  <r>
    <x v="6"/>
    <n v="13.6884"/>
    <n v="-89.190600000000003"/>
    <n v="4"/>
    <n v="0"/>
    <n v="0"/>
    <n v="107"/>
    <s v="_x0000_peopl"/>
  </r>
  <r>
    <x v="6"/>
    <n v="13.690200000000001"/>
    <n v="-89.18"/>
    <n v="4"/>
    <n v="0"/>
    <n v="0"/>
    <n v="107"/>
    <s v="_x0000_peopl"/>
  </r>
  <r>
    <x v="6"/>
    <n v="13.6892"/>
    <n v="-89.183899999999994"/>
    <n v="0"/>
    <n v="0"/>
    <n v="0"/>
    <n v="107"/>
    <s v="_x0000_peopl"/>
  </r>
  <r>
    <x v="6"/>
    <n v="13.6912"/>
    <n v="-89.232699999999994"/>
    <n v="5"/>
    <n v="0"/>
    <n v="0"/>
    <n v="107"/>
    <s v="_x0000_peopl"/>
  </r>
  <r>
    <x v="6"/>
    <n v="13.6753"/>
    <n v="-89.2"/>
    <n v="6"/>
    <n v="0"/>
    <n v="0"/>
    <n v="107"/>
    <s v="_x0000_peopl"/>
  </r>
  <r>
    <x v="6"/>
    <n v="13.6882"/>
    <n v="-89.216899999999995"/>
    <n v="5"/>
    <n v="0"/>
    <n v="0"/>
    <n v="107"/>
    <s v="_x0000_peopl"/>
  </r>
  <r>
    <x v="6"/>
    <n v="13.6921"/>
    <n v="-89.193700000000007"/>
    <n v="5"/>
    <n v="0"/>
    <n v="0"/>
    <n v="107"/>
    <s v="_x0000_peopl"/>
  </r>
  <r>
    <x v="6"/>
    <n v="13.692"/>
    <n v="-89.223500000000001"/>
    <n v="12"/>
    <n v="0"/>
    <n v="0"/>
    <n v="107"/>
    <s v="_x0000_peopl"/>
  </r>
  <r>
    <x v="6"/>
    <n v="13.6927"/>
    <n v="-89.224999999999994"/>
    <n v="2"/>
    <n v="0"/>
    <n v="0"/>
    <n v="107"/>
    <s v="_x0000_peopl"/>
  </r>
  <r>
    <x v="6"/>
    <n v="13.6853"/>
    <n v="-89.213800000000006"/>
    <n v="3"/>
    <n v="0"/>
    <n v="0"/>
    <n v="107"/>
    <s v="_x0000_peopl"/>
  </r>
  <r>
    <x v="6"/>
    <n v="13.6896"/>
    <n v="-89.228999999999999"/>
    <n v="3"/>
    <n v="0"/>
    <n v="0"/>
    <n v="107"/>
    <s v="_x0000_peopl"/>
  </r>
  <r>
    <x v="6"/>
    <n v="13.689299999999999"/>
    <n v="-89.207400000000007"/>
    <n v="5"/>
    <n v="0"/>
    <n v="0"/>
    <n v="107"/>
    <s v="_x0000_peopl"/>
  </r>
  <r>
    <x v="6"/>
    <n v="13.6944"/>
    <n v="-89.188999999999993"/>
    <n v="3"/>
    <n v="0"/>
    <n v="0"/>
    <n v="107"/>
    <s v="_x0000_peopl"/>
  </r>
  <r>
    <x v="6"/>
    <n v="13.6866"/>
    <n v="-89.216300000000004"/>
    <n v="8"/>
    <n v="0"/>
    <n v="0"/>
    <n v="107"/>
    <s v="_x0000_peopl"/>
  </r>
  <r>
    <x v="6"/>
    <n v="13.6858"/>
    <n v="-89.202500000000001"/>
    <n v="7"/>
    <n v="0"/>
    <n v="0"/>
    <n v="107"/>
    <s v="_x0000_peopl"/>
  </r>
  <r>
    <x v="6"/>
    <n v="13.6891"/>
    <n v="-89.184299999999993"/>
    <n v="4"/>
    <n v="0"/>
    <n v="0"/>
    <n v="107"/>
    <s v="_x0000_peopl"/>
  </r>
  <r>
    <x v="6"/>
    <n v="13.692"/>
    <n v="-89.186000000000007"/>
    <n v="2"/>
    <n v="0"/>
    <n v="0"/>
    <n v="107"/>
    <s v="_x0000_peopl"/>
  </r>
  <r>
    <x v="6"/>
    <n v="13.6874"/>
    <n v="-89.197199999999995"/>
    <n v="5"/>
    <n v="0"/>
    <n v="0"/>
    <n v="107"/>
    <s v="_x0000_peopl"/>
  </r>
  <r>
    <x v="6"/>
    <n v="13.693199999999999"/>
    <n v="-89.177499999999995"/>
    <n v="4"/>
    <n v="0"/>
    <n v="0"/>
    <n v="107"/>
    <s v="_x0000_peopl"/>
  </r>
  <r>
    <x v="6"/>
    <n v="13.6744"/>
    <n v="-89.198999999999998"/>
    <n v="4"/>
    <n v="0"/>
    <n v="0"/>
    <n v="107"/>
    <s v="_x0000_peopl"/>
  </r>
  <r>
    <x v="6"/>
    <n v="13.6914"/>
    <n v="-89.234300000000005"/>
    <n v="6"/>
    <n v="0"/>
    <n v="0"/>
    <n v="107"/>
    <s v="_x0000_peopl"/>
  </r>
  <r>
    <x v="6"/>
    <n v="13.6934"/>
    <n v="-89.173000000000002"/>
    <n v="6"/>
    <n v="0"/>
    <n v="0"/>
    <n v="107"/>
    <s v="_x0000_peopl"/>
  </r>
  <r>
    <x v="6"/>
    <n v="13.686"/>
    <n v="-89.193899999999999"/>
    <n v="8"/>
    <n v="0"/>
    <n v="0"/>
    <n v="107"/>
    <s v="_x0000_peopl"/>
  </r>
  <r>
    <x v="6"/>
    <n v="13.6915"/>
    <n v="-89.2286"/>
    <n v="4"/>
    <n v="0"/>
    <n v="0"/>
    <n v="107"/>
    <s v="_x0000_peopl"/>
  </r>
  <r>
    <x v="6"/>
    <n v="13.6877"/>
    <n v="-89.195400000000006"/>
    <n v="7"/>
    <n v="0"/>
    <n v="0"/>
    <n v="107"/>
    <s v="_x0000_peopl"/>
  </r>
  <r>
    <x v="6"/>
    <n v="13.692500000000001"/>
    <n v="-89.223299999999995"/>
    <n v="3"/>
    <n v="0"/>
    <n v="0"/>
    <n v="107"/>
    <s v="_x0000_peopl"/>
  </r>
  <r>
    <x v="6"/>
    <n v="13.695499999999999"/>
    <n v="-89.174199999999999"/>
    <n v="5"/>
    <n v="0"/>
    <n v="0"/>
    <n v="107"/>
    <s v="_x0000_peopl"/>
  </r>
  <r>
    <x v="6"/>
    <n v="13.690200000000001"/>
    <n v="-89.193100000000001"/>
    <n v="6"/>
    <n v="0"/>
    <n v="0"/>
    <n v="107"/>
    <s v="_x0000_peopl"/>
  </r>
  <r>
    <x v="6"/>
    <n v="13.689299999999999"/>
    <n v="-89.197900000000004"/>
    <n v="4"/>
    <n v="0"/>
    <n v="0"/>
    <n v="107"/>
    <s v="_x0000_peopl"/>
  </r>
  <r>
    <x v="6"/>
    <n v="13.692"/>
    <n v="-89.194299999999998"/>
    <n v="5"/>
    <n v="0"/>
    <n v="0"/>
    <n v="107"/>
    <s v="_x0000_peopl"/>
  </r>
  <r>
    <x v="6"/>
    <n v="13.6897"/>
    <n v="-89.194000000000003"/>
    <n v="1"/>
    <n v="0"/>
    <n v="0"/>
    <n v="107"/>
    <s v="_x0000_peopl"/>
  </r>
  <r>
    <x v="6"/>
    <n v="13.6928"/>
    <n v="-89.174099999999996"/>
    <n v="4"/>
    <n v="0"/>
    <n v="0"/>
    <n v="107"/>
    <s v="_x0000_peopl"/>
  </r>
  <r>
    <x v="6"/>
    <n v="13.688599999999999"/>
    <n v="-89.206699999999998"/>
    <n v="5"/>
    <n v="0"/>
    <n v="0"/>
    <n v="107"/>
    <s v="_x0000_peopl"/>
  </r>
  <r>
    <x v="6"/>
    <n v="13.691800000000001"/>
    <n v="-89.224999999999994"/>
    <n v="3"/>
    <n v="0"/>
    <n v="0"/>
    <n v="107"/>
    <s v="_x0000_peopl"/>
  </r>
  <r>
    <x v="6"/>
    <n v="13.6907"/>
    <n v="-89.197599999999994"/>
    <n v="5"/>
    <n v="0"/>
    <n v="0"/>
    <n v="107"/>
    <s v="_x0000_peopl"/>
  </r>
  <r>
    <x v="6"/>
    <n v="13.6874"/>
    <n v="-89.204499999999996"/>
    <n v="3"/>
    <n v="0"/>
    <n v="0"/>
    <n v="107"/>
    <s v="_x0000_peopl"/>
  </r>
  <r>
    <x v="6"/>
    <n v="13.688000000000001"/>
    <n v="-89.215599999999995"/>
    <n v="7"/>
    <n v="0"/>
    <n v="0"/>
    <n v="107"/>
    <s v="_x0000_peopl"/>
  </r>
  <r>
    <x v="6"/>
    <n v="13.69"/>
    <n v="-89.186700000000002"/>
    <n v="7"/>
    <n v="0"/>
    <n v="0"/>
    <n v="107"/>
    <s v="_x0000_peopl"/>
  </r>
  <r>
    <x v="6"/>
    <n v="13.6904"/>
    <n v="-89.235500000000002"/>
    <n v="4"/>
    <n v="0"/>
    <n v="0"/>
    <n v="107"/>
    <s v="_x0000_peopl"/>
  </r>
  <r>
    <x v="6"/>
    <n v="13.6877"/>
    <n v="-89.181200000000004"/>
    <n v="10"/>
    <n v="0"/>
    <n v="0"/>
    <n v="107"/>
    <s v="_x0000_peopl"/>
  </r>
  <r>
    <x v="6"/>
    <n v="13.6798"/>
    <n v="-89.194500000000005"/>
    <n v="7"/>
    <n v="0"/>
    <n v="0"/>
    <n v="107"/>
    <s v="_x0000_peopl"/>
  </r>
  <r>
    <x v="6"/>
    <n v="13.6968"/>
    <n v="-89.171599999999998"/>
    <n v="8"/>
    <n v="0"/>
    <n v="0"/>
    <n v="107"/>
    <s v="_x0000_peopl"/>
  </r>
  <r>
    <x v="6"/>
    <n v="13.6945"/>
    <n v="-89.174300000000002"/>
    <n v="2"/>
    <n v="0"/>
    <n v="0"/>
    <n v="107"/>
    <s v="_x0000_peopl"/>
  </r>
  <r>
    <x v="6"/>
    <n v="13.6968"/>
    <n v="-89.171599999999998"/>
    <n v="5"/>
    <n v="0"/>
    <n v="0"/>
    <n v="107"/>
    <s v="_x0000_peopl"/>
  </r>
  <r>
    <x v="6"/>
    <n v="13.675000000000001"/>
    <n v="-89.251800000000003"/>
    <n v="4"/>
    <n v="0"/>
    <n v="0"/>
    <n v="107"/>
    <s v="_x0000_peopl"/>
  </r>
  <r>
    <x v="6"/>
    <n v="13.6892"/>
    <n v="-89.215999999999994"/>
    <n v="8"/>
    <n v="0"/>
    <n v="0"/>
    <n v="107"/>
    <s v="_x0000_peopl"/>
  </r>
  <r>
    <x v="6"/>
    <n v="13.686999999999999"/>
    <n v="-89.197699999999998"/>
    <n v="3"/>
    <n v="0"/>
    <n v="0"/>
    <n v="107"/>
    <s v="_x0000_peopl"/>
  </r>
  <r>
    <x v="6"/>
    <n v="13.6875"/>
    <n v="-89.194500000000005"/>
    <n v="2"/>
    <n v="0"/>
    <n v="0"/>
    <n v="107"/>
    <s v="_x0000_peopl"/>
  </r>
  <r>
    <x v="6"/>
    <n v="13.6793"/>
    <n v="-89.196899999999999"/>
    <n v="4"/>
    <n v="0"/>
    <n v="0"/>
    <n v="107"/>
    <s v="_x0000_peopl"/>
  </r>
  <r>
    <x v="6"/>
    <n v="13.6854"/>
    <n v="-89.213899999999995"/>
    <n v="8"/>
    <n v="0"/>
    <n v="0"/>
    <n v="107"/>
    <s v="_x0000_peopl"/>
  </r>
  <r>
    <x v="6"/>
    <n v="13.692"/>
    <n v="-89.179699999999997"/>
    <n v="3"/>
    <n v="0"/>
    <n v="0"/>
    <n v="107"/>
    <s v="_x0000_peopl"/>
  </r>
  <r>
    <x v="6"/>
    <n v="13.690799999999999"/>
    <n v="-89.189300000000003"/>
    <n v="7"/>
    <n v="0"/>
    <n v="0"/>
    <n v="107"/>
    <s v="_x0000_peopl"/>
  </r>
  <r>
    <x v="6"/>
    <n v="13.6882"/>
    <n v="-89.216899999999995"/>
    <n v="4"/>
    <n v="0"/>
    <n v="0"/>
    <n v="107"/>
    <s v="_x0000_peopl"/>
  </r>
  <r>
    <x v="6"/>
    <n v="13.6936"/>
    <n v="-89.176699999999997"/>
    <n v="6"/>
    <n v="0"/>
    <n v="0"/>
    <n v="107"/>
    <s v="_x0000_peopl"/>
  </r>
  <r>
    <x v="6"/>
    <n v="13.689299999999999"/>
    <n v="-89.184100000000001"/>
    <n v="6"/>
    <n v="0"/>
    <n v="0"/>
    <n v="107"/>
    <s v="_x0000_peopl"/>
  </r>
  <r>
    <x v="6"/>
    <n v="13.6921"/>
    <n v="-89.222399999999993"/>
    <n v="4"/>
    <n v="0"/>
    <n v="0"/>
    <n v="107"/>
    <s v="_x0000_peopl"/>
  </r>
  <r>
    <x v="6"/>
    <n v="13.6905"/>
    <n v="-89.233599999999996"/>
    <n v="8"/>
    <n v="0"/>
    <n v="0"/>
    <n v="107"/>
    <s v="_x0000_peopl"/>
  </r>
  <r>
    <x v="6"/>
    <n v="13.6883"/>
    <n v="-89.190700000000007"/>
    <n v="6"/>
    <n v="0"/>
    <n v="0"/>
    <n v="107"/>
    <s v="_x0000_peopl"/>
  </r>
  <r>
    <x v="6"/>
    <n v="13.687099999999999"/>
    <n v="-89.182699999999997"/>
    <n v="4"/>
    <n v="0"/>
    <n v="0"/>
    <n v="107"/>
    <s v="_x0000_peopl"/>
  </r>
  <r>
    <x v="6"/>
    <n v="13.690300000000001"/>
    <n v="-89.177499999999995"/>
    <n v="4"/>
    <n v="0"/>
    <n v="0"/>
    <n v="107"/>
    <s v="_x0000_peopl"/>
  </r>
  <r>
    <x v="6"/>
    <n v="13.6942"/>
    <n v="-89.176299999999998"/>
    <n v="1"/>
    <n v="0"/>
    <n v="0"/>
    <n v="107"/>
    <s v="_x0000_peopl"/>
  </r>
  <r>
    <x v="6"/>
    <n v="13.6912"/>
    <n v="-89.226500000000001"/>
    <n v="4"/>
    <n v="0"/>
    <n v="0"/>
    <n v="107"/>
    <s v="_x0000_peopl"/>
  </r>
  <r>
    <x v="6"/>
    <n v="13.6793"/>
    <n v="-89.196700000000007"/>
    <n v="2"/>
    <n v="0"/>
    <n v="0"/>
    <n v="107"/>
    <s v="_x0000_peopl"/>
  </r>
  <r>
    <x v="6"/>
    <n v="13.6914"/>
    <n v="-89.189400000000006"/>
    <n v="7"/>
    <n v="0"/>
    <n v="0"/>
    <n v="107"/>
    <s v="_x0000_peopl"/>
  </r>
  <r>
    <x v="6"/>
    <n v="13.6866"/>
    <n v="-89.191299999999998"/>
    <n v="5"/>
    <n v="0"/>
    <n v="0"/>
    <n v="107"/>
    <s v="_x0000_peopl"/>
  </r>
  <r>
    <x v="6"/>
    <n v="13.6861"/>
    <n v="-89.214100000000002"/>
    <n v="7"/>
    <n v="0"/>
    <n v="0"/>
    <n v="107"/>
    <s v="_x0000_peopl"/>
  </r>
  <r>
    <x v="6"/>
    <n v="13.687099999999999"/>
    <n v="-89.1965"/>
    <n v="4"/>
    <n v="0"/>
    <n v="0"/>
    <n v="107"/>
    <s v="_x0000_peopl"/>
  </r>
  <r>
    <x v="6"/>
    <n v="13.6876"/>
    <n v="-89.195099999999996"/>
    <n v="5"/>
    <n v="0"/>
    <n v="0"/>
    <n v="107"/>
    <s v="_x0000_peopl"/>
  </r>
  <r>
    <x v="6"/>
    <n v="13.690099999999999"/>
    <n v="-89.188999999999993"/>
    <n v="2"/>
    <n v="0"/>
    <n v="0"/>
    <n v="107"/>
    <s v="_x0000_peopl"/>
  </r>
  <r>
    <x v="6"/>
    <n v="13.6927"/>
    <n v="-89.178799999999995"/>
    <n v="8"/>
    <n v="0"/>
    <n v="0"/>
    <n v="107"/>
    <s v="_x0000_peopl"/>
  </r>
  <r>
    <x v="6"/>
    <n v="13.6913"/>
    <n v="-89.233000000000004"/>
    <n v="4"/>
    <n v="0"/>
    <n v="0"/>
    <n v="107"/>
    <s v="_x0000_peopl"/>
  </r>
  <r>
    <x v="6"/>
    <n v="13.6905"/>
    <n v="-89.178600000000003"/>
    <n v="2"/>
    <n v="0"/>
    <n v="0"/>
    <n v="107"/>
    <s v="_x0000_peopl"/>
  </r>
  <r>
    <x v="6"/>
    <n v="13.6873"/>
    <n v="-89.1965"/>
    <n v="1"/>
    <n v="0"/>
    <n v="0"/>
    <n v="107"/>
    <s v="_x0000_peopl"/>
  </r>
  <r>
    <x v="6"/>
    <n v="13.6904"/>
    <n v="-89.184100000000001"/>
    <n v="7"/>
    <n v="0"/>
    <n v="0"/>
    <n v="107"/>
    <s v="_x0000_peopl"/>
  </r>
  <r>
    <x v="6"/>
    <n v="13.692600000000001"/>
    <n v="-89.179500000000004"/>
    <n v="6"/>
    <n v="0"/>
    <n v="0"/>
    <n v="107"/>
    <s v="_x0000_peopl"/>
  </r>
  <r>
    <x v="6"/>
    <n v="13.673999999999999"/>
    <n v="-89.252200000000002"/>
    <n v="5"/>
    <n v="0"/>
    <n v="0"/>
    <n v="107"/>
    <s v="_x0000_peopl"/>
  </r>
  <r>
    <x v="6"/>
    <n v="13.6869"/>
    <n v="-89.181399999999996"/>
    <n v="4"/>
    <n v="0"/>
    <n v="0"/>
    <n v="107"/>
    <s v="_x0000_peopl"/>
  </r>
  <r>
    <x v="6"/>
    <n v="13.690899999999999"/>
    <n v="-89.1815"/>
    <n v="3"/>
    <n v="0"/>
    <n v="0"/>
    <n v="107"/>
    <s v="_x0000_peopl"/>
  </r>
  <r>
    <x v="6"/>
    <n v="13.6921"/>
    <n v="-89.221900000000005"/>
    <n v="9"/>
    <n v="0"/>
    <n v="0"/>
    <n v="107"/>
    <s v="_x0000_peopl"/>
  </r>
  <r>
    <x v="6"/>
    <n v="13.6876"/>
    <n v="-89.195400000000006"/>
    <n v="6"/>
    <n v="0"/>
    <n v="0"/>
    <n v="107"/>
    <s v="_x0000_peopl"/>
  </r>
  <r>
    <x v="6"/>
    <n v="13.6914"/>
    <n v="-89.234899999999996"/>
    <n v="7"/>
    <n v="0"/>
    <n v="0"/>
    <n v="107"/>
    <s v="_x0000_peopl"/>
  </r>
  <r>
    <x v="6"/>
    <n v="13.6876"/>
    <n v="-89.216499999999996"/>
    <n v="7"/>
    <n v="0"/>
    <n v="0"/>
    <n v="107"/>
    <s v="_x0000_peopl"/>
  </r>
  <r>
    <x v="6"/>
    <n v="13.6854"/>
    <n v="-89.215500000000006"/>
    <n v="4"/>
    <n v="0"/>
    <n v="0"/>
    <n v="107"/>
    <s v="_x0000_peopl"/>
  </r>
  <r>
    <x v="6"/>
    <n v="13.690799999999999"/>
    <n v="-89.234899999999996"/>
    <n v="7"/>
    <n v="0"/>
    <n v="0"/>
    <n v="107"/>
    <s v="_x0000_peopl"/>
  </r>
  <r>
    <x v="6"/>
    <n v="13.691000000000001"/>
    <n v="-89.235200000000006"/>
    <n v="3"/>
    <n v="0"/>
    <n v="0"/>
    <n v="107"/>
    <s v="_x0000_peopl"/>
  </r>
  <r>
    <x v="6"/>
    <n v="13.6945"/>
    <n v="-89.175700000000006"/>
    <n v="4"/>
    <n v="0"/>
    <n v="0"/>
    <n v="107"/>
    <s v="_x0000_peopl"/>
  </r>
  <r>
    <x v="6"/>
    <n v="13.686400000000001"/>
    <n v="-89.213499999999996"/>
    <n v="6"/>
    <n v="0"/>
    <n v="0"/>
    <n v="107"/>
    <s v="_x0000_peopl"/>
  </r>
  <r>
    <x v="6"/>
    <n v="13.685700000000001"/>
    <n v="-89.211200000000005"/>
    <n v="6"/>
    <n v="0"/>
    <n v="0"/>
    <n v="107"/>
    <s v="_x0000_peopl"/>
  </r>
  <r>
    <x v="6"/>
    <n v="13.684900000000001"/>
    <n v="-89.212500000000006"/>
    <n v="8"/>
    <n v="0"/>
    <n v="0"/>
    <n v="107"/>
    <s v="_x0000_peopl"/>
  </r>
  <r>
    <x v="6"/>
    <n v="13.6883"/>
    <n v="-89.216399999999993"/>
    <n v="2"/>
    <n v="0"/>
    <n v="0"/>
    <n v="107"/>
    <s v="_x0000_peopl"/>
  </r>
  <r>
    <x v="6"/>
    <n v="13.6738"/>
    <n v="-89.202600000000004"/>
    <n v="8"/>
    <n v="0"/>
    <n v="0"/>
    <n v="107"/>
    <s v="_x0000_peopl"/>
  </r>
  <r>
    <x v="6"/>
    <n v="13.691700000000001"/>
    <n v="-89.227099999999993"/>
    <n v="5"/>
    <n v="0"/>
    <n v="0"/>
    <n v="107"/>
    <s v="_x0000_peopl"/>
  </r>
  <r>
    <x v="6"/>
    <n v="13.6853"/>
    <n v="-89.193600000000004"/>
    <n v="5"/>
    <n v="0"/>
    <n v="0"/>
    <n v="107"/>
    <s v="_x0000_peopl"/>
  </r>
  <r>
    <x v="6"/>
    <n v="13.685700000000001"/>
    <n v="-89.203000000000003"/>
    <n v="2"/>
    <n v="0"/>
    <n v="0"/>
    <n v="107"/>
    <s v="_x0000_peopl"/>
  </r>
  <r>
    <x v="6"/>
    <n v="13.692"/>
    <n v="-89.194299999999998"/>
    <n v="4"/>
    <n v="0"/>
    <n v="0"/>
    <n v="107"/>
    <s v="_x0000_peopl"/>
  </r>
  <r>
    <x v="6"/>
    <n v="13.6972"/>
    <n v="-89.171800000000005"/>
    <n v="4"/>
    <n v="0"/>
    <n v="0"/>
    <n v="107"/>
    <s v="_x0000_peopl"/>
  </r>
  <r>
    <x v="6"/>
    <n v="13.6899"/>
    <n v="-89.177599999999998"/>
    <n v="5"/>
    <n v="0"/>
    <n v="0"/>
    <n v="107"/>
    <s v="_x0000_peopl"/>
  </r>
  <r>
    <x v="6"/>
    <n v="13.696199999999999"/>
    <n v="-89.172600000000003"/>
    <n v="4"/>
    <n v="0"/>
    <n v="0"/>
    <n v="107"/>
    <s v="_x0000_peopl"/>
  </r>
  <r>
    <x v="6"/>
    <n v="13.673500000000001"/>
    <n v="-89.251400000000004"/>
    <n v="5"/>
    <n v="0"/>
    <n v="0"/>
    <n v="107"/>
    <s v="_x0000_peopl"/>
  </r>
  <r>
    <x v="6"/>
    <n v="13.6943"/>
    <n v="-89.1755"/>
    <n v="7"/>
    <n v="0"/>
    <n v="0"/>
    <n v="107"/>
    <s v="_x0000_peopl"/>
  </r>
  <r>
    <x v="6"/>
    <n v="13.69"/>
    <n v="-89.216700000000003"/>
    <n v="4"/>
    <n v="0"/>
    <n v="0"/>
    <n v="107"/>
    <s v="_x0000_peopl"/>
  </r>
  <r>
    <x v="6"/>
    <n v="13.674300000000001"/>
    <n v="-89.252499999999998"/>
    <n v="6"/>
    <n v="0"/>
    <n v="0"/>
    <n v="107"/>
    <s v="_x0000_peopl"/>
  </r>
  <r>
    <x v="6"/>
    <n v="13.6914"/>
    <n v="-89.183700000000002"/>
    <n v="12"/>
    <n v="0"/>
    <n v="0"/>
    <n v="107"/>
    <s v="_x0000_peopl"/>
  </r>
  <r>
    <x v="6"/>
    <n v="13.694599999999999"/>
    <n v="-89.174400000000006"/>
    <n v="5"/>
    <n v="0"/>
    <n v="0"/>
    <n v="107"/>
    <s v="_x0000_peopl"/>
  </r>
  <r>
    <x v="6"/>
    <n v="13.6899"/>
    <n v="-89.189400000000006"/>
    <n v="6"/>
    <n v="0"/>
    <n v="0"/>
    <n v="107"/>
    <s v="_x0000_peopl"/>
  </r>
  <r>
    <x v="6"/>
    <n v="13.6891"/>
    <n v="-89.183899999999994"/>
    <n v="5"/>
    <n v="0"/>
    <n v="0"/>
    <n v="107"/>
    <s v="_x0000_peopl"/>
  </r>
  <r>
    <x v="6"/>
    <n v="13.6739"/>
    <n v="-89.203000000000003"/>
    <n v="6"/>
    <n v="0"/>
    <n v="0"/>
    <n v="107"/>
    <s v="_x0000_peopl"/>
  </r>
  <r>
    <x v="6"/>
    <n v="13.687900000000001"/>
    <n v="-89.212199999999996"/>
    <n v="3"/>
    <n v="0"/>
    <n v="0"/>
    <n v="107"/>
    <s v="_x0000_peopl"/>
  </r>
  <r>
    <x v="6"/>
    <n v="13.6869"/>
    <n v="-89.1815"/>
    <n v="2"/>
    <n v="0"/>
    <n v="0"/>
    <n v="107"/>
    <s v="_x0000_peopl"/>
  </r>
  <r>
    <x v="6"/>
    <n v="13.6899"/>
    <n v="-89.229200000000006"/>
    <n v="3"/>
    <n v="0"/>
    <n v="0"/>
    <n v="107"/>
    <s v="_x0000_peopl"/>
  </r>
  <r>
    <x v="6"/>
    <n v="13.6914"/>
    <n v="-89.194000000000003"/>
    <n v="3"/>
    <n v="0"/>
    <n v="0"/>
    <n v="107"/>
    <s v="_x0000_peopl"/>
  </r>
  <r>
    <x v="6"/>
    <n v="13.6782"/>
    <n v="-89.196399999999997"/>
    <n v="3"/>
    <n v="0"/>
    <n v="0"/>
    <n v="107"/>
    <s v="_x0000_peopl"/>
  </r>
  <r>
    <x v="6"/>
    <n v="13.693"/>
    <n v="-89.189800000000005"/>
    <n v="4"/>
    <n v="0"/>
    <n v="0"/>
    <n v="107"/>
    <s v="_x0000_peopl"/>
  </r>
  <r>
    <x v="6"/>
    <n v="13.677199999999999"/>
    <n v="-89.248099999999994"/>
    <n v="6"/>
    <n v="0"/>
    <n v="0"/>
    <n v="107"/>
    <s v="_x0000_peopl"/>
  </r>
  <r>
    <x v="6"/>
    <n v="13.685"/>
    <n v="-89.216800000000006"/>
    <n v="6"/>
    <n v="0"/>
    <n v="0"/>
    <n v="107"/>
    <s v="_x0000_peopl"/>
  </r>
  <r>
    <x v="6"/>
    <n v="13.688599999999999"/>
    <n v="-89.229699999999994"/>
    <n v="5"/>
    <n v="0"/>
    <n v="0"/>
    <n v="107"/>
    <s v="_x0000_peopl"/>
  </r>
  <r>
    <x v="6"/>
    <n v="13.6859"/>
    <n v="-89.215400000000002"/>
    <n v="4"/>
    <n v="0"/>
    <n v="0"/>
    <n v="107"/>
    <s v="_x0000_peopl"/>
  </r>
  <r>
    <x v="6"/>
    <n v="13.679600000000001"/>
    <n v="-89.194400000000002"/>
    <n v="1"/>
    <n v="0"/>
    <n v="0"/>
    <n v="107"/>
    <s v="_x0000_peopl"/>
  </r>
  <r>
    <x v="6"/>
    <n v="13.69"/>
    <n v="-89.180099999999996"/>
    <n v="4"/>
    <n v="0"/>
    <n v="0"/>
    <n v="107"/>
    <s v="_x0000_peopl"/>
  </r>
  <r>
    <x v="6"/>
    <n v="13.6942"/>
    <n v="-89.172899999999998"/>
    <n v="8"/>
    <n v="0"/>
    <n v="0"/>
    <n v="107"/>
    <s v="_x0000_peopl"/>
  </r>
  <r>
    <x v="6"/>
    <n v="13.6859"/>
    <n v="-89.194000000000003"/>
    <n v="3"/>
    <n v="0"/>
    <n v="0"/>
    <n v="107"/>
    <s v="_x0000_peopl"/>
  </r>
  <r>
    <x v="6"/>
    <n v="13.69"/>
    <n v="-89.184100000000001"/>
    <n v="4"/>
    <n v="0"/>
    <n v="0"/>
    <n v="107"/>
    <s v="_x0000_peopl"/>
  </r>
  <r>
    <x v="6"/>
    <n v="13.692"/>
    <n v="-89.175600000000003"/>
    <n v="8"/>
    <n v="0"/>
    <n v="0"/>
    <n v="107"/>
    <s v="_x0000_peopl"/>
  </r>
  <r>
    <x v="6"/>
    <n v="13.6936"/>
    <n v="-89.175899999999999"/>
    <n v="6"/>
    <n v="0"/>
    <n v="0"/>
    <n v="107"/>
    <s v="_x0000_peopl"/>
  </r>
  <r>
    <x v="6"/>
    <n v="13.694699999999999"/>
    <n v="-89.174000000000007"/>
    <n v="7"/>
    <n v="0"/>
    <n v="0"/>
    <n v="107"/>
    <s v="_x0000_peopl"/>
  </r>
  <r>
    <x v="6"/>
    <n v="13.691599999999999"/>
    <n v="-89.233699999999999"/>
    <n v="2"/>
    <n v="0"/>
    <n v="0"/>
    <n v="107"/>
    <s v="_x0000_peopl"/>
  </r>
  <r>
    <x v="6"/>
    <n v="13.6914"/>
    <n v="-89.233400000000003"/>
    <n v="5"/>
    <n v="0"/>
    <n v="0"/>
    <n v="107"/>
    <s v="_x0000_peopl"/>
  </r>
  <r>
    <x v="6"/>
    <n v="13.687099999999999"/>
    <n v="-89.194800000000001"/>
    <n v="5"/>
    <n v="0"/>
    <n v="0"/>
    <n v="107"/>
    <s v="_x0000_peopl"/>
  </r>
  <r>
    <x v="6"/>
    <n v="13.691800000000001"/>
    <n v="-89.182000000000002"/>
    <n v="4"/>
    <n v="0"/>
    <n v="0"/>
    <n v="107"/>
    <s v="_x0000_peopl"/>
  </r>
  <r>
    <x v="6"/>
    <n v="13.6911"/>
    <n v="-89.228899999999996"/>
    <n v="3"/>
    <n v="0"/>
    <n v="0"/>
    <n v="107"/>
    <s v="_x0000_peopl"/>
  </r>
  <r>
    <x v="6"/>
    <n v="13.692500000000001"/>
    <n v="-89.174599999999998"/>
    <n v="6"/>
    <n v="0"/>
    <n v="0"/>
    <n v="107"/>
    <s v="_x0000_peopl"/>
  </r>
  <r>
    <x v="6"/>
    <n v="13.6884"/>
    <n v="-89.204300000000003"/>
    <n v="5"/>
    <n v="0"/>
    <n v="0"/>
    <n v="107"/>
    <s v="_x0000_peopl"/>
  </r>
  <r>
    <x v="6"/>
    <n v="13.685"/>
    <n v="-89.216899999999995"/>
    <n v="6"/>
    <n v="0"/>
    <n v="0"/>
    <n v="107"/>
    <s v="_x0000_peopl"/>
  </r>
  <r>
    <x v="6"/>
    <n v="13.6873"/>
    <n v="-89.194900000000004"/>
    <n v="2"/>
    <n v="0"/>
    <n v="0"/>
    <n v="107"/>
    <s v="_x0000_peopl"/>
  </r>
  <r>
    <x v="6"/>
    <n v="13.691700000000001"/>
    <n v="-89.186000000000007"/>
    <n v="7"/>
    <n v="0"/>
    <n v="0"/>
    <n v="107"/>
    <s v="_x0000_peopl"/>
  </r>
  <r>
    <x v="6"/>
    <n v="13.684699999999999"/>
    <n v="-89.213999999999999"/>
    <n v="9"/>
    <n v="0"/>
    <n v="0"/>
    <n v="107"/>
    <s v="_x0000_peopl"/>
  </r>
  <r>
    <x v="6"/>
    <n v="13.6911"/>
    <n v="-89.235600000000005"/>
    <n v="5"/>
    <n v="0"/>
    <n v="0"/>
    <n v="107"/>
    <s v="_x0000_peopl"/>
  </r>
  <r>
    <x v="6"/>
    <n v="13.6928"/>
    <n v="-89.224800000000002"/>
    <n v="6"/>
    <n v="0"/>
    <n v="0"/>
    <n v="107"/>
    <s v="_x0000_peopl"/>
  </r>
  <r>
    <x v="6"/>
    <n v="13.6929"/>
    <n v="-89.224500000000006"/>
    <n v="2"/>
    <n v="0"/>
    <n v="0"/>
    <n v="107"/>
    <s v="_x0000_peopl"/>
  </r>
  <r>
    <x v="6"/>
    <n v="13.6875"/>
    <n v="-89.197199999999995"/>
    <n v="4"/>
    <n v="0"/>
    <n v="0"/>
    <n v="107"/>
    <s v="_x0000_peopl"/>
  </r>
  <r>
    <x v="6"/>
    <n v="13.6877"/>
    <n v="-89.194599999999994"/>
    <n v="8"/>
    <n v="0"/>
    <n v="0"/>
    <n v="107"/>
    <s v="_x0000_peopl"/>
  </r>
  <r>
    <x v="6"/>
    <n v="13.6907"/>
    <n v="-89.233699999999999"/>
    <n v="5"/>
    <n v="0"/>
    <n v="0"/>
    <n v="107"/>
    <s v="_x0000_peopl"/>
  </r>
  <r>
    <x v="6"/>
    <n v="13.6919"/>
    <n v="-89.226799999999997"/>
    <n v="4"/>
    <n v="0"/>
    <n v="0"/>
    <n v="107"/>
    <s v="_x0000_peopl"/>
  </r>
  <r>
    <x v="6"/>
    <n v="13.6755"/>
    <n v="-89.247799999999998"/>
    <n v="7"/>
    <n v="0"/>
    <n v="0"/>
    <n v="107"/>
    <s v="_x0000_peopl"/>
  </r>
  <r>
    <x v="6"/>
    <n v="13.6967"/>
    <n v="-89.171499999999995"/>
    <n v="3"/>
    <n v="0"/>
    <n v="0"/>
    <n v="107"/>
    <s v="_x0000_peopl"/>
  </r>
  <r>
    <x v="6"/>
    <n v="13.680999999999999"/>
    <n v="-89.195899999999995"/>
    <n v="5"/>
    <n v="0"/>
    <n v="0"/>
    <n v="107"/>
    <s v="_x0000_peopl"/>
  </r>
  <r>
    <x v="6"/>
    <n v="13.690300000000001"/>
    <n v="-89.217399999999998"/>
    <n v="3"/>
    <n v="0"/>
    <n v="0"/>
    <n v="107"/>
    <s v="_x0000_peopl"/>
  </r>
  <r>
    <x v="6"/>
    <n v="13.6854"/>
    <n v="-89.211399999999998"/>
    <n v="11"/>
    <n v="0"/>
    <n v="0"/>
    <n v="107"/>
    <s v="_x0000_peopl"/>
  </r>
  <r>
    <x v="6"/>
    <n v="13.6928"/>
    <n v="-89.178100000000001"/>
    <n v="3"/>
    <n v="0"/>
    <n v="0"/>
    <n v="107"/>
    <s v="_x0000_peopl"/>
  </r>
  <r>
    <x v="6"/>
    <n v="13.6899"/>
    <n v="-89.189700000000002"/>
    <n v="5"/>
    <n v="0"/>
    <n v="0"/>
    <n v="107"/>
    <s v="_x0000_peopl"/>
  </r>
  <r>
    <x v="6"/>
    <n v="13.6911"/>
    <n v="-89.234300000000005"/>
    <n v="6"/>
    <n v="0"/>
    <n v="0"/>
    <n v="107"/>
    <s v="_x0000_peopl"/>
  </r>
  <r>
    <x v="6"/>
    <n v="13.691800000000001"/>
    <n v="-89.186400000000006"/>
    <n v="7"/>
    <n v="0"/>
    <n v="0"/>
    <n v="107"/>
    <s v="_x0000_peopl"/>
  </r>
  <r>
    <x v="6"/>
    <n v="13.6892"/>
    <n v="-89.184899999999999"/>
    <n v="5"/>
    <n v="0"/>
    <n v="0"/>
    <n v="107"/>
    <s v="_x0000_peopl"/>
  </r>
  <r>
    <x v="6"/>
    <n v="13.688700000000001"/>
    <n v="-89.189700000000002"/>
    <n v="9"/>
    <n v="0"/>
    <n v="0"/>
    <n v="107"/>
    <s v="_x0000_peopl"/>
  </r>
  <r>
    <x v="6"/>
    <n v="13.6936"/>
    <n v="-89.188800000000001"/>
    <n v="2"/>
    <n v="0"/>
    <n v="0"/>
    <n v="107"/>
    <s v="_x0000_peopl"/>
  </r>
  <r>
    <x v="6"/>
    <n v="13.691000000000001"/>
    <n v="-89.179100000000005"/>
    <n v="4"/>
    <n v="0"/>
    <n v="0"/>
    <n v="107"/>
    <s v="_x0000_peopl"/>
  </r>
  <r>
    <x v="6"/>
    <n v="13.6897"/>
    <n v="-89.177599999999998"/>
    <n v="4"/>
    <n v="0"/>
    <n v="0"/>
    <n v="107"/>
    <s v="_x0000_peopl"/>
  </r>
  <r>
    <x v="6"/>
    <n v="13.6911"/>
    <n v="-89.233400000000003"/>
    <n v="7"/>
    <n v="0"/>
    <n v="0"/>
    <n v="107"/>
    <s v="_x0000_peopl"/>
  </r>
  <r>
    <x v="6"/>
    <n v="13.687900000000001"/>
    <n v="-89.179599999999994"/>
    <n v="4"/>
    <n v="0"/>
    <n v="0"/>
    <n v="107"/>
    <s v="_x0000_peopl"/>
  </r>
  <r>
    <x v="6"/>
    <n v="13.6938"/>
    <n v="-89.1755"/>
    <n v="4"/>
    <n v="0"/>
    <n v="0"/>
    <n v="107"/>
    <s v="_x0000_peopl"/>
  </r>
  <r>
    <x v="6"/>
    <n v="13.6896"/>
    <n v="-89.228899999999996"/>
    <n v="6"/>
    <n v="0"/>
    <n v="0"/>
    <n v="107"/>
    <s v="_x0000_peopl"/>
  </r>
  <r>
    <x v="6"/>
    <n v="13.685600000000001"/>
    <n v="-89.215100000000007"/>
    <n v="2"/>
    <n v="0"/>
    <n v="0"/>
    <n v="107"/>
    <s v="_x0000_peopl"/>
  </r>
  <r>
    <x v="6"/>
    <n v="13.686999999999999"/>
    <n v="-89.197000000000003"/>
    <n v="6"/>
    <n v="0"/>
    <n v="0"/>
    <n v="107"/>
    <s v="_x0000_peopl"/>
  </r>
  <r>
    <x v="6"/>
    <n v="13.694000000000001"/>
    <n v="-89.173299999999998"/>
    <n v="5"/>
    <n v="0"/>
    <n v="0"/>
    <n v="107"/>
    <s v="_x0000_peopl"/>
  </r>
  <r>
    <x v="6"/>
    <n v="13.6938"/>
    <n v="-89.186400000000006"/>
    <n v="8"/>
    <n v="0"/>
    <n v="0"/>
    <n v="107"/>
    <s v="_x0000_peopl"/>
  </r>
  <r>
    <x v="6"/>
    <n v="13.6882"/>
    <n v="-89.182699999999997"/>
    <n v="6"/>
    <n v="0"/>
    <n v="0"/>
    <n v="107"/>
    <s v="_x0000_peopl"/>
  </r>
  <r>
    <x v="6"/>
    <n v="13.689399999999999"/>
    <n v="-89.194299999999998"/>
    <n v="5"/>
    <n v="0"/>
    <n v="0"/>
    <n v="107"/>
    <s v="_x0000_peopl"/>
  </r>
  <r>
    <x v="6"/>
    <n v="13.6874"/>
    <n v="-89.195599999999999"/>
    <n v="5"/>
    <n v="0"/>
    <n v="0"/>
    <n v="107"/>
    <s v="_x0000_peopl"/>
  </r>
  <r>
    <x v="6"/>
    <n v="13.69"/>
    <n v="-89.177499999999995"/>
    <n v="3"/>
    <n v="0"/>
    <n v="0"/>
    <n v="107"/>
    <s v="_x0000_peopl"/>
  </r>
  <r>
    <x v="6"/>
    <n v="13.6913"/>
    <n v="-89.226299999999995"/>
    <n v="0"/>
    <n v="0"/>
    <n v="0"/>
    <n v="107"/>
    <s v="_x0000_peopl"/>
  </r>
  <r>
    <x v="6"/>
    <n v="13.689500000000001"/>
    <n v="-89.228999999999999"/>
    <n v="1"/>
    <n v="0"/>
    <n v="0"/>
    <n v="107"/>
    <s v="_x0000_peopl"/>
  </r>
  <r>
    <x v="6"/>
    <n v="13.696300000000001"/>
    <n v="-89.171599999999998"/>
    <n v="5"/>
    <n v="0"/>
    <n v="0"/>
    <n v="107"/>
    <s v="_x0000_peopl"/>
  </r>
  <r>
    <x v="6"/>
    <n v="13.6904"/>
    <n v="-89.235500000000002"/>
    <n v="5"/>
    <n v="0"/>
    <n v="0"/>
    <n v="107"/>
    <s v="_x0000_peopl"/>
  </r>
  <r>
    <x v="6"/>
    <n v="13.6896"/>
    <n v="-89.235699999999994"/>
    <n v="3"/>
    <n v="0"/>
    <n v="0"/>
    <n v="107"/>
    <s v="_x0000_peopl"/>
  </r>
  <r>
    <x v="6"/>
    <n v="13.696099999999999"/>
    <n v="-89.172899999999998"/>
    <n v="6"/>
    <n v="0"/>
    <n v="0"/>
    <n v="107"/>
    <s v="_x0000_peopl"/>
  </r>
  <r>
    <x v="6"/>
    <n v="13.6898"/>
    <n v="-89.184799999999996"/>
    <n v="2"/>
    <n v="0"/>
    <n v="0"/>
    <n v="107"/>
    <s v="_x0000_peopl"/>
  </r>
  <r>
    <x v="6"/>
    <n v="13.6873"/>
    <n v="-89.193399999999997"/>
    <n v="6"/>
    <n v="0"/>
    <n v="0"/>
    <n v="107"/>
    <s v="_x0000_peopl"/>
  </r>
  <r>
    <x v="6"/>
    <n v="13.689399999999999"/>
    <n v="-89.177499999999995"/>
    <n v="7"/>
    <n v="0"/>
    <n v="0"/>
    <n v="107"/>
    <s v="_x0000_peopl"/>
  </r>
  <r>
    <x v="6"/>
    <n v="13.692600000000001"/>
    <n v="-89.223299999999995"/>
    <n v="7"/>
    <n v="0"/>
    <n v="0"/>
    <n v="107"/>
    <s v="_x0000_peopl"/>
  </r>
  <r>
    <x v="6"/>
    <n v="13.6928"/>
    <n v="-89.178399999999996"/>
    <n v="5"/>
    <n v="0"/>
    <n v="0"/>
    <n v="107"/>
    <s v="_x0000_peopl"/>
  </r>
  <r>
    <x v="6"/>
    <n v="13.6891"/>
    <n v="-89.235900000000001"/>
    <n v="4"/>
    <n v="0"/>
    <n v="0"/>
    <n v="107"/>
    <s v="_x0000_peopl"/>
  </r>
  <r>
    <x v="6"/>
    <n v="13.686999999999999"/>
    <n v="-89.202500000000001"/>
    <n v="7"/>
    <n v="0"/>
    <n v="0"/>
    <n v="107"/>
    <s v="_x0000_peopl"/>
  </r>
  <r>
    <x v="6"/>
    <n v="13.6922"/>
    <n v="-89.1935"/>
    <n v="6"/>
    <n v="0"/>
    <n v="0"/>
    <n v="107"/>
    <s v="_x0000_peopl"/>
  </r>
  <r>
    <x v="6"/>
    <n v="13.6927"/>
    <n v="-89.224699999999999"/>
    <n v="4"/>
    <n v="0"/>
    <n v="0"/>
    <n v="107"/>
    <s v="_x0000_peopl"/>
  </r>
  <r>
    <x v="6"/>
    <n v="13.694800000000001"/>
    <n v="-89.1751"/>
    <n v="3"/>
    <n v="0"/>
    <n v="0"/>
    <n v="107"/>
    <s v="_x0000_peopl"/>
  </r>
  <r>
    <x v="6"/>
    <n v="13.6874"/>
    <n v="-89.194800000000001"/>
    <n v="4"/>
    <n v="0"/>
    <n v="0"/>
    <n v="107"/>
    <s v="_x0000_peopl"/>
  </r>
  <r>
    <x v="6"/>
    <n v="13.6922"/>
    <n v="-89.177700000000002"/>
    <n v="5"/>
    <n v="0"/>
    <n v="0"/>
    <n v="107"/>
    <s v="_x0000_peopl"/>
  </r>
  <r>
    <x v="6"/>
    <n v="13.692"/>
    <n v="-89.194199999999995"/>
    <n v="3"/>
    <n v="0"/>
    <n v="0"/>
    <n v="107"/>
    <s v="_x0000_peopl"/>
  </r>
  <r>
    <x v="6"/>
    <n v="13.6922"/>
    <n v="-89.197000000000003"/>
    <n v="6"/>
    <n v="0"/>
    <n v="0"/>
    <n v="107"/>
    <s v="_x0000_peopl"/>
  </r>
  <r>
    <x v="6"/>
    <n v="13.692"/>
    <n v="-89.180300000000003"/>
    <n v="4"/>
    <n v="0"/>
    <n v="0"/>
    <n v="107"/>
    <s v="_x0000_peopl"/>
  </r>
  <r>
    <x v="6"/>
    <n v="13.6898"/>
    <n v="-89.181600000000003"/>
    <n v="9"/>
    <n v="0"/>
    <n v="0"/>
    <n v="107"/>
    <s v="_x0000_peopl"/>
  </r>
  <r>
    <x v="6"/>
    <n v="13.6928"/>
    <n v="-89.224400000000003"/>
    <n v="5"/>
    <n v="0"/>
    <n v="0"/>
    <n v="107"/>
    <s v="_x0000_peopl"/>
  </r>
  <r>
    <x v="6"/>
    <n v="13.684699999999999"/>
    <n v="-89.211100000000002"/>
    <n v="6"/>
    <n v="0"/>
    <n v="0"/>
    <n v="107"/>
    <s v="_x0000_peopl"/>
  </r>
  <r>
    <x v="6"/>
    <n v="13.68"/>
    <n v="-89.196299999999994"/>
    <n v="4"/>
    <n v="0"/>
    <n v="0"/>
    <n v="107"/>
    <s v="_x0000_peopl"/>
  </r>
  <r>
    <x v="6"/>
    <n v="13.6744"/>
    <n v="-89.202699999999993"/>
    <n v="3"/>
    <n v="0"/>
    <n v="0"/>
    <n v="107"/>
    <s v="_x0000_peopl"/>
  </r>
  <r>
    <x v="6"/>
    <n v="13.695"/>
    <n v="-89.173900000000003"/>
    <n v="5"/>
    <n v="0"/>
    <n v="0"/>
    <n v="107"/>
    <s v="_x0000_peopl"/>
  </r>
  <r>
    <x v="6"/>
    <n v="13.6914"/>
    <n v="-89.2286"/>
    <n v="4"/>
    <n v="0"/>
    <n v="0"/>
    <n v="107"/>
    <s v="_x0000_peopl"/>
  </r>
  <r>
    <x v="6"/>
    <n v="13.6892"/>
    <n v="-89.181200000000004"/>
    <n v="5"/>
    <n v="0"/>
    <n v="0"/>
    <n v="107"/>
    <s v="_x0000_peopl"/>
  </r>
  <r>
    <x v="6"/>
    <n v="13.6858"/>
    <n v="-89.215400000000002"/>
    <n v="5"/>
    <n v="0"/>
    <n v="0"/>
    <n v="107"/>
    <s v="_x0000_peopl"/>
  </r>
  <r>
    <x v="6"/>
    <n v="13.6869"/>
    <n v="-89.215699999999998"/>
    <n v="4"/>
    <n v="0"/>
    <n v="0"/>
    <n v="107"/>
    <s v="_x0000_peopl"/>
  </r>
  <r>
    <x v="6"/>
    <n v="13.690099999999999"/>
    <n v="-89.235399999999998"/>
    <n v="4"/>
    <n v="0"/>
    <n v="0"/>
    <n v="107"/>
    <s v="_x0000_peopl"/>
  </r>
  <r>
    <x v="6"/>
    <n v="13.6874"/>
    <n v="-89.182000000000002"/>
    <n v="9"/>
    <n v="0"/>
    <n v="0"/>
    <n v="107"/>
    <s v="_x0000_peopl"/>
  </r>
  <r>
    <x v="6"/>
    <n v="13.687900000000001"/>
    <n v="-89.180199999999999"/>
    <n v="2"/>
    <n v="0"/>
    <n v="0"/>
    <n v="107"/>
    <s v="_x0000_peopl"/>
  </r>
  <r>
    <x v="6"/>
    <n v="13.6921"/>
    <n v="-89.222200000000001"/>
    <n v="9"/>
    <n v="0"/>
    <n v="0"/>
    <n v="107"/>
    <s v="_x0000_peopl"/>
  </r>
  <r>
    <x v="6"/>
    <n v="13.6799"/>
    <n v="-89.195499999999996"/>
    <n v="5"/>
    <n v="0"/>
    <n v="0"/>
    <n v="107"/>
    <s v="_x0000_peopl"/>
  </r>
  <r>
    <x v="6"/>
    <n v="13.6897"/>
    <n v="-89.180199999999999"/>
    <n v="5"/>
    <n v="0"/>
    <n v="0"/>
    <n v="107"/>
    <s v="_x0000_peopl"/>
  </r>
  <r>
    <x v="6"/>
    <n v="13.6907"/>
    <n v="-89.185699999999997"/>
    <n v="3"/>
    <n v="0"/>
    <n v="0"/>
    <n v="107"/>
    <s v="_x0000_peopl"/>
  </r>
  <r>
    <x v="6"/>
    <n v="13.6881"/>
    <n v="-89.205299999999994"/>
    <n v="7"/>
    <n v="0"/>
    <n v="0"/>
    <n v="107"/>
    <s v="_x0000_peopl"/>
  </r>
  <r>
    <x v="6"/>
    <n v="13.6896"/>
    <n v="-89.235799999999998"/>
    <n v="8"/>
    <n v="0"/>
    <n v="0"/>
    <n v="107"/>
    <s v="_x0000_peopl"/>
  </r>
  <r>
    <x v="6"/>
    <n v="13.6922"/>
    <n v="-89.178899999999999"/>
    <n v="4"/>
    <n v="0"/>
    <n v="0"/>
    <n v="107"/>
    <s v="_x0000_peopl"/>
  </r>
  <r>
    <x v="6"/>
    <n v="13.6853"/>
    <n v="-89.194000000000003"/>
    <n v="2"/>
    <n v="0"/>
    <n v="0"/>
    <n v="107"/>
    <s v="_x0000_peopl"/>
  </r>
  <r>
    <x v="6"/>
    <n v="13.693300000000001"/>
    <n v="-89.176500000000004"/>
    <n v="3"/>
    <n v="0"/>
    <n v="0"/>
    <n v="107"/>
    <s v="_x0000_peopl"/>
  </r>
  <r>
    <x v="6"/>
    <n v="13.6913"/>
    <n v="-89.2286"/>
    <n v="9"/>
    <n v="0"/>
    <n v="0"/>
    <n v="107"/>
    <s v="_x0000_peopl"/>
  </r>
  <r>
    <x v="6"/>
    <n v="13.6922"/>
    <n v="-89.223399999999998"/>
    <n v="5"/>
    <n v="0"/>
    <n v="0"/>
    <n v="107"/>
    <s v="_x0000_peopl"/>
  </r>
  <r>
    <x v="6"/>
    <n v="13.686400000000001"/>
    <n v="-89.203900000000004"/>
    <n v="7"/>
    <n v="0"/>
    <n v="0"/>
    <n v="107"/>
    <s v="_x0000_peopl"/>
  </r>
  <r>
    <x v="6"/>
    <n v="13.673400000000001"/>
    <n v="-89.251400000000004"/>
    <n v="2"/>
    <n v="0"/>
    <n v="0"/>
    <n v="107"/>
    <s v="_x0000_peopl"/>
  </r>
  <r>
    <x v="6"/>
    <n v="13.6858"/>
    <n v="-89.211600000000004"/>
    <n v="6"/>
    <n v="0"/>
    <n v="0"/>
    <n v="107"/>
    <s v="_x0000_peopl"/>
  </r>
  <r>
    <x v="6"/>
    <n v="13.691599999999999"/>
    <n v="-89.220299999999995"/>
    <n v="9"/>
    <n v="0"/>
    <n v="0"/>
    <n v="107"/>
    <s v="_x0000_peopl"/>
  </r>
  <r>
    <x v="6"/>
    <n v="13.6915"/>
    <n v="-89.232500000000002"/>
    <n v="7"/>
    <n v="0"/>
    <n v="0"/>
    <n v="107"/>
    <s v="_x0000_peopl"/>
  </r>
  <r>
    <x v="6"/>
    <n v="13.6913"/>
    <n v="-89.229299999999995"/>
    <n v="11"/>
    <n v="0"/>
    <n v="0"/>
    <n v="107"/>
    <s v="_x0000_peopl"/>
  </r>
  <r>
    <x v="6"/>
    <n v="13.687200000000001"/>
    <n v="-89.196399999999997"/>
    <n v="6"/>
    <n v="0"/>
    <n v="0"/>
    <n v="107"/>
    <s v="_x0000_peopl"/>
  </r>
  <r>
    <x v="6"/>
    <n v="13.6745"/>
    <n v="-89.2517"/>
    <n v="4"/>
    <n v="0"/>
    <n v="0"/>
    <n v="107"/>
    <s v="_x0000_peopl"/>
  </r>
  <r>
    <x v="6"/>
    <n v="13.6928"/>
    <n v="-89.224299999999999"/>
    <n v="7"/>
    <n v="0"/>
    <n v="0"/>
    <n v="107"/>
    <s v="_x0000_peopl"/>
  </r>
  <r>
    <x v="6"/>
    <n v="13.6875"/>
    <n v="-89.194599999999994"/>
    <n v="1"/>
    <n v="0"/>
    <n v="0"/>
    <n v="107"/>
    <s v="_x0000_peopl"/>
  </r>
  <r>
    <x v="6"/>
    <n v="13.687099999999999"/>
    <n v="-89.197699999999998"/>
    <n v="5"/>
    <n v="0"/>
    <n v="0"/>
    <n v="107"/>
    <s v="_x0000_peopl"/>
  </r>
  <r>
    <x v="6"/>
    <n v="13.695399999999999"/>
    <n v="-89.1721"/>
    <n v="8"/>
    <n v="0"/>
    <n v="0"/>
    <n v="107"/>
    <s v="_x0000_peopl"/>
  </r>
  <r>
    <x v="6"/>
    <n v="13.6889"/>
    <n v="-89.190100000000001"/>
    <n v="2"/>
    <n v="0"/>
    <n v="0"/>
    <n v="107"/>
    <s v="_x0000_peopl"/>
  </r>
  <r>
    <x v="6"/>
    <n v="13.6873"/>
    <n v="-89.194599999999994"/>
    <n v="4"/>
    <n v="0"/>
    <n v="0"/>
    <n v="107"/>
    <s v="_x0000_peopl"/>
  </r>
  <r>
    <x v="6"/>
    <n v="13.6845"/>
    <n v="-89.217399999999998"/>
    <n v="5"/>
    <n v="0"/>
    <n v="0"/>
    <n v="107"/>
    <s v="_x0000_peopl"/>
  </r>
  <r>
    <x v="6"/>
    <n v="13.6914"/>
    <n v="-89.189400000000006"/>
    <n v="2"/>
    <n v="0"/>
    <n v="0"/>
    <n v="107"/>
    <s v="_x0000_peopl"/>
  </r>
  <r>
    <x v="6"/>
    <n v="13.691700000000001"/>
    <n v="-89.186000000000007"/>
    <n v="3"/>
    <n v="0"/>
    <n v="0"/>
    <n v="107"/>
    <s v="_x0000_peopl"/>
  </r>
  <r>
    <x v="6"/>
    <n v="13.687099999999999"/>
    <n v="-89.196399999999997"/>
    <n v="0"/>
    <n v="0"/>
    <n v="0"/>
    <n v="107"/>
    <s v="_x0000_peopl"/>
  </r>
  <r>
    <x v="6"/>
    <n v="13.694000000000001"/>
    <n v="-89.176400000000001"/>
    <n v="7"/>
    <n v="0"/>
    <n v="0"/>
    <n v="107"/>
    <s v="_x0000_peopl"/>
  </r>
  <r>
    <x v="6"/>
    <n v="13.687799999999999"/>
    <n v="-89.216899999999995"/>
    <n v="1"/>
    <n v="0"/>
    <n v="0"/>
    <n v="107"/>
    <s v="_x0000_peopl"/>
  </r>
  <r>
    <x v="6"/>
    <n v="13.6746"/>
    <n v="-89.251900000000006"/>
    <n v="3"/>
    <n v="0"/>
    <n v="0"/>
    <n v="107"/>
    <s v="_x0000_peopl"/>
  </r>
  <r>
    <x v="6"/>
    <n v="13.6934"/>
    <n v="-89.192400000000006"/>
    <n v="1"/>
    <n v="0"/>
    <n v="0"/>
    <n v="107"/>
    <s v="_x0000_peopl"/>
  </r>
  <r>
    <x v="6"/>
    <n v="13.686400000000001"/>
    <n v="-89.215900000000005"/>
    <n v="4"/>
    <n v="0"/>
    <n v="0"/>
    <n v="107"/>
    <s v="_x0000_peopl"/>
  </r>
  <r>
    <x v="6"/>
    <n v="13.6919"/>
    <n v="-89.2256"/>
    <n v="4"/>
    <n v="0"/>
    <n v="0"/>
    <n v="107"/>
    <s v="_x0000_peopl"/>
  </r>
  <r>
    <x v="6"/>
    <n v="13.6935"/>
    <n v="-89.173500000000004"/>
    <n v="4"/>
    <n v="0"/>
    <n v="0"/>
    <n v="107"/>
    <s v="_x0000_peopl"/>
  </r>
  <r>
    <x v="6"/>
    <n v="13.687200000000001"/>
    <n v="-89.195599999999999"/>
    <n v="3"/>
    <n v="0"/>
    <n v="0"/>
    <n v="107"/>
    <s v="_x0000_peopl"/>
  </r>
  <r>
    <x v="6"/>
    <n v="13.691000000000001"/>
    <n v="-89.235299999999995"/>
    <n v="7"/>
    <n v="0"/>
    <n v="0"/>
    <n v="107"/>
    <s v="_x0000_peopl"/>
  </r>
  <r>
    <x v="6"/>
    <n v="13.6851"/>
    <n v="-89.203500000000005"/>
    <n v="6"/>
    <n v="0"/>
    <n v="0"/>
    <n v="107"/>
    <s v="_x0000_peopl"/>
  </r>
  <r>
    <x v="6"/>
    <n v="13.6869"/>
    <n v="-89.216899999999995"/>
    <n v="3"/>
    <n v="0"/>
    <n v="0"/>
    <n v="107"/>
    <s v="_x0000_peopl"/>
  </r>
  <r>
    <x v="6"/>
    <n v="13.687799999999999"/>
    <n v="-89.196700000000007"/>
    <n v="11"/>
    <n v="0"/>
    <n v="0"/>
    <n v="107"/>
    <s v="_x0000_peopl"/>
  </r>
  <r>
    <x v="6"/>
    <n v="13.6927"/>
    <n v="-89.174199999999999"/>
    <n v="8"/>
    <n v="0"/>
    <n v="0"/>
    <n v="107"/>
    <s v="_x0000_peopl"/>
  </r>
  <r>
    <x v="6"/>
    <n v="13.692"/>
    <n v="-89.194299999999998"/>
    <n v="8"/>
    <n v="0"/>
    <n v="0"/>
    <n v="107"/>
    <s v="_x0000_peopl"/>
  </r>
  <r>
    <x v="6"/>
    <n v="13.686199999999999"/>
    <n v="-89.193899999999999"/>
    <n v="6"/>
    <n v="0"/>
    <n v="0"/>
    <n v="107"/>
    <s v="_x0000_peopl"/>
  </r>
  <r>
    <x v="6"/>
    <n v="13.6913"/>
    <n v="-89.178600000000003"/>
    <n v="9"/>
    <n v="0"/>
    <n v="0"/>
    <n v="107"/>
    <s v="_x0000_peopl"/>
  </r>
  <r>
    <x v="6"/>
    <n v="13.688800000000001"/>
    <n v="-89.216800000000006"/>
    <n v="8"/>
    <n v="0"/>
    <n v="0"/>
    <n v="107"/>
    <s v="_x0000_peopl"/>
  </r>
  <r>
    <x v="6"/>
    <n v="13.6915"/>
    <n v="-89.179900000000004"/>
    <n v="4"/>
    <n v="0"/>
    <n v="0"/>
    <n v="107"/>
    <s v="_x0000_peopl"/>
  </r>
  <r>
    <x v="6"/>
    <n v="13.6965"/>
    <n v="-89.171599999999998"/>
    <n v="1"/>
    <n v="0"/>
    <n v="0"/>
    <n v="107"/>
    <s v="_x0000_peopl"/>
  </r>
  <r>
    <x v="6"/>
    <n v="13.6851"/>
    <n v="-89.216200000000001"/>
    <n v="5"/>
    <n v="0"/>
    <n v="0"/>
    <n v="107"/>
    <s v="_x0000_peopl"/>
  </r>
  <r>
    <x v="6"/>
    <n v="13.6934"/>
    <n v="-89.188699999999997"/>
    <n v="10"/>
    <n v="0"/>
    <n v="0"/>
    <n v="107"/>
    <s v="_x0000_peopl"/>
  </r>
  <r>
    <x v="6"/>
    <n v="13.6859"/>
    <n v="-89.215000000000003"/>
    <n v="3"/>
    <n v="0"/>
    <n v="0"/>
    <n v="107"/>
    <s v="_x0000_peopl"/>
  </r>
  <r>
    <x v="6"/>
    <n v="13.690799999999999"/>
    <n v="-89.234300000000005"/>
    <n v="4"/>
    <n v="0"/>
    <n v="0"/>
    <n v="107"/>
    <s v="_x0000_peopl"/>
  </r>
  <r>
    <x v="6"/>
    <n v="13.694699999999999"/>
    <n v="-89.182400000000001"/>
    <n v="5"/>
    <n v="0"/>
    <n v="0"/>
    <n v="107"/>
    <s v="_x0000_peopl"/>
  </r>
  <r>
    <x v="6"/>
    <n v="13.6884"/>
    <n v="-89.190799999999996"/>
    <n v="2"/>
    <n v="0"/>
    <n v="0"/>
    <n v="107"/>
    <s v="_x0000_peopl"/>
  </r>
  <r>
    <x v="6"/>
    <n v="13.685700000000001"/>
    <n v="-89.193799999999996"/>
    <n v="4"/>
    <n v="0"/>
    <n v="0"/>
    <n v="107"/>
    <s v="_x0000_peopl"/>
  </r>
  <r>
    <x v="6"/>
    <n v="13.6944"/>
    <n v="-89.183099999999996"/>
    <n v="5"/>
    <n v="0"/>
    <n v="0"/>
    <n v="107"/>
    <s v="_x0000_peopl"/>
  </r>
  <r>
    <x v="6"/>
    <n v="13.6897"/>
    <n v="-89.206500000000005"/>
    <n v="6"/>
    <n v="0"/>
    <n v="0"/>
    <n v="107"/>
    <s v="_x0000_peopl"/>
  </r>
  <r>
    <x v="6"/>
    <n v="13.691000000000001"/>
    <n v="-89.232399999999998"/>
    <n v="2"/>
    <n v="0"/>
    <n v="0"/>
    <n v="107"/>
    <s v="_x0000_peopl"/>
  </r>
  <r>
    <x v="6"/>
    <n v="13.690799999999999"/>
    <n v="-89.1905"/>
    <n v="3"/>
    <n v="0"/>
    <n v="0"/>
    <n v="107"/>
    <s v="_x0000_peopl"/>
  </r>
  <r>
    <x v="6"/>
    <n v="13.690799999999999"/>
    <n v="-89.235500000000002"/>
    <n v="6"/>
    <n v="0"/>
    <n v="0"/>
    <n v="107"/>
    <s v="_x0000_peopl"/>
  </r>
  <r>
    <x v="6"/>
    <n v="13.690799999999999"/>
    <n v="-89.190399999999997"/>
    <n v="6"/>
    <n v="0"/>
    <n v="0"/>
    <n v="107"/>
    <s v="_x0000_peopl"/>
  </r>
  <r>
    <x v="6"/>
    <n v="13.6747"/>
    <n v="-89.252300000000005"/>
    <n v="5"/>
    <n v="0"/>
    <n v="0"/>
    <n v="107"/>
    <s v="_x0000_peopl"/>
  </r>
  <r>
    <x v="6"/>
    <n v="13.6898"/>
    <n v="-89.194000000000003"/>
    <n v="4"/>
    <n v="0"/>
    <n v="0"/>
    <n v="107"/>
    <s v="_x0000_peopl"/>
  </r>
  <r>
    <x v="6"/>
    <n v="13.687099999999999"/>
    <n v="-89.182900000000004"/>
    <n v="10"/>
    <n v="0"/>
    <n v="0"/>
    <n v="107"/>
    <s v="_x0000_peopl"/>
  </r>
  <r>
    <x v="6"/>
    <n v="13.685"/>
    <n v="-89.194000000000003"/>
    <n v="3"/>
    <n v="0"/>
    <n v="0"/>
    <n v="107"/>
    <s v="_x0000_peopl"/>
  </r>
  <r>
    <x v="6"/>
    <n v="13.6904"/>
    <n v="-89.217399999999998"/>
    <n v="3"/>
    <n v="0"/>
    <n v="0"/>
    <n v="107"/>
    <s v="_x0000_peopl"/>
  </r>
  <r>
    <x v="6"/>
    <n v="13.687900000000001"/>
    <n v="-89.193799999999996"/>
    <n v="5"/>
    <n v="0"/>
    <n v="0"/>
    <n v="107"/>
    <s v="_x0000_peopl"/>
  </r>
  <r>
    <x v="6"/>
    <n v="13.692600000000001"/>
    <n v="-89.178700000000006"/>
    <n v="5"/>
    <n v="0"/>
    <n v="0"/>
    <n v="107"/>
    <s v="_x0000_peopl"/>
  </r>
  <r>
    <x v="6"/>
    <n v="13.693899999999999"/>
    <n v="-89.172799999999995"/>
    <n v="3"/>
    <n v="0"/>
    <n v="0"/>
    <n v="107"/>
    <s v="_x0000_peopl"/>
  </r>
  <r>
    <x v="6"/>
    <n v="13.6884"/>
    <n v="-89.216999999999999"/>
    <n v="4"/>
    <n v="0"/>
    <n v="0"/>
    <n v="107"/>
    <s v="_x0000_peopl"/>
  </r>
  <r>
    <x v="6"/>
    <n v="13.6906"/>
    <n v="-89.186499999999995"/>
    <n v="4"/>
    <n v="0"/>
    <n v="0"/>
    <n v="107"/>
    <s v="_x0000_peopl"/>
  </r>
  <r>
    <x v="6"/>
    <n v="13.692600000000001"/>
    <n v="-89.178700000000006"/>
    <n v="4"/>
    <n v="0"/>
    <n v="0"/>
    <n v="107"/>
    <s v="_x0000_peopl"/>
  </r>
  <r>
    <x v="6"/>
    <n v="13.690200000000001"/>
    <n v="-89.186300000000003"/>
    <n v="8"/>
    <n v="0"/>
    <n v="0"/>
    <n v="107"/>
    <s v="_x0000_peopl"/>
  </r>
  <r>
    <x v="6"/>
    <n v="13.6752"/>
    <n v="-89.248400000000004"/>
    <n v="3"/>
    <n v="0"/>
    <n v="0"/>
    <n v="107"/>
    <s v="_x0000_peopl"/>
  </r>
  <r>
    <x v="6"/>
    <n v="13.6877"/>
    <n v="-89.197100000000006"/>
    <n v="5"/>
    <n v="0"/>
    <n v="0"/>
    <n v="107"/>
    <s v="_x0000_peopl"/>
  </r>
  <r>
    <x v="6"/>
    <n v="13.694900000000001"/>
    <n v="-89.1738"/>
    <n v="7"/>
    <n v="0"/>
    <n v="0"/>
    <n v="107"/>
    <s v="_x0000_peopl"/>
  </r>
  <r>
    <x v="6"/>
    <n v="13.6875"/>
    <n v="-89.194900000000004"/>
    <n v="4"/>
    <n v="0"/>
    <n v="0"/>
    <n v="107"/>
    <s v="_x0000_peopl"/>
  </r>
  <r>
    <x v="6"/>
    <n v="13.690099999999999"/>
    <n v="-89.228399999999993"/>
    <n v="3"/>
    <n v="0"/>
    <n v="0"/>
    <n v="107"/>
    <s v="_x0000_peopl"/>
  </r>
  <r>
    <x v="6"/>
    <n v="13.692"/>
    <n v="-89.225399999999993"/>
    <n v="7"/>
    <n v="0"/>
    <n v="0"/>
    <n v="107"/>
    <s v="_x0000_peopl"/>
  </r>
  <r>
    <x v="6"/>
    <n v="13.6911"/>
    <n v="-89.188599999999994"/>
    <n v="7"/>
    <n v="0"/>
    <n v="0"/>
    <n v="107"/>
    <s v="_x0000_peopl"/>
  </r>
  <r>
    <x v="6"/>
    <n v="13.6889"/>
    <n v="-89.229600000000005"/>
    <n v="6"/>
    <n v="0"/>
    <n v="0"/>
    <n v="107"/>
    <s v="_x0000_peopl"/>
  </r>
  <r>
    <x v="6"/>
    <n v="13.6729"/>
    <n v="-89.204599999999999"/>
    <n v="5"/>
    <n v="0"/>
    <n v="0"/>
    <n v="107"/>
    <s v="_x0000_peopl"/>
  </r>
  <r>
    <x v="6"/>
    <n v="13.692500000000001"/>
    <n v="-89.189599999999999"/>
    <n v="2"/>
    <n v="0"/>
    <n v="0"/>
    <n v="107"/>
    <s v="_x0000_peopl"/>
  </r>
  <r>
    <x v="6"/>
    <n v="13.6907"/>
    <n v="-89.235100000000003"/>
    <n v="4"/>
    <n v="0"/>
    <n v="0"/>
    <n v="107"/>
    <s v="_x0000_peopl"/>
  </r>
  <r>
    <x v="6"/>
    <n v="13.6884"/>
    <n v="-89.204099999999997"/>
    <n v="3"/>
    <n v="0"/>
    <n v="0"/>
    <n v="107"/>
    <s v="_x0000_peopl"/>
  </r>
  <r>
    <x v="6"/>
    <n v="13.692500000000001"/>
    <n v="-89.225999999999999"/>
    <n v="6"/>
    <n v="0"/>
    <n v="0"/>
    <n v="107"/>
    <s v="_x0000_peopl"/>
  </r>
  <r>
    <x v="6"/>
    <n v="13.687099999999999"/>
    <n v="-89.197299999999998"/>
    <n v="9"/>
    <n v="0"/>
    <n v="0"/>
    <n v="107"/>
    <s v="_x0000_peopl"/>
  </r>
  <r>
    <x v="6"/>
    <n v="13.6889"/>
    <n v="-89.215699999999998"/>
    <n v="5"/>
    <n v="0"/>
    <n v="0"/>
    <n v="107"/>
    <s v="_x0000_peopl"/>
  </r>
  <r>
    <x v="6"/>
    <n v="13.687799999999999"/>
    <n v="-89.180899999999994"/>
    <n v="3"/>
    <n v="0"/>
    <n v="0"/>
    <n v="107"/>
    <s v="_x0000_peopl"/>
  </r>
  <r>
    <x v="6"/>
    <n v="13.694800000000001"/>
    <n v="-89.174099999999996"/>
    <n v="4"/>
    <n v="0"/>
    <n v="0"/>
    <n v="107"/>
    <s v="_x0000_peopl"/>
  </r>
  <r>
    <x v="6"/>
    <n v="13.6731"/>
    <n v="-89.204400000000007"/>
    <n v="3"/>
    <n v="0"/>
    <n v="0"/>
    <n v="107"/>
    <s v="_x0000_peopl"/>
  </r>
  <r>
    <x v="6"/>
    <n v="13.6881"/>
    <n v="-89.205500000000001"/>
    <n v="2"/>
    <n v="0"/>
    <n v="0"/>
    <n v="107"/>
    <s v="_x0000_peopl"/>
  </r>
  <r>
    <x v="6"/>
    <n v="13.687200000000001"/>
    <n v="-89.213800000000006"/>
    <n v="4"/>
    <n v="0"/>
    <n v="0"/>
    <n v="107"/>
    <s v="_x0000_peopl"/>
  </r>
  <r>
    <x v="6"/>
    <n v="13.6967"/>
    <n v="-89.1721"/>
    <n v="5"/>
    <n v="0"/>
    <n v="0"/>
    <n v="107"/>
    <s v="_x0000_peopl"/>
  </r>
  <r>
    <x v="6"/>
    <n v="13.6768"/>
    <n v="-89.199700000000007"/>
    <n v="5"/>
    <n v="0"/>
    <n v="0"/>
    <n v="107"/>
    <s v="_x0000_peopl"/>
  </r>
  <r>
    <x v="6"/>
    <n v="13.6929"/>
    <n v="-89.184299999999993"/>
    <n v="6"/>
    <n v="0"/>
    <n v="0"/>
    <n v="107"/>
    <s v="_x0000_peopl"/>
  </r>
  <r>
    <x v="6"/>
    <n v="13.6891"/>
    <n v="-89.215000000000003"/>
    <n v="7"/>
    <n v="0"/>
    <n v="0"/>
    <n v="107"/>
    <s v="_x0000_peopl"/>
  </r>
  <r>
    <x v="6"/>
    <n v="13.6876"/>
    <n v="-89.194999999999993"/>
    <n v="5"/>
    <n v="0"/>
    <n v="0"/>
    <n v="107"/>
    <s v="_x0000_peopl"/>
  </r>
  <r>
    <x v="6"/>
    <n v="13.6921"/>
    <n v="-89.1785"/>
    <n v="1"/>
    <n v="0"/>
    <n v="0"/>
    <n v="107"/>
    <s v="_x0000_peopl"/>
  </r>
  <r>
    <x v="6"/>
    <n v="13.6777"/>
    <n v="-89.246300000000005"/>
    <n v="6"/>
    <n v="0"/>
    <n v="0"/>
    <n v="107"/>
    <s v="_x0000_peopl"/>
  </r>
  <r>
    <x v="6"/>
    <n v="13.6913"/>
    <n v="-89.233199999999997"/>
    <n v="7"/>
    <n v="0"/>
    <n v="0"/>
    <n v="107"/>
    <s v="_x0000_peopl"/>
  </r>
  <r>
    <x v="6"/>
    <n v="13.6911"/>
    <n v="-89.178600000000003"/>
    <n v="6"/>
    <n v="0"/>
    <n v="0"/>
    <n v="107"/>
    <s v="_x0000_peopl"/>
  </r>
  <r>
    <x v="6"/>
    <n v="13.6935"/>
    <n v="-89.183300000000003"/>
    <n v="6"/>
    <n v="0"/>
    <n v="0"/>
    <n v="107"/>
    <s v="_x0000_peopl"/>
  </r>
  <r>
    <x v="6"/>
    <n v="13.6912"/>
    <n v="-89.220299999999995"/>
    <n v="4"/>
    <n v="0"/>
    <n v="0"/>
    <n v="107"/>
    <s v="_x0000_peopl"/>
  </r>
  <r>
    <x v="6"/>
    <n v="13.6972"/>
    <n v="-89.171300000000002"/>
    <n v="6"/>
    <n v="0"/>
    <n v="0"/>
    <n v="107"/>
    <s v="_x0000_peopl"/>
  </r>
  <r>
    <x v="6"/>
    <n v="13.6897"/>
    <n v="-89.194000000000003"/>
    <n v="7"/>
    <n v="0"/>
    <n v="0"/>
    <n v="107"/>
    <s v="_x0000_peopl"/>
  </r>
  <r>
    <x v="6"/>
    <n v="13.690799999999999"/>
    <n v="-89.183099999999996"/>
    <n v="4"/>
    <n v="0"/>
    <n v="0"/>
    <n v="107"/>
    <s v="_x0000_peopl"/>
  </r>
  <r>
    <x v="6"/>
    <n v="13.685700000000001"/>
    <n v="-89.194000000000003"/>
    <n v="3"/>
    <n v="0"/>
    <n v="0"/>
    <n v="107"/>
    <s v="_x0000_peopl"/>
  </r>
  <r>
    <x v="6"/>
    <n v="13.692"/>
    <n v="-89.224699999999999"/>
    <n v="7"/>
    <n v="0"/>
    <n v="0"/>
    <n v="107"/>
    <s v="_x0000_peopl"/>
  </r>
  <r>
    <x v="6"/>
    <n v="13.690799999999999"/>
    <n v="-89.1952"/>
    <n v="4"/>
    <n v="0"/>
    <n v="0"/>
    <n v="107"/>
    <s v="_x0000_peopl"/>
  </r>
  <r>
    <x v="6"/>
    <n v="13.6876"/>
    <n v="-89.197199999999995"/>
    <n v="7"/>
    <n v="0"/>
    <n v="0"/>
    <n v="107"/>
    <s v="_x0000_peopl"/>
  </r>
  <r>
    <x v="6"/>
    <n v="13.6877"/>
    <n v="-89.191999999999993"/>
    <n v="3"/>
    <n v="0"/>
    <n v="0"/>
    <n v="107"/>
    <s v="_x0000_peopl"/>
  </r>
  <r>
    <x v="6"/>
    <n v="13.6915"/>
    <n v="-89.189300000000003"/>
    <n v="3"/>
    <n v="0"/>
    <n v="0"/>
    <n v="107"/>
    <s v="_x0000_peopl"/>
  </r>
  <r>
    <x v="6"/>
    <n v="13.69"/>
    <n v="-89.195700000000002"/>
    <n v="8"/>
    <n v="0"/>
    <n v="0"/>
    <n v="107"/>
    <s v="_x0000_peopl"/>
  </r>
  <r>
    <x v="6"/>
    <n v="13.685600000000001"/>
    <n v="-89.203500000000005"/>
    <n v="6"/>
    <n v="0"/>
    <n v="0"/>
    <n v="107"/>
    <s v="_x0000_peopl"/>
  </r>
  <r>
    <x v="6"/>
    <n v="13.692299999999999"/>
    <n v="-89.226600000000005"/>
    <n v="4"/>
    <n v="0"/>
    <n v="0"/>
    <n v="107"/>
    <s v="_x0000_peopl"/>
  </r>
  <r>
    <x v="6"/>
    <n v="13.6934"/>
    <n v="-89.183700000000002"/>
    <n v="3"/>
    <n v="0"/>
    <n v="0"/>
    <n v="107"/>
    <s v="_x0000_peopl"/>
  </r>
  <r>
    <x v="6"/>
    <n v="13.6891"/>
    <n v="-89.183599999999998"/>
    <n v="0"/>
    <n v="0"/>
    <n v="0"/>
    <n v="107"/>
    <s v="_x0000_peopl"/>
  </r>
  <r>
    <x v="6"/>
    <n v="13.6892"/>
    <n v="-89.196700000000007"/>
    <n v="6"/>
    <n v="0"/>
    <n v="0"/>
    <n v="107"/>
    <s v="_x0000_peopl"/>
  </r>
  <r>
    <x v="6"/>
    <n v="13.6883"/>
    <n v="-89.190700000000007"/>
    <n v="3"/>
    <n v="0"/>
    <n v="0"/>
    <n v="107"/>
    <s v="_x0000_peopl"/>
  </r>
  <r>
    <x v="6"/>
    <n v="13.692500000000001"/>
    <n v="-89.175899999999999"/>
    <n v="5"/>
    <n v="0"/>
    <n v="0"/>
    <n v="107"/>
    <s v="_x0000_peopl"/>
  </r>
  <r>
    <x v="6"/>
    <n v="13.679500000000001"/>
    <n v="-89.1965"/>
    <n v="6"/>
    <n v="0"/>
    <n v="0"/>
    <n v="107"/>
    <s v="_x0000_peopl"/>
  </r>
  <r>
    <x v="6"/>
    <n v="13.6897"/>
    <n v="-89.228800000000007"/>
    <n v="5"/>
    <n v="0"/>
    <n v="0"/>
    <n v="107"/>
    <s v="_x0000_peopl"/>
  </r>
  <r>
    <x v="6"/>
    <n v="13.687099999999999"/>
    <n v="-89.197000000000003"/>
    <n v="5"/>
    <n v="0"/>
    <n v="0"/>
    <n v="107"/>
    <s v="_x0000_peopl"/>
  </r>
  <r>
    <x v="6"/>
    <n v="13.694599999999999"/>
    <n v="-89.183000000000007"/>
    <n v="4"/>
    <n v="0"/>
    <n v="0"/>
    <n v="107"/>
    <s v="_x0000_peopl"/>
  </r>
  <r>
    <x v="6"/>
    <n v="13.6774"/>
    <n v="-89.246399999999994"/>
    <n v="5"/>
    <n v="0"/>
    <n v="0"/>
    <n v="107"/>
    <s v="_x0000_peopl"/>
  </r>
  <r>
    <x v="6"/>
    <n v="13.688499999999999"/>
    <n v="-89.198099999999997"/>
    <n v="9"/>
    <n v="0"/>
    <n v="0"/>
    <n v="107"/>
    <s v="_x0000_peopl"/>
  </r>
  <r>
    <x v="6"/>
    <n v="13.6889"/>
    <n v="-89.229399999999998"/>
    <n v="3"/>
    <n v="0"/>
    <n v="0"/>
    <n v="107"/>
    <s v="_x0000_peopl"/>
  </r>
  <r>
    <x v="6"/>
    <n v="13.694699999999999"/>
    <n v="-89.175299999999993"/>
    <n v="5"/>
    <n v="0"/>
    <n v="0"/>
    <n v="107"/>
    <s v="_x0000_peopl"/>
  </r>
  <r>
    <x v="6"/>
    <n v="13.694699999999999"/>
    <n v="-89.174000000000007"/>
    <n v="6"/>
    <n v="0"/>
    <n v="0"/>
    <n v="107"/>
    <s v="_x0000_peopl"/>
  </r>
  <r>
    <x v="6"/>
    <n v="13.6914"/>
    <n v="-89.234800000000007"/>
    <n v="5"/>
    <n v="0"/>
    <n v="0"/>
    <n v="107"/>
    <s v="_x0000_peopl"/>
  </r>
  <r>
    <x v="6"/>
    <n v="13.6858"/>
    <n v="-89.215299999999999"/>
    <n v="7"/>
    <n v="0"/>
    <n v="0"/>
    <n v="107"/>
    <s v="_x0000_peopl"/>
  </r>
  <r>
    <x v="6"/>
    <n v="13.691800000000001"/>
    <n v="-89.186000000000007"/>
    <n v="4"/>
    <n v="0"/>
    <n v="0"/>
    <n v="107"/>
    <s v="_x0000_peopl"/>
  </r>
  <r>
    <x v="6"/>
    <n v="13.6898"/>
    <n v="-89.184600000000003"/>
    <n v="3"/>
    <n v="0"/>
    <n v="0"/>
    <n v="107"/>
    <s v="_x0000_peopl"/>
  </r>
  <r>
    <x v="6"/>
    <n v="13.6877"/>
    <n v="-89.180400000000006"/>
    <n v="3"/>
    <n v="0"/>
    <n v="0"/>
    <n v="107"/>
    <s v="_x0000_peopl"/>
  </r>
  <r>
    <x v="6"/>
    <n v="13.689399999999999"/>
    <n v="-89.190299999999993"/>
    <n v="2"/>
    <n v="0"/>
    <n v="0"/>
    <n v="107"/>
    <s v="_x0000_peopl"/>
  </r>
  <r>
    <x v="6"/>
    <n v="13.6914"/>
    <n v="-89.233999999999995"/>
    <n v="4"/>
    <n v="0"/>
    <n v="0"/>
    <n v="107"/>
    <s v="_x0000_peopl"/>
  </r>
  <r>
    <x v="6"/>
    <n v="13.690899999999999"/>
    <n v="-89.194500000000005"/>
    <n v="3"/>
    <n v="0"/>
    <n v="0"/>
    <n v="107"/>
    <s v="_x0000_peopl"/>
  </r>
  <r>
    <x v="6"/>
    <n v="13.688599999999999"/>
    <n v="-89.206900000000005"/>
    <n v="5"/>
    <n v="0"/>
    <n v="0"/>
    <n v="107"/>
    <s v="_x0000_peopl"/>
  </r>
  <r>
    <x v="6"/>
    <n v="13.691700000000001"/>
    <n v="-89.221199999999996"/>
    <n v="1"/>
    <n v="0"/>
    <n v="0"/>
    <n v="107"/>
    <s v="_x0000_peopl"/>
  </r>
  <r>
    <x v="6"/>
    <n v="13.690899999999999"/>
    <n v="-89.232500000000002"/>
    <n v="6"/>
    <n v="0"/>
    <n v="0"/>
    <n v="107"/>
    <s v="_x0000_peopl"/>
  </r>
  <r>
    <x v="6"/>
    <n v="13.690799999999999"/>
    <n v="-89.195499999999996"/>
    <n v="6"/>
    <n v="0"/>
    <n v="0"/>
    <n v="107"/>
    <s v="_x0000_peopl"/>
  </r>
  <r>
    <x v="6"/>
    <n v="13.6775"/>
    <n v="-89.247500000000002"/>
    <n v="2"/>
    <n v="0"/>
    <n v="0"/>
    <n v="107"/>
    <s v="_x0000_peopl"/>
  </r>
  <r>
    <x v="6"/>
    <n v="13.674899999999999"/>
    <n v="-89.252099999999999"/>
    <n v="2"/>
    <n v="0"/>
    <n v="0"/>
    <n v="107"/>
    <s v="_x0000_peopl"/>
  </r>
  <r>
    <x v="6"/>
    <n v="13.6892"/>
    <n v="-89.183999999999997"/>
    <n v="2"/>
    <n v="0"/>
    <n v="0"/>
    <n v="107"/>
    <s v="_x0000_peopl"/>
  </r>
  <r>
    <x v="6"/>
    <n v="13.6938"/>
    <n v="-89.173400000000001"/>
    <n v="7"/>
    <n v="0"/>
    <n v="0"/>
    <n v="107"/>
    <s v="_x0000_peopl"/>
  </r>
  <r>
    <x v="6"/>
    <n v="13.6899"/>
    <n v="-89.217399999999998"/>
    <n v="7"/>
    <n v="0"/>
    <n v="0"/>
    <n v="107"/>
    <s v="_x0000_peopl"/>
  </r>
  <r>
    <x v="6"/>
    <n v="13.6929"/>
    <n v="-89.178200000000004"/>
    <n v="5"/>
    <n v="0"/>
    <n v="0"/>
    <n v="107"/>
    <s v="_x0000_peopl"/>
  </r>
  <r>
    <x v="6"/>
    <n v="13.688000000000001"/>
    <n v="-89.193799999999996"/>
    <n v="6"/>
    <n v="0"/>
    <n v="0"/>
    <n v="107"/>
    <s v="_x0000_peopl"/>
  </r>
  <r>
    <x v="6"/>
    <n v="13.686"/>
    <n v="-89.214399999999998"/>
    <n v="3"/>
    <n v="0"/>
    <n v="0"/>
    <n v="107"/>
    <s v="_x0000_peopl"/>
  </r>
  <r>
    <x v="6"/>
    <n v="13.698"/>
    <n v="-89.168999999999997"/>
    <n v="3"/>
    <n v="0"/>
    <n v="0"/>
    <n v="107"/>
    <s v="_x0000_peopl"/>
  </r>
  <r>
    <x v="6"/>
    <n v="13.6914"/>
    <n v="-89.233699999999999"/>
    <n v="1"/>
    <n v="0"/>
    <n v="0"/>
    <n v="107"/>
    <s v="_x0000_peopl"/>
  </r>
  <r>
    <x v="6"/>
    <n v="13.6882"/>
    <n v="-89.181700000000006"/>
    <n v="4"/>
    <n v="0"/>
    <n v="0"/>
    <n v="107"/>
    <s v="_x0000_peopl"/>
  </r>
  <r>
    <x v="6"/>
    <n v="13.689"/>
    <n v="-89.206500000000005"/>
    <n v="6"/>
    <n v="0"/>
    <n v="0"/>
    <n v="107"/>
    <s v="_x0000_peopl"/>
  </r>
  <r>
    <x v="6"/>
    <n v="13.6883"/>
    <n v="-89.194000000000003"/>
    <n v="6"/>
    <n v="0"/>
    <n v="0"/>
    <n v="107"/>
    <s v="_x0000_peopl"/>
  </r>
  <r>
    <x v="6"/>
    <n v="13.6935"/>
    <n v="-89.176100000000005"/>
    <n v="8"/>
    <n v="0"/>
    <n v="0"/>
    <n v="107"/>
    <s v="_x0000_peopl"/>
  </r>
  <r>
    <x v="6"/>
    <n v="13.6877"/>
    <n v="-89.183499999999995"/>
    <n v="8"/>
    <n v="0"/>
    <n v="0"/>
    <n v="107"/>
    <s v="_x0000_peopl"/>
  </r>
  <r>
    <x v="6"/>
    <n v="13.6875"/>
    <n v="-89.194699999999997"/>
    <n v="4"/>
    <n v="0"/>
    <n v="0"/>
    <n v="107"/>
    <s v="_x0000_peopl"/>
  </r>
  <r>
    <x v="6"/>
    <n v="13.6907"/>
    <n v="-89.178600000000003"/>
    <n v="4"/>
    <n v="0"/>
    <n v="0"/>
    <n v="107"/>
    <s v="_x0000_peopl"/>
  </r>
  <r>
    <x v="6"/>
    <n v="13.689500000000001"/>
    <n v="-89.235500000000002"/>
    <n v="2"/>
    <n v="0"/>
    <n v="0"/>
    <n v="107"/>
    <s v="_x0000_peopl"/>
  </r>
  <r>
    <x v="6"/>
    <n v="13.6891"/>
    <n v="-89.190399999999997"/>
    <n v="8"/>
    <n v="0"/>
    <n v="0"/>
    <n v="107"/>
    <s v="_x0000_peopl"/>
  </r>
  <r>
    <x v="6"/>
    <n v="13.690799999999999"/>
    <n v="-89.190399999999997"/>
    <n v="4"/>
    <n v="0"/>
    <n v="0"/>
    <n v="107"/>
    <s v="_x0000_peopl"/>
  </r>
  <r>
    <x v="6"/>
    <n v="13.6915"/>
    <n v="-89.181600000000003"/>
    <n v="3"/>
    <n v="0"/>
    <n v="0"/>
    <n v="107"/>
    <s v="_x0000_peopl"/>
  </r>
  <r>
    <x v="6"/>
    <n v="13.687200000000001"/>
    <n v="-89.194900000000004"/>
    <n v="5"/>
    <n v="0"/>
    <n v="0"/>
    <n v="107"/>
    <s v="_x0000_peopl"/>
  </r>
  <r>
    <x v="6"/>
    <n v="13.6943"/>
    <n v="-89.183300000000003"/>
    <n v="6"/>
    <n v="0"/>
    <n v="0"/>
    <n v="107"/>
    <s v="_x0000_peopl"/>
  </r>
  <r>
    <x v="6"/>
    <n v="13.6899"/>
    <n v="-89.197900000000004"/>
    <n v="1"/>
    <n v="0"/>
    <n v="0"/>
    <n v="107"/>
    <s v="_x0000_peopl"/>
  </r>
  <r>
    <x v="6"/>
    <n v="13.6904"/>
    <n v="-89.178799999999995"/>
    <n v="3"/>
    <n v="0"/>
    <n v="0"/>
    <n v="107"/>
    <s v="_x0000_peopl"/>
  </r>
  <r>
    <x v="6"/>
    <n v="13.696899999999999"/>
    <n v="-89.171300000000002"/>
    <n v="5"/>
    <n v="0"/>
    <n v="0"/>
    <n v="107"/>
    <s v="_x0000_peopl"/>
  </r>
  <r>
    <x v="6"/>
    <n v="13.685499999999999"/>
    <n v="-89.203500000000005"/>
    <n v="6"/>
    <n v="0"/>
    <n v="0"/>
    <n v="107"/>
    <s v="_x0000_peopl"/>
  </r>
  <r>
    <x v="6"/>
    <n v="13.680300000000001"/>
    <n v="-89.195999999999998"/>
    <n v="8"/>
    <n v="0"/>
    <n v="0"/>
    <n v="107"/>
    <s v="_x0000_peopl"/>
  </r>
  <r>
    <x v="6"/>
    <n v="13.673500000000001"/>
    <n v="-89.204499999999996"/>
    <n v="2"/>
    <n v="0"/>
    <n v="0"/>
    <n v="107"/>
    <s v="_x0000_peopl"/>
  </r>
  <r>
    <x v="6"/>
    <n v="13.6745"/>
    <n v="-89.251199999999997"/>
    <n v="2"/>
    <n v="0"/>
    <n v="0"/>
    <n v="107"/>
    <s v="_x0000_peopl"/>
  </r>
  <r>
    <x v="6"/>
    <n v="13.689500000000001"/>
    <n v="-89.208100000000002"/>
    <n v="1"/>
    <n v="0"/>
    <n v="0"/>
    <n v="107"/>
    <s v="_x0000_peopl"/>
  </r>
  <r>
    <x v="6"/>
    <n v="13.6943"/>
    <n v="-89.186300000000003"/>
    <n v="5"/>
    <n v="0"/>
    <n v="0"/>
    <n v="107"/>
    <s v="_x0000_peopl"/>
  </r>
  <r>
    <x v="6"/>
    <n v="13.6913"/>
    <n v="-89.19"/>
    <n v="4"/>
    <n v="0"/>
    <n v="0"/>
    <n v="107"/>
    <s v="_x0000_peopl"/>
  </r>
  <r>
    <x v="6"/>
    <n v="13.686999999999999"/>
    <n v="-89.197400000000002"/>
    <n v="3"/>
    <n v="0"/>
    <n v="0"/>
    <n v="107"/>
    <s v="_x0000_peopl"/>
  </r>
  <r>
    <x v="6"/>
    <n v="13.692500000000001"/>
    <n v="-89.178799999999995"/>
    <n v="2"/>
    <n v="0"/>
    <n v="0"/>
    <n v="107"/>
    <s v="_x0000_peopl"/>
  </r>
  <r>
    <x v="6"/>
    <n v="13.6867"/>
    <n v="-89.213399999999993"/>
    <n v="7"/>
    <n v="0"/>
    <n v="0"/>
    <n v="107"/>
    <s v="_x0000_peopl"/>
  </r>
  <r>
    <x v="6"/>
    <n v="13.6972"/>
    <n v="-89.171499999999995"/>
    <n v="5"/>
    <n v="0"/>
    <n v="0"/>
    <n v="107"/>
    <s v="_x0000_peopl"/>
  </r>
  <r>
    <x v="6"/>
    <n v="13.6898"/>
    <n v="-89.188599999999994"/>
    <n v="8"/>
    <n v="0"/>
    <n v="0"/>
    <n v="107"/>
    <s v="_x0000_peopl"/>
  </r>
  <r>
    <x v="6"/>
    <n v="13.6892"/>
    <n v="-89.206299999999999"/>
    <n v="9"/>
    <n v="0"/>
    <n v="0"/>
    <n v="107"/>
    <s v="_x0000_peopl"/>
  </r>
  <r>
    <x v="6"/>
    <n v="13.690300000000001"/>
    <n v="-89.195899999999995"/>
    <n v="5"/>
    <n v="0"/>
    <n v="0"/>
    <n v="107"/>
    <s v="_x0000_peopl"/>
  </r>
  <r>
    <x v="6"/>
    <n v="13.688700000000001"/>
    <n v="-89.189800000000005"/>
    <n v="7"/>
    <n v="0"/>
    <n v="0"/>
    <n v="107"/>
    <s v="_x0000_peopl"/>
  </r>
  <r>
    <x v="6"/>
    <n v="13.690300000000001"/>
    <n v="-89.195800000000006"/>
    <n v="5"/>
    <n v="0"/>
    <n v="0"/>
    <n v="107"/>
    <s v="_x0000_peopl"/>
  </r>
  <r>
    <x v="6"/>
    <n v="13.691000000000001"/>
    <n v="-89.188800000000001"/>
    <n v="4"/>
    <n v="0"/>
    <n v="0"/>
    <n v="107"/>
    <s v="_x0000_peopl"/>
  </r>
  <r>
    <x v="6"/>
    <n v="13.688599999999999"/>
    <n v="-89.229699999999994"/>
    <n v="6"/>
    <n v="0"/>
    <n v="0"/>
    <n v="107"/>
    <s v="_x0000_peopl"/>
  </r>
  <r>
    <x v="6"/>
    <n v="13.696"/>
    <n v="-89.1721"/>
    <n v="6"/>
    <n v="0"/>
    <n v="0"/>
    <n v="107"/>
    <s v="_x0000_peopl"/>
  </r>
  <r>
    <x v="6"/>
    <n v="13.6846"/>
    <n v="-89.217200000000005"/>
    <n v="3"/>
    <n v="0"/>
    <n v="0"/>
    <n v="107"/>
    <s v="_x0000_peopl"/>
  </r>
  <r>
    <x v="6"/>
    <n v="13.6914"/>
    <n v="-89.233199999999997"/>
    <n v="3"/>
    <n v="0"/>
    <n v="0"/>
    <n v="107"/>
    <s v="_x0000_peopl"/>
  </r>
  <r>
    <x v="6"/>
    <n v="13.694599999999999"/>
    <n v="-89.172499999999999"/>
    <n v="6"/>
    <n v="0"/>
    <n v="0"/>
    <n v="107"/>
    <s v="_x0000_peopl"/>
  </r>
  <r>
    <x v="6"/>
    <n v="13.679399999999999"/>
    <n v="-89.197199999999995"/>
    <n v="4"/>
    <n v="0"/>
    <n v="0"/>
    <n v="107"/>
    <s v="_x0000_peopl"/>
  </r>
  <r>
    <x v="6"/>
    <n v="13.685499999999999"/>
    <n v="-89.203100000000006"/>
    <n v="6"/>
    <n v="0"/>
    <n v="0"/>
    <n v="107"/>
    <s v="_x0000_peopl"/>
  </r>
  <r>
    <x v="6"/>
    <n v="13.6906"/>
    <n v="-89.195499999999996"/>
    <n v="3"/>
    <n v="0"/>
    <n v="0"/>
    <n v="107"/>
    <s v="_x0000_peopl"/>
  </r>
  <r>
    <x v="6"/>
    <n v="13.6755"/>
    <n v="-89.247699999999995"/>
    <n v="7"/>
    <n v="0"/>
    <n v="0"/>
    <n v="107"/>
    <s v="_x0000_peopl"/>
  </r>
  <r>
    <x v="6"/>
    <n v="13.696899999999999"/>
    <n v="-89.171800000000005"/>
    <n v="7"/>
    <n v="0"/>
    <n v="0"/>
    <n v="107"/>
    <s v="_x0000_peopl"/>
  </r>
  <r>
    <x v="6"/>
    <n v="13.6874"/>
    <n v="-89.194400000000002"/>
    <n v="6"/>
    <n v="0"/>
    <n v="0"/>
    <n v="107"/>
    <s v="_x0000_peopl"/>
  </r>
  <r>
    <x v="6"/>
    <n v="13.6846"/>
    <n v="-89.217100000000002"/>
    <n v="7"/>
    <n v="0"/>
    <n v="0"/>
    <n v="107"/>
    <s v="_x0000_peopl"/>
  </r>
  <r>
    <x v="6"/>
    <n v="13.690899999999999"/>
    <n v="-89.190799999999996"/>
    <n v="2"/>
    <n v="0"/>
    <n v="0"/>
    <n v="107"/>
    <s v="_x0000_peopl"/>
  </r>
  <r>
    <x v="6"/>
    <n v="13.688700000000001"/>
    <n v="-89.180499999999995"/>
    <n v="11"/>
    <n v="0"/>
    <n v="0"/>
    <n v="107"/>
    <s v="_x0000_peopl"/>
  </r>
  <r>
    <x v="6"/>
    <n v="13.6813"/>
    <n v="-89.195400000000006"/>
    <n v="5"/>
    <n v="0"/>
    <n v="0"/>
    <n v="107"/>
    <s v="_x0000_peopl"/>
  </r>
  <r>
    <x v="6"/>
    <n v="13.6906"/>
    <n v="-89.235200000000006"/>
    <n v="3"/>
    <n v="0"/>
    <n v="0"/>
    <n v="107"/>
    <s v="_x0000_peopl"/>
  </r>
  <r>
    <x v="6"/>
    <n v="13.689399999999999"/>
    <n v="-89.207599999999999"/>
    <n v="11"/>
    <n v="0"/>
    <n v="0"/>
    <n v="107"/>
    <s v="_x0000_peopl"/>
  </r>
  <r>
    <x v="6"/>
    <n v="13.69"/>
    <n v="-89.193899999999999"/>
    <n v="8"/>
    <n v="0"/>
    <n v="0"/>
    <n v="107"/>
    <s v="_x0000_peopl"/>
  </r>
  <r>
    <x v="6"/>
    <n v="13.6958"/>
    <n v="-89.173400000000001"/>
    <n v="6"/>
    <n v="0"/>
    <n v="0"/>
    <n v="107"/>
    <s v="_x0000_peopl"/>
  </r>
  <r>
    <x v="6"/>
    <n v="13.6876"/>
    <n v="-89.196899999999999"/>
    <n v="2"/>
    <n v="0"/>
    <n v="0"/>
    <n v="107"/>
    <s v="_x0000_peopl"/>
  </r>
  <r>
    <x v="6"/>
    <n v="13.6858"/>
    <n v="-89.201400000000007"/>
    <n v="2"/>
    <n v="0"/>
    <n v="0"/>
    <n v="107"/>
    <s v="_x0000_peopl"/>
  </r>
  <r>
    <x v="6"/>
    <n v="13.6875"/>
    <n v="-89.183499999999995"/>
    <n v="9"/>
    <n v="0"/>
    <n v="0"/>
    <n v="107"/>
    <s v="_x0000_peopl"/>
  </r>
  <r>
    <x v="6"/>
    <n v="13.6854"/>
    <n v="-89.211299999999994"/>
    <n v="6"/>
    <n v="0"/>
    <n v="0"/>
    <n v="107"/>
    <s v="_x0000_peopl"/>
  </r>
  <r>
    <x v="6"/>
    <n v="13.692399999999999"/>
    <n v="-89.2256"/>
    <n v="6"/>
    <n v="0"/>
    <n v="0"/>
    <n v="107"/>
    <s v="_x0000_peopl"/>
  </r>
  <r>
    <x v="6"/>
    <n v="13.689399999999999"/>
    <n v="-89.184299999999993"/>
    <n v="5"/>
    <n v="0"/>
    <n v="0"/>
    <n v="107"/>
    <s v="_x0000_peopl"/>
  </r>
  <r>
    <x v="6"/>
    <n v="13.6913"/>
    <n v="-89.228800000000007"/>
    <n v="4"/>
    <n v="0"/>
    <n v="0"/>
    <n v="107"/>
    <s v="_x0000_peopl"/>
  </r>
  <r>
    <x v="6"/>
    <n v="13.6897"/>
    <n v="-89.177700000000002"/>
    <n v="3"/>
    <n v="0"/>
    <n v="0"/>
    <n v="107"/>
    <s v="_x0000_peopl"/>
  </r>
  <r>
    <x v="6"/>
    <n v="13.6929"/>
    <n v="-89.224699999999999"/>
    <n v="6"/>
    <n v="0"/>
    <n v="0"/>
    <n v="107"/>
    <s v="_x0000_peopl"/>
  </r>
  <r>
    <x v="6"/>
    <n v="13.6919"/>
    <n v="-89.180099999999996"/>
    <n v="5"/>
    <n v="0"/>
    <n v="0"/>
    <n v="107"/>
    <s v="_x0000_peopl"/>
  </r>
  <r>
    <x v="6"/>
    <n v="13.685600000000001"/>
    <n v="-89.194100000000006"/>
    <n v="4"/>
    <n v="0"/>
    <n v="0"/>
    <n v="107"/>
    <s v="_x0000_peopl"/>
  </r>
  <r>
    <x v="6"/>
    <n v="13.6876"/>
    <n v="-89.214500000000001"/>
    <n v="6"/>
    <n v="0"/>
    <n v="0"/>
    <n v="107"/>
    <s v="_x0000_peopl"/>
  </r>
  <r>
    <x v="6"/>
    <n v="13.687099999999999"/>
    <n v="-89.197699999999998"/>
    <n v="6"/>
    <n v="0"/>
    <n v="0"/>
    <n v="107"/>
    <s v="_x0000_peopl"/>
  </r>
  <r>
    <x v="6"/>
    <n v="13.6904"/>
    <n v="-89.194599999999994"/>
    <n v="5"/>
    <n v="0"/>
    <n v="0"/>
    <n v="107"/>
    <s v="_x0000_peopl"/>
  </r>
  <r>
    <x v="6"/>
    <n v="13.687900000000001"/>
    <n v="-89.196799999999996"/>
    <n v="2"/>
    <n v="0"/>
    <n v="0"/>
    <n v="107"/>
    <s v="_x0000_peopl"/>
  </r>
  <r>
    <x v="6"/>
    <n v="13.6853"/>
    <n v="-89.212500000000006"/>
    <n v="9"/>
    <n v="0"/>
    <n v="0"/>
    <n v="107"/>
    <s v="_x0000_peopl"/>
  </r>
  <r>
    <x v="6"/>
    <n v="13.685"/>
    <n v="-89.213499999999996"/>
    <n v="7"/>
    <n v="0"/>
    <n v="0"/>
    <n v="107"/>
    <s v="_x0000_peopl"/>
  </r>
  <r>
    <x v="6"/>
    <n v="13.687799999999999"/>
    <n v="-89.1798"/>
    <n v="8"/>
    <n v="0"/>
    <n v="0"/>
    <n v="107"/>
    <s v="_x0000_peopl"/>
  </r>
  <r>
    <x v="6"/>
    <n v="13.691599999999999"/>
    <n v="-89.185199999999995"/>
    <n v="7"/>
    <n v="0"/>
    <n v="0"/>
    <n v="107"/>
    <s v="_x0000_peopl"/>
  </r>
  <r>
    <x v="6"/>
    <n v="13.694699999999999"/>
    <n v="-89.186199999999999"/>
    <n v="5"/>
    <n v="0"/>
    <n v="0"/>
    <n v="107"/>
    <s v="_x0000_peopl"/>
  </r>
  <r>
    <x v="6"/>
    <n v="13.6951"/>
    <n v="-89.1738"/>
    <n v="5"/>
    <n v="0"/>
    <n v="0"/>
    <n v="107"/>
    <s v="_x0000_peopl"/>
  </r>
  <r>
    <x v="6"/>
    <n v="13.689399999999999"/>
    <n v="-89.207700000000003"/>
    <n v="6"/>
    <n v="0"/>
    <n v="0"/>
    <n v="107"/>
    <s v="_x0000_peopl"/>
  </r>
  <r>
    <x v="6"/>
    <n v="13.685499999999999"/>
    <n v="-89.211299999999994"/>
    <n v="5"/>
    <n v="0"/>
    <n v="0"/>
    <n v="107"/>
    <s v="_x0000_peopl"/>
  </r>
  <r>
    <x v="6"/>
    <n v="13.691000000000001"/>
    <n v="-89.229600000000005"/>
    <n v="7"/>
    <n v="0"/>
    <n v="0"/>
    <n v="107"/>
    <s v="_x0000_peopl"/>
  </r>
  <r>
    <x v="6"/>
    <n v="13.6875"/>
    <n v="-89.2166"/>
    <n v="7"/>
    <n v="0"/>
    <n v="0"/>
    <n v="107"/>
    <s v="_x0000_peopl"/>
  </r>
  <r>
    <x v="7"/>
    <n v="13.6914"/>
    <n v="-89.1965"/>
    <n v="7"/>
    <n v="0"/>
    <n v="0"/>
    <n v="107"/>
    <s v="_x0000_peopl"/>
  </r>
  <r>
    <x v="7"/>
    <n v="13.6915"/>
    <n v="-89.196700000000007"/>
    <n v="4"/>
    <n v="0"/>
    <n v="0"/>
    <n v="107"/>
    <s v="_x0000_peopl"/>
  </r>
  <r>
    <x v="7"/>
    <n v="13.691599999999999"/>
    <n v="-89.1965"/>
    <n v="3"/>
    <n v="0"/>
    <n v="0"/>
    <n v="107"/>
    <s v="_x0000_peopl"/>
  </r>
  <r>
    <x v="7"/>
    <n v="13.6915"/>
    <n v="-89.196399999999997"/>
    <n v="4"/>
    <n v="0"/>
    <n v="0"/>
    <n v="107"/>
    <s v="_x0000_peopl"/>
  </r>
  <r>
    <x v="7"/>
    <n v="13.6897"/>
    <n v="-89.195899999999995"/>
    <n v="7"/>
    <n v="0"/>
    <n v="0"/>
    <n v="107"/>
    <s v="_x0000_peopl"/>
  </r>
  <r>
    <x v="7"/>
    <n v="13.6896"/>
    <n v="-89.195899999999995"/>
    <n v="5"/>
    <n v="0"/>
    <n v="0"/>
    <n v="107"/>
    <s v="_x0000_peopl"/>
  </r>
  <r>
    <x v="7"/>
    <n v="13.6896"/>
    <n v="-89.195899999999995"/>
    <n v="5"/>
    <n v="0"/>
    <n v="0"/>
    <n v="107"/>
    <s v="_x0000_peopl"/>
  </r>
  <r>
    <x v="7"/>
    <n v="13.6897"/>
    <n v="-89.195700000000002"/>
    <n v="2"/>
    <n v="0"/>
    <n v="0"/>
    <n v="107"/>
    <s v="_x0000_peopl"/>
  </r>
  <r>
    <x v="7"/>
    <n v="13.6897"/>
    <n v="-89.195599999999999"/>
    <n v="3"/>
    <n v="0"/>
    <n v="0"/>
    <n v="107"/>
    <s v="_x0000_peopl"/>
  </r>
  <r>
    <x v="7"/>
    <n v="13.6896"/>
    <n v="-89.195499999999996"/>
    <n v="8"/>
    <n v="0"/>
    <n v="0"/>
    <n v="107"/>
    <s v="_x0000_peopl"/>
  </r>
  <r>
    <x v="7"/>
    <n v="13.6897"/>
    <n v="-89.195300000000003"/>
    <n v="8"/>
    <n v="0"/>
    <n v="0"/>
    <n v="107"/>
    <s v="_x0000_peopl"/>
  </r>
  <r>
    <x v="7"/>
    <n v="13.6896"/>
    <n v="-89.195400000000006"/>
    <n v="8"/>
    <n v="0"/>
    <n v="0"/>
    <n v="107"/>
    <s v="_x0000_peopl"/>
  </r>
  <r>
    <x v="7"/>
    <n v="13.6896"/>
    <n v="-89.195400000000006"/>
    <n v="1"/>
    <n v="0"/>
    <n v="0"/>
    <n v="107"/>
    <s v="_x0000_peopl"/>
  </r>
  <r>
    <x v="7"/>
    <n v="13.6897"/>
    <n v="-89.1952"/>
    <n v="2"/>
    <n v="0"/>
    <n v="0"/>
    <n v="107"/>
    <s v="_x0000_peopl"/>
  </r>
  <r>
    <x v="7"/>
    <n v="13.6897"/>
    <n v="-89.195099999999996"/>
    <n v="4"/>
    <n v="0"/>
    <n v="0"/>
    <n v="107"/>
    <s v="_x0000_peopl"/>
  </r>
  <r>
    <x v="7"/>
    <n v="13.6898"/>
    <n v="-89.1952"/>
    <n v="4"/>
    <n v="0"/>
    <n v="0"/>
    <n v="107"/>
    <s v="_x0000_peopl"/>
  </r>
  <r>
    <x v="7"/>
    <n v="13.6898"/>
    <n v="-89.195099999999996"/>
    <n v="3"/>
    <n v="0"/>
    <n v="0"/>
    <n v="107"/>
    <s v="_x0000_peopl"/>
  </r>
  <r>
    <x v="7"/>
    <n v="13.6898"/>
    <n v="-89.194999999999993"/>
    <n v="3"/>
    <n v="0"/>
    <n v="0"/>
    <n v="107"/>
    <s v="_x0000_peopl"/>
  </r>
  <r>
    <x v="7"/>
    <n v="13.6897"/>
    <n v="-89.194999999999993"/>
    <n v="5"/>
    <n v="0"/>
    <n v="0"/>
    <n v="107"/>
    <s v="_x0000_peopl"/>
  </r>
  <r>
    <x v="7"/>
    <n v="13.6896"/>
    <n v="-89.195099999999996"/>
    <n v="6"/>
    <n v="0"/>
    <n v="0"/>
    <n v="107"/>
    <s v="_x0000_peopl"/>
  </r>
  <r>
    <x v="7"/>
    <n v="13.6896"/>
    <n v="-89.195499999999996"/>
    <n v="8"/>
    <n v="0"/>
    <n v="0"/>
    <n v="107"/>
    <s v="_x0000_peopl"/>
  </r>
  <r>
    <x v="7"/>
    <n v="13.6896"/>
    <n v="-89.195499999999996"/>
    <n v="8"/>
    <n v="0"/>
    <n v="0"/>
    <n v="107"/>
    <s v="_x0000_peopl"/>
  </r>
  <r>
    <x v="7"/>
    <n v="13.689500000000001"/>
    <n v="-89.195499999999996"/>
    <n v="6"/>
    <n v="0"/>
    <n v="0"/>
    <n v="107"/>
    <s v="_x0000_peopl"/>
  </r>
  <r>
    <x v="7"/>
    <n v="13.689500000000001"/>
    <n v="-89.195499999999996"/>
    <n v="4"/>
    <n v="0"/>
    <n v="0"/>
    <n v="107"/>
    <s v="_x0000_peopl"/>
  </r>
  <r>
    <x v="7"/>
    <n v="13.689500000000001"/>
    <n v="-89.195499999999996"/>
    <n v="7"/>
    <n v="0"/>
    <n v="0"/>
    <n v="107"/>
    <s v="_x0000_peopl"/>
  </r>
  <r>
    <x v="7"/>
    <n v="13.689500000000001"/>
    <n v="-89.195400000000006"/>
    <n v="3"/>
    <n v="0"/>
    <n v="0"/>
    <n v="107"/>
    <s v="_x0000_peopl"/>
  </r>
  <r>
    <x v="7"/>
    <n v="13.6896"/>
    <n v="-89.195400000000006"/>
    <n v="5"/>
    <n v="0"/>
    <n v="0"/>
    <n v="107"/>
    <s v="_x0000_peopl"/>
  </r>
  <r>
    <x v="7"/>
    <n v="13.6896"/>
    <n v="-89.195099999999996"/>
    <n v="4"/>
    <n v="0"/>
    <n v="0"/>
    <n v="107"/>
    <s v="_x0000_peopl"/>
  </r>
  <r>
    <x v="7"/>
    <n v="13.6892"/>
    <n v="-89.195599999999999"/>
    <n v="10"/>
    <n v="0"/>
    <n v="0"/>
    <n v="107"/>
    <s v="_x0000_peopl"/>
  </r>
  <r>
    <x v="7"/>
    <n v="13.6892"/>
    <n v="-89.195400000000006"/>
    <n v="3"/>
    <n v="0"/>
    <n v="0"/>
    <n v="107"/>
    <s v="_x0000_peopl"/>
  </r>
  <r>
    <x v="7"/>
    <n v="13.6892"/>
    <n v="-89.1952"/>
    <n v="4"/>
    <n v="0"/>
    <n v="0"/>
    <n v="107"/>
    <s v="_x0000_peopl"/>
  </r>
  <r>
    <x v="7"/>
    <n v="13.6891"/>
    <n v="-89.196200000000005"/>
    <n v="3"/>
    <n v="0"/>
    <n v="0"/>
    <n v="107"/>
    <s v="_x0000_peopl"/>
  </r>
  <r>
    <x v="7"/>
    <n v="13.689"/>
    <n v="-89.196299999999994"/>
    <n v="4"/>
    <n v="0"/>
    <n v="0"/>
    <n v="107"/>
    <s v="_x0000_peopl"/>
  </r>
  <r>
    <x v="7"/>
    <n v="13.689"/>
    <n v="-89.196299999999994"/>
    <n v="5"/>
    <n v="0"/>
    <n v="0"/>
    <n v="107"/>
    <s v="_x0000_peopl"/>
  </r>
  <r>
    <x v="7"/>
    <n v="13.689"/>
    <n v="-89.196200000000005"/>
    <n v="3"/>
    <n v="0"/>
    <n v="0"/>
    <n v="107"/>
    <s v="_x0000_peopl"/>
  </r>
  <r>
    <x v="7"/>
    <n v="13.689"/>
    <n v="-89.196200000000005"/>
    <n v="6"/>
    <n v="0"/>
    <n v="0"/>
    <n v="107"/>
    <s v="_x0000_peopl"/>
  </r>
  <r>
    <x v="7"/>
    <n v="13.689"/>
    <n v="-89.196200000000005"/>
    <n v="2"/>
    <n v="0"/>
    <n v="0"/>
    <n v="107"/>
    <s v="_x0000_peopl"/>
  </r>
  <r>
    <x v="7"/>
    <n v="13.689"/>
    <n v="-89.196100000000001"/>
    <n v="5"/>
    <n v="0"/>
    <n v="0"/>
    <n v="107"/>
    <s v="_x0000_peopl"/>
  </r>
  <r>
    <x v="7"/>
    <n v="13.689"/>
    <n v="-89.196100000000001"/>
    <n v="7"/>
    <n v="0"/>
    <n v="0"/>
    <n v="107"/>
    <s v="_x0000_peopl"/>
  </r>
  <r>
    <x v="7"/>
    <n v="13.6891"/>
    <n v="-89.196200000000005"/>
    <n v="4"/>
    <n v="0"/>
    <n v="0"/>
    <n v="107"/>
    <s v="_x0000_peopl"/>
  </r>
  <r>
    <x v="7"/>
    <n v="13.6891"/>
    <n v="-89.196200000000005"/>
    <n v="6"/>
    <n v="0"/>
    <n v="0"/>
    <n v="107"/>
    <s v="_x0000_peopl"/>
  </r>
  <r>
    <x v="7"/>
    <n v="13.6892"/>
    <n v="-89.196100000000001"/>
    <n v="4"/>
    <n v="0"/>
    <n v="0"/>
    <n v="107"/>
    <s v="_x0000_peopl"/>
  </r>
  <r>
    <x v="7"/>
    <n v="13.6892"/>
    <n v="-89.196100000000001"/>
    <n v="6"/>
    <n v="0"/>
    <n v="0"/>
    <n v="107"/>
    <s v="_x0000_peopl"/>
  </r>
  <r>
    <x v="7"/>
    <n v="13.6892"/>
    <n v="-89.196100000000001"/>
    <n v="5"/>
    <n v="0"/>
    <n v="0"/>
    <n v="107"/>
    <s v="_x0000_peopl"/>
  </r>
  <r>
    <x v="7"/>
    <n v="13.6891"/>
    <n v="-89.196100000000001"/>
    <n v="2"/>
    <n v="0"/>
    <n v="0"/>
    <n v="107"/>
    <s v="_x0000_peopl"/>
  </r>
  <r>
    <x v="7"/>
    <n v="13.6891"/>
    <n v="-89.196100000000001"/>
    <n v="7"/>
    <n v="0"/>
    <n v="0"/>
    <n v="107"/>
    <s v="_x0000_peopl"/>
  </r>
  <r>
    <x v="7"/>
    <n v="13.6891"/>
    <n v="-89.196100000000001"/>
    <n v="2"/>
    <n v="0"/>
    <n v="0"/>
    <n v="107"/>
    <s v="_x0000_peopl"/>
  </r>
  <r>
    <x v="7"/>
    <n v="13.6891"/>
    <n v="-89.196100000000001"/>
    <n v="2"/>
    <n v="0"/>
    <n v="0"/>
    <n v="107"/>
    <s v="_x0000_peopl"/>
  </r>
  <r>
    <x v="7"/>
    <n v="13.6892"/>
    <n v="-89.195999999999998"/>
    <n v="6"/>
    <n v="0"/>
    <n v="0"/>
    <n v="107"/>
    <s v="_x0000_peopl"/>
  </r>
  <r>
    <x v="7"/>
    <n v="13.6892"/>
    <n v="-89.195999999999998"/>
    <n v="7"/>
    <n v="0"/>
    <n v="0"/>
    <n v="107"/>
    <s v="_x0000_peopl"/>
  </r>
  <r>
    <x v="7"/>
    <n v="13.6892"/>
    <n v="-89.195999999999998"/>
    <n v="0"/>
    <n v="0"/>
    <n v="0"/>
    <n v="107"/>
    <s v="_x0000_peopl"/>
  </r>
  <r>
    <x v="7"/>
    <n v="13.6892"/>
    <n v="-89.195800000000006"/>
    <n v="5"/>
    <n v="0"/>
    <n v="0"/>
    <n v="107"/>
    <s v="_x0000_peopl"/>
  </r>
  <r>
    <x v="7"/>
    <n v="13.6892"/>
    <n v="-89.195700000000002"/>
    <n v="3"/>
    <n v="0"/>
    <n v="0"/>
    <n v="107"/>
    <s v="_x0000_peopl"/>
  </r>
  <r>
    <x v="7"/>
    <n v="13.689299999999999"/>
    <n v="-89.196100000000001"/>
    <n v="3"/>
    <n v="0"/>
    <n v="0"/>
    <n v="107"/>
    <s v="_x0000_peopl"/>
  </r>
  <r>
    <x v="7"/>
    <n v="13.689299999999999"/>
    <n v="-89.195999999999998"/>
    <n v="8"/>
    <n v="0"/>
    <n v="0"/>
    <n v="107"/>
    <s v="_x0000_peopl"/>
  </r>
  <r>
    <x v="7"/>
    <n v="13.689299999999999"/>
    <n v="-89.195999999999998"/>
    <n v="5"/>
    <n v="0"/>
    <n v="0"/>
    <n v="107"/>
    <s v="_x0000_peopl"/>
  </r>
  <r>
    <x v="7"/>
    <n v="13.689299999999999"/>
    <n v="-89.195999999999998"/>
    <n v="6"/>
    <n v="0"/>
    <n v="0"/>
    <n v="107"/>
    <s v="_x0000_peopl"/>
  </r>
  <r>
    <x v="7"/>
    <n v="13.689399999999999"/>
    <n v="-89.195999999999998"/>
    <n v="8"/>
    <n v="0"/>
    <n v="0"/>
    <n v="107"/>
    <s v="_x0000_peopl"/>
  </r>
  <r>
    <x v="7"/>
    <n v="13.689399999999999"/>
    <n v="-89.195999999999998"/>
    <n v="7"/>
    <n v="0"/>
    <n v="0"/>
    <n v="107"/>
    <s v="_x0000_peopl"/>
  </r>
  <r>
    <x v="7"/>
    <n v="13.689299999999999"/>
    <n v="-89.195899999999995"/>
    <n v="5"/>
    <n v="0"/>
    <n v="0"/>
    <n v="107"/>
    <s v="_x0000_peopl"/>
  </r>
  <r>
    <x v="7"/>
    <n v="13.689500000000001"/>
    <n v="-89.195700000000002"/>
    <n v="5"/>
    <n v="0"/>
    <n v="0"/>
    <n v="107"/>
    <s v="_x0000_peopl"/>
  </r>
  <r>
    <x v="7"/>
    <n v="13.6896"/>
    <n v="-89.195800000000006"/>
    <n v="5"/>
    <n v="0"/>
    <n v="0"/>
    <n v="107"/>
    <s v="_x0000_peopl"/>
  </r>
  <r>
    <x v="7"/>
    <n v="13.689500000000001"/>
    <n v="-89.195999999999998"/>
    <n v="6"/>
    <n v="0"/>
    <n v="0"/>
    <n v="107"/>
    <s v="_x0000_peopl"/>
  </r>
  <r>
    <x v="7"/>
    <n v="13.689500000000001"/>
    <n v="-89.195999999999998"/>
    <n v="2"/>
    <n v="0"/>
    <n v="0"/>
    <n v="107"/>
    <s v="_x0000_peopl"/>
  </r>
  <r>
    <x v="7"/>
    <n v="13.689399999999999"/>
    <n v="-89.195999999999998"/>
    <n v="6"/>
    <n v="0"/>
    <n v="0"/>
    <n v="107"/>
    <s v="_x0000_peopl"/>
  </r>
  <r>
    <x v="7"/>
    <n v="13.689399999999999"/>
    <n v="-89.195999999999998"/>
    <n v="4"/>
    <n v="0"/>
    <n v="0"/>
    <n v="107"/>
    <s v="_x0000_peopl"/>
  </r>
  <r>
    <x v="7"/>
    <n v="13.69"/>
    <n v="-89.194999999999993"/>
    <n v="5"/>
    <n v="0"/>
    <n v="0"/>
    <n v="107"/>
    <s v="_x0000_peopl"/>
  </r>
  <r>
    <x v="7"/>
    <n v="13.6899"/>
    <n v="-89.194999999999993"/>
    <n v="3"/>
    <n v="0"/>
    <n v="0"/>
    <n v="107"/>
    <s v="_x0000_peopl"/>
  </r>
  <r>
    <x v="7"/>
    <n v="13.6866"/>
    <n v="-89.198499999999996"/>
    <n v="5"/>
    <n v="0"/>
    <n v="0"/>
    <n v="107"/>
    <s v="_x0000_peopl"/>
  </r>
  <r>
    <x v="7"/>
    <n v="13.6866"/>
    <n v="-89.198499999999996"/>
    <n v="4"/>
    <n v="0"/>
    <n v="0"/>
    <n v="107"/>
    <s v="_x0000_peopl"/>
  </r>
  <r>
    <x v="7"/>
    <n v="13.6866"/>
    <n v="-89.198499999999996"/>
    <n v="9"/>
    <n v="0"/>
    <n v="0"/>
    <n v="107"/>
    <s v="_x0000_peopl"/>
  </r>
  <r>
    <x v="7"/>
    <n v="13.6866"/>
    <n v="-89.198400000000007"/>
    <n v="6"/>
    <n v="0"/>
    <n v="0"/>
    <n v="107"/>
    <s v="_x0000_peopl"/>
  </r>
  <r>
    <x v="7"/>
    <n v="13.6866"/>
    <n v="-89.198400000000007"/>
    <n v="5"/>
    <n v="0"/>
    <n v="0"/>
    <n v="107"/>
    <s v="_x0000_peopl"/>
  </r>
  <r>
    <x v="7"/>
    <n v="13.6866"/>
    <n v="-89.198400000000007"/>
    <n v="3"/>
    <n v="0"/>
    <n v="0"/>
    <n v="107"/>
    <s v="_x0000_peopl"/>
  </r>
  <r>
    <x v="7"/>
    <n v="13.6866"/>
    <n v="-89.198400000000007"/>
    <n v="7"/>
    <n v="0"/>
    <n v="0"/>
    <n v="107"/>
    <s v="_x0000_peopl"/>
  </r>
  <r>
    <x v="7"/>
    <n v="13.6869"/>
    <n v="-89.198400000000007"/>
    <n v="3"/>
    <n v="0"/>
    <n v="0"/>
    <n v="107"/>
    <s v="_x0000_peopl"/>
  </r>
  <r>
    <x v="7"/>
    <n v="13.6869"/>
    <n v="-89.198400000000007"/>
    <n v="0"/>
    <n v="0"/>
    <n v="0"/>
    <n v="107"/>
    <s v="_x0000_peopl"/>
  </r>
  <r>
    <x v="7"/>
    <n v="13.6869"/>
    <n v="-89.198400000000007"/>
    <n v="4"/>
    <n v="0"/>
    <n v="0"/>
    <n v="107"/>
    <s v="_x0000_peopl"/>
  </r>
  <r>
    <x v="7"/>
    <n v="13.6869"/>
    <n v="-89.198400000000007"/>
    <n v="6"/>
    <n v="0"/>
    <n v="0"/>
    <n v="107"/>
    <s v="_x0000_peopl"/>
  </r>
  <r>
    <x v="7"/>
    <n v="13.686"/>
    <n v="-89.198700000000002"/>
    <n v="5"/>
    <n v="0"/>
    <n v="0"/>
    <n v="107"/>
    <s v="_x0000_peopl"/>
  </r>
  <r>
    <x v="7"/>
    <n v="13.686199999999999"/>
    <n v="-89.197900000000004"/>
    <n v="6"/>
    <n v="0"/>
    <n v="0"/>
    <n v="107"/>
    <s v="_x0000_peopl"/>
  </r>
  <r>
    <x v="7"/>
    <n v="13.686199999999999"/>
    <n v="-89.197999999999993"/>
    <n v="5"/>
    <n v="0"/>
    <n v="0"/>
    <n v="107"/>
    <s v="_x0000_peopl"/>
  </r>
  <r>
    <x v="7"/>
    <n v="13.686299999999999"/>
    <n v="-89.197999999999993"/>
    <n v="2"/>
    <n v="0"/>
    <n v="0"/>
    <n v="107"/>
    <s v="_x0000_peopl"/>
  </r>
  <r>
    <x v="7"/>
    <n v="13.686199999999999"/>
    <n v="-89.197999999999993"/>
    <n v="10"/>
    <n v="0"/>
    <n v="0"/>
    <n v="107"/>
    <s v="_x0000_peopl"/>
  </r>
  <r>
    <x v="7"/>
    <n v="13.686299999999999"/>
    <n v="-89.197999999999993"/>
    <n v="5"/>
    <n v="0"/>
    <n v="0"/>
    <n v="107"/>
    <s v="_x0000_peopl"/>
  </r>
  <r>
    <x v="7"/>
    <n v="13.686199999999999"/>
    <n v="-89.198099999999997"/>
    <n v="3"/>
    <n v="0"/>
    <n v="0"/>
    <n v="107"/>
    <s v="_x0000_peopl"/>
  </r>
  <r>
    <x v="7"/>
    <n v="13.686299999999999"/>
    <n v="-89.1982"/>
    <n v="5"/>
    <n v="0"/>
    <n v="0"/>
    <n v="107"/>
    <s v="_x0000_peopl"/>
  </r>
  <r>
    <x v="7"/>
    <n v="13.686299999999999"/>
    <n v="-89.198099999999997"/>
    <n v="9"/>
    <n v="0"/>
    <n v="0"/>
    <n v="107"/>
    <s v="_x0000_peopl"/>
  </r>
  <r>
    <x v="7"/>
    <n v="13.686299999999999"/>
    <n v="-89.1982"/>
    <n v="4"/>
    <n v="0"/>
    <n v="0"/>
    <n v="107"/>
    <s v="_x0000_peopl"/>
  </r>
  <r>
    <x v="7"/>
    <n v="13.686299999999999"/>
    <n v="-89.1982"/>
    <n v="1"/>
    <n v="0"/>
    <n v="0"/>
    <n v="107"/>
    <s v="_x0000_peopl"/>
  </r>
  <r>
    <x v="7"/>
    <n v="13.686199999999999"/>
    <n v="-89.1982"/>
    <n v="5"/>
    <n v="0"/>
    <n v="0"/>
    <n v="107"/>
    <s v="_x0000_peopl"/>
  </r>
  <r>
    <x v="7"/>
    <n v="13.686199999999999"/>
    <n v="-89.198300000000003"/>
    <n v="8"/>
    <n v="0"/>
    <n v="0"/>
    <n v="107"/>
    <s v="_x0000_peopl"/>
  </r>
  <r>
    <x v="7"/>
    <n v="13.686299999999999"/>
    <n v="-89.198300000000003"/>
    <n v="1"/>
    <n v="0"/>
    <n v="0"/>
    <n v="107"/>
    <s v="_x0000_peopl"/>
  </r>
  <r>
    <x v="7"/>
    <n v="13.686299999999999"/>
    <n v="-89.198300000000003"/>
    <n v="4"/>
    <n v="0"/>
    <n v="0"/>
    <n v="107"/>
    <s v="_x0000_peopl"/>
  </r>
  <r>
    <x v="7"/>
    <n v="13.686299999999999"/>
    <n v="-89.197900000000004"/>
    <n v="2"/>
    <n v="0"/>
    <n v="0"/>
    <n v="107"/>
    <s v="_x0000_peopl"/>
  </r>
  <r>
    <x v="7"/>
    <n v="13.686199999999999"/>
    <n v="-89.197800000000001"/>
    <n v="2"/>
    <n v="0"/>
    <n v="0"/>
    <n v="107"/>
    <s v="_x0000_peopl"/>
  </r>
  <r>
    <x v="7"/>
    <n v="13.686299999999999"/>
    <n v="-89.197800000000001"/>
    <n v="6"/>
    <n v="0"/>
    <n v="0"/>
    <n v="107"/>
    <s v="_x0000_peopl"/>
  </r>
  <r>
    <x v="7"/>
    <n v="13.686299999999999"/>
    <n v="-89.197800000000001"/>
    <n v="5"/>
    <n v="0"/>
    <n v="0"/>
    <n v="107"/>
    <s v="_x0000_peopl"/>
  </r>
  <r>
    <x v="7"/>
    <n v="13.686299999999999"/>
    <n v="-89.197699999999998"/>
    <n v="7"/>
    <n v="0"/>
    <n v="0"/>
    <n v="107"/>
    <s v="_x0000_peopl"/>
  </r>
  <r>
    <x v="7"/>
    <n v="13.686299999999999"/>
    <n v="-89.197699999999998"/>
    <n v="3"/>
    <n v="0"/>
    <n v="0"/>
    <n v="107"/>
    <s v="_x0000_peopl"/>
  </r>
  <r>
    <x v="7"/>
    <n v="13.686199999999999"/>
    <n v="-89.197800000000001"/>
    <n v="5"/>
    <n v="0"/>
    <n v="0"/>
    <n v="107"/>
    <s v="_x0000_peopl"/>
  </r>
  <r>
    <x v="7"/>
    <n v="13.686199999999999"/>
    <n v="-89.197800000000001"/>
    <n v="2"/>
    <n v="0"/>
    <n v="0"/>
    <n v="107"/>
    <s v="_x0000_peopl"/>
  </r>
  <r>
    <x v="7"/>
    <n v="13.686299999999999"/>
    <n v="-89.197599999999994"/>
    <n v="2"/>
    <n v="0"/>
    <n v="0"/>
    <n v="107"/>
    <s v="_x0000_peopl"/>
  </r>
  <r>
    <x v="7"/>
    <n v="13.686199999999999"/>
    <n v="-89.197599999999994"/>
    <n v="4"/>
    <n v="0"/>
    <n v="0"/>
    <n v="107"/>
    <s v="_x0000_peopl"/>
  </r>
  <r>
    <x v="7"/>
    <n v="13.686199999999999"/>
    <n v="-89.197699999999998"/>
    <n v="2"/>
    <n v="0"/>
    <n v="0"/>
    <n v="107"/>
    <s v="_x0000_peopl"/>
  </r>
  <r>
    <x v="7"/>
    <n v="13.6861"/>
    <n v="-89.197699999999998"/>
    <n v="5"/>
    <n v="0"/>
    <n v="0"/>
    <n v="107"/>
    <s v="_x0000_peopl"/>
  </r>
  <r>
    <x v="7"/>
    <n v="13.6861"/>
    <n v="-89.197699999999998"/>
    <n v="4"/>
    <n v="0"/>
    <n v="0"/>
    <n v="107"/>
    <s v="_x0000_peopl"/>
  </r>
  <r>
    <x v="7"/>
    <n v="13.6861"/>
    <n v="-89.197599999999994"/>
    <n v="4"/>
    <n v="0"/>
    <n v="0"/>
    <n v="107"/>
    <s v="_x0000_peopl"/>
  </r>
  <r>
    <x v="7"/>
    <n v="13.6861"/>
    <n v="-89.197599999999994"/>
    <n v="3"/>
    <n v="0"/>
    <n v="0"/>
    <n v="107"/>
    <s v="_x0000_peopl"/>
  </r>
  <r>
    <x v="7"/>
    <n v="13.686199999999999"/>
    <n v="-89.197599999999994"/>
    <n v="5"/>
    <n v="0"/>
    <n v="0"/>
    <n v="107"/>
    <s v="_x0000_peopl"/>
  </r>
  <r>
    <x v="7"/>
    <n v="13.686199999999999"/>
    <n v="-89.198499999999996"/>
    <n v="1"/>
    <n v="0"/>
    <n v="0"/>
    <n v="107"/>
    <s v="_x0000_peopl"/>
  </r>
  <r>
    <x v="7"/>
    <n v="13.6861"/>
    <n v="-89.198499999999996"/>
    <n v="1"/>
    <n v="0"/>
    <n v="0"/>
    <n v="107"/>
    <s v="_x0000_peopl"/>
  </r>
  <r>
    <x v="7"/>
    <n v="13.6861"/>
    <n v="-89.198599999999999"/>
    <n v="4"/>
    <n v="0"/>
    <n v="0"/>
    <n v="107"/>
    <s v="_x0000_peopl"/>
  </r>
  <r>
    <x v="7"/>
    <n v="13.686"/>
    <n v="-89.198599999999999"/>
    <n v="5"/>
    <n v="0"/>
    <n v="0"/>
    <n v="107"/>
    <s v="_x0000_peopl"/>
  </r>
  <r>
    <x v="7"/>
    <n v="13.686299999999999"/>
    <n v="-89.198400000000007"/>
    <n v="2"/>
    <n v="0"/>
    <n v="0"/>
    <n v="107"/>
    <s v="_x0000_peopl"/>
  </r>
  <r>
    <x v="7"/>
    <n v="13.686299999999999"/>
    <n v="-89.198400000000007"/>
    <n v="9"/>
    <n v="0"/>
    <n v="0"/>
    <n v="107"/>
    <s v="_x0000_peopl"/>
  </r>
  <r>
    <x v="7"/>
    <n v="13.6896"/>
    <n v="-89.194900000000004"/>
    <n v="6"/>
    <n v="0"/>
    <n v="0"/>
    <n v="107"/>
    <s v="_x0000_peopl"/>
  </r>
  <r>
    <x v="7"/>
    <n v="13.6897"/>
    <n v="-89.194800000000001"/>
    <n v="5"/>
    <n v="0"/>
    <n v="0"/>
    <n v="107"/>
    <s v="_x0000_peopl"/>
  </r>
  <r>
    <x v="7"/>
    <n v="13.6896"/>
    <n v="-89.194699999999997"/>
    <n v="6"/>
    <n v="0"/>
    <n v="0"/>
    <n v="107"/>
    <s v="_x0000_peopl"/>
  </r>
  <r>
    <x v="7"/>
    <n v="13.6896"/>
    <n v="-89.194699999999997"/>
    <n v="7"/>
    <n v="0"/>
    <n v="0"/>
    <n v="107"/>
    <s v="_x0000_peopl"/>
  </r>
  <r>
    <x v="7"/>
    <n v="13.6896"/>
    <n v="-89.194599999999994"/>
    <n v="6"/>
    <n v="0"/>
    <n v="0"/>
    <n v="107"/>
    <s v="_x0000_peopl"/>
  </r>
  <r>
    <x v="7"/>
    <n v="13.6896"/>
    <n v="-89.194699999999997"/>
    <n v="7"/>
    <n v="0"/>
    <n v="0"/>
    <n v="107"/>
    <s v="_x0000_peopl"/>
  </r>
  <r>
    <x v="7"/>
    <n v="13.689500000000001"/>
    <n v="-89.194699999999997"/>
    <n v="6"/>
    <n v="0"/>
    <n v="0"/>
    <n v="107"/>
    <s v="_x0000_peopl"/>
  </r>
  <r>
    <x v="7"/>
    <n v="13.689500000000001"/>
    <n v="-89.194699999999997"/>
    <n v="6"/>
    <n v="0"/>
    <n v="0"/>
    <n v="107"/>
    <s v="_x0000_peopl"/>
  </r>
  <r>
    <x v="7"/>
    <n v="13.689500000000001"/>
    <n v="-89.194699999999997"/>
    <n v="6"/>
    <n v="0"/>
    <n v="0"/>
    <n v="107"/>
    <s v="_x0000_peopl"/>
  </r>
  <r>
    <x v="7"/>
    <n v="13.689500000000001"/>
    <n v="-89.194800000000001"/>
    <n v="9"/>
    <n v="0"/>
    <n v="0"/>
    <n v="107"/>
    <s v="_x0000_peopl"/>
  </r>
  <r>
    <x v="7"/>
    <n v="13.6896"/>
    <n v="-89.194900000000004"/>
    <n v="9"/>
    <n v="0"/>
    <n v="0"/>
    <n v="107"/>
    <s v="_x0000_peopl"/>
  </r>
  <r>
    <x v="7"/>
    <n v="13.689500000000001"/>
    <n v="-89.194900000000004"/>
    <n v="10"/>
    <n v="0"/>
    <n v="0"/>
    <n v="107"/>
    <s v="_x0000_peopl"/>
  </r>
  <r>
    <x v="7"/>
    <n v="13.689500000000001"/>
    <n v="-89.194900000000004"/>
    <n v="2"/>
    <n v="0"/>
    <n v="0"/>
    <n v="107"/>
    <s v="_x0000_peopl"/>
  </r>
  <r>
    <x v="7"/>
    <n v="13.689399999999999"/>
    <n v="-89.194900000000004"/>
    <n v="4"/>
    <n v="0"/>
    <n v="0"/>
    <n v="107"/>
    <s v="_x0000_peopl"/>
  </r>
  <r>
    <x v="7"/>
    <n v="13.689299999999999"/>
    <n v="-89.194999999999993"/>
    <n v="1"/>
    <n v="0"/>
    <n v="0"/>
    <n v="107"/>
    <s v="_x0000_peopl"/>
  </r>
  <r>
    <x v="7"/>
    <n v="13.6891"/>
    <n v="-89.194999999999993"/>
    <n v="5"/>
    <n v="0"/>
    <n v="0"/>
    <n v="107"/>
    <s v="_x0000_peopl"/>
  </r>
  <r>
    <x v="7"/>
    <n v="13.689"/>
    <n v="-89.194999999999993"/>
    <n v="6"/>
    <n v="0"/>
    <n v="0"/>
    <n v="107"/>
    <s v="_x0000_peopl"/>
  </r>
  <r>
    <x v="7"/>
    <n v="13.689"/>
    <n v="-89.194999999999993"/>
    <n v="4"/>
    <n v="0"/>
    <n v="0"/>
    <n v="107"/>
    <s v="_x0000_peopl"/>
  </r>
  <r>
    <x v="7"/>
    <n v="13.688700000000001"/>
    <n v="-89.1952"/>
    <n v="8"/>
    <n v="0"/>
    <n v="0"/>
    <n v="107"/>
    <s v="_x0000_peopl"/>
  </r>
  <r>
    <x v="7"/>
    <n v="13.688599999999999"/>
    <n v="-89.195099999999996"/>
    <n v="5"/>
    <n v="0"/>
    <n v="0"/>
    <n v="107"/>
    <s v="_x0000_peopl"/>
  </r>
  <r>
    <x v="7"/>
    <n v="13.688599999999999"/>
    <n v="-89.1952"/>
    <n v="6"/>
    <n v="0"/>
    <n v="0"/>
    <n v="107"/>
    <s v="_x0000_peopl"/>
  </r>
  <r>
    <x v="7"/>
    <n v="13.688599999999999"/>
    <n v="-89.1952"/>
    <n v="7"/>
    <n v="0"/>
    <n v="0"/>
    <n v="107"/>
    <s v="_x0000_peopl"/>
  </r>
  <r>
    <x v="7"/>
    <n v="13.688499999999999"/>
    <n v="-89.1952"/>
    <n v="4"/>
    <n v="0"/>
    <n v="0"/>
    <n v="107"/>
    <s v="_x0000_peopl"/>
  </r>
  <r>
    <x v="7"/>
    <n v="13.6884"/>
    <n v="-89.195300000000003"/>
    <n v="8"/>
    <n v="0"/>
    <n v="0"/>
    <n v="107"/>
    <s v="_x0000_peopl"/>
  </r>
  <r>
    <x v="7"/>
    <n v="13.6884"/>
    <n v="-89.195300000000003"/>
    <n v="4"/>
    <n v="0"/>
    <n v="0"/>
    <n v="107"/>
    <s v="_x0000_peopl"/>
  </r>
  <r>
    <x v="7"/>
    <n v="13.6883"/>
    <n v="-89.195300000000003"/>
    <n v="3"/>
    <n v="0"/>
    <n v="0"/>
    <n v="107"/>
    <s v="_x0000_peopl"/>
  </r>
  <r>
    <x v="7"/>
    <n v="13.6882"/>
    <n v="-89.195300000000003"/>
    <n v="7"/>
    <n v="0"/>
    <n v="0"/>
    <n v="107"/>
    <s v="_x0000_peopl"/>
  </r>
  <r>
    <x v="7"/>
    <n v="13.688000000000001"/>
    <n v="-89.197999999999993"/>
    <n v="1"/>
    <n v="0"/>
    <n v="0"/>
    <n v="107"/>
    <s v="_x0000_peopl"/>
  </r>
  <r>
    <x v="7"/>
    <n v="13.6866"/>
    <n v="-89.197199999999995"/>
    <n v="2"/>
    <n v="0"/>
    <n v="0"/>
    <n v="107"/>
    <s v="_x0000_peopl"/>
  </r>
  <r>
    <x v="7"/>
    <n v="13.6866"/>
    <n v="-89.197199999999995"/>
    <n v="7"/>
    <n v="0"/>
    <n v="0"/>
    <n v="107"/>
    <s v="_x0000_peopl"/>
  </r>
  <r>
    <x v="7"/>
    <n v="13.6866"/>
    <n v="-89.197100000000006"/>
    <n v="3"/>
    <n v="0"/>
    <n v="0"/>
    <n v="107"/>
    <s v="_x0000_peopl"/>
  </r>
  <r>
    <x v="7"/>
    <n v="13.6866"/>
    <n v="-89.197100000000006"/>
    <n v="6"/>
    <n v="0"/>
    <n v="0"/>
    <n v="107"/>
    <s v="_x0000_peopl"/>
  </r>
  <r>
    <x v="7"/>
    <n v="13.6867"/>
    <n v="-89.197400000000002"/>
    <n v="6"/>
    <n v="0"/>
    <n v="0"/>
    <n v="107"/>
    <s v="_x0000_peopl"/>
  </r>
  <r>
    <x v="7"/>
    <n v="13.6866"/>
    <n v="-89.197199999999995"/>
    <n v="5"/>
    <n v="0"/>
    <n v="0"/>
    <n v="107"/>
    <s v="_x0000_peopl"/>
  </r>
  <r>
    <x v="7"/>
    <n v="13.6867"/>
    <n v="-89.197199999999995"/>
    <n v="3"/>
    <n v="0"/>
    <n v="0"/>
    <n v="107"/>
    <s v="_x0000_peopl"/>
  </r>
  <r>
    <x v="7"/>
    <n v="13.6867"/>
    <n v="-89.197199999999995"/>
    <n v="6"/>
    <n v="0"/>
    <n v="0"/>
    <n v="107"/>
    <s v="_x0000_peopl"/>
  </r>
  <r>
    <x v="7"/>
    <n v="13.6867"/>
    <n v="-89.197100000000006"/>
    <n v="3"/>
    <n v="0"/>
    <n v="0"/>
    <n v="107"/>
    <s v="_x0000_peopl"/>
  </r>
  <r>
    <x v="7"/>
    <n v="13.6867"/>
    <n v="-89.197100000000006"/>
    <n v="5"/>
    <n v="0"/>
    <n v="0"/>
    <n v="107"/>
    <s v="_x0000_peopl"/>
  </r>
  <r>
    <x v="7"/>
    <n v="13.6867"/>
    <n v="-89.197000000000003"/>
    <n v="2"/>
    <n v="0"/>
    <n v="0"/>
    <n v="107"/>
    <s v="_x0000_peopl"/>
  </r>
  <r>
    <x v="7"/>
    <n v="13.6866"/>
    <n v="-89.197299999999998"/>
    <n v="5"/>
    <n v="0"/>
    <n v="0"/>
    <n v="107"/>
    <s v="_x0000_peopl"/>
  </r>
  <r>
    <x v="7"/>
    <n v="13.6867"/>
    <n v="-89.197299999999998"/>
    <n v="3"/>
    <n v="0"/>
    <n v="0"/>
    <n v="107"/>
    <s v="_x0000_peopl"/>
  </r>
  <r>
    <x v="7"/>
    <n v="13.6868"/>
    <n v="-89.197199999999995"/>
    <n v="2"/>
    <n v="0"/>
    <n v="0"/>
    <n v="107"/>
    <s v="_x0000_peopl"/>
  </r>
  <r>
    <x v="7"/>
    <n v="13.6868"/>
    <n v="-89.197100000000006"/>
    <n v="3"/>
    <n v="0"/>
    <n v="0"/>
    <n v="107"/>
    <s v="_x0000_peopl"/>
  </r>
  <r>
    <x v="7"/>
    <n v="13.6868"/>
    <n v="-89.197000000000003"/>
    <n v="4"/>
    <n v="0"/>
    <n v="0"/>
    <n v="107"/>
    <s v="_x0000_peopl"/>
  </r>
  <r>
    <x v="7"/>
    <n v="13.6876"/>
    <n v="-89.197400000000002"/>
    <n v="5"/>
    <n v="0"/>
    <n v="0"/>
    <n v="107"/>
    <s v="_x0000_peopl"/>
  </r>
  <r>
    <x v="7"/>
    <n v="13.6876"/>
    <n v="-89.197500000000005"/>
    <n v="3"/>
    <n v="0"/>
    <n v="0"/>
    <n v="107"/>
    <s v="_x0000_peopl"/>
  </r>
  <r>
    <x v="7"/>
    <n v="13.687799999999999"/>
    <n v="-89.197299999999998"/>
    <n v="3"/>
    <n v="0"/>
    <n v="0"/>
    <n v="107"/>
    <s v="_x0000_peopl"/>
  </r>
  <r>
    <x v="7"/>
    <n v="13.687799999999999"/>
    <n v="-89.197400000000002"/>
    <n v="5"/>
    <n v="0"/>
    <n v="0"/>
    <n v="107"/>
    <s v="_x0000_peopl"/>
  </r>
  <r>
    <x v="7"/>
    <n v="13.6877"/>
    <n v="-89.197400000000002"/>
    <n v="4"/>
    <n v="0"/>
    <n v="0"/>
    <n v="107"/>
    <s v="_x0000_peopl"/>
  </r>
  <r>
    <x v="7"/>
    <n v="13.687900000000001"/>
    <n v="-89.197599999999994"/>
    <n v="3"/>
    <n v="0"/>
    <n v="0"/>
    <n v="107"/>
    <s v="_x0000_peopl"/>
  </r>
  <r>
    <x v="7"/>
    <n v="13.687900000000001"/>
    <n v="-89.197500000000005"/>
    <n v="5"/>
    <n v="0"/>
    <n v="0"/>
    <n v="107"/>
    <s v="_x0000_peopl"/>
  </r>
  <r>
    <x v="7"/>
    <n v="13.687799999999999"/>
    <n v="-89.197500000000005"/>
    <n v="4"/>
    <n v="0"/>
    <n v="0"/>
    <n v="107"/>
    <s v="_x0000_peopl"/>
  </r>
  <r>
    <x v="7"/>
    <n v="13.687900000000001"/>
    <n v="-89.197400000000002"/>
    <n v="2"/>
    <n v="0"/>
    <n v="0"/>
    <n v="107"/>
    <s v="_x0000_peopl"/>
  </r>
  <r>
    <x v="7"/>
    <n v="13.687900000000001"/>
    <n v="-89.197299999999998"/>
    <n v="7"/>
    <n v="0"/>
    <n v="0"/>
    <n v="107"/>
    <s v="_x0000_peopl"/>
  </r>
  <r>
    <x v="7"/>
    <n v="13.6877"/>
    <n v="-89.197699999999998"/>
    <n v="5"/>
    <n v="0"/>
    <n v="0"/>
    <n v="107"/>
    <s v="_x0000_peopl"/>
  </r>
  <r>
    <x v="7"/>
    <n v="13.6876"/>
    <n v="-89.197500000000005"/>
    <n v="0"/>
    <n v="0"/>
    <n v="0"/>
    <n v="107"/>
    <s v="_x0000_peopl"/>
  </r>
  <r>
    <x v="7"/>
    <n v="13.6877"/>
    <n v="-89.197400000000002"/>
    <n v="5"/>
    <n v="0"/>
    <n v="0"/>
    <n v="107"/>
    <s v="_x0000_peopl"/>
  </r>
  <r>
    <x v="7"/>
    <n v="13.6876"/>
    <n v="-89.197400000000002"/>
    <n v="7"/>
    <n v="0"/>
    <n v="0"/>
    <n v="107"/>
    <s v="_x0000_peopl"/>
  </r>
  <r>
    <x v="7"/>
    <n v="13.6881"/>
    <n v="-89.197699999999998"/>
    <n v="6"/>
    <n v="0"/>
    <n v="0"/>
    <n v="107"/>
    <s v="_x0000_peopl"/>
  </r>
  <r>
    <x v="7"/>
    <n v="13.6867"/>
    <n v="-89.197400000000002"/>
    <n v="3"/>
    <n v="0"/>
    <n v="0"/>
    <n v="107"/>
    <s v="_x0000_peopl"/>
  </r>
  <r>
    <x v="7"/>
    <n v="13.6904"/>
    <n v="-89.192599999999999"/>
    <n v="9"/>
    <n v="0"/>
    <n v="0"/>
    <n v="107"/>
    <s v="_x0000_peopl"/>
  </r>
  <r>
    <x v="7"/>
    <n v="13.6904"/>
    <n v="-89.192400000000006"/>
    <n v="3"/>
    <n v="0"/>
    <n v="0"/>
    <n v="107"/>
    <s v="_x0000_peopl"/>
  </r>
  <r>
    <x v="7"/>
    <n v="13.690200000000001"/>
    <n v="-89.192400000000006"/>
    <n v="4"/>
    <n v="0"/>
    <n v="0"/>
    <n v="107"/>
    <s v="_x0000_peopl"/>
  </r>
  <r>
    <x v="7"/>
    <n v="13.690200000000001"/>
    <n v="-89.192400000000006"/>
    <n v="8"/>
    <n v="0"/>
    <n v="0"/>
    <n v="107"/>
    <s v="_x0000_peopl"/>
  </r>
  <r>
    <x v="7"/>
    <n v="13.690099999999999"/>
    <n v="-89.192400000000006"/>
    <n v="2"/>
    <n v="0"/>
    <n v="0"/>
    <n v="107"/>
    <s v="_x0000_peopl"/>
  </r>
  <r>
    <x v="7"/>
    <n v="13.689299999999999"/>
    <n v="-89.194000000000003"/>
    <n v="5"/>
    <n v="0"/>
    <n v="0"/>
    <n v="107"/>
    <s v="_x0000_peopl"/>
  </r>
  <r>
    <x v="7"/>
    <n v="13.6892"/>
    <n v="-89.193799999999996"/>
    <n v="6"/>
    <n v="0"/>
    <n v="0"/>
    <n v="107"/>
    <s v="_x0000_peopl"/>
  </r>
  <r>
    <x v="7"/>
    <n v="13.6892"/>
    <n v="-89.193799999999996"/>
    <n v="8"/>
    <n v="0"/>
    <n v="0"/>
    <n v="107"/>
    <s v="_x0000_peopl"/>
  </r>
  <r>
    <x v="7"/>
    <n v="13.6892"/>
    <n v="-89.193799999999996"/>
    <n v="3"/>
    <n v="0"/>
    <n v="0"/>
    <n v="107"/>
    <s v="_x0000_peopl"/>
  </r>
  <r>
    <x v="7"/>
    <n v="13.6892"/>
    <n v="-89.193799999999996"/>
    <n v="7"/>
    <n v="0"/>
    <n v="0"/>
    <n v="107"/>
    <s v="_x0000_peopl"/>
  </r>
  <r>
    <x v="7"/>
    <n v="13.6892"/>
    <n v="-89.193799999999996"/>
    <n v="5"/>
    <n v="0"/>
    <n v="0"/>
    <n v="107"/>
    <s v="_x0000_peopl"/>
  </r>
  <r>
    <x v="7"/>
    <n v="13.6892"/>
    <n v="-89.193799999999996"/>
    <n v="4"/>
    <n v="0"/>
    <n v="0"/>
    <n v="107"/>
    <s v="_x0000_peopl"/>
  </r>
  <r>
    <x v="7"/>
    <n v="13.6891"/>
    <n v="-89.193899999999999"/>
    <n v="4"/>
    <n v="0"/>
    <n v="0"/>
    <n v="107"/>
    <s v="_x0000_peopl"/>
  </r>
  <r>
    <x v="7"/>
    <n v="13.6891"/>
    <n v="-89.193899999999999"/>
    <n v="6"/>
    <n v="0"/>
    <n v="0"/>
    <n v="107"/>
    <s v="_x0000_peopl"/>
  </r>
  <r>
    <x v="7"/>
    <n v="13.6891"/>
    <n v="-89.193899999999999"/>
    <n v="2"/>
    <n v="0"/>
    <n v="0"/>
    <n v="107"/>
    <s v="_x0000_peopl"/>
  </r>
  <r>
    <x v="7"/>
    <n v="13.6891"/>
    <n v="-89.193899999999999"/>
    <n v="2"/>
    <n v="0"/>
    <n v="0"/>
    <n v="107"/>
    <s v="_x0000_peopl"/>
  </r>
  <r>
    <x v="7"/>
    <n v="13.6891"/>
    <n v="-89.193899999999999"/>
    <n v="4"/>
    <n v="0"/>
    <n v="0"/>
    <n v="107"/>
    <s v="_x0000_peopl"/>
  </r>
  <r>
    <x v="7"/>
    <n v="13.6891"/>
    <n v="-89.193600000000004"/>
    <n v="5"/>
    <n v="0"/>
    <n v="0"/>
    <n v="107"/>
    <s v="_x0000_peopl"/>
  </r>
  <r>
    <x v="7"/>
    <n v="13.6891"/>
    <n v="-89.193600000000004"/>
    <n v="8"/>
    <n v="0"/>
    <n v="0"/>
    <n v="107"/>
    <s v="_x0000_peopl"/>
  </r>
  <r>
    <x v="7"/>
    <n v="13.6891"/>
    <n v="-89.193600000000004"/>
    <n v="3"/>
    <n v="0"/>
    <n v="0"/>
    <n v="107"/>
    <s v="_x0000_peopl"/>
  </r>
  <r>
    <x v="7"/>
    <n v="13.6892"/>
    <n v="-89.193600000000004"/>
    <n v="7"/>
    <n v="0"/>
    <n v="0"/>
    <n v="107"/>
    <s v="_x0000_peopl"/>
  </r>
  <r>
    <x v="7"/>
    <n v="13.6892"/>
    <n v="-89.193600000000004"/>
    <n v="9"/>
    <n v="0"/>
    <n v="0"/>
    <n v="107"/>
    <s v="_x0000_peopl"/>
  </r>
  <r>
    <x v="7"/>
    <n v="13.6892"/>
    <n v="-89.193600000000004"/>
    <n v="5"/>
    <n v="0"/>
    <n v="0"/>
    <n v="107"/>
    <s v="_x0000_peopl"/>
  </r>
  <r>
    <x v="7"/>
    <n v="13.689"/>
    <n v="-89.193799999999996"/>
    <n v="5"/>
    <n v="0"/>
    <n v="0"/>
    <n v="107"/>
    <s v="_x0000_peopl"/>
  </r>
  <r>
    <x v="7"/>
    <n v="13.6883"/>
    <n v="-89.193600000000004"/>
    <n v="7"/>
    <n v="0"/>
    <n v="0"/>
    <n v="107"/>
    <s v="_x0000_peopl"/>
  </r>
  <r>
    <x v="7"/>
    <n v="13.6883"/>
    <n v="-89.193600000000004"/>
    <n v="4"/>
    <n v="0"/>
    <n v="0"/>
    <n v="107"/>
    <s v="_x0000_peopl"/>
  </r>
  <r>
    <x v="7"/>
    <n v="13.6883"/>
    <n v="-89.193600000000004"/>
    <n v="3"/>
    <n v="0"/>
    <n v="0"/>
    <n v="107"/>
    <s v="_x0000_peopl"/>
  </r>
  <r>
    <x v="7"/>
    <n v="13.689500000000001"/>
    <n v="-89.190700000000007"/>
    <n v="8"/>
    <n v="0"/>
    <n v="0"/>
    <n v="107"/>
    <s v="_x0000_peopl"/>
  </r>
  <r>
    <x v="7"/>
    <n v="13.6866"/>
    <n v="-89.196799999999996"/>
    <n v="6"/>
    <n v="0"/>
    <n v="0"/>
    <n v="107"/>
    <s v="_x0000_peopl"/>
  </r>
  <r>
    <x v="7"/>
    <n v="13.686500000000001"/>
    <n v="-89.196799999999996"/>
    <n v="4"/>
    <n v="0"/>
    <n v="0"/>
    <n v="107"/>
    <s v="_x0000_peopl"/>
  </r>
  <r>
    <x v="7"/>
    <n v="13.686500000000001"/>
    <n v="-89.196700000000007"/>
    <n v="4"/>
    <n v="0"/>
    <n v="0"/>
    <n v="107"/>
    <s v="_x0000_peopl"/>
  </r>
  <r>
    <x v="7"/>
    <n v="13.686500000000001"/>
    <n v="-89.196700000000007"/>
    <n v="2"/>
    <n v="0"/>
    <n v="0"/>
    <n v="107"/>
    <s v="_x0000_peopl"/>
  </r>
  <r>
    <x v="7"/>
    <n v="13.686500000000001"/>
    <n v="-89.196700000000007"/>
    <n v="1"/>
    <n v="0"/>
    <n v="0"/>
    <n v="107"/>
    <s v="_x0000_peopl"/>
  </r>
  <r>
    <x v="7"/>
    <n v="13.686500000000001"/>
    <n v="-89.196700000000007"/>
    <n v="10"/>
    <n v="0"/>
    <n v="0"/>
    <n v="107"/>
    <s v="_x0000_peopl"/>
  </r>
  <r>
    <x v="7"/>
    <n v="13.6866"/>
    <n v="-89.196700000000007"/>
    <n v="3"/>
    <n v="0"/>
    <n v="0"/>
    <n v="107"/>
    <s v="_x0000_peopl"/>
  </r>
  <r>
    <x v="7"/>
    <n v="13.6866"/>
    <n v="-89.196700000000007"/>
    <n v="6"/>
    <n v="0"/>
    <n v="0"/>
    <n v="107"/>
    <s v="_x0000_peopl"/>
  </r>
  <r>
    <x v="7"/>
    <n v="13.6866"/>
    <n v="-89.196700000000007"/>
    <n v="8"/>
    <n v="0"/>
    <n v="0"/>
    <n v="107"/>
    <s v="_x0000_peopl"/>
  </r>
  <r>
    <x v="7"/>
    <n v="13.6867"/>
    <n v="-89.196799999999996"/>
    <n v="6"/>
    <n v="0"/>
    <n v="0"/>
    <n v="107"/>
    <s v="_x0000_peopl"/>
  </r>
  <r>
    <x v="7"/>
    <n v="13.6868"/>
    <n v="-89.196700000000007"/>
    <n v="8"/>
    <n v="0"/>
    <n v="0"/>
    <n v="107"/>
    <s v="_x0000_peopl"/>
  </r>
  <r>
    <x v="7"/>
    <n v="13.6866"/>
    <n v="-89.196600000000004"/>
    <n v="3"/>
    <n v="0"/>
    <n v="0"/>
    <n v="107"/>
    <s v="_x0000_peopl"/>
  </r>
  <r>
    <x v="7"/>
    <n v="13.686500000000001"/>
    <n v="-89.196600000000004"/>
    <n v="5"/>
    <n v="0"/>
    <n v="0"/>
    <n v="107"/>
    <s v="_x0000_peopl"/>
  </r>
  <r>
    <x v="7"/>
    <n v="13.6866"/>
    <n v="-89.196799999999996"/>
    <n v="4"/>
    <n v="0"/>
    <n v="0"/>
    <n v="107"/>
    <s v="_x0000_peopl"/>
  </r>
  <r>
    <x v="7"/>
    <n v="13.6866"/>
    <n v="-89.196700000000007"/>
    <n v="7"/>
    <n v="0"/>
    <n v="0"/>
    <n v="107"/>
    <s v="_x0000_peopl"/>
  </r>
  <r>
    <x v="7"/>
    <n v="13.6866"/>
    <n v="-89.196700000000007"/>
    <n v="4"/>
    <n v="0"/>
    <n v="0"/>
    <n v="107"/>
    <s v="_x0000_peopl"/>
  </r>
  <r>
    <x v="7"/>
    <n v="13.6866"/>
    <n v="-89.196700000000007"/>
    <n v="8"/>
    <n v="0"/>
    <n v="0"/>
    <n v="107"/>
    <s v="_x0000_peopl"/>
  </r>
  <r>
    <x v="7"/>
    <n v="13.6866"/>
    <n v="-89.197000000000003"/>
    <n v="4"/>
    <n v="0"/>
    <n v="0"/>
    <n v="107"/>
    <s v="_x0000_peopl"/>
  </r>
  <r>
    <x v="7"/>
    <n v="13.6866"/>
    <n v="-89.197000000000003"/>
    <n v="2"/>
    <n v="0"/>
    <n v="0"/>
    <n v="107"/>
    <s v="_x0000_peopl"/>
  </r>
  <r>
    <x v="7"/>
    <n v="13.6866"/>
    <n v="-89.196899999999999"/>
    <n v="7"/>
    <n v="0"/>
    <n v="0"/>
    <n v="107"/>
    <s v="_x0000_peopl"/>
  </r>
  <r>
    <x v="7"/>
    <n v="13.6866"/>
    <n v="-89.196799999999996"/>
    <n v="3"/>
    <n v="0"/>
    <n v="0"/>
    <n v="107"/>
    <s v="_x0000_peopl"/>
  </r>
  <r>
    <x v="7"/>
    <n v="13.6867"/>
    <n v="-89.197000000000003"/>
    <n v="4"/>
    <n v="0"/>
    <n v="0"/>
    <n v="107"/>
    <s v="_x0000_peopl"/>
  </r>
  <r>
    <x v="7"/>
    <n v="13.6867"/>
    <n v="-89.197000000000003"/>
    <n v="1"/>
    <n v="0"/>
    <n v="0"/>
    <n v="107"/>
    <s v="_x0000_peopl"/>
  </r>
  <r>
    <x v="7"/>
    <n v="13.6866"/>
    <n v="-89.196899999999999"/>
    <n v="2"/>
    <n v="0"/>
    <n v="0"/>
    <n v="107"/>
    <s v="_x0000_peopl"/>
  </r>
  <r>
    <x v="7"/>
    <n v="13.6866"/>
    <n v="-89.196799999999996"/>
    <n v="11"/>
    <n v="0"/>
    <n v="0"/>
    <n v="107"/>
    <s v="_x0000_peopl"/>
  </r>
  <r>
    <x v="7"/>
    <n v="13.6869"/>
    <n v="-89.196600000000004"/>
    <n v="3"/>
    <n v="0"/>
    <n v="0"/>
    <n v="107"/>
    <s v="_x0000_peopl"/>
  </r>
  <r>
    <x v="7"/>
    <n v="13.6869"/>
    <n v="-89.196600000000004"/>
    <n v="9"/>
    <n v="0"/>
    <n v="0"/>
    <n v="107"/>
    <s v="_x0000_peopl"/>
  </r>
  <r>
    <x v="7"/>
    <n v="13.6868"/>
    <n v="-89.196600000000004"/>
    <n v="6"/>
    <n v="0"/>
    <n v="0"/>
    <n v="107"/>
    <s v="_x0000_peopl"/>
  </r>
  <r>
    <x v="7"/>
    <n v="13.6868"/>
    <n v="-89.196600000000004"/>
    <n v="5"/>
    <n v="0"/>
    <n v="0"/>
    <n v="107"/>
    <s v="_x0000_peopl"/>
  </r>
  <r>
    <x v="7"/>
    <n v="13.6869"/>
    <n v="-89.196600000000004"/>
    <n v="8"/>
    <n v="0"/>
    <n v="0"/>
    <n v="107"/>
    <s v="_x0000_peopl"/>
  </r>
  <r>
    <x v="7"/>
    <n v="13.6869"/>
    <n v="-89.196600000000004"/>
    <n v="10"/>
    <n v="0"/>
    <n v="0"/>
    <n v="107"/>
    <s v="_x0000_peopl"/>
  </r>
  <r>
    <x v="7"/>
    <n v="13.6869"/>
    <n v="-89.1965"/>
    <n v="5"/>
    <n v="0"/>
    <n v="0"/>
    <n v="107"/>
    <s v="_x0000_peopl"/>
  </r>
  <r>
    <x v="7"/>
    <n v="13.6869"/>
    <n v="-89.196399999999997"/>
    <n v="6"/>
    <n v="0"/>
    <n v="0"/>
    <n v="107"/>
    <s v="_x0000_peopl"/>
  </r>
  <r>
    <x v="7"/>
    <n v="13.6868"/>
    <n v="-89.196399999999997"/>
    <n v="6"/>
    <n v="0"/>
    <n v="0"/>
    <n v="107"/>
    <s v="_x0000_peopl"/>
  </r>
  <r>
    <x v="7"/>
    <n v="13.6868"/>
    <n v="-89.196399999999997"/>
    <n v="2"/>
    <n v="0"/>
    <n v="0"/>
    <n v="107"/>
    <s v="_x0000_peopl"/>
  </r>
  <r>
    <x v="7"/>
    <n v="13.6869"/>
    <n v="-89.196399999999997"/>
    <n v="1"/>
    <n v="0"/>
    <n v="0"/>
    <n v="107"/>
    <s v="_x0000_peopl"/>
  </r>
  <r>
    <x v="7"/>
    <n v="13.6869"/>
    <n v="-89.196399999999997"/>
    <n v="5"/>
    <n v="0"/>
    <n v="0"/>
    <n v="107"/>
    <s v="_x0000_peopl"/>
  </r>
  <r>
    <x v="7"/>
    <n v="13.6866"/>
    <n v="-89.196600000000004"/>
    <n v="4"/>
    <n v="0"/>
    <n v="0"/>
    <n v="107"/>
    <s v="_x0000_peopl"/>
  </r>
  <r>
    <x v="7"/>
    <n v="13.6866"/>
    <n v="-89.196600000000004"/>
    <n v="7"/>
    <n v="0"/>
    <n v="0"/>
    <n v="107"/>
    <s v="_x0000_peopl"/>
  </r>
  <r>
    <x v="7"/>
    <n v="13.6866"/>
    <n v="-89.196600000000004"/>
    <n v="6"/>
    <n v="0"/>
    <n v="0"/>
    <n v="107"/>
    <s v="_x0000_peopl"/>
  </r>
  <r>
    <x v="7"/>
    <n v="13.686500000000001"/>
    <n v="-89.196600000000004"/>
    <n v="1"/>
    <n v="0"/>
    <n v="0"/>
    <n v="107"/>
    <s v="_x0000_peopl"/>
  </r>
  <r>
    <x v="7"/>
    <n v="13.6866"/>
    <n v="-89.196399999999997"/>
    <n v="4"/>
    <n v="0"/>
    <n v="0"/>
    <n v="107"/>
    <s v="_x0000_peopl"/>
  </r>
  <r>
    <x v="7"/>
    <n v="13.6866"/>
    <n v="-89.196399999999997"/>
    <n v="6"/>
    <n v="0"/>
    <n v="0"/>
    <n v="107"/>
    <s v="_x0000_peopl"/>
  </r>
  <r>
    <x v="7"/>
    <n v="13.6866"/>
    <n v="-89.196399999999997"/>
    <n v="3"/>
    <n v="0"/>
    <n v="0"/>
    <n v="107"/>
    <s v="_x0000_peopl"/>
  </r>
  <r>
    <x v="7"/>
    <n v="13.6866"/>
    <n v="-89.196399999999997"/>
    <n v="6"/>
    <n v="0"/>
    <n v="0"/>
    <n v="107"/>
    <s v="_x0000_peopl"/>
  </r>
  <r>
    <x v="7"/>
    <n v="13.6867"/>
    <n v="-89.196600000000004"/>
    <n v="5"/>
    <n v="0"/>
    <n v="0"/>
    <n v="107"/>
    <s v="_x0000_peopl"/>
  </r>
  <r>
    <x v="7"/>
    <n v="13.6867"/>
    <n v="-89.196600000000004"/>
    <n v="1"/>
    <n v="0"/>
    <n v="0"/>
    <n v="107"/>
    <s v="_x0000_peopl"/>
  </r>
  <r>
    <x v="7"/>
    <n v="13.6867"/>
    <n v="-89.196600000000004"/>
    <n v="9"/>
    <n v="0"/>
    <n v="0"/>
    <n v="107"/>
    <s v="_x0000_peopl"/>
  </r>
  <r>
    <x v="7"/>
    <n v="13.6867"/>
    <n v="-89.196600000000004"/>
    <n v="8"/>
    <n v="0"/>
    <n v="0"/>
    <n v="107"/>
    <s v="_x0000_peopl"/>
  </r>
  <r>
    <x v="7"/>
    <n v="13.6867"/>
    <n v="-89.196600000000004"/>
    <n v="7"/>
    <n v="0"/>
    <n v="0"/>
    <n v="107"/>
    <s v="_x0000_peopl"/>
  </r>
  <r>
    <x v="7"/>
    <n v="13.6867"/>
    <n v="-89.196600000000004"/>
    <n v="6"/>
    <n v="0"/>
    <n v="0"/>
    <n v="107"/>
    <s v="_x0000_peopl"/>
  </r>
  <r>
    <x v="7"/>
    <n v="13.6866"/>
    <n v="-89.196600000000004"/>
    <n v="6"/>
    <n v="0"/>
    <n v="0"/>
    <n v="107"/>
    <s v="_x0000_peopl"/>
  </r>
  <r>
    <x v="7"/>
    <n v="13.6867"/>
    <n v="-89.196399999999997"/>
    <n v="10"/>
    <n v="0"/>
    <n v="0"/>
    <n v="107"/>
    <s v="_x0000_peopl"/>
  </r>
  <r>
    <x v="7"/>
    <n v="13.6867"/>
    <n v="-89.196399999999997"/>
    <n v="3"/>
    <n v="0"/>
    <n v="0"/>
    <n v="107"/>
    <s v="_x0000_peopl"/>
  </r>
  <r>
    <x v="7"/>
    <n v="13.6867"/>
    <n v="-89.196399999999997"/>
    <n v="5"/>
    <n v="0"/>
    <n v="0"/>
    <n v="107"/>
    <s v="_x0000_peopl"/>
  </r>
  <r>
    <x v="7"/>
    <n v="13.6867"/>
    <n v="-89.196399999999997"/>
    <n v="7"/>
    <n v="0"/>
    <n v="0"/>
    <n v="107"/>
    <s v="_x0000_peopl"/>
  </r>
  <r>
    <x v="7"/>
    <n v="13.6867"/>
    <n v="-89.196399999999997"/>
    <n v="5"/>
    <n v="0"/>
    <n v="0"/>
    <n v="107"/>
    <s v="_x0000_peopl"/>
  </r>
  <r>
    <x v="7"/>
    <n v="13.6867"/>
    <n v="-89.196399999999997"/>
    <n v="4"/>
    <n v="0"/>
    <n v="0"/>
    <n v="107"/>
    <s v="_x0000_peopl"/>
  </r>
  <r>
    <x v="7"/>
    <n v="13.6868"/>
    <n v="-89.196600000000004"/>
    <n v="6"/>
    <n v="0"/>
    <n v="0"/>
    <n v="107"/>
    <s v="_x0000_peopl"/>
  </r>
  <r>
    <x v="7"/>
    <n v="13.6868"/>
    <n v="-89.196600000000004"/>
    <n v="6"/>
    <n v="0"/>
    <n v="0"/>
    <n v="107"/>
    <s v="_x0000_peopl"/>
  </r>
  <r>
    <x v="7"/>
    <n v="13.6868"/>
    <n v="-89.196399999999997"/>
    <n v="4"/>
    <n v="0"/>
    <n v="0"/>
    <n v="107"/>
    <s v="_x0000_peopl"/>
  </r>
  <r>
    <x v="7"/>
    <n v="13.6868"/>
    <n v="-89.196399999999997"/>
    <n v="4"/>
    <n v="0"/>
    <n v="0"/>
    <n v="107"/>
    <s v="_x0000_peopl"/>
  </r>
  <r>
    <x v="7"/>
    <n v="13.6867"/>
    <n v="-89.197000000000003"/>
    <n v="5"/>
    <n v="0"/>
    <n v="0"/>
    <n v="107"/>
    <s v="_x0000_peopl"/>
  </r>
  <r>
    <x v="7"/>
    <n v="13.6867"/>
    <n v="-89.197000000000003"/>
    <n v="6"/>
    <n v="0"/>
    <n v="0"/>
    <n v="107"/>
    <s v="_x0000_peopl"/>
  </r>
  <r>
    <x v="7"/>
    <n v="13.6868"/>
    <n v="-89.197000000000003"/>
    <n v="4"/>
    <n v="0"/>
    <n v="0"/>
    <n v="107"/>
    <s v="_x0000_peopl"/>
  </r>
  <r>
    <x v="7"/>
    <n v="13.6868"/>
    <n v="-89.196899999999999"/>
    <n v="3"/>
    <n v="0"/>
    <n v="0"/>
    <n v="107"/>
    <s v="_x0000_peopl"/>
  </r>
  <r>
    <x v="7"/>
    <n v="13.6867"/>
    <n v="-89.196799999999996"/>
    <n v="6"/>
    <n v="0"/>
    <n v="0"/>
    <n v="107"/>
    <s v="_x0000_peopl"/>
  </r>
  <r>
    <x v="7"/>
    <n v="13.6867"/>
    <n v="-89.196799999999996"/>
    <n v="4"/>
    <n v="0"/>
    <n v="0"/>
    <n v="107"/>
    <s v="_x0000_peopl"/>
  </r>
  <r>
    <x v="7"/>
    <n v="13.6867"/>
    <n v="-89.196799999999996"/>
    <n v="7"/>
    <n v="0"/>
    <n v="0"/>
    <n v="107"/>
    <s v="_x0000_peopl"/>
  </r>
  <r>
    <x v="7"/>
    <n v="13.6867"/>
    <n v="-89.196799999999996"/>
    <n v="3"/>
    <n v="0"/>
    <n v="0"/>
    <n v="107"/>
    <s v="_x0000_peopl"/>
  </r>
  <r>
    <x v="7"/>
    <n v="13.6868"/>
    <n v="-89.196799999999996"/>
    <n v="9"/>
    <n v="0"/>
    <n v="0"/>
    <n v="107"/>
    <s v="_x0000_peopl"/>
  </r>
  <r>
    <x v="7"/>
    <n v="13.6868"/>
    <n v="-89.196799999999996"/>
    <n v="4"/>
    <n v="0"/>
    <n v="0"/>
    <n v="107"/>
    <s v="_x0000_peopl"/>
  </r>
  <r>
    <x v="7"/>
    <n v="13.6869"/>
    <n v="-89.196600000000004"/>
    <n v="3"/>
    <n v="0"/>
    <n v="0"/>
    <n v="107"/>
    <s v="_x0000_peopl"/>
  </r>
  <r>
    <x v="7"/>
    <n v="13.6869"/>
    <n v="-89.196600000000004"/>
    <n v="2"/>
    <n v="0"/>
    <n v="0"/>
    <n v="107"/>
    <s v="_x0000_peopl"/>
  </r>
  <r>
    <x v="7"/>
    <n v="13.6867"/>
    <n v="-89.1982"/>
    <n v="5"/>
    <n v="0"/>
    <n v="0"/>
    <n v="107"/>
    <s v="_x0000_peopl"/>
  </r>
  <r>
    <x v="7"/>
    <n v="13.6868"/>
    <n v="-89.198099999999997"/>
    <n v="5"/>
    <n v="0"/>
    <n v="0"/>
    <n v="107"/>
    <s v="_x0000_peopl"/>
  </r>
  <r>
    <x v="7"/>
    <n v="13.6868"/>
    <n v="-89.197999999999993"/>
    <n v="4"/>
    <n v="0"/>
    <n v="0"/>
    <n v="107"/>
    <s v="_x0000_peopl"/>
  </r>
  <r>
    <x v="7"/>
    <n v="13.6869"/>
    <n v="-89.198099999999997"/>
    <n v="10"/>
    <n v="0"/>
    <n v="0"/>
    <n v="107"/>
    <s v="_x0000_peopl"/>
  </r>
  <r>
    <x v="7"/>
    <n v="13.686500000000001"/>
    <n v="-89.197400000000002"/>
    <n v="4"/>
    <n v="0"/>
    <n v="0"/>
    <n v="107"/>
    <s v="_x0000_peopl"/>
  </r>
  <r>
    <x v="7"/>
    <n v="13.686500000000001"/>
    <n v="-89.197299999999998"/>
    <n v="5"/>
    <n v="0"/>
    <n v="0"/>
    <n v="107"/>
    <s v="_x0000_peopl"/>
  </r>
  <r>
    <x v="7"/>
    <n v="13.686400000000001"/>
    <n v="-89.197299999999998"/>
    <n v="3"/>
    <n v="0"/>
    <n v="0"/>
    <n v="107"/>
    <s v="_x0000_peopl"/>
  </r>
  <r>
    <x v="7"/>
    <n v="13.686400000000001"/>
    <n v="-89.197199999999995"/>
    <n v="2"/>
    <n v="0"/>
    <n v="0"/>
    <n v="107"/>
    <s v="_x0000_peopl"/>
  </r>
  <r>
    <x v="7"/>
    <n v="13.686400000000001"/>
    <n v="-89.197100000000006"/>
    <n v="10"/>
    <n v="0"/>
    <n v="0"/>
    <n v="107"/>
    <s v="_x0000_peopl"/>
  </r>
  <r>
    <x v="7"/>
    <n v="13.686400000000001"/>
    <n v="-89.197100000000006"/>
    <n v="6"/>
    <n v="0"/>
    <n v="0"/>
    <n v="107"/>
    <s v="_x0000_peopl"/>
  </r>
  <r>
    <x v="7"/>
    <n v="13.686500000000001"/>
    <n v="-89.197599999999994"/>
    <n v="2"/>
    <n v="0"/>
    <n v="0"/>
    <n v="107"/>
    <s v="_x0000_peopl"/>
  </r>
  <r>
    <x v="7"/>
    <n v="13.6866"/>
    <n v="-89.197599999999994"/>
    <n v="2"/>
    <n v="0"/>
    <n v="0"/>
    <n v="107"/>
    <s v="_x0000_peopl"/>
  </r>
  <r>
    <x v="7"/>
    <n v="13.6866"/>
    <n v="-89.197599999999994"/>
    <n v="8"/>
    <n v="0"/>
    <n v="0"/>
    <n v="107"/>
    <s v="_x0000_peopl"/>
  </r>
  <r>
    <x v="7"/>
    <n v="13.6866"/>
    <n v="-89.197599999999994"/>
    <n v="5"/>
    <n v="0"/>
    <n v="0"/>
    <n v="107"/>
    <s v="_x0000_peopl"/>
  </r>
  <r>
    <x v="7"/>
    <n v="13.686400000000001"/>
    <n v="-89.197000000000003"/>
    <n v="8"/>
    <n v="0"/>
    <n v="0"/>
    <n v="107"/>
    <s v="_x0000_peopl"/>
  </r>
  <r>
    <x v="7"/>
    <n v="13.686400000000001"/>
    <n v="-89.197000000000003"/>
    <n v="4"/>
    <n v="0"/>
    <n v="0"/>
    <n v="107"/>
    <s v="_x0000_peopl"/>
  </r>
  <r>
    <x v="7"/>
    <n v="13.686299999999999"/>
    <n v="-89.196899999999999"/>
    <n v="3"/>
    <n v="0"/>
    <n v="0"/>
    <n v="107"/>
    <s v="_x0000_peopl"/>
  </r>
  <r>
    <x v="7"/>
    <n v="13.686299999999999"/>
    <n v="-89.196799999999996"/>
    <n v="3"/>
    <n v="0"/>
    <n v="0"/>
    <n v="107"/>
    <s v="_x0000_peopl"/>
  </r>
  <r>
    <x v="7"/>
    <n v="13.686299999999999"/>
    <n v="-89.196799999999996"/>
    <n v="3"/>
    <n v="0"/>
    <n v="0"/>
    <n v="107"/>
    <s v="_x0000_peopl"/>
  </r>
  <r>
    <x v="7"/>
    <n v="13.6861"/>
    <n v="-89.196799999999996"/>
    <n v="8"/>
    <n v="0"/>
    <n v="0"/>
    <n v="107"/>
    <s v="_x0000_peopl"/>
  </r>
  <r>
    <x v="7"/>
    <n v="13.686199999999999"/>
    <n v="-89.194699999999997"/>
    <n v="5"/>
    <n v="0"/>
    <n v="0"/>
    <n v="107"/>
    <s v="_x0000_peopl"/>
  </r>
  <r>
    <x v="7"/>
    <n v="13.686199999999999"/>
    <n v="-89.194800000000001"/>
    <n v="2"/>
    <n v="0"/>
    <n v="0"/>
    <n v="107"/>
    <s v="_x0000_peopl"/>
  </r>
  <r>
    <x v="7"/>
    <n v="13.6861"/>
    <n v="-89.194699999999997"/>
    <n v="4"/>
    <n v="0"/>
    <n v="0"/>
    <n v="107"/>
    <s v="_x0000_peopl"/>
  </r>
  <r>
    <x v="7"/>
    <n v="13.689500000000001"/>
    <n v="-89.188400000000001"/>
    <n v="6"/>
    <n v="0"/>
    <n v="0"/>
    <n v="107"/>
    <s v="_x0000_peopl"/>
  </r>
  <r>
    <x v="7"/>
    <n v="13.6896"/>
    <n v="-89.182500000000005"/>
    <n v="5"/>
    <n v="0"/>
    <n v="0"/>
    <n v="107"/>
    <s v="_x0000_peopl"/>
  </r>
  <r>
    <x v="7"/>
    <n v="13.689500000000001"/>
    <n v="-89.182299999999998"/>
    <n v="7"/>
    <n v="0"/>
    <n v="0"/>
    <n v="107"/>
    <s v="_x0000_peopl"/>
  </r>
  <r>
    <x v="7"/>
    <n v="13.6897"/>
    <n v="-89.182599999999994"/>
    <n v="9"/>
    <n v="0"/>
    <n v="0"/>
    <n v="107"/>
    <s v="_x0000_peopl"/>
  </r>
  <r>
    <x v="7"/>
    <n v="13.6896"/>
    <n v="-89.182500000000005"/>
    <n v="4"/>
    <n v="0"/>
    <n v="0"/>
    <n v="107"/>
    <s v="_x0000_peopl"/>
  </r>
  <r>
    <x v="7"/>
    <n v="13.6896"/>
    <n v="-89.182400000000001"/>
    <n v="4"/>
    <n v="0"/>
    <n v="0"/>
    <n v="107"/>
    <s v="_x0000_peopl"/>
  </r>
  <r>
    <x v="7"/>
    <n v="13.6896"/>
    <n v="-89.182400000000001"/>
    <n v="3"/>
    <n v="0"/>
    <n v="0"/>
    <n v="107"/>
    <s v="_x0000_peopl"/>
  </r>
  <r>
    <x v="7"/>
    <n v="13.689500000000001"/>
    <n v="-89.182400000000001"/>
    <n v="3"/>
    <n v="0"/>
    <n v="0"/>
    <n v="107"/>
    <s v="_x0000_peopl"/>
  </r>
  <r>
    <x v="7"/>
    <n v="13.689500000000001"/>
    <n v="-89.182400000000001"/>
    <n v="2"/>
    <n v="0"/>
    <n v="0"/>
    <n v="107"/>
    <s v="_x0000_peopl"/>
  </r>
  <r>
    <x v="7"/>
    <n v="13.689500000000001"/>
    <n v="-89.182400000000001"/>
    <n v="5"/>
    <n v="0"/>
    <n v="0"/>
    <n v="107"/>
    <s v="_x0000_peopl"/>
  </r>
  <r>
    <x v="7"/>
    <n v="13.689500000000001"/>
    <n v="-89.182199999999995"/>
    <n v="4"/>
    <n v="0"/>
    <n v="0"/>
    <n v="107"/>
    <s v="_x0000_peopl"/>
  </r>
  <r>
    <x v="7"/>
    <n v="13.6896"/>
    <n v="-89.182199999999995"/>
    <n v="11"/>
    <n v="0"/>
    <n v="0"/>
    <n v="107"/>
    <s v="_x0000_peopl"/>
  </r>
  <r>
    <x v="7"/>
    <n v="13.6897"/>
    <n v="-89.182199999999995"/>
    <n v="5"/>
    <n v="0"/>
    <n v="0"/>
    <n v="107"/>
    <s v="_x0000_peopl"/>
  </r>
  <r>
    <x v="7"/>
    <n v="13.6897"/>
    <n v="-89.182599999999994"/>
    <n v="6"/>
    <n v="0"/>
    <n v="0"/>
    <n v="107"/>
    <s v="_x0000_peopl"/>
  </r>
  <r>
    <x v="7"/>
    <n v="13.6898"/>
    <n v="-89.182199999999995"/>
    <n v="3"/>
    <n v="0"/>
    <n v="0"/>
    <n v="107"/>
    <s v="_x0000_peopl"/>
  </r>
  <r>
    <x v="7"/>
    <n v="13.6898"/>
    <n v="-89.182699999999997"/>
    <n v="1"/>
    <n v="0"/>
    <n v="0"/>
    <n v="107"/>
    <s v="_x0000_peopl"/>
  </r>
  <r>
    <x v="7"/>
    <n v="13.6899"/>
    <n v="-89.182599999999994"/>
    <n v="7"/>
    <n v="0"/>
    <n v="0"/>
    <n v="107"/>
    <s v="_x0000_peopl"/>
  </r>
  <r>
    <x v="7"/>
    <n v="13.69"/>
    <n v="-89.182699999999997"/>
    <n v="3"/>
    <n v="0"/>
    <n v="0"/>
    <n v="107"/>
    <s v="_x0000_peopl"/>
  </r>
  <r>
    <x v="7"/>
    <n v="13.69"/>
    <n v="-89.182500000000005"/>
    <n v="4"/>
    <n v="0"/>
    <n v="0"/>
    <n v="107"/>
    <s v="_x0000_peopl"/>
  </r>
  <r>
    <x v="7"/>
    <n v="13.69"/>
    <n v="-89.182299999999998"/>
    <n v="7"/>
    <n v="0"/>
    <n v="0"/>
    <n v="107"/>
    <s v="_x0000_peopl"/>
  </r>
  <r>
    <x v="7"/>
    <n v="13.69"/>
    <n v="-89.182299999999998"/>
    <n v="6"/>
    <n v="0"/>
    <n v="0"/>
    <n v="107"/>
    <s v="_x0000_peopl"/>
  </r>
  <r>
    <x v="7"/>
    <n v="13.69"/>
    <n v="-89.182199999999995"/>
    <n v="1"/>
    <n v="0"/>
    <n v="0"/>
    <n v="107"/>
    <s v="_x0000_peopl"/>
  </r>
  <r>
    <x v="7"/>
    <n v="13.690200000000001"/>
    <n v="-89.182500000000005"/>
    <n v="7"/>
    <n v="0"/>
    <n v="0"/>
    <n v="107"/>
    <s v="_x0000_peopl"/>
  </r>
  <r>
    <x v="7"/>
    <n v="13.690200000000001"/>
    <n v="-89.182500000000005"/>
    <n v="2"/>
    <n v="0"/>
    <n v="0"/>
    <n v="107"/>
    <s v="_x0000_peopl"/>
  </r>
  <r>
    <x v="7"/>
    <n v="13.690200000000001"/>
    <n v="-89.182400000000001"/>
    <n v="7"/>
    <n v="0"/>
    <n v="0"/>
    <n v="107"/>
    <s v="_x0000_peopl"/>
  </r>
  <r>
    <x v="7"/>
    <n v="13.690200000000001"/>
    <n v="-89.182299999999998"/>
    <n v="5"/>
    <n v="0"/>
    <n v="0"/>
    <n v="107"/>
    <s v="_x0000_peopl"/>
  </r>
  <r>
    <x v="7"/>
    <n v="13.690200000000001"/>
    <n v="-89.182199999999995"/>
    <n v="3"/>
    <n v="0"/>
    <n v="0"/>
    <n v="107"/>
    <s v="_x0000_peopl"/>
  </r>
  <r>
    <x v="7"/>
    <n v="13.6905"/>
    <n v="-89.182599999999994"/>
    <n v="5"/>
    <n v="0"/>
    <n v="0"/>
    <n v="107"/>
    <s v="_x0000_peopl"/>
  </r>
  <r>
    <x v="7"/>
    <n v="13.6904"/>
    <n v="-89.182699999999997"/>
    <n v="6"/>
    <n v="0"/>
    <n v="0"/>
    <n v="107"/>
    <s v="_x0000_peopl"/>
  </r>
  <r>
    <x v="7"/>
    <n v="13.6905"/>
    <n v="-89.182199999999995"/>
    <n v="2"/>
    <n v="0"/>
    <n v="0"/>
    <n v="107"/>
    <s v="_x0000_peopl"/>
  </r>
  <r>
    <x v="7"/>
    <n v="13.690799999999999"/>
    <n v="-89.182599999999994"/>
    <n v="4"/>
    <n v="0"/>
    <n v="0"/>
    <n v="107"/>
    <s v="_x0000_peopl"/>
  </r>
  <r>
    <x v="7"/>
    <n v="13.6907"/>
    <n v="-89.182599999999994"/>
    <n v="10"/>
    <n v="0"/>
    <n v="0"/>
    <n v="107"/>
    <s v="_x0000_peopl"/>
  </r>
  <r>
    <x v="7"/>
    <n v="13.6906"/>
    <n v="-89.182599999999994"/>
    <n v="10"/>
    <n v="0"/>
    <n v="0"/>
    <n v="107"/>
    <s v="_x0000_peopl"/>
  </r>
  <r>
    <x v="7"/>
    <n v="13.6906"/>
    <n v="-89.182500000000005"/>
    <n v="4"/>
    <n v="0"/>
    <n v="0"/>
    <n v="107"/>
    <s v="_x0000_peopl"/>
  </r>
  <r>
    <x v="7"/>
    <n v="13.690899999999999"/>
    <n v="-89.182599999999994"/>
    <n v="6"/>
    <n v="0"/>
    <n v="0"/>
    <n v="107"/>
    <s v="_x0000_peopl"/>
  </r>
  <r>
    <x v="7"/>
    <n v="13.691000000000001"/>
    <n v="-89.182599999999994"/>
    <n v="7"/>
    <n v="0"/>
    <n v="0"/>
    <n v="107"/>
    <s v="_x0000_peopl"/>
  </r>
  <r>
    <x v="7"/>
    <n v="13.691000000000001"/>
    <n v="-89.182500000000005"/>
    <n v="1"/>
    <n v="0"/>
    <n v="0"/>
    <n v="107"/>
    <s v="_x0000_peopl"/>
  </r>
  <r>
    <x v="7"/>
    <n v="13.691000000000001"/>
    <n v="-89.182400000000001"/>
    <n v="8"/>
    <n v="0"/>
    <n v="0"/>
    <n v="107"/>
    <s v="_x0000_peopl"/>
  </r>
  <r>
    <x v="7"/>
    <n v="13.691000000000001"/>
    <n v="-89.182299999999998"/>
    <n v="4"/>
    <n v="0"/>
    <n v="0"/>
    <n v="107"/>
    <s v="_x0000_peopl"/>
  </r>
  <r>
    <x v="7"/>
    <n v="13.691000000000001"/>
    <n v="-89.182299999999998"/>
    <n v="4"/>
    <n v="0"/>
    <n v="0"/>
    <n v="107"/>
    <s v="_x0000_peopl"/>
  </r>
  <r>
    <x v="7"/>
    <n v="13.691000000000001"/>
    <n v="-89.182199999999995"/>
    <n v="7"/>
    <n v="0"/>
    <n v="0"/>
    <n v="107"/>
    <s v="_x0000_peopl"/>
  </r>
  <r>
    <x v="7"/>
    <n v="13.6912"/>
    <n v="-89.182500000000005"/>
    <n v="4"/>
    <n v="0"/>
    <n v="0"/>
    <n v="107"/>
    <s v="_x0000_peopl"/>
  </r>
  <r>
    <x v="7"/>
    <n v="13.6912"/>
    <n v="-89.182400000000001"/>
    <n v="6"/>
    <n v="0"/>
    <n v="0"/>
    <n v="107"/>
    <s v="_x0000_peopl"/>
  </r>
  <r>
    <x v="7"/>
    <n v="13.6912"/>
    <n v="-89.182400000000001"/>
    <n v="3"/>
    <n v="0"/>
    <n v="0"/>
    <n v="107"/>
    <s v="_x0000_peopl"/>
  </r>
  <r>
    <x v="7"/>
    <n v="13.6912"/>
    <n v="-89.182299999999998"/>
    <n v="5"/>
    <n v="0"/>
    <n v="0"/>
    <n v="107"/>
    <s v="_x0000_peopl"/>
  </r>
  <r>
    <x v="7"/>
    <n v="13.6912"/>
    <n v="-89.182199999999995"/>
    <n v="8"/>
    <n v="0"/>
    <n v="0"/>
    <n v="107"/>
    <s v="_x0000_peopl"/>
  </r>
  <r>
    <x v="7"/>
    <n v="13.6913"/>
    <n v="-89.182500000000005"/>
    <n v="5"/>
    <n v="0"/>
    <n v="0"/>
    <n v="107"/>
    <s v="_x0000_peopl"/>
  </r>
  <r>
    <x v="7"/>
    <n v="13.6914"/>
    <n v="-89.182500000000005"/>
    <n v="4"/>
    <n v="0"/>
    <n v="0"/>
    <n v="107"/>
    <s v="_x0000_peopl"/>
  </r>
  <r>
    <x v="7"/>
    <n v="13.6914"/>
    <n v="-89.182299999999998"/>
    <n v="10"/>
    <n v="0"/>
    <n v="0"/>
    <n v="107"/>
    <s v="_x0000_peopl"/>
  </r>
  <r>
    <x v="7"/>
    <n v="13.6913"/>
    <n v="-89.182299999999998"/>
    <n v="3"/>
    <n v="0"/>
    <n v="0"/>
    <n v="107"/>
    <s v="_x0000_peopl"/>
  </r>
  <r>
    <x v="7"/>
    <n v="13.6913"/>
    <n v="-89.182199999999995"/>
    <n v="3"/>
    <n v="0"/>
    <n v="0"/>
    <n v="107"/>
    <s v="_x0000_peopl"/>
  </r>
  <r>
    <x v="7"/>
    <n v="13.688499999999999"/>
    <n v="-89.1828"/>
    <n v="7"/>
    <n v="0"/>
    <n v="0"/>
    <n v="107"/>
    <s v="_x0000_peopl"/>
  </r>
  <r>
    <x v="7"/>
    <n v="13.688499999999999"/>
    <n v="-89.182699999999997"/>
    <n v="5"/>
    <n v="0"/>
    <n v="0"/>
    <n v="107"/>
    <s v="_x0000_peopl"/>
  </r>
  <r>
    <x v="7"/>
    <n v="13.688700000000001"/>
    <n v="-89.181600000000003"/>
    <n v="2"/>
    <n v="0"/>
    <n v="0"/>
    <n v="107"/>
    <s v="_x0000_peopl"/>
  </r>
  <r>
    <x v="7"/>
    <n v="13.689"/>
    <n v="-89.1815"/>
    <n v="15"/>
    <n v="0"/>
    <n v="0"/>
    <n v="107"/>
    <s v="_x0000_peopl"/>
  </r>
  <r>
    <x v="7"/>
    <n v="13.6891"/>
    <n v="-89.1815"/>
    <n v="6"/>
    <n v="0"/>
    <n v="0"/>
    <n v="107"/>
    <s v="_x0000_peopl"/>
  </r>
  <r>
    <x v="7"/>
    <n v="13.6892"/>
    <n v="-89.181399999999996"/>
    <n v="8"/>
    <n v="0"/>
    <n v="0"/>
    <n v="107"/>
    <s v="_x0000_peopl"/>
  </r>
  <r>
    <x v="7"/>
    <n v="13.6937"/>
    <n v="-89.185000000000002"/>
    <n v="4"/>
    <n v="0"/>
    <n v="0"/>
    <n v="107"/>
    <s v="_x0000_peopl"/>
  </r>
  <r>
    <x v="7"/>
    <n v="13.6938"/>
    <n v="-89.184799999999996"/>
    <n v="3"/>
    <n v="0"/>
    <n v="0"/>
    <n v="107"/>
    <s v="_x0000_peopl"/>
  </r>
  <r>
    <x v="7"/>
    <n v="13.6938"/>
    <n v="-89.184799999999996"/>
    <n v="7"/>
    <n v="0"/>
    <n v="0"/>
    <n v="107"/>
    <s v="_x0000_peopl"/>
  </r>
  <r>
    <x v="7"/>
    <n v="13.6938"/>
    <n v="-89.184700000000007"/>
    <n v="8"/>
    <n v="0"/>
    <n v="0"/>
    <n v="107"/>
    <s v="_x0000_peopl"/>
  </r>
  <r>
    <x v="7"/>
    <n v="13.6938"/>
    <n v="-89.184600000000003"/>
    <n v="4"/>
    <n v="0"/>
    <n v="0"/>
    <n v="107"/>
    <s v="_x0000_peopl"/>
  </r>
  <r>
    <x v="7"/>
    <n v="13.6937"/>
    <n v="-89.1845"/>
    <n v="9"/>
    <n v="0"/>
    <n v="0"/>
    <n v="107"/>
    <s v="_x0000_peopl"/>
  </r>
  <r>
    <x v="7"/>
    <n v="13.6937"/>
    <n v="-89.184200000000004"/>
    <n v="7"/>
    <n v="0"/>
    <n v="0"/>
    <n v="107"/>
    <s v="_x0000_peopl"/>
  </r>
  <r>
    <x v="7"/>
    <n v="13.6938"/>
    <n v="-89.184399999999997"/>
    <n v="5"/>
    <n v="0"/>
    <n v="0"/>
    <n v="107"/>
    <s v="_x0000_peopl"/>
  </r>
  <r>
    <x v="7"/>
    <n v="13.693899999999999"/>
    <n v="-89.184299999999993"/>
    <n v="5"/>
    <n v="0"/>
    <n v="0"/>
    <n v="107"/>
    <s v="_x0000_peopl"/>
  </r>
  <r>
    <x v="7"/>
    <n v="13.6937"/>
    <n v="-89.184200000000004"/>
    <n v="3"/>
    <n v="0"/>
    <n v="0"/>
    <n v="107"/>
    <s v="_x0000_peopl"/>
  </r>
  <r>
    <x v="7"/>
    <n v="13.6938"/>
    <n v="-89.184100000000001"/>
    <n v="5"/>
    <n v="0"/>
    <n v="0"/>
    <n v="107"/>
    <s v="_x0000_peopl"/>
  </r>
  <r>
    <x v="7"/>
    <n v="13.6938"/>
    <n v="-89.184200000000004"/>
    <n v="2"/>
    <n v="0"/>
    <n v="0"/>
    <n v="107"/>
    <s v="_x0000_peopl"/>
  </r>
  <r>
    <x v="7"/>
    <n v="13.693899999999999"/>
    <n v="-89.184200000000004"/>
    <n v="7"/>
    <n v="0"/>
    <n v="0"/>
    <n v="107"/>
    <s v="_x0000_peopl"/>
  </r>
  <r>
    <x v="7"/>
    <n v="13.693899999999999"/>
    <n v="-89.185400000000001"/>
    <n v="2"/>
    <n v="0"/>
    <n v="0"/>
    <n v="107"/>
    <s v="_x0000_peopl"/>
  </r>
  <r>
    <x v="7"/>
    <n v="13.693899999999999"/>
    <n v="-89.185400000000001"/>
    <n v="6"/>
    <n v="0"/>
    <n v="0"/>
    <n v="107"/>
    <s v="_x0000_peopl"/>
  </r>
  <r>
    <x v="7"/>
    <n v="13.694000000000001"/>
    <n v="-89.185299999999998"/>
    <n v="6"/>
    <n v="0"/>
    <n v="0"/>
    <n v="107"/>
    <s v="_x0000_peopl"/>
  </r>
  <r>
    <x v="7"/>
    <n v="13.694100000000001"/>
    <n v="-89.185199999999995"/>
    <n v="4"/>
    <n v="0"/>
    <n v="0"/>
    <n v="107"/>
    <s v="_x0000_peopl"/>
  </r>
  <r>
    <x v="7"/>
    <n v="13.694000000000001"/>
    <n v="-89.185100000000006"/>
    <n v="5"/>
    <n v="0"/>
    <n v="0"/>
    <n v="107"/>
    <s v="_x0000_peopl"/>
  </r>
  <r>
    <x v="7"/>
    <n v="13.6881"/>
    <n v="-89.1828"/>
    <n v="5"/>
    <n v="0"/>
    <n v="0"/>
    <n v="107"/>
    <s v="_x0000_peopl"/>
  </r>
  <r>
    <x v="7"/>
    <n v="13.688000000000001"/>
    <n v="-89.1828"/>
    <n v="2"/>
    <n v="0"/>
    <n v="0"/>
    <n v="107"/>
    <s v="_x0000_peopl"/>
  </r>
  <r>
    <x v="7"/>
    <n v="13.688000000000001"/>
    <n v="-89.182900000000004"/>
    <n v="11"/>
    <n v="0"/>
    <n v="0"/>
    <n v="107"/>
    <s v="_x0000_peopl"/>
  </r>
  <r>
    <x v="7"/>
    <n v="13.6892"/>
    <n v="-89.182299999999998"/>
    <n v="6"/>
    <n v="0"/>
    <n v="0"/>
    <n v="107"/>
    <s v="_x0000_peopl"/>
  </r>
  <r>
    <x v="7"/>
    <n v="13.6891"/>
    <n v="-89.182199999999995"/>
    <n v="7"/>
    <n v="0"/>
    <n v="0"/>
    <n v="107"/>
    <s v="_x0000_peopl"/>
  </r>
  <r>
    <x v="7"/>
    <n v="13.6891"/>
    <n v="-89.182199999999995"/>
    <n v="6"/>
    <n v="0"/>
    <n v="0"/>
    <n v="107"/>
    <s v="_x0000_peopl"/>
  </r>
  <r>
    <x v="7"/>
    <n v="13.6892"/>
    <n v="-89.182100000000005"/>
    <n v="7"/>
    <n v="0"/>
    <n v="0"/>
    <n v="107"/>
    <s v="_x0000_peopl"/>
  </r>
  <r>
    <x v="7"/>
    <n v="13.689"/>
    <n v="-89.182400000000001"/>
    <n v="7"/>
    <n v="0"/>
    <n v="0"/>
    <n v="107"/>
    <s v="_x0000_peopl"/>
  </r>
  <r>
    <x v="7"/>
    <n v="13.6891"/>
    <n v="-89.182400000000001"/>
    <n v="3"/>
    <n v="0"/>
    <n v="0"/>
    <n v="107"/>
    <s v="_x0000_peopl"/>
  </r>
  <r>
    <x v="7"/>
    <n v="13.6891"/>
    <n v="-89.182500000000005"/>
    <n v="5"/>
    <n v="0"/>
    <n v="0"/>
    <n v="107"/>
    <s v="_x0000_peopl"/>
  </r>
  <r>
    <x v="7"/>
    <n v="13.6892"/>
    <n v="-89.1828"/>
    <n v="6"/>
    <n v="0"/>
    <n v="0"/>
    <n v="107"/>
    <s v="_x0000_peopl"/>
  </r>
  <r>
    <x v="7"/>
    <n v="13.689"/>
    <n v="-89.182699999999997"/>
    <n v="6"/>
    <n v="0"/>
    <n v="0"/>
    <n v="107"/>
    <s v="_x0000_peopl"/>
  </r>
  <r>
    <x v="7"/>
    <n v="13.6891"/>
    <n v="-89.182599999999994"/>
    <n v="4"/>
    <n v="0"/>
    <n v="0"/>
    <n v="107"/>
    <s v="_x0000_peopl"/>
  </r>
  <r>
    <x v="7"/>
    <n v="13.6892"/>
    <n v="-89.182500000000005"/>
    <n v="2"/>
    <n v="0"/>
    <n v="0"/>
    <n v="107"/>
    <s v="_x0000_peopl"/>
  </r>
  <r>
    <x v="7"/>
    <n v="13.689500000000001"/>
    <n v="-89.182900000000004"/>
    <n v="6"/>
    <n v="0"/>
    <n v="0"/>
    <n v="107"/>
    <s v="_x0000_peopl"/>
  </r>
  <r>
    <x v="7"/>
    <n v="13.689399999999999"/>
    <n v="-89.1828"/>
    <n v="2"/>
    <n v="0"/>
    <n v="0"/>
    <n v="107"/>
    <s v="_x0000_peopl"/>
  </r>
  <r>
    <x v="7"/>
    <n v="13.689500000000001"/>
    <n v="-89.1828"/>
    <n v="8"/>
    <n v="0"/>
    <n v="0"/>
    <n v="107"/>
    <s v="_x0000_peopl"/>
  </r>
  <r>
    <x v="7"/>
    <n v="13.6896"/>
    <n v="-89.182699999999997"/>
    <n v="4"/>
    <n v="0"/>
    <n v="0"/>
    <n v="107"/>
    <s v="_x0000_peopl"/>
  </r>
  <r>
    <x v="7"/>
    <n v="13.689500000000001"/>
    <n v="-89.182699999999997"/>
    <n v="9"/>
    <n v="0"/>
    <n v="0"/>
    <n v="107"/>
    <s v="_x0000_peopl"/>
  </r>
  <r>
    <x v="7"/>
    <n v="13.689500000000001"/>
    <n v="-89.182599999999994"/>
    <n v="4"/>
    <n v="0"/>
    <n v="0"/>
    <n v="107"/>
    <s v="_x0000_peopl"/>
  </r>
  <r>
    <x v="7"/>
    <n v="13.689500000000001"/>
    <n v="-89.182500000000005"/>
    <n v="6"/>
    <n v="0"/>
    <n v="0"/>
    <n v="107"/>
    <s v="_x0000_peopl"/>
  </r>
  <r>
    <x v="7"/>
    <n v="13.689399999999999"/>
    <n v="-89.182500000000005"/>
    <n v="13"/>
    <n v="0"/>
    <n v="0"/>
    <n v="107"/>
    <s v="_x0000_peopl"/>
  </r>
  <r>
    <x v="7"/>
    <n v="13.689299999999999"/>
    <n v="-89.182699999999997"/>
    <n v="4"/>
    <n v="0"/>
    <n v="0"/>
    <n v="107"/>
    <s v="_x0000_peopl"/>
  </r>
  <r>
    <x v="7"/>
    <n v="13.689399999999999"/>
    <n v="-89.1828"/>
    <n v="5"/>
    <n v="0"/>
    <n v="0"/>
    <n v="107"/>
    <s v="_x0000_peopl"/>
  </r>
  <r>
    <x v="7"/>
    <n v="13.689299999999999"/>
    <n v="-89.182699999999997"/>
    <n v="6"/>
    <n v="0"/>
    <n v="0"/>
    <n v="107"/>
    <s v="_x0000_peopl"/>
  </r>
  <r>
    <x v="7"/>
    <n v="13.689299999999999"/>
    <n v="-89.182400000000001"/>
    <n v="4"/>
    <n v="0"/>
    <n v="0"/>
    <n v="107"/>
    <s v="_x0000_peopl"/>
  </r>
  <r>
    <x v="7"/>
    <n v="13.689299999999999"/>
    <n v="-89.182299999999998"/>
    <n v="2"/>
    <n v="0"/>
    <n v="0"/>
    <n v="107"/>
    <s v="_x0000_peopl"/>
  </r>
  <r>
    <x v="7"/>
    <n v="13.689299999999999"/>
    <n v="-89.182199999999995"/>
    <n v="5"/>
    <n v="0"/>
    <n v="0"/>
    <n v="107"/>
    <s v="_x0000_peopl"/>
  </r>
  <r>
    <x v="7"/>
    <n v="13.6896"/>
    <n v="-89.1828"/>
    <n v="4"/>
    <n v="0"/>
    <n v="0"/>
    <n v="107"/>
    <s v="_x0000_peopl"/>
  </r>
  <r>
    <x v="7"/>
    <n v="13.6904"/>
    <n v="-89.1828"/>
    <n v="6"/>
    <n v="0"/>
    <n v="0"/>
    <n v="107"/>
    <s v="_x0000_peopl"/>
  </r>
  <r>
    <x v="7"/>
    <n v="13.6904"/>
    <n v="-89.1828"/>
    <n v="2"/>
    <n v="0"/>
    <n v="0"/>
    <n v="107"/>
    <s v="_x0000_peopl"/>
  </r>
  <r>
    <x v="7"/>
    <n v="13.6905"/>
    <n v="-89.1828"/>
    <n v="7"/>
    <n v="0"/>
    <n v="0"/>
    <n v="107"/>
    <s v="_x0000_peopl"/>
  </r>
  <r>
    <x v="7"/>
    <n v="13.6906"/>
    <n v="-89.1828"/>
    <n v="6"/>
    <n v="0"/>
    <n v="0"/>
    <n v="107"/>
    <s v="_x0000_peopl"/>
  </r>
  <r>
    <x v="7"/>
    <n v="13.6907"/>
    <n v="-89.1828"/>
    <n v="1"/>
    <n v="0"/>
    <n v="0"/>
    <n v="107"/>
    <s v="_x0000_peopl"/>
  </r>
  <r>
    <x v="7"/>
    <n v="13.6911"/>
    <n v="-89.182699999999997"/>
    <n v="8"/>
    <n v="0"/>
    <n v="0"/>
    <n v="107"/>
    <s v="_x0000_peopl"/>
  </r>
  <r>
    <x v="7"/>
    <n v="13.6911"/>
    <n v="-89.182699999999997"/>
    <n v="13"/>
    <n v="0"/>
    <n v="0"/>
    <n v="107"/>
    <s v="_x0000_peopl"/>
  </r>
  <r>
    <x v="7"/>
    <n v="13.6912"/>
    <n v="-89.182599999999994"/>
    <n v="3"/>
    <n v="0"/>
    <n v="0"/>
    <n v="107"/>
    <s v="_x0000_peopl"/>
  </r>
  <r>
    <x v="7"/>
    <n v="13.6861"/>
    <n v="-89.194699999999997"/>
    <n v="6"/>
    <n v="0"/>
    <n v="0"/>
    <n v="107"/>
    <s v="_x0000_peopl"/>
  </r>
  <r>
    <x v="7"/>
    <n v="13.686"/>
    <n v="-89.194999999999993"/>
    <n v="5"/>
    <n v="0"/>
    <n v="0"/>
    <n v="107"/>
    <s v="_x0000_peopl"/>
  </r>
  <r>
    <x v="7"/>
    <n v="13.686"/>
    <n v="-89.194999999999993"/>
    <n v="4"/>
    <n v="0"/>
    <n v="0"/>
    <n v="107"/>
    <s v="_x0000_peopl"/>
  </r>
  <r>
    <x v="7"/>
    <n v="13.686"/>
    <n v="-89.194999999999993"/>
    <n v="4"/>
    <n v="0"/>
    <n v="0"/>
    <n v="107"/>
    <s v="_x0000_peopl"/>
  </r>
  <r>
    <x v="7"/>
    <n v="13.686"/>
    <n v="-89.194999999999993"/>
    <n v="8"/>
    <n v="0"/>
    <n v="0"/>
    <n v="107"/>
    <s v="_x0000_peopl"/>
  </r>
  <r>
    <x v="7"/>
    <n v="13.686"/>
    <n v="-89.194900000000004"/>
    <n v="8"/>
    <n v="0"/>
    <n v="0"/>
    <n v="107"/>
    <s v="_x0000_peopl"/>
  </r>
  <r>
    <x v="7"/>
    <n v="13.686"/>
    <n v="-89.194900000000004"/>
    <n v="3"/>
    <n v="0"/>
    <n v="0"/>
    <n v="107"/>
    <s v="_x0000_peopl"/>
  </r>
  <r>
    <x v="7"/>
    <n v="13.686"/>
    <n v="-89.194900000000004"/>
    <n v="8"/>
    <n v="0"/>
    <n v="0"/>
    <n v="107"/>
    <s v="_x0000_peopl"/>
  </r>
  <r>
    <x v="7"/>
    <n v="13.686"/>
    <n v="-89.194800000000001"/>
    <n v="4"/>
    <n v="0"/>
    <n v="0"/>
    <n v="107"/>
    <s v="_x0000_peopl"/>
  </r>
  <r>
    <x v="7"/>
    <n v="13.686"/>
    <n v="-89.194800000000001"/>
    <n v="6"/>
    <n v="0"/>
    <n v="0"/>
    <n v="107"/>
    <s v="_x0000_peopl"/>
  </r>
  <r>
    <x v="7"/>
    <n v="13.686"/>
    <n v="-89.194900000000004"/>
    <n v="7"/>
    <n v="0"/>
    <n v="0"/>
    <n v="107"/>
    <s v="_x0000_peopl"/>
  </r>
  <r>
    <x v="7"/>
    <n v="13.686"/>
    <n v="-89.194900000000004"/>
    <n v="5"/>
    <n v="0"/>
    <n v="0"/>
    <n v="107"/>
    <s v="_x0000_peopl"/>
  </r>
  <r>
    <x v="7"/>
    <n v="13.686"/>
    <n v="-89.194900000000004"/>
    <n v="5"/>
    <n v="0"/>
    <n v="0"/>
    <n v="107"/>
    <s v="_x0000_peopl"/>
  </r>
  <r>
    <x v="7"/>
    <n v="13.6861"/>
    <n v="-89.194800000000001"/>
    <n v="5"/>
    <n v="0"/>
    <n v="0"/>
    <n v="107"/>
    <s v="_x0000_peopl"/>
  </r>
  <r>
    <x v="7"/>
    <n v="13.6861"/>
    <n v="-89.194800000000001"/>
    <n v="3"/>
    <n v="0"/>
    <n v="0"/>
    <n v="107"/>
    <s v="_x0000_peopl"/>
  </r>
  <r>
    <x v="7"/>
    <n v="13.6861"/>
    <n v="-89.194800000000001"/>
    <n v="3"/>
    <n v="0"/>
    <n v="0"/>
    <n v="107"/>
    <s v="_x0000_peopl"/>
  </r>
  <r>
    <x v="7"/>
    <n v="13.6861"/>
    <n v="-89.194800000000001"/>
    <n v="6"/>
    <n v="0"/>
    <n v="0"/>
    <n v="107"/>
    <s v="_x0000_peopl"/>
  </r>
  <r>
    <x v="7"/>
    <n v="13.6861"/>
    <n v="-89.194800000000001"/>
    <n v="5"/>
    <n v="0"/>
    <n v="0"/>
    <n v="107"/>
    <s v="_x0000_peopl"/>
  </r>
  <r>
    <x v="7"/>
    <n v="13.6861"/>
    <n v="-89.194800000000001"/>
    <n v="5"/>
    <n v="0"/>
    <n v="0"/>
    <n v="107"/>
    <s v="_x0000_peopl"/>
  </r>
  <r>
    <x v="7"/>
    <n v="13.6861"/>
    <n v="-89.194800000000001"/>
    <n v="7"/>
    <n v="0"/>
    <n v="0"/>
    <n v="107"/>
    <s v="_x0000_peopl"/>
  </r>
  <r>
    <x v="7"/>
    <n v="13.6861"/>
    <n v="-89.194800000000001"/>
    <n v="4"/>
    <n v="0"/>
    <n v="0"/>
    <n v="107"/>
    <s v="_x0000_peopl"/>
  </r>
  <r>
    <x v="7"/>
    <n v="13.6861"/>
    <n v="-89.194800000000001"/>
    <n v="5"/>
    <n v="0"/>
    <n v="0"/>
    <n v="107"/>
    <s v="_x0000_peopl"/>
  </r>
  <r>
    <x v="7"/>
    <n v="13.6859"/>
    <n v="-89.194900000000004"/>
    <n v="6"/>
    <n v="0"/>
    <n v="0"/>
    <n v="107"/>
    <s v="_x0000_peopl"/>
  </r>
  <r>
    <x v="7"/>
    <n v="13.6859"/>
    <n v="-89.194900000000004"/>
    <n v="6"/>
    <n v="0"/>
    <n v="0"/>
    <n v="107"/>
    <s v="_x0000_peopl"/>
  </r>
  <r>
    <x v="7"/>
    <n v="13.6859"/>
    <n v="-89.194900000000004"/>
    <n v="6"/>
    <n v="0"/>
    <n v="0"/>
    <n v="107"/>
    <s v="_x0000_peopl"/>
  </r>
  <r>
    <x v="7"/>
    <n v="13.6859"/>
    <n v="-89.194900000000004"/>
    <n v="2"/>
    <n v="0"/>
    <n v="0"/>
    <n v="107"/>
    <s v="_x0000_peopl"/>
  </r>
  <r>
    <x v="7"/>
    <n v="13.6859"/>
    <n v="-89.194900000000004"/>
    <n v="3"/>
    <n v="0"/>
    <n v="0"/>
    <n v="107"/>
    <s v="_x0000_peopl"/>
  </r>
  <r>
    <x v="7"/>
    <n v="13.6859"/>
    <n v="-89.194900000000004"/>
    <n v="4"/>
    <n v="0"/>
    <n v="0"/>
    <n v="107"/>
    <s v="_x0000_peopl"/>
  </r>
  <r>
    <x v="7"/>
    <n v="13.686"/>
    <n v="-89.194900000000004"/>
    <n v="3"/>
    <n v="0"/>
    <n v="0"/>
    <n v="107"/>
    <s v="_x0000_peopl"/>
  </r>
  <r>
    <x v="7"/>
    <n v="13.686"/>
    <n v="-89.194900000000004"/>
    <n v="4"/>
    <n v="0"/>
    <n v="0"/>
    <n v="107"/>
    <s v="_x0000_peopl"/>
  </r>
  <r>
    <x v="7"/>
    <n v="13.6859"/>
    <n v="-89.194800000000001"/>
    <n v="9"/>
    <n v="0"/>
    <n v="0"/>
    <n v="107"/>
    <s v="_x0000_peopl"/>
  </r>
  <r>
    <x v="7"/>
    <n v="13.6859"/>
    <n v="-89.194800000000001"/>
    <n v="5"/>
    <n v="0"/>
    <n v="0"/>
    <n v="107"/>
    <s v="_x0000_peopl"/>
  </r>
  <r>
    <x v="7"/>
    <n v="13.6859"/>
    <n v="-89.194800000000001"/>
    <n v="5"/>
    <n v="0"/>
    <n v="0"/>
    <n v="107"/>
    <s v="_x0000_peopl"/>
  </r>
  <r>
    <x v="7"/>
    <n v="13.6859"/>
    <n v="-89.194800000000001"/>
    <n v="5"/>
    <n v="0"/>
    <n v="0"/>
    <n v="107"/>
    <s v="_x0000_peopl"/>
  </r>
  <r>
    <x v="7"/>
    <n v="13.6859"/>
    <n v="-89.195099999999996"/>
    <n v="6"/>
    <n v="0"/>
    <n v="0"/>
    <n v="107"/>
    <s v="_x0000_peopl"/>
  </r>
  <r>
    <x v="7"/>
    <n v="13.6859"/>
    <n v="-89.195099999999996"/>
    <n v="5"/>
    <n v="0"/>
    <n v="0"/>
    <n v="107"/>
    <s v="_x0000_peopl"/>
  </r>
  <r>
    <x v="7"/>
    <n v="13.6869"/>
    <n v="-89.193899999999999"/>
    <n v="2"/>
    <n v="0"/>
    <n v="0"/>
    <n v="107"/>
    <s v="_x0000_peopl"/>
  </r>
  <r>
    <x v="7"/>
    <n v="13.6869"/>
    <n v="-89.193899999999999"/>
    <n v="2"/>
    <n v="0"/>
    <n v="0"/>
    <n v="107"/>
    <s v="_x0000_peopl"/>
  </r>
  <r>
    <x v="7"/>
    <n v="13.6869"/>
    <n v="-89.193799999999996"/>
    <n v="3"/>
    <n v="0"/>
    <n v="0"/>
    <n v="107"/>
    <s v="_x0000_peopl"/>
  </r>
  <r>
    <x v="7"/>
    <n v="13.6869"/>
    <n v="-89.193799999999996"/>
    <n v="8"/>
    <n v="0"/>
    <n v="0"/>
    <n v="107"/>
    <s v="_x0000_peopl"/>
  </r>
  <r>
    <x v="7"/>
    <n v="13.686999999999999"/>
    <n v="-89.193700000000007"/>
    <n v="9"/>
    <n v="0"/>
    <n v="0"/>
    <n v="107"/>
    <s v="_x0000_peopl"/>
  </r>
  <r>
    <x v="7"/>
    <n v="13.686999999999999"/>
    <n v="-89.193700000000007"/>
    <n v="6"/>
    <n v="0"/>
    <n v="0"/>
    <n v="107"/>
    <s v="_x0000_peopl"/>
  </r>
  <r>
    <x v="7"/>
    <n v="13.686999999999999"/>
    <n v="-89.193700000000007"/>
    <n v="6"/>
    <n v="0"/>
    <n v="0"/>
    <n v="107"/>
    <s v="_x0000_peopl"/>
  </r>
  <r>
    <x v="7"/>
    <n v="13.686999999999999"/>
    <n v="-89.193700000000007"/>
    <n v="7"/>
    <n v="0"/>
    <n v="0"/>
    <n v="107"/>
    <s v="_x0000_peopl"/>
  </r>
  <r>
    <x v="7"/>
    <n v="13.686999999999999"/>
    <n v="-89.193700000000007"/>
    <n v="7"/>
    <n v="0"/>
    <n v="0"/>
    <n v="107"/>
    <s v="_x0000_peopl"/>
  </r>
  <r>
    <x v="7"/>
    <n v="13.686999999999999"/>
    <n v="-89.193700000000007"/>
    <n v="8"/>
    <n v="0"/>
    <n v="0"/>
    <n v="107"/>
    <s v="_x0000_peopl"/>
  </r>
  <r>
    <x v="7"/>
    <n v="13.6869"/>
    <n v="-89.193700000000007"/>
    <n v="4"/>
    <n v="0"/>
    <n v="0"/>
    <n v="107"/>
    <s v="_x0000_peopl"/>
  </r>
  <r>
    <x v="7"/>
    <n v="13.6869"/>
    <n v="-89.193700000000007"/>
    <n v="6"/>
    <n v="0"/>
    <n v="0"/>
    <n v="107"/>
    <s v="_x0000_peopl"/>
  </r>
  <r>
    <x v="7"/>
    <n v="13.6869"/>
    <n v="-89.193700000000007"/>
    <n v="9"/>
    <n v="0"/>
    <n v="0"/>
    <n v="107"/>
    <s v="_x0000_peopl"/>
  </r>
  <r>
    <x v="7"/>
    <n v="13.6869"/>
    <n v="-89.193700000000007"/>
    <n v="3"/>
    <n v="0"/>
    <n v="0"/>
    <n v="107"/>
    <s v="_x0000_peopl"/>
  </r>
  <r>
    <x v="7"/>
    <n v="13.6869"/>
    <n v="-89.193700000000007"/>
    <n v="3"/>
    <n v="0"/>
    <n v="0"/>
    <n v="107"/>
    <s v="_x0000_peopl"/>
  </r>
  <r>
    <x v="7"/>
    <n v="13.6869"/>
    <n v="-89.193700000000007"/>
    <n v="9"/>
    <n v="0"/>
    <n v="0"/>
    <n v="107"/>
    <s v="_x0000_peopl"/>
  </r>
  <r>
    <x v="7"/>
    <n v="13.6869"/>
    <n v="-89.193700000000007"/>
    <n v="6"/>
    <n v="0"/>
    <n v="0"/>
    <n v="107"/>
    <s v="_x0000_peopl"/>
  </r>
  <r>
    <x v="7"/>
    <n v="13.6869"/>
    <n v="-89.193700000000007"/>
    <n v="3"/>
    <n v="0"/>
    <n v="0"/>
    <n v="107"/>
    <s v="_x0000_peopl"/>
  </r>
  <r>
    <x v="7"/>
    <n v="13.6869"/>
    <n v="-89.193700000000007"/>
    <n v="2"/>
    <n v="0"/>
    <n v="0"/>
    <n v="107"/>
    <s v="_x0000_peopl"/>
  </r>
  <r>
    <x v="7"/>
    <n v="13.6869"/>
    <n v="-89.193600000000004"/>
    <n v="5"/>
    <n v="0"/>
    <n v="0"/>
    <n v="107"/>
    <s v="_x0000_peopl"/>
  </r>
  <r>
    <x v="7"/>
    <n v="13.6869"/>
    <n v="-89.193600000000004"/>
    <n v="8"/>
    <n v="0"/>
    <n v="0"/>
    <n v="107"/>
    <s v="_x0000_peopl"/>
  </r>
  <r>
    <x v="7"/>
    <n v="13.6869"/>
    <n v="-89.193600000000004"/>
    <n v="0"/>
    <n v="0"/>
    <n v="0"/>
    <n v="107"/>
    <s v="_x0000_peopl"/>
  </r>
  <r>
    <x v="7"/>
    <n v="13.686999999999999"/>
    <n v="-89.193600000000004"/>
    <n v="5"/>
    <n v="0"/>
    <n v="0"/>
    <n v="107"/>
    <s v="_x0000_peopl"/>
  </r>
  <r>
    <x v="7"/>
    <n v="13.686999999999999"/>
    <n v="-89.193600000000004"/>
    <n v="4"/>
    <n v="0"/>
    <n v="0"/>
    <n v="107"/>
    <s v="_x0000_peopl"/>
  </r>
  <r>
    <x v="7"/>
    <n v="13.687099999999999"/>
    <n v="-89.1935"/>
    <n v="6"/>
    <n v="0"/>
    <n v="0"/>
    <n v="107"/>
    <s v="_x0000_peopl"/>
  </r>
  <r>
    <x v="7"/>
    <n v="13.686999999999999"/>
    <n v="-89.1935"/>
    <n v="4"/>
    <n v="0"/>
    <n v="0"/>
    <n v="107"/>
    <s v="_x0000_peopl"/>
  </r>
  <r>
    <x v="7"/>
    <n v="13.686999999999999"/>
    <n v="-89.1935"/>
    <n v="6"/>
    <n v="0"/>
    <n v="0"/>
    <n v="107"/>
    <s v="_x0000_peopl"/>
  </r>
  <r>
    <x v="7"/>
    <n v="13.686999999999999"/>
    <n v="-89.1935"/>
    <n v="5"/>
    <n v="0"/>
    <n v="0"/>
    <n v="107"/>
    <s v="_x0000_peopl"/>
  </r>
  <r>
    <x v="7"/>
    <n v="13.686999999999999"/>
    <n v="-89.1935"/>
    <n v="4"/>
    <n v="0"/>
    <n v="0"/>
    <n v="107"/>
    <s v="_x0000_peopl"/>
  </r>
  <r>
    <x v="7"/>
    <n v="13.686999999999999"/>
    <n v="-89.1935"/>
    <n v="2"/>
    <n v="0"/>
    <n v="0"/>
    <n v="107"/>
    <s v="_x0000_peopl"/>
  </r>
  <r>
    <x v="7"/>
    <n v="13.686999999999999"/>
    <n v="-89.1935"/>
    <n v="4"/>
    <n v="0"/>
    <n v="0"/>
    <n v="107"/>
    <s v="_x0000_peopl"/>
  </r>
  <r>
    <x v="7"/>
    <n v="13.686999999999999"/>
    <n v="-89.1935"/>
    <n v="4"/>
    <n v="0"/>
    <n v="0"/>
    <n v="107"/>
    <s v="_x0000_peopl"/>
  </r>
  <r>
    <x v="7"/>
    <n v="13.686999999999999"/>
    <n v="-89.1935"/>
    <n v="7"/>
    <n v="0"/>
    <n v="0"/>
    <n v="107"/>
    <s v="_x0000_peopl"/>
  </r>
  <r>
    <x v="7"/>
    <n v="13.686999999999999"/>
    <n v="-89.1935"/>
    <n v="10"/>
    <n v="0"/>
    <n v="0"/>
    <n v="107"/>
    <s v="_x0000_peopl"/>
  </r>
  <r>
    <x v="7"/>
    <n v="13.686999999999999"/>
    <n v="-89.1935"/>
    <n v="3"/>
    <n v="0"/>
    <n v="0"/>
    <n v="107"/>
    <s v="_x0000_peopl"/>
  </r>
  <r>
    <x v="7"/>
    <n v="13.686999999999999"/>
    <n v="-89.1935"/>
    <n v="8"/>
    <n v="0"/>
    <n v="0"/>
    <n v="107"/>
    <s v="_x0000_peopl"/>
  </r>
  <r>
    <x v="7"/>
    <n v="13.686999999999999"/>
    <n v="-89.1935"/>
    <n v="7"/>
    <n v="0"/>
    <n v="0"/>
    <n v="107"/>
    <s v="_x0000_peopl"/>
  </r>
  <r>
    <x v="7"/>
    <n v="13.686999999999999"/>
    <n v="-89.1935"/>
    <n v="3"/>
    <n v="0"/>
    <n v="0"/>
    <n v="107"/>
    <s v="_x0000_peopl"/>
  </r>
  <r>
    <x v="7"/>
    <n v="13.686999999999999"/>
    <n v="-89.1935"/>
    <n v="4"/>
    <n v="0"/>
    <n v="0"/>
    <n v="107"/>
    <s v="_x0000_peopl"/>
  </r>
  <r>
    <x v="7"/>
    <n v="13.686999999999999"/>
    <n v="-89.1935"/>
    <n v="3"/>
    <n v="0"/>
    <n v="0"/>
    <n v="107"/>
    <s v="_x0000_peopl"/>
  </r>
  <r>
    <x v="7"/>
    <n v="13.687099999999999"/>
    <n v="-89.1935"/>
    <n v="3"/>
    <n v="0"/>
    <n v="0"/>
    <n v="107"/>
    <s v="_x0000_peopl"/>
  </r>
  <r>
    <x v="7"/>
    <n v="13.686999999999999"/>
    <n v="-89.193299999999994"/>
    <n v="3"/>
    <n v="0"/>
    <n v="0"/>
    <n v="107"/>
    <s v="_x0000_peopl"/>
  </r>
  <r>
    <x v="7"/>
    <n v="13.687099999999999"/>
    <n v="-89.193399999999997"/>
    <n v="6"/>
    <n v="0"/>
    <n v="0"/>
    <n v="107"/>
    <s v="_x0000_peopl"/>
  </r>
  <r>
    <x v="7"/>
    <n v="13.69"/>
    <n v="-89.195999999999998"/>
    <n v="5"/>
    <n v="0"/>
    <n v="0"/>
    <n v="107"/>
    <s v="_x0000_peopl"/>
  </r>
  <r>
    <x v="7"/>
    <n v="13.690099999999999"/>
    <n v="-89.195999999999998"/>
    <n v="6"/>
    <n v="0"/>
    <n v="0"/>
    <n v="107"/>
    <s v="_x0000_peopl"/>
  </r>
  <r>
    <x v="7"/>
    <n v="13.690300000000001"/>
    <n v="-89.196299999999994"/>
    <n v="5"/>
    <n v="0"/>
    <n v="0"/>
    <n v="107"/>
    <s v="_x0000_peopl"/>
  </r>
  <r>
    <x v="7"/>
    <n v="13.690300000000001"/>
    <n v="-89.196200000000005"/>
    <n v="2"/>
    <n v="0"/>
    <n v="0"/>
    <n v="107"/>
    <s v="_x0000_peopl"/>
  </r>
  <r>
    <x v="7"/>
    <n v="13.690300000000001"/>
    <n v="-89.196200000000005"/>
    <n v="5"/>
    <n v="0"/>
    <n v="0"/>
    <n v="107"/>
    <s v="_x0000_peopl"/>
  </r>
  <r>
    <x v="7"/>
    <n v="13.690300000000001"/>
    <n v="-89.196200000000005"/>
    <n v="5"/>
    <n v="0"/>
    <n v="0"/>
    <n v="107"/>
    <s v="_x0000_peopl"/>
  </r>
  <r>
    <x v="7"/>
    <n v="13.6904"/>
    <n v="-89.196200000000005"/>
    <n v="7"/>
    <n v="0"/>
    <n v="0"/>
    <n v="107"/>
    <s v="_x0000_peopl"/>
  </r>
  <r>
    <x v="7"/>
    <n v="13.6904"/>
    <n v="-89.196200000000005"/>
    <n v="6"/>
    <n v="0"/>
    <n v="0"/>
    <n v="107"/>
    <s v="_x0000_peopl"/>
  </r>
  <r>
    <x v="7"/>
    <n v="13.6899"/>
    <n v="-89.196200000000005"/>
    <n v="5"/>
    <n v="0"/>
    <n v="0"/>
    <n v="107"/>
    <s v="_x0000_peopl"/>
  </r>
  <r>
    <x v="7"/>
    <n v="13.6899"/>
    <n v="-89.196200000000005"/>
    <n v="5"/>
    <n v="0"/>
    <n v="0"/>
    <n v="107"/>
    <s v="_x0000_peopl"/>
  </r>
  <r>
    <x v="7"/>
    <n v="13.6899"/>
    <n v="-89.196100000000001"/>
    <n v="3"/>
    <n v="0"/>
    <n v="0"/>
    <n v="107"/>
    <s v="_x0000_peopl"/>
  </r>
  <r>
    <x v="7"/>
    <n v="13.6899"/>
    <n v="-89.196100000000001"/>
    <n v="4"/>
    <n v="0"/>
    <n v="0"/>
    <n v="107"/>
    <s v="_x0000_peopl"/>
  </r>
  <r>
    <x v="7"/>
    <n v="13.6899"/>
    <n v="-89.195999999999998"/>
    <n v="1"/>
    <n v="0"/>
    <n v="0"/>
    <n v="107"/>
    <s v="_x0000_peopl"/>
  </r>
  <r>
    <x v="7"/>
    <n v="13.69"/>
    <n v="-89.195999999999998"/>
    <n v="2"/>
    <n v="0"/>
    <n v="0"/>
    <n v="107"/>
    <s v="_x0000_peopl"/>
  </r>
  <r>
    <x v="7"/>
    <n v="13.6899"/>
    <n v="-89.195899999999995"/>
    <n v="7"/>
    <n v="0"/>
    <n v="0"/>
    <n v="107"/>
    <s v="_x0000_peopl"/>
  </r>
  <r>
    <x v="7"/>
    <n v="13.69"/>
    <n v="-89.195899999999995"/>
    <n v="8"/>
    <n v="0"/>
    <n v="0"/>
    <n v="107"/>
    <s v="_x0000_peopl"/>
  </r>
  <r>
    <x v="7"/>
    <n v="13.69"/>
    <n v="-89.195899999999995"/>
    <n v="8"/>
    <n v="0"/>
    <n v="0"/>
    <n v="107"/>
    <s v="_x0000_peopl"/>
  </r>
  <r>
    <x v="7"/>
    <n v="13.690099999999999"/>
    <n v="-89.195899999999995"/>
    <n v="10"/>
    <n v="0"/>
    <n v="0"/>
    <n v="107"/>
    <s v="_x0000_peopl"/>
  </r>
  <r>
    <x v="7"/>
    <n v="13.69"/>
    <n v="-89.196399999999997"/>
    <n v="5"/>
    <n v="0"/>
    <n v="0"/>
    <n v="107"/>
    <s v="_x0000_peopl"/>
  </r>
  <r>
    <x v="7"/>
    <n v="13.690099999999999"/>
    <n v="-89.196399999999997"/>
    <n v="8"/>
    <n v="0"/>
    <n v="0"/>
    <n v="107"/>
    <s v="_x0000_peopl"/>
  </r>
  <r>
    <x v="7"/>
    <n v="13.690099999999999"/>
    <n v="-89.196399999999997"/>
    <n v="4"/>
    <n v="0"/>
    <n v="0"/>
    <n v="107"/>
    <s v="_x0000_peopl"/>
  </r>
  <r>
    <x v="7"/>
    <n v="13.690099999999999"/>
    <n v="-89.1965"/>
    <n v="3"/>
    <n v="0"/>
    <n v="0"/>
    <n v="107"/>
    <s v="_x0000_peopl"/>
  </r>
  <r>
    <x v="7"/>
    <n v="13.690200000000001"/>
    <n v="-89.1965"/>
    <n v="8"/>
    <n v="0"/>
    <n v="0"/>
    <n v="107"/>
    <s v="_x0000_peopl"/>
  </r>
  <r>
    <x v="7"/>
    <n v="13.690200000000001"/>
    <n v="-89.1965"/>
    <n v="9"/>
    <n v="0"/>
    <n v="0"/>
    <n v="107"/>
    <s v="_x0000_peopl"/>
  </r>
  <r>
    <x v="7"/>
    <n v="13.690200000000001"/>
    <n v="-89.1965"/>
    <n v="5"/>
    <n v="0"/>
    <n v="0"/>
    <n v="107"/>
    <s v="_x0000_peopl"/>
  </r>
  <r>
    <x v="7"/>
    <n v="13.690200000000001"/>
    <n v="-89.1965"/>
    <n v="4"/>
    <n v="0"/>
    <n v="0"/>
    <n v="107"/>
    <s v="_x0000_peopl"/>
  </r>
  <r>
    <x v="7"/>
    <n v="13.690300000000001"/>
    <n v="-89.1965"/>
    <n v="3"/>
    <n v="0"/>
    <n v="0"/>
    <n v="107"/>
    <s v="_x0000_peopl"/>
  </r>
  <r>
    <x v="7"/>
    <n v="13.690300000000001"/>
    <n v="-89.1965"/>
    <n v="6"/>
    <n v="0"/>
    <n v="0"/>
    <n v="107"/>
    <s v="_x0000_peopl"/>
  </r>
  <r>
    <x v="7"/>
    <n v="13.690300000000001"/>
    <n v="-89.196399999999997"/>
    <n v="4"/>
    <n v="0"/>
    <n v="0"/>
    <n v="107"/>
    <s v="_x0000_peopl"/>
  </r>
  <r>
    <x v="7"/>
    <n v="13.690300000000001"/>
    <n v="-89.196399999999997"/>
    <n v="9"/>
    <n v="0"/>
    <n v="0"/>
    <n v="107"/>
    <s v="_x0000_peopl"/>
  </r>
  <r>
    <x v="7"/>
    <n v="13.690200000000001"/>
    <n v="-89.196399999999997"/>
    <n v="6"/>
    <n v="0"/>
    <n v="0"/>
    <n v="107"/>
    <s v="_x0000_peopl"/>
  </r>
  <r>
    <x v="7"/>
    <n v="13.690099999999999"/>
    <n v="-89.196399999999997"/>
    <n v="7"/>
    <n v="0"/>
    <n v="0"/>
    <n v="107"/>
    <s v="_x0000_peopl"/>
  </r>
  <r>
    <x v="7"/>
    <n v="13.690099999999999"/>
    <n v="-89.196399999999997"/>
    <n v="4"/>
    <n v="0"/>
    <n v="0"/>
    <n v="107"/>
    <s v="_x0000_peopl"/>
  </r>
  <r>
    <x v="7"/>
    <n v="13.690099999999999"/>
    <n v="-89.196399999999997"/>
    <n v="2"/>
    <n v="0"/>
    <n v="0"/>
    <n v="107"/>
    <s v="_x0000_peopl"/>
  </r>
  <r>
    <x v="7"/>
    <n v="13.690099999999999"/>
    <n v="-89.196399999999997"/>
    <n v="4"/>
    <n v="0"/>
    <n v="0"/>
    <n v="107"/>
    <s v="_x0000_peopl"/>
  </r>
  <r>
    <x v="7"/>
    <n v="13.690099999999999"/>
    <n v="-89.196299999999994"/>
    <n v="2"/>
    <n v="0"/>
    <n v="0"/>
    <n v="107"/>
    <s v="_x0000_peopl"/>
  </r>
  <r>
    <x v="7"/>
    <n v="13.690099999999999"/>
    <n v="-89.196299999999994"/>
    <n v="4"/>
    <n v="0"/>
    <n v="0"/>
    <n v="107"/>
    <s v="_x0000_peopl"/>
  </r>
  <r>
    <x v="7"/>
    <n v="13.690099999999999"/>
    <n v="-89.196299999999994"/>
    <n v="6"/>
    <n v="0"/>
    <n v="0"/>
    <n v="107"/>
    <s v="_x0000_peopl"/>
  </r>
  <r>
    <x v="7"/>
    <n v="13.690099999999999"/>
    <n v="-89.196299999999994"/>
    <n v="4"/>
    <n v="0"/>
    <n v="0"/>
    <n v="107"/>
    <s v="_x0000_peopl"/>
  </r>
  <r>
    <x v="7"/>
    <n v="13.690200000000001"/>
    <n v="-89.196299999999994"/>
    <n v="4"/>
    <n v="0"/>
    <n v="0"/>
    <n v="107"/>
    <s v="_x0000_peopl"/>
  </r>
  <r>
    <x v="7"/>
    <n v="13.690300000000001"/>
    <n v="-89.196299999999994"/>
    <n v="8"/>
    <n v="0"/>
    <n v="0"/>
    <n v="107"/>
    <s v="_x0000_peopl"/>
  </r>
  <r>
    <x v="7"/>
    <n v="13.690300000000001"/>
    <n v="-89.196299999999994"/>
    <n v="8"/>
    <n v="0"/>
    <n v="0"/>
    <n v="107"/>
    <s v="_x0000_peopl"/>
  </r>
  <r>
    <x v="7"/>
    <n v="13.690200000000001"/>
    <n v="-89.196299999999994"/>
    <n v="4"/>
    <n v="0"/>
    <n v="0"/>
    <n v="107"/>
    <s v="_x0000_peopl"/>
  </r>
  <r>
    <x v="7"/>
    <n v="13.690200000000001"/>
    <n v="-89.196200000000005"/>
    <n v="4"/>
    <n v="0"/>
    <n v="0"/>
    <n v="107"/>
    <s v="_x0000_peopl"/>
  </r>
  <r>
    <x v="7"/>
    <n v="13.690200000000001"/>
    <n v="-89.196299999999994"/>
    <n v="5"/>
    <n v="0"/>
    <n v="0"/>
    <n v="107"/>
    <s v="_x0000_peopl"/>
  </r>
  <r>
    <x v="7"/>
    <n v="13.690200000000001"/>
    <n v="-89.196200000000005"/>
    <n v="4"/>
    <n v="0"/>
    <n v="0"/>
    <n v="107"/>
    <s v="_x0000_peopl"/>
  </r>
  <r>
    <x v="7"/>
    <n v="13.690300000000001"/>
    <n v="-89.196299999999994"/>
    <n v="8"/>
    <n v="0"/>
    <n v="0"/>
    <n v="107"/>
    <s v="_x0000_peopl"/>
  </r>
  <r>
    <x v="7"/>
    <n v="13.690300000000001"/>
    <n v="-89.196200000000005"/>
    <n v="8"/>
    <n v="0"/>
    <n v="0"/>
    <n v="107"/>
    <s v="_x0000_peopl"/>
  </r>
  <r>
    <x v="7"/>
    <n v="13.690200000000001"/>
    <n v="-89.196200000000005"/>
    <n v="2"/>
    <n v="0"/>
    <n v="0"/>
    <n v="107"/>
    <s v="_x0000_peopl"/>
  </r>
  <r>
    <x v="7"/>
    <n v="13.690200000000001"/>
    <n v="-89.196200000000005"/>
    <n v="2"/>
    <n v="0"/>
    <n v="0"/>
    <n v="107"/>
    <s v="_x0000_peopl"/>
  </r>
  <r>
    <x v="7"/>
    <n v="13.690099999999999"/>
    <n v="-89.196200000000005"/>
    <n v="1"/>
    <n v="0"/>
    <n v="0"/>
    <n v="107"/>
    <s v="_x0000_peopl"/>
  </r>
  <r>
    <x v="7"/>
    <n v="13.690099999999999"/>
    <n v="-89.196200000000005"/>
    <n v="3"/>
    <n v="0"/>
    <n v="0"/>
    <n v="107"/>
    <s v="_x0000_peopl"/>
  </r>
  <r>
    <x v="7"/>
    <n v="13.690099999999999"/>
    <n v="-89.196200000000005"/>
    <n v="7"/>
    <n v="0"/>
    <n v="0"/>
    <n v="107"/>
    <s v="_x0000_peopl"/>
  </r>
  <r>
    <x v="7"/>
    <n v="13.69"/>
    <n v="-89.196200000000005"/>
    <n v="2"/>
    <n v="0"/>
    <n v="0"/>
    <n v="107"/>
    <s v="_x0000_peopl"/>
  </r>
  <r>
    <x v="7"/>
    <n v="13.69"/>
    <n v="-89.196200000000005"/>
    <n v="5"/>
    <n v="0"/>
    <n v="0"/>
    <n v="107"/>
    <s v="_x0000_peopl"/>
  </r>
  <r>
    <x v="7"/>
    <n v="13.69"/>
    <n v="-89.196100000000001"/>
    <n v="8"/>
    <n v="0"/>
    <n v="0"/>
    <n v="107"/>
    <s v="_x0000_peopl"/>
  </r>
  <r>
    <x v="7"/>
    <n v="13.690099999999999"/>
    <n v="-89.196100000000001"/>
    <n v="4"/>
    <n v="0"/>
    <n v="0"/>
    <n v="107"/>
    <s v="_x0000_peopl"/>
  </r>
  <r>
    <x v="7"/>
    <n v="13.6905"/>
    <n v="-89.196600000000004"/>
    <n v="8"/>
    <n v="0"/>
    <n v="0"/>
    <n v="107"/>
    <s v="_x0000_peopl"/>
  </r>
  <r>
    <x v="7"/>
    <n v="13.6905"/>
    <n v="-89.1965"/>
    <n v="5"/>
    <n v="0"/>
    <n v="0"/>
    <n v="107"/>
    <s v="_x0000_peopl"/>
  </r>
  <r>
    <x v="7"/>
    <n v="13.6904"/>
    <n v="-89.1965"/>
    <n v="2"/>
    <n v="0"/>
    <n v="0"/>
    <n v="107"/>
    <s v="_x0000_peopl"/>
  </r>
  <r>
    <x v="7"/>
    <n v="13.6904"/>
    <n v="-89.1965"/>
    <n v="6"/>
    <n v="0"/>
    <n v="0"/>
    <n v="107"/>
    <s v="_x0000_peopl"/>
  </r>
  <r>
    <x v="7"/>
    <n v="13.6904"/>
    <n v="-89.1965"/>
    <n v="4"/>
    <n v="0"/>
    <n v="0"/>
    <n v="107"/>
    <s v="_x0000_peopl"/>
  </r>
  <r>
    <x v="7"/>
    <n v="13.6904"/>
    <n v="-89.1965"/>
    <n v="6"/>
    <n v="0"/>
    <n v="0"/>
    <n v="107"/>
    <s v="_x0000_peopl"/>
  </r>
  <r>
    <x v="7"/>
    <n v="13.6904"/>
    <n v="-89.1965"/>
    <n v="5"/>
    <n v="0"/>
    <n v="0"/>
    <n v="107"/>
    <s v="_x0000_peopl"/>
  </r>
  <r>
    <x v="7"/>
    <n v="13.690300000000001"/>
    <n v="-89.1965"/>
    <n v="5"/>
    <n v="0"/>
    <n v="0"/>
    <n v="107"/>
    <s v="_x0000_peopl"/>
  </r>
  <r>
    <x v="7"/>
    <n v="13.690300000000001"/>
    <n v="-89.1965"/>
    <n v="5"/>
    <n v="0"/>
    <n v="0"/>
    <n v="107"/>
    <s v="_x0000_peopl"/>
  </r>
  <r>
    <x v="7"/>
    <n v="13.690300000000001"/>
    <n v="-89.196399999999997"/>
    <n v="2"/>
    <n v="0"/>
    <n v="0"/>
    <n v="107"/>
    <s v="_x0000_peopl"/>
  </r>
  <r>
    <x v="7"/>
    <n v="13.690300000000001"/>
    <n v="-89.196399999999997"/>
    <n v="1"/>
    <n v="0"/>
    <n v="0"/>
    <n v="107"/>
    <s v="_x0000_peopl"/>
  </r>
  <r>
    <x v="7"/>
    <n v="13.6904"/>
    <n v="-89.196399999999997"/>
    <n v="6"/>
    <n v="0"/>
    <n v="0"/>
    <n v="107"/>
    <s v="_x0000_peopl"/>
  </r>
  <r>
    <x v="7"/>
    <n v="13.6904"/>
    <n v="-89.196399999999997"/>
    <n v="5"/>
    <n v="0"/>
    <n v="0"/>
    <n v="107"/>
    <s v="_x0000_peopl"/>
  </r>
  <r>
    <x v="7"/>
    <n v="13.6904"/>
    <n v="-89.196399999999997"/>
    <n v="4"/>
    <n v="0"/>
    <n v="0"/>
    <n v="107"/>
    <s v="_x0000_peopl"/>
  </r>
  <r>
    <x v="7"/>
    <n v="13.6905"/>
    <n v="-89.196399999999997"/>
    <n v="7"/>
    <n v="0"/>
    <n v="0"/>
    <n v="107"/>
    <s v="_x0000_peopl"/>
  </r>
  <r>
    <x v="7"/>
    <n v="13.6905"/>
    <n v="-89.196399999999997"/>
    <n v="8"/>
    <n v="0"/>
    <n v="0"/>
    <n v="107"/>
    <s v="_x0000_peopl"/>
  </r>
  <r>
    <x v="7"/>
    <n v="13.6905"/>
    <n v="-89.196399999999997"/>
    <n v="2"/>
    <n v="0"/>
    <n v="0"/>
    <n v="107"/>
    <s v="_x0000_peopl"/>
  </r>
  <r>
    <x v="7"/>
    <n v="13.6904"/>
    <n v="-89.196399999999997"/>
    <n v="3"/>
    <n v="0"/>
    <n v="0"/>
    <n v="107"/>
    <s v="_x0000_peopl"/>
  </r>
  <r>
    <x v="7"/>
    <n v="13.6904"/>
    <n v="-89.196399999999997"/>
    <n v="1"/>
    <n v="0"/>
    <n v="0"/>
    <n v="107"/>
    <s v="_x0000_peopl"/>
  </r>
  <r>
    <x v="7"/>
    <n v="13.6904"/>
    <n v="-89.196299999999994"/>
    <n v="5"/>
    <n v="0"/>
    <n v="0"/>
    <n v="107"/>
    <s v="_x0000_peopl"/>
  </r>
  <r>
    <x v="7"/>
    <n v="13.6904"/>
    <n v="-89.196299999999994"/>
    <n v="5"/>
    <n v="0"/>
    <n v="0"/>
    <n v="107"/>
    <s v="_x0000_peopl"/>
  </r>
  <r>
    <x v="7"/>
    <n v="13.6904"/>
    <n v="-89.196299999999994"/>
    <n v="7"/>
    <n v="0"/>
    <n v="0"/>
    <n v="107"/>
    <s v="_x0000_peopl"/>
  </r>
  <r>
    <x v="7"/>
    <n v="13.6904"/>
    <n v="-89.196299999999994"/>
    <n v="6"/>
    <n v="0"/>
    <n v="0"/>
    <n v="107"/>
    <s v="_x0000_peopl"/>
  </r>
  <r>
    <x v="7"/>
    <n v="13.6904"/>
    <n v="-89.196299999999994"/>
    <n v="2"/>
    <n v="0"/>
    <n v="0"/>
    <n v="107"/>
    <s v="_x0000_peopl"/>
  </r>
  <r>
    <x v="7"/>
    <n v="13.690300000000001"/>
    <n v="-89.196299999999994"/>
    <n v="4"/>
    <n v="0"/>
    <n v="0"/>
    <n v="107"/>
    <s v="_x0000_peopl"/>
  </r>
  <r>
    <x v="7"/>
    <n v="13.69"/>
    <n v="-89.196200000000005"/>
    <n v="3"/>
    <n v="0"/>
    <n v="0"/>
    <n v="107"/>
    <s v="_x0000_peopl"/>
  </r>
  <r>
    <x v="7"/>
    <n v="13.6905"/>
    <n v="-89.194000000000003"/>
    <n v="5"/>
    <n v="0"/>
    <n v="0"/>
    <n v="107"/>
    <s v="_x0000_peopl"/>
  </r>
  <r>
    <x v="7"/>
    <n v="13.6905"/>
    <n v="-89.194000000000003"/>
    <n v="1"/>
    <n v="0"/>
    <n v="0"/>
    <n v="107"/>
    <s v="_x0000_peopl"/>
  </r>
  <r>
    <x v="7"/>
    <n v="13.690899999999999"/>
    <n v="-89.194000000000003"/>
    <n v="5"/>
    <n v="0"/>
    <n v="0"/>
    <n v="107"/>
    <s v="_x0000_peopl"/>
  </r>
  <r>
    <x v="7"/>
    <n v="13.690799999999999"/>
    <n v="-89.194000000000003"/>
    <n v="8"/>
    <n v="0"/>
    <n v="0"/>
    <n v="107"/>
    <s v="_x0000_peopl"/>
  </r>
  <r>
    <x v="7"/>
    <n v="13.690799999999999"/>
    <n v="-89.194000000000003"/>
    <n v="4"/>
    <n v="0"/>
    <n v="0"/>
    <n v="107"/>
    <s v="_x0000_peopl"/>
  </r>
  <r>
    <x v="7"/>
    <n v="13.690799999999999"/>
    <n v="-89.194000000000003"/>
    <n v="2"/>
    <n v="0"/>
    <n v="0"/>
    <n v="107"/>
    <s v="_x0000_peopl"/>
  </r>
  <r>
    <x v="7"/>
    <n v="13.6907"/>
    <n v="-89.194000000000003"/>
    <n v="5"/>
    <n v="0"/>
    <n v="0"/>
    <n v="107"/>
    <s v="_x0000_peopl"/>
  </r>
  <r>
    <x v="7"/>
    <n v="13.6907"/>
    <n v="-89.194000000000003"/>
    <n v="8"/>
    <n v="0"/>
    <n v="0"/>
    <n v="107"/>
    <s v="_x0000_peopl"/>
  </r>
  <r>
    <x v="7"/>
    <n v="13.6907"/>
    <n v="-89.194000000000003"/>
    <n v="5"/>
    <n v="0"/>
    <n v="0"/>
    <n v="107"/>
    <s v="_x0000_peopl"/>
  </r>
  <r>
    <x v="7"/>
    <n v="13.6907"/>
    <n v="-89.194000000000003"/>
    <n v="8"/>
    <n v="0"/>
    <n v="0"/>
    <n v="107"/>
    <s v="_x0000_peopl"/>
  </r>
  <r>
    <x v="7"/>
    <n v="13.690899999999999"/>
    <n v="-89.193899999999999"/>
    <n v="3"/>
    <n v="0"/>
    <n v="0"/>
    <n v="107"/>
    <s v="_x0000_peopl"/>
  </r>
  <r>
    <x v="7"/>
    <n v="13.690799999999999"/>
    <n v="-89.193899999999999"/>
    <n v="2"/>
    <n v="0"/>
    <n v="0"/>
    <n v="107"/>
    <s v="_x0000_peopl"/>
  </r>
  <r>
    <x v="7"/>
    <n v="13.690799999999999"/>
    <n v="-89.193899999999999"/>
    <n v="6"/>
    <n v="0"/>
    <n v="0"/>
    <n v="107"/>
    <s v="_x0000_peopl"/>
  </r>
  <r>
    <x v="7"/>
    <n v="13.690799999999999"/>
    <n v="-89.193899999999999"/>
    <n v="4"/>
    <n v="0"/>
    <n v="0"/>
    <n v="107"/>
    <s v="_x0000_peopl"/>
  </r>
  <r>
    <x v="7"/>
    <n v="13.6907"/>
    <n v="-89.193899999999999"/>
    <n v="4"/>
    <n v="0"/>
    <n v="0"/>
    <n v="107"/>
    <s v="_x0000_peopl"/>
  </r>
  <r>
    <x v="7"/>
    <n v="13.6907"/>
    <n v="-89.193899999999999"/>
    <n v="6"/>
    <n v="0"/>
    <n v="0"/>
    <n v="107"/>
    <s v="_x0000_peopl"/>
  </r>
  <r>
    <x v="7"/>
    <n v="13.6907"/>
    <n v="-89.193899999999999"/>
    <n v="8"/>
    <n v="0"/>
    <n v="0"/>
    <n v="107"/>
    <s v="_x0000_peopl"/>
  </r>
  <r>
    <x v="7"/>
    <n v="13.690899999999999"/>
    <n v="-89.193899999999999"/>
    <n v="3"/>
    <n v="0"/>
    <n v="0"/>
    <n v="107"/>
    <s v="_x0000_peopl"/>
  </r>
  <r>
    <x v="7"/>
    <n v="13.690899999999999"/>
    <n v="-89.193899999999999"/>
    <n v="5"/>
    <n v="0"/>
    <n v="0"/>
    <n v="107"/>
    <s v="_x0000_peopl"/>
  </r>
  <r>
    <x v="7"/>
    <n v="13.690899999999999"/>
    <n v="-89.193899999999999"/>
    <n v="6"/>
    <n v="0"/>
    <n v="0"/>
    <n v="107"/>
    <s v="_x0000_peopl"/>
  </r>
  <r>
    <x v="7"/>
    <n v="13.690799999999999"/>
    <n v="-89.193899999999999"/>
    <n v="8"/>
    <n v="0"/>
    <n v="0"/>
    <n v="107"/>
    <s v="_x0000_peopl"/>
  </r>
  <r>
    <x v="7"/>
    <n v="13.690799999999999"/>
    <n v="-89.193799999999996"/>
    <n v="5"/>
    <n v="0"/>
    <n v="0"/>
    <n v="107"/>
    <s v="_x0000_peopl"/>
  </r>
  <r>
    <x v="7"/>
    <n v="13.690799999999999"/>
    <n v="-89.193799999999996"/>
    <n v="7"/>
    <n v="0"/>
    <n v="0"/>
    <n v="107"/>
    <s v="_x0000_peopl"/>
  </r>
  <r>
    <x v="7"/>
    <n v="13.6907"/>
    <n v="-89.193799999999996"/>
    <n v="7"/>
    <n v="0"/>
    <n v="0"/>
    <n v="107"/>
    <s v="_x0000_peopl"/>
  </r>
  <r>
    <x v="7"/>
    <n v="13.6907"/>
    <n v="-89.193799999999996"/>
    <n v="3"/>
    <n v="0"/>
    <n v="0"/>
    <n v="107"/>
    <s v="_x0000_peopl"/>
  </r>
  <r>
    <x v="7"/>
    <n v="13.6907"/>
    <n v="-89.193799999999996"/>
    <n v="2"/>
    <n v="0"/>
    <n v="0"/>
    <n v="107"/>
    <s v="_x0000_peopl"/>
  </r>
  <r>
    <x v="7"/>
    <n v="13.6907"/>
    <n v="-89.193799999999996"/>
    <n v="7"/>
    <n v="0"/>
    <n v="0"/>
    <n v="107"/>
    <s v="_x0000_peopl"/>
  </r>
  <r>
    <x v="7"/>
    <n v="13.690899999999999"/>
    <n v="-89.193700000000007"/>
    <n v="5"/>
    <n v="0"/>
    <n v="0"/>
    <n v="107"/>
    <s v="_x0000_peopl"/>
  </r>
  <r>
    <x v="7"/>
    <n v="13.690899999999999"/>
    <n v="-89.193700000000007"/>
    <n v="4"/>
    <n v="0"/>
    <n v="0"/>
    <n v="107"/>
    <s v="_x0000_peopl"/>
  </r>
  <r>
    <x v="7"/>
    <n v="13.690799999999999"/>
    <n v="-89.193700000000007"/>
    <n v="4"/>
    <n v="0"/>
    <n v="0"/>
    <n v="107"/>
    <s v="_x0000_peopl"/>
  </r>
  <r>
    <x v="7"/>
    <n v="13.690799999999999"/>
    <n v="-89.193700000000007"/>
    <n v="1"/>
    <n v="0"/>
    <n v="0"/>
    <n v="107"/>
    <s v="_x0000_peopl"/>
  </r>
  <r>
    <x v="7"/>
    <n v="13.690799999999999"/>
    <n v="-89.193700000000007"/>
    <n v="2"/>
    <n v="0"/>
    <n v="0"/>
    <n v="107"/>
    <s v="_x0000_peopl"/>
  </r>
  <r>
    <x v="7"/>
    <n v="13.6907"/>
    <n v="-89.193700000000007"/>
    <n v="6"/>
    <n v="0"/>
    <n v="0"/>
    <n v="107"/>
    <s v="_x0000_peopl"/>
  </r>
  <r>
    <x v="7"/>
    <n v="13.6907"/>
    <n v="-89.193700000000007"/>
    <n v="5"/>
    <n v="0"/>
    <n v="0"/>
    <n v="107"/>
    <s v="_x0000_peopl"/>
  </r>
  <r>
    <x v="7"/>
    <n v="13.690799999999999"/>
    <n v="-89.193600000000004"/>
    <n v="3"/>
    <n v="0"/>
    <n v="0"/>
    <n v="107"/>
    <s v="_x0000_peopl"/>
  </r>
  <r>
    <x v="7"/>
    <n v="13.690799999999999"/>
    <n v="-89.193700000000007"/>
    <n v="7"/>
    <n v="0"/>
    <n v="0"/>
    <n v="107"/>
    <s v="_x0000_peopl"/>
  </r>
  <r>
    <x v="7"/>
    <n v="13.690799999999999"/>
    <n v="-89.193700000000007"/>
    <n v="6"/>
    <n v="0"/>
    <n v="0"/>
    <n v="107"/>
    <s v="_x0000_peopl"/>
  </r>
  <r>
    <x v="7"/>
    <n v="13.690899999999999"/>
    <n v="-89.193700000000007"/>
    <n v="7"/>
    <n v="0"/>
    <n v="0"/>
    <n v="107"/>
    <s v="_x0000_peopl"/>
  </r>
  <r>
    <x v="7"/>
    <n v="13.690899999999999"/>
    <n v="-89.193700000000007"/>
    <n v="2"/>
    <n v="0"/>
    <n v="0"/>
    <n v="107"/>
    <s v="_x0000_peopl"/>
  </r>
  <r>
    <x v="7"/>
    <n v="13.690899999999999"/>
    <n v="-89.193600000000004"/>
    <n v="3"/>
    <n v="0"/>
    <n v="0"/>
    <n v="107"/>
    <s v="_x0000_peopl"/>
  </r>
  <r>
    <x v="7"/>
    <n v="13.690899999999999"/>
    <n v="-89.193600000000004"/>
    <n v="1"/>
    <n v="0"/>
    <n v="0"/>
    <n v="107"/>
    <s v="_x0000_peopl"/>
  </r>
  <r>
    <x v="7"/>
    <n v="13.690899999999999"/>
    <n v="-89.193600000000004"/>
    <n v="6"/>
    <n v="0"/>
    <n v="0"/>
    <n v="107"/>
    <s v="_x0000_peopl"/>
  </r>
  <r>
    <x v="7"/>
    <n v="13.690799999999999"/>
    <n v="-89.1935"/>
    <n v="10"/>
    <n v="0"/>
    <n v="0"/>
    <n v="107"/>
    <s v="_x0000_peopl"/>
  </r>
  <r>
    <x v="7"/>
    <n v="13.690799999999999"/>
    <n v="-89.1935"/>
    <n v="6"/>
    <n v="0"/>
    <n v="0"/>
    <n v="107"/>
    <s v="_x0000_peopl"/>
  </r>
  <r>
    <x v="7"/>
    <n v="13.690799999999999"/>
    <n v="-89.1935"/>
    <n v="3"/>
    <n v="0"/>
    <n v="0"/>
    <n v="107"/>
    <s v="_x0000_peopl"/>
  </r>
  <r>
    <x v="7"/>
    <n v="13.690899999999999"/>
    <n v="-89.1935"/>
    <n v="4"/>
    <n v="0"/>
    <n v="0"/>
    <n v="107"/>
    <s v="_x0000_peopl"/>
  </r>
  <r>
    <x v="7"/>
    <n v="13.690899999999999"/>
    <n v="-89.1935"/>
    <n v="7"/>
    <n v="0"/>
    <n v="0"/>
    <n v="107"/>
    <s v="_x0000_peopl"/>
  </r>
  <r>
    <x v="7"/>
    <n v="13.6906"/>
    <n v="-89.194000000000003"/>
    <n v="7"/>
    <n v="0"/>
    <n v="0"/>
    <n v="107"/>
    <s v="_x0000_peopl"/>
  </r>
  <r>
    <x v="7"/>
    <n v="13.6906"/>
    <n v="-89.194000000000003"/>
    <n v="8"/>
    <n v="0"/>
    <n v="0"/>
    <n v="107"/>
    <s v="_x0000_peopl"/>
  </r>
  <r>
    <x v="7"/>
    <n v="13.6906"/>
    <n v="-89.194000000000003"/>
    <n v="11"/>
    <n v="0"/>
    <n v="0"/>
    <n v="107"/>
    <s v="_x0000_peopl"/>
  </r>
  <r>
    <x v="7"/>
    <n v="13.6906"/>
    <n v="-89.193899999999999"/>
    <n v="5"/>
    <n v="0"/>
    <n v="0"/>
    <n v="107"/>
    <s v="_x0000_peopl"/>
  </r>
  <r>
    <x v="7"/>
    <n v="13.6906"/>
    <n v="-89.193899999999999"/>
    <n v="5"/>
    <n v="0"/>
    <n v="0"/>
    <n v="107"/>
    <s v="_x0000_peopl"/>
  </r>
  <r>
    <x v="7"/>
    <n v="13.6906"/>
    <n v="-89.193899999999999"/>
    <n v="1"/>
    <n v="0"/>
    <n v="0"/>
    <n v="107"/>
    <s v="_x0000_peopl"/>
  </r>
  <r>
    <x v="7"/>
    <n v="13.6907"/>
    <n v="-89.193899999999999"/>
    <n v="5"/>
    <n v="0"/>
    <n v="0"/>
    <n v="107"/>
    <s v="_x0000_peopl"/>
  </r>
  <r>
    <x v="7"/>
    <n v="13.6898"/>
    <n v="-89.197299999999998"/>
    <n v="5"/>
    <n v="0"/>
    <n v="0"/>
    <n v="107"/>
    <s v="_x0000_peopl"/>
  </r>
  <r>
    <x v="7"/>
    <n v="13.6897"/>
    <n v="-89.197299999999998"/>
    <n v="7"/>
    <n v="0"/>
    <n v="0"/>
    <n v="107"/>
    <s v="_x0000_peopl"/>
  </r>
  <r>
    <x v="7"/>
    <n v="13.6896"/>
    <n v="-89.196700000000007"/>
    <n v="4"/>
    <n v="0"/>
    <n v="0"/>
    <n v="107"/>
    <s v="_x0000_peopl"/>
  </r>
  <r>
    <x v="7"/>
    <n v="13.6896"/>
    <n v="-89.196799999999996"/>
    <n v="5"/>
    <n v="0"/>
    <n v="0"/>
    <n v="107"/>
    <s v="_x0000_peopl"/>
  </r>
  <r>
    <x v="7"/>
    <n v="13.6898"/>
    <n v="-89.197100000000006"/>
    <n v="3"/>
    <n v="0"/>
    <n v="0"/>
    <n v="107"/>
    <s v="_x0000_peopl"/>
  </r>
  <r>
    <x v="7"/>
    <n v="13.6897"/>
    <n v="-89.197100000000006"/>
    <n v="8"/>
    <n v="0"/>
    <n v="0"/>
    <n v="107"/>
    <s v="_x0000_peopl"/>
  </r>
  <r>
    <x v="7"/>
    <n v="13.6896"/>
    <n v="-89.197100000000006"/>
    <n v="5"/>
    <n v="0"/>
    <n v="0"/>
    <n v="107"/>
    <s v="_x0000_peopl"/>
  </r>
  <r>
    <x v="7"/>
    <n v="13.6896"/>
    <n v="-89.197100000000006"/>
    <n v="7"/>
    <n v="0"/>
    <n v="0"/>
    <n v="107"/>
    <s v="_x0000_peopl"/>
  </r>
  <r>
    <x v="7"/>
    <n v="13.6897"/>
    <n v="-89.196899999999999"/>
    <n v="3"/>
    <n v="0"/>
    <n v="0"/>
    <n v="107"/>
    <s v="_x0000_peopl"/>
  </r>
  <r>
    <x v="7"/>
    <n v="13.6898"/>
    <n v="-89.196899999999999"/>
    <n v="3"/>
    <n v="0"/>
    <n v="0"/>
    <n v="107"/>
    <s v="_x0000_peopl"/>
  </r>
  <r>
    <x v="7"/>
    <n v="13.6896"/>
    <n v="-89.196700000000007"/>
    <n v="3"/>
    <n v="0"/>
    <n v="0"/>
    <n v="107"/>
    <s v="_x0000_peopl"/>
  </r>
  <r>
    <x v="7"/>
    <n v="13.6896"/>
    <n v="-89.196600000000004"/>
    <n v="6"/>
    <n v="0"/>
    <n v="0"/>
    <n v="107"/>
    <s v="_x0000_peopl"/>
  </r>
  <r>
    <x v="7"/>
    <n v="13.6896"/>
    <n v="-89.196600000000004"/>
    <n v="4"/>
    <n v="0"/>
    <n v="0"/>
    <n v="107"/>
    <s v="_x0000_peopl"/>
  </r>
  <r>
    <x v="7"/>
    <n v="13.6896"/>
    <n v="-89.196600000000004"/>
    <n v="5"/>
    <n v="0"/>
    <n v="0"/>
    <n v="107"/>
    <s v="_x0000_peopl"/>
  </r>
  <r>
    <x v="7"/>
    <n v="13.6897"/>
    <n v="-89.196600000000004"/>
    <n v="6"/>
    <n v="0"/>
    <n v="0"/>
    <n v="107"/>
    <s v="_x0000_peopl"/>
  </r>
  <r>
    <x v="7"/>
    <n v="13.6898"/>
    <n v="-89.196600000000004"/>
    <n v="5"/>
    <n v="0"/>
    <n v="0"/>
    <n v="107"/>
    <s v="_x0000_peopl"/>
  </r>
  <r>
    <x v="7"/>
    <n v="13.6898"/>
    <n v="-89.1965"/>
    <n v="2"/>
    <n v="0"/>
    <n v="0"/>
    <n v="107"/>
    <s v="_x0000_peopl"/>
  </r>
  <r>
    <x v="7"/>
    <n v="13.6898"/>
    <n v="-89.1965"/>
    <n v="13"/>
    <n v="0"/>
    <n v="0"/>
    <n v="107"/>
    <s v="_x0000_peopl"/>
  </r>
  <r>
    <x v="7"/>
    <n v="13.6899"/>
    <n v="-89.1965"/>
    <n v="6"/>
    <n v="0"/>
    <n v="0"/>
    <n v="107"/>
    <s v="_x0000_peopl"/>
  </r>
  <r>
    <x v="7"/>
    <n v="13.6898"/>
    <n v="-89.196399999999997"/>
    <n v="5"/>
    <n v="0"/>
    <n v="0"/>
    <n v="107"/>
    <s v="_x0000_peopl"/>
  </r>
  <r>
    <x v="7"/>
    <n v="13.6897"/>
    <n v="-89.196299999999994"/>
    <n v="3"/>
    <n v="0"/>
    <n v="0"/>
    <n v="107"/>
    <s v="_x0000_peopl"/>
  </r>
  <r>
    <x v="7"/>
    <n v="13.689299999999999"/>
    <n v="-89.196600000000004"/>
    <n v="4"/>
    <n v="0"/>
    <n v="0"/>
    <n v="107"/>
    <s v="_x0000_peopl"/>
  </r>
  <r>
    <x v="7"/>
    <n v="13.689299999999999"/>
    <n v="-89.196600000000004"/>
    <n v="2"/>
    <n v="0"/>
    <n v="0"/>
    <n v="107"/>
    <s v="_x0000_peopl"/>
  </r>
  <r>
    <x v="7"/>
    <n v="13.689399999999999"/>
    <n v="-89.1965"/>
    <n v="7"/>
    <n v="0"/>
    <n v="0"/>
    <n v="107"/>
    <s v="_x0000_peopl"/>
  </r>
  <r>
    <x v="7"/>
    <n v="13.6896"/>
    <n v="-89.196600000000004"/>
    <n v="7"/>
    <n v="0"/>
    <n v="0"/>
    <n v="107"/>
    <s v="_x0000_peopl"/>
  </r>
  <r>
    <x v="7"/>
    <n v="13.6896"/>
    <n v="-89.196399999999997"/>
    <n v="3"/>
    <n v="0"/>
    <n v="0"/>
    <n v="107"/>
    <s v="_x0000_peopl"/>
  </r>
  <r>
    <x v="7"/>
    <n v="13.689399999999999"/>
    <n v="-89.196399999999997"/>
    <n v="3"/>
    <n v="0"/>
    <n v="0"/>
    <n v="107"/>
    <s v="_x0000_peopl"/>
  </r>
  <r>
    <x v="7"/>
    <n v="13.689399999999999"/>
    <n v="-89.196399999999997"/>
    <n v="4"/>
    <n v="0"/>
    <n v="0"/>
    <n v="107"/>
    <s v="_x0000_peopl"/>
  </r>
  <r>
    <x v="7"/>
    <n v="13.690099999999999"/>
    <n v="-89.197199999999995"/>
    <n v="7"/>
    <n v="0"/>
    <n v="0"/>
    <n v="107"/>
    <s v="_x0000_peopl"/>
  </r>
  <r>
    <x v="7"/>
    <n v="13.690099999999999"/>
    <n v="-89.197100000000006"/>
    <n v="3"/>
    <n v="0"/>
    <n v="0"/>
    <n v="107"/>
    <s v="_x0000_peopl"/>
  </r>
  <r>
    <x v="7"/>
    <n v="13.690099999999999"/>
    <n v="-89.197000000000003"/>
    <n v="4"/>
    <n v="0"/>
    <n v="0"/>
    <n v="107"/>
    <s v="_x0000_peopl"/>
  </r>
  <r>
    <x v="7"/>
    <n v="13.690200000000001"/>
    <n v="-89.197100000000006"/>
    <n v="6"/>
    <n v="0"/>
    <n v="0"/>
    <n v="107"/>
    <s v="_x0000_peopl"/>
  </r>
  <r>
    <x v="7"/>
    <n v="13.690200000000001"/>
    <n v="-89.197199999999995"/>
    <n v="7"/>
    <n v="0"/>
    <n v="0"/>
    <n v="107"/>
    <s v="_x0000_peopl"/>
  </r>
  <r>
    <x v="7"/>
    <n v="13.690200000000001"/>
    <n v="-89.197100000000006"/>
    <n v="4"/>
    <n v="0"/>
    <n v="0"/>
    <n v="107"/>
    <s v="_x0000_peopl"/>
  </r>
  <r>
    <x v="7"/>
    <n v="13.690200000000001"/>
    <n v="-89.197299999999998"/>
    <n v="5"/>
    <n v="0"/>
    <n v="0"/>
    <n v="107"/>
    <s v="_x0000_peopl"/>
  </r>
  <r>
    <x v="7"/>
    <n v="13.6899"/>
    <n v="-89.197299999999998"/>
    <n v="8"/>
    <n v="0"/>
    <n v="0"/>
    <n v="107"/>
    <s v="_x0000_peopl"/>
  </r>
  <r>
    <x v="7"/>
    <n v="13.69"/>
    <n v="-89.197199999999995"/>
    <n v="4"/>
    <n v="0"/>
    <n v="0"/>
    <n v="107"/>
    <s v="_x0000_peopl"/>
  </r>
  <r>
    <x v="7"/>
    <n v="13.6899"/>
    <n v="-89.197000000000003"/>
    <n v="6"/>
    <n v="0"/>
    <n v="0"/>
    <n v="107"/>
    <s v="_x0000_peopl"/>
  </r>
  <r>
    <x v="7"/>
    <n v="13.690799999999999"/>
    <n v="-89.197299999999998"/>
    <n v="6"/>
    <n v="0"/>
    <n v="0"/>
    <n v="107"/>
    <s v="_x0000_peopl"/>
  </r>
  <r>
    <x v="7"/>
    <n v="13.6907"/>
    <n v="-89.197199999999995"/>
    <n v="4"/>
    <n v="0"/>
    <n v="0"/>
    <n v="107"/>
    <s v="_x0000_peopl"/>
  </r>
  <r>
    <x v="7"/>
    <n v="13.6907"/>
    <n v="-89.197100000000006"/>
    <n v="3"/>
    <n v="0"/>
    <n v="0"/>
    <n v="107"/>
    <s v="_x0000_peopl"/>
  </r>
  <r>
    <x v="7"/>
    <n v="13.6907"/>
    <n v="-89.197000000000003"/>
    <n v="2"/>
    <n v="0"/>
    <n v="0"/>
    <n v="107"/>
    <s v="_x0000_peopl"/>
  </r>
  <r>
    <x v="7"/>
    <n v="13.690799999999999"/>
    <n v="-89.196899999999999"/>
    <n v="3"/>
    <n v="0"/>
    <n v="0"/>
    <n v="107"/>
    <s v="_x0000_peopl"/>
  </r>
  <r>
    <x v="7"/>
    <n v="13.691000000000001"/>
    <n v="-89.197000000000003"/>
    <n v="3"/>
    <n v="0"/>
    <n v="0"/>
    <n v="107"/>
    <s v="_x0000_peopl"/>
  </r>
  <r>
    <x v="7"/>
    <n v="13.691000000000001"/>
    <n v="-89.197100000000006"/>
    <n v="3"/>
    <n v="0"/>
    <n v="0"/>
    <n v="107"/>
    <s v="_x0000_peopl"/>
  </r>
  <r>
    <x v="7"/>
    <n v="13.6906"/>
    <n v="-89.197199999999995"/>
    <n v="1"/>
    <n v="0"/>
    <n v="0"/>
    <n v="107"/>
    <s v="_x0000_peopl"/>
  </r>
  <r>
    <x v="7"/>
    <n v="13.6906"/>
    <n v="-89.197100000000006"/>
    <n v="2"/>
    <n v="0"/>
    <n v="0"/>
    <n v="107"/>
    <s v="_x0000_peopl"/>
  </r>
  <r>
    <x v="7"/>
    <n v="13.6904"/>
    <n v="-89.197299999999998"/>
    <n v="4"/>
    <n v="0"/>
    <n v="0"/>
    <n v="107"/>
    <s v="_x0000_peopl"/>
  </r>
  <r>
    <x v="7"/>
    <n v="13.690300000000001"/>
    <n v="-89.197299999999998"/>
    <n v="5"/>
    <n v="0"/>
    <n v="0"/>
    <n v="107"/>
    <s v="_x0000_peopl"/>
  </r>
  <r>
    <x v="7"/>
    <n v="13.690300000000001"/>
    <n v="-89.197100000000006"/>
    <n v="7"/>
    <n v="0"/>
    <n v="0"/>
    <n v="107"/>
    <s v="_x0000_peopl"/>
  </r>
  <r>
    <x v="7"/>
    <n v="13.690300000000001"/>
    <n v="-89.197000000000003"/>
    <n v="8"/>
    <n v="0"/>
    <n v="0"/>
    <n v="107"/>
    <s v="_x0000_peopl"/>
  </r>
  <r>
    <x v="7"/>
    <n v="13.6904"/>
    <n v="-89.197000000000003"/>
    <n v="4"/>
    <n v="0"/>
    <n v="0"/>
    <n v="107"/>
    <s v="_x0000_peopl"/>
  </r>
  <r>
    <x v="7"/>
    <n v="13.690300000000001"/>
    <n v="-89.196799999999996"/>
    <n v="2"/>
    <n v="0"/>
    <n v="0"/>
    <n v="107"/>
    <s v="_x0000_peopl"/>
  </r>
  <r>
    <x v="7"/>
    <n v="13.690200000000001"/>
    <n v="-89.196899999999999"/>
    <n v="6"/>
    <n v="0"/>
    <n v="0"/>
    <n v="107"/>
    <s v="_x0000_peopl"/>
  </r>
  <r>
    <x v="7"/>
    <n v="13.690200000000001"/>
    <n v="-89.196799999999996"/>
    <n v="4"/>
    <n v="0"/>
    <n v="0"/>
    <n v="107"/>
    <s v="_x0000_peopl"/>
  </r>
  <r>
    <x v="7"/>
    <n v="13.690099999999999"/>
    <n v="-89.196899999999999"/>
    <n v="8"/>
    <n v="0"/>
    <n v="0"/>
    <n v="107"/>
    <s v="_x0000_peopl"/>
  </r>
  <r>
    <x v="7"/>
    <n v="13.690099999999999"/>
    <n v="-89.196700000000007"/>
    <n v="8"/>
    <n v="0"/>
    <n v="0"/>
    <n v="107"/>
    <s v="_x0000_peopl"/>
  </r>
  <r>
    <x v="7"/>
    <n v="13.690200000000001"/>
    <n v="-89.196700000000007"/>
    <n v="3"/>
    <n v="0"/>
    <n v="0"/>
    <n v="107"/>
    <s v="_x0000_peopl"/>
  </r>
  <r>
    <x v="7"/>
    <n v="13.69"/>
    <n v="-89.196700000000007"/>
    <n v="4"/>
    <n v="0"/>
    <n v="0"/>
    <n v="107"/>
    <s v="_x0000_peopl"/>
  </r>
  <r>
    <x v="7"/>
    <n v="13.69"/>
    <n v="-89.196600000000004"/>
    <n v="5"/>
    <n v="0"/>
    <n v="0"/>
    <n v="107"/>
    <s v="_x0000_peopl"/>
  </r>
  <r>
    <x v="7"/>
    <n v="13.69"/>
    <n v="-89.196600000000004"/>
    <n v="4"/>
    <n v="0"/>
    <n v="0"/>
    <n v="107"/>
    <s v="_x0000_peopl"/>
  </r>
  <r>
    <x v="7"/>
    <n v="13.69"/>
    <n v="-89.1965"/>
    <n v="12"/>
    <n v="0"/>
    <n v="0"/>
    <n v="107"/>
    <s v="_x0000_peopl"/>
  </r>
  <r>
    <x v="7"/>
    <n v="13.6899"/>
    <n v="-89.1965"/>
    <n v="2"/>
    <n v="0"/>
    <n v="0"/>
    <n v="107"/>
    <s v="_x0000_peopl"/>
  </r>
  <r>
    <x v="7"/>
    <n v="13.6899"/>
    <n v="-89.196600000000004"/>
    <n v="1"/>
    <n v="0"/>
    <n v="0"/>
    <n v="107"/>
    <s v="_x0000_peopl"/>
  </r>
  <r>
    <x v="7"/>
    <n v="13.6899"/>
    <n v="-89.196700000000007"/>
    <n v="6"/>
    <n v="0"/>
    <n v="0"/>
    <n v="107"/>
    <s v="_x0000_peopl"/>
  </r>
  <r>
    <x v="7"/>
    <n v="13.6899"/>
    <n v="-89.196799999999996"/>
    <n v="10"/>
    <n v="0"/>
    <n v="0"/>
    <n v="107"/>
    <s v="_x0000_peopl"/>
  </r>
  <r>
    <x v="7"/>
    <n v="13.6904"/>
    <n v="-89.196700000000007"/>
    <n v="3"/>
    <n v="0"/>
    <n v="0"/>
    <n v="107"/>
    <s v="_x0000_peopl"/>
  </r>
  <r>
    <x v="7"/>
    <n v="13.690300000000001"/>
    <n v="-89.196700000000007"/>
    <n v="7"/>
    <n v="0"/>
    <n v="0"/>
    <n v="107"/>
    <s v="_x0000_peopl"/>
  </r>
  <r>
    <x v="7"/>
    <n v="13.690300000000001"/>
    <n v="-89.196799999999996"/>
    <n v="3"/>
    <n v="0"/>
    <n v="0"/>
    <n v="107"/>
    <s v="_x0000_peopl"/>
  </r>
  <r>
    <x v="7"/>
    <n v="13.6904"/>
    <n v="-89.196799999999996"/>
    <n v="10"/>
    <n v="0"/>
    <n v="0"/>
    <n v="107"/>
    <s v="_x0000_peopl"/>
  </r>
  <r>
    <x v="7"/>
    <n v="13.6905"/>
    <n v="-89.196799999999996"/>
    <n v="6"/>
    <n v="0"/>
    <n v="0"/>
    <n v="107"/>
    <s v="_x0000_peopl"/>
  </r>
  <r>
    <x v="7"/>
    <n v="13.6907"/>
    <n v="-89.196799999999996"/>
    <n v="12"/>
    <n v="0"/>
    <n v="0"/>
    <n v="107"/>
    <s v="_x0000_peopl"/>
  </r>
  <r>
    <x v="7"/>
    <n v="13.6907"/>
    <n v="-89.196700000000007"/>
    <n v="4"/>
    <n v="0"/>
    <n v="0"/>
    <n v="107"/>
    <s v="_x0000_peopl"/>
  </r>
  <r>
    <x v="7"/>
    <n v="13.6907"/>
    <n v="-89.196600000000004"/>
    <n v="7"/>
    <n v="0"/>
    <n v="0"/>
    <n v="107"/>
    <s v="_x0000_peopl"/>
  </r>
  <r>
    <x v="7"/>
    <n v="13.6907"/>
    <n v="-89.196600000000004"/>
    <n v="3"/>
    <n v="0"/>
    <n v="0"/>
    <n v="107"/>
    <s v="_x0000_peopl"/>
  </r>
  <r>
    <x v="7"/>
    <n v="13.6907"/>
    <n v="-89.1965"/>
    <n v="9"/>
    <n v="0"/>
    <n v="0"/>
    <n v="107"/>
    <s v="_x0000_peopl"/>
  </r>
  <r>
    <x v="7"/>
    <n v="13.6907"/>
    <n v="-89.196399999999997"/>
    <n v="4"/>
    <n v="0"/>
    <n v="0"/>
    <n v="107"/>
    <s v="_x0000_peopl"/>
  </r>
  <r>
    <x v="7"/>
    <n v="13.6907"/>
    <n v="-89.196399999999997"/>
    <n v="5"/>
    <n v="0"/>
    <n v="0"/>
    <n v="107"/>
    <s v="_x0000_peopl"/>
  </r>
  <r>
    <x v="7"/>
    <n v="13.6907"/>
    <n v="-89.196299999999994"/>
    <n v="6"/>
    <n v="0"/>
    <n v="0"/>
    <n v="107"/>
    <s v="_x0000_peopl"/>
  </r>
  <r>
    <x v="7"/>
    <n v="13.690899999999999"/>
    <n v="-89.196600000000004"/>
    <n v="11"/>
    <n v="0"/>
    <n v="0"/>
    <n v="107"/>
    <s v="_x0000_peopl"/>
  </r>
  <r>
    <x v="7"/>
    <n v="13.690899999999999"/>
    <n v="-89.196600000000004"/>
    <n v="4"/>
    <n v="0"/>
    <n v="0"/>
    <n v="107"/>
    <s v="_x0000_peopl"/>
  </r>
  <r>
    <x v="7"/>
    <n v="13.690899999999999"/>
    <n v="-89.1965"/>
    <n v="3"/>
    <n v="0"/>
    <n v="0"/>
    <n v="107"/>
    <s v="_x0000_peopl"/>
  </r>
  <r>
    <x v="7"/>
    <n v="13.690899999999999"/>
    <n v="-89.196399999999997"/>
    <n v="3"/>
    <n v="0"/>
    <n v="0"/>
    <n v="107"/>
    <s v="_x0000_peopl"/>
  </r>
  <r>
    <x v="7"/>
    <n v="13.690899999999999"/>
    <n v="-89.196299999999994"/>
    <n v="6"/>
    <n v="0"/>
    <n v="0"/>
    <n v="107"/>
    <s v="_x0000_peopl"/>
  </r>
  <r>
    <x v="7"/>
    <n v="13.6905"/>
    <n v="-89.197000000000003"/>
    <n v="7"/>
    <n v="0"/>
    <n v="0"/>
    <n v="107"/>
    <s v="_x0000_peopl"/>
  </r>
  <r>
    <x v="7"/>
    <n v="13.6906"/>
    <n v="-89.196799999999996"/>
    <n v="8"/>
    <n v="0"/>
    <n v="0"/>
    <n v="107"/>
    <s v="_x0000_peopl"/>
  </r>
  <r>
    <x v="7"/>
    <n v="13.6905"/>
    <n v="-89.196700000000007"/>
    <n v="8"/>
    <n v="0"/>
    <n v="0"/>
    <n v="107"/>
    <s v="_x0000_peopl"/>
  </r>
  <r>
    <x v="7"/>
    <n v="13.6905"/>
    <n v="-89.196600000000004"/>
    <n v="4"/>
    <n v="0"/>
    <n v="0"/>
    <n v="107"/>
    <s v="_x0000_peopl"/>
  </r>
  <r>
    <x v="7"/>
    <n v="13.6911"/>
    <n v="-89.196200000000005"/>
    <n v="3"/>
    <n v="0"/>
    <n v="0"/>
    <n v="107"/>
    <s v="_x0000_peopl"/>
  </r>
  <r>
    <x v="7"/>
    <n v="13.6912"/>
    <n v="-89.197800000000001"/>
    <n v="3"/>
    <n v="0"/>
    <n v="0"/>
    <n v="107"/>
    <s v="_x0000_peopl"/>
  </r>
  <r>
    <x v="7"/>
    <n v="13.6913"/>
    <n v="-89.197800000000001"/>
    <n v="5"/>
    <n v="0"/>
    <n v="0"/>
    <n v="107"/>
    <s v="_x0000_peopl"/>
  </r>
  <r>
    <x v="7"/>
    <n v="13.6913"/>
    <n v="-89.197599999999994"/>
    <n v="3"/>
    <n v="0"/>
    <n v="0"/>
    <n v="107"/>
    <s v="_x0000_peopl"/>
  </r>
  <r>
    <x v="7"/>
    <n v="13.6912"/>
    <n v="-89.197599999999994"/>
    <n v="1"/>
    <n v="0"/>
    <n v="0"/>
    <n v="107"/>
    <s v="_x0000_peopl"/>
  </r>
  <r>
    <x v="7"/>
    <n v="13.6912"/>
    <n v="-89.197500000000005"/>
    <n v="5"/>
    <n v="0"/>
    <n v="0"/>
    <n v="107"/>
    <s v="_x0000_peopl"/>
  </r>
  <r>
    <x v="7"/>
    <n v="13.6912"/>
    <n v="-89.197299999999998"/>
    <n v="4"/>
    <n v="0"/>
    <n v="0"/>
    <n v="107"/>
    <s v="_x0000_peopl"/>
  </r>
  <r>
    <x v="7"/>
    <n v="13.6913"/>
    <n v="-89.197199999999995"/>
    <n v="5"/>
    <n v="0"/>
    <n v="0"/>
    <n v="107"/>
    <s v="_x0000_peopl"/>
  </r>
  <r>
    <x v="7"/>
    <n v="13.6912"/>
    <n v="-89.197199999999995"/>
    <n v="6"/>
    <n v="0"/>
    <n v="0"/>
    <n v="107"/>
    <s v="_x0000_peopl"/>
  </r>
  <r>
    <x v="7"/>
    <n v="13.6915"/>
    <n v="-89.1982"/>
    <n v="5"/>
    <n v="0"/>
    <n v="0"/>
    <n v="107"/>
    <s v="_x0000_peopl"/>
  </r>
  <r>
    <x v="7"/>
    <n v="13.6915"/>
    <n v="-89.1982"/>
    <n v="5"/>
    <n v="0"/>
    <n v="0"/>
    <n v="107"/>
    <s v="_x0000_peopl"/>
  </r>
  <r>
    <x v="7"/>
    <n v="13.6915"/>
    <n v="-89.1982"/>
    <n v="5"/>
    <n v="0"/>
    <n v="0"/>
    <n v="107"/>
    <s v="_x0000_peopl"/>
  </r>
  <r>
    <x v="7"/>
    <n v="13.6915"/>
    <n v="-89.198300000000003"/>
    <n v="9"/>
    <n v="0"/>
    <n v="0"/>
    <n v="107"/>
    <s v="_x0000_peopl"/>
  </r>
  <r>
    <x v="7"/>
    <n v="13.6914"/>
    <n v="-89.198300000000003"/>
    <n v="7"/>
    <n v="0"/>
    <n v="0"/>
    <n v="107"/>
    <s v="_x0000_peopl"/>
  </r>
  <r>
    <x v="7"/>
    <n v="13.6914"/>
    <n v="-89.198300000000003"/>
    <n v="3"/>
    <n v="0"/>
    <n v="0"/>
    <n v="107"/>
    <s v="_x0000_peopl"/>
  </r>
  <r>
    <x v="7"/>
    <n v="13.6914"/>
    <n v="-89.198300000000003"/>
    <n v="3"/>
    <n v="0"/>
    <n v="0"/>
    <n v="107"/>
    <s v="_x0000_peopl"/>
  </r>
  <r>
    <x v="7"/>
    <n v="13.6915"/>
    <n v="-89.198099999999997"/>
    <n v="2"/>
    <n v="0"/>
    <n v="0"/>
    <n v="107"/>
    <s v="_x0000_peopl"/>
  </r>
  <r>
    <x v="7"/>
    <n v="13.6913"/>
    <n v="-89.198099999999997"/>
    <n v="5"/>
    <n v="0"/>
    <n v="0"/>
    <n v="107"/>
    <s v="_x0000_peopl"/>
  </r>
  <r>
    <x v="7"/>
    <n v="13.6912"/>
    <n v="-89.197900000000004"/>
    <n v="3"/>
    <n v="0"/>
    <n v="0"/>
    <n v="107"/>
    <s v="_x0000_peopl"/>
  </r>
  <r>
    <x v="7"/>
    <n v="13.6914"/>
    <n v="-89.197800000000001"/>
    <n v="3"/>
    <n v="0"/>
    <n v="0"/>
    <n v="107"/>
    <s v="_x0000_peopl"/>
  </r>
  <r>
    <x v="7"/>
    <n v="13.6913"/>
    <n v="-89.197599999999994"/>
    <n v="4"/>
    <n v="0"/>
    <n v="0"/>
    <n v="107"/>
    <s v="_x0000_peopl"/>
  </r>
  <r>
    <x v="7"/>
    <n v="13.6915"/>
    <n v="-89.198300000000003"/>
    <n v="9"/>
    <n v="0"/>
    <n v="0"/>
    <n v="107"/>
    <s v="_x0000_peopl"/>
  </r>
  <r>
    <x v="7"/>
    <n v="13.6915"/>
    <n v="-89.198300000000003"/>
    <n v="6"/>
    <n v="0"/>
    <n v="0"/>
    <n v="107"/>
    <s v="_x0000_peopl"/>
  </r>
  <r>
    <x v="7"/>
    <n v="13.691599999999999"/>
    <n v="-89.198300000000003"/>
    <n v="4"/>
    <n v="0"/>
    <n v="0"/>
    <n v="107"/>
    <s v="_x0000_peopl"/>
  </r>
  <r>
    <x v="7"/>
    <n v="13.691599999999999"/>
    <n v="-89.1982"/>
    <n v="4"/>
    <n v="0"/>
    <n v="0"/>
    <n v="107"/>
    <s v="_x0000_peopl"/>
  </r>
  <r>
    <x v="7"/>
    <n v="13.691599999999999"/>
    <n v="-89.198099999999997"/>
    <n v="4"/>
    <n v="0"/>
    <n v="0"/>
    <n v="107"/>
    <s v="_x0000_peopl"/>
  </r>
  <r>
    <x v="7"/>
    <n v="13.6912"/>
    <n v="-89.197000000000003"/>
    <n v="6"/>
    <n v="0"/>
    <n v="0"/>
    <n v="107"/>
    <s v="_x0000_peopl"/>
  </r>
  <r>
    <x v="7"/>
    <n v="13.6913"/>
    <n v="-89.197000000000003"/>
    <n v="8"/>
    <n v="0"/>
    <n v="0"/>
    <n v="107"/>
    <s v="_x0000_peopl"/>
  </r>
  <r>
    <x v="7"/>
    <n v="13.6913"/>
    <n v="-89.197299999999998"/>
    <n v="7"/>
    <n v="0"/>
    <n v="0"/>
    <n v="107"/>
    <s v="_x0000_peopl"/>
  </r>
  <r>
    <x v="7"/>
    <n v="13.6913"/>
    <n v="-89.197500000000005"/>
    <n v="4"/>
    <n v="0"/>
    <n v="0"/>
    <n v="107"/>
    <s v="_x0000_peopl"/>
  </r>
  <r>
    <x v="7"/>
    <n v="13.6913"/>
    <n v="-89.197400000000002"/>
    <n v="3"/>
    <n v="0"/>
    <n v="0"/>
    <n v="107"/>
    <s v="_x0000_peopl"/>
  </r>
  <r>
    <x v="7"/>
    <n v="13.691000000000001"/>
    <n v="-89.197199999999995"/>
    <n v="1"/>
    <n v="0"/>
    <n v="0"/>
    <n v="107"/>
    <s v="_x0000_peopl"/>
  </r>
  <r>
    <x v="7"/>
    <n v="13.691000000000001"/>
    <n v="-89.197000000000003"/>
    <n v="8"/>
    <n v="0"/>
    <n v="0"/>
    <n v="107"/>
    <s v="_x0000_peopl"/>
  </r>
  <r>
    <x v="7"/>
    <n v="13.690099999999999"/>
    <n v="-89.195800000000006"/>
    <n v="1"/>
    <n v="0"/>
    <n v="0"/>
    <n v="107"/>
    <s v="_x0000_peopl"/>
  </r>
  <r>
    <x v="7"/>
    <n v="13.69"/>
    <n v="-89.195800000000006"/>
    <n v="5"/>
    <n v="0"/>
    <n v="0"/>
    <n v="107"/>
    <s v="_x0000_peopl"/>
  </r>
  <r>
    <x v="7"/>
    <n v="13.69"/>
    <n v="-89.195800000000006"/>
    <n v="7"/>
    <n v="0"/>
    <n v="0"/>
    <n v="107"/>
    <s v="_x0000_peopl"/>
  </r>
  <r>
    <x v="7"/>
    <n v="13.69"/>
    <n v="-89.195800000000006"/>
    <n v="2"/>
    <n v="0"/>
    <n v="0"/>
    <n v="107"/>
    <s v="_x0000_peopl"/>
  </r>
  <r>
    <x v="7"/>
    <n v="13.69"/>
    <n v="-89.195800000000006"/>
    <n v="4"/>
    <n v="0"/>
    <n v="0"/>
    <n v="107"/>
    <s v="_x0000_peopl"/>
  </r>
  <r>
    <x v="7"/>
    <n v="13.690099999999999"/>
    <n v="-89.195800000000006"/>
    <n v="9"/>
    <n v="0"/>
    <n v="0"/>
    <n v="107"/>
    <s v="_x0000_peopl"/>
  </r>
  <r>
    <x v="7"/>
    <n v="13.6937"/>
    <n v="-89.189899999999994"/>
    <n v="6"/>
    <n v="0"/>
    <n v="0"/>
    <n v="107"/>
    <s v="_x0000_peopl"/>
  </r>
  <r>
    <x v="7"/>
    <n v="13.6937"/>
    <n v="-89.189899999999994"/>
    <n v="3"/>
    <n v="0"/>
    <n v="0"/>
    <n v="107"/>
    <s v="_x0000_peopl"/>
  </r>
  <r>
    <x v="7"/>
    <n v="13.6937"/>
    <n v="-89.189899999999994"/>
    <n v="4"/>
    <n v="0"/>
    <n v="0"/>
    <n v="107"/>
    <s v="_x0000_peopl"/>
  </r>
  <r>
    <x v="7"/>
    <n v="13.6937"/>
    <n v="-89.189899999999994"/>
    <n v="6"/>
    <n v="0"/>
    <n v="0"/>
    <n v="107"/>
    <s v="_x0000_peopl"/>
  </r>
  <r>
    <x v="7"/>
    <n v="13.6937"/>
    <n v="-89.189899999999994"/>
    <n v="3"/>
    <n v="0"/>
    <n v="0"/>
    <n v="107"/>
    <s v="_x0000_peopl"/>
  </r>
  <r>
    <x v="7"/>
    <n v="13.6937"/>
    <n v="-89.189899999999994"/>
    <n v="6"/>
    <n v="0"/>
    <n v="0"/>
    <n v="107"/>
    <s v="_x0000_peopl"/>
  </r>
  <r>
    <x v="7"/>
    <n v="13.6937"/>
    <n v="-89.19"/>
    <n v="6"/>
    <n v="0"/>
    <n v="0"/>
    <n v="107"/>
    <s v="_x0000_peopl"/>
  </r>
  <r>
    <x v="7"/>
    <n v="13.6937"/>
    <n v="-89.19"/>
    <n v="10"/>
    <n v="0"/>
    <n v="0"/>
    <n v="107"/>
    <s v="_x0000_peopl"/>
  </r>
  <r>
    <x v="7"/>
    <n v="13.6937"/>
    <n v="-89.19"/>
    <n v="6"/>
    <n v="0"/>
    <n v="0"/>
    <n v="107"/>
    <s v="_x0000_peopl"/>
  </r>
  <r>
    <x v="7"/>
    <n v="13.6937"/>
    <n v="-89.19"/>
    <n v="6"/>
    <n v="0"/>
    <n v="0"/>
    <n v="107"/>
    <s v="_x0000_peopl"/>
  </r>
  <r>
    <x v="7"/>
    <n v="13.6937"/>
    <n v="-89.19"/>
    <n v="2"/>
    <n v="0"/>
    <n v="0"/>
    <n v="107"/>
    <s v="_x0000_peopl"/>
  </r>
  <r>
    <x v="7"/>
    <n v="13.6937"/>
    <n v="-89.19"/>
    <n v="4"/>
    <n v="0"/>
    <n v="0"/>
    <n v="107"/>
    <s v="_x0000_peopl"/>
  </r>
  <r>
    <x v="7"/>
    <n v="13.6937"/>
    <n v="-89.189800000000005"/>
    <n v="6"/>
    <n v="0"/>
    <n v="0"/>
    <n v="107"/>
    <s v="_x0000_peopl"/>
  </r>
  <r>
    <x v="7"/>
    <n v="13.6937"/>
    <n v="-89.189800000000005"/>
    <n v="2"/>
    <n v="0"/>
    <n v="0"/>
    <n v="107"/>
    <s v="_x0000_peopl"/>
  </r>
  <r>
    <x v="7"/>
    <n v="13.6937"/>
    <n v="-89.189800000000005"/>
    <n v="4"/>
    <n v="0"/>
    <n v="0"/>
    <n v="107"/>
    <s v="_x0000_peopl"/>
  </r>
  <r>
    <x v="7"/>
    <n v="13.6937"/>
    <n v="-89.189800000000005"/>
    <n v="8"/>
    <n v="0"/>
    <n v="0"/>
    <n v="107"/>
    <s v="_x0000_peopl"/>
  </r>
  <r>
    <x v="7"/>
    <n v="13.6937"/>
    <n v="-89.189800000000005"/>
    <n v="5"/>
    <n v="0"/>
    <n v="0"/>
    <n v="107"/>
    <s v="_x0000_peopl"/>
  </r>
  <r>
    <x v="7"/>
    <n v="13.6937"/>
    <n v="-89.189800000000005"/>
    <n v="5"/>
    <n v="0"/>
    <n v="0"/>
    <n v="107"/>
    <s v="_x0000_peopl"/>
  </r>
  <r>
    <x v="7"/>
    <n v="13.6937"/>
    <n v="-89.189800000000005"/>
    <n v="6"/>
    <n v="0"/>
    <n v="0"/>
    <n v="107"/>
    <s v="_x0000_peopl"/>
  </r>
  <r>
    <x v="7"/>
    <n v="13.6937"/>
    <n v="-89.189800000000005"/>
    <n v="7"/>
    <n v="0"/>
    <n v="0"/>
    <n v="107"/>
    <s v="_x0000_peopl"/>
  </r>
  <r>
    <x v="7"/>
    <n v="13.6937"/>
    <n v="-89.189800000000005"/>
    <n v="6"/>
    <n v="0"/>
    <n v="0"/>
    <n v="107"/>
    <s v="_x0000_peopl"/>
  </r>
  <r>
    <x v="7"/>
    <n v="13.6936"/>
    <n v="-89.189899999999994"/>
    <n v="2"/>
    <n v="0"/>
    <n v="0"/>
    <n v="107"/>
    <s v="_x0000_peopl"/>
  </r>
  <r>
    <x v="7"/>
    <n v="13.6936"/>
    <n v="-89.189899999999994"/>
    <n v="5"/>
    <n v="0"/>
    <n v="0"/>
    <n v="107"/>
    <s v="_x0000_peopl"/>
  </r>
  <r>
    <x v="7"/>
    <n v="13.6936"/>
    <n v="-89.189899999999994"/>
    <n v="6"/>
    <n v="0"/>
    <n v="0"/>
    <n v="107"/>
    <s v="_x0000_peopl"/>
  </r>
  <r>
    <x v="7"/>
    <n v="13.6936"/>
    <n v="-89.189800000000005"/>
    <n v="7"/>
    <n v="0"/>
    <n v="0"/>
    <n v="107"/>
    <s v="_x0000_peopl"/>
  </r>
  <r>
    <x v="7"/>
    <n v="13.6936"/>
    <n v="-89.189800000000005"/>
    <n v="4"/>
    <n v="0"/>
    <n v="0"/>
    <n v="107"/>
    <s v="_x0000_peopl"/>
  </r>
  <r>
    <x v="7"/>
    <n v="13.6936"/>
    <n v="-89.189800000000005"/>
    <n v="9"/>
    <n v="0"/>
    <n v="0"/>
    <n v="107"/>
    <s v="_x0000_peopl"/>
  </r>
  <r>
    <x v="7"/>
    <n v="13.6936"/>
    <n v="-89.189800000000005"/>
    <n v="9"/>
    <n v="0"/>
    <n v="0"/>
    <n v="107"/>
    <s v="_x0000_peopl"/>
  </r>
  <r>
    <x v="7"/>
    <n v="13.6936"/>
    <n v="-89.189800000000005"/>
    <n v="4"/>
    <n v="0"/>
    <n v="0"/>
    <n v="107"/>
    <s v="_x0000_peopl"/>
  </r>
  <r>
    <x v="7"/>
    <n v="13.6935"/>
    <n v="-89.189899999999994"/>
    <n v="7"/>
    <n v="0"/>
    <n v="0"/>
    <n v="107"/>
    <s v="_x0000_peopl"/>
  </r>
  <r>
    <x v="7"/>
    <n v="13.6936"/>
    <n v="-89.189899999999994"/>
    <n v="2"/>
    <n v="0"/>
    <n v="0"/>
    <n v="107"/>
    <s v="_x0000_peopl"/>
  </r>
  <r>
    <x v="7"/>
    <n v="13.6936"/>
    <n v="-89.189899999999994"/>
    <n v="2"/>
    <n v="0"/>
    <n v="0"/>
    <n v="107"/>
    <s v="_x0000_peopl"/>
  </r>
  <r>
    <x v="7"/>
    <n v="13.6936"/>
    <n v="-89.189899999999994"/>
    <n v="4"/>
    <n v="0"/>
    <n v="0"/>
    <n v="107"/>
    <s v="_x0000_peopl"/>
  </r>
  <r>
    <x v="7"/>
    <n v="13.6936"/>
    <n v="-89.19"/>
    <n v="4"/>
    <n v="0"/>
    <n v="0"/>
    <n v="107"/>
    <s v="_x0000_peopl"/>
  </r>
  <r>
    <x v="7"/>
    <n v="13.6936"/>
    <n v="-89.19"/>
    <n v="6"/>
    <n v="0"/>
    <n v="0"/>
    <n v="107"/>
    <s v="_x0000_peopl"/>
  </r>
  <r>
    <x v="7"/>
    <n v="13.6936"/>
    <n v="-89.19"/>
    <n v="7"/>
    <n v="0"/>
    <n v="0"/>
    <n v="107"/>
    <s v="_x0000_peopl"/>
  </r>
  <r>
    <x v="7"/>
    <n v="13.6936"/>
    <n v="-89.19"/>
    <n v="7"/>
    <n v="0"/>
    <n v="0"/>
    <n v="107"/>
    <s v="_x0000_peopl"/>
  </r>
  <r>
    <x v="7"/>
    <n v="13.6936"/>
    <n v="-89.190100000000001"/>
    <n v="4"/>
    <n v="0"/>
    <n v="0"/>
    <n v="107"/>
    <s v="_x0000_peopl"/>
  </r>
  <r>
    <x v="7"/>
    <n v="13.6936"/>
    <n v="-89.190100000000001"/>
    <n v="3"/>
    <n v="0"/>
    <n v="0"/>
    <n v="107"/>
    <s v="_x0000_peopl"/>
  </r>
  <r>
    <x v="7"/>
    <n v="13.6936"/>
    <n v="-89.19"/>
    <n v="3"/>
    <n v="0"/>
    <n v="0"/>
    <n v="107"/>
    <s v="_x0000_peopl"/>
  </r>
  <r>
    <x v="7"/>
    <n v="13.6936"/>
    <n v="-89.19"/>
    <n v="4"/>
    <n v="0"/>
    <n v="0"/>
    <n v="107"/>
    <s v="_x0000_peopl"/>
  </r>
  <r>
    <x v="7"/>
    <n v="13.6936"/>
    <n v="-89.190100000000001"/>
    <n v="2"/>
    <n v="0"/>
    <n v="0"/>
    <n v="107"/>
    <s v="_x0000_peopl"/>
  </r>
  <r>
    <x v="7"/>
    <n v="13.6936"/>
    <n v="-89.190100000000001"/>
    <n v="4"/>
    <n v="0"/>
    <n v="0"/>
    <n v="107"/>
    <s v="_x0000_peopl"/>
  </r>
  <r>
    <x v="7"/>
    <n v="13.6936"/>
    <n v="-89.190100000000001"/>
    <n v="3"/>
    <n v="0"/>
    <n v="0"/>
    <n v="107"/>
    <s v="_x0000_peopl"/>
  </r>
  <r>
    <x v="7"/>
    <n v="13.6936"/>
    <n v="-89.190100000000001"/>
    <n v="3"/>
    <n v="0"/>
    <n v="0"/>
    <n v="107"/>
    <s v="_x0000_peopl"/>
  </r>
  <r>
    <x v="7"/>
    <n v="13.6936"/>
    <n v="-89.190100000000001"/>
    <n v="3"/>
    <n v="0"/>
    <n v="0"/>
    <n v="107"/>
    <s v="_x0000_peopl"/>
  </r>
  <r>
    <x v="7"/>
    <n v="13.6936"/>
    <n v="-89.190100000000001"/>
    <n v="7"/>
    <n v="0"/>
    <n v="0"/>
    <n v="107"/>
    <s v="_x0000_peopl"/>
  </r>
  <r>
    <x v="7"/>
    <n v="13.6935"/>
    <n v="-89.189800000000005"/>
    <n v="6"/>
    <n v="0"/>
    <n v="0"/>
    <n v="107"/>
    <s v="_x0000_peopl"/>
  </r>
  <r>
    <x v="7"/>
    <n v="13.6935"/>
    <n v="-89.189800000000005"/>
    <n v="4"/>
    <n v="0"/>
    <n v="0"/>
    <n v="107"/>
    <s v="_x0000_peopl"/>
  </r>
  <r>
    <x v="7"/>
    <n v="13.6935"/>
    <n v="-89.189800000000005"/>
    <n v="6"/>
    <n v="0"/>
    <n v="0"/>
    <n v="107"/>
    <s v="_x0000_peopl"/>
  </r>
  <r>
    <x v="7"/>
    <n v="13.6935"/>
    <n v="-89.189700000000002"/>
    <n v="4"/>
    <n v="0"/>
    <n v="0"/>
    <n v="107"/>
    <s v="_x0000_peopl"/>
  </r>
  <r>
    <x v="7"/>
    <n v="13.6935"/>
    <n v="-89.189700000000002"/>
    <n v="5"/>
    <n v="0"/>
    <n v="0"/>
    <n v="107"/>
    <s v="_x0000_peopl"/>
  </r>
  <r>
    <x v="7"/>
    <n v="13.6935"/>
    <n v="-89.189700000000002"/>
    <n v="10"/>
    <n v="0"/>
    <n v="0"/>
    <n v="107"/>
    <s v="_x0000_peopl"/>
  </r>
  <r>
    <x v="7"/>
    <n v="13.6935"/>
    <n v="-89.189899999999994"/>
    <n v="4"/>
    <n v="0"/>
    <n v="0"/>
    <n v="107"/>
    <s v="_x0000_peopl"/>
  </r>
  <r>
    <x v="7"/>
    <n v="13.6935"/>
    <n v="-89.189899999999994"/>
    <n v="2"/>
    <n v="0"/>
    <n v="0"/>
    <n v="107"/>
    <s v="_x0000_peopl"/>
  </r>
  <r>
    <x v="7"/>
    <n v="13.6935"/>
    <n v="-89.189899999999994"/>
    <n v="6"/>
    <n v="0"/>
    <n v="0"/>
    <n v="107"/>
    <s v="_x0000_peopl"/>
  </r>
  <r>
    <x v="7"/>
    <n v="13.6935"/>
    <n v="-89.189899999999994"/>
    <n v="4"/>
    <n v="0"/>
    <n v="0"/>
    <n v="107"/>
    <s v="_x0000_peopl"/>
  </r>
  <r>
    <x v="7"/>
    <n v="13.6935"/>
    <n v="-89.189899999999994"/>
    <n v="4"/>
    <n v="0"/>
    <n v="0"/>
    <n v="107"/>
    <s v="_x0000_peopl"/>
  </r>
  <r>
    <x v="7"/>
    <n v="13.6935"/>
    <n v="-89.189899999999994"/>
    <n v="7"/>
    <n v="0"/>
    <n v="0"/>
    <n v="107"/>
    <s v="_x0000_peopl"/>
  </r>
  <r>
    <x v="7"/>
    <n v="13.6935"/>
    <n v="-89.189800000000005"/>
    <n v="6"/>
    <n v="0"/>
    <n v="0"/>
    <n v="107"/>
    <s v="_x0000_peopl"/>
  </r>
  <r>
    <x v="7"/>
    <n v="13.6935"/>
    <n v="-89.189800000000005"/>
    <n v="4"/>
    <n v="0"/>
    <n v="0"/>
    <n v="107"/>
    <s v="_x0000_peopl"/>
  </r>
  <r>
    <x v="7"/>
    <n v="13.6935"/>
    <n v="-89.189800000000005"/>
    <n v="4"/>
    <n v="0"/>
    <n v="0"/>
    <n v="107"/>
    <s v="_x0000_peopl"/>
  </r>
  <r>
    <x v="7"/>
    <n v="13.6935"/>
    <n v="-89.189800000000005"/>
    <n v="3"/>
    <n v="0"/>
    <n v="0"/>
    <n v="107"/>
    <s v="_x0000_peopl"/>
  </r>
  <r>
    <x v="7"/>
    <n v="13.6935"/>
    <n v="-89.189800000000005"/>
    <n v="5"/>
    <n v="0"/>
    <n v="0"/>
    <n v="107"/>
    <s v="_x0000_peopl"/>
  </r>
  <r>
    <x v="7"/>
    <n v="13.6935"/>
    <n v="-89.189800000000005"/>
    <n v="4"/>
    <n v="0"/>
    <n v="0"/>
    <n v="107"/>
    <s v="_x0000_peopl"/>
  </r>
  <r>
    <x v="7"/>
    <n v="13.6934"/>
    <n v="-89.189899999999994"/>
    <n v="5"/>
    <n v="0"/>
    <n v="0"/>
    <n v="107"/>
    <s v="_x0000_peopl"/>
  </r>
  <r>
    <x v="7"/>
    <n v="13.693099999999999"/>
    <n v="-89.188800000000001"/>
    <n v="4"/>
    <n v="0"/>
    <n v="0"/>
    <n v="107"/>
    <s v="_x0000_peopl"/>
  </r>
  <r>
    <x v="7"/>
    <n v="13.693099999999999"/>
    <n v="-89.1892"/>
    <n v="7"/>
    <n v="0"/>
    <n v="0"/>
    <n v="107"/>
    <s v="_x0000_peopl"/>
  </r>
  <r>
    <x v="7"/>
    <n v="13.693099999999999"/>
    <n v="-89.188999999999993"/>
    <n v="8"/>
    <n v="0"/>
    <n v="0"/>
    <n v="107"/>
    <s v="_x0000_peopl"/>
  </r>
  <r>
    <x v="7"/>
    <n v="13.693099999999999"/>
    <n v="-89.188900000000004"/>
    <n v="3"/>
    <n v="0"/>
    <n v="0"/>
    <n v="107"/>
    <s v="_x0000_peopl"/>
  </r>
  <r>
    <x v="7"/>
    <n v="13.6889"/>
    <n v="-89.195899999999995"/>
    <n v="9"/>
    <n v="0"/>
    <n v="0"/>
    <n v="107"/>
    <s v="_x0000_peopl"/>
  </r>
  <r>
    <x v="7"/>
    <n v="13.6889"/>
    <n v="-89.196100000000001"/>
    <n v="8"/>
    <n v="0"/>
    <n v="0"/>
    <n v="107"/>
    <s v="_x0000_peopl"/>
  </r>
  <r>
    <x v="7"/>
    <n v="13.6889"/>
    <n v="-89.196100000000001"/>
    <n v="6"/>
    <n v="0"/>
    <n v="0"/>
    <n v="107"/>
    <s v="_x0000_peopl"/>
  </r>
  <r>
    <x v="7"/>
    <n v="13.6889"/>
    <n v="-89.196200000000005"/>
    <n v="7"/>
    <n v="0"/>
    <n v="0"/>
    <n v="107"/>
    <s v="_x0000_peopl"/>
  </r>
  <r>
    <x v="7"/>
    <n v="13.6889"/>
    <n v="-89.196200000000005"/>
    <n v="7"/>
    <n v="0"/>
    <n v="0"/>
    <n v="107"/>
    <s v="_x0000_peopl"/>
  </r>
  <r>
    <x v="7"/>
    <n v="13.6889"/>
    <n v="-89.196200000000005"/>
    <n v="4"/>
    <n v="0"/>
    <n v="0"/>
    <n v="107"/>
    <s v="_x0000_peopl"/>
  </r>
  <r>
    <x v="7"/>
    <n v="13.6889"/>
    <n v="-89.196200000000005"/>
    <n v="6"/>
    <n v="0"/>
    <n v="0"/>
    <n v="107"/>
    <s v="_x0000_peopl"/>
  </r>
  <r>
    <x v="7"/>
    <n v="13.6889"/>
    <n v="-89.196299999999994"/>
    <n v="5"/>
    <n v="0"/>
    <n v="0"/>
    <n v="107"/>
    <s v="_x0000_peopl"/>
  </r>
  <r>
    <x v="7"/>
    <n v="13.6889"/>
    <n v="-89.196399999999997"/>
    <n v="5"/>
    <n v="0"/>
    <n v="0"/>
    <n v="107"/>
    <s v="_x0000_peopl"/>
  </r>
  <r>
    <x v="7"/>
    <n v="13.6889"/>
    <n v="-89.196299999999994"/>
    <n v="3"/>
    <n v="0"/>
    <n v="0"/>
    <n v="107"/>
    <s v="_x0000_peopl"/>
  </r>
  <r>
    <x v="7"/>
    <n v="13.6889"/>
    <n v="-89.196299999999994"/>
    <n v="4"/>
    <n v="0"/>
    <n v="0"/>
    <n v="107"/>
    <s v="_x0000_peopl"/>
  </r>
  <r>
    <x v="7"/>
    <n v="13.688700000000001"/>
    <n v="-89.196100000000001"/>
    <n v="7"/>
    <n v="0"/>
    <n v="0"/>
    <n v="107"/>
    <s v="_x0000_peopl"/>
  </r>
  <r>
    <x v="7"/>
    <n v="13.688700000000001"/>
    <n v="-89.196100000000001"/>
    <n v="8"/>
    <n v="0"/>
    <n v="0"/>
    <n v="107"/>
    <s v="_x0000_peopl"/>
  </r>
  <r>
    <x v="7"/>
    <n v="13.688700000000001"/>
    <n v="-89.195999999999998"/>
    <n v="7"/>
    <n v="0"/>
    <n v="0"/>
    <n v="107"/>
    <s v="_x0000_peopl"/>
  </r>
  <r>
    <x v="7"/>
    <n v="13.688700000000001"/>
    <n v="-89.195899999999995"/>
    <n v="6"/>
    <n v="0"/>
    <n v="0"/>
    <n v="107"/>
    <s v="_x0000_peopl"/>
  </r>
  <r>
    <x v="7"/>
    <n v="13.688700000000001"/>
    <n v="-89.195800000000006"/>
    <n v="7"/>
    <n v="0"/>
    <n v="0"/>
    <n v="107"/>
    <s v="_x0000_peopl"/>
  </r>
  <r>
    <x v="7"/>
    <n v="13.688700000000001"/>
    <n v="-89.195800000000006"/>
    <n v="4"/>
    <n v="0"/>
    <n v="0"/>
    <n v="107"/>
    <s v="_x0000_peopl"/>
  </r>
  <r>
    <x v="7"/>
    <n v="13.688700000000001"/>
    <n v="-89.195700000000002"/>
    <n v="5"/>
    <n v="0"/>
    <n v="0"/>
    <n v="107"/>
    <s v="_x0000_peopl"/>
  </r>
  <r>
    <x v="7"/>
    <n v="13.688700000000001"/>
    <n v="-89.195599999999999"/>
    <n v="4"/>
    <n v="0"/>
    <n v="0"/>
    <n v="107"/>
    <s v="_x0000_peopl"/>
  </r>
  <r>
    <x v="7"/>
    <n v="13.688700000000001"/>
    <n v="-89.195999999999998"/>
    <n v="9"/>
    <n v="0"/>
    <n v="0"/>
    <n v="107"/>
    <s v="_x0000_peopl"/>
  </r>
  <r>
    <x v="7"/>
    <n v="13.688700000000001"/>
    <n v="-89.195899999999995"/>
    <n v="3"/>
    <n v="0"/>
    <n v="0"/>
    <n v="107"/>
    <s v="_x0000_peopl"/>
  </r>
  <r>
    <x v="7"/>
    <n v="13.688599999999999"/>
    <n v="-89.195800000000006"/>
    <n v="5"/>
    <n v="0"/>
    <n v="0"/>
    <n v="107"/>
    <s v="_x0000_peopl"/>
  </r>
  <r>
    <x v="7"/>
    <n v="13.688599999999999"/>
    <n v="-89.195800000000006"/>
    <n v="5"/>
    <n v="0"/>
    <n v="0"/>
    <n v="107"/>
    <s v="_x0000_peopl"/>
  </r>
  <r>
    <x v="7"/>
    <n v="13.688599999999999"/>
    <n v="-89.195700000000002"/>
    <n v="6"/>
    <n v="0"/>
    <n v="0"/>
    <n v="107"/>
    <s v="_x0000_peopl"/>
  </r>
  <r>
    <x v="7"/>
    <n v="13.688599999999999"/>
    <n v="-89.195599999999999"/>
    <n v="6"/>
    <n v="0"/>
    <n v="0"/>
    <n v="107"/>
    <s v="_x0000_peopl"/>
  </r>
  <r>
    <x v="7"/>
    <n v="13.688599999999999"/>
    <n v="-89.195700000000002"/>
    <n v="5"/>
    <n v="0"/>
    <n v="0"/>
    <n v="107"/>
    <s v="_x0000_peopl"/>
  </r>
  <r>
    <x v="7"/>
    <n v="13.688599999999999"/>
    <n v="-89.195599999999999"/>
    <n v="7"/>
    <n v="0"/>
    <n v="0"/>
    <n v="107"/>
    <s v="_x0000_peopl"/>
  </r>
  <r>
    <x v="7"/>
    <n v="13.688499999999999"/>
    <n v="-89.195599999999999"/>
    <n v="6"/>
    <n v="0"/>
    <n v="0"/>
    <n v="107"/>
    <s v="_x0000_peopl"/>
  </r>
  <r>
    <x v="7"/>
    <n v="13.688499999999999"/>
    <n v="-89.195599999999999"/>
    <n v="4"/>
    <n v="0"/>
    <n v="0"/>
    <n v="107"/>
    <s v="_x0000_peopl"/>
  </r>
  <r>
    <x v="7"/>
    <n v="13.688499999999999"/>
    <n v="-89.195700000000002"/>
    <n v="5"/>
    <n v="0"/>
    <n v="0"/>
    <n v="107"/>
    <s v="_x0000_peopl"/>
  </r>
  <r>
    <x v="7"/>
    <n v="13.688499999999999"/>
    <n v="-89.195400000000006"/>
    <n v="7"/>
    <n v="0"/>
    <n v="0"/>
    <n v="107"/>
    <s v="_x0000_peopl"/>
  </r>
  <r>
    <x v="7"/>
    <n v="13.688599999999999"/>
    <n v="-89.195400000000006"/>
    <n v="7"/>
    <n v="0"/>
    <n v="0"/>
    <n v="107"/>
    <s v="_x0000_peopl"/>
  </r>
  <r>
    <x v="7"/>
    <n v="13.6883"/>
    <n v="-89.195800000000006"/>
    <n v="11"/>
    <n v="0"/>
    <n v="0"/>
    <n v="107"/>
    <s v="_x0000_peopl"/>
  </r>
  <r>
    <x v="7"/>
    <n v="13.6883"/>
    <n v="-89.195800000000006"/>
    <n v="4"/>
    <n v="0"/>
    <n v="0"/>
    <n v="107"/>
    <s v="_x0000_peopl"/>
  </r>
  <r>
    <x v="7"/>
    <n v="13.6883"/>
    <n v="-89.195899999999995"/>
    <n v="4"/>
    <n v="0"/>
    <n v="0"/>
    <n v="107"/>
    <s v="_x0000_peopl"/>
  </r>
  <r>
    <x v="7"/>
    <n v="13.6883"/>
    <n v="-89.195899999999995"/>
    <n v="2"/>
    <n v="0"/>
    <n v="0"/>
    <n v="107"/>
    <s v="_x0000_peopl"/>
  </r>
  <r>
    <x v="7"/>
    <n v="13.6883"/>
    <n v="-89.195999999999998"/>
    <n v="9"/>
    <n v="0"/>
    <n v="0"/>
    <n v="107"/>
    <s v="_x0000_peopl"/>
  </r>
  <r>
    <x v="7"/>
    <n v="13.6883"/>
    <n v="-89.195999999999998"/>
    <n v="1"/>
    <n v="0"/>
    <n v="0"/>
    <n v="107"/>
    <s v="_x0000_peopl"/>
  </r>
  <r>
    <x v="7"/>
    <n v="13.6883"/>
    <n v="-89.195999999999998"/>
    <n v="5"/>
    <n v="0"/>
    <n v="0"/>
    <n v="107"/>
    <s v="_x0000_peopl"/>
  </r>
  <r>
    <x v="7"/>
    <n v="13.6884"/>
    <n v="-89.195999999999998"/>
    <n v="8"/>
    <n v="0"/>
    <n v="0"/>
    <n v="107"/>
    <s v="_x0000_peopl"/>
  </r>
  <r>
    <x v="7"/>
    <n v="13.688499999999999"/>
    <n v="-89.195999999999998"/>
    <n v="6"/>
    <n v="0"/>
    <n v="0"/>
    <n v="107"/>
    <s v="_x0000_peopl"/>
  </r>
  <r>
    <x v="7"/>
    <n v="13.688499999999999"/>
    <n v="-89.195999999999998"/>
    <n v="5"/>
    <n v="0"/>
    <n v="0"/>
    <n v="107"/>
    <s v="_x0000_peopl"/>
  </r>
  <r>
    <x v="7"/>
    <n v="13.6884"/>
    <n v="-89.195999999999998"/>
    <n v="10"/>
    <n v="0"/>
    <n v="0"/>
    <n v="107"/>
    <s v="_x0000_peopl"/>
  </r>
  <r>
    <x v="7"/>
    <n v="13.688499999999999"/>
    <n v="-89.195800000000006"/>
    <n v="3"/>
    <n v="0"/>
    <n v="0"/>
    <n v="107"/>
    <s v="_x0000_peopl"/>
  </r>
  <r>
    <x v="7"/>
    <n v="13.6884"/>
    <n v="-89.195800000000006"/>
    <n v="6"/>
    <n v="0"/>
    <n v="0"/>
    <n v="107"/>
    <s v="_x0000_peopl"/>
  </r>
  <r>
    <x v="7"/>
    <n v="13.6884"/>
    <n v="-89.195700000000002"/>
    <n v="6"/>
    <n v="0"/>
    <n v="0"/>
    <n v="107"/>
    <s v="_x0000_peopl"/>
  </r>
  <r>
    <x v="7"/>
    <n v="13.6884"/>
    <n v="-89.195700000000002"/>
    <n v="5"/>
    <n v="0"/>
    <n v="0"/>
    <n v="107"/>
    <s v="_x0000_peopl"/>
  </r>
  <r>
    <x v="7"/>
    <n v="13.6884"/>
    <n v="-89.195700000000002"/>
    <n v="3"/>
    <n v="0"/>
    <n v="0"/>
    <n v="107"/>
    <s v="_x0000_peopl"/>
  </r>
  <r>
    <x v="7"/>
    <n v="13.6884"/>
    <n v="-89.195700000000002"/>
    <n v="2"/>
    <n v="0"/>
    <n v="0"/>
    <n v="107"/>
    <s v="_x0000_peopl"/>
  </r>
  <r>
    <x v="7"/>
    <n v="13.6882"/>
    <n v="-89.195599999999999"/>
    <n v="3"/>
    <n v="0"/>
    <n v="0"/>
    <n v="107"/>
    <s v="_x0000_peopl"/>
  </r>
  <r>
    <x v="7"/>
    <n v="13.688599999999999"/>
    <n v="-89.196100000000001"/>
    <n v="4"/>
    <n v="0"/>
    <n v="0"/>
    <n v="107"/>
    <s v="_x0000_peopl"/>
  </r>
  <r>
    <x v="7"/>
    <n v="13.688499999999999"/>
    <n v="-89.196100000000001"/>
    <n v="4"/>
    <n v="0"/>
    <n v="0"/>
    <n v="107"/>
    <s v="_x0000_peopl"/>
  </r>
  <r>
    <x v="7"/>
    <n v="13.688499999999999"/>
    <n v="-89.195999999999998"/>
    <n v="7"/>
    <n v="0"/>
    <n v="0"/>
    <n v="107"/>
    <s v="_x0000_peopl"/>
  </r>
  <r>
    <x v="7"/>
    <n v="13.688599999999999"/>
    <n v="-89.195999999999998"/>
    <n v="5"/>
    <n v="0"/>
    <n v="0"/>
    <n v="107"/>
    <s v="_x0000_peopl"/>
  </r>
  <r>
    <x v="7"/>
    <n v="13.688599999999999"/>
    <n v="-89.195800000000006"/>
    <n v="3"/>
    <n v="0"/>
    <n v="0"/>
    <n v="107"/>
    <s v="_x0000_peopl"/>
  </r>
  <r>
    <x v="7"/>
    <n v="13.688499999999999"/>
    <n v="-89.195800000000006"/>
    <n v="4"/>
    <n v="0"/>
    <n v="0"/>
    <n v="107"/>
    <s v="_x0000_peopl"/>
  </r>
  <r>
    <x v="7"/>
    <n v="13.6884"/>
    <n v="-89.197900000000004"/>
    <n v="8"/>
    <n v="0"/>
    <n v="0"/>
    <n v="107"/>
    <s v="_x0000_peopl"/>
  </r>
  <r>
    <x v="7"/>
    <n v="13.6889"/>
    <n v="-89.195999999999998"/>
    <n v="4"/>
    <n v="0"/>
    <n v="0"/>
    <n v="107"/>
    <s v="_x0000_peopl"/>
  </r>
  <r>
    <x v="7"/>
    <n v="13.6892"/>
    <n v="-89.195599999999999"/>
    <n v="5"/>
    <n v="0"/>
    <n v="0"/>
    <n v="107"/>
    <s v="_x0000_peopl"/>
  </r>
  <r>
    <x v="7"/>
    <n v="13.6892"/>
    <n v="-89.195499999999996"/>
    <n v="10"/>
    <n v="0"/>
    <n v="0"/>
    <n v="107"/>
    <s v="_x0000_peopl"/>
  </r>
  <r>
    <x v="7"/>
    <n v="13.6892"/>
    <n v="-89.195499999999996"/>
    <n v="3"/>
    <n v="0"/>
    <n v="0"/>
    <n v="107"/>
    <s v="_x0000_peopl"/>
  </r>
  <r>
    <x v="7"/>
    <n v="13.6892"/>
    <n v="-89.195499999999996"/>
    <n v="4"/>
    <n v="0"/>
    <n v="0"/>
    <n v="107"/>
    <s v="_x0000_peopl"/>
  </r>
  <r>
    <x v="7"/>
    <n v="13.6892"/>
    <n v="-89.195400000000006"/>
    <n v="8"/>
    <n v="0"/>
    <n v="0"/>
    <n v="107"/>
    <s v="_x0000_peopl"/>
  </r>
  <r>
    <x v="7"/>
    <n v="13.6892"/>
    <n v="-89.195400000000006"/>
    <n v="6"/>
    <n v="0"/>
    <n v="0"/>
    <n v="107"/>
    <s v="_x0000_peopl"/>
  </r>
  <r>
    <x v="7"/>
    <n v="13.6892"/>
    <n v="-89.195400000000006"/>
    <n v="4"/>
    <n v="0"/>
    <n v="0"/>
    <n v="107"/>
    <s v="_x0000_peopl"/>
  </r>
  <r>
    <x v="7"/>
    <n v="13.6891"/>
    <n v="-89.195300000000003"/>
    <n v="4"/>
    <n v="0"/>
    <n v="0"/>
    <n v="107"/>
    <s v="_x0000_peopl"/>
  </r>
  <r>
    <x v="7"/>
    <n v="13.6892"/>
    <n v="-89.1952"/>
    <n v="8"/>
    <n v="0"/>
    <n v="0"/>
    <n v="107"/>
    <s v="_x0000_peopl"/>
  </r>
  <r>
    <x v="7"/>
    <n v="13.6892"/>
    <n v="-89.1952"/>
    <n v="8"/>
    <n v="0"/>
    <n v="0"/>
    <n v="107"/>
    <s v="_x0000_peopl"/>
  </r>
  <r>
    <x v="7"/>
    <n v="13.6891"/>
    <n v="-89.1952"/>
    <n v="2"/>
    <n v="0"/>
    <n v="0"/>
    <n v="107"/>
    <s v="_x0000_peopl"/>
  </r>
  <r>
    <x v="7"/>
    <n v="13.6891"/>
    <n v="-89.1952"/>
    <n v="8"/>
    <n v="0"/>
    <n v="0"/>
    <n v="107"/>
    <s v="_x0000_peopl"/>
  </r>
  <r>
    <x v="7"/>
    <n v="13.6891"/>
    <n v="-89.1952"/>
    <n v="1"/>
    <n v="0"/>
    <n v="0"/>
    <n v="107"/>
    <s v="_x0000_peopl"/>
  </r>
  <r>
    <x v="7"/>
    <n v="13.6891"/>
    <n v="-89.195300000000003"/>
    <n v="9"/>
    <n v="0"/>
    <n v="0"/>
    <n v="107"/>
    <s v="_x0000_peopl"/>
  </r>
  <r>
    <x v="7"/>
    <n v="13.6891"/>
    <n v="-89.195400000000006"/>
    <n v="7"/>
    <n v="0"/>
    <n v="0"/>
    <n v="107"/>
    <s v="_x0000_peopl"/>
  </r>
  <r>
    <x v="7"/>
    <n v="13.689"/>
    <n v="-89.195400000000006"/>
    <n v="4"/>
    <n v="0"/>
    <n v="0"/>
    <n v="107"/>
    <s v="_x0000_peopl"/>
  </r>
  <r>
    <x v="7"/>
    <n v="13.689"/>
    <n v="-89.195300000000003"/>
    <n v="4"/>
    <n v="0"/>
    <n v="0"/>
    <n v="107"/>
    <s v="_x0000_peopl"/>
  </r>
  <r>
    <x v="7"/>
    <n v="13.689"/>
    <n v="-89.195400000000006"/>
    <n v="2"/>
    <n v="0"/>
    <n v="0"/>
    <n v="107"/>
    <s v="_x0000_peopl"/>
  </r>
  <r>
    <x v="7"/>
    <n v="13.6891"/>
    <n v="-89.195400000000006"/>
    <n v="4"/>
    <n v="0"/>
    <n v="0"/>
    <n v="107"/>
    <s v="_x0000_peopl"/>
  </r>
  <r>
    <x v="7"/>
    <n v="13.6891"/>
    <n v="-89.195499999999996"/>
    <n v="4"/>
    <n v="0"/>
    <n v="0"/>
    <n v="107"/>
    <s v="_x0000_peopl"/>
  </r>
  <r>
    <x v="7"/>
    <n v="13.6891"/>
    <n v="-89.195499999999996"/>
    <n v="4"/>
    <n v="0"/>
    <n v="0"/>
    <n v="107"/>
    <s v="_x0000_peopl"/>
  </r>
  <r>
    <x v="7"/>
    <n v="13.6891"/>
    <n v="-89.195499999999996"/>
    <n v="4"/>
    <n v="0"/>
    <n v="0"/>
    <n v="107"/>
    <s v="_x0000_peopl"/>
  </r>
  <r>
    <x v="7"/>
    <n v="13.6891"/>
    <n v="-89.195499999999996"/>
    <n v="6"/>
    <n v="0"/>
    <n v="0"/>
    <n v="107"/>
    <s v="_x0000_peopl"/>
  </r>
  <r>
    <x v="7"/>
    <n v="13.6891"/>
    <n v="-89.195599999999999"/>
    <n v="3"/>
    <n v="0"/>
    <n v="0"/>
    <n v="107"/>
    <s v="_x0000_peopl"/>
  </r>
  <r>
    <x v="7"/>
    <n v="13.6891"/>
    <n v="-89.195599999999999"/>
    <n v="4"/>
    <n v="0"/>
    <n v="0"/>
    <n v="107"/>
    <s v="_x0000_peopl"/>
  </r>
  <r>
    <x v="7"/>
    <n v="13.6891"/>
    <n v="-89.195599999999999"/>
    <n v="5"/>
    <n v="0"/>
    <n v="0"/>
    <n v="107"/>
    <s v="_x0000_peopl"/>
  </r>
  <r>
    <x v="7"/>
    <n v="13.689"/>
    <n v="-89.195599999999999"/>
    <n v="5"/>
    <n v="0"/>
    <n v="0"/>
    <n v="107"/>
    <s v="_x0000_peopl"/>
  </r>
  <r>
    <x v="7"/>
    <n v="13.689"/>
    <n v="-89.195599999999999"/>
    <n v="2"/>
    <n v="0"/>
    <n v="0"/>
    <n v="107"/>
    <s v="_x0000_peopl"/>
  </r>
  <r>
    <x v="7"/>
    <n v="13.689"/>
    <n v="-89.195599999999999"/>
    <n v="2"/>
    <n v="0"/>
    <n v="0"/>
    <n v="107"/>
    <s v="_x0000_peopl"/>
  </r>
  <r>
    <x v="7"/>
    <n v="13.689"/>
    <n v="-89.195499999999996"/>
    <n v="3"/>
    <n v="0"/>
    <n v="0"/>
    <n v="107"/>
    <s v="_x0000_peopl"/>
  </r>
  <r>
    <x v="7"/>
    <n v="13.689"/>
    <n v="-89.195499999999996"/>
    <n v="6"/>
    <n v="0"/>
    <n v="0"/>
    <n v="107"/>
    <s v="_x0000_peopl"/>
  </r>
  <r>
    <x v="7"/>
    <n v="13.6891"/>
    <n v="-89.195700000000002"/>
    <n v="4"/>
    <n v="0"/>
    <n v="0"/>
    <n v="107"/>
    <s v="_x0000_peopl"/>
  </r>
  <r>
    <x v="7"/>
    <n v="13.6891"/>
    <n v="-89.195700000000002"/>
    <n v="7"/>
    <n v="0"/>
    <n v="0"/>
    <n v="107"/>
    <s v="_x0000_peopl"/>
  </r>
  <r>
    <x v="7"/>
    <n v="13.6891"/>
    <n v="-89.195700000000002"/>
    <n v="4"/>
    <n v="0"/>
    <n v="0"/>
    <n v="107"/>
    <s v="_x0000_peopl"/>
  </r>
  <r>
    <x v="7"/>
    <n v="13.6891"/>
    <n v="-89.195700000000002"/>
    <n v="7"/>
    <n v="0"/>
    <n v="0"/>
    <n v="107"/>
    <s v="_x0000_peopl"/>
  </r>
  <r>
    <x v="7"/>
    <n v="13.6891"/>
    <n v="-89.195800000000006"/>
    <n v="5"/>
    <n v="0"/>
    <n v="0"/>
    <n v="107"/>
    <s v="_x0000_peopl"/>
  </r>
  <r>
    <x v="7"/>
    <n v="13.6891"/>
    <n v="-89.195800000000006"/>
    <n v="4"/>
    <n v="0"/>
    <n v="0"/>
    <n v="107"/>
    <s v="_x0000_peopl"/>
  </r>
  <r>
    <x v="7"/>
    <n v="13.6891"/>
    <n v="-89.195800000000006"/>
    <n v="7"/>
    <n v="0"/>
    <n v="0"/>
    <n v="107"/>
    <s v="_x0000_peopl"/>
  </r>
  <r>
    <x v="7"/>
    <n v="13.6891"/>
    <n v="-89.195800000000006"/>
    <n v="2"/>
    <n v="0"/>
    <n v="0"/>
    <n v="107"/>
    <s v="_x0000_peopl"/>
  </r>
  <r>
    <x v="7"/>
    <n v="13.689"/>
    <n v="-89.195899999999995"/>
    <n v="4"/>
    <n v="0"/>
    <n v="0"/>
    <n v="107"/>
    <s v="_x0000_peopl"/>
  </r>
  <r>
    <x v="7"/>
    <n v="13.689"/>
    <n v="-89.195800000000006"/>
    <n v="4"/>
    <n v="0"/>
    <n v="0"/>
    <n v="107"/>
    <s v="_x0000_peopl"/>
  </r>
  <r>
    <x v="7"/>
    <n v="13.689"/>
    <n v="-89.195800000000006"/>
    <n v="9"/>
    <n v="0"/>
    <n v="0"/>
    <n v="107"/>
    <s v="_x0000_peopl"/>
  </r>
  <r>
    <x v="7"/>
    <n v="13.689"/>
    <n v="-89.195800000000006"/>
    <n v="8"/>
    <n v="0"/>
    <n v="0"/>
    <n v="107"/>
    <s v="_x0000_peopl"/>
  </r>
  <r>
    <x v="7"/>
    <n v="13.689"/>
    <n v="-89.195800000000006"/>
    <n v="2"/>
    <n v="0"/>
    <n v="0"/>
    <n v="107"/>
    <s v="_x0000_peopl"/>
  </r>
  <r>
    <x v="7"/>
    <n v="13.689"/>
    <n v="-89.195700000000002"/>
    <n v="3"/>
    <n v="0"/>
    <n v="0"/>
    <n v="107"/>
    <s v="_x0000_peopl"/>
  </r>
  <r>
    <x v="7"/>
    <n v="13.689"/>
    <n v="-89.195700000000002"/>
    <n v="6"/>
    <n v="0"/>
    <n v="0"/>
    <n v="107"/>
    <s v="_x0000_peopl"/>
  </r>
  <r>
    <x v="7"/>
    <n v="13.689"/>
    <n v="-89.195700000000002"/>
    <n v="3"/>
    <n v="0"/>
    <n v="0"/>
    <n v="107"/>
    <s v="_x0000_peopl"/>
  </r>
  <r>
    <x v="7"/>
    <n v="13.689"/>
    <n v="-89.195599999999999"/>
    <n v="2"/>
    <n v="0"/>
    <n v="0"/>
    <n v="107"/>
    <s v="_x0000_peopl"/>
  </r>
  <r>
    <x v="7"/>
    <n v="13.689"/>
    <n v="-89.196100000000001"/>
    <n v="4"/>
    <n v="0"/>
    <n v="0"/>
    <n v="107"/>
    <s v="_x0000_peopl"/>
  </r>
  <r>
    <x v="7"/>
    <n v="13.689"/>
    <n v="-89.196100000000001"/>
    <n v="5"/>
    <n v="0"/>
    <n v="0"/>
    <n v="107"/>
    <s v="_x0000_peopl"/>
  </r>
  <r>
    <x v="7"/>
    <n v="13.689"/>
    <n v="-89.195999999999998"/>
    <n v="7"/>
    <n v="0"/>
    <n v="0"/>
    <n v="107"/>
    <s v="_x0000_peopl"/>
  </r>
  <r>
    <x v="7"/>
    <n v="13.6891"/>
    <n v="-89.195999999999998"/>
    <n v="6"/>
    <n v="0"/>
    <n v="0"/>
    <n v="107"/>
    <s v="_x0000_peopl"/>
  </r>
  <r>
    <x v="7"/>
    <n v="13.6891"/>
    <n v="-89.195999999999998"/>
    <n v="9"/>
    <n v="0"/>
    <n v="0"/>
    <n v="107"/>
    <s v="_x0000_peopl"/>
  </r>
  <r>
    <x v="7"/>
    <n v="13.6891"/>
    <n v="-89.195999999999998"/>
    <n v="6"/>
    <n v="0"/>
    <n v="0"/>
    <n v="107"/>
    <s v="_x0000_peopl"/>
  </r>
  <r>
    <x v="7"/>
    <n v="13.6891"/>
    <n v="-89.195899999999995"/>
    <n v="3"/>
    <n v="0"/>
    <n v="0"/>
    <n v="107"/>
    <s v="_x0000_peopl"/>
  </r>
  <r>
    <x v="7"/>
    <n v="13.6891"/>
    <n v="-89.195899999999995"/>
    <n v="7"/>
    <n v="0"/>
    <n v="0"/>
    <n v="107"/>
    <s v="_x0000_peopl"/>
  </r>
  <r>
    <x v="7"/>
    <n v="13.689"/>
    <n v="-89.195899999999995"/>
    <n v="7"/>
    <n v="0"/>
    <n v="0"/>
    <n v="107"/>
    <s v="_x0000_peopl"/>
  </r>
  <r>
    <x v="7"/>
    <n v="13.689"/>
    <n v="-89.195899999999995"/>
    <n v="4"/>
    <n v="0"/>
    <n v="0"/>
    <n v="107"/>
    <s v="_x0000_peopl"/>
  </r>
  <r>
    <x v="7"/>
    <n v="13.689"/>
    <n v="-89.195999999999998"/>
    <n v="7"/>
    <n v="0"/>
    <n v="0"/>
    <n v="107"/>
    <s v="_x0000_peopl"/>
  </r>
  <r>
    <x v="7"/>
    <n v="13.689"/>
    <n v="-89.195999999999998"/>
    <n v="8"/>
    <n v="0"/>
    <n v="0"/>
    <n v="107"/>
    <s v="_x0000_peopl"/>
  </r>
  <r>
    <x v="7"/>
    <n v="13.6892"/>
    <n v="-89.195899999999995"/>
    <n v="7"/>
    <n v="0"/>
    <n v="0"/>
    <n v="107"/>
    <s v="_x0000_peopl"/>
  </r>
  <r>
    <x v="7"/>
    <n v="13.6892"/>
    <n v="-89.195899999999995"/>
    <n v="5"/>
    <n v="0"/>
    <n v="0"/>
    <n v="107"/>
    <s v="_x0000_peopl"/>
  </r>
  <r>
    <x v="7"/>
    <n v="13.6892"/>
    <n v="-89.195800000000006"/>
    <n v="6"/>
    <n v="0"/>
    <n v="0"/>
    <n v="107"/>
    <s v="_x0000_peopl"/>
  </r>
  <r>
    <x v="7"/>
    <n v="13.6892"/>
    <n v="-89.195800000000006"/>
    <n v="5"/>
    <n v="0"/>
    <n v="0"/>
    <n v="107"/>
    <s v="_x0000_peopl"/>
  </r>
  <r>
    <x v="7"/>
    <n v="13.6892"/>
    <n v="-89.195800000000006"/>
    <n v="3"/>
    <n v="0"/>
    <n v="0"/>
    <n v="107"/>
    <s v="_x0000_peopl"/>
  </r>
  <r>
    <x v="7"/>
    <n v="13.6892"/>
    <n v="-89.195700000000002"/>
    <n v="11"/>
    <n v="0"/>
    <n v="0"/>
    <n v="107"/>
    <s v="_x0000_peopl"/>
  </r>
  <r>
    <x v="7"/>
    <n v="13.6892"/>
    <n v="-89.195700000000002"/>
    <n v="4"/>
    <n v="0"/>
    <n v="0"/>
    <n v="107"/>
    <s v="_x0000_peopl"/>
  </r>
  <r>
    <x v="7"/>
    <n v="13.6892"/>
    <n v="-89.195700000000002"/>
    <n v="7"/>
    <n v="0"/>
    <n v="0"/>
    <n v="107"/>
    <s v="_x0000_peopl"/>
  </r>
  <r>
    <x v="7"/>
    <n v="13.6892"/>
    <n v="-89.195599999999999"/>
    <n v="9"/>
    <n v="0"/>
    <n v="0"/>
    <n v="107"/>
    <s v="_x0000_peopl"/>
  </r>
  <r>
    <x v="7"/>
    <n v="13.6889"/>
    <n v="-89.195400000000006"/>
    <n v="3"/>
    <n v="0"/>
    <n v="0"/>
    <n v="107"/>
    <s v="_x0000_peopl"/>
  </r>
  <r>
    <x v="7"/>
    <n v="13.6889"/>
    <n v="-89.195400000000006"/>
    <n v="4"/>
    <n v="0"/>
    <n v="0"/>
    <n v="107"/>
    <s v="_x0000_peopl"/>
  </r>
  <r>
    <x v="7"/>
    <n v="13.6889"/>
    <n v="-89.195400000000006"/>
    <n v="4"/>
    <n v="0"/>
    <n v="0"/>
    <n v="107"/>
    <s v="_x0000_peopl"/>
  </r>
  <r>
    <x v="7"/>
    <n v="13.6889"/>
    <n v="-89.195400000000006"/>
    <n v="4"/>
    <n v="0"/>
    <n v="0"/>
    <n v="107"/>
    <s v="_x0000_peopl"/>
  </r>
  <r>
    <x v="7"/>
    <n v="13.688800000000001"/>
    <n v="-89.195400000000006"/>
    <n v="6"/>
    <n v="0"/>
    <n v="0"/>
    <n v="107"/>
    <s v="_x0000_peopl"/>
  </r>
  <r>
    <x v="7"/>
    <n v="13.688800000000001"/>
    <n v="-89.195400000000006"/>
    <n v="9"/>
    <n v="0"/>
    <n v="0"/>
    <n v="107"/>
    <s v="_x0000_peopl"/>
  </r>
  <r>
    <x v="7"/>
    <n v="13.6889"/>
    <n v="-89.195499999999996"/>
    <n v="6"/>
    <n v="0"/>
    <n v="0"/>
    <n v="107"/>
    <s v="_x0000_peopl"/>
  </r>
  <r>
    <x v="7"/>
    <n v="13.6889"/>
    <n v="-89.195499999999996"/>
    <n v="6"/>
    <n v="0"/>
    <n v="0"/>
    <n v="107"/>
    <s v="_x0000_peopl"/>
  </r>
  <r>
    <x v="7"/>
    <n v="13.6889"/>
    <n v="-89.195499999999996"/>
    <n v="7"/>
    <n v="0"/>
    <n v="0"/>
    <n v="107"/>
    <s v="_x0000_peopl"/>
  </r>
  <r>
    <x v="7"/>
    <n v="13.6889"/>
    <n v="-89.195599999999999"/>
    <n v="3"/>
    <n v="0"/>
    <n v="0"/>
    <n v="107"/>
    <s v="_x0000_peopl"/>
  </r>
  <r>
    <x v="7"/>
    <n v="13.6889"/>
    <n v="-89.195599999999999"/>
    <n v="8"/>
    <n v="0"/>
    <n v="0"/>
    <n v="107"/>
    <s v="_x0000_peopl"/>
  </r>
  <r>
    <x v="7"/>
    <n v="13.6889"/>
    <n v="-89.195599999999999"/>
    <n v="3"/>
    <n v="0"/>
    <n v="0"/>
    <n v="107"/>
    <s v="_x0000_peopl"/>
  </r>
  <r>
    <x v="7"/>
    <n v="13.6889"/>
    <n v="-89.195700000000002"/>
    <n v="2"/>
    <n v="0"/>
    <n v="0"/>
    <n v="107"/>
    <s v="_x0000_peopl"/>
  </r>
  <r>
    <x v="7"/>
    <n v="13.6889"/>
    <n v="-89.195700000000002"/>
    <n v="3"/>
    <n v="0"/>
    <n v="0"/>
    <n v="107"/>
    <s v="_x0000_peopl"/>
  </r>
  <r>
    <x v="7"/>
    <n v="13.6889"/>
    <n v="-89.195700000000002"/>
    <n v="4"/>
    <n v="0"/>
    <n v="0"/>
    <n v="107"/>
    <s v="_x0000_peopl"/>
  </r>
  <r>
    <x v="7"/>
    <n v="13.6889"/>
    <n v="-89.195800000000006"/>
    <n v="10"/>
    <n v="0"/>
    <n v="0"/>
    <n v="107"/>
    <s v="_x0000_peopl"/>
  </r>
  <r>
    <x v="7"/>
    <n v="13.6889"/>
    <n v="-89.195800000000006"/>
    <n v="1"/>
    <n v="0"/>
    <n v="0"/>
    <n v="107"/>
    <s v="_x0000_peopl"/>
  </r>
  <r>
    <x v="7"/>
    <n v="13.6889"/>
    <n v="-89.195800000000006"/>
    <n v="2"/>
    <n v="0"/>
    <n v="0"/>
    <n v="107"/>
    <s v="_x0000_peopl"/>
  </r>
  <r>
    <x v="7"/>
    <n v="13.6889"/>
    <n v="-89.195899999999995"/>
    <n v="3"/>
    <n v="0"/>
    <n v="0"/>
    <n v="107"/>
    <s v="_x0000_peopl"/>
  </r>
  <r>
    <x v="7"/>
    <n v="13.6889"/>
    <n v="-89.195999999999998"/>
    <n v="6"/>
    <n v="0"/>
    <n v="0"/>
    <n v="107"/>
    <s v="_x0000_peopl"/>
  </r>
  <r>
    <x v="7"/>
    <n v="13.6889"/>
    <n v="-89.195999999999998"/>
    <n v="5"/>
    <n v="0"/>
    <n v="0"/>
    <n v="107"/>
    <s v="_x0000_peopl"/>
  </r>
  <r>
    <x v="7"/>
    <n v="13.693099999999999"/>
    <n v="-89.185100000000006"/>
    <n v="6"/>
    <n v="0"/>
    <n v="0"/>
    <n v="107"/>
    <s v="_x0000_peopl"/>
  </r>
  <r>
    <x v="7"/>
    <n v="13.693099999999999"/>
    <n v="-89.185000000000002"/>
    <n v="7"/>
    <n v="0"/>
    <n v="0"/>
    <n v="107"/>
    <s v="_x0000_peopl"/>
  </r>
  <r>
    <x v="7"/>
    <n v="13.693099999999999"/>
    <n v="-89.185199999999995"/>
    <n v="4"/>
    <n v="0"/>
    <n v="0"/>
    <n v="107"/>
    <s v="_x0000_peopl"/>
  </r>
  <r>
    <x v="7"/>
    <n v="13.693099999999999"/>
    <n v="-89.185100000000006"/>
    <n v="5"/>
    <n v="0"/>
    <n v="0"/>
    <n v="107"/>
    <s v="_x0000_peopl"/>
  </r>
  <r>
    <x v="7"/>
    <n v="13.693"/>
    <n v="-89.184899999999999"/>
    <n v="4"/>
    <n v="0"/>
    <n v="0"/>
    <n v="107"/>
    <s v="_x0000_peopl"/>
  </r>
  <r>
    <x v="7"/>
    <n v="13.6928"/>
    <n v="-89.186099999999996"/>
    <n v="9"/>
    <n v="0"/>
    <n v="0"/>
    <n v="107"/>
    <s v="_x0000_peopl"/>
  </r>
  <r>
    <x v="7"/>
    <n v="13.6929"/>
    <n v="-89.186000000000007"/>
    <n v="7"/>
    <n v="0"/>
    <n v="0"/>
    <n v="107"/>
    <s v="_x0000_peopl"/>
  </r>
  <r>
    <x v="7"/>
    <n v="13.6928"/>
    <n v="-89.186000000000007"/>
    <n v="4"/>
    <n v="0"/>
    <n v="0"/>
    <n v="107"/>
    <s v="_x0000_peopl"/>
  </r>
  <r>
    <x v="7"/>
    <n v="13.6929"/>
    <n v="-89.185900000000004"/>
    <n v="5"/>
    <n v="0"/>
    <n v="0"/>
    <n v="107"/>
    <s v="_x0000_peopl"/>
  </r>
  <r>
    <x v="7"/>
    <n v="13.6928"/>
    <n v="-89.185900000000004"/>
    <n v="6"/>
    <n v="0"/>
    <n v="0"/>
    <n v="107"/>
    <s v="_x0000_peopl"/>
  </r>
  <r>
    <x v="7"/>
    <n v="13.6928"/>
    <n v="-89.1858"/>
    <n v="6"/>
    <n v="0"/>
    <n v="0"/>
    <n v="107"/>
    <s v="_x0000_peopl"/>
  </r>
  <r>
    <x v="7"/>
    <n v="13.6929"/>
    <n v="-89.185699999999997"/>
    <n v="4"/>
    <n v="0"/>
    <n v="0"/>
    <n v="107"/>
    <s v="_x0000_peopl"/>
  </r>
  <r>
    <x v="7"/>
    <n v="13.6929"/>
    <n v="-89.185599999999994"/>
    <n v="4"/>
    <n v="0"/>
    <n v="0"/>
    <n v="107"/>
    <s v="_x0000_peopl"/>
  </r>
  <r>
    <x v="7"/>
    <n v="13.6927"/>
    <n v="-89.185599999999994"/>
    <n v="9"/>
    <n v="0"/>
    <n v="0"/>
    <n v="107"/>
    <s v="_x0000_peopl"/>
  </r>
  <r>
    <x v="7"/>
    <n v="13.6927"/>
    <n v="-89.185400000000001"/>
    <n v="9"/>
    <n v="0"/>
    <n v="0"/>
    <n v="107"/>
    <s v="_x0000_peopl"/>
  </r>
  <r>
    <x v="7"/>
    <n v="13.6927"/>
    <n v="-89.185299999999998"/>
    <n v="6"/>
    <n v="0"/>
    <n v="0"/>
    <n v="107"/>
    <s v="_x0000_peopl"/>
  </r>
  <r>
    <x v="7"/>
    <n v="13.6927"/>
    <n v="-89.185299999999998"/>
    <n v="8"/>
    <n v="0"/>
    <n v="0"/>
    <n v="107"/>
    <s v="_x0000_peopl"/>
  </r>
  <r>
    <x v="7"/>
    <n v="13.692600000000001"/>
    <n v="-89.185400000000001"/>
    <n v="10"/>
    <n v="0"/>
    <n v="0"/>
    <n v="107"/>
    <s v="_x0000_peopl"/>
  </r>
  <r>
    <x v="7"/>
    <n v="13.6927"/>
    <n v="-89.185599999999994"/>
    <n v="5"/>
    <n v="0"/>
    <n v="0"/>
    <n v="107"/>
    <s v="_x0000_peopl"/>
  </r>
  <r>
    <x v="7"/>
    <n v="13.692600000000001"/>
    <n v="-89.185599999999994"/>
    <n v="5"/>
    <n v="0"/>
    <n v="0"/>
    <n v="107"/>
    <s v="_x0000_peopl"/>
  </r>
  <r>
    <x v="7"/>
    <n v="13.6928"/>
    <n v="-89.185100000000006"/>
    <n v="5"/>
    <n v="0"/>
    <n v="0"/>
    <n v="107"/>
    <s v="_x0000_peopl"/>
  </r>
  <r>
    <x v="7"/>
    <n v="13.6928"/>
    <n v="-89.185000000000002"/>
    <n v="6"/>
    <n v="0"/>
    <n v="0"/>
    <n v="107"/>
    <s v="_x0000_peopl"/>
  </r>
  <r>
    <x v="7"/>
    <n v="13.6928"/>
    <n v="-89.184899999999999"/>
    <n v="8"/>
    <n v="0"/>
    <n v="0"/>
    <n v="107"/>
    <s v="_x0000_peopl"/>
  </r>
  <r>
    <x v="7"/>
    <n v="13.6927"/>
    <n v="-89.185000000000002"/>
    <n v="8"/>
    <n v="0"/>
    <n v="0"/>
    <n v="107"/>
    <s v="_x0000_peopl"/>
  </r>
  <r>
    <x v="7"/>
    <n v="13.692600000000001"/>
    <n v="-89.185000000000002"/>
    <n v="2"/>
    <n v="0"/>
    <n v="0"/>
    <n v="107"/>
    <s v="_x0000_peopl"/>
  </r>
  <r>
    <x v="7"/>
    <n v="13.692600000000001"/>
    <n v="-89.185000000000002"/>
    <n v="1"/>
    <n v="0"/>
    <n v="0"/>
    <n v="107"/>
    <s v="_x0000_peopl"/>
  </r>
  <r>
    <x v="7"/>
    <n v="13.693300000000001"/>
    <n v="-89.1845"/>
    <n v="6"/>
    <n v="0"/>
    <n v="0"/>
    <n v="107"/>
    <s v="_x0000_peopl"/>
  </r>
  <r>
    <x v="7"/>
    <n v="13.693300000000001"/>
    <n v="-89.1845"/>
    <n v="5"/>
    <n v="0"/>
    <n v="0"/>
    <n v="107"/>
    <s v="_x0000_peopl"/>
  </r>
  <r>
    <x v="7"/>
    <n v="13.693300000000001"/>
    <n v="-89.184399999999997"/>
    <n v="4"/>
    <n v="0"/>
    <n v="0"/>
    <n v="107"/>
    <s v="_x0000_peopl"/>
  </r>
  <r>
    <x v="7"/>
    <n v="13.693300000000001"/>
    <n v="-89.184399999999997"/>
    <n v="8"/>
    <n v="0"/>
    <n v="0"/>
    <n v="107"/>
    <s v="_x0000_peopl"/>
  </r>
  <r>
    <x v="7"/>
    <n v="13.693300000000001"/>
    <n v="-89.184399999999997"/>
    <n v="6"/>
    <n v="0"/>
    <n v="0"/>
    <n v="107"/>
    <s v="_x0000_peopl"/>
  </r>
  <r>
    <x v="7"/>
    <n v="13.693300000000001"/>
    <n v="-89.184399999999997"/>
    <n v="9"/>
    <n v="0"/>
    <n v="0"/>
    <n v="107"/>
    <s v="_x0000_peopl"/>
  </r>
  <r>
    <x v="7"/>
    <n v="13.693300000000001"/>
    <n v="-89.184299999999993"/>
    <n v="5"/>
    <n v="0"/>
    <n v="0"/>
    <n v="107"/>
    <s v="_x0000_peopl"/>
  </r>
  <r>
    <x v="7"/>
    <n v="13.693199999999999"/>
    <n v="-89.184299999999993"/>
    <n v="7"/>
    <n v="0"/>
    <n v="0"/>
    <n v="107"/>
    <s v="_x0000_peopl"/>
  </r>
  <r>
    <x v="7"/>
    <n v="13.693199999999999"/>
    <n v="-89.1845"/>
    <n v="5"/>
    <n v="0"/>
    <n v="0"/>
    <n v="107"/>
    <s v="_x0000_peopl"/>
  </r>
  <r>
    <x v="7"/>
    <n v="13.693199999999999"/>
    <n v="-89.1845"/>
    <n v="5"/>
    <n v="0"/>
    <n v="0"/>
    <n v="107"/>
    <s v="_x0000_peopl"/>
  </r>
  <r>
    <x v="7"/>
    <n v="13.693199999999999"/>
    <n v="-89.184399999999997"/>
    <n v="6"/>
    <n v="0"/>
    <n v="0"/>
    <n v="107"/>
    <s v="_x0000_peopl"/>
  </r>
  <r>
    <x v="7"/>
    <n v="13.693199999999999"/>
    <n v="-89.1845"/>
    <n v="6"/>
    <n v="0"/>
    <n v="0"/>
    <n v="107"/>
    <s v="_x0000_peopl"/>
  </r>
  <r>
    <x v="7"/>
    <n v="13.693199999999999"/>
    <n v="-89.184399999999997"/>
    <n v="3"/>
    <n v="0"/>
    <n v="0"/>
    <n v="107"/>
    <s v="_x0000_peopl"/>
  </r>
  <r>
    <x v="7"/>
    <n v="13.693199999999999"/>
    <n v="-89.184399999999997"/>
    <n v="10"/>
    <n v="0"/>
    <n v="0"/>
    <n v="107"/>
    <s v="_x0000_peopl"/>
  </r>
  <r>
    <x v="7"/>
    <n v="13.6934"/>
    <n v="-89.184399999999997"/>
    <n v="7"/>
    <n v="0"/>
    <n v="0"/>
    <n v="107"/>
    <s v="_x0000_peopl"/>
  </r>
  <r>
    <x v="7"/>
    <n v="13.6934"/>
    <n v="-89.184399999999997"/>
    <n v="6"/>
    <n v="0"/>
    <n v="0"/>
    <n v="107"/>
    <s v="_x0000_peopl"/>
  </r>
  <r>
    <x v="7"/>
    <n v="13.6934"/>
    <n v="-89.184399999999997"/>
    <n v="8"/>
    <n v="0"/>
    <n v="0"/>
    <n v="107"/>
    <s v="_x0000_peopl"/>
  </r>
  <r>
    <x v="7"/>
    <n v="13.6934"/>
    <n v="-89.184299999999993"/>
    <n v="1"/>
    <n v="0"/>
    <n v="0"/>
    <n v="107"/>
    <s v="_x0000_peopl"/>
  </r>
  <r>
    <x v="7"/>
    <n v="13.6934"/>
    <n v="-89.184299999999993"/>
    <n v="3"/>
    <n v="0"/>
    <n v="0"/>
    <n v="107"/>
    <s v="_x0000_peopl"/>
  </r>
  <r>
    <x v="7"/>
    <n v="13.6934"/>
    <n v="-89.184299999999993"/>
    <n v="6"/>
    <n v="0"/>
    <n v="0"/>
    <n v="107"/>
    <s v="_x0000_peopl"/>
  </r>
  <r>
    <x v="7"/>
    <n v="13.6934"/>
    <n v="-89.184299999999993"/>
    <n v="4"/>
    <n v="0"/>
    <n v="0"/>
    <n v="107"/>
    <s v="_x0000_peopl"/>
  </r>
  <r>
    <x v="7"/>
    <n v="13.6934"/>
    <n v="-89.184200000000004"/>
    <n v="6"/>
    <n v="0"/>
    <n v="0"/>
    <n v="107"/>
    <s v="_x0000_peopl"/>
  </r>
  <r>
    <x v="7"/>
    <n v="13.6934"/>
    <n v="-89.184200000000004"/>
    <n v="2"/>
    <n v="0"/>
    <n v="0"/>
    <n v="107"/>
    <s v="_x0000_peopl"/>
  </r>
  <r>
    <x v="7"/>
    <n v="13.693300000000001"/>
    <n v="-89.184200000000004"/>
    <n v="6"/>
    <n v="0"/>
    <n v="0"/>
    <n v="107"/>
    <s v="_x0000_peopl"/>
  </r>
  <r>
    <x v="7"/>
    <n v="13.693300000000001"/>
    <n v="-89.184200000000004"/>
    <n v="5"/>
    <n v="0"/>
    <n v="0"/>
    <n v="107"/>
    <s v="_x0000_peopl"/>
  </r>
  <r>
    <x v="7"/>
    <n v="13.693300000000001"/>
    <n v="-89.184200000000004"/>
    <n v="4"/>
    <n v="0"/>
    <n v="0"/>
    <n v="107"/>
    <s v="_x0000_peopl"/>
  </r>
  <r>
    <x v="7"/>
    <n v="13.693300000000001"/>
    <n v="-89.184200000000004"/>
    <n v="4"/>
    <n v="0"/>
    <n v="0"/>
    <n v="107"/>
    <s v="_x0000_peopl"/>
  </r>
  <r>
    <x v="7"/>
    <n v="13.693300000000001"/>
    <n v="-89.184299999999993"/>
    <n v="4"/>
    <n v="0"/>
    <n v="0"/>
    <n v="107"/>
    <s v="_x0000_peopl"/>
  </r>
  <r>
    <x v="7"/>
    <n v="13.693199999999999"/>
    <n v="-89.184299999999993"/>
    <n v="3"/>
    <n v="0"/>
    <n v="0"/>
    <n v="107"/>
    <s v="_x0000_peopl"/>
  </r>
  <r>
    <x v="7"/>
    <n v="13.693199999999999"/>
    <n v="-89.184299999999993"/>
    <n v="4"/>
    <n v="0"/>
    <n v="0"/>
    <n v="107"/>
    <s v="_x0000_peopl"/>
  </r>
  <r>
    <x v="7"/>
    <n v="13.693199999999999"/>
    <n v="-89.184299999999993"/>
    <n v="3"/>
    <n v="0"/>
    <n v="0"/>
    <n v="107"/>
    <s v="_x0000_peopl"/>
  </r>
  <r>
    <x v="7"/>
    <n v="13.693199999999999"/>
    <n v="-89.184200000000004"/>
    <n v="5"/>
    <n v="0"/>
    <n v="0"/>
    <n v="107"/>
    <s v="_x0000_peopl"/>
  </r>
  <r>
    <x v="7"/>
    <n v="13.693199999999999"/>
    <n v="-89.184200000000004"/>
    <n v="3"/>
    <n v="0"/>
    <n v="0"/>
    <n v="107"/>
    <s v="_x0000_peopl"/>
  </r>
  <r>
    <x v="7"/>
    <n v="13.693199999999999"/>
    <n v="-89.184200000000004"/>
    <n v="1"/>
    <n v="0"/>
    <n v="0"/>
    <n v="107"/>
    <s v="_x0000_peopl"/>
  </r>
  <r>
    <x v="7"/>
    <n v="13.693199999999999"/>
    <n v="-89.184200000000004"/>
    <n v="6"/>
    <n v="0"/>
    <n v="0"/>
    <n v="107"/>
    <s v="_x0000_peopl"/>
  </r>
  <r>
    <x v="7"/>
    <n v="13.693300000000001"/>
    <n v="-89.184200000000004"/>
    <n v="3"/>
    <n v="0"/>
    <n v="0"/>
    <n v="107"/>
    <s v="_x0000_peopl"/>
  </r>
  <r>
    <x v="7"/>
    <n v="13.693300000000001"/>
    <n v="-89.184200000000004"/>
    <n v="5"/>
    <n v="0"/>
    <n v="0"/>
    <n v="107"/>
    <s v="_x0000_peopl"/>
  </r>
  <r>
    <x v="7"/>
    <n v="13.693300000000001"/>
    <n v="-89.184200000000004"/>
    <n v="6"/>
    <n v="0"/>
    <n v="0"/>
    <n v="107"/>
    <s v="_x0000_peopl"/>
  </r>
  <r>
    <x v="7"/>
    <n v="13.693300000000001"/>
    <n v="-89.184200000000004"/>
    <n v="3"/>
    <n v="0"/>
    <n v="0"/>
    <n v="107"/>
    <s v="_x0000_peopl"/>
  </r>
  <r>
    <x v="7"/>
    <n v="13.6934"/>
    <n v="-89.184200000000004"/>
    <n v="3"/>
    <n v="0"/>
    <n v="0"/>
    <n v="107"/>
    <s v="_x0000_peopl"/>
  </r>
  <r>
    <x v="7"/>
    <n v="13.6934"/>
    <n v="-89.184200000000004"/>
    <n v="7"/>
    <n v="0"/>
    <n v="0"/>
    <n v="107"/>
    <s v="_x0000_peopl"/>
  </r>
  <r>
    <x v="7"/>
    <n v="13.693199999999999"/>
    <n v="-89.183899999999994"/>
    <n v="3"/>
    <n v="0"/>
    <n v="0"/>
    <n v="107"/>
    <s v="_x0000_peopl"/>
  </r>
  <r>
    <x v="7"/>
    <n v="13.6934"/>
    <n v="-89.183899999999994"/>
    <n v="4"/>
    <n v="0"/>
    <n v="0"/>
    <n v="107"/>
    <s v="_x0000_peopl"/>
  </r>
  <r>
    <x v="7"/>
    <n v="13.693199999999999"/>
    <n v="-89.184899999999999"/>
    <n v="8"/>
    <n v="0"/>
    <n v="0"/>
    <n v="107"/>
    <s v="_x0000_peopl"/>
  </r>
  <r>
    <x v="7"/>
    <n v="13.693199999999999"/>
    <n v="-89.184899999999999"/>
    <n v="6"/>
    <n v="0"/>
    <n v="0"/>
    <n v="107"/>
    <s v="_x0000_peopl"/>
  </r>
  <r>
    <x v="7"/>
    <n v="13.693199999999999"/>
    <n v="-89.184799999999996"/>
    <n v="2"/>
    <n v="0"/>
    <n v="0"/>
    <n v="107"/>
    <s v="_x0000_peopl"/>
  </r>
  <r>
    <x v="7"/>
    <n v="13.693199999999999"/>
    <n v="-89.184799999999996"/>
    <n v="3"/>
    <n v="0"/>
    <n v="0"/>
    <n v="107"/>
    <s v="_x0000_peopl"/>
  </r>
  <r>
    <x v="7"/>
    <n v="13.693199999999999"/>
    <n v="-89.184700000000007"/>
    <n v="5"/>
    <n v="0"/>
    <n v="0"/>
    <n v="107"/>
    <s v="_x0000_peopl"/>
  </r>
  <r>
    <x v="7"/>
    <n v="13.693099999999999"/>
    <n v="-89.184600000000003"/>
    <n v="3"/>
    <n v="0"/>
    <n v="0"/>
    <n v="107"/>
    <s v="_x0000_peopl"/>
  </r>
  <r>
    <x v="7"/>
    <n v="13.693099999999999"/>
    <n v="-89.184299999999993"/>
    <n v="3"/>
    <n v="0"/>
    <n v="0"/>
    <n v="107"/>
    <s v="_x0000_peopl"/>
  </r>
  <r>
    <x v="7"/>
    <n v="13.693099999999999"/>
    <n v="-89.184200000000004"/>
    <n v="4"/>
    <n v="0"/>
    <n v="0"/>
    <n v="107"/>
    <s v="_x0000_peopl"/>
  </r>
  <r>
    <x v="7"/>
    <n v="13.693"/>
    <n v="-89.184200000000004"/>
    <n v="6"/>
    <n v="0"/>
    <n v="0"/>
    <n v="107"/>
    <s v="_x0000_peopl"/>
  </r>
  <r>
    <x v="7"/>
    <n v="13.693"/>
    <n v="-89.184100000000001"/>
    <n v="5"/>
    <n v="0"/>
    <n v="0"/>
    <n v="107"/>
    <s v="_x0000_peopl"/>
  </r>
  <r>
    <x v="7"/>
    <n v="13.693"/>
    <n v="-89.183999999999997"/>
    <n v="9"/>
    <n v="0"/>
    <n v="0"/>
    <n v="107"/>
    <s v="_x0000_peopl"/>
  </r>
  <r>
    <x v="7"/>
    <n v="13.693099999999999"/>
    <n v="-89.183999999999997"/>
    <n v="6"/>
    <n v="0"/>
    <n v="0"/>
    <n v="107"/>
    <s v="_x0000_peopl"/>
  </r>
  <r>
    <x v="7"/>
    <n v="13.6936"/>
    <n v="-89.184600000000003"/>
    <n v="5"/>
    <n v="0"/>
    <n v="0"/>
    <n v="107"/>
    <s v="_x0000_peopl"/>
  </r>
  <r>
    <x v="7"/>
    <n v="13.6936"/>
    <n v="-89.184700000000007"/>
    <n v="4"/>
    <n v="0"/>
    <n v="0"/>
    <n v="107"/>
    <s v="_x0000_peopl"/>
  </r>
  <r>
    <x v="7"/>
    <n v="13.6936"/>
    <n v="-89.1845"/>
    <n v="3"/>
    <n v="0"/>
    <n v="0"/>
    <n v="107"/>
    <s v="_x0000_peopl"/>
  </r>
  <r>
    <x v="7"/>
    <n v="13.6935"/>
    <n v="-89.184799999999996"/>
    <n v="3"/>
    <n v="0"/>
    <n v="0"/>
    <n v="107"/>
    <s v="_x0000_peopl"/>
  </r>
  <r>
    <x v="7"/>
    <n v="13.6936"/>
    <n v="-89.184399999999997"/>
    <n v="9"/>
    <n v="0"/>
    <n v="0"/>
    <n v="107"/>
    <s v="_x0000_peopl"/>
  </r>
  <r>
    <x v="7"/>
    <n v="13.6936"/>
    <n v="-89.184299999999993"/>
    <n v="6"/>
    <n v="0"/>
    <n v="0"/>
    <n v="107"/>
    <s v="_x0000_peopl"/>
  </r>
  <r>
    <x v="7"/>
    <n v="13.6935"/>
    <n v="-89.184200000000004"/>
    <n v="9"/>
    <n v="0"/>
    <n v="0"/>
    <n v="107"/>
    <s v="_x0000_peopl"/>
  </r>
  <r>
    <x v="7"/>
    <n v="13.6935"/>
    <n v="-89.184100000000001"/>
    <n v="3"/>
    <n v="0"/>
    <n v="0"/>
    <n v="107"/>
    <s v="_x0000_peopl"/>
  </r>
  <r>
    <x v="7"/>
    <n v="13.6884"/>
    <n v="-89.189499999999995"/>
    <n v="5"/>
    <n v="0"/>
    <n v="0"/>
    <n v="107"/>
    <s v="_x0000_peopl"/>
  </r>
  <r>
    <x v="7"/>
    <n v="13.6882"/>
    <n v="-89.189499999999995"/>
    <n v="9"/>
    <n v="0"/>
    <n v="0"/>
    <n v="107"/>
    <s v="_x0000_peopl"/>
  </r>
  <r>
    <x v="7"/>
    <n v="13.6882"/>
    <n v="-89.189400000000006"/>
    <n v="3"/>
    <n v="0"/>
    <n v="0"/>
    <n v="107"/>
    <s v="_x0000_peopl"/>
  </r>
  <r>
    <x v="7"/>
    <n v="13.6882"/>
    <n v="-89.189400000000006"/>
    <n v="6"/>
    <n v="0"/>
    <n v="0"/>
    <n v="107"/>
    <s v="_x0000_peopl"/>
  </r>
  <r>
    <x v="7"/>
    <n v="13.6883"/>
    <n v="-89.189300000000003"/>
    <n v="1"/>
    <n v="0"/>
    <n v="0"/>
    <n v="107"/>
    <s v="_x0000_peopl"/>
  </r>
  <r>
    <x v="7"/>
    <n v="13.6881"/>
    <n v="-89.1892"/>
    <n v="5"/>
    <n v="0"/>
    <n v="0"/>
    <n v="107"/>
    <s v="_x0000_peopl"/>
  </r>
  <r>
    <x v="7"/>
    <n v="13.688800000000001"/>
    <n v="-89.189099999999996"/>
    <n v="7"/>
    <n v="0"/>
    <n v="0"/>
    <n v="107"/>
    <s v="_x0000_peopl"/>
  </r>
  <r>
    <x v="7"/>
    <n v="13.6884"/>
    <n v="-89.182500000000005"/>
    <n v="4"/>
    <n v="0"/>
    <n v="0"/>
    <n v="107"/>
    <s v="_x0000_peopl"/>
  </r>
  <r>
    <x v="7"/>
    <n v="13.688499999999999"/>
    <n v="-89.182299999999998"/>
    <n v="3"/>
    <n v="0"/>
    <n v="0"/>
    <n v="107"/>
    <s v="_x0000_peopl"/>
  </r>
  <r>
    <x v="7"/>
    <n v="13.688599999999999"/>
    <n v="-89.182100000000005"/>
    <n v="5"/>
    <n v="0"/>
    <n v="0"/>
    <n v="107"/>
    <s v="_x0000_peopl"/>
  </r>
  <r>
    <x v="7"/>
    <n v="13.6896"/>
    <n v="-89.183300000000003"/>
    <n v="8"/>
    <n v="0"/>
    <n v="0"/>
    <n v="107"/>
    <s v="_x0000_peopl"/>
  </r>
  <r>
    <x v="7"/>
    <n v="13.693300000000001"/>
    <n v="-89.189499999999995"/>
    <n v="4"/>
    <n v="0"/>
    <n v="0"/>
    <n v="107"/>
    <s v="_x0000_peopl"/>
  </r>
  <r>
    <x v="7"/>
    <n v="13.692299999999999"/>
    <n v="-89.192300000000003"/>
    <n v="8"/>
    <n v="0"/>
    <n v="0"/>
    <n v="107"/>
    <s v="_x0000_peopl"/>
  </r>
  <r>
    <x v="7"/>
    <n v="13.693899999999999"/>
    <n v="-89.186599999999999"/>
    <n v="8"/>
    <n v="0"/>
    <n v="0"/>
    <n v="107"/>
    <s v="_x0000_peopl"/>
  </r>
  <r>
    <x v="7"/>
    <n v="13.693899999999999"/>
    <n v="-89.186700000000002"/>
    <n v="5"/>
    <n v="0"/>
    <n v="0"/>
    <n v="107"/>
    <s v="_x0000_peopl"/>
  </r>
  <r>
    <x v="7"/>
    <n v="13.6938"/>
    <n v="-89.186599999999999"/>
    <n v="7"/>
    <n v="0"/>
    <n v="0"/>
    <n v="107"/>
    <s v="_x0000_peopl"/>
  </r>
  <r>
    <x v="7"/>
    <n v="13.693899999999999"/>
    <n v="-89.187100000000001"/>
    <n v="3"/>
    <n v="0"/>
    <n v="0"/>
    <n v="107"/>
    <s v="_x0000_peopl"/>
  </r>
  <r>
    <x v="7"/>
    <n v="13.693899999999999"/>
    <n v="-89.186899999999994"/>
    <n v="3"/>
    <n v="0"/>
    <n v="0"/>
    <n v="107"/>
    <s v="_x0000_peopl"/>
  </r>
  <r>
    <x v="7"/>
    <n v="13.6935"/>
    <n v="-89.189499999999995"/>
    <n v="3"/>
    <n v="0"/>
    <n v="0"/>
    <n v="107"/>
    <s v="_x0000_peopl"/>
  </r>
  <r>
    <x v="7"/>
    <n v="13.694000000000001"/>
    <n v="-89.189800000000005"/>
    <n v="1"/>
    <n v="0"/>
    <n v="0"/>
    <n v="107"/>
    <s v="_x0000_peopl"/>
  </r>
  <r>
    <x v="7"/>
    <n v="13.693899999999999"/>
    <n v="-89.189499999999995"/>
    <n v="8"/>
    <n v="0"/>
    <n v="0"/>
    <n v="107"/>
    <s v="_x0000_peopl"/>
  </r>
  <r>
    <x v="7"/>
    <n v="13.693199999999999"/>
    <n v="-89.190399999999997"/>
    <n v="4"/>
    <n v="0"/>
    <n v="0"/>
    <n v="107"/>
    <s v="_x0000_peopl"/>
  </r>
  <r>
    <x v="7"/>
    <n v="13.693199999999999"/>
    <n v="-89.191100000000006"/>
    <n v="5"/>
    <n v="0"/>
    <n v="0"/>
    <n v="107"/>
    <s v="_x0000_peopl"/>
  </r>
  <r>
    <x v="7"/>
    <n v="13.693199999999999"/>
    <n v="-89.191299999999998"/>
    <n v="8"/>
    <n v="0"/>
    <n v="0"/>
    <n v="107"/>
    <s v="_x0000_peopl"/>
  </r>
  <r>
    <x v="7"/>
    <n v="13.693099999999999"/>
    <n v="-89.191100000000006"/>
    <n v="7"/>
    <n v="0"/>
    <n v="0"/>
    <n v="107"/>
    <s v="_x0000_peopl"/>
  </r>
  <r>
    <x v="7"/>
    <n v="13.6928"/>
    <n v="-89.191100000000006"/>
    <n v="4"/>
    <n v="0"/>
    <n v="0"/>
    <n v="107"/>
    <s v="_x0000_peopl"/>
  </r>
  <r>
    <x v="7"/>
    <n v="13.6919"/>
    <n v="-89.190899999999999"/>
    <n v="6"/>
    <n v="0"/>
    <n v="0"/>
    <n v="107"/>
    <s v="_x0000_peopl"/>
  </r>
  <r>
    <x v="7"/>
    <n v="13.6928"/>
    <n v="-89.188599999999994"/>
    <n v="4"/>
    <n v="0"/>
    <n v="0"/>
    <n v="107"/>
    <s v="_x0000_peopl"/>
  </r>
  <r>
    <x v="7"/>
    <n v="13.6929"/>
    <n v="-89.188500000000005"/>
    <n v="2"/>
    <n v="0"/>
    <n v="0"/>
    <n v="107"/>
    <s v="_x0000_peopl"/>
  </r>
  <r>
    <x v="7"/>
    <n v="13.6928"/>
    <n v="-89.188599999999994"/>
    <n v="3"/>
    <n v="0"/>
    <n v="0"/>
    <n v="107"/>
    <s v="_x0000_peopl"/>
  </r>
  <r>
    <x v="7"/>
    <n v="13.6929"/>
    <n v="-89.188599999999994"/>
    <n v="9"/>
    <n v="0"/>
    <n v="0"/>
    <n v="107"/>
    <s v="_x0000_peopl"/>
  </r>
  <r>
    <x v="7"/>
    <n v="13.692600000000001"/>
    <n v="-89.189300000000003"/>
    <n v="5"/>
    <n v="0"/>
    <n v="0"/>
    <n v="107"/>
    <s v="_x0000_peopl"/>
  </r>
  <r>
    <x v="7"/>
    <n v="13.692500000000001"/>
    <n v="-89.189300000000003"/>
    <n v="7"/>
    <n v="0"/>
    <n v="0"/>
    <n v="107"/>
    <s v="_x0000_peopl"/>
  </r>
  <r>
    <x v="7"/>
    <n v="13.693"/>
    <n v="-89.188599999999994"/>
    <n v="3"/>
    <n v="0"/>
    <n v="0"/>
    <n v="107"/>
    <s v="_x0000_peopl"/>
  </r>
  <r>
    <x v="7"/>
    <n v="13.6929"/>
    <n v="-89.188400000000001"/>
    <n v="3"/>
    <n v="0"/>
    <n v="0"/>
    <n v="107"/>
    <s v="_x0000_peopl"/>
  </r>
  <r>
    <x v="7"/>
    <n v="13.692600000000001"/>
    <n v="-89.194400000000002"/>
    <n v="6"/>
    <n v="0"/>
    <n v="0"/>
    <n v="107"/>
    <s v="_x0000_peopl"/>
  </r>
  <r>
    <x v="7"/>
    <n v="13.6914"/>
    <n v="-89.192999999999998"/>
    <n v="7"/>
    <n v="0"/>
    <n v="0"/>
    <n v="107"/>
    <s v="_x0000_peopl"/>
  </r>
  <r>
    <x v="7"/>
    <n v="13.6881"/>
    <n v="-89.183499999999995"/>
    <n v="7"/>
    <n v="0"/>
    <n v="0"/>
    <n v="107"/>
    <s v="_x0000_peopl"/>
  </r>
  <r>
    <x v="7"/>
    <n v="13.688000000000001"/>
    <n v="-89.183300000000003"/>
    <n v="2"/>
    <n v="0"/>
    <n v="0"/>
    <n v="107"/>
    <s v="_x0000_peopl"/>
  </r>
  <r>
    <x v="7"/>
    <n v="13.688000000000001"/>
    <n v="-89.183400000000006"/>
    <n v="8"/>
    <n v="0"/>
    <n v="0"/>
    <n v="107"/>
    <s v="_x0000_peopl"/>
  </r>
  <r>
    <x v="7"/>
    <n v="13.6882"/>
    <n v="-89.183199999999999"/>
    <n v="6"/>
    <n v="0"/>
    <n v="0"/>
    <n v="107"/>
    <s v="_x0000_peopl"/>
  </r>
  <r>
    <x v="7"/>
    <n v="13.6882"/>
    <n v="-89.183199999999999"/>
    <n v="8"/>
    <n v="0"/>
    <n v="0"/>
    <n v="107"/>
    <s v="_x0000_peopl"/>
  </r>
  <r>
    <x v="7"/>
    <n v="13.6881"/>
    <n v="-89.183099999999996"/>
    <n v="4"/>
    <n v="0"/>
    <n v="0"/>
    <n v="107"/>
    <s v="_x0000_peopl"/>
  </r>
  <r>
    <x v="7"/>
    <n v="13.688000000000001"/>
    <n v="-89.183199999999999"/>
    <n v="8"/>
    <n v="0"/>
    <n v="0"/>
    <n v="107"/>
    <s v="_x0000_peopl"/>
  </r>
  <r>
    <x v="7"/>
    <n v="13.687900000000001"/>
    <n v="-89.183300000000003"/>
    <n v="5"/>
    <n v="0"/>
    <n v="0"/>
    <n v="107"/>
    <s v="_x0000_peopl"/>
  </r>
  <r>
    <x v="7"/>
    <n v="13.692299999999999"/>
    <n v="-89.179900000000004"/>
    <n v="4"/>
    <n v="0"/>
    <n v="0"/>
    <n v="107"/>
    <s v="_x0000_peopl"/>
  </r>
  <r>
    <x v="7"/>
    <n v="13.692299999999999"/>
    <n v="-89.180099999999996"/>
    <n v="5"/>
    <n v="0"/>
    <n v="0"/>
    <n v="107"/>
    <s v="_x0000_peopl"/>
  </r>
  <r>
    <x v="7"/>
    <n v="13.692299999999999"/>
    <n v="-89.180199999999999"/>
    <n v="6"/>
    <n v="0"/>
    <n v="0"/>
    <n v="107"/>
    <s v="_x0000_peopl"/>
  </r>
  <r>
    <x v="7"/>
    <n v="13.692299999999999"/>
    <n v="-89.180300000000003"/>
    <n v="1"/>
    <n v="0"/>
    <n v="0"/>
    <n v="107"/>
    <s v="_x0000_peopl"/>
  </r>
  <r>
    <x v="7"/>
    <n v="13.692399999999999"/>
    <n v="-89.180400000000006"/>
    <n v="8"/>
    <n v="0"/>
    <n v="0"/>
    <n v="107"/>
    <s v="_x0000_peopl"/>
  </r>
  <r>
    <x v="7"/>
    <n v="13.692399999999999"/>
    <n v="-89.180400000000006"/>
    <n v="5"/>
    <n v="0"/>
    <n v="0"/>
    <n v="107"/>
    <s v="_x0000_peopl"/>
  </r>
  <r>
    <x v="7"/>
    <n v="13.692500000000001"/>
    <n v="-89.180300000000003"/>
    <n v="4"/>
    <n v="0"/>
    <n v="0"/>
    <n v="107"/>
    <s v="_x0000_peopl"/>
  </r>
  <r>
    <x v="7"/>
    <n v="13.6928"/>
    <n v="-89.179699999999997"/>
    <n v="2"/>
    <n v="0"/>
    <n v="0"/>
    <n v="107"/>
    <s v="_x0000_peopl"/>
  </r>
  <r>
    <x v="7"/>
    <n v="13.6928"/>
    <n v="-89.179699999999997"/>
    <n v="3"/>
    <n v="0"/>
    <n v="0"/>
    <n v="107"/>
    <s v="_x0000_peopl"/>
  </r>
  <r>
    <x v="7"/>
    <n v="13.6927"/>
    <n v="-89.1798"/>
    <n v="1"/>
    <n v="0"/>
    <n v="0"/>
    <n v="107"/>
    <s v="_x0000_peopl"/>
  </r>
  <r>
    <x v="7"/>
    <n v="13.6928"/>
    <n v="-89.179900000000004"/>
    <n v="6"/>
    <n v="0"/>
    <n v="0"/>
    <n v="107"/>
    <s v="_x0000_peopl"/>
  </r>
  <r>
    <x v="7"/>
    <n v="13.6927"/>
    <n v="-89.179900000000004"/>
    <n v="6"/>
    <n v="0"/>
    <n v="0"/>
    <n v="107"/>
    <s v="_x0000_peopl"/>
  </r>
  <r>
    <x v="7"/>
    <n v="13.6927"/>
    <n v="-89.18"/>
    <n v="6"/>
    <n v="0"/>
    <n v="0"/>
    <n v="107"/>
    <s v="_x0000_peopl"/>
  </r>
  <r>
    <x v="7"/>
    <n v="13.6928"/>
    <n v="-89.18"/>
    <n v="6"/>
    <n v="0"/>
    <n v="0"/>
    <n v="107"/>
    <s v="_x0000_peopl"/>
  </r>
  <r>
    <x v="7"/>
    <n v="13.6929"/>
    <n v="-89.180099999999996"/>
    <n v="4"/>
    <n v="0"/>
    <n v="0"/>
    <n v="107"/>
    <s v="_x0000_peopl"/>
  </r>
  <r>
    <x v="7"/>
    <n v="13.6927"/>
    <n v="-89.180199999999999"/>
    <n v="6"/>
    <n v="0"/>
    <n v="0"/>
    <n v="107"/>
    <s v="_x0000_peopl"/>
  </r>
  <r>
    <x v="7"/>
    <n v="13.6929"/>
    <n v="-89.180199999999999"/>
    <n v="4"/>
    <n v="0"/>
    <n v="0"/>
    <n v="107"/>
    <s v="_x0000_peopl"/>
  </r>
  <r>
    <x v="7"/>
    <n v="13.6929"/>
    <n v="-89.180199999999999"/>
    <n v="5"/>
    <n v="0"/>
    <n v="0"/>
    <n v="107"/>
    <s v="_x0000_peopl"/>
  </r>
  <r>
    <x v="7"/>
    <n v="13.6929"/>
    <n v="-89.180099999999996"/>
    <n v="6"/>
    <n v="0"/>
    <n v="0"/>
    <n v="107"/>
    <s v="_x0000_peopl"/>
  </r>
  <r>
    <x v="7"/>
    <n v="13.6929"/>
    <n v="-89.180099999999996"/>
    <n v="1"/>
    <n v="0"/>
    <n v="0"/>
    <n v="107"/>
    <s v="_x0000_peopl"/>
  </r>
  <r>
    <x v="7"/>
    <n v="13.6929"/>
    <n v="-89.180099999999996"/>
    <n v="7"/>
    <n v="0"/>
    <n v="0"/>
    <n v="107"/>
    <s v="_x0000_peopl"/>
  </r>
  <r>
    <x v="7"/>
    <n v="13.6929"/>
    <n v="-89.180099999999996"/>
    <n v="6"/>
    <n v="0"/>
    <n v="0"/>
    <n v="107"/>
    <s v="_x0000_peopl"/>
  </r>
  <r>
    <x v="7"/>
    <n v="13.6929"/>
    <n v="-89.180099999999996"/>
    <n v="4"/>
    <n v="0"/>
    <n v="0"/>
    <n v="107"/>
    <s v="_x0000_peopl"/>
  </r>
  <r>
    <x v="7"/>
    <n v="13.6929"/>
    <n v="-89.180099999999996"/>
    <n v="11"/>
    <n v="0"/>
    <n v="0"/>
    <n v="107"/>
    <s v="_x0000_peopl"/>
  </r>
  <r>
    <x v="7"/>
    <n v="13.6929"/>
    <n v="-89.18"/>
    <n v="5"/>
    <n v="0"/>
    <n v="0"/>
    <n v="107"/>
    <s v="_x0000_peopl"/>
  </r>
  <r>
    <x v="7"/>
    <n v="13.6929"/>
    <n v="-89.18"/>
    <n v="0"/>
    <n v="0"/>
    <n v="0"/>
    <n v="107"/>
    <s v="_x0000_peopl"/>
  </r>
  <r>
    <x v="7"/>
    <n v="13.693"/>
    <n v="-89.179900000000004"/>
    <n v="5"/>
    <n v="0"/>
    <n v="0"/>
    <n v="107"/>
    <s v="_x0000_peopl"/>
  </r>
  <r>
    <x v="7"/>
    <n v="13.693"/>
    <n v="-89.179900000000004"/>
    <n v="4"/>
    <n v="0"/>
    <n v="0"/>
    <n v="107"/>
    <s v="_x0000_peopl"/>
  </r>
  <r>
    <x v="7"/>
    <n v="13.693"/>
    <n v="-89.1798"/>
    <n v="2"/>
    <n v="0"/>
    <n v="0"/>
    <n v="107"/>
    <s v="_x0000_peopl"/>
  </r>
  <r>
    <x v="7"/>
    <n v="13.693"/>
    <n v="-89.1798"/>
    <n v="8"/>
    <n v="0"/>
    <n v="0"/>
    <n v="107"/>
    <s v="_x0000_peopl"/>
  </r>
  <r>
    <x v="7"/>
    <n v="13.693"/>
    <n v="-89.180099999999996"/>
    <n v="4"/>
    <n v="0"/>
    <n v="0"/>
    <n v="107"/>
    <s v="_x0000_peopl"/>
  </r>
  <r>
    <x v="7"/>
    <n v="13.693099999999999"/>
    <n v="-89.180300000000003"/>
    <n v="6"/>
    <n v="0"/>
    <n v="0"/>
    <n v="107"/>
    <s v="_x0000_peopl"/>
  </r>
  <r>
    <x v="7"/>
    <n v="13.693099999999999"/>
    <n v="-89.180099999999996"/>
    <n v="3"/>
    <n v="0"/>
    <n v="0"/>
    <n v="107"/>
    <s v="_x0000_peopl"/>
  </r>
  <r>
    <x v="7"/>
    <n v="13.693099999999999"/>
    <n v="-89.180099999999996"/>
    <n v="4"/>
    <n v="0"/>
    <n v="0"/>
    <n v="107"/>
    <s v="_x0000_peopl"/>
  </r>
  <r>
    <x v="7"/>
    <n v="13.693"/>
    <n v="-89.180099999999996"/>
    <n v="4"/>
    <n v="0"/>
    <n v="0"/>
    <n v="107"/>
    <s v="_x0000_peopl"/>
  </r>
  <r>
    <x v="7"/>
    <n v="13.693099999999999"/>
    <n v="-89.180099999999996"/>
    <n v="6"/>
    <n v="0"/>
    <n v="0"/>
    <n v="107"/>
    <s v="_x0000_peopl"/>
  </r>
  <r>
    <x v="7"/>
    <n v="13.693099999999999"/>
    <n v="-89.180099999999996"/>
    <n v="7"/>
    <n v="0"/>
    <n v="0"/>
    <n v="107"/>
    <s v="_x0000_peopl"/>
  </r>
  <r>
    <x v="7"/>
    <n v="13.693"/>
    <n v="-89.180099999999996"/>
    <n v="6"/>
    <n v="0"/>
    <n v="0"/>
    <n v="107"/>
    <s v="_x0000_peopl"/>
  </r>
  <r>
    <x v="7"/>
    <n v="13.693099999999999"/>
    <n v="-89.18"/>
    <n v="4"/>
    <n v="0"/>
    <n v="0"/>
    <n v="107"/>
    <s v="_x0000_peopl"/>
  </r>
  <r>
    <x v="7"/>
    <n v="13.693099999999999"/>
    <n v="-89.18"/>
    <n v="3"/>
    <n v="0"/>
    <n v="0"/>
    <n v="107"/>
    <s v="_x0000_peopl"/>
  </r>
  <r>
    <x v="7"/>
    <n v="13.693"/>
    <n v="-89.18"/>
    <n v="3"/>
    <n v="0"/>
    <n v="0"/>
    <n v="107"/>
    <s v="_x0000_peopl"/>
  </r>
  <r>
    <x v="7"/>
    <n v="13.693"/>
    <n v="-89.18"/>
    <n v="3"/>
    <n v="0"/>
    <n v="0"/>
    <n v="107"/>
    <s v="_x0000_peopl"/>
  </r>
  <r>
    <x v="7"/>
    <n v="13.693300000000001"/>
    <n v="-89.180099999999996"/>
    <n v="7"/>
    <n v="0"/>
    <n v="0"/>
    <n v="107"/>
    <s v="_x0000_peopl"/>
  </r>
  <r>
    <x v="7"/>
    <n v="13.693300000000001"/>
    <n v="-89.180099999999996"/>
    <n v="0"/>
    <n v="0"/>
    <n v="0"/>
    <n v="107"/>
    <s v="_x0000_peopl"/>
  </r>
  <r>
    <x v="7"/>
    <n v="13.693300000000001"/>
    <n v="-89.18"/>
    <n v="11"/>
    <n v="0"/>
    <n v="0"/>
    <n v="107"/>
    <s v="_x0000_peopl"/>
  </r>
  <r>
    <x v="7"/>
    <n v="13.693300000000001"/>
    <n v="-89.18"/>
    <n v="8"/>
    <n v="0"/>
    <n v="0"/>
    <n v="107"/>
    <s v="_x0000_peopl"/>
  </r>
  <r>
    <x v="7"/>
    <n v="13.693300000000001"/>
    <n v="-89.18"/>
    <n v="7"/>
    <n v="0"/>
    <n v="0"/>
    <n v="107"/>
    <s v="_x0000_peopl"/>
  </r>
  <r>
    <x v="7"/>
    <n v="13.693300000000001"/>
    <n v="-89.18"/>
    <n v="11"/>
    <n v="0"/>
    <n v="0"/>
    <n v="107"/>
    <s v="_x0000_peopl"/>
  </r>
  <r>
    <x v="7"/>
    <n v="13.693300000000001"/>
    <n v="-89.179900000000004"/>
    <n v="4"/>
    <n v="0"/>
    <n v="0"/>
    <n v="107"/>
    <s v="_x0000_peopl"/>
  </r>
  <r>
    <x v="7"/>
    <n v="13.693199999999999"/>
    <n v="-89.179699999999997"/>
    <n v="7"/>
    <n v="0"/>
    <n v="0"/>
    <n v="107"/>
    <s v="_x0000_peopl"/>
  </r>
  <r>
    <x v="7"/>
    <n v="13.693099999999999"/>
    <n v="-89.179699999999997"/>
    <n v="5"/>
    <n v="0"/>
    <n v="0"/>
    <n v="107"/>
    <s v="_x0000_peopl"/>
  </r>
  <r>
    <x v="7"/>
    <n v="13.693199999999999"/>
    <n v="-89.1798"/>
    <n v="4"/>
    <n v="0"/>
    <n v="0"/>
    <n v="107"/>
    <s v="_x0000_peopl"/>
  </r>
  <r>
    <x v="7"/>
    <n v="13.693199999999999"/>
    <n v="-89.179900000000004"/>
    <n v="5"/>
    <n v="0"/>
    <n v="0"/>
    <n v="107"/>
    <s v="_x0000_peopl"/>
  </r>
  <r>
    <x v="7"/>
    <n v="13.693099999999999"/>
    <n v="-89.18"/>
    <n v="5"/>
    <n v="0"/>
    <n v="0"/>
    <n v="107"/>
    <s v="_x0000_peopl"/>
  </r>
  <r>
    <x v="7"/>
    <n v="13.693099999999999"/>
    <n v="-89.180099999999996"/>
    <n v="6"/>
    <n v="0"/>
    <n v="0"/>
    <n v="107"/>
    <s v="_x0000_peopl"/>
  </r>
  <r>
    <x v="7"/>
    <n v="13.693199999999999"/>
    <n v="-89.180099999999996"/>
    <n v="7"/>
    <n v="0"/>
    <n v="0"/>
    <n v="107"/>
    <s v="_x0000_peopl"/>
  </r>
  <r>
    <x v="7"/>
    <n v="13.693099999999999"/>
    <n v="-89.180099999999996"/>
    <n v="4"/>
    <n v="0"/>
    <n v="0"/>
    <n v="107"/>
    <s v="_x0000_peopl"/>
  </r>
  <r>
    <x v="7"/>
    <n v="13.693199999999999"/>
    <n v="-89.18"/>
    <n v="4"/>
    <n v="0"/>
    <n v="0"/>
    <n v="107"/>
    <s v="_x0000_peopl"/>
  </r>
  <r>
    <x v="7"/>
    <n v="13.693199999999999"/>
    <n v="-89.18"/>
    <n v="5"/>
    <n v="0"/>
    <n v="0"/>
    <n v="107"/>
    <s v="_x0000_peopl"/>
  </r>
  <r>
    <x v="7"/>
    <n v="13.693199999999999"/>
    <n v="-89.18"/>
    <n v="7"/>
    <n v="0"/>
    <n v="0"/>
    <n v="107"/>
    <s v="_x0000_peopl"/>
  </r>
  <r>
    <x v="7"/>
    <n v="13.693199999999999"/>
    <n v="-89.18"/>
    <n v="2"/>
    <n v="0"/>
    <n v="0"/>
    <n v="107"/>
    <s v="_x0000_peopl"/>
  </r>
  <r>
    <x v="7"/>
    <n v="13.693199999999999"/>
    <n v="-89.180099999999996"/>
    <n v="5"/>
    <n v="0"/>
    <n v="0"/>
    <n v="107"/>
    <s v="_x0000_peopl"/>
  </r>
  <r>
    <x v="7"/>
    <n v="13.693199999999999"/>
    <n v="-89.180099999999996"/>
    <n v="3"/>
    <n v="0"/>
    <n v="0"/>
    <n v="107"/>
    <s v="_x0000_peopl"/>
  </r>
  <r>
    <x v="7"/>
    <n v="13.693300000000001"/>
    <n v="-89.180099999999996"/>
    <n v="3"/>
    <n v="0"/>
    <n v="0"/>
    <n v="107"/>
    <s v="_x0000_peopl"/>
  </r>
  <r>
    <x v="7"/>
    <n v="13.693300000000001"/>
    <n v="-89.180099999999996"/>
    <n v="6"/>
    <n v="0"/>
    <n v="0"/>
    <n v="107"/>
    <s v="_x0000_peopl"/>
  </r>
  <r>
    <x v="7"/>
    <n v="13.693300000000001"/>
    <n v="-89.18"/>
    <n v="4"/>
    <n v="0"/>
    <n v="0"/>
    <n v="107"/>
    <s v="_x0000_peopl"/>
  </r>
  <r>
    <x v="7"/>
    <n v="13.693300000000001"/>
    <n v="-89.18"/>
    <n v="5"/>
    <n v="0"/>
    <n v="0"/>
    <n v="107"/>
    <s v="_x0000_peopl"/>
  </r>
  <r>
    <x v="7"/>
    <n v="13.693300000000001"/>
    <n v="-89.18"/>
    <n v="8"/>
    <n v="0"/>
    <n v="0"/>
    <n v="107"/>
    <s v="_x0000_peopl"/>
  </r>
  <r>
    <x v="7"/>
    <n v="13.693300000000001"/>
    <n v="-89.18"/>
    <n v="6"/>
    <n v="0"/>
    <n v="0"/>
    <n v="107"/>
    <s v="_x0000_peopl"/>
  </r>
  <r>
    <x v="7"/>
    <n v="13.6934"/>
    <n v="-89.180300000000003"/>
    <n v="3"/>
    <n v="0"/>
    <n v="0"/>
    <n v="107"/>
    <s v="_x0000_peopl"/>
  </r>
  <r>
    <x v="7"/>
    <n v="13.6936"/>
    <n v="-89.180099999999996"/>
    <n v="3"/>
    <n v="0"/>
    <n v="0"/>
    <n v="107"/>
    <s v="_x0000_peopl"/>
  </r>
  <r>
    <x v="7"/>
    <n v="13.6935"/>
    <n v="-89.180099999999996"/>
    <n v="2"/>
    <n v="0"/>
    <n v="0"/>
    <n v="107"/>
    <s v="_x0000_peopl"/>
  </r>
  <r>
    <x v="7"/>
    <n v="13.6935"/>
    <n v="-89.180099999999996"/>
    <n v="3"/>
    <n v="0"/>
    <n v="0"/>
    <n v="107"/>
    <s v="_x0000_peopl"/>
  </r>
  <r>
    <x v="7"/>
    <n v="13.6935"/>
    <n v="-89.18"/>
    <n v="3"/>
    <n v="0"/>
    <n v="0"/>
    <n v="107"/>
    <s v="_x0000_peopl"/>
  </r>
  <r>
    <x v="7"/>
    <n v="13.6935"/>
    <n v="-89.18"/>
    <n v="5"/>
    <n v="0"/>
    <n v="0"/>
    <n v="107"/>
    <s v="_x0000_peopl"/>
  </r>
  <r>
    <x v="7"/>
    <n v="13.6935"/>
    <n v="-89.18"/>
    <n v="4"/>
    <n v="0"/>
    <n v="0"/>
    <n v="107"/>
    <s v="_x0000_peopl"/>
  </r>
  <r>
    <x v="7"/>
    <n v="13.6935"/>
    <n v="-89.179900000000004"/>
    <n v="10"/>
    <n v="0"/>
    <n v="0"/>
    <n v="107"/>
    <s v="_x0000_peopl"/>
  </r>
  <r>
    <x v="7"/>
    <n v="13.6934"/>
    <n v="-89.179900000000004"/>
    <n v="1"/>
    <n v="0"/>
    <n v="0"/>
    <n v="107"/>
    <s v="_x0000_peopl"/>
  </r>
  <r>
    <x v="7"/>
    <n v="13.6934"/>
    <n v="-89.1798"/>
    <n v="1"/>
    <n v="0"/>
    <n v="0"/>
    <n v="107"/>
    <s v="_x0000_peopl"/>
  </r>
  <r>
    <x v="7"/>
    <n v="13.6934"/>
    <n v="-89.1798"/>
    <n v="7"/>
    <n v="0"/>
    <n v="0"/>
    <n v="107"/>
    <s v="_x0000_peopl"/>
  </r>
  <r>
    <x v="7"/>
    <n v="13.6934"/>
    <n v="-89.179699999999997"/>
    <n v="7"/>
    <n v="0"/>
    <n v="0"/>
    <n v="107"/>
    <s v="_x0000_peopl"/>
  </r>
  <r>
    <x v="7"/>
    <n v="13.6934"/>
    <n v="-89.179699999999997"/>
    <n v="7"/>
    <n v="0"/>
    <n v="0"/>
    <n v="107"/>
    <s v="_x0000_peopl"/>
  </r>
  <r>
    <x v="7"/>
    <n v="13.6934"/>
    <n v="-89.179599999999994"/>
    <n v="3"/>
    <n v="0"/>
    <n v="0"/>
    <n v="107"/>
    <s v="_x0000_peopl"/>
  </r>
  <r>
    <x v="7"/>
    <n v="13.6934"/>
    <n v="-89.179599999999994"/>
    <n v="4"/>
    <n v="0"/>
    <n v="0"/>
    <n v="107"/>
    <s v="_x0000_peopl"/>
  </r>
  <r>
    <x v="7"/>
    <n v="13.6934"/>
    <n v="-89.179599999999994"/>
    <n v="4"/>
    <n v="0"/>
    <n v="0"/>
    <n v="107"/>
    <s v="_x0000_peopl"/>
  </r>
  <r>
    <x v="7"/>
    <n v="13.6934"/>
    <n v="-89.179599999999994"/>
    <n v="6"/>
    <n v="0"/>
    <n v="0"/>
    <n v="107"/>
    <s v="_x0000_peopl"/>
  </r>
  <r>
    <x v="7"/>
    <n v="13.6934"/>
    <n v="-89.179500000000004"/>
    <n v="2"/>
    <n v="0"/>
    <n v="0"/>
    <n v="107"/>
    <s v="_x0000_peopl"/>
  </r>
  <r>
    <x v="7"/>
    <n v="13.6934"/>
    <n v="-89.179500000000004"/>
    <n v="8"/>
    <n v="0"/>
    <n v="0"/>
    <n v="107"/>
    <s v="_x0000_peopl"/>
  </r>
  <r>
    <x v="7"/>
    <n v="13.6934"/>
    <n v="-89.179400000000001"/>
    <n v="3"/>
    <n v="0"/>
    <n v="0"/>
    <n v="107"/>
    <s v="_x0000_peopl"/>
  </r>
  <r>
    <x v="7"/>
    <n v="13.6934"/>
    <n v="-89.179299999999998"/>
    <n v="3"/>
    <n v="0"/>
    <n v="0"/>
    <n v="107"/>
    <s v="_x0000_peopl"/>
  </r>
  <r>
    <x v="7"/>
    <n v="13.6934"/>
    <n v="-89.179199999999994"/>
    <n v="4"/>
    <n v="0"/>
    <n v="0"/>
    <n v="107"/>
    <s v="_x0000_peopl"/>
  </r>
  <r>
    <x v="7"/>
    <n v="13.6934"/>
    <n v="-89.179100000000005"/>
    <n v="3"/>
    <n v="0"/>
    <n v="0"/>
    <n v="107"/>
    <s v="_x0000_peopl"/>
  </r>
  <r>
    <x v="7"/>
    <n v="13.6934"/>
    <n v="-89.179000000000002"/>
    <n v="3"/>
    <n v="0"/>
    <n v="0"/>
    <n v="107"/>
    <s v="_x0000_peopl"/>
  </r>
  <r>
    <x v="7"/>
    <n v="13.6934"/>
    <n v="-89.178899999999999"/>
    <n v="1"/>
    <n v="0"/>
    <n v="0"/>
    <n v="107"/>
    <s v="_x0000_peopl"/>
  </r>
  <r>
    <x v="7"/>
    <n v="13.6934"/>
    <n v="-89.178899999999999"/>
    <n v="4"/>
    <n v="0"/>
    <n v="0"/>
    <n v="107"/>
    <s v="_x0000_peopl"/>
  </r>
  <r>
    <x v="7"/>
    <n v="13.6934"/>
    <n v="-89.178799999999995"/>
    <n v="5"/>
    <n v="0"/>
    <n v="0"/>
    <n v="107"/>
    <s v="_x0000_peopl"/>
  </r>
  <r>
    <x v="7"/>
    <n v="13.6934"/>
    <n v="-89.178700000000006"/>
    <n v="3"/>
    <n v="0"/>
    <n v="0"/>
    <n v="107"/>
    <s v="_x0000_peopl"/>
  </r>
  <r>
    <x v="7"/>
    <n v="13.6934"/>
    <n v="-89.178700000000006"/>
    <n v="4"/>
    <n v="0"/>
    <n v="0"/>
    <n v="107"/>
    <s v="_x0000_peopl"/>
  </r>
  <r>
    <x v="7"/>
    <n v="13.6934"/>
    <n v="-89.178700000000006"/>
    <n v="7"/>
    <n v="0"/>
    <n v="0"/>
    <n v="107"/>
    <s v="_x0000_peopl"/>
  </r>
  <r>
    <x v="7"/>
    <n v="13.6934"/>
    <n v="-89.178700000000006"/>
    <n v="3"/>
    <n v="0"/>
    <n v="0"/>
    <n v="107"/>
    <s v="_x0000_peopl"/>
  </r>
  <r>
    <x v="7"/>
    <n v="13.6934"/>
    <n v="-89.178700000000006"/>
    <n v="6"/>
    <n v="0"/>
    <n v="0"/>
    <n v="107"/>
    <s v="_x0000_peopl"/>
  </r>
  <r>
    <x v="7"/>
    <n v="13.6935"/>
    <n v="-89.178700000000006"/>
    <n v="5"/>
    <n v="0"/>
    <n v="0"/>
    <n v="107"/>
    <s v="_x0000_peopl"/>
  </r>
  <r>
    <x v="7"/>
    <n v="13.6935"/>
    <n v="-89.178700000000006"/>
    <n v="6"/>
    <n v="0"/>
    <n v="0"/>
    <n v="107"/>
    <s v="_x0000_peopl"/>
  </r>
  <r>
    <x v="7"/>
    <n v="13.693300000000001"/>
    <n v="-89.178600000000003"/>
    <n v="5"/>
    <n v="0"/>
    <n v="0"/>
    <n v="107"/>
    <s v="_x0000_peopl"/>
  </r>
  <r>
    <x v="7"/>
    <n v="13.6934"/>
    <n v="-89.178600000000003"/>
    <n v="5"/>
    <n v="0"/>
    <n v="0"/>
    <n v="107"/>
    <s v="_x0000_peopl"/>
  </r>
  <r>
    <x v="7"/>
    <n v="13.6934"/>
    <n v="-89.178600000000003"/>
    <n v="5"/>
    <n v="0"/>
    <n v="0"/>
    <n v="107"/>
    <s v="_x0000_peopl"/>
  </r>
  <r>
    <x v="7"/>
    <n v="13.6934"/>
    <n v="-89.178600000000003"/>
    <n v="6"/>
    <n v="0"/>
    <n v="0"/>
    <n v="107"/>
    <s v="_x0000_peopl"/>
  </r>
  <r>
    <x v="7"/>
    <n v="13.6934"/>
    <n v="-89.178600000000003"/>
    <n v="1"/>
    <n v="0"/>
    <n v="0"/>
    <n v="107"/>
    <s v="_x0000_peopl"/>
  </r>
  <r>
    <x v="7"/>
    <n v="13.6934"/>
    <n v="-89.178600000000003"/>
    <n v="7"/>
    <n v="0"/>
    <n v="0"/>
    <n v="107"/>
    <s v="_x0000_peopl"/>
  </r>
  <r>
    <x v="7"/>
    <n v="13.6935"/>
    <n v="-89.178600000000003"/>
    <n v="2"/>
    <n v="0"/>
    <n v="0"/>
    <n v="107"/>
    <s v="_x0000_peopl"/>
  </r>
  <r>
    <x v="7"/>
    <n v="13.6935"/>
    <n v="-89.178600000000003"/>
    <n v="7"/>
    <n v="0"/>
    <n v="0"/>
    <n v="107"/>
    <s v="_x0000_peopl"/>
  </r>
  <r>
    <x v="7"/>
    <n v="13.693"/>
    <n v="-89.179000000000002"/>
    <n v="2"/>
    <n v="0"/>
    <n v="0"/>
    <n v="107"/>
    <s v="_x0000_peopl"/>
  </r>
  <r>
    <x v="7"/>
    <n v="13.6929"/>
    <n v="-89.179000000000002"/>
    <n v="4"/>
    <n v="0"/>
    <n v="0"/>
    <n v="107"/>
    <s v="_x0000_peopl"/>
  </r>
  <r>
    <x v="7"/>
    <n v="13.6929"/>
    <n v="-89.179100000000005"/>
    <n v="5"/>
    <n v="0"/>
    <n v="0"/>
    <n v="107"/>
    <s v="_x0000_peopl"/>
  </r>
  <r>
    <x v="7"/>
    <n v="13.693"/>
    <n v="-89.179100000000005"/>
    <n v="10"/>
    <n v="0"/>
    <n v="0"/>
    <n v="107"/>
    <s v="_x0000_peopl"/>
  </r>
  <r>
    <x v="7"/>
    <n v="13.6929"/>
    <n v="-89.179100000000005"/>
    <n v="4"/>
    <n v="0"/>
    <n v="0"/>
    <n v="107"/>
    <s v="_x0000_peopl"/>
  </r>
  <r>
    <x v="7"/>
    <n v="13.6929"/>
    <n v="-89.179199999999994"/>
    <n v="6"/>
    <n v="0"/>
    <n v="0"/>
    <n v="107"/>
    <s v="_x0000_peopl"/>
  </r>
  <r>
    <x v="7"/>
    <n v="13.693"/>
    <n v="-89.179299999999998"/>
    <n v="5"/>
    <n v="0"/>
    <n v="0"/>
    <n v="107"/>
    <s v="_x0000_peopl"/>
  </r>
  <r>
    <x v="7"/>
    <n v="13.693"/>
    <n v="-89.179299999999998"/>
    <n v="6"/>
    <n v="0"/>
    <n v="0"/>
    <n v="107"/>
    <s v="_x0000_peopl"/>
  </r>
  <r>
    <x v="7"/>
    <n v="13.693099999999999"/>
    <n v="-89.179299999999998"/>
    <n v="3"/>
    <n v="0"/>
    <n v="0"/>
    <n v="107"/>
    <s v="_x0000_peopl"/>
  </r>
  <r>
    <x v="7"/>
    <n v="13.693"/>
    <n v="-89.179400000000001"/>
    <n v="7"/>
    <n v="0"/>
    <n v="0"/>
    <n v="107"/>
    <s v="_x0000_peopl"/>
  </r>
  <r>
    <x v="7"/>
    <n v="13.6929"/>
    <n v="-89.179500000000004"/>
    <n v="7"/>
    <n v="0"/>
    <n v="0"/>
    <n v="107"/>
    <s v="_x0000_peopl"/>
  </r>
  <r>
    <x v="7"/>
    <n v="13.6929"/>
    <n v="-89.179599999999994"/>
    <n v="4"/>
    <n v="0"/>
    <n v="0"/>
    <n v="107"/>
    <s v="_x0000_peopl"/>
  </r>
  <r>
    <x v="7"/>
    <n v="13.693"/>
    <n v="-89.179500000000004"/>
    <n v="6"/>
    <n v="0"/>
    <n v="0"/>
    <n v="107"/>
    <s v="_x0000_peopl"/>
  </r>
  <r>
    <x v="7"/>
    <n v="13.693"/>
    <n v="-89.179400000000001"/>
    <n v="3"/>
    <n v="0"/>
    <n v="0"/>
    <n v="107"/>
    <s v="_x0000_peopl"/>
  </r>
  <r>
    <x v="7"/>
    <n v="13.693099999999999"/>
    <n v="-89.179400000000001"/>
    <n v="7"/>
    <n v="0"/>
    <n v="0"/>
    <n v="107"/>
    <s v="_x0000_peopl"/>
  </r>
  <r>
    <x v="7"/>
    <n v="13.693"/>
    <n v="-89.179699999999997"/>
    <n v="2"/>
    <n v="0"/>
    <n v="0"/>
    <n v="107"/>
    <s v="_x0000_peopl"/>
  </r>
  <r>
    <x v="7"/>
    <n v="13.693099999999999"/>
    <n v="-89.179699999999997"/>
    <n v="6"/>
    <n v="0"/>
    <n v="0"/>
    <n v="107"/>
    <s v="_x0000_peopl"/>
  </r>
  <r>
    <x v="7"/>
    <n v="13.6936"/>
    <n v="-89.179599999999994"/>
    <n v="6"/>
    <n v="0"/>
    <n v="0"/>
    <n v="107"/>
    <s v="_x0000_peopl"/>
  </r>
  <r>
    <x v="7"/>
    <n v="13.6936"/>
    <n v="-89.179599999999994"/>
    <n v="6"/>
    <n v="0"/>
    <n v="0"/>
    <n v="107"/>
    <s v="_x0000_peopl"/>
  </r>
  <r>
    <x v="7"/>
    <n v="13.6936"/>
    <n v="-89.179599999999994"/>
    <n v="6"/>
    <n v="0"/>
    <n v="0"/>
    <n v="107"/>
    <s v="_x0000_peopl"/>
  </r>
  <r>
    <x v="7"/>
    <n v="13.6936"/>
    <n v="-89.179599999999994"/>
    <n v="7"/>
    <n v="0"/>
    <n v="0"/>
    <n v="107"/>
    <s v="_x0000_peopl"/>
  </r>
  <r>
    <x v="7"/>
    <n v="13.6936"/>
    <n v="-89.179599999999994"/>
    <n v="7"/>
    <n v="0"/>
    <n v="0"/>
    <n v="107"/>
    <s v="_x0000_peopl"/>
  </r>
  <r>
    <x v="7"/>
    <n v="13.6936"/>
    <n v="-89.179599999999994"/>
    <n v="4"/>
    <n v="0"/>
    <n v="0"/>
    <n v="107"/>
    <s v="_x0000_peopl"/>
  </r>
  <r>
    <x v="7"/>
    <n v="13.6936"/>
    <n v="-89.179599999999994"/>
    <n v="6"/>
    <n v="0"/>
    <n v="0"/>
    <n v="107"/>
    <s v="_x0000_peopl"/>
  </r>
  <r>
    <x v="7"/>
    <n v="13.6936"/>
    <n v="-89.179599999999994"/>
    <n v="5"/>
    <n v="0"/>
    <n v="0"/>
    <n v="107"/>
    <s v="_x0000_peopl"/>
  </r>
  <r>
    <x v="7"/>
    <n v="13.6936"/>
    <n v="-89.179699999999997"/>
    <n v="9"/>
    <n v="0"/>
    <n v="0"/>
    <n v="107"/>
    <s v="_x0000_peopl"/>
  </r>
  <r>
    <x v="7"/>
    <n v="13.6936"/>
    <n v="-89.179699999999997"/>
    <n v="2"/>
    <n v="0"/>
    <n v="0"/>
    <n v="107"/>
    <s v="_x0000_peopl"/>
  </r>
  <r>
    <x v="7"/>
    <n v="13.6936"/>
    <n v="-89.179699999999997"/>
    <n v="3"/>
    <n v="0"/>
    <n v="0"/>
    <n v="107"/>
    <s v="_x0000_peopl"/>
  </r>
  <r>
    <x v="7"/>
    <n v="13.6936"/>
    <n v="-89.179699999999997"/>
    <n v="6"/>
    <n v="0"/>
    <n v="0"/>
    <n v="107"/>
    <s v="_x0000_peopl"/>
  </r>
  <r>
    <x v="7"/>
    <n v="13.6936"/>
    <n v="-89.179699999999997"/>
    <n v="6"/>
    <n v="0"/>
    <n v="0"/>
    <n v="107"/>
    <s v="_x0000_peopl"/>
  </r>
  <r>
    <x v="7"/>
    <n v="13.6936"/>
    <n v="-89.179699999999997"/>
    <n v="6"/>
    <n v="0"/>
    <n v="0"/>
    <n v="107"/>
    <s v="_x0000_peopl"/>
  </r>
  <r>
    <x v="7"/>
    <n v="13.6936"/>
    <n v="-89.179699999999997"/>
    <n v="9"/>
    <n v="0"/>
    <n v="0"/>
    <n v="107"/>
    <s v="_x0000_peopl"/>
  </r>
  <r>
    <x v="7"/>
    <n v="13.6936"/>
    <n v="-89.179699999999997"/>
    <n v="4"/>
    <n v="0"/>
    <n v="0"/>
    <n v="107"/>
    <s v="_x0000_peopl"/>
  </r>
  <r>
    <x v="7"/>
    <n v="13.6936"/>
    <n v="-89.179699999999997"/>
    <n v="4"/>
    <n v="0"/>
    <n v="0"/>
    <n v="107"/>
    <s v="_x0000_peopl"/>
  </r>
  <r>
    <x v="7"/>
    <n v="13.6936"/>
    <n v="-89.179699999999997"/>
    <n v="1"/>
    <n v="0"/>
    <n v="0"/>
    <n v="107"/>
    <s v="_x0000_peopl"/>
  </r>
  <r>
    <x v="7"/>
    <n v="13.6936"/>
    <n v="-89.1798"/>
    <n v="4"/>
    <n v="0"/>
    <n v="0"/>
    <n v="107"/>
    <s v="_x0000_peopl"/>
  </r>
  <r>
    <x v="7"/>
    <n v="13.6936"/>
    <n v="-89.1798"/>
    <n v="5"/>
    <n v="0"/>
    <n v="0"/>
    <n v="107"/>
    <s v="_x0000_peopl"/>
  </r>
  <r>
    <x v="7"/>
    <n v="13.6936"/>
    <n v="-89.1798"/>
    <n v="5"/>
    <n v="0"/>
    <n v="0"/>
    <n v="107"/>
    <s v="_x0000_peopl"/>
  </r>
  <r>
    <x v="7"/>
    <n v="13.6936"/>
    <n v="-89.1798"/>
    <n v="6"/>
    <n v="0"/>
    <n v="0"/>
    <n v="107"/>
    <s v="_x0000_peopl"/>
  </r>
  <r>
    <x v="7"/>
    <n v="13.6936"/>
    <n v="-89.1798"/>
    <n v="4"/>
    <n v="0"/>
    <n v="0"/>
    <n v="107"/>
    <s v="_x0000_peopl"/>
  </r>
  <r>
    <x v="7"/>
    <n v="13.6937"/>
    <n v="-89.1798"/>
    <n v="4"/>
    <n v="0"/>
    <n v="0"/>
    <n v="107"/>
    <s v="_x0000_peopl"/>
  </r>
  <r>
    <x v="7"/>
    <n v="13.6937"/>
    <n v="-89.1798"/>
    <n v="4"/>
    <n v="0"/>
    <n v="0"/>
    <n v="107"/>
    <s v="_x0000_peopl"/>
  </r>
  <r>
    <x v="7"/>
    <n v="13.6937"/>
    <n v="-89.1798"/>
    <n v="6"/>
    <n v="0"/>
    <n v="0"/>
    <n v="107"/>
    <s v="_x0000_peopl"/>
  </r>
  <r>
    <x v="7"/>
    <n v="13.6937"/>
    <n v="-89.1798"/>
    <n v="5"/>
    <n v="0"/>
    <n v="0"/>
    <n v="107"/>
    <s v="_x0000_peopl"/>
  </r>
  <r>
    <x v="7"/>
    <n v="13.6938"/>
    <n v="-89.179699999999997"/>
    <n v="5"/>
    <n v="0"/>
    <n v="0"/>
    <n v="107"/>
    <s v="_x0000_peopl"/>
  </r>
  <r>
    <x v="7"/>
    <n v="13.6937"/>
    <n v="-89.179699999999997"/>
    <n v="1"/>
    <n v="0"/>
    <n v="0"/>
    <n v="107"/>
    <s v="_x0000_peopl"/>
  </r>
  <r>
    <x v="7"/>
    <n v="13.6937"/>
    <n v="-89.179699999999997"/>
    <n v="4"/>
    <n v="0"/>
    <n v="0"/>
    <n v="107"/>
    <s v="_x0000_peopl"/>
  </r>
  <r>
    <x v="7"/>
    <n v="13.6938"/>
    <n v="-89.179699999999997"/>
    <n v="3"/>
    <n v="0"/>
    <n v="0"/>
    <n v="107"/>
    <s v="_x0000_peopl"/>
  </r>
  <r>
    <x v="7"/>
    <n v="13.6937"/>
    <n v="-89.179699999999997"/>
    <n v="7"/>
    <n v="0"/>
    <n v="0"/>
    <n v="107"/>
    <s v="_x0000_peopl"/>
  </r>
  <r>
    <x v="7"/>
    <n v="13.6937"/>
    <n v="-89.179699999999997"/>
    <n v="10"/>
    <n v="0"/>
    <n v="0"/>
    <n v="107"/>
    <s v="_x0000_peopl"/>
  </r>
  <r>
    <x v="7"/>
    <n v="13.6938"/>
    <n v="-89.179599999999994"/>
    <n v="6"/>
    <n v="0"/>
    <n v="0"/>
    <n v="107"/>
    <s v="_x0000_peopl"/>
  </r>
  <r>
    <x v="7"/>
    <n v="13.6937"/>
    <n v="-89.179599999999994"/>
    <n v="2"/>
    <n v="0"/>
    <n v="0"/>
    <n v="107"/>
    <s v="_x0000_peopl"/>
  </r>
  <r>
    <x v="7"/>
    <n v="13.6937"/>
    <n v="-89.179599999999994"/>
    <n v="1"/>
    <n v="0"/>
    <n v="0"/>
    <n v="107"/>
    <s v="_x0000_peopl"/>
  </r>
  <r>
    <x v="7"/>
    <n v="13.6937"/>
    <n v="-89.179599999999994"/>
    <n v="5"/>
    <n v="0"/>
    <n v="0"/>
    <n v="107"/>
    <s v="_x0000_peopl"/>
  </r>
  <r>
    <x v="7"/>
    <n v="13.6938"/>
    <n v="-89.179599999999994"/>
    <n v="6"/>
    <n v="0"/>
    <n v="0"/>
    <n v="107"/>
    <s v="_x0000_peopl"/>
  </r>
  <r>
    <x v="7"/>
    <n v="13.6937"/>
    <n v="-89.179599999999994"/>
    <n v="2"/>
    <n v="0"/>
    <n v="0"/>
    <n v="107"/>
    <s v="_x0000_peopl"/>
  </r>
  <r>
    <x v="7"/>
    <n v="13.6937"/>
    <n v="-89.179599999999994"/>
    <n v="2"/>
    <n v="0"/>
    <n v="0"/>
    <n v="107"/>
    <s v="_x0000_peopl"/>
  </r>
  <r>
    <x v="7"/>
    <n v="13.6937"/>
    <n v="-89.179599999999994"/>
    <n v="2"/>
    <n v="0"/>
    <n v="0"/>
    <n v="107"/>
    <s v="_x0000_peopl"/>
  </r>
  <r>
    <x v="7"/>
    <n v="13.6936"/>
    <n v="-89.180199999999999"/>
    <n v="2"/>
    <n v="0"/>
    <n v="0"/>
    <n v="107"/>
    <s v="_x0000_peopl"/>
  </r>
  <r>
    <x v="7"/>
    <n v="13.6937"/>
    <n v="-89.180099999999996"/>
    <n v="6"/>
    <n v="0"/>
    <n v="0"/>
    <n v="107"/>
    <s v="_x0000_peopl"/>
  </r>
  <r>
    <x v="7"/>
    <n v="13.6937"/>
    <n v="-89.180099999999996"/>
    <n v="5"/>
    <n v="0"/>
    <n v="0"/>
    <n v="107"/>
    <s v="_x0000_peopl"/>
  </r>
  <r>
    <x v="7"/>
    <n v="13.6937"/>
    <n v="-89.180099999999996"/>
    <n v="3"/>
    <n v="0"/>
    <n v="0"/>
    <n v="107"/>
    <s v="_x0000_peopl"/>
  </r>
  <r>
    <x v="7"/>
    <n v="13.6937"/>
    <n v="-89.180099999999996"/>
    <n v="4"/>
    <n v="0"/>
    <n v="0"/>
    <n v="107"/>
    <s v="_x0000_peopl"/>
  </r>
  <r>
    <x v="7"/>
    <n v="13.693899999999999"/>
    <n v="-89.179699999999997"/>
    <n v="4"/>
    <n v="0"/>
    <n v="0"/>
    <n v="107"/>
    <s v="_x0000_peopl"/>
  </r>
  <r>
    <x v="7"/>
    <n v="13.693899999999999"/>
    <n v="-89.179699999999997"/>
    <n v="7"/>
    <n v="0"/>
    <n v="0"/>
    <n v="107"/>
    <s v="_x0000_peopl"/>
  </r>
  <r>
    <x v="7"/>
    <n v="13.693899999999999"/>
    <n v="-89.179699999999997"/>
    <n v="3"/>
    <n v="0"/>
    <n v="0"/>
    <n v="107"/>
    <s v="_x0000_peopl"/>
  </r>
  <r>
    <x v="7"/>
    <n v="13.693899999999999"/>
    <n v="-89.179699999999997"/>
    <n v="6"/>
    <n v="0"/>
    <n v="0"/>
    <n v="107"/>
    <s v="_x0000_peopl"/>
  </r>
  <r>
    <x v="7"/>
    <n v="13.693899999999999"/>
    <n v="-89.179699999999997"/>
    <n v="4"/>
    <n v="0"/>
    <n v="0"/>
    <n v="107"/>
    <s v="_x0000_peopl"/>
  </r>
  <r>
    <x v="7"/>
    <n v="13.693899999999999"/>
    <n v="-89.179599999999994"/>
    <n v="10"/>
    <n v="0"/>
    <n v="0"/>
    <n v="107"/>
    <s v="_x0000_peopl"/>
  </r>
  <r>
    <x v="7"/>
    <n v="13.693899999999999"/>
    <n v="-89.179599999999994"/>
    <n v="4"/>
    <n v="0"/>
    <n v="0"/>
    <n v="107"/>
    <s v="_x0000_peopl"/>
  </r>
  <r>
    <x v="7"/>
    <n v="13.693899999999999"/>
    <n v="-89.179599999999994"/>
    <n v="4"/>
    <n v="0"/>
    <n v="0"/>
    <n v="107"/>
    <s v="_x0000_peopl"/>
  </r>
  <r>
    <x v="7"/>
    <n v="13.693899999999999"/>
    <n v="-89.179599999999994"/>
    <n v="7"/>
    <n v="0"/>
    <n v="0"/>
    <n v="107"/>
    <s v="_x0000_peopl"/>
  </r>
  <r>
    <x v="7"/>
    <n v="13.693899999999999"/>
    <n v="-89.179599999999994"/>
    <n v="4"/>
    <n v="0"/>
    <n v="0"/>
    <n v="107"/>
    <s v="_x0000_peopl"/>
  </r>
  <r>
    <x v="7"/>
    <n v="13.693899999999999"/>
    <n v="-89.179599999999994"/>
    <n v="3"/>
    <n v="0"/>
    <n v="0"/>
    <n v="107"/>
    <s v="_x0000_peopl"/>
  </r>
  <r>
    <x v="7"/>
    <n v="13.693899999999999"/>
    <n v="-89.179599999999994"/>
    <n v="2"/>
    <n v="0"/>
    <n v="0"/>
    <n v="107"/>
    <s v="_x0000_peopl"/>
  </r>
  <r>
    <x v="7"/>
    <n v="13.693899999999999"/>
    <n v="-89.179599999999994"/>
    <n v="3"/>
    <n v="0"/>
    <n v="0"/>
    <n v="107"/>
    <s v="_x0000_peopl"/>
  </r>
  <r>
    <x v="7"/>
    <n v="13.693899999999999"/>
    <n v="-89.179599999999994"/>
    <n v="6"/>
    <n v="0"/>
    <n v="0"/>
    <n v="107"/>
    <s v="_x0000_peopl"/>
  </r>
  <r>
    <x v="7"/>
    <n v="13.693899999999999"/>
    <n v="-89.179599999999994"/>
    <n v="4"/>
    <n v="0"/>
    <n v="0"/>
    <n v="107"/>
    <s v="_x0000_peopl"/>
  </r>
  <r>
    <x v="7"/>
    <n v="13.693899999999999"/>
    <n v="-89.179500000000004"/>
    <n v="6"/>
    <n v="0"/>
    <n v="0"/>
    <n v="107"/>
    <s v="_x0000_peopl"/>
  </r>
  <r>
    <x v="7"/>
    <n v="13.693899999999999"/>
    <n v="-89.179500000000004"/>
    <n v="3"/>
    <n v="0"/>
    <n v="0"/>
    <n v="107"/>
    <s v="_x0000_peopl"/>
  </r>
  <r>
    <x v="7"/>
    <n v="13.693899999999999"/>
    <n v="-89.179500000000004"/>
    <n v="6"/>
    <n v="0"/>
    <n v="0"/>
    <n v="107"/>
    <s v="_x0000_peopl"/>
  </r>
  <r>
    <x v="7"/>
    <n v="13.693899999999999"/>
    <n v="-89.179500000000004"/>
    <n v="3"/>
    <n v="0"/>
    <n v="0"/>
    <n v="107"/>
    <s v="_x0000_peopl"/>
  </r>
  <r>
    <x v="7"/>
    <n v="13.693899999999999"/>
    <n v="-89.179500000000004"/>
    <n v="9"/>
    <n v="0"/>
    <n v="0"/>
    <n v="107"/>
    <s v="_x0000_peopl"/>
  </r>
  <r>
    <x v="7"/>
    <n v="13.694000000000001"/>
    <n v="-89.179699999999997"/>
    <n v="1"/>
    <n v="0"/>
    <n v="0"/>
    <n v="107"/>
    <s v="_x0000_peopl"/>
  </r>
  <r>
    <x v="7"/>
    <n v="13.694000000000001"/>
    <n v="-89.179699999999997"/>
    <n v="1"/>
    <n v="0"/>
    <n v="0"/>
    <n v="107"/>
    <s v="_x0000_peopl"/>
  </r>
  <r>
    <x v="7"/>
    <n v="13.694000000000001"/>
    <n v="-89.179599999999994"/>
    <n v="7"/>
    <n v="0"/>
    <n v="0"/>
    <n v="107"/>
    <s v="_x0000_peopl"/>
  </r>
  <r>
    <x v="7"/>
    <n v="13.694000000000001"/>
    <n v="-89.179599999999994"/>
    <n v="4"/>
    <n v="0"/>
    <n v="0"/>
    <n v="107"/>
    <s v="_x0000_peopl"/>
  </r>
  <r>
    <x v="7"/>
    <n v="13.694000000000001"/>
    <n v="-89.179500000000004"/>
    <n v="1"/>
    <n v="0"/>
    <n v="0"/>
    <n v="107"/>
    <s v="_x0000_peopl"/>
  </r>
  <r>
    <x v="7"/>
    <n v="13.693899999999999"/>
    <n v="-89.180099999999996"/>
    <n v="6"/>
    <n v="0"/>
    <n v="0"/>
    <n v="107"/>
    <s v="_x0000_peopl"/>
  </r>
  <r>
    <x v="7"/>
    <n v="13.6938"/>
    <n v="-89.180099999999996"/>
    <n v="3"/>
    <n v="0"/>
    <n v="0"/>
    <n v="107"/>
    <s v="_x0000_peopl"/>
  </r>
  <r>
    <x v="7"/>
    <n v="13.6938"/>
    <n v="-89.180099999999996"/>
    <n v="6"/>
    <n v="0"/>
    <n v="0"/>
    <n v="107"/>
    <s v="_x0000_peopl"/>
  </r>
  <r>
    <x v="7"/>
    <n v="13.6938"/>
    <n v="-89.180199999999999"/>
    <n v="1"/>
    <n v="0"/>
    <n v="0"/>
    <n v="107"/>
    <s v="_x0000_peopl"/>
  </r>
  <r>
    <x v="7"/>
    <n v="13.6938"/>
    <n v="-89.180099999999996"/>
    <n v="5"/>
    <n v="0"/>
    <n v="0"/>
    <n v="107"/>
    <s v="_x0000_peopl"/>
  </r>
  <r>
    <x v="7"/>
    <n v="13.6938"/>
    <n v="-89.180099999999996"/>
    <n v="3"/>
    <n v="0"/>
    <n v="0"/>
    <n v="107"/>
    <s v="_x0000_peopl"/>
  </r>
  <r>
    <x v="7"/>
    <n v="13.6938"/>
    <n v="-89.180099999999996"/>
    <n v="9"/>
    <n v="0"/>
    <n v="0"/>
    <n v="107"/>
    <s v="_x0000_peopl"/>
  </r>
  <r>
    <x v="7"/>
    <n v="13.6942"/>
    <n v="-89.180199999999999"/>
    <n v="4"/>
    <n v="0"/>
    <n v="0"/>
    <n v="107"/>
    <s v="_x0000_peopl"/>
  </r>
  <r>
    <x v="7"/>
    <n v="13.6942"/>
    <n v="-89.180199999999999"/>
    <n v="3"/>
    <n v="0"/>
    <n v="0"/>
    <n v="107"/>
    <s v="_x0000_peopl"/>
  </r>
  <r>
    <x v="7"/>
    <n v="13.6942"/>
    <n v="-89.180199999999999"/>
    <n v="4"/>
    <n v="0"/>
    <n v="0"/>
    <n v="107"/>
    <s v="_x0000_peopl"/>
  </r>
  <r>
    <x v="7"/>
    <n v="13.6942"/>
    <n v="-89.180199999999999"/>
    <n v="5"/>
    <n v="0"/>
    <n v="0"/>
    <n v="107"/>
    <s v="_x0000_peopl"/>
  </r>
  <r>
    <x v="7"/>
    <n v="13.694100000000001"/>
    <n v="-89.180199999999999"/>
    <n v="6"/>
    <n v="0"/>
    <n v="0"/>
    <n v="107"/>
    <s v="_x0000_peopl"/>
  </r>
  <r>
    <x v="7"/>
    <n v="13.694100000000001"/>
    <n v="-89.180099999999996"/>
    <n v="4"/>
    <n v="0"/>
    <n v="0"/>
    <n v="107"/>
    <s v="_x0000_peopl"/>
  </r>
  <r>
    <x v="7"/>
    <n v="13.694100000000001"/>
    <n v="-89.180199999999999"/>
    <n v="2"/>
    <n v="0"/>
    <n v="0"/>
    <n v="107"/>
    <s v="_x0000_peopl"/>
  </r>
  <r>
    <x v="7"/>
    <n v="13.694100000000001"/>
    <n v="-89.180099999999996"/>
    <n v="7"/>
    <n v="0"/>
    <n v="0"/>
    <n v="107"/>
    <s v="_x0000_peopl"/>
  </r>
  <r>
    <x v="7"/>
    <n v="13.694000000000001"/>
    <n v="-89.180099999999996"/>
    <n v="11"/>
    <n v="0"/>
    <n v="0"/>
    <n v="107"/>
    <s v="_x0000_peopl"/>
  </r>
  <r>
    <x v="7"/>
    <n v="13.694000000000001"/>
    <n v="-89.180099999999996"/>
    <n v="6"/>
    <n v="0"/>
    <n v="0"/>
    <n v="107"/>
    <s v="_x0000_peopl"/>
  </r>
  <r>
    <x v="7"/>
    <n v="13.694100000000001"/>
    <n v="-89.180099999999996"/>
    <n v="5"/>
    <n v="0"/>
    <n v="0"/>
    <n v="107"/>
    <s v="_x0000_peopl"/>
  </r>
  <r>
    <x v="7"/>
    <n v="13.694100000000001"/>
    <n v="-89.180099999999996"/>
    <n v="2"/>
    <n v="0"/>
    <n v="0"/>
    <n v="107"/>
    <s v="_x0000_peopl"/>
  </r>
  <r>
    <x v="7"/>
    <n v="13.694100000000001"/>
    <n v="-89.180099999999996"/>
    <n v="1"/>
    <n v="0"/>
    <n v="0"/>
    <n v="107"/>
    <s v="_x0000_peopl"/>
  </r>
  <r>
    <x v="7"/>
    <n v="13.694000000000001"/>
    <n v="-89.180099999999996"/>
    <n v="5"/>
    <n v="0"/>
    <n v="0"/>
    <n v="107"/>
    <s v="_x0000_peopl"/>
  </r>
  <r>
    <x v="7"/>
    <n v="13.694000000000001"/>
    <n v="-89.18"/>
    <n v="4"/>
    <n v="0"/>
    <n v="0"/>
    <n v="107"/>
    <s v="_x0000_peopl"/>
  </r>
  <r>
    <x v="7"/>
    <n v="13.694000000000001"/>
    <n v="-89.179699999999997"/>
    <n v="1"/>
    <n v="0"/>
    <n v="0"/>
    <n v="107"/>
    <s v="_x0000_peopl"/>
  </r>
  <r>
    <x v="7"/>
    <n v="13.694000000000001"/>
    <n v="-89.179699999999997"/>
    <n v="6"/>
    <n v="0"/>
    <n v="0"/>
    <n v="107"/>
    <s v="_x0000_peopl"/>
  </r>
  <r>
    <x v="7"/>
    <n v="13.694000000000001"/>
    <n v="-89.179699999999997"/>
    <n v="4"/>
    <n v="0"/>
    <n v="0"/>
    <n v="107"/>
    <s v="_x0000_peopl"/>
  </r>
  <r>
    <x v="7"/>
    <n v="13.694000000000001"/>
    <n v="-89.179599999999994"/>
    <n v="5"/>
    <n v="0"/>
    <n v="0"/>
    <n v="107"/>
    <s v="_x0000_peopl"/>
  </r>
  <r>
    <x v="7"/>
    <n v="13.694000000000001"/>
    <n v="-89.179599999999994"/>
    <n v="8"/>
    <n v="0"/>
    <n v="0"/>
    <n v="107"/>
    <s v="_x0000_peopl"/>
  </r>
  <r>
    <x v="7"/>
    <n v="13.694000000000001"/>
    <n v="-89.179599999999994"/>
    <n v="3"/>
    <n v="0"/>
    <n v="0"/>
    <n v="107"/>
    <s v="_x0000_peopl"/>
  </r>
  <r>
    <x v="7"/>
    <n v="13.694000000000001"/>
    <n v="-89.179599999999994"/>
    <n v="4"/>
    <n v="0"/>
    <n v="0"/>
    <n v="107"/>
    <s v="_x0000_peopl"/>
  </r>
  <r>
    <x v="7"/>
    <n v="13.694000000000001"/>
    <n v="-89.179599999999994"/>
    <n v="3"/>
    <n v="0"/>
    <n v="0"/>
    <n v="107"/>
    <s v="_x0000_peopl"/>
  </r>
  <r>
    <x v="7"/>
    <n v="13.694000000000001"/>
    <n v="-89.179599999999994"/>
    <n v="4"/>
    <n v="0"/>
    <n v="0"/>
    <n v="107"/>
    <s v="_x0000_peopl"/>
  </r>
  <r>
    <x v="7"/>
    <n v="13.694000000000001"/>
    <n v="-89.179500000000004"/>
    <n v="0"/>
    <n v="0"/>
    <n v="0"/>
    <n v="107"/>
    <s v="_x0000_peopl"/>
  </r>
  <r>
    <x v="7"/>
    <n v="13.694000000000001"/>
    <n v="-89.179500000000004"/>
    <n v="7"/>
    <n v="0"/>
    <n v="0"/>
    <n v="107"/>
    <s v="_x0000_peopl"/>
  </r>
  <r>
    <x v="7"/>
    <n v="13.694000000000001"/>
    <n v="-89.179500000000004"/>
    <n v="7"/>
    <n v="0"/>
    <n v="0"/>
    <n v="107"/>
    <s v="_x0000_peopl"/>
  </r>
  <r>
    <x v="7"/>
    <n v="13.6942"/>
    <n v="-89.180199999999999"/>
    <n v="5"/>
    <n v="0"/>
    <n v="0"/>
    <n v="107"/>
    <s v="_x0000_peopl"/>
  </r>
  <r>
    <x v="7"/>
    <n v="13.6942"/>
    <n v="-89.180199999999999"/>
    <n v="7"/>
    <n v="0"/>
    <n v="0"/>
    <n v="107"/>
    <s v="_x0000_peopl"/>
  </r>
  <r>
    <x v="7"/>
    <n v="13.6942"/>
    <n v="-89.180199999999999"/>
    <n v="8"/>
    <n v="0"/>
    <n v="0"/>
    <n v="107"/>
    <s v="_x0000_peopl"/>
  </r>
  <r>
    <x v="7"/>
    <n v="13.6942"/>
    <n v="-89.180199999999999"/>
    <n v="4"/>
    <n v="0"/>
    <n v="0"/>
    <n v="107"/>
    <s v="_x0000_peopl"/>
  </r>
  <r>
    <x v="7"/>
    <n v="13.6942"/>
    <n v="-89.180199999999999"/>
    <n v="5"/>
    <n v="0"/>
    <n v="0"/>
    <n v="107"/>
    <s v="_x0000_peopl"/>
  </r>
  <r>
    <x v="7"/>
    <n v="13.6942"/>
    <n v="-89.180300000000003"/>
    <n v="1"/>
    <n v="0"/>
    <n v="0"/>
    <n v="107"/>
    <s v="_x0000_peopl"/>
  </r>
  <r>
    <x v="7"/>
    <n v="13.6942"/>
    <n v="-89.180300000000003"/>
    <n v="4"/>
    <n v="0"/>
    <n v="0"/>
    <n v="107"/>
    <s v="_x0000_peopl"/>
  </r>
  <r>
    <x v="7"/>
    <n v="13.6942"/>
    <n v="-89.180300000000003"/>
    <n v="6"/>
    <n v="0"/>
    <n v="0"/>
    <n v="107"/>
    <s v="_x0000_peopl"/>
  </r>
  <r>
    <x v="7"/>
    <n v="13.6942"/>
    <n v="-89.180300000000003"/>
    <n v="5"/>
    <n v="0"/>
    <n v="0"/>
    <n v="107"/>
    <s v="_x0000_peopl"/>
  </r>
  <r>
    <x v="7"/>
    <n v="13.694100000000001"/>
    <n v="-89.180300000000003"/>
    <n v="3"/>
    <n v="0"/>
    <n v="0"/>
    <n v="107"/>
    <s v="_x0000_peopl"/>
  </r>
  <r>
    <x v="7"/>
    <n v="13.694100000000001"/>
    <n v="-89.180199999999999"/>
    <n v="5"/>
    <n v="0"/>
    <n v="0"/>
    <n v="107"/>
    <s v="_x0000_peopl"/>
  </r>
  <r>
    <x v="7"/>
    <n v="13.694100000000001"/>
    <n v="-89.180199999999999"/>
    <n v="9"/>
    <n v="0"/>
    <n v="0"/>
    <n v="107"/>
    <s v="_x0000_peopl"/>
  </r>
  <r>
    <x v="7"/>
    <n v="13.694100000000001"/>
    <n v="-89.180199999999999"/>
    <n v="7"/>
    <n v="0"/>
    <n v="0"/>
    <n v="107"/>
    <s v="_x0000_peopl"/>
  </r>
  <r>
    <x v="7"/>
    <n v="13.694000000000001"/>
    <n v="-89.180199999999999"/>
    <n v="4"/>
    <n v="0"/>
    <n v="0"/>
    <n v="107"/>
    <s v="_x0000_peopl"/>
  </r>
  <r>
    <x v="7"/>
    <n v="13.694000000000001"/>
    <n v="-89.180199999999999"/>
    <n v="4"/>
    <n v="0"/>
    <n v="0"/>
    <n v="107"/>
    <s v="_x0000_peopl"/>
  </r>
  <r>
    <x v="7"/>
    <n v="13.694100000000001"/>
    <n v="-89.180300000000003"/>
    <n v="6"/>
    <n v="0"/>
    <n v="0"/>
    <n v="107"/>
    <s v="_x0000_peopl"/>
  </r>
  <r>
    <x v="7"/>
    <n v="13.694100000000001"/>
    <n v="-89.180300000000003"/>
    <n v="0"/>
    <n v="0"/>
    <n v="0"/>
    <n v="107"/>
    <s v="_x0000_peopl"/>
  </r>
  <r>
    <x v="7"/>
    <n v="13.694100000000001"/>
    <n v="-89.180300000000003"/>
    <n v="8"/>
    <n v="0"/>
    <n v="0"/>
    <n v="107"/>
    <s v="_x0000_peopl"/>
  </r>
  <r>
    <x v="7"/>
    <n v="13.694000000000001"/>
    <n v="-89.180300000000003"/>
    <n v="3"/>
    <n v="0"/>
    <n v="0"/>
    <n v="107"/>
    <s v="_x0000_peopl"/>
  </r>
  <r>
    <x v="7"/>
    <n v="13.694000000000001"/>
    <n v="-89.180199999999999"/>
    <n v="5"/>
    <n v="0"/>
    <n v="0"/>
    <n v="107"/>
    <s v="_x0000_peopl"/>
  </r>
  <r>
    <x v="7"/>
    <n v="13.694000000000001"/>
    <n v="-89.180400000000006"/>
    <n v="2"/>
    <n v="0"/>
    <n v="0"/>
    <n v="107"/>
    <s v="_x0000_peopl"/>
  </r>
  <r>
    <x v="7"/>
    <n v="13.694000000000001"/>
    <n v="-89.180400000000006"/>
    <n v="3"/>
    <n v="0"/>
    <n v="0"/>
    <n v="107"/>
    <s v="_x0000_peopl"/>
  </r>
  <r>
    <x v="7"/>
    <n v="13.694000000000001"/>
    <n v="-89.180400000000006"/>
    <n v="6"/>
    <n v="0"/>
    <n v="0"/>
    <n v="107"/>
    <s v="_x0000_peopl"/>
  </r>
  <r>
    <x v="7"/>
    <n v="13.694000000000001"/>
    <n v="-89.180400000000006"/>
    <n v="7"/>
    <n v="0"/>
    <n v="0"/>
    <n v="107"/>
    <s v="_x0000_peopl"/>
  </r>
  <r>
    <x v="7"/>
    <n v="13.693899999999999"/>
    <n v="-89.180400000000006"/>
    <n v="6"/>
    <n v="0"/>
    <n v="0"/>
    <n v="107"/>
    <s v="_x0000_peopl"/>
  </r>
  <r>
    <x v="7"/>
    <n v="13.693899999999999"/>
    <n v="-89.180499999999995"/>
    <n v="7"/>
    <n v="0"/>
    <n v="0"/>
    <n v="107"/>
    <s v="_x0000_peopl"/>
  </r>
  <r>
    <x v="7"/>
    <n v="13.693899999999999"/>
    <n v="-89.180499999999995"/>
    <n v="4"/>
    <n v="0"/>
    <n v="0"/>
    <n v="107"/>
    <s v="_x0000_peopl"/>
  </r>
  <r>
    <x v="7"/>
    <n v="13.693899999999999"/>
    <n v="-89.180499999999995"/>
    <n v="4"/>
    <n v="0"/>
    <n v="0"/>
    <n v="107"/>
    <s v="_x0000_peopl"/>
  </r>
  <r>
    <x v="7"/>
    <n v="13.694000000000001"/>
    <n v="-89.180300000000003"/>
    <n v="4"/>
    <n v="0"/>
    <n v="0"/>
    <n v="107"/>
    <s v="_x0000_peopl"/>
  </r>
  <r>
    <x v="7"/>
    <n v="13.694000000000001"/>
    <n v="-89.180300000000003"/>
    <n v="6"/>
    <n v="0"/>
    <n v="0"/>
    <n v="107"/>
    <s v="_x0000_peopl"/>
  </r>
  <r>
    <x v="7"/>
    <n v="13.693899999999999"/>
    <n v="-89.180300000000003"/>
    <n v="4"/>
    <n v="0"/>
    <n v="0"/>
    <n v="107"/>
    <s v="_x0000_peopl"/>
  </r>
  <r>
    <x v="7"/>
    <n v="13.693899999999999"/>
    <n v="-89.180300000000003"/>
    <n v="3"/>
    <n v="0"/>
    <n v="0"/>
    <n v="107"/>
    <s v="_x0000_peopl"/>
  </r>
  <r>
    <x v="7"/>
    <n v="13.693899999999999"/>
    <n v="-89.180300000000003"/>
    <n v="5"/>
    <n v="0"/>
    <n v="0"/>
    <n v="107"/>
    <s v="_x0000_peopl"/>
  </r>
  <r>
    <x v="7"/>
    <n v="13.693899999999999"/>
    <n v="-89.180300000000003"/>
    <n v="3"/>
    <n v="0"/>
    <n v="0"/>
    <n v="107"/>
    <s v="_x0000_peopl"/>
  </r>
  <r>
    <x v="7"/>
    <n v="13.693899999999999"/>
    <n v="-89.180300000000003"/>
    <n v="7"/>
    <n v="0"/>
    <n v="0"/>
    <n v="107"/>
    <s v="_x0000_peopl"/>
  </r>
  <r>
    <x v="7"/>
    <n v="13.693899999999999"/>
    <n v="-89.180300000000003"/>
    <n v="5"/>
    <n v="0"/>
    <n v="0"/>
    <n v="107"/>
    <s v="_x0000_peopl"/>
  </r>
  <r>
    <x v="7"/>
    <n v="13.693899999999999"/>
    <n v="-89.180199999999999"/>
    <n v="4"/>
    <n v="0"/>
    <n v="0"/>
    <n v="107"/>
    <s v="_x0000_peopl"/>
  </r>
  <r>
    <x v="7"/>
    <n v="13.693899999999999"/>
    <n v="-89.180199999999999"/>
    <n v="5"/>
    <n v="0"/>
    <n v="0"/>
    <n v="107"/>
    <s v="_x0000_peopl"/>
  </r>
  <r>
    <x v="7"/>
    <n v="13.693899999999999"/>
    <n v="-89.180199999999999"/>
    <n v="7"/>
    <n v="0"/>
    <n v="0"/>
    <n v="107"/>
    <s v="_x0000_peopl"/>
  </r>
  <r>
    <x v="7"/>
    <n v="13.6938"/>
    <n v="-89.180199999999999"/>
    <n v="8"/>
    <n v="0"/>
    <n v="0"/>
    <n v="107"/>
    <s v="_x0000_peopl"/>
  </r>
  <r>
    <x v="7"/>
    <n v="13.693899999999999"/>
    <n v="-89.180400000000006"/>
    <n v="8"/>
    <n v="0"/>
    <n v="0"/>
    <n v="107"/>
    <s v="_x0000_peopl"/>
  </r>
  <r>
    <x v="7"/>
    <n v="13.693899999999999"/>
    <n v="-89.180400000000006"/>
    <n v="3"/>
    <n v="0"/>
    <n v="0"/>
    <n v="107"/>
    <s v="_x0000_peopl"/>
  </r>
  <r>
    <x v="7"/>
    <n v="13.693899999999999"/>
    <n v="-89.180400000000006"/>
    <n v="7"/>
    <n v="0"/>
    <n v="0"/>
    <n v="107"/>
    <s v="_x0000_peopl"/>
  </r>
  <r>
    <x v="7"/>
    <n v="13.693899999999999"/>
    <n v="-89.180400000000006"/>
    <n v="3"/>
    <n v="0"/>
    <n v="0"/>
    <n v="107"/>
    <s v="_x0000_peopl"/>
  </r>
  <r>
    <x v="7"/>
    <n v="13.693899999999999"/>
    <n v="-89.180300000000003"/>
    <n v="8"/>
    <n v="0"/>
    <n v="0"/>
    <n v="107"/>
    <s v="_x0000_peopl"/>
  </r>
  <r>
    <x v="7"/>
    <n v="13.6938"/>
    <n v="-89.180300000000003"/>
    <n v="7"/>
    <n v="0"/>
    <n v="0"/>
    <n v="107"/>
    <s v="_x0000_peopl"/>
  </r>
  <r>
    <x v="7"/>
    <n v="13.6938"/>
    <n v="-89.180300000000003"/>
    <n v="3"/>
    <n v="0"/>
    <n v="0"/>
    <n v="107"/>
    <s v="_x0000_peopl"/>
  </r>
  <r>
    <x v="7"/>
    <n v="13.6938"/>
    <n v="-89.180300000000003"/>
    <n v="3"/>
    <n v="0"/>
    <n v="0"/>
    <n v="107"/>
    <s v="_x0000_peopl"/>
  </r>
  <r>
    <x v="7"/>
    <n v="13.6938"/>
    <n v="-89.180499999999995"/>
    <n v="3"/>
    <n v="0"/>
    <n v="0"/>
    <n v="107"/>
    <s v="_x0000_peopl"/>
  </r>
  <r>
    <x v="7"/>
    <n v="13.6937"/>
    <n v="-89.180400000000006"/>
    <n v="4"/>
    <n v="0"/>
    <n v="0"/>
    <n v="107"/>
    <s v="_x0000_peopl"/>
  </r>
  <r>
    <x v="7"/>
    <n v="13.6938"/>
    <n v="-89.180199999999999"/>
    <n v="4"/>
    <n v="0"/>
    <n v="0"/>
    <n v="107"/>
    <s v="_x0000_peopl"/>
  </r>
  <r>
    <x v="7"/>
    <n v="13.6938"/>
    <n v="-89.180300000000003"/>
    <n v="4"/>
    <n v="0"/>
    <n v="0"/>
    <n v="107"/>
    <s v="_x0000_peopl"/>
  </r>
  <r>
    <x v="7"/>
    <n v="13.6938"/>
    <n v="-89.180300000000003"/>
    <n v="6"/>
    <n v="0"/>
    <n v="0"/>
    <n v="107"/>
    <s v="_x0000_peopl"/>
  </r>
  <r>
    <x v="7"/>
    <n v="13.6938"/>
    <n v="-89.180300000000003"/>
    <n v="5"/>
    <n v="0"/>
    <n v="0"/>
    <n v="107"/>
    <s v="_x0000_peopl"/>
  </r>
  <r>
    <x v="7"/>
    <n v="13.6938"/>
    <n v="-89.180199999999999"/>
    <n v="11"/>
    <n v="0"/>
    <n v="0"/>
    <n v="107"/>
    <s v="_x0000_peopl"/>
  </r>
  <r>
    <x v="7"/>
    <n v="13.6938"/>
    <n v="-89.180199999999999"/>
    <n v="9"/>
    <n v="0"/>
    <n v="0"/>
    <n v="107"/>
    <s v="_x0000_peopl"/>
  </r>
  <r>
    <x v="7"/>
    <n v="13.6938"/>
    <n v="-89.180199999999999"/>
    <n v="4"/>
    <n v="0"/>
    <n v="0"/>
    <n v="107"/>
    <s v="_x0000_peopl"/>
  </r>
  <r>
    <x v="7"/>
    <n v="13.6937"/>
    <n v="-89.180199999999999"/>
    <n v="4"/>
    <n v="0"/>
    <n v="0"/>
    <n v="107"/>
    <s v="_x0000_peopl"/>
  </r>
  <r>
    <x v="7"/>
    <n v="13.6938"/>
    <n v="-89.180099999999996"/>
    <n v="6"/>
    <n v="0"/>
    <n v="0"/>
    <n v="107"/>
    <s v="_x0000_peopl"/>
  </r>
  <r>
    <x v="7"/>
    <n v="13.6937"/>
    <n v="-89.180400000000006"/>
    <n v="8"/>
    <n v="0"/>
    <n v="0"/>
    <n v="107"/>
    <s v="_x0000_peopl"/>
  </r>
  <r>
    <x v="7"/>
    <n v="13.6937"/>
    <n v="-89.180300000000003"/>
    <n v="7"/>
    <n v="0"/>
    <n v="0"/>
    <n v="107"/>
    <s v="_x0000_peopl"/>
  </r>
  <r>
    <x v="7"/>
    <n v="13.6936"/>
    <n v="-89.180199999999999"/>
    <n v="7"/>
    <n v="0"/>
    <n v="0"/>
    <n v="107"/>
    <s v="_x0000_peopl"/>
  </r>
  <r>
    <x v="7"/>
    <n v="13.6937"/>
    <n v="-89.180599999999998"/>
    <n v="7"/>
    <n v="0"/>
    <n v="0"/>
    <n v="107"/>
    <s v="_x0000_peopl"/>
  </r>
  <r>
    <x v="7"/>
    <n v="13.6937"/>
    <n v="-89.180599999999998"/>
    <n v="12"/>
    <n v="0"/>
    <n v="0"/>
    <n v="107"/>
    <s v="_x0000_peopl"/>
  </r>
  <r>
    <x v="7"/>
    <n v="13.6937"/>
    <n v="-89.180599999999998"/>
    <n v="2"/>
    <n v="0"/>
    <n v="0"/>
    <n v="107"/>
    <s v="_x0000_peopl"/>
  </r>
  <r>
    <x v="7"/>
    <n v="13.6937"/>
    <n v="-89.180599999999998"/>
    <n v="6"/>
    <n v="0"/>
    <n v="0"/>
    <n v="107"/>
    <s v="_x0000_peopl"/>
  </r>
  <r>
    <x v="7"/>
    <n v="13.6937"/>
    <n v="-89.180599999999998"/>
    <n v="4"/>
    <n v="0"/>
    <n v="0"/>
    <n v="107"/>
    <s v="_x0000_peopl"/>
  </r>
  <r>
    <x v="7"/>
    <n v="13.6937"/>
    <n v="-89.180599999999998"/>
    <n v="3"/>
    <n v="0"/>
    <n v="0"/>
    <n v="107"/>
    <s v="_x0000_peopl"/>
  </r>
  <r>
    <x v="7"/>
    <n v="13.6937"/>
    <n v="-89.180599999999998"/>
    <n v="5"/>
    <n v="0"/>
    <n v="0"/>
    <n v="107"/>
    <s v="_x0000_peopl"/>
  </r>
  <r>
    <x v="7"/>
    <n v="13.6936"/>
    <n v="-89.180599999999998"/>
    <n v="5"/>
    <n v="0"/>
    <n v="0"/>
    <n v="107"/>
    <s v="_x0000_peopl"/>
  </r>
  <r>
    <x v="7"/>
    <n v="13.6936"/>
    <n v="-89.180499999999995"/>
    <n v="7"/>
    <n v="0"/>
    <n v="0"/>
    <n v="107"/>
    <s v="_x0000_peopl"/>
  </r>
  <r>
    <x v="7"/>
    <n v="13.6936"/>
    <n v="-89.180499999999995"/>
    <n v="2"/>
    <n v="0"/>
    <n v="0"/>
    <n v="107"/>
    <s v="_x0000_peopl"/>
  </r>
  <r>
    <x v="7"/>
    <n v="13.6936"/>
    <n v="-89.180499999999995"/>
    <n v="4"/>
    <n v="0"/>
    <n v="0"/>
    <n v="107"/>
    <s v="_x0000_peopl"/>
  </r>
  <r>
    <x v="7"/>
    <n v="13.6936"/>
    <n v="-89.180499999999995"/>
    <n v="6"/>
    <n v="0"/>
    <n v="0"/>
    <n v="107"/>
    <s v="_x0000_peopl"/>
  </r>
  <r>
    <x v="7"/>
    <n v="13.6936"/>
    <n v="-89.180499999999995"/>
    <n v="7"/>
    <n v="0"/>
    <n v="0"/>
    <n v="107"/>
    <s v="_x0000_peopl"/>
  </r>
  <r>
    <x v="7"/>
    <n v="13.6936"/>
    <n v="-89.180499999999995"/>
    <n v="7"/>
    <n v="0"/>
    <n v="0"/>
    <n v="107"/>
    <s v="_x0000_peopl"/>
  </r>
  <r>
    <x v="7"/>
    <n v="13.6936"/>
    <n v="-89.180499999999995"/>
    <n v="4"/>
    <n v="0"/>
    <n v="0"/>
    <n v="107"/>
    <s v="_x0000_peopl"/>
  </r>
  <r>
    <x v="7"/>
    <n v="13.6936"/>
    <n v="-89.180499999999995"/>
    <n v="5"/>
    <n v="0"/>
    <n v="0"/>
    <n v="107"/>
    <s v="_x0000_peopl"/>
  </r>
  <r>
    <x v="7"/>
    <n v="13.6936"/>
    <n v="-89.180400000000006"/>
    <n v="6"/>
    <n v="0"/>
    <n v="0"/>
    <n v="107"/>
    <s v="_x0000_peopl"/>
  </r>
  <r>
    <x v="7"/>
    <n v="13.6936"/>
    <n v="-89.180400000000006"/>
    <n v="6"/>
    <n v="0"/>
    <n v="0"/>
    <n v="107"/>
    <s v="_x0000_peopl"/>
  </r>
  <r>
    <x v="7"/>
    <n v="13.6936"/>
    <n v="-89.180400000000006"/>
    <n v="2"/>
    <n v="0"/>
    <n v="0"/>
    <n v="107"/>
    <s v="_x0000_peopl"/>
  </r>
  <r>
    <x v="7"/>
    <n v="13.6936"/>
    <n v="-89.180400000000006"/>
    <n v="6"/>
    <n v="0"/>
    <n v="0"/>
    <n v="107"/>
    <s v="_x0000_peopl"/>
  </r>
  <r>
    <x v="7"/>
    <n v="13.6935"/>
    <n v="-89.180400000000006"/>
    <n v="3"/>
    <n v="0"/>
    <n v="0"/>
    <n v="107"/>
    <s v="_x0000_peopl"/>
  </r>
  <r>
    <x v="7"/>
    <n v="13.6936"/>
    <n v="-89.180599999999998"/>
    <n v="4"/>
    <n v="0"/>
    <n v="0"/>
    <n v="107"/>
    <s v="_x0000_peopl"/>
  </r>
  <r>
    <x v="7"/>
    <n v="13.6935"/>
    <n v="-89.180599999999998"/>
    <n v="8"/>
    <n v="0"/>
    <n v="0"/>
    <n v="107"/>
    <s v="_x0000_peopl"/>
  </r>
  <r>
    <x v="7"/>
    <n v="13.6935"/>
    <n v="-89.180599999999998"/>
    <n v="3"/>
    <n v="0"/>
    <n v="0"/>
    <n v="107"/>
    <s v="_x0000_peopl"/>
  </r>
  <r>
    <x v="7"/>
    <n v="13.6935"/>
    <n v="-89.180599999999998"/>
    <n v="7"/>
    <n v="0"/>
    <n v="0"/>
    <n v="107"/>
    <s v="_x0000_peopl"/>
  </r>
  <r>
    <x v="7"/>
    <n v="13.6935"/>
    <n v="-89.180599999999998"/>
    <n v="7"/>
    <n v="0"/>
    <n v="0"/>
    <n v="107"/>
    <s v="_x0000_peopl"/>
  </r>
  <r>
    <x v="7"/>
    <n v="13.6935"/>
    <n v="-89.180499999999995"/>
    <n v="4"/>
    <n v="0"/>
    <n v="0"/>
    <n v="107"/>
    <s v="_x0000_peopl"/>
  </r>
  <r>
    <x v="7"/>
    <n v="13.6935"/>
    <n v="-89.180499999999995"/>
    <n v="5"/>
    <n v="0"/>
    <n v="0"/>
    <n v="107"/>
    <s v="_x0000_peopl"/>
  </r>
  <r>
    <x v="7"/>
    <n v="13.6935"/>
    <n v="-89.180499999999995"/>
    <n v="4"/>
    <n v="0"/>
    <n v="0"/>
    <n v="107"/>
    <s v="_x0000_peopl"/>
  </r>
  <r>
    <x v="7"/>
    <n v="13.6935"/>
    <n v="-89.180499999999995"/>
    <n v="6"/>
    <n v="0"/>
    <n v="0"/>
    <n v="107"/>
    <s v="_x0000_peopl"/>
  </r>
  <r>
    <x v="7"/>
    <n v="13.6935"/>
    <n v="-89.180499999999995"/>
    <n v="7"/>
    <n v="0"/>
    <n v="0"/>
    <n v="107"/>
    <s v="_x0000_peopl"/>
  </r>
  <r>
    <x v="7"/>
    <n v="13.6935"/>
    <n v="-89.180499999999995"/>
    <n v="7"/>
    <n v="0"/>
    <n v="0"/>
    <n v="107"/>
    <s v="_x0000_peopl"/>
  </r>
  <r>
    <x v="7"/>
    <n v="13.6935"/>
    <n v="-89.180499999999995"/>
    <n v="4"/>
    <n v="0"/>
    <n v="0"/>
    <n v="107"/>
    <s v="_x0000_peopl"/>
  </r>
  <r>
    <x v="7"/>
    <n v="13.6935"/>
    <n v="-89.180400000000006"/>
    <n v="7"/>
    <n v="0"/>
    <n v="0"/>
    <n v="107"/>
    <s v="_x0000_peopl"/>
  </r>
  <r>
    <x v="7"/>
    <n v="13.6934"/>
    <n v="-89.180400000000006"/>
    <n v="9"/>
    <n v="0"/>
    <n v="0"/>
    <n v="107"/>
    <s v="_x0000_peopl"/>
  </r>
  <r>
    <x v="7"/>
    <n v="13.6935"/>
    <n v="-89.180599999999998"/>
    <n v="2"/>
    <n v="0"/>
    <n v="0"/>
    <n v="107"/>
    <s v="_x0000_peopl"/>
  </r>
  <r>
    <x v="7"/>
    <n v="13.6934"/>
    <n v="-89.180599999999998"/>
    <n v="8"/>
    <n v="0"/>
    <n v="0"/>
    <n v="107"/>
    <s v="_x0000_peopl"/>
  </r>
  <r>
    <x v="7"/>
    <n v="13.6934"/>
    <n v="-89.180599999999998"/>
    <n v="8"/>
    <n v="0"/>
    <n v="0"/>
    <n v="107"/>
    <s v="_x0000_peopl"/>
  </r>
  <r>
    <x v="7"/>
    <n v="13.6934"/>
    <n v="-89.180599999999998"/>
    <n v="6"/>
    <n v="0"/>
    <n v="0"/>
    <n v="107"/>
    <s v="_x0000_peopl"/>
  </r>
  <r>
    <x v="7"/>
    <n v="13.6934"/>
    <n v="-89.180599999999998"/>
    <n v="4"/>
    <n v="0"/>
    <n v="0"/>
    <n v="107"/>
    <s v="_x0000_peopl"/>
  </r>
  <r>
    <x v="7"/>
    <n v="13.6934"/>
    <n v="-89.180599999999998"/>
    <n v="2"/>
    <n v="0"/>
    <n v="0"/>
    <n v="107"/>
    <s v="_x0000_peopl"/>
  </r>
  <r>
    <x v="7"/>
    <n v="13.6934"/>
    <n v="-89.180599999999998"/>
    <n v="4"/>
    <n v="0"/>
    <n v="0"/>
    <n v="107"/>
    <s v="_x0000_peopl"/>
  </r>
  <r>
    <x v="7"/>
    <n v="13.6934"/>
    <n v="-89.180499999999995"/>
    <n v="4"/>
    <n v="0"/>
    <n v="0"/>
    <n v="107"/>
    <s v="_x0000_peopl"/>
  </r>
  <r>
    <x v="7"/>
    <n v="13.6934"/>
    <n v="-89.180499999999995"/>
    <n v="5"/>
    <n v="0"/>
    <n v="0"/>
    <n v="107"/>
    <s v="_x0000_peopl"/>
  </r>
  <r>
    <x v="7"/>
    <n v="13.6934"/>
    <n v="-89.180499999999995"/>
    <n v="4"/>
    <n v="0"/>
    <n v="0"/>
    <n v="107"/>
    <s v="_x0000_peopl"/>
  </r>
  <r>
    <x v="7"/>
    <n v="13.6934"/>
    <n v="-89.180499999999995"/>
    <n v="5"/>
    <n v="0"/>
    <n v="0"/>
    <n v="107"/>
    <s v="_x0000_peopl"/>
  </r>
  <r>
    <x v="7"/>
    <n v="13.6934"/>
    <n v="-89.180499999999995"/>
    <n v="5"/>
    <n v="0"/>
    <n v="0"/>
    <n v="107"/>
    <s v="_x0000_peopl"/>
  </r>
  <r>
    <x v="7"/>
    <n v="13.6934"/>
    <n v="-89.180499999999995"/>
    <n v="5"/>
    <n v="0"/>
    <n v="0"/>
    <n v="107"/>
    <s v="_x0000_peopl"/>
  </r>
  <r>
    <x v="7"/>
    <n v="13.693199999999999"/>
    <n v="-89.180499999999995"/>
    <n v="5"/>
    <n v="0"/>
    <n v="0"/>
    <n v="107"/>
    <s v="_x0000_peopl"/>
  </r>
  <r>
    <x v="7"/>
    <n v="13.6935"/>
    <n v="-89.180700000000002"/>
    <n v="2"/>
    <n v="0"/>
    <n v="0"/>
    <n v="107"/>
    <s v="_x0000_peopl"/>
  </r>
  <r>
    <x v="7"/>
    <n v="13.6935"/>
    <n v="-89.180700000000002"/>
    <n v="5"/>
    <n v="0"/>
    <n v="0"/>
    <n v="107"/>
    <s v="_x0000_peopl"/>
  </r>
  <r>
    <x v="7"/>
    <n v="13.6934"/>
    <n v="-89.180700000000002"/>
    <n v="5"/>
    <n v="0"/>
    <n v="0"/>
    <n v="107"/>
    <s v="_x0000_peopl"/>
  </r>
  <r>
    <x v="7"/>
    <n v="13.693300000000001"/>
    <n v="-89.180700000000002"/>
    <n v="4"/>
    <n v="0"/>
    <n v="0"/>
    <n v="107"/>
    <s v="_x0000_peopl"/>
  </r>
  <r>
    <x v="7"/>
    <n v="13.693300000000001"/>
    <n v="-89.180700000000002"/>
    <n v="9"/>
    <n v="0"/>
    <n v="0"/>
    <n v="107"/>
    <s v="_x0000_peopl"/>
  </r>
  <r>
    <x v="7"/>
    <n v="13.693199999999999"/>
    <n v="-89.180700000000002"/>
    <n v="1"/>
    <n v="0"/>
    <n v="0"/>
    <n v="107"/>
    <s v="_x0000_peopl"/>
  </r>
  <r>
    <x v="7"/>
    <n v="13.693099999999999"/>
    <n v="-89.180800000000005"/>
    <n v="7"/>
    <n v="0"/>
    <n v="0"/>
    <n v="107"/>
    <s v="_x0000_peopl"/>
  </r>
  <r>
    <x v="7"/>
    <n v="13.693099999999999"/>
    <n v="-89.180499999999995"/>
    <n v="4"/>
    <n v="0"/>
    <n v="0"/>
    <n v="107"/>
    <s v="_x0000_peopl"/>
  </r>
  <r>
    <x v="7"/>
    <n v="13.693"/>
    <n v="-89.180800000000005"/>
    <n v="9"/>
    <n v="0"/>
    <n v="0"/>
    <n v="107"/>
    <s v="_x0000_peopl"/>
  </r>
  <r>
    <x v="7"/>
    <n v="13.693"/>
    <n v="-89.180499999999995"/>
    <n v="5"/>
    <n v="0"/>
    <n v="0"/>
    <n v="107"/>
    <s v="_x0000_peopl"/>
  </r>
  <r>
    <x v="7"/>
    <n v="13.693"/>
    <n v="-89.180499999999995"/>
    <n v="6"/>
    <n v="0"/>
    <n v="0"/>
    <n v="107"/>
    <s v="_x0000_peopl"/>
  </r>
  <r>
    <x v="7"/>
    <n v="13.6929"/>
    <n v="-89.180800000000005"/>
    <n v="2"/>
    <n v="0"/>
    <n v="0"/>
    <n v="107"/>
    <s v="_x0000_peopl"/>
  </r>
  <r>
    <x v="7"/>
    <n v="13.693"/>
    <n v="-89.180300000000003"/>
    <n v="5"/>
    <n v="0"/>
    <n v="0"/>
    <n v="107"/>
    <s v="_x0000_peopl"/>
  </r>
  <r>
    <x v="7"/>
    <n v="13.6929"/>
    <n v="-89.180800000000005"/>
    <n v="6"/>
    <n v="0"/>
    <n v="0"/>
    <n v="107"/>
    <s v="_x0000_peopl"/>
  </r>
  <r>
    <x v="7"/>
    <n v="13.6928"/>
    <n v="-89.180800000000005"/>
    <n v="10"/>
    <n v="0"/>
    <n v="0"/>
    <n v="107"/>
    <s v="_x0000_peopl"/>
  </r>
  <r>
    <x v="7"/>
    <n v="13.6928"/>
    <n v="-89.180800000000005"/>
    <n v="6"/>
    <n v="0"/>
    <n v="0"/>
    <n v="107"/>
    <s v="_x0000_peopl"/>
  </r>
  <r>
    <x v="7"/>
    <n v="13.6928"/>
    <n v="-89.180700000000002"/>
    <n v="11"/>
    <n v="0"/>
    <n v="0"/>
    <n v="107"/>
    <s v="_x0000_peopl"/>
  </r>
  <r>
    <x v="7"/>
    <n v="13.6928"/>
    <n v="-89.180499999999995"/>
    <n v="3"/>
    <n v="0"/>
    <n v="0"/>
    <n v="107"/>
    <s v="_x0000_peopl"/>
  </r>
  <r>
    <x v="7"/>
    <n v="13.6928"/>
    <n v="-89.180400000000006"/>
    <n v="3"/>
    <n v="0"/>
    <n v="0"/>
    <n v="107"/>
    <s v="_x0000_peopl"/>
  </r>
  <r>
    <x v="7"/>
    <n v="13.6929"/>
    <n v="-89.180400000000006"/>
    <n v="5"/>
    <n v="0"/>
    <n v="0"/>
    <n v="107"/>
    <s v="_x0000_peopl"/>
  </r>
  <r>
    <x v="7"/>
    <n v="13.6929"/>
    <n v="-89.180300000000003"/>
    <n v="10"/>
    <n v="0"/>
    <n v="0"/>
    <n v="107"/>
    <s v="_x0000_peopl"/>
  </r>
  <r>
    <x v="7"/>
    <n v="13.692399999999999"/>
    <n v="-89.179699999999997"/>
    <n v="5"/>
    <n v="0"/>
    <n v="0"/>
    <n v="107"/>
    <s v="_x0000_peopl"/>
  </r>
  <r>
    <x v="7"/>
    <n v="13.692600000000001"/>
    <n v="-89.179699999999997"/>
    <n v="7"/>
    <n v="0"/>
    <n v="0"/>
    <n v="107"/>
    <s v="_x0000_peopl"/>
  </r>
  <r>
    <x v="7"/>
    <n v="13.692500000000001"/>
    <n v="-89.1798"/>
    <n v="5"/>
    <n v="0"/>
    <n v="0"/>
    <n v="107"/>
    <s v="_x0000_peopl"/>
  </r>
  <r>
    <x v="7"/>
    <n v="13.692500000000001"/>
    <n v="-89.179900000000004"/>
    <n v="6"/>
    <n v="0"/>
    <n v="0"/>
    <n v="107"/>
    <s v="_x0000_peopl"/>
  </r>
  <r>
    <x v="7"/>
    <n v="13.692500000000001"/>
    <n v="-89.179900000000004"/>
    <n v="8"/>
    <n v="0"/>
    <n v="0"/>
    <n v="107"/>
    <s v="_x0000_peopl"/>
  </r>
  <r>
    <x v="7"/>
    <n v="13.692500000000001"/>
    <n v="-89.18"/>
    <n v="3"/>
    <n v="0"/>
    <n v="0"/>
    <n v="107"/>
    <s v="_x0000_peopl"/>
  </r>
  <r>
    <x v="7"/>
    <n v="13.692500000000001"/>
    <n v="-89.18"/>
    <n v="4"/>
    <n v="0"/>
    <n v="0"/>
    <n v="107"/>
    <s v="_x0000_peopl"/>
  </r>
  <r>
    <x v="7"/>
    <n v="13.692500000000001"/>
    <n v="-89.180099999999996"/>
    <n v="7"/>
    <n v="0"/>
    <n v="0"/>
    <n v="107"/>
    <s v="_x0000_peopl"/>
  </r>
  <r>
    <x v="7"/>
    <n v="13.692500000000001"/>
    <n v="-89.180199999999999"/>
    <n v="3"/>
    <n v="0"/>
    <n v="0"/>
    <n v="107"/>
    <s v="_x0000_peopl"/>
  </r>
  <r>
    <x v="7"/>
    <n v="13.692399999999999"/>
    <n v="-89.180099999999996"/>
    <n v="6"/>
    <n v="0"/>
    <n v="0"/>
    <n v="107"/>
    <s v="_x0000_peopl"/>
  </r>
  <r>
    <x v="7"/>
    <n v="13.692399999999999"/>
    <n v="-89.180199999999999"/>
    <n v="4"/>
    <n v="0"/>
    <n v="0"/>
    <n v="107"/>
    <s v="_x0000_peopl"/>
  </r>
  <r>
    <x v="7"/>
    <n v="13.692399999999999"/>
    <n v="-89.18"/>
    <n v="8"/>
    <n v="0"/>
    <n v="0"/>
    <n v="107"/>
    <s v="_x0000_peopl"/>
  </r>
  <r>
    <x v="7"/>
    <n v="13.692399999999999"/>
    <n v="-89.18"/>
    <n v="4"/>
    <n v="0"/>
    <n v="0"/>
    <n v="107"/>
    <s v="_x0000_peopl"/>
  </r>
  <r>
    <x v="7"/>
    <n v="13.692399999999999"/>
    <n v="-89.179900000000004"/>
    <n v="5"/>
    <n v="0"/>
    <n v="0"/>
    <n v="107"/>
    <s v="_x0000_peopl"/>
  </r>
  <r>
    <x v="7"/>
    <n v="13.692399999999999"/>
    <n v="-89.179900000000004"/>
    <n v="6"/>
    <n v="0"/>
    <n v="0"/>
    <n v="107"/>
    <s v="_x0000_peopl"/>
  </r>
  <r>
    <x v="7"/>
    <n v="13.692399999999999"/>
    <n v="-89.18"/>
    <n v="9"/>
    <n v="0"/>
    <n v="0"/>
    <n v="107"/>
    <s v="_x0000_peopl"/>
  </r>
  <r>
    <x v="7"/>
    <n v="13.692500000000001"/>
    <n v="-89.179599999999994"/>
    <n v="3"/>
    <n v="0"/>
    <n v="0"/>
    <n v="107"/>
    <s v="_x0000_peopl"/>
  </r>
  <r>
    <x v="7"/>
    <n v="13.692600000000001"/>
    <n v="-89.179599999999994"/>
    <n v="3"/>
    <n v="0"/>
    <n v="0"/>
    <n v="107"/>
    <s v="_x0000_peopl"/>
  </r>
  <r>
    <x v="7"/>
    <n v="13.692600000000001"/>
    <n v="-89.179699999999997"/>
    <n v="5"/>
    <n v="0"/>
    <n v="0"/>
    <n v="107"/>
    <s v="_x0000_peopl"/>
  </r>
  <r>
    <x v="7"/>
    <n v="13.693"/>
    <n v="-89.178799999999995"/>
    <n v="7"/>
    <n v="0"/>
    <n v="0"/>
    <n v="107"/>
    <s v="_x0000_peopl"/>
  </r>
  <r>
    <x v="7"/>
    <n v="13.693"/>
    <n v="-89.178700000000006"/>
    <n v="3"/>
    <n v="0"/>
    <n v="0"/>
    <n v="107"/>
    <s v="_x0000_peopl"/>
  </r>
  <r>
    <x v="7"/>
    <n v="13.693"/>
    <n v="-89.178700000000006"/>
    <n v="2"/>
    <n v="0"/>
    <n v="0"/>
    <n v="107"/>
    <s v="_x0000_peopl"/>
  </r>
  <r>
    <x v="7"/>
    <n v="13.6929"/>
    <n v="-89.178700000000006"/>
    <n v="4"/>
    <n v="0"/>
    <n v="0"/>
    <n v="107"/>
    <s v="_x0000_peopl"/>
  </r>
  <r>
    <x v="7"/>
    <n v="13.6929"/>
    <n v="-89.178700000000006"/>
    <n v="9"/>
    <n v="0"/>
    <n v="0"/>
    <n v="107"/>
    <s v="_x0000_peopl"/>
  </r>
  <r>
    <x v="7"/>
    <n v="13.6929"/>
    <n v="-89.178899999999999"/>
    <n v="4"/>
    <n v="0"/>
    <n v="0"/>
    <n v="107"/>
    <s v="_x0000_peopl"/>
  </r>
  <r>
    <x v="7"/>
    <n v="13.6929"/>
    <n v="-89.178899999999999"/>
    <n v="5"/>
    <n v="0"/>
    <n v="0"/>
    <n v="107"/>
    <s v="_x0000_peopl"/>
  </r>
  <r>
    <x v="7"/>
    <n v="13.6929"/>
    <n v="-89.178799999999995"/>
    <n v="9"/>
    <n v="0"/>
    <n v="0"/>
    <n v="107"/>
    <s v="_x0000_peopl"/>
  </r>
  <r>
    <x v="7"/>
    <n v="13.6929"/>
    <n v="-89.178899999999999"/>
    <n v="7"/>
    <n v="0"/>
    <n v="0"/>
    <n v="107"/>
    <s v="_x0000_peopl"/>
  </r>
  <r>
    <x v="7"/>
    <n v="13.6929"/>
    <n v="-89.178799999999995"/>
    <n v="3"/>
    <n v="0"/>
    <n v="0"/>
    <n v="107"/>
    <s v="_x0000_peopl"/>
  </r>
  <r>
    <x v="7"/>
    <n v="13.6929"/>
    <n v="-89.178899999999999"/>
    <n v="3"/>
    <n v="0"/>
    <n v="0"/>
    <n v="107"/>
    <s v="_x0000_peopl"/>
  </r>
  <r>
    <x v="7"/>
    <n v="13.6929"/>
    <n v="-89.178899999999999"/>
    <n v="8"/>
    <n v="0"/>
    <n v="0"/>
    <n v="107"/>
    <s v="_x0000_peopl"/>
  </r>
  <r>
    <x v="7"/>
    <n v="13.693199999999999"/>
    <n v="-89.179199999999994"/>
    <n v="2"/>
    <n v="0"/>
    <n v="0"/>
    <n v="107"/>
    <s v="_x0000_peopl"/>
  </r>
  <r>
    <x v="7"/>
    <n v="13.693099999999999"/>
    <n v="-89.179100000000005"/>
    <n v="7"/>
    <n v="0"/>
    <n v="0"/>
    <n v="107"/>
    <s v="_x0000_peopl"/>
  </r>
  <r>
    <x v="7"/>
    <n v="13.693199999999999"/>
    <n v="-89.179299999999998"/>
    <n v="6"/>
    <n v="0"/>
    <n v="0"/>
    <n v="107"/>
    <s v="_x0000_peopl"/>
  </r>
  <r>
    <x v="7"/>
    <n v="13.693199999999999"/>
    <n v="-89.179299999999998"/>
    <n v="6"/>
    <n v="0"/>
    <n v="0"/>
    <n v="107"/>
    <s v="_x0000_peopl"/>
  </r>
  <r>
    <x v="7"/>
    <n v="13.6935"/>
    <n v="-89.178600000000003"/>
    <n v="3"/>
    <n v="0"/>
    <n v="0"/>
    <n v="107"/>
    <s v="_x0000_peopl"/>
  </r>
  <r>
    <x v="7"/>
    <n v="13.6935"/>
    <n v="-89.178600000000003"/>
    <n v="5"/>
    <n v="0"/>
    <n v="0"/>
    <n v="107"/>
    <s v="_x0000_peopl"/>
  </r>
  <r>
    <x v="7"/>
    <n v="13.6935"/>
    <n v="-89.178600000000003"/>
    <n v="5"/>
    <n v="0"/>
    <n v="0"/>
    <n v="107"/>
    <s v="_x0000_peopl"/>
  </r>
  <r>
    <x v="7"/>
    <n v="13.6935"/>
    <n v="-89.178600000000003"/>
    <n v="2"/>
    <n v="0"/>
    <n v="0"/>
    <n v="107"/>
    <s v="_x0000_peopl"/>
  </r>
  <r>
    <x v="7"/>
    <n v="13.6936"/>
    <n v="-89.178600000000003"/>
    <n v="12"/>
    <n v="0"/>
    <n v="0"/>
    <n v="107"/>
    <s v="_x0000_peopl"/>
  </r>
  <r>
    <x v="7"/>
    <n v="13.6936"/>
    <n v="-89.178600000000003"/>
    <n v="7"/>
    <n v="0"/>
    <n v="0"/>
    <n v="107"/>
    <s v="_x0000_peopl"/>
  </r>
  <r>
    <x v="7"/>
    <n v="13.6936"/>
    <n v="-89.178600000000003"/>
    <n v="6"/>
    <n v="0"/>
    <n v="0"/>
    <n v="107"/>
    <s v="_x0000_peopl"/>
  </r>
  <r>
    <x v="7"/>
    <n v="13.6938"/>
    <n v="-89.179699999999997"/>
    <n v="1"/>
    <n v="0"/>
    <n v="0"/>
    <n v="107"/>
    <s v="_x0000_peopl"/>
  </r>
  <r>
    <x v="7"/>
    <n v="13.6938"/>
    <n v="-89.179699999999997"/>
    <n v="3"/>
    <n v="0"/>
    <n v="0"/>
    <n v="107"/>
    <s v="_x0000_peopl"/>
  </r>
  <r>
    <x v="7"/>
    <n v="13.6938"/>
    <n v="-89.179599999999994"/>
    <n v="8"/>
    <n v="0"/>
    <n v="0"/>
    <n v="107"/>
    <s v="_x0000_peopl"/>
  </r>
  <r>
    <x v="7"/>
    <n v="13.6938"/>
    <n v="-89.179599999999994"/>
    <n v="5"/>
    <n v="0"/>
    <n v="0"/>
    <n v="107"/>
    <s v="_x0000_peopl"/>
  </r>
  <r>
    <x v="7"/>
    <n v="13.6937"/>
    <n v="-89.179400000000001"/>
    <n v="3"/>
    <n v="0"/>
    <n v="0"/>
    <n v="107"/>
    <s v="_x0000_peopl"/>
  </r>
  <r>
    <x v="7"/>
    <n v="13.6937"/>
    <n v="-89.179299999999998"/>
    <n v="7"/>
    <n v="0"/>
    <n v="0"/>
    <n v="107"/>
    <s v="_x0000_peopl"/>
  </r>
  <r>
    <x v="7"/>
    <n v="13.6937"/>
    <n v="-89.179299999999998"/>
    <n v="5"/>
    <n v="0"/>
    <n v="0"/>
    <n v="107"/>
    <s v="_x0000_peopl"/>
  </r>
  <r>
    <x v="7"/>
    <n v="13.6937"/>
    <n v="-89.179100000000005"/>
    <n v="2"/>
    <n v="0"/>
    <n v="0"/>
    <n v="107"/>
    <s v="_x0000_peopl"/>
  </r>
  <r>
    <x v="7"/>
    <n v="13.693899999999999"/>
    <n v="-89.179100000000005"/>
    <n v="4"/>
    <n v="0"/>
    <n v="0"/>
    <n v="107"/>
    <s v="_x0000_peopl"/>
  </r>
  <r>
    <x v="7"/>
    <n v="13.693899999999999"/>
    <n v="-89.179000000000002"/>
    <n v="3"/>
    <n v="0"/>
    <n v="0"/>
    <n v="107"/>
    <s v="_x0000_peopl"/>
  </r>
  <r>
    <x v="7"/>
    <n v="13.693899999999999"/>
    <n v="-89.179000000000002"/>
    <n v="5"/>
    <n v="0"/>
    <n v="0"/>
    <n v="107"/>
    <s v="_x0000_peopl"/>
  </r>
  <r>
    <x v="7"/>
    <n v="13.6938"/>
    <n v="-89.178899999999999"/>
    <n v="4"/>
    <n v="0"/>
    <n v="0"/>
    <n v="107"/>
    <s v="_x0000_peopl"/>
  </r>
  <r>
    <x v="7"/>
    <n v="13.6938"/>
    <n v="-89.178700000000006"/>
    <n v="11"/>
    <n v="0"/>
    <n v="0"/>
    <n v="107"/>
    <s v="_x0000_peopl"/>
  </r>
  <r>
    <x v="7"/>
    <n v="13.6938"/>
    <n v="-89.178600000000003"/>
    <n v="4"/>
    <n v="0"/>
    <n v="0"/>
    <n v="107"/>
    <s v="_x0000_peopl"/>
  </r>
  <r>
    <x v="7"/>
    <n v="13.6938"/>
    <n v="-89.178600000000003"/>
    <n v="3"/>
    <n v="0"/>
    <n v="0"/>
    <n v="107"/>
    <s v="_x0000_peopl"/>
  </r>
  <r>
    <x v="7"/>
    <n v="13.6937"/>
    <n v="-89.179000000000002"/>
    <n v="1"/>
    <n v="0"/>
    <n v="0"/>
    <n v="107"/>
    <s v="_x0000_peopl"/>
  </r>
  <r>
    <x v="7"/>
    <n v="13.6937"/>
    <n v="-89.178899999999999"/>
    <n v="8"/>
    <n v="0"/>
    <n v="0"/>
    <n v="107"/>
    <s v="_x0000_peopl"/>
  </r>
  <r>
    <x v="7"/>
    <n v="13.6937"/>
    <n v="-89.178899999999999"/>
    <n v="2"/>
    <n v="0"/>
    <n v="0"/>
    <n v="107"/>
    <s v="_x0000_peopl"/>
  </r>
  <r>
    <x v="7"/>
    <n v="13.6937"/>
    <n v="-89.178799999999995"/>
    <n v="5"/>
    <n v="0"/>
    <n v="0"/>
    <n v="107"/>
    <s v="_x0000_peopl"/>
  </r>
  <r>
    <x v="7"/>
    <n v="13.6937"/>
    <n v="-89.178700000000006"/>
    <n v="6"/>
    <n v="0"/>
    <n v="0"/>
    <n v="107"/>
    <s v="_x0000_peopl"/>
  </r>
  <r>
    <x v="7"/>
    <n v="13.6938"/>
    <n v="-89.1798"/>
    <n v="4"/>
    <n v="0"/>
    <n v="0"/>
    <n v="107"/>
    <s v="_x0000_peopl"/>
  </r>
  <r>
    <x v="7"/>
    <n v="13.694000000000001"/>
    <n v="-89.179500000000004"/>
    <n v="5"/>
    <n v="0"/>
    <n v="0"/>
    <n v="107"/>
    <s v="_x0000_peopl"/>
  </r>
  <r>
    <x v="7"/>
    <n v="13.693899999999999"/>
    <n v="-89.179500000000004"/>
    <n v="5"/>
    <n v="0"/>
    <n v="0"/>
    <n v="107"/>
    <s v="_x0000_peopl"/>
  </r>
  <r>
    <x v="7"/>
    <n v="13.693899999999999"/>
    <n v="-89.179500000000004"/>
    <n v="4"/>
    <n v="0"/>
    <n v="0"/>
    <n v="107"/>
    <s v="_x0000_peopl"/>
  </r>
  <r>
    <x v="7"/>
    <n v="13.693899999999999"/>
    <n v="-89.179500000000004"/>
    <n v="4"/>
    <n v="0"/>
    <n v="0"/>
    <n v="107"/>
    <s v="_x0000_peopl"/>
  </r>
  <r>
    <x v="7"/>
    <n v="13.693899999999999"/>
    <n v="-89.179500000000004"/>
    <n v="5"/>
    <n v="0"/>
    <n v="0"/>
    <n v="107"/>
    <s v="_x0000_peopl"/>
  </r>
  <r>
    <x v="7"/>
    <n v="13.693899999999999"/>
    <n v="-89.179500000000004"/>
    <n v="2"/>
    <n v="0"/>
    <n v="0"/>
    <n v="107"/>
    <s v="_x0000_peopl"/>
  </r>
  <r>
    <x v="7"/>
    <n v="13.693899999999999"/>
    <n v="-89.179299999999998"/>
    <n v="3"/>
    <n v="0"/>
    <n v="0"/>
    <n v="107"/>
    <s v="_x0000_peopl"/>
  </r>
  <r>
    <x v="7"/>
    <n v="13.693899999999999"/>
    <n v="-89.179199999999994"/>
    <n v="7"/>
    <n v="0"/>
    <n v="0"/>
    <n v="107"/>
    <s v="_x0000_peopl"/>
  </r>
  <r>
    <x v="7"/>
    <n v="13.693899999999999"/>
    <n v="-89.179199999999994"/>
    <n v="4"/>
    <n v="0"/>
    <n v="0"/>
    <n v="107"/>
    <s v="_x0000_peopl"/>
  </r>
  <r>
    <x v="7"/>
    <n v="13.694000000000001"/>
    <n v="-89.179100000000005"/>
    <n v="4"/>
    <n v="0"/>
    <n v="0"/>
    <n v="107"/>
    <s v="_x0000_peopl"/>
  </r>
  <r>
    <x v="7"/>
    <n v="13.694000000000001"/>
    <n v="-89.179500000000004"/>
    <n v="3"/>
    <n v="0"/>
    <n v="0"/>
    <n v="107"/>
    <s v="_x0000_peopl"/>
  </r>
  <r>
    <x v="7"/>
    <n v="13.694000000000001"/>
    <n v="-89.179500000000004"/>
    <n v="5"/>
    <n v="0"/>
    <n v="0"/>
    <n v="107"/>
    <s v="_x0000_peopl"/>
  </r>
  <r>
    <x v="7"/>
    <n v="13.694000000000001"/>
    <n v="-89.179500000000004"/>
    <n v="5"/>
    <n v="0"/>
    <n v="0"/>
    <n v="107"/>
    <s v="_x0000_peopl"/>
  </r>
  <r>
    <x v="7"/>
    <n v="13.694000000000001"/>
    <n v="-89.179500000000004"/>
    <n v="7"/>
    <n v="0"/>
    <n v="0"/>
    <n v="107"/>
    <s v="_x0000_peopl"/>
  </r>
  <r>
    <x v="7"/>
    <n v="13.6942"/>
    <n v="-89.179000000000002"/>
    <n v="3"/>
    <n v="0"/>
    <n v="0"/>
    <n v="107"/>
    <s v="_x0000_peopl"/>
  </r>
  <r>
    <x v="7"/>
    <n v="13.6942"/>
    <n v="-89.179000000000002"/>
    <n v="4"/>
    <n v="0"/>
    <n v="0"/>
    <n v="107"/>
    <s v="_x0000_peopl"/>
  </r>
  <r>
    <x v="7"/>
    <n v="13.694100000000001"/>
    <n v="-89.179000000000002"/>
    <n v="5"/>
    <n v="0"/>
    <n v="0"/>
    <n v="107"/>
    <s v="_x0000_peopl"/>
  </r>
  <r>
    <x v="7"/>
    <n v="13.6943"/>
    <n v="-89.178899999999999"/>
    <n v="3"/>
    <n v="0"/>
    <n v="0"/>
    <n v="107"/>
    <s v="_x0000_peopl"/>
  </r>
  <r>
    <x v="7"/>
    <n v="13.6942"/>
    <n v="-89.178799999999995"/>
    <n v="7"/>
    <n v="0"/>
    <n v="0"/>
    <n v="107"/>
    <s v="_x0000_peopl"/>
  </r>
  <r>
    <x v="7"/>
    <n v="13.6942"/>
    <n v="-89.178899999999999"/>
    <n v="4"/>
    <n v="0"/>
    <n v="0"/>
    <n v="107"/>
    <s v="_x0000_peopl"/>
  </r>
  <r>
    <x v="7"/>
    <n v="13.694100000000001"/>
    <n v="-89.178899999999999"/>
    <n v="7"/>
    <n v="0"/>
    <n v="0"/>
    <n v="107"/>
    <s v="_x0000_peopl"/>
  </r>
  <r>
    <x v="7"/>
    <n v="13.694000000000001"/>
    <n v="-89.178899999999999"/>
    <n v="6"/>
    <n v="0"/>
    <n v="0"/>
    <n v="107"/>
    <s v="_x0000_peopl"/>
  </r>
  <r>
    <x v="7"/>
    <n v="13.694000000000001"/>
    <n v="-89.178899999999999"/>
    <n v="3"/>
    <n v="0"/>
    <n v="0"/>
    <n v="107"/>
    <s v="_x0000_peopl"/>
  </r>
  <r>
    <x v="7"/>
    <n v="13.6942"/>
    <n v="-89.178600000000003"/>
    <n v="6"/>
    <n v="0"/>
    <n v="0"/>
    <n v="107"/>
    <s v="_x0000_peopl"/>
  </r>
  <r>
    <x v="7"/>
    <n v="13.693899999999999"/>
    <n v="-89.178600000000003"/>
    <n v="5"/>
    <n v="0"/>
    <n v="0"/>
    <n v="107"/>
    <s v="_x0000_peopl"/>
  </r>
  <r>
    <x v="7"/>
    <n v="13.694599999999999"/>
    <n v="-89.182299999999998"/>
    <n v="1"/>
    <n v="0"/>
    <n v="0"/>
    <n v="107"/>
    <s v="_x0000_peopl"/>
  </r>
  <r>
    <x v="7"/>
    <n v="13.6944"/>
    <n v="-89.182199999999995"/>
    <n v="4"/>
    <n v="0"/>
    <n v="0"/>
    <n v="107"/>
    <s v="_x0000_peopl"/>
  </r>
  <r>
    <x v="7"/>
    <n v="13.6944"/>
    <n v="-89.182299999999998"/>
    <n v="3"/>
    <n v="0"/>
    <n v="0"/>
    <n v="107"/>
    <s v="_x0000_peopl"/>
  </r>
  <r>
    <x v="7"/>
    <n v="13.6943"/>
    <n v="-89.182199999999995"/>
    <n v="7"/>
    <n v="0"/>
    <n v="0"/>
    <n v="107"/>
    <s v="_x0000_peopl"/>
  </r>
  <r>
    <x v="7"/>
    <n v="13.6944"/>
    <n v="-89.182199999999995"/>
    <n v="4"/>
    <n v="0"/>
    <n v="0"/>
    <n v="107"/>
    <s v="_x0000_peopl"/>
  </r>
  <r>
    <x v="7"/>
    <n v="13.6944"/>
    <n v="-89.182199999999995"/>
    <n v="5"/>
    <n v="0"/>
    <n v="0"/>
    <n v="107"/>
    <s v="_x0000_peopl"/>
  </r>
  <r>
    <x v="7"/>
    <n v="13.6944"/>
    <n v="-89.182000000000002"/>
    <n v="3"/>
    <n v="0"/>
    <n v="0"/>
    <n v="107"/>
    <s v="_x0000_peopl"/>
  </r>
  <r>
    <x v="7"/>
    <n v="13.6944"/>
    <n v="-89.181899999999999"/>
    <n v="3"/>
    <n v="0"/>
    <n v="0"/>
    <n v="107"/>
    <s v="_x0000_peopl"/>
  </r>
  <r>
    <x v="7"/>
    <n v="13.6944"/>
    <n v="-89.181799999999996"/>
    <n v="2"/>
    <n v="0"/>
    <n v="0"/>
    <n v="107"/>
    <s v="_x0000_peopl"/>
  </r>
  <r>
    <x v="7"/>
    <n v="13.6945"/>
    <n v="-89.182000000000002"/>
    <n v="8"/>
    <n v="0"/>
    <n v="0"/>
    <n v="107"/>
    <s v="_x0000_peopl"/>
  </r>
  <r>
    <x v="7"/>
    <n v="13.6944"/>
    <n v="-89.181600000000003"/>
    <n v="6"/>
    <n v="0"/>
    <n v="0"/>
    <n v="107"/>
    <s v="_x0000_peopl"/>
  </r>
  <r>
    <x v="7"/>
    <n v="13.694599999999999"/>
    <n v="-89.1815"/>
    <n v="6"/>
    <n v="0"/>
    <n v="0"/>
    <n v="107"/>
    <s v="_x0000_peopl"/>
  </r>
  <r>
    <x v="7"/>
    <n v="13.6945"/>
    <n v="-89.182199999999995"/>
    <n v="3"/>
    <n v="0"/>
    <n v="0"/>
    <n v="107"/>
    <s v="_x0000_peopl"/>
  </r>
  <r>
    <x v="7"/>
    <n v="13.6945"/>
    <n v="-89.182199999999995"/>
    <n v="8"/>
    <n v="0"/>
    <n v="0"/>
    <n v="107"/>
    <s v="_x0000_peopl"/>
  </r>
  <r>
    <x v="7"/>
    <n v="13.6945"/>
    <n v="-89.182100000000005"/>
    <n v="5"/>
    <n v="0"/>
    <n v="0"/>
    <n v="107"/>
    <s v="_x0000_peopl"/>
  </r>
  <r>
    <x v="7"/>
    <n v="13.6945"/>
    <n v="-89.182100000000005"/>
    <n v="5"/>
    <n v="0"/>
    <n v="0"/>
    <n v="107"/>
    <s v="_x0000_peopl"/>
  </r>
  <r>
    <x v="7"/>
    <n v="13.6945"/>
    <n v="-89.182100000000005"/>
    <n v="6"/>
    <n v="0"/>
    <n v="0"/>
    <n v="107"/>
    <s v="_x0000_peopl"/>
  </r>
  <r>
    <x v="7"/>
    <n v="13.6945"/>
    <n v="-89.182100000000005"/>
    <n v="4"/>
    <n v="0"/>
    <n v="0"/>
    <n v="107"/>
    <s v="_x0000_peopl"/>
  </r>
  <r>
    <x v="7"/>
    <n v="13.6945"/>
    <n v="-89.182000000000002"/>
    <n v="4"/>
    <n v="0"/>
    <n v="0"/>
    <n v="107"/>
    <s v="_x0000_peopl"/>
  </r>
  <r>
    <x v="7"/>
    <n v="13.6945"/>
    <n v="-89.182000000000002"/>
    <n v="5"/>
    <n v="0"/>
    <n v="0"/>
    <n v="107"/>
    <s v="_x0000_peopl"/>
  </r>
  <r>
    <x v="7"/>
    <n v="13.6945"/>
    <n v="-89.182000000000002"/>
    <n v="3"/>
    <n v="0"/>
    <n v="0"/>
    <n v="107"/>
    <s v="_x0000_peopl"/>
  </r>
  <r>
    <x v="7"/>
    <n v="13.6945"/>
    <n v="-89.182000000000002"/>
    <n v="2"/>
    <n v="0"/>
    <n v="0"/>
    <n v="107"/>
    <s v="_x0000_peopl"/>
  </r>
  <r>
    <x v="7"/>
    <n v="13.6945"/>
    <n v="-89.182000000000002"/>
    <n v="5"/>
    <n v="0"/>
    <n v="0"/>
    <n v="107"/>
    <s v="_x0000_peopl"/>
  </r>
  <r>
    <x v="7"/>
    <n v="13.6945"/>
    <n v="-89.182000000000002"/>
    <n v="5"/>
    <n v="0"/>
    <n v="0"/>
    <n v="107"/>
    <s v="_x0000_peopl"/>
  </r>
  <r>
    <x v="7"/>
    <n v="13.6945"/>
    <n v="-89.181899999999999"/>
    <n v="5"/>
    <n v="0"/>
    <n v="0"/>
    <n v="107"/>
    <s v="_x0000_peopl"/>
  </r>
  <r>
    <x v="7"/>
    <n v="13.6945"/>
    <n v="-89.181899999999999"/>
    <n v="5"/>
    <n v="0"/>
    <n v="0"/>
    <n v="107"/>
    <s v="_x0000_peopl"/>
  </r>
  <r>
    <x v="7"/>
    <n v="13.6945"/>
    <n v="-89.181899999999999"/>
    <n v="4"/>
    <n v="0"/>
    <n v="0"/>
    <n v="107"/>
    <s v="_x0000_peopl"/>
  </r>
  <r>
    <x v="7"/>
    <n v="13.6945"/>
    <n v="-89.181899999999999"/>
    <n v="2"/>
    <n v="0"/>
    <n v="0"/>
    <n v="107"/>
    <s v="_x0000_peopl"/>
  </r>
  <r>
    <x v="7"/>
    <n v="13.6945"/>
    <n v="-89.181899999999999"/>
    <n v="3"/>
    <n v="0"/>
    <n v="0"/>
    <n v="107"/>
    <s v="_x0000_peopl"/>
  </r>
  <r>
    <x v="7"/>
    <n v="13.6945"/>
    <n v="-89.181899999999999"/>
    <n v="6"/>
    <n v="0"/>
    <n v="0"/>
    <n v="107"/>
    <s v="_x0000_peopl"/>
  </r>
  <r>
    <x v="7"/>
    <n v="13.6945"/>
    <n v="-89.181799999999996"/>
    <n v="7"/>
    <n v="0"/>
    <n v="0"/>
    <n v="107"/>
    <s v="_x0000_peopl"/>
  </r>
  <r>
    <x v="7"/>
    <n v="13.6945"/>
    <n v="-89.181799999999996"/>
    <n v="4"/>
    <n v="0"/>
    <n v="0"/>
    <n v="107"/>
    <s v="_x0000_peopl"/>
  </r>
  <r>
    <x v="7"/>
    <n v="13.6945"/>
    <n v="-89.181799999999996"/>
    <n v="4"/>
    <n v="0"/>
    <n v="0"/>
    <n v="107"/>
    <s v="_x0000_peopl"/>
  </r>
  <r>
    <x v="7"/>
    <n v="13.6945"/>
    <n v="-89.181799999999996"/>
    <n v="8"/>
    <n v="0"/>
    <n v="0"/>
    <n v="107"/>
    <s v="_x0000_peopl"/>
  </r>
  <r>
    <x v="7"/>
    <n v="13.6945"/>
    <n v="-89.181700000000006"/>
    <n v="6"/>
    <n v="0"/>
    <n v="0"/>
    <n v="107"/>
    <s v="_x0000_peopl"/>
  </r>
  <r>
    <x v="7"/>
    <n v="13.6945"/>
    <n v="-89.181700000000006"/>
    <n v="3"/>
    <n v="0"/>
    <n v="0"/>
    <n v="107"/>
    <s v="_x0000_peopl"/>
  </r>
  <r>
    <x v="7"/>
    <n v="13.6945"/>
    <n v="-89.181700000000006"/>
    <n v="1"/>
    <n v="0"/>
    <n v="0"/>
    <n v="107"/>
    <s v="_x0000_peopl"/>
  </r>
  <r>
    <x v="7"/>
    <n v="13.6945"/>
    <n v="-89.181700000000006"/>
    <n v="3"/>
    <n v="0"/>
    <n v="0"/>
    <n v="107"/>
    <s v="_x0000_peopl"/>
  </r>
  <r>
    <x v="7"/>
    <n v="13.6945"/>
    <n v="-89.181700000000006"/>
    <n v="8"/>
    <n v="0"/>
    <n v="0"/>
    <n v="107"/>
    <s v="_x0000_peopl"/>
  </r>
  <r>
    <x v="7"/>
    <n v="13.6945"/>
    <n v="-89.181600000000003"/>
    <n v="5"/>
    <n v="0"/>
    <n v="0"/>
    <n v="107"/>
    <s v="_x0000_peopl"/>
  </r>
  <r>
    <x v="7"/>
    <n v="13.6945"/>
    <n v="-89.181600000000003"/>
    <n v="4"/>
    <n v="0"/>
    <n v="0"/>
    <n v="107"/>
    <s v="_x0000_peopl"/>
  </r>
  <r>
    <x v="7"/>
    <n v="13.6945"/>
    <n v="-89.181600000000003"/>
    <n v="4"/>
    <n v="0"/>
    <n v="0"/>
    <n v="107"/>
    <s v="_x0000_peopl"/>
  </r>
  <r>
    <x v="7"/>
    <n v="13.6945"/>
    <n v="-89.181600000000003"/>
    <n v="5"/>
    <n v="0"/>
    <n v="0"/>
    <n v="107"/>
    <s v="_x0000_peopl"/>
  </r>
  <r>
    <x v="7"/>
    <n v="13.6945"/>
    <n v="-89.1815"/>
    <n v="4"/>
    <n v="0"/>
    <n v="0"/>
    <n v="107"/>
    <s v="_x0000_peopl"/>
  </r>
  <r>
    <x v="7"/>
    <n v="13.6945"/>
    <n v="-89.1815"/>
    <n v="5"/>
    <n v="0"/>
    <n v="0"/>
    <n v="107"/>
    <s v="_x0000_peopl"/>
  </r>
  <r>
    <x v="7"/>
    <n v="13.6945"/>
    <n v="-89.1815"/>
    <n v="4"/>
    <n v="0"/>
    <n v="0"/>
    <n v="107"/>
    <s v="_x0000_peopl"/>
  </r>
  <r>
    <x v="7"/>
    <n v="13.6945"/>
    <n v="-89.1815"/>
    <n v="4"/>
    <n v="0"/>
    <n v="0"/>
    <n v="107"/>
    <s v="_x0000_peopl"/>
  </r>
  <r>
    <x v="7"/>
    <n v="13.6945"/>
    <n v="-89.181399999999996"/>
    <n v="3"/>
    <n v="0"/>
    <n v="0"/>
    <n v="107"/>
    <s v="_x0000_peopl"/>
  </r>
  <r>
    <x v="7"/>
    <n v="13.6945"/>
    <n v="-89.181399999999996"/>
    <n v="2"/>
    <n v="0"/>
    <n v="0"/>
    <n v="107"/>
    <s v="_x0000_peopl"/>
  </r>
  <r>
    <x v="7"/>
    <n v="13.6945"/>
    <n v="-89.181399999999996"/>
    <n v="8"/>
    <n v="0"/>
    <n v="0"/>
    <n v="107"/>
    <s v="_x0000_peopl"/>
  </r>
  <r>
    <x v="7"/>
    <n v="13.694699999999999"/>
    <n v="-89.182100000000005"/>
    <n v="2"/>
    <n v="0"/>
    <n v="0"/>
    <n v="107"/>
    <s v="_x0000_peopl"/>
  </r>
  <r>
    <x v="7"/>
    <n v="13.694699999999999"/>
    <n v="-89.182100000000005"/>
    <n v="6"/>
    <n v="0"/>
    <n v="0"/>
    <n v="107"/>
    <s v="_x0000_peopl"/>
  </r>
  <r>
    <x v="7"/>
    <n v="13.694699999999999"/>
    <n v="-89.182000000000002"/>
    <n v="4"/>
    <n v="0"/>
    <n v="0"/>
    <n v="107"/>
    <s v="_x0000_peopl"/>
  </r>
  <r>
    <x v="7"/>
    <n v="13.694699999999999"/>
    <n v="-89.182000000000002"/>
    <n v="1"/>
    <n v="0"/>
    <n v="0"/>
    <n v="107"/>
    <s v="_x0000_peopl"/>
  </r>
  <r>
    <x v="7"/>
    <n v="13.694699999999999"/>
    <n v="-89.182000000000002"/>
    <n v="8"/>
    <n v="0"/>
    <n v="0"/>
    <n v="107"/>
    <s v="_x0000_peopl"/>
  </r>
  <r>
    <x v="7"/>
    <n v="13.694699999999999"/>
    <n v="-89.182000000000002"/>
    <n v="8"/>
    <n v="0"/>
    <n v="0"/>
    <n v="107"/>
    <s v="_x0000_peopl"/>
  </r>
  <r>
    <x v="7"/>
    <n v="13.694699999999999"/>
    <n v="-89.181899999999999"/>
    <n v="8"/>
    <n v="0"/>
    <n v="0"/>
    <n v="107"/>
    <s v="_x0000_peopl"/>
  </r>
  <r>
    <x v="7"/>
    <n v="13.694699999999999"/>
    <n v="-89.181899999999999"/>
    <n v="6"/>
    <n v="0"/>
    <n v="0"/>
    <n v="107"/>
    <s v="_x0000_peopl"/>
  </r>
  <r>
    <x v="7"/>
    <n v="13.694599999999999"/>
    <n v="-89.181899999999999"/>
    <n v="7"/>
    <n v="0"/>
    <n v="0"/>
    <n v="107"/>
    <s v="_x0000_peopl"/>
  </r>
  <r>
    <x v="7"/>
    <n v="13.694599999999999"/>
    <n v="-89.181899999999999"/>
    <n v="6"/>
    <n v="0"/>
    <n v="0"/>
    <n v="107"/>
    <s v="_x0000_peopl"/>
  </r>
  <r>
    <x v="7"/>
    <n v="13.694599999999999"/>
    <n v="-89.181899999999999"/>
    <n v="5"/>
    <n v="0"/>
    <n v="0"/>
    <n v="107"/>
    <s v="_x0000_peopl"/>
  </r>
  <r>
    <x v="7"/>
    <n v="13.694599999999999"/>
    <n v="-89.181899999999999"/>
    <n v="8"/>
    <n v="0"/>
    <n v="0"/>
    <n v="107"/>
    <s v="_x0000_peopl"/>
  </r>
  <r>
    <x v="7"/>
    <n v="13.694599999999999"/>
    <n v="-89.181799999999996"/>
    <n v="5"/>
    <n v="0"/>
    <n v="0"/>
    <n v="107"/>
    <s v="_x0000_peopl"/>
  </r>
  <r>
    <x v="7"/>
    <n v="13.694599999999999"/>
    <n v="-89.181799999999996"/>
    <n v="7"/>
    <n v="0"/>
    <n v="0"/>
    <n v="107"/>
    <s v="_x0000_peopl"/>
  </r>
  <r>
    <x v="7"/>
    <n v="13.694599999999999"/>
    <n v="-89.181799999999996"/>
    <n v="6"/>
    <n v="0"/>
    <n v="0"/>
    <n v="107"/>
    <s v="_x0000_peopl"/>
  </r>
  <r>
    <x v="7"/>
    <n v="13.694599999999999"/>
    <n v="-89.181799999999996"/>
    <n v="5"/>
    <n v="0"/>
    <n v="0"/>
    <n v="107"/>
    <s v="_x0000_peopl"/>
  </r>
  <r>
    <x v="7"/>
    <n v="13.694599999999999"/>
    <n v="-89.181799999999996"/>
    <n v="9"/>
    <n v="0"/>
    <n v="0"/>
    <n v="107"/>
    <s v="_x0000_peopl"/>
  </r>
  <r>
    <x v="7"/>
    <n v="13.694599999999999"/>
    <n v="-89.181799999999996"/>
    <n v="5"/>
    <n v="0"/>
    <n v="0"/>
    <n v="107"/>
    <s v="_x0000_peopl"/>
  </r>
  <r>
    <x v="7"/>
    <n v="13.694599999999999"/>
    <n v="-89.181700000000006"/>
    <n v="2"/>
    <n v="0"/>
    <n v="0"/>
    <n v="107"/>
    <s v="_x0000_peopl"/>
  </r>
  <r>
    <x v="7"/>
    <n v="13.694599999999999"/>
    <n v="-89.181700000000006"/>
    <n v="8"/>
    <n v="0"/>
    <n v="0"/>
    <n v="107"/>
    <s v="_x0000_peopl"/>
  </r>
  <r>
    <x v="7"/>
    <n v="13.694599999999999"/>
    <n v="-89.181700000000006"/>
    <n v="5"/>
    <n v="0"/>
    <n v="0"/>
    <n v="107"/>
    <s v="_x0000_peopl"/>
  </r>
  <r>
    <x v="7"/>
    <n v="13.694599999999999"/>
    <n v="-89.181700000000006"/>
    <n v="5"/>
    <n v="0"/>
    <n v="0"/>
    <n v="107"/>
    <s v="_x0000_peopl"/>
  </r>
  <r>
    <x v="7"/>
    <n v="13.694599999999999"/>
    <n v="-89.181600000000003"/>
    <n v="3"/>
    <n v="0"/>
    <n v="0"/>
    <n v="107"/>
    <s v="_x0000_peopl"/>
  </r>
  <r>
    <x v="7"/>
    <n v="13.694599999999999"/>
    <n v="-89.181600000000003"/>
    <n v="3"/>
    <n v="0"/>
    <n v="0"/>
    <n v="107"/>
    <s v="_x0000_peopl"/>
  </r>
  <r>
    <x v="7"/>
    <n v="13.694599999999999"/>
    <n v="-89.181600000000003"/>
    <n v="3"/>
    <n v="0"/>
    <n v="0"/>
    <n v="107"/>
    <s v="_x0000_peopl"/>
  </r>
  <r>
    <x v="7"/>
    <n v="13.694599999999999"/>
    <n v="-89.181600000000003"/>
    <n v="6"/>
    <n v="0"/>
    <n v="0"/>
    <n v="107"/>
    <s v="_x0000_peopl"/>
  </r>
  <r>
    <x v="7"/>
    <n v="13.694599999999999"/>
    <n v="-89.181600000000003"/>
    <n v="4"/>
    <n v="0"/>
    <n v="0"/>
    <n v="107"/>
    <s v="_x0000_peopl"/>
  </r>
  <r>
    <x v="7"/>
    <n v="13.694599999999999"/>
    <n v="-89.181600000000003"/>
    <n v="8"/>
    <n v="0"/>
    <n v="0"/>
    <n v="107"/>
    <s v="_x0000_peopl"/>
  </r>
  <r>
    <x v="7"/>
    <n v="13.694699999999999"/>
    <n v="-89.1815"/>
    <n v="3"/>
    <n v="0"/>
    <n v="0"/>
    <n v="107"/>
    <s v="_x0000_peopl"/>
  </r>
  <r>
    <x v="7"/>
    <n v="13.694699999999999"/>
    <n v="-89.182199999999995"/>
    <n v="4"/>
    <n v="0"/>
    <n v="0"/>
    <n v="107"/>
    <s v="_x0000_peopl"/>
  </r>
  <r>
    <x v="7"/>
    <n v="13.694699999999999"/>
    <n v="-89.182199999999995"/>
    <n v="5"/>
    <n v="0"/>
    <n v="0"/>
    <n v="107"/>
    <s v="_x0000_peopl"/>
  </r>
  <r>
    <x v="7"/>
    <n v="13.694800000000001"/>
    <n v="-89.182100000000005"/>
    <n v="4"/>
    <n v="0"/>
    <n v="0"/>
    <n v="107"/>
    <s v="_x0000_peopl"/>
  </r>
  <r>
    <x v="7"/>
    <n v="13.694900000000001"/>
    <n v="-89.182100000000005"/>
    <n v="7"/>
    <n v="0"/>
    <n v="0"/>
    <n v="107"/>
    <s v="_x0000_peopl"/>
  </r>
  <r>
    <x v="7"/>
    <n v="13.694800000000001"/>
    <n v="-89.182000000000002"/>
    <n v="4"/>
    <n v="0"/>
    <n v="0"/>
    <n v="107"/>
    <s v="_x0000_peopl"/>
  </r>
  <r>
    <x v="7"/>
    <n v="13.694800000000001"/>
    <n v="-89.182000000000002"/>
    <n v="3"/>
    <n v="0"/>
    <n v="0"/>
    <n v="107"/>
    <s v="_x0000_peopl"/>
  </r>
  <r>
    <x v="7"/>
    <n v="13.694800000000001"/>
    <n v="-89.182000000000002"/>
    <n v="3"/>
    <n v="0"/>
    <n v="0"/>
    <n v="107"/>
    <s v="_x0000_peopl"/>
  </r>
  <r>
    <x v="7"/>
    <n v="13.694800000000001"/>
    <n v="-89.182000000000002"/>
    <n v="6"/>
    <n v="0"/>
    <n v="0"/>
    <n v="107"/>
    <s v="_x0000_peopl"/>
  </r>
  <r>
    <x v="7"/>
    <n v="13.694800000000001"/>
    <n v="-89.181899999999999"/>
    <n v="4"/>
    <n v="0"/>
    <n v="0"/>
    <n v="107"/>
    <s v="_x0000_peopl"/>
  </r>
  <r>
    <x v="7"/>
    <n v="13.694699999999999"/>
    <n v="-89.181899999999999"/>
    <n v="5"/>
    <n v="0"/>
    <n v="0"/>
    <n v="107"/>
    <s v="_x0000_peopl"/>
  </r>
  <r>
    <x v="7"/>
    <n v="13.694800000000001"/>
    <n v="-89.181700000000006"/>
    <n v="9"/>
    <n v="0"/>
    <n v="0"/>
    <n v="107"/>
    <s v="_x0000_peopl"/>
  </r>
  <r>
    <x v="7"/>
    <n v="13.694800000000001"/>
    <n v="-89.181600000000003"/>
    <n v="3"/>
    <n v="0"/>
    <n v="0"/>
    <n v="107"/>
    <s v="_x0000_peopl"/>
  </r>
  <r>
    <x v="7"/>
    <n v="13.6952"/>
    <n v="-89.182400000000001"/>
    <n v="5"/>
    <n v="0"/>
    <n v="0"/>
    <n v="107"/>
    <s v="_x0000_peopl"/>
  </r>
  <r>
    <x v="7"/>
    <n v="13.6952"/>
    <n v="-89.182599999999994"/>
    <n v="5"/>
    <n v="0"/>
    <n v="0"/>
    <n v="107"/>
    <s v="_x0000_peopl"/>
  </r>
  <r>
    <x v="7"/>
    <n v="13.6953"/>
    <n v="-89.183099999999996"/>
    <n v="6"/>
    <n v="0"/>
    <n v="0"/>
    <n v="107"/>
    <s v="_x0000_peopl"/>
  </r>
  <r>
    <x v="7"/>
    <n v="13.6953"/>
    <n v="-89.182500000000005"/>
    <n v="1"/>
    <n v="0"/>
    <n v="0"/>
    <n v="107"/>
    <s v="_x0000_peopl"/>
  </r>
  <r>
    <x v="7"/>
    <n v="13.695399999999999"/>
    <n v="-89.182500000000005"/>
    <n v="3"/>
    <n v="0"/>
    <n v="0"/>
    <n v="107"/>
    <s v="_x0000_peopl"/>
  </r>
  <r>
    <x v="7"/>
    <n v="13.695399999999999"/>
    <n v="-89.182500000000005"/>
    <n v="4"/>
    <n v="0"/>
    <n v="0"/>
    <n v="107"/>
    <s v="_x0000_peopl"/>
  </r>
  <r>
    <x v="7"/>
    <n v="13.695399999999999"/>
    <n v="-89.182400000000001"/>
    <n v="4"/>
    <n v="0"/>
    <n v="0"/>
    <n v="107"/>
    <s v="_x0000_peopl"/>
  </r>
  <r>
    <x v="7"/>
    <n v="13.6953"/>
    <n v="-89.182400000000001"/>
    <n v="8"/>
    <n v="0"/>
    <n v="0"/>
    <n v="107"/>
    <s v="_x0000_peopl"/>
  </r>
  <r>
    <x v="7"/>
    <n v="13.6953"/>
    <n v="-89.182500000000005"/>
    <n v="2"/>
    <n v="0"/>
    <n v="0"/>
    <n v="107"/>
    <s v="_x0000_peopl"/>
  </r>
  <r>
    <x v="7"/>
    <n v="13.6957"/>
    <n v="-89.183000000000007"/>
    <n v="3"/>
    <n v="0"/>
    <n v="0"/>
    <n v="107"/>
    <s v="_x0000_peopl"/>
  </r>
  <r>
    <x v="7"/>
    <n v="13.6957"/>
    <n v="-89.183099999999996"/>
    <n v="8"/>
    <n v="0"/>
    <n v="0"/>
    <n v="107"/>
    <s v="_x0000_peopl"/>
  </r>
  <r>
    <x v="7"/>
    <n v="13.695600000000001"/>
    <n v="-89.183099999999996"/>
    <n v="6"/>
    <n v="0"/>
    <n v="0"/>
    <n v="107"/>
    <s v="_x0000_peopl"/>
  </r>
  <r>
    <x v="7"/>
    <n v="13.695600000000001"/>
    <n v="-89.183000000000007"/>
    <n v="8"/>
    <n v="0"/>
    <n v="0"/>
    <n v="107"/>
    <s v="_x0000_peopl"/>
  </r>
  <r>
    <x v="7"/>
    <n v="13.695600000000001"/>
    <n v="-89.183199999999999"/>
    <n v="5"/>
    <n v="0"/>
    <n v="0"/>
    <n v="107"/>
    <s v="_x0000_peopl"/>
  </r>
  <r>
    <x v="7"/>
    <n v="13.695600000000001"/>
    <n v="-89.183199999999999"/>
    <n v="1"/>
    <n v="0"/>
    <n v="0"/>
    <n v="107"/>
    <s v="_x0000_peopl"/>
  </r>
  <r>
    <x v="7"/>
    <n v="13.695600000000001"/>
    <n v="-89.183199999999999"/>
    <n v="5"/>
    <n v="0"/>
    <n v="0"/>
    <n v="107"/>
    <s v="_x0000_peopl"/>
  </r>
  <r>
    <x v="7"/>
    <n v="13.695600000000001"/>
    <n v="-89.183199999999999"/>
    <n v="5"/>
    <n v="0"/>
    <n v="0"/>
    <n v="107"/>
    <s v="_x0000_peopl"/>
  </r>
  <r>
    <x v="7"/>
    <n v="13.695600000000001"/>
    <n v="-89.183099999999996"/>
    <n v="8"/>
    <n v="0"/>
    <n v="0"/>
    <n v="107"/>
    <s v="_x0000_peopl"/>
  </r>
  <r>
    <x v="7"/>
    <n v="13.695600000000001"/>
    <n v="-89.183099999999996"/>
    <n v="4"/>
    <n v="0"/>
    <n v="0"/>
    <n v="107"/>
    <s v="_x0000_peopl"/>
  </r>
  <r>
    <x v="7"/>
    <n v="13.695499999999999"/>
    <n v="-89.183099999999996"/>
    <n v="3"/>
    <n v="0"/>
    <n v="0"/>
    <n v="107"/>
    <s v="_x0000_peopl"/>
  </r>
  <r>
    <x v="7"/>
    <n v="13.695499999999999"/>
    <n v="-89.183099999999996"/>
    <n v="3"/>
    <n v="0"/>
    <n v="0"/>
    <n v="107"/>
    <s v="_x0000_peopl"/>
  </r>
  <r>
    <x v="7"/>
    <n v="13.695499999999999"/>
    <n v="-89.183000000000007"/>
    <n v="5"/>
    <n v="0"/>
    <n v="0"/>
    <n v="107"/>
    <s v="_x0000_peopl"/>
  </r>
  <r>
    <x v="7"/>
    <n v="13.695499999999999"/>
    <n v="-89.183000000000007"/>
    <n v="2"/>
    <n v="0"/>
    <n v="0"/>
    <n v="107"/>
    <s v="_x0000_peopl"/>
  </r>
  <r>
    <x v="7"/>
    <n v="13.695499999999999"/>
    <n v="-89.183000000000007"/>
    <n v="5"/>
    <n v="0"/>
    <n v="0"/>
    <n v="107"/>
    <s v="_x0000_peopl"/>
  </r>
  <r>
    <x v="7"/>
    <n v="13.695499999999999"/>
    <n v="-89.183000000000007"/>
    <n v="5"/>
    <n v="0"/>
    <n v="0"/>
    <n v="107"/>
    <s v="_x0000_peopl"/>
  </r>
  <r>
    <x v="7"/>
    <n v="13.695499999999999"/>
    <n v="-89.182900000000004"/>
    <n v="6"/>
    <n v="0"/>
    <n v="0"/>
    <n v="107"/>
    <s v="_x0000_peopl"/>
  </r>
  <r>
    <x v="7"/>
    <n v="13.695499999999999"/>
    <n v="-89.183000000000007"/>
    <n v="1"/>
    <n v="0"/>
    <n v="0"/>
    <n v="107"/>
    <s v="_x0000_peopl"/>
  </r>
  <r>
    <x v="7"/>
    <n v="13.695499999999999"/>
    <n v="-89.183000000000007"/>
    <n v="6"/>
    <n v="0"/>
    <n v="0"/>
    <n v="107"/>
    <s v="_x0000_peopl"/>
  </r>
  <r>
    <x v="7"/>
    <n v="13.695600000000001"/>
    <n v="-89.182900000000004"/>
    <n v="8"/>
    <n v="0"/>
    <n v="0"/>
    <n v="107"/>
    <s v="_x0000_peopl"/>
  </r>
  <r>
    <x v="7"/>
    <n v="13.695600000000001"/>
    <n v="-89.182900000000004"/>
    <n v="3"/>
    <n v="0"/>
    <n v="0"/>
    <n v="107"/>
    <s v="_x0000_peopl"/>
  </r>
  <r>
    <x v="7"/>
    <n v="13.695600000000001"/>
    <n v="-89.1828"/>
    <n v="4"/>
    <n v="0"/>
    <n v="0"/>
    <n v="107"/>
    <s v="_x0000_peopl"/>
  </r>
  <r>
    <x v="7"/>
    <n v="13.695600000000001"/>
    <n v="-89.1828"/>
    <n v="2"/>
    <n v="0"/>
    <n v="0"/>
    <n v="107"/>
    <s v="_x0000_peopl"/>
  </r>
  <r>
    <x v="7"/>
    <n v="13.695399999999999"/>
    <n v="-89.182900000000004"/>
    <n v="5"/>
    <n v="0"/>
    <n v="0"/>
    <n v="107"/>
    <s v="_x0000_peopl"/>
  </r>
  <r>
    <x v="7"/>
    <n v="13.695399999999999"/>
    <n v="-89.182900000000004"/>
    <n v="6"/>
    <n v="0"/>
    <n v="0"/>
    <n v="107"/>
    <s v="_x0000_peopl"/>
  </r>
  <r>
    <x v="7"/>
    <n v="13.695600000000001"/>
    <n v="-89.183000000000007"/>
    <n v="9"/>
    <n v="0"/>
    <n v="0"/>
    <n v="107"/>
    <s v="_x0000_peopl"/>
  </r>
  <r>
    <x v="7"/>
    <n v="13.695600000000001"/>
    <n v="-89.183000000000007"/>
    <n v="4"/>
    <n v="0"/>
    <n v="0"/>
    <n v="107"/>
    <s v="_x0000_peopl"/>
  </r>
  <r>
    <x v="7"/>
    <n v="13.695600000000001"/>
    <n v="-89.183000000000007"/>
    <n v="4"/>
    <n v="0"/>
    <n v="0"/>
    <n v="107"/>
    <s v="_x0000_peopl"/>
  </r>
  <r>
    <x v="7"/>
    <n v="13.695600000000001"/>
    <n v="-89.183000000000007"/>
    <n v="5"/>
    <n v="0"/>
    <n v="0"/>
    <n v="107"/>
    <s v="_x0000_peopl"/>
  </r>
  <r>
    <x v="7"/>
    <n v="13.6957"/>
    <n v="-89.182900000000004"/>
    <n v="2"/>
    <n v="0"/>
    <n v="0"/>
    <n v="107"/>
    <s v="_x0000_peopl"/>
  </r>
  <r>
    <x v="7"/>
    <n v="13.6957"/>
    <n v="-89.182900000000004"/>
    <n v="6"/>
    <n v="0"/>
    <n v="0"/>
    <n v="107"/>
    <s v="_x0000_peopl"/>
  </r>
  <r>
    <x v="7"/>
    <n v="13.695600000000001"/>
    <n v="-89.1828"/>
    <n v="5"/>
    <n v="0"/>
    <n v="0"/>
    <n v="107"/>
    <s v="_x0000_peopl"/>
  </r>
  <r>
    <x v="7"/>
    <n v="13.695600000000001"/>
    <n v="-89.1828"/>
    <n v="4"/>
    <n v="0"/>
    <n v="0"/>
    <n v="107"/>
    <s v="_x0000_peopl"/>
  </r>
  <r>
    <x v="7"/>
    <n v="13.695600000000001"/>
    <n v="-89.1828"/>
    <n v="6"/>
    <n v="0"/>
    <n v="0"/>
    <n v="107"/>
    <s v="_x0000_peopl"/>
  </r>
  <r>
    <x v="7"/>
    <n v="13.695600000000001"/>
    <n v="-89.1828"/>
    <n v="3"/>
    <n v="0"/>
    <n v="0"/>
    <n v="107"/>
    <s v="_x0000_peopl"/>
  </r>
  <r>
    <x v="7"/>
    <n v="13.6957"/>
    <n v="-89.1828"/>
    <n v="8"/>
    <n v="0"/>
    <n v="0"/>
    <n v="107"/>
    <s v="_x0000_peopl"/>
  </r>
  <r>
    <x v="7"/>
    <n v="13.6957"/>
    <n v="-89.182900000000004"/>
    <n v="6"/>
    <n v="0"/>
    <n v="0"/>
    <n v="107"/>
    <s v="_x0000_peopl"/>
  </r>
  <r>
    <x v="7"/>
    <n v="13.6957"/>
    <n v="-89.182900000000004"/>
    <n v="1"/>
    <n v="0"/>
    <n v="0"/>
    <n v="107"/>
    <s v="_x0000_peopl"/>
  </r>
  <r>
    <x v="7"/>
    <n v="13.6957"/>
    <n v="-89.183000000000007"/>
    <n v="6"/>
    <n v="0"/>
    <n v="0"/>
    <n v="107"/>
    <s v="_x0000_peopl"/>
  </r>
  <r>
    <x v="7"/>
    <n v="13.6957"/>
    <n v="-89.1828"/>
    <n v="3"/>
    <n v="0"/>
    <n v="0"/>
    <n v="107"/>
    <s v="_x0000_peopl"/>
  </r>
  <r>
    <x v="7"/>
    <n v="13.6957"/>
    <n v="-89.182900000000004"/>
    <n v="5"/>
    <n v="0"/>
    <n v="0"/>
    <n v="107"/>
    <s v="_x0000_peopl"/>
  </r>
  <r>
    <x v="7"/>
    <n v="13.6957"/>
    <n v="-89.182900000000004"/>
    <n v="3"/>
    <n v="0"/>
    <n v="0"/>
    <n v="107"/>
    <s v="_x0000_peopl"/>
  </r>
  <r>
    <x v="7"/>
    <n v="13.6957"/>
    <n v="-89.182699999999997"/>
    <n v="8"/>
    <n v="0"/>
    <n v="0"/>
    <n v="107"/>
    <s v="_x0000_peopl"/>
  </r>
  <r>
    <x v="7"/>
    <n v="13.6958"/>
    <n v="-89.182900000000004"/>
    <n v="5"/>
    <n v="0"/>
    <n v="0"/>
    <n v="107"/>
    <s v="_x0000_peopl"/>
  </r>
  <r>
    <x v="7"/>
    <n v="13.6958"/>
    <n v="-89.182900000000004"/>
    <n v="9"/>
    <n v="0"/>
    <n v="0"/>
    <n v="107"/>
    <s v="_x0000_peopl"/>
  </r>
  <r>
    <x v="7"/>
    <n v="13.6958"/>
    <n v="-89.182900000000004"/>
    <n v="4"/>
    <n v="0"/>
    <n v="0"/>
    <n v="107"/>
    <s v="_x0000_peopl"/>
  </r>
  <r>
    <x v="7"/>
    <n v="13.6958"/>
    <n v="-89.182900000000004"/>
    <n v="5"/>
    <n v="0"/>
    <n v="0"/>
    <n v="107"/>
    <s v="_x0000_peopl"/>
  </r>
  <r>
    <x v="7"/>
    <n v="13.6957"/>
    <n v="-89.182900000000004"/>
    <n v="3"/>
    <n v="0"/>
    <n v="0"/>
    <n v="107"/>
    <s v="_x0000_peopl"/>
  </r>
  <r>
    <x v="7"/>
    <n v="13.6958"/>
    <n v="-89.1828"/>
    <n v="4"/>
    <n v="0"/>
    <n v="0"/>
    <n v="107"/>
    <s v="_x0000_peopl"/>
  </r>
  <r>
    <x v="7"/>
    <n v="13.6958"/>
    <n v="-89.1828"/>
    <n v="6"/>
    <n v="0"/>
    <n v="0"/>
    <n v="107"/>
    <s v="_x0000_peopl"/>
  </r>
  <r>
    <x v="7"/>
    <n v="13.6958"/>
    <n v="-89.1828"/>
    <n v="5"/>
    <n v="0"/>
    <n v="0"/>
    <n v="107"/>
    <s v="_x0000_peopl"/>
  </r>
  <r>
    <x v="7"/>
    <n v="13.6958"/>
    <n v="-89.1828"/>
    <n v="5"/>
    <n v="0"/>
    <n v="0"/>
    <n v="107"/>
    <s v="_x0000_peopl"/>
  </r>
  <r>
    <x v="7"/>
    <n v="13.6958"/>
    <n v="-89.1828"/>
    <n v="3"/>
    <n v="0"/>
    <n v="0"/>
    <n v="107"/>
    <s v="_x0000_peopl"/>
  </r>
  <r>
    <x v="7"/>
    <n v="13.6958"/>
    <n v="-89.1828"/>
    <n v="9"/>
    <n v="0"/>
    <n v="0"/>
    <n v="107"/>
    <s v="_x0000_peopl"/>
  </r>
  <r>
    <x v="7"/>
    <n v="13.6958"/>
    <n v="-89.182699999999997"/>
    <n v="6"/>
    <n v="0"/>
    <n v="0"/>
    <n v="107"/>
    <s v="_x0000_peopl"/>
  </r>
  <r>
    <x v="7"/>
    <n v="13.6958"/>
    <n v="-89.182699999999997"/>
    <n v="3"/>
    <n v="0"/>
    <n v="0"/>
    <n v="107"/>
    <s v="_x0000_peopl"/>
  </r>
  <r>
    <x v="7"/>
    <n v="13.6958"/>
    <n v="-89.182699999999997"/>
    <n v="5"/>
    <n v="0"/>
    <n v="0"/>
    <n v="107"/>
    <s v="_x0000_peopl"/>
  </r>
  <r>
    <x v="7"/>
    <n v="13.6958"/>
    <n v="-89.182699999999997"/>
    <n v="6"/>
    <n v="0"/>
    <n v="0"/>
    <n v="107"/>
    <s v="_x0000_peopl"/>
  </r>
  <r>
    <x v="7"/>
    <n v="13.6958"/>
    <n v="-89.182699999999997"/>
    <n v="8"/>
    <n v="0"/>
    <n v="0"/>
    <n v="107"/>
    <s v="_x0000_peopl"/>
  </r>
  <r>
    <x v="7"/>
    <n v="13.6959"/>
    <n v="-89.182900000000004"/>
    <n v="5"/>
    <n v="0"/>
    <n v="0"/>
    <n v="107"/>
    <s v="_x0000_peopl"/>
  </r>
  <r>
    <x v="7"/>
    <n v="13.6959"/>
    <n v="-89.182699999999997"/>
    <n v="2"/>
    <n v="0"/>
    <n v="0"/>
    <n v="107"/>
    <s v="_x0000_peopl"/>
  </r>
  <r>
    <x v="7"/>
    <n v="13.6958"/>
    <n v="-89.1828"/>
    <n v="8"/>
    <n v="0"/>
    <n v="0"/>
    <n v="107"/>
    <s v="_x0000_peopl"/>
  </r>
  <r>
    <x v="7"/>
    <n v="13.6958"/>
    <n v="-89.1828"/>
    <n v="1"/>
    <n v="0"/>
    <n v="0"/>
    <n v="107"/>
    <s v="_x0000_peopl"/>
  </r>
  <r>
    <x v="7"/>
    <n v="13.6959"/>
    <n v="-89.1828"/>
    <n v="5"/>
    <n v="0"/>
    <n v="0"/>
    <n v="107"/>
    <s v="_x0000_peopl"/>
  </r>
  <r>
    <x v="7"/>
    <n v="13.6959"/>
    <n v="-89.1828"/>
    <n v="5"/>
    <n v="0"/>
    <n v="0"/>
    <n v="107"/>
    <s v="_x0000_peopl"/>
  </r>
  <r>
    <x v="7"/>
    <n v="13.6959"/>
    <n v="-89.182500000000005"/>
    <n v="3"/>
    <n v="0"/>
    <n v="0"/>
    <n v="107"/>
    <s v="_x0000_peopl"/>
  </r>
  <r>
    <x v="7"/>
    <n v="13.6959"/>
    <n v="-89.182699999999997"/>
    <n v="6"/>
    <n v="0"/>
    <n v="0"/>
    <n v="107"/>
    <s v="_x0000_peopl"/>
  </r>
  <r>
    <x v="7"/>
    <n v="13.6959"/>
    <n v="-89.182699999999997"/>
    <n v="9"/>
    <n v="0"/>
    <n v="0"/>
    <n v="107"/>
    <s v="_x0000_peopl"/>
  </r>
  <r>
    <x v="7"/>
    <n v="13.696099999999999"/>
    <n v="-89.182900000000004"/>
    <n v="3"/>
    <n v="0"/>
    <n v="0"/>
    <n v="107"/>
    <s v="_x0000_peopl"/>
  </r>
  <r>
    <x v="7"/>
    <n v="13.696"/>
    <n v="-89.183000000000007"/>
    <n v="6"/>
    <n v="0"/>
    <n v="0"/>
    <n v="107"/>
    <s v="_x0000_peopl"/>
  </r>
  <r>
    <x v="7"/>
    <n v="13.696"/>
    <n v="-89.182699999999997"/>
    <n v="5"/>
    <n v="0"/>
    <n v="0"/>
    <n v="107"/>
    <s v="_x0000_peopl"/>
  </r>
  <r>
    <x v="7"/>
    <n v="13.696"/>
    <n v="-89.182599999999994"/>
    <n v="7"/>
    <n v="0"/>
    <n v="0"/>
    <n v="107"/>
    <s v="_x0000_peopl"/>
  </r>
  <r>
    <x v="7"/>
    <n v="13.696"/>
    <n v="-89.182500000000005"/>
    <n v="6"/>
    <n v="0"/>
    <n v="0"/>
    <n v="107"/>
    <s v="_x0000_peopl"/>
  </r>
  <r>
    <x v="7"/>
    <n v="13.696"/>
    <n v="-89.182500000000005"/>
    <n v="8"/>
    <n v="0"/>
    <n v="0"/>
    <n v="107"/>
    <s v="_x0000_peopl"/>
  </r>
  <r>
    <x v="7"/>
    <n v="13.696"/>
    <n v="-89.1828"/>
    <n v="4"/>
    <n v="0"/>
    <n v="0"/>
    <n v="107"/>
    <s v="_x0000_peopl"/>
  </r>
  <r>
    <x v="7"/>
    <n v="13.696"/>
    <n v="-89.1828"/>
    <n v="4"/>
    <n v="0"/>
    <n v="0"/>
    <n v="107"/>
    <s v="_x0000_peopl"/>
  </r>
  <r>
    <x v="7"/>
    <n v="13.696"/>
    <n v="-89.182699999999997"/>
    <n v="7"/>
    <n v="0"/>
    <n v="0"/>
    <n v="107"/>
    <s v="_x0000_peopl"/>
  </r>
  <r>
    <x v="7"/>
    <n v="13.696"/>
    <n v="-89.182699999999997"/>
    <n v="9"/>
    <n v="0"/>
    <n v="0"/>
    <n v="107"/>
    <s v="_x0000_peopl"/>
  </r>
  <r>
    <x v="7"/>
    <n v="13.696"/>
    <n v="-89.182699999999997"/>
    <n v="2"/>
    <n v="0"/>
    <n v="0"/>
    <n v="107"/>
    <s v="_x0000_peopl"/>
  </r>
  <r>
    <x v="7"/>
    <n v="13.696"/>
    <n v="-89.182699999999997"/>
    <n v="4"/>
    <n v="0"/>
    <n v="0"/>
    <n v="107"/>
    <s v="_x0000_peopl"/>
  </r>
  <r>
    <x v="7"/>
    <n v="13.696099999999999"/>
    <n v="-89.1828"/>
    <n v="9"/>
    <n v="0"/>
    <n v="0"/>
    <n v="107"/>
    <s v="_x0000_peopl"/>
  </r>
  <r>
    <x v="7"/>
    <n v="13.696099999999999"/>
    <n v="-89.1828"/>
    <n v="9"/>
    <n v="0"/>
    <n v="0"/>
    <n v="107"/>
    <s v="_x0000_peopl"/>
  </r>
  <r>
    <x v="7"/>
    <n v="13.696099999999999"/>
    <n v="-89.1828"/>
    <n v="11"/>
    <n v="0"/>
    <n v="0"/>
    <n v="107"/>
    <s v="_x0000_peopl"/>
  </r>
  <r>
    <x v="7"/>
    <n v="13.696099999999999"/>
    <n v="-89.182500000000005"/>
    <n v="9"/>
    <n v="0"/>
    <n v="0"/>
    <n v="107"/>
    <s v="_x0000_peopl"/>
  </r>
  <r>
    <x v="7"/>
    <n v="13.696"/>
    <n v="-89.182400000000001"/>
    <n v="6"/>
    <n v="0"/>
    <n v="0"/>
    <n v="107"/>
    <s v="_x0000_peopl"/>
  </r>
  <r>
    <x v="7"/>
    <n v="13.6959"/>
    <n v="-89.183000000000007"/>
    <n v="11"/>
    <n v="0"/>
    <n v="0"/>
    <n v="107"/>
    <s v="_x0000_peopl"/>
  </r>
  <r>
    <x v="7"/>
    <n v="13.6958"/>
    <n v="-89.183099999999996"/>
    <n v="5"/>
    <n v="0"/>
    <n v="0"/>
    <n v="107"/>
    <s v="_x0000_peopl"/>
  </r>
  <r>
    <x v="7"/>
    <n v="13.6959"/>
    <n v="-89.182400000000001"/>
    <n v="5"/>
    <n v="0"/>
    <n v="0"/>
    <n v="107"/>
    <s v="_x0000_peopl"/>
  </r>
  <r>
    <x v="7"/>
    <n v="13.6957"/>
    <n v="-89.183000000000007"/>
    <n v="5"/>
    <n v="0"/>
    <n v="0"/>
    <n v="107"/>
    <s v="_x0000_peopl"/>
  </r>
  <r>
    <x v="7"/>
    <n v="13.695600000000001"/>
    <n v="-89.182400000000001"/>
    <n v="3"/>
    <n v="0"/>
    <n v="0"/>
    <n v="107"/>
    <s v="_x0000_peopl"/>
  </r>
  <r>
    <x v="7"/>
    <n v="13.695499999999999"/>
    <n v="-89.182400000000001"/>
    <n v="5"/>
    <n v="0"/>
    <n v="0"/>
    <n v="107"/>
    <s v="_x0000_peopl"/>
  </r>
  <r>
    <x v="7"/>
    <n v="13.695499999999999"/>
    <n v="-89.182500000000005"/>
    <n v="9"/>
    <n v="0"/>
    <n v="0"/>
    <n v="107"/>
    <s v="_x0000_peopl"/>
  </r>
  <r>
    <x v="7"/>
    <n v="13.6943"/>
    <n v="-89.182299999999998"/>
    <n v="6"/>
    <n v="0"/>
    <n v="0"/>
    <n v="107"/>
    <s v="_x0000_peopl"/>
  </r>
  <r>
    <x v="7"/>
    <n v="13.6942"/>
    <n v="-89.182299999999998"/>
    <n v="6"/>
    <n v="0"/>
    <n v="0"/>
    <n v="107"/>
    <s v="_x0000_peopl"/>
  </r>
  <r>
    <x v="7"/>
    <n v="13.6944"/>
    <n v="-89.182400000000001"/>
    <n v="4"/>
    <n v="0"/>
    <n v="0"/>
    <n v="107"/>
    <s v="_x0000_peopl"/>
  </r>
  <r>
    <x v="7"/>
    <n v="13.6945"/>
    <n v="-89.182299999999998"/>
    <n v="3"/>
    <n v="0"/>
    <n v="0"/>
    <n v="107"/>
    <s v="_x0000_peopl"/>
  </r>
  <r>
    <x v="7"/>
    <n v="13.6943"/>
    <n v="-89.181799999999996"/>
    <n v="4"/>
    <n v="0"/>
    <n v="0"/>
    <n v="107"/>
    <s v="_x0000_peopl"/>
  </r>
  <r>
    <x v="7"/>
    <n v="13.694100000000001"/>
    <n v="-89.182199999999995"/>
    <n v="6"/>
    <n v="0"/>
    <n v="0"/>
    <n v="107"/>
    <s v="_x0000_peopl"/>
  </r>
  <r>
    <x v="7"/>
    <n v="13.6927"/>
    <n v="-89.191699999999997"/>
    <n v="3"/>
    <n v="0"/>
    <n v="0"/>
    <n v="107"/>
    <s v="_x0000_peopl"/>
  </r>
  <r>
    <x v="7"/>
    <n v="13.693"/>
    <n v="-89.194000000000003"/>
    <n v="4"/>
    <n v="0"/>
    <n v="0"/>
    <n v="107"/>
    <s v="_x0000_peopl"/>
  </r>
  <r>
    <x v="7"/>
    <n v="13.693099999999999"/>
    <n v="-89.193899999999999"/>
    <n v="5"/>
    <n v="0"/>
    <n v="0"/>
    <n v="107"/>
    <s v="_x0000_peopl"/>
  </r>
  <r>
    <x v="7"/>
    <n v="13.693199999999999"/>
    <n v="-89.193899999999999"/>
    <n v="1"/>
    <n v="0"/>
    <n v="0"/>
    <n v="107"/>
    <s v="_x0000_peopl"/>
  </r>
  <r>
    <x v="7"/>
    <n v="13.6936"/>
    <n v="-89.191699999999997"/>
    <n v="6"/>
    <n v="0"/>
    <n v="0"/>
    <n v="107"/>
    <s v="_x0000_peopl"/>
  </r>
  <r>
    <x v="7"/>
    <n v="13.6936"/>
    <n v="-89.191400000000002"/>
    <n v="8"/>
    <n v="0"/>
    <n v="0"/>
    <n v="107"/>
    <s v="_x0000_peopl"/>
  </r>
  <r>
    <x v="7"/>
    <n v="13.6943"/>
    <n v="-89.191100000000006"/>
    <n v="4"/>
    <n v="0"/>
    <n v="0"/>
    <n v="107"/>
    <s v="_x0000_peopl"/>
  </r>
  <r>
    <x v="7"/>
    <n v="13.6942"/>
    <n v="-89.189599999999999"/>
    <n v="6"/>
    <n v="0"/>
    <n v="0"/>
    <n v="107"/>
    <s v="_x0000_peopl"/>
  </r>
  <r>
    <x v="7"/>
    <n v="13.6921"/>
    <n v="-89.192899999999995"/>
    <n v="2"/>
    <n v="0"/>
    <n v="0"/>
    <n v="107"/>
    <s v="_x0000_peopl"/>
  </r>
  <r>
    <x v="7"/>
    <n v="13.692"/>
    <n v="-89.192899999999995"/>
    <n v="6"/>
    <n v="0"/>
    <n v="0"/>
    <n v="107"/>
    <s v="_x0000_peopl"/>
  </r>
  <r>
    <x v="7"/>
    <n v="13.6919"/>
    <n v="-89.192800000000005"/>
    <n v="1"/>
    <n v="0"/>
    <n v="0"/>
    <n v="107"/>
    <s v="_x0000_peopl"/>
  </r>
  <r>
    <x v="7"/>
    <n v="13.6921"/>
    <n v="-89.1922"/>
    <n v="6"/>
    <n v="0"/>
    <n v="0"/>
    <n v="107"/>
    <s v="_x0000_peopl"/>
  </r>
  <r>
    <x v="7"/>
    <n v="13.6919"/>
    <n v="-89.1922"/>
    <n v="3"/>
    <n v="0"/>
    <n v="0"/>
    <n v="107"/>
    <s v="_x0000_peopl"/>
  </r>
  <r>
    <x v="7"/>
    <n v="13.691800000000001"/>
    <n v="-89.1922"/>
    <n v="5"/>
    <n v="0"/>
    <n v="0"/>
    <n v="107"/>
    <s v="_x0000_peopl"/>
  </r>
  <r>
    <x v="7"/>
    <n v="13.6922"/>
    <n v="-89.192499999999995"/>
    <n v="2"/>
    <n v="0"/>
    <n v="0"/>
    <n v="107"/>
    <s v="_x0000_peopl"/>
  </r>
  <r>
    <x v="7"/>
    <n v="13.687900000000001"/>
    <n v="-89.190799999999996"/>
    <n v="4"/>
    <n v="0"/>
    <n v="0"/>
    <n v="107"/>
    <s v="_x0000_peopl"/>
  </r>
  <r>
    <x v="7"/>
    <n v="13.687900000000001"/>
    <n v="-89.190700000000007"/>
    <n v="6"/>
    <n v="0"/>
    <n v="0"/>
    <n v="107"/>
    <s v="_x0000_peopl"/>
  </r>
  <r>
    <x v="7"/>
    <n v="13.687900000000001"/>
    <n v="-89.190700000000007"/>
    <n v="5"/>
    <n v="0"/>
    <n v="0"/>
    <n v="107"/>
    <s v="_x0000_peopl"/>
  </r>
  <r>
    <x v="7"/>
    <n v="13.687900000000001"/>
    <n v="-89.190700000000007"/>
    <n v="10"/>
    <n v="0"/>
    <n v="0"/>
    <n v="107"/>
    <s v="_x0000_peopl"/>
  </r>
  <r>
    <x v="7"/>
    <n v="13.687900000000001"/>
    <n v="-89.190700000000007"/>
    <n v="8"/>
    <n v="0"/>
    <n v="0"/>
    <n v="107"/>
    <s v="_x0000_peopl"/>
  </r>
  <r>
    <x v="7"/>
    <n v="13.688000000000001"/>
    <n v="-89.190299999999993"/>
    <n v="1"/>
    <n v="0"/>
    <n v="0"/>
    <n v="107"/>
    <s v="_x0000_peopl"/>
  </r>
  <r>
    <x v="7"/>
    <n v="13.688000000000001"/>
    <n v="-89.190299999999993"/>
    <n v="1"/>
    <n v="0"/>
    <n v="0"/>
    <n v="107"/>
    <s v="_x0000_peopl"/>
  </r>
  <r>
    <x v="7"/>
    <n v="13.688000000000001"/>
    <n v="-89.190299999999993"/>
    <n v="8"/>
    <n v="0"/>
    <n v="0"/>
    <n v="107"/>
    <s v="_x0000_peopl"/>
  </r>
  <r>
    <x v="7"/>
    <n v="13.688000000000001"/>
    <n v="-89.190299999999993"/>
    <n v="4"/>
    <n v="0"/>
    <n v="0"/>
    <n v="107"/>
    <s v="_x0000_peopl"/>
  </r>
  <r>
    <x v="7"/>
    <n v="13.688000000000001"/>
    <n v="-89.190200000000004"/>
    <n v="6"/>
    <n v="0"/>
    <n v="0"/>
    <n v="107"/>
    <s v="_x0000_peopl"/>
  </r>
  <r>
    <x v="7"/>
    <n v="13.688000000000001"/>
    <n v="-89.190200000000004"/>
    <n v="4"/>
    <n v="0"/>
    <n v="0"/>
    <n v="107"/>
    <s v="_x0000_peopl"/>
  </r>
  <r>
    <x v="7"/>
    <n v="13.6877"/>
    <n v="-89.190899999999999"/>
    <n v="3"/>
    <n v="0"/>
    <n v="0"/>
    <n v="107"/>
    <s v="_x0000_peopl"/>
  </r>
  <r>
    <x v="7"/>
    <n v="13.6877"/>
    <n v="-89.190899999999999"/>
    <n v="3"/>
    <n v="0"/>
    <n v="0"/>
    <n v="107"/>
    <s v="_x0000_peopl"/>
  </r>
  <r>
    <x v="7"/>
    <n v="13.6877"/>
    <n v="-89.190899999999999"/>
    <n v="4"/>
    <n v="0"/>
    <n v="0"/>
    <n v="107"/>
    <s v="_x0000_peopl"/>
  </r>
  <r>
    <x v="7"/>
    <n v="13.685499999999999"/>
    <n v="-89.196600000000004"/>
    <n v="3"/>
    <n v="0"/>
    <n v="0"/>
    <n v="107"/>
    <s v="_x0000_peopl"/>
  </r>
  <r>
    <x v="7"/>
    <n v="13.685600000000001"/>
    <n v="-89.196700000000007"/>
    <n v="2"/>
    <n v="0"/>
    <n v="0"/>
    <n v="107"/>
    <s v="_x0000_peopl"/>
  </r>
  <r>
    <x v="7"/>
    <n v="13.685600000000001"/>
    <n v="-89.196700000000007"/>
    <n v="2"/>
    <n v="0"/>
    <n v="0"/>
    <n v="107"/>
    <s v="_x0000_peopl"/>
  </r>
  <r>
    <x v="7"/>
    <n v="13.685499999999999"/>
    <n v="-89.196899999999999"/>
    <n v="5"/>
    <n v="0"/>
    <n v="0"/>
    <n v="107"/>
    <s v="_x0000_peopl"/>
  </r>
  <r>
    <x v="7"/>
    <n v="13.685499999999999"/>
    <n v="-89.196899999999999"/>
    <n v="2"/>
    <n v="0"/>
    <n v="0"/>
    <n v="107"/>
    <s v="_x0000_peopl"/>
  </r>
  <r>
    <x v="7"/>
    <n v="13.6854"/>
    <n v="-89.197100000000006"/>
    <n v="7"/>
    <n v="0"/>
    <n v="0"/>
    <n v="107"/>
    <s v="_x0000_peopl"/>
  </r>
  <r>
    <x v="7"/>
    <n v="13.685499999999999"/>
    <n v="-89.197199999999995"/>
    <n v="3"/>
    <n v="0"/>
    <n v="0"/>
    <n v="107"/>
    <s v="_x0000_peopl"/>
  </r>
  <r>
    <x v="7"/>
    <n v="13.685499999999999"/>
    <n v="-89.197199999999995"/>
    <n v="6"/>
    <n v="0"/>
    <n v="0"/>
    <n v="107"/>
    <s v="_x0000_peopl"/>
  </r>
  <r>
    <x v="7"/>
    <n v="13.686"/>
    <n v="-89.197599999999994"/>
    <n v="5"/>
    <n v="0"/>
    <n v="0"/>
    <n v="107"/>
    <s v="_x0000_peopl"/>
  </r>
  <r>
    <x v="7"/>
    <n v="13.686"/>
    <n v="-89.197699999999998"/>
    <n v="8"/>
    <n v="0"/>
    <n v="0"/>
    <n v="107"/>
    <s v="_x0000_peopl"/>
  </r>
  <r>
    <x v="7"/>
    <n v="13.686"/>
    <n v="-89.197699999999998"/>
    <n v="7"/>
    <n v="0"/>
    <n v="0"/>
    <n v="107"/>
    <s v="_x0000_peopl"/>
  </r>
  <r>
    <x v="7"/>
    <n v="13.6861"/>
    <n v="-89.197800000000001"/>
    <n v="5"/>
    <n v="0"/>
    <n v="0"/>
    <n v="107"/>
    <s v="_x0000_peopl"/>
  </r>
  <r>
    <x v="7"/>
    <n v="13.686199999999999"/>
    <n v="-89.197599999999994"/>
    <n v="10"/>
    <n v="0"/>
    <n v="0"/>
    <n v="107"/>
    <s v="_x0000_peopl"/>
  </r>
  <r>
    <x v="7"/>
    <n v="13.686199999999999"/>
    <n v="-89.197599999999994"/>
    <n v="6"/>
    <n v="0"/>
    <n v="0"/>
    <n v="107"/>
    <s v="_x0000_peopl"/>
  </r>
  <r>
    <x v="7"/>
    <n v="13.6858"/>
    <n v="-89.196399999999997"/>
    <n v="5"/>
    <n v="0"/>
    <n v="0"/>
    <n v="107"/>
    <s v="_x0000_peopl"/>
  </r>
  <r>
    <x v="7"/>
    <n v="13.6858"/>
    <n v="-89.196399999999997"/>
    <n v="0"/>
    <n v="0"/>
    <n v="0"/>
    <n v="107"/>
    <s v="_x0000_peopl"/>
  </r>
  <r>
    <x v="7"/>
    <n v="13.6859"/>
    <n v="-89.196399999999997"/>
    <n v="4"/>
    <n v="0"/>
    <n v="0"/>
    <n v="107"/>
    <s v="_x0000_peopl"/>
  </r>
  <r>
    <x v="7"/>
    <n v="13.6859"/>
    <n v="-89.196399999999997"/>
    <n v="3"/>
    <n v="0"/>
    <n v="0"/>
    <n v="107"/>
    <s v="_x0000_peopl"/>
  </r>
  <r>
    <x v="7"/>
    <n v="13.6859"/>
    <n v="-89.196299999999994"/>
    <n v="7"/>
    <n v="0"/>
    <n v="0"/>
    <n v="107"/>
    <s v="_x0000_peopl"/>
  </r>
  <r>
    <x v="7"/>
    <n v="13.6859"/>
    <n v="-89.196299999999994"/>
    <n v="3"/>
    <n v="0"/>
    <n v="0"/>
    <n v="107"/>
    <s v="_x0000_peopl"/>
  </r>
  <r>
    <x v="7"/>
    <n v="13.686"/>
    <n v="-89.196299999999994"/>
    <n v="4"/>
    <n v="0"/>
    <n v="0"/>
    <n v="107"/>
    <s v="_x0000_peopl"/>
  </r>
  <r>
    <x v="7"/>
    <n v="13.686"/>
    <n v="-89.196299999999994"/>
    <n v="4"/>
    <n v="0"/>
    <n v="0"/>
    <n v="107"/>
    <s v="_x0000_peopl"/>
  </r>
  <r>
    <x v="7"/>
    <n v="13.686"/>
    <n v="-89.196299999999994"/>
    <n v="4"/>
    <n v="0"/>
    <n v="0"/>
    <n v="107"/>
    <s v="_x0000_peopl"/>
  </r>
  <r>
    <x v="7"/>
    <n v="13.686"/>
    <n v="-89.196299999999994"/>
    <n v="4"/>
    <n v="0"/>
    <n v="0"/>
    <n v="107"/>
    <s v="_x0000_peopl"/>
  </r>
  <r>
    <x v="7"/>
    <n v="13.6861"/>
    <n v="-89.196299999999994"/>
    <n v="1"/>
    <n v="0"/>
    <n v="0"/>
    <n v="107"/>
    <s v="_x0000_peopl"/>
  </r>
  <r>
    <x v="7"/>
    <n v="13.6861"/>
    <n v="-89.196299999999994"/>
    <n v="8"/>
    <n v="0"/>
    <n v="0"/>
    <n v="107"/>
    <s v="_x0000_peopl"/>
  </r>
  <r>
    <x v="7"/>
    <n v="13.6861"/>
    <n v="-89.196299999999994"/>
    <n v="6"/>
    <n v="0"/>
    <n v="0"/>
    <n v="107"/>
    <s v="_x0000_peopl"/>
  </r>
  <r>
    <x v="7"/>
    <n v="13.6861"/>
    <n v="-89.196200000000005"/>
    <n v="2"/>
    <n v="0"/>
    <n v="0"/>
    <n v="107"/>
    <s v="_x0000_peopl"/>
  </r>
  <r>
    <x v="7"/>
    <n v="13.6861"/>
    <n v="-89.196200000000005"/>
    <n v="4"/>
    <n v="0"/>
    <n v="0"/>
    <n v="107"/>
    <s v="_x0000_peopl"/>
  </r>
  <r>
    <x v="7"/>
    <n v="13.6861"/>
    <n v="-89.196100000000001"/>
    <n v="7"/>
    <n v="0"/>
    <n v="0"/>
    <n v="107"/>
    <s v="_x0000_peopl"/>
  </r>
  <r>
    <x v="7"/>
    <n v="13.6861"/>
    <n v="-89.196200000000005"/>
    <n v="7"/>
    <n v="0"/>
    <n v="0"/>
    <n v="107"/>
    <s v="_x0000_peopl"/>
  </r>
  <r>
    <x v="7"/>
    <n v="13.6861"/>
    <n v="-89.196200000000005"/>
    <n v="4"/>
    <n v="0"/>
    <n v="0"/>
    <n v="107"/>
    <s v="_x0000_peopl"/>
  </r>
  <r>
    <x v="7"/>
    <n v="13.6861"/>
    <n v="-89.196200000000005"/>
    <n v="6"/>
    <n v="0"/>
    <n v="0"/>
    <n v="107"/>
    <s v="_x0000_peopl"/>
  </r>
  <r>
    <x v="7"/>
    <n v="13.686"/>
    <n v="-89.196200000000005"/>
    <n v="6"/>
    <n v="0"/>
    <n v="0"/>
    <n v="107"/>
    <s v="_x0000_peopl"/>
  </r>
  <r>
    <x v="7"/>
    <n v="13.686"/>
    <n v="-89.196200000000005"/>
    <n v="8"/>
    <n v="0"/>
    <n v="0"/>
    <n v="107"/>
    <s v="_x0000_peopl"/>
  </r>
  <r>
    <x v="7"/>
    <n v="13.6859"/>
    <n v="-89.196200000000005"/>
    <n v="7"/>
    <n v="0"/>
    <n v="0"/>
    <n v="107"/>
    <s v="_x0000_peopl"/>
  </r>
  <r>
    <x v="7"/>
    <n v="13.6859"/>
    <n v="-89.196200000000005"/>
    <n v="5"/>
    <n v="0"/>
    <n v="0"/>
    <n v="107"/>
    <s v="_x0000_peopl"/>
  </r>
  <r>
    <x v="7"/>
    <n v="13.6859"/>
    <n v="-89.196200000000005"/>
    <n v="0"/>
    <n v="0"/>
    <n v="0"/>
    <n v="107"/>
    <s v="_x0000_peopl"/>
  </r>
  <r>
    <x v="7"/>
    <n v="13.6859"/>
    <n v="-89.196200000000005"/>
    <n v="5"/>
    <n v="0"/>
    <n v="0"/>
    <n v="107"/>
    <s v="_x0000_peopl"/>
  </r>
  <r>
    <x v="7"/>
    <n v="13.6858"/>
    <n v="-89.196200000000005"/>
    <n v="6"/>
    <n v="0"/>
    <n v="0"/>
    <n v="107"/>
    <s v="_x0000_peopl"/>
  </r>
  <r>
    <x v="7"/>
    <n v="13.6858"/>
    <n v="-89.196200000000005"/>
    <n v="5"/>
    <n v="0"/>
    <n v="0"/>
    <n v="107"/>
    <s v="_x0000_peopl"/>
  </r>
  <r>
    <x v="7"/>
    <n v="13.6858"/>
    <n v="-89.196200000000005"/>
    <n v="7"/>
    <n v="0"/>
    <n v="0"/>
    <n v="107"/>
    <s v="_x0000_peopl"/>
  </r>
  <r>
    <x v="7"/>
    <n v="13.6858"/>
    <n v="-89.196200000000005"/>
    <n v="8"/>
    <n v="0"/>
    <n v="0"/>
    <n v="107"/>
    <s v="_x0000_peopl"/>
  </r>
  <r>
    <x v="7"/>
    <n v="13.6858"/>
    <n v="-89.196399999999997"/>
    <n v="6"/>
    <n v="0"/>
    <n v="0"/>
    <n v="107"/>
    <s v="_x0000_peopl"/>
  </r>
  <r>
    <x v="7"/>
    <n v="13.6858"/>
    <n v="-89.196399999999997"/>
    <n v="9"/>
    <n v="0"/>
    <n v="0"/>
    <n v="107"/>
    <s v="_x0000_peopl"/>
  </r>
  <r>
    <x v="7"/>
    <n v="13.685700000000001"/>
    <n v="-89.196299999999994"/>
    <n v="3"/>
    <n v="0"/>
    <n v="0"/>
    <n v="107"/>
    <s v="_x0000_peopl"/>
  </r>
  <r>
    <x v="7"/>
    <n v="13.685700000000001"/>
    <n v="-89.196299999999994"/>
    <n v="6"/>
    <n v="0"/>
    <n v="0"/>
    <n v="107"/>
    <s v="_x0000_peopl"/>
  </r>
  <r>
    <x v="7"/>
    <n v="13.685700000000001"/>
    <n v="-89.196399999999997"/>
    <n v="3"/>
    <n v="0"/>
    <n v="0"/>
    <n v="107"/>
    <s v="_x0000_peopl"/>
  </r>
  <r>
    <x v="7"/>
    <n v="13.685700000000001"/>
    <n v="-89.196399999999997"/>
    <n v="2"/>
    <n v="0"/>
    <n v="0"/>
    <n v="107"/>
    <s v="_x0000_peopl"/>
  </r>
  <r>
    <x v="7"/>
    <n v="13.685700000000001"/>
    <n v="-89.196299999999994"/>
    <n v="12"/>
    <n v="0"/>
    <n v="0"/>
    <n v="107"/>
    <s v="_x0000_peopl"/>
  </r>
  <r>
    <x v="7"/>
    <n v="13.685700000000001"/>
    <n v="-89.196299999999994"/>
    <n v="6"/>
    <n v="0"/>
    <n v="0"/>
    <n v="107"/>
    <s v="_x0000_peopl"/>
  </r>
  <r>
    <x v="7"/>
    <n v="13.685600000000001"/>
    <n v="-89.196299999999994"/>
    <n v="5"/>
    <n v="0"/>
    <n v="0"/>
    <n v="107"/>
    <s v="_x0000_peopl"/>
  </r>
  <r>
    <x v="7"/>
    <n v="13.685600000000001"/>
    <n v="-89.196299999999994"/>
    <n v="11"/>
    <n v="0"/>
    <n v="0"/>
    <n v="107"/>
    <s v="_x0000_peopl"/>
  </r>
  <r>
    <x v="7"/>
    <n v="13.685600000000001"/>
    <n v="-89.196399999999997"/>
    <n v="6"/>
    <n v="0"/>
    <n v="0"/>
    <n v="107"/>
    <s v="_x0000_peopl"/>
  </r>
  <r>
    <x v="7"/>
    <n v="13.685600000000001"/>
    <n v="-89.196399999999997"/>
    <n v="4"/>
    <n v="0"/>
    <n v="0"/>
    <n v="107"/>
    <s v="_x0000_peopl"/>
  </r>
  <r>
    <x v="7"/>
    <n v="13.6906"/>
    <n v="-89.191199999999995"/>
    <n v="6"/>
    <n v="0"/>
    <n v="0"/>
    <n v="107"/>
    <s v="_x0000_peopl"/>
  </r>
  <r>
    <x v="7"/>
    <n v="13.6906"/>
    <n v="-89.1905"/>
    <n v="7"/>
    <n v="0"/>
    <n v="0"/>
    <n v="107"/>
    <s v="_x0000_peopl"/>
  </r>
  <r>
    <x v="7"/>
    <n v="13.6906"/>
    <n v="-89.190399999999997"/>
    <n v="6"/>
    <n v="0"/>
    <n v="0"/>
    <n v="107"/>
    <s v="_x0000_peopl"/>
  </r>
  <r>
    <x v="7"/>
    <n v="13.6906"/>
    <n v="-89.190299999999993"/>
    <n v="8"/>
    <n v="0"/>
    <n v="0"/>
    <n v="107"/>
    <s v="_x0000_peopl"/>
  </r>
  <r>
    <x v="7"/>
    <n v="13.6906"/>
    <n v="-89.190299999999993"/>
    <n v="4"/>
    <n v="0"/>
    <n v="0"/>
    <n v="107"/>
    <s v="_x0000_peopl"/>
  </r>
  <r>
    <x v="7"/>
    <n v="13.6906"/>
    <n v="-89.190200000000004"/>
    <n v="6"/>
    <n v="0"/>
    <n v="0"/>
    <n v="107"/>
    <s v="_x0000_peopl"/>
  </r>
  <r>
    <x v="7"/>
    <n v="13.6906"/>
    <n v="-89.190200000000004"/>
    <n v="6"/>
    <n v="0"/>
    <n v="0"/>
    <n v="107"/>
    <s v="_x0000_peopl"/>
  </r>
  <r>
    <x v="7"/>
    <n v="13.6906"/>
    <n v="-89.190200000000004"/>
    <n v="9"/>
    <n v="0"/>
    <n v="0"/>
    <n v="107"/>
    <s v="_x0000_peopl"/>
  </r>
  <r>
    <x v="7"/>
    <n v="13.6905"/>
    <n v="-89.19"/>
    <n v="5"/>
    <n v="0"/>
    <n v="0"/>
    <n v="107"/>
    <s v="_x0000_peopl"/>
  </r>
  <r>
    <x v="7"/>
    <n v="13.6905"/>
    <n v="-89.19"/>
    <n v="4"/>
    <n v="0"/>
    <n v="0"/>
    <n v="107"/>
    <s v="_x0000_peopl"/>
  </r>
  <r>
    <x v="7"/>
    <n v="13.6905"/>
    <n v="-89.189899999999994"/>
    <n v="7"/>
    <n v="0"/>
    <n v="0"/>
    <n v="107"/>
    <s v="_x0000_peopl"/>
  </r>
  <r>
    <x v="7"/>
    <n v="13.6905"/>
    <n v="-89.189899999999994"/>
    <n v="4"/>
    <n v="0"/>
    <n v="0"/>
    <n v="107"/>
    <s v="_x0000_peopl"/>
  </r>
  <r>
    <x v="7"/>
    <n v="13.6905"/>
    <n v="-89.189899999999994"/>
    <n v="2"/>
    <n v="0"/>
    <n v="0"/>
    <n v="107"/>
    <s v="_x0000_peopl"/>
  </r>
  <r>
    <x v="7"/>
    <n v="13.6905"/>
    <n v="-89.189800000000005"/>
    <n v="4"/>
    <n v="0"/>
    <n v="0"/>
    <n v="107"/>
    <s v="_x0000_peopl"/>
  </r>
  <r>
    <x v="7"/>
    <n v="13.6911"/>
    <n v="-89.19"/>
    <n v="4"/>
    <n v="0"/>
    <n v="0"/>
    <n v="107"/>
    <s v="_x0000_peopl"/>
  </r>
  <r>
    <x v="7"/>
    <n v="13.6911"/>
    <n v="-89.189899999999994"/>
    <n v="5"/>
    <n v="0"/>
    <n v="0"/>
    <n v="107"/>
    <s v="_x0000_peopl"/>
  </r>
  <r>
    <x v="7"/>
    <n v="13.6911"/>
    <n v="-89.189899999999994"/>
    <n v="2"/>
    <n v="0"/>
    <n v="0"/>
    <n v="107"/>
    <s v="_x0000_peopl"/>
  </r>
  <r>
    <x v="7"/>
    <n v="13.6911"/>
    <n v="-89.189800000000005"/>
    <n v="5"/>
    <n v="0"/>
    <n v="0"/>
    <n v="107"/>
    <s v="_x0000_peopl"/>
  </r>
  <r>
    <x v="7"/>
    <n v="13.6911"/>
    <n v="-89.189800000000005"/>
    <n v="2"/>
    <n v="0"/>
    <n v="0"/>
    <n v="107"/>
    <s v="_x0000_peopl"/>
  </r>
  <r>
    <x v="7"/>
    <n v="13.691000000000001"/>
    <n v="-89.189800000000005"/>
    <n v="2"/>
    <n v="0"/>
    <n v="0"/>
    <n v="107"/>
    <s v="_x0000_peopl"/>
  </r>
  <r>
    <x v="7"/>
    <n v="13.691000000000001"/>
    <n v="-89.189800000000005"/>
    <n v="4"/>
    <n v="0"/>
    <n v="0"/>
    <n v="107"/>
    <s v="_x0000_peopl"/>
  </r>
  <r>
    <x v="7"/>
    <n v="13.691000000000001"/>
    <n v="-89.189800000000005"/>
    <n v="1"/>
    <n v="0"/>
    <n v="0"/>
    <n v="107"/>
    <s v="_x0000_peopl"/>
  </r>
  <r>
    <x v="7"/>
    <n v="13.6912"/>
    <n v="-89.189800000000005"/>
    <n v="3"/>
    <n v="0"/>
    <n v="0"/>
    <n v="107"/>
    <s v="_x0000_peopl"/>
  </r>
  <r>
    <x v="7"/>
    <n v="13.6912"/>
    <n v="-89.189899999999994"/>
    <n v="7"/>
    <n v="0"/>
    <n v="0"/>
    <n v="107"/>
    <s v="_x0000_peopl"/>
  </r>
  <r>
    <x v="7"/>
    <n v="13.6912"/>
    <n v="-89.189899999999994"/>
    <n v="5"/>
    <n v="0"/>
    <n v="0"/>
    <n v="107"/>
    <s v="_x0000_peopl"/>
  </r>
  <r>
    <x v="7"/>
    <n v="13.6912"/>
    <n v="-89.189800000000005"/>
    <n v="6"/>
    <n v="0"/>
    <n v="0"/>
    <n v="107"/>
    <s v="_x0000_peopl"/>
  </r>
  <r>
    <x v="7"/>
    <n v="13.6912"/>
    <n v="-89.189800000000005"/>
    <n v="8"/>
    <n v="0"/>
    <n v="0"/>
    <n v="107"/>
    <s v="_x0000_peopl"/>
  </r>
  <r>
    <x v="7"/>
    <n v="13.6913"/>
    <n v="-89.189700000000002"/>
    <n v="2"/>
    <n v="0"/>
    <n v="0"/>
    <n v="107"/>
    <s v="_x0000_peopl"/>
  </r>
  <r>
    <x v="7"/>
    <n v="13.6913"/>
    <n v="-89.189800000000005"/>
    <n v="2"/>
    <n v="0"/>
    <n v="0"/>
    <n v="107"/>
    <s v="_x0000_peopl"/>
  </r>
  <r>
    <x v="7"/>
    <n v="13.6913"/>
    <n v="-89.189700000000002"/>
    <n v="8"/>
    <n v="0"/>
    <n v="0"/>
    <n v="107"/>
    <s v="_x0000_peopl"/>
  </r>
  <r>
    <x v="7"/>
    <n v="13.691599999999999"/>
    <n v="-89.190100000000001"/>
    <n v="2"/>
    <n v="0"/>
    <n v="0"/>
    <n v="107"/>
    <s v="_x0000_peopl"/>
  </r>
  <r>
    <x v="7"/>
    <n v="13.6913"/>
    <n v="-89.1905"/>
    <n v="6"/>
    <n v="0"/>
    <n v="0"/>
    <n v="107"/>
    <s v="_x0000_peopl"/>
  </r>
  <r>
    <x v="7"/>
    <n v="13.691000000000001"/>
    <n v="-89.190899999999999"/>
    <n v="3"/>
    <n v="0"/>
    <n v="0"/>
    <n v="107"/>
    <s v="_x0000_peopl"/>
  </r>
  <r>
    <x v="7"/>
    <n v="13.6911"/>
    <n v="-89.191299999999998"/>
    <n v="5"/>
    <n v="0"/>
    <n v="0"/>
    <n v="107"/>
    <s v="_x0000_peopl"/>
  </r>
  <r>
    <x v="7"/>
    <n v="13.6912"/>
    <n v="-89.191299999999998"/>
    <n v="11"/>
    <n v="0"/>
    <n v="0"/>
    <n v="107"/>
    <s v="_x0000_peopl"/>
  </r>
  <r>
    <x v="7"/>
    <n v="13.6912"/>
    <n v="-89.191500000000005"/>
    <n v="5"/>
    <n v="0"/>
    <n v="0"/>
    <n v="107"/>
    <s v="_x0000_peopl"/>
  </r>
  <r>
    <x v="7"/>
    <n v="13.6911"/>
    <n v="-89.191500000000005"/>
    <n v="1"/>
    <n v="0"/>
    <n v="0"/>
    <n v="107"/>
    <s v="_x0000_peopl"/>
  </r>
  <r>
    <x v="7"/>
    <n v="13.6911"/>
    <n v="-89.191500000000005"/>
    <n v="7"/>
    <n v="0"/>
    <n v="0"/>
    <n v="107"/>
    <s v="_x0000_peopl"/>
  </r>
  <r>
    <x v="7"/>
    <n v="13.6911"/>
    <n v="-89.191500000000005"/>
    <n v="8"/>
    <n v="0"/>
    <n v="0"/>
    <n v="107"/>
    <s v="_x0000_peopl"/>
  </r>
  <r>
    <x v="7"/>
    <n v="13.691000000000001"/>
    <n v="-89.191500000000005"/>
    <n v="3"/>
    <n v="0"/>
    <n v="0"/>
    <n v="107"/>
    <s v="_x0000_peopl"/>
  </r>
  <r>
    <x v="7"/>
    <n v="13.691000000000001"/>
    <n v="-89.191500000000005"/>
    <n v="5"/>
    <n v="0"/>
    <n v="0"/>
    <n v="107"/>
    <s v="_x0000_peopl"/>
  </r>
  <r>
    <x v="7"/>
    <n v="13.690899999999999"/>
    <n v="-89.191500000000005"/>
    <n v="8"/>
    <n v="0"/>
    <n v="0"/>
    <n v="107"/>
    <s v="_x0000_peopl"/>
  </r>
  <r>
    <x v="7"/>
    <n v="13.690799999999999"/>
    <n v="-89.191500000000005"/>
    <n v="10"/>
    <n v="0"/>
    <n v="0"/>
    <n v="107"/>
    <s v="_x0000_peopl"/>
  </r>
  <r>
    <x v="7"/>
    <n v="13.691000000000001"/>
    <n v="-89.190799999999996"/>
    <n v="5"/>
    <n v="0"/>
    <n v="0"/>
    <n v="107"/>
    <s v="_x0000_peopl"/>
  </r>
  <r>
    <x v="7"/>
    <n v="13.6912"/>
    <n v="-89.190899999999999"/>
    <n v="4"/>
    <n v="0"/>
    <n v="0"/>
    <n v="107"/>
    <s v="_x0000_peopl"/>
  </r>
  <r>
    <x v="7"/>
    <n v="13.691700000000001"/>
    <n v="-89.190600000000003"/>
    <n v="6"/>
    <n v="0"/>
    <n v="0"/>
    <n v="107"/>
    <s v="_x0000_peopl"/>
  </r>
  <r>
    <x v="7"/>
    <n v="13.691599999999999"/>
    <n v="-89.1905"/>
    <n v="2"/>
    <n v="0"/>
    <n v="0"/>
    <n v="107"/>
    <s v="_x0000_peopl"/>
  </r>
  <r>
    <x v="7"/>
    <n v="13.691599999999999"/>
    <n v="-89.190399999999997"/>
    <n v="5"/>
    <n v="0"/>
    <n v="0"/>
    <n v="107"/>
    <s v="_x0000_peopl"/>
  </r>
  <r>
    <x v="7"/>
    <n v="13.691700000000001"/>
    <n v="-89.190299999999993"/>
    <n v="3"/>
    <n v="0"/>
    <n v="0"/>
    <n v="107"/>
    <s v="_x0000_peopl"/>
  </r>
  <r>
    <x v="7"/>
    <n v="13.691800000000001"/>
    <n v="-89.1905"/>
    <n v="4"/>
    <n v="0"/>
    <n v="0"/>
    <n v="107"/>
    <s v="_x0000_peopl"/>
  </r>
  <r>
    <x v="7"/>
    <n v="13.6915"/>
    <n v="-89.190299999999993"/>
    <n v="2"/>
    <n v="0"/>
    <n v="0"/>
    <n v="107"/>
    <s v="_x0000_peopl"/>
  </r>
  <r>
    <x v="7"/>
    <n v="13.6915"/>
    <n v="-89.1905"/>
    <n v="5"/>
    <n v="0"/>
    <n v="0"/>
    <n v="107"/>
    <s v="_x0000_peopl"/>
  </r>
  <r>
    <x v="7"/>
    <n v="13.6915"/>
    <n v="-89.190600000000003"/>
    <n v="5"/>
    <n v="0"/>
    <n v="0"/>
    <n v="107"/>
    <s v="_x0000_peopl"/>
  </r>
  <r>
    <x v="7"/>
    <n v="13.6915"/>
    <n v="-89.190200000000004"/>
    <n v="3"/>
    <n v="0"/>
    <n v="0"/>
    <n v="107"/>
    <s v="_x0000_peopl"/>
  </r>
  <r>
    <x v="7"/>
    <n v="13.6905"/>
    <n v="-89.19"/>
    <n v="3"/>
    <n v="0"/>
    <n v="0"/>
    <n v="107"/>
    <s v="_x0000_peopl"/>
  </r>
  <r>
    <x v="7"/>
    <n v="13.6905"/>
    <n v="-89.189899999999994"/>
    <n v="5"/>
    <n v="0"/>
    <n v="0"/>
    <n v="107"/>
    <s v="_x0000_peopl"/>
  </r>
  <r>
    <x v="7"/>
    <n v="13.6882"/>
    <n v="-89.192800000000005"/>
    <n v="3"/>
    <n v="0"/>
    <n v="0"/>
    <n v="107"/>
    <s v="_x0000_peopl"/>
  </r>
  <r>
    <x v="7"/>
    <n v="13.6881"/>
    <n v="-89.192899999999995"/>
    <n v="4"/>
    <n v="0"/>
    <n v="0"/>
    <n v="107"/>
    <s v="_x0000_peopl"/>
  </r>
  <r>
    <x v="7"/>
    <n v="13.688000000000001"/>
    <n v="-89.192899999999995"/>
    <n v="4"/>
    <n v="0"/>
    <n v="0"/>
    <n v="107"/>
    <s v="_x0000_peopl"/>
  </r>
  <r>
    <x v="7"/>
    <n v="13.6877"/>
    <n v="-89.193200000000004"/>
    <n v="2"/>
    <n v="0"/>
    <n v="0"/>
    <n v="107"/>
    <s v="_x0000_peopl"/>
  </r>
  <r>
    <x v="7"/>
    <n v="13.6876"/>
    <n v="-89.193200000000004"/>
    <n v="7"/>
    <n v="0"/>
    <n v="0"/>
    <n v="107"/>
    <s v="_x0000_peopl"/>
  </r>
  <r>
    <x v="7"/>
    <n v="13.6876"/>
    <n v="-89.193100000000001"/>
    <n v="4"/>
    <n v="0"/>
    <n v="0"/>
    <n v="107"/>
    <s v="_x0000_peopl"/>
  </r>
  <r>
    <x v="7"/>
    <n v="13.6876"/>
    <n v="-89.193100000000001"/>
    <n v="4"/>
    <n v="0"/>
    <n v="0"/>
    <n v="107"/>
    <s v="_x0000_peopl"/>
  </r>
  <r>
    <x v="7"/>
    <n v="13.6876"/>
    <n v="-89.193100000000001"/>
    <n v="5"/>
    <n v="0"/>
    <n v="0"/>
    <n v="107"/>
    <s v="_x0000_peopl"/>
  </r>
  <r>
    <x v="7"/>
    <n v="13.6877"/>
    <n v="-89.193100000000001"/>
    <n v="6"/>
    <n v="0"/>
    <n v="0"/>
    <n v="107"/>
    <s v="_x0000_peopl"/>
  </r>
  <r>
    <x v="7"/>
    <n v="13.6877"/>
    <n v="-89.193100000000001"/>
    <n v="3"/>
    <n v="0"/>
    <n v="0"/>
    <n v="107"/>
    <s v="_x0000_peopl"/>
  </r>
  <r>
    <x v="7"/>
    <n v="13.6877"/>
    <n v="-89.193200000000004"/>
    <n v="6"/>
    <n v="0"/>
    <n v="0"/>
    <n v="107"/>
    <s v="_x0000_peopl"/>
  </r>
  <r>
    <x v="7"/>
    <n v="13.6877"/>
    <n v="-89.193299999999994"/>
    <n v="4"/>
    <n v="0"/>
    <n v="0"/>
    <n v="107"/>
    <s v="_x0000_peopl"/>
  </r>
  <r>
    <x v="7"/>
    <n v="13.6876"/>
    <n v="-89.193399999999997"/>
    <n v="6"/>
    <n v="0"/>
    <n v="0"/>
    <n v="107"/>
    <s v="_x0000_peopl"/>
  </r>
  <r>
    <x v="7"/>
    <n v="13.6883"/>
    <n v="-89.1935"/>
    <n v="4"/>
    <n v="0"/>
    <n v="0"/>
    <n v="107"/>
    <s v="_x0000_peopl"/>
  </r>
  <r>
    <x v="7"/>
    <n v="13.6883"/>
    <n v="-89.193399999999997"/>
    <n v="6"/>
    <n v="0"/>
    <n v="0"/>
    <n v="107"/>
    <s v="_x0000_peopl"/>
  </r>
  <r>
    <x v="7"/>
    <n v="13.6882"/>
    <n v="-89.193399999999997"/>
    <n v="8"/>
    <n v="0"/>
    <n v="0"/>
    <n v="107"/>
    <s v="_x0000_peopl"/>
  </r>
  <r>
    <x v="7"/>
    <n v="13.6884"/>
    <n v="-89.193399999999997"/>
    <n v="3"/>
    <n v="0"/>
    <n v="0"/>
    <n v="107"/>
    <s v="_x0000_peopl"/>
  </r>
  <r>
    <x v="7"/>
    <n v="13.6884"/>
    <n v="-89.193600000000004"/>
    <n v="4"/>
    <n v="0"/>
    <n v="0"/>
    <n v="107"/>
    <s v="_x0000_peopl"/>
  </r>
  <r>
    <x v="7"/>
    <n v="13.6884"/>
    <n v="-89.193600000000004"/>
    <n v="4"/>
    <n v="0"/>
    <n v="0"/>
    <n v="107"/>
    <s v="_x0000_peopl"/>
  </r>
  <r>
    <x v="7"/>
    <n v="13.6884"/>
    <n v="-89.193600000000004"/>
    <n v="4"/>
    <n v="0"/>
    <n v="0"/>
    <n v="107"/>
    <s v="_x0000_peopl"/>
  </r>
  <r>
    <x v="7"/>
    <n v="13.6884"/>
    <n v="-89.193600000000004"/>
    <n v="5"/>
    <n v="0"/>
    <n v="0"/>
    <n v="107"/>
    <s v="_x0000_peopl"/>
  </r>
  <r>
    <x v="7"/>
    <n v="13.6884"/>
    <n v="-89.193600000000004"/>
    <n v="6"/>
    <n v="0"/>
    <n v="0"/>
    <n v="107"/>
    <s v="_x0000_peopl"/>
  </r>
  <r>
    <x v="7"/>
    <n v="13.6884"/>
    <n v="-89.193600000000004"/>
    <n v="3"/>
    <n v="0"/>
    <n v="0"/>
    <n v="107"/>
    <s v="_x0000_peopl"/>
  </r>
  <r>
    <x v="7"/>
    <n v="13.6884"/>
    <n v="-89.193600000000004"/>
    <n v="7"/>
    <n v="0"/>
    <n v="0"/>
    <n v="107"/>
    <s v="_x0000_peopl"/>
  </r>
  <r>
    <x v="7"/>
    <n v="13.6884"/>
    <n v="-89.193600000000004"/>
    <n v="3"/>
    <n v="0"/>
    <n v="0"/>
    <n v="107"/>
    <s v="_x0000_peopl"/>
  </r>
  <r>
    <x v="7"/>
    <n v="13.6884"/>
    <n v="-89.193600000000004"/>
    <n v="8"/>
    <n v="0"/>
    <n v="0"/>
    <n v="107"/>
    <s v="_x0000_peopl"/>
  </r>
  <r>
    <x v="7"/>
    <n v="13.6884"/>
    <n v="-89.193600000000004"/>
    <n v="5"/>
    <n v="0"/>
    <n v="0"/>
    <n v="107"/>
    <s v="_x0000_peopl"/>
  </r>
  <r>
    <x v="7"/>
    <n v="13.6884"/>
    <n v="-89.193600000000004"/>
    <n v="9"/>
    <n v="0"/>
    <n v="0"/>
    <n v="107"/>
    <s v="_x0000_peopl"/>
  </r>
  <r>
    <x v="7"/>
    <n v="13.6884"/>
    <n v="-89.193600000000004"/>
    <n v="8"/>
    <n v="0"/>
    <n v="0"/>
    <n v="107"/>
    <s v="_x0000_peopl"/>
  </r>
  <r>
    <x v="7"/>
    <n v="13.6884"/>
    <n v="-89.1935"/>
    <n v="4"/>
    <n v="0"/>
    <n v="0"/>
    <n v="107"/>
    <s v="_x0000_peopl"/>
  </r>
  <r>
    <x v="7"/>
    <n v="13.6884"/>
    <n v="-89.1935"/>
    <n v="1"/>
    <n v="0"/>
    <n v="0"/>
    <n v="107"/>
    <s v="_x0000_peopl"/>
  </r>
  <r>
    <x v="7"/>
    <n v="13.6884"/>
    <n v="-89.1935"/>
    <n v="4"/>
    <n v="0"/>
    <n v="0"/>
    <n v="107"/>
    <s v="_x0000_peopl"/>
  </r>
  <r>
    <x v="7"/>
    <n v="13.6884"/>
    <n v="-89.1935"/>
    <n v="2"/>
    <n v="0"/>
    <n v="0"/>
    <n v="107"/>
    <s v="_x0000_peopl"/>
  </r>
  <r>
    <x v="7"/>
    <n v="13.6884"/>
    <n v="-89.193299999999994"/>
    <n v="5"/>
    <n v="0"/>
    <n v="0"/>
    <n v="107"/>
    <s v="_x0000_peopl"/>
  </r>
  <r>
    <x v="7"/>
    <n v="13.6884"/>
    <n v="-89.193399999999997"/>
    <n v="7"/>
    <n v="0"/>
    <n v="0"/>
    <n v="107"/>
    <s v="_x0000_peopl"/>
  </r>
  <r>
    <x v="7"/>
    <n v="13.688499999999999"/>
    <n v="-89.193100000000001"/>
    <n v="5"/>
    <n v="0"/>
    <n v="0"/>
    <n v="107"/>
    <s v="_x0000_peopl"/>
  </r>
  <r>
    <x v="7"/>
    <n v="13.688499999999999"/>
    <n v="-89.193299999999994"/>
    <n v="8"/>
    <n v="0"/>
    <n v="0"/>
    <n v="107"/>
    <s v="_x0000_peopl"/>
  </r>
  <r>
    <x v="7"/>
    <n v="13.688499999999999"/>
    <n v="-89.193200000000004"/>
    <n v="4"/>
    <n v="0"/>
    <n v="0"/>
    <n v="107"/>
    <s v="_x0000_peopl"/>
  </r>
  <r>
    <x v="7"/>
    <n v="13.688499999999999"/>
    <n v="-89.193200000000004"/>
    <n v="1"/>
    <n v="0"/>
    <n v="0"/>
    <n v="107"/>
    <s v="_x0000_peopl"/>
  </r>
  <r>
    <x v="7"/>
    <n v="13.688499999999999"/>
    <n v="-89.193200000000004"/>
    <n v="3"/>
    <n v="0"/>
    <n v="0"/>
    <n v="107"/>
    <s v="_x0000_peopl"/>
  </r>
  <r>
    <x v="7"/>
    <n v="13.688499999999999"/>
    <n v="-89.193200000000004"/>
    <n v="4"/>
    <n v="0"/>
    <n v="0"/>
    <n v="107"/>
    <s v="_x0000_peopl"/>
  </r>
  <r>
    <x v="7"/>
    <n v="13.688499999999999"/>
    <n v="-89.193200000000004"/>
    <n v="5"/>
    <n v="0"/>
    <n v="0"/>
    <n v="107"/>
    <s v="_x0000_peopl"/>
  </r>
  <r>
    <x v="7"/>
    <n v="13.688499999999999"/>
    <n v="-89.193200000000004"/>
    <n v="5"/>
    <n v="0"/>
    <n v="0"/>
    <n v="107"/>
    <s v="_x0000_peopl"/>
  </r>
  <r>
    <x v="7"/>
    <n v="13.688499999999999"/>
    <n v="-89.193299999999994"/>
    <n v="3"/>
    <n v="0"/>
    <n v="0"/>
    <n v="107"/>
    <s v="_x0000_peopl"/>
  </r>
  <r>
    <x v="7"/>
    <n v="13.688499999999999"/>
    <n v="-89.193299999999994"/>
    <n v="4"/>
    <n v="0"/>
    <n v="0"/>
    <n v="107"/>
    <s v="_x0000_peopl"/>
  </r>
  <r>
    <x v="7"/>
    <n v="13.688599999999999"/>
    <n v="-89.193299999999994"/>
    <n v="8"/>
    <n v="0"/>
    <n v="0"/>
    <n v="107"/>
    <s v="_x0000_peopl"/>
  </r>
  <r>
    <x v="7"/>
    <n v="13.688599999999999"/>
    <n v="-89.193299999999994"/>
    <n v="3"/>
    <n v="0"/>
    <n v="0"/>
    <n v="107"/>
    <s v="_x0000_peopl"/>
  </r>
  <r>
    <x v="7"/>
    <n v="13.688599999999999"/>
    <n v="-89.193299999999994"/>
    <n v="6"/>
    <n v="0"/>
    <n v="0"/>
    <n v="107"/>
    <s v="_x0000_peopl"/>
  </r>
  <r>
    <x v="7"/>
    <n v="13.688800000000001"/>
    <n v="-89.193299999999994"/>
    <n v="5"/>
    <n v="0"/>
    <n v="0"/>
    <n v="107"/>
    <s v="_x0000_peopl"/>
  </r>
  <r>
    <x v="7"/>
    <n v="13.688800000000001"/>
    <n v="-89.193299999999994"/>
    <n v="5"/>
    <n v="0"/>
    <n v="0"/>
    <n v="107"/>
    <s v="_x0000_peopl"/>
  </r>
  <r>
    <x v="7"/>
    <n v="13.688800000000001"/>
    <n v="-89.193299999999994"/>
    <n v="6"/>
    <n v="0"/>
    <n v="0"/>
    <n v="107"/>
    <s v="_x0000_peopl"/>
  </r>
  <r>
    <x v="7"/>
    <n v="13.688800000000001"/>
    <n v="-89.193100000000001"/>
    <n v="7"/>
    <n v="0"/>
    <n v="0"/>
    <n v="107"/>
    <s v="_x0000_peopl"/>
  </r>
  <r>
    <x v="7"/>
    <n v="13.688800000000001"/>
    <n v="-89.193100000000001"/>
    <n v="6"/>
    <n v="0"/>
    <n v="0"/>
    <n v="107"/>
    <s v="_x0000_peopl"/>
  </r>
  <r>
    <x v="7"/>
    <n v="13.688800000000001"/>
    <n v="-89.193100000000001"/>
    <n v="8"/>
    <n v="0"/>
    <n v="0"/>
    <n v="107"/>
    <s v="_x0000_peopl"/>
  </r>
  <r>
    <x v="7"/>
    <n v="13.688800000000001"/>
    <n v="-89.193100000000001"/>
    <n v="4"/>
    <n v="0"/>
    <n v="0"/>
    <n v="107"/>
    <s v="_x0000_peopl"/>
  </r>
  <r>
    <x v="7"/>
    <n v="13.688700000000001"/>
    <n v="-89.193100000000001"/>
    <n v="12"/>
    <n v="0"/>
    <n v="0"/>
    <n v="107"/>
    <s v="_x0000_peopl"/>
  </r>
  <r>
    <x v="7"/>
    <n v="13.688700000000001"/>
    <n v="-89.193100000000001"/>
    <n v="6"/>
    <n v="0"/>
    <n v="0"/>
    <n v="107"/>
    <s v="_x0000_peopl"/>
  </r>
  <r>
    <x v="7"/>
    <n v="13.688700000000001"/>
    <n v="-89.193100000000001"/>
    <n v="5"/>
    <n v="0"/>
    <n v="0"/>
    <n v="107"/>
    <s v="_x0000_peopl"/>
  </r>
  <r>
    <x v="7"/>
    <n v="13.688700000000001"/>
    <n v="-89.193100000000001"/>
    <n v="7"/>
    <n v="0"/>
    <n v="0"/>
    <n v="107"/>
    <s v="_x0000_peopl"/>
  </r>
  <r>
    <x v="7"/>
    <n v="13.689"/>
    <n v="-89.193299999999994"/>
    <n v="7"/>
    <n v="0"/>
    <n v="0"/>
    <n v="107"/>
    <s v="_x0000_peopl"/>
  </r>
  <r>
    <x v="7"/>
    <n v="13.689"/>
    <n v="-89.193299999999994"/>
    <n v="5"/>
    <n v="0"/>
    <n v="0"/>
    <n v="107"/>
    <s v="_x0000_peopl"/>
  </r>
  <r>
    <x v="7"/>
    <n v="13.689"/>
    <n v="-89.193299999999994"/>
    <n v="3"/>
    <n v="0"/>
    <n v="0"/>
    <n v="107"/>
    <s v="_x0000_peopl"/>
  </r>
  <r>
    <x v="7"/>
    <n v="13.689"/>
    <n v="-89.193299999999994"/>
    <n v="5"/>
    <n v="0"/>
    <n v="0"/>
    <n v="107"/>
    <s v="_x0000_peopl"/>
  </r>
  <r>
    <x v="7"/>
    <n v="13.6891"/>
    <n v="-89.193299999999994"/>
    <n v="3"/>
    <n v="0"/>
    <n v="0"/>
    <n v="107"/>
    <s v="_x0000_peopl"/>
  </r>
  <r>
    <x v="7"/>
    <n v="13.6891"/>
    <n v="-89.193299999999994"/>
    <n v="5"/>
    <n v="0"/>
    <n v="0"/>
    <n v="107"/>
    <s v="_x0000_peopl"/>
  </r>
  <r>
    <x v="7"/>
    <n v="13.6891"/>
    <n v="-89.193299999999994"/>
    <n v="8"/>
    <n v="0"/>
    <n v="0"/>
    <n v="107"/>
    <s v="_x0000_peopl"/>
  </r>
  <r>
    <x v="7"/>
    <n v="13.6891"/>
    <n v="-89.193299999999994"/>
    <n v="11"/>
    <n v="0"/>
    <n v="0"/>
    <n v="107"/>
    <s v="_x0000_peopl"/>
  </r>
  <r>
    <x v="7"/>
    <n v="13.6891"/>
    <n v="-89.193399999999997"/>
    <n v="4"/>
    <n v="0"/>
    <n v="0"/>
    <n v="107"/>
    <s v="_x0000_peopl"/>
  </r>
  <r>
    <x v="7"/>
    <n v="13.6891"/>
    <n v="-89.193399999999997"/>
    <n v="3"/>
    <n v="0"/>
    <n v="0"/>
    <n v="107"/>
    <s v="_x0000_peopl"/>
  </r>
  <r>
    <x v="7"/>
    <n v="13.6891"/>
    <n v="-89.193399999999997"/>
    <n v="5"/>
    <n v="0"/>
    <n v="0"/>
    <n v="107"/>
    <s v="_x0000_peopl"/>
  </r>
  <r>
    <x v="7"/>
    <n v="13.6891"/>
    <n v="-89.193399999999997"/>
    <n v="4"/>
    <n v="0"/>
    <n v="0"/>
    <n v="107"/>
    <s v="_x0000_peopl"/>
  </r>
  <r>
    <x v="7"/>
    <n v="13.6891"/>
    <n v="-89.193399999999997"/>
    <n v="4"/>
    <n v="0"/>
    <n v="0"/>
    <n v="107"/>
    <s v="_x0000_peopl"/>
  </r>
  <r>
    <x v="7"/>
    <n v="13.6891"/>
    <n v="-89.193399999999997"/>
    <n v="5"/>
    <n v="0"/>
    <n v="0"/>
    <n v="107"/>
    <s v="_x0000_peopl"/>
  </r>
  <r>
    <x v="7"/>
    <n v="13.689299999999999"/>
    <n v="-89.193899999999999"/>
    <n v="6"/>
    <n v="0"/>
    <n v="0"/>
    <n v="107"/>
    <s v="_x0000_peopl"/>
  </r>
  <r>
    <x v="7"/>
    <n v="13.689399999999999"/>
    <n v="-89.193799999999996"/>
    <n v="5"/>
    <n v="0"/>
    <n v="0"/>
    <n v="107"/>
    <s v="_x0000_peopl"/>
  </r>
  <r>
    <x v="7"/>
    <n v="13.689399999999999"/>
    <n v="-89.193399999999997"/>
    <n v="4"/>
    <n v="0"/>
    <n v="0"/>
    <n v="107"/>
    <s v="_x0000_peopl"/>
  </r>
  <r>
    <x v="7"/>
    <n v="13.689399999999999"/>
    <n v="-89.193399999999997"/>
    <n v="2"/>
    <n v="0"/>
    <n v="0"/>
    <n v="107"/>
    <s v="_x0000_peopl"/>
  </r>
  <r>
    <x v="7"/>
    <n v="13.689399999999999"/>
    <n v="-89.193399999999997"/>
    <n v="1"/>
    <n v="0"/>
    <n v="0"/>
    <n v="107"/>
    <s v="_x0000_peopl"/>
  </r>
  <r>
    <x v="7"/>
    <n v="13.689399999999999"/>
    <n v="-89.193399999999997"/>
    <n v="9"/>
    <n v="0"/>
    <n v="0"/>
    <n v="107"/>
    <s v="_x0000_peopl"/>
  </r>
  <r>
    <x v="7"/>
    <n v="13.689399999999999"/>
    <n v="-89.193399999999997"/>
    <n v="4"/>
    <n v="0"/>
    <n v="0"/>
    <n v="107"/>
    <s v="_x0000_peopl"/>
  </r>
  <r>
    <x v="7"/>
    <n v="13.689399999999999"/>
    <n v="-89.193399999999997"/>
    <n v="6"/>
    <n v="0"/>
    <n v="0"/>
    <n v="107"/>
    <s v="_x0000_peopl"/>
  </r>
  <r>
    <x v="7"/>
    <n v="13.689399999999999"/>
    <n v="-89.193399999999997"/>
    <n v="6"/>
    <n v="0"/>
    <n v="0"/>
    <n v="107"/>
    <s v="_x0000_peopl"/>
  </r>
  <r>
    <x v="7"/>
    <n v="13.689399999999999"/>
    <n v="-89.193399999999997"/>
    <n v="3"/>
    <n v="0"/>
    <n v="0"/>
    <n v="107"/>
    <s v="_x0000_peopl"/>
  </r>
  <r>
    <x v="7"/>
    <n v="13.689399999999999"/>
    <n v="-89.193200000000004"/>
    <n v="3"/>
    <n v="0"/>
    <n v="0"/>
    <n v="107"/>
    <s v="_x0000_peopl"/>
  </r>
  <r>
    <x v="7"/>
    <n v="13.689399999999999"/>
    <n v="-89.193200000000004"/>
    <n v="3"/>
    <n v="0"/>
    <n v="0"/>
    <n v="107"/>
    <s v="_x0000_peopl"/>
  </r>
  <r>
    <x v="7"/>
    <n v="13.689399999999999"/>
    <n v="-89.193200000000004"/>
    <n v="0"/>
    <n v="0"/>
    <n v="0"/>
    <n v="107"/>
    <s v="_x0000_peopl"/>
  </r>
  <r>
    <x v="7"/>
    <n v="13.689299999999999"/>
    <n v="-89.193200000000004"/>
    <n v="11"/>
    <n v="0"/>
    <n v="0"/>
    <n v="107"/>
    <s v="_x0000_peopl"/>
  </r>
  <r>
    <x v="7"/>
    <n v="13.689299999999999"/>
    <n v="-89.193299999999994"/>
    <n v="4"/>
    <n v="0"/>
    <n v="0"/>
    <n v="107"/>
    <s v="_x0000_peopl"/>
  </r>
  <r>
    <x v="7"/>
    <n v="13.689299999999999"/>
    <n v="-89.193299999999994"/>
    <n v="6"/>
    <n v="0"/>
    <n v="0"/>
    <n v="107"/>
    <s v="_x0000_peopl"/>
  </r>
  <r>
    <x v="7"/>
    <n v="13.689299999999999"/>
    <n v="-89.193299999999994"/>
    <n v="3"/>
    <n v="0"/>
    <n v="0"/>
    <n v="107"/>
    <s v="_x0000_peopl"/>
  </r>
  <r>
    <x v="7"/>
    <n v="13.689299999999999"/>
    <n v="-89.193299999999994"/>
    <n v="8"/>
    <n v="0"/>
    <n v="0"/>
    <n v="107"/>
    <s v="_x0000_peopl"/>
  </r>
  <r>
    <x v="7"/>
    <n v="13.689299999999999"/>
    <n v="-89.193100000000001"/>
    <n v="12"/>
    <n v="0"/>
    <n v="0"/>
    <n v="107"/>
    <s v="_x0000_peopl"/>
  </r>
  <r>
    <x v="7"/>
    <n v="13.689299999999999"/>
    <n v="-89.193100000000001"/>
    <n v="5"/>
    <n v="0"/>
    <n v="0"/>
    <n v="107"/>
    <s v="_x0000_peopl"/>
  </r>
  <r>
    <x v="7"/>
    <n v="13.689299999999999"/>
    <n v="-89.193100000000001"/>
    <n v="7"/>
    <n v="0"/>
    <n v="0"/>
    <n v="107"/>
    <s v="_x0000_peopl"/>
  </r>
  <r>
    <x v="7"/>
    <n v="13.689299999999999"/>
    <n v="-89.192999999999998"/>
    <n v="4"/>
    <n v="0"/>
    <n v="0"/>
    <n v="107"/>
    <s v="_x0000_peopl"/>
  </r>
  <r>
    <x v="7"/>
    <n v="13.689299999999999"/>
    <n v="-89.192999999999998"/>
    <n v="4"/>
    <n v="0"/>
    <n v="0"/>
    <n v="107"/>
    <s v="_x0000_peopl"/>
  </r>
  <r>
    <x v="7"/>
    <n v="13.689299999999999"/>
    <n v="-89.192999999999998"/>
    <n v="7"/>
    <n v="0"/>
    <n v="0"/>
    <n v="107"/>
    <s v="_x0000_peopl"/>
  </r>
  <r>
    <x v="7"/>
    <n v="13.689299999999999"/>
    <n v="-89.192999999999998"/>
    <n v="4"/>
    <n v="0"/>
    <n v="0"/>
    <n v="107"/>
    <s v="_x0000_peopl"/>
  </r>
  <r>
    <x v="7"/>
    <n v="13.689399999999999"/>
    <n v="-89.192800000000005"/>
    <n v="7"/>
    <n v="0"/>
    <n v="0"/>
    <n v="107"/>
    <s v="_x0000_peopl"/>
  </r>
  <r>
    <x v="7"/>
    <n v="13.689399999999999"/>
    <n v="-89.192700000000002"/>
    <n v="5"/>
    <n v="0"/>
    <n v="0"/>
    <n v="107"/>
    <s v="_x0000_peopl"/>
  </r>
  <r>
    <x v="7"/>
    <n v="13.689299999999999"/>
    <n v="-89.192800000000005"/>
    <n v="8"/>
    <n v="0"/>
    <n v="0"/>
    <n v="107"/>
    <s v="_x0000_peopl"/>
  </r>
  <r>
    <x v="7"/>
    <n v="13.688800000000001"/>
    <n v="-89.193200000000004"/>
    <n v="6"/>
    <n v="0"/>
    <n v="0"/>
    <n v="107"/>
    <s v="_x0000_peopl"/>
  </r>
  <r>
    <x v="7"/>
    <n v="13.688800000000001"/>
    <n v="-89.193200000000004"/>
    <n v="9"/>
    <n v="0"/>
    <n v="0"/>
    <n v="107"/>
    <s v="_x0000_peopl"/>
  </r>
  <r>
    <x v="7"/>
    <n v="13.688800000000001"/>
    <n v="-89.193200000000004"/>
    <n v="3"/>
    <n v="0"/>
    <n v="0"/>
    <n v="107"/>
    <s v="_x0000_peopl"/>
  </r>
  <r>
    <x v="7"/>
    <n v="13.6889"/>
    <n v="-89.193100000000001"/>
    <n v="7"/>
    <n v="0"/>
    <n v="0"/>
    <n v="107"/>
    <s v="_x0000_peopl"/>
  </r>
  <r>
    <x v="7"/>
    <n v="13.6889"/>
    <n v="-89.193100000000001"/>
    <n v="5"/>
    <n v="0"/>
    <n v="0"/>
    <n v="107"/>
    <s v="_x0000_peopl"/>
  </r>
  <r>
    <x v="7"/>
    <n v="13.6889"/>
    <n v="-89.193100000000001"/>
    <n v="3"/>
    <n v="0"/>
    <n v="0"/>
    <n v="107"/>
    <s v="_x0000_peopl"/>
  </r>
  <r>
    <x v="7"/>
    <n v="13.6889"/>
    <n v="-89.193100000000001"/>
    <n v="2"/>
    <n v="0"/>
    <n v="0"/>
    <n v="107"/>
    <s v="_x0000_peopl"/>
  </r>
  <r>
    <x v="7"/>
    <n v="13.689"/>
    <n v="-89.193100000000001"/>
    <n v="4"/>
    <n v="0"/>
    <n v="0"/>
    <n v="107"/>
    <s v="_x0000_peopl"/>
  </r>
  <r>
    <x v="7"/>
    <n v="13.689"/>
    <n v="-89.193100000000001"/>
    <n v="3"/>
    <n v="0"/>
    <n v="0"/>
    <n v="107"/>
    <s v="_x0000_peopl"/>
  </r>
  <r>
    <x v="7"/>
    <n v="13.689"/>
    <n v="-89.193100000000001"/>
    <n v="5"/>
    <n v="0"/>
    <n v="0"/>
    <n v="107"/>
    <s v="_x0000_peopl"/>
  </r>
  <r>
    <x v="7"/>
    <n v="13.689"/>
    <n v="-89.193100000000001"/>
    <n v="5"/>
    <n v="0"/>
    <n v="0"/>
    <n v="107"/>
    <s v="_x0000_peopl"/>
  </r>
  <r>
    <x v="7"/>
    <n v="13.6892"/>
    <n v="-89.193100000000001"/>
    <n v="3"/>
    <n v="0"/>
    <n v="0"/>
    <n v="107"/>
    <s v="_x0000_peopl"/>
  </r>
  <r>
    <x v="7"/>
    <n v="13.6892"/>
    <n v="-89.193100000000001"/>
    <n v="5"/>
    <n v="0"/>
    <n v="0"/>
    <n v="107"/>
    <s v="_x0000_peopl"/>
  </r>
  <r>
    <x v="7"/>
    <n v="13.6892"/>
    <n v="-89.193100000000001"/>
    <n v="9"/>
    <n v="0"/>
    <n v="0"/>
    <n v="107"/>
    <s v="_x0000_peopl"/>
  </r>
  <r>
    <x v="7"/>
    <n v="13.6892"/>
    <n v="-89.193100000000001"/>
    <n v="3"/>
    <n v="0"/>
    <n v="0"/>
    <n v="107"/>
    <s v="_x0000_peopl"/>
  </r>
  <r>
    <x v="7"/>
    <n v="13.6892"/>
    <n v="-89.193100000000001"/>
    <n v="5"/>
    <n v="0"/>
    <n v="0"/>
    <n v="107"/>
    <s v="_x0000_peopl"/>
  </r>
  <r>
    <x v="7"/>
    <n v="13.6892"/>
    <n v="-89.193100000000001"/>
    <n v="5"/>
    <n v="0"/>
    <n v="0"/>
    <n v="107"/>
    <s v="_x0000_peopl"/>
  </r>
  <r>
    <x v="7"/>
    <n v="13.6892"/>
    <n v="-89.193100000000001"/>
    <n v="4"/>
    <n v="0"/>
    <n v="0"/>
    <n v="107"/>
    <s v="_x0000_peopl"/>
  </r>
  <r>
    <x v="7"/>
    <n v="13.6892"/>
    <n v="-89.193100000000001"/>
    <n v="5"/>
    <n v="0"/>
    <n v="0"/>
    <n v="107"/>
    <s v="_x0000_peopl"/>
  </r>
  <r>
    <x v="7"/>
    <n v="13.688800000000001"/>
    <n v="-89.192700000000002"/>
    <n v="9"/>
    <n v="0"/>
    <n v="0"/>
    <n v="107"/>
    <s v="_x0000_peopl"/>
  </r>
  <r>
    <x v="7"/>
    <n v="13.688800000000001"/>
    <n v="-89.192700000000002"/>
    <n v="4"/>
    <n v="0"/>
    <n v="0"/>
    <n v="107"/>
    <s v="_x0000_peopl"/>
  </r>
  <r>
    <x v="7"/>
    <n v="13.688800000000001"/>
    <n v="-89.192700000000002"/>
    <n v="4"/>
    <n v="0"/>
    <n v="0"/>
    <n v="107"/>
    <s v="_x0000_peopl"/>
  </r>
  <r>
    <x v="7"/>
    <n v="13.688800000000001"/>
    <n v="-89.192700000000002"/>
    <n v="3"/>
    <n v="0"/>
    <n v="0"/>
    <n v="107"/>
    <s v="_x0000_peopl"/>
  </r>
  <r>
    <x v="7"/>
    <n v="13.688800000000001"/>
    <n v="-89.192700000000002"/>
    <n v="4"/>
    <n v="0"/>
    <n v="0"/>
    <n v="107"/>
    <s v="_x0000_peopl"/>
  </r>
  <r>
    <x v="7"/>
    <n v="13.688800000000001"/>
    <n v="-89.192700000000002"/>
    <n v="1"/>
    <n v="0"/>
    <n v="0"/>
    <n v="107"/>
    <s v="_x0000_peopl"/>
  </r>
  <r>
    <x v="7"/>
    <n v="13.688800000000001"/>
    <n v="-89.192700000000002"/>
    <n v="1"/>
    <n v="0"/>
    <n v="0"/>
    <n v="107"/>
    <s v="_x0000_peopl"/>
  </r>
  <r>
    <x v="7"/>
    <n v="13.688800000000001"/>
    <n v="-89.192700000000002"/>
    <n v="3"/>
    <n v="0"/>
    <n v="0"/>
    <n v="107"/>
    <s v="_x0000_peopl"/>
  </r>
  <r>
    <x v="7"/>
    <n v="13.688800000000001"/>
    <n v="-89.192499999999995"/>
    <n v="5"/>
    <n v="0"/>
    <n v="0"/>
    <n v="107"/>
    <s v="_x0000_peopl"/>
  </r>
  <r>
    <x v="7"/>
    <n v="13.688800000000001"/>
    <n v="-89.192499999999995"/>
    <n v="3"/>
    <n v="0"/>
    <n v="0"/>
    <n v="107"/>
    <s v="_x0000_peopl"/>
  </r>
  <r>
    <x v="7"/>
    <n v="13.688800000000001"/>
    <n v="-89.192499999999995"/>
    <n v="2"/>
    <n v="0"/>
    <n v="0"/>
    <n v="107"/>
    <s v="_x0000_peopl"/>
  </r>
  <r>
    <x v="7"/>
    <n v="13.688800000000001"/>
    <n v="-89.192499999999995"/>
    <n v="6"/>
    <n v="0"/>
    <n v="0"/>
    <n v="107"/>
    <s v="_x0000_peopl"/>
  </r>
  <r>
    <x v="7"/>
    <n v="13.688700000000001"/>
    <n v="-89.192599999999999"/>
    <n v="6"/>
    <n v="0"/>
    <n v="0"/>
    <n v="107"/>
    <s v="_x0000_peopl"/>
  </r>
  <r>
    <x v="7"/>
    <n v="13.688700000000001"/>
    <n v="-89.192599999999999"/>
    <n v="2"/>
    <n v="0"/>
    <n v="0"/>
    <n v="107"/>
    <s v="_x0000_peopl"/>
  </r>
  <r>
    <x v="7"/>
    <n v="13.688700000000001"/>
    <n v="-89.192599999999999"/>
    <n v="7"/>
    <n v="0"/>
    <n v="0"/>
    <n v="107"/>
    <s v="_x0000_peopl"/>
  </r>
  <r>
    <x v="7"/>
    <n v="13.688700000000001"/>
    <n v="-89.192599999999999"/>
    <n v="10"/>
    <n v="0"/>
    <n v="0"/>
    <n v="107"/>
    <s v="_x0000_peopl"/>
  </r>
  <r>
    <x v="7"/>
    <n v="13.688599999999999"/>
    <n v="-89.192700000000002"/>
    <n v="6"/>
    <n v="0"/>
    <n v="0"/>
    <n v="107"/>
    <s v="_x0000_peopl"/>
  </r>
  <r>
    <x v="7"/>
    <n v="13.688599999999999"/>
    <n v="-89.192700000000002"/>
    <n v="4"/>
    <n v="0"/>
    <n v="0"/>
    <n v="107"/>
    <s v="_x0000_peopl"/>
  </r>
  <r>
    <x v="7"/>
    <n v="13.688599999999999"/>
    <n v="-89.192700000000002"/>
    <n v="3"/>
    <n v="0"/>
    <n v="0"/>
    <n v="107"/>
    <s v="_x0000_peopl"/>
  </r>
  <r>
    <x v="7"/>
    <n v="13.688599999999999"/>
    <n v="-89.192700000000002"/>
    <n v="7"/>
    <n v="0"/>
    <n v="0"/>
    <n v="107"/>
    <s v="_x0000_peopl"/>
  </r>
  <r>
    <x v="7"/>
    <n v="13.688599999999999"/>
    <n v="-89.192700000000002"/>
    <n v="5"/>
    <n v="0"/>
    <n v="0"/>
    <n v="107"/>
    <s v="_x0000_peopl"/>
  </r>
  <r>
    <x v="7"/>
    <n v="13.688599999999999"/>
    <n v="-89.192700000000002"/>
    <n v="1"/>
    <n v="0"/>
    <n v="0"/>
    <n v="107"/>
    <s v="_x0000_peopl"/>
  </r>
  <r>
    <x v="7"/>
    <n v="13.688599999999999"/>
    <n v="-89.192700000000002"/>
    <n v="6"/>
    <n v="0"/>
    <n v="0"/>
    <n v="107"/>
    <s v="_x0000_peopl"/>
  </r>
  <r>
    <x v="7"/>
    <n v="13.688599999999999"/>
    <n v="-89.192700000000002"/>
    <n v="9"/>
    <n v="0"/>
    <n v="0"/>
    <n v="107"/>
    <s v="_x0000_peopl"/>
  </r>
  <r>
    <x v="7"/>
    <n v="13.688599999999999"/>
    <n v="-89.192700000000002"/>
    <n v="4"/>
    <n v="0"/>
    <n v="0"/>
    <n v="107"/>
    <s v="_x0000_peopl"/>
  </r>
  <r>
    <x v="7"/>
    <n v="13.688499999999999"/>
    <n v="-89.192899999999995"/>
    <n v="4"/>
    <n v="0"/>
    <n v="0"/>
    <n v="107"/>
    <s v="_x0000_peopl"/>
  </r>
  <r>
    <x v="7"/>
    <n v="13.688499999999999"/>
    <n v="-89.192899999999995"/>
    <n v="2"/>
    <n v="0"/>
    <n v="0"/>
    <n v="107"/>
    <s v="_x0000_peopl"/>
  </r>
  <r>
    <x v="7"/>
    <n v="13.688499999999999"/>
    <n v="-89.192899999999995"/>
    <n v="7"/>
    <n v="0"/>
    <n v="0"/>
    <n v="107"/>
    <s v="_x0000_peopl"/>
  </r>
  <r>
    <x v="7"/>
    <n v="13.688499999999999"/>
    <n v="-89.192899999999995"/>
    <n v="6"/>
    <n v="0"/>
    <n v="0"/>
    <n v="107"/>
    <s v="_x0000_peopl"/>
  </r>
  <r>
    <x v="7"/>
    <n v="13.688499999999999"/>
    <n v="-89.192899999999995"/>
    <n v="7"/>
    <n v="0"/>
    <n v="0"/>
    <n v="107"/>
    <s v="_x0000_peopl"/>
  </r>
  <r>
    <x v="7"/>
    <n v="13.688499999999999"/>
    <n v="-89.192899999999995"/>
    <n v="3"/>
    <n v="0"/>
    <n v="0"/>
    <n v="107"/>
    <s v="_x0000_peopl"/>
  </r>
  <r>
    <x v="7"/>
    <n v="13.6884"/>
    <n v="-89.193200000000004"/>
    <n v="7"/>
    <n v="0"/>
    <n v="0"/>
    <n v="107"/>
    <s v="_x0000_peopl"/>
  </r>
  <r>
    <x v="7"/>
    <n v="13.6884"/>
    <n v="-89.193200000000004"/>
    <n v="5"/>
    <n v="0"/>
    <n v="0"/>
    <n v="107"/>
    <s v="_x0000_peopl"/>
  </r>
  <r>
    <x v="7"/>
    <n v="13.6884"/>
    <n v="-89.193200000000004"/>
    <n v="8"/>
    <n v="0"/>
    <n v="0"/>
    <n v="107"/>
    <s v="_x0000_peopl"/>
  </r>
  <r>
    <x v="7"/>
    <n v="13.6884"/>
    <n v="-89.193200000000004"/>
    <n v="8"/>
    <n v="0"/>
    <n v="0"/>
    <n v="107"/>
    <s v="_x0000_peopl"/>
  </r>
  <r>
    <x v="7"/>
    <n v="13.6884"/>
    <n v="-89.193200000000004"/>
    <n v="9"/>
    <n v="0"/>
    <n v="0"/>
    <n v="107"/>
    <s v="_x0000_peopl"/>
  </r>
  <r>
    <x v="7"/>
    <n v="13.6884"/>
    <n v="-89.193200000000004"/>
    <n v="5"/>
    <n v="0"/>
    <n v="0"/>
    <n v="107"/>
    <s v="_x0000_peopl"/>
  </r>
  <r>
    <x v="7"/>
    <n v="13.6883"/>
    <n v="-89.193200000000004"/>
    <n v="4"/>
    <n v="0"/>
    <n v="0"/>
    <n v="107"/>
    <s v="_x0000_peopl"/>
  </r>
  <r>
    <x v="7"/>
    <n v="13.6883"/>
    <n v="-89.193200000000004"/>
    <n v="5"/>
    <n v="0"/>
    <n v="0"/>
    <n v="107"/>
    <s v="_x0000_peopl"/>
  </r>
  <r>
    <x v="7"/>
    <n v="13.6883"/>
    <n v="-89.193200000000004"/>
    <n v="9"/>
    <n v="0"/>
    <n v="0"/>
    <n v="107"/>
    <s v="_x0000_peopl"/>
  </r>
  <r>
    <x v="7"/>
    <n v="13.6883"/>
    <n v="-89.193200000000004"/>
    <n v="4"/>
    <n v="0"/>
    <n v="0"/>
    <n v="107"/>
    <s v="_x0000_peopl"/>
  </r>
  <r>
    <x v="7"/>
    <n v="13.6881"/>
    <n v="-89.1935"/>
    <n v="2"/>
    <n v="0"/>
    <n v="0"/>
    <n v="107"/>
    <s v="_x0000_peopl"/>
  </r>
  <r>
    <x v="7"/>
    <n v="13.6881"/>
    <n v="-89.193399999999997"/>
    <n v="6"/>
    <n v="0"/>
    <n v="0"/>
    <n v="107"/>
    <s v="_x0000_peopl"/>
  </r>
  <r>
    <x v="7"/>
    <n v="13.6881"/>
    <n v="-89.193200000000004"/>
    <n v="5"/>
    <n v="0"/>
    <n v="0"/>
    <n v="107"/>
    <s v="_x0000_peopl"/>
  </r>
  <r>
    <x v="7"/>
    <n v="13.6881"/>
    <n v="-89.193100000000001"/>
    <n v="3"/>
    <n v="0"/>
    <n v="0"/>
    <n v="107"/>
    <s v="_x0000_peopl"/>
  </r>
  <r>
    <x v="7"/>
    <n v="13.6881"/>
    <n v="-89.192999999999998"/>
    <n v="4"/>
    <n v="0"/>
    <n v="0"/>
    <n v="107"/>
    <s v="_x0000_peopl"/>
  </r>
  <r>
    <x v="7"/>
    <n v="13.6882"/>
    <n v="-89.192899999999995"/>
    <n v="3"/>
    <n v="0"/>
    <n v="0"/>
    <n v="107"/>
    <s v="_x0000_peopl"/>
  </r>
  <r>
    <x v="7"/>
    <n v="13.688000000000001"/>
    <n v="-89.193299999999994"/>
    <n v="6"/>
    <n v="0"/>
    <n v="0"/>
    <n v="107"/>
    <s v="_x0000_peopl"/>
  </r>
  <r>
    <x v="7"/>
    <n v="13.688000000000001"/>
    <n v="-89.193100000000001"/>
    <n v="9"/>
    <n v="0"/>
    <n v="0"/>
    <n v="107"/>
    <s v="_x0000_peopl"/>
  </r>
  <r>
    <x v="7"/>
    <n v="13.688000000000001"/>
    <n v="-89.193100000000001"/>
    <n v="2"/>
    <n v="0"/>
    <n v="0"/>
    <n v="107"/>
    <s v="_x0000_peopl"/>
  </r>
  <r>
    <x v="7"/>
    <n v="13.688000000000001"/>
    <n v="-89.193100000000001"/>
    <n v="9"/>
    <n v="0"/>
    <n v="0"/>
    <n v="107"/>
    <s v="_x0000_peopl"/>
  </r>
  <r>
    <x v="7"/>
    <n v="13.688000000000001"/>
    <n v="-89.193100000000001"/>
    <n v="6"/>
    <n v="0"/>
    <n v="0"/>
    <n v="107"/>
    <s v="_x0000_peopl"/>
  </r>
  <r>
    <x v="7"/>
    <n v="13.687900000000001"/>
    <n v="-89.193100000000001"/>
    <n v="5"/>
    <n v="0"/>
    <n v="0"/>
    <n v="107"/>
    <s v="_x0000_peopl"/>
  </r>
  <r>
    <x v="7"/>
    <n v="13.687900000000001"/>
    <n v="-89.193100000000001"/>
    <n v="7"/>
    <n v="0"/>
    <n v="0"/>
    <n v="107"/>
    <s v="_x0000_peopl"/>
  </r>
  <r>
    <x v="7"/>
    <n v="13.687900000000001"/>
    <n v="-89.193399999999997"/>
    <n v="2"/>
    <n v="0"/>
    <n v="0"/>
    <n v="107"/>
    <s v="_x0000_peopl"/>
  </r>
  <r>
    <x v="7"/>
    <n v="13.690099999999999"/>
    <n v="-89.191199999999995"/>
    <n v="5"/>
    <n v="0"/>
    <n v="0"/>
    <n v="107"/>
    <s v="_x0000_peopl"/>
  </r>
  <r>
    <x v="7"/>
    <n v="13.690200000000001"/>
    <n v="-89.191199999999995"/>
    <n v="3"/>
    <n v="0"/>
    <n v="0"/>
    <n v="107"/>
    <s v="_x0000_peopl"/>
  </r>
  <r>
    <x v="7"/>
    <n v="13.690200000000001"/>
    <n v="-89.191199999999995"/>
    <n v="7"/>
    <n v="0"/>
    <n v="0"/>
    <n v="107"/>
    <s v="_x0000_peopl"/>
  </r>
  <r>
    <x v="7"/>
    <n v="13.690200000000001"/>
    <n v="-89.191400000000002"/>
    <n v="3"/>
    <n v="0"/>
    <n v="0"/>
    <n v="107"/>
    <s v="_x0000_peopl"/>
  </r>
  <r>
    <x v="7"/>
    <n v="13.690200000000001"/>
    <n v="-89.191599999999994"/>
    <n v="8"/>
    <n v="0"/>
    <n v="0"/>
    <n v="107"/>
    <s v="_x0000_peopl"/>
  </r>
  <r>
    <x v="7"/>
    <n v="13.69"/>
    <n v="-89.191299999999998"/>
    <n v="2"/>
    <n v="0"/>
    <n v="0"/>
    <n v="107"/>
    <s v="_x0000_peopl"/>
  </r>
  <r>
    <x v="7"/>
    <n v="13.6899"/>
    <n v="-89.191500000000005"/>
    <n v="2"/>
    <n v="0"/>
    <n v="0"/>
    <n v="107"/>
    <s v="_x0000_peopl"/>
  </r>
  <r>
    <x v="7"/>
    <n v="13.6898"/>
    <n v="-89.191599999999994"/>
    <n v="3"/>
    <n v="0"/>
    <n v="0"/>
    <n v="107"/>
    <s v="_x0000_peopl"/>
  </r>
  <r>
    <x v="7"/>
    <n v="13.6898"/>
    <n v="-89.191500000000005"/>
    <n v="7"/>
    <n v="0"/>
    <n v="0"/>
    <n v="107"/>
    <s v="_x0000_peopl"/>
  </r>
  <r>
    <x v="7"/>
    <n v="13.6898"/>
    <n v="-89.191500000000005"/>
    <n v="2"/>
    <n v="0"/>
    <n v="0"/>
    <n v="107"/>
    <s v="_x0000_peopl"/>
  </r>
  <r>
    <x v="7"/>
    <n v="13.6898"/>
    <n v="-89.191599999999994"/>
    <n v="2"/>
    <n v="0"/>
    <n v="0"/>
    <n v="107"/>
    <s v="_x0000_peopl"/>
  </r>
  <r>
    <x v="7"/>
    <n v="13.6898"/>
    <n v="-89.191699999999997"/>
    <n v="2"/>
    <n v="0"/>
    <n v="0"/>
    <n v="107"/>
    <s v="_x0000_peopl"/>
  </r>
  <r>
    <x v="7"/>
    <n v="13.6897"/>
    <n v="-89.191699999999997"/>
    <n v="9"/>
    <n v="0"/>
    <n v="0"/>
    <n v="107"/>
    <s v="_x0000_peopl"/>
  </r>
  <r>
    <x v="7"/>
    <n v="13.6897"/>
    <n v="-89.191599999999994"/>
    <n v="4"/>
    <n v="0"/>
    <n v="0"/>
    <n v="107"/>
    <s v="_x0000_peopl"/>
  </r>
  <r>
    <x v="7"/>
    <n v="13.6897"/>
    <n v="-89.191599999999994"/>
    <n v="3"/>
    <n v="0"/>
    <n v="0"/>
    <n v="107"/>
    <s v="_x0000_peopl"/>
  </r>
  <r>
    <x v="7"/>
    <n v="13.6897"/>
    <n v="-89.191000000000003"/>
    <n v="7"/>
    <n v="0"/>
    <n v="0"/>
    <n v="107"/>
    <s v="_x0000_peopl"/>
  </r>
  <r>
    <x v="7"/>
    <n v="13.689399999999999"/>
    <n v="-89.191299999999998"/>
    <n v="2"/>
    <n v="0"/>
    <n v="0"/>
    <n v="107"/>
    <s v="_x0000_peopl"/>
  </r>
  <r>
    <x v="7"/>
    <n v="13.689399999999999"/>
    <n v="-89.191100000000006"/>
    <n v="6"/>
    <n v="0"/>
    <n v="0"/>
    <n v="107"/>
    <s v="_x0000_peopl"/>
  </r>
  <r>
    <x v="7"/>
    <n v="13.689299999999999"/>
    <n v="-89.191000000000003"/>
    <n v="5"/>
    <n v="0"/>
    <n v="0"/>
    <n v="107"/>
    <s v="_x0000_peopl"/>
  </r>
  <r>
    <x v="7"/>
    <n v="13.689299999999999"/>
    <n v="-89.191000000000003"/>
    <n v="6"/>
    <n v="0"/>
    <n v="0"/>
    <n v="107"/>
    <s v="_x0000_peopl"/>
  </r>
  <r>
    <x v="7"/>
    <n v="13.689399999999999"/>
    <n v="-89.190899999999999"/>
    <n v="3"/>
    <n v="0"/>
    <n v="0"/>
    <n v="107"/>
    <s v="_x0000_peopl"/>
  </r>
  <r>
    <x v="7"/>
    <n v="13.689399999999999"/>
    <n v="-89.190799999999996"/>
    <n v="3"/>
    <n v="0"/>
    <n v="0"/>
    <n v="107"/>
    <s v="_x0000_peopl"/>
  </r>
  <r>
    <x v="7"/>
    <n v="13.689399999999999"/>
    <n v="-89.190700000000007"/>
    <n v="7"/>
    <n v="0"/>
    <n v="0"/>
    <n v="107"/>
    <s v="_x0000_peopl"/>
  </r>
  <r>
    <x v="7"/>
    <n v="13.690300000000001"/>
    <n v="-89.191500000000005"/>
    <n v="1"/>
    <n v="0"/>
    <n v="0"/>
    <n v="107"/>
    <s v="_x0000_peopl"/>
  </r>
  <r>
    <x v="7"/>
    <n v="13.690300000000001"/>
    <n v="-89.191500000000005"/>
    <n v="6"/>
    <n v="0"/>
    <n v="0"/>
    <n v="107"/>
    <s v="_x0000_peopl"/>
  </r>
  <r>
    <x v="7"/>
    <n v="13.690300000000001"/>
    <n v="-89.191400000000002"/>
    <n v="6"/>
    <n v="0"/>
    <n v="0"/>
    <n v="107"/>
    <s v="_x0000_peopl"/>
  </r>
  <r>
    <x v="7"/>
    <n v="13.690300000000001"/>
    <n v="-89.191400000000002"/>
    <n v="3"/>
    <n v="0"/>
    <n v="0"/>
    <n v="107"/>
    <s v="_x0000_peopl"/>
  </r>
  <r>
    <x v="7"/>
    <n v="13.690300000000001"/>
    <n v="-89.191299999999998"/>
    <n v="5"/>
    <n v="0"/>
    <n v="0"/>
    <n v="107"/>
    <s v="_x0000_peopl"/>
  </r>
  <r>
    <x v="7"/>
    <n v="13.690300000000001"/>
    <n v="-89.191299999999998"/>
    <n v="0"/>
    <n v="0"/>
    <n v="0"/>
    <n v="107"/>
    <s v="_x0000_peopl"/>
  </r>
  <r>
    <x v="7"/>
    <n v="13.690300000000001"/>
    <n v="-89.191299999999998"/>
    <n v="5"/>
    <n v="0"/>
    <n v="0"/>
    <n v="107"/>
    <s v="_x0000_peopl"/>
  </r>
  <r>
    <x v="7"/>
    <n v="13.690300000000001"/>
    <n v="-89.191299999999998"/>
    <n v="3"/>
    <n v="0"/>
    <n v="0"/>
    <n v="107"/>
    <s v="_x0000_peopl"/>
  </r>
  <r>
    <x v="7"/>
    <n v="13.690300000000001"/>
    <n v="-89.191299999999998"/>
    <n v="5"/>
    <n v="0"/>
    <n v="0"/>
    <n v="107"/>
    <s v="_x0000_peopl"/>
  </r>
  <r>
    <x v="7"/>
    <n v="13.690300000000001"/>
    <n v="-89.191400000000002"/>
    <n v="6"/>
    <n v="0"/>
    <n v="0"/>
    <n v="107"/>
    <s v="_x0000_peopl"/>
  </r>
  <r>
    <x v="7"/>
    <n v="13.690300000000001"/>
    <n v="-89.191400000000002"/>
    <n v="6"/>
    <n v="0"/>
    <n v="0"/>
    <n v="107"/>
    <s v="_x0000_peopl"/>
  </r>
  <r>
    <x v="7"/>
    <n v="13.690300000000001"/>
    <n v="-89.191500000000005"/>
    <n v="4"/>
    <n v="0"/>
    <n v="0"/>
    <n v="107"/>
    <s v="_x0000_peopl"/>
  </r>
  <r>
    <x v="7"/>
    <n v="13.690300000000001"/>
    <n v="-89.191400000000002"/>
    <n v="3"/>
    <n v="0"/>
    <n v="0"/>
    <n v="107"/>
    <s v="_x0000_peopl"/>
  </r>
  <r>
    <x v="7"/>
    <n v="13.690300000000001"/>
    <n v="-89.191400000000002"/>
    <n v="8"/>
    <n v="0"/>
    <n v="0"/>
    <n v="107"/>
    <s v="_x0000_peopl"/>
  </r>
  <r>
    <x v="7"/>
    <n v="13.690300000000001"/>
    <n v="-89.191400000000002"/>
    <n v="5"/>
    <n v="0"/>
    <n v="0"/>
    <n v="107"/>
    <s v="_x0000_peopl"/>
  </r>
  <r>
    <x v="7"/>
    <n v="13.690300000000001"/>
    <n v="-89.191400000000002"/>
    <n v="2"/>
    <n v="0"/>
    <n v="0"/>
    <n v="107"/>
    <s v="_x0000_peopl"/>
  </r>
  <r>
    <x v="7"/>
    <n v="13.6904"/>
    <n v="-89.191599999999994"/>
    <n v="6"/>
    <n v="0"/>
    <n v="0"/>
    <n v="107"/>
    <s v="_x0000_peopl"/>
  </r>
  <r>
    <x v="7"/>
    <n v="13.690300000000001"/>
    <n v="-89.191599999999994"/>
    <n v="6"/>
    <n v="0"/>
    <n v="0"/>
    <n v="107"/>
    <s v="_x0000_peopl"/>
  </r>
  <r>
    <x v="7"/>
    <n v="13.690300000000001"/>
    <n v="-89.191599999999994"/>
    <n v="6"/>
    <n v="0"/>
    <n v="0"/>
    <n v="107"/>
    <s v="_x0000_peopl"/>
  </r>
  <r>
    <x v="7"/>
    <n v="13.690300000000001"/>
    <n v="-89.191500000000005"/>
    <n v="8"/>
    <n v="0"/>
    <n v="0"/>
    <n v="107"/>
    <s v="_x0000_peopl"/>
  </r>
  <r>
    <x v="7"/>
    <n v="13.690300000000001"/>
    <n v="-89.191599999999994"/>
    <n v="5"/>
    <n v="0"/>
    <n v="0"/>
    <n v="107"/>
    <s v="_x0000_peopl"/>
  </r>
  <r>
    <x v="7"/>
    <n v="13.6907"/>
    <n v="-89.191599999999994"/>
    <n v="7"/>
    <n v="0"/>
    <n v="0"/>
    <n v="107"/>
    <s v="_x0000_peopl"/>
  </r>
  <r>
    <x v="7"/>
    <n v="13.6906"/>
    <n v="-89.191599999999994"/>
    <n v="4"/>
    <n v="0"/>
    <n v="0"/>
    <n v="107"/>
    <s v="_x0000_peopl"/>
  </r>
  <r>
    <x v="7"/>
    <n v="13.6906"/>
    <n v="-89.191299999999998"/>
    <n v="7"/>
    <n v="0"/>
    <n v="0"/>
    <n v="107"/>
    <s v="_x0000_peopl"/>
  </r>
  <r>
    <x v="7"/>
    <n v="13.6906"/>
    <n v="-89.191199999999995"/>
    <n v="7"/>
    <n v="0"/>
    <n v="0"/>
    <n v="107"/>
    <s v="_x0000_peopl"/>
  </r>
  <r>
    <x v="7"/>
    <n v="13.6905"/>
    <n v="-89.191199999999995"/>
    <n v="2"/>
    <n v="0"/>
    <n v="0"/>
    <n v="107"/>
    <s v="_x0000_peopl"/>
  </r>
  <r>
    <x v="7"/>
    <n v="13.6904"/>
    <n v="-89.191000000000003"/>
    <n v="1"/>
    <n v="0"/>
    <n v="0"/>
    <n v="107"/>
    <s v="_x0000_peopl"/>
  </r>
  <r>
    <x v="7"/>
    <n v="13.6905"/>
    <n v="-89.190700000000007"/>
    <n v="5"/>
    <n v="0"/>
    <n v="0"/>
    <n v="107"/>
    <s v="_x0000_peopl"/>
  </r>
  <r>
    <x v="7"/>
    <n v="13.6904"/>
    <n v="-89.191000000000003"/>
    <n v="10"/>
    <n v="0"/>
    <n v="0"/>
    <n v="107"/>
    <s v="_x0000_peopl"/>
  </r>
  <r>
    <x v="7"/>
    <n v="13.6904"/>
    <n v="-89.190899999999999"/>
    <n v="6"/>
    <n v="0"/>
    <n v="0"/>
    <n v="107"/>
    <s v="_x0000_peopl"/>
  </r>
  <r>
    <x v="7"/>
    <n v="13.6904"/>
    <n v="-89.190899999999999"/>
    <n v="2"/>
    <n v="0"/>
    <n v="0"/>
    <n v="107"/>
    <s v="_x0000_peopl"/>
  </r>
  <r>
    <x v="7"/>
    <n v="13.69"/>
    <n v="-89.190799999999996"/>
    <n v="8"/>
    <n v="0"/>
    <n v="0"/>
    <n v="107"/>
    <s v="_x0000_peopl"/>
  </r>
  <r>
    <x v="7"/>
    <n v="13.6876"/>
    <n v="-89.193399999999997"/>
    <n v="4"/>
    <n v="0"/>
    <n v="0"/>
    <n v="107"/>
    <s v="_x0000_peopl"/>
  </r>
  <r>
    <x v="7"/>
    <n v="13.6875"/>
    <n v="-89.193299999999994"/>
    <n v="4"/>
    <n v="0"/>
    <n v="0"/>
    <n v="107"/>
    <s v="_x0000_peopl"/>
  </r>
  <r>
    <x v="7"/>
    <n v="13.6874"/>
    <n v="-89.193299999999994"/>
    <n v="8"/>
    <n v="0"/>
    <n v="0"/>
    <n v="107"/>
    <s v="_x0000_peopl"/>
  </r>
  <r>
    <x v="7"/>
    <n v="13.686299999999999"/>
    <n v="-89.194699999999997"/>
    <n v="2"/>
    <n v="0"/>
    <n v="0"/>
    <n v="107"/>
    <s v="_x0000_peopl"/>
  </r>
  <r>
    <x v="7"/>
    <n v="13.686199999999999"/>
    <n v="-89.194800000000001"/>
    <n v="6"/>
    <n v="0"/>
    <n v="0"/>
    <n v="107"/>
    <s v="_x0000_peopl"/>
  </r>
  <r>
    <x v="7"/>
    <n v="13.686199999999999"/>
    <n v="-89.194900000000004"/>
    <n v="5"/>
    <n v="0"/>
    <n v="0"/>
    <n v="107"/>
    <s v="_x0000_peopl"/>
  </r>
  <r>
    <x v="7"/>
    <n v="13.686199999999999"/>
    <n v="-89.194900000000004"/>
    <n v="3"/>
    <n v="0"/>
    <n v="0"/>
    <n v="107"/>
    <s v="_x0000_peopl"/>
  </r>
  <r>
    <x v="7"/>
    <n v="13.686199999999999"/>
    <n v="-89.194999999999993"/>
    <n v="5"/>
    <n v="0"/>
    <n v="0"/>
    <n v="107"/>
    <s v="_x0000_peopl"/>
  </r>
  <r>
    <x v="7"/>
    <n v="13.686199999999999"/>
    <n v="-89.194999999999993"/>
    <n v="3"/>
    <n v="0"/>
    <n v="0"/>
    <n v="107"/>
    <s v="_x0000_peopl"/>
  </r>
  <r>
    <x v="7"/>
    <n v="13.6858"/>
    <n v="-89.195400000000006"/>
    <n v="4"/>
    <n v="0"/>
    <n v="0"/>
    <n v="107"/>
    <s v="_x0000_peopl"/>
  </r>
  <r>
    <x v="7"/>
    <n v="13.6858"/>
    <n v="-89.195400000000006"/>
    <n v="3"/>
    <n v="0"/>
    <n v="0"/>
    <n v="107"/>
    <s v="_x0000_peopl"/>
  </r>
  <r>
    <x v="7"/>
    <n v="13.6859"/>
    <n v="-89.195499999999996"/>
    <n v="2"/>
    <n v="0"/>
    <n v="0"/>
    <n v="107"/>
    <s v="_x0000_peopl"/>
  </r>
  <r>
    <x v="7"/>
    <n v="13.686"/>
    <n v="-89.195400000000006"/>
    <n v="2"/>
    <n v="0"/>
    <n v="0"/>
    <n v="107"/>
    <s v="_x0000_peopl"/>
  </r>
  <r>
    <x v="7"/>
    <n v="13.686"/>
    <n v="-89.195400000000006"/>
    <n v="4"/>
    <n v="0"/>
    <n v="0"/>
    <n v="107"/>
    <s v="_x0000_peopl"/>
  </r>
  <r>
    <x v="7"/>
    <n v="13.6861"/>
    <n v="-89.1952"/>
    <n v="6"/>
    <n v="0"/>
    <n v="0"/>
    <n v="107"/>
    <s v="_x0000_peopl"/>
  </r>
  <r>
    <x v="7"/>
    <n v="13.6858"/>
    <n v="-89.197000000000003"/>
    <n v="3"/>
    <n v="0"/>
    <n v="0"/>
    <n v="107"/>
    <s v="_x0000_peopl"/>
  </r>
  <r>
    <x v="7"/>
    <n v="13.686"/>
    <n v="-89.196700000000007"/>
    <n v="2"/>
    <n v="0"/>
    <n v="0"/>
    <n v="107"/>
    <s v="_x0000_peopl"/>
  </r>
  <r>
    <x v="7"/>
    <n v="13.686199999999999"/>
    <n v="-89.196399999999997"/>
    <n v="7"/>
    <n v="0"/>
    <n v="0"/>
    <n v="107"/>
    <s v="_x0000_peopl"/>
  </r>
  <r>
    <x v="7"/>
    <n v="13.685499999999999"/>
    <n v="-89.1965"/>
    <n v="4"/>
    <n v="0"/>
    <n v="0"/>
    <n v="107"/>
    <s v="_x0000_peopl"/>
  </r>
  <r>
    <x v="7"/>
    <n v="13.685700000000001"/>
    <n v="-89.197000000000003"/>
    <n v="3"/>
    <n v="0"/>
    <n v="0"/>
    <n v="107"/>
    <s v="_x0000_peopl"/>
  </r>
  <r>
    <x v="7"/>
    <n v="13.6858"/>
    <n v="-89.197299999999998"/>
    <n v="4"/>
    <n v="0"/>
    <n v="0"/>
    <n v="107"/>
    <s v="_x0000_peopl"/>
  </r>
  <r>
    <x v="7"/>
    <n v="13.6859"/>
    <n v="-89.197400000000002"/>
    <n v="4"/>
    <n v="0"/>
    <n v="0"/>
    <n v="107"/>
    <s v="_x0000_peopl"/>
  </r>
  <r>
    <x v="7"/>
    <n v="13.6859"/>
    <n v="-89.197500000000005"/>
    <n v="8"/>
    <n v="0"/>
    <n v="0"/>
    <n v="107"/>
    <s v="_x0000_peopl"/>
  </r>
  <r>
    <x v="7"/>
    <n v="13.686"/>
    <n v="-89.197599999999994"/>
    <n v="9"/>
    <n v="0"/>
    <n v="0"/>
    <n v="107"/>
    <s v="_x0000_peopl"/>
  </r>
  <r>
    <x v="7"/>
    <n v="13.687900000000001"/>
    <n v="-89.192400000000006"/>
    <n v="8"/>
    <n v="0"/>
    <n v="0"/>
    <n v="107"/>
    <s v="_x0000_peopl"/>
  </r>
  <r>
    <x v="7"/>
    <n v="13.687900000000001"/>
    <n v="-89.192400000000006"/>
    <n v="3"/>
    <n v="0"/>
    <n v="0"/>
    <n v="107"/>
    <s v="_x0000_peopl"/>
  </r>
  <r>
    <x v="7"/>
    <n v="13.687900000000001"/>
    <n v="-89.192400000000006"/>
    <n v="4"/>
    <n v="0"/>
    <n v="0"/>
    <n v="107"/>
    <s v="_x0000_peopl"/>
  </r>
  <r>
    <x v="7"/>
    <n v="13.687900000000001"/>
    <n v="-89.192499999999995"/>
    <n v="7"/>
    <n v="0"/>
    <n v="0"/>
    <n v="107"/>
    <s v="_x0000_peopl"/>
  </r>
  <r>
    <x v="7"/>
    <n v="13.687900000000001"/>
    <n v="-89.192499999999995"/>
    <n v="3"/>
    <n v="0"/>
    <n v="0"/>
    <n v="107"/>
    <s v="_x0000_peopl"/>
  </r>
  <r>
    <x v="7"/>
    <n v="13.687799999999999"/>
    <n v="-89.192300000000003"/>
    <n v="4"/>
    <n v="0"/>
    <n v="0"/>
    <n v="107"/>
    <s v="_x0000_peopl"/>
  </r>
  <r>
    <x v="7"/>
    <n v="13.687799999999999"/>
    <n v="-89.192300000000003"/>
    <n v="5"/>
    <n v="0"/>
    <n v="0"/>
    <n v="107"/>
    <s v="_x0000_peopl"/>
  </r>
  <r>
    <x v="7"/>
    <n v="13.687799999999999"/>
    <n v="-89.192300000000003"/>
    <n v="3"/>
    <n v="0"/>
    <n v="0"/>
    <n v="107"/>
    <s v="_x0000_peopl"/>
  </r>
  <r>
    <x v="7"/>
    <n v="13.687799999999999"/>
    <n v="-89.192400000000006"/>
    <n v="9"/>
    <n v="0"/>
    <n v="0"/>
    <n v="107"/>
    <s v="_x0000_peopl"/>
  </r>
  <r>
    <x v="7"/>
    <n v="13.687799999999999"/>
    <n v="-89.191199999999995"/>
    <n v="6"/>
    <n v="0"/>
    <n v="0"/>
    <n v="107"/>
    <s v="_x0000_peopl"/>
  </r>
  <r>
    <x v="7"/>
    <n v="13.687799999999999"/>
    <n v="-89.191199999999995"/>
    <n v="4"/>
    <n v="0"/>
    <n v="0"/>
    <n v="107"/>
    <s v="_x0000_peopl"/>
  </r>
  <r>
    <x v="7"/>
    <n v="13.687799999999999"/>
    <n v="-89.191199999999995"/>
    <n v="5"/>
    <n v="0"/>
    <n v="0"/>
    <n v="107"/>
    <s v="_x0000_peopl"/>
  </r>
  <r>
    <x v="7"/>
    <n v="13.687799999999999"/>
    <n v="-89.191199999999995"/>
    <n v="8"/>
    <n v="0"/>
    <n v="0"/>
    <n v="107"/>
    <s v="_x0000_peopl"/>
  </r>
  <r>
    <x v="7"/>
    <n v="13.687799999999999"/>
    <n v="-89.191199999999995"/>
    <n v="4"/>
    <n v="0"/>
    <n v="0"/>
    <n v="107"/>
    <s v="_x0000_peopl"/>
  </r>
  <r>
    <x v="7"/>
    <n v="13.687900000000001"/>
    <n v="-89.191100000000006"/>
    <n v="7"/>
    <n v="0"/>
    <n v="0"/>
    <n v="107"/>
    <s v="_x0000_peopl"/>
  </r>
  <r>
    <x v="7"/>
    <n v="13.687900000000001"/>
    <n v="-89.191100000000006"/>
    <n v="3"/>
    <n v="0"/>
    <n v="0"/>
    <n v="107"/>
    <s v="_x0000_peopl"/>
  </r>
  <r>
    <x v="7"/>
    <n v="13.687900000000001"/>
    <n v="-89.191100000000006"/>
    <n v="5"/>
    <n v="0"/>
    <n v="0"/>
    <n v="107"/>
    <s v="_x0000_peopl"/>
  </r>
  <r>
    <x v="7"/>
    <n v="13.687900000000001"/>
    <n v="-89.191100000000006"/>
    <n v="7"/>
    <n v="0"/>
    <n v="0"/>
    <n v="107"/>
    <s v="_x0000_peopl"/>
  </r>
  <r>
    <x v="7"/>
    <n v="13.687900000000001"/>
    <n v="-89.191100000000006"/>
    <n v="5"/>
    <n v="0"/>
    <n v="0"/>
    <n v="107"/>
    <s v="_x0000_peopl"/>
  </r>
  <r>
    <x v="7"/>
    <n v="13.687900000000001"/>
    <n v="-89.191199999999995"/>
    <n v="7"/>
    <n v="0"/>
    <n v="0"/>
    <n v="107"/>
    <s v="_x0000_peopl"/>
  </r>
  <r>
    <x v="7"/>
    <n v="13.687900000000001"/>
    <n v="-89.191199999999995"/>
    <n v="5"/>
    <n v="0"/>
    <n v="0"/>
    <n v="107"/>
    <s v="_x0000_peopl"/>
  </r>
  <r>
    <x v="7"/>
    <n v="13.687900000000001"/>
    <n v="-89.191199999999995"/>
    <n v="3"/>
    <n v="0"/>
    <n v="0"/>
    <n v="107"/>
    <s v="_x0000_peopl"/>
  </r>
  <r>
    <x v="7"/>
    <n v="13.687900000000001"/>
    <n v="-89.191199999999995"/>
    <n v="3"/>
    <n v="0"/>
    <n v="0"/>
    <n v="107"/>
    <s v="_x0000_peopl"/>
  </r>
  <r>
    <x v="7"/>
    <n v="13.687900000000001"/>
    <n v="-89.191199999999995"/>
    <n v="8"/>
    <n v="0"/>
    <n v="0"/>
    <n v="107"/>
    <s v="_x0000_peopl"/>
  </r>
  <r>
    <x v="7"/>
    <n v="13.688000000000001"/>
    <n v="-89.191199999999995"/>
    <n v="6"/>
    <n v="0"/>
    <n v="0"/>
    <n v="107"/>
    <s v="_x0000_peopl"/>
  </r>
  <r>
    <x v="7"/>
    <n v="13.688000000000001"/>
    <n v="-89.191199999999995"/>
    <n v="3"/>
    <n v="0"/>
    <n v="0"/>
    <n v="107"/>
    <s v="_x0000_peopl"/>
  </r>
  <r>
    <x v="7"/>
    <n v="13.688000000000001"/>
    <n v="-89.191199999999995"/>
    <n v="7"/>
    <n v="0"/>
    <n v="0"/>
    <n v="107"/>
    <s v="_x0000_peopl"/>
  </r>
  <r>
    <x v="7"/>
    <n v="13.688000000000001"/>
    <n v="-89.191199999999995"/>
    <n v="6"/>
    <n v="0"/>
    <n v="0"/>
    <n v="107"/>
    <s v="_x0000_peopl"/>
  </r>
  <r>
    <x v="7"/>
    <n v="13.687900000000001"/>
    <n v="-89.190899999999999"/>
    <n v="5"/>
    <n v="0"/>
    <n v="0"/>
    <n v="107"/>
    <s v="_x0000_peopl"/>
  </r>
  <r>
    <x v="7"/>
    <n v="13.687900000000001"/>
    <n v="-89.190899999999999"/>
    <n v="3"/>
    <n v="0"/>
    <n v="0"/>
    <n v="107"/>
    <s v="_x0000_peopl"/>
  </r>
  <r>
    <x v="7"/>
    <n v="13.687900000000001"/>
    <n v="-89.190899999999999"/>
    <n v="6"/>
    <n v="0"/>
    <n v="0"/>
    <n v="107"/>
    <s v="_x0000_peopl"/>
  </r>
  <r>
    <x v="7"/>
    <n v="13.687900000000001"/>
    <n v="-89.190899999999999"/>
    <n v="5"/>
    <n v="0"/>
    <n v="0"/>
    <n v="107"/>
    <s v="_x0000_peopl"/>
  </r>
  <r>
    <x v="7"/>
    <n v="13.687900000000001"/>
    <n v="-89.190899999999999"/>
    <n v="3"/>
    <n v="0"/>
    <n v="0"/>
    <n v="107"/>
    <s v="_x0000_peopl"/>
  </r>
  <r>
    <x v="7"/>
    <n v="13.687900000000001"/>
    <n v="-89.190899999999999"/>
    <n v="6"/>
    <n v="0"/>
    <n v="0"/>
    <n v="107"/>
    <s v="_x0000_peopl"/>
  </r>
  <r>
    <x v="7"/>
    <n v="13.688000000000001"/>
    <n v="-89.190799999999996"/>
    <n v="8"/>
    <n v="0"/>
    <n v="0"/>
    <n v="107"/>
    <s v="_x0000_peopl"/>
  </r>
  <r>
    <x v="7"/>
    <n v="13.688000000000001"/>
    <n v="-89.190799999999996"/>
    <n v="9"/>
    <n v="0"/>
    <n v="0"/>
    <n v="107"/>
    <s v="_x0000_peopl"/>
  </r>
  <r>
    <x v="7"/>
    <n v="13.688000000000001"/>
    <n v="-89.190799999999996"/>
    <n v="6"/>
    <n v="0"/>
    <n v="0"/>
    <n v="107"/>
    <s v="_x0000_peopl"/>
  </r>
  <r>
    <x v="7"/>
    <n v="13.688000000000001"/>
    <n v="-89.190700000000007"/>
    <n v="3"/>
    <n v="0"/>
    <n v="0"/>
    <n v="107"/>
    <s v="_x0000_peopl"/>
  </r>
  <r>
    <x v="7"/>
    <n v="13.688000000000001"/>
    <n v="-89.190700000000007"/>
    <n v="6"/>
    <n v="0"/>
    <n v="0"/>
    <n v="107"/>
    <s v="_x0000_peopl"/>
  </r>
  <r>
    <x v="7"/>
    <n v="13.688000000000001"/>
    <n v="-89.190700000000007"/>
    <n v="6"/>
    <n v="0"/>
    <n v="0"/>
    <n v="107"/>
    <s v="_x0000_peopl"/>
  </r>
  <r>
    <x v="7"/>
    <n v="13.687900000000001"/>
    <n v="-89.190600000000003"/>
    <n v="5"/>
    <n v="0"/>
    <n v="0"/>
    <n v="107"/>
    <s v="_x0000_peopl"/>
  </r>
  <r>
    <x v="7"/>
    <n v="13.687900000000001"/>
    <n v="-89.190600000000003"/>
    <n v="4"/>
    <n v="0"/>
    <n v="0"/>
    <n v="107"/>
    <s v="_x0000_peopl"/>
  </r>
  <r>
    <x v="7"/>
    <n v="13.687900000000001"/>
    <n v="-89.190600000000003"/>
    <n v="6"/>
    <n v="0"/>
    <n v="0"/>
    <n v="107"/>
    <s v="_x0000_peopl"/>
  </r>
  <r>
    <x v="7"/>
    <n v="13.687900000000001"/>
    <n v="-89.190600000000003"/>
    <n v="7"/>
    <n v="0"/>
    <n v="0"/>
    <n v="107"/>
    <s v="_x0000_peopl"/>
  </r>
  <r>
    <x v="7"/>
    <n v="13.687900000000001"/>
    <n v="-89.190600000000003"/>
    <n v="2"/>
    <n v="0"/>
    <n v="0"/>
    <n v="107"/>
    <s v="_x0000_peopl"/>
  </r>
  <r>
    <x v="7"/>
    <n v="13.687799999999999"/>
    <n v="-89.190700000000007"/>
    <n v="2"/>
    <n v="0"/>
    <n v="0"/>
    <n v="107"/>
    <s v="_x0000_peopl"/>
  </r>
  <r>
    <x v="7"/>
    <n v="13.687799999999999"/>
    <n v="-89.190700000000007"/>
    <n v="4"/>
    <n v="0"/>
    <n v="0"/>
    <n v="107"/>
    <s v="_x0000_peopl"/>
  </r>
  <r>
    <x v="7"/>
    <n v="13.687799999999999"/>
    <n v="-89.190700000000007"/>
    <n v="1"/>
    <n v="0"/>
    <n v="0"/>
    <n v="107"/>
    <s v="_x0000_peopl"/>
  </r>
  <r>
    <x v="7"/>
    <n v="13.688000000000001"/>
    <n v="-89.190899999999999"/>
    <n v="4"/>
    <n v="0"/>
    <n v="0"/>
    <n v="107"/>
    <s v="_x0000_peopl"/>
  </r>
  <r>
    <x v="7"/>
    <n v="13.688000000000001"/>
    <n v="-89.190899999999999"/>
    <n v="7"/>
    <n v="0"/>
    <n v="0"/>
    <n v="107"/>
    <s v="_x0000_peopl"/>
  </r>
  <r>
    <x v="7"/>
    <n v="13.688000000000001"/>
    <n v="-89.190899999999999"/>
    <n v="5"/>
    <n v="0"/>
    <n v="0"/>
    <n v="107"/>
    <s v="_x0000_peopl"/>
  </r>
  <r>
    <x v="7"/>
    <n v="13.688000000000001"/>
    <n v="-89.190899999999999"/>
    <n v="6"/>
    <n v="0"/>
    <n v="0"/>
    <n v="107"/>
    <s v="_x0000_peopl"/>
  </r>
  <r>
    <x v="7"/>
    <n v="13.688000000000001"/>
    <n v="-89.190899999999999"/>
    <n v="8"/>
    <n v="0"/>
    <n v="0"/>
    <n v="107"/>
    <s v="_x0000_peopl"/>
  </r>
  <r>
    <x v="7"/>
    <n v="13.688000000000001"/>
    <n v="-89.190899999999999"/>
    <n v="4"/>
    <n v="0"/>
    <n v="0"/>
    <n v="107"/>
    <s v="_x0000_peopl"/>
  </r>
  <r>
    <x v="7"/>
    <n v="13.688000000000001"/>
    <n v="-89.190899999999999"/>
    <n v="11"/>
    <n v="0"/>
    <n v="0"/>
    <n v="107"/>
    <s v="_x0000_peopl"/>
  </r>
  <r>
    <x v="7"/>
    <n v="13.688000000000001"/>
    <n v="-89.190899999999999"/>
    <n v="7"/>
    <n v="0"/>
    <n v="0"/>
    <n v="107"/>
    <s v="_x0000_peopl"/>
  </r>
  <r>
    <x v="7"/>
    <n v="13.6881"/>
    <n v="-89.190600000000003"/>
    <n v="8"/>
    <n v="0"/>
    <n v="0"/>
    <n v="107"/>
    <s v="_x0000_peopl"/>
  </r>
  <r>
    <x v="7"/>
    <n v="13.6881"/>
    <n v="-89.190600000000003"/>
    <n v="7"/>
    <n v="0"/>
    <n v="0"/>
    <n v="107"/>
    <s v="_x0000_peopl"/>
  </r>
  <r>
    <x v="7"/>
    <n v="13.6881"/>
    <n v="-89.190600000000003"/>
    <n v="5"/>
    <n v="0"/>
    <n v="0"/>
    <n v="107"/>
    <s v="_x0000_peopl"/>
  </r>
  <r>
    <x v="7"/>
    <n v="13.6881"/>
    <n v="-89.190600000000003"/>
    <n v="5"/>
    <n v="0"/>
    <n v="0"/>
    <n v="107"/>
    <s v="_x0000_peopl"/>
  </r>
  <r>
    <x v="7"/>
    <n v="13.6881"/>
    <n v="-89.1905"/>
    <n v="4"/>
    <n v="0"/>
    <n v="0"/>
    <n v="107"/>
    <s v="_x0000_peopl"/>
  </r>
  <r>
    <x v="7"/>
    <n v="13.6881"/>
    <n v="-89.1905"/>
    <n v="5"/>
    <n v="0"/>
    <n v="0"/>
    <n v="107"/>
    <s v="_x0000_peopl"/>
  </r>
  <r>
    <x v="7"/>
    <n v="13.6881"/>
    <n v="-89.1905"/>
    <n v="7"/>
    <n v="0"/>
    <n v="0"/>
    <n v="107"/>
    <s v="_x0000_peopl"/>
  </r>
  <r>
    <x v="7"/>
    <n v="13.6881"/>
    <n v="-89.1905"/>
    <n v="1"/>
    <n v="0"/>
    <n v="0"/>
    <n v="107"/>
    <s v="_x0000_peopl"/>
  </r>
  <r>
    <x v="7"/>
    <n v="13.6881"/>
    <n v="-89.1905"/>
    <n v="5"/>
    <n v="0"/>
    <n v="0"/>
    <n v="107"/>
    <s v="_x0000_peopl"/>
  </r>
  <r>
    <x v="7"/>
    <n v="13.6881"/>
    <n v="-89.1905"/>
    <n v="8"/>
    <n v="0"/>
    <n v="0"/>
    <n v="107"/>
    <s v="_x0000_peopl"/>
  </r>
  <r>
    <x v="7"/>
    <n v="13.6881"/>
    <n v="-89.1905"/>
    <n v="5"/>
    <n v="0"/>
    <n v="0"/>
    <n v="107"/>
    <s v="_x0000_peopl"/>
  </r>
  <r>
    <x v="7"/>
    <n v="13.6881"/>
    <n v="-89.1905"/>
    <n v="1"/>
    <n v="0"/>
    <n v="0"/>
    <n v="107"/>
    <s v="_x0000_peopl"/>
  </r>
  <r>
    <x v="7"/>
    <n v="13.6881"/>
    <n v="-89.190399999999997"/>
    <n v="4"/>
    <n v="0"/>
    <n v="0"/>
    <n v="107"/>
    <s v="_x0000_peopl"/>
  </r>
  <r>
    <x v="7"/>
    <n v="13.688000000000001"/>
    <n v="-89.1905"/>
    <n v="7"/>
    <n v="0"/>
    <n v="0"/>
    <n v="107"/>
    <s v="_x0000_peopl"/>
  </r>
  <r>
    <x v="7"/>
    <n v="13.688000000000001"/>
    <n v="-89.1905"/>
    <n v="6"/>
    <n v="0"/>
    <n v="0"/>
    <n v="107"/>
    <s v="_x0000_peopl"/>
  </r>
  <r>
    <x v="7"/>
    <n v="13.688000000000001"/>
    <n v="-89.1905"/>
    <n v="6"/>
    <n v="0"/>
    <n v="0"/>
    <n v="107"/>
    <s v="_x0000_peopl"/>
  </r>
  <r>
    <x v="7"/>
    <n v="13.688000000000001"/>
    <n v="-89.1905"/>
    <n v="10"/>
    <n v="0"/>
    <n v="0"/>
    <n v="107"/>
    <s v="_x0000_peopl"/>
  </r>
  <r>
    <x v="7"/>
    <n v="13.6881"/>
    <n v="-89.190299999999993"/>
    <n v="5"/>
    <n v="0"/>
    <n v="0"/>
    <n v="107"/>
    <s v="_x0000_peopl"/>
  </r>
  <r>
    <x v="7"/>
    <n v="13.687900000000001"/>
    <n v="-89.190200000000004"/>
    <n v="5"/>
    <n v="0"/>
    <n v="0"/>
    <n v="107"/>
    <s v="_x0000_peopl"/>
  </r>
  <r>
    <x v="7"/>
    <n v="13.687900000000001"/>
    <n v="-89.190200000000004"/>
    <n v="8"/>
    <n v="0"/>
    <n v="0"/>
    <n v="107"/>
    <s v="_x0000_peopl"/>
  </r>
  <r>
    <x v="7"/>
    <n v="13.687900000000001"/>
    <n v="-89.190100000000001"/>
    <n v="2"/>
    <n v="0"/>
    <n v="0"/>
    <n v="107"/>
    <s v="_x0000_peopl"/>
  </r>
  <r>
    <x v="7"/>
    <n v="13.687900000000001"/>
    <n v="-89.190100000000001"/>
    <n v="8"/>
    <n v="0"/>
    <n v="0"/>
    <n v="107"/>
    <s v="_x0000_peopl"/>
  </r>
  <r>
    <x v="7"/>
    <n v="13.687900000000001"/>
    <n v="-89.19"/>
    <n v="4"/>
    <n v="0"/>
    <n v="0"/>
    <n v="107"/>
    <s v="_x0000_peopl"/>
  </r>
  <r>
    <x v="7"/>
    <n v="13.687799999999999"/>
    <n v="-89.19"/>
    <n v="7"/>
    <n v="0"/>
    <n v="0"/>
    <n v="107"/>
    <s v="_x0000_peopl"/>
  </r>
  <r>
    <x v="7"/>
    <n v="13.687799999999999"/>
    <n v="-89.190100000000001"/>
    <n v="6"/>
    <n v="0"/>
    <n v="0"/>
    <n v="107"/>
    <s v="_x0000_peopl"/>
  </r>
  <r>
    <x v="7"/>
    <n v="13.687799999999999"/>
    <n v="-89.190100000000001"/>
    <n v="5"/>
    <n v="0"/>
    <n v="0"/>
    <n v="107"/>
    <s v="_x0000_peopl"/>
  </r>
  <r>
    <x v="7"/>
    <n v="13.687799999999999"/>
    <n v="-89.190200000000004"/>
    <n v="8"/>
    <n v="0"/>
    <n v="0"/>
    <n v="107"/>
    <s v="_x0000_peopl"/>
  </r>
  <r>
    <x v="7"/>
    <n v="13.687799999999999"/>
    <n v="-89.190200000000004"/>
    <n v="6"/>
    <n v="0"/>
    <n v="0"/>
    <n v="107"/>
    <s v="_x0000_peopl"/>
  </r>
  <r>
    <x v="7"/>
    <n v="13.687799999999999"/>
    <n v="-89.190200000000004"/>
    <n v="4"/>
    <n v="0"/>
    <n v="0"/>
    <n v="107"/>
    <s v="_x0000_peopl"/>
  </r>
  <r>
    <x v="7"/>
    <n v="13.687799999999999"/>
    <n v="-89.190200000000004"/>
    <n v="4"/>
    <n v="0"/>
    <n v="0"/>
    <n v="107"/>
    <s v="_x0000_peopl"/>
  </r>
  <r>
    <x v="7"/>
    <n v="13.687799999999999"/>
    <n v="-89.190299999999993"/>
    <n v="5"/>
    <n v="0"/>
    <n v="0"/>
    <n v="107"/>
    <s v="_x0000_peopl"/>
  </r>
  <r>
    <x v="7"/>
    <n v="13.687799999999999"/>
    <n v="-89.190299999999993"/>
    <n v="8"/>
    <n v="0"/>
    <n v="0"/>
    <n v="107"/>
    <s v="_x0000_peopl"/>
  </r>
  <r>
    <x v="7"/>
    <n v="13.687799999999999"/>
    <n v="-89.1905"/>
    <n v="4"/>
    <n v="0"/>
    <n v="0"/>
    <n v="107"/>
    <s v="_x0000_peopl"/>
  </r>
  <r>
    <x v="7"/>
    <n v="13.6877"/>
    <n v="-89.1905"/>
    <n v="4"/>
    <n v="0"/>
    <n v="0"/>
    <n v="107"/>
    <s v="_x0000_peopl"/>
  </r>
  <r>
    <x v="7"/>
    <n v="13.6877"/>
    <n v="-89.1905"/>
    <n v="10"/>
    <n v="0"/>
    <n v="0"/>
    <n v="107"/>
    <s v="_x0000_peopl"/>
  </r>
  <r>
    <x v="7"/>
    <n v="13.6877"/>
    <n v="-89.190399999999997"/>
    <n v="9"/>
    <n v="0"/>
    <n v="0"/>
    <n v="107"/>
    <s v="_x0000_peopl"/>
  </r>
  <r>
    <x v="7"/>
    <n v="13.6877"/>
    <n v="-89.190399999999997"/>
    <n v="5"/>
    <n v="0"/>
    <n v="0"/>
    <n v="107"/>
    <s v="_x0000_peopl"/>
  </r>
  <r>
    <x v="7"/>
    <n v="13.6877"/>
    <n v="-89.190299999999993"/>
    <n v="5"/>
    <n v="0"/>
    <n v="0"/>
    <n v="107"/>
    <s v="_x0000_peopl"/>
  </r>
  <r>
    <x v="7"/>
    <n v="13.6877"/>
    <n v="-89.190299999999993"/>
    <n v="8"/>
    <n v="0"/>
    <n v="0"/>
    <n v="107"/>
    <s v="_x0000_peopl"/>
  </r>
  <r>
    <x v="7"/>
    <n v="13.6876"/>
    <n v="-89.190299999999993"/>
    <n v="6"/>
    <n v="0"/>
    <n v="0"/>
    <n v="107"/>
    <s v="_x0000_peopl"/>
  </r>
  <r>
    <x v="7"/>
    <n v="13.6877"/>
    <n v="-89.190299999999993"/>
    <n v="5"/>
    <n v="0"/>
    <n v="0"/>
    <n v="107"/>
    <s v="_x0000_peopl"/>
  </r>
  <r>
    <x v="7"/>
    <n v="13.6876"/>
    <n v="-89.190200000000004"/>
    <n v="6"/>
    <n v="0"/>
    <n v="0"/>
    <n v="107"/>
    <s v="_x0000_peopl"/>
  </r>
  <r>
    <x v="7"/>
    <n v="13.6876"/>
    <n v="-89.190100000000001"/>
    <n v="6"/>
    <n v="0"/>
    <n v="0"/>
    <n v="107"/>
    <s v="_x0000_peopl"/>
  </r>
  <r>
    <x v="7"/>
    <n v="13.6876"/>
    <n v="-89.190200000000004"/>
    <n v="6"/>
    <n v="0"/>
    <n v="0"/>
    <n v="107"/>
    <s v="_x0000_peopl"/>
  </r>
  <r>
    <x v="7"/>
    <n v="13.6875"/>
    <n v="-89.190200000000004"/>
    <n v="4"/>
    <n v="0"/>
    <n v="0"/>
    <n v="107"/>
    <s v="_x0000_peopl"/>
  </r>
  <r>
    <x v="7"/>
    <n v="13.687900000000001"/>
    <n v="-89.183499999999995"/>
    <n v="1"/>
    <n v="0"/>
    <n v="0"/>
    <n v="107"/>
    <s v="_x0000_peopl"/>
  </r>
  <r>
    <x v="7"/>
    <n v="13.688000000000001"/>
    <n v="-89.183899999999994"/>
    <n v="9"/>
    <n v="0"/>
    <n v="0"/>
    <n v="107"/>
    <s v="_x0000_peopl"/>
  </r>
  <r>
    <x v="7"/>
    <n v="13.6881"/>
    <n v="-89.183800000000005"/>
    <n v="4"/>
    <n v="0"/>
    <n v="0"/>
    <n v="107"/>
    <s v="_x0000_peopl"/>
  </r>
  <r>
    <x v="7"/>
    <n v="13.688000000000001"/>
    <n v="-89.183800000000005"/>
    <n v="4"/>
    <n v="0"/>
    <n v="0"/>
    <n v="107"/>
    <s v="_x0000_peopl"/>
  </r>
  <r>
    <x v="7"/>
    <n v="13.688000000000001"/>
    <n v="-89.183800000000005"/>
    <n v="5"/>
    <n v="0"/>
    <n v="0"/>
    <n v="107"/>
    <s v="_x0000_peopl"/>
  </r>
  <r>
    <x v="7"/>
    <n v="13.688000000000001"/>
    <n v="-89.183800000000005"/>
    <n v="4"/>
    <n v="0"/>
    <n v="0"/>
    <n v="107"/>
    <s v="_x0000_peopl"/>
  </r>
  <r>
    <x v="7"/>
    <n v="13.688000000000001"/>
    <n v="-89.183700000000002"/>
    <n v="4"/>
    <n v="0"/>
    <n v="0"/>
    <n v="107"/>
    <s v="_x0000_peopl"/>
  </r>
  <r>
    <x v="7"/>
    <n v="13.688000000000001"/>
    <n v="-89.183599999999998"/>
    <n v="4"/>
    <n v="0"/>
    <n v="0"/>
    <n v="107"/>
    <s v="_x0000_peopl"/>
  </r>
  <r>
    <x v="7"/>
    <n v="13.687900000000001"/>
    <n v="-89.183599999999998"/>
    <n v="7"/>
    <n v="0"/>
    <n v="0"/>
    <n v="107"/>
    <s v="_x0000_peopl"/>
  </r>
  <r>
    <x v="7"/>
    <n v="13.687900000000001"/>
    <n v="-89.183700000000002"/>
    <n v="3"/>
    <n v="0"/>
    <n v="0"/>
    <n v="107"/>
    <s v="_x0000_peopl"/>
  </r>
  <r>
    <x v="7"/>
    <n v="13.687900000000001"/>
    <n v="-89.183700000000002"/>
    <n v="7"/>
    <n v="0"/>
    <n v="0"/>
    <n v="107"/>
    <s v="_x0000_peopl"/>
  </r>
  <r>
    <x v="7"/>
    <n v="13.687900000000001"/>
    <n v="-89.183800000000005"/>
    <n v="7"/>
    <n v="0"/>
    <n v="0"/>
    <n v="107"/>
    <s v="_x0000_peopl"/>
  </r>
  <r>
    <x v="7"/>
    <n v="13.688000000000001"/>
    <n v="-89.183899999999994"/>
    <n v="5"/>
    <n v="0"/>
    <n v="0"/>
    <n v="107"/>
    <s v="_x0000_peopl"/>
  </r>
  <r>
    <x v="7"/>
    <n v="13.687900000000001"/>
    <n v="-89.183899999999994"/>
    <n v="6"/>
    <n v="0"/>
    <n v="0"/>
    <n v="107"/>
    <s v="_x0000_peopl"/>
  </r>
  <r>
    <x v="7"/>
    <n v="13.687900000000001"/>
    <n v="-89.183899999999994"/>
    <n v="5"/>
    <n v="0"/>
    <n v="0"/>
    <n v="107"/>
    <s v="_x0000_peopl"/>
  </r>
  <r>
    <x v="7"/>
    <n v="13.687799999999999"/>
    <n v="-89.183899999999994"/>
    <n v="6"/>
    <n v="0"/>
    <n v="0"/>
    <n v="107"/>
    <s v="_x0000_peopl"/>
  </r>
  <r>
    <x v="7"/>
    <n v="13.687799999999999"/>
    <n v="-89.183899999999994"/>
    <n v="8"/>
    <n v="0"/>
    <n v="0"/>
    <n v="107"/>
    <s v="_x0000_peopl"/>
  </r>
  <r>
    <x v="7"/>
    <n v="13.687799999999999"/>
    <n v="-89.183899999999994"/>
    <n v="1"/>
    <n v="0"/>
    <n v="0"/>
    <n v="107"/>
    <s v="_x0000_peopl"/>
  </r>
  <r>
    <x v="7"/>
    <n v="13.687799999999999"/>
    <n v="-89.183599999999998"/>
    <n v="5"/>
    <n v="0"/>
    <n v="0"/>
    <n v="107"/>
    <s v="_x0000_peopl"/>
  </r>
  <r>
    <x v="7"/>
    <n v="13.6904"/>
    <n v="-89.181899999999999"/>
    <n v="4"/>
    <n v="0"/>
    <n v="0"/>
    <n v="107"/>
    <s v="_x0000_peopl"/>
  </r>
  <r>
    <x v="7"/>
    <n v="13.6904"/>
    <n v="-89.181799999999996"/>
    <n v="5"/>
    <n v="0"/>
    <n v="0"/>
    <n v="107"/>
    <s v="_x0000_peopl"/>
  </r>
  <r>
    <x v="7"/>
    <n v="13.690300000000001"/>
    <n v="-89.181799999999996"/>
    <n v="0"/>
    <n v="0"/>
    <n v="0"/>
    <n v="107"/>
    <s v="_x0000_peopl"/>
  </r>
  <r>
    <x v="7"/>
    <n v="13.6904"/>
    <n v="-89.181700000000006"/>
    <n v="3"/>
    <n v="0"/>
    <n v="0"/>
    <n v="107"/>
    <s v="_x0000_peopl"/>
  </r>
  <r>
    <x v="7"/>
    <n v="13.6905"/>
    <n v="-89.181700000000006"/>
    <n v="7"/>
    <n v="0"/>
    <n v="0"/>
    <n v="107"/>
    <s v="_x0000_peopl"/>
  </r>
  <r>
    <x v="7"/>
    <n v="13.6906"/>
    <n v="-89.181899999999999"/>
    <n v="5"/>
    <n v="0"/>
    <n v="0"/>
    <n v="107"/>
    <s v="_x0000_peopl"/>
  </r>
  <r>
    <x v="7"/>
    <n v="13.6906"/>
    <n v="-89.181899999999999"/>
    <n v="6"/>
    <n v="0"/>
    <n v="0"/>
    <n v="107"/>
    <s v="_x0000_peopl"/>
  </r>
  <r>
    <x v="7"/>
    <n v="13.6906"/>
    <n v="-89.181700000000006"/>
    <n v="2"/>
    <n v="0"/>
    <n v="0"/>
    <n v="107"/>
    <s v="_x0000_peopl"/>
  </r>
  <r>
    <x v="7"/>
    <n v="13.6905"/>
    <n v="-89.181700000000006"/>
    <n v="7"/>
    <n v="0"/>
    <n v="0"/>
    <n v="107"/>
    <s v="_x0000_peopl"/>
  </r>
  <r>
    <x v="7"/>
    <n v="13.6907"/>
    <n v="-89.181799999999996"/>
    <n v="3"/>
    <n v="0"/>
    <n v="0"/>
    <n v="107"/>
    <s v="_x0000_peopl"/>
  </r>
  <r>
    <x v="7"/>
    <n v="13.6907"/>
    <n v="-89.181899999999999"/>
    <n v="4"/>
    <n v="0"/>
    <n v="0"/>
    <n v="107"/>
    <s v="_x0000_peopl"/>
  </r>
  <r>
    <x v="7"/>
    <n v="13.690799999999999"/>
    <n v="-89.181899999999999"/>
    <n v="5"/>
    <n v="0"/>
    <n v="0"/>
    <n v="107"/>
    <s v="_x0000_peopl"/>
  </r>
  <r>
    <x v="7"/>
    <n v="13.690799999999999"/>
    <n v="-89.181799999999996"/>
    <n v="2"/>
    <n v="0"/>
    <n v="0"/>
    <n v="107"/>
    <s v="_x0000_peopl"/>
  </r>
  <r>
    <x v="7"/>
    <n v="13.690799999999999"/>
    <n v="-89.181700000000006"/>
    <n v="7"/>
    <n v="0"/>
    <n v="0"/>
    <n v="107"/>
    <s v="_x0000_peopl"/>
  </r>
  <r>
    <x v="7"/>
    <n v="13.6907"/>
    <n v="-89.181700000000006"/>
    <n v="7"/>
    <n v="0"/>
    <n v="0"/>
    <n v="107"/>
    <s v="_x0000_peopl"/>
  </r>
  <r>
    <x v="7"/>
    <n v="13.690899999999999"/>
    <n v="-89.180999999999997"/>
    <n v="3"/>
    <n v="0"/>
    <n v="0"/>
    <n v="107"/>
    <s v="_x0000_peopl"/>
  </r>
  <r>
    <x v="7"/>
    <n v="13.691000000000001"/>
    <n v="-89.180800000000005"/>
    <n v="5"/>
    <n v="0"/>
    <n v="0"/>
    <n v="107"/>
    <s v="_x0000_peopl"/>
  </r>
  <r>
    <x v="7"/>
    <n v="13.690899999999999"/>
    <n v="-89.180899999999994"/>
    <n v="3"/>
    <n v="0"/>
    <n v="0"/>
    <n v="107"/>
    <s v="_x0000_peopl"/>
  </r>
  <r>
    <x v="7"/>
    <n v="13.691000000000001"/>
    <n v="-89.180700000000002"/>
    <n v="4"/>
    <n v="0"/>
    <n v="0"/>
    <n v="107"/>
    <s v="_x0000_peopl"/>
  </r>
  <r>
    <x v="7"/>
    <n v="13.691000000000001"/>
    <n v="-89.180700000000002"/>
    <n v="7"/>
    <n v="0"/>
    <n v="0"/>
    <n v="107"/>
    <s v="_x0000_peopl"/>
  </r>
  <r>
    <x v="7"/>
    <n v="13.690899999999999"/>
    <n v="-89.180599999999998"/>
    <n v="0"/>
    <n v="0"/>
    <n v="0"/>
    <n v="107"/>
    <s v="_x0000_peopl"/>
  </r>
  <r>
    <x v="7"/>
    <n v="13.691000000000001"/>
    <n v="-89.180400000000006"/>
    <n v="6"/>
    <n v="0"/>
    <n v="0"/>
    <n v="107"/>
    <s v="_x0000_peopl"/>
  </r>
  <r>
    <x v="7"/>
    <n v="13.691000000000001"/>
    <n v="-89.180300000000003"/>
    <n v="7"/>
    <n v="0"/>
    <n v="0"/>
    <n v="107"/>
    <s v="_x0000_peopl"/>
  </r>
  <r>
    <x v="7"/>
    <n v="13.690799999999999"/>
    <n v="-89.180599999999998"/>
    <n v="7"/>
    <n v="0"/>
    <n v="0"/>
    <n v="107"/>
    <s v="_x0000_peopl"/>
  </r>
  <r>
    <x v="7"/>
    <n v="13.6907"/>
    <n v="-89.180700000000002"/>
    <n v="4"/>
    <n v="0"/>
    <n v="0"/>
    <n v="107"/>
    <s v="_x0000_peopl"/>
  </r>
  <r>
    <x v="7"/>
    <n v="13.6906"/>
    <n v="-89.181100000000001"/>
    <n v="4"/>
    <n v="0"/>
    <n v="0"/>
    <n v="107"/>
    <s v="_x0000_peopl"/>
  </r>
  <r>
    <x v="7"/>
    <n v="13.6905"/>
    <n v="-89.180999999999997"/>
    <n v="2"/>
    <n v="0"/>
    <n v="0"/>
    <n v="107"/>
    <s v="_x0000_peopl"/>
  </r>
  <r>
    <x v="7"/>
    <n v="13.6905"/>
    <n v="-89.180899999999994"/>
    <n v="7"/>
    <n v="0"/>
    <n v="0"/>
    <n v="107"/>
    <s v="_x0000_peopl"/>
  </r>
  <r>
    <x v="7"/>
    <n v="13.6906"/>
    <n v="-89.180899999999994"/>
    <n v="2"/>
    <n v="0"/>
    <n v="0"/>
    <n v="107"/>
    <s v="_x0000_peopl"/>
  </r>
  <r>
    <x v="7"/>
    <n v="13.690799999999999"/>
    <n v="-89.180999999999997"/>
    <n v="7"/>
    <n v="0"/>
    <n v="0"/>
    <n v="107"/>
    <s v="_x0000_peopl"/>
  </r>
  <r>
    <x v="7"/>
    <n v="13.6907"/>
    <n v="-89.181100000000001"/>
    <n v="3"/>
    <n v="0"/>
    <n v="0"/>
    <n v="107"/>
    <s v="_x0000_peopl"/>
  </r>
  <r>
    <x v="7"/>
    <n v="13.6907"/>
    <n v="-89.180899999999994"/>
    <n v="3"/>
    <n v="0"/>
    <n v="0"/>
    <n v="107"/>
    <s v="_x0000_peopl"/>
  </r>
  <r>
    <x v="7"/>
    <n v="13.690799999999999"/>
    <n v="-89.180800000000005"/>
    <n v="4"/>
    <n v="0"/>
    <n v="0"/>
    <n v="107"/>
    <s v="_x0000_peopl"/>
  </r>
  <r>
    <x v="7"/>
    <n v="13.6904"/>
    <n v="-89.180999999999997"/>
    <n v="4"/>
    <n v="0"/>
    <n v="0"/>
    <n v="107"/>
    <s v="_x0000_peopl"/>
  </r>
  <r>
    <x v="7"/>
    <n v="13.6904"/>
    <n v="-89.181100000000001"/>
    <n v="6"/>
    <n v="0"/>
    <n v="0"/>
    <n v="107"/>
    <s v="_x0000_peopl"/>
  </r>
  <r>
    <x v="7"/>
    <n v="13.690099999999999"/>
    <n v="-89.188000000000002"/>
    <n v="4"/>
    <n v="0"/>
    <n v="0"/>
    <n v="107"/>
    <s v="_x0000_peopl"/>
  </r>
  <r>
    <x v="7"/>
    <n v="13.6881"/>
    <n v="-89.183599999999998"/>
    <n v="3"/>
    <n v="0"/>
    <n v="0"/>
    <n v="107"/>
    <s v="_x0000_peopl"/>
  </r>
  <r>
    <x v="7"/>
    <n v="13.6882"/>
    <n v="-89.183700000000002"/>
    <n v="9"/>
    <n v="0"/>
    <n v="0"/>
    <n v="107"/>
    <s v="_x0000_peopl"/>
  </r>
  <r>
    <x v="7"/>
    <n v="13.6882"/>
    <n v="-89.183700000000002"/>
    <n v="1"/>
    <n v="0"/>
    <n v="0"/>
    <n v="107"/>
    <s v="_x0000_peopl"/>
  </r>
  <r>
    <x v="7"/>
    <n v="13.6883"/>
    <n v="-89.183700000000002"/>
    <n v="9"/>
    <n v="0"/>
    <n v="0"/>
    <n v="107"/>
    <s v="_x0000_peopl"/>
  </r>
  <r>
    <x v="7"/>
    <n v="13.6884"/>
    <n v="-89.183599999999998"/>
    <n v="9"/>
    <n v="0"/>
    <n v="0"/>
    <n v="107"/>
    <s v="_x0000_peopl"/>
  </r>
  <r>
    <x v="7"/>
    <n v="13.688800000000001"/>
    <n v="-89.183000000000007"/>
    <n v="7"/>
    <n v="0"/>
    <n v="0"/>
    <n v="107"/>
    <s v="_x0000_peopl"/>
  </r>
  <r>
    <x v="7"/>
    <n v="13.688700000000001"/>
    <n v="-89.183000000000007"/>
    <n v="6"/>
    <n v="0"/>
    <n v="0"/>
    <n v="107"/>
    <s v="_x0000_peopl"/>
  </r>
  <r>
    <x v="7"/>
    <n v="13.688700000000001"/>
    <n v="-89.183000000000007"/>
    <n v="5"/>
    <n v="0"/>
    <n v="0"/>
    <n v="107"/>
    <s v="_x0000_peopl"/>
  </r>
  <r>
    <x v="7"/>
    <n v="13.688700000000001"/>
    <n v="-89.183099999999996"/>
    <n v="8"/>
    <n v="0"/>
    <n v="0"/>
    <n v="107"/>
    <s v="_x0000_peopl"/>
  </r>
  <r>
    <x v="7"/>
    <n v="13.688599999999999"/>
    <n v="-89.183099999999996"/>
    <n v="10"/>
    <n v="0"/>
    <n v="0"/>
    <n v="107"/>
    <s v="_x0000_peopl"/>
  </r>
  <r>
    <x v="7"/>
    <n v="13.688499999999999"/>
    <n v="-89.183099999999996"/>
    <n v="4"/>
    <n v="0"/>
    <n v="0"/>
    <n v="107"/>
    <s v="_x0000_peopl"/>
  </r>
  <r>
    <x v="7"/>
    <n v="13.688499999999999"/>
    <n v="-89.183000000000007"/>
    <n v="8"/>
    <n v="0"/>
    <n v="0"/>
    <n v="107"/>
    <s v="_x0000_peopl"/>
  </r>
  <r>
    <x v="7"/>
    <n v="13.688599999999999"/>
    <n v="-89.183000000000007"/>
    <n v="3"/>
    <n v="0"/>
    <n v="0"/>
    <n v="107"/>
    <s v="_x0000_peopl"/>
  </r>
  <r>
    <x v="7"/>
    <n v="13.6889"/>
    <n v="-89.181600000000003"/>
    <n v="6"/>
    <n v="0"/>
    <n v="0"/>
    <n v="107"/>
    <s v="_x0000_peopl"/>
  </r>
  <r>
    <x v="7"/>
    <n v="13.689299999999999"/>
    <n v="-89.181399999999996"/>
    <n v="6"/>
    <n v="0"/>
    <n v="0"/>
    <n v="107"/>
    <s v="_x0000_peopl"/>
  </r>
  <r>
    <x v="7"/>
    <n v="13.689299999999999"/>
    <n v="-89.181399999999996"/>
    <n v="7"/>
    <n v="0"/>
    <n v="0"/>
    <n v="107"/>
    <s v="_x0000_peopl"/>
  </r>
  <r>
    <x v="7"/>
    <n v="13.6892"/>
    <n v="-89.181399999999996"/>
    <n v="7"/>
    <n v="0"/>
    <n v="0"/>
    <n v="107"/>
    <s v="_x0000_peopl"/>
  </r>
  <r>
    <x v="7"/>
    <n v="13.689500000000001"/>
    <n v="-89.181299999999993"/>
    <n v="3"/>
    <n v="0"/>
    <n v="0"/>
    <n v="107"/>
    <s v="_x0000_peopl"/>
  </r>
  <r>
    <x v="7"/>
    <n v="13.689399999999999"/>
    <n v="-89.181299999999993"/>
    <n v="6"/>
    <n v="0"/>
    <n v="0"/>
    <n v="107"/>
    <s v="_x0000_peopl"/>
  </r>
  <r>
    <x v="7"/>
    <n v="13.6897"/>
    <n v="-89.181200000000004"/>
    <n v="4"/>
    <n v="0"/>
    <n v="0"/>
    <n v="107"/>
    <s v="_x0000_peopl"/>
  </r>
  <r>
    <x v="7"/>
    <n v="13.6904"/>
    <n v="-89.180099999999996"/>
    <n v="5"/>
    <n v="0"/>
    <n v="0"/>
    <n v="107"/>
    <s v="_x0000_peopl"/>
  </r>
  <r>
    <x v="7"/>
    <n v="13.6904"/>
    <n v="-89.180099999999996"/>
    <n v="2"/>
    <n v="0"/>
    <n v="0"/>
    <n v="107"/>
    <s v="_x0000_peopl"/>
  </r>
  <r>
    <x v="7"/>
    <n v="13.690300000000001"/>
    <n v="-89.180099999999996"/>
    <n v="7"/>
    <n v="0"/>
    <n v="0"/>
    <n v="107"/>
    <s v="_x0000_peopl"/>
  </r>
  <r>
    <x v="7"/>
    <n v="13.690300000000001"/>
    <n v="-89.180099999999996"/>
    <n v="4"/>
    <n v="0"/>
    <n v="0"/>
    <n v="107"/>
    <s v="_x0000_peopl"/>
  </r>
  <r>
    <x v="7"/>
    <n v="13.690200000000001"/>
    <n v="-89.180199999999999"/>
    <n v="7"/>
    <n v="0"/>
    <n v="0"/>
    <n v="107"/>
    <s v="_x0000_peopl"/>
  </r>
  <r>
    <x v="7"/>
    <n v="13.690200000000001"/>
    <n v="-89.180199999999999"/>
    <n v="3"/>
    <n v="0"/>
    <n v="0"/>
    <n v="107"/>
    <s v="_x0000_peopl"/>
  </r>
  <r>
    <x v="7"/>
    <n v="13.690200000000001"/>
    <n v="-89.180300000000003"/>
    <n v="4"/>
    <n v="0"/>
    <n v="0"/>
    <n v="107"/>
    <s v="_x0000_peopl"/>
  </r>
  <r>
    <x v="7"/>
    <n v="13.690300000000001"/>
    <n v="-89.180400000000006"/>
    <n v="4"/>
    <n v="0"/>
    <n v="0"/>
    <n v="107"/>
    <s v="_x0000_peopl"/>
  </r>
  <r>
    <x v="7"/>
    <n v="13.690200000000001"/>
    <n v="-89.180499999999995"/>
    <n v="11"/>
    <n v="0"/>
    <n v="0"/>
    <n v="107"/>
    <s v="_x0000_peopl"/>
  </r>
  <r>
    <x v="7"/>
    <n v="13.690099999999999"/>
    <n v="-89.180199999999999"/>
    <n v="7"/>
    <n v="0"/>
    <n v="0"/>
    <n v="107"/>
    <s v="_x0000_peopl"/>
  </r>
  <r>
    <x v="7"/>
    <n v="13.6899"/>
    <n v="-89.180300000000003"/>
    <n v="5"/>
    <n v="0"/>
    <n v="0"/>
    <n v="107"/>
    <s v="_x0000_peopl"/>
  </r>
  <r>
    <x v="7"/>
    <n v="13.69"/>
    <n v="-89.180400000000006"/>
    <n v="1"/>
    <n v="0"/>
    <n v="0"/>
    <n v="107"/>
    <s v="_x0000_peopl"/>
  </r>
  <r>
    <x v="7"/>
    <n v="13.690099999999999"/>
    <n v="-89.180599999999998"/>
    <n v="8"/>
    <n v="0"/>
    <n v="0"/>
    <n v="107"/>
    <s v="_x0000_peopl"/>
  </r>
  <r>
    <x v="7"/>
    <n v="13.69"/>
    <n v="-89.180700000000002"/>
    <n v="7"/>
    <n v="0"/>
    <n v="0"/>
    <n v="107"/>
    <s v="_x0000_peopl"/>
  </r>
  <r>
    <x v="7"/>
    <n v="13.69"/>
    <n v="-89.180700000000002"/>
    <n v="8"/>
    <n v="0"/>
    <n v="0"/>
    <n v="107"/>
    <s v="_x0000_peopl"/>
  </r>
  <r>
    <x v="7"/>
    <n v="13.688700000000001"/>
    <n v="-89.181600000000003"/>
    <n v="6"/>
    <n v="0"/>
    <n v="0"/>
    <n v="107"/>
    <s v="_x0000_peopl"/>
  </r>
  <r>
    <x v="7"/>
    <n v="13.6896"/>
    <n v="-89.180400000000006"/>
    <n v="5"/>
    <n v="0"/>
    <n v="0"/>
    <n v="107"/>
    <s v="_x0000_peopl"/>
  </r>
  <r>
    <x v="7"/>
    <n v="13.6896"/>
    <n v="-89.180499999999995"/>
    <n v="5"/>
    <n v="0"/>
    <n v="0"/>
    <n v="107"/>
    <s v="_x0000_peopl"/>
  </r>
  <r>
    <x v="7"/>
    <n v="13.6897"/>
    <n v="-89.180400000000006"/>
    <n v="4"/>
    <n v="0"/>
    <n v="0"/>
    <n v="107"/>
    <s v="_x0000_peopl"/>
  </r>
  <r>
    <x v="7"/>
    <n v="13.6898"/>
    <n v="-89.180300000000003"/>
    <n v="7"/>
    <n v="0"/>
    <n v="0"/>
    <n v="107"/>
    <s v="_x0000_peopl"/>
  </r>
  <r>
    <x v="7"/>
    <n v="13.6897"/>
    <n v="-89.180499999999995"/>
    <n v="5"/>
    <n v="0"/>
    <n v="0"/>
    <n v="107"/>
    <s v="_x0000_peopl"/>
  </r>
  <r>
    <x v="7"/>
    <n v="13.6897"/>
    <n v="-89.180800000000005"/>
    <n v="5"/>
    <n v="0"/>
    <n v="0"/>
    <n v="107"/>
    <s v="_x0000_peopl"/>
  </r>
  <r>
    <x v="7"/>
    <n v="13.6897"/>
    <n v="-89.180599999999998"/>
    <n v="4"/>
    <n v="0"/>
    <n v="0"/>
    <n v="107"/>
    <s v="_x0000_peopl"/>
  </r>
  <r>
    <x v="7"/>
    <n v="13.6899"/>
    <n v="-89.180700000000002"/>
    <n v="9"/>
    <n v="0"/>
    <n v="0"/>
    <n v="107"/>
    <s v="_x0000_peopl"/>
  </r>
  <r>
    <x v="7"/>
    <n v="13.6898"/>
    <n v="-89.180700000000002"/>
    <n v="7"/>
    <n v="0"/>
    <n v="0"/>
    <n v="107"/>
    <s v="_x0000_peopl"/>
  </r>
  <r>
    <x v="7"/>
    <n v="13.6898"/>
    <n v="-89.180899999999994"/>
    <n v="3"/>
    <n v="0"/>
    <n v="0"/>
    <n v="107"/>
    <s v="_x0000_peopl"/>
  </r>
  <r>
    <x v="7"/>
    <n v="13.6898"/>
    <n v="-89.180999999999997"/>
    <n v="9"/>
    <n v="0"/>
    <n v="0"/>
    <n v="107"/>
    <s v="_x0000_peopl"/>
  </r>
  <r>
    <x v="7"/>
    <n v="13.6898"/>
    <n v="-89.180499999999995"/>
    <n v="4"/>
    <n v="0"/>
    <n v="0"/>
    <n v="107"/>
    <s v="_x0000_peopl"/>
  </r>
  <r>
    <x v="7"/>
    <n v="13.6898"/>
    <n v="-89.180300000000003"/>
    <n v="5"/>
    <n v="0"/>
    <n v="0"/>
    <n v="107"/>
    <s v="_x0000_peopl"/>
  </r>
  <r>
    <x v="7"/>
    <n v="13.6898"/>
    <n v="-89.180999999999997"/>
    <n v="7"/>
    <n v="0"/>
    <n v="0"/>
    <n v="107"/>
    <s v="_x0000_peopl"/>
  </r>
  <r>
    <x v="7"/>
    <n v="13.6938"/>
    <n v="-89.183899999999994"/>
    <n v="2"/>
    <n v="0"/>
    <n v="0"/>
    <n v="107"/>
    <s v="_x0000_peopl"/>
  </r>
  <r>
    <x v="7"/>
    <n v="13.6938"/>
    <n v="-89.183899999999994"/>
    <n v="7"/>
    <n v="0"/>
    <n v="0"/>
    <n v="107"/>
    <s v="_x0000_peopl"/>
  </r>
  <r>
    <x v="7"/>
    <n v="13.693899999999999"/>
    <n v="-89.183800000000005"/>
    <n v="11"/>
    <n v="0"/>
    <n v="0"/>
    <n v="107"/>
    <s v="_x0000_peopl"/>
  </r>
  <r>
    <x v="7"/>
    <n v="13.693899999999999"/>
    <n v="-89.183800000000005"/>
    <n v="9"/>
    <n v="0"/>
    <n v="0"/>
    <n v="107"/>
    <s v="_x0000_peopl"/>
  </r>
  <r>
    <x v="7"/>
    <n v="13.694000000000001"/>
    <n v="-89.183800000000005"/>
    <n v="5"/>
    <n v="0"/>
    <n v="0"/>
    <n v="107"/>
    <s v="_x0000_peopl"/>
  </r>
  <r>
    <x v="7"/>
    <n v="13.6883"/>
    <n v="-89.183199999999999"/>
    <n v="2"/>
    <n v="0"/>
    <n v="0"/>
    <n v="107"/>
    <s v="_x0000_peopl"/>
  </r>
  <r>
    <x v="7"/>
    <n v="13.688000000000001"/>
    <n v="-89.182900000000004"/>
    <n v="4"/>
    <n v="0"/>
    <n v="0"/>
    <n v="107"/>
    <s v="_x0000_peopl"/>
  </r>
  <r>
    <x v="7"/>
    <n v="13.688000000000001"/>
    <n v="-89.183000000000007"/>
    <n v="6"/>
    <n v="0"/>
    <n v="0"/>
    <n v="107"/>
    <s v="_x0000_peopl"/>
  </r>
  <r>
    <x v="7"/>
    <n v="13.688000000000001"/>
    <n v="-89.183000000000007"/>
    <n v="8"/>
    <n v="0"/>
    <n v="0"/>
    <n v="107"/>
    <s v="_x0000_peopl"/>
  </r>
  <r>
    <x v="7"/>
    <n v="13.688000000000001"/>
    <n v="-89.182900000000004"/>
    <n v="9"/>
    <n v="0"/>
    <n v="0"/>
    <n v="107"/>
    <s v="_x0000_peopl"/>
  </r>
  <r>
    <x v="7"/>
    <n v="13.687900000000001"/>
    <n v="-89.183000000000007"/>
    <n v="5"/>
    <n v="0"/>
    <n v="0"/>
    <n v="107"/>
    <s v="_x0000_peopl"/>
  </r>
  <r>
    <x v="7"/>
    <n v="13.688000000000001"/>
    <n v="-89.183099999999996"/>
    <n v="5"/>
    <n v="0"/>
    <n v="0"/>
    <n v="107"/>
    <s v="_x0000_peopl"/>
  </r>
  <r>
    <x v="7"/>
    <n v="13.688000000000001"/>
    <n v="-89.1828"/>
    <n v="2"/>
    <n v="0"/>
    <n v="0"/>
    <n v="107"/>
    <s v="_x0000_peopl"/>
  </r>
  <r>
    <x v="7"/>
    <n v="13.687900000000001"/>
    <n v="-89.1828"/>
    <n v="5"/>
    <n v="0"/>
    <n v="0"/>
    <n v="107"/>
    <s v="_x0000_peopl"/>
  </r>
  <r>
    <x v="7"/>
    <n v="13.690099999999999"/>
    <n v="-89.181799999999996"/>
    <n v="5"/>
    <n v="0"/>
    <n v="0"/>
    <n v="107"/>
    <s v="_x0000_peopl"/>
  </r>
  <r>
    <x v="7"/>
    <n v="13.690099999999999"/>
    <n v="-89.181700000000006"/>
    <n v="6"/>
    <n v="0"/>
    <n v="0"/>
    <n v="107"/>
    <s v="_x0000_peopl"/>
  </r>
  <r>
    <x v="7"/>
    <n v="13.69"/>
    <n v="-89.181799999999996"/>
    <n v="9"/>
    <n v="0"/>
    <n v="0"/>
    <n v="107"/>
    <s v="_x0000_peopl"/>
  </r>
  <r>
    <x v="7"/>
    <n v="13.690899999999999"/>
    <n v="-89.180499999999995"/>
    <n v="8"/>
    <n v="0"/>
    <n v="0"/>
    <n v="107"/>
    <s v="_x0000_peopl"/>
  </r>
  <r>
    <x v="7"/>
    <n v="13.690899999999999"/>
    <n v="-89.180400000000006"/>
    <n v="3"/>
    <n v="0"/>
    <n v="0"/>
    <n v="107"/>
    <s v="_x0000_peopl"/>
  </r>
  <r>
    <x v="7"/>
    <n v="13.690799999999999"/>
    <n v="-89.180499999999995"/>
    <n v="1"/>
    <n v="0"/>
    <n v="0"/>
    <n v="107"/>
    <s v="_x0000_peopl"/>
  </r>
  <r>
    <x v="7"/>
    <n v="13.691000000000001"/>
    <n v="-89.180099999999996"/>
    <n v="7"/>
    <n v="0"/>
    <n v="0"/>
    <n v="107"/>
    <s v="_x0000_peopl"/>
  </r>
  <r>
    <x v="7"/>
    <n v="13.690899999999999"/>
    <n v="-89.180099999999996"/>
    <n v="6"/>
    <n v="0"/>
    <n v="0"/>
    <n v="107"/>
    <s v="_x0000_peopl"/>
  </r>
  <r>
    <x v="7"/>
    <n v="13.691000000000001"/>
    <n v="-89.180099999999996"/>
    <n v="8"/>
    <n v="0"/>
    <n v="0"/>
    <n v="107"/>
    <s v="_x0000_peopl"/>
  </r>
  <r>
    <x v="7"/>
    <n v="13.690899999999999"/>
    <n v="-89.180199999999999"/>
    <n v="3"/>
    <n v="0"/>
    <n v="0"/>
    <n v="107"/>
    <s v="_x0000_peopl"/>
  </r>
  <r>
    <x v="7"/>
    <n v="13.690799999999999"/>
    <n v="-89.180400000000006"/>
    <n v="2"/>
    <n v="0"/>
    <n v="0"/>
    <n v="107"/>
    <s v="_x0000_peopl"/>
  </r>
  <r>
    <x v="7"/>
    <n v="13.690799999999999"/>
    <n v="-89.180300000000003"/>
    <n v="4"/>
    <n v="0"/>
    <n v="0"/>
    <n v="107"/>
    <s v="_x0000_peopl"/>
  </r>
  <r>
    <x v="7"/>
    <n v="13.690799999999999"/>
    <n v="-89.180199999999999"/>
    <n v="7"/>
    <n v="0"/>
    <n v="0"/>
    <n v="107"/>
    <s v="_x0000_peopl"/>
  </r>
  <r>
    <x v="7"/>
    <n v="13.6907"/>
    <n v="-89.180499999999995"/>
    <n v="5"/>
    <n v="0"/>
    <n v="0"/>
    <n v="107"/>
    <s v="_x0000_peopl"/>
  </r>
  <r>
    <x v="7"/>
    <n v="13.6906"/>
    <n v="-89.180700000000002"/>
    <n v="6"/>
    <n v="0"/>
    <n v="0"/>
    <n v="107"/>
    <s v="_x0000_peopl"/>
  </r>
  <r>
    <x v="7"/>
    <n v="13.690200000000001"/>
    <n v="-89.180999999999997"/>
    <n v="10"/>
    <n v="0"/>
    <n v="0"/>
    <n v="107"/>
    <s v="_x0000_peopl"/>
  </r>
  <r>
    <x v="7"/>
    <n v="13.6906"/>
    <n v="-89.180800000000005"/>
    <n v="8"/>
    <n v="0"/>
    <n v="0"/>
    <n v="107"/>
    <s v="_x0000_peopl"/>
  </r>
  <r>
    <x v="7"/>
    <n v="13.6904"/>
    <n v="-89.180899999999994"/>
    <n v="4"/>
    <n v="0"/>
    <n v="0"/>
    <n v="107"/>
    <s v="_x0000_peopl"/>
  </r>
  <r>
    <x v="7"/>
    <n v="13.69"/>
    <n v="-89.182000000000002"/>
    <n v="8"/>
    <n v="0"/>
    <n v="0"/>
    <n v="107"/>
    <s v="_x0000_peopl"/>
  </r>
  <r>
    <x v="7"/>
    <n v="13.69"/>
    <n v="-89.181899999999999"/>
    <n v="2"/>
    <n v="0"/>
    <n v="0"/>
    <n v="107"/>
    <s v="_x0000_peopl"/>
  </r>
  <r>
    <x v="7"/>
    <n v="13.6899"/>
    <n v="-89.182000000000002"/>
    <n v="8"/>
    <n v="0"/>
    <n v="0"/>
    <n v="107"/>
    <s v="_x0000_peopl"/>
  </r>
  <r>
    <x v="7"/>
    <n v="13.6899"/>
    <n v="-89.181799999999996"/>
    <n v="9"/>
    <n v="0"/>
    <n v="0"/>
    <n v="107"/>
    <s v="_x0000_peopl"/>
  </r>
  <r>
    <x v="7"/>
    <n v="13.6898"/>
    <n v="-89.182000000000002"/>
    <n v="5"/>
    <n v="0"/>
    <n v="0"/>
    <n v="107"/>
    <s v="_x0000_peopl"/>
  </r>
  <r>
    <x v="7"/>
    <n v="13.6898"/>
    <n v="-89.182000000000002"/>
    <n v="3"/>
    <n v="0"/>
    <n v="0"/>
    <n v="107"/>
    <s v="_x0000_peopl"/>
  </r>
  <r>
    <x v="7"/>
    <n v="13.6897"/>
    <n v="-89.182000000000002"/>
    <n v="4"/>
    <n v="0"/>
    <n v="0"/>
    <n v="107"/>
    <s v="_x0000_peopl"/>
  </r>
  <r>
    <x v="7"/>
    <n v="13.6897"/>
    <n v="-89.181799999999996"/>
    <n v="3"/>
    <n v="0"/>
    <n v="0"/>
    <n v="107"/>
    <s v="_x0000_peopl"/>
  </r>
  <r>
    <x v="7"/>
    <n v="13.6897"/>
    <n v="-89.181799999999996"/>
    <n v="5"/>
    <n v="0"/>
    <n v="0"/>
    <n v="107"/>
    <s v="_x0000_peopl"/>
  </r>
  <r>
    <x v="7"/>
    <n v="13.6898"/>
    <n v="-89.181799999999996"/>
    <n v="3"/>
    <n v="0"/>
    <n v="0"/>
    <n v="107"/>
    <s v="_x0000_peopl"/>
  </r>
  <r>
    <x v="7"/>
    <n v="13.6896"/>
    <n v="-89.181799999999996"/>
    <n v="9"/>
    <n v="0"/>
    <n v="0"/>
    <n v="107"/>
    <s v="_x0000_peopl"/>
  </r>
  <r>
    <x v="7"/>
    <n v="13.689500000000001"/>
    <n v="-89.181899999999999"/>
    <n v="6"/>
    <n v="0"/>
    <n v="0"/>
    <n v="107"/>
    <s v="_x0000_peopl"/>
  </r>
  <r>
    <x v="7"/>
    <n v="13.689399999999999"/>
    <n v="-89.181899999999999"/>
    <n v="8"/>
    <n v="0"/>
    <n v="0"/>
    <n v="107"/>
    <s v="_x0000_peopl"/>
  </r>
  <r>
    <x v="7"/>
    <n v="13.689399999999999"/>
    <n v="-89.181899999999999"/>
    <n v="10"/>
    <n v="0"/>
    <n v="0"/>
    <n v="107"/>
    <s v="_x0000_peopl"/>
  </r>
  <r>
    <x v="7"/>
    <n v="13.689299999999999"/>
    <n v="-89.181799999999996"/>
    <n v="7"/>
    <n v="0"/>
    <n v="0"/>
    <n v="107"/>
    <s v="_x0000_peopl"/>
  </r>
  <r>
    <x v="7"/>
    <n v="13.689399999999999"/>
    <n v="-89.182000000000002"/>
    <n v="6"/>
    <n v="0"/>
    <n v="0"/>
    <n v="107"/>
    <s v="_x0000_peopl"/>
  </r>
  <r>
    <x v="7"/>
    <n v="13.689399999999999"/>
    <n v="-89.182000000000002"/>
    <n v="7"/>
    <n v="0"/>
    <n v="0"/>
    <n v="107"/>
    <s v="_x0000_peopl"/>
  </r>
  <r>
    <x v="7"/>
    <n v="13.689500000000001"/>
    <n v="-89.182000000000002"/>
    <n v="5"/>
    <n v="0"/>
    <n v="0"/>
    <n v="107"/>
    <s v="_x0000_peopl"/>
  </r>
  <r>
    <x v="7"/>
    <n v="13.6896"/>
    <n v="-89.182000000000002"/>
    <n v="1"/>
    <n v="0"/>
    <n v="0"/>
    <n v="107"/>
    <s v="_x0000_peopl"/>
  </r>
  <r>
    <x v="7"/>
    <n v="13.6892"/>
    <n v="-89.182199999999995"/>
    <n v="7"/>
    <n v="0"/>
    <n v="0"/>
    <n v="107"/>
    <s v="_x0000_peopl"/>
  </r>
  <r>
    <x v="7"/>
    <n v="13.690200000000001"/>
    <n v="-89.182900000000004"/>
    <n v="2"/>
    <n v="0"/>
    <n v="0"/>
    <n v="107"/>
    <s v="_x0000_peopl"/>
  </r>
  <r>
    <x v="7"/>
    <n v="13.690300000000001"/>
    <n v="-89.1828"/>
    <n v="4"/>
    <n v="0"/>
    <n v="0"/>
    <n v="107"/>
    <s v="_x0000_peopl"/>
  </r>
  <r>
    <x v="7"/>
    <n v="13.690099999999999"/>
    <n v="-89.182900000000004"/>
    <n v="4"/>
    <n v="0"/>
    <n v="0"/>
    <n v="107"/>
    <s v="_x0000_peopl"/>
  </r>
  <r>
    <x v="7"/>
    <n v="13.69"/>
    <n v="-89.182900000000004"/>
    <n v="2"/>
    <n v="0"/>
    <n v="0"/>
    <n v="107"/>
    <s v="_x0000_peopl"/>
  </r>
  <r>
    <x v="7"/>
    <n v="13.69"/>
    <n v="-89.182900000000004"/>
    <n v="7"/>
    <n v="0"/>
    <n v="0"/>
    <n v="107"/>
    <s v="_x0000_peopl"/>
  </r>
  <r>
    <x v="7"/>
    <n v="13.6898"/>
    <n v="-89.183000000000007"/>
    <n v="7"/>
    <n v="0"/>
    <n v="0"/>
    <n v="107"/>
    <s v="_x0000_peopl"/>
  </r>
  <r>
    <x v="7"/>
    <n v="13.6897"/>
    <n v="-89.182900000000004"/>
    <n v="7"/>
    <n v="0"/>
    <n v="0"/>
    <n v="107"/>
    <s v="_x0000_peopl"/>
  </r>
  <r>
    <x v="7"/>
    <n v="13.6897"/>
    <n v="-89.1828"/>
    <n v="6"/>
    <n v="0"/>
    <n v="0"/>
    <n v="107"/>
    <s v="_x0000_peopl"/>
  </r>
  <r>
    <x v="7"/>
    <n v="13.6889"/>
    <n v="-89.182299999999998"/>
    <n v="6"/>
    <n v="0"/>
    <n v="0"/>
    <n v="107"/>
    <s v="_x0000_peopl"/>
  </r>
  <r>
    <x v="7"/>
    <n v="13.6892"/>
    <n v="-89.182299999999998"/>
    <n v="3"/>
    <n v="0"/>
    <n v="0"/>
    <n v="107"/>
    <s v="_x0000_peopl"/>
  </r>
  <r>
    <x v="7"/>
    <n v="13.6892"/>
    <n v="-89.182599999999994"/>
    <n v="8"/>
    <n v="0"/>
    <n v="0"/>
    <n v="107"/>
    <s v="_x0000_peopl"/>
  </r>
  <r>
    <x v="7"/>
    <n v="13.686299999999999"/>
    <n v="-89.193399999999997"/>
    <n v="3"/>
    <n v="0"/>
    <n v="0"/>
    <n v="107"/>
    <s v="_x0000_peopl"/>
  </r>
  <r>
    <x v="7"/>
    <n v="13.686299999999999"/>
    <n v="-89.193600000000004"/>
    <n v="7"/>
    <n v="0"/>
    <n v="0"/>
    <n v="107"/>
    <s v="_x0000_peopl"/>
  </r>
  <r>
    <x v="7"/>
    <n v="13.686199999999999"/>
    <n v="-89.193600000000004"/>
    <n v="4"/>
    <n v="0"/>
    <n v="0"/>
    <n v="107"/>
    <s v="_x0000_peopl"/>
  </r>
  <r>
    <x v="7"/>
    <n v="13.686199999999999"/>
    <n v="-89.1935"/>
    <n v="4"/>
    <n v="0"/>
    <n v="0"/>
    <n v="107"/>
    <s v="_x0000_peopl"/>
  </r>
  <r>
    <x v="7"/>
    <n v="13.686199999999999"/>
    <n v="-89.1935"/>
    <n v="4"/>
    <n v="0"/>
    <n v="0"/>
    <n v="107"/>
    <s v="_x0000_peopl"/>
  </r>
  <r>
    <x v="7"/>
    <n v="13.686199999999999"/>
    <n v="-89.193600000000004"/>
    <n v="5"/>
    <n v="0"/>
    <n v="0"/>
    <n v="107"/>
    <s v="_x0000_peopl"/>
  </r>
  <r>
    <x v="7"/>
    <n v="13.686199999999999"/>
    <n v="-89.193700000000007"/>
    <n v="2"/>
    <n v="0"/>
    <n v="0"/>
    <n v="107"/>
    <s v="_x0000_peopl"/>
  </r>
  <r>
    <x v="7"/>
    <n v="13.6861"/>
    <n v="-89.193700000000007"/>
    <n v="10"/>
    <n v="0"/>
    <n v="0"/>
    <n v="107"/>
    <s v="_x0000_peopl"/>
  </r>
  <r>
    <x v="7"/>
    <n v="13.6861"/>
    <n v="-89.193600000000004"/>
    <n v="3"/>
    <n v="0"/>
    <n v="0"/>
    <n v="107"/>
    <s v="_x0000_peopl"/>
  </r>
  <r>
    <x v="7"/>
    <n v="13.686199999999999"/>
    <n v="-89.193600000000004"/>
    <n v="8"/>
    <n v="0"/>
    <n v="0"/>
    <n v="107"/>
    <s v="_x0000_peopl"/>
  </r>
  <r>
    <x v="7"/>
    <n v="13.686"/>
    <n v="-89.193700000000007"/>
    <n v="4"/>
    <n v="0"/>
    <n v="0"/>
    <n v="107"/>
    <s v="_x0000_peopl"/>
  </r>
  <r>
    <x v="7"/>
    <n v="13.6861"/>
    <n v="-89.193700000000007"/>
    <n v="6"/>
    <n v="0"/>
    <n v="0"/>
    <n v="107"/>
    <s v="_x0000_peopl"/>
  </r>
  <r>
    <x v="7"/>
    <n v="13.686"/>
    <n v="-89.193600000000004"/>
    <n v="5"/>
    <n v="0"/>
    <n v="0"/>
    <n v="107"/>
    <s v="_x0000_peopl"/>
  </r>
  <r>
    <x v="7"/>
    <n v="13.686"/>
    <n v="-89.193700000000007"/>
    <n v="7"/>
    <n v="0"/>
    <n v="0"/>
    <n v="107"/>
    <s v="_x0000_peopl"/>
  </r>
  <r>
    <x v="7"/>
    <n v="13.686"/>
    <n v="-89.193399999999997"/>
    <n v="6"/>
    <n v="0"/>
    <n v="0"/>
    <n v="107"/>
    <s v="_x0000_peopl"/>
  </r>
  <r>
    <x v="7"/>
    <n v="13.6861"/>
    <n v="-89.193399999999997"/>
    <n v="6"/>
    <n v="0"/>
    <n v="0"/>
    <n v="107"/>
    <s v="_x0000_peopl"/>
  </r>
  <r>
    <x v="7"/>
    <n v="13.686"/>
    <n v="-89.194599999999994"/>
    <n v="4"/>
    <n v="0"/>
    <n v="0"/>
    <n v="107"/>
    <s v="_x0000_peopl"/>
  </r>
  <r>
    <x v="7"/>
    <n v="13.686"/>
    <n v="-89.194599999999994"/>
    <n v="5"/>
    <n v="0"/>
    <n v="0"/>
    <n v="107"/>
    <s v="_x0000_peopl"/>
  </r>
  <r>
    <x v="7"/>
    <n v="13.686"/>
    <n v="-89.194699999999997"/>
    <n v="4"/>
    <n v="0"/>
    <n v="0"/>
    <n v="107"/>
    <s v="_x0000_peopl"/>
  </r>
  <r>
    <x v="7"/>
    <n v="13.686"/>
    <n v="-89.194699999999997"/>
    <n v="3"/>
    <n v="0"/>
    <n v="0"/>
    <n v="107"/>
    <s v="_x0000_peopl"/>
  </r>
  <r>
    <x v="7"/>
    <n v="13.6858"/>
    <n v="-89.194800000000001"/>
    <n v="7"/>
    <n v="0"/>
    <n v="0"/>
    <n v="107"/>
    <s v="_x0000_peopl"/>
  </r>
  <r>
    <x v="7"/>
    <n v="13.6858"/>
    <n v="-89.194999999999993"/>
    <n v="6"/>
    <n v="0"/>
    <n v="0"/>
    <n v="107"/>
    <s v="_x0000_peopl"/>
  </r>
  <r>
    <x v="7"/>
    <n v="13.6858"/>
    <n v="-89.195099999999996"/>
    <n v="4"/>
    <n v="0"/>
    <n v="0"/>
    <n v="107"/>
    <s v="_x0000_peopl"/>
  </r>
  <r>
    <x v="7"/>
    <n v="13.6858"/>
    <n v="-89.195099999999996"/>
    <n v="7"/>
    <n v="0"/>
    <n v="0"/>
    <n v="107"/>
    <s v="_x0000_peopl"/>
  </r>
  <r>
    <x v="7"/>
    <n v="13.6858"/>
    <n v="-89.195099999999996"/>
    <n v="3"/>
    <n v="0"/>
    <n v="0"/>
    <n v="107"/>
    <s v="_x0000_peopl"/>
  </r>
  <r>
    <x v="7"/>
    <n v="13.6858"/>
    <n v="-89.194999999999993"/>
    <n v="5"/>
    <n v="0"/>
    <n v="0"/>
    <n v="107"/>
    <s v="_x0000_peopl"/>
  </r>
  <r>
    <x v="7"/>
    <n v="13.6858"/>
    <n v="-89.194999999999993"/>
    <n v="4"/>
    <n v="0"/>
    <n v="0"/>
    <n v="107"/>
    <s v="_x0000_peopl"/>
  </r>
  <r>
    <x v="7"/>
    <n v="13.6858"/>
    <n v="-89.194800000000001"/>
    <n v="9"/>
    <n v="0"/>
    <n v="0"/>
    <n v="107"/>
    <s v="_x0000_peopl"/>
  </r>
  <r>
    <x v="7"/>
    <n v="13.6858"/>
    <n v="-89.194800000000001"/>
    <n v="5"/>
    <n v="0"/>
    <n v="0"/>
    <n v="107"/>
    <s v="_x0000_peopl"/>
  </r>
  <r>
    <x v="7"/>
    <n v="13.6858"/>
    <n v="-89.194699999999997"/>
    <n v="4"/>
    <n v="0"/>
    <n v="0"/>
    <n v="107"/>
    <s v="_x0000_peopl"/>
  </r>
  <r>
    <x v="7"/>
    <n v="13.6858"/>
    <n v="-89.194699999999997"/>
    <n v="1"/>
    <n v="0"/>
    <n v="0"/>
    <n v="107"/>
    <s v="_x0000_peopl"/>
  </r>
  <r>
    <x v="7"/>
    <n v="13.686299999999999"/>
    <n v="-89.194199999999995"/>
    <n v="10"/>
    <n v="0"/>
    <n v="0"/>
    <n v="107"/>
    <s v="_x0000_peopl"/>
  </r>
  <r>
    <x v="7"/>
    <n v="13.686299999999999"/>
    <n v="-89.194100000000006"/>
    <n v="9"/>
    <n v="0"/>
    <n v="0"/>
    <n v="107"/>
    <s v="_x0000_peopl"/>
  </r>
  <r>
    <x v="7"/>
    <n v="13.686199999999999"/>
    <n v="-89.194100000000006"/>
    <n v="4"/>
    <n v="0"/>
    <n v="0"/>
    <n v="107"/>
    <s v="_x0000_peopl"/>
  </r>
  <r>
    <x v="7"/>
    <n v="13.686199999999999"/>
    <n v="-89.194100000000006"/>
    <n v="4"/>
    <n v="0"/>
    <n v="0"/>
    <n v="107"/>
    <s v="_x0000_peopl"/>
  </r>
  <r>
    <x v="7"/>
    <n v="13.686199999999999"/>
    <n v="-89.194199999999995"/>
    <n v="4"/>
    <n v="0"/>
    <n v="0"/>
    <n v="107"/>
    <s v="_x0000_peopl"/>
  </r>
  <r>
    <x v="7"/>
    <n v="13.686199999999999"/>
    <n v="-89.194199999999995"/>
    <n v="6"/>
    <n v="0"/>
    <n v="0"/>
    <n v="107"/>
    <s v="_x0000_peopl"/>
  </r>
  <r>
    <x v="7"/>
    <n v="13.686199999999999"/>
    <n v="-89.194199999999995"/>
    <n v="5"/>
    <n v="0"/>
    <n v="0"/>
    <n v="107"/>
    <s v="_x0000_peopl"/>
  </r>
  <r>
    <x v="7"/>
    <n v="13.686199999999999"/>
    <n v="-89.194199999999995"/>
    <n v="8"/>
    <n v="0"/>
    <n v="0"/>
    <n v="107"/>
    <s v="_x0000_peopl"/>
  </r>
  <r>
    <x v="7"/>
    <n v="13.686199999999999"/>
    <n v="-89.194299999999998"/>
    <n v="7"/>
    <n v="0"/>
    <n v="0"/>
    <n v="107"/>
    <s v="_x0000_peopl"/>
  </r>
  <r>
    <x v="7"/>
    <n v="13.6861"/>
    <n v="-89.194199999999995"/>
    <n v="3"/>
    <n v="0"/>
    <n v="0"/>
    <n v="107"/>
    <s v="_x0000_peopl"/>
  </r>
  <r>
    <x v="7"/>
    <n v="13.6861"/>
    <n v="-89.194199999999995"/>
    <n v="4"/>
    <n v="0"/>
    <n v="0"/>
    <n v="107"/>
    <s v="_x0000_peopl"/>
  </r>
  <r>
    <x v="7"/>
    <n v="13.6861"/>
    <n v="-89.194299999999998"/>
    <n v="3"/>
    <n v="0"/>
    <n v="0"/>
    <n v="107"/>
    <s v="_x0000_peopl"/>
  </r>
  <r>
    <x v="7"/>
    <n v="13.6861"/>
    <n v="-89.194199999999995"/>
    <n v="2"/>
    <n v="0"/>
    <n v="0"/>
    <n v="107"/>
    <s v="_x0000_peopl"/>
  </r>
  <r>
    <x v="7"/>
    <n v="13.686"/>
    <n v="-89.194199999999995"/>
    <n v="10"/>
    <n v="0"/>
    <n v="0"/>
    <n v="107"/>
    <s v="_x0000_peopl"/>
  </r>
  <r>
    <x v="7"/>
    <n v="13.686"/>
    <n v="-89.194199999999995"/>
    <n v="7"/>
    <n v="0"/>
    <n v="0"/>
    <n v="107"/>
    <s v="_x0000_peopl"/>
  </r>
  <r>
    <x v="7"/>
    <n v="13.686"/>
    <n v="-89.194299999999998"/>
    <n v="2"/>
    <n v="0"/>
    <n v="0"/>
    <n v="107"/>
    <s v="_x0000_peopl"/>
  </r>
  <r>
    <x v="7"/>
    <n v="13.686"/>
    <n v="-89.194299999999998"/>
    <n v="7"/>
    <n v="0"/>
    <n v="0"/>
    <n v="107"/>
    <s v="_x0000_peopl"/>
  </r>
  <r>
    <x v="7"/>
    <n v="13.686"/>
    <n v="-89.194299999999998"/>
    <n v="3"/>
    <n v="0"/>
    <n v="0"/>
    <n v="107"/>
    <s v="_x0000_peopl"/>
  </r>
  <r>
    <x v="7"/>
    <n v="13.686"/>
    <n v="-89.194199999999995"/>
    <n v="6"/>
    <n v="0"/>
    <n v="0"/>
    <n v="107"/>
    <s v="_x0000_peopl"/>
  </r>
  <r>
    <x v="7"/>
    <n v="13.6859"/>
    <n v="-89.194299999999998"/>
    <n v="7"/>
    <n v="0"/>
    <n v="0"/>
    <n v="107"/>
    <s v="_x0000_peopl"/>
  </r>
  <r>
    <x v="7"/>
    <n v="13.6859"/>
    <n v="-89.194299999999998"/>
    <n v="4"/>
    <n v="0"/>
    <n v="0"/>
    <n v="107"/>
    <s v="_x0000_peopl"/>
  </r>
  <r>
    <x v="7"/>
    <n v="13.6859"/>
    <n v="-89.194299999999998"/>
    <n v="7"/>
    <n v="0"/>
    <n v="0"/>
    <n v="107"/>
    <s v="_x0000_peopl"/>
  </r>
  <r>
    <x v="7"/>
    <n v="13.6861"/>
    <n v="-89.194500000000005"/>
    <n v="5"/>
    <n v="0"/>
    <n v="0"/>
    <n v="107"/>
    <s v="_x0000_peopl"/>
  </r>
  <r>
    <x v="7"/>
    <n v="13.6861"/>
    <n v="-89.194500000000005"/>
    <n v="7"/>
    <n v="0"/>
    <n v="0"/>
    <n v="107"/>
    <s v="_x0000_peopl"/>
  </r>
  <r>
    <x v="7"/>
    <n v="13.686"/>
    <n v="-89.194500000000005"/>
    <n v="7"/>
    <n v="0"/>
    <n v="0"/>
    <n v="107"/>
    <s v="_x0000_peopl"/>
  </r>
  <r>
    <x v="7"/>
    <n v="13.686"/>
    <n v="-89.194500000000005"/>
    <n v="3"/>
    <n v="0"/>
    <n v="0"/>
    <n v="107"/>
    <s v="_x0000_peopl"/>
  </r>
  <r>
    <x v="7"/>
    <n v="13.686"/>
    <n v="-89.194500000000005"/>
    <n v="7"/>
    <n v="0"/>
    <n v="0"/>
    <n v="107"/>
    <s v="_x0000_peopl"/>
  </r>
  <r>
    <x v="7"/>
    <n v="13.686"/>
    <n v="-89.194500000000005"/>
    <n v="2"/>
    <n v="0"/>
    <n v="0"/>
    <n v="107"/>
    <s v="_x0000_peopl"/>
  </r>
  <r>
    <x v="7"/>
    <n v="13.6861"/>
    <n v="-89.194400000000002"/>
    <n v="1"/>
    <n v="0"/>
    <n v="0"/>
    <n v="107"/>
    <s v="_x0000_peopl"/>
  </r>
  <r>
    <x v="7"/>
    <n v="13.6861"/>
    <n v="-89.194400000000002"/>
    <n v="3"/>
    <n v="0"/>
    <n v="0"/>
    <n v="107"/>
    <s v="_x0000_peopl"/>
  </r>
  <r>
    <x v="7"/>
    <n v="13.686"/>
    <n v="-89.194599999999994"/>
    <n v="6"/>
    <n v="0"/>
    <n v="0"/>
    <n v="107"/>
    <s v="_x0000_peopl"/>
  </r>
  <r>
    <x v="7"/>
    <n v="13.686"/>
    <n v="-89.194599999999994"/>
    <n v="3"/>
    <n v="0"/>
    <n v="0"/>
    <n v="107"/>
    <s v="_x0000_peopl"/>
  </r>
  <r>
    <x v="7"/>
    <n v="13.686"/>
    <n v="-89.194599999999994"/>
    <n v="6"/>
    <n v="0"/>
    <n v="0"/>
    <n v="107"/>
    <s v="_x0000_peopl"/>
  </r>
  <r>
    <x v="7"/>
    <n v="13.686"/>
    <n v="-89.194599999999994"/>
    <n v="4"/>
    <n v="0"/>
    <n v="0"/>
    <n v="107"/>
    <s v="_x0000_peopl"/>
  </r>
  <r>
    <x v="7"/>
    <n v="13.686"/>
    <n v="-89.194400000000002"/>
    <n v="4"/>
    <n v="0"/>
    <n v="0"/>
    <n v="107"/>
    <s v="_x0000_peopl"/>
  </r>
  <r>
    <x v="7"/>
    <n v="13.686"/>
    <n v="-89.194400000000002"/>
    <n v="7"/>
    <n v="0"/>
    <n v="0"/>
    <n v="107"/>
    <s v="_x0000_peopl"/>
  </r>
  <r>
    <x v="7"/>
    <n v="13.6859"/>
    <n v="-89.194500000000005"/>
    <n v="5"/>
    <n v="0"/>
    <n v="0"/>
    <n v="107"/>
    <s v="_x0000_peopl"/>
  </r>
  <r>
    <x v="7"/>
    <n v="13.6859"/>
    <n v="-89.194500000000005"/>
    <n v="4"/>
    <n v="0"/>
    <n v="0"/>
    <n v="107"/>
    <s v="_x0000_peopl"/>
  </r>
  <r>
    <x v="7"/>
    <n v="13.6861"/>
    <n v="-89.194400000000002"/>
    <n v="5"/>
    <n v="0"/>
    <n v="0"/>
    <n v="107"/>
    <s v="_x0000_peopl"/>
  </r>
  <r>
    <x v="7"/>
    <n v="13.6861"/>
    <n v="-89.194400000000002"/>
    <n v="8"/>
    <n v="0"/>
    <n v="0"/>
    <n v="107"/>
    <s v="_x0000_peopl"/>
  </r>
  <r>
    <x v="7"/>
    <n v="13.6859"/>
    <n v="-89.194299999999998"/>
    <n v="5"/>
    <n v="0"/>
    <n v="0"/>
    <n v="107"/>
    <s v="_x0000_peopl"/>
  </r>
  <r>
    <x v="7"/>
    <n v="13.6859"/>
    <n v="-89.194299999999998"/>
    <n v="6"/>
    <n v="0"/>
    <n v="0"/>
    <n v="107"/>
    <s v="_x0000_peopl"/>
  </r>
  <r>
    <x v="7"/>
    <n v="13.6859"/>
    <n v="-89.194400000000002"/>
    <n v="3"/>
    <n v="0"/>
    <n v="0"/>
    <n v="107"/>
    <s v="_x0000_peopl"/>
  </r>
  <r>
    <x v="7"/>
    <n v="13.686299999999999"/>
    <n v="-89.194599999999994"/>
    <n v="4"/>
    <n v="0"/>
    <n v="0"/>
    <n v="107"/>
    <s v="_x0000_peopl"/>
  </r>
  <r>
    <x v="7"/>
    <n v="13.686400000000001"/>
    <n v="-89.194599999999994"/>
    <n v="3"/>
    <n v="0"/>
    <n v="0"/>
    <n v="107"/>
    <s v="_x0000_peopl"/>
  </r>
  <r>
    <x v="7"/>
    <n v="13.686400000000001"/>
    <n v="-89.194599999999994"/>
    <n v="7"/>
    <n v="0"/>
    <n v="0"/>
    <n v="107"/>
    <s v="_x0000_peopl"/>
  </r>
  <r>
    <x v="7"/>
    <n v="13.686400000000001"/>
    <n v="-89.194599999999994"/>
    <n v="4"/>
    <n v="0"/>
    <n v="0"/>
    <n v="107"/>
    <s v="_x0000_peopl"/>
  </r>
  <r>
    <x v="7"/>
    <n v="13.686400000000001"/>
    <n v="-89.194599999999994"/>
    <n v="3"/>
    <n v="0"/>
    <n v="0"/>
    <n v="107"/>
    <s v="_x0000_peopl"/>
  </r>
  <r>
    <x v="7"/>
    <n v="13.686400000000001"/>
    <n v="-89.194500000000005"/>
    <n v="5"/>
    <n v="0"/>
    <n v="0"/>
    <n v="107"/>
    <s v="_x0000_peopl"/>
  </r>
  <r>
    <x v="7"/>
    <n v="13.686400000000001"/>
    <n v="-89.194500000000005"/>
    <n v="4"/>
    <n v="0"/>
    <n v="0"/>
    <n v="107"/>
    <s v="_x0000_peopl"/>
  </r>
  <r>
    <x v="7"/>
    <n v="13.686400000000001"/>
    <n v="-89.194500000000005"/>
    <n v="6"/>
    <n v="0"/>
    <n v="0"/>
    <n v="107"/>
    <s v="_x0000_peopl"/>
  </r>
  <r>
    <x v="7"/>
    <n v="13.686500000000001"/>
    <n v="-89.194500000000005"/>
    <n v="6"/>
    <n v="0"/>
    <n v="0"/>
    <n v="107"/>
    <s v="_x0000_peopl"/>
  </r>
  <r>
    <x v="7"/>
    <n v="13.6868"/>
    <n v="-89.192400000000006"/>
    <n v="5"/>
    <n v="0"/>
    <n v="0"/>
    <n v="107"/>
    <s v="_x0000_peopl"/>
  </r>
  <r>
    <x v="7"/>
    <n v="13.686299999999999"/>
    <n v="-89.1922"/>
    <n v="9"/>
    <n v="0"/>
    <n v="0"/>
    <n v="107"/>
    <s v="_x0000_peopl"/>
  </r>
  <r>
    <x v="7"/>
    <n v="13.686299999999999"/>
    <n v="-89.1922"/>
    <n v="5"/>
    <n v="0"/>
    <n v="0"/>
    <n v="107"/>
    <s v="_x0000_peopl"/>
  </r>
  <r>
    <x v="7"/>
    <n v="13.686299999999999"/>
    <n v="-89.192099999999996"/>
    <n v="6"/>
    <n v="0"/>
    <n v="0"/>
    <n v="107"/>
    <s v="_x0000_peopl"/>
  </r>
  <r>
    <x v="7"/>
    <n v="13.686299999999999"/>
    <n v="-89.192099999999996"/>
    <n v="7"/>
    <n v="0"/>
    <n v="0"/>
    <n v="107"/>
    <s v="_x0000_peopl"/>
  </r>
  <r>
    <x v="7"/>
    <n v="13.6866"/>
    <n v="-89.1922"/>
    <n v="5"/>
    <n v="0"/>
    <n v="0"/>
    <n v="107"/>
    <s v="_x0000_peopl"/>
  </r>
  <r>
    <x v="7"/>
    <n v="13.6866"/>
    <n v="-89.1922"/>
    <n v="2"/>
    <n v="0"/>
    <n v="0"/>
    <n v="107"/>
    <s v="_x0000_peopl"/>
  </r>
  <r>
    <x v="7"/>
    <n v="13.6866"/>
    <n v="-89.1922"/>
    <n v="7"/>
    <n v="0"/>
    <n v="0"/>
    <n v="107"/>
    <s v="_x0000_peopl"/>
  </r>
  <r>
    <x v="7"/>
    <n v="13.6866"/>
    <n v="-89.1922"/>
    <n v="7"/>
    <n v="0"/>
    <n v="0"/>
    <n v="107"/>
    <s v="_x0000_peopl"/>
  </r>
  <r>
    <x v="7"/>
    <n v="13.6867"/>
    <n v="-89.1922"/>
    <n v="9"/>
    <n v="0"/>
    <n v="0"/>
    <n v="107"/>
    <s v="_x0000_peopl"/>
  </r>
  <r>
    <x v="7"/>
    <n v="13.6867"/>
    <n v="-89.1922"/>
    <n v="4"/>
    <n v="0"/>
    <n v="0"/>
    <n v="107"/>
    <s v="_x0000_peopl"/>
  </r>
  <r>
    <x v="7"/>
    <n v="13.6867"/>
    <n v="-89.1922"/>
    <n v="3"/>
    <n v="0"/>
    <n v="0"/>
    <n v="107"/>
    <s v="_x0000_peopl"/>
  </r>
  <r>
    <x v="7"/>
    <n v="13.6866"/>
    <n v="-89.192400000000006"/>
    <n v="5"/>
    <n v="0"/>
    <n v="0"/>
    <n v="107"/>
    <s v="_x0000_peopl"/>
  </r>
  <r>
    <x v="7"/>
    <n v="13.6867"/>
    <n v="-89.1922"/>
    <n v="3"/>
    <n v="0"/>
    <n v="0"/>
    <n v="107"/>
    <s v="_x0000_peopl"/>
  </r>
  <r>
    <x v="7"/>
    <n v="13.6867"/>
    <n v="-89.1922"/>
    <n v="9"/>
    <n v="0"/>
    <n v="0"/>
    <n v="107"/>
    <s v="_x0000_peopl"/>
  </r>
  <r>
    <x v="7"/>
    <n v="13.6867"/>
    <n v="-89.1922"/>
    <n v="5"/>
    <n v="0"/>
    <n v="0"/>
    <n v="107"/>
    <s v="_x0000_peopl"/>
  </r>
  <r>
    <x v="7"/>
    <n v="13.686400000000001"/>
    <n v="-89.1922"/>
    <n v="3"/>
    <n v="0"/>
    <n v="0"/>
    <n v="107"/>
    <s v="_x0000_peopl"/>
  </r>
  <r>
    <x v="7"/>
    <n v="13.686400000000001"/>
    <n v="-89.1922"/>
    <n v="8"/>
    <n v="0"/>
    <n v="0"/>
    <n v="107"/>
    <s v="_x0000_peopl"/>
  </r>
  <r>
    <x v="7"/>
    <n v="13.686400000000001"/>
    <n v="-89.1922"/>
    <n v="6"/>
    <n v="0"/>
    <n v="0"/>
    <n v="107"/>
    <s v="_x0000_peopl"/>
  </r>
  <r>
    <x v="7"/>
    <n v="13.686500000000001"/>
    <n v="-89.1922"/>
    <n v="4"/>
    <n v="0"/>
    <n v="0"/>
    <n v="107"/>
    <s v="_x0000_peopl"/>
  </r>
  <r>
    <x v="7"/>
    <n v="13.686500000000001"/>
    <n v="-89.1922"/>
    <n v="7"/>
    <n v="0"/>
    <n v="0"/>
    <n v="107"/>
    <s v="_x0000_peopl"/>
  </r>
  <r>
    <x v="7"/>
    <n v="13.686500000000001"/>
    <n v="-89.192300000000003"/>
    <n v="3"/>
    <n v="0"/>
    <n v="0"/>
    <n v="107"/>
    <s v="_x0000_peopl"/>
  </r>
  <r>
    <x v="7"/>
    <n v="13.686500000000001"/>
    <n v="-89.192300000000003"/>
    <n v="1"/>
    <n v="0"/>
    <n v="0"/>
    <n v="107"/>
    <s v="_x0000_peopl"/>
  </r>
  <r>
    <x v="7"/>
    <n v="13.686500000000001"/>
    <n v="-89.192300000000003"/>
    <n v="4"/>
    <n v="0"/>
    <n v="0"/>
    <n v="107"/>
    <s v="_x0000_peopl"/>
  </r>
  <r>
    <x v="7"/>
    <n v="13.686500000000001"/>
    <n v="-89.192300000000003"/>
    <n v="7"/>
    <n v="0"/>
    <n v="0"/>
    <n v="107"/>
    <s v="_x0000_peopl"/>
  </r>
  <r>
    <x v="7"/>
    <n v="13.686500000000001"/>
    <n v="-89.192300000000003"/>
    <n v="3"/>
    <n v="0"/>
    <n v="0"/>
    <n v="107"/>
    <s v="_x0000_peopl"/>
  </r>
  <r>
    <x v="7"/>
    <n v="13.686500000000001"/>
    <n v="-89.192300000000003"/>
    <n v="7"/>
    <n v="0"/>
    <n v="0"/>
    <n v="107"/>
    <s v="_x0000_peopl"/>
  </r>
  <r>
    <x v="7"/>
    <n v="13.686500000000001"/>
    <n v="-89.192400000000006"/>
    <n v="4"/>
    <n v="0"/>
    <n v="0"/>
    <n v="107"/>
    <s v="_x0000_peopl"/>
  </r>
  <r>
    <x v="7"/>
    <n v="13.686500000000001"/>
    <n v="-89.192400000000006"/>
    <n v="5"/>
    <n v="0"/>
    <n v="0"/>
    <n v="107"/>
    <s v="_x0000_peopl"/>
  </r>
  <r>
    <x v="7"/>
    <n v="13.686500000000001"/>
    <n v="-89.192400000000006"/>
    <n v="11"/>
    <n v="0"/>
    <n v="0"/>
    <n v="107"/>
    <s v="_x0000_peopl"/>
  </r>
  <r>
    <x v="7"/>
    <n v="13.686500000000001"/>
    <n v="-89.192400000000006"/>
    <n v="10"/>
    <n v="0"/>
    <n v="0"/>
    <n v="107"/>
    <s v="_x0000_peopl"/>
  </r>
  <r>
    <x v="7"/>
    <n v="13.686500000000001"/>
    <n v="-89.192499999999995"/>
    <n v="3"/>
    <n v="0"/>
    <n v="0"/>
    <n v="107"/>
    <s v="_x0000_peopl"/>
  </r>
  <r>
    <x v="7"/>
    <n v="13.6866"/>
    <n v="-89.192400000000006"/>
    <n v="3"/>
    <n v="0"/>
    <n v="0"/>
    <n v="107"/>
    <s v="_x0000_peopl"/>
  </r>
  <r>
    <x v="7"/>
    <n v="13.686500000000001"/>
    <n v="-89.192400000000006"/>
    <n v="4"/>
    <n v="0"/>
    <n v="0"/>
    <n v="107"/>
    <s v="_x0000_peopl"/>
  </r>
  <r>
    <x v="7"/>
    <n v="13.686500000000001"/>
    <n v="-89.192400000000006"/>
    <n v="5"/>
    <n v="0"/>
    <n v="0"/>
    <n v="107"/>
    <s v="_x0000_peopl"/>
  </r>
  <r>
    <x v="7"/>
    <n v="13.686500000000001"/>
    <n v="-89.192300000000003"/>
    <n v="2"/>
    <n v="0"/>
    <n v="0"/>
    <n v="107"/>
    <s v="_x0000_peopl"/>
  </r>
  <r>
    <x v="7"/>
    <n v="13.686500000000001"/>
    <n v="-89.192300000000003"/>
    <n v="5"/>
    <n v="0"/>
    <n v="0"/>
    <n v="107"/>
    <s v="_x0000_peopl"/>
  </r>
  <r>
    <x v="7"/>
    <n v="13.686500000000001"/>
    <n v="-89.192400000000006"/>
    <n v="8"/>
    <n v="0"/>
    <n v="0"/>
    <n v="107"/>
    <s v="_x0000_peopl"/>
  </r>
  <r>
    <x v="7"/>
    <n v="13.686500000000001"/>
    <n v="-89.192400000000006"/>
    <n v="7"/>
    <n v="0"/>
    <n v="0"/>
    <n v="107"/>
    <s v="_x0000_peopl"/>
  </r>
  <r>
    <x v="7"/>
    <n v="13.686500000000001"/>
    <n v="-89.192400000000006"/>
    <n v="2"/>
    <n v="0"/>
    <n v="0"/>
    <n v="107"/>
    <s v="_x0000_peopl"/>
  </r>
  <r>
    <x v="7"/>
    <n v="13.686500000000001"/>
    <n v="-89.192300000000003"/>
    <n v="3"/>
    <n v="0"/>
    <n v="0"/>
    <n v="107"/>
    <s v="_x0000_peopl"/>
  </r>
  <r>
    <x v="7"/>
    <n v="13.686500000000001"/>
    <n v="-89.192300000000003"/>
    <n v="2"/>
    <n v="0"/>
    <n v="0"/>
    <n v="107"/>
    <s v="_x0000_peopl"/>
  </r>
  <r>
    <x v="7"/>
    <n v="13.686500000000001"/>
    <n v="-89.192300000000003"/>
    <n v="7"/>
    <n v="0"/>
    <n v="0"/>
    <n v="107"/>
    <s v="_x0000_peopl"/>
  </r>
  <r>
    <x v="7"/>
    <n v="13.686400000000001"/>
    <n v="-89.1922"/>
    <n v="2"/>
    <n v="0"/>
    <n v="0"/>
    <n v="107"/>
    <s v="_x0000_peopl"/>
  </r>
  <r>
    <x v="7"/>
    <n v="13.686400000000001"/>
    <n v="-89.1922"/>
    <n v="4"/>
    <n v="0"/>
    <n v="0"/>
    <n v="107"/>
    <s v="_x0000_peopl"/>
  </r>
  <r>
    <x v="7"/>
    <n v="13.686299999999999"/>
    <n v="-89.1922"/>
    <n v="4"/>
    <n v="0"/>
    <n v="0"/>
    <n v="107"/>
    <s v="_x0000_peopl"/>
  </r>
  <r>
    <x v="7"/>
    <n v="13.686299999999999"/>
    <n v="-89.1922"/>
    <n v="6"/>
    <n v="0"/>
    <n v="0"/>
    <n v="107"/>
    <s v="_x0000_peopl"/>
  </r>
  <r>
    <x v="7"/>
    <n v="13.686400000000001"/>
    <n v="-89.192300000000003"/>
    <n v="3"/>
    <n v="0"/>
    <n v="0"/>
    <n v="107"/>
    <s v="_x0000_peopl"/>
  </r>
  <r>
    <x v="7"/>
    <n v="13.686400000000001"/>
    <n v="-89.192300000000003"/>
    <n v="4"/>
    <n v="0"/>
    <n v="0"/>
    <n v="107"/>
    <s v="_x0000_peopl"/>
  </r>
  <r>
    <x v="7"/>
    <n v="13.686400000000001"/>
    <n v="-89.192300000000003"/>
    <n v="7"/>
    <n v="0"/>
    <n v="0"/>
    <n v="107"/>
    <s v="_x0000_peopl"/>
  </r>
  <r>
    <x v="7"/>
    <n v="13.686400000000001"/>
    <n v="-89.192300000000003"/>
    <n v="2"/>
    <n v="0"/>
    <n v="0"/>
    <n v="107"/>
    <s v="_x0000_peopl"/>
  </r>
  <r>
    <x v="7"/>
    <n v="13.686400000000001"/>
    <n v="-89.192300000000003"/>
    <n v="11"/>
    <n v="0"/>
    <n v="0"/>
    <n v="107"/>
    <s v="_x0000_peopl"/>
  </r>
  <r>
    <x v="7"/>
    <n v="13.686400000000001"/>
    <n v="-89.192400000000006"/>
    <n v="4"/>
    <n v="0"/>
    <n v="0"/>
    <n v="107"/>
    <s v="_x0000_peopl"/>
  </r>
  <r>
    <x v="7"/>
    <n v="13.686400000000001"/>
    <n v="-89.192400000000006"/>
    <n v="5"/>
    <n v="0"/>
    <n v="0"/>
    <n v="107"/>
    <s v="_x0000_peopl"/>
  </r>
  <r>
    <x v="7"/>
    <n v="13.686400000000001"/>
    <n v="-89.192400000000006"/>
    <n v="4"/>
    <n v="0"/>
    <n v="0"/>
    <n v="107"/>
    <s v="_x0000_peopl"/>
  </r>
  <r>
    <x v="7"/>
    <n v="13.686400000000001"/>
    <n v="-89.192400000000006"/>
    <n v="7"/>
    <n v="0"/>
    <n v="0"/>
    <n v="107"/>
    <s v="_x0000_peopl"/>
  </r>
  <r>
    <x v="7"/>
    <n v="13.686400000000001"/>
    <n v="-89.192400000000006"/>
    <n v="6"/>
    <n v="0"/>
    <n v="0"/>
    <n v="107"/>
    <s v="_x0000_peopl"/>
  </r>
  <r>
    <x v="7"/>
    <n v="13.686400000000001"/>
    <n v="-89.192400000000006"/>
    <n v="4"/>
    <n v="0"/>
    <n v="0"/>
    <n v="107"/>
    <s v="_x0000_peopl"/>
  </r>
  <r>
    <x v="7"/>
    <n v="13.6867"/>
    <n v="-89.192300000000003"/>
    <n v="1"/>
    <n v="0"/>
    <n v="0"/>
    <n v="107"/>
    <s v="_x0000_peopl"/>
  </r>
  <r>
    <x v="7"/>
    <n v="13.6866"/>
    <n v="-89.191900000000004"/>
    <n v="3"/>
    <n v="0"/>
    <n v="0"/>
    <n v="107"/>
    <s v="_x0000_peopl"/>
  </r>
  <r>
    <x v="7"/>
    <n v="13.686500000000001"/>
    <n v="-89.191999999999993"/>
    <n v="1"/>
    <n v="0"/>
    <n v="0"/>
    <n v="107"/>
    <s v="_x0000_peopl"/>
  </r>
  <r>
    <x v="7"/>
    <n v="13.686500000000001"/>
    <n v="-89.191999999999993"/>
    <n v="7"/>
    <n v="0"/>
    <n v="0"/>
    <n v="107"/>
    <s v="_x0000_peopl"/>
  </r>
  <r>
    <x v="7"/>
    <n v="13.6866"/>
    <n v="-89.191999999999993"/>
    <n v="2"/>
    <n v="0"/>
    <n v="0"/>
    <n v="107"/>
    <s v="_x0000_peopl"/>
  </r>
  <r>
    <x v="7"/>
    <n v="13.6866"/>
    <n v="-89.192099999999996"/>
    <n v="6"/>
    <n v="0"/>
    <n v="0"/>
    <n v="107"/>
    <s v="_x0000_peopl"/>
  </r>
  <r>
    <x v="7"/>
    <n v="13.6866"/>
    <n v="-89.192099999999996"/>
    <n v="2"/>
    <n v="0"/>
    <n v="0"/>
    <n v="107"/>
    <s v="_x0000_peopl"/>
  </r>
  <r>
    <x v="7"/>
    <n v="13.6866"/>
    <n v="-89.192099999999996"/>
    <n v="3"/>
    <n v="0"/>
    <n v="0"/>
    <n v="107"/>
    <s v="_x0000_peopl"/>
  </r>
  <r>
    <x v="7"/>
    <n v="13.6866"/>
    <n v="-89.1922"/>
    <n v="5"/>
    <n v="0"/>
    <n v="0"/>
    <n v="107"/>
    <s v="_x0000_peopl"/>
  </r>
  <r>
    <x v="7"/>
    <n v="13.6866"/>
    <n v="-89.1922"/>
    <n v="8"/>
    <n v="0"/>
    <n v="0"/>
    <n v="107"/>
    <s v="_x0000_peopl"/>
  </r>
  <r>
    <x v="7"/>
    <n v="13.6866"/>
    <n v="-89.1922"/>
    <n v="4"/>
    <n v="0"/>
    <n v="0"/>
    <n v="107"/>
    <s v="_x0000_peopl"/>
  </r>
  <r>
    <x v="7"/>
    <n v="13.6866"/>
    <n v="-89.1922"/>
    <n v="6"/>
    <n v="0"/>
    <n v="0"/>
    <n v="107"/>
    <s v="_x0000_peopl"/>
  </r>
  <r>
    <x v="7"/>
    <n v="13.6866"/>
    <n v="-89.1922"/>
    <n v="8"/>
    <n v="0"/>
    <n v="0"/>
    <n v="107"/>
    <s v="_x0000_peopl"/>
  </r>
  <r>
    <x v="7"/>
    <n v="13.6867"/>
    <n v="-89.1922"/>
    <n v="7"/>
    <n v="0"/>
    <n v="0"/>
    <n v="107"/>
    <s v="_x0000_peopl"/>
  </r>
  <r>
    <x v="7"/>
    <n v="13.6867"/>
    <n v="-89.1922"/>
    <n v="6"/>
    <n v="0"/>
    <n v="0"/>
    <n v="107"/>
    <s v="_x0000_peopl"/>
  </r>
  <r>
    <x v="7"/>
    <n v="13.6867"/>
    <n v="-89.1922"/>
    <n v="6"/>
    <n v="0"/>
    <n v="0"/>
    <n v="107"/>
    <s v="_x0000_peopl"/>
  </r>
  <r>
    <x v="7"/>
    <n v="13.6867"/>
    <n v="-89.1922"/>
    <n v="9"/>
    <n v="0"/>
    <n v="0"/>
    <n v="107"/>
    <s v="_x0000_peopl"/>
  </r>
  <r>
    <x v="7"/>
    <n v="13.6867"/>
    <n v="-89.192099999999996"/>
    <n v="5"/>
    <n v="0"/>
    <n v="0"/>
    <n v="107"/>
    <s v="_x0000_peopl"/>
  </r>
  <r>
    <x v="7"/>
    <n v="13.6867"/>
    <n v="-89.191999999999993"/>
    <n v="7"/>
    <n v="0"/>
    <n v="0"/>
    <n v="107"/>
    <s v="_x0000_peopl"/>
  </r>
  <r>
    <x v="7"/>
    <n v="13.6867"/>
    <n v="-89.191999999999993"/>
    <n v="8"/>
    <n v="0"/>
    <n v="0"/>
    <n v="107"/>
    <s v="_x0000_peopl"/>
  </r>
  <r>
    <x v="7"/>
    <n v="13.6867"/>
    <n v="-89.191999999999993"/>
    <n v="1"/>
    <n v="0"/>
    <n v="0"/>
    <n v="107"/>
    <s v="_x0000_peopl"/>
  </r>
  <r>
    <x v="7"/>
    <n v="13.6867"/>
    <n v="-89.191999999999993"/>
    <n v="1"/>
    <n v="0"/>
    <n v="0"/>
    <n v="107"/>
    <s v="_x0000_peopl"/>
  </r>
  <r>
    <x v="7"/>
    <n v="13.6867"/>
    <n v="-89.191999999999993"/>
    <n v="5"/>
    <n v="0"/>
    <n v="0"/>
    <n v="107"/>
    <s v="_x0000_peopl"/>
  </r>
  <r>
    <x v="7"/>
    <n v="13.6866"/>
    <n v="-89.191999999999993"/>
    <n v="5"/>
    <n v="0"/>
    <n v="0"/>
    <n v="107"/>
    <s v="_x0000_peopl"/>
  </r>
  <r>
    <x v="7"/>
    <n v="13.6866"/>
    <n v="-89.191999999999993"/>
    <n v="6"/>
    <n v="0"/>
    <n v="0"/>
    <n v="107"/>
    <s v="_x0000_peopl"/>
  </r>
  <r>
    <x v="7"/>
    <n v="13.6866"/>
    <n v="-89.191999999999993"/>
    <n v="6"/>
    <n v="0"/>
    <n v="0"/>
    <n v="107"/>
    <s v="_x0000_peopl"/>
  </r>
  <r>
    <x v="7"/>
    <n v="13.6866"/>
    <n v="-89.191999999999993"/>
    <n v="2"/>
    <n v="0"/>
    <n v="0"/>
    <n v="107"/>
    <s v="_x0000_peopl"/>
  </r>
  <r>
    <x v="7"/>
    <n v="13.6866"/>
    <n v="-89.191999999999993"/>
    <n v="5"/>
    <n v="0"/>
    <n v="0"/>
    <n v="107"/>
    <s v="_x0000_peopl"/>
  </r>
  <r>
    <x v="7"/>
    <n v="13.686500000000001"/>
    <n v="-89.1922"/>
    <n v="6"/>
    <n v="0"/>
    <n v="0"/>
    <n v="107"/>
    <s v="_x0000_peopl"/>
  </r>
  <r>
    <x v="7"/>
    <n v="13.687200000000001"/>
    <n v="-89.1922"/>
    <n v="5"/>
    <n v="0"/>
    <n v="0"/>
    <n v="107"/>
    <s v="_x0000_peopl"/>
  </r>
  <r>
    <x v="7"/>
    <n v="13.686999999999999"/>
    <n v="-89.192099999999996"/>
    <n v="8"/>
    <n v="0"/>
    <n v="0"/>
    <n v="107"/>
    <s v="_x0000_peopl"/>
  </r>
  <r>
    <x v="7"/>
    <n v="13.687099999999999"/>
    <n v="-89.191999999999993"/>
    <n v="5"/>
    <n v="0"/>
    <n v="0"/>
    <n v="107"/>
    <s v="_x0000_peopl"/>
  </r>
  <r>
    <x v="7"/>
    <n v="13.687099999999999"/>
    <n v="-89.191900000000004"/>
    <n v="7"/>
    <n v="0"/>
    <n v="0"/>
    <n v="107"/>
    <s v="_x0000_peopl"/>
  </r>
  <r>
    <x v="7"/>
    <n v="13.686999999999999"/>
    <n v="-89.191999999999993"/>
    <n v="3"/>
    <n v="0"/>
    <n v="0"/>
    <n v="107"/>
    <s v="_x0000_peopl"/>
  </r>
  <r>
    <x v="7"/>
    <n v="13.686999999999999"/>
    <n v="-89.1922"/>
    <n v="4"/>
    <n v="0"/>
    <n v="0"/>
    <n v="107"/>
    <s v="_x0000_peopl"/>
  </r>
  <r>
    <x v="7"/>
    <n v="13.687099999999999"/>
    <n v="-89.192300000000003"/>
    <n v="5"/>
    <n v="0"/>
    <n v="0"/>
    <n v="107"/>
    <s v="_x0000_peopl"/>
  </r>
  <r>
    <x v="7"/>
    <n v="13.686999999999999"/>
    <n v="-89.192300000000003"/>
    <n v="3"/>
    <n v="0"/>
    <n v="0"/>
    <n v="107"/>
    <s v="_x0000_peopl"/>
  </r>
  <r>
    <x v="7"/>
    <n v="13.686999999999999"/>
    <n v="-89.192400000000006"/>
    <n v="7"/>
    <n v="0"/>
    <n v="0"/>
    <n v="107"/>
    <s v="_x0000_peopl"/>
  </r>
  <r>
    <x v="7"/>
    <n v="13.6869"/>
    <n v="-89.1922"/>
    <n v="3"/>
    <n v="0"/>
    <n v="0"/>
    <n v="107"/>
    <s v="_x0000_peopl"/>
  </r>
  <r>
    <x v="7"/>
    <n v="13.686999999999999"/>
    <n v="-89.192300000000003"/>
    <n v="7"/>
    <n v="0"/>
    <n v="0"/>
    <n v="107"/>
    <s v="_x0000_peopl"/>
  </r>
  <r>
    <x v="7"/>
    <n v="13.6869"/>
    <n v="-89.192400000000006"/>
    <n v="6"/>
    <n v="0"/>
    <n v="0"/>
    <n v="107"/>
    <s v="_x0000_peopl"/>
  </r>
  <r>
    <x v="7"/>
    <n v="13.6868"/>
    <n v="-89.192599999999999"/>
    <n v="6"/>
    <n v="0"/>
    <n v="0"/>
    <n v="107"/>
    <s v="_x0000_peopl"/>
  </r>
  <r>
    <x v="7"/>
    <n v="13.6869"/>
    <n v="-89.192099999999996"/>
    <n v="3"/>
    <n v="0"/>
    <n v="0"/>
    <n v="107"/>
    <s v="_x0000_peopl"/>
  </r>
  <r>
    <x v="7"/>
    <n v="13.6869"/>
    <n v="-89.192099999999996"/>
    <n v="4"/>
    <n v="0"/>
    <n v="0"/>
    <n v="107"/>
    <s v="_x0000_peopl"/>
  </r>
  <r>
    <x v="7"/>
    <n v="13.6869"/>
    <n v="-89.191999999999993"/>
    <n v="5"/>
    <n v="0"/>
    <n v="0"/>
    <n v="107"/>
    <s v="_x0000_peopl"/>
  </r>
  <r>
    <x v="7"/>
    <n v="13.6869"/>
    <n v="-89.191999999999993"/>
    <n v="3"/>
    <n v="0"/>
    <n v="0"/>
    <n v="107"/>
    <s v="_x0000_peopl"/>
  </r>
  <r>
    <x v="7"/>
    <n v="13.6868"/>
    <n v="-89.191999999999993"/>
    <n v="7"/>
    <n v="0"/>
    <n v="0"/>
    <n v="107"/>
    <s v="_x0000_peopl"/>
  </r>
  <r>
    <x v="7"/>
    <n v="13.6868"/>
    <n v="-89.191999999999993"/>
    <n v="10"/>
    <n v="0"/>
    <n v="0"/>
    <n v="107"/>
    <s v="_x0000_peopl"/>
  </r>
  <r>
    <x v="7"/>
    <n v="13.6869"/>
    <n v="-89.192099999999996"/>
    <n v="5"/>
    <n v="0"/>
    <n v="0"/>
    <n v="107"/>
    <s v="_x0000_peopl"/>
  </r>
  <r>
    <x v="7"/>
    <n v="13.6869"/>
    <n v="-89.192099999999996"/>
    <n v="2"/>
    <n v="0"/>
    <n v="0"/>
    <n v="107"/>
    <s v="_x0000_peopl"/>
  </r>
  <r>
    <x v="7"/>
    <n v="13.6869"/>
    <n v="-89.191999999999993"/>
    <n v="1"/>
    <n v="0"/>
    <n v="0"/>
    <n v="107"/>
    <s v="_x0000_peopl"/>
  </r>
  <r>
    <x v="7"/>
    <n v="13.686999999999999"/>
    <n v="-89.191900000000004"/>
    <n v="4"/>
    <n v="0"/>
    <n v="0"/>
    <n v="107"/>
    <s v="_x0000_peopl"/>
  </r>
  <r>
    <x v="7"/>
    <n v="13.687200000000001"/>
    <n v="-89.191900000000004"/>
    <n v="6"/>
    <n v="0"/>
    <n v="0"/>
    <n v="107"/>
    <s v="_x0000_peopl"/>
  </r>
  <r>
    <x v="7"/>
    <n v="13.6873"/>
    <n v="-89.191800000000001"/>
    <n v="3"/>
    <n v="0"/>
    <n v="0"/>
    <n v="107"/>
    <s v="_x0000_peopl"/>
  </r>
  <r>
    <x v="7"/>
    <n v="13.6875"/>
    <n v="-89.191999999999993"/>
    <n v="6"/>
    <n v="0"/>
    <n v="0"/>
    <n v="107"/>
    <s v="_x0000_peopl"/>
  </r>
  <r>
    <x v="7"/>
    <n v="13.6875"/>
    <n v="-89.191800000000001"/>
    <n v="4"/>
    <n v="0"/>
    <n v="0"/>
    <n v="107"/>
    <s v="_x0000_peopl"/>
  </r>
  <r>
    <x v="7"/>
    <n v="13.6875"/>
    <n v="-89.191800000000001"/>
    <n v="5"/>
    <n v="0"/>
    <n v="0"/>
    <n v="107"/>
    <s v="_x0000_peopl"/>
  </r>
  <r>
    <x v="7"/>
    <n v="13.6876"/>
    <n v="-89.191800000000001"/>
    <n v="6"/>
    <n v="0"/>
    <n v="0"/>
    <n v="107"/>
    <s v="_x0000_peopl"/>
  </r>
  <r>
    <x v="7"/>
    <n v="13.6882"/>
    <n v="-89.192099999999996"/>
    <n v="8"/>
    <n v="0"/>
    <n v="0"/>
    <n v="107"/>
    <s v="_x0000_peopl"/>
  </r>
  <r>
    <x v="7"/>
    <n v="13.6882"/>
    <n v="-89.192300000000003"/>
    <n v="4"/>
    <n v="0"/>
    <n v="0"/>
    <n v="107"/>
    <s v="_x0000_peopl"/>
  </r>
  <r>
    <x v="7"/>
    <n v="13.6882"/>
    <n v="-89.192300000000003"/>
    <n v="8"/>
    <n v="0"/>
    <n v="0"/>
    <n v="107"/>
    <s v="_x0000_peopl"/>
  </r>
  <r>
    <x v="7"/>
    <n v="13.6882"/>
    <n v="-89.192300000000003"/>
    <n v="3"/>
    <n v="0"/>
    <n v="0"/>
    <n v="107"/>
    <s v="_x0000_peopl"/>
  </r>
  <r>
    <x v="7"/>
    <n v="13.687900000000001"/>
    <n v="-89.192700000000002"/>
    <n v="6"/>
    <n v="0"/>
    <n v="0"/>
    <n v="107"/>
    <s v="_x0000_peopl"/>
  </r>
  <r>
    <x v="7"/>
    <n v="13.6877"/>
    <n v="-89.192800000000005"/>
    <n v="5"/>
    <n v="0"/>
    <n v="0"/>
    <n v="107"/>
    <s v="_x0000_peopl"/>
  </r>
  <r>
    <x v="7"/>
    <n v="13.687799999999999"/>
    <n v="-89.192700000000002"/>
    <n v="6"/>
    <n v="0"/>
    <n v="0"/>
    <n v="107"/>
    <s v="_x0000_peopl"/>
  </r>
  <r>
    <x v="7"/>
    <n v="13.6883"/>
    <n v="-89.192700000000002"/>
    <n v="5"/>
    <n v="0"/>
    <n v="0"/>
    <n v="107"/>
    <s v="_x0000_peopl"/>
  </r>
  <r>
    <x v="7"/>
    <n v="13.6884"/>
    <n v="-89.192599999999999"/>
    <n v="7"/>
    <n v="0"/>
    <n v="0"/>
    <n v="107"/>
    <s v="_x0000_peopl"/>
  </r>
  <r>
    <x v="7"/>
    <n v="13.6884"/>
    <n v="-89.192599999999999"/>
    <n v="5"/>
    <n v="0"/>
    <n v="0"/>
    <n v="107"/>
    <s v="_x0000_peopl"/>
  </r>
  <r>
    <x v="7"/>
    <n v="13.6883"/>
    <n v="-89.1922"/>
    <n v="7"/>
    <n v="0"/>
    <n v="0"/>
    <n v="107"/>
    <s v="_x0000_peopl"/>
  </r>
  <r>
    <x v="7"/>
    <n v="13.6884"/>
    <n v="-89.192300000000003"/>
    <n v="4"/>
    <n v="0"/>
    <n v="0"/>
    <n v="107"/>
    <s v="_x0000_peopl"/>
  </r>
  <r>
    <x v="7"/>
    <n v="13.6883"/>
    <n v="-89.192400000000006"/>
    <n v="2"/>
    <n v="0"/>
    <n v="0"/>
    <n v="107"/>
    <s v="_x0000_peopl"/>
  </r>
  <r>
    <x v="7"/>
    <n v="13.6882"/>
    <n v="-89.192599999999999"/>
    <n v="7"/>
    <n v="0"/>
    <n v="0"/>
    <n v="107"/>
    <s v="_x0000_peopl"/>
  </r>
  <r>
    <x v="7"/>
    <n v="13.686500000000001"/>
    <n v="-89.193899999999999"/>
    <n v="7"/>
    <n v="0"/>
    <n v="0"/>
    <n v="107"/>
    <s v="_x0000_peopl"/>
  </r>
  <r>
    <x v="7"/>
    <n v="13.686500000000001"/>
    <n v="-89.193899999999999"/>
    <n v="10"/>
    <n v="0"/>
    <n v="0"/>
    <n v="107"/>
    <s v="_x0000_peopl"/>
  </r>
  <r>
    <x v="7"/>
    <n v="13.686500000000001"/>
    <n v="-89.193799999999996"/>
    <n v="13"/>
    <n v="0"/>
    <n v="0"/>
    <n v="107"/>
    <s v="_x0000_peopl"/>
  </r>
  <r>
    <x v="7"/>
    <n v="13.686500000000001"/>
    <n v="-89.193799999999996"/>
    <n v="5"/>
    <n v="0"/>
    <n v="0"/>
    <n v="107"/>
    <s v="_x0000_peopl"/>
  </r>
  <r>
    <x v="7"/>
    <n v="13.686500000000001"/>
    <n v="-89.193799999999996"/>
    <n v="1"/>
    <n v="0"/>
    <n v="0"/>
    <n v="107"/>
    <s v="_x0000_peopl"/>
  </r>
  <r>
    <x v="7"/>
    <n v="13.6866"/>
    <n v="-89.193899999999999"/>
    <n v="5"/>
    <n v="0"/>
    <n v="0"/>
    <n v="107"/>
    <s v="_x0000_peopl"/>
  </r>
  <r>
    <x v="7"/>
    <n v="13.6866"/>
    <n v="-89.193899999999999"/>
    <n v="9"/>
    <n v="0"/>
    <n v="0"/>
    <n v="107"/>
    <s v="_x0000_peopl"/>
  </r>
  <r>
    <x v="7"/>
    <n v="13.6866"/>
    <n v="-89.193700000000007"/>
    <n v="3"/>
    <n v="0"/>
    <n v="0"/>
    <n v="107"/>
    <s v="_x0000_peopl"/>
  </r>
  <r>
    <x v="7"/>
    <n v="13.6867"/>
    <n v="-89.194000000000003"/>
    <n v="5"/>
    <n v="0"/>
    <n v="0"/>
    <n v="107"/>
    <s v="_x0000_peopl"/>
  </r>
  <r>
    <x v="7"/>
    <n v="13.6867"/>
    <n v="-89.193899999999999"/>
    <n v="7"/>
    <n v="0"/>
    <n v="0"/>
    <n v="107"/>
    <s v="_x0000_peopl"/>
  </r>
  <r>
    <x v="7"/>
    <n v="13.6867"/>
    <n v="-89.193799999999996"/>
    <n v="7"/>
    <n v="0"/>
    <n v="0"/>
    <n v="107"/>
    <s v="_x0000_peopl"/>
  </r>
  <r>
    <x v="7"/>
    <n v="13.6866"/>
    <n v="-89.193700000000007"/>
    <n v="3"/>
    <n v="0"/>
    <n v="0"/>
    <n v="107"/>
    <s v="_x0000_peopl"/>
  </r>
  <r>
    <x v="7"/>
    <n v="13.6868"/>
    <n v="-89.193899999999999"/>
    <n v="6"/>
    <n v="0"/>
    <n v="0"/>
    <n v="107"/>
    <s v="_x0000_peopl"/>
  </r>
  <r>
    <x v="7"/>
    <n v="13.6867"/>
    <n v="-89.193799999999996"/>
    <n v="8"/>
    <n v="0"/>
    <n v="0"/>
    <n v="107"/>
    <s v="_x0000_peopl"/>
  </r>
  <r>
    <x v="7"/>
    <n v="13.6868"/>
    <n v="-89.193899999999999"/>
    <n v="5"/>
    <n v="0"/>
    <n v="0"/>
    <n v="107"/>
    <s v="_x0000_peopl"/>
  </r>
  <r>
    <x v="7"/>
    <n v="13.6868"/>
    <n v="-89.193899999999999"/>
    <n v="6"/>
    <n v="0"/>
    <n v="0"/>
    <n v="107"/>
    <s v="_x0000_peopl"/>
  </r>
  <r>
    <x v="7"/>
    <n v="13.6867"/>
    <n v="-89.194000000000003"/>
    <n v="8"/>
    <n v="0"/>
    <n v="0"/>
    <n v="107"/>
    <s v="_x0000_peopl"/>
  </r>
  <r>
    <x v="7"/>
    <n v="13.6868"/>
    <n v="-89.194000000000003"/>
    <n v="4"/>
    <n v="0"/>
    <n v="0"/>
    <n v="107"/>
    <s v="_x0000_peopl"/>
  </r>
  <r>
    <x v="7"/>
    <n v="13.6867"/>
    <n v="-89.194000000000003"/>
    <n v="8"/>
    <n v="0"/>
    <n v="0"/>
    <n v="107"/>
    <s v="_x0000_peopl"/>
  </r>
  <r>
    <x v="7"/>
    <n v="13.6867"/>
    <n v="-89.194199999999995"/>
    <n v="4"/>
    <n v="0"/>
    <n v="0"/>
    <n v="107"/>
    <s v="_x0000_peopl"/>
  </r>
  <r>
    <x v="7"/>
    <n v="13.686500000000001"/>
    <n v="-89.193899999999999"/>
    <n v="1"/>
    <n v="0"/>
    <n v="0"/>
    <n v="107"/>
    <s v="_x0000_peopl"/>
  </r>
  <r>
    <x v="7"/>
    <n v="13.686400000000001"/>
    <n v="-89.193899999999999"/>
    <n v="6"/>
    <n v="0"/>
    <n v="0"/>
    <n v="107"/>
    <s v="_x0000_peopl"/>
  </r>
  <r>
    <x v="7"/>
    <n v="13.686299999999999"/>
    <n v="-89.192999999999998"/>
    <n v="6"/>
    <n v="0"/>
    <n v="0"/>
    <n v="107"/>
    <s v="_x0000_peopl"/>
  </r>
  <r>
    <x v="7"/>
    <n v="13.686299999999999"/>
    <n v="-89.192899999999995"/>
    <n v="2"/>
    <n v="0"/>
    <n v="0"/>
    <n v="107"/>
    <s v="_x0000_peopl"/>
  </r>
  <r>
    <x v="7"/>
    <n v="13.686400000000001"/>
    <n v="-89.192999999999998"/>
    <n v="5"/>
    <n v="0"/>
    <n v="0"/>
    <n v="107"/>
    <s v="_x0000_peopl"/>
  </r>
  <r>
    <x v="7"/>
    <n v="13.686500000000001"/>
    <n v="-89.192899999999995"/>
    <n v="4"/>
    <n v="0"/>
    <n v="0"/>
    <n v="107"/>
    <s v="_x0000_peopl"/>
  </r>
  <r>
    <x v="7"/>
    <n v="13.686500000000001"/>
    <n v="-89.192800000000005"/>
    <n v="5"/>
    <n v="0"/>
    <n v="0"/>
    <n v="107"/>
    <s v="_x0000_peopl"/>
  </r>
  <r>
    <x v="7"/>
    <n v="13.6867"/>
    <n v="-89.192700000000002"/>
    <n v="8"/>
    <n v="0"/>
    <n v="0"/>
    <n v="107"/>
    <s v="_x0000_peopl"/>
  </r>
  <r>
    <x v="7"/>
    <n v="13.6866"/>
    <n v="-89.192700000000002"/>
    <n v="7"/>
    <n v="0"/>
    <n v="0"/>
    <n v="107"/>
    <s v="_x0000_peopl"/>
  </r>
  <r>
    <x v="7"/>
    <n v="13.6866"/>
    <n v="-89.192800000000005"/>
    <n v="7"/>
    <n v="0"/>
    <n v="0"/>
    <n v="107"/>
    <s v="_x0000_peopl"/>
  </r>
  <r>
    <x v="7"/>
    <n v="13.686999999999999"/>
    <n v="-89.192999999999998"/>
    <n v="7"/>
    <n v="0"/>
    <n v="0"/>
    <n v="107"/>
    <s v="_x0000_peopl"/>
  </r>
  <r>
    <x v="7"/>
    <n v="13.6873"/>
    <n v="-89.192800000000005"/>
    <n v="7"/>
    <n v="0"/>
    <n v="0"/>
    <n v="107"/>
    <s v="_x0000_peopl"/>
  </r>
  <r>
    <x v="7"/>
    <n v="13.6873"/>
    <n v="-89.192800000000005"/>
    <n v="1"/>
    <n v="0"/>
    <n v="0"/>
    <n v="107"/>
    <s v="_x0000_peopl"/>
  </r>
  <r>
    <x v="7"/>
    <n v="13.6874"/>
    <n v="-89.192700000000002"/>
    <n v="7"/>
    <n v="0"/>
    <n v="0"/>
    <n v="107"/>
    <s v="_x0000_peopl"/>
  </r>
  <r>
    <x v="7"/>
    <n v="13.6875"/>
    <n v="-89.192899999999995"/>
    <n v="6"/>
    <n v="0"/>
    <n v="0"/>
    <n v="107"/>
    <s v="_x0000_peopl"/>
  </r>
  <r>
    <x v="7"/>
    <n v="13.6875"/>
    <n v="-89.192800000000005"/>
    <n v="5"/>
    <n v="0"/>
    <n v="0"/>
    <n v="107"/>
    <s v="_x0000_peopl"/>
  </r>
  <r>
    <x v="7"/>
    <n v="13.686500000000001"/>
    <n v="-89.193700000000007"/>
    <n v="7"/>
    <n v="0"/>
    <n v="0"/>
    <n v="107"/>
    <s v="_x0000_peopl"/>
  </r>
  <r>
    <x v="7"/>
    <n v="13.686199999999999"/>
    <n v="-89.193200000000004"/>
    <n v="6"/>
    <n v="0"/>
    <n v="0"/>
    <n v="107"/>
    <s v="_x0000_peopl"/>
  </r>
  <r>
    <x v="7"/>
    <n v="13.6861"/>
    <n v="-89.193100000000001"/>
    <n v="4"/>
    <n v="0"/>
    <n v="0"/>
    <n v="107"/>
    <s v="_x0000_peopl"/>
  </r>
  <r>
    <x v="7"/>
    <n v="13.686199999999999"/>
    <n v="-89.1922"/>
    <n v="7"/>
    <n v="0"/>
    <n v="0"/>
    <n v="107"/>
    <s v="_x0000_peopl"/>
  </r>
  <r>
    <x v="7"/>
    <n v="13.686299999999999"/>
    <n v="-89.192099999999996"/>
    <n v="4"/>
    <n v="0"/>
    <n v="0"/>
    <n v="107"/>
    <s v="_x0000_peopl"/>
  </r>
  <r>
    <x v="7"/>
    <n v="13.686299999999999"/>
    <n v="-89.191699999999997"/>
    <n v="2"/>
    <n v="0"/>
    <n v="0"/>
    <n v="107"/>
    <s v="_x0000_peopl"/>
  </r>
  <r>
    <x v="7"/>
    <n v="13.686400000000001"/>
    <n v="-89.192700000000002"/>
    <n v="8"/>
    <n v="0"/>
    <n v="0"/>
    <n v="107"/>
    <s v="_x0000_peopl"/>
  </r>
  <r>
    <x v="7"/>
    <n v="13.686400000000001"/>
    <n v="-89.192599999999999"/>
    <n v="5"/>
    <n v="0"/>
    <n v="0"/>
    <n v="107"/>
    <s v="_x0000_peopl"/>
  </r>
  <r>
    <x v="7"/>
    <n v="13.6861"/>
    <n v="-89.192800000000005"/>
    <n v="3"/>
    <n v="0"/>
    <n v="0"/>
    <n v="107"/>
    <s v="_x0000_peopl"/>
  </r>
  <r>
    <x v="7"/>
    <n v="13.6861"/>
    <n v="-89.192899999999995"/>
    <n v="7"/>
    <n v="0"/>
    <n v="0"/>
    <n v="107"/>
    <s v="_x0000_peopl"/>
  </r>
  <r>
    <x v="7"/>
    <n v="13.6861"/>
    <n v="-89.193100000000001"/>
    <n v="4"/>
    <n v="0"/>
    <n v="0"/>
    <n v="107"/>
    <s v="_x0000_peopl"/>
  </r>
  <r>
    <x v="7"/>
    <n v="13.686500000000001"/>
    <n v="-89.191299999999998"/>
    <n v="6"/>
    <n v="0"/>
    <n v="0"/>
    <n v="107"/>
    <s v="_x0000_peopl"/>
  </r>
  <r>
    <x v="7"/>
    <n v="13.6866"/>
    <n v="-89.191500000000005"/>
    <n v="2"/>
    <n v="0"/>
    <n v="0"/>
    <n v="107"/>
    <s v="_x0000_peopl"/>
  </r>
  <r>
    <x v="7"/>
    <n v="13.6866"/>
    <n v="-89.191500000000005"/>
    <n v="4"/>
    <n v="0"/>
    <n v="0"/>
    <n v="107"/>
    <s v="_x0000_peopl"/>
  </r>
  <r>
    <x v="7"/>
    <n v="13.6866"/>
    <n v="-89.191500000000005"/>
    <n v="7"/>
    <n v="0"/>
    <n v="0"/>
    <n v="107"/>
    <s v="_x0000_peopl"/>
  </r>
  <r>
    <x v="7"/>
    <n v="13.6866"/>
    <n v="-89.191500000000005"/>
    <n v="6"/>
    <n v="0"/>
    <n v="0"/>
    <n v="107"/>
    <s v="_x0000_peopl"/>
  </r>
  <r>
    <x v="7"/>
    <n v="13.6866"/>
    <n v="-89.191599999999994"/>
    <n v="2"/>
    <n v="0"/>
    <n v="0"/>
    <n v="107"/>
    <s v="_x0000_peopl"/>
  </r>
  <r>
    <x v="7"/>
    <n v="13.6866"/>
    <n v="-89.191599999999994"/>
    <n v="5"/>
    <n v="0"/>
    <n v="0"/>
    <n v="107"/>
    <s v="_x0000_peopl"/>
  </r>
  <r>
    <x v="7"/>
    <n v="13.6866"/>
    <n v="-89.191699999999997"/>
    <n v="4"/>
    <n v="0"/>
    <n v="0"/>
    <n v="107"/>
    <s v="_x0000_peopl"/>
  </r>
  <r>
    <x v="7"/>
    <n v="13.6866"/>
    <n v="-89.191699999999997"/>
    <n v="6"/>
    <n v="0"/>
    <n v="0"/>
    <n v="107"/>
    <s v="_x0000_peopl"/>
  </r>
  <r>
    <x v="7"/>
    <n v="13.6866"/>
    <n v="-89.191699999999997"/>
    <n v="6"/>
    <n v="0"/>
    <n v="0"/>
    <n v="107"/>
    <s v="_x0000_peopl"/>
  </r>
  <r>
    <x v="7"/>
    <n v="13.6866"/>
    <n v="-89.191699999999997"/>
    <n v="7"/>
    <n v="0"/>
    <n v="0"/>
    <n v="107"/>
    <s v="_x0000_peopl"/>
  </r>
  <r>
    <x v="7"/>
    <n v="13.6866"/>
    <n v="-89.191599999999994"/>
    <n v="6"/>
    <n v="0"/>
    <n v="0"/>
    <n v="107"/>
    <s v="_x0000_peopl"/>
  </r>
  <r>
    <x v="7"/>
    <n v="13.6866"/>
    <n v="-89.191599999999994"/>
    <n v="6"/>
    <n v="0"/>
    <n v="0"/>
    <n v="107"/>
    <s v="_x0000_peopl"/>
  </r>
  <r>
    <x v="7"/>
    <n v="13.686500000000001"/>
    <n v="-89.191699999999997"/>
    <n v="8"/>
    <n v="0"/>
    <n v="0"/>
    <n v="107"/>
    <s v="_x0000_peopl"/>
  </r>
  <r>
    <x v="7"/>
    <n v="13.686500000000001"/>
    <n v="-89.191699999999997"/>
    <n v="6"/>
    <n v="0"/>
    <n v="0"/>
    <n v="107"/>
    <s v="_x0000_peopl"/>
  </r>
  <r>
    <x v="7"/>
    <n v="13.686500000000001"/>
    <n v="-89.191699999999997"/>
    <n v="3"/>
    <n v="0"/>
    <n v="0"/>
    <n v="107"/>
    <s v="_x0000_peopl"/>
  </r>
  <r>
    <x v="7"/>
    <n v="13.686500000000001"/>
    <n v="-89.191699999999997"/>
    <n v="7"/>
    <n v="0"/>
    <n v="0"/>
    <n v="107"/>
    <s v="_x0000_peopl"/>
  </r>
  <r>
    <x v="7"/>
    <n v="13.686500000000001"/>
    <n v="-89.191599999999994"/>
    <n v="7"/>
    <n v="0"/>
    <n v="0"/>
    <n v="107"/>
    <s v="_x0000_peopl"/>
  </r>
  <r>
    <x v="7"/>
    <n v="13.686500000000001"/>
    <n v="-89.191599999999994"/>
    <n v="4"/>
    <n v="0"/>
    <n v="0"/>
    <n v="107"/>
    <s v="_x0000_peopl"/>
  </r>
  <r>
    <x v="7"/>
    <n v="13.686500000000001"/>
    <n v="-89.191599999999994"/>
    <n v="3"/>
    <n v="0"/>
    <n v="0"/>
    <n v="107"/>
    <s v="_x0000_peopl"/>
  </r>
  <r>
    <x v="7"/>
    <n v="13.686500000000001"/>
    <n v="-89.191599999999994"/>
    <n v="2"/>
    <n v="0"/>
    <n v="0"/>
    <n v="107"/>
    <s v="_x0000_peopl"/>
  </r>
  <r>
    <x v="7"/>
    <n v="13.686500000000001"/>
    <n v="-89.191500000000005"/>
    <n v="8"/>
    <n v="0"/>
    <n v="0"/>
    <n v="107"/>
    <s v="_x0000_peopl"/>
  </r>
  <r>
    <x v="7"/>
    <n v="13.686500000000001"/>
    <n v="-89.191500000000005"/>
    <n v="4"/>
    <n v="0"/>
    <n v="0"/>
    <n v="107"/>
    <s v="_x0000_peopl"/>
  </r>
  <r>
    <x v="7"/>
    <n v="13.686500000000001"/>
    <n v="-89.191500000000005"/>
    <n v="5"/>
    <n v="0"/>
    <n v="0"/>
    <n v="107"/>
    <s v="_x0000_peopl"/>
  </r>
  <r>
    <x v="7"/>
    <n v="13.686500000000001"/>
    <n v="-89.191500000000005"/>
    <n v="4"/>
    <n v="0"/>
    <n v="0"/>
    <n v="107"/>
    <s v="_x0000_peopl"/>
  </r>
  <r>
    <x v="7"/>
    <n v="13.686299999999999"/>
    <n v="-89.191699999999997"/>
    <n v="3"/>
    <n v="0"/>
    <n v="0"/>
    <n v="107"/>
    <s v="_x0000_peopl"/>
  </r>
  <r>
    <x v="7"/>
    <n v="13.687200000000001"/>
    <n v="-89.1922"/>
    <n v="6"/>
    <n v="0"/>
    <n v="0"/>
    <n v="107"/>
    <s v="_x0000_peopl"/>
  </r>
  <r>
    <x v="7"/>
    <n v="13.687200000000001"/>
    <n v="-89.192099999999996"/>
    <n v="6"/>
    <n v="0"/>
    <n v="0"/>
    <n v="107"/>
    <s v="_x0000_peopl"/>
  </r>
  <r>
    <x v="7"/>
    <n v="13.6873"/>
    <n v="-89.192099999999996"/>
    <n v="9"/>
    <n v="0"/>
    <n v="0"/>
    <n v="107"/>
    <s v="_x0000_peopl"/>
  </r>
  <r>
    <x v="7"/>
    <n v="13.6873"/>
    <n v="-89.192099999999996"/>
    <n v="6"/>
    <n v="0"/>
    <n v="0"/>
    <n v="107"/>
    <s v="_x0000_peopl"/>
  </r>
  <r>
    <x v="7"/>
    <n v="13.6873"/>
    <n v="-89.192099999999996"/>
    <n v="5"/>
    <n v="0"/>
    <n v="0"/>
    <n v="107"/>
    <s v="_x0000_peopl"/>
  </r>
  <r>
    <x v="7"/>
    <n v="13.6874"/>
    <n v="-89.191999999999993"/>
    <n v="3"/>
    <n v="0"/>
    <n v="0"/>
    <n v="107"/>
    <s v="_x0000_peopl"/>
  </r>
  <r>
    <x v="7"/>
    <n v="13.6874"/>
    <n v="-89.192099999999996"/>
    <n v="6"/>
    <n v="0"/>
    <n v="0"/>
    <n v="107"/>
    <s v="_x0000_peopl"/>
  </r>
  <r>
    <x v="7"/>
    <n v="13.6875"/>
    <n v="-89.191999999999993"/>
    <n v="7"/>
    <n v="0"/>
    <n v="0"/>
    <n v="107"/>
    <s v="_x0000_peopl"/>
  </r>
  <r>
    <x v="7"/>
    <n v="13.6874"/>
    <n v="-89.192999999999998"/>
    <n v="1"/>
    <n v="0"/>
    <n v="0"/>
    <n v="107"/>
    <s v="_x0000_peopl"/>
  </r>
  <r>
    <x v="7"/>
    <n v="13.687200000000001"/>
    <n v="-89.193299999999994"/>
    <n v="4"/>
    <n v="0"/>
    <n v="0"/>
    <n v="107"/>
    <s v="_x0000_peopl"/>
  </r>
  <r>
    <x v="7"/>
    <n v="13.687099999999999"/>
    <n v="-89.193200000000004"/>
    <n v="2"/>
    <n v="0"/>
    <n v="0"/>
    <n v="107"/>
    <s v="_x0000_peopl"/>
  </r>
  <r>
    <x v="7"/>
    <n v="13.686999999999999"/>
    <n v="-89.193100000000001"/>
    <n v="8"/>
    <n v="0"/>
    <n v="0"/>
    <n v="107"/>
    <s v="_x0000_peopl"/>
  </r>
  <r>
    <x v="7"/>
    <n v="13.686999999999999"/>
    <n v="-89.193100000000001"/>
    <n v="5"/>
    <n v="0"/>
    <n v="0"/>
    <n v="107"/>
    <s v="_x0000_peopl"/>
  </r>
  <r>
    <x v="7"/>
    <n v="13.686999999999999"/>
    <n v="-89.192999999999998"/>
    <n v="3"/>
    <n v="0"/>
    <n v="0"/>
    <n v="107"/>
    <s v="_x0000_peopl"/>
  </r>
  <r>
    <x v="7"/>
    <n v="13.686999999999999"/>
    <n v="-89.192999999999998"/>
    <n v="7"/>
    <n v="0"/>
    <n v="0"/>
    <n v="107"/>
    <s v="_x0000_peopl"/>
  </r>
  <r>
    <x v="7"/>
    <n v="13.686999999999999"/>
    <n v="-89.192999999999998"/>
    <n v="8"/>
    <n v="0"/>
    <n v="0"/>
    <n v="107"/>
    <s v="_x0000_peopl"/>
  </r>
  <r>
    <x v="7"/>
    <n v="13.686999999999999"/>
    <n v="-89.192999999999998"/>
    <n v="2"/>
    <n v="0"/>
    <n v="0"/>
    <n v="107"/>
    <s v="_x0000_peopl"/>
  </r>
  <r>
    <x v="7"/>
    <n v="13.6869"/>
    <n v="-89.192999999999998"/>
    <n v="4"/>
    <n v="0"/>
    <n v="0"/>
    <n v="107"/>
    <s v="_x0000_peopl"/>
  </r>
  <r>
    <x v="7"/>
    <n v="13.6869"/>
    <n v="-89.192999999999998"/>
    <n v="5"/>
    <n v="0"/>
    <n v="0"/>
    <n v="107"/>
    <s v="_x0000_peopl"/>
  </r>
  <r>
    <x v="7"/>
    <n v="13.6869"/>
    <n v="-89.192999999999998"/>
    <n v="9"/>
    <n v="0"/>
    <n v="0"/>
    <n v="107"/>
    <s v="_x0000_peopl"/>
  </r>
  <r>
    <x v="7"/>
    <n v="13.6869"/>
    <n v="-89.193299999999994"/>
    <n v="9"/>
    <n v="0"/>
    <n v="0"/>
    <n v="107"/>
    <s v="_x0000_peopl"/>
  </r>
  <r>
    <x v="7"/>
    <n v="13.687200000000001"/>
    <n v="-89.193200000000004"/>
    <n v="4"/>
    <n v="0"/>
    <n v="0"/>
    <n v="107"/>
    <s v="_x0000_peopl"/>
  </r>
  <r>
    <x v="7"/>
    <n v="13.6867"/>
    <n v="-89.192499999999995"/>
    <n v="7"/>
    <n v="0"/>
    <n v="0"/>
    <n v="107"/>
    <s v="_x0000_peopl"/>
  </r>
  <r>
    <x v="7"/>
    <n v="13.6868"/>
    <n v="-89.191900000000004"/>
    <n v="2"/>
    <n v="0"/>
    <n v="0"/>
    <n v="107"/>
    <s v="_x0000_peopl"/>
  </r>
  <r>
    <x v="7"/>
    <n v="13.691000000000001"/>
    <n v="-89.193700000000007"/>
    <n v="4"/>
    <n v="0"/>
    <n v="0"/>
    <n v="107"/>
    <s v="_x0000_peopl"/>
  </r>
  <r>
    <x v="7"/>
    <n v="13.690899999999999"/>
    <n v="-89.193700000000007"/>
    <n v="5"/>
    <n v="0"/>
    <n v="0"/>
    <n v="107"/>
    <s v="_x0000_peopl"/>
  </r>
  <r>
    <x v="7"/>
    <n v="13.691000000000001"/>
    <n v="-89.193600000000004"/>
    <n v="8"/>
    <n v="0"/>
    <n v="0"/>
    <n v="107"/>
    <s v="_x0000_peopl"/>
  </r>
  <r>
    <x v="7"/>
    <n v="13.690899999999999"/>
    <n v="-89.193600000000004"/>
    <n v="6"/>
    <n v="0"/>
    <n v="0"/>
    <n v="107"/>
    <s v="_x0000_peopl"/>
  </r>
  <r>
    <x v="7"/>
    <n v="13.691000000000001"/>
    <n v="-89.1935"/>
    <n v="2"/>
    <n v="0"/>
    <n v="0"/>
    <n v="107"/>
    <s v="_x0000_peopl"/>
  </r>
  <r>
    <x v="7"/>
    <n v="13.691000000000001"/>
    <n v="-89.1935"/>
    <n v="10"/>
    <n v="0"/>
    <n v="0"/>
    <n v="107"/>
    <s v="_x0000_peopl"/>
  </r>
  <r>
    <x v="7"/>
    <n v="13.690899999999999"/>
    <n v="-89.1935"/>
    <n v="8"/>
    <n v="0"/>
    <n v="0"/>
    <n v="107"/>
    <s v="_x0000_peopl"/>
  </r>
  <r>
    <x v="7"/>
    <n v="13.691000000000001"/>
    <n v="-89.193200000000004"/>
    <n v="6"/>
    <n v="0"/>
    <n v="0"/>
    <n v="107"/>
    <s v="_x0000_peopl"/>
  </r>
  <r>
    <x v="7"/>
    <n v="13.690899999999999"/>
    <n v="-89.193700000000007"/>
    <n v="2"/>
    <n v="0"/>
    <n v="0"/>
    <n v="107"/>
    <s v="_x0000_peopl"/>
  </r>
  <r>
    <x v="7"/>
    <n v="13.691000000000001"/>
    <n v="-89.193799999999996"/>
    <n v="9"/>
    <n v="0"/>
    <n v="0"/>
    <n v="107"/>
    <s v="_x0000_peopl"/>
  </r>
  <r>
    <x v="7"/>
    <n v="13.6911"/>
    <n v="-89.192899999999995"/>
    <n v="3"/>
    <n v="0"/>
    <n v="0"/>
    <n v="107"/>
    <s v="_x0000_peopl"/>
  </r>
  <r>
    <x v="7"/>
    <n v="13.691000000000001"/>
    <n v="-89.192999999999998"/>
    <n v="5"/>
    <n v="0"/>
    <n v="0"/>
    <n v="107"/>
    <s v="_x0000_peopl"/>
  </r>
  <r>
    <x v="7"/>
    <n v="13.691000000000001"/>
    <n v="-89.192999999999998"/>
    <n v="7"/>
    <n v="0"/>
    <n v="0"/>
    <n v="107"/>
    <s v="_x0000_peopl"/>
  </r>
  <r>
    <x v="7"/>
    <n v="13.6911"/>
    <n v="-89.192999999999998"/>
    <n v="4"/>
    <n v="0"/>
    <n v="0"/>
    <n v="107"/>
    <s v="_x0000_peopl"/>
  </r>
  <r>
    <x v="7"/>
    <n v="13.6911"/>
    <n v="-89.192999999999998"/>
    <n v="4"/>
    <n v="0"/>
    <n v="0"/>
    <n v="107"/>
    <s v="_x0000_peopl"/>
  </r>
  <r>
    <x v="7"/>
    <n v="13.6911"/>
    <n v="-89.192999999999998"/>
    <n v="3"/>
    <n v="0"/>
    <n v="0"/>
    <n v="107"/>
    <s v="_x0000_peopl"/>
  </r>
  <r>
    <x v="7"/>
    <n v="13.691000000000001"/>
    <n v="-89.192999999999998"/>
    <n v="8"/>
    <n v="0"/>
    <n v="0"/>
    <n v="107"/>
    <s v="_x0000_peopl"/>
  </r>
  <r>
    <x v="7"/>
    <n v="13.691000000000001"/>
    <n v="-89.192999999999998"/>
    <n v="8"/>
    <n v="0"/>
    <n v="0"/>
    <n v="107"/>
    <s v="_x0000_peopl"/>
  </r>
  <r>
    <x v="7"/>
    <n v="13.6911"/>
    <n v="-89.192999999999998"/>
    <n v="5"/>
    <n v="0"/>
    <n v="0"/>
    <n v="107"/>
    <s v="_x0000_peopl"/>
  </r>
  <r>
    <x v="7"/>
    <n v="13.6911"/>
    <n v="-89.192899999999995"/>
    <n v="4"/>
    <n v="0"/>
    <n v="0"/>
    <n v="107"/>
    <s v="_x0000_peopl"/>
  </r>
  <r>
    <x v="7"/>
    <n v="13.691000000000001"/>
    <n v="-89.192899999999995"/>
    <n v="4"/>
    <n v="0"/>
    <n v="0"/>
    <n v="107"/>
    <s v="_x0000_peopl"/>
  </r>
  <r>
    <x v="7"/>
    <n v="13.691000000000001"/>
    <n v="-89.192899999999995"/>
    <n v="2"/>
    <n v="0"/>
    <n v="0"/>
    <n v="107"/>
    <s v="_x0000_peopl"/>
  </r>
  <r>
    <x v="7"/>
    <n v="13.691000000000001"/>
    <n v="-89.192899999999995"/>
    <n v="3"/>
    <n v="0"/>
    <n v="0"/>
    <n v="107"/>
    <s v="_x0000_peopl"/>
  </r>
  <r>
    <x v="7"/>
    <n v="13.691000000000001"/>
    <n v="-89.192899999999995"/>
    <n v="3"/>
    <n v="0"/>
    <n v="0"/>
    <n v="107"/>
    <s v="_x0000_peopl"/>
  </r>
  <r>
    <x v="7"/>
    <n v="13.691000000000001"/>
    <n v="-89.192800000000005"/>
    <n v="5"/>
    <n v="0"/>
    <n v="0"/>
    <n v="107"/>
    <s v="_x0000_peopl"/>
  </r>
  <r>
    <x v="7"/>
    <n v="13.691000000000001"/>
    <n v="-89.192899999999995"/>
    <n v="3"/>
    <n v="0"/>
    <n v="0"/>
    <n v="107"/>
    <s v="_x0000_peopl"/>
  </r>
  <r>
    <x v="7"/>
    <n v="13.691000000000001"/>
    <n v="-89.192800000000005"/>
    <n v="1"/>
    <n v="0"/>
    <n v="0"/>
    <n v="107"/>
    <s v="_x0000_peopl"/>
  </r>
  <r>
    <x v="7"/>
    <n v="13.691000000000001"/>
    <n v="-89.192800000000005"/>
    <n v="7"/>
    <n v="0"/>
    <n v="0"/>
    <n v="107"/>
    <s v="_x0000_peopl"/>
  </r>
  <r>
    <x v="7"/>
    <n v="13.691000000000001"/>
    <n v="-89.192800000000005"/>
    <n v="6"/>
    <n v="0"/>
    <n v="0"/>
    <n v="107"/>
    <s v="_x0000_peopl"/>
  </r>
  <r>
    <x v="7"/>
    <n v="13.691000000000001"/>
    <n v="-89.192800000000005"/>
    <n v="7"/>
    <n v="0"/>
    <n v="0"/>
    <n v="107"/>
    <s v="_x0000_peopl"/>
  </r>
  <r>
    <x v="7"/>
    <n v="13.690899999999999"/>
    <n v="-89.192800000000005"/>
    <n v="5"/>
    <n v="0"/>
    <n v="0"/>
    <n v="107"/>
    <s v="_x0000_peopl"/>
  </r>
  <r>
    <x v="7"/>
    <n v="13.691000000000001"/>
    <n v="-89.192800000000005"/>
    <n v="4"/>
    <n v="0"/>
    <n v="0"/>
    <n v="107"/>
    <s v="_x0000_peopl"/>
  </r>
  <r>
    <x v="7"/>
    <n v="13.6911"/>
    <n v="-89.192800000000005"/>
    <n v="3"/>
    <n v="0"/>
    <n v="0"/>
    <n v="107"/>
    <s v="_x0000_peopl"/>
  </r>
  <r>
    <x v="7"/>
    <n v="13.691000000000001"/>
    <n v="-89.192800000000005"/>
    <n v="6"/>
    <n v="0"/>
    <n v="0"/>
    <n v="107"/>
    <s v="_x0000_peopl"/>
  </r>
  <r>
    <x v="7"/>
    <n v="13.6911"/>
    <n v="-89.192800000000005"/>
    <n v="9"/>
    <n v="0"/>
    <n v="0"/>
    <n v="107"/>
    <s v="_x0000_peopl"/>
  </r>
  <r>
    <x v="7"/>
    <n v="13.691000000000001"/>
    <n v="-89.192800000000005"/>
    <n v="5"/>
    <n v="0"/>
    <n v="0"/>
    <n v="107"/>
    <s v="_x0000_peopl"/>
  </r>
  <r>
    <x v="7"/>
    <n v="13.691000000000001"/>
    <n v="-89.192800000000005"/>
    <n v="8"/>
    <n v="0"/>
    <n v="0"/>
    <n v="107"/>
    <s v="_x0000_peopl"/>
  </r>
  <r>
    <x v="7"/>
    <n v="13.691000000000001"/>
    <n v="-89.192700000000002"/>
    <n v="5"/>
    <n v="0"/>
    <n v="0"/>
    <n v="107"/>
    <s v="_x0000_peopl"/>
  </r>
  <r>
    <x v="7"/>
    <n v="13.6911"/>
    <n v="-89.192599999999999"/>
    <n v="4"/>
    <n v="0"/>
    <n v="0"/>
    <n v="107"/>
    <s v="_x0000_peopl"/>
  </r>
  <r>
    <x v="7"/>
    <n v="13.691000000000001"/>
    <n v="-89.192599999999999"/>
    <n v="6"/>
    <n v="0"/>
    <n v="0"/>
    <n v="107"/>
    <s v="_x0000_peopl"/>
  </r>
  <r>
    <x v="7"/>
    <n v="13.6911"/>
    <n v="-89.192899999999995"/>
    <n v="4"/>
    <n v="0"/>
    <n v="0"/>
    <n v="107"/>
    <s v="_x0000_peopl"/>
  </r>
  <r>
    <x v="7"/>
    <n v="13.6911"/>
    <n v="-89.192800000000005"/>
    <n v="7"/>
    <n v="0"/>
    <n v="0"/>
    <n v="107"/>
    <s v="_x0000_peopl"/>
  </r>
  <r>
    <x v="7"/>
    <n v="13.691000000000001"/>
    <n v="-89.192999999999998"/>
    <n v="6"/>
    <n v="0"/>
    <n v="0"/>
    <n v="107"/>
    <s v="_x0000_peopl"/>
  </r>
  <r>
    <x v="7"/>
    <n v="13.691000000000001"/>
    <n v="-89.193100000000001"/>
    <n v="5"/>
    <n v="0"/>
    <n v="0"/>
    <n v="107"/>
    <s v="_x0000_peopl"/>
  </r>
  <r>
    <x v="7"/>
    <n v="13.690899999999999"/>
    <n v="-89.192999999999998"/>
    <n v="8"/>
    <n v="0"/>
    <n v="0"/>
    <n v="107"/>
    <s v="_x0000_peopl"/>
  </r>
  <r>
    <x v="7"/>
    <n v="13.6937"/>
    <n v="-89.19"/>
    <n v="4"/>
    <n v="0"/>
    <n v="0"/>
    <n v="107"/>
    <s v="_x0000_peopl"/>
  </r>
  <r>
    <x v="7"/>
    <n v="13.6937"/>
    <n v="-89.19"/>
    <n v="3"/>
    <n v="0"/>
    <n v="0"/>
    <n v="107"/>
    <s v="_x0000_peopl"/>
  </r>
  <r>
    <x v="7"/>
    <n v="13.6934"/>
    <n v="-89.189700000000002"/>
    <n v="4"/>
    <n v="0"/>
    <n v="0"/>
    <n v="107"/>
    <s v="_x0000_peopl"/>
  </r>
  <r>
    <x v="7"/>
    <n v="13.6934"/>
    <n v="-89.189700000000002"/>
    <n v="5"/>
    <n v="0"/>
    <n v="0"/>
    <n v="107"/>
    <s v="_x0000_peopl"/>
  </r>
  <r>
    <x v="7"/>
    <n v="13.6934"/>
    <n v="-89.189700000000002"/>
    <n v="3"/>
    <n v="0"/>
    <n v="0"/>
    <n v="107"/>
    <s v="_x0000_peopl"/>
  </r>
  <r>
    <x v="7"/>
    <n v="13.6934"/>
    <n v="-89.189700000000002"/>
    <n v="9"/>
    <n v="0"/>
    <n v="0"/>
    <n v="107"/>
    <s v="_x0000_peopl"/>
  </r>
  <r>
    <x v="7"/>
    <n v="13.6934"/>
    <n v="-89.189700000000002"/>
    <n v="8"/>
    <n v="0"/>
    <n v="0"/>
    <n v="107"/>
    <s v="_x0000_peopl"/>
  </r>
  <r>
    <x v="7"/>
    <n v="13.6934"/>
    <n v="-89.189700000000002"/>
    <n v="3"/>
    <n v="0"/>
    <n v="0"/>
    <n v="107"/>
    <s v="_x0000_peopl"/>
  </r>
  <r>
    <x v="7"/>
    <n v="13.693300000000001"/>
    <n v="-89.189599999999999"/>
    <n v="4"/>
    <n v="0"/>
    <n v="0"/>
    <n v="107"/>
    <s v="_x0000_peopl"/>
  </r>
  <r>
    <x v="7"/>
    <n v="13.6934"/>
    <n v="-89.189599999999999"/>
    <n v="7"/>
    <n v="0"/>
    <n v="0"/>
    <n v="107"/>
    <s v="_x0000_peopl"/>
  </r>
  <r>
    <x v="7"/>
    <n v="13.6934"/>
    <n v="-89.189599999999999"/>
    <n v="5"/>
    <n v="0"/>
    <n v="0"/>
    <n v="107"/>
    <s v="_x0000_peopl"/>
  </r>
  <r>
    <x v="7"/>
    <n v="13.6934"/>
    <n v="-89.189599999999999"/>
    <n v="5"/>
    <n v="0"/>
    <n v="0"/>
    <n v="107"/>
    <s v="_x0000_peopl"/>
  </r>
  <r>
    <x v="7"/>
    <n v="13.6934"/>
    <n v="-89.189599999999999"/>
    <n v="8"/>
    <n v="0"/>
    <n v="0"/>
    <n v="107"/>
    <s v="_x0000_peopl"/>
  </r>
  <r>
    <x v="7"/>
    <n v="13.6934"/>
    <n v="-89.189599999999999"/>
    <n v="7"/>
    <n v="0"/>
    <n v="0"/>
    <n v="107"/>
    <s v="_x0000_peopl"/>
  </r>
  <r>
    <x v="7"/>
    <n v="13.6934"/>
    <n v="-89.189599999999999"/>
    <n v="8"/>
    <n v="0"/>
    <n v="0"/>
    <n v="107"/>
    <s v="_x0000_peopl"/>
  </r>
  <r>
    <x v="7"/>
    <n v="13.6934"/>
    <n v="-89.189599999999999"/>
    <n v="5"/>
    <n v="0"/>
    <n v="0"/>
    <n v="107"/>
    <s v="_x0000_peopl"/>
  </r>
  <r>
    <x v="7"/>
    <n v="13.6934"/>
    <n v="-89.189599999999999"/>
    <n v="2"/>
    <n v="0"/>
    <n v="0"/>
    <n v="107"/>
    <s v="_x0000_peopl"/>
  </r>
  <r>
    <x v="7"/>
    <n v="13.6934"/>
    <n v="-89.189899999999994"/>
    <n v="6"/>
    <n v="0"/>
    <n v="0"/>
    <n v="107"/>
    <s v="_x0000_peopl"/>
  </r>
  <r>
    <x v="7"/>
    <n v="13.6934"/>
    <n v="-89.189899999999994"/>
    <n v="1"/>
    <n v="0"/>
    <n v="0"/>
    <n v="107"/>
    <s v="_x0000_peopl"/>
  </r>
  <r>
    <x v="7"/>
    <n v="13.6934"/>
    <n v="-89.189899999999994"/>
    <n v="4"/>
    <n v="0"/>
    <n v="0"/>
    <n v="107"/>
    <s v="_x0000_peopl"/>
  </r>
  <r>
    <x v="7"/>
    <n v="13.6934"/>
    <n v="-89.19"/>
    <n v="3"/>
    <n v="0"/>
    <n v="0"/>
    <n v="107"/>
    <s v="_x0000_peopl"/>
  </r>
  <r>
    <x v="7"/>
    <n v="13.6934"/>
    <n v="-89.19"/>
    <n v="4"/>
    <n v="0"/>
    <n v="0"/>
    <n v="107"/>
    <s v="_x0000_peopl"/>
  </r>
  <r>
    <x v="7"/>
    <n v="13.6934"/>
    <n v="-89.19"/>
    <n v="4"/>
    <n v="0"/>
    <n v="0"/>
    <n v="107"/>
    <s v="_x0000_peopl"/>
  </r>
  <r>
    <x v="7"/>
    <n v="13.6934"/>
    <n v="-89.19"/>
    <n v="6"/>
    <n v="0"/>
    <n v="0"/>
    <n v="107"/>
    <s v="_x0000_peopl"/>
  </r>
  <r>
    <x v="7"/>
    <n v="13.6934"/>
    <n v="-89.19"/>
    <n v="9"/>
    <n v="0"/>
    <n v="0"/>
    <n v="107"/>
    <s v="_x0000_peopl"/>
  </r>
  <r>
    <x v="7"/>
    <n v="13.6934"/>
    <n v="-89.19"/>
    <n v="6"/>
    <n v="0"/>
    <n v="0"/>
    <n v="107"/>
    <s v="_x0000_peopl"/>
  </r>
  <r>
    <x v="7"/>
    <n v="13.6934"/>
    <n v="-89.19"/>
    <n v="4"/>
    <n v="0"/>
    <n v="0"/>
    <n v="107"/>
    <s v="_x0000_peopl"/>
  </r>
  <r>
    <x v="7"/>
    <n v="13.6934"/>
    <n v="-89.19"/>
    <n v="7"/>
    <n v="0"/>
    <n v="0"/>
    <n v="107"/>
    <s v="_x0000_peopl"/>
  </r>
  <r>
    <x v="7"/>
    <n v="13.6935"/>
    <n v="-89.190200000000004"/>
    <n v="5"/>
    <n v="0"/>
    <n v="0"/>
    <n v="107"/>
    <s v="_x0000_peopl"/>
  </r>
  <r>
    <x v="7"/>
    <n v="13.6935"/>
    <n v="-89.190200000000004"/>
    <n v="5"/>
    <n v="0"/>
    <n v="0"/>
    <n v="107"/>
    <s v="_x0000_peopl"/>
  </r>
  <r>
    <x v="7"/>
    <n v="13.6934"/>
    <n v="-89.190100000000001"/>
    <n v="11"/>
    <n v="0"/>
    <n v="0"/>
    <n v="107"/>
    <s v="_x0000_peopl"/>
  </r>
  <r>
    <x v="7"/>
    <n v="13.6934"/>
    <n v="-89.190100000000001"/>
    <n v="4"/>
    <n v="0"/>
    <n v="0"/>
    <n v="107"/>
    <s v="_x0000_peopl"/>
  </r>
  <r>
    <x v="7"/>
    <n v="13.6934"/>
    <n v="-89.190100000000001"/>
    <n v="11"/>
    <n v="0"/>
    <n v="0"/>
    <n v="107"/>
    <s v="_x0000_peopl"/>
  </r>
  <r>
    <x v="7"/>
    <n v="13.6934"/>
    <n v="-89.190100000000001"/>
    <n v="3"/>
    <n v="0"/>
    <n v="0"/>
    <n v="107"/>
    <s v="_x0000_peopl"/>
  </r>
  <r>
    <x v="7"/>
    <n v="13.6934"/>
    <n v="-89.189899999999994"/>
    <n v="8"/>
    <n v="0"/>
    <n v="0"/>
    <n v="107"/>
    <s v="_x0000_peopl"/>
  </r>
  <r>
    <x v="7"/>
    <n v="13.6934"/>
    <n v="-89.189899999999994"/>
    <n v="5"/>
    <n v="0"/>
    <n v="0"/>
    <n v="107"/>
    <s v="_x0000_peopl"/>
  </r>
  <r>
    <x v="7"/>
    <n v="13.6934"/>
    <n v="-89.189899999999994"/>
    <n v="2"/>
    <n v="0"/>
    <n v="0"/>
    <n v="107"/>
    <s v="_x0000_peopl"/>
  </r>
  <r>
    <x v="7"/>
    <n v="13.6934"/>
    <n v="-89.189899999999994"/>
    <n v="5"/>
    <n v="0"/>
    <n v="0"/>
    <n v="107"/>
    <s v="_x0000_peopl"/>
  </r>
  <r>
    <x v="7"/>
    <n v="13.6934"/>
    <n v="-89.189899999999994"/>
    <n v="4"/>
    <n v="0"/>
    <n v="0"/>
    <n v="107"/>
    <s v="_x0000_peopl"/>
  </r>
  <r>
    <x v="7"/>
    <n v="13.6934"/>
    <n v="-89.189899999999994"/>
    <n v="4"/>
    <n v="0"/>
    <n v="0"/>
    <n v="107"/>
    <s v="_x0000_peopl"/>
  </r>
  <r>
    <x v="7"/>
    <n v="13.6934"/>
    <n v="-89.189899999999994"/>
    <n v="8"/>
    <n v="0"/>
    <n v="0"/>
    <n v="107"/>
    <s v="_x0000_peopl"/>
  </r>
  <r>
    <x v="7"/>
    <n v="13.6934"/>
    <n v="-89.189800000000005"/>
    <n v="6"/>
    <n v="0"/>
    <n v="0"/>
    <n v="107"/>
    <s v="_x0000_peopl"/>
  </r>
  <r>
    <x v="7"/>
    <n v="13.6934"/>
    <n v="-89.189800000000005"/>
    <n v="5"/>
    <n v="0"/>
    <n v="0"/>
    <n v="107"/>
    <s v="_x0000_peopl"/>
  </r>
  <r>
    <x v="7"/>
    <n v="13.6934"/>
    <n v="-89.189800000000005"/>
    <n v="4"/>
    <n v="0"/>
    <n v="0"/>
    <n v="107"/>
    <s v="_x0000_peopl"/>
  </r>
  <r>
    <x v="7"/>
    <n v="13.6934"/>
    <n v="-89.189800000000005"/>
    <n v="1"/>
    <n v="0"/>
    <n v="0"/>
    <n v="107"/>
    <s v="_x0000_peopl"/>
  </r>
  <r>
    <x v="7"/>
    <n v="13.6934"/>
    <n v="-89.189800000000005"/>
    <n v="3"/>
    <n v="0"/>
    <n v="0"/>
    <n v="107"/>
    <s v="_x0000_peopl"/>
  </r>
  <r>
    <x v="7"/>
    <n v="13.6934"/>
    <n v="-89.189800000000005"/>
    <n v="5"/>
    <n v="0"/>
    <n v="0"/>
    <n v="107"/>
    <s v="_x0000_peopl"/>
  </r>
  <r>
    <x v="7"/>
    <n v="13.692500000000001"/>
    <n v="-89.188900000000004"/>
    <n v="6"/>
    <n v="0"/>
    <n v="0"/>
    <n v="107"/>
    <s v="_x0000_peopl"/>
  </r>
  <r>
    <x v="7"/>
    <n v="13.692500000000001"/>
    <n v="-89.188800000000001"/>
    <n v="4"/>
    <n v="0"/>
    <n v="0"/>
    <n v="107"/>
    <s v="_x0000_peopl"/>
  </r>
  <r>
    <x v="7"/>
    <n v="13.692500000000001"/>
    <n v="-89.188800000000001"/>
    <n v="3"/>
    <n v="0"/>
    <n v="0"/>
    <n v="107"/>
    <s v="_x0000_peopl"/>
  </r>
  <r>
    <x v="7"/>
    <n v="13.692600000000001"/>
    <n v="-89.188800000000001"/>
    <n v="7"/>
    <n v="0"/>
    <n v="0"/>
    <n v="107"/>
    <s v="_x0000_peopl"/>
  </r>
  <r>
    <x v="7"/>
    <n v="13.692600000000001"/>
    <n v="-89.188699999999997"/>
    <n v="6"/>
    <n v="0"/>
    <n v="0"/>
    <n v="107"/>
    <s v="_x0000_peopl"/>
  </r>
  <r>
    <x v="7"/>
    <n v="13.692600000000001"/>
    <n v="-89.188699999999997"/>
    <n v="4"/>
    <n v="0"/>
    <n v="0"/>
    <n v="107"/>
    <s v="_x0000_peopl"/>
  </r>
  <r>
    <x v="7"/>
    <n v="13.692600000000001"/>
    <n v="-89.188699999999997"/>
    <n v="7"/>
    <n v="0"/>
    <n v="0"/>
    <n v="107"/>
    <s v="_x0000_peopl"/>
  </r>
  <r>
    <x v="7"/>
    <n v="13.692600000000001"/>
    <n v="-89.188699999999997"/>
    <n v="6"/>
    <n v="0"/>
    <n v="0"/>
    <n v="107"/>
    <s v="_x0000_peopl"/>
  </r>
  <r>
    <x v="7"/>
    <n v="13.692600000000001"/>
    <n v="-89.188599999999994"/>
    <n v="3"/>
    <n v="0"/>
    <n v="0"/>
    <n v="107"/>
    <s v="_x0000_peopl"/>
  </r>
  <r>
    <x v="7"/>
    <n v="13.6927"/>
    <n v="-89.188800000000001"/>
    <n v="7"/>
    <n v="0"/>
    <n v="0"/>
    <n v="107"/>
    <s v="_x0000_peopl"/>
  </r>
  <r>
    <x v="7"/>
    <n v="13.6927"/>
    <n v="-89.188800000000001"/>
    <n v="4"/>
    <n v="0"/>
    <n v="0"/>
    <n v="107"/>
    <s v="_x0000_peopl"/>
  </r>
  <r>
    <x v="7"/>
    <n v="13.692600000000001"/>
    <n v="-89.188800000000001"/>
    <n v="5"/>
    <n v="0"/>
    <n v="0"/>
    <n v="107"/>
    <s v="_x0000_peopl"/>
  </r>
  <r>
    <x v="7"/>
    <n v="13.692600000000001"/>
    <n v="-89.188800000000001"/>
    <n v="5"/>
    <n v="0"/>
    <n v="0"/>
    <n v="107"/>
    <s v="_x0000_peopl"/>
  </r>
  <r>
    <x v="7"/>
    <n v="13.6928"/>
    <n v="-89.188800000000001"/>
    <n v="7"/>
    <n v="0"/>
    <n v="0"/>
    <n v="107"/>
    <s v="_x0000_peopl"/>
  </r>
  <r>
    <x v="7"/>
    <n v="13.6928"/>
    <n v="-89.188800000000001"/>
    <n v="4"/>
    <n v="0"/>
    <n v="0"/>
    <n v="107"/>
    <s v="_x0000_peopl"/>
  </r>
  <r>
    <x v="7"/>
    <n v="13.6929"/>
    <n v="-89.1892"/>
    <n v="9"/>
    <n v="0"/>
    <n v="0"/>
    <n v="107"/>
    <s v="_x0000_peopl"/>
  </r>
  <r>
    <x v="7"/>
    <n v="13.6929"/>
    <n v="-89.1892"/>
    <n v="7"/>
    <n v="0"/>
    <n v="0"/>
    <n v="107"/>
    <s v="_x0000_peopl"/>
  </r>
  <r>
    <x v="7"/>
    <n v="13.6928"/>
    <n v="-89.1892"/>
    <n v="6"/>
    <n v="0"/>
    <n v="0"/>
    <n v="107"/>
    <s v="_x0000_peopl"/>
  </r>
  <r>
    <x v="7"/>
    <n v="13.6928"/>
    <n v="-89.1892"/>
    <n v="7"/>
    <n v="0"/>
    <n v="0"/>
    <n v="107"/>
    <s v="_x0000_peopl"/>
  </r>
  <r>
    <x v="7"/>
    <n v="13.6928"/>
    <n v="-89.1892"/>
    <n v="11"/>
    <n v="0"/>
    <n v="0"/>
    <n v="107"/>
    <s v="_x0000_peopl"/>
  </r>
  <r>
    <x v="7"/>
    <n v="13.6928"/>
    <n v="-89.1892"/>
    <n v="9"/>
    <n v="0"/>
    <n v="0"/>
    <n v="107"/>
    <s v="_x0000_peopl"/>
  </r>
  <r>
    <x v="7"/>
    <n v="13.6928"/>
    <n v="-89.1892"/>
    <n v="3"/>
    <n v="0"/>
    <n v="0"/>
    <n v="107"/>
    <s v="_x0000_peopl"/>
  </r>
  <r>
    <x v="7"/>
    <n v="13.6928"/>
    <n v="-89.1892"/>
    <n v="7"/>
    <n v="0"/>
    <n v="0"/>
    <n v="107"/>
    <s v="_x0000_peopl"/>
  </r>
  <r>
    <x v="7"/>
    <n v="13.6928"/>
    <n v="-89.1892"/>
    <n v="7"/>
    <n v="0"/>
    <n v="0"/>
    <n v="107"/>
    <s v="_x0000_peopl"/>
  </r>
  <r>
    <x v="7"/>
    <n v="13.6928"/>
    <n v="-89.189099999999996"/>
    <n v="6"/>
    <n v="0"/>
    <n v="0"/>
    <n v="107"/>
    <s v="_x0000_peopl"/>
  </r>
  <r>
    <x v="7"/>
    <n v="13.6928"/>
    <n v="-89.189099999999996"/>
    <n v="4"/>
    <n v="0"/>
    <n v="0"/>
    <n v="107"/>
    <s v="_x0000_peopl"/>
  </r>
  <r>
    <x v="7"/>
    <n v="13.6928"/>
    <n v="-89.189099999999996"/>
    <n v="3"/>
    <n v="0"/>
    <n v="0"/>
    <n v="107"/>
    <s v="_x0000_peopl"/>
  </r>
  <r>
    <x v="7"/>
    <n v="13.6928"/>
    <n v="-89.188999999999993"/>
    <n v="7"/>
    <n v="0"/>
    <n v="0"/>
    <n v="107"/>
    <s v="_x0000_peopl"/>
  </r>
  <r>
    <x v="7"/>
    <n v="13.6928"/>
    <n v="-89.188999999999993"/>
    <n v="4"/>
    <n v="0"/>
    <n v="0"/>
    <n v="107"/>
    <s v="_x0000_peopl"/>
  </r>
  <r>
    <x v="7"/>
    <n v="13.6928"/>
    <n v="-89.188999999999993"/>
    <n v="3"/>
    <n v="0"/>
    <n v="0"/>
    <n v="107"/>
    <s v="_x0000_peopl"/>
  </r>
  <r>
    <x v="7"/>
    <n v="13.6928"/>
    <n v="-89.188999999999993"/>
    <n v="2"/>
    <n v="0"/>
    <n v="0"/>
    <n v="107"/>
    <s v="_x0000_peopl"/>
  </r>
  <r>
    <x v="7"/>
    <n v="13.6928"/>
    <n v="-89.188999999999993"/>
    <n v="7"/>
    <n v="0"/>
    <n v="0"/>
    <n v="107"/>
    <s v="_x0000_peopl"/>
  </r>
  <r>
    <x v="7"/>
    <n v="13.6928"/>
    <n v="-89.188999999999993"/>
    <n v="5"/>
    <n v="0"/>
    <n v="0"/>
    <n v="107"/>
    <s v="_x0000_peopl"/>
  </r>
  <r>
    <x v="7"/>
    <n v="13.6929"/>
    <n v="-89.188999999999993"/>
    <n v="8"/>
    <n v="0"/>
    <n v="0"/>
    <n v="107"/>
    <s v="_x0000_peopl"/>
  </r>
  <r>
    <x v="7"/>
    <n v="13.6928"/>
    <n v="-89.189300000000003"/>
    <n v="7"/>
    <n v="0"/>
    <n v="0"/>
    <n v="107"/>
    <s v="_x0000_peopl"/>
  </r>
  <r>
    <x v="7"/>
    <n v="13.6929"/>
    <n v="-89.1892"/>
    <n v="3"/>
    <n v="0"/>
    <n v="0"/>
    <n v="107"/>
    <s v="_x0000_peopl"/>
  </r>
  <r>
    <x v="7"/>
    <n v="13.6929"/>
    <n v="-89.1892"/>
    <n v="6"/>
    <n v="0"/>
    <n v="0"/>
    <n v="107"/>
    <s v="_x0000_peopl"/>
  </r>
  <r>
    <x v="7"/>
    <n v="13.6929"/>
    <n v="-89.1892"/>
    <n v="7"/>
    <n v="0"/>
    <n v="0"/>
    <n v="107"/>
    <s v="_x0000_peopl"/>
  </r>
  <r>
    <x v="7"/>
    <n v="13.693"/>
    <n v="-89.1892"/>
    <n v="1"/>
    <n v="0"/>
    <n v="0"/>
    <n v="107"/>
    <s v="_x0000_peopl"/>
  </r>
  <r>
    <x v="7"/>
    <n v="13.693"/>
    <n v="-89.189300000000003"/>
    <n v="3"/>
    <n v="0"/>
    <n v="0"/>
    <n v="107"/>
    <s v="_x0000_peopl"/>
  </r>
  <r>
    <x v="7"/>
    <n v="13.6929"/>
    <n v="-89.188999999999993"/>
    <n v="7"/>
    <n v="0"/>
    <n v="0"/>
    <n v="107"/>
    <s v="_x0000_peopl"/>
  </r>
  <r>
    <x v="7"/>
    <n v="13.6929"/>
    <n v="-89.188999999999993"/>
    <n v="7"/>
    <n v="0"/>
    <n v="0"/>
    <n v="107"/>
    <s v="_x0000_peopl"/>
  </r>
  <r>
    <x v="7"/>
    <n v="13.6929"/>
    <n v="-89.188999999999993"/>
    <n v="6"/>
    <n v="0"/>
    <n v="0"/>
    <n v="107"/>
    <s v="_x0000_peopl"/>
  </r>
  <r>
    <x v="7"/>
    <n v="13.6929"/>
    <n v="-89.188999999999993"/>
    <n v="6"/>
    <n v="0"/>
    <n v="0"/>
    <n v="107"/>
    <s v="_x0000_peopl"/>
  </r>
  <r>
    <x v="7"/>
    <n v="13.6929"/>
    <n v="-89.188900000000004"/>
    <n v="2"/>
    <n v="0"/>
    <n v="0"/>
    <n v="107"/>
    <s v="_x0000_peopl"/>
  </r>
  <r>
    <x v="7"/>
    <n v="13.6929"/>
    <n v="-89.188900000000004"/>
    <n v="5"/>
    <n v="0"/>
    <n v="0"/>
    <n v="107"/>
    <s v="_x0000_peopl"/>
  </r>
  <r>
    <x v="7"/>
    <n v="13.6929"/>
    <n v="-89.188800000000001"/>
    <n v="3"/>
    <n v="0"/>
    <n v="0"/>
    <n v="107"/>
    <s v="_x0000_peopl"/>
  </r>
  <r>
    <x v="7"/>
    <n v="13.6929"/>
    <n v="-89.188800000000001"/>
    <n v="4"/>
    <n v="0"/>
    <n v="0"/>
    <n v="107"/>
    <s v="_x0000_peopl"/>
  </r>
  <r>
    <x v="7"/>
    <n v="13.6929"/>
    <n v="-89.188900000000004"/>
    <n v="9"/>
    <n v="0"/>
    <n v="0"/>
    <n v="107"/>
    <s v="_x0000_peopl"/>
  </r>
  <r>
    <x v="7"/>
    <n v="13.6929"/>
    <n v="-89.188900000000004"/>
    <n v="8"/>
    <n v="0"/>
    <n v="0"/>
    <n v="107"/>
    <s v="_x0000_peopl"/>
  </r>
  <r>
    <x v="7"/>
    <n v="13.693"/>
    <n v="-89.188800000000001"/>
    <n v="6"/>
    <n v="0"/>
    <n v="0"/>
    <n v="107"/>
    <s v="_x0000_peopl"/>
  </r>
  <r>
    <x v="7"/>
    <n v="13.693"/>
    <n v="-89.188800000000001"/>
    <n v="5"/>
    <n v="0"/>
    <n v="0"/>
    <n v="107"/>
    <s v="_x0000_peopl"/>
  </r>
  <r>
    <x v="7"/>
    <n v="13.693"/>
    <n v="-89.188900000000004"/>
    <n v="2"/>
    <n v="0"/>
    <n v="0"/>
    <n v="107"/>
    <s v="_x0000_peopl"/>
  </r>
  <r>
    <x v="7"/>
    <n v="13.693"/>
    <n v="-89.188900000000004"/>
    <n v="4"/>
    <n v="0"/>
    <n v="0"/>
    <n v="107"/>
    <s v="_x0000_peopl"/>
  </r>
  <r>
    <x v="7"/>
    <n v="13.693"/>
    <n v="-89.188800000000001"/>
    <n v="4"/>
    <n v="0"/>
    <n v="0"/>
    <n v="107"/>
    <s v="_x0000_peopl"/>
  </r>
  <r>
    <x v="7"/>
    <n v="13.693"/>
    <n v="-89.188800000000001"/>
    <n v="6"/>
    <n v="0"/>
    <n v="0"/>
    <n v="107"/>
    <s v="_x0000_peopl"/>
  </r>
  <r>
    <x v="7"/>
    <n v="13.693"/>
    <n v="-89.1892"/>
    <n v="5"/>
    <n v="0"/>
    <n v="0"/>
    <n v="107"/>
    <s v="_x0000_peopl"/>
  </r>
  <r>
    <x v="7"/>
    <n v="13.693"/>
    <n v="-89.1892"/>
    <n v="2"/>
    <n v="0"/>
    <n v="0"/>
    <n v="107"/>
    <s v="_x0000_peopl"/>
  </r>
  <r>
    <x v="7"/>
    <n v="13.693"/>
    <n v="-89.189300000000003"/>
    <n v="1"/>
    <n v="0"/>
    <n v="0"/>
    <n v="107"/>
    <s v="_x0000_peopl"/>
  </r>
  <r>
    <x v="7"/>
    <n v="13.6928"/>
    <n v="-89.188800000000001"/>
    <n v="9"/>
    <n v="0"/>
    <n v="0"/>
    <n v="107"/>
    <s v="_x0000_peopl"/>
  </r>
  <r>
    <x v="7"/>
    <n v="13.6928"/>
    <n v="-89.189300000000003"/>
    <n v="1"/>
    <n v="0"/>
    <n v="0"/>
    <n v="107"/>
    <s v="_x0000_peopl"/>
  </r>
  <r>
    <x v="7"/>
    <n v="13.6927"/>
    <n v="-89.189300000000003"/>
    <n v="2"/>
    <n v="0"/>
    <n v="0"/>
    <n v="107"/>
    <s v="_x0000_peopl"/>
  </r>
  <r>
    <x v="7"/>
    <n v="13.691000000000001"/>
    <n v="-89.191199999999995"/>
    <n v="2"/>
    <n v="0"/>
    <n v="0"/>
    <n v="107"/>
    <s v="_x0000_peopl"/>
  </r>
  <r>
    <x v="7"/>
    <n v="13.690899999999999"/>
    <n v="-89.191299999999998"/>
    <n v="5"/>
    <n v="0"/>
    <n v="0"/>
    <n v="107"/>
    <s v="_x0000_peopl"/>
  </r>
  <r>
    <x v="7"/>
    <n v="13.690899999999999"/>
    <n v="-89.191299999999998"/>
    <n v="7"/>
    <n v="0"/>
    <n v="0"/>
    <n v="107"/>
    <s v="_x0000_peopl"/>
  </r>
  <r>
    <x v="7"/>
    <n v="13.690899999999999"/>
    <n v="-89.191299999999998"/>
    <n v="11"/>
    <n v="0"/>
    <n v="0"/>
    <n v="107"/>
    <s v="_x0000_peopl"/>
  </r>
  <r>
    <x v="7"/>
    <n v="13.690899999999999"/>
    <n v="-89.191299999999998"/>
    <n v="3"/>
    <n v="0"/>
    <n v="0"/>
    <n v="107"/>
    <s v="_x0000_peopl"/>
  </r>
  <r>
    <x v="7"/>
    <n v="13.690899999999999"/>
    <n v="-89.191299999999998"/>
    <n v="4"/>
    <n v="0"/>
    <n v="0"/>
    <n v="107"/>
    <s v="_x0000_peopl"/>
  </r>
  <r>
    <x v="7"/>
    <n v="13.690899999999999"/>
    <n v="-89.191299999999998"/>
    <n v="3"/>
    <n v="0"/>
    <n v="0"/>
    <n v="107"/>
    <s v="_x0000_peopl"/>
  </r>
  <r>
    <x v="7"/>
    <n v="13.690899999999999"/>
    <n v="-89.191199999999995"/>
    <n v="1"/>
    <n v="0"/>
    <n v="0"/>
    <n v="107"/>
    <s v="_x0000_peopl"/>
  </r>
  <r>
    <x v="7"/>
    <n v="13.690899999999999"/>
    <n v="-89.191199999999995"/>
    <n v="6"/>
    <n v="0"/>
    <n v="0"/>
    <n v="107"/>
    <s v="_x0000_peopl"/>
  </r>
  <r>
    <x v="7"/>
    <n v="13.690899999999999"/>
    <n v="-89.191199999999995"/>
    <n v="5"/>
    <n v="0"/>
    <n v="0"/>
    <n v="107"/>
    <s v="_x0000_peopl"/>
  </r>
  <r>
    <x v="7"/>
    <n v="13.690899999999999"/>
    <n v="-89.191199999999995"/>
    <n v="6"/>
    <n v="0"/>
    <n v="0"/>
    <n v="107"/>
    <s v="_x0000_peopl"/>
  </r>
  <r>
    <x v="7"/>
    <n v="13.690899999999999"/>
    <n v="-89.191199999999995"/>
    <n v="3"/>
    <n v="0"/>
    <n v="0"/>
    <n v="107"/>
    <s v="_x0000_peopl"/>
  </r>
  <r>
    <x v="7"/>
    <n v="13.690899999999999"/>
    <n v="-89.191199999999995"/>
    <n v="4"/>
    <n v="0"/>
    <n v="0"/>
    <n v="107"/>
    <s v="_x0000_peopl"/>
  </r>
  <r>
    <x v="7"/>
    <n v="13.690899999999999"/>
    <n v="-89.191199999999995"/>
    <n v="5"/>
    <n v="0"/>
    <n v="0"/>
    <n v="107"/>
    <s v="_x0000_peopl"/>
  </r>
  <r>
    <x v="7"/>
    <n v="13.690899999999999"/>
    <n v="-89.191199999999995"/>
    <n v="6"/>
    <n v="0"/>
    <n v="0"/>
    <n v="107"/>
    <s v="_x0000_peopl"/>
  </r>
  <r>
    <x v="7"/>
    <n v="13.690899999999999"/>
    <n v="-89.191199999999995"/>
    <n v="5"/>
    <n v="0"/>
    <n v="0"/>
    <n v="107"/>
    <s v="_x0000_peopl"/>
  </r>
  <r>
    <x v="7"/>
    <n v="13.690899999999999"/>
    <n v="-89.191299999999998"/>
    <n v="2"/>
    <n v="0"/>
    <n v="0"/>
    <n v="107"/>
    <s v="_x0000_peopl"/>
  </r>
  <r>
    <x v="7"/>
    <n v="13.690899999999999"/>
    <n v="-89.191299999999998"/>
    <n v="3"/>
    <n v="0"/>
    <n v="0"/>
    <n v="107"/>
    <s v="_x0000_peopl"/>
  </r>
  <r>
    <x v="7"/>
    <n v="13.691000000000001"/>
    <n v="-89.191100000000006"/>
    <n v="5"/>
    <n v="0"/>
    <n v="0"/>
    <n v="107"/>
    <s v="_x0000_peopl"/>
  </r>
  <r>
    <x v="7"/>
    <n v="13.690899999999999"/>
    <n v="-89.191000000000003"/>
    <n v="4"/>
    <n v="0"/>
    <n v="0"/>
    <n v="107"/>
    <s v="_x0000_peopl"/>
  </r>
  <r>
    <x v="7"/>
    <n v="13.690899999999999"/>
    <n v="-89.191000000000003"/>
    <n v="2"/>
    <n v="0"/>
    <n v="0"/>
    <n v="107"/>
    <s v="_x0000_peopl"/>
  </r>
  <r>
    <x v="7"/>
    <n v="13.690899999999999"/>
    <n v="-89.191000000000003"/>
    <n v="6"/>
    <n v="0"/>
    <n v="0"/>
    <n v="107"/>
    <s v="_x0000_peopl"/>
  </r>
  <r>
    <x v="7"/>
    <n v="13.690899999999999"/>
    <n v="-89.191000000000003"/>
    <n v="6"/>
    <n v="0"/>
    <n v="0"/>
    <n v="107"/>
    <s v="_x0000_peopl"/>
  </r>
  <r>
    <x v="7"/>
    <n v="13.690899999999999"/>
    <n v="-89.191000000000003"/>
    <n v="4"/>
    <n v="0"/>
    <n v="0"/>
    <n v="107"/>
    <s v="_x0000_peopl"/>
  </r>
  <r>
    <x v="7"/>
    <n v="13.690899999999999"/>
    <n v="-89.191000000000003"/>
    <n v="3"/>
    <n v="0"/>
    <n v="0"/>
    <n v="107"/>
    <s v="_x0000_peopl"/>
  </r>
  <r>
    <x v="7"/>
    <n v="13.691000000000001"/>
    <n v="-89.191100000000006"/>
    <n v="8"/>
    <n v="0"/>
    <n v="0"/>
    <n v="107"/>
    <s v="_x0000_peopl"/>
  </r>
  <r>
    <x v="7"/>
    <n v="13.691000000000001"/>
    <n v="-89.191100000000006"/>
    <n v="6"/>
    <n v="0"/>
    <n v="0"/>
    <n v="107"/>
    <s v="_x0000_peopl"/>
  </r>
  <r>
    <x v="7"/>
    <n v="13.691000000000001"/>
    <n v="-89.191100000000006"/>
    <n v="8"/>
    <n v="0"/>
    <n v="0"/>
    <n v="107"/>
    <s v="_x0000_peopl"/>
  </r>
  <r>
    <x v="7"/>
    <n v="13.6911"/>
    <n v="-89.191100000000006"/>
    <n v="2"/>
    <n v="0"/>
    <n v="0"/>
    <n v="107"/>
    <s v="_x0000_peopl"/>
  </r>
  <r>
    <x v="7"/>
    <n v="13.6911"/>
    <n v="-89.191100000000006"/>
    <n v="4"/>
    <n v="0"/>
    <n v="0"/>
    <n v="107"/>
    <s v="_x0000_peopl"/>
  </r>
  <r>
    <x v="7"/>
    <n v="13.6911"/>
    <n v="-89.191100000000006"/>
    <n v="6"/>
    <n v="0"/>
    <n v="0"/>
    <n v="107"/>
    <s v="_x0000_peopl"/>
  </r>
  <r>
    <x v="7"/>
    <n v="13.691000000000001"/>
    <n v="-89.191000000000003"/>
    <n v="7"/>
    <n v="0"/>
    <n v="0"/>
    <n v="107"/>
    <s v="_x0000_peopl"/>
  </r>
  <r>
    <x v="7"/>
    <n v="13.691000000000001"/>
    <n v="-89.191000000000003"/>
    <n v="4"/>
    <n v="0"/>
    <n v="0"/>
    <n v="107"/>
    <s v="_x0000_peopl"/>
  </r>
  <r>
    <x v="7"/>
    <n v="13.691000000000001"/>
    <n v="-89.191000000000003"/>
    <n v="2"/>
    <n v="0"/>
    <n v="0"/>
    <n v="107"/>
    <s v="_x0000_peopl"/>
  </r>
  <r>
    <x v="7"/>
    <n v="13.6911"/>
    <n v="-89.191100000000006"/>
    <n v="8"/>
    <n v="0"/>
    <n v="0"/>
    <n v="107"/>
    <s v="_x0000_peopl"/>
  </r>
  <r>
    <x v="7"/>
    <n v="13.6911"/>
    <n v="-89.191100000000006"/>
    <n v="2"/>
    <n v="0"/>
    <n v="0"/>
    <n v="107"/>
    <s v="_x0000_peopl"/>
  </r>
  <r>
    <x v="7"/>
    <n v="13.6911"/>
    <n v="-89.191100000000006"/>
    <n v="7"/>
    <n v="0"/>
    <n v="0"/>
    <n v="107"/>
    <s v="_x0000_peopl"/>
  </r>
  <r>
    <x v="7"/>
    <n v="13.6911"/>
    <n v="-89.191000000000003"/>
    <n v="3"/>
    <n v="0"/>
    <n v="0"/>
    <n v="107"/>
    <s v="_x0000_peopl"/>
  </r>
  <r>
    <x v="7"/>
    <n v="13.6911"/>
    <n v="-89.191000000000003"/>
    <n v="5"/>
    <n v="0"/>
    <n v="0"/>
    <n v="107"/>
    <s v="_x0000_peopl"/>
  </r>
  <r>
    <x v="7"/>
    <n v="13.6911"/>
    <n v="-89.191000000000003"/>
    <n v="5"/>
    <n v="0"/>
    <n v="0"/>
    <n v="107"/>
    <s v="_x0000_peopl"/>
  </r>
  <r>
    <x v="7"/>
    <n v="13.6911"/>
    <n v="-89.190899999999999"/>
    <n v="1"/>
    <n v="0"/>
    <n v="0"/>
    <n v="107"/>
    <s v="_x0000_peopl"/>
  </r>
  <r>
    <x v="7"/>
    <n v="13.6911"/>
    <n v="-89.190899999999999"/>
    <n v="5"/>
    <n v="0"/>
    <n v="0"/>
    <n v="107"/>
    <s v="_x0000_peopl"/>
  </r>
  <r>
    <x v="7"/>
    <n v="13.6911"/>
    <n v="-89.190899999999999"/>
    <n v="4"/>
    <n v="0"/>
    <n v="0"/>
    <n v="107"/>
    <s v="_x0000_peopl"/>
  </r>
  <r>
    <x v="7"/>
    <n v="13.691000000000001"/>
    <n v="-89.190899999999999"/>
    <n v="7"/>
    <n v="0"/>
    <n v="0"/>
    <n v="107"/>
    <s v="_x0000_peopl"/>
  </r>
  <r>
    <x v="7"/>
    <n v="13.691000000000001"/>
    <n v="-89.190899999999999"/>
    <n v="6"/>
    <n v="0"/>
    <n v="0"/>
    <n v="107"/>
    <s v="_x0000_peopl"/>
  </r>
  <r>
    <x v="7"/>
    <n v="13.691000000000001"/>
    <n v="-89.190899999999999"/>
    <n v="5"/>
    <n v="0"/>
    <n v="0"/>
    <n v="107"/>
    <s v="_x0000_peopl"/>
  </r>
  <r>
    <x v="7"/>
    <n v="13.691000000000001"/>
    <n v="-89.190899999999999"/>
    <n v="3"/>
    <n v="0"/>
    <n v="0"/>
    <n v="107"/>
    <s v="_x0000_peopl"/>
  </r>
  <r>
    <x v="7"/>
    <n v="13.691000000000001"/>
    <n v="-89.190899999999999"/>
    <n v="3"/>
    <n v="0"/>
    <n v="0"/>
    <n v="107"/>
    <s v="_x0000_peopl"/>
  </r>
  <r>
    <x v="7"/>
    <n v="13.691000000000001"/>
    <n v="-89.190899999999999"/>
    <n v="4"/>
    <n v="0"/>
    <n v="0"/>
    <n v="107"/>
    <s v="_x0000_peopl"/>
  </r>
  <r>
    <x v="7"/>
    <n v="13.6911"/>
    <n v="-89.191100000000006"/>
    <n v="6"/>
    <n v="0"/>
    <n v="0"/>
    <n v="107"/>
    <s v="_x0000_peopl"/>
  </r>
  <r>
    <x v="7"/>
    <n v="13.691000000000001"/>
    <n v="-89.191199999999995"/>
    <n v="2"/>
    <n v="0"/>
    <n v="0"/>
    <n v="107"/>
    <s v="_x0000_peopl"/>
  </r>
  <r>
    <x v="7"/>
    <n v="13.6911"/>
    <n v="-89.191199999999995"/>
    <n v="3"/>
    <n v="0"/>
    <n v="0"/>
    <n v="107"/>
    <s v="_x0000_peopl"/>
  </r>
  <r>
    <x v="7"/>
    <n v="13.6911"/>
    <n v="-89.191299999999998"/>
    <n v="6"/>
    <n v="0"/>
    <n v="0"/>
    <n v="107"/>
    <s v="_x0000_peopl"/>
  </r>
  <r>
    <x v="7"/>
    <n v="13.690899999999999"/>
    <n v="-89.191000000000003"/>
    <n v="2"/>
    <n v="0"/>
    <n v="0"/>
    <n v="107"/>
    <s v="_x0000_peopl"/>
  </r>
  <r>
    <x v="7"/>
    <n v="13.690899999999999"/>
    <n v="-89.191000000000003"/>
    <n v="5"/>
    <n v="0"/>
    <n v="0"/>
    <n v="107"/>
    <s v="_x0000_peopl"/>
  </r>
  <r>
    <x v="7"/>
    <n v="13.690899999999999"/>
    <n v="-89.191000000000003"/>
    <n v="2"/>
    <n v="0"/>
    <n v="0"/>
    <n v="107"/>
    <s v="_x0000_peopl"/>
  </r>
  <r>
    <x v="7"/>
    <n v="13.690899999999999"/>
    <n v="-89.190100000000001"/>
    <n v="5"/>
    <n v="0"/>
    <n v="0"/>
    <n v="107"/>
    <s v="_x0000_peopl"/>
  </r>
  <r>
    <x v="7"/>
    <n v="13.690899999999999"/>
    <n v="-89.190100000000001"/>
    <n v="2"/>
    <n v="0"/>
    <n v="0"/>
    <n v="107"/>
    <s v="_x0000_peopl"/>
  </r>
  <r>
    <x v="7"/>
    <n v="13.690899999999999"/>
    <n v="-89.190100000000001"/>
    <n v="11"/>
    <n v="0"/>
    <n v="0"/>
    <n v="107"/>
    <s v="_x0000_peopl"/>
  </r>
  <r>
    <x v="7"/>
    <n v="13.690899999999999"/>
    <n v="-89.190100000000001"/>
    <n v="5"/>
    <n v="0"/>
    <n v="0"/>
    <n v="107"/>
    <s v="_x0000_peopl"/>
  </r>
  <r>
    <x v="7"/>
    <n v="13.690899999999999"/>
    <n v="-89.190200000000004"/>
    <n v="5"/>
    <n v="0"/>
    <n v="0"/>
    <n v="107"/>
    <s v="_x0000_peopl"/>
  </r>
  <r>
    <x v="7"/>
    <n v="13.690899999999999"/>
    <n v="-89.190100000000001"/>
    <n v="7"/>
    <n v="0"/>
    <n v="0"/>
    <n v="107"/>
    <s v="_x0000_peopl"/>
  </r>
  <r>
    <x v="7"/>
    <n v="13.690899999999999"/>
    <n v="-89.190100000000001"/>
    <n v="5"/>
    <n v="0"/>
    <n v="0"/>
    <n v="107"/>
    <s v="_x0000_peopl"/>
  </r>
  <r>
    <x v="7"/>
    <n v="13.690799999999999"/>
    <n v="-89.190100000000001"/>
    <n v="1"/>
    <n v="0"/>
    <n v="0"/>
    <n v="107"/>
    <s v="_x0000_peopl"/>
  </r>
  <r>
    <x v="7"/>
    <n v="13.690799999999999"/>
    <n v="-89.190100000000001"/>
    <n v="8"/>
    <n v="0"/>
    <n v="0"/>
    <n v="107"/>
    <s v="_x0000_peopl"/>
  </r>
  <r>
    <x v="7"/>
    <n v="13.690799999999999"/>
    <n v="-89.190200000000004"/>
    <n v="6"/>
    <n v="0"/>
    <n v="0"/>
    <n v="107"/>
    <s v="_x0000_peopl"/>
  </r>
  <r>
    <x v="7"/>
    <n v="13.690799999999999"/>
    <n v="-89.190299999999993"/>
    <n v="2"/>
    <n v="0"/>
    <n v="0"/>
    <n v="107"/>
    <s v="_x0000_peopl"/>
  </r>
  <r>
    <x v="7"/>
    <n v="13.690799999999999"/>
    <n v="-89.190100000000001"/>
    <n v="1"/>
    <n v="0"/>
    <n v="0"/>
    <n v="107"/>
    <s v="_x0000_peopl"/>
  </r>
  <r>
    <x v="7"/>
    <n v="13.690799999999999"/>
    <n v="-89.190100000000001"/>
    <n v="7"/>
    <n v="0"/>
    <n v="0"/>
    <n v="107"/>
    <s v="_x0000_peopl"/>
  </r>
  <r>
    <x v="7"/>
    <n v="13.690799999999999"/>
    <n v="-89.190100000000001"/>
    <n v="1"/>
    <n v="0"/>
    <n v="0"/>
    <n v="107"/>
    <s v="_x0000_peopl"/>
  </r>
  <r>
    <x v="7"/>
    <n v="13.690799999999999"/>
    <n v="-89.190100000000001"/>
    <n v="3"/>
    <n v="0"/>
    <n v="0"/>
    <n v="107"/>
    <s v="_x0000_peopl"/>
  </r>
  <r>
    <x v="7"/>
    <n v="13.690799999999999"/>
    <n v="-89.190299999999993"/>
    <n v="1"/>
    <n v="0"/>
    <n v="0"/>
    <n v="107"/>
    <s v="_x0000_peopl"/>
  </r>
  <r>
    <x v="7"/>
    <n v="13.6907"/>
    <n v="-89.190299999999993"/>
    <n v="8"/>
    <n v="0"/>
    <n v="0"/>
    <n v="107"/>
    <s v="_x0000_peopl"/>
  </r>
  <r>
    <x v="7"/>
    <n v="13.6907"/>
    <n v="-89.190200000000004"/>
    <n v="3"/>
    <n v="0"/>
    <n v="0"/>
    <n v="107"/>
    <s v="_x0000_peopl"/>
  </r>
  <r>
    <x v="7"/>
    <n v="13.6907"/>
    <n v="-89.190200000000004"/>
    <n v="5"/>
    <n v="0"/>
    <n v="0"/>
    <n v="107"/>
    <s v="_x0000_peopl"/>
  </r>
  <r>
    <x v="7"/>
    <n v="13.6907"/>
    <n v="-89.190100000000001"/>
    <n v="2"/>
    <n v="0"/>
    <n v="0"/>
    <n v="107"/>
    <s v="_x0000_peopl"/>
  </r>
  <r>
    <x v="7"/>
    <n v="13.6907"/>
    <n v="-89.190100000000001"/>
    <n v="5"/>
    <n v="0"/>
    <n v="0"/>
    <n v="107"/>
    <s v="_x0000_peopl"/>
  </r>
  <r>
    <x v="7"/>
    <n v="13.6907"/>
    <n v="-89.190100000000001"/>
    <n v="7"/>
    <n v="0"/>
    <n v="0"/>
    <n v="107"/>
    <s v="_x0000_peopl"/>
  </r>
  <r>
    <x v="7"/>
    <n v="13.6907"/>
    <n v="-89.190100000000001"/>
    <n v="11"/>
    <n v="0"/>
    <n v="0"/>
    <n v="107"/>
    <s v="_x0000_peopl"/>
  </r>
  <r>
    <x v="7"/>
    <n v="13.6907"/>
    <n v="-89.190299999999993"/>
    <n v="7"/>
    <n v="0"/>
    <n v="0"/>
    <n v="107"/>
    <s v="_x0000_peopl"/>
  </r>
  <r>
    <x v="7"/>
    <n v="13.690899999999999"/>
    <n v="-89.189899999999994"/>
    <n v="7"/>
    <n v="0"/>
    <n v="0"/>
    <n v="107"/>
    <s v="_x0000_peopl"/>
  </r>
  <r>
    <x v="7"/>
    <n v="13.691000000000001"/>
    <n v="-89.19"/>
    <n v="6"/>
    <n v="0"/>
    <n v="0"/>
    <n v="107"/>
    <s v="_x0000_peopl"/>
  </r>
  <r>
    <x v="7"/>
    <n v="13.692600000000001"/>
    <n v="-89.186099999999996"/>
    <n v="6"/>
    <n v="0"/>
    <n v="0"/>
    <n v="107"/>
    <s v="_x0000_peopl"/>
  </r>
  <r>
    <x v="7"/>
    <n v="13.692500000000001"/>
    <n v="-89.186099999999996"/>
    <n v="8"/>
    <n v="0"/>
    <n v="0"/>
    <n v="107"/>
    <s v="_x0000_peopl"/>
  </r>
  <r>
    <x v="7"/>
    <n v="13.692600000000001"/>
    <n v="-89.186099999999996"/>
    <n v="4"/>
    <n v="0"/>
    <n v="0"/>
    <n v="107"/>
    <s v="_x0000_peopl"/>
  </r>
  <r>
    <x v="7"/>
    <n v="13.692299999999999"/>
    <n v="-89.186099999999996"/>
    <n v="4"/>
    <n v="0"/>
    <n v="0"/>
    <n v="107"/>
    <s v="_x0000_peopl"/>
  </r>
  <r>
    <x v="7"/>
    <n v="13.6927"/>
    <n v="-89.186099999999996"/>
    <n v="3"/>
    <n v="0"/>
    <n v="0"/>
    <n v="107"/>
    <s v="_x0000_peopl"/>
  </r>
  <r>
    <x v="7"/>
    <n v="13.6922"/>
    <n v="-89.185199999999995"/>
    <n v="5"/>
    <n v="0"/>
    <n v="0"/>
    <n v="107"/>
    <s v="_x0000_peopl"/>
  </r>
  <r>
    <x v="7"/>
    <n v="13.692299999999999"/>
    <n v="-89.185199999999995"/>
    <n v="5"/>
    <n v="0"/>
    <n v="0"/>
    <n v="107"/>
    <s v="_x0000_peopl"/>
  </r>
  <r>
    <x v="7"/>
    <n v="13.692299999999999"/>
    <n v="-89.185100000000006"/>
    <n v="3"/>
    <n v="0"/>
    <n v="0"/>
    <n v="107"/>
    <s v="_x0000_peopl"/>
  </r>
  <r>
    <x v="7"/>
    <n v="13.692399999999999"/>
    <n v="-89.185400000000001"/>
    <n v="10"/>
    <n v="0"/>
    <n v="0"/>
    <n v="107"/>
    <s v="_x0000_peopl"/>
  </r>
  <r>
    <x v="7"/>
    <n v="13.692399999999999"/>
    <n v="-89.185100000000006"/>
    <n v="4"/>
    <n v="0"/>
    <n v="0"/>
    <n v="107"/>
    <s v="_x0000_peopl"/>
  </r>
  <r>
    <x v="7"/>
    <n v="13.692399999999999"/>
    <n v="-89.185100000000006"/>
    <n v="3"/>
    <n v="0"/>
    <n v="0"/>
    <n v="107"/>
    <s v="_x0000_peopl"/>
  </r>
  <r>
    <x v="7"/>
    <n v="13.692500000000001"/>
    <n v="-89.185100000000006"/>
    <n v="3"/>
    <n v="0"/>
    <n v="0"/>
    <n v="107"/>
    <s v="_x0000_peopl"/>
  </r>
  <r>
    <x v="7"/>
    <n v="13.692500000000001"/>
    <n v="-89.185400000000001"/>
    <n v="6"/>
    <n v="0"/>
    <n v="0"/>
    <n v="107"/>
    <s v="_x0000_peopl"/>
  </r>
  <r>
    <x v="7"/>
    <n v="13.693"/>
    <n v="-89.185900000000004"/>
    <n v="7"/>
    <n v="0"/>
    <n v="0"/>
    <n v="107"/>
    <s v="_x0000_peopl"/>
  </r>
  <r>
    <x v="7"/>
    <n v="13.692500000000001"/>
    <n v="-89.185900000000004"/>
    <n v="6"/>
    <n v="0"/>
    <n v="0"/>
    <n v="107"/>
    <s v="_x0000_peopl"/>
  </r>
  <r>
    <x v="7"/>
    <n v="13.692399999999999"/>
    <n v="-89.185900000000004"/>
    <n v="5"/>
    <n v="0"/>
    <n v="0"/>
    <n v="107"/>
    <s v="_x0000_peopl"/>
  </r>
  <r>
    <x v="7"/>
    <n v="13.692399999999999"/>
    <n v="-89.1858"/>
    <n v="8"/>
    <n v="0"/>
    <n v="0"/>
    <n v="107"/>
    <s v="_x0000_peopl"/>
  </r>
  <r>
    <x v="7"/>
    <n v="13.692399999999999"/>
    <n v="-89.185699999999997"/>
    <n v="2"/>
    <n v="0"/>
    <n v="0"/>
    <n v="107"/>
    <s v="_x0000_peopl"/>
  </r>
  <r>
    <x v="7"/>
    <n v="13.692299999999999"/>
    <n v="-89.1858"/>
    <n v="6"/>
    <n v="0"/>
    <n v="0"/>
    <n v="107"/>
    <s v="_x0000_peopl"/>
  </r>
  <r>
    <x v="7"/>
    <n v="13.692299999999999"/>
    <n v="-89.185599999999994"/>
    <n v="5"/>
    <n v="0"/>
    <n v="0"/>
    <n v="107"/>
    <s v="_x0000_peopl"/>
  </r>
  <r>
    <x v="7"/>
    <n v="13.692299999999999"/>
    <n v="-89.185599999999994"/>
    <n v="3"/>
    <n v="0"/>
    <n v="0"/>
    <n v="107"/>
    <s v="_x0000_peopl"/>
  </r>
  <r>
    <x v="7"/>
    <n v="13.692399999999999"/>
    <n v="-89.185599999999994"/>
    <n v="4"/>
    <n v="0"/>
    <n v="0"/>
    <n v="107"/>
    <s v="_x0000_peopl"/>
  </r>
  <r>
    <x v="7"/>
    <n v="13.6922"/>
    <n v="-89.185599999999994"/>
    <n v="2"/>
    <n v="0"/>
    <n v="0"/>
    <n v="107"/>
    <s v="_x0000_peopl"/>
  </r>
  <r>
    <x v="7"/>
    <n v="13.6922"/>
    <n v="-89.185500000000005"/>
    <n v="4"/>
    <n v="0"/>
    <n v="0"/>
    <n v="107"/>
    <s v="_x0000_peopl"/>
  </r>
  <r>
    <x v="7"/>
    <n v="13.692600000000001"/>
    <n v="-89.186000000000007"/>
    <n v="7"/>
    <n v="0"/>
    <n v="0"/>
    <n v="107"/>
    <s v="_x0000_peopl"/>
  </r>
  <r>
    <x v="7"/>
    <n v="13.692600000000001"/>
    <n v="-89.185900000000004"/>
    <n v="6"/>
    <n v="0"/>
    <n v="0"/>
    <n v="107"/>
    <s v="_x0000_peopl"/>
  </r>
  <r>
    <x v="7"/>
    <n v="13.692500000000001"/>
    <n v="-89.1858"/>
    <n v="5"/>
    <n v="0"/>
    <n v="0"/>
    <n v="107"/>
    <s v="_x0000_peopl"/>
  </r>
  <r>
    <x v="7"/>
    <n v="13.692500000000001"/>
    <n v="-89.185699999999997"/>
    <n v="4"/>
    <n v="0"/>
    <n v="0"/>
    <n v="107"/>
    <s v="_x0000_peopl"/>
  </r>
  <r>
    <x v="7"/>
    <n v="13.692500000000001"/>
    <n v="-89.185699999999997"/>
    <n v="7"/>
    <n v="0"/>
    <n v="0"/>
    <n v="107"/>
    <s v="_x0000_peopl"/>
  </r>
  <r>
    <x v="7"/>
    <n v="13.692500000000001"/>
    <n v="-89.185599999999994"/>
    <n v="6"/>
    <n v="0"/>
    <n v="0"/>
    <n v="107"/>
    <s v="_x0000_peopl"/>
  </r>
  <r>
    <x v="7"/>
    <n v="13.692500000000001"/>
    <n v="-89.185500000000005"/>
    <n v="2"/>
    <n v="0"/>
    <n v="0"/>
    <n v="107"/>
    <s v="_x0000_peopl"/>
  </r>
  <r>
    <x v="7"/>
    <n v="13.6927"/>
    <n v="-89.186099999999996"/>
    <n v="3"/>
    <n v="0"/>
    <n v="0"/>
    <n v="107"/>
    <s v="_x0000_peopl"/>
  </r>
  <r>
    <x v="7"/>
    <n v="13.6919"/>
    <n v="-89.187299999999993"/>
    <n v="5"/>
    <n v="0"/>
    <n v="0"/>
    <n v="107"/>
    <s v="_x0000_peopl"/>
  </r>
  <r>
    <x v="7"/>
    <n v="13.693300000000001"/>
    <n v="-89.185299999999998"/>
    <n v="6"/>
    <n v="0"/>
    <n v="0"/>
    <n v="107"/>
    <s v="_x0000_peopl"/>
  </r>
  <r>
    <x v="7"/>
    <n v="13.693300000000001"/>
    <n v="-89.185400000000001"/>
    <n v="4"/>
    <n v="0"/>
    <n v="0"/>
    <n v="107"/>
    <s v="_x0000_peopl"/>
  </r>
  <r>
    <x v="7"/>
    <n v="13.6934"/>
    <n v="-89.185100000000006"/>
    <n v="3"/>
    <n v="0"/>
    <n v="0"/>
    <n v="107"/>
    <s v="_x0000_peopl"/>
  </r>
  <r>
    <x v="7"/>
    <n v="13.6935"/>
    <n v="-89.185100000000006"/>
    <n v="2"/>
    <n v="0"/>
    <n v="0"/>
    <n v="107"/>
    <s v="_x0000_peopl"/>
  </r>
  <r>
    <x v="7"/>
    <n v="13.6935"/>
    <n v="-89.185000000000002"/>
    <n v="4"/>
    <n v="0"/>
    <n v="0"/>
    <n v="107"/>
    <s v="_x0000_peopl"/>
  </r>
  <r>
    <x v="7"/>
    <n v="13.6935"/>
    <n v="-89.185000000000002"/>
    <n v="4"/>
    <n v="0"/>
    <n v="0"/>
    <n v="107"/>
    <s v="_x0000_peopl"/>
  </r>
  <r>
    <x v="7"/>
    <n v="13.6935"/>
    <n v="-89.184899999999999"/>
    <n v="4"/>
    <n v="0"/>
    <n v="0"/>
    <n v="107"/>
    <s v="_x0000_peopl"/>
  </r>
  <r>
    <x v="7"/>
    <n v="13.6934"/>
    <n v="-89.185000000000002"/>
    <n v="0"/>
    <n v="0"/>
    <n v="0"/>
    <n v="107"/>
    <s v="_x0000_peopl"/>
  </r>
  <r>
    <x v="7"/>
    <n v="13.6934"/>
    <n v="-89.184899999999999"/>
    <n v="2"/>
    <n v="0"/>
    <n v="0"/>
    <n v="107"/>
    <s v="_x0000_peopl"/>
  </r>
  <r>
    <x v="7"/>
    <n v="13.6934"/>
    <n v="-89.184799999999996"/>
    <n v="3"/>
    <n v="0"/>
    <n v="0"/>
    <n v="107"/>
    <s v="_x0000_peopl"/>
  </r>
  <r>
    <x v="7"/>
    <n v="13.693199999999999"/>
    <n v="-89.185400000000001"/>
    <n v="6"/>
    <n v="0"/>
    <n v="0"/>
    <n v="107"/>
    <s v="_x0000_peopl"/>
  </r>
  <r>
    <x v="7"/>
    <n v="13.6935"/>
    <n v="-89.183899999999994"/>
    <n v="5"/>
    <n v="0"/>
    <n v="0"/>
    <n v="107"/>
    <s v="_x0000_peopl"/>
  </r>
  <r>
    <x v="7"/>
    <n v="13.6935"/>
    <n v="-89.183999999999997"/>
    <n v="7"/>
    <n v="0"/>
    <n v="0"/>
    <n v="107"/>
    <s v="_x0000_peopl"/>
  </r>
  <r>
    <x v="7"/>
    <n v="13.6937"/>
    <n v="-89.183899999999994"/>
    <n v="6"/>
    <n v="0"/>
    <n v="0"/>
    <n v="107"/>
    <s v="_x0000_peopl"/>
  </r>
  <r>
    <x v="7"/>
    <n v="13.6937"/>
    <n v="-89.184100000000001"/>
    <n v="4"/>
    <n v="0"/>
    <n v="0"/>
    <n v="107"/>
    <s v="_x0000_peopl"/>
  </r>
  <r>
    <x v="7"/>
    <n v="13.6936"/>
    <n v="-89.184799999999996"/>
    <n v="5"/>
    <n v="0"/>
    <n v="0"/>
    <n v="107"/>
    <s v="_x0000_peopl"/>
  </r>
  <r>
    <x v="7"/>
    <n v="13.6934"/>
    <n v="-89.184700000000007"/>
    <n v="9"/>
    <n v="0"/>
    <n v="0"/>
    <n v="107"/>
    <s v="_x0000_peopl"/>
  </r>
  <r>
    <x v="7"/>
    <n v="13.6934"/>
    <n v="-89.184399999999997"/>
    <n v="4"/>
    <n v="0"/>
    <n v="0"/>
    <n v="107"/>
    <s v="_x0000_peopl"/>
  </r>
  <r>
    <x v="7"/>
    <n v="13.692500000000001"/>
    <n v="-89.1785"/>
    <n v="4"/>
    <n v="0"/>
    <n v="0"/>
    <n v="107"/>
    <s v="_x0000_peopl"/>
  </r>
  <r>
    <x v="7"/>
    <n v="13.692299999999999"/>
    <n v="-89.178700000000006"/>
    <n v="2"/>
    <n v="0"/>
    <n v="0"/>
    <n v="107"/>
    <s v="_x0000_peopl"/>
  </r>
  <r>
    <x v="7"/>
    <n v="13.692299999999999"/>
    <n v="-89.178600000000003"/>
    <n v="7"/>
    <n v="0"/>
    <n v="0"/>
    <n v="107"/>
    <s v="_x0000_peopl"/>
  </r>
  <r>
    <x v="7"/>
    <n v="13.692399999999999"/>
    <n v="-89.178600000000003"/>
    <n v="6"/>
    <n v="0"/>
    <n v="0"/>
    <n v="107"/>
    <s v="_x0000_peopl"/>
  </r>
  <r>
    <x v="7"/>
    <n v="13.692299999999999"/>
    <n v="-89.178700000000006"/>
    <n v="3"/>
    <n v="0"/>
    <n v="0"/>
    <n v="107"/>
    <s v="_x0000_peopl"/>
  </r>
  <r>
    <x v="7"/>
    <n v="13.692600000000001"/>
    <n v="-89.1785"/>
    <n v="10"/>
    <n v="0"/>
    <n v="0"/>
    <n v="107"/>
    <s v="_x0000_peopl"/>
  </r>
  <r>
    <x v="7"/>
    <n v="13.692500000000001"/>
    <n v="-89.178600000000003"/>
    <n v="3"/>
    <n v="0"/>
    <n v="0"/>
    <n v="107"/>
    <s v="_x0000_peopl"/>
  </r>
  <r>
    <x v="7"/>
    <n v="13.692500000000001"/>
    <n v="-89.1785"/>
    <n v="5"/>
    <n v="0"/>
    <n v="0"/>
    <n v="107"/>
    <s v="_x0000_peopl"/>
  </r>
  <r>
    <x v="7"/>
    <n v="13.6896"/>
    <n v="-89.195999999999998"/>
    <n v="6"/>
    <n v="0"/>
    <n v="0"/>
    <n v="107"/>
    <s v="_x0000_peopl"/>
  </r>
  <r>
    <x v="7"/>
    <n v="13.6897"/>
    <n v="-89.195999999999998"/>
    <n v="5"/>
    <n v="0"/>
    <n v="0"/>
    <n v="107"/>
    <s v="_x0000_peopl"/>
  </r>
  <r>
    <x v="7"/>
    <n v="13.6866"/>
    <n v="-89.198499999999996"/>
    <n v="5"/>
    <n v="0"/>
    <n v="0"/>
    <n v="107"/>
    <s v="_x0000_peopl"/>
  </r>
  <r>
    <x v="7"/>
    <n v="13.6906"/>
    <n v="-89.190600000000003"/>
    <n v="4"/>
    <n v="0"/>
    <n v="0"/>
    <n v="107"/>
    <s v="_x0000_peopl"/>
  </r>
  <r>
    <x v="7"/>
    <n v="13.6913"/>
    <n v="-89.191299999999998"/>
    <n v="7"/>
    <n v="0"/>
    <n v="0"/>
    <n v="107"/>
    <s v="_x0000_peopl"/>
  </r>
  <r>
    <x v="7"/>
    <n v="13.6905"/>
    <n v="-89.191199999999995"/>
    <n v="7"/>
    <n v="0"/>
    <n v="0"/>
    <n v="107"/>
    <s v="_x0000_peopl"/>
  </r>
  <r>
    <x v="7"/>
    <n v="13.6896"/>
    <n v="-89.191000000000003"/>
    <n v="7"/>
    <n v="0"/>
    <n v="0"/>
    <n v="107"/>
    <s v="_x0000_peopl"/>
  </r>
  <r>
    <x v="7"/>
    <n v="13.689500000000001"/>
    <n v="-89.190899999999999"/>
    <n v="7"/>
    <n v="0"/>
    <n v="0"/>
    <n v="107"/>
    <s v="_x0000_peopl"/>
  </r>
  <r>
    <x v="7"/>
    <n v="13.689500000000001"/>
    <n v="-89.190899999999999"/>
    <n v="2"/>
    <n v="0"/>
    <n v="0"/>
    <n v="107"/>
    <s v="_x0000_peopl"/>
  </r>
  <r>
    <x v="7"/>
    <n v="13.689500000000001"/>
    <n v="-89.190799999999996"/>
    <n v="4"/>
    <n v="0"/>
    <n v="0"/>
    <n v="107"/>
    <s v="_x0000_peopl"/>
  </r>
  <r>
    <x v="7"/>
    <n v="13.6896"/>
    <n v="-89.190799999999996"/>
    <n v="6"/>
    <n v="0"/>
    <n v="0"/>
    <n v="107"/>
    <s v="_x0000_peopl"/>
  </r>
  <r>
    <x v="7"/>
    <n v="13.6898"/>
    <n v="-89.1922"/>
    <n v="3"/>
    <n v="0"/>
    <n v="0"/>
    <n v="107"/>
    <s v="_x0000_peopl"/>
  </r>
  <r>
    <x v="7"/>
    <n v="13.691700000000001"/>
    <n v="-89.190600000000003"/>
    <n v="10"/>
    <n v="0"/>
    <n v="0"/>
    <n v="107"/>
    <s v="_x0000_peopl"/>
  </r>
  <r>
    <x v="7"/>
    <n v="13.690300000000001"/>
    <n v="-89.192400000000006"/>
    <n v="6"/>
    <n v="0"/>
    <n v="0"/>
    <n v="107"/>
    <s v="_x0000_peopl"/>
  </r>
  <r>
    <x v="7"/>
    <n v="13.6906"/>
    <n v="-89.192499999999995"/>
    <n v="6"/>
    <n v="0"/>
    <n v="0"/>
    <n v="107"/>
    <s v="_x0000_peopl"/>
  </r>
  <r>
    <x v="7"/>
    <n v="13.690300000000001"/>
    <n v="-89.192400000000006"/>
    <n v="3"/>
    <n v="0"/>
    <n v="0"/>
    <n v="107"/>
    <s v="_x0000_peopl"/>
  </r>
  <r>
    <x v="7"/>
    <n v="13.690099999999999"/>
    <n v="-89.192400000000006"/>
    <n v="3"/>
    <n v="0"/>
    <n v="0"/>
    <n v="107"/>
    <s v="_x0000_peopl"/>
  </r>
  <r>
    <x v="7"/>
    <n v="13.69"/>
    <n v="-89.192400000000006"/>
    <n v="6"/>
    <n v="0"/>
    <n v="0"/>
    <n v="107"/>
    <s v="_x0000_peopl"/>
  </r>
  <r>
    <x v="7"/>
    <n v="13.6898"/>
    <n v="-89.192499999999995"/>
    <n v="6"/>
    <n v="0"/>
    <n v="0"/>
    <n v="107"/>
    <s v="_x0000_peopl"/>
  </r>
  <r>
    <x v="7"/>
    <n v="13.687799999999999"/>
    <n v="-89.193100000000001"/>
    <n v="5"/>
    <n v="0"/>
    <n v="0"/>
    <n v="107"/>
    <s v="_x0000_peopl"/>
  </r>
  <r>
    <x v="7"/>
    <n v="13.6881"/>
    <n v="-89.197900000000004"/>
    <n v="3"/>
    <n v="0"/>
    <n v="0"/>
    <n v="107"/>
    <s v="_x0000_peopl"/>
  </r>
  <r>
    <x v="7"/>
    <n v="13.687799999999999"/>
    <n v="-89.192400000000006"/>
    <n v="5"/>
    <n v="0"/>
    <n v="0"/>
    <n v="107"/>
    <s v="_x0000_peopl"/>
  </r>
  <r>
    <x v="7"/>
    <n v="13.687799999999999"/>
    <n v="-89.192300000000003"/>
    <n v="3"/>
    <n v="0"/>
    <n v="0"/>
    <n v="107"/>
    <s v="_x0000_peopl"/>
  </r>
  <r>
    <x v="7"/>
    <n v="13.687799999999999"/>
    <n v="-89.192300000000003"/>
    <n v="5"/>
    <n v="0"/>
    <n v="0"/>
    <n v="107"/>
    <s v="_x0000_peopl"/>
  </r>
  <r>
    <x v="7"/>
    <n v="13.687799999999999"/>
    <n v="-89.192300000000003"/>
    <n v="9"/>
    <n v="0"/>
    <n v="0"/>
    <n v="107"/>
    <s v="_x0000_peopl"/>
  </r>
  <r>
    <x v="7"/>
    <n v="13.687900000000001"/>
    <n v="-89.192400000000006"/>
    <n v="6"/>
    <n v="0"/>
    <n v="0"/>
    <n v="107"/>
    <s v="_x0000_peopl"/>
  </r>
  <r>
    <x v="7"/>
    <n v="13.6881"/>
    <n v="-89.190700000000007"/>
    <n v="2"/>
    <n v="0"/>
    <n v="0"/>
    <n v="107"/>
    <s v="_x0000_peopl"/>
  </r>
  <r>
    <x v="7"/>
    <n v="13.6881"/>
    <n v="-89.190600000000003"/>
    <n v="5"/>
    <n v="0"/>
    <n v="0"/>
    <n v="107"/>
    <s v="_x0000_peopl"/>
  </r>
  <r>
    <x v="7"/>
    <n v="13.6881"/>
    <n v="-89.1905"/>
    <n v="5"/>
    <n v="0"/>
    <n v="0"/>
    <n v="107"/>
    <s v="_x0000_peopl"/>
  </r>
  <r>
    <x v="7"/>
    <n v="13.688000000000001"/>
    <n v="-89.1905"/>
    <n v="4"/>
    <n v="0"/>
    <n v="0"/>
    <n v="107"/>
    <s v="_x0000_peopl"/>
  </r>
  <r>
    <x v="7"/>
    <n v="13.6881"/>
    <n v="-89.1905"/>
    <n v="7"/>
    <n v="0"/>
    <n v="0"/>
    <n v="107"/>
    <s v="_x0000_peopl"/>
  </r>
  <r>
    <x v="7"/>
    <n v="13.688000000000001"/>
    <n v="-89.190700000000007"/>
    <n v="4"/>
    <n v="0"/>
    <n v="0"/>
    <n v="107"/>
    <s v="_x0000_peopl"/>
  </r>
  <r>
    <x v="7"/>
    <n v="13.687900000000001"/>
    <n v="-89.191100000000006"/>
    <n v="2"/>
    <n v="0"/>
    <n v="0"/>
    <n v="107"/>
    <s v="_x0000_peopl"/>
  </r>
  <r>
    <x v="7"/>
    <n v="13.688000000000001"/>
    <n v="-89.191199999999995"/>
    <n v="3"/>
    <n v="0"/>
    <n v="0"/>
    <n v="107"/>
    <s v="_x0000_peopl"/>
  </r>
  <r>
    <x v="7"/>
    <n v="13.688000000000001"/>
    <n v="-89.190899999999999"/>
    <n v="7"/>
    <n v="0"/>
    <n v="0"/>
    <n v="107"/>
    <s v="_x0000_peopl"/>
  </r>
  <r>
    <x v="7"/>
    <n v="13.688000000000001"/>
    <n v="-89.190799999999996"/>
    <n v="7"/>
    <n v="0"/>
    <n v="0"/>
    <n v="107"/>
    <s v="_x0000_peopl"/>
  </r>
  <r>
    <x v="7"/>
    <n v="13.688000000000001"/>
    <n v="-89.190799999999996"/>
    <n v="2"/>
    <n v="0"/>
    <n v="0"/>
    <n v="107"/>
    <s v="_x0000_peopl"/>
  </r>
  <r>
    <x v="7"/>
    <n v="13.6874"/>
    <n v="-89.190299999999993"/>
    <n v="5"/>
    <n v="0"/>
    <n v="0"/>
    <n v="107"/>
    <s v="_x0000_peopl"/>
  </r>
  <r>
    <x v="7"/>
    <n v="13.6912"/>
    <n v="-89.180700000000002"/>
    <n v="4"/>
    <n v="0"/>
    <n v="0"/>
    <n v="107"/>
    <s v="_x0000_peopl"/>
  </r>
  <r>
    <x v="7"/>
    <n v="13.6911"/>
    <n v="-89.180700000000002"/>
    <n v="3"/>
    <n v="0"/>
    <n v="0"/>
    <n v="107"/>
    <s v="_x0000_peopl"/>
  </r>
  <r>
    <x v="7"/>
    <n v="13.6911"/>
    <n v="-89.180700000000002"/>
    <n v="5"/>
    <n v="0"/>
    <n v="0"/>
    <n v="107"/>
    <s v="_x0000_peopl"/>
  </r>
  <r>
    <x v="7"/>
    <n v="13.6912"/>
    <n v="-89.180599999999998"/>
    <n v="5"/>
    <n v="0"/>
    <n v="0"/>
    <n v="107"/>
    <s v="_x0000_peopl"/>
  </r>
  <r>
    <x v="7"/>
    <n v="13.6913"/>
    <n v="-89.180599999999998"/>
    <n v="5"/>
    <n v="0"/>
    <n v="0"/>
    <n v="107"/>
    <s v="_x0000_peopl"/>
  </r>
  <r>
    <x v="7"/>
    <n v="13.6913"/>
    <n v="-89.180700000000002"/>
    <n v="8"/>
    <n v="0"/>
    <n v="0"/>
    <n v="107"/>
    <s v="_x0000_peopl"/>
  </r>
  <r>
    <x v="7"/>
    <n v="13.6911"/>
    <n v="-89.180599999999998"/>
    <n v="5"/>
    <n v="0"/>
    <n v="0"/>
    <n v="107"/>
    <s v="_x0000_peopl"/>
  </r>
  <r>
    <x v="7"/>
    <n v="13.6911"/>
    <n v="-89.180499999999995"/>
    <n v="5"/>
    <n v="0"/>
    <n v="0"/>
    <n v="107"/>
    <s v="_x0000_peopl"/>
  </r>
  <r>
    <x v="7"/>
    <n v="13.6911"/>
    <n v="-89.180300000000003"/>
    <n v="7"/>
    <n v="0"/>
    <n v="0"/>
    <n v="107"/>
    <s v="_x0000_peopl"/>
  </r>
  <r>
    <x v="7"/>
    <n v="13.6911"/>
    <n v="-89.180300000000003"/>
    <n v="7"/>
    <n v="0"/>
    <n v="0"/>
    <n v="107"/>
    <s v="_x0000_peopl"/>
  </r>
  <r>
    <x v="7"/>
    <n v="13.6913"/>
    <n v="-89.180300000000003"/>
    <n v="7"/>
    <n v="0"/>
    <n v="0"/>
    <n v="107"/>
    <s v="_x0000_peopl"/>
  </r>
  <r>
    <x v="7"/>
    <n v="13.6913"/>
    <n v="-89.180400000000006"/>
    <n v="3"/>
    <n v="0"/>
    <n v="0"/>
    <n v="107"/>
    <s v="_x0000_peopl"/>
  </r>
  <r>
    <x v="7"/>
    <n v="13.6913"/>
    <n v="-89.180499999999995"/>
    <n v="5"/>
    <n v="0"/>
    <n v="0"/>
    <n v="107"/>
    <s v="_x0000_peopl"/>
  </r>
  <r>
    <x v="7"/>
    <n v="13.6913"/>
    <n v="-89.180700000000002"/>
    <n v="3"/>
    <n v="0"/>
    <n v="0"/>
    <n v="107"/>
    <s v="_x0000_peopl"/>
  </r>
  <r>
    <x v="7"/>
    <n v="13.6913"/>
    <n v="-89.180800000000005"/>
    <n v="4"/>
    <n v="0"/>
    <n v="0"/>
    <n v="107"/>
    <s v="_x0000_peopl"/>
  </r>
  <r>
    <x v="7"/>
    <n v="13.6913"/>
    <n v="-89.180800000000005"/>
    <n v="5"/>
    <n v="0"/>
    <n v="0"/>
    <n v="107"/>
    <s v="_x0000_peopl"/>
  </r>
  <r>
    <x v="7"/>
    <n v="13.6912"/>
    <n v="-89.180899999999994"/>
    <n v="4"/>
    <n v="0"/>
    <n v="0"/>
    <n v="107"/>
    <s v="_x0000_peopl"/>
  </r>
  <r>
    <x v="7"/>
    <n v="13.6912"/>
    <n v="-89.180899999999994"/>
    <n v="6"/>
    <n v="0"/>
    <n v="0"/>
    <n v="107"/>
    <s v="_x0000_peopl"/>
  </r>
  <r>
    <x v="7"/>
    <n v="13.6912"/>
    <n v="-89.180800000000005"/>
    <n v="4"/>
    <n v="0"/>
    <n v="0"/>
    <n v="107"/>
    <s v="_x0000_peopl"/>
  </r>
  <r>
    <x v="7"/>
    <n v="13.6911"/>
    <n v="-89.180899999999994"/>
    <n v="9"/>
    <n v="0"/>
    <n v="0"/>
    <n v="107"/>
    <s v="_x0000_peopl"/>
  </r>
  <r>
    <x v="7"/>
    <n v="13.690799999999999"/>
    <n v="-89.182100000000005"/>
    <n v="1"/>
    <n v="0"/>
    <n v="0"/>
    <n v="107"/>
    <s v="_x0000_peopl"/>
  </r>
  <r>
    <x v="7"/>
    <n v="13.6907"/>
    <n v="-89.182100000000005"/>
    <n v="2"/>
    <n v="0"/>
    <n v="0"/>
    <n v="107"/>
    <s v="_x0000_peopl"/>
  </r>
  <r>
    <x v="7"/>
    <n v="13.6906"/>
    <n v="-89.182100000000005"/>
    <n v="7"/>
    <n v="0"/>
    <n v="0"/>
    <n v="107"/>
    <s v="_x0000_peopl"/>
  </r>
  <r>
    <x v="7"/>
    <n v="13.690799999999999"/>
    <n v="-89.181899999999999"/>
    <n v="3"/>
    <n v="0"/>
    <n v="0"/>
    <n v="107"/>
    <s v="_x0000_peopl"/>
  </r>
  <r>
    <x v="7"/>
    <n v="13.6906"/>
    <n v="-89.181899999999999"/>
    <n v="5"/>
    <n v="0"/>
    <n v="0"/>
    <n v="107"/>
    <s v="_x0000_peopl"/>
  </r>
  <r>
    <x v="7"/>
    <n v="13.6906"/>
    <n v="-89.181899999999999"/>
    <n v="3"/>
    <n v="0"/>
    <n v="0"/>
    <n v="107"/>
    <s v="_x0000_peopl"/>
  </r>
  <r>
    <x v="7"/>
    <n v="13.6905"/>
    <n v="-89.182000000000002"/>
    <n v="4"/>
    <n v="0"/>
    <n v="0"/>
    <n v="107"/>
    <s v="_x0000_peopl"/>
  </r>
  <r>
    <x v="7"/>
    <n v="13.6904"/>
    <n v="-89.182000000000002"/>
    <n v="4"/>
    <n v="0"/>
    <n v="0"/>
    <n v="107"/>
    <s v="_x0000_peopl"/>
  </r>
  <r>
    <x v="7"/>
    <n v="13.6904"/>
    <n v="-89.182000000000002"/>
    <n v="3"/>
    <n v="0"/>
    <n v="0"/>
    <n v="107"/>
    <s v="_x0000_peopl"/>
  </r>
  <r>
    <x v="7"/>
    <n v="13.6904"/>
    <n v="-89.181899999999999"/>
    <n v="6"/>
    <n v="0"/>
    <n v="0"/>
    <n v="107"/>
    <s v="_x0000_peopl"/>
  </r>
  <r>
    <x v="7"/>
    <n v="13.6904"/>
    <n v="-89.181899999999999"/>
    <n v="4"/>
    <n v="0"/>
    <n v="0"/>
    <n v="107"/>
    <s v="_x0000_peopl"/>
  </r>
  <r>
    <x v="7"/>
    <n v="13.691000000000001"/>
    <n v="-89.182100000000005"/>
    <n v="5"/>
    <n v="0"/>
    <n v="0"/>
    <n v="107"/>
    <s v="_x0000_peopl"/>
  </r>
  <r>
    <x v="7"/>
    <n v="13.690899999999999"/>
    <n v="-89.182100000000005"/>
    <n v="3"/>
    <n v="0"/>
    <n v="0"/>
    <n v="107"/>
    <s v="_x0000_peopl"/>
  </r>
  <r>
    <x v="7"/>
    <n v="13.6914"/>
    <n v="-89.182100000000005"/>
    <n v="5"/>
    <n v="0"/>
    <n v="0"/>
    <n v="107"/>
    <s v="_x0000_peopl"/>
  </r>
  <r>
    <x v="7"/>
    <n v="13.6913"/>
    <n v="-89.182000000000002"/>
    <n v="2"/>
    <n v="0"/>
    <n v="0"/>
    <n v="107"/>
    <s v="_x0000_peopl"/>
  </r>
  <r>
    <x v="7"/>
    <n v="13.6912"/>
    <n v="-89.182000000000002"/>
    <n v="4"/>
    <n v="0"/>
    <n v="0"/>
    <n v="107"/>
    <s v="_x0000_peopl"/>
  </r>
  <r>
    <x v="7"/>
    <n v="13.6911"/>
    <n v="-89.182000000000002"/>
    <n v="7"/>
    <n v="0"/>
    <n v="0"/>
    <n v="107"/>
    <s v="_x0000_peopl"/>
  </r>
  <r>
    <x v="7"/>
    <n v="13.69"/>
    <n v="-89.182400000000001"/>
    <n v="1"/>
    <n v="0"/>
    <n v="0"/>
    <n v="107"/>
    <s v="_x0000_peopl"/>
  </r>
  <r>
    <x v="7"/>
    <n v="13.6896"/>
    <n v="-89.182500000000005"/>
    <n v="6"/>
    <n v="0"/>
    <n v="0"/>
    <n v="107"/>
    <s v="_x0000_peopl"/>
  </r>
  <r>
    <x v="7"/>
    <n v="13.689500000000001"/>
    <n v="-89.182400000000001"/>
    <n v="7"/>
    <n v="0"/>
    <n v="0"/>
    <n v="107"/>
    <s v="_x0000_peopl"/>
  </r>
  <r>
    <x v="7"/>
    <n v="13.689500000000001"/>
    <n v="-89.182400000000001"/>
    <n v="6"/>
    <n v="0"/>
    <n v="0"/>
    <n v="107"/>
    <s v="_x0000_peopl"/>
  </r>
  <r>
    <x v="7"/>
    <n v="13.6912"/>
    <n v="-89.179900000000004"/>
    <n v="4"/>
    <n v="0"/>
    <n v="0"/>
    <n v="107"/>
    <s v="_x0000_peopl"/>
  </r>
  <r>
    <x v="7"/>
    <n v="13.6911"/>
    <n v="-89.179900000000004"/>
    <n v="2"/>
    <n v="0"/>
    <n v="0"/>
    <n v="107"/>
    <s v="_x0000_peopl"/>
  </r>
  <r>
    <x v="7"/>
    <n v="13.6911"/>
    <n v="-89.18"/>
    <n v="6"/>
    <n v="0"/>
    <n v="0"/>
    <n v="107"/>
    <s v="_x0000_peopl"/>
  </r>
  <r>
    <x v="7"/>
    <n v="13.690899999999999"/>
    <n v="-89.18"/>
    <n v="5"/>
    <n v="0"/>
    <n v="0"/>
    <n v="107"/>
    <s v="_x0000_peopl"/>
  </r>
  <r>
    <x v="7"/>
    <n v="13.6912"/>
    <n v="-89.180099999999996"/>
    <n v="4"/>
    <n v="0"/>
    <n v="0"/>
    <n v="107"/>
    <s v="_x0000_peopl"/>
  </r>
  <r>
    <x v="7"/>
    <n v="13.6913"/>
    <n v="-89.180099999999996"/>
    <n v="2"/>
    <n v="0"/>
    <n v="0"/>
    <n v="107"/>
    <s v="_x0000_peopl"/>
  </r>
  <r>
    <x v="7"/>
    <n v="13.6913"/>
    <n v="-89.18"/>
    <n v="2"/>
    <n v="0"/>
    <n v="0"/>
    <n v="107"/>
    <s v="_x0000_peopl"/>
  </r>
  <r>
    <x v="7"/>
    <n v="13.686500000000001"/>
    <n v="-89.192499999999995"/>
    <n v="5"/>
    <n v="0"/>
    <n v="0"/>
    <n v="107"/>
    <s v="_x0000_peopl"/>
  </r>
  <r>
    <x v="7"/>
    <n v="13.6867"/>
    <n v="-89.192400000000006"/>
    <n v="9"/>
    <n v="0"/>
    <n v="0"/>
    <n v="107"/>
    <s v="_x0000_peopl"/>
  </r>
  <r>
    <x v="7"/>
    <n v="13.6868"/>
    <n v="-89.192400000000006"/>
    <n v="4"/>
    <n v="0"/>
    <n v="0"/>
    <n v="107"/>
    <s v="_x0000_peopl"/>
  </r>
  <r>
    <x v="7"/>
    <n v="13.6868"/>
    <n v="-89.192300000000003"/>
    <n v="3"/>
    <n v="0"/>
    <n v="0"/>
    <n v="107"/>
    <s v="_x0000_peopl"/>
  </r>
  <r>
    <x v="7"/>
    <n v="13.6867"/>
    <n v="-89.192400000000006"/>
    <n v="7"/>
    <n v="0"/>
    <n v="0"/>
    <n v="107"/>
    <s v="_x0000_peopl"/>
  </r>
  <r>
    <x v="7"/>
    <n v="13.6867"/>
    <n v="-89.192400000000006"/>
    <n v="3"/>
    <n v="0"/>
    <n v="0"/>
    <n v="107"/>
    <s v="_x0000_peopl"/>
  </r>
  <r>
    <x v="7"/>
    <n v="13.6867"/>
    <n v="-89.192400000000006"/>
    <n v="4"/>
    <n v="0"/>
    <n v="0"/>
    <n v="107"/>
    <s v="_x0000_peopl"/>
  </r>
  <r>
    <x v="7"/>
    <n v="13.6866"/>
    <n v="-89.192400000000006"/>
    <n v="8"/>
    <n v="0"/>
    <n v="0"/>
    <n v="107"/>
    <s v="_x0000_peopl"/>
  </r>
  <r>
    <x v="7"/>
    <n v="13.6866"/>
    <n v="-89.192400000000006"/>
    <n v="6"/>
    <n v="0"/>
    <n v="0"/>
    <n v="107"/>
    <s v="_x0000_peopl"/>
  </r>
  <r>
    <x v="7"/>
    <n v="13.6876"/>
    <n v="-89.191900000000004"/>
    <n v="7"/>
    <n v="0"/>
    <n v="0"/>
    <n v="107"/>
    <s v="_x0000_peopl"/>
  </r>
  <r>
    <x v="7"/>
    <n v="13.6874"/>
    <n v="-89.192899999999995"/>
    <n v="6"/>
    <n v="0"/>
    <n v="0"/>
    <n v="107"/>
    <s v="_x0000_peopl"/>
  </r>
  <r>
    <x v="7"/>
    <n v="13.686299999999999"/>
    <n v="-89.192599999999999"/>
    <n v="6"/>
    <n v="0"/>
    <n v="0"/>
    <n v="107"/>
    <s v="_x0000_peopl"/>
  </r>
  <r>
    <x v="7"/>
    <n v="13.686199999999999"/>
    <n v="-89.192599999999999"/>
    <n v="3"/>
    <n v="0"/>
    <n v="0"/>
    <n v="107"/>
    <s v="_x0000_peopl"/>
  </r>
  <r>
    <x v="7"/>
    <n v="13.686199999999999"/>
    <n v="-89.192599999999999"/>
    <n v="5"/>
    <n v="0"/>
    <n v="0"/>
    <n v="107"/>
    <s v="_x0000_peopl"/>
  </r>
  <r>
    <x v="7"/>
    <n v="13.686199999999999"/>
    <n v="-89.192599999999999"/>
    <n v="4"/>
    <n v="0"/>
    <n v="0"/>
    <n v="107"/>
    <s v="_x0000_peopl"/>
  </r>
  <r>
    <x v="7"/>
    <n v="13.686199999999999"/>
    <n v="-89.192499999999995"/>
    <n v="5"/>
    <n v="0"/>
    <n v="0"/>
    <n v="107"/>
    <s v="_x0000_peopl"/>
  </r>
  <r>
    <x v="7"/>
    <n v="13.686199999999999"/>
    <n v="-89.192499999999995"/>
    <n v="4"/>
    <n v="0"/>
    <n v="0"/>
    <n v="107"/>
    <s v="_x0000_peopl"/>
  </r>
  <r>
    <x v="7"/>
    <n v="13.686199999999999"/>
    <n v="-89.192499999999995"/>
    <n v="1"/>
    <n v="0"/>
    <n v="0"/>
    <n v="107"/>
    <s v="_x0000_peopl"/>
  </r>
  <r>
    <x v="7"/>
    <n v="13.686299999999999"/>
    <n v="-89.192599999999999"/>
    <n v="6"/>
    <n v="0"/>
    <n v="0"/>
    <n v="107"/>
    <s v="_x0000_peopl"/>
  </r>
  <r>
    <x v="7"/>
    <n v="13.686199999999999"/>
    <n v="-89.192700000000002"/>
    <n v="5"/>
    <n v="0"/>
    <n v="0"/>
    <n v="107"/>
    <s v="_x0000_peopl"/>
  </r>
  <r>
    <x v="7"/>
    <n v="13.686199999999999"/>
    <n v="-89.192800000000005"/>
    <n v="6"/>
    <n v="0"/>
    <n v="0"/>
    <n v="107"/>
    <s v="_x0000_peopl"/>
  </r>
  <r>
    <x v="7"/>
    <n v="13.686199999999999"/>
    <n v="-89.192700000000002"/>
    <n v="4"/>
    <n v="0"/>
    <n v="0"/>
    <n v="107"/>
    <s v="_x0000_peopl"/>
  </r>
  <r>
    <x v="7"/>
    <n v="13.686500000000001"/>
    <n v="-89.192599999999999"/>
    <n v="6"/>
    <n v="0"/>
    <n v="0"/>
    <n v="107"/>
    <s v="_x0000_peopl"/>
  </r>
  <r>
    <x v="7"/>
    <n v="13.686400000000001"/>
    <n v="-89.192700000000002"/>
    <n v="8"/>
    <n v="0"/>
    <n v="0"/>
    <n v="107"/>
    <s v="_x0000_peopl"/>
  </r>
  <r>
    <x v="7"/>
    <n v="13.686199999999999"/>
    <n v="-89.193100000000001"/>
    <n v="2"/>
    <n v="0"/>
    <n v="0"/>
    <n v="107"/>
    <s v="_x0000_peopl"/>
  </r>
  <r>
    <x v="7"/>
    <n v="13.686500000000001"/>
    <n v="-89.192599999999999"/>
    <n v="6"/>
    <n v="0"/>
    <n v="0"/>
    <n v="107"/>
    <s v="_x0000_peopl"/>
  </r>
  <r>
    <x v="7"/>
    <n v="13.6866"/>
    <n v="-89.192499999999995"/>
    <n v="4"/>
    <n v="0"/>
    <n v="0"/>
    <n v="107"/>
    <s v="_x0000_peopl"/>
  </r>
  <r>
    <x v="7"/>
    <n v="13.6869"/>
    <n v="-89.192300000000003"/>
    <n v="2"/>
    <n v="0"/>
    <n v="0"/>
    <n v="107"/>
    <s v="_x0000_peopl"/>
  </r>
  <r>
    <x v="7"/>
    <n v="13.6906"/>
    <n v="-89.197000000000003"/>
    <n v="5"/>
    <n v="0"/>
    <n v="0"/>
    <n v="107"/>
    <s v="_x0000_peopl"/>
  </r>
  <r>
    <x v="7"/>
    <n v="13.689500000000001"/>
    <n v="-89.196299999999994"/>
    <n v="5"/>
    <n v="0"/>
    <n v="0"/>
    <n v="107"/>
    <s v="_x0000_peopl"/>
  </r>
  <r>
    <x v="7"/>
    <n v="13.6911"/>
    <n v="-89.192599999999999"/>
    <n v="6"/>
    <n v="0"/>
    <n v="0"/>
    <n v="107"/>
    <s v="_x0000_peopl"/>
  </r>
  <r>
    <x v="7"/>
    <n v="13.6911"/>
    <n v="-89.192700000000002"/>
    <n v="6"/>
    <n v="0"/>
    <n v="0"/>
    <n v="107"/>
    <s v="_x0000_peopl"/>
  </r>
  <r>
    <x v="7"/>
    <n v="13.6911"/>
    <n v="-89.192899999999995"/>
    <n v="3"/>
    <n v="0"/>
    <n v="0"/>
    <n v="107"/>
    <s v="_x0000_peopl"/>
  </r>
  <r>
    <x v="7"/>
    <n v="13.6928"/>
    <n v="-89.188800000000001"/>
    <n v="5"/>
    <n v="0"/>
    <n v="0"/>
    <n v="107"/>
    <s v="_x0000_peopl"/>
  </r>
  <r>
    <x v="7"/>
    <n v="13.6912"/>
    <n v="-89.191100000000006"/>
    <n v="9"/>
    <n v="0"/>
    <n v="0"/>
    <n v="107"/>
    <s v="_x0000_peopl"/>
  </r>
  <r>
    <x v="7"/>
    <n v="13.6889"/>
    <n v="-89.195899999999995"/>
    <n v="4"/>
    <n v="0"/>
    <n v="0"/>
    <n v="107"/>
    <s v="_x0000_peopl"/>
  </r>
  <r>
    <x v="7"/>
    <n v="13.6889"/>
    <n v="-89.195499999999996"/>
    <n v="2"/>
    <n v="0"/>
    <n v="0"/>
    <n v="107"/>
    <s v="_x0000_peopl"/>
  </r>
  <r>
    <x v="7"/>
    <n v="13.691700000000001"/>
    <n v="-89.187299999999993"/>
    <n v="4"/>
    <n v="0"/>
    <n v="0"/>
    <n v="107"/>
    <s v="_x0000_peopl"/>
  </r>
  <r>
    <x v="7"/>
    <n v="13.6922"/>
    <n v="-89.1768"/>
    <n v="4"/>
    <n v="0"/>
    <n v="0"/>
    <n v="107"/>
    <s v="_x0000_peopl"/>
  </r>
  <r>
    <x v="7"/>
    <n v="13.6921"/>
    <n v="-89.1768"/>
    <n v="5"/>
    <n v="0"/>
    <n v="0"/>
    <n v="107"/>
    <s v="_x0000_peopl"/>
  </r>
  <r>
    <x v="7"/>
    <n v="13.6921"/>
    <n v="-89.176900000000003"/>
    <n v="6"/>
    <n v="0"/>
    <n v="0"/>
    <n v="107"/>
    <s v="_x0000_peopl"/>
  </r>
  <r>
    <x v="7"/>
    <n v="13.6921"/>
    <n v="-89.177000000000007"/>
    <n v="9"/>
    <n v="0"/>
    <n v="0"/>
    <n v="107"/>
    <s v="_x0000_peopl"/>
  </r>
  <r>
    <x v="7"/>
    <n v="13.692"/>
    <n v="-89.177000000000007"/>
    <n v="4"/>
    <n v="0"/>
    <n v="0"/>
    <n v="107"/>
    <s v="_x0000_peopl"/>
  </r>
  <r>
    <x v="7"/>
    <n v="13.692"/>
    <n v="-89.177000000000007"/>
    <n v="7"/>
    <n v="0"/>
    <n v="0"/>
    <n v="107"/>
    <s v="_x0000_peopl"/>
  </r>
  <r>
    <x v="7"/>
    <n v="13.692"/>
    <n v="-89.177099999999996"/>
    <n v="4"/>
    <n v="0"/>
    <n v="0"/>
    <n v="107"/>
    <s v="_x0000_peopl"/>
  </r>
  <r>
    <x v="7"/>
    <n v="13.6921"/>
    <n v="-89.177099999999996"/>
    <n v="3"/>
    <n v="0"/>
    <n v="0"/>
    <n v="107"/>
    <s v="_x0000_peopl"/>
  </r>
  <r>
    <x v="7"/>
    <n v="13.692"/>
    <n v="-89.177099999999996"/>
    <n v="7"/>
    <n v="0"/>
    <n v="0"/>
    <n v="107"/>
    <s v="_x0000_peopl"/>
  </r>
  <r>
    <x v="7"/>
    <n v="13.6922"/>
    <n v="-89.1768"/>
    <n v="5"/>
    <n v="0"/>
    <n v="0"/>
    <n v="107"/>
    <s v="_x0000_peopl"/>
  </r>
  <r>
    <x v="7"/>
    <n v="13.6922"/>
    <n v="-89.176900000000003"/>
    <n v="4"/>
    <n v="0"/>
    <n v="0"/>
    <n v="107"/>
    <s v="_x0000_peopl"/>
  </r>
  <r>
    <x v="7"/>
    <n v="13.6921"/>
    <n v="-89.177099999999996"/>
    <n v="4"/>
    <n v="0"/>
    <n v="0"/>
    <n v="107"/>
    <s v="_x0000_peopl"/>
  </r>
  <r>
    <x v="7"/>
    <n v="13.6921"/>
    <n v="-89.177199999999999"/>
    <n v="6"/>
    <n v="0"/>
    <n v="0"/>
    <n v="107"/>
    <s v="_x0000_peopl"/>
  </r>
  <r>
    <x v="7"/>
    <n v="13.6922"/>
    <n v="-89.177199999999999"/>
    <n v="8"/>
    <n v="0"/>
    <n v="0"/>
    <n v="107"/>
    <s v="_x0000_peopl"/>
  </r>
  <r>
    <x v="7"/>
    <n v="13.6921"/>
    <n v="-89.177199999999999"/>
    <n v="7"/>
    <n v="0"/>
    <n v="0"/>
    <n v="107"/>
    <s v="_x0000_peopl"/>
  </r>
  <r>
    <x v="7"/>
    <n v="13.6921"/>
    <n v="-89.177199999999999"/>
    <n v="6"/>
    <n v="0"/>
    <n v="0"/>
    <n v="107"/>
    <s v="_x0000_peopl"/>
  </r>
  <r>
    <x v="7"/>
    <n v="13.6922"/>
    <n v="-89.177300000000002"/>
    <n v="5"/>
    <n v="0"/>
    <n v="0"/>
    <n v="107"/>
    <s v="_x0000_peopl"/>
  </r>
  <r>
    <x v="7"/>
    <n v="13.6922"/>
    <n v="-89.177400000000006"/>
    <n v="4"/>
    <n v="0"/>
    <n v="0"/>
    <n v="107"/>
    <s v="_x0000_peopl"/>
  </r>
  <r>
    <x v="7"/>
    <n v="13.692299999999999"/>
    <n v="-89.177599999999998"/>
    <n v="4"/>
    <n v="0"/>
    <n v="0"/>
    <n v="107"/>
    <s v="_x0000_peopl"/>
  </r>
  <r>
    <x v="7"/>
    <n v="13.692299999999999"/>
    <n v="-89.177499999999995"/>
    <n v="1"/>
    <n v="0"/>
    <n v="0"/>
    <n v="107"/>
    <s v="_x0000_peopl"/>
  </r>
  <r>
    <x v="7"/>
    <n v="13.6922"/>
    <n v="-89.177400000000006"/>
    <n v="2"/>
    <n v="0"/>
    <n v="0"/>
    <n v="107"/>
    <s v="_x0000_peopl"/>
  </r>
  <r>
    <x v="7"/>
    <n v="13.6922"/>
    <n v="-89.177400000000006"/>
    <n v="5"/>
    <n v="0"/>
    <n v="0"/>
    <n v="107"/>
    <s v="_x0000_peopl"/>
  </r>
  <r>
    <x v="7"/>
    <n v="13.692299999999999"/>
    <n v="-89.177400000000006"/>
    <n v="9"/>
    <n v="0"/>
    <n v="0"/>
    <n v="107"/>
    <s v="_x0000_peopl"/>
  </r>
  <r>
    <x v="7"/>
    <n v="13.692299999999999"/>
    <n v="-89.177300000000002"/>
    <n v="7"/>
    <n v="0"/>
    <n v="0"/>
    <n v="107"/>
    <s v="_x0000_peopl"/>
  </r>
  <r>
    <x v="7"/>
    <n v="13.692399999999999"/>
    <n v="-89.177300000000002"/>
    <n v="4"/>
    <n v="0"/>
    <n v="0"/>
    <n v="107"/>
    <s v="_x0000_peopl"/>
  </r>
  <r>
    <x v="7"/>
    <n v="13.692299999999999"/>
    <n v="-89.177199999999999"/>
    <n v="1"/>
    <n v="0"/>
    <n v="0"/>
    <n v="107"/>
    <s v="_x0000_peopl"/>
  </r>
  <r>
    <x v="7"/>
    <n v="13.6922"/>
    <n v="-89.177199999999999"/>
    <n v="4"/>
    <n v="0"/>
    <n v="0"/>
    <n v="107"/>
    <s v="_x0000_peopl"/>
  </r>
  <r>
    <x v="7"/>
    <n v="13.692299999999999"/>
    <n v="-89.177000000000007"/>
    <n v="7"/>
    <n v="0"/>
    <n v="0"/>
    <n v="107"/>
    <s v="_x0000_peopl"/>
  </r>
  <r>
    <x v="7"/>
    <n v="13.692299999999999"/>
    <n v="-89.177099999999996"/>
    <n v="3"/>
    <n v="0"/>
    <n v="0"/>
    <n v="107"/>
    <s v="_x0000_peopl"/>
  </r>
  <r>
    <x v="7"/>
    <n v="13.692399999999999"/>
    <n v="-89.177099999999996"/>
    <n v="4"/>
    <n v="0"/>
    <n v="0"/>
    <n v="107"/>
    <s v="_x0000_peopl"/>
  </r>
  <r>
    <x v="7"/>
    <n v="13.692399999999999"/>
    <n v="-89.177199999999999"/>
    <n v="9"/>
    <n v="0"/>
    <n v="0"/>
    <n v="107"/>
    <s v="_x0000_peopl"/>
  </r>
  <r>
    <x v="7"/>
    <n v="13.692399999999999"/>
    <n v="-89.177199999999999"/>
    <n v="5"/>
    <n v="0"/>
    <n v="0"/>
    <n v="107"/>
    <s v="_x0000_peopl"/>
  </r>
  <r>
    <x v="7"/>
    <n v="13.692399999999999"/>
    <n v="-89.177599999999998"/>
    <n v="6"/>
    <n v="0"/>
    <n v="0"/>
    <n v="107"/>
    <s v="_x0000_peopl"/>
  </r>
  <r>
    <x v="7"/>
    <n v="13.692299999999999"/>
    <n v="-89.177599999999998"/>
    <n v="1"/>
    <n v="0"/>
    <n v="0"/>
    <n v="107"/>
    <s v="_x0000_peopl"/>
  </r>
  <r>
    <x v="7"/>
    <n v="13.692399999999999"/>
    <n v="-89.177700000000002"/>
    <n v="1"/>
    <n v="0"/>
    <n v="0"/>
    <n v="107"/>
    <s v="_x0000_peopl"/>
  </r>
  <r>
    <x v="7"/>
    <n v="13.692600000000001"/>
    <n v="-89.177899999999994"/>
    <n v="4"/>
    <n v="0"/>
    <n v="0"/>
    <n v="107"/>
    <s v="_x0000_peopl"/>
  </r>
  <r>
    <x v="7"/>
    <n v="13.692500000000001"/>
    <n v="-89.177800000000005"/>
    <n v="6"/>
    <n v="0"/>
    <n v="0"/>
    <n v="107"/>
    <s v="_x0000_peopl"/>
  </r>
  <r>
    <x v="7"/>
    <n v="13.692500000000001"/>
    <n v="-89.177800000000005"/>
    <n v="7"/>
    <n v="0"/>
    <n v="0"/>
    <n v="107"/>
    <s v="_x0000_peopl"/>
  </r>
  <r>
    <x v="7"/>
    <n v="13.6927"/>
    <n v="-89.177700000000002"/>
    <n v="2"/>
    <n v="0"/>
    <n v="0"/>
    <n v="107"/>
    <s v="_x0000_peopl"/>
  </r>
  <r>
    <x v="7"/>
    <n v="13.6928"/>
    <n v="-89.177700000000002"/>
    <n v="2"/>
    <n v="0"/>
    <n v="0"/>
    <n v="107"/>
    <s v="_x0000_peopl"/>
  </r>
  <r>
    <x v="7"/>
    <n v="13.6927"/>
    <n v="-89.177700000000002"/>
    <n v="9"/>
    <n v="0"/>
    <n v="0"/>
    <n v="107"/>
    <s v="_x0000_peopl"/>
  </r>
  <r>
    <x v="7"/>
    <n v="13.6927"/>
    <n v="-89.177599999999998"/>
    <n v="7"/>
    <n v="0"/>
    <n v="0"/>
    <n v="107"/>
    <s v="_x0000_peopl"/>
  </r>
  <r>
    <x v="7"/>
    <n v="13.6927"/>
    <n v="-89.177599999999998"/>
    <n v="3"/>
    <n v="0"/>
    <n v="0"/>
    <n v="107"/>
    <s v="_x0000_peopl"/>
  </r>
  <r>
    <x v="7"/>
    <n v="13.692600000000001"/>
    <n v="-89.177499999999995"/>
    <n v="4"/>
    <n v="0"/>
    <n v="0"/>
    <n v="107"/>
    <s v="_x0000_peopl"/>
  </r>
  <r>
    <x v="7"/>
    <n v="13.692600000000001"/>
    <n v="-89.177400000000006"/>
    <n v="11"/>
    <n v="0"/>
    <n v="0"/>
    <n v="107"/>
    <s v="_x0000_peopl"/>
  </r>
  <r>
    <x v="7"/>
    <n v="13.692600000000001"/>
    <n v="-89.177400000000006"/>
    <n v="11"/>
    <n v="0"/>
    <n v="0"/>
    <n v="107"/>
    <s v="_x0000_peopl"/>
  </r>
  <r>
    <x v="7"/>
    <n v="13.6928"/>
    <n v="-89.177499999999995"/>
    <n v="4"/>
    <n v="0"/>
    <n v="0"/>
    <n v="107"/>
    <s v="_x0000_peopl"/>
  </r>
  <r>
    <x v="7"/>
    <n v="13.6928"/>
    <n v="-89.177499999999995"/>
    <n v="2"/>
    <n v="0"/>
    <n v="0"/>
    <n v="107"/>
    <s v="_x0000_peopl"/>
  </r>
  <r>
    <x v="7"/>
    <n v="13.6928"/>
    <n v="-89.177400000000006"/>
    <n v="6"/>
    <n v="0"/>
    <n v="0"/>
    <n v="107"/>
    <s v="_x0000_peopl"/>
  </r>
  <r>
    <x v="7"/>
    <n v="13.6927"/>
    <n v="-89.177400000000006"/>
    <n v="7"/>
    <n v="0"/>
    <n v="0"/>
    <n v="107"/>
    <s v="_x0000_peopl"/>
  </r>
  <r>
    <x v="7"/>
    <n v="13.6927"/>
    <n v="-89.177300000000002"/>
    <n v="6"/>
    <n v="0"/>
    <n v="0"/>
    <n v="107"/>
    <s v="_x0000_peopl"/>
  </r>
  <r>
    <x v="7"/>
    <n v="13.6927"/>
    <n v="-89.177300000000002"/>
    <n v="5"/>
    <n v="0"/>
    <n v="0"/>
    <n v="107"/>
    <s v="_x0000_peopl"/>
  </r>
  <r>
    <x v="7"/>
    <n v="13.692600000000001"/>
    <n v="-89.177199999999999"/>
    <n v="6"/>
    <n v="0"/>
    <n v="0"/>
    <n v="107"/>
    <s v="_x0000_peopl"/>
  </r>
  <r>
    <x v="7"/>
    <n v="13.692600000000001"/>
    <n v="-89.177199999999999"/>
    <n v="6"/>
    <n v="0"/>
    <n v="0"/>
    <n v="107"/>
    <s v="_x0000_peopl"/>
  </r>
  <r>
    <x v="7"/>
    <n v="13.6928"/>
    <n v="-89.177199999999999"/>
    <n v="11"/>
    <n v="0"/>
    <n v="0"/>
    <n v="107"/>
    <s v="_x0000_peopl"/>
  </r>
  <r>
    <x v="7"/>
    <n v="13.6928"/>
    <n v="-89.177099999999996"/>
    <n v="2"/>
    <n v="0"/>
    <n v="0"/>
    <n v="107"/>
    <s v="_x0000_peopl"/>
  </r>
  <r>
    <x v="7"/>
    <n v="13.6928"/>
    <n v="-89.177000000000007"/>
    <n v="0"/>
    <n v="0"/>
    <n v="0"/>
    <n v="107"/>
    <s v="_x0000_peopl"/>
  </r>
  <r>
    <x v="7"/>
    <n v="13.692600000000001"/>
    <n v="-89.177000000000007"/>
    <n v="4"/>
    <n v="0"/>
    <n v="0"/>
    <n v="107"/>
    <s v="_x0000_peopl"/>
  </r>
  <r>
    <x v="7"/>
    <n v="13.692600000000001"/>
    <n v="-89.177000000000007"/>
    <n v="3"/>
    <n v="0"/>
    <n v="0"/>
    <n v="107"/>
    <s v="_x0000_peopl"/>
  </r>
  <r>
    <x v="7"/>
    <n v="13.692600000000001"/>
    <n v="-89.177000000000007"/>
    <n v="7"/>
    <n v="0"/>
    <n v="0"/>
    <n v="107"/>
    <s v="_x0000_peopl"/>
  </r>
  <r>
    <x v="7"/>
    <n v="13.692600000000001"/>
    <n v="-89.177099999999996"/>
    <n v="9"/>
    <n v="0"/>
    <n v="0"/>
    <n v="107"/>
    <s v="_x0000_peopl"/>
  </r>
  <r>
    <x v="7"/>
    <n v="13.692500000000001"/>
    <n v="-89.177000000000007"/>
    <n v="6"/>
    <n v="0"/>
    <n v="0"/>
    <n v="107"/>
    <s v="_x0000_peopl"/>
  </r>
  <r>
    <x v="7"/>
    <n v="13.692500000000001"/>
    <n v="-89.177099999999996"/>
    <n v="8"/>
    <n v="0"/>
    <n v="0"/>
    <n v="107"/>
    <s v="_x0000_peopl"/>
  </r>
  <r>
    <x v="7"/>
    <n v="13.692500000000001"/>
    <n v="-89.177300000000002"/>
    <n v="2"/>
    <n v="0"/>
    <n v="0"/>
    <n v="107"/>
    <s v="_x0000_peopl"/>
  </r>
  <r>
    <x v="7"/>
    <n v="13.692399999999999"/>
    <n v="-89.177700000000002"/>
    <n v="5"/>
    <n v="0"/>
    <n v="0"/>
    <n v="107"/>
    <s v="_x0000_peopl"/>
  </r>
  <r>
    <x v="7"/>
    <n v="13.692500000000001"/>
    <n v="-89.177099999999996"/>
    <n v="5"/>
    <n v="0"/>
    <n v="0"/>
    <n v="107"/>
    <s v="_x0000_peopl"/>
  </r>
  <r>
    <x v="7"/>
    <n v="13.692500000000001"/>
    <n v="-89.177000000000007"/>
    <n v="5"/>
    <n v="0"/>
    <n v="0"/>
    <n v="107"/>
    <s v="_x0000_peopl"/>
  </r>
  <r>
    <x v="7"/>
    <n v="13.692500000000001"/>
    <n v="-89.177000000000007"/>
    <n v="2"/>
    <n v="0"/>
    <n v="0"/>
    <n v="107"/>
    <s v="_x0000_peopl"/>
  </r>
  <r>
    <x v="7"/>
    <n v="13.692500000000001"/>
    <n v="-89.177000000000007"/>
    <n v="6"/>
    <n v="0"/>
    <n v="0"/>
    <n v="107"/>
    <s v="_x0000_peopl"/>
  </r>
  <r>
    <x v="7"/>
    <n v="13.692500000000001"/>
    <n v="-89.176900000000003"/>
    <n v="4"/>
    <n v="0"/>
    <n v="0"/>
    <n v="107"/>
    <s v="_x0000_peopl"/>
  </r>
  <r>
    <x v="7"/>
    <n v="13.692600000000001"/>
    <n v="-89.1768"/>
    <n v="4"/>
    <n v="0"/>
    <n v="0"/>
    <n v="107"/>
    <s v="_x0000_peopl"/>
  </r>
  <r>
    <x v="7"/>
    <n v="13.6927"/>
    <n v="-89.176900000000003"/>
    <n v="3"/>
    <n v="0"/>
    <n v="0"/>
    <n v="107"/>
    <s v="_x0000_peopl"/>
  </r>
  <r>
    <x v="7"/>
    <n v="13.6928"/>
    <n v="-89.176900000000003"/>
    <n v="3"/>
    <n v="0"/>
    <n v="0"/>
    <n v="107"/>
    <s v="_x0000_peopl"/>
  </r>
  <r>
    <x v="7"/>
    <n v="13.693"/>
    <n v="-89.177199999999999"/>
    <n v="7"/>
    <n v="0"/>
    <n v="0"/>
    <n v="107"/>
    <s v="_x0000_peopl"/>
  </r>
  <r>
    <x v="7"/>
    <n v="13.6929"/>
    <n v="-89.177199999999999"/>
    <n v="3"/>
    <n v="0"/>
    <n v="0"/>
    <n v="107"/>
    <s v="_x0000_peopl"/>
  </r>
  <r>
    <x v="7"/>
    <n v="13.6929"/>
    <n v="-89.177099999999996"/>
    <n v="8"/>
    <n v="0"/>
    <n v="0"/>
    <n v="107"/>
    <s v="_x0000_peopl"/>
  </r>
  <r>
    <x v="7"/>
    <n v="13.6929"/>
    <n v="-89.177000000000007"/>
    <n v="4"/>
    <n v="0"/>
    <n v="0"/>
    <n v="107"/>
    <s v="_x0000_peopl"/>
  </r>
  <r>
    <x v="7"/>
    <n v="13.6929"/>
    <n v="-89.177499999999995"/>
    <n v="6"/>
    <n v="0"/>
    <n v="0"/>
    <n v="107"/>
    <s v="_x0000_peopl"/>
  </r>
  <r>
    <x v="7"/>
    <n v="13.6929"/>
    <n v="-89.177400000000006"/>
    <n v="0"/>
    <n v="0"/>
    <n v="0"/>
    <n v="107"/>
    <s v="_x0000_peopl"/>
  </r>
  <r>
    <x v="7"/>
    <n v="13.6929"/>
    <n v="-89.177499999999995"/>
    <n v="4"/>
    <n v="0"/>
    <n v="0"/>
    <n v="107"/>
    <s v="_x0000_peopl"/>
  </r>
  <r>
    <x v="7"/>
    <n v="13.6929"/>
    <n v="-89.177499999999995"/>
    <n v="9"/>
    <n v="0"/>
    <n v="0"/>
    <n v="107"/>
    <s v="_x0000_peopl"/>
  </r>
  <r>
    <x v="7"/>
    <n v="13.6928"/>
    <n v="-89.177499999999995"/>
    <n v="7"/>
    <n v="0"/>
    <n v="0"/>
    <n v="107"/>
    <s v="_x0000_peopl"/>
  </r>
  <r>
    <x v="7"/>
    <n v="13.693"/>
    <n v="-89.177199999999999"/>
    <n v="4"/>
    <n v="0"/>
    <n v="0"/>
    <n v="107"/>
    <s v="_x0000_peopl"/>
  </r>
  <r>
    <x v="7"/>
    <n v="13.6927"/>
    <n v="-89.1768"/>
    <n v="7"/>
    <n v="0"/>
    <n v="0"/>
    <n v="107"/>
    <s v="_x0000_peopl"/>
  </r>
  <r>
    <x v="7"/>
    <n v="13.692600000000001"/>
    <n v="-89.1768"/>
    <n v="3"/>
    <n v="0"/>
    <n v="0"/>
    <n v="107"/>
    <s v="_x0000_peopl"/>
  </r>
  <r>
    <x v="7"/>
    <n v="13.692600000000001"/>
    <n v="-89.1768"/>
    <n v="2"/>
    <n v="0"/>
    <n v="0"/>
    <n v="107"/>
    <s v="_x0000_peopl"/>
  </r>
  <r>
    <x v="7"/>
    <n v="13.692299999999999"/>
    <n v="-89.178299999999993"/>
    <n v="4"/>
    <n v="0"/>
    <n v="0"/>
    <n v="107"/>
    <s v="_x0000_peopl"/>
  </r>
  <r>
    <x v="7"/>
    <n v="13.692299999999999"/>
    <n v="-89.178299999999993"/>
    <n v="2"/>
    <n v="0"/>
    <n v="0"/>
    <n v="107"/>
    <s v="_x0000_peopl"/>
  </r>
  <r>
    <x v="7"/>
    <n v="13.692299999999999"/>
    <n v="-89.178299999999993"/>
    <n v="6"/>
    <n v="0"/>
    <n v="0"/>
    <n v="107"/>
    <s v="_x0000_peopl"/>
  </r>
  <r>
    <x v="7"/>
    <n v="13.6922"/>
    <n v="-89.178299999999993"/>
    <n v="7"/>
    <n v="0"/>
    <n v="0"/>
    <n v="107"/>
    <s v="_x0000_peopl"/>
  </r>
  <r>
    <x v="7"/>
    <n v="13.6921"/>
    <n v="-89.178299999999993"/>
    <n v="3"/>
    <n v="0"/>
    <n v="0"/>
    <n v="107"/>
    <s v="_x0000_peopl"/>
  </r>
  <r>
    <x v="7"/>
    <n v="13.6921"/>
    <n v="-89.178200000000004"/>
    <n v="1"/>
    <n v="0"/>
    <n v="0"/>
    <n v="107"/>
    <s v="_x0000_peopl"/>
  </r>
  <r>
    <x v="7"/>
    <n v="13.6922"/>
    <n v="-89.178200000000004"/>
    <n v="7"/>
    <n v="0"/>
    <n v="0"/>
    <n v="107"/>
    <s v="_x0000_peopl"/>
  </r>
  <r>
    <x v="7"/>
    <n v="13.6922"/>
    <n v="-89.178200000000004"/>
    <n v="2"/>
    <n v="0"/>
    <n v="0"/>
    <n v="107"/>
    <s v="_x0000_peopl"/>
  </r>
  <r>
    <x v="7"/>
    <n v="13.692299999999999"/>
    <n v="-89.178100000000001"/>
    <n v="4"/>
    <n v="0"/>
    <n v="0"/>
    <n v="107"/>
    <s v="_x0000_peopl"/>
  </r>
  <r>
    <x v="7"/>
    <n v="13.692299999999999"/>
    <n v="-89.178100000000001"/>
    <n v="4"/>
    <n v="0"/>
    <n v="0"/>
    <n v="107"/>
    <s v="_x0000_peopl"/>
  </r>
  <r>
    <x v="7"/>
    <n v="13.692299999999999"/>
    <n v="-89.177999999999997"/>
    <n v="5"/>
    <n v="0"/>
    <n v="0"/>
    <n v="107"/>
    <s v="_x0000_peopl"/>
  </r>
  <r>
    <x v="7"/>
    <n v="13.6921"/>
    <n v="-89.178100000000001"/>
    <n v="9"/>
    <n v="0"/>
    <n v="0"/>
    <n v="107"/>
    <s v="_x0000_peopl"/>
  </r>
  <r>
    <x v="7"/>
    <n v="13.6922"/>
    <n v="-89.178100000000001"/>
    <n v="10"/>
    <n v="0"/>
    <n v="0"/>
    <n v="107"/>
    <s v="_x0000_peopl"/>
  </r>
  <r>
    <x v="7"/>
    <n v="13.692"/>
    <n v="-89.178399999999996"/>
    <n v="3"/>
    <n v="0"/>
    <n v="0"/>
    <n v="107"/>
    <s v="_x0000_peopl"/>
  </r>
  <r>
    <x v="7"/>
    <n v="13.692"/>
    <n v="-89.178299999999993"/>
    <n v="4"/>
    <n v="0"/>
    <n v="0"/>
    <n v="107"/>
    <s v="_x0000_peopl"/>
  </r>
  <r>
    <x v="7"/>
    <n v="13.692"/>
    <n v="-89.178299999999993"/>
    <n v="3"/>
    <n v="0"/>
    <n v="0"/>
    <n v="107"/>
    <s v="_x0000_peopl"/>
  </r>
  <r>
    <x v="7"/>
    <n v="13.692"/>
    <n v="-89.178200000000004"/>
    <n v="8"/>
    <n v="0"/>
    <n v="0"/>
    <n v="107"/>
    <s v="_x0000_peopl"/>
  </r>
  <r>
    <x v="7"/>
    <n v="13.692"/>
    <n v="-89.178200000000004"/>
    <n v="2"/>
    <n v="0"/>
    <n v="0"/>
    <n v="107"/>
    <s v="_x0000_peopl"/>
  </r>
  <r>
    <x v="7"/>
    <n v="13.6921"/>
    <n v="-89.178200000000004"/>
    <n v="4"/>
    <n v="0"/>
    <n v="0"/>
    <n v="107"/>
    <s v="_x0000_peopl"/>
  </r>
  <r>
    <x v="7"/>
    <n v="13.6919"/>
    <n v="-89.178299999999993"/>
    <n v="8"/>
    <n v="0"/>
    <n v="0"/>
    <n v="107"/>
    <s v="_x0000_peopl"/>
  </r>
  <r>
    <x v="7"/>
    <n v="13.692299999999999"/>
    <n v="-89.1785"/>
    <n v="4"/>
    <n v="0"/>
    <n v="0"/>
    <n v="107"/>
    <s v="_x0000_peopl"/>
  </r>
  <r>
    <x v="7"/>
    <n v="13.692299999999999"/>
    <n v="-89.178399999999996"/>
    <n v="5"/>
    <n v="0"/>
    <n v="0"/>
    <n v="107"/>
    <s v="_x0000_peopl"/>
  </r>
  <r>
    <x v="7"/>
    <n v="13.692299999999999"/>
    <n v="-89.178399999999996"/>
    <n v="1"/>
    <n v="0"/>
    <n v="0"/>
    <n v="107"/>
    <s v="_x0000_peopl"/>
  </r>
  <r>
    <x v="7"/>
    <n v="13.692399999999999"/>
    <n v="-89.178399999999996"/>
    <n v="1"/>
    <n v="0"/>
    <n v="0"/>
    <n v="107"/>
    <s v="_x0000_peopl"/>
  </r>
  <r>
    <x v="7"/>
    <n v="13.692399999999999"/>
    <n v="-89.178399999999996"/>
    <n v="1"/>
    <n v="0"/>
    <n v="0"/>
    <n v="107"/>
    <s v="_x0000_peopl"/>
  </r>
  <r>
    <x v="7"/>
    <n v="13.692399999999999"/>
    <n v="-89.178100000000001"/>
    <n v="6"/>
    <n v="0"/>
    <n v="0"/>
    <n v="107"/>
    <s v="_x0000_peopl"/>
  </r>
  <r>
    <x v="7"/>
    <n v="13.692399999999999"/>
    <n v="-89.177999999999997"/>
    <n v="7"/>
    <n v="0"/>
    <n v="0"/>
    <n v="107"/>
    <s v="_x0000_peopl"/>
  </r>
  <r>
    <x v="7"/>
    <n v="13.692399999999999"/>
    <n v="-89.177999999999997"/>
    <n v="7"/>
    <n v="0"/>
    <n v="0"/>
    <n v="107"/>
    <s v="_x0000_peopl"/>
  </r>
  <r>
    <x v="7"/>
    <n v="13.692399999999999"/>
    <n v="-89.177999999999997"/>
    <n v="4"/>
    <n v="0"/>
    <n v="0"/>
    <n v="107"/>
    <s v="_x0000_peopl"/>
  </r>
  <r>
    <x v="7"/>
    <n v="13.692500000000001"/>
    <n v="-89.177999999999997"/>
    <n v="3"/>
    <n v="0"/>
    <n v="0"/>
    <n v="107"/>
    <s v="_x0000_peopl"/>
  </r>
  <r>
    <x v="7"/>
    <n v="13.6919"/>
    <n v="-89.178299999999993"/>
    <n v="4"/>
    <n v="0"/>
    <n v="0"/>
    <n v="107"/>
    <s v="_x0000_peopl"/>
  </r>
  <r>
    <x v="7"/>
    <n v="13.6919"/>
    <n v="-89.178399999999996"/>
    <n v="7"/>
    <n v="0"/>
    <n v="0"/>
    <n v="107"/>
    <s v="_x0000_peopl"/>
  </r>
  <r>
    <x v="7"/>
    <n v="13.6904"/>
    <n v="-89.177899999999994"/>
    <n v="9"/>
    <n v="0"/>
    <n v="0"/>
    <n v="107"/>
    <s v="_x0000_peopl"/>
  </r>
  <r>
    <x v="7"/>
    <n v="13.6905"/>
    <n v="-89.177800000000005"/>
    <n v="3"/>
    <n v="0"/>
    <n v="0"/>
    <n v="107"/>
    <s v="_x0000_peopl"/>
  </r>
  <r>
    <x v="7"/>
    <n v="13.6905"/>
    <n v="-89.177700000000002"/>
    <n v="4"/>
    <n v="0"/>
    <n v="0"/>
    <n v="107"/>
    <s v="_x0000_peopl"/>
  </r>
  <r>
    <x v="7"/>
    <n v="13.6906"/>
    <n v="-89.177599999999998"/>
    <n v="5"/>
    <n v="0"/>
    <n v="0"/>
    <n v="107"/>
    <s v="_x0000_peopl"/>
  </r>
  <r>
    <x v="7"/>
    <n v="13.6904"/>
    <n v="-89.177300000000002"/>
    <n v="5"/>
    <n v="0"/>
    <n v="0"/>
    <n v="107"/>
    <s v="_x0000_peopl"/>
  </r>
  <r>
    <x v="7"/>
    <n v="13.6904"/>
    <n v="-89.177199999999999"/>
    <n v="4"/>
    <n v="0"/>
    <n v="0"/>
    <n v="107"/>
    <s v="_x0000_peopl"/>
  </r>
  <r>
    <x v="7"/>
    <n v="13.6905"/>
    <n v="-89.177199999999999"/>
    <n v="6"/>
    <n v="0"/>
    <n v="0"/>
    <n v="107"/>
    <s v="_x0000_peopl"/>
  </r>
  <r>
    <x v="7"/>
    <n v="13.6905"/>
    <n v="-89.177199999999999"/>
    <n v="7"/>
    <n v="0"/>
    <n v="0"/>
    <n v="107"/>
    <s v="_x0000_peopl"/>
  </r>
  <r>
    <x v="7"/>
    <n v="13.6905"/>
    <n v="-89.177099999999996"/>
    <n v="5"/>
    <n v="0"/>
    <n v="0"/>
    <n v="107"/>
    <s v="_x0000_peopl"/>
  </r>
  <r>
    <x v="7"/>
    <n v="13.6905"/>
    <n v="-89.177099999999996"/>
    <n v="6"/>
    <n v="0"/>
    <n v="0"/>
    <n v="107"/>
    <s v="_x0000_peopl"/>
  </r>
  <r>
    <x v="7"/>
    <n v="13.6905"/>
    <n v="-89.177000000000007"/>
    <n v="12"/>
    <n v="0"/>
    <n v="0"/>
    <n v="107"/>
    <s v="_x0000_peopl"/>
  </r>
  <r>
    <x v="7"/>
    <n v="13.6905"/>
    <n v="-89.177000000000007"/>
    <n v="4"/>
    <n v="0"/>
    <n v="0"/>
    <n v="107"/>
    <s v="_x0000_peopl"/>
  </r>
  <r>
    <x v="7"/>
    <n v="13.690300000000001"/>
    <n v="-89.177300000000002"/>
    <n v="7"/>
    <n v="0"/>
    <n v="0"/>
    <n v="107"/>
    <s v="_x0000_peopl"/>
  </r>
  <r>
    <x v="7"/>
    <n v="13.690300000000001"/>
    <n v="-89.177199999999999"/>
    <n v="5"/>
    <n v="0"/>
    <n v="0"/>
    <n v="107"/>
    <s v="_x0000_peopl"/>
  </r>
  <r>
    <x v="7"/>
    <n v="13.690300000000001"/>
    <n v="-89.177099999999996"/>
    <n v="6"/>
    <n v="0"/>
    <n v="0"/>
    <n v="107"/>
    <s v="_x0000_peopl"/>
  </r>
  <r>
    <x v="7"/>
    <n v="13.6904"/>
    <n v="-89.177099999999996"/>
    <n v="5"/>
    <n v="0"/>
    <n v="0"/>
    <n v="107"/>
    <s v="_x0000_peopl"/>
  </r>
  <r>
    <x v="7"/>
    <n v="13.6904"/>
    <n v="-89.177000000000007"/>
    <n v="3"/>
    <n v="0"/>
    <n v="0"/>
    <n v="107"/>
    <s v="_x0000_peopl"/>
  </r>
  <r>
    <x v="7"/>
    <n v="13.6904"/>
    <n v="-89.177000000000007"/>
    <n v="2"/>
    <n v="0"/>
    <n v="0"/>
    <n v="107"/>
    <s v="_x0000_peopl"/>
  </r>
  <r>
    <x v="7"/>
    <n v="13.690300000000001"/>
    <n v="-89.177199999999999"/>
    <n v="1"/>
    <n v="0"/>
    <n v="0"/>
    <n v="107"/>
    <s v="_x0000_peopl"/>
  </r>
  <r>
    <x v="7"/>
    <n v="13.6907"/>
    <n v="-89.177499999999995"/>
    <n v="8"/>
    <n v="0"/>
    <n v="0"/>
    <n v="107"/>
    <s v="_x0000_peopl"/>
  </r>
  <r>
    <x v="7"/>
    <n v="13.6906"/>
    <n v="-89.176900000000003"/>
    <n v="7"/>
    <n v="0"/>
    <n v="0"/>
    <n v="107"/>
    <s v="_x0000_peopl"/>
  </r>
  <r>
    <x v="7"/>
    <n v="13.6906"/>
    <n v="-89.176900000000003"/>
    <n v="5"/>
    <n v="0"/>
    <n v="0"/>
    <n v="107"/>
    <s v="_x0000_peopl"/>
  </r>
  <r>
    <x v="7"/>
    <n v="13.6906"/>
    <n v="-89.176900000000003"/>
    <n v="8"/>
    <n v="0"/>
    <n v="0"/>
    <n v="107"/>
    <s v="_x0000_peopl"/>
  </r>
  <r>
    <x v="7"/>
    <n v="13.6906"/>
    <n v="-89.1768"/>
    <n v="5"/>
    <n v="0"/>
    <n v="0"/>
    <n v="107"/>
    <s v="_x0000_peopl"/>
  </r>
  <r>
    <x v="7"/>
    <n v="13.6904"/>
    <n v="-89.176900000000003"/>
    <n v="7"/>
    <n v="0"/>
    <n v="0"/>
    <n v="107"/>
    <s v="_x0000_peopl"/>
  </r>
  <r>
    <x v="7"/>
    <n v="13.6904"/>
    <n v="-89.1768"/>
    <n v="5"/>
    <n v="0"/>
    <n v="0"/>
    <n v="107"/>
    <s v="_x0000_peopl"/>
  </r>
  <r>
    <x v="7"/>
    <n v="13.6905"/>
    <n v="-89.1768"/>
    <n v="6"/>
    <n v="0"/>
    <n v="0"/>
    <n v="107"/>
    <s v="_x0000_peopl"/>
  </r>
  <r>
    <x v="7"/>
    <n v="13.6905"/>
    <n v="-89.176699999999997"/>
    <n v="6"/>
    <n v="0"/>
    <n v="0"/>
    <n v="107"/>
    <s v="_x0000_peopl"/>
  </r>
  <r>
    <x v="7"/>
    <n v="13.6905"/>
    <n v="-89.176699999999997"/>
    <n v="3"/>
    <n v="0"/>
    <n v="0"/>
    <n v="107"/>
    <s v="_x0000_peopl"/>
  </r>
  <r>
    <x v="7"/>
    <n v="13.6905"/>
    <n v="-89.176599999999993"/>
    <n v="5"/>
    <n v="0"/>
    <n v="0"/>
    <n v="107"/>
    <s v="_x0000_peopl"/>
  </r>
  <r>
    <x v="7"/>
    <n v="13.6905"/>
    <n v="-89.176599999999993"/>
    <n v="1"/>
    <n v="0"/>
    <n v="0"/>
    <n v="107"/>
    <s v="_x0000_peopl"/>
  </r>
  <r>
    <x v="7"/>
    <n v="13.6906"/>
    <n v="-89.176599999999993"/>
    <n v="9"/>
    <n v="0"/>
    <n v="0"/>
    <n v="107"/>
    <s v="_x0000_peopl"/>
  </r>
  <r>
    <x v="7"/>
    <n v="13.6906"/>
    <n v="-89.176599999999993"/>
    <n v="3"/>
    <n v="0"/>
    <n v="0"/>
    <n v="107"/>
    <s v="_x0000_peopl"/>
  </r>
  <r>
    <x v="7"/>
    <n v="13.6907"/>
    <n v="-89.176599999999993"/>
    <n v="5"/>
    <n v="0"/>
    <n v="0"/>
    <n v="107"/>
    <s v="_x0000_peopl"/>
  </r>
  <r>
    <x v="7"/>
    <n v="13.6906"/>
    <n v="-89.176699999999997"/>
    <n v="5"/>
    <n v="0"/>
    <n v="0"/>
    <n v="107"/>
    <s v="_x0000_peopl"/>
  </r>
  <r>
    <x v="7"/>
    <n v="13.6906"/>
    <n v="-89.176699999999997"/>
    <n v="6"/>
    <n v="0"/>
    <n v="0"/>
    <n v="107"/>
    <s v="_x0000_peopl"/>
  </r>
  <r>
    <x v="7"/>
    <n v="13.6906"/>
    <n v="-89.1768"/>
    <n v="3"/>
    <n v="0"/>
    <n v="0"/>
    <n v="107"/>
    <s v="_x0000_peopl"/>
  </r>
  <r>
    <x v="7"/>
    <n v="13.6907"/>
    <n v="-89.176599999999993"/>
    <n v="3"/>
    <n v="0"/>
    <n v="0"/>
    <n v="107"/>
    <s v="_x0000_peopl"/>
  </r>
  <r>
    <x v="7"/>
    <n v="13.6904"/>
    <n v="-89.176900000000003"/>
    <n v="5"/>
    <n v="0"/>
    <n v="0"/>
    <n v="107"/>
    <s v="_x0000_peopl"/>
  </r>
  <r>
    <x v="7"/>
    <n v="13.6904"/>
    <n v="-89.176900000000003"/>
    <n v="4"/>
    <n v="0"/>
    <n v="0"/>
    <n v="107"/>
    <s v="_x0000_peopl"/>
  </r>
  <r>
    <x v="7"/>
    <n v="13.690099999999999"/>
    <n v="-89.177199999999999"/>
    <n v="6"/>
    <n v="0"/>
    <n v="0"/>
    <n v="107"/>
    <s v="_x0000_peopl"/>
  </r>
  <r>
    <x v="7"/>
    <n v="13.690200000000001"/>
    <n v="-89.177099999999996"/>
    <n v="8"/>
    <n v="0"/>
    <n v="0"/>
    <n v="107"/>
    <s v="_x0000_peopl"/>
  </r>
  <r>
    <x v="7"/>
    <n v="13.690200000000001"/>
    <n v="-89.177099999999996"/>
    <n v="6"/>
    <n v="0"/>
    <n v="0"/>
    <n v="107"/>
    <s v="_x0000_peopl"/>
  </r>
  <r>
    <x v="7"/>
    <n v="13.690200000000001"/>
    <n v="-89.177099999999996"/>
    <n v="4"/>
    <n v="0"/>
    <n v="0"/>
    <n v="107"/>
    <s v="_x0000_peopl"/>
  </r>
  <r>
    <x v="7"/>
    <n v="13.690200000000001"/>
    <n v="-89.177000000000007"/>
    <n v="3"/>
    <n v="0"/>
    <n v="0"/>
    <n v="107"/>
    <s v="_x0000_peopl"/>
  </r>
  <r>
    <x v="7"/>
    <n v="13.690200000000001"/>
    <n v="-89.177000000000007"/>
    <n v="5"/>
    <n v="0"/>
    <n v="0"/>
    <n v="107"/>
    <s v="_x0000_peopl"/>
  </r>
  <r>
    <x v="7"/>
    <n v="13.690200000000001"/>
    <n v="-89.176900000000003"/>
    <n v="3"/>
    <n v="0"/>
    <n v="0"/>
    <n v="107"/>
    <s v="_x0000_peopl"/>
  </r>
  <r>
    <x v="7"/>
    <n v="13.690200000000001"/>
    <n v="-89.176900000000003"/>
    <n v="11"/>
    <n v="0"/>
    <n v="0"/>
    <n v="107"/>
    <s v="_x0000_peopl"/>
  </r>
  <r>
    <x v="7"/>
    <n v="13.690200000000001"/>
    <n v="-89.1768"/>
    <n v="3"/>
    <n v="0"/>
    <n v="0"/>
    <n v="107"/>
    <s v="_x0000_peopl"/>
  </r>
  <r>
    <x v="7"/>
    <n v="13.690300000000001"/>
    <n v="-89.1768"/>
    <n v="6"/>
    <n v="0"/>
    <n v="0"/>
    <n v="107"/>
    <s v="_x0000_peopl"/>
  </r>
  <r>
    <x v="7"/>
    <n v="13.690300000000001"/>
    <n v="-89.1768"/>
    <n v="3"/>
    <n v="0"/>
    <n v="0"/>
    <n v="107"/>
    <s v="_x0000_peopl"/>
  </r>
  <r>
    <x v="7"/>
    <n v="13.690300000000001"/>
    <n v="-89.176699999999997"/>
    <n v="3"/>
    <n v="0"/>
    <n v="0"/>
    <n v="107"/>
    <s v="_x0000_peopl"/>
  </r>
  <r>
    <x v="7"/>
    <n v="13.690300000000001"/>
    <n v="-89.176699999999997"/>
    <n v="6"/>
    <n v="0"/>
    <n v="0"/>
    <n v="107"/>
    <s v="_x0000_peopl"/>
  </r>
  <r>
    <x v="7"/>
    <n v="13.690300000000001"/>
    <n v="-89.176599999999993"/>
    <n v="4"/>
    <n v="0"/>
    <n v="0"/>
    <n v="107"/>
    <s v="_x0000_peopl"/>
  </r>
  <r>
    <x v="7"/>
    <n v="13.690300000000001"/>
    <n v="-89.176599999999993"/>
    <n v="5"/>
    <n v="0"/>
    <n v="0"/>
    <n v="107"/>
    <s v="_x0000_peopl"/>
  </r>
  <r>
    <x v="7"/>
    <n v="13.6904"/>
    <n v="-89.176500000000004"/>
    <n v="8"/>
    <n v="0"/>
    <n v="0"/>
    <n v="107"/>
    <s v="_x0000_peopl"/>
  </r>
  <r>
    <x v="7"/>
    <n v="13.690300000000001"/>
    <n v="-89.176500000000004"/>
    <n v="4"/>
    <n v="0"/>
    <n v="0"/>
    <n v="107"/>
    <s v="_x0000_peopl"/>
  </r>
  <r>
    <x v="7"/>
    <n v="13.690300000000001"/>
    <n v="-89.176500000000004"/>
    <n v="9"/>
    <n v="0"/>
    <n v="0"/>
    <n v="107"/>
    <s v="_x0000_peopl"/>
  </r>
  <r>
    <x v="7"/>
    <n v="13.690300000000001"/>
    <n v="-89.176500000000004"/>
    <n v="5"/>
    <n v="0"/>
    <n v="0"/>
    <n v="107"/>
    <s v="_x0000_peopl"/>
  </r>
  <r>
    <x v="7"/>
    <n v="13.690200000000001"/>
    <n v="-89.176500000000004"/>
    <n v="4"/>
    <n v="0"/>
    <n v="0"/>
    <n v="107"/>
    <s v="_x0000_peopl"/>
  </r>
  <r>
    <x v="7"/>
    <n v="13.690200000000001"/>
    <n v="-89.176500000000004"/>
    <n v="4"/>
    <n v="0"/>
    <n v="0"/>
    <n v="107"/>
    <s v="_x0000_peopl"/>
  </r>
  <r>
    <x v="7"/>
    <n v="13.690200000000001"/>
    <n v="-89.176599999999993"/>
    <n v="3"/>
    <n v="0"/>
    <n v="0"/>
    <n v="107"/>
    <s v="_x0000_peopl"/>
  </r>
  <r>
    <x v="7"/>
    <n v="13.690200000000001"/>
    <n v="-89.176599999999993"/>
    <n v="3"/>
    <n v="0"/>
    <n v="0"/>
    <n v="107"/>
    <s v="_x0000_peopl"/>
  </r>
  <r>
    <x v="7"/>
    <n v="13.690099999999999"/>
    <n v="-89.176699999999997"/>
    <n v="3"/>
    <n v="0"/>
    <n v="0"/>
    <n v="107"/>
    <s v="_x0000_peopl"/>
  </r>
  <r>
    <x v="7"/>
    <n v="13.690099999999999"/>
    <n v="-89.176699999999997"/>
    <n v="5"/>
    <n v="0"/>
    <n v="0"/>
    <n v="107"/>
    <s v="_x0000_peopl"/>
  </r>
  <r>
    <x v="7"/>
    <n v="13.690099999999999"/>
    <n v="-89.1768"/>
    <n v="5"/>
    <n v="0"/>
    <n v="0"/>
    <n v="107"/>
    <s v="_x0000_peopl"/>
  </r>
  <r>
    <x v="7"/>
    <n v="13.690099999999999"/>
    <n v="-89.1768"/>
    <n v="7"/>
    <n v="0"/>
    <n v="0"/>
    <n v="107"/>
    <s v="_x0000_peopl"/>
  </r>
  <r>
    <x v="7"/>
    <n v="13.690099999999999"/>
    <n v="-89.1768"/>
    <n v="7"/>
    <n v="0"/>
    <n v="0"/>
    <n v="107"/>
    <s v="_x0000_peopl"/>
  </r>
  <r>
    <x v="7"/>
    <n v="13.690099999999999"/>
    <n v="-89.176900000000003"/>
    <n v="2"/>
    <n v="0"/>
    <n v="0"/>
    <n v="107"/>
    <s v="_x0000_peopl"/>
  </r>
  <r>
    <x v="7"/>
    <n v="13.690099999999999"/>
    <n v="-89.176900000000003"/>
    <n v="5"/>
    <n v="0"/>
    <n v="0"/>
    <n v="107"/>
    <s v="_x0000_peopl"/>
  </r>
  <r>
    <x v="7"/>
    <n v="13.69"/>
    <n v="-89.177000000000007"/>
    <n v="4"/>
    <n v="0"/>
    <n v="0"/>
    <n v="107"/>
    <s v="_x0000_peopl"/>
  </r>
  <r>
    <x v="7"/>
    <n v="13.69"/>
    <n v="-89.177000000000007"/>
    <n v="4"/>
    <n v="0"/>
    <n v="0"/>
    <n v="107"/>
    <s v="_x0000_peopl"/>
  </r>
  <r>
    <x v="7"/>
    <n v="13.69"/>
    <n v="-89.177099999999996"/>
    <n v="6"/>
    <n v="0"/>
    <n v="0"/>
    <n v="107"/>
    <s v="_x0000_peopl"/>
  </r>
  <r>
    <x v="7"/>
    <n v="13.69"/>
    <n v="-89.177099999999996"/>
    <n v="4"/>
    <n v="0"/>
    <n v="0"/>
    <n v="107"/>
    <s v="_x0000_peopl"/>
  </r>
  <r>
    <x v="7"/>
    <n v="13.69"/>
    <n v="-89.177099999999996"/>
    <n v="1"/>
    <n v="0"/>
    <n v="0"/>
    <n v="107"/>
    <s v="_x0000_peopl"/>
  </r>
  <r>
    <x v="7"/>
    <n v="13.69"/>
    <n v="-89.177199999999999"/>
    <n v="7"/>
    <n v="0"/>
    <n v="0"/>
    <n v="107"/>
    <s v="_x0000_peopl"/>
  </r>
  <r>
    <x v="7"/>
    <n v="13.690099999999999"/>
    <n v="-89.177300000000002"/>
    <n v="4"/>
    <n v="0"/>
    <n v="0"/>
    <n v="107"/>
    <s v="_x0000_peopl"/>
  </r>
  <r>
    <x v="7"/>
    <n v="13.690099999999999"/>
    <n v="-89.177199999999999"/>
    <n v="3"/>
    <n v="0"/>
    <n v="0"/>
    <n v="107"/>
    <s v="_x0000_peopl"/>
  </r>
  <r>
    <x v="7"/>
    <n v="13.6907"/>
    <n v="-89.177400000000006"/>
    <n v="5"/>
    <n v="0"/>
    <n v="0"/>
    <n v="107"/>
    <s v="_x0000_peopl"/>
  </r>
  <r>
    <x v="7"/>
    <n v="13.6907"/>
    <n v="-89.177300000000002"/>
    <n v="2"/>
    <n v="0"/>
    <n v="0"/>
    <n v="107"/>
    <s v="_x0000_peopl"/>
  </r>
  <r>
    <x v="7"/>
    <n v="13.690799999999999"/>
    <n v="-89.177300000000002"/>
    <n v="5"/>
    <n v="0"/>
    <n v="0"/>
    <n v="107"/>
    <s v="_x0000_peopl"/>
  </r>
  <r>
    <x v="7"/>
    <n v="13.690799999999999"/>
    <n v="-89.177199999999999"/>
    <n v="5"/>
    <n v="0"/>
    <n v="0"/>
    <n v="107"/>
    <s v="_x0000_peopl"/>
  </r>
  <r>
    <x v="7"/>
    <n v="13.690799999999999"/>
    <n v="-89.177199999999999"/>
    <n v="2"/>
    <n v="0"/>
    <n v="0"/>
    <n v="107"/>
    <s v="_x0000_peopl"/>
  </r>
  <r>
    <x v="7"/>
    <n v="13.690799999999999"/>
    <n v="-89.177099999999996"/>
    <n v="2"/>
    <n v="0"/>
    <n v="0"/>
    <n v="107"/>
    <s v="_x0000_peopl"/>
  </r>
  <r>
    <x v="7"/>
    <n v="13.690799999999999"/>
    <n v="-89.177099999999996"/>
    <n v="5"/>
    <n v="0"/>
    <n v="0"/>
    <n v="107"/>
    <s v="_x0000_peopl"/>
  </r>
  <r>
    <x v="7"/>
    <n v="13.690799999999999"/>
    <n v="-89.177000000000007"/>
    <n v="3"/>
    <n v="0"/>
    <n v="0"/>
    <n v="107"/>
    <s v="_x0000_peopl"/>
  </r>
  <r>
    <x v="7"/>
    <n v="13.690899999999999"/>
    <n v="-89.177000000000007"/>
    <n v="5"/>
    <n v="0"/>
    <n v="0"/>
    <n v="107"/>
    <s v="_x0000_peopl"/>
  </r>
  <r>
    <x v="7"/>
    <n v="13.690899999999999"/>
    <n v="-89.176900000000003"/>
    <n v="4"/>
    <n v="0"/>
    <n v="0"/>
    <n v="107"/>
    <s v="_x0000_peopl"/>
  </r>
  <r>
    <x v="7"/>
    <n v="13.690899999999999"/>
    <n v="-89.176900000000003"/>
    <n v="7"/>
    <n v="0"/>
    <n v="0"/>
    <n v="107"/>
    <s v="_x0000_peopl"/>
  </r>
  <r>
    <x v="7"/>
    <n v="13.690899999999999"/>
    <n v="-89.176900000000003"/>
    <n v="4"/>
    <n v="0"/>
    <n v="0"/>
    <n v="107"/>
    <s v="_x0000_peopl"/>
  </r>
  <r>
    <x v="7"/>
    <n v="13.690899999999999"/>
    <n v="-89.1768"/>
    <n v="3"/>
    <n v="0"/>
    <n v="0"/>
    <n v="107"/>
    <s v="_x0000_peopl"/>
  </r>
  <r>
    <x v="7"/>
    <n v="13.690899999999999"/>
    <n v="-89.1768"/>
    <n v="3"/>
    <n v="0"/>
    <n v="0"/>
    <n v="107"/>
    <s v="_x0000_peopl"/>
  </r>
  <r>
    <x v="7"/>
    <n v="13.690899999999999"/>
    <n v="-89.176699999999997"/>
    <n v="7"/>
    <n v="0"/>
    <n v="0"/>
    <n v="107"/>
    <s v="_x0000_peopl"/>
  </r>
  <r>
    <x v="7"/>
    <n v="13.690899999999999"/>
    <n v="-89.176699999999997"/>
    <n v="5"/>
    <n v="0"/>
    <n v="0"/>
    <n v="107"/>
    <s v="_x0000_peopl"/>
  </r>
  <r>
    <x v="7"/>
    <n v="13.691000000000001"/>
    <n v="-89.176699999999997"/>
    <n v="5"/>
    <n v="0"/>
    <n v="0"/>
    <n v="107"/>
    <s v="_x0000_peopl"/>
  </r>
  <r>
    <x v="7"/>
    <n v="13.6911"/>
    <n v="-89.176699999999997"/>
    <n v="3"/>
    <n v="0"/>
    <n v="0"/>
    <n v="107"/>
    <s v="_x0000_peopl"/>
  </r>
  <r>
    <x v="7"/>
    <n v="13.6911"/>
    <n v="-89.176699999999997"/>
    <n v="3"/>
    <n v="0"/>
    <n v="0"/>
    <n v="107"/>
    <s v="_x0000_peopl"/>
  </r>
  <r>
    <x v="7"/>
    <n v="13.6911"/>
    <n v="-89.176699999999997"/>
    <n v="7"/>
    <n v="0"/>
    <n v="0"/>
    <n v="107"/>
    <s v="_x0000_peopl"/>
  </r>
  <r>
    <x v="7"/>
    <n v="13.6911"/>
    <n v="-89.1768"/>
    <n v="4"/>
    <n v="0"/>
    <n v="0"/>
    <n v="107"/>
    <s v="_x0000_peopl"/>
  </r>
  <r>
    <x v="7"/>
    <n v="13.6911"/>
    <n v="-89.1768"/>
    <n v="5"/>
    <n v="0"/>
    <n v="0"/>
    <n v="107"/>
    <s v="_x0000_peopl"/>
  </r>
  <r>
    <x v="7"/>
    <n v="13.6911"/>
    <n v="-89.176900000000003"/>
    <n v="9"/>
    <n v="0"/>
    <n v="0"/>
    <n v="107"/>
    <s v="_x0000_peopl"/>
  </r>
  <r>
    <x v="7"/>
    <n v="13.6911"/>
    <n v="-89.176900000000003"/>
    <n v="3"/>
    <n v="0"/>
    <n v="0"/>
    <n v="107"/>
    <s v="_x0000_peopl"/>
  </r>
  <r>
    <x v="7"/>
    <n v="13.691000000000001"/>
    <n v="-89.177000000000007"/>
    <n v="2"/>
    <n v="0"/>
    <n v="0"/>
    <n v="107"/>
    <s v="_x0000_peopl"/>
  </r>
  <r>
    <x v="7"/>
    <n v="13.691000000000001"/>
    <n v="-89.177000000000007"/>
    <n v="1"/>
    <n v="0"/>
    <n v="0"/>
    <n v="107"/>
    <s v="_x0000_peopl"/>
  </r>
  <r>
    <x v="7"/>
    <n v="13.691000000000001"/>
    <n v="-89.177099999999996"/>
    <n v="2"/>
    <n v="0"/>
    <n v="0"/>
    <n v="107"/>
    <s v="_x0000_peopl"/>
  </r>
  <r>
    <x v="7"/>
    <n v="13.691000000000001"/>
    <n v="-89.177099999999996"/>
    <n v="4"/>
    <n v="0"/>
    <n v="0"/>
    <n v="107"/>
    <s v="_x0000_peopl"/>
  </r>
  <r>
    <x v="7"/>
    <n v="13.691000000000001"/>
    <n v="-89.177099999999996"/>
    <n v="6"/>
    <n v="0"/>
    <n v="0"/>
    <n v="107"/>
    <s v="_x0000_peopl"/>
  </r>
  <r>
    <x v="7"/>
    <n v="13.690899999999999"/>
    <n v="-89.177199999999999"/>
    <n v="6"/>
    <n v="0"/>
    <n v="0"/>
    <n v="107"/>
    <s v="_x0000_peopl"/>
  </r>
  <r>
    <x v="7"/>
    <n v="13.6912"/>
    <n v="-89.176500000000004"/>
    <n v="4"/>
    <n v="0"/>
    <n v="0"/>
    <n v="107"/>
    <s v="_x0000_peopl"/>
  </r>
  <r>
    <x v="7"/>
    <n v="13.6912"/>
    <n v="-89.176500000000004"/>
    <n v="4"/>
    <n v="0"/>
    <n v="0"/>
    <n v="107"/>
    <s v="_x0000_peopl"/>
  </r>
  <r>
    <x v="7"/>
    <n v="13.6911"/>
    <n v="-89.176500000000004"/>
    <n v="6"/>
    <n v="0"/>
    <n v="0"/>
    <n v="107"/>
    <s v="_x0000_peopl"/>
  </r>
  <r>
    <x v="7"/>
    <n v="13.6911"/>
    <n v="-89.176400000000001"/>
    <n v="5"/>
    <n v="0"/>
    <n v="0"/>
    <n v="107"/>
    <s v="_x0000_peopl"/>
  </r>
  <r>
    <x v="7"/>
    <n v="13.6911"/>
    <n v="-89.176400000000001"/>
    <n v="10"/>
    <n v="0"/>
    <n v="0"/>
    <n v="107"/>
    <s v="_x0000_peopl"/>
  </r>
  <r>
    <x v="7"/>
    <n v="13.6911"/>
    <n v="-89.176299999999998"/>
    <n v="8"/>
    <n v="0"/>
    <n v="0"/>
    <n v="107"/>
    <s v="_x0000_peopl"/>
  </r>
  <r>
    <x v="7"/>
    <n v="13.6911"/>
    <n v="-89.176299999999998"/>
    <n v="4"/>
    <n v="0"/>
    <n v="0"/>
    <n v="107"/>
    <s v="_x0000_peopl"/>
  </r>
  <r>
    <x v="7"/>
    <n v="13.6912"/>
    <n v="-89.176299999999998"/>
    <n v="4"/>
    <n v="0"/>
    <n v="0"/>
    <n v="107"/>
    <s v="_x0000_peopl"/>
  </r>
  <r>
    <x v="7"/>
    <n v="13.6912"/>
    <n v="-89.176299999999998"/>
    <n v="5"/>
    <n v="0"/>
    <n v="0"/>
    <n v="107"/>
    <s v="_x0000_peopl"/>
  </r>
  <r>
    <x v="7"/>
    <n v="13.6913"/>
    <n v="-89.176400000000001"/>
    <n v="1"/>
    <n v="0"/>
    <n v="0"/>
    <n v="107"/>
    <s v="_x0000_peopl"/>
  </r>
  <r>
    <x v="7"/>
    <n v="13.69"/>
    <n v="-89.177199999999999"/>
    <n v="6"/>
    <n v="0"/>
    <n v="0"/>
    <n v="107"/>
    <s v="_x0000_peopl"/>
  </r>
  <r>
    <x v="7"/>
    <n v="13.692"/>
    <n v="-89.180599999999998"/>
    <n v="7"/>
    <n v="0"/>
    <n v="0"/>
    <n v="107"/>
    <s v="_x0000_peopl"/>
  </r>
  <r>
    <x v="7"/>
    <n v="13.6921"/>
    <n v="-89.180899999999994"/>
    <n v="1"/>
    <n v="0"/>
    <n v="0"/>
    <n v="107"/>
    <s v="_x0000_peopl"/>
  </r>
  <r>
    <x v="7"/>
    <n v="13.6921"/>
    <n v="-89.180899999999994"/>
    <n v="1"/>
    <n v="0"/>
    <n v="0"/>
    <n v="107"/>
    <s v="_x0000_peopl"/>
  </r>
  <r>
    <x v="7"/>
    <n v="13.6922"/>
    <n v="-89.180899999999994"/>
    <n v="6"/>
    <n v="0"/>
    <n v="0"/>
    <n v="107"/>
    <s v="_x0000_peopl"/>
  </r>
  <r>
    <x v="7"/>
    <n v="13.6922"/>
    <n v="-89.180599999999998"/>
    <n v="3"/>
    <n v="0"/>
    <n v="0"/>
    <n v="107"/>
    <s v="_x0000_peopl"/>
  </r>
  <r>
    <x v="7"/>
    <n v="13.692299999999999"/>
    <n v="-89.180800000000005"/>
    <n v="5"/>
    <n v="0"/>
    <n v="0"/>
    <n v="107"/>
    <s v="_x0000_peopl"/>
  </r>
  <r>
    <x v="7"/>
    <n v="13.692399999999999"/>
    <n v="-89.180800000000005"/>
    <n v="3"/>
    <n v="0"/>
    <n v="0"/>
    <n v="107"/>
    <s v="_x0000_peopl"/>
  </r>
  <r>
    <x v="7"/>
    <n v="13.692399999999999"/>
    <n v="-89.180599999999998"/>
    <n v="4"/>
    <n v="0"/>
    <n v="0"/>
    <n v="107"/>
    <s v="_x0000_peopl"/>
  </r>
  <r>
    <x v="7"/>
    <n v="13.692299999999999"/>
    <n v="-89.180599999999998"/>
    <n v="6"/>
    <n v="0"/>
    <n v="0"/>
    <n v="107"/>
    <s v="_x0000_peopl"/>
  </r>
  <r>
    <x v="7"/>
    <n v="13.692500000000001"/>
    <n v="-89.180499999999995"/>
    <n v="4"/>
    <n v="0"/>
    <n v="0"/>
    <n v="107"/>
    <s v="_x0000_peopl"/>
  </r>
  <r>
    <x v="7"/>
    <n v="13.692600000000001"/>
    <n v="-89.180700000000002"/>
    <n v="6"/>
    <n v="0"/>
    <n v="0"/>
    <n v="107"/>
    <s v="_x0000_peopl"/>
  </r>
  <r>
    <x v="7"/>
    <n v="13.693300000000001"/>
    <n v="-89.179699999999997"/>
    <n v="3"/>
    <n v="0"/>
    <n v="0"/>
    <n v="107"/>
    <s v="_x0000_peopl"/>
  </r>
  <r>
    <x v="7"/>
    <n v="13.693199999999999"/>
    <n v="-89.178799999999995"/>
    <n v="4"/>
    <n v="0"/>
    <n v="0"/>
    <n v="107"/>
    <s v="_x0000_peopl"/>
  </r>
  <r>
    <x v="7"/>
    <n v="13.693199999999999"/>
    <n v="-89.178799999999995"/>
    <n v="8"/>
    <n v="0"/>
    <n v="0"/>
    <n v="107"/>
    <s v="_x0000_peopl"/>
  </r>
  <r>
    <x v="7"/>
    <n v="13.693199999999999"/>
    <n v="-89.178799999999995"/>
    <n v="4"/>
    <n v="0"/>
    <n v="0"/>
    <n v="107"/>
    <s v="_x0000_peopl"/>
  </r>
  <r>
    <x v="7"/>
    <n v="13.693199999999999"/>
    <n v="-89.178799999999995"/>
    <n v="7"/>
    <n v="0"/>
    <n v="0"/>
    <n v="107"/>
    <s v="_x0000_peopl"/>
  </r>
  <r>
    <x v="7"/>
    <n v="13.693199999999999"/>
    <n v="-89.178899999999999"/>
    <n v="3"/>
    <n v="0"/>
    <n v="0"/>
    <n v="107"/>
    <s v="_x0000_peopl"/>
  </r>
  <r>
    <x v="7"/>
    <n v="13.693300000000001"/>
    <n v="-89.178899999999999"/>
    <n v="3"/>
    <n v="0"/>
    <n v="0"/>
    <n v="107"/>
    <s v="_x0000_peopl"/>
  </r>
  <r>
    <x v="7"/>
    <n v="13.693199999999999"/>
    <n v="-89.178899999999999"/>
    <n v="3"/>
    <n v="0"/>
    <n v="0"/>
    <n v="107"/>
    <s v="_x0000_peopl"/>
  </r>
  <r>
    <x v="7"/>
    <n v="13.693199999999999"/>
    <n v="-89.178899999999999"/>
    <n v="5"/>
    <n v="0"/>
    <n v="0"/>
    <n v="107"/>
    <s v="_x0000_peopl"/>
  </r>
  <r>
    <x v="7"/>
    <n v="13.693300000000001"/>
    <n v="-89.179500000000004"/>
    <n v="5"/>
    <n v="0"/>
    <n v="0"/>
    <n v="107"/>
    <s v="_x0000_peopl"/>
  </r>
  <r>
    <x v="7"/>
    <n v="13.693199999999999"/>
    <n v="-89.179500000000004"/>
    <n v="9"/>
    <n v="0"/>
    <n v="0"/>
    <n v="107"/>
    <s v="_x0000_peopl"/>
  </r>
  <r>
    <x v="7"/>
    <n v="13.693300000000001"/>
    <n v="-89.179500000000004"/>
    <n v="5"/>
    <n v="0"/>
    <n v="0"/>
    <n v="107"/>
    <s v="_x0000_peopl"/>
  </r>
  <r>
    <x v="7"/>
    <n v="13.693199999999999"/>
    <n v="-89.179599999999994"/>
    <n v="3"/>
    <n v="0"/>
    <n v="0"/>
    <n v="107"/>
    <s v="_x0000_peopl"/>
  </r>
  <r>
    <x v="7"/>
    <n v="13.693099999999999"/>
    <n v="-89.178700000000006"/>
    <n v="1"/>
    <n v="0"/>
    <n v="0"/>
    <n v="107"/>
    <s v="_x0000_peopl"/>
  </r>
  <r>
    <x v="7"/>
    <n v="13.693099999999999"/>
    <n v="-89.178600000000003"/>
    <n v="5"/>
    <n v="0"/>
    <n v="0"/>
    <n v="107"/>
    <s v="_x0000_peopl"/>
  </r>
  <r>
    <x v="7"/>
    <n v="13.693"/>
    <n v="-89.178600000000003"/>
    <n v="4"/>
    <n v="0"/>
    <n v="0"/>
    <n v="107"/>
    <s v="_x0000_peopl"/>
  </r>
  <r>
    <x v="7"/>
    <n v="13.693"/>
    <n v="-89.178600000000003"/>
    <n v="5"/>
    <n v="0"/>
    <n v="0"/>
    <n v="107"/>
    <s v="_x0000_peopl"/>
  </r>
  <r>
    <x v="7"/>
    <n v="13.693"/>
    <n v="-89.178700000000006"/>
    <n v="7"/>
    <n v="0"/>
    <n v="0"/>
    <n v="107"/>
    <s v="_x0000_peopl"/>
  </r>
  <r>
    <x v="7"/>
    <n v="13.693"/>
    <n v="-89.178799999999995"/>
    <n v="4"/>
    <n v="0"/>
    <n v="0"/>
    <n v="107"/>
    <s v="_x0000_peopl"/>
  </r>
  <r>
    <x v="7"/>
    <n v="13.693"/>
    <n v="-89.178600000000003"/>
    <n v="5"/>
    <n v="0"/>
    <n v="0"/>
    <n v="107"/>
    <s v="_x0000_peopl"/>
  </r>
  <r>
    <x v="7"/>
    <n v="13.693199999999999"/>
    <n v="-89.178799999999995"/>
    <n v="4"/>
    <n v="0"/>
    <n v="0"/>
    <n v="107"/>
    <s v="_x0000_peopl"/>
  </r>
  <r>
    <x v="7"/>
    <n v="13.693099999999999"/>
    <n v="-89.178700000000006"/>
    <n v="6"/>
    <n v="0"/>
    <n v="0"/>
    <n v="107"/>
    <s v="_x0000_peopl"/>
  </r>
  <r>
    <x v="7"/>
    <n v="13.693099999999999"/>
    <n v="-89.179000000000002"/>
    <n v="5"/>
    <n v="0"/>
    <n v="0"/>
    <n v="107"/>
    <s v="_x0000_peopl"/>
  </r>
  <r>
    <x v="7"/>
    <n v="13.6877"/>
    <n v="-89.190799999999996"/>
    <n v="5"/>
    <n v="0"/>
    <n v="0"/>
    <n v="107"/>
    <s v="_x0000_peopl"/>
  </r>
  <r>
    <x v="7"/>
    <n v="13.687799999999999"/>
    <n v="-89.190799999999996"/>
    <n v="4"/>
    <n v="0"/>
    <n v="0"/>
    <n v="107"/>
    <s v="_x0000_peopl"/>
  </r>
  <r>
    <x v="7"/>
    <n v="13.6874"/>
    <n v="-89.190299999999993"/>
    <n v="1"/>
    <n v="0"/>
    <n v="0"/>
    <n v="107"/>
    <s v="_x0000_peopl"/>
  </r>
  <r>
    <x v="7"/>
    <n v="13.687200000000001"/>
    <n v="-89.190700000000007"/>
    <n v="1"/>
    <n v="0"/>
    <n v="0"/>
    <n v="107"/>
    <s v="_x0000_peopl"/>
  </r>
  <r>
    <x v="7"/>
    <n v="13.6873"/>
    <n v="-89.190600000000003"/>
    <n v="3"/>
    <n v="0"/>
    <n v="0"/>
    <n v="107"/>
    <s v="_x0000_peopl"/>
  </r>
  <r>
    <x v="7"/>
    <n v="13.6874"/>
    <n v="-89.190799999999996"/>
    <n v="5"/>
    <n v="0"/>
    <n v="0"/>
    <n v="107"/>
    <s v="_x0000_peopl"/>
  </r>
  <r>
    <x v="7"/>
    <n v="13.687099999999999"/>
    <n v="-89.190299999999993"/>
    <n v="3"/>
    <n v="0"/>
    <n v="0"/>
    <n v="107"/>
    <s v="_x0000_peopl"/>
  </r>
  <r>
    <x v="7"/>
    <n v="13.694000000000001"/>
    <n v="-89.182100000000005"/>
    <n v="7"/>
    <n v="0"/>
    <n v="0"/>
    <n v="107"/>
    <s v="_x0000_peopl"/>
  </r>
  <r>
    <x v="7"/>
    <n v="13.6942"/>
    <n v="-89.181600000000003"/>
    <n v="1"/>
    <n v="0"/>
    <n v="0"/>
    <n v="107"/>
    <s v="_x0000_peopl"/>
  </r>
  <r>
    <x v="7"/>
    <n v="13.6943"/>
    <n v="-89.1815"/>
    <n v="9"/>
    <n v="0"/>
    <n v="0"/>
    <n v="107"/>
    <s v="_x0000_peopl"/>
  </r>
  <r>
    <x v="7"/>
    <n v="13.694699999999999"/>
    <n v="-89.181399999999996"/>
    <n v="4"/>
    <n v="0"/>
    <n v="0"/>
    <n v="107"/>
    <s v="_x0000_peopl"/>
  </r>
  <r>
    <x v="7"/>
    <n v="13.6951"/>
    <n v="-89.183499999999995"/>
    <n v="3"/>
    <n v="0"/>
    <n v="0"/>
    <n v="107"/>
    <s v="_x0000_peopl"/>
  </r>
  <r>
    <x v="7"/>
    <n v="13.695"/>
    <n v="-89.183499999999995"/>
    <n v="5"/>
    <n v="0"/>
    <n v="0"/>
    <n v="107"/>
    <s v="_x0000_peopl"/>
  </r>
  <r>
    <x v="7"/>
    <n v="13.694900000000001"/>
    <n v="-89.183599999999998"/>
    <n v="1"/>
    <n v="0"/>
    <n v="0"/>
    <n v="107"/>
    <s v="_x0000_peopl"/>
  </r>
  <r>
    <x v="7"/>
    <n v="13.695"/>
    <n v="-89.184299999999993"/>
    <n v="5"/>
    <n v="0"/>
    <n v="0"/>
    <n v="107"/>
    <s v="_x0000_peopl"/>
  </r>
  <r>
    <x v="7"/>
    <n v="13.6953"/>
    <n v="-89.184299999999993"/>
    <n v="5"/>
    <n v="0"/>
    <n v="0"/>
    <n v="107"/>
    <s v="_x0000_peopl"/>
  </r>
  <r>
    <x v="7"/>
    <n v="13.695"/>
    <n v="-89.184399999999997"/>
    <n v="2"/>
    <n v="0"/>
    <n v="0"/>
    <n v="107"/>
    <s v="_x0000_peopl"/>
  </r>
  <r>
    <x v="7"/>
    <n v="13.695"/>
    <n v="-89.184200000000004"/>
    <n v="3"/>
    <n v="0"/>
    <n v="0"/>
    <n v="107"/>
    <s v="_x0000_peopl"/>
  </r>
  <r>
    <x v="7"/>
    <n v="13.695399999999999"/>
    <n v="-89.184399999999997"/>
    <n v="7"/>
    <n v="0"/>
    <n v="0"/>
    <n v="107"/>
    <s v="_x0000_peopl"/>
  </r>
  <r>
    <x v="7"/>
    <n v="13.695399999999999"/>
    <n v="-89.184200000000004"/>
    <n v="4"/>
    <n v="0"/>
    <n v="0"/>
    <n v="107"/>
    <s v="_x0000_peopl"/>
  </r>
  <r>
    <x v="7"/>
    <n v="13.695399999999999"/>
    <n v="-89.184100000000001"/>
    <n v="7"/>
    <n v="0"/>
    <n v="0"/>
    <n v="107"/>
    <s v="_x0000_peopl"/>
  </r>
  <r>
    <x v="7"/>
    <n v="13.695399999999999"/>
    <n v="-89.183999999999997"/>
    <n v="8"/>
    <n v="0"/>
    <n v="0"/>
    <n v="107"/>
    <s v="_x0000_peopl"/>
  </r>
  <r>
    <x v="7"/>
    <n v="13.695399999999999"/>
    <n v="-89.183999999999997"/>
    <n v="5"/>
    <n v="0"/>
    <n v="0"/>
    <n v="107"/>
    <s v="_x0000_peopl"/>
  </r>
  <r>
    <x v="7"/>
    <n v="13.695399999999999"/>
    <n v="-89.183800000000005"/>
    <n v="7"/>
    <n v="0"/>
    <n v="0"/>
    <n v="107"/>
    <s v="_x0000_peopl"/>
  </r>
  <r>
    <x v="7"/>
    <n v="13.695399999999999"/>
    <n v="-89.183800000000005"/>
    <n v="12"/>
    <n v="0"/>
    <n v="0"/>
    <n v="107"/>
    <s v="_x0000_peopl"/>
  </r>
  <r>
    <x v="7"/>
    <n v="13.689500000000001"/>
    <n v="-89.183300000000003"/>
    <n v="7"/>
    <n v="0"/>
    <n v="0"/>
    <n v="107"/>
    <s v="_x0000_peopl"/>
  </r>
  <r>
    <x v="7"/>
    <n v="13.6883"/>
    <n v="-89.183099999999996"/>
    <n v="8"/>
    <n v="0"/>
    <n v="0"/>
    <n v="107"/>
    <s v="_x0000_peopl"/>
  </r>
  <r>
    <x v="7"/>
    <n v="13.6883"/>
    <n v="-89.183499999999995"/>
    <n v="4"/>
    <n v="0"/>
    <n v="0"/>
    <n v="107"/>
    <s v="_x0000_peopl"/>
  </r>
  <r>
    <x v="7"/>
    <n v="13.6883"/>
    <n v="-89.183400000000006"/>
    <n v="5"/>
    <n v="0"/>
    <n v="0"/>
    <n v="107"/>
    <s v="_x0000_peopl"/>
  </r>
  <r>
    <x v="7"/>
    <n v="13.6883"/>
    <n v="-89.183400000000006"/>
    <n v="3"/>
    <n v="0"/>
    <n v="0"/>
    <n v="107"/>
    <s v="_x0000_peopl"/>
  </r>
  <r>
    <x v="7"/>
    <n v="13.6882"/>
    <n v="-89.183300000000003"/>
    <n v="11"/>
    <n v="0"/>
    <n v="0"/>
    <n v="107"/>
    <s v="_x0000_peopl"/>
  </r>
  <r>
    <x v="7"/>
    <n v="13.687900000000001"/>
    <n v="-89.191000000000003"/>
    <n v="6"/>
    <n v="0"/>
    <n v="0"/>
    <n v="107"/>
    <s v="_x0000_peopl"/>
  </r>
  <r>
    <x v="7"/>
    <n v="13.687900000000001"/>
    <n v="-89.190899999999999"/>
    <n v="6"/>
    <n v="0"/>
    <n v="0"/>
    <n v="107"/>
    <s v="_x0000_peopl"/>
  </r>
  <r>
    <x v="7"/>
    <n v="13.687900000000001"/>
    <n v="-89.190899999999999"/>
    <n v="5"/>
    <n v="0"/>
    <n v="0"/>
    <n v="107"/>
    <s v="_x0000_peopl"/>
  </r>
  <r>
    <x v="7"/>
    <n v="13.687799999999999"/>
    <n v="-89.190799999999996"/>
    <n v="2"/>
    <n v="0"/>
    <n v="0"/>
    <n v="107"/>
    <s v="_x0000_peopl"/>
  </r>
  <r>
    <x v="7"/>
    <n v="13.687799999999999"/>
    <n v="-89.190799999999996"/>
    <n v="5"/>
    <n v="0"/>
    <n v="0"/>
    <n v="107"/>
    <s v="_x0000_peopl"/>
  </r>
  <r>
    <x v="7"/>
    <n v="13.687799999999999"/>
    <n v="-89.190799999999996"/>
    <n v="3"/>
    <n v="0"/>
    <n v="0"/>
    <n v="107"/>
    <s v="_x0000_peopl"/>
  </r>
  <r>
    <x v="7"/>
    <n v="13.691800000000001"/>
    <n v="-89.190200000000004"/>
    <n v="4"/>
    <n v="0"/>
    <n v="0"/>
    <n v="107"/>
    <s v="_x0000_peopl"/>
  </r>
  <r>
    <x v="7"/>
    <n v="13.691800000000001"/>
    <n v="-89.190200000000004"/>
    <n v="4"/>
    <n v="0"/>
    <n v="0"/>
    <n v="107"/>
    <s v="_x0000_peopl"/>
  </r>
  <r>
    <x v="7"/>
    <n v="13.691800000000001"/>
    <n v="-89.190100000000001"/>
    <n v="4"/>
    <n v="0"/>
    <n v="0"/>
    <n v="107"/>
    <s v="_x0000_peopl"/>
  </r>
  <r>
    <x v="7"/>
    <n v="13.691700000000001"/>
    <n v="-89.192300000000003"/>
    <n v="6"/>
    <n v="0"/>
    <n v="0"/>
    <n v="107"/>
    <s v="_x0000_peopl"/>
  </r>
  <r>
    <x v="7"/>
    <n v="13.6919"/>
    <n v="-89.1922"/>
    <n v="6"/>
    <n v="0"/>
    <n v="0"/>
    <n v="107"/>
    <s v="_x0000_peopl"/>
  </r>
  <r>
    <x v="7"/>
    <n v="13.692399999999999"/>
    <n v="-89.189300000000003"/>
    <n v="4"/>
    <n v="0"/>
    <n v="0"/>
    <n v="107"/>
    <s v="_x0000_peopl"/>
  </r>
  <r>
    <x v="7"/>
    <n v="13.692299999999999"/>
    <n v="-89.1922"/>
    <n v="4"/>
    <n v="0"/>
    <n v="0"/>
    <n v="107"/>
    <s v="_x0000_peopl"/>
  </r>
  <r>
    <x v="7"/>
    <n v="13.6922"/>
    <n v="-89.1922"/>
    <n v="3"/>
    <n v="0"/>
    <n v="0"/>
    <n v="107"/>
    <s v="_x0000_peopl"/>
  </r>
  <r>
    <x v="7"/>
    <n v="13.692"/>
    <n v="-89.1922"/>
    <n v="5"/>
    <n v="0"/>
    <n v="0"/>
    <n v="107"/>
    <s v="_x0000_peopl"/>
  </r>
  <r>
    <x v="7"/>
    <n v="13.678599999999999"/>
    <n v="-89.1999"/>
    <n v="4"/>
    <n v="0"/>
    <n v="0"/>
    <n v="107"/>
    <s v="_x0000_peopl"/>
  </r>
  <r>
    <x v="7"/>
    <n v="13.6785"/>
    <n v="-89.2"/>
    <n v="5"/>
    <n v="0"/>
    <n v="0"/>
    <n v="107"/>
    <s v="_x0000_peopl"/>
  </r>
  <r>
    <x v="7"/>
    <n v="13.6785"/>
    <n v="-89.2"/>
    <n v="8"/>
    <n v="0"/>
    <n v="0"/>
    <n v="107"/>
    <s v="_x0000_peopl"/>
  </r>
  <r>
    <x v="7"/>
    <n v="13.6783"/>
    <n v="-89.2"/>
    <n v="3"/>
    <n v="0"/>
    <n v="0"/>
    <n v="107"/>
    <s v="_x0000_peopl"/>
  </r>
  <r>
    <x v="7"/>
    <n v="13.678599999999999"/>
    <n v="-89.199700000000007"/>
    <n v="4"/>
    <n v="0"/>
    <n v="0"/>
    <n v="107"/>
    <s v="_x0000_peopl"/>
  </r>
  <r>
    <x v="7"/>
    <n v="13.6784"/>
    <n v="-89.199799999999996"/>
    <n v="3"/>
    <n v="0"/>
    <n v="0"/>
    <n v="107"/>
    <s v="_x0000_peopl"/>
  </r>
  <r>
    <x v="7"/>
    <n v="13.6783"/>
    <n v="-89.199799999999996"/>
    <n v="6"/>
    <n v="0"/>
    <n v="0"/>
    <n v="107"/>
    <s v="_x0000_peopl"/>
  </r>
  <r>
    <x v="7"/>
    <n v="13.6783"/>
    <n v="-89.2"/>
    <n v="3"/>
    <n v="0"/>
    <n v="0"/>
    <n v="107"/>
    <s v="_x0000_peopl"/>
  </r>
  <r>
    <x v="7"/>
    <n v="13.678599999999999"/>
    <n v="-89.200299999999999"/>
    <n v="6"/>
    <n v="0"/>
    <n v="0"/>
    <n v="107"/>
    <s v="_x0000_peopl"/>
  </r>
  <r>
    <x v="7"/>
    <n v="13.6785"/>
    <n v="-89.200299999999999"/>
    <n v="5"/>
    <n v="0"/>
    <n v="0"/>
    <n v="107"/>
    <s v="_x0000_peopl"/>
  </r>
  <r>
    <x v="7"/>
    <n v="13.6784"/>
    <n v="-89.200299999999999"/>
    <n v="2"/>
    <n v="0"/>
    <n v="0"/>
    <n v="107"/>
    <s v="_x0000_peopl"/>
  </r>
  <r>
    <x v="7"/>
    <n v="13.6783"/>
    <n v="-89.200400000000002"/>
    <n v="8"/>
    <n v="0"/>
    <n v="0"/>
    <n v="107"/>
    <s v="_x0000_peopl"/>
  </r>
  <r>
    <x v="7"/>
    <n v="13.6783"/>
    <n v="-89.200400000000002"/>
    <n v="4"/>
    <n v="0"/>
    <n v="0"/>
    <n v="107"/>
    <s v="_x0000_peopl"/>
  </r>
  <r>
    <x v="7"/>
    <n v="13.678599999999999"/>
    <n v="-89.200500000000005"/>
    <n v="4"/>
    <n v="0"/>
    <n v="0"/>
    <n v="107"/>
    <s v="_x0000_peopl"/>
  </r>
  <r>
    <x v="7"/>
    <n v="13.6785"/>
    <n v="-89.200699999999998"/>
    <n v="9"/>
    <n v="0"/>
    <n v="0"/>
    <n v="107"/>
    <s v="_x0000_peopl"/>
  </r>
  <r>
    <x v="7"/>
    <n v="13.6784"/>
    <n v="-89.200599999999994"/>
    <n v="1"/>
    <n v="0"/>
    <n v="0"/>
    <n v="107"/>
    <s v="_x0000_peopl"/>
  </r>
  <r>
    <x v="7"/>
    <n v="13.6783"/>
    <n v="-89.200699999999998"/>
    <n v="5"/>
    <n v="0"/>
    <n v="0"/>
    <n v="107"/>
    <s v="_x0000_peopl"/>
  </r>
  <r>
    <x v="7"/>
    <n v="13.6783"/>
    <n v="-89.200699999999998"/>
    <n v="7"/>
    <n v="0"/>
    <n v="0"/>
    <n v="107"/>
    <s v="_x0000_peopl"/>
  </r>
  <r>
    <x v="7"/>
    <n v="13.6782"/>
    <n v="-89.200699999999998"/>
    <n v="3"/>
    <n v="0"/>
    <n v="0"/>
    <n v="107"/>
    <s v="_x0000_peopl"/>
  </r>
  <r>
    <x v="7"/>
    <n v="13.678100000000001"/>
    <n v="-89.200699999999998"/>
    <n v="4"/>
    <n v="0"/>
    <n v="0"/>
    <n v="107"/>
    <s v="_x0000_peopl"/>
  </r>
  <r>
    <x v="7"/>
    <n v="13.678100000000001"/>
    <n v="-89.200699999999998"/>
    <n v="4"/>
    <n v="0"/>
    <n v="0"/>
    <n v="107"/>
    <s v="_x0000_peopl"/>
  </r>
  <r>
    <x v="7"/>
    <n v="13.6782"/>
    <n v="-89.200400000000002"/>
    <n v="11"/>
    <n v="0"/>
    <n v="0"/>
    <n v="107"/>
    <s v="_x0000_peopl"/>
  </r>
  <r>
    <x v="7"/>
    <n v="13.678100000000001"/>
    <n v="-89.200400000000002"/>
    <n v="7"/>
    <n v="0"/>
    <n v="0"/>
    <n v="107"/>
    <s v="_x0000_peopl"/>
  </r>
  <r>
    <x v="7"/>
    <n v="13.678100000000001"/>
    <n v="-89.200400000000002"/>
    <n v="5"/>
    <n v="0"/>
    <n v="0"/>
    <n v="107"/>
    <s v="_x0000_peopl"/>
  </r>
  <r>
    <x v="7"/>
    <n v="13.678000000000001"/>
    <n v="-89.200500000000005"/>
    <n v="3"/>
    <n v="0"/>
    <n v="0"/>
    <n v="107"/>
    <s v="_x0000_peopl"/>
  </r>
  <r>
    <x v="7"/>
    <n v="13.678000000000001"/>
    <n v="-89.200199999999995"/>
    <n v="1"/>
    <n v="0"/>
    <n v="0"/>
    <n v="107"/>
    <s v="_x0000_peopl"/>
  </r>
  <r>
    <x v="7"/>
    <n v="13.678100000000001"/>
    <n v="-89.200100000000006"/>
    <n v="4"/>
    <n v="0"/>
    <n v="0"/>
    <n v="107"/>
    <s v="_x0000_peopl"/>
  </r>
  <r>
    <x v="7"/>
    <n v="13.678100000000001"/>
    <n v="-89.200100000000006"/>
    <n v="5"/>
    <n v="0"/>
    <n v="0"/>
    <n v="107"/>
    <s v="_x0000_peopl"/>
  </r>
  <r>
    <x v="7"/>
    <n v="13.6782"/>
    <n v="-89.200100000000006"/>
    <n v="7"/>
    <n v="0"/>
    <n v="0"/>
    <n v="107"/>
    <s v="_x0000_peopl"/>
  </r>
  <r>
    <x v="7"/>
    <n v="13.6782"/>
    <n v="-89.199799999999996"/>
    <n v="0"/>
    <n v="0"/>
    <n v="0"/>
    <n v="107"/>
    <s v="_x0000_peopl"/>
  </r>
  <r>
    <x v="7"/>
    <n v="13.678100000000001"/>
    <n v="-89.199799999999996"/>
    <n v="5"/>
    <n v="0"/>
    <n v="0"/>
    <n v="107"/>
    <s v="_x0000_peopl"/>
  </r>
  <r>
    <x v="7"/>
    <n v="13.678000000000001"/>
    <n v="-89.199799999999996"/>
    <n v="2"/>
    <n v="0"/>
    <n v="0"/>
    <n v="107"/>
    <s v="_x0000_peopl"/>
  </r>
  <r>
    <x v="7"/>
    <n v="13.678100000000001"/>
    <n v="-89.201300000000003"/>
    <n v="8"/>
    <n v="0"/>
    <n v="0"/>
    <n v="107"/>
    <s v="_x0000_peopl"/>
  </r>
  <r>
    <x v="7"/>
    <n v="13.678100000000001"/>
    <n v="-89.201300000000003"/>
    <n v="5"/>
    <n v="0"/>
    <n v="0"/>
    <n v="107"/>
    <s v="_x0000_peopl"/>
  </r>
  <r>
    <x v="7"/>
    <n v="13.678000000000001"/>
    <n v="-89.201400000000007"/>
    <n v="6"/>
    <n v="0"/>
    <n v="0"/>
    <n v="107"/>
    <s v="_x0000_peopl"/>
  </r>
  <r>
    <x v="7"/>
    <n v="13.678000000000001"/>
    <n v="-89.201300000000003"/>
    <n v="4"/>
    <n v="0"/>
    <n v="0"/>
    <n v="107"/>
    <s v="_x0000_peopl"/>
  </r>
  <r>
    <x v="7"/>
    <n v="13.678000000000001"/>
    <n v="-89.2012"/>
    <n v="7"/>
    <n v="0"/>
    <n v="0"/>
    <n v="107"/>
    <s v="_x0000_peopl"/>
  </r>
  <r>
    <x v="7"/>
    <n v="13.677899999999999"/>
    <n v="-89.201099999999997"/>
    <n v="6"/>
    <n v="0"/>
    <n v="0"/>
    <n v="107"/>
    <s v="_x0000_peopl"/>
  </r>
  <r>
    <x v="7"/>
    <n v="13.678000000000001"/>
    <n v="-89.200999999999993"/>
    <n v="4"/>
    <n v="0"/>
    <n v="0"/>
    <n v="107"/>
    <s v="_x0000_peopl"/>
  </r>
  <r>
    <x v="7"/>
    <n v="13.678100000000001"/>
    <n v="-89.200999999999993"/>
    <n v="7"/>
    <n v="0"/>
    <n v="0"/>
    <n v="107"/>
    <s v="_x0000_peopl"/>
  </r>
  <r>
    <x v="7"/>
    <n v="13.678000000000001"/>
    <n v="-89.200900000000004"/>
    <n v="2"/>
    <n v="0"/>
    <n v="0"/>
    <n v="107"/>
    <s v="_x0000_peopl"/>
  </r>
  <r>
    <x v="7"/>
    <n v="13.678000000000001"/>
    <n v="-89.200800000000001"/>
    <n v="6"/>
    <n v="0"/>
    <n v="0"/>
    <n v="107"/>
    <s v="_x0000_peopl"/>
  </r>
  <r>
    <x v="7"/>
    <n v="13.677899999999999"/>
    <n v="-89.200699999999998"/>
    <n v="3"/>
    <n v="0"/>
    <n v="0"/>
    <n v="107"/>
    <s v="_x0000_peopl"/>
  </r>
  <r>
    <x v="7"/>
    <n v="13.677899999999999"/>
    <n v="-89.200800000000001"/>
    <n v="6"/>
    <n v="0"/>
    <n v="0"/>
    <n v="107"/>
    <s v="_x0000_peopl"/>
  </r>
  <r>
    <x v="7"/>
    <n v="13.6778"/>
    <n v="-89.201400000000007"/>
    <n v="10"/>
    <n v="0"/>
    <n v="0"/>
    <n v="107"/>
    <s v="_x0000_peopl"/>
  </r>
  <r>
    <x v="7"/>
    <n v="13.6778"/>
    <n v="-89.2012"/>
    <n v="7"/>
    <n v="0"/>
    <n v="0"/>
    <n v="107"/>
    <s v="_x0000_peopl"/>
  </r>
  <r>
    <x v="7"/>
    <n v="13.677899999999999"/>
    <n v="-89.201099999999997"/>
    <n v="6"/>
    <n v="0"/>
    <n v="0"/>
    <n v="107"/>
    <s v="_x0000_peopl"/>
  </r>
  <r>
    <x v="7"/>
    <n v="13.677899999999999"/>
    <n v="-89.2012"/>
    <n v="2"/>
    <n v="0"/>
    <n v="0"/>
    <n v="107"/>
    <s v="_x0000_peopl"/>
  </r>
  <r>
    <x v="7"/>
    <n v="13.6778"/>
    <n v="-89.200999999999993"/>
    <n v="4"/>
    <n v="0"/>
    <n v="0"/>
    <n v="107"/>
    <s v="_x0000_peopl"/>
  </r>
  <r>
    <x v="7"/>
    <n v="13.6778"/>
    <n v="-89.200999999999993"/>
    <n v="6"/>
    <n v="0"/>
    <n v="0"/>
    <n v="107"/>
    <s v="_x0000_peopl"/>
  </r>
  <r>
    <x v="7"/>
    <n v="13.6778"/>
    <n v="-89.200900000000004"/>
    <n v="5"/>
    <n v="0"/>
    <n v="0"/>
    <n v="107"/>
    <s v="_x0000_peopl"/>
  </r>
  <r>
    <x v="7"/>
    <n v="13.6777"/>
    <n v="-89.200800000000001"/>
    <n v="3"/>
    <n v="0"/>
    <n v="0"/>
    <n v="107"/>
    <s v="_x0000_peopl"/>
  </r>
  <r>
    <x v="7"/>
    <n v="13.677899999999999"/>
    <n v="-89.200500000000005"/>
    <n v="7"/>
    <n v="0"/>
    <n v="0"/>
    <n v="107"/>
    <s v="_x0000_peopl"/>
  </r>
  <r>
    <x v="7"/>
    <n v="13.6778"/>
    <n v="-89.200500000000005"/>
    <n v="3"/>
    <n v="0"/>
    <n v="0"/>
    <n v="107"/>
    <s v="_x0000_peopl"/>
  </r>
  <r>
    <x v="7"/>
    <n v="13.6778"/>
    <n v="-89.200500000000005"/>
    <n v="1"/>
    <n v="0"/>
    <n v="0"/>
    <n v="107"/>
    <s v="_x0000_peopl"/>
  </r>
  <r>
    <x v="7"/>
    <n v="13.6777"/>
    <n v="-89.200500000000005"/>
    <n v="5"/>
    <n v="0"/>
    <n v="0"/>
    <n v="107"/>
    <s v="_x0000_peopl"/>
  </r>
  <r>
    <x v="7"/>
    <n v="13.6777"/>
    <n v="-89.200299999999999"/>
    <n v="4"/>
    <n v="0"/>
    <n v="0"/>
    <n v="107"/>
    <s v="_x0000_peopl"/>
  </r>
  <r>
    <x v="7"/>
    <n v="13.6778"/>
    <n v="-89.200299999999999"/>
    <n v="4"/>
    <n v="0"/>
    <n v="0"/>
    <n v="107"/>
    <s v="_x0000_peopl"/>
  </r>
  <r>
    <x v="7"/>
    <n v="13.6778"/>
    <n v="-89.200199999999995"/>
    <n v="7"/>
    <n v="0"/>
    <n v="0"/>
    <n v="107"/>
    <s v="_x0000_peopl"/>
  </r>
  <r>
    <x v="7"/>
    <n v="13.677899999999999"/>
    <n v="-89.200199999999995"/>
    <n v="4"/>
    <n v="0"/>
    <n v="0"/>
    <n v="107"/>
    <s v="_x0000_peopl"/>
  </r>
  <r>
    <x v="7"/>
    <n v="13.6777"/>
    <n v="-89.200599999999994"/>
    <n v="2"/>
    <n v="0"/>
    <n v="0"/>
    <n v="107"/>
    <s v="_x0000_peopl"/>
  </r>
  <r>
    <x v="7"/>
    <n v="13.6777"/>
    <n v="-89.200400000000002"/>
    <n v="1"/>
    <n v="0"/>
    <n v="0"/>
    <n v="107"/>
    <s v="_x0000_peopl"/>
  </r>
  <r>
    <x v="7"/>
    <n v="13.6776"/>
    <n v="-89.200100000000006"/>
    <n v="6"/>
    <n v="0"/>
    <n v="0"/>
    <n v="107"/>
    <s v="_x0000_peopl"/>
  </r>
  <r>
    <x v="7"/>
    <n v="13.6775"/>
    <n v="-89.200599999999994"/>
    <n v="6"/>
    <n v="0"/>
    <n v="0"/>
    <n v="107"/>
    <s v="_x0000_peopl"/>
  </r>
  <r>
    <x v="7"/>
    <n v="13.6774"/>
    <n v="-89.200500000000005"/>
    <n v="4"/>
    <n v="0"/>
    <n v="0"/>
    <n v="107"/>
    <s v="_x0000_peopl"/>
  </r>
  <r>
    <x v="7"/>
    <n v="13.6774"/>
    <n v="-89.200400000000002"/>
    <n v="6"/>
    <n v="0"/>
    <n v="0"/>
    <n v="107"/>
    <s v="_x0000_peopl"/>
  </r>
  <r>
    <x v="7"/>
    <n v="13.677300000000001"/>
    <n v="-89.200599999999994"/>
    <n v="1"/>
    <n v="0"/>
    <n v="0"/>
    <n v="107"/>
    <s v="_x0000_peopl"/>
  </r>
  <r>
    <x v="7"/>
    <n v="13.677199999999999"/>
    <n v="-89.200699999999998"/>
    <n v="4"/>
    <n v="0"/>
    <n v="0"/>
    <n v="107"/>
    <s v="_x0000_peopl"/>
  </r>
  <r>
    <x v="7"/>
    <n v="13.677099999999999"/>
    <n v="-89.200599999999994"/>
    <n v="9"/>
    <n v="0"/>
    <n v="0"/>
    <n v="107"/>
    <s v="_x0000_peopl"/>
  </r>
  <r>
    <x v="7"/>
    <n v="13.677199999999999"/>
    <n v="-89.200199999999995"/>
    <n v="4"/>
    <n v="0"/>
    <n v="0"/>
    <n v="107"/>
    <s v="_x0000_peopl"/>
  </r>
  <r>
    <x v="7"/>
    <n v="13.677199999999999"/>
    <n v="-89.200199999999995"/>
    <n v="7"/>
    <n v="0"/>
    <n v="0"/>
    <n v="107"/>
    <s v="_x0000_peopl"/>
  </r>
  <r>
    <x v="7"/>
    <n v="13.677199999999999"/>
    <n v="-89.200199999999995"/>
    <n v="2"/>
    <n v="0"/>
    <n v="0"/>
    <n v="107"/>
    <s v="_x0000_peopl"/>
  </r>
  <r>
    <x v="7"/>
    <n v="13.6774"/>
    <n v="-89.200199999999995"/>
    <n v="6"/>
    <n v="0"/>
    <n v="0"/>
    <n v="107"/>
    <s v="_x0000_peopl"/>
  </r>
  <r>
    <x v="7"/>
    <n v="13.677300000000001"/>
    <n v="-89.200100000000006"/>
    <n v="5"/>
    <n v="0"/>
    <n v="0"/>
    <n v="107"/>
    <s v="_x0000_peopl"/>
  </r>
  <r>
    <x v="7"/>
    <n v="13.6774"/>
    <n v="-89.200299999999999"/>
    <n v="5"/>
    <n v="0"/>
    <n v="0"/>
    <n v="107"/>
    <s v="_x0000_peopl"/>
  </r>
  <r>
    <x v="7"/>
    <n v="13.677300000000001"/>
    <n v="-89.2012"/>
    <n v="5"/>
    <n v="0"/>
    <n v="0"/>
    <n v="107"/>
    <s v="_x0000_peopl"/>
  </r>
  <r>
    <x v="7"/>
    <n v="13.677300000000001"/>
    <n v="-89.200999999999993"/>
    <n v="9"/>
    <n v="0"/>
    <n v="0"/>
    <n v="107"/>
    <s v="_x0000_peopl"/>
  </r>
  <r>
    <x v="7"/>
    <n v="13.677199999999999"/>
    <n v="-89.200900000000004"/>
    <n v="5"/>
    <n v="0"/>
    <n v="0"/>
    <n v="107"/>
    <s v="_x0000_peopl"/>
  </r>
  <r>
    <x v="7"/>
    <n v="13.677300000000001"/>
    <n v="-89.200900000000004"/>
    <n v="5"/>
    <n v="0"/>
    <n v="0"/>
    <n v="107"/>
    <s v="_x0000_peopl"/>
  </r>
  <r>
    <x v="7"/>
    <n v="13.6774"/>
    <n v="-89.201499999999996"/>
    <n v="6"/>
    <n v="0"/>
    <n v="0"/>
    <n v="107"/>
    <s v="_x0000_peopl"/>
  </r>
  <r>
    <x v="7"/>
    <n v="13.6774"/>
    <n v="-89.201599999999999"/>
    <n v="7"/>
    <n v="0"/>
    <n v="0"/>
    <n v="107"/>
    <s v="_x0000_peopl"/>
  </r>
  <r>
    <x v="7"/>
    <n v="13.677199999999999"/>
    <n v="-89.201700000000002"/>
    <n v="5"/>
    <n v="0"/>
    <n v="0"/>
    <n v="107"/>
    <s v="_x0000_peopl"/>
  </r>
  <r>
    <x v="7"/>
    <n v="13.677300000000001"/>
    <n v="-89.201300000000003"/>
    <n v="5"/>
    <n v="0"/>
    <n v="0"/>
    <n v="107"/>
    <s v="_x0000_peopl"/>
  </r>
  <r>
    <x v="7"/>
    <n v="13.6774"/>
    <n v="-89.201300000000003"/>
    <n v="4"/>
    <n v="0"/>
    <n v="0"/>
    <n v="107"/>
    <s v="_x0000_peopl"/>
  </r>
  <r>
    <x v="7"/>
    <n v="13.6775"/>
    <n v="-89.2012"/>
    <n v="6"/>
    <n v="0"/>
    <n v="0"/>
    <n v="107"/>
    <s v="_x0000_peopl"/>
  </r>
  <r>
    <x v="7"/>
    <n v="13.6775"/>
    <n v="-89.200999999999993"/>
    <n v="6"/>
    <n v="0"/>
    <n v="0"/>
    <n v="107"/>
    <s v="_x0000_peopl"/>
  </r>
  <r>
    <x v="7"/>
    <n v="13.6775"/>
    <n v="-89.200999999999993"/>
    <n v="7"/>
    <n v="0"/>
    <n v="0"/>
    <n v="107"/>
    <s v="_x0000_peopl"/>
  </r>
  <r>
    <x v="7"/>
    <n v="13.6775"/>
    <n v="-89.201400000000007"/>
    <n v="8"/>
    <n v="0"/>
    <n v="0"/>
    <n v="107"/>
    <s v="_x0000_peopl"/>
  </r>
  <r>
    <x v="7"/>
    <n v="13.6776"/>
    <n v="-89.201400000000007"/>
    <n v="8"/>
    <n v="0"/>
    <n v="0"/>
    <n v="107"/>
    <s v="_x0000_peopl"/>
  </r>
  <r>
    <x v="7"/>
    <n v="13.6775"/>
    <n v="-89.200900000000004"/>
    <n v="2"/>
    <n v="0"/>
    <n v="0"/>
    <n v="107"/>
    <s v="_x0000_peopl"/>
  </r>
  <r>
    <x v="7"/>
    <n v="13.677099999999999"/>
    <n v="-89.200500000000005"/>
    <n v="3"/>
    <n v="0"/>
    <n v="0"/>
    <n v="107"/>
    <s v="_x0000_peopl"/>
  </r>
  <r>
    <x v="7"/>
    <n v="13.677099999999999"/>
    <n v="-89.200400000000002"/>
    <n v="7"/>
    <n v="0"/>
    <n v="0"/>
    <n v="107"/>
    <s v="_x0000_peopl"/>
  </r>
  <r>
    <x v="7"/>
    <n v="13.6769"/>
    <n v="-89.200699999999998"/>
    <n v="5"/>
    <n v="0"/>
    <n v="0"/>
    <n v="107"/>
    <s v="_x0000_peopl"/>
  </r>
  <r>
    <x v="7"/>
    <n v="13.677"/>
    <n v="-89.200999999999993"/>
    <n v="7"/>
    <n v="0"/>
    <n v="0"/>
    <n v="107"/>
    <s v="_x0000_peopl"/>
  </r>
  <r>
    <x v="7"/>
    <n v="13.6769"/>
    <n v="-89.200999999999993"/>
    <n v="4"/>
    <n v="0"/>
    <n v="0"/>
    <n v="107"/>
    <s v="_x0000_peopl"/>
  </r>
  <r>
    <x v="7"/>
    <n v="13.676600000000001"/>
    <n v="-89.200900000000004"/>
    <n v="3"/>
    <n v="0"/>
    <n v="0"/>
    <n v="107"/>
    <s v="_x0000_peopl"/>
  </r>
  <r>
    <x v="7"/>
    <n v="13.6767"/>
    <n v="-89.200900000000004"/>
    <n v="1"/>
    <n v="0"/>
    <n v="0"/>
    <n v="107"/>
    <s v="_x0000_peopl"/>
  </r>
  <r>
    <x v="7"/>
    <n v="13.6768"/>
    <n v="-89.200800000000001"/>
    <n v="11"/>
    <n v="0"/>
    <n v="0"/>
    <n v="107"/>
    <s v="_x0000_peopl"/>
  </r>
  <r>
    <x v="7"/>
    <n v="13.6769"/>
    <n v="-89.200599999999994"/>
    <n v="2"/>
    <n v="0"/>
    <n v="0"/>
    <n v="107"/>
    <s v="_x0000_peopl"/>
  </r>
  <r>
    <x v="7"/>
    <n v="13.6769"/>
    <n v="-89.200500000000005"/>
    <n v="5"/>
    <n v="0"/>
    <n v="0"/>
    <n v="107"/>
    <s v="_x0000_peopl"/>
  </r>
  <r>
    <x v="7"/>
    <n v="13.6769"/>
    <n v="-89.200400000000002"/>
    <n v="4"/>
    <n v="0"/>
    <n v="0"/>
    <n v="107"/>
    <s v="_x0000_peopl"/>
  </r>
  <r>
    <x v="7"/>
    <n v="13.6767"/>
    <n v="-89.200500000000005"/>
    <n v="5"/>
    <n v="0"/>
    <n v="0"/>
    <n v="107"/>
    <s v="_x0000_peopl"/>
  </r>
  <r>
    <x v="7"/>
    <n v="13.6767"/>
    <n v="-89.200500000000005"/>
    <n v="3"/>
    <n v="0"/>
    <n v="0"/>
    <n v="107"/>
    <s v="_x0000_peopl"/>
  </r>
  <r>
    <x v="7"/>
    <n v="13.6838"/>
    <n v="-89.198499999999996"/>
    <n v="6"/>
    <n v="0"/>
    <n v="0"/>
    <n v="107"/>
    <s v="_x0000_peopl"/>
  </r>
  <r>
    <x v="7"/>
    <n v="13.6837"/>
    <n v="-89.198400000000007"/>
    <n v="6"/>
    <n v="0"/>
    <n v="0"/>
    <n v="107"/>
    <s v="_x0000_peopl"/>
  </r>
  <r>
    <x v="7"/>
    <n v="13.6837"/>
    <n v="-89.198400000000007"/>
    <n v="4"/>
    <n v="0"/>
    <n v="0"/>
    <n v="107"/>
    <s v="_x0000_peopl"/>
  </r>
  <r>
    <x v="7"/>
    <n v="13.6836"/>
    <n v="-89.198400000000007"/>
    <n v="7"/>
    <n v="0"/>
    <n v="0"/>
    <n v="107"/>
    <s v="_x0000_peopl"/>
  </r>
  <r>
    <x v="7"/>
    <n v="13.6836"/>
    <n v="-89.198300000000003"/>
    <n v="4"/>
    <n v="0"/>
    <n v="0"/>
    <n v="107"/>
    <s v="_x0000_peopl"/>
  </r>
  <r>
    <x v="7"/>
    <n v="13.6836"/>
    <n v="-89.198300000000003"/>
    <n v="4"/>
    <n v="0"/>
    <n v="0"/>
    <n v="107"/>
    <s v="_x0000_peopl"/>
  </r>
  <r>
    <x v="7"/>
    <n v="13.6835"/>
    <n v="-89.198300000000003"/>
    <n v="6"/>
    <n v="0"/>
    <n v="0"/>
    <n v="107"/>
    <s v="_x0000_peopl"/>
  </r>
  <r>
    <x v="7"/>
    <n v="13.683400000000001"/>
    <n v="-89.198300000000003"/>
    <n v="5"/>
    <n v="0"/>
    <n v="0"/>
    <n v="107"/>
    <s v="_x0000_peopl"/>
  </r>
  <r>
    <x v="7"/>
    <n v="13.6854"/>
    <n v="-89.196700000000007"/>
    <n v="4"/>
    <n v="0"/>
    <n v="0"/>
    <n v="107"/>
    <s v="_x0000_peopl"/>
  </r>
  <r>
    <x v="7"/>
    <n v="13.6854"/>
    <n v="-89.196899999999999"/>
    <n v="6"/>
    <n v="0"/>
    <n v="0"/>
    <n v="107"/>
    <s v="_x0000_peopl"/>
  </r>
  <r>
    <x v="7"/>
    <n v="13.6853"/>
    <n v="-89.196600000000004"/>
    <n v="5"/>
    <n v="0"/>
    <n v="0"/>
    <n v="107"/>
    <s v="_x0000_peopl"/>
  </r>
  <r>
    <x v="7"/>
    <n v="13.684699999999999"/>
    <n v="-89.197400000000002"/>
    <n v="10"/>
    <n v="0"/>
    <n v="0"/>
    <n v="107"/>
    <s v="_x0000_peopl"/>
  </r>
  <r>
    <x v="7"/>
    <n v="13.684699999999999"/>
    <n v="-89.197299999999998"/>
    <n v="9"/>
    <n v="0"/>
    <n v="0"/>
    <n v="107"/>
    <s v="_x0000_peopl"/>
  </r>
  <r>
    <x v="7"/>
    <n v="13.684699999999999"/>
    <n v="-89.197199999999995"/>
    <n v="5"/>
    <n v="0"/>
    <n v="0"/>
    <n v="107"/>
    <s v="_x0000_peopl"/>
  </r>
  <r>
    <x v="7"/>
    <n v="13.684699999999999"/>
    <n v="-89.197100000000006"/>
    <n v="3"/>
    <n v="0"/>
    <n v="0"/>
    <n v="107"/>
    <s v="_x0000_peopl"/>
  </r>
  <r>
    <x v="7"/>
    <n v="13.684699999999999"/>
    <n v="-89.197000000000003"/>
    <n v="7"/>
    <n v="0"/>
    <n v="0"/>
    <n v="107"/>
    <s v="_x0000_peopl"/>
  </r>
  <r>
    <x v="7"/>
    <n v="13.684699999999999"/>
    <n v="-89.196899999999999"/>
    <n v="9"/>
    <n v="0"/>
    <n v="0"/>
    <n v="107"/>
    <s v="_x0000_peopl"/>
  </r>
  <r>
    <x v="7"/>
    <n v="13.684900000000001"/>
    <n v="-89.196700000000007"/>
    <n v="4"/>
    <n v="0"/>
    <n v="0"/>
    <n v="107"/>
    <s v="_x0000_peopl"/>
  </r>
  <r>
    <x v="7"/>
    <n v="13.684900000000001"/>
    <n v="-89.197100000000006"/>
    <n v="2"/>
    <n v="0"/>
    <n v="0"/>
    <n v="107"/>
    <s v="_x0000_peopl"/>
  </r>
  <r>
    <x v="7"/>
    <n v="13.684699999999999"/>
    <n v="-89.196799999999996"/>
    <n v="2"/>
    <n v="0"/>
    <n v="0"/>
    <n v="107"/>
    <s v="_x0000_peopl"/>
  </r>
  <r>
    <x v="7"/>
    <n v="13.684900000000001"/>
    <n v="-89.196899999999999"/>
    <n v="5"/>
    <n v="0"/>
    <n v="0"/>
    <n v="107"/>
    <s v="_x0000_peopl"/>
  </r>
  <r>
    <x v="7"/>
    <n v="13.685"/>
    <n v="-89.196799999999996"/>
    <n v="7"/>
    <n v="0"/>
    <n v="0"/>
    <n v="107"/>
    <s v="_x0000_peopl"/>
  </r>
  <r>
    <x v="7"/>
    <n v="13.685"/>
    <n v="-89.196700000000007"/>
    <n v="5"/>
    <n v="0"/>
    <n v="0"/>
    <n v="107"/>
    <s v="_x0000_peopl"/>
  </r>
  <r>
    <x v="7"/>
    <n v="13.685"/>
    <n v="-89.196600000000004"/>
    <n v="9"/>
    <n v="0"/>
    <n v="0"/>
    <n v="107"/>
    <s v="_x0000_peopl"/>
  </r>
  <r>
    <x v="7"/>
    <n v="13.6845"/>
    <n v="-89.197699999999998"/>
    <n v="6"/>
    <n v="0"/>
    <n v="0"/>
    <n v="107"/>
    <s v="_x0000_peopl"/>
  </r>
  <r>
    <x v="7"/>
    <n v="13.6845"/>
    <n v="-89.197599999999994"/>
    <n v="4"/>
    <n v="0"/>
    <n v="0"/>
    <n v="107"/>
    <s v="_x0000_peopl"/>
  </r>
  <r>
    <x v="7"/>
    <n v="13.6846"/>
    <n v="-89.197599999999994"/>
    <n v="4"/>
    <n v="0"/>
    <n v="0"/>
    <n v="107"/>
    <s v="_x0000_peopl"/>
  </r>
  <r>
    <x v="7"/>
    <n v="13.6846"/>
    <n v="-89.197500000000005"/>
    <n v="1"/>
    <n v="0"/>
    <n v="0"/>
    <n v="107"/>
    <s v="_x0000_peopl"/>
  </r>
  <r>
    <x v="7"/>
    <n v="13.6844"/>
    <n v="-89.197800000000001"/>
    <n v="4"/>
    <n v="0"/>
    <n v="0"/>
    <n v="107"/>
    <s v="_x0000_peopl"/>
  </r>
  <r>
    <x v="7"/>
    <n v="13.6843"/>
    <n v="-89.197900000000004"/>
    <n v="3"/>
    <n v="0"/>
    <n v="0"/>
    <n v="107"/>
    <s v="_x0000_peopl"/>
  </r>
  <r>
    <x v="7"/>
    <n v="13.684200000000001"/>
    <n v="-89.197999999999993"/>
    <n v="5"/>
    <n v="0"/>
    <n v="0"/>
    <n v="107"/>
    <s v="_x0000_peopl"/>
  </r>
  <r>
    <x v="7"/>
    <n v="13.684100000000001"/>
    <n v="-89.1982"/>
    <n v="6"/>
    <n v="0"/>
    <n v="0"/>
    <n v="107"/>
    <s v="_x0000_peopl"/>
  </r>
  <r>
    <x v="7"/>
    <n v="13.684100000000001"/>
    <n v="-89.198300000000003"/>
    <n v="2"/>
    <n v="0"/>
    <n v="0"/>
    <n v="107"/>
    <s v="_x0000_peopl"/>
  </r>
  <r>
    <x v="7"/>
    <n v="13.683999999999999"/>
    <n v="-89.198300000000003"/>
    <n v="5"/>
    <n v="0"/>
    <n v="0"/>
    <n v="107"/>
    <s v="_x0000_peopl"/>
  </r>
  <r>
    <x v="7"/>
    <n v="13.683999999999999"/>
    <n v="-89.198400000000007"/>
    <n v="3"/>
    <n v="0"/>
    <n v="0"/>
    <n v="107"/>
    <s v="_x0000_peopl"/>
  </r>
  <r>
    <x v="7"/>
    <n v="13.6853"/>
    <n v="-89.196899999999999"/>
    <n v="4"/>
    <n v="0"/>
    <n v="0"/>
    <n v="107"/>
    <s v="_x0000_peopl"/>
  </r>
  <r>
    <x v="7"/>
    <n v="13.6853"/>
    <n v="-89.196899999999999"/>
    <n v="5"/>
    <n v="0"/>
    <n v="0"/>
    <n v="107"/>
    <s v="_x0000_peopl"/>
  </r>
  <r>
    <x v="7"/>
    <n v="13.6853"/>
    <n v="-89.196899999999999"/>
    <n v="4"/>
    <n v="0"/>
    <n v="0"/>
    <n v="107"/>
    <s v="_x0000_peopl"/>
  </r>
  <r>
    <x v="7"/>
    <n v="13.6853"/>
    <n v="-89.196899999999999"/>
    <n v="3"/>
    <n v="0"/>
    <n v="0"/>
    <n v="107"/>
    <s v="_x0000_peopl"/>
  </r>
  <r>
    <x v="7"/>
    <n v="13.684200000000001"/>
    <n v="-89.197299999999998"/>
    <n v="4"/>
    <n v="0"/>
    <n v="0"/>
    <n v="107"/>
    <s v="_x0000_peopl"/>
  </r>
  <r>
    <x v="7"/>
    <n v="13.684200000000001"/>
    <n v="-89.197400000000002"/>
    <n v="1"/>
    <n v="0"/>
    <n v="0"/>
    <n v="107"/>
    <s v="_x0000_peopl"/>
  </r>
  <r>
    <x v="7"/>
    <n v="13.684100000000001"/>
    <n v="-89.197500000000005"/>
    <n v="5"/>
    <n v="0"/>
    <n v="0"/>
    <n v="107"/>
    <s v="_x0000_peopl"/>
  </r>
  <r>
    <x v="7"/>
    <n v="13.684100000000001"/>
    <n v="-89.197500000000005"/>
    <n v="6"/>
    <n v="0"/>
    <n v="0"/>
    <n v="107"/>
    <s v="_x0000_peopl"/>
  </r>
  <r>
    <x v="7"/>
    <n v="13.683999999999999"/>
    <n v="-89.197599999999994"/>
    <n v="4"/>
    <n v="0"/>
    <n v="0"/>
    <n v="107"/>
    <s v="_x0000_peopl"/>
  </r>
  <r>
    <x v="7"/>
    <n v="13.683999999999999"/>
    <n v="-89.197699999999998"/>
    <n v="7"/>
    <n v="0"/>
    <n v="0"/>
    <n v="107"/>
    <s v="_x0000_peopl"/>
  </r>
  <r>
    <x v="7"/>
    <n v="13.6839"/>
    <n v="-89.197699999999998"/>
    <n v="7"/>
    <n v="0"/>
    <n v="0"/>
    <n v="107"/>
    <s v="_x0000_peopl"/>
  </r>
  <r>
    <x v="7"/>
    <n v="13.6839"/>
    <n v="-89.197800000000001"/>
    <n v="5"/>
    <n v="0"/>
    <n v="0"/>
    <n v="107"/>
    <s v="_x0000_peopl"/>
  </r>
  <r>
    <x v="7"/>
    <n v="13.6838"/>
    <n v="-89.197800000000001"/>
    <n v="4"/>
    <n v="0"/>
    <n v="0"/>
    <n v="107"/>
    <s v="_x0000_peopl"/>
  </r>
  <r>
    <x v="7"/>
    <n v="13.6838"/>
    <n v="-89.197900000000004"/>
    <n v="9"/>
    <n v="0"/>
    <n v="0"/>
    <n v="107"/>
    <s v="_x0000_peopl"/>
  </r>
  <r>
    <x v="7"/>
    <n v="13.6837"/>
    <n v="-89.197999999999993"/>
    <n v="3"/>
    <n v="0"/>
    <n v="0"/>
    <n v="107"/>
    <s v="_x0000_peopl"/>
  </r>
  <r>
    <x v="7"/>
    <n v="13.6837"/>
    <n v="-89.197999999999993"/>
    <n v="9"/>
    <n v="0"/>
    <n v="0"/>
    <n v="107"/>
    <s v="_x0000_peopl"/>
  </r>
  <r>
    <x v="7"/>
    <n v="13.6836"/>
    <n v="-89.198099999999997"/>
    <n v="3"/>
    <n v="0"/>
    <n v="0"/>
    <n v="107"/>
    <s v="_x0000_peopl"/>
  </r>
  <r>
    <x v="7"/>
    <n v="13.6836"/>
    <n v="-89.198099999999997"/>
    <n v="7"/>
    <n v="0"/>
    <n v="0"/>
    <n v="107"/>
    <s v="_x0000_peopl"/>
  </r>
  <r>
    <x v="7"/>
    <n v="13.6843"/>
    <n v="-89.197500000000005"/>
    <n v="2"/>
    <n v="0"/>
    <n v="0"/>
    <n v="107"/>
    <s v="_x0000_peopl"/>
  </r>
  <r>
    <x v="7"/>
    <n v="13.6844"/>
    <n v="-89.197500000000005"/>
    <n v="7"/>
    <n v="0"/>
    <n v="0"/>
    <n v="107"/>
    <s v="_x0000_peopl"/>
  </r>
  <r>
    <x v="7"/>
    <n v="13.6844"/>
    <n v="-89.197400000000002"/>
    <n v="5"/>
    <n v="0"/>
    <n v="0"/>
    <n v="107"/>
    <s v="_x0000_peopl"/>
  </r>
  <r>
    <x v="7"/>
    <n v="13.6844"/>
    <n v="-89.197199999999995"/>
    <n v="7"/>
    <n v="0"/>
    <n v="0"/>
    <n v="107"/>
    <s v="_x0000_peopl"/>
  </r>
  <r>
    <x v="7"/>
    <n v="13.6843"/>
    <n v="-89.197199999999995"/>
    <n v="9"/>
    <n v="0"/>
    <n v="0"/>
    <n v="107"/>
    <s v="_x0000_peopl"/>
  </r>
  <r>
    <x v="7"/>
    <n v="13.6843"/>
    <n v="-89.197100000000006"/>
    <n v="5"/>
    <n v="0"/>
    <n v="0"/>
    <n v="107"/>
    <s v="_x0000_peopl"/>
  </r>
  <r>
    <x v="7"/>
    <n v="13.6852"/>
    <n v="-89.196399999999997"/>
    <n v="4"/>
    <n v="0"/>
    <n v="0"/>
    <n v="107"/>
    <s v="_x0000_peopl"/>
  </r>
  <r>
    <x v="7"/>
    <n v="13.6852"/>
    <n v="-89.196399999999997"/>
    <n v="6"/>
    <n v="0"/>
    <n v="0"/>
    <n v="107"/>
    <s v="_x0000_peopl"/>
  </r>
  <r>
    <x v="7"/>
    <n v="13.6852"/>
    <n v="-89.196299999999994"/>
    <n v="5"/>
    <n v="0"/>
    <n v="0"/>
    <n v="107"/>
    <s v="_x0000_peopl"/>
  </r>
  <r>
    <x v="7"/>
    <n v="13.6852"/>
    <n v="-89.196200000000005"/>
    <n v="5"/>
    <n v="0"/>
    <n v="0"/>
    <n v="107"/>
    <s v="_x0000_peopl"/>
  </r>
  <r>
    <x v="7"/>
    <n v="13.6854"/>
    <n v="-89.1965"/>
    <n v="6"/>
    <n v="0"/>
    <n v="0"/>
    <n v="107"/>
    <s v="_x0000_peopl"/>
  </r>
  <r>
    <x v="7"/>
    <n v="13.6807"/>
    <n v="-89.195800000000006"/>
    <n v="6"/>
    <n v="0"/>
    <n v="0"/>
    <n v="107"/>
    <s v="_x0000_peopl"/>
  </r>
  <r>
    <x v="7"/>
    <n v="13.6805"/>
    <n v="-89.195800000000006"/>
    <n v="2"/>
    <n v="0"/>
    <n v="0"/>
    <n v="107"/>
    <s v="_x0000_peopl"/>
  </r>
  <r>
    <x v="7"/>
    <n v="13.6807"/>
    <n v="-89.195599999999999"/>
    <n v="3"/>
    <n v="0"/>
    <n v="0"/>
    <n v="107"/>
    <s v="_x0000_peopl"/>
  </r>
  <r>
    <x v="7"/>
    <n v="13.6806"/>
    <n v="-89.195599999999999"/>
    <n v="6"/>
    <n v="0"/>
    <n v="0"/>
    <n v="107"/>
    <s v="_x0000_peopl"/>
  </r>
  <r>
    <x v="7"/>
    <n v="13.6807"/>
    <n v="-89.195400000000006"/>
    <n v="7"/>
    <n v="0"/>
    <n v="0"/>
    <n v="107"/>
    <s v="_x0000_peopl"/>
  </r>
  <r>
    <x v="7"/>
    <n v="13.6806"/>
    <n v="-89.195400000000006"/>
    <n v="7"/>
    <n v="0"/>
    <n v="0"/>
    <n v="107"/>
    <s v="_x0000_peopl"/>
  </r>
  <r>
    <x v="7"/>
    <n v="13.6805"/>
    <n v="-89.195400000000006"/>
    <n v="6"/>
    <n v="0"/>
    <n v="0"/>
    <n v="107"/>
    <s v="_x0000_peopl"/>
  </r>
  <r>
    <x v="7"/>
    <n v="13.6806"/>
    <n v="-89.1952"/>
    <n v="11"/>
    <n v="0"/>
    <n v="0"/>
    <n v="107"/>
    <s v="_x0000_peopl"/>
  </r>
  <r>
    <x v="7"/>
    <n v="13.6808"/>
    <n v="-89.195700000000002"/>
    <n v="4"/>
    <n v="0"/>
    <n v="0"/>
    <n v="107"/>
    <s v="_x0000_peopl"/>
  </r>
  <r>
    <x v="7"/>
    <n v="13.680899999999999"/>
    <n v="-89.195499999999996"/>
    <n v="5"/>
    <n v="0"/>
    <n v="0"/>
    <n v="107"/>
    <s v="_x0000_peopl"/>
  </r>
  <r>
    <x v="7"/>
    <n v="13.6808"/>
    <n v="-89.195499999999996"/>
    <n v="4"/>
    <n v="0"/>
    <n v="0"/>
    <n v="107"/>
    <s v="_x0000_peopl"/>
  </r>
  <r>
    <x v="7"/>
    <n v="13.680999999999999"/>
    <n v="-89.195300000000003"/>
    <n v="2"/>
    <n v="0"/>
    <n v="0"/>
    <n v="107"/>
    <s v="_x0000_peopl"/>
  </r>
  <r>
    <x v="7"/>
    <n v="13.680999999999999"/>
    <n v="-89.1952"/>
    <n v="0"/>
    <n v="0"/>
    <n v="0"/>
    <n v="107"/>
    <s v="_x0000_peopl"/>
  </r>
  <r>
    <x v="7"/>
    <n v="13.680899999999999"/>
    <n v="-89.195099999999996"/>
    <n v="3"/>
    <n v="0"/>
    <n v="0"/>
    <n v="107"/>
    <s v="_x0000_peopl"/>
  </r>
  <r>
    <x v="7"/>
    <n v="13.6808"/>
    <n v="-89.195099999999996"/>
    <n v="7"/>
    <n v="0"/>
    <n v="0"/>
    <n v="107"/>
    <s v="_x0000_peopl"/>
  </r>
  <r>
    <x v="7"/>
    <n v="13.681100000000001"/>
    <n v="-89.1952"/>
    <n v="6"/>
    <n v="0"/>
    <n v="0"/>
    <n v="107"/>
    <s v="_x0000_peopl"/>
  </r>
  <r>
    <x v="7"/>
    <n v="13.680300000000001"/>
    <n v="-89.195800000000006"/>
    <n v="7"/>
    <n v="0"/>
    <n v="0"/>
    <n v="107"/>
    <s v="_x0000_peopl"/>
  </r>
  <r>
    <x v="7"/>
    <n v="13.680199999999999"/>
    <n v="-89.195800000000006"/>
    <n v="6"/>
    <n v="0"/>
    <n v="0"/>
    <n v="107"/>
    <s v="_x0000_peopl"/>
  </r>
  <r>
    <x v="7"/>
    <n v="13.680199999999999"/>
    <n v="-89.194500000000005"/>
    <n v="5"/>
    <n v="0"/>
    <n v="0"/>
    <n v="107"/>
    <s v="_x0000_peopl"/>
  </r>
  <r>
    <x v="7"/>
    <n v="13.680199999999999"/>
    <n v="-89.194500000000005"/>
    <n v="3"/>
    <n v="0"/>
    <n v="0"/>
    <n v="107"/>
    <s v="_x0000_peopl"/>
  </r>
  <r>
    <x v="7"/>
    <n v="13.680199999999999"/>
    <n v="-89.195300000000003"/>
    <n v="3"/>
    <n v="0"/>
    <n v="0"/>
    <n v="107"/>
    <s v="_x0000_peopl"/>
  </r>
  <r>
    <x v="7"/>
    <n v="13.680400000000001"/>
    <n v="-89.195099999999996"/>
    <n v="3"/>
    <n v="0"/>
    <n v="0"/>
    <n v="107"/>
    <s v="_x0000_peopl"/>
  </r>
  <r>
    <x v="7"/>
    <n v="13.680400000000001"/>
    <n v="-89.194900000000004"/>
    <n v="6"/>
    <n v="0"/>
    <n v="0"/>
    <n v="107"/>
    <s v="_x0000_peopl"/>
  </r>
  <r>
    <x v="7"/>
    <n v="13.680300000000001"/>
    <n v="-89.194900000000004"/>
    <n v="6"/>
    <n v="0"/>
    <n v="0"/>
    <n v="107"/>
    <s v="_x0000_peopl"/>
  </r>
  <r>
    <x v="7"/>
    <n v="13.680099999999999"/>
    <n v="-89.194900000000004"/>
    <n v="4"/>
    <n v="0"/>
    <n v="0"/>
    <n v="107"/>
    <s v="_x0000_peopl"/>
  </r>
  <r>
    <x v="7"/>
    <n v="13.680199999999999"/>
    <n v="-89.194699999999997"/>
    <n v="9"/>
    <n v="0"/>
    <n v="0"/>
    <n v="107"/>
    <s v="_x0000_peopl"/>
  </r>
  <r>
    <x v="7"/>
    <n v="13.680300000000001"/>
    <n v="-89.194699999999997"/>
    <n v="7"/>
    <n v="0"/>
    <n v="0"/>
    <n v="107"/>
    <s v="_x0000_peopl"/>
  </r>
  <r>
    <x v="7"/>
    <n v="13.680400000000001"/>
    <n v="-89.194699999999997"/>
    <n v="3"/>
    <n v="0"/>
    <n v="0"/>
    <n v="107"/>
    <s v="_x0000_peopl"/>
  </r>
  <r>
    <x v="7"/>
    <n v="13.6806"/>
    <n v="-89.194999999999993"/>
    <n v="1"/>
    <n v="0"/>
    <n v="0"/>
    <n v="107"/>
    <s v="_x0000_peopl"/>
  </r>
  <r>
    <x v="7"/>
    <n v="13.680400000000001"/>
    <n v="-89.195099999999996"/>
    <n v="5"/>
    <n v="0"/>
    <n v="0"/>
    <n v="107"/>
    <s v="_x0000_peopl"/>
  </r>
  <r>
    <x v="7"/>
    <n v="13.680400000000001"/>
    <n v="-89.194900000000004"/>
    <n v="5"/>
    <n v="0"/>
    <n v="0"/>
    <n v="107"/>
    <s v="_x0000_peopl"/>
  </r>
  <r>
    <x v="7"/>
    <n v="13.6805"/>
    <n v="-89.194800000000001"/>
    <n v="3"/>
    <n v="0"/>
    <n v="0"/>
    <n v="107"/>
    <s v="_x0000_peopl"/>
  </r>
  <r>
    <x v="7"/>
    <n v="13.6805"/>
    <n v="-89.194699999999997"/>
    <n v="5"/>
    <n v="0"/>
    <n v="0"/>
    <n v="107"/>
    <s v="_x0000_peopl"/>
  </r>
  <r>
    <x v="7"/>
    <n v="13.680400000000001"/>
    <n v="-89.195300000000003"/>
    <n v="4"/>
    <n v="0"/>
    <n v="0"/>
    <n v="107"/>
    <s v="_x0000_peopl"/>
  </r>
  <r>
    <x v="7"/>
    <n v="13.680300000000001"/>
    <n v="-89.195300000000003"/>
    <n v="5"/>
    <n v="0"/>
    <n v="0"/>
    <n v="107"/>
    <s v="_x0000_peopl"/>
  </r>
  <r>
    <x v="7"/>
    <n v="13.680300000000001"/>
    <n v="-89.195599999999999"/>
    <n v="9"/>
    <n v="0"/>
    <n v="0"/>
    <n v="107"/>
    <s v="_x0000_peopl"/>
  </r>
  <r>
    <x v="7"/>
    <n v="13.680199999999999"/>
    <n v="-89.195499999999996"/>
    <n v="5"/>
    <n v="0"/>
    <n v="0"/>
    <n v="107"/>
    <s v="_x0000_peopl"/>
  </r>
  <r>
    <x v="7"/>
    <n v="13.680099999999999"/>
    <n v="-89.195499999999996"/>
    <n v="3"/>
    <n v="0"/>
    <n v="0"/>
    <n v="107"/>
    <s v="_x0000_peopl"/>
  </r>
  <r>
    <x v="7"/>
    <n v="13.68"/>
    <n v="-89.195599999999999"/>
    <n v="3"/>
    <n v="0"/>
    <n v="0"/>
    <n v="107"/>
    <s v="_x0000_peopl"/>
  </r>
  <r>
    <x v="7"/>
    <n v="13.68"/>
    <n v="-89.195499999999996"/>
    <n v="3"/>
    <n v="0"/>
    <n v="0"/>
    <n v="107"/>
    <s v="_x0000_peopl"/>
  </r>
  <r>
    <x v="7"/>
    <n v="13.68"/>
    <n v="-89.1952"/>
    <n v="5"/>
    <n v="0"/>
    <n v="0"/>
    <n v="107"/>
    <s v="_x0000_peopl"/>
  </r>
  <r>
    <x v="7"/>
    <n v="13.68"/>
    <n v="-89.195099999999996"/>
    <n v="9"/>
    <n v="0"/>
    <n v="0"/>
    <n v="107"/>
    <s v="_x0000_peopl"/>
  </r>
  <r>
    <x v="7"/>
    <n v="13.68"/>
    <n v="-89.194900000000004"/>
    <n v="6"/>
    <n v="0"/>
    <n v="0"/>
    <n v="107"/>
    <s v="_x0000_peopl"/>
  </r>
  <r>
    <x v="7"/>
    <n v="13.68"/>
    <n v="-89.194800000000001"/>
    <n v="6"/>
    <n v="0"/>
    <n v="0"/>
    <n v="107"/>
    <s v="_x0000_peopl"/>
  </r>
  <r>
    <x v="7"/>
    <n v="13.680099999999999"/>
    <n v="-89.194699999999997"/>
    <n v="8"/>
    <n v="0"/>
    <n v="0"/>
    <n v="107"/>
    <s v="_x0000_peopl"/>
  </r>
  <r>
    <x v="7"/>
    <n v="13.6807"/>
    <n v="-89.195099999999996"/>
    <n v="4"/>
    <n v="0"/>
    <n v="0"/>
    <n v="107"/>
    <s v="_x0000_peopl"/>
  </r>
  <r>
    <x v="7"/>
    <n v="13.682"/>
    <n v="-89.1965"/>
    <n v="8"/>
    <n v="0"/>
    <n v="0"/>
    <n v="107"/>
    <s v="_x0000_peopl"/>
  </r>
  <r>
    <x v="7"/>
    <n v="13.682"/>
    <n v="-89.1965"/>
    <n v="4"/>
    <n v="0"/>
    <n v="0"/>
    <n v="107"/>
    <s v="_x0000_peopl"/>
  </r>
  <r>
    <x v="7"/>
    <n v="13.682"/>
    <n v="-89.1965"/>
    <n v="6"/>
    <n v="0"/>
    <n v="0"/>
    <n v="107"/>
    <s v="_x0000_peopl"/>
  </r>
  <r>
    <x v="7"/>
    <n v="13.682"/>
    <n v="-89.196799999999996"/>
    <n v="6"/>
    <n v="0"/>
    <n v="0"/>
    <n v="107"/>
    <s v="_x0000_peopl"/>
  </r>
  <r>
    <x v="7"/>
    <n v="13.681900000000001"/>
    <n v="-89.196799999999996"/>
    <n v="6"/>
    <n v="0"/>
    <n v="0"/>
    <n v="107"/>
    <s v="_x0000_peopl"/>
  </r>
  <r>
    <x v="7"/>
    <n v="13.6822"/>
    <n v="-89.196799999999996"/>
    <n v="8"/>
    <n v="0"/>
    <n v="0"/>
    <n v="107"/>
    <s v="_x0000_peopl"/>
  </r>
  <r>
    <x v="7"/>
    <n v="13.681100000000001"/>
    <n v="-89.197599999999994"/>
    <n v="9"/>
    <n v="0"/>
    <n v="0"/>
    <n v="107"/>
    <s v="_x0000_peopl"/>
  </r>
  <r>
    <x v="7"/>
    <n v="13.680999999999999"/>
    <n v="-89.197599999999994"/>
    <n v="2"/>
    <n v="0"/>
    <n v="0"/>
    <n v="107"/>
    <s v="_x0000_peopl"/>
  </r>
  <r>
    <x v="7"/>
    <n v="13.680999999999999"/>
    <n v="-89.197599999999994"/>
    <n v="5"/>
    <n v="0"/>
    <n v="0"/>
    <n v="107"/>
    <s v="_x0000_peopl"/>
  </r>
  <r>
    <x v="7"/>
    <n v="13.681100000000001"/>
    <n v="-89.197299999999998"/>
    <n v="5"/>
    <n v="0"/>
    <n v="0"/>
    <n v="107"/>
    <s v="_x0000_peopl"/>
  </r>
  <r>
    <x v="7"/>
    <n v="13.681100000000001"/>
    <n v="-89.197000000000003"/>
    <n v="1"/>
    <n v="0"/>
    <n v="0"/>
    <n v="107"/>
    <s v="_x0000_peopl"/>
  </r>
  <r>
    <x v="7"/>
    <n v="13.680999999999999"/>
    <n v="-89.197000000000003"/>
    <n v="5"/>
    <n v="0"/>
    <n v="0"/>
    <n v="107"/>
    <s v="_x0000_peopl"/>
  </r>
  <r>
    <x v="7"/>
    <n v="13.680899999999999"/>
    <n v="-89.197599999999994"/>
    <n v="4"/>
    <n v="0"/>
    <n v="0"/>
    <n v="107"/>
    <s v="_x0000_peopl"/>
  </r>
  <r>
    <x v="7"/>
    <n v="13.6808"/>
    <n v="-89.197299999999998"/>
    <n v="4"/>
    <n v="0"/>
    <n v="0"/>
    <n v="107"/>
    <s v="_x0000_peopl"/>
  </r>
  <r>
    <x v="7"/>
    <n v="13.680899999999999"/>
    <n v="-89.197000000000003"/>
    <n v="4"/>
    <n v="0"/>
    <n v="0"/>
    <n v="107"/>
    <s v="_x0000_peopl"/>
  </r>
  <r>
    <x v="7"/>
    <n v="13.6807"/>
    <n v="-89.197000000000003"/>
    <n v="5"/>
    <n v="0"/>
    <n v="0"/>
    <n v="107"/>
    <s v="_x0000_peopl"/>
  </r>
  <r>
    <x v="7"/>
    <n v="13.680899999999999"/>
    <n v="-89.197299999999998"/>
    <n v="4"/>
    <n v="0"/>
    <n v="0"/>
    <n v="107"/>
    <s v="_x0000_peopl"/>
  </r>
  <r>
    <x v="7"/>
    <n v="13.6805"/>
    <n v="-89.197299999999998"/>
    <n v="6"/>
    <n v="0"/>
    <n v="0"/>
    <n v="107"/>
    <s v="_x0000_peopl"/>
  </r>
  <r>
    <x v="7"/>
    <n v="13.680300000000001"/>
    <n v="-89.197400000000002"/>
    <n v="0"/>
    <n v="0"/>
    <n v="0"/>
    <n v="107"/>
    <s v="_x0000_peopl"/>
  </r>
  <r>
    <x v="7"/>
    <n v="13.680199999999999"/>
    <n v="-89.197400000000002"/>
    <n v="3"/>
    <n v="0"/>
    <n v="0"/>
    <n v="107"/>
    <s v="_x0000_peopl"/>
  </r>
  <r>
    <x v="7"/>
    <n v="13.680099999999999"/>
    <n v="-89.197400000000002"/>
    <n v="2"/>
    <n v="0"/>
    <n v="0"/>
    <n v="107"/>
    <s v="_x0000_peopl"/>
  </r>
  <r>
    <x v="7"/>
    <n v="13.68"/>
    <n v="-89.197400000000002"/>
    <n v="4"/>
    <n v="0"/>
    <n v="0"/>
    <n v="107"/>
    <s v="_x0000_peopl"/>
  </r>
  <r>
    <x v="7"/>
    <n v="13.68"/>
    <n v="-89.197599999999994"/>
    <n v="1"/>
    <n v="0"/>
    <n v="0"/>
    <n v="107"/>
    <s v="_x0000_peopl"/>
  </r>
  <r>
    <x v="7"/>
    <n v="13.6799"/>
    <n v="-89.197400000000002"/>
    <n v="7"/>
    <n v="0"/>
    <n v="0"/>
    <n v="107"/>
    <s v="_x0000_peopl"/>
  </r>
  <r>
    <x v="7"/>
    <n v="13.6798"/>
    <n v="-89.197500000000005"/>
    <n v="2"/>
    <n v="0"/>
    <n v="0"/>
    <n v="107"/>
    <s v="_x0000_peopl"/>
  </r>
  <r>
    <x v="7"/>
    <n v="13.6798"/>
    <n v="-89.197400000000002"/>
    <n v="5"/>
    <n v="0"/>
    <n v="0"/>
    <n v="107"/>
    <s v="_x0000_peopl"/>
  </r>
  <r>
    <x v="7"/>
    <n v="13.680300000000001"/>
    <n v="-89.197699999999998"/>
    <n v="3"/>
    <n v="0"/>
    <n v="0"/>
    <n v="107"/>
    <s v="_x0000_peopl"/>
  </r>
  <r>
    <x v="7"/>
    <n v="13.680199999999999"/>
    <n v="-89.197699999999998"/>
    <n v="5"/>
    <n v="0"/>
    <n v="0"/>
    <n v="107"/>
    <s v="_x0000_peopl"/>
  </r>
  <r>
    <x v="7"/>
    <n v="13.680400000000001"/>
    <n v="-89.197699999999998"/>
    <n v="3"/>
    <n v="0"/>
    <n v="0"/>
    <n v="107"/>
    <s v="_x0000_peopl"/>
  </r>
  <r>
    <x v="7"/>
    <n v="13.6813"/>
    <n v="-89.197500000000005"/>
    <n v="6"/>
    <n v="0"/>
    <n v="0"/>
    <n v="107"/>
    <s v="_x0000_peopl"/>
  </r>
  <r>
    <x v="7"/>
    <n v="13.6814"/>
    <n v="-89.197500000000005"/>
    <n v="6"/>
    <n v="0"/>
    <n v="0"/>
    <n v="107"/>
    <s v="_x0000_peopl"/>
  </r>
  <r>
    <x v="7"/>
    <n v="13.6814"/>
    <n v="-89.197299999999998"/>
    <n v="5"/>
    <n v="0"/>
    <n v="0"/>
    <n v="107"/>
    <s v="_x0000_peopl"/>
  </r>
  <r>
    <x v="7"/>
    <n v="13.6814"/>
    <n v="-89.197199999999995"/>
    <n v="2"/>
    <n v="0"/>
    <n v="0"/>
    <n v="107"/>
    <s v="_x0000_peopl"/>
  </r>
  <r>
    <x v="7"/>
    <n v="13.6814"/>
    <n v="-89.197199999999995"/>
    <n v="4"/>
    <n v="0"/>
    <n v="0"/>
    <n v="107"/>
    <s v="_x0000_peopl"/>
  </r>
  <r>
    <x v="7"/>
    <n v="13.6814"/>
    <n v="-89.197199999999995"/>
    <n v="2"/>
    <n v="0"/>
    <n v="0"/>
    <n v="107"/>
    <s v="_x0000_peopl"/>
  </r>
  <r>
    <x v="7"/>
    <n v="13.6812"/>
    <n v="-89.197000000000003"/>
    <n v="3"/>
    <n v="0"/>
    <n v="0"/>
    <n v="107"/>
    <s v="_x0000_peopl"/>
  </r>
  <r>
    <x v="7"/>
    <n v="13.6816"/>
    <n v="-89.1965"/>
    <n v="3"/>
    <n v="0"/>
    <n v="0"/>
    <n v="107"/>
    <s v="_x0000_peopl"/>
  </r>
  <r>
    <x v="7"/>
    <n v="13.6815"/>
    <n v="-89.196600000000004"/>
    <n v="3"/>
    <n v="0"/>
    <n v="0"/>
    <n v="107"/>
    <s v="_x0000_peopl"/>
  </r>
  <r>
    <x v="7"/>
    <n v="13.6814"/>
    <n v="-89.196600000000004"/>
    <n v="8"/>
    <n v="0"/>
    <n v="0"/>
    <n v="107"/>
    <s v="_x0000_peopl"/>
  </r>
  <r>
    <x v="7"/>
    <n v="13.6813"/>
    <n v="-89.196600000000004"/>
    <n v="5"/>
    <n v="0"/>
    <n v="0"/>
    <n v="107"/>
    <s v="_x0000_peopl"/>
  </r>
  <r>
    <x v="7"/>
    <n v="13.6812"/>
    <n v="-89.196600000000004"/>
    <n v="7"/>
    <n v="0"/>
    <n v="0"/>
    <n v="107"/>
    <s v="_x0000_peopl"/>
  </r>
  <r>
    <x v="7"/>
    <n v="13.681100000000001"/>
    <n v="-89.196600000000004"/>
    <n v="3"/>
    <n v="0"/>
    <n v="0"/>
    <n v="107"/>
    <s v="_x0000_peopl"/>
  </r>
  <r>
    <x v="7"/>
    <n v="13.6807"/>
    <n v="-89.196700000000007"/>
    <n v="7"/>
    <n v="0"/>
    <n v="0"/>
    <n v="107"/>
    <s v="_x0000_peopl"/>
  </r>
  <r>
    <x v="7"/>
    <n v="13.681800000000001"/>
    <n v="-89.197100000000006"/>
    <n v="2"/>
    <n v="0"/>
    <n v="0"/>
    <n v="107"/>
    <s v="_x0000_peopl"/>
  </r>
  <r>
    <x v="7"/>
    <n v="13.681699999999999"/>
    <n v="-89.197100000000006"/>
    <n v="6"/>
    <n v="0"/>
    <n v="0"/>
    <n v="107"/>
    <s v="_x0000_peopl"/>
  </r>
  <r>
    <x v="7"/>
    <n v="13.6816"/>
    <n v="-89.197199999999995"/>
    <n v="8"/>
    <n v="0"/>
    <n v="0"/>
    <n v="107"/>
    <s v="_x0000_peopl"/>
  </r>
  <r>
    <x v="7"/>
    <n v="13.681699999999999"/>
    <n v="-89.196799999999996"/>
    <n v="6"/>
    <n v="0"/>
    <n v="0"/>
    <n v="107"/>
    <s v="_x0000_peopl"/>
  </r>
  <r>
    <x v="7"/>
    <n v="13.6816"/>
    <n v="-89.196799999999996"/>
    <n v="5"/>
    <n v="0"/>
    <n v="0"/>
    <n v="107"/>
    <s v="_x0000_peopl"/>
  </r>
  <r>
    <x v="7"/>
    <n v="13.681699999999999"/>
    <n v="-89.1965"/>
    <n v="7"/>
    <n v="0"/>
    <n v="0"/>
    <n v="107"/>
    <s v="_x0000_peopl"/>
  </r>
  <r>
    <x v="7"/>
    <n v="13.681699999999999"/>
    <n v="-89.1965"/>
    <n v="7"/>
    <n v="0"/>
    <n v="0"/>
    <n v="107"/>
    <s v="_x0000_peopl"/>
  </r>
  <r>
    <x v="7"/>
    <n v="13.681900000000001"/>
    <n v="-89.1965"/>
    <n v="11"/>
    <n v="0"/>
    <n v="0"/>
    <n v="107"/>
    <s v="_x0000_peopl"/>
  </r>
  <r>
    <x v="7"/>
    <n v="13.680099999999999"/>
    <n v="-89.197599999999994"/>
    <n v="6"/>
    <n v="0"/>
    <n v="0"/>
    <n v="107"/>
    <s v="_x0000_peopl"/>
  </r>
  <r>
    <x v="7"/>
    <n v="13.676299999999999"/>
    <n v="-89.200199999999995"/>
    <n v="7"/>
    <n v="0"/>
    <n v="0"/>
    <n v="107"/>
    <s v="_x0000_peopl"/>
  </r>
  <r>
    <x v="7"/>
    <n v="13.6762"/>
    <n v="-89.200199999999995"/>
    <n v="5"/>
    <n v="0"/>
    <n v="0"/>
    <n v="107"/>
    <s v="_x0000_peopl"/>
  </r>
  <r>
    <x v="7"/>
    <n v="13.676399999999999"/>
    <n v="-89.200400000000002"/>
    <n v="3"/>
    <n v="0"/>
    <n v="0"/>
    <n v="107"/>
    <s v="_x0000_peopl"/>
  </r>
  <r>
    <x v="7"/>
    <n v="13.6761"/>
    <n v="-89.200100000000006"/>
    <n v="2"/>
    <n v="0"/>
    <n v="0"/>
    <n v="107"/>
    <s v="_x0000_peopl"/>
  </r>
  <r>
    <x v="7"/>
    <n v="13.6762"/>
    <n v="-89.200100000000006"/>
    <n v="4"/>
    <n v="0"/>
    <n v="0"/>
    <n v="107"/>
    <s v="_x0000_peopl"/>
  </r>
  <r>
    <x v="7"/>
    <n v="13.6761"/>
    <n v="-89.2"/>
    <n v="11"/>
    <n v="0"/>
    <n v="0"/>
    <n v="107"/>
    <s v="_x0000_peopl"/>
  </r>
  <r>
    <x v="7"/>
    <n v="13.6761"/>
    <n v="-89.2"/>
    <n v="5"/>
    <n v="0"/>
    <n v="0"/>
    <n v="107"/>
    <s v="_x0000_peopl"/>
  </r>
  <r>
    <x v="7"/>
    <n v="13.6761"/>
    <n v="-89.1999"/>
    <n v="6"/>
    <n v="0"/>
    <n v="0"/>
    <n v="107"/>
    <s v="_x0000_peopl"/>
  </r>
  <r>
    <x v="7"/>
    <n v="13.6761"/>
    <n v="-89.199799999999996"/>
    <n v="3"/>
    <n v="0"/>
    <n v="0"/>
    <n v="107"/>
    <s v="_x0000_peopl"/>
  </r>
  <r>
    <x v="7"/>
    <n v="13.676"/>
    <n v="-89.199799999999996"/>
    <n v="1"/>
    <n v="0"/>
    <n v="0"/>
    <n v="107"/>
    <s v="_x0000_peopl"/>
  </r>
  <r>
    <x v="7"/>
    <n v="13.6761"/>
    <n v="-89.199700000000007"/>
    <n v="5"/>
    <n v="0"/>
    <n v="0"/>
    <n v="107"/>
    <s v="_x0000_peopl"/>
  </r>
  <r>
    <x v="7"/>
    <n v="13.674099999999999"/>
    <n v="-89.1995"/>
    <n v="3"/>
    <n v="0"/>
    <n v="0"/>
    <n v="107"/>
    <s v="_x0000_peopl"/>
  </r>
  <r>
    <x v="7"/>
    <n v="13.674099999999999"/>
    <n v="-89.1995"/>
    <n v="8"/>
    <n v="0"/>
    <n v="0"/>
    <n v="107"/>
    <s v="_x0000_peopl"/>
  </r>
  <r>
    <x v="7"/>
    <n v="13.673999999999999"/>
    <n v="-89.1995"/>
    <n v="3"/>
    <n v="0"/>
    <n v="0"/>
    <n v="107"/>
    <s v="_x0000_peopl"/>
  </r>
  <r>
    <x v="7"/>
    <n v="13.673999999999999"/>
    <n v="-89.199399999999997"/>
    <n v="2"/>
    <n v="0"/>
    <n v="0"/>
    <n v="107"/>
    <s v="_x0000_peopl"/>
  </r>
  <r>
    <x v="7"/>
    <n v="13.6739"/>
    <n v="-89.199299999999994"/>
    <n v="3"/>
    <n v="0"/>
    <n v="0"/>
    <n v="107"/>
    <s v="_x0000_peopl"/>
  </r>
  <r>
    <x v="7"/>
    <n v="13.673999999999999"/>
    <n v="-89.199700000000007"/>
    <n v="1"/>
    <n v="0"/>
    <n v="0"/>
    <n v="107"/>
    <s v="_x0000_peopl"/>
  </r>
  <r>
    <x v="7"/>
    <n v="13.673999999999999"/>
    <n v="-89.199700000000007"/>
    <n v="5"/>
    <n v="0"/>
    <n v="0"/>
    <n v="107"/>
    <s v="_x0000_peopl"/>
  </r>
  <r>
    <x v="7"/>
    <n v="13.673999999999999"/>
    <n v="-89.199700000000007"/>
    <n v="4"/>
    <n v="0"/>
    <n v="0"/>
    <n v="107"/>
    <s v="_x0000_peopl"/>
  </r>
  <r>
    <x v="7"/>
    <n v="13.673999999999999"/>
    <n v="-89.199799999999996"/>
    <n v="4"/>
    <n v="0"/>
    <n v="0"/>
    <n v="107"/>
    <s v="_x0000_peopl"/>
  </r>
  <r>
    <x v="7"/>
    <n v="13.673999999999999"/>
    <n v="-89.199799999999996"/>
    <n v="8"/>
    <n v="0"/>
    <n v="0"/>
    <n v="107"/>
    <s v="_x0000_peopl"/>
  </r>
  <r>
    <x v="7"/>
    <n v="13.673999999999999"/>
    <n v="-89.1999"/>
    <n v="5"/>
    <n v="0"/>
    <n v="0"/>
    <n v="107"/>
    <s v="_x0000_peopl"/>
  </r>
  <r>
    <x v="7"/>
    <n v="13.6739"/>
    <n v="-89.1999"/>
    <n v="8"/>
    <n v="0"/>
    <n v="0"/>
    <n v="107"/>
    <s v="_x0000_peopl"/>
  </r>
  <r>
    <x v="7"/>
    <n v="13.674200000000001"/>
    <n v="-89.199799999999996"/>
    <n v="6"/>
    <n v="0"/>
    <n v="0"/>
    <n v="107"/>
    <s v="_x0000_peopl"/>
  </r>
  <r>
    <x v="7"/>
    <n v="13.674200000000001"/>
    <n v="-89.199799999999996"/>
    <n v="8"/>
    <n v="0"/>
    <n v="0"/>
    <n v="107"/>
    <s v="_x0000_peopl"/>
  </r>
  <r>
    <x v="7"/>
    <n v="13.674200000000001"/>
    <n v="-89.1999"/>
    <n v="3"/>
    <n v="0"/>
    <n v="0"/>
    <n v="107"/>
    <s v="_x0000_peopl"/>
  </r>
  <r>
    <x v="7"/>
    <n v="13.674099999999999"/>
    <n v="-89.1999"/>
    <n v="9"/>
    <n v="0"/>
    <n v="0"/>
    <n v="107"/>
    <s v="_x0000_peopl"/>
  </r>
  <r>
    <x v="7"/>
    <n v="13.674099999999999"/>
    <n v="-89.199700000000007"/>
    <n v="3"/>
    <n v="0"/>
    <n v="0"/>
    <n v="107"/>
    <s v="_x0000_peopl"/>
  </r>
  <r>
    <x v="7"/>
    <n v="13.674099999999999"/>
    <n v="-89.199600000000004"/>
    <n v="8"/>
    <n v="0"/>
    <n v="0"/>
    <n v="107"/>
    <s v="_x0000_peopl"/>
  </r>
  <r>
    <x v="7"/>
    <n v="13.674200000000001"/>
    <n v="-89.199600000000004"/>
    <n v="4"/>
    <n v="0"/>
    <n v="0"/>
    <n v="107"/>
    <s v="_x0000_peopl"/>
  </r>
  <r>
    <x v="7"/>
    <n v="13.674200000000001"/>
    <n v="-89.199700000000007"/>
    <n v="3"/>
    <n v="0"/>
    <n v="0"/>
    <n v="107"/>
    <s v="_x0000_peopl"/>
  </r>
  <r>
    <x v="7"/>
    <n v="13.674300000000001"/>
    <n v="-89.199700000000007"/>
    <n v="2"/>
    <n v="0"/>
    <n v="0"/>
    <n v="107"/>
    <s v="_x0000_peopl"/>
  </r>
  <r>
    <x v="7"/>
    <n v="13.674099999999999"/>
    <n v="-89.199600000000004"/>
    <n v="7"/>
    <n v="0"/>
    <n v="0"/>
    <n v="107"/>
    <s v="_x0000_peopl"/>
  </r>
  <r>
    <x v="7"/>
    <n v="13.674099999999999"/>
    <n v="-89.199700000000007"/>
    <n v="8"/>
    <n v="0"/>
    <n v="0"/>
    <n v="107"/>
    <s v="_x0000_peopl"/>
  </r>
  <r>
    <x v="7"/>
    <n v="13.674099999999999"/>
    <n v="-89.199799999999996"/>
    <n v="6"/>
    <n v="0"/>
    <n v="0"/>
    <n v="107"/>
    <s v="_x0000_peopl"/>
  </r>
  <r>
    <x v="7"/>
    <n v="13.674099999999999"/>
    <n v="-89.1999"/>
    <n v="5"/>
    <n v="0"/>
    <n v="0"/>
    <n v="107"/>
    <s v="_x0000_peopl"/>
  </r>
  <r>
    <x v="7"/>
    <n v="13.674099999999999"/>
    <n v="-89.2"/>
    <n v="4"/>
    <n v="0"/>
    <n v="0"/>
    <n v="107"/>
    <s v="_x0000_peopl"/>
  </r>
  <r>
    <x v="7"/>
    <n v="13.674300000000001"/>
    <n v="-89.199799999999996"/>
    <n v="6"/>
    <n v="0"/>
    <n v="0"/>
    <n v="107"/>
    <s v="_x0000_peopl"/>
  </r>
  <r>
    <x v="7"/>
    <n v="13.674300000000001"/>
    <n v="-89.199799999999996"/>
    <n v="7"/>
    <n v="0"/>
    <n v="0"/>
    <n v="107"/>
    <s v="_x0000_peopl"/>
  </r>
  <r>
    <x v="7"/>
    <n v="13.6739"/>
    <n v="-89.200100000000006"/>
    <n v="3"/>
    <n v="0"/>
    <n v="0"/>
    <n v="107"/>
    <s v="_x0000_peopl"/>
  </r>
  <r>
    <x v="7"/>
    <n v="13.673999999999999"/>
    <n v="-89.200100000000006"/>
    <n v="8"/>
    <n v="0"/>
    <n v="0"/>
    <n v="107"/>
    <s v="_x0000_peopl"/>
  </r>
  <r>
    <x v="7"/>
    <n v="13.673999999999999"/>
    <n v="-89.2"/>
    <n v="10"/>
    <n v="0"/>
    <n v="0"/>
    <n v="107"/>
    <s v="_x0000_peopl"/>
  </r>
  <r>
    <x v="7"/>
    <n v="13.673999999999999"/>
    <n v="-89.2"/>
    <n v="6"/>
    <n v="0"/>
    <n v="0"/>
    <n v="107"/>
    <s v="_x0000_peopl"/>
  </r>
  <r>
    <x v="7"/>
    <n v="13.673500000000001"/>
    <n v="-89.202500000000001"/>
    <n v="3"/>
    <n v="0"/>
    <n v="0"/>
    <n v="107"/>
    <s v="_x0000_peopl"/>
  </r>
  <r>
    <x v="7"/>
    <n v="13.6736"/>
    <n v="-89.202600000000004"/>
    <n v="6"/>
    <n v="0"/>
    <n v="0"/>
    <n v="107"/>
    <s v="_x0000_peopl"/>
  </r>
  <r>
    <x v="7"/>
    <n v="13.6737"/>
    <n v="-89.202500000000001"/>
    <n v="4"/>
    <n v="0"/>
    <n v="0"/>
    <n v="107"/>
    <s v="_x0000_peopl"/>
  </r>
  <r>
    <x v="7"/>
    <n v="13.6736"/>
    <n v="-89.202399999999997"/>
    <n v="8"/>
    <n v="0"/>
    <n v="0"/>
    <n v="107"/>
    <s v="_x0000_peopl"/>
  </r>
  <r>
    <x v="7"/>
    <n v="13.6738"/>
    <n v="-89.202299999999994"/>
    <n v="6"/>
    <n v="0"/>
    <n v="0"/>
    <n v="107"/>
    <s v="_x0000_peopl"/>
  </r>
  <r>
    <x v="7"/>
    <n v="13.674899999999999"/>
    <n v="-89.200900000000004"/>
    <n v="3"/>
    <n v="0"/>
    <n v="0"/>
    <n v="107"/>
    <s v="_x0000_peopl"/>
  </r>
  <r>
    <x v="7"/>
    <n v="13.6755"/>
    <n v="-89.200699999999998"/>
    <n v="7"/>
    <n v="0"/>
    <n v="0"/>
    <n v="107"/>
    <s v="_x0000_peopl"/>
  </r>
  <r>
    <x v="7"/>
    <n v="13.6755"/>
    <n v="-89.200800000000001"/>
    <n v="6"/>
    <n v="0"/>
    <n v="0"/>
    <n v="107"/>
    <s v="_x0000_peopl"/>
  </r>
  <r>
    <x v="7"/>
    <n v="13.6755"/>
    <n v="-89.200800000000001"/>
    <n v="5"/>
    <n v="0"/>
    <n v="0"/>
    <n v="107"/>
    <s v="_x0000_peopl"/>
  </r>
  <r>
    <x v="7"/>
    <n v="13.675599999999999"/>
    <n v="-89.200800000000001"/>
    <n v="5"/>
    <n v="0"/>
    <n v="0"/>
    <n v="107"/>
    <s v="_x0000_peopl"/>
  </r>
  <r>
    <x v="7"/>
    <n v="13.675599999999999"/>
    <n v="-89.200800000000001"/>
    <n v="4"/>
    <n v="0"/>
    <n v="0"/>
    <n v="107"/>
    <s v="_x0000_peopl"/>
  </r>
  <r>
    <x v="7"/>
    <n v="13.6755"/>
    <n v="-89.200599999999994"/>
    <n v="6"/>
    <n v="0"/>
    <n v="0"/>
    <n v="107"/>
    <s v="_x0000_peopl"/>
  </r>
  <r>
    <x v="7"/>
    <n v="13.6754"/>
    <n v="-89.200500000000005"/>
    <n v="3"/>
    <n v="0"/>
    <n v="0"/>
    <n v="107"/>
    <s v="_x0000_peopl"/>
  </r>
  <r>
    <x v="7"/>
    <n v="13.682399999999999"/>
    <n v="-89.197100000000006"/>
    <n v="6"/>
    <n v="0"/>
    <n v="0"/>
    <n v="107"/>
    <s v="_x0000_peopl"/>
  </r>
  <r>
    <x v="7"/>
    <n v="13.6823"/>
    <n v="-89.197199999999995"/>
    <n v="9"/>
    <n v="0"/>
    <n v="0"/>
    <n v="107"/>
    <s v="_x0000_peopl"/>
  </r>
  <r>
    <x v="7"/>
    <n v="13.6805"/>
    <n v="-89.198800000000006"/>
    <n v="3"/>
    <n v="0"/>
    <n v="0"/>
    <n v="107"/>
    <s v="_x0000_peopl"/>
  </r>
  <r>
    <x v="7"/>
    <n v="13.680400000000001"/>
    <n v="-89.198999999999998"/>
    <n v="2"/>
    <n v="0"/>
    <n v="0"/>
    <n v="107"/>
    <s v="_x0000_peopl"/>
  </r>
  <r>
    <x v="7"/>
    <n v="13.680999999999999"/>
    <n v="-89.198499999999996"/>
    <n v="5"/>
    <n v="0"/>
    <n v="0"/>
    <n v="107"/>
    <s v="_x0000_peopl"/>
  </r>
  <r>
    <x v="7"/>
    <n v="13.681100000000001"/>
    <n v="-89.198400000000007"/>
    <n v="6"/>
    <n v="0"/>
    <n v="0"/>
    <n v="107"/>
    <s v="_x0000_peopl"/>
  </r>
  <r>
    <x v="7"/>
    <n v="13.6814"/>
    <n v="-89.1982"/>
    <n v="6"/>
    <n v="0"/>
    <n v="0"/>
    <n v="107"/>
    <s v="_x0000_peopl"/>
  </r>
  <r>
    <x v="7"/>
    <n v="13.6813"/>
    <n v="-89.1982"/>
    <n v="4"/>
    <n v="0"/>
    <n v="0"/>
    <n v="107"/>
    <s v="_x0000_peopl"/>
  </r>
  <r>
    <x v="7"/>
    <n v="13.6813"/>
    <n v="-89.1982"/>
    <n v="7"/>
    <n v="0"/>
    <n v="0"/>
    <n v="107"/>
    <s v="_x0000_peopl"/>
  </r>
  <r>
    <x v="7"/>
    <n v="13.6812"/>
    <n v="-89.198300000000003"/>
    <n v="4"/>
    <n v="0"/>
    <n v="0"/>
    <n v="107"/>
    <s v="_x0000_peopl"/>
  </r>
  <r>
    <x v="7"/>
    <n v="13.6812"/>
    <n v="-89.198400000000007"/>
    <n v="6"/>
    <n v="0"/>
    <n v="0"/>
    <n v="107"/>
    <s v="_x0000_peopl"/>
  </r>
  <r>
    <x v="7"/>
    <n v="13.6815"/>
    <n v="-89.198099999999997"/>
    <n v="5"/>
    <n v="0"/>
    <n v="0"/>
    <n v="107"/>
    <s v="_x0000_peopl"/>
  </r>
  <r>
    <x v="7"/>
    <n v="13.681800000000001"/>
    <n v="-89.197800000000001"/>
    <n v="10"/>
    <n v="0"/>
    <n v="0"/>
    <n v="107"/>
    <s v="_x0000_peopl"/>
  </r>
  <r>
    <x v="7"/>
    <n v="13.680899999999999"/>
    <n v="-89.198599999999999"/>
    <n v="4"/>
    <n v="0"/>
    <n v="0"/>
    <n v="107"/>
    <s v="_x0000_peopl"/>
  </r>
  <r>
    <x v="7"/>
    <n v="13.6762"/>
    <n v="-89.200800000000001"/>
    <n v="4"/>
    <n v="0"/>
    <n v="0"/>
    <n v="107"/>
    <s v="_x0000_peopl"/>
  </r>
  <r>
    <x v="7"/>
    <n v="13.676299999999999"/>
    <n v="-89.200800000000001"/>
    <n v="2"/>
    <n v="0"/>
    <n v="0"/>
    <n v="107"/>
    <s v="_x0000_peopl"/>
  </r>
  <r>
    <x v="7"/>
    <n v="13.676399999999999"/>
    <n v="-89.200999999999993"/>
    <n v="6"/>
    <n v="0"/>
    <n v="0"/>
    <n v="107"/>
    <s v="_x0000_peopl"/>
  </r>
  <r>
    <x v="7"/>
    <n v="13.676399999999999"/>
    <n v="-89.200800000000001"/>
    <n v="7"/>
    <n v="0"/>
    <n v="0"/>
    <n v="107"/>
    <s v="_x0000_peopl"/>
  </r>
  <r>
    <x v="7"/>
    <n v="13.676399999999999"/>
    <n v="-89.200699999999998"/>
    <n v="9"/>
    <n v="0"/>
    <n v="0"/>
    <n v="107"/>
    <s v="_x0000_peopl"/>
  </r>
  <r>
    <x v="7"/>
    <n v="13.6762"/>
    <n v="-89.200500000000005"/>
    <n v="5"/>
    <n v="0"/>
    <n v="0"/>
    <n v="107"/>
    <s v="_x0000_peopl"/>
  </r>
  <r>
    <x v="7"/>
    <n v="13.6762"/>
    <n v="-89.200400000000002"/>
    <n v="2"/>
    <n v="0"/>
    <n v="0"/>
    <n v="107"/>
    <s v="_x0000_peopl"/>
  </r>
  <r>
    <x v="7"/>
    <n v="13.676299999999999"/>
    <n v="-89.200400000000002"/>
    <n v="7"/>
    <n v="0"/>
    <n v="0"/>
    <n v="107"/>
    <s v="_x0000_peopl"/>
  </r>
  <r>
    <x v="7"/>
    <n v="13.676600000000001"/>
    <n v="-89.200599999999994"/>
    <n v="4"/>
    <n v="0"/>
    <n v="0"/>
    <n v="107"/>
    <s v="_x0000_peopl"/>
  </r>
  <r>
    <x v="7"/>
    <n v="13.676500000000001"/>
    <n v="-89.200699999999998"/>
    <n v="4"/>
    <n v="0"/>
    <n v="0"/>
    <n v="107"/>
    <s v="_x0000_peopl"/>
  </r>
  <r>
    <x v="7"/>
    <n v="13.676600000000001"/>
    <n v="-89.200900000000004"/>
    <n v="2"/>
    <n v="0"/>
    <n v="0"/>
    <n v="107"/>
    <s v="_x0000_peopl"/>
  </r>
  <r>
    <x v="7"/>
    <n v="13.676500000000001"/>
    <n v="-89.200999999999993"/>
    <n v="6"/>
    <n v="0"/>
    <n v="0"/>
    <n v="107"/>
    <s v="_x0000_peopl"/>
  </r>
  <r>
    <x v="7"/>
    <n v="13.6767"/>
    <n v="-89.201099999999997"/>
    <n v="5"/>
    <n v="0"/>
    <n v="0"/>
    <n v="107"/>
    <s v="_x0000_peopl"/>
  </r>
  <r>
    <x v="7"/>
    <n v="13.676600000000001"/>
    <n v="-89.201099999999997"/>
    <n v="1"/>
    <n v="0"/>
    <n v="0"/>
    <n v="107"/>
    <s v="_x0000_peopl"/>
  </r>
  <r>
    <x v="7"/>
    <n v="13.676600000000001"/>
    <n v="-89.2012"/>
    <n v="2"/>
    <n v="0"/>
    <n v="0"/>
    <n v="107"/>
    <s v="_x0000_peopl"/>
  </r>
  <r>
    <x v="7"/>
    <n v="13.676500000000001"/>
    <n v="-89.2012"/>
    <n v="6"/>
    <n v="0"/>
    <n v="0"/>
    <n v="107"/>
    <s v="_x0000_peopl"/>
  </r>
  <r>
    <x v="7"/>
    <n v="13.676399999999999"/>
    <n v="-89.201300000000003"/>
    <n v="3"/>
    <n v="0"/>
    <n v="0"/>
    <n v="107"/>
    <s v="_x0000_peopl"/>
  </r>
  <r>
    <x v="7"/>
    <n v="13.676299999999999"/>
    <n v="-89.200999999999993"/>
    <n v="4"/>
    <n v="0"/>
    <n v="0"/>
    <n v="107"/>
    <s v="_x0000_peopl"/>
  </r>
  <r>
    <x v="7"/>
    <n v="13.676299999999999"/>
    <n v="-89.200999999999993"/>
    <n v="4"/>
    <n v="0"/>
    <n v="0"/>
    <n v="107"/>
    <s v="_x0000_peopl"/>
  </r>
  <r>
    <x v="7"/>
    <n v="13.6762"/>
    <n v="-89.201099999999997"/>
    <n v="3"/>
    <n v="0"/>
    <n v="0"/>
    <n v="107"/>
    <s v="_x0000_peopl"/>
  </r>
  <r>
    <x v="7"/>
    <n v="13.6762"/>
    <n v="-89.201300000000003"/>
    <n v="9"/>
    <n v="0"/>
    <n v="0"/>
    <n v="107"/>
    <s v="_x0000_peopl"/>
  </r>
  <r>
    <x v="7"/>
    <n v="13.676299999999999"/>
    <n v="-89.201300000000003"/>
    <n v="3"/>
    <n v="0"/>
    <n v="0"/>
    <n v="107"/>
    <s v="_x0000_peopl"/>
  </r>
  <r>
    <x v="7"/>
    <n v="13.6762"/>
    <n v="-89.201300000000003"/>
    <n v="6"/>
    <n v="0"/>
    <n v="0"/>
    <n v="107"/>
    <s v="_x0000_peopl"/>
  </r>
  <r>
    <x v="7"/>
    <n v="13.6759"/>
    <n v="-89.201400000000007"/>
    <n v="6"/>
    <n v="0"/>
    <n v="0"/>
    <n v="107"/>
    <s v="_x0000_peopl"/>
  </r>
  <r>
    <x v="7"/>
    <n v="13.676"/>
    <n v="-89.201400000000007"/>
    <n v="5"/>
    <n v="0"/>
    <n v="0"/>
    <n v="107"/>
    <s v="_x0000_peopl"/>
  </r>
  <r>
    <x v="7"/>
    <n v="13.675800000000001"/>
    <n v="-89.201499999999996"/>
    <n v="3"/>
    <n v="0"/>
    <n v="0"/>
    <n v="107"/>
    <s v="_x0000_peopl"/>
  </r>
  <r>
    <x v="7"/>
    <n v="13.675800000000001"/>
    <n v="-89.201499999999996"/>
    <n v="6"/>
    <n v="0"/>
    <n v="0"/>
    <n v="107"/>
    <s v="_x0000_peopl"/>
  </r>
  <r>
    <x v="7"/>
    <n v="13.675700000000001"/>
    <n v="-89.201499999999996"/>
    <n v="7"/>
    <n v="0"/>
    <n v="0"/>
    <n v="107"/>
    <s v="_x0000_peopl"/>
  </r>
  <r>
    <x v="7"/>
    <n v="13.675700000000001"/>
    <n v="-89.201499999999996"/>
    <n v="1"/>
    <n v="0"/>
    <n v="0"/>
    <n v="107"/>
    <s v="_x0000_peopl"/>
  </r>
  <r>
    <x v="7"/>
    <n v="13.6759"/>
    <n v="-89.200699999999998"/>
    <n v="7"/>
    <n v="0"/>
    <n v="0"/>
    <n v="107"/>
    <s v="_x0000_peopl"/>
  </r>
  <r>
    <x v="7"/>
    <n v="13.676"/>
    <n v="-89.200599999999994"/>
    <n v="5"/>
    <n v="0"/>
    <n v="0"/>
    <n v="107"/>
    <s v="_x0000_peopl"/>
  </r>
  <r>
    <x v="7"/>
    <n v="13.676"/>
    <n v="-89.200599999999994"/>
    <n v="9"/>
    <n v="0"/>
    <n v="0"/>
    <n v="107"/>
    <s v="_x0000_peopl"/>
  </r>
  <r>
    <x v="7"/>
    <n v="13.6761"/>
    <n v="-89.200299999999999"/>
    <n v="6"/>
    <n v="0"/>
    <n v="0"/>
    <n v="107"/>
    <s v="_x0000_peopl"/>
  </r>
  <r>
    <x v="7"/>
    <n v="13.676"/>
    <n v="-89.200199999999995"/>
    <n v="5"/>
    <n v="0"/>
    <n v="0"/>
    <n v="107"/>
    <s v="_x0000_peopl"/>
  </r>
  <r>
    <x v="7"/>
    <n v="13.675800000000001"/>
    <n v="-89.200699999999998"/>
    <n v="4"/>
    <n v="0"/>
    <n v="0"/>
    <n v="107"/>
    <s v="_x0000_peopl"/>
  </r>
  <r>
    <x v="7"/>
    <n v="13.6761"/>
    <n v="-89.200900000000004"/>
    <n v="7"/>
    <n v="0"/>
    <n v="0"/>
    <n v="107"/>
    <s v="_x0000_peopl"/>
  </r>
  <r>
    <x v="7"/>
    <n v="13.676"/>
    <n v="-89.200999999999993"/>
    <n v="7"/>
    <n v="0"/>
    <n v="0"/>
    <n v="107"/>
    <s v="_x0000_peopl"/>
  </r>
  <r>
    <x v="7"/>
    <n v="13.6759"/>
    <n v="-89.200999999999993"/>
    <n v="3"/>
    <n v="0"/>
    <n v="0"/>
    <n v="107"/>
    <s v="_x0000_peopl"/>
  </r>
  <r>
    <x v="7"/>
    <n v="13.6759"/>
    <n v="-89.200999999999993"/>
    <n v="4"/>
    <n v="0"/>
    <n v="0"/>
    <n v="107"/>
    <s v="_x0000_peopl"/>
  </r>
  <r>
    <x v="7"/>
    <n v="13.6762"/>
    <n v="-89.200900000000004"/>
    <n v="2"/>
    <n v="0"/>
    <n v="0"/>
    <n v="107"/>
    <s v="_x0000_peopl"/>
  </r>
  <r>
    <x v="7"/>
    <n v="13.6761"/>
    <n v="-89.201400000000007"/>
    <n v="3"/>
    <n v="0"/>
    <n v="0"/>
    <n v="107"/>
    <s v="_x0000_peopl"/>
  </r>
  <r>
    <x v="7"/>
    <n v="13.6761"/>
    <n v="-89.200999999999993"/>
    <n v="1"/>
    <n v="0"/>
    <n v="0"/>
    <n v="107"/>
    <s v="_x0000_peopl"/>
  </r>
  <r>
    <x v="7"/>
    <n v="13.676"/>
    <n v="-89.201099999999997"/>
    <n v="6"/>
    <n v="0"/>
    <n v="0"/>
    <n v="107"/>
    <s v="_x0000_peopl"/>
  </r>
  <r>
    <x v="7"/>
    <n v="13.676"/>
    <n v="-89.2012"/>
    <n v="6"/>
    <n v="0"/>
    <n v="0"/>
    <n v="107"/>
    <s v="_x0000_peopl"/>
  </r>
  <r>
    <x v="7"/>
    <n v="13.6759"/>
    <n v="-89.2012"/>
    <n v="3"/>
    <n v="0"/>
    <n v="0"/>
    <n v="107"/>
    <s v="_x0000_peopl"/>
  </r>
  <r>
    <x v="7"/>
    <n v="13.675800000000001"/>
    <n v="-89.2012"/>
    <n v="7"/>
    <n v="0"/>
    <n v="0"/>
    <n v="107"/>
    <s v="_x0000_peopl"/>
  </r>
  <r>
    <x v="7"/>
    <n v="13.675800000000001"/>
    <n v="-89.201099999999997"/>
    <n v="4"/>
    <n v="0"/>
    <n v="0"/>
    <n v="107"/>
    <s v="_x0000_peopl"/>
  </r>
  <r>
    <x v="7"/>
    <n v="13.675700000000001"/>
    <n v="-89.201099999999997"/>
    <n v="2"/>
    <n v="0"/>
    <n v="0"/>
    <n v="107"/>
    <s v="_x0000_peopl"/>
  </r>
  <r>
    <x v="7"/>
    <n v="13.675700000000001"/>
    <n v="-89.201099999999997"/>
    <n v="3"/>
    <n v="0"/>
    <n v="0"/>
    <n v="107"/>
    <s v="_x0000_peopl"/>
  </r>
  <r>
    <x v="7"/>
    <n v="13.675700000000001"/>
    <n v="-89.200699999999998"/>
    <n v="4"/>
    <n v="0"/>
    <n v="0"/>
    <n v="107"/>
    <s v="_x0000_peopl"/>
  </r>
  <r>
    <x v="7"/>
    <n v="13.675800000000001"/>
    <n v="-89.200699999999998"/>
    <n v="9"/>
    <n v="0"/>
    <n v="0"/>
    <n v="107"/>
    <s v="_x0000_peopl"/>
  </r>
  <r>
    <x v="7"/>
    <n v="13.675599999999999"/>
    <n v="-89.201700000000002"/>
    <n v="6"/>
    <n v="0"/>
    <n v="0"/>
    <n v="107"/>
    <s v="_x0000_peopl"/>
  </r>
  <r>
    <x v="7"/>
    <n v="13.675599999999999"/>
    <n v="-89.201599999999999"/>
    <n v="3"/>
    <n v="0"/>
    <n v="0"/>
    <n v="107"/>
    <s v="_x0000_peopl"/>
  </r>
  <r>
    <x v="7"/>
    <n v="13.6755"/>
    <n v="-89.201599999999999"/>
    <n v="8"/>
    <n v="0"/>
    <n v="0"/>
    <n v="107"/>
    <s v="_x0000_peopl"/>
  </r>
  <r>
    <x v="7"/>
    <n v="13.675599999999999"/>
    <n v="-89.201499999999996"/>
    <n v="7"/>
    <n v="0"/>
    <n v="0"/>
    <n v="107"/>
    <s v="_x0000_peopl"/>
  </r>
  <r>
    <x v="7"/>
    <n v="13.6761"/>
    <n v="-89.200400000000002"/>
    <n v="6"/>
    <n v="0"/>
    <n v="0"/>
    <n v="107"/>
    <s v="_x0000_peopl"/>
  </r>
  <r>
    <x v="7"/>
    <n v="13.6761"/>
    <n v="-89.200299999999999"/>
    <n v="4"/>
    <n v="0"/>
    <n v="0"/>
    <n v="107"/>
    <s v="_x0000_peopl"/>
  </r>
  <r>
    <x v="7"/>
    <n v="13.6761"/>
    <n v="-89.200199999999995"/>
    <n v="3"/>
    <n v="0"/>
    <n v="0"/>
    <n v="107"/>
    <s v="_x0000_peopl"/>
  </r>
  <r>
    <x v="7"/>
    <n v="13.6761"/>
    <n v="-89.200100000000006"/>
    <n v="9"/>
    <n v="0"/>
    <n v="0"/>
    <n v="107"/>
    <s v="_x0000_peopl"/>
  </r>
  <r>
    <x v="7"/>
    <n v="13.6761"/>
    <n v="-89.200500000000005"/>
    <n v="2"/>
    <n v="0"/>
    <n v="0"/>
    <n v="107"/>
    <s v="_x0000_peopl"/>
  </r>
  <r>
    <x v="7"/>
    <n v="13.677099999999999"/>
    <n v="-89.200199999999995"/>
    <n v="8"/>
    <n v="0"/>
    <n v="0"/>
    <n v="107"/>
    <s v="_x0000_peopl"/>
  </r>
  <r>
    <x v="7"/>
    <n v="13.677099999999999"/>
    <n v="-89.200299999999999"/>
    <n v="5"/>
    <n v="0"/>
    <n v="0"/>
    <n v="107"/>
    <s v="_x0000_peopl"/>
  </r>
  <r>
    <x v="7"/>
    <n v="13.6776"/>
    <n v="-89.1999"/>
    <n v="6"/>
    <n v="0"/>
    <n v="0"/>
    <n v="107"/>
    <s v="_x0000_peopl"/>
  </r>
  <r>
    <x v="7"/>
    <n v="13.6775"/>
    <n v="-89.1999"/>
    <n v="4"/>
    <n v="0"/>
    <n v="0"/>
    <n v="107"/>
    <s v="_x0000_peopl"/>
  </r>
  <r>
    <x v="7"/>
    <n v="13.6776"/>
    <n v="-89.199799999999996"/>
    <n v="2"/>
    <n v="0"/>
    <n v="0"/>
    <n v="107"/>
    <s v="_x0000_peopl"/>
  </r>
  <r>
    <x v="7"/>
    <n v="13.6777"/>
    <n v="-89.199799999999996"/>
    <n v="8"/>
    <n v="0"/>
    <n v="0"/>
    <n v="107"/>
    <s v="_x0000_peopl"/>
  </r>
  <r>
    <x v="7"/>
    <n v="13.677899999999999"/>
    <n v="-89.199700000000007"/>
    <n v="8"/>
    <n v="0"/>
    <n v="0"/>
    <n v="107"/>
    <s v="_x0000_peopl"/>
  </r>
  <r>
    <x v="7"/>
    <n v="13.6777"/>
    <n v="-89.199700000000007"/>
    <n v="9"/>
    <n v="0"/>
    <n v="0"/>
    <n v="107"/>
    <s v="_x0000_peopl"/>
  </r>
  <r>
    <x v="7"/>
    <n v="13.677899999999999"/>
    <n v="-89.2"/>
    <n v="7"/>
    <n v="0"/>
    <n v="0"/>
    <n v="107"/>
    <s v="_x0000_peopl"/>
  </r>
  <r>
    <x v="7"/>
    <n v="13.6778"/>
    <n v="-89.2"/>
    <n v="9"/>
    <n v="0"/>
    <n v="0"/>
    <n v="107"/>
    <s v="_x0000_peopl"/>
  </r>
  <r>
    <x v="7"/>
    <n v="13.6778"/>
    <n v="-89.2"/>
    <n v="3"/>
    <n v="0"/>
    <n v="0"/>
    <n v="107"/>
    <s v="_x0000_peopl"/>
  </r>
  <r>
    <x v="7"/>
    <n v="13.6777"/>
    <n v="-89.2"/>
    <n v="5"/>
    <n v="0"/>
    <n v="0"/>
    <n v="107"/>
    <s v="_x0000_peopl"/>
  </r>
  <r>
    <x v="7"/>
    <n v="13.677"/>
    <n v="-89.201400000000007"/>
    <n v="10"/>
    <n v="0"/>
    <n v="0"/>
    <n v="107"/>
    <s v="_x0000_peopl"/>
  </r>
  <r>
    <x v="7"/>
    <n v="13.677"/>
    <n v="-89.201099999999997"/>
    <n v="3"/>
    <n v="0"/>
    <n v="0"/>
    <n v="107"/>
    <s v="_x0000_peopl"/>
  </r>
  <r>
    <x v="7"/>
    <n v="13.677"/>
    <n v="-89.201099999999997"/>
    <n v="8"/>
    <n v="0"/>
    <n v="0"/>
    <n v="107"/>
    <s v="_x0000_peopl"/>
  </r>
  <r>
    <x v="7"/>
    <n v="13.677099999999999"/>
    <n v="-89.2012"/>
    <n v="4"/>
    <n v="0"/>
    <n v="0"/>
    <n v="107"/>
    <s v="_x0000_peopl"/>
  </r>
  <r>
    <x v="7"/>
    <n v="13.677099999999999"/>
    <n v="-89.201300000000003"/>
    <n v="4"/>
    <n v="0"/>
    <n v="0"/>
    <n v="107"/>
    <s v="_x0000_peopl"/>
  </r>
  <r>
    <x v="7"/>
    <n v="13.677099999999999"/>
    <n v="-89.201400000000007"/>
    <n v="5"/>
    <n v="0"/>
    <n v="0"/>
    <n v="107"/>
    <s v="_x0000_peopl"/>
  </r>
  <r>
    <x v="7"/>
    <n v="13.677099999999999"/>
    <n v="-89.201400000000007"/>
    <n v="6"/>
    <n v="0"/>
    <n v="0"/>
    <n v="107"/>
    <s v="_x0000_peopl"/>
  </r>
  <r>
    <x v="7"/>
    <n v="13.6768"/>
    <n v="-89.201099999999997"/>
    <n v="8"/>
    <n v="0"/>
    <n v="0"/>
    <n v="107"/>
    <s v="_x0000_peopl"/>
  </r>
  <r>
    <x v="7"/>
    <n v="13.677199999999999"/>
    <n v="-89.201700000000002"/>
    <n v="7"/>
    <n v="0"/>
    <n v="0"/>
    <n v="107"/>
    <s v="_x0000_peopl"/>
  </r>
  <r>
    <x v="7"/>
    <n v="13.677099999999999"/>
    <n v="-89.201599999999999"/>
    <n v="5"/>
    <n v="0"/>
    <n v="0"/>
    <n v="107"/>
    <s v="_x0000_peopl"/>
  </r>
  <r>
    <x v="7"/>
    <n v="13.677099999999999"/>
    <n v="-89.201499999999996"/>
    <n v="3"/>
    <n v="0"/>
    <n v="0"/>
    <n v="107"/>
    <s v="_x0000_peopl"/>
  </r>
  <r>
    <x v="7"/>
    <n v="13.6777"/>
    <n v="-89.201499999999996"/>
    <n v="6"/>
    <n v="0"/>
    <n v="0"/>
    <n v="107"/>
    <s v="_x0000_peopl"/>
  </r>
  <r>
    <x v="7"/>
    <n v="13.6777"/>
    <n v="-89.201599999999999"/>
    <n v="3"/>
    <n v="0"/>
    <n v="0"/>
    <n v="107"/>
    <s v="_x0000_peopl"/>
  </r>
  <r>
    <x v="7"/>
    <n v="13.6778"/>
    <n v="-89.201700000000002"/>
    <n v="3"/>
    <n v="0"/>
    <n v="0"/>
    <n v="107"/>
    <s v="_x0000_peopl"/>
  </r>
  <r>
    <x v="7"/>
    <n v="13.6777"/>
    <n v="-89.201700000000002"/>
    <n v="10"/>
    <n v="0"/>
    <n v="0"/>
    <n v="107"/>
    <s v="_x0000_peopl"/>
  </r>
  <r>
    <x v="7"/>
    <n v="13.6776"/>
    <n v="-89.201700000000002"/>
    <n v="4"/>
    <n v="0"/>
    <n v="0"/>
    <n v="107"/>
    <s v="_x0000_peopl"/>
  </r>
  <r>
    <x v="7"/>
    <n v="13.6775"/>
    <n v="-89.201800000000006"/>
    <n v="5"/>
    <n v="0"/>
    <n v="0"/>
    <n v="107"/>
    <s v="_x0000_peopl"/>
  </r>
  <r>
    <x v="7"/>
    <n v="13.6775"/>
    <n v="-89.201700000000002"/>
    <n v="2"/>
    <n v="0"/>
    <n v="0"/>
    <n v="107"/>
    <s v="_x0000_peopl"/>
  </r>
  <r>
    <x v="7"/>
    <n v="13.6778"/>
    <n v="-89.201499999999996"/>
    <n v="2"/>
    <n v="0"/>
    <n v="0"/>
    <n v="107"/>
    <s v="_x0000_peopl"/>
  </r>
  <r>
    <x v="7"/>
    <n v="13.677899999999999"/>
    <n v="-89.201499999999996"/>
    <n v="8"/>
    <n v="0"/>
    <n v="0"/>
    <n v="107"/>
    <s v="_x0000_peopl"/>
  </r>
  <r>
    <x v="7"/>
    <n v="13.677899999999999"/>
    <n v="-89.201599999999999"/>
    <n v="6"/>
    <n v="0"/>
    <n v="0"/>
    <n v="107"/>
    <s v="_x0000_peopl"/>
  </r>
  <r>
    <x v="7"/>
    <n v="13.678100000000001"/>
    <n v="-89.201499999999996"/>
    <n v="9"/>
    <n v="0"/>
    <n v="0"/>
    <n v="107"/>
    <s v="_x0000_peopl"/>
  </r>
  <r>
    <x v="7"/>
    <n v="13.678100000000001"/>
    <n v="-89.201499999999996"/>
    <n v="3"/>
    <n v="0"/>
    <n v="0"/>
    <n v="107"/>
    <s v="_x0000_peopl"/>
  </r>
  <r>
    <x v="7"/>
    <n v="13.678000000000001"/>
    <n v="-89.201400000000007"/>
    <n v="5"/>
    <n v="0"/>
    <n v="0"/>
    <n v="107"/>
    <s v="_x0000_peopl"/>
  </r>
  <r>
    <x v="7"/>
    <n v="13.678100000000001"/>
    <n v="-89.201400000000007"/>
    <n v="0"/>
    <n v="0"/>
    <n v="0"/>
    <n v="107"/>
    <s v="_x0000_peopl"/>
  </r>
  <r>
    <x v="7"/>
    <n v="13.6782"/>
    <n v="-89.2012"/>
    <n v="7"/>
    <n v="0"/>
    <n v="0"/>
    <n v="107"/>
    <s v="_x0000_peopl"/>
  </r>
  <r>
    <x v="7"/>
    <n v="13.6783"/>
    <n v="-89.2012"/>
    <n v="7"/>
    <n v="0"/>
    <n v="0"/>
    <n v="107"/>
    <s v="_x0000_peopl"/>
  </r>
  <r>
    <x v="7"/>
    <n v="13.6783"/>
    <n v="-89.201300000000003"/>
    <n v="4"/>
    <n v="0"/>
    <n v="0"/>
    <n v="107"/>
    <s v="_x0000_peopl"/>
  </r>
  <r>
    <x v="7"/>
    <n v="13.6784"/>
    <n v="-89.201400000000007"/>
    <n v="4"/>
    <n v="0"/>
    <n v="0"/>
    <n v="107"/>
    <s v="_x0000_peopl"/>
  </r>
  <r>
    <x v="7"/>
    <n v="13.6782"/>
    <n v="-89.201499999999996"/>
    <n v="7"/>
    <n v="0"/>
    <n v="0"/>
    <n v="107"/>
    <s v="_x0000_peopl"/>
  </r>
  <r>
    <x v="7"/>
    <n v="13.6782"/>
    <n v="-89.201499999999996"/>
    <n v="3"/>
    <n v="0"/>
    <n v="0"/>
    <n v="107"/>
    <s v="_x0000_peopl"/>
  </r>
  <r>
    <x v="7"/>
    <n v="13.6785"/>
    <n v="-89.2012"/>
    <n v="7"/>
    <n v="0"/>
    <n v="0"/>
    <n v="107"/>
    <s v="_x0000_peopl"/>
  </r>
  <r>
    <x v="7"/>
    <n v="13.6785"/>
    <n v="-89.201300000000003"/>
    <n v="5"/>
    <n v="0"/>
    <n v="0"/>
    <n v="107"/>
    <s v="_x0000_peopl"/>
  </r>
  <r>
    <x v="7"/>
    <n v="13.6785"/>
    <n v="-89.201400000000007"/>
    <n v="3"/>
    <n v="0"/>
    <n v="0"/>
    <n v="107"/>
    <s v="_x0000_peopl"/>
  </r>
  <r>
    <x v="7"/>
    <n v="13.6785"/>
    <n v="-89.201400000000007"/>
    <n v="1"/>
    <n v="0"/>
    <n v="0"/>
    <n v="107"/>
    <s v="_x0000_peopl"/>
  </r>
  <r>
    <x v="7"/>
    <n v="13.6785"/>
    <n v="-89.201300000000003"/>
    <n v="5"/>
    <n v="0"/>
    <n v="0"/>
    <n v="107"/>
    <s v="_x0000_peopl"/>
  </r>
  <r>
    <x v="7"/>
    <n v="13.678699999999999"/>
    <n v="-89.201300000000003"/>
    <n v="4"/>
    <n v="0"/>
    <n v="0"/>
    <n v="107"/>
    <s v="_x0000_peopl"/>
  </r>
  <r>
    <x v="7"/>
    <n v="13.678800000000001"/>
    <n v="-89.201300000000003"/>
    <n v="11"/>
    <n v="0"/>
    <n v="0"/>
    <n v="107"/>
    <s v="_x0000_peopl"/>
  </r>
  <r>
    <x v="7"/>
    <n v="13.679"/>
    <n v="-89.201300000000003"/>
    <n v="3"/>
    <n v="0"/>
    <n v="0"/>
    <n v="107"/>
    <s v="_x0000_peopl"/>
  </r>
  <r>
    <x v="7"/>
    <n v="13.678900000000001"/>
    <n v="-89.201099999999997"/>
    <n v="7"/>
    <n v="0"/>
    <n v="0"/>
    <n v="107"/>
    <s v="_x0000_peopl"/>
  </r>
  <r>
    <x v="7"/>
    <n v="13.678900000000001"/>
    <n v="-89.200999999999993"/>
    <n v="6"/>
    <n v="0"/>
    <n v="0"/>
    <n v="107"/>
    <s v="_x0000_peopl"/>
  </r>
  <r>
    <x v="7"/>
    <n v="13.678900000000001"/>
    <n v="-89.200800000000001"/>
    <n v="5"/>
    <n v="0"/>
    <n v="0"/>
    <n v="107"/>
    <s v="_x0000_peopl"/>
  </r>
  <r>
    <x v="7"/>
    <n v="13.678900000000001"/>
    <n v="-89.200699999999998"/>
    <n v="4"/>
    <n v="0"/>
    <n v="0"/>
    <n v="107"/>
    <s v="_x0000_peopl"/>
  </r>
  <r>
    <x v="7"/>
    <n v="13.6791"/>
    <n v="-89.200699999999998"/>
    <n v="6"/>
    <n v="0"/>
    <n v="0"/>
    <n v="107"/>
    <s v="_x0000_peopl"/>
  </r>
  <r>
    <x v="7"/>
    <n v="13.678699999999999"/>
    <n v="-89.201099999999997"/>
    <n v="9"/>
    <n v="0"/>
    <n v="0"/>
    <n v="107"/>
    <s v="_x0000_peopl"/>
  </r>
  <r>
    <x v="7"/>
    <n v="13.678699999999999"/>
    <n v="-89.200800000000001"/>
    <n v="7"/>
    <n v="0"/>
    <n v="0"/>
    <n v="107"/>
    <s v="_x0000_peopl"/>
  </r>
  <r>
    <x v="7"/>
    <n v="13.678699999999999"/>
    <n v="-89.201099999999997"/>
    <n v="3"/>
    <n v="0"/>
    <n v="0"/>
    <n v="107"/>
    <s v="_x0000_peopl"/>
  </r>
  <r>
    <x v="7"/>
    <n v="13.678599999999999"/>
    <n v="-89.201099999999997"/>
    <n v="7"/>
    <n v="0"/>
    <n v="0"/>
    <n v="107"/>
    <s v="_x0000_peopl"/>
  </r>
  <r>
    <x v="7"/>
    <n v="13.6785"/>
    <n v="-89.201099999999997"/>
    <n v="9"/>
    <n v="0"/>
    <n v="0"/>
    <n v="107"/>
    <s v="_x0000_peopl"/>
  </r>
  <r>
    <x v="7"/>
    <n v="13.6785"/>
    <n v="-89.201099999999997"/>
    <n v="6"/>
    <n v="0"/>
    <n v="0"/>
    <n v="107"/>
    <s v="_x0000_peopl"/>
  </r>
  <r>
    <x v="7"/>
    <n v="13.6784"/>
    <n v="-89.200900000000004"/>
    <n v="10"/>
    <n v="0"/>
    <n v="0"/>
    <n v="107"/>
    <s v="_x0000_peopl"/>
  </r>
  <r>
    <x v="7"/>
    <n v="13.6784"/>
    <n v="-89.200900000000004"/>
    <n v="5"/>
    <n v="0"/>
    <n v="0"/>
    <n v="107"/>
    <s v="_x0000_peopl"/>
  </r>
  <r>
    <x v="7"/>
    <n v="13.6785"/>
    <n v="-89.200900000000004"/>
    <n v="6"/>
    <n v="0"/>
    <n v="0"/>
    <n v="107"/>
    <s v="_x0000_peopl"/>
  </r>
  <r>
    <x v="7"/>
    <n v="13.6785"/>
    <n v="-89.200800000000001"/>
    <n v="11"/>
    <n v="0"/>
    <n v="0"/>
    <n v="107"/>
    <s v="_x0000_peopl"/>
  </r>
  <r>
    <x v="7"/>
    <n v="13.6783"/>
    <n v="-89.201099999999997"/>
    <n v="5"/>
    <n v="0"/>
    <n v="0"/>
    <n v="107"/>
    <s v="_x0000_peopl"/>
  </r>
  <r>
    <x v="7"/>
    <n v="13.6782"/>
    <n v="-89.200999999999993"/>
    <n v="6"/>
    <n v="0"/>
    <n v="0"/>
    <n v="107"/>
    <s v="_x0000_peopl"/>
  </r>
  <r>
    <x v="7"/>
    <n v="13.6783"/>
    <n v="-89.200900000000004"/>
    <n v="6"/>
    <n v="0"/>
    <n v="0"/>
    <n v="107"/>
    <s v="_x0000_peopl"/>
  </r>
  <r>
    <x v="7"/>
    <n v="13.6782"/>
    <n v="-89.199399999999997"/>
    <n v="7"/>
    <n v="0"/>
    <n v="0"/>
    <n v="107"/>
    <s v="_x0000_peopl"/>
  </r>
  <r>
    <x v="7"/>
    <n v="13.6783"/>
    <n v="-89.199399999999997"/>
    <n v="5"/>
    <n v="0"/>
    <n v="0"/>
    <n v="107"/>
    <s v="_x0000_peopl"/>
  </r>
  <r>
    <x v="7"/>
    <n v="13.6784"/>
    <n v="-89.199399999999997"/>
    <n v="2"/>
    <n v="0"/>
    <n v="0"/>
    <n v="107"/>
    <s v="_x0000_peopl"/>
  </r>
  <r>
    <x v="7"/>
    <n v="13.6785"/>
    <n v="-89.199399999999997"/>
    <n v="3"/>
    <n v="0"/>
    <n v="0"/>
    <n v="107"/>
    <s v="_x0000_peopl"/>
  </r>
  <r>
    <x v="7"/>
    <n v="13.6785"/>
    <n v="-89.199600000000004"/>
    <n v="7"/>
    <n v="0"/>
    <n v="0"/>
    <n v="107"/>
    <s v="_x0000_peopl"/>
  </r>
  <r>
    <x v="7"/>
    <n v="13.678699999999999"/>
    <n v="-89.199200000000005"/>
    <n v="8"/>
    <n v="0"/>
    <n v="0"/>
    <n v="107"/>
    <s v="_x0000_peopl"/>
  </r>
  <r>
    <x v="7"/>
    <n v="13.678699999999999"/>
    <n v="-89.199399999999997"/>
    <n v="7"/>
    <n v="0"/>
    <n v="0"/>
    <n v="107"/>
    <s v="_x0000_peopl"/>
  </r>
  <r>
    <x v="7"/>
    <n v="13.678699999999999"/>
    <n v="-89.1995"/>
    <n v="7"/>
    <n v="0"/>
    <n v="0"/>
    <n v="107"/>
    <s v="_x0000_peopl"/>
  </r>
  <r>
    <x v="7"/>
    <n v="13.678800000000001"/>
    <n v="-89.199600000000004"/>
    <n v="6"/>
    <n v="0"/>
    <n v="0"/>
    <n v="107"/>
    <s v="_x0000_peopl"/>
  </r>
  <r>
    <x v="7"/>
    <n v="13.678900000000001"/>
    <n v="-89.199700000000007"/>
    <n v="3"/>
    <n v="0"/>
    <n v="0"/>
    <n v="107"/>
    <s v="_x0000_peopl"/>
  </r>
  <r>
    <x v="7"/>
    <n v="13.678900000000001"/>
    <n v="-89.2"/>
    <n v="2"/>
    <n v="0"/>
    <n v="0"/>
    <n v="107"/>
    <s v="_x0000_peopl"/>
  </r>
  <r>
    <x v="7"/>
    <n v="13.678900000000001"/>
    <n v="-89.199299999999994"/>
    <n v="5"/>
    <n v="0"/>
    <n v="0"/>
    <n v="107"/>
    <s v="_x0000_peopl"/>
  </r>
  <r>
    <x v="7"/>
    <n v="13.678900000000001"/>
    <n v="-89.199799999999996"/>
    <n v="7"/>
    <n v="0"/>
    <n v="0"/>
    <n v="107"/>
    <s v="_x0000_peopl"/>
  </r>
  <r>
    <x v="7"/>
    <n v="13.679"/>
    <n v="-89.199799999999996"/>
    <n v="4"/>
    <n v="0"/>
    <n v="0"/>
    <n v="107"/>
    <s v="_x0000_peopl"/>
  </r>
  <r>
    <x v="7"/>
    <n v="13.679"/>
    <n v="-89.200500000000005"/>
    <n v="3"/>
    <n v="0"/>
    <n v="0"/>
    <n v="107"/>
    <s v="_x0000_peopl"/>
  </r>
  <r>
    <x v="7"/>
    <n v="13.6791"/>
    <n v="-89.200500000000005"/>
    <n v="8"/>
    <n v="0"/>
    <n v="0"/>
    <n v="107"/>
    <s v="_x0000_peopl"/>
  </r>
  <r>
    <x v="7"/>
    <n v="13.6791"/>
    <n v="-89.200199999999995"/>
    <n v="3"/>
    <n v="0"/>
    <n v="0"/>
    <n v="107"/>
    <s v="_x0000_peopl"/>
  </r>
  <r>
    <x v="7"/>
    <n v="13.6793"/>
    <n v="-89.1999"/>
    <n v="6"/>
    <n v="0"/>
    <n v="0"/>
    <n v="107"/>
    <s v="_x0000_peopl"/>
  </r>
  <r>
    <x v="7"/>
    <n v="13.6793"/>
    <n v="-89.200199999999995"/>
    <n v="2"/>
    <n v="0"/>
    <n v="0"/>
    <n v="107"/>
    <s v="_x0000_peopl"/>
  </r>
  <r>
    <x v="7"/>
    <n v="13.6792"/>
    <n v="-89.200400000000002"/>
    <n v="3"/>
    <n v="0"/>
    <n v="0"/>
    <n v="107"/>
    <s v="_x0000_peopl"/>
  </r>
  <r>
    <x v="7"/>
    <n v="13.679399999999999"/>
    <n v="-89.200299999999999"/>
    <n v="6"/>
    <n v="0"/>
    <n v="0"/>
    <n v="107"/>
    <s v="_x0000_peopl"/>
  </r>
  <r>
    <x v="7"/>
    <n v="13.679500000000001"/>
    <n v="-89.2"/>
    <n v="8"/>
    <n v="0"/>
    <n v="0"/>
    <n v="107"/>
    <s v="_x0000_peopl"/>
  </r>
  <r>
    <x v="7"/>
    <n v="13.679399999999999"/>
    <n v="-89.200400000000002"/>
    <n v="8"/>
    <n v="0"/>
    <n v="0"/>
    <n v="107"/>
    <s v="_x0000_peopl"/>
  </r>
  <r>
    <x v="7"/>
    <n v="13.679399999999999"/>
    <n v="-89.200500000000005"/>
    <n v="5"/>
    <n v="0"/>
    <n v="0"/>
    <n v="107"/>
    <s v="_x0000_peopl"/>
  </r>
  <r>
    <x v="7"/>
    <n v="13.679399999999999"/>
    <n v="-89.200599999999994"/>
    <n v="3"/>
    <n v="0"/>
    <n v="0"/>
    <n v="107"/>
    <s v="_x0000_peopl"/>
  </r>
  <r>
    <x v="7"/>
    <n v="13.679500000000001"/>
    <n v="-89.200699999999998"/>
    <n v="7"/>
    <n v="0"/>
    <n v="0"/>
    <n v="107"/>
    <s v="_x0000_peopl"/>
  </r>
  <r>
    <x v="7"/>
    <n v="13.679500000000001"/>
    <n v="-89.200900000000004"/>
    <n v="2"/>
    <n v="0"/>
    <n v="0"/>
    <n v="107"/>
    <s v="_x0000_peopl"/>
  </r>
  <r>
    <x v="7"/>
    <n v="13.679500000000001"/>
    <n v="-89.200999999999993"/>
    <n v="7"/>
    <n v="0"/>
    <n v="0"/>
    <n v="107"/>
    <s v="_x0000_peopl"/>
  </r>
  <r>
    <x v="7"/>
    <n v="13.679399999999999"/>
    <n v="-89.2012"/>
    <n v="10"/>
    <n v="0"/>
    <n v="0"/>
    <n v="107"/>
    <s v="_x0000_peopl"/>
  </r>
  <r>
    <x v="7"/>
    <n v="13.6793"/>
    <n v="-89.2012"/>
    <n v="6"/>
    <n v="0"/>
    <n v="0"/>
    <n v="107"/>
    <s v="_x0000_peopl"/>
  </r>
  <r>
    <x v="7"/>
    <n v="13.6792"/>
    <n v="-89.2012"/>
    <n v="4"/>
    <n v="0"/>
    <n v="0"/>
    <n v="107"/>
    <s v="_x0000_peopl"/>
  </r>
  <r>
    <x v="7"/>
    <n v="13.6791"/>
    <n v="-89.200999999999993"/>
    <n v="3"/>
    <n v="0"/>
    <n v="0"/>
    <n v="107"/>
    <s v="_x0000_peopl"/>
  </r>
  <r>
    <x v="7"/>
    <n v="13.6791"/>
    <n v="-89.200900000000004"/>
    <n v="4"/>
    <n v="0"/>
    <n v="0"/>
    <n v="107"/>
    <s v="_x0000_peopl"/>
  </r>
  <r>
    <x v="7"/>
    <n v="13.6791"/>
    <n v="-89.200800000000001"/>
    <n v="2"/>
    <n v="0"/>
    <n v="0"/>
    <n v="107"/>
    <s v="_x0000_peopl"/>
  </r>
  <r>
    <x v="7"/>
    <n v="13.679600000000001"/>
    <n v="-89.201099999999997"/>
    <n v="6"/>
    <n v="0"/>
    <n v="0"/>
    <n v="107"/>
    <s v="_x0000_peopl"/>
  </r>
  <r>
    <x v="7"/>
    <n v="13.678800000000001"/>
    <n v="-89.200599999999994"/>
    <n v="3"/>
    <n v="0"/>
    <n v="0"/>
    <n v="107"/>
    <s v="_x0000_peopl"/>
  </r>
  <r>
    <x v="7"/>
    <n v="13.678699999999999"/>
    <n v="-89.200500000000005"/>
    <n v="4"/>
    <n v="0"/>
    <n v="0"/>
    <n v="107"/>
    <s v="_x0000_peopl"/>
  </r>
  <r>
    <x v="7"/>
    <n v="13.678800000000001"/>
    <n v="-89.200500000000005"/>
    <n v="8"/>
    <n v="0"/>
    <n v="0"/>
    <n v="107"/>
    <s v="_x0000_peopl"/>
  </r>
  <r>
    <x v="7"/>
    <n v="13.678699999999999"/>
    <n v="-89.200299999999999"/>
    <n v="7"/>
    <n v="0"/>
    <n v="0"/>
    <n v="107"/>
    <s v="_x0000_peopl"/>
  </r>
  <r>
    <x v="7"/>
    <n v="13.678699999999999"/>
    <n v="-89.200100000000006"/>
    <n v="5"/>
    <n v="0"/>
    <n v="0"/>
    <n v="107"/>
    <s v="_x0000_peopl"/>
  </r>
  <r>
    <x v="7"/>
    <n v="13.6791"/>
    <n v="-89.200699999999998"/>
    <n v="4"/>
    <n v="0"/>
    <n v="0"/>
    <n v="107"/>
    <s v="_x0000_peopl"/>
  </r>
  <r>
    <x v="7"/>
    <n v="13.679399999999999"/>
    <n v="-89.201499999999996"/>
    <n v="5"/>
    <n v="0"/>
    <n v="0"/>
    <n v="107"/>
    <s v="_x0000_peopl"/>
  </r>
  <r>
    <x v="7"/>
    <n v="13.679399999999999"/>
    <n v="-89.201400000000007"/>
    <n v="4"/>
    <n v="0"/>
    <n v="0"/>
    <n v="107"/>
    <s v="_x0000_peopl"/>
  </r>
  <r>
    <x v="7"/>
    <n v="13.679500000000001"/>
    <n v="-89.201400000000007"/>
    <n v="4"/>
    <n v="0"/>
    <n v="0"/>
    <n v="107"/>
    <s v="_x0000_peopl"/>
  </r>
  <r>
    <x v="7"/>
    <n v="13.679500000000001"/>
    <n v="-89.201400000000007"/>
    <n v="5"/>
    <n v="0"/>
    <n v="0"/>
    <n v="107"/>
    <s v="_x0000_peopl"/>
  </r>
  <r>
    <x v="7"/>
    <n v="13.679399999999999"/>
    <n v="-89.201599999999999"/>
    <n v="2"/>
    <n v="0"/>
    <n v="0"/>
    <n v="107"/>
    <s v="_x0000_peopl"/>
  </r>
  <r>
    <x v="7"/>
    <n v="13.6793"/>
    <n v="-89.201400000000007"/>
    <n v="2"/>
    <n v="0"/>
    <n v="0"/>
    <n v="107"/>
    <s v="_x0000_peopl"/>
  </r>
  <r>
    <x v="7"/>
    <n v="13.6793"/>
    <n v="-89.201599999999999"/>
    <n v="4"/>
    <n v="0"/>
    <n v="0"/>
    <n v="107"/>
    <s v="_x0000_peopl"/>
  </r>
  <r>
    <x v="7"/>
    <n v="13.6793"/>
    <n v="-89.201400000000007"/>
    <n v="5"/>
    <n v="0"/>
    <n v="0"/>
    <n v="107"/>
    <s v="_x0000_peopl"/>
  </r>
  <r>
    <x v="7"/>
    <n v="13.6793"/>
    <n v="-89.201700000000002"/>
    <n v="6"/>
    <n v="0"/>
    <n v="0"/>
    <n v="107"/>
    <s v="_x0000_peopl"/>
  </r>
  <r>
    <x v="7"/>
    <n v="13.679600000000001"/>
    <n v="-89.201499999999996"/>
    <n v="2"/>
    <n v="0"/>
    <n v="0"/>
    <n v="107"/>
    <s v="_x0000_peopl"/>
  </r>
  <r>
    <x v="7"/>
    <n v="13.6797"/>
    <n v="-89.201499999999996"/>
    <n v="5"/>
    <n v="0"/>
    <n v="0"/>
    <n v="107"/>
    <s v="_x0000_peopl"/>
  </r>
  <r>
    <x v="7"/>
    <n v="13.679600000000001"/>
    <n v="-89.201400000000007"/>
    <n v="2"/>
    <n v="0"/>
    <n v="0"/>
    <n v="107"/>
    <s v="_x0000_peopl"/>
  </r>
  <r>
    <x v="7"/>
    <n v="13.679600000000001"/>
    <n v="-89.201300000000003"/>
    <n v="6"/>
    <n v="0"/>
    <n v="0"/>
    <n v="107"/>
    <s v="_x0000_peopl"/>
  </r>
  <r>
    <x v="7"/>
    <n v="13.6798"/>
    <n v="-89.201099999999997"/>
    <n v="5"/>
    <n v="0"/>
    <n v="0"/>
    <n v="107"/>
    <s v="_x0000_peopl"/>
  </r>
  <r>
    <x v="7"/>
    <n v="13.68"/>
    <n v="-89.200999999999993"/>
    <n v="7"/>
    <n v="0"/>
    <n v="0"/>
    <n v="107"/>
    <s v="_x0000_peopl"/>
  </r>
  <r>
    <x v="7"/>
    <n v="13.680099999999999"/>
    <n v="-89.1999"/>
    <n v="4"/>
    <n v="0"/>
    <n v="0"/>
    <n v="107"/>
    <s v="_x0000_peopl"/>
  </r>
  <r>
    <x v="7"/>
    <n v="13.68"/>
    <n v="-89.199799999999996"/>
    <n v="11"/>
    <n v="0"/>
    <n v="0"/>
    <n v="107"/>
    <s v="_x0000_peopl"/>
  </r>
  <r>
    <x v="7"/>
    <n v="13.68"/>
    <n v="-89.199700000000007"/>
    <n v="7"/>
    <n v="0"/>
    <n v="0"/>
    <n v="107"/>
    <s v="_x0000_peopl"/>
  </r>
  <r>
    <x v="7"/>
    <n v="13.68"/>
    <n v="-89.199600000000004"/>
    <n v="6"/>
    <n v="0"/>
    <n v="0"/>
    <n v="107"/>
    <s v="_x0000_peopl"/>
  </r>
  <r>
    <x v="7"/>
    <n v="13.6799"/>
    <n v="-89.2"/>
    <n v="2"/>
    <n v="0"/>
    <n v="0"/>
    <n v="107"/>
    <s v="_x0000_peopl"/>
  </r>
  <r>
    <x v="7"/>
    <n v="13.6799"/>
    <n v="-89.1999"/>
    <n v="6"/>
    <n v="0"/>
    <n v="0"/>
    <n v="107"/>
    <s v="_x0000_peopl"/>
  </r>
  <r>
    <x v="7"/>
    <n v="13.6799"/>
    <n v="-89.199799999999996"/>
    <n v="6"/>
    <n v="0"/>
    <n v="0"/>
    <n v="107"/>
    <s v="_x0000_peopl"/>
  </r>
  <r>
    <x v="7"/>
    <n v="13.6798"/>
    <n v="-89.199700000000007"/>
    <n v="3"/>
    <n v="0"/>
    <n v="0"/>
    <n v="107"/>
    <s v="_x0000_peopl"/>
  </r>
  <r>
    <x v="7"/>
    <n v="13.6798"/>
    <n v="-89.199600000000004"/>
    <n v="4"/>
    <n v="0"/>
    <n v="0"/>
    <n v="107"/>
    <s v="_x0000_peopl"/>
  </r>
  <r>
    <x v="7"/>
    <n v="13.68"/>
    <n v="-89.199399999999997"/>
    <n v="5"/>
    <n v="0"/>
    <n v="0"/>
    <n v="107"/>
    <s v="_x0000_peopl"/>
  </r>
  <r>
    <x v="7"/>
    <n v="13.68"/>
    <n v="-89.199299999999994"/>
    <n v="8"/>
    <n v="0"/>
    <n v="0"/>
    <n v="107"/>
    <s v="_x0000_peopl"/>
  </r>
  <r>
    <x v="7"/>
    <n v="13.680099999999999"/>
    <n v="-89.199299999999994"/>
    <n v="6"/>
    <n v="0"/>
    <n v="0"/>
    <n v="107"/>
    <s v="_x0000_peopl"/>
  </r>
  <r>
    <x v="7"/>
    <n v="13.680300000000001"/>
    <n v="-89.199100000000001"/>
    <n v="5"/>
    <n v="0"/>
    <n v="0"/>
    <n v="107"/>
    <s v="_x0000_peopl"/>
  </r>
  <r>
    <x v="7"/>
    <n v="13.6797"/>
    <n v="-89.199200000000005"/>
    <n v="6"/>
    <n v="0"/>
    <n v="0"/>
    <n v="107"/>
    <s v="_x0000_peopl"/>
  </r>
  <r>
    <x v="7"/>
    <n v="13.679500000000001"/>
    <n v="-89.199200000000005"/>
    <n v="2"/>
    <n v="0"/>
    <n v="0"/>
    <n v="107"/>
    <s v="_x0000_peopl"/>
  </r>
  <r>
    <x v="7"/>
    <n v="13.6793"/>
    <n v="-89.199200000000005"/>
    <n v="6"/>
    <n v="0"/>
    <n v="0"/>
    <n v="107"/>
    <s v="_x0000_peopl"/>
  </r>
  <r>
    <x v="7"/>
    <n v="13.6797"/>
    <n v="-89.2"/>
    <n v="3"/>
    <n v="0"/>
    <n v="0"/>
    <n v="107"/>
    <s v="_x0000_peopl"/>
  </r>
  <r>
    <x v="7"/>
    <n v="13.679600000000001"/>
    <n v="-89.200299999999999"/>
    <n v="5"/>
    <n v="0"/>
    <n v="0"/>
    <n v="107"/>
    <s v="_x0000_peopl"/>
  </r>
  <r>
    <x v="7"/>
    <n v="13.679500000000001"/>
    <n v="-89.1999"/>
    <n v="6"/>
    <n v="0"/>
    <n v="0"/>
    <n v="107"/>
    <s v="_x0000_peopl"/>
  </r>
  <r>
    <x v="7"/>
    <n v="13.679500000000001"/>
    <n v="-89.199799999999996"/>
    <n v="4"/>
    <n v="0"/>
    <n v="0"/>
    <n v="107"/>
    <s v="_x0000_peopl"/>
  </r>
  <r>
    <x v="7"/>
    <n v="13.679399999999999"/>
    <n v="-89.199700000000007"/>
    <n v="5"/>
    <n v="0"/>
    <n v="0"/>
    <n v="107"/>
    <s v="_x0000_peopl"/>
  </r>
  <r>
    <x v="7"/>
    <n v="13.679600000000001"/>
    <n v="-89.199700000000007"/>
    <n v="1"/>
    <n v="0"/>
    <n v="0"/>
    <n v="107"/>
    <s v="_x0000_peopl"/>
  </r>
  <r>
    <x v="7"/>
    <n v="13.6797"/>
    <n v="-89.1995"/>
    <n v="7"/>
    <n v="0"/>
    <n v="0"/>
    <n v="107"/>
    <s v="_x0000_peopl"/>
  </r>
  <r>
    <x v="7"/>
    <n v="13.679600000000001"/>
    <n v="-89.1995"/>
    <n v="4"/>
    <n v="0"/>
    <n v="0"/>
    <n v="107"/>
    <s v="_x0000_peopl"/>
  </r>
  <r>
    <x v="7"/>
    <n v="13.679600000000001"/>
    <n v="-89.199399999999997"/>
    <n v="3"/>
    <n v="0"/>
    <n v="0"/>
    <n v="107"/>
    <s v="_x0000_peopl"/>
  </r>
  <r>
    <x v="7"/>
    <n v="13.679600000000001"/>
    <n v="-89.199299999999994"/>
    <n v="4"/>
    <n v="0"/>
    <n v="0"/>
    <n v="107"/>
    <s v="_x0000_peopl"/>
  </r>
  <r>
    <x v="7"/>
    <n v="13.679399999999999"/>
    <n v="-89.1995"/>
    <n v="7"/>
    <n v="0"/>
    <n v="0"/>
    <n v="107"/>
    <s v="_x0000_peopl"/>
  </r>
  <r>
    <x v="7"/>
    <n v="13.6792"/>
    <n v="-89.1999"/>
    <n v="5"/>
    <n v="0"/>
    <n v="0"/>
    <n v="107"/>
    <s v="_x0000_peopl"/>
  </r>
  <r>
    <x v="7"/>
    <n v="13.6791"/>
    <n v="-89.199799999999996"/>
    <n v="0"/>
    <n v="0"/>
    <n v="0"/>
    <n v="107"/>
    <s v="_x0000_peopl"/>
  </r>
  <r>
    <x v="7"/>
    <n v="13.6791"/>
    <n v="-89.1995"/>
    <n v="6"/>
    <n v="0"/>
    <n v="0"/>
    <n v="107"/>
    <s v="_x0000_peopl"/>
  </r>
  <r>
    <x v="7"/>
    <n v="13.6791"/>
    <n v="-89.199399999999997"/>
    <n v="2"/>
    <n v="0"/>
    <n v="0"/>
    <n v="107"/>
    <s v="_x0000_peopl"/>
  </r>
  <r>
    <x v="7"/>
    <n v="13.6797"/>
    <n v="-89.200599999999994"/>
    <n v="6"/>
    <n v="0"/>
    <n v="0"/>
    <n v="107"/>
    <s v="_x0000_peopl"/>
  </r>
  <r>
    <x v="7"/>
    <n v="13.6797"/>
    <n v="-89.200500000000005"/>
    <n v="2"/>
    <n v="0"/>
    <n v="0"/>
    <n v="107"/>
    <s v="_x0000_peopl"/>
  </r>
  <r>
    <x v="7"/>
    <n v="13.679600000000001"/>
    <n v="-89.200500000000005"/>
    <n v="5"/>
    <n v="0"/>
    <n v="0"/>
    <n v="107"/>
    <s v="_x0000_peopl"/>
  </r>
  <r>
    <x v="7"/>
    <n v="13.679600000000001"/>
    <n v="-89.200400000000002"/>
    <n v="4"/>
    <n v="0"/>
    <n v="0"/>
    <n v="107"/>
    <s v="_x0000_peopl"/>
  </r>
  <r>
    <x v="7"/>
    <n v="13.6805"/>
    <n v="-89.200599999999994"/>
    <n v="6"/>
    <n v="0"/>
    <n v="0"/>
    <n v="107"/>
    <s v="_x0000_peopl"/>
  </r>
  <r>
    <x v="7"/>
    <n v="13.6805"/>
    <n v="-89.200500000000005"/>
    <n v="7"/>
    <n v="0"/>
    <n v="0"/>
    <n v="107"/>
    <s v="_x0000_peopl"/>
  </r>
  <r>
    <x v="7"/>
    <n v="13.6806"/>
    <n v="-89.200100000000006"/>
    <n v="1"/>
    <n v="0"/>
    <n v="0"/>
    <n v="107"/>
    <s v="_x0000_peopl"/>
  </r>
  <r>
    <x v="7"/>
    <n v="13.6805"/>
    <n v="-89.199700000000007"/>
    <n v="3"/>
    <n v="0"/>
    <n v="0"/>
    <n v="107"/>
    <s v="_x0000_peopl"/>
  </r>
  <r>
    <x v="7"/>
    <n v="13.6807"/>
    <n v="-89.199399999999997"/>
    <n v="7"/>
    <n v="0"/>
    <n v="0"/>
    <n v="107"/>
    <s v="_x0000_peopl"/>
  </r>
  <r>
    <x v="7"/>
    <n v="13.6767"/>
    <n v="-89.201499999999996"/>
    <n v="5"/>
    <n v="0"/>
    <n v="0"/>
    <n v="107"/>
    <s v="_x0000_peopl"/>
  </r>
  <r>
    <x v="7"/>
    <n v="13.6767"/>
    <n v="-89.201499999999996"/>
    <n v="2"/>
    <n v="0"/>
    <n v="0"/>
    <n v="107"/>
    <s v="_x0000_peopl"/>
  </r>
  <r>
    <x v="7"/>
    <n v="13.676600000000001"/>
    <n v="-89.201499999999996"/>
    <n v="2"/>
    <n v="0"/>
    <n v="0"/>
    <n v="107"/>
    <s v="_x0000_peopl"/>
  </r>
  <r>
    <x v="7"/>
    <n v="13.676600000000001"/>
    <n v="-89.201499999999996"/>
    <n v="8"/>
    <n v="0"/>
    <n v="0"/>
    <n v="107"/>
    <s v="_x0000_peopl"/>
  </r>
  <r>
    <x v="7"/>
    <n v="13.676500000000001"/>
    <n v="-89.201499999999996"/>
    <n v="5"/>
    <n v="0"/>
    <n v="0"/>
    <n v="107"/>
    <s v="_x0000_peopl"/>
  </r>
  <r>
    <x v="7"/>
    <n v="13.676399999999999"/>
    <n v="-89.201599999999999"/>
    <n v="6"/>
    <n v="0"/>
    <n v="0"/>
    <n v="107"/>
    <s v="_x0000_peopl"/>
  </r>
  <r>
    <x v="7"/>
    <n v="13.6762"/>
    <n v="-89.201599999999999"/>
    <n v="5"/>
    <n v="0"/>
    <n v="0"/>
    <n v="107"/>
    <s v="_x0000_peopl"/>
  </r>
  <r>
    <x v="7"/>
    <n v="13.6762"/>
    <n v="-89.201599999999999"/>
    <n v="6"/>
    <n v="0"/>
    <n v="0"/>
    <n v="107"/>
    <s v="_x0000_peopl"/>
  </r>
  <r>
    <x v="7"/>
    <n v="13.676299999999999"/>
    <n v="-89.201599999999999"/>
    <n v="5"/>
    <n v="0"/>
    <n v="0"/>
    <n v="107"/>
    <s v="_x0000_peopl"/>
  </r>
  <r>
    <x v="7"/>
    <n v="13.676299999999999"/>
    <n v="-89.201499999999996"/>
    <n v="3"/>
    <n v="0"/>
    <n v="0"/>
    <n v="107"/>
    <s v="_x0000_peopl"/>
  </r>
  <r>
    <x v="7"/>
    <n v="13.676500000000001"/>
    <n v="-89.201499999999996"/>
    <n v="4"/>
    <n v="0"/>
    <n v="0"/>
    <n v="107"/>
    <s v="_x0000_peopl"/>
  </r>
  <r>
    <x v="7"/>
    <n v="13.676600000000001"/>
    <n v="-89.201599999999999"/>
    <n v="4"/>
    <n v="0"/>
    <n v="0"/>
    <n v="107"/>
    <s v="_x0000_peopl"/>
  </r>
  <r>
    <x v="7"/>
    <n v="13.676600000000001"/>
    <n v="-89.201800000000006"/>
    <n v="6"/>
    <n v="0"/>
    <n v="0"/>
    <n v="107"/>
    <s v="_x0000_peopl"/>
  </r>
  <r>
    <x v="7"/>
    <n v="13.676500000000001"/>
    <n v="-89.201800000000006"/>
    <n v="8"/>
    <n v="0"/>
    <n v="0"/>
    <n v="107"/>
    <s v="_x0000_peopl"/>
  </r>
  <r>
    <x v="7"/>
    <n v="13.676500000000001"/>
    <n v="-89.201800000000006"/>
    <n v="10"/>
    <n v="0"/>
    <n v="0"/>
    <n v="107"/>
    <s v="_x0000_peopl"/>
  </r>
  <r>
    <x v="7"/>
    <n v="13.676399999999999"/>
    <n v="-89.201800000000006"/>
    <n v="4"/>
    <n v="0"/>
    <n v="0"/>
    <n v="107"/>
    <s v="_x0000_peopl"/>
  </r>
  <r>
    <x v="7"/>
    <n v="13.676399999999999"/>
    <n v="-89.201899999999995"/>
    <n v="1"/>
    <n v="0"/>
    <n v="0"/>
    <n v="107"/>
    <s v="_x0000_peopl"/>
  </r>
  <r>
    <x v="7"/>
    <n v="13.676399999999999"/>
    <n v="-89.201700000000002"/>
    <n v="9"/>
    <n v="0"/>
    <n v="0"/>
    <n v="107"/>
    <s v="_x0000_peopl"/>
  </r>
  <r>
    <x v="7"/>
    <n v="13.676399999999999"/>
    <n v="-89.201700000000002"/>
    <n v="6"/>
    <n v="0"/>
    <n v="0"/>
    <n v="107"/>
    <s v="_x0000_peopl"/>
  </r>
  <r>
    <x v="7"/>
    <n v="13.676500000000001"/>
    <n v="-89.201700000000002"/>
    <n v="8"/>
    <n v="0"/>
    <n v="0"/>
    <n v="107"/>
    <s v="_x0000_peopl"/>
  </r>
  <r>
    <x v="7"/>
    <n v="13.676500000000001"/>
    <n v="-89.201700000000002"/>
    <n v="4"/>
    <n v="0"/>
    <n v="0"/>
    <n v="107"/>
    <s v="_x0000_peopl"/>
  </r>
  <r>
    <x v="7"/>
    <n v="13.676299999999999"/>
    <n v="-89.201700000000002"/>
    <n v="8"/>
    <n v="0"/>
    <n v="0"/>
    <n v="107"/>
    <s v="_x0000_peopl"/>
  </r>
  <r>
    <x v="7"/>
    <n v="13.676299999999999"/>
    <n v="-89.201700000000002"/>
    <n v="7"/>
    <n v="0"/>
    <n v="0"/>
    <n v="107"/>
    <s v="_x0000_peopl"/>
  </r>
  <r>
    <x v="7"/>
    <n v="13.6762"/>
    <n v="-89.201700000000002"/>
    <n v="7"/>
    <n v="0"/>
    <n v="0"/>
    <n v="107"/>
    <s v="_x0000_peopl"/>
  </r>
  <r>
    <x v="7"/>
    <n v="13.6762"/>
    <n v="-89.201800000000006"/>
    <n v="6"/>
    <n v="0"/>
    <n v="0"/>
    <n v="107"/>
    <s v="_x0000_peopl"/>
  </r>
  <r>
    <x v="7"/>
    <n v="13.6762"/>
    <n v="-89.201899999999995"/>
    <n v="4"/>
    <n v="0"/>
    <n v="0"/>
    <n v="107"/>
    <s v="_x0000_peopl"/>
  </r>
  <r>
    <x v="7"/>
    <n v="13.6762"/>
    <n v="-89.201899999999995"/>
    <n v="4"/>
    <n v="0"/>
    <n v="0"/>
    <n v="107"/>
    <s v="_x0000_peopl"/>
  </r>
  <r>
    <x v="7"/>
    <n v="13.676299999999999"/>
    <n v="-89.201899999999995"/>
    <n v="9"/>
    <n v="0"/>
    <n v="0"/>
    <n v="107"/>
    <s v="_x0000_peopl"/>
  </r>
  <r>
    <x v="7"/>
    <n v="13.676299999999999"/>
    <n v="-89.201899999999995"/>
    <n v="6"/>
    <n v="0"/>
    <n v="0"/>
    <n v="107"/>
    <s v="_x0000_peopl"/>
  </r>
  <r>
    <x v="7"/>
    <n v="13.676399999999999"/>
    <n v="-89.202100000000002"/>
    <n v="6"/>
    <n v="0"/>
    <n v="0"/>
    <n v="107"/>
    <s v="_x0000_peopl"/>
  </r>
  <r>
    <x v="7"/>
    <n v="13.676399999999999"/>
    <n v="-89.202100000000002"/>
    <n v="4"/>
    <n v="0"/>
    <n v="0"/>
    <n v="107"/>
    <s v="_x0000_peopl"/>
  </r>
  <r>
    <x v="7"/>
    <n v="13.676299999999999"/>
    <n v="-89.202100000000002"/>
    <n v="7"/>
    <n v="0"/>
    <n v="0"/>
    <n v="107"/>
    <s v="_x0000_peopl"/>
  </r>
  <r>
    <x v="7"/>
    <n v="13.6762"/>
    <n v="-89.202100000000002"/>
    <n v="6"/>
    <n v="0"/>
    <n v="0"/>
    <n v="107"/>
    <s v="_x0000_peopl"/>
  </r>
  <r>
    <x v="7"/>
    <n v="13.676399999999999"/>
    <n v="-89.202299999999994"/>
    <n v="3"/>
    <n v="0"/>
    <n v="0"/>
    <n v="107"/>
    <s v="_x0000_peopl"/>
  </r>
  <r>
    <x v="7"/>
    <n v="13.676299999999999"/>
    <n v="-89.202299999999994"/>
    <n v="8"/>
    <n v="0"/>
    <n v="0"/>
    <n v="107"/>
    <s v="_x0000_peopl"/>
  </r>
  <r>
    <x v="7"/>
    <n v="13.676299999999999"/>
    <n v="-89.202399999999997"/>
    <n v="3"/>
    <n v="0"/>
    <n v="0"/>
    <n v="107"/>
    <s v="_x0000_peopl"/>
  </r>
  <r>
    <x v="7"/>
    <n v="13.6762"/>
    <n v="-89.202399999999997"/>
    <n v="8"/>
    <n v="0"/>
    <n v="0"/>
    <n v="107"/>
    <s v="_x0000_peopl"/>
  </r>
  <r>
    <x v="7"/>
    <n v="13.6761"/>
    <n v="-89.201800000000006"/>
    <n v="8"/>
    <n v="0"/>
    <n v="0"/>
    <n v="107"/>
    <s v="_x0000_peopl"/>
  </r>
  <r>
    <x v="7"/>
    <n v="13.6761"/>
    <n v="-89.201599999999999"/>
    <n v="7"/>
    <n v="0"/>
    <n v="0"/>
    <n v="107"/>
    <s v="_x0000_peopl"/>
  </r>
  <r>
    <x v="7"/>
    <n v="13.6761"/>
    <n v="-89.201999999999998"/>
    <n v="2"/>
    <n v="0"/>
    <n v="0"/>
    <n v="107"/>
    <s v="_x0000_peopl"/>
  </r>
  <r>
    <x v="7"/>
    <n v="13.6762"/>
    <n v="-89.202100000000002"/>
    <n v="2"/>
    <n v="0"/>
    <n v="0"/>
    <n v="107"/>
    <s v="_x0000_peopl"/>
  </r>
  <r>
    <x v="7"/>
    <n v="13.6761"/>
    <n v="-89.202100000000002"/>
    <n v="9"/>
    <n v="0"/>
    <n v="0"/>
    <n v="107"/>
    <s v="_x0000_peopl"/>
  </r>
  <r>
    <x v="7"/>
    <n v="13.6761"/>
    <n v="-89.202399999999997"/>
    <n v="8"/>
    <n v="0"/>
    <n v="0"/>
    <n v="107"/>
    <s v="_x0000_peopl"/>
  </r>
  <r>
    <x v="7"/>
    <n v="13.6761"/>
    <n v="-89.202399999999997"/>
    <n v="6"/>
    <n v="0"/>
    <n v="0"/>
    <n v="107"/>
    <s v="_x0000_peopl"/>
  </r>
  <r>
    <x v="7"/>
    <n v="13.676"/>
    <n v="-89.202399999999997"/>
    <n v="9"/>
    <n v="0"/>
    <n v="0"/>
    <n v="107"/>
    <s v="_x0000_peopl"/>
  </r>
  <r>
    <x v="7"/>
    <n v="13.676"/>
    <n v="-89.202399999999997"/>
    <n v="6"/>
    <n v="0"/>
    <n v="0"/>
    <n v="107"/>
    <s v="_x0000_peopl"/>
  </r>
  <r>
    <x v="7"/>
    <n v="13.6759"/>
    <n v="-89.202399999999997"/>
    <n v="5"/>
    <n v="0"/>
    <n v="0"/>
    <n v="107"/>
    <s v="_x0000_peopl"/>
  </r>
  <r>
    <x v="7"/>
    <n v="13.675800000000001"/>
    <n v="-89.202399999999997"/>
    <n v="5"/>
    <n v="0"/>
    <n v="0"/>
    <n v="107"/>
    <s v="_x0000_peopl"/>
  </r>
  <r>
    <x v="7"/>
    <n v="13.675800000000001"/>
    <n v="-89.202200000000005"/>
    <n v="3"/>
    <n v="0"/>
    <n v="0"/>
    <n v="107"/>
    <s v="_x0000_peopl"/>
  </r>
  <r>
    <x v="7"/>
    <n v="13.6759"/>
    <n v="-89.202200000000005"/>
    <n v="1"/>
    <n v="0"/>
    <n v="0"/>
    <n v="107"/>
    <s v="_x0000_peopl"/>
  </r>
  <r>
    <x v="7"/>
    <n v="13.6759"/>
    <n v="-89.202200000000005"/>
    <n v="5"/>
    <n v="0"/>
    <n v="0"/>
    <n v="107"/>
    <s v="_x0000_peopl"/>
  </r>
  <r>
    <x v="7"/>
    <n v="13.676"/>
    <n v="-89.202200000000005"/>
    <n v="2"/>
    <n v="0"/>
    <n v="0"/>
    <n v="107"/>
    <s v="_x0000_peopl"/>
  </r>
  <r>
    <x v="7"/>
    <n v="13.676"/>
    <n v="-89.202100000000002"/>
    <n v="4"/>
    <n v="0"/>
    <n v="0"/>
    <n v="107"/>
    <s v="_x0000_peopl"/>
  </r>
  <r>
    <x v="7"/>
    <n v="13.676"/>
    <n v="-89.201999999999998"/>
    <n v="7"/>
    <n v="0"/>
    <n v="0"/>
    <n v="107"/>
    <s v="_x0000_peopl"/>
  </r>
  <r>
    <x v="7"/>
    <n v="13.6761"/>
    <n v="-89.201700000000002"/>
    <n v="5"/>
    <n v="0"/>
    <n v="0"/>
    <n v="107"/>
    <s v="_x0000_peopl"/>
  </r>
  <r>
    <x v="7"/>
    <n v="13.676"/>
    <n v="-89.201599999999999"/>
    <n v="3"/>
    <n v="0"/>
    <n v="0"/>
    <n v="107"/>
    <s v="_x0000_peopl"/>
  </r>
  <r>
    <x v="7"/>
    <n v="13.676"/>
    <n v="-89.201700000000002"/>
    <n v="4"/>
    <n v="0"/>
    <n v="0"/>
    <n v="107"/>
    <s v="_x0000_peopl"/>
  </r>
  <r>
    <x v="7"/>
    <n v="13.6759"/>
    <n v="-89.201700000000002"/>
    <n v="2"/>
    <n v="0"/>
    <n v="0"/>
    <n v="107"/>
    <s v="_x0000_peopl"/>
  </r>
  <r>
    <x v="7"/>
    <n v="13.6759"/>
    <n v="-89.201700000000002"/>
    <n v="4"/>
    <n v="0"/>
    <n v="0"/>
    <n v="107"/>
    <s v="_x0000_peopl"/>
  </r>
  <r>
    <x v="7"/>
    <n v="13.6759"/>
    <n v="-89.201800000000006"/>
    <n v="4"/>
    <n v="0"/>
    <n v="0"/>
    <n v="107"/>
    <s v="_x0000_peopl"/>
  </r>
  <r>
    <x v="7"/>
    <n v="13.6759"/>
    <n v="-89.201800000000006"/>
    <n v="5"/>
    <n v="0"/>
    <n v="0"/>
    <n v="107"/>
    <s v="_x0000_peopl"/>
  </r>
  <r>
    <x v="7"/>
    <n v="13.676"/>
    <n v="-89.201800000000006"/>
    <n v="5"/>
    <n v="0"/>
    <n v="0"/>
    <n v="107"/>
    <s v="_x0000_peopl"/>
  </r>
  <r>
    <x v="7"/>
    <n v="13.6761"/>
    <n v="-89.201800000000006"/>
    <n v="8"/>
    <n v="0"/>
    <n v="0"/>
    <n v="107"/>
    <s v="_x0000_peopl"/>
  </r>
  <r>
    <x v="7"/>
    <n v="13.676"/>
    <n v="-89.201899999999995"/>
    <n v="8"/>
    <n v="0"/>
    <n v="0"/>
    <n v="107"/>
    <s v="_x0000_peopl"/>
  </r>
  <r>
    <x v="7"/>
    <n v="13.676"/>
    <n v="-89.202100000000002"/>
    <n v="5"/>
    <n v="0"/>
    <n v="0"/>
    <n v="107"/>
    <s v="_x0000_peopl"/>
  </r>
  <r>
    <x v="7"/>
    <n v="13.6759"/>
    <n v="-89.202100000000002"/>
    <n v="5"/>
    <n v="0"/>
    <n v="0"/>
    <n v="107"/>
    <s v="_x0000_peopl"/>
  </r>
  <r>
    <x v="7"/>
    <n v="13.6759"/>
    <n v="-89.202100000000002"/>
    <n v="7"/>
    <n v="0"/>
    <n v="0"/>
    <n v="107"/>
    <s v="_x0000_peopl"/>
  </r>
  <r>
    <x v="7"/>
    <n v="13.675800000000001"/>
    <n v="-89.201700000000002"/>
    <n v="8"/>
    <n v="0"/>
    <n v="0"/>
    <n v="107"/>
    <s v="_x0000_peopl"/>
  </r>
  <r>
    <x v="7"/>
    <n v="13.675800000000001"/>
    <n v="-89.201700000000002"/>
    <n v="6"/>
    <n v="0"/>
    <n v="0"/>
    <n v="107"/>
    <s v="_x0000_peopl"/>
  </r>
  <r>
    <x v="7"/>
    <n v="13.675700000000001"/>
    <n v="-89.201700000000002"/>
    <n v="5"/>
    <n v="0"/>
    <n v="0"/>
    <n v="107"/>
    <s v="_x0000_peopl"/>
  </r>
  <r>
    <x v="7"/>
    <n v="13.675599999999999"/>
    <n v="-89.201800000000006"/>
    <n v="6"/>
    <n v="0"/>
    <n v="0"/>
    <n v="107"/>
    <s v="_x0000_peopl"/>
  </r>
  <r>
    <x v="7"/>
    <n v="13.675700000000001"/>
    <n v="-89.201899999999995"/>
    <n v="1"/>
    <n v="0"/>
    <n v="0"/>
    <n v="107"/>
    <s v="_x0000_peopl"/>
  </r>
  <r>
    <x v="7"/>
    <n v="13.675800000000001"/>
    <n v="-89.201800000000006"/>
    <n v="9"/>
    <n v="0"/>
    <n v="0"/>
    <n v="107"/>
    <s v="_x0000_peopl"/>
  </r>
  <r>
    <x v="7"/>
    <n v="13.675800000000001"/>
    <n v="-89.201800000000006"/>
    <n v="7"/>
    <n v="0"/>
    <n v="0"/>
    <n v="107"/>
    <s v="_x0000_peopl"/>
  </r>
  <r>
    <x v="7"/>
    <n v="13.675800000000001"/>
    <n v="-89.202100000000002"/>
    <n v="4"/>
    <n v="0"/>
    <n v="0"/>
    <n v="107"/>
    <s v="_x0000_peopl"/>
  </r>
  <r>
    <x v="7"/>
    <n v="13.675700000000001"/>
    <n v="-89.202100000000002"/>
    <n v="6"/>
    <n v="0"/>
    <n v="0"/>
    <n v="107"/>
    <s v="_x0000_peopl"/>
  </r>
  <r>
    <x v="7"/>
    <n v="13.675800000000001"/>
    <n v="-89.202200000000005"/>
    <n v="5"/>
    <n v="0"/>
    <n v="0"/>
    <n v="107"/>
    <s v="_x0000_peopl"/>
  </r>
  <r>
    <x v="7"/>
    <n v="13.6769"/>
    <n v="-89.201400000000007"/>
    <n v="9"/>
    <n v="0"/>
    <n v="0"/>
    <n v="107"/>
    <s v="_x0000_peopl"/>
  </r>
  <r>
    <x v="7"/>
    <n v="13.6769"/>
    <n v="-89.201400000000007"/>
    <n v="4"/>
    <n v="0"/>
    <n v="0"/>
    <n v="107"/>
    <s v="_x0000_peopl"/>
  </r>
  <r>
    <x v="7"/>
    <n v="13.6768"/>
    <n v="-89.201499999999996"/>
    <n v="5"/>
    <n v="0"/>
    <n v="0"/>
    <n v="107"/>
    <s v="_x0000_peopl"/>
  </r>
  <r>
    <x v="7"/>
    <n v="13.6768"/>
    <n v="-89.201499999999996"/>
    <n v="4"/>
    <n v="0"/>
    <n v="0"/>
    <n v="107"/>
    <s v="_x0000_peopl"/>
  </r>
  <r>
    <x v="7"/>
    <n v="13.677"/>
    <n v="-89.201800000000006"/>
    <n v="9"/>
    <n v="0"/>
    <n v="0"/>
    <n v="107"/>
    <s v="_x0000_peopl"/>
  </r>
  <r>
    <x v="7"/>
    <n v="13.6769"/>
    <n v="-89.201700000000002"/>
    <n v="2"/>
    <n v="0"/>
    <n v="0"/>
    <n v="107"/>
    <s v="_x0000_peopl"/>
  </r>
  <r>
    <x v="7"/>
    <n v="13.6769"/>
    <n v="-89.201700000000002"/>
    <n v="2"/>
    <n v="0"/>
    <n v="0"/>
    <n v="107"/>
    <s v="_x0000_peopl"/>
  </r>
  <r>
    <x v="7"/>
    <n v="13.6768"/>
    <n v="-89.201700000000002"/>
    <n v="10"/>
    <n v="0"/>
    <n v="0"/>
    <n v="107"/>
    <s v="_x0000_peopl"/>
  </r>
  <r>
    <x v="7"/>
    <n v="13.6768"/>
    <n v="-89.201700000000002"/>
    <n v="5"/>
    <n v="0"/>
    <n v="0"/>
    <n v="107"/>
    <s v="_x0000_peopl"/>
  </r>
  <r>
    <x v="7"/>
    <n v="13.6768"/>
    <n v="-89.201599999999999"/>
    <n v="2"/>
    <n v="0"/>
    <n v="0"/>
    <n v="107"/>
    <s v="_x0000_peopl"/>
  </r>
  <r>
    <x v="7"/>
    <n v="13.6768"/>
    <n v="-89.201599999999999"/>
    <n v="6"/>
    <n v="0"/>
    <n v="0"/>
    <n v="107"/>
    <s v="_x0000_peopl"/>
  </r>
  <r>
    <x v="7"/>
    <n v="13.6769"/>
    <n v="-89.201599999999999"/>
    <n v="5"/>
    <n v="0"/>
    <n v="0"/>
    <n v="107"/>
    <s v="_x0000_peopl"/>
  </r>
  <r>
    <x v="7"/>
    <n v="13.6769"/>
    <n v="-89.201599999999999"/>
    <n v="6"/>
    <n v="0"/>
    <n v="0"/>
    <n v="107"/>
    <s v="_x0000_peopl"/>
  </r>
  <r>
    <x v="7"/>
    <n v="13.6769"/>
    <n v="-89.201599999999999"/>
    <n v="4"/>
    <n v="0"/>
    <n v="0"/>
    <n v="107"/>
    <s v="_x0000_peopl"/>
  </r>
  <r>
    <x v="7"/>
    <n v="13.6767"/>
    <n v="-89.201800000000006"/>
    <n v="8"/>
    <n v="0"/>
    <n v="0"/>
    <n v="107"/>
    <s v="_x0000_peopl"/>
  </r>
  <r>
    <x v="7"/>
    <n v="13.6767"/>
    <n v="-89.201800000000006"/>
    <n v="3"/>
    <n v="0"/>
    <n v="0"/>
    <n v="107"/>
    <s v="_x0000_peopl"/>
  </r>
  <r>
    <x v="7"/>
    <n v="13.676600000000001"/>
    <n v="-89.201800000000006"/>
    <n v="10"/>
    <n v="0"/>
    <n v="0"/>
    <n v="107"/>
    <s v="_x0000_peopl"/>
  </r>
  <r>
    <x v="7"/>
    <n v="13.676600000000001"/>
    <n v="-89.201599999999999"/>
    <n v="4"/>
    <n v="0"/>
    <n v="0"/>
    <n v="107"/>
    <s v="_x0000_peopl"/>
  </r>
  <r>
    <x v="7"/>
    <n v="13.6767"/>
    <n v="-89.201599999999999"/>
    <n v="6"/>
    <n v="0"/>
    <n v="0"/>
    <n v="107"/>
    <s v="_x0000_peopl"/>
  </r>
  <r>
    <x v="7"/>
    <n v="13.677099999999999"/>
    <n v="-89.201899999999995"/>
    <n v="5"/>
    <n v="0"/>
    <n v="0"/>
    <n v="107"/>
    <s v="_x0000_peopl"/>
  </r>
  <r>
    <x v="7"/>
    <n v="13.677099999999999"/>
    <n v="-89.201999999999998"/>
    <n v="3"/>
    <n v="0"/>
    <n v="0"/>
    <n v="107"/>
    <s v="_x0000_peopl"/>
  </r>
  <r>
    <x v="7"/>
    <n v="13.677099999999999"/>
    <n v="-89.201999999999998"/>
    <n v="4"/>
    <n v="0"/>
    <n v="0"/>
    <n v="107"/>
    <s v="_x0000_peopl"/>
  </r>
  <r>
    <x v="7"/>
    <n v="13.677"/>
    <n v="-89.202100000000002"/>
    <n v="1"/>
    <n v="0"/>
    <n v="0"/>
    <n v="107"/>
    <s v="_x0000_peopl"/>
  </r>
  <r>
    <x v="7"/>
    <n v="13.677"/>
    <n v="-89.201999999999998"/>
    <n v="9"/>
    <n v="0"/>
    <n v="0"/>
    <n v="107"/>
    <s v="_x0000_peopl"/>
  </r>
  <r>
    <x v="7"/>
    <n v="13.677"/>
    <n v="-89.201999999999998"/>
    <n v="2"/>
    <n v="0"/>
    <n v="0"/>
    <n v="107"/>
    <s v="_x0000_peopl"/>
  </r>
  <r>
    <x v="7"/>
    <n v="13.6769"/>
    <n v="-89.201999999999998"/>
    <n v="6"/>
    <n v="0"/>
    <n v="0"/>
    <n v="107"/>
    <s v="_x0000_peopl"/>
  </r>
  <r>
    <x v="7"/>
    <n v="13.6768"/>
    <n v="-89.201999999999998"/>
    <n v="6"/>
    <n v="0"/>
    <n v="0"/>
    <n v="107"/>
    <s v="_x0000_peopl"/>
  </r>
  <r>
    <x v="7"/>
    <n v="13.677"/>
    <n v="-89.202200000000005"/>
    <n v="3"/>
    <n v="0"/>
    <n v="0"/>
    <n v="107"/>
    <s v="_x0000_peopl"/>
  </r>
  <r>
    <x v="7"/>
    <n v="13.677"/>
    <n v="-89.202200000000005"/>
    <n v="6"/>
    <n v="0"/>
    <n v="0"/>
    <n v="107"/>
    <s v="_x0000_peopl"/>
  </r>
  <r>
    <x v="7"/>
    <n v="13.6769"/>
    <n v="-89.202200000000005"/>
    <n v="4"/>
    <n v="0"/>
    <n v="0"/>
    <n v="107"/>
    <s v="_x0000_peopl"/>
  </r>
  <r>
    <x v="7"/>
    <n v="13.6769"/>
    <n v="-89.202200000000005"/>
    <n v="4"/>
    <n v="0"/>
    <n v="0"/>
    <n v="107"/>
    <s v="_x0000_peopl"/>
  </r>
  <r>
    <x v="7"/>
    <n v="13.6768"/>
    <n v="-89.201999999999998"/>
    <n v="5"/>
    <n v="0"/>
    <n v="0"/>
    <n v="107"/>
    <s v="_x0000_peopl"/>
  </r>
  <r>
    <x v="7"/>
    <n v="13.6767"/>
    <n v="-89.201999999999998"/>
    <n v="4"/>
    <n v="0"/>
    <n v="0"/>
    <n v="107"/>
    <s v="_x0000_peopl"/>
  </r>
  <r>
    <x v="7"/>
    <n v="13.6767"/>
    <n v="-89.201999999999998"/>
    <n v="8"/>
    <n v="0"/>
    <n v="0"/>
    <n v="107"/>
    <s v="_x0000_peopl"/>
  </r>
  <r>
    <x v="7"/>
    <n v="13.676600000000001"/>
    <n v="-89.202100000000002"/>
    <n v="2"/>
    <n v="0"/>
    <n v="0"/>
    <n v="107"/>
    <s v="_x0000_peopl"/>
  </r>
  <r>
    <x v="7"/>
    <n v="13.6767"/>
    <n v="-89.202200000000005"/>
    <n v="3"/>
    <n v="0"/>
    <n v="0"/>
    <n v="107"/>
    <s v="_x0000_peopl"/>
  </r>
  <r>
    <x v="7"/>
    <n v="13.6768"/>
    <n v="-89.202200000000005"/>
    <n v="5"/>
    <n v="0"/>
    <n v="0"/>
    <n v="107"/>
    <s v="_x0000_peopl"/>
  </r>
  <r>
    <x v="7"/>
    <n v="13.6767"/>
    <n v="-89.202200000000005"/>
    <n v="3"/>
    <n v="0"/>
    <n v="0"/>
    <n v="107"/>
    <s v="_x0000_peopl"/>
  </r>
  <r>
    <x v="7"/>
    <n v="13.676600000000001"/>
    <n v="-89.202299999999994"/>
    <n v="9"/>
    <n v="0"/>
    <n v="0"/>
    <n v="107"/>
    <s v="_x0000_peopl"/>
  </r>
  <r>
    <x v="7"/>
    <n v="13.676600000000001"/>
    <n v="-89.202299999999994"/>
    <n v="3"/>
    <n v="0"/>
    <n v="0"/>
    <n v="107"/>
    <s v="_x0000_peopl"/>
  </r>
  <r>
    <x v="7"/>
    <n v="13.676500000000001"/>
    <n v="-89.202299999999994"/>
    <n v="3"/>
    <n v="0"/>
    <n v="0"/>
    <n v="107"/>
    <s v="_x0000_peopl"/>
  </r>
  <r>
    <x v="7"/>
    <n v="13.676500000000001"/>
    <n v="-89.202299999999994"/>
    <n v="8"/>
    <n v="0"/>
    <n v="0"/>
    <n v="107"/>
    <s v="_x0000_peopl"/>
  </r>
  <r>
    <x v="7"/>
    <n v="13.676500000000001"/>
    <n v="-89.201999999999998"/>
    <n v="7"/>
    <n v="0"/>
    <n v="0"/>
    <n v="107"/>
    <s v="_x0000_peopl"/>
  </r>
  <r>
    <x v="7"/>
    <n v="13.676500000000001"/>
    <n v="-89.202100000000002"/>
    <n v="6"/>
    <n v="0"/>
    <n v="0"/>
    <n v="107"/>
    <s v="_x0000_peopl"/>
  </r>
  <r>
    <x v="7"/>
    <n v="13.676399999999999"/>
    <n v="-89.202299999999994"/>
    <n v="3"/>
    <n v="0"/>
    <n v="0"/>
    <n v="107"/>
    <s v="_x0000_peopl"/>
  </r>
  <r>
    <x v="7"/>
    <n v="13.6813"/>
    <n v="-89.201700000000002"/>
    <n v="6"/>
    <n v="0"/>
    <n v="0"/>
    <n v="107"/>
    <s v="_x0000_peopl"/>
  </r>
  <r>
    <x v="7"/>
    <n v="13.6813"/>
    <n v="-89.201700000000002"/>
    <n v="5"/>
    <n v="0"/>
    <n v="0"/>
    <n v="107"/>
    <s v="_x0000_peopl"/>
  </r>
  <r>
    <x v="7"/>
    <n v="13.6812"/>
    <n v="-89.201700000000002"/>
    <n v="5"/>
    <n v="0"/>
    <n v="0"/>
    <n v="107"/>
    <s v="_x0000_peopl"/>
  </r>
  <r>
    <x v="7"/>
    <n v="13.6813"/>
    <n v="-89.201599999999999"/>
    <n v="6"/>
    <n v="0"/>
    <n v="0"/>
    <n v="107"/>
    <s v="_x0000_peopl"/>
  </r>
  <r>
    <x v="7"/>
    <n v="13.6813"/>
    <n v="-89.201599999999999"/>
    <n v="7"/>
    <n v="0"/>
    <n v="0"/>
    <n v="107"/>
    <s v="_x0000_peopl"/>
  </r>
  <r>
    <x v="7"/>
    <n v="13.6813"/>
    <n v="-89.201499999999996"/>
    <n v="6"/>
    <n v="0"/>
    <n v="0"/>
    <n v="107"/>
    <s v="_x0000_peopl"/>
  </r>
  <r>
    <x v="7"/>
    <n v="13.6813"/>
    <n v="-89.201499999999996"/>
    <n v="2"/>
    <n v="0"/>
    <n v="0"/>
    <n v="107"/>
    <s v="_x0000_peopl"/>
  </r>
  <r>
    <x v="7"/>
    <n v="13.6813"/>
    <n v="-89.201400000000007"/>
    <n v="5"/>
    <n v="0"/>
    <n v="0"/>
    <n v="107"/>
    <s v="_x0000_peopl"/>
  </r>
  <r>
    <x v="7"/>
    <n v="13.6813"/>
    <n v="-89.201300000000003"/>
    <n v="0"/>
    <n v="0"/>
    <n v="0"/>
    <n v="107"/>
    <s v="_x0000_peopl"/>
  </r>
  <r>
    <x v="7"/>
    <n v="13.6812"/>
    <n v="-89.201400000000007"/>
    <n v="4"/>
    <n v="0"/>
    <n v="0"/>
    <n v="107"/>
    <s v="_x0000_peopl"/>
  </r>
  <r>
    <x v="7"/>
    <n v="13.681100000000001"/>
    <n v="-89.201400000000007"/>
    <n v="4"/>
    <n v="0"/>
    <n v="0"/>
    <n v="107"/>
    <s v="_x0000_peopl"/>
  </r>
  <r>
    <x v="7"/>
    <n v="13.681100000000001"/>
    <n v="-89.2012"/>
    <n v="6"/>
    <n v="0"/>
    <n v="0"/>
    <n v="107"/>
    <s v="_x0000_peopl"/>
  </r>
  <r>
    <x v="7"/>
    <n v="13.6812"/>
    <n v="-89.2012"/>
    <n v="5"/>
    <n v="0"/>
    <n v="0"/>
    <n v="107"/>
    <s v="_x0000_peopl"/>
  </r>
  <r>
    <x v="7"/>
    <n v="13.6812"/>
    <n v="-89.201099999999997"/>
    <n v="1"/>
    <n v="0"/>
    <n v="0"/>
    <n v="107"/>
    <s v="_x0000_peopl"/>
  </r>
  <r>
    <x v="7"/>
    <n v="13.6813"/>
    <n v="-89.201099999999997"/>
    <n v="6"/>
    <n v="0"/>
    <n v="0"/>
    <n v="107"/>
    <s v="_x0000_peopl"/>
  </r>
  <r>
    <x v="7"/>
    <n v="13.6813"/>
    <n v="-89.201099999999997"/>
    <n v="2"/>
    <n v="0"/>
    <n v="0"/>
    <n v="107"/>
    <s v="_x0000_peopl"/>
  </r>
  <r>
    <x v="7"/>
    <n v="13.6813"/>
    <n v="-89.200999999999993"/>
    <n v="3"/>
    <n v="0"/>
    <n v="0"/>
    <n v="107"/>
    <s v="_x0000_peopl"/>
  </r>
  <r>
    <x v="7"/>
    <n v="13.6812"/>
    <n v="-89.200999999999993"/>
    <n v="4"/>
    <n v="0"/>
    <n v="0"/>
    <n v="107"/>
    <s v="_x0000_peopl"/>
  </r>
  <r>
    <x v="7"/>
    <n v="13.6812"/>
    <n v="-89.200999999999993"/>
    <n v="8"/>
    <n v="0"/>
    <n v="0"/>
    <n v="107"/>
    <s v="_x0000_peopl"/>
  </r>
  <r>
    <x v="7"/>
    <n v="13.681100000000001"/>
    <n v="-89.200999999999993"/>
    <n v="4"/>
    <n v="0"/>
    <n v="0"/>
    <n v="107"/>
    <s v="_x0000_peopl"/>
  </r>
  <r>
    <x v="7"/>
    <n v="13.681100000000001"/>
    <n v="-89.200999999999993"/>
    <n v="1"/>
    <n v="0"/>
    <n v="0"/>
    <n v="107"/>
    <s v="_x0000_peopl"/>
  </r>
  <r>
    <x v="7"/>
    <n v="13.680999999999999"/>
    <n v="-89.201099999999997"/>
    <n v="7"/>
    <n v="0"/>
    <n v="0"/>
    <n v="107"/>
    <s v="_x0000_peopl"/>
  </r>
  <r>
    <x v="7"/>
    <n v="13.680999999999999"/>
    <n v="-89.2012"/>
    <n v="6"/>
    <n v="0"/>
    <n v="0"/>
    <n v="107"/>
    <s v="_x0000_peopl"/>
  </r>
  <r>
    <x v="7"/>
    <n v="13.680999999999999"/>
    <n v="-89.201300000000003"/>
    <n v="5"/>
    <n v="0"/>
    <n v="0"/>
    <n v="107"/>
    <s v="_x0000_peopl"/>
  </r>
  <r>
    <x v="7"/>
    <n v="13.680999999999999"/>
    <n v="-89.201499999999996"/>
    <n v="6"/>
    <n v="0"/>
    <n v="0"/>
    <n v="107"/>
    <s v="_x0000_peopl"/>
  </r>
  <r>
    <x v="7"/>
    <n v="13.680999999999999"/>
    <n v="-89.201499999999996"/>
    <n v="4"/>
    <n v="0"/>
    <n v="0"/>
    <n v="107"/>
    <s v="_x0000_peopl"/>
  </r>
  <r>
    <x v="7"/>
    <n v="13.681100000000001"/>
    <n v="-89.201400000000007"/>
    <n v="6"/>
    <n v="0"/>
    <n v="0"/>
    <n v="107"/>
    <s v="_x0000_peopl"/>
  </r>
  <r>
    <x v="7"/>
    <n v="13.680899999999999"/>
    <n v="-89.200900000000004"/>
    <n v="8"/>
    <n v="0"/>
    <n v="0"/>
    <n v="107"/>
    <s v="_x0000_peopl"/>
  </r>
  <r>
    <x v="7"/>
    <n v="13.680899999999999"/>
    <n v="-89.200999999999993"/>
    <n v="1"/>
    <n v="0"/>
    <n v="0"/>
    <n v="107"/>
    <s v="_x0000_peopl"/>
  </r>
  <r>
    <x v="7"/>
    <n v="13.680899999999999"/>
    <n v="-89.200999999999993"/>
    <n v="8"/>
    <n v="0"/>
    <n v="0"/>
    <n v="107"/>
    <s v="_x0000_peopl"/>
  </r>
  <r>
    <x v="7"/>
    <n v="13.680999999999999"/>
    <n v="-89.201099999999997"/>
    <n v="7"/>
    <n v="0"/>
    <n v="0"/>
    <n v="107"/>
    <s v="_x0000_peopl"/>
  </r>
  <r>
    <x v="7"/>
    <n v="13.680899999999999"/>
    <n v="-89.201499999999996"/>
    <n v="4"/>
    <n v="0"/>
    <n v="0"/>
    <n v="107"/>
    <s v="_x0000_peopl"/>
  </r>
  <r>
    <x v="7"/>
    <n v="13.680899999999999"/>
    <n v="-89.201499999999996"/>
    <n v="10"/>
    <n v="0"/>
    <n v="0"/>
    <n v="107"/>
    <s v="_x0000_peopl"/>
  </r>
  <r>
    <x v="7"/>
    <n v="13.681100000000001"/>
    <n v="-89.200900000000004"/>
    <n v="3"/>
    <n v="0"/>
    <n v="0"/>
    <n v="107"/>
    <s v="_x0000_peopl"/>
  </r>
  <r>
    <x v="7"/>
    <n v="13.6812"/>
    <n v="-89.200800000000001"/>
    <n v="5"/>
    <n v="0"/>
    <n v="0"/>
    <n v="107"/>
    <s v="_x0000_peopl"/>
  </r>
  <r>
    <x v="7"/>
    <n v="13.6814"/>
    <n v="-89.201099999999997"/>
    <n v="6"/>
    <n v="0"/>
    <n v="0"/>
    <n v="107"/>
    <s v="_x0000_peopl"/>
  </r>
  <r>
    <x v="7"/>
    <n v="13.6814"/>
    <n v="-89.201099999999997"/>
    <n v="8"/>
    <n v="0"/>
    <n v="0"/>
    <n v="107"/>
    <s v="_x0000_peopl"/>
  </r>
  <r>
    <x v="7"/>
    <n v="13.6814"/>
    <n v="-89.200999999999993"/>
    <n v="6"/>
    <n v="0"/>
    <n v="0"/>
    <n v="107"/>
    <s v="_x0000_peopl"/>
  </r>
  <r>
    <x v="7"/>
    <n v="13.6814"/>
    <n v="-89.200900000000004"/>
    <n v="3"/>
    <n v="0"/>
    <n v="0"/>
    <n v="107"/>
    <s v="_x0000_peopl"/>
  </r>
  <r>
    <x v="7"/>
    <n v="13.6814"/>
    <n v="-89.200800000000001"/>
    <n v="7"/>
    <n v="0"/>
    <n v="0"/>
    <n v="107"/>
    <s v="_x0000_peopl"/>
  </r>
  <r>
    <x v="7"/>
    <n v="13.6814"/>
    <n v="-89.200800000000001"/>
    <n v="4"/>
    <n v="0"/>
    <n v="0"/>
    <n v="107"/>
    <s v="_x0000_peopl"/>
  </r>
  <r>
    <x v="7"/>
    <n v="13.6814"/>
    <n v="-89.201300000000003"/>
    <n v="6"/>
    <n v="0"/>
    <n v="0"/>
    <n v="107"/>
    <s v="_x0000_peopl"/>
  </r>
  <r>
    <x v="7"/>
    <n v="13.6815"/>
    <n v="-89.201300000000003"/>
    <n v="5"/>
    <n v="0"/>
    <n v="0"/>
    <n v="107"/>
    <s v="_x0000_peopl"/>
  </r>
  <r>
    <x v="7"/>
    <n v="13.6815"/>
    <n v="-89.201099999999997"/>
    <n v="4"/>
    <n v="0"/>
    <n v="0"/>
    <n v="107"/>
    <s v="_x0000_peopl"/>
  </r>
  <r>
    <x v="7"/>
    <n v="13.6815"/>
    <n v="-89.201300000000003"/>
    <n v="4"/>
    <n v="0"/>
    <n v="0"/>
    <n v="107"/>
    <s v="_x0000_peopl"/>
  </r>
  <r>
    <x v="7"/>
    <n v="13.6815"/>
    <n v="-89.201400000000007"/>
    <n v="2"/>
    <n v="0"/>
    <n v="0"/>
    <n v="107"/>
    <s v="_x0000_peopl"/>
  </r>
  <r>
    <x v="7"/>
    <n v="13.6815"/>
    <n v="-89.201499999999996"/>
    <n v="6"/>
    <n v="0"/>
    <n v="0"/>
    <n v="107"/>
    <s v="_x0000_peopl"/>
  </r>
  <r>
    <x v="7"/>
    <n v="13.6815"/>
    <n v="-89.201599999999999"/>
    <n v="3"/>
    <n v="0"/>
    <n v="0"/>
    <n v="107"/>
    <s v="_x0000_peopl"/>
  </r>
  <r>
    <x v="7"/>
    <n v="13.6815"/>
    <n v="-89.201499999999996"/>
    <n v="7"/>
    <n v="0"/>
    <n v="0"/>
    <n v="107"/>
    <s v="_x0000_peopl"/>
  </r>
  <r>
    <x v="7"/>
    <n v="13.6814"/>
    <n v="-89.201800000000006"/>
    <n v="4"/>
    <n v="0"/>
    <n v="0"/>
    <n v="107"/>
    <s v="_x0000_peopl"/>
  </r>
  <r>
    <x v="7"/>
    <n v="13.6814"/>
    <n v="-89.201800000000006"/>
    <n v="5"/>
    <n v="0"/>
    <n v="0"/>
    <n v="107"/>
    <s v="_x0000_peopl"/>
  </r>
  <r>
    <x v="7"/>
    <n v="13.6816"/>
    <n v="-89.201899999999995"/>
    <n v="3"/>
    <n v="0"/>
    <n v="0"/>
    <n v="107"/>
    <s v="_x0000_peopl"/>
  </r>
  <r>
    <x v="7"/>
    <n v="13.6816"/>
    <n v="-89.201700000000002"/>
    <n v="3"/>
    <n v="0"/>
    <n v="0"/>
    <n v="107"/>
    <s v="_x0000_peopl"/>
  </r>
  <r>
    <x v="7"/>
    <n v="13.6816"/>
    <n v="-89.201700000000002"/>
    <n v="3"/>
    <n v="0"/>
    <n v="0"/>
    <n v="107"/>
    <s v="_x0000_peopl"/>
  </r>
  <r>
    <x v="7"/>
    <n v="13.6815"/>
    <n v="-89.201599999999999"/>
    <n v="7"/>
    <n v="0"/>
    <n v="0"/>
    <n v="107"/>
    <s v="_x0000_peopl"/>
  </r>
  <r>
    <x v="7"/>
    <n v="13.6812"/>
    <n v="-89.201899999999995"/>
    <n v="3"/>
    <n v="0"/>
    <n v="0"/>
    <n v="107"/>
    <s v="_x0000_peopl"/>
  </r>
  <r>
    <x v="7"/>
    <n v="13.6813"/>
    <n v="-89.201800000000006"/>
    <n v="4"/>
    <n v="0"/>
    <n v="0"/>
    <n v="107"/>
    <s v="_x0000_peopl"/>
  </r>
  <r>
    <x v="7"/>
    <n v="13.6812"/>
    <n v="-89.201700000000002"/>
    <n v="7"/>
    <n v="0"/>
    <n v="0"/>
    <n v="107"/>
    <s v="_x0000_peopl"/>
  </r>
  <r>
    <x v="7"/>
    <n v="13.6816"/>
    <n v="-89.201800000000006"/>
    <n v="3"/>
    <n v="0"/>
    <n v="0"/>
    <n v="107"/>
    <s v="_x0000_peopl"/>
  </r>
  <r>
    <x v="7"/>
    <n v="13.6812"/>
    <n v="-89.202200000000005"/>
    <n v="7"/>
    <n v="0"/>
    <n v="0"/>
    <n v="107"/>
    <s v="_x0000_peopl"/>
  </r>
  <r>
    <x v="7"/>
    <n v="13.6813"/>
    <n v="-89.202200000000005"/>
    <n v="6"/>
    <n v="0"/>
    <n v="0"/>
    <n v="107"/>
    <s v="_x0000_peopl"/>
  </r>
  <r>
    <x v="7"/>
    <n v="13.6813"/>
    <n v="-89.202200000000005"/>
    <n v="7"/>
    <n v="0"/>
    <n v="0"/>
    <n v="107"/>
    <s v="_x0000_peopl"/>
  </r>
  <r>
    <x v="7"/>
    <n v="13.682"/>
    <n v="-89.201800000000006"/>
    <n v="3"/>
    <n v="0"/>
    <n v="0"/>
    <n v="107"/>
    <s v="_x0000_peopl"/>
  </r>
  <r>
    <x v="7"/>
    <n v="13.682"/>
    <n v="-89.201800000000006"/>
    <n v="1"/>
    <n v="0"/>
    <n v="0"/>
    <n v="107"/>
    <s v="_x0000_peopl"/>
  </r>
  <r>
    <x v="7"/>
    <n v="13.683"/>
    <n v="-89.197199999999995"/>
    <n v="6"/>
    <n v="0"/>
    <n v="0"/>
    <n v="107"/>
    <s v="_x0000_peopl"/>
  </r>
  <r>
    <x v="7"/>
    <n v="13.683"/>
    <n v="-89.197199999999995"/>
    <n v="4"/>
    <n v="0"/>
    <n v="0"/>
    <n v="107"/>
    <s v="_x0000_peopl"/>
  </r>
  <r>
    <x v="7"/>
    <n v="13.683"/>
    <n v="-89.197199999999995"/>
    <n v="4"/>
    <n v="0"/>
    <n v="0"/>
    <n v="107"/>
    <s v="_x0000_peopl"/>
  </r>
  <r>
    <x v="7"/>
    <n v="13.6829"/>
    <n v="-89.197299999999998"/>
    <n v="7"/>
    <n v="0"/>
    <n v="0"/>
    <n v="107"/>
    <s v="_x0000_peopl"/>
  </r>
  <r>
    <x v="7"/>
    <n v="13.6829"/>
    <n v="-89.197299999999998"/>
    <n v="9"/>
    <n v="0"/>
    <n v="0"/>
    <n v="107"/>
    <s v="_x0000_peopl"/>
  </r>
  <r>
    <x v="7"/>
    <n v="13.6829"/>
    <n v="-89.197299999999998"/>
    <n v="4"/>
    <n v="0"/>
    <n v="0"/>
    <n v="107"/>
    <s v="_x0000_peopl"/>
  </r>
  <r>
    <x v="7"/>
    <n v="13.6829"/>
    <n v="-89.197199999999995"/>
    <n v="4"/>
    <n v="0"/>
    <n v="0"/>
    <n v="107"/>
    <s v="_x0000_peopl"/>
  </r>
  <r>
    <x v="7"/>
    <n v="13.6829"/>
    <n v="-89.197199999999995"/>
    <n v="5"/>
    <n v="0"/>
    <n v="0"/>
    <n v="107"/>
    <s v="_x0000_peopl"/>
  </r>
  <r>
    <x v="7"/>
    <n v="13.6829"/>
    <n v="-89.197199999999995"/>
    <n v="4"/>
    <n v="0"/>
    <n v="0"/>
    <n v="107"/>
    <s v="_x0000_peopl"/>
  </r>
  <r>
    <x v="7"/>
    <n v="13.6829"/>
    <n v="-89.197199999999995"/>
    <n v="6"/>
    <n v="0"/>
    <n v="0"/>
    <n v="107"/>
    <s v="_x0000_peopl"/>
  </r>
  <r>
    <x v="7"/>
    <n v="13.6829"/>
    <n v="-89.197500000000005"/>
    <n v="5"/>
    <n v="0"/>
    <n v="0"/>
    <n v="107"/>
    <s v="_x0000_peopl"/>
  </r>
  <r>
    <x v="7"/>
    <n v="13.6829"/>
    <n v="-89.197500000000005"/>
    <n v="4"/>
    <n v="0"/>
    <n v="0"/>
    <n v="107"/>
    <s v="_x0000_peopl"/>
  </r>
  <r>
    <x v="7"/>
    <n v="13.6829"/>
    <n v="-89.197500000000005"/>
    <n v="7"/>
    <n v="0"/>
    <n v="0"/>
    <n v="107"/>
    <s v="_x0000_peopl"/>
  </r>
  <r>
    <x v="7"/>
    <n v="13.683"/>
    <n v="-89.197500000000005"/>
    <n v="11"/>
    <n v="0"/>
    <n v="0"/>
    <n v="107"/>
    <s v="_x0000_peopl"/>
  </r>
  <r>
    <x v="7"/>
    <n v="13.683"/>
    <n v="-89.197500000000005"/>
    <n v="7"/>
    <n v="0"/>
    <n v="0"/>
    <n v="107"/>
    <s v="_x0000_peopl"/>
  </r>
  <r>
    <x v="7"/>
    <n v="13.683"/>
    <n v="-89.197599999999994"/>
    <n v="5"/>
    <n v="0"/>
    <n v="0"/>
    <n v="107"/>
    <s v="_x0000_peopl"/>
  </r>
  <r>
    <x v="7"/>
    <n v="13.683"/>
    <n v="-89.197599999999994"/>
    <n v="4"/>
    <n v="0"/>
    <n v="0"/>
    <n v="107"/>
    <s v="_x0000_peopl"/>
  </r>
  <r>
    <x v="7"/>
    <n v="13.683"/>
    <n v="-89.197599999999994"/>
    <n v="5"/>
    <n v="0"/>
    <n v="0"/>
    <n v="107"/>
    <s v="_x0000_peopl"/>
  </r>
  <r>
    <x v="7"/>
    <n v="13.683"/>
    <n v="-89.197500000000005"/>
    <n v="9"/>
    <n v="0"/>
    <n v="0"/>
    <n v="107"/>
    <s v="_x0000_peopl"/>
  </r>
  <r>
    <x v="7"/>
    <n v="13.683"/>
    <n v="-89.197500000000005"/>
    <n v="4"/>
    <n v="0"/>
    <n v="0"/>
    <n v="107"/>
    <s v="_x0000_peopl"/>
  </r>
  <r>
    <x v="7"/>
    <n v="13.6831"/>
    <n v="-89.197699999999998"/>
    <n v="8"/>
    <n v="0"/>
    <n v="0"/>
    <n v="107"/>
    <s v="_x0000_peopl"/>
  </r>
  <r>
    <x v="7"/>
    <n v="13.6831"/>
    <n v="-89.197699999999998"/>
    <n v="4"/>
    <n v="0"/>
    <n v="0"/>
    <n v="107"/>
    <s v="_x0000_peopl"/>
  </r>
  <r>
    <x v="7"/>
    <n v="13.6831"/>
    <n v="-89.197699999999998"/>
    <n v="7"/>
    <n v="0"/>
    <n v="0"/>
    <n v="107"/>
    <s v="_x0000_peopl"/>
  </r>
  <r>
    <x v="7"/>
    <n v="13.683199999999999"/>
    <n v="-89.197699999999998"/>
    <n v="8"/>
    <n v="0"/>
    <n v="0"/>
    <n v="107"/>
    <s v="_x0000_peopl"/>
  </r>
  <r>
    <x v="7"/>
    <n v="13.683199999999999"/>
    <n v="-89.197699999999998"/>
    <n v="9"/>
    <n v="0"/>
    <n v="0"/>
    <n v="107"/>
    <s v="_x0000_peopl"/>
  </r>
  <r>
    <x v="7"/>
    <n v="13.683199999999999"/>
    <n v="-89.197699999999998"/>
    <n v="4"/>
    <n v="0"/>
    <n v="0"/>
    <n v="107"/>
    <s v="_x0000_peopl"/>
  </r>
  <r>
    <x v="7"/>
    <n v="13.683199999999999"/>
    <n v="-89.197699999999998"/>
    <n v="5"/>
    <n v="0"/>
    <n v="0"/>
    <n v="107"/>
    <s v="_x0000_peopl"/>
  </r>
  <r>
    <x v="7"/>
    <n v="13.683199999999999"/>
    <n v="-89.197699999999998"/>
    <n v="6"/>
    <n v="0"/>
    <n v="0"/>
    <n v="107"/>
    <s v="_x0000_peopl"/>
  </r>
  <r>
    <x v="7"/>
    <n v="13.683199999999999"/>
    <n v="-89.197699999999998"/>
    <n v="7"/>
    <n v="0"/>
    <n v="0"/>
    <n v="107"/>
    <s v="_x0000_peopl"/>
  </r>
  <r>
    <x v="7"/>
    <n v="13.683199999999999"/>
    <n v="-89.197800000000001"/>
    <n v="3"/>
    <n v="0"/>
    <n v="0"/>
    <n v="107"/>
    <s v="_x0000_peopl"/>
  </r>
  <r>
    <x v="7"/>
    <n v="13.6831"/>
    <n v="-89.197100000000006"/>
    <n v="1"/>
    <n v="0"/>
    <n v="0"/>
    <n v="107"/>
    <s v="_x0000_peopl"/>
  </r>
  <r>
    <x v="7"/>
    <n v="13.6831"/>
    <n v="-89.197100000000006"/>
    <n v="5"/>
    <n v="0"/>
    <n v="0"/>
    <n v="107"/>
    <s v="_x0000_peopl"/>
  </r>
  <r>
    <x v="7"/>
    <n v="13.683199999999999"/>
    <n v="-89.197199999999995"/>
    <n v="4"/>
    <n v="0"/>
    <n v="0"/>
    <n v="107"/>
    <s v="_x0000_peopl"/>
  </r>
  <r>
    <x v="7"/>
    <n v="13.683199999999999"/>
    <n v="-89.197199999999995"/>
    <n v="5"/>
    <n v="0"/>
    <n v="0"/>
    <n v="107"/>
    <s v="_x0000_peopl"/>
  </r>
  <r>
    <x v="7"/>
    <n v="13.683199999999999"/>
    <n v="-89.197199999999995"/>
    <n v="6"/>
    <n v="0"/>
    <n v="0"/>
    <n v="107"/>
    <s v="_x0000_peopl"/>
  </r>
  <r>
    <x v="7"/>
    <n v="13.683199999999999"/>
    <n v="-89.197100000000006"/>
    <n v="2"/>
    <n v="0"/>
    <n v="0"/>
    <n v="107"/>
    <s v="_x0000_peopl"/>
  </r>
  <r>
    <x v="7"/>
    <n v="13.683299999999999"/>
    <n v="-89.197100000000006"/>
    <n v="11"/>
    <n v="0"/>
    <n v="0"/>
    <n v="107"/>
    <s v="_x0000_peopl"/>
  </r>
  <r>
    <x v="7"/>
    <n v="13.683299999999999"/>
    <n v="-89.197100000000006"/>
    <n v="3"/>
    <n v="0"/>
    <n v="0"/>
    <n v="107"/>
    <s v="_x0000_peopl"/>
  </r>
  <r>
    <x v="7"/>
    <n v="13.6835"/>
    <n v="-89.197800000000001"/>
    <n v="6"/>
    <n v="0"/>
    <n v="0"/>
    <n v="107"/>
    <s v="_x0000_peopl"/>
  </r>
  <r>
    <x v="7"/>
    <n v="13.6835"/>
    <n v="-89.197800000000001"/>
    <n v="2"/>
    <n v="0"/>
    <n v="0"/>
    <n v="107"/>
    <s v="_x0000_peopl"/>
  </r>
  <r>
    <x v="7"/>
    <n v="13.6835"/>
    <n v="-89.197800000000001"/>
    <n v="4"/>
    <n v="0"/>
    <n v="0"/>
    <n v="107"/>
    <s v="_x0000_peopl"/>
  </r>
  <r>
    <x v="7"/>
    <n v="13.6835"/>
    <n v="-89.197800000000001"/>
    <n v="8"/>
    <n v="0"/>
    <n v="0"/>
    <n v="107"/>
    <s v="_x0000_peopl"/>
  </r>
  <r>
    <x v="7"/>
    <n v="13.6835"/>
    <n v="-89.197800000000001"/>
    <n v="1"/>
    <n v="0"/>
    <n v="0"/>
    <n v="107"/>
    <s v="_x0000_peopl"/>
  </r>
  <r>
    <x v="7"/>
    <n v="13.6835"/>
    <n v="-89.197699999999998"/>
    <n v="8"/>
    <n v="0"/>
    <n v="0"/>
    <n v="107"/>
    <s v="_x0000_peopl"/>
  </r>
  <r>
    <x v="7"/>
    <n v="13.6835"/>
    <n v="-89.197699999999998"/>
    <n v="5"/>
    <n v="0"/>
    <n v="0"/>
    <n v="107"/>
    <s v="_x0000_peopl"/>
  </r>
  <r>
    <x v="7"/>
    <n v="13.6835"/>
    <n v="-89.197699999999998"/>
    <n v="2"/>
    <n v="0"/>
    <n v="0"/>
    <n v="107"/>
    <s v="_x0000_peopl"/>
  </r>
  <r>
    <x v="7"/>
    <n v="13.6835"/>
    <n v="-89.197699999999998"/>
    <n v="9"/>
    <n v="0"/>
    <n v="0"/>
    <n v="107"/>
    <s v="_x0000_peopl"/>
  </r>
  <r>
    <x v="7"/>
    <n v="13.6835"/>
    <n v="-89.197699999999998"/>
    <n v="3"/>
    <n v="0"/>
    <n v="0"/>
    <n v="107"/>
    <s v="_x0000_peopl"/>
  </r>
  <r>
    <x v="7"/>
    <n v="13.6835"/>
    <n v="-89.197699999999998"/>
    <n v="8"/>
    <n v="0"/>
    <n v="0"/>
    <n v="107"/>
    <s v="_x0000_peopl"/>
  </r>
  <r>
    <x v="7"/>
    <n v="13.6836"/>
    <n v="-89.197699999999998"/>
    <n v="5"/>
    <n v="0"/>
    <n v="0"/>
    <n v="107"/>
    <s v="_x0000_peopl"/>
  </r>
  <r>
    <x v="7"/>
    <n v="13.6836"/>
    <n v="-89.197699999999998"/>
    <n v="6"/>
    <n v="0"/>
    <n v="0"/>
    <n v="107"/>
    <s v="_x0000_peopl"/>
  </r>
  <r>
    <x v="7"/>
    <n v="13.6836"/>
    <n v="-89.197699999999998"/>
    <n v="8"/>
    <n v="0"/>
    <n v="0"/>
    <n v="107"/>
    <s v="_x0000_peopl"/>
  </r>
  <r>
    <x v="7"/>
    <n v="13.6836"/>
    <n v="-89.197599999999994"/>
    <n v="4"/>
    <n v="0"/>
    <n v="0"/>
    <n v="107"/>
    <s v="_x0000_peopl"/>
  </r>
  <r>
    <x v="7"/>
    <n v="13.6836"/>
    <n v="-89.197599999999994"/>
    <n v="7"/>
    <n v="0"/>
    <n v="0"/>
    <n v="107"/>
    <s v="_x0000_peopl"/>
  </r>
  <r>
    <x v="7"/>
    <n v="13.6836"/>
    <n v="-89.197500000000005"/>
    <n v="4"/>
    <n v="0"/>
    <n v="0"/>
    <n v="107"/>
    <s v="_x0000_peopl"/>
  </r>
  <r>
    <x v="7"/>
    <n v="13.6836"/>
    <n v="-89.197500000000005"/>
    <n v="5"/>
    <n v="0"/>
    <n v="0"/>
    <n v="107"/>
    <s v="_x0000_peopl"/>
  </r>
  <r>
    <x v="7"/>
    <n v="13.6836"/>
    <n v="-89.197500000000005"/>
    <n v="7"/>
    <n v="0"/>
    <n v="0"/>
    <n v="107"/>
    <s v="_x0000_peopl"/>
  </r>
  <r>
    <x v="7"/>
    <n v="13.6837"/>
    <n v="-89.197500000000005"/>
    <n v="4"/>
    <n v="0"/>
    <n v="0"/>
    <n v="107"/>
    <s v="_x0000_peopl"/>
  </r>
  <r>
    <x v="7"/>
    <n v="13.6837"/>
    <n v="-89.197500000000005"/>
    <n v="5"/>
    <n v="0"/>
    <n v="0"/>
    <n v="107"/>
    <s v="_x0000_peopl"/>
  </r>
  <r>
    <x v="7"/>
    <n v="13.6837"/>
    <n v="-89.197500000000005"/>
    <n v="8"/>
    <n v="0"/>
    <n v="0"/>
    <n v="107"/>
    <s v="_x0000_peopl"/>
  </r>
  <r>
    <x v="7"/>
    <n v="13.6837"/>
    <n v="-89.197599999999994"/>
    <n v="7"/>
    <n v="0"/>
    <n v="0"/>
    <n v="107"/>
    <s v="_x0000_peopl"/>
  </r>
  <r>
    <x v="7"/>
    <n v="13.6837"/>
    <n v="-89.197599999999994"/>
    <n v="0"/>
    <n v="0"/>
    <n v="0"/>
    <n v="107"/>
    <s v="_x0000_peopl"/>
  </r>
  <r>
    <x v="7"/>
    <n v="13.6837"/>
    <n v="-89.197599999999994"/>
    <n v="6"/>
    <n v="0"/>
    <n v="0"/>
    <n v="107"/>
    <s v="_x0000_peopl"/>
  </r>
  <r>
    <x v="7"/>
    <n v="13.683400000000001"/>
    <n v="-89.197800000000001"/>
    <n v="3"/>
    <n v="0"/>
    <n v="0"/>
    <n v="107"/>
    <s v="_x0000_peopl"/>
  </r>
  <r>
    <x v="7"/>
    <n v="13.683400000000001"/>
    <n v="-89.197800000000001"/>
    <n v="5"/>
    <n v="0"/>
    <n v="0"/>
    <n v="107"/>
    <s v="_x0000_peopl"/>
  </r>
  <r>
    <x v="7"/>
    <n v="13.683400000000001"/>
    <n v="-89.197800000000001"/>
    <n v="3"/>
    <n v="0"/>
    <n v="0"/>
    <n v="107"/>
    <s v="_x0000_peopl"/>
  </r>
  <r>
    <x v="7"/>
    <n v="13.683400000000001"/>
    <n v="-89.197800000000001"/>
    <n v="5"/>
    <n v="0"/>
    <n v="0"/>
    <n v="107"/>
    <s v="_x0000_peopl"/>
  </r>
  <r>
    <x v="7"/>
    <n v="13.683400000000001"/>
    <n v="-89.197800000000001"/>
    <n v="10"/>
    <n v="0"/>
    <n v="0"/>
    <n v="107"/>
    <s v="_x0000_peopl"/>
  </r>
  <r>
    <x v="7"/>
    <n v="13.683400000000001"/>
    <n v="-89.197900000000004"/>
    <n v="1"/>
    <n v="0"/>
    <n v="0"/>
    <n v="107"/>
    <s v="_x0000_peopl"/>
  </r>
  <r>
    <x v="7"/>
    <n v="13.683400000000001"/>
    <n v="-89.197900000000004"/>
    <n v="5"/>
    <n v="0"/>
    <n v="0"/>
    <n v="107"/>
    <s v="_x0000_peopl"/>
  </r>
  <r>
    <x v="7"/>
    <n v="13.683400000000001"/>
    <n v="-89.197900000000004"/>
    <n v="9"/>
    <n v="0"/>
    <n v="0"/>
    <n v="107"/>
    <s v="_x0000_peopl"/>
  </r>
  <r>
    <x v="7"/>
    <n v="13.683400000000001"/>
    <n v="-89.197900000000004"/>
    <n v="5"/>
    <n v="0"/>
    <n v="0"/>
    <n v="107"/>
    <s v="_x0000_peopl"/>
  </r>
  <r>
    <x v="7"/>
    <n v="13.683400000000001"/>
    <n v="-89.197999999999993"/>
    <n v="2"/>
    <n v="0"/>
    <n v="0"/>
    <n v="107"/>
    <s v="_x0000_peopl"/>
  </r>
  <r>
    <x v="7"/>
    <n v="13.683400000000001"/>
    <n v="-89.197999999999993"/>
    <n v="7"/>
    <n v="0"/>
    <n v="0"/>
    <n v="107"/>
    <s v="_x0000_peopl"/>
  </r>
  <r>
    <x v="7"/>
    <n v="13.683400000000001"/>
    <n v="-89.197999999999993"/>
    <n v="4"/>
    <n v="0"/>
    <n v="0"/>
    <n v="107"/>
    <s v="_x0000_peopl"/>
  </r>
  <r>
    <x v="7"/>
    <n v="13.683400000000001"/>
    <n v="-89.197999999999993"/>
    <n v="3"/>
    <n v="0"/>
    <n v="0"/>
    <n v="107"/>
    <s v="_x0000_peopl"/>
  </r>
  <r>
    <x v="7"/>
    <n v="13.683299999999999"/>
    <n v="-89.197900000000004"/>
    <n v="6"/>
    <n v="0"/>
    <n v="0"/>
    <n v="107"/>
    <s v="_x0000_peopl"/>
  </r>
  <r>
    <x v="7"/>
    <n v="13.683299999999999"/>
    <n v="-89.197900000000004"/>
    <n v="4"/>
    <n v="0"/>
    <n v="0"/>
    <n v="107"/>
    <s v="_x0000_peopl"/>
  </r>
  <r>
    <x v="7"/>
    <n v="13.683299999999999"/>
    <n v="-89.197900000000004"/>
    <n v="6"/>
    <n v="0"/>
    <n v="0"/>
    <n v="107"/>
    <s v="_x0000_peopl"/>
  </r>
  <r>
    <x v="7"/>
    <n v="13.683299999999999"/>
    <n v="-89.197900000000004"/>
    <n v="6"/>
    <n v="0"/>
    <n v="0"/>
    <n v="107"/>
    <s v="_x0000_peopl"/>
  </r>
  <r>
    <x v="7"/>
    <n v="13.683299999999999"/>
    <n v="-89.197900000000004"/>
    <n v="7"/>
    <n v="0"/>
    <n v="0"/>
    <n v="107"/>
    <s v="_x0000_peopl"/>
  </r>
  <r>
    <x v="7"/>
    <n v="13.683299999999999"/>
    <n v="-89.197900000000004"/>
    <n v="10"/>
    <n v="0"/>
    <n v="0"/>
    <n v="107"/>
    <s v="_x0000_peopl"/>
  </r>
  <r>
    <x v="7"/>
    <n v="13.683299999999999"/>
    <n v="-89.197900000000004"/>
    <n v="8"/>
    <n v="0"/>
    <n v="0"/>
    <n v="107"/>
    <s v="_x0000_peopl"/>
  </r>
  <r>
    <x v="7"/>
    <n v="13.683299999999999"/>
    <n v="-89.197900000000004"/>
    <n v="4"/>
    <n v="0"/>
    <n v="0"/>
    <n v="107"/>
    <s v="_x0000_peopl"/>
  </r>
  <r>
    <x v="7"/>
    <n v="13.683299999999999"/>
    <n v="-89.197900000000004"/>
    <n v="6"/>
    <n v="0"/>
    <n v="0"/>
    <n v="107"/>
    <s v="_x0000_peopl"/>
  </r>
  <r>
    <x v="7"/>
    <n v="13.683299999999999"/>
    <n v="-89.197900000000004"/>
    <n v="4"/>
    <n v="0"/>
    <n v="0"/>
    <n v="107"/>
    <s v="_x0000_peopl"/>
  </r>
  <r>
    <x v="7"/>
    <n v="13.683299999999999"/>
    <n v="-89.198099999999997"/>
    <n v="8"/>
    <n v="0"/>
    <n v="0"/>
    <n v="107"/>
    <s v="_x0000_peopl"/>
  </r>
  <r>
    <x v="7"/>
    <n v="13.683299999999999"/>
    <n v="-89.198099999999997"/>
    <n v="8"/>
    <n v="0"/>
    <n v="0"/>
    <n v="107"/>
    <s v="_x0000_peopl"/>
  </r>
  <r>
    <x v="7"/>
    <n v="13.683299999999999"/>
    <n v="-89.198099999999997"/>
    <n v="5"/>
    <n v="0"/>
    <n v="0"/>
    <n v="107"/>
    <s v="_x0000_peopl"/>
  </r>
  <r>
    <x v="7"/>
    <n v="13.683299999999999"/>
    <n v="-89.198099999999997"/>
    <n v="3"/>
    <n v="0"/>
    <n v="0"/>
    <n v="107"/>
    <s v="_x0000_peopl"/>
  </r>
  <r>
    <x v="7"/>
    <n v="13.683199999999999"/>
    <n v="-89.1982"/>
    <n v="2"/>
    <n v="0"/>
    <n v="0"/>
    <n v="107"/>
    <s v="_x0000_peopl"/>
  </r>
  <r>
    <x v="7"/>
    <n v="13.683199999999999"/>
    <n v="-89.1982"/>
    <n v="7"/>
    <n v="0"/>
    <n v="0"/>
    <n v="107"/>
    <s v="_x0000_peopl"/>
  </r>
  <r>
    <x v="7"/>
    <n v="13.683199999999999"/>
    <n v="-89.1982"/>
    <n v="5"/>
    <n v="0"/>
    <n v="0"/>
    <n v="107"/>
    <s v="_x0000_peopl"/>
  </r>
  <r>
    <x v="7"/>
    <n v="13.683199999999999"/>
    <n v="-89.1982"/>
    <n v="4"/>
    <n v="0"/>
    <n v="0"/>
    <n v="107"/>
    <s v="_x0000_peopl"/>
  </r>
  <r>
    <x v="7"/>
    <n v="13.683199999999999"/>
    <n v="-89.198099999999997"/>
    <n v="7"/>
    <n v="0"/>
    <n v="0"/>
    <n v="107"/>
    <s v="_x0000_peopl"/>
  </r>
  <r>
    <x v="7"/>
    <n v="13.683199999999999"/>
    <n v="-89.198099999999997"/>
    <n v="3"/>
    <n v="0"/>
    <n v="0"/>
    <n v="107"/>
    <s v="_x0000_peopl"/>
  </r>
  <r>
    <x v="7"/>
    <n v="13.683199999999999"/>
    <n v="-89.198099999999997"/>
    <n v="7"/>
    <n v="0"/>
    <n v="0"/>
    <n v="107"/>
    <s v="_x0000_peopl"/>
  </r>
  <r>
    <x v="7"/>
    <n v="13.683199999999999"/>
    <n v="-89.198099999999997"/>
    <n v="6"/>
    <n v="0"/>
    <n v="0"/>
    <n v="107"/>
    <s v="_x0000_peopl"/>
  </r>
  <r>
    <x v="7"/>
    <n v="13.683199999999999"/>
    <n v="-89.197999999999993"/>
    <n v="6"/>
    <n v="0"/>
    <n v="0"/>
    <n v="107"/>
    <s v="_x0000_peopl"/>
  </r>
  <r>
    <x v="7"/>
    <n v="13.683199999999999"/>
    <n v="-89.197999999999993"/>
    <n v="7"/>
    <n v="0"/>
    <n v="0"/>
    <n v="107"/>
    <s v="_x0000_peopl"/>
  </r>
  <r>
    <x v="7"/>
    <n v="13.683199999999999"/>
    <n v="-89.197999999999993"/>
    <n v="2"/>
    <n v="0"/>
    <n v="0"/>
    <n v="107"/>
    <s v="_x0000_peopl"/>
  </r>
  <r>
    <x v="7"/>
    <n v="13.683199999999999"/>
    <n v="-89.197999999999993"/>
    <n v="7"/>
    <n v="0"/>
    <n v="0"/>
    <n v="107"/>
    <s v="_x0000_peopl"/>
  </r>
  <r>
    <x v="7"/>
    <n v="13.683"/>
    <n v="-89.197900000000004"/>
    <n v="4"/>
    <n v="0"/>
    <n v="0"/>
    <n v="107"/>
    <s v="_x0000_peopl"/>
  </r>
  <r>
    <x v="7"/>
    <n v="13.683"/>
    <n v="-89.197900000000004"/>
    <n v="4"/>
    <n v="0"/>
    <n v="0"/>
    <n v="107"/>
    <s v="_x0000_peopl"/>
  </r>
  <r>
    <x v="7"/>
    <n v="13.683"/>
    <n v="-89.197900000000004"/>
    <n v="6"/>
    <n v="0"/>
    <n v="0"/>
    <n v="107"/>
    <s v="_x0000_peopl"/>
  </r>
  <r>
    <x v="7"/>
    <n v="13.6829"/>
    <n v="-89.197999999999993"/>
    <n v="6"/>
    <n v="0"/>
    <n v="0"/>
    <n v="107"/>
    <s v="_x0000_peopl"/>
  </r>
  <r>
    <x v="7"/>
    <n v="13.6829"/>
    <n v="-89.197999999999993"/>
    <n v="4"/>
    <n v="0"/>
    <n v="0"/>
    <n v="107"/>
    <s v="_x0000_peopl"/>
  </r>
  <r>
    <x v="7"/>
    <n v="13.6829"/>
    <n v="-89.197800000000001"/>
    <n v="3"/>
    <n v="0"/>
    <n v="0"/>
    <n v="107"/>
    <s v="_x0000_peopl"/>
  </r>
  <r>
    <x v="7"/>
    <n v="13.6829"/>
    <n v="-89.197800000000001"/>
    <n v="2"/>
    <n v="0"/>
    <n v="0"/>
    <n v="107"/>
    <s v="_x0000_peopl"/>
  </r>
  <r>
    <x v="7"/>
    <n v="13.6829"/>
    <n v="-89.197900000000004"/>
    <n v="5"/>
    <n v="0"/>
    <n v="0"/>
    <n v="107"/>
    <s v="_x0000_peopl"/>
  </r>
  <r>
    <x v="7"/>
    <n v="13.6829"/>
    <n v="-89.197900000000004"/>
    <n v="6"/>
    <n v="0"/>
    <n v="0"/>
    <n v="107"/>
    <s v="_x0000_peopl"/>
  </r>
  <r>
    <x v="7"/>
    <n v="13.6829"/>
    <n v="-89.197900000000004"/>
    <n v="0"/>
    <n v="0"/>
    <n v="0"/>
    <n v="107"/>
    <s v="_x0000_peopl"/>
  </r>
  <r>
    <x v="7"/>
    <n v="13.682700000000001"/>
    <n v="-89.197800000000001"/>
    <n v="5"/>
    <n v="0"/>
    <n v="0"/>
    <n v="107"/>
    <s v="_x0000_peopl"/>
  </r>
  <r>
    <x v="7"/>
    <n v="13.682700000000001"/>
    <n v="-89.197800000000001"/>
    <n v="6"/>
    <n v="0"/>
    <n v="0"/>
    <n v="107"/>
    <s v="_x0000_peopl"/>
  </r>
  <r>
    <x v="7"/>
    <n v="13.682700000000001"/>
    <n v="-89.197800000000001"/>
    <n v="2"/>
    <n v="0"/>
    <n v="0"/>
    <n v="107"/>
    <s v="_x0000_peopl"/>
  </r>
  <r>
    <x v="7"/>
    <n v="13.682600000000001"/>
    <n v="-89.197900000000004"/>
    <n v="7"/>
    <n v="0"/>
    <n v="0"/>
    <n v="107"/>
    <s v="_x0000_peopl"/>
  </r>
  <r>
    <x v="7"/>
    <n v="13.682600000000001"/>
    <n v="-89.197900000000004"/>
    <n v="4"/>
    <n v="0"/>
    <n v="0"/>
    <n v="107"/>
    <s v="_x0000_peopl"/>
  </r>
  <r>
    <x v="7"/>
    <n v="13.682600000000001"/>
    <n v="-89.197900000000004"/>
    <n v="7"/>
    <n v="0"/>
    <n v="0"/>
    <n v="107"/>
    <s v="_x0000_peopl"/>
  </r>
  <r>
    <x v="7"/>
    <n v="13.682600000000001"/>
    <n v="-89.197800000000001"/>
    <n v="7"/>
    <n v="0"/>
    <n v="0"/>
    <n v="107"/>
    <s v="_x0000_peopl"/>
  </r>
  <r>
    <x v="7"/>
    <n v="13.682600000000001"/>
    <n v="-89.197800000000001"/>
    <n v="6"/>
    <n v="0"/>
    <n v="0"/>
    <n v="107"/>
    <s v="_x0000_peopl"/>
  </r>
  <r>
    <x v="7"/>
    <n v="13.682499999999999"/>
    <n v="-89.197800000000001"/>
    <n v="4"/>
    <n v="0"/>
    <n v="0"/>
    <n v="107"/>
    <s v="_x0000_peopl"/>
  </r>
  <r>
    <x v="7"/>
    <n v="13.682499999999999"/>
    <n v="-89.197800000000001"/>
    <n v="8"/>
    <n v="0"/>
    <n v="0"/>
    <n v="107"/>
    <s v="_x0000_peopl"/>
  </r>
  <r>
    <x v="7"/>
    <n v="13.682499999999999"/>
    <n v="-89.197599999999994"/>
    <n v="4"/>
    <n v="0"/>
    <n v="0"/>
    <n v="107"/>
    <s v="_x0000_peopl"/>
  </r>
  <r>
    <x v="7"/>
    <n v="13.682499999999999"/>
    <n v="-89.197599999999994"/>
    <n v="5"/>
    <n v="0"/>
    <n v="0"/>
    <n v="107"/>
    <s v="_x0000_peopl"/>
  </r>
  <r>
    <x v="7"/>
    <n v="13.682499999999999"/>
    <n v="-89.197599999999994"/>
    <n v="8"/>
    <n v="0"/>
    <n v="0"/>
    <n v="107"/>
    <s v="_x0000_peopl"/>
  </r>
  <r>
    <x v="7"/>
    <n v="13.682499999999999"/>
    <n v="-89.197699999999998"/>
    <n v="7"/>
    <n v="0"/>
    <n v="0"/>
    <n v="107"/>
    <s v="_x0000_peopl"/>
  </r>
  <r>
    <x v="7"/>
    <n v="13.682499999999999"/>
    <n v="-89.197699999999998"/>
    <n v="4"/>
    <n v="0"/>
    <n v="0"/>
    <n v="107"/>
    <s v="_x0000_peopl"/>
  </r>
  <r>
    <x v="7"/>
    <n v="13.682499999999999"/>
    <n v="-89.197599999999994"/>
    <n v="6"/>
    <n v="0"/>
    <n v="0"/>
    <n v="107"/>
    <s v="_x0000_peopl"/>
  </r>
  <r>
    <x v="7"/>
    <n v="13.682499999999999"/>
    <n v="-89.197599999999994"/>
    <n v="5"/>
    <n v="0"/>
    <n v="0"/>
    <n v="107"/>
    <s v="_x0000_peopl"/>
  </r>
  <r>
    <x v="7"/>
    <n v="13.682499999999999"/>
    <n v="-89.197599999999994"/>
    <n v="5"/>
    <n v="0"/>
    <n v="0"/>
    <n v="107"/>
    <s v="_x0000_peopl"/>
  </r>
  <r>
    <x v="7"/>
    <n v="13.682399999999999"/>
    <n v="-89.197599999999994"/>
    <n v="2"/>
    <n v="0"/>
    <n v="0"/>
    <n v="107"/>
    <s v="_x0000_peopl"/>
  </r>
  <r>
    <x v="7"/>
    <n v="13.682399999999999"/>
    <n v="-89.197599999999994"/>
    <n v="7"/>
    <n v="0"/>
    <n v="0"/>
    <n v="107"/>
    <s v="_x0000_peopl"/>
  </r>
  <r>
    <x v="7"/>
    <n v="13.682399999999999"/>
    <n v="-89.197599999999994"/>
    <n v="4"/>
    <n v="0"/>
    <n v="0"/>
    <n v="107"/>
    <s v="_x0000_peopl"/>
  </r>
  <r>
    <x v="7"/>
    <n v="13.682499999999999"/>
    <n v="-89.197400000000002"/>
    <n v="4"/>
    <n v="0"/>
    <n v="0"/>
    <n v="107"/>
    <s v="_x0000_peopl"/>
  </r>
  <r>
    <x v="7"/>
    <n v="13.682499999999999"/>
    <n v="-89.197400000000002"/>
    <n v="2"/>
    <n v="0"/>
    <n v="0"/>
    <n v="107"/>
    <s v="_x0000_peopl"/>
  </r>
  <r>
    <x v="7"/>
    <n v="13.682499999999999"/>
    <n v="-89.197400000000002"/>
    <n v="5"/>
    <n v="0"/>
    <n v="0"/>
    <n v="107"/>
    <s v="_x0000_peopl"/>
  </r>
  <r>
    <x v="7"/>
    <n v="13.682600000000001"/>
    <n v="-89.197400000000002"/>
    <n v="5"/>
    <n v="0"/>
    <n v="0"/>
    <n v="107"/>
    <s v="_x0000_peopl"/>
  </r>
  <r>
    <x v="7"/>
    <n v="13.682600000000001"/>
    <n v="-89.197400000000002"/>
    <n v="4"/>
    <n v="0"/>
    <n v="0"/>
    <n v="107"/>
    <s v="_x0000_peopl"/>
  </r>
  <r>
    <x v="7"/>
    <n v="13.682600000000001"/>
    <n v="-89.197400000000002"/>
    <n v="8"/>
    <n v="0"/>
    <n v="0"/>
    <n v="107"/>
    <s v="_x0000_peopl"/>
  </r>
  <r>
    <x v="7"/>
    <n v="13.682600000000001"/>
    <n v="-89.197299999999998"/>
    <n v="6"/>
    <n v="0"/>
    <n v="0"/>
    <n v="107"/>
    <s v="_x0000_peopl"/>
  </r>
  <r>
    <x v="7"/>
    <n v="13.682600000000001"/>
    <n v="-89.197299999999998"/>
    <n v="2"/>
    <n v="0"/>
    <n v="0"/>
    <n v="107"/>
    <s v="_x0000_peopl"/>
  </r>
  <r>
    <x v="7"/>
    <n v="13.682600000000001"/>
    <n v="-89.197400000000002"/>
    <n v="6"/>
    <n v="0"/>
    <n v="0"/>
    <n v="107"/>
    <s v="_x0000_peopl"/>
  </r>
  <r>
    <x v="7"/>
    <n v="13.682600000000001"/>
    <n v="-89.197400000000002"/>
    <n v="5"/>
    <n v="0"/>
    <n v="0"/>
    <n v="107"/>
    <s v="_x0000_peopl"/>
  </r>
  <r>
    <x v="7"/>
    <n v="13.683400000000001"/>
    <n v="-89.196700000000007"/>
    <n v="6"/>
    <n v="0"/>
    <n v="0"/>
    <n v="107"/>
    <s v="_x0000_peopl"/>
  </r>
  <r>
    <x v="7"/>
    <n v="13.6835"/>
    <n v="-89.196700000000007"/>
    <n v="5"/>
    <n v="0"/>
    <n v="0"/>
    <n v="107"/>
    <s v="_x0000_peopl"/>
  </r>
  <r>
    <x v="7"/>
    <n v="13.6835"/>
    <n v="-89.196700000000007"/>
    <n v="5"/>
    <n v="0"/>
    <n v="0"/>
    <n v="107"/>
    <s v="_x0000_peopl"/>
  </r>
  <r>
    <x v="7"/>
    <n v="13.6835"/>
    <n v="-89.197000000000003"/>
    <n v="2"/>
    <n v="0"/>
    <n v="0"/>
    <n v="107"/>
    <s v="_x0000_peopl"/>
  </r>
  <r>
    <x v="7"/>
    <n v="13.6835"/>
    <n v="-89.197000000000003"/>
    <n v="5"/>
    <n v="0"/>
    <n v="0"/>
    <n v="107"/>
    <s v="_x0000_peopl"/>
  </r>
  <r>
    <x v="7"/>
    <n v="13.6835"/>
    <n v="-89.197000000000003"/>
    <n v="4"/>
    <n v="0"/>
    <n v="0"/>
    <n v="107"/>
    <s v="_x0000_peopl"/>
  </r>
  <r>
    <x v="7"/>
    <n v="13.683400000000001"/>
    <n v="-89.197100000000006"/>
    <n v="5"/>
    <n v="0"/>
    <n v="0"/>
    <n v="107"/>
    <s v="_x0000_peopl"/>
  </r>
  <r>
    <x v="7"/>
    <n v="13.683400000000001"/>
    <n v="-89.197100000000006"/>
    <n v="6"/>
    <n v="0"/>
    <n v="0"/>
    <n v="107"/>
    <s v="_x0000_peopl"/>
  </r>
  <r>
    <x v="7"/>
    <n v="13.683400000000001"/>
    <n v="-89.197100000000006"/>
    <n v="1"/>
    <n v="0"/>
    <n v="0"/>
    <n v="107"/>
    <s v="_x0000_peopl"/>
  </r>
  <r>
    <x v="7"/>
    <n v="13.6836"/>
    <n v="-89.197100000000006"/>
    <n v="4"/>
    <n v="0"/>
    <n v="0"/>
    <n v="107"/>
    <s v="_x0000_peopl"/>
  </r>
  <r>
    <x v="7"/>
    <n v="13.6836"/>
    <n v="-89.197100000000006"/>
    <n v="4"/>
    <n v="0"/>
    <n v="0"/>
    <n v="107"/>
    <s v="_x0000_peopl"/>
  </r>
  <r>
    <x v="7"/>
    <n v="13.6836"/>
    <n v="-89.197100000000006"/>
    <n v="3"/>
    <n v="0"/>
    <n v="0"/>
    <n v="107"/>
    <s v="_x0000_peopl"/>
  </r>
  <r>
    <x v="7"/>
    <n v="13.6835"/>
    <n v="-89.197199999999995"/>
    <n v="6"/>
    <n v="0"/>
    <n v="0"/>
    <n v="107"/>
    <s v="_x0000_peopl"/>
  </r>
  <r>
    <x v="7"/>
    <n v="13.6835"/>
    <n v="-89.197199999999995"/>
    <n v="3"/>
    <n v="0"/>
    <n v="0"/>
    <n v="107"/>
    <s v="_x0000_peopl"/>
  </r>
  <r>
    <x v="7"/>
    <n v="13.6835"/>
    <n v="-89.197199999999995"/>
    <n v="5"/>
    <n v="0"/>
    <n v="0"/>
    <n v="107"/>
    <s v="_x0000_peopl"/>
  </r>
  <r>
    <x v="7"/>
    <n v="13.6837"/>
    <n v="-89.196600000000004"/>
    <n v="3"/>
    <n v="0"/>
    <n v="0"/>
    <n v="107"/>
    <s v="_x0000_peopl"/>
  </r>
  <r>
    <x v="7"/>
    <n v="13.6836"/>
    <n v="-89.196600000000004"/>
    <n v="3"/>
    <n v="0"/>
    <n v="0"/>
    <n v="107"/>
    <s v="_x0000_peopl"/>
  </r>
  <r>
    <x v="7"/>
    <n v="13.683199999999999"/>
    <n v="-89.196700000000007"/>
    <n v="6"/>
    <n v="0"/>
    <n v="0"/>
    <n v="107"/>
    <s v="_x0000_peopl"/>
  </r>
  <r>
    <x v="7"/>
    <n v="13.6858"/>
    <n v="-89.193600000000004"/>
    <n v="5"/>
    <n v="0"/>
    <n v="0"/>
    <n v="107"/>
    <s v="_x0000_peopl"/>
  </r>
  <r>
    <x v="7"/>
    <n v="13.6858"/>
    <n v="-89.193600000000004"/>
    <n v="3"/>
    <n v="0"/>
    <n v="0"/>
    <n v="107"/>
    <s v="_x0000_peopl"/>
  </r>
  <r>
    <x v="7"/>
    <n v="13.685700000000001"/>
    <n v="-89.1935"/>
    <n v="6"/>
    <n v="0"/>
    <n v="0"/>
    <n v="107"/>
    <s v="_x0000_peopl"/>
  </r>
  <r>
    <x v="7"/>
    <n v="13.685700000000001"/>
    <n v="-89.1935"/>
    <n v="3"/>
    <n v="0"/>
    <n v="0"/>
    <n v="107"/>
    <s v="_x0000_peopl"/>
  </r>
  <r>
    <x v="7"/>
    <n v="13.6858"/>
    <n v="-89.1935"/>
    <n v="4"/>
    <n v="0"/>
    <n v="0"/>
    <n v="107"/>
    <s v="_x0000_peopl"/>
  </r>
  <r>
    <x v="7"/>
    <n v="13.6858"/>
    <n v="-89.1935"/>
    <n v="8"/>
    <n v="0"/>
    <n v="0"/>
    <n v="107"/>
    <s v="_x0000_peopl"/>
  </r>
  <r>
    <x v="7"/>
    <n v="13.6858"/>
    <n v="-89.1935"/>
    <n v="4"/>
    <n v="0"/>
    <n v="0"/>
    <n v="107"/>
    <s v="_x0000_peopl"/>
  </r>
  <r>
    <x v="7"/>
    <n v="13.6859"/>
    <n v="-89.193799999999996"/>
    <n v="6"/>
    <n v="0"/>
    <n v="0"/>
    <n v="107"/>
    <s v="_x0000_peopl"/>
  </r>
  <r>
    <x v="7"/>
    <n v="13.686"/>
    <n v="-89.193399999999997"/>
    <n v="9"/>
    <n v="0"/>
    <n v="0"/>
    <n v="107"/>
    <s v="_x0000_peopl"/>
  </r>
  <r>
    <x v="7"/>
    <n v="13.686"/>
    <n v="-89.193299999999994"/>
    <n v="5"/>
    <n v="0"/>
    <n v="0"/>
    <n v="107"/>
    <s v="_x0000_peopl"/>
  </r>
  <r>
    <x v="7"/>
    <n v="13.6859"/>
    <n v="-89.193399999999997"/>
    <n v="7"/>
    <n v="0"/>
    <n v="0"/>
    <n v="107"/>
    <s v="_x0000_peopl"/>
  </r>
  <r>
    <x v="7"/>
    <n v="13.6858"/>
    <n v="-89.193399999999997"/>
    <n v="2"/>
    <n v="0"/>
    <n v="0"/>
    <n v="107"/>
    <s v="_x0000_peopl"/>
  </r>
  <r>
    <x v="7"/>
    <n v="13.685700000000001"/>
    <n v="-89.194900000000004"/>
    <n v="7"/>
    <n v="0"/>
    <n v="0"/>
    <n v="107"/>
    <s v="_x0000_peopl"/>
  </r>
  <r>
    <x v="7"/>
    <n v="13.685700000000001"/>
    <n v="-89.194800000000001"/>
    <n v="4"/>
    <n v="0"/>
    <n v="0"/>
    <n v="107"/>
    <s v="_x0000_peopl"/>
  </r>
  <r>
    <x v="7"/>
    <n v="13.685700000000001"/>
    <n v="-89.194800000000001"/>
    <n v="3"/>
    <n v="0"/>
    <n v="0"/>
    <n v="107"/>
    <s v="_x0000_peopl"/>
  </r>
  <r>
    <x v="7"/>
    <n v="13.685700000000001"/>
    <n v="-89.194800000000001"/>
    <n v="6"/>
    <n v="0"/>
    <n v="0"/>
    <n v="107"/>
    <s v="_x0000_peopl"/>
  </r>
  <r>
    <x v="7"/>
    <n v="13.685700000000001"/>
    <n v="-89.194800000000001"/>
    <n v="7"/>
    <n v="0"/>
    <n v="0"/>
    <n v="107"/>
    <s v="_x0000_peopl"/>
  </r>
  <r>
    <x v="7"/>
    <n v="13.685700000000001"/>
    <n v="-89.194699999999997"/>
    <n v="3"/>
    <n v="0"/>
    <n v="0"/>
    <n v="107"/>
    <s v="_x0000_peopl"/>
  </r>
  <r>
    <x v="7"/>
    <n v="13.685700000000001"/>
    <n v="-89.194699999999997"/>
    <n v="5"/>
    <n v="0"/>
    <n v="0"/>
    <n v="107"/>
    <s v="_x0000_peopl"/>
  </r>
  <r>
    <x v="7"/>
    <n v="13.685700000000001"/>
    <n v="-89.194599999999994"/>
    <n v="7"/>
    <n v="0"/>
    <n v="0"/>
    <n v="107"/>
    <s v="_x0000_peopl"/>
  </r>
  <r>
    <x v="7"/>
    <n v="13.685700000000001"/>
    <n v="-89.194599999999994"/>
    <n v="1"/>
    <n v="0"/>
    <n v="0"/>
    <n v="107"/>
    <s v="_x0000_peopl"/>
  </r>
  <r>
    <x v="7"/>
    <n v="13.685700000000001"/>
    <n v="-89.194699999999997"/>
    <n v="7"/>
    <n v="0"/>
    <n v="0"/>
    <n v="107"/>
    <s v="_x0000_peopl"/>
  </r>
  <r>
    <x v="7"/>
    <n v="13.685700000000001"/>
    <n v="-89.194599999999994"/>
    <n v="0"/>
    <n v="0"/>
    <n v="0"/>
    <n v="107"/>
    <s v="_x0000_peopl"/>
  </r>
  <r>
    <x v="7"/>
    <n v="13.685700000000001"/>
    <n v="-89.194599999999994"/>
    <n v="7"/>
    <n v="0"/>
    <n v="0"/>
    <n v="107"/>
    <s v="_x0000_peopl"/>
  </r>
  <r>
    <x v="7"/>
    <n v="13.685700000000001"/>
    <n v="-89.194500000000005"/>
    <n v="4"/>
    <n v="0"/>
    <n v="0"/>
    <n v="107"/>
    <s v="_x0000_peopl"/>
  </r>
  <r>
    <x v="7"/>
    <n v="13.685700000000001"/>
    <n v="-89.194500000000005"/>
    <n v="7"/>
    <n v="0"/>
    <n v="0"/>
    <n v="107"/>
    <s v="_x0000_peopl"/>
  </r>
  <r>
    <x v="7"/>
    <n v="13.685600000000001"/>
    <n v="-89.194800000000001"/>
    <n v="2"/>
    <n v="0"/>
    <n v="0"/>
    <n v="107"/>
    <s v="_x0000_peopl"/>
  </r>
  <r>
    <x v="7"/>
    <n v="13.685600000000001"/>
    <n v="-89.194800000000001"/>
    <n v="5"/>
    <n v="0"/>
    <n v="0"/>
    <n v="107"/>
    <s v="_x0000_peopl"/>
  </r>
  <r>
    <x v="7"/>
    <n v="13.685600000000001"/>
    <n v="-89.194800000000001"/>
    <n v="4"/>
    <n v="0"/>
    <n v="0"/>
    <n v="107"/>
    <s v="_x0000_peopl"/>
  </r>
  <r>
    <x v="7"/>
    <n v="13.685600000000001"/>
    <n v="-89.194800000000001"/>
    <n v="2"/>
    <n v="0"/>
    <n v="0"/>
    <n v="107"/>
    <s v="_x0000_peopl"/>
  </r>
  <r>
    <x v="7"/>
    <n v="13.685600000000001"/>
    <n v="-89.194699999999997"/>
    <n v="2"/>
    <n v="0"/>
    <n v="0"/>
    <n v="107"/>
    <s v="_x0000_peopl"/>
  </r>
  <r>
    <x v="7"/>
    <n v="13.685600000000001"/>
    <n v="-89.194699999999997"/>
    <n v="6"/>
    <n v="0"/>
    <n v="0"/>
    <n v="107"/>
    <s v="_x0000_peopl"/>
  </r>
  <r>
    <x v="7"/>
    <n v="13.685600000000001"/>
    <n v="-89.194699999999997"/>
    <n v="7"/>
    <n v="0"/>
    <n v="0"/>
    <n v="107"/>
    <s v="_x0000_peopl"/>
  </r>
  <r>
    <x v="7"/>
    <n v="13.685600000000001"/>
    <n v="-89.194699999999997"/>
    <n v="7"/>
    <n v="0"/>
    <n v="0"/>
    <n v="107"/>
    <s v="_x0000_peopl"/>
  </r>
  <r>
    <x v="7"/>
    <n v="13.685600000000001"/>
    <n v="-89.194599999999994"/>
    <n v="8"/>
    <n v="0"/>
    <n v="0"/>
    <n v="107"/>
    <s v="_x0000_peopl"/>
  </r>
  <r>
    <x v="7"/>
    <n v="13.685600000000001"/>
    <n v="-89.194599999999994"/>
    <n v="9"/>
    <n v="0"/>
    <n v="0"/>
    <n v="107"/>
    <s v="_x0000_peopl"/>
  </r>
  <r>
    <x v="7"/>
    <n v="13.685600000000001"/>
    <n v="-89.194599999999994"/>
    <n v="5"/>
    <n v="0"/>
    <n v="0"/>
    <n v="107"/>
    <s v="_x0000_peopl"/>
  </r>
  <r>
    <x v="7"/>
    <n v="13.685600000000001"/>
    <n v="-89.194599999999994"/>
    <n v="8"/>
    <n v="0"/>
    <n v="0"/>
    <n v="107"/>
    <s v="_x0000_peopl"/>
  </r>
  <r>
    <x v="7"/>
    <n v="13.685600000000001"/>
    <n v="-89.194500000000005"/>
    <n v="5"/>
    <n v="0"/>
    <n v="0"/>
    <n v="107"/>
    <s v="_x0000_peopl"/>
  </r>
  <r>
    <x v="7"/>
    <n v="13.685600000000001"/>
    <n v="-89.194500000000005"/>
    <n v="4"/>
    <n v="0"/>
    <n v="0"/>
    <n v="107"/>
    <s v="_x0000_peopl"/>
  </r>
  <r>
    <x v="7"/>
    <n v="13.685499999999999"/>
    <n v="-89.194500000000005"/>
    <n v="2"/>
    <n v="0"/>
    <n v="0"/>
    <n v="107"/>
    <s v="_x0000_peopl"/>
  </r>
  <r>
    <x v="7"/>
    <n v="13.685499999999999"/>
    <n v="-89.194500000000005"/>
    <n v="5"/>
    <n v="0"/>
    <n v="0"/>
    <n v="107"/>
    <s v="_x0000_peopl"/>
  </r>
  <r>
    <x v="7"/>
    <n v="13.685499999999999"/>
    <n v="-89.194599999999994"/>
    <n v="4"/>
    <n v="0"/>
    <n v="0"/>
    <n v="107"/>
    <s v="_x0000_peopl"/>
  </r>
  <r>
    <x v="7"/>
    <n v="13.685499999999999"/>
    <n v="-89.194599999999994"/>
    <n v="4"/>
    <n v="0"/>
    <n v="0"/>
    <n v="107"/>
    <s v="_x0000_peopl"/>
  </r>
  <r>
    <x v="7"/>
    <n v="13.685499999999999"/>
    <n v="-89.194599999999994"/>
    <n v="3"/>
    <n v="0"/>
    <n v="0"/>
    <n v="107"/>
    <s v="_x0000_peopl"/>
  </r>
  <r>
    <x v="7"/>
    <n v="13.685499999999999"/>
    <n v="-89.194599999999994"/>
    <n v="4"/>
    <n v="0"/>
    <n v="0"/>
    <n v="107"/>
    <s v="_x0000_peopl"/>
  </r>
  <r>
    <x v="7"/>
    <n v="13.685499999999999"/>
    <n v="-89.194699999999997"/>
    <n v="1"/>
    <n v="0"/>
    <n v="0"/>
    <n v="107"/>
    <s v="_x0000_peopl"/>
  </r>
  <r>
    <x v="7"/>
    <n v="13.685499999999999"/>
    <n v="-89.194800000000001"/>
    <n v="9"/>
    <n v="0"/>
    <n v="0"/>
    <n v="107"/>
    <s v="_x0000_peopl"/>
  </r>
  <r>
    <x v="7"/>
    <n v="13.685499999999999"/>
    <n v="-89.194699999999997"/>
    <n v="5"/>
    <n v="0"/>
    <n v="0"/>
    <n v="107"/>
    <s v="_x0000_peopl"/>
  </r>
  <r>
    <x v="7"/>
    <n v="13.685499999999999"/>
    <n v="-89.194800000000001"/>
    <n v="9"/>
    <n v="0"/>
    <n v="0"/>
    <n v="107"/>
    <s v="_x0000_peopl"/>
  </r>
  <r>
    <x v="7"/>
    <n v="13.685499999999999"/>
    <n v="-89.194800000000001"/>
    <n v="7"/>
    <n v="0"/>
    <n v="0"/>
    <n v="107"/>
    <s v="_x0000_peopl"/>
  </r>
  <r>
    <x v="7"/>
    <n v="13.685499999999999"/>
    <n v="-89.194800000000001"/>
    <n v="4"/>
    <n v="0"/>
    <n v="0"/>
    <n v="107"/>
    <s v="_x0000_peopl"/>
  </r>
  <r>
    <x v="7"/>
    <n v="13.685499999999999"/>
    <n v="-89.194699999999997"/>
    <n v="5"/>
    <n v="0"/>
    <n v="0"/>
    <n v="107"/>
    <s v="_x0000_peopl"/>
  </r>
  <r>
    <x v="7"/>
    <n v="13.685499999999999"/>
    <n v="-89.194699999999997"/>
    <n v="4"/>
    <n v="0"/>
    <n v="0"/>
    <n v="107"/>
    <s v="_x0000_peopl"/>
  </r>
  <r>
    <x v="7"/>
    <n v="13.685499999999999"/>
    <n v="-89.194800000000001"/>
    <n v="3"/>
    <n v="0"/>
    <n v="0"/>
    <n v="107"/>
    <s v="_x0000_peopl"/>
  </r>
  <r>
    <x v="7"/>
    <n v="13.685499999999999"/>
    <n v="-89.194800000000001"/>
    <n v="3"/>
    <n v="0"/>
    <n v="0"/>
    <n v="107"/>
    <s v="_x0000_peopl"/>
  </r>
  <r>
    <x v="7"/>
    <n v="13.685499999999999"/>
    <n v="-89.194900000000004"/>
    <n v="5"/>
    <n v="0"/>
    <n v="0"/>
    <n v="107"/>
    <s v="_x0000_peopl"/>
  </r>
  <r>
    <x v="7"/>
    <n v="13.685499999999999"/>
    <n v="-89.194900000000004"/>
    <n v="2"/>
    <n v="0"/>
    <n v="0"/>
    <n v="107"/>
    <s v="_x0000_peopl"/>
  </r>
  <r>
    <x v="7"/>
    <n v="13.685499999999999"/>
    <n v="-89.194699999999997"/>
    <n v="3"/>
    <n v="0"/>
    <n v="0"/>
    <n v="107"/>
    <s v="_x0000_peopl"/>
  </r>
  <r>
    <x v="7"/>
    <n v="13.685499999999999"/>
    <n v="-89.194699999999997"/>
    <n v="3"/>
    <n v="0"/>
    <n v="0"/>
    <n v="107"/>
    <s v="_x0000_peopl"/>
  </r>
  <r>
    <x v="7"/>
    <n v="13.6854"/>
    <n v="-89.194599999999994"/>
    <n v="4"/>
    <n v="0"/>
    <n v="0"/>
    <n v="107"/>
    <s v="_x0000_peopl"/>
  </r>
  <r>
    <x v="7"/>
    <n v="13.6854"/>
    <n v="-89.194599999999994"/>
    <n v="5"/>
    <n v="0"/>
    <n v="0"/>
    <n v="107"/>
    <s v="_x0000_peopl"/>
  </r>
  <r>
    <x v="7"/>
    <n v="13.685499999999999"/>
    <n v="-89.194599999999994"/>
    <n v="8"/>
    <n v="0"/>
    <n v="0"/>
    <n v="107"/>
    <s v="_x0000_peopl"/>
  </r>
  <r>
    <x v="7"/>
    <n v="13.685499999999999"/>
    <n v="-89.194599999999994"/>
    <n v="2"/>
    <n v="0"/>
    <n v="0"/>
    <n v="107"/>
    <s v="_x0000_peopl"/>
  </r>
  <r>
    <x v="7"/>
    <n v="13.685499999999999"/>
    <n v="-89.194900000000004"/>
    <n v="4"/>
    <n v="0"/>
    <n v="0"/>
    <n v="107"/>
    <s v="_x0000_peopl"/>
  </r>
  <r>
    <x v="7"/>
    <n v="13.6854"/>
    <n v="-89.194999999999993"/>
    <n v="6"/>
    <n v="0"/>
    <n v="0"/>
    <n v="107"/>
    <s v="_x0000_peopl"/>
  </r>
  <r>
    <x v="7"/>
    <n v="13.685499999999999"/>
    <n v="-89.194999999999993"/>
    <n v="5"/>
    <n v="0"/>
    <n v="0"/>
    <n v="107"/>
    <s v="_x0000_peopl"/>
  </r>
  <r>
    <x v="7"/>
    <n v="13.685499999999999"/>
    <n v="-89.194999999999993"/>
    <n v="4"/>
    <n v="0"/>
    <n v="0"/>
    <n v="107"/>
    <s v="_x0000_peopl"/>
  </r>
  <r>
    <x v="7"/>
    <n v="13.685600000000001"/>
    <n v="-89.194999999999993"/>
    <n v="5"/>
    <n v="0"/>
    <n v="0"/>
    <n v="107"/>
    <s v="_x0000_peopl"/>
  </r>
  <r>
    <x v="7"/>
    <n v="13.685600000000001"/>
    <n v="-89.194999999999993"/>
    <n v="4"/>
    <n v="0"/>
    <n v="0"/>
    <n v="107"/>
    <s v="_x0000_peopl"/>
  </r>
  <r>
    <x v="7"/>
    <n v="13.685499999999999"/>
    <n v="-89.194900000000004"/>
    <n v="7"/>
    <n v="0"/>
    <n v="0"/>
    <n v="107"/>
    <s v="_x0000_peopl"/>
  </r>
  <r>
    <x v="7"/>
    <n v="13.685499999999999"/>
    <n v="-89.194900000000004"/>
    <n v="6"/>
    <n v="0"/>
    <n v="0"/>
    <n v="107"/>
    <s v="_x0000_peopl"/>
  </r>
  <r>
    <x v="7"/>
    <n v="13.685600000000001"/>
    <n v="-89.194900000000004"/>
    <n v="3"/>
    <n v="0"/>
    <n v="0"/>
    <n v="107"/>
    <s v="_x0000_peopl"/>
  </r>
  <r>
    <x v="7"/>
    <n v="13.685600000000001"/>
    <n v="-89.194900000000004"/>
    <n v="3"/>
    <n v="0"/>
    <n v="0"/>
    <n v="107"/>
    <s v="_x0000_peopl"/>
  </r>
  <r>
    <x v="7"/>
    <n v="13.685600000000001"/>
    <n v="-89.194999999999993"/>
    <n v="6"/>
    <n v="0"/>
    <n v="0"/>
    <n v="107"/>
    <s v="_x0000_peopl"/>
  </r>
  <r>
    <x v="7"/>
    <n v="13.685600000000001"/>
    <n v="-89.194999999999993"/>
    <n v="2"/>
    <n v="0"/>
    <n v="0"/>
    <n v="107"/>
    <s v="_x0000_peopl"/>
  </r>
  <r>
    <x v="7"/>
    <n v="13.685700000000001"/>
    <n v="-89.194999999999993"/>
    <n v="1"/>
    <n v="0"/>
    <n v="0"/>
    <n v="107"/>
    <s v="_x0000_peopl"/>
  </r>
  <r>
    <x v="7"/>
    <n v="13.685700000000001"/>
    <n v="-89.194999999999993"/>
    <n v="4"/>
    <n v="0"/>
    <n v="0"/>
    <n v="107"/>
    <s v="_x0000_peopl"/>
  </r>
  <r>
    <x v="7"/>
    <n v="13.685700000000001"/>
    <n v="-89.194999999999993"/>
    <n v="7"/>
    <n v="0"/>
    <n v="0"/>
    <n v="107"/>
    <s v="_x0000_peopl"/>
  </r>
  <r>
    <x v="7"/>
    <n v="13.685700000000001"/>
    <n v="-89.194999999999993"/>
    <n v="4"/>
    <n v="0"/>
    <n v="0"/>
    <n v="107"/>
    <s v="_x0000_peopl"/>
  </r>
  <r>
    <x v="7"/>
    <n v="13.685700000000001"/>
    <n v="-89.194900000000004"/>
    <n v="12"/>
    <n v="0"/>
    <n v="0"/>
    <n v="107"/>
    <s v="_x0000_peopl"/>
  </r>
  <r>
    <x v="7"/>
    <n v="13.685700000000001"/>
    <n v="-89.194900000000004"/>
    <n v="6"/>
    <n v="0"/>
    <n v="0"/>
    <n v="107"/>
    <s v="_x0000_peopl"/>
  </r>
  <r>
    <x v="7"/>
    <n v="13.6858"/>
    <n v="-89.194699999999997"/>
    <n v="10"/>
    <n v="0"/>
    <n v="0"/>
    <n v="107"/>
    <s v="_x0000_peopl"/>
  </r>
  <r>
    <x v="7"/>
    <n v="13.6858"/>
    <n v="-89.194699999999997"/>
    <n v="6"/>
    <n v="0"/>
    <n v="0"/>
    <n v="107"/>
    <s v="_x0000_peopl"/>
  </r>
  <r>
    <x v="7"/>
    <n v="13.6858"/>
    <n v="-89.194599999999994"/>
    <n v="5"/>
    <n v="0"/>
    <n v="0"/>
    <n v="107"/>
    <s v="_x0000_peopl"/>
  </r>
  <r>
    <x v="7"/>
    <n v="13.6858"/>
    <n v="-89.194400000000002"/>
    <n v="4"/>
    <n v="0"/>
    <n v="0"/>
    <n v="107"/>
    <s v="_x0000_peopl"/>
  </r>
  <r>
    <x v="7"/>
    <n v="13.6858"/>
    <n v="-89.194400000000002"/>
    <n v="5"/>
    <n v="0"/>
    <n v="0"/>
    <n v="107"/>
    <s v="_x0000_peopl"/>
  </r>
  <r>
    <x v="7"/>
    <n v="13.6858"/>
    <n v="-89.194299999999998"/>
    <n v="9"/>
    <n v="0"/>
    <n v="0"/>
    <n v="107"/>
    <s v="_x0000_peopl"/>
  </r>
  <r>
    <x v="7"/>
    <n v="13.6858"/>
    <n v="-89.194299999999998"/>
    <n v="7"/>
    <n v="0"/>
    <n v="0"/>
    <n v="107"/>
    <s v="_x0000_peopl"/>
  </r>
  <r>
    <x v="7"/>
    <n v="13.6858"/>
    <n v="-89.194299999999998"/>
    <n v="5"/>
    <n v="0"/>
    <n v="0"/>
    <n v="107"/>
    <s v="_x0000_peopl"/>
  </r>
  <r>
    <x v="7"/>
    <n v="13.685600000000001"/>
    <n v="-89.193399999999997"/>
    <n v="7"/>
    <n v="0"/>
    <n v="0"/>
    <n v="107"/>
    <s v="_x0000_peopl"/>
  </r>
  <r>
    <x v="7"/>
    <n v="13.686"/>
    <n v="-89.193200000000004"/>
    <n v="7"/>
    <n v="0"/>
    <n v="0"/>
    <n v="107"/>
    <s v="_x0000_peopl"/>
  </r>
  <r>
    <x v="7"/>
    <n v="13.686"/>
    <n v="-89.193100000000001"/>
    <n v="6"/>
    <n v="0"/>
    <n v="0"/>
    <n v="107"/>
    <s v="_x0000_peopl"/>
  </r>
  <r>
    <x v="7"/>
    <n v="13.6859"/>
    <n v="-89.193100000000001"/>
    <n v="10"/>
    <n v="0"/>
    <n v="0"/>
    <n v="107"/>
    <s v="_x0000_peopl"/>
  </r>
  <r>
    <x v="7"/>
    <n v="13.685700000000001"/>
    <n v="-89.193200000000004"/>
    <n v="5"/>
    <n v="0"/>
    <n v="0"/>
    <n v="107"/>
    <s v="_x0000_peopl"/>
  </r>
  <r>
    <x v="7"/>
    <n v="13.685700000000001"/>
    <n v="-89.192899999999995"/>
    <n v="5"/>
    <n v="0"/>
    <n v="0"/>
    <n v="107"/>
    <s v="_x0000_peopl"/>
  </r>
  <r>
    <x v="7"/>
    <n v="13.685600000000001"/>
    <n v="-89.192800000000005"/>
    <n v="5"/>
    <n v="0"/>
    <n v="0"/>
    <n v="107"/>
    <s v="_x0000_peopl"/>
  </r>
  <r>
    <x v="7"/>
    <n v="13.685600000000001"/>
    <n v="-89.192999999999998"/>
    <n v="4"/>
    <n v="0"/>
    <n v="0"/>
    <n v="107"/>
    <s v="_x0000_peopl"/>
  </r>
  <r>
    <x v="7"/>
    <n v="13.685700000000001"/>
    <n v="-89.193100000000001"/>
    <n v="1"/>
    <n v="0"/>
    <n v="0"/>
    <n v="107"/>
    <s v="_x0000_peopl"/>
  </r>
  <r>
    <x v="7"/>
    <n v="13.685700000000001"/>
    <n v="-89.193100000000001"/>
    <n v="11"/>
    <n v="0"/>
    <n v="0"/>
    <n v="107"/>
    <s v="_x0000_peopl"/>
  </r>
  <r>
    <x v="7"/>
    <n v="13.685700000000001"/>
    <n v="-89.193100000000001"/>
    <n v="5"/>
    <n v="0"/>
    <n v="0"/>
    <n v="107"/>
    <s v="_x0000_peopl"/>
  </r>
  <r>
    <x v="7"/>
    <n v="13.685700000000001"/>
    <n v="-89.193100000000001"/>
    <n v="6"/>
    <n v="0"/>
    <n v="0"/>
    <n v="107"/>
    <s v="_x0000_peopl"/>
  </r>
  <r>
    <x v="7"/>
    <n v="13.685700000000001"/>
    <n v="-89.193100000000001"/>
    <n v="3"/>
    <n v="0"/>
    <n v="0"/>
    <n v="107"/>
    <s v="_x0000_peopl"/>
  </r>
  <r>
    <x v="7"/>
    <n v="13.685700000000001"/>
    <n v="-89.193100000000001"/>
    <n v="1"/>
    <n v="0"/>
    <n v="0"/>
    <n v="107"/>
    <s v="_x0000_peopl"/>
  </r>
  <r>
    <x v="7"/>
    <n v="13.685700000000001"/>
    <n v="-89.193200000000004"/>
    <n v="2"/>
    <n v="0"/>
    <n v="0"/>
    <n v="107"/>
    <s v="_x0000_peopl"/>
  </r>
  <r>
    <x v="7"/>
    <n v="13.685700000000001"/>
    <n v="-89.193100000000001"/>
    <n v="4"/>
    <n v="0"/>
    <n v="0"/>
    <n v="107"/>
    <s v="_x0000_peopl"/>
  </r>
  <r>
    <x v="7"/>
    <n v="13.685700000000001"/>
    <n v="-89.193100000000001"/>
    <n v="6"/>
    <n v="0"/>
    <n v="0"/>
    <n v="107"/>
    <s v="_x0000_peopl"/>
  </r>
  <r>
    <x v="7"/>
    <n v="13.685600000000001"/>
    <n v="-89.193200000000004"/>
    <n v="1"/>
    <n v="0"/>
    <n v="0"/>
    <n v="107"/>
    <s v="_x0000_peopl"/>
  </r>
  <r>
    <x v="7"/>
    <n v="13.685600000000001"/>
    <n v="-89.193100000000001"/>
    <n v="6"/>
    <n v="0"/>
    <n v="0"/>
    <n v="107"/>
    <s v="_x0000_peopl"/>
  </r>
  <r>
    <x v="7"/>
    <n v="13.685600000000001"/>
    <n v="-89.193100000000001"/>
    <n v="5"/>
    <n v="0"/>
    <n v="0"/>
    <n v="107"/>
    <s v="_x0000_peopl"/>
  </r>
  <r>
    <x v="7"/>
    <n v="13.685600000000001"/>
    <n v="-89.193100000000001"/>
    <n v="5"/>
    <n v="0"/>
    <n v="0"/>
    <n v="107"/>
    <s v="_x0000_peopl"/>
  </r>
  <r>
    <x v="7"/>
    <n v="13.685700000000001"/>
    <n v="-89.193100000000001"/>
    <n v="9"/>
    <n v="0"/>
    <n v="0"/>
    <n v="107"/>
    <s v="_x0000_peopl"/>
  </r>
  <r>
    <x v="7"/>
    <n v="13.685499999999999"/>
    <n v="-89.193200000000004"/>
    <n v="3"/>
    <n v="0"/>
    <n v="0"/>
    <n v="107"/>
    <s v="_x0000_peopl"/>
  </r>
  <r>
    <x v="7"/>
    <n v="13.685499999999999"/>
    <n v="-89.193100000000001"/>
    <n v="5"/>
    <n v="0"/>
    <n v="0"/>
    <n v="107"/>
    <s v="_x0000_peopl"/>
  </r>
  <r>
    <x v="7"/>
    <n v="13.685499999999999"/>
    <n v="-89.192999999999998"/>
    <n v="7"/>
    <n v="0"/>
    <n v="0"/>
    <n v="107"/>
    <s v="_x0000_peopl"/>
  </r>
  <r>
    <x v="7"/>
    <n v="13.685600000000001"/>
    <n v="-89.192999999999998"/>
    <n v="4"/>
    <n v="0"/>
    <n v="0"/>
    <n v="107"/>
    <s v="_x0000_peopl"/>
  </r>
  <r>
    <x v="7"/>
    <n v="13.685600000000001"/>
    <n v="-89.192899999999995"/>
    <n v="3"/>
    <n v="0"/>
    <n v="0"/>
    <n v="107"/>
    <s v="_x0000_peopl"/>
  </r>
  <r>
    <x v="7"/>
    <n v="13.685499999999999"/>
    <n v="-89.192899999999995"/>
    <n v="2"/>
    <n v="0"/>
    <n v="0"/>
    <n v="107"/>
    <s v="_x0000_peopl"/>
  </r>
  <r>
    <x v="7"/>
    <n v="13.685499999999999"/>
    <n v="-89.192899999999995"/>
    <n v="5"/>
    <n v="0"/>
    <n v="0"/>
    <n v="107"/>
    <s v="_x0000_peopl"/>
  </r>
  <r>
    <x v="7"/>
    <n v="13.685499999999999"/>
    <n v="-89.192800000000005"/>
    <n v="5"/>
    <n v="0"/>
    <n v="0"/>
    <n v="107"/>
    <s v="_x0000_peopl"/>
  </r>
  <r>
    <x v="7"/>
    <n v="13.6854"/>
    <n v="-89.192899999999995"/>
    <n v="4"/>
    <n v="0"/>
    <n v="0"/>
    <n v="107"/>
    <s v="_x0000_peopl"/>
  </r>
  <r>
    <x v="7"/>
    <n v="13.686199999999999"/>
    <n v="-89.192099999999996"/>
    <n v="3"/>
    <n v="0"/>
    <n v="0"/>
    <n v="107"/>
    <s v="_x0000_peopl"/>
  </r>
  <r>
    <x v="7"/>
    <n v="13.686299999999999"/>
    <n v="-89.191699999999997"/>
    <n v="3"/>
    <n v="0"/>
    <n v="0"/>
    <n v="107"/>
    <s v="_x0000_peopl"/>
  </r>
  <r>
    <x v="7"/>
    <n v="13.6861"/>
    <n v="-89.191999999999993"/>
    <n v="4"/>
    <n v="0"/>
    <n v="0"/>
    <n v="107"/>
    <s v="_x0000_peopl"/>
  </r>
  <r>
    <x v="7"/>
    <n v="13.6859"/>
    <n v="-89.192899999999995"/>
    <n v="7"/>
    <n v="0"/>
    <n v="0"/>
    <n v="107"/>
    <s v="_x0000_peopl"/>
  </r>
  <r>
    <x v="7"/>
    <n v="13.6859"/>
    <n v="-89.192800000000005"/>
    <n v="5"/>
    <n v="0"/>
    <n v="0"/>
    <n v="107"/>
    <s v="_x0000_peopl"/>
  </r>
  <r>
    <x v="7"/>
    <n v="13.685700000000001"/>
    <n v="-89.192800000000005"/>
    <n v="5"/>
    <n v="0"/>
    <n v="0"/>
    <n v="107"/>
    <s v="_x0000_peopl"/>
  </r>
  <r>
    <x v="7"/>
    <n v="13.685700000000001"/>
    <n v="-89.192499999999995"/>
    <n v="3"/>
    <n v="0"/>
    <n v="0"/>
    <n v="107"/>
    <s v="_x0000_peopl"/>
  </r>
  <r>
    <x v="7"/>
    <n v="13.685700000000001"/>
    <n v="-89.192400000000006"/>
    <n v="9"/>
    <n v="0"/>
    <n v="0"/>
    <n v="107"/>
    <s v="_x0000_peopl"/>
  </r>
  <r>
    <x v="7"/>
    <n v="13.6859"/>
    <n v="-89.192599999999999"/>
    <n v="8"/>
    <n v="0"/>
    <n v="0"/>
    <n v="107"/>
    <s v="_x0000_peopl"/>
  </r>
  <r>
    <x v="7"/>
    <n v="13.6859"/>
    <n v="-89.192499999999995"/>
    <n v="3"/>
    <n v="0"/>
    <n v="0"/>
    <n v="107"/>
    <s v="_x0000_peopl"/>
  </r>
  <r>
    <x v="7"/>
    <n v="13.6859"/>
    <n v="-89.192599999999999"/>
    <n v="7"/>
    <n v="0"/>
    <n v="0"/>
    <n v="107"/>
    <s v="_x0000_peopl"/>
  </r>
  <r>
    <x v="7"/>
    <n v="13.6859"/>
    <n v="-89.192700000000002"/>
    <n v="1"/>
    <n v="0"/>
    <n v="0"/>
    <n v="107"/>
    <s v="_x0000_peopl"/>
  </r>
  <r>
    <x v="7"/>
    <n v="13.6859"/>
    <n v="-89.193100000000001"/>
    <n v="5"/>
    <n v="0"/>
    <n v="0"/>
    <n v="107"/>
    <s v="_x0000_peopl"/>
  </r>
  <r>
    <x v="7"/>
    <n v="13.686"/>
    <n v="-89.192400000000006"/>
    <n v="4"/>
    <n v="0"/>
    <n v="0"/>
    <n v="107"/>
    <s v="_x0000_peopl"/>
  </r>
  <r>
    <x v="7"/>
    <n v="13.686"/>
    <n v="-89.192400000000006"/>
    <n v="3"/>
    <n v="0"/>
    <n v="0"/>
    <n v="107"/>
    <s v="_x0000_peopl"/>
  </r>
  <r>
    <x v="7"/>
    <n v="13.686"/>
    <n v="-89.192999999999998"/>
    <n v="5"/>
    <n v="0"/>
    <n v="0"/>
    <n v="107"/>
    <s v="_x0000_peopl"/>
  </r>
  <r>
    <x v="7"/>
    <n v="13.686"/>
    <n v="-89.192999999999998"/>
    <n v="6"/>
    <n v="0"/>
    <n v="0"/>
    <n v="107"/>
    <s v="_x0000_peopl"/>
  </r>
  <r>
    <x v="7"/>
    <n v="13.6854"/>
    <n v="-89.192800000000005"/>
    <n v="4"/>
    <n v="0"/>
    <n v="0"/>
    <n v="107"/>
    <s v="_x0000_peopl"/>
  </r>
  <r>
    <x v="7"/>
    <n v="13.685499999999999"/>
    <n v="-89.192700000000002"/>
    <n v="6"/>
    <n v="0"/>
    <n v="0"/>
    <n v="107"/>
    <s v="_x0000_peopl"/>
  </r>
  <r>
    <x v="7"/>
    <n v="13.685499999999999"/>
    <n v="-89.192700000000002"/>
    <n v="4"/>
    <n v="0"/>
    <n v="0"/>
    <n v="107"/>
    <s v="_x0000_peopl"/>
  </r>
  <r>
    <x v="7"/>
    <n v="13.685600000000001"/>
    <n v="-89.192700000000002"/>
    <n v="4"/>
    <n v="0"/>
    <n v="0"/>
    <n v="107"/>
    <s v="_x0000_peopl"/>
  </r>
  <r>
    <x v="7"/>
    <n v="13.685700000000001"/>
    <n v="-89.192700000000002"/>
    <n v="7"/>
    <n v="0"/>
    <n v="0"/>
    <n v="107"/>
    <s v="_x0000_peopl"/>
  </r>
  <r>
    <x v="7"/>
    <n v="13.685600000000001"/>
    <n v="-89.192499999999995"/>
    <n v="8"/>
    <n v="0"/>
    <n v="0"/>
    <n v="107"/>
    <s v="_x0000_peopl"/>
  </r>
  <r>
    <x v="7"/>
    <n v="13.685499999999999"/>
    <n v="-89.192599999999999"/>
    <n v="2"/>
    <n v="0"/>
    <n v="0"/>
    <n v="107"/>
    <s v="_x0000_peopl"/>
  </r>
  <r>
    <x v="7"/>
    <n v="13.685499999999999"/>
    <n v="-89.192599999999999"/>
    <n v="4"/>
    <n v="0"/>
    <n v="0"/>
    <n v="107"/>
    <s v="_x0000_peopl"/>
  </r>
  <r>
    <x v="7"/>
    <n v="13.685499999999999"/>
    <n v="-89.192300000000003"/>
    <n v="2"/>
    <n v="0"/>
    <n v="0"/>
    <n v="107"/>
    <s v="_x0000_peopl"/>
  </r>
  <r>
    <x v="7"/>
    <n v="13.685499999999999"/>
    <n v="-89.192300000000003"/>
    <n v="4"/>
    <n v="0"/>
    <n v="0"/>
    <n v="107"/>
    <s v="_x0000_peopl"/>
  </r>
  <r>
    <x v="7"/>
    <n v="13.685499999999999"/>
    <n v="-89.191999999999993"/>
    <n v="11"/>
    <n v="0"/>
    <n v="0"/>
    <n v="107"/>
    <s v="_x0000_peopl"/>
  </r>
  <r>
    <x v="7"/>
    <n v="13.6854"/>
    <n v="-89.191999999999993"/>
    <n v="8"/>
    <n v="0"/>
    <n v="0"/>
    <n v="107"/>
    <s v="_x0000_peopl"/>
  </r>
  <r>
    <x v="7"/>
    <n v="13.6853"/>
    <n v="-89.192599999999999"/>
    <n v="3"/>
    <n v="0"/>
    <n v="0"/>
    <n v="107"/>
    <s v="_x0000_peopl"/>
  </r>
  <r>
    <x v="7"/>
    <n v="13.6854"/>
    <n v="-89.192499999999995"/>
    <n v="4"/>
    <n v="0"/>
    <n v="0"/>
    <n v="107"/>
    <s v="_x0000_peopl"/>
  </r>
  <r>
    <x v="7"/>
    <n v="13.6858"/>
    <n v="-89.1922"/>
    <n v="5"/>
    <n v="0"/>
    <n v="0"/>
    <n v="107"/>
    <s v="_x0000_peopl"/>
  </r>
  <r>
    <x v="7"/>
    <n v="13.6859"/>
    <n v="-89.192099999999996"/>
    <n v="8"/>
    <n v="0"/>
    <n v="0"/>
    <n v="107"/>
    <s v="_x0000_peopl"/>
  </r>
  <r>
    <x v="7"/>
    <n v="13.6859"/>
    <n v="-89.192099999999996"/>
    <n v="1"/>
    <n v="0"/>
    <n v="0"/>
    <n v="107"/>
    <s v="_x0000_peopl"/>
  </r>
  <r>
    <x v="7"/>
    <n v="13.6858"/>
    <n v="-89.192099999999996"/>
    <n v="5"/>
    <n v="0"/>
    <n v="0"/>
    <n v="107"/>
    <s v="_x0000_peopl"/>
  </r>
  <r>
    <x v="7"/>
    <n v="13.686"/>
    <n v="-89.1922"/>
    <n v="3"/>
    <n v="0"/>
    <n v="0"/>
    <n v="107"/>
    <s v="_x0000_peopl"/>
  </r>
  <r>
    <x v="7"/>
    <n v="13.686"/>
    <n v="-89.192099999999996"/>
    <n v="3"/>
    <n v="0"/>
    <n v="0"/>
    <n v="107"/>
    <s v="_x0000_peopl"/>
  </r>
  <r>
    <x v="7"/>
    <n v="13.686"/>
    <n v="-89.192099999999996"/>
    <n v="3"/>
    <n v="0"/>
    <n v="0"/>
    <n v="107"/>
    <s v="_x0000_peopl"/>
  </r>
  <r>
    <x v="7"/>
    <n v="13.6859"/>
    <n v="-89.191599999999994"/>
    <n v="8"/>
    <n v="0"/>
    <n v="0"/>
    <n v="107"/>
    <s v="_x0000_peopl"/>
  </r>
  <r>
    <x v="7"/>
    <n v="13.6859"/>
    <n v="-89.191800000000001"/>
    <n v="9"/>
    <n v="0"/>
    <n v="0"/>
    <n v="107"/>
    <s v="_x0000_peopl"/>
  </r>
  <r>
    <x v="7"/>
    <n v="13.686"/>
    <n v="-89.191699999999997"/>
    <n v="8"/>
    <n v="0"/>
    <n v="0"/>
    <n v="107"/>
    <s v="_x0000_peopl"/>
  </r>
  <r>
    <x v="7"/>
    <n v="13.686"/>
    <n v="-89.191699999999997"/>
    <n v="12"/>
    <n v="0"/>
    <n v="0"/>
    <n v="107"/>
    <s v="_x0000_peopl"/>
  </r>
  <r>
    <x v="7"/>
    <n v="13.686"/>
    <n v="-89.191599999999994"/>
    <n v="6"/>
    <n v="0"/>
    <n v="0"/>
    <n v="107"/>
    <s v="_x0000_peopl"/>
  </r>
  <r>
    <x v="7"/>
    <n v="13.686"/>
    <n v="-89.191599999999994"/>
    <n v="6"/>
    <n v="0"/>
    <n v="0"/>
    <n v="107"/>
    <s v="_x0000_peopl"/>
  </r>
  <r>
    <x v="7"/>
    <n v="13.6861"/>
    <n v="-89.191400000000002"/>
    <n v="5"/>
    <n v="0"/>
    <n v="0"/>
    <n v="107"/>
    <s v="_x0000_peopl"/>
  </r>
  <r>
    <x v="7"/>
    <n v="13.6861"/>
    <n v="-89.191400000000002"/>
    <n v="2"/>
    <n v="0"/>
    <n v="0"/>
    <n v="107"/>
    <s v="_x0000_peopl"/>
  </r>
  <r>
    <x v="7"/>
    <n v="13.686299999999999"/>
    <n v="-89.191400000000002"/>
    <n v="8"/>
    <n v="0"/>
    <n v="0"/>
    <n v="107"/>
    <s v="_x0000_peopl"/>
  </r>
  <r>
    <x v="7"/>
    <n v="13.686299999999999"/>
    <n v="-89.191299999999998"/>
    <n v="7"/>
    <n v="0"/>
    <n v="0"/>
    <n v="107"/>
    <s v="_x0000_peopl"/>
  </r>
  <r>
    <x v="7"/>
    <n v="13.686199999999999"/>
    <n v="-89.191199999999995"/>
    <n v="8"/>
    <n v="0"/>
    <n v="0"/>
    <n v="107"/>
    <s v="_x0000_peopl"/>
  </r>
  <r>
    <x v="7"/>
    <n v="13.686199999999999"/>
    <n v="-89.191100000000006"/>
    <n v="5"/>
    <n v="0"/>
    <n v="0"/>
    <n v="107"/>
    <s v="_x0000_peopl"/>
  </r>
  <r>
    <x v="7"/>
    <n v="13.686299999999999"/>
    <n v="-89.190899999999999"/>
    <n v="1"/>
    <n v="0"/>
    <n v="0"/>
    <n v="107"/>
    <s v="_x0000_peopl"/>
  </r>
  <r>
    <x v="7"/>
    <n v="13.6861"/>
    <n v="-89.190799999999996"/>
    <n v="7"/>
    <n v="0"/>
    <n v="0"/>
    <n v="107"/>
    <s v="_x0000_peopl"/>
  </r>
  <r>
    <x v="7"/>
    <n v="13.686199999999999"/>
    <n v="-89.190700000000007"/>
    <n v="3"/>
    <n v="0"/>
    <n v="0"/>
    <n v="107"/>
    <s v="_x0000_peopl"/>
  </r>
  <r>
    <x v="7"/>
    <n v="13.6861"/>
    <n v="-89.190700000000007"/>
    <n v="2"/>
    <n v="0"/>
    <n v="0"/>
    <n v="107"/>
    <s v="_x0000_peopl"/>
  </r>
  <r>
    <x v="7"/>
    <n v="13.6861"/>
    <n v="-89.1905"/>
    <n v="6"/>
    <n v="0"/>
    <n v="0"/>
    <n v="107"/>
    <s v="_x0000_peopl"/>
  </r>
  <r>
    <x v="7"/>
    <n v="13.686299999999999"/>
    <n v="-89.190799999999996"/>
    <n v="6"/>
    <n v="0"/>
    <n v="0"/>
    <n v="107"/>
    <s v="_x0000_peopl"/>
  </r>
  <r>
    <x v="7"/>
    <n v="13.686299999999999"/>
    <n v="-89.191199999999995"/>
    <n v="3"/>
    <n v="0"/>
    <n v="0"/>
    <n v="107"/>
    <s v="_x0000_peopl"/>
  </r>
  <r>
    <x v="7"/>
    <n v="13.686199999999999"/>
    <n v="-89.191599999999994"/>
    <n v="6"/>
    <n v="0"/>
    <n v="0"/>
    <n v="107"/>
    <s v="_x0000_peopl"/>
  </r>
  <r>
    <x v="7"/>
    <n v="13.685600000000001"/>
    <n v="-89.193200000000004"/>
    <n v="5"/>
    <n v="0"/>
    <n v="0"/>
    <n v="107"/>
    <s v="_x0000_peopl"/>
  </r>
  <r>
    <x v="7"/>
    <n v="13.680999999999999"/>
    <n v="-89.195099999999996"/>
    <n v="5"/>
    <n v="0"/>
    <n v="0"/>
    <n v="107"/>
    <s v="_x0000_peopl"/>
  </r>
  <r>
    <x v="7"/>
    <n v="13.6815"/>
    <n v="-89.197500000000005"/>
    <n v="11"/>
    <n v="0"/>
    <n v="0"/>
    <n v="107"/>
    <s v="_x0000_peopl"/>
  </r>
  <r>
    <x v="7"/>
    <n v="13.6815"/>
    <n v="-89.197400000000002"/>
    <n v="5"/>
    <n v="0"/>
    <n v="0"/>
    <n v="107"/>
    <s v="_x0000_peopl"/>
  </r>
  <r>
    <x v="7"/>
    <n v="13.6814"/>
    <n v="-89.196899999999999"/>
    <n v="1"/>
    <n v="0"/>
    <n v="0"/>
    <n v="107"/>
    <s v="_x0000_peopl"/>
  </r>
  <r>
    <x v="7"/>
    <n v="13.6812"/>
    <n v="-89.197500000000005"/>
    <n v="5"/>
    <n v="0"/>
    <n v="0"/>
    <n v="107"/>
    <s v="_x0000_peopl"/>
  </r>
  <r>
    <x v="7"/>
    <n v="13.681699999999999"/>
    <n v="-89.197400000000002"/>
    <n v="2"/>
    <n v="0"/>
    <n v="0"/>
    <n v="107"/>
    <s v="_x0000_peopl"/>
  </r>
  <r>
    <x v="7"/>
    <n v="13.6754"/>
    <n v="-89.200500000000005"/>
    <n v="7"/>
    <n v="0"/>
    <n v="0"/>
    <n v="107"/>
    <s v="_x0000_peopl"/>
  </r>
  <r>
    <x v="7"/>
    <n v="13.678100000000001"/>
    <n v="-89.199399999999997"/>
    <n v="4"/>
    <n v="0"/>
    <n v="0"/>
    <n v="107"/>
    <s v="_x0000_peopl"/>
  </r>
  <r>
    <x v="7"/>
    <n v="13.680099999999999"/>
    <n v="-89.202399999999997"/>
    <n v="5"/>
    <n v="0"/>
    <n v="0"/>
    <n v="107"/>
    <s v="_x0000_peopl"/>
  </r>
  <r>
    <x v="7"/>
    <n v="13.680099999999999"/>
    <n v="-89.202299999999994"/>
    <n v="5"/>
    <n v="0"/>
    <n v="0"/>
    <n v="107"/>
    <s v="_x0000_peopl"/>
  </r>
  <r>
    <x v="7"/>
    <n v="13.680300000000001"/>
    <n v="-89.201999999999998"/>
    <n v="9"/>
    <n v="0"/>
    <n v="0"/>
    <n v="107"/>
    <s v="_x0000_peopl"/>
  </r>
  <r>
    <x v="7"/>
    <n v="13.680300000000001"/>
    <n v="-89.202100000000002"/>
    <n v="8"/>
    <n v="0"/>
    <n v="0"/>
    <n v="107"/>
    <s v="_x0000_peopl"/>
  </r>
  <r>
    <x v="7"/>
    <n v="13.680199999999999"/>
    <n v="-89.202100000000002"/>
    <n v="4"/>
    <n v="0"/>
    <n v="0"/>
    <n v="107"/>
    <s v="_x0000_peopl"/>
  </r>
  <r>
    <x v="7"/>
    <n v="13.6805"/>
    <n v="-89.202100000000002"/>
    <n v="6"/>
    <n v="0"/>
    <n v="0"/>
    <n v="107"/>
    <s v="_x0000_peopl"/>
  </r>
  <r>
    <x v="7"/>
    <n v="13.680400000000001"/>
    <n v="-89.201999999999998"/>
    <n v="5"/>
    <n v="0"/>
    <n v="0"/>
    <n v="107"/>
    <s v="_x0000_peopl"/>
  </r>
  <r>
    <x v="7"/>
    <n v="13.680400000000001"/>
    <n v="-89.201999999999998"/>
    <n v="3"/>
    <n v="0"/>
    <n v="0"/>
    <n v="107"/>
    <s v="_x0000_peopl"/>
  </r>
  <r>
    <x v="7"/>
    <n v="13.680400000000001"/>
    <n v="-89.201899999999995"/>
    <n v="2"/>
    <n v="0"/>
    <n v="0"/>
    <n v="107"/>
    <s v="_x0000_peopl"/>
  </r>
  <r>
    <x v="7"/>
    <n v="13.680400000000001"/>
    <n v="-89.201899999999995"/>
    <n v="7"/>
    <n v="0"/>
    <n v="0"/>
    <n v="107"/>
    <s v="_x0000_peopl"/>
  </r>
  <r>
    <x v="7"/>
    <n v="13.680400000000001"/>
    <n v="-89.201800000000006"/>
    <n v="4"/>
    <n v="0"/>
    <n v="0"/>
    <n v="107"/>
    <s v="_x0000_peopl"/>
  </r>
  <r>
    <x v="7"/>
    <n v="13.6805"/>
    <n v="-89.202200000000005"/>
    <n v="6"/>
    <n v="0"/>
    <n v="0"/>
    <n v="107"/>
    <s v="_x0000_peopl"/>
  </r>
  <r>
    <x v="7"/>
    <n v="13.6805"/>
    <n v="-89.202200000000005"/>
    <n v="9"/>
    <n v="0"/>
    <n v="0"/>
    <n v="107"/>
    <s v="_x0000_peopl"/>
  </r>
  <r>
    <x v="7"/>
    <n v="13.6805"/>
    <n v="-89.202100000000002"/>
    <n v="9"/>
    <n v="0"/>
    <n v="0"/>
    <n v="107"/>
    <s v="_x0000_peopl"/>
  </r>
  <r>
    <x v="7"/>
    <n v="13.680099999999999"/>
    <n v="-89.202200000000005"/>
    <n v="5"/>
    <n v="0"/>
    <n v="0"/>
    <n v="107"/>
    <s v="_x0000_peopl"/>
  </r>
  <r>
    <x v="7"/>
    <n v="13.680099999999999"/>
    <n v="-89.202100000000002"/>
    <n v="3"/>
    <n v="0"/>
    <n v="0"/>
    <n v="107"/>
    <s v="_x0000_peopl"/>
  </r>
  <r>
    <x v="7"/>
    <n v="13.68"/>
    <n v="-89.201999999999998"/>
    <n v="6"/>
    <n v="0"/>
    <n v="0"/>
    <n v="107"/>
    <s v="_x0000_peopl"/>
  </r>
  <r>
    <x v="7"/>
    <n v="13.68"/>
    <n v="-89.201899999999995"/>
    <n v="8"/>
    <n v="0"/>
    <n v="0"/>
    <n v="107"/>
    <s v="_x0000_peopl"/>
  </r>
  <r>
    <x v="7"/>
    <n v="13.68"/>
    <n v="-89.201800000000006"/>
    <n v="3"/>
    <n v="0"/>
    <n v="0"/>
    <n v="107"/>
    <s v="_x0000_peopl"/>
  </r>
  <r>
    <x v="7"/>
    <n v="13.68"/>
    <n v="-89.201700000000002"/>
    <n v="5"/>
    <n v="0"/>
    <n v="0"/>
    <n v="107"/>
    <s v="_x0000_peopl"/>
  </r>
  <r>
    <x v="7"/>
    <n v="13.68"/>
    <n v="-89.201599999999999"/>
    <n v="3"/>
    <n v="0"/>
    <n v="0"/>
    <n v="107"/>
    <s v="_x0000_peopl"/>
  </r>
  <r>
    <x v="7"/>
    <n v="13.6793"/>
    <n v="-89.2"/>
    <n v="3"/>
    <n v="0"/>
    <n v="0"/>
    <n v="107"/>
    <s v="_x0000_peopl"/>
  </r>
  <r>
    <x v="7"/>
    <n v="13.679"/>
    <n v="-89.200100000000006"/>
    <n v="2"/>
    <n v="0"/>
    <n v="0"/>
    <n v="107"/>
    <s v="_x0000_peopl"/>
  </r>
  <r>
    <x v="7"/>
    <n v="13.678900000000001"/>
    <n v="-89.200100000000006"/>
    <n v="3"/>
    <n v="0"/>
    <n v="0"/>
    <n v="107"/>
    <s v="_x0000_peopl"/>
  </r>
  <r>
    <x v="7"/>
    <n v="13.6791"/>
    <n v="-89.199600000000004"/>
    <n v="2"/>
    <n v="0"/>
    <n v="0"/>
    <n v="107"/>
    <s v="_x0000_peopl"/>
  </r>
  <r>
    <x v="7"/>
    <n v="13.6785"/>
    <n v="-89.199600000000004"/>
    <n v="4"/>
    <n v="0"/>
    <n v="0"/>
    <n v="107"/>
    <s v="_x0000_peopl"/>
  </r>
  <r>
    <x v="7"/>
    <n v="13.6784"/>
    <n v="-89.199799999999996"/>
    <n v="3"/>
    <n v="0"/>
    <n v="0"/>
    <n v="107"/>
    <s v="_x0000_peopl"/>
  </r>
  <r>
    <x v="7"/>
    <n v="13.6783"/>
    <n v="-89.199799999999996"/>
    <n v="5"/>
    <n v="0"/>
    <n v="0"/>
    <n v="107"/>
    <s v="_x0000_peopl"/>
  </r>
  <r>
    <x v="7"/>
    <n v="13.677"/>
    <n v="-89.200699999999998"/>
    <n v="7"/>
    <n v="0"/>
    <n v="0"/>
    <n v="107"/>
    <s v="_x0000_peopl"/>
  </r>
  <r>
    <x v="7"/>
    <n v="13.677300000000001"/>
    <n v="-89.201099999999997"/>
    <n v="12"/>
    <n v="0"/>
    <n v="0"/>
    <n v="107"/>
    <s v="_x0000_peopl"/>
  </r>
  <r>
    <x v="7"/>
    <n v="13.677300000000001"/>
    <n v="-89.200100000000006"/>
    <n v="6"/>
    <n v="0"/>
    <n v="0"/>
    <n v="107"/>
    <s v="_x0000_peopl"/>
  </r>
  <r>
    <x v="7"/>
    <n v="13.6813"/>
    <n v="-89.201800000000006"/>
    <n v="2"/>
    <n v="0"/>
    <n v="0"/>
    <n v="107"/>
    <s v="_x0000_peopl"/>
  </r>
  <r>
    <x v="7"/>
    <n v="13.6822"/>
    <n v="-89.201800000000006"/>
    <n v="3"/>
    <n v="0"/>
    <n v="0"/>
    <n v="107"/>
    <s v="_x0000_peopl"/>
  </r>
  <r>
    <x v="7"/>
    <n v="13.6822"/>
    <n v="-89.201800000000006"/>
    <n v="3"/>
    <n v="0"/>
    <n v="0"/>
    <n v="107"/>
    <s v="_x0000_peopl"/>
  </r>
  <r>
    <x v="7"/>
    <n v="13.6823"/>
    <n v="-89.201800000000006"/>
    <n v="7"/>
    <n v="0"/>
    <n v="0"/>
    <n v="107"/>
    <s v="_x0000_peopl"/>
  </r>
  <r>
    <x v="7"/>
    <n v="13.6807"/>
    <n v="-89.202100000000002"/>
    <n v="2"/>
    <n v="0"/>
    <n v="0"/>
    <n v="107"/>
    <s v="_x0000_peopl"/>
  </r>
  <r>
    <x v="7"/>
    <n v="13.6807"/>
    <n v="-89.202100000000002"/>
    <n v="10"/>
    <n v="0"/>
    <n v="0"/>
    <n v="107"/>
    <s v="_x0000_peopl"/>
  </r>
  <r>
    <x v="7"/>
    <n v="13.6807"/>
    <n v="-89.201999999999998"/>
    <n v="7"/>
    <n v="0"/>
    <n v="0"/>
    <n v="107"/>
    <s v="_x0000_peopl"/>
  </r>
  <r>
    <x v="7"/>
    <n v="13.6807"/>
    <n v="-89.201999999999998"/>
    <n v="3"/>
    <n v="0"/>
    <n v="0"/>
    <n v="107"/>
    <s v="_x0000_peopl"/>
  </r>
  <r>
    <x v="7"/>
    <n v="13.6807"/>
    <n v="-89.201899999999995"/>
    <n v="11"/>
    <n v="0"/>
    <n v="0"/>
    <n v="107"/>
    <s v="_x0000_peopl"/>
  </r>
  <r>
    <x v="7"/>
    <n v="13.6806"/>
    <n v="-89.201899999999995"/>
    <n v="6"/>
    <n v="0"/>
    <n v="0"/>
    <n v="107"/>
    <s v="_x0000_peopl"/>
  </r>
  <r>
    <x v="7"/>
    <n v="13.6806"/>
    <n v="-89.201800000000006"/>
    <n v="4"/>
    <n v="0"/>
    <n v="0"/>
    <n v="107"/>
    <s v="_x0000_peopl"/>
  </r>
  <r>
    <x v="7"/>
    <n v="13.6806"/>
    <n v="-89.201800000000006"/>
    <n v="3"/>
    <n v="0"/>
    <n v="0"/>
    <n v="107"/>
    <s v="_x0000_peopl"/>
  </r>
  <r>
    <x v="7"/>
    <n v="13.6838"/>
    <n v="-89.197400000000002"/>
    <n v="5"/>
    <n v="0"/>
    <n v="0"/>
    <n v="107"/>
    <s v="_x0000_peopl"/>
  </r>
  <r>
    <x v="7"/>
    <n v="13.6838"/>
    <n v="-89.197400000000002"/>
    <n v="2"/>
    <n v="0"/>
    <n v="0"/>
    <n v="107"/>
    <s v="_x0000_peopl"/>
  </r>
  <r>
    <x v="7"/>
    <n v="13.6838"/>
    <n v="-89.197400000000002"/>
    <n v="1"/>
    <n v="0"/>
    <n v="0"/>
    <n v="107"/>
    <s v="_x0000_peopl"/>
  </r>
  <r>
    <x v="7"/>
    <n v="13.6838"/>
    <n v="-89.197299999999998"/>
    <n v="1"/>
    <n v="0"/>
    <n v="0"/>
    <n v="107"/>
    <s v="_x0000_peopl"/>
  </r>
  <r>
    <x v="7"/>
    <n v="13.6838"/>
    <n v="-89.197299999999998"/>
    <n v="4"/>
    <n v="0"/>
    <n v="0"/>
    <n v="107"/>
    <s v="_x0000_peopl"/>
  </r>
  <r>
    <x v="7"/>
    <n v="13.6838"/>
    <n v="-89.197299999999998"/>
    <n v="6"/>
    <n v="0"/>
    <n v="0"/>
    <n v="107"/>
    <s v="_x0000_peopl"/>
  </r>
  <r>
    <x v="7"/>
    <n v="13.6838"/>
    <n v="-89.197299999999998"/>
    <n v="6"/>
    <n v="0"/>
    <n v="0"/>
    <n v="107"/>
    <s v="_x0000_peopl"/>
  </r>
  <r>
    <x v="7"/>
    <n v="13.6838"/>
    <n v="-89.197299999999998"/>
    <n v="4"/>
    <n v="0"/>
    <n v="0"/>
    <n v="107"/>
    <s v="_x0000_peopl"/>
  </r>
  <r>
    <x v="7"/>
    <n v="13.6838"/>
    <n v="-89.197299999999998"/>
    <n v="4"/>
    <n v="0"/>
    <n v="0"/>
    <n v="107"/>
    <s v="_x0000_peopl"/>
  </r>
  <r>
    <x v="7"/>
    <n v="13.6838"/>
    <n v="-89.197299999999998"/>
    <n v="7"/>
    <n v="0"/>
    <n v="0"/>
    <n v="107"/>
    <s v="_x0000_peopl"/>
  </r>
  <r>
    <x v="7"/>
    <n v="13.6839"/>
    <n v="-89.197400000000002"/>
    <n v="7"/>
    <n v="0"/>
    <n v="0"/>
    <n v="107"/>
    <s v="_x0000_peopl"/>
  </r>
  <r>
    <x v="7"/>
    <n v="13.6839"/>
    <n v="-89.197400000000002"/>
    <n v="5"/>
    <n v="0"/>
    <n v="0"/>
    <n v="107"/>
    <s v="_x0000_peopl"/>
  </r>
  <r>
    <x v="7"/>
    <n v="13.6839"/>
    <n v="-89.197400000000002"/>
    <n v="8"/>
    <n v="0"/>
    <n v="0"/>
    <n v="107"/>
    <s v="_x0000_peopl"/>
  </r>
  <r>
    <x v="7"/>
    <n v="13.6839"/>
    <n v="-89.197400000000002"/>
    <n v="5"/>
    <n v="0"/>
    <n v="0"/>
    <n v="107"/>
    <s v="_x0000_peopl"/>
  </r>
  <r>
    <x v="7"/>
    <n v="13.683999999999999"/>
    <n v="-89.197199999999995"/>
    <n v="5"/>
    <n v="0"/>
    <n v="0"/>
    <n v="107"/>
    <s v="_x0000_peopl"/>
  </r>
  <r>
    <x v="7"/>
    <n v="13.683999999999999"/>
    <n v="-89.197199999999995"/>
    <n v="8"/>
    <n v="0"/>
    <n v="0"/>
    <n v="107"/>
    <s v="_x0000_peopl"/>
  </r>
  <r>
    <x v="7"/>
    <n v="13.683999999999999"/>
    <n v="-89.197199999999995"/>
    <n v="1"/>
    <n v="0"/>
    <n v="0"/>
    <n v="107"/>
    <s v="_x0000_peopl"/>
  </r>
  <r>
    <x v="7"/>
    <n v="13.6839"/>
    <n v="-89.197199999999995"/>
    <n v="6"/>
    <n v="0"/>
    <n v="0"/>
    <n v="107"/>
    <s v="_x0000_peopl"/>
  </r>
  <r>
    <x v="7"/>
    <n v="13.6839"/>
    <n v="-89.197199999999995"/>
    <n v="10"/>
    <n v="0"/>
    <n v="0"/>
    <n v="107"/>
    <s v="_x0000_peopl"/>
  </r>
  <r>
    <x v="7"/>
    <n v="13.6839"/>
    <n v="-89.197199999999995"/>
    <n v="10"/>
    <n v="0"/>
    <n v="0"/>
    <n v="107"/>
    <s v="_x0000_peopl"/>
  </r>
  <r>
    <x v="7"/>
    <n v="13.6839"/>
    <n v="-89.197100000000006"/>
    <n v="7"/>
    <n v="0"/>
    <n v="0"/>
    <n v="107"/>
    <s v="_x0000_peopl"/>
  </r>
  <r>
    <x v="7"/>
    <n v="13.6839"/>
    <n v="-89.197100000000006"/>
    <n v="6"/>
    <n v="0"/>
    <n v="0"/>
    <n v="107"/>
    <s v="_x0000_peopl"/>
  </r>
  <r>
    <x v="7"/>
    <n v="13.6839"/>
    <n v="-89.197100000000006"/>
    <n v="4"/>
    <n v="0"/>
    <n v="0"/>
    <n v="107"/>
    <s v="_x0000_peopl"/>
  </r>
  <r>
    <x v="7"/>
    <n v="13.6839"/>
    <n v="-89.197100000000006"/>
    <n v="6"/>
    <n v="0"/>
    <n v="0"/>
    <n v="107"/>
    <s v="_x0000_peopl"/>
  </r>
  <r>
    <x v="7"/>
    <n v="13.6839"/>
    <n v="-89.197100000000006"/>
    <n v="6"/>
    <n v="0"/>
    <n v="0"/>
    <n v="107"/>
    <s v="_x0000_peopl"/>
  </r>
  <r>
    <x v="7"/>
    <n v="13.6839"/>
    <n v="-89.197100000000006"/>
    <n v="6"/>
    <n v="0"/>
    <n v="0"/>
    <n v="107"/>
    <s v="_x0000_peopl"/>
  </r>
  <r>
    <x v="7"/>
    <n v="13.6839"/>
    <n v="-89.196899999999999"/>
    <n v="6"/>
    <n v="0"/>
    <n v="0"/>
    <n v="107"/>
    <s v="_x0000_peopl"/>
  </r>
  <r>
    <x v="7"/>
    <n v="13.6839"/>
    <n v="-89.196899999999999"/>
    <n v="5"/>
    <n v="0"/>
    <n v="0"/>
    <n v="107"/>
    <s v="_x0000_peopl"/>
  </r>
  <r>
    <x v="7"/>
    <n v="13.6839"/>
    <n v="-89.196899999999999"/>
    <n v="7"/>
    <n v="0"/>
    <n v="0"/>
    <n v="107"/>
    <s v="_x0000_peopl"/>
  </r>
  <r>
    <x v="7"/>
    <n v="13.6839"/>
    <n v="-89.196899999999999"/>
    <n v="5"/>
    <n v="0"/>
    <n v="0"/>
    <n v="107"/>
    <s v="_x0000_peopl"/>
  </r>
  <r>
    <x v="7"/>
    <n v="13.6839"/>
    <n v="-89.196799999999996"/>
    <n v="7"/>
    <n v="0"/>
    <n v="0"/>
    <n v="107"/>
    <s v="_x0000_peopl"/>
  </r>
  <r>
    <x v="7"/>
    <n v="13.6839"/>
    <n v="-89.196799999999996"/>
    <n v="3"/>
    <n v="0"/>
    <n v="0"/>
    <n v="107"/>
    <s v="_x0000_peopl"/>
  </r>
  <r>
    <x v="7"/>
    <n v="13.6839"/>
    <n v="-89.196799999999996"/>
    <n v="3"/>
    <n v="0"/>
    <n v="0"/>
    <n v="107"/>
    <s v="_x0000_peopl"/>
  </r>
  <r>
    <x v="7"/>
    <n v="13.6839"/>
    <n v="-89.196799999999996"/>
    <n v="7"/>
    <n v="0"/>
    <n v="0"/>
    <n v="107"/>
    <s v="_x0000_peopl"/>
  </r>
  <r>
    <x v="7"/>
    <n v="13.6838"/>
    <n v="-89.196899999999999"/>
    <n v="4"/>
    <n v="0"/>
    <n v="0"/>
    <n v="107"/>
    <s v="_x0000_peopl"/>
  </r>
  <r>
    <x v="7"/>
    <n v="13.6838"/>
    <n v="-89.196899999999999"/>
    <n v="4"/>
    <n v="0"/>
    <n v="0"/>
    <n v="107"/>
    <s v="_x0000_peopl"/>
  </r>
  <r>
    <x v="7"/>
    <n v="13.6838"/>
    <n v="-89.196899999999999"/>
    <n v="5"/>
    <n v="0"/>
    <n v="0"/>
    <n v="107"/>
    <s v="_x0000_peopl"/>
  </r>
  <r>
    <x v="7"/>
    <n v="13.6838"/>
    <n v="-89.196899999999999"/>
    <n v="5"/>
    <n v="0"/>
    <n v="0"/>
    <n v="107"/>
    <s v="_x0000_peopl"/>
  </r>
  <r>
    <x v="7"/>
    <n v="13.6839"/>
    <n v="-89.197000000000003"/>
    <n v="7"/>
    <n v="0"/>
    <n v="0"/>
    <n v="107"/>
    <s v="_x0000_peopl"/>
  </r>
  <r>
    <x v="7"/>
    <n v="13.6839"/>
    <n v="-89.197000000000003"/>
    <n v="3"/>
    <n v="0"/>
    <n v="0"/>
    <n v="107"/>
    <s v="_x0000_peopl"/>
  </r>
  <r>
    <x v="7"/>
    <n v="13.6839"/>
    <n v="-89.197000000000003"/>
    <n v="3"/>
    <n v="0"/>
    <n v="0"/>
    <n v="107"/>
    <s v="_x0000_peopl"/>
  </r>
  <r>
    <x v="7"/>
    <n v="13.6839"/>
    <n v="-89.197000000000003"/>
    <n v="5"/>
    <n v="0"/>
    <n v="0"/>
    <n v="107"/>
    <s v="_x0000_peopl"/>
  </r>
  <r>
    <x v="7"/>
    <n v="13.6844"/>
    <n v="-89.1965"/>
    <n v="5"/>
    <n v="0"/>
    <n v="0"/>
    <n v="107"/>
    <s v="_x0000_peopl"/>
  </r>
  <r>
    <x v="7"/>
    <n v="13.683199999999999"/>
    <n v="-89.197100000000006"/>
    <n v="3"/>
    <n v="0"/>
    <n v="0"/>
    <n v="107"/>
    <s v="_x0000_peopl"/>
  </r>
  <r>
    <x v="7"/>
    <n v="13.683199999999999"/>
    <n v="-89.197100000000006"/>
    <n v="3"/>
    <n v="0"/>
    <n v="0"/>
    <n v="107"/>
    <s v="_x0000_peopl"/>
  </r>
  <r>
    <x v="7"/>
    <n v="13.6831"/>
    <n v="-89.197100000000006"/>
    <n v="9"/>
    <n v="0"/>
    <n v="0"/>
    <n v="107"/>
    <s v="_x0000_peopl"/>
  </r>
  <r>
    <x v="7"/>
    <n v="13.6829"/>
    <n v="-89.197199999999995"/>
    <n v="4"/>
    <n v="0"/>
    <n v="0"/>
    <n v="107"/>
    <s v="_x0000_peopl"/>
  </r>
  <r>
    <x v="7"/>
    <n v="13.6829"/>
    <n v="-89.197199999999995"/>
    <n v="3"/>
    <n v="0"/>
    <n v="0"/>
    <n v="107"/>
    <s v="_x0000_peopl"/>
  </r>
  <r>
    <x v="7"/>
    <n v="13.683"/>
    <n v="-89.197500000000005"/>
    <n v="6"/>
    <n v="0"/>
    <n v="0"/>
    <n v="107"/>
    <s v="_x0000_peopl"/>
  </r>
  <r>
    <x v="7"/>
    <n v="13.683"/>
    <n v="-89.197500000000005"/>
    <n v="7"/>
    <n v="0"/>
    <n v="0"/>
    <n v="107"/>
    <s v="_x0000_peopl"/>
  </r>
  <r>
    <x v="7"/>
    <n v="13.6829"/>
    <n v="-89.197800000000001"/>
    <n v="4"/>
    <n v="0"/>
    <n v="0"/>
    <n v="107"/>
    <s v="_x0000_peopl"/>
  </r>
  <r>
    <x v="7"/>
    <n v="13.6829"/>
    <n v="-89.197999999999993"/>
    <n v="4"/>
    <n v="0"/>
    <n v="0"/>
    <n v="107"/>
    <s v="_x0000_peopl"/>
  </r>
  <r>
    <x v="7"/>
    <n v="13.683199999999999"/>
    <n v="-89.197800000000001"/>
    <n v="6"/>
    <n v="0"/>
    <n v="0"/>
    <n v="107"/>
    <s v="_x0000_peopl"/>
  </r>
  <r>
    <x v="7"/>
    <n v="13.683199999999999"/>
    <n v="-89.197800000000001"/>
    <n v="7"/>
    <n v="0"/>
    <n v="0"/>
    <n v="107"/>
    <s v="_x0000_peopl"/>
  </r>
  <r>
    <x v="7"/>
    <n v="13.6831"/>
    <n v="-89.196799999999996"/>
    <n v="7"/>
    <n v="0"/>
    <n v="0"/>
    <n v="107"/>
    <s v="_x0000_peopl"/>
  </r>
  <r>
    <x v="7"/>
    <n v="13.685700000000001"/>
    <n v="-89.190899999999999"/>
    <n v="7"/>
    <n v="0"/>
    <n v="0"/>
    <n v="107"/>
    <s v="_x0000_peopl"/>
  </r>
  <r>
    <x v="7"/>
    <n v="13.6858"/>
    <n v="-89.190799999999996"/>
    <n v="4"/>
    <n v="0"/>
    <n v="0"/>
    <n v="107"/>
    <s v="_x0000_peopl"/>
  </r>
  <r>
    <x v="7"/>
    <n v="13.685700000000001"/>
    <n v="-89.190799999999996"/>
    <n v="10"/>
    <n v="0"/>
    <n v="0"/>
    <n v="107"/>
    <s v="_x0000_peopl"/>
  </r>
  <r>
    <x v="7"/>
    <n v="13.6858"/>
    <n v="-89.191100000000006"/>
    <n v="11"/>
    <n v="0"/>
    <n v="0"/>
    <n v="107"/>
    <s v="_x0000_peopl"/>
  </r>
  <r>
    <x v="7"/>
    <n v="13.6858"/>
    <n v="-89.191100000000006"/>
    <n v="4"/>
    <n v="0"/>
    <n v="0"/>
    <n v="107"/>
    <s v="_x0000_peopl"/>
  </r>
  <r>
    <x v="7"/>
    <n v="13.6858"/>
    <n v="-89.191199999999995"/>
    <n v="5"/>
    <n v="0"/>
    <n v="0"/>
    <n v="107"/>
    <s v="_x0000_peopl"/>
  </r>
  <r>
    <x v="7"/>
    <n v="13.685600000000001"/>
    <n v="-89.191599999999994"/>
    <n v="3"/>
    <n v="0"/>
    <n v="0"/>
    <n v="107"/>
    <s v="_x0000_peopl"/>
  </r>
  <r>
    <x v="7"/>
    <n v="13.685700000000001"/>
    <n v="-89.191599999999994"/>
    <n v="3"/>
    <n v="0"/>
    <n v="0"/>
    <n v="107"/>
    <s v="_x0000_peopl"/>
  </r>
  <r>
    <x v="7"/>
    <n v="13.685700000000001"/>
    <n v="-89.191599999999994"/>
    <n v="3"/>
    <n v="0"/>
    <n v="0"/>
    <n v="107"/>
    <s v="_x0000_peopl"/>
  </r>
  <r>
    <x v="7"/>
    <n v="13.685700000000001"/>
    <n v="-89.191699999999997"/>
    <n v="7"/>
    <n v="0"/>
    <n v="0"/>
    <n v="107"/>
    <s v="_x0000_peopl"/>
  </r>
  <r>
    <x v="7"/>
    <n v="13.685700000000001"/>
    <n v="-89.191699999999997"/>
    <n v="6"/>
    <n v="0"/>
    <n v="0"/>
    <n v="107"/>
    <s v="_x0000_peopl"/>
  </r>
  <r>
    <x v="7"/>
    <n v="13.685700000000001"/>
    <n v="-89.191699999999997"/>
    <n v="8"/>
    <n v="0"/>
    <n v="0"/>
    <n v="107"/>
    <s v="_x0000_peopl"/>
  </r>
  <r>
    <x v="7"/>
    <n v="13.685700000000001"/>
    <n v="-89.191800000000001"/>
    <n v="6"/>
    <n v="0"/>
    <n v="0"/>
    <n v="107"/>
    <s v="_x0000_peopl"/>
  </r>
  <r>
    <x v="7"/>
    <n v="13.685700000000001"/>
    <n v="-89.191800000000001"/>
    <n v="4"/>
    <n v="0"/>
    <n v="0"/>
    <n v="107"/>
    <s v="_x0000_peopl"/>
  </r>
  <r>
    <x v="7"/>
    <n v="13.685499999999999"/>
    <n v="-89.191800000000001"/>
    <n v="8"/>
    <n v="0"/>
    <n v="0"/>
    <n v="107"/>
    <s v="_x0000_peopl"/>
  </r>
  <r>
    <x v="7"/>
    <n v="13.685600000000001"/>
    <n v="-89.191000000000003"/>
    <n v="11"/>
    <n v="0"/>
    <n v="0"/>
    <n v="107"/>
    <s v="_x0000_peopl"/>
  </r>
  <r>
    <x v="7"/>
    <n v="13.685600000000001"/>
    <n v="-89.190799999999996"/>
    <n v="6"/>
    <n v="0"/>
    <n v="0"/>
    <n v="107"/>
    <s v="_x0000_peopl"/>
  </r>
  <r>
    <x v="7"/>
    <n v="13.685499999999999"/>
    <n v="-89.190899999999999"/>
    <n v="6"/>
    <n v="0"/>
    <n v="0"/>
    <n v="107"/>
    <s v="_x0000_peopl"/>
  </r>
  <r>
    <x v="7"/>
    <n v="13.6852"/>
    <n v="-89.191800000000001"/>
    <n v="9"/>
    <n v="0"/>
    <n v="0"/>
    <n v="107"/>
    <s v="_x0000_peopl"/>
  </r>
  <r>
    <x v="7"/>
    <n v="13.6851"/>
    <n v="-89.191800000000001"/>
    <n v="5"/>
    <n v="0"/>
    <n v="0"/>
    <n v="107"/>
    <s v="_x0000_peopl"/>
  </r>
  <r>
    <x v="7"/>
    <n v="13.685"/>
    <n v="-89.191699999999997"/>
    <n v="5"/>
    <n v="0"/>
    <n v="0"/>
    <n v="107"/>
    <s v="_x0000_peopl"/>
  </r>
  <r>
    <x v="7"/>
    <n v="13.685"/>
    <n v="-89.191699999999997"/>
    <n v="7"/>
    <n v="0"/>
    <n v="0"/>
    <n v="107"/>
    <s v="_x0000_peopl"/>
  </r>
  <r>
    <x v="7"/>
    <n v="13.685"/>
    <n v="-89.191699999999997"/>
    <n v="2"/>
    <n v="0"/>
    <n v="0"/>
    <n v="107"/>
    <s v="_x0000_peopl"/>
  </r>
  <r>
    <x v="7"/>
    <n v="13.685"/>
    <n v="-89.191500000000005"/>
    <n v="5"/>
    <n v="0"/>
    <n v="0"/>
    <n v="107"/>
    <s v="_x0000_peopl"/>
  </r>
  <r>
    <x v="7"/>
    <n v="13.6851"/>
    <n v="-89.191000000000003"/>
    <n v="8"/>
    <n v="0"/>
    <n v="0"/>
    <n v="107"/>
    <s v="_x0000_peopl"/>
  </r>
  <r>
    <x v="7"/>
    <n v="13.6851"/>
    <n v="-89.191000000000003"/>
    <n v="6"/>
    <n v="0"/>
    <n v="0"/>
    <n v="107"/>
    <s v="_x0000_peopl"/>
  </r>
  <r>
    <x v="7"/>
    <n v="13.684900000000001"/>
    <n v="-89.191199999999995"/>
    <n v="7"/>
    <n v="0"/>
    <n v="0"/>
    <n v="107"/>
    <s v="_x0000_peopl"/>
  </r>
  <r>
    <x v="7"/>
    <n v="13.684900000000001"/>
    <n v="-89.191100000000006"/>
    <n v="6"/>
    <n v="0"/>
    <n v="0"/>
    <n v="107"/>
    <s v="_x0000_peopl"/>
  </r>
  <r>
    <x v="7"/>
    <n v="13.685"/>
    <n v="-89.191000000000003"/>
    <n v="4"/>
    <n v="0"/>
    <n v="0"/>
    <n v="107"/>
    <s v="_x0000_peopl"/>
  </r>
  <r>
    <x v="7"/>
    <n v="13.6861"/>
    <n v="-89.191699999999997"/>
    <n v="4"/>
    <n v="0"/>
    <n v="0"/>
    <n v="107"/>
    <s v="_x0000_peopl"/>
  </r>
  <r>
    <x v="7"/>
    <n v="13.6858"/>
    <n v="-89.191800000000001"/>
    <n v="6"/>
    <n v="0"/>
    <n v="0"/>
    <n v="107"/>
    <s v="_x0000_peopl"/>
  </r>
  <r>
    <x v="7"/>
    <n v="13.686"/>
    <n v="-89.190600000000003"/>
    <n v="5"/>
    <n v="0"/>
    <n v="0"/>
    <n v="107"/>
    <s v="_x0000_peopl"/>
  </r>
  <r>
    <x v="7"/>
    <n v="13.686299999999999"/>
    <n v="-89.1905"/>
    <n v="5"/>
    <n v="0"/>
    <n v="0"/>
    <n v="107"/>
    <s v="_x0000_peopl"/>
  </r>
  <r>
    <x v="7"/>
    <n v="13.685700000000001"/>
    <n v="-89.190600000000003"/>
    <n v="5"/>
    <n v="0"/>
    <n v="0"/>
    <n v="107"/>
    <s v="_x0000_peopl"/>
  </r>
  <r>
    <x v="7"/>
    <n v="13.685700000000001"/>
    <n v="-89.190299999999993"/>
    <n v="6"/>
    <n v="0"/>
    <n v="0"/>
    <n v="107"/>
    <s v="_x0000_peopl"/>
  </r>
  <r>
    <x v="7"/>
    <n v="13.6858"/>
    <n v="-89.190600000000003"/>
    <n v="7"/>
    <n v="0"/>
    <n v="0"/>
    <n v="107"/>
    <s v="_x0000_peopl"/>
  </r>
  <r>
    <x v="7"/>
    <n v="13.6858"/>
    <n v="-89.190600000000003"/>
    <n v="5"/>
    <n v="0"/>
    <n v="0"/>
    <n v="107"/>
    <s v="_x0000_peopl"/>
  </r>
  <r>
    <x v="7"/>
    <n v="13.685499999999999"/>
    <n v="-89.192400000000006"/>
    <n v="9"/>
    <n v="0"/>
    <n v="0"/>
    <n v="107"/>
    <s v="_x0000_peopl"/>
  </r>
  <r>
    <x v="7"/>
    <n v="13.685499999999999"/>
    <n v="-89.192499999999995"/>
    <n v="4"/>
    <n v="0"/>
    <n v="0"/>
    <n v="107"/>
    <s v="_x0000_peopl"/>
  </r>
  <r>
    <x v="7"/>
    <n v="13.685499999999999"/>
    <n v="-89.192499999999995"/>
    <n v="6"/>
    <n v="0"/>
    <n v="0"/>
    <n v="107"/>
    <s v="_x0000_peopl"/>
  </r>
  <r>
    <x v="7"/>
    <n v="13.685700000000001"/>
    <n v="-89.193100000000001"/>
    <n v="4"/>
    <n v="0"/>
    <n v="0"/>
    <n v="107"/>
    <s v="_x0000_peopl"/>
  </r>
  <r>
    <x v="7"/>
    <n v="13.6839"/>
    <n v="-89.198499999999996"/>
    <n v="2"/>
    <n v="0"/>
    <n v="0"/>
    <n v="107"/>
    <s v="_x0000_peopl"/>
  </r>
  <r>
    <x v="7"/>
    <n v="13.6838"/>
    <n v="-89.198499999999996"/>
    <n v="2"/>
    <n v="0"/>
    <n v="0"/>
    <n v="107"/>
    <s v="_x0000_peopl"/>
  </r>
  <r>
    <x v="7"/>
    <n v="13.6838"/>
    <n v="-89.198499999999996"/>
    <n v="5"/>
    <n v="0"/>
    <n v="0"/>
    <n v="107"/>
    <s v="_x0000_peopl"/>
  </r>
  <r>
    <x v="7"/>
    <n v="13.6838"/>
    <n v="-89.197400000000002"/>
    <n v="7"/>
    <n v="0"/>
    <n v="0"/>
    <n v="107"/>
    <s v="_x0000_peopl"/>
  </r>
  <r>
    <x v="7"/>
    <n v="13.6838"/>
    <n v="-89.197299999999998"/>
    <n v="2"/>
    <n v="0"/>
    <n v="0"/>
    <n v="107"/>
    <s v="_x0000_peopl"/>
  </r>
  <r>
    <x v="7"/>
    <n v="13.6836"/>
    <n v="-89.197599999999994"/>
    <n v="3"/>
    <n v="0"/>
    <n v="0"/>
    <n v="107"/>
    <s v="_x0000_peopl"/>
  </r>
  <r>
    <x v="7"/>
    <n v="13.683299999999999"/>
    <n v="-89.197100000000006"/>
    <n v="5"/>
    <n v="0"/>
    <n v="0"/>
    <n v="107"/>
    <s v="_x0000_peopl"/>
  </r>
  <r>
    <x v="7"/>
    <n v="13.682600000000001"/>
    <n v="-89.197800000000001"/>
    <n v="3"/>
    <n v="0"/>
    <n v="0"/>
    <n v="107"/>
    <s v="_x0000_peopl"/>
  </r>
  <r>
    <x v="7"/>
    <n v="13.682499999999999"/>
    <n v="-89.197699999999998"/>
    <n v="5"/>
    <n v="0"/>
    <n v="0"/>
    <n v="107"/>
    <s v="_x0000_peopl"/>
  </r>
  <r>
    <x v="7"/>
    <n v="13.688599999999999"/>
    <n v="-89.208399999999997"/>
    <n v="10"/>
    <n v="0"/>
    <n v="0"/>
    <n v="107"/>
    <s v="_x0000_peopl"/>
  </r>
  <r>
    <x v="7"/>
    <n v="13.688599999999999"/>
    <n v="-89.208399999999997"/>
    <n v="2"/>
    <n v="0"/>
    <n v="0"/>
    <n v="107"/>
    <s v="_x0000_peopl"/>
  </r>
  <r>
    <x v="7"/>
    <n v="13.688599999999999"/>
    <n v="-89.208399999999997"/>
    <n v="4"/>
    <n v="0"/>
    <n v="0"/>
    <n v="107"/>
    <s v="_x0000_peopl"/>
  </r>
  <r>
    <x v="7"/>
    <n v="13.688599999999999"/>
    <n v="-89.208399999999997"/>
    <n v="3"/>
    <n v="0"/>
    <n v="0"/>
    <n v="107"/>
    <s v="_x0000_peopl"/>
  </r>
  <r>
    <x v="7"/>
    <n v="13.688499999999999"/>
    <n v="-89.208399999999997"/>
    <n v="4"/>
    <n v="0"/>
    <n v="0"/>
    <n v="107"/>
    <s v="_x0000_peopl"/>
  </r>
  <r>
    <x v="7"/>
    <n v="13.688499999999999"/>
    <n v="-89.208399999999997"/>
    <n v="0"/>
    <n v="0"/>
    <n v="0"/>
    <n v="107"/>
    <s v="_x0000_peopl"/>
  </r>
  <r>
    <x v="7"/>
    <n v="13.688499999999999"/>
    <n v="-89.208399999999997"/>
    <n v="2"/>
    <n v="0"/>
    <n v="0"/>
    <n v="107"/>
    <s v="_x0000_peopl"/>
  </r>
  <r>
    <x v="7"/>
    <n v="13.688499999999999"/>
    <n v="-89.208399999999997"/>
    <n v="4"/>
    <n v="0"/>
    <n v="0"/>
    <n v="107"/>
    <s v="_x0000_peopl"/>
  </r>
  <r>
    <x v="7"/>
    <n v="13.688499999999999"/>
    <n v="-89.208399999999997"/>
    <n v="4"/>
    <n v="0"/>
    <n v="0"/>
    <n v="107"/>
    <s v="_x0000_peopl"/>
  </r>
  <r>
    <x v="7"/>
    <n v="13.688499999999999"/>
    <n v="-89.208399999999997"/>
    <n v="6"/>
    <n v="0"/>
    <n v="0"/>
    <n v="107"/>
    <s v="_x0000_peopl"/>
  </r>
  <r>
    <x v="7"/>
    <n v="13.6884"/>
    <n v="-89.208399999999997"/>
    <n v="5"/>
    <n v="0"/>
    <n v="0"/>
    <n v="107"/>
    <s v="_x0000_peopl"/>
  </r>
  <r>
    <x v="7"/>
    <n v="13.6884"/>
    <n v="-89.208399999999997"/>
    <n v="5"/>
    <n v="0"/>
    <n v="0"/>
    <n v="107"/>
    <s v="_x0000_peopl"/>
  </r>
  <r>
    <x v="7"/>
    <n v="13.688599999999999"/>
    <n v="-89.208200000000005"/>
    <n v="4"/>
    <n v="0"/>
    <n v="0"/>
    <n v="107"/>
    <s v="_x0000_peopl"/>
  </r>
  <r>
    <x v="7"/>
    <n v="13.688599999999999"/>
    <n v="-89.208200000000005"/>
    <n v="3"/>
    <n v="0"/>
    <n v="0"/>
    <n v="107"/>
    <s v="_x0000_peopl"/>
  </r>
  <r>
    <x v="7"/>
    <n v="13.688599999999999"/>
    <n v="-89.208200000000005"/>
    <n v="7"/>
    <n v="0"/>
    <n v="0"/>
    <n v="107"/>
    <s v="_x0000_peopl"/>
  </r>
  <r>
    <x v="7"/>
    <n v="13.688599999999999"/>
    <n v="-89.208200000000005"/>
    <n v="2"/>
    <n v="0"/>
    <n v="0"/>
    <n v="107"/>
    <s v="_x0000_peopl"/>
  </r>
  <r>
    <x v="7"/>
    <n v="13.688499999999999"/>
    <n v="-89.208200000000005"/>
    <n v="4"/>
    <n v="0"/>
    <n v="0"/>
    <n v="107"/>
    <s v="_x0000_peopl"/>
  </r>
  <r>
    <x v="7"/>
    <n v="13.688499999999999"/>
    <n v="-89.208200000000005"/>
    <n v="7"/>
    <n v="0"/>
    <n v="0"/>
    <n v="107"/>
    <s v="_x0000_peopl"/>
  </r>
  <r>
    <x v="7"/>
    <n v="13.688499999999999"/>
    <n v="-89.208200000000005"/>
    <n v="8"/>
    <n v="0"/>
    <n v="0"/>
    <n v="107"/>
    <s v="_x0000_peopl"/>
  </r>
  <r>
    <x v="7"/>
    <n v="13.688499999999999"/>
    <n v="-89.208200000000005"/>
    <n v="5"/>
    <n v="0"/>
    <n v="0"/>
    <n v="107"/>
    <s v="_x0000_peopl"/>
  </r>
  <r>
    <x v="7"/>
    <n v="13.6884"/>
    <n v="-89.208200000000005"/>
    <n v="5"/>
    <n v="0"/>
    <n v="0"/>
    <n v="107"/>
    <s v="_x0000_peopl"/>
  </r>
  <r>
    <x v="7"/>
    <n v="13.6884"/>
    <n v="-89.208200000000005"/>
    <n v="4"/>
    <n v="0"/>
    <n v="0"/>
    <n v="107"/>
    <s v="_x0000_peopl"/>
  </r>
  <r>
    <x v="7"/>
    <n v="13.6884"/>
    <n v="-89.208200000000005"/>
    <n v="10"/>
    <n v="0"/>
    <n v="0"/>
    <n v="107"/>
    <s v="_x0000_peopl"/>
  </r>
  <r>
    <x v="7"/>
    <n v="13.6884"/>
    <n v="-89.208200000000005"/>
    <n v="1"/>
    <n v="0"/>
    <n v="0"/>
    <n v="107"/>
    <s v="_x0000_peopl"/>
  </r>
  <r>
    <x v="7"/>
    <n v="13.6884"/>
    <n v="-89.208399999999997"/>
    <n v="2"/>
    <n v="0"/>
    <n v="0"/>
    <n v="107"/>
    <s v="_x0000_peopl"/>
  </r>
  <r>
    <x v="7"/>
    <n v="13.6884"/>
    <n v="-89.208399999999997"/>
    <n v="2"/>
    <n v="0"/>
    <n v="0"/>
    <n v="107"/>
    <s v="_x0000_peopl"/>
  </r>
  <r>
    <x v="7"/>
    <n v="13.6884"/>
    <n v="-89.208399999999997"/>
    <n v="4"/>
    <n v="0"/>
    <n v="0"/>
    <n v="107"/>
    <s v="_x0000_peopl"/>
  </r>
  <r>
    <x v="7"/>
    <n v="13.6884"/>
    <n v="-89.208399999999997"/>
    <n v="10"/>
    <n v="0"/>
    <n v="0"/>
    <n v="107"/>
    <s v="_x0000_peopl"/>
  </r>
  <r>
    <x v="7"/>
    <n v="13.6884"/>
    <n v="-89.208200000000005"/>
    <n v="4"/>
    <n v="0"/>
    <n v="0"/>
    <n v="107"/>
    <s v="_x0000_peopl"/>
  </r>
  <r>
    <x v="7"/>
    <n v="13.6883"/>
    <n v="-89.208200000000005"/>
    <n v="2"/>
    <n v="0"/>
    <n v="0"/>
    <n v="107"/>
    <s v="_x0000_peopl"/>
  </r>
  <r>
    <x v="7"/>
    <n v="13.6883"/>
    <n v="-89.208200000000005"/>
    <n v="0"/>
    <n v="0"/>
    <n v="0"/>
    <n v="107"/>
    <s v="_x0000_peopl"/>
  </r>
  <r>
    <x v="7"/>
    <n v="13.6883"/>
    <n v="-89.208200000000005"/>
    <n v="2"/>
    <n v="0"/>
    <n v="0"/>
    <n v="107"/>
    <s v="_x0000_peopl"/>
  </r>
  <r>
    <x v="7"/>
    <n v="13.6883"/>
    <n v="-89.207999999999998"/>
    <n v="6"/>
    <n v="0"/>
    <n v="0"/>
    <n v="107"/>
    <s v="_x0000_peopl"/>
  </r>
  <r>
    <x v="7"/>
    <n v="13.6883"/>
    <n v="-89.207999999999998"/>
    <n v="3"/>
    <n v="0"/>
    <n v="0"/>
    <n v="107"/>
    <s v="_x0000_peopl"/>
  </r>
  <r>
    <x v="7"/>
    <n v="13.6884"/>
    <n v="-89.207999999999998"/>
    <n v="2"/>
    <n v="0"/>
    <n v="0"/>
    <n v="107"/>
    <s v="_x0000_peopl"/>
  </r>
  <r>
    <x v="7"/>
    <n v="13.6884"/>
    <n v="-89.207999999999998"/>
    <n v="7"/>
    <n v="0"/>
    <n v="0"/>
    <n v="107"/>
    <s v="_x0000_peopl"/>
  </r>
  <r>
    <x v="7"/>
    <n v="13.6884"/>
    <n v="-89.207999999999998"/>
    <n v="1"/>
    <n v="0"/>
    <n v="0"/>
    <n v="107"/>
    <s v="_x0000_peopl"/>
  </r>
  <r>
    <x v="7"/>
    <n v="13.6884"/>
    <n v="-89.207999999999998"/>
    <n v="7"/>
    <n v="0"/>
    <n v="0"/>
    <n v="107"/>
    <s v="_x0000_peopl"/>
  </r>
  <r>
    <x v="7"/>
    <n v="13.6884"/>
    <n v="-89.207999999999998"/>
    <n v="1"/>
    <n v="0"/>
    <n v="0"/>
    <n v="107"/>
    <s v="_x0000_peopl"/>
  </r>
  <r>
    <x v="7"/>
    <n v="13.6884"/>
    <n v="-89.207999999999998"/>
    <n v="9"/>
    <n v="0"/>
    <n v="0"/>
    <n v="107"/>
    <s v="_x0000_peopl"/>
  </r>
  <r>
    <x v="7"/>
    <n v="13.688499999999999"/>
    <n v="-89.207800000000006"/>
    <n v="2"/>
    <n v="0"/>
    <n v="0"/>
    <n v="107"/>
    <s v="_x0000_peopl"/>
  </r>
  <r>
    <x v="7"/>
    <n v="13.688499999999999"/>
    <n v="-89.207800000000006"/>
    <n v="7"/>
    <n v="0"/>
    <n v="0"/>
    <n v="107"/>
    <s v="_x0000_peopl"/>
  </r>
  <r>
    <x v="7"/>
    <n v="13.688499999999999"/>
    <n v="-89.207800000000006"/>
    <n v="3"/>
    <n v="0"/>
    <n v="0"/>
    <n v="107"/>
    <s v="_x0000_peopl"/>
  </r>
  <r>
    <x v="7"/>
    <n v="13.6884"/>
    <n v="-89.207800000000006"/>
    <n v="3"/>
    <n v="0"/>
    <n v="0"/>
    <n v="107"/>
    <s v="_x0000_peopl"/>
  </r>
  <r>
    <x v="7"/>
    <n v="13.6884"/>
    <n v="-89.207800000000006"/>
    <n v="7"/>
    <n v="0"/>
    <n v="0"/>
    <n v="107"/>
    <s v="_x0000_peopl"/>
  </r>
  <r>
    <x v="7"/>
    <n v="13.6884"/>
    <n v="-89.207800000000006"/>
    <n v="9"/>
    <n v="0"/>
    <n v="0"/>
    <n v="107"/>
    <s v="_x0000_peopl"/>
  </r>
  <r>
    <x v="7"/>
    <n v="13.6884"/>
    <n v="-89.207800000000006"/>
    <n v="5"/>
    <n v="0"/>
    <n v="0"/>
    <n v="107"/>
    <s v="_x0000_peopl"/>
  </r>
  <r>
    <x v="7"/>
    <n v="13.6884"/>
    <n v="-89.207800000000006"/>
    <n v="4"/>
    <n v="0"/>
    <n v="0"/>
    <n v="107"/>
    <s v="_x0000_peopl"/>
  </r>
  <r>
    <x v="7"/>
    <n v="13.6883"/>
    <n v="-89.207800000000006"/>
    <n v="2"/>
    <n v="0"/>
    <n v="0"/>
    <n v="107"/>
    <s v="_x0000_peopl"/>
  </r>
  <r>
    <x v="7"/>
    <n v="13.6883"/>
    <n v="-89.207800000000006"/>
    <n v="6"/>
    <n v="0"/>
    <n v="0"/>
    <n v="107"/>
    <s v="_x0000_peopl"/>
  </r>
  <r>
    <x v="7"/>
    <n v="13.6883"/>
    <n v="-89.207800000000006"/>
    <n v="8"/>
    <n v="0"/>
    <n v="0"/>
    <n v="107"/>
    <s v="_x0000_peopl"/>
  </r>
  <r>
    <x v="7"/>
    <n v="13.6883"/>
    <n v="-89.207800000000006"/>
    <n v="5"/>
    <n v="0"/>
    <n v="0"/>
    <n v="107"/>
    <s v="_x0000_peopl"/>
  </r>
  <r>
    <x v="7"/>
    <n v="13.688499999999999"/>
    <n v="-89.207599999999999"/>
    <n v="8"/>
    <n v="0"/>
    <n v="0"/>
    <n v="107"/>
    <s v="_x0000_peopl"/>
  </r>
  <r>
    <x v="7"/>
    <n v="13.6884"/>
    <n v="-89.207599999999999"/>
    <n v="6"/>
    <n v="0"/>
    <n v="0"/>
    <n v="107"/>
    <s v="_x0000_peopl"/>
  </r>
  <r>
    <x v="7"/>
    <n v="13.6884"/>
    <n v="-89.207599999999999"/>
    <n v="2"/>
    <n v="0"/>
    <n v="0"/>
    <n v="107"/>
    <s v="_x0000_peopl"/>
  </r>
  <r>
    <x v="7"/>
    <n v="13.6884"/>
    <n v="-89.207599999999999"/>
    <n v="6"/>
    <n v="0"/>
    <n v="0"/>
    <n v="107"/>
    <s v="_x0000_peopl"/>
  </r>
  <r>
    <x v="7"/>
    <n v="13.6884"/>
    <n v="-89.207599999999999"/>
    <n v="4"/>
    <n v="0"/>
    <n v="0"/>
    <n v="107"/>
    <s v="_x0000_peopl"/>
  </r>
  <r>
    <x v="7"/>
    <n v="13.6884"/>
    <n v="-89.207599999999999"/>
    <n v="1"/>
    <n v="0"/>
    <n v="0"/>
    <n v="107"/>
    <s v="_x0000_peopl"/>
  </r>
  <r>
    <x v="7"/>
    <n v="13.6884"/>
    <n v="-89.207599999999999"/>
    <n v="5"/>
    <n v="0"/>
    <n v="0"/>
    <n v="107"/>
    <s v="_x0000_peopl"/>
  </r>
  <r>
    <x v="7"/>
    <n v="13.6883"/>
    <n v="-89.207599999999999"/>
    <n v="6"/>
    <n v="0"/>
    <n v="0"/>
    <n v="107"/>
    <s v="_x0000_peopl"/>
  </r>
  <r>
    <x v="7"/>
    <n v="13.6883"/>
    <n v="-89.207599999999999"/>
    <n v="4"/>
    <n v="0"/>
    <n v="0"/>
    <n v="107"/>
    <s v="_x0000_peopl"/>
  </r>
  <r>
    <x v="7"/>
    <n v="13.6883"/>
    <n v="-89.207599999999999"/>
    <n v="10"/>
    <n v="0"/>
    <n v="0"/>
    <n v="107"/>
    <s v="_x0000_peopl"/>
  </r>
  <r>
    <x v="7"/>
    <n v="13.6883"/>
    <n v="-89.207599999999999"/>
    <n v="5"/>
    <n v="0"/>
    <n v="0"/>
    <n v="107"/>
    <s v="_x0000_peopl"/>
  </r>
  <r>
    <x v="7"/>
    <n v="13.6883"/>
    <n v="-89.207599999999999"/>
    <n v="3"/>
    <n v="0"/>
    <n v="0"/>
    <n v="107"/>
    <s v="_x0000_peopl"/>
  </r>
  <r>
    <x v="7"/>
    <n v="13.688599999999999"/>
    <n v="-89.207999999999998"/>
    <n v="6"/>
    <n v="0"/>
    <n v="0"/>
    <n v="107"/>
    <s v="_x0000_peopl"/>
  </r>
  <r>
    <x v="7"/>
    <n v="13.688599999999999"/>
    <n v="-89.207999999999998"/>
    <n v="5"/>
    <n v="0"/>
    <n v="0"/>
    <n v="107"/>
    <s v="_x0000_peopl"/>
  </r>
  <r>
    <x v="7"/>
    <n v="13.688599999999999"/>
    <n v="-89.207999999999998"/>
    <n v="6"/>
    <n v="0"/>
    <n v="0"/>
    <n v="107"/>
    <s v="_x0000_peopl"/>
  </r>
  <r>
    <x v="7"/>
    <n v="13.688499999999999"/>
    <n v="-89.207999999999998"/>
    <n v="6"/>
    <n v="0"/>
    <n v="0"/>
    <n v="107"/>
    <s v="_x0000_peopl"/>
  </r>
  <r>
    <x v="7"/>
    <n v="13.688499999999999"/>
    <n v="-89.207999999999998"/>
    <n v="5"/>
    <n v="0"/>
    <n v="0"/>
    <n v="107"/>
    <s v="_x0000_peopl"/>
  </r>
  <r>
    <x v="7"/>
    <n v="13.688499999999999"/>
    <n v="-89.207999999999998"/>
    <n v="7"/>
    <n v="0"/>
    <n v="0"/>
    <n v="107"/>
    <s v="_x0000_peopl"/>
  </r>
  <r>
    <x v="7"/>
    <n v="13.688499999999999"/>
    <n v="-89.207999999999998"/>
    <n v="4"/>
    <n v="0"/>
    <n v="0"/>
    <n v="107"/>
    <s v="_x0000_peopl"/>
  </r>
  <r>
    <x v="7"/>
    <n v="13.688499999999999"/>
    <n v="-89.207999999999998"/>
    <n v="8"/>
    <n v="0"/>
    <n v="0"/>
    <n v="107"/>
    <s v="_x0000_peopl"/>
  </r>
  <r>
    <x v="7"/>
    <n v="13.688599999999999"/>
    <n v="-89.207800000000006"/>
    <n v="5"/>
    <n v="0"/>
    <n v="0"/>
    <n v="107"/>
    <s v="_x0000_peopl"/>
  </r>
  <r>
    <x v="7"/>
    <n v="13.688499999999999"/>
    <n v="-89.207800000000006"/>
    <n v="4"/>
    <n v="0"/>
    <n v="0"/>
    <n v="107"/>
    <s v="_x0000_peopl"/>
  </r>
  <r>
    <x v="7"/>
    <n v="13.688499999999999"/>
    <n v="-89.207800000000006"/>
    <n v="9"/>
    <n v="0"/>
    <n v="0"/>
    <n v="107"/>
    <s v="_x0000_peopl"/>
  </r>
  <r>
    <x v="7"/>
    <n v="13.688499999999999"/>
    <n v="-89.207800000000006"/>
    <n v="7"/>
    <n v="0"/>
    <n v="0"/>
    <n v="107"/>
    <s v="_x0000_peopl"/>
  </r>
  <r>
    <x v="7"/>
    <n v="13.688499999999999"/>
    <n v="-89.207599999999999"/>
    <n v="6"/>
    <n v="0"/>
    <n v="0"/>
    <n v="107"/>
    <s v="_x0000_peopl"/>
  </r>
  <r>
    <x v="7"/>
    <n v="13.688499999999999"/>
    <n v="-89.207599999999999"/>
    <n v="4"/>
    <n v="0"/>
    <n v="0"/>
    <n v="107"/>
    <s v="_x0000_peopl"/>
  </r>
  <r>
    <x v="7"/>
    <n v="13.688499999999999"/>
    <n v="-89.207599999999999"/>
    <n v="5"/>
    <n v="0"/>
    <n v="0"/>
    <n v="107"/>
    <s v="_x0000_peopl"/>
  </r>
  <r>
    <x v="7"/>
    <n v="13.688499999999999"/>
    <n v="-89.207599999999999"/>
    <n v="5"/>
    <n v="0"/>
    <n v="0"/>
    <n v="107"/>
    <s v="_x0000_peopl"/>
  </r>
  <r>
    <x v="7"/>
    <n v="13.6884"/>
    <n v="-89.207300000000004"/>
    <n v="6"/>
    <n v="0"/>
    <n v="0"/>
    <n v="107"/>
    <s v="_x0000_peopl"/>
  </r>
  <r>
    <x v="7"/>
    <n v="13.6884"/>
    <n v="-89.207300000000004"/>
    <n v="10"/>
    <n v="0"/>
    <n v="0"/>
    <n v="107"/>
    <s v="_x0000_peopl"/>
  </r>
  <r>
    <x v="7"/>
    <n v="13.6884"/>
    <n v="-89.207300000000004"/>
    <n v="5"/>
    <n v="0"/>
    <n v="0"/>
    <n v="107"/>
    <s v="_x0000_peopl"/>
  </r>
  <r>
    <x v="7"/>
    <n v="13.6883"/>
    <n v="-89.207300000000004"/>
    <n v="7"/>
    <n v="0"/>
    <n v="0"/>
    <n v="107"/>
    <s v="_x0000_peopl"/>
  </r>
  <r>
    <x v="7"/>
    <n v="13.6883"/>
    <n v="-89.207300000000004"/>
    <n v="10"/>
    <n v="0"/>
    <n v="0"/>
    <n v="107"/>
    <s v="_x0000_peopl"/>
  </r>
  <r>
    <x v="7"/>
    <n v="13.6883"/>
    <n v="-89.207300000000004"/>
    <n v="4"/>
    <n v="0"/>
    <n v="0"/>
    <n v="107"/>
    <s v="_x0000_peopl"/>
  </r>
  <r>
    <x v="7"/>
    <n v="13.6883"/>
    <n v="-89.207300000000004"/>
    <n v="3"/>
    <n v="0"/>
    <n v="0"/>
    <n v="107"/>
    <s v="_x0000_peopl"/>
  </r>
  <r>
    <x v="7"/>
    <n v="13.6883"/>
    <n v="-89.207300000000004"/>
    <n v="5"/>
    <n v="0"/>
    <n v="0"/>
    <n v="107"/>
    <s v="_x0000_peopl"/>
  </r>
  <r>
    <x v="7"/>
    <n v="13.6882"/>
    <n v="-89.207300000000004"/>
    <n v="4"/>
    <n v="0"/>
    <n v="0"/>
    <n v="107"/>
    <s v="_x0000_peopl"/>
  </r>
  <r>
    <x v="7"/>
    <n v="13.6882"/>
    <n v="-89.207300000000004"/>
    <n v="4"/>
    <n v="0"/>
    <n v="0"/>
    <n v="107"/>
    <s v="_x0000_peopl"/>
  </r>
  <r>
    <x v="7"/>
    <n v="13.6882"/>
    <n v="-89.207300000000004"/>
    <n v="5"/>
    <n v="0"/>
    <n v="0"/>
    <n v="107"/>
    <s v="_x0000_peopl"/>
  </r>
  <r>
    <x v="7"/>
    <n v="13.6881"/>
    <n v="-89.207300000000004"/>
    <n v="6"/>
    <n v="0"/>
    <n v="0"/>
    <n v="107"/>
    <s v="_x0000_peopl"/>
  </r>
  <r>
    <x v="7"/>
    <n v="13.6881"/>
    <n v="-89.207300000000004"/>
    <n v="1"/>
    <n v="0"/>
    <n v="0"/>
    <n v="107"/>
    <s v="_x0000_peopl"/>
  </r>
  <r>
    <x v="7"/>
    <n v="13.6881"/>
    <n v="-89.207300000000004"/>
    <n v="2"/>
    <n v="0"/>
    <n v="0"/>
    <n v="107"/>
    <s v="_x0000_peopl"/>
  </r>
  <r>
    <x v="7"/>
    <n v="13.6881"/>
    <n v="-89.207999999999998"/>
    <n v="6"/>
    <n v="0"/>
    <n v="0"/>
    <n v="107"/>
    <s v="_x0000_peopl"/>
  </r>
  <r>
    <x v="7"/>
    <n v="13.6881"/>
    <n v="-89.207999999999998"/>
    <n v="7"/>
    <n v="0"/>
    <n v="0"/>
    <n v="107"/>
    <s v="_x0000_peopl"/>
  </r>
  <r>
    <x v="7"/>
    <n v="13.6881"/>
    <n v="-89.207999999999998"/>
    <n v="5"/>
    <n v="0"/>
    <n v="0"/>
    <n v="107"/>
    <s v="_x0000_peopl"/>
  </r>
  <r>
    <x v="7"/>
    <n v="13.6881"/>
    <n v="-89.207999999999998"/>
    <n v="7"/>
    <n v="0"/>
    <n v="0"/>
    <n v="107"/>
    <s v="_x0000_peopl"/>
  </r>
  <r>
    <x v="7"/>
    <n v="13.688000000000001"/>
    <n v="-89.207999999999998"/>
    <n v="5"/>
    <n v="0"/>
    <n v="0"/>
    <n v="107"/>
    <s v="_x0000_peopl"/>
  </r>
  <r>
    <x v="7"/>
    <n v="13.688000000000001"/>
    <n v="-89.207999999999998"/>
    <n v="5"/>
    <n v="0"/>
    <n v="0"/>
    <n v="107"/>
    <s v="_x0000_peopl"/>
  </r>
  <r>
    <x v="7"/>
    <n v="13.6881"/>
    <n v="-89.208200000000005"/>
    <n v="1"/>
    <n v="0"/>
    <n v="0"/>
    <n v="107"/>
    <s v="_x0000_peopl"/>
  </r>
  <r>
    <x v="7"/>
    <n v="13.6881"/>
    <n v="-89.208200000000005"/>
    <n v="1"/>
    <n v="0"/>
    <n v="0"/>
    <n v="107"/>
    <s v="_x0000_peopl"/>
  </r>
  <r>
    <x v="7"/>
    <n v="13.6881"/>
    <n v="-89.208200000000005"/>
    <n v="2"/>
    <n v="0"/>
    <n v="0"/>
    <n v="107"/>
    <s v="_x0000_peopl"/>
  </r>
  <r>
    <x v="7"/>
    <n v="13.6881"/>
    <n v="-89.208200000000005"/>
    <n v="9"/>
    <n v="0"/>
    <n v="0"/>
    <n v="107"/>
    <s v="_x0000_peopl"/>
  </r>
  <r>
    <x v="7"/>
    <n v="13.6882"/>
    <n v="-89.208600000000004"/>
    <n v="3"/>
    <n v="0"/>
    <n v="0"/>
    <n v="107"/>
    <s v="_x0000_peopl"/>
  </r>
  <r>
    <x v="7"/>
    <n v="13.6882"/>
    <n v="-89.208600000000004"/>
    <n v="7"/>
    <n v="0"/>
    <n v="0"/>
    <n v="107"/>
    <s v="_x0000_peopl"/>
  </r>
  <r>
    <x v="7"/>
    <n v="13.6882"/>
    <n v="-89.208600000000004"/>
    <n v="8"/>
    <n v="0"/>
    <n v="0"/>
    <n v="107"/>
    <s v="_x0000_peopl"/>
  </r>
  <r>
    <x v="7"/>
    <n v="13.6882"/>
    <n v="-89.208600000000004"/>
    <n v="5"/>
    <n v="0"/>
    <n v="0"/>
    <n v="107"/>
    <s v="_x0000_peopl"/>
  </r>
  <r>
    <x v="7"/>
    <n v="13.6882"/>
    <n v="-89.208399999999997"/>
    <n v="4"/>
    <n v="0"/>
    <n v="0"/>
    <n v="107"/>
    <s v="_x0000_peopl"/>
  </r>
  <r>
    <x v="7"/>
    <n v="13.6882"/>
    <n v="-89.208399999999997"/>
    <n v="3"/>
    <n v="0"/>
    <n v="0"/>
    <n v="107"/>
    <s v="_x0000_peopl"/>
  </r>
  <r>
    <x v="7"/>
    <n v="13.6881"/>
    <n v="-89.208399999999997"/>
    <n v="6"/>
    <n v="0"/>
    <n v="0"/>
    <n v="107"/>
    <s v="_x0000_peopl"/>
  </r>
  <r>
    <x v="7"/>
    <n v="13.6881"/>
    <n v="-89.208399999999997"/>
    <n v="7"/>
    <n v="0"/>
    <n v="0"/>
    <n v="107"/>
    <s v="_x0000_peopl"/>
  </r>
  <r>
    <x v="7"/>
    <n v="13.6881"/>
    <n v="-89.208600000000004"/>
    <n v="8"/>
    <n v="0"/>
    <n v="0"/>
    <n v="107"/>
    <s v="_x0000_peopl"/>
  </r>
  <r>
    <x v="7"/>
    <n v="13.6881"/>
    <n v="-89.208600000000004"/>
    <n v="6"/>
    <n v="0"/>
    <n v="0"/>
    <n v="107"/>
    <s v="_x0000_peopl"/>
  </r>
  <r>
    <x v="7"/>
    <n v="13.688000000000001"/>
    <n v="-89.208600000000004"/>
    <n v="4"/>
    <n v="0"/>
    <n v="0"/>
    <n v="107"/>
    <s v="_x0000_peopl"/>
  </r>
  <r>
    <x v="7"/>
    <n v="13.688000000000001"/>
    <n v="-89.208600000000004"/>
    <n v="5"/>
    <n v="0"/>
    <n v="0"/>
    <n v="107"/>
    <s v="_x0000_peopl"/>
  </r>
  <r>
    <x v="7"/>
    <n v="13.6881"/>
    <n v="-89.208399999999997"/>
    <n v="2"/>
    <n v="0"/>
    <n v="0"/>
    <n v="107"/>
    <s v="_x0000_peopl"/>
  </r>
  <r>
    <x v="7"/>
    <n v="13.6881"/>
    <n v="-89.208399999999997"/>
    <n v="7"/>
    <n v="0"/>
    <n v="0"/>
    <n v="107"/>
    <s v="_x0000_peopl"/>
  </r>
  <r>
    <x v="7"/>
    <n v="13.6881"/>
    <n v="-89.208399999999997"/>
    <n v="2"/>
    <n v="0"/>
    <n v="0"/>
    <n v="107"/>
    <s v="_x0000_peopl"/>
  </r>
  <r>
    <x v="7"/>
    <n v="13.6881"/>
    <n v="-89.208399999999997"/>
    <n v="5"/>
    <n v="0"/>
    <n v="0"/>
    <n v="107"/>
    <s v="_x0000_peopl"/>
  </r>
  <r>
    <x v="7"/>
    <n v="13.688000000000001"/>
    <n v="-89.208399999999997"/>
    <n v="3"/>
    <n v="0"/>
    <n v="0"/>
    <n v="107"/>
    <s v="_x0000_peopl"/>
  </r>
  <r>
    <x v="7"/>
    <n v="13.6881"/>
    <n v="-89.208200000000005"/>
    <n v="4"/>
    <n v="0"/>
    <n v="0"/>
    <n v="107"/>
    <s v="_x0000_peopl"/>
  </r>
  <r>
    <x v="7"/>
    <n v="13.6881"/>
    <n v="-89.208200000000005"/>
    <n v="2"/>
    <n v="0"/>
    <n v="0"/>
    <n v="107"/>
    <s v="_x0000_peopl"/>
  </r>
  <r>
    <x v="7"/>
    <n v="13.6881"/>
    <n v="-89.208200000000005"/>
    <n v="3"/>
    <n v="0"/>
    <n v="0"/>
    <n v="107"/>
    <s v="_x0000_peopl"/>
  </r>
  <r>
    <x v="7"/>
    <n v="13.688000000000001"/>
    <n v="-89.208200000000005"/>
    <n v="8"/>
    <n v="0"/>
    <n v="0"/>
    <n v="107"/>
    <s v="_x0000_peopl"/>
  </r>
  <r>
    <x v="7"/>
    <n v="13.688000000000001"/>
    <n v="-89.208399999999997"/>
    <n v="3"/>
    <n v="0"/>
    <n v="0"/>
    <n v="107"/>
    <s v="_x0000_peopl"/>
  </r>
  <r>
    <x v="7"/>
    <n v="13.688000000000001"/>
    <n v="-89.208399999999997"/>
    <n v="7"/>
    <n v="0"/>
    <n v="0"/>
    <n v="107"/>
    <s v="_x0000_peopl"/>
  </r>
  <r>
    <x v="7"/>
    <n v="13.688000000000001"/>
    <n v="-89.208399999999997"/>
    <n v="7"/>
    <n v="0"/>
    <n v="0"/>
    <n v="107"/>
    <s v="_x0000_peopl"/>
  </r>
  <r>
    <x v="7"/>
    <n v="13.688000000000001"/>
    <n v="-89.208200000000005"/>
    <n v="5"/>
    <n v="0"/>
    <n v="0"/>
    <n v="107"/>
    <s v="_x0000_peopl"/>
  </r>
  <r>
    <x v="7"/>
    <n v="13.688000000000001"/>
    <n v="-89.208200000000005"/>
    <n v="4"/>
    <n v="0"/>
    <n v="0"/>
    <n v="107"/>
    <s v="_x0000_peopl"/>
  </r>
  <r>
    <x v="7"/>
    <n v="13.688000000000001"/>
    <n v="-89.208200000000005"/>
    <n v="4"/>
    <n v="0"/>
    <n v="0"/>
    <n v="107"/>
    <s v="_x0000_peopl"/>
  </r>
  <r>
    <x v="7"/>
    <n v="13.688000000000001"/>
    <n v="-89.208200000000005"/>
    <n v="9"/>
    <n v="0"/>
    <n v="0"/>
    <n v="107"/>
    <s v="_x0000_peopl"/>
  </r>
  <r>
    <x v="7"/>
    <n v="13.688000000000001"/>
    <n v="-89.207999999999998"/>
    <n v="7"/>
    <n v="0"/>
    <n v="0"/>
    <n v="107"/>
    <s v="_x0000_peopl"/>
  </r>
  <r>
    <x v="7"/>
    <n v="13.688000000000001"/>
    <n v="-89.207999999999998"/>
    <n v="4"/>
    <n v="0"/>
    <n v="0"/>
    <n v="107"/>
    <s v="_x0000_peopl"/>
  </r>
  <r>
    <x v="7"/>
    <n v="13.688000000000001"/>
    <n v="-89.207999999999998"/>
    <n v="2"/>
    <n v="0"/>
    <n v="0"/>
    <n v="107"/>
    <s v="_x0000_peopl"/>
  </r>
  <r>
    <x v="7"/>
    <n v="13.687900000000001"/>
    <n v="-89.207999999999998"/>
    <n v="4"/>
    <n v="0"/>
    <n v="0"/>
    <n v="107"/>
    <s v="_x0000_peopl"/>
  </r>
  <r>
    <x v="7"/>
    <n v="13.687900000000001"/>
    <n v="-89.208600000000004"/>
    <n v="2"/>
    <n v="0"/>
    <n v="0"/>
    <n v="107"/>
    <s v="_x0000_peopl"/>
  </r>
  <r>
    <x v="7"/>
    <n v="13.687900000000001"/>
    <n v="-89.208600000000004"/>
    <n v="9"/>
    <n v="0"/>
    <n v="0"/>
    <n v="107"/>
    <s v="_x0000_peopl"/>
  </r>
  <r>
    <x v="7"/>
    <n v="13.687900000000001"/>
    <n v="-89.208600000000004"/>
    <n v="7"/>
    <n v="0"/>
    <n v="0"/>
    <n v="107"/>
    <s v="_x0000_peopl"/>
  </r>
  <r>
    <x v="7"/>
    <n v="13.687900000000001"/>
    <n v="-89.208399999999997"/>
    <n v="2"/>
    <n v="0"/>
    <n v="0"/>
    <n v="107"/>
    <s v="_x0000_peopl"/>
  </r>
  <r>
    <x v="7"/>
    <n v="13.687900000000001"/>
    <n v="-89.208399999999997"/>
    <n v="4"/>
    <n v="0"/>
    <n v="0"/>
    <n v="107"/>
    <s v="_x0000_peopl"/>
  </r>
  <r>
    <x v="7"/>
    <n v="13.687900000000001"/>
    <n v="-89.208399999999997"/>
    <n v="3"/>
    <n v="0"/>
    <n v="0"/>
    <n v="107"/>
    <s v="_x0000_peopl"/>
  </r>
  <r>
    <x v="7"/>
    <n v="13.687900000000001"/>
    <n v="-89.208399999999997"/>
    <n v="3"/>
    <n v="0"/>
    <n v="0"/>
    <n v="107"/>
    <s v="_x0000_peopl"/>
  </r>
  <r>
    <x v="7"/>
    <n v="13.687900000000001"/>
    <n v="-89.208200000000005"/>
    <n v="4"/>
    <n v="0"/>
    <n v="0"/>
    <n v="107"/>
    <s v="_x0000_peopl"/>
  </r>
  <r>
    <x v="7"/>
    <n v="13.687900000000001"/>
    <n v="-89.208200000000005"/>
    <n v="7"/>
    <n v="0"/>
    <n v="0"/>
    <n v="107"/>
    <s v="_x0000_peopl"/>
  </r>
  <r>
    <x v="7"/>
    <n v="13.687900000000001"/>
    <n v="-89.208200000000005"/>
    <n v="3"/>
    <n v="0"/>
    <n v="0"/>
    <n v="107"/>
    <s v="_x0000_peopl"/>
  </r>
  <r>
    <x v="7"/>
    <n v="13.687900000000001"/>
    <n v="-89.208200000000005"/>
    <n v="2"/>
    <n v="0"/>
    <n v="0"/>
    <n v="107"/>
    <s v="_x0000_peopl"/>
  </r>
  <r>
    <x v="7"/>
    <n v="13.687900000000001"/>
    <n v="-89.207999999999998"/>
    <n v="8"/>
    <n v="0"/>
    <n v="0"/>
    <n v="107"/>
    <s v="_x0000_peopl"/>
  </r>
  <r>
    <x v="7"/>
    <n v="13.687900000000001"/>
    <n v="-89.207999999999998"/>
    <n v="9"/>
    <n v="0"/>
    <n v="0"/>
    <n v="107"/>
    <s v="_x0000_peopl"/>
  </r>
  <r>
    <x v="7"/>
    <n v="13.687900000000001"/>
    <n v="-89.207999999999998"/>
    <n v="7"/>
    <n v="0"/>
    <n v="0"/>
    <n v="107"/>
    <s v="_x0000_peopl"/>
  </r>
  <r>
    <x v="7"/>
    <n v="13.687900000000001"/>
    <n v="-89.207999999999998"/>
    <n v="6"/>
    <n v="0"/>
    <n v="0"/>
    <n v="107"/>
    <s v="_x0000_peopl"/>
  </r>
  <r>
    <x v="7"/>
    <n v="13.688000000000001"/>
    <n v="-89.207400000000007"/>
    <n v="4"/>
    <n v="0"/>
    <n v="0"/>
    <n v="107"/>
    <s v="_x0000_peopl"/>
  </r>
  <r>
    <x v="7"/>
    <n v="13.688000000000001"/>
    <n v="-89.207400000000007"/>
    <n v="7"/>
    <n v="0"/>
    <n v="0"/>
    <n v="107"/>
    <s v="_x0000_peopl"/>
  </r>
  <r>
    <x v="7"/>
    <n v="13.688000000000001"/>
    <n v="-89.207400000000007"/>
    <n v="4"/>
    <n v="0"/>
    <n v="0"/>
    <n v="107"/>
    <s v="_x0000_peopl"/>
  </r>
  <r>
    <x v="7"/>
    <n v="13.688000000000001"/>
    <n v="-89.207400000000007"/>
    <n v="4"/>
    <n v="0"/>
    <n v="0"/>
    <n v="107"/>
    <s v="_x0000_peopl"/>
  </r>
  <r>
    <x v="7"/>
    <n v="13.687900000000001"/>
    <n v="-89.207400000000007"/>
    <n v="7"/>
    <n v="0"/>
    <n v="0"/>
    <n v="107"/>
    <s v="_x0000_peopl"/>
  </r>
  <r>
    <x v="7"/>
    <n v="13.687900000000001"/>
    <n v="-89.207400000000007"/>
    <n v="6"/>
    <n v="0"/>
    <n v="0"/>
    <n v="107"/>
    <s v="_x0000_peopl"/>
  </r>
  <r>
    <x v="7"/>
    <n v="13.687900000000001"/>
    <n v="-89.207400000000007"/>
    <n v="2"/>
    <n v="0"/>
    <n v="0"/>
    <n v="107"/>
    <s v="_x0000_peopl"/>
  </r>
  <r>
    <x v="7"/>
    <n v="13.687900000000001"/>
    <n v="-89.207400000000007"/>
    <n v="3"/>
    <n v="0"/>
    <n v="0"/>
    <n v="107"/>
    <s v="_x0000_peopl"/>
  </r>
  <r>
    <x v="7"/>
    <n v="13.688000000000001"/>
    <n v="-89.2072"/>
    <n v="7"/>
    <n v="0"/>
    <n v="0"/>
    <n v="107"/>
    <s v="_x0000_peopl"/>
  </r>
  <r>
    <x v="7"/>
    <n v="13.688000000000001"/>
    <n v="-89.2072"/>
    <n v="4"/>
    <n v="0"/>
    <n v="0"/>
    <n v="107"/>
    <s v="_x0000_peopl"/>
  </r>
  <r>
    <x v="7"/>
    <n v="13.687900000000001"/>
    <n v="-89.2072"/>
    <n v="2"/>
    <n v="0"/>
    <n v="0"/>
    <n v="107"/>
    <s v="_x0000_peopl"/>
  </r>
  <r>
    <x v="7"/>
    <n v="13.687900000000001"/>
    <n v="-89.2072"/>
    <n v="3"/>
    <n v="0"/>
    <n v="0"/>
    <n v="107"/>
    <s v="_x0000_peopl"/>
  </r>
  <r>
    <x v="7"/>
    <n v="13.687900000000001"/>
    <n v="-89.2072"/>
    <n v="8"/>
    <n v="0"/>
    <n v="0"/>
    <n v="107"/>
    <s v="_x0000_peopl"/>
  </r>
  <r>
    <x v="7"/>
    <n v="13.687900000000001"/>
    <n v="-89.2072"/>
    <n v="3"/>
    <n v="0"/>
    <n v="0"/>
    <n v="107"/>
    <s v="_x0000_peopl"/>
  </r>
  <r>
    <x v="7"/>
    <n v="13.687900000000001"/>
    <n v="-89.2072"/>
    <n v="6"/>
    <n v="0"/>
    <n v="0"/>
    <n v="107"/>
    <s v="_x0000_peopl"/>
  </r>
  <r>
    <x v="7"/>
    <n v="13.687900000000001"/>
    <n v="-89.2072"/>
    <n v="7"/>
    <n v="0"/>
    <n v="0"/>
    <n v="107"/>
    <s v="_x0000_peopl"/>
  </r>
  <r>
    <x v="7"/>
    <n v="13.687900000000001"/>
    <n v="-89.206999999999994"/>
    <n v="4"/>
    <n v="0"/>
    <n v="0"/>
    <n v="107"/>
    <s v="_x0000_peopl"/>
  </r>
  <r>
    <x v="7"/>
    <n v="13.687900000000001"/>
    <n v="-89.206999999999994"/>
    <n v="6"/>
    <n v="0"/>
    <n v="0"/>
    <n v="107"/>
    <s v="_x0000_peopl"/>
  </r>
  <r>
    <x v="7"/>
    <n v="13.687900000000001"/>
    <n v="-89.206999999999994"/>
    <n v="7"/>
    <n v="0"/>
    <n v="0"/>
    <n v="107"/>
    <s v="_x0000_peopl"/>
  </r>
  <r>
    <x v="7"/>
    <n v="13.687900000000001"/>
    <n v="-89.206999999999994"/>
    <n v="4"/>
    <n v="0"/>
    <n v="0"/>
    <n v="107"/>
    <s v="_x0000_peopl"/>
  </r>
  <r>
    <x v="7"/>
    <n v="13.687900000000001"/>
    <n v="-89.206999999999994"/>
    <n v="8"/>
    <n v="0"/>
    <n v="0"/>
    <n v="107"/>
    <s v="_x0000_peopl"/>
  </r>
  <r>
    <x v="7"/>
    <n v="13.687900000000001"/>
    <n v="-89.206999999999994"/>
    <n v="7"/>
    <n v="0"/>
    <n v="0"/>
    <n v="107"/>
    <s v="_x0000_peopl"/>
  </r>
  <r>
    <x v="7"/>
    <n v="13.687799999999999"/>
    <n v="-89.206999999999994"/>
    <n v="6"/>
    <n v="0"/>
    <n v="0"/>
    <n v="107"/>
    <s v="_x0000_peopl"/>
  </r>
  <r>
    <x v="7"/>
    <n v="13.687799999999999"/>
    <n v="-89.206999999999994"/>
    <n v="6"/>
    <n v="0"/>
    <n v="0"/>
    <n v="107"/>
    <s v="_x0000_peopl"/>
  </r>
  <r>
    <x v="7"/>
    <n v="13.687799999999999"/>
    <n v="-89.206999999999994"/>
    <n v="4"/>
    <n v="0"/>
    <n v="0"/>
    <n v="107"/>
    <s v="_x0000_peopl"/>
  </r>
  <r>
    <x v="7"/>
    <n v="13.687799999999999"/>
    <n v="-89.206999999999994"/>
    <n v="5"/>
    <n v="0"/>
    <n v="0"/>
    <n v="107"/>
    <s v="_x0000_peopl"/>
  </r>
  <r>
    <x v="7"/>
    <n v="13.687799999999999"/>
    <n v="-89.206999999999994"/>
    <n v="5"/>
    <n v="0"/>
    <n v="0"/>
    <n v="107"/>
    <s v="_x0000_peopl"/>
  </r>
  <r>
    <x v="7"/>
    <n v="13.687799999999999"/>
    <n v="-89.206999999999994"/>
    <n v="6"/>
    <n v="0"/>
    <n v="0"/>
    <n v="107"/>
    <s v="_x0000_peopl"/>
  </r>
  <r>
    <x v="7"/>
    <n v="13.687799999999999"/>
    <n v="-89.2072"/>
    <n v="5"/>
    <n v="0"/>
    <n v="0"/>
    <n v="107"/>
    <s v="_x0000_peopl"/>
  </r>
  <r>
    <x v="7"/>
    <n v="13.687799999999999"/>
    <n v="-89.2072"/>
    <n v="6"/>
    <n v="0"/>
    <n v="0"/>
    <n v="107"/>
    <s v="_x0000_peopl"/>
  </r>
  <r>
    <x v="7"/>
    <n v="13.687799999999999"/>
    <n v="-89.2072"/>
    <n v="9"/>
    <n v="0"/>
    <n v="0"/>
    <n v="107"/>
    <s v="_x0000_peopl"/>
  </r>
  <r>
    <x v="7"/>
    <n v="13.687799999999999"/>
    <n v="-89.2072"/>
    <n v="7"/>
    <n v="0"/>
    <n v="0"/>
    <n v="107"/>
    <s v="_x0000_peopl"/>
  </r>
  <r>
    <x v="7"/>
    <n v="13.687799999999999"/>
    <n v="-89.207400000000007"/>
    <n v="9"/>
    <n v="0"/>
    <n v="0"/>
    <n v="107"/>
    <s v="_x0000_peopl"/>
  </r>
  <r>
    <x v="7"/>
    <n v="13.687799999999999"/>
    <n v="-89.207400000000007"/>
    <n v="6"/>
    <n v="0"/>
    <n v="0"/>
    <n v="107"/>
    <s v="_x0000_peopl"/>
  </r>
  <r>
    <x v="7"/>
    <n v="13.687799999999999"/>
    <n v="-89.207400000000007"/>
    <n v="4"/>
    <n v="0"/>
    <n v="0"/>
    <n v="107"/>
    <s v="_x0000_peopl"/>
  </r>
  <r>
    <x v="7"/>
    <n v="13.687799999999999"/>
    <n v="-89.207400000000007"/>
    <n v="9"/>
    <n v="0"/>
    <n v="0"/>
    <n v="107"/>
    <s v="_x0000_peopl"/>
  </r>
  <r>
    <x v="7"/>
    <n v="13.687799999999999"/>
    <n v="-89.207400000000007"/>
    <n v="4"/>
    <n v="0"/>
    <n v="0"/>
    <n v="107"/>
    <s v="_x0000_peopl"/>
  </r>
  <r>
    <x v="7"/>
    <n v="13.6877"/>
    <n v="-89.207400000000007"/>
    <n v="4"/>
    <n v="0"/>
    <n v="0"/>
    <n v="107"/>
    <s v="_x0000_peopl"/>
  </r>
  <r>
    <x v="7"/>
    <n v="13.6877"/>
    <n v="-89.207400000000007"/>
    <n v="3"/>
    <n v="0"/>
    <n v="0"/>
    <n v="107"/>
    <s v="_x0000_peopl"/>
  </r>
  <r>
    <x v="7"/>
    <n v="13.6877"/>
    <n v="-89.207400000000007"/>
    <n v="3"/>
    <n v="0"/>
    <n v="0"/>
    <n v="107"/>
    <s v="_x0000_peopl"/>
  </r>
  <r>
    <x v="7"/>
    <n v="13.6877"/>
    <n v="-89.2072"/>
    <n v="3"/>
    <n v="0"/>
    <n v="0"/>
    <n v="107"/>
    <s v="_x0000_peopl"/>
  </r>
  <r>
    <x v="7"/>
    <n v="13.6877"/>
    <n v="-89.2072"/>
    <n v="6"/>
    <n v="0"/>
    <n v="0"/>
    <n v="107"/>
    <s v="_x0000_peopl"/>
  </r>
  <r>
    <x v="7"/>
    <n v="13.6877"/>
    <n v="-89.2072"/>
    <n v="6"/>
    <n v="0"/>
    <n v="0"/>
    <n v="107"/>
    <s v="_x0000_peopl"/>
  </r>
  <r>
    <x v="7"/>
    <n v="13.6877"/>
    <n v="-89.2072"/>
    <n v="2"/>
    <n v="0"/>
    <n v="0"/>
    <n v="107"/>
    <s v="_x0000_peopl"/>
  </r>
  <r>
    <x v="7"/>
    <n v="13.6877"/>
    <n v="-89.206999999999994"/>
    <n v="9"/>
    <n v="0"/>
    <n v="0"/>
    <n v="107"/>
    <s v="_x0000_peopl"/>
  </r>
  <r>
    <x v="7"/>
    <n v="13.6877"/>
    <n v="-89.206999999999994"/>
    <n v="5"/>
    <n v="0"/>
    <n v="0"/>
    <n v="107"/>
    <s v="_x0000_peopl"/>
  </r>
  <r>
    <x v="7"/>
    <n v="13.6877"/>
    <n v="-89.206999999999994"/>
    <n v="6"/>
    <n v="0"/>
    <n v="0"/>
    <n v="107"/>
    <s v="_x0000_peopl"/>
  </r>
  <r>
    <x v="7"/>
    <n v="13.6877"/>
    <n v="-89.206999999999994"/>
    <n v="10"/>
    <n v="0"/>
    <n v="0"/>
    <n v="107"/>
    <s v="_x0000_peopl"/>
  </r>
  <r>
    <x v="7"/>
    <n v="13.688000000000001"/>
    <n v="-89.206599999999995"/>
    <n v="4"/>
    <n v="0"/>
    <n v="0"/>
    <n v="107"/>
    <s v="_x0000_peopl"/>
  </r>
  <r>
    <x v="7"/>
    <n v="13.687900000000001"/>
    <n v="-89.206599999999995"/>
    <n v="5"/>
    <n v="0"/>
    <n v="0"/>
    <n v="107"/>
    <s v="_x0000_peopl"/>
  </r>
  <r>
    <x v="7"/>
    <n v="13.687900000000001"/>
    <n v="-89.206599999999995"/>
    <n v="7"/>
    <n v="0"/>
    <n v="0"/>
    <n v="107"/>
    <s v="_x0000_peopl"/>
  </r>
  <r>
    <x v="7"/>
    <n v="13.687900000000001"/>
    <n v="-89.206500000000005"/>
    <n v="6"/>
    <n v="0"/>
    <n v="0"/>
    <n v="107"/>
    <s v="_x0000_peopl"/>
  </r>
  <r>
    <x v="7"/>
    <n v="13.6881"/>
    <n v="-89.206699999999998"/>
    <n v="4"/>
    <n v="0"/>
    <n v="0"/>
    <n v="107"/>
    <s v="_x0000_peopl"/>
  </r>
  <r>
    <x v="7"/>
    <n v="13.6881"/>
    <n v="-89.206699999999998"/>
    <n v="6"/>
    <n v="0"/>
    <n v="0"/>
    <n v="107"/>
    <s v="_x0000_peopl"/>
  </r>
  <r>
    <x v="7"/>
    <n v="13.6881"/>
    <n v="-89.206699999999998"/>
    <n v="6"/>
    <n v="0"/>
    <n v="0"/>
    <n v="107"/>
    <s v="_x0000_peopl"/>
  </r>
  <r>
    <x v="7"/>
    <n v="13.6881"/>
    <n v="-89.206699999999998"/>
    <n v="4"/>
    <n v="0"/>
    <n v="0"/>
    <n v="107"/>
    <s v="_x0000_peopl"/>
  </r>
  <r>
    <x v="7"/>
    <n v="13.6881"/>
    <n v="-89.206699999999998"/>
    <n v="2"/>
    <n v="0"/>
    <n v="0"/>
    <n v="107"/>
    <s v="_x0000_peopl"/>
  </r>
  <r>
    <x v="7"/>
    <n v="13.688000000000001"/>
    <n v="-89.206699999999998"/>
    <n v="9"/>
    <n v="0"/>
    <n v="0"/>
    <n v="107"/>
    <s v="_x0000_peopl"/>
  </r>
  <r>
    <x v="7"/>
    <n v="13.688000000000001"/>
    <n v="-89.206699999999998"/>
    <n v="5"/>
    <n v="0"/>
    <n v="0"/>
    <n v="107"/>
    <s v="_x0000_peopl"/>
  </r>
  <r>
    <x v="7"/>
    <n v="13.688000000000001"/>
    <n v="-89.206699999999998"/>
    <n v="4"/>
    <n v="0"/>
    <n v="0"/>
    <n v="107"/>
    <s v="_x0000_peopl"/>
  </r>
  <r>
    <x v="7"/>
    <n v="13.688000000000001"/>
    <n v="-89.206599999999995"/>
    <n v="4"/>
    <n v="0"/>
    <n v="0"/>
    <n v="107"/>
    <s v="_x0000_peopl"/>
  </r>
  <r>
    <x v="7"/>
    <n v="13.688000000000001"/>
    <n v="-89.206599999999995"/>
    <n v="5"/>
    <n v="0"/>
    <n v="0"/>
    <n v="107"/>
    <s v="_x0000_peopl"/>
  </r>
  <r>
    <x v="7"/>
    <n v="13.688000000000001"/>
    <n v="-89.206599999999995"/>
    <n v="6"/>
    <n v="0"/>
    <n v="0"/>
    <n v="107"/>
    <s v="_x0000_peopl"/>
  </r>
  <r>
    <x v="7"/>
    <n v="13.688000000000001"/>
    <n v="-89.206599999999995"/>
    <n v="6"/>
    <n v="0"/>
    <n v="0"/>
    <n v="107"/>
    <s v="_x0000_peopl"/>
  </r>
  <r>
    <x v="7"/>
    <n v="13.6875"/>
    <n v="-89.206100000000006"/>
    <n v="5"/>
    <n v="0"/>
    <n v="0"/>
    <n v="107"/>
    <s v="_x0000_peopl"/>
  </r>
  <r>
    <x v="7"/>
    <n v="13.6874"/>
    <n v="-89.206999999999994"/>
    <n v="7"/>
    <n v="0"/>
    <n v="0"/>
    <n v="107"/>
    <s v="_x0000_peopl"/>
  </r>
  <r>
    <x v="7"/>
    <n v="13.6874"/>
    <n v="-89.206999999999994"/>
    <n v="6"/>
    <n v="0"/>
    <n v="0"/>
    <n v="107"/>
    <s v="_x0000_peopl"/>
  </r>
  <r>
    <x v="7"/>
    <n v="13.6874"/>
    <n v="-89.206999999999994"/>
    <n v="3"/>
    <n v="0"/>
    <n v="0"/>
    <n v="107"/>
    <s v="_x0000_peopl"/>
  </r>
  <r>
    <x v="7"/>
    <n v="13.6874"/>
    <n v="-89.206999999999994"/>
    <n v="5"/>
    <n v="0"/>
    <n v="0"/>
    <n v="107"/>
    <s v="_x0000_peopl"/>
  </r>
  <r>
    <x v="7"/>
    <n v="13.6876"/>
    <n v="-89.206999999999994"/>
    <n v="6"/>
    <n v="0"/>
    <n v="0"/>
    <n v="107"/>
    <s v="_x0000_peopl"/>
  </r>
  <r>
    <x v="7"/>
    <n v="13.6876"/>
    <n v="-89.206999999999994"/>
    <n v="5"/>
    <n v="0"/>
    <n v="0"/>
    <n v="107"/>
    <s v="_x0000_peopl"/>
  </r>
  <r>
    <x v="7"/>
    <n v="13.6876"/>
    <n v="-89.206999999999994"/>
    <n v="6"/>
    <n v="0"/>
    <n v="0"/>
    <n v="107"/>
    <s v="_x0000_peopl"/>
  </r>
  <r>
    <x v="7"/>
    <n v="13.6876"/>
    <n v="-89.206999999999994"/>
    <n v="4"/>
    <n v="0"/>
    <n v="0"/>
    <n v="107"/>
    <s v="_x0000_peopl"/>
  </r>
  <r>
    <x v="7"/>
    <n v="13.6875"/>
    <n v="-89.206999999999994"/>
    <n v="6"/>
    <n v="0"/>
    <n v="0"/>
    <n v="107"/>
    <s v="_x0000_peopl"/>
  </r>
  <r>
    <x v="7"/>
    <n v="13.6875"/>
    <n v="-89.206999999999994"/>
    <n v="8"/>
    <n v="0"/>
    <n v="0"/>
    <n v="107"/>
    <s v="_x0000_peopl"/>
  </r>
  <r>
    <x v="7"/>
    <n v="13.6875"/>
    <n v="-89.206999999999994"/>
    <n v="4"/>
    <n v="0"/>
    <n v="0"/>
    <n v="107"/>
    <s v="_x0000_peopl"/>
  </r>
  <r>
    <x v="7"/>
    <n v="13.6875"/>
    <n v="-89.206999999999994"/>
    <n v="5"/>
    <n v="0"/>
    <n v="0"/>
    <n v="107"/>
    <s v="_x0000_peopl"/>
  </r>
  <r>
    <x v="7"/>
    <n v="13.6875"/>
    <n v="-89.206999999999994"/>
    <n v="1"/>
    <n v="0"/>
    <n v="0"/>
    <n v="107"/>
    <s v="_x0000_peopl"/>
  </r>
  <r>
    <x v="7"/>
    <n v="13.6875"/>
    <n v="-89.206999999999994"/>
    <n v="2"/>
    <n v="0"/>
    <n v="0"/>
    <n v="107"/>
    <s v="_x0000_peopl"/>
  </r>
  <r>
    <x v="7"/>
    <n v="13.6874"/>
    <n v="-89.206999999999994"/>
    <n v="2"/>
    <n v="0"/>
    <n v="0"/>
    <n v="107"/>
    <s v="_x0000_peopl"/>
  </r>
  <r>
    <x v="7"/>
    <n v="13.6874"/>
    <n v="-89.206999999999994"/>
    <n v="1"/>
    <n v="0"/>
    <n v="0"/>
    <n v="107"/>
    <s v="_x0000_peopl"/>
  </r>
  <r>
    <x v="7"/>
    <n v="13.6877"/>
    <n v="-89.206199999999995"/>
    <n v="4"/>
    <n v="0"/>
    <n v="0"/>
    <n v="107"/>
    <s v="_x0000_peopl"/>
  </r>
  <r>
    <x v="7"/>
    <n v="13.6868"/>
    <n v="-89.206199999999995"/>
    <n v="6"/>
    <n v="0"/>
    <n v="0"/>
    <n v="107"/>
    <s v="_x0000_peopl"/>
  </r>
  <r>
    <x v="7"/>
    <n v="13.6868"/>
    <n v="-89.206100000000006"/>
    <n v="4"/>
    <n v="0"/>
    <n v="0"/>
    <n v="107"/>
    <s v="_x0000_peopl"/>
  </r>
  <r>
    <x v="7"/>
    <n v="13.6868"/>
    <n v="-89.206000000000003"/>
    <n v="7"/>
    <n v="0"/>
    <n v="0"/>
    <n v="107"/>
    <s v="_x0000_peopl"/>
  </r>
  <r>
    <x v="7"/>
    <n v="13.6868"/>
    <n v="-89.2059"/>
    <n v="10"/>
    <n v="0"/>
    <n v="0"/>
    <n v="107"/>
    <s v="_x0000_peopl"/>
  </r>
  <r>
    <x v="7"/>
    <n v="13.6868"/>
    <n v="-89.2059"/>
    <n v="7"/>
    <n v="0"/>
    <n v="0"/>
    <n v="107"/>
    <s v="_x0000_peopl"/>
  </r>
  <r>
    <x v="7"/>
    <n v="13.6868"/>
    <n v="-89.205699999999993"/>
    <n v="2"/>
    <n v="0"/>
    <n v="0"/>
    <n v="107"/>
    <s v="_x0000_peopl"/>
  </r>
  <r>
    <x v="7"/>
    <n v="13.6867"/>
    <n v="-89.205500000000001"/>
    <n v="4"/>
    <n v="0"/>
    <n v="0"/>
    <n v="107"/>
    <s v="_x0000_peopl"/>
  </r>
  <r>
    <x v="7"/>
    <n v="13.6867"/>
    <n v="-89.205299999999994"/>
    <n v="4"/>
    <n v="0"/>
    <n v="0"/>
    <n v="107"/>
    <s v="_x0000_peopl"/>
  </r>
  <r>
    <x v="7"/>
    <n v="13.6867"/>
    <n v="-89.205200000000005"/>
    <n v="3"/>
    <n v="0"/>
    <n v="0"/>
    <n v="107"/>
    <s v="_x0000_peopl"/>
  </r>
  <r>
    <x v="7"/>
    <n v="13.6867"/>
    <n v="-89.205100000000002"/>
    <n v="5"/>
    <n v="0"/>
    <n v="0"/>
    <n v="107"/>
    <s v="_x0000_peopl"/>
  </r>
  <r>
    <x v="7"/>
    <n v="13.6867"/>
    <n v="-89.205399999999997"/>
    <n v="2"/>
    <n v="0"/>
    <n v="0"/>
    <n v="107"/>
    <s v="_x0000_peopl"/>
  </r>
  <r>
    <x v="7"/>
    <n v="13.686400000000001"/>
    <n v="-89.205200000000005"/>
    <n v="6"/>
    <n v="0"/>
    <n v="0"/>
    <n v="107"/>
    <s v="_x0000_peopl"/>
  </r>
  <r>
    <x v="7"/>
    <n v="13.686400000000001"/>
    <n v="-89.205299999999994"/>
    <n v="5"/>
    <n v="0"/>
    <n v="0"/>
    <n v="107"/>
    <s v="_x0000_peopl"/>
  </r>
  <r>
    <x v="7"/>
    <n v="13.686299999999999"/>
    <n v="-89.205399999999997"/>
    <n v="5"/>
    <n v="0"/>
    <n v="0"/>
    <n v="107"/>
    <s v="_x0000_peopl"/>
  </r>
  <r>
    <x v="7"/>
    <n v="13.686299999999999"/>
    <n v="-89.205500000000001"/>
    <n v="6"/>
    <n v="0"/>
    <n v="0"/>
    <n v="107"/>
    <s v="_x0000_peopl"/>
  </r>
  <r>
    <x v="7"/>
    <n v="13.686400000000001"/>
    <n v="-89.205600000000004"/>
    <n v="7"/>
    <n v="0"/>
    <n v="0"/>
    <n v="107"/>
    <s v="_x0000_peopl"/>
  </r>
  <r>
    <x v="7"/>
    <n v="13.686400000000001"/>
    <n v="-89.205699999999993"/>
    <n v="5"/>
    <n v="0"/>
    <n v="0"/>
    <n v="107"/>
    <s v="_x0000_peopl"/>
  </r>
  <r>
    <x v="7"/>
    <n v="13.686400000000001"/>
    <n v="-89.205699999999993"/>
    <n v="5"/>
    <n v="0"/>
    <n v="0"/>
    <n v="107"/>
    <s v="_x0000_peopl"/>
  </r>
  <r>
    <x v="7"/>
    <n v="13.686400000000001"/>
    <n v="-89.205799999999996"/>
    <n v="2"/>
    <n v="0"/>
    <n v="0"/>
    <n v="107"/>
    <s v="_x0000_peopl"/>
  </r>
  <r>
    <x v="7"/>
    <n v="13.686299999999999"/>
    <n v="-89.205799999999996"/>
    <n v="2"/>
    <n v="0"/>
    <n v="0"/>
    <n v="107"/>
    <s v="_x0000_peopl"/>
  </r>
  <r>
    <x v="7"/>
    <n v="13.686199999999999"/>
    <n v="-89.205699999999993"/>
    <n v="4"/>
    <n v="0"/>
    <n v="0"/>
    <n v="107"/>
    <s v="_x0000_peopl"/>
  </r>
  <r>
    <x v="7"/>
    <n v="13.686299999999999"/>
    <n v="-89.205100000000002"/>
    <n v="5"/>
    <n v="0"/>
    <n v="0"/>
    <n v="107"/>
    <s v="_x0000_peopl"/>
  </r>
  <r>
    <x v="7"/>
    <n v="13.686400000000001"/>
    <n v="-89.204999999999998"/>
    <n v="6"/>
    <n v="0"/>
    <n v="0"/>
    <n v="107"/>
    <s v="_x0000_peopl"/>
  </r>
  <r>
    <x v="7"/>
    <n v="13.686400000000001"/>
    <n v="-89.204800000000006"/>
    <n v="6"/>
    <n v="0"/>
    <n v="0"/>
    <n v="107"/>
    <s v="_x0000_peopl"/>
  </r>
  <r>
    <x v="7"/>
    <n v="13.686400000000001"/>
    <n v="-89.204800000000006"/>
    <n v="3"/>
    <n v="0"/>
    <n v="0"/>
    <n v="107"/>
    <s v="_x0000_peopl"/>
  </r>
  <r>
    <x v="7"/>
    <n v="13.686299999999999"/>
    <n v="-89.204999999999998"/>
    <n v="4"/>
    <n v="0"/>
    <n v="0"/>
    <n v="107"/>
    <s v="_x0000_peopl"/>
  </r>
  <r>
    <x v="7"/>
    <n v="13.686199999999999"/>
    <n v="-89.204999999999998"/>
    <n v="3"/>
    <n v="0"/>
    <n v="0"/>
    <n v="107"/>
    <s v="_x0000_peopl"/>
  </r>
  <r>
    <x v="7"/>
    <n v="13.686199999999999"/>
    <n v="-89.204899999999995"/>
    <n v="6"/>
    <n v="0"/>
    <n v="0"/>
    <n v="107"/>
    <s v="_x0000_peopl"/>
  </r>
  <r>
    <x v="7"/>
    <n v="13.686199999999999"/>
    <n v="-89.204800000000006"/>
    <n v="5"/>
    <n v="0"/>
    <n v="0"/>
    <n v="107"/>
    <s v="_x0000_peopl"/>
  </r>
  <r>
    <x v="7"/>
    <n v="13.686"/>
    <n v="-89.204899999999995"/>
    <n v="7"/>
    <n v="0"/>
    <n v="0"/>
    <n v="107"/>
    <s v="_x0000_peopl"/>
  </r>
  <r>
    <x v="7"/>
    <n v="13.686199999999999"/>
    <n v="-89.205600000000004"/>
    <n v="5"/>
    <n v="0"/>
    <n v="0"/>
    <n v="107"/>
    <s v="_x0000_peopl"/>
  </r>
  <r>
    <x v="7"/>
    <n v="13.686199999999999"/>
    <n v="-89.205500000000001"/>
    <n v="2"/>
    <n v="0"/>
    <n v="0"/>
    <n v="107"/>
    <s v="_x0000_peopl"/>
  </r>
  <r>
    <x v="7"/>
    <n v="13.686199999999999"/>
    <n v="-89.205299999999994"/>
    <n v="3"/>
    <n v="0"/>
    <n v="0"/>
    <n v="107"/>
    <s v="_x0000_peopl"/>
  </r>
  <r>
    <x v="7"/>
    <n v="13.6861"/>
    <n v="-89.205799999999996"/>
    <n v="6"/>
    <n v="0"/>
    <n v="0"/>
    <n v="107"/>
    <s v="_x0000_peopl"/>
  </r>
  <r>
    <x v="7"/>
    <n v="13.6861"/>
    <n v="-89.205699999999993"/>
    <n v="6"/>
    <n v="0"/>
    <n v="0"/>
    <n v="107"/>
    <s v="_x0000_peopl"/>
  </r>
  <r>
    <x v="7"/>
    <n v="13.6861"/>
    <n v="-89.205600000000004"/>
    <n v="8"/>
    <n v="0"/>
    <n v="0"/>
    <n v="107"/>
    <s v="_x0000_peopl"/>
  </r>
  <r>
    <x v="7"/>
    <n v="13.686"/>
    <n v="-89.205500000000001"/>
    <n v="5"/>
    <n v="0"/>
    <n v="0"/>
    <n v="107"/>
    <s v="_x0000_peopl"/>
  </r>
  <r>
    <x v="7"/>
    <n v="13.686"/>
    <n v="-89.205299999999994"/>
    <n v="4"/>
    <n v="0"/>
    <n v="0"/>
    <n v="107"/>
    <s v="_x0000_peopl"/>
  </r>
  <r>
    <x v="7"/>
    <n v="13.686199999999999"/>
    <n v="-89.204700000000003"/>
    <n v="6"/>
    <n v="0"/>
    <n v="0"/>
    <n v="107"/>
    <s v="_x0000_peopl"/>
  </r>
  <r>
    <x v="7"/>
    <n v="13.686199999999999"/>
    <n v="-89.204599999999999"/>
    <n v="0"/>
    <n v="0"/>
    <n v="0"/>
    <n v="107"/>
    <s v="_x0000_peopl"/>
  </r>
  <r>
    <x v="7"/>
    <n v="13.686299999999999"/>
    <n v="-89.204499999999996"/>
    <n v="4"/>
    <n v="0"/>
    <n v="0"/>
    <n v="107"/>
    <s v="_x0000_peopl"/>
  </r>
  <r>
    <x v="7"/>
    <n v="13.6859"/>
    <n v="-89.204599999999999"/>
    <n v="4"/>
    <n v="0"/>
    <n v="0"/>
    <n v="107"/>
    <s v="_x0000_peopl"/>
  </r>
  <r>
    <x v="7"/>
    <n v="13.6859"/>
    <n v="-89.204800000000006"/>
    <n v="3"/>
    <n v="0"/>
    <n v="0"/>
    <n v="107"/>
    <s v="_x0000_peopl"/>
  </r>
  <r>
    <x v="7"/>
    <n v="13.6859"/>
    <n v="-89.204800000000006"/>
    <n v="4"/>
    <n v="0"/>
    <n v="0"/>
    <n v="107"/>
    <s v="_x0000_peopl"/>
  </r>
  <r>
    <x v="7"/>
    <n v="13.685700000000001"/>
    <n v="-89.204899999999995"/>
    <n v="3"/>
    <n v="0"/>
    <n v="0"/>
    <n v="107"/>
    <s v="_x0000_peopl"/>
  </r>
  <r>
    <x v="7"/>
    <n v="13.685700000000001"/>
    <n v="-89.204800000000006"/>
    <n v="3"/>
    <n v="0"/>
    <n v="0"/>
    <n v="107"/>
    <s v="_x0000_peopl"/>
  </r>
  <r>
    <x v="7"/>
    <n v="13.685700000000001"/>
    <n v="-89.204700000000003"/>
    <n v="6"/>
    <n v="0"/>
    <n v="0"/>
    <n v="107"/>
    <s v="_x0000_peopl"/>
  </r>
  <r>
    <x v="7"/>
    <n v="13.685499999999999"/>
    <n v="-89.204800000000006"/>
    <n v="8"/>
    <n v="0"/>
    <n v="0"/>
    <n v="107"/>
    <s v="_x0000_peopl"/>
  </r>
  <r>
    <x v="7"/>
    <n v="13.685499999999999"/>
    <n v="-89.204700000000003"/>
    <n v="3"/>
    <n v="0"/>
    <n v="0"/>
    <n v="107"/>
    <s v="_x0000_peopl"/>
  </r>
  <r>
    <x v="7"/>
    <n v="13.685499999999999"/>
    <n v="-89.204999999999998"/>
    <n v="8"/>
    <n v="0"/>
    <n v="0"/>
    <n v="107"/>
    <s v="_x0000_peopl"/>
  </r>
  <r>
    <x v="7"/>
    <n v="13.6854"/>
    <n v="-89.205100000000002"/>
    <n v="6"/>
    <n v="0"/>
    <n v="0"/>
    <n v="107"/>
    <s v="_x0000_peopl"/>
  </r>
  <r>
    <x v="7"/>
    <n v="13.6854"/>
    <n v="-89.205200000000005"/>
    <n v="3"/>
    <n v="0"/>
    <n v="0"/>
    <n v="107"/>
    <s v="_x0000_peopl"/>
  </r>
  <r>
    <x v="7"/>
    <n v="13.686"/>
    <n v="-89.205299999999994"/>
    <n v="5"/>
    <n v="0"/>
    <n v="0"/>
    <n v="107"/>
    <s v="_x0000_peopl"/>
  </r>
  <r>
    <x v="7"/>
    <n v="13.686"/>
    <n v="-89.205200000000005"/>
    <n v="6"/>
    <n v="0"/>
    <n v="0"/>
    <n v="107"/>
    <s v="_x0000_peopl"/>
  </r>
  <r>
    <x v="7"/>
    <n v="13.686"/>
    <n v="-89.205100000000002"/>
    <n v="4"/>
    <n v="0"/>
    <n v="0"/>
    <n v="107"/>
    <s v="_x0000_peopl"/>
  </r>
  <r>
    <x v="7"/>
    <n v="13.686"/>
    <n v="-89.2059"/>
    <n v="3"/>
    <n v="0"/>
    <n v="0"/>
    <n v="107"/>
    <s v="_x0000_peopl"/>
  </r>
  <r>
    <x v="7"/>
    <n v="13.6859"/>
    <n v="-89.205799999999996"/>
    <n v="1"/>
    <n v="0"/>
    <n v="0"/>
    <n v="107"/>
    <s v="_x0000_peopl"/>
  </r>
  <r>
    <x v="7"/>
    <n v="13.6859"/>
    <n v="-89.205699999999993"/>
    <n v="7"/>
    <n v="0"/>
    <n v="0"/>
    <n v="107"/>
    <s v="_x0000_peopl"/>
  </r>
  <r>
    <x v="7"/>
    <n v="13.6859"/>
    <n v="-89.205699999999993"/>
    <n v="7"/>
    <n v="0"/>
    <n v="0"/>
    <n v="107"/>
    <s v="_x0000_peopl"/>
  </r>
  <r>
    <x v="7"/>
    <n v="13.6859"/>
    <n v="-89.205600000000004"/>
    <n v="7"/>
    <n v="0"/>
    <n v="0"/>
    <n v="107"/>
    <s v="_x0000_peopl"/>
  </r>
  <r>
    <x v="7"/>
    <n v="13.6859"/>
    <n v="-89.205500000000001"/>
    <n v="8"/>
    <n v="0"/>
    <n v="0"/>
    <n v="107"/>
    <s v="_x0000_peopl"/>
  </r>
  <r>
    <x v="7"/>
    <n v="13.6859"/>
    <n v="-89.205399999999997"/>
    <n v="6"/>
    <n v="0"/>
    <n v="0"/>
    <n v="107"/>
    <s v="_x0000_peopl"/>
  </r>
  <r>
    <x v="7"/>
    <n v="13.6858"/>
    <n v="-89.205299999999994"/>
    <n v="4"/>
    <n v="0"/>
    <n v="0"/>
    <n v="107"/>
    <s v="_x0000_peopl"/>
  </r>
  <r>
    <x v="7"/>
    <n v="13.6858"/>
    <n v="-89.205200000000005"/>
    <n v="4"/>
    <n v="0"/>
    <n v="0"/>
    <n v="107"/>
    <s v="_x0000_peopl"/>
  </r>
  <r>
    <x v="7"/>
    <n v="13.6858"/>
    <n v="-89.205100000000002"/>
    <n v="3"/>
    <n v="0"/>
    <n v="0"/>
    <n v="107"/>
    <s v="_x0000_peopl"/>
  </r>
  <r>
    <x v="7"/>
    <n v="13.6858"/>
    <n v="-89.204999999999998"/>
    <n v="9"/>
    <n v="0"/>
    <n v="0"/>
    <n v="107"/>
    <s v="_x0000_peopl"/>
  </r>
  <r>
    <x v="7"/>
    <n v="13.686500000000001"/>
    <n v="-89.204499999999996"/>
    <n v="3"/>
    <n v="0"/>
    <n v="0"/>
    <n v="107"/>
    <s v="_x0000_peopl"/>
  </r>
  <r>
    <x v="7"/>
    <n v="13.6875"/>
    <n v="-89.204999999999998"/>
    <n v="2"/>
    <n v="0"/>
    <n v="0"/>
    <n v="107"/>
    <s v="_x0000_peopl"/>
  </r>
  <r>
    <x v="7"/>
    <n v="13.6875"/>
    <n v="-89.204899999999995"/>
    <n v="3"/>
    <n v="0"/>
    <n v="0"/>
    <n v="107"/>
    <s v="_x0000_peopl"/>
  </r>
  <r>
    <x v="7"/>
    <n v="13.6875"/>
    <n v="-89.204800000000006"/>
    <n v="8"/>
    <n v="0"/>
    <n v="0"/>
    <n v="107"/>
    <s v="_x0000_peopl"/>
  </r>
  <r>
    <x v="7"/>
    <n v="13.6875"/>
    <n v="-89.204700000000003"/>
    <n v="3"/>
    <n v="0"/>
    <n v="0"/>
    <n v="107"/>
    <s v="_x0000_peopl"/>
  </r>
  <r>
    <x v="7"/>
    <n v="13.6874"/>
    <n v="-89.204700000000003"/>
    <n v="5"/>
    <n v="0"/>
    <n v="0"/>
    <n v="107"/>
    <s v="_x0000_peopl"/>
  </r>
  <r>
    <x v="7"/>
    <n v="13.6875"/>
    <n v="-89.203800000000001"/>
    <n v="8"/>
    <n v="0"/>
    <n v="0"/>
    <n v="107"/>
    <s v="_x0000_peopl"/>
  </r>
  <r>
    <x v="7"/>
    <n v="13.6875"/>
    <n v="-89.203800000000001"/>
    <n v="2"/>
    <n v="0"/>
    <n v="0"/>
    <n v="107"/>
    <s v="_x0000_peopl"/>
  </r>
  <r>
    <x v="7"/>
    <n v="13.6875"/>
    <n v="-89.203699999999998"/>
    <n v="5"/>
    <n v="0"/>
    <n v="0"/>
    <n v="107"/>
    <s v="_x0000_peopl"/>
  </r>
  <r>
    <x v="7"/>
    <n v="13.6875"/>
    <n v="-89.203599999999994"/>
    <n v="1"/>
    <n v="0"/>
    <n v="0"/>
    <n v="107"/>
    <s v="_x0000_peopl"/>
  </r>
  <r>
    <x v="7"/>
    <n v="13.6875"/>
    <n v="-89.203500000000005"/>
    <n v="7"/>
    <n v="0"/>
    <n v="0"/>
    <n v="107"/>
    <s v="_x0000_peopl"/>
  </r>
  <r>
    <x v="7"/>
    <n v="13.687099999999999"/>
    <n v="-89.204800000000006"/>
    <n v="5"/>
    <n v="0"/>
    <n v="0"/>
    <n v="107"/>
    <s v="_x0000_peopl"/>
  </r>
  <r>
    <x v="7"/>
    <n v="13.687200000000001"/>
    <n v="-89.204700000000003"/>
    <n v="7"/>
    <n v="0"/>
    <n v="0"/>
    <n v="107"/>
    <s v="_x0000_peopl"/>
  </r>
  <r>
    <x v="7"/>
    <n v="13.687200000000001"/>
    <n v="-89.204700000000003"/>
    <n v="8"/>
    <n v="0"/>
    <n v="0"/>
    <n v="107"/>
    <s v="_x0000_peopl"/>
  </r>
  <r>
    <x v="7"/>
    <n v="13.687200000000001"/>
    <n v="-89.204999999999998"/>
    <n v="1"/>
    <n v="0"/>
    <n v="0"/>
    <n v="107"/>
    <s v="_x0000_peopl"/>
  </r>
  <r>
    <x v="7"/>
    <n v="13.6873"/>
    <n v="-89.204999999999998"/>
    <n v="6"/>
    <n v="0"/>
    <n v="0"/>
    <n v="107"/>
    <s v="_x0000_peopl"/>
  </r>
  <r>
    <x v="7"/>
    <n v="13.6873"/>
    <n v="-89.204999999999998"/>
    <n v="5"/>
    <n v="0"/>
    <n v="0"/>
    <n v="107"/>
    <s v="_x0000_peopl"/>
  </r>
  <r>
    <x v="7"/>
    <n v="13.6874"/>
    <n v="-89.204999999999998"/>
    <n v="3"/>
    <n v="0"/>
    <n v="0"/>
    <n v="107"/>
    <s v="_x0000_peopl"/>
  </r>
  <r>
    <x v="7"/>
    <n v="13.686999999999999"/>
    <n v="-89.204999999999998"/>
    <n v="4"/>
    <n v="0"/>
    <n v="0"/>
    <n v="107"/>
    <s v="_x0000_peopl"/>
  </r>
  <r>
    <x v="7"/>
    <n v="13.686999999999999"/>
    <n v="-89.204999999999998"/>
    <n v="3"/>
    <n v="0"/>
    <n v="0"/>
    <n v="107"/>
    <s v="_x0000_peopl"/>
  </r>
  <r>
    <x v="7"/>
    <n v="13.687099999999999"/>
    <n v="-89.204800000000006"/>
    <n v="6"/>
    <n v="0"/>
    <n v="0"/>
    <n v="107"/>
    <s v="_x0000_peopl"/>
  </r>
  <r>
    <x v="7"/>
    <n v="13.686999999999999"/>
    <n v="-89.204999999999998"/>
    <n v="2"/>
    <n v="0"/>
    <n v="0"/>
    <n v="107"/>
    <s v="_x0000_peopl"/>
  </r>
  <r>
    <x v="7"/>
    <n v="13.6869"/>
    <n v="-89.204999999999998"/>
    <n v="9"/>
    <n v="0"/>
    <n v="0"/>
    <n v="107"/>
    <s v="_x0000_peopl"/>
  </r>
  <r>
    <x v="7"/>
    <n v="13.687799999999999"/>
    <n v="-89.204099999999997"/>
    <n v="6"/>
    <n v="0"/>
    <n v="0"/>
    <n v="107"/>
    <s v="_x0000_peopl"/>
  </r>
  <r>
    <x v="7"/>
    <n v="13.6877"/>
    <n v="-89.203999999999994"/>
    <n v="6"/>
    <n v="0"/>
    <n v="0"/>
    <n v="107"/>
    <s v="_x0000_peopl"/>
  </r>
  <r>
    <x v="7"/>
    <n v="13.6877"/>
    <n v="-89.203999999999994"/>
    <n v="5"/>
    <n v="0"/>
    <n v="0"/>
    <n v="107"/>
    <s v="_x0000_peopl"/>
  </r>
  <r>
    <x v="7"/>
    <n v="13.6875"/>
    <n v="-89.203400000000002"/>
    <n v="5"/>
    <n v="0"/>
    <n v="0"/>
    <n v="107"/>
    <s v="_x0000_peopl"/>
  </r>
  <r>
    <x v="7"/>
    <n v="13.6875"/>
    <n v="-89.203299999999999"/>
    <n v="6"/>
    <n v="0"/>
    <n v="0"/>
    <n v="107"/>
    <s v="_x0000_peopl"/>
  </r>
  <r>
    <x v="7"/>
    <n v="13.6884"/>
    <n v="-89.206599999999995"/>
    <n v="6"/>
    <n v="0"/>
    <n v="0"/>
    <n v="107"/>
    <s v="_x0000_peopl"/>
  </r>
  <r>
    <x v="7"/>
    <n v="13.688599999999999"/>
    <n v="-89.206500000000005"/>
    <n v="6"/>
    <n v="0"/>
    <n v="0"/>
    <n v="107"/>
    <s v="_x0000_peopl"/>
  </r>
  <r>
    <x v="7"/>
    <n v="13.6884"/>
    <n v="-89.206400000000002"/>
    <n v="5"/>
    <n v="0"/>
    <n v="0"/>
    <n v="107"/>
    <s v="_x0000_peopl"/>
  </r>
  <r>
    <x v="7"/>
    <n v="13.688499999999999"/>
    <n v="-89.206299999999999"/>
    <n v="4"/>
    <n v="0"/>
    <n v="0"/>
    <n v="107"/>
    <s v="_x0000_peopl"/>
  </r>
  <r>
    <x v="7"/>
    <n v="13.688599999999999"/>
    <n v="-89.206299999999999"/>
    <n v="6"/>
    <n v="0"/>
    <n v="0"/>
    <n v="107"/>
    <s v="_x0000_peopl"/>
  </r>
  <r>
    <x v="7"/>
    <n v="13.6884"/>
    <n v="-89.206299999999999"/>
    <n v="4"/>
    <n v="0"/>
    <n v="0"/>
    <n v="107"/>
    <s v="_x0000_peopl"/>
  </r>
  <r>
    <x v="7"/>
    <n v="13.6881"/>
    <n v="-89.206100000000006"/>
    <n v="5"/>
    <n v="0"/>
    <n v="0"/>
    <n v="107"/>
    <s v="_x0000_peopl"/>
  </r>
  <r>
    <x v="7"/>
    <n v="13.688000000000001"/>
    <n v="-89.206000000000003"/>
    <n v="7"/>
    <n v="0"/>
    <n v="0"/>
    <n v="107"/>
    <s v="_x0000_peopl"/>
  </r>
  <r>
    <x v="7"/>
    <n v="13.688000000000001"/>
    <n v="-89.206100000000006"/>
    <n v="3"/>
    <n v="0"/>
    <n v="0"/>
    <n v="107"/>
    <s v="_x0000_peopl"/>
  </r>
  <r>
    <x v="7"/>
    <n v="13.687900000000001"/>
    <n v="-89.206100000000006"/>
    <n v="6"/>
    <n v="0"/>
    <n v="0"/>
    <n v="107"/>
    <s v="_x0000_peopl"/>
  </r>
  <r>
    <x v="7"/>
    <n v="13.6882"/>
    <n v="-89.206000000000003"/>
    <n v="7"/>
    <n v="0"/>
    <n v="0"/>
    <n v="107"/>
    <s v="_x0000_peopl"/>
  </r>
  <r>
    <x v="7"/>
    <n v="13.688599999999999"/>
    <n v="-89.206000000000003"/>
    <n v="5"/>
    <n v="0"/>
    <n v="0"/>
    <n v="107"/>
    <s v="_x0000_peopl"/>
  </r>
  <r>
    <x v="7"/>
    <n v="13.688599999999999"/>
    <n v="-89.206000000000003"/>
    <n v="9"/>
    <n v="0"/>
    <n v="0"/>
    <n v="107"/>
    <s v="_x0000_peopl"/>
  </r>
  <r>
    <x v="7"/>
    <n v="13.688599999999999"/>
    <n v="-89.206500000000005"/>
    <n v="6"/>
    <n v="0"/>
    <n v="0"/>
    <n v="107"/>
    <s v="_x0000_peopl"/>
  </r>
  <r>
    <x v="7"/>
    <n v="13.688700000000001"/>
    <n v="-89.206500000000005"/>
    <n v="6"/>
    <n v="0"/>
    <n v="0"/>
    <n v="107"/>
    <s v="_x0000_peopl"/>
  </r>
  <r>
    <x v="7"/>
    <n v="13.688800000000001"/>
    <n v="-89.206500000000005"/>
    <n v="1"/>
    <n v="0"/>
    <n v="0"/>
    <n v="107"/>
    <s v="_x0000_peopl"/>
  </r>
  <r>
    <x v="7"/>
    <n v="13.688599999999999"/>
    <n v="-89.206299999999999"/>
    <n v="3"/>
    <n v="0"/>
    <n v="0"/>
    <n v="107"/>
    <s v="_x0000_peopl"/>
  </r>
  <r>
    <x v="7"/>
    <n v="13.688800000000001"/>
    <n v="-89.206000000000003"/>
    <n v="5"/>
    <n v="0"/>
    <n v="0"/>
    <n v="107"/>
    <s v="_x0000_peopl"/>
  </r>
  <r>
    <x v="7"/>
    <n v="13.688800000000001"/>
    <n v="-89.206199999999995"/>
    <n v="1"/>
    <n v="0"/>
    <n v="0"/>
    <n v="107"/>
    <s v="_x0000_peopl"/>
  </r>
  <r>
    <x v="7"/>
    <n v="13.688700000000001"/>
    <n v="-89.206299999999999"/>
    <n v="6"/>
    <n v="0"/>
    <n v="0"/>
    <n v="107"/>
    <s v="_x0000_peopl"/>
  </r>
  <r>
    <x v="7"/>
    <n v="13.688800000000001"/>
    <n v="-89.206400000000002"/>
    <n v="8"/>
    <n v="0"/>
    <n v="0"/>
    <n v="107"/>
    <s v="_x0000_peopl"/>
  </r>
  <r>
    <x v="7"/>
    <n v="13.688499999999999"/>
    <n v="-89.206000000000003"/>
    <n v="2"/>
    <n v="0"/>
    <n v="0"/>
    <n v="107"/>
    <s v="_x0000_peopl"/>
  </r>
  <r>
    <x v="7"/>
    <n v="13.6876"/>
    <n v="-89.205600000000004"/>
    <n v="7"/>
    <n v="0"/>
    <n v="0"/>
    <n v="107"/>
    <s v="_x0000_peopl"/>
  </r>
  <r>
    <x v="7"/>
    <n v="13.6876"/>
    <n v="-89.205600000000004"/>
    <n v="8"/>
    <n v="0"/>
    <n v="0"/>
    <n v="107"/>
    <s v="_x0000_peopl"/>
  </r>
  <r>
    <x v="7"/>
    <n v="13.6875"/>
    <n v="-89.205600000000004"/>
    <n v="5"/>
    <n v="0"/>
    <n v="0"/>
    <n v="107"/>
    <s v="_x0000_peopl"/>
  </r>
  <r>
    <x v="7"/>
    <n v="13.6875"/>
    <n v="-89.205500000000001"/>
    <n v="5"/>
    <n v="0"/>
    <n v="0"/>
    <n v="107"/>
    <s v="_x0000_peopl"/>
  </r>
  <r>
    <x v="7"/>
    <n v="13.6874"/>
    <n v="-89.205600000000004"/>
    <n v="3"/>
    <n v="0"/>
    <n v="0"/>
    <n v="107"/>
    <s v="_x0000_peopl"/>
  </r>
  <r>
    <x v="7"/>
    <n v="13.6873"/>
    <n v="-89.205600000000004"/>
    <n v="3"/>
    <n v="0"/>
    <n v="0"/>
    <n v="107"/>
    <s v="_x0000_peopl"/>
  </r>
  <r>
    <x v="7"/>
    <n v="13.6873"/>
    <n v="-89.205600000000004"/>
    <n v="4"/>
    <n v="0"/>
    <n v="0"/>
    <n v="107"/>
    <s v="_x0000_peopl"/>
  </r>
  <r>
    <x v="7"/>
    <n v="13.687099999999999"/>
    <n v="-89.2059"/>
    <n v="5"/>
    <n v="0"/>
    <n v="0"/>
    <n v="107"/>
    <s v="_x0000_peopl"/>
  </r>
  <r>
    <x v="7"/>
    <n v="13.687099999999999"/>
    <n v="-89.205799999999996"/>
    <n v="9"/>
    <n v="0"/>
    <n v="0"/>
    <n v="107"/>
    <s v="_x0000_peopl"/>
  </r>
  <r>
    <x v="7"/>
    <n v="13.6876"/>
    <n v="-89.205799999999996"/>
    <n v="7"/>
    <n v="0"/>
    <n v="0"/>
    <n v="107"/>
    <s v="_x0000_peopl"/>
  </r>
  <r>
    <x v="7"/>
    <n v="13.6876"/>
    <n v="-89.205699999999993"/>
    <n v="7"/>
    <n v="0"/>
    <n v="0"/>
    <n v="107"/>
    <s v="_x0000_peopl"/>
  </r>
  <r>
    <x v="7"/>
    <n v="13.6873"/>
    <n v="-89.203599999999994"/>
    <n v="4"/>
    <n v="0"/>
    <n v="0"/>
    <n v="107"/>
    <s v="_x0000_peopl"/>
  </r>
  <r>
    <x v="7"/>
    <n v="13.6873"/>
    <n v="-89.203599999999994"/>
    <n v="5"/>
    <n v="0"/>
    <n v="0"/>
    <n v="107"/>
    <s v="_x0000_peopl"/>
  </r>
  <r>
    <x v="7"/>
    <n v="13.6874"/>
    <n v="-89.203699999999998"/>
    <n v="3"/>
    <n v="0"/>
    <n v="0"/>
    <n v="107"/>
    <s v="_x0000_peopl"/>
  </r>
  <r>
    <x v="7"/>
    <n v="13.6873"/>
    <n v="-89.203800000000001"/>
    <n v="6"/>
    <n v="0"/>
    <n v="0"/>
    <n v="107"/>
    <s v="_x0000_peopl"/>
  </r>
  <r>
    <x v="7"/>
    <n v="13.6873"/>
    <n v="-89.203800000000001"/>
    <n v="8"/>
    <n v="0"/>
    <n v="0"/>
    <n v="107"/>
    <s v="_x0000_peopl"/>
  </r>
  <r>
    <x v="7"/>
    <n v="13.687200000000001"/>
    <n v="-89.203800000000001"/>
    <n v="6"/>
    <n v="0"/>
    <n v="0"/>
    <n v="107"/>
    <s v="_x0000_peopl"/>
  </r>
  <r>
    <x v="7"/>
    <n v="13.6881"/>
    <n v="-89.2042"/>
    <n v="3"/>
    <n v="0"/>
    <n v="0"/>
    <n v="107"/>
    <s v="_x0000_peopl"/>
  </r>
  <r>
    <x v="7"/>
    <n v="13.6882"/>
    <n v="-89.203900000000004"/>
    <n v="4"/>
    <n v="0"/>
    <n v="0"/>
    <n v="107"/>
    <s v="_x0000_peopl"/>
  </r>
  <r>
    <x v="7"/>
    <n v="13.6882"/>
    <n v="-89.203900000000004"/>
    <n v="3"/>
    <n v="0"/>
    <n v="0"/>
    <n v="107"/>
    <s v="_x0000_peopl"/>
  </r>
  <r>
    <x v="7"/>
    <n v="13.6882"/>
    <n v="-89.203999999999994"/>
    <n v="12"/>
    <n v="0"/>
    <n v="0"/>
    <n v="107"/>
    <s v="_x0000_peopl"/>
  </r>
  <r>
    <x v="7"/>
    <n v="13.6881"/>
    <n v="-89.203999999999994"/>
    <n v="3"/>
    <n v="0"/>
    <n v="0"/>
    <n v="107"/>
    <s v="_x0000_peopl"/>
  </r>
  <r>
    <x v="7"/>
    <n v="13.688000000000001"/>
    <n v="-89.203900000000004"/>
    <n v="1"/>
    <n v="0"/>
    <n v="0"/>
    <n v="107"/>
    <s v="_x0000_peopl"/>
  </r>
  <r>
    <x v="7"/>
    <n v="13.6881"/>
    <n v="-89.203999999999994"/>
    <n v="2"/>
    <n v="0"/>
    <n v="0"/>
    <n v="107"/>
    <s v="_x0000_peopl"/>
  </r>
  <r>
    <x v="7"/>
    <n v="13.6881"/>
    <n v="-89.204099999999997"/>
    <n v="4"/>
    <n v="0"/>
    <n v="0"/>
    <n v="107"/>
    <s v="_x0000_peopl"/>
  </r>
  <r>
    <x v="7"/>
    <n v="13.6881"/>
    <n v="-89.204099999999997"/>
    <n v="8"/>
    <n v="0"/>
    <n v="0"/>
    <n v="107"/>
    <s v="_x0000_peopl"/>
  </r>
  <r>
    <x v="7"/>
    <n v="13.6883"/>
    <n v="-89.203699999999998"/>
    <n v="4"/>
    <n v="0"/>
    <n v="0"/>
    <n v="107"/>
    <s v="_x0000_peopl"/>
  </r>
  <r>
    <x v="7"/>
    <n v="13.6881"/>
    <n v="-89.203699999999998"/>
    <n v="8"/>
    <n v="0"/>
    <n v="0"/>
    <n v="107"/>
    <s v="_x0000_peopl"/>
  </r>
  <r>
    <x v="7"/>
    <n v="13.6881"/>
    <n v="-89.203599999999994"/>
    <n v="1"/>
    <n v="0"/>
    <n v="0"/>
    <n v="107"/>
    <s v="_x0000_peopl"/>
  </r>
  <r>
    <x v="7"/>
    <n v="13.6881"/>
    <n v="-89.203599999999994"/>
    <n v="7"/>
    <n v="0"/>
    <n v="0"/>
    <n v="107"/>
    <s v="_x0000_peopl"/>
  </r>
  <r>
    <x v="7"/>
    <n v="13.6881"/>
    <n v="-89.203500000000005"/>
    <n v="7"/>
    <n v="0"/>
    <n v="0"/>
    <n v="107"/>
    <s v="_x0000_peopl"/>
  </r>
  <r>
    <x v="7"/>
    <n v="13.6881"/>
    <n v="-89.203500000000005"/>
    <n v="3"/>
    <n v="0"/>
    <n v="0"/>
    <n v="107"/>
    <s v="_x0000_peopl"/>
  </r>
  <r>
    <x v="7"/>
    <n v="13.6881"/>
    <n v="-89.203400000000002"/>
    <n v="2"/>
    <n v="0"/>
    <n v="0"/>
    <n v="107"/>
    <s v="_x0000_peopl"/>
  </r>
  <r>
    <x v="7"/>
    <n v="13.6881"/>
    <n v="-89.203299999999999"/>
    <n v="9"/>
    <n v="0"/>
    <n v="0"/>
    <n v="107"/>
    <s v="_x0000_peopl"/>
  </r>
  <r>
    <x v="7"/>
    <n v="13.687900000000001"/>
    <n v="-89.203400000000002"/>
    <n v="4"/>
    <n v="0"/>
    <n v="0"/>
    <n v="107"/>
    <s v="_x0000_peopl"/>
  </r>
  <r>
    <x v="7"/>
    <n v="13.687799999999999"/>
    <n v="-89.203299999999999"/>
    <n v="6"/>
    <n v="0"/>
    <n v="0"/>
    <n v="107"/>
    <s v="_x0000_peopl"/>
  </r>
  <r>
    <x v="7"/>
    <n v="13.687900000000001"/>
    <n v="-89.203100000000006"/>
    <n v="6"/>
    <n v="0"/>
    <n v="0"/>
    <n v="107"/>
    <s v="_x0000_peopl"/>
  </r>
  <r>
    <x v="7"/>
    <n v="13.688000000000001"/>
    <n v="-89.203000000000003"/>
    <n v="6"/>
    <n v="0"/>
    <n v="0"/>
    <n v="107"/>
    <s v="_x0000_peopl"/>
  </r>
  <r>
    <x v="7"/>
    <n v="13.6881"/>
    <n v="-89.203000000000003"/>
    <n v="5"/>
    <n v="0"/>
    <n v="0"/>
    <n v="107"/>
    <s v="_x0000_peopl"/>
  </r>
  <r>
    <x v="7"/>
    <n v="13.6882"/>
    <n v="-89.203000000000003"/>
    <n v="6"/>
    <n v="0"/>
    <n v="0"/>
    <n v="107"/>
    <s v="_x0000_peopl"/>
  </r>
  <r>
    <x v="7"/>
    <n v="13.6883"/>
    <n v="-89.202799999999996"/>
    <n v="11"/>
    <n v="0"/>
    <n v="0"/>
    <n v="107"/>
    <s v="_x0000_peopl"/>
  </r>
  <r>
    <x v="7"/>
    <n v="13.6881"/>
    <n v="-89.2029"/>
    <n v="8"/>
    <n v="0"/>
    <n v="0"/>
    <n v="107"/>
    <s v="_x0000_peopl"/>
  </r>
  <r>
    <x v="7"/>
    <n v="13.688000000000001"/>
    <n v="-89.2029"/>
    <n v="4"/>
    <n v="0"/>
    <n v="0"/>
    <n v="107"/>
    <s v="_x0000_peopl"/>
  </r>
  <r>
    <x v="7"/>
    <n v="13.688000000000001"/>
    <n v="-89.2029"/>
    <n v="9"/>
    <n v="0"/>
    <n v="0"/>
    <n v="107"/>
    <s v="_x0000_peopl"/>
  </r>
  <r>
    <x v="7"/>
    <n v="13.687900000000001"/>
    <n v="-89.2029"/>
    <n v="5"/>
    <n v="0"/>
    <n v="0"/>
    <n v="107"/>
    <s v="_x0000_peopl"/>
  </r>
  <r>
    <x v="7"/>
    <n v="13.687900000000001"/>
    <n v="-89.202699999999993"/>
    <n v="5"/>
    <n v="0"/>
    <n v="0"/>
    <n v="107"/>
    <s v="_x0000_peopl"/>
  </r>
  <r>
    <x v="7"/>
    <n v="13.687900000000001"/>
    <n v="-89.202699999999993"/>
    <n v="8"/>
    <n v="0"/>
    <n v="0"/>
    <n v="107"/>
    <s v="_x0000_peopl"/>
  </r>
  <r>
    <x v="7"/>
    <n v="13.6877"/>
    <n v="-89.203299999999999"/>
    <n v="2"/>
    <n v="0"/>
    <n v="0"/>
    <n v="107"/>
    <s v="_x0000_peopl"/>
  </r>
  <r>
    <x v="7"/>
    <n v="13.6874"/>
    <n v="-89.203299999999999"/>
    <n v="8"/>
    <n v="0"/>
    <n v="0"/>
    <n v="107"/>
    <s v="_x0000_peopl"/>
  </r>
  <r>
    <x v="7"/>
    <n v="13.6875"/>
    <n v="-89.203100000000006"/>
    <n v="5"/>
    <n v="0"/>
    <n v="0"/>
    <n v="107"/>
    <s v="_x0000_peopl"/>
  </r>
  <r>
    <x v="7"/>
    <n v="13.6876"/>
    <n v="-89.203100000000006"/>
    <n v="3"/>
    <n v="0"/>
    <n v="0"/>
    <n v="107"/>
    <s v="_x0000_peopl"/>
  </r>
  <r>
    <x v="7"/>
    <n v="13.6877"/>
    <n v="-89.203100000000006"/>
    <n v="3"/>
    <n v="0"/>
    <n v="0"/>
    <n v="107"/>
    <s v="_x0000_peopl"/>
  </r>
  <r>
    <x v="7"/>
    <n v="13.687799999999999"/>
    <n v="-89.2029"/>
    <n v="0"/>
    <n v="0"/>
    <n v="0"/>
    <n v="107"/>
    <s v="_x0000_peopl"/>
  </r>
  <r>
    <x v="7"/>
    <n v="13.6875"/>
    <n v="-89.2029"/>
    <n v="7"/>
    <n v="0"/>
    <n v="0"/>
    <n v="107"/>
    <s v="_x0000_peopl"/>
  </r>
  <r>
    <x v="7"/>
    <n v="13.6875"/>
    <n v="-89.2029"/>
    <n v="5"/>
    <n v="0"/>
    <n v="0"/>
    <n v="107"/>
    <s v="_x0000_peopl"/>
  </r>
  <r>
    <x v="7"/>
    <n v="13.6874"/>
    <n v="-89.202799999999996"/>
    <n v="5"/>
    <n v="0"/>
    <n v="0"/>
    <n v="107"/>
    <s v="_x0000_peopl"/>
  </r>
  <r>
    <x v="7"/>
    <n v="13.6874"/>
    <n v="-89.202799999999996"/>
    <n v="6"/>
    <n v="0"/>
    <n v="0"/>
    <n v="107"/>
    <s v="_x0000_peopl"/>
  </r>
  <r>
    <x v="7"/>
    <n v="13.6874"/>
    <n v="-89.202799999999996"/>
    <n v="1"/>
    <n v="0"/>
    <n v="0"/>
    <n v="107"/>
    <s v="_x0000_peopl"/>
  </r>
  <r>
    <x v="7"/>
    <n v="13.6875"/>
    <n v="-89.202699999999993"/>
    <n v="4"/>
    <n v="0"/>
    <n v="0"/>
    <n v="107"/>
    <s v="_x0000_peopl"/>
  </r>
  <r>
    <x v="7"/>
    <n v="13.6877"/>
    <n v="-89.202699999999993"/>
    <n v="6"/>
    <n v="0"/>
    <n v="0"/>
    <n v="107"/>
    <s v="_x0000_peopl"/>
  </r>
  <r>
    <x v="7"/>
    <n v="13.687799999999999"/>
    <n v="-89.202600000000004"/>
    <n v="3"/>
    <n v="0"/>
    <n v="0"/>
    <n v="107"/>
    <s v="_x0000_peopl"/>
  </r>
  <r>
    <x v="7"/>
    <n v="13.6884"/>
    <n v="-89.203699999999998"/>
    <n v="4"/>
    <n v="0"/>
    <n v="0"/>
    <n v="107"/>
    <s v="_x0000_peopl"/>
  </r>
  <r>
    <x v="7"/>
    <n v="13.6884"/>
    <n v="-89.203500000000005"/>
    <n v="3"/>
    <n v="0"/>
    <n v="0"/>
    <n v="107"/>
    <s v="_x0000_peopl"/>
  </r>
  <r>
    <x v="7"/>
    <n v="13.6884"/>
    <n v="-89.203500000000005"/>
    <n v="3"/>
    <n v="0"/>
    <n v="0"/>
    <n v="107"/>
    <s v="_x0000_peopl"/>
  </r>
  <r>
    <x v="7"/>
    <n v="13.6884"/>
    <n v="-89.203400000000002"/>
    <n v="6"/>
    <n v="0"/>
    <n v="0"/>
    <n v="107"/>
    <s v="_x0000_peopl"/>
  </r>
  <r>
    <x v="7"/>
    <n v="13.6884"/>
    <n v="-89.203299999999999"/>
    <n v="4"/>
    <n v="0"/>
    <n v="0"/>
    <n v="107"/>
    <s v="_x0000_peopl"/>
  </r>
  <r>
    <x v="7"/>
    <n v="13.6884"/>
    <n v="-89.203199999999995"/>
    <n v="3"/>
    <n v="0"/>
    <n v="0"/>
    <n v="107"/>
    <s v="_x0000_peopl"/>
  </r>
  <r>
    <x v="7"/>
    <n v="13.6884"/>
    <n v="-89.203100000000006"/>
    <n v="5"/>
    <n v="0"/>
    <n v="0"/>
    <n v="107"/>
    <s v="_x0000_peopl"/>
  </r>
  <r>
    <x v="7"/>
    <n v="13.6884"/>
    <n v="-89.203000000000003"/>
    <n v="3"/>
    <n v="0"/>
    <n v="0"/>
    <n v="107"/>
    <s v="_x0000_peopl"/>
  </r>
  <r>
    <x v="7"/>
    <n v="13.6876"/>
    <n v="-89.202500000000001"/>
    <n v="8"/>
    <n v="0"/>
    <n v="0"/>
    <n v="107"/>
    <s v="_x0000_peopl"/>
  </r>
  <r>
    <x v="7"/>
    <n v="13.6875"/>
    <n v="-89.202500000000001"/>
    <n v="4"/>
    <n v="0"/>
    <n v="0"/>
    <n v="107"/>
    <s v="_x0000_peopl"/>
  </r>
  <r>
    <x v="7"/>
    <n v="13.6874"/>
    <n v="-89.202500000000001"/>
    <n v="5"/>
    <n v="0"/>
    <n v="0"/>
    <n v="107"/>
    <s v="_x0000_peopl"/>
  </r>
  <r>
    <x v="7"/>
    <n v="13.6873"/>
    <n v="-89.202399999999997"/>
    <n v="3"/>
    <n v="0"/>
    <n v="0"/>
    <n v="107"/>
    <s v="_x0000_peopl"/>
  </r>
  <r>
    <x v="7"/>
    <n v="13.687200000000001"/>
    <n v="-89.202699999999993"/>
    <n v="4"/>
    <n v="0"/>
    <n v="0"/>
    <n v="107"/>
    <s v="_x0000_peopl"/>
  </r>
  <r>
    <x v="7"/>
    <n v="13.687200000000001"/>
    <n v="-89.202799999999996"/>
    <n v="7"/>
    <n v="0"/>
    <n v="0"/>
    <n v="107"/>
    <s v="_x0000_peopl"/>
  </r>
  <r>
    <x v="7"/>
    <n v="13.687099999999999"/>
    <n v="-89.2029"/>
    <n v="4"/>
    <n v="0"/>
    <n v="0"/>
    <n v="107"/>
    <s v="_x0000_peopl"/>
  </r>
  <r>
    <x v="7"/>
    <n v="13.687099999999999"/>
    <n v="-89.203000000000003"/>
    <n v="5"/>
    <n v="0"/>
    <n v="0"/>
    <n v="107"/>
    <s v="_x0000_peopl"/>
  </r>
  <r>
    <x v="7"/>
    <n v="13.687200000000001"/>
    <n v="-89.203000000000003"/>
    <n v="1"/>
    <n v="0"/>
    <n v="0"/>
    <n v="107"/>
    <s v="_x0000_peopl"/>
  </r>
  <r>
    <x v="7"/>
    <n v="13.6873"/>
    <n v="-89.2029"/>
    <n v="7"/>
    <n v="0"/>
    <n v="0"/>
    <n v="107"/>
    <s v="_x0000_peopl"/>
  </r>
  <r>
    <x v="7"/>
    <n v="13.6873"/>
    <n v="-89.2029"/>
    <n v="1"/>
    <n v="0"/>
    <n v="0"/>
    <n v="107"/>
    <s v="_x0000_peopl"/>
  </r>
  <r>
    <x v="7"/>
    <n v="13.6873"/>
    <n v="-89.203199999999995"/>
    <n v="4"/>
    <n v="0"/>
    <n v="0"/>
    <n v="107"/>
    <s v="_x0000_peopl"/>
  </r>
  <r>
    <x v="7"/>
    <n v="13.6873"/>
    <n v="-89.203199999999995"/>
    <n v="5"/>
    <n v="0"/>
    <n v="0"/>
    <n v="107"/>
    <s v="_x0000_peopl"/>
  </r>
  <r>
    <x v="7"/>
    <n v="13.687200000000001"/>
    <n v="-89.203100000000006"/>
    <n v="3"/>
    <n v="0"/>
    <n v="0"/>
    <n v="107"/>
    <s v="_x0000_peopl"/>
  </r>
  <r>
    <x v="7"/>
    <n v="13.687099999999999"/>
    <n v="-89.203199999999995"/>
    <n v="3"/>
    <n v="0"/>
    <n v="0"/>
    <n v="107"/>
    <s v="_x0000_peopl"/>
  </r>
  <r>
    <x v="7"/>
    <n v="13.6873"/>
    <n v="-89.203100000000006"/>
    <n v="7"/>
    <n v="0"/>
    <n v="0"/>
    <n v="107"/>
    <s v="_x0000_peopl"/>
  </r>
  <r>
    <x v="7"/>
    <n v="13.6873"/>
    <n v="-89.203500000000005"/>
    <n v="4"/>
    <n v="0"/>
    <n v="0"/>
    <n v="107"/>
    <s v="_x0000_peopl"/>
  </r>
  <r>
    <x v="7"/>
    <n v="13.6873"/>
    <n v="-89.203400000000002"/>
    <n v="9"/>
    <n v="0"/>
    <n v="0"/>
    <n v="107"/>
    <s v="_x0000_peopl"/>
  </r>
  <r>
    <x v="7"/>
    <n v="13.6873"/>
    <n v="-89.202299999999994"/>
    <n v="5"/>
    <n v="0"/>
    <n v="0"/>
    <n v="107"/>
    <s v="_x0000_peopl"/>
  </r>
  <r>
    <x v="7"/>
    <n v="13.6873"/>
    <n v="-89.202200000000005"/>
    <n v="4"/>
    <n v="0"/>
    <n v="0"/>
    <n v="107"/>
    <s v="_x0000_peopl"/>
  </r>
  <r>
    <x v="7"/>
    <n v="13.6873"/>
    <n v="-89.202100000000002"/>
    <n v="1"/>
    <n v="0"/>
    <n v="0"/>
    <n v="107"/>
    <s v="_x0000_peopl"/>
  </r>
  <r>
    <x v="7"/>
    <n v="13.6873"/>
    <n v="-89.201999999999998"/>
    <n v="4"/>
    <n v="0"/>
    <n v="0"/>
    <n v="107"/>
    <s v="_x0000_peopl"/>
  </r>
  <r>
    <x v="7"/>
    <n v="13.6874"/>
    <n v="-89.201800000000006"/>
    <n v="7"/>
    <n v="0"/>
    <n v="0"/>
    <n v="107"/>
    <s v="_x0000_peopl"/>
  </r>
  <r>
    <x v="7"/>
    <n v="13.6875"/>
    <n v="-89.201899999999995"/>
    <n v="3"/>
    <n v="0"/>
    <n v="0"/>
    <n v="107"/>
    <s v="_x0000_peopl"/>
  </r>
  <r>
    <x v="7"/>
    <n v="13.6876"/>
    <n v="-89.201800000000006"/>
    <n v="7"/>
    <n v="0"/>
    <n v="0"/>
    <n v="107"/>
    <s v="_x0000_peopl"/>
  </r>
  <r>
    <x v="7"/>
    <n v="13.6877"/>
    <n v="-89.201400000000007"/>
    <n v="7"/>
    <n v="0"/>
    <n v="0"/>
    <n v="107"/>
    <s v="_x0000_peopl"/>
  </r>
  <r>
    <x v="7"/>
    <n v="13.6877"/>
    <n v="-89.201400000000007"/>
    <n v="5"/>
    <n v="0"/>
    <n v="0"/>
    <n v="107"/>
    <s v="_x0000_peopl"/>
  </r>
  <r>
    <x v="7"/>
    <n v="13.6876"/>
    <n v="-89.2012"/>
    <n v="6"/>
    <n v="0"/>
    <n v="0"/>
    <n v="107"/>
    <s v="_x0000_peopl"/>
  </r>
  <r>
    <x v="7"/>
    <n v="13.6876"/>
    <n v="-89.201099999999997"/>
    <n v="8"/>
    <n v="0"/>
    <n v="0"/>
    <n v="107"/>
    <s v="_x0000_peopl"/>
  </r>
  <r>
    <x v="7"/>
    <n v="13.6876"/>
    <n v="-89.201099999999997"/>
    <n v="5"/>
    <n v="0"/>
    <n v="0"/>
    <n v="107"/>
    <s v="_x0000_peopl"/>
  </r>
  <r>
    <x v="7"/>
    <n v="13.6876"/>
    <n v="-89.200999999999993"/>
    <n v="3"/>
    <n v="0"/>
    <n v="0"/>
    <n v="107"/>
    <s v="_x0000_peopl"/>
  </r>
  <r>
    <x v="7"/>
    <n v="13.6874"/>
    <n v="-89.200999999999993"/>
    <n v="6"/>
    <n v="0"/>
    <n v="0"/>
    <n v="107"/>
    <s v="_x0000_peopl"/>
  </r>
  <r>
    <x v="7"/>
    <n v="13.6873"/>
    <n v="-89.201700000000002"/>
    <n v="6"/>
    <n v="0"/>
    <n v="0"/>
    <n v="107"/>
    <s v="_x0000_peopl"/>
  </r>
  <r>
    <x v="7"/>
    <n v="13.687200000000001"/>
    <n v="-89.201499999999996"/>
    <n v="3"/>
    <n v="0"/>
    <n v="0"/>
    <n v="107"/>
    <s v="_x0000_peopl"/>
  </r>
  <r>
    <x v="7"/>
    <n v="13.687200000000001"/>
    <n v="-89.201499999999996"/>
    <n v="5"/>
    <n v="0"/>
    <n v="0"/>
    <n v="107"/>
    <s v="_x0000_peopl"/>
  </r>
  <r>
    <x v="7"/>
    <n v="13.687200000000001"/>
    <n v="-89.201400000000007"/>
    <n v="8"/>
    <n v="0"/>
    <n v="0"/>
    <n v="107"/>
    <s v="_x0000_peopl"/>
  </r>
  <r>
    <x v="7"/>
    <n v="13.6875"/>
    <n v="-89.201700000000002"/>
    <n v="5"/>
    <n v="0"/>
    <n v="0"/>
    <n v="107"/>
    <s v="_x0000_peopl"/>
  </r>
  <r>
    <x v="7"/>
    <n v="13.6873"/>
    <n v="-89.2012"/>
    <n v="8"/>
    <n v="0"/>
    <n v="0"/>
    <n v="107"/>
    <s v="_x0000_peopl"/>
  </r>
  <r>
    <x v="7"/>
    <n v="13.687200000000001"/>
    <n v="-89.2012"/>
    <n v="4"/>
    <n v="0"/>
    <n v="0"/>
    <n v="107"/>
    <s v="_x0000_peopl"/>
  </r>
  <r>
    <x v="7"/>
    <n v="13.687200000000001"/>
    <n v="-89.201099999999997"/>
    <n v="9"/>
    <n v="0"/>
    <n v="0"/>
    <n v="107"/>
    <s v="_x0000_peopl"/>
  </r>
  <r>
    <x v="7"/>
    <n v="13.6873"/>
    <n v="-89.200999999999993"/>
    <n v="5"/>
    <n v="0"/>
    <n v="0"/>
    <n v="107"/>
    <s v="_x0000_peopl"/>
  </r>
  <r>
    <x v="7"/>
    <n v="13.6873"/>
    <n v="-89.200999999999993"/>
    <n v="5"/>
    <n v="0"/>
    <n v="0"/>
    <n v="107"/>
    <s v="_x0000_peopl"/>
  </r>
  <r>
    <x v="7"/>
    <n v="13.686999999999999"/>
    <n v="-89.2012"/>
    <n v="6"/>
    <n v="0"/>
    <n v="0"/>
    <n v="107"/>
    <s v="_x0000_peopl"/>
  </r>
  <r>
    <x v="7"/>
    <n v="13.6869"/>
    <n v="-89.201300000000003"/>
    <n v="6"/>
    <n v="0"/>
    <n v="0"/>
    <n v="107"/>
    <s v="_x0000_peopl"/>
  </r>
  <r>
    <x v="7"/>
    <n v="13.6868"/>
    <n v="-89.201300000000003"/>
    <n v="1"/>
    <n v="0"/>
    <n v="0"/>
    <n v="107"/>
    <s v="_x0000_peopl"/>
  </r>
  <r>
    <x v="7"/>
    <n v="13.6867"/>
    <n v="-89.201300000000003"/>
    <n v="4"/>
    <n v="0"/>
    <n v="0"/>
    <n v="107"/>
    <s v="_x0000_peopl"/>
  </r>
  <r>
    <x v="7"/>
    <n v="13.686999999999999"/>
    <n v="-89.202699999999993"/>
    <n v="8"/>
    <n v="0"/>
    <n v="0"/>
    <n v="107"/>
    <s v="_x0000_peopl"/>
  </r>
  <r>
    <x v="7"/>
    <n v="13.686999999999999"/>
    <n v="-89.202699999999993"/>
    <n v="3"/>
    <n v="0"/>
    <n v="0"/>
    <n v="107"/>
    <s v="_x0000_peopl"/>
  </r>
  <r>
    <x v="7"/>
    <n v="13.686999999999999"/>
    <n v="-89.2029"/>
    <n v="4"/>
    <n v="0"/>
    <n v="0"/>
    <n v="107"/>
    <s v="_x0000_peopl"/>
  </r>
  <r>
    <x v="7"/>
    <n v="13.686999999999999"/>
    <n v="-89.2029"/>
    <n v="3"/>
    <n v="0"/>
    <n v="0"/>
    <n v="107"/>
    <s v="_x0000_peopl"/>
  </r>
  <r>
    <x v="7"/>
    <n v="13.686999999999999"/>
    <n v="-89.203000000000003"/>
    <n v="4"/>
    <n v="0"/>
    <n v="0"/>
    <n v="107"/>
    <s v="_x0000_peopl"/>
  </r>
  <r>
    <x v="7"/>
    <n v="13.686999999999999"/>
    <n v="-89.203199999999995"/>
    <n v="5"/>
    <n v="0"/>
    <n v="0"/>
    <n v="107"/>
    <s v="_x0000_peopl"/>
  </r>
  <r>
    <x v="7"/>
    <n v="13.686999999999999"/>
    <n v="-89.203299999999999"/>
    <n v="2"/>
    <n v="0"/>
    <n v="0"/>
    <n v="107"/>
    <s v="_x0000_peopl"/>
  </r>
  <r>
    <x v="7"/>
    <n v="13.686999999999999"/>
    <n v="-89.203299999999999"/>
    <n v="4"/>
    <n v="0"/>
    <n v="0"/>
    <n v="107"/>
    <s v="_x0000_peopl"/>
  </r>
  <r>
    <x v="7"/>
    <n v="13.686999999999999"/>
    <n v="-89.203400000000002"/>
    <n v="2"/>
    <n v="0"/>
    <n v="0"/>
    <n v="107"/>
    <s v="_x0000_peopl"/>
  </r>
  <r>
    <x v="7"/>
    <n v="13.687099999999999"/>
    <n v="-89.203800000000001"/>
    <n v="4"/>
    <n v="0"/>
    <n v="0"/>
    <n v="107"/>
    <s v="_x0000_peopl"/>
  </r>
  <r>
    <x v="7"/>
    <n v="13.687099999999999"/>
    <n v="-89.203699999999998"/>
    <n v="2"/>
    <n v="0"/>
    <n v="0"/>
    <n v="107"/>
    <s v="_x0000_peopl"/>
  </r>
  <r>
    <x v="7"/>
    <n v="13.687099999999999"/>
    <n v="-89.203699999999998"/>
    <n v="6"/>
    <n v="0"/>
    <n v="0"/>
    <n v="107"/>
    <s v="_x0000_peopl"/>
  </r>
  <r>
    <x v="7"/>
    <n v="13.687099999999999"/>
    <n v="-89.203599999999994"/>
    <n v="6"/>
    <n v="0"/>
    <n v="0"/>
    <n v="107"/>
    <s v="_x0000_peopl"/>
  </r>
  <r>
    <x v="7"/>
    <n v="13.686999999999999"/>
    <n v="-89.203500000000005"/>
    <n v="2"/>
    <n v="0"/>
    <n v="0"/>
    <n v="107"/>
    <s v="_x0000_peopl"/>
  </r>
  <r>
    <x v="7"/>
    <n v="13.6877"/>
    <n v="-89.201499999999996"/>
    <n v="6"/>
    <n v="0"/>
    <n v="0"/>
    <n v="107"/>
    <s v="_x0000_peopl"/>
  </r>
  <r>
    <x v="7"/>
    <n v="13.6877"/>
    <n v="-89.201599999999999"/>
    <n v="5"/>
    <n v="0"/>
    <n v="0"/>
    <n v="107"/>
    <s v="_x0000_peopl"/>
  </r>
  <r>
    <x v="7"/>
    <n v="13.6876"/>
    <n v="-89.201700000000002"/>
    <n v="3"/>
    <n v="0"/>
    <n v="0"/>
    <n v="107"/>
    <s v="_x0000_peopl"/>
  </r>
  <r>
    <x v="7"/>
    <n v="13.6876"/>
    <n v="-89.201700000000002"/>
    <n v="8"/>
    <n v="0"/>
    <n v="0"/>
    <n v="107"/>
    <s v="_x0000_peopl"/>
  </r>
  <r>
    <x v="7"/>
    <n v="13.6867"/>
    <n v="-89.201400000000007"/>
    <n v="4"/>
    <n v="0"/>
    <n v="0"/>
    <n v="107"/>
    <s v="_x0000_peopl"/>
  </r>
  <r>
    <x v="7"/>
    <n v="13.6867"/>
    <n v="-89.201300000000003"/>
    <n v="5"/>
    <n v="0"/>
    <n v="0"/>
    <n v="107"/>
    <s v="_x0000_peopl"/>
  </r>
  <r>
    <x v="7"/>
    <n v="13.6869"/>
    <n v="-89.201099999999997"/>
    <n v="4"/>
    <n v="0"/>
    <n v="0"/>
    <n v="107"/>
    <s v="_x0000_peopl"/>
  </r>
  <r>
    <x v="7"/>
    <n v="13.6869"/>
    <n v="-89.201099999999997"/>
    <n v="8"/>
    <n v="0"/>
    <n v="0"/>
    <n v="107"/>
    <s v="_x0000_peopl"/>
  </r>
  <r>
    <x v="7"/>
    <n v="13.6868"/>
    <n v="-89.201099999999997"/>
    <n v="7"/>
    <n v="0"/>
    <n v="0"/>
    <n v="107"/>
    <s v="_x0000_peopl"/>
  </r>
  <r>
    <x v="7"/>
    <n v="13.6866"/>
    <n v="-89.201099999999997"/>
    <n v="3"/>
    <n v="0"/>
    <n v="0"/>
    <n v="107"/>
    <s v="_x0000_peopl"/>
  </r>
  <r>
    <x v="7"/>
    <n v="13.6884"/>
    <n v="-89.202799999999996"/>
    <n v="6"/>
    <n v="0"/>
    <n v="0"/>
    <n v="107"/>
    <s v="_x0000_peopl"/>
  </r>
  <r>
    <x v="7"/>
    <n v="13.688599999999999"/>
    <n v="-89.203800000000001"/>
    <n v="7"/>
    <n v="0"/>
    <n v="0"/>
    <n v="107"/>
    <s v="_x0000_peopl"/>
  </r>
  <r>
    <x v="7"/>
    <n v="13.688599999999999"/>
    <n v="-89.203699999999998"/>
    <n v="8"/>
    <n v="0"/>
    <n v="0"/>
    <n v="107"/>
    <s v="_x0000_peopl"/>
  </r>
  <r>
    <x v="7"/>
    <n v="13.688800000000001"/>
    <n v="-89.203800000000001"/>
    <n v="3"/>
    <n v="0"/>
    <n v="0"/>
    <n v="107"/>
    <s v="_x0000_peopl"/>
  </r>
  <r>
    <x v="7"/>
    <n v="13.688800000000001"/>
    <n v="-89.203800000000001"/>
    <n v="6"/>
    <n v="0"/>
    <n v="0"/>
    <n v="107"/>
    <s v="_x0000_peopl"/>
  </r>
  <r>
    <x v="7"/>
    <n v="13.688599999999999"/>
    <n v="-89.203599999999994"/>
    <n v="5"/>
    <n v="0"/>
    <n v="0"/>
    <n v="107"/>
    <s v="_x0000_peopl"/>
  </r>
  <r>
    <x v="7"/>
    <n v="13.6889"/>
    <n v="-89.203699999999998"/>
    <n v="2"/>
    <n v="0"/>
    <n v="0"/>
    <n v="107"/>
    <s v="_x0000_peopl"/>
  </r>
  <r>
    <x v="7"/>
    <n v="13.688599999999999"/>
    <n v="-89.203500000000005"/>
    <n v="8"/>
    <n v="0"/>
    <n v="0"/>
    <n v="107"/>
    <s v="_x0000_peopl"/>
  </r>
  <r>
    <x v="7"/>
    <n v="13.688599999999999"/>
    <n v="-89.203400000000002"/>
    <n v="5"/>
    <n v="0"/>
    <n v="0"/>
    <n v="107"/>
    <s v="_x0000_peopl"/>
  </r>
  <r>
    <x v="7"/>
    <n v="13.688599999999999"/>
    <n v="-89.203299999999999"/>
    <n v="4"/>
    <n v="0"/>
    <n v="0"/>
    <n v="107"/>
    <s v="_x0000_peopl"/>
  </r>
  <r>
    <x v="7"/>
    <n v="13.688599999999999"/>
    <n v="-89.203299999999999"/>
    <n v="5"/>
    <n v="0"/>
    <n v="0"/>
    <n v="107"/>
    <s v="_x0000_peopl"/>
  </r>
  <r>
    <x v="7"/>
    <n v="13.688599999999999"/>
    <n v="-89.203199999999995"/>
    <n v="7"/>
    <n v="0"/>
    <n v="0"/>
    <n v="107"/>
    <s v="_x0000_peopl"/>
  </r>
  <r>
    <x v="7"/>
    <n v="13.688599999999999"/>
    <n v="-89.203100000000006"/>
    <n v="10"/>
    <n v="0"/>
    <n v="0"/>
    <n v="107"/>
    <s v="_x0000_peopl"/>
  </r>
  <r>
    <x v="7"/>
    <n v="13.688599999999999"/>
    <n v="-89.203000000000003"/>
    <n v="4"/>
    <n v="0"/>
    <n v="0"/>
    <n v="107"/>
    <s v="_x0000_peopl"/>
  </r>
  <r>
    <x v="7"/>
    <n v="13.688499999999999"/>
    <n v="-89.202699999999993"/>
    <n v="2"/>
    <n v="0"/>
    <n v="0"/>
    <n v="107"/>
    <s v="_x0000_peopl"/>
  </r>
  <r>
    <x v="7"/>
    <n v="13.688499999999999"/>
    <n v="-89.202600000000004"/>
    <n v="5"/>
    <n v="0"/>
    <n v="0"/>
    <n v="107"/>
    <s v="_x0000_peopl"/>
  </r>
  <r>
    <x v="7"/>
    <n v="13.688599999999999"/>
    <n v="-89.202600000000004"/>
    <n v="4"/>
    <n v="0"/>
    <n v="0"/>
    <n v="107"/>
    <s v="_x0000_peopl"/>
  </r>
  <r>
    <x v="7"/>
    <n v="13.688599999999999"/>
    <n v="-89.202500000000001"/>
    <n v="1"/>
    <n v="0"/>
    <n v="0"/>
    <n v="107"/>
    <s v="_x0000_peopl"/>
  </r>
  <r>
    <x v="7"/>
    <n v="13.688599999999999"/>
    <n v="-89.202399999999997"/>
    <n v="2"/>
    <n v="0"/>
    <n v="0"/>
    <n v="107"/>
    <s v="_x0000_peopl"/>
  </r>
  <r>
    <x v="7"/>
    <n v="13.688700000000001"/>
    <n v="-89.202299999999994"/>
    <n v="5"/>
    <n v="0"/>
    <n v="0"/>
    <n v="107"/>
    <s v="_x0000_peopl"/>
  </r>
  <r>
    <x v="7"/>
    <n v="13.6889"/>
    <n v="-89.202399999999997"/>
    <n v="2"/>
    <n v="0"/>
    <n v="0"/>
    <n v="107"/>
    <s v="_x0000_peopl"/>
  </r>
  <r>
    <x v="7"/>
    <n v="13.689"/>
    <n v="-89.202399999999997"/>
    <n v="4"/>
    <n v="0"/>
    <n v="0"/>
    <n v="107"/>
    <s v="_x0000_peopl"/>
  </r>
  <r>
    <x v="7"/>
    <n v="13.6889"/>
    <n v="-89.202600000000004"/>
    <n v="6"/>
    <n v="0"/>
    <n v="0"/>
    <n v="107"/>
    <s v="_x0000_peopl"/>
  </r>
  <r>
    <x v="7"/>
    <n v="13.688800000000001"/>
    <n v="-89.202600000000004"/>
    <n v="7"/>
    <n v="0"/>
    <n v="0"/>
    <n v="107"/>
    <s v="_x0000_peopl"/>
  </r>
  <r>
    <x v="7"/>
    <n v="13.688800000000001"/>
    <n v="-89.202699999999993"/>
    <n v="5"/>
    <n v="0"/>
    <n v="0"/>
    <n v="107"/>
    <s v="_x0000_peopl"/>
  </r>
  <r>
    <x v="7"/>
    <n v="13.688800000000001"/>
    <n v="-89.202799999999996"/>
    <n v="5"/>
    <n v="0"/>
    <n v="0"/>
    <n v="107"/>
    <s v="_x0000_peopl"/>
  </r>
  <r>
    <x v="7"/>
    <n v="13.689"/>
    <n v="-89.2029"/>
    <n v="4"/>
    <n v="0"/>
    <n v="0"/>
    <n v="107"/>
    <s v="_x0000_peopl"/>
  </r>
  <r>
    <x v="7"/>
    <n v="13.6889"/>
    <n v="-89.203000000000003"/>
    <n v="5"/>
    <n v="0"/>
    <n v="0"/>
    <n v="107"/>
    <s v="_x0000_peopl"/>
  </r>
  <r>
    <x v="7"/>
    <n v="13.6889"/>
    <n v="-89.203000000000003"/>
    <n v="3"/>
    <n v="0"/>
    <n v="0"/>
    <n v="107"/>
    <s v="_x0000_peopl"/>
  </r>
  <r>
    <x v="7"/>
    <n v="13.689"/>
    <n v="-89.202799999999996"/>
    <n v="7"/>
    <n v="0"/>
    <n v="0"/>
    <n v="107"/>
    <s v="_x0000_peopl"/>
  </r>
  <r>
    <x v="7"/>
    <n v="13.6891"/>
    <n v="-89.202699999999993"/>
    <n v="3"/>
    <n v="0"/>
    <n v="0"/>
    <n v="107"/>
    <s v="_x0000_peopl"/>
  </r>
  <r>
    <x v="7"/>
    <n v="13.6892"/>
    <n v="-89.202699999999993"/>
    <n v="8"/>
    <n v="0"/>
    <n v="0"/>
    <n v="107"/>
    <s v="_x0000_peopl"/>
  </r>
  <r>
    <x v="7"/>
    <n v="13.6892"/>
    <n v="-89.202399999999997"/>
    <n v="6"/>
    <n v="0"/>
    <n v="0"/>
    <n v="107"/>
    <s v="_x0000_peopl"/>
  </r>
  <r>
    <x v="7"/>
    <n v="13.6891"/>
    <n v="-89.202399999999997"/>
    <n v="9"/>
    <n v="0"/>
    <n v="0"/>
    <n v="107"/>
    <s v="_x0000_peopl"/>
  </r>
  <r>
    <x v="7"/>
    <n v="13.6892"/>
    <n v="-89.202600000000004"/>
    <n v="7"/>
    <n v="0"/>
    <n v="0"/>
    <n v="107"/>
    <s v="_x0000_peopl"/>
  </r>
  <r>
    <x v="7"/>
    <n v="13.689399999999999"/>
    <n v="-89.202500000000001"/>
    <n v="8"/>
    <n v="0"/>
    <n v="0"/>
    <n v="107"/>
    <s v="_x0000_peopl"/>
  </r>
  <r>
    <x v="7"/>
    <n v="13.689299999999999"/>
    <n v="-89.202500000000001"/>
    <n v="7"/>
    <n v="0"/>
    <n v="0"/>
    <n v="107"/>
    <s v="_x0000_peopl"/>
  </r>
  <r>
    <x v="7"/>
    <n v="13.6889"/>
    <n v="-89.203599999999994"/>
    <n v="7"/>
    <n v="0"/>
    <n v="0"/>
    <n v="107"/>
    <s v="_x0000_peopl"/>
  </r>
  <r>
    <x v="7"/>
    <n v="13.6889"/>
    <n v="-89.203500000000005"/>
    <n v="7"/>
    <n v="0"/>
    <n v="0"/>
    <n v="107"/>
    <s v="_x0000_peopl"/>
  </r>
  <r>
    <x v="7"/>
    <n v="13.6889"/>
    <n v="-89.203400000000002"/>
    <n v="4"/>
    <n v="0"/>
    <n v="0"/>
    <n v="107"/>
    <s v="_x0000_peopl"/>
  </r>
  <r>
    <x v="7"/>
    <n v="13.6889"/>
    <n v="-89.203299999999999"/>
    <n v="8"/>
    <n v="0"/>
    <n v="0"/>
    <n v="107"/>
    <s v="_x0000_peopl"/>
  </r>
  <r>
    <x v="7"/>
    <n v="13.6889"/>
    <n v="-89.203199999999995"/>
    <n v="4"/>
    <n v="0"/>
    <n v="0"/>
    <n v="107"/>
    <s v="_x0000_peopl"/>
  </r>
  <r>
    <x v="7"/>
    <n v="13.6889"/>
    <n v="-89.203100000000006"/>
    <n v="5"/>
    <n v="0"/>
    <n v="0"/>
    <n v="107"/>
    <s v="_x0000_peopl"/>
  </r>
  <r>
    <x v="7"/>
    <n v="13.6889"/>
    <n v="-89.203800000000001"/>
    <n v="2"/>
    <n v="0"/>
    <n v="0"/>
    <n v="107"/>
    <s v="_x0000_peopl"/>
  </r>
  <r>
    <x v="7"/>
    <n v="13.688700000000001"/>
    <n v="-89.2029"/>
    <n v="4"/>
    <n v="0"/>
    <n v="0"/>
    <n v="107"/>
    <s v="_x0000_peopl"/>
  </r>
  <r>
    <x v="7"/>
    <n v="13.688700000000001"/>
    <n v="-89.2029"/>
    <n v="7"/>
    <n v="0"/>
    <n v="0"/>
    <n v="107"/>
    <s v="_x0000_peopl"/>
  </r>
  <r>
    <x v="7"/>
    <n v="13.688000000000001"/>
    <n v="-89.199799999999996"/>
    <n v="3"/>
    <n v="0"/>
    <n v="0"/>
    <n v="107"/>
    <s v="_x0000_peopl"/>
  </r>
  <r>
    <x v="7"/>
    <n v="13.687900000000001"/>
    <n v="-89.199799999999996"/>
    <n v="2"/>
    <n v="0"/>
    <n v="0"/>
    <n v="107"/>
    <s v="_x0000_peopl"/>
  </r>
  <r>
    <x v="7"/>
    <n v="13.687900000000001"/>
    <n v="-89.1999"/>
    <n v="7"/>
    <n v="0"/>
    <n v="0"/>
    <n v="107"/>
    <s v="_x0000_peopl"/>
  </r>
  <r>
    <x v="7"/>
    <n v="13.687900000000001"/>
    <n v="-89.199700000000007"/>
    <n v="3"/>
    <n v="0"/>
    <n v="0"/>
    <n v="107"/>
    <s v="_x0000_peopl"/>
  </r>
  <r>
    <x v="7"/>
    <n v="13.687900000000001"/>
    <n v="-89.199600000000004"/>
    <n v="1"/>
    <n v="0"/>
    <n v="0"/>
    <n v="107"/>
    <s v="_x0000_peopl"/>
  </r>
  <r>
    <x v="7"/>
    <n v="13.687799999999999"/>
    <n v="-89.199700000000007"/>
    <n v="2"/>
    <n v="0"/>
    <n v="0"/>
    <n v="107"/>
    <s v="_x0000_peopl"/>
  </r>
  <r>
    <x v="7"/>
    <n v="13.6883"/>
    <n v="-89.199799999999996"/>
    <n v="6"/>
    <n v="0"/>
    <n v="0"/>
    <n v="107"/>
    <s v="_x0000_peopl"/>
  </r>
  <r>
    <x v="7"/>
    <n v="13.6882"/>
    <n v="-89.199799999999996"/>
    <n v="7"/>
    <n v="0"/>
    <n v="0"/>
    <n v="107"/>
    <s v="_x0000_peopl"/>
  </r>
  <r>
    <x v="7"/>
    <n v="13.6877"/>
    <n v="-89.199799999999996"/>
    <n v="7"/>
    <n v="0"/>
    <n v="0"/>
    <n v="107"/>
    <s v="_x0000_peopl"/>
  </r>
  <r>
    <x v="7"/>
    <n v="13.687799999999999"/>
    <n v="-89.199799999999996"/>
    <n v="3"/>
    <n v="0"/>
    <n v="0"/>
    <n v="107"/>
    <s v="_x0000_peopl"/>
  </r>
  <r>
    <x v="7"/>
    <n v="13.6884"/>
    <n v="-89.199799999999996"/>
    <n v="5"/>
    <n v="0"/>
    <n v="0"/>
    <n v="107"/>
    <s v="_x0000_peopl"/>
  </r>
  <r>
    <x v="7"/>
    <n v="13.6884"/>
    <n v="-89.199799999999996"/>
    <n v="6"/>
    <n v="0"/>
    <n v="0"/>
    <n v="107"/>
    <s v="_x0000_peopl"/>
  </r>
  <r>
    <x v="7"/>
    <n v="13.6884"/>
    <n v="-89.199700000000007"/>
    <n v="8"/>
    <n v="0"/>
    <n v="0"/>
    <n v="107"/>
    <s v="_x0000_peopl"/>
  </r>
  <r>
    <x v="7"/>
    <n v="13.688499999999999"/>
    <n v="-89.199600000000004"/>
    <n v="3"/>
    <n v="0"/>
    <n v="0"/>
    <n v="107"/>
    <s v="_x0000_peopl"/>
  </r>
  <r>
    <x v="7"/>
    <n v="13.6884"/>
    <n v="-89.199600000000004"/>
    <n v="5"/>
    <n v="0"/>
    <n v="0"/>
    <n v="107"/>
    <s v="_x0000_peopl"/>
  </r>
  <r>
    <x v="7"/>
    <n v="13.688499999999999"/>
    <n v="-89.1995"/>
    <n v="8"/>
    <n v="0"/>
    <n v="0"/>
    <n v="107"/>
    <s v="_x0000_peopl"/>
  </r>
  <r>
    <x v="7"/>
    <n v="13.688499999999999"/>
    <n v="-89.199399999999997"/>
    <n v="3"/>
    <n v="0"/>
    <n v="0"/>
    <n v="107"/>
    <s v="_x0000_peopl"/>
  </r>
  <r>
    <x v="7"/>
    <n v="13.6884"/>
    <n v="-89.199299999999994"/>
    <n v="6"/>
    <n v="0"/>
    <n v="0"/>
    <n v="107"/>
    <s v="_x0000_peopl"/>
  </r>
  <r>
    <x v="7"/>
    <n v="13.6884"/>
    <n v="-89.199399999999997"/>
    <n v="5"/>
    <n v="0"/>
    <n v="0"/>
    <n v="107"/>
    <s v="_x0000_peopl"/>
  </r>
  <r>
    <x v="7"/>
    <n v="13.6883"/>
    <n v="-89.199399999999997"/>
    <n v="4"/>
    <n v="0"/>
    <n v="0"/>
    <n v="107"/>
    <s v="_x0000_peopl"/>
  </r>
  <r>
    <x v="7"/>
    <n v="13.6884"/>
    <n v="-89.199200000000005"/>
    <n v="4"/>
    <n v="0"/>
    <n v="0"/>
    <n v="107"/>
    <s v="_x0000_peopl"/>
  </r>
  <r>
    <x v="7"/>
    <n v="13.6883"/>
    <n v="-89.199100000000001"/>
    <n v="5"/>
    <n v="0"/>
    <n v="0"/>
    <n v="107"/>
    <s v="_x0000_peopl"/>
  </r>
  <r>
    <x v="7"/>
    <n v="13.6883"/>
    <n v="-89.199100000000001"/>
    <n v="5"/>
    <n v="0"/>
    <n v="0"/>
    <n v="107"/>
    <s v="_x0000_peopl"/>
  </r>
  <r>
    <x v="7"/>
    <n v="13.6876"/>
    <n v="-89.199799999999996"/>
    <n v="3"/>
    <n v="0"/>
    <n v="0"/>
    <n v="107"/>
    <s v="_x0000_peopl"/>
  </r>
  <r>
    <x v="7"/>
    <n v="13.6876"/>
    <n v="-89.199700000000007"/>
    <n v="5"/>
    <n v="0"/>
    <n v="0"/>
    <n v="107"/>
    <s v="_x0000_peopl"/>
  </r>
  <r>
    <x v="7"/>
    <n v="13.6877"/>
    <n v="-89.199600000000004"/>
    <n v="3"/>
    <n v="0"/>
    <n v="0"/>
    <n v="107"/>
    <s v="_x0000_peopl"/>
  </r>
  <r>
    <x v="7"/>
    <n v="13.6877"/>
    <n v="-89.199399999999997"/>
    <n v="2"/>
    <n v="0"/>
    <n v="0"/>
    <n v="107"/>
    <s v="_x0000_peopl"/>
  </r>
  <r>
    <x v="7"/>
    <n v="13.687799999999999"/>
    <n v="-89.199399999999997"/>
    <n v="7"/>
    <n v="0"/>
    <n v="0"/>
    <n v="107"/>
    <s v="_x0000_peopl"/>
  </r>
  <r>
    <x v="7"/>
    <n v="13.688000000000001"/>
    <n v="-89.1995"/>
    <n v="10"/>
    <n v="0"/>
    <n v="0"/>
    <n v="107"/>
    <s v="_x0000_peopl"/>
  </r>
  <r>
    <x v="7"/>
    <n v="13.6881"/>
    <n v="-89.199399999999997"/>
    <n v="6"/>
    <n v="0"/>
    <n v="0"/>
    <n v="107"/>
    <s v="_x0000_peopl"/>
  </r>
  <r>
    <x v="7"/>
    <n v="13.688000000000001"/>
    <n v="-89.199399999999997"/>
    <n v="7"/>
    <n v="0"/>
    <n v="0"/>
    <n v="107"/>
    <s v="_x0000_peopl"/>
  </r>
  <r>
    <x v="7"/>
    <n v="13.6881"/>
    <n v="-89.199100000000001"/>
    <n v="3"/>
    <n v="0"/>
    <n v="0"/>
    <n v="107"/>
    <s v="_x0000_peopl"/>
  </r>
  <r>
    <x v="7"/>
    <n v="13.688000000000001"/>
    <n v="-89.199200000000005"/>
    <n v="6"/>
    <n v="0"/>
    <n v="0"/>
    <n v="107"/>
    <s v="_x0000_peopl"/>
  </r>
  <r>
    <x v="7"/>
    <n v="13.687900000000001"/>
    <n v="-89.199100000000001"/>
    <n v="3"/>
    <n v="0"/>
    <n v="0"/>
    <n v="107"/>
    <s v="_x0000_peopl"/>
  </r>
  <r>
    <x v="7"/>
    <n v="13.687799999999999"/>
    <n v="-89.199200000000005"/>
    <n v="5"/>
    <n v="0"/>
    <n v="0"/>
    <n v="107"/>
    <s v="_x0000_peopl"/>
  </r>
  <r>
    <x v="7"/>
    <n v="13.687799999999999"/>
    <n v="-89.199299999999994"/>
    <n v="5"/>
    <n v="0"/>
    <n v="0"/>
    <n v="107"/>
    <s v="_x0000_peopl"/>
  </r>
  <r>
    <x v="7"/>
    <n v="13.687799999999999"/>
    <n v="-89.199200000000005"/>
    <n v="4"/>
    <n v="0"/>
    <n v="0"/>
    <n v="107"/>
    <s v="_x0000_peopl"/>
  </r>
  <r>
    <x v="7"/>
    <n v="13.6881"/>
    <n v="-89.199100000000001"/>
    <n v="0"/>
    <n v="0"/>
    <n v="0"/>
    <n v="107"/>
    <s v="_x0000_peopl"/>
  </r>
  <r>
    <x v="7"/>
    <n v="13.6882"/>
    <n v="-89.199100000000001"/>
    <n v="6"/>
    <n v="0"/>
    <n v="0"/>
    <n v="107"/>
    <s v="_x0000_peopl"/>
  </r>
  <r>
    <x v="7"/>
    <n v="13.6882"/>
    <n v="-89.199299999999994"/>
    <n v="11"/>
    <n v="0"/>
    <n v="0"/>
    <n v="107"/>
    <s v="_x0000_peopl"/>
  </r>
  <r>
    <x v="7"/>
    <n v="13.6882"/>
    <n v="-89.1995"/>
    <n v="5"/>
    <n v="0"/>
    <n v="0"/>
    <n v="107"/>
    <s v="_x0000_peopl"/>
  </r>
  <r>
    <x v="7"/>
    <n v="13.6883"/>
    <n v="-89.1995"/>
    <n v="6"/>
    <n v="0"/>
    <n v="0"/>
    <n v="107"/>
    <s v="_x0000_peopl"/>
  </r>
  <r>
    <x v="7"/>
    <n v="13.6882"/>
    <n v="-89.199299999999994"/>
    <n v="5"/>
    <n v="0"/>
    <n v="0"/>
    <n v="107"/>
    <s v="_x0000_peopl"/>
  </r>
  <r>
    <x v="7"/>
    <n v="13.6882"/>
    <n v="-89.199100000000001"/>
    <n v="8"/>
    <n v="0"/>
    <n v="0"/>
    <n v="107"/>
    <s v="_x0000_peopl"/>
  </r>
  <r>
    <x v="7"/>
    <n v="13.690200000000001"/>
    <n v="-89.198499999999996"/>
    <n v="7"/>
    <n v="0"/>
    <n v="0"/>
    <n v="107"/>
    <s v="_x0000_peopl"/>
  </r>
  <r>
    <x v="7"/>
    <n v="13.690200000000001"/>
    <n v="-89.198400000000007"/>
    <n v="6"/>
    <n v="0"/>
    <n v="0"/>
    <n v="107"/>
    <s v="_x0000_peopl"/>
  </r>
  <r>
    <x v="7"/>
    <n v="13.690200000000001"/>
    <n v="-89.198400000000007"/>
    <n v="6"/>
    <n v="0"/>
    <n v="0"/>
    <n v="107"/>
    <s v="_x0000_peopl"/>
  </r>
  <r>
    <x v="7"/>
    <n v="13.690200000000001"/>
    <n v="-89.198400000000007"/>
    <n v="5"/>
    <n v="0"/>
    <n v="0"/>
    <n v="107"/>
    <s v="_x0000_peopl"/>
  </r>
  <r>
    <x v="7"/>
    <n v="13.690099999999999"/>
    <n v="-89.198400000000007"/>
    <n v="4"/>
    <n v="0"/>
    <n v="0"/>
    <n v="107"/>
    <s v="_x0000_peopl"/>
  </r>
  <r>
    <x v="7"/>
    <n v="13.690099999999999"/>
    <n v="-89.198400000000007"/>
    <n v="3"/>
    <n v="0"/>
    <n v="0"/>
    <n v="107"/>
    <s v="_x0000_peopl"/>
  </r>
  <r>
    <x v="7"/>
    <n v="13.690099999999999"/>
    <n v="-89.198400000000007"/>
    <n v="10"/>
    <n v="0"/>
    <n v="0"/>
    <n v="107"/>
    <s v="_x0000_peopl"/>
  </r>
  <r>
    <x v="7"/>
    <n v="13.690099999999999"/>
    <n v="-89.198400000000007"/>
    <n v="2"/>
    <n v="0"/>
    <n v="0"/>
    <n v="107"/>
    <s v="_x0000_peopl"/>
  </r>
  <r>
    <x v="7"/>
    <n v="13.690099999999999"/>
    <n v="-89.198400000000007"/>
    <n v="5"/>
    <n v="0"/>
    <n v="0"/>
    <n v="107"/>
    <s v="_x0000_peopl"/>
  </r>
  <r>
    <x v="7"/>
    <n v="13.690099999999999"/>
    <n v="-89.198300000000003"/>
    <n v="7"/>
    <n v="0"/>
    <n v="0"/>
    <n v="107"/>
    <s v="_x0000_peopl"/>
  </r>
  <r>
    <x v="7"/>
    <n v="13.690099999999999"/>
    <n v="-89.198300000000003"/>
    <n v="10"/>
    <n v="0"/>
    <n v="0"/>
    <n v="107"/>
    <s v="_x0000_peopl"/>
  </r>
  <r>
    <x v="7"/>
    <n v="13.690099999999999"/>
    <n v="-89.198300000000003"/>
    <n v="5"/>
    <n v="0"/>
    <n v="0"/>
    <n v="107"/>
    <s v="_x0000_peopl"/>
  </r>
  <r>
    <x v="7"/>
    <n v="13.690099999999999"/>
    <n v="-89.198300000000003"/>
    <n v="4"/>
    <n v="0"/>
    <n v="0"/>
    <n v="107"/>
    <s v="_x0000_peopl"/>
  </r>
  <r>
    <x v="7"/>
    <n v="13.690200000000001"/>
    <n v="-89.198300000000003"/>
    <n v="5"/>
    <n v="0"/>
    <n v="0"/>
    <n v="107"/>
    <s v="_x0000_peopl"/>
  </r>
  <r>
    <x v="7"/>
    <n v="13.690200000000001"/>
    <n v="-89.1982"/>
    <n v="3"/>
    <n v="0"/>
    <n v="0"/>
    <n v="107"/>
    <s v="_x0000_peopl"/>
  </r>
  <r>
    <x v="7"/>
    <n v="13.688499999999999"/>
    <n v="-89.201999999999998"/>
    <n v="5"/>
    <n v="0"/>
    <n v="0"/>
    <n v="107"/>
    <s v="_x0000_peopl"/>
  </r>
  <r>
    <x v="7"/>
    <n v="13.688499999999999"/>
    <n v="-89.201899999999995"/>
    <n v="4"/>
    <n v="0"/>
    <n v="0"/>
    <n v="107"/>
    <s v="_x0000_peopl"/>
  </r>
  <r>
    <x v="7"/>
    <n v="13.688499999999999"/>
    <n v="-89.201899999999995"/>
    <n v="4"/>
    <n v="0"/>
    <n v="0"/>
    <n v="107"/>
    <s v="_x0000_peopl"/>
  </r>
  <r>
    <x v="7"/>
    <n v="13.688499999999999"/>
    <n v="-89.201800000000006"/>
    <n v="4"/>
    <n v="0"/>
    <n v="0"/>
    <n v="107"/>
    <s v="_x0000_peopl"/>
  </r>
  <r>
    <x v="7"/>
    <n v="13.688499999999999"/>
    <n v="-89.201800000000006"/>
    <n v="6"/>
    <n v="0"/>
    <n v="0"/>
    <n v="107"/>
    <s v="_x0000_peopl"/>
  </r>
  <r>
    <x v="7"/>
    <n v="13.6883"/>
    <n v="-89.201899999999995"/>
    <n v="3"/>
    <n v="0"/>
    <n v="0"/>
    <n v="107"/>
    <s v="_x0000_peopl"/>
  </r>
  <r>
    <x v="7"/>
    <n v="13.6883"/>
    <n v="-89.201899999999995"/>
    <n v="9"/>
    <n v="0"/>
    <n v="0"/>
    <n v="107"/>
    <s v="_x0000_peopl"/>
  </r>
  <r>
    <x v="7"/>
    <n v="13.6884"/>
    <n v="-89.201999999999998"/>
    <n v="4"/>
    <n v="0"/>
    <n v="0"/>
    <n v="107"/>
    <s v="_x0000_peopl"/>
  </r>
  <r>
    <x v="7"/>
    <n v="13.688700000000001"/>
    <n v="-89.201999999999998"/>
    <n v="4"/>
    <n v="0"/>
    <n v="0"/>
    <n v="107"/>
    <s v="_x0000_peopl"/>
  </r>
  <r>
    <x v="7"/>
    <n v="13.688499999999999"/>
    <n v="-89.201999999999998"/>
    <n v="4"/>
    <n v="0"/>
    <n v="0"/>
    <n v="107"/>
    <s v="_x0000_peopl"/>
  </r>
  <r>
    <x v="7"/>
    <n v="13.688700000000001"/>
    <n v="-89.201899999999995"/>
    <n v="6"/>
    <n v="0"/>
    <n v="0"/>
    <n v="107"/>
    <s v="_x0000_peopl"/>
  </r>
  <r>
    <x v="7"/>
    <n v="13.6889"/>
    <n v="-89.201800000000006"/>
    <n v="6"/>
    <n v="0"/>
    <n v="0"/>
    <n v="107"/>
    <s v="_x0000_peopl"/>
  </r>
  <r>
    <x v="7"/>
    <n v="13.6889"/>
    <n v="-89.201800000000006"/>
    <n v="4"/>
    <n v="0"/>
    <n v="0"/>
    <n v="107"/>
    <s v="_x0000_peopl"/>
  </r>
  <r>
    <x v="7"/>
    <n v="13.6889"/>
    <n v="-89.201800000000006"/>
    <n v="8"/>
    <n v="0"/>
    <n v="0"/>
    <n v="107"/>
    <s v="_x0000_peopl"/>
  </r>
  <r>
    <x v="7"/>
    <n v="13.6889"/>
    <n v="-89.201999999999998"/>
    <n v="5"/>
    <n v="0"/>
    <n v="0"/>
    <n v="107"/>
    <s v="_x0000_peopl"/>
  </r>
  <r>
    <x v="7"/>
    <n v="13.689"/>
    <n v="-89.202100000000002"/>
    <n v="3"/>
    <n v="0"/>
    <n v="0"/>
    <n v="107"/>
    <s v="_x0000_peopl"/>
  </r>
  <r>
    <x v="7"/>
    <n v="13.689299999999999"/>
    <n v="-89.202100000000002"/>
    <n v="10"/>
    <n v="0"/>
    <n v="0"/>
    <n v="107"/>
    <s v="_x0000_peopl"/>
  </r>
  <r>
    <x v="7"/>
    <n v="13.6892"/>
    <n v="-89.202200000000005"/>
    <n v="3"/>
    <n v="0"/>
    <n v="0"/>
    <n v="107"/>
    <s v="_x0000_peopl"/>
  </r>
  <r>
    <x v="7"/>
    <n v="13.6891"/>
    <n v="-89.202100000000002"/>
    <n v="5"/>
    <n v="0"/>
    <n v="0"/>
    <n v="107"/>
    <s v="_x0000_peopl"/>
  </r>
  <r>
    <x v="7"/>
    <n v="13.689"/>
    <n v="-89.202100000000002"/>
    <n v="4"/>
    <n v="0"/>
    <n v="0"/>
    <n v="107"/>
    <s v="_x0000_peopl"/>
  </r>
  <r>
    <x v="7"/>
    <n v="13.688700000000001"/>
    <n v="-89.201599999999999"/>
    <n v="3"/>
    <n v="0"/>
    <n v="0"/>
    <n v="107"/>
    <s v="_x0000_peopl"/>
  </r>
  <r>
    <x v="7"/>
    <n v="13.688700000000001"/>
    <n v="-89.201499999999996"/>
    <n v="1"/>
    <n v="0"/>
    <n v="0"/>
    <n v="107"/>
    <s v="_x0000_peopl"/>
  </r>
  <r>
    <x v="7"/>
    <n v="13.688599999999999"/>
    <n v="-89.201499999999996"/>
    <n v="2"/>
    <n v="0"/>
    <n v="0"/>
    <n v="107"/>
    <s v="_x0000_peopl"/>
  </r>
  <r>
    <x v="7"/>
    <n v="13.688599999999999"/>
    <n v="-89.201400000000007"/>
    <n v="3"/>
    <n v="0"/>
    <n v="0"/>
    <n v="107"/>
    <s v="_x0000_peopl"/>
  </r>
  <r>
    <x v="7"/>
    <n v="13.688700000000001"/>
    <n v="-89.201300000000003"/>
    <n v="7"/>
    <n v="0"/>
    <n v="0"/>
    <n v="107"/>
    <s v="_x0000_peopl"/>
  </r>
  <r>
    <x v="7"/>
    <n v="13.688599999999999"/>
    <n v="-89.201300000000003"/>
    <n v="6"/>
    <n v="0"/>
    <n v="0"/>
    <n v="107"/>
    <s v="_x0000_peopl"/>
  </r>
  <r>
    <x v="7"/>
    <n v="13.688599999999999"/>
    <n v="-89.201300000000003"/>
    <n v="7"/>
    <n v="0"/>
    <n v="0"/>
    <n v="107"/>
    <s v="_x0000_peopl"/>
  </r>
  <r>
    <x v="7"/>
    <n v="13.688599999999999"/>
    <n v="-89.200999999999993"/>
    <n v="8"/>
    <n v="0"/>
    <n v="0"/>
    <n v="107"/>
    <s v="_x0000_peopl"/>
  </r>
  <r>
    <x v="7"/>
    <n v="13.688599999999999"/>
    <n v="-89.200599999999994"/>
    <n v="8"/>
    <n v="0"/>
    <n v="0"/>
    <n v="107"/>
    <s v="_x0000_peopl"/>
  </r>
  <r>
    <x v="7"/>
    <n v="13.688599999999999"/>
    <n v="-89.200500000000005"/>
    <n v="5"/>
    <n v="0"/>
    <n v="0"/>
    <n v="107"/>
    <s v="_x0000_peopl"/>
  </r>
  <r>
    <x v="7"/>
    <n v="13.688499999999999"/>
    <n v="-89.200699999999998"/>
    <n v="6"/>
    <n v="0"/>
    <n v="0"/>
    <n v="107"/>
    <s v="_x0000_peopl"/>
  </r>
  <r>
    <x v="7"/>
    <n v="13.688499999999999"/>
    <n v="-89.200500000000005"/>
    <n v="9"/>
    <n v="0"/>
    <n v="0"/>
    <n v="107"/>
    <s v="_x0000_peopl"/>
  </r>
  <r>
    <x v="7"/>
    <n v="13.688499999999999"/>
    <n v="-89.200900000000004"/>
    <n v="5"/>
    <n v="0"/>
    <n v="0"/>
    <n v="107"/>
    <s v="_x0000_peopl"/>
  </r>
  <r>
    <x v="7"/>
    <n v="13.6884"/>
    <n v="-89.200699999999998"/>
    <n v="6"/>
    <n v="0"/>
    <n v="0"/>
    <n v="107"/>
    <s v="_x0000_peopl"/>
  </r>
  <r>
    <x v="7"/>
    <n v="13.6883"/>
    <n v="-89.200699999999998"/>
    <n v="2"/>
    <n v="0"/>
    <n v="0"/>
    <n v="107"/>
    <s v="_x0000_peopl"/>
  </r>
  <r>
    <x v="7"/>
    <n v="13.6884"/>
    <n v="-89.200900000000004"/>
    <n v="5"/>
    <n v="0"/>
    <n v="0"/>
    <n v="107"/>
    <s v="_x0000_peopl"/>
  </r>
  <r>
    <x v="7"/>
    <n v="13.6884"/>
    <n v="-89.200999999999993"/>
    <n v="1"/>
    <n v="0"/>
    <n v="0"/>
    <n v="107"/>
    <s v="_x0000_peopl"/>
  </r>
  <r>
    <x v="7"/>
    <n v="13.6883"/>
    <n v="-89.200999999999993"/>
    <n v="3"/>
    <n v="0"/>
    <n v="0"/>
    <n v="107"/>
    <s v="_x0000_peopl"/>
  </r>
  <r>
    <x v="7"/>
    <n v="13.6883"/>
    <n v="-89.201099999999997"/>
    <n v="4"/>
    <n v="0"/>
    <n v="0"/>
    <n v="107"/>
    <s v="_x0000_peopl"/>
  </r>
  <r>
    <x v="7"/>
    <n v="13.6883"/>
    <n v="-89.2012"/>
    <n v="6"/>
    <n v="0"/>
    <n v="0"/>
    <n v="107"/>
    <s v="_x0000_peopl"/>
  </r>
  <r>
    <x v="7"/>
    <n v="13.6883"/>
    <n v="-89.2012"/>
    <n v="7"/>
    <n v="0"/>
    <n v="0"/>
    <n v="107"/>
    <s v="_x0000_peopl"/>
  </r>
  <r>
    <x v="7"/>
    <n v="13.6884"/>
    <n v="-89.201300000000003"/>
    <n v="4"/>
    <n v="0"/>
    <n v="0"/>
    <n v="107"/>
    <s v="_x0000_peopl"/>
  </r>
  <r>
    <x v="7"/>
    <n v="13.688499999999999"/>
    <n v="-89.201499999999996"/>
    <n v="4"/>
    <n v="0"/>
    <n v="0"/>
    <n v="107"/>
    <s v="_x0000_peopl"/>
  </r>
  <r>
    <x v="7"/>
    <n v="13.688499999999999"/>
    <n v="-89.201700000000002"/>
    <n v="3"/>
    <n v="0"/>
    <n v="0"/>
    <n v="107"/>
    <s v="_x0000_peopl"/>
  </r>
  <r>
    <x v="7"/>
    <n v="13.688499999999999"/>
    <n v="-89.200400000000002"/>
    <n v="7"/>
    <n v="0"/>
    <n v="0"/>
    <n v="107"/>
    <s v="_x0000_peopl"/>
  </r>
  <r>
    <x v="7"/>
    <n v="13.6884"/>
    <n v="-89.200400000000002"/>
    <n v="3"/>
    <n v="0"/>
    <n v="0"/>
    <n v="107"/>
    <s v="_x0000_peopl"/>
  </r>
  <r>
    <x v="7"/>
    <n v="13.6884"/>
    <n v="-89.200400000000002"/>
    <n v="8"/>
    <n v="0"/>
    <n v="0"/>
    <n v="107"/>
    <s v="_x0000_peopl"/>
  </r>
  <r>
    <x v="7"/>
    <n v="13.6883"/>
    <n v="-89.200500000000005"/>
    <n v="1"/>
    <n v="0"/>
    <n v="0"/>
    <n v="107"/>
    <s v="_x0000_peopl"/>
  </r>
  <r>
    <x v="7"/>
    <n v="13.6882"/>
    <n v="-89.200500000000005"/>
    <n v="6"/>
    <n v="0"/>
    <n v="0"/>
    <n v="107"/>
    <s v="_x0000_peopl"/>
  </r>
  <r>
    <x v="7"/>
    <n v="13.6882"/>
    <n v="-89.200500000000005"/>
    <n v="4"/>
    <n v="0"/>
    <n v="0"/>
    <n v="107"/>
    <s v="_x0000_peopl"/>
  </r>
  <r>
    <x v="7"/>
    <n v="13.6882"/>
    <n v="-89.200699999999998"/>
    <n v="6"/>
    <n v="0"/>
    <n v="0"/>
    <n v="107"/>
    <s v="_x0000_peopl"/>
  </r>
  <r>
    <x v="7"/>
    <n v="13.6882"/>
    <n v="-89.200900000000004"/>
    <n v="6"/>
    <n v="0"/>
    <n v="0"/>
    <n v="107"/>
    <s v="_x0000_peopl"/>
  </r>
  <r>
    <x v="7"/>
    <n v="13.6882"/>
    <n v="-89.200299999999999"/>
    <n v="6"/>
    <n v="0"/>
    <n v="0"/>
    <n v="107"/>
    <s v="_x0000_peopl"/>
  </r>
  <r>
    <x v="7"/>
    <n v="13.6884"/>
    <n v="-89.200299999999999"/>
    <n v="6"/>
    <n v="0"/>
    <n v="0"/>
    <n v="107"/>
    <s v="_x0000_peopl"/>
  </r>
  <r>
    <x v="7"/>
    <n v="13.688599999999999"/>
    <n v="-89.200199999999995"/>
    <n v="7"/>
    <n v="0"/>
    <n v="0"/>
    <n v="107"/>
    <s v="_x0000_peopl"/>
  </r>
  <r>
    <x v="7"/>
    <n v="13.6884"/>
    <n v="-89.200199999999995"/>
    <n v="6"/>
    <n v="0"/>
    <n v="0"/>
    <n v="107"/>
    <s v="_x0000_peopl"/>
  </r>
  <r>
    <x v="7"/>
    <n v="13.6883"/>
    <n v="-89.200199999999995"/>
    <n v="2"/>
    <n v="0"/>
    <n v="0"/>
    <n v="107"/>
    <s v="_x0000_peopl"/>
  </r>
  <r>
    <x v="7"/>
    <n v="13.6883"/>
    <n v="-89.200299999999999"/>
    <n v="7"/>
    <n v="0"/>
    <n v="0"/>
    <n v="107"/>
    <s v="_x0000_peopl"/>
  </r>
  <r>
    <x v="7"/>
    <n v="13.688499999999999"/>
    <n v="-89.200199999999995"/>
    <n v="6"/>
    <n v="0"/>
    <n v="0"/>
    <n v="107"/>
    <s v="_x0000_peopl"/>
  </r>
  <r>
    <x v="7"/>
    <n v="13.687799999999999"/>
    <n v="-89.200800000000001"/>
    <n v="5"/>
    <n v="0"/>
    <n v="0"/>
    <n v="107"/>
    <s v="_x0000_peopl"/>
  </r>
  <r>
    <x v="7"/>
    <n v="13.6881"/>
    <n v="-89.200999999999993"/>
    <n v="9"/>
    <n v="0"/>
    <n v="0"/>
    <n v="107"/>
    <s v="_x0000_peopl"/>
  </r>
  <r>
    <x v="7"/>
    <n v="13.6881"/>
    <n v="-89.200999999999993"/>
    <n v="5"/>
    <n v="0"/>
    <n v="0"/>
    <n v="107"/>
    <s v="_x0000_peopl"/>
  </r>
  <r>
    <x v="7"/>
    <n v="13.687900000000001"/>
    <n v="-89.200800000000001"/>
    <n v="8"/>
    <n v="0"/>
    <n v="0"/>
    <n v="107"/>
    <s v="_x0000_peopl"/>
  </r>
  <r>
    <x v="7"/>
    <n v="13.688000000000001"/>
    <n v="-89.200800000000001"/>
    <n v="4"/>
    <n v="0"/>
    <n v="0"/>
    <n v="107"/>
    <s v="_x0000_peopl"/>
  </r>
  <r>
    <x v="7"/>
    <n v="13.6881"/>
    <n v="-89.200800000000001"/>
    <n v="1"/>
    <n v="0"/>
    <n v="0"/>
    <n v="107"/>
    <s v="_x0000_peopl"/>
  </r>
  <r>
    <x v="7"/>
    <n v="13.6881"/>
    <n v="-89.200699999999998"/>
    <n v="3"/>
    <n v="0"/>
    <n v="0"/>
    <n v="107"/>
    <s v="_x0000_peopl"/>
  </r>
  <r>
    <x v="7"/>
    <n v="13.6881"/>
    <n v="-89.200500000000005"/>
    <n v="2"/>
    <n v="0"/>
    <n v="0"/>
    <n v="107"/>
    <s v="_x0000_peopl"/>
  </r>
  <r>
    <x v="7"/>
    <n v="13.688000000000001"/>
    <n v="-89.200500000000005"/>
    <n v="5"/>
    <n v="0"/>
    <n v="0"/>
    <n v="107"/>
    <s v="_x0000_peopl"/>
  </r>
  <r>
    <x v="7"/>
    <n v="13.687900000000001"/>
    <n v="-89.200500000000005"/>
    <n v="6"/>
    <n v="0"/>
    <n v="0"/>
    <n v="107"/>
    <s v="_x0000_peopl"/>
  </r>
  <r>
    <x v="7"/>
    <n v="13.687799999999999"/>
    <n v="-89.200500000000005"/>
    <n v="5"/>
    <n v="0"/>
    <n v="0"/>
    <n v="107"/>
    <s v="_x0000_peopl"/>
  </r>
  <r>
    <x v="7"/>
    <n v="13.687900000000001"/>
    <n v="-89.200299999999999"/>
    <n v="6"/>
    <n v="0"/>
    <n v="0"/>
    <n v="107"/>
    <s v="_x0000_peopl"/>
  </r>
  <r>
    <x v="7"/>
    <n v="13.6881"/>
    <n v="-89.200299999999999"/>
    <n v="3"/>
    <n v="0"/>
    <n v="0"/>
    <n v="107"/>
    <s v="_x0000_peopl"/>
  </r>
  <r>
    <x v="7"/>
    <n v="13.6881"/>
    <n v="-89.200199999999995"/>
    <n v="4"/>
    <n v="0"/>
    <n v="0"/>
    <n v="107"/>
    <s v="_x0000_peopl"/>
  </r>
  <r>
    <x v="7"/>
    <n v="13.687900000000001"/>
    <n v="-89.200199999999995"/>
    <n v="3"/>
    <n v="0"/>
    <n v="0"/>
    <n v="107"/>
    <s v="_x0000_peopl"/>
  </r>
  <r>
    <x v="7"/>
    <n v="13.687799999999999"/>
    <n v="-89.200199999999995"/>
    <n v="3"/>
    <n v="0"/>
    <n v="0"/>
    <n v="107"/>
    <s v="_x0000_peopl"/>
  </r>
  <r>
    <x v="7"/>
    <n v="13.6877"/>
    <n v="-89.200500000000005"/>
    <n v="5"/>
    <n v="0"/>
    <n v="0"/>
    <n v="107"/>
    <s v="_x0000_peopl"/>
  </r>
  <r>
    <x v="7"/>
    <n v="13.6877"/>
    <n v="-89.200400000000002"/>
    <n v="5"/>
    <n v="0"/>
    <n v="0"/>
    <n v="107"/>
    <s v="_x0000_peopl"/>
  </r>
  <r>
    <x v="7"/>
    <n v="13.6876"/>
    <n v="-89.200199999999995"/>
    <n v="5"/>
    <n v="0"/>
    <n v="0"/>
    <n v="107"/>
    <s v="_x0000_peopl"/>
  </r>
  <r>
    <x v="7"/>
    <n v="13.6877"/>
    <n v="-89.200199999999995"/>
    <n v="4"/>
    <n v="0"/>
    <n v="0"/>
    <n v="107"/>
    <s v="_x0000_peopl"/>
  </r>
  <r>
    <x v="7"/>
    <n v="13.6876"/>
    <n v="-89.200500000000005"/>
    <n v="6"/>
    <n v="0"/>
    <n v="0"/>
    <n v="107"/>
    <s v="_x0000_peopl"/>
  </r>
  <r>
    <x v="7"/>
    <n v="13.6877"/>
    <n v="-89.200699999999998"/>
    <n v="4"/>
    <n v="0"/>
    <n v="0"/>
    <n v="107"/>
    <s v="_x0000_peopl"/>
  </r>
  <r>
    <x v="7"/>
    <n v="13.6875"/>
    <n v="-89.200800000000001"/>
    <n v="2"/>
    <n v="0"/>
    <n v="0"/>
    <n v="107"/>
    <s v="_x0000_peopl"/>
  </r>
  <r>
    <x v="7"/>
    <n v="13.6874"/>
    <n v="-89.200800000000001"/>
    <n v="3"/>
    <n v="0"/>
    <n v="0"/>
    <n v="107"/>
    <s v="_x0000_peopl"/>
  </r>
  <r>
    <x v="7"/>
    <n v="13.6874"/>
    <n v="-89.200599999999994"/>
    <n v="2"/>
    <n v="0"/>
    <n v="0"/>
    <n v="107"/>
    <s v="_x0000_peopl"/>
  </r>
  <r>
    <x v="7"/>
    <n v="13.6874"/>
    <n v="-89.200599999999994"/>
    <n v="5"/>
    <n v="0"/>
    <n v="0"/>
    <n v="107"/>
    <s v="_x0000_peopl"/>
  </r>
  <r>
    <x v="7"/>
    <n v="13.6874"/>
    <n v="-89.200599999999994"/>
    <n v="14"/>
    <n v="0"/>
    <n v="0"/>
    <n v="107"/>
    <s v="_x0000_peopl"/>
  </r>
  <r>
    <x v="7"/>
    <n v="13.6874"/>
    <n v="-89.200500000000005"/>
    <n v="9"/>
    <n v="0"/>
    <n v="0"/>
    <n v="107"/>
    <s v="_x0000_peopl"/>
  </r>
  <r>
    <x v="7"/>
    <n v="13.6876"/>
    <n v="-89.200100000000006"/>
    <n v="5"/>
    <n v="0"/>
    <n v="0"/>
    <n v="107"/>
    <s v="_x0000_peopl"/>
  </r>
  <r>
    <x v="7"/>
    <n v="13.6873"/>
    <n v="-89.200599999999994"/>
    <n v="0"/>
    <n v="0"/>
    <n v="0"/>
    <n v="107"/>
    <s v="_x0000_peopl"/>
  </r>
  <r>
    <x v="7"/>
    <n v="13.6873"/>
    <n v="-89.200599999999994"/>
    <n v="3"/>
    <n v="0"/>
    <n v="0"/>
    <n v="107"/>
    <s v="_x0000_peopl"/>
  </r>
  <r>
    <x v="7"/>
    <n v="13.6873"/>
    <n v="-89.200500000000005"/>
    <n v="4"/>
    <n v="0"/>
    <n v="0"/>
    <n v="107"/>
    <s v="_x0000_peopl"/>
  </r>
  <r>
    <x v="7"/>
    <n v="13.6873"/>
    <n v="-89.200500000000005"/>
    <n v="2"/>
    <n v="0"/>
    <n v="0"/>
    <n v="107"/>
    <s v="_x0000_peopl"/>
  </r>
  <r>
    <x v="7"/>
    <n v="13.6873"/>
    <n v="-89.200400000000002"/>
    <n v="4"/>
    <n v="0"/>
    <n v="0"/>
    <n v="107"/>
    <s v="_x0000_peopl"/>
  </r>
  <r>
    <x v="7"/>
    <n v="13.687200000000001"/>
    <n v="-89.200400000000002"/>
    <n v="1"/>
    <n v="0"/>
    <n v="0"/>
    <n v="107"/>
    <s v="_x0000_peopl"/>
  </r>
  <r>
    <x v="7"/>
    <n v="13.6873"/>
    <n v="-89.200400000000002"/>
    <n v="7"/>
    <n v="0"/>
    <n v="0"/>
    <n v="107"/>
    <s v="_x0000_peopl"/>
  </r>
  <r>
    <x v="7"/>
    <n v="13.6874"/>
    <n v="-89.200400000000002"/>
    <n v="7"/>
    <n v="0"/>
    <n v="0"/>
    <n v="107"/>
    <s v="_x0000_peopl"/>
  </r>
  <r>
    <x v="7"/>
    <n v="13.6874"/>
    <n v="-89.200500000000005"/>
    <n v="8"/>
    <n v="0"/>
    <n v="0"/>
    <n v="107"/>
    <s v="_x0000_peopl"/>
  </r>
  <r>
    <x v="7"/>
    <n v="13.6874"/>
    <n v="-89.200299999999999"/>
    <n v="4"/>
    <n v="0"/>
    <n v="0"/>
    <n v="107"/>
    <s v="_x0000_peopl"/>
  </r>
  <r>
    <x v="7"/>
    <n v="13.687200000000001"/>
    <n v="-89.200199999999995"/>
    <n v="5"/>
    <n v="0"/>
    <n v="0"/>
    <n v="107"/>
    <s v="_x0000_peopl"/>
  </r>
  <r>
    <x v="7"/>
    <n v="13.687200000000001"/>
    <n v="-89.200900000000004"/>
    <n v="5"/>
    <n v="0"/>
    <n v="0"/>
    <n v="107"/>
    <s v="_x0000_peopl"/>
  </r>
  <r>
    <x v="7"/>
    <n v="13.686999999999999"/>
    <n v="-89.200500000000005"/>
    <n v="4"/>
    <n v="0"/>
    <n v="0"/>
    <n v="107"/>
    <s v="_x0000_peopl"/>
  </r>
  <r>
    <x v="7"/>
    <n v="13.686999999999999"/>
    <n v="-89.200400000000002"/>
    <n v="2"/>
    <n v="0"/>
    <n v="0"/>
    <n v="107"/>
    <s v="_x0000_peopl"/>
  </r>
  <r>
    <x v="7"/>
    <n v="13.687099999999999"/>
    <n v="-89.200400000000002"/>
    <n v="5"/>
    <n v="0"/>
    <n v="0"/>
    <n v="107"/>
    <s v="_x0000_peopl"/>
  </r>
  <r>
    <x v="7"/>
    <n v="13.687099999999999"/>
    <n v="-89.200400000000002"/>
    <n v="3"/>
    <n v="0"/>
    <n v="0"/>
    <n v="107"/>
    <s v="_x0000_peopl"/>
  </r>
  <r>
    <x v="7"/>
    <n v="13.687099999999999"/>
    <n v="-89.200299999999999"/>
    <n v="7"/>
    <n v="0"/>
    <n v="0"/>
    <n v="107"/>
    <s v="_x0000_peopl"/>
  </r>
  <r>
    <x v="7"/>
    <n v="13.687200000000001"/>
    <n v="-89.200299999999999"/>
    <n v="4"/>
    <n v="0"/>
    <n v="0"/>
    <n v="107"/>
    <s v="_x0000_peopl"/>
  </r>
  <r>
    <x v="7"/>
    <n v="13.686999999999999"/>
    <n v="-89.200299999999999"/>
    <n v="3"/>
    <n v="0"/>
    <n v="0"/>
    <n v="107"/>
    <s v="_x0000_peopl"/>
  </r>
  <r>
    <x v="7"/>
    <n v="13.687099999999999"/>
    <n v="-89.200299999999999"/>
    <n v="3"/>
    <n v="0"/>
    <n v="0"/>
    <n v="107"/>
    <s v="_x0000_peopl"/>
  </r>
  <r>
    <x v="7"/>
    <n v="13.687099999999999"/>
    <n v="-89.200299999999999"/>
    <n v="5"/>
    <n v="0"/>
    <n v="0"/>
    <n v="107"/>
    <s v="_x0000_peopl"/>
  </r>
  <r>
    <x v="7"/>
    <n v="13.687099999999999"/>
    <n v="-89.200199999999995"/>
    <n v="6"/>
    <n v="0"/>
    <n v="0"/>
    <n v="107"/>
    <s v="_x0000_peopl"/>
  </r>
  <r>
    <x v="7"/>
    <n v="13.687099999999999"/>
    <n v="-89.200199999999995"/>
    <n v="6"/>
    <n v="0"/>
    <n v="0"/>
    <n v="107"/>
    <s v="_x0000_peopl"/>
  </r>
  <r>
    <x v="7"/>
    <n v="13.687200000000001"/>
    <n v="-89.200100000000006"/>
    <n v="4"/>
    <n v="0"/>
    <n v="0"/>
    <n v="107"/>
    <s v="_x0000_peopl"/>
  </r>
  <r>
    <x v="7"/>
    <n v="13.687200000000001"/>
    <n v="-89.200100000000006"/>
    <n v="2"/>
    <n v="0"/>
    <n v="0"/>
    <n v="107"/>
    <s v="_x0000_peopl"/>
  </r>
  <r>
    <x v="7"/>
    <n v="13.687200000000001"/>
    <n v="-89.200199999999995"/>
    <n v="5"/>
    <n v="0"/>
    <n v="0"/>
    <n v="107"/>
    <s v="_x0000_peopl"/>
  </r>
  <r>
    <x v="7"/>
    <n v="13.6873"/>
    <n v="-89.200199999999995"/>
    <n v="6"/>
    <n v="0"/>
    <n v="0"/>
    <n v="107"/>
    <s v="_x0000_peopl"/>
  </r>
  <r>
    <x v="7"/>
    <n v="13.6873"/>
    <n v="-89.200100000000006"/>
    <n v="3"/>
    <n v="0"/>
    <n v="0"/>
    <n v="107"/>
    <s v="_x0000_peopl"/>
  </r>
  <r>
    <x v="7"/>
    <n v="13.6873"/>
    <n v="-89.200100000000006"/>
    <n v="2"/>
    <n v="0"/>
    <n v="0"/>
    <n v="107"/>
    <s v="_x0000_peopl"/>
  </r>
  <r>
    <x v="7"/>
    <n v="13.6873"/>
    <n v="-89.200100000000006"/>
    <n v="2"/>
    <n v="0"/>
    <n v="0"/>
    <n v="107"/>
    <s v="_x0000_peopl"/>
  </r>
  <r>
    <x v="7"/>
    <n v="13.6874"/>
    <n v="-89.1999"/>
    <n v="6"/>
    <n v="0"/>
    <n v="0"/>
    <n v="107"/>
    <s v="_x0000_peopl"/>
  </r>
  <r>
    <x v="7"/>
    <n v="13.686999999999999"/>
    <n v="-89.200500000000005"/>
    <n v="4"/>
    <n v="0"/>
    <n v="0"/>
    <n v="107"/>
    <s v="_x0000_peopl"/>
  </r>
  <r>
    <x v="7"/>
    <n v="13.686999999999999"/>
    <n v="-89.200599999999994"/>
    <n v="6"/>
    <n v="0"/>
    <n v="0"/>
    <n v="107"/>
    <s v="_x0000_peopl"/>
  </r>
  <r>
    <x v="7"/>
    <n v="13.6869"/>
    <n v="-89.200599999999994"/>
    <n v="2"/>
    <n v="0"/>
    <n v="0"/>
    <n v="107"/>
    <s v="_x0000_peopl"/>
  </r>
  <r>
    <x v="7"/>
    <n v="13.6869"/>
    <n v="-89.200599999999994"/>
    <n v="5"/>
    <n v="0"/>
    <n v="0"/>
    <n v="107"/>
    <s v="_x0000_peopl"/>
  </r>
  <r>
    <x v="7"/>
    <n v="13.6868"/>
    <n v="-89.200699999999998"/>
    <n v="5"/>
    <n v="0"/>
    <n v="0"/>
    <n v="107"/>
    <s v="_x0000_peopl"/>
  </r>
  <r>
    <x v="7"/>
    <n v="13.6868"/>
    <n v="-89.200599999999994"/>
    <n v="3"/>
    <n v="0"/>
    <n v="0"/>
    <n v="107"/>
    <s v="_x0000_peopl"/>
  </r>
  <r>
    <x v="7"/>
    <n v="13.6869"/>
    <n v="-89.200500000000005"/>
    <n v="5"/>
    <n v="0"/>
    <n v="0"/>
    <n v="107"/>
    <s v="_x0000_peopl"/>
  </r>
  <r>
    <x v="7"/>
    <n v="13.6869"/>
    <n v="-89.200500000000005"/>
    <n v="7"/>
    <n v="0"/>
    <n v="0"/>
    <n v="107"/>
    <s v="_x0000_peopl"/>
  </r>
  <r>
    <x v="7"/>
    <n v="13.686999999999999"/>
    <n v="-89.200400000000002"/>
    <n v="3"/>
    <n v="0"/>
    <n v="0"/>
    <n v="107"/>
    <s v="_x0000_peopl"/>
  </r>
  <r>
    <x v="7"/>
    <n v="13.686999999999999"/>
    <n v="-89.200400000000002"/>
    <n v="7"/>
    <n v="0"/>
    <n v="0"/>
    <n v="107"/>
    <s v="_x0000_peopl"/>
  </r>
  <r>
    <x v="7"/>
    <n v="13.686999999999999"/>
    <n v="-89.200900000000004"/>
    <n v="6"/>
    <n v="0"/>
    <n v="0"/>
    <n v="107"/>
    <s v="_x0000_peopl"/>
  </r>
  <r>
    <x v="7"/>
    <n v="13.6869"/>
    <n v="-89.200900000000004"/>
    <n v="6"/>
    <n v="0"/>
    <n v="0"/>
    <n v="107"/>
    <s v="_x0000_peopl"/>
  </r>
  <r>
    <x v="7"/>
    <n v="13.6868"/>
    <n v="-89.200900000000004"/>
    <n v="4"/>
    <n v="0"/>
    <n v="0"/>
    <n v="107"/>
    <s v="_x0000_peopl"/>
  </r>
  <r>
    <x v="7"/>
    <n v="13.6867"/>
    <n v="-89.200699999999998"/>
    <n v="2"/>
    <n v="0"/>
    <n v="0"/>
    <n v="107"/>
    <s v="_x0000_peopl"/>
  </r>
  <r>
    <x v="7"/>
    <n v="13.6868"/>
    <n v="-89.200599999999994"/>
    <n v="3"/>
    <n v="0"/>
    <n v="0"/>
    <n v="107"/>
    <s v="_x0000_peopl"/>
  </r>
  <r>
    <x v="7"/>
    <n v="13.6867"/>
    <n v="-89.200900000000004"/>
    <n v="1"/>
    <n v="0"/>
    <n v="0"/>
    <n v="107"/>
    <s v="_x0000_peopl"/>
  </r>
  <r>
    <x v="7"/>
    <n v="13.688000000000001"/>
    <n v="-89.2"/>
    <n v="7"/>
    <n v="0"/>
    <n v="0"/>
    <n v="107"/>
    <s v="_x0000_peopl"/>
  </r>
  <r>
    <x v="7"/>
    <n v="13.688000000000001"/>
    <n v="-89.2"/>
    <n v="3"/>
    <n v="0"/>
    <n v="0"/>
    <n v="107"/>
    <s v="_x0000_peopl"/>
  </r>
  <r>
    <x v="7"/>
    <n v="13.687900000000001"/>
    <n v="-89.200100000000006"/>
    <n v="9"/>
    <n v="0"/>
    <n v="0"/>
    <n v="107"/>
    <s v="_x0000_peopl"/>
  </r>
  <r>
    <x v="7"/>
    <n v="13.6882"/>
    <n v="-89.200100000000006"/>
    <n v="8"/>
    <n v="0"/>
    <n v="0"/>
    <n v="107"/>
    <s v="_x0000_peopl"/>
  </r>
  <r>
    <x v="7"/>
    <n v="13.6883"/>
    <n v="-89.2"/>
    <n v="5"/>
    <n v="0"/>
    <n v="0"/>
    <n v="107"/>
    <s v="_x0000_peopl"/>
  </r>
  <r>
    <x v="7"/>
    <n v="13.6883"/>
    <n v="-89.200100000000006"/>
    <n v="6"/>
    <n v="0"/>
    <n v="0"/>
    <n v="107"/>
    <s v="_x0000_peopl"/>
  </r>
  <r>
    <x v="7"/>
    <n v="13.688499999999999"/>
    <n v="-89.200100000000006"/>
    <n v="3"/>
    <n v="0"/>
    <n v="0"/>
    <n v="107"/>
    <s v="_x0000_peopl"/>
  </r>
  <r>
    <x v="7"/>
    <n v="13.688499999999999"/>
    <n v="-89.200100000000006"/>
    <n v="5"/>
    <n v="0"/>
    <n v="0"/>
    <n v="107"/>
    <s v="_x0000_peopl"/>
  </r>
  <r>
    <x v="7"/>
    <n v="13.6874"/>
    <n v="-89.199799999999996"/>
    <n v="9"/>
    <n v="0"/>
    <n v="0"/>
    <n v="107"/>
    <s v="_x0000_peopl"/>
  </r>
  <r>
    <x v="7"/>
    <n v="13.6874"/>
    <n v="-89.199799999999996"/>
    <n v="5"/>
    <n v="0"/>
    <n v="0"/>
    <n v="107"/>
    <s v="_x0000_peopl"/>
  </r>
  <r>
    <x v="7"/>
    <n v="13.6876"/>
    <n v="-89.199200000000005"/>
    <n v="0"/>
    <n v="0"/>
    <n v="0"/>
    <n v="107"/>
    <s v="_x0000_peopl"/>
  </r>
  <r>
    <x v="7"/>
    <n v="13.6876"/>
    <n v="-89.199200000000005"/>
    <n v="9"/>
    <n v="0"/>
    <n v="0"/>
    <n v="107"/>
    <s v="_x0000_peopl"/>
  </r>
  <r>
    <x v="7"/>
    <n v="13.688700000000001"/>
    <n v="-89.199700000000007"/>
    <n v="5"/>
    <n v="0"/>
    <n v="0"/>
    <n v="107"/>
    <s v="_x0000_peopl"/>
  </r>
  <r>
    <x v="7"/>
    <n v="13.688700000000001"/>
    <n v="-89.199600000000004"/>
    <n v="4"/>
    <n v="0"/>
    <n v="0"/>
    <n v="107"/>
    <s v="_x0000_peopl"/>
  </r>
  <r>
    <x v="7"/>
    <n v="13.688700000000001"/>
    <n v="-89.1995"/>
    <n v="3"/>
    <n v="0"/>
    <n v="0"/>
    <n v="107"/>
    <s v="_x0000_peopl"/>
  </r>
  <r>
    <x v="7"/>
    <n v="13.688700000000001"/>
    <n v="-89.199399999999997"/>
    <n v="5"/>
    <n v="0"/>
    <n v="0"/>
    <n v="107"/>
    <s v="_x0000_peopl"/>
  </r>
  <r>
    <x v="7"/>
    <n v="13.688700000000001"/>
    <n v="-89.199299999999994"/>
    <n v="6"/>
    <n v="0"/>
    <n v="0"/>
    <n v="107"/>
    <s v="_x0000_peopl"/>
  </r>
  <r>
    <x v="7"/>
    <n v="13.688599999999999"/>
    <n v="-89.199299999999994"/>
    <n v="2"/>
    <n v="0"/>
    <n v="0"/>
    <n v="107"/>
    <s v="_x0000_peopl"/>
  </r>
  <r>
    <x v="7"/>
    <n v="13.688700000000001"/>
    <n v="-89.199200000000005"/>
    <n v="4"/>
    <n v="0"/>
    <n v="0"/>
    <n v="107"/>
    <s v="_x0000_peopl"/>
  </r>
  <r>
    <x v="7"/>
    <n v="13.6889"/>
    <n v="-89.2"/>
    <n v="7"/>
    <n v="0"/>
    <n v="0"/>
    <n v="107"/>
    <s v="_x0000_peopl"/>
  </r>
  <r>
    <x v="7"/>
    <n v="13.689"/>
    <n v="-89.1995"/>
    <n v="4"/>
    <n v="0"/>
    <n v="0"/>
    <n v="107"/>
    <s v="_x0000_peopl"/>
  </r>
  <r>
    <x v="7"/>
    <n v="13.6889"/>
    <n v="-89.199399999999997"/>
    <n v="4"/>
    <n v="0"/>
    <n v="0"/>
    <n v="107"/>
    <s v="_x0000_peopl"/>
  </r>
  <r>
    <x v="7"/>
    <n v="13.6889"/>
    <n v="-89.199299999999994"/>
    <n v="6"/>
    <n v="0"/>
    <n v="0"/>
    <n v="107"/>
    <s v="_x0000_peopl"/>
  </r>
  <r>
    <x v="7"/>
    <n v="13.689"/>
    <n v="-89.199200000000005"/>
    <n v="6"/>
    <n v="0"/>
    <n v="0"/>
    <n v="107"/>
    <s v="_x0000_peopl"/>
  </r>
  <r>
    <x v="7"/>
    <n v="13.6889"/>
    <n v="-89.199200000000005"/>
    <n v="7"/>
    <n v="0"/>
    <n v="0"/>
    <n v="107"/>
    <s v="_x0000_peopl"/>
  </r>
  <r>
    <x v="7"/>
    <n v="13.688700000000001"/>
    <n v="-89.198999999999998"/>
    <n v="1"/>
    <n v="0"/>
    <n v="0"/>
    <n v="107"/>
    <s v="_x0000_peopl"/>
  </r>
  <r>
    <x v="7"/>
    <n v="13.6889"/>
    <n v="-89.198999999999998"/>
    <n v="10"/>
    <n v="0"/>
    <n v="0"/>
    <n v="107"/>
    <s v="_x0000_peopl"/>
  </r>
  <r>
    <x v="7"/>
    <n v="13.6891"/>
    <n v="-89.199299999999994"/>
    <n v="3"/>
    <n v="0"/>
    <n v="0"/>
    <n v="107"/>
    <s v="_x0000_peopl"/>
  </r>
  <r>
    <x v="7"/>
    <n v="13.6891"/>
    <n v="-89.199100000000001"/>
    <n v="6"/>
    <n v="0"/>
    <n v="0"/>
    <n v="107"/>
    <s v="_x0000_peopl"/>
  </r>
  <r>
    <x v="7"/>
    <n v="13.6891"/>
    <n v="-89.198999999999998"/>
    <n v="6"/>
    <n v="0"/>
    <n v="0"/>
    <n v="107"/>
    <s v="_x0000_peopl"/>
  </r>
  <r>
    <x v="7"/>
    <n v="13.6892"/>
    <n v="-89.198999999999998"/>
    <n v="3"/>
    <n v="0"/>
    <n v="0"/>
    <n v="107"/>
    <s v="_x0000_peopl"/>
  </r>
  <r>
    <x v="7"/>
    <n v="13.6892"/>
    <n v="-89.198800000000006"/>
    <n v="7"/>
    <n v="0"/>
    <n v="0"/>
    <n v="107"/>
    <s v="_x0000_peopl"/>
  </r>
  <r>
    <x v="7"/>
    <n v="13.6892"/>
    <n v="-89.198700000000002"/>
    <n v="3"/>
    <n v="0"/>
    <n v="0"/>
    <n v="107"/>
    <s v="_x0000_peopl"/>
  </r>
  <r>
    <x v="7"/>
    <n v="13.689"/>
    <n v="-89.198800000000006"/>
    <n v="5"/>
    <n v="0"/>
    <n v="0"/>
    <n v="107"/>
    <s v="_x0000_peopl"/>
  </r>
  <r>
    <x v="7"/>
    <n v="13.689"/>
    <n v="-89.198700000000002"/>
    <n v="5"/>
    <n v="0"/>
    <n v="0"/>
    <n v="107"/>
    <s v="_x0000_peopl"/>
  </r>
  <r>
    <x v="7"/>
    <n v="13.689"/>
    <n v="-89.198599999999999"/>
    <n v="6"/>
    <n v="0"/>
    <n v="0"/>
    <n v="107"/>
    <s v="_x0000_peopl"/>
  </r>
  <r>
    <x v="7"/>
    <n v="13.689"/>
    <n v="-89.198599999999999"/>
    <n v="6"/>
    <n v="0"/>
    <n v="0"/>
    <n v="107"/>
    <s v="_x0000_peopl"/>
  </r>
  <r>
    <x v="7"/>
    <n v="13.689"/>
    <n v="-89.198499999999996"/>
    <n v="7"/>
    <n v="0"/>
    <n v="0"/>
    <n v="107"/>
    <s v="_x0000_peopl"/>
  </r>
  <r>
    <x v="7"/>
    <n v="13.689"/>
    <n v="-89.198499999999996"/>
    <n v="6"/>
    <n v="0"/>
    <n v="0"/>
    <n v="107"/>
    <s v="_x0000_peopl"/>
  </r>
  <r>
    <x v="7"/>
    <n v="13.689"/>
    <n v="-89.198400000000007"/>
    <n v="8"/>
    <n v="0"/>
    <n v="0"/>
    <n v="107"/>
    <s v="_x0000_peopl"/>
  </r>
  <r>
    <x v="7"/>
    <n v="13.689"/>
    <n v="-89.198400000000007"/>
    <n v="3"/>
    <n v="0"/>
    <n v="0"/>
    <n v="107"/>
    <s v="_x0000_peopl"/>
  </r>
  <r>
    <x v="7"/>
    <n v="13.689"/>
    <n v="-89.198300000000003"/>
    <n v="10"/>
    <n v="0"/>
    <n v="0"/>
    <n v="107"/>
    <s v="_x0000_peopl"/>
  </r>
  <r>
    <x v="7"/>
    <n v="13.689"/>
    <n v="-89.1982"/>
    <n v="5"/>
    <n v="0"/>
    <n v="0"/>
    <n v="107"/>
    <s v="_x0000_peopl"/>
  </r>
  <r>
    <x v="7"/>
    <n v="13.689"/>
    <n v="-89.1982"/>
    <n v="5"/>
    <n v="0"/>
    <n v="0"/>
    <n v="107"/>
    <s v="_x0000_peopl"/>
  </r>
  <r>
    <x v="7"/>
    <n v="13.689"/>
    <n v="-89.197999999999993"/>
    <n v="4"/>
    <n v="0"/>
    <n v="0"/>
    <n v="107"/>
    <s v="_x0000_peopl"/>
  </r>
  <r>
    <x v="7"/>
    <n v="13.6889"/>
    <n v="-89.197900000000004"/>
    <n v="3"/>
    <n v="0"/>
    <n v="0"/>
    <n v="107"/>
    <s v="_x0000_peopl"/>
  </r>
  <r>
    <x v="7"/>
    <n v="13.689299999999999"/>
    <n v="-89.198999999999998"/>
    <n v="6"/>
    <n v="0"/>
    <n v="0"/>
    <n v="107"/>
    <s v="_x0000_peopl"/>
  </r>
  <r>
    <x v="7"/>
    <n v="13.6892"/>
    <n v="-89.199200000000005"/>
    <n v="7"/>
    <n v="0"/>
    <n v="0"/>
    <n v="107"/>
    <s v="_x0000_peopl"/>
  </r>
  <r>
    <x v="7"/>
    <n v="13.689299999999999"/>
    <n v="-89.199200000000005"/>
    <n v="4"/>
    <n v="0"/>
    <n v="0"/>
    <n v="107"/>
    <s v="_x0000_peopl"/>
  </r>
  <r>
    <x v="7"/>
    <n v="13.689399999999999"/>
    <n v="-89.199299999999994"/>
    <n v="7"/>
    <n v="0"/>
    <n v="0"/>
    <n v="107"/>
    <s v="_x0000_peopl"/>
  </r>
  <r>
    <x v="7"/>
    <n v="13.6891"/>
    <n v="-89.199600000000004"/>
    <n v="4"/>
    <n v="0"/>
    <n v="0"/>
    <n v="107"/>
    <s v="_x0000_peopl"/>
  </r>
  <r>
    <x v="7"/>
    <n v="13.689299999999999"/>
    <n v="-89.199700000000007"/>
    <n v="3"/>
    <n v="0"/>
    <n v="0"/>
    <n v="107"/>
    <s v="_x0000_peopl"/>
  </r>
  <r>
    <x v="7"/>
    <n v="13.689"/>
    <n v="-89.200199999999995"/>
    <n v="3"/>
    <n v="0"/>
    <n v="0"/>
    <n v="107"/>
    <s v="_x0000_peopl"/>
  </r>
  <r>
    <x v="7"/>
    <n v="13.688800000000001"/>
    <n v="-89.200100000000006"/>
    <n v="3"/>
    <n v="0"/>
    <n v="0"/>
    <n v="107"/>
    <s v="_x0000_peopl"/>
  </r>
  <r>
    <x v="7"/>
    <n v="13.689"/>
    <n v="-89.1999"/>
    <n v="4"/>
    <n v="0"/>
    <n v="0"/>
    <n v="107"/>
    <s v="_x0000_peopl"/>
  </r>
  <r>
    <x v="7"/>
    <n v="13.6889"/>
    <n v="-89.200500000000005"/>
    <n v="5"/>
    <n v="0"/>
    <n v="0"/>
    <n v="107"/>
    <s v="_x0000_peopl"/>
  </r>
  <r>
    <x v="7"/>
    <n v="13.688800000000001"/>
    <n v="-89.200500000000005"/>
    <n v="6"/>
    <n v="0"/>
    <n v="0"/>
    <n v="107"/>
    <s v="_x0000_peopl"/>
  </r>
  <r>
    <x v="7"/>
    <n v="13.6889"/>
    <n v="-89.200400000000002"/>
    <n v="8"/>
    <n v="0"/>
    <n v="0"/>
    <n v="107"/>
    <s v="_x0000_peopl"/>
  </r>
  <r>
    <x v="7"/>
    <n v="13.6889"/>
    <n v="-89.200199999999995"/>
    <n v="7"/>
    <n v="0"/>
    <n v="0"/>
    <n v="107"/>
    <s v="_x0000_peopl"/>
  </r>
  <r>
    <x v="7"/>
    <n v="13.6889"/>
    <n v="-89.200199999999995"/>
    <n v="2"/>
    <n v="0"/>
    <n v="0"/>
    <n v="107"/>
    <s v="_x0000_peopl"/>
  </r>
  <r>
    <x v="7"/>
    <n v="13.688800000000001"/>
    <n v="-89.200199999999995"/>
    <n v="6"/>
    <n v="0"/>
    <n v="0"/>
    <n v="107"/>
    <s v="_x0000_peopl"/>
  </r>
  <r>
    <x v="7"/>
    <n v="13.6892"/>
    <n v="-89.200599999999994"/>
    <n v="8"/>
    <n v="0"/>
    <n v="0"/>
    <n v="107"/>
    <s v="_x0000_peopl"/>
  </r>
  <r>
    <x v="7"/>
    <n v="13.6892"/>
    <n v="-89.200699999999998"/>
    <n v="5"/>
    <n v="0"/>
    <n v="0"/>
    <n v="107"/>
    <s v="_x0000_peopl"/>
  </r>
  <r>
    <x v="7"/>
    <n v="13.6891"/>
    <n v="-89.200699999999998"/>
    <n v="4"/>
    <n v="0"/>
    <n v="0"/>
    <n v="107"/>
    <s v="_x0000_peopl"/>
  </r>
  <r>
    <x v="7"/>
    <n v="13.6891"/>
    <n v="-89.200699999999998"/>
    <n v="10"/>
    <n v="0"/>
    <n v="0"/>
    <n v="107"/>
    <s v="_x0000_peopl"/>
  </r>
  <r>
    <x v="7"/>
    <n v="13.689"/>
    <n v="-89.200699999999998"/>
    <n v="1"/>
    <n v="0"/>
    <n v="0"/>
    <n v="107"/>
    <s v="_x0000_peopl"/>
  </r>
  <r>
    <x v="7"/>
    <n v="13.6889"/>
    <n v="-89.200599999999994"/>
    <n v="8"/>
    <n v="0"/>
    <n v="0"/>
    <n v="107"/>
    <s v="_x0000_peopl"/>
  </r>
  <r>
    <x v="7"/>
    <n v="13.6891"/>
    <n v="-89.200500000000005"/>
    <n v="8"/>
    <n v="0"/>
    <n v="0"/>
    <n v="107"/>
    <s v="_x0000_peopl"/>
  </r>
  <r>
    <x v="7"/>
    <n v="13.689"/>
    <n v="-89.200400000000002"/>
    <n v="3"/>
    <n v="0"/>
    <n v="0"/>
    <n v="107"/>
    <s v="_x0000_peopl"/>
  </r>
  <r>
    <x v="7"/>
    <n v="13.6892"/>
    <n v="-89.200400000000002"/>
    <n v="3"/>
    <n v="0"/>
    <n v="0"/>
    <n v="107"/>
    <s v="_x0000_peopl"/>
  </r>
  <r>
    <x v="7"/>
    <n v="13.6891"/>
    <n v="-89.200199999999995"/>
    <n v="5"/>
    <n v="0"/>
    <n v="0"/>
    <n v="107"/>
    <s v="_x0000_peopl"/>
  </r>
  <r>
    <x v="7"/>
    <n v="13.6892"/>
    <n v="-89.200199999999995"/>
    <n v="4"/>
    <n v="0"/>
    <n v="0"/>
    <n v="107"/>
    <s v="_x0000_peopl"/>
  </r>
  <r>
    <x v="7"/>
    <n v="13.6891"/>
    <n v="-89.2012"/>
    <n v="3"/>
    <n v="0"/>
    <n v="0"/>
    <n v="107"/>
    <s v="_x0000_peopl"/>
  </r>
  <r>
    <x v="7"/>
    <n v="13.6892"/>
    <n v="-89.201400000000007"/>
    <n v="1"/>
    <n v="0"/>
    <n v="0"/>
    <n v="107"/>
    <s v="_x0000_peopl"/>
  </r>
  <r>
    <x v="7"/>
    <n v="13.6891"/>
    <n v="-89.201400000000007"/>
    <n v="5"/>
    <n v="0"/>
    <n v="0"/>
    <n v="107"/>
    <s v="_x0000_peopl"/>
  </r>
  <r>
    <x v="7"/>
    <n v="13.688800000000001"/>
    <n v="-89.200400000000002"/>
    <n v="6"/>
    <n v="0"/>
    <n v="0"/>
    <n v="107"/>
    <s v="_x0000_peopl"/>
  </r>
  <r>
    <x v="7"/>
    <n v="13.688800000000001"/>
    <n v="-89.200500000000005"/>
    <n v="1"/>
    <n v="0"/>
    <n v="0"/>
    <n v="107"/>
    <s v="_x0000_peopl"/>
  </r>
  <r>
    <x v="7"/>
    <n v="13.688800000000001"/>
    <n v="-89.200500000000005"/>
    <n v="11"/>
    <n v="0"/>
    <n v="0"/>
    <n v="107"/>
    <s v="_x0000_peopl"/>
  </r>
  <r>
    <x v="7"/>
    <n v="13.688800000000001"/>
    <n v="-89.200699999999998"/>
    <n v="2"/>
    <n v="0"/>
    <n v="0"/>
    <n v="107"/>
    <s v="_x0000_peopl"/>
  </r>
  <r>
    <x v="7"/>
    <n v="13.688700000000001"/>
    <n v="-89.200199999999995"/>
    <n v="6"/>
    <n v="0"/>
    <n v="0"/>
    <n v="107"/>
    <s v="_x0000_peopl"/>
  </r>
  <r>
    <x v="7"/>
    <n v="13.688700000000001"/>
    <n v="-89.2"/>
    <n v="8"/>
    <n v="0"/>
    <n v="0"/>
    <n v="107"/>
    <s v="_x0000_peopl"/>
  </r>
  <r>
    <x v="7"/>
    <n v="13.6892"/>
    <n v="-89.199700000000007"/>
    <n v="3"/>
    <n v="0"/>
    <n v="0"/>
    <n v="107"/>
    <s v="_x0000_peopl"/>
  </r>
  <r>
    <x v="7"/>
    <n v="13.6891"/>
    <n v="-89.199700000000007"/>
    <n v="3"/>
    <n v="0"/>
    <n v="0"/>
    <n v="107"/>
    <s v="_x0000_peopl"/>
  </r>
  <r>
    <x v="7"/>
    <n v="13.6891"/>
    <n v="-89.199600000000004"/>
    <n v="3"/>
    <n v="0"/>
    <n v="0"/>
    <n v="107"/>
    <s v="_x0000_peopl"/>
  </r>
  <r>
    <x v="7"/>
    <n v="13.6891"/>
    <n v="-89.1995"/>
    <n v="4"/>
    <n v="0"/>
    <n v="0"/>
    <n v="107"/>
    <s v="_x0000_peopl"/>
  </r>
  <r>
    <x v="7"/>
    <n v="13.6891"/>
    <n v="-89.199399999999997"/>
    <n v="5"/>
    <n v="0"/>
    <n v="0"/>
    <n v="107"/>
    <s v="_x0000_peopl"/>
  </r>
  <r>
    <x v="7"/>
    <n v="13.6891"/>
    <n v="-89.199399999999997"/>
    <n v="2"/>
    <n v="0"/>
    <n v="0"/>
    <n v="107"/>
    <s v="_x0000_peopl"/>
  </r>
  <r>
    <x v="7"/>
    <n v="13.689399999999999"/>
    <n v="-89.199299999999994"/>
    <n v="7"/>
    <n v="0"/>
    <n v="0"/>
    <n v="107"/>
    <s v="_x0000_peopl"/>
  </r>
  <r>
    <x v="7"/>
    <n v="13.689399999999999"/>
    <n v="-89.1995"/>
    <n v="4"/>
    <n v="0"/>
    <n v="0"/>
    <n v="107"/>
    <s v="_x0000_peopl"/>
  </r>
  <r>
    <x v="7"/>
    <n v="13.6896"/>
    <n v="-89.198999999999998"/>
    <n v="3"/>
    <n v="0"/>
    <n v="0"/>
    <n v="107"/>
    <s v="_x0000_peopl"/>
  </r>
  <r>
    <x v="7"/>
    <n v="13.6896"/>
    <n v="-89.198999999999998"/>
    <n v="2"/>
    <n v="0"/>
    <n v="0"/>
    <n v="107"/>
    <s v="_x0000_peopl"/>
  </r>
  <r>
    <x v="7"/>
    <n v="13.6896"/>
    <n v="-89.198999999999998"/>
    <n v="5"/>
    <n v="0"/>
    <n v="0"/>
    <n v="107"/>
    <s v="_x0000_peopl"/>
  </r>
  <r>
    <x v="7"/>
    <n v="13.6896"/>
    <n v="-89.198999999999998"/>
    <n v="10"/>
    <n v="0"/>
    <n v="0"/>
    <n v="107"/>
    <s v="_x0000_peopl"/>
  </r>
  <r>
    <x v="7"/>
    <n v="13.6896"/>
    <n v="-89.199200000000005"/>
    <n v="5"/>
    <n v="0"/>
    <n v="0"/>
    <n v="107"/>
    <s v="_x0000_peopl"/>
  </r>
  <r>
    <x v="7"/>
    <n v="13.6896"/>
    <n v="-89.199600000000004"/>
    <n v="3"/>
    <n v="0"/>
    <n v="0"/>
    <n v="107"/>
    <s v="_x0000_peopl"/>
  </r>
  <r>
    <x v="7"/>
    <n v="13.6896"/>
    <n v="-89.1995"/>
    <n v="2"/>
    <n v="0"/>
    <n v="0"/>
    <n v="107"/>
    <s v="_x0000_peopl"/>
  </r>
  <r>
    <x v="7"/>
    <n v="13.6896"/>
    <n v="-89.199299999999994"/>
    <n v="3"/>
    <n v="0"/>
    <n v="0"/>
    <n v="107"/>
    <s v="_x0000_peopl"/>
  </r>
  <r>
    <x v="7"/>
    <n v="13.6896"/>
    <n v="-89.199200000000005"/>
    <n v="2"/>
    <n v="0"/>
    <n v="0"/>
    <n v="107"/>
    <s v="_x0000_peopl"/>
  </r>
  <r>
    <x v="7"/>
    <n v="13.6898"/>
    <n v="-89.199200000000005"/>
    <n v="7"/>
    <n v="0"/>
    <n v="0"/>
    <n v="107"/>
    <s v="_x0000_peopl"/>
  </r>
  <r>
    <x v="7"/>
    <n v="13.6898"/>
    <n v="-89.199700000000007"/>
    <n v="5"/>
    <n v="0"/>
    <n v="0"/>
    <n v="107"/>
    <s v="_x0000_peopl"/>
  </r>
  <r>
    <x v="7"/>
    <n v="13.6899"/>
    <n v="-89.1995"/>
    <n v="5"/>
    <n v="0"/>
    <n v="0"/>
    <n v="107"/>
    <s v="_x0000_peopl"/>
  </r>
  <r>
    <x v="7"/>
    <n v="13.6898"/>
    <n v="-89.1995"/>
    <n v="8"/>
    <n v="0"/>
    <n v="0"/>
    <n v="107"/>
    <s v="_x0000_peopl"/>
  </r>
  <r>
    <x v="7"/>
    <n v="13.6899"/>
    <n v="-89.199399999999997"/>
    <n v="7"/>
    <n v="0"/>
    <n v="0"/>
    <n v="107"/>
    <s v="_x0000_peopl"/>
  </r>
  <r>
    <x v="7"/>
    <n v="13.6898"/>
    <n v="-89.199299999999994"/>
    <n v="3"/>
    <n v="0"/>
    <n v="0"/>
    <n v="107"/>
    <s v="_x0000_peopl"/>
  </r>
  <r>
    <x v="7"/>
    <n v="13.6898"/>
    <n v="-89.199200000000005"/>
    <n v="6"/>
    <n v="0"/>
    <n v="0"/>
    <n v="107"/>
    <s v="_x0000_peopl"/>
  </r>
  <r>
    <x v="7"/>
    <n v="13.6898"/>
    <n v="-89.199100000000001"/>
    <n v="4"/>
    <n v="0"/>
    <n v="0"/>
    <n v="107"/>
    <s v="_x0000_peopl"/>
  </r>
  <r>
    <x v="7"/>
    <n v="13.69"/>
    <n v="-89.198899999999995"/>
    <n v="9"/>
    <n v="0"/>
    <n v="0"/>
    <n v="107"/>
    <s v="_x0000_peopl"/>
  </r>
  <r>
    <x v="7"/>
    <n v="13.69"/>
    <n v="-89.198899999999995"/>
    <n v="5"/>
    <n v="0"/>
    <n v="0"/>
    <n v="107"/>
    <s v="_x0000_peopl"/>
  </r>
  <r>
    <x v="7"/>
    <n v="13.690099999999999"/>
    <n v="-89.199100000000001"/>
    <n v="6"/>
    <n v="0"/>
    <n v="0"/>
    <n v="107"/>
    <s v="_x0000_peopl"/>
  </r>
  <r>
    <x v="7"/>
    <n v="13.690099999999999"/>
    <n v="-89.199100000000001"/>
    <n v="4"/>
    <n v="0"/>
    <n v="0"/>
    <n v="107"/>
    <s v="_x0000_peopl"/>
  </r>
  <r>
    <x v="7"/>
    <n v="13.69"/>
    <n v="-89.199200000000005"/>
    <n v="6"/>
    <n v="0"/>
    <n v="0"/>
    <n v="107"/>
    <s v="_x0000_peopl"/>
  </r>
  <r>
    <x v="7"/>
    <n v="13.690099999999999"/>
    <n v="-89.199200000000005"/>
    <n v="3"/>
    <n v="0"/>
    <n v="0"/>
    <n v="107"/>
    <s v="_x0000_peopl"/>
  </r>
  <r>
    <x v="7"/>
    <n v="13.690099999999999"/>
    <n v="-89.199299999999994"/>
    <n v="3"/>
    <n v="0"/>
    <n v="0"/>
    <n v="107"/>
    <s v="_x0000_peopl"/>
  </r>
  <r>
    <x v="7"/>
    <n v="13.690099999999999"/>
    <n v="-89.199299999999994"/>
    <n v="3"/>
    <n v="0"/>
    <n v="0"/>
    <n v="107"/>
    <s v="_x0000_peopl"/>
  </r>
  <r>
    <x v="7"/>
    <n v="13.690099999999999"/>
    <n v="-89.199399999999997"/>
    <n v="2"/>
    <n v="0"/>
    <n v="0"/>
    <n v="107"/>
    <s v="_x0000_peopl"/>
  </r>
  <r>
    <x v="7"/>
    <n v="13.690099999999999"/>
    <n v="-89.1995"/>
    <n v="6"/>
    <n v="0"/>
    <n v="0"/>
    <n v="107"/>
    <s v="_x0000_peopl"/>
  </r>
  <r>
    <x v="7"/>
    <n v="13.690099999999999"/>
    <n v="-89.1995"/>
    <n v="8"/>
    <n v="0"/>
    <n v="0"/>
    <n v="107"/>
    <s v="_x0000_peopl"/>
  </r>
  <r>
    <x v="7"/>
    <n v="13.690200000000001"/>
    <n v="-89.198899999999995"/>
    <n v="10"/>
    <n v="0"/>
    <n v="0"/>
    <n v="107"/>
    <s v="_x0000_peopl"/>
  </r>
  <r>
    <x v="7"/>
    <n v="13.690200000000001"/>
    <n v="-89.198999999999998"/>
    <n v="8"/>
    <n v="0"/>
    <n v="0"/>
    <n v="107"/>
    <s v="_x0000_peopl"/>
  </r>
  <r>
    <x v="7"/>
    <n v="13.690200000000001"/>
    <n v="-89.199100000000001"/>
    <n v="9"/>
    <n v="0"/>
    <n v="0"/>
    <n v="107"/>
    <s v="_x0000_peopl"/>
  </r>
  <r>
    <x v="7"/>
    <n v="13.690300000000001"/>
    <n v="-89.198899999999995"/>
    <n v="3"/>
    <n v="0"/>
    <n v="0"/>
    <n v="107"/>
    <s v="_x0000_peopl"/>
  </r>
  <r>
    <x v="7"/>
    <n v="13.690200000000001"/>
    <n v="-89.199100000000001"/>
    <n v="5"/>
    <n v="0"/>
    <n v="0"/>
    <n v="107"/>
    <s v="_x0000_peopl"/>
  </r>
  <r>
    <x v="7"/>
    <n v="13.690300000000001"/>
    <n v="-89.199200000000005"/>
    <n v="4"/>
    <n v="0"/>
    <n v="0"/>
    <n v="107"/>
    <s v="_x0000_peopl"/>
  </r>
  <r>
    <x v="7"/>
    <n v="13.690300000000001"/>
    <n v="-89.199299999999994"/>
    <n v="2"/>
    <n v="0"/>
    <n v="0"/>
    <n v="107"/>
    <s v="_x0000_peopl"/>
  </r>
  <r>
    <x v="7"/>
    <n v="13.690300000000001"/>
    <n v="-89.199399999999997"/>
    <n v="4"/>
    <n v="0"/>
    <n v="0"/>
    <n v="107"/>
    <s v="_x0000_peopl"/>
  </r>
  <r>
    <x v="7"/>
    <n v="13.690200000000001"/>
    <n v="-89.1995"/>
    <n v="2"/>
    <n v="0"/>
    <n v="0"/>
    <n v="107"/>
    <s v="_x0000_peopl"/>
  </r>
  <r>
    <x v="7"/>
    <n v="13.690300000000001"/>
    <n v="-89.199600000000004"/>
    <n v="5"/>
    <n v="0"/>
    <n v="0"/>
    <n v="107"/>
    <s v="_x0000_peopl"/>
  </r>
  <r>
    <x v="7"/>
    <n v="13.690200000000001"/>
    <n v="-89.199600000000004"/>
    <n v="6"/>
    <n v="0"/>
    <n v="0"/>
    <n v="107"/>
    <s v="_x0000_peopl"/>
  </r>
  <r>
    <x v="7"/>
    <n v="13.690099999999999"/>
    <n v="-89.199600000000004"/>
    <n v="6"/>
    <n v="0"/>
    <n v="0"/>
    <n v="107"/>
    <s v="_x0000_peopl"/>
  </r>
  <r>
    <x v="7"/>
    <n v="13.690200000000001"/>
    <n v="-89.198700000000002"/>
    <n v="3"/>
    <n v="0"/>
    <n v="0"/>
    <n v="107"/>
    <s v="_x0000_peopl"/>
  </r>
  <r>
    <x v="7"/>
    <n v="13.690200000000001"/>
    <n v="-89.198499999999996"/>
    <n v="2"/>
    <n v="0"/>
    <n v="0"/>
    <n v="107"/>
    <s v="_x0000_peopl"/>
  </r>
  <r>
    <x v="7"/>
    <n v="13.6899"/>
    <n v="-89.198599999999999"/>
    <n v="5"/>
    <n v="0"/>
    <n v="0"/>
    <n v="107"/>
    <s v="_x0000_peopl"/>
  </r>
  <r>
    <x v="7"/>
    <n v="13.6899"/>
    <n v="-89.198499999999996"/>
    <n v="9"/>
    <n v="0"/>
    <n v="0"/>
    <n v="107"/>
    <s v="_x0000_peopl"/>
  </r>
  <r>
    <x v="7"/>
    <n v="13.6899"/>
    <n v="-89.198400000000007"/>
    <n v="7"/>
    <n v="0"/>
    <n v="0"/>
    <n v="107"/>
    <s v="_x0000_peopl"/>
  </r>
  <r>
    <x v="7"/>
    <n v="13.6898"/>
    <n v="-89.198700000000002"/>
    <n v="5"/>
    <n v="0"/>
    <n v="0"/>
    <n v="107"/>
    <s v="_x0000_peopl"/>
  </r>
  <r>
    <x v="7"/>
    <n v="13.6897"/>
    <n v="-89.198599999999999"/>
    <n v="3"/>
    <n v="0"/>
    <n v="0"/>
    <n v="107"/>
    <s v="_x0000_peopl"/>
  </r>
  <r>
    <x v="7"/>
    <n v="13.689500000000001"/>
    <n v="-89.198499999999996"/>
    <n v="9"/>
    <n v="0"/>
    <n v="0"/>
    <n v="107"/>
    <s v="_x0000_peopl"/>
  </r>
  <r>
    <x v="7"/>
    <n v="13.689299999999999"/>
    <n v="-89.198400000000007"/>
    <n v="4"/>
    <n v="0"/>
    <n v="0"/>
    <n v="107"/>
    <s v="_x0000_peopl"/>
  </r>
  <r>
    <x v="7"/>
    <n v="13.6892"/>
    <n v="-89.198499999999996"/>
    <n v="5"/>
    <n v="0"/>
    <n v="0"/>
    <n v="107"/>
    <s v="_x0000_peopl"/>
  </r>
  <r>
    <x v="7"/>
    <n v="13.689"/>
    <n v="-89.197800000000001"/>
    <n v="4"/>
    <n v="0"/>
    <n v="0"/>
    <n v="107"/>
    <s v="_x0000_peopl"/>
  </r>
  <r>
    <x v="7"/>
    <n v="13.6904"/>
    <n v="-89.198499999999996"/>
    <n v="4"/>
    <n v="0"/>
    <n v="0"/>
    <n v="107"/>
    <s v="_x0000_peopl"/>
  </r>
  <r>
    <x v="7"/>
    <n v="13.6904"/>
    <n v="-89.198400000000007"/>
    <n v="3"/>
    <n v="0"/>
    <n v="0"/>
    <n v="107"/>
    <s v="_x0000_peopl"/>
  </r>
  <r>
    <x v="7"/>
    <n v="13.6904"/>
    <n v="-89.198400000000007"/>
    <n v="6"/>
    <n v="0"/>
    <n v="0"/>
    <n v="107"/>
    <s v="_x0000_peopl"/>
  </r>
  <r>
    <x v="7"/>
    <n v="13.6904"/>
    <n v="-89.198300000000003"/>
    <n v="10"/>
    <n v="0"/>
    <n v="0"/>
    <n v="107"/>
    <s v="_x0000_peopl"/>
  </r>
  <r>
    <x v="7"/>
    <n v="13.6904"/>
    <n v="-89.1982"/>
    <n v="3"/>
    <n v="0"/>
    <n v="0"/>
    <n v="107"/>
    <s v="_x0000_peopl"/>
  </r>
  <r>
    <x v="7"/>
    <n v="13.6904"/>
    <n v="-89.1982"/>
    <n v="11"/>
    <n v="0"/>
    <n v="0"/>
    <n v="107"/>
    <s v="_x0000_peopl"/>
  </r>
  <r>
    <x v="7"/>
    <n v="13.6906"/>
    <n v="-89.198700000000002"/>
    <n v="5"/>
    <n v="0"/>
    <n v="0"/>
    <n v="107"/>
    <s v="_x0000_peopl"/>
  </r>
  <r>
    <x v="7"/>
    <n v="13.6905"/>
    <n v="-89.198700000000002"/>
    <n v="6"/>
    <n v="0"/>
    <n v="0"/>
    <n v="107"/>
    <s v="_x0000_peopl"/>
  </r>
  <r>
    <x v="7"/>
    <n v="13.690300000000001"/>
    <n v="-89.198099999999997"/>
    <n v="5"/>
    <n v="0"/>
    <n v="0"/>
    <n v="107"/>
    <s v="_x0000_peopl"/>
  </r>
  <r>
    <x v="7"/>
    <n v="13.6904"/>
    <n v="-89.197999999999993"/>
    <n v="6"/>
    <n v="0"/>
    <n v="0"/>
    <n v="107"/>
    <s v="_x0000_peopl"/>
  </r>
  <r>
    <x v="7"/>
    <n v="13.688599999999999"/>
    <n v="-89.199100000000001"/>
    <n v="5"/>
    <n v="0"/>
    <n v="0"/>
    <n v="107"/>
    <s v="_x0000_peopl"/>
  </r>
  <r>
    <x v="7"/>
    <n v="13.686400000000001"/>
    <n v="-89.200400000000002"/>
    <n v="5"/>
    <n v="0"/>
    <n v="0"/>
    <n v="107"/>
    <s v="_x0000_peopl"/>
  </r>
  <r>
    <x v="7"/>
    <n v="13.686400000000001"/>
    <n v="-89.200299999999999"/>
    <n v="5"/>
    <n v="0"/>
    <n v="0"/>
    <n v="107"/>
    <s v="_x0000_peopl"/>
  </r>
  <r>
    <x v="7"/>
    <n v="13.686199999999999"/>
    <n v="-89.200199999999995"/>
    <n v="5"/>
    <n v="0"/>
    <n v="0"/>
    <n v="107"/>
    <s v="_x0000_peopl"/>
  </r>
  <r>
    <x v="7"/>
    <n v="13.686199999999999"/>
    <n v="-89.200199999999995"/>
    <n v="4"/>
    <n v="0"/>
    <n v="0"/>
    <n v="107"/>
    <s v="_x0000_peopl"/>
  </r>
  <r>
    <x v="7"/>
    <n v="13.686299999999999"/>
    <n v="-89.200100000000006"/>
    <n v="6"/>
    <n v="0"/>
    <n v="0"/>
    <n v="107"/>
    <s v="_x0000_peopl"/>
  </r>
  <r>
    <x v="7"/>
    <n v="13.686199999999999"/>
    <n v="-89.200100000000006"/>
    <n v="8"/>
    <n v="0"/>
    <n v="0"/>
    <n v="107"/>
    <s v="_x0000_peopl"/>
  </r>
  <r>
    <x v="7"/>
    <n v="13.686"/>
    <n v="-89.200100000000006"/>
    <n v="7"/>
    <n v="0"/>
    <n v="0"/>
    <n v="107"/>
    <s v="_x0000_peopl"/>
  </r>
  <r>
    <x v="7"/>
    <n v="13.6861"/>
    <n v="-89.1999"/>
    <n v="8"/>
    <n v="0"/>
    <n v="0"/>
    <n v="107"/>
    <s v="_x0000_peopl"/>
  </r>
  <r>
    <x v="7"/>
    <n v="13.686"/>
    <n v="-89.1999"/>
    <n v="10"/>
    <n v="0"/>
    <n v="0"/>
    <n v="107"/>
    <s v="_x0000_peopl"/>
  </r>
  <r>
    <x v="7"/>
    <n v="13.6861"/>
    <n v="-89.199399999999997"/>
    <n v="5"/>
    <n v="0"/>
    <n v="0"/>
    <n v="107"/>
    <s v="_x0000_peopl"/>
  </r>
  <r>
    <x v="7"/>
    <n v="13.6861"/>
    <n v="-89.199299999999994"/>
    <n v="3"/>
    <n v="0"/>
    <n v="0"/>
    <n v="107"/>
    <s v="_x0000_peopl"/>
  </r>
  <r>
    <x v="7"/>
    <n v="13.6861"/>
    <n v="-89.199299999999994"/>
    <n v="5"/>
    <n v="0"/>
    <n v="0"/>
    <n v="107"/>
    <s v="_x0000_peopl"/>
  </r>
  <r>
    <x v="7"/>
    <n v="13.686400000000001"/>
    <n v="-89.199100000000001"/>
    <n v="3"/>
    <n v="0"/>
    <n v="0"/>
    <n v="107"/>
    <s v="_x0000_peopl"/>
  </r>
  <r>
    <x v="7"/>
    <n v="13.686299999999999"/>
    <n v="-89.199100000000001"/>
    <n v="2"/>
    <n v="0"/>
    <n v="0"/>
    <n v="107"/>
    <s v="_x0000_peopl"/>
  </r>
  <r>
    <x v="7"/>
    <n v="13.6861"/>
    <n v="-89.199200000000005"/>
    <n v="4"/>
    <n v="0"/>
    <n v="0"/>
    <n v="107"/>
    <s v="_x0000_peopl"/>
  </r>
  <r>
    <x v="7"/>
    <n v="13.6861"/>
    <n v="-89.199200000000005"/>
    <n v="8"/>
    <n v="0"/>
    <n v="0"/>
    <n v="107"/>
    <s v="_x0000_peopl"/>
  </r>
  <r>
    <x v="7"/>
    <n v="13.686"/>
    <n v="-89.199399999999997"/>
    <n v="7"/>
    <n v="0"/>
    <n v="0"/>
    <n v="107"/>
    <s v="_x0000_peopl"/>
  </r>
  <r>
    <x v="7"/>
    <n v="13.686199999999999"/>
    <n v="-89.200800000000001"/>
    <n v="3"/>
    <n v="0"/>
    <n v="0"/>
    <n v="107"/>
    <s v="_x0000_peopl"/>
  </r>
  <r>
    <x v="7"/>
    <n v="13.686199999999999"/>
    <n v="-89.200699999999998"/>
    <n v="8"/>
    <n v="0"/>
    <n v="0"/>
    <n v="107"/>
    <s v="_x0000_peopl"/>
  </r>
  <r>
    <x v="7"/>
    <n v="13.686199999999999"/>
    <n v="-89.200599999999994"/>
    <n v="5"/>
    <n v="0"/>
    <n v="0"/>
    <n v="107"/>
    <s v="_x0000_peopl"/>
  </r>
  <r>
    <x v="7"/>
    <n v="13.686199999999999"/>
    <n v="-89.200599999999994"/>
    <n v="3"/>
    <n v="0"/>
    <n v="0"/>
    <n v="107"/>
    <s v="_x0000_peopl"/>
  </r>
  <r>
    <x v="7"/>
    <n v="13.686199999999999"/>
    <n v="-89.200599999999994"/>
    <n v="5"/>
    <n v="0"/>
    <n v="0"/>
    <n v="107"/>
    <s v="_x0000_peopl"/>
  </r>
  <r>
    <x v="7"/>
    <n v="13.686199999999999"/>
    <n v="-89.200599999999994"/>
    <n v="2"/>
    <n v="0"/>
    <n v="0"/>
    <n v="107"/>
    <s v="_x0000_peopl"/>
  </r>
  <r>
    <x v="7"/>
    <n v="13.686199999999999"/>
    <n v="-89.200599999999994"/>
    <n v="4"/>
    <n v="0"/>
    <n v="0"/>
    <n v="107"/>
    <s v="_x0000_peopl"/>
  </r>
  <r>
    <x v="7"/>
    <n v="13.686199999999999"/>
    <n v="-89.200500000000005"/>
    <n v="6"/>
    <n v="0"/>
    <n v="0"/>
    <n v="107"/>
    <s v="_x0000_peopl"/>
  </r>
  <r>
    <x v="7"/>
    <n v="13.686199999999999"/>
    <n v="-89.200500000000005"/>
    <n v="3"/>
    <n v="0"/>
    <n v="0"/>
    <n v="107"/>
    <s v="_x0000_peopl"/>
  </r>
  <r>
    <x v="7"/>
    <n v="13.686299999999999"/>
    <n v="-89.200400000000002"/>
    <n v="5"/>
    <n v="0"/>
    <n v="0"/>
    <n v="107"/>
    <s v="_x0000_peopl"/>
  </r>
  <r>
    <x v="7"/>
    <n v="13.686299999999999"/>
    <n v="-89.200400000000002"/>
    <n v="5"/>
    <n v="0"/>
    <n v="0"/>
    <n v="107"/>
    <s v="_x0000_peopl"/>
  </r>
  <r>
    <x v="7"/>
    <n v="13.686299999999999"/>
    <n v="-89.200400000000002"/>
    <n v="4"/>
    <n v="0"/>
    <n v="0"/>
    <n v="107"/>
    <s v="_x0000_peopl"/>
  </r>
  <r>
    <x v="7"/>
    <n v="13.686"/>
    <n v="-89.200599999999994"/>
    <n v="3"/>
    <n v="0"/>
    <n v="0"/>
    <n v="107"/>
    <s v="_x0000_peopl"/>
  </r>
  <r>
    <x v="7"/>
    <n v="13.686"/>
    <n v="-89.200599999999994"/>
    <n v="3"/>
    <n v="0"/>
    <n v="0"/>
    <n v="107"/>
    <s v="_x0000_peopl"/>
  </r>
  <r>
    <x v="7"/>
    <n v="13.6859"/>
    <n v="-89.200800000000001"/>
    <n v="6"/>
    <n v="0"/>
    <n v="0"/>
    <n v="107"/>
    <s v="_x0000_peopl"/>
  </r>
  <r>
    <x v="7"/>
    <n v="13.6859"/>
    <n v="-89.200800000000001"/>
    <n v="5"/>
    <n v="0"/>
    <n v="0"/>
    <n v="107"/>
    <s v="_x0000_peopl"/>
  </r>
  <r>
    <x v="7"/>
    <n v="13.6859"/>
    <n v="-89.200800000000001"/>
    <n v="3"/>
    <n v="0"/>
    <n v="0"/>
    <n v="107"/>
    <s v="_x0000_peopl"/>
  </r>
  <r>
    <x v="7"/>
    <n v="13.6859"/>
    <n v="-89.200800000000001"/>
    <n v="3"/>
    <n v="0"/>
    <n v="0"/>
    <n v="107"/>
    <s v="_x0000_peopl"/>
  </r>
  <r>
    <x v="7"/>
    <n v="13.686"/>
    <n v="-89.200800000000001"/>
    <n v="8"/>
    <n v="0"/>
    <n v="0"/>
    <n v="107"/>
    <s v="_x0000_peopl"/>
  </r>
  <r>
    <x v="7"/>
    <n v="13.686"/>
    <n v="-89.200800000000001"/>
    <n v="9"/>
    <n v="0"/>
    <n v="0"/>
    <n v="107"/>
    <s v="_x0000_peopl"/>
  </r>
  <r>
    <x v="7"/>
    <n v="13.686"/>
    <n v="-89.200800000000001"/>
    <n v="8"/>
    <n v="0"/>
    <n v="0"/>
    <n v="107"/>
    <s v="_x0000_peopl"/>
  </r>
  <r>
    <x v="7"/>
    <n v="13.686"/>
    <n v="-89.200800000000001"/>
    <n v="4"/>
    <n v="0"/>
    <n v="0"/>
    <n v="107"/>
    <s v="_x0000_peopl"/>
  </r>
  <r>
    <x v="7"/>
    <n v="13.686"/>
    <n v="-89.200599999999994"/>
    <n v="3"/>
    <n v="0"/>
    <n v="0"/>
    <n v="107"/>
    <s v="_x0000_peopl"/>
  </r>
  <r>
    <x v="7"/>
    <n v="13.686"/>
    <n v="-89.200599999999994"/>
    <n v="5"/>
    <n v="0"/>
    <n v="0"/>
    <n v="107"/>
    <s v="_x0000_peopl"/>
  </r>
  <r>
    <x v="7"/>
    <n v="13.686"/>
    <n v="-89.200599999999994"/>
    <n v="7"/>
    <n v="0"/>
    <n v="0"/>
    <n v="107"/>
    <s v="_x0000_peopl"/>
  </r>
  <r>
    <x v="7"/>
    <n v="13.686"/>
    <n v="-89.200599999999994"/>
    <n v="2"/>
    <n v="0"/>
    <n v="0"/>
    <n v="107"/>
    <s v="_x0000_peopl"/>
  </r>
  <r>
    <x v="7"/>
    <n v="13.686"/>
    <n v="-89.200400000000002"/>
    <n v="5"/>
    <n v="0"/>
    <n v="0"/>
    <n v="107"/>
    <s v="_x0000_peopl"/>
  </r>
  <r>
    <x v="7"/>
    <n v="13.686"/>
    <n v="-89.200400000000002"/>
    <n v="4"/>
    <n v="0"/>
    <n v="0"/>
    <n v="107"/>
    <s v="_x0000_peopl"/>
  </r>
  <r>
    <x v="7"/>
    <n v="13.686"/>
    <n v="-89.200400000000002"/>
    <n v="5"/>
    <n v="0"/>
    <n v="0"/>
    <n v="107"/>
    <s v="_x0000_peopl"/>
  </r>
  <r>
    <x v="7"/>
    <n v="13.686"/>
    <n v="-89.200400000000002"/>
    <n v="4"/>
    <n v="0"/>
    <n v="0"/>
    <n v="107"/>
    <s v="_x0000_peopl"/>
  </r>
  <r>
    <x v="7"/>
    <n v="13.6859"/>
    <n v="-89.200299999999999"/>
    <n v="3"/>
    <n v="0"/>
    <n v="0"/>
    <n v="107"/>
    <s v="_x0000_peopl"/>
  </r>
  <r>
    <x v="7"/>
    <n v="13.6859"/>
    <n v="-89.200299999999999"/>
    <n v="3"/>
    <n v="0"/>
    <n v="0"/>
    <n v="107"/>
    <s v="_x0000_peopl"/>
  </r>
  <r>
    <x v="7"/>
    <n v="13.6859"/>
    <n v="-89.200299999999999"/>
    <n v="6"/>
    <n v="0"/>
    <n v="0"/>
    <n v="107"/>
    <s v="_x0000_peopl"/>
  </r>
  <r>
    <x v="7"/>
    <n v="13.6859"/>
    <n v="-89.200299999999999"/>
    <n v="2"/>
    <n v="0"/>
    <n v="0"/>
    <n v="107"/>
    <s v="_x0000_peopl"/>
  </r>
  <r>
    <x v="7"/>
    <n v="13.6859"/>
    <n v="-89.200299999999999"/>
    <n v="2"/>
    <n v="0"/>
    <n v="0"/>
    <n v="107"/>
    <s v="_x0000_peopl"/>
  </r>
  <r>
    <x v="7"/>
    <n v="13.686"/>
    <n v="-89.200199999999995"/>
    <n v="2"/>
    <n v="0"/>
    <n v="0"/>
    <n v="107"/>
    <s v="_x0000_peopl"/>
  </r>
  <r>
    <x v="7"/>
    <n v="13.686"/>
    <n v="-89.200199999999995"/>
    <n v="7"/>
    <n v="0"/>
    <n v="0"/>
    <n v="107"/>
    <s v="_x0000_peopl"/>
  </r>
  <r>
    <x v="7"/>
    <n v="13.686"/>
    <n v="-89.200199999999995"/>
    <n v="6"/>
    <n v="0"/>
    <n v="0"/>
    <n v="107"/>
    <s v="_x0000_peopl"/>
  </r>
  <r>
    <x v="7"/>
    <n v="13.686"/>
    <n v="-89.200199999999995"/>
    <n v="2"/>
    <n v="0"/>
    <n v="0"/>
    <n v="107"/>
    <s v="_x0000_peopl"/>
  </r>
  <r>
    <x v="7"/>
    <n v="13.686"/>
    <n v="-89.200199999999995"/>
    <n v="8"/>
    <n v="0"/>
    <n v="0"/>
    <n v="107"/>
    <s v="_x0000_peopl"/>
  </r>
  <r>
    <x v="7"/>
    <n v="13.686"/>
    <n v="-89.200199999999995"/>
    <n v="5"/>
    <n v="0"/>
    <n v="0"/>
    <n v="107"/>
    <s v="_x0000_peopl"/>
  </r>
  <r>
    <x v="7"/>
    <n v="13.686"/>
    <n v="-89.2"/>
    <n v="6"/>
    <n v="0"/>
    <n v="0"/>
    <n v="107"/>
    <s v="_x0000_peopl"/>
  </r>
  <r>
    <x v="7"/>
    <n v="13.686"/>
    <n v="-89.2"/>
    <n v="6"/>
    <n v="0"/>
    <n v="0"/>
    <n v="107"/>
    <s v="_x0000_peopl"/>
  </r>
  <r>
    <x v="7"/>
    <n v="13.686500000000001"/>
    <n v="-89.200199999999995"/>
    <n v="2"/>
    <n v="0"/>
    <n v="0"/>
    <n v="107"/>
    <s v="_x0000_peopl"/>
  </r>
  <r>
    <x v="7"/>
    <n v="13.686500000000001"/>
    <n v="-89.200199999999995"/>
    <n v="11"/>
    <n v="0"/>
    <n v="0"/>
    <n v="107"/>
    <s v="_x0000_peopl"/>
  </r>
  <r>
    <x v="7"/>
    <n v="13.686500000000001"/>
    <n v="-89.200199999999995"/>
    <n v="5"/>
    <n v="0"/>
    <n v="0"/>
    <n v="107"/>
    <s v="_x0000_peopl"/>
  </r>
  <r>
    <x v="7"/>
    <n v="13.686500000000001"/>
    <n v="-89.200199999999995"/>
    <n v="0"/>
    <n v="0"/>
    <n v="0"/>
    <n v="107"/>
    <s v="_x0000_peopl"/>
  </r>
  <r>
    <x v="7"/>
    <n v="13.686500000000001"/>
    <n v="-89.200199999999995"/>
    <n v="1"/>
    <n v="0"/>
    <n v="0"/>
    <n v="107"/>
    <s v="_x0000_peopl"/>
  </r>
  <r>
    <x v="7"/>
    <n v="13.686500000000001"/>
    <n v="-89.200100000000006"/>
    <n v="5"/>
    <n v="0"/>
    <n v="0"/>
    <n v="107"/>
    <s v="_x0000_peopl"/>
  </r>
  <r>
    <x v="7"/>
    <n v="13.686500000000001"/>
    <n v="-89.200100000000006"/>
    <n v="10"/>
    <n v="0"/>
    <n v="0"/>
    <n v="107"/>
    <s v="_x0000_peopl"/>
  </r>
  <r>
    <x v="7"/>
    <n v="13.686500000000001"/>
    <n v="-89.200100000000006"/>
    <n v="3"/>
    <n v="0"/>
    <n v="0"/>
    <n v="107"/>
    <s v="_x0000_peopl"/>
  </r>
  <r>
    <x v="7"/>
    <n v="13.686500000000001"/>
    <n v="-89.2"/>
    <n v="7"/>
    <n v="0"/>
    <n v="0"/>
    <n v="107"/>
    <s v="_x0000_peopl"/>
  </r>
  <r>
    <x v="7"/>
    <n v="13.686500000000001"/>
    <n v="-89.2"/>
    <n v="5"/>
    <n v="0"/>
    <n v="0"/>
    <n v="107"/>
    <s v="_x0000_peopl"/>
  </r>
  <r>
    <x v="7"/>
    <n v="13.686500000000001"/>
    <n v="-89.2"/>
    <n v="7"/>
    <n v="0"/>
    <n v="0"/>
    <n v="107"/>
    <s v="_x0000_peopl"/>
  </r>
  <r>
    <x v="7"/>
    <n v="13.6866"/>
    <n v="-89.1999"/>
    <n v="0"/>
    <n v="0"/>
    <n v="0"/>
    <n v="107"/>
    <s v="_x0000_peopl"/>
  </r>
  <r>
    <x v="7"/>
    <n v="13.6866"/>
    <n v="-89.1999"/>
    <n v="8"/>
    <n v="0"/>
    <n v="0"/>
    <n v="107"/>
    <s v="_x0000_peopl"/>
  </r>
  <r>
    <x v="7"/>
    <n v="13.6866"/>
    <n v="-89.1999"/>
    <n v="5"/>
    <n v="0"/>
    <n v="0"/>
    <n v="107"/>
    <s v="_x0000_peopl"/>
  </r>
  <r>
    <x v="7"/>
    <n v="13.6866"/>
    <n v="-89.199799999999996"/>
    <n v="6"/>
    <n v="0"/>
    <n v="0"/>
    <n v="107"/>
    <s v="_x0000_peopl"/>
  </r>
  <r>
    <x v="7"/>
    <n v="13.6866"/>
    <n v="-89.199799999999996"/>
    <n v="4"/>
    <n v="0"/>
    <n v="0"/>
    <n v="107"/>
    <s v="_x0000_peopl"/>
  </r>
  <r>
    <x v="7"/>
    <n v="13.6866"/>
    <n v="-89.199799999999996"/>
    <n v="3"/>
    <n v="0"/>
    <n v="0"/>
    <n v="107"/>
    <s v="_x0000_peopl"/>
  </r>
  <r>
    <x v="7"/>
    <n v="13.6867"/>
    <n v="-89.2"/>
    <n v="4"/>
    <n v="0"/>
    <n v="0"/>
    <n v="107"/>
    <s v="_x0000_peopl"/>
  </r>
  <r>
    <x v="7"/>
    <n v="13.6867"/>
    <n v="-89.1999"/>
    <n v="6"/>
    <n v="0"/>
    <n v="0"/>
    <n v="107"/>
    <s v="_x0000_peopl"/>
  </r>
  <r>
    <x v="7"/>
    <n v="13.6867"/>
    <n v="-89.1999"/>
    <n v="6"/>
    <n v="0"/>
    <n v="0"/>
    <n v="107"/>
    <s v="_x0000_peopl"/>
  </r>
  <r>
    <x v="7"/>
    <n v="13.6867"/>
    <n v="-89.1999"/>
    <n v="4"/>
    <n v="0"/>
    <n v="0"/>
    <n v="107"/>
    <s v="_x0000_peopl"/>
  </r>
  <r>
    <x v="7"/>
    <n v="13.6868"/>
    <n v="-89.1999"/>
    <n v="6"/>
    <n v="0"/>
    <n v="0"/>
    <n v="107"/>
    <s v="_x0000_peopl"/>
  </r>
  <r>
    <x v="7"/>
    <n v="13.6868"/>
    <n v="-89.1999"/>
    <n v="5"/>
    <n v="0"/>
    <n v="0"/>
    <n v="107"/>
    <s v="_x0000_peopl"/>
  </r>
  <r>
    <x v="7"/>
    <n v="13.6868"/>
    <n v="-89.1999"/>
    <n v="5"/>
    <n v="0"/>
    <n v="0"/>
    <n v="107"/>
    <s v="_x0000_peopl"/>
  </r>
  <r>
    <x v="7"/>
    <n v="13.6868"/>
    <n v="-89.1999"/>
    <n v="12"/>
    <n v="0"/>
    <n v="0"/>
    <n v="107"/>
    <s v="_x0000_peopl"/>
  </r>
  <r>
    <x v="7"/>
    <n v="13.6868"/>
    <n v="-89.199799999999996"/>
    <n v="4"/>
    <n v="0"/>
    <n v="0"/>
    <n v="107"/>
    <s v="_x0000_peopl"/>
  </r>
  <r>
    <x v="7"/>
    <n v="13.6868"/>
    <n v="-89.199799999999996"/>
    <n v="1"/>
    <n v="0"/>
    <n v="0"/>
    <n v="107"/>
    <s v="_x0000_peopl"/>
  </r>
  <r>
    <x v="7"/>
    <n v="13.6868"/>
    <n v="-89.199799999999996"/>
    <n v="5"/>
    <n v="0"/>
    <n v="0"/>
    <n v="107"/>
    <s v="_x0000_peopl"/>
  </r>
  <r>
    <x v="7"/>
    <n v="13.6867"/>
    <n v="-89.1995"/>
    <n v="6"/>
    <n v="0"/>
    <n v="0"/>
    <n v="107"/>
    <s v="_x0000_peopl"/>
  </r>
  <r>
    <x v="7"/>
    <n v="13.6867"/>
    <n v="-89.1995"/>
    <n v="3"/>
    <n v="0"/>
    <n v="0"/>
    <n v="107"/>
    <s v="_x0000_peopl"/>
  </r>
  <r>
    <x v="7"/>
    <n v="13.6867"/>
    <n v="-89.1995"/>
    <n v="5"/>
    <n v="0"/>
    <n v="0"/>
    <n v="107"/>
    <s v="_x0000_peopl"/>
  </r>
  <r>
    <x v="7"/>
    <n v="13.6867"/>
    <n v="-89.1995"/>
    <n v="3"/>
    <n v="0"/>
    <n v="0"/>
    <n v="107"/>
    <s v="_x0000_peopl"/>
  </r>
  <r>
    <x v="7"/>
    <n v="13.6867"/>
    <n v="-89.1995"/>
    <n v="6"/>
    <n v="0"/>
    <n v="0"/>
    <n v="107"/>
    <s v="_x0000_peopl"/>
  </r>
  <r>
    <x v="7"/>
    <n v="13.6867"/>
    <n v="-89.1995"/>
    <n v="3"/>
    <n v="0"/>
    <n v="0"/>
    <n v="107"/>
    <s v="_x0000_peopl"/>
  </r>
  <r>
    <x v="7"/>
    <n v="13.6868"/>
    <n v="-89.199399999999997"/>
    <n v="3"/>
    <n v="0"/>
    <n v="0"/>
    <n v="107"/>
    <s v="_x0000_peopl"/>
  </r>
  <r>
    <x v="7"/>
    <n v="13.6868"/>
    <n v="-89.199399999999997"/>
    <n v="5"/>
    <n v="0"/>
    <n v="0"/>
    <n v="107"/>
    <s v="_x0000_peopl"/>
  </r>
  <r>
    <x v="7"/>
    <n v="13.6868"/>
    <n v="-89.199299999999994"/>
    <n v="4"/>
    <n v="0"/>
    <n v="0"/>
    <n v="107"/>
    <s v="_x0000_peopl"/>
  </r>
  <r>
    <x v="7"/>
    <n v="13.6868"/>
    <n v="-89.199299999999994"/>
    <n v="7"/>
    <n v="0"/>
    <n v="0"/>
    <n v="107"/>
    <s v="_x0000_peopl"/>
  </r>
  <r>
    <x v="7"/>
    <n v="13.686500000000001"/>
    <n v="-89.199399999999997"/>
    <n v="6"/>
    <n v="0"/>
    <n v="0"/>
    <n v="107"/>
    <s v="_x0000_peopl"/>
  </r>
  <r>
    <x v="7"/>
    <n v="13.686500000000001"/>
    <n v="-89.199399999999997"/>
    <n v="2"/>
    <n v="0"/>
    <n v="0"/>
    <n v="107"/>
    <s v="_x0000_peopl"/>
  </r>
  <r>
    <x v="7"/>
    <n v="13.6866"/>
    <n v="-89.199299999999994"/>
    <n v="5"/>
    <n v="0"/>
    <n v="0"/>
    <n v="107"/>
    <s v="_x0000_peopl"/>
  </r>
  <r>
    <x v="7"/>
    <n v="13.6866"/>
    <n v="-89.199299999999994"/>
    <n v="4"/>
    <n v="0"/>
    <n v="0"/>
    <n v="107"/>
    <s v="_x0000_peopl"/>
  </r>
  <r>
    <x v="7"/>
    <n v="13.6866"/>
    <n v="-89.199299999999994"/>
    <n v="2"/>
    <n v="0"/>
    <n v="0"/>
    <n v="107"/>
    <s v="_x0000_peopl"/>
  </r>
  <r>
    <x v="7"/>
    <n v="13.6866"/>
    <n v="-89.199200000000005"/>
    <n v="6"/>
    <n v="0"/>
    <n v="0"/>
    <n v="107"/>
    <s v="_x0000_peopl"/>
  </r>
  <r>
    <x v="7"/>
    <n v="13.6866"/>
    <n v="-89.199200000000005"/>
    <n v="4"/>
    <n v="0"/>
    <n v="0"/>
    <n v="107"/>
    <s v="_x0000_peopl"/>
  </r>
  <r>
    <x v="7"/>
    <n v="13.6866"/>
    <n v="-89.199200000000005"/>
    <n v="9"/>
    <n v="0"/>
    <n v="0"/>
    <n v="107"/>
    <s v="_x0000_peopl"/>
  </r>
  <r>
    <x v="7"/>
    <n v="13.6866"/>
    <n v="-89.199200000000005"/>
    <n v="7"/>
    <n v="0"/>
    <n v="0"/>
    <n v="107"/>
    <s v="_x0000_peopl"/>
  </r>
  <r>
    <x v="7"/>
    <n v="13.6866"/>
    <n v="-89.199200000000005"/>
    <n v="4"/>
    <n v="0"/>
    <n v="0"/>
    <n v="107"/>
    <s v="_x0000_peopl"/>
  </r>
  <r>
    <x v="7"/>
    <n v="13.686500000000001"/>
    <n v="-89.198800000000006"/>
    <n v="3"/>
    <n v="0"/>
    <n v="0"/>
    <n v="107"/>
    <s v="_x0000_peopl"/>
  </r>
  <r>
    <x v="7"/>
    <n v="13.686500000000001"/>
    <n v="-89.198800000000006"/>
    <n v="1"/>
    <n v="0"/>
    <n v="0"/>
    <n v="107"/>
    <s v="_x0000_peopl"/>
  </r>
  <r>
    <x v="7"/>
    <n v="13.686500000000001"/>
    <n v="-89.198800000000006"/>
    <n v="10"/>
    <n v="0"/>
    <n v="0"/>
    <n v="107"/>
    <s v="_x0000_peopl"/>
  </r>
  <r>
    <x v="7"/>
    <n v="13.6866"/>
    <n v="-89.198599999999999"/>
    <n v="3"/>
    <n v="0"/>
    <n v="0"/>
    <n v="107"/>
    <s v="_x0000_peopl"/>
  </r>
  <r>
    <x v="7"/>
    <n v="13.6866"/>
    <n v="-89.198599999999999"/>
    <n v="3"/>
    <n v="0"/>
    <n v="0"/>
    <n v="107"/>
    <s v="_x0000_peopl"/>
  </r>
  <r>
    <x v="7"/>
    <n v="13.6866"/>
    <n v="-89.198599999999999"/>
    <n v="3"/>
    <n v="0"/>
    <n v="0"/>
    <n v="107"/>
    <s v="_x0000_peopl"/>
  </r>
  <r>
    <x v="7"/>
    <n v="13.6867"/>
    <n v="-89.198499999999996"/>
    <n v="4"/>
    <n v="0"/>
    <n v="0"/>
    <n v="107"/>
    <s v="_x0000_peopl"/>
  </r>
  <r>
    <x v="7"/>
    <n v="13.6867"/>
    <n v="-89.198499999999996"/>
    <n v="10"/>
    <n v="0"/>
    <n v="0"/>
    <n v="107"/>
    <s v="_x0000_peopl"/>
  </r>
  <r>
    <x v="7"/>
    <n v="13.6867"/>
    <n v="-89.198499999999996"/>
    <n v="9"/>
    <n v="0"/>
    <n v="0"/>
    <n v="107"/>
    <s v="_x0000_peopl"/>
  </r>
  <r>
    <x v="7"/>
    <n v="13.686400000000001"/>
    <n v="-89.198999999999998"/>
    <n v="2"/>
    <n v="0"/>
    <n v="0"/>
    <n v="107"/>
    <s v="_x0000_peopl"/>
  </r>
  <r>
    <x v="7"/>
    <n v="13.686400000000001"/>
    <n v="-89.198999999999998"/>
    <n v="5"/>
    <n v="0"/>
    <n v="0"/>
    <n v="107"/>
    <s v="_x0000_peopl"/>
  </r>
  <r>
    <x v="7"/>
    <n v="13.686400000000001"/>
    <n v="-89.198999999999998"/>
    <n v="9"/>
    <n v="0"/>
    <n v="0"/>
    <n v="107"/>
    <s v="_x0000_peopl"/>
  </r>
  <r>
    <x v="7"/>
    <n v="13.686400000000001"/>
    <n v="-89.198999999999998"/>
    <n v="7"/>
    <n v="0"/>
    <n v="0"/>
    <n v="107"/>
    <s v="_x0000_peopl"/>
  </r>
  <r>
    <x v="7"/>
    <n v="13.686400000000001"/>
    <n v="-89.198999999999998"/>
    <n v="6"/>
    <n v="0"/>
    <n v="0"/>
    <n v="107"/>
    <s v="_x0000_peopl"/>
  </r>
  <r>
    <x v="7"/>
    <n v="13.686400000000001"/>
    <n v="-89.198999999999998"/>
    <n v="5"/>
    <n v="0"/>
    <n v="0"/>
    <n v="107"/>
    <s v="_x0000_peopl"/>
  </r>
  <r>
    <x v="7"/>
    <n v="13.686400000000001"/>
    <n v="-89.198999999999998"/>
    <n v="7"/>
    <n v="0"/>
    <n v="0"/>
    <n v="107"/>
    <s v="_x0000_peopl"/>
  </r>
  <r>
    <x v="7"/>
    <n v="13.686400000000001"/>
    <n v="-89.198999999999998"/>
    <n v="2"/>
    <n v="0"/>
    <n v="0"/>
    <n v="107"/>
    <s v="_x0000_peopl"/>
  </r>
  <r>
    <x v="7"/>
    <n v="13.686400000000001"/>
    <n v="-89.198899999999995"/>
    <n v="5"/>
    <n v="0"/>
    <n v="0"/>
    <n v="107"/>
    <s v="_x0000_peopl"/>
  </r>
  <r>
    <x v="7"/>
    <n v="13.686400000000001"/>
    <n v="-89.198899999999995"/>
    <n v="5"/>
    <n v="0"/>
    <n v="0"/>
    <n v="107"/>
    <s v="_x0000_peopl"/>
  </r>
  <r>
    <x v="7"/>
    <n v="13.686400000000001"/>
    <n v="-89.198899999999995"/>
    <n v="2"/>
    <n v="0"/>
    <n v="0"/>
    <n v="107"/>
    <s v="_x0000_peopl"/>
  </r>
  <r>
    <x v="7"/>
    <n v="13.686400000000001"/>
    <n v="-89.198899999999995"/>
    <n v="3"/>
    <n v="0"/>
    <n v="0"/>
    <n v="107"/>
    <s v="_x0000_peopl"/>
  </r>
  <r>
    <x v="7"/>
    <n v="13.686500000000001"/>
    <n v="-89.198899999999995"/>
    <n v="5"/>
    <n v="0"/>
    <n v="0"/>
    <n v="107"/>
    <s v="_x0000_peopl"/>
  </r>
  <r>
    <x v="7"/>
    <n v="13.686500000000001"/>
    <n v="-89.198899999999995"/>
    <n v="3"/>
    <n v="0"/>
    <n v="0"/>
    <n v="107"/>
    <s v="_x0000_peopl"/>
  </r>
  <r>
    <x v="7"/>
    <n v="13.686500000000001"/>
    <n v="-89.198899999999995"/>
    <n v="4"/>
    <n v="0"/>
    <n v="0"/>
    <n v="107"/>
    <s v="_x0000_peopl"/>
  </r>
  <r>
    <x v="7"/>
    <n v="13.686500000000001"/>
    <n v="-89.198899999999995"/>
    <n v="5"/>
    <n v="0"/>
    <n v="0"/>
    <n v="107"/>
    <s v="_x0000_peopl"/>
  </r>
  <r>
    <x v="7"/>
    <n v="13.686500000000001"/>
    <n v="-89.198899999999995"/>
    <n v="3"/>
    <n v="0"/>
    <n v="0"/>
    <n v="107"/>
    <s v="_x0000_peopl"/>
  </r>
  <r>
    <x v="7"/>
    <n v="13.686500000000001"/>
    <n v="-89.198899999999995"/>
    <n v="3"/>
    <n v="0"/>
    <n v="0"/>
    <n v="107"/>
    <s v="_x0000_peopl"/>
  </r>
  <r>
    <x v="7"/>
    <n v="13.686500000000001"/>
    <n v="-89.198800000000006"/>
    <n v="4"/>
    <n v="0"/>
    <n v="0"/>
    <n v="107"/>
    <s v="_x0000_peopl"/>
  </r>
  <r>
    <x v="7"/>
    <n v="13.686500000000001"/>
    <n v="-89.198800000000006"/>
    <n v="6"/>
    <n v="0"/>
    <n v="0"/>
    <n v="107"/>
    <s v="_x0000_peopl"/>
  </r>
  <r>
    <x v="7"/>
    <n v="13.686500000000001"/>
    <n v="-89.198800000000006"/>
    <n v="4"/>
    <n v="0"/>
    <n v="0"/>
    <n v="107"/>
    <s v="_x0000_peopl"/>
  </r>
  <r>
    <x v="7"/>
    <n v="13.6868"/>
    <n v="-89.198899999999995"/>
    <n v="9"/>
    <n v="0"/>
    <n v="0"/>
    <n v="107"/>
    <s v="_x0000_peopl"/>
  </r>
  <r>
    <x v="7"/>
    <n v="13.6868"/>
    <n v="-89.198899999999995"/>
    <n v="3"/>
    <n v="0"/>
    <n v="0"/>
    <n v="107"/>
    <s v="_x0000_peopl"/>
  </r>
  <r>
    <x v="7"/>
    <n v="13.6868"/>
    <n v="-89.198899999999995"/>
    <n v="4"/>
    <n v="0"/>
    <n v="0"/>
    <n v="107"/>
    <s v="_x0000_peopl"/>
  </r>
  <r>
    <x v="7"/>
    <n v="13.6868"/>
    <n v="-89.198899999999995"/>
    <n v="5"/>
    <n v="0"/>
    <n v="0"/>
    <n v="107"/>
    <s v="_x0000_peopl"/>
  </r>
  <r>
    <x v="7"/>
    <n v="13.6868"/>
    <n v="-89.198899999999995"/>
    <n v="5"/>
    <n v="0"/>
    <n v="0"/>
    <n v="107"/>
    <s v="_x0000_peopl"/>
  </r>
  <r>
    <x v="7"/>
    <n v="13.6868"/>
    <n v="-89.198899999999995"/>
    <n v="3"/>
    <n v="0"/>
    <n v="0"/>
    <n v="107"/>
    <s v="_x0000_peopl"/>
  </r>
  <r>
    <x v="7"/>
    <n v="13.6868"/>
    <n v="-89.198899999999995"/>
    <n v="3"/>
    <n v="0"/>
    <n v="0"/>
    <n v="107"/>
    <s v="_x0000_peopl"/>
  </r>
  <r>
    <x v="7"/>
    <n v="13.6868"/>
    <n v="-89.198899999999995"/>
    <n v="6"/>
    <n v="0"/>
    <n v="0"/>
    <n v="107"/>
    <s v="_x0000_peopl"/>
  </r>
  <r>
    <x v="7"/>
    <n v="13.6868"/>
    <n v="-89.198800000000006"/>
    <n v="3"/>
    <n v="0"/>
    <n v="0"/>
    <n v="107"/>
    <s v="_x0000_peopl"/>
  </r>
  <r>
    <x v="7"/>
    <n v="13.6868"/>
    <n v="-89.198800000000006"/>
    <n v="5"/>
    <n v="0"/>
    <n v="0"/>
    <n v="107"/>
    <s v="_x0000_peopl"/>
  </r>
  <r>
    <x v="7"/>
    <n v="13.6868"/>
    <n v="-89.198800000000006"/>
    <n v="7"/>
    <n v="0"/>
    <n v="0"/>
    <n v="107"/>
    <s v="_x0000_peopl"/>
  </r>
  <r>
    <x v="7"/>
    <n v="13.6868"/>
    <n v="-89.198800000000006"/>
    <n v="6"/>
    <n v="0"/>
    <n v="0"/>
    <n v="107"/>
    <s v="_x0000_peopl"/>
  </r>
  <r>
    <x v="7"/>
    <n v="13.6868"/>
    <n v="-89.198700000000002"/>
    <n v="3"/>
    <n v="0"/>
    <n v="0"/>
    <n v="107"/>
    <s v="_x0000_peopl"/>
  </r>
  <r>
    <x v="7"/>
    <n v="13.6868"/>
    <n v="-89.198700000000002"/>
    <n v="5"/>
    <n v="0"/>
    <n v="0"/>
    <n v="107"/>
    <s v="_x0000_peopl"/>
  </r>
  <r>
    <x v="7"/>
    <n v="13.6868"/>
    <n v="-89.198700000000002"/>
    <n v="1"/>
    <n v="0"/>
    <n v="0"/>
    <n v="107"/>
    <s v="_x0000_peopl"/>
  </r>
  <r>
    <x v="7"/>
    <n v="13.6868"/>
    <n v="-89.198700000000002"/>
    <n v="3"/>
    <n v="0"/>
    <n v="0"/>
    <n v="107"/>
    <s v="_x0000_peopl"/>
  </r>
  <r>
    <x v="7"/>
    <n v="13.6868"/>
    <n v="-89.198599999999999"/>
    <n v="5"/>
    <n v="0"/>
    <n v="0"/>
    <n v="107"/>
    <s v="_x0000_peopl"/>
  </r>
  <r>
    <x v="7"/>
    <n v="13.6868"/>
    <n v="-89.198599999999999"/>
    <n v="6"/>
    <n v="0"/>
    <n v="0"/>
    <n v="107"/>
    <s v="_x0000_peopl"/>
  </r>
  <r>
    <x v="7"/>
    <n v="13.6868"/>
    <n v="-89.198599999999999"/>
    <n v="3"/>
    <n v="0"/>
    <n v="0"/>
    <n v="107"/>
    <s v="_x0000_peopl"/>
  </r>
  <r>
    <x v="7"/>
    <n v="13.6868"/>
    <n v="-89.198599999999999"/>
    <n v="8"/>
    <n v="0"/>
    <n v="0"/>
    <n v="107"/>
    <s v="_x0000_peopl"/>
  </r>
  <r>
    <x v="7"/>
    <n v="13.6869"/>
    <n v="-89.198499999999996"/>
    <n v="5"/>
    <n v="0"/>
    <n v="0"/>
    <n v="107"/>
    <s v="_x0000_peopl"/>
  </r>
  <r>
    <x v="7"/>
    <n v="13.6869"/>
    <n v="-89.198499999999996"/>
    <n v="4"/>
    <n v="0"/>
    <n v="0"/>
    <n v="107"/>
    <s v="_x0000_peopl"/>
  </r>
  <r>
    <x v="7"/>
    <n v="13.6869"/>
    <n v="-89.198499999999996"/>
    <n v="4"/>
    <n v="0"/>
    <n v="0"/>
    <n v="107"/>
    <s v="_x0000_peopl"/>
  </r>
  <r>
    <x v="7"/>
    <n v="13.6869"/>
    <n v="-89.198499999999996"/>
    <n v="2"/>
    <n v="0"/>
    <n v="0"/>
    <n v="107"/>
    <s v="_x0000_peopl"/>
  </r>
  <r>
    <x v="7"/>
    <n v="13.6869"/>
    <n v="-89.198499999999996"/>
    <n v="3"/>
    <n v="0"/>
    <n v="0"/>
    <n v="107"/>
    <s v="_x0000_peopl"/>
  </r>
  <r>
    <x v="7"/>
    <n v="13.6869"/>
    <n v="-89.198400000000007"/>
    <n v="3"/>
    <n v="0"/>
    <n v="0"/>
    <n v="107"/>
    <s v="_x0000_peopl"/>
  </r>
  <r>
    <x v="7"/>
    <n v="13.6869"/>
    <n v="-89.198400000000007"/>
    <n v="6"/>
    <n v="0"/>
    <n v="0"/>
    <n v="107"/>
    <s v="_x0000_peopl"/>
  </r>
  <r>
    <x v="7"/>
    <n v="13.6869"/>
    <n v="-89.198400000000007"/>
    <n v="7"/>
    <n v="0"/>
    <n v="0"/>
    <n v="107"/>
    <s v="_x0000_peopl"/>
  </r>
  <r>
    <x v="7"/>
    <n v="13.686999999999999"/>
    <n v="-89.1995"/>
    <n v="5"/>
    <n v="0"/>
    <n v="0"/>
    <n v="107"/>
    <s v="_x0000_peopl"/>
  </r>
  <r>
    <x v="7"/>
    <n v="13.686999999999999"/>
    <n v="-89.1995"/>
    <n v="2"/>
    <n v="0"/>
    <n v="0"/>
    <n v="107"/>
    <s v="_x0000_peopl"/>
  </r>
  <r>
    <x v="7"/>
    <n v="13.686999999999999"/>
    <n v="-89.1995"/>
    <n v="7"/>
    <n v="0"/>
    <n v="0"/>
    <n v="107"/>
    <s v="_x0000_peopl"/>
  </r>
  <r>
    <x v="7"/>
    <n v="13.686999999999999"/>
    <n v="-89.1995"/>
    <n v="7"/>
    <n v="0"/>
    <n v="0"/>
    <n v="107"/>
    <s v="_x0000_peopl"/>
  </r>
  <r>
    <x v="7"/>
    <n v="13.686999999999999"/>
    <n v="-89.199399999999997"/>
    <n v="2"/>
    <n v="0"/>
    <n v="0"/>
    <n v="107"/>
    <s v="_x0000_peopl"/>
  </r>
  <r>
    <x v="7"/>
    <n v="13.686999999999999"/>
    <n v="-89.199399999999997"/>
    <n v="9"/>
    <n v="0"/>
    <n v="0"/>
    <n v="107"/>
    <s v="_x0000_peopl"/>
  </r>
  <r>
    <x v="7"/>
    <n v="13.686999999999999"/>
    <n v="-89.199399999999997"/>
    <n v="2"/>
    <n v="0"/>
    <n v="0"/>
    <n v="107"/>
    <s v="_x0000_peopl"/>
  </r>
  <r>
    <x v="7"/>
    <n v="13.687099999999999"/>
    <n v="-89.199399999999997"/>
    <n v="2"/>
    <n v="0"/>
    <n v="0"/>
    <n v="107"/>
    <s v="_x0000_peopl"/>
  </r>
  <r>
    <x v="7"/>
    <n v="13.687099999999999"/>
    <n v="-89.199299999999994"/>
    <n v="4"/>
    <n v="0"/>
    <n v="0"/>
    <n v="107"/>
    <s v="_x0000_peopl"/>
  </r>
  <r>
    <x v="7"/>
    <n v="13.687099999999999"/>
    <n v="-89.199299999999994"/>
    <n v="8"/>
    <n v="0"/>
    <n v="0"/>
    <n v="107"/>
    <s v="_x0000_peopl"/>
  </r>
  <r>
    <x v="7"/>
    <n v="13.687099999999999"/>
    <n v="-89.199299999999994"/>
    <n v="5"/>
    <n v="0"/>
    <n v="0"/>
    <n v="107"/>
    <s v="_x0000_peopl"/>
  </r>
  <r>
    <x v="7"/>
    <n v="13.687099999999999"/>
    <n v="-89.199299999999994"/>
    <n v="6"/>
    <n v="0"/>
    <n v="0"/>
    <n v="107"/>
    <s v="_x0000_peopl"/>
  </r>
  <r>
    <x v="7"/>
    <n v="13.687099999999999"/>
    <n v="-89.199299999999994"/>
    <n v="4"/>
    <n v="0"/>
    <n v="0"/>
    <n v="107"/>
    <s v="_x0000_peopl"/>
  </r>
  <r>
    <x v="7"/>
    <n v="13.687099999999999"/>
    <n v="-89.199299999999994"/>
    <n v="2"/>
    <n v="0"/>
    <n v="0"/>
    <n v="107"/>
    <s v="_x0000_peopl"/>
  </r>
  <r>
    <x v="7"/>
    <n v="13.687099999999999"/>
    <n v="-89.199299999999994"/>
    <n v="3"/>
    <n v="0"/>
    <n v="0"/>
    <n v="107"/>
    <s v="_x0000_peopl"/>
  </r>
  <r>
    <x v="7"/>
    <n v="13.687200000000001"/>
    <n v="-89.199100000000001"/>
    <n v="3"/>
    <n v="0"/>
    <n v="0"/>
    <n v="107"/>
    <s v="_x0000_peopl"/>
  </r>
  <r>
    <x v="7"/>
    <n v="13.687200000000001"/>
    <n v="-89.199100000000001"/>
    <n v="5"/>
    <n v="0"/>
    <n v="0"/>
    <n v="107"/>
    <s v="_x0000_peopl"/>
  </r>
  <r>
    <x v="7"/>
    <n v="13.687200000000001"/>
    <n v="-89.199100000000001"/>
    <n v="3"/>
    <n v="0"/>
    <n v="0"/>
    <n v="107"/>
    <s v="_x0000_peopl"/>
  </r>
  <r>
    <x v="7"/>
    <n v="13.687200000000001"/>
    <n v="-89.199100000000001"/>
    <n v="6"/>
    <n v="0"/>
    <n v="0"/>
    <n v="107"/>
    <s v="_x0000_peopl"/>
  </r>
  <r>
    <x v="7"/>
    <n v="13.687200000000001"/>
    <n v="-89.199100000000001"/>
    <n v="2"/>
    <n v="0"/>
    <n v="0"/>
    <n v="107"/>
    <s v="_x0000_peopl"/>
  </r>
  <r>
    <x v="7"/>
    <n v="13.687200000000001"/>
    <n v="-89.199100000000001"/>
    <n v="8"/>
    <n v="0"/>
    <n v="0"/>
    <n v="107"/>
    <s v="_x0000_peopl"/>
  </r>
  <r>
    <x v="7"/>
    <n v="13.687200000000001"/>
    <n v="-89.199100000000001"/>
    <n v="3"/>
    <n v="0"/>
    <n v="0"/>
    <n v="107"/>
    <s v="_x0000_peopl"/>
  </r>
  <r>
    <x v="7"/>
    <n v="13.687200000000001"/>
    <n v="-89.199100000000001"/>
    <n v="6"/>
    <n v="0"/>
    <n v="0"/>
    <n v="107"/>
    <s v="_x0000_peopl"/>
  </r>
  <r>
    <x v="7"/>
    <n v="13.687200000000001"/>
    <n v="-89.198999999999998"/>
    <n v="5"/>
    <n v="0"/>
    <n v="0"/>
    <n v="107"/>
    <s v="_x0000_peopl"/>
  </r>
  <r>
    <x v="7"/>
    <n v="13.687200000000001"/>
    <n v="-89.198999999999998"/>
    <n v="6"/>
    <n v="0"/>
    <n v="0"/>
    <n v="107"/>
    <s v="_x0000_peopl"/>
  </r>
  <r>
    <x v="7"/>
    <n v="13.687200000000001"/>
    <n v="-89.198999999999998"/>
    <n v="6"/>
    <n v="0"/>
    <n v="0"/>
    <n v="107"/>
    <s v="_x0000_peopl"/>
  </r>
  <r>
    <x v="7"/>
    <n v="13.687200000000001"/>
    <n v="-89.198999999999998"/>
    <n v="5"/>
    <n v="0"/>
    <n v="0"/>
    <n v="107"/>
    <s v="_x0000_peopl"/>
  </r>
  <r>
    <x v="7"/>
    <n v="13.6873"/>
    <n v="-89.198899999999995"/>
    <n v="7"/>
    <n v="0"/>
    <n v="0"/>
    <n v="107"/>
    <s v="_x0000_peopl"/>
  </r>
  <r>
    <x v="7"/>
    <n v="13.6873"/>
    <n v="-89.198899999999995"/>
    <n v="4"/>
    <n v="0"/>
    <n v="0"/>
    <n v="107"/>
    <s v="_x0000_peopl"/>
  </r>
  <r>
    <x v="7"/>
    <n v="13.6873"/>
    <n v="-89.198899999999995"/>
    <n v="3"/>
    <n v="0"/>
    <n v="0"/>
    <n v="107"/>
    <s v="_x0000_peopl"/>
  </r>
  <r>
    <x v="7"/>
    <n v="13.6873"/>
    <n v="-89.198899999999995"/>
    <n v="2"/>
    <n v="0"/>
    <n v="0"/>
    <n v="107"/>
    <s v="_x0000_peopl"/>
  </r>
  <r>
    <x v="7"/>
    <n v="13.687200000000001"/>
    <n v="-89.198800000000006"/>
    <n v="4"/>
    <n v="0"/>
    <n v="0"/>
    <n v="107"/>
    <s v="_x0000_peopl"/>
  </r>
  <r>
    <x v="7"/>
    <n v="13.687200000000001"/>
    <n v="-89.198800000000006"/>
    <n v="5"/>
    <n v="0"/>
    <n v="0"/>
    <n v="107"/>
    <s v="_x0000_peopl"/>
  </r>
  <r>
    <x v="7"/>
    <n v="13.687200000000001"/>
    <n v="-89.198800000000006"/>
    <n v="3"/>
    <n v="0"/>
    <n v="0"/>
    <n v="107"/>
    <s v="_x0000_peopl"/>
  </r>
  <r>
    <x v="7"/>
    <n v="13.687200000000001"/>
    <n v="-89.198800000000006"/>
    <n v="2"/>
    <n v="0"/>
    <n v="0"/>
    <n v="107"/>
    <s v="_x0000_peopl"/>
  </r>
  <r>
    <x v="7"/>
    <n v="13.6873"/>
    <n v="-89.198700000000002"/>
    <n v="3"/>
    <n v="0"/>
    <n v="0"/>
    <n v="107"/>
    <s v="_x0000_peopl"/>
  </r>
  <r>
    <x v="7"/>
    <n v="13.6873"/>
    <n v="-89.198700000000002"/>
    <n v="7"/>
    <n v="0"/>
    <n v="0"/>
    <n v="107"/>
    <s v="_x0000_peopl"/>
  </r>
  <r>
    <x v="7"/>
    <n v="13.6873"/>
    <n v="-89.198700000000002"/>
    <n v="5"/>
    <n v="0"/>
    <n v="0"/>
    <n v="107"/>
    <s v="_x0000_peopl"/>
  </r>
  <r>
    <x v="7"/>
    <n v="13.6873"/>
    <n v="-89.198700000000002"/>
    <n v="3"/>
    <n v="0"/>
    <n v="0"/>
    <n v="107"/>
    <s v="_x0000_peopl"/>
  </r>
  <r>
    <x v="7"/>
    <n v="13.687099999999999"/>
    <n v="-89.198499999999996"/>
    <n v="6"/>
    <n v="0"/>
    <n v="0"/>
    <n v="107"/>
    <s v="_x0000_peopl"/>
  </r>
  <r>
    <x v="7"/>
    <n v="13.687099999999999"/>
    <n v="-89.198499999999996"/>
    <n v="4"/>
    <n v="0"/>
    <n v="0"/>
    <n v="107"/>
    <s v="_x0000_peopl"/>
  </r>
  <r>
    <x v="7"/>
    <n v="13.687099999999999"/>
    <n v="-89.198499999999996"/>
    <n v="5"/>
    <n v="0"/>
    <n v="0"/>
    <n v="107"/>
    <s v="_x0000_peopl"/>
  </r>
  <r>
    <x v="7"/>
    <n v="13.687099999999999"/>
    <n v="-89.198499999999996"/>
    <n v="6"/>
    <n v="0"/>
    <n v="0"/>
    <n v="107"/>
    <s v="_x0000_peopl"/>
  </r>
  <r>
    <x v="7"/>
    <n v="13.687099999999999"/>
    <n v="-89.198599999999999"/>
    <n v="3"/>
    <n v="0"/>
    <n v="0"/>
    <n v="107"/>
    <s v="_x0000_peopl"/>
  </r>
  <r>
    <x v="7"/>
    <n v="13.687099999999999"/>
    <n v="-89.198599999999999"/>
    <n v="5"/>
    <n v="0"/>
    <n v="0"/>
    <n v="107"/>
    <s v="_x0000_peopl"/>
  </r>
  <r>
    <x v="7"/>
    <n v="13.687099999999999"/>
    <n v="-89.198599999999999"/>
    <n v="4"/>
    <n v="0"/>
    <n v="0"/>
    <n v="107"/>
    <s v="_x0000_peopl"/>
  </r>
  <r>
    <x v="7"/>
    <n v="13.687099999999999"/>
    <n v="-89.198599999999999"/>
    <n v="6"/>
    <n v="0"/>
    <n v="0"/>
    <n v="107"/>
    <s v="_x0000_peopl"/>
  </r>
  <r>
    <x v="7"/>
    <n v="13.687099999999999"/>
    <n v="-89.198700000000002"/>
    <n v="8"/>
    <n v="0"/>
    <n v="0"/>
    <n v="107"/>
    <s v="_x0000_peopl"/>
  </r>
  <r>
    <x v="7"/>
    <n v="13.687099999999999"/>
    <n v="-89.198700000000002"/>
    <n v="7"/>
    <n v="0"/>
    <n v="0"/>
    <n v="107"/>
    <s v="_x0000_peopl"/>
  </r>
  <r>
    <x v="7"/>
    <n v="13.687099999999999"/>
    <n v="-89.198700000000002"/>
    <n v="1"/>
    <n v="0"/>
    <n v="0"/>
    <n v="107"/>
    <s v="_x0000_peopl"/>
  </r>
  <r>
    <x v="7"/>
    <n v="13.687099999999999"/>
    <n v="-89.198700000000002"/>
    <n v="5"/>
    <n v="0"/>
    <n v="0"/>
    <n v="107"/>
    <s v="_x0000_peopl"/>
  </r>
  <r>
    <x v="7"/>
    <n v="13.686999999999999"/>
    <n v="-89.198800000000006"/>
    <n v="6"/>
    <n v="0"/>
    <n v="0"/>
    <n v="107"/>
    <s v="_x0000_peopl"/>
  </r>
  <r>
    <x v="7"/>
    <n v="13.686999999999999"/>
    <n v="-89.198800000000006"/>
    <n v="8"/>
    <n v="0"/>
    <n v="0"/>
    <n v="107"/>
    <s v="_x0000_peopl"/>
  </r>
  <r>
    <x v="7"/>
    <n v="13.686999999999999"/>
    <n v="-89.198800000000006"/>
    <n v="3"/>
    <n v="0"/>
    <n v="0"/>
    <n v="107"/>
    <s v="_x0000_peopl"/>
  </r>
  <r>
    <x v="7"/>
    <n v="13.6869"/>
    <n v="-89.199200000000005"/>
    <n v="5"/>
    <n v="0"/>
    <n v="0"/>
    <n v="107"/>
    <s v="_x0000_peopl"/>
  </r>
  <r>
    <x v="7"/>
    <n v="13.6869"/>
    <n v="-89.199200000000005"/>
    <n v="5"/>
    <n v="0"/>
    <n v="0"/>
    <n v="107"/>
    <s v="_x0000_peopl"/>
  </r>
  <r>
    <x v="7"/>
    <n v="13.6869"/>
    <n v="-89.199200000000005"/>
    <n v="6"/>
    <n v="0"/>
    <n v="0"/>
    <n v="107"/>
    <s v="_x0000_peopl"/>
  </r>
  <r>
    <x v="7"/>
    <n v="13.6869"/>
    <n v="-89.199100000000001"/>
    <n v="8"/>
    <n v="0"/>
    <n v="0"/>
    <n v="107"/>
    <s v="_x0000_peopl"/>
  </r>
  <r>
    <x v="7"/>
    <n v="13.6869"/>
    <n v="-89.199100000000001"/>
    <n v="2"/>
    <n v="0"/>
    <n v="0"/>
    <n v="107"/>
    <s v="_x0000_peopl"/>
  </r>
  <r>
    <x v="7"/>
    <n v="13.6869"/>
    <n v="-89.199100000000001"/>
    <n v="4"/>
    <n v="0"/>
    <n v="0"/>
    <n v="107"/>
    <s v="_x0000_peopl"/>
  </r>
  <r>
    <x v="7"/>
    <n v="13.6869"/>
    <n v="-89.199100000000001"/>
    <n v="4"/>
    <n v="0"/>
    <n v="0"/>
    <n v="107"/>
    <s v="_x0000_peopl"/>
  </r>
  <r>
    <x v="7"/>
    <n v="13.686199999999999"/>
    <n v="-89.198999999999998"/>
    <n v="7"/>
    <n v="0"/>
    <n v="0"/>
    <n v="107"/>
    <s v="_x0000_peopl"/>
  </r>
  <r>
    <x v="7"/>
    <n v="13.6861"/>
    <n v="-89.198999999999998"/>
    <n v="2"/>
    <n v="0"/>
    <n v="0"/>
    <n v="107"/>
    <s v="_x0000_peopl"/>
  </r>
  <r>
    <x v="7"/>
    <n v="13.684900000000001"/>
    <n v="-89.2012"/>
    <n v="3"/>
    <n v="0"/>
    <n v="0"/>
    <n v="107"/>
    <s v="_x0000_peopl"/>
  </r>
  <r>
    <x v="7"/>
    <n v="13.686199999999999"/>
    <n v="-89.200999999999993"/>
    <n v="4"/>
    <n v="0"/>
    <n v="0"/>
    <n v="107"/>
    <s v="_x0000_peopl"/>
  </r>
  <r>
    <x v="7"/>
    <n v="13.6861"/>
    <n v="-89.200999999999993"/>
    <n v="5"/>
    <n v="0"/>
    <n v="0"/>
    <n v="107"/>
    <s v="_x0000_peopl"/>
  </r>
  <r>
    <x v="7"/>
    <n v="13.686"/>
    <n v="-89.200999999999993"/>
    <n v="11"/>
    <n v="0"/>
    <n v="0"/>
    <n v="107"/>
    <s v="_x0000_peopl"/>
  </r>
  <r>
    <x v="7"/>
    <n v="13.6859"/>
    <n v="-89.200999999999993"/>
    <n v="6"/>
    <n v="0"/>
    <n v="0"/>
    <n v="107"/>
    <s v="_x0000_peopl"/>
  </r>
  <r>
    <x v="7"/>
    <n v="13.6858"/>
    <n v="-89.200999999999993"/>
    <n v="1"/>
    <n v="0"/>
    <n v="0"/>
    <n v="107"/>
    <s v="_x0000_peopl"/>
  </r>
  <r>
    <x v="7"/>
    <n v="13.6859"/>
    <n v="-89.200999999999993"/>
    <n v="2"/>
    <n v="0"/>
    <n v="0"/>
    <n v="107"/>
    <s v="_x0000_peopl"/>
  </r>
  <r>
    <x v="7"/>
    <n v="13.687799999999999"/>
    <n v="-89.206699999999998"/>
    <n v="5"/>
    <n v="0"/>
    <n v="0"/>
    <n v="107"/>
    <s v="_x0000_peopl"/>
  </r>
  <r>
    <x v="7"/>
    <n v="13.687799999999999"/>
    <n v="-89.206800000000001"/>
    <n v="6"/>
    <n v="0"/>
    <n v="0"/>
    <n v="107"/>
    <s v="_x0000_peopl"/>
  </r>
  <r>
    <x v="7"/>
    <n v="13.6877"/>
    <n v="-89.206800000000001"/>
    <n v="2"/>
    <n v="0"/>
    <n v="0"/>
    <n v="107"/>
    <s v="_x0000_peopl"/>
  </r>
  <r>
    <x v="7"/>
    <n v="13.6877"/>
    <n v="-89.206800000000001"/>
    <n v="4"/>
    <n v="0"/>
    <n v="0"/>
    <n v="107"/>
    <s v="_x0000_peopl"/>
  </r>
  <r>
    <x v="7"/>
    <n v="13.6876"/>
    <n v="-89.206800000000001"/>
    <n v="5"/>
    <n v="0"/>
    <n v="0"/>
    <n v="107"/>
    <s v="_x0000_peopl"/>
  </r>
  <r>
    <x v="7"/>
    <n v="13.6876"/>
    <n v="-89.206699999999998"/>
    <n v="8"/>
    <n v="0"/>
    <n v="0"/>
    <n v="107"/>
    <s v="_x0000_peopl"/>
  </r>
  <r>
    <x v="7"/>
    <n v="13.6877"/>
    <n v="-89.206699999999998"/>
    <n v="5"/>
    <n v="0"/>
    <n v="0"/>
    <n v="107"/>
    <s v="_x0000_peopl"/>
  </r>
  <r>
    <x v="7"/>
    <n v="13.6877"/>
    <n v="-89.206699999999998"/>
    <n v="6"/>
    <n v="0"/>
    <n v="0"/>
    <n v="107"/>
    <s v="_x0000_peopl"/>
  </r>
  <r>
    <x v="7"/>
    <n v="13.687799999999999"/>
    <n v="-89.206699999999998"/>
    <n v="2"/>
    <n v="0"/>
    <n v="0"/>
    <n v="107"/>
    <s v="_x0000_peopl"/>
  </r>
  <r>
    <x v="7"/>
    <n v="13.687799999999999"/>
    <n v="-89.206699999999998"/>
    <n v="3"/>
    <n v="0"/>
    <n v="0"/>
    <n v="107"/>
    <s v="_x0000_peopl"/>
  </r>
  <r>
    <x v="7"/>
    <n v="13.687799999999999"/>
    <n v="-89.206599999999995"/>
    <n v="4"/>
    <n v="0"/>
    <n v="0"/>
    <n v="107"/>
    <s v="_x0000_peopl"/>
  </r>
  <r>
    <x v="7"/>
    <n v="13.6877"/>
    <n v="-89.206599999999995"/>
    <n v="3"/>
    <n v="0"/>
    <n v="0"/>
    <n v="107"/>
    <s v="_x0000_peopl"/>
  </r>
  <r>
    <x v="7"/>
    <n v="13.6877"/>
    <n v="-89.206599999999995"/>
    <n v="3"/>
    <n v="0"/>
    <n v="0"/>
    <n v="107"/>
    <s v="_x0000_peopl"/>
  </r>
  <r>
    <x v="7"/>
    <n v="13.6876"/>
    <n v="-89.206599999999995"/>
    <n v="7"/>
    <n v="0"/>
    <n v="0"/>
    <n v="107"/>
    <s v="_x0000_peopl"/>
  </r>
  <r>
    <x v="7"/>
    <n v="13.6876"/>
    <n v="-89.206500000000005"/>
    <n v="4"/>
    <n v="0"/>
    <n v="0"/>
    <n v="107"/>
    <s v="_x0000_peopl"/>
  </r>
  <r>
    <x v="7"/>
    <n v="13.6877"/>
    <n v="-89.206500000000005"/>
    <n v="9"/>
    <n v="0"/>
    <n v="0"/>
    <n v="107"/>
    <s v="_x0000_peopl"/>
  </r>
  <r>
    <x v="7"/>
    <n v="13.6877"/>
    <n v="-89.206500000000005"/>
    <n v="5"/>
    <n v="0"/>
    <n v="0"/>
    <n v="107"/>
    <s v="_x0000_peopl"/>
  </r>
  <r>
    <x v="7"/>
    <n v="13.6877"/>
    <n v="-89.206500000000005"/>
    <n v="2"/>
    <n v="0"/>
    <n v="0"/>
    <n v="107"/>
    <s v="_x0000_peopl"/>
  </r>
  <r>
    <x v="7"/>
    <n v="13.6875"/>
    <n v="-89.206599999999995"/>
    <n v="3"/>
    <n v="0"/>
    <n v="0"/>
    <n v="107"/>
    <s v="_x0000_peopl"/>
  </r>
  <r>
    <x v="7"/>
    <n v="13.6875"/>
    <n v="-89.206500000000005"/>
    <n v="7"/>
    <n v="0"/>
    <n v="0"/>
    <n v="107"/>
    <s v="_x0000_peopl"/>
  </r>
  <r>
    <x v="7"/>
    <n v="13.6874"/>
    <n v="-89.206599999999995"/>
    <n v="2"/>
    <n v="0"/>
    <n v="0"/>
    <n v="107"/>
    <s v="_x0000_peopl"/>
  </r>
  <r>
    <x v="7"/>
    <n v="13.6874"/>
    <n v="-89.206500000000005"/>
    <n v="3"/>
    <n v="0"/>
    <n v="0"/>
    <n v="107"/>
    <s v="_x0000_peopl"/>
  </r>
  <r>
    <x v="7"/>
    <n v="13.6875"/>
    <n v="-89.206500000000005"/>
    <n v="3"/>
    <n v="0"/>
    <n v="0"/>
    <n v="107"/>
    <s v="_x0000_peopl"/>
  </r>
  <r>
    <x v="7"/>
    <n v="13.6875"/>
    <n v="-89.206400000000002"/>
    <n v="5"/>
    <n v="0"/>
    <n v="0"/>
    <n v="107"/>
    <s v="_x0000_peopl"/>
  </r>
  <r>
    <x v="7"/>
    <n v="13.6874"/>
    <n v="-89.206400000000002"/>
    <n v="3"/>
    <n v="0"/>
    <n v="0"/>
    <n v="107"/>
    <s v="_x0000_peopl"/>
  </r>
  <r>
    <x v="7"/>
    <n v="13.6874"/>
    <n v="-89.206400000000002"/>
    <n v="2"/>
    <n v="0"/>
    <n v="0"/>
    <n v="107"/>
    <s v="_x0000_peopl"/>
  </r>
  <r>
    <x v="7"/>
    <n v="13.6874"/>
    <n v="-89.206400000000002"/>
    <n v="4"/>
    <n v="0"/>
    <n v="0"/>
    <n v="107"/>
    <s v="_x0000_peopl"/>
  </r>
  <r>
    <x v="7"/>
    <n v="13.6873"/>
    <n v="-89.206299999999999"/>
    <n v="6"/>
    <n v="0"/>
    <n v="0"/>
    <n v="107"/>
    <s v="_x0000_peopl"/>
  </r>
  <r>
    <x v="7"/>
    <n v="13.6874"/>
    <n v="-89.206299999999999"/>
    <n v="7"/>
    <n v="0"/>
    <n v="0"/>
    <n v="107"/>
    <s v="_x0000_peopl"/>
  </r>
  <r>
    <x v="7"/>
    <n v="13.6874"/>
    <n v="-89.206299999999999"/>
    <n v="9"/>
    <n v="0"/>
    <n v="0"/>
    <n v="107"/>
    <s v="_x0000_peopl"/>
  </r>
  <r>
    <x v="7"/>
    <n v="13.6875"/>
    <n v="-89.206299999999999"/>
    <n v="5"/>
    <n v="0"/>
    <n v="0"/>
    <n v="107"/>
    <s v="_x0000_peopl"/>
  </r>
  <r>
    <x v="7"/>
    <n v="13.6875"/>
    <n v="-89.206299999999999"/>
    <n v="6"/>
    <n v="0"/>
    <n v="0"/>
    <n v="107"/>
    <s v="_x0000_peopl"/>
  </r>
  <r>
    <x v="7"/>
    <n v="13.6874"/>
    <n v="-89.206100000000006"/>
    <n v="7"/>
    <n v="0"/>
    <n v="0"/>
    <n v="107"/>
    <s v="_x0000_peopl"/>
  </r>
  <r>
    <x v="7"/>
    <n v="13.6873"/>
    <n v="-89.206100000000006"/>
    <n v="5"/>
    <n v="0"/>
    <n v="0"/>
    <n v="107"/>
    <s v="_x0000_peopl"/>
  </r>
  <r>
    <x v="7"/>
    <n v="13.687200000000001"/>
    <n v="-89.206199999999995"/>
    <n v="5"/>
    <n v="0"/>
    <n v="0"/>
    <n v="107"/>
    <s v="_x0000_peopl"/>
  </r>
  <r>
    <x v="7"/>
    <n v="13.687200000000001"/>
    <n v="-89.206299999999999"/>
    <n v="5"/>
    <n v="0"/>
    <n v="0"/>
    <n v="107"/>
    <s v="_x0000_peopl"/>
  </r>
  <r>
    <x v="7"/>
    <n v="13.6873"/>
    <n v="-89.206299999999999"/>
    <n v="3"/>
    <n v="0"/>
    <n v="0"/>
    <n v="107"/>
    <s v="_x0000_peopl"/>
  </r>
  <r>
    <x v="7"/>
    <n v="13.6873"/>
    <n v="-89.206400000000002"/>
    <n v="6"/>
    <n v="0"/>
    <n v="0"/>
    <n v="107"/>
    <s v="_x0000_peopl"/>
  </r>
  <r>
    <x v="7"/>
    <n v="13.6873"/>
    <n v="-89.206400000000002"/>
    <n v="8"/>
    <n v="0"/>
    <n v="0"/>
    <n v="107"/>
    <s v="_x0000_peopl"/>
  </r>
  <r>
    <x v="7"/>
    <n v="13.6873"/>
    <n v="-89.206400000000002"/>
    <n v="4"/>
    <n v="0"/>
    <n v="0"/>
    <n v="107"/>
    <s v="_x0000_peopl"/>
  </r>
  <r>
    <x v="7"/>
    <n v="13.6873"/>
    <n v="-89.206599999999995"/>
    <n v="2"/>
    <n v="0"/>
    <n v="0"/>
    <n v="107"/>
    <s v="_x0000_peopl"/>
  </r>
  <r>
    <x v="7"/>
    <n v="13.6873"/>
    <n v="-89.206599999999995"/>
    <n v="6"/>
    <n v="0"/>
    <n v="0"/>
    <n v="107"/>
    <s v="_x0000_peopl"/>
  </r>
  <r>
    <x v="7"/>
    <n v="13.687200000000001"/>
    <n v="-89.206500000000005"/>
    <n v="5"/>
    <n v="0"/>
    <n v="0"/>
    <n v="107"/>
    <s v="_x0000_peopl"/>
  </r>
  <r>
    <x v="7"/>
    <n v="13.687200000000001"/>
    <n v="-89.206299999999999"/>
    <n v="5"/>
    <n v="0"/>
    <n v="0"/>
    <n v="107"/>
    <s v="_x0000_peopl"/>
  </r>
  <r>
    <x v="7"/>
    <n v="13.687200000000001"/>
    <n v="-89.206299999999999"/>
    <n v="7"/>
    <n v="0"/>
    <n v="0"/>
    <n v="107"/>
    <s v="_x0000_peopl"/>
  </r>
  <r>
    <x v="7"/>
    <n v="13.687200000000001"/>
    <n v="-89.206199999999995"/>
    <n v="7"/>
    <n v="0"/>
    <n v="0"/>
    <n v="107"/>
    <s v="_x0000_peopl"/>
  </r>
  <r>
    <x v="7"/>
    <n v="13.687200000000001"/>
    <n v="-89.206599999999995"/>
    <n v="7"/>
    <n v="0"/>
    <n v="0"/>
    <n v="107"/>
    <s v="_x0000_peopl"/>
  </r>
  <r>
    <x v="7"/>
    <n v="13.6874"/>
    <n v="-89.206900000000005"/>
    <n v="6"/>
    <n v="0"/>
    <n v="0"/>
    <n v="107"/>
    <s v="_x0000_peopl"/>
  </r>
  <r>
    <x v="7"/>
    <n v="13.6873"/>
    <n v="-89.206800000000001"/>
    <n v="5"/>
    <n v="0"/>
    <n v="0"/>
    <n v="107"/>
    <s v="_x0000_peopl"/>
  </r>
  <r>
    <x v="7"/>
    <n v="13.6873"/>
    <n v="-89.206800000000001"/>
    <n v="4"/>
    <n v="0"/>
    <n v="0"/>
    <n v="107"/>
    <s v="_x0000_peopl"/>
  </r>
  <r>
    <x v="7"/>
    <n v="13.6873"/>
    <n v="-89.206699999999998"/>
    <n v="7"/>
    <n v="0"/>
    <n v="0"/>
    <n v="107"/>
    <s v="_x0000_peopl"/>
  </r>
  <r>
    <x v="7"/>
    <n v="13.6873"/>
    <n v="-89.206699999999998"/>
    <n v="8"/>
    <n v="0"/>
    <n v="0"/>
    <n v="107"/>
    <s v="_x0000_peopl"/>
  </r>
  <r>
    <x v="7"/>
    <n v="13.6873"/>
    <n v="-89.206599999999995"/>
    <n v="4"/>
    <n v="0"/>
    <n v="0"/>
    <n v="107"/>
    <s v="_x0000_peopl"/>
  </r>
  <r>
    <x v="7"/>
    <n v="13.687200000000001"/>
    <n v="-89.206800000000001"/>
    <n v="7"/>
    <n v="0"/>
    <n v="0"/>
    <n v="107"/>
    <s v="_x0000_peopl"/>
  </r>
  <r>
    <x v="7"/>
    <n v="13.687200000000001"/>
    <n v="-89.206800000000001"/>
    <n v="6"/>
    <n v="0"/>
    <n v="0"/>
    <n v="107"/>
    <s v="_x0000_peopl"/>
  </r>
  <r>
    <x v="7"/>
    <n v="13.687200000000001"/>
    <n v="-89.206699999999998"/>
    <n v="3"/>
    <n v="0"/>
    <n v="0"/>
    <n v="107"/>
    <s v="_x0000_peopl"/>
  </r>
  <r>
    <x v="7"/>
    <n v="13.687200000000001"/>
    <n v="-89.206699999999998"/>
    <n v="5"/>
    <n v="0"/>
    <n v="0"/>
    <n v="107"/>
    <s v="_x0000_peopl"/>
  </r>
  <r>
    <x v="7"/>
    <n v="13.687200000000001"/>
    <n v="-89.206699999999998"/>
    <n v="4"/>
    <n v="0"/>
    <n v="0"/>
    <n v="107"/>
    <s v="_x0000_peopl"/>
  </r>
  <r>
    <x v="7"/>
    <n v="13.687200000000001"/>
    <n v="-89.206599999999995"/>
    <n v="5"/>
    <n v="0"/>
    <n v="0"/>
    <n v="107"/>
    <s v="_x0000_peopl"/>
  </r>
  <r>
    <x v="7"/>
    <n v="13.6874"/>
    <n v="-89.206699999999998"/>
    <n v="4"/>
    <n v="0"/>
    <n v="0"/>
    <n v="107"/>
    <s v="_x0000_peopl"/>
  </r>
  <r>
    <x v="7"/>
    <n v="13.6874"/>
    <n v="-89.206800000000001"/>
    <n v="5"/>
    <n v="0"/>
    <n v="0"/>
    <n v="107"/>
    <s v="_x0000_peopl"/>
  </r>
  <r>
    <x v="7"/>
    <n v="13.6874"/>
    <n v="-89.206599999999995"/>
    <n v="6"/>
    <n v="0"/>
    <n v="0"/>
    <n v="107"/>
    <s v="_x0000_peopl"/>
  </r>
  <r>
    <x v="7"/>
    <n v="13.6874"/>
    <n v="-89.206599999999995"/>
    <n v="3"/>
    <n v="0"/>
    <n v="0"/>
    <n v="107"/>
    <s v="_x0000_peopl"/>
  </r>
  <r>
    <x v="7"/>
    <n v="13.6875"/>
    <n v="-89.206800000000001"/>
    <n v="7"/>
    <n v="0"/>
    <n v="0"/>
    <n v="107"/>
    <s v="_x0000_peopl"/>
  </r>
  <r>
    <x v="7"/>
    <n v="13.6875"/>
    <n v="-89.206800000000001"/>
    <n v="4"/>
    <n v="0"/>
    <n v="0"/>
    <n v="107"/>
    <s v="_x0000_peopl"/>
  </r>
  <r>
    <x v="7"/>
    <n v="13.6875"/>
    <n v="-89.206699999999998"/>
    <n v="2"/>
    <n v="0"/>
    <n v="0"/>
    <n v="107"/>
    <s v="_x0000_peopl"/>
  </r>
  <r>
    <x v="7"/>
    <n v="13.6875"/>
    <n v="-89.206699999999998"/>
    <n v="9"/>
    <n v="0"/>
    <n v="0"/>
    <n v="107"/>
    <s v="_x0000_peopl"/>
  </r>
  <r>
    <x v="7"/>
    <n v="13.6875"/>
    <n v="-89.206699999999998"/>
    <n v="10"/>
    <n v="0"/>
    <n v="0"/>
    <n v="107"/>
    <s v="_x0000_peopl"/>
  </r>
  <r>
    <x v="7"/>
    <n v="13.6876"/>
    <n v="-89.206699999999998"/>
    <n v="2"/>
    <n v="0"/>
    <n v="0"/>
    <n v="107"/>
    <s v="_x0000_peopl"/>
  </r>
  <r>
    <x v="7"/>
    <n v="13.6876"/>
    <n v="-89.206800000000001"/>
    <n v="3"/>
    <n v="0"/>
    <n v="0"/>
    <n v="107"/>
    <s v="_x0000_peopl"/>
  </r>
  <r>
    <x v="7"/>
    <n v="13.6876"/>
    <n v="-89.206800000000001"/>
    <n v="5"/>
    <n v="0"/>
    <n v="0"/>
    <n v="107"/>
    <s v="_x0000_peopl"/>
  </r>
  <r>
    <x v="7"/>
    <n v="13.6876"/>
    <n v="-89.206500000000005"/>
    <n v="5"/>
    <n v="0"/>
    <n v="0"/>
    <n v="107"/>
    <s v="_x0000_peopl"/>
  </r>
  <r>
    <x v="7"/>
    <n v="13.6876"/>
    <n v="-89.206599999999995"/>
    <n v="5"/>
    <n v="0"/>
    <n v="0"/>
    <n v="107"/>
    <s v="_x0000_peopl"/>
  </r>
  <r>
    <x v="7"/>
    <n v="13.6875"/>
    <n v="-89.206599999999995"/>
    <n v="1"/>
    <n v="0"/>
    <n v="0"/>
    <n v="107"/>
    <s v="_x0000_peopl"/>
  </r>
  <r>
    <x v="7"/>
    <n v="13.6875"/>
    <n v="-89.206299999999999"/>
    <n v="5"/>
    <n v="0"/>
    <n v="0"/>
    <n v="107"/>
    <s v="_x0000_peopl"/>
  </r>
  <r>
    <x v="7"/>
    <n v="13.6876"/>
    <n v="-89.206299999999999"/>
    <n v="8"/>
    <n v="0"/>
    <n v="0"/>
    <n v="107"/>
    <s v="_x0000_peopl"/>
  </r>
  <r>
    <x v="7"/>
    <n v="13.6876"/>
    <n v="-89.206299999999999"/>
    <n v="11"/>
    <n v="0"/>
    <n v="0"/>
    <n v="107"/>
    <s v="_x0000_peopl"/>
  </r>
  <r>
    <x v="7"/>
    <n v="13.6877"/>
    <n v="-89.206299999999999"/>
    <n v="4"/>
    <n v="0"/>
    <n v="0"/>
    <n v="107"/>
    <s v="_x0000_peopl"/>
  </r>
  <r>
    <x v="7"/>
    <n v="13.6877"/>
    <n v="-89.206299999999999"/>
    <n v="10"/>
    <n v="0"/>
    <n v="0"/>
    <n v="107"/>
    <s v="_x0000_peopl"/>
  </r>
  <r>
    <x v="7"/>
    <n v="13.6876"/>
    <n v="-89.206199999999995"/>
    <n v="8"/>
    <n v="0"/>
    <n v="0"/>
    <n v="107"/>
    <s v="_x0000_peopl"/>
  </r>
  <r>
    <x v="7"/>
    <n v="13.6876"/>
    <n v="-89.206199999999995"/>
    <n v="5"/>
    <n v="0"/>
    <n v="0"/>
    <n v="107"/>
    <s v="_x0000_peopl"/>
  </r>
  <r>
    <x v="7"/>
    <n v="13.6877"/>
    <n v="-89.206299999999999"/>
    <n v="3"/>
    <n v="0"/>
    <n v="0"/>
    <n v="107"/>
    <s v="_x0000_peopl"/>
  </r>
  <r>
    <x v="7"/>
    <n v="13.6877"/>
    <n v="-89.206299999999999"/>
    <n v="11"/>
    <n v="0"/>
    <n v="0"/>
    <n v="107"/>
    <s v="_x0000_peopl"/>
  </r>
  <r>
    <x v="7"/>
    <n v="13.687799999999999"/>
    <n v="-89.198300000000003"/>
    <n v="6"/>
    <n v="0"/>
    <n v="0"/>
    <n v="107"/>
    <s v="_x0000_peopl"/>
  </r>
  <r>
    <x v="7"/>
    <n v="13.687799999999999"/>
    <n v="-89.198400000000007"/>
    <n v="5"/>
    <n v="0"/>
    <n v="0"/>
    <n v="107"/>
    <s v="_x0000_peopl"/>
  </r>
  <r>
    <x v="7"/>
    <n v="13.687799999999999"/>
    <n v="-89.198400000000007"/>
    <n v="3"/>
    <n v="0"/>
    <n v="0"/>
    <n v="107"/>
    <s v="_x0000_peopl"/>
  </r>
  <r>
    <x v="7"/>
    <n v="13.687799999999999"/>
    <n v="-89.198400000000007"/>
    <n v="6"/>
    <n v="0"/>
    <n v="0"/>
    <n v="107"/>
    <s v="_x0000_peopl"/>
  </r>
  <r>
    <x v="7"/>
    <n v="13.687799999999999"/>
    <n v="-89.198300000000003"/>
    <n v="4"/>
    <n v="0"/>
    <n v="0"/>
    <n v="107"/>
    <s v="_x0000_peopl"/>
  </r>
  <r>
    <x v="7"/>
    <n v="13.687900000000001"/>
    <n v="-89.198400000000007"/>
    <n v="2"/>
    <n v="0"/>
    <n v="0"/>
    <n v="107"/>
    <s v="_x0000_peopl"/>
  </r>
  <r>
    <x v="7"/>
    <n v="13.688000000000001"/>
    <n v="-89.198400000000007"/>
    <n v="5"/>
    <n v="0"/>
    <n v="0"/>
    <n v="107"/>
    <s v="_x0000_peopl"/>
  </r>
  <r>
    <x v="7"/>
    <n v="13.688000000000001"/>
    <n v="-89.198300000000003"/>
    <n v="7"/>
    <n v="0"/>
    <n v="0"/>
    <n v="107"/>
    <s v="_x0000_peopl"/>
  </r>
  <r>
    <x v="7"/>
    <n v="13.6881"/>
    <n v="-89.198099999999997"/>
    <n v="4"/>
    <n v="0"/>
    <n v="0"/>
    <n v="107"/>
    <s v="_x0000_peopl"/>
  </r>
  <r>
    <x v="7"/>
    <n v="13.690099999999999"/>
    <n v="-89.197299999999998"/>
    <n v="4"/>
    <n v="0"/>
    <n v="0"/>
    <n v="107"/>
    <s v="_x0000_peopl"/>
  </r>
  <r>
    <x v="7"/>
    <n v="13.6914"/>
    <n v="-89.198499999999996"/>
    <n v="8"/>
    <n v="0"/>
    <n v="0"/>
    <n v="107"/>
    <s v="_x0000_peopl"/>
  </r>
  <r>
    <x v="7"/>
    <n v="13.6914"/>
    <n v="-89.198400000000007"/>
    <n v="6"/>
    <n v="0"/>
    <n v="0"/>
    <n v="107"/>
    <s v="_x0000_peopl"/>
  </r>
  <r>
    <x v="7"/>
    <n v="13.688700000000001"/>
    <n v="-89.197900000000004"/>
    <n v="4"/>
    <n v="0"/>
    <n v="0"/>
    <n v="107"/>
    <s v="_x0000_peopl"/>
  </r>
  <r>
    <x v="7"/>
    <n v="13.688499999999999"/>
    <n v="-89.197900000000004"/>
    <n v="7"/>
    <n v="0"/>
    <n v="0"/>
    <n v="107"/>
    <s v="_x0000_peopl"/>
  </r>
  <r>
    <x v="7"/>
    <n v="13.6884"/>
    <n v="-89.197900000000004"/>
    <n v="9"/>
    <n v="0"/>
    <n v="0"/>
    <n v="107"/>
    <s v="_x0000_peopl"/>
  </r>
  <r>
    <x v="7"/>
    <n v="13.6851"/>
    <n v="-89.200800000000001"/>
    <n v="4"/>
    <n v="0"/>
    <n v="0"/>
    <n v="107"/>
    <s v="_x0000_peopl"/>
  </r>
  <r>
    <x v="7"/>
    <n v="13.6851"/>
    <n v="-89.200900000000004"/>
    <n v="5"/>
    <n v="0"/>
    <n v="0"/>
    <n v="107"/>
    <s v="_x0000_peopl"/>
  </r>
  <r>
    <x v="7"/>
    <n v="13.6851"/>
    <n v="-89.200900000000004"/>
    <n v="3"/>
    <n v="0"/>
    <n v="0"/>
    <n v="107"/>
    <s v="_x0000_peopl"/>
  </r>
  <r>
    <x v="7"/>
    <n v="13.685"/>
    <n v="-89.200800000000001"/>
    <n v="7"/>
    <n v="0"/>
    <n v="0"/>
    <n v="107"/>
    <s v="_x0000_peopl"/>
  </r>
  <r>
    <x v="7"/>
    <n v="13.685"/>
    <n v="-89.200800000000001"/>
    <n v="6"/>
    <n v="0"/>
    <n v="0"/>
    <n v="107"/>
    <s v="_x0000_peopl"/>
  </r>
  <r>
    <x v="7"/>
    <n v="13.685"/>
    <n v="-89.200800000000001"/>
    <n v="3"/>
    <n v="0"/>
    <n v="0"/>
    <n v="107"/>
    <s v="_x0000_peopl"/>
  </r>
  <r>
    <x v="7"/>
    <n v="13.6851"/>
    <n v="-89.200800000000001"/>
    <n v="8"/>
    <n v="0"/>
    <n v="0"/>
    <n v="107"/>
    <s v="_x0000_peopl"/>
  </r>
  <r>
    <x v="7"/>
    <n v="13.685"/>
    <n v="-89.200699999999998"/>
    <n v="6"/>
    <n v="0"/>
    <n v="0"/>
    <n v="107"/>
    <s v="_x0000_peopl"/>
  </r>
  <r>
    <x v="7"/>
    <n v="13.685"/>
    <n v="-89.200699999999998"/>
    <n v="5"/>
    <n v="0"/>
    <n v="0"/>
    <n v="107"/>
    <s v="_x0000_peopl"/>
  </r>
  <r>
    <x v="7"/>
    <n v="13.6854"/>
    <n v="-89.200999999999993"/>
    <n v="6"/>
    <n v="0"/>
    <n v="0"/>
    <n v="107"/>
    <s v="_x0000_peopl"/>
  </r>
  <r>
    <x v="7"/>
    <n v="13.6854"/>
    <n v="-89.200999999999993"/>
    <n v="3"/>
    <n v="0"/>
    <n v="0"/>
    <n v="107"/>
    <s v="_x0000_peopl"/>
  </r>
  <r>
    <x v="7"/>
    <n v="13.685499999999999"/>
    <n v="-89.200999999999993"/>
    <n v="4"/>
    <n v="0"/>
    <n v="0"/>
    <n v="107"/>
    <s v="_x0000_peopl"/>
  </r>
  <r>
    <x v="7"/>
    <n v="13.685600000000001"/>
    <n v="-89.200999999999993"/>
    <n v="4"/>
    <n v="0"/>
    <n v="0"/>
    <n v="107"/>
    <s v="_x0000_peopl"/>
  </r>
  <r>
    <x v="7"/>
    <n v="13.685700000000001"/>
    <n v="-89.200999999999993"/>
    <n v="6"/>
    <n v="0"/>
    <n v="0"/>
    <n v="107"/>
    <s v="_x0000_peopl"/>
  </r>
  <r>
    <x v="7"/>
    <n v="13.685700000000001"/>
    <n v="-89.200999999999993"/>
    <n v="3"/>
    <n v="0"/>
    <n v="0"/>
    <n v="107"/>
    <s v="_x0000_peopl"/>
  </r>
  <r>
    <x v="7"/>
    <n v="13.6858"/>
    <n v="-89.200999999999993"/>
    <n v="3"/>
    <n v="0"/>
    <n v="0"/>
    <n v="107"/>
    <s v="_x0000_peopl"/>
  </r>
  <r>
    <x v="7"/>
    <n v="13.6851"/>
    <n v="-89.201099999999997"/>
    <n v="5"/>
    <n v="0"/>
    <n v="0"/>
    <n v="107"/>
    <s v="_x0000_peopl"/>
  </r>
  <r>
    <x v="7"/>
    <n v="13.6852"/>
    <n v="-89.201099999999997"/>
    <n v="7"/>
    <n v="0"/>
    <n v="0"/>
    <n v="107"/>
    <s v="_x0000_peopl"/>
  </r>
  <r>
    <x v="7"/>
    <n v="13.6853"/>
    <n v="-89.200999999999993"/>
    <n v="6"/>
    <n v="0"/>
    <n v="0"/>
    <n v="107"/>
    <s v="_x0000_peopl"/>
  </r>
  <r>
    <x v="7"/>
    <n v="13.6877"/>
    <n v="-89.207400000000007"/>
    <n v="3"/>
    <n v="0"/>
    <n v="0"/>
    <n v="107"/>
    <s v="_x0000_peopl"/>
  </r>
  <r>
    <x v="7"/>
    <n v="13.6877"/>
    <n v="-89.207400000000007"/>
    <n v="6"/>
    <n v="0"/>
    <n v="0"/>
    <n v="107"/>
    <s v="_x0000_peopl"/>
  </r>
  <r>
    <x v="7"/>
    <n v="13.6876"/>
    <n v="-89.207400000000007"/>
    <n v="5"/>
    <n v="0"/>
    <n v="0"/>
    <n v="107"/>
    <s v="_x0000_peopl"/>
  </r>
  <r>
    <x v="7"/>
    <n v="13.6876"/>
    <n v="-89.207400000000007"/>
    <n v="4"/>
    <n v="0"/>
    <n v="0"/>
    <n v="107"/>
    <s v="_x0000_peopl"/>
  </r>
  <r>
    <x v="7"/>
    <n v="13.6876"/>
    <n v="-89.2072"/>
    <n v="7"/>
    <n v="0"/>
    <n v="0"/>
    <n v="107"/>
    <s v="_x0000_peopl"/>
  </r>
  <r>
    <x v="7"/>
    <n v="13.6876"/>
    <n v="-89.2072"/>
    <n v="8"/>
    <n v="0"/>
    <n v="0"/>
    <n v="107"/>
    <s v="_x0000_peopl"/>
  </r>
  <r>
    <x v="7"/>
    <n v="13.6876"/>
    <n v="-89.2072"/>
    <n v="4"/>
    <n v="0"/>
    <n v="0"/>
    <n v="107"/>
    <s v="_x0000_peopl"/>
  </r>
  <r>
    <x v="7"/>
    <n v="13.6876"/>
    <n v="-89.2072"/>
    <n v="4"/>
    <n v="0"/>
    <n v="0"/>
    <n v="107"/>
    <s v="_x0000_peopl"/>
  </r>
  <r>
    <x v="7"/>
    <n v="13.6876"/>
    <n v="-89.2072"/>
    <n v="0"/>
    <n v="0"/>
    <n v="0"/>
    <n v="107"/>
    <s v="_x0000_peopl"/>
  </r>
  <r>
    <x v="7"/>
    <n v="13.6876"/>
    <n v="-89.2072"/>
    <n v="3"/>
    <n v="0"/>
    <n v="0"/>
    <n v="107"/>
    <s v="_x0000_peopl"/>
  </r>
  <r>
    <x v="7"/>
    <n v="13.6876"/>
    <n v="-89.2072"/>
    <n v="6"/>
    <n v="0"/>
    <n v="0"/>
    <n v="107"/>
    <s v="_x0000_peopl"/>
  </r>
  <r>
    <x v="7"/>
    <n v="13.6876"/>
    <n v="-89.207499999999996"/>
    <n v="6"/>
    <n v="0"/>
    <n v="0"/>
    <n v="107"/>
    <s v="_x0000_peopl"/>
  </r>
  <r>
    <x v="7"/>
    <n v="13.6876"/>
    <n v="-89.207499999999996"/>
    <n v="7"/>
    <n v="0"/>
    <n v="0"/>
    <n v="107"/>
    <s v="_x0000_peopl"/>
  </r>
  <r>
    <x v="7"/>
    <n v="13.6876"/>
    <n v="-89.207499999999996"/>
    <n v="5"/>
    <n v="0"/>
    <n v="0"/>
    <n v="107"/>
    <s v="_x0000_peopl"/>
  </r>
  <r>
    <x v="7"/>
    <n v="13.6876"/>
    <n v="-89.207499999999996"/>
    <n v="3"/>
    <n v="0"/>
    <n v="0"/>
    <n v="107"/>
    <s v="_x0000_peopl"/>
  </r>
  <r>
    <x v="7"/>
    <n v="13.6875"/>
    <n v="-89.2072"/>
    <n v="7"/>
    <n v="0"/>
    <n v="0"/>
    <n v="107"/>
    <s v="_x0000_peopl"/>
  </r>
  <r>
    <x v="7"/>
    <n v="13.6875"/>
    <n v="-89.2072"/>
    <n v="6"/>
    <n v="0"/>
    <n v="0"/>
    <n v="107"/>
    <s v="_x0000_peopl"/>
  </r>
  <r>
    <x v="7"/>
    <n v="13.6875"/>
    <n v="-89.2072"/>
    <n v="6"/>
    <n v="0"/>
    <n v="0"/>
    <n v="107"/>
    <s v="_x0000_peopl"/>
  </r>
  <r>
    <x v="7"/>
    <n v="13.6875"/>
    <n v="-89.2072"/>
    <n v="6"/>
    <n v="0"/>
    <n v="0"/>
    <n v="107"/>
    <s v="_x0000_peopl"/>
  </r>
  <r>
    <x v="7"/>
    <n v="13.6875"/>
    <n v="-89.2072"/>
    <n v="6"/>
    <n v="0"/>
    <n v="0"/>
    <n v="107"/>
    <s v="_x0000_peopl"/>
  </r>
  <r>
    <x v="7"/>
    <n v="13.6874"/>
    <n v="-89.207300000000004"/>
    <n v="4"/>
    <n v="0"/>
    <n v="0"/>
    <n v="107"/>
    <s v="_x0000_peopl"/>
  </r>
  <r>
    <x v="7"/>
    <n v="13.6874"/>
    <n v="-89.207300000000004"/>
    <n v="4"/>
    <n v="0"/>
    <n v="0"/>
    <n v="107"/>
    <s v="_x0000_peopl"/>
  </r>
  <r>
    <x v="7"/>
    <n v="13.6874"/>
    <n v="-89.207300000000004"/>
    <n v="5"/>
    <n v="0"/>
    <n v="0"/>
    <n v="107"/>
    <s v="_x0000_peopl"/>
  </r>
  <r>
    <x v="7"/>
    <n v="13.6874"/>
    <n v="-89.207300000000004"/>
    <n v="5"/>
    <n v="0"/>
    <n v="0"/>
    <n v="107"/>
    <s v="_x0000_peopl"/>
  </r>
  <r>
    <x v="7"/>
    <n v="13.6875"/>
    <n v="-89.207499999999996"/>
    <n v="6"/>
    <n v="0"/>
    <n v="0"/>
    <n v="107"/>
    <s v="_x0000_peopl"/>
  </r>
  <r>
    <x v="7"/>
    <n v="13.6875"/>
    <n v="-89.207499999999996"/>
    <n v="3"/>
    <n v="0"/>
    <n v="0"/>
    <n v="107"/>
    <s v="_x0000_peopl"/>
  </r>
  <r>
    <x v="7"/>
    <n v="13.6875"/>
    <n v="-89.207499999999996"/>
    <n v="2"/>
    <n v="0"/>
    <n v="0"/>
    <n v="107"/>
    <s v="_x0000_peopl"/>
  </r>
  <r>
    <x v="7"/>
    <n v="13.6875"/>
    <n v="-89.207499999999996"/>
    <n v="7"/>
    <n v="0"/>
    <n v="0"/>
    <n v="107"/>
    <s v="_x0000_peopl"/>
  </r>
  <r>
    <x v="7"/>
    <n v="13.6874"/>
    <n v="-89.207499999999996"/>
    <n v="3"/>
    <n v="0"/>
    <n v="0"/>
    <n v="107"/>
    <s v="_x0000_peopl"/>
  </r>
  <r>
    <x v="7"/>
    <n v="13.6874"/>
    <n v="-89.207499999999996"/>
    <n v="4"/>
    <n v="0"/>
    <n v="0"/>
    <n v="107"/>
    <s v="_x0000_peopl"/>
  </r>
  <r>
    <x v="7"/>
    <n v="13.6874"/>
    <n v="-89.207499999999996"/>
    <n v="8"/>
    <n v="0"/>
    <n v="0"/>
    <n v="107"/>
    <s v="_x0000_peopl"/>
  </r>
  <r>
    <x v="7"/>
    <n v="13.6874"/>
    <n v="-89.207499999999996"/>
    <n v="3"/>
    <n v="0"/>
    <n v="0"/>
    <n v="107"/>
    <s v="_x0000_peopl"/>
  </r>
  <r>
    <x v="7"/>
    <n v="13.687799999999999"/>
    <n v="-89.208699999999993"/>
    <n v="2"/>
    <n v="0"/>
    <n v="0"/>
    <n v="107"/>
    <s v="_x0000_peopl"/>
  </r>
  <r>
    <x v="7"/>
    <n v="13.687799999999999"/>
    <n v="-89.208699999999993"/>
    <n v="7"/>
    <n v="0"/>
    <n v="0"/>
    <n v="107"/>
    <s v="_x0000_peopl"/>
  </r>
  <r>
    <x v="7"/>
    <n v="13.687799999999999"/>
    <n v="-89.208699999999993"/>
    <n v="2"/>
    <n v="0"/>
    <n v="0"/>
    <n v="107"/>
    <s v="_x0000_peopl"/>
  </r>
  <r>
    <x v="7"/>
    <n v="13.687799999999999"/>
    <n v="-89.208699999999993"/>
    <n v="4"/>
    <n v="0"/>
    <n v="0"/>
    <n v="107"/>
    <s v="_x0000_peopl"/>
  </r>
  <r>
    <x v="7"/>
    <n v="13.687799999999999"/>
    <n v="-89.208600000000004"/>
    <n v="4"/>
    <n v="0"/>
    <n v="0"/>
    <n v="107"/>
    <s v="_x0000_peopl"/>
  </r>
  <r>
    <x v="7"/>
    <n v="13.687799999999999"/>
    <n v="-89.208600000000004"/>
    <n v="4"/>
    <n v="0"/>
    <n v="0"/>
    <n v="107"/>
    <s v="_x0000_peopl"/>
  </r>
  <r>
    <x v="7"/>
    <n v="13.687799999999999"/>
    <n v="-89.208600000000004"/>
    <n v="5"/>
    <n v="0"/>
    <n v="0"/>
    <n v="107"/>
    <s v="_x0000_peopl"/>
  </r>
  <r>
    <x v="7"/>
    <n v="13.6877"/>
    <n v="-89.208600000000004"/>
    <n v="8"/>
    <n v="0"/>
    <n v="0"/>
    <n v="107"/>
    <s v="_x0000_peopl"/>
  </r>
  <r>
    <x v="7"/>
    <n v="13.687900000000001"/>
    <n v="-89.208699999999993"/>
    <n v="8"/>
    <n v="0"/>
    <n v="0"/>
    <n v="107"/>
    <s v="_x0000_peopl"/>
  </r>
  <r>
    <x v="7"/>
    <n v="13.687900000000001"/>
    <n v="-89.208699999999993"/>
    <n v="5"/>
    <n v="0"/>
    <n v="0"/>
    <n v="107"/>
    <s v="_x0000_peopl"/>
  </r>
  <r>
    <x v="7"/>
    <n v="13.687900000000001"/>
    <n v="-89.208399999999997"/>
    <n v="4"/>
    <n v="0"/>
    <n v="0"/>
    <n v="107"/>
    <s v="_x0000_peopl"/>
  </r>
  <r>
    <x v="7"/>
    <n v="13.687799999999999"/>
    <n v="-89.208399999999997"/>
    <n v="6"/>
    <n v="0"/>
    <n v="0"/>
    <n v="107"/>
    <s v="_x0000_peopl"/>
  </r>
  <r>
    <x v="7"/>
    <n v="13.687799999999999"/>
    <n v="-89.208399999999997"/>
    <n v="10"/>
    <n v="0"/>
    <n v="0"/>
    <n v="107"/>
    <s v="_x0000_peopl"/>
  </r>
  <r>
    <x v="7"/>
    <n v="13.687799999999999"/>
    <n v="-89.208500000000001"/>
    <n v="9"/>
    <n v="0"/>
    <n v="0"/>
    <n v="107"/>
    <s v="_x0000_peopl"/>
  </r>
  <r>
    <x v="7"/>
    <n v="13.687799999999999"/>
    <n v="-89.208500000000001"/>
    <n v="1"/>
    <n v="0"/>
    <n v="0"/>
    <n v="107"/>
    <s v="_x0000_peopl"/>
  </r>
  <r>
    <x v="7"/>
    <n v="13.687799999999999"/>
    <n v="-89.208500000000001"/>
    <n v="3"/>
    <n v="0"/>
    <n v="0"/>
    <n v="107"/>
    <s v="_x0000_peopl"/>
  </r>
  <r>
    <x v="7"/>
    <n v="13.687799999999999"/>
    <n v="-89.208500000000001"/>
    <n v="6"/>
    <n v="0"/>
    <n v="0"/>
    <n v="107"/>
    <s v="_x0000_peopl"/>
  </r>
  <r>
    <x v="7"/>
    <n v="13.6877"/>
    <n v="-89.208500000000001"/>
    <n v="2"/>
    <n v="0"/>
    <n v="0"/>
    <n v="107"/>
    <s v="_x0000_peopl"/>
  </r>
  <r>
    <x v="7"/>
    <n v="13.6877"/>
    <n v="-89.208299999999994"/>
    <n v="7"/>
    <n v="0"/>
    <n v="0"/>
    <n v="107"/>
    <s v="_x0000_peopl"/>
  </r>
  <r>
    <x v="7"/>
    <n v="13.6877"/>
    <n v="-89.208299999999994"/>
    <n v="5"/>
    <n v="0"/>
    <n v="0"/>
    <n v="107"/>
    <s v="_x0000_peopl"/>
  </r>
  <r>
    <x v="7"/>
    <n v="13.6877"/>
    <n v="-89.208299999999994"/>
    <n v="8"/>
    <n v="0"/>
    <n v="0"/>
    <n v="107"/>
    <s v="_x0000_peopl"/>
  </r>
  <r>
    <x v="7"/>
    <n v="13.6876"/>
    <n v="-89.208299999999994"/>
    <n v="7"/>
    <n v="0"/>
    <n v="0"/>
    <n v="107"/>
    <s v="_x0000_peopl"/>
  </r>
  <r>
    <x v="7"/>
    <n v="13.6876"/>
    <n v="-89.208299999999994"/>
    <n v="3"/>
    <n v="0"/>
    <n v="0"/>
    <n v="107"/>
    <s v="_x0000_peopl"/>
  </r>
  <r>
    <x v="7"/>
    <n v="13.6876"/>
    <n v="-89.208299999999994"/>
    <n v="5"/>
    <n v="0"/>
    <n v="0"/>
    <n v="107"/>
    <s v="_x0000_peopl"/>
  </r>
  <r>
    <x v="7"/>
    <n v="13.6876"/>
    <n v="-89.208299999999994"/>
    <n v="3"/>
    <n v="0"/>
    <n v="0"/>
    <n v="107"/>
    <s v="_x0000_peopl"/>
  </r>
  <r>
    <x v="7"/>
    <n v="13.6876"/>
    <n v="-89.208299999999994"/>
    <n v="8"/>
    <n v="0"/>
    <n v="0"/>
    <n v="107"/>
    <s v="_x0000_peopl"/>
  </r>
  <r>
    <x v="7"/>
    <n v="13.6877"/>
    <n v="-89.208500000000001"/>
    <n v="4"/>
    <n v="0"/>
    <n v="0"/>
    <n v="107"/>
    <s v="_x0000_peopl"/>
  </r>
  <r>
    <x v="7"/>
    <n v="13.6877"/>
    <n v="-89.208500000000001"/>
    <n v="6"/>
    <n v="0"/>
    <n v="0"/>
    <n v="107"/>
    <s v="_x0000_peopl"/>
  </r>
  <r>
    <x v="7"/>
    <n v="13.6877"/>
    <n v="-89.208500000000001"/>
    <n v="3"/>
    <n v="0"/>
    <n v="0"/>
    <n v="107"/>
    <s v="_x0000_peopl"/>
  </r>
  <r>
    <x v="7"/>
    <n v="13.6877"/>
    <n v="-89.208500000000001"/>
    <n v="5"/>
    <n v="0"/>
    <n v="0"/>
    <n v="107"/>
    <s v="_x0000_peopl"/>
  </r>
  <r>
    <x v="7"/>
    <n v="13.6876"/>
    <n v="-89.208500000000001"/>
    <n v="7"/>
    <n v="0"/>
    <n v="0"/>
    <n v="107"/>
    <s v="_x0000_peopl"/>
  </r>
  <r>
    <x v="7"/>
    <n v="13.6876"/>
    <n v="-89.208500000000001"/>
    <n v="5"/>
    <n v="0"/>
    <n v="0"/>
    <n v="107"/>
    <s v="_x0000_peopl"/>
  </r>
  <r>
    <x v="7"/>
    <n v="13.6876"/>
    <n v="-89.208500000000001"/>
    <n v="7"/>
    <n v="0"/>
    <n v="0"/>
    <n v="107"/>
    <s v="_x0000_peopl"/>
  </r>
  <r>
    <x v="7"/>
    <n v="13.6876"/>
    <n v="-89.208500000000001"/>
    <n v="8"/>
    <n v="0"/>
    <n v="0"/>
    <n v="107"/>
    <s v="_x0000_peopl"/>
  </r>
  <r>
    <x v="7"/>
    <n v="13.6876"/>
    <n v="-89.208600000000004"/>
    <n v="5"/>
    <n v="0"/>
    <n v="0"/>
    <n v="107"/>
    <s v="_x0000_peopl"/>
  </r>
  <r>
    <x v="7"/>
    <n v="13.6876"/>
    <n v="-89.208600000000004"/>
    <n v="5"/>
    <n v="0"/>
    <n v="0"/>
    <n v="107"/>
    <s v="_x0000_peopl"/>
  </r>
  <r>
    <x v="7"/>
    <n v="13.6876"/>
    <n v="-89.208600000000004"/>
    <n v="5"/>
    <n v="0"/>
    <n v="0"/>
    <n v="107"/>
    <s v="_x0000_peopl"/>
  </r>
  <r>
    <x v="7"/>
    <n v="13.6876"/>
    <n v="-89.208600000000004"/>
    <n v="3"/>
    <n v="0"/>
    <n v="0"/>
    <n v="107"/>
    <s v="_x0000_peopl"/>
  </r>
  <r>
    <x v="7"/>
    <n v="13.6876"/>
    <n v="-89.208699999999993"/>
    <n v="4"/>
    <n v="0"/>
    <n v="0"/>
    <n v="107"/>
    <s v="_x0000_peopl"/>
  </r>
  <r>
    <x v="7"/>
    <n v="13.6876"/>
    <n v="-89.208699999999993"/>
    <n v="5"/>
    <n v="0"/>
    <n v="0"/>
    <n v="107"/>
    <s v="_x0000_peopl"/>
  </r>
  <r>
    <x v="7"/>
    <n v="13.6876"/>
    <n v="-89.208699999999993"/>
    <n v="5"/>
    <n v="0"/>
    <n v="0"/>
    <n v="107"/>
    <s v="_x0000_peopl"/>
  </r>
  <r>
    <x v="7"/>
    <n v="13.6876"/>
    <n v="-89.208699999999993"/>
    <n v="3"/>
    <n v="0"/>
    <n v="0"/>
    <n v="107"/>
    <s v="_x0000_peopl"/>
  </r>
  <r>
    <x v="7"/>
    <n v="13.687799999999999"/>
    <n v="-89.208200000000005"/>
    <n v="4"/>
    <n v="0"/>
    <n v="0"/>
    <n v="107"/>
    <s v="_x0000_peopl"/>
  </r>
  <r>
    <x v="7"/>
    <n v="13.687799999999999"/>
    <n v="-89.208200000000005"/>
    <n v="4"/>
    <n v="0"/>
    <n v="0"/>
    <n v="107"/>
    <s v="_x0000_peopl"/>
  </r>
  <r>
    <x v="7"/>
    <n v="13.687799999999999"/>
    <n v="-89.208200000000005"/>
    <n v="3"/>
    <n v="0"/>
    <n v="0"/>
    <n v="107"/>
    <s v="_x0000_peopl"/>
  </r>
  <r>
    <x v="7"/>
    <n v="13.687799999999999"/>
    <n v="-89.208200000000005"/>
    <n v="5"/>
    <n v="0"/>
    <n v="0"/>
    <n v="107"/>
    <s v="_x0000_peopl"/>
  </r>
  <r>
    <x v="7"/>
    <n v="13.687799999999999"/>
    <n v="-89.208200000000005"/>
    <n v="3"/>
    <n v="0"/>
    <n v="0"/>
    <n v="107"/>
    <s v="_x0000_peopl"/>
  </r>
  <r>
    <x v="7"/>
    <n v="13.6877"/>
    <n v="-89.208200000000005"/>
    <n v="10"/>
    <n v="0"/>
    <n v="0"/>
    <n v="107"/>
    <s v="_x0000_peopl"/>
  </r>
  <r>
    <x v="7"/>
    <n v="13.6877"/>
    <n v="-89.208200000000005"/>
    <n v="6"/>
    <n v="0"/>
    <n v="0"/>
    <n v="107"/>
    <s v="_x0000_peopl"/>
  </r>
  <r>
    <x v="7"/>
    <n v="13.6877"/>
    <n v="-89.208200000000005"/>
    <n v="5"/>
    <n v="0"/>
    <n v="0"/>
    <n v="107"/>
    <s v="_x0000_peopl"/>
  </r>
  <r>
    <x v="7"/>
    <n v="13.687799999999999"/>
    <n v="-89.207999999999998"/>
    <n v="2"/>
    <n v="0"/>
    <n v="0"/>
    <n v="107"/>
    <s v="_x0000_peopl"/>
  </r>
  <r>
    <x v="7"/>
    <n v="13.687799999999999"/>
    <n v="-89.207999999999998"/>
    <n v="4"/>
    <n v="0"/>
    <n v="0"/>
    <n v="107"/>
    <s v="_x0000_peopl"/>
  </r>
  <r>
    <x v="7"/>
    <n v="13.687799999999999"/>
    <n v="-89.207999999999998"/>
    <n v="5"/>
    <n v="0"/>
    <n v="0"/>
    <n v="107"/>
    <s v="_x0000_peopl"/>
  </r>
  <r>
    <x v="7"/>
    <n v="13.687799999999999"/>
    <n v="-89.207999999999998"/>
    <n v="7"/>
    <n v="0"/>
    <n v="0"/>
    <n v="107"/>
    <s v="_x0000_peopl"/>
  </r>
  <r>
    <x v="7"/>
    <n v="13.6877"/>
    <n v="-89.207999999999998"/>
    <n v="6"/>
    <n v="0"/>
    <n v="0"/>
    <n v="107"/>
    <s v="_x0000_peopl"/>
  </r>
  <r>
    <x v="7"/>
    <n v="13.6877"/>
    <n v="-89.207999999999998"/>
    <n v="5"/>
    <n v="0"/>
    <n v="0"/>
    <n v="107"/>
    <s v="_x0000_peopl"/>
  </r>
  <r>
    <x v="7"/>
    <n v="13.6877"/>
    <n v="-89.207999999999998"/>
    <n v="5"/>
    <n v="0"/>
    <n v="0"/>
    <n v="107"/>
    <s v="_x0000_peopl"/>
  </r>
  <r>
    <x v="7"/>
    <n v="13.6877"/>
    <n v="-89.208100000000002"/>
    <n v="6"/>
    <n v="0"/>
    <n v="0"/>
    <n v="107"/>
    <s v="_x0000_peopl"/>
  </r>
  <r>
    <x v="7"/>
    <n v="13.6877"/>
    <n v="-89.208100000000002"/>
    <n v="3"/>
    <n v="0"/>
    <n v="0"/>
    <n v="107"/>
    <s v="_x0000_peopl"/>
  </r>
  <r>
    <x v="7"/>
    <n v="13.6876"/>
    <n v="-89.208100000000002"/>
    <n v="7"/>
    <n v="0"/>
    <n v="0"/>
    <n v="107"/>
    <s v="_x0000_peopl"/>
  </r>
  <r>
    <x v="7"/>
    <n v="13.6876"/>
    <n v="-89.208100000000002"/>
    <n v="7"/>
    <n v="0"/>
    <n v="0"/>
    <n v="107"/>
    <s v="_x0000_peopl"/>
  </r>
  <r>
    <x v="7"/>
    <n v="13.6876"/>
    <n v="-89.208100000000002"/>
    <n v="9"/>
    <n v="0"/>
    <n v="0"/>
    <n v="107"/>
    <s v="_x0000_peopl"/>
  </r>
  <r>
    <x v="7"/>
    <n v="13.6876"/>
    <n v="-89.208100000000002"/>
    <n v="5"/>
    <n v="0"/>
    <n v="0"/>
    <n v="107"/>
    <s v="_x0000_peopl"/>
  </r>
  <r>
    <x v="7"/>
    <n v="13.6876"/>
    <n v="-89.208100000000002"/>
    <n v="5"/>
    <n v="0"/>
    <n v="0"/>
    <n v="107"/>
    <s v="_x0000_peopl"/>
  </r>
  <r>
    <x v="7"/>
    <n v="13.6876"/>
    <n v="-89.208100000000002"/>
    <n v="5"/>
    <n v="0"/>
    <n v="0"/>
    <n v="107"/>
    <s v="_x0000_peopl"/>
  </r>
  <r>
    <x v="7"/>
    <n v="13.6875"/>
    <n v="-89.208100000000002"/>
    <n v="4"/>
    <n v="0"/>
    <n v="0"/>
    <n v="107"/>
    <s v="_x0000_peopl"/>
  </r>
  <r>
    <x v="7"/>
    <n v="13.686500000000001"/>
    <n v="-89.206299999999999"/>
    <n v="6"/>
    <n v="0"/>
    <n v="0"/>
    <n v="107"/>
    <s v="_x0000_peopl"/>
  </r>
  <r>
    <x v="7"/>
    <n v="13.686400000000001"/>
    <n v="-89.206199999999995"/>
    <n v="5"/>
    <n v="0"/>
    <n v="0"/>
    <n v="107"/>
    <s v="_x0000_peopl"/>
  </r>
  <r>
    <x v="7"/>
    <n v="13.686400000000001"/>
    <n v="-89.206100000000006"/>
    <n v="4"/>
    <n v="0"/>
    <n v="0"/>
    <n v="107"/>
    <s v="_x0000_peopl"/>
  </r>
  <r>
    <x v="7"/>
    <n v="13.686400000000001"/>
    <n v="-89.206000000000003"/>
    <n v="4"/>
    <n v="0"/>
    <n v="0"/>
    <n v="107"/>
    <s v="_x0000_peopl"/>
  </r>
  <r>
    <x v="7"/>
    <n v="13.686400000000001"/>
    <n v="-89.2059"/>
    <n v="3"/>
    <n v="0"/>
    <n v="0"/>
    <n v="107"/>
    <s v="_x0000_peopl"/>
  </r>
  <r>
    <x v="7"/>
    <n v="13.686500000000001"/>
    <n v="-89.205799999999996"/>
    <n v="1"/>
    <n v="0"/>
    <n v="0"/>
    <n v="107"/>
    <s v="_x0000_peopl"/>
  </r>
  <r>
    <x v="7"/>
    <n v="13.6867"/>
    <n v="-89.206400000000002"/>
    <n v="5"/>
    <n v="0"/>
    <n v="0"/>
    <n v="107"/>
    <s v="_x0000_peopl"/>
  </r>
  <r>
    <x v="7"/>
    <n v="13.6867"/>
    <n v="-89.206299999999999"/>
    <n v="6"/>
    <n v="0"/>
    <n v="0"/>
    <n v="107"/>
    <s v="_x0000_peopl"/>
  </r>
  <r>
    <x v="7"/>
    <n v="13.6867"/>
    <n v="-89.206299999999999"/>
    <n v="4"/>
    <n v="0"/>
    <n v="0"/>
    <n v="107"/>
    <s v="_x0000_peopl"/>
  </r>
  <r>
    <x v="7"/>
    <n v="13.6867"/>
    <n v="-89.206299999999999"/>
    <n v="8"/>
    <n v="0"/>
    <n v="0"/>
    <n v="107"/>
    <s v="_x0000_peopl"/>
  </r>
  <r>
    <x v="7"/>
    <n v="13.6866"/>
    <n v="-89.2059"/>
    <n v="5"/>
    <n v="0"/>
    <n v="0"/>
    <n v="107"/>
    <s v="_x0000_peopl"/>
  </r>
  <r>
    <x v="7"/>
    <n v="13.6867"/>
    <n v="-89.2059"/>
    <n v="5"/>
    <n v="0"/>
    <n v="0"/>
    <n v="107"/>
    <s v="_x0000_peopl"/>
  </r>
  <r>
    <x v="7"/>
    <n v="13.6867"/>
    <n v="-89.2059"/>
    <n v="7"/>
    <n v="0"/>
    <n v="0"/>
    <n v="107"/>
    <s v="_x0000_peopl"/>
  </r>
  <r>
    <x v="7"/>
    <n v="13.686299999999999"/>
    <n v="-89.206199999999995"/>
    <n v="6"/>
    <n v="0"/>
    <n v="0"/>
    <n v="107"/>
    <s v="_x0000_peopl"/>
  </r>
  <r>
    <x v="7"/>
    <n v="13.686299999999999"/>
    <n v="-89.2059"/>
    <n v="0"/>
    <n v="0"/>
    <n v="0"/>
    <n v="107"/>
    <s v="_x0000_peopl"/>
  </r>
  <r>
    <x v="7"/>
    <n v="13.686199999999999"/>
    <n v="-89.206000000000003"/>
    <n v="9"/>
    <n v="0"/>
    <n v="0"/>
    <n v="107"/>
    <s v="_x0000_peopl"/>
  </r>
  <r>
    <x v="7"/>
    <n v="13.687799999999999"/>
    <n v="-89.199299999999994"/>
    <n v="6"/>
    <n v="0"/>
    <n v="0"/>
    <n v="107"/>
    <s v="_x0000_peopl"/>
  </r>
  <r>
    <x v="7"/>
    <n v="13.687799999999999"/>
    <n v="-89.199299999999994"/>
    <n v="3"/>
    <n v="0"/>
    <n v="0"/>
    <n v="107"/>
    <s v="_x0000_peopl"/>
  </r>
  <r>
    <x v="7"/>
    <n v="13.687900000000001"/>
    <n v="-89.199299999999994"/>
    <n v="3"/>
    <n v="0"/>
    <n v="0"/>
    <n v="107"/>
    <s v="_x0000_peopl"/>
  </r>
  <r>
    <x v="7"/>
    <n v="13.6884"/>
    <n v="-89.199200000000005"/>
    <n v="6"/>
    <n v="0"/>
    <n v="0"/>
    <n v="107"/>
    <s v="_x0000_peopl"/>
  </r>
  <r>
    <x v="7"/>
    <n v="13.6881"/>
    <n v="-89.199299999999994"/>
    <n v="1"/>
    <n v="0"/>
    <n v="0"/>
    <n v="107"/>
    <s v="_x0000_peopl"/>
  </r>
  <r>
    <x v="7"/>
    <n v="13.690200000000001"/>
    <n v="-89.198300000000003"/>
    <n v="6"/>
    <n v="0"/>
    <n v="0"/>
    <n v="107"/>
    <s v="_x0000_peopl"/>
  </r>
  <r>
    <x v="7"/>
    <n v="13.690200000000001"/>
    <n v="-89.198300000000003"/>
    <n v="4"/>
    <n v="0"/>
    <n v="0"/>
    <n v="107"/>
    <s v="_x0000_peopl"/>
  </r>
  <r>
    <x v="7"/>
    <n v="13.6876"/>
    <n v="-89.199100000000001"/>
    <n v="7"/>
    <n v="0"/>
    <n v="0"/>
    <n v="107"/>
    <s v="_x0000_peopl"/>
  </r>
  <r>
    <x v="7"/>
    <n v="13.6876"/>
    <n v="-89.198999999999998"/>
    <n v="4"/>
    <n v="0"/>
    <n v="0"/>
    <n v="107"/>
    <s v="_x0000_peopl"/>
  </r>
  <r>
    <x v="7"/>
    <n v="13.6876"/>
    <n v="-89.200400000000002"/>
    <n v="9"/>
    <n v="0"/>
    <n v="0"/>
    <n v="107"/>
    <s v="_x0000_peopl"/>
  </r>
  <r>
    <x v="7"/>
    <n v="13.687900000000001"/>
    <n v="-89.200299999999999"/>
    <n v="1"/>
    <n v="0"/>
    <n v="0"/>
    <n v="107"/>
    <s v="_x0000_peopl"/>
  </r>
  <r>
    <x v="7"/>
    <n v="13.6882"/>
    <n v="-89.200599999999994"/>
    <n v="7"/>
    <n v="0"/>
    <n v="0"/>
    <n v="107"/>
    <s v="_x0000_peopl"/>
  </r>
  <r>
    <x v="7"/>
    <n v="13.688000000000001"/>
    <n v="-89.200199999999995"/>
    <n v="8"/>
    <n v="0"/>
    <n v="0"/>
    <n v="107"/>
    <s v="_x0000_peopl"/>
  </r>
  <r>
    <x v="7"/>
    <n v="13.6881"/>
    <n v="-89.200699999999998"/>
    <n v="3"/>
    <n v="0"/>
    <n v="0"/>
    <n v="107"/>
    <s v="_x0000_peopl"/>
  </r>
  <r>
    <x v="7"/>
    <n v="13.689399999999999"/>
    <n v="-89.200400000000002"/>
    <n v="4"/>
    <n v="0"/>
    <n v="0"/>
    <n v="107"/>
    <s v="_x0000_peopl"/>
  </r>
  <r>
    <x v="7"/>
    <n v="13.689299999999999"/>
    <n v="-89.200599999999994"/>
    <n v="4"/>
    <n v="0"/>
    <n v="0"/>
    <n v="107"/>
    <s v="_x0000_peopl"/>
  </r>
  <r>
    <x v="7"/>
    <n v="13.689399999999999"/>
    <n v="-89.200599999999994"/>
    <n v="3"/>
    <n v="0"/>
    <n v="0"/>
    <n v="107"/>
    <s v="_x0000_peopl"/>
  </r>
  <r>
    <x v="7"/>
    <n v="13.689500000000001"/>
    <n v="-89.200599999999994"/>
    <n v="12"/>
    <n v="0"/>
    <n v="0"/>
    <n v="107"/>
    <s v="_x0000_peopl"/>
  </r>
  <r>
    <x v="7"/>
    <n v="13.689500000000001"/>
    <n v="-89.200500000000005"/>
    <n v="4"/>
    <n v="0"/>
    <n v="0"/>
    <n v="107"/>
    <s v="_x0000_peopl"/>
  </r>
  <r>
    <x v="7"/>
    <n v="13.689500000000001"/>
    <n v="-89.200400000000002"/>
    <n v="5"/>
    <n v="0"/>
    <n v="0"/>
    <n v="107"/>
    <s v="_x0000_peopl"/>
  </r>
  <r>
    <x v="7"/>
    <n v="13.689399999999999"/>
    <n v="-89.200299999999999"/>
    <n v="4"/>
    <n v="0"/>
    <n v="0"/>
    <n v="107"/>
    <s v="_x0000_peopl"/>
  </r>
  <r>
    <x v="7"/>
    <n v="13.689299999999999"/>
    <n v="-89.200299999999999"/>
    <n v="3"/>
    <n v="0"/>
    <n v="0"/>
    <n v="107"/>
    <s v="_x0000_peopl"/>
  </r>
  <r>
    <x v="7"/>
    <n v="13.6892"/>
    <n v="-89.200500000000005"/>
    <n v="7"/>
    <n v="0"/>
    <n v="0"/>
    <n v="107"/>
    <s v="_x0000_peopl"/>
  </r>
  <r>
    <x v="7"/>
    <n v="13.689500000000001"/>
    <n v="-89.200199999999995"/>
    <n v="1"/>
    <n v="0"/>
    <n v="0"/>
    <n v="107"/>
    <s v="_x0000_peopl"/>
  </r>
  <r>
    <x v="7"/>
    <n v="13.689299999999999"/>
    <n v="-89.200199999999995"/>
    <n v="2"/>
    <n v="0"/>
    <n v="0"/>
    <n v="107"/>
    <s v="_x0000_peopl"/>
  </r>
  <r>
    <x v="7"/>
    <n v="13.689500000000001"/>
    <n v="-89.200100000000006"/>
    <n v="2"/>
    <n v="0"/>
    <n v="0"/>
    <n v="107"/>
    <s v="_x0000_peopl"/>
  </r>
  <r>
    <x v="7"/>
    <n v="13.689399999999999"/>
    <n v="-89.2"/>
    <n v="7"/>
    <n v="0"/>
    <n v="0"/>
    <n v="107"/>
    <s v="_x0000_peopl"/>
  </r>
  <r>
    <x v="7"/>
    <n v="13.689399999999999"/>
    <n v="-89.1999"/>
    <n v="4"/>
    <n v="0"/>
    <n v="0"/>
    <n v="107"/>
    <s v="_x0000_peopl"/>
  </r>
  <r>
    <x v="7"/>
    <n v="13.6896"/>
    <n v="-89.2"/>
    <n v="3"/>
    <n v="0"/>
    <n v="0"/>
    <n v="107"/>
    <s v="_x0000_peopl"/>
  </r>
  <r>
    <x v="7"/>
    <n v="13.6896"/>
    <n v="-89.1999"/>
    <n v="8"/>
    <n v="0"/>
    <n v="0"/>
    <n v="107"/>
    <s v="_x0000_peopl"/>
  </r>
  <r>
    <x v="7"/>
    <n v="13.6891"/>
    <n v="-89.199200000000005"/>
    <n v="8"/>
    <n v="0"/>
    <n v="0"/>
    <n v="107"/>
    <s v="_x0000_peopl"/>
  </r>
  <r>
    <x v="7"/>
    <n v="13.6891"/>
    <n v="-89.199299999999994"/>
    <n v="4"/>
    <n v="0"/>
    <n v="0"/>
    <n v="107"/>
    <s v="_x0000_peopl"/>
  </r>
  <r>
    <x v="7"/>
    <n v="13.689500000000001"/>
    <n v="-89.198599999999999"/>
    <n v="4"/>
    <n v="0"/>
    <n v="0"/>
    <n v="107"/>
    <s v="_x0000_peopl"/>
  </r>
  <r>
    <x v="7"/>
    <n v="13.689500000000001"/>
    <n v="-89.198599999999999"/>
    <n v="1"/>
    <n v="0"/>
    <n v="0"/>
    <n v="107"/>
    <s v="_x0000_peopl"/>
  </r>
  <r>
    <x v="7"/>
    <n v="13.69"/>
    <n v="-89.198700000000002"/>
    <n v="6"/>
    <n v="0"/>
    <n v="0"/>
    <n v="107"/>
    <s v="_x0000_peopl"/>
  </r>
  <r>
    <x v="7"/>
    <n v="13.6905"/>
    <n v="-89.199399999999997"/>
    <n v="2"/>
    <n v="0"/>
    <n v="0"/>
    <n v="107"/>
    <s v="_x0000_peopl"/>
  </r>
  <r>
    <x v="7"/>
    <n v="13.6905"/>
    <n v="-89.199299999999994"/>
    <n v="3"/>
    <n v="0"/>
    <n v="0"/>
    <n v="107"/>
    <s v="_x0000_peopl"/>
  </r>
  <r>
    <x v="7"/>
    <n v="13.6907"/>
    <n v="-89.199299999999994"/>
    <n v="5"/>
    <n v="0"/>
    <n v="0"/>
    <n v="107"/>
    <s v="_x0000_peopl"/>
  </r>
  <r>
    <x v="7"/>
    <n v="13.6907"/>
    <n v="-89.199100000000001"/>
    <n v="4"/>
    <n v="0"/>
    <n v="0"/>
    <n v="107"/>
    <s v="_x0000_peopl"/>
  </r>
  <r>
    <x v="7"/>
    <n v="13.6906"/>
    <n v="-89.199100000000001"/>
    <n v="9"/>
    <n v="0"/>
    <n v="0"/>
    <n v="107"/>
    <s v="_x0000_peopl"/>
  </r>
  <r>
    <x v="7"/>
    <n v="13.6905"/>
    <n v="-89.198999999999998"/>
    <n v="4"/>
    <n v="0"/>
    <n v="0"/>
    <n v="107"/>
    <s v="_x0000_peopl"/>
  </r>
  <r>
    <x v="7"/>
    <n v="13.6906"/>
    <n v="-89.198800000000006"/>
    <n v="6"/>
    <n v="0"/>
    <n v="0"/>
    <n v="107"/>
    <s v="_x0000_peopl"/>
  </r>
  <r>
    <x v="7"/>
    <n v="13.6907"/>
    <n v="-89.198800000000006"/>
    <n v="2"/>
    <n v="0"/>
    <n v="0"/>
    <n v="107"/>
    <s v="_x0000_peopl"/>
  </r>
  <r>
    <x v="7"/>
    <n v="13.6897"/>
    <n v="-89.199399999999997"/>
    <n v="7"/>
    <n v="0"/>
    <n v="0"/>
    <n v="107"/>
    <s v="_x0000_peopl"/>
  </r>
  <r>
    <x v="7"/>
    <n v="13.686400000000001"/>
    <n v="-89.200400000000002"/>
    <n v="4"/>
    <n v="0"/>
    <n v="0"/>
    <n v="107"/>
    <s v="_x0000_peopl"/>
  </r>
  <r>
    <x v="7"/>
    <n v="13.686400000000001"/>
    <n v="-89.200400000000002"/>
    <n v="4"/>
    <n v="0"/>
    <n v="0"/>
    <n v="107"/>
    <s v="_x0000_peopl"/>
  </r>
  <r>
    <x v="7"/>
    <n v="13.686400000000001"/>
    <n v="-89.200400000000002"/>
    <n v="3"/>
    <n v="0"/>
    <n v="0"/>
    <n v="107"/>
    <s v="_x0000_peopl"/>
  </r>
  <r>
    <x v="7"/>
    <n v="13.686400000000001"/>
    <n v="-89.200299999999999"/>
    <n v="5"/>
    <n v="0"/>
    <n v="0"/>
    <n v="107"/>
    <s v="_x0000_peopl"/>
  </r>
  <r>
    <x v="7"/>
    <n v="13.686400000000001"/>
    <n v="-89.200299999999999"/>
    <n v="3"/>
    <n v="0"/>
    <n v="0"/>
    <n v="107"/>
    <s v="_x0000_peopl"/>
  </r>
  <r>
    <x v="7"/>
    <n v="13.686400000000001"/>
    <n v="-89.200299999999999"/>
    <n v="9"/>
    <n v="0"/>
    <n v="0"/>
    <n v="107"/>
    <s v="_x0000_peopl"/>
  </r>
  <r>
    <x v="7"/>
    <n v="13.686500000000001"/>
    <n v="-89.200199999999995"/>
    <n v="3"/>
    <n v="0"/>
    <n v="0"/>
    <n v="107"/>
    <s v="_x0000_peopl"/>
  </r>
  <r>
    <x v="7"/>
    <n v="13.686500000000001"/>
    <n v="-89.200199999999995"/>
    <n v="5"/>
    <n v="0"/>
    <n v="0"/>
    <n v="107"/>
    <s v="_x0000_peopl"/>
  </r>
  <r>
    <x v="7"/>
    <n v="13.686199999999999"/>
    <n v="-89.200199999999995"/>
    <n v="2"/>
    <n v="0"/>
    <n v="0"/>
    <n v="107"/>
    <s v="_x0000_peopl"/>
  </r>
  <r>
    <x v="7"/>
    <n v="13.686199999999999"/>
    <n v="-89.200199999999995"/>
    <n v="3"/>
    <n v="0"/>
    <n v="0"/>
    <n v="107"/>
    <s v="_x0000_peopl"/>
  </r>
  <r>
    <x v="7"/>
    <n v="13.686199999999999"/>
    <n v="-89.200199999999995"/>
    <n v="6"/>
    <n v="0"/>
    <n v="0"/>
    <n v="107"/>
    <s v="_x0000_peopl"/>
  </r>
  <r>
    <x v="7"/>
    <n v="13.686199999999999"/>
    <n v="-89.200199999999995"/>
    <n v="7"/>
    <n v="0"/>
    <n v="0"/>
    <n v="107"/>
    <s v="_x0000_peopl"/>
  </r>
  <r>
    <x v="7"/>
    <n v="13.686199999999999"/>
    <n v="-89.200199999999995"/>
    <n v="4"/>
    <n v="0"/>
    <n v="0"/>
    <n v="107"/>
    <s v="_x0000_peopl"/>
  </r>
  <r>
    <x v="7"/>
    <n v="13.686199999999999"/>
    <n v="-89.200199999999995"/>
    <n v="2"/>
    <n v="0"/>
    <n v="0"/>
    <n v="107"/>
    <s v="_x0000_peopl"/>
  </r>
  <r>
    <x v="7"/>
    <n v="13.686199999999999"/>
    <n v="-89.200100000000006"/>
    <n v="3"/>
    <n v="0"/>
    <n v="0"/>
    <n v="107"/>
    <s v="_x0000_peopl"/>
  </r>
  <r>
    <x v="7"/>
    <n v="13.686199999999999"/>
    <n v="-89.200100000000006"/>
    <n v="7"/>
    <n v="0"/>
    <n v="0"/>
    <n v="107"/>
    <s v="_x0000_peopl"/>
  </r>
  <r>
    <x v="7"/>
    <n v="13.686199999999999"/>
    <n v="-89.200100000000006"/>
    <n v="9"/>
    <n v="0"/>
    <n v="0"/>
    <n v="107"/>
    <s v="_x0000_peopl"/>
  </r>
  <r>
    <x v="7"/>
    <n v="13.686"/>
    <n v="-89.200100000000006"/>
    <n v="3"/>
    <n v="0"/>
    <n v="0"/>
    <n v="107"/>
    <s v="_x0000_peopl"/>
  </r>
  <r>
    <x v="7"/>
    <n v="13.686"/>
    <n v="-89.200100000000006"/>
    <n v="5"/>
    <n v="0"/>
    <n v="0"/>
    <n v="107"/>
    <s v="_x0000_peopl"/>
  </r>
  <r>
    <x v="7"/>
    <n v="13.686"/>
    <n v="-89.200100000000006"/>
    <n v="10"/>
    <n v="0"/>
    <n v="0"/>
    <n v="107"/>
    <s v="_x0000_peopl"/>
  </r>
  <r>
    <x v="7"/>
    <n v="13.6861"/>
    <n v="-89.1999"/>
    <n v="3"/>
    <n v="0"/>
    <n v="0"/>
    <n v="107"/>
    <s v="_x0000_peopl"/>
  </r>
  <r>
    <x v="7"/>
    <n v="13.6861"/>
    <n v="-89.1999"/>
    <n v="3"/>
    <n v="0"/>
    <n v="0"/>
    <n v="107"/>
    <s v="_x0000_peopl"/>
  </r>
  <r>
    <x v="7"/>
    <n v="13.6861"/>
    <n v="-89.1999"/>
    <n v="8"/>
    <n v="0"/>
    <n v="0"/>
    <n v="107"/>
    <s v="_x0000_peopl"/>
  </r>
  <r>
    <x v="7"/>
    <n v="13.686"/>
    <n v="-89.1999"/>
    <n v="5"/>
    <n v="0"/>
    <n v="0"/>
    <n v="107"/>
    <s v="_x0000_peopl"/>
  </r>
  <r>
    <x v="7"/>
    <n v="13.686"/>
    <n v="-89.1999"/>
    <n v="8"/>
    <n v="0"/>
    <n v="0"/>
    <n v="107"/>
    <s v="_x0000_peopl"/>
  </r>
  <r>
    <x v="7"/>
    <n v="13.686"/>
    <n v="-89.1999"/>
    <n v="6"/>
    <n v="0"/>
    <n v="0"/>
    <n v="107"/>
    <s v="_x0000_peopl"/>
  </r>
  <r>
    <x v="7"/>
    <n v="13.686"/>
    <n v="-89.2"/>
    <n v="5"/>
    <n v="0"/>
    <n v="0"/>
    <n v="107"/>
    <s v="_x0000_peopl"/>
  </r>
  <r>
    <x v="7"/>
    <n v="13.686"/>
    <n v="-89.2"/>
    <n v="6"/>
    <n v="0"/>
    <n v="0"/>
    <n v="107"/>
    <s v="_x0000_peopl"/>
  </r>
  <r>
    <x v="7"/>
    <n v="13.686299999999999"/>
    <n v="-89.200100000000006"/>
    <n v="6"/>
    <n v="0"/>
    <n v="0"/>
    <n v="107"/>
    <s v="_x0000_peopl"/>
  </r>
  <r>
    <x v="7"/>
    <n v="13.686299999999999"/>
    <n v="-89.200100000000006"/>
    <n v="2"/>
    <n v="0"/>
    <n v="0"/>
    <n v="107"/>
    <s v="_x0000_peopl"/>
  </r>
  <r>
    <x v="7"/>
    <n v="13.686299999999999"/>
    <n v="-89.200100000000006"/>
    <n v="3"/>
    <n v="0"/>
    <n v="0"/>
    <n v="107"/>
    <s v="_x0000_peopl"/>
  </r>
  <r>
    <x v="7"/>
    <n v="13.686299999999999"/>
    <n v="-89.200400000000002"/>
    <n v="4"/>
    <n v="0"/>
    <n v="0"/>
    <n v="107"/>
    <s v="_x0000_peopl"/>
  </r>
  <r>
    <x v="7"/>
    <n v="13.686299999999999"/>
    <n v="-89.200400000000002"/>
    <n v="5"/>
    <n v="0"/>
    <n v="0"/>
    <n v="107"/>
    <s v="_x0000_peopl"/>
  </r>
  <r>
    <x v="7"/>
    <n v="13.686299999999999"/>
    <n v="-89.200400000000002"/>
    <n v="4"/>
    <n v="0"/>
    <n v="0"/>
    <n v="107"/>
    <s v="_x0000_peopl"/>
  </r>
  <r>
    <x v="7"/>
    <n v="13.686199999999999"/>
    <n v="-89.200500000000005"/>
    <n v="4"/>
    <n v="0"/>
    <n v="0"/>
    <n v="107"/>
    <s v="_x0000_peopl"/>
  </r>
  <r>
    <x v="7"/>
    <n v="13.686199999999999"/>
    <n v="-89.200500000000005"/>
    <n v="1"/>
    <n v="0"/>
    <n v="0"/>
    <n v="107"/>
    <s v="_x0000_peopl"/>
  </r>
  <r>
    <x v="7"/>
    <n v="13.686199999999999"/>
    <n v="-89.200500000000005"/>
    <n v="4"/>
    <n v="0"/>
    <n v="0"/>
    <n v="107"/>
    <s v="_x0000_peopl"/>
  </r>
  <r>
    <x v="7"/>
    <n v="13.686199999999999"/>
    <n v="-89.200599999999994"/>
    <n v="7"/>
    <n v="0"/>
    <n v="0"/>
    <n v="107"/>
    <s v="_x0000_peopl"/>
  </r>
  <r>
    <x v="7"/>
    <n v="13.686199999999999"/>
    <n v="-89.200599999999994"/>
    <n v="4"/>
    <n v="0"/>
    <n v="0"/>
    <n v="107"/>
    <s v="_x0000_peopl"/>
  </r>
  <r>
    <x v="7"/>
    <n v="13.686199999999999"/>
    <n v="-89.200599999999994"/>
    <n v="3"/>
    <n v="0"/>
    <n v="0"/>
    <n v="107"/>
    <s v="_x0000_peopl"/>
  </r>
  <r>
    <x v="7"/>
    <n v="13.686"/>
    <n v="-89.200599999999994"/>
    <n v="9"/>
    <n v="0"/>
    <n v="0"/>
    <n v="107"/>
    <s v="_x0000_peopl"/>
  </r>
  <r>
    <x v="7"/>
    <n v="13.686"/>
    <n v="-89.200599999999994"/>
    <n v="5"/>
    <n v="0"/>
    <n v="0"/>
    <n v="107"/>
    <s v="_x0000_peopl"/>
  </r>
  <r>
    <x v="7"/>
    <n v="13.686199999999999"/>
    <n v="-89.200699999999998"/>
    <n v="4"/>
    <n v="0"/>
    <n v="0"/>
    <n v="107"/>
    <s v="_x0000_peopl"/>
  </r>
  <r>
    <x v="7"/>
    <n v="13.686199999999999"/>
    <n v="-89.200699999999998"/>
    <n v="5"/>
    <n v="0"/>
    <n v="0"/>
    <n v="107"/>
    <s v="_x0000_peopl"/>
  </r>
  <r>
    <x v="7"/>
    <n v="13.686199999999999"/>
    <n v="-89.200699999999998"/>
    <n v="7"/>
    <n v="0"/>
    <n v="0"/>
    <n v="107"/>
    <s v="_x0000_peopl"/>
  </r>
  <r>
    <x v="7"/>
    <n v="13.686199999999999"/>
    <n v="-89.200699999999998"/>
    <n v="3"/>
    <n v="0"/>
    <n v="0"/>
    <n v="107"/>
    <s v="_x0000_peopl"/>
  </r>
  <r>
    <x v="7"/>
    <n v="13.686199999999999"/>
    <n v="-89.200599999999994"/>
    <n v="3"/>
    <n v="0"/>
    <n v="0"/>
    <n v="107"/>
    <s v="_x0000_peopl"/>
  </r>
  <r>
    <x v="7"/>
    <n v="13.686199999999999"/>
    <n v="-89.200599999999994"/>
    <n v="6"/>
    <n v="0"/>
    <n v="0"/>
    <n v="107"/>
    <s v="_x0000_peopl"/>
  </r>
  <r>
    <x v="7"/>
    <n v="13.686199999999999"/>
    <n v="-89.200599999999994"/>
    <n v="4"/>
    <n v="0"/>
    <n v="0"/>
    <n v="107"/>
    <s v="_x0000_peopl"/>
  </r>
  <r>
    <x v="7"/>
    <n v="13.686199999999999"/>
    <n v="-89.200599999999994"/>
    <n v="3"/>
    <n v="0"/>
    <n v="0"/>
    <n v="107"/>
    <s v="_x0000_peopl"/>
  </r>
  <r>
    <x v="7"/>
    <n v="13.686199999999999"/>
    <n v="-89.200800000000001"/>
    <n v="6"/>
    <n v="0"/>
    <n v="0"/>
    <n v="107"/>
    <s v="_x0000_peopl"/>
  </r>
  <r>
    <x v="7"/>
    <n v="13.686199999999999"/>
    <n v="-89.200800000000001"/>
    <n v="4"/>
    <n v="0"/>
    <n v="0"/>
    <n v="107"/>
    <s v="_x0000_peopl"/>
  </r>
  <r>
    <x v="7"/>
    <n v="13.686199999999999"/>
    <n v="-89.200800000000001"/>
    <n v="9"/>
    <n v="0"/>
    <n v="0"/>
    <n v="107"/>
    <s v="_x0000_peopl"/>
  </r>
  <r>
    <x v="7"/>
    <n v="13.686500000000001"/>
    <n v="-89.200199999999995"/>
    <n v="9"/>
    <n v="0"/>
    <n v="0"/>
    <n v="107"/>
    <s v="_x0000_peopl"/>
  </r>
  <r>
    <x v="7"/>
    <n v="13.686500000000001"/>
    <n v="-89.200199999999995"/>
    <n v="2"/>
    <n v="0"/>
    <n v="0"/>
    <n v="107"/>
    <s v="_x0000_peopl"/>
  </r>
  <r>
    <x v="7"/>
    <n v="13.686500000000001"/>
    <n v="-89.200100000000006"/>
    <n v="5"/>
    <n v="0"/>
    <n v="0"/>
    <n v="107"/>
    <s v="_x0000_peopl"/>
  </r>
  <r>
    <x v="7"/>
    <n v="13.686500000000001"/>
    <n v="-89.2"/>
    <n v="7"/>
    <n v="0"/>
    <n v="0"/>
    <n v="107"/>
    <s v="_x0000_peopl"/>
  </r>
  <r>
    <x v="7"/>
    <n v="13.6866"/>
    <n v="-89.1999"/>
    <n v="7"/>
    <n v="0"/>
    <n v="0"/>
    <n v="107"/>
    <s v="_x0000_peopl"/>
  </r>
  <r>
    <x v="7"/>
    <n v="13.6866"/>
    <n v="-89.199799999999996"/>
    <n v="2"/>
    <n v="0"/>
    <n v="0"/>
    <n v="107"/>
    <s v="_x0000_peopl"/>
  </r>
  <r>
    <x v="7"/>
    <n v="13.6867"/>
    <n v="-89.2"/>
    <n v="8"/>
    <n v="0"/>
    <n v="0"/>
    <n v="107"/>
    <s v="_x0000_peopl"/>
  </r>
  <r>
    <x v="7"/>
    <n v="13.6867"/>
    <n v="-89.2"/>
    <n v="10"/>
    <n v="0"/>
    <n v="0"/>
    <n v="107"/>
    <s v="_x0000_peopl"/>
  </r>
  <r>
    <x v="7"/>
    <n v="13.6867"/>
    <n v="-89.2"/>
    <n v="6"/>
    <n v="0"/>
    <n v="0"/>
    <n v="107"/>
    <s v="_x0000_peopl"/>
  </r>
  <r>
    <x v="7"/>
    <n v="13.6867"/>
    <n v="-89.1999"/>
    <n v="2"/>
    <n v="0"/>
    <n v="0"/>
    <n v="107"/>
    <s v="_x0000_peopl"/>
  </r>
  <r>
    <x v="7"/>
    <n v="13.6868"/>
    <n v="-89.199799999999996"/>
    <n v="5"/>
    <n v="0"/>
    <n v="0"/>
    <n v="107"/>
    <s v="_x0000_peopl"/>
  </r>
  <r>
    <x v="7"/>
    <n v="13.6867"/>
    <n v="-89.1995"/>
    <n v="6"/>
    <n v="0"/>
    <n v="0"/>
    <n v="107"/>
    <s v="_x0000_peopl"/>
  </r>
  <r>
    <x v="7"/>
    <n v="13.6867"/>
    <n v="-89.1995"/>
    <n v="8"/>
    <n v="0"/>
    <n v="0"/>
    <n v="107"/>
    <s v="_x0000_peopl"/>
  </r>
  <r>
    <x v="7"/>
    <n v="13.6867"/>
    <n v="-89.1995"/>
    <n v="8"/>
    <n v="0"/>
    <n v="0"/>
    <n v="107"/>
    <s v="_x0000_peopl"/>
  </r>
  <r>
    <x v="7"/>
    <n v="13.6868"/>
    <n v="-89.199399999999997"/>
    <n v="3"/>
    <n v="0"/>
    <n v="0"/>
    <n v="107"/>
    <s v="_x0000_peopl"/>
  </r>
  <r>
    <x v="7"/>
    <n v="13.6868"/>
    <n v="-89.199399999999997"/>
    <n v="4"/>
    <n v="0"/>
    <n v="0"/>
    <n v="107"/>
    <s v="_x0000_peopl"/>
  </r>
  <r>
    <x v="7"/>
    <n v="13.6868"/>
    <n v="-89.199299999999994"/>
    <n v="0"/>
    <n v="0"/>
    <n v="0"/>
    <n v="107"/>
    <s v="_x0000_peopl"/>
  </r>
  <r>
    <x v="7"/>
    <n v="13.6868"/>
    <n v="-89.199299999999994"/>
    <n v="5"/>
    <n v="0"/>
    <n v="0"/>
    <n v="107"/>
    <s v="_x0000_peopl"/>
  </r>
  <r>
    <x v="7"/>
    <n v="13.686500000000001"/>
    <n v="-89.199399999999997"/>
    <n v="5"/>
    <n v="0"/>
    <n v="0"/>
    <n v="107"/>
    <s v="_x0000_peopl"/>
  </r>
  <r>
    <x v="7"/>
    <n v="13.686500000000001"/>
    <n v="-89.199399999999997"/>
    <n v="8"/>
    <n v="0"/>
    <n v="0"/>
    <n v="107"/>
    <s v="_x0000_peopl"/>
  </r>
  <r>
    <x v="7"/>
    <n v="13.6866"/>
    <n v="-89.199299999999994"/>
    <n v="3"/>
    <n v="0"/>
    <n v="0"/>
    <n v="107"/>
    <s v="_x0000_peopl"/>
  </r>
  <r>
    <x v="7"/>
    <n v="13.6866"/>
    <n v="-89.199200000000005"/>
    <n v="9"/>
    <n v="0"/>
    <n v="0"/>
    <n v="107"/>
    <s v="_x0000_peopl"/>
  </r>
  <r>
    <x v="7"/>
    <n v="13.6866"/>
    <n v="-89.199200000000005"/>
    <n v="3"/>
    <n v="0"/>
    <n v="0"/>
    <n v="107"/>
    <s v="_x0000_peopl"/>
  </r>
  <r>
    <x v="7"/>
    <n v="13.6866"/>
    <n v="-89.199200000000005"/>
    <n v="4"/>
    <n v="0"/>
    <n v="0"/>
    <n v="107"/>
    <s v="_x0000_peopl"/>
  </r>
  <r>
    <x v="7"/>
    <n v="13.686500000000001"/>
    <n v="-89.198800000000006"/>
    <n v="4"/>
    <n v="0"/>
    <n v="0"/>
    <n v="107"/>
    <s v="_x0000_peopl"/>
  </r>
  <r>
    <x v="7"/>
    <n v="13.686500000000001"/>
    <n v="-89.198800000000006"/>
    <n v="3"/>
    <n v="0"/>
    <n v="0"/>
    <n v="107"/>
    <s v="_x0000_peopl"/>
  </r>
  <r>
    <x v="7"/>
    <n v="13.686999999999999"/>
    <n v="-89.1995"/>
    <n v="3"/>
    <n v="0"/>
    <n v="0"/>
    <n v="107"/>
    <s v="_x0000_peopl"/>
  </r>
  <r>
    <x v="7"/>
    <n v="13.687099999999999"/>
    <n v="-89.199299999999994"/>
    <n v="6"/>
    <n v="0"/>
    <n v="0"/>
    <n v="107"/>
    <s v="_x0000_peopl"/>
  </r>
  <r>
    <x v="7"/>
    <n v="13.6866"/>
    <n v="-89.198599999999999"/>
    <n v="2"/>
    <n v="0"/>
    <n v="0"/>
    <n v="107"/>
    <s v="_x0000_peopl"/>
  </r>
  <r>
    <x v="7"/>
    <n v="13.6867"/>
    <n v="-89.198499999999996"/>
    <n v="6"/>
    <n v="0"/>
    <n v="0"/>
    <n v="107"/>
    <s v="_x0000_peopl"/>
  </r>
  <r>
    <x v="7"/>
    <n v="13.686999999999999"/>
    <n v="-89.198800000000006"/>
    <n v="8"/>
    <n v="0"/>
    <n v="0"/>
    <n v="107"/>
    <s v="_x0000_peopl"/>
  </r>
  <r>
    <x v="7"/>
    <n v="13.6869"/>
    <n v="-89.199200000000005"/>
    <n v="3"/>
    <n v="0"/>
    <n v="0"/>
    <n v="107"/>
    <s v="_x0000_peopl"/>
  </r>
  <r>
    <x v="7"/>
    <n v="13.6869"/>
    <n v="-89.199200000000005"/>
    <n v="5"/>
    <n v="0"/>
    <n v="0"/>
    <n v="107"/>
    <s v="_x0000_peopl"/>
  </r>
  <r>
    <x v="7"/>
    <n v="13.6869"/>
    <n v="-89.199200000000005"/>
    <n v="3"/>
    <n v="0"/>
    <n v="0"/>
    <n v="107"/>
    <s v="_x0000_peopl"/>
  </r>
  <r>
    <x v="7"/>
    <n v="13.686400000000001"/>
    <n v="-89.199100000000001"/>
    <n v="2"/>
    <n v="0"/>
    <n v="0"/>
    <n v="107"/>
    <s v="_x0000_peopl"/>
  </r>
  <r>
    <x v="7"/>
    <n v="13.686400000000001"/>
    <n v="-89.199100000000001"/>
    <n v="7"/>
    <n v="0"/>
    <n v="0"/>
    <n v="107"/>
    <s v="_x0000_peopl"/>
  </r>
  <r>
    <x v="7"/>
    <n v="13.686400000000001"/>
    <n v="-89.199100000000001"/>
    <n v="4"/>
    <n v="0"/>
    <n v="0"/>
    <n v="107"/>
    <s v="_x0000_peopl"/>
  </r>
  <r>
    <x v="7"/>
    <n v="13.686299999999999"/>
    <n v="-89.199100000000001"/>
    <n v="2"/>
    <n v="0"/>
    <n v="0"/>
    <n v="107"/>
    <s v="_x0000_peopl"/>
  </r>
  <r>
    <x v="7"/>
    <n v="13.686299999999999"/>
    <n v="-89.199100000000001"/>
    <n v="3"/>
    <n v="0"/>
    <n v="0"/>
    <n v="107"/>
    <s v="_x0000_peopl"/>
  </r>
  <r>
    <x v="7"/>
    <n v="13.686299999999999"/>
    <n v="-89.199100000000001"/>
    <n v="5"/>
    <n v="0"/>
    <n v="0"/>
    <n v="107"/>
    <s v="_x0000_peopl"/>
  </r>
  <r>
    <x v="7"/>
    <n v="13.687799999999999"/>
    <n v="-89.198400000000007"/>
    <n v="6"/>
    <n v="0"/>
    <n v="0"/>
    <n v="107"/>
    <s v="_x0000_peopl"/>
  </r>
  <r>
    <x v="7"/>
    <n v="13.687799999999999"/>
    <n v="-89.198400000000007"/>
    <n v="4"/>
    <n v="0"/>
    <n v="0"/>
    <n v="107"/>
    <s v="_x0000_peopl"/>
  </r>
  <r>
    <x v="7"/>
    <n v="13.687799999999999"/>
    <n v="-89.198300000000003"/>
    <n v="2"/>
    <n v="0"/>
    <n v="0"/>
    <n v="107"/>
    <s v="_x0000_peopl"/>
  </r>
  <r>
    <x v="7"/>
    <n v="13.696400000000001"/>
    <n v="-89.171499999999995"/>
    <n v="6"/>
    <n v="0"/>
    <n v="0"/>
    <n v="107"/>
    <s v="_x0000_peopl"/>
  </r>
  <r>
    <x v="7"/>
    <n v="13.6965"/>
    <n v="-89.171300000000002"/>
    <n v="4"/>
    <n v="0"/>
    <n v="0"/>
    <n v="107"/>
    <s v="_x0000_peopl"/>
  </r>
  <r>
    <x v="7"/>
    <n v="13.6965"/>
    <n v="-89.171300000000002"/>
    <n v="3"/>
    <n v="0"/>
    <n v="0"/>
    <n v="107"/>
    <s v="_x0000_peopl"/>
  </r>
  <r>
    <x v="7"/>
    <n v="13.6966"/>
    <n v="-89.171300000000002"/>
    <n v="8"/>
    <n v="0"/>
    <n v="0"/>
    <n v="107"/>
    <s v="_x0000_peopl"/>
  </r>
  <r>
    <x v="7"/>
    <n v="13.6966"/>
    <n v="-89.171300000000002"/>
    <n v="4"/>
    <n v="0"/>
    <n v="0"/>
    <n v="107"/>
    <s v="_x0000_peopl"/>
  </r>
  <r>
    <x v="7"/>
    <n v="13.696899999999999"/>
    <n v="-89.171199999999999"/>
    <n v="3"/>
    <n v="0"/>
    <n v="0"/>
    <n v="107"/>
    <s v="_x0000_peopl"/>
  </r>
  <r>
    <x v="7"/>
    <n v="13.696899999999999"/>
    <n v="-89.171199999999999"/>
    <n v="3"/>
    <n v="0"/>
    <n v="0"/>
    <n v="107"/>
    <s v="_x0000_peopl"/>
  </r>
  <r>
    <x v="7"/>
    <n v="13.6968"/>
    <n v="-89.171199999999999"/>
    <n v="1"/>
    <n v="0"/>
    <n v="0"/>
    <n v="107"/>
    <s v="_x0000_peopl"/>
  </r>
  <r>
    <x v="7"/>
    <n v="13.6967"/>
    <n v="-89.171199999999999"/>
    <n v="3"/>
    <n v="0"/>
    <n v="0"/>
    <n v="107"/>
    <s v="_x0000_peopl"/>
  </r>
  <r>
    <x v="7"/>
    <n v="13.6967"/>
    <n v="-89.171199999999999"/>
    <n v="4"/>
    <n v="0"/>
    <n v="0"/>
    <n v="107"/>
    <s v="_x0000_peopl"/>
  </r>
  <r>
    <x v="7"/>
    <n v="13.6967"/>
    <n v="-89.171300000000002"/>
    <n v="6"/>
    <n v="0"/>
    <n v="0"/>
    <n v="107"/>
    <s v="_x0000_peopl"/>
  </r>
  <r>
    <x v="7"/>
    <n v="13.6966"/>
    <n v="-89.171300000000002"/>
    <n v="5"/>
    <n v="0"/>
    <n v="0"/>
    <n v="107"/>
    <s v="_x0000_peopl"/>
  </r>
  <r>
    <x v="7"/>
    <n v="13.6968"/>
    <n v="-89.171099999999996"/>
    <n v="7"/>
    <n v="0"/>
    <n v="0"/>
    <n v="107"/>
    <s v="_x0000_peopl"/>
  </r>
  <r>
    <x v="7"/>
    <n v="13.6967"/>
    <n v="-89.171099999999996"/>
    <n v="6"/>
    <n v="0"/>
    <n v="0"/>
    <n v="107"/>
    <s v="_x0000_peopl"/>
  </r>
  <r>
    <x v="7"/>
    <n v="13.6968"/>
    <n v="-89.171099999999996"/>
    <n v="6"/>
    <n v="0"/>
    <n v="0"/>
    <n v="107"/>
    <s v="_x0000_peopl"/>
  </r>
  <r>
    <x v="7"/>
    <n v="13.696899999999999"/>
    <n v="-89.171000000000006"/>
    <n v="6"/>
    <n v="0"/>
    <n v="0"/>
    <n v="107"/>
    <s v="_x0000_peopl"/>
  </r>
  <r>
    <x v="7"/>
    <n v="13.696899999999999"/>
    <n v="-89.171000000000006"/>
    <n v="5"/>
    <n v="0"/>
    <n v="0"/>
    <n v="107"/>
    <s v="_x0000_peopl"/>
  </r>
  <r>
    <x v="7"/>
    <n v="13.696999999999999"/>
    <n v="-89.171099999999996"/>
    <n v="6"/>
    <n v="0"/>
    <n v="0"/>
    <n v="107"/>
    <s v="_x0000_peopl"/>
  </r>
  <r>
    <x v="7"/>
    <n v="13.696999999999999"/>
    <n v="-89.171199999999999"/>
    <n v="6"/>
    <n v="0"/>
    <n v="0"/>
    <n v="107"/>
    <s v="_x0000_peopl"/>
  </r>
  <r>
    <x v="7"/>
    <n v="13.696999999999999"/>
    <n v="-89.171199999999999"/>
    <n v="6"/>
    <n v="0"/>
    <n v="0"/>
    <n v="107"/>
    <s v="_x0000_peopl"/>
  </r>
  <r>
    <x v="7"/>
    <n v="13.696899999999999"/>
    <n v="-89.171199999999999"/>
    <n v="4"/>
    <n v="0"/>
    <n v="0"/>
    <n v="107"/>
    <s v="_x0000_peopl"/>
  </r>
  <r>
    <x v="7"/>
    <n v="13.696899999999999"/>
    <n v="-89.171099999999996"/>
    <n v="7"/>
    <n v="0"/>
    <n v="0"/>
    <n v="107"/>
    <s v="_x0000_peopl"/>
  </r>
  <r>
    <x v="7"/>
    <n v="13.696899999999999"/>
    <n v="-89.171099999999996"/>
    <n v="8"/>
    <n v="0"/>
    <n v="0"/>
    <n v="107"/>
    <s v="_x0000_peopl"/>
  </r>
  <r>
    <x v="7"/>
    <n v="13.696899999999999"/>
    <n v="-89.171000000000006"/>
    <n v="5"/>
    <n v="0"/>
    <n v="0"/>
    <n v="107"/>
    <s v="_x0000_peopl"/>
  </r>
  <r>
    <x v="7"/>
    <n v="13.6968"/>
    <n v="-89.170299999999997"/>
    <n v="3"/>
    <n v="0"/>
    <n v="0"/>
    <n v="107"/>
    <s v="_x0000_peopl"/>
  </r>
  <r>
    <x v="7"/>
    <n v="13.696899999999999"/>
    <n v="-89.170199999999994"/>
    <n v="3"/>
    <n v="0"/>
    <n v="0"/>
    <n v="107"/>
    <s v="_x0000_peopl"/>
  </r>
  <r>
    <x v="7"/>
    <n v="13.696899999999999"/>
    <n v="-89.170100000000005"/>
    <n v="5"/>
    <n v="0"/>
    <n v="0"/>
    <n v="107"/>
    <s v="_x0000_peopl"/>
  </r>
  <r>
    <x v="7"/>
    <n v="13.696899999999999"/>
    <n v="-89.17"/>
    <n v="2"/>
    <n v="0"/>
    <n v="0"/>
    <n v="107"/>
    <s v="_x0000_peopl"/>
  </r>
  <r>
    <x v="7"/>
    <n v="13.696899999999999"/>
    <n v="-89.17"/>
    <n v="5"/>
    <n v="0"/>
    <n v="0"/>
    <n v="107"/>
    <s v="_x0000_peopl"/>
  </r>
  <r>
    <x v="7"/>
    <n v="13.696899999999999"/>
    <n v="-89.17"/>
    <n v="6"/>
    <n v="0"/>
    <n v="0"/>
    <n v="107"/>
    <s v="_x0000_peopl"/>
  </r>
  <r>
    <x v="7"/>
    <n v="13.696899999999999"/>
    <n v="-89.170199999999994"/>
    <n v="7"/>
    <n v="0"/>
    <n v="0"/>
    <n v="107"/>
    <s v="_x0000_peopl"/>
  </r>
  <r>
    <x v="7"/>
    <n v="13.696899999999999"/>
    <n v="-89.170199999999994"/>
    <n v="1"/>
    <n v="0"/>
    <n v="0"/>
    <n v="107"/>
    <s v="_x0000_peopl"/>
  </r>
  <r>
    <x v="7"/>
    <n v="13.696899999999999"/>
    <n v="-89.170199999999994"/>
    <n v="4"/>
    <n v="0"/>
    <n v="0"/>
    <n v="107"/>
    <s v="_x0000_peopl"/>
  </r>
  <r>
    <x v="7"/>
    <n v="13.6967"/>
    <n v="-89.170100000000005"/>
    <n v="8"/>
    <n v="0"/>
    <n v="0"/>
    <n v="107"/>
    <s v="_x0000_peopl"/>
  </r>
  <r>
    <x v="7"/>
    <n v="13.6967"/>
    <n v="-89.170100000000005"/>
    <n v="8"/>
    <n v="0"/>
    <n v="0"/>
    <n v="107"/>
    <s v="_x0000_peopl"/>
  </r>
  <r>
    <x v="7"/>
    <n v="13.6967"/>
    <n v="-89.17"/>
    <n v="8"/>
    <n v="0"/>
    <n v="0"/>
    <n v="107"/>
    <s v="_x0000_peopl"/>
  </r>
  <r>
    <x v="7"/>
    <n v="13.6967"/>
    <n v="-89.17"/>
    <n v="5"/>
    <n v="0"/>
    <n v="0"/>
    <n v="107"/>
    <s v="_x0000_peopl"/>
  </r>
  <r>
    <x v="7"/>
    <n v="13.6968"/>
    <n v="-89.17"/>
    <n v="0"/>
    <n v="0"/>
    <n v="0"/>
    <n v="107"/>
    <s v="_x0000_peopl"/>
  </r>
  <r>
    <x v="7"/>
    <n v="13.6968"/>
    <n v="-89.17"/>
    <n v="2"/>
    <n v="0"/>
    <n v="0"/>
    <n v="107"/>
    <s v="_x0000_peopl"/>
  </r>
  <r>
    <x v="7"/>
    <n v="13.6968"/>
    <n v="-89.169899999999998"/>
    <n v="4"/>
    <n v="0"/>
    <n v="0"/>
    <n v="107"/>
    <s v="_x0000_peopl"/>
  </r>
  <r>
    <x v="7"/>
    <n v="13.6968"/>
    <n v="-89.169899999999998"/>
    <n v="3"/>
    <n v="0"/>
    <n v="0"/>
    <n v="107"/>
    <s v="_x0000_peopl"/>
  </r>
  <r>
    <x v="7"/>
    <n v="13.6967"/>
    <n v="-89.170199999999994"/>
    <n v="3"/>
    <n v="0"/>
    <n v="0"/>
    <n v="107"/>
    <s v="_x0000_peopl"/>
  </r>
  <r>
    <x v="7"/>
    <n v="13.6968"/>
    <n v="-89.169600000000003"/>
    <n v="1"/>
    <n v="0"/>
    <n v="0"/>
    <n v="107"/>
    <s v="_x0000_peopl"/>
  </r>
  <r>
    <x v="7"/>
    <n v="13.6968"/>
    <n v="-89.169600000000003"/>
    <n v="2"/>
    <n v="0"/>
    <n v="0"/>
    <n v="107"/>
    <s v="_x0000_peopl"/>
  </r>
  <r>
    <x v="7"/>
    <n v="13.6968"/>
    <n v="-89.169499999999999"/>
    <n v="9"/>
    <n v="0"/>
    <n v="0"/>
    <n v="107"/>
    <s v="_x0000_peopl"/>
  </r>
  <r>
    <x v="7"/>
    <n v="13.696899999999999"/>
    <n v="-89.169700000000006"/>
    <n v="2"/>
    <n v="0"/>
    <n v="0"/>
    <n v="107"/>
    <s v="_x0000_peopl"/>
  </r>
  <r>
    <x v="7"/>
    <n v="13.697100000000001"/>
    <n v="-89.169600000000003"/>
    <n v="5"/>
    <n v="0"/>
    <n v="0"/>
    <n v="107"/>
    <s v="_x0000_peopl"/>
  </r>
  <r>
    <x v="7"/>
    <n v="13.697100000000001"/>
    <n v="-89.169600000000003"/>
    <n v="9"/>
    <n v="0"/>
    <n v="0"/>
    <n v="107"/>
    <s v="_x0000_peopl"/>
  </r>
  <r>
    <x v="7"/>
    <n v="13.697100000000001"/>
    <n v="-89.169700000000006"/>
    <n v="4"/>
    <n v="0"/>
    <n v="0"/>
    <n v="107"/>
    <s v="_x0000_peopl"/>
  </r>
  <r>
    <x v="7"/>
    <n v="13.697100000000001"/>
    <n v="-89.169700000000006"/>
    <n v="6"/>
    <n v="0"/>
    <n v="0"/>
    <n v="107"/>
    <s v="_x0000_peopl"/>
  </r>
  <r>
    <x v="7"/>
    <n v="13.697100000000001"/>
    <n v="-89.169499999999999"/>
    <n v="5"/>
    <n v="0"/>
    <n v="0"/>
    <n v="107"/>
    <s v="_x0000_peopl"/>
  </r>
  <r>
    <x v="7"/>
    <n v="13.697100000000001"/>
    <n v="-89.169499999999999"/>
    <n v="4"/>
    <n v="0"/>
    <n v="0"/>
    <n v="107"/>
    <s v="_x0000_peopl"/>
  </r>
  <r>
    <x v="7"/>
    <n v="13.697100000000001"/>
    <n v="-89.169399999999996"/>
    <n v="1"/>
    <n v="0"/>
    <n v="0"/>
    <n v="107"/>
    <s v="_x0000_peopl"/>
  </r>
  <r>
    <x v="7"/>
    <n v="13.697100000000001"/>
    <n v="-89.169399999999996"/>
    <n v="6"/>
    <n v="0"/>
    <n v="0"/>
    <n v="107"/>
    <s v="_x0000_peopl"/>
  </r>
  <r>
    <x v="7"/>
    <n v="13.697100000000001"/>
    <n v="-89.169399999999996"/>
    <n v="6"/>
    <n v="0"/>
    <n v="0"/>
    <n v="107"/>
    <s v="_x0000_peopl"/>
  </r>
  <r>
    <x v="7"/>
    <n v="13.697100000000001"/>
    <n v="-89.169399999999996"/>
    <n v="7"/>
    <n v="0"/>
    <n v="0"/>
    <n v="107"/>
    <s v="_x0000_peopl"/>
  </r>
  <r>
    <x v="7"/>
    <n v="13.696999999999999"/>
    <n v="-89.169799999999995"/>
    <n v="10"/>
    <n v="0"/>
    <n v="0"/>
    <n v="107"/>
    <s v="_x0000_peopl"/>
  </r>
  <r>
    <x v="7"/>
    <n v="13.696999999999999"/>
    <n v="-89.169899999999998"/>
    <n v="5"/>
    <n v="0"/>
    <n v="0"/>
    <n v="107"/>
    <s v="_x0000_peopl"/>
  </r>
  <r>
    <x v="7"/>
    <n v="13.696999999999999"/>
    <n v="-89.169899999999998"/>
    <n v="6"/>
    <n v="0"/>
    <n v="0"/>
    <n v="107"/>
    <s v="_x0000_peopl"/>
  </r>
  <r>
    <x v="7"/>
    <n v="13.696999999999999"/>
    <n v="-89.169899999999998"/>
    <n v="6"/>
    <n v="0"/>
    <n v="0"/>
    <n v="107"/>
    <s v="_x0000_peopl"/>
  </r>
  <r>
    <x v="7"/>
    <n v="13.696899999999999"/>
    <n v="-89.169499999999999"/>
    <n v="6"/>
    <n v="0"/>
    <n v="0"/>
    <n v="107"/>
    <s v="_x0000_peopl"/>
  </r>
  <r>
    <x v="7"/>
    <n v="13.696899999999999"/>
    <n v="-89.169499999999999"/>
    <n v="4"/>
    <n v="0"/>
    <n v="0"/>
    <n v="107"/>
    <s v="_x0000_peopl"/>
  </r>
  <r>
    <x v="7"/>
    <n v="13.696999999999999"/>
    <n v="-89.169499999999999"/>
    <n v="2"/>
    <n v="0"/>
    <n v="0"/>
    <n v="107"/>
    <s v="_x0000_peopl"/>
  </r>
  <r>
    <x v="7"/>
    <n v="13.696999999999999"/>
    <n v="-89.169399999999996"/>
    <n v="8"/>
    <n v="0"/>
    <n v="0"/>
    <n v="107"/>
    <s v="_x0000_peopl"/>
  </r>
  <r>
    <x v="7"/>
    <n v="13.696999999999999"/>
    <n v="-89.169399999999996"/>
    <n v="5"/>
    <n v="0"/>
    <n v="0"/>
    <n v="107"/>
    <s v="_x0000_peopl"/>
  </r>
  <r>
    <x v="7"/>
    <n v="13.696899999999999"/>
    <n v="-89.169600000000003"/>
    <n v="4"/>
    <n v="0"/>
    <n v="0"/>
    <n v="107"/>
    <s v="_x0000_peopl"/>
  </r>
  <r>
    <x v="7"/>
    <n v="13.696899999999999"/>
    <n v="-89.169600000000003"/>
    <n v="4"/>
    <n v="0"/>
    <n v="0"/>
    <n v="107"/>
    <s v="_x0000_peopl"/>
  </r>
  <r>
    <x v="7"/>
    <n v="13.696899999999999"/>
    <n v="-89.169799999999995"/>
    <n v="10"/>
    <n v="0"/>
    <n v="0"/>
    <n v="107"/>
    <s v="_x0000_peopl"/>
  </r>
  <r>
    <x v="7"/>
    <n v="13.696899999999999"/>
    <n v="-89.169799999999995"/>
    <n v="3"/>
    <n v="0"/>
    <n v="0"/>
    <n v="107"/>
    <s v="_x0000_peopl"/>
  </r>
  <r>
    <x v="7"/>
    <n v="13.696899999999999"/>
    <n v="-89.169799999999995"/>
    <n v="5"/>
    <n v="0"/>
    <n v="0"/>
    <n v="107"/>
    <s v="_x0000_peopl"/>
  </r>
  <r>
    <x v="7"/>
    <n v="13.696899999999999"/>
    <n v="-89.169799999999995"/>
    <n v="6"/>
    <n v="0"/>
    <n v="0"/>
    <n v="107"/>
    <s v="_x0000_peopl"/>
  </r>
  <r>
    <x v="7"/>
    <n v="13.6968"/>
    <n v="-89.169899999999998"/>
    <n v="5"/>
    <n v="0"/>
    <n v="0"/>
    <n v="107"/>
    <s v="_x0000_peopl"/>
  </r>
  <r>
    <x v="7"/>
    <n v="13.6968"/>
    <n v="-89.169899999999998"/>
    <n v="3"/>
    <n v="0"/>
    <n v="0"/>
    <n v="107"/>
    <s v="_x0000_peopl"/>
  </r>
  <r>
    <x v="7"/>
    <n v="13.697100000000001"/>
    <n v="-89.169300000000007"/>
    <n v="6"/>
    <n v="0"/>
    <n v="0"/>
    <n v="107"/>
    <s v="_x0000_peopl"/>
  </r>
  <r>
    <x v="7"/>
    <n v="13.697100000000001"/>
    <n v="-89.169300000000007"/>
    <n v="3"/>
    <n v="0"/>
    <n v="0"/>
    <n v="107"/>
    <s v="_x0000_peopl"/>
  </r>
  <r>
    <x v="7"/>
    <n v="13.696999999999999"/>
    <n v="-89.169300000000007"/>
    <n v="3"/>
    <n v="0"/>
    <n v="0"/>
    <n v="107"/>
    <s v="_x0000_peopl"/>
  </r>
  <r>
    <x v="7"/>
    <n v="13.696999999999999"/>
    <n v="-89.169200000000004"/>
    <n v="6"/>
    <n v="0"/>
    <n v="0"/>
    <n v="107"/>
    <s v="_x0000_peopl"/>
  </r>
  <r>
    <x v="7"/>
    <n v="13.696899999999999"/>
    <n v="-89.168899999999994"/>
    <n v="12"/>
    <n v="0"/>
    <n v="0"/>
    <n v="107"/>
    <s v="_x0000_peopl"/>
  </r>
  <r>
    <x v="7"/>
    <n v="13.696899999999999"/>
    <n v="-89.168899999999994"/>
    <n v="3"/>
    <n v="0"/>
    <n v="0"/>
    <n v="107"/>
    <s v="_x0000_peopl"/>
  </r>
  <r>
    <x v="7"/>
    <n v="13.696899999999999"/>
    <n v="-89.168899999999994"/>
    <n v="5"/>
    <n v="0"/>
    <n v="0"/>
    <n v="107"/>
    <s v="_x0000_peopl"/>
  </r>
  <r>
    <x v="7"/>
    <n v="13.6968"/>
    <n v="-89.168800000000005"/>
    <n v="3"/>
    <n v="0"/>
    <n v="0"/>
    <n v="107"/>
    <s v="_x0000_peopl"/>
  </r>
  <r>
    <x v="7"/>
    <n v="13.696400000000001"/>
    <n v="-89.168499999999995"/>
    <n v="8"/>
    <n v="0"/>
    <n v="0"/>
    <n v="107"/>
    <s v="_x0000_peopl"/>
  </r>
  <r>
    <x v="7"/>
    <n v="13.696400000000001"/>
    <n v="-89.168400000000005"/>
    <n v="6"/>
    <n v="0"/>
    <n v="0"/>
    <n v="107"/>
    <s v="_x0000_peopl"/>
  </r>
  <r>
    <x v="7"/>
    <n v="13.696400000000001"/>
    <n v="-89.168400000000005"/>
    <n v="11"/>
    <n v="0"/>
    <n v="0"/>
    <n v="107"/>
    <s v="_x0000_peopl"/>
  </r>
  <r>
    <x v="7"/>
    <n v="13.6966"/>
    <n v="-89.168400000000005"/>
    <n v="6"/>
    <n v="0"/>
    <n v="0"/>
    <n v="107"/>
    <s v="_x0000_peopl"/>
  </r>
  <r>
    <x v="7"/>
    <n v="13.6966"/>
    <n v="-89.168400000000005"/>
    <n v="6"/>
    <n v="0"/>
    <n v="0"/>
    <n v="107"/>
    <s v="_x0000_peopl"/>
  </r>
  <r>
    <x v="7"/>
    <n v="13.6965"/>
    <n v="-89.168300000000002"/>
    <n v="5"/>
    <n v="0"/>
    <n v="0"/>
    <n v="107"/>
    <s v="_x0000_peopl"/>
  </r>
  <r>
    <x v="7"/>
    <n v="13.6968"/>
    <n v="-89.168800000000005"/>
    <n v="2"/>
    <n v="0"/>
    <n v="0"/>
    <n v="107"/>
    <s v="_x0000_peopl"/>
  </r>
  <r>
    <x v="7"/>
    <n v="13.6968"/>
    <n v="-89.168800000000005"/>
    <n v="3"/>
    <n v="0"/>
    <n v="0"/>
    <n v="107"/>
    <s v="_x0000_peopl"/>
  </r>
  <r>
    <x v="7"/>
    <n v="13.6968"/>
    <n v="-89.168700000000001"/>
    <n v="2"/>
    <n v="0"/>
    <n v="0"/>
    <n v="107"/>
    <s v="_x0000_peopl"/>
  </r>
  <r>
    <x v="7"/>
    <n v="13.6968"/>
    <n v="-89.168700000000001"/>
    <n v="5"/>
    <n v="0"/>
    <n v="0"/>
    <n v="107"/>
    <s v="_x0000_peopl"/>
  </r>
  <r>
    <x v="7"/>
    <n v="13.6968"/>
    <n v="-89.168700000000001"/>
    <n v="10"/>
    <n v="0"/>
    <n v="0"/>
    <n v="107"/>
    <s v="_x0000_peopl"/>
  </r>
  <r>
    <x v="7"/>
    <n v="13.6968"/>
    <n v="-89.168700000000001"/>
    <n v="5"/>
    <n v="0"/>
    <n v="0"/>
    <n v="107"/>
    <s v="_x0000_peopl"/>
  </r>
  <r>
    <x v="7"/>
    <n v="13.6967"/>
    <n v="-89.168599999999998"/>
    <n v="5"/>
    <n v="0"/>
    <n v="0"/>
    <n v="107"/>
    <s v="_x0000_peopl"/>
  </r>
  <r>
    <x v="7"/>
    <n v="13.6967"/>
    <n v="-89.168899999999994"/>
    <n v="5"/>
    <n v="0"/>
    <n v="0"/>
    <n v="107"/>
    <s v="_x0000_peopl"/>
  </r>
  <r>
    <x v="7"/>
    <n v="13.6967"/>
    <n v="-89.168800000000005"/>
    <n v="5"/>
    <n v="0"/>
    <n v="0"/>
    <n v="107"/>
    <s v="_x0000_peopl"/>
  </r>
  <r>
    <x v="7"/>
    <n v="13.6966"/>
    <n v="-89.168800000000005"/>
    <n v="3"/>
    <n v="0"/>
    <n v="0"/>
    <n v="107"/>
    <s v="_x0000_peopl"/>
  </r>
  <r>
    <x v="7"/>
    <n v="13.6966"/>
    <n v="-89.168800000000005"/>
    <n v="5"/>
    <n v="0"/>
    <n v="0"/>
    <n v="107"/>
    <s v="_x0000_peopl"/>
  </r>
  <r>
    <x v="7"/>
    <n v="13.6966"/>
    <n v="-89.168700000000001"/>
    <n v="3"/>
    <n v="0"/>
    <n v="0"/>
    <n v="107"/>
    <s v="_x0000_peopl"/>
  </r>
  <r>
    <x v="7"/>
    <n v="13.6966"/>
    <n v="-89.168700000000001"/>
    <n v="5"/>
    <n v="0"/>
    <n v="0"/>
    <n v="107"/>
    <s v="_x0000_peopl"/>
  </r>
  <r>
    <x v="7"/>
    <n v="13.6966"/>
    <n v="-89.168700000000001"/>
    <n v="8"/>
    <n v="0"/>
    <n v="0"/>
    <n v="107"/>
    <s v="_x0000_peopl"/>
  </r>
  <r>
    <x v="7"/>
    <n v="13.6967"/>
    <n v="-89.168599999999998"/>
    <n v="4"/>
    <n v="0"/>
    <n v="0"/>
    <n v="107"/>
    <s v="_x0000_peopl"/>
  </r>
  <r>
    <x v="7"/>
    <n v="13.6967"/>
    <n v="-89.168599999999998"/>
    <n v="1"/>
    <n v="0"/>
    <n v="0"/>
    <n v="107"/>
    <s v="_x0000_peopl"/>
  </r>
  <r>
    <x v="7"/>
    <n v="13.6968"/>
    <n v="-89.168999999999997"/>
    <n v="2"/>
    <n v="0"/>
    <n v="0"/>
    <n v="107"/>
    <s v="_x0000_peopl"/>
  </r>
  <r>
    <x v="7"/>
    <n v="13.6968"/>
    <n v="-89.168999999999997"/>
    <n v="6"/>
    <n v="0"/>
    <n v="0"/>
    <n v="107"/>
    <s v="_x0000_peopl"/>
  </r>
  <r>
    <x v="7"/>
    <n v="13.6967"/>
    <n v="-89.168899999999994"/>
    <n v="12"/>
    <n v="0"/>
    <n v="0"/>
    <n v="107"/>
    <s v="_x0000_peopl"/>
  </r>
  <r>
    <x v="7"/>
    <n v="13.6968"/>
    <n v="-89.168999999999997"/>
    <n v="4"/>
    <n v="0"/>
    <n v="0"/>
    <n v="107"/>
    <s v="_x0000_peopl"/>
  </r>
  <r>
    <x v="7"/>
    <n v="13.6968"/>
    <n v="-89.168999999999997"/>
    <n v="4"/>
    <n v="0"/>
    <n v="0"/>
    <n v="107"/>
    <s v="_x0000_peopl"/>
  </r>
  <r>
    <x v="7"/>
    <n v="13.6968"/>
    <n v="-89.170299999999997"/>
    <n v="3"/>
    <n v="0"/>
    <n v="0"/>
    <n v="107"/>
    <s v="_x0000_peopl"/>
  </r>
  <r>
    <x v="7"/>
    <n v="13.6967"/>
    <n v="-89.170400000000001"/>
    <n v="2"/>
    <n v="0"/>
    <n v="0"/>
    <n v="107"/>
    <s v="_x0000_peopl"/>
  </r>
  <r>
    <x v="7"/>
    <n v="13.6967"/>
    <n v="-89.170400000000001"/>
    <n v="5"/>
    <n v="0"/>
    <n v="0"/>
    <n v="107"/>
    <s v="_x0000_peopl"/>
  </r>
  <r>
    <x v="7"/>
    <n v="13.6967"/>
    <n v="-89.170400000000001"/>
    <n v="8"/>
    <n v="0"/>
    <n v="0"/>
    <n v="107"/>
    <s v="_x0000_peopl"/>
  </r>
  <r>
    <x v="7"/>
    <n v="13.6967"/>
    <n v="-89.170400000000001"/>
    <n v="7"/>
    <n v="0"/>
    <n v="0"/>
    <n v="107"/>
    <s v="_x0000_peopl"/>
  </r>
  <r>
    <x v="7"/>
    <n v="13.6967"/>
    <n v="-89.170500000000004"/>
    <n v="2"/>
    <n v="0"/>
    <n v="0"/>
    <n v="107"/>
    <s v="_x0000_peopl"/>
  </r>
  <r>
    <x v="7"/>
    <n v="13.6967"/>
    <n v="-89.170500000000004"/>
    <n v="5"/>
    <n v="0"/>
    <n v="0"/>
    <n v="107"/>
    <s v="_x0000_peopl"/>
  </r>
  <r>
    <x v="7"/>
    <n v="13.6965"/>
    <n v="-89.170100000000005"/>
    <n v="5"/>
    <n v="0"/>
    <n v="0"/>
    <n v="107"/>
    <s v="_x0000_peopl"/>
  </r>
  <r>
    <x v="7"/>
    <n v="13.6965"/>
    <n v="-89.17"/>
    <n v="6"/>
    <n v="0"/>
    <n v="0"/>
    <n v="107"/>
    <s v="_x0000_peopl"/>
  </r>
  <r>
    <x v="7"/>
    <n v="13.6965"/>
    <n v="-89.17"/>
    <n v="6"/>
    <n v="0"/>
    <n v="0"/>
    <n v="107"/>
    <s v="_x0000_peopl"/>
  </r>
  <r>
    <x v="7"/>
    <n v="13.6965"/>
    <n v="-89.17"/>
    <n v="6"/>
    <n v="0"/>
    <n v="0"/>
    <n v="107"/>
    <s v="_x0000_peopl"/>
  </r>
  <r>
    <x v="7"/>
    <n v="13.6965"/>
    <n v="-89.169799999999995"/>
    <n v="8"/>
    <n v="0"/>
    <n v="0"/>
    <n v="107"/>
    <s v="_x0000_peopl"/>
  </r>
  <r>
    <x v="7"/>
    <n v="13.6966"/>
    <n v="-89.169799999999995"/>
    <n v="5"/>
    <n v="0"/>
    <n v="0"/>
    <n v="107"/>
    <s v="_x0000_peopl"/>
  </r>
  <r>
    <x v="7"/>
    <n v="13.6966"/>
    <n v="-89.169799999999995"/>
    <n v="3"/>
    <n v="0"/>
    <n v="0"/>
    <n v="107"/>
    <s v="_x0000_peopl"/>
  </r>
  <r>
    <x v="7"/>
    <n v="13.6966"/>
    <n v="-89.169799999999995"/>
    <n v="4"/>
    <n v="0"/>
    <n v="0"/>
    <n v="107"/>
    <s v="_x0000_peopl"/>
  </r>
  <r>
    <x v="7"/>
    <n v="13.6966"/>
    <n v="-89.169799999999995"/>
    <n v="5"/>
    <n v="0"/>
    <n v="0"/>
    <n v="107"/>
    <s v="_x0000_peopl"/>
  </r>
  <r>
    <x v="7"/>
    <n v="13.6966"/>
    <n v="-89.169799999999995"/>
    <n v="5"/>
    <n v="0"/>
    <n v="0"/>
    <n v="107"/>
    <s v="_x0000_peopl"/>
  </r>
  <r>
    <x v="7"/>
    <n v="13.6965"/>
    <n v="-89.169899999999998"/>
    <n v="4"/>
    <n v="0"/>
    <n v="0"/>
    <n v="107"/>
    <s v="_x0000_peopl"/>
  </r>
  <r>
    <x v="7"/>
    <n v="13.6965"/>
    <n v="-89.169899999999998"/>
    <n v="4"/>
    <n v="0"/>
    <n v="0"/>
    <n v="107"/>
    <s v="_x0000_peopl"/>
  </r>
  <r>
    <x v="7"/>
    <n v="13.696400000000001"/>
    <n v="-89.169700000000006"/>
    <n v="4"/>
    <n v="0"/>
    <n v="0"/>
    <n v="107"/>
    <s v="_x0000_peopl"/>
  </r>
  <r>
    <x v="7"/>
    <n v="13.696400000000001"/>
    <n v="-89.169700000000006"/>
    <n v="7"/>
    <n v="0"/>
    <n v="0"/>
    <n v="107"/>
    <s v="_x0000_peopl"/>
  </r>
  <r>
    <x v="7"/>
    <n v="13.696400000000001"/>
    <n v="-89.169700000000006"/>
    <n v="5"/>
    <n v="0"/>
    <n v="0"/>
    <n v="107"/>
    <s v="_x0000_peopl"/>
  </r>
  <r>
    <x v="7"/>
    <n v="13.6965"/>
    <n v="-89.169700000000006"/>
    <n v="7"/>
    <n v="0"/>
    <n v="0"/>
    <n v="107"/>
    <s v="_x0000_peopl"/>
  </r>
  <r>
    <x v="7"/>
    <n v="13.6965"/>
    <n v="-89.169700000000006"/>
    <n v="6"/>
    <n v="0"/>
    <n v="0"/>
    <n v="107"/>
    <s v="_x0000_peopl"/>
  </r>
  <r>
    <x v="7"/>
    <n v="13.6965"/>
    <n v="-89.169600000000003"/>
    <n v="4"/>
    <n v="0"/>
    <n v="0"/>
    <n v="107"/>
    <s v="_x0000_peopl"/>
  </r>
  <r>
    <x v="7"/>
    <n v="13.6967"/>
    <n v="-89.169700000000006"/>
    <n v="7"/>
    <n v="0"/>
    <n v="0"/>
    <n v="107"/>
    <s v="_x0000_peopl"/>
  </r>
  <r>
    <x v="7"/>
    <n v="13.6966"/>
    <n v="-89.169700000000006"/>
    <n v="4"/>
    <n v="0"/>
    <n v="0"/>
    <n v="107"/>
    <s v="_x0000_peopl"/>
  </r>
  <r>
    <x v="7"/>
    <n v="13.6966"/>
    <n v="-89.169600000000003"/>
    <n v="6"/>
    <n v="0"/>
    <n v="0"/>
    <n v="107"/>
    <s v="_x0000_peopl"/>
  </r>
  <r>
    <x v="7"/>
    <n v="13.6968"/>
    <n v="-89.169600000000003"/>
    <n v="6"/>
    <n v="0"/>
    <n v="0"/>
    <n v="107"/>
    <s v="_x0000_peopl"/>
  </r>
  <r>
    <x v="7"/>
    <n v="13.6968"/>
    <n v="-89.169600000000003"/>
    <n v="5"/>
    <n v="0"/>
    <n v="0"/>
    <n v="107"/>
    <s v="_x0000_peopl"/>
  </r>
  <r>
    <x v="7"/>
    <n v="13.6967"/>
    <n v="-89.169700000000006"/>
    <n v="2"/>
    <n v="0"/>
    <n v="0"/>
    <n v="107"/>
    <s v="_x0000_peopl"/>
  </r>
  <r>
    <x v="7"/>
    <n v="13.6967"/>
    <n v="-89.169700000000006"/>
    <n v="9"/>
    <n v="0"/>
    <n v="0"/>
    <n v="107"/>
    <s v="_x0000_peopl"/>
  </r>
  <r>
    <x v="7"/>
    <n v="13.6967"/>
    <n v="-89.169399999999996"/>
    <n v="9"/>
    <n v="0"/>
    <n v="0"/>
    <n v="107"/>
    <s v="_x0000_peopl"/>
  </r>
  <r>
    <x v="7"/>
    <n v="13.6967"/>
    <n v="-89.169399999999996"/>
    <n v="4"/>
    <n v="0"/>
    <n v="0"/>
    <n v="107"/>
    <s v="_x0000_peopl"/>
  </r>
  <r>
    <x v="7"/>
    <n v="13.6967"/>
    <n v="-89.169499999999999"/>
    <n v="6"/>
    <n v="0"/>
    <n v="0"/>
    <n v="107"/>
    <s v="_x0000_peopl"/>
  </r>
  <r>
    <x v="7"/>
    <n v="13.6967"/>
    <n v="-89.169499999999999"/>
    <n v="5"/>
    <n v="0"/>
    <n v="0"/>
    <n v="107"/>
    <s v="_x0000_peopl"/>
  </r>
  <r>
    <x v="7"/>
    <n v="13.6967"/>
    <n v="-89.169499999999999"/>
    <n v="4"/>
    <n v="0"/>
    <n v="0"/>
    <n v="107"/>
    <s v="_x0000_peopl"/>
  </r>
  <r>
    <x v="7"/>
    <n v="13.6967"/>
    <n v="-89.169499999999999"/>
    <n v="6"/>
    <n v="0"/>
    <n v="0"/>
    <n v="107"/>
    <s v="_x0000_peopl"/>
  </r>
  <r>
    <x v="7"/>
    <n v="13.6966"/>
    <n v="-89.169499999999999"/>
    <n v="5"/>
    <n v="0"/>
    <n v="0"/>
    <n v="107"/>
    <s v="_x0000_peopl"/>
  </r>
  <r>
    <x v="7"/>
    <n v="13.6965"/>
    <n v="-89.170699999999997"/>
    <n v="6"/>
    <n v="0"/>
    <n v="0"/>
    <n v="107"/>
    <s v="_x0000_peopl"/>
  </r>
  <r>
    <x v="7"/>
    <n v="13.6965"/>
    <n v="-89.170699999999997"/>
    <n v="2"/>
    <n v="0"/>
    <n v="0"/>
    <n v="107"/>
    <s v="_x0000_peopl"/>
  </r>
  <r>
    <x v="7"/>
    <n v="13.6965"/>
    <n v="-89.170599999999993"/>
    <n v="5"/>
    <n v="0"/>
    <n v="0"/>
    <n v="107"/>
    <s v="_x0000_peopl"/>
  </r>
  <r>
    <x v="7"/>
    <n v="13.6965"/>
    <n v="-89.170599999999993"/>
    <n v="6"/>
    <n v="0"/>
    <n v="0"/>
    <n v="107"/>
    <s v="_x0000_peopl"/>
  </r>
  <r>
    <x v="7"/>
    <n v="13.6965"/>
    <n v="-89.170599999999993"/>
    <n v="4"/>
    <n v="0"/>
    <n v="0"/>
    <n v="107"/>
    <s v="_x0000_peopl"/>
  </r>
  <r>
    <x v="7"/>
    <n v="13.6965"/>
    <n v="-89.170500000000004"/>
    <n v="5"/>
    <n v="0"/>
    <n v="0"/>
    <n v="107"/>
    <s v="_x0000_peopl"/>
  </r>
  <r>
    <x v="7"/>
    <n v="13.6965"/>
    <n v="-89.170500000000004"/>
    <n v="6"/>
    <n v="0"/>
    <n v="0"/>
    <n v="107"/>
    <s v="_x0000_peopl"/>
  </r>
  <r>
    <x v="7"/>
    <n v="13.6965"/>
    <n v="-89.170500000000004"/>
    <n v="7"/>
    <n v="0"/>
    <n v="0"/>
    <n v="107"/>
    <s v="_x0000_peopl"/>
  </r>
  <r>
    <x v="7"/>
    <n v="13.6965"/>
    <n v="-89.170500000000004"/>
    <n v="7"/>
    <n v="0"/>
    <n v="0"/>
    <n v="107"/>
    <s v="_x0000_peopl"/>
  </r>
  <r>
    <x v="7"/>
    <n v="13.6965"/>
    <n v="-89.170400000000001"/>
    <n v="3"/>
    <n v="0"/>
    <n v="0"/>
    <n v="107"/>
    <s v="_x0000_peopl"/>
  </r>
  <r>
    <x v="7"/>
    <n v="13.6965"/>
    <n v="-89.170400000000001"/>
    <n v="9"/>
    <n v="0"/>
    <n v="0"/>
    <n v="107"/>
    <s v="_x0000_peopl"/>
  </r>
  <r>
    <x v="7"/>
    <n v="13.6965"/>
    <n v="-89.170299999999997"/>
    <n v="5"/>
    <n v="0"/>
    <n v="0"/>
    <n v="107"/>
    <s v="_x0000_peopl"/>
  </r>
  <r>
    <x v="7"/>
    <n v="13.6965"/>
    <n v="-89.170299999999997"/>
    <n v="5"/>
    <n v="0"/>
    <n v="0"/>
    <n v="107"/>
    <s v="_x0000_peopl"/>
  </r>
  <r>
    <x v="7"/>
    <n v="13.6965"/>
    <n v="-89.170299999999997"/>
    <n v="4"/>
    <n v="0"/>
    <n v="0"/>
    <n v="107"/>
    <s v="_x0000_peopl"/>
  </r>
  <r>
    <x v="7"/>
    <n v="13.6965"/>
    <n v="-89.170199999999994"/>
    <n v="5"/>
    <n v="0"/>
    <n v="0"/>
    <n v="107"/>
    <s v="_x0000_peopl"/>
  </r>
  <r>
    <x v="7"/>
    <n v="13.6965"/>
    <n v="-89.170199999999994"/>
    <n v="7"/>
    <n v="0"/>
    <n v="0"/>
    <n v="107"/>
    <s v="_x0000_peopl"/>
  </r>
  <r>
    <x v="7"/>
    <n v="13.6965"/>
    <n v="-89.170199999999994"/>
    <n v="4"/>
    <n v="0"/>
    <n v="0"/>
    <n v="107"/>
    <s v="_x0000_peopl"/>
  </r>
  <r>
    <x v="7"/>
    <n v="13.6965"/>
    <n v="-89.170199999999994"/>
    <n v="7"/>
    <n v="0"/>
    <n v="0"/>
    <n v="107"/>
    <s v="_x0000_peopl"/>
  </r>
  <r>
    <x v="7"/>
    <n v="13.6972"/>
    <n v="-89.168899999999994"/>
    <n v="10"/>
    <n v="0"/>
    <n v="0"/>
    <n v="107"/>
    <s v="_x0000_peopl"/>
  </r>
  <r>
    <x v="7"/>
    <n v="13.697100000000001"/>
    <n v="-89.168899999999994"/>
    <n v="3"/>
    <n v="0"/>
    <n v="0"/>
    <n v="107"/>
    <s v="_x0000_peopl"/>
  </r>
  <r>
    <x v="7"/>
    <n v="13.697100000000001"/>
    <n v="-89.168700000000001"/>
    <n v="2"/>
    <n v="0"/>
    <n v="0"/>
    <n v="107"/>
    <s v="_x0000_peopl"/>
  </r>
  <r>
    <x v="7"/>
    <n v="13.696999999999999"/>
    <n v="-89.168700000000001"/>
    <n v="9"/>
    <n v="0"/>
    <n v="0"/>
    <n v="107"/>
    <s v="_x0000_peopl"/>
  </r>
  <r>
    <x v="7"/>
    <n v="13.696999999999999"/>
    <n v="-89.168899999999994"/>
    <n v="5"/>
    <n v="0"/>
    <n v="0"/>
    <n v="107"/>
    <s v="_x0000_peopl"/>
  </r>
  <r>
    <x v="7"/>
    <n v="13.696999999999999"/>
    <n v="-89.168899999999994"/>
    <n v="2"/>
    <n v="0"/>
    <n v="0"/>
    <n v="107"/>
    <s v="_x0000_peopl"/>
  </r>
  <r>
    <x v="7"/>
    <n v="13.6972"/>
    <n v="-89.168700000000001"/>
    <n v="9"/>
    <n v="0"/>
    <n v="0"/>
    <n v="107"/>
    <s v="_x0000_peopl"/>
  </r>
  <r>
    <x v="7"/>
    <n v="13.6972"/>
    <n v="-89.168700000000001"/>
    <n v="6"/>
    <n v="0"/>
    <n v="0"/>
    <n v="107"/>
    <s v="_x0000_peopl"/>
  </r>
  <r>
    <x v="7"/>
    <n v="13.696899999999999"/>
    <n v="-89.168599999999998"/>
    <n v="5"/>
    <n v="0"/>
    <n v="0"/>
    <n v="107"/>
    <s v="_x0000_peopl"/>
  </r>
  <r>
    <x v="7"/>
    <n v="13.696899999999999"/>
    <n v="-89.168599999999998"/>
    <n v="3"/>
    <n v="0"/>
    <n v="0"/>
    <n v="107"/>
    <s v="_x0000_peopl"/>
  </r>
  <r>
    <x v="7"/>
    <n v="13.696899999999999"/>
    <n v="-89.168599999999998"/>
    <n v="5"/>
    <n v="0"/>
    <n v="0"/>
    <n v="107"/>
    <s v="_x0000_peopl"/>
  </r>
  <r>
    <x v="7"/>
    <n v="13.696899999999999"/>
    <n v="-89.168599999999998"/>
    <n v="7"/>
    <n v="0"/>
    <n v="0"/>
    <n v="107"/>
    <s v="_x0000_peopl"/>
  </r>
  <r>
    <x v="7"/>
    <n v="13.696899999999999"/>
    <n v="-89.168700000000001"/>
    <n v="2"/>
    <n v="0"/>
    <n v="0"/>
    <n v="107"/>
    <s v="_x0000_peopl"/>
  </r>
  <r>
    <x v="7"/>
    <n v="13.696899999999999"/>
    <n v="-89.168700000000001"/>
    <n v="5"/>
    <n v="0"/>
    <n v="0"/>
    <n v="107"/>
    <s v="_x0000_peopl"/>
  </r>
  <r>
    <x v="7"/>
    <n v="13.696999999999999"/>
    <n v="-89.168499999999995"/>
    <n v="7"/>
    <n v="0"/>
    <n v="0"/>
    <n v="107"/>
    <s v="_x0000_peopl"/>
  </r>
  <r>
    <x v="7"/>
    <n v="13.696999999999999"/>
    <n v="-89.168499999999995"/>
    <n v="4"/>
    <n v="0"/>
    <n v="0"/>
    <n v="107"/>
    <s v="_x0000_peopl"/>
  </r>
  <r>
    <x v="7"/>
    <n v="13.696999999999999"/>
    <n v="-89.168499999999995"/>
    <n v="5"/>
    <n v="0"/>
    <n v="0"/>
    <n v="107"/>
    <s v="_x0000_peopl"/>
  </r>
  <r>
    <x v="7"/>
    <n v="13.696899999999999"/>
    <n v="-89.168400000000005"/>
    <n v="2"/>
    <n v="0"/>
    <n v="0"/>
    <n v="107"/>
    <s v="_x0000_peopl"/>
  </r>
  <r>
    <x v="7"/>
    <n v="13.696899999999999"/>
    <n v="-89.168400000000005"/>
    <n v="11"/>
    <n v="0"/>
    <n v="0"/>
    <n v="107"/>
    <s v="_x0000_peopl"/>
  </r>
  <r>
    <x v="7"/>
    <n v="13.696899999999999"/>
    <n v="-89.168499999999995"/>
    <n v="3"/>
    <n v="0"/>
    <n v="0"/>
    <n v="107"/>
    <s v="_x0000_peopl"/>
  </r>
  <r>
    <x v="7"/>
    <n v="13.696899999999999"/>
    <n v="-89.168400000000005"/>
    <n v="7"/>
    <n v="0"/>
    <n v="0"/>
    <n v="107"/>
    <s v="_x0000_peopl"/>
  </r>
  <r>
    <x v="7"/>
    <n v="13.696899999999999"/>
    <n v="-89.168400000000005"/>
    <n v="4"/>
    <n v="0"/>
    <n v="0"/>
    <n v="107"/>
    <s v="_x0000_peopl"/>
  </r>
  <r>
    <x v="7"/>
    <n v="13.6968"/>
    <n v="-89.168300000000002"/>
    <n v="5"/>
    <n v="0"/>
    <n v="0"/>
    <n v="107"/>
    <s v="_x0000_peopl"/>
  </r>
  <r>
    <x v="7"/>
    <n v="13.6968"/>
    <n v="-89.168300000000002"/>
    <n v="4"/>
    <n v="0"/>
    <n v="0"/>
    <n v="107"/>
    <s v="_x0000_peopl"/>
  </r>
  <r>
    <x v="7"/>
    <n v="13.696899999999999"/>
    <n v="-89.168099999999995"/>
    <n v="2"/>
    <n v="0"/>
    <n v="0"/>
    <n v="107"/>
    <s v="_x0000_peopl"/>
  </r>
  <r>
    <x v="7"/>
    <n v="13.6968"/>
    <n v="-89.168199999999999"/>
    <n v="5"/>
    <n v="0"/>
    <n v="0"/>
    <n v="107"/>
    <s v="_x0000_peopl"/>
  </r>
  <r>
    <x v="7"/>
    <n v="13.6968"/>
    <n v="-89.168199999999999"/>
    <n v="6"/>
    <n v="0"/>
    <n v="0"/>
    <n v="107"/>
    <s v="_x0000_peopl"/>
  </r>
  <r>
    <x v="7"/>
    <n v="13.6967"/>
    <n v="-89.168199999999999"/>
    <n v="4"/>
    <n v="0"/>
    <n v="0"/>
    <n v="107"/>
    <s v="_x0000_peopl"/>
  </r>
  <r>
    <x v="7"/>
    <n v="13.6967"/>
    <n v="-89.168199999999999"/>
    <n v="2"/>
    <n v="0"/>
    <n v="0"/>
    <n v="107"/>
    <s v="_x0000_peopl"/>
  </r>
  <r>
    <x v="7"/>
    <n v="13.696999999999999"/>
    <n v="-89.168300000000002"/>
    <n v="4"/>
    <n v="0"/>
    <n v="0"/>
    <n v="107"/>
    <s v="_x0000_peopl"/>
  </r>
  <r>
    <x v="7"/>
    <n v="13.696999999999999"/>
    <n v="-89.168300000000002"/>
    <n v="5"/>
    <n v="0"/>
    <n v="0"/>
    <n v="107"/>
    <s v="_x0000_peopl"/>
  </r>
  <r>
    <x v="7"/>
    <n v="13.696999999999999"/>
    <n v="-89.168199999999999"/>
    <n v="5"/>
    <n v="0"/>
    <n v="0"/>
    <n v="107"/>
    <s v="_x0000_peopl"/>
  </r>
  <r>
    <x v="7"/>
    <n v="13.696899999999999"/>
    <n v="-89.168199999999999"/>
    <n v="6"/>
    <n v="0"/>
    <n v="0"/>
    <n v="107"/>
    <s v="_x0000_peopl"/>
  </r>
  <r>
    <x v="7"/>
    <n v="13.696899999999999"/>
    <n v="-89.168099999999995"/>
    <n v="5"/>
    <n v="0"/>
    <n v="0"/>
    <n v="107"/>
    <s v="_x0000_peopl"/>
  </r>
  <r>
    <x v="7"/>
    <n v="13.696899999999999"/>
    <n v="-89.168099999999995"/>
    <n v="5"/>
    <n v="0"/>
    <n v="0"/>
    <n v="107"/>
    <s v="_x0000_peopl"/>
  </r>
  <r>
    <x v="7"/>
    <n v="13.696899999999999"/>
    <n v="-89.168099999999995"/>
    <n v="4"/>
    <n v="0"/>
    <n v="0"/>
    <n v="107"/>
    <s v="_x0000_peopl"/>
  </r>
  <r>
    <x v="7"/>
    <n v="13.6968"/>
    <n v="-89.168000000000006"/>
    <n v="5"/>
    <n v="0"/>
    <n v="0"/>
    <n v="107"/>
    <s v="_x0000_peopl"/>
  </r>
  <r>
    <x v="7"/>
    <n v="13.6968"/>
    <n v="-89.168000000000006"/>
    <n v="4"/>
    <n v="0"/>
    <n v="0"/>
    <n v="107"/>
    <s v="_x0000_peopl"/>
  </r>
  <r>
    <x v="7"/>
    <n v="13.6967"/>
    <n v="-89.168099999999995"/>
    <n v="5"/>
    <n v="0"/>
    <n v="0"/>
    <n v="107"/>
    <s v="_x0000_peopl"/>
  </r>
  <r>
    <x v="7"/>
    <n v="13.6967"/>
    <n v="-89.168099999999995"/>
    <n v="7"/>
    <n v="0"/>
    <n v="0"/>
    <n v="107"/>
    <s v="_x0000_peopl"/>
  </r>
  <r>
    <x v="7"/>
    <n v="13.6967"/>
    <n v="-89.168099999999995"/>
    <n v="5"/>
    <n v="0"/>
    <n v="0"/>
    <n v="107"/>
    <s v="_x0000_peopl"/>
  </r>
  <r>
    <x v="7"/>
    <n v="13.6967"/>
    <n v="-89.168099999999995"/>
    <n v="7"/>
    <n v="0"/>
    <n v="0"/>
    <n v="107"/>
    <s v="_x0000_peopl"/>
  </r>
  <r>
    <x v="7"/>
    <n v="13.6968"/>
    <n v="-89.167900000000003"/>
    <n v="3"/>
    <n v="0"/>
    <n v="0"/>
    <n v="107"/>
    <s v="_x0000_peopl"/>
  </r>
  <r>
    <x v="7"/>
    <n v="13.697100000000001"/>
    <n v="-89.168400000000005"/>
    <n v="6"/>
    <n v="0"/>
    <n v="0"/>
    <n v="107"/>
    <s v="_x0000_peopl"/>
  </r>
  <r>
    <x v="7"/>
    <n v="13.697100000000001"/>
    <n v="-89.168400000000005"/>
    <n v="3"/>
    <n v="0"/>
    <n v="0"/>
    <n v="107"/>
    <s v="_x0000_peopl"/>
  </r>
  <r>
    <x v="7"/>
    <n v="13.696999999999999"/>
    <n v="-89.168300000000002"/>
    <n v="4"/>
    <n v="0"/>
    <n v="0"/>
    <n v="107"/>
    <s v="_x0000_peopl"/>
  </r>
  <r>
    <x v="7"/>
    <n v="13.6965"/>
    <n v="-89.168099999999995"/>
    <n v="11"/>
    <n v="0"/>
    <n v="0"/>
    <n v="107"/>
    <s v="_x0000_peopl"/>
  </r>
  <r>
    <x v="7"/>
    <n v="13.696400000000001"/>
    <n v="-89.168199999999999"/>
    <n v="5"/>
    <n v="0"/>
    <n v="0"/>
    <n v="107"/>
    <s v="_x0000_peopl"/>
  </r>
  <r>
    <x v="7"/>
    <n v="13.696400000000001"/>
    <n v="-89.168000000000006"/>
    <n v="6"/>
    <n v="0"/>
    <n v="0"/>
    <n v="107"/>
    <s v="_x0000_peopl"/>
  </r>
  <r>
    <x v="7"/>
    <n v="13.696400000000001"/>
    <n v="-89.168000000000006"/>
    <n v="5"/>
    <n v="0"/>
    <n v="0"/>
    <n v="107"/>
    <s v="_x0000_peopl"/>
  </r>
  <r>
    <x v="7"/>
    <n v="13.6966"/>
    <n v="-89.167900000000003"/>
    <n v="2"/>
    <n v="0"/>
    <n v="0"/>
    <n v="107"/>
    <s v="_x0000_peopl"/>
  </r>
  <r>
    <x v="7"/>
    <n v="13.6966"/>
    <n v="-89.1678"/>
    <n v="3"/>
    <n v="0"/>
    <n v="0"/>
    <n v="107"/>
    <s v="_x0000_peopl"/>
  </r>
  <r>
    <x v="7"/>
    <n v="13.696400000000001"/>
    <n v="-89.1678"/>
    <n v="7"/>
    <n v="0"/>
    <n v="0"/>
    <n v="107"/>
    <s v="_x0000_peopl"/>
  </r>
  <r>
    <x v="7"/>
    <n v="13.6965"/>
    <n v="-89.1678"/>
    <n v="5"/>
    <n v="0"/>
    <n v="0"/>
    <n v="107"/>
    <s v="_x0000_peopl"/>
  </r>
  <r>
    <x v="7"/>
    <n v="13.6965"/>
    <n v="-89.167699999999996"/>
    <n v="6"/>
    <n v="0"/>
    <n v="0"/>
    <n v="107"/>
    <s v="_x0000_peopl"/>
  </r>
  <r>
    <x v="7"/>
    <n v="13.696400000000001"/>
    <n v="-89.167699999999996"/>
    <n v="5"/>
    <n v="0"/>
    <n v="0"/>
    <n v="107"/>
    <s v="_x0000_peopl"/>
  </r>
  <r>
    <x v="7"/>
    <n v="13.6966"/>
    <n v="-89.167900000000003"/>
    <n v="6"/>
    <n v="0"/>
    <n v="0"/>
    <n v="107"/>
    <s v="_x0000_peopl"/>
  </r>
  <r>
    <x v="7"/>
    <n v="13.6966"/>
    <n v="-89.1678"/>
    <n v="0"/>
    <n v="0"/>
    <n v="0"/>
    <n v="107"/>
    <s v="_x0000_peopl"/>
  </r>
  <r>
    <x v="7"/>
    <n v="13.6965"/>
    <n v="-89.168099999999995"/>
    <n v="8"/>
    <n v="0"/>
    <n v="0"/>
    <n v="107"/>
    <s v="_x0000_peopl"/>
  </r>
  <r>
    <x v="7"/>
    <n v="13.6966"/>
    <n v="-89.168000000000006"/>
    <n v="6"/>
    <n v="0"/>
    <n v="0"/>
    <n v="107"/>
    <s v="_x0000_peopl"/>
  </r>
  <r>
    <x v="7"/>
    <n v="13.6966"/>
    <n v="-89.168000000000006"/>
    <n v="5"/>
    <n v="0"/>
    <n v="0"/>
    <n v="107"/>
    <s v="_x0000_peopl"/>
  </r>
  <r>
    <x v="7"/>
    <n v="13.6966"/>
    <n v="-89.168000000000006"/>
    <n v="1"/>
    <n v="0"/>
    <n v="0"/>
    <n v="107"/>
    <s v="_x0000_peopl"/>
  </r>
  <r>
    <x v="7"/>
    <n v="13.6965"/>
    <n v="-89.168099999999995"/>
    <n v="8"/>
    <n v="0"/>
    <n v="0"/>
    <n v="107"/>
    <s v="_x0000_peopl"/>
  </r>
  <r>
    <x v="7"/>
    <n v="13.6965"/>
    <n v="-89.168099999999995"/>
    <n v="3"/>
    <n v="0"/>
    <n v="0"/>
    <n v="107"/>
    <s v="_x0000_peopl"/>
  </r>
  <r>
    <x v="7"/>
    <n v="13.696400000000001"/>
    <n v="-89.168099999999995"/>
    <n v="4"/>
    <n v="0"/>
    <n v="0"/>
    <n v="107"/>
    <s v="_x0000_peopl"/>
  </r>
  <r>
    <x v="7"/>
    <n v="13.6965"/>
    <n v="-89.167900000000003"/>
    <n v="3"/>
    <n v="0"/>
    <n v="0"/>
    <n v="107"/>
    <s v="_x0000_peopl"/>
  </r>
  <r>
    <x v="7"/>
    <n v="13.6999"/>
    <n v="-89.1648"/>
    <n v="7"/>
    <n v="0"/>
    <n v="0"/>
    <n v="107"/>
    <s v="_x0000_peopl"/>
  </r>
  <r>
    <x v="7"/>
    <n v="13.6966"/>
    <n v="-89.1661"/>
    <n v="3"/>
    <n v="0"/>
    <n v="0"/>
    <n v="107"/>
    <s v="_x0000_peopl"/>
  </r>
  <r>
    <x v="7"/>
    <n v="13.6966"/>
    <n v="-89.165999999999997"/>
    <n v="5"/>
    <n v="0"/>
    <n v="0"/>
    <n v="107"/>
    <s v="_x0000_peopl"/>
  </r>
  <r>
    <x v="7"/>
    <n v="13.6966"/>
    <n v="-89.165999999999997"/>
    <n v="4"/>
    <n v="0"/>
    <n v="0"/>
    <n v="107"/>
    <s v="_x0000_peopl"/>
  </r>
  <r>
    <x v="7"/>
    <n v="13.6967"/>
    <n v="-89.165899999999993"/>
    <n v="4"/>
    <n v="0"/>
    <n v="0"/>
    <n v="107"/>
    <s v="_x0000_peopl"/>
  </r>
  <r>
    <x v="7"/>
    <n v="13.6967"/>
    <n v="-89.165899999999993"/>
    <n v="9"/>
    <n v="0"/>
    <n v="0"/>
    <n v="107"/>
    <s v="_x0000_peopl"/>
  </r>
  <r>
    <x v="7"/>
    <n v="13.6966"/>
    <n v="-89.165899999999993"/>
    <n v="2"/>
    <n v="0"/>
    <n v="0"/>
    <n v="107"/>
    <s v="_x0000_peopl"/>
  </r>
  <r>
    <x v="7"/>
    <n v="13.6966"/>
    <n v="-89.165899999999993"/>
    <n v="1"/>
    <n v="0"/>
    <n v="0"/>
    <n v="107"/>
    <s v="_x0000_peopl"/>
  </r>
  <r>
    <x v="7"/>
    <n v="13.6967"/>
    <n v="-89.165800000000004"/>
    <n v="3"/>
    <n v="0"/>
    <n v="0"/>
    <n v="107"/>
    <s v="_x0000_peopl"/>
  </r>
  <r>
    <x v="7"/>
    <n v="13.6967"/>
    <n v="-89.165800000000004"/>
    <n v="3"/>
    <n v="0"/>
    <n v="0"/>
    <n v="107"/>
    <s v="_x0000_peopl"/>
  </r>
  <r>
    <x v="7"/>
    <n v="13.6967"/>
    <n v="-89.165800000000004"/>
    <n v="4"/>
    <n v="0"/>
    <n v="0"/>
    <n v="107"/>
    <s v="_x0000_peopl"/>
  </r>
  <r>
    <x v="7"/>
    <n v="13.6967"/>
    <n v="-89.165700000000001"/>
    <n v="5"/>
    <n v="0"/>
    <n v="0"/>
    <n v="107"/>
    <s v="_x0000_peopl"/>
  </r>
  <r>
    <x v="7"/>
    <n v="13.6966"/>
    <n v="-89.165700000000001"/>
    <n v="3"/>
    <n v="0"/>
    <n v="0"/>
    <n v="107"/>
    <s v="_x0000_peopl"/>
  </r>
  <r>
    <x v="7"/>
    <n v="13.6966"/>
    <n v="-89.165599999999998"/>
    <n v="2"/>
    <n v="0"/>
    <n v="0"/>
    <n v="107"/>
    <s v="_x0000_peopl"/>
  </r>
  <r>
    <x v="7"/>
    <n v="13.6965"/>
    <n v="-89.165800000000004"/>
    <n v="4"/>
    <n v="0"/>
    <n v="0"/>
    <n v="107"/>
    <s v="_x0000_peopl"/>
  </r>
  <r>
    <x v="7"/>
    <n v="13.6965"/>
    <n v="-89.165800000000004"/>
    <n v="5"/>
    <n v="0"/>
    <n v="0"/>
    <n v="107"/>
    <s v="_x0000_peopl"/>
  </r>
  <r>
    <x v="7"/>
    <n v="13.6965"/>
    <n v="-89.165899999999993"/>
    <n v="5"/>
    <n v="0"/>
    <n v="0"/>
    <n v="107"/>
    <s v="_x0000_peopl"/>
  </r>
  <r>
    <x v="7"/>
    <n v="13.6965"/>
    <n v="-89.165999999999997"/>
    <n v="2"/>
    <n v="0"/>
    <n v="0"/>
    <n v="107"/>
    <s v="_x0000_peopl"/>
  </r>
  <r>
    <x v="7"/>
    <n v="13.6965"/>
    <n v="-89.1661"/>
    <n v="7"/>
    <n v="0"/>
    <n v="0"/>
    <n v="107"/>
    <s v="_x0000_peopl"/>
  </r>
  <r>
    <x v="7"/>
    <n v="13.6965"/>
    <n v="-89.1661"/>
    <n v="3"/>
    <n v="0"/>
    <n v="0"/>
    <n v="107"/>
    <s v="_x0000_peopl"/>
  </r>
  <r>
    <x v="7"/>
    <n v="13.6966"/>
    <n v="-89.166200000000003"/>
    <n v="3"/>
    <n v="0"/>
    <n v="0"/>
    <n v="107"/>
    <s v="_x0000_peopl"/>
  </r>
  <r>
    <x v="7"/>
    <n v="13.6966"/>
    <n v="-89.166200000000003"/>
    <n v="5"/>
    <n v="0"/>
    <n v="0"/>
    <n v="107"/>
    <s v="_x0000_peopl"/>
  </r>
  <r>
    <x v="7"/>
    <n v="13.6967"/>
    <n v="-89.165599999999998"/>
    <n v="9"/>
    <n v="0"/>
    <n v="0"/>
    <n v="107"/>
    <s v="_x0000_peopl"/>
  </r>
  <r>
    <x v="7"/>
    <n v="13.6967"/>
    <n v="-89.165700000000001"/>
    <n v="2"/>
    <n v="0"/>
    <n v="0"/>
    <n v="107"/>
    <s v="_x0000_peopl"/>
  </r>
  <r>
    <x v="7"/>
    <n v="13.6968"/>
    <n v="-89.165700000000001"/>
    <n v="5"/>
    <n v="0"/>
    <n v="0"/>
    <n v="107"/>
    <s v="_x0000_peopl"/>
  </r>
  <r>
    <x v="7"/>
    <n v="13.6968"/>
    <n v="-89.165800000000004"/>
    <n v="8"/>
    <n v="0"/>
    <n v="0"/>
    <n v="107"/>
    <s v="_x0000_peopl"/>
  </r>
  <r>
    <x v="7"/>
    <n v="13.6968"/>
    <n v="-89.165800000000004"/>
    <n v="5"/>
    <n v="0"/>
    <n v="0"/>
    <n v="107"/>
    <s v="_x0000_peopl"/>
  </r>
  <r>
    <x v="7"/>
    <n v="13.6968"/>
    <n v="-89.165899999999993"/>
    <n v="1"/>
    <n v="0"/>
    <n v="0"/>
    <n v="107"/>
    <s v="_x0000_peopl"/>
  </r>
  <r>
    <x v="7"/>
    <n v="13.6968"/>
    <n v="-89.1661"/>
    <n v="7"/>
    <n v="0"/>
    <n v="0"/>
    <n v="107"/>
    <s v="_x0000_peopl"/>
  </r>
  <r>
    <x v="7"/>
    <n v="13.696899999999999"/>
    <n v="-89.165999999999997"/>
    <n v="6"/>
    <n v="0"/>
    <n v="0"/>
    <n v="107"/>
    <s v="_x0000_peopl"/>
  </r>
  <r>
    <x v="7"/>
    <n v="13.6968"/>
    <n v="-89.165899999999993"/>
    <n v="3"/>
    <n v="0"/>
    <n v="0"/>
    <n v="107"/>
    <s v="_x0000_peopl"/>
  </r>
  <r>
    <x v="7"/>
    <n v="13.6968"/>
    <n v="-89.165899999999993"/>
    <n v="6"/>
    <n v="0"/>
    <n v="0"/>
    <n v="107"/>
    <s v="_x0000_peopl"/>
  </r>
  <r>
    <x v="7"/>
    <n v="13.696999999999999"/>
    <n v="-89.165899999999993"/>
    <n v="4"/>
    <n v="0"/>
    <n v="0"/>
    <n v="107"/>
    <s v="_x0000_peopl"/>
  </r>
  <r>
    <x v="7"/>
    <n v="13.696999999999999"/>
    <n v="-89.165800000000004"/>
    <n v="5"/>
    <n v="0"/>
    <n v="0"/>
    <n v="107"/>
    <s v="_x0000_peopl"/>
  </r>
  <r>
    <x v="7"/>
    <n v="13.696999999999999"/>
    <n v="-89.165800000000004"/>
    <n v="7"/>
    <n v="0"/>
    <n v="0"/>
    <n v="107"/>
    <s v="_x0000_peopl"/>
  </r>
  <r>
    <x v="7"/>
    <n v="13.696899999999999"/>
    <n v="-89.165800000000004"/>
    <n v="4"/>
    <n v="0"/>
    <n v="0"/>
    <n v="107"/>
    <s v="_x0000_peopl"/>
  </r>
  <r>
    <x v="7"/>
    <n v="13.696899999999999"/>
    <n v="-89.165700000000001"/>
    <n v="4"/>
    <n v="0"/>
    <n v="0"/>
    <n v="107"/>
    <s v="_x0000_peopl"/>
  </r>
  <r>
    <x v="7"/>
    <n v="13.696899999999999"/>
    <n v="-89.165700000000001"/>
    <n v="4"/>
    <n v="0"/>
    <n v="0"/>
    <n v="107"/>
    <s v="_x0000_peopl"/>
  </r>
  <r>
    <x v="7"/>
    <n v="13.696999999999999"/>
    <n v="-89.165599999999998"/>
    <n v="1"/>
    <n v="0"/>
    <n v="0"/>
    <n v="107"/>
    <s v="_x0000_peopl"/>
  </r>
  <r>
    <x v="7"/>
    <n v="13.696999999999999"/>
    <n v="-89.165899999999993"/>
    <n v="4"/>
    <n v="0"/>
    <n v="0"/>
    <n v="107"/>
    <s v="_x0000_peopl"/>
  </r>
  <r>
    <x v="7"/>
    <n v="13.697100000000001"/>
    <n v="-89.165899999999993"/>
    <n v="5"/>
    <n v="0"/>
    <n v="0"/>
    <n v="107"/>
    <s v="_x0000_peopl"/>
  </r>
  <r>
    <x v="7"/>
    <n v="13.697100000000001"/>
    <n v="-89.165800000000004"/>
    <n v="4"/>
    <n v="0"/>
    <n v="0"/>
    <n v="107"/>
    <s v="_x0000_peopl"/>
  </r>
  <r>
    <x v="7"/>
    <n v="13.697100000000001"/>
    <n v="-89.165800000000004"/>
    <n v="2"/>
    <n v="0"/>
    <n v="0"/>
    <n v="107"/>
    <s v="_x0000_peopl"/>
  </r>
  <r>
    <x v="7"/>
    <n v="13.696999999999999"/>
    <n v="-89.165800000000004"/>
    <n v="5"/>
    <n v="0"/>
    <n v="0"/>
    <n v="107"/>
    <s v="_x0000_peopl"/>
  </r>
  <r>
    <x v="7"/>
    <n v="13.696999999999999"/>
    <n v="-89.165700000000001"/>
    <n v="3"/>
    <n v="0"/>
    <n v="0"/>
    <n v="107"/>
    <s v="_x0000_peopl"/>
  </r>
  <r>
    <x v="7"/>
    <n v="13.696999999999999"/>
    <n v="-89.165700000000001"/>
    <n v="5"/>
    <n v="0"/>
    <n v="0"/>
    <n v="107"/>
    <s v="_x0000_peopl"/>
  </r>
  <r>
    <x v="7"/>
    <n v="13.6972"/>
    <n v="-89.165700000000001"/>
    <n v="5"/>
    <n v="0"/>
    <n v="0"/>
    <n v="107"/>
    <s v="_x0000_peopl"/>
  </r>
  <r>
    <x v="7"/>
    <n v="13.6972"/>
    <n v="-89.165700000000001"/>
    <n v="9"/>
    <n v="0"/>
    <n v="0"/>
    <n v="107"/>
    <s v="_x0000_peopl"/>
  </r>
  <r>
    <x v="7"/>
    <n v="13.6972"/>
    <n v="-89.165599999999998"/>
    <n v="4"/>
    <n v="0"/>
    <n v="0"/>
    <n v="107"/>
    <s v="_x0000_peopl"/>
  </r>
  <r>
    <x v="7"/>
    <n v="13.697100000000001"/>
    <n v="-89.165599999999998"/>
    <n v="6"/>
    <n v="0"/>
    <n v="0"/>
    <n v="107"/>
    <s v="_x0000_peopl"/>
  </r>
  <r>
    <x v="7"/>
    <n v="13.697100000000001"/>
    <n v="-89.165499999999994"/>
    <n v="10"/>
    <n v="0"/>
    <n v="0"/>
    <n v="107"/>
    <s v="_x0000_peopl"/>
  </r>
  <r>
    <x v="7"/>
    <n v="13.697100000000001"/>
    <n v="-89.165499999999994"/>
    <n v="10"/>
    <n v="0"/>
    <n v="0"/>
    <n v="107"/>
    <s v="_x0000_peopl"/>
  </r>
  <r>
    <x v="7"/>
    <n v="13.697100000000001"/>
    <n v="-89.165400000000005"/>
    <n v="3"/>
    <n v="0"/>
    <n v="0"/>
    <n v="107"/>
    <s v="_x0000_peopl"/>
  </r>
  <r>
    <x v="7"/>
    <n v="13.697100000000001"/>
    <n v="-89.165400000000005"/>
    <n v="6"/>
    <n v="0"/>
    <n v="0"/>
    <n v="107"/>
    <s v="_x0000_peopl"/>
  </r>
  <r>
    <x v="7"/>
    <n v="13.696999999999999"/>
    <n v="-89.165599999999998"/>
    <n v="5"/>
    <n v="0"/>
    <n v="0"/>
    <n v="107"/>
    <s v="_x0000_peopl"/>
  </r>
  <r>
    <x v="7"/>
    <n v="13.696999999999999"/>
    <n v="-89.165499999999994"/>
    <n v="4"/>
    <n v="0"/>
    <n v="0"/>
    <n v="107"/>
    <s v="_x0000_peopl"/>
  </r>
  <r>
    <x v="7"/>
    <n v="13.696899999999999"/>
    <n v="-89.165499999999994"/>
    <n v="4"/>
    <n v="0"/>
    <n v="0"/>
    <n v="107"/>
    <s v="_x0000_peopl"/>
  </r>
  <r>
    <x v="7"/>
    <n v="13.696899999999999"/>
    <n v="-89.165499999999994"/>
    <n v="0"/>
    <n v="0"/>
    <n v="0"/>
    <n v="107"/>
    <s v="_x0000_peopl"/>
  </r>
  <r>
    <x v="7"/>
    <n v="13.697100000000001"/>
    <n v="-89.165400000000005"/>
    <n v="5"/>
    <n v="0"/>
    <n v="0"/>
    <n v="107"/>
    <s v="_x0000_peopl"/>
  </r>
  <r>
    <x v="7"/>
    <n v="13.697100000000001"/>
    <n v="-89.165300000000002"/>
    <n v="9"/>
    <n v="0"/>
    <n v="0"/>
    <n v="107"/>
    <s v="_x0000_peopl"/>
  </r>
  <r>
    <x v="7"/>
    <n v="13.697100000000001"/>
    <n v="-89.165300000000002"/>
    <n v="3"/>
    <n v="0"/>
    <n v="0"/>
    <n v="107"/>
    <s v="_x0000_peopl"/>
  </r>
  <r>
    <x v="7"/>
    <n v="13.6972"/>
    <n v="-89.165300000000002"/>
    <n v="9"/>
    <n v="0"/>
    <n v="0"/>
    <n v="107"/>
    <s v="_x0000_peopl"/>
  </r>
  <r>
    <x v="7"/>
    <n v="13.6972"/>
    <n v="-89.165400000000005"/>
    <n v="2"/>
    <n v="0"/>
    <n v="0"/>
    <n v="107"/>
    <s v="_x0000_peopl"/>
  </r>
  <r>
    <x v="7"/>
    <n v="13.6972"/>
    <n v="-89.165400000000005"/>
    <n v="7"/>
    <n v="0"/>
    <n v="0"/>
    <n v="107"/>
    <s v="_x0000_peopl"/>
  </r>
  <r>
    <x v="7"/>
    <n v="13.6972"/>
    <n v="-89.165499999999994"/>
    <n v="4"/>
    <n v="0"/>
    <n v="0"/>
    <n v="107"/>
    <s v="_x0000_peopl"/>
  </r>
  <r>
    <x v="7"/>
    <n v="13.6972"/>
    <n v="-89.165499999999994"/>
    <n v="3"/>
    <n v="0"/>
    <n v="0"/>
    <n v="107"/>
    <s v="_x0000_peopl"/>
  </r>
  <r>
    <x v="7"/>
    <n v="13.6972"/>
    <n v="-89.165499999999994"/>
    <n v="9"/>
    <n v="0"/>
    <n v="0"/>
    <n v="107"/>
    <s v="_x0000_peopl"/>
  </r>
  <r>
    <x v="7"/>
    <n v="13.6972"/>
    <n v="-89.165599999999998"/>
    <n v="10"/>
    <n v="0"/>
    <n v="0"/>
    <n v="107"/>
    <s v="_x0000_peopl"/>
  </r>
  <r>
    <x v="7"/>
    <n v="13.6972"/>
    <n v="-89.165700000000001"/>
    <n v="4"/>
    <n v="0"/>
    <n v="0"/>
    <n v="107"/>
    <s v="_x0000_peopl"/>
  </r>
  <r>
    <x v="7"/>
    <n v="13.6973"/>
    <n v="-89.165700000000001"/>
    <n v="3"/>
    <n v="0"/>
    <n v="0"/>
    <n v="107"/>
    <s v="_x0000_peopl"/>
  </r>
  <r>
    <x v="7"/>
    <n v="13.6973"/>
    <n v="-89.165700000000001"/>
    <n v="3"/>
    <n v="0"/>
    <n v="0"/>
    <n v="107"/>
    <s v="_x0000_peopl"/>
  </r>
  <r>
    <x v="7"/>
    <n v="13.6973"/>
    <n v="-89.165599999999998"/>
    <n v="5"/>
    <n v="0"/>
    <n v="0"/>
    <n v="107"/>
    <s v="_x0000_peopl"/>
  </r>
  <r>
    <x v="7"/>
    <n v="13.6974"/>
    <n v="-89.165499999999994"/>
    <n v="3"/>
    <n v="0"/>
    <n v="0"/>
    <n v="107"/>
    <s v="_x0000_peopl"/>
  </r>
  <r>
    <x v="7"/>
    <n v="13.6974"/>
    <n v="-89.165499999999994"/>
    <n v="3"/>
    <n v="0"/>
    <n v="0"/>
    <n v="107"/>
    <s v="_x0000_peopl"/>
  </r>
  <r>
    <x v="7"/>
    <n v="13.6974"/>
    <n v="-89.165400000000005"/>
    <n v="4"/>
    <n v="0"/>
    <n v="0"/>
    <n v="107"/>
    <s v="_x0000_peopl"/>
  </r>
  <r>
    <x v="7"/>
    <n v="13.6973"/>
    <n v="-89.165400000000005"/>
    <n v="3"/>
    <n v="0"/>
    <n v="0"/>
    <n v="107"/>
    <s v="_x0000_peopl"/>
  </r>
  <r>
    <x v="7"/>
    <n v="13.6973"/>
    <n v="-89.165400000000005"/>
    <n v="6"/>
    <n v="0"/>
    <n v="0"/>
    <n v="107"/>
    <s v="_x0000_peopl"/>
  </r>
  <r>
    <x v="7"/>
    <n v="13.6973"/>
    <n v="-89.165300000000002"/>
    <n v="9"/>
    <n v="0"/>
    <n v="0"/>
    <n v="107"/>
    <s v="_x0000_peopl"/>
  </r>
  <r>
    <x v="7"/>
    <n v="13.6973"/>
    <n v="-89.165300000000002"/>
    <n v="6"/>
    <n v="0"/>
    <n v="0"/>
    <n v="107"/>
    <s v="_x0000_peopl"/>
  </r>
  <r>
    <x v="7"/>
    <n v="13.6973"/>
    <n v="-89.165199999999999"/>
    <n v="6"/>
    <n v="0"/>
    <n v="0"/>
    <n v="107"/>
    <s v="_x0000_peopl"/>
  </r>
  <r>
    <x v="7"/>
    <n v="13.6974"/>
    <n v="-89.165700000000001"/>
    <n v="6"/>
    <n v="0"/>
    <n v="0"/>
    <n v="107"/>
    <s v="_x0000_peopl"/>
  </r>
  <r>
    <x v="7"/>
    <n v="13.6974"/>
    <n v="-89.165599999999998"/>
    <n v="3"/>
    <n v="0"/>
    <n v="0"/>
    <n v="107"/>
    <s v="_x0000_peopl"/>
  </r>
  <r>
    <x v="7"/>
    <n v="13.6974"/>
    <n v="-89.165599999999998"/>
    <n v="12"/>
    <n v="0"/>
    <n v="0"/>
    <n v="107"/>
    <s v="_x0000_peopl"/>
  </r>
  <r>
    <x v="7"/>
    <n v="13.6975"/>
    <n v="-89.165599999999998"/>
    <n v="9"/>
    <n v="0"/>
    <n v="0"/>
    <n v="107"/>
    <s v="_x0000_peopl"/>
  </r>
  <r>
    <x v="7"/>
    <n v="13.6975"/>
    <n v="-89.165499999999994"/>
    <n v="3"/>
    <n v="0"/>
    <n v="0"/>
    <n v="107"/>
    <s v="_x0000_peopl"/>
  </r>
  <r>
    <x v="7"/>
    <n v="13.6975"/>
    <n v="-89.165499999999994"/>
    <n v="5"/>
    <n v="0"/>
    <n v="0"/>
    <n v="107"/>
    <s v="_x0000_peopl"/>
  </r>
  <r>
    <x v="7"/>
    <n v="13.6975"/>
    <n v="-89.165400000000005"/>
    <n v="5"/>
    <n v="0"/>
    <n v="0"/>
    <n v="107"/>
    <s v="_x0000_peopl"/>
  </r>
  <r>
    <x v="7"/>
    <n v="13.6975"/>
    <n v="-89.165400000000005"/>
    <n v="5"/>
    <n v="0"/>
    <n v="0"/>
    <n v="107"/>
    <s v="_x0000_peopl"/>
  </r>
  <r>
    <x v="7"/>
    <n v="13.6974"/>
    <n v="-89.165300000000002"/>
    <n v="2"/>
    <n v="0"/>
    <n v="0"/>
    <n v="107"/>
    <s v="_x0000_peopl"/>
  </r>
  <r>
    <x v="7"/>
    <n v="13.6974"/>
    <n v="-89.165300000000002"/>
    <n v="2"/>
    <n v="0"/>
    <n v="0"/>
    <n v="107"/>
    <s v="_x0000_peopl"/>
  </r>
  <r>
    <x v="7"/>
    <n v="13.6974"/>
    <n v="-89.165300000000002"/>
    <n v="5"/>
    <n v="0"/>
    <n v="0"/>
    <n v="107"/>
    <s v="_x0000_peopl"/>
  </r>
  <r>
    <x v="7"/>
    <n v="13.6974"/>
    <n v="-89.165199999999999"/>
    <n v="7"/>
    <n v="0"/>
    <n v="0"/>
    <n v="107"/>
    <s v="_x0000_peopl"/>
  </r>
  <r>
    <x v="7"/>
    <n v="13.6976"/>
    <n v="-89.165199999999999"/>
    <n v="3"/>
    <n v="0"/>
    <n v="0"/>
    <n v="107"/>
    <s v="_x0000_peopl"/>
  </r>
  <r>
    <x v="7"/>
    <n v="13.6976"/>
    <n v="-89.165300000000002"/>
    <n v="8"/>
    <n v="0"/>
    <n v="0"/>
    <n v="107"/>
    <s v="_x0000_peopl"/>
  </r>
  <r>
    <x v="7"/>
    <n v="13.6976"/>
    <n v="-89.165300000000002"/>
    <n v="3"/>
    <n v="0"/>
    <n v="0"/>
    <n v="107"/>
    <s v="_x0000_peopl"/>
  </r>
  <r>
    <x v="7"/>
    <n v="13.6976"/>
    <n v="-89.165400000000005"/>
    <n v="6"/>
    <n v="0"/>
    <n v="0"/>
    <n v="107"/>
    <s v="_x0000_peopl"/>
  </r>
  <r>
    <x v="7"/>
    <n v="13.697699999999999"/>
    <n v="-89.165499999999994"/>
    <n v="7"/>
    <n v="0"/>
    <n v="0"/>
    <n v="107"/>
    <s v="_x0000_peopl"/>
  </r>
  <r>
    <x v="7"/>
    <n v="13.6976"/>
    <n v="-89.165499999999994"/>
    <n v="6"/>
    <n v="0"/>
    <n v="0"/>
    <n v="107"/>
    <s v="_x0000_peopl"/>
  </r>
  <r>
    <x v="7"/>
    <n v="13.6976"/>
    <n v="-89.165400000000005"/>
    <n v="4"/>
    <n v="0"/>
    <n v="0"/>
    <n v="107"/>
    <s v="_x0000_peopl"/>
  </r>
  <r>
    <x v="7"/>
    <n v="13.697699999999999"/>
    <n v="-89.165400000000005"/>
    <n v="2"/>
    <n v="0"/>
    <n v="0"/>
    <n v="107"/>
    <s v="_x0000_peopl"/>
  </r>
  <r>
    <x v="7"/>
    <n v="13.697699999999999"/>
    <n v="-89.165400000000005"/>
    <n v="3"/>
    <n v="0"/>
    <n v="0"/>
    <n v="107"/>
    <s v="_x0000_peopl"/>
  </r>
  <r>
    <x v="7"/>
    <n v="13.697699999999999"/>
    <n v="-89.165300000000002"/>
    <n v="4"/>
    <n v="0"/>
    <n v="0"/>
    <n v="107"/>
    <s v="_x0000_peopl"/>
  </r>
  <r>
    <x v="7"/>
    <n v="13.697699999999999"/>
    <n v="-89.165300000000002"/>
    <n v="5"/>
    <n v="0"/>
    <n v="0"/>
    <n v="107"/>
    <s v="_x0000_peopl"/>
  </r>
  <r>
    <x v="7"/>
    <n v="13.697699999999999"/>
    <n v="-89.165199999999999"/>
    <n v="6"/>
    <n v="0"/>
    <n v="0"/>
    <n v="107"/>
    <s v="_x0000_peopl"/>
  </r>
  <r>
    <x v="7"/>
    <n v="13.697900000000001"/>
    <n v="-89.165300000000002"/>
    <n v="6"/>
    <n v="0"/>
    <n v="0"/>
    <n v="107"/>
    <s v="_x0000_peopl"/>
  </r>
  <r>
    <x v="7"/>
    <n v="13.697800000000001"/>
    <n v="-89.165300000000002"/>
    <n v="4"/>
    <n v="0"/>
    <n v="0"/>
    <n v="107"/>
    <s v="_x0000_peopl"/>
  </r>
  <r>
    <x v="7"/>
    <n v="13.697800000000001"/>
    <n v="-89.165199999999999"/>
    <n v="6"/>
    <n v="0"/>
    <n v="0"/>
    <n v="107"/>
    <s v="_x0000_peopl"/>
  </r>
  <r>
    <x v="7"/>
    <n v="13.6975"/>
    <n v="-89.165099999999995"/>
    <n v="8"/>
    <n v="0"/>
    <n v="0"/>
    <n v="107"/>
    <s v="_x0000_peopl"/>
  </r>
  <r>
    <x v="7"/>
    <n v="13.6975"/>
    <n v="-89.165199999999999"/>
    <n v="2"/>
    <n v="0"/>
    <n v="0"/>
    <n v="107"/>
    <s v="_x0000_peopl"/>
  </r>
  <r>
    <x v="7"/>
    <n v="13.6975"/>
    <n v="-89.165199999999999"/>
    <n v="3"/>
    <n v="0"/>
    <n v="0"/>
    <n v="107"/>
    <s v="_x0000_peopl"/>
  </r>
  <r>
    <x v="7"/>
    <n v="13.697699999999999"/>
    <n v="-89.165199999999999"/>
    <n v="1"/>
    <n v="0"/>
    <n v="0"/>
    <n v="107"/>
    <s v="_x0000_peopl"/>
  </r>
  <r>
    <x v="7"/>
    <n v="13.6976"/>
    <n v="-89.165199999999999"/>
    <n v="4"/>
    <n v="0"/>
    <n v="0"/>
    <n v="107"/>
    <s v="_x0000_peopl"/>
  </r>
  <r>
    <x v="7"/>
    <n v="13.6976"/>
    <n v="-89.165099999999995"/>
    <n v="3"/>
    <n v="0"/>
    <n v="0"/>
    <n v="107"/>
    <s v="_x0000_peopl"/>
  </r>
  <r>
    <x v="7"/>
    <n v="13.6976"/>
    <n v="-89.165099999999995"/>
    <n v="4"/>
    <n v="0"/>
    <n v="0"/>
    <n v="107"/>
    <s v="_x0000_peopl"/>
  </r>
  <r>
    <x v="7"/>
    <n v="13.697800000000001"/>
    <n v="-89.165000000000006"/>
    <n v="10"/>
    <n v="0"/>
    <n v="0"/>
    <n v="107"/>
    <s v="_x0000_peopl"/>
  </r>
  <r>
    <x v="7"/>
    <n v="13.697800000000001"/>
    <n v="-89.165199999999999"/>
    <n v="10"/>
    <n v="0"/>
    <n v="0"/>
    <n v="107"/>
    <s v="_x0000_peopl"/>
  </r>
  <r>
    <x v="7"/>
    <n v="13.697800000000001"/>
    <n v="-89.165199999999999"/>
    <n v="4"/>
    <n v="0"/>
    <n v="0"/>
    <n v="107"/>
    <s v="_x0000_peopl"/>
  </r>
  <r>
    <x v="7"/>
    <n v="13.697800000000001"/>
    <n v="-89.165099999999995"/>
    <n v="5"/>
    <n v="0"/>
    <n v="0"/>
    <n v="107"/>
    <s v="_x0000_peopl"/>
  </r>
  <r>
    <x v="7"/>
    <n v="13.697800000000001"/>
    <n v="-89.165099999999995"/>
    <n v="4"/>
    <n v="0"/>
    <n v="0"/>
    <n v="107"/>
    <s v="_x0000_peopl"/>
  </r>
  <r>
    <x v="7"/>
    <n v="13.6974"/>
    <n v="-89.165199999999999"/>
    <n v="4"/>
    <n v="0"/>
    <n v="0"/>
    <n v="107"/>
    <s v="_x0000_peopl"/>
  </r>
  <r>
    <x v="7"/>
    <n v="13.696300000000001"/>
    <n v="-89.165599999999998"/>
    <n v="2"/>
    <n v="0"/>
    <n v="0"/>
    <n v="107"/>
    <s v="_x0000_peopl"/>
  </r>
  <r>
    <x v="7"/>
    <n v="13.696400000000001"/>
    <n v="-89.165599999999998"/>
    <n v="6"/>
    <n v="0"/>
    <n v="0"/>
    <n v="107"/>
    <s v="_x0000_peopl"/>
  </r>
  <r>
    <x v="7"/>
    <n v="13.696400000000001"/>
    <n v="-89.165599999999998"/>
    <n v="3"/>
    <n v="0"/>
    <n v="0"/>
    <n v="107"/>
    <s v="_x0000_peopl"/>
  </r>
  <r>
    <x v="7"/>
    <n v="13.6965"/>
    <n v="-89.165599999999998"/>
    <n v="7"/>
    <n v="0"/>
    <n v="0"/>
    <n v="107"/>
    <s v="_x0000_peopl"/>
  </r>
  <r>
    <x v="7"/>
    <n v="13.696400000000001"/>
    <n v="-89.165599999999998"/>
    <n v="7"/>
    <n v="0"/>
    <n v="0"/>
    <n v="107"/>
    <s v="_x0000_peopl"/>
  </r>
  <r>
    <x v="7"/>
    <n v="13.696400000000001"/>
    <n v="-89.165700000000001"/>
    <n v="5"/>
    <n v="0"/>
    <n v="0"/>
    <n v="107"/>
    <s v="_x0000_peopl"/>
  </r>
  <r>
    <x v="7"/>
    <n v="13.696400000000001"/>
    <n v="-89.165800000000004"/>
    <n v="4"/>
    <n v="0"/>
    <n v="0"/>
    <n v="107"/>
    <s v="_x0000_peopl"/>
  </r>
  <r>
    <x v="7"/>
    <n v="13.696400000000001"/>
    <n v="-89.165800000000004"/>
    <n v="5"/>
    <n v="0"/>
    <n v="0"/>
    <n v="107"/>
    <s v="_x0000_peopl"/>
  </r>
  <r>
    <x v="7"/>
    <n v="13.696400000000001"/>
    <n v="-89.165899999999993"/>
    <n v="4"/>
    <n v="0"/>
    <n v="0"/>
    <n v="107"/>
    <s v="_x0000_peopl"/>
  </r>
  <r>
    <x v="7"/>
    <n v="13.6965"/>
    <n v="-89.165899999999993"/>
    <n v="6"/>
    <n v="0"/>
    <n v="0"/>
    <n v="107"/>
    <s v="_x0000_peopl"/>
  </r>
  <r>
    <x v="7"/>
    <n v="13.6965"/>
    <n v="-89.165899999999993"/>
    <n v="2"/>
    <n v="0"/>
    <n v="0"/>
    <n v="107"/>
    <s v="_x0000_peopl"/>
  </r>
  <r>
    <x v="7"/>
    <n v="13.696400000000001"/>
    <n v="-89.1661"/>
    <n v="5"/>
    <n v="0"/>
    <n v="0"/>
    <n v="107"/>
    <s v="_x0000_peopl"/>
  </r>
  <r>
    <x v="7"/>
    <n v="13.696400000000001"/>
    <n v="-89.1661"/>
    <n v="6"/>
    <n v="0"/>
    <n v="0"/>
    <n v="107"/>
    <s v="_x0000_peopl"/>
  </r>
  <r>
    <x v="7"/>
    <n v="13.696300000000001"/>
    <n v="-89.165999999999997"/>
    <n v="4"/>
    <n v="0"/>
    <n v="0"/>
    <n v="107"/>
    <s v="_x0000_peopl"/>
  </r>
  <r>
    <x v="7"/>
    <n v="13.696300000000001"/>
    <n v="-89.165999999999997"/>
    <n v="4"/>
    <n v="0"/>
    <n v="0"/>
    <n v="107"/>
    <s v="_x0000_peopl"/>
  </r>
  <r>
    <x v="7"/>
    <n v="13.696400000000001"/>
    <n v="-89.166300000000007"/>
    <n v="2"/>
    <n v="0"/>
    <n v="0"/>
    <n v="107"/>
    <s v="_x0000_peopl"/>
  </r>
  <r>
    <x v="7"/>
    <n v="13.696400000000001"/>
    <n v="-89.166200000000003"/>
    <n v="4"/>
    <n v="0"/>
    <n v="0"/>
    <n v="107"/>
    <s v="_x0000_peopl"/>
  </r>
  <r>
    <x v="7"/>
    <n v="13.696400000000001"/>
    <n v="-89.166200000000003"/>
    <n v="6"/>
    <n v="0"/>
    <n v="0"/>
    <n v="107"/>
    <s v="_x0000_peopl"/>
  </r>
  <r>
    <x v="7"/>
    <n v="13.696099999999999"/>
    <n v="-89.166200000000003"/>
    <n v="6"/>
    <n v="0"/>
    <n v="0"/>
    <n v="107"/>
    <s v="_x0000_peopl"/>
  </r>
  <r>
    <x v="7"/>
    <n v="13.696199999999999"/>
    <n v="-89.165999999999997"/>
    <n v="1"/>
    <n v="0"/>
    <n v="0"/>
    <n v="107"/>
    <s v="_x0000_peopl"/>
  </r>
  <r>
    <x v="7"/>
    <n v="13.696099999999999"/>
    <n v="-89.1661"/>
    <n v="12"/>
    <n v="0"/>
    <n v="0"/>
    <n v="107"/>
    <s v="_x0000_peopl"/>
  </r>
  <r>
    <x v="7"/>
    <n v="13.696099999999999"/>
    <n v="-89.1661"/>
    <n v="3"/>
    <n v="0"/>
    <n v="0"/>
    <n v="107"/>
    <s v="_x0000_peopl"/>
  </r>
  <r>
    <x v="7"/>
    <n v="13.696099999999999"/>
    <n v="-89.165999999999997"/>
    <n v="3"/>
    <n v="0"/>
    <n v="0"/>
    <n v="107"/>
    <s v="_x0000_peopl"/>
  </r>
  <r>
    <x v="7"/>
    <n v="13.696199999999999"/>
    <n v="-89.165899999999993"/>
    <n v="3"/>
    <n v="0"/>
    <n v="0"/>
    <n v="107"/>
    <s v="_x0000_peopl"/>
  </r>
  <r>
    <x v="7"/>
    <n v="13.696199999999999"/>
    <n v="-89.165899999999993"/>
    <n v="5"/>
    <n v="0"/>
    <n v="0"/>
    <n v="107"/>
    <s v="_x0000_peopl"/>
  </r>
  <r>
    <x v="7"/>
    <n v="13.696199999999999"/>
    <n v="-89.165800000000004"/>
    <n v="9"/>
    <n v="0"/>
    <n v="0"/>
    <n v="107"/>
    <s v="_x0000_peopl"/>
  </r>
  <r>
    <x v="7"/>
    <n v="13.696099999999999"/>
    <n v="-89.165800000000004"/>
    <n v="3"/>
    <n v="0"/>
    <n v="0"/>
    <n v="107"/>
    <s v="_x0000_peopl"/>
  </r>
  <r>
    <x v="7"/>
    <n v="13.696099999999999"/>
    <n v="-89.165700000000001"/>
    <n v="2"/>
    <n v="0"/>
    <n v="0"/>
    <n v="107"/>
    <s v="_x0000_peopl"/>
  </r>
  <r>
    <x v="7"/>
    <n v="13.696099999999999"/>
    <n v="-89.165700000000001"/>
    <n v="2"/>
    <n v="0"/>
    <n v="0"/>
    <n v="107"/>
    <s v="_x0000_peopl"/>
  </r>
  <r>
    <x v="7"/>
    <n v="13.696199999999999"/>
    <n v="-89.165599999999998"/>
    <n v="4"/>
    <n v="0"/>
    <n v="0"/>
    <n v="107"/>
    <s v="_x0000_peopl"/>
  </r>
  <r>
    <x v="7"/>
    <n v="13.696199999999999"/>
    <n v="-89.165700000000001"/>
    <n v="6"/>
    <n v="0"/>
    <n v="0"/>
    <n v="107"/>
    <s v="_x0000_peopl"/>
  </r>
  <r>
    <x v="7"/>
    <n v="13.696199999999999"/>
    <n v="-89.165700000000001"/>
    <n v="5"/>
    <n v="0"/>
    <n v="0"/>
    <n v="107"/>
    <s v="_x0000_peopl"/>
  </r>
  <r>
    <x v="7"/>
    <n v="13.696199999999999"/>
    <n v="-89.165800000000004"/>
    <n v="8"/>
    <n v="0"/>
    <n v="0"/>
    <n v="107"/>
    <s v="_x0000_peopl"/>
  </r>
  <r>
    <x v="7"/>
    <n v="13.696300000000001"/>
    <n v="-89.165899999999993"/>
    <n v="6"/>
    <n v="0"/>
    <n v="0"/>
    <n v="107"/>
    <s v="_x0000_peopl"/>
  </r>
  <r>
    <x v="7"/>
    <n v="13.696300000000001"/>
    <n v="-89.165800000000004"/>
    <n v="5"/>
    <n v="0"/>
    <n v="0"/>
    <n v="107"/>
    <s v="_x0000_peopl"/>
  </r>
  <r>
    <x v="7"/>
    <n v="13.696"/>
    <n v="-89.165999999999997"/>
    <n v="5"/>
    <n v="0"/>
    <n v="0"/>
    <n v="107"/>
    <s v="_x0000_peopl"/>
  </r>
  <r>
    <x v="7"/>
    <n v="13.696"/>
    <n v="-89.165999999999997"/>
    <n v="6"/>
    <n v="0"/>
    <n v="0"/>
    <n v="107"/>
    <s v="_x0000_peopl"/>
  </r>
  <r>
    <x v="7"/>
    <n v="13.696"/>
    <n v="-89.165899999999993"/>
    <n v="4"/>
    <n v="0"/>
    <n v="0"/>
    <n v="107"/>
    <s v="_x0000_peopl"/>
  </r>
  <r>
    <x v="7"/>
    <n v="13.696"/>
    <n v="-89.165899999999993"/>
    <n v="10"/>
    <n v="0"/>
    <n v="0"/>
    <n v="107"/>
    <s v="_x0000_peopl"/>
  </r>
  <r>
    <x v="7"/>
    <n v="13.696"/>
    <n v="-89.165800000000004"/>
    <n v="2"/>
    <n v="0"/>
    <n v="0"/>
    <n v="107"/>
    <s v="_x0000_peopl"/>
  </r>
  <r>
    <x v="7"/>
    <n v="13.696"/>
    <n v="-89.165800000000004"/>
    <n v="4"/>
    <n v="0"/>
    <n v="0"/>
    <n v="107"/>
    <s v="_x0000_peopl"/>
  </r>
  <r>
    <x v="7"/>
    <n v="13.6959"/>
    <n v="-89.165700000000001"/>
    <n v="7"/>
    <n v="0"/>
    <n v="0"/>
    <n v="107"/>
    <s v="_x0000_peopl"/>
  </r>
  <r>
    <x v="7"/>
    <n v="13.696899999999999"/>
    <n v="-89.165499999999994"/>
    <n v="6"/>
    <n v="0"/>
    <n v="0"/>
    <n v="107"/>
    <s v="_x0000_peopl"/>
  </r>
  <r>
    <x v="7"/>
    <n v="13.6968"/>
    <n v="-89.165499999999994"/>
    <n v="6"/>
    <n v="0"/>
    <n v="0"/>
    <n v="107"/>
    <s v="_x0000_peopl"/>
  </r>
  <r>
    <x v="7"/>
    <n v="13.6968"/>
    <n v="-89.165499999999994"/>
    <n v="1"/>
    <n v="0"/>
    <n v="0"/>
    <n v="107"/>
    <s v="_x0000_peopl"/>
  </r>
  <r>
    <x v="7"/>
    <n v="13.6968"/>
    <n v="-89.165400000000005"/>
    <n v="5"/>
    <n v="0"/>
    <n v="0"/>
    <n v="107"/>
    <s v="_x0000_peopl"/>
  </r>
  <r>
    <x v="7"/>
    <n v="13.6967"/>
    <n v="-89.165599999999998"/>
    <n v="5"/>
    <n v="0"/>
    <n v="0"/>
    <n v="107"/>
    <s v="_x0000_peopl"/>
  </r>
  <r>
    <x v="7"/>
    <n v="13.6967"/>
    <n v="-89.165599999999998"/>
    <n v="2"/>
    <n v="0"/>
    <n v="0"/>
    <n v="107"/>
    <s v="_x0000_peopl"/>
  </r>
  <r>
    <x v="7"/>
    <n v="13.6967"/>
    <n v="-89.165499999999994"/>
    <n v="10"/>
    <n v="0"/>
    <n v="0"/>
    <n v="107"/>
    <s v="_x0000_peopl"/>
  </r>
  <r>
    <x v="7"/>
    <n v="13.6967"/>
    <n v="-89.165499999999994"/>
    <n v="6"/>
    <n v="0"/>
    <n v="0"/>
    <n v="107"/>
    <s v="_x0000_peopl"/>
  </r>
  <r>
    <x v="7"/>
    <n v="13.6966"/>
    <n v="-89.165599999999998"/>
    <n v="3"/>
    <n v="0"/>
    <n v="0"/>
    <n v="107"/>
    <s v="_x0000_peopl"/>
  </r>
  <r>
    <x v="7"/>
    <n v="13.6966"/>
    <n v="-89.165599999999998"/>
    <n v="2"/>
    <n v="0"/>
    <n v="0"/>
    <n v="107"/>
    <s v="_x0000_peopl"/>
  </r>
  <r>
    <x v="7"/>
    <n v="13.6966"/>
    <n v="-89.165499999999994"/>
    <n v="0"/>
    <n v="0"/>
    <n v="0"/>
    <n v="107"/>
    <s v="_x0000_peopl"/>
  </r>
  <r>
    <x v="7"/>
    <n v="13.6965"/>
    <n v="-89.165700000000001"/>
    <n v="7"/>
    <n v="0"/>
    <n v="0"/>
    <n v="107"/>
    <s v="_x0000_peopl"/>
  </r>
  <r>
    <x v="7"/>
    <n v="13.6965"/>
    <n v="-89.165999999999997"/>
    <n v="4"/>
    <n v="0"/>
    <n v="0"/>
    <n v="107"/>
    <s v="_x0000_peopl"/>
  </r>
  <r>
    <x v="7"/>
    <n v="13.696899999999999"/>
    <n v="-89.165400000000005"/>
    <n v="9"/>
    <n v="0"/>
    <n v="0"/>
    <n v="107"/>
    <s v="_x0000_peopl"/>
  </r>
  <r>
    <x v="7"/>
    <n v="13.696899999999999"/>
    <n v="-89.165400000000005"/>
    <n v="7"/>
    <n v="0"/>
    <n v="0"/>
    <n v="107"/>
    <s v="_x0000_peopl"/>
  </r>
  <r>
    <x v="7"/>
    <n v="13.6968"/>
    <n v="-89.165999999999997"/>
    <n v="2"/>
    <n v="0"/>
    <n v="0"/>
    <n v="107"/>
    <s v="_x0000_peopl"/>
  </r>
  <r>
    <x v="7"/>
    <n v="13.6966"/>
    <n v="-89.1661"/>
    <n v="4"/>
    <n v="0"/>
    <n v="0"/>
    <n v="107"/>
    <s v="_x0000_peopl"/>
  </r>
  <r>
    <x v="7"/>
    <n v="13.6968"/>
    <n v="-89.165999999999997"/>
    <n v="5"/>
    <n v="0"/>
    <n v="0"/>
    <n v="107"/>
    <s v="_x0000_peopl"/>
  </r>
  <r>
    <x v="7"/>
    <n v="13.696300000000001"/>
    <n v="-89.166300000000007"/>
    <n v="7"/>
    <n v="0"/>
    <n v="0"/>
    <n v="107"/>
    <s v="_x0000_peopl"/>
  </r>
  <r>
    <x v="7"/>
    <n v="13.696300000000001"/>
    <n v="-89.166300000000007"/>
    <n v="5"/>
    <n v="0"/>
    <n v="0"/>
    <n v="107"/>
    <s v="_x0000_peopl"/>
  </r>
  <r>
    <x v="7"/>
    <n v="13.696300000000001"/>
    <n v="-89.166200000000003"/>
    <n v="7"/>
    <n v="0"/>
    <n v="0"/>
    <n v="107"/>
    <s v="_x0000_peopl"/>
  </r>
  <r>
    <x v="7"/>
    <n v="13.696300000000001"/>
    <n v="-89.166200000000003"/>
    <n v="8"/>
    <n v="0"/>
    <n v="0"/>
    <n v="107"/>
    <s v="_x0000_peopl"/>
  </r>
  <r>
    <x v="7"/>
    <n v="13.696300000000001"/>
    <n v="-89.1661"/>
    <n v="5"/>
    <n v="0"/>
    <n v="0"/>
    <n v="107"/>
    <s v="_x0000_peopl"/>
  </r>
  <r>
    <x v="7"/>
    <n v="13.696199999999999"/>
    <n v="-89.1661"/>
    <n v="6"/>
    <n v="0"/>
    <n v="0"/>
    <n v="107"/>
    <s v="_x0000_peopl"/>
  </r>
  <r>
    <x v="7"/>
    <n v="13.696199999999999"/>
    <n v="-89.165999999999997"/>
    <n v="1"/>
    <n v="0"/>
    <n v="0"/>
    <n v="107"/>
    <s v="_x0000_peopl"/>
  </r>
  <r>
    <x v="7"/>
    <n v="13.696199999999999"/>
    <n v="-89.165899999999993"/>
    <n v="5"/>
    <n v="0"/>
    <n v="0"/>
    <n v="107"/>
    <s v="_x0000_peopl"/>
  </r>
  <r>
    <x v="7"/>
    <n v="13.696199999999999"/>
    <n v="-89.166399999999996"/>
    <n v="6"/>
    <n v="0"/>
    <n v="0"/>
    <n v="107"/>
    <s v="_x0000_peopl"/>
  </r>
  <r>
    <x v="7"/>
    <n v="13.696199999999999"/>
    <n v="-89.166300000000007"/>
    <n v="6"/>
    <n v="0"/>
    <n v="0"/>
    <n v="107"/>
    <s v="_x0000_peopl"/>
  </r>
  <r>
    <x v="7"/>
    <n v="13.696099999999999"/>
    <n v="-89.166300000000007"/>
    <n v="2"/>
    <n v="0"/>
    <n v="0"/>
    <n v="107"/>
    <s v="_x0000_peopl"/>
  </r>
  <r>
    <x v="7"/>
    <n v="13.696099999999999"/>
    <n v="-89.166200000000003"/>
    <n v="5"/>
    <n v="0"/>
    <n v="0"/>
    <n v="107"/>
    <s v="_x0000_peopl"/>
  </r>
  <r>
    <x v="7"/>
    <n v="13.6974"/>
    <n v="-89.1708"/>
    <n v="7"/>
    <n v="0"/>
    <n v="0"/>
    <n v="107"/>
    <s v="_x0000_peopl"/>
  </r>
  <r>
    <x v="7"/>
    <n v="13.6973"/>
    <n v="-89.1708"/>
    <n v="5"/>
    <n v="0"/>
    <n v="0"/>
    <n v="107"/>
    <s v="_x0000_peopl"/>
  </r>
  <r>
    <x v="7"/>
    <n v="13.6972"/>
    <n v="-89.170699999999997"/>
    <n v="4"/>
    <n v="0"/>
    <n v="0"/>
    <n v="107"/>
    <s v="_x0000_peopl"/>
  </r>
  <r>
    <x v="7"/>
    <n v="13.6974"/>
    <n v="-89.170500000000004"/>
    <n v="8"/>
    <n v="0"/>
    <n v="0"/>
    <n v="107"/>
    <s v="_x0000_peopl"/>
  </r>
  <r>
    <x v="7"/>
    <n v="13.6974"/>
    <n v="-89.1708"/>
    <n v="3"/>
    <n v="0"/>
    <n v="0"/>
    <n v="107"/>
    <s v="_x0000_peopl"/>
  </r>
  <r>
    <x v="7"/>
    <n v="13.6975"/>
    <n v="-89.1708"/>
    <n v="7"/>
    <n v="0"/>
    <n v="0"/>
    <n v="107"/>
    <s v="_x0000_peopl"/>
  </r>
  <r>
    <x v="7"/>
    <n v="13.6976"/>
    <n v="-89.1708"/>
    <n v="7"/>
    <n v="0"/>
    <n v="0"/>
    <n v="107"/>
    <s v="_x0000_peopl"/>
  </r>
  <r>
    <x v="7"/>
    <n v="13.697699999999999"/>
    <n v="-89.170699999999997"/>
    <n v="4"/>
    <n v="0"/>
    <n v="0"/>
    <n v="107"/>
    <s v="_x0000_peopl"/>
  </r>
  <r>
    <x v="7"/>
    <n v="13.697699999999999"/>
    <n v="-89.170599999999993"/>
    <n v="6"/>
    <n v="0"/>
    <n v="0"/>
    <n v="107"/>
    <s v="_x0000_peopl"/>
  </r>
  <r>
    <x v="7"/>
    <n v="13.6975"/>
    <n v="-89.170500000000004"/>
    <n v="6"/>
    <n v="0"/>
    <n v="0"/>
    <n v="107"/>
    <s v="_x0000_peopl"/>
  </r>
  <r>
    <x v="7"/>
    <n v="13.6974"/>
    <n v="-89.170500000000004"/>
    <n v="5"/>
    <n v="0"/>
    <n v="0"/>
    <n v="107"/>
    <s v="_x0000_peopl"/>
  </r>
  <r>
    <x v="7"/>
    <n v="13.6976"/>
    <n v="-89.170299999999997"/>
    <n v="4"/>
    <n v="0"/>
    <n v="0"/>
    <n v="107"/>
    <s v="_x0000_peopl"/>
  </r>
  <r>
    <x v="7"/>
    <n v="13.6975"/>
    <n v="-89.170199999999994"/>
    <n v="5"/>
    <n v="0"/>
    <n v="0"/>
    <n v="107"/>
    <s v="_x0000_peopl"/>
  </r>
  <r>
    <x v="7"/>
    <n v="13.6976"/>
    <n v="-89.170100000000005"/>
    <n v="7"/>
    <n v="0"/>
    <n v="0"/>
    <n v="107"/>
    <s v="_x0000_peopl"/>
  </r>
  <r>
    <x v="7"/>
    <n v="13.697699999999999"/>
    <n v="-89.170299999999997"/>
    <n v="7"/>
    <n v="0"/>
    <n v="0"/>
    <n v="107"/>
    <s v="_x0000_peopl"/>
  </r>
  <r>
    <x v="7"/>
    <n v="13.697699999999999"/>
    <n v="-89.170199999999994"/>
    <n v="5"/>
    <n v="0"/>
    <n v="0"/>
    <n v="107"/>
    <s v="_x0000_peopl"/>
  </r>
  <r>
    <x v="7"/>
    <n v="13.697699999999999"/>
    <n v="-89.170100000000005"/>
    <n v="4"/>
    <n v="0"/>
    <n v="0"/>
    <n v="107"/>
    <s v="_x0000_peopl"/>
  </r>
  <r>
    <x v="7"/>
    <n v="13.697699999999999"/>
    <n v="-89.169700000000006"/>
    <n v="3"/>
    <n v="0"/>
    <n v="0"/>
    <n v="107"/>
    <s v="_x0000_peopl"/>
  </r>
  <r>
    <x v="7"/>
    <n v="13.697800000000001"/>
    <n v="-89.169399999999996"/>
    <n v="7"/>
    <n v="0"/>
    <n v="0"/>
    <n v="107"/>
    <s v="_x0000_peopl"/>
  </r>
  <r>
    <x v="7"/>
    <n v="13.697800000000001"/>
    <n v="-89.169700000000006"/>
    <n v="7"/>
    <n v="0"/>
    <n v="0"/>
    <n v="107"/>
    <s v="_x0000_peopl"/>
  </r>
  <r>
    <x v="7"/>
    <n v="13.697800000000001"/>
    <n v="-89.169600000000003"/>
    <n v="6"/>
    <n v="0"/>
    <n v="0"/>
    <n v="107"/>
    <s v="_x0000_peopl"/>
  </r>
  <r>
    <x v="7"/>
    <n v="13.697800000000001"/>
    <n v="-89.169499999999999"/>
    <n v="8"/>
    <n v="0"/>
    <n v="0"/>
    <n v="107"/>
    <s v="_x0000_peopl"/>
  </r>
  <r>
    <x v="7"/>
    <n v="13.697800000000001"/>
    <n v="-89.169300000000007"/>
    <n v="6"/>
    <n v="0"/>
    <n v="0"/>
    <n v="107"/>
    <s v="_x0000_peopl"/>
  </r>
  <r>
    <x v="7"/>
    <n v="13.697800000000001"/>
    <n v="-89.169300000000007"/>
    <n v="7"/>
    <n v="0"/>
    <n v="0"/>
    <n v="107"/>
    <s v="_x0000_peopl"/>
  </r>
  <r>
    <x v="7"/>
    <n v="13.697800000000001"/>
    <n v="-89.1691"/>
    <n v="6"/>
    <n v="0"/>
    <n v="0"/>
    <n v="107"/>
    <s v="_x0000_peopl"/>
  </r>
  <r>
    <x v="7"/>
    <n v="13.697800000000001"/>
    <n v="-89.169899999999998"/>
    <n v="5"/>
    <n v="0"/>
    <n v="0"/>
    <n v="107"/>
    <s v="_x0000_peopl"/>
  </r>
  <r>
    <x v="7"/>
    <n v="13.697800000000001"/>
    <n v="-89.168899999999994"/>
    <n v="11"/>
    <n v="0"/>
    <n v="0"/>
    <n v="107"/>
    <s v="_x0000_peopl"/>
  </r>
  <r>
    <x v="7"/>
    <n v="13.697800000000001"/>
    <n v="-89.168800000000005"/>
    <n v="6"/>
    <n v="0"/>
    <n v="0"/>
    <n v="107"/>
    <s v="_x0000_peopl"/>
  </r>
  <r>
    <x v="7"/>
    <n v="13.697699999999999"/>
    <n v="-89.168700000000001"/>
    <n v="4"/>
    <n v="0"/>
    <n v="0"/>
    <n v="107"/>
    <s v="_x0000_peopl"/>
  </r>
  <r>
    <x v="7"/>
    <n v="13.697699999999999"/>
    <n v="-89.168599999999998"/>
    <n v="2"/>
    <n v="0"/>
    <n v="0"/>
    <n v="107"/>
    <s v="_x0000_peopl"/>
  </r>
  <r>
    <x v="7"/>
    <n v="13.6958"/>
    <n v="-89.165499999999994"/>
    <n v="1"/>
    <n v="0"/>
    <n v="0"/>
    <n v="107"/>
    <s v="_x0000_peopl"/>
  </r>
  <r>
    <x v="7"/>
    <n v="13.6958"/>
    <n v="-89.165400000000005"/>
    <n v="5"/>
    <n v="0"/>
    <n v="0"/>
    <n v="107"/>
    <s v="_x0000_peopl"/>
  </r>
  <r>
    <x v="7"/>
    <n v="13.6959"/>
    <n v="-89.167000000000002"/>
    <n v="13"/>
    <n v="0"/>
    <n v="0"/>
    <n v="107"/>
    <s v="_x0000_peopl"/>
  </r>
  <r>
    <x v="7"/>
    <n v="13.6959"/>
    <n v="-89.166899999999998"/>
    <n v="5"/>
    <n v="0"/>
    <n v="0"/>
    <n v="107"/>
    <s v="_x0000_peopl"/>
  </r>
  <r>
    <x v="7"/>
    <n v="13.6959"/>
    <n v="-89.166799999999995"/>
    <n v="1"/>
    <n v="0"/>
    <n v="0"/>
    <n v="107"/>
    <s v="_x0000_peopl"/>
  </r>
  <r>
    <x v="7"/>
    <n v="13.6958"/>
    <n v="-89.166799999999995"/>
    <n v="7"/>
    <n v="0"/>
    <n v="0"/>
    <n v="107"/>
    <s v="_x0000_peopl"/>
  </r>
  <r>
    <x v="7"/>
    <n v="13.6958"/>
    <n v="-89.166899999999998"/>
    <n v="3"/>
    <n v="0"/>
    <n v="0"/>
    <n v="107"/>
    <s v="_x0000_peopl"/>
  </r>
  <r>
    <x v="7"/>
    <n v="13.6957"/>
    <n v="-89.166799999999995"/>
    <n v="5"/>
    <n v="0"/>
    <n v="0"/>
    <n v="107"/>
    <s v="_x0000_peopl"/>
  </r>
  <r>
    <x v="7"/>
    <n v="13.6957"/>
    <n v="-89.167100000000005"/>
    <n v="3"/>
    <n v="0"/>
    <n v="0"/>
    <n v="107"/>
    <s v="_x0000_peopl"/>
  </r>
  <r>
    <x v="7"/>
    <n v="13.6958"/>
    <n v="-89.167100000000005"/>
    <n v="10"/>
    <n v="0"/>
    <n v="0"/>
    <n v="107"/>
    <s v="_x0000_peopl"/>
  </r>
  <r>
    <x v="7"/>
    <n v="13.6958"/>
    <n v="-89.167199999999994"/>
    <n v="3"/>
    <n v="0"/>
    <n v="0"/>
    <n v="107"/>
    <s v="_x0000_peopl"/>
  </r>
  <r>
    <x v="7"/>
    <n v="13.695600000000001"/>
    <n v="-89.167000000000002"/>
    <n v="7"/>
    <n v="0"/>
    <n v="0"/>
    <n v="107"/>
    <s v="_x0000_peopl"/>
  </r>
  <r>
    <x v="7"/>
    <n v="13.695600000000001"/>
    <n v="-89.167000000000002"/>
    <n v="7"/>
    <n v="0"/>
    <n v="0"/>
    <n v="107"/>
    <s v="_x0000_peopl"/>
  </r>
  <r>
    <x v="7"/>
    <n v="13.6958"/>
    <n v="-89.167299999999997"/>
    <n v="7"/>
    <n v="0"/>
    <n v="0"/>
    <n v="107"/>
    <s v="_x0000_peopl"/>
  </r>
  <r>
    <x v="7"/>
    <n v="13.6958"/>
    <n v="-89.167400000000001"/>
    <n v="7"/>
    <n v="0"/>
    <n v="0"/>
    <n v="107"/>
    <s v="_x0000_peopl"/>
  </r>
  <r>
    <x v="7"/>
    <n v="13.6959"/>
    <n v="-89.167500000000004"/>
    <n v="10"/>
    <n v="0"/>
    <n v="0"/>
    <n v="107"/>
    <s v="_x0000_peopl"/>
  </r>
  <r>
    <x v="7"/>
    <n v="13.675000000000001"/>
    <n v="-89.245500000000007"/>
    <n v="7"/>
    <n v="0"/>
    <n v="0"/>
    <n v="107"/>
    <s v="_x0000_peopl"/>
  </r>
  <r>
    <x v="7"/>
    <n v="13.675000000000001"/>
    <n v="-89.245400000000004"/>
    <n v="4"/>
    <n v="0"/>
    <n v="0"/>
    <n v="107"/>
    <s v="_x0000_peopl"/>
  </r>
  <r>
    <x v="7"/>
    <n v="13.675000000000001"/>
    <n v="-89.2453"/>
    <n v="7"/>
    <n v="0"/>
    <n v="0"/>
    <n v="107"/>
    <s v="_x0000_peopl"/>
  </r>
  <r>
    <x v="7"/>
    <n v="13.6746"/>
    <n v="-89.249799999999993"/>
    <n v="7"/>
    <n v="0"/>
    <n v="0"/>
    <n v="107"/>
    <s v="_x0000_peopl"/>
  </r>
  <r>
    <x v="7"/>
    <n v="13.6746"/>
    <n v="-89.249700000000004"/>
    <n v="2"/>
    <n v="0"/>
    <n v="0"/>
    <n v="107"/>
    <s v="_x0000_peopl"/>
  </r>
  <r>
    <x v="7"/>
    <n v="13.6798"/>
    <n v="-89.241500000000002"/>
    <n v="8"/>
    <n v="0"/>
    <n v="0"/>
    <n v="107"/>
    <s v="_x0000_peopl"/>
  </r>
  <r>
    <x v="7"/>
    <n v="13.6798"/>
    <n v="-89.241500000000002"/>
    <n v="6"/>
    <n v="0"/>
    <n v="0"/>
    <n v="107"/>
    <s v="_x0000_peopl"/>
  </r>
  <r>
    <x v="7"/>
    <n v="13.6798"/>
    <n v="-89.241500000000002"/>
    <n v="3"/>
    <n v="0"/>
    <n v="0"/>
    <n v="107"/>
    <s v="_x0000_peopl"/>
  </r>
  <r>
    <x v="7"/>
    <n v="13.6797"/>
    <n v="-89.241399999999999"/>
    <n v="9"/>
    <n v="0"/>
    <n v="0"/>
    <n v="107"/>
    <s v="_x0000_peopl"/>
  </r>
  <r>
    <x v="7"/>
    <n v="13.6797"/>
    <n v="-89.241399999999999"/>
    <n v="10"/>
    <n v="0"/>
    <n v="0"/>
    <n v="107"/>
    <s v="_x0000_peopl"/>
  </r>
  <r>
    <x v="7"/>
    <n v="13.6797"/>
    <n v="-89.241299999999995"/>
    <n v="4"/>
    <n v="0"/>
    <n v="0"/>
    <n v="107"/>
    <s v="_x0000_peopl"/>
  </r>
  <r>
    <x v="7"/>
    <n v="13.679600000000001"/>
    <n v="-89.241299999999995"/>
    <n v="7"/>
    <n v="0"/>
    <n v="0"/>
    <n v="107"/>
    <s v="_x0000_peopl"/>
  </r>
  <r>
    <x v="7"/>
    <n v="13.679600000000001"/>
    <n v="-89.241299999999995"/>
    <n v="8"/>
    <n v="0"/>
    <n v="0"/>
    <n v="107"/>
    <s v="_x0000_peopl"/>
  </r>
  <r>
    <x v="7"/>
    <n v="13.679600000000001"/>
    <n v="-89.241200000000006"/>
    <n v="5"/>
    <n v="0"/>
    <n v="0"/>
    <n v="107"/>
    <s v="_x0000_peopl"/>
  </r>
  <r>
    <x v="7"/>
    <n v="13.6797"/>
    <n v="-89.241100000000003"/>
    <n v="7"/>
    <n v="0"/>
    <n v="0"/>
    <n v="107"/>
    <s v="_x0000_peopl"/>
  </r>
  <r>
    <x v="7"/>
    <n v="13.6797"/>
    <n v="-89.241200000000006"/>
    <n v="2"/>
    <n v="0"/>
    <n v="0"/>
    <n v="107"/>
    <s v="_x0000_peopl"/>
  </r>
  <r>
    <x v="7"/>
    <n v="13.6797"/>
    <n v="-89.241200000000006"/>
    <n v="3"/>
    <n v="0"/>
    <n v="0"/>
    <n v="107"/>
    <s v="_x0000_peopl"/>
  </r>
  <r>
    <x v="7"/>
    <n v="13.6798"/>
    <n v="-89.241299999999995"/>
    <n v="5"/>
    <n v="0"/>
    <n v="0"/>
    <n v="107"/>
    <s v="_x0000_peopl"/>
  </r>
  <r>
    <x v="7"/>
    <n v="13.6798"/>
    <n v="-89.241299999999995"/>
    <n v="5"/>
    <n v="0"/>
    <n v="0"/>
    <n v="107"/>
    <s v="_x0000_peopl"/>
  </r>
  <r>
    <x v="7"/>
    <n v="13.6798"/>
    <n v="-89.241299999999995"/>
    <n v="6"/>
    <n v="0"/>
    <n v="0"/>
    <n v="107"/>
    <s v="_x0000_peopl"/>
  </r>
  <r>
    <x v="7"/>
    <n v="13.6799"/>
    <n v="-89.241399999999999"/>
    <n v="6"/>
    <n v="0"/>
    <n v="0"/>
    <n v="107"/>
    <s v="_x0000_peopl"/>
  </r>
  <r>
    <x v="7"/>
    <n v="13.6799"/>
    <n v="-89.241399999999999"/>
    <n v="6"/>
    <n v="0"/>
    <n v="0"/>
    <n v="107"/>
    <s v="_x0000_peopl"/>
  </r>
  <r>
    <x v="7"/>
    <n v="13.680099999999999"/>
    <n v="-89.241299999999995"/>
    <n v="6"/>
    <n v="0"/>
    <n v="0"/>
    <n v="107"/>
    <s v="_x0000_peopl"/>
  </r>
  <r>
    <x v="7"/>
    <n v="13.68"/>
    <n v="-89.241299999999995"/>
    <n v="3"/>
    <n v="0"/>
    <n v="0"/>
    <n v="107"/>
    <s v="_x0000_peopl"/>
  </r>
  <r>
    <x v="7"/>
    <n v="13.68"/>
    <n v="-89.241200000000006"/>
    <n v="5"/>
    <n v="0"/>
    <n v="0"/>
    <n v="107"/>
    <s v="_x0000_peopl"/>
  </r>
  <r>
    <x v="7"/>
    <n v="13.68"/>
    <n v="-89.241200000000006"/>
    <n v="5"/>
    <n v="0"/>
    <n v="0"/>
    <n v="107"/>
    <s v="_x0000_peopl"/>
  </r>
  <r>
    <x v="7"/>
    <n v="13.6799"/>
    <n v="-89.241100000000003"/>
    <n v="2"/>
    <n v="0"/>
    <n v="0"/>
    <n v="107"/>
    <s v="_x0000_peopl"/>
  </r>
  <r>
    <x v="7"/>
    <n v="13.6799"/>
    <n v="-89.241100000000003"/>
    <n v="3"/>
    <n v="0"/>
    <n v="0"/>
    <n v="107"/>
    <s v="_x0000_peopl"/>
  </r>
  <r>
    <x v="7"/>
    <n v="13.6799"/>
    <n v="-89.241100000000003"/>
    <n v="3"/>
    <n v="0"/>
    <n v="0"/>
    <n v="107"/>
    <s v="_x0000_peopl"/>
  </r>
  <r>
    <x v="7"/>
    <n v="13.6799"/>
    <n v="-89.241"/>
    <n v="5"/>
    <n v="0"/>
    <n v="0"/>
    <n v="107"/>
    <s v="_x0000_peopl"/>
  </r>
  <r>
    <x v="7"/>
    <n v="13.68"/>
    <n v="-89.241"/>
    <n v="6"/>
    <n v="0"/>
    <n v="0"/>
    <n v="107"/>
    <s v="_x0000_peopl"/>
  </r>
  <r>
    <x v="7"/>
    <n v="13.68"/>
    <n v="-89.241"/>
    <n v="6"/>
    <n v="0"/>
    <n v="0"/>
    <n v="107"/>
    <s v="_x0000_peopl"/>
  </r>
  <r>
    <x v="7"/>
    <n v="13.68"/>
    <n v="-89.241"/>
    <n v="4"/>
    <n v="0"/>
    <n v="0"/>
    <n v="107"/>
    <s v="_x0000_peopl"/>
  </r>
  <r>
    <x v="7"/>
    <n v="13.68"/>
    <n v="-89.241100000000003"/>
    <n v="15"/>
    <n v="0"/>
    <n v="0"/>
    <n v="107"/>
    <s v="_x0000_peopl"/>
  </r>
  <r>
    <x v="7"/>
    <n v="13.680099999999999"/>
    <n v="-89.241100000000003"/>
    <n v="5"/>
    <n v="0"/>
    <n v="0"/>
    <n v="107"/>
    <s v="_x0000_peopl"/>
  </r>
  <r>
    <x v="7"/>
    <n v="13.680099999999999"/>
    <n v="-89.241200000000006"/>
    <n v="10"/>
    <n v="0"/>
    <n v="0"/>
    <n v="107"/>
    <s v="_x0000_peopl"/>
  </r>
  <r>
    <x v="7"/>
    <n v="13.680099999999999"/>
    <n v="-89.241200000000006"/>
    <n v="7"/>
    <n v="0"/>
    <n v="0"/>
    <n v="107"/>
    <s v="_x0000_peopl"/>
  </r>
  <r>
    <x v="7"/>
    <n v="13.680199999999999"/>
    <n v="-89.241200000000006"/>
    <n v="8"/>
    <n v="0"/>
    <n v="0"/>
    <n v="107"/>
    <s v="_x0000_peopl"/>
  </r>
  <r>
    <x v="7"/>
    <n v="13.680400000000001"/>
    <n v="-89.241100000000003"/>
    <n v="2"/>
    <n v="0"/>
    <n v="0"/>
    <n v="107"/>
    <s v="_x0000_peopl"/>
  </r>
  <r>
    <x v="7"/>
    <n v="13.680300000000001"/>
    <n v="-89.241100000000003"/>
    <n v="8"/>
    <n v="0"/>
    <n v="0"/>
    <n v="107"/>
    <s v="_x0000_peopl"/>
  </r>
  <r>
    <x v="7"/>
    <n v="13.680300000000001"/>
    <n v="-89.241"/>
    <n v="6"/>
    <n v="0"/>
    <n v="0"/>
    <n v="107"/>
    <s v="_x0000_peopl"/>
  </r>
  <r>
    <x v="7"/>
    <n v="13.680199999999999"/>
    <n v="-89.241"/>
    <n v="3"/>
    <n v="0"/>
    <n v="0"/>
    <n v="107"/>
    <s v="_x0000_peopl"/>
  </r>
  <r>
    <x v="7"/>
    <n v="13.680199999999999"/>
    <n v="-89.240899999999996"/>
    <n v="7"/>
    <n v="0"/>
    <n v="0"/>
    <n v="107"/>
    <s v="_x0000_peopl"/>
  </r>
  <r>
    <x v="7"/>
    <n v="13.680199999999999"/>
    <n v="-89.240899999999996"/>
    <n v="6"/>
    <n v="0"/>
    <n v="0"/>
    <n v="107"/>
    <s v="_x0000_peopl"/>
  </r>
  <r>
    <x v="7"/>
    <n v="13.680099999999999"/>
    <n v="-89.240899999999996"/>
    <n v="6"/>
    <n v="0"/>
    <n v="0"/>
    <n v="107"/>
    <s v="_x0000_peopl"/>
  </r>
  <r>
    <x v="7"/>
    <n v="13.680099999999999"/>
    <n v="-89.240799999999993"/>
    <n v="8"/>
    <n v="0"/>
    <n v="0"/>
    <n v="107"/>
    <s v="_x0000_peopl"/>
  </r>
  <r>
    <x v="7"/>
    <n v="13.680199999999999"/>
    <n v="-89.240799999999993"/>
    <n v="7"/>
    <n v="0"/>
    <n v="0"/>
    <n v="107"/>
    <s v="_x0000_peopl"/>
  </r>
  <r>
    <x v="7"/>
    <n v="13.680300000000001"/>
    <n v="-89.240799999999993"/>
    <n v="10"/>
    <n v="0"/>
    <n v="0"/>
    <n v="107"/>
    <s v="_x0000_peopl"/>
  </r>
  <r>
    <x v="7"/>
    <n v="13.680300000000001"/>
    <n v="-89.240799999999993"/>
    <n v="4"/>
    <n v="0"/>
    <n v="0"/>
    <n v="107"/>
    <s v="_x0000_peopl"/>
  </r>
  <r>
    <x v="7"/>
    <n v="13.680300000000001"/>
    <n v="-89.240899999999996"/>
    <n v="9"/>
    <n v="0"/>
    <n v="0"/>
    <n v="107"/>
    <s v="_x0000_peopl"/>
  </r>
  <r>
    <x v="7"/>
    <n v="13.680300000000001"/>
    <n v="-89.240899999999996"/>
    <n v="6"/>
    <n v="0"/>
    <n v="0"/>
    <n v="107"/>
    <s v="_x0000_peopl"/>
  </r>
  <r>
    <x v="7"/>
    <n v="13.680400000000001"/>
    <n v="-89.241"/>
    <n v="5"/>
    <n v="0"/>
    <n v="0"/>
    <n v="107"/>
    <s v="_x0000_peopl"/>
  </r>
  <r>
    <x v="7"/>
    <n v="13.680400000000001"/>
    <n v="-89.241"/>
    <n v="5"/>
    <n v="0"/>
    <n v="0"/>
    <n v="107"/>
    <s v="_x0000_peopl"/>
  </r>
  <r>
    <x v="7"/>
    <n v="13.680400000000001"/>
    <n v="-89.241"/>
    <n v="7"/>
    <n v="0"/>
    <n v="0"/>
    <n v="107"/>
    <s v="_x0000_peopl"/>
  </r>
  <r>
    <x v="7"/>
    <n v="13.6805"/>
    <n v="-89.241"/>
    <n v="5"/>
    <n v="0"/>
    <n v="0"/>
    <n v="107"/>
    <s v="_x0000_peopl"/>
  </r>
  <r>
    <x v="7"/>
    <n v="13.6793"/>
    <n v="-89.241100000000003"/>
    <n v="2"/>
    <n v="0"/>
    <n v="0"/>
    <n v="107"/>
    <s v="_x0000_peopl"/>
  </r>
  <r>
    <x v="7"/>
    <n v="13.679399999999999"/>
    <n v="-89.241100000000003"/>
    <n v="2"/>
    <n v="0"/>
    <n v="0"/>
    <n v="107"/>
    <s v="_x0000_peopl"/>
  </r>
  <r>
    <x v="7"/>
    <n v="13.679399999999999"/>
    <n v="-89.241100000000003"/>
    <n v="12"/>
    <n v="0"/>
    <n v="0"/>
    <n v="107"/>
    <s v="_x0000_peopl"/>
  </r>
  <r>
    <x v="7"/>
    <n v="13.679600000000001"/>
    <n v="-89.241"/>
    <n v="8"/>
    <n v="0"/>
    <n v="0"/>
    <n v="107"/>
    <s v="_x0000_peopl"/>
  </r>
  <r>
    <x v="7"/>
    <n v="13.680400000000001"/>
    <n v="-89.240499999999997"/>
    <n v="7"/>
    <n v="0"/>
    <n v="0"/>
    <n v="107"/>
    <s v="_x0000_peopl"/>
  </r>
  <r>
    <x v="7"/>
    <n v="13.680400000000001"/>
    <n v="-89.240499999999997"/>
    <n v="12"/>
    <n v="0"/>
    <n v="0"/>
    <n v="107"/>
    <s v="_x0000_peopl"/>
  </r>
  <r>
    <x v="7"/>
    <n v="13.680400000000001"/>
    <n v="-89.240499999999997"/>
    <n v="3"/>
    <n v="0"/>
    <n v="0"/>
    <n v="107"/>
    <s v="_x0000_peopl"/>
  </r>
  <r>
    <x v="7"/>
    <n v="13.680400000000001"/>
    <n v="-89.240499999999997"/>
    <n v="5"/>
    <n v="0"/>
    <n v="0"/>
    <n v="107"/>
    <s v="_x0000_peopl"/>
  </r>
  <r>
    <x v="7"/>
    <n v="13.680300000000001"/>
    <n v="-89.240499999999997"/>
    <n v="7"/>
    <n v="0"/>
    <n v="0"/>
    <n v="107"/>
    <s v="_x0000_peopl"/>
  </r>
  <r>
    <x v="7"/>
    <n v="13.680300000000001"/>
    <n v="-89.240499999999997"/>
    <n v="2"/>
    <n v="0"/>
    <n v="0"/>
    <n v="107"/>
    <s v="_x0000_peopl"/>
  </r>
  <r>
    <x v="7"/>
    <n v="13.680300000000001"/>
    <n v="-89.240499999999997"/>
    <n v="4"/>
    <n v="0"/>
    <n v="0"/>
    <n v="107"/>
    <s v="_x0000_peopl"/>
  </r>
  <r>
    <x v="7"/>
    <n v="13.680300000000001"/>
    <n v="-89.240499999999997"/>
    <n v="3"/>
    <n v="0"/>
    <n v="0"/>
    <n v="107"/>
    <s v="_x0000_peopl"/>
  </r>
  <r>
    <x v="7"/>
    <n v="13.680300000000001"/>
    <n v="-89.240499999999997"/>
    <n v="5"/>
    <n v="0"/>
    <n v="0"/>
    <n v="107"/>
    <s v="_x0000_peopl"/>
  </r>
  <r>
    <x v="7"/>
    <n v="13.680199999999999"/>
    <n v="-89.240499999999997"/>
    <n v="6"/>
    <n v="0"/>
    <n v="0"/>
    <n v="107"/>
    <s v="_x0000_peopl"/>
  </r>
  <r>
    <x v="7"/>
    <n v="13.680400000000001"/>
    <n v="-89.240300000000005"/>
    <n v="4"/>
    <n v="0"/>
    <n v="0"/>
    <n v="107"/>
    <s v="_x0000_peopl"/>
  </r>
  <r>
    <x v="7"/>
    <n v="13.680400000000001"/>
    <n v="-89.240300000000005"/>
    <n v="6"/>
    <n v="0"/>
    <n v="0"/>
    <n v="107"/>
    <s v="_x0000_peopl"/>
  </r>
  <r>
    <x v="7"/>
    <n v="13.680400000000001"/>
    <n v="-89.240300000000005"/>
    <n v="6"/>
    <n v="0"/>
    <n v="0"/>
    <n v="107"/>
    <s v="_x0000_peopl"/>
  </r>
  <r>
    <x v="7"/>
    <n v="13.680400000000001"/>
    <n v="-89.240300000000005"/>
    <n v="3"/>
    <n v="0"/>
    <n v="0"/>
    <n v="107"/>
    <s v="_x0000_peopl"/>
  </r>
  <r>
    <x v="7"/>
    <n v="13.680300000000001"/>
    <n v="-89.240300000000005"/>
    <n v="7"/>
    <n v="0"/>
    <n v="0"/>
    <n v="107"/>
    <s v="_x0000_peopl"/>
  </r>
  <r>
    <x v="7"/>
    <n v="13.6808"/>
    <n v="-89.240499999999997"/>
    <n v="3"/>
    <n v="0"/>
    <n v="0"/>
    <n v="107"/>
    <s v="_x0000_peopl"/>
  </r>
  <r>
    <x v="7"/>
    <n v="13.6808"/>
    <n v="-89.240499999999997"/>
    <n v="2"/>
    <n v="0"/>
    <n v="0"/>
    <n v="107"/>
    <s v="_x0000_peopl"/>
  </r>
  <r>
    <x v="7"/>
    <n v="13.6808"/>
    <n v="-89.240499999999997"/>
    <n v="7"/>
    <n v="0"/>
    <n v="0"/>
    <n v="107"/>
    <s v="_x0000_peopl"/>
  </r>
  <r>
    <x v="7"/>
    <n v="13.6807"/>
    <n v="-89.240499999999997"/>
    <n v="4"/>
    <n v="0"/>
    <n v="0"/>
    <n v="107"/>
    <s v="_x0000_peopl"/>
  </r>
  <r>
    <x v="7"/>
    <n v="13.6807"/>
    <n v="-89.240499999999997"/>
    <n v="1"/>
    <n v="0"/>
    <n v="0"/>
    <n v="107"/>
    <s v="_x0000_peopl"/>
  </r>
  <r>
    <x v="7"/>
    <n v="13.6807"/>
    <n v="-89.240499999999997"/>
    <n v="4"/>
    <n v="0"/>
    <n v="0"/>
    <n v="107"/>
    <s v="_x0000_peopl"/>
  </r>
  <r>
    <x v="7"/>
    <n v="13.6807"/>
    <n v="-89.240499999999997"/>
    <n v="5"/>
    <n v="0"/>
    <n v="0"/>
    <n v="107"/>
    <s v="_x0000_peopl"/>
  </r>
  <r>
    <x v="7"/>
    <n v="13.6807"/>
    <n v="-89.240399999999994"/>
    <n v="6"/>
    <n v="0"/>
    <n v="0"/>
    <n v="107"/>
    <s v="_x0000_peopl"/>
  </r>
  <r>
    <x v="7"/>
    <n v="13.6806"/>
    <n v="-89.240399999999994"/>
    <n v="6"/>
    <n v="0"/>
    <n v="0"/>
    <n v="107"/>
    <s v="_x0000_peopl"/>
  </r>
  <r>
    <x v="7"/>
    <n v="13.6806"/>
    <n v="-89.240399999999994"/>
    <n v="4"/>
    <n v="0"/>
    <n v="0"/>
    <n v="107"/>
    <s v="_x0000_peopl"/>
  </r>
  <r>
    <x v="7"/>
    <n v="13.680899999999999"/>
    <n v="-89.240399999999994"/>
    <n v="7"/>
    <n v="0"/>
    <n v="0"/>
    <n v="107"/>
    <s v="_x0000_peopl"/>
  </r>
  <r>
    <x v="7"/>
    <n v="13.6808"/>
    <n v="-89.240399999999994"/>
    <n v="3"/>
    <n v="0"/>
    <n v="0"/>
    <n v="107"/>
    <s v="_x0000_peopl"/>
  </r>
  <r>
    <x v="7"/>
    <n v="13.6808"/>
    <n v="-89.240399999999994"/>
    <n v="2"/>
    <n v="0"/>
    <n v="0"/>
    <n v="107"/>
    <s v="_x0000_peopl"/>
  </r>
  <r>
    <x v="7"/>
    <n v="13.6808"/>
    <n v="-89.240399999999994"/>
    <n v="5"/>
    <n v="0"/>
    <n v="0"/>
    <n v="107"/>
    <s v="_x0000_peopl"/>
  </r>
  <r>
    <x v="7"/>
    <n v="13.6808"/>
    <n v="-89.240399999999994"/>
    <n v="4"/>
    <n v="0"/>
    <n v="0"/>
    <n v="107"/>
    <s v="_x0000_peopl"/>
  </r>
  <r>
    <x v="7"/>
    <n v="13.6808"/>
    <n v="-89.240300000000005"/>
    <n v="6"/>
    <n v="0"/>
    <n v="0"/>
    <n v="107"/>
    <s v="_x0000_peopl"/>
  </r>
  <r>
    <x v="7"/>
    <n v="13.6808"/>
    <n v="-89.240300000000005"/>
    <n v="7"/>
    <n v="0"/>
    <n v="0"/>
    <n v="107"/>
    <s v="_x0000_peopl"/>
  </r>
  <r>
    <x v="7"/>
    <n v="13.6808"/>
    <n v="-89.240300000000005"/>
    <n v="3"/>
    <n v="0"/>
    <n v="0"/>
    <n v="107"/>
    <s v="_x0000_peopl"/>
  </r>
  <r>
    <x v="7"/>
    <n v="13.6807"/>
    <n v="-89.240300000000005"/>
    <n v="10"/>
    <n v="0"/>
    <n v="0"/>
    <n v="107"/>
    <s v="_x0000_peopl"/>
  </r>
  <r>
    <x v="7"/>
    <n v="13.6807"/>
    <n v="-89.240300000000005"/>
    <n v="5"/>
    <n v="0"/>
    <n v="0"/>
    <n v="107"/>
    <s v="_x0000_peopl"/>
  </r>
  <r>
    <x v="7"/>
    <n v="13.680899999999999"/>
    <n v="-89.240200000000002"/>
    <n v="5"/>
    <n v="0"/>
    <n v="0"/>
    <n v="107"/>
    <s v="_x0000_peopl"/>
  </r>
  <r>
    <x v="7"/>
    <n v="13.680899999999999"/>
    <n v="-89.240200000000002"/>
    <n v="7"/>
    <n v="0"/>
    <n v="0"/>
    <n v="107"/>
    <s v="_x0000_peopl"/>
  </r>
  <r>
    <x v="7"/>
    <n v="13.680899999999999"/>
    <n v="-89.240200000000002"/>
    <n v="5"/>
    <n v="0"/>
    <n v="0"/>
    <n v="107"/>
    <s v="_x0000_peopl"/>
  </r>
  <r>
    <x v="7"/>
    <n v="13.680899999999999"/>
    <n v="-89.240200000000002"/>
    <n v="6"/>
    <n v="0"/>
    <n v="0"/>
    <n v="107"/>
    <s v="_x0000_peopl"/>
  </r>
  <r>
    <x v="7"/>
    <n v="13.6808"/>
    <n v="-89.240200000000002"/>
    <n v="5"/>
    <n v="0"/>
    <n v="0"/>
    <n v="107"/>
    <s v="_x0000_peopl"/>
  </r>
  <r>
    <x v="7"/>
    <n v="13.6808"/>
    <n v="-89.240200000000002"/>
    <n v="5"/>
    <n v="0"/>
    <n v="0"/>
    <n v="107"/>
    <s v="_x0000_peopl"/>
  </r>
  <r>
    <x v="7"/>
    <n v="13.6808"/>
    <n v="-89.240200000000002"/>
    <n v="6"/>
    <n v="0"/>
    <n v="0"/>
    <n v="107"/>
    <s v="_x0000_peopl"/>
  </r>
  <r>
    <x v="7"/>
    <n v="13.6808"/>
    <n v="-89.240200000000002"/>
    <n v="8"/>
    <n v="0"/>
    <n v="0"/>
    <n v="107"/>
    <s v="_x0000_peopl"/>
  </r>
  <r>
    <x v="7"/>
    <n v="13.6808"/>
    <n v="-89.240200000000002"/>
    <n v="2"/>
    <n v="0"/>
    <n v="0"/>
    <n v="107"/>
    <s v="_x0000_peopl"/>
  </r>
  <r>
    <x v="7"/>
    <n v="13.6808"/>
    <n v="-89.240200000000002"/>
    <n v="6"/>
    <n v="0"/>
    <n v="0"/>
    <n v="107"/>
    <s v="_x0000_peopl"/>
  </r>
  <r>
    <x v="7"/>
    <n v="13.680999999999999"/>
    <n v="-89.240099999999998"/>
    <n v="7"/>
    <n v="0"/>
    <n v="0"/>
    <n v="107"/>
    <s v="_x0000_peopl"/>
  </r>
  <r>
    <x v="7"/>
    <n v="13.680999999999999"/>
    <n v="-89.240099999999998"/>
    <n v="4"/>
    <n v="0"/>
    <n v="0"/>
    <n v="107"/>
    <s v="_x0000_peopl"/>
  </r>
  <r>
    <x v="7"/>
    <n v="13.680999999999999"/>
    <n v="-89.240099999999998"/>
    <n v="1"/>
    <n v="0"/>
    <n v="0"/>
    <n v="107"/>
    <s v="_x0000_peopl"/>
  </r>
  <r>
    <x v="7"/>
    <n v="13.680899999999999"/>
    <n v="-89.240099999999998"/>
    <n v="5"/>
    <n v="0"/>
    <n v="0"/>
    <n v="107"/>
    <s v="_x0000_peopl"/>
  </r>
  <r>
    <x v="7"/>
    <n v="13.680899999999999"/>
    <n v="-89.240099999999998"/>
    <n v="11"/>
    <n v="0"/>
    <n v="0"/>
    <n v="107"/>
    <s v="_x0000_peopl"/>
  </r>
  <r>
    <x v="7"/>
    <n v="13.680899999999999"/>
    <n v="-89.24"/>
    <n v="5"/>
    <n v="0"/>
    <n v="0"/>
    <n v="107"/>
    <s v="_x0000_peopl"/>
  </r>
  <r>
    <x v="7"/>
    <n v="13.680899999999999"/>
    <n v="-89.24"/>
    <n v="2"/>
    <n v="0"/>
    <n v="0"/>
    <n v="107"/>
    <s v="_x0000_peopl"/>
  </r>
  <r>
    <x v="7"/>
    <n v="13.680899999999999"/>
    <n v="-89.24"/>
    <n v="4"/>
    <n v="0"/>
    <n v="0"/>
    <n v="107"/>
    <s v="_x0000_peopl"/>
  </r>
  <r>
    <x v="7"/>
    <n v="13.680899999999999"/>
    <n v="-89.24"/>
    <n v="2"/>
    <n v="0"/>
    <n v="0"/>
    <n v="107"/>
    <s v="_x0000_peopl"/>
  </r>
  <r>
    <x v="7"/>
    <n v="13.680899999999999"/>
    <n v="-89.24"/>
    <n v="2"/>
    <n v="0"/>
    <n v="0"/>
    <n v="107"/>
    <s v="_x0000_peopl"/>
  </r>
  <r>
    <x v="7"/>
    <n v="13.680999999999999"/>
    <n v="-89.24"/>
    <n v="8"/>
    <n v="0"/>
    <n v="0"/>
    <n v="107"/>
    <s v="_x0000_peopl"/>
  </r>
  <r>
    <x v="7"/>
    <n v="13.680999999999999"/>
    <n v="-89.24"/>
    <n v="2"/>
    <n v="0"/>
    <n v="0"/>
    <n v="107"/>
    <s v="_x0000_peopl"/>
  </r>
  <r>
    <x v="7"/>
    <n v="13.680999999999999"/>
    <n v="-89.24"/>
    <n v="5"/>
    <n v="0"/>
    <n v="0"/>
    <n v="107"/>
    <s v="_x0000_peopl"/>
  </r>
  <r>
    <x v="7"/>
    <n v="13.680999999999999"/>
    <n v="-89.24"/>
    <n v="8"/>
    <n v="0"/>
    <n v="0"/>
    <n v="107"/>
    <s v="_x0000_peopl"/>
  </r>
  <r>
    <x v="7"/>
    <n v="13.680899999999999"/>
    <n v="-89.24"/>
    <n v="8"/>
    <n v="0"/>
    <n v="0"/>
    <n v="107"/>
    <s v="_x0000_peopl"/>
  </r>
  <r>
    <x v="7"/>
    <n v="13.680899999999999"/>
    <n v="-89.239900000000006"/>
    <n v="8"/>
    <n v="0"/>
    <n v="0"/>
    <n v="107"/>
    <s v="_x0000_peopl"/>
  </r>
  <r>
    <x v="7"/>
    <n v="13.680899999999999"/>
    <n v="-89.239900000000006"/>
    <n v="5"/>
    <n v="0"/>
    <n v="0"/>
    <n v="107"/>
    <s v="_x0000_peopl"/>
  </r>
  <r>
    <x v="7"/>
    <n v="13.680899999999999"/>
    <n v="-89.239900000000006"/>
    <n v="3"/>
    <n v="0"/>
    <n v="0"/>
    <n v="107"/>
    <s v="_x0000_peopl"/>
  </r>
  <r>
    <x v="7"/>
    <n v="13.680899999999999"/>
    <n v="-89.239900000000006"/>
    <n v="2"/>
    <n v="0"/>
    <n v="0"/>
    <n v="107"/>
    <s v="_x0000_peopl"/>
  </r>
  <r>
    <x v="7"/>
    <n v="13.680899999999999"/>
    <n v="-89.239900000000006"/>
    <n v="7"/>
    <n v="0"/>
    <n v="0"/>
    <n v="107"/>
    <s v="_x0000_peopl"/>
  </r>
  <r>
    <x v="7"/>
    <n v="13.681100000000001"/>
    <n v="-89.239800000000002"/>
    <n v="3"/>
    <n v="0"/>
    <n v="0"/>
    <n v="107"/>
    <s v="_x0000_peopl"/>
  </r>
  <r>
    <x v="7"/>
    <n v="13.681100000000001"/>
    <n v="-89.239800000000002"/>
    <n v="5"/>
    <n v="0"/>
    <n v="0"/>
    <n v="107"/>
    <s v="_x0000_peopl"/>
  </r>
  <r>
    <x v="7"/>
    <n v="13.681100000000001"/>
    <n v="-89.239800000000002"/>
    <n v="3"/>
    <n v="0"/>
    <n v="0"/>
    <n v="107"/>
    <s v="_x0000_peopl"/>
  </r>
  <r>
    <x v="7"/>
    <n v="13.680999999999999"/>
    <n v="-89.239800000000002"/>
    <n v="7"/>
    <n v="0"/>
    <n v="0"/>
    <n v="107"/>
    <s v="_x0000_peopl"/>
  </r>
  <r>
    <x v="7"/>
    <n v="13.680999999999999"/>
    <n v="-89.239800000000002"/>
    <n v="3"/>
    <n v="0"/>
    <n v="0"/>
    <n v="107"/>
    <s v="_x0000_peopl"/>
  </r>
  <r>
    <x v="7"/>
    <n v="13.680999999999999"/>
    <n v="-89.239800000000002"/>
    <n v="4"/>
    <n v="0"/>
    <n v="0"/>
    <n v="107"/>
    <s v="_x0000_peopl"/>
  </r>
  <r>
    <x v="7"/>
    <n v="13.680999999999999"/>
    <n v="-89.239800000000002"/>
    <n v="9"/>
    <n v="0"/>
    <n v="0"/>
    <n v="107"/>
    <s v="_x0000_peopl"/>
  </r>
  <r>
    <x v="7"/>
    <n v="13.680999999999999"/>
    <n v="-89.239800000000002"/>
    <n v="6"/>
    <n v="0"/>
    <n v="0"/>
    <n v="107"/>
    <s v="_x0000_peopl"/>
  </r>
  <r>
    <x v="7"/>
    <n v="13.680999999999999"/>
    <n v="-89.239800000000002"/>
    <n v="3"/>
    <n v="0"/>
    <n v="0"/>
    <n v="107"/>
    <s v="_x0000_peopl"/>
  </r>
  <r>
    <x v="7"/>
    <n v="13.680999999999999"/>
    <n v="-89.239800000000002"/>
    <n v="5"/>
    <n v="0"/>
    <n v="0"/>
    <n v="107"/>
    <s v="_x0000_peopl"/>
  </r>
  <r>
    <x v="7"/>
    <n v="13.6806"/>
    <n v="-89.241"/>
    <n v="6"/>
    <n v="0"/>
    <n v="0"/>
    <n v="107"/>
    <s v="_x0000_peopl"/>
  </r>
  <r>
    <x v="7"/>
    <n v="13.6806"/>
    <n v="-89.240899999999996"/>
    <n v="10"/>
    <n v="0"/>
    <n v="0"/>
    <n v="107"/>
    <s v="_x0000_peopl"/>
  </r>
  <r>
    <x v="7"/>
    <n v="13.6807"/>
    <n v="-89.240899999999996"/>
    <n v="3"/>
    <n v="0"/>
    <n v="0"/>
    <n v="107"/>
    <s v="_x0000_peopl"/>
  </r>
  <r>
    <x v="7"/>
    <n v="13.6807"/>
    <n v="-89.240899999999996"/>
    <n v="4"/>
    <n v="0"/>
    <n v="0"/>
    <n v="107"/>
    <s v="_x0000_peopl"/>
  </r>
  <r>
    <x v="7"/>
    <n v="13.6807"/>
    <n v="-89.240799999999993"/>
    <n v="4"/>
    <n v="0"/>
    <n v="0"/>
    <n v="107"/>
    <s v="_x0000_peopl"/>
  </r>
  <r>
    <x v="7"/>
    <n v="13.6808"/>
    <n v="-89.240799999999993"/>
    <n v="5"/>
    <n v="0"/>
    <n v="0"/>
    <n v="107"/>
    <s v="_x0000_peopl"/>
  </r>
  <r>
    <x v="7"/>
    <n v="13.6808"/>
    <n v="-89.240799999999993"/>
    <n v="8"/>
    <n v="0"/>
    <n v="0"/>
    <n v="107"/>
    <s v="_x0000_peopl"/>
  </r>
  <r>
    <x v="7"/>
    <n v="13.680899999999999"/>
    <n v="-89.240799999999993"/>
    <n v="3"/>
    <n v="0"/>
    <n v="0"/>
    <n v="107"/>
    <s v="_x0000_peopl"/>
  </r>
  <r>
    <x v="7"/>
    <n v="13.681100000000001"/>
    <n v="-89.240700000000004"/>
    <n v="5"/>
    <n v="0"/>
    <n v="0"/>
    <n v="107"/>
    <s v="_x0000_peopl"/>
  </r>
  <r>
    <x v="7"/>
    <n v="13.681100000000001"/>
    <n v="-89.240600000000001"/>
    <n v="4"/>
    <n v="0"/>
    <n v="0"/>
    <n v="107"/>
    <s v="_x0000_peopl"/>
  </r>
  <r>
    <x v="7"/>
    <n v="13.681100000000001"/>
    <n v="-89.240600000000001"/>
    <n v="5"/>
    <n v="0"/>
    <n v="0"/>
    <n v="107"/>
    <s v="_x0000_peopl"/>
  </r>
  <r>
    <x v="7"/>
    <n v="13.681100000000001"/>
    <n v="-89.240499999999997"/>
    <n v="7"/>
    <n v="0"/>
    <n v="0"/>
    <n v="107"/>
    <s v="_x0000_peopl"/>
  </r>
  <r>
    <x v="7"/>
    <n v="13.6812"/>
    <n v="-89.240499999999997"/>
    <n v="6"/>
    <n v="0"/>
    <n v="0"/>
    <n v="107"/>
    <s v="_x0000_peopl"/>
  </r>
  <r>
    <x v="7"/>
    <n v="13.6812"/>
    <n v="-89.240499999999997"/>
    <n v="7"/>
    <n v="0"/>
    <n v="0"/>
    <n v="107"/>
    <s v="_x0000_peopl"/>
  </r>
  <r>
    <x v="7"/>
    <n v="13.6812"/>
    <n v="-89.240499999999997"/>
    <n v="7"/>
    <n v="0"/>
    <n v="0"/>
    <n v="107"/>
    <s v="_x0000_peopl"/>
  </r>
  <r>
    <x v="7"/>
    <n v="13.6812"/>
    <n v="-89.240399999999994"/>
    <n v="5"/>
    <n v="0"/>
    <n v="0"/>
    <n v="107"/>
    <s v="_x0000_peopl"/>
  </r>
  <r>
    <x v="7"/>
    <n v="13.6812"/>
    <n v="-89.240399999999994"/>
    <n v="6"/>
    <n v="0"/>
    <n v="0"/>
    <n v="107"/>
    <s v="_x0000_peopl"/>
  </r>
  <r>
    <x v="7"/>
    <n v="13.6813"/>
    <n v="-89.240399999999994"/>
    <n v="2"/>
    <n v="0"/>
    <n v="0"/>
    <n v="107"/>
    <s v="_x0000_peopl"/>
  </r>
  <r>
    <x v="7"/>
    <n v="13.6813"/>
    <n v="-89.240399999999994"/>
    <n v="2"/>
    <n v="0"/>
    <n v="0"/>
    <n v="107"/>
    <s v="_x0000_peopl"/>
  </r>
  <r>
    <x v="7"/>
    <n v="13.6813"/>
    <n v="-89.240499999999997"/>
    <n v="4"/>
    <n v="0"/>
    <n v="0"/>
    <n v="107"/>
    <s v="_x0000_peopl"/>
  </r>
  <r>
    <x v="7"/>
    <n v="13.6812"/>
    <n v="-89.240499999999997"/>
    <n v="5"/>
    <n v="0"/>
    <n v="0"/>
    <n v="107"/>
    <s v="_x0000_peopl"/>
  </r>
  <r>
    <x v="7"/>
    <n v="13.681699999999999"/>
    <n v="-89.240799999999993"/>
    <n v="6"/>
    <n v="0"/>
    <n v="0"/>
    <n v="107"/>
    <s v="_x0000_peopl"/>
  </r>
  <r>
    <x v="7"/>
    <n v="13.681699999999999"/>
    <n v="-89.240799999999993"/>
    <n v="3"/>
    <n v="0"/>
    <n v="0"/>
    <n v="107"/>
    <s v="_x0000_peopl"/>
  </r>
  <r>
    <x v="7"/>
    <n v="13.681699999999999"/>
    <n v="-89.240700000000004"/>
    <n v="5"/>
    <n v="0"/>
    <n v="0"/>
    <n v="107"/>
    <s v="_x0000_peopl"/>
  </r>
  <r>
    <x v="7"/>
    <n v="13.681699999999999"/>
    <n v="-89.240700000000004"/>
    <n v="9"/>
    <n v="0"/>
    <n v="0"/>
    <n v="107"/>
    <s v="_x0000_peopl"/>
  </r>
  <r>
    <x v="7"/>
    <n v="13.6816"/>
    <n v="-89.240799999999993"/>
    <n v="3"/>
    <n v="0"/>
    <n v="0"/>
    <n v="107"/>
    <s v="_x0000_peopl"/>
  </r>
  <r>
    <x v="7"/>
    <n v="13.681699999999999"/>
    <n v="-89.240799999999993"/>
    <n v="9"/>
    <n v="0"/>
    <n v="0"/>
    <n v="107"/>
    <s v="_x0000_peopl"/>
  </r>
  <r>
    <x v="7"/>
    <n v="13.681699999999999"/>
    <n v="-89.240700000000004"/>
    <n v="6"/>
    <n v="0"/>
    <n v="0"/>
    <n v="107"/>
    <s v="_x0000_peopl"/>
  </r>
  <r>
    <x v="7"/>
    <n v="13.681699999999999"/>
    <n v="-89.240700000000004"/>
    <n v="10"/>
    <n v="0"/>
    <n v="0"/>
    <n v="107"/>
    <s v="_x0000_peopl"/>
  </r>
  <r>
    <x v="7"/>
    <n v="13.681699999999999"/>
    <n v="-89.240600000000001"/>
    <n v="3"/>
    <n v="0"/>
    <n v="0"/>
    <n v="107"/>
    <s v="_x0000_peopl"/>
  </r>
  <r>
    <x v="7"/>
    <n v="13.681800000000001"/>
    <n v="-89.240499999999997"/>
    <n v="8"/>
    <n v="0"/>
    <n v="0"/>
    <n v="107"/>
    <s v="_x0000_peopl"/>
  </r>
  <r>
    <x v="7"/>
    <n v="13.681699999999999"/>
    <n v="-89.240499999999997"/>
    <n v="4"/>
    <n v="0"/>
    <n v="0"/>
    <n v="107"/>
    <s v="_x0000_peopl"/>
  </r>
  <r>
    <x v="7"/>
    <n v="13.681699999999999"/>
    <n v="-89.240499999999997"/>
    <n v="4"/>
    <n v="0"/>
    <n v="0"/>
    <n v="107"/>
    <s v="_x0000_peopl"/>
  </r>
  <r>
    <x v="7"/>
    <n v="13.681699999999999"/>
    <n v="-89.240499999999997"/>
    <n v="3"/>
    <n v="0"/>
    <n v="0"/>
    <n v="107"/>
    <s v="_x0000_peopl"/>
  </r>
  <r>
    <x v="7"/>
    <n v="13.6816"/>
    <n v="-89.240499999999997"/>
    <n v="6"/>
    <n v="0"/>
    <n v="0"/>
    <n v="107"/>
    <s v="_x0000_peopl"/>
  </r>
  <r>
    <x v="7"/>
    <n v="13.6816"/>
    <n v="-89.240499999999997"/>
    <n v="8"/>
    <n v="0"/>
    <n v="0"/>
    <n v="107"/>
    <s v="_x0000_peopl"/>
  </r>
  <r>
    <x v="7"/>
    <n v="13.6816"/>
    <n v="-89.240499999999997"/>
    <n v="3"/>
    <n v="0"/>
    <n v="0"/>
    <n v="107"/>
    <s v="_x0000_peopl"/>
  </r>
  <r>
    <x v="7"/>
    <n v="13.6816"/>
    <n v="-89.240499999999997"/>
    <n v="7"/>
    <n v="0"/>
    <n v="0"/>
    <n v="107"/>
    <s v="_x0000_peopl"/>
  </r>
  <r>
    <x v="7"/>
    <n v="13.6816"/>
    <n v="-89.240600000000001"/>
    <n v="6"/>
    <n v="0"/>
    <n v="0"/>
    <n v="107"/>
    <s v="_x0000_peopl"/>
  </r>
  <r>
    <x v="7"/>
    <n v="13.6816"/>
    <n v="-89.240600000000001"/>
    <n v="6"/>
    <n v="0"/>
    <n v="0"/>
    <n v="107"/>
    <s v="_x0000_peopl"/>
  </r>
  <r>
    <x v="7"/>
    <n v="13.6816"/>
    <n v="-89.240700000000004"/>
    <n v="1"/>
    <n v="0"/>
    <n v="0"/>
    <n v="107"/>
    <s v="_x0000_peopl"/>
  </r>
  <r>
    <x v="7"/>
    <n v="13.6816"/>
    <n v="-89.240700000000004"/>
    <n v="3"/>
    <n v="0"/>
    <n v="0"/>
    <n v="107"/>
    <s v="_x0000_peopl"/>
  </r>
  <r>
    <x v="7"/>
    <n v="13.6816"/>
    <n v="-89.240799999999993"/>
    <n v="5"/>
    <n v="0"/>
    <n v="0"/>
    <n v="107"/>
    <s v="_x0000_peopl"/>
  </r>
  <r>
    <x v="7"/>
    <n v="13.6815"/>
    <n v="-89.240799999999993"/>
    <n v="2"/>
    <n v="0"/>
    <n v="0"/>
    <n v="107"/>
    <s v="_x0000_peopl"/>
  </r>
  <r>
    <x v="7"/>
    <n v="13.6815"/>
    <n v="-89.240700000000004"/>
    <n v="6"/>
    <n v="0"/>
    <n v="0"/>
    <n v="107"/>
    <s v="_x0000_peopl"/>
  </r>
  <r>
    <x v="7"/>
    <n v="13.6814"/>
    <n v="-89.240700000000004"/>
    <n v="3"/>
    <n v="0"/>
    <n v="0"/>
    <n v="107"/>
    <s v="_x0000_peopl"/>
  </r>
  <r>
    <x v="7"/>
    <n v="13.6815"/>
    <n v="-89.240600000000001"/>
    <n v="2"/>
    <n v="0"/>
    <n v="0"/>
    <n v="107"/>
    <s v="_x0000_peopl"/>
  </r>
  <r>
    <x v="7"/>
    <n v="13.6815"/>
    <n v="-89.240600000000001"/>
    <n v="4"/>
    <n v="0"/>
    <n v="0"/>
    <n v="107"/>
    <s v="_x0000_peopl"/>
  </r>
  <r>
    <x v="7"/>
    <n v="13.6815"/>
    <n v="-89.240499999999997"/>
    <n v="4"/>
    <n v="0"/>
    <n v="0"/>
    <n v="107"/>
    <s v="_x0000_peopl"/>
  </r>
  <r>
    <x v="7"/>
    <n v="13.6815"/>
    <n v="-89.240499999999997"/>
    <n v="7"/>
    <n v="0"/>
    <n v="0"/>
    <n v="107"/>
    <s v="_x0000_peopl"/>
  </r>
  <r>
    <x v="7"/>
    <n v="13.6814"/>
    <n v="-89.240399999999994"/>
    <n v="4"/>
    <n v="0"/>
    <n v="0"/>
    <n v="107"/>
    <s v="_x0000_peopl"/>
  </r>
  <r>
    <x v="7"/>
    <n v="13.6814"/>
    <n v="-89.240399999999994"/>
    <n v="4"/>
    <n v="0"/>
    <n v="0"/>
    <n v="107"/>
    <s v="_x0000_peopl"/>
  </r>
  <r>
    <x v="7"/>
    <n v="13.6814"/>
    <n v="-89.240499999999997"/>
    <n v="7"/>
    <n v="0"/>
    <n v="0"/>
    <n v="107"/>
    <s v="_x0000_peopl"/>
  </r>
  <r>
    <x v="7"/>
    <n v="13.6814"/>
    <n v="-89.240499999999997"/>
    <n v="2"/>
    <n v="0"/>
    <n v="0"/>
    <n v="107"/>
    <s v="_x0000_peopl"/>
  </r>
  <r>
    <x v="7"/>
    <n v="13.6814"/>
    <n v="-89.240600000000001"/>
    <n v="9"/>
    <n v="0"/>
    <n v="0"/>
    <n v="107"/>
    <s v="_x0000_peopl"/>
  </r>
  <r>
    <x v="7"/>
    <n v="13.6814"/>
    <n v="-89.240600000000001"/>
    <n v="10"/>
    <n v="0"/>
    <n v="0"/>
    <n v="107"/>
    <s v="_x0000_peopl"/>
  </r>
  <r>
    <x v="7"/>
    <n v="13.6754"/>
    <n v="-89.247100000000003"/>
    <n v="4"/>
    <n v="0"/>
    <n v="0"/>
    <n v="107"/>
    <s v="_x0000_peopl"/>
  </r>
  <r>
    <x v="7"/>
    <n v="13.676500000000001"/>
    <n v="-89.246099999999998"/>
    <n v="8"/>
    <n v="0"/>
    <n v="0"/>
    <n v="107"/>
    <s v="_x0000_peopl"/>
  </r>
  <r>
    <x v="7"/>
    <n v="13.676299999999999"/>
    <n v="-89.245699999999999"/>
    <n v="3"/>
    <n v="0"/>
    <n v="0"/>
    <n v="107"/>
    <s v="_x0000_peopl"/>
  </r>
  <r>
    <x v="7"/>
    <n v="13.6762"/>
    <n v="-89.245500000000007"/>
    <n v="3"/>
    <n v="0"/>
    <n v="0"/>
    <n v="107"/>
    <s v="_x0000_peopl"/>
  </r>
  <r>
    <x v="7"/>
    <n v="13.6761"/>
    <n v="-89.245400000000004"/>
    <n v="4"/>
    <n v="0"/>
    <n v="0"/>
    <n v="107"/>
    <s v="_x0000_peopl"/>
  </r>
  <r>
    <x v="7"/>
    <n v="13.6761"/>
    <n v="-89.2453"/>
    <n v="3"/>
    <n v="0"/>
    <n v="0"/>
    <n v="107"/>
    <s v="_x0000_peopl"/>
  </r>
  <r>
    <x v="7"/>
    <n v="13.676"/>
    <n v="-89.245099999999994"/>
    <n v="6"/>
    <n v="0"/>
    <n v="0"/>
    <n v="107"/>
    <s v="_x0000_peopl"/>
  </r>
  <r>
    <x v="7"/>
    <n v="13.6759"/>
    <n v="-89.245000000000005"/>
    <n v="4"/>
    <n v="0"/>
    <n v="0"/>
    <n v="107"/>
    <s v="_x0000_peopl"/>
  </r>
  <r>
    <x v="7"/>
    <n v="13.6759"/>
    <n v="-89.244900000000001"/>
    <n v="4"/>
    <n v="0"/>
    <n v="0"/>
    <n v="107"/>
    <s v="_x0000_peopl"/>
  </r>
  <r>
    <x v="7"/>
    <n v="13.675800000000001"/>
    <n v="-89.244799999999998"/>
    <n v="2"/>
    <n v="0"/>
    <n v="0"/>
    <n v="107"/>
    <s v="_x0000_peopl"/>
  </r>
  <r>
    <x v="7"/>
    <n v="13.675800000000001"/>
    <n v="-89.244799999999998"/>
    <n v="4"/>
    <n v="0"/>
    <n v="0"/>
    <n v="107"/>
    <s v="_x0000_peopl"/>
  </r>
  <r>
    <x v="7"/>
    <n v="13.675700000000001"/>
    <n v="-89.244699999999995"/>
    <n v="1"/>
    <n v="0"/>
    <n v="0"/>
    <n v="107"/>
    <s v="_x0000_peopl"/>
  </r>
  <r>
    <x v="7"/>
    <n v="13.675700000000001"/>
    <n v="-89.244600000000005"/>
    <n v="6"/>
    <n v="0"/>
    <n v="0"/>
    <n v="107"/>
    <s v="_x0000_peopl"/>
  </r>
  <r>
    <x v="7"/>
    <n v="13.675599999999999"/>
    <n v="-89.244500000000002"/>
    <n v="6"/>
    <n v="0"/>
    <n v="0"/>
    <n v="107"/>
    <s v="_x0000_peopl"/>
  </r>
  <r>
    <x v="7"/>
    <n v="13.675599999999999"/>
    <n v="-89.244500000000002"/>
    <n v="4"/>
    <n v="0"/>
    <n v="0"/>
    <n v="107"/>
    <s v="_x0000_peopl"/>
  </r>
  <r>
    <x v="7"/>
    <n v="13.6755"/>
    <n v="-89.244399999999999"/>
    <n v="3"/>
    <n v="0"/>
    <n v="0"/>
    <n v="107"/>
    <s v="_x0000_peopl"/>
  </r>
  <r>
    <x v="7"/>
    <n v="13.6754"/>
    <n v="-89.245099999999994"/>
    <n v="3"/>
    <n v="0"/>
    <n v="0"/>
    <n v="107"/>
    <s v="_x0000_peopl"/>
  </r>
  <r>
    <x v="7"/>
    <n v="13.6751"/>
    <n v="-89.244699999999995"/>
    <n v="2"/>
    <n v="0"/>
    <n v="0"/>
    <n v="107"/>
    <s v="_x0000_peopl"/>
  </r>
  <r>
    <x v="7"/>
    <n v="13.676399999999999"/>
    <n v="-89.245199999999997"/>
    <n v="5"/>
    <n v="0"/>
    <n v="0"/>
    <n v="107"/>
    <s v="_x0000_peopl"/>
  </r>
  <r>
    <x v="7"/>
    <n v="13.676399999999999"/>
    <n v="-89.245099999999994"/>
    <n v="5"/>
    <n v="0"/>
    <n v="0"/>
    <n v="107"/>
    <s v="_x0000_peopl"/>
  </r>
  <r>
    <x v="7"/>
    <n v="13.676299999999999"/>
    <n v="-89.245000000000005"/>
    <n v="8"/>
    <n v="0"/>
    <n v="0"/>
    <n v="107"/>
    <s v="_x0000_peopl"/>
  </r>
  <r>
    <x v="7"/>
    <n v="13.676299999999999"/>
    <n v="-89.244900000000001"/>
    <n v="5"/>
    <n v="0"/>
    <n v="0"/>
    <n v="107"/>
    <s v="_x0000_peopl"/>
  </r>
  <r>
    <x v="7"/>
    <n v="13.6762"/>
    <n v="-89.244799999999998"/>
    <n v="8"/>
    <n v="0"/>
    <n v="0"/>
    <n v="107"/>
    <s v="_x0000_peopl"/>
  </r>
  <r>
    <x v="7"/>
    <n v="13.6762"/>
    <n v="-89.244799999999998"/>
    <n v="4"/>
    <n v="0"/>
    <n v="0"/>
    <n v="107"/>
    <s v="_x0000_peopl"/>
  </r>
  <r>
    <x v="7"/>
    <n v="13.6761"/>
    <n v="-89.244699999999995"/>
    <n v="4"/>
    <n v="0"/>
    <n v="0"/>
    <n v="107"/>
    <s v="_x0000_peopl"/>
  </r>
  <r>
    <x v="7"/>
    <n v="13.6761"/>
    <n v="-89.244600000000005"/>
    <n v="3"/>
    <n v="0"/>
    <n v="0"/>
    <n v="107"/>
    <s v="_x0000_peopl"/>
  </r>
  <r>
    <x v="7"/>
    <n v="13.6761"/>
    <n v="-89.244500000000002"/>
    <n v="6"/>
    <n v="0"/>
    <n v="0"/>
    <n v="107"/>
    <s v="_x0000_peopl"/>
  </r>
  <r>
    <x v="7"/>
    <n v="13.676"/>
    <n v="-89.244399999999999"/>
    <n v="4"/>
    <n v="0"/>
    <n v="0"/>
    <n v="107"/>
    <s v="_x0000_peopl"/>
  </r>
  <r>
    <x v="7"/>
    <n v="13.6759"/>
    <n v="-89.244399999999999"/>
    <n v="5"/>
    <n v="0"/>
    <n v="0"/>
    <n v="107"/>
    <s v="_x0000_peopl"/>
  </r>
  <r>
    <x v="7"/>
    <n v="13.6759"/>
    <n v="-89.244299999999996"/>
    <n v="5"/>
    <n v="0"/>
    <n v="0"/>
    <n v="107"/>
    <s v="_x0000_peopl"/>
  </r>
  <r>
    <x v="7"/>
    <n v="13.6759"/>
    <n v="-89.244200000000006"/>
    <n v="6"/>
    <n v="0"/>
    <n v="0"/>
    <n v="107"/>
    <s v="_x0000_peopl"/>
  </r>
  <r>
    <x v="7"/>
    <n v="13.675800000000001"/>
    <n v="-89.244100000000003"/>
    <n v="3"/>
    <n v="0"/>
    <n v="0"/>
    <n v="107"/>
    <s v="_x0000_peopl"/>
  </r>
  <r>
    <x v="7"/>
    <n v="13.675800000000001"/>
    <n v="-89.244"/>
    <n v="1"/>
    <n v="0"/>
    <n v="0"/>
    <n v="107"/>
    <s v="_x0000_peopl"/>
  </r>
  <r>
    <x v="7"/>
    <n v="13.675700000000001"/>
    <n v="-89.243899999999996"/>
    <n v="8"/>
    <n v="0"/>
    <n v="0"/>
    <n v="107"/>
    <s v="_x0000_peopl"/>
  </r>
  <r>
    <x v="7"/>
    <n v="13.675700000000001"/>
    <n v="-89.243899999999996"/>
    <n v="6"/>
    <n v="0"/>
    <n v="0"/>
    <n v="107"/>
    <s v="_x0000_peopl"/>
  </r>
  <r>
    <x v="7"/>
    <n v="13.675599999999999"/>
    <n v="-89.243799999999993"/>
    <n v="6"/>
    <n v="0"/>
    <n v="0"/>
    <n v="107"/>
    <s v="_x0000_peopl"/>
  </r>
  <r>
    <x v="7"/>
    <n v="13.675800000000001"/>
    <n v="-89.243499999999997"/>
    <n v="8"/>
    <n v="0"/>
    <n v="0"/>
    <n v="107"/>
    <s v="_x0000_peopl"/>
  </r>
  <r>
    <x v="7"/>
    <n v="13.6759"/>
    <n v="-89.243600000000001"/>
    <n v="4"/>
    <n v="0"/>
    <n v="0"/>
    <n v="107"/>
    <s v="_x0000_peopl"/>
  </r>
  <r>
    <x v="7"/>
    <n v="13.6759"/>
    <n v="-89.243700000000004"/>
    <n v="1"/>
    <n v="0"/>
    <n v="0"/>
    <n v="107"/>
    <s v="_x0000_peopl"/>
  </r>
  <r>
    <x v="7"/>
    <n v="13.676"/>
    <n v="-89.243799999999993"/>
    <n v="3"/>
    <n v="0"/>
    <n v="0"/>
    <n v="107"/>
    <s v="_x0000_peopl"/>
  </r>
  <r>
    <x v="7"/>
    <n v="13.6761"/>
    <n v="-89.243899999999996"/>
    <n v="8"/>
    <n v="0"/>
    <n v="0"/>
    <n v="107"/>
    <s v="_x0000_peopl"/>
  </r>
  <r>
    <x v="7"/>
    <n v="13.6761"/>
    <n v="-89.243899999999996"/>
    <n v="9"/>
    <n v="0"/>
    <n v="0"/>
    <n v="107"/>
    <s v="_x0000_peopl"/>
  </r>
  <r>
    <x v="7"/>
    <n v="13.6761"/>
    <n v="-89.244"/>
    <n v="4"/>
    <n v="0"/>
    <n v="0"/>
    <n v="107"/>
    <s v="_x0000_peopl"/>
  </r>
  <r>
    <x v="7"/>
    <n v="13.6762"/>
    <n v="-89.244100000000003"/>
    <n v="5"/>
    <n v="0"/>
    <n v="0"/>
    <n v="107"/>
    <s v="_x0000_peopl"/>
  </r>
  <r>
    <x v="7"/>
    <n v="13.6762"/>
    <n v="-89.244200000000006"/>
    <n v="2"/>
    <n v="0"/>
    <n v="0"/>
    <n v="107"/>
    <s v="_x0000_peopl"/>
  </r>
  <r>
    <x v="7"/>
    <n v="13.676299999999999"/>
    <n v="-89.244299999999996"/>
    <n v="5"/>
    <n v="0"/>
    <n v="0"/>
    <n v="107"/>
    <s v="_x0000_peopl"/>
  </r>
  <r>
    <x v="7"/>
    <n v="13.676299999999999"/>
    <n v="-89.244299999999996"/>
    <n v="3"/>
    <n v="0"/>
    <n v="0"/>
    <n v="107"/>
    <s v="_x0000_peopl"/>
  </r>
  <r>
    <x v="7"/>
    <n v="13.676399999999999"/>
    <n v="-89.244399999999999"/>
    <n v="9"/>
    <n v="0"/>
    <n v="0"/>
    <n v="107"/>
    <s v="_x0000_peopl"/>
  </r>
  <r>
    <x v="7"/>
    <n v="13.676399999999999"/>
    <n v="-89.244500000000002"/>
    <n v="5"/>
    <n v="0"/>
    <n v="0"/>
    <n v="107"/>
    <s v="_x0000_peopl"/>
  </r>
  <r>
    <x v="7"/>
    <n v="13.676500000000001"/>
    <n v="-89.244600000000005"/>
    <n v="8"/>
    <n v="0"/>
    <n v="0"/>
    <n v="107"/>
    <s v="_x0000_peopl"/>
  </r>
  <r>
    <x v="7"/>
    <n v="13.676500000000001"/>
    <n v="-89.244699999999995"/>
    <n v="5"/>
    <n v="0"/>
    <n v="0"/>
    <n v="107"/>
    <s v="_x0000_peopl"/>
  </r>
  <r>
    <x v="7"/>
    <n v="13.676600000000001"/>
    <n v="-89.244799999999998"/>
    <n v="6"/>
    <n v="0"/>
    <n v="0"/>
    <n v="107"/>
    <s v="_x0000_peopl"/>
  </r>
  <r>
    <x v="7"/>
    <n v="13.6768"/>
    <n v="-89.244500000000002"/>
    <n v="9"/>
    <n v="0"/>
    <n v="0"/>
    <n v="107"/>
    <s v="_x0000_peopl"/>
  </r>
  <r>
    <x v="7"/>
    <n v="13.6767"/>
    <n v="-89.244399999999999"/>
    <n v="7"/>
    <n v="0"/>
    <n v="0"/>
    <n v="107"/>
    <s v="_x0000_peopl"/>
  </r>
  <r>
    <x v="7"/>
    <n v="13.6767"/>
    <n v="-89.244399999999999"/>
    <n v="5"/>
    <n v="0"/>
    <n v="0"/>
    <n v="107"/>
    <s v="_x0000_peopl"/>
  </r>
  <r>
    <x v="7"/>
    <n v="13.676600000000001"/>
    <n v="-89.244299999999996"/>
    <n v="3"/>
    <n v="0"/>
    <n v="0"/>
    <n v="107"/>
    <s v="_x0000_peopl"/>
  </r>
  <r>
    <x v="7"/>
    <n v="13.676600000000001"/>
    <n v="-89.244200000000006"/>
    <n v="3"/>
    <n v="0"/>
    <n v="0"/>
    <n v="107"/>
    <s v="_x0000_peopl"/>
  </r>
  <r>
    <x v="7"/>
    <n v="13.676500000000001"/>
    <n v="-89.244100000000003"/>
    <n v="7"/>
    <n v="0"/>
    <n v="0"/>
    <n v="107"/>
    <s v="_x0000_peopl"/>
  </r>
  <r>
    <x v="7"/>
    <n v="13.676500000000001"/>
    <n v="-89.244"/>
    <n v="3"/>
    <n v="0"/>
    <n v="0"/>
    <n v="107"/>
    <s v="_x0000_peopl"/>
  </r>
  <r>
    <x v="7"/>
    <n v="13.676399999999999"/>
    <n v="-89.243899999999996"/>
    <n v="10"/>
    <n v="0"/>
    <n v="0"/>
    <n v="107"/>
    <s v="_x0000_peopl"/>
  </r>
  <r>
    <x v="7"/>
    <n v="13.676399999999999"/>
    <n v="-89.243899999999996"/>
    <n v="6"/>
    <n v="0"/>
    <n v="0"/>
    <n v="107"/>
    <s v="_x0000_peopl"/>
  </r>
  <r>
    <x v="7"/>
    <n v="13.676299999999999"/>
    <n v="-89.243799999999993"/>
    <n v="5"/>
    <n v="0"/>
    <n v="0"/>
    <n v="107"/>
    <s v="_x0000_peopl"/>
  </r>
  <r>
    <x v="7"/>
    <n v="13.676299999999999"/>
    <n v="-89.243700000000004"/>
    <n v="8"/>
    <n v="0"/>
    <n v="0"/>
    <n v="107"/>
    <s v="_x0000_peopl"/>
  </r>
  <r>
    <x v="7"/>
    <n v="13.676299999999999"/>
    <n v="-89.243600000000001"/>
    <n v="4"/>
    <n v="0"/>
    <n v="0"/>
    <n v="107"/>
    <s v="_x0000_peopl"/>
  </r>
  <r>
    <x v="7"/>
    <n v="13.6762"/>
    <n v="-89.243600000000001"/>
    <n v="5"/>
    <n v="0"/>
    <n v="0"/>
    <n v="107"/>
    <s v="_x0000_peopl"/>
  </r>
  <r>
    <x v="7"/>
    <n v="13.6761"/>
    <n v="-89.243399999999994"/>
    <n v="5"/>
    <n v="0"/>
    <n v="0"/>
    <n v="107"/>
    <s v="_x0000_peopl"/>
  </r>
  <r>
    <x v="7"/>
    <n v="13.676399999999999"/>
    <n v="-89.243300000000005"/>
    <n v="4"/>
    <n v="0"/>
    <n v="0"/>
    <n v="107"/>
    <s v="_x0000_peopl"/>
  </r>
  <r>
    <x v="7"/>
    <n v="13.676500000000001"/>
    <n v="-89.243399999999994"/>
    <n v="10"/>
    <n v="0"/>
    <n v="0"/>
    <n v="107"/>
    <s v="_x0000_peopl"/>
  </r>
  <r>
    <x v="7"/>
    <n v="13.676500000000001"/>
    <n v="-89.243399999999994"/>
    <n v="4"/>
    <n v="0"/>
    <n v="0"/>
    <n v="107"/>
    <s v="_x0000_peopl"/>
  </r>
  <r>
    <x v="7"/>
    <n v="13.676600000000001"/>
    <n v="-89.243600000000001"/>
    <n v="4"/>
    <n v="0"/>
    <n v="0"/>
    <n v="107"/>
    <s v="_x0000_peopl"/>
  </r>
  <r>
    <x v="7"/>
    <n v="13.6767"/>
    <n v="-89.243700000000004"/>
    <n v="8"/>
    <n v="0"/>
    <n v="0"/>
    <n v="107"/>
    <s v="_x0000_peopl"/>
  </r>
  <r>
    <x v="7"/>
    <n v="13.6767"/>
    <n v="-89.243799999999993"/>
    <n v="7"/>
    <n v="0"/>
    <n v="0"/>
    <n v="107"/>
    <s v="_x0000_peopl"/>
  </r>
  <r>
    <x v="7"/>
    <n v="13.6768"/>
    <n v="-89.243799999999993"/>
    <n v="9"/>
    <n v="0"/>
    <n v="0"/>
    <n v="107"/>
    <s v="_x0000_peopl"/>
  </r>
  <r>
    <x v="7"/>
    <n v="13.6768"/>
    <n v="-89.243899999999996"/>
    <n v="2"/>
    <n v="0"/>
    <n v="0"/>
    <n v="107"/>
    <s v="_x0000_peopl"/>
  </r>
  <r>
    <x v="7"/>
    <n v="13.6769"/>
    <n v="-89.244"/>
    <n v="4"/>
    <n v="0"/>
    <n v="0"/>
    <n v="107"/>
    <s v="_x0000_peopl"/>
  </r>
  <r>
    <x v="7"/>
    <n v="13.676"/>
    <n v="-89.243300000000005"/>
    <n v="3"/>
    <n v="0"/>
    <n v="0"/>
    <n v="107"/>
    <s v="_x0000_peopl"/>
  </r>
  <r>
    <x v="7"/>
    <n v="13.677"/>
    <n v="-89.243600000000001"/>
    <n v="9"/>
    <n v="0"/>
    <n v="0"/>
    <n v="107"/>
    <s v="_x0000_peopl"/>
  </r>
  <r>
    <x v="7"/>
    <n v="13.677"/>
    <n v="-89.243499999999997"/>
    <n v="2"/>
    <n v="0"/>
    <n v="0"/>
    <n v="107"/>
    <s v="_x0000_peopl"/>
  </r>
  <r>
    <x v="7"/>
    <n v="13.6769"/>
    <n v="-89.243399999999994"/>
    <n v="6"/>
    <n v="0"/>
    <n v="0"/>
    <n v="107"/>
    <s v="_x0000_peopl"/>
  </r>
  <r>
    <x v="7"/>
    <n v="13.6769"/>
    <n v="-89.243300000000005"/>
    <n v="5"/>
    <n v="0"/>
    <n v="0"/>
    <n v="107"/>
    <s v="_x0000_peopl"/>
  </r>
  <r>
    <x v="7"/>
    <n v="13.6768"/>
    <n v="-89.243300000000005"/>
    <n v="5"/>
    <n v="0"/>
    <n v="0"/>
    <n v="107"/>
    <s v="_x0000_peopl"/>
  </r>
  <r>
    <x v="7"/>
    <n v="13.6768"/>
    <n v="-89.243200000000002"/>
    <n v="6"/>
    <n v="0"/>
    <n v="0"/>
    <n v="107"/>
    <s v="_x0000_peopl"/>
  </r>
  <r>
    <x v="7"/>
    <n v="13.6768"/>
    <n v="-89.243099999999998"/>
    <n v="1"/>
    <n v="0"/>
    <n v="0"/>
    <n v="107"/>
    <s v="_x0000_peopl"/>
  </r>
  <r>
    <x v="7"/>
    <n v="13.677199999999999"/>
    <n v="-89.243300000000005"/>
    <n v="2"/>
    <n v="0"/>
    <n v="0"/>
    <n v="107"/>
    <s v="_x0000_peopl"/>
  </r>
  <r>
    <x v="7"/>
    <n v="13.677199999999999"/>
    <n v="-89.243200000000002"/>
    <n v="4"/>
    <n v="0"/>
    <n v="0"/>
    <n v="107"/>
    <s v="_x0000_peopl"/>
  </r>
  <r>
    <x v="7"/>
    <n v="13.677099999999999"/>
    <n v="-89.242999999999995"/>
    <n v="3"/>
    <n v="0"/>
    <n v="0"/>
    <n v="107"/>
    <s v="_x0000_peopl"/>
  </r>
  <r>
    <x v="7"/>
    <n v="13.677"/>
    <n v="-89.242900000000006"/>
    <n v="4"/>
    <n v="0"/>
    <n v="0"/>
    <n v="107"/>
    <s v="_x0000_peopl"/>
  </r>
  <r>
    <x v="7"/>
    <n v="13.677"/>
    <n v="-89.242800000000003"/>
    <n v="8"/>
    <n v="0"/>
    <n v="0"/>
    <n v="107"/>
    <s v="_x0000_peopl"/>
  </r>
  <r>
    <x v="7"/>
    <n v="13.6774"/>
    <n v="-89.242999999999995"/>
    <n v="3"/>
    <n v="0"/>
    <n v="0"/>
    <n v="107"/>
    <s v="_x0000_peopl"/>
  </r>
  <r>
    <x v="7"/>
    <n v="13.6774"/>
    <n v="-89.242900000000006"/>
    <n v="6"/>
    <n v="0"/>
    <n v="0"/>
    <n v="107"/>
    <s v="_x0000_peopl"/>
  </r>
  <r>
    <x v="7"/>
    <n v="13.677300000000001"/>
    <n v="-89.242900000000006"/>
    <n v="0"/>
    <n v="0"/>
    <n v="0"/>
    <n v="107"/>
    <s v="_x0000_peopl"/>
  </r>
  <r>
    <x v="7"/>
    <n v="13.677300000000001"/>
    <n v="-89.242800000000003"/>
    <n v="6"/>
    <n v="0"/>
    <n v="0"/>
    <n v="107"/>
    <s v="_x0000_peopl"/>
  </r>
  <r>
    <x v="7"/>
    <n v="13.677199999999999"/>
    <n v="-89.242699999999999"/>
    <n v="3"/>
    <n v="0"/>
    <n v="0"/>
    <n v="107"/>
    <s v="_x0000_peopl"/>
  </r>
  <r>
    <x v="7"/>
    <n v="13.6775"/>
    <n v="-89.242500000000007"/>
    <n v="1"/>
    <n v="0"/>
    <n v="0"/>
    <n v="107"/>
    <s v="_x0000_peopl"/>
  </r>
  <r>
    <x v="7"/>
    <n v="13.6777"/>
    <n v="-89.242999999999995"/>
    <n v="6"/>
    <n v="0"/>
    <n v="0"/>
    <n v="107"/>
    <s v="_x0000_peopl"/>
  </r>
  <r>
    <x v="7"/>
    <n v="13.6777"/>
    <n v="-89.242900000000006"/>
    <n v="1"/>
    <n v="0"/>
    <n v="0"/>
    <n v="107"/>
    <s v="_x0000_peopl"/>
  </r>
  <r>
    <x v="7"/>
    <n v="13.6778"/>
    <n v="-89.242800000000003"/>
    <n v="6"/>
    <n v="0"/>
    <n v="0"/>
    <n v="107"/>
    <s v="_x0000_peopl"/>
  </r>
  <r>
    <x v="7"/>
    <n v="13.6778"/>
    <n v="-89.242699999999999"/>
    <n v="7"/>
    <n v="0"/>
    <n v="0"/>
    <n v="107"/>
    <s v="_x0000_peopl"/>
  </r>
  <r>
    <x v="7"/>
    <n v="13.6778"/>
    <n v="-89.242699999999999"/>
    <n v="7"/>
    <n v="0"/>
    <n v="0"/>
    <n v="107"/>
    <s v="_x0000_peopl"/>
  </r>
  <r>
    <x v="7"/>
    <n v="13.6778"/>
    <n v="-89.242500000000007"/>
    <n v="3"/>
    <n v="0"/>
    <n v="0"/>
    <n v="107"/>
    <s v="_x0000_peopl"/>
  </r>
  <r>
    <x v="7"/>
    <n v="13.6778"/>
    <n v="-89.242500000000007"/>
    <n v="4"/>
    <n v="0"/>
    <n v="0"/>
    <n v="107"/>
    <s v="_x0000_peopl"/>
  </r>
  <r>
    <x v="7"/>
    <n v="13.678000000000001"/>
    <n v="-89.242999999999995"/>
    <n v="3"/>
    <n v="0"/>
    <n v="0"/>
    <n v="107"/>
    <s v="_x0000_peopl"/>
  </r>
  <r>
    <x v="7"/>
    <n v="13.678100000000001"/>
    <n v="-89.242900000000006"/>
    <n v="8"/>
    <n v="0"/>
    <n v="0"/>
    <n v="107"/>
    <s v="_x0000_peopl"/>
  </r>
  <r>
    <x v="7"/>
    <n v="13.6784"/>
    <n v="-89.243200000000002"/>
    <n v="8"/>
    <n v="0"/>
    <n v="0"/>
    <n v="107"/>
    <s v="_x0000_peopl"/>
  </r>
  <r>
    <x v="7"/>
    <n v="13.6784"/>
    <n v="-89.243200000000002"/>
    <n v="6"/>
    <n v="0"/>
    <n v="0"/>
    <n v="107"/>
    <s v="_x0000_peopl"/>
  </r>
  <r>
    <x v="7"/>
    <n v="13.6783"/>
    <n v="-89.243200000000002"/>
    <n v="5"/>
    <n v="0"/>
    <n v="0"/>
    <n v="107"/>
    <s v="_x0000_peopl"/>
  </r>
  <r>
    <x v="7"/>
    <n v="13.6774"/>
    <n v="-89.243899999999996"/>
    <n v="6"/>
    <n v="0"/>
    <n v="0"/>
    <n v="107"/>
    <s v="_x0000_peopl"/>
  </r>
  <r>
    <x v="7"/>
    <n v="13.6774"/>
    <n v="-89.244100000000003"/>
    <n v="7"/>
    <n v="0"/>
    <n v="0"/>
    <n v="107"/>
    <s v="_x0000_peopl"/>
  </r>
  <r>
    <x v="7"/>
    <n v="13.6774"/>
    <n v="-89.244200000000006"/>
    <n v="3"/>
    <n v="0"/>
    <n v="0"/>
    <n v="107"/>
    <s v="_x0000_peopl"/>
  </r>
  <r>
    <x v="7"/>
    <n v="13.6775"/>
    <n v="-89.244299999999996"/>
    <n v="4"/>
    <n v="0"/>
    <n v="0"/>
    <n v="107"/>
    <s v="_x0000_peopl"/>
  </r>
  <r>
    <x v="7"/>
    <n v="13.6776"/>
    <n v="-89.244399999999999"/>
    <n v="5"/>
    <n v="0"/>
    <n v="0"/>
    <n v="107"/>
    <s v="_x0000_peopl"/>
  </r>
  <r>
    <x v="7"/>
    <n v="13.6777"/>
    <n v="-89.244399999999999"/>
    <n v="4"/>
    <n v="0"/>
    <n v="0"/>
    <n v="107"/>
    <s v="_x0000_peopl"/>
  </r>
  <r>
    <x v="7"/>
    <n v="13.6778"/>
    <n v="-89.244500000000002"/>
    <n v="4"/>
    <n v="0"/>
    <n v="0"/>
    <n v="107"/>
    <s v="_x0000_peopl"/>
  </r>
  <r>
    <x v="7"/>
    <n v="13.6778"/>
    <n v="-89.244600000000005"/>
    <n v="8"/>
    <n v="0"/>
    <n v="0"/>
    <n v="107"/>
    <s v="_x0000_peopl"/>
  </r>
  <r>
    <x v="7"/>
    <n v="13.677899999999999"/>
    <n v="-89.244699999999995"/>
    <n v="7"/>
    <n v="0"/>
    <n v="0"/>
    <n v="107"/>
    <s v="_x0000_peopl"/>
  </r>
  <r>
    <x v="7"/>
    <n v="13.677099999999999"/>
    <n v="-89.242500000000007"/>
    <n v="1"/>
    <n v="0"/>
    <n v="0"/>
    <n v="107"/>
    <s v="_x0000_peopl"/>
  </r>
  <r>
    <x v="7"/>
    <n v="13.677099999999999"/>
    <n v="-89.242500000000007"/>
    <n v="4"/>
    <n v="0"/>
    <n v="0"/>
    <n v="107"/>
    <s v="_x0000_peopl"/>
  </r>
  <r>
    <x v="7"/>
    <n v="13.6774"/>
    <n v="-89.242400000000004"/>
    <n v="5"/>
    <n v="0"/>
    <n v="0"/>
    <n v="107"/>
    <s v="_x0000_peopl"/>
  </r>
  <r>
    <x v="7"/>
    <n v="13.6769"/>
    <n v="-89.242699999999999"/>
    <n v="4"/>
    <n v="0"/>
    <n v="0"/>
    <n v="107"/>
    <s v="_x0000_peopl"/>
  </r>
  <r>
    <x v="7"/>
    <n v="13.676299999999999"/>
    <n v="-89.242999999999995"/>
    <n v="5"/>
    <n v="0"/>
    <n v="0"/>
    <n v="107"/>
    <s v="_x0000_peopl"/>
  </r>
  <r>
    <x v="7"/>
    <n v="13.679399999999999"/>
    <n v="-89.244100000000003"/>
    <n v="2"/>
    <n v="0"/>
    <n v="0"/>
    <n v="107"/>
    <s v="_x0000_peopl"/>
  </r>
  <r>
    <x v="7"/>
    <n v="13.679399999999999"/>
    <n v="-89.244100000000003"/>
    <n v="8"/>
    <n v="0"/>
    <n v="0"/>
    <n v="107"/>
    <s v="_x0000_peopl"/>
  </r>
  <r>
    <x v="7"/>
    <n v="13.679399999999999"/>
    <n v="-89.244100000000003"/>
    <n v="3"/>
    <n v="0"/>
    <n v="0"/>
    <n v="107"/>
    <s v="_x0000_peopl"/>
  </r>
  <r>
    <x v="7"/>
    <n v="13.679399999999999"/>
    <n v="-89.244"/>
    <n v="8"/>
    <n v="0"/>
    <n v="0"/>
    <n v="107"/>
    <s v="_x0000_peopl"/>
  </r>
  <r>
    <x v="7"/>
    <n v="13.6793"/>
    <n v="-89.244"/>
    <n v="3"/>
    <n v="0"/>
    <n v="0"/>
    <n v="107"/>
    <s v="_x0000_peopl"/>
  </r>
  <r>
    <x v="7"/>
    <n v="13.6793"/>
    <n v="-89.244"/>
    <n v="1"/>
    <n v="0"/>
    <n v="0"/>
    <n v="107"/>
    <s v="_x0000_peopl"/>
  </r>
  <r>
    <x v="7"/>
    <n v="13.6792"/>
    <n v="-89.244"/>
    <n v="5"/>
    <n v="0"/>
    <n v="0"/>
    <n v="107"/>
    <s v="_x0000_peopl"/>
  </r>
  <r>
    <x v="7"/>
    <n v="13.6792"/>
    <n v="-89.243899999999996"/>
    <n v="4"/>
    <n v="0"/>
    <n v="0"/>
    <n v="107"/>
    <s v="_x0000_peopl"/>
  </r>
  <r>
    <x v="7"/>
    <n v="13.6792"/>
    <n v="-89.243899999999996"/>
    <n v="4"/>
    <n v="0"/>
    <n v="0"/>
    <n v="107"/>
    <s v="_x0000_peopl"/>
  </r>
  <r>
    <x v="7"/>
    <n v="13.6791"/>
    <n v="-89.243899999999996"/>
    <n v="2"/>
    <n v="0"/>
    <n v="0"/>
    <n v="107"/>
    <s v="_x0000_peopl"/>
  </r>
  <r>
    <x v="7"/>
    <n v="13.6791"/>
    <n v="-89.243799999999993"/>
    <n v="5"/>
    <n v="0"/>
    <n v="0"/>
    <n v="107"/>
    <s v="_x0000_peopl"/>
  </r>
  <r>
    <x v="7"/>
    <n v="13.678800000000001"/>
    <n v="-89.243799999999993"/>
    <n v="5"/>
    <n v="0"/>
    <n v="0"/>
    <n v="107"/>
    <s v="_x0000_peopl"/>
  </r>
  <r>
    <x v="7"/>
    <n v="13.678699999999999"/>
    <n v="-89.243799999999993"/>
    <n v="6"/>
    <n v="0"/>
    <n v="0"/>
    <n v="107"/>
    <s v="_x0000_peopl"/>
  </r>
  <r>
    <x v="7"/>
    <n v="13.678699999999999"/>
    <n v="-89.243700000000004"/>
    <n v="9"/>
    <n v="0"/>
    <n v="0"/>
    <n v="107"/>
    <s v="_x0000_peopl"/>
  </r>
  <r>
    <x v="7"/>
    <n v="13.678699999999999"/>
    <n v="-89.243700000000004"/>
    <n v="1"/>
    <n v="0"/>
    <n v="0"/>
    <n v="107"/>
    <s v="_x0000_peopl"/>
  </r>
  <r>
    <x v="7"/>
    <n v="13.678699999999999"/>
    <n v="-89.243600000000001"/>
    <n v="6"/>
    <n v="0"/>
    <n v="0"/>
    <n v="107"/>
    <s v="_x0000_peopl"/>
  </r>
  <r>
    <x v="7"/>
    <n v="13.678599999999999"/>
    <n v="-89.243600000000001"/>
    <n v="3"/>
    <n v="0"/>
    <n v="0"/>
    <n v="107"/>
    <s v="_x0000_peopl"/>
  </r>
  <r>
    <x v="7"/>
    <n v="13.678599999999999"/>
    <n v="-89.243600000000001"/>
    <n v="1"/>
    <n v="0"/>
    <n v="0"/>
    <n v="107"/>
    <s v="_x0000_peopl"/>
  </r>
  <r>
    <x v="7"/>
    <n v="13.678599999999999"/>
    <n v="-89.243499999999997"/>
    <n v="8"/>
    <n v="0"/>
    <n v="0"/>
    <n v="107"/>
    <s v="_x0000_peopl"/>
  </r>
  <r>
    <x v="7"/>
    <n v="13.6785"/>
    <n v="-89.243499999999997"/>
    <n v="4"/>
    <n v="0"/>
    <n v="0"/>
    <n v="107"/>
    <s v="_x0000_peopl"/>
  </r>
  <r>
    <x v="7"/>
    <n v="13.6785"/>
    <n v="-89.243399999999994"/>
    <n v="1"/>
    <n v="0"/>
    <n v="0"/>
    <n v="107"/>
    <s v="_x0000_peopl"/>
  </r>
  <r>
    <x v="7"/>
    <n v="13.6785"/>
    <n v="-89.243399999999994"/>
    <n v="3"/>
    <n v="0"/>
    <n v="0"/>
    <n v="107"/>
    <s v="_x0000_peopl"/>
  </r>
  <r>
    <x v="7"/>
    <n v="13.6785"/>
    <n v="-89.243300000000005"/>
    <n v="4"/>
    <n v="0"/>
    <n v="0"/>
    <n v="107"/>
    <s v="_x0000_peopl"/>
  </r>
  <r>
    <x v="7"/>
    <n v="13.6784"/>
    <n v="-89.243300000000005"/>
    <n v="9"/>
    <n v="0"/>
    <n v="0"/>
    <n v="107"/>
    <s v="_x0000_peopl"/>
  </r>
  <r>
    <x v="7"/>
    <n v="13.6785"/>
    <n v="-89.243200000000002"/>
    <n v="8"/>
    <n v="0"/>
    <n v="0"/>
    <n v="107"/>
    <s v="_x0000_peopl"/>
  </r>
  <r>
    <x v="7"/>
    <n v="13.678599999999999"/>
    <n v="-89.243200000000002"/>
    <n v="5"/>
    <n v="0"/>
    <n v="0"/>
    <n v="107"/>
    <s v="_x0000_peopl"/>
  </r>
  <r>
    <x v="7"/>
    <n v="13.678599999999999"/>
    <n v="-89.243200000000002"/>
    <n v="2"/>
    <n v="0"/>
    <n v="0"/>
    <n v="107"/>
    <s v="_x0000_peopl"/>
  </r>
  <r>
    <x v="7"/>
    <n v="13.678699999999999"/>
    <n v="-89.243200000000002"/>
    <n v="5"/>
    <n v="0"/>
    <n v="0"/>
    <n v="107"/>
    <s v="_x0000_peopl"/>
  </r>
  <r>
    <x v="7"/>
    <n v="13.678699999999999"/>
    <n v="-89.243200000000002"/>
    <n v="2"/>
    <n v="0"/>
    <n v="0"/>
    <n v="107"/>
    <s v="_x0000_peopl"/>
  </r>
  <r>
    <x v="7"/>
    <n v="13.678699999999999"/>
    <n v="-89.243200000000002"/>
    <n v="6"/>
    <n v="0"/>
    <n v="0"/>
    <n v="107"/>
    <s v="_x0000_peopl"/>
  </r>
  <r>
    <x v="7"/>
    <n v="13.678699999999999"/>
    <n v="-89.243300000000005"/>
    <n v="9"/>
    <n v="0"/>
    <n v="0"/>
    <n v="107"/>
    <s v="_x0000_peopl"/>
  </r>
  <r>
    <x v="7"/>
    <n v="13.678699999999999"/>
    <n v="-89.243300000000005"/>
    <n v="7"/>
    <n v="0"/>
    <n v="0"/>
    <n v="107"/>
    <s v="_x0000_peopl"/>
  </r>
  <r>
    <x v="7"/>
    <n v="13.678800000000001"/>
    <n v="-89.243399999999994"/>
    <n v="5"/>
    <n v="0"/>
    <n v="0"/>
    <n v="107"/>
    <s v="_x0000_peopl"/>
  </r>
  <r>
    <x v="7"/>
    <n v="13.678800000000001"/>
    <n v="-89.243399999999994"/>
    <n v="4"/>
    <n v="0"/>
    <n v="0"/>
    <n v="107"/>
    <s v="_x0000_peopl"/>
  </r>
  <r>
    <x v="7"/>
    <n v="13.678800000000001"/>
    <n v="-89.243499999999997"/>
    <n v="3"/>
    <n v="0"/>
    <n v="0"/>
    <n v="107"/>
    <s v="_x0000_peopl"/>
  </r>
  <r>
    <x v="7"/>
    <n v="13.678800000000001"/>
    <n v="-89.243600000000001"/>
    <n v="3"/>
    <n v="0"/>
    <n v="0"/>
    <n v="107"/>
    <s v="_x0000_peopl"/>
  </r>
  <r>
    <x v="7"/>
    <n v="13.678900000000001"/>
    <n v="-89.243700000000004"/>
    <n v="4"/>
    <n v="0"/>
    <n v="0"/>
    <n v="107"/>
    <s v="_x0000_peopl"/>
  </r>
  <r>
    <x v="7"/>
    <n v="13.678900000000001"/>
    <n v="-89.243700000000004"/>
    <n v="2"/>
    <n v="0"/>
    <n v="0"/>
    <n v="107"/>
    <s v="_x0000_peopl"/>
  </r>
  <r>
    <x v="7"/>
    <n v="13.678900000000001"/>
    <n v="-89.243799999999993"/>
    <n v="6"/>
    <n v="0"/>
    <n v="0"/>
    <n v="107"/>
    <s v="_x0000_peopl"/>
  </r>
  <r>
    <x v="7"/>
    <n v="13.6793"/>
    <n v="-89.243799999999993"/>
    <n v="6"/>
    <n v="0"/>
    <n v="0"/>
    <n v="107"/>
    <s v="_x0000_peopl"/>
  </r>
  <r>
    <x v="7"/>
    <n v="13.6793"/>
    <n v="-89.243700000000004"/>
    <n v="5"/>
    <n v="0"/>
    <n v="0"/>
    <n v="107"/>
    <s v="_x0000_peopl"/>
  </r>
  <r>
    <x v="7"/>
    <n v="13.679399999999999"/>
    <n v="-89.243700000000004"/>
    <n v="4"/>
    <n v="0"/>
    <n v="0"/>
    <n v="107"/>
    <s v="_x0000_peopl"/>
  </r>
  <r>
    <x v="7"/>
    <n v="13.679500000000001"/>
    <n v="-89.243700000000004"/>
    <n v="2"/>
    <n v="0"/>
    <n v="0"/>
    <n v="107"/>
    <s v="_x0000_peopl"/>
  </r>
  <r>
    <x v="7"/>
    <n v="13.679500000000001"/>
    <n v="-89.243700000000004"/>
    <n v="2"/>
    <n v="0"/>
    <n v="0"/>
    <n v="107"/>
    <s v="_x0000_peopl"/>
  </r>
  <r>
    <x v="7"/>
    <n v="13.679399999999999"/>
    <n v="-89.243899999999996"/>
    <n v="5"/>
    <n v="0"/>
    <n v="0"/>
    <n v="107"/>
    <s v="_x0000_peopl"/>
  </r>
  <r>
    <x v="7"/>
    <n v="13.679500000000001"/>
    <n v="-89.243899999999996"/>
    <n v="2"/>
    <n v="0"/>
    <n v="0"/>
    <n v="107"/>
    <s v="_x0000_peopl"/>
  </r>
  <r>
    <x v="7"/>
    <n v="13.6798"/>
    <n v="-89.242999999999995"/>
    <n v="4"/>
    <n v="0"/>
    <n v="0"/>
    <n v="107"/>
    <s v="_x0000_peopl"/>
  </r>
  <r>
    <x v="7"/>
    <n v="13.6798"/>
    <n v="-89.242900000000006"/>
    <n v="6"/>
    <n v="0"/>
    <n v="0"/>
    <n v="107"/>
    <s v="_x0000_peopl"/>
  </r>
  <r>
    <x v="7"/>
    <n v="13.6798"/>
    <n v="-89.242900000000006"/>
    <n v="5"/>
    <n v="0"/>
    <n v="0"/>
    <n v="107"/>
    <s v="_x0000_peopl"/>
  </r>
  <r>
    <x v="7"/>
    <n v="13.6798"/>
    <n v="-89.242900000000006"/>
    <n v="6"/>
    <n v="0"/>
    <n v="0"/>
    <n v="107"/>
    <s v="_x0000_peopl"/>
  </r>
  <r>
    <x v="7"/>
    <n v="13.6799"/>
    <n v="-89.242900000000006"/>
    <n v="2"/>
    <n v="0"/>
    <n v="0"/>
    <n v="107"/>
    <s v="_x0000_peopl"/>
  </r>
  <r>
    <x v="7"/>
    <n v="13.680300000000001"/>
    <n v="-89.243899999999996"/>
    <n v="3"/>
    <n v="0"/>
    <n v="0"/>
    <n v="107"/>
    <s v="_x0000_peopl"/>
  </r>
  <r>
    <x v="7"/>
    <n v="13.690799999999999"/>
    <n v="-89.226699999999994"/>
    <n v="6"/>
    <n v="0"/>
    <n v="0"/>
    <n v="107"/>
    <s v="_x0000_peopl"/>
  </r>
  <r>
    <x v="7"/>
    <n v="13.690799999999999"/>
    <n v="-89.226799999999997"/>
    <n v="1"/>
    <n v="0"/>
    <n v="0"/>
    <n v="107"/>
    <s v="_x0000_peopl"/>
  </r>
  <r>
    <x v="7"/>
    <n v="13.690799999999999"/>
    <n v="-89.226200000000006"/>
    <n v="6"/>
    <n v="0"/>
    <n v="0"/>
    <n v="107"/>
    <s v="_x0000_peopl"/>
  </r>
  <r>
    <x v="7"/>
    <n v="13.690899999999999"/>
    <n v="-89.226299999999995"/>
    <n v="5"/>
    <n v="0"/>
    <n v="0"/>
    <n v="107"/>
    <s v="_x0000_peopl"/>
  </r>
  <r>
    <x v="7"/>
    <n v="13.691000000000001"/>
    <n v="-89.226299999999995"/>
    <n v="8"/>
    <n v="0"/>
    <n v="0"/>
    <n v="107"/>
    <s v="_x0000_peopl"/>
  </r>
  <r>
    <x v="7"/>
    <n v="13.6912"/>
    <n v="-89.225999999999999"/>
    <n v="4"/>
    <n v="0"/>
    <n v="0"/>
    <n v="107"/>
    <s v="_x0000_peopl"/>
  </r>
  <r>
    <x v="7"/>
    <n v="13.6911"/>
    <n v="-89.225999999999999"/>
    <n v="7"/>
    <n v="0"/>
    <n v="0"/>
    <n v="107"/>
    <s v="_x0000_peopl"/>
  </r>
  <r>
    <x v="7"/>
    <n v="13.690899999999999"/>
    <n v="-89.225999999999999"/>
    <n v="6"/>
    <n v="0"/>
    <n v="0"/>
    <n v="107"/>
    <s v="_x0000_peopl"/>
  </r>
  <r>
    <x v="7"/>
    <n v="13.690300000000001"/>
    <n v="-89.227000000000004"/>
    <n v="4"/>
    <n v="0"/>
    <n v="0"/>
    <n v="107"/>
    <s v="_x0000_peopl"/>
  </r>
  <r>
    <x v="7"/>
    <n v="13.690200000000001"/>
    <n v="-89.226600000000005"/>
    <n v="11"/>
    <n v="0"/>
    <n v="0"/>
    <n v="107"/>
    <s v="_x0000_peopl"/>
  </r>
  <r>
    <x v="7"/>
    <n v="13.690099999999999"/>
    <n v="-89.226600000000005"/>
    <n v="3"/>
    <n v="0"/>
    <n v="0"/>
    <n v="107"/>
    <s v="_x0000_peopl"/>
  </r>
  <r>
    <x v="7"/>
    <n v="13.690099999999999"/>
    <n v="-89.226799999999997"/>
    <n v="3"/>
    <n v="0"/>
    <n v="0"/>
    <n v="107"/>
    <s v="_x0000_peopl"/>
  </r>
  <r>
    <x v="7"/>
    <n v="13.690300000000001"/>
    <n v="-89.226200000000006"/>
    <n v="1"/>
    <n v="0"/>
    <n v="0"/>
    <n v="107"/>
    <s v="_x0000_peopl"/>
  </r>
  <r>
    <x v="7"/>
    <n v="13.690300000000001"/>
    <n v="-89.226200000000006"/>
    <n v="6"/>
    <n v="0"/>
    <n v="0"/>
    <n v="107"/>
    <s v="_x0000_peopl"/>
  </r>
  <r>
    <x v="7"/>
    <n v="13.690300000000001"/>
    <n v="-89.226100000000002"/>
    <n v="9"/>
    <n v="0"/>
    <n v="0"/>
    <n v="107"/>
    <s v="_x0000_peopl"/>
  </r>
  <r>
    <x v="7"/>
    <n v="13.690300000000001"/>
    <n v="-89.226100000000002"/>
    <n v="5"/>
    <n v="0"/>
    <n v="0"/>
    <n v="107"/>
    <s v="_x0000_peopl"/>
  </r>
  <r>
    <x v="7"/>
    <n v="13.690200000000001"/>
    <n v="-89.226100000000002"/>
    <n v="4"/>
    <n v="0"/>
    <n v="0"/>
    <n v="107"/>
    <s v="_x0000_peopl"/>
  </r>
  <r>
    <x v="7"/>
    <n v="13.690200000000001"/>
    <n v="-89.226100000000002"/>
    <n v="7"/>
    <n v="0"/>
    <n v="0"/>
    <n v="107"/>
    <s v="_x0000_peopl"/>
  </r>
  <r>
    <x v="7"/>
    <n v="13.690099999999999"/>
    <n v="-89.226100000000002"/>
    <n v="2"/>
    <n v="0"/>
    <n v="0"/>
    <n v="107"/>
    <s v="_x0000_peopl"/>
  </r>
  <r>
    <x v="7"/>
    <n v="13.690099999999999"/>
    <n v="-89.226100000000002"/>
    <n v="3"/>
    <n v="0"/>
    <n v="0"/>
    <n v="107"/>
    <s v="_x0000_peopl"/>
  </r>
  <r>
    <x v="7"/>
    <n v="13.690200000000001"/>
    <n v="-89.226200000000006"/>
    <n v="4"/>
    <n v="0"/>
    <n v="0"/>
    <n v="107"/>
    <s v="_x0000_peopl"/>
  </r>
  <r>
    <x v="7"/>
    <n v="13.690200000000001"/>
    <n v="-89.226200000000006"/>
    <n v="4"/>
    <n v="0"/>
    <n v="0"/>
    <n v="107"/>
    <s v="_x0000_peopl"/>
  </r>
  <r>
    <x v="7"/>
    <n v="13.6906"/>
    <n v="-89.226500000000001"/>
    <n v="6"/>
    <n v="0"/>
    <n v="0"/>
    <n v="107"/>
    <s v="_x0000_peopl"/>
  </r>
  <r>
    <x v="7"/>
    <n v="13.6906"/>
    <n v="-89.226399999999998"/>
    <n v="7"/>
    <n v="0"/>
    <n v="0"/>
    <n v="107"/>
    <s v="_x0000_peopl"/>
  </r>
  <r>
    <x v="7"/>
    <n v="13.6906"/>
    <n v="-89.226299999999995"/>
    <n v="1"/>
    <n v="0"/>
    <n v="0"/>
    <n v="107"/>
    <s v="_x0000_peopl"/>
  </r>
  <r>
    <x v="7"/>
    <n v="13.6906"/>
    <n v="-89.226200000000006"/>
    <n v="6"/>
    <n v="0"/>
    <n v="0"/>
    <n v="107"/>
    <s v="_x0000_peopl"/>
  </r>
  <r>
    <x v="7"/>
    <n v="13.6906"/>
    <n v="-89.226100000000002"/>
    <n v="7"/>
    <n v="0"/>
    <n v="0"/>
    <n v="107"/>
    <s v="_x0000_peopl"/>
  </r>
  <r>
    <x v="7"/>
    <n v="13.6897"/>
    <n v="-89.225999999999999"/>
    <n v="2"/>
    <n v="0"/>
    <n v="0"/>
    <n v="107"/>
    <s v="_x0000_peopl"/>
  </r>
  <r>
    <x v="7"/>
    <n v="13.6897"/>
    <n v="-89.226299999999995"/>
    <n v="5"/>
    <n v="0"/>
    <n v="0"/>
    <n v="107"/>
    <s v="_x0000_peopl"/>
  </r>
  <r>
    <x v="7"/>
    <n v="13.6899"/>
    <n v="-89.226399999999998"/>
    <n v="7"/>
    <n v="0"/>
    <n v="0"/>
    <n v="107"/>
    <s v="_x0000_peopl"/>
  </r>
  <r>
    <x v="7"/>
    <n v="13.69"/>
    <n v="-89.226600000000005"/>
    <n v="4"/>
    <n v="0"/>
    <n v="0"/>
    <n v="107"/>
    <s v="_x0000_peopl"/>
  </r>
  <r>
    <x v="7"/>
    <n v="13.69"/>
    <n v="-89.226900000000001"/>
    <n v="10"/>
    <n v="0"/>
    <n v="0"/>
    <n v="107"/>
    <s v="_x0000_peopl"/>
  </r>
  <r>
    <x v="7"/>
    <n v="13.6896"/>
    <n v="-89.227000000000004"/>
    <n v="10"/>
    <n v="0"/>
    <n v="0"/>
    <n v="107"/>
    <s v="_x0000_peopl"/>
  </r>
  <r>
    <x v="7"/>
    <n v="13.6896"/>
    <n v="-89.226900000000001"/>
    <n v="2"/>
    <n v="0"/>
    <n v="0"/>
    <n v="107"/>
    <s v="_x0000_peopl"/>
  </r>
  <r>
    <x v="7"/>
    <n v="13.6897"/>
    <n v="-89.226799999999997"/>
    <n v="3"/>
    <n v="0"/>
    <n v="0"/>
    <n v="107"/>
    <s v="_x0000_peopl"/>
  </r>
  <r>
    <x v="7"/>
    <n v="13.6897"/>
    <n v="-89.226699999999994"/>
    <n v="4"/>
    <n v="0"/>
    <n v="0"/>
    <n v="107"/>
    <s v="_x0000_peopl"/>
  </r>
  <r>
    <x v="7"/>
    <n v="13.689299999999999"/>
    <n v="-89.227400000000003"/>
    <n v="10"/>
    <n v="0"/>
    <n v="0"/>
    <n v="107"/>
    <s v="_x0000_peopl"/>
  </r>
  <r>
    <x v="7"/>
    <n v="13.6891"/>
    <n v="-89.227099999999993"/>
    <n v="7"/>
    <n v="0"/>
    <n v="0"/>
    <n v="107"/>
    <s v="_x0000_peopl"/>
  </r>
  <r>
    <x v="7"/>
    <n v="13.6889"/>
    <n v="-89.226799999999997"/>
    <n v="2"/>
    <n v="0"/>
    <n v="0"/>
    <n v="107"/>
    <s v="_x0000_peopl"/>
  </r>
  <r>
    <x v="7"/>
    <n v="13.6892"/>
    <n v="-89.226699999999994"/>
    <n v="6"/>
    <n v="0"/>
    <n v="0"/>
    <n v="107"/>
    <s v="_x0000_peopl"/>
  </r>
  <r>
    <x v="7"/>
    <n v="13.689299999999999"/>
    <n v="-89.226500000000001"/>
    <n v="9"/>
    <n v="0"/>
    <n v="0"/>
    <n v="107"/>
    <s v="_x0000_peopl"/>
  </r>
  <r>
    <x v="7"/>
    <n v="13.689500000000001"/>
    <n v="-89.225899999999996"/>
    <n v="6"/>
    <n v="0"/>
    <n v="0"/>
    <n v="107"/>
    <s v="_x0000_peopl"/>
  </r>
  <r>
    <x v="7"/>
    <n v="13.689500000000001"/>
    <n v="-89.225800000000007"/>
    <n v="5"/>
    <n v="0"/>
    <n v="0"/>
    <n v="107"/>
    <s v="_x0000_peopl"/>
  </r>
  <r>
    <x v="7"/>
    <n v="13.6896"/>
    <n v="-89.225499999999997"/>
    <n v="5"/>
    <n v="0"/>
    <n v="0"/>
    <n v="107"/>
    <s v="_x0000_peopl"/>
  </r>
  <r>
    <x v="7"/>
    <n v="13.6898"/>
    <n v="-89.224900000000005"/>
    <n v="7"/>
    <n v="0"/>
    <n v="0"/>
    <n v="107"/>
    <s v="_x0000_peopl"/>
  </r>
  <r>
    <x v="7"/>
    <n v="13.6899"/>
    <n v="-89.224699999999999"/>
    <n v="6"/>
    <n v="0"/>
    <n v="0"/>
    <n v="107"/>
    <s v="_x0000_peopl"/>
  </r>
  <r>
    <x v="7"/>
    <n v="13.69"/>
    <n v="-89.224500000000006"/>
    <n v="5"/>
    <n v="0"/>
    <n v="0"/>
    <n v="107"/>
    <s v="_x0000_peopl"/>
  </r>
  <r>
    <x v="7"/>
    <n v="13.6897"/>
    <n v="-89.224100000000007"/>
    <n v="5"/>
    <n v="0"/>
    <n v="0"/>
    <n v="107"/>
    <s v="_x0000_peopl"/>
  </r>
  <r>
    <x v="7"/>
    <n v="13.6896"/>
    <n v="-89.223299999999995"/>
    <n v="8"/>
    <n v="0"/>
    <n v="0"/>
    <n v="107"/>
    <s v="_x0000_peopl"/>
  </r>
  <r>
    <x v="7"/>
    <n v="13.6899"/>
    <n v="-89.223200000000006"/>
    <n v="5"/>
    <n v="0"/>
    <n v="0"/>
    <n v="107"/>
    <s v="_x0000_peopl"/>
  </r>
  <r>
    <x v="7"/>
    <n v="13.690200000000001"/>
    <n v="-89.223200000000006"/>
    <n v="4"/>
    <n v="0"/>
    <n v="0"/>
    <n v="107"/>
    <s v="_x0000_peopl"/>
  </r>
  <r>
    <x v="7"/>
    <n v="13.6904"/>
    <n v="-89.222800000000007"/>
    <n v="5"/>
    <n v="0"/>
    <n v="0"/>
    <n v="107"/>
    <s v="_x0000_peopl"/>
  </r>
  <r>
    <x v="7"/>
    <n v="13.690899999999999"/>
    <n v="-89.223100000000002"/>
    <n v="6"/>
    <n v="0"/>
    <n v="0"/>
    <n v="107"/>
    <s v="_x0000_peopl"/>
  </r>
  <r>
    <x v="7"/>
    <n v="13.690899999999999"/>
    <n v="-89.223100000000002"/>
    <n v="9"/>
    <n v="0"/>
    <n v="0"/>
    <n v="107"/>
    <s v="_x0000_peopl"/>
  </r>
  <r>
    <x v="7"/>
    <n v="13.691000000000001"/>
    <n v="-89.222999999999999"/>
    <n v="4"/>
    <n v="0"/>
    <n v="0"/>
    <n v="107"/>
    <s v="_x0000_peopl"/>
  </r>
  <r>
    <x v="7"/>
    <n v="13.691000000000001"/>
    <n v="-89.223100000000002"/>
    <n v="3"/>
    <n v="0"/>
    <n v="0"/>
    <n v="107"/>
    <s v="_x0000_peopl"/>
  </r>
  <r>
    <x v="7"/>
    <n v="13.690899999999999"/>
    <n v="-89.223299999999995"/>
    <n v="4"/>
    <n v="0"/>
    <n v="0"/>
    <n v="107"/>
    <s v="_x0000_peopl"/>
  </r>
  <r>
    <x v="7"/>
    <n v="13.690899999999999"/>
    <n v="-89.223500000000001"/>
    <n v="4"/>
    <n v="0"/>
    <n v="0"/>
    <n v="107"/>
    <s v="_x0000_peopl"/>
  </r>
  <r>
    <x v="7"/>
    <n v="13.691000000000001"/>
    <n v="-89.223799999999997"/>
    <n v="10"/>
    <n v="0"/>
    <n v="0"/>
    <n v="107"/>
    <s v="_x0000_peopl"/>
  </r>
  <r>
    <x v="7"/>
    <n v="13.691000000000001"/>
    <n v="-89.2239"/>
    <n v="3"/>
    <n v="0"/>
    <n v="0"/>
    <n v="107"/>
    <s v="_x0000_peopl"/>
  </r>
  <r>
    <x v="7"/>
    <n v="13.691000000000001"/>
    <n v="-89.224100000000007"/>
    <n v="5"/>
    <n v="0"/>
    <n v="0"/>
    <n v="107"/>
    <s v="_x0000_peopl"/>
  </r>
  <r>
    <x v="7"/>
    <n v="13.690899999999999"/>
    <n v="-89.224299999999999"/>
    <n v="7"/>
    <n v="0"/>
    <n v="0"/>
    <n v="107"/>
    <s v="_x0000_peopl"/>
  </r>
  <r>
    <x v="7"/>
    <n v="13.690899999999999"/>
    <n v="-89.224500000000006"/>
    <n v="4"/>
    <n v="0"/>
    <n v="0"/>
    <n v="107"/>
    <s v="_x0000_peopl"/>
  </r>
  <r>
    <x v="7"/>
    <n v="13.6904"/>
    <n v="-89.225800000000007"/>
    <n v="5"/>
    <n v="0"/>
    <n v="0"/>
    <n v="107"/>
    <s v="_x0000_peopl"/>
  </r>
  <r>
    <x v="7"/>
    <n v="13.6906"/>
    <n v="-89.2256"/>
    <n v="7"/>
    <n v="0"/>
    <n v="0"/>
    <n v="107"/>
    <s v="_x0000_peopl"/>
  </r>
  <r>
    <x v="7"/>
    <n v="13.6906"/>
    <n v="-89.225399999999993"/>
    <n v="3"/>
    <n v="0"/>
    <n v="0"/>
    <n v="107"/>
    <s v="_x0000_peopl"/>
  </r>
  <r>
    <x v="7"/>
    <n v="13.6907"/>
    <n v="-89.225200000000001"/>
    <n v="2"/>
    <n v="0"/>
    <n v="0"/>
    <n v="107"/>
    <s v="_x0000_peopl"/>
  </r>
  <r>
    <x v="7"/>
    <n v="13.6907"/>
    <n v="-89.224999999999994"/>
    <n v="5"/>
    <n v="0"/>
    <n v="0"/>
    <n v="107"/>
    <s v="_x0000_peopl"/>
  </r>
  <r>
    <x v="7"/>
    <n v="13.6907"/>
    <n v="-89.224900000000005"/>
    <n v="9"/>
    <n v="0"/>
    <n v="0"/>
    <n v="107"/>
    <s v="_x0000_peopl"/>
  </r>
  <r>
    <x v="7"/>
    <n v="13.690799999999999"/>
    <n v="-89.224699999999999"/>
    <n v="7"/>
    <n v="0"/>
    <n v="0"/>
    <n v="107"/>
    <s v="_x0000_peopl"/>
  </r>
  <r>
    <x v="7"/>
    <n v="13.690799999999999"/>
    <n v="-89.225800000000007"/>
    <n v="6"/>
    <n v="0"/>
    <n v="0"/>
    <n v="107"/>
    <s v="_x0000_peopl"/>
  </r>
  <r>
    <x v="7"/>
    <n v="13.691000000000001"/>
    <n v="-89.225499999999997"/>
    <n v="5"/>
    <n v="0"/>
    <n v="0"/>
    <n v="107"/>
    <s v="_x0000_peopl"/>
  </r>
  <r>
    <x v="7"/>
    <n v="13.6912"/>
    <n v="-89.2256"/>
    <n v="3"/>
    <n v="0"/>
    <n v="0"/>
    <n v="107"/>
    <s v="_x0000_peopl"/>
  </r>
  <r>
    <x v="7"/>
    <n v="13.6912"/>
    <n v="-89.225200000000001"/>
    <n v="8"/>
    <n v="0"/>
    <n v="0"/>
    <n v="107"/>
    <s v="_x0000_peopl"/>
  </r>
  <r>
    <x v="7"/>
    <n v="13.691000000000001"/>
    <n v="-89.225200000000001"/>
    <n v="6"/>
    <n v="0"/>
    <n v="0"/>
    <n v="107"/>
    <s v="_x0000_peopl"/>
  </r>
  <r>
    <x v="7"/>
    <n v="13.6911"/>
    <n v="-89.224800000000002"/>
    <n v="3"/>
    <n v="0"/>
    <n v="0"/>
    <n v="107"/>
    <s v="_x0000_peopl"/>
  </r>
  <r>
    <x v="7"/>
    <n v="13.6913"/>
    <n v="-89.224800000000002"/>
    <n v="5"/>
    <n v="0"/>
    <n v="0"/>
    <n v="107"/>
    <s v="_x0000_peopl"/>
  </r>
  <r>
    <x v="7"/>
    <n v="13.6915"/>
    <n v="-89.224900000000005"/>
    <n v="8"/>
    <n v="0"/>
    <n v="0"/>
    <n v="107"/>
    <s v="_x0000_peopl"/>
  </r>
  <r>
    <x v="7"/>
    <n v="13.691599999999999"/>
    <n v="-89.224900000000005"/>
    <n v="3"/>
    <n v="0"/>
    <n v="0"/>
    <n v="107"/>
    <s v="_x0000_peopl"/>
  </r>
  <r>
    <x v="7"/>
    <n v="13.6915"/>
    <n v="-89.224500000000006"/>
    <n v="5"/>
    <n v="0"/>
    <n v="0"/>
    <n v="107"/>
    <s v="_x0000_peopl"/>
  </r>
  <r>
    <x v="7"/>
    <n v="13.6914"/>
    <n v="-89.224599999999995"/>
    <n v="7"/>
    <n v="0"/>
    <n v="0"/>
    <n v="107"/>
    <s v="_x0000_peopl"/>
  </r>
  <r>
    <x v="7"/>
    <n v="13.6913"/>
    <n v="-89.224599999999995"/>
    <n v="4"/>
    <n v="0"/>
    <n v="0"/>
    <n v="107"/>
    <s v="_x0000_peopl"/>
  </r>
  <r>
    <x v="7"/>
    <n v="13.6912"/>
    <n v="-89.224500000000006"/>
    <n v="5"/>
    <n v="0"/>
    <n v="0"/>
    <n v="107"/>
    <s v="_x0000_peopl"/>
  </r>
  <r>
    <x v="7"/>
    <n v="13.6914"/>
    <n v="-89.223799999999997"/>
    <n v="7"/>
    <n v="0"/>
    <n v="0"/>
    <n v="107"/>
    <s v="_x0000_peopl"/>
  </r>
  <r>
    <x v="7"/>
    <n v="13.6913"/>
    <n v="-89.223600000000005"/>
    <n v="6"/>
    <n v="0"/>
    <n v="0"/>
    <n v="107"/>
    <s v="_x0000_peopl"/>
  </r>
  <r>
    <x v="7"/>
    <n v="13.6915"/>
    <n v="-89.223500000000001"/>
    <n v="7"/>
    <n v="0"/>
    <n v="0"/>
    <n v="107"/>
    <s v="_x0000_peopl"/>
  </r>
  <r>
    <x v="7"/>
    <n v="13.691599999999999"/>
    <n v="-89.223799999999997"/>
    <n v="4"/>
    <n v="0"/>
    <n v="0"/>
    <n v="107"/>
    <s v="_x0000_peopl"/>
  </r>
  <r>
    <x v="7"/>
    <n v="13.6915"/>
    <n v="-89.223200000000006"/>
    <n v="5"/>
    <n v="0"/>
    <n v="0"/>
    <n v="107"/>
    <s v="_x0000_peopl"/>
  </r>
  <r>
    <x v="7"/>
    <n v="13.6898"/>
    <n v="-89.227099999999993"/>
    <n v="3"/>
    <n v="0"/>
    <n v="0"/>
    <n v="107"/>
    <s v="_x0000_peopl"/>
  </r>
  <r>
    <x v="7"/>
    <n v="13.6914"/>
    <n v="-89.225499999999997"/>
    <n v="7"/>
    <n v="0"/>
    <n v="0"/>
    <n v="107"/>
    <s v="_x0000_peopl"/>
  </r>
  <r>
    <x v="7"/>
    <n v="13.691700000000001"/>
    <n v="-89.224699999999999"/>
    <n v="15"/>
    <n v="0"/>
    <n v="0"/>
    <n v="107"/>
    <s v="_x0000_peopl"/>
  </r>
  <r>
    <x v="7"/>
    <n v="13.691599999999999"/>
    <n v="-89.224199999999996"/>
    <n v="6"/>
    <n v="0"/>
    <n v="0"/>
    <n v="107"/>
    <s v="_x0000_peopl"/>
  </r>
  <r>
    <x v="7"/>
    <n v="13.691700000000001"/>
    <n v="-89.224100000000007"/>
    <n v="8"/>
    <n v="0"/>
    <n v="0"/>
    <n v="107"/>
    <s v="_x0000_peopl"/>
  </r>
  <r>
    <x v="7"/>
    <n v="13.691800000000001"/>
    <n v="-89.224000000000004"/>
    <n v="10"/>
    <n v="0"/>
    <n v="0"/>
    <n v="107"/>
    <s v="_x0000_peopl"/>
  </r>
  <r>
    <x v="7"/>
    <n v="13.691800000000001"/>
    <n v="-89.223500000000001"/>
    <n v="6"/>
    <n v="0"/>
    <n v="0"/>
    <n v="107"/>
    <s v="_x0000_peopl"/>
  </r>
  <r>
    <x v="7"/>
    <n v="13.691599999999999"/>
    <n v="-89.223500000000001"/>
    <n v="4"/>
    <n v="0"/>
    <n v="0"/>
    <n v="107"/>
    <s v="_x0000_peopl"/>
  </r>
  <r>
    <x v="7"/>
    <n v="13.691800000000001"/>
    <n v="-89.223399999999998"/>
    <n v="1"/>
    <n v="0"/>
    <n v="0"/>
    <n v="107"/>
    <s v="_x0000_peopl"/>
  </r>
  <r>
    <x v="7"/>
    <n v="13.6913"/>
    <n v="-89.2226"/>
    <n v="5"/>
    <n v="0"/>
    <n v="0"/>
    <n v="107"/>
    <s v="_x0000_peopl"/>
  </r>
  <r>
    <x v="7"/>
    <n v="13.6913"/>
    <n v="-89.222399999999993"/>
    <n v="10"/>
    <n v="0"/>
    <n v="0"/>
    <n v="107"/>
    <s v="_x0000_peopl"/>
  </r>
  <r>
    <x v="7"/>
    <n v="13.6915"/>
    <n v="-89.222399999999993"/>
    <n v="8"/>
    <n v="0"/>
    <n v="0"/>
    <n v="107"/>
    <s v="_x0000_peopl"/>
  </r>
  <r>
    <x v="7"/>
    <n v="13.691700000000001"/>
    <n v="-89.223100000000002"/>
    <n v="8"/>
    <n v="0"/>
    <n v="0"/>
    <n v="107"/>
    <s v="_x0000_peopl"/>
  </r>
  <r>
    <x v="7"/>
    <n v="13.691800000000001"/>
    <n v="-89.223200000000006"/>
    <n v="3"/>
    <n v="0"/>
    <n v="0"/>
    <n v="107"/>
    <s v="_x0000_peopl"/>
  </r>
  <r>
    <x v="7"/>
    <n v="13.689399999999999"/>
    <n v="-89.228200000000001"/>
    <n v="3"/>
    <n v="0"/>
    <n v="0"/>
    <n v="107"/>
    <s v="_x0000_peopl"/>
  </r>
  <r>
    <x v="7"/>
    <n v="13.6897"/>
    <n v="-89.228200000000001"/>
    <n v="4"/>
    <n v="0"/>
    <n v="0"/>
    <n v="107"/>
    <s v="_x0000_peopl"/>
  </r>
  <r>
    <x v="7"/>
    <n v="13.6912"/>
    <n v="-89.221999999999994"/>
    <n v="5"/>
    <n v="0"/>
    <n v="0"/>
    <n v="107"/>
    <s v="_x0000_peopl"/>
  </r>
  <r>
    <x v="7"/>
    <n v="13.691000000000001"/>
    <n v="-89.221999999999994"/>
    <n v="2"/>
    <n v="0"/>
    <n v="0"/>
    <n v="107"/>
    <s v="_x0000_peopl"/>
  </r>
  <r>
    <x v="7"/>
    <n v="13.691000000000001"/>
    <n v="-89.221999999999994"/>
    <n v="2"/>
    <n v="0"/>
    <n v="0"/>
    <n v="107"/>
    <s v="_x0000_peopl"/>
  </r>
  <r>
    <x v="7"/>
    <n v="13.691000000000001"/>
    <n v="-89.221800000000002"/>
    <n v="2"/>
    <n v="0"/>
    <n v="0"/>
    <n v="107"/>
    <s v="_x0000_peopl"/>
  </r>
  <r>
    <x v="7"/>
    <n v="13.691000000000001"/>
    <n v="-89.221800000000002"/>
    <n v="2"/>
    <n v="0"/>
    <n v="0"/>
    <n v="107"/>
    <s v="_x0000_peopl"/>
  </r>
  <r>
    <x v="7"/>
    <n v="13.6899"/>
    <n v="-89.2226"/>
    <n v="6"/>
    <n v="0"/>
    <n v="0"/>
    <n v="107"/>
    <s v="_x0000_peopl"/>
  </r>
  <r>
    <x v="7"/>
    <n v="13.6891"/>
    <n v="-89.222700000000003"/>
    <n v="3"/>
    <n v="0"/>
    <n v="0"/>
    <n v="107"/>
    <s v="_x0000_peopl"/>
  </r>
  <r>
    <x v="7"/>
    <n v="13.69"/>
    <n v="-89.224299999999999"/>
    <n v="4"/>
    <n v="0"/>
    <n v="0"/>
    <n v="107"/>
    <s v="_x0000_peopl"/>
  </r>
  <r>
    <x v="7"/>
    <n v="13.690099999999999"/>
    <n v="-89.224000000000004"/>
    <n v="5"/>
    <n v="0"/>
    <n v="0"/>
    <n v="107"/>
    <s v="_x0000_peopl"/>
  </r>
  <r>
    <x v="7"/>
    <n v="13.690200000000001"/>
    <n v="-89.223799999999997"/>
    <n v="2"/>
    <n v="0"/>
    <n v="0"/>
    <n v="107"/>
    <s v="_x0000_peopl"/>
  </r>
  <r>
    <x v="7"/>
    <n v="13.690200000000001"/>
    <n v="-89.223500000000001"/>
    <n v="4"/>
    <n v="0"/>
    <n v="0"/>
    <n v="107"/>
    <s v="_x0000_peopl"/>
  </r>
  <r>
    <x v="7"/>
    <n v="13.690300000000001"/>
    <n v="-89.2226"/>
    <n v="4"/>
    <n v="0"/>
    <n v="0"/>
    <n v="107"/>
    <s v="_x0000_peopl"/>
  </r>
  <r>
    <x v="7"/>
    <n v="13.6914"/>
    <n v="-89.221900000000005"/>
    <n v="3"/>
    <n v="0"/>
    <n v="0"/>
    <n v="107"/>
    <s v="_x0000_peopl"/>
  </r>
  <r>
    <x v="7"/>
    <n v="13.6913"/>
    <n v="-89.221800000000002"/>
    <n v="8"/>
    <n v="0"/>
    <n v="0"/>
    <n v="107"/>
    <s v="_x0000_peopl"/>
  </r>
  <r>
    <x v="7"/>
    <n v="13.6913"/>
    <n v="-89.221800000000002"/>
    <n v="7"/>
    <n v="0"/>
    <n v="0"/>
    <n v="107"/>
    <s v="_x0000_peopl"/>
  </r>
  <r>
    <x v="7"/>
    <n v="13.6913"/>
    <n v="-89.221699999999998"/>
    <n v="3"/>
    <n v="0"/>
    <n v="0"/>
    <n v="107"/>
    <s v="_x0000_peopl"/>
  </r>
  <r>
    <x v="7"/>
    <n v="13.6913"/>
    <n v="-89.221599999999995"/>
    <n v="4"/>
    <n v="0"/>
    <n v="0"/>
    <n v="107"/>
    <s v="_x0000_peopl"/>
  </r>
  <r>
    <x v="7"/>
    <n v="13.6913"/>
    <n v="-89.221599999999995"/>
    <n v="5"/>
    <n v="0"/>
    <n v="0"/>
    <n v="107"/>
    <s v="_x0000_peopl"/>
  </r>
  <r>
    <x v="7"/>
    <n v="13.6914"/>
    <n v="-89.221500000000006"/>
    <n v="3"/>
    <n v="0"/>
    <n v="0"/>
    <n v="107"/>
    <s v="_x0000_peopl"/>
  </r>
  <r>
    <x v="7"/>
    <n v="13.6912"/>
    <n v="-89.221699999999998"/>
    <n v="3"/>
    <n v="0"/>
    <n v="0"/>
    <n v="107"/>
    <s v="_x0000_peopl"/>
  </r>
  <r>
    <x v="7"/>
    <n v="13.6911"/>
    <n v="-89.221500000000006"/>
    <n v="7"/>
    <n v="0"/>
    <n v="0"/>
    <n v="107"/>
    <s v="_x0000_peopl"/>
  </r>
  <r>
    <x v="7"/>
    <n v="13.6912"/>
    <n v="-89.221400000000003"/>
    <n v="3"/>
    <n v="0"/>
    <n v="0"/>
    <n v="107"/>
    <s v="_x0000_peopl"/>
  </r>
  <r>
    <x v="7"/>
    <n v="13.6912"/>
    <n v="-89.221400000000003"/>
    <n v="9"/>
    <n v="0"/>
    <n v="0"/>
    <n v="107"/>
    <s v="_x0000_peopl"/>
  </r>
  <r>
    <x v="7"/>
    <n v="13.6913"/>
    <n v="-89.221400000000003"/>
    <n v="4"/>
    <n v="0"/>
    <n v="0"/>
    <n v="107"/>
    <s v="_x0000_peopl"/>
  </r>
  <r>
    <x v="7"/>
    <n v="13.6913"/>
    <n v="-89.221299999999999"/>
    <n v="4"/>
    <n v="0"/>
    <n v="0"/>
    <n v="107"/>
    <s v="_x0000_peopl"/>
  </r>
  <r>
    <x v="7"/>
    <n v="13.6914"/>
    <n v="-89.221299999999999"/>
    <n v="5"/>
    <n v="0"/>
    <n v="0"/>
    <n v="107"/>
    <s v="_x0000_peopl"/>
  </r>
  <r>
    <x v="7"/>
    <n v="13.6913"/>
    <n v="-89.221199999999996"/>
    <n v="3"/>
    <n v="0"/>
    <n v="0"/>
    <n v="107"/>
    <s v="_x0000_peopl"/>
  </r>
  <r>
    <x v="7"/>
    <n v="13.6912"/>
    <n v="-89.221199999999996"/>
    <n v="8"/>
    <n v="0"/>
    <n v="0"/>
    <n v="107"/>
    <s v="_x0000_peopl"/>
  </r>
  <r>
    <x v="7"/>
    <n v="13.6911"/>
    <n v="-89.221199999999996"/>
    <n v="5"/>
    <n v="0"/>
    <n v="0"/>
    <n v="107"/>
    <s v="_x0000_peopl"/>
  </r>
  <r>
    <x v="7"/>
    <n v="13.6911"/>
    <n v="-89.221299999999999"/>
    <n v="5"/>
    <n v="0"/>
    <n v="0"/>
    <n v="107"/>
    <s v="_x0000_peopl"/>
  </r>
  <r>
    <x v="7"/>
    <n v="13.6912"/>
    <n v="-89.221000000000004"/>
    <n v="2"/>
    <n v="0"/>
    <n v="0"/>
    <n v="107"/>
    <s v="_x0000_peopl"/>
  </r>
  <r>
    <x v="7"/>
    <n v="13.6911"/>
    <n v="-89.221000000000004"/>
    <n v="4"/>
    <n v="0"/>
    <n v="0"/>
    <n v="107"/>
    <s v="_x0000_peopl"/>
  </r>
  <r>
    <x v="7"/>
    <n v="13.6911"/>
    <n v="-89.221000000000004"/>
    <n v="6"/>
    <n v="0"/>
    <n v="0"/>
    <n v="107"/>
    <s v="_x0000_peopl"/>
  </r>
  <r>
    <x v="7"/>
    <n v="13.691000000000001"/>
    <n v="-89.221100000000007"/>
    <n v="5"/>
    <n v="0"/>
    <n v="0"/>
    <n v="107"/>
    <s v="_x0000_peopl"/>
  </r>
  <r>
    <x v="7"/>
    <n v="13.691000000000001"/>
    <n v="-89.221299999999999"/>
    <n v="6"/>
    <n v="0"/>
    <n v="0"/>
    <n v="107"/>
    <s v="_x0000_peopl"/>
  </r>
  <r>
    <x v="7"/>
    <n v="13.690899999999999"/>
    <n v="-89.221199999999996"/>
    <n v="2"/>
    <n v="0"/>
    <n v="0"/>
    <n v="107"/>
    <s v="_x0000_peopl"/>
  </r>
  <r>
    <x v="7"/>
    <n v="13.691000000000001"/>
    <n v="-89.221100000000007"/>
    <n v="6"/>
    <n v="0"/>
    <n v="0"/>
    <n v="107"/>
    <s v="_x0000_peopl"/>
  </r>
  <r>
    <x v="7"/>
    <n v="13.6911"/>
    <n v="-89.220799999999997"/>
    <n v="0"/>
    <n v="0"/>
    <n v="0"/>
    <n v="107"/>
    <s v="_x0000_peopl"/>
  </r>
  <r>
    <x v="7"/>
    <n v="13.691000000000001"/>
    <n v="-89.220799999999997"/>
    <n v="1"/>
    <n v="0"/>
    <n v="0"/>
    <n v="107"/>
    <s v="_x0000_peopl"/>
  </r>
  <r>
    <x v="7"/>
    <n v="13.691000000000001"/>
    <n v="-89.2209"/>
    <n v="6"/>
    <n v="0"/>
    <n v="0"/>
    <n v="107"/>
    <s v="_x0000_peopl"/>
  </r>
  <r>
    <x v="7"/>
    <n v="13.691000000000001"/>
    <n v="-89.2209"/>
    <n v="2"/>
    <n v="0"/>
    <n v="0"/>
    <n v="107"/>
    <s v="_x0000_peopl"/>
  </r>
  <r>
    <x v="7"/>
    <n v="13.690899999999999"/>
    <n v="-89.2209"/>
    <n v="11"/>
    <n v="0"/>
    <n v="0"/>
    <n v="107"/>
    <s v="_x0000_peopl"/>
  </r>
  <r>
    <x v="7"/>
    <n v="13.690799999999999"/>
    <n v="-89.221000000000004"/>
    <n v="9"/>
    <n v="0"/>
    <n v="0"/>
    <n v="107"/>
    <s v="_x0000_peopl"/>
  </r>
  <r>
    <x v="7"/>
    <n v="13.690899999999999"/>
    <n v="-89.220600000000005"/>
    <n v="6"/>
    <n v="0"/>
    <n v="0"/>
    <n v="107"/>
    <s v="_x0000_peopl"/>
  </r>
  <r>
    <x v="7"/>
    <n v="13.690799999999999"/>
    <n v="-89.220500000000001"/>
    <n v="6"/>
    <n v="0"/>
    <n v="0"/>
    <n v="107"/>
    <s v="_x0000_peopl"/>
  </r>
  <r>
    <x v="7"/>
    <n v="13.690899999999999"/>
    <n v="-89.220600000000005"/>
    <n v="4"/>
    <n v="0"/>
    <n v="0"/>
    <n v="107"/>
    <s v="_x0000_peopl"/>
  </r>
  <r>
    <x v="7"/>
    <n v="13.690799999999999"/>
    <n v="-89.220699999999994"/>
    <n v="6"/>
    <n v="0"/>
    <n v="0"/>
    <n v="107"/>
    <s v="_x0000_peopl"/>
  </r>
  <r>
    <x v="7"/>
    <n v="13.690799999999999"/>
    <n v="-89.220500000000001"/>
    <n v="3"/>
    <n v="0"/>
    <n v="0"/>
    <n v="107"/>
    <s v="_x0000_peopl"/>
  </r>
  <r>
    <x v="7"/>
    <n v="13.6907"/>
    <n v="-89.220500000000001"/>
    <n v="5"/>
    <n v="0"/>
    <n v="0"/>
    <n v="107"/>
    <s v="_x0000_peopl"/>
  </r>
  <r>
    <x v="7"/>
    <n v="13.6907"/>
    <n v="-89.220600000000005"/>
    <n v="6"/>
    <n v="0"/>
    <n v="0"/>
    <n v="107"/>
    <s v="_x0000_peopl"/>
  </r>
  <r>
    <x v="7"/>
    <n v="13.690799999999999"/>
    <n v="-89.220699999999994"/>
    <n v="3"/>
    <n v="0"/>
    <n v="0"/>
    <n v="107"/>
    <s v="_x0000_peopl"/>
  </r>
  <r>
    <x v="7"/>
    <n v="13.6907"/>
    <n v="-89.220799999999997"/>
    <n v="7"/>
    <n v="0"/>
    <n v="0"/>
    <n v="107"/>
    <s v="_x0000_peopl"/>
  </r>
  <r>
    <x v="7"/>
    <n v="13.690799999999999"/>
    <n v="-89.220200000000006"/>
    <n v="3"/>
    <n v="0"/>
    <n v="0"/>
    <n v="107"/>
    <s v="_x0000_peopl"/>
  </r>
  <r>
    <x v="7"/>
    <n v="13.6907"/>
    <n v="-89.220299999999995"/>
    <n v="11"/>
    <n v="0"/>
    <n v="0"/>
    <n v="107"/>
    <s v="_x0000_peopl"/>
  </r>
  <r>
    <x v="7"/>
    <n v="13.6907"/>
    <n v="-89.220299999999995"/>
    <n v="6"/>
    <n v="0"/>
    <n v="0"/>
    <n v="107"/>
    <s v="_x0000_peopl"/>
  </r>
  <r>
    <x v="7"/>
    <n v="13.6907"/>
    <n v="-89.220100000000002"/>
    <n v="3"/>
    <n v="0"/>
    <n v="0"/>
    <n v="107"/>
    <s v="_x0000_peopl"/>
  </r>
  <r>
    <x v="7"/>
    <n v="13.6906"/>
    <n v="-89.220100000000002"/>
    <n v="9"/>
    <n v="0"/>
    <n v="0"/>
    <n v="107"/>
    <s v="_x0000_peopl"/>
  </r>
  <r>
    <x v="7"/>
    <n v="13.6906"/>
    <n v="-89.220299999999995"/>
    <n v="6"/>
    <n v="0"/>
    <n v="0"/>
    <n v="107"/>
    <s v="_x0000_peopl"/>
  </r>
  <r>
    <x v="7"/>
    <n v="13.6906"/>
    <n v="-89.220399999999998"/>
    <n v="6"/>
    <n v="0"/>
    <n v="0"/>
    <n v="107"/>
    <s v="_x0000_peopl"/>
  </r>
  <r>
    <x v="7"/>
    <n v="13.6906"/>
    <n v="-89.220200000000006"/>
    <n v="3"/>
    <n v="0"/>
    <n v="0"/>
    <n v="107"/>
    <s v="_x0000_peopl"/>
  </r>
  <r>
    <x v="7"/>
    <n v="13.6906"/>
    <n v="-89.220200000000006"/>
    <n v="4"/>
    <n v="0"/>
    <n v="0"/>
    <n v="107"/>
    <s v="_x0000_peopl"/>
  </r>
  <r>
    <x v="7"/>
    <n v="13.6905"/>
    <n v="-89.220200000000006"/>
    <n v="6"/>
    <n v="0"/>
    <n v="0"/>
    <n v="107"/>
    <s v="_x0000_peopl"/>
  </r>
  <r>
    <x v="7"/>
    <n v="13.6905"/>
    <n v="-89.220399999999998"/>
    <n v="5"/>
    <n v="0"/>
    <n v="0"/>
    <n v="107"/>
    <s v="_x0000_peopl"/>
  </r>
  <r>
    <x v="7"/>
    <n v="13.6906"/>
    <n v="-89.220600000000005"/>
    <n v="3"/>
    <n v="0"/>
    <n v="0"/>
    <n v="107"/>
    <s v="_x0000_peopl"/>
  </r>
  <r>
    <x v="7"/>
    <n v="13.6904"/>
    <n v="-89.220200000000006"/>
    <n v="5"/>
    <n v="0"/>
    <n v="0"/>
    <n v="107"/>
    <s v="_x0000_peopl"/>
  </r>
  <r>
    <x v="7"/>
    <n v="13.6906"/>
    <n v="-89.219899999999996"/>
    <n v="5"/>
    <n v="0"/>
    <n v="0"/>
    <n v="107"/>
    <s v="_x0000_peopl"/>
  </r>
  <r>
    <x v="7"/>
    <n v="13.6906"/>
    <n v="-89.219899999999996"/>
    <n v="6"/>
    <n v="0"/>
    <n v="0"/>
    <n v="107"/>
    <s v="_x0000_peopl"/>
  </r>
  <r>
    <x v="7"/>
    <n v="13.6905"/>
    <n v="-89.219899999999996"/>
    <n v="7"/>
    <n v="0"/>
    <n v="0"/>
    <n v="107"/>
    <s v="_x0000_peopl"/>
  </r>
  <r>
    <x v="7"/>
    <n v="13.6905"/>
    <n v="-89.219899999999996"/>
    <n v="7"/>
    <n v="0"/>
    <n v="0"/>
    <n v="107"/>
    <s v="_x0000_peopl"/>
  </r>
  <r>
    <x v="7"/>
    <n v="13.6904"/>
    <n v="-89.22"/>
    <n v="5"/>
    <n v="0"/>
    <n v="0"/>
    <n v="107"/>
    <s v="_x0000_peopl"/>
  </r>
  <r>
    <x v="7"/>
    <n v="13.6906"/>
    <n v="-89.219700000000003"/>
    <n v="6"/>
    <n v="0"/>
    <n v="0"/>
    <n v="107"/>
    <s v="_x0000_peopl"/>
  </r>
  <r>
    <x v="7"/>
    <n v="13.6906"/>
    <n v="-89.219700000000003"/>
    <n v="7"/>
    <n v="0"/>
    <n v="0"/>
    <n v="107"/>
    <s v="_x0000_peopl"/>
  </r>
  <r>
    <x v="7"/>
    <n v="13.6905"/>
    <n v="-89.219800000000006"/>
    <n v="6"/>
    <n v="0"/>
    <n v="0"/>
    <n v="107"/>
    <s v="_x0000_peopl"/>
  </r>
  <r>
    <x v="7"/>
    <n v="13.6905"/>
    <n v="-89.219800000000006"/>
    <n v="7"/>
    <n v="0"/>
    <n v="0"/>
    <n v="107"/>
    <s v="_x0000_peopl"/>
  </r>
  <r>
    <x v="7"/>
    <n v="13.6904"/>
    <n v="-89.219800000000006"/>
    <n v="2"/>
    <n v="0"/>
    <n v="0"/>
    <n v="107"/>
    <s v="_x0000_peopl"/>
  </r>
  <r>
    <x v="7"/>
    <n v="13.6904"/>
    <n v="-89.219899999999996"/>
    <n v="4"/>
    <n v="0"/>
    <n v="0"/>
    <n v="107"/>
    <s v="_x0000_peopl"/>
  </r>
  <r>
    <x v="7"/>
    <n v="13.690300000000001"/>
    <n v="-89.219899999999996"/>
    <n v="0"/>
    <n v="0"/>
    <n v="0"/>
    <n v="107"/>
    <s v="_x0000_peopl"/>
  </r>
  <r>
    <x v="7"/>
    <n v="13.6905"/>
    <n v="-89.219499999999996"/>
    <n v="6"/>
    <n v="0"/>
    <n v="0"/>
    <n v="107"/>
    <s v="_x0000_peopl"/>
  </r>
  <r>
    <x v="7"/>
    <n v="13.6905"/>
    <n v="-89.219499999999996"/>
    <n v="5"/>
    <n v="0"/>
    <n v="0"/>
    <n v="107"/>
    <s v="_x0000_peopl"/>
  </r>
  <r>
    <x v="7"/>
    <n v="13.6904"/>
    <n v="-89.219499999999996"/>
    <n v="5"/>
    <n v="0"/>
    <n v="0"/>
    <n v="107"/>
    <s v="_x0000_peopl"/>
  </r>
  <r>
    <x v="7"/>
    <n v="13.6904"/>
    <n v="-89.219499999999996"/>
    <n v="6"/>
    <n v="0"/>
    <n v="0"/>
    <n v="107"/>
    <s v="_x0000_peopl"/>
  </r>
  <r>
    <x v="7"/>
    <n v="13.6905"/>
    <n v="-89.219300000000004"/>
    <n v="6"/>
    <n v="0"/>
    <n v="0"/>
    <n v="107"/>
    <s v="_x0000_peopl"/>
  </r>
  <r>
    <x v="7"/>
    <n v="13.6905"/>
    <n v="-89.219399999999993"/>
    <n v="5"/>
    <n v="0"/>
    <n v="0"/>
    <n v="107"/>
    <s v="_x0000_peopl"/>
  </r>
  <r>
    <x v="7"/>
    <n v="13.6904"/>
    <n v="-89.219399999999993"/>
    <n v="7"/>
    <n v="0"/>
    <n v="0"/>
    <n v="107"/>
    <s v="_x0000_peopl"/>
  </r>
  <r>
    <x v="7"/>
    <n v="13.6904"/>
    <n v="-89.219399999999993"/>
    <n v="5"/>
    <n v="0"/>
    <n v="0"/>
    <n v="107"/>
    <s v="_x0000_peopl"/>
  </r>
  <r>
    <x v="7"/>
    <n v="13.690300000000001"/>
    <n v="-89.219399999999993"/>
    <n v="6"/>
    <n v="0"/>
    <n v="0"/>
    <n v="107"/>
    <s v="_x0000_peopl"/>
  </r>
  <r>
    <x v="7"/>
    <n v="13.690300000000001"/>
    <n v="-89.219499999999996"/>
    <n v="6"/>
    <n v="0"/>
    <n v="0"/>
    <n v="107"/>
    <s v="_x0000_peopl"/>
  </r>
  <r>
    <x v="7"/>
    <n v="13.690200000000001"/>
    <n v="-89.219499999999996"/>
    <n v="4"/>
    <n v="0"/>
    <n v="0"/>
    <n v="107"/>
    <s v="_x0000_peopl"/>
  </r>
  <r>
    <x v="7"/>
    <n v="13.690200000000001"/>
    <n v="-89.219499999999996"/>
    <n v="5"/>
    <n v="0"/>
    <n v="0"/>
    <n v="107"/>
    <s v="_x0000_peopl"/>
  </r>
  <r>
    <x v="7"/>
    <n v="13.690300000000001"/>
    <n v="-89.2196"/>
    <n v="9"/>
    <n v="0"/>
    <n v="0"/>
    <n v="107"/>
    <s v="_x0000_peopl"/>
  </r>
  <r>
    <x v="7"/>
    <n v="13.690300000000001"/>
    <n v="-89.2196"/>
    <n v="3"/>
    <n v="0"/>
    <n v="0"/>
    <n v="107"/>
    <s v="_x0000_peopl"/>
  </r>
  <r>
    <x v="7"/>
    <n v="13.690200000000001"/>
    <n v="-89.2196"/>
    <n v="6"/>
    <n v="0"/>
    <n v="0"/>
    <n v="107"/>
    <s v="_x0000_peopl"/>
  </r>
  <r>
    <x v="7"/>
    <n v="13.690200000000001"/>
    <n v="-89.219700000000003"/>
    <n v="7"/>
    <n v="0"/>
    <n v="0"/>
    <n v="107"/>
    <s v="_x0000_peopl"/>
  </r>
  <r>
    <x v="7"/>
    <n v="13.690200000000001"/>
    <n v="-89.219899999999996"/>
    <n v="7"/>
    <n v="0"/>
    <n v="0"/>
    <n v="107"/>
    <s v="_x0000_peopl"/>
  </r>
  <r>
    <x v="7"/>
    <n v="13.690300000000001"/>
    <n v="-89.219099999999997"/>
    <n v="3"/>
    <n v="0"/>
    <n v="0"/>
    <n v="107"/>
    <s v="_x0000_peopl"/>
  </r>
  <r>
    <x v="7"/>
    <n v="13.690300000000001"/>
    <n v="-89.219099999999997"/>
    <n v="9"/>
    <n v="0"/>
    <n v="0"/>
    <n v="107"/>
    <s v="_x0000_peopl"/>
  </r>
  <r>
    <x v="7"/>
    <n v="13.690200000000001"/>
    <n v="-89.219099999999997"/>
    <n v="7"/>
    <n v="0"/>
    <n v="0"/>
    <n v="107"/>
    <s v="_x0000_peopl"/>
  </r>
  <r>
    <x v="7"/>
    <n v="13.690200000000001"/>
    <n v="-89.219200000000001"/>
    <n v="4"/>
    <n v="0"/>
    <n v="0"/>
    <n v="107"/>
    <s v="_x0000_peopl"/>
  </r>
  <r>
    <x v="7"/>
    <n v="13.6904"/>
    <n v="-89.218999999999994"/>
    <n v="9"/>
    <n v="0"/>
    <n v="0"/>
    <n v="107"/>
    <s v="_x0000_peopl"/>
  </r>
  <r>
    <x v="7"/>
    <n v="13.6904"/>
    <n v="-89.219099999999997"/>
    <n v="6"/>
    <n v="0"/>
    <n v="0"/>
    <n v="107"/>
    <s v="_x0000_peopl"/>
  </r>
  <r>
    <x v="7"/>
    <n v="13.6904"/>
    <n v="-89.218900000000005"/>
    <n v="7"/>
    <n v="0"/>
    <n v="0"/>
    <n v="107"/>
    <s v="_x0000_peopl"/>
  </r>
  <r>
    <x v="7"/>
    <n v="13.6904"/>
    <n v="-89.218900000000005"/>
    <n v="5"/>
    <n v="0"/>
    <n v="0"/>
    <n v="107"/>
    <s v="_x0000_peopl"/>
  </r>
  <r>
    <x v="7"/>
    <n v="13.690300000000001"/>
    <n v="-89.218999999999994"/>
    <n v="9"/>
    <n v="0"/>
    <n v="0"/>
    <n v="107"/>
    <s v="_x0000_peopl"/>
  </r>
  <r>
    <x v="7"/>
    <n v="13.690300000000001"/>
    <n v="-89.218999999999994"/>
    <n v="5"/>
    <n v="0"/>
    <n v="0"/>
    <n v="107"/>
    <s v="_x0000_peopl"/>
  </r>
  <r>
    <x v="7"/>
    <n v="13.690200000000001"/>
    <n v="-89.218999999999994"/>
    <n v="5"/>
    <n v="0"/>
    <n v="0"/>
    <n v="107"/>
    <s v="_x0000_peopl"/>
  </r>
  <r>
    <x v="7"/>
    <n v="13.690200000000001"/>
    <n v="-89.219099999999997"/>
    <n v="4"/>
    <n v="0"/>
    <n v="0"/>
    <n v="107"/>
    <s v="_x0000_peopl"/>
  </r>
  <r>
    <x v="7"/>
    <n v="13.690300000000001"/>
    <n v="-89.218599999999995"/>
    <n v="7"/>
    <n v="0"/>
    <n v="0"/>
    <n v="107"/>
    <s v="_x0000_peopl"/>
  </r>
  <r>
    <x v="7"/>
    <n v="13.690200000000001"/>
    <n v="-89.218699999999998"/>
    <n v="3"/>
    <n v="0"/>
    <n v="0"/>
    <n v="107"/>
    <s v="_x0000_peopl"/>
  </r>
  <r>
    <x v="7"/>
    <n v="13.690200000000001"/>
    <n v="-89.218699999999998"/>
    <n v="13"/>
    <n v="0"/>
    <n v="0"/>
    <n v="107"/>
    <s v="_x0000_peopl"/>
  </r>
  <r>
    <x v="7"/>
    <n v="13.690200000000001"/>
    <n v="-89.218699999999998"/>
    <n v="4"/>
    <n v="0"/>
    <n v="0"/>
    <n v="107"/>
    <s v="_x0000_peopl"/>
  </r>
  <r>
    <x v="7"/>
    <n v="13.690300000000001"/>
    <n v="-89.218500000000006"/>
    <n v="4"/>
    <n v="0"/>
    <n v="0"/>
    <n v="107"/>
    <s v="_x0000_peopl"/>
  </r>
  <r>
    <x v="7"/>
    <n v="13.690200000000001"/>
    <n v="-89.218599999999995"/>
    <n v="7"/>
    <n v="0"/>
    <n v="0"/>
    <n v="107"/>
    <s v="_x0000_peopl"/>
  </r>
  <r>
    <x v="7"/>
    <n v="13.690200000000001"/>
    <n v="-89.218599999999995"/>
    <n v="3"/>
    <n v="0"/>
    <n v="0"/>
    <n v="107"/>
    <s v="_x0000_peopl"/>
  </r>
  <r>
    <x v="7"/>
    <n v="13.690099999999999"/>
    <n v="-89.218599999999995"/>
    <n v="5"/>
    <n v="0"/>
    <n v="0"/>
    <n v="107"/>
    <s v="_x0000_peopl"/>
  </r>
  <r>
    <x v="7"/>
    <n v="13.690099999999999"/>
    <n v="-89.219099999999997"/>
    <n v="9"/>
    <n v="0"/>
    <n v="0"/>
    <n v="107"/>
    <s v="_x0000_peopl"/>
  </r>
  <r>
    <x v="7"/>
    <n v="13.690099999999999"/>
    <n v="-89.219700000000003"/>
    <n v="3"/>
    <n v="0"/>
    <n v="0"/>
    <n v="107"/>
    <s v="_x0000_peopl"/>
  </r>
  <r>
    <x v="7"/>
    <n v="13.69"/>
    <n v="-89.2196"/>
    <n v="7"/>
    <n v="0"/>
    <n v="0"/>
    <n v="107"/>
    <s v="_x0000_peopl"/>
  </r>
  <r>
    <x v="7"/>
    <n v="13.690099999999999"/>
    <n v="-89.2196"/>
    <n v="9"/>
    <n v="0"/>
    <n v="0"/>
    <n v="107"/>
    <s v="_x0000_peopl"/>
  </r>
  <r>
    <x v="7"/>
    <n v="13.6899"/>
    <n v="-89.219399999999993"/>
    <n v="6"/>
    <n v="0"/>
    <n v="0"/>
    <n v="107"/>
    <s v="_x0000_peopl"/>
  </r>
  <r>
    <x v="7"/>
    <n v="13.69"/>
    <n v="-89.219300000000004"/>
    <n v="5"/>
    <n v="0"/>
    <n v="0"/>
    <n v="107"/>
    <s v="_x0000_peopl"/>
  </r>
  <r>
    <x v="7"/>
    <n v="13.69"/>
    <n v="-89.219300000000004"/>
    <n v="7"/>
    <n v="0"/>
    <n v="0"/>
    <n v="107"/>
    <s v="_x0000_peopl"/>
  </r>
  <r>
    <x v="7"/>
    <n v="13.690099999999999"/>
    <n v="-89.219200000000001"/>
    <n v="4"/>
    <n v="0"/>
    <n v="0"/>
    <n v="107"/>
    <s v="_x0000_peopl"/>
  </r>
  <r>
    <x v="7"/>
    <n v="13.690099999999999"/>
    <n v="-89.219200000000001"/>
    <n v="2"/>
    <n v="0"/>
    <n v="0"/>
    <n v="107"/>
    <s v="_x0000_peopl"/>
  </r>
  <r>
    <x v="7"/>
    <n v="13.690099999999999"/>
    <n v="-89.219099999999997"/>
    <n v="7"/>
    <n v="0"/>
    <n v="0"/>
    <n v="107"/>
    <s v="_x0000_peopl"/>
  </r>
  <r>
    <x v="7"/>
    <n v="13.6899"/>
    <n v="-89.219200000000001"/>
    <n v="6"/>
    <n v="0"/>
    <n v="0"/>
    <n v="107"/>
    <s v="_x0000_peopl"/>
  </r>
  <r>
    <x v="7"/>
    <n v="13.6899"/>
    <n v="-89.218900000000005"/>
    <n v="12"/>
    <n v="0"/>
    <n v="0"/>
    <n v="107"/>
    <s v="_x0000_peopl"/>
  </r>
  <r>
    <x v="7"/>
    <n v="13.69"/>
    <n v="-89.218800000000002"/>
    <n v="5"/>
    <n v="0"/>
    <n v="0"/>
    <n v="107"/>
    <s v="_x0000_peopl"/>
  </r>
  <r>
    <x v="7"/>
    <n v="13.69"/>
    <n v="-89.218800000000002"/>
    <n v="2"/>
    <n v="0"/>
    <n v="0"/>
    <n v="107"/>
    <s v="_x0000_peopl"/>
  </r>
  <r>
    <x v="7"/>
    <n v="13.690099999999999"/>
    <n v="-89.218800000000002"/>
    <n v="5"/>
    <n v="0"/>
    <n v="0"/>
    <n v="107"/>
    <s v="_x0000_peopl"/>
  </r>
  <r>
    <x v="7"/>
    <n v="13.690099999999999"/>
    <n v="-89.218800000000002"/>
    <n v="10"/>
    <n v="0"/>
    <n v="0"/>
    <n v="107"/>
    <s v="_x0000_peopl"/>
  </r>
  <r>
    <x v="7"/>
    <n v="13.690099999999999"/>
    <n v="-89.218599999999995"/>
    <n v="3"/>
    <n v="0"/>
    <n v="0"/>
    <n v="107"/>
    <s v="_x0000_peopl"/>
  </r>
  <r>
    <x v="7"/>
    <n v="13.690099999999999"/>
    <n v="-89.218699999999998"/>
    <n v="6"/>
    <n v="0"/>
    <n v="0"/>
    <n v="107"/>
    <s v="_x0000_peopl"/>
  </r>
  <r>
    <x v="7"/>
    <n v="13.69"/>
    <n v="-89.218699999999998"/>
    <n v="5"/>
    <n v="0"/>
    <n v="0"/>
    <n v="107"/>
    <s v="_x0000_peopl"/>
  </r>
  <r>
    <x v="7"/>
    <n v="13.69"/>
    <n v="-89.218699999999998"/>
    <n v="6"/>
    <n v="0"/>
    <n v="0"/>
    <n v="107"/>
    <s v="_x0000_peopl"/>
  </r>
  <r>
    <x v="7"/>
    <n v="13.6899"/>
    <n v="-89.218699999999998"/>
    <n v="3"/>
    <n v="0"/>
    <n v="0"/>
    <n v="107"/>
    <s v="_x0000_peopl"/>
  </r>
  <r>
    <x v="7"/>
    <n v="13.6898"/>
    <n v="-89.219300000000004"/>
    <n v="5"/>
    <n v="0"/>
    <n v="0"/>
    <n v="107"/>
    <s v="_x0000_peopl"/>
  </r>
  <r>
    <x v="7"/>
    <n v="13.6897"/>
    <n v="-89.218999999999994"/>
    <n v="1"/>
    <n v="0"/>
    <n v="0"/>
    <n v="107"/>
    <s v="_x0000_peopl"/>
  </r>
  <r>
    <x v="7"/>
    <n v="13.6897"/>
    <n v="-89.218900000000005"/>
    <n v="4"/>
    <n v="0"/>
    <n v="0"/>
    <n v="107"/>
    <s v="_x0000_peopl"/>
  </r>
  <r>
    <x v="7"/>
    <n v="13.6897"/>
    <n v="-89.218900000000005"/>
    <n v="4"/>
    <n v="0"/>
    <n v="0"/>
    <n v="107"/>
    <s v="_x0000_peopl"/>
  </r>
  <r>
    <x v="7"/>
    <n v="13.6897"/>
    <n v="-89.218999999999994"/>
    <n v="7"/>
    <n v="0"/>
    <n v="0"/>
    <n v="107"/>
    <s v="_x0000_peopl"/>
  </r>
  <r>
    <x v="7"/>
    <n v="13.6898"/>
    <n v="-89.218900000000005"/>
    <n v="4"/>
    <n v="0"/>
    <n v="0"/>
    <n v="107"/>
    <s v="_x0000_peopl"/>
  </r>
  <r>
    <x v="7"/>
    <n v="13.6898"/>
    <n v="-89.218900000000005"/>
    <n v="6"/>
    <n v="0"/>
    <n v="0"/>
    <n v="107"/>
    <s v="_x0000_peopl"/>
  </r>
  <r>
    <x v="7"/>
    <n v="13.6899"/>
    <n v="-89.218900000000005"/>
    <n v="3"/>
    <n v="0"/>
    <n v="0"/>
    <n v="107"/>
    <s v="_x0000_peopl"/>
  </r>
  <r>
    <x v="7"/>
    <n v="13.6898"/>
    <n v="-89.218800000000002"/>
    <n v="6"/>
    <n v="0"/>
    <n v="0"/>
    <n v="107"/>
    <s v="_x0000_peopl"/>
  </r>
  <r>
    <x v="7"/>
    <n v="13.6898"/>
    <n v="-89.218800000000002"/>
    <n v="5"/>
    <n v="0"/>
    <n v="0"/>
    <n v="107"/>
    <s v="_x0000_peopl"/>
  </r>
  <r>
    <x v="7"/>
    <n v="13.6899"/>
    <n v="-89.218800000000002"/>
    <n v="6"/>
    <n v="0"/>
    <n v="0"/>
    <n v="107"/>
    <s v="_x0000_peopl"/>
  </r>
  <r>
    <x v="7"/>
    <n v="13.6896"/>
    <n v="-89.218599999999995"/>
    <n v="8"/>
    <n v="0"/>
    <n v="0"/>
    <n v="107"/>
    <s v="_x0000_peopl"/>
  </r>
  <r>
    <x v="7"/>
    <n v="13.6897"/>
    <n v="-89.218599999999995"/>
    <n v="6"/>
    <n v="0"/>
    <n v="0"/>
    <n v="107"/>
    <s v="_x0000_peopl"/>
  </r>
  <r>
    <x v="7"/>
    <n v="13.6897"/>
    <n v="-89.218500000000006"/>
    <n v="4"/>
    <n v="0"/>
    <n v="0"/>
    <n v="107"/>
    <s v="_x0000_peopl"/>
  </r>
  <r>
    <x v="7"/>
    <n v="13.6898"/>
    <n v="-89.218500000000006"/>
    <n v="7"/>
    <n v="0"/>
    <n v="0"/>
    <n v="107"/>
    <s v="_x0000_peopl"/>
  </r>
  <r>
    <x v="7"/>
    <n v="13.6898"/>
    <n v="-89.218500000000006"/>
    <n v="3"/>
    <n v="0"/>
    <n v="0"/>
    <n v="107"/>
    <s v="_x0000_peopl"/>
  </r>
  <r>
    <x v="7"/>
    <n v="13.6899"/>
    <n v="-89.218400000000003"/>
    <n v="7"/>
    <n v="0"/>
    <n v="0"/>
    <n v="107"/>
    <s v="_x0000_peopl"/>
  </r>
  <r>
    <x v="7"/>
    <n v="13.6899"/>
    <n v="-89.218400000000003"/>
    <n v="4"/>
    <n v="0"/>
    <n v="0"/>
    <n v="107"/>
    <s v="_x0000_peopl"/>
  </r>
  <r>
    <x v="7"/>
    <n v="13.69"/>
    <n v="-89.218400000000003"/>
    <n v="5"/>
    <n v="0"/>
    <n v="0"/>
    <n v="107"/>
    <s v="_x0000_peopl"/>
  </r>
  <r>
    <x v="7"/>
    <n v="13.69"/>
    <n v="-89.218299999999999"/>
    <n v="6"/>
    <n v="0"/>
    <n v="0"/>
    <n v="107"/>
    <s v="_x0000_peopl"/>
  </r>
  <r>
    <x v="7"/>
    <n v="13.69"/>
    <n v="-89.218299999999999"/>
    <n v="5"/>
    <n v="0"/>
    <n v="0"/>
    <n v="107"/>
    <s v="_x0000_peopl"/>
  </r>
  <r>
    <x v="7"/>
    <n v="13.69"/>
    <n v="-89.218199999999996"/>
    <n v="2"/>
    <n v="0"/>
    <n v="0"/>
    <n v="107"/>
    <s v="_x0000_peopl"/>
  </r>
  <r>
    <x v="7"/>
    <n v="13.69"/>
    <n v="-89.218199999999996"/>
    <n v="4"/>
    <n v="0"/>
    <n v="0"/>
    <n v="107"/>
    <s v="_x0000_peopl"/>
  </r>
  <r>
    <x v="7"/>
    <n v="13.6899"/>
    <n v="-89.218299999999999"/>
    <n v="5"/>
    <n v="0"/>
    <n v="0"/>
    <n v="107"/>
    <s v="_x0000_peopl"/>
  </r>
  <r>
    <x v="7"/>
    <n v="13.6899"/>
    <n v="-89.218299999999999"/>
    <n v="7"/>
    <n v="0"/>
    <n v="0"/>
    <n v="107"/>
    <s v="_x0000_peopl"/>
  </r>
  <r>
    <x v="7"/>
    <n v="13.6898"/>
    <n v="-89.218299999999999"/>
    <n v="5"/>
    <n v="0"/>
    <n v="0"/>
    <n v="107"/>
    <s v="_x0000_peopl"/>
  </r>
  <r>
    <x v="7"/>
    <n v="13.6898"/>
    <n v="-89.218299999999999"/>
    <n v="6"/>
    <n v="0"/>
    <n v="0"/>
    <n v="107"/>
    <s v="_x0000_peopl"/>
  </r>
  <r>
    <x v="7"/>
    <n v="13.6897"/>
    <n v="-89.218400000000003"/>
    <n v="4"/>
    <n v="0"/>
    <n v="0"/>
    <n v="107"/>
    <s v="_x0000_peopl"/>
  </r>
  <r>
    <x v="7"/>
    <n v="13.6897"/>
    <n v="-89.218400000000003"/>
    <n v="5"/>
    <n v="0"/>
    <n v="0"/>
    <n v="107"/>
    <s v="_x0000_peopl"/>
  </r>
  <r>
    <x v="7"/>
    <n v="13.6896"/>
    <n v="-89.218400000000003"/>
    <n v="4"/>
    <n v="0"/>
    <n v="0"/>
    <n v="107"/>
    <s v="_x0000_peopl"/>
  </r>
  <r>
    <x v="7"/>
    <n v="13.6897"/>
    <n v="-89.218100000000007"/>
    <n v="3"/>
    <n v="0"/>
    <n v="0"/>
    <n v="107"/>
    <s v="_x0000_peopl"/>
  </r>
  <r>
    <x v="7"/>
    <n v="13.6897"/>
    <n v="-89.218100000000007"/>
    <n v="4"/>
    <n v="0"/>
    <n v="0"/>
    <n v="107"/>
    <s v="_x0000_peopl"/>
  </r>
  <r>
    <x v="7"/>
    <n v="13.6897"/>
    <n v="-89.218000000000004"/>
    <n v="8"/>
    <n v="0"/>
    <n v="0"/>
    <n v="107"/>
    <s v="_x0000_peopl"/>
  </r>
  <r>
    <x v="7"/>
    <n v="13.6897"/>
    <n v="-89.218000000000004"/>
    <n v="3"/>
    <n v="0"/>
    <n v="0"/>
    <n v="107"/>
    <s v="_x0000_peopl"/>
  </r>
  <r>
    <x v="7"/>
    <n v="13.6897"/>
    <n v="-89.2179"/>
    <n v="6"/>
    <n v="0"/>
    <n v="0"/>
    <n v="107"/>
    <s v="_x0000_peopl"/>
  </r>
  <r>
    <x v="7"/>
    <n v="13.689500000000001"/>
    <n v="-89.218699999999998"/>
    <n v="6"/>
    <n v="0"/>
    <n v="0"/>
    <n v="107"/>
    <s v="_x0000_peopl"/>
  </r>
  <r>
    <x v="7"/>
    <n v="13.6896"/>
    <n v="-89.218599999999995"/>
    <n v="5"/>
    <n v="0"/>
    <n v="0"/>
    <n v="107"/>
    <s v="_x0000_peopl"/>
  </r>
  <r>
    <x v="7"/>
    <n v="13.689399999999999"/>
    <n v="-89.218599999999995"/>
    <n v="3"/>
    <n v="0"/>
    <n v="0"/>
    <n v="107"/>
    <s v="_x0000_peopl"/>
  </r>
  <r>
    <x v="7"/>
    <n v="13.689500000000001"/>
    <n v="-89.218500000000006"/>
    <n v="7"/>
    <n v="0"/>
    <n v="0"/>
    <n v="107"/>
    <s v="_x0000_peopl"/>
  </r>
  <r>
    <x v="7"/>
    <n v="13.6896"/>
    <n v="-89.218500000000006"/>
    <n v="10"/>
    <n v="0"/>
    <n v="0"/>
    <n v="107"/>
    <s v="_x0000_peopl"/>
  </r>
  <r>
    <x v="7"/>
    <n v="13.689299999999999"/>
    <n v="-89.218299999999999"/>
    <n v="3"/>
    <n v="0"/>
    <n v="0"/>
    <n v="107"/>
    <s v="_x0000_peopl"/>
  </r>
  <r>
    <x v="7"/>
    <n v="13.689399999999999"/>
    <n v="-89.218299999999999"/>
    <n v="9"/>
    <n v="0"/>
    <n v="0"/>
    <n v="107"/>
    <s v="_x0000_peopl"/>
  </r>
  <r>
    <x v="7"/>
    <n v="13.689399999999999"/>
    <n v="-89.218199999999996"/>
    <n v="7"/>
    <n v="0"/>
    <n v="0"/>
    <n v="107"/>
    <s v="_x0000_peopl"/>
  </r>
  <r>
    <x v="7"/>
    <n v="13.689500000000001"/>
    <n v="-89.218199999999996"/>
    <n v="0"/>
    <n v="0"/>
    <n v="0"/>
    <n v="107"/>
    <s v="_x0000_peopl"/>
  </r>
  <r>
    <x v="7"/>
    <n v="13.689500000000001"/>
    <n v="-89.218199999999996"/>
    <n v="3"/>
    <n v="0"/>
    <n v="0"/>
    <n v="107"/>
    <s v="_x0000_peopl"/>
  </r>
  <r>
    <x v="7"/>
    <n v="13.6896"/>
    <n v="-89.218199999999996"/>
    <n v="4"/>
    <n v="0"/>
    <n v="0"/>
    <n v="107"/>
    <s v="_x0000_peopl"/>
  </r>
  <r>
    <x v="7"/>
    <n v="13.6896"/>
    <n v="-89.218000000000004"/>
    <n v="4"/>
    <n v="0"/>
    <n v="0"/>
    <n v="107"/>
    <s v="_x0000_peopl"/>
  </r>
  <r>
    <x v="7"/>
    <n v="13.689500000000001"/>
    <n v="-89.218100000000007"/>
    <n v="10"/>
    <n v="0"/>
    <n v="0"/>
    <n v="107"/>
    <s v="_x0000_peopl"/>
  </r>
  <r>
    <x v="7"/>
    <n v="13.689500000000001"/>
    <n v="-89.218100000000007"/>
    <n v="1"/>
    <n v="0"/>
    <n v="0"/>
    <n v="107"/>
    <s v="_x0000_peopl"/>
  </r>
  <r>
    <x v="7"/>
    <n v="13.689500000000001"/>
    <n v="-89.218100000000007"/>
    <n v="6"/>
    <n v="0"/>
    <n v="0"/>
    <n v="107"/>
    <s v="_x0000_peopl"/>
  </r>
  <r>
    <x v="7"/>
    <n v="13.689399999999999"/>
    <n v="-89.218100000000007"/>
    <n v="3"/>
    <n v="0"/>
    <n v="0"/>
    <n v="107"/>
    <s v="_x0000_peopl"/>
  </r>
  <r>
    <x v="7"/>
    <n v="13.689299999999999"/>
    <n v="-89.218199999999996"/>
    <n v="6"/>
    <n v="0"/>
    <n v="0"/>
    <n v="107"/>
    <s v="_x0000_peopl"/>
  </r>
  <r>
    <x v="7"/>
    <n v="13.6896"/>
    <n v="-89.2179"/>
    <n v="8"/>
    <n v="0"/>
    <n v="0"/>
    <n v="107"/>
    <s v="_x0000_peopl"/>
  </r>
  <r>
    <x v="7"/>
    <n v="13.689500000000001"/>
    <n v="-89.2179"/>
    <n v="5"/>
    <n v="0"/>
    <n v="0"/>
    <n v="107"/>
    <s v="_x0000_peopl"/>
  </r>
  <r>
    <x v="7"/>
    <n v="13.689500000000001"/>
    <n v="-89.2179"/>
    <n v="4"/>
    <n v="0"/>
    <n v="0"/>
    <n v="107"/>
    <s v="_x0000_peopl"/>
  </r>
  <r>
    <x v="7"/>
    <n v="13.689399999999999"/>
    <n v="-89.2179"/>
    <n v="5"/>
    <n v="0"/>
    <n v="0"/>
    <n v="107"/>
    <s v="_x0000_peopl"/>
  </r>
  <r>
    <x v="7"/>
    <n v="13.689399999999999"/>
    <n v="-89.218000000000004"/>
    <n v="4"/>
    <n v="0"/>
    <n v="0"/>
    <n v="107"/>
    <s v="_x0000_peopl"/>
  </r>
  <r>
    <x v="7"/>
    <n v="13.689299999999999"/>
    <n v="-89.218000000000004"/>
    <n v="7"/>
    <n v="0"/>
    <n v="0"/>
    <n v="107"/>
    <s v="_x0000_peopl"/>
  </r>
  <r>
    <x v="7"/>
    <n v="13.690099999999999"/>
    <n v="-89.218299999999999"/>
    <n v="4"/>
    <n v="0"/>
    <n v="0"/>
    <n v="107"/>
    <s v="_x0000_peopl"/>
  </r>
  <r>
    <x v="7"/>
    <n v="13.690099999999999"/>
    <n v="-89.218299999999999"/>
    <n v="3"/>
    <n v="0"/>
    <n v="0"/>
    <n v="107"/>
    <s v="_x0000_peopl"/>
  </r>
  <r>
    <x v="7"/>
    <n v="13.690899999999999"/>
    <n v="-89.221999999999994"/>
    <n v="3"/>
    <n v="0"/>
    <n v="0"/>
    <n v="107"/>
    <s v="_x0000_peopl"/>
  </r>
  <r>
    <x v="7"/>
    <n v="13.690899999999999"/>
    <n v="-89.221999999999994"/>
    <n v="4"/>
    <n v="0"/>
    <n v="0"/>
    <n v="107"/>
    <s v="_x0000_peopl"/>
  </r>
  <r>
    <x v="7"/>
    <n v="13.690899999999999"/>
    <n v="-89.221999999999994"/>
    <n v="6"/>
    <n v="0"/>
    <n v="0"/>
    <n v="107"/>
    <s v="_x0000_peopl"/>
  </r>
  <r>
    <x v="7"/>
    <n v="13.690899999999999"/>
    <n v="-89.221900000000005"/>
    <n v="9"/>
    <n v="0"/>
    <n v="0"/>
    <n v="107"/>
    <s v="_x0000_peopl"/>
  </r>
  <r>
    <x v="7"/>
    <n v="13.690899999999999"/>
    <n v="-89.221900000000005"/>
    <n v="5"/>
    <n v="0"/>
    <n v="0"/>
    <n v="107"/>
    <s v="_x0000_peopl"/>
  </r>
  <r>
    <x v="7"/>
    <n v="13.690899999999999"/>
    <n v="-89.221800000000002"/>
    <n v="7"/>
    <n v="0"/>
    <n v="0"/>
    <n v="107"/>
    <s v="_x0000_peopl"/>
  </r>
  <r>
    <x v="7"/>
    <n v="13.690899999999999"/>
    <n v="-89.221800000000002"/>
    <n v="6"/>
    <n v="0"/>
    <n v="0"/>
    <n v="107"/>
    <s v="_x0000_peopl"/>
  </r>
  <r>
    <x v="7"/>
    <n v="13.690899999999999"/>
    <n v="-89.221800000000002"/>
    <n v="4"/>
    <n v="0"/>
    <n v="0"/>
    <n v="107"/>
    <s v="_x0000_peopl"/>
  </r>
  <r>
    <x v="7"/>
    <n v="13.690899999999999"/>
    <n v="-89.221800000000002"/>
    <n v="7"/>
    <n v="0"/>
    <n v="0"/>
    <n v="107"/>
    <s v="_x0000_peopl"/>
  </r>
  <r>
    <x v="7"/>
    <n v="13.6907"/>
    <n v="-89.222099999999998"/>
    <n v="4"/>
    <n v="0"/>
    <n v="0"/>
    <n v="107"/>
    <s v="_x0000_peopl"/>
  </r>
  <r>
    <x v="7"/>
    <n v="13.6907"/>
    <n v="-89.221999999999994"/>
    <n v="0"/>
    <n v="0"/>
    <n v="0"/>
    <n v="107"/>
    <s v="_x0000_peopl"/>
  </r>
  <r>
    <x v="7"/>
    <n v="13.6907"/>
    <n v="-89.221999999999994"/>
    <n v="7"/>
    <n v="0"/>
    <n v="0"/>
    <n v="107"/>
    <s v="_x0000_peopl"/>
  </r>
  <r>
    <x v="7"/>
    <n v="13.6907"/>
    <n v="-89.221900000000005"/>
    <n v="7"/>
    <n v="0"/>
    <n v="0"/>
    <n v="107"/>
    <s v="_x0000_peopl"/>
  </r>
  <r>
    <x v="7"/>
    <n v="13.6907"/>
    <n v="-89.221900000000005"/>
    <n v="5"/>
    <n v="0"/>
    <n v="0"/>
    <n v="107"/>
    <s v="_x0000_peopl"/>
  </r>
  <r>
    <x v="7"/>
    <n v="13.6907"/>
    <n v="-89.221800000000002"/>
    <n v="7"/>
    <n v="0"/>
    <n v="0"/>
    <n v="107"/>
    <s v="_x0000_peopl"/>
  </r>
  <r>
    <x v="7"/>
    <n v="13.69"/>
    <n v="-89.222099999999998"/>
    <n v="9"/>
    <n v="0"/>
    <n v="0"/>
    <n v="107"/>
    <s v="_x0000_peopl"/>
  </r>
  <r>
    <x v="7"/>
    <n v="13.69"/>
    <n v="-89.222099999999998"/>
    <n v="7"/>
    <n v="0"/>
    <n v="0"/>
    <n v="107"/>
    <s v="_x0000_peopl"/>
  </r>
  <r>
    <x v="7"/>
    <n v="13.69"/>
    <n v="-89.222099999999998"/>
    <n v="4"/>
    <n v="0"/>
    <n v="0"/>
    <n v="107"/>
    <s v="_x0000_peopl"/>
  </r>
  <r>
    <x v="7"/>
    <n v="13.69"/>
    <n v="-89.221999999999994"/>
    <n v="4"/>
    <n v="0"/>
    <n v="0"/>
    <n v="107"/>
    <s v="_x0000_peopl"/>
  </r>
  <r>
    <x v="7"/>
    <n v="13.69"/>
    <n v="-89.221999999999994"/>
    <n v="1"/>
    <n v="0"/>
    <n v="0"/>
    <n v="107"/>
    <s v="_x0000_peopl"/>
  </r>
  <r>
    <x v="7"/>
    <n v="13.69"/>
    <n v="-89.221999999999994"/>
    <n v="3"/>
    <n v="0"/>
    <n v="0"/>
    <n v="107"/>
    <s v="_x0000_peopl"/>
  </r>
  <r>
    <x v="7"/>
    <n v="13.69"/>
    <n v="-89.221999999999994"/>
    <n v="6"/>
    <n v="0"/>
    <n v="0"/>
    <n v="107"/>
    <s v="_x0000_peopl"/>
  </r>
  <r>
    <x v="7"/>
    <n v="13.69"/>
    <n v="-89.221900000000005"/>
    <n v="5"/>
    <n v="0"/>
    <n v="0"/>
    <n v="107"/>
    <s v="_x0000_peopl"/>
  </r>
  <r>
    <x v="7"/>
    <n v="13.69"/>
    <n v="-89.221900000000005"/>
    <n v="11"/>
    <n v="0"/>
    <n v="0"/>
    <n v="107"/>
    <s v="_x0000_peopl"/>
  </r>
  <r>
    <x v="7"/>
    <n v="13.69"/>
    <n v="-89.221900000000005"/>
    <n v="7"/>
    <n v="0"/>
    <n v="0"/>
    <n v="107"/>
    <s v="_x0000_peopl"/>
  </r>
  <r>
    <x v="7"/>
    <n v="13.69"/>
    <n v="-89.221800000000002"/>
    <n v="4"/>
    <n v="0"/>
    <n v="0"/>
    <n v="107"/>
    <s v="_x0000_peopl"/>
  </r>
  <r>
    <x v="7"/>
    <n v="13.6898"/>
    <n v="-89.221900000000005"/>
    <n v="4"/>
    <n v="0"/>
    <n v="0"/>
    <n v="107"/>
    <s v="_x0000_peopl"/>
  </r>
  <r>
    <x v="7"/>
    <n v="13.6898"/>
    <n v="-89.221900000000005"/>
    <n v="9"/>
    <n v="0"/>
    <n v="0"/>
    <n v="107"/>
    <s v="_x0000_peopl"/>
  </r>
  <r>
    <x v="7"/>
    <n v="13.6898"/>
    <n v="-89.221999999999994"/>
    <n v="4"/>
    <n v="0"/>
    <n v="0"/>
    <n v="107"/>
    <s v="_x0000_peopl"/>
  </r>
  <r>
    <x v="7"/>
    <n v="13.6898"/>
    <n v="-89.222099999999998"/>
    <n v="7"/>
    <n v="0"/>
    <n v="0"/>
    <n v="107"/>
    <s v="_x0000_peopl"/>
  </r>
  <r>
    <x v="7"/>
    <n v="13.6898"/>
    <n v="-89.222099999999998"/>
    <n v="2"/>
    <n v="0"/>
    <n v="0"/>
    <n v="107"/>
    <s v="_x0000_peopl"/>
  </r>
  <r>
    <x v="7"/>
    <n v="13.6898"/>
    <n v="-89.222099999999998"/>
    <n v="3"/>
    <n v="0"/>
    <n v="0"/>
    <n v="107"/>
    <s v="_x0000_peopl"/>
  </r>
  <r>
    <x v="7"/>
    <n v="13.6898"/>
    <n v="-89.222099999999998"/>
    <n v="5"/>
    <n v="0"/>
    <n v="0"/>
    <n v="107"/>
    <s v="_x0000_peopl"/>
  </r>
  <r>
    <x v="7"/>
    <n v="13.6898"/>
    <n v="-89.221999999999994"/>
    <n v="6"/>
    <n v="0"/>
    <n v="0"/>
    <n v="107"/>
    <s v="_x0000_peopl"/>
  </r>
  <r>
    <x v="7"/>
    <n v="13.6898"/>
    <n v="-89.221900000000005"/>
    <n v="8"/>
    <n v="0"/>
    <n v="0"/>
    <n v="107"/>
    <s v="_x0000_peopl"/>
  </r>
  <r>
    <x v="7"/>
    <n v="13.6898"/>
    <n v="-89.221900000000005"/>
    <n v="7"/>
    <n v="0"/>
    <n v="0"/>
    <n v="107"/>
    <s v="_x0000_peopl"/>
  </r>
  <r>
    <x v="7"/>
    <n v="13.6897"/>
    <n v="-89.221900000000005"/>
    <n v="4"/>
    <n v="0"/>
    <n v="0"/>
    <n v="107"/>
    <s v="_x0000_peopl"/>
  </r>
  <r>
    <x v="7"/>
    <n v="13.6897"/>
    <n v="-89.221900000000005"/>
    <n v="9"/>
    <n v="0"/>
    <n v="0"/>
    <n v="107"/>
    <s v="_x0000_peopl"/>
  </r>
  <r>
    <x v="7"/>
    <n v="13.6897"/>
    <n v="-89.221999999999994"/>
    <n v="5"/>
    <n v="0"/>
    <n v="0"/>
    <n v="107"/>
    <s v="_x0000_peopl"/>
  </r>
  <r>
    <x v="7"/>
    <n v="13.6897"/>
    <n v="-89.222099999999998"/>
    <n v="7"/>
    <n v="0"/>
    <n v="0"/>
    <n v="107"/>
    <s v="_x0000_peopl"/>
  </r>
  <r>
    <x v="7"/>
    <n v="13.6897"/>
    <n v="-89.222099999999998"/>
    <n v="5"/>
    <n v="0"/>
    <n v="0"/>
    <n v="107"/>
    <s v="_x0000_peopl"/>
  </r>
  <r>
    <x v="7"/>
    <n v="13.6897"/>
    <n v="-89.222099999999998"/>
    <n v="4"/>
    <n v="0"/>
    <n v="0"/>
    <n v="107"/>
    <s v="_x0000_peopl"/>
  </r>
  <r>
    <x v="7"/>
    <n v="13.6897"/>
    <n v="-89.222099999999998"/>
    <n v="5"/>
    <n v="0"/>
    <n v="0"/>
    <n v="107"/>
    <s v="_x0000_peopl"/>
  </r>
  <r>
    <x v="7"/>
    <n v="13.6897"/>
    <n v="-89.221999999999994"/>
    <n v="4"/>
    <n v="0"/>
    <n v="0"/>
    <n v="107"/>
    <s v="_x0000_peopl"/>
  </r>
  <r>
    <x v="7"/>
    <n v="13.6897"/>
    <n v="-89.221900000000005"/>
    <n v="4"/>
    <n v="0"/>
    <n v="0"/>
    <n v="107"/>
    <s v="_x0000_peopl"/>
  </r>
  <r>
    <x v="7"/>
    <n v="13.6897"/>
    <n v="-89.221900000000005"/>
    <n v="7"/>
    <n v="0"/>
    <n v="0"/>
    <n v="107"/>
    <s v="_x0000_peopl"/>
  </r>
  <r>
    <x v="7"/>
    <n v="13.689500000000001"/>
    <n v="-89.222200000000001"/>
    <n v="2"/>
    <n v="0"/>
    <n v="0"/>
    <n v="107"/>
    <s v="_x0000_peopl"/>
  </r>
  <r>
    <x v="7"/>
    <n v="13.689500000000001"/>
    <n v="-89.222200000000001"/>
    <n v="3"/>
    <n v="0"/>
    <n v="0"/>
    <n v="107"/>
    <s v="_x0000_peopl"/>
  </r>
  <r>
    <x v="7"/>
    <n v="13.689500000000001"/>
    <n v="-89.222099999999998"/>
    <n v="7"/>
    <n v="0"/>
    <n v="0"/>
    <n v="107"/>
    <s v="_x0000_peopl"/>
  </r>
  <r>
    <x v="7"/>
    <n v="13.689500000000001"/>
    <n v="-89.221999999999994"/>
    <n v="4"/>
    <n v="0"/>
    <n v="0"/>
    <n v="107"/>
    <s v="_x0000_peopl"/>
  </r>
  <r>
    <x v="7"/>
    <n v="13.689500000000001"/>
    <n v="-89.221999999999994"/>
    <n v="2"/>
    <n v="0"/>
    <n v="0"/>
    <n v="107"/>
    <s v="_x0000_peopl"/>
  </r>
  <r>
    <x v="7"/>
    <n v="13.689500000000001"/>
    <n v="-89.221999999999994"/>
    <n v="8"/>
    <n v="0"/>
    <n v="0"/>
    <n v="107"/>
    <s v="_x0000_peopl"/>
  </r>
  <r>
    <x v="7"/>
    <n v="13.689500000000001"/>
    <n v="-89.221999999999994"/>
    <n v="6"/>
    <n v="0"/>
    <n v="0"/>
    <n v="107"/>
    <s v="_x0000_peopl"/>
  </r>
  <r>
    <x v="7"/>
    <n v="13.689500000000001"/>
    <n v="-89.221900000000005"/>
    <n v="5"/>
    <n v="0"/>
    <n v="0"/>
    <n v="107"/>
    <s v="_x0000_peopl"/>
  </r>
  <r>
    <x v="7"/>
    <n v="13.689399999999999"/>
    <n v="-89.221900000000005"/>
    <n v="4"/>
    <n v="0"/>
    <n v="0"/>
    <n v="107"/>
    <s v="_x0000_peopl"/>
  </r>
  <r>
    <x v="7"/>
    <n v="13.689399999999999"/>
    <n v="-89.222099999999998"/>
    <n v="6"/>
    <n v="0"/>
    <n v="0"/>
    <n v="107"/>
    <s v="_x0000_peopl"/>
  </r>
  <r>
    <x v="7"/>
    <n v="13.689399999999999"/>
    <n v="-89.222099999999998"/>
    <n v="5"/>
    <n v="0"/>
    <n v="0"/>
    <n v="107"/>
    <s v="_x0000_peopl"/>
  </r>
  <r>
    <x v="7"/>
    <n v="13.689299999999999"/>
    <n v="-89.222099999999998"/>
    <n v="5"/>
    <n v="0"/>
    <n v="0"/>
    <n v="107"/>
    <s v="_x0000_peopl"/>
  </r>
  <r>
    <x v="7"/>
    <n v="13.689299999999999"/>
    <n v="-89.221999999999994"/>
    <n v="6"/>
    <n v="0"/>
    <n v="0"/>
    <n v="107"/>
    <s v="_x0000_peopl"/>
  </r>
  <r>
    <x v="7"/>
    <n v="13.689399999999999"/>
    <n v="-89.221999999999994"/>
    <n v="5"/>
    <n v="0"/>
    <n v="0"/>
    <n v="107"/>
    <s v="_x0000_peopl"/>
  </r>
  <r>
    <x v="7"/>
    <n v="13.689399999999999"/>
    <n v="-89.221999999999994"/>
    <n v="5"/>
    <n v="0"/>
    <n v="0"/>
    <n v="107"/>
    <s v="_x0000_peopl"/>
  </r>
  <r>
    <x v="7"/>
    <n v="13.689299999999999"/>
    <n v="-89.221999999999994"/>
    <n v="7"/>
    <n v="0"/>
    <n v="0"/>
    <n v="107"/>
    <s v="_x0000_peopl"/>
  </r>
  <r>
    <x v="7"/>
    <n v="13.689299999999999"/>
    <n v="-89.221900000000005"/>
    <n v="6"/>
    <n v="0"/>
    <n v="0"/>
    <n v="107"/>
    <s v="_x0000_peopl"/>
  </r>
  <r>
    <x v="7"/>
    <n v="13.689399999999999"/>
    <n v="-89.221900000000005"/>
    <n v="6"/>
    <n v="0"/>
    <n v="0"/>
    <n v="107"/>
    <s v="_x0000_peopl"/>
  </r>
  <r>
    <x v="7"/>
    <n v="13.689500000000001"/>
    <n v="-89.222200000000001"/>
    <n v="7"/>
    <n v="0"/>
    <n v="0"/>
    <n v="107"/>
    <s v="_x0000_peopl"/>
  </r>
  <r>
    <x v="7"/>
    <n v="13.689500000000001"/>
    <n v="-89.222200000000001"/>
    <n v="10"/>
    <n v="0"/>
    <n v="0"/>
    <n v="107"/>
    <s v="_x0000_peopl"/>
  </r>
  <r>
    <x v="7"/>
    <n v="13.689399999999999"/>
    <n v="-89.222200000000001"/>
    <n v="7"/>
    <n v="0"/>
    <n v="0"/>
    <n v="107"/>
    <s v="_x0000_peopl"/>
  </r>
  <r>
    <x v="7"/>
    <n v="13.689299999999999"/>
    <n v="-89.222200000000001"/>
    <n v="4"/>
    <n v="0"/>
    <n v="0"/>
    <n v="107"/>
    <s v="_x0000_peopl"/>
  </r>
  <r>
    <x v="7"/>
    <n v="13.689299999999999"/>
    <n v="-89.222200000000001"/>
    <n v="4"/>
    <n v="0"/>
    <n v="0"/>
    <n v="107"/>
    <s v="_x0000_peopl"/>
  </r>
  <r>
    <x v="7"/>
    <n v="13.689299999999999"/>
    <n v="-89.222099999999998"/>
    <n v="9"/>
    <n v="0"/>
    <n v="0"/>
    <n v="107"/>
    <s v="_x0000_peopl"/>
  </r>
  <r>
    <x v="7"/>
    <n v="13.689299999999999"/>
    <n v="-89.222200000000001"/>
    <n v="6"/>
    <n v="0"/>
    <n v="0"/>
    <n v="107"/>
    <s v="_x0000_peopl"/>
  </r>
  <r>
    <x v="7"/>
    <n v="13.6892"/>
    <n v="-89.222200000000001"/>
    <n v="4"/>
    <n v="0"/>
    <n v="0"/>
    <n v="107"/>
    <s v="_x0000_peopl"/>
  </r>
  <r>
    <x v="7"/>
    <n v="13.6892"/>
    <n v="-89.222200000000001"/>
    <n v="4"/>
    <n v="0"/>
    <n v="0"/>
    <n v="107"/>
    <s v="_x0000_peopl"/>
  </r>
  <r>
    <x v="7"/>
    <n v="13.6892"/>
    <n v="-89.222200000000001"/>
    <n v="3"/>
    <n v="0"/>
    <n v="0"/>
    <n v="107"/>
    <s v="_x0000_peopl"/>
  </r>
  <r>
    <x v="7"/>
    <n v="13.6892"/>
    <n v="-89.222300000000004"/>
    <n v="5"/>
    <n v="0"/>
    <n v="0"/>
    <n v="107"/>
    <s v="_x0000_peopl"/>
  </r>
  <r>
    <x v="7"/>
    <n v="13.6891"/>
    <n v="-89.222300000000004"/>
    <n v="2"/>
    <n v="0"/>
    <n v="0"/>
    <n v="107"/>
    <s v="_x0000_peopl"/>
  </r>
  <r>
    <x v="7"/>
    <n v="13.6891"/>
    <n v="-89.222300000000004"/>
    <n v="6"/>
    <n v="0"/>
    <n v="0"/>
    <n v="107"/>
    <s v="_x0000_peopl"/>
  </r>
  <r>
    <x v="7"/>
    <n v="13.6892"/>
    <n v="-89.222099999999998"/>
    <n v="6"/>
    <n v="0"/>
    <n v="0"/>
    <n v="107"/>
    <s v="_x0000_peopl"/>
  </r>
  <r>
    <x v="7"/>
    <n v="13.6892"/>
    <n v="-89.222099999999998"/>
    <n v="6"/>
    <n v="0"/>
    <n v="0"/>
    <n v="107"/>
    <s v="_x0000_peopl"/>
  </r>
  <r>
    <x v="7"/>
    <n v="13.6891"/>
    <n v="-89.222099999999998"/>
    <n v="4"/>
    <n v="0"/>
    <n v="0"/>
    <n v="107"/>
    <s v="_x0000_peopl"/>
  </r>
  <r>
    <x v="7"/>
    <n v="13.6891"/>
    <n v="-89.222099999999998"/>
    <n v="3"/>
    <n v="0"/>
    <n v="0"/>
    <n v="107"/>
    <s v="_x0000_peopl"/>
  </r>
  <r>
    <x v="7"/>
    <n v="13.6891"/>
    <n v="-89.222099999999998"/>
    <n v="8"/>
    <n v="0"/>
    <n v="0"/>
    <n v="107"/>
    <s v="_x0000_peopl"/>
  </r>
  <r>
    <x v="7"/>
    <n v="13.6891"/>
    <n v="-89.222099999999998"/>
    <n v="4"/>
    <n v="0"/>
    <n v="0"/>
    <n v="107"/>
    <s v="_x0000_peopl"/>
  </r>
  <r>
    <x v="7"/>
    <n v="13.689299999999999"/>
    <n v="-89.221999999999994"/>
    <n v="5"/>
    <n v="0"/>
    <n v="0"/>
    <n v="107"/>
    <s v="_x0000_peopl"/>
  </r>
  <r>
    <x v="7"/>
    <n v="13.6892"/>
    <n v="-89.221999999999994"/>
    <n v="3"/>
    <n v="0"/>
    <n v="0"/>
    <n v="107"/>
    <s v="_x0000_peopl"/>
  </r>
  <r>
    <x v="7"/>
    <n v="13.6892"/>
    <n v="-89.221999999999994"/>
    <n v="4"/>
    <n v="0"/>
    <n v="0"/>
    <n v="107"/>
    <s v="_x0000_peopl"/>
  </r>
  <r>
    <x v="7"/>
    <n v="13.6892"/>
    <n v="-89.221999999999994"/>
    <n v="4"/>
    <n v="0"/>
    <n v="0"/>
    <n v="107"/>
    <s v="_x0000_peopl"/>
  </r>
  <r>
    <x v="7"/>
    <n v="13.6891"/>
    <n v="-89.221999999999994"/>
    <n v="6"/>
    <n v="0"/>
    <n v="0"/>
    <n v="107"/>
    <s v="_x0000_peopl"/>
  </r>
  <r>
    <x v="7"/>
    <n v="13.6891"/>
    <n v="-89.221999999999994"/>
    <n v="3"/>
    <n v="0"/>
    <n v="0"/>
    <n v="107"/>
    <s v="_x0000_peopl"/>
  </r>
  <r>
    <x v="7"/>
    <n v="13.6891"/>
    <n v="-89.221999999999994"/>
    <n v="3"/>
    <n v="0"/>
    <n v="0"/>
    <n v="107"/>
    <s v="_x0000_peopl"/>
  </r>
  <r>
    <x v="7"/>
    <n v="13.6891"/>
    <n v="-89.221999999999994"/>
    <n v="4"/>
    <n v="0"/>
    <n v="0"/>
    <n v="107"/>
    <s v="_x0000_peopl"/>
  </r>
  <r>
    <x v="7"/>
    <n v="13.689"/>
    <n v="-89.221999999999994"/>
    <n v="0"/>
    <n v="0"/>
    <n v="0"/>
    <n v="107"/>
    <s v="_x0000_peopl"/>
  </r>
  <r>
    <x v="7"/>
    <n v="13.689"/>
    <n v="-89.221999999999994"/>
    <n v="4"/>
    <n v="0"/>
    <n v="0"/>
    <n v="107"/>
    <s v="_x0000_peopl"/>
  </r>
  <r>
    <x v="7"/>
    <n v="13.6889"/>
    <n v="-89.221999999999994"/>
    <n v="2"/>
    <n v="0"/>
    <n v="0"/>
    <n v="107"/>
    <s v="_x0000_peopl"/>
  </r>
  <r>
    <x v="7"/>
    <n v="13.6889"/>
    <n v="-89.221999999999994"/>
    <n v="4"/>
    <n v="0"/>
    <n v="0"/>
    <n v="107"/>
    <s v="_x0000_peopl"/>
  </r>
  <r>
    <x v="7"/>
    <n v="13.6889"/>
    <n v="-89.222099999999998"/>
    <n v="6"/>
    <n v="0"/>
    <n v="0"/>
    <n v="107"/>
    <s v="_x0000_peopl"/>
  </r>
  <r>
    <x v="7"/>
    <n v="13.6889"/>
    <n v="-89.222099999999998"/>
    <n v="7"/>
    <n v="0"/>
    <n v="0"/>
    <n v="107"/>
    <s v="_x0000_peopl"/>
  </r>
  <r>
    <x v="7"/>
    <n v="13.6889"/>
    <n v="-89.222300000000004"/>
    <n v="6"/>
    <n v="0"/>
    <n v="0"/>
    <n v="107"/>
    <s v="_x0000_peopl"/>
  </r>
  <r>
    <x v="7"/>
    <n v="13.6889"/>
    <n v="-89.222300000000004"/>
    <n v="5"/>
    <n v="0"/>
    <n v="0"/>
    <n v="107"/>
    <s v="_x0000_peopl"/>
  </r>
  <r>
    <x v="7"/>
    <n v="13.6889"/>
    <n v="-89.222300000000004"/>
    <n v="6"/>
    <n v="0"/>
    <n v="0"/>
    <n v="107"/>
    <s v="_x0000_peopl"/>
  </r>
  <r>
    <x v="7"/>
    <n v="13.6906"/>
    <n v="-89.222099999999998"/>
    <n v="3"/>
    <n v="0"/>
    <n v="0"/>
    <n v="107"/>
    <s v="_x0000_peopl"/>
  </r>
  <r>
    <x v="7"/>
    <n v="13.6906"/>
    <n v="-89.222099999999998"/>
    <n v="2"/>
    <n v="0"/>
    <n v="0"/>
    <n v="107"/>
    <s v="_x0000_peopl"/>
  </r>
  <r>
    <x v="7"/>
    <n v="13.6906"/>
    <n v="-89.221999999999994"/>
    <n v="3"/>
    <n v="0"/>
    <n v="0"/>
    <n v="107"/>
    <s v="_x0000_peopl"/>
  </r>
  <r>
    <x v="7"/>
    <n v="13.6906"/>
    <n v="-89.221999999999994"/>
    <n v="2"/>
    <n v="0"/>
    <n v="0"/>
    <n v="107"/>
    <s v="_x0000_peopl"/>
  </r>
  <r>
    <x v="7"/>
    <n v="13.6906"/>
    <n v="-89.221999999999994"/>
    <n v="8"/>
    <n v="0"/>
    <n v="0"/>
    <n v="107"/>
    <s v="_x0000_peopl"/>
  </r>
  <r>
    <x v="7"/>
    <n v="13.6906"/>
    <n v="-89.221900000000005"/>
    <n v="6"/>
    <n v="0"/>
    <n v="0"/>
    <n v="107"/>
    <s v="_x0000_peopl"/>
  </r>
  <r>
    <x v="7"/>
    <n v="13.6906"/>
    <n v="-89.221900000000005"/>
    <n v="5"/>
    <n v="0"/>
    <n v="0"/>
    <n v="107"/>
    <s v="_x0000_peopl"/>
  </r>
  <r>
    <x v="7"/>
    <n v="13.6906"/>
    <n v="-89.221900000000005"/>
    <n v="6"/>
    <n v="0"/>
    <n v="0"/>
    <n v="107"/>
    <s v="_x0000_peopl"/>
  </r>
  <r>
    <x v="7"/>
    <n v="13.6906"/>
    <n v="-89.221800000000002"/>
    <n v="4"/>
    <n v="0"/>
    <n v="0"/>
    <n v="107"/>
    <s v="_x0000_peopl"/>
  </r>
  <r>
    <x v="7"/>
    <n v="13.6906"/>
    <n v="-89.221800000000002"/>
    <n v="5"/>
    <n v="0"/>
    <n v="0"/>
    <n v="107"/>
    <s v="_x0000_peopl"/>
  </r>
  <r>
    <x v="7"/>
    <n v="13.6905"/>
    <n v="-89.222099999999998"/>
    <n v="2"/>
    <n v="0"/>
    <n v="0"/>
    <n v="107"/>
    <s v="_x0000_peopl"/>
  </r>
  <r>
    <x v="7"/>
    <n v="13.6904"/>
    <n v="-89.221999999999994"/>
    <n v="6"/>
    <n v="0"/>
    <n v="0"/>
    <n v="107"/>
    <s v="_x0000_peopl"/>
  </r>
  <r>
    <x v="7"/>
    <n v="13.6904"/>
    <n v="-89.221999999999994"/>
    <n v="9"/>
    <n v="0"/>
    <n v="0"/>
    <n v="107"/>
    <s v="_x0000_peopl"/>
  </r>
  <r>
    <x v="7"/>
    <n v="13.6904"/>
    <n v="-89.221999999999994"/>
    <n v="6"/>
    <n v="0"/>
    <n v="0"/>
    <n v="107"/>
    <s v="_x0000_peopl"/>
  </r>
  <r>
    <x v="7"/>
    <n v="13.6904"/>
    <n v="-89.221999999999994"/>
    <n v="2"/>
    <n v="0"/>
    <n v="0"/>
    <n v="107"/>
    <s v="_x0000_peopl"/>
  </r>
  <r>
    <x v="7"/>
    <n v="13.6904"/>
    <n v="-89.221900000000005"/>
    <n v="7"/>
    <n v="0"/>
    <n v="0"/>
    <n v="107"/>
    <s v="_x0000_peopl"/>
  </r>
  <r>
    <x v="7"/>
    <n v="13.6904"/>
    <n v="-89.221900000000005"/>
    <n v="6"/>
    <n v="0"/>
    <n v="0"/>
    <n v="107"/>
    <s v="_x0000_peopl"/>
  </r>
  <r>
    <x v="7"/>
    <n v="13.6904"/>
    <n v="-89.221900000000005"/>
    <n v="4"/>
    <n v="0"/>
    <n v="0"/>
    <n v="107"/>
    <s v="_x0000_peopl"/>
  </r>
  <r>
    <x v="7"/>
    <n v="13.6904"/>
    <n v="-89.221900000000005"/>
    <n v="6"/>
    <n v="0"/>
    <n v="0"/>
    <n v="107"/>
    <s v="_x0000_peopl"/>
  </r>
  <r>
    <x v="7"/>
    <n v="13.6904"/>
    <n v="-89.221800000000002"/>
    <n v="2"/>
    <n v="0"/>
    <n v="0"/>
    <n v="107"/>
    <s v="_x0000_peopl"/>
  </r>
  <r>
    <x v="7"/>
    <n v="13.690300000000001"/>
    <n v="-89.222099999999998"/>
    <n v="5"/>
    <n v="0"/>
    <n v="0"/>
    <n v="107"/>
    <s v="_x0000_peopl"/>
  </r>
  <r>
    <x v="7"/>
    <n v="13.690300000000001"/>
    <n v="-89.222099999999998"/>
    <n v="5"/>
    <n v="0"/>
    <n v="0"/>
    <n v="107"/>
    <s v="_x0000_peopl"/>
  </r>
  <r>
    <x v="7"/>
    <n v="13.690300000000001"/>
    <n v="-89.222099999999998"/>
    <n v="7"/>
    <n v="0"/>
    <n v="0"/>
    <n v="107"/>
    <s v="_x0000_peopl"/>
  </r>
  <r>
    <x v="7"/>
    <n v="13.690300000000001"/>
    <n v="-89.221999999999994"/>
    <n v="6"/>
    <n v="0"/>
    <n v="0"/>
    <n v="107"/>
    <s v="_x0000_peopl"/>
  </r>
  <r>
    <x v="7"/>
    <n v="13.690300000000001"/>
    <n v="-89.221999999999994"/>
    <n v="8"/>
    <n v="0"/>
    <n v="0"/>
    <n v="107"/>
    <s v="_x0000_peopl"/>
  </r>
  <r>
    <x v="7"/>
    <n v="13.690300000000001"/>
    <n v="-89.221999999999994"/>
    <n v="2"/>
    <n v="0"/>
    <n v="0"/>
    <n v="107"/>
    <s v="_x0000_peopl"/>
  </r>
  <r>
    <x v="7"/>
    <n v="13.690300000000001"/>
    <n v="-89.221900000000005"/>
    <n v="1"/>
    <n v="0"/>
    <n v="0"/>
    <n v="107"/>
    <s v="_x0000_peopl"/>
  </r>
  <r>
    <x v="7"/>
    <n v="13.690300000000001"/>
    <n v="-89.221900000000005"/>
    <n v="4"/>
    <n v="0"/>
    <n v="0"/>
    <n v="107"/>
    <s v="_x0000_peopl"/>
  </r>
  <r>
    <x v="7"/>
    <n v="13.690300000000001"/>
    <n v="-89.221900000000005"/>
    <n v="4"/>
    <n v="0"/>
    <n v="0"/>
    <n v="107"/>
    <s v="_x0000_peopl"/>
  </r>
  <r>
    <x v="7"/>
    <n v="13.690300000000001"/>
    <n v="-89.221900000000005"/>
    <n v="8"/>
    <n v="0"/>
    <n v="0"/>
    <n v="107"/>
    <s v="_x0000_peopl"/>
  </r>
  <r>
    <x v="7"/>
    <n v="13.690300000000001"/>
    <n v="-89.221800000000002"/>
    <n v="6"/>
    <n v="0"/>
    <n v="0"/>
    <n v="107"/>
    <s v="_x0000_peopl"/>
  </r>
  <r>
    <x v="7"/>
    <n v="13.690200000000001"/>
    <n v="-89.222099999999998"/>
    <n v="6"/>
    <n v="0"/>
    <n v="0"/>
    <n v="107"/>
    <s v="_x0000_peopl"/>
  </r>
  <r>
    <x v="7"/>
    <n v="13.690200000000001"/>
    <n v="-89.222099999999998"/>
    <n v="3"/>
    <n v="0"/>
    <n v="0"/>
    <n v="107"/>
    <s v="_x0000_peopl"/>
  </r>
  <r>
    <x v="7"/>
    <n v="13.690200000000001"/>
    <n v="-89.222099999999998"/>
    <n v="4"/>
    <n v="0"/>
    <n v="0"/>
    <n v="107"/>
    <s v="_x0000_peopl"/>
  </r>
  <r>
    <x v="7"/>
    <n v="13.690200000000001"/>
    <n v="-89.221999999999994"/>
    <n v="8"/>
    <n v="0"/>
    <n v="0"/>
    <n v="107"/>
    <s v="_x0000_peopl"/>
  </r>
  <r>
    <x v="7"/>
    <n v="13.690200000000001"/>
    <n v="-89.221999999999994"/>
    <n v="5"/>
    <n v="0"/>
    <n v="0"/>
    <n v="107"/>
    <s v="_x0000_peopl"/>
  </r>
  <r>
    <x v="7"/>
    <n v="13.690200000000001"/>
    <n v="-89.221999999999994"/>
    <n v="7"/>
    <n v="0"/>
    <n v="0"/>
    <n v="107"/>
    <s v="_x0000_peopl"/>
  </r>
  <r>
    <x v="7"/>
    <n v="13.690200000000001"/>
    <n v="-89.221900000000005"/>
    <n v="8"/>
    <n v="0"/>
    <n v="0"/>
    <n v="107"/>
    <s v="_x0000_peopl"/>
  </r>
  <r>
    <x v="7"/>
    <n v="13.690200000000001"/>
    <n v="-89.221900000000005"/>
    <n v="2"/>
    <n v="0"/>
    <n v="0"/>
    <n v="107"/>
    <s v="_x0000_peopl"/>
  </r>
  <r>
    <x v="7"/>
    <n v="13.690200000000001"/>
    <n v="-89.221800000000002"/>
    <n v="7"/>
    <n v="0"/>
    <n v="0"/>
    <n v="107"/>
    <s v="_x0000_peopl"/>
  </r>
  <r>
    <x v="7"/>
    <n v="13.690200000000001"/>
    <n v="-89.221800000000002"/>
    <n v="6"/>
    <n v="0"/>
    <n v="0"/>
    <n v="107"/>
    <s v="_x0000_peopl"/>
  </r>
  <r>
    <x v="7"/>
    <n v="13.690099999999999"/>
    <n v="-89.222200000000001"/>
    <n v="4"/>
    <n v="0"/>
    <n v="0"/>
    <n v="107"/>
    <s v="_x0000_peopl"/>
  </r>
  <r>
    <x v="7"/>
    <n v="13.690099999999999"/>
    <n v="-89.222099999999998"/>
    <n v="8"/>
    <n v="0"/>
    <n v="0"/>
    <n v="107"/>
    <s v="_x0000_peopl"/>
  </r>
  <r>
    <x v="7"/>
    <n v="13.690099999999999"/>
    <n v="-89.222099999999998"/>
    <n v="3"/>
    <n v="0"/>
    <n v="0"/>
    <n v="107"/>
    <s v="_x0000_peopl"/>
  </r>
  <r>
    <x v="7"/>
    <n v="13.690099999999999"/>
    <n v="-89.222099999999998"/>
    <n v="7"/>
    <n v="0"/>
    <n v="0"/>
    <n v="107"/>
    <s v="_x0000_peopl"/>
  </r>
  <r>
    <x v="7"/>
    <n v="13.690099999999999"/>
    <n v="-89.221999999999994"/>
    <n v="6"/>
    <n v="0"/>
    <n v="0"/>
    <n v="107"/>
    <s v="_x0000_peopl"/>
  </r>
  <r>
    <x v="7"/>
    <n v="13.69"/>
    <n v="-89.221999999999994"/>
    <n v="3"/>
    <n v="0"/>
    <n v="0"/>
    <n v="107"/>
    <s v="_x0000_peopl"/>
  </r>
  <r>
    <x v="7"/>
    <n v="13.69"/>
    <n v="-89.221999999999994"/>
    <n v="1"/>
    <n v="0"/>
    <n v="0"/>
    <n v="107"/>
    <s v="_x0000_peopl"/>
  </r>
  <r>
    <x v="7"/>
    <n v="13.69"/>
    <n v="-89.221999999999994"/>
    <n v="6"/>
    <n v="0"/>
    <n v="0"/>
    <n v="107"/>
    <s v="_x0000_peopl"/>
  </r>
  <r>
    <x v="7"/>
    <n v="13.69"/>
    <n v="-89.221900000000005"/>
    <n v="4"/>
    <n v="0"/>
    <n v="0"/>
    <n v="107"/>
    <s v="_x0000_peopl"/>
  </r>
  <r>
    <x v="7"/>
    <n v="13.69"/>
    <n v="-89.221900000000005"/>
    <n v="3"/>
    <n v="0"/>
    <n v="0"/>
    <n v="107"/>
    <s v="_x0000_peopl"/>
  </r>
  <r>
    <x v="7"/>
    <n v="13.69"/>
    <n v="-89.221900000000005"/>
    <n v="5"/>
    <n v="0"/>
    <n v="0"/>
    <n v="107"/>
    <s v="_x0000_peopl"/>
  </r>
  <r>
    <x v="7"/>
    <n v="13.69"/>
    <n v="-89.221800000000002"/>
    <n v="4"/>
    <n v="0"/>
    <n v="0"/>
    <n v="107"/>
    <s v="_x0000_peopl"/>
  </r>
  <r>
    <x v="7"/>
    <n v="13.6905"/>
    <n v="-89.220799999999997"/>
    <n v="1"/>
    <n v="0"/>
    <n v="0"/>
    <n v="107"/>
    <s v="_x0000_peopl"/>
  </r>
  <r>
    <x v="7"/>
    <n v="13.6905"/>
    <n v="-89.2209"/>
    <n v="8"/>
    <n v="0"/>
    <n v="0"/>
    <n v="107"/>
    <s v="_x0000_peopl"/>
  </r>
  <r>
    <x v="7"/>
    <n v="13.6906"/>
    <n v="-89.221000000000004"/>
    <n v="10"/>
    <n v="0"/>
    <n v="0"/>
    <n v="107"/>
    <s v="_x0000_peopl"/>
  </r>
  <r>
    <x v="7"/>
    <n v="13.6906"/>
    <n v="-89.221100000000007"/>
    <n v="5"/>
    <n v="0"/>
    <n v="0"/>
    <n v="107"/>
    <s v="_x0000_peopl"/>
  </r>
  <r>
    <x v="7"/>
    <n v="13.690200000000001"/>
    <n v="-89.220299999999995"/>
    <n v="2"/>
    <n v="0"/>
    <n v="0"/>
    <n v="107"/>
    <s v="_x0000_peopl"/>
  </r>
  <r>
    <x v="7"/>
    <n v="13.690200000000001"/>
    <n v="-89.220299999999995"/>
    <n v="5"/>
    <n v="0"/>
    <n v="0"/>
    <n v="107"/>
    <s v="_x0000_peopl"/>
  </r>
  <r>
    <x v="7"/>
    <n v="13.690300000000001"/>
    <n v="-89.220399999999998"/>
    <n v="7"/>
    <n v="0"/>
    <n v="0"/>
    <n v="107"/>
    <s v="_x0000_peopl"/>
  </r>
  <r>
    <x v="7"/>
    <n v="13.690300000000001"/>
    <n v="-89.220500000000001"/>
    <n v="1"/>
    <n v="0"/>
    <n v="0"/>
    <n v="107"/>
    <s v="_x0000_peopl"/>
  </r>
  <r>
    <x v="7"/>
    <n v="13.690300000000001"/>
    <n v="-89.220600000000005"/>
    <n v="5"/>
    <n v="0"/>
    <n v="0"/>
    <n v="107"/>
    <s v="_x0000_peopl"/>
  </r>
  <r>
    <x v="7"/>
    <n v="13.6904"/>
    <n v="-89.220600000000005"/>
    <n v="9"/>
    <n v="0"/>
    <n v="0"/>
    <n v="107"/>
    <s v="_x0000_peopl"/>
  </r>
  <r>
    <x v="7"/>
    <n v="13.6904"/>
    <n v="-89.220699999999994"/>
    <n v="6"/>
    <n v="0"/>
    <n v="0"/>
    <n v="107"/>
    <s v="_x0000_peopl"/>
  </r>
  <r>
    <x v="7"/>
    <n v="13.6904"/>
    <n v="-89.221100000000007"/>
    <n v="2"/>
    <n v="0"/>
    <n v="0"/>
    <n v="107"/>
    <s v="_x0000_peopl"/>
  </r>
  <r>
    <x v="7"/>
    <n v="13.690300000000001"/>
    <n v="-89.221100000000007"/>
    <n v="3"/>
    <n v="0"/>
    <n v="0"/>
    <n v="107"/>
    <s v="_x0000_peopl"/>
  </r>
  <r>
    <x v="7"/>
    <n v="13.690300000000001"/>
    <n v="-89.221000000000004"/>
    <n v="2"/>
    <n v="0"/>
    <n v="0"/>
    <n v="107"/>
    <s v="_x0000_peopl"/>
  </r>
  <r>
    <x v="7"/>
    <n v="13.690300000000001"/>
    <n v="-89.221000000000004"/>
    <n v="4"/>
    <n v="0"/>
    <n v="0"/>
    <n v="107"/>
    <s v="_x0000_peopl"/>
  </r>
  <r>
    <x v="7"/>
    <n v="13.690200000000001"/>
    <n v="-89.2209"/>
    <n v="2"/>
    <n v="0"/>
    <n v="0"/>
    <n v="107"/>
    <s v="_x0000_peopl"/>
  </r>
  <r>
    <x v="7"/>
    <n v="13.690200000000001"/>
    <n v="-89.220799999999997"/>
    <n v="5"/>
    <n v="0"/>
    <n v="0"/>
    <n v="107"/>
    <s v="_x0000_peopl"/>
  </r>
  <r>
    <x v="7"/>
    <n v="13.690099999999999"/>
    <n v="-89.220699999999994"/>
    <n v="6"/>
    <n v="0"/>
    <n v="0"/>
    <n v="107"/>
    <s v="_x0000_peopl"/>
  </r>
  <r>
    <x v="7"/>
    <n v="13.690099999999999"/>
    <n v="-89.220600000000005"/>
    <n v="4"/>
    <n v="0"/>
    <n v="0"/>
    <n v="107"/>
    <s v="_x0000_peopl"/>
  </r>
  <r>
    <x v="7"/>
    <n v="13.69"/>
    <n v="-89.220500000000001"/>
    <n v="4"/>
    <n v="0"/>
    <n v="0"/>
    <n v="107"/>
    <s v="_x0000_peopl"/>
  </r>
  <r>
    <x v="7"/>
    <n v="13.69"/>
    <n v="-89.220500000000001"/>
    <n v="3"/>
    <n v="0"/>
    <n v="0"/>
    <n v="107"/>
    <s v="_x0000_peopl"/>
  </r>
  <r>
    <x v="7"/>
    <n v="13.6899"/>
    <n v="-89.220399999999998"/>
    <n v="3"/>
    <n v="0"/>
    <n v="0"/>
    <n v="107"/>
    <s v="_x0000_peopl"/>
  </r>
  <r>
    <x v="7"/>
    <n v="13.690099999999999"/>
    <n v="-89.220100000000002"/>
    <n v="3"/>
    <n v="0"/>
    <n v="0"/>
    <n v="107"/>
    <s v="_x0000_peopl"/>
  </r>
  <r>
    <x v="7"/>
    <n v="13.690099999999999"/>
    <n v="-89.220200000000006"/>
    <n v="5"/>
    <n v="0"/>
    <n v="0"/>
    <n v="107"/>
    <s v="_x0000_peopl"/>
  </r>
  <r>
    <x v="7"/>
    <n v="13.6899"/>
    <n v="-89.220299999999995"/>
    <n v="4"/>
    <n v="0"/>
    <n v="0"/>
    <n v="107"/>
    <s v="_x0000_peopl"/>
  </r>
  <r>
    <x v="7"/>
    <n v="13.6898"/>
    <n v="-89.220200000000006"/>
    <n v="2"/>
    <n v="0"/>
    <n v="0"/>
    <n v="107"/>
    <s v="_x0000_peopl"/>
  </r>
  <r>
    <x v="7"/>
    <n v="13.6898"/>
    <n v="-89.220100000000002"/>
    <n v="5"/>
    <n v="0"/>
    <n v="0"/>
    <n v="107"/>
    <s v="_x0000_peopl"/>
  </r>
  <r>
    <x v="7"/>
    <n v="13.6898"/>
    <n v="-89.221100000000007"/>
    <n v="8"/>
    <n v="0"/>
    <n v="0"/>
    <n v="107"/>
    <s v="_x0000_peopl"/>
  </r>
  <r>
    <x v="7"/>
    <n v="13.6898"/>
    <n v="-89.221000000000004"/>
    <n v="5"/>
    <n v="0"/>
    <n v="0"/>
    <n v="107"/>
    <s v="_x0000_peopl"/>
  </r>
  <r>
    <x v="7"/>
    <n v="13.6897"/>
    <n v="-89.2209"/>
    <n v="3"/>
    <n v="0"/>
    <n v="0"/>
    <n v="107"/>
    <s v="_x0000_peopl"/>
  </r>
  <r>
    <x v="7"/>
    <n v="13.6897"/>
    <n v="-89.220799999999997"/>
    <n v="3"/>
    <n v="0"/>
    <n v="0"/>
    <n v="107"/>
    <s v="_x0000_peopl"/>
  </r>
  <r>
    <x v="7"/>
    <n v="13.6897"/>
    <n v="-89.220699999999994"/>
    <n v="3"/>
    <n v="0"/>
    <n v="0"/>
    <n v="107"/>
    <s v="_x0000_peopl"/>
  </r>
  <r>
    <x v="7"/>
    <n v="13.6897"/>
    <n v="-89.220600000000005"/>
    <n v="5"/>
    <n v="0"/>
    <n v="0"/>
    <n v="107"/>
    <s v="_x0000_peopl"/>
  </r>
  <r>
    <x v="7"/>
    <n v="13.6898"/>
    <n v="-89.221199999999996"/>
    <n v="3"/>
    <n v="0"/>
    <n v="0"/>
    <n v="107"/>
    <s v="_x0000_peopl"/>
  </r>
  <r>
    <x v="7"/>
    <n v="13.6898"/>
    <n v="-89.221299999999999"/>
    <n v="7"/>
    <n v="0"/>
    <n v="0"/>
    <n v="107"/>
    <s v="_x0000_peopl"/>
  </r>
  <r>
    <x v="7"/>
    <n v="13.6899"/>
    <n v="-89.221199999999996"/>
    <n v="5"/>
    <n v="0"/>
    <n v="0"/>
    <n v="107"/>
    <s v="_x0000_peopl"/>
  </r>
  <r>
    <x v="7"/>
    <n v="13.6899"/>
    <n v="-89.221199999999996"/>
    <n v="3"/>
    <n v="0"/>
    <n v="0"/>
    <n v="107"/>
    <s v="_x0000_peopl"/>
  </r>
  <r>
    <x v="7"/>
    <n v="13.6898"/>
    <n v="-89.221599999999995"/>
    <n v="1"/>
    <n v="0"/>
    <n v="0"/>
    <n v="107"/>
    <s v="_x0000_peopl"/>
  </r>
  <r>
    <x v="7"/>
    <n v="13.6897"/>
    <n v="-89.221599999999995"/>
    <n v="6"/>
    <n v="0"/>
    <n v="0"/>
    <n v="107"/>
    <s v="_x0000_peopl"/>
  </r>
  <r>
    <x v="7"/>
    <n v="13.6896"/>
    <n v="-89.221599999999995"/>
    <n v="2"/>
    <n v="0"/>
    <n v="0"/>
    <n v="107"/>
    <s v="_x0000_peopl"/>
  </r>
  <r>
    <x v="7"/>
    <n v="13.689500000000001"/>
    <n v="-89.221299999999999"/>
    <n v="5"/>
    <n v="0"/>
    <n v="0"/>
    <n v="107"/>
    <s v="_x0000_peopl"/>
  </r>
  <r>
    <x v="7"/>
    <n v="13.689399999999999"/>
    <n v="-89.221599999999995"/>
    <n v="3"/>
    <n v="0"/>
    <n v="0"/>
    <n v="107"/>
    <s v="_x0000_peopl"/>
  </r>
  <r>
    <x v="7"/>
    <n v="13.689299999999999"/>
    <n v="-89.221699999999998"/>
    <n v="5"/>
    <n v="0"/>
    <n v="0"/>
    <n v="107"/>
    <s v="_x0000_peopl"/>
  </r>
  <r>
    <x v="7"/>
    <n v="13.6892"/>
    <n v="-89.221599999999995"/>
    <n v="4"/>
    <n v="0"/>
    <n v="0"/>
    <n v="107"/>
    <s v="_x0000_peopl"/>
  </r>
  <r>
    <x v="7"/>
    <n v="13.6891"/>
    <n v="-89.221699999999998"/>
    <n v="5"/>
    <n v="0"/>
    <n v="0"/>
    <n v="107"/>
    <s v="_x0000_peopl"/>
  </r>
  <r>
    <x v="7"/>
    <n v="13.689"/>
    <n v="-89.221699999999998"/>
    <n v="3"/>
    <n v="0"/>
    <n v="0"/>
    <n v="107"/>
    <s v="_x0000_peopl"/>
  </r>
  <r>
    <x v="7"/>
    <n v="13.6904"/>
    <n v="-89.221100000000007"/>
    <n v="3"/>
    <n v="0"/>
    <n v="0"/>
    <n v="107"/>
    <s v="_x0000_peopl"/>
  </r>
  <r>
    <x v="7"/>
    <n v="13.6904"/>
    <n v="-89.221299999999999"/>
    <n v="8"/>
    <n v="0"/>
    <n v="0"/>
    <n v="107"/>
    <s v="_x0000_peopl"/>
  </r>
  <r>
    <x v="7"/>
    <n v="13.690300000000001"/>
    <n v="-89.221299999999999"/>
    <n v="7"/>
    <n v="0"/>
    <n v="0"/>
    <n v="107"/>
    <s v="_x0000_peopl"/>
  </r>
  <r>
    <x v="7"/>
    <n v="13.690200000000001"/>
    <n v="-89.221299999999999"/>
    <n v="3"/>
    <n v="0"/>
    <n v="0"/>
    <n v="107"/>
    <s v="_x0000_peopl"/>
  </r>
  <r>
    <x v="7"/>
    <n v="13.690200000000001"/>
    <n v="-89.221599999999995"/>
    <n v="4"/>
    <n v="0"/>
    <n v="0"/>
    <n v="107"/>
    <s v="_x0000_peopl"/>
  </r>
  <r>
    <x v="7"/>
    <n v="13.690200000000001"/>
    <n v="-89.221299999999999"/>
    <n v="6"/>
    <n v="0"/>
    <n v="0"/>
    <n v="107"/>
    <s v="_x0000_peopl"/>
  </r>
  <r>
    <x v="7"/>
    <n v="13.690099999999999"/>
    <n v="-89.221299999999999"/>
    <n v="9"/>
    <n v="0"/>
    <n v="0"/>
    <n v="107"/>
    <s v="_x0000_peopl"/>
  </r>
  <r>
    <x v="7"/>
    <n v="13.6898"/>
    <n v="-89.219700000000003"/>
    <n v="4"/>
    <n v="0"/>
    <n v="0"/>
    <n v="107"/>
    <s v="_x0000_peopl"/>
  </r>
  <r>
    <x v="7"/>
    <n v="13.6897"/>
    <n v="-89.219399999999993"/>
    <n v="3"/>
    <n v="0"/>
    <n v="0"/>
    <n v="107"/>
    <s v="_x0000_peopl"/>
  </r>
  <r>
    <x v="7"/>
    <n v="13.6896"/>
    <n v="-89.219300000000004"/>
    <n v="4"/>
    <n v="0"/>
    <n v="0"/>
    <n v="107"/>
    <s v="_x0000_peopl"/>
  </r>
  <r>
    <x v="7"/>
    <n v="13.689399999999999"/>
    <n v="-89.218900000000005"/>
    <n v="7"/>
    <n v="0"/>
    <n v="0"/>
    <n v="107"/>
    <s v="_x0000_peopl"/>
  </r>
  <r>
    <x v="7"/>
    <n v="13.689299999999999"/>
    <n v="-89.218699999999998"/>
    <n v="4"/>
    <n v="0"/>
    <n v="0"/>
    <n v="107"/>
    <s v="_x0000_peopl"/>
  </r>
  <r>
    <x v="7"/>
    <n v="13.6892"/>
    <n v="-89.218599999999995"/>
    <n v="5"/>
    <n v="0"/>
    <n v="0"/>
    <n v="107"/>
    <s v="_x0000_peopl"/>
  </r>
  <r>
    <x v="7"/>
    <n v="13.689"/>
    <n v="-89.218599999999995"/>
    <n v="1"/>
    <n v="0"/>
    <n v="0"/>
    <n v="107"/>
    <s v="_x0000_peopl"/>
  </r>
  <r>
    <x v="7"/>
    <n v="13.6889"/>
    <n v="-89.218599999999995"/>
    <n v="5"/>
    <n v="0"/>
    <n v="0"/>
    <n v="107"/>
    <s v="_x0000_peopl"/>
  </r>
  <r>
    <x v="7"/>
    <n v="13.688800000000001"/>
    <n v="-89.218599999999995"/>
    <n v="3"/>
    <n v="0"/>
    <n v="0"/>
    <n v="107"/>
    <s v="_x0000_peopl"/>
  </r>
  <r>
    <x v="7"/>
    <n v="13.688800000000001"/>
    <n v="-89.218299999999999"/>
    <n v="5"/>
    <n v="0"/>
    <n v="0"/>
    <n v="107"/>
    <s v="_x0000_peopl"/>
  </r>
  <r>
    <x v="7"/>
    <n v="13.6891"/>
    <n v="-89.218800000000002"/>
    <n v="5"/>
    <n v="0"/>
    <n v="0"/>
    <n v="107"/>
    <s v="_x0000_peopl"/>
  </r>
  <r>
    <x v="7"/>
    <n v="13.689"/>
    <n v="-89.218800000000002"/>
    <n v="10"/>
    <n v="0"/>
    <n v="0"/>
    <n v="107"/>
    <s v="_x0000_peopl"/>
  </r>
  <r>
    <x v="7"/>
    <n v="13.6889"/>
    <n v="-89.218900000000005"/>
    <n v="4"/>
    <n v="0"/>
    <n v="0"/>
    <n v="107"/>
    <s v="_x0000_peopl"/>
  </r>
  <r>
    <x v="7"/>
    <n v="13.688599999999999"/>
    <n v="-89.218199999999996"/>
    <n v="6"/>
    <n v="0"/>
    <n v="0"/>
    <n v="107"/>
    <s v="_x0000_peopl"/>
  </r>
  <r>
    <x v="7"/>
    <n v="13.688499999999999"/>
    <n v="-89.218299999999999"/>
    <n v="3"/>
    <n v="0"/>
    <n v="0"/>
    <n v="107"/>
    <s v="_x0000_peopl"/>
  </r>
  <r>
    <x v="7"/>
    <n v="13.6884"/>
    <n v="-89.218299999999999"/>
    <n v="7"/>
    <n v="0"/>
    <n v="0"/>
    <n v="107"/>
    <s v="_x0000_peopl"/>
  </r>
  <r>
    <x v="7"/>
    <n v="13.688499999999999"/>
    <n v="-89.218000000000004"/>
    <n v="6"/>
    <n v="0"/>
    <n v="0"/>
    <n v="107"/>
    <s v="_x0000_peopl"/>
  </r>
  <r>
    <x v="7"/>
    <n v="13.688499999999999"/>
    <n v="-89.218000000000004"/>
    <n v="5"/>
    <n v="0"/>
    <n v="0"/>
    <n v="107"/>
    <s v="_x0000_peopl"/>
  </r>
  <r>
    <x v="7"/>
    <n v="13.6884"/>
    <n v="-89.218000000000004"/>
    <n v="7"/>
    <n v="0"/>
    <n v="0"/>
    <n v="107"/>
    <s v="_x0000_peopl"/>
  </r>
  <r>
    <x v="7"/>
    <n v="13.6884"/>
    <n v="-89.218000000000004"/>
    <n v="10"/>
    <n v="0"/>
    <n v="0"/>
    <n v="107"/>
    <s v="_x0000_peopl"/>
  </r>
  <r>
    <x v="7"/>
    <n v="13.688599999999999"/>
    <n v="-89.218000000000004"/>
    <n v="5"/>
    <n v="0"/>
    <n v="0"/>
    <n v="107"/>
    <s v="_x0000_peopl"/>
  </r>
  <r>
    <x v="7"/>
    <n v="13.688599999999999"/>
    <n v="-89.218000000000004"/>
    <n v="3"/>
    <n v="0"/>
    <n v="0"/>
    <n v="107"/>
    <s v="_x0000_peopl"/>
  </r>
  <r>
    <x v="7"/>
    <n v="13.688499999999999"/>
    <n v="-89.2179"/>
    <n v="4"/>
    <n v="0"/>
    <n v="0"/>
    <n v="107"/>
    <s v="_x0000_peopl"/>
  </r>
  <r>
    <x v="7"/>
    <n v="13.688499999999999"/>
    <n v="-89.2179"/>
    <n v="10"/>
    <n v="0"/>
    <n v="0"/>
    <n v="107"/>
    <s v="_x0000_peopl"/>
  </r>
  <r>
    <x v="7"/>
    <n v="13.6884"/>
    <n v="-89.218000000000004"/>
    <n v="3"/>
    <n v="0"/>
    <n v="0"/>
    <n v="107"/>
    <s v="_x0000_peopl"/>
  </r>
  <r>
    <x v="7"/>
    <n v="13.6883"/>
    <n v="-89.218100000000007"/>
    <n v="4"/>
    <n v="0"/>
    <n v="0"/>
    <n v="107"/>
    <s v="_x0000_peopl"/>
  </r>
  <r>
    <x v="7"/>
    <n v="13.6883"/>
    <n v="-89.218000000000004"/>
    <n v="9"/>
    <n v="0"/>
    <n v="0"/>
    <n v="107"/>
    <s v="_x0000_peopl"/>
  </r>
  <r>
    <x v="7"/>
    <n v="13.6883"/>
    <n v="-89.218000000000004"/>
    <n v="6"/>
    <n v="0"/>
    <n v="0"/>
    <n v="107"/>
    <s v="_x0000_peopl"/>
  </r>
  <r>
    <x v="7"/>
    <n v="13.6884"/>
    <n v="-89.2179"/>
    <n v="3"/>
    <n v="0"/>
    <n v="0"/>
    <n v="107"/>
    <s v="_x0000_peopl"/>
  </r>
  <r>
    <x v="7"/>
    <n v="13.6884"/>
    <n v="-89.2179"/>
    <n v="8"/>
    <n v="0"/>
    <n v="0"/>
    <n v="107"/>
    <s v="_x0000_peopl"/>
  </r>
  <r>
    <x v="7"/>
    <n v="13.6884"/>
    <n v="-89.217799999999997"/>
    <n v="5"/>
    <n v="0"/>
    <n v="0"/>
    <n v="107"/>
    <s v="_x0000_peopl"/>
  </r>
  <r>
    <x v="7"/>
    <n v="13.6884"/>
    <n v="-89.217699999999994"/>
    <n v="6"/>
    <n v="0"/>
    <n v="0"/>
    <n v="107"/>
    <s v="_x0000_peopl"/>
  </r>
  <r>
    <x v="7"/>
    <n v="13.6883"/>
    <n v="-89.217799999999997"/>
    <n v="5"/>
    <n v="0"/>
    <n v="0"/>
    <n v="107"/>
    <s v="_x0000_peopl"/>
  </r>
  <r>
    <x v="7"/>
    <n v="13.6883"/>
    <n v="-89.217799999999997"/>
    <n v="5"/>
    <n v="0"/>
    <n v="0"/>
    <n v="107"/>
    <s v="_x0000_peopl"/>
  </r>
  <r>
    <x v="7"/>
    <n v="13.6883"/>
    <n v="-89.2179"/>
    <n v="2"/>
    <n v="0"/>
    <n v="0"/>
    <n v="107"/>
    <s v="_x0000_peopl"/>
  </r>
  <r>
    <x v="7"/>
    <n v="13.6883"/>
    <n v="-89.2179"/>
    <n v="8"/>
    <n v="0"/>
    <n v="0"/>
    <n v="107"/>
    <s v="_x0000_peopl"/>
  </r>
  <r>
    <x v="7"/>
    <n v="13.6883"/>
    <n v="-89.217799999999997"/>
    <n v="2"/>
    <n v="0"/>
    <n v="0"/>
    <n v="107"/>
    <s v="_x0000_peopl"/>
  </r>
  <r>
    <x v="7"/>
    <n v="13.6884"/>
    <n v="-89.217699999999994"/>
    <n v="3"/>
    <n v="0"/>
    <n v="0"/>
    <n v="107"/>
    <s v="_x0000_peopl"/>
  </r>
  <r>
    <x v="7"/>
    <n v="13.6883"/>
    <n v="-89.217699999999994"/>
    <n v="7"/>
    <n v="0"/>
    <n v="0"/>
    <n v="107"/>
    <s v="_x0000_peopl"/>
  </r>
  <r>
    <x v="7"/>
    <n v="13.6883"/>
    <n v="-89.217699999999994"/>
    <n v="4"/>
    <n v="0"/>
    <n v="0"/>
    <n v="107"/>
    <s v="_x0000_peopl"/>
  </r>
  <r>
    <x v="7"/>
    <n v="13.6884"/>
    <n v="-89.217600000000004"/>
    <n v="3"/>
    <n v="0"/>
    <n v="0"/>
    <n v="107"/>
    <s v="_x0000_peopl"/>
  </r>
  <r>
    <x v="7"/>
    <n v="13.6883"/>
    <n v="-89.217600000000004"/>
    <n v="7"/>
    <n v="0"/>
    <n v="0"/>
    <n v="107"/>
    <s v="_x0000_peopl"/>
  </r>
  <r>
    <x v="7"/>
    <n v="13.6883"/>
    <n v="-89.217600000000004"/>
    <n v="8"/>
    <n v="0"/>
    <n v="0"/>
    <n v="107"/>
    <s v="_x0000_peopl"/>
  </r>
  <r>
    <x v="7"/>
    <n v="13.688599999999999"/>
    <n v="-89.219099999999997"/>
    <n v="3"/>
    <n v="0"/>
    <n v="0"/>
    <n v="107"/>
    <s v="_x0000_peopl"/>
  </r>
  <r>
    <x v="7"/>
    <n v="13.688499999999999"/>
    <n v="-89.219099999999997"/>
    <n v="4"/>
    <n v="0"/>
    <n v="0"/>
    <n v="107"/>
    <s v="_x0000_peopl"/>
  </r>
  <r>
    <x v="7"/>
    <n v="13.6884"/>
    <n v="-89.219200000000001"/>
    <n v="7"/>
    <n v="0"/>
    <n v="0"/>
    <n v="107"/>
    <s v="_x0000_peopl"/>
  </r>
  <r>
    <x v="7"/>
    <n v="13.688599999999999"/>
    <n v="-89.218800000000002"/>
    <n v="5"/>
    <n v="0"/>
    <n v="0"/>
    <n v="107"/>
    <s v="_x0000_peopl"/>
  </r>
  <r>
    <x v="7"/>
    <n v="13.688499999999999"/>
    <n v="-89.218800000000002"/>
    <n v="3"/>
    <n v="0"/>
    <n v="0"/>
    <n v="107"/>
    <s v="_x0000_peopl"/>
  </r>
  <r>
    <x v="7"/>
    <n v="13.6884"/>
    <n v="-89.218900000000005"/>
    <n v="11"/>
    <n v="0"/>
    <n v="0"/>
    <n v="107"/>
    <s v="_x0000_peopl"/>
  </r>
  <r>
    <x v="7"/>
    <n v="13.6883"/>
    <n v="-89.218999999999994"/>
    <n v="5"/>
    <n v="0"/>
    <n v="0"/>
    <n v="107"/>
    <s v="_x0000_peopl"/>
  </r>
  <r>
    <x v="7"/>
    <n v="13.6883"/>
    <n v="-89.218900000000005"/>
    <n v="6"/>
    <n v="0"/>
    <n v="0"/>
    <n v="107"/>
    <s v="_x0000_peopl"/>
  </r>
  <r>
    <x v="7"/>
    <n v="13.6884"/>
    <n v="-89.218599999999995"/>
    <n v="3"/>
    <n v="0"/>
    <n v="0"/>
    <n v="107"/>
    <s v="_x0000_peopl"/>
  </r>
  <r>
    <x v="7"/>
    <n v="13.688499999999999"/>
    <n v="-89.218599999999995"/>
    <n v="3"/>
    <n v="0"/>
    <n v="0"/>
    <n v="107"/>
    <s v="_x0000_peopl"/>
  </r>
  <r>
    <x v="7"/>
    <n v="13.688499999999999"/>
    <n v="-89.218500000000006"/>
    <n v="4"/>
    <n v="0"/>
    <n v="0"/>
    <n v="107"/>
    <s v="_x0000_peopl"/>
  </r>
  <r>
    <x v="7"/>
    <n v="13.688599999999999"/>
    <n v="-89.218500000000006"/>
    <n v="4"/>
    <n v="0"/>
    <n v="0"/>
    <n v="107"/>
    <s v="_x0000_peopl"/>
  </r>
  <r>
    <x v="7"/>
    <n v="13.6883"/>
    <n v="-89.218299999999999"/>
    <n v="6"/>
    <n v="0"/>
    <n v="0"/>
    <n v="107"/>
    <s v="_x0000_peopl"/>
  </r>
  <r>
    <x v="7"/>
    <n v="13.6882"/>
    <n v="-89.218299999999999"/>
    <n v="4"/>
    <n v="0"/>
    <n v="0"/>
    <n v="107"/>
    <s v="_x0000_peopl"/>
  </r>
  <r>
    <x v="7"/>
    <n v="13.6882"/>
    <n v="-89.218599999999995"/>
    <n v="0"/>
    <n v="0"/>
    <n v="0"/>
    <n v="107"/>
    <s v="_x0000_peopl"/>
  </r>
  <r>
    <x v="7"/>
    <n v="13.6882"/>
    <n v="-89.218800000000002"/>
    <n v="5"/>
    <n v="0"/>
    <n v="0"/>
    <n v="107"/>
    <s v="_x0000_peopl"/>
  </r>
  <r>
    <x v="7"/>
    <n v="13.6883"/>
    <n v="-89.218800000000002"/>
    <n v="9"/>
    <n v="0"/>
    <n v="0"/>
    <n v="107"/>
    <s v="_x0000_peopl"/>
  </r>
  <r>
    <x v="7"/>
    <n v="13.6882"/>
    <n v="-89.219300000000004"/>
    <n v="7"/>
    <n v="0"/>
    <n v="0"/>
    <n v="107"/>
    <s v="_x0000_peopl"/>
  </r>
  <r>
    <x v="7"/>
    <n v="13.6884"/>
    <n v="-89.219499999999996"/>
    <n v="7"/>
    <n v="0"/>
    <n v="0"/>
    <n v="107"/>
    <s v="_x0000_peopl"/>
  </r>
  <r>
    <x v="7"/>
    <n v="13.6883"/>
    <n v="-89.2196"/>
    <n v="5"/>
    <n v="0"/>
    <n v="0"/>
    <n v="107"/>
    <s v="_x0000_peopl"/>
  </r>
  <r>
    <x v="7"/>
    <n v="13.6883"/>
    <n v="-89.219700000000003"/>
    <n v="5"/>
    <n v="0"/>
    <n v="0"/>
    <n v="107"/>
    <s v="_x0000_peopl"/>
  </r>
  <r>
    <x v="7"/>
    <n v="13.6882"/>
    <n v="-89.219700000000003"/>
    <n v="5"/>
    <n v="0"/>
    <n v="0"/>
    <n v="107"/>
    <s v="_x0000_peopl"/>
  </r>
  <r>
    <x v="7"/>
    <n v="13.6881"/>
    <n v="-89.219800000000006"/>
    <n v="6"/>
    <n v="0"/>
    <n v="0"/>
    <n v="107"/>
    <s v="_x0000_peopl"/>
  </r>
  <r>
    <x v="7"/>
    <n v="13.6882"/>
    <n v="-89.219300000000004"/>
    <n v="6"/>
    <n v="0"/>
    <n v="0"/>
    <n v="107"/>
    <s v="_x0000_peopl"/>
  </r>
  <r>
    <x v="7"/>
    <n v="13.6883"/>
    <n v="-89.219899999999996"/>
    <n v="4"/>
    <n v="0"/>
    <n v="0"/>
    <n v="107"/>
    <s v="_x0000_peopl"/>
  </r>
  <r>
    <x v="7"/>
    <n v="13.6882"/>
    <n v="-89.22"/>
    <n v="10"/>
    <n v="0"/>
    <n v="0"/>
    <n v="107"/>
    <s v="_x0000_peopl"/>
  </r>
  <r>
    <x v="7"/>
    <n v="13.6881"/>
    <n v="-89.220100000000002"/>
    <n v="4"/>
    <n v="0"/>
    <n v="0"/>
    <n v="107"/>
    <s v="_x0000_peopl"/>
  </r>
  <r>
    <x v="7"/>
    <n v="13.6883"/>
    <n v="-89.220699999999994"/>
    <n v="5"/>
    <n v="0"/>
    <n v="0"/>
    <n v="107"/>
    <s v="_x0000_peopl"/>
  </r>
  <r>
    <x v="7"/>
    <n v="13.6883"/>
    <n v="-89.220600000000005"/>
    <n v="6"/>
    <n v="0"/>
    <n v="0"/>
    <n v="107"/>
    <s v="_x0000_peopl"/>
  </r>
  <r>
    <x v="7"/>
    <n v="13.6884"/>
    <n v="-89.220200000000006"/>
    <n v="4"/>
    <n v="0"/>
    <n v="0"/>
    <n v="107"/>
    <s v="_x0000_peopl"/>
  </r>
  <r>
    <x v="7"/>
    <n v="13.6881"/>
    <n v="-89.219800000000006"/>
    <n v="4"/>
    <n v="0"/>
    <n v="0"/>
    <n v="107"/>
    <s v="_x0000_peopl"/>
  </r>
  <r>
    <x v="7"/>
    <n v="13.6882"/>
    <n v="-89.217600000000004"/>
    <n v="7"/>
    <n v="0"/>
    <n v="0"/>
    <n v="107"/>
    <s v="_x0000_peopl"/>
  </r>
  <r>
    <x v="7"/>
    <n v="13.6882"/>
    <n v="-89.217699999999994"/>
    <n v="8"/>
    <n v="0"/>
    <n v="0"/>
    <n v="107"/>
    <s v="_x0000_peopl"/>
  </r>
  <r>
    <x v="7"/>
    <n v="13.6883"/>
    <n v="-89.217799999999997"/>
    <n v="6"/>
    <n v="0"/>
    <n v="0"/>
    <n v="107"/>
    <s v="_x0000_peopl"/>
  </r>
  <r>
    <x v="7"/>
    <n v="13.6882"/>
    <n v="-89.217799999999997"/>
    <n v="7"/>
    <n v="0"/>
    <n v="0"/>
    <n v="107"/>
    <s v="_x0000_peopl"/>
  </r>
  <r>
    <x v="7"/>
    <n v="13.6882"/>
    <n v="-89.2179"/>
    <n v="4"/>
    <n v="0"/>
    <n v="0"/>
    <n v="107"/>
    <s v="_x0000_peopl"/>
  </r>
  <r>
    <x v="7"/>
    <n v="13.6882"/>
    <n v="-89.2179"/>
    <n v="5"/>
    <n v="0"/>
    <n v="0"/>
    <n v="107"/>
    <s v="_x0000_peopl"/>
  </r>
  <r>
    <x v="7"/>
    <n v="13.6882"/>
    <n v="-89.218000000000004"/>
    <n v="6"/>
    <n v="0"/>
    <n v="0"/>
    <n v="107"/>
    <s v="_x0000_peopl"/>
  </r>
  <r>
    <x v="7"/>
    <n v="13.6882"/>
    <n v="-89.218000000000004"/>
    <n v="3"/>
    <n v="0"/>
    <n v="0"/>
    <n v="107"/>
    <s v="_x0000_peopl"/>
  </r>
  <r>
    <x v="7"/>
    <n v="13.6881"/>
    <n v="-89.218000000000004"/>
    <n v="2"/>
    <n v="0"/>
    <n v="0"/>
    <n v="107"/>
    <s v="_x0000_peopl"/>
  </r>
  <r>
    <x v="7"/>
    <n v="13.6881"/>
    <n v="-89.2179"/>
    <n v="8"/>
    <n v="0"/>
    <n v="0"/>
    <n v="107"/>
    <s v="_x0000_peopl"/>
  </r>
  <r>
    <x v="7"/>
    <n v="13.6881"/>
    <n v="-89.2179"/>
    <n v="6"/>
    <n v="0"/>
    <n v="0"/>
    <n v="107"/>
    <s v="_x0000_peopl"/>
  </r>
  <r>
    <x v="7"/>
    <n v="13.6882"/>
    <n v="-89.218000000000004"/>
    <n v="7"/>
    <n v="0"/>
    <n v="0"/>
    <n v="107"/>
    <s v="_x0000_peopl"/>
  </r>
  <r>
    <x v="7"/>
    <n v="13.6882"/>
    <n v="-89.218100000000007"/>
    <n v="5"/>
    <n v="0"/>
    <n v="0"/>
    <n v="107"/>
    <s v="_x0000_peopl"/>
  </r>
  <r>
    <x v="7"/>
    <n v="13.6882"/>
    <n v="-89.218199999999996"/>
    <n v="5"/>
    <n v="0"/>
    <n v="0"/>
    <n v="107"/>
    <s v="_x0000_peopl"/>
  </r>
  <r>
    <x v="7"/>
    <n v="13.6882"/>
    <n v="-89.218100000000007"/>
    <n v="2"/>
    <n v="0"/>
    <n v="0"/>
    <n v="107"/>
    <s v="_x0000_peopl"/>
  </r>
  <r>
    <x v="7"/>
    <n v="13.6882"/>
    <n v="-89.218000000000004"/>
    <n v="7"/>
    <n v="0"/>
    <n v="0"/>
    <n v="107"/>
    <s v="_x0000_peopl"/>
  </r>
  <r>
    <x v="7"/>
    <n v="13.6877"/>
    <n v="-89.217699999999994"/>
    <n v="4"/>
    <n v="0"/>
    <n v="0"/>
    <n v="107"/>
    <s v="_x0000_peopl"/>
  </r>
  <r>
    <x v="7"/>
    <n v="13.6881"/>
    <n v="-89.211100000000002"/>
    <n v="6"/>
    <n v="0"/>
    <n v="0"/>
    <n v="107"/>
    <s v="_x0000_peopl"/>
  </r>
  <r>
    <x v="7"/>
    <n v="13.6881"/>
    <n v="-89.211100000000002"/>
    <n v="5"/>
    <n v="0"/>
    <n v="0"/>
    <n v="107"/>
    <s v="_x0000_peopl"/>
  </r>
  <r>
    <x v="7"/>
    <n v="13.6881"/>
    <n v="-89.211100000000002"/>
    <n v="7"/>
    <n v="0"/>
    <n v="0"/>
    <n v="107"/>
    <s v="_x0000_peopl"/>
  </r>
  <r>
    <x v="7"/>
    <n v="13.6881"/>
    <n v="-89.211100000000002"/>
    <n v="9"/>
    <n v="0"/>
    <n v="0"/>
    <n v="107"/>
    <s v="_x0000_peopl"/>
  </r>
  <r>
    <x v="7"/>
    <n v="13.6881"/>
    <n v="-89.210999999999999"/>
    <n v="7"/>
    <n v="0"/>
    <n v="0"/>
    <n v="107"/>
    <s v="_x0000_peopl"/>
  </r>
  <r>
    <x v="7"/>
    <n v="13.6881"/>
    <n v="-89.210999999999999"/>
    <n v="6"/>
    <n v="0"/>
    <n v="0"/>
    <n v="107"/>
    <s v="_x0000_peopl"/>
  </r>
  <r>
    <x v="7"/>
    <n v="13.6881"/>
    <n v="-89.210999999999999"/>
    <n v="4"/>
    <n v="0"/>
    <n v="0"/>
    <n v="107"/>
    <s v="_x0000_peopl"/>
  </r>
  <r>
    <x v="7"/>
    <n v="13.6881"/>
    <n v="-89.210999999999999"/>
    <n v="5"/>
    <n v="0"/>
    <n v="0"/>
    <n v="107"/>
    <s v="_x0000_peopl"/>
  </r>
  <r>
    <x v="7"/>
    <n v="13.6881"/>
    <n v="-89.210899999999995"/>
    <n v="6"/>
    <n v="0"/>
    <n v="0"/>
    <n v="107"/>
    <s v="_x0000_peopl"/>
  </r>
  <r>
    <x v="7"/>
    <n v="13.6881"/>
    <n v="-89.210899999999995"/>
    <n v="3"/>
    <n v="0"/>
    <n v="0"/>
    <n v="107"/>
    <s v="_x0000_peopl"/>
  </r>
  <r>
    <x v="7"/>
    <n v="13.6881"/>
    <n v="-89.210899999999995"/>
    <n v="6"/>
    <n v="0"/>
    <n v="0"/>
    <n v="107"/>
    <s v="_x0000_peopl"/>
  </r>
  <r>
    <x v="7"/>
    <n v="13.6881"/>
    <n v="-89.210899999999995"/>
    <n v="6"/>
    <n v="0"/>
    <n v="0"/>
    <n v="107"/>
    <s v="_x0000_peopl"/>
  </r>
  <r>
    <x v="7"/>
    <n v="13.6881"/>
    <n v="-89.210800000000006"/>
    <n v="5"/>
    <n v="0"/>
    <n v="0"/>
    <n v="107"/>
    <s v="_x0000_peopl"/>
  </r>
  <r>
    <x v="7"/>
    <n v="13.6881"/>
    <n v="-89.210800000000006"/>
    <n v="6"/>
    <n v="0"/>
    <n v="0"/>
    <n v="107"/>
    <s v="_x0000_peopl"/>
  </r>
  <r>
    <x v="7"/>
    <n v="13.6881"/>
    <n v="-89.210800000000006"/>
    <n v="6"/>
    <n v="0"/>
    <n v="0"/>
    <n v="107"/>
    <s v="_x0000_peopl"/>
  </r>
  <r>
    <x v="7"/>
    <n v="13.6881"/>
    <n v="-89.210800000000006"/>
    <n v="5"/>
    <n v="0"/>
    <n v="0"/>
    <n v="107"/>
    <s v="_x0000_peopl"/>
  </r>
  <r>
    <x v="7"/>
    <n v="13.6881"/>
    <n v="-89.210700000000003"/>
    <n v="5"/>
    <n v="0"/>
    <n v="0"/>
    <n v="107"/>
    <s v="_x0000_peopl"/>
  </r>
  <r>
    <x v="7"/>
    <n v="13.6881"/>
    <n v="-89.210700000000003"/>
    <n v="3"/>
    <n v="0"/>
    <n v="0"/>
    <n v="107"/>
    <s v="_x0000_peopl"/>
  </r>
  <r>
    <x v="7"/>
    <n v="13.6881"/>
    <n v="-89.210700000000003"/>
    <n v="2"/>
    <n v="0"/>
    <n v="0"/>
    <n v="107"/>
    <s v="_x0000_peopl"/>
  </r>
  <r>
    <x v="7"/>
    <n v="13.6881"/>
    <n v="-89.210700000000003"/>
    <n v="5"/>
    <n v="0"/>
    <n v="0"/>
    <n v="107"/>
    <s v="_x0000_peopl"/>
  </r>
  <r>
    <x v="7"/>
    <n v="13.6881"/>
    <n v="-89.210599999999999"/>
    <n v="3"/>
    <n v="0"/>
    <n v="0"/>
    <n v="107"/>
    <s v="_x0000_peopl"/>
  </r>
  <r>
    <x v="7"/>
    <n v="13.6881"/>
    <n v="-89.210599999999999"/>
    <n v="2"/>
    <n v="0"/>
    <n v="0"/>
    <n v="107"/>
    <s v="_x0000_peopl"/>
  </r>
  <r>
    <x v="7"/>
    <n v="13.6881"/>
    <n v="-89.210599999999999"/>
    <n v="3"/>
    <n v="0"/>
    <n v="0"/>
    <n v="107"/>
    <s v="_x0000_peopl"/>
  </r>
  <r>
    <x v="7"/>
    <n v="13.6881"/>
    <n v="-89.210599999999999"/>
    <n v="8"/>
    <n v="0"/>
    <n v="0"/>
    <n v="107"/>
    <s v="_x0000_peopl"/>
  </r>
  <r>
    <x v="7"/>
    <n v="13.6881"/>
    <n v="-89.210499999999996"/>
    <n v="6"/>
    <n v="0"/>
    <n v="0"/>
    <n v="107"/>
    <s v="_x0000_peopl"/>
  </r>
  <r>
    <x v="7"/>
    <n v="13.6881"/>
    <n v="-89.210499999999996"/>
    <n v="0"/>
    <n v="0"/>
    <n v="0"/>
    <n v="107"/>
    <s v="_x0000_peopl"/>
  </r>
  <r>
    <x v="7"/>
    <n v="13.6881"/>
    <n v="-89.210499999999996"/>
    <n v="3"/>
    <n v="0"/>
    <n v="0"/>
    <n v="107"/>
    <s v="_x0000_peopl"/>
  </r>
  <r>
    <x v="7"/>
    <n v="13.6881"/>
    <n v="-89.210499999999996"/>
    <n v="7"/>
    <n v="0"/>
    <n v="0"/>
    <n v="107"/>
    <s v="_x0000_peopl"/>
  </r>
  <r>
    <x v="7"/>
    <n v="13.6881"/>
    <n v="-89.210400000000007"/>
    <n v="11"/>
    <n v="0"/>
    <n v="0"/>
    <n v="107"/>
    <s v="_x0000_peopl"/>
  </r>
  <r>
    <x v="7"/>
    <n v="13.6881"/>
    <n v="-89.210400000000007"/>
    <n v="1"/>
    <n v="0"/>
    <n v="0"/>
    <n v="107"/>
    <s v="_x0000_peopl"/>
  </r>
  <r>
    <x v="7"/>
    <n v="13.6881"/>
    <n v="-89.210400000000007"/>
    <n v="2"/>
    <n v="0"/>
    <n v="0"/>
    <n v="107"/>
    <s v="_x0000_peopl"/>
  </r>
  <r>
    <x v="7"/>
    <n v="13.6881"/>
    <n v="-89.210400000000007"/>
    <n v="6"/>
    <n v="0"/>
    <n v="0"/>
    <n v="107"/>
    <s v="_x0000_peopl"/>
  </r>
  <r>
    <x v="7"/>
    <n v="13.6882"/>
    <n v="-89.210300000000004"/>
    <n v="2"/>
    <n v="0"/>
    <n v="0"/>
    <n v="107"/>
    <s v="_x0000_peopl"/>
  </r>
  <r>
    <x v="7"/>
    <n v="13.6882"/>
    <n v="-89.210300000000004"/>
    <n v="5"/>
    <n v="0"/>
    <n v="0"/>
    <n v="107"/>
    <s v="_x0000_peopl"/>
  </r>
  <r>
    <x v="7"/>
    <n v="13.6882"/>
    <n v="-89.210300000000004"/>
    <n v="2"/>
    <n v="0"/>
    <n v="0"/>
    <n v="107"/>
    <s v="_x0000_peopl"/>
  </r>
  <r>
    <x v="7"/>
    <n v="13.6882"/>
    <n v="-89.210300000000004"/>
    <n v="4"/>
    <n v="0"/>
    <n v="0"/>
    <n v="107"/>
    <s v="_x0000_peopl"/>
  </r>
  <r>
    <x v="7"/>
    <n v="13.6882"/>
    <n v="-89.2102"/>
    <n v="4"/>
    <n v="0"/>
    <n v="0"/>
    <n v="107"/>
    <s v="_x0000_peopl"/>
  </r>
  <r>
    <x v="7"/>
    <n v="13.6882"/>
    <n v="-89.2102"/>
    <n v="5"/>
    <n v="0"/>
    <n v="0"/>
    <n v="107"/>
    <s v="_x0000_peopl"/>
  </r>
  <r>
    <x v="7"/>
    <n v="13.6882"/>
    <n v="-89.2102"/>
    <n v="4"/>
    <n v="0"/>
    <n v="0"/>
    <n v="107"/>
    <s v="_x0000_peopl"/>
  </r>
  <r>
    <x v="7"/>
    <n v="13.6881"/>
    <n v="-89.2102"/>
    <n v="8"/>
    <n v="0"/>
    <n v="0"/>
    <n v="107"/>
    <s v="_x0000_peopl"/>
  </r>
  <r>
    <x v="7"/>
    <n v="13.6882"/>
    <n v="-89.210099999999997"/>
    <n v="3"/>
    <n v="0"/>
    <n v="0"/>
    <n v="107"/>
    <s v="_x0000_peopl"/>
  </r>
  <r>
    <x v="7"/>
    <n v="13.6882"/>
    <n v="-89.210099999999997"/>
    <n v="9"/>
    <n v="0"/>
    <n v="0"/>
    <n v="107"/>
    <s v="_x0000_peopl"/>
  </r>
  <r>
    <x v="7"/>
    <n v="13.6882"/>
    <n v="-89.210099999999997"/>
    <n v="6"/>
    <n v="0"/>
    <n v="0"/>
    <n v="107"/>
    <s v="_x0000_peopl"/>
  </r>
  <r>
    <x v="7"/>
    <n v="13.6881"/>
    <n v="-89.210099999999997"/>
    <n v="4"/>
    <n v="0"/>
    <n v="0"/>
    <n v="107"/>
    <s v="_x0000_peopl"/>
  </r>
  <r>
    <x v="7"/>
    <n v="13.6882"/>
    <n v="-89.21"/>
    <n v="5"/>
    <n v="0"/>
    <n v="0"/>
    <n v="107"/>
    <s v="_x0000_peopl"/>
  </r>
  <r>
    <x v="7"/>
    <n v="13.6882"/>
    <n v="-89.21"/>
    <n v="4"/>
    <n v="0"/>
    <n v="0"/>
    <n v="107"/>
    <s v="_x0000_peopl"/>
  </r>
  <r>
    <x v="7"/>
    <n v="13.6881"/>
    <n v="-89.21"/>
    <n v="5"/>
    <n v="0"/>
    <n v="0"/>
    <n v="107"/>
    <s v="_x0000_peopl"/>
  </r>
  <r>
    <x v="7"/>
    <n v="13.6881"/>
    <n v="-89.21"/>
    <n v="7"/>
    <n v="0"/>
    <n v="0"/>
    <n v="107"/>
    <s v="_x0000_peopl"/>
  </r>
  <r>
    <x v="7"/>
    <n v="13.688000000000001"/>
    <n v="-89.211100000000002"/>
    <n v="4"/>
    <n v="0"/>
    <n v="0"/>
    <n v="107"/>
    <s v="_x0000_peopl"/>
  </r>
  <r>
    <x v="7"/>
    <n v="13.688000000000001"/>
    <n v="-89.211100000000002"/>
    <n v="7"/>
    <n v="0"/>
    <n v="0"/>
    <n v="107"/>
    <s v="_x0000_peopl"/>
  </r>
  <r>
    <x v="7"/>
    <n v="13.687900000000001"/>
    <n v="-89.211100000000002"/>
    <n v="9"/>
    <n v="0"/>
    <n v="0"/>
    <n v="107"/>
    <s v="_x0000_peopl"/>
  </r>
  <r>
    <x v="7"/>
    <n v="13.687900000000001"/>
    <n v="-89.211100000000002"/>
    <n v="6"/>
    <n v="0"/>
    <n v="0"/>
    <n v="107"/>
    <s v="_x0000_peopl"/>
  </r>
  <r>
    <x v="7"/>
    <n v="13.688000000000001"/>
    <n v="-89.210999999999999"/>
    <n v="6"/>
    <n v="0"/>
    <n v="0"/>
    <n v="107"/>
    <s v="_x0000_peopl"/>
  </r>
  <r>
    <x v="7"/>
    <n v="13.687900000000001"/>
    <n v="-89.210999999999999"/>
    <n v="11"/>
    <n v="0"/>
    <n v="0"/>
    <n v="107"/>
    <s v="_x0000_peopl"/>
  </r>
  <r>
    <x v="7"/>
    <n v="13.687900000000001"/>
    <n v="-89.210999999999999"/>
    <n v="4"/>
    <n v="0"/>
    <n v="0"/>
    <n v="107"/>
    <s v="_x0000_peopl"/>
  </r>
  <r>
    <x v="7"/>
    <n v="13.687900000000001"/>
    <n v="-89.210999999999999"/>
    <n v="6"/>
    <n v="0"/>
    <n v="0"/>
    <n v="107"/>
    <s v="_x0000_peopl"/>
  </r>
  <r>
    <x v="7"/>
    <n v="13.687900000000001"/>
    <n v="-89.210899999999995"/>
    <n v="9"/>
    <n v="0"/>
    <n v="0"/>
    <n v="107"/>
    <s v="_x0000_peopl"/>
  </r>
  <r>
    <x v="7"/>
    <n v="13.687900000000001"/>
    <n v="-89.210899999999995"/>
    <n v="1"/>
    <n v="0"/>
    <n v="0"/>
    <n v="107"/>
    <s v="_x0000_peopl"/>
  </r>
  <r>
    <x v="7"/>
    <n v="13.687900000000001"/>
    <n v="-89.210899999999995"/>
    <n v="4"/>
    <n v="0"/>
    <n v="0"/>
    <n v="107"/>
    <s v="_x0000_peopl"/>
  </r>
  <r>
    <x v="7"/>
    <n v="13.687900000000001"/>
    <n v="-89.210899999999995"/>
    <n v="5"/>
    <n v="0"/>
    <n v="0"/>
    <n v="107"/>
    <s v="_x0000_peopl"/>
  </r>
  <r>
    <x v="7"/>
    <n v="13.687900000000001"/>
    <n v="-89.210800000000006"/>
    <n v="9"/>
    <n v="0"/>
    <n v="0"/>
    <n v="107"/>
    <s v="_x0000_peopl"/>
  </r>
  <r>
    <x v="7"/>
    <n v="13.687900000000001"/>
    <n v="-89.210800000000006"/>
    <n v="5"/>
    <n v="0"/>
    <n v="0"/>
    <n v="107"/>
    <s v="_x0000_peopl"/>
  </r>
  <r>
    <x v="7"/>
    <n v="13.687900000000001"/>
    <n v="-89.210800000000006"/>
    <n v="3"/>
    <n v="0"/>
    <n v="0"/>
    <n v="107"/>
    <s v="_x0000_peopl"/>
  </r>
  <r>
    <x v="7"/>
    <n v="13.687900000000001"/>
    <n v="-89.210800000000006"/>
    <n v="6"/>
    <n v="0"/>
    <n v="0"/>
    <n v="107"/>
    <s v="_x0000_peopl"/>
  </r>
  <r>
    <x v="7"/>
    <n v="13.688000000000001"/>
    <n v="-89.210700000000003"/>
    <n v="5"/>
    <n v="0"/>
    <n v="0"/>
    <n v="107"/>
    <s v="_x0000_peopl"/>
  </r>
  <r>
    <x v="7"/>
    <n v="13.688000000000001"/>
    <n v="-89.210700000000003"/>
    <n v="6"/>
    <n v="0"/>
    <n v="0"/>
    <n v="107"/>
    <s v="_x0000_peopl"/>
  </r>
  <r>
    <x v="7"/>
    <n v="13.688000000000001"/>
    <n v="-89.210700000000003"/>
    <n v="4"/>
    <n v="0"/>
    <n v="0"/>
    <n v="107"/>
    <s v="_x0000_peopl"/>
  </r>
  <r>
    <x v="7"/>
    <n v="13.688000000000001"/>
    <n v="-89.210700000000003"/>
    <n v="5"/>
    <n v="0"/>
    <n v="0"/>
    <n v="107"/>
    <s v="_x0000_peopl"/>
  </r>
  <r>
    <x v="7"/>
    <n v="13.688000000000001"/>
    <n v="-89.210599999999999"/>
    <n v="5"/>
    <n v="0"/>
    <n v="0"/>
    <n v="107"/>
    <s v="_x0000_peopl"/>
  </r>
  <r>
    <x v="7"/>
    <n v="13.688000000000001"/>
    <n v="-89.210599999999999"/>
    <n v="8"/>
    <n v="0"/>
    <n v="0"/>
    <n v="107"/>
    <s v="_x0000_peopl"/>
  </r>
  <r>
    <x v="7"/>
    <n v="13.688000000000001"/>
    <n v="-89.210599999999999"/>
    <n v="5"/>
    <n v="0"/>
    <n v="0"/>
    <n v="107"/>
    <s v="_x0000_peopl"/>
  </r>
  <r>
    <x v="7"/>
    <n v="13.688000000000001"/>
    <n v="-89.210599999999999"/>
    <n v="8"/>
    <n v="0"/>
    <n v="0"/>
    <n v="107"/>
    <s v="_x0000_peopl"/>
  </r>
  <r>
    <x v="7"/>
    <n v="13.688000000000001"/>
    <n v="-89.210499999999996"/>
    <n v="5"/>
    <n v="0"/>
    <n v="0"/>
    <n v="107"/>
    <s v="_x0000_peopl"/>
  </r>
  <r>
    <x v="7"/>
    <n v="13.688000000000001"/>
    <n v="-89.210499999999996"/>
    <n v="2"/>
    <n v="0"/>
    <n v="0"/>
    <n v="107"/>
    <s v="_x0000_peopl"/>
  </r>
  <r>
    <x v="7"/>
    <n v="13.688000000000001"/>
    <n v="-89.210499999999996"/>
    <n v="5"/>
    <n v="0"/>
    <n v="0"/>
    <n v="107"/>
    <s v="_x0000_peopl"/>
  </r>
  <r>
    <x v="7"/>
    <n v="13.688000000000001"/>
    <n v="-89.210499999999996"/>
    <n v="8"/>
    <n v="0"/>
    <n v="0"/>
    <n v="107"/>
    <s v="_x0000_peopl"/>
  </r>
  <r>
    <x v="7"/>
    <n v="13.688000000000001"/>
    <n v="-89.210400000000007"/>
    <n v="7"/>
    <n v="0"/>
    <n v="0"/>
    <n v="107"/>
    <s v="_x0000_peopl"/>
  </r>
  <r>
    <x v="7"/>
    <n v="13.688000000000001"/>
    <n v="-89.210400000000007"/>
    <n v="3"/>
    <n v="0"/>
    <n v="0"/>
    <n v="107"/>
    <s v="_x0000_peopl"/>
  </r>
  <r>
    <x v="7"/>
    <n v="13.688000000000001"/>
    <n v="-89.210400000000007"/>
    <n v="4"/>
    <n v="0"/>
    <n v="0"/>
    <n v="107"/>
    <s v="_x0000_peopl"/>
  </r>
  <r>
    <x v="7"/>
    <n v="13.688000000000001"/>
    <n v="-89.210400000000007"/>
    <n v="4"/>
    <n v="0"/>
    <n v="0"/>
    <n v="107"/>
    <s v="_x0000_peopl"/>
  </r>
  <r>
    <x v="7"/>
    <n v="13.688000000000001"/>
    <n v="-89.210300000000004"/>
    <n v="6"/>
    <n v="0"/>
    <n v="0"/>
    <n v="107"/>
    <s v="_x0000_peopl"/>
  </r>
  <r>
    <x v="7"/>
    <n v="13.688000000000001"/>
    <n v="-89.210300000000004"/>
    <n v="5"/>
    <n v="0"/>
    <n v="0"/>
    <n v="107"/>
    <s v="_x0000_peopl"/>
  </r>
  <r>
    <x v="7"/>
    <n v="13.688000000000001"/>
    <n v="-89.210300000000004"/>
    <n v="6"/>
    <n v="0"/>
    <n v="0"/>
    <n v="107"/>
    <s v="_x0000_peopl"/>
  </r>
  <r>
    <x v="7"/>
    <n v="13.688000000000001"/>
    <n v="-89.210300000000004"/>
    <n v="4"/>
    <n v="0"/>
    <n v="0"/>
    <n v="107"/>
    <s v="_x0000_peopl"/>
  </r>
  <r>
    <x v="7"/>
    <n v="13.688000000000001"/>
    <n v="-89.2102"/>
    <n v="5"/>
    <n v="0"/>
    <n v="0"/>
    <n v="107"/>
    <s v="_x0000_peopl"/>
  </r>
  <r>
    <x v="7"/>
    <n v="13.688000000000001"/>
    <n v="-89.2102"/>
    <n v="12"/>
    <n v="0"/>
    <n v="0"/>
    <n v="107"/>
    <s v="_x0000_peopl"/>
  </r>
  <r>
    <x v="7"/>
    <n v="13.688000000000001"/>
    <n v="-89.2102"/>
    <n v="9"/>
    <n v="0"/>
    <n v="0"/>
    <n v="107"/>
    <s v="_x0000_peopl"/>
  </r>
  <r>
    <x v="7"/>
    <n v="13.688000000000001"/>
    <n v="-89.2102"/>
    <n v="5"/>
    <n v="0"/>
    <n v="0"/>
    <n v="107"/>
    <s v="_x0000_peopl"/>
  </r>
  <r>
    <x v="7"/>
    <n v="13.688000000000001"/>
    <n v="-89.210099999999997"/>
    <n v="8"/>
    <n v="0"/>
    <n v="0"/>
    <n v="107"/>
    <s v="_x0000_peopl"/>
  </r>
  <r>
    <x v="7"/>
    <n v="13.688000000000001"/>
    <n v="-89.210099999999997"/>
    <n v="5"/>
    <n v="0"/>
    <n v="0"/>
    <n v="107"/>
    <s v="_x0000_peopl"/>
  </r>
  <r>
    <x v="7"/>
    <n v="13.688000000000001"/>
    <n v="-89.210099999999997"/>
    <n v="4"/>
    <n v="0"/>
    <n v="0"/>
    <n v="107"/>
    <s v="_x0000_peopl"/>
  </r>
  <r>
    <x v="7"/>
    <n v="13.688000000000001"/>
    <n v="-89.210099999999997"/>
    <n v="1"/>
    <n v="0"/>
    <n v="0"/>
    <n v="107"/>
    <s v="_x0000_peopl"/>
  </r>
  <r>
    <x v="7"/>
    <n v="13.688000000000001"/>
    <n v="-89.21"/>
    <n v="4"/>
    <n v="0"/>
    <n v="0"/>
    <n v="107"/>
    <s v="_x0000_peopl"/>
  </r>
  <r>
    <x v="7"/>
    <n v="13.688000000000001"/>
    <n v="-89.21"/>
    <n v="6"/>
    <n v="0"/>
    <n v="0"/>
    <n v="107"/>
    <s v="_x0000_peopl"/>
  </r>
  <r>
    <x v="7"/>
    <n v="13.688000000000001"/>
    <n v="-89.21"/>
    <n v="5"/>
    <n v="0"/>
    <n v="0"/>
    <n v="107"/>
    <s v="_x0000_peopl"/>
  </r>
  <r>
    <x v="7"/>
    <n v="13.688000000000001"/>
    <n v="-89.21"/>
    <n v="2"/>
    <n v="0"/>
    <n v="0"/>
    <n v="107"/>
    <s v="_x0000_peopl"/>
  </r>
  <r>
    <x v="7"/>
    <n v="13.687799999999999"/>
    <n v="-89.211100000000002"/>
    <n v="5"/>
    <n v="0"/>
    <n v="0"/>
    <n v="107"/>
    <s v="_x0000_peopl"/>
  </r>
  <r>
    <x v="7"/>
    <n v="13.687799999999999"/>
    <n v="-89.211100000000002"/>
    <n v="4"/>
    <n v="0"/>
    <n v="0"/>
    <n v="107"/>
    <s v="_x0000_peopl"/>
  </r>
  <r>
    <x v="7"/>
    <n v="13.687799999999999"/>
    <n v="-89.211100000000002"/>
    <n v="4"/>
    <n v="0"/>
    <n v="0"/>
    <n v="107"/>
    <s v="_x0000_peopl"/>
  </r>
  <r>
    <x v="7"/>
    <n v="13.687799999999999"/>
    <n v="-89.211100000000002"/>
    <n v="7"/>
    <n v="0"/>
    <n v="0"/>
    <n v="107"/>
    <s v="_x0000_peopl"/>
  </r>
  <r>
    <x v="7"/>
    <n v="13.687799999999999"/>
    <n v="-89.210999999999999"/>
    <n v="5"/>
    <n v="0"/>
    <n v="0"/>
    <n v="107"/>
    <s v="_x0000_peopl"/>
  </r>
  <r>
    <x v="7"/>
    <n v="13.687799999999999"/>
    <n v="-89.210999999999999"/>
    <n v="11"/>
    <n v="0"/>
    <n v="0"/>
    <n v="107"/>
    <s v="_x0000_peopl"/>
  </r>
  <r>
    <x v="7"/>
    <n v="13.687799999999999"/>
    <n v="-89.210999999999999"/>
    <n v="8"/>
    <n v="0"/>
    <n v="0"/>
    <n v="107"/>
    <s v="_x0000_peopl"/>
  </r>
  <r>
    <x v="7"/>
    <n v="13.687799999999999"/>
    <n v="-89.210999999999999"/>
    <n v="5"/>
    <n v="0"/>
    <n v="0"/>
    <n v="107"/>
    <s v="_x0000_peopl"/>
  </r>
  <r>
    <x v="7"/>
    <n v="13.687799999999999"/>
    <n v="-89.210899999999995"/>
    <n v="3"/>
    <n v="0"/>
    <n v="0"/>
    <n v="107"/>
    <s v="_x0000_peopl"/>
  </r>
  <r>
    <x v="7"/>
    <n v="13.687799999999999"/>
    <n v="-89.210899999999995"/>
    <n v="7"/>
    <n v="0"/>
    <n v="0"/>
    <n v="107"/>
    <s v="_x0000_peopl"/>
  </r>
  <r>
    <x v="7"/>
    <n v="13.687799999999999"/>
    <n v="-89.210899999999995"/>
    <n v="4"/>
    <n v="0"/>
    <n v="0"/>
    <n v="107"/>
    <s v="_x0000_peopl"/>
  </r>
  <r>
    <x v="7"/>
    <n v="13.687799999999999"/>
    <n v="-89.210899999999995"/>
    <n v="11"/>
    <n v="0"/>
    <n v="0"/>
    <n v="107"/>
    <s v="_x0000_peopl"/>
  </r>
  <r>
    <x v="7"/>
    <n v="13.687799999999999"/>
    <n v="-89.210899999999995"/>
    <n v="3"/>
    <n v="0"/>
    <n v="0"/>
    <n v="107"/>
    <s v="_x0000_peopl"/>
  </r>
  <r>
    <x v="7"/>
    <n v="13.687799999999999"/>
    <n v="-89.210899999999995"/>
    <n v="8"/>
    <n v="0"/>
    <n v="0"/>
    <n v="107"/>
    <s v="_x0000_peopl"/>
  </r>
  <r>
    <x v="7"/>
    <n v="13.687799999999999"/>
    <n v="-89.210899999999995"/>
    <n v="5"/>
    <n v="0"/>
    <n v="0"/>
    <n v="107"/>
    <s v="_x0000_peopl"/>
  </r>
  <r>
    <x v="7"/>
    <n v="13.687799999999999"/>
    <n v="-89.210899999999995"/>
    <n v="9"/>
    <n v="0"/>
    <n v="0"/>
    <n v="107"/>
    <s v="_x0000_peopl"/>
  </r>
  <r>
    <x v="7"/>
    <n v="13.687900000000001"/>
    <n v="-89.210700000000003"/>
    <n v="9"/>
    <n v="0"/>
    <n v="0"/>
    <n v="107"/>
    <s v="_x0000_peopl"/>
  </r>
  <r>
    <x v="7"/>
    <n v="13.687799999999999"/>
    <n v="-89.210700000000003"/>
    <n v="1"/>
    <n v="0"/>
    <n v="0"/>
    <n v="107"/>
    <s v="_x0000_peopl"/>
  </r>
  <r>
    <x v="7"/>
    <n v="13.687799999999999"/>
    <n v="-89.210700000000003"/>
    <n v="4"/>
    <n v="0"/>
    <n v="0"/>
    <n v="107"/>
    <s v="_x0000_peopl"/>
  </r>
  <r>
    <x v="7"/>
    <n v="13.687799999999999"/>
    <n v="-89.210700000000003"/>
    <n v="7"/>
    <n v="0"/>
    <n v="0"/>
    <n v="107"/>
    <s v="_x0000_peopl"/>
  </r>
  <r>
    <x v="7"/>
    <n v="13.687900000000001"/>
    <n v="-89.210599999999999"/>
    <n v="3"/>
    <n v="0"/>
    <n v="0"/>
    <n v="107"/>
    <s v="_x0000_peopl"/>
  </r>
  <r>
    <x v="7"/>
    <n v="13.687799999999999"/>
    <n v="-89.210599999999999"/>
    <n v="5"/>
    <n v="0"/>
    <n v="0"/>
    <n v="107"/>
    <s v="_x0000_peopl"/>
  </r>
  <r>
    <x v="7"/>
    <n v="13.687799999999999"/>
    <n v="-89.210599999999999"/>
    <n v="3"/>
    <n v="0"/>
    <n v="0"/>
    <n v="107"/>
    <s v="_x0000_peopl"/>
  </r>
  <r>
    <x v="7"/>
    <n v="13.687799999999999"/>
    <n v="-89.210599999999999"/>
    <n v="4"/>
    <n v="0"/>
    <n v="0"/>
    <n v="107"/>
    <s v="_x0000_peopl"/>
  </r>
  <r>
    <x v="7"/>
    <n v="13.687799999999999"/>
    <n v="-89.210499999999996"/>
    <n v="6"/>
    <n v="0"/>
    <n v="0"/>
    <n v="107"/>
    <s v="_x0000_peopl"/>
  </r>
  <r>
    <x v="7"/>
    <n v="13.687799999999999"/>
    <n v="-89.210499999999996"/>
    <n v="1"/>
    <n v="0"/>
    <n v="0"/>
    <n v="107"/>
    <s v="_x0000_peopl"/>
  </r>
  <r>
    <x v="7"/>
    <n v="13.687799999999999"/>
    <n v="-89.210499999999996"/>
    <n v="6"/>
    <n v="0"/>
    <n v="0"/>
    <n v="107"/>
    <s v="_x0000_peopl"/>
  </r>
  <r>
    <x v="7"/>
    <n v="13.687799999999999"/>
    <n v="-89.210499999999996"/>
    <n v="5"/>
    <n v="0"/>
    <n v="0"/>
    <n v="107"/>
    <s v="_x0000_peopl"/>
  </r>
  <r>
    <x v="7"/>
    <n v="13.687799999999999"/>
    <n v="-89.210499999999996"/>
    <n v="5"/>
    <n v="0"/>
    <n v="0"/>
    <n v="107"/>
    <s v="_x0000_peopl"/>
  </r>
  <r>
    <x v="7"/>
    <n v="13.687799999999999"/>
    <n v="-89.210499999999996"/>
    <n v="4"/>
    <n v="0"/>
    <n v="0"/>
    <n v="107"/>
    <s v="_x0000_peopl"/>
  </r>
  <r>
    <x v="7"/>
    <n v="13.687799999999999"/>
    <n v="-89.210499999999996"/>
    <n v="2"/>
    <n v="0"/>
    <n v="0"/>
    <n v="107"/>
    <s v="_x0000_peopl"/>
  </r>
  <r>
    <x v="7"/>
    <n v="13.687799999999999"/>
    <n v="-89.210499999999996"/>
    <n v="6"/>
    <n v="0"/>
    <n v="0"/>
    <n v="107"/>
    <s v="_x0000_peopl"/>
  </r>
  <r>
    <x v="7"/>
    <n v="13.6877"/>
    <n v="-89.211100000000002"/>
    <n v="5"/>
    <n v="0"/>
    <n v="0"/>
    <n v="107"/>
    <s v="_x0000_peopl"/>
  </r>
  <r>
    <x v="7"/>
    <n v="13.6877"/>
    <n v="-89.211100000000002"/>
    <n v="4"/>
    <n v="0"/>
    <n v="0"/>
    <n v="107"/>
    <s v="_x0000_peopl"/>
  </r>
  <r>
    <x v="7"/>
    <n v="13.6877"/>
    <n v="-89.211100000000002"/>
    <n v="3"/>
    <n v="0"/>
    <n v="0"/>
    <n v="107"/>
    <s v="_x0000_peopl"/>
  </r>
  <r>
    <x v="7"/>
    <n v="13.6876"/>
    <n v="-89.211100000000002"/>
    <n v="0"/>
    <n v="0"/>
    <n v="0"/>
    <n v="107"/>
    <s v="_x0000_peopl"/>
  </r>
  <r>
    <x v="7"/>
    <n v="13.6877"/>
    <n v="-89.210999999999999"/>
    <n v="6"/>
    <n v="0"/>
    <n v="0"/>
    <n v="107"/>
    <s v="_x0000_peopl"/>
  </r>
  <r>
    <x v="7"/>
    <n v="13.6877"/>
    <n v="-89.210999999999999"/>
    <n v="8"/>
    <n v="0"/>
    <n v="0"/>
    <n v="107"/>
    <s v="_x0000_peopl"/>
  </r>
  <r>
    <x v="7"/>
    <n v="13.6877"/>
    <n v="-89.210999999999999"/>
    <n v="5"/>
    <n v="0"/>
    <n v="0"/>
    <n v="107"/>
    <s v="_x0000_peopl"/>
  </r>
  <r>
    <x v="7"/>
    <n v="13.6876"/>
    <n v="-89.210999999999999"/>
    <n v="6"/>
    <n v="0"/>
    <n v="0"/>
    <n v="107"/>
    <s v="_x0000_peopl"/>
  </r>
  <r>
    <x v="7"/>
    <n v="13.6877"/>
    <n v="-89.210899999999995"/>
    <n v="6"/>
    <n v="0"/>
    <n v="0"/>
    <n v="107"/>
    <s v="_x0000_peopl"/>
  </r>
  <r>
    <x v="7"/>
    <n v="13.6877"/>
    <n v="-89.210899999999995"/>
    <n v="4"/>
    <n v="0"/>
    <n v="0"/>
    <n v="107"/>
    <s v="_x0000_peopl"/>
  </r>
  <r>
    <x v="7"/>
    <n v="13.6876"/>
    <n v="-89.210899999999995"/>
    <n v="6"/>
    <n v="0"/>
    <n v="0"/>
    <n v="107"/>
    <s v="_x0000_peopl"/>
  </r>
  <r>
    <x v="7"/>
    <n v="13.6876"/>
    <n v="-89.210899999999995"/>
    <n v="4"/>
    <n v="0"/>
    <n v="0"/>
    <n v="107"/>
    <s v="_x0000_peopl"/>
  </r>
  <r>
    <x v="7"/>
    <n v="13.6877"/>
    <n v="-89.210899999999995"/>
    <n v="4"/>
    <n v="0"/>
    <n v="0"/>
    <n v="107"/>
    <s v="_x0000_peopl"/>
  </r>
  <r>
    <x v="7"/>
    <n v="13.6876"/>
    <n v="-89.210899999999995"/>
    <n v="4"/>
    <n v="0"/>
    <n v="0"/>
    <n v="107"/>
    <s v="_x0000_peopl"/>
  </r>
  <r>
    <x v="7"/>
    <n v="13.6876"/>
    <n v="-89.210899999999995"/>
    <n v="5"/>
    <n v="0"/>
    <n v="0"/>
    <n v="107"/>
    <s v="_x0000_peopl"/>
  </r>
  <r>
    <x v="7"/>
    <n v="13.6876"/>
    <n v="-89.210899999999995"/>
    <n v="1"/>
    <n v="0"/>
    <n v="0"/>
    <n v="107"/>
    <s v="_x0000_peopl"/>
  </r>
  <r>
    <x v="7"/>
    <n v="13.6877"/>
    <n v="-89.210700000000003"/>
    <n v="8"/>
    <n v="0"/>
    <n v="0"/>
    <n v="107"/>
    <s v="_x0000_peopl"/>
  </r>
  <r>
    <x v="7"/>
    <n v="13.6877"/>
    <n v="-89.210700000000003"/>
    <n v="7"/>
    <n v="0"/>
    <n v="0"/>
    <n v="107"/>
    <s v="_x0000_peopl"/>
  </r>
  <r>
    <x v="7"/>
    <n v="13.6877"/>
    <n v="-89.210700000000003"/>
    <n v="2"/>
    <n v="0"/>
    <n v="0"/>
    <n v="107"/>
    <s v="_x0000_peopl"/>
  </r>
  <r>
    <x v="7"/>
    <n v="13.6877"/>
    <n v="-89.210700000000003"/>
    <n v="3"/>
    <n v="0"/>
    <n v="0"/>
    <n v="107"/>
    <s v="_x0000_peopl"/>
  </r>
  <r>
    <x v="7"/>
    <n v="13.6877"/>
    <n v="-89.210599999999999"/>
    <n v="9"/>
    <n v="0"/>
    <n v="0"/>
    <n v="107"/>
    <s v="_x0000_peopl"/>
  </r>
  <r>
    <x v="7"/>
    <n v="13.6877"/>
    <n v="-89.210599999999999"/>
    <n v="6"/>
    <n v="0"/>
    <n v="0"/>
    <n v="107"/>
    <s v="_x0000_peopl"/>
  </r>
  <r>
    <x v="7"/>
    <n v="13.6877"/>
    <n v="-89.210599999999999"/>
    <n v="3"/>
    <n v="0"/>
    <n v="0"/>
    <n v="107"/>
    <s v="_x0000_peopl"/>
  </r>
  <r>
    <x v="7"/>
    <n v="13.6877"/>
    <n v="-89.210599999999999"/>
    <n v="2"/>
    <n v="0"/>
    <n v="0"/>
    <n v="107"/>
    <s v="_x0000_peopl"/>
  </r>
  <r>
    <x v="7"/>
    <n v="13.6877"/>
    <n v="-89.210499999999996"/>
    <n v="4"/>
    <n v="0"/>
    <n v="0"/>
    <n v="107"/>
    <s v="_x0000_peopl"/>
  </r>
  <r>
    <x v="7"/>
    <n v="13.6877"/>
    <n v="-89.210499999999996"/>
    <n v="6"/>
    <n v="0"/>
    <n v="0"/>
    <n v="107"/>
    <s v="_x0000_peopl"/>
  </r>
  <r>
    <x v="7"/>
    <n v="13.6877"/>
    <n v="-89.210499999999996"/>
    <n v="10"/>
    <n v="0"/>
    <n v="0"/>
    <n v="107"/>
    <s v="_x0000_peopl"/>
  </r>
  <r>
    <x v="7"/>
    <n v="13.6877"/>
    <n v="-89.210499999999996"/>
    <n v="3"/>
    <n v="0"/>
    <n v="0"/>
    <n v="107"/>
    <s v="_x0000_peopl"/>
  </r>
  <r>
    <x v="7"/>
    <n v="13.6877"/>
    <n v="-89.210499999999996"/>
    <n v="3"/>
    <n v="0"/>
    <n v="0"/>
    <n v="107"/>
    <s v="_x0000_peopl"/>
  </r>
  <r>
    <x v="7"/>
    <n v="13.6877"/>
    <n v="-89.210499999999996"/>
    <n v="3"/>
    <n v="0"/>
    <n v="0"/>
    <n v="107"/>
    <s v="_x0000_peopl"/>
  </r>
  <r>
    <x v="7"/>
    <n v="13.6877"/>
    <n v="-89.210499999999996"/>
    <n v="4"/>
    <n v="0"/>
    <n v="0"/>
    <n v="107"/>
    <s v="_x0000_peopl"/>
  </r>
  <r>
    <x v="7"/>
    <n v="13.6877"/>
    <n v="-89.210499999999996"/>
    <n v="2"/>
    <n v="0"/>
    <n v="0"/>
    <n v="107"/>
    <s v="_x0000_peopl"/>
  </r>
  <r>
    <x v="7"/>
    <n v="13.6875"/>
    <n v="-89.210499999999996"/>
    <n v="6"/>
    <n v="0"/>
    <n v="0"/>
    <n v="107"/>
    <s v="_x0000_peopl"/>
  </r>
  <r>
    <x v="7"/>
    <n v="13.6875"/>
    <n v="-89.210499999999996"/>
    <n v="4"/>
    <n v="0"/>
    <n v="0"/>
    <n v="107"/>
    <s v="_x0000_peopl"/>
  </r>
  <r>
    <x v="7"/>
    <n v="13.6875"/>
    <n v="-89.210499999999996"/>
    <n v="7"/>
    <n v="0"/>
    <n v="0"/>
    <n v="107"/>
    <s v="_x0000_peopl"/>
  </r>
  <r>
    <x v="7"/>
    <n v="13.6875"/>
    <n v="-89.210499999999996"/>
    <n v="9"/>
    <n v="0"/>
    <n v="0"/>
    <n v="107"/>
    <s v="_x0000_peopl"/>
  </r>
  <r>
    <x v="7"/>
    <n v="13.6876"/>
    <n v="-89.210499999999996"/>
    <n v="7"/>
    <n v="0"/>
    <n v="0"/>
    <n v="107"/>
    <s v="_x0000_peopl"/>
  </r>
  <r>
    <x v="7"/>
    <n v="13.6875"/>
    <n v="-89.210499999999996"/>
    <n v="4"/>
    <n v="0"/>
    <n v="0"/>
    <n v="107"/>
    <s v="_x0000_peopl"/>
  </r>
  <r>
    <x v="7"/>
    <n v="13.6875"/>
    <n v="-89.210499999999996"/>
    <n v="2"/>
    <n v="0"/>
    <n v="0"/>
    <n v="107"/>
    <s v="_x0000_peopl"/>
  </r>
  <r>
    <x v="7"/>
    <n v="13.6875"/>
    <n v="-89.210499999999996"/>
    <n v="5"/>
    <n v="0"/>
    <n v="0"/>
    <n v="107"/>
    <s v="_x0000_peopl"/>
  </r>
  <r>
    <x v="7"/>
    <n v="13.6876"/>
    <n v="-89.210599999999999"/>
    <n v="3"/>
    <n v="0"/>
    <n v="0"/>
    <n v="107"/>
    <s v="_x0000_peopl"/>
  </r>
  <r>
    <x v="7"/>
    <n v="13.6876"/>
    <n v="-89.210599999999999"/>
    <n v="3"/>
    <n v="0"/>
    <n v="0"/>
    <n v="107"/>
    <s v="_x0000_peopl"/>
  </r>
  <r>
    <x v="7"/>
    <n v="13.6875"/>
    <n v="-89.210599999999999"/>
    <n v="1"/>
    <n v="0"/>
    <n v="0"/>
    <n v="107"/>
    <s v="_x0000_peopl"/>
  </r>
  <r>
    <x v="7"/>
    <n v="13.6875"/>
    <n v="-89.210599999999999"/>
    <n v="2"/>
    <n v="0"/>
    <n v="0"/>
    <n v="107"/>
    <s v="_x0000_peopl"/>
  </r>
  <r>
    <x v="7"/>
    <n v="13.6876"/>
    <n v="-89.210700000000003"/>
    <n v="6"/>
    <n v="0"/>
    <n v="0"/>
    <n v="107"/>
    <s v="_x0000_peopl"/>
  </r>
  <r>
    <x v="7"/>
    <n v="13.6875"/>
    <n v="-89.210700000000003"/>
    <n v="3"/>
    <n v="0"/>
    <n v="0"/>
    <n v="107"/>
    <s v="_x0000_peopl"/>
  </r>
  <r>
    <x v="7"/>
    <n v="13.6875"/>
    <n v="-89.210700000000003"/>
    <n v="3"/>
    <n v="0"/>
    <n v="0"/>
    <n v="107"/>
    <s v="_x0000_peopl"/>
  </r>
  <r>
    <x v="7"/>
    <n v="13.6875"/>
    <n v="-89.210999999999999"/>
    <n v="5"/>
    <n v="0"/>
    <n v="0"/>
    <n v="107"/>
    <s v="_x0000_peopl"/>
  </r>
  <r>
    <x v="7"/>
    <n v="13.6875"/>
    <n v="-89.210999999999999"/>
    <n v="7"/>
    <n v="0"/>
    <n v="0"/>
    <n v="107"/>
    <s v="_x0000_peopl"/>
  </r>
  <r>
    <x v="7"/>
    <n v="13.6875"/>
    <n v="-89.210999999999999"/>
    <n v="5"/>
    <n v="0"/>
    <n v="0"/>
    <n v="107"/>
    <s v="_x0000_peopl"/>
  </r>
  <r>
    <x v="7"/>
    <n v="13.6875"/>
    <n v="-89.210999999999999"/>
    <n v="2"/>
    <n v="0"/>
    <n v="0"/>
    <n v="107"/>
    <s v="_x0000_peopl"/>
  </r>
  <r>
    <x v="7"/>
    <n v="13.6875"/>
    <n v="-89.210899999999995"/>
    <n v="4"/>
    <n v="0"/>
    <n v="0"/>
    <n v="107"/>
    <s v="_x0000_peopl"/>
  </r>
  <r>
    <x v="7"/>
    <n v="13.6875"/>
    <n v="-89.210899999999995"/>
    <n v="3"/>
    <n v="0"/>
    <n v="0"/>
    <n v="107"/>
    <s v="_x0000_peopl"/>
  </r>
  <r>
    <x v="7"/>
    <n v="13.6875"/>
    <n v="-89.210899999999995"/>
    <n v="6"/>
    <n v="0"/>
    <n v="0"/>
    <n v="107"/>
    <s v="_x0000_peopl"/>
  </r>
  <r>
    <x v="7"/>
    <n v="13.6875"/>
    <n v="-89.210899999999995"/>
    <n v="5"/>
    <n v="0"/>
    <n v="0"/>
    <n v="107"/>
    <s v="_x0000_peopl"/>
  </r>
  <r>
    <x v="7"/>
    <n v="13.6875"/>
    <n v="-89.211100000000002"/>
    <n v="6"/>
    <n v="0"/>
    <n v="0"/>
    <n v="107"/>
    <s v="_x0000_peopl"/>
  </r>
  <r>
    <x v="7"/>
    <n v="13.6875"/>
    <n v="-89.211100000000002"/>
    <n v="5"/>
    <n v="0"/>
    <n v="0"/>
    <n v="107"/>
    <s v="_x0000_peopl"/>
  </r>
  <r>
    <x v="7"/>
    <n v="13.6875"/>
    <n v="-89.211100000000002"/>
    <n v="5"/>
    <n v="0"/>
    <n v="0"/>
    <n v="107"/>
    <s v="_x0000_peopl"/>
  </r>
  <r>
    <x v="7"/>
    <n v="13.6875"/>
    <n v="-89.211100000000002"/>
    <n v="9"/>
    <n v="0"/>
    <n v="0"/>
    <n v="107"/>
    <s v="_x0000_peopl"/>
  </r>
  <r>
    <x v="7"/>
    <n v="13.6875"/>
    <n v="-89.211100000000002"/>
    <n v="4"/>
    <n v="0"/>
    <n v="0"/>
    <n v="107"/>
    <s v="_x0000_peopl"/>
  </r>
  <r>
    <x v="7"/>
    <n v="13.6875"/>
    <n v="-89.211100000000002"/>
    <n v="5"/>
    <n v="0"/>
    <n v="0"/>
    <n v="107"/>
    <s v="_x0000_peopl"/>
  </r>
  <r>
    <x v="7"/>
    <n v="13.6875"/>
    <n v="-89.211100000000002"/>
    <n v="5"/>
    <n v="0"/>
    <n v="0"/>
    <n v="107"/>
    <s v="_x0000_peopl"/>
  </r>
  <r>
    <x v="7"/>
    <n v="13.6875"/>
    <n v="-89.211100000000002"/>
    <n v="3"/>
    <n v="0"/>
    <n v="0"/>
    <n v="107"/>
    <s v="_x0000_peopl"/>
  </r>
  <r>
    <x v="7"/>
    <n v="13.6929"/>
    <n v="-89.226299999999995"/>
    <n v="5"/>
    <n v="0"/>
    <n v="0"/>
    <n v="107"/>
    <s v="_x0000_peopl"/>
  </r>
  <r>
    <x v="7"/>
    <n v="13.69"/>
    <n v="-89.216499999999996"/>
    <n v="6"/>
    <n v="0"/>
    <n v="0"/>
    <n v="107"/>
    <s v="_x0000_peopl"/>
  </r>
  <r>
    <x v="7"/>
    <n v="13.6898"/>
    <n v="-89.216499999999996"/>
    <n v="6"/>
    <n v="0"/>
    <n v="0"/>
    <n v="107"/>
    <s v="_x0000_peopl"/>
  </r>
  <r>
    <x v="7"/>
    <n v="13.6898"/>
    <n v="-89.216499999999996"/>
    <n v="6"/>
    <n v="0"/>
    <n v="0"/>
    <n v="107"/>
    <s v="_x0000_peopl"/>
  </r>
  <r>
    <x v="7"/>
    <n v="13.6898"/>
    <n v="-89.216399999999993"/>
    <n v="5"/>
    <n v="0"/>
    <n v="0"/>
    <n v="107"/>
    <s v="_x0000_peopl"/>
  </r>
  <r>
    <x v="7"/>
    <n v="13.6898"/>
    <n v="-89.216200000000001"/>
    <n v="5"/>
    <n v="0"/>
    <n v="0"/>
    <n v="107"/>
    <s v="_x0000_peopl"/>
  </r>
  <r>
    <x v="7"/>
    <n v="13.6898"/>
    <n v="-89.216200000000001"/>
    <n v="3"/>
    <n v="0"/>
    <n v="0"/>
    <n v="107"/>
    <s v="_x0000_peopl"/>
  </r>
  <r>
    <x v="7"/>
    <n v="13.6899"/>
    <n v="-89.216200000000001"/>
    <n v="1"/>
    <n v="0"/>
    <n v="0"/>
    <n v="107"/>
    <s v="_x0000_peopl"/>
  </r>
  <r>
    <x v="7"/>
    <n v="13.6898"/>
    <n v="-89.215999999999994"/>
    <n v="6"/>
    <n v="0"/>
    <n v="0"/>
    <n v="107"/>
    <s v="_x0000_peopl"/>
  </r>
  <r>
    <x v="7"/>
    <n v="13.6899"/>
    <n v="-89.215999999999994"/>
    <n v="1"/>
    <n v="0"/>
    <n v="0"/>
    <n v="107"/>
    <s v="_x0000_peopl"/>
  </r>
  <r>
    <x v="7"/>
    <n v="13.6899"/>
    <n v="-89.215900000000005"/>
    <n v="7"/>
    <n v="0"/>
    <n v="0"/>
    <n v="107"/>
    <s v="_x0000_peopl"/>
  </r>
  <r>
    <x v="7"/>
    <n v="13.69"/>
    <n v="-89.215999999999994"/>
    <n v="8"/>
    <n v="0"/>
    <n v="0"/>
    <n v="107"/>
    <s v="_x0000_peopl"/>
  </r>
  <r>
    <x v="7"/>
    <n v="13.69"/>
    <n v="-89.215800000000002"/>
    <n v="1"/>
    <n v="0"/>
    <n v="0"/>
    <n v="107"/>
    <s v="_x0000_peopl"/>
  </r>
  <r>
    <x v="7"/>
    <n v="13.6899"/>
    <n v="-89.215800000000002"/>
    <n v="3"/>
    <n v="0"/>
    <n v="0"/>
    <n v="107"/>
    <s v="_x0000_peopl"/>
  </r>
  <r>
    <x v="7"/>
    <n v="13.6898"/>
    <n v="-89.215699999999998"/>
    <n v="2"/>
    <n v="0"/>
    <n v="0"/>
    <n v="107"/>
    <s v="_x0000_peopl"/>
  </r>
  <r>
    <x v="7"/>
    <n v="13.69"/>
    <n v="-89.215699999999998"/>
    <n v="9"/>
    <n v="0"/>
    <n v="0"/>
    <n v="107"/>
    <s v="_x0000_peopl"/>
  </r>
  <r>
    <x v="7"/>
    <n v="13.69"/>
    <n v="-89.215699999999998"/>
    <n v="0"/>
    <n v="0"/>
    <n v="0"/>
    <n v="107"/>
    <s v="_x0000_peopl"/>
  </r>
  <r>
    <x v="7"/>
    <n v="13.69"/>
    <n v="-89.215599999999995"/>
    <n v="2"/>
    <n v="0"/>
    <n v="0"/>
    <n v="107"/>
    <s v="_x0000_peopl"/>
  </r>
  <r>
    <x v="7"/>
    <n v="13.69"/>
    <n v="-89.215500000000006"/>
    <n v="5"/>
    <n v="0"/>
    <n v="0"/>
    <n v="107"/>
    <s v="_x0000_peopl"/>
  </r>
  <r>
    <x v="7"/>
    <n v="13.6899"/>
    <n v="-89.215400000000002"/>
    <n v="8"/>
    <n v="0"/>
    <n v="0"/>
    <n v="107"/>
    <s v="_x0000_peopl"/>
  </r>
  <r>
    <x v="7"/>
    <n v="13.69"/>
    <n v="-89.215400000000002"/>
    <n v="7"/>
    <n v="0"/>
    <n v="0"/>
    <n v="107"/>
    <s v="_x0000_peopl"/>
  </r>
  <r>
    <x v="7"/>
    <n v="13.6899"/>
    <n v="-89.215400000000002"/>
    <n v="8"/>
    <n v="0"/>
    <n v="0"/>
    <n v="107"/>
    <s v="_x0000_peopl"/>
  </r>
  <r>
    <x v="7"/>
    <n v="13.6898"/>
    <n v="-89.215299999999999"/>
    <n v="11"/>
    <n v="0"/>
    <n v="0"/>
    <n v="107"/>
    <s v="_x0000_peopl"/>
  </r>
  <r>
    <x v="7"/>
    <n v="13.6898"/>
    <n v="-89.215699999999998"/>
    <n v="2"/>
    <n v="0"/>
    <n v="0"/>
    <n v="107"/>
    <s v="_x0000_peopl"/>
  </r>
  <r>
    <x v="7"/>
    <n v="13.6898"/>
    <n v="-89.215599999999995"/>
    <n v="4"/>
    <n v="0"/>
    <n v="0"/>
    <n v="107"/>
    <s v="_x0000_peopl"/>
  </r>
  <r>
    <x v="7"/>
    <n v="13.6897"/>
    <n v="-89.215500000000006"/>
    <n v="1"/>
    <n v="0"/>
    <n v="0"/>
    <n v="107"/>
    <s v="_x0000_peopl"/>
  </r>
  <r>
    <x v="7"/>
    <n v="13.6896"/>
    <n v="-89.215699999999998"/>
    <n v="8"/>
    <n v="0"/>
    <n v="0"/>
    <n v="107"/>
    <s v="_x0000_peopl"/>
  </r>
  <r>
    <x v="7"/>
    <n v="13.6896"/>
    <n v="-89.215800000000002"/>
    <n v="5"/>
    <n v="0"/>
    <n v="0"/>
    <n v="107"/>
    <s v="_x0000_peopl"/>
  </r>
  <r>
    <x v="7"/>
    <n v="13.6896"/>
    <n v="-89.215900000000005"/>
    <n v="3"/>
    <n v="0"/>
    <n v="0"/>
    <n v="107"/>
    <s v="_x0000_peopl"/>
  </r>
  <r>
    <x v="7"/>
    <n v="13.6896"/>
    <n v="-89.215999999999994"/>
    <n v="1"/>
    <n v="0"/>
    <n v="0"/>
    <n v="107"/>
    <s v="_x0000_peopl"/>
  </r>
  <r>
    <x v="7"/>
    <n v="13.689299999999999"/>
    <n v="-89.215800000000002"/>
    <n v="6"/>
    <n v="0"/>
    <n v="0"/>
    <n v="107"/>
    <s v="_x0000_peopl"/>
  </r>
  <r>
    <x v="7"/>
    <n v="13.689299999999999"/>
    <n v="-89.215900000000005"/>
    <n v="4"/>
    <n v="0"/>
    <n v="0"/>
    <n v="107"/>
    <s v="_x0000_peopl"/>
  </r>
  <r>
    <x v="7"/>
    <n v="13.689399999999999"/>
    <n v="-89.215999999999994"/>
    <n v="4"/>
    <n v="0"/>
    <n v="0"/>
    <n v="107"/>
    <s v="_x0000_peopl"/>
  </r>
  <r>
    <x v="7"/>
    <n v="13.689399999999999"/>
    <n v="-89.216099999999997"/>
    <n v="8"/>
    <n v="0"/>
    <n v="0"/>
    <n v="107"/>
    <s v="_x0000_peopl"/>
  </r>
  <r>
    <x v="7"/>
    <n v="13.689399999999999"/>
    <n v="-89.216099999999997"/>
    <n v="7"/>
    <n v="0"/>
    <n v="0"/>
    <n v="107"/>
    <s v="_x0000_peopl"/>
  </r>
  <r>
    <x v="7"/>
    <n v="13.689399999999999"/>
    <n v="-89.216099999999997"/>
    <n v="4"/>
    <n v="0"/>
    <n v="0"/>
    <n v="107"/>
    <s v="_x0000_peopl"/>
  </r>
  <r>
    <x v="7"/>
    <n v="13.689500000000001"/>
    <n v="-89.216099999999997"/>
    <n v="6"/>
    <n v="0"/>
    <n v="0"/>
    <n v="107"/>
    <s v="_x0000_peopl"/>
  </r>
  <r>
    <x v="7"/>
    <n v="13.689500000000001"/>
    <n v="-89.215599999999995"/>
    <n v="4"/>
    <n v="0"/>
    <n v="0"/>
    <n v="107"/>
    <s v="_x0000_peopl"/>
  </r>
  <r>
    <x v="7"/>
    <n v="13.689500000000001"/>
    <n v="-89.215599999999995"/>
    <n v="5"/>
    <n v="0"/>
    <n v="0"/>
    <n v="107"/>
    <s v="_x0000_peopl"/>
  </r>
  <r>
    <x v="7"/>
    <n v="13.689500000000001"/>
    <n v="-89.215500000000006"/>
    <n v="4"/>
    <n v="0"/>
    <n v="0"/>
    <n v="107"/>
    <s v="_x0000_peopl"/>
  </r>
  <r>
    <x v="7"/>
    <n v="13.689500000000001"/>
    <n v="-89.215400000000002"/>
    <n v="4"/>
    <n v="0"/>
    <n v="0"/>
    <n v="107"/>
    <s v="_x0000_peopl"/>
  </r>
  <r>
    <x v="7"/>
    <n v="13.689399999999999"/>
    <n v="-89.215699999999998"/>
    <n v="2"/>
    <n v="0"/>
    <n v="0"/>
    <n v="107"/>
    <s v="_x0000_peopl"/>
  </r>
  <r>
    <x v="7"/>
    <n v="13.689399999999999"/>
    <n v="-89.215599999999995"/>
    <n v="6"/>
    <n v="0"/>
    <n v="0"/>
    <n v="107"/>
    <s v="_x0000_peopl"/>
  </r>
  <r>
    <x v="7"/>
    <n v="13.689399999999999"/>
    <n v="-89.215599999999995"/>
    <n v="2"/>
    <n v="0"/>
    <n v="0"/>
    <n v="107"/>
    <s v="_x0000_peopl"/>
  </r>
  <r>
    <x v="7"/>
    <n v="13.689299999999999"/>
    <n v="-89.215599999999995"/>
    <n v="5"/>
    <n v="0"/>
    <n v="0"/>
    <n v="107"/>
    <s v="_x0000_peopl"/>
  </r>
  <r>
    <x v="7"/>
    <n v="13.689299999999999"/>
    <n v="-89.215599999999995"/>
    <n v="5"/>
    <n v="0"/>
    <n v="0"/>
    <n v="107"/>
    <s v="_x0000_peopl"/>
  </r>
  <r>
    <x v="7"/>
    <n v="13.689299999999999"/>
    <n v="-89.215699999999998"/>
    <n v="2"/>
    <n v="0"/>
    <n v="0"/>
    <n v="107"/>
    <s v="_x0000_peopl"/>
  </r>
  <r>
    <x v="7"/>
    <n v="13.6892"/>
    <n v="-89.215699999999998"/>
    <n v="4"/>
    <n v="0"/>
    <n v="0"/>
    <n v="107"/>
    <s v="_x0000_peopl"/>
  </r>
  <r>
    <x v="7"/>
    <n v="13.6892"/>
    <n v="-89.215599999999995"/>
    <n v="3"/>
    <n v="0"/>
    <n v="0"/>
    <n v="107"/>
    <s v="_x0000_peopl"/>
  </r>
  <r>
    <x v="7"/>
    <n v="13.6892"/>
    <n v="-89.215699999999998"/>
    <n v="2"/>
    <n v="0"/>
    <n v="0"/>
    <n v="107"/>
    <s v="_x0000_peopl"/>
  </r>
  <r>
    <x v="7"/>
    <n v="13.689299999999999"/>
    <n v="-89.215400000000002"/>
    <n v="3"/>
    <n v="0"/>
    <n v="0"/>
    <n v="107"/>
    <s v="_x0000_peopl"/>
  </r>
  <r>
    <x v="7"/>
    <n v="13.6892"/>
    <n v="-89.215299999999999"/>
    <n v="6"/>
    <n v="0"/>
    <n v="0"/>
    <n v="107"/>
    <s v="_x0000_peopl"/>
  </r>
  <r>
    <x v="7"/>
    <n v="13.689399999999999"/>
    <n v="-89.215100000000007"/>
    <n v="3"/>
    <n v="0"/>
    <n v="0"/>
    <n v="107"/>
    <s v="_x0000_peopl"/>
  </r>
  <r>
    <x v="7"/>
    <n v="13.689299999999999"/>
    <n v="-89.215100000000007"/>
    <n v="4"/>
    <n v="0"/>
    <n v="0"/>
    <n v="107"/>
    <s v="_x0000_peopl"/>
  </r>
  <r>
    <x v="7"/>
    <n v="13.689299999999999"/>
    <n v="-89.215199999999996"/>
    <n v="4"/>
    <n v="0"/>
    <n v="0"/>
    <n v="107"/>
    <s v="_x0000_peopl"/>
  </r>
  <r>
    <x v="7"/>
    <n v="13.689299999999999"/>
    <n v="-89.215000000000003"/>
    <n v="6"/>
    <n v="0"/>
    <n v="0"/>
    <n v="107"/>
    <s v="_x0000_peopl"/>
  </r>
  <r>
    <x v="7"/>
    <n v="13.689299999999999"/>
    <n v="-89.215000000000003"/>
    <n v="4"/>
    <n v="0"/>
    <n v="0"/>
    <n v="107"/>
    <s v="_x0000_peopl"/>
  </r>
  <r>
    <x v="7"/>
    <n v="13.6892"/>
    <n v="-89.215000000000003"/>
    <n v="4"/>
    <n v="0"/>
    <n v="0"/>
    <n v="107"/>
    <s v="_x0000_peopl"/>
  </r>
  <r>
    <x v="7"/>
    <n v="13.6892"/>
    <n v="-89.215000000000003"/>
    <n v="5"/>
    <n v="0"/>
    <n v="0"/>
    <n v="107"/>
    <s v="_x0000_peopl"/>
  </r>
  <r>
    <x v="7"/>
    <n v="13.6891"/>
    <n v="-89.215500000000006"/>
    <n v="4"/>
    <n v="0"/>
    <n v="0"/>
    <n v="107"/>
    <s v="_x0000_peopl"/>
  </r>
  <r>
    <x v="7"/>
    <n v="13.688599999999999"/>
    <n v="-89.214200000000005"/>
    <n v="6"/>
    <n v="0"/>
    <n v="0"/>
    <n v="107"/>
    <s v="_x0000_peopl"/>
  </r>
  <r>
    <x v="7"/>
    <n v="13.688700000000001"/>
    <n v="-89.214100000000002"/>
    <n v="2"/>
    <n v="0"/>
    <n v="0"/>
    <n v="107"/>
    <s v="_x0000_peopl"/>
  </r>
  <r>
    <x v="7"/>
    <n v="13.688599999999999"/>
    <n v="-89.214100000000002"/>
    <n v="9"/>
    <n v="0"/>
    <n v="0"/>
    <n v="107"/>
    <s v="_x0000_peopl"/>
  </r>
  <r>
    <x v="7"/>
    <n v="13.688800000000001"/>
    <n v="-89.214100000000002"/>
    <n v="4"/>
    <n v="0"/>
    <n v="0"/>
    <n v="107"/>
    <s v="_x0000_peopl"/>
  </r>
  <r>
    <x v="7"/>
    <n v="13.688800000000001"/>
    <n v="-89.214200000000005"/>
    <n v="4"/>
    <n v="0"/>
    <n v="0"/>
    <n v="107"/>
    <s v="_x0000_peopl"/>
  </r>
  <r>
    <x v="7"/>
    <n v="13.688800000000001"/>
    <n v="-89.214200000000005"/>
    <n v="6"/>
    <n v="0"/>
    <n v="0"/>
    <n v="107"/>
    <s v="_x0000_peopl"/>
  </r>
  <r>
    <x v="7"/>
    <n v="13.688700000000001"/>
    <n v="-89.214100000000002"/>
    <n v="5"/>
    <n v="0"/>
    <n v="0"/>
    <n v="107"/>
    <s v="_x0000_peopl"/>
  </r>
  <r>
    <x v="7"/>
    <n v="13.688700000000001"/>
    <n v="-89.214100000000002"/>
    <n v="3"/>
    <n v="0"/>
    <n v="0"/>
    <n v="107"/>
    <s v="_x0000_peopl"/>
  </r>
  <r>
    <x v="7"/>
    <n v="13.688599999999999"/>
    <n v="-89.214100000000002"/>
    <n v="2"/>
    <n v="0"/>
    <n v="0"/>
    <n v="107"/>
    <s v="_x0000_peopl"/>
  </r>
  <r>
    <x v="7"/>
    <n v="13.688499999999999"/>
    <n v="-89.214100000000002"/>
    <n v="6"/>
    <n v="0"/>
    <n v="0"/>
    <n v="107"/>
    <s v="_x0000_peopl"/>
  </r>
  <r>
    <x v="7"/>
    <n v="13.688499999999999"/>
    <n v="-89.213999999999999"/>
    <n v="0"/>
    <n v="0"/>
    <n v="0"/>
    <n v="107"/>
    <s v="_x0000_peopl"/>
  </r>
  <r>
    <x v="7"/>
    <n v="13.689299999999999"/>
    <n v="-89.2149"/>
    <n v="4"/>
    <n v="0"/>
    <n v="0"/>
    <n v="107"/>
    <s v="_x0000_peopl"/>
  </r>
  <r>
    <x v="7"/>
    <n v="13.6892"/>
    <n v="-89.2149"/>
    <n v="3"/>
    <n v="0"/>
    <n v="0"/>
    <n v="107"/>
    <s v="_x0000_peopl"/>
  </r>
  <r>
    <x v="7"/>
    <n v="13.6892"/>
    <n v="-89.214799999999997"/>
    <n v="1"/>
    <n v="0"/>
    <n v="0"/>
    <n v="107"/>
    <s v="_x0000_peopl"/>
  </r>
  <r>
    <x v="7"/>
    <n v="13.689"/>
    <n v="-89.214200000000005"/>
    <n v="4"/>
    <n v="0"/>
    <n v="0"/>
    <n v="107"/>
    <s v="_x0000_peopl"/>
  </r>
  <r>
    <x v="7"/>
    <n v="13.689"/>
    <n v="-89.214200000000005"/>
    <n v="5"/>
    <n v="0"/>
    <n v="0"/>
    <n v="107"/>
    <s v="_x0000_peopl"/>
  </r>
  <r>
    <x v="7"/>
    <n v="13.6889"/>
    <n v="-89.214200000000005"/>
    <n v="6"/>
    <n v="0"/>
    <n v="0"/>
    <n v="107"/>
    <s v="_x0000_peopl"/>
  </r>
  <r>
    <x v="7"/>
    <n v="13.688800000000001"/>
    <n v="-89.214100000000002"/>
    <n v="4"/>
    <n v="0"/>
    <n v="0"/>
    <n v="107"/>
    <s v="_x0000_peopl"/>
  </r>
  <r>
    <x v="7"/>
    <n v="13.689"/>
    <n v="-89.213999999999999"/>
    <n v="4"/>
    <n v="0"/>
    <n v="0"/>
    <n v="107"/>
    <s v="_x0000_peopl"/>
  </r>
  <r>
    <x v="7"/>
    <n v="13.6889"/>
    <n v="-89.214100000000002"/>
    <n v="5"/>
    <n v="0"/>
    <n v="0"/>
    <n v="107"/>
    <s v="_x0000_peopl"/>
  </r>
  <r>
    <x v="7"/>
    <n v="13.688800000000001"/>
    <n v="-89.213999999999999"/>
    <n v="7"/>
    <n v="0"/>
    <n v="0"/>
    <n v="107"/>
    <s v="_x0000_peopl"/>
  </r>
  <r>
    <x v="7"/>
    <n v="13.688800000000001"/>
    <n v="-89.213999999999999"/>
    <n v="6"/>
    <n v="0"/>
    <n v="0"/>
    <n v="107"/>
    <s v="_x0000_peopl"/>
  </r>
  <r>
    <x v="7"/>
    <n v="13.6889"/>
    <n v="-89.213999999999999"/>
    <n v="6"/>
    <n v="0"/>
    <n v="0"/>
    <n v="107"/>
    <s v="_x0000_peopl"/>
  </r>
  <r>
    <x v="7"/>
    <n v="13.6889"/>
    <n v="-89.213899999999995"/>
    <n v="9"/>
    <n v="0"/>
    <n v="0"/>
    <n v="107"/>
    <s v="_x0000_peopl"/>
  </r>
  <r>
    <x v="7"/>
    <n v="13.6889"/>
    <n v="-89.213800000000006"/>
    <n v="7"/>
    <n v="0"/>
    <n v="0"/>
    <n v="107"/>
    <s v="_x0000_peopl"/>
  </r>
  <r>
    <x v="7"/>
    <n v="13.6889"/>
    <n v="-89.213899999999995"/>
    <n v="8"/>
    <n v="0"/>
    <n v="0"/>
    <n v="107"/>
    <s v="_x0000_peopl"/>
  </r>
  <r>
    <x v="7"/>
    <n v="13.6889"/>
    <n v="-89.213800000000006"/>
    <n v="4"/>
    <n v="0"/>
    <n v="0"/>
    <n v="107"/>
    <s v="_x0000_peopl"/>
  </r>
  <r>
    <x v="7"/>
    <n v="13.6892"/>
    <n v="-89.214200000000005"/>
    <n v="3"/>
    <n v="0"/>
    <n v="0"/>
    <n v="107"/>
    <s v="_x0000_peopl"/>
  </r>
  <r>
    <x v="7"/>
    <n v="13.6892"/>
    <n v="-89.214200000000005"/>
    <n v="1"/>
    <n v="0"/>
    <n v="0"/>
    <n v="107"/>
    <s v="_x0000_peopl"/>
  </r>
  <r>
    <x v="7"/>
    <n v="13.6891"/>
    <n v="-89.214100000000002"/>
    <n v="5"/>
    <n v="0"/>
    <n v="0"/>
    <n v="107"/>
    <s v="_x0000_peopl"/>
  </r>
  <r>
    <x v="7"/>
    <n v="13.6891"/>
    <n v="-89.213999999999999"/>
    <n v="5"/>
    <n v="0"/>
    <n v="0"/>
    <n v="107"/>
    <s v="_x0000_peopl"/>
  </r>
  <r>
    <x v="7"/>
    <n v="13.6891"/>
    <n v="-89.213899999999995"/>
    <n v="5"/>
    <n v="0"/>
    <n v="0"/>
    <n v="107"/>
    <s v="_x0000_peopl"/>
  </r>
  <r>
    <x v="7"/>
    <n v="13.6891"/>
    <n v="-89.213800000000006"/>
    <n v="5"/>
    <n v="0"/>
    <n v="0"/>
    <n v="107"/>
    <s v="_x0000_peopl"/>
  </r>
  <r>
    <x v="7"/>
    <n v="13.6891"/>
    <n v="-89.213700000000003"/>
    <n v="11"/>
    <n v="0"/>
    <n v="0"/>
    <n v="107"/>
    <s v="_x0000_peopl"/>
  </r>
  <r>
    <x v="7"/>
    <n v="13.6891"/>
    <n v="-89.2136"/>
    <n v="7"/>
    <n v="0"/>
    <n v="0"/>
    <n v="107"/>
    <s v="_x0000_peopl"/>
  </r>
  <r>
    <x v="7"/>
    <n v="13.6892"/>
    <n v="-89.2136"/>
    <n v="5"/>
    <n v="0"/>
    <n v="0"/>
    <n v="107"/>
    <s v="_x0000_peopl"/>
  </r>
  <r>
    <x v="7"/>
    <n v="13.689299999999999"/>
    <n v="-89.213499999999996"/>
    <n v="1"/>
    <n v="0"/>
    <n v="0"/>
    <n v="107"/>
    <s v="_x0000_peopl"/>
  </r>
  <r>
    <x v="7"/>
    <n v="13.6889"/>
    <n v="-89.213700000000003"/>
    <n v="7"/>
    <n v="0"/>
    <n v="0"/>
    <n v="107"/>
    <s v="_x0000_peopl"/>
  </r>
  <r>
    <x v="7"/>
    <n v="13.6889"/>
    <n v="-89.213700000000003"/>
    <n v="4"/>
    <n v="0"/>
    <n v="0"/>
    <n v="107"/>
    <s v="_x0000_peopl"/>
  </r>
  <r>
    <x v="7"/>
    <n v="13.6889"/>
    <n v="-89.2136"/>
    <n v="5"/>
    <n v="0"/>
    <n v="0"/>
    <n v="107"/>
    <s v="_x0000_peopl"/>
  </r>
  <r>
    <x v="7"/>
    <n v="13.688800000000001"/>
    <n v="-89.2136"/>
    <n v="5"/>
    <n v="0"/>
    <n v="0"/>
    <n v="107"/>
    <s v="_x0000_peopl"/>
  </r>
  <r>
    <x v="7"/>
    <n v="13.6882"/>
    <n v="-89.212800000000001"/>
    <n v="7"/>
    <n v="0"/>
    <n v="0"/>
    <n v="107"/>
    <s v="_x0000_peopl"/>
  </r>
  <r>
    <x v="7"/>
    <n v="13.6882"/>
    <n v="-89.212900000000005"/>
    <n v="9"/>
    <n v="0"/>
    <n v="0"/>
    <n v="107"/>
    <s v="_x0000_peopl"/>
  </r>
  <r>
    <x v="7"/>
    <n v="13.6882"/>
    <n v="-89.212999999999994"/>
    <n v="6"/>
    <n v="0"/>
    <n v="0"/>
    <n v="107"/>
    <s v="_x0000_peopl"/>
  </r>
  <r>
    <x v="7"/>
    <n v="13.6882"/>
    <n v="-89.212999999999994"/>
    <n v="7"/>
    <n v="0"/>
    <n v="0"/>
    <n v="107"/>
    <s v="_x0000_peopl"/>
  </r>
  <r>
    <x v="7"/>
    <n v="13.6882"/>
    <n v="-89.213099999999997"/>
    <n v="2"/>
    <n v="0"/>
    <n v="0"/>
    <n v="107"/>
    <s v="_x0000_peopl"/>
  </r>
  <r>
    <x v="7"/>
    <n v="13.6881"/>
    <n v="-89.213200000000001"/>
    <n v="5"/>
    <n v="0"/>
    <n v="0"/>
    <n v="107"/>
    <s v="_x0000_peopl"/>
  </r>
  <r>
    <x v="7"/>
    <n v="13.6882"/>
    <n v="-89.213399999999993"/>
    <n v="3"/>
    <n v="0"/>
    <n v="0"/>
    <n v="107"/>
    <s v="_x0000_peopl"/>
  </r>
  <r>
    <x v="7"/>
    <n v="13.6883"/>
    <n v="-89.213399999999993"/>
    <n v="5"/>
    <n v="0"/>
    <n v="0"/>
    <n v="107"/>
    <s v="_x0000_peopl"/>
  </r>
  <r>
    <x v="7"/>
    <n v="13.6884"/>
    <n v="-89.213399999999993"/>
    <n v="6"/>
    <n v="0"/>
    <n v="0"/>
    <n v="107"/>
    <s v="_x0000_peopl"/>
  </r>
  <r>
    <x v="7"/>
    <n v="13.6884"/>
    <n v="-89.213300000000004"/>
    <n v="3"/>
    <n v="0"/>
    <n v="0"/>
    <n v="107"/>
    <s v="_x0000_peopl"/>
  </r>
  <r>
    <x v="7"/>
    <n v="13.6884"/>
    <n v="-89.213200000000001"/>
    <n v="4"/>
    <n v="0"/>
    <n v="0"/>
    <n v="107"/>
    <s v="_x0000_peopl"/>
  </r>
  <r>
    <x v="7"/>
    <n v="13.6884"/>
    <n v="-89.213099999999997"/>
    <n v="7"/>
    <n v="0"/>
    <n v="0"/>
    <n v="107"/>
    <s v="_x0000_peopl"/>
  </r>
  <r>
    <x v="7"/>
    <n v="13.6884"/>
    <n v="-89.212999999999994"/>
    <n v="2"/>
    <n v="0"/>
    <n v="0"/>
    <n v="107"/>
    <s v="_x0000_peopl"/>
  </r>
  <r>
    <x v="7"/>
    <n v="13.6884"/>
    <n v="-89.212999999999994"/>
    <n v="5"/>
    <n v="0"/>
    <n v="0"/>
    <n v="107"/>
    <s v="_x0000_peopl"/>
  </r>
  <r>
    <x v="7"/>
    <n v="13.6884"/>
    <n v="-89.212900000000005"/>
    <n v="5"/>
    <n v="0"/>
    <n v="0"/>
    <n v="107"/>
    <s v="_x0000_peopl"/>
  </r>
  <r>
    <x v="7"/>
    <n v="13.6884"/>
    <n v="-89.212900000000005"/>
    <n v="5"/>
    <n v="0"/>
    <n v="0"/>
    <n v="107"/>
    <s v="_x0000_peopl"/>
  </r>
  <r>
    <x v="7"/>
    <n v="13.6882"/>
    <n v="-89.212800000000001"/>
    <n v="9"/>
    <n v="0"/>
    <n v="0"/>
    <n v="107"/>
    <s v="_x0000_peopl"/>
  </r>
  <r>
    <x v="7"/>
    <n v="13.6884"/>
    <n v="-89.212599999999995"/>
    <n v="4"/>
    <n v="0"/>
    <n v="0"/>
    <n v="107"/>
    <s v="_x0000_peopl"/>
  </r>
  <r>
    <x v="7"/>
    <n v="13.6883"/>
    <n v="-89.212400000000002"/>
    <n v="3"/>
    <n v="0"/>
    <n v="0"/>
    <n v="107"/>
    <s v="_x0000_peopl"/>
  </r>
  <r>
    <x v="7"/>
    <n v="13.6884"/>
    <n v="-89.212400000000002"/>
    <n v="6"/>
    <n v="0"/>
    <n v="0"/>
    <n v="107"/>
    <s v="_x0000_peopl"/>
  </r>
  <r>
    <x v="7"/>
    <n v="13.6881"/>
    <n v="-89.212400000000002"/>
    <n v="6"/>
    <n v="0"/>
    <n v="0"/>
    <n v="107"/>
    <s v="_x0000_peopl"/>
  </r>
  <r>
    <x v="7"/>
    <n v="13.6881"/>
    <n v="-89.212699999999998"/>
    <n v="2"/>
    <n v="0"/>
    <n v="0"/>
    <n v="107"/>
    <s v="_x0000_peopl"/>
  </r>
  <r>
    <x v="7"/>
    <n v="13.6882"/>
    <n v="-89.212800000000001"/>
    <n v="2"/>
    <n v="0"/>
    <n v="0"/>
    <n v="107"/>
    <s v="_x0000_peopl"/>
  </r>
  <r>
    <x v="7"/>
    <n v="13.6881"/>
    <n v="-89.212299999999999"/>
    <n v="4"/>
    <n v="0"/>
    <n v="0"/>
    <n v="107"/>
    <s v="_x0000_peopl"/>
  </r>
  <r>
    <x v="7"/>
    <n v="13.6881"/>
    <n v="-89.212199999999996"/>
    <n v="4"/>
    <n v="0"/>
    <n v="0"/>
    <n v="107"/>
    <s v="_x0000_peopl"/>
  </r>
  <r>
    <x v="7"/>
    <n v="13.6881"/>
    <n v="-89.212100000000007"/>
    <n v="8"/>
    <n v="0"/>
    <n v="0"/>
    <n v="107"/>
    <s v="_x0000_peopl"/>
  </r>
  <r>
    <x v="7"/>
    <n v="13.6882"/>
    <n v="-89.212100000000007"/>
    <n v="7"/>
    <n v="0"/>
    <n v="0"/>
    <n v="107"/>
    <s v="_x0000_peopl"/>
  </r>
  <r>
    <x v="7"/>
    <n v="13.6898"/>
    <n v="-89.217600000000004"/>
    <n v="3"/>
    <n v="0"/>
    <n v="0"/>
    <n v="107"/>
    <s v="_x0000_peopl"/>
  </r>
  <r>
    <x v="7"/>
    <n v="13.690899999999999"/>
    <n v="-89.2196"/>
    <n v="8"/>
    <n v="0"/>
    <n v="0"/>
    <n v="107"/>
    <s v="_x0000_peopl"/>
  </r>
  <r>
    <x v="7"/>
    <n v="13.691000000000001"/>
    <n v="-89.219700000000003"/>
    <n v="4"/>
    <n v="0"/>
    <n v="0"/>
    <n v="107"/>
    <s v="_x0000_peopl"/>
  </r>
  <r>
    <x v="7"/>
    <n v="13.691000000000001"/>
    <n v="-89.219700000000003"/>
    <n v="2"/>
    <n v="0"/>
    <n v="0"/>
    <n v="107"/>
    <s v="_x0000_peopl"/>
  </r>
  <r>
    <x v="7"/>
    <n v="13.690799999999999"/>
    <n v="-89.219399999999993"/>
    <n v="5"/>
    <n v="0"/>
    <n v="0"/>
    <n v="107"/>
    <s v="_x0000_peopl"/>
  </r>
  <r>
    <x v="7"/>
    <n v="13.6897"/>
    <n v="-89.217500000000001"/>
    <n v="5"/>
    <n v="0"/>
    <n v="0"/>
    <n v="107"/>
    <s v="_x0000_peopl"/>
  </r>
  <r>
    <x v="7"/>
    <n v="13.6911"/>
    <n v="-89.231899999999996"/>
    <n v="9"/>
    <n v="0"/>
    <n v="0"/>
    <n v="107"/>
    <s v="_x0000_peopl"/>
  </r>
  <r>
    <x v="7"/>
    <n v="13.691000000000001"/>
    <n v="-89.231800000000007"/>
    <n v="4"/>
    <n v="0"/>
    <n v="0"/>
    <n v="107"/>
    <s v="_x0000_peopl"/>
  </r>
  <r>
    <x v="7"/>
    <n v="13.691000000000001"/>
    <n v="-89.2316"/>
    <n v="5"/>
    <n v="0"/>
    <n v="0"/>
    <n v="107"/>
    <s v="_x0000_peopl"/>
  </r>
  <r>
    <x v="7"/>
    <n v="13.6911"/>
    <n v="-89.231499999999997"/>
    <n v="8"/>
    <n v="0"/>
    <n v="0"/>
    <n v="107"/>
    <s v="_x0000_peopl"/>
  </r>
  <r>
    <x v="7"/>
    <n v="13.6911"/>
    <n v="-89.231300000000005"/>
    <n v="5"/>
    <n v="0"/>
    <n v="0"/>
    <n v="107"/>
    <s v="_x0000_peopl"/>
  </r>
  <r>
    <x v="7"/>
    <n v="13.6911"/>
    <n v="-89.231200000000001"/>
    <n v="3"/>
    <n v="0"/>
    <n v="0"/>
    <n v="107"/>
    <s v="_x0000_peopl"/>
  </r>
  <r>
    <x v="7"/>
    <n v="13.6911"/>
    <n v="-89.231099999999998"/>
    <n v="5"/>
    <n v="0"/>
    <n v="0"/>
    <n v="107"/>
    <s v="_x0000_peopl"/>
  </r>
  <r>
    <x v="7"/>
    <n v="13.6914"/>
    <n v="-89.232200000000006"/>
    <n v="12"/>
    <n v="0"/>
    <n v="0"/>
    <n v="107"/>
    <s v="_x0000_peopl"/>
  </r>
  <r>
    <x v="7"/>
    <n v="13.691000000000001"/>
    <n v="-89.232100000000003"/>
    <n v="5"/>
    <n v="0"/>
    <n v="0"/>
    <n v="107"/>
    <s v="_x0000_peopl"/>
  </r>
  <r>
    <x v="7"/>
    <n v="13.691000000000001"/>
    <n v="-89.232200000000006"/>
    <n v="3"/>
    <n v="0"/>
    <n v="0"/>
    <n v="107"/>
    <s v="_x0000_peopl"/>
  </r>
  <r>
    <x v="7"/>
    <n v="13.691000000000001"/>
    <n v="-89.232299999999995"/>
    <n v="8"/>
    <n v="0"/>
    <n v="0"/>
    <n v="107"/>
    <s v="_x0000_peopl"/>
  </r>
  <r>
    <x v="7"/>
    <n v="13.6911"/>
    <n v="-89.232299999999995"/>
    <n v="4"/>
    <n v="0"/>
    <n v="0"/>
    <n v="107"/>
    <s v="_x0000_peopl"/>
  </r>
  <r>
    <x v="7"/>
    <n v="13.6912"/>
    <n v="-89.232299999999995"/>
    <n v="11"/>
    <n v="0"/>
    <n v="0"/>
    <n v="107"/>
    <s v="_x0000_peopl"/>
  </r>
  <r>
    <x v="7"/>
    <n v="13.6912"/>
    <n v="-89.232399999999998"/>
    <n v="5"/>
    <n v="0"/>
    <n v="0"/>
    <n v="107"/>
    <s v="_x0000_peopl"/>
  </r>
  <r>
    <x v="7"/>
    <n v="13.685600000000001"/>
    <n v="-89.244399999999999"/>
    <n v="4"/>
    <n v="0"/>
    <n v="0"/>
    <n v="107"/>
    <s v="_x0000_peopl"/>
  </r>
  <r>
    <x v="7"/>
    <n v="13.685499999999999"/>
    <n v="-89.244200000000006"/>
    <n v="2"/>
    <n v="0"/>
    <n v="0"/>
    <n v="107"/>
    <s v="_x0000_peopl"/>
  </r>
  <r>
    <x v="7"/>
    <n v="13.6854"/>
    <n v="-89.244100000000003"/>
    <n v="7"/>
    <n v="0"/>
    <n v="0"/>
    <n v="107"/>
    <s v="_x0000_peopl"/>
  </r>
  <r>
    <x v="7"/>
    <n v="13.6854"/>
    <n v="-89.244200000000006"/>
    <n v="6"/>
    <n v="0"/>
    <n v="0"/>
    <n v="107"/>
    <s v="_x0000_peopl"/>
  </r>
  <r>
    <x v="7"/>
    <n v="13.685700000000001"/>
    <n v="-89.243899999999996"/>
    <n v="5"/>
    <n v="0"/>
    <n v="0"/>
    <n v="107"/>
    <s v="_x0000_peopl"/>
  </r>
  <r>
    <x v="7"/>
    <n v="13.685700000000001"/>
    <n v="-89.243700000000004"/>
    <n v="4"/>
    <n v="0"/>
    <n v="0"/>
    <n v="107"/>
    <s v="_x0000_peopl"/>
  </r>
  <r>
    <x v="7"/>
    <n v="13.6854"/>
    <n v="-89.244100000000003"/>
    <n v="6"/>
    <n v="0"/>
    <n v="0"/>
    <n v="107"/>
    <s v="_x0000_peopl"/>
  </r>
  <r>
    <x v="7"/>
    <n v="13.6854"/>
    <n v="-89.244200000000006"/>
    <n v="2"/>
    <n v="0"/>
    <n v="0"/>
    <n v="107"/>
    <s v="_x0000_peopl"/>
  </r>
  <r>
    <x v="7"/>
    <n v="13.6854"/>
    <n v="-89.244299999999996"/>
    <n v="1"/>
    <n v="0"/>
    <n v="0"/>
    <n v="107"/>
    <s v="_x0000_peopl"/>
  </r>
  <r>
    <x v="7"/>
    <n v="13.6854"/>
    <n v="-89.244299999999996"/>
    <n v="4"/>
    <n v="0"/>
    <n v="0"/>
    <n v="107"/>
    <s v="_x0000_peopl"/>
  </r>
  <r>
    <x v="7"/>
    <n v="13.6854"/>
    <n v="-89.244299999999996"/>
    <n v="2"/>
    <n v="0"/>
    <n v="0"/>
    <n v="107"/>
    <s v="_x0000_peopl"/>
  </r>
  <r>
    <x v="7"/>
    <n v="13.685"/>
    <n v="-89.244900000000001"/>
    <n v="4"/>
    <n v="0"/>
    <n v="0"/>
    <n v="107"/>
    <s v="_x0000_peopl"/>
  </r>
  <r>
    <x v="7"/>
    <n v="13.685"/>
    <n v="-89.244900000000001"/>
    <n v="8"/>
    <n v="0"/>
    <n v="0"/>
    <n v="107"/>
    <s v="_x0000_peopl"/>
  </r>
  <r>
    <x v="7"/>
    <n v="13.685"/>
    <n v="-89.244900000000001"/>
    <n v="10"/>
    <n v="0"/>
    <n v="0"/>
    <n v="107"/>
    <s v="_x0000_peopl"/>
  </r>
  <r>
    <x v="7"/>
    <n v="13.685"/>
    <n v="-89.244900000000001"/>
    <n v="5"/>
    <n v="0"/>
    <n v="0"/>
    <n v="107"/>
    <s v="_x0000_peopl"/>
  </r>
  <r>
    <x v="7"/>
    <n v="13.685"/>
    <n v="-89.244900000000001"/>
    <n v="5"/>
    <n v="0"/>
    <n v="0"/>
    <n v="107"/>
    <s v="_x0000_peopl"/>
  </r>
  <r>
    <x v="7"/>
    <n v="13.685"/>
    <n v="-89.244900000000001"/>
    <n v="3"/>
    <n v="0"/>
    <n v="0"/>
    <n v="107"/>
    <s v="_x0000_peopl"/>
  </r>
  <r>
    <x v="7"/>
    <n v="13.685"/>
    <n v="-89.244900000000001"/>
    <n v="5"/>
    <n v="0"/>
    <n v="0"/>
    <n v="107"/>
    <s v="_x0000_peopl"/>
  </r>
  <r>
    <x v="7"/>
    <n v="13.685"/>
    <n v="-89.244900000000001"/>
    <n v="6"/>
    <n v="0"/>
    <n v="0"/>
    <n v="107"/>
    <s v="_x0000_peopl"/>
  </r>
  <r>
    <x v="7"/>
    <n v="13.685"/>
    <n v="-89.244900000000001"/>
    <n v="5"/>
    <n v="0"/>
    <n v="0"/>
    <n v="107"/>
    <s v="_x0000_peopl"/>
  </r>
  <r>
    <x v="7"/>
    <n v="13.685"/>
    <n v="-89.244900000000001"/>
    <n v="6"/>
    <n v="0"/>
    <n v="0"/>
    <n v="107"/>
    <s v="_x0000_peopl"/>
  </r>
  <r>
    <x v="7"/>
    <n v="13.685"/>
    <n v="-89.244900000000001"/>
    <n v="3"/>
    <n v="0"/>
    <n v="0"/>
    <n v="107"/>
    <s v="_x0000_peopl"/>
  </r>
  <r>
    <x v="7"/>
    <n v="13.685"/>
    <n v="-89.244900000000001"/>
    <n v="9"/>
    <n v="0"/>
    <n v="0"/>
    <n v="107"/>
    <s v="_x0000_peopl"/>
  </r>
  <r>
    <x v="7"/>
    <n v="13.685"/>
    <n v="-89.244900000000001"/>
    <n v="5"/>
    <n v="0"/>
    <n v="0"/>
    <n v="107"/>
    <s v="_x0000_peopl"/>
  </r>
  <r>
    <x v="7"/>
    <n v="13.685"/>
    <n v="-89.244900000000001"/>
    <n v="4"/>
    <n v="0"/>
    <n v="0"/>
    <n v="107"/>
    <s v="_x0000_peopl"/>
  </r>
  <r>
    <x v="7"/>
    <n v="13.684900000000001"/>
    <n v="-89.244699999999995"/>
    <n v="9"/>
    <n v="0"/>
    <n v="0"/>
    <n v="107"/>
    <s v="_x0000_peopl"/>
  </r>
  <r>
    <x v="7"/>
    <n v="13.684900000000001"/>
    <n v="-89.244699999999995"/>
    <n v="4"/>
    <n v="0"/>
    <n v="0"/>
    <n v="107"/>
    <s v="_x0000_peopl"/>
  </r>
  <r>
    <x v="7"/>
    <n v="13.684900000000001"/>
    <n v="-89.244699999999995"/>
    <n v="4"/>
    <n v="0"/>
    <n v="0"/>
    <n v="107"/>
    <s v="_x0000_peopl"/>
  </r>
  <r>
    <x v="7"/>
    <n v="13.684900000000001"/>
    <n v="-89.244699999999995"/>
    <n v="5"/>
    <n v="0"/>
    <n v="0"/>
    <n v="107"/>
    <s v="_x0000_peopl"/>
  </r>
  <r>
    <x v="7"/>
    <n v="13.684900000000001"/>
    <n v="-89.244699999999995"/>
    <n v="1"/>
    <n v="0"/>
    <n v="0"/>
    <n v="107"/>
    <s v="_x0000_peopl"/>
  </r>
  <r>
    <x v="7"/>
    <n v="13.684900000000001"/>
    <n v="-89.244699999999995"/>
    <n v="4"/>
    <n v="0"/>
    <n v="0"/>
    <n v="107"/>
    <s v="_x0000_peopl"/>
  </r>
  <r>
    <x v="7"/>
    <n v="13.684900000000001"/>
    <n v="-89.244699999999995"/>
    <n v="5"/>
    <n v="0"/>
    <n v="0"/>
    <n v="107"/>
    <s v="_x0000_peopl"/>
  </r>
  <r>
    <x v="7"/>
    <n v="13.684900000000001"/>
    <n v="-89.244699999999995"/>
    <n v="6"/>
    <n v="0"/>
    <n v="0"/>
    <n v="107"/>
    <s v="_x0000_peopl"/>
  </r>
  <r>
    <x v="7"/>
    <n v="13.684900000000001"/>
    <n v="-89.244699999999995"/>
    <n v="3"/>
    <n v="0"/>
    <n v="0"/>
    <n v="107"/>
    <s v="_x0000_peopl"/>
  </r>
  <r>
    <x v="7"/>
    <n v="13.684900000000001"/>
    <n v="-89.244600000000005"/>
    <n v="9"/>
    <n v="0"/>
    <n v="0"/>
    <n v="107"/>
    <s v="_x0000_peopl"/>
  </r>
  <r>
    <x v="7"/>
    <n v="13.684900000000001"/>
    <n v="-89.244600000000005"/>
    <n v="6"/>
    <n v="0"/>
    <n v="0"/>
    <n v="107"/>
    <s v="_x0000_peopl"/>
  </r>
  <r>
    <x v="7"/>
    <n v="13.684900000000001"/>
    <n v="-89.244600000000005"/>
    <n v="7"/>
    <n v="0"/>
    <n v="0"/>
    <n v="107"/>
    <s v="_x0000_peopl"/>
  </r>
  <r>
    <x v="7"/>
    <n v="13.684900000000001"/>
    <n v="-89.244600000000005"/>
    <n v="6"/>
    <n v="0"/>
    <n v="0"/>
    <n v="107"/>
    <s v="_x0000_peopl"/>
  </r>
  <r>
    <x v="7"/>
    <n v="13.6846"/>
    <n v="-89.244600000000005"/>
    <n v="7"/>
    <n v="0"/>
    <n v="0"/>
    <n v="107"/>
    <s v="_x0000_peopl"/>
  </r>
  <r>
    <x v="7"/>
    <n v="13.6846"/>
    <n v="-89.244799999999998"/>
    <n v="6"/>
    <n v="0"/>
    <n v="0"/>
    <n v="107"/>
    <s v="_x0000_peopl"/>
  </r>
  <r>
    <x v="7"/>
    <n v="13.684699999999999"/>
    <n v="-89.245000000000005"/>
    <n v="2"/>
    <n v="0"/>
    <n v="0"/>
    <n v="107"/>
    <s v="_x0000_peopl"/>
  </r>
  <r>
    <x v="7"/>
    <n v="13.684799999999999"/>
    <n v="-89.245199999999997"/>
    <n v="6"/>
    <n v="0"/>
    <n v="0"/>
    <n v="107"/>
    <s v="_x0000_peopl"/>
  </r>
  <r>
    <x v="7"/>
    <n v="13.6843"/>
    <n v="-89.244600000000005"/>
    <n v="7"/>
    <n v="0"/>
    <n v="0"/>
    <n v="107"/>
    <s v="_x0000_peopl"/>
  </r>
  <r>
    <x v="7"/>
    <n v="13.6843"/>
    <n v="-89.245099999999994"/>
    <n v="7"/>
    <n v="0"/>
    <n v="0"/>
    <n v="107"/>
    <s v="_x0000_peopl"/>
  </r>
  <r>
    <x v="7"/>
    <n v="13.6845"/>
    <n v="-89.2453"/>
    <n v="3"/>
    <n v="0"/>
    <n v="0"/>
    <n v="107"/>
    <s v="_x0000_peopl"/>
  </r>
  <r>
    <x v="7"/>
    <n v="13.6846"/>
    <n v="-89.245400000000004"/>
    <n v="3"/>
    <n v="0"/>
    <n v="0"/>
    <n v="107"/>
    <s v="_x0000_peopl"/>
  </r>
  <r>
    <x v="7"/>
    <n v="13.6859"/>
    <n v="-89.244900000000001"/>
    <n v="4"/>
    <n v="0"/>
    <n v="0"/>
    <n v="107"/>
    <s v="_x0000_peopl"/>
  </r>
  <r>
    <x v="7"/>
    <n v="13.6858"/>
    <n v="-89.244600000000005"/>
    <n v="4"/>
    <n v="0"/>
    <n v="0"/>
    <n v="107"/>
    <s v="_x0000_peopl"/>
  </r>
  <r>
    <x v="7"/>
    <n v="13.6858"/>
    <n v="-89.244600000000005"/>
    <n v="5"/>
    <n v="0"/>
    <n v="0"/>
    <n v="107"/>
    <s v="_x0000_peopl"/>
  </r>
  <r>
    <x v="7"/>
    <n v="13.6859"/>
    <n v="-89.244"/>
    <n v="5"/>
    <n v="0"/>
    <n v="0"/>
    <n v="107"/>
    <s v="_x0000_peopl"/>
  </r>
  <r>
    <x v="7"/>
    <n v="13.686"/>
    <n v="-89.243700000000004"/>
    <n v="6"/>
    <n v="0"/>
    <n v="0"/>
    <n v="107"/>
    <s v="_x0000_peopl"/>
  </r>
  <r>
    <x v="7"/>
    <n v="13.6858"/>
    <n v="-89.243700000000004"/>
    <n v="4"/>
    <n v="0"/>
    <n v="0"/>
    <n v="107"/>
    <s v="_x0000_peopl"/>
  </r>
  <r>
    <x v="7"/>
    <n v="13.6859"/>
    <n v="-89.243700000000004"/>
    <n v="5"/>
    <n v="0"/>
    <n v="0"/>
    <n v="107"/>
    <s v="_x0000_peopl"/>
  </r>
  <r>
    <x v="7"/>
    <n v="13.6861"/>
    <n v="-89.243600000000001"/>
    <n v="3"/>
    <n v="0"/>
    <n v="0"/>
    <n v="107"/>
    <s v="_x0000_peopl"/>
  </r>
  <r>
    <x v="7"/>
    <n v="13.686299999999999"/>
    <n v="-89.243899999999996"/>
    <n v="4"/>
    <n v="0"/>
    <n v="0"/>
    <n v="107"/>
    <s v="_x0000_peopl"/>
  </r>
  <r>
    <x v="7"/>
    <n v="13.686299999999999"/>
    <n v="-89.244"/>
    <n v="5"/>
    <n v="0"/>
    <n v="0"/>
    <n v="107"/>
    <s v="_x0000_peopl"/>
  </r>
  <r>
    <x v="7"/>
    <n v="13.686299999999999"/>
    <n v="-89.244200000000006"/>
    <n v="10"/>
    <n v="0"/>
    <n v="0"/>
    <n v="107"/>
    <s v="_x0000_peopl"/>
  </r>
  <r>
    <x v="7"/>
    <n v="13.686400000000001"/>
    <n v="-89.244299999999996"/>
    <n v="9"/>
    <n v="0"/>
    <n v="0"/>
    <n v="107"/>
    <s v="_x0000_peopl"/>
  </r>
  <r>
    <x v="7"/>
    <n v="13.6867"/>
    <n v="-89.244100000000003"/>
    <n v="6"/>
    <n v="0"/>
    <n v="0"/>
    <n v="107"/>
    <s v="_x0000_peopl"/>
  </r>
  <r>
    <x v="7"/>
    <n v="13.6867"/>
    <n v="-89.243899999999996"/>
    <n v="7"/>
    <n v="0"/>
    <n v="0"/>
    <n v="107"/>
    <s v="_x0000_peopl"/>
  </r>
  <r>
    <x v="7"/>
    <n v="13.6867"/>
    <n v="-89.243799999999993"/>
    <n v="5"/>
    <n v="0"/>
    <n v="0"/>
    <n v="107"/>
    <s v="_x0000_peopl"/>
  </r>
  <r>
    <x v="7"/>
    <n v="13.686500000000001"/>
    <n v="-89.243600000000001"/>
    <n v="2"/>
    <n v="0"/>
    <n v="0"/>
    <n v="107"/>
    <s v="_x0000_peopl"/>
  </r>
  <r>
    <x v="7"/>
    <n v="13.686500000000001"/>
    <n v="-89.243399999999994"/>
    <n v="5"/>
    <n v="0"/>
    <n v="0"/>
    <n v="107"/>
    <s v="_x0000_peopl"/>
  </r>
  <r>
    <x v="7"/>
    <n v="13.6866"/>
    <n v="-89.243300000000005"/>
    <n v="9"/>
    <n v="0"/>
    <n v="0"/>
    <n v="107"/>
    <s v="_x0000_peopl"/>
  </r>
  <r>
    <x v="7"/>
    <n v="13.6867"/>
    <n v="-89.243200000000002"/>
    <n v="5"/>
    <n v="0"/>
    <n v="0"/>
    <n v="107"/>
    <s v="_x0000_peopl"/>
  </r>
  <r>
    <x v="7"/>
    <n v="13.6867"/>
    <n v="-89.243300000000005"/>
    <n v="7"/>
    <n v="0"/>
    <n v="0"/>
    <n v="107"/>
    <s v="_x0000_peopl"/>
  </r>
  <r>
    <x v="7"/>
    <n v="13.6867"/>
    <n v="-89.243399999999994"/>
    <n v="6"/>
    <n v="0"/>
    <n v="0"/>
    <n v="107"/>
    <s v="_x0000_peopl"/>
  </r>
  <r>
    <x v="7"/>
    <n v="13.6867"/>
    <n v="-89.243399999999994"/>
    <n v="8"/>
    <n v="0"/>
    <n v="0"/>
    <n v="107"/>
    <s v="_x0000_peopl"/>
  </r>
  <r>
    <x v="7"/>
    <n v="13.6867"/>
    <n v="-89.243499999999997"/>
    <n v="7"/>
    <n v="0"/>
    <n v="0"/>
    <n v="107"/>
    <s v="_x0000_peopl"/>
  </r>
  <r>
    <x v="7"/>
    <n v="13.6867"/>
    <n v="-89.243499999999997"/>
    <n v="3"/>
    <n v="0"/>
    <n v="0"/>
    <n v="107"/>
    <s v="_x0000_peopl"/>
  </r>
  <r>
    <x v="7"/>
    <n v="13.6867"/>
    <n v="-89.243600000000001"/>
    <n v="3"/>
    <n v="0"/>
    <n v="0"/>
    <n v="107"/>
    <s v="_x0000_peopl"/>
  </r>
  <r>
    <x v="7"/>
    <n v="13.6867"/>
    <n v="-89.243600000000001"/>
    <n v="6"/>
    <n v="0"/>
    <n v="0"/>
    <n v="107"/>
    <s v="_x0000_peopl"/>
  </r>
  <r>
    <x v="7"/>
    <n v="13.6867"/>
    <n v="-89.243600000000001"/>
    <n v="4"/>
    <n v="0"/>
    <n v="0"/>
    <n v="107"/>
    <s v="_x0000_peopl"/>
  </r>
  <r>
    <x v="7"/>
    <n v="13.6867"/>
    <n v="-89.243600000000001"/>
    <n v="2"/>
    <n v="0"/>
    <n v="0"/>
    <n v="107"/>
    <s v="_x0000_peopl"/>
  </r>
  <r>
    <x v="7"/>
    <n v="13.6867"/>
    <n v="-89.243600000000001"/>
    <n v="3"/>
    <n v="0"/>
    <n v="0"/>
    <n v="107"/>
    <s v="_x0000_peopl"/>
  </r>
  <r>
    <x v="7"/>
    <n v="13.6869"/>
    <n v="-89.243600000000001"/>
    <n v="3"/>
    <n v="0"/>
    <n v="0"/>
    <n v="107"/>
    <s v="_x0000_peopl"/>
  </r>
  <r>
    <x v="7"/>
    <n v="13.6869"/>
    <n v="-89.243600000000001"/>
    <n v="9"/>
    <n v="0"/>
    <n v="0"/>
    <n v="107"/>
    <s v="_x0000_peopl"/>
  </r>
  <r>
    <x v="7"/>
    <n v="13.6869"/>
    <n v="-89.243499999999997"/>
    <n v="5"/>
    <n v="0"/>
    <n v="0"/>
    <n v="107"/>
    <s v="_x0000_peopl"/>
  </r>
  <r>
    <x v="7"/>
    <n v="13.6869"/>
    <n v="-89.243499999999997"/>
    <n v="8"/>
    <n v="0"/>
    <n v="0"/>
    <n v="107"/>
    <s v="_x0000_peopl"/>
  </r>
  <r>
    <x v="7"/>
    <n v="13.686999999999999"/>
    <n v="-89.243499999999997"/>
    <n v="4"/>
    <n v="0"/>
    <n v="0"/>
    <n v="107"/>
    <s v="_x0000_peopl"/>
  </r>
  <r>
    <x v="7"/>
    <n v="13.686999999999999"/>
    <n v="-89.243499999999997"/>
    <n v="5"/>
    <n v="0"/>
    <n v="0"/>
    <n v="107"/>
    <s v="_x0000_peopl"/>
  </r>
  <r>
    <x v="7"/>
    <n v="13.6869"/>
    <n v="-89.244299999999996"/>
    <n v="2"/>
    <n v="0"/>
    <n v="0"/>
    <n v="107"/>
    <s v="_x0000_peopl"/>
  </r>
  <r>
    <x v="7"/>
    <n v="13.6868"/>
    <n v="-89.244299999999996"/>
    <n v="5"/>
    <n v="0"/>
    <n v="0"/>
    <n v="107"/>
    <s v="_x0000_peopl"/>
  </r>
  <r>
    <x v="7"/>
    <n v="13.6867"/>
    <n v="-89.244399999999999"/>
    <n v="3"/>
    <n v="0"/>
    <n v="0"/>
    <n v="107"/>
    <s v="_x0000_peopl"/>
  </r>
  <r>
    <x v="7"/>
    <n v="13.6867"/>
    <n v="-89.244399999999999"/>
    <n v="5"/>
    <n v="0"/>
    <n v="0"/>
    <n v="107"/>
    <s v="_x0000_peopl"/>
  </r>
  <r>
    <x v="7"/>
    <n v="13.6867"/>
    <n v="-89.244399999999999"/>
    <n v="4"/>
    <n v="0"/>
    <n v="0"/>
    <n v="107"/>
    <s v="_x0000_peopl"/>
  </r>
  <r>
    <x v="7"/>
    <n v="13.687099999999999"/>
    <n v="-89.243700000000004"/>
    <n v="1"/>
    <n v="0"/>
    <n v="0"/>
    <n v="107"/>
    <s v="_x0000_peopl"/>
  </r>
  <r>
    <x v="7"/>
    <n v="13.687099999999999"/>
    <n v="-89.243899999999996"/>
    <n v="5"/>
    <n v="0"/>
    <n v="0"/>
    <n v="107"/>
    <s v="_x0000_peopl"/>
  </r>
  <r>
    <x v="7"/>
    <n v="13.687099999999999"/>
    <n v="-89.243899999999996"/>
    <n v="3"/>
    <n v="0"/>
    <n v="0"/>
    <n v="107"/>
    <s v="_x0000_peopl"/>
  </r>
  <r>
    <x v="7"/>
    <n v="13.686999999999999"/>
    <n v="-89.244"/>
    <n v="8"/>
    <n v="0"/>
    <n v="0"/>
    <n v="107"/>
    <s v="_x0000_peopl"/>
  </r>
  <r>
    <x v="7"/>
    <n v="13.686999999999999"/>
    <n v="-89.244"/>
    <n v="6"/>
    <n v="0"/>
    <n v="0"/>
    <n v="107"/>
    <s v="_x0000_peopl"/>
  </r>
  <r>
    <x v="7"/>
    <n v="13.686999999999999"/>
    <n v="-89.244"/>
    <n v="3"/>
    <n v="0"/>
    <n v="0"/>
    <n v="107"/>
    <s v="_x0000_peopl"/>
  </r>
  <r>
    <x v="7"/>
    <n v="13.686999999999999"/>
    <n v="-89.244299999999996"/>
    <n v="9"/>
    <n v="0"/>
    <n v="0"/>
    <n v="107"/>
    <s v="_x0000_peopl"/>
  </r>
  <r>
    <x v="7"/>
    <n v="13.687099999999999"/>
    <n v="-89.244200000000006"/>
    <n v="3"/>
    <n v="0"/>
    <n v="0"/>
    <n v="107"/>
    <s v="_x0000_peopl"/>
  </r>
  <r>
    <x v="7"/>
    <n v="13.687099999999999"/>
    <n v="-89.244200000000006"/>
    <n v="8"/>
    <n v="0"/>
    <n v="0"/>
    <n v="107"/>
    <s v="_x0000_peopl"/>
  </r>
  <r>
    <x v="7"/>
    <n v="13.687099999999999"/>
    <n v="-89.244200000000006"/>
    <n v="6"/>
    <n v="0"/>
    <n v="0"/>
    <n v="107"/>
    <s v="_x0000_peopl"/>
  </r>
  <r>
    <x v="7"/>
    <n v="13.687200000000001"/>
    <n v="-89.244200000000006"/>
    <n v="3"/>
    <n v="0"/>
    <n v="0"/>
    <n v="107"/>
    <s v="_x0000_peopl"/>
  </r>
  <r>
    <x v="7"/>
    <n v="13.687200000000001"/>
    <n v="-89.244200000000006"/>
    <n v="5"/>
    <n v="0"/>
    <n v="0"/>
    <n v="107"/>
    <s v="_x0000_peopl"/>
  </r>
  <r>
    <x v="7"/>
    <n v="13.6859"/>
    <n v="-89.241600000000005"/>
    <n v="4"/>
    <n v="0"/>
    <n v="0"/>
    <n v="107"/>
    <s v="_x0000_peopl"/>
  </r>
  <r>
    <x v="7"/>
    <n v="13.685700000000001"/>
    <n v="-89.241600000000005"/>
    <n v="3"/>
    <n v="0"/>
    <n v="0"/>
    <n v="107"/>
    <s v="_x0000_peopl"/>
  </r>
  <r>
    <x v="7"/>
    <n v="13.685600000000001"/>
    <n v="-89.241600000000005"/>
    <n v="9"/>
    <n v="0"/>
    <n v="0"/>
    <n v="107"/>
    <s v="_x0000_peopl"/>
  </r>
  <r>
    <x v="7"/>
    <n v="13.685600000000001"/>
    <n v="-89.241799999999998"/>
    <n v="5"/>
    <n v="0"/>
    <n v="0"/>
    <n v="107"/>
    <s v="_x0000_peopl"/>
  </r>
  <r>
    <x v="7"/>
    <n v="13.685499999999999"/>
    <n v="-89.241900000000001"/>
    <n v="5"/>
    <n v="0"/>
    <n v="0"/>
    <n v="107"/>
    <s v="_x0000_peopl"/>
  </r>
  <r>
    <x v="7"/>
    <n v="13.6854"/>
    <n v="-89.241799999999998"/>
    <n v="6"/>
    <n v="0"/>
    <n v="0"/>
    <n v="107"/>
    <s v="_x0000_peopl"/>
  </r>
  <r>
    <x v="7"/>
    <n v="13.6854"/>
    <n v="-89.242000000000004"/>
    <n v="3"/>
    <n v="0"/>
    <n v="0"/>
    <n v="107"/>
    <s v="_x0000_peopl"/>
  </r>
  <r>
    <x v="7"/>
    <n v="13.685600000000001"/>
    <n v="-89.242099999999994"/>
    <n v="2"/>
    <n v="0"/>
    <n v="0"/>
    <n v="107"/>
    <s v="_x0000_peopl"/>
  </r>
  <r>
    <x v="7"/>
    <n v="13.685499999999999"/>
    <n v="-89.242400000000004"/>
    <n v="3"/>
    <n v="0"/>
    <n v="0"/>
    <n v="107"/>
    <s v="_x0000_peopl"/>
  </r>
  <r>
    <x v="7"/>
    <n v="13.686"/>
    <n v="-89.242400000000004"/>
    <n v="5"/>
    <n v="0"/>
    <n v="0"/>
    <n v="107"/>
    <s v="_x0000_peopl"/>
  </r>
  <r>
    <x v="7"/>
    <n v="13.686"/>
    <n v="-89.242199999999997"/>
    <n v="6"/>
    <n v="0"/>
    <n v="0"/>
    <n v="107"/>
    <s v="_x0000_peopl"/>
  </r>
  <r>
    <x v="7"/>
    <n v="13.686199999999999"/>
    <n v="-89.241799999999998"/>
    <n v="7"/>
    <n v="0"/>
    <n v="0"/>
    <n v="107"/>
    <s v="_x0000_peopl"/>
  </r>
  <r>
    <x v="7"/>
    <n v="13.686199999999999"/>
    <n v="-89.241799999999998"/>
    <n v="6"/>
    <n v="0"/>
    <n v="0"/>
    <n v="107"/>
    <s v="_x0000_peopl"/>
  </r>
  <r>
    <x v="7"/>
    <n v="13.686199999999999"/>
    <n v="-89.241799999999998"/>
    <n v="6"/>
    <n v="0"/>
    <n v="0"/>
    <n v="107"/>
    <s v="_x0000_peopl"/>
  </r>
  <r>
    <x v="7"/>
    <n v="13.686299999999999"/>
    <n v="-89.241200000000006"/>
    <n v="10"/>
    <n v="0"/>
    <n v="0"/>
    <n v="107"/>
    <s v="_x0000_peopl"/>
  </r>
  <r>
    <x v="7"/>
    <n v="13.686299999999999"/>
    <n v="-89.240899999999996"/>
    <n v="5"/>
    <n v="0"/>
    <n v="0"/>
    <n v="107"/>
    <s v="_x0000_peopl"/>
  </r>
  <r>
    <x v="7"/>
    <n v="13.686199999999999"/>
    <n v="-89.242699999999999"/>
    <n v="7"/>
    <n v="0"/>
    <n v="0"/>
    <n v="107"/>
    <s v="_x0000_peopl"/>
  </r>
  <r>
    <x v="7"/>
    <n v="13.6866"/>
    <n v="-89.242500000000007"/>
    <n v="5"/>
    <n v="0"/>
    <n v="0"/>
    <n v="107"/>
    <s v="_x0000_peopl"/>
  </r>
  <r>
    <x v="7"/>
    <n v="13.687099999999999"/>
    <n v="-89.242500000000007"/>
    <n v="6"/>
    <n v="0"/>
    <n v="0"/>
    <n v="107"/>
    <s v="_x0000_peopl"/>
  </r>
  <r>
    <x v="7"/>
    <n v="13.686999999999999"/>
    <n v="-89.242199999999997"/>
    <n v="5"/>
    <n v="0"/>
    <n v="0"/>
    <n v="107"/>
    <s v="_x0000_peopl"/>
  </r>
  <r>
    <x v="7"/>
    <n v="13.6868"/>
    <n v="-89.242099999999994"/>
    <n v="1"/>
    <n v="0"/>
    <n v="0"/>
    <n v="107"/>
    <s v="_x0000_peopl"/>
  </r>
  <r>
    <x v="7"/>
    <n v="13.6868"/>
    <n v="-89.242000000000004"/>
    <n v="7"/>
    <n v="0"/>
    <n v="0"/>
    <n v="107"/>
    <s v="_x0000_peopl"/>
  </r>
  <r>
    <x v="7"/>
    <n v="13.6866"/>
    <n v="-89.2423"/>
    <n v="6"/>
    <n v="0"/>
    <n v="0"/>
    <n v="107"/>
    <s v="_x0000_peopl"/>
  </r>
  <r>
    <x v="7"/>
    <n v="13.686400000000001"/>
    <n v="-89.242199999999997"/>
    <n v="7"/>
    <n v="0"/>
    <n v="0"/>
    <n v="107"/>
    <s v="_x0000_peopl"/>
  </r>
  <r>
    <x v="7"/>
    <n v="13.686400000000001"/>
    <n v="-89.241900000000001"/>
    <n v="10"/>
    <n v="0"/>
    <n v="0"/>
    <n v="107"/>
    <s v="_x0000_peopl"/>
  </r>
  <r>
    <x v="7"/>
    <n v="13.686400000000001"/>
    <n v="-89.241900000000001"/>
    <n v="4"/>
    <n v="0"/>
    <n v="0"/>
    <n v="107"/>
    <s v="_x0000_peopl"/>
  </r>
  <r>
    <x v="7"/>
    <n v="13.686400000000001"/>
    <n v="-89.241900000000001"/>
    <n v="7"/>
    <n v="0"/>
    <n v="0"/>
    <n v="107"/>
    <s v="_x0000_peopl"/>
  </r>
  <r>
    <x v="7"/>
    <n v="13.686400000000001"/>
    <n v="-89.241900000000001"/>
    <n v="5"/>
    <n v="0"/>
    <n v="0"/>
    <n v="107"/>
    <s v="_x0000_peopl"/>
  </r>
  <r>
    <x v="7"/>
    <n v="13.686400000000001"/>
    <n v="-89.241900000000001"/>
    <n v="6"/>
    <n v="0"/>
    <n v="0"/>
    <n v="107"/>
    <s v="_x0000_peopl"/>
  </r>
  <r>
    <x v="7"/>
    <n v="13.686400000000001"/>
    <n v="-89.241900000000001"/>
    <n v="4"/>
    <n v="0"/>
    <n v="0"/>
    <n v="107"/>
    <s v="_x0000_peopl"/>
  </r>
  <r>
    <x v="7"/>
    <n v="13.686400000000001"/>
    <n v="-89.241900000000001"/>
    <n v="4"/>
    <n v="0"/>
    <n v="0"/>
    <n v="107"/>
    <s v="_x0000_peopl"/>
  </r>
  <r>
    <x v="7"/>
    <n v="13.686400000000001"/>
    <n v="-89.241900000000001"/>
    <n v="8"/>
    <n v="0"/>
    <n v="0"/>
    <n v="107"/>
    <s v="_x0000_peopl"/>
  </r>
  <r>
    <x v="7"/>
    <n v="13.686400000000001"/>
    <n v="-89.241799999999998"/>
    <n v="6"/>
    <n v="0"/>
    <n v="0"/>
    <n v="107"/>
    <s v="_x0000_peopl"/>
  </r>
  <r>
    <x v="7"/>
    <n v="13.686400000000001"/>
    <n v="-89.241799999999998"/>
    <n v="5"/>
    <n v="0"/>
    <n v="0"/>
    <n v="107"/>
    <s v="_x0000_peopl"/>
  </r>
  <r>
    <x v="7"/>
    <n v="13.686400000000001"/>
    <n v="-89.241699999999994"/>
    <n v="3"/>
    <n v="0"/>
    <n v="0"/>
    <n v="107"/>
    <s v="_x0000_peopl"/>
  </r>
  <r>
    <x v="7"/>
    <n v="13.686400000000001"/>
    <n v="-89.241699999999994"/>
    <n v="6"/>
    <n v="0"/>
    <n v="0"/>
    <n v="107"/>
    <s v="_x0000_peopl"/>
  </r>
  <r>
    <x v="7"/>
    <n v="13.686400000000001"/>
    <n v="-89.241699999999994"/>
    <n v="5"/>
    <n v="0"/>
    <n v="0"/>
    <n v="107"/>
    <s v="_x0000_peopl"/>
  </r>
  <r>
    <x v="7"/>
    <n v="13.686400000000001"/>
    <n v="-89.241699999999994"/>
    <n v="8"/>
    <n v="0"/>
    <n v="0"/>
    <n v="107"/>
    <s v="_x0000_peopl"/>
  </r>
  <r>
    <x v="7"/>
    <n v="13.686299999999999"/>
    <n v="-89.241799999999998"/>
    <n v="7"/>
    <n v="0"/>
    <n v="0"/>
    <n v="107"/>
    <s v="_x0000_peopl"/>
  </r>
  <r>
    <x v="7"/>
    <n v="13.686299999999999"/>
    <n v="-89.241799999999998"/>
    <n v="3"/>
    <n v="0"/>
    <n v="0"/>
    <n v="107"/>
    <s v="_x0000_peopl"/>
  </r>
  <r>
    <x v="7"/>
    <n v="13.686299999999999"/>
    <n v="-89.241699999999994"/>
    <n v="6"/>
    <n v="0"/>
    <n v="0"/>
    <n v="107"/>
    <s v="_x0000_peopl"/>
  </r>
  <r>
    <x v="7"/>
    <n v="13.686299999999999"/>
    <n v="-89.241699999999994"/>
    <n v="13"/>
    <n v="0"/>
    <n v="0"/>
    <n v="107"/>
    <s v="_x0000_peopl"/>
  </r>
  <r>
    <x v="7"/>
    <n v="13.686299999999999"/>
    <n v="-89.241699999999994"/>
    <n v="3"/>
    <n v="0"/>
    <n v="0"/>
    <n v="107"/>
    <s v="_x0000_peopl"/>
  </r>
  <r>
    <x v="7"/>
    <n v="13.686299999999999"/>
    <n v="-89.241699999999994"/>
    <n v="6"/>
    <n v="0"/>
    <n v="0"/>
    <n v="107"/>
    <s v="_x0000_peopl"/>
  </r>
  <r>
    <x v="7"/>
    <n v="13.686299999999999"/>
    <n v="-89.241900000000001"/>
    <n v="7"/>
    <n v="0"/>
    <n v="0"/>
    <n v="107"/>
    <s v="_x0000_peopl"/>
  </r>
  <r>
    <x v="7"/>
    <n v="13.686299999999999"/>
    <n v="-89.241900000000001"/>
    <n v="6"/>
    <n v="0"/>
    <n v="0"/>
    <n v="107"/>
    <s v="_x0000_peopl"/>
  </r>
  <r>
    <x v="7"/>
    <n v="13.686299999999999"/>
    <n v="-89.241900000000001"/>
    <n v="4"/>
    <n v="0"/>
    <n v="0"/>
    <n v="107"/>
    <s v="_x0000_peopl"/>
  </r>
  <r>
    <x v="7"/>
    <n v="13.686299999999999"/>
    <n v="-89.241900000000001"/>
    <n v="5"/>
    <n v="0"/>
    <n v="0"/>
    <n v="107"/>
    <s v="_x0000_peopl"/>
  </r>
  <r>
    <x v="7"/>
    <n v="13.686299999999999"/>
    <n v="-89.241900000000001"/>
    <n v="1"/>
    <n v="0"/>
    <n v="0"/>
    <n v="107"/>
    <s v="_x0000_peopl"/>
  </r>
  <r>
    <x v="7"/>
    <n v="13.6866"/>
    <n v="-89.241500000000002"/>
    <n v="5"/>
    <n v="0"/>
    <n v="0"/>
    <n v="107"/>
    <s v="_x0000_peopl"/>
  </r>
  <r>
    <x v="7"/>
    <n v="13.6867"/>
    <n v="-89.241500000000002"/>
    <n v="5"/>
    <n v="0"/>
    <n v="0"/>
    <n v="107"/>
    <s v="_x0000_peopl"/>
  </r>
  <r>
    <x v="7"/>
    <n v="13.6867"/>
    <n v="-89.241500000000002"/>
    <n v="6"/>
    <n v="0"/>
    <n v="0"/>
    <n v="107"/>
    <s v="_x0000_peopl"/>
  </r>
  <r>
    <x v="7"/>
    <n v="13.6867"/>
    <n v="-89.241500000000002"/>
    <n v="4"/>
    <n v="0"/>
    <n v="0"/>
    <n v="107"/>
    <s v="_x0000_peopl"/>
  </r>
  <r>
    <x v="7"/>
    <n v="13.6868"/>
    <n v="-89.241500000000002"/>
    <n v="3"/>
    <n v="0"/>
    <n v="0"/>
    <n v="107"/>
    <s v="_x0000_peopl"/>
  </r>
  <r>
    <x v="7"/>
    <n v="13.6868"/>
    <n v="-89.241500000000002"/>
    <n v="4"/>
    <n v="0"/>
    <n v="0"/>
    <n v="107"/>
    <s v="_x0000_peopl"/>
  </r>
  <r>
    <x v="7"/>
    <n v="13.6869"/>
    <n v="-89.241399999999999"/>
    <n v="4"/>
    <n v="0"/>
    <n v="0"/>
    <n v="107"/>
    <s v="_x0000_peopl"/>
  </r>
  <r>
    <x v="7"/>
    <n v="13.6868"/>
    <n v="-89.241299999999995"/>
    <n v="5"/>
    <n v="0"/>
    <n v="0"/>
    <n v="107"/>
    <s v="_x0000_peopl"/>
  </r>
  <r>
    <x v="7"/>
    <n v="13.6868"/>
    <n v="-89.241299999999995"/>
    <n v="3"/>
    <n v="0"/>
    <n v="0"/>
    <n v="107"/>
    <s v="_x0000_peopl"/>
  </r>
  <r>
    <x v="7"/>
    <n v="13.6861"/>
    <n v="-89.240499999999997"/>
    <n v="3"/>
    <n v="0"/>
    <n v="0"/>
    <n v="107"/>
    <s v="_x0000_peopl"/>
  </r>
  <r>
    <x v="7"/>
    <n v="13.686"/>
    <n v="-89.240499999999997"/>
    <n v="8"/>
    <n v="0"/>
    <n v="0"/>
    <n v="107"/>
    <s v="_x0000_peopl"/>
  </r>
  <r>
    <x v="7"/>
    <n v="13.6861"/>
    <n v="-89.240499999999997"/>
    <n v="5"/>
    <n v="0"/>
    <n v="0"/>
    <n v="107"/>
    <s v="_x0000_peopl"/>
  </r>
  <r>
    <x v="7"/>
    <n v="13.6861"/>
    <n v="-89.240399999999994"/>
    <n v="5"/>
    <n v="0"/>
    <n v="0"/>
    <n v="107"/>
    <s v="_x0000_peopl"/>
  </r>
  <r>
    <x v="7"/>
    <n v="13.6861"/>
    <n v="-89.240399999999994"/>
    <n v="2"/>
    <n v="0"/>
    <n v="0"/>
    <n v="107"/>
    <s v="_x0000_peopl"/>
  </r>
  <r>
    <x v="7"/>
    <n v="13.6861"/>
    <n v="-89.240399999999994"/>
    <n v="1"/>
    <n v="0"/>
    <n v="0"/>
    <n v="107"/>
    <s v="_x0000_peopl"/>
  </r>
  <r>
    <x v="7"/>
    <n v="13.686199999999999"/>
    <n v="-89.240399999999994"/>
    <n v="4"/>
    <n v="0"/>
    <n v="0"/>
    <n v="107"/>
    <s v="_x0000_peopl"/>
  </r>
  <r>
    <x v="7"/>
    <n v="13.686199999999999"/>
    <n v="-89.240399999999994"/>
    <n v="2"/>
    <n v="0"/>
    <n v="0"/>
    <n v="107"/>
    <s v="_x0000_peopl"/>
  </r>
  <r>
    <x v="7"/>
    <n v="13.686199999999999"/>
    <n v="-89.240399999999994"/>
    <n v="6"/>
    <n v="0"/>
    <n v="0"/>
    <n v="107"/>
    <s v="_x0000_peopl"/>
  </r>
  <r>
    <x v="7"/>
    <n v="13.686199999999999"/>
    <n v="-89.240499999999997"/>
    <n v="6"/>
    <n v="0"/>
    <n v="0"/>
    <n v="107"/>
    <s v="_x0000_peopl"/>
  </r>
  <r>
    <x v="7"/>
    <n v="13.686199999999999"/>
    <n v="-89.240499999999997"/>
    <n v="0"/>
    <n v="0"/>
    <n v="0"/>
    <n v="107"/>
    <s v="_x0000_peopl"/>
  </r>
  <r>
    <x v="7"/>
    <n v="13.686199999999999"/>
    <n v="-89.240499999999997"/>
    <n v="5"/>
    <n v="0"/>
    <n v="0"/>
    <n v="107"/>
    <s v="_x0000_peopl"/>
  </r>
  <r>
    <x v="7"/>
    <n v="13.686400000000001"/>
    <n v="-89.240300000000005"/>
    <n v="3"/>
    <n v="0"/>
    <n v="0"/>
    <n v="107"/>
    <s v="_x0000_peopl"/>
  </r>
  <r>
    <x v="7"/>
    <n v="13.686299999999999"/>
    <n v="-89.240300000000005"/>
    <n v="5"/>
    <n v="0"/>
    <n v="0"/>
    <n v="107"/>
    <s v="_x0000_peopl"/>
  </r>
  <r>
    <x v="7"/>
    <n v="13.686299999999999"/>
    <n v="-89.240300000000005"/>
    <n v="6"/>
    <n v="0"/>
    <n v="0"/>
    <n v="107"/>
    <s v="_x0000_peopl"/>
  </r>
  <r>
    <x v="7"/>
    <n v="13.686299999999999"/>
    <n v="-89.240300000000005"/>
    <n v="5"/>
    <n v="0"/>
    <n v="0"/>
    <n v="107"/>
    <s v="_x0000_peopl"/>
  </r>
  <r>
    <x v="7"/>
    <n v="13.686400000000001"/>
    <n v="-89.240200000000002"/>
    <n v="5"/>
    <n v="0"/>
    <n v="0"/>
    <n v="107"/>
    <s v="_x0000_peopl"/>
  </r>
  <r>
    <x v="7"/>
    <n v="13.686400000000001"/>
    <n v="-89.240200000000002"/>
    <n v="5"/>
    <n v="0"/>
    <n v="0"/>
    <n v="107"/>
    <s v="_x0000_peopl"/>
  </r>
  <r>
    <x v="7"/>
    <n v="13.686400000000001"/>
    <n v="-89.240200000000002"/>
    <n v="7"/>
    <n v="0"/>
    <n v="0"/>
    <n v="107"/>
    <s v="_x0000_peopl"/>
  </r>
  <r>
    <x v="7"/>
    <n v="13.686400000000001"/>
    <n v="-89.240200000000002"/>
    <n v="5"/>
    <n v="0"/>
    <n v="0"/>
    <n v="107"/>
    <s v="_x0000_peopl"/>
  </r>
  <r>
    <x v="7"/>
    <n v="13.686199999999999"/>
    <n v="-89.240200000000002"/>
    <n v="5"/>
    <n v="0"/>
    <n v="0"/>
    <n v="107"/>
    <s v="_x0000_peopl"/>
  </r>
  <r>
    <x v="7"/>
    <n v="13.686199999999999"/>
    <n v="-89.240200000000002"/>
    <n v="6"/>
    <n v="0"/>
    <n v="0"/>
    <n v="107"/>
    <s v="_x0000_peopl"/>
  </r>
  <r>
    <x v="7"/>
    <n v="13.686199999999999"/>
    <n v="-89.240200000000002"/>
    <n v="4"/>
    <n v="0"/>
    <n v="0"/>
    <n v="107"/>
    <s v="_x0000_peopl"/>
  </r>
  <r>
    <x v="7"/>
    <n v="13.686199999999999"/>
    <n v="-89.240200000000002"/>
    <n v="1"/>
    <n v="0"/>
    <n v="0"/>
    <n v="107"/>
    <s v="_x0000_peopl"/>
  </r>
  <r>
    <x v="7"/>
    <n v="13.686199999999999"/>
    <n v="-89.240200000000002"/>
    <n v="5"/>
    <n v="0"/>
    <n v="0"/>
    <n v="107"/>
    <s v="_x0000_peopl"/>
  </r>
  <r>
    <x v="7"/>
    <n v="13.686199999999999"/>
    <n v="-89.240200000000002"/>
    <n v="5"/>
    <n v="0"/>
    <n v="0"/>
    <n v="107"/>
    <s v="_x0000_peopl"/>
  </r>
  <r>
    <x v="7"/>
    <n v="13.686199999999999"/>
    <n v="-89.240200000000002"/>
    <n v="6"/>
    <n v="0"/>
    <n v="0"/>
    <n v="107"/>
    <s v="_x0000_peopl"/>
  </r>
  <r>
    <x v="7"/>
    <n v="13.6876"/>
    <n v="-89.242000000000004"/>
    <n v="2"/>
    <n v="0"/>
    <n v="0"/>
    <n v="107"/>
    <s v="_x0000_peopl"/>
  </r>
  <r>
    <x v="7"/>
    <n v="13.6876"/>
    <n v="-89.241799999999998"/>
    <n v="3"/>
    <n v="0"/>
    <n v="0"/>
    <n v="107"/>
    <s v="_x0000_peopl"/>
  </r>
  <r>
    <x v="7"/>
    <n v="13.687799999999999"/>
    <n v="-89.241"/>
    <n v="6"/>
    <n v="0"/>
    <n v="0"/>
    <n v="107"/>
    <s v="_x0000_peopl"/>
  </r>
  <r>
    <x v="7"/>
    <n v="13.6876"/>
    <n v="-89.241"/>
    <n v="4"/>
    <n v="0"/>
    <n v="0"/>
    <n v="107"/>
    <s v="_x0000_peopl"/>
  </r>
  <r>
    <x v="7"/>
    <n v="13.6873"/>
    <n v="-89.241100000000003"/>
    <n v="5"/>
    <n v="0"/>
    <n v="0"/>
    <n v="107"/>
    <s v="_x0000_peopl"/>
  </r>
  <r>
    <x v="7"/>
    <n v="13.687200000000001"/>
    <n v="-89.241100000000003"/>
    <n v="3"/>
    <n v="0"/>
    <n v="0"/>
    <n v="107"/>
    <s v="_x0000_peopl"/>
  </r>
  <r>
    <x v="7"/>
    <n v="13.687099999999999"/>
    <n v="-89.241100000000003"/>
    <n v="4"/>
    <n v="0"/>
    <n v="0"/>
    <n v="107"/>
    <s v="_x0000_peopl"/>
  </r>
  <r>
    <x v="7"/>
    <n v="13.686999999999999"/>
    <n v="-89.241100000000003"/>
    <n v="1"/>
    <n v="0"/>
    <n v="0"/>
    <n v="107"/>
    <s v="_x0000_peopl"/>
  </r>
  <r>
    <x v="7"/>
    <n v="13.6868"/>
    <n v="-89.241"/>
    <n v="2"/>
    <n v="0"/>
    <n v="0"/>
    <n v="107"/>
    <s v="_x0000_peopl"/>
  </r>
  <r>
    <x v="7"/>
    <n v="13.686999999999999"/>
    <n v="-89.241600000000005"/>
    <n v="6"/>
    <n v="0"/>
    <n v="0"/>
    <n v="107"/>
    <s v="_x0000_peopl"/>
  </r>
  <r>
    <x v="7"/>
    <n v="13.686999999999999"/>
    <n v="-89.240600000000001"/>
    <n v="8"/>
    <n v="0"/>
    <n v="0"/>
    <n v="107"/>
    <s v="_x0000_peopl"/>
  </r>
  <r>
    <x v="7"/>
    <n v="13.687099999999999"/>
    <n v="-89.240499999999997"/>
    <n v="9"/>
    <n v="0"/>
    <n v="0"/>
    <n v="107"/>
    <s v="_x0000_peopl"/>
  </r>
  <r>
    <x v="7"/>
    <n v="13.6876"/>
    <n v="-89.240700000000004"/>
    <n v="8"/>
    <n v="0"/>
    <n v="0"/>
    <n v="107"/>
    <s v="_x0000_peopl"/>
  </r>
  <r>
    <x v="7"/>
    <n v="13.687799999999999"/>
    <n v="-89.240700000000004"/>
    <n v="5"/>
    <n v="0"/>
    <n v="0"/>
    <n v="107"/>
    <s v="_x0000_peopl"/>
  </r>
  <r>
    <x v="7"/>
    <n v="13.688000000000001"/>
    <n v="-89.240600000000001"/>
    <n v="4"/>
    <n v="0"/>
    <n v="0"/>
    <n v="107"/>
    <s v="_x0000_peopl"/>
  </r>
  <r>
    <x v="7"/>
    <n v="13.6884"/>
    <n v="-89.241100000000003"/>
    <n v="6"/>
    <n v="0"/>
    <n v="0"/>
    <n v="107"/>
    <s v="_x0000_peopl"/>
  </r>
  <r>
    <x v="7"/>
    <n v="13.6883"/>
    <n v="-89.241799999999998"/>
    <n v="5"/>
    <n v="0"/>
    <n v="0"/>
    <n v="107"/>
    <s v="_x0000_peopl"/>
  </r>
  <r>
    <x v="7"/>
    <n v="13.6883"/>
    <n v="-89.242400000000004"/>
    <n v="5"/>
    <n v="0"/>
    <n v="0"/>
    <n v="107"/>
    <s v="_x0000_peopl"/>
  </r>
  <r>
    <x v="7"/>
    <n v="13.6868"/>
    <n v="-89.240499999999997"/>
    <n v="4"/>
    <n v="0"/>
    <n v="0"/>
    <n v="107"/>
    <s v="_x0000_peopl"/>
  </r>
  <r>
    <x v="7"/>
    <n v="13.6868"/>
    <n v="-89.240300000000005"/>
    <n v="7"/>
    <n v="0"/>
    <n v="0"/>
    <n v="107"/>
    <s v="_x0000_peopl"/>
  </r>
  <r>
    <x v="7"/>
    <n v="13.6869"/>
    <n v="-89.240099999999998"/>
    <n v="3"/>
    <n v="0"/>
    <n v="0"/>
    <n v="107"/>
    <s v="_x0000_peopl"/>
  </r>
  <r>
    <x v="7"/>
    <n v="13.687099999999999"/>
    <n v="-89.24"/>
    <n v="9"/>
    <n v="0"/>
    <n v="0"/>
    <n v="107"/>
    <s v="_x0000_peopl"/>
  </r>
  <r>
    <x v="7"/>
    <n v="13.6874"/>
    <n v="-89.24"/>
    <n v="4"/>
    <n v="0"/>
    <n v="0"/>
    <n v="107"/>
    <s v="_x0000_peopl"/>
  </r>
  <r>
    <x v="7"/>
    <n v="13.6876"/>
    <n v="-89.24"/>
    <n v="5"/>
    <n v="0"/>
    <n v="0"/>
    <n v="107"/>
    <s v="_x0000_peopl"/>
  </r>
  <r>
    <x v="7"/>
    <n v="13.687799999999999"/>
    <n v="-89.240099999999998"/>
    <n v="6"/>
    <n v="0"/>
    <n v="0"/>
    <n v="107"/>
    <s v="_x0000_peopl"/>
  </r>
  <r>
    <x v="7"/>
    <n v="13.6873"/>
    <n v="-89.239500000000007"/>
    <n v="6"/>
    <n v="0"/>
    <n v="0"/>
    <n v="107"/>
    <s v="_x0000_peopl"/>
  </r>
  <r>
    <x v="7"/>
    <n v="13.6874"/>
    <n v="-89.2393"/>
    <n v="7"/>
    <n v="0"/>
    <n v="0"/>
    <n v="107"/>
    <s v="_x0000_peopl"/>
  </r>
  <r>
    <x v="7"/>
    <n v="13.687799999999999"/>
    <n v="-89.239599999999996"/>
    <n v="4"/>
    <n v="0"/>
    <n v="0"/>
    <n v="107"/>
    <s v="_x0000_peopl"/>
  </r>
  <r>
    <x v="7"/>
    <n v="13.6883"/>
    <n v="-89.239000000000004"/>
    <n v="6"/>
    <n v="0"/>
    <n v="0"/>
    <n v="107"/>
    <s v="_x0000_peopl"/>
  </r>
  <r>
    <x v="7"/>
    <n v="13.688499999999999"/>
    <n v="-89.238699999999994"/>
    <n v="7"/>
    <n v="0"/>
    <n v="0"/>
    <n v="107"/>
    <s v="_x0000_peopl"/>
  </r>
  <r>
    <x v="7"/>
    <n v="13.688599999999999"/>
    <n v="-89.238600000000005"/>
    <n v="5"/>
    <n v="0"/>
    <n v="0"/>
    <n v="107"/>
    <s v="_x0000_peopl"/>
  </r>
  <r>
    <x v="7"/>
    <n v="13.688700000000001"/>
    <n v="-89.238399999999999"/>
    <n v="3"/>
    <n v="0"/>
    <n v="0"/>
    <n v="107"/>
    <s v="_x0000_peopl"/>
  </r>
  <r>
    <x v="7"/>
    <n v="13.688800000000001"/>
    <n v="-89.238299999999995"/>
    <n v="9"/>
    <n v="0"/>
    <n v="0"/>
    <n v="107"/>
    <s v="_x0000_peopl"/>
  </r>
  <r>
    <x v="7"/>
    <n v="13.6889"/>
    <n v="-89.238100000000003"/>
    <n v="7"/>
    <n v="0"/>
    <n v="0"/>
    <n v="107"/>
    <s v="_x0000_peopl"/>
  </r>
  <r>
    <x v="7"/>
    <n v="13.689"/>
    <n v="-89.238"/>
    <n v="5"/>
    <n v="0"/>
    <n v="0"/>
    <n v="107"/>
    <s v="_x0000_peopl"/>
  </r>
  <r>
    <x v="7"/>
    <n v="13.6891"/>
    <n v="-89.237799999999993"/>
    <n v="4"/>
    <n v="0"/>
    <n v="0"/>
    <n v="107"/>
    <s v="_x0000_peopl"/>
  </r>
  <r>
    <x v="7"/>
    <n v="13.6892"/>
    <n v="-89.237700000000004"/>
    <n v="7"/>
    <n v="0"/>
    <n v="0"/>
    <n v="107"/>
    <s v="_x0000_peopl"/>
  </r>
  <r>
    <x v="7"/>
    <n v="13.689399999999999"/>
    <n v="-89.237399999999994"/>
    <n v="2"/>
    <n v="0"/>
    <n v="0"/>
    <n v="107"/>
    <s v="_x0000_peopl"/>
  </r>
  <r>
    <x v="7"/>
    <n v="13.689500000000001"/>
    <n v="-89.237300000000005"/>
    <n v="5"/>
    <n v="0"/>
    <n v="0"/>
    <n v="107"/>
    <s v="_x0000_peopl"/>
  </r>
  <r>
    <x v="7"/>
    <n v="13.689399999999999"/>
    <n v="-89.237200000000001"/>
    <n v="7"/>
    <n v="0"/>
    <n v="0"/>
    <n v="107"/>
    <s v="_x0000_peopl"/>
  </r>
  <r>
    <x v="7"/>
    <n v="13.689299999999999"/>
    <n v="-89.237300000000005"/>
    <n v="10"/>
    <n v="0"/>
    <n v="0"/>
    <n v="107"/>
    <s v="_x0000_peopl"/>
  </r>
  <r>
    <x v="7"/>
    <n v="13.6891"/>
    <n v="-89.237399999999994"/>
    <n v="3"/>
    <n v="0"/>
    <n v="0"/>
    <n v="107"/>
    <s v="_x0000_peopl"/>
  </r>
  <r>
    <x v="7"/>
    <n v="13.688800000000001"/>
    <n v="-89.237899999999996"/>
    <n v="5"/>
    <n v="0"/>
    <n v="0"/>
    <n v="107"/>
    <s v="_x0000_peopl"/>
  </r>
  <r>
    <x v="7"/>
    <n v="13.688599999999999"/>
    <n v="-89.238"/>
    <n v="7"/>
    <n v="0"/>
    <n v="0"/>
    <n v="107"/>
    <s v="_x0000_peopl"/>
  </r>
  <r>
    <x v="7"/>
    <n v="13.688599999999999"/>
    <n v="-89.238100000000003"/>
    <n v="4"/>
    <n v="0"/>
    <n v="0"/>
    <n v="107"/>
    <s v="_x0000_peopl"/>
  </r>
  <r>
    <x v="7"/>
    <n v="13.688599999999999"/>
    <n v="-89.238100000000003"/>
    <n v="6"/>
    <n v="0"/>
    <n v="0"/>
    <n v="107"/>
    <s v="_x0000_peopl"/>
  </r>
  <r>
    <x v="7"/>
    <n v="13.688499999999999"/>
    <n v="-89.238200000000006"/>
    <n v="4"/>
    <n v="0"/>
    <n v="0"/>
    <n v="107"/>
    <s v="_x0000_peopl"/>
  </r>
  <r>
    <x v="7"/>
    <n v="13.6884"/>
    <n v="-89.238399999999999"/>
    <n v="3"/>
    <n v="0"/>
    <n v="0"/>
    <n v="107"/>
    <s v="_x0000_peopl"/>
  </r>
  <r>
    <x v="7"/>
    <n v="13.6883"/>
    <n v="-89.238500000000002"/>
    <n v="4"/>
    <n v="0"/>
    <n v="0"/>
    <n v="107"/>
    <s v="_x0000_peopl"/>
  </r>
  <r>
    <x v="7"/>
    <n v="13.6882"/>
    <n v="-89.238699999999994"/>
    <n v="10"/>
    <n v="0"/>
    <n v="0"/>
    <n v="107"/>
    <s v="_x0000_peopl"/>
  </r>
  <r>
    <x v="7"/>
    <n v="13.6881"/>
    <n v="-89.238799999999998"/>
    <n v="9"/>
    <n v="0"/>
    <n v="0"/>
    <n v="107"/>
    <s v="_x0000_peopl"/>
  </r>
  <r>
    <x v="7"/>
    <n v="13.688700000000001"/>
    <n v="-89.239000000000004"/>
    <n v="6"/>
    <n v="0"/>
    <n v="0"/>
    <n v="107"/>
    <s v="_x0000_peopl"/>
  </r>
  <r>
    <x v="7"/>
    <n v="13.688800000000001"/>
    <n v="-89.238799999999998"/>
    <n v="7"/>
    <n v="0"/>
    <n v="0"/>
    <n v="107"/>
    <s v="_x0000_peopl"/>
  </r>
  <r>
    <x v="7"/>
    <n v="13.6889"/>
    <n v="-89.238600000000005"/>
    <n v="2"/>
    <n v="0"/>
    <n v="0"/>
    <n v="107"/>
    <s v="_x0000_peopl"/>
  </r>
  <r>
    <x v="7"/>
    <n v="13.689299999999999"/>
    <n v="-89.238299999999995"/>
    <n v="5"/>
    <n v="0"/>
    <n v="0"/>
    <n v="107"/>
    <s v="_x0000_peopl"/>
  </r>
  <r>
    <x v="7"/>
    <n v="13.6892"/>
    <n v="-89.238699999999994"/>
    <n v="1"/>
    <n v="0"/>
    <n v="0"/>
    <n v="107"/>
    <s v="_x0000_peopl"/>
  </r>
  <r>
    <x v="7"/>
    <n v="13.689399999999999"/>
    <n v="-89.238"/>
    <n v="7"/>
    <n v="0"/>
    <n v="0"/>
    <n v="107"/>
    <s v="_x0000_peopl"/>
  </r>
  <r>
    <x v="7"/>
    <n v="13.689399999999999"/>
    <n v="-89.237899999999996"/>
    <n v="4"/>
    <n v="0"/>
    <n v="0"/>
    <n v="107"/>
    <s v="_x0000_peopl"/>
  </r>
  <r>
    <x v="7"/>
    <n v="13.6896"/>
    <n v="-89.237700000000004"/>
    <n v="8"/>
    <n v="0"/>
    <n v="0"/>
    <n v="107"/>
    <s v="_x0000_peopl"/>
  </r>
  <r>
    <x v="7"/>
    <n v="13.6897"/>
    <n v="-89.237399999999994"/>
    <n v="6"/>
    <n v="0"/>
    <n v="0"/>
    <n v="107"/>
    <s v="_x0000_peopl"/>
  </r>
  <r>
    <x v="7"/>
    <n v="13.6899"/>
    <n v="-89.237399999999994"/>
    <n v="3"/>
    <n v="0"/>
    <n v="0"/>
    <n v="107"/>
    <s v="_x0000_peopl"/>
  </r>
  <r>
    <x v="7"/>
    <n v="13.6898"/>
    <n v="-89.237300000000005"/>
    <n v="0"/>
    <n v="0"/>
    <n v="0"/>
    <n v="107"/>
    <s v="_x0000_peopl"/>
  </r>
  <r>
    <x v="7"/>
    <n v="13.6899"/>
    <n v="-89.237099999999998"/>
    <n v="5"/>
    <n v="0"/>
    <n v="0"/>
    <n v="107"/>
    <s v="_x0000_peopl"/>
  </r>
  <r>
    <x v="7"/>
    <n v="13.6899"/>
    <n v="-89.236699999999999"/>
    <n v="1"/>
    <n v="0"/>
    <n v="0"/>
    <n v="107"/>
    <s v="_x0000_peopl"/>
  </r>
  <r>
    <x v="7"/>
    <n v="13.6898"/>
    <n v="-89.236800000000002"/>
    <n v="4"/>
    <n v="0"/>
    <n v="0"/>
    <n v="107"/>
    <s v="_x0000_peopl"/>
  </r>
  <r>
    <x v="7"/>
    <n v="13.6896"/>
    <n v="-89.236699999999999"/>
    <n v="2"/>
    <n v="0"/>
    <n v="0"/>
    <n v="107"/>
    <s v="_x0000_peopl"/>
  </r>
  <r>
    <x v="7"/>
    <n v="13.689399999999999"/>
    <n v="-89.236599999999996"/>
    <n v="2"/>
    <n v="0"/>
    <n v="0"/>
    <n v="107"/>
    <s v="_x0000_peopl"/>
  </r>
  <r>
    <x v="7"/>
    <n v="13.688700000000001"/>
    <n v="-89.237200000000001"/>
    <n v="4"/>
    <n v="0"/>
    <n v="0"/>
    <n v="107"/>
    <s v="_x0000_peopl"/>
  </r>
  <r>
    <x v="7"/>
    <n v="13.688800000000001"/>
    <n v="-89.236999999999995"/>
    <n v="4"/>
    <n v="0"/>
    <n v="0"/>
    <n v="107"/>
    <s v="_x0000_peopl"/>
  </r>
  <r>
    <x v="7"/>
    <n v="13.689"/>
    <n v="-89.236999999999995"/>
    <n v="11"/>
    <n v="0"/>
    <n v="0"/>
    <n v="107"/>
    <s v="_x0000_peopl"/>
  </r>
  <r>
    <x v="7"/>
    <n v="13.6891"/>
    <n v="-89.236800000000002"/>
    <n v="3"/>
    <n v="0"/>
    <n v="0"/>
    <n v="107"/>
    <s v="_x0000_peopl"/>
  </r>
  <r>
    <x v="7"/>
    <n v="13.689"/>
    <n v="-89.236699999999999"/>
    <n v="7"/>
    <n v="0"/>
    <n v="0"/>
    <n v="107"/>
    <s v="_x0000_peopl"/>
  </r>
  <r>
    <x v="7"/>
    <n v="13.688800000000001"/>
    <n v="-89.236699999999999"/>
    <n v="6"/>
    <n v="0"/>
    <n v="0"/>
    <n v="107"/>
    <s v="_x0000_peopl"/>
  </r>
  <r>
    <x v="7"/>
    <n v="13.688499999999999"/>
    <n v="-89.236699999999999"/>
    <n v="6"/>
    <n v="0"/>
    <n v="0"/>
    <n v="107"/>
    <s v="_x0000_peopl"/>
  </r>
  <r>
    <x v="7"/>
    <n v="13.6884"/>
    <n v="-89.236800000000002"/>
    <n v="1"/>
    <n v="0"/>
    <n v="0"/>
    <n v="107"/>
    <s v="_x0000_peopl"/>
  </r>
  <r>
    <x v="7"/>
    <n v="13.6882"/>
    <n v="-89.237499999999997"/>
    <n v="5"/>
    <n v="0"/>
    <n v="0"/>
    <n v="107"/>
    <s v="_x0000_peopl"/>
  </r>
  <r>
    <x v="7"/>
    <n v="13.6884"/>
    <n v="-89.237700000000004"/>
    <n v="7"/>
    <n v="0"/>
    <n v="0"/>
    <n v="107"/>
    <s v="_x0000_peopl"/>
  </r>
  <r>
    <x v="7"/>
    <n v="13.6883"/>
    <n v="-89.237799999999993"/>
    <n v="4"/>
    <n v="0"/>
    <n v="0"/>
    <n v="107"/>
    <s v="_x0000_peopl"/>
  </r>
  <r>
    <x v="7"/>
    <n v="13.6882"/>
    <n v="-89.237899999999996"/>
    <n v="5"/>
    <n v="0"/>
    <n v="0"/>
    <n v="107"/>
    <s v="_x0000_peopl"/>
  </r>
  <r>
    <x v="7"/>
    <n v="13.6881"/>
    <n v="-89.238"/>
    <n v="1"/>
    <n v="0"/>
    <n v="0"/>
    <n v="107"/>
    <s v="_x0000_peopl"/>
  </r>
  <r>
    <x v="7"/>
    <n v="13.6881"/>
    <n v="-89.238200000000006"/>
    <n v="7"/>
    <n v="0"/>
    <n v="0"/>
    <n v="107"/>
    <s v="_x0000_peopl"/>
  </r>
  <r>
    <x v="7"/>
    <n v="13.688000000000001"/>
    <n v="-89.238299999999995"/>
    <n v="6"/>
    <n v="0"/>
    <n v="0"/>
    <n v="107"/>
    <s v="_x0000_peopl"/>
  </r>
  <r>
    <x v="7"/>
    <n v="13.687799999999999"/>
    <n v="-89.238600000000005"/>
    <n v="13"/>
    <n v="0"/>
    <n v="0"/>
    <n v="107"/>
    <s v="_x0000_peopl"/>
  </r>
  <r>
    <x v="7"/>
    <n v="13.689299999999999"/>
    <n v="-89.239900000000006"/>
    <n v="5"/>
    <n v="0"/>
    <n v="0"/>
    <n v="107"/>
    <s v="_x0000_peopl"/>
  </r>
  <r>
    <x v="7"/>
    <n v="13.6897"/>
    <n v="-89.239099999999993"/>
    <n v="7"/>
    <n v="0"/>
    <n v="0"/>
    <n v="107"/>
    <s v="_x0000_peopl"/>
  </r>
  <r>
    <x v="7"/>
    <n v="13.691800000000001"/>
    <n v="-89.235200000000006"/>
    <n v="6"/>
    <n v="0"/>
    <n v="0"/>
    <n v="107"/>
    <s v="_x0000_peopl"/>
  </r>
  <r>
    <x v="7"/>
    <n v="13.691800000000001"/>
    <n v="-89.234800000000007"/>
    <n v="8"/>
    <n v="0"/>
    <n v="0"/>
    <n v="107"/>
    <s v="_x0000_peopl"/>
  </r>
  <r>
    <x v="7"/>
    <n v="13.6919"/>
    <n v="-89.2346"/>
    <n v="4"/>
    <n v="0"/>
    <n v="0"/>
    <n v="107"/>
    <s v="_x0000_peopl"/>
  </r>
  <r>
    <x v="7"/>
    <n v="13.6919"/>
    <n v="-89.234499999999997"/>
    <n v="4"/>
    <n v="0"/>
    <n v="0"/>
    <n v="107"/>
    <s v="_x0000_peopl"/>
  </r>
  <r>
    <x v="7"/>
    <n v="13.6919"/>
    <n v="-89.234399999999994"/>
    <n v="1"/>
    <n v="0"/>
    <n v="0"/>
    <n v="107"/>
    <s v="_x0000_peopl"/>
  </r>
  <r>
    <x v="7"/>
    <n v="13.6919"/>
    <n v="-89.234200000000001"/>
    <n v="8"/>
    <n v="0"/>
    <n v="0"/>
    <n v="107"/>
    <s v="_x0000_peopl"/>
  </r>
  <r>
    <x v="7"/>
    <n v="13.6919"/>
    <n v="-89.234099999999998"/>
    <n v="5"/>
    <n v="0"/>
    <n v="0"/>
    <n v="107"/>
    <s v="_x0000_peopl"/>
  </r>
  <r>
    <x v="7"/>
    <n v="13.6919"/>
    <n v="-89.233999999999995"/>
    <n v="3"/>
    <n v="0"/>
    <n v="0"/>
    <n v="107"/>
    <s v="_x0000_peopl"/>
  </r>
  <r>
    <x v="7"/>
    <n v="13.692"/>
    <n v="-89.233800000000002"/>
    <n v="8"/>
    <n v="0"/>
    <n v="0"/>
    <n v="107"/>
    <s v="_x0000_peopl"/>
  </r>
  <r>
    <x v="7"/>
    <n v="13.6919"/>
    <n v="-89.233800000000002"/>
    <n v="7"/>
    <n v="0"/>
    <n v="0"/>
    <n v="107"/>
    <s v="_x0000_peopl"/>
  </r>
  <r>
    <x v="7"/>
    <n v="13.691800000000001"/>
    <n v="-89.233800000000002"/>
    <n v="5"/>
    <n v="0"/>
    <n v="0"/>
    <n v="107"/>
    <s v="_x0000_peopl"/>
  </r>
  <r>
    <x v="7"/>
    <n v="13.691800000000001"/>
    <n v="-89.233800000000002"/>
    <n v="6"/>
    <n v="0"/>
    <n v="0"/>
    <n v="107"/>
    <s v="_x0000_peopl"/>
  </r>
  <r>
    <x v="7"/>
    <n v="13.6922"/>
    <n v="-89.234200000000001"/>
    <n v="5"/>
    <n v="0"/>
    <n v="0"/>
    <n v="107"/>
    <s v="_x0000_peopl"/>
  </r>
  <r>
    <x v="7"/>
    <n v="13.6922"/>
    <n v="-89.234399999999994"/>
    <n v="3"/>
    <n v="0"/>
    <n v="0"/>
    <n v="107"/>
    <s v="_x0000_peopl"/>
  </r>
  <r>
    <x v="7"/>
    <n v="13.692399999999999"/>
    <n v="-89.234399999999994"/>
    <n v="17"/>
    <n v="0"/>
    <n v="0"/>
    <n v="107"/>
    <s v="_x0000_peopl"/>
  </r>
  <r>
    <x v="7"/>
    <n v="13.6922"/>
    <n v="-89.234700000000004"/>
    <n v="11"/>
    <n v="0"/>
    <n v="0"/>
    <n v="107"/>
    <s v="_x0000_peopl"/>
  </r>
  <r>
    <x v="7"/>
    <n v="13.692299999999999"/>
    <n v="-89.233599999999996"/>
    <n v="7"/>
    <n v="0"/>
    <n v="0"/>
    <n v="107"/>
    <s v="_x0000_peopl"/>
  </r>
  <r>
    <x v="7"/>
    <n v="13.6915"/>
    <n v="-89.231099999999998"/>
    <n v="1"/>
    <n v="0"/>
    <n v="0"/>
    <n v="107"/>
    <s v="_x0000_peopl"/>
  </r>
  <r>
    <x v="7"/>
    <n v="13.6915"/>
    <n v="-89.231200000000001"/>
    <n v="3"/>
    <n v="0"/>
    <n v="0"/>
    <n v="107"/>
    <s v="_x0000_peopl"/>
  </r>
  <r>
    <x v="7"/>
    <n v="13.6915"/>
    <n v="-89.231300000000005"/>
    <n v="4"/>
    <n v="0"/>
    <n v="0"/>
    <n v="107"/>
    <s v="_x0000_peopl"/>
  </r>
  <r>
    <x v="7"/>
    <n v="13.6915"/>
    <n v="-89.231399999999994"/>
    <n v="3"/>
    <n v="0"/>
    <n v="0"/>
    <n v="107"/>
    <s v="_x0000_peopl"/>
  </r>
  <r>
    <x v="7"/>
    <n v="13.6914"/>
    <n v="-89.231999999999999"/>
    <n v="5"/>
    <n v="0"/>
    <n v="0"/>
    <n v="107"/>
    <s v="_x0000_peopl"/>
  </r>
  <r>
    <x v="7"/>
    <n v="13.6914"/>
    <n v="-89.231899999999996"/>
    <n v="8"/>
    <n v="0"/>
    <n v="0"/>
    <n v="107"/>
    <s v="_x0000_peopl"/>
  </r>
  <r>
    <x v="7"/>
    <n v="13.6914"/>
    <n v="-89.231800000000007"/>
    <n v="4"/>
    <n v="0"/>
    <n v="0"/>
    <n v="107"/>
    <s v="_x0000_peopl"/>
  </r>
  <r>
    <x v="7"/>
    <n v="13.6914"/>
    <n v="-89.231700000000004"/>
    <n v="8"/>
    <n v="0"/>
    <n v="0"/>
    <n v="107"/>
    <s v="_x0000_peopl"/>
  </r>
  <r>
    <x v="7"/>
    <n v="13.6914"/>
    <n v="-89.2316"/>
    <n v="2"/>
    <n v="0"/>
    <n v="0"/>
    <n v="107"/>
    <s v="_x0000_peopl"/>
  </r>
  <r>
    <x v="7"/>
    <n v="13.6914"/>
    <n v="-89.2316"/>
    <n v="9"/>
    <n v="0"/>
    <n v="0"/>
    <n v="107"/>
    <s v="_x0000_peopl"/>
  </r>
  <r>
    <x v="7"/>
    <n v="13.6915"/>
    <n v="-89.231499999999997"/>
    <n v="6"/>
    <n v="0"/>
    <n v="0"/>
    <n v="107"/>
    <s v="_x0000_peopl"/>
  </r>
  <r>
    <x v="7"/>
    <n v="13.6915"/>
    <n v="-89.232200000000006"/>
    <n v="1"/>
    <n v="0"/>
    <n v="0"/>
    <n v="107"/>
    <s v="_x0000_peopl"/>
  </r>
  <r>
    <x v="7"/>
    <n v="13.691599999999999"/>
    <n v="-89.232200000000006"/>
    <n v="5"/>
    <n v="0"/>
    <n v="0"/>
    <n v="107"/>
    <s v="_x0000_peopl"/>
  </r>
  <r>
    <x v="7"/>
    <n v="13.691700000000001"/>
    <n v="-89.232200000000006"/>
    <n v="1"/>
    <n v="0"/>
    <n v="0"/>
    <n v="107"/>
    <s v="_x0000_peopl"/>
  </r>
  <r>
    <x v="7"/>
    <n v="13.691800000000001"/>
    <n v="-89.232100000000003"/>
    <n v="6"/>
    <n v="0"/>
    <n v="0"/>
    <n v="107"/>
    <s v="_x0000_peopl"/>
  </r>
  <r>
    <x v="7"/>
    <n v="13.691599999999999"/>
    <n v="-89.231999999999999"/>
    <n v="5"/>
    <n v="0"/>
    <n v="0"/>
    <n v="107"/>
    <s v="_x0000_peopl"/>
  </r>
  <r>
    <x v="7"/>
    <n v="13.691599999999999"/>
    <n v="-89.231899999999996"/>
    <n v="3"/>
    <n v="0"/>
    <n v="0"/>
    <n v="107"/>
    <s v="_x0000_peopl"/>
  </r>
  <r>
    <x v="7"/>
    <n v="13.691599999999999"/>
    <n v="-89.231800000000007"/>
    <n v="4"/>
    <n v="0"/>
    <n v="0"/>
    <n v="107"/>
    <s v="_x0000_peopl"/>
  </r>
  <r>
    <x v="7"/>
    <n v="13.691599999999999"/>
    <n v="-89.231800000000007"/>
    <n v="4"/>
    <n v="0"/>
    <n v="0"/>
    <n v="107"/>
    <s v="_x0000_peopl"/>
  </r>
  <r>
    <x v="7"/>
    <n v="13.691599999999999"/>
    <n v="-89.231700000000004"/>
    <n v="1"/>
    <n v="0"/>
    <n v="0"/>
    <n v="107"/>
    <s v="_x0000_peopl"/>
  </r>
  <r>
    <x v="7"/>
    <n v="13.691599999999999"/>
    <n v="-89.2316"/>
    <n v="6"/>
    <n v="0"/>
    <n v="0"/>
    <n v="107"/>
    <s v="_x0000_peopl"/>
  </r>
  <r>
    <x v="7"/>
    <n v="13.691599999999999"/>
    <n v="-89.231499999999997"/>
    <n v="7"/>
    <n v="0"/>
    <n v="0"/>
    <n v="107"/>
    <s v="_x0000_peopl"/>
  </r>
  <r>
    <x v="7"/>
    <n v="13.691700000000001"/>
    <n v="-89.231399999999994"/>
    <n v="4"/>
    <n v="0"/>
    <n v="0"/>
    <n v="107"/>
    <s v="_x0000_peopl"/>
  </r>
  <r>
    <x v="7"/>
    <n v="13.691700000000001"/>
    <n v="-89.231300000000005"/>
    <n v="9"/>
    <n v="0"/>
    <n v="0"/>
    <n v="107"/>
    <s v="_x0000_peopl"/>
  </r>
  <r>
    <x v="7"/>
    <n v="13.691700000000001"/>
    <n v="-89.231200000000001"/>
    <n v="3"/>
    <n v="0"/>
    <n v="0"/>
    <n v="107"/>
    <s v="_x0000_peopl"/>
  </r>
  <r>
    <x v="7"/>
    <n v="13.691700000000001"/>
    <n v="-89.231099999999998"/>
    <n v="5"/>
    <n v="0"/>
    <n v="0"/>
    <n v="107"/>
    <s v="_x0000_peopl"/>
  </r>
  <r>
    <x v="7"/>
    <n v="13.6922"/>
    <n v="-89.230800000000002"/>
    <n v="6"/>
    <n v="0"/>
    <n v="0"/>
    <n v="107"/>
    <s v="_x0000_peopl"/>
  </r>
  <r>
    <x v="7"/>
    <n v="13.6921"/>
    <n v="-89.230800000000002"/>
    <n v="5"/>
    <n v="0"/>
    <n v="0"/>
    <n v="107"/>
    <s v="_x0000_peopl"/>
  </r>
  <r>
    <x v="7"/>
    <n v="13.692"/>
    <n v="-89.230800000000002"/>
    <n v="4"/>
    <n v="0"/>
    <n v="0"/>
    <n v="107"/>
    <s v="_x0000_peopl"/>
  </r>
  <r>
    <x v="7"/>
    <n v="13.6919"/>
    <n v="-89.230699999999999"/>
    <n v="3"/>
    <n v="0"/>
    <n v="0"/>
    <n v="107"/>
    <s v="_x0000_peopl"/>
  </r>
  <r>
    <x v="7"/>
    <n v="13.6812"/>
    <n v="-89.2453"/>
    <n v="2"/>
    <n v="0"/>
    <n v="0"/>
    <n v="107"/>
    <s v="_x0000_peopl"/>
  </r>
  <r>
    <x v="7"/>
    <n v="13.685"/>
    <n v="-89.244200000000006"/>
    <n v="4"/>
    <n v="0"/>
    <n v="0"/>
    <n v="107"/>
    <s v="_x0000_peopl"/>
  </r>
  <r>
    <x v="7"/>
    <n v="13.685"/>
    <n v="-89.244200000000006"/>
    <n v="5"/>
    <n v="0"/>
    <n v="0"/>
    <n v="107"/>
    <s v="_x0000_peopl"/>
  </r>
  <r>
    <x v="7"/>
    <n v="13.685"/>
    <n v="-89.244200000000006"/>
    <n v="7"/>
    <n v="0"/>
    <n v="0"/>
    <n v="107"/>
    <s v="_x0000_peopl"/>
  </r>
  <r>
    <x v="7"/>
    <n v="13.685"/>
    <n v="-89.244200000000006"/>
    <n v="8"/>
    <n v="0"/>
    <n v="0"/>
    <n v="107"/>
    <s v="_x0000_peopl"/>
  </r>
  <r>
    <x v="7"/>
    <n v="13.685"/>
    <n v="-89.244100000000003"/>
    <n v="3"/>
    <n v="0"/>
    <n v="0"/>
    <n v="107"/>
    <s v="_x0000_peopl"/>
  </r>
  <r>
    <x v="7"/>
    <n v="13.685"/>
    <n v="-89.244100000000003"/>
    <n v="2"/>
    <n v="0"/>
    <n v="0"/>
    <n v="107"/>
    <s v="_x0000_peopl"/>
  </r>
  <r>
    <x v="7"/>
    <n v="13.685"/>
    <n v="-89.244100000000003"/>
    <n v="10"/>
    <n v="0"/>
    <n v="0"/>
    <n v="107"/>
    <s v="_x0000_peopl"/>
  </r>
  <r>
    <x v="7"/>
    <n v="13.685"/>
    <n v="-89.244100000000003"/>
    <n v="3"/>
    <n v="0"/>
    <n v="0"/>
    <n v="107"/>
    <s v="_x0000_peopl"/>
  </r>
  <r>
    <x v="7"/>
    <n v="13.685"/>
    <n v="-89.243899999999996"/>
    <n v="3"/>
    <n v="0"/>
    <n v="0"/>
    <n v="107"/>
    <s v="_x0000_peopl"/>
  </r>
  <r>
    <x v="7"/>
    <n v="13.685"/>
    <n v="-89.243899999999996"/>
    <n v="8"/>
    <n v="0"/>
    <n v="0"/>
    <n v="107"/>
    <s v="_x0000_peopl"/>
  </r>
  <r>
    <x v="7"/>
    <n v="13.685"/>
    <n v="-89.243899999999996"/>
    <n v="5"/>
    <n v="0"/>
    <n v="0"/>
    <n v="107"/>
    <s v="_x0000_peopl"/>
  </r>
  <r>
    <x v="7"/>
    <n v="13.685"/>
    <n v="-89.243899999999996"/>
    <n v="5"/>
    <n v="0"/>
    <n v="0"/>
    <n v="107"/>
    <s v="_x0000_peopl"/>
  </r>
  <r>
    <x v="7"/>
    <n v="13.685"/>
    <n v="-89.243899999999996"/>
    <n v="6"/>
    <n v="0"/>
    <n v="0"/>
    <n v="107"/>
    <s v="_x0000_peopl"/>
  </r>
  <r>
    <x v="7"/>
    <n v="13.685"/>
    <n v="-89.243899999999996"/>
    <n v="2"/>
    <n v="0"/>
    <n v="0"/>
    <n v="107"/>
    <s v="_x0000_peopl"/>
  </r>
  <r>
    <x v="7"/>
    <n v="13.685"/>
    <n v="-89.243899999999996"/>
    <n v="6"/>
    <n v="0"/>
    <n v="0"/>
    <n v="107"/>
    <s v="_x0000_peopl"/>
  </r>
  <r>
    <x v="7"/>
    <n v="13.685"/>
    <n v="-89.243899999999996"/>
    <n v="2"/>
    <n v="0"/>
    <n v="0"/>
    <n v="107"/>
    <s v="_x0000_peopl"/>
  </r>
  <r>
    <x v="7"/>
    <n v="13.6851"/>
    <n v="-89.243499999999997"/>
    <n v="6"/>
    <n v="0"/>
    <n v="0"/>
    <n v="107"/>
    <s v="_x0000_peopl"/>
  </r>
  <r>
    <x v="7"/>
    <n v="13.684799999999999"/>
    <n v="-89.243799999999993"/>
    <n v="5"/>
    <n v="0"/>
    <n v="0"/>
    <n v="107"/>
    <s v="_x0000_peopl"/>
  </r>
  <r>
    <x v="7"/>
    <n v="13.684699999999999"/>
    <n v="-89.243799999999993"/>
    <n v="6"/>
    <n v="0"/>
    <n v="0"/>
    <n v="107"/>
    <s v="_x0000_peopl"/>
  </r>
  <r>
    <x v="7"/>
    <n v="13.684699999999999"/>
    <n v="-89.243799999999993"/>
    <n v="5"/>
    <n v="0"/>
    <n v="0"/>
    <n v="107"/>
    <s v="_x0000_peopl"/>
  </r>
  <r>
    <x v="7"/>
    <n v="13.684699999999999"/>
    <n v="-89.243799999999993"/>
    <n v="3"/>
    <n v="0"/>
    <n v="0"/>
    <n v="107"/>
    <s v="_x0000_peopl"/>
  </r>
  <r>
    <x v="7"/>
    <n v="13.684699999999999"/>
    <n v="-89.243799999999993"/>
    <n v="4"/>
    <n v="0"/>
    <n v="0"/>
    <n v="107"/>
    <s v="_x0000_peopl"/>
  </r>
  <r>
    <x v="7"/>
    <n v="13.684699999999999"/>
    <n v="-89.243899999999996"/>
    <n v="7"/>
    <n v="0"/>
    <n v="0"/>
    <n v="107"/>
    <s v="_x0000_peopl"/>
  </r>
  <r>
    <x v="7"/>
    <n v="13.684699999999999"/>
    <n v="-89.243899999999996"/>
    <n v="3"/>
    <n v="0"/>
    <n v="0"/>
    <n v="107"/>
    <s v="_x0000_peopl"/>
  </r>
  <r>
    <x v="7"/>
    <n v="13.684699999999999"/>
    <n v="-89.243899999999996"/>
    <n v="3"/>
    <n v="0"/>
    <n v="0"/>
    <n v="107"/>
    <s v="_x0000_peopl"/>
  </r>
  <r>
    <x v="7"/>
    <n v="13.684699999999999"/>
    <n v="-89.244"/>
    <n v="6"/>
    <n v="0"/>
    <n v="0"/>
    <n v="107"/>
    <s v="_x0000_peopl"/>
  </r>
  <r>
    <x v="7"/>
    <n v="13.684699999999999"/>
    <n v="-89.244"/>
    <n v="6"/>
    <n v="0"/>
    <n v="0"/>
    <n v="107"/>
    <s v="_x0000_peopl"/>
  </r>
  <r>
    <x v="7"/>
    <n v="13.684699999999999"/>
    <n v="-89.244"/>
    <n v="4"/>
    <n v="0"/>
    <n v="0"/>
    <n v="107"/>
    <s v="_x0000_peopl"/>
  </r>
  <r>
    <x v="7"/>
    <n v="13.684699999999999"/>
    <n v="-89.244"/>
    <n v="2"/>
    <n v="0"/>
    <n v="0"/>
    <n v="107"/>
    <s v="_x0000_peopl"/>
  </r>
  <r>
    <x v="7"/>
    <n v="13.684699999999999"/>
    <n v="-89.244100000000003"/>
    <n v="2"/>
    <n v="0"/>
    <n v="0"/>
    <n v="107"/>
    <s v="_x0000_peopl"/>
  </r>
  <r>
    <x v="7"/>
    <n v="13.684699999999999"/>
    <n v="-89.244100000000003"/>
    <n v="7"/>
    <n v="0"/>
    <n v="0"/>
    <n v="107"/>
    <s v="_x0000_peopl"/>
  </r>
  <r>
    <x v="7"/>
    <n v="13.684699999999999"/>
    <n v="-89.244200000000006"/>
    <n v="5"/>
    <n v="0"/>
    <n v="0"/>
    <n v="107"/>
    <s v="_x0000_peopl"/>
  </r>
  <r>
    <x v="7"/>
    <n v="13.684699999999999"/>
    <n v="-89.244200000000006"/>
    <n v="7"/>
    <n v="0"/>
    <n v="0"/>
    <n v="107"/>
    <s v="_x0000_peopl"/>
  </r>
  <r>
    <x v="7"/>
    <n v="13.6853"/>
    <n v="-89.242999999999995"/>
    <n v="4"/>
    <n v="0"/>
    <n v="0"/>
    <n v="107"/>
    <s v="_x0000_peopl"/>
  </r>
  <r>
    <x v="7"/>
    <n v="13.6854"/>
    <n v="-89.242699999999999"/>
    <n v="7"/>
    <n v="0"/>
    <n v="0"/>
    <n v="107"/>
    <s v="_x0000_peopl"/>
  </r>
  <r>
    <x v="7"/>
    <n v="13.684900000000001"/>
    <n v="-89.242599999999996"/>
    <n v="3"/>
    <n v="0"/>
    <n v="0"/>
    <n v="107"/>
    <s v="_x0000_peopl"/>
  </r>
  <r>
    <x v="7"/>
    <n v="13.684100000000001"/>
    <n v="-89.240200000000002"/>
    <n v="5"/>
    <n v="0"/>
    <n v="0"/>
    <n v="107"/>
    <s v="_x0000_peopl"/>
  </r>
  <r>
    <x v="7"/>
    <n v="13.684100000000001"/>
    <n v="-89.215599999999995"/>
    <n v="7"/>
    <n v="0"/>
    <n v="0"/>
    <n v="107"/>
    <s v="_x0000_peopl"/>
  </r>
  <r>
    <x v="7"/>
    <n v="13.684100000000001"/>
    <n v="-89.215500000000006"/>
    <n v="5"/>
    <n v="0"/>
    <n v="0"/>
    <n v="107"/>
    <s v="_x0000_peopl"/>
  </r>
  <r>
    <x v="7"/>
    <n v="13.684100000000001"/>
    <n v="-89.215299999999999"/>
    <n v="3"/>
    <n v="0"/>
    <n v="0"/>
    <n v="107"/>
    <s v="_x0000_peopl"/>
  </r>
  <r>
    <x v="7"/>
    <n v="13.684100000000001"/>
    <n v="-89.2149"/>
    <n v="4"/>
    <n v="0"/>
    <n v="0"/>
    <n v="107"/>
    <s v="_x0000_peopl"/>
  </r>
  <r>
    <x v="7"/>
    <n v="13.684100000000001"/>
    <n v="-89.214799999999997"/>
    <n v="7"/>
    <n v="0"/>
    <n v="0"/>
    <n v="107"/>
    <s v="_x0000_peopl"/>
  </r>
  <r>
    <x v="7"/>
    <n v="13.684200000000001"/>
    <n v="-89.2149"/>
    <n v="4"/>
    <n v="0"/>
    <n v="0"/>
    <n v="107"/>
    <s v="_x0000_peopl"/>
  </r>
  <r>
    <x v="7"/>
    <n v="13.6843"/>
    <n v="-89.214699999999993"/>
    <n v="4"/>
    <n v="0"/>
    <n v="0"/>
    <n v="107"/>
    <s v="_x0000_peopl"/>
  </r>
  <r>
    <x v="7"/>
    <n v="13.684200000000001"/>
    <n v="-89.214600000000004"/>
    <n v="6"/>
    <n v="0"/>
    <n v="0"/>
    <n v="107"/>
    <s v="_x0000_peopl"/>
  </r>
  <r>
    <x v="7"/>
    <n v="13.684100000000001"/>
    <n v="-89.214600000000004"/>
    <n v="1"/>
    <n v="0"/>
    <n v="0"/>
    <n v="107"/>
    <s v="_x0000_peopl"/>
  </r>
  <r>
    <x v="7"/>
    <n v="13.684200000000001"/>
    <n v="-89.2149"/>
    <n v="4"/>
    <n v="0"/>
    <n v="0"/>
    <n v="107"/>
    <s v="_x0000_peopl"/>
  </r>
  <r>
    <x v="7"/>
    <n v="13.684200000000001"/>
    <n v="-89.214500000000001"/>
    <n v="2"/>
    <n v="0"/>
    <n v="0"/>
    <n v="107"/>
    <s v="_x0000_peopl"/>
  </r>
  <r>
    <x v="7"/>
    <n v="13.684100000000001"/>
    <n v="-89.214500000000001"/>
    <n v="8"/>
    <n v="0"/>
    <n v="0"/>
    <n v="107"/>
    <s v="_x0000_peopl"/>
  </r>
  <r>
    <x v="7"/>
    <n v="13.684200000000001"/>
    <n v="-89.214200000000005"/>
    <n v="2"/>
    <n v="0"/>
    <n v="0"/>
    <n v="107"/>
    <s v="_x0000_peopl"/>
  </r>
  <r>
    <x v="7"/>
    <n v="13.684100000000001"/>
    <n v="-89.214200000000005"/>
    <n v="4"/>
    <n v="0"/>
    <n v="0"/>
    <n v="107"/>
    <s v="_x0000_peopl"/>
  </r>
  <r>
    <x v="7"/>
    <n v="13.69"/>
    <n v="-89.22"/>
    <n v="2"/>
    <n v="0"/>
    <n v="0"/>
    <n v="107"/>
    <s v="_x0000_peopl"/>
  </r>
  <r>
    <x v="7"/>
    <n v="13.69"/>
    <n v="-89.219800000000006"/>
    <n v="6"/>
    <n v="0"/>
    <n v="0"/>
    <n v="107"/>
    <s v="_x0000_peopl"/>
  </r>
  <r>
    <x v="7"/>
    <n v="13.6899"/>
    <n v="-89.219800000000006"/>
    <n v="6"/>
    <n v="0"/>
    <n v="0"/>
    <n v="107"/>
    <s v="_x0000_peopl"/>
  </r>
  <r>
    <x v="7"/>
    <n v="13.6896"/>
    <n v="-89.219200000000001"/>
    <n v="3"/>
    <n v="0"/>
    <n v="0"/>
    <n v="107"/>
    <s v="_x0000_peopl"/>
  </r>
  <r>
    <x v="7"/>
    <n v="13.689500000000001"/>
    <n v="-89.219099999999997"/>
    <n v="3"/>
    <n v="0"/>
    <n v="0"/>
    <n v="107"/>
    <s v="_x0000_peopl"/>
  </r>
  <r>
    <x v="7"/>
    <n v="13.689399999999999"/>
    <n v="-89.219499999999996"/>
    <n v="1"/>
    <n v="0"/>
    <n v="0"/>
    <n v="107"/>
    <s v="_x0000_peopl"/>
  </r>
  <r>
    <x v="7"/>
    <n v="13.689500000000001"/>
    <n v="-89.219099999999997"/>
    <n v="9"/>
    <n v="0"/>
    <n v="0"/>
    <n v="107"/>
    <s v="_x0000_peopl"/>
  </r>
  <r>
    <x v="7"/>
    <n v="13.689399999999999"/>
    <n v="-89.218999999999994"/>
    <n v="6"/>
    <n v="0"/>
    <n v="0"/>
    <n v="107"/>
    <s v="_x0000_peopl"/>
  </r>
  <r>
    <x v="7"/>
    <n v="13.6897"/>
    <n v="-89.22"/>
    <n v="6"/>
    <n v="0"/>
    <n v="0"/>
    <n v="107"/>
    <s v="_x0000_peopl"/>
  </r>
  <r>
    <x v="7"/>
    <n v="13.6897"/>
    <n v="-89.219899999999996"/>
    <n v="7"/>
    <n v="0"/>
    <n v="0"/>
    <n v="107"/>
    <s v="_x0000_peopl"/>
  </r>
  <r>
    <x v="7"/>
    <n v="13.6896"/>
    <n v="-89.219800000000006"/>
    <n v="3"/>
    <n v="0"/>
    <n v="0"/>
    <n v="107"/>
    <s v="_x0000_peopl"/>
  </r>
  <r>
    <x v="7"/>
    <n v="13.6896"/>
    <n v="-89.219700000000003"/>
    <n v="8"/>
    <n v="0"/>
    <n v="0"/>
    <n v="107"/>
    <s v="_x0000_peopl"/>
  </r>
  <r>
    <x v="7"/>
    <n v="13.689500000000001"/>
    <n v="-89.2196"/>
    <n v="3"/>
    <n v="0"/>
    <n v="0"/>
    <n v="107"/>
    <s v="_x0000_peopl"/>
  </r>
  <r>
    <x v="7"/>
    <n v="13.6896"/>
    <n v="-89.220500000000001"/>
    <n v="8"/>
    <n v="0"/>
    <n v="0"/>
    <n v="107"/>
    <s v="_x0000_peopl"/>
  </r>
  <r>
    <x v="7"/>
    <n v="13.6896"/>
    <n v="-89.220500000000001"/>
    <n v="7"/>
    <n v="0"/>
    <n v="0"/>
    <n v="107"/>
    <s v="_x0000_peopl"/>
  </r>
  <r>
    <x v="7"/>
    <n v="13.6896"/>
    <n v="-89.220399999999998"/>
    <n v="5"/>
    <n v="0"/>
    <n v="0"/>
    <n v="107"/>
    <s v="_x0000_peopl"/>
  </r>
  <r>
    <x v="7"/>
    <n v="13.689500000000001"/>
    <n v="-89.220299999999995"/>
    <n v="4"/>
    <n v="0"/>
    <n v="0"/>
    <n v="107"/>
    <s v="_x0000_peopl"/>
  </r>
  <r>
    <x v="7"/>
    <n v="13.689399999999999"/>
    <n v="-89.220600000000005"/>
    <n v="5"/>
    <n v="0"/>
    <n v="0"/>
    <n v="107"/>
    <s v="_x0000_peopl"/>
  </r>
  <r>
    <x v="7"/>
    <n v="13.689500000000001"/>
    <n v="-89.220100000000002"/>
    <n v="1"/>
    <n v="0"/>
    <n v="0"/>
    <n v="107"/>
    <s v="_x0000_peopl"/>
  </r>
  <r>
    <x v="7"/>
    <n v="13.689399999999999"/>
    <n v="-89.220100000000002"/>
    <n v="7"/>
    <n v="0"/>
    <n v="0"/>
    <n v="107"/>
    <s v="_x0000_peopl"/>
  </r>
  <r>
    <x v="7"/>
    <n v="13.689299999999999"/>
    <n v="-89.220500000000001"/>
    <n v="11"/>
    <n v="0"/>
    <n v="0"/>
    <n v="107"/>
    <s v="_x0000_peopl"/>
  </r>
  <r>
    <x v="7"/>
    <n v="13.689299999999999"/>
    <n v="-89.220399999999998"/>
    <n v="8"/>
    <n v="0"/>
    <n v="0"/>
    <n v="107"/>
    <s v="_x0000_peopl"/>
  </r>
  <r>
    <x v="7"/>
    <n v="13.689299999999999"/>
    <n v="-89.22"/>
    <n v="3"/>
    <n v="0"/>
    <n v="0"/>
    <n v="107"/>
    <s v="_x0000_peopl"/>
  </r>
  <r>
    <x v="7"/>
    <n v="13.6892"/>
    <n v="-89.220399999999998"/>
    <n v="4"/>
    <n v="0"/>
    <n v="0"/>
    <n v="107"/>
    <s v="_x0000_peopl"/>
  </r>
  <r>
    <x v="7"/>
    <n v="13.6892"/>
    <n v="-89.220299999999995"/>
    <n v="5"/>
    <n v="0"/>
    <n v="0"/>
    <n v="107"/>
    <s v="_x0000_peopl"/>
  </r>
  <r>
    <x v="7"/>
    <n v="13.6892"/>
    <n v="-89.220200000000006"/>
    <n v="5"/>
    <n v="0"/>
    <n v="0"/>
    <n v="107"/>
    <s v="_x0000_peopl"/>
  </r>
  <r>
    <x v="7"/>
    <n v="13.6891"/>
    <n v="-89.220100000000002"/>
    <n v="3"/>
    <n v="0"/>
    <n v="0"/>
    <n v="107"/>
    <s v="_x0000_peopl"/>
  </r>
  <r>
    <x v="7"/>
    <n v="13.689299999999999"/>
    <n v="-89.219899999999996"/>
    <n v="5"/>
    <n v="0"/>
    <n v="0"/>
    <n v="107"/>
    <s v="_x0000_peopl"/>
  </r>
  <r>
    <x v="7"/>
    <n v="13.6891"/>
    <n v="-89.22"/>
    <n v="3"/>
    <n v="0"/>
    <n v="0"/>
    <n v="107"/>
    <s v="_x0000_peopl"/>
  </r>
  <r>
    <x v="7"/>
    <n v="13.6892"/>
    <n v="-89.219700000000003"/>
    <n v="3"/>
    <n v="0"/>
    <n v="0"/>
    <n v="107"/>
    <s v="_x0000_peopl"/>
  </r>
  <r>
    <x v="7"/>
    <n v="13.6892"/>
    <n v="-89.219700000000003"/>
    <n v="2"/>
    <n v="0"/>
    <n v="0"/>
    <n v="107"/>
    <s v="_x0000_peopl"/>
  </r>
  <r>
    <x v="7"/>
    <n v="13.6891"/>
    <n v="-89.2196"/>
    <n v="8"/>
    <n v="0"/>
    <n v="0"/>
    <n v="107"/>
    <s v="_x0000_peopl"/>
  </r>
  <r>
    <x v="7"/>
    <n v="13.6891"/>
    <n v="-89.219499999999996"/>
    <n v="5"/>
    <n v="0"/>
    <n v="0"/>
    <n v="107"/>
    <s v="_x0000_peopl"/>
  </r>
  <r>
    <x v="7"/>
    <n v="13.689"/>
    <n v="-89.219200000000001"/>
    <n v="2"/>
    <n v="0"/>
    <n v="0"/>
    <n v="107"/>
    <s v="_x0000_peopl"/>
  </r>
  <r>
    <x v="7"/>
    <n v="13.6891"/>
    <n v="-89.219099999999997"/>
    <n v="4"/>
    <n v="0"/>
    <n v="0"/>
    <n v="107"/>
    <s v="_x0000_peopl"/>
  </r>
  <r>
    <x v="7"/>
    <n v="13.6892"/>
    <n v="-89.219099999999997"/>
    <n v="2"/>
    <n v="0"/>
    <n v="0"/>
    <n v="107"/>
    <s v="_x0000_peopl"/>
  </r>
  <r>
    <x v="7"/>
    <n v="13.689500000000001"/>
    <n v="-89.2196"/>
    <n v="2"/>
    <n v="0"/>
    <n v="0"/>
    <n v="107"/>
    <s v="_x0000_peopl"/>
  </r>
  <r>
    <x v="7"/>
    <n v="13.689399999999999"/>
    <n v="-89.219399999999993"/>
    <n v="3"/>
    <n v="0"/>
    <n v="0"/>
    <n v="107"/>
    <s v="_x0000_peopl"/>
  </r>
  <r>
    <x v="7"/>
    <n v="13.689299999999999"/>
    <n v="-89.219300000000004"/>
    <n v="6"/>
    <n v="0"/>
    <n v="0"/>
    <n v="107"/>
    <s v="_x0000_peopl"/>
  </r>
  <r>
    <x v="7"/>
    <n v="13.6873"/>
    <n v="-89.209599999999995"/>
    <n v="7"/>
    <n v="0"/>
    <n v="0"/>
    <n v="107"/>
    <s v="_x0000_peopl"/>
  </r>
  <r>
    <x v="7"/>
    <n v="13.687200000000001"/>
    <n v="-89.209599999999995"/>
    <n v="3"/>
    <n v="0"/>
    <n v="0"/>
    <n v="107"/>
    <s v="_x0000_peopl"/>
  </r>
  <r>
    <x v="7"/>
    <n v="13.6889"/>
    <n v="-89.2102"/>
    <n v="3"/>
    <n v="0"/>
    <n v="0"/>
    <n v="107"/>
    <s v="_x0000_peopl"/>
  </r>
  <r>
    <x v="7"/>
    <n v="13.6889"/>
    <n v="-89.2102"/>
    <n v="7"/>
    <n v="0"/>
    <n v="0"/>
    <n v="107"/>
    <s v="_x0000_peopl"/>
  </r>
  <r>
    <x v="7"/>
    <n v="13.6889"/>
    <n v="-89.2102"/>
    <n v="5"/>
    <n v="0"/>
    <n v="0"/>
    <n v="107"/>
    <s v="_x0000_peopl"/>
  </r>
  <r>
    <x v="7"/>
    <n v="13.6889"/>
    <n v="-89.2102"/>
    <n v="3"/>
    <n v="0"/>
    <n v="0"/>
    <n v="107"/>
    <s v="_x0000_peopl"/>
  </r>
  <r>
    <x v="7"/>
    <n v="13.6889"/>
    <n v="-89.210099999999997"/>
    <n v="3"/>
    <n v="0"/>
    <n v="0"/>
    <n v="107"/>
    <s v="_x0000_peopl"/>
  </r>
  <r>
    <x v="7"/>
    <n v="13.6889"/>
    <n v="-89.210099999999997"/>
    <n v="1"/>
    <n v="0"/>
    <n v="0"/>
    <n v="107"/>
    <s v="_x0000_peopl"/>
  </r>
  <r>
    <x v="7"/>
    <n v="13.6889"/>
    <n v="-89.210099999999997"/>
    <n v="4"/>
    <n v="0"/>
    <n v="0"/>
    <n v="107"/>
    <s v="_x0000_peopl"/>
  </r>
  <r>
    <x v="7"/>
    <n v="13.6889"/>
    <n v="-89.210099999999997"/>
    <n v="5"/>
    <n v="0"/>
    <n v="0"/>
    <n v="107"/>
    <s v="_x0000_peopl"/>
  </r>
  <r>
    <x v="7"/>
    <n v="13.6889"/>
    <n v="-89.21"/>
    <n v="2"/>
    <n v="0"/>
    <n v="0"/>
    <n v="107"/>
    <s v="_x0000_peopl"/>
  </r>
  <r>
    <x v="7"/>
    <n v="13.6889"/>
    <n v="-89.21"/>
    <n v="4"/>
    <n v="0"/>
    <n v="0"/>
    <n v="107"/>
    <s v="_x0000_peopl"/>
  </r>
  <r>
    <x v="7"/>
    <n v="13.6889"/>
    <n v="-89.21"/>
    <n v="5"/>
    <n v="0"/>
    <n v="0"/>
    <n v="107"/>
    <s v="_x0000_peopl"/>
  </r>
  <r>
    <x v="7"/>
    <n v="13.6889"/>
    <n v="-89.21"/>
    <n v="5"/>
    <n v="0"/>
    <n v="0"/>
    <n v="107"/>
    <s v="_x0000_peopl"/>
  </r>
  <r>
    <x v="7"/>
    <n v="13.6889"/>
    <n v="-89.21"/>
    <n v="6"/>
    <n v="0"/>
    <n v="0"/>
    <n v="107"/>
    <s v="_x0000_peopl"/>
  </r>
  <r>
    <x v="7"/>
    <n v="13.6889"/>
    <n v="-89.21"/>
    <n v="3"/>
    <n v="0"/>
    <n v="0"/>
    <n v="107"/>
    <s v="_x0000_peopl"/>
  </r>
  <r>
    <x v="7"/>
    <n v="13.6889"/>
    <n v="-89.21"/>
    <n v="4"/>
    <n v="0"/>
    <n v="0"/>
    <n v="107"/>
    <s v="_x0000_peopl"/>
  </r>
  <r>
    <x v="7"/>
    <n v="13.6889"/>
    <n v="-89.21"/>
    <n v="4"/>
    <n v="0"/>
    <n v="0"/>
    <n v="107"/>
    <s v="_x0000_peopl"/>
  </r>
  <r>
    <x v="7"/>
    <n v="13.688800000000001"/>
    <n v="-89.2102"/>
    <n v="5"/>
    <n v="0"/>
    <n v="0"/>
    <n v="107"/>
    <s v="_x0000_peopl"/>
  </r>
  <r>
    <x v="7"/>
    <n v="13.688700000000001"/>
    <n v="-89.2102"/>
    <n v="3"/>
    <n v="0"/>
    <n v="0"/>
    <n v="107"/>
    <s v="_x0000_peopl"/>
  </r>
  <r>
    <x v="7"/>
    <n v="13.688700000000001"/>
    <n v="-89.2102"/>
    <n v="5"/>
    <n v="0"/>
    <n v="0"/>
    <n v="107"/>
    <s v="_x0000_peopl"/>
  </r>
  <r>
    <x v="7"/>
    <n v="13.688700000000001"/>
    <n v="-89.2102"/>
    <n v="9"/>
    <n v="0"/>
    <n v="0"/>
    <n v="107"/>
    <s v="_x0000_peopl"/>
  </r>
  <r>
    <x v="7"/>
    <n v="13.688700000000001"/>
    <n v="-89.210099999999997"/>
    <n v="6"/>
    <n v="0"/>
    <n v="0"/>
    <n v="107"/>
    <s v="_x0000_peopl"/>
  </r>
  <r>
    <x v="7"/>
    <n v="13.688700000000001"/>
    <n v="-89.210099999999997"/>
    <n v="6"/>
    <n v="0"/>
    <n v="0"/>
    <n v="107"/>
    <s v="_x0000_peopl"/>
  </r>
  <r>
    <x v="7"/>
    <n v="13.688700000000001"/>
    <n v="-89.210099999999997"/>
    <n v="7"/>
    <n v="0"/>
    <n v="0"/>
    <n v="107"/>
    <s v="_x0000_peopl"/>
  </r>
  <r>
    <x v="7"/>
    <n v="13.688700000000001"/>
    <n v="-89.210099999999997"/>
    <n v="4"/>
    <n v="0"/>
    <n v="0"/>
    <n v="107"/>
    <s v="_x0000_peopl"/>
  </r>
  <r>
    <x v="7"/>
    <n v="13.688700000000001"/>
    <n v="-89.21"/>
    <n v="8"/>
    <n v="0"/>
    <n v="0"/>
    <n v="107"/>
    <s v="_x0000_peopl"/>
  </r>
  <r>
    <x v="7"/>
    <n v="13.688700000000001"/>
    <n v="-89.21"/>
    <n v="8"/>
    <n v="0"/>
    <n v="0"/>
    <n v="107"/>
    <s v="_x0000_peopl"/>
  </r>
  <r>
    <x v="7"/>
    <n v="13.688700000000001"/>
    <n v="-89.21"/>
    <n v="8"/>
    <n v="0"/>
    <n v="0"/>
    <n v="107"/>
    <s v="_x0000_peopl"/>
  </r>
  <r>
    <x v="7"/>
    <n v="13.688700000000001"/>
    <n v="-89.21"/>
    <n v="4"/>
    <n v="0"/>
    <n v="0"/>
    <n v="107"/>
    <s v="_x0000_peopl"/>
  </r>
  <r>
    <x v="7"/>
    <n v="13.688700000000001"/>
    <n v="-89.21"/>
    <n v="5"/>
    <n v="0"/>
    <n v="0"/>
    <n v="107"/>
    <s v="_x0000_peopl"/>
  </r>
  <r>
    <x v="7"/>
    <n v="13.688700000000001"/>
    <n v="-89.21"/>
    <n v="5"/>
    <n v="0"/>
    <n v="0"/>
    <n v="107"/>
    <s v="_x0000_peopl"/>
  </r>
  <r>
    <x v="7"/>
    <n v="13.688700000000001"/>
    <n v="-89.21"/>
    <n v="5"/>
    <n v="0"/>
    <n v="0"/>
    <n v="107"/>
    <s v="_x0000_peopl"/>
  </r>
  <r>
    <x v="7"/>
    <n v="13.688700000000001"/>
    <n v="-89.21"/>
    <n v="6"/>
    <n v="0"/>
    <n v="0"/>
    <n v="107"/>
    <s v="_x0000_peopl"/>
  </r>
  <r>
    <x v="7"/>
    <n v="13.688599999999999"/>
    <n v="-89.2102"/>
    <n v="6"/>
    <n v="0"/>
    <n v="0"/>
    <n v="107"/>
    <s v="_x0000_peopl"/>
  </r>
  <r>
    <x v="7"/>
    <n v="13.688599999999999"/>
    <n v="-89.2102"/>
    <n v="2"/>
    <n v="0"/>
    <n v="0"/>
    <n v="107"/>
    <s v="_x0000_peopl"/>
  </r>
  <r>
    <x v="7"/>
    <n v="13.688599999999999"/>
    <n v="-89.2102"/>
    <n v="5"/>
    <n v="0"/>
    <n v="0"/>
    <n v="107"/>
    <s v="_x0000_peopl"/>
  </r>
  <r>
    <x v="7"/>
    <n v="13.688599999999999"/>
    <n v="-89.2102"/>
    <n v="4"/>
    <n v="0"/>
    <n v="0"/>
    <n v="107"/>
    <s v="_x0000_peopl"/>
  </r>
  <r>
    <x v="7"/>
    <n v="13.688599999999999"/>
    <n v="-89.2102"/>
    <n v="5"/>
    <n v="0"/>
    <n v="0"/>
    <n v="107"/>
    <s v="_x0000_peopl"/>
  </r>
  <r>
    <x v="7"/>
    <n v="13.688599999999999"/>
    <n v="-89.2102"/>
    <n v="4"/>
    <n v="0"/>
    <n v="0"/>
    <n v="107"/>
    <s v="_x0000_peopl"/>
  </r>
  <r>
    <x v="7"/>
    <n v="13.688599999999999"/>
    <n v="-89.2102"/>
    <n v="12"/>
    <n v="0"/>
    <n v="0"/>
    <n v="107"/>
    <s v="_x0000_peopl"/>
  </r>
  <r>
    <x v="7"/>
    <n v="13.688599999999999"/>
    <n v="-89.2102"/>
    <n v="6"/>
    <n v="0"/>
    <n v="0"/>
    <n v="107"/>
    <s v="_x0000_peopl"/>
  </r>
  <r>
    <x v="7"/>
    <n v="13.688599999999999"/>
    <n v="-89.210099999999997"/>
    <n v="4"/>
    <n v="0"/>
    <n v="0"/>
    <n v="107"/>
    <s v="_x0000_peopl"/>
  </r>
  <r>
    <x v="7"/>
    <n v="13.688599999999999"/>
    <n v="-89.210099999999997"/>
    <n v="5"/>
    <n v="0"/>
    <n v="0"/>
    <n v="107"/>
    <s v="_x0000_peopl"/>
  </r>
  <r>
    <x v="7"/>
    <n v="13.688599999999999"/>
    <n v="-89.210099999999997"/>
    <n v="4"/>
    <n v="0"/>
    <n v="0"/>
    <n v="107"/>
    <s v="_x0000_peopl"/>
  </r>
  <r>
    <x v="7"/>
    <n v="13.688599999999999"/>
    <n v="-89.210099999999997"/>
    <n v="3"/>
    <n v="0"/>
    <n v="0"/>
    <n v="107"/>
    <s v="_x0000_peopl"/>
  </r>
  <r>
    <x v="7"/>
    <n v="13.688599999999999"/>
    <n v="-89.21"/>
    <n v="4"/>
    <n v="0"/>
    <n v="0"/>
    <n v="107"/>
    <s v="_x0000_peopl"/>
  </r>
  <r>
    <x v="7"/>
    <n v="13.688599999999999"/>
    <n v="-89.21"/>
    <n v="5"/>
    <n v="0"/>
    <n v="0"/>
    <n v="107"/>
    <s v="_x0000_peopl"/>
  </r>
  <r>
    <x v="7"/>
    <n v="13.688599999999999"/>
    <n v="-89.21"/>
    <n v="4"/>
    <n v="0"/>
    <n v="0"/>
    <n v="107"/>
    <s v="_x0000_peopl"/>
  </r>
  <r>
    <x v="7"/>
    <n v="13.688599999999999"/>
    <n v="-89.21"/>
    <n v="4"/>
    <n v="0"/>
    <n v="0"/>
    <n v="107"/>
    <s v="_x0000_peopl"/>
  </r>
  <r>
    <x v="7"/>
    <n v="13.688499999999999"/>
    <n v="-89.2102"/>
    <n v="6"/>
    <n v="0"/>
    <n v="0"/>
    <n v="107"/>
    <s v="_x0000_peopl"/>
  </r>
  <r>
    <x v="7"/>
    <n v="13.688499999999999"/>
    <n v="-89.2102"/>
    <n v="6"/>
    <n v="0"/>
    <n v="0"/>
    <n v="107"/>
    <s v="_x0000_peopl"/>
  </r>
  <r>
    <x v="7"/>
    <n v="13.688499999999999"/>
    <n v="-89.2102"/>
    <n v="11"/>
    <n v="0"/>
    <n v="0"/>
    <n v="107"/>
    <s v="_x0000_peopl"/>
  </r>
  <r>
    <x v="7"/>
    <n v="13.6884"/>
    <n v="-89.2102"/>
    <n v="4"/>
    <n v="0"/>
    <n v="0"/>
    <n v="107"/>
    <s v="_x0000_peopl"/>
  </r>
  <r>
    <x v="7"/>
    <n v="13.688499999999999"/>
    <n v="-89.2102"/>
    <n v="5"/>
    <n v="0"/>
    <n v="0"/>
    <n v="107"/>
    <s v="_x0000_peopl"/>
  </r>
  <r>
    <x v="7"/>
    <n v="13.688499999999999"/>
    <n v="-89.2102"/>
    <n v="3"/>
    <n v="0"/>
    <n v="0"/>
    <n v="107"/>
    <s v="_x0000_peopl"/>
  </r>
  <r>
    <x v="7"/>
    <n v="13.6884"/>
    <n v="-89.2102"/>
    <n v="8"/>
    <n v="0"/>
    <n v="0"/>
    <n v="107"/>
    <s v="_x0000_peopl"/>
  </r>
  <r>
    <x v="7"/>
    <n v="13.6884"/>
    <n v="-89.2102"/>
    <n v="10"/>
    <n v="0"/>
    <n v="0"/>
    <n v="107"/>
    <s v="_x0000_peopl"/>
  </r>
  <r>
    <x v="7"/>
    <n v="13.688499999999999"/>
    <n v="-89.210099999999997"/>
    <n v="4"/>
    <n v="0"/>
    <n v="0"/>
    <n v="107"/>
    <s v="_x0000_peopl"/>
  </r>
  <r>
    <x v="7"/>
    <n v="13.6884"/>
    <n v="-89.210099999999997"/>
    <n v="3"/>
    <n v="0"/>
    <n v="0"/>
    <n v="107"/>
    <s v="_x0000_peopl"/>
  </r>
  <r>
    <x v="7"/>
    <n v="13.6884"/>
    <n v="-89.210099999999997"/>
    <n v="6"/>
    <n v="0"/>
    <n v="0"/>
    <n v="107"/>
    <s v="_x0000_peopl"/>
  </r>
  <r>
    <x v="7"/>
    <n v="13.6884"/>
    <n v="-89.210099999999997"/>
    <n v="4"/>
    <n v="0"/>
    <n v="0"/>
    <n v="107"/>
    <s v="_x0000_peopl"/>
  </r>
  <r>
    <x v="7"/>
    <n v="13.688499999999999"/>
    <n v="-89.21"/>
    <n v="5"/>
    <n v="0"/>
    <n v="0"/>
    <n v="107"/>
    <s v="_x0000_peopl"/>
  </r>
  <r>
    <x v="7"/>
    <n v="13.6884"/>
    <n v="-89.21"/>
    <n v="6"/>
    <n v="0"/>
    <n v="0"/>
    <n v="107"/>
    <s v="_x0000_peopl"/>
  </r>
  <r>
    <x v="7"/>
    <n v="13.6884"/>
    <n v="-89.21"/>
    <n v="9"/>
    <n v="0"/>
    <n v="0"/>
    <n v="107"/>
    <s v="_x0000_peopl"/>
  </r>
  <r>
    <x v="7"/>
    <n v="13.6884"/>
    <n v="-89.21"/>
    <n v="6"/>
    <n v="0"/>
    <n v="0"/>
    <n v="107"/>
    <s v="_x0000_peopl"/>
  </r>
  <r>
    <x v="7"/>
    <n v="13.6883"/>
    <n v="-89.2102"/>
    <n v="1"/>
    <n v="0"/>
    <n v="0"/>
    <n v="107"/>
    <s v="_x0000_peopl"/>
  </r>
  <r>
    <x v="7"/>
    <n v="13.6883"/>
    <n v="-89.2102"/>
    <n v="6"/>
    <n v="0"/>
    <n v="0"/>
    <n v="107"/>
    <s v="_x0000_peopl"/>
  </r>
  <r>
    <x v="7"/>
    <n v="13.6883"/>
    <n v="-89.2102"/>
    <n v="9"/>
    <n v="0"/>
    <n v="0"/>
    <n v="107"/>
    <s v="_x0000_peopl"/>
  </r>
  <r>
    <x v="7"/>
    <n v="13.6883"/>
    <n v="-89.2102"/>
    <n v="3"/>
    <n v="0"/>
    <n v="0"/>
    <n v="107"/>
    <s v="_x0000_peopl"/>
  </r>
  <r>
    <x v="7"/>
    <n v="13.6883"/>
    <n v="-89.2102"/>
    <n v="4"/>
    <n v="0"/>
    <n v="0"/>
    <n v="107"/>
    <s v="_x0000_peopl"/>
  </r>
  <r>
    <x v="7"/>
    <n v="13.6883"/>
    <n v="-89.2102"/>
    <n v="6"/>
    <n v="0"/>
    <n v="0"/>
    <n v="107"/>
    <s v="_x0000_peopl"/>
  </r>
  <r>
    <x v="7"/>
    <n v="13.6883"/>
    <n v="-89.2102"/>
    <n v="3"/>
    <n v="0"/>
    <n v="0"/>
    <n v="107"/>
    <s v="_x0000_peopl"/>
  </r>
  <r>
    <x v="7"/>
    <n v="13.6883"/>
    <n v="-89.2102"/>
    <n v="9"/>
    <n v="0"/>
    <n v="0"/>
    <n v="107"/>
    <s v="_x0000_peopl"/>
  </r>
  <r>
    <x v="7"/>
    <n v="13.6883"/>
    <n v="-89.210099999999997"/>
    <n v="4"/>
    <n v="0"/>
    <n v="0"/>
    <n v="107"/>
    <s v="_x0000_peopl"/>
  </r>
  <r>
    <x v="7"/>
    <n v="13.6883"/>
    <n v="-89.210099999999997"/>
    <n v="3"/>
    <n v="0"/>
    <n v="0"/>
    <n v="107"/>
    <s v="_x0000_peopl"/>
  </r>
  <r>
    <x v="7"/>
    <n v="13.6883"/>
    <n v="-89.210099999999997"/>
    <n v="9"/>
    <n v="0"/>
    <n v="0"/>
    <n v="107"/>
    <s v="_x0000_peopl"/>
  </r>
  <r>
    <x v="7"/>
    <n v="13.6883"/>
    <n v="-89.210099999999997"/>
    <n v="7"/>
    <n v="0"/>
    <n v="0"/>
    <n v="107"/>
    <s v="_x0000_peopl"/>
  </r>
  <r>
    <x v="7"/>
    <n v="13.6883"/>
    <n v="-89.21"/>
    <n v="4"/>
    <n v="0"/>
    <n v="0"/>
    <n v="107"/>
    <s v="_x0000_peopl"/>
  </r>
  <r>
    <x v="7"/>
    <n v="13.6883"/>
    <n v="-89.21"/>
    <n v="4"/>
    <n v="0"/>
    <n v="0"/>
    <n v="107"/>
    <s v="_x0000_peopl"/>
  </r>
  <r>
    <x v="7"/>
    <n v="13.6883"/>
    <n v="-89.21"/>
    <n v="2"/>
    <n v="0"/>
    <n v="0"/>
    <n v="107"/>
    <s v="_x0000_peopl"/>
  </r>
  <r>
    <x v="7"/>
    <n v="13.6883"/>
    <n v="-89.21"/>
    <n v="3"/>
    <n v="0"/>
    <n v="0"/>
    <n v="107"/>
    <s v="_x0000_peopl"/>
  </r>
  <r>
    <x v="7"/>
    <n v="13.6883"/>
    <n v="-89.210599999999999"/>
    <n v="6"/>
    <n v="0"/>
    <n v="0"/>
    <n v="107"/>
    <s v="_x0000_peopl"/>
  </r>
  <r>
    <x v="7"/>
    <n v="13.6883"/>
    <n v="-89.210599999999999"/>
    <n v="5"/>
    <n v="0"/>
    <n v="0"/>
    <n v="107"/>
    <s v="_x0000_peopl"/>
  </r>
  <r>
    <x v="7"/>
    <n v="13.6883"/>
    <n v="-89.210599999999999"/>
    <n v="10"/>
    <n v="0"/>
    <n v="0"/>
    <n v="107"/>
    <s v="_x0000_peopl"/>
  </r>
  <r>
    <x v="7"/>
    <n v="13.6883"/>
    <n v="-89.210599999999999"/>
    <n v="4"/>
    <n v="0"/>
    <n v="0"/>
    <n v="107"/>
    <s v="_x0000_peopl"/>
  </r>
  <r>
    <x v="7"/>
    <n v="13.6883"/>
    <n v="-89.210599999999999"/>
    <n v="7"/>
    <n v="0"/>
    <n v="0"/>
    <n v="107"/>
    <s v="_x0000_peopl"/>
  </r>
  <r>
    <x v="7"/>
    <n v="13.6883"/>
    <n v="-89.210599999999999"/>
    <n v="3"/>
    <n v="0"/>
    <n v="0"/>
    <n v="107"/>
    <s v="_x0000_peopl"/>
  </r>
  <r>
    <x v="7"/>
    <n v="13.6883"/>
    <n v="-89.210599999999999"/>
    <n v="6"/>
    <n v="0"/>
    <n v="0"/>
    <n v="107"/>
    <s v="_x0000_peopl"/>
  </r>
  <r>
    <x v="7"/>
    <n v="13.6883"/>
    <n v="-89.210599999999999"/>
    <n v="4"/>
    <n v="0"/>
    <n v="0"/>
    <n v="107"/>
    <s v="_x0000_peopl"/>
  </r>
  <r>
    <x v="7"/>
    <n v="13.6883"/>
    <n v="-89.210499999999996"/>
    <n v="8"/>
    <n v="0"/>
    <n v="0"/>
    <n v="107"/>
    <s v="_x0000_peopl"/>
  </r>
  <r>
    <x v="7"/>
    <n v="13.6883"/>
    <n v="-89.210499999999996"/>
    <n v="1"/>
    <n v="0"/>
    <n v="0"/>
    <n v="107"/>
    <s v="_x0000_peopl"/>
  </r>
  <r>
    <x v="7"/>
    <n v="13.6883"/>
    <n v="-89.210499999999996"/>
    <n v="3"/>
    <n v="0"/>
    <n v="0"/>
    <n v="107"/>
    <s v="_x0000_peopl"/>
  </r>
  <r>
    <x v="7"/>
    <n v="13.6882"/>
    <n v="-89.210499999999996"/>
    <n v="3"/>
    <n v="0"/>
    <n v="0"/>
    <n v="107"/>
    <s v="_x0000_peopl"/>
  </r>
  <r>
    <x v="7"/>
    <n v="13.6883"/>
    <n v="-89.210400000000007"/>
    <n v="4"/>
    <n v="0"/>
    <n v="0"/>
    <n v="107"/>
    <s v="_x0000_peopl"/>
  </r>
  <r>
    <x v="7"/>
    <n v="13.6883"/>
    <n v="-89.210400000000007"/>
    <n v="2"/>
    <n v="0"/>
    <n v="0"/>
    <n v="107"/>
    <s v="_x0000_peopl"/>
  </r>
  <r>
    <x v="7"/>
    <n v="13.6882"/>
    <n v="-89.210400000000007"/>
    <n v="4"/>
    <n v="0"/>
    <n v="0"/>
    <n v="107"/>
    <s v="_x0000_peopl"/>
  </r>
  <r>
    <x v="7"/>
    <n v="13.6882"/>
    <n v="-89.210400000000007"/>
    <n v="6"/>
    <n v="0"/>
    <n v="0"/>
    <n v="107"/>
    <s v="_x0000_peopl"/>
  </r>
  <r>
    <x v="7"/>
    <n v="13.688700000000001"/>
    <n v="-89.208500000000001"/>
    <n v="5"/>
    <n v="0"/>
    <n v="0"/>
    <n v="107"/>
    <s v="_x0000_peopl"/>
  </r>
  <r>
    <x v="7"/>
    <n v="13.688700000000001"/>
    <n v="-89.208500000000001"/>
    <n v="5"/>
    <n v="0"/>
    <n v="0"/>
    <n v="107"/>
    <s v="_x0000_peopl"/>
  </r>
  <r>
    <x v="7"/>
    <n v="13.688599999999999"/>
    <n v="-89.208500000000001"/>
    <n v="5"/>
    <n v="0"/>
    <n v="0"/>
    <n v="107"/>
    <s v="_x0000_peopl"/>
  </r>
  <r>
    <x v="7"/>
    <n v="13.688599999999999"/>
    <n v="-89.208500000000001"/>
    <n v="3"/>
    <n v="0"/>
    <n v="0"/>
    <n v="107"/>
    <s v="_x0000_peopl"/>
  </r>
  <r>
    <x v="7"/>
    <n v="13.688599999999999"/>
    <n v="-89.208600000000004"/>
    <n v="8"/>
    <n v="0"/>
    <n v="0"/>
    <n v="107"/>
    <s v="_x0000_peopl"/>
  </r>
  <r>
    <x v="7"/>
    <n v="13.688599999999999"/>
    <n v="-89.208600000000004"/>
    <n v="5"/>
    <n v="0"/>
    <n v="0"/>
    <n v="107"/>
    <s v="_x0000_peopl"/>
  </r>
  <r>
    <x v="7"/>
    <n v="13.688599999999999"/>
    <n v="-89.208600000000004"/>
    <n v="3"/>
    <n v="0"/>
    <n v="0"/>
    <n v="107"/>
    <s v="_x0000_peopl"/>
  </r>
  <r>
    <x v="7"/>
    <n v="13.688499999999999"/>
    <n v="-89.208600000000004"/>
    <n v="15"/>
    <n v="0"/>
    <n v="0"/>
    <n v="107"/>
    <s v="_x0000_peopl"/>
  </r>
  <r>
    <x v="7"/>
    <n v="13.688499999999999"/>
    <n v="-89.208600000000004"/>
    <n v="3"/>
    <n v="0"/>
    <n v="0"/>
    <n v="107"/>
    <s v="_x0000_peopl"/>
  </r>
  <r>
    <x v="7"/>
    <n v="13.688499999999999"/>
    <n v="-89.208600000000004"/>
    <n v="2"/>
    <n v="0"/>
    <n v="0"/>
    <n v="107"/>
    <s v="_x0000_peopl"/>
  </r>
  <r>
    <x v="7"/>
    <n v="13.688499999999999"/>
    <n v="-89.208600000000004"/>
    <n v="6"/>
    <n v="0"/>
    <n v="0"/>
    <n v="107"/>
    <s v="_x0000_peopl"/>
  </r>
  <r>
    <x v="7"/>
    <n v="13.688499999999999"/>
    <n v="-89.208600000000004"/>
    <n v="6"/>
    <n v="0"/>
    <n v="0"/>
    <n v="107"/>
    <s v="_x0000_peopl"/>
  </r>
  <r>
    <x v="7"/>
    <n v="13.6882"/>
    <n v="-89.208799999999997"/>
    <n v="5"/>
    <n v="0"/>
    <n v="0"/>
    <n v="107"/>
    <s v="_x0000_peopl"/>
  </r>
  <r>
    <x v="7"/>
    <n v="13.6882"/>
    <n v="-89.208799999999997"/>
    <n v="4"/>
    <n v="0"/>
    <n v="0"/>
    <n v="107"/>
    <s v="_x0000_peopl"/>
  </r>
  <r>
    <x v="7"/>
    <n v="13.6882"/>
    <n v="-89.208799999999997"/>
    <n v="9"/>
    <n v="0"/>
    <n v="0"/>
    <n v="107"/>
    <s v="_x0000_peopl"/>
  </r>
  <r>
    <x v="7"/>
    <n v="13.6882"/>
    <n v="-89.208799999999997"/>
    <n v="4"/>
    <n v="0"/>
    <n v="0"/>
    <n v="107"/>
    <s v="_x0000_peopl"/>
  </r>
  <r>
    <x v="7"/>
    <n v="13.6882"/>
    <n v="-89.208699999999993"/>
    <n v="3"/>
    <n v="0"/>
    <n v="0"/>
    <n v="107"/>
    <s v="_x0000_peopl"/>
  </r>
  <r>
    <x v="7"/>
    <n v="13.6882"/>
    <n v="-89.208699999999993"/>
    <n v="7"/>
    <n v="0"/>
    <n v="0"/>
    <n v="107"/>
    <s v="_x0000_peopl"/>
  </r>
  <r>
    <x v="7"/>
    <n v="13.6882"/>
    <n v="-89.208699999999993"/>
    <n v="1"/>
    <n v="0"/>
    <n v="0"/>
    <n v="107"/>
    <s v="_x0000_peopl"/>
  </r>
  <r>
    <x v="7"/>
    <n v="13.6882"/>
    <n v="-89.208699999999993"/>
    <n v="6"/>
    <n v="0"/>
    <n v="0"/>
    <n v="107"/>
    <s v="_x0000_peopl"/>
  </r>
  <r>
    <x v="7"/>
    <n v="13.6882"/>
    <n v="-89.208600000000004"/>
    <n v="4"/>
    <n v="0"/>
    <n v="0"/>
    <n v="107"/>
    <s v="_x0000_peopl"/>
  </r>
  <r>
    <x v="7"/>
    <n v="13.6882"/>
    <n v="-89.208600000000004"/>
    <n v="7"/>
    <n v="0"/>
    <n v="0"/>
    <n v="107"/>
    <s v="_x0000_peopl"/>
  </r>
  <r>
    <x v="7"/>
    <n v="13.6882"/>
    <n v="-89.208600000000004"/>
    <n v="4"/>
    <n v="0"/>
    <n v="0"/>
    <n v="107"/>
    <s v="_x0000_peopl"/>
  </r>
  <r>
    <x v="7"/>
    <n v="13.6882"/>
    <n v="-89.208600000000004"/>
    <n v="11"/>
    <n v="0"/>
    <n v="0"/>
    <n v="107"/>
    <s v="_x0000_peopl"/>
  </r>
  <r>
    <x v="7"/>
    <n v="13.6881"/>
    <n v="-89.208799999999997"/>
    <n v="7"/>
    <n v="0"/>
    <n v="0"/>
    <n v="107"/>
    <s v="_x0000_peopl"/>
  </r>
  <r>
    <x v="7"/>
    <n v="13.6881"/>
    <n v="-89.208799999999997"/>
    <n v="1"/>
    <n v="0"/>
    <n v="0"/>
    <n v="107"/>
    <s v="_x0000_peopl"/>
  </r>
  <r>
    <x v="7"/>
    <n v="13.6881"/>
    <n v="-89.208799999999997"/>
    <n v="3"/>
    <n v="0"/>
    <n v="0"/>
    <n v="107"/>
    <s v="_x0000_peopl"/>
  </r>
  <r>
    <x v="7"/>
    <n v="13.6881"/>
    <n v="-89.208799999999997"/>
    <n v="3"/>
    <n v="0"/>
    <n v="0"/>
    <n v="107"/>
    <s v="_x0000_peopl"/>
  </r>
  <r>
    <x v="7"/>
    <n v="13.6881"/>
    <n v="-89.208699999999993"/>
    <n v="3"/>
    <n v="0"/>
    <n v="0"/>
    <n v="107"/>
    <s v="_x0000_peopl"/>
  </r>
  <r>
    <x v="7"/>
    <n v="13.6881"/>
    <n v="-89.208699999999993"/>
    <n v="4"/>
    <n v="0"/>
    <n v="0"/>
    <n v="107"/>
    <s v="_x0000_peopl"/>
  </r>
  <r>
    <x v="7"/>
    <n v="13.6881"/>
    <n v="-89.208699999999993"/>
    <n v="5"/>
    <n v="0"/>
    <n v="0"/>
    <n v="107"/>
    <s v="_x0000_peopl"/>
  </r>
  <r>
    <x v="7"/>
    <n v="13.6881"/>
    <n v="-89.208699999999993"/>
    <n v="9"/>
    <n v="0"/>
    <n v="0"/>
    <n v="107"/>
    <s v="_x0000_peopl"/>
  </r>
  <r>
    <x v="7"/>
    <n v="13.6881"/>
    <n v="-89.208600000000004"/>
    <n v="4"/>
    <n v="0"/>
    <n v="0"/>
    <n v="107"/>
    <s v="_x0000_peopl"/>
  </r>
  <r>
    <x v="7"/>
    <n v="13.6881"/>
    <n v="-89.208600000000004"/>
    <n v="3"/>
    <n v="0"/>
    <n v="0"/>
    <n v="107"/>
    <s v="_x0000_peopl"/>
  </r>
  <r>
    <x v="7"/>
    <n v="13.6881"/>
    <n v="-89.208600000000004"/>
    <n v="1"/>
    <n v="0"/>
    <n v="0"/>
    <n v="107"/>
    <s v="_x0000_peopl"/>
  </r>
  <r>
    <x v="7"/>
    <n v="13.688000000000001"/>
    <n v="-89.208600000000004"/>
    <n v="7"/>
    <n v="0"/>
    <n v="0"/>
    <n v="107"/>
    <s v="_x0000_peopl"/>
  </r>
  <r>
    <x v="7"/>
    <n v="13.688700000000001"/>
    <n v="-89.208500000000001"/>
    <n v="4"/>
    <n v="0"/>
    <n v="0"/>
    <n v="107"/>
    <s v="_x0000_peopl"/>
  </r>
  <r>
    <x v="7"/>
    <n v="13.688700000000001"/>
    <n v="-89.208500000000001"/>
    <n v="8"/>
    <n v="0"/>
    <n v="0"/>
    <n v="107"/>
    <s v="_x0000_peopl"/>
  </r>
  <r>
    <x v="7"/>
    <n v="13.688700000000001"/>
    <n v="-89.208500000000001"/>
    <n v="5"/>
    <n v="0"/>
    <n v="0"/>
    <n v="107"/>
    <s v="_x0000_peopl"/>
  </r>
  <r>
    <x v="7"/>
    <n v="13.688700000000001"/>
    <n v="-89.208500000000001"/>
    <n v="3"/>
    <n v="0"/>
    <n v="0"/>
    <n v="107"/>
    <s v="_x0000_peopl"/>
  </r>
  <r>
    <x v="7"/>
    <n v="13.689399999999999"/>
    <n v="-89.215299999999999"/>
    <n v="6"/>
    <n v="0"/>
    <n v="0"/>
    <n v="107"/>
    <s v="_x0000_peopl"/>
  </r>
  <r>
    <x v="7"/>
    <n v="13.689500000000001"/>
    <n v="-89.215299999999999"/>
    <n v="4"/>
    <n v="0"/>
    <n v="0"/>
    <n v="107"/>
    <s v="_x0000_peopl"/>
  </r>
  <r>
    <x v="7"/>
    <n v="13.689500000000001"/>
    <n v="-89.215000000000003"/>
    <n v="5"/>
    <n v="0"/>
    <n v="0"/>
    <n v="107"/>
    <s v="_x0000_peopl"/>
  </r>
  <r>
    <x v="7"/>
    <n v="13.689500000000001"/>
    <n v="-89.2149"/>
    <n v="6"/>
    <n v="0"/>
    <n v="0"/>
    <n v="107"/>
    <s v="_x0000_peopl"/>
  </r>
  <r>
    <x v="7"/>
    <n v="13.689399999999999"/>
    <n v="-89.214399999999998"/>
    <n v="3"/>
    <n v="0"/>
    <n v="0"/>
    <n v="107"/>
    <s v="_x0000_peopl"/>
  </r>
  <r>
    <x v="7"/>
    <n v="13.688000000000001"/>
    <n v="-89.213399999999993"/>
    <n v="4"/>
    <n v="0"/>
    <n v="0"/>
    <n v="107"/>
    <s v="_x0000_peopl"/>
  </r>
  <r>
    <x v="7"/>
    <n v="13.689399999999999"/>
    <n v="-89.214200000000005"/>
    <n v="5"/>
    <n v="0"/>
    <n v="0"/>
    <n v="107"/>
    <s v="_x0000_peopl"/>
  </r>
  <r>
    <x v="7"/>
    <n v="13.689299999999999"/>
    <n v="-89.214200000000005"/>
    <n v="3"/>
    <n v="0"/>
    <n v="0"/>
    <n v="107"/>
    <s v="_x0000_peopl"/>
  </r>
  <r>
    <x v="7"/>
    <n v="13.6884"/>
    <n v="-89.212299999999999"/>
    <n v="2"/>
    <n v="0"/>
    <n v="0"/>
    <n v="107"/>
    <s v="_x0000_peopl"/>
  </r>
  <r>
    <x v="7"/>
    <n v="13.6883"/>
    <n v="-89.212199999999996"/>
    <n v="4"/>
    <n v="0"/>
    <n v="0"/>
    <n v="107"/>
    <s v="_x0000_peopl"/>
  </r>
  <r>
    <x v="7"/>
    <n v="13.6883"/>
    <n v="-89.212100000000007"/>
    <n v="6"/>
    <n v="0"/>
    <n v="0"/>
    <n v="107"/>
    <s v="_x0000_peopl"/>
  </r>
  <r>
    <x v="7"/>
    <n v="13.688599999999999"/>
    <n v="-89.212400000000002"/>
    <n v="7"/>
    <n v="0"/>
    <n v="0"/>
    <n v="107"/>
    <s v="_x0000_peopl"/>
  </r>
  <r>
    <x v="7"/>
    <n v="13.688499999999999"/>
    <n v="-89.212299999999999"/>
    <n v="5"/>
    <n v="0"/>
    <n v="0"/>
    <n v="107"/>
    <s v="_x0000_peopl"/>
  </r>
  <r>
    <x v="7"/>
    <n v="13.688499999999999"/>
    <n v="-89.212199999999996"/>
    <n v="3"/>
    <n v="0"/>
    <n v="0"/>
    <n v="107"/>
    <s v="_x0000_peopl"/>
  </r>
  <r>
    <x v="7"/>
    <n v="13.688499999999999"/>
    <n v="-89.212100000000007"/>
    <n v="7"/>
    <n v="0"/>
    <n v="0"/>
    <n v="107"/>
    <s v="_x0000_peopl"/>
  </r>
  <r>
    <x v="7"/>
    <n v="13.688599999999999"/>
    <n v="-89.212000000000003"/>
    <n v="6"/>
    <n v="0"/>
    <n v="0"/>
    <n v="107"/>
    <s v="_x0000_peopl"/>
  </r>
  <r>
    <x v="7"/>
    <n v="13.688800000000001"/>
    <n v="-89.2119"/>
    <n v="7"/>
    <n v="0"/>
    <n v="0"/>
    <n v="107"/>
    <s v="_x0000_peopl"/>
  </r>
  <r>
    <x v="7"/>
    <n v="13.688800000000001"/>
    <n v="-89.212299999999999"/>
    <n v="5"/>
    <n v="0"/>
    <n v="0"/>
    <n v="107"/>
    <s v="_x0000_peopl"/>
  </r>
  <r>
    <x v="7"/>
    <n v="13.688800000000001"/>
    <n v="-89.212199999999996"/>
    <n v="5"/>
    <n v="0"/>
    <n v="0"/>
    <n v="107"/>
    <s v="_x0000_peopl"/>
  </r>
  <r>
    <x v="7"/>
    <n v="13.688800000000001"/>
    <n v="-89.212199999999996"/>
    <n v="2"/>
    <n v="0"/>
    <n v="0"/>
    <n v="107"/>
    <s v="_x0000_peopl"/>
  </r>
  <r>
    <x v="7"/>
    <n v="13.688800000000001"/>
    <n v="-89.212100000000007"/>
    <n v="1"/>
    <n v="0"/>
    <n v="0"/>
    <n v="107"/>
    <s v="_x0000_peopl"/>
  </r>
  <r>
    <x v="7"/>
    <n v="13.688800000000001"/>
    <n v="-89.212000000000003"/>
    <n v="8"/>
    <n v="0"/>
    <n v="0"/>
    <n v="107"/>
    <s v="_x0000_peopl"/>
  </r>
  <r>
    <x v="7"/>
    <n v="13.689"/>
    <n v="-89.212299999999999"/>
    <n v="3"/>
    <n v="0"/>
    <n v="0"/>
    <n v="107"/>
    <s v="_x0000_peopl"/>
  </r>
  <r>
    <x v="7"/>
    <n v="13.689"/>
    <n v="-89.212299999999999"/>
    <n v="4"/>
    <n v="0"/>
    <n v="0"/>
    <n v="107"/>
    <s v="_x0000_peopl"/>
  </r>
  <r>
    <x v="7"/>
    <n v="13.689"/>
    <n v="-89.212199999999996"/>
    <n v="10"/>
    <n v="0"/>
    <n v="0"/>
    <n v="107"/>
    <s v="_x0000_peopl"/>
  </r>
  <r>
    <x v="7"/>
    <n v="13.689"/>
    <n v="-89.212100000000007"/>
    <n v="7"/>
    <n v="0"/>
    <n v="0"/>
    <n v="107"/>
    <s v="_x0000_peopl"/>
  </r>
  <r>
    <x v="7"/>
    <n v="13.689"/>
    <n v="-89.212100000000007"/>
    <n v="7"/>
    <n v="0"/>
    <n v="0"/>
    <n v="107"/>
    <s v="_x0000_peopl"/>
  </r>
  <r>
    <x v="7"/>
    <n v="13.689"/>
    <n v="-89.212000000000003"/>
    <n v="4"/>
    <n v="0"/>
    <n v="0"/>
    <n v="107"/>
    <s v="_x0000_peopl"/>
  </r>
  <r>
    <x v="7"/>
    <n v="13.689"/>
    <n v="-89.2119"/>
    <n v="2"/>
    <n v="0"/>
    <n v="0"/>
    <n v="107"/>
    <s v="_x0000_peopl"/>
  </r>
  <r>
    <x v="7"/>
    <n v="13.689"/>
    <n v="-89.211799999999997"/>
    <n v="3"/>
    <n v="0"/>
    <n v="0"/>
    <n v="107"/>
    <s v="_x0000_peopl"/>
  </r>
  <r>
    <x v="7"/>
    <n v="13.6891"/>
    <n v="-89.212100000000007"/>
    <n v="7"/>
    <n v="0"/>
    <n v="0"/>
    <n v="107"/>
    <s v="_x0000_peopl"/>
  </r>
  <r>
    <x v="7"/>
    <n v="13.6891"/>
    <n v="-89.212000000000003"/>
    <n v="4"/>
    <n v="0"/>
    <n v="0"/>
    <n v="107"/>
    <s v="_x0000_peopl"/>
  </r>
  <r>
    <x v="7"/>
    <n v="13.6891"/>
    <n v="-89.2119"/>
    <n v="4"/>
    <n v="0"/>
    <n v="0"/>
    <n v="107"/>
    <s v="_x0000_peopl"/>
  </r>
  <r>
    <x v="7"/>
    <n v="13.689"/>
    <n v="-89.2119"/>
    <n v="4"/>
    <n v="0"/>
    <n v="0"/>
    <n v="107"/>
    <s v="_x0000_peopl"/>
  </r>
  <r>
    <x v="7"/>
    <n v="13.689"/>
    <n v="-89.211799999999997"/>
    <n v="2"/>
    <n v="0"/>
    <n v="0"/>
    <n v="107"/>
    <s v="_x0000_peopl"/>
  </r>
  <r>
    <x v="7"/>
    <n v="13.689"/>
    <n v="-89.211699999999993"/>
    <n v="6"/>
    <n v="0"/>
    <n v="0"/>
    <n v="107"/>
    <s v="_x0000_peopl"/>
  </r>
  <r>
    <x v="7"/>
    <n v="13.689"/>
    <n v="-89.211699999999993"/>
    <n v="2"/>
    <n v="0"/>
    <n v="0"/>
    <n v="107"/>
    <s v="_x0000_peopl"/>
  </r>
  <r>
    <x v="7"/>
    <n v="13.6892"/>
    <n v="-89.212299999999999"/>
    <n v="3"/>
    <n v="0"/>
    <n v="0"/>
    <n v="107"/>
    <s v="_x0000_peopl"/>
  </r>
  <r>
    <x v="7"/>
    <n v="13.6892"/>
    <n v="-89.212299999999999"/>
    <n v="6"/>
    <n v="0"/>
    <n v="0"/>
    <n v="107"/>
    <s v="_x0000_peopl"/>
  </r>
  <r>
    <x v="7"/>
    <n v="13.6892"/>
    <n v="-89.212199999999996"/>
    <n v="5"/>
    <n v="0"/>
    <n v="0"/>
    <n v="107"/>
    <s v="_x0000_peopl"/>
  </r>
  <r>
    <x v="7"/>
    <n v="13.6892"/>
    <n v="-89.212100000000007"/>
    <n v="7"/>
    <n v="0"/>
    <n v="0"/>
    <n v="107"/>
    <s v="_x0000_peopl"/>
  </r>
  <r>
    <x v="7"/>
    <n v="13.6892"/>
    <n v="-89.212000000000003"/>
    <n v="3"/>
    <n v="0"/>
    <n v="0"/>
    <n v="107"/>
    <s v="_x0000_peopl"/>
  </r>
  <r>
    <x v="7"/>
    <n v="13.6892"/>
    <n v="-89.2119"/>
    <n v="5"/>
    <n v="0"/>
    <n v="0"/>
    <n v="107"/>
    <s v="_x0000_peopl"/>
  </r>
  <r>
    <x v="7"/>
    <n v="13.6892"/>
    <n v="-89.211799999999997"/>
    <n v="3"/>
    <n v="0"/>
    <n v="0"/>
    <n v="107"/>
    <s v="_x0000_peopl"/>
  </r>
  <r>
    <x v="7"/>
    <n v="13.6892"/>
    <n v="-89.211799999999997"/>
    <n v="2"/>
    <n v="0"/>
    <n v="0"/>
    <n v="107"/>
    <s v="_x0000_peopl"/>
  </r>
  <r>
    <x v="7"/>
    <n v="13.6892"/>
    <n v="-89.211699999999993"/>
    <n v="7"/>
    <n v="0"/>
    <n v="0"/>
    <n v="107"/>
    <s v="_x0000_peopl"/>
  </r>
  <r>
    <x v="7"/>
    <n v="13.6892"/>
    <n v="-89.212400000000002"/>
    <n v="9"/>
    <n v="0"/>
    <n v="0"/>
    <n v="107"/>
    <s v="_x0000_peopl"/>
  </r>
  <r>
    <x v="7"/>
    <n v="13.6892"/>
    <n v="-89.212299999999999"/>
    <n v="6"/>
    <n v="0"/>
    <n v="0"/>
    <n v="107"/>
    <s v="_x0000_peopl"/>
  </r>
  <r>
    <x v="7"/>
    <n v="13.6892"/>
    <n v="-89.212199999999996"/>
    <n v="5"/>
    <n v="0"/>
    <n v="0"/>
    <n v="107"/>
    <s v="_x0000_peopl"/>
  </r>
  <r>
    <x v="7"/>
    <n v="13.6892"/>
    <n v="-89.212100000000007"/>
    <n v="6"/>
    <n v="0"/>
    <n v="0"/>
    <n v="107"/>
    <s v="_x0000_peopl"/>
  </r>
  <r>
    <x v="7"/>
    <n v="13.6891"/>
    <n v="-89.212000000000003"/>
    <n v="2"/>
    <n v="0"/>
    <n v="0"/>
    <n v="107"/>
    <s v="_x0000_peopl"/>
  </r>
  <r>
    <x v="7"/>
    <n v="13.6891"/>
    <n v="-89.2119"/>
    <n v="4"/>
    <n v="0"/>
    <n v="0"/>
    <n v="107"/>
    <s v="_x0000_peopl"/>
  </r>
  <r>
    <x v="7"/>
    <n v="13.6891"/>
    <n v="-89.211799999999997"/>
    <n v="3"/>
    <n v="0"/>
    <n v="0"/>
    <n v="107"/>
    <s v="_x0000_peopl"/>
  </r>
  <r>
    <x v="7"/>
    <n v="13.6891"/>
    <n v="-89.211799999999997"/>
    <n v="1"/>
    <n v="0"/>
    <n v="0"/>
    <n v="107"/>
    <s v="_x0000_peopl"/>
  </r>
  <r>
    <x v="7"/>
    <n v="13.6896"/>
    <n v="-89.212299999999999"/>
    <n v="7"/>
    <n v="0"/>
    <n v="0"/>
    <n v="107"/>
    <s v="_x0000_peopl"/>
  </r>
  <r>
    <x v="7"/>
    <n v="13.689399999999999"/>
    <n v="-89.212299999999999"/>
    <n v="5"/>
    <n v="0"/>
    <n v="0"/>
    <n v="107"/>
    <s v="_x0000_peopl"/>
  </r>
  <r>
    <x v="7"/>
    <n v="13.689399999999999"/>
    <n v="-89.212199999999996"/>
    <n v="3"/>
    <n v="0"/>
    <n v="0"/>
    <n v="107"/>
    <s v="_x0000_peopl"/>
  </r>
  <r>
    <x v="7"/>
    <n v="13.689399999999999"/>
    <n v="-89.212199999999996"/>
    <n v="3"/>
    <n v="0"/>
    <n v="0"/>
    <n v="107"/>
    <s v="_x0000_peopl"/>
  </r>
  <r>
    <x v="7"/>
    <n v="13.689500000000001"/>
    <n v="-89.212199999999996"/>
    <n v="4"/>
    <n v="0"/>
    <n v="0"/>
    <n v="107"/>
    <s v="_x0000_peopl"/>
  </r>
  <r>
    <x v="7"/>
    <n v="13.689399999999999"/>
    <n v="-89.212100000000007"/>
    <n v="5"/>
    <n v="0"/>
    <n v="0"/>
    <n v="107"/>
    <s v="_x0000_peopl"/>
  </r>
  <r>
    <x v="7"/>
    <n v="13.689500000000001"/>
    <n v="-89.212100000000007"/>
    <n v="3"/>
    <n v="0"/>
    <n v="0"/>
    <n v="107"/>
    <s v="_x0000_peopl"/>
  </r>
  <r>
    <x v="7"/>
    <n v="13.689500000000001"/>
    <n v="-89.212000000000003"/>
    <n v="9"/>
    <n v="0"/>
    <n v="0"/>
    <n v="107"/>
    <s v="_x0000_peopl"/>
  </r>
  <r>
    <x v="7"/>
    <n v="13.6896"/>
    <n v="-89.2119"/>
    <n v="4"/>
    <n v="0"/>
    <n v="0"/>
    <n v="107"/>
    <s v="_x0000_peopl"/>
  </r>
  <r>
    <x v="7"/>
    <n v="13.689500000000001"/>
    <n v="-89.2119"/>
    <n v="10"/>
    <n v="0"/>
    <n v="0"/>
    <n v="107"/>
    <s v="_x0000_peopl"/>
  </r>
  <r>
    <x v="7"/>
    <n v="13.689500000000001"/>
    <n v="-89.211799999999997"/>
    <n v="7"/>
    <n v="0"/>
    <n v="0"/>
    <n v="107"/>
    <s v="_x0000_peopl"/>
  </r>
  <r>
    <x v="7"/>
    <n v="13.6896"/>
    <n v="-89.211799999999997"/>
    <n v="8"/>
    <n v="0"/>
    <n v="0"/>
    <n v="107"/>
    <s v="_x0000_peopl"/>
  </r>
  <r>
    <x v="7"/>
    <n v="13.689500000000001"/>
    <n v="-89.211699999999993"/>
    <n v="5"/>
    <n v="0"/>
    <n v="0"/>
    <n v="107"/>
    <s v="_x0000_peopl"/>
  </r>
  <r>
    <x v="7"/>
    <n v="13.6896"/>
    <n v="-89.211699999999993"/>
    <n v="2"/>
    <n v="0"/>
    <n v="0"/>
    <n v="107"/>
    <s v="_x0000_peopl"/>
  </r>
  <r>
    <x v="7"/>
    <n v="13.689399999999999"/>
    <n v="-89.212000000000003"/>
    <n v="3"/>
    <n v="0"/>
    <n v="0"/>
    <n v="107"/>
    <s v="_x0000_peopl"/>
  </r>
  <r>
    <x v="7"/>
    <n v="13.689399999999999"/>
    <n v="-89.2119"/>
    <n v="7"/>
    <n v="0"/>
    <n v="0"/>
    <n v="107"/>
    <s v="_x0000_peopl"/>
  </r>
  <r>
    <x v="7"/>
    <n v="13.689399999999999"/>
    <n v="-89.211799999999997"/>
    <n v="6"/>
    <n v="0"/>
    <n v="0"/>
    <n v="107"/>
    <s v="_x0000_peopl"/>
  </r>
  <r>
    <x v="7"/>
    <n v="13.689399999999999"/>
    <n v="-89.211699999999993"/>
    <n v="6"/>
    <n v="0"/>
    <n v="0"/>
    <n v="107"/>
    <s v="_x0000_peopl"/>
  </r>
  <r>
    <x v="7"/>
    <n v="13.689399999999999"/>
    <n v="-89.211600000000004"/>
    <n v="4"/>
    <n v="0"/>
    <n v="0"/>
    <n v="107"/>
    <s v="_x0000_peopl"/>
  </r>
  <r>
    <x v="7"/>
    <n v="13.689500000000001"/>
    <n v="-89.211600000000004"/>
    <n v="3"/>
    <n v="0"/>
    <n v="0"/>
    <n v="107"/>
    <s v="_x0000_peopl"/>
  </r>
  <r>
    <x v="7"/>
    <n v="13.6896"/>
    <n v="-89.211600000000004"/>
    <n v="5"/>
    <n v="0"/>
    <n v="0"/>
    <n v="107"/>
    <s v="_x0000_peopl"/>
  </r>
  <r>
    <x v="7"/>
    <n v="13.6896"/>
    <n v="-89.211500000000001"/>
    <n v="5"/>
    <n v="0"/>
    <n v="0"/>
    <n v="107"/>
    <s v="_x0000_peopl"/>
  </r>
  <r>
    <x v="7"/>
    <n v="13.689500000000001"/>
    <n v="-89.211500000000001"/>
    <n v="8"/>
    <n v="0"/>
    <n v="0"/>
    <n v="107"/>
    <s v="_x0000_peopl"/>
  </r>
  <r>
    <x v="7"/>
    <n v="13.6891"/>
    <n v="-89.211600000000004"/>
    <n v="1"/>
    <n v="0"/>
    <n v="0"/>
    <n v="107"/>
    <s v="_x0000_peopl"/>
  </r>
  <r>
    <x v="7"/>
    <n v="13.6892"/>
    <n v="-89.211600000000004"/>
    <n v="3"/>
    <n v="0"/>
    <n v="0"/>
    <n v="107"/>
    <s v="_x0000_peopl"/>
  </r>
  <r>
    <x v="7"/>
    <n v="13.6783"/>
    <n v="-89.244100000000003"/>
    <n v="8"/>
    <n v="0"/>
    <n v="0"/>
    <n v="107"/>
    <s v="_x0000_peopl"/>
  </r>
  <r>
    <x v="7"/>
    <n v="13.6899"/>
    <n v="-89.225700000000003"/>
    <n v="5"/>
    <n v="0"/>
    <n v="0"/>
    <n v="107"/>
    <s v="_x0000_peopl"/>
  </r>
  <r>
    <x v="7"/>
    <n v="13.690300000000001"/>
    <n v="-89.227400000000003"/>
    <n v="6"/>
    <n v="0"/>
    <n v="0"/>
    <n v="107"/>
    <s v="_x0000_peopl"/>
  </r>
  <r>
    <x v="7"/>
    <n v="13.6899"/>
    <n v="-89.228099999999998"/>
    <n v="6"/>
    <n v="0"/>
    <n v="0"/>
    <n v="107"/>
    <s v="_x0000_peopl"/>
  </r>
  <r>
    <x v="7"/>
    <n v="13.69"/>
    <n v="-89.227900000000005"/>
    <n v="8"/>
    <n v="0"/>
    <n v="0"/>
    <n v="107"/>
    <s v="_x0000_peopl"/>
  </r>
  <r>
    <x v="7"/>
    <n v="13.69"/>
    <n v="-89.227599999999995"/>
    <n v="5"/>
    <n v="0"/>
    <n v="0"/>
    <n v="107"/>
    <s v="_x0000_peopl"/>
  </r>
  <r>
    <x v="7"/>
    <n v="13.69"/>
    <n v="-89.227500000000006"/>
    <n v="1"/>
    <n v="0"/>
    <n v="0"/>
    <n v="107"/>
    <s v="_x0000_peopl"/>
  </r>
  <r>
    <x v="7"/>
    <n v="13.690099999999999"/>
    <n v="-89.227500000000006"/>
    <n v="3"/>
    <n v="0"/>
    <n v="0"/>
    <n v="107"/>
    <s v="_x0000_peopl"/>
  </r>
  <r>
    <x v="7"/>
    <n v="13.6898"/>
    <n v="-89.228200000000001"/>
    <n v="1"/>
    <n v="0"/>
    <n v="0"/>
    <n v="107"/>
    <s v="_x0000_peopl"/>
  </r>
  <r>
    <x v="7"/>
    <n v="13.6889"/>
    <n v="-89.228999999999999"/>
    <n v="6"/>
    <n v="0"/>
    <n v="0"/>
    <n v="107"/>
    <s v="_x0000_peopl"/>
  </r>
  <r>
    <x v="7"/>
    <n v="13.688599999999999"/>
    <n v="-89.228899999999996"/>
    <n v="3"/>
    <n v="0"/>
    <n v="0"/>
    <n v="107"/>
    <s v="_x0000_peopl"/>
  </r>
  <r>
    <x v="7"/>
    <n v="13.688700000000001"/>
    <n v="-89.228999999999999"/>
    <n v="7"/>
    <n v="0"/>
    <n v="0"/>
    <n v="107"/>
    <s v="_x0000_peopl"/>
  </r>
  <r>
    <x v="7"/>
    <n v="13.6881"/>
    <n v="-89.228899999999996"/>
    <n v="4"/>
    <n v="0"/>
    <n v="0"/>
    <n v="107"/>
    <s v="_x0000_peopl"/>
  </r>
  <r>
    <x v="7"/>
    <n v="13.688499999999999"/>
    <n v="-89.2286"/>
    <n v="7"/>
    <n v="0"/>
    <n v="0"/>
    <n v="107"/>
    <s v="_x0000_peopl"/>
  </r>
  <r>
    <x v="7"/>
    <n v="13.688700000000001"/>
    <n v="-89.228499999999997"/>
    <n v="4"/>
    <n v="0"/>
    <n v="0"/>
    <n v="107"/>
    <s v="_x0000_peopl"/>
  </r>
  <r>
    <x v="7"/>
    <n v="13.688700000000001"/>
    <n v="-89.228700000000003"/>
    <n v="5"/>
    <n v="0"/>
    <n v="0"/>
    <n v="107"/>
    <s v="_x0000_peopl"/>
  </r>
  <r>
    <x v="7"/>
    <n v="13.688800000000001"/>
    <n v="-89.228800000000007"/>
    <n v="4"/>
    <n v="0"/>
    <n v="0"/>
    <n v="107"/>
    <s v="_x0000_peopl"/>
  </r>
  <r>
    <x v="7"/>
    <n v="13.6891"/>
    <n v="-89.228300000000004"/>
    <n v="7"/>
    <n v="0"/>
    <n v="0"/>
    <n v="107"/>
    <s v="_x0000_peopl"/>
  </r>
  <r>
    <x v="7"/>
    <n v="13.689299999999999"/>
    <n v="-89.228300000000004"/>
    <n v="6"/>
    <n v="0"/>
    <n v="0"/>
    <n v="107"/>
    <s v="_x0000_peopl"/>
  </r>
  <r>
    <x v="7"/>
    <n v="13.6911"/>
    <n v="-89.221800000000002"/>
    <n v="5"/>
    <n v="0"/>
    <n v="0"/>
    <n v="107"/>
    <s v="_x0000_peopl"/>
  </r>
  <r>
    <x v="7"/>
    <n v="13.6911"/>
    <n v="-89.221800000000002"/>
    <n v="4"/>
    <n v="0"/>
    <n v="0"/>
    <n v="107"/>
    <s v="_x0000_peopl"/>
  </r>
  <r>
    <x v="7"/>
    <n v="13.6913"/>
    <n v="-89.222700000000003"/>
    <n v="4"/>
    <n v="0"/>
    <n v="0"/>
    <n v="107"/>
    <s v="_x0000_peopl"/>
  </r>
  <r>
    <x v="7"/>
    <n v="13.69"/>
    <n v="-89.219099999999997"/>
    <n v="4"/>
    <n v="0"/>
    <n v="0"/>
    <n v="107"/>
    <s v="_x0000_peopl"/>
  </r>
  <r>
    <x v="7"/>
    <n v="13.69"/>
    <n v="-89.219200000000001"/>
    <n v="4"/>
    <n v="0"/>
    <n v="0"/>
    <n v="107"/>
    <s v="_x0000_peopl"/>
  </r>
  <r>
    <x v="7"/>
    <n v="13.6907"/>
    <n v="-89.221900000000005"/>
    <n v="4"/>
    <n v="0"/>
    <n v="0"/>
    <n v="107"/>
    <s v="_x0000_peopl"/>
  </r>
  <r>
    <x v="7"/>
    <n v="13.6907"/>
    <n v="-89.221800000000002"/>
    <n v="1"/>
    <n v="0"/>
    <n v="0"/>
    <n v="107"/>
    <s v="_x0000_peopl"/>
  </r>
  <r>
    <x v="7"/>
    <n v="13.6907"/>
    <n v="-89.221900000000005"/>
    <n v="5"/>
    <n v="0"/>
    <n v="0"/>
    <n v="107"/>
    <s v="_x0000_peopl"/>
  </r>
  <r>
    <x v="7"/>
    <n v="13.690899999999999"/>
    <n v="-89.221999999999994"/>
    <n v="3"/>
    <n v="0"/>
    <n v="0"/>
    <n v="107"/>
    <s v="_x0000_peopl"/>
  </r>
  <r>
    <x v="7"/>
    <n v="13.6906"/>
    <n v="-89.221900000000005"/>
    <n v="6"/>
    <n v="0"/>
    <n v="0"/>
    <n v="107"/>
    <s v="_x0000_peopl"/>
  </r>
  <r>
    <x v="7"/>
    <n v="13.688700000000001"/>
    <n v="-89.218100000000007"/>
    <n v="2"/>
    <n v="0"/>
    <n v="0"/>
    <n v="107"/>
    <s v="_x0000_peopl"/>
  </r>
  <r>
    <x v="7"/>
    <n v="13.688599999999999"/>
    <n v="-89.218100000000007"/>
    <n v="1"/>
    <n v="0"/>
    <n v="0"/>
    <n v="107"/>
    <s v="_x0000_peopl"/>
  </r>
  <r>
    <x v="7"/>
    <n v="13.688800000000001"/>
    <n v="-89.218400000000003"/>
    <n v="5"/>
    <n v="0"/>
    <n v="0"/>
    <n v="107"/>
    <s v="_x0000_peopl"/>
  </r>
  <r>
    <x v="7"/>
    <n v="13.688700000000001"/>
    <n v="-89.218400000000003"/>
    <n v="4"/>
    <n v="0"/>
    <n v="0"/>
    <n v="107"/>
    <s v="_x0000_peopl"/>
  </r>
  <r>
    <x v="7"/>
    <n v="13.688800000000001"/>
    <n v="-89.218699999999998"/>
    <n v="5"/>
    <n v="0"/>
    <n v="0"/>
    <n v="107"/>
    <s v="_x0000_peopl"/>
  </r>
  <r>
    <x v="7"/>
    <n v="13.688700000000001"/>
    <n v="-89.218699999999998"/>
    <n v="2"/>
    <n v="0"/>
    <n v="0"/>
    <n v="107"/>
    <s v="_x0000_peopl"/>
  </r>
  <r>
    <x v="7"/>
    <n v="13.688800000000001"/>
    <n v="-89.218900000000005"/>
    <n v="6"/>
    <n v="0"/>
    <n v="0"/>
    <n v="107"/>
    <s v="_x0000_peopl"/>
  </r>
  <r>
    <x v="7"/>
    <n v="13.688700000000001"/>
    <n v="-89.218999999999994"/>
    <n v="10"/>
    <n v="0"/>
    <n v="0"/>
    <n v="107"/>
    <s v="_x0000_peopl"/>
  </r>
  <r>
    <x v="7"/>
    <n v="13.688599999999999"/>
    <n v="-89.218999999999994"/>
    <n v="8"/>
    <n v="0"/>
    <n v="0"/>
    <n v="107"/>
    <s v="_x0000_peopl"/>
  </r>
  <r>
    <x v="7"/>
    <n v="13.688800000000001"/>
    <n v="-89.219300000000004"/>
    <n v="2"/>
    <n v="0"/>
    <n v="0"/>
    <n v="107"/>
    <s v="_x0000_peopl"/>
  </r>
  <r>
    <x v="7"/>
    <n v="13.688700000000001"/>
    <n v="-89.219399999999993"/>
    <n v="3"/>
    <n v="0"/>
    <n v="0"/>
    <n v="107"/>
    <s v="_x0000_peopl"/>
  </r>
  <r>
    <x v="7"/>
    <n v="13.689"/>
    <n v="-89.219200000000001"/>
    <n v="9"/>
    <n v="0"/>
    <n v="0"/>
    <n v="107"/>
    <s v="_x0000_peopl"/>
  </r>
  <r>
    <x v="7"/>
    <n v="13.6889"/>
    <n v="-89.219300000000004"/>
    <n v="3"/>
    <n v="0"/>
    <n v="0"/>
    <n v="107"/>
    <s v="_x0000_peopl"/>
  </r>
  <r>
    <x v="7"/>
    <n v="13.688700000000001"/>
    <n v="-89.219399999999993"/>
    <n v="3"/>
    <n v="0"/>
    <n v="0"/>
    <n v="107"/>
    <s v="_x0000_peopl"/>
  </r>
  <r>
    <x v="7"/>
    <n v="13.688599999999999"/>
    <n v="-89.219499999999996"/>
    <n v="4"/>
    <n v="0"/>
    <n v="0"/>
    <n v="107"/>
    <s v="_x0000_peopl"/>
  </r>
  <r>
    <x v="7"/>
    <n v="13.6898"/>
    <n v="-89.2196"/>
    <n v="4"/>
    <n v="0"/>
    <n v="0"/>
    <n v="107"/>
    <s v="_x0000_peopl"/>
  </r>
  <r>
    <x v="7"/>
    <n v="13.687900000000001"/>
    <n v="-89.208799999999997"/>
    <n v="12"/>
    <n v="0"/>
    <n v="0"/>
    <n v="107"/>
    <s v="_x0000_peopl"/>
  </r>
  <r>
    <x v="7"/>
    <n v="13.687900000000001"/>
    <n v="-89.208799999999997"/>
    <n v="3"/>
    <n v="0"/>
    <n v="0"/>
    <n v="107"/>
    <s v="_x0000_peopl"/>
  </r>
  <r>
    <x v="7"/>
    <n v="13.687900000000001"/>
    <n v="-89.208799999999997"/>
    <n v="9"/>
    <n v="0"/>
    <n v="0"/>
    <n v="107"/>
    <s v="_x0000_peopl"/>
  </r>
  <r>
    <x v="7"/>
    <n v="13.687799999999999"/>
    <n v="-89.208799999999997"/>
    <n v="6"/>
    <n v="0"/>
    <n v="0"/>
    <n v="107"/>
    <s v="_x0000_peopl"/>
  </r>
  <r>
    <x v="7"/>
    <n v="13.687799999999999"/>
    <n v="-89.208799999999997"/>
    <n v="5"/>
    <n v="0"/>
    <n v="0"/>
    <n v="107"/>
    <s v="_x0000_peopl"/>
  </r>
  <r>
    <x v="7"/>
    <n v="13.687799999999999"/>
    <n v="-89.208799999999997"/>
    <n v="6"/>
    <n v="0"/>
    <n v="0"/>
    <n v="107"/>
    <s v="_x0000_peopl"/>
  </r>
  <r>
    <x v="7"/>
    <n v="13.687799999999999"/>
    <n v="-89.208799999999997"/>
    <n v="6"/>
    <n v="0"/>
    <n v="0"/>
    <n v="107"/>
    <s v="_x0000_peopl"/>
  </r>
  <r>
    <x v="7"/>
    <n v="13.687799999999999"/>
    <n v="-89.209100000000007"/>
    <n v="3"/>
    <n v="0"/>
    <n v="0"/>
    <n v="107"/>
    <s v="_x0000_peopl"/>
  </r>
  <r>
    <x v="7"/>
    <n v="13.687799999999999"/>
    <n v="-89.209100000000007"/>
    <n v="5"/>
    <n v="0"/>
    <n v="0"/>
    <n v="107"/>
    <s v="_x0000_peopl"/>
  </r>
  <r>
    <x v="7"/>
    <n v="13.687799999999999"/>
    <n v="-89.209100000000007"/>
    <n v="5"/>
    <n v="0"/>
    <n v="0"/>
    <n v="107"/>
    <s v="_x0000_peopl"/>
  </r>
  <r>
    <x v="7"/>
    <n v="13.687799999999999"/>
    <n v="-89.209100000000007"/>
    <n v="3"/>
    <n v="0"/>
    <n v="0"/>
    <n v="107"/>
    <s v="_x0000_peopl"/>
  </r>
  <r>
    <x v="7"/>
    <n v="13.6877"/>
    <n v="-89.209100000000007"/>
    <n v="6"/>
    <n v="0"/>
    <n v="0"/>
    <n v="107"/>
    <s v="_x0000_peopl"/>
  </r>
  <r>
    <x v="7"/>
    <n v="13.6877"/>
    <n v="-89.209000000000003"/>
    <n v="2"/>
    <n v="0"/>
    <n v="0"/>
    <n v="107"/>
    <s v="_x0000_peopl"/>
  </r>
  <r>
    <x v="7"/>
    <n v="13.687900000000001"/>
    <n v="-89.208799999999997"/>
    <n v="5"/>
    <n v="0"/>
    <n v="0"/>
    <n v="107"/>
    <s v="_x0000_peopl"/>
  </r>
  <r>
    <x v="7"/>
    <n v="13.687900000000001"/>
    <n v="-89.208799999999997"/>
    <n v="7"/>
    <n v="0"/>
    <n v="0"/>
    <n v="107"/>
    <s v="_x0000_peopl"/>
  </r>
  <r>
    <x v="7"/>
    <n v="13.687900000000001"/>
    <n v="-89.208799999999997"/>
    <n v="4"/>
    <n v="0"/>
    <n v="0"/>
    <n v="107"/>
    <s v="_x0000_peopl"/>
  </r>
  <r>
    <x v="7"/>
    <n v="13.687799999999999"/>
    <n v="-89.208799999999997"/>
    <n v="7"/>
    <n v="0"/>
    <n v="0"/>
    <n v="107"/>
    <s v="_x0000_peopl"/>
  </r>
  <r>
    <x v="7"/>
    <n v="13.687799999999999"/>
    <n v="-89.208799999999997"/>
    <n v="3"/>
    <n v="0"/>
    <n v="0"/>
    <n v="107"/>
    <s v="_x0000_peopl"/>
  </r>
  <r>
    <x v="7"/>
    <n v="13.687799999999999"/>
    <n v="-89.208799999999997"/>
    <n v="7"/>
    <n v="0"/>
    <n v="0"/>
    <n v="107"/>
    <s v="_x0000_peopl"/>
  </r>
  <r>
    <x v="7"/>
    <n v="13.687799999999999"/>
    <n v="-89.208799999999997"/>
    <n v="5"/>
    <n v="0"/>
    <n v="0"/>
    <n v="107"/>
    <s v="_x0000_peopl"/>
  </r>
  <r>
    <x v="7"/>
    <n v="13.687900000000001"/>
    <n v="-89.208699999999993"/>
    <n v="3"/>
    <n v="0"/>
    <n v="0"/>
    <n v="107"/>
    <s v="_x0000_peopl"/>
  </r>
  <r>
    <x v="7"/>
    <n v="13.6876"/>
    <n v="-89.208799999999997"/>
    <n v="5"/>
    <n v="0"/>
    <n v="0"/>
    <n v="107"/>
    <s v="_x0000_peopl"/>
  </r>
  <r>
    <x v="7"/>
    <n v="13.6876"/>
    <n v="-89.208799999999997"/>
    <n v="2"/>
    <n v="0"/>
    <n v="0"/>
    <n v="107"/>
    <s v="_x0000_peopl"/>
  </r>
  <r>
    <x v="7"/>
    <n v="13.6876"/>
    <n v="-89.208799999999997"/>
    <n v="3"/>
    <n v="0"/>
    <n v="0"/>
    <n v="107"/>
    <s v="_x0000_peopl"/>
  </r>
  <r>
    <x v="7"/>
    <n v="13.6876"/>
    <n v="-89.208799999999997"/>
    <n v="6"/>
    <n v="0"/>
    <n v="0"/>
    <n v="107"/>
    <s v="_x0000_peopl"/>
  </r>
  <r>
    <x v="7"/>
    <n v="13.6877"/>
    <n v="-89.208799999999997"/>
    <n v="7"/>
    <n v="0"/>
    <n v="0"/>
    <n v="107"/>
    <s v="_x0000_peopl"/>
  </r>
  <r>
    <x v="7"/>
    <n v="13.6876"/>
    <n v="-89.2089"/>
    <n v="4"/>
    <n v="0"/>
    <n v="0"/>
    <n v="107"/>
    <s v="_x0000_peopl"/>
  </r>
  <r>
    <x v="7"/>
    <n v="13.6876"/>
    <n v="-89.2089"/>
    <n v="6"/>
    <n v="0"/>
    <n v="0"/>
    <n v="107"/>
    <s v="_x0000_peopl"/>
  </r>
  <r>
    <x v="7"/>
    <n v="13.6876"/>
    <n v="-89.2089"/>
    <n v="9"/>
    <n v="0"/>
    <n v="0"/>
    <n v="107"/>
    <s v="_x0000_peopl"/>
  </r>
  <r>
    <x v="7"/>
    <n v="13.6877"/>
    <n v="-89.209100000000007"/>
    <n v="7"/>
    <n v="0"/>
    <n v="0"/>
    <n v="107"/>
    <s v="_x0000_peopl"/>
  </r>
  <r>
    <x v="7"/>
    <n v="13.6876"/>
    <n v="-89.209299999999999"/>
    <n v="7"/>
    <n v="0"/>
    <n v="0"/>
    <n v="107"/>
    <s v="_x0000_peopl"/>
  </r>
  <r>
    <x v="7"/>
    <n v="13.6877"/>
    <n v="-89.209000000000003"/>
    <n v="4"/>
    <n v="0"/>
    <n v="0"/>
    <n v="107"/>
    <s v="_x0000_peopl"/>
  </r>
  <r>
    <x v="7"/>
    <n v="13.689399999999999"/>
    <n v="-89.215299999999999"/>
    <n v="5"/>
    <n v="0"/>
    <n v="0"/>
    <n v="107"/>
    <s v="_x0000_peopl"/>
  </r>
  <r>
    <x v="7"/>
    <n v="13.6891"/>
    <n v="-89.236500000000007"/>
    <n v="3"/>
    <n v="0"/>
    <n v="0"/>
    <n v="107"/>
    <s v="_x0000_peopl"/>
  </r>
  <r>
    <x v="7"/>
    <n v="13.6892"/>
    <n v="-89.236500000000007"/>
    <n v="2"/>
    <n v="0"/>
    <n v="0"/>
    <n v="107"/>
    <s v="_x0000_peopl"/>
  </r>
  <r>
    <x v="7"/>
    <n v="13.6858"/>
    <n v="-89.240799999999993"/>
    <n v="5"/>
    <n v="0"/>
    <n v="0"/>
    <n v="107"/>
    <s v="_x0000_peopl"/>
  </r>
  <r>
    <x v="7"/>
    <n v="13.6869"/>
    <n v="-89.242800000000003"/>
    <n v="4"/>
    <n v="0"/>
    <n v="0"/>
    <n v="107"/>
    <s v="_x0000_peopl"/>
  </r>
  <r>
    <x v="7"/>
    <n v="13.6866"/>
    <n v="-89.242800000000003"/>
    <n v="8"/>
    <n v="0"/>
    <n v="0"/>
    <n v="107"/>
    <s v="_x0000_peopl"/>
  </r>
  <r>
    <x v="7"/>
    <n v="13.6823"/>
    <n v="-89.243099999999998"/>
    <n v="8"/>
    <n v="0"/>
    <n v="0"/>
    <n v="107"/>
    <s v="_x0000_peopl"/>
  </r>
  <r>
    <x v="7"/>
    <n v="13.6823"/>
    <n v="-89.243099999999998"/>
    <n v="2"/>
    <n v="0"/>
    <n v="0"/>
    <n v="107"/>
    <s v="_x0000_peopl"/>
  </r>
  <r>
    <x v="7"/>
    <n v="13.6823"/>
    <n v="-89.243099999999998"/>
    <n v="5"/>
    <n v="0"/>
    <n v="0"/>
    <n v="107"/>
    <s v="_x0000_peopl"/>
  </r>
  <r>
    <x v="7"/>
    <n v="13.6823"/>
    <n v="-89.243099999999998"/>
    <n v="7"/>
    <n v="0"/>
    <n v="0"/>
    <n v="107"/>
    <s v="_x0000_peopl"/>
  </r>
  <r>
    <x v="7"/>
    <n v="13.6823"/>
    <n v="-89.243099999999998"/>
    <n v="8"/>
    <n v="0"/>
    <n v="0"/>
    <n v="107"/>
    <s v="_x0000_peopl"/>
  </r>
  <r>
    <x v="7"/>
    <n v="13.682399999999999"/>
    <n v="-89.242900000000006"/>
    <n v="4"/>
    <n v="0"/>
    <n v="0"/>
    <n v="107"/>
    <s v="_x0000_peopl"/>
  </r>
  <r>
    <x v="7"/>
    <n v="13.682399999999999"/>
    <n v="-89.242900000000006"/>
    <n v="3"/>
    <n v="0"/>
    <n v="0"/>
    <n v="107"/>
    <s v="_x0000_peopl"/>
  </r>
  <r>
    <x v="7"/>
    <n v="13.682399999999999"/>
    <n v="-89.242900000000006"/>
    <n v="2"/>
    <n v="0"/>
    <n v="0"/>
    <n v="107"/>
    <s v="_x0000_peopl"/>
  </r>
  <r>
    <x v="7"/>
    <n v="13.682399999999999"/>
    <n v="-89.242900000000006"/>
    <n v="8"/>
    <n v="0"/>
    <n v="0"/>
    <n v="107"/>
    <s v="_x0000_peopl"/>
  </r>
  <r>
    <x v="7"/>
    <n v="13.682399999999999"/>
    <n v="-89.242900000000006"/>
    <n v="5"/>
    <n v="0"/>
    <n v="0"/>
    <n v="107"/>
    <s v="_x0000_peopl"/>
  </r>
  <r>
    <x v="7"/>
    <n v="13.682499999999999"/>
    <n v="-89.243200000000002"/>
    <n v="3"/>
    <n v="0"/>
    <n v="0"/>
    <n v="107"/>
    <s v="_x0000_peopl"/>
  </r>
  <r>
    <x v="7"/>
    <n v="13.682499999999999"/>
    <n v="-89.243200000000002"/>
    <n v="9"/>
    <n v="0"/>
    <n v="0"/>
    <n v="107"/>
    <s v="_x0000_peopl"/>
  </r>
  <r>
    <x v="7"/>
    <n v="13.682499999999999"/>
    <n v="-89.243200000000002"/>
    <n v="6"/>
    <n v="0"/>
    <n v="0"/>
    <n v="107"/>
    <s v="_x0000_peopl"/>
  </r>
  <r>
    <x v="7"/>
    <n v="13.682499999999999"/>
    <n v="-89.243200000000002"/>
    <n v="5"/>
    <n v="0"/>
    <n v="0"/>
    <n v="107"/>
    <s v="_x0000_peopl"/>
  </r>
  <r>
    <x v="7"/>
    <n v="13.682499999999999"/>
    <n v="-89.243200000000002"/>
    <n v="1"/>
    <n v="0"/>
    <n v="0"/>
    <n v="107"/>
    <s v="_x0000_peopl"/>
  </r>
  <r>
    <x v="7"/>
    <n v="13.682600000000001"/>
    <n v="-89.242999999999995"/>
    <n v="3"/>
    <n v="0"/>
    <n v="0"/>
    <n v="107"/>
    <s v="_x0000_peopl"/>
  </r>
  <r>
    <x v="7"/>
    <n v="13.682600000000001"/>
    <n v="-89.242999999999995"/>
    <n v="6"/>
    <n v="0"/>
    <n v="0"/>
    <n v="107"/>
    <s v="_x0000_peopl"/>
  </r>
  <r>
    <x v="7"/>
    <n v="13.682600000000001"/>
    <n v="-89.242999999999995"/>
    <n v="5"/>
    <n v="0"/>
    <n v="0"/>
    <n v="107"/>
    <s v="_x0000_peopl"/>
  </r>
  <r>
    <x v="7"/>
    <n v="13.682600000000001"/>
    <n v="-89.242999999999995"/>
    <n v="2"/>
    <n v="0"/>
    <n v="0"/>
    <n v="107"/>
    <s v="_x0000_peopl"/>
  </r>
  <r>
    <x v="7"/>
    <n v="13.682600000000001"/>
    <n v="-89.242999999999995"/>
    <n v="3"/>
    <n v="0"/>
    <n v="0"/>
    <n v="107"/>
    <s v="_x0000_peopl"/>
  </r>
  <r>
    <x v="7"/>
    <n v="13.682"/>
    <n v="-89.243499999999997"/>
    <n v="2"/>
    <n v="0"/>
    <n v="0"/>
    <n v="107"/>
    <s v="_x0000_peopl"/>
  </r>
  <r>
    <x v="7"/>
    <n v="13.682"/>
    <n v="-89.243499999999997"/>
    <n v="8"/>
    <n v="0"/>
    <n v="0"/>
    <n v="107"/>
    <s v="_x0000_peopl"/>
  </r>
  <r>
    <x v="7"/>
    <n v="13.682"/>
    <n v="-89.243499999999997"/>
    <n v="4"/>
    <n v="0"/>
    <n v="0"/>
    <n v="107"/>
    <s v="_x0000_peopl"/>
  </r>
  <r>
    <x v="7"/>
    <n v="13.682"/>
    <n v="-89.243499999999997"/>
    <n v="5"/>
    <n v="0"/>
    <n v="0"/>
    <n v="107"/>
    <s v="_x0000_peopl"/>
  </r>
  <r>
    <x v="7"/>
    <n v="13.682"/>
    <n v="-89.243499999999997"/>
    <n v="4"/>
    <n v="0"/>
    <n v="0"/>
    <n v="107"/>
    <s v="_x0000_peopl"/>
  </r>
  <r>
    <x v="7"/>
    <n v="13.6821"/>
    <n v="-89.243700000000004"/>
    <n v="4"/>
    <n v="0"/>
    <n v="0"/>
    <n v="107"/>
    <s v="_x0000_peopl"/>
  </r>
  <r>
    <x v="7"/>
    <n v="13.6821"/>
    <n v="-89.243700000000004"/>
    <n v="5"/>
    <n v="0"/>
    <n v="0"/>
    <n v="107"/>
    <s v="_x0000_peopl"/>
  </r>
  <r>
    <x v="7"/>
    <n v="13.6821"/>
    <n v="-89.243700000000004"/>
    <n v="4"/>
    <n v="0"/>
    <n v="0"/>
    <n v="107"/>
    <s v="_x0000_peopl"/>
  </r>
  <r>
    <x v="7"/>
    <n v="13.6821"/>
    <n v="-89.243700000000004"/>
    <n v="4"/>
    <n v="0"/>
    <n v="0"/>
    <n v="107"/>
    <s v="_x0000_peopl"/>
  </r>
  <r>
    <x v="7"/>
    <n v="13.6821"/>
    <n v="-89.243700000000004"/>
    <n v="5"/>
    <n v="0"/>
    <n v="0"/>
    <n v="107"/>
    <s v="_x0000_peopl"/>
  </r>
  <r>
    <x v="7"/>
    <n v="13.6822"/>
    <n v="-89.243399999999994"/>
    <n v="1"/>
    <n v="0"/>
    <n v="0"/>
    <n v="107"/>
    <s v="_x0000_peopl"/>
  </r>
  <r>
    <x v="7"/>
    <n v="13.6822"/>
    <n v="-89.243399999999994"/>
    <n v="1"/>
    <n v="0"/>
    <n v="0"/>
    <n v="107"/>
    <s v="_x0000_peopl"/>
  </r>
  <r>
    <x v="7"/>
    <n v="13.6822"/>
    <n v="-89.243399999999994"/>
    <n v="7"/>
    <n v="0"/>
    <n v="0"/>
    <n v="107"/>
    <s v="_x0000_peopl"/>
  </r>
  <r>
    <x v="7"/>
    <n v="13.6822"/>
    <n v="-89.243399999999994"/>
    <n v="6"/>
    <n v="0"/>
    <n v="0"/>
    <n v="107"/>
    <s v="_x0000_peopl"/>
  </r>
  <r>
    <x v="7"/>
    <n v="13.6822"/>
    <n v="-89.243399999999994"/>
    <n v="2"/>
    <n v="0"/>
    <n v="0"/>
    <n v="107"/>
    <s v="_x0000_peopl"/>
  </r>
  <r>
    <x v="7"/>
    <n v="13.6823"/>
    <n v="-89.243600000000001"/>
    <n v="4"/>
    <n v="0"/>
    <n v="0"/>
    <n v="107"/>
    <s v="_x0000_peopl"/>
  </r>
  <r>
    <x v="7"/>
    <n v="13.6823"/>
    <n v="-89.243600000000001"/>
    <n v="4"/>
    <n v="0"/>
    <n v="0"/>
    <n v="107"/>
    <s v="_x0000_peopl"/>
  </r>
  <r>
    <x v="7"/>
    <n v="13.6823"/>
    <n v="-89.243600000000001"/>
    <n v="4"/>
    <n v="0"/>
    <n v="0"/>
    <n v="107"/>
    <s v="_x0000_peopl"/>
  </r>
  <r>
    <x v="7"/>
    <n v="13.6823"/>
    <n v="-89.243600000000001"/>
    <n v="5"/>
    <n v="0"/>
    <n v="0"/>
    <n v="107"/>
    <s v="_x0000_peopl"/>
  </r>
  <r>
    <x v="7"/>
    <n v="13.6823"/>
    <n v="-89.243600000000001"/>
    <n v="5"/>
    <n v="0"/>
    <n v="0"/>
    <n v="107"/>
    <s v="_x0000_peopl"/>
  </r>
  <r>
    <x v="7"/>
    <n v="13.682700000000001"/>
    <n v="-89.243700000000004"/>
    <n v="3"/>
    <n v="0"/>
    <n v="0"/>
    <n v="107"/>
    <s v="_x0000_peopl"/>
  </r>
  <r>
    <x v="7"/>
    <n v="13.682700000000001"/>
    <n v="-89.243700000000004"/>
    <n v="2"/>
    <n v="0"/>
    <n v="0"/>
    <n v="107"/>
    <s v="_x0000_peopl"/>
  </r>
  <r>
    <x v="7"/>
    <n v="13.682700000000001"/>
    <n v="-89.243700000000004"/>
    <n v="4"/>
    <n v="0"/>
    <n v="0"/>
    <n v="107"/>
    <s v="_x0000_peopl"/>
  </r>
  <r>
    <x v="7"/>
    <n v="13.682700000000001"/>
    <n v="-89.243700000000004"/>
    <n v="3"/>
    <n v="0"/>
    <n v="0"/>
    <n v="107"/>
    <s v="_x0000_peopl"/>
  </r>
  <r>
    <x v="7"/>
    <n v="13.682700000000001"/>
    <n v="-89.243700000000004"/>
    <n v="9"/>
    <n v="0"/>
    <n v="0"/>
    <n v="107"/>
    <s v="_x0000_peopl"/>
  </r>
  <r>
    <x v="7"/>
    <n v="13.683"/>
    <n v="-89.243799999999993"/>
    <n v="4"/>
    <n v="0"/>
    <n v="0"/>
    <n v="107"/>
    <s v="_x0000_peopl"/>
  </r>
  <r>
    <x v="7"/>
    <n v="13.683"/>
    <n v="-89.243799999999993"/>
    <n v="1"/>
    <n v="0"/>
    <n v="0"/>
    <n v="107"/>
    <s v="_x0000_peopl"/>
  </r>
  <r>
    <x v="7"/>
    <n v="13.683"/>
    <n v="-89.243799999999993"/>
    <n v="5"/>
    <n v="0"/>
    <n v="0"/>
    <n v="107"/>
    <s v="_x0000_peopl"/>
  </r>
  <r>
    <x v="7"/>
    <n v="13.683"/>
    <n v="-89.243799999999993"/>
    <n v="5"/>
    <n v="0"/>
    <n v="0"/>
    <n v="107"/>
    <s v="_x0000_peopl"/>
  </r>
  <r>
    <x v="7"/>
    <n v="13.683"/>
    <n v="-89.243799999999993"/>
    <n v="5"/>
    <n v="0"/>
    <n v="0"/>
    <n v="107"/>
    <s v="_x0000_peopl"/>
  </r>
  <r>
    <x v="7"/>
    <n v="13.683"/>
    <n v="-89.243600000000001"/>
    <n v="3"/>
    <n v="0"/>
    <n v="0"/>
    <n v="107"/>
    <s v="_x0000_peopl"/>
  </r>
  <r>
    <x v="7"/>
    <n v="13.683"/>
    <n v="-89.243600000000001"/>
    <n v="7"/>
    <n v="0"/>
    <n v="0"/>
    <n v="107"/>
    <s v="_x0000_peopl"/>
  </r>
  <r>
    <x v="7"/>
    <n v="13.683"/>
    <n v="-89.243600000000001"/>
    <n v="4"/>
    <n v="0"/>
    <n v="0"/>
    <n v="107"/>
    <s v="_x0000_peopl"/>
  </r>
  <r>
    <x v="7"/>
    <n v="13.683"/>
    <n v="-89.243600000000001"/>
    <n v="1"/>
    <n v="0"/>
    <n v="0"/>
    <n v="107"/>
    <s v="_x0000_peopl"/>
  </r>
  <r>
    <x v="7"/>
    <n v="13.683"/>
    <n v="-89.243600000000001"/>
    <n v="1"/>
    <n v="0"/>
    <n v="0"/>
    <n v="107"/>
    <s v="_x0000_peopl"/>
  </r>
  <r>
    <x v="7"/>
    <n v="13.6829"/>
    <n v="-89.243499999999997"/>
    <n v="9"/>
    <n v="0"/>
    <n v="0"/>
    <n v="107"/>
    <s v="_x0000_peopl"/>
  </r>
  <r>
    <x v="7"/>
    <n v="13.6829"/>
    <n v="-89.243499999999997"/>
    <n v="4"/>
    <n v="0"/>
    <n v="0"/>
    <n v="107"/>
    <s v="_x0000_peopl"/>
  </r>
  <r>
    <x v="7"/>
    <n v="13.6829"/>
    <n v="-89.243499999999997"/>
    <n v="4"/>
    <n v="0"/>
    <n v="0"/>
    <n v="107"/>
    <s v="_x0000_peopl"/>
  </r>
  <r>
    <x v="7"/>
    <n v="13.6829"/>
    <n v="-89.243499999999997"/>
    <n v="2"/>
    <n v="0"/>
    <n v="0"/>
    <n v="107"/>
    <s v="_x0000_peopl"/>
  </r>
  <r>
    <x v="7"/>
    <n v="13.6829"/>
    <n v="-89.243499999999997"/>
    <n v="6"/>
    <n v="0"/>
    <n v="0"/>
    <n v="107"/>
    <s v="_x0000_peopl"/>
  </r>
  <r>
    <x v="7"/>
    <n v="13.6861"/>
    <n v="-89.242099999999994"/>
    <n v="2"/>
    <n v="0"/>
    <n v="0"/>
    <n v="107"/>
    <s v="_x0000_peopl"/>
  </r>
  <r>
    <x v="7"/>
    <n v="13.675800000000001"/>
    <n v="-89.242099999999994"/>
    <n v="4"/>
    <n v="0"/>
    <n v="0"/>
    <n v="107"/>
    <s v="_x0000_peopl"/>
  </r>
  <r>
    <x v="7"/>
    <n v="13.675800000000001"/>
    <n v="-89.242000000000004"/>
    <n v="8"/>
    <n v="0"/>
    <n v="0"/>
    <n v="107"/>
    <s v="_x0000_peopl"/>
  </r>
  <r>
    <x v="7"/>
    <n v="13.675700000000001"/>
    <n v="-89.241900000000001"/>
    <n v="6"/>
    <n v="0"/>
    <n v="0"/>
    <n v="107"/>
    <s v="_x0000_peopl"/>
  </r>
  <r>
    <x v="7"/>
    <n v="13.675599999999999"/>
    <n v="-89.241900000000001"/>
    <n v="8"/>
    <n v="0"/>
    <n v="0"/>
    <n v="107"/>
    <s v="_x0000_peopl"/>
  </r>
  <r>
    <x v="7"/>
    <n v="13.675599999999999"/>
    <n v="-89.241699999999994"/>
    <n v="1"/>
    <n v="0"/>
    <n v="0"/>
    <n v="107"/>
    <s v="_x0000_peopl"/>
  </r>
  <r>
    <x v="7"/>
    <n v="13.6754"/>
    <n v="-89.241900000000001"/>
    <n v="3"/>
    <n v="0"/>
    <n v="0"/>
    <n v="107"/>
    <s v="_x0000_peopl"/>
  </r>
  <r>
    <x v="7"/>
    <n v="13.6752"/>
    <n v="-89.242000000000004"/>
    <n v="7"/>
    <n v="0"/>
    <n v="0"/>
    <n v="107"/>
    <s v="_x0000_peopl"/>
  </r>
  <r>
    <x v="7"/>
    <n v="13.675000000000001"/>
    <n v="-89.242099999999994"/>
    <n v="2"/>
    <n v="0"/>
    <n v="0"/>
    <n v="107"/>
    <s v="_x0000_peopl"/>
  </r>
  <r>
    <x v="7"/>
    <n v="13.675000000000001"/>
    <n v="-89.242099999999994"/>
    <n v="5"/>
    <n v="0"/>
    <n v="0"/>
    <n v="107"/>
    <s v="_x0000_peopl"/>
  </r>
  <r>
    <x v="7"/>
    <n v="13.674899999999999"/>
    <n v="-89.242099999999994"/>
    <n v="4"/>
    <n v="0"/>
    <n v="0"/>
    <n v="107"/>
    <s v="_x0000_peopl"/>
  </r>
  <r>
    <x v="7"/>
    <n v="13.674799999999999"/>
    <n v="-89.242199999999997"/>
    <n v="4"/>
    <n v="0"/>
    <n v="0"/>
    <n v="107"/>
    <s v="_x0000_peopl"/>
  </r>
  <r>
    <x v="7"/>
    <n v="13.674799999999999"/>
    <n v="-89.242199999999997"/>
    <n v="6"/>
    <n v="0"/>
    <n v="0"/>
    <n v="107"/>
    <s v="_x0000_peopl"/>
  </r>
  <r>
    <x v="7"/>
    <n v="13.675000000000001"/>
    <n v="-89.242599999999996"/>
    <n v="3"/>
    <n v="0"/>
    <n v="0"/>
    <n v="107"/>
    <s v="_x0000_peopl"/>
  </r>
  <r>
    <x v="7"/>
    <n v="13.674899999999999"/>
    <n v="-89.242699999999999"/>
    <n v="3"/>
    <n v="0"/>
    <n v="0"/>
    <n v="107"/>
    <s v="_x0000_peopl"/>
  </r>
  <r>
    <x v="7"/>
    <n v="13.674799999999999"/>
    <n v="-89.242800000000003"/>
    <n v="9"/>
    <n v="0"/>
    <n v="0"/>
    <n v="107"/>
    <s v="_x0000_peopl"/>
  </r>
  <r>
    <x v="7"/>
    <n v="13.6746"/>
    <n v="-89.242900000000006"/>
    <n v="5"/>
    <n v="0"/>
    <n v="0"/>
    <n v="107"/>
    <s v="_x0000_peopl"/>
  </r>
  <r>
    <x v="7"/>
    <n v="13.6738"/>
    <n v="-89.242400000000004"/>
    <n v="8"/>
    <n v="0"/>
    <n v="0"/>
    <n v="107"/>
    <s v="_x0000_peopl"/>
  </r>
  <r>
    <x v="7"/>
    <n v="13.6737"/>
    <n v="-89.242500000000007"/>
    <n v="3"/>
    <n v="0"/>
    <n v="0"/>
    <n v="107"/>
    <s v="_x0000_peopl"/>
  </r>
  <r>
    <x v="7"/>
    <n v="13.6736"/>
    <n v="-89.242500000000007"/>
    <n v="4"/>
    <n v="0"/>
    <n v="0"/>
    <n v="107"/>
    <s v="_x0000_peopl"/>
  </r>
  <r>
    <x v="7"/>
    <n v="13.673500000000001"/>
    <n v="-89.242599999999996"/>
    <n v="3"/>
    <n v="0"/>
    <n v="0"/>
    <n v="107"/>
    <s v="_x0000_peopl"/>
  </r>
  <r>
    <x v="7"/>
    <n v="13.6738"/>
    <n v="-89.241799999999998"/>
    <n v="6"/>
    <n v="0"/>
    <n v="0"/>
    <n v="107"/>
    <s v="_x0000_peopl"/>
  </r>
  <r>
    <x v="7"/>
    <n v="13.6731"/>
    <n v="-89.251999999999995"/>
    <n v="5"/>
    <n v="0"/>
    <n v="0"/>
    <n v="107"/>
    <s v="_x0000_peopl"/>
  </r>
  <r>
    <x v="7"/>
    <n v="13.6732"/>
    <n v="-89.251900000000006"/>
    <n v="3"/>
    <n v="0"/>
    <n v="0"/>
    <n v="107"/>
    <s v="_x0000_peopl"/>
  </r>
  <r>
    <x v="7"/>
    <n v="13.6732"/>
    <n v="-89.251900000000006"/>
    <n v="6"/>
    <n v="0"/>
    <n v="0"/>
    <n v="107"/>
    <s v="_x0000_peopl"/>
  </r>
  <r>
    <x v="7"/>
    <n v="13.6732"/>
    <n v="-89.251900000000006"/>
    <n v="2"/>
    <n v="0"/>
    <n v="0"/>
    <n v="107"/>
    <s v="_x0000_peopl"/>
  </r>
  <r>
    <x v="7"/>
    <n v="13.6732"/>
    <n v="-89.251900000000006"/>
    <n v="2"/>
    <n v="0"/>
    <n v="0"/>
    <n v="107"/>
    <s v="_x0000_peopl"/>
  </r>
  <r>
    <x v="7"/>
    <n v="13.679399999999999"/>
    <n v="-89.239800000000002"/>
    <n v="6"/>
    <n v="0"/>
    <n v="0"/>
    <n v="107"/>
    <s v="_x0000_peopl"/>
  </r>
  <r>
    <x v="7"/>
    <n v="13.679399999999999"/>
    <n v="-89.239699999999999"/>
    <n v="3"/>
    <n v="0"/>
    <n v="0"/>
    <n v="107"/>
    <s v="_x0000_peopl"/>
  </r>
  <r>
    <x v="7"/>
    <n v="13.679399999999999"/>
    <n v="-89.239699999999999"/>
    <n v="6"/>
    <n v="0"/>
    <n v="0"/>
    <n v="107"/>
    <s v="_x0000_peopl"/>
  </r>
  <r>
    <x v="7"/>
    <n v="13.6793"/>
    <n v="-89.239599999999996"/>
    <n v="5"/>
    <n v="0"/>
    <n v="0"/>
    <n v="107"/>
    <s v="_x0000_peopl"/>
  </r>
  <r>
    <x v="7"/>
    <n v="13.6793"/>
    <n v="-89.239599999999996"/>
    <n v="5"/>
    <n v="0"/>
    <n v="0"/>
    <n v="107"/>
    <s v="_x0000_peopl"/>
  </r>
  <r>
    <x v="7"/>
    <n v="13.679600000000001"/>
    <n v="-89.239699999999999"/>
    <n v="3"/>
    <n v="0"/>
    <n v="0"/>
    <n v="107"/>
    <s v="_x0000_peopl"/>
  </r>
  <r>
    <x v="7"/>
    <n v="13.679500000000001"/>
    <n v="-89.239599999999996"/>
    <n v="7"/>
    <n v="0"/>
    <n v="0"/>
    <n v="107"/>
    <s v="_x0000_peopl"/>
  </r>
  <r>
    <x v="7"/>
    <n v="13.679500000000001"/>
    <n v="-89.239599999999996"/>
    <n v="7"/>
    <n v="0"/>
    <n v="0"/>
    <n v="107"/>
    <s v="_x0000_peopl"/>
  </r>
  <r>
    <x v="7"/>
    <n v="13.679500000000001"/>
    <n v="-89.239500000000007"/>
    <n v="5"/>
    <n v="0"/>
    <n v="0"/>
    <n v="107"/>
    <s v="_x0000_peopl"/>
  </r>
  <r>
    <x v="7"/>
    <n v="13.679399999999999"/>
    <n v="-89.239500000000007"/>
    <n v="8"/>
    <n v="0"/>
    <n v="0"/>
    <n v="107"/>
    <s v="_x0000_peopl"/>
  </r>
  <r>
    <x v="7"/>
    <n v="13.6793"/>
    <n v="-89.239400000000003"/>
    <n v="7"/>
    <n v="0"/>
    <n v="0"/>
    <n v="107"/>
    <s v="_x0000_peopl"/>
  </r>
  <r>
    <x v="7"/>
    <n v="13.679399999999999"/>
    <n v="-89.239400000000003"/>
    <n v="4"/>
    <n v="0"/>
    <n v="0"/>
    <n v="107"/>
    <s v="_x0000_peopl"/>
  </r>
  <r>
    <x v="7"/>
    <n v="13.679399999999999"/>
    <n v="-89.239400000000003"/>
    <n v="8"/>
    <n v="0"/>
    <n v="0"/>
    <n v="107"/>
    <s v="_x0000_peopl"/>
  </r>
  <r>
    <x v="7"/>
    <n v="13.679399999999999"/>
    <n v="-89.239400000000003"/>
    <n v="2"/>
    <n v="0"/>
    <n v="0"/>
    <n v="107"/>
    <s v="_x0000_peopl"/>
  </r>
  <r>
    <x v="7"/>
    <n v="13.679399999999999"/>
    <n v="-89.2393"/>
    <n v="8"/>
    <n v="0"/>
    <n v="0"/>
    <n v="107"/>
    <s v="_x0000_peopl"/>
  </r>
  <r>
    <x v="7"/>
    <n v="13.679500000000001"/>
    <n v="-89.2393"/>
    <n v="7"/>
    <n v="0"/>
    <n v="0"/>
    <n v="107"/>
    <s v="_x0000_peopl"/>
  </r>
  <r>
    <x v="7"/>
    <n v="13.679500000000001"/>
    <n v="-89.2393"/>
    <n v="6"/>
    <n v="0"/>
    <n v="0"/>
    <n v="107"/>
    <s v="_x0000_peopl"/>
  </r>
  <r>
    <x v="7"/>
    <n v="13.679399999999999"/>
    <n v="-89.239199999999997"/>
    <n v="3"/>
    <n v="0"/>
    <n v="0"/>
    <n v="107"/>
    <s v="_x0000_peopl"/>
  </r>
  <r>
    <x v="7"/>
    <n v="13.679399999999999"/>
    <n v="-89.239199999999997"/>
    <n v="7"/>
    <n v="0"/>
    <n v="0"/>
    <n v="107"/>
    <s v="_x0000_peopl"/>
  </r>
  <r>
    <x v="7"/>
    <n v="13.679399999999999"/>
    <n v="-89.239199999999997"/>
    <n v="1"/>
    <n v="0"/>
    <n v="0"/>
    <n v="107"/>
    <s v="_x0000_peopl"/>
  </r>
  <r>
    <x v="7"/>
    <n v="13.6793"/>
    <n v="-89.239199999999997"/>
    <n v="5"/>
    <n v="0"/>
    <n v="0"/>
    <n v="107"/>
    <s v="_x0000_peopl"/>
  </r>
  <r>
    <x v="7"/>
    <n v="13.6793"/>
    <n v="-89.239199999999997"/>
    <n v="3"/>
    <n v="0"/>
    <n v="0"/>
    <n v="107"/>
    <s v="_x0000_peopl"/>
  </r>
  <r>
    <x v="7"/>
    <n v="13.6793"/>
    <n v="-89.2393"/>
    <n v="5"/>
    <n v="0"/>
    <n v="0"/>
    <n v="107"/>
    <s v="_x0000_peopl"/>
  </r>
  <r>
    <x v="7"/>
    <n v="13.6792"/>
    <n v="-89.2393"/>
    <n v="8"/>
    <n v="0"/>
    <n v="0"/>
    <n v="107"/>
    <s v="_x0000_peopl"/>
  </r>
  <r>
    <x v="7"/>
    <n v="13.6791"/>
    <n v="-89.239199999999997"/>
    <n v="4"/>
    <n v="0"/>
    <n v="0"/>
    <n v="107"/>
    <s v="_x0000_peopl"/>
  </r>
  <r>
    <x v="7"/>
    <n v="13.6791"/>
    <n v="-89.239199999999997"/>
    <n v="4"/>
    <n v="0"/>
    <n v="0"/>
    <n v="107"/>
    <s v="_x0000_peopl"/>
  </r>
  <r>
    <x v="7"/>
    <n v="13.6791"/>
    <n v="-89.239199999999997"/>
    <n v="2"/>
    <n v="0"/>
    <n v="0"/>
    <n v="107"/>
    <s v="_x0000_peopl"/>
  </r>
  <r>
    <x v="7"/>
    <n v="13.6791"/>
    <n v="-89.239199999999997"/>
    <n v="4"/>
    <n v="0"/>
    <n v="0"/>
    <n v="107"/>
    <s v="_x0000_peopl"/>
  </r>
  <r>
    <x v="7"/>
    <n v="13.6791"/>
    <n v="-89.239099999999993"/>
    <n v="5"/>
    <n v="0"/>
    <n v="0"/>
    <n v="107"/>
    <s v="_x0000_peopl"/>
  </r>
  <r>
    <x v="7"/>
    <n v="13.679"/>
    <n v="-89.239099999999993"/>
    <n v="8"/>
    <n v="0"/>
    <n v="0"/>
    <n v="107"/>
    <s v="_x0000_peopl"/>
  </r>
  <r>
    <x v="7"/>
    <n v="13.679"/>
    <n v="-89.239099999999993"/>
    <n v="2"/>
    <n v="0"/>
    <n v="0"/>
    <n v="107"/>
    <s v="_x0000_peopl"/>
  </r>
  <r>
    <x v="7"/>
    <n v="13.679"/>
    <n v="-89.239099999999993"/>
    <n v="4"/>
    <n v="0"/>
    <n v="0"/>
    <n v="107"/>
    <s v="_x0000_peopl"/>
  </r>
  <r>
    <x v="7"/>
    <n v="13.679"/>
    <n v="-89.2393"/>
    <n v="9"/>
    <n v="0"/>
    <n v="0"/>
    <n v="107"/>
    <s v="_x0000_peopl"/>
  </r>
  <r>
    <x v="7"/>
    <n v="13.679"/>
    <n v="-89.2393"/>
    <n v="5"/>
    <n v="0"/>
    <n v="0"/>
    <n v="107"/>
    <s v="_x0000_peopl"/>
  </r>
  <r>
    <x v="7"/>
    <n v="13.679"/>
    <n v="-89.2393"/>
    <n v="4"/>
    <n v="0"/>
    <n v="0"/>
    <n v="107"/>
    <s v="_x0000_peopl"/>
  </r>
  <r>
    <x v="7"/>
    <n v="13.678900000000001"/>
    <n v="-89.239199999999997"/>
    <n v="8"/>
    <n v="0"/>
    <n v="0"/>
    <n v="107"/>
    <s v="_x0000_peopl"/>
  </r>
  <r>
    <x v="7"/>
    <n v="13.678900000000001"/>
    <n v="-89.239199999999997"/>
    <n v="5"/>
    <n v="0"/>
    <n v="0"/>
    <n v="107"/>
    <s v="_x0000_peopl"/>
  </r>
  <r>
    <x v="7"/>
    <n v="13.678900000000001"/>
    <n v="-89.239199999999997"/>
    <n v="6"/>
    <n v="0"/>
    <n v="0"/>
    <n v="107"/>
    <s v="_x0000_peopl"/>
  </r>
  <r>
    <x v="7"/>
    <n v="13.678900000000001"/>
    <n v="-89.239099999999993"/>
    <n v="6"/>
    <n v="0"/>
    <n v="0"/>
    <n v="107"/>
    <s v="_x0000_peopl"/>
  </r>
  <r>
    <x v="7"/>
    <n v="13.678800000000001"/>
    <n v="-89.239500000000007"/>
    <n v="5"/>
    <n v="0"/>
    <n v="0"/>
    <n v="107"/>
    <s v="_x0000_peopl"/>
  </r>
  <r>
    <x v="7"/>
    <n v="13.678800000000001"/>
    <n v="-89.239400000000003"/>
    <n v="4"/>
    <n v="0"/>
    <n v="0"/>
    <n v="107"/>
    <s v="_x0000_peopl"/>
  </r>
  <r>
    <x v="7"/>
    <n v="13.678699999999999"/>
    <n v="-89.239400000000003"/>
    <n v="10"/>
    <n v="0"/>
    <n v="0"/>
    <n v="107"/>
    <s v="_x0000_peopl"/>
  </r>
  <r>
    <x v="7"/>
    <n v="13.678699999999999"/>
    <n v="-89.239400000000003"/>
    <n v="7"/>
    <n v="0"/>
    <n v="0"/>
    <n v="107"/>
    <s v="_x0000_peopl"/>
  </r>
  <r>
    <x v="7"/>
    <n v="13.678699999999999"/>
    <n v="-89.2393"/>
    <n v="4"/>
    <n v="0"/>
    <n v="0"/>
    <n v="107"/>
    <s v="_x0000_peopl"/>
  </r>
  <r>
    <x v="7"/>
    <n v="13.678699999999999"/>
    <n v="-89.2393"/>
    <n v="2"/>
    <n v="0"/>
    <n v="0"/>
    <n v="107"/>
    <s v="_x0000_peopl"/>
  </r>
  <r>
    <x v="7"/>
    <n v="13.678699999999999"/>
    <n v="-89.2393"/>
    <n v="3"/>
    <n v="0"/>
    <n v="0"/>
    <n v="107"/>
    <s v="_x0000_peopl"/>
  </r>
  <r>
    <x v="7"/>
    <n v="13.678699999999999"/>
    <n v="-89.2393"/>
    <n v="3"/>
    <n v="0"/>
    <n v="0"/>
    <n v="107"/>
    <s v="_x0000_peopl"/>
  </r>
  <r>
    <x v="7"/>
    <n v="13.678800000000001"/>
    <n v="-89.239800000000002"/>
    <n v="10"/>
    <n v="0"/>
    <n v="0"/>
    <n v="107"/>
    <s v="_x0000_peopl"/>
  </r>
  <r>
    <x v="7"/>
    <n v="13.678699999999999"/>
    <n v="-89.239800000000002"/>
    <n v="7"/>
    <n v="0"/>
    <n v="0"/>
    <n v="107"/>
    <s v="_x0000_peopl"/>
  </r>
  <r>
    <x v="7"/>
    <n v="13.678699999999999"/>
    <n v="-89.239900000000006"/>
    <n v="13"/>
    <n v="0"/>
    <n v="0"/>
    <n v="107"/>
    <s v="_x0000_peopl"/>
  </r>
  <r>
    <x v="7"/>
    <n v="13.678699999999999"/>
    <n v="-89.239900000000006"/>
    <n v="4"/>
    <n v="0"/>
    <n v="0"/>
    <n v="107"/>
    <s v="_x0000_peopl"/>
  </r>
  <r>
    <x v="7"/>
    <n v="13.678699999999999"/>
    <n v="-89.239900000000006"/>
    <n v="3"/>
    <n v="0"/>
    <n v="0"/>
    <n v="107"/>
    <s v="_x0000_peopl"/>
  </r>
  <r>
    <x v="7"/>
    <n v="13.678699999999999"/>
    <n v="-89.239699999999999"/>
    <n v="3"/>
    <n v="0"/>
    <n v="0"/>
    <n v="107"/>
    <s v="_x0000_peopl"/>
  </r>
  <r>
    <x v="7"/>
    <n v="13.678599999999999"/>
    <n v="-89.239699999999999"/>
    <n v="6"/>
    <n v="0"/>
    <n v="0"/>
    <n v="107"/>
    <s v="_x0000_peopl"/>
  </r>
  <r>
    <x v="7"/>
    <n v="13.678599999999999"/>
    <n v="-89.239500000000007"/>
    <n v="9"/>
    <n v="0"/>
    <n v="0"/>
    <n v="107"/>
    <s v="_x0000_peopl"/>
  </r>
  <r>
    <x v="7"/>
    <n v="13.678599999999999"/>
    <n v="-89.239500000000007"/>
    <n v="5"/>
    <n v="0"/>
    <n v="0"/>
    <n v="107"/>
    <s v="_x0000_peopl"/>
  </r>
  <r>
    <x v="7"/>
    <n v="13.6793"/>
    <n v="-89.241"/>
    <n v="7"/>
    <n v="0"/>
    <n v="0"/>
    <n v="107"/>
    <s v="_x0000_peopl"/>
  </r>
  <r>
    <x v="7"/>
    <n v="13.679500000000001"/>
    <n v="-89.241"/>
    <n v="1"/>
    <n v="0"/>
    <n v="0"/>
    <n v="107"/>
    <s v="_x0000_peopl"/>
  </r>
  <r>
    <x v="7"/>
    <n v="13.679500000000001"/>
    <n v="-89.241"/>
    <n v="4"/>
    <n v="0"/>
    <n v="0"/>
    <n v="107"/>
    <s v="_x0000_peopl"/>
  </r>
  <r>
    <x v="7"/>
    <n v="13.679600000000001"/>
    <n v="-89.241"/>
    <n v="2"/>
    <n v="0"/>
    <n v="0"/>
    <n v="107"/>
    <s v="_x0000_peopl"/>
  </r>
  <r>
    <x v="7"/>
    <n v="13.679500000000001"/>
    <n v="-89.240899999999996"/>
    <n v="3"/>
    <n v="0"/>
    <n v="0"/>
    <n v="107"/>
    <s v="_x0000_peopl"/>
  </r>
  <r>
    <x v="7"/>
    <n v="13.679500000000001"/>
    <n v="-89.240899999999996"/>
    <n v="6"/>
    <n v="0"/>
    <n v="0"/>
    <n v="107"/>
    <s v="_x0000_peopl"/>
  </r>
  <r>
    <x v="7"/>
    <n v="13.679500000000001"/>
    <n v="-89.240799999999993"/>
    <n v="3"/>
    <n v="0"/>
    <n v="0"/>
    <n v="107"/>
    <s v="_x0000_peopl"/>
  </r>
  <r>
    <x v="7"/>
    <n v="13.679500000000001"/>
    <n v="-89.240799999999993"/>
    <n v="4"/>
    <n v="0"/>
    <n v="0"/>
    <n v="107"/>
    <s v="_x0000_peopl"/>
  </r>
  <r>
    <x v="7"/>
    <n v="13.679399999999999"/>
    <n v="-89.240799999999993"/>
    <n v="7"/>
    <n v="0"/>
    <n v="0"/>
    <n v="107"/>
    <s v="_x0000_peopl"/>
  </r>
  <r>
    <x v="7"/>
    <n v="13.679399999999999"/>
    <n v="-89.240799999999993"/>
    <n v="5"/>
    <n v="0"/>
    <n v="0"/>
    <n v="107"/>
    <s v="_x0000_peopl"/>
  </r>
  <r>
    <x v="7"/>
    <n v="13.6793"/>
    <n v="-89.240799999999993"/>
    <n v="3"/>
    <n v="0"/>
    <n v="0"/>
    <n v="107"/>
    <s v="_x0000_peopl"/>
  </r>
  <r>
    <x v="7"/>
    <n v="13.679399999999999"/>
    <n v="-89.240700000000004"/>
    <n v="7"/>
    <n v="0"/>
    <n v="0"/>
    <n v="107"/>
    <s v="_x0000_peopl"/>
  </r>
  <r>
    <x v="7"/>
    <n v="13.6793"/>
    <n v="-89.240600000000001"/>
    <n v="5"/>
    <n v="0"/>
    <n v="0"/>
    <n v="107"/>
    <s v="_x0000_peopl"/>
  </r>
  <r>
    <x v="7"/>
    <n v="13.6793"/>
    <n v="-89.240600000000001"/>
    <n v="7"/>
    <n v="0"/>
    <n v="0"/>
    <n v="107"/>
    <s v="_x0000_peopl"/>
  </r>
  <r>
    <x v="7"/>
    <n v="13.6792"/>
    <n v="-89.240600000000001"/>
    <n v="11"/>
    <n v="0"/>
    <n v="0"/>
    <n v="107"/>
    <s v="_x0000_peopl"/>
  </r>
  <r>
    <x v="7"/>
    <n v="13.6792"/>
    <n v="-89.240600000000001"/>
    <n v="6"/>
    <n v="0"/>
    <n v="0"/>
    <n v="107"/>
    <s v="_x0000_peopl"/>
  </r>
  <r>
    <x v="7"/>
    <n v="13.6791"/>
    <n v="-89.240700000000004"/>
    <n v="5"/>
    <n v="0"/>
    <n v="0"/>
    <n v="107"/>
    <s v="_x0000_peopl"/>
  </r>
  <r>
    <x v="7"/>
    <n v="13.6791"/>
    <n v="-89.240799999999993"/>
    <n v="5"/>
    <n v="0"/>
    <n v="0"/>
    <n v="107"/>
    <s v="_x0000_peopl"/>
  </r>
  <r>
    <x v="7"/>
    <n v="13.6793"/>
    <n v="-89.240600000000001"/>
    <n v="7"/>
    <n v="0"/>
    <n v="0"/>
    <n v="107"/>
    <s v="_x0000_peopl"/>
  </r>
  <r>
    <x v="7"/>
    <n v="13.6792"/>
    <n v="-89.240499999999997"/>
    <n v="2"/>
    <n v="0"/>
    <n v="0"/>
    <n v="107"/>
    <s v="_x0000_peopl"/>
  </r>
  <r>
    <x v="7"/>
    <n v="13.6792"/>
    <n v="-89.240499999999997"/>
    <n v="4"/>
    <n v="0"/>
    <n v="0"/>
    <n v="107"/>
    <s v="_x0000_peopl"/>
  </r>
  <r>
    <x v="7"/>
    <n v="13.6791"/>
    <n v="-89.240499999999997"/>
    <n v="7"/>
    <n v="0"/>
    <n v="0"/>
    <n v="107"/>
    <s v="_x0000_peopl"/>
  </r>
  <r>
    <x v="7"/>
    <n v="13.6792"/>
    <n v="-89.240399999999994"/>
    <n v="2"/>
    <n v="0"/>
    <n v="0"/>
    <n v="107"/>
    <s v="_x0000_peopl"/>
  </r>
  <r>
    <x v="7"/>
    <n v="13.679399999999999"/>
    <n v="-89.240300000000005"/>
    <n v="2"/>
    <n v="0"/>
    <n v="0"/>
    <n v="107"/>
    <s v="_x0000_peopl"/>
  </r>
  <r>
    <x v="7"/>
    <n v="13.679399999999999"/>
    <n v="-89.240399999999994"/>
    <n v="4"/>
    <n v="0"/>
    <n v="0"/>
    <n v="107"/>
    <s v="_x0000_peopl"/>
  </r>
  <r>
    <x v="7"/>
    <n v="13.679399999999999"/>
    <n v="-89.240399999999994"/>
    <n v="3"/>
    <n v="0"/>
    <n v="0"/>
    <n v="107"/>
    <s v="_x0000_peopl"/>
  </r>
  <r>
    <x v="7"/>
    <n v="13.679500000000001"/>
    <n v="-89.240499999999997"/>
    <n v="7"/>
    <n v="0"/>
    <n v="0"/>
    <n v="107"/>
    <s v="_x0000_peopl"/>
  </r>
  <r>
    <x v="7"/>
    <n v="13.679500000000001"/>
    <n v="-89.240499999999997"/>
    <n v="5"/>
    <n v="0"/>
    <n v="0"/>
    <n v="107"/>
    <s v="_x0000_peopl"/>
  </r>
  <r>
    <x v="7"/>
    <n v="13.679600000000001"/>
    <n v="-89.240499999999997"/>
    <n v="8"/>
    <n v="0"/>
    <n v="0"/>
    <n v="107"/>
    <s v="_x0000_peopl"/>
  </r>
  <r>
    <x v="7"/>
    <n v="13.679600000000001"/>
    <n v="-89.240600000000001"/>
    <n v="6"/>
    <n v="0"/>
    <n v="0"/>
    <n v="107"/>
    <s v="_x0000_peopl"/>
  </r>
  <r>
    <x v="7"/>
    <n v="13.679600000000001"/>
    <n v="-89.240700000000004"/>
    <n v="2"/>
    <n v="0"/>
    <n v="0"/>
    <n v="107"/>
    <s v="_x0000_peopl"/>
  </r>
  <r>
    <x v="7"/>
    <n v="13.6797"/>
    <n v="-89.240700000000004"/>
    <n v="4"/>
    <n v="0"/>
    <n v="0"/>
    <n v="107"/>
    <s v="_x0000_peopl"/>
  </r>
  <r>
    <x v="7"/>
    <n v="13.6797"/>
    <n v="-89.240799999999993"/>
    <n v="4"/>
    <n v="0"/>
    <n v="0"/>
    <n v="107"/>
    <s v="_x0000_peopl"/>
  </r>
  <r>
    <x v="7"/>
    <n v="13.6797"/>
    <n v="-89.240799999999993"/>
    <n v="7"/>
    <n v="0"/>
    <n v="0"/>
    <n v="107"/>
    <s v="_x0000_peopl"/>
  </r>
  <r>
    <x v="7"/>
    <n v="13.6797"/>
    <n v="-89.240899999999996"/>
    <n v="3"/>
    <n v="0"/>
    <n v="0"/>
    <n v="107"/>
    <s v="_x0000_peopl"/>
  </r>
  <r>
    <x v="7"/>
    <n v="13.6798"/>
    <n v="-89.240899999999996"/>
    <n v="6"/>
    <n v="0"/>
    <n v="0"/>
    <n v="107"/>
    <s v="_x0000_peopl"/>
  </r>
  <r>
    <x v="7"/>
    <n v="13.6799"/>
    <n v="-89.240799999999993"/>
    <n v="4"/>
    <n v="0"/>
    <n v="0"/>
    <n v="107"/>
    <s v="_x0000_peopl"/>
  </r>
  <r>
    <x v="7"/>
    <n v="13.6798"/>
    <n v="-89.240799999999993"/>
    <n v="4"/>
    <n v="0"/>
    <n v="0"/>
    <n v="107"/>
    <s v="_x0000_peopl"/>
  </r>
  <r>
    <x v="7"/>
    <n v="13.6798"/>
    <n v="-89.240700000000004"/>
    <n v="7"/>
    <n v="0"/>
    <n v="0"/>
    <n v="107"/>
    <s v="_x0000_peopl"/>
  </r>
  <r>
    <x v="7"/>
    <n v="13.6798"/>
    <n v="-89.240700000000004"/>
    <n v="8"/>
    <n v="0"/>
    <n v="0"/>
    <n v="107"/>
    <s v="_x0000_peopl"/>
  </r>
  <r>
    <x v="7"/>
    <n v="13.6798"/>
    <n v="-89.240600000000001"/>
    <n v="5"/>
    <n v="0"/>
    <n v="0"/>
    <n v="107"/>
    <s v="_x0000_peopl"/>
  </r>
  <r>
    <x v="7"/>
    <n v="13.6797"/>
    <n v="-89.240600000000001"/>
    <n v="3"/>
    <n v="0"/>
    <n v="0"/>
    <n v="107"/>
    <s v="_x0000_peopl"/>
  </r>
  <r>
    <x v="7"/>
    <n v="13.6797"/>
    <n v="-89.240600000000001"/>
    <n v="8"/>
    <n v="0"/>
    <n v="0"/>
    <n v="107"/>
    <s v="_x0000_peopl"/>
  </r>
  <r>
    <x v="7"/>
    <n v="13.6799"/>
    <n v="-89.240399999999994"/>
    <n v="6"/>
    <n v="0"/>
    <n v="0"/>
    <n v="107"/>
    <s v="_x0000_peopl"/>
  </r>
  <r>
    <x v="7"/>
    <n v="13.6799"/>
    <n v="-89.240499999999997"/>
    <n v="4"/>
    <n v="0"/>
    <n v="0"/>
    <n v="107"/>
    <s v="_x0000_peopl"/>
  </r>
  <r>
    <x v="7"/>
    <n v="13.6799"/>
    <n v="-89.240499999999997"/>
    <n v="3"/>
    <n v="0"/>
    <n v="0"/>
    <n v="107"/>
    <s v="_x0000_peopl"/>
  </r>
  <r>
    <x v="7"/>
    <n v="13.68"/>
    <n v="-89.240600000000001"/>
    <n v="2"/>
    <n v="0"/>
    <n v="0"/>
    <n v="107"/>
    <s v="_x0000_peopl"/>
  </r>
  <r>
    <x v="7"/>
    <n v="13.68"/>
    <n v="-89.240600000000001"/>
    <n v="7"/>
    <n v="0"/>
    <n v="0"/>
    <n v="107"/>
    <s v="_x0000_peopl"/>
  </r>
  <r>
    <x v="7"/>
    <n v="13.68"/>
    <n v="-89.240700000000004"/>
    <n v="3"/>
    <n v="0"/>
    <n v="0"/>
    <n v="107"/>
    <s v="_x0000_peopl"/>
  </r>
  <r>
    <x v="7"/>
    <n v="13.680300000000001"/>
    <n v="-89.240300000000005"/>
    <n v="5"/>
    <n v="0"/>
    <n v="0"/>
    <n v="107"/>
    <s v="_x0000_peopl"/>
  </r>
  <r>
    <x v="7"/>
    <n v="13.680300000000001"/>
    <n v="-89.240300000000005"/>
    <n v="2"/>
    <n v="0"/>
    <n v="0"/>
    <n v="107"/>
    <s v="_x0000_peopl"/>
  </r>
  <r>
    <x v="7"/>
    <n v="13.680300000000001"/>
    <n v="-89.240300000000005"/>
    <n v="3"/>
    <n v="0"/>
    <n v="0"/>
    <n v="107"/>
    <s v="_x0000_peopl"/>
  </r>
  <r>
    <x v="7"/>
    <n v="13.680300000000001"/>
    <n v="-89.240300000000005"/>
    <n v="2"/>
    <n v="0"/>
    <n v="0"/>
    <n v="107"/>
    <s v="_x0000_peopl"/>
  </r>
  <r>
    <x v="7"/>
    <n v="13.680199999999999"/>
    <n v="-89.240300000000005"/>
    <n v="10"/>
    <n v="0"/>
    <n v="0"/>
    <n v="107"/>
    <s v="_x0000_peopl"/>
  </r>
  <r>
    <x v="7"/>
    <n v="13.680300000000001"/>
    <n v="-89.240200000000002"/>
    <n v="8"/>
    <n v="0"/>
    <n v="0"/>
    <n v="107"/>
    <s v="_x0000_peopl"/>
  </r>
  <r>
    <x v="7"/>
    <n v="13.680300000000001"/>
    <n v="-89.240099999999998"/>
    <n v="5"/>
    <n v="0"/>
    <n v="0"/>
    <n v="107"/>
    <s v="_x0000_peopl"/>
  </r>
  <r>
    <x v="7"/>
    <n v="13.680300000000001"/>
    <n v="-89.240099999999998"/>
    <n v="7"/>
    <n v="0"/>
    <n v="0"/>
    <n v="107"/>
    <s v="_x0000_peopl"/>
  </r>
  <r>
    <x v="7"/>
    <n v="13.680300000000001"/>
    <n v="-89.240200000000002"/>
    <n v="3"/>
    <n v="0"/>
    <n v="0"/>
    <n v="107"/>
    <s v="_x0000_peopl"/>
  </r>
  <r>
    <x v="7"/>
    <n v="13.680300000000001"/>
    <n v="-89.240200000000002"/>
    <n v="6"/>
    <n v="0"/>
    <n v="0"/>
    <n v="107"/>
    <s v="_x0000_peopl"/>
  </r>
  <r>
    <x v="7"/>
    <n v="13.680199999999999"/>
    <n v="-89.240099999999998"/>
    <n v="2"/>
    <n v="0"/>
    <n v="0"/>
    <n v="107"/>
    <s v="_x0000_peopl"/>
  </r>
  <r>
    <x v="7"/>
    <n v="13.680199999999999"/>
    <n v="-89.240099999999998"/>
    <n v="3"/>
    <n v="0"/>
    <n v="0"/>
    <n v="107"/>
    <s v="_x0000_peopl"/>
  </r>
  <r>
    <x v="7"/>
    <n v="13.680199999999999"/>
    <n v="-89.240099999999998"/>
    <n v="5"/>
    <n v="0"/>
    <n v="0"/>
    <n v="107"/>
    <s v="_x0000_peopl"/>
  </r>
  <r>
    <x v="7"/>
    <n v="13.680199999999999"/>
    <n v="-89.240099999999998"/>
    <n v="3"/>
    <n v="0"/>
    <n v="0"/>
    <n v="107"/>
    <s v="_x0000_peopl"/>
  </r>
  <r>
    <x v="7"/>
    <n v="13.680199999999999"/>
    <n v="-89.240099999999998"/>
    <n v="4"/>
    <n v="0"/>
    <n v="0"/>
    <n v="107"/>
    <s v="_x0000_peopl"/>
  </r>
  <r>
    <x v="7"/>
    <n v="13.680300000000001"/>
    <n v="-89.24"/>
    <n v="6"/>
    <n v="0"/>
    <n v="0"/>
    <n v="107"/>
    <s v="_x0000_peopl"/>
  </r>
  <r>
    <x v="7"/>
    <n v="13.680300000000001"/>
    <n v="-89.24"/>
    <n v="5"/>
    <n v="0"/>
    <n v="0"/>
    <n v="107"/>
    <s v="_x0000_peopl"/>
  </r>
  <r>
    <x v="7"/>
    <n v="13.680300000000001"/>
    <n v="-89.24"/>
    <n v="5"/>
    <n v="0"/>
    <n v="0"/>
    <n v="107"/>
    <s v="_x0000_peopl"/>
  </r>
  <r>
    <x v="7"/>
    <n v="13.680300000000001"/>
    <n v="-89.24"/>
    <n v="7"/>
    <n v="0"/>
    <n v="0"/>
    <n v="107"/>
    <s v="_x0000_peopl"/>
  </r>
  <r>
    <x v="7"/>
    <n v="13.680300000000001"/>
    <n v="-89.24"/>
    <n v="5"/>
    <n v="0"/>
    <n v="0"/>
    <n v="107"/>
    <s v="_x0000_peopl"/>
  </r>
  <r>
    <x v="7"/>
    <n v="13.680300000000001"/>
    <n v="-89.24"/>
    <n v="5"/>
    <n v="0"/>
    <n v="0"/>
    <n v="107"/>
    <s v="_x0000_peopl"/>
  </r>
  <r>
    <x v="7"/>
    <n v="13.680199999999999"/>
    <n v="-89.24"/>
    <n v="3"/>
    <n v="0"/>
    <n v="0"/>
    <n v="107"/>
    <s v="_x0000_peopl"/>
  </r>
  <r>
    <x v="7"/>
    <n v="13.680199999999999"/>
    <n v="-89.24"/>
    <n v="4"/>
    <n v="0"/>
    <n v="0"/>
    <n v="107"/>
    <s v="_x0000_peopl"/>
  </r>
  <r>
    <x v="7"/>
    <n v="13.680199999999999"/>
    <n v="-89.24"/>
    <n v="3"/>
    <n v="0"/>
    <n v="0"/>
    <n v="107"/>
    <s v="_x0000_peopl"/>
  </r>
  <r>
    <x v="7"/>
    <n v="13.680199999999999"/>
    <n v="-89.24"/>
    <n v="6"/>
    <n v="0"/>
    <n v="0"/>
    <n v="107"/>
    <s v="_x0000_peopl"/>
  </r>
  <r>
    <x v="7"/>
    <n v="13.680300000000001"/>
    <n v="-89.239800000000002"/>
    <n v="5"/>
    <n v="0"/>
    <n v="0"/>
    <n v="107"/>
    <s v="_x0000_peopl"/>
  </r>
  <r>
    <x v="7"/>
    <n v="13.680300000000001"/>
    <n v="-89.239800000000002"/>
    <n v="6"/>
    <n v="0"/>
    <n v="0"/>
    <n v="107"/>
    <s v="_x0000_peopl"/>
  </r>
  <r>
    <x v="7"/>
    <n v="13.680300000000001"/>
    <n v="-89.239800000000002"/>
    <n v="4"/>
    <n v="0"/>
    <n v="0"/>
    <n v="107"/>
    <s v="_x0000_peopl"/>
  </r>
  <r>
    <x v="7"/>
    <n v="13.680199999999999"/>
    <n v="-89.239800000000002"/>
    <n v="8"/>
    <n v="0"/>
    <n v="0"/>
    <n v="107"/>
    <s v="_x0000_peopl"/>
  </r>
  <r>
    <x v="7"/>
    <n v="13.680199999999999"/>
    <n v="-89.239800000000002"/>
    <n v="4"/>
    <n v="0"/>
    <n v="0"/>
    <n v="107"/>
    <s v="_x0000_peopl"/>
  </r>
  <r>
    <x v="7"/>
    <n v="13.680199999999999"/>
    <n v="-89.239800000000002"/>
    <n v="3"/>
    <n v="0"/>
    <n v="0"/>
    <n v="107"/>
    <s v="_x0000_peopl"/>
  </r>
  <r>
    <x v="7"/>
    <n v="13.680199999999999"/>
    <n v="-89.239800000000002"/>
    <n v="6"/>
    <n v="0"/>
    <n v="0"/>
    <n v="107"/>
    <s v="_x0000_peopl"/>
  </r>
  <r>
    <x v="7"/>
    <n v="13.680199999999999"/>
    <n v="-89.239800000000002"/>
    <n v="3"/>
    <n v="0"/>
    <n v="0"/>
    <n v="107"/>
    <s v="_x0000_peopl"/>
  </r>
  <r>
    <x v="7"/>
    <n v="13.680099999999999"/>
    <n v="-89.239800000000002"/>
    <n v="2"/>
    <n v="0"/>
    <n v="0"/>
    <n v="107"/>
    <s v="_x0000_peopl"/>
  </r>
  <r>
    <x v="7"/>
    <n v="13.680099999999999"/>
    <n v="-89.239800000000002"/>
    <n v="2"/>
    <n v="0"/>
    <n v="0"/>
    <n v="107"/>
    <s v="_x0000_peopl"/>
  </r>
  <r>
    <x v="7"/>
    <n v="13.680300000000001"/>
    <n v="-89.239599999999996"/>
    <n v="5"/>
    <n v="0"/>
    <n v="0"/>
    <n v="107"/>
    <s v="_x0000_peopl"/>
  </r>
  <r>
    <x v="7"/>
    <n v="13.680300000000001"/>
    <n v="-89.239699999999999"/>
    <n v="8"/>
    <n v="0"/>
    <n v="0"/>
    <n v="107"/>
    <s v="_x0000_peopl"/>
  </r>
  <r>
    <x v="7"/>
    <n v="13.680300000000001"/>
    <n v="-89.239699999999999"/>
    <n v="4"/>
    <n v="0"/>
    <n v="0"/>
    <n v="107"/>
    <s v="_x0000_peopl"/>
  </r>
  <r>
    <x v="7"/>
    <n v="13.680199999999999"/>
    <n v="-89.239699999999999"/>
    <n v="7"/>
    <n v="0"/>
    <n v="0"/>
    <n v="107"/>
    <s v="_x0000_peopl"/>
  </r>
  <r>
    <x v="7"/>
    <n v="13.680199999999999"/>
    <n v="-89.239699999999999"/>
    <n v="5"/>
    <n v="0"/>
    <n v="0"/>
    <n v="107"/>
    <s v="_x0000_peopl"/>
  </r>
  <r>
    <x v="7"/>
    <n v="13.680199999999999"/>
    <n v="-89.239699999999999"/>
    <n v="8"/>
    <n v="0"/>
    <n v="0"/>
    <n v="107"/>
    <s v="_x0000_peopl"/>
  </r>
  <r>
    <x v="7"/>
    <n v="13.680199999999999"/>
    <n v="-89.239699999999999"/>
    <n v="7"/>
    <n v="0"/>
    <n v="0"/>
    <n v="107"/>
    <s v="_x0000_peopl"/>
  </r>
  <r>
    <x v="7"/>
    <n v="13.680099999999999"/>
    <n v="-89.239699999999999"/>
    <n v="4"/>
    <n v="0"/>
    <n v="0"/>
    <n v="107"/>
    <s v="_x0000_peopl"/>
  </r>
  <r>
    <x v="7"/>
    <n v="13.680099999999999"/>
    <n v="-89.239699999999999"/>
    <n v="3"/>
    <n v="0"/>
    <n v="0"/>
    <n v="107"/>
    <s v="_x0000_peopl"/>
  </r>
  <r>
    <x v="7"/>
    <n v="13.680099999999999"/>
    <n v="-89.239599999999996"/>
    <n v="7"/>
    <n v="0"/>
    <n v="0"/>
    <n v="107"/>
    <s v="_x0000_peopl"/>
  </r>
  <r>
    <x v="7"/>
    <n v="13.6846"/>
    <n v="-89.236099999999993"/>
    <n v="6"/>
    <n v="0"/>
    <n v="0"/>
    <n v="107"/>
    <s v="_x0000_peopl"/>
  </r>
  <r>
    <x v="7"/>
    <n v="13.6846"/>
    <n v="-89.235900000000001"/>
    <n v="4"/>
    <n v="0"/>
    <n v="0"/>
    <n v="107"/>
    <s v="_x0000_peopl"/>
  </r>
  <r>
    <x v="7"/>
    <n v="13.684699999999999"/>
    <n v="-89.235799999999998"/>
    <n v="4"/>
    <n v="0"/>
    <n v="0"/>
    <n v="107"/>
    <s v="_x0000_peopl"/>
  </r>
  <r>
    <x v="7"/>
    <n v="13.684699999999999"/>
    <n v="-89.235699999999994"/>
    <n v="5"/>
    <n v="0"/>
    <n v="0"/>
    <n v="107"/>
    <s v="_x0000_peopl"/>
  </r>
  <r>
    <x v="7"/>
    <n v="13.684699999999999"/>
    <n v="-89.235699999999994"/>
    <n v="5"/>
    <n v="0"/>
    <n v="0"/>
    <n v="107"/>
    <s v="_x0000_peopl"/>
  </r>
  <r>
    <x v="7"/>
    <n v="13.684699999999999"/>
    <n v="-89.235600000000005"/>
    <n v="9"/>
    <n v="0"/>
    <n v="0"/>
    <n v="107"/>
    <s v="_x0000_peopl"/>
  </r>
  <r>
    <x v="7"/>
    <n v="13.6843"/>
    <n v="-89.235600000000005"/>
    <n v="2"/>
    <n v="0"/>
    <n v="0"/>
    <n v="107"/>
    <s v="_x0000_peopl"/>
  </r>
  <r>
    <x v="7"/>
    <n v="13.6843"/>
    <n v="-89.235699999999994"/>
    <n v="2"/>
    <n v="0"/>
    <n v="0"/>
    <n v="107"/>
    <s v="_x0000_peopl"/>
  </r>
  <r>
    <x v="7"/>
    <n v="13.6843"/>
    <n v="-89.235799999999998"/>
    <n v="5"/>
    <n v="0"/>
    <n v="0"/>
    <n v="107"/>
    <s v="_x0000_peopl"/>
  </r>
  <r>
    <x v="7"/>
    <n v="13.6843"/>
    <n v="-89.235900000000001"/>
    <n v="4"/>
    <n v="0"/>
    <n v="0"/>
    <n v="107"/>
    <s v="_x0000_peopl"/>
  </r>
  <r>
    <x v="7"/>
    <n v="13.6843"/>
    <n v="-89.236000000000004"/>
    <n v="9"/>
    <n v="0"/>
    <n v="0"/>
    <n v="107"/>
    <s v="_x0000_peopl"/>
  </r>
  <r>
    <x v="7"/>
    <n v="13.6843"/>
    <n v="-89.236000000000004"/>
    <n v="4"/>
    <n v="0"/>
    <n v="0"/>
    <n v="107"/>
    <s v="_x0000_peopl"/>
  </r>
  <r>
    <x v="7"/>
    <n v="13.6843"/>
    <n v="-89.236099999999993"/>
    <n v="4"/>
    <n v="0"/>
    <n v="0"/>
    <n v="107"/>
    <s v="_x0000_peopl"/>
  </r>
  <r>
    <x v="7"/>
    <n v="13.6843"/>
    <n v="-89.236199999999997"/>
    <n v="5"/>
    <n v="0"/>
    <n v="0"/>
    <n v="107"/>
    <s v="_x0000_peopl"/>
  </r>
  <r>
    <x v="7"/>
    <n v="13.684699999999999"/>
    <n v="-89.236500000000007"/>
    <n v="6"/>
    <n v="0"/>
    <n v="0"/>
    <n v="107"/>
    <s v="_x0000_peopl"/>
  </r>
  <r>
    <x v="7"/>
    <n v="13.684699999999999"/>
    <n v="-89.236500000000007"/>
    <n v="6"/>
    <n v="0"/>
    <n v="0"/>
    <n v="107"/>
    <s v="_x0000_peopl"/>
  </r>
  <r>
    <x v="7"/>
    <n v="13.684799999999999"/>
    <n v="-89.236500000000007"/>
    <n v="5"/>
    <n v="0"/>
    <n v="0"/>
    <n v="107"/>
    <s v="_x0000_peopl"/>
  </r>
  <r>
    <x v="7"/>
    <n v="13.684799999999999"/>
    <n v="-89.236400000000003"/>
    <n v="7"/>
    <n v="0"/>
    <n v="0"/>
    <n v="107"/>
    <s v="_x0000_peopl"/>
  </r>
  <r>
    <x v="7"/>
    <n v="13.684799999999999"/>
    <n v="-89.236400000000003"/>
    <n v="8"/>
    <n v="0"/>
    <n v="0"/>
    <n v="107"/>
    <s v="_x0000_peopl"/>
  </r>
  <r>
    <x v="7"/>
    <n v="13.684799999999999"/>
    <n v="-89.236500000000007"/>
    <n v="5"/>
    <n v="0"/>
    <n v="0"/>
    <n v="107"/>
    <s v="_x0000_peopl"/>
  </r>
  <r>
    <x v="7"/>
    <n v="13.684699999999999"/>
    <n v="-89.2363"/>
    <n v="5"/>
    <n v="0"/>
    <n v="0"/>
    <n v="107"/>
    <s v="_x0000_peopl"/>
  </r>
  <r>
    <x v="7"/>
    <n v="13.684799999999999"/>
    <n v="-89.2363"/>
    <n v="2"/>
    <n v="0"/>
    <n v="0"/>
    <n v="107"/>
    <s v="_x0000_peopl"/>
  </r>
  <r>
    <x v="7"/>
    <n v="13.684900000000001"/>
    <n v="-89.236199999999997"/>
    <n v="2"/>
    <n v="0"/>
    <n v="0"/>
    <n v="107"/>
    <s v="_x0000_peopl"/>
  </r>
  <r>
    <x v="7"/>
    <n v="13.684799999999999"/>
    <n v="-89.2363"/>
    <n v="4"/>
    <n v="0"/>
    <n v="0"/>
    <n v="107"/>
    <s v="_x0000_peopl"/>
  </r>
  <r>
    <x v="7"/>
    <n v="13.684900000000001"/>
    <n v="-89.236500000000007"/>
    <n v="2"/>
    <n v="0"/>
    <n v="0"/>
    <n v="107"/>
    <s v="_x0000_peopl"/>
  </r>
  <r>
    <x v="7"/>
    <n v="13.685"/>
    <n v="-89.236400000000003"/>
    <n v="2"/>
    <n v="0"/>
    <n v="0"/>
    <n v="107"/>
    <s v="_x0000_peopl"/>
  </r>
  <r>
    <x v="7"/>
    <n v="13.685"/>
    <n v="-89.236400000000003"/>
    <n v="6"/>
    <n v="0"/>
    <n v="0"/>
    <n v="107"/>
    <s v="_x0000_peopl"/>
  </r>
  <r>
    <x v="7"/>
    <n v="13.6851"/>
    <n v="-89.2363"/>
    <n v="5"/>
    <n v="0"/>
    <n v="0"/>
    <n v="107"/>
    <s v="_x0000_peopl"/>
  </r>
  <r>
    <x v="7"/>
    <n v="13.6851"/>
    <n v="-89.2363"/>
    <n v="5"/>
    <n v="0"/>
    <n v="0"/>
    <n v="107"/>
    <s v="_x0000_peopl"/>
  </r>
  <r>
    <x v="7"/>
    <n v="13.6852"/>
    <n v="-89.2363"/>
    <n v="6"/>
    <n v="0"/>
    <n v="0"/>
    <n v="107"/>
    <s v="_x0000_peopl"/>
  </r>
  <r>
    <x v="7"/>
    <n v="13.6852"/>
    <n v="-89.236199999999997"/>
    <n v="4"/>
    <n v="0"/>
    <n v="0"/>
    <n v="107"/>
    <s v="_x0000_peopl"/>
  </r>
  <r>
    <x v="7"/>
    <n v="13.6853"/>
    <n v="-89.236099999999993"/>
    <n v="4"/>
    <n v="0"/>
    <n v="0"/>
    <n v="107"/>
    <s v="_x0000_peopl"/>
  </r>
  <r>
    <x v="7"/>
    <n v="13.6853"/>
    <n v="-89.236099999999993"/>
    <n v="10"/>
    <n v="0"/>
    <n v="0"/>
    <n v="107"/>
    <s v="_x0000_peopl"/>
  </r>
  <r>
    <x v="7"/>
    <n v="13.6853"/>
    <n v="-89.236000000000004"/>
    <n v="5"/>
    <n v="0"/>
    <n v="0"/>
    <n v="107"/>
    <s v="_x0000_peopl"/>
  </r>
  <r>
    <x v="7"/>
    <n v="13.6854"/>
    <n v="-89.236000000000004"/>
    <n v="1"/>
    <n v="0"/>
    <n v="0"/>
    <n v="107"/>
    <s v="_x0000_peopl"/>
  </r>
  <r>
    <x v="7"/>
    <n v="13.6854"/>
    <n v="-89.235900000000001"/>
    <n v="3"/>
    <n v="0"/>
    <n v="0"/>
    <n v="107"/>
    <s v="_x0000_peopl"/>
  </r>
  <r>
    <x v="7"/>
    <n v="13.6854"/>
    <n v="-89.235799999999998"/>
    <n v="4"/>
    <n v="0"/>
    <n v="0"/>
    <n v="107"/>
    <s v="_x0000_peopl"/>
  </r>
  <r>
    <x v="7"/>
    <n v="13.6854"/>
    <n v="-89.235699999999994"/>
    <n v="4"/>
    <n v="0"/>
    <n v="0"/>
    <n v="107"/>
    <s v="_x0000_peopl"/>
  </r>
  <r>
    <x v="7"/>
    <n v="13.6854"/>
    <n v="-89.235699999999994"/>
    <n v="5"/>
    <n v="0"/>
    <n v="0"/>
    <n v="107"/>
    <s v="_x0000_peopl"/>
  </r>
  <r>
    <x v="7"/>
    <n v="13.6854"/>
    <n v="-89.235600000000005"/>
    <n v="7"/>
    <n v="0"/>
    <n v="0"/>
    <n v="107"/>
    <s v="_x0000_peopl"/>
  </r>
  <r>
    <x v="7"/>
    <n v="13.684900000000001"/>
    <n v="-89.236400000000003"/>
    <n v="2"/>
    <n v="0"/>
    <n v="0"/>
    <n v="107"/>
    <s v="_x0000_peopl"/>
  </r>
  <r>
    <x v="7"/>
    <n v="13.684900000000001"/>
    <n v="-89.2363"/>
    <n v="6"/>
    <n v="0"/>
    <n v="0"/>
    <n v="107"/>
    <s v="_x0000_peopl"/>
  </r>
  <r>
    <x v="7"/>
    <n v="13.685"/>
    <n v="-89.2363"/>
    <n v="6"/>
    <n v="0"/>
    <n v="0"/>
    <n v="107"/>
    <s v="_x0000_peopl"/>
  </r>
  <r>
    <x v="7"/>
    <n v="13.6851"/>
    <n v="-89.236199999999997"/>
    <n v="6"/>
    <n v="0"/>
    <n v="0"/>
    <n v="107"/>
    <s v="_x0000_peopl"/>
  </r>
  <r>
    <x v="7"/>
    <n v="13.6851"/>
    <n v="-89.236199999999997"/>
    <n v="4"/>
    <n v="0"/>
    <n v="0"/>
    <n v="107"/>
    <s v="_x0000_peopl"/>
  </r>
  <r>
    <x v="7"/>
    <n v="13.6851"/>
    <n v="-89.236099999999993"/>
    <n v="3"/>
    <n v="0"/>
    <n v="0"/>
    <n v="107"/>
    <s v="_x0000_peopl"/>
  </r>
  <r>
    <x v="7"/>
    <n v="13.6852"/>
    <n v="-89.236099999999993"/>
    <n v="4"/>
    <n v="0"/>
    <n v="0"/>
    <n v="107"/>
    <s v="_x0000_peopl"/>
  </r>
  <r>
    <x v="7"/>
    <n v="13.6852"/>
    <n v="-89.236099999999993"/>
    <n v="3"/>
    <n v="0"/>
    <n v="0"/>
    <n v="107"/>
    <s v="_x0000_peopl"/>
  </r>
  <r>
    <x v="7"/>
    <n v="13.6852"/>
    <n v="-89.236000000000004"/>
    <n v="4"/>
    <n v="0"/>
    <n v="0"/>
    <n v="107"/>
    <s v="_x0000_peopl"/>
  </r>
  <r>
    <x v="7"/>
    <n v="13.6852"/>
    <n v="-89.236000000000004"/>
    <n v="4"/>
    <n v="0"/>
    <n v="0"/>
    <n v="107"/>
    <s v="_x0000_peopl"/>
  </r>
  <r>
    <x v="7"/>
    <n v="13.6852"/>
    <n v="-89.235900000000001"/>
    <n v="3"/>
    <n v="0"/>
    <n v="0"/>
    <n v="107"/>
    <s v="_x0000_peopl"/>
  </r>
  <r>
    <x v="7"/>
    <n v="13.6853"/>
    <n v="-89.235900000000001"/>
    <n v="6"/>
    <n v="0"/>
    <n v="0"/>
    <n v="107"/>
    <s v="_x0000_peopl"/>
  </r>
  <r>
    <x v="7"/>
    <n v="13.6853"/>
    <n v="-89.235799999999998"/>
    <n v="8"/>
    <n v="0"/>
    <n v="0"/>
    <n v="107"/>
    <s v="_x0000_peopl"/>
  </r>
  <r>
    <x v="7"/>
    <n v="13.6853"/>
    <n v="-89.235799999999998"/>
    <n v="4"/>
    <n v="0"/>
    <n v="0"/>
    <n v="107"/>
    <s v="_x0000_peopl"/>
  </r>
  <r>
    <x v="7"/>
    <n v="13.6853"/>
    <n v="-89.235699999999994"/>
    <n v="3"/>
    <n v="0"/>
    <n v="0"/>
    <n v="107"/>
    <s v="_x0000_peopl"/>
  </r>
  <r>
    <x v="7"/>
    <n v="13.6853"/>
    <n v="-89.235600000000005"/>
    <n v="3"/>
    <n v="0"/>
    <n v="0"/>
    <n v="107"/>
    <s v="_x0000_peopl"/>
  </r>
  <r>
    <x v="7"/>
    <n v="13.6853"/>
    <n v="-89.235600000000005"/>
    <n v="3"/>
    <n v="0"/>
    <n v="0"/>
    <n v="107"/>
    <s v="_x0000_peopl"/>
  </r>
  <r>
    <x v="7"/>
    <n v="13.6854"/>
    <n v="-89.235500000000002"/>
    <n v="4"/>
    <n v="0"/>
    <n v="0"/>
    <n v="107"/>
    <s v="_x0000_peopl"/>
  </r>
  <r>
    <x v="7"/>
    <n v="13.684900000000001"/>
    <n v="-89.236099999999993"/>
    <n v="6"/>
    <n v="0"/>
    <n v="0"/>
    <n v="107"/>
    <s v="_x0000_peopl"/>
  </r>
  <r>
    <x v="7"/>
    <n v="13.684900000000001"/>
    <n v="-89.236000000000004"/>
    <n v="4"/>
    <n v="0"/>
    <n v="0"/>
    <n v="107"/>
    <s v="_x0000_peopl"/>
  </r>
  <r>
    <x v="7"/>
    <n v="13.685"/>
    <n v="-89.235900000000001"/>
    <n v="2"/>
    <n v="0"/>
    <n v="0"/>
    <n v="107"/>
    <s v="_x0000_peopl"/>
  </r>
  <r>
    <x v="7"/>
    <n v="13.685"/>
    <n v="-89.235799999999998"/>
    <n v="3"/>
    <n v="0"/>
    <n v="0"/>
    <n v="107"/>
    <s v="_x0000_peopl"/>
  </r>
  <r>
    <x v="7"/>
    <n v="13.6851"/>
    <n v="-89.235699999999994"/>
    <n v="3"/>
    <n v="0"/>
    <n v="0"/>
    <n v="107"/>
    <s v="_x0000_peopl"/>
  </r>
  <r>
    <x v="7"/>
    <n v="13.6851"/>
    <n v="-89.235600000000005"/>
    <n v="2"/>
    <n v="0"/>
    <n v="0"/>
    <n v="107"/>
    <s v="_x0000_peopl"/>
  </r>
  <r>
    <x v="7"/>
    <n v="13.6851"/>
    <n v="-89.235600000000005"/>
    <n v="5"/>
    <n v="0"/>
    <n v="0"/>
    <n v="107"/>
    <s v="_x0000_peopl"/>
  </r>
  <r>
    <x v="7"/>
    <n v="13.685499999999999"/>
    <n v="-89.235500000000002"/>
    <n v="4"/>
    <n v="0"/>
    <n v="0"/>
    <n v="107"/>
    <s v="_x0000_peopl"/>
  </r>
  <r>
    <x v="7"/>
    <n v="13.685499999999999"/>
    <n v="-89.235500000000002"/>
    <n v="1"/>
    <n v="0"/>
    <n v="0"/>
    <n v="107"/>
    <s v="_x0000_peopl"/>
  </r>
  <r>
    <x v="7"/>
    <n v="13.685499999999999"/>
    <n v="-89.235399999999998"/>
    <n v="3"/>
    <n v="0"/>
    <n v="0"/>
    <n v="107"/>
    <s v="_x0000_peopl"/>
  </r>
  <r>
    <x v="7"/>
    <n v="13.685600000000001"/>
    <n v="-89.235299999999995"/>
    <n v="6"/>
    <n v="0"/>
    <n v="0"/>
    <n v="107"/>
    <s v="_x0000_peopl"/>
  </r>
  <r>
    <x v="7"/>
    <n v="13.685499999999999"/>
    <n v="-89.235299999999995"/>
    <n v="4"/>
    <n v="0"/>
    <n v="0"/>
    <n v="107"/>
    <s v="_x0000_peopl"/>
  </r>
  <r>
    <x v="7"/>
    <n v="13.685499999999999"/>
    <n v="-89.235200000000006"/>
    <n v="4"/>
    <n v="0"/>
    <n v="0"/>
    <n v="107"/>
    <s v="_x0000_peopl"/>
  </r>
  <r>
    <x v="7"/>
    <n v="13.685600000000001"/>
    <n v="-89.235200000000006"/>
    <n v="3"/>
    <n v="0"/>
    <n v="0"/>
    <n v="107"/>
    <s v="_x0000_peopl"/>
  </r>
  <r>
    <x v="7"/>
    <n v="13.685600000000001"/>
    <n v="-89.235100000000003"/>
    <n v="8"/>
    <n v="0"/>
    <n v="0"/>
    <n v="107"/>
    <s v="_x0000_peopl"/>
  </r>
  <r>
    <x v="7"/>
    <n v="13.685600000000001"/>
    <n v="-89.234999999999999"/>
    <n v="1"/>
    <n v="0"/>
    <n v="0"/>
    <n v="107"/>
    <s v="_x0000_peopl"/>
  </r>
  <r>
    <x v="7"/>
    <n v="13.685600000000001"/>
    <n v="-89.234999999999999"/>
    <n v="3"/>
    <n v="0"/>
    <n v="0"/>
    <n v="107"/>
    <s v="_x0000_peopl"/>
  </r>
  <r>
    <x v="7"/>
    <n v="13.685700000000001"/>
    <n v="-89.234899999999996"/>
    <n v="6"/>
    <n v="0"/>
    <n v="0"/>
    <n v="107"/>
    <s v="_x0000_peopl"/>
  </r>
  <r>
    <x v="7"/>
    <n v="13.685700000000001"/>
    <n v="-89.234800000000007"/>
    <n v="3"/>
    <n v="0"/>
    <n v="0"/>
    <n v="107"/>
    <s v="_x0000_peopl"/>
  </r>
  <r>
    <x v="7"/>
    <n v="13.6858"/>
    <n v="-89.234700000000004"/>
    <n v="5"/>
    <n v="0"/>
    <n v="0"/>
    <n v="107"/>
    <s v="_x0000_peopl"/>
  </r>
  <r>
    <x v="7"/>
    <n v="13.6858"/>
    <n v="-89.234700000000004"/>
    <n v="3"/>
    <n v="0"/>
    <n v="0"/>
    <n v="107"/>
    <s v="_x0000_peopl"/>
  </r>
  <r>
    <x v="7"/>
    <n v="13.6858"/>
    <n v="-89.2346"/>
    <n v="6"/>
    <n v="0"/>
    <n v="0"/>
    <n v="107"/>
    <s v="_x0000_peopl"/>
  </r>
  <r>
    <x v="7"/>
    <n v="13.6858"/>
    <n v="-89.234499999999997"/>
    <n v="3"/>
    <n v="0"/>
    <n v="0"/>
    <n v="107"/>
    <s v="_x0000_peopl"/>
  </r>
  <r>
    <x v="7"/>
    <n v="13.6858"/>
    <n v="-89.234499999999997"/>
    <n v="5"/>
    <n v="0"/>
    <n v="0"/>
    <n v="107"/>
    <s v="_x0000_peopl"/>
  </r>
  <r>
    <x v="7"/>
    <n v="13.685600000000001"/>
    <n v="-89.234499999999997"/>
    <n v="3"/>
    <n v="0"/>
    <n v="0"/>
    <n v="107"/>
    <s v="_x0000_peopl"/>
  </r>
  <r>
    <x v="7"/>
    <n v="13.6854"/>
    <n v="-89.235500000000002"/>
    <n v="4"/>
    <n v="0"/>
    <n v="0"/>
    <n v="107"/>
    <s v="_x0000_peopl"/>
  </r>
  <r>
    <x v="7"/>
    <n v="13.6854"/>
    <n v="-89.235399999999998"/>
    <n v="6"/>
    <n v="0"/>
    <n v="0"/>
    <n v="107"/>
    <s v="_x0000_peopl"/>
  </r>
  <r>
    <x v="7"/>
    <n v="13.6853"/>
    <n v="-89.235399999999998"/>
    <n v="3"/>
    <n v="0"/>
    <n v="0"/>
    <n v="107"/>
    <s v="_x0000_peopl"/>
  </r>
  <r>
    <x v="7"/>
    <n v="13.6852"/>
    <n v="-89.235399999999998"/>
    <n v="4"/>
    <n v="0"/>
    <n v="0"/>
    <n v="107"/>
    <s v="_x0000_peopl"/>
  </r>
  <r>
    <x v="7"/>
    <n v="13.6851"/>
    <n v="-89.235500000000002"/>
    <n v="3"/>
    <n v="0"/>
    <n v="0"/>
    <n v="107"/>
    <s v="_x0000_peopl"/>
  </r>
  <r>
    <x v="7"/>
    <n v="13.6854"/>
    <n v="-89.235399999999998"/>
    <n v="8"/>
    <n v="0"/>
    <n v="0"/>
    <n v="107"/>
    <s v="_x0000_peopl"/>
  </r>
  <r>
    <x v="7"/>
    <n v="13.6854"/>
    <n v="-89.235299999999995"/>
    <n v="1"/>
    <n v="0"/>
    <n v="0"/>
    <n v="107"/>
    <s v="_x0000_peopl"/>
  </r>
  <r>
    <x v="7"/>
    <n v="13.6854"/>
    <n v="-89.235299999999995"/>
    <n v="2"/>
    <n v="0"/>
    <n v="0"/>
    <n v="107"/>
    <s v="_x0000_peopl"/>
  </r>
  <r>
    <x v="7"/>
    <n v="13.6854"/>
    <n v="-89.235200000000006"/>
    <n v="7"/>
    <n v="0"/>
    <n v="0"/>
    <n v="107"/>
    <s v="_x0000_peopl"/>
  </r>
  <r>
    <x v="7"/>
    <n v="13.6854"/>
    <n v="-89.235200000000006"/>
    <n v="9"/>
    <n v="0"/>
    <n v="0"/>
    <n v="107"/>
    <s v="_x0000_peopl"/>
  </r>
  <r>
    <x v="7"/>
    <n v="13.685499999999999"/>
    <n v="-89.235100000000003"/>
    <n v="4"/>
    <n v="0"/>
    <n v="0"/>
    <n v="107"/>
    <s v="_x0000_peopl"/>
  </r>
  <r>
    <x v="7"/>
    <n v="13.685499999999999"/>
    <n v="-89.235100000000003"/>
    <n v="0"/>
    <n v="0"/>
    <n v="0"/>
    <n v="107"/>
    <s v="_x0000_peopl"/>
  </r>
  <r>
    <x v="7"/>
    <n v="13.6854"/>
    <n v="-89.235100000000003"/>
    <n v="6"/>
    <n v="0"/>
    <n v="0"/>
    <n v="107"/>
    <s v="_x0000_peopl"/>
  </r>
  <r>
    <x v="7"/>
    <n v="13.6854"/>
    <n v="-89.235100000000003"/>
    <n v="7"/>
    <n v="0"/>
    <n v="0"/>
    <n v="107"/>
    <s v="_x0000_peopl"/>
  </r>
  <r>
    <x v="7"/>
    <n v="13.6853"/>
    <n v="-89.235100000000003"/>
    <n v="4"/>
    <n v="0"/>
    <n v="0"/>
    <n v="107"/>
    <s v="_x0000_peopl"/>
  </r>
  <r>
    <x v="7"/>
    <n v="13.6852"/>
    <n v="-89.235100000000003"/>
    <n v="6"/>
    <n v="0"/>
    <n v="0"/>
    <n v="107"/>
    <s v="_x0000_peopl"/>
  </r>
  <r>
    <x v="7"/>
    <n v="13.685499999999999"/>
    <n v="-89.234999999999999"/>
    <n v="2"/>
    <n v="0"/>
    <n v="0"/>
    <n v="107"/>
    <s v="_x0000_peopl"/>
  </r>
  <r>
    <x v="7"/>
    <n v="13.685499999999999"/>
    <n v="-89.234899999999996"/>
    <n v="4"/>
    <n v="0"/>
    <n v="0"/>
    <n v="107"/>
    <s v="_x0000_peopl"/>
  </r>
  <r>
    <x v="7"/>
    <n v="13.685499999999999"/>
    <n v="-89.234899999999996"/>
    <n v="8"/>
    <n v="0"/>
    <n v="0"/>
    <n v="107"/>
    <s v="_x0000_peopl"/>
  </r>
  <r>
    <x v="7"/>
    <n v="13.685499999999999"/>
    <n v="-89.234899999999996"/>
    <n v="2"/>
    <n v="0"/>
    <n v="0"/>
    <n v="107"/>
    <s v="_x0000_peopl"/>
  </r>
  <r>
    <x v="7"/>
    <n v="13.685499999999999"/>
    <n v="-89.234800000000007"/>
    <n v="3"/>
    <n v="0"/>
    <n v="0"/>
    <n v="107"/>
    <s v="_x0000_peopl"/>
  </r>
  <r>
    <x v="7"/>
    <n v="13.685600000000001"/>
    <n v="-89.234800000000007"/>
    <n v="5"/>
    <n v="0"/>
    <n v="0"/>
    <n v="107"/>
    <s v="_x0000_peopl"/>
  </r>
  <r>
    <x v="7"/>
    <n v="13.685600000000001"/>
    <n v="-89.234700000000004"/>
    <n v="5"/>
    <n v="0"/>
    <n v="0"/>
    <n v="107"/>
    <s v="_x0000_peopl"/>
  </r>
  <r>
    <x v="7"/>
    <n v="13.685600000000001"/>
    <n v="-89.234700000000004"/>
    <n v="7"/>
    <n v="0"/>
    <n v="0"/>
    <n v="107"/>
    <s v="_x0000_peopl"/>
  </r>
  <r>
    <x v="7"/>
    <n v="13.6854"/>
    <n v="-89.234700000000004"/>
    <n v="6"/>
    <n v="0"/>
    <n v="0"/>
    <n v="107"/>
    <s v="_x0000_peopl"/>
  </r>
  <r>
    <x v="7"/>
    <n v="13.6854"/>
    <n v="-89.234700000000004"/>
    <n v="5"/>
    <n v="0"/>
    <n v="0"/>
    <n v="107"/>
    <s v="_x0000_peopl"/>
  </r>
  <r>
    <x v="7"/>
    <n v="13.6853"/>
    <n v="-89.234700000000004"/>
    <n v="6"/>
    <n v="0"/>
    <n v="0"/>
    <n v="107"/>
    <s v="_x0000_peopl"/>
  </r>
  <r>
    <x v="7"/>
    <n v="13.6852"/>
    <n v="-89.2346"/>
    <n v="4"/>
    <n v="0"/>
    <n v="0"/>
    <n v="107"/>
    <s v="_x0000_peopl"/>
  </r>
  <r>
    <x v="7"/>
    <n v="13.685600000000001"/>
    <n v="-89.2346"/>
    <n v="8"/>
    <n v="0"/>
    <n v="0"/>
    <n v="107"/>
    <s v="_x0000_peopl"/>
  </r>
  <r>
    <x v="7"/>
    <n v="13.685600000000001"/>
    <n v="-89.2346"/>
    <n v="5"/>
    <n v="0"/>
    <n v="0"/>
    <n v="107"/>
    <s v="_x0000_peopl"/>
  </r>
  <r>
    <x v="7"/>
    <n v="13.685600000000001"/>
    <n v="-89.2346"/>
    <n v="2"/>
    <n v="0"/>
    <n v="0"/>
    <n v="107"/>
    <s v="_x0000_peopl"/>
  </r>
  <r>
    <x v="7"/>
    <n v="13.6858"/>
    <n v="-89.234399999999994"/>
    <n v="1"/>
    <n v="0"/>
    <n v="0"/>
    <n v="107"/>
    <s v="_x0000_peopl"/>
  </r>
  <r>
    <x v="7"/>
    <n v="13.6858"/>
    <n v="-89.234399999999994"/>
    <n v="5"/>
    <n v="0"/>
    <n v="0"/>
    <n v="107"/>
    <s v="_x0000_peopl"/>
  </r>
  <r>
    <x v="7"/>
    <n v="13.6858"/>
    <n v="-89.234300000000005"/>
    <n v="3"/>
    <n v="0"/>
    <n v="0"/>
    <n v="107"/>
    <s v="_x0000_peopl"/>
  </r>
  <r>
    <x v="7"/>
    <n v="13.6858"/>
    <n v="-89.234300000000005"/>
    <n v="5"/>
    <n v="0"/>
    <n v="0"/>
    <n v="107"/>
    <s v="_x0000_peopl"/>
  </r>
  <r>
    <x v="7"/>
    <n v="13.6858"/>
    <n v="-89.234200000000001"/>
    <n v="4"/>
    <n v="0"/>
    <n v="0"/>
    <n v="107"/>
    <s v="_x0000_peopl"/>
  </r>
  <r>
    <x v="7"/>
    <n v="13.6859"/>
    <n v="-89.234200000000001"/>
    <n v="7"/>
    <n v="0"/>
    <n v="0"/>
    <n v="107"/>
    <s v="_x0000_peopl"/>
  </r>
  <r>
    <x v="7"/>
    <n v="13.6859"/>
    <n v="-89.234099999999998"/>
    <n v="3"/>
    <n v="0"/>
    <n v="0"/>
    <n v="107"/>
    <s v="_x0000_peopl"/>
  </r>
  <r>
    <x v="7"/>
    <n v="13.6859"/>
    <n v="-89.234099999999998"/>
    <n v="3"/>
    <n v="0"/>
    <n v="0"/>
    <n v="107"/>
    <s v="_x0000_peopl"/>
  </r>
  <r>
    <x v="7"/>
    <n v="13.6859"/>
    <n v="-89.233999999999995"/>
    <n v="5"/>
    <n v="0"/>
    <n v="0"/>
    <n v="107"/>
    <s v="_x0000_peopl"/>
  </r>
  <r>
    <x v="7"/>
    <n v="13.6859"/>
    <n v="-89.233999999999995"/>
    <n v="3"/>
    <n v="0"/>
    <n v="0"/>
    <n v="107"/>
    <s v="_x0000_peopl"/>
  </r>
  <r>
    <x v="7"/>
    <n v="13.6859"/>
    <n v="-89.233900000000006"/>
    <n v="1"/>
    <n v="0"/>
    <n v="0"/>
    <n v="107"/>
    <s v="_x0000_peopl"/>
  </r>
  <r>
    <x v="7"/>
    <n v="13.6859"/>
    <n v="-89.233800000000002"/>
    <n v="5"/>
    <n v="0"/>
    <n v="0"/>
    <n v="107"/>
    <s v="_x0000_peopl"/>
  </r>
  <r>
    <x v="7"/>
    <n v="13.686"/>
    <n v="-89.233800000000002"/>
    <n v="5"/>
    <n v="0"/>
    <n v="0"/>
    <n v="107"/>
    <s v="_x0000_peopl"/>
  </r>
  <r>
    <x v="7"/>
    <n v="13.686"/>
    <n v="-89.233699999999999"/>
    <n v="2"/>
    <n v="0"/>
    <n v="0"/>
    <n v="107"/>
    <s v="_x0000_peopl"/>
  </r>
  <r>
    <x v="7"/>
    <n v="13.685600000000001"/>
    <n v="-89.234499999999997"/>
    <n v="5"/>
    <n v="0"/>
    <n v="0"/>
    <n v="107"/>
    <s v="_x0000_peopl"/>
  </r>
  <r>
    <x v="7"/>
    <n v="13.685700000000001"/>
    <n v="-89.234399999999994"/>
    <n v="4"/>
    <n v="0"/>
    <n v="0"/>
    <n v="107"/>
    <s v="_x0000_peopl"/>
  </r>
  <r>
    <x v="7"/>
    <n v="13.685700000000001"/>
    <n v="-89.234399999999994"/>
    <n v="1"/>
    <n v="0"/>
    <n v="0"/>
    <n v="107"/>
    <s v="_x0000_peopl"/>
  </r>
  <r>
    <x v="7"/>
    <n v="13.685700000000001"/>
    <n v="-89.234300000000005"/>
    <n v="1"/>
    <n v="0"/>
    <n v="0"/>
    <n v="107"/>
    <s v="_x0000_peopl"/>
  </r>
  <r>
    <x v="7"/>
    <n v="13.685700000000001"/>
    <n v="-89.234300000000005"/>
    <n v="6"/>
    <n v="0"/>
    <n v="0"/>
    <n v="107"/>
    <s v="_x0000_peopl"/>
  </r>
  <r>
    <x v="7"/>
    <n v="13.675599999999999"/>
    <n v="-89.243700000000004"/>
    <n v="6"/>
    <n v="0"/>
    <n v="0"/>
    <n v="107"/>
    <s v="_x0000_peopl"/>
  </r>
  <r>
    <x v="7"/>
    <n v="13.6753"/>
    <n v="-89.244"/>
    <n v="5"/>
    <n v="0"/>
    <n v="0"/>
    <n v="107"/>
    <s v="_x0000_peopl"/>
  </r>
  <r>
    <x v="7"/>
    <n v="13.6753"/>
    <n v="-89.243899999999996"/>
    <n v="8"/>
    <n v="0"/>
    <n v="0"/>
    <n v="107"/>
    <s v="_x0000_peopl"/>
  </r>
  <r>
    <x v="7"/>
    <n v="13.6752"/>
    <n v="-89.243799999999993"/>
    <n v="8"/>
    <n v="0"/>
    <n v="0"/>
    <n v="107"/>
    <s v="_x0000_peopl"/>
  </r>
  <r>
    <x v="7"/>
    <n v="13.6752"/>
    <n v="-89.243799999999993"/>
    <n v="3"/>
    <n v="0"/>
    <n v="0"/>
    <n v="107"/>
    <s v="_x0000_peopl"/>
  </r>
  <r>
    <x v="7"/>
    <n v="13.6751"/>
    <n v="-89.243700000000004"/>
    <n v="3"/>
    <n v="0"/>
    <n v="0"/>
    <n v="107"/>
    <s v="_x0000_peopl"/>
  </r>
  <r>
    <x v="7"/>
    <n v="13.6751"/>
    <n v="-89.243600000000001"/>
    <n v="1"/>
    <n v="0"/>
    <n v="0"/>
    <n v="107"/>
    <s v="_x0000_peopl"/>
  </r>
  <r>
    <x v="7"/>
    <n v="13.675000000000001"/>
    <n v="-89.243499999999997"/>
    <n v="5"/>
    <n v="0"/>
    <n v="0"/>
    <n v="107"/>
    <s v="_x0000_peopl"/>
  </r>
  <r>
    <x v="7"/>
    <n v="13.675000000000001"/>
    <n v="-89.243399999999994"/>
    <n v="5"/>
    <n v="0"/>
    <n v="0"/>
    <n v="107"/>
    <s v="_x0000_peopl"/>
  </r>
  <r>
    <x v="7"/>
    <n v="13.674899999999999"/>
    <n v="-89.243399999999994"/>
    <n v="4"/>
    <n v="0"/>
    <n v="0"/>
    <n v="107"/>
    <s v="_x0000_peopl"/>
  </r>
  <r>
    <x v="7"/>
    <n v="13.674899999999999"/>
    <n v="-89.243300000000005"/>
    <n v="5"/>
    <n v="0"/>
    <n v="0"/>
    <n v="107"/>
    <s v="_x0000_peopl"/>
  </r>
  <r>
    <x v="7"/>
    <n v="13.6754"/>
    <n v="-89.243600000000001"/>
    <n v="6"/>
    <n v="0"/>
    <n v="0"/>
    <n v="107"/>
    <s v="_x0000_peopl"/>
  </r>
  <r>
    <x v="7"/>
    <n v="13.6753"/>
    <n v="-89.243399999999994"/>
    <n v="8"/>
    <n v="0"/>
    <n v="0"/>
    <n v="107"/>
    <s v="_x0000_peopl"/>
  </r>
  <r>
    <x v="7"/>
    <n v="13.6753"/>
    <n v="-89.243300000000005"/>
    <n v="6"/>
    <n v="0"/>
    <n v="0"/>
    <n v="107"/>
    <s v="_x0000_peopl"/>
  </r>
  <r>
    <x v="7"/>
    <n v="13.6752"/>
    <n v="-89.243300000000005"/>
    <n v="3"/>
    <n v="0"/>
    <n v="0"/>
    <n v="107"/>
    <s v="_x0000_peopl"/>
  </r>
  <r>
    <x v="7"/>
    <n v="13.6752"/>
    <n v="-89.243200000000002"/>
    <n v="9"/>
    <n v="0"/>
    <n v="0"/>
    <n v="107"/>
    <s v="_x0000_peopl"/>
  </r>
  <r>
    <x v="7"/>
    <n v="13.6752"/>
    <n v="-89.243099999999998"/>
    <n v="3"/>
    <n v="0"/>
    <n v="0"/>
    <n v="107"/>
    <s v="_x0000_peopl"/>
  </r>
  <r>
    <x v="7"/>
    <n v="13.675800000000001"/>
    <n v="-89.243399999999994"/>
    <n v="4"/>
    <n v="0"/>
    <n v="0"/>
    <n v="107"/>
    <s v="_x0000_peopl"/>
  </r>
  <r>
    <x v="7"/>
    <n v="13.675700000000001"/>
    <n v="-89.243300000000005"/>
    <n v="4"/>
    <n v="0"/>
    <n v="0"/>
    <n v="107"/>
    <s v="_x0000_peopl"/>
  </r>
  <r>
    <x v="7"/>
    <n v="13.675700000000001"/>
    <n v="-89.243200000000002"/>
    <n v="4"/>
    <n v="0"/>
    <n v="0"/>
    <n v="107"/>
    <s v="_x0000_peopl"/>
  </r>
  <r>
    <x v="7"/>
    <n v="13.675599999999999"/>
    <n v="-89.243099999999998"/>
    <n v="5"/>
    <n v="0"/>
    <n v="0"/>
    <n v="107"/>
    <s v="_x0000_peopl"/>
  </r>
  <r>
    <x v="7"/>
    <n v="13.6759"/>
    <n v="-89.243099999999998"/>
    <n v="3"/>
    <n v="0"/>
    <n v="0"/>
    <n v="107"/>
    <s v="_x0000_peopl"/>
  </r>
  <r>
    <x v="7"/>
    <n v="13.676299999999999"/>
    <n v="-89.241900000000001"/>
    <n v="6"/>
    <n v="0"/>
    <n v="0"/>
    <n v="107"/>
    <s v="_x0000_peopl"/>
  </r>
  <r>
    <x v="7"/>
    <n v="13.676399999999999"/>
    <n v="-89.241799999999998"/>
    <n v="3"/>
    <n v="0"/>
    <n v="0"/>
    <n v="107"/>
    <s v="_x0000_peopl"/>
  </r>
  <r>
    <x v="7"/>
    <n v="13.676500000000001"/>
    <n v="-89.241699999999994"/>
    <n v="5"/>
    <n v="0"/>
    <n v="0"/>
    <n v="107"/>
    <s v="_x0000_peopl"/>
  </r>
  <r>
    <x v="7"/>
    <n v="13.676600000000001"/>
    <n v="-89.241699999999994"/>
    <n v="5"/>
    <n v="0"/>
    <n v="0"/>
    <n v="107"/>
    <s v="_x0000_peopl"/>
  </r>
  <r>
    <x v="7"/>
    <n v="13.6767"/>
    <n v="-89.241600000000005"/>
    <n v="3"/>
    <n v="0"/>
    <n v="0"/>
    <n v="107"/>
    <s v="_x0000_peopl"/>
  </r>
  <r>
    <x v="7"/>
    <n v="13.6768"/>
    <n v="-89.241600000000005"/>
    <n v="4"/>
    <n v="0"/>
    <n v="0"/>
    <n v="107"/>
    <s v="_x0000_peopl"/>
  </r>
  <r>
    <x v="7"/>
    <n v="13.6768"/>
    <n v="-89.242000000000004"/>
    <n v="2"/>
    <n v="0"/>
    <n v="0"/>
    <n v="107"/>
    <s v="_x0000_peopl"/>
  </r>
  <r>
    <x v="7"/>
    <n v="13.6768"/>
    <n v="-89.242000000000004"/>
    <n v="3"/>
    <n v="0"/>
    <n v="0"/>
    <n v="107"/>
    <s v="_x0000_peopl"/>
  </r>
  <r>
    <x v="7"/>
    <n v="13.6769"/>
    <n v="-89.242099999999994"/>
    <n v="5"/>
    <n v="0"/>
    <n v="0"/>
    <n v="107"/>
    <s v="_x0000_peopl"/>
  </r>
  <r>
    <x v="7"/>
    <n v="13.6769"/>
    <n v="-89.242199999999997"/>
    <n v="10"/>
    <n v="0"/>
    <n v="0"/>
    <n v="107"/>
    <s v="_x0000_peopl"/>
  </r>
  <r>
    <x v="7"/>
    <n v="13.677"/>
    <n v="-89.2423"/>
    <n v="7"/>
    <n v="0"/>
    <n v="0"/>
    <n v="107"/>
    <s v="_x0000_peopl"/>
  </r>
  <r>
    <x v="7"/>
    <n v="13.677"/>
    <n v="-89.242400000000004"/>
    <n v="7"/>
    <n v="0"/>
    <n v="0"/>
    <n v="107"/>
    <s v="_x0000_peopl"/>
  </r>
  <r>
    <x v="7"/>
    <n v="13.677300000000001"/>
    <n v="-89.2423"/>
    <n v="5"/>
    <n v="0"/>
    <n v="0"/>
    <n v="107"/>
    <s v="_x0000_peopl"/>
  </r>
  <r>
    <x v="7"/>
    <n v="13.677300000000001"/>
    <n v="-89.242199999999997"/>
    <n v="6"/>
    <n v="0"/>
    <n v="0"/>
    <n v="107"/>
    <s v="_x0000_peopl"/>
  </r>
  <r>
    <x v="7"/>
    <n v="13.677199999999999"/>
    <n v="-89.242099999999994"/>
    <n v="9"/>
    <n v="0"/>
    <n v="0"/>
    <n v="107"/>
    <s v="_x0000_peopl"/>
  </r>
  <r>
    <x v="7"/>
    <n v="13.677199999999999"/>
    <n v="-89.242000000000004"/>
    <n v="8"/>
    <n v="0"/>
    <n v="0"/>
    <n v="107"/>
    <s v="_x0000_peopl"/>
  </r>
  <r>
    <x v="7"/>
    <n v="13.677099999999999"/>
    <n v="-89.242000000000004"/>
    <n v="5"/>
    <n v="0"/>
    <n v="0"/>
    <n v="107"/>
    <s v="_x0000_peopl"/>
  </r>
  <r>
    <x v="7"/>
    <n v="13.677099999999999"/>
    <n v="-89.241900000000001"/>
    <n v="4"/>
    <n v="0"/>
    <n v="0"/>
    <n v="107"/>
    <s v="_x0000_peopl"/>
  </r>
  <r>
    <x v="7"/>
    <n v="13.677099999999999"/>
    <n v="-89.241799999999998"/>
    <n v="2"/>
    <n v="0"/>
    <n v="0"/>
    <n v="107"/>
    <s v="_x0000_peopl"/>
  </r>
  <r>
    <x v="7"/>
    <n v="13.6776"/>
    <n v="-89.242099999999994"/>
    <n v="9"/>
    <n v="0"/>
    <n v="0"/>
    <n v="107"/>
    <s v="_x0000_peopl"/>
  </r>
  <r>
    <x v="7"/>
    <n v="13.6775"/>
    <n v="-89.242000000000004"/>
    <n v="4"/>
    <n v="0"/>
    <n v="0"/>
    <n v="107"/>
    <s v="_x0000_peopl"/>
  </r>
  <r>
    <x v="7"/>
    <n v="13.6774"/>
    <n v="-89.241900000000001"/>
    <n v="3"/>
    <n v="0"/>
    <n v="0"/>
    <n v="107"/>
    <s v="_x0000_peopl"/>
  </r>
  <r>
    <x v="7"/>
    <n v="13.6774"/>
    <n v="-89.241799999999998"/>
    <n v="7"/>
    <n v="0"/>
    <n v="0"/>
    <n v="107"/>
    <s v="_x0000_peopl"/>
  </r>
  <r>
    <x v="7"/>
    <n v="13.677300000000001"/>
    <n v="-89.241699999999994"/>
    <n v="5"/>
    <n v="0"/>
    <n v="0"/>
    <n v="107"/>
    <s v="_x0000_peopl"/>
  </r>
  <r>
    <x v="7"/>
    <n v="13.677300000000001"/>
    <n v="-89.241600000000005"/>
    <n v="3"/>
    <n v="0"/>
    <n v="0"/>
    <n v="107"/>
    <s v="_x0000_peopl"/>
  </r>
  <r>
    <x v="7"/>
    <n v="13.677300000000001"/>
    <n v="-89.241500000000002"/>
    <n v="4"/>
    <n v="0"/>
    <n v="0"/>
    <n v="107"/>
    <s v="_x0000_peopl"/>
  </r>
  <r>
    <x v="7"/>
    <n v="13.6768"/>
    <n v="-89.242500000000007"/>
    <n v="6"/>
    <n v="0"/>
    <n v="0"/>
    <n v="107"/>
    <s v="_x0000_peopl"/>
  </r>
  <r>
    <x v="7"/>
    <n v="13.6768"/>
    <n v="-89.242400000000004"/>
    <n v="5"/>
    <n v="0"/>
    <n v="0"/>
    <n v="107"/>
    <s v="_x0000_peopl"/>
  </r>
  <r>
    <x v="7"/>
    <n v="13.6767"/>
    <n v="-89.2423"/>
    <n v="6"/>
    <n v="0"/>
    <n v="0"/>
    <n v="107"/>
    <s v="_x0000_peopl"/>
  </r>
  <r>
    <x v="7"/>
    <n v="13.6767"/>
    <n v="-89.2423"/>
    <n v="7"/>
    <n v="0"/>
    <n v="0"/>
    <n v="107"/>
    <s v="_x0000_peopl"/>
  </r>
  <r>
    <x v="7"/>
    <n v="13.676600000000001"/>
    <n v="-89.242199999999997"/>
    <n v="2"/>
    <n v="0"/>
    <n v="0"/>
    <n v="107"/>
    <s v="_x0000_peopl"/>
  </r>
  <r>
    <x v="7"/>
    <n v="13.676500000000001"/>
    <n v="-89.242099999999994"/>
    <n v="3"/>
    <n v="0"/>
    <n v="0"/>
    <n v="107"/>
    <s v="_x0000_peopl"/>
  </r>
  <r>
    <x v="7"/>
    <n v="13.676299999999999"/>
    <n v="-89.242199999999997"/>
    <n v="5"/>
    <n v="0"/>
    <n v="0"/>
    <n v="107"/>
    <s v="_x0000_peopl"/>
  </r>
  <r>
    <x v="7"/>
    <n v="13.676299999999999"/>
    <n v="-89.2423"/>
    <n v="3"/>
    <n v="0"/>
    <n v="0"/>
    <n v="107"/>
    <s v="_x0000_peopl"/>
  </r>
  <r>
    <x v="7"/>
    <n v="13.676299999999999"/>
    <n v="-89.242400000000004"/>
    <n v="4"/>
    <n v="0"/>
    <n v="0"/>
    <n v="107"/>
    <s v="_x0000_peopl"/>
  </r>
  <r>
    <x v="7"/>
    <n v="13.676399999999999"/>
    <n v="-89.242500000000007"/>
    <n v="5"/>
    <n v="0"/>
    <n v="0"/>
    <n v="107"/>
    <s v="_x0000_peopl"/>
  </r>
  <r>
    <x v="7"/>
    <n v="13.676399999999999"/>
    <n v="-89.242500000000007"/>
    <n v="6"/>
    <n v="0"/>
    <n v="0"/>
    <n v="107"/>
    <s v="_x0000_peopl"/>
  </r>
  <r>
    <x v="7"/>
    <n v="13.676500000000001"/>
    <n v="-89.242599999999996"/>
    <n v="2"/>
    <n v="0"/>
    <n v="0"/>
    <n v="107"/>
    <s v="_x0000_peopl"/>
  </r>
  <r>
    <x v="7"/>
    <n v="13.676500000000001"/>
    <n v="-89.242699999999999"/>
    <n v="2"/>
    <n v="0"/>
    <n v="0"/>
    <n v="107"/>
    <s v="_x0000_peopl"/>
  </r>
  <r>
    <x v="7"/>
    <n v="13.6762"/>
    <n v="-89.242900000000006"/>
    <n v="4"/>
    <n v="0"/>
    <n v="0"/>
    <n v="107"/>
    <s v="_x0000_peopl"/>
  </r>
  <r>
    <x v="7"/>
    <n v="13.6761"/>
    <n v="-89.242699999999999"/>
    <n v="5"/>
    <n v="0"/>
    <n v="0"/>
    <n v="107"/>
    <s v="_x0000_peopl"/>
  </r>
  <r>
    <x v="7"/>
    <n v="13.6761"/>
    <n v="-89.242599999999996"/>
    <n v="3"/>
    <n v="0"/>
    <n v="0"/>
    <n v="107"/>
    <s v="_x0000_peopl"/>
  </r>
  <r>
    <x v="7"/>
    <n v="13.676"/>
    <n v="-89.242500000000007"/>
    <n v="6"/>
    <n v="0"/>
    <n v="0"/>
    <n v="107"/>
    <s v="_x0000_peopl"/>
  </r>
  <r>
    <x v="7"/>
    <n v="13.6759"/>
    <n v="-89.243099999999998"/>
    <n v="6"/>
    <n v="0"/>
    <n v="0"/>
    <n v="107"/>
    <s v="_x0000_peopl"/>
  </r>
  <r>
    <x v="7"/>
    <n v="13.6759"/>
    <n v="-89.242999999999995"/>
    <n v="2"/>
    <n v="0"/>
    <n v="0"/>
    <n v="107"/>
    <s v="_x0000_peopl"/>
  </r>
  <r>
    <x v="7"/>
    <n v="13.675800000000001"/>
    <n v="-89.242900000000006"/>
    <n v="3"/>
    <n v="0"/>
    <n v="0"/>
    <n v="107"/>
    <s v="_x0000_peopl"/>
  </r>
  <r>
    <x v="7"/>
    <n v="13.675800000000001"/>
    <n v="-89.242800000000003"/>
    <n v="4"/>
    <n v="0"/>
    <n v="0"/>
    <n v="107"/>
    <s v="_x0000_peopl"/>
  </r>
  <r>
    <x v="7"/>
    <n v="13.675700000000001"/>
    <n v="-89.242800000000003"/>
    <n v="6"/>
    <n v="0"/>
    <n v="0"/>
    <n v="107"/>
    <s v="_x0000_peopl"/>
  </r>
  <r>
    <x v="7"/>
    <n v="13.675700000000001"/>
    <n v="-89.242699999999999"/>
    <n v="6"/>
    <n v="0"/>
    <n v="0"/>
    <n v="107"/>
    <s v="_x0000_peopl"/>
  </r>
  <r>
    <x v="7"/>
    <n v="13.675599999999999"/>
    <n v="-89.242599999999996"/>
    <n v="7"/>
    <n v="0"/>
    <n v="0"/>
    <n v="107"/>
    <s v="_x0000_peopl"/>
  </r>
  <r>
    <x v="7"/>
    <n v="13.6759"/>
    <n v="-89.242400000000004"/>
    <n v="7"/>
    <n v="0"/>
    <n v="0"/>
    <n v="107"/>
    <s v="_x0000_peopl"/>
  </r>
  <r>
    <x v="7"/>
    <n v="13.675599999999999"/>
    <n v="-89.243099999999998"/>
    <n v="4"/>
    <n v="0"/>
    <n v="0"/>
    <n v="107"/>
    <s v="_x0000_peopl"/>
  </r>
  <r>
    <x v="7"/>
    <n v="13.6755"/>
    <n v="-89.242999999999995"/>
    <n v="7"/>
    <n v="0"/>
    <n v="0"/>
    <n v="107"/>
    <s v="_x0000_peopl"/>
  </r>
  <r>
    <x v="7"/>
    <n v="13.6755"/>
    <n v="-89.242900000000006"/>
    <n v="2"/>
    <n v="0"/>
    <n v="0"/>
    <n v="107"/>
    <s v="_x0000_peopl"/>
  </r>
  <r>
    <x v="7"/>
    <n v="13.6754"/>
    <n v="-89.242800000000003"/>
    <n v="5"/>
    <n v="0"/>
    <n v="0"/>
    <n v="107"/>
    <s v="_x0000_peopl"/>
  </r>
  <r>
    <x v="7"/>
    <n v="13.6775"/>
    <n v="-89.241100000000003"/>
    <n v="6"/>
    <n v="0"/>
    <n v="0"/>
    <n v="107"/>
    <s v="_x0000_peopl"/>
  </r>
  <r>
    <x v="7"/>
    <n v="13.677300000000001"/>
    <n v="-89.241200000000006"/>
    <n v="3"/>
    <n v="0"/>
    <n v="0"/>
    <n v="107"/>
    <s v="_x0000_peopl"/>
  </r>
  <r>
    <x v="7"/>
    <n v="13.677199999999999"/>
    <n v="-89.241299999999995"/>
    <n v="4"/>
    <n v="0"/>
    <n v="0"/>
    <n v="107"/>
    <s v="_x0000_peopl"/>
  </r>
  <r>
    <x v="7"/>
    <n v="13.677099999999999"/>
    <n v="-89.241299999999995"/>
    <n v="6"/>
    <n v="0"/>
    <n v="0"/>
    <n v="107"/>
    <s v="_x0000_peopl"/>
  </r>
  <r>
    <x v="7"/>
    <n v="13.675800000000001"/>
    <n v="-89.241600000000005"/>
    <n v="1"/>
    <n v="0"/>
    <n v="0"/>
    <n v="107"/>
    <s v="_x0000_peopl"/>
  </r>
  <r>
    <x v="7"/>
    <n v="13.6759"/>
    <n v="-89.241500000000002"/>
    <n v="5"/>
    <n v="0"/>
    <n v="0"/>
    <n v="107"/>
    <s v="_x0000_peopl"/>
  </r>
  <r>
    <x v="7"/>
    <n v="13.676"/>
    <n v="-89.241500000000002"/>
    <n v="5"/>
    <n v="0"/>
    <n v="0"/>
    <n v="107"/>
    <s v="_x0000_peopl"/>
  </r>
  <r>
    <x v="7"/>
    <n v="13.6761"/>
    <n v="-89.241399999999999"/>
    <n v="4"/>
    <n v="0"/>
    <n v="0"/>
    <n v="107"/>
    <s v="_x0000_peopl"/>
  </r>
  <r>
    <x v="7"/>
    <n v="13.6761"/>
    <n v="-89.241399999999999"/>
    <n v="3"/>
    <n v="0"/>
    <n v="0"/>
    <n v="107"/>
    <s v="_x0000_peopl"/>
  </r>
  <r>
    <x v="7"/>
    <n v="13.6762"/>
    <n v="-89.241299999999995"/>
    <n v="8"/>
    <n v="0"/>
    <n v="0"/>
    <n v="107"/>
    <s v="_x0000_peopl"/>
  </r>
  <r>
    <x v="7"/>
    <n v="13.676299999999999"/>
    <n v="-89.241299999999995"/>
    <n v="7"/>
    <n v="0"/>
    <n v="0"/>
    <n v="107"/>
    <s v="_x0000_peopl"/>
  </r>
  <r>
    <x v="7"/>
    <n v="13.676399999999999"/>
    <n v="-89.241200000000006"/>
    <n v="5"/>
    <n v="0"/>
    <n v="0"/>
    <n v="107"/>
    <s v="_x0000_peopl"/>
  </r>
  <r>
    <x v="7"/>
    <n v="13.676399999999999"/>
    <n v="-89.241200000000006"/>
    <n v="6"/>
    <n v="0"/>
    <n v="0"/>
    <n v="107"/>
    <s v="_x0000_peopl"/>
  </r>
  <r>
    <x v="7"/>
    <n v="13.676500000000001"/>
    <n v="-89.241100000000003"/>
    <n v="1"/>
    <n v="0"/>
    <n v="0"/>
    <n v="107"/>
    <s v="_x0000_peopl"/>
  </r>
  <r>
    <x v="7"/>
    <n v="13.675700000000001"/>
    <n v="-89.241299999999995"/>
    <n v="4"/>
    <n v="0"/>
    <n v="0"/>
    <n v="107"/>
    <s v="_x0000_peopl"/>
  </r>
  <r>
    <x v="7"/>
    <n v="13.6759"/>
    <n v="-89.241200000000006"/>
    <n v="1"/>
    <n v="0"/>
    <n v="0"/>
    <n v="107"/>
    <s v="_x0000_peopl"/>
  </r>
  <r>
    <x v="7"/>
    <n v="13.676"/>
    <n v="-89.241100000000003"/>
    <n v="2"/>
    <n v="0"/>
    <n v="0"/>
    <n v="107"/>
    <s v="_x0000_peopl"/>
  </r>
  <r>
    <x v="7"/>
    <n v="13.675599999999999"/>
    <n v="-89.241200000000006"/>
    <n v="1"/>
    <n v="0"/>
    <n v="0"/>
    <n v="107"/>
    <s v="_x0000_peopl"/>
  </r>
  <r>
    <x v="7"/>
    <n v="13.6755"/>
    <n v="-89.2423"/>
    <n v="6"/>
    <n v="0"/>
    <n v="0"/>
    <n v="107"/>
    <s v="_x0000_peopl"/>
  </r>
  <r>
    <x v="7"/>
    <n v="13.675599999999999"/>
    <n v="-89.242199999999997"/>
    <n v="5"/>
    <n v="0"/>
    <n v="0"/>
    <n v="107"/>
    <s v="_x0000_peopl"/>
  </r>
  <r>
    <x v="7"/>
    <n v="13.675700000000001"/>
    <n v="-89.242199999999997"/>
    <n v="4"/>
    <n v="0"/>
    <n v="0"/>
    <n v="107"/>
    <s v="_x0000_peopl"/>
  </r>
  <r>
    <x v="7"/>
    <n v="13.677"/>
    <n v="-89.241399999999999"/>
    <n v="3"/>
    <n v="0"/>
    <n v="0"/>
    <n v="107"/>
    <s v="_x0000_peopl"/>
  </r>
  <r>
    <x v="7"/>
    <n v="13.6769"/>
    <n v="-89.241399999999999"/>
    <n v="2"/>
    <n v="0"/>
    <n v="0"/>
    <n v="107"/>
    <s v="_x0000_peopl"/>
  </r>
  <r>
    <x v="7"/>
    <n v="13.6782"/>
    <n v="-89.241399999999999"/>
    <n v="11"/>
    <n v="0"/>
    <n v="0"/>
    <n v="107"/>
    <s v="_x0000_peopl"/>
  </r>
  <r>
    <x v="7"/>
    <n v="13.6782"/>
    <n v="-89.241299999999995"/>
    <n v="7"/>
    <n v="0"/>
    <n v="0"/>
    <n v="107"/>
    <s v="_x0000_peopl"/>
  </r>
  <r>
    <x v="7"/>
    <n v="13.6784"/>
    <n v="-89.241299999999995"/>
    <n v="0"/>
    <n v="0"/>
    <n v="0"/>
    <n v="107"/>
    <s v="_x0000_peopl"/>
  </r>
  <r>
    <x v="7"/>
    <n v="13.6784"/>
    <n v="-89.241200000000006"/>
    <n v="4"/>
    <n v="0"/>
    <n v="0"/>
    <n v="107"/>
    <s v="_x0000_peopl"/>
  </r>
  <r>
    <x v="7"/>
    <n v="13.6784"/>
    <n v="-89.241200000000006"/>
    <n v="5"/>
    <n v="0"/>
    <n v="0"/>
    <n v="107"/>
    <s v="_x0000_peopl"/>
  </r>
  <r>
    <x v="7"/>
    <n v="13.6784"/>
    <n v="-89.241200000000006"/>
    <n v="8"/>
    <n v="0"/>
    <n v="0"/>
    <n v="107"/>
    <s v="_x0000_peopl"/>
  </r>
  <r>
    <x v="7"/>
    <n v="13.6783"/>
    <n v="-89.241100000000003"/>
    <n v="3"/>
    <n v="0"/>
    <n v="0"/>
    <n v="107"/>
    <s v="_x0000_peopl"/>
  </r>
  <r>
    <x v="7"/>
    <n v="13.678599999999999"/>
    <n v="-89.241200000000006"/>
    <n v="5"/>
    <n v="0"/>
    <n v="0"/>
    <n v="107"/>
    <s v="_x0000_peopl"/>
  </r>
  <r>
    <x v="7"/>
    <n v="13.678699999999999"/>
    <n v="-89.241200000000006"/>
    <n v="9"/>
    <n v="0"/>
    <n v="0"/>
    <n v="107"/>
    <s v="_x0000_peopl"/>
  </r>
  <r>
    <x v="7"/>
    <n v="13.678699999999999"/>
    <n v="-89.241100000000003"/>
    <n v="4"/>
    <n v="0"/>
    <n v="0"/>
    <n v="107"/>
    <s v="_x0000_peopl"/>
  </r>
  <r>
    <x v="7"/>
    <n v="13.678699999999999"/>
    <n v="-89.241100000000003"/>
    <n v="2"/>
    <n v="0"/>
    <n v="0"/>
    <n v="107"/>
    <s v="_x0000_peopl"/>
  </r>
  <r>
    <x v="7"/>
    <n v="13.678800000000001"/>
    <n v="-89.241100000000003"/>
    <n v="7"/>
    <n v="0"/>
    <n v="0"/>
    <n v="107"/>
    <s v="_x0000_peopl"/>
  </r>
  <r>
    <x v="7"/>
    <n v="13.678800000000001"/>
    <n v="-89.241"/>
    <n v="10"/>
    <n v="0"/>
    <n v="0"/>
    <n v="107"/>
    <s v="_x0000_peopl"/>
  </r>
  <r>
    <x v="7"/>
    <n v="13.678900000000001"/>
    <n v="-89.241"/>
    <n v="4"/>
    <n v="0"/>
    <n v="0"/>
    <n v="107"/>
    <s v="_x0000_peopl"/>
  </r>
  <r>
    <x v="7"/>
    <n v="13.6783"/>
    <n v="-89.241"/>
    <n v="3"/>
    <n v="0"/>
    <n v="0"/>
    <n v="107"/>
    <s v="_x0000_peopl"/>
  </r>
  <r>
    <x v="7"/>
    <n v="13.6783"/>
    <n v="-89.241"/>
    <n v="4"/>
    <n v="0"/>
    <n v="0"/>
    <n v="107"/>
    <s v="_x0000_peopl"/>
  </r>
  <r>
    <x v="7"/>
    <n v="13.6775"/>
    <n v="-89.241399999999999"/>
    <n v="9"/>
    <n v="0"/>
    <n v="0"/>
    <n v="107"/>
    <s v="_x0000_peopl"/>
  </r>
  <r>
    <x v="7"/>
    <n v="13.6774"/>
    <n v="-89.241500000000002"/>
    <n v="3"/>
    <n v="0"/>
    <n v="0"/>
    <n v="107"/>
    <s v="_x0000_peopl"/>
  </r>
  <r>
    <x v="7"/>
    <n v="13.678000000000001"/>
    <n v="-89.241399999999999"/>
    <n v="0"/>
    <n v="0"/>
    <n v="0"/>
    <n v="107"/>
    <s v="_x0000_peopl"/>
  </r>
  <r>
    <x v="7"/>
    <n v="13.678000000000001"/>
    <n v="-89.241299999999995"/>
    <n v="0"/>
    <n v="0"/>
    <n v="0"/>
    <n v="107"/>
    <s v="_x0000_peopl"/>
  </r>
  <r>
    <x v="7"/>
    <n v="13.678100000000001"/>
    <n v="-89.241299999999995"/>
    <n v="4"/>
    <n v="0"/>
    <n v="0"/>
    <n v="107"/>
    <s v="_x0000_peopl"/>
  </r>
  <r>
    <x v="7"/>
    <n v="13.678100000000001"/>
    <n v="-89.241200000000006"/>
    <n v="4"/>
    <n v="0"/>
    <n v="0"/>
    <n v="107"/>
    <s v="_x0000_peopl"/>
  </r>
  <r>
    <x v="7"/>
    <n v="13.678100000000001"/>
    <n v="-89.241200000000006"/>
    <n v="5"/>
    <n v="0"/>
    <n v="0"/>
    <n v="107"/>
    <s v="_x0000_peopl"/>
  </r>
  <r>
    <x v="7"/>
    <n v="13.678100000000001"/>
    <n v="-89.241100000000003"/>
    <n v="6"/>
    <n v="0"/>
    <n v="0"/>
    <n v="107"/>
    <s v="_x0000_peopl"/>
  </r>
  <r>
    <x v="7"/>
    <n v="13.6776"/>
    <n v="-89.241"/>
    <n v="6"/>
    <n v="0"/>
    <n v="0"/>
    <n v="107"/>
    <s v="_x0000_peopl"/>
  </r>
  <r>
    <x v="7"/>
    <n v="13.6777"/>
    <n v="-89.241"/>
    <n v="7"/>
    <n v="0"/>
    <n v="0"/>
    <n v="107"/>
    <s v="_x0000_peopl"/>
  </r>
  <r>
    <x v="7"/>
    <n v="13.6778"/>
    <n v="-89.240899999999996"/>
    <n v="3"/>
    <n v="0"/>
    <n v="0"/>
    <n v="107"/>
    <s v="_x0000_peopl"/>
  </r>
  <r>
    <x v="7"/>
    <n v="13.677899999999999"/>
    <n v="-89.240799999999993"/>
    <n v="7"/>
    <n v="0"/>
    <n v="0"/>
    <n v="107"/>
    <s v="_x0000_peopl"/>
  </r>
  <r>
    <x v="7"/>
    <n v="13.678000000000001"/>
    <n v="-89.240799999999993"/>
    <n v="7"/>
    <n v="0"/>
    <n v="0"/>
    <n v="107"/>
    <s v="_x0000_peopl"/>
  </r>
  <r>
    <x v="7"/>
    <n v="13.6783"/>
    <n v="-89.240600000000001"/>
    <n v="2"/>
    <n v="0"/>
    <n v="0"/>
    <n v="107"/>
    <s v="_x0000_peopl"/>
  </r>
  <r>
    <x v="7"/>
    <n v="13.6783"/>
    <n v="-89.240099999999998"/>
    <n v="5"/>
    <n v="0"/>
    <n v="0"/>
    <n v="107"/>
    <s v="_x0000_peopl"/>
  </r>
  <r>
    <x v="7"/>
    <n v="13.6783"/>
    <n v="-89.24"/>
    <n v="5"/>
    <n v="0"/>
    <n v="0"/>
    <n v="107"/>
    <s v="_x0000_peopl"/>
  </r>
  <r>
    <x v="7"/>
    <n v="13.678100000000001"/>
    <n v="-89.240099999999998"/>
    <n v="5"/>
    <n v="0"/>
    <n v="0"/>
    <n v="107"/>
    <s v="_x0000_peopl"/>
  </r>
  <r>
    <x v="7"/>
    <n v="13.678100000000001"/>
    <n v="-89.240200000000002"/>
    <n v="7"/>
    <n v="0"/>
    <n v="0"/>
    <n v="107"/>
    <s v="_x0000_peopl"/>
  </r>
  <r>
    <x v="7"/>
    <n v="13.678000000000001"/>
    <n v="-89.240200000000002"/>
    <n v="4"/>
    <n v="0"/>
    <n v="0"/>
    <n v="107"/>
    <s v="_x0000_peopl"/>
  </r>
  <r>
    <x v="7"/>
    <n v="13.677899999999999"/>
    <n v="-89.240200000000002"/>
    <n v="4"/>
    <n v="0"/>
    <n v="0"/>
    <n v="107"/>
    <s v="_x0000_peopl"/>
  </r>
  <r>
    <x v="7"/>
    <n v="13.6778"/>
    <n v="-89.240300000000005"/>
    <n v="4"/>
    <n v="0"/>
    <n v="0"/>
    <n v="107"/>
    <s v="_x0000_peopl"/>
  </r>
  <r>
    <x v="7"/>
    <n v="13.6777"/>
    <n v="-89.240300000000005"/>
    <n v="3"/>
    <n v="0"/>
    <n v="0"/>
    <n v="107"/>
    <s v="_x0000_peopl"/>
  </r>
  <r>
    <x v="7"/>
    <n v="13.6777"/>
    <n v="-89.240399999999994"/>
    <n v="7"/>
    <n v="0"/>
    <n v="0"/>
    <n v="107"/>
    <s v="_x0000_peopl"/>
  </r>
  <r>
    <x v="7"/>
    <n v="13.6776"/>
    <n v="-89.240399999999994"/>
    <n v="4"/>
    <n v="0"/>
    <n v="0"/>
    <n v="107"/>
    <s v="_x0000_peopl"/>
  </r>
  <r>
    <x v="7"/>
    <n v="13.6775"/>
    <n v="-89.240499999999997"/>
    <n v="5"/>
    <n v="0"/>
    <n v="0"/>
    <n v="107"/>
    <s v="_x0000_peopl"/>
  </r>
  <r>
    <x v="7"/>
    <n v="13.6774"/>
    <n v="-89.240499999999997"/>
    <n v="2"/>
    <n v="0"/>
    <n v="0"/>
    <n v="107"/>
    <s v="_x0000_peopl"/>
  </r>
  <r>
    <x v="7"/>
    <n v="13.6774"/>
    <n v="-89.240600000000001"/>
    <n v="6"/>
    <n v="0"/>
    <n v="0"/>
    <n v="107"/>
    <s v="_x0000_peopl"/>
  </r>
  <r>
    <x v="7"/>
    <n v="13.677300000000001"/>
    <n v="-89.240600000000001"/>
    <n v="8"/>
    <n v="0"/>
    <n v="0"/>
    <n v="107"/>
    <s v="_x0000_peopl"/>
  </r>
  <r>
    <x v="7"/>
    <n v="13.677199999999999"/>
    <n v="-89.240700000000004"/>
    <n v="9"/>
    <n v="0"/>
    <n v="0"/>
    <n v="107"/>
    <s v="_x0000_peopl"/>
  </r>
  <r>
    <x v="7"/>
    <n v="13.677099999999999"/>
    <n v="-89.240700000000004"/>
    <n v="8"/>
    <n v="0"/>
    <n v="0"/>
    <n v="107"/>
    <s v="_x0000_peopl"/>
  </r>
  <r>
    <x v="7"/>
    <n v="13.677099999999999"/>
    <n v="-89.240799999999993"/>
    <n v="2"/>
    <n v="0"/>
    <n v="0"/>
    <n v="107"/>
    <s v="_x0000_peopl"/>
  </r>
  <r>
    <x v="7"/>
    <n v="13.677"/>
    <n v="-89.240799999999993"/>
    <n v="4"/>
    <n v="0"/>
    <n v="0"/>
    <n v="107"/>
    <s v="_x0000_peopl"/>
  </r>
  <r>
    <x v="7"/>
    <n v="13.6769"/>
    <n v="-89.240899999999996"/>
    <n v="3"/>
    <n v="0"/>
    <n v="0"/>
    <n v="107"/>
    <s v="_x0000_peopl"/>
  </r>
  <r>
    <x v="7"/>
    <n v="13.6768"/>
    <n v="-89.241"/>
    <n v="7"/>
    <n v="0"/>
    <n v="0"/>
    <n v="107"/>
    <s v="_x0000_peopl"/>
  </r>
  <r>
    <x v="7"/>
    <n v="13.6768"/>
    <n v="-89.241"/>
    <n v="5"/>
    <n v="0"/>
    <n v="0"/>
    <n v="107"/>
    <s v="_x0000_peopl"/>
  </r>
  <r>
    <x v="7"/>
    <n v="13.6767"/>
    <n v="-89.241"/>
    <n v="4"/>
    <n v="0"/>
    <n v="0"/>
    <n v="107"/>
    <s v="_x0000_peopl"/>
  </r>
  <r>
    <x v="7"/>
    <n v="13.676600000000001"/>
    <n v="-89.241100000000003"/>
    <n v="4"/>
    <n v="0"/>
    <n v="0"/>
    <n v="107"/>
    <s v="_x0000_peopl"/>
  </r>
  <r>
    <x v="7"/>
    <n v="13.6754"/>
    <n v="-89.242400000000004"/>
    <n v="3"/>
    <n v="0"/>
    <n v="0"/>
    <n v="107"/>
    <s v="_x0000_peopl"/>
  </r>
  <r>
    <x v="7"/>
    <n v="13.6752"/>
    <n v="-89.242500000000007"/>
    <n v="6"/>
    <n v="0"/>
    <n v="0"/>
    <n v="107"/>
    <s v="_x0000_peopl"/>
  </r>
  <r>
    <x v="7"/>
    <n v="13.6751"/>
    <n v="-89.242500000000007"/>
    <n v="4"/>
    <n v="0"/>
    <n v="0"/>
    <n v="107"/>
    <s v="_x0000_peopl"/>
  </r>
  <r>
    <x v="7"/>
    <n v="13.6746"/>
    <n v="-89.243399999999994"/>
    <n v="2"/>
    <n v="0"/>
    <n v="0"/>
    <n v="107"/>
    <s v="_x0000_peopl"/>
  </r>
  <r>
    <x v="7"/>
    <n v="13.674799999999999"/>
    <n v="-89.243200000000002"/>
    <n v="4"/>
    <n v="0"/>
    <n v="0"/>
    <n v="107"/>
    <s v="_x0000_peopl"/>
  </r>
  <r>
    <x v="7"/>
    <n v="13.6744"/>
    <n v="-89.242599999999996"/>
    <n v="9"/>
    <n v="0"/>
    <n v="0"/>
    <n v="107"/>
    <s v="_x0000_peopl"/>
  </r>
  <r>
    <x v="7"/>
    <n v="13.674300000000001"/>
    <n v="-89.242500000000007"/>
    <n v="7"/>
    <n v="0"/>
    <n v="0"/>
    <n v="107"/>
    <s v="_x0000_peopl"/>
  </r>
  <r>
    <x v="7"/>
    <n v="13.674200000000001"/>
    <n v="-89.242500000000007"/>
    <n v="4"/>
    <n v="0"/>
    <n v="0"/>
    <n v="107"/>
    <s v="_x0000_peopl"/>
  </r>
  <r>
    <x v="7"/>
    <n v="13.674099999999999"/>
    <n v="-89.242400000000004"/>
    <n v="4"/>
    <n v="0"/>
    <n v="0"/>
    <n v="107"/>
    <s v="_x0000_peopl"/>
  </r>
  <r>
    <x v="7"/>
    <n v="13.6739"/>
    <n v="-89.2423"/>
    <n v="8"/>
    <n v="0"/>
    <n v="0"/>
    <n v="107"/>
    <s v="_x0000_peopl"/>
  </r>
  <r>
    <x v="7"/>
    <n v="13.673999999999999"/>
    <n v="-89.2423"/>
    <n v="13"/>
    <n v="0"/>
    <n v="0"/>
    <n v="107"/>
    <s v="_x0000_peopl"/>
  </r>
  <r>
    <x v="7"/>
    <n v="13.674099999999999"/>
    <n v="-89.242099999999994"/>
    <n v="3"/>
    <n v="0"/>
    <n v="0"/>
    <n v="107"/>
    <s v="_x0000_peopl"/>
  </r>
  <r>
    <x v="7"/>
    <n v="13.673999999999999"/>
    <n v="-89.242099999999994"/>
    <n v="4"/>
    <n v="0"/>
    <n v="0"/>
    <n v="107"/>
    <s v="_x0000_peopl"/>
  </r>
  <r>
    <x v="7"/>
    <n v="13.6739"/>
    <n v="-89.242099999999994"/>
    <n v="2"/>
    <n v="0"/>
    <n v="0"/>
    <n v="107"/>
    <s v="_x0000_peopl"/>
  </r>
  <r>
    <x v="7"/>
    <n v="13.6739"/>
    <n v="-89.242099999999994"/>
    <n v="7"/>
    <n v="0"/>
    <n v="0"/>
    <n v="107"/>
    <s v="_x0000_peopl"/>
  </r>
  <r>
    <x v="7"/>
    <n v="13.6739"/>
    <n v="-89.242099999999994"/>
    <n v="0"/>
    <n v="0"/>
    <n v="0"/>
    <n v="107"/>
    <s v="_x0000_peopl"/>
  </r>
  <r>
    <x v="7"/>
    <n v="13.6738"/>
    <n v="-89.242099999999994"/>
    <n v="5"/>
    <n v="0"/>
    <n v="0"/>
    <n v="107"/>
    <s v="_x0000_peopl"/>
  </r>
  <r>
    <x v="7"/>
    <n v="13.6738"/>
    <n v="-89.242099999999994"/>
    <n v="5"/>
    <n v="0"/>
    <n v="0"/>
    <n v="107"/>
    <s v="_x0000_peopl"/>
  </r>
  <r>
    <x v="7"/>
    <n v="13.6738"/>
    <n v="-89.242099999999994"/>
    <n v="7"/>
    <n v="0"/>
    <n v="0"/>
    <n v="107"/>
    <s v="_x0000_peopl"/>
  </r>
  <r>
    <x v="7"/>
    <n v="13.6737"/>
    <n v="-89.242199999999997"/>
    <n v="5"/>
    <n v="0"/>
    <n v="0"/>
    <n v="107"/>
    <s v="_x0000_peopl"/>
  </r>
  <r>
    <x v="7"/>
    <n v="13.6737"/>
    <n v="-89.242199999999997"/>
    <n v="7"/>
    <n v="0"/>
    <n v="0"/>
    <n v="107"/>
    <s v="_x0000_peopl"/>
  </r>
  <r>
    <x v="7"/>
    <n v="13.6736"/>
    <n v="-89.242099999999994"/>
    <n v="6"/>
    <n v="0"/>
    <n v="0"/>
    <n v="107"/>
    <s v="_x0000_peopl"/>
  </r>
  <r>
    <x v="7"/>
    <n v="13.673999999999999"/>
    <n v="-89.241900000000001"/>
    <n v="5"/>
    <n v="0"/>
    <n v="0"/>
    <n v="107"/>
    <s v="_x0000_peopl"/>
  </r>
  <r>
    <x v="7"/>
    <n v="13.673999999999999"/>
    <n v="-89.241799999999998"/>
    <n v="8"/>
    <n v="0"/>
    <n v="0"/>
    <n v="107"/>
    <s v="_x0000_peopl"/>
  </r>
  <r>
    <x v="7"/>
    <n v="13.6739"/>
    <n v="-89.241699999999994"/>
    <n v="8"/>
    <n v="0"/>
    <n v="0"/>
    <n v="107"/>
    <s v="_x0000_peopl"/>
  </r>
  <r>
    <x v="7"/>
    <n v="13.6739"/>
    <n v="-89.241699999999994"/>
    <n v="5"/>
    <n v="0"/>
    <n v="0"/>
    <n v="107"/>
    <s v="_x0000_peopl"/>
  </r>
  <r>
    <x v="7"/>
    <n v="13.6738"/>
    <n v="-89.241699999999994"/>
    <n v="5"/>
    <n v="0"/>
    <n v="0"/>
    <n v="107"/>
    <s v="_x0000_peopl"/>
  </r>
  <r>
    <x v="7"/>
    <n v="13.6738"/>
    <n v="-89.241699999999994"/>
    <n v="4"/>
    <n v="0"/>
    <n v="0"/>
    <n v="107"/>
    <s v="_x0000_peopl"/>
  </r>
  <r>
    <x v="7"/>
    <n v="13.674799999999999"/>
    <n v="-89.242400000000004"/>
    <n v="6"/>
    <n v="0"/>
    <n v="0"/>
    <n v="107"/>
    <s v="_x0000_peopl"/>
  </r>
  <r>
    <x v="7"/>
    <n v="13.6747"/>
    <n v="-89.2423"/>
    <n v="3"/>
    <n v="0"/>
    <n v="0"/>
    <n v="107"/>
    <s v="_x0000_peopl"/>
  </r>
  <r>
    <x v="7"/>
    <n v="13.6747"/>
    <n v="-89.2423"/>
    <n v="4"/>
    <n v="0"/>
    <n v="0"/>
    <n v="107"/>
    <s v="_x0000_peopl"/>
  </r>
  <r>
    <x v="7"/>
    <n v="13.6747"/>
    <n v="-89.2423"/>
    <n v="4"/>
    <n v="0"/>
    <n v="0"/>
    <n v="107"/>
    <s v="_x0000_peopl"/>
  </r>
  <r>
    <x v="7"/>
    <n v="13.6747"/>
    <n v="-89.242199999999997"/>
    <n v="5"/>
    <n v="0"/>
    <n v="0"/>
    <n v="107"/>
    <s v="_x0000_peopl"/>
  </r>
  <r>
    <x v="7"/>
    <n v="13.6746"/>
    <n v="-89.242500000000007"/>
    <n v="5"/>
    <n v="0"/>
    <n v="0"/>
    <n v="107"/>
    <s v="_x0000_peopl"/>
  </r>
  <r>
    <x v="7"/>
    <n v="13.6746"/>
    <n v="-89.242500000000007"/>
    <n v="4"/>
    <n v="0"/>
    <n v="0"/>
    <n v="107"/>
    <s v="_x0000_peopl"/>
  </r>
  <r>
    <x v="7"/>
    <n v="13.6746"/>
    <n v="-89.242500000000007"/>
    <n v="5"/>
    <n v="0"/>
    <n v="0"/>
    <n v="107"/>
    <s v="_x0000_peopl"/>
  </r>
  <r>
    <x v="7"/>
    <n v="13.6746"/>
    <n v="-89.242400000000004"/>
    <n v="5"/>
    <n v="0"/>
    <n v="0"/>
    <n v="107"/>
    <s v="_x0000_peopl"/>
  </r>
  <r>
    <x v="7"/>
    <n v="13.6746"/>
    <n v="-89.242400000000004"/>
    <n v="4"/>
    <n v="0"/>
    <n v="0"/>
    <n v="107"/>
    <s v="_x0000_peopl"/>
  </r>
  <r>
    <x v="7"/>
    <n v="13.6747"/>
    <n v="-89.242400000000004"/>
    <n v="4"/>
    <n v="0"/>
    <n v="0"/>
    <n v="107"/>
    <s v="_x0000_peopl"/>
  </r>
  <r>
    <x v="7"/>
    <n v="13.6747"/>
    <n v="-89.242400000000004"/>
    <n v="9"/>
    <n v="0"/>
    <n v="0"/>
    <n v="107"/>
    <s v="_x0000_peopl"/>
  </r>
  <r>
    <x v="7"/>
    <n v="13.6747"/>
    <n v="-89.242400000000004"/>
    <n v="5"/>
    <n v="0"/>
    <n v="0"/>
    <n v="107"/>
    <s v="_x0000_peopl"/>
  </r>
  <r>
    <x v="7"/>
    <n v="13.6747"/>
    <n v="-89.242400000000004"/>
    <n v="10"/>
    <n v="0"/>
    <n v="0"/>
    <n v="107"/>
    <s v="_x0000_peopl"/>
  </r>
  <r>
    <x v="7"/>
    <n v="13.6747"/>
    <n v="-89.242400000000004"/>
    <n v="6"/>
    <n v="0"/>
    <n v="0"/>
    <n v="107"/>
    <s v="_x0000_peopl"/>
  </r>
  <r>
    <x v="7"/>
    <n v="13.674799999999999"/>
    <n v="-89.242400000000004"/>
    <n v="8"/>
    <n v="0"/>
    <n v="0"/>
    <n v="107"/>
    <s v="_x0000_peopl"/>
  </r>
  <r>
    <x v="7"/>
    <n v="13.6745"/>
    <n v="-89.242599999999996"/>
    <n v="3"/>
    <n v="0"/>
    <n v="0"/>
    <n v="107"/>
    <s v="_x0000_peopl"/>
  </r>
  <r>
    <x v="7"/>
    <n v="13.6744"/>
    <n v="-89.242599999999996"/>
    <n v="9"/>
    <n v="0"/>
    <n v="0"/>
    <n v="107"/>
    <s v="_x0000_peopl"/>
  </r>
  <r>
    <x v="7"/>
    <n v="13.6744"/>
    <n v="-89.242599999999996"/>
    <n v="4"/>
    <n v="0"/>
    <n v="0"/>
    <n v="107"/>
    <s v="_x0000_peopl"/>
  </r>
  <r>
    <x v="7"/>
    <n v="13.6744"/>
    <n v="-89.242500000000007"/>
    <n v="1"/>
    <n v="0"/>
    <n v="0"/>
    <n v="107"/>
    <s v="_x0000_peopl"/>
  </r>
  <r>
    <x v="7"/>
    <n v="13.6745"/>
    <n v="-89.242500000000007"/>
    <n v="7"/>
    <n v="0"/>
    <n v="0"/>
    <n v="107"/>
    <s v="_x0000_peopl"/>
  </r>
  <r>
    <x v="7"/>
    <n v="13.6745"/>
    <n v="-89.242500000000007"/>
    <n v="3"/>
    <n v="0"/>
    <n v="0"/>
    <n v="107"/>
    <s v="_x0000_peopl"/>
  </r>
  <r>
    <x v="7"/>
    <n v="13.6745"/>
    <n v="-89.242500000000007"/>
    <n v="3"/>
    <n v="0"/>
    <n v="0"/>
    <n v="107"/>
    <s v="_x0000_peopl"/>
  </r>
  <r>
    <x v="7"/>
    <n v="13.6745"/>
    <n v="-89.242400000000004"/>
    <n v="7"/>
    <n v="0"/>
    <n v="0"/>
    <n v="107"/>
    <s v="_x0000_peopl"/>
  </r>
  <r>
    <x v="7"/>
    <n v="13.6745"/>
    <n v="-89.242400000000004"/>
    <n v="5"/>
    <n v="0"/>
    <n v="0"/>
    <n v="107"/>
    <s v="_x0000_peopl"/>
  </r>
  <r>
    <x v="7"/>
    <n v="13.6745"/>
    <n v="-89.242400000000004"/>
    <n v="4"/>
    <n v="0"/>
    <n v="0"/>
    <n v="107"/>
    <s v="_x0000_peopl"/>
  </r>
  <r>
    <x v="7"/>
    <n v="13.6745"/>
    <n v="-89.242400000000004"/>
    <n v="3"/>
    <n v="0"/>
    <n v="0"/>
    <n v="107"/>
    <s v="_x0000_peopl"/>
  </r>
  <r>
    <x v="7"/>
    <n v="13.6761"/>
    <n v="-89.241100000000003"/>
    <n v="4"/>
    <n v="0"/>
    <n v="0"/>
    <n v="107"/>
    <s v="_x0000_peopl"/>
  </r>
  <r>
    <x v="7"/>
    <n v="13.6761"/>
    <n v="-89.241"/>
    <n v="2"/>
    <n v="0"/>
    <n v="0"/>
    <n v="107"/>
    <s v="_x0000_peopl"/>
  </r>
  <r>
    <x v="7"/>
    <n v="13.6762"/>
    <n v="-89.241"/>
    <n v="2"/>
    <n v="0"/>
    <n v="0"/>
    <n v="107"/>
    <s v="_x0000_peopl"/>
  </r>
  <r>
    <x v="7"/>
    <n v="13.676299999999999"/>
    <n v="-89.241"/>
    <n v="5"/>
    <n v="0"/>
    <n v="0"/>
    <n v="107"/>
    <s v="_x0000_peopl"/>
  </r>
  <r>
    <x v="7"/>
    <n v="13.676299999999999"/>
    <n v="-89.240899999999996"/>
    <n v="3"/>
    <n v="0"/>
    <n v="0"/>
    <n v="107"/>
    <s v="_x0000_peopl"/>
  </r>
  <r>
    <x v="7"/>
    <n v="13.676399999999999"/>
    <n v="-89.240799999999993"/>
    <n v="6"/>
    <n v="0"/>
    <n v="0"/>
    <n v="107"/>
    <s v="_x0000_peopl"/>
  </r>
  <r>
    <x v="7"/>
    <n v="13.676500000000001"/>
    <n v="-89.240799999999993"/>
    <n v="6"/>
    <n v="0"/>
    <n v="0"/>
    <n v="107"/>
    <s v="_x0000_peopl"/>
  </r>
  <r>
    <x v="7"/>
    <n v="13.676600000000001"/>
    <n v="-89.240799999999993"/>
    <n v="4"/>
    <n v="0"/>
    <n v="0"/>
    <n v="107"/>
    <s v="_x0000_peopl"/>
  </r>
  <r>
    <x v="7"/>
    <n v="13.6767"/>
    <n v="-89.240700000000004"/>
    <n v="3"/>
    <n v="0"/>
    <n v="0"/>
    <n v="107"/>
    <s v="_x0000_peopl"/>
  </r>
  <r>
    <x v="7"/>
    <n v="13.6767"/>
    <n v="-89.240600000000001"/>
    <n v="6"/>
    <n v="0"/>
    <n v="0"/>
    <n v="107"/>
    <s v="_x0000_peopl"/>
  </r>
  <r>
    <x v="7"/>
    <n v="13.6768"/>
    <n v="-89.240600000000001"/>
    <n v="9"/>
    <n v="0"/>
    <n v="0"/>
    <n v="107"/>
    <s v="_x0000_peopl"/>
  </r>
  <r>
    <x v="7"/>
    <n v="13.6769"/>
    <n v="-89.240499999999997"/>
    <n v="2"/>
    <n v="0"/>
    <n v="0"/>
    <n v="107"/>
    <s v="_x0000_peopl"/>
  </r>
  <r>
    <x v="7"/>
    <n v="13.677"/>
    <n v="-89.240499999999997"/>
    <n v="3"/>
    <n v="0"/>
    <n v="0"/>
    <n v="107"/>
    <s v="_x0000_peopl"/>
  </r>
  <r>
    <x v="7"/>
    <n v="13.677"/>
    <n v="-89.240399999999994"/>
    <n v="4"/>
    <n v="0"/>
    <n v="0"/>
    <n v="107"/>
    <s v="_x0000_peopl"/>
  </r>
  <r>
    <x v="7"/>
    <n v="13.677099999999999"/>
    <n v="-89.240399999999994"/>
    <n v="1"/>
    <n v="0"/>
    <n v="0"/>
    <n v="107"/>
    <s v="_x0000_peopl"/>
  </r>
  <r>
    <x v="7"/>
    <n v="13.677199999999999"/>
    <n v="-89.240300000000005"/>
    <n v="4"/>
    <n v="0"/>
    <n v="0"/>
    <n v="107"/>
    <s v="_x0000_peopl"/>
  </r>
  <r>
    <x v="7"/>
    <n v="13.677300000000001"/>
    <n v="-89.240300000000005"/>
    <n v="4"/>
    <n v="0"/>
    <n v="0"/>
    <n v="107"/>
    <s v="_x0000_peopl"/>
  </r>
  <r>
    <x v="7"/>
    <n v="13.6774"/>
    <n v="-89.240200000000002"/>
    <n v="5"/>
    <n v="0"/>
    <n v="0"/>
    <n v="107"/>
    <s v="_x0000_peopl"/>
  </r>
  <r>
    <x v="7"/>
    <n v="13.6775"/>
    <n v="-89.240200000000002"/>
    <n v="5"/>
    <n v="0"/>
    <n v="0"/>
    <n v="107"/>
    <s v="_x0000_peopl"/>
  </r>
  <r>
    <x v="7"/>
    <n v="13.6776"/>
    <n v="-89.240099999999998"/>
    <n v="6"/>
    <n v="0"/>
    <n v="0"/>
    <n v="107"/>
    <s v="_x0000_peopl"/>
  </r>
  <r>
    <x v="7"/>
    <n v="13.6777"/>
    <n v="-89.240099999999998"/>
    <n v="6"/>
    <n v="0"/>
    <n v="0"/>
    <n v="107"/>
    <s v="_x0000_peopl"/>
  </r>
  <r>
    <x v="7"/>
    <n v="13.6778"/>
    <n v="-89.24"/>
    <n v="5"/>
    <n v="0"/>
    <n v="0"/>
    <n v="107"/>
    <s v="_x0000_peopl"/>
  </r>
  <r>
    <x v="7"/>
    <n v="13.677899999999999"/>
    <n v="-89.239900000000006"/>
    <n v="2"/>
    <n v="0"/>
    <n v="0"/>
    <n v="107"/>
    <s v="_x0000_peopl"/>
  </r>
  <r>
    <x v="7"/>
    <n v="13.6778"/>
    <n v="-89.2393"/>
    <n v="2"/>
    <n v="0"/>
    <n v="0"/>
    <n v="107"/>
    <s v="_x0000_peopl"/>
  </r>
  <r>
    <x v="7"/>
    <n v="13.6776"/>
    <n v="-89.239400000000003"/>
    <n v="4"/>
    <n v="0"/>
    <n v="0"/>
    <n v="107"/>
    <s v="_x0000_peopl"/>
  </r>
  <r>
    <x v="7"/>
    <n v="13.6775"/>
    <n v="-89.239500000000007"/>
    <n v="5"/>
    <n v="0"/>
    <n v="0"/>
    <n v="107"/>
    <s v="_x0000_peopl"/>
  </r>
  <r>
    <x v="7"/>
    <n v="13.6775"/>
    <n v="-89.239500000000007"/>
    <n v="5"/>
    <n v="0"/>
    <n v="0"/>
    <n v="107"/>
    <s v="_x0000_peopl"/>
  </r>
  <r>
    <x v="7"/>
    <n v="13.6774"/>
    <n v="-89.239599999999996"/>
    <n v="4"/>
    <n v="0"/>
    <n v="0"/>
    <n v="107"/>
    <s v="_x0000_peopl"/>
  </r>
  <r>
    <x v="7"/>
    <n v="13.677300000000001"/>
    <n v="-89.239699999999999"/>
    <n v="8"/>
    <n v="0"/>
    <n v="0"/>
    <n v="107"/>
    <s v="_x0000_peopl"/>
  </r>
  <r>
    <x v="7"/>
    <n v="13.677099999999999"/>
    <n v="-89.239699999999999"/>
    <n v="6"/>
    <n v="0"/>
    <n v="0"/>
    <n v="107"/>
    <s v="_x0000_peopl"/>
  </r>
  <r>
    <x v="7"/>
    <n v="13.677099999999999"/>
    <n v="-89.239800000000002"/>
    <n v="8"/>
    <n v="0"/>
    <n v="0"/>
    <n v="107"/>
    <s v="_x0000_peopl"/>
  </r>
  <r>
    <x v="7"/>
    <n v="13.677"/>
    <n v="-89.239900000000006"/>
    <n v="3"/>
    <n v="0"/>
    <n v="0"/>
    <n v="107"/>
    <s v="_x0000_peopl"/>
  </r>
  <r>
    <x v="7"/>
    <n v="13.6769"/>
    <n v="-89.24"/>
    <n v="5"/>
    <n v="0"/>
    <n v="0"/>
    <n v="107"/>
    <s v="_x0000_peopl"/>
  </r>
  <r>
    <x v="7"/>
    <n v="13.6768"/>
    <n v="-89.240099999999998"/>
    <n v="3"/>
    <n v="0"/>
    <n v="0"/>
    <n v="107"/>
    <s v="_x0000_peopl"/>
  </r>
  <r>
    <x v="7"/>
    <n v="13.676600000000001"/>
    <n v="-89.240200000000002"/>
    <n v="1"/>
    <n v="0"/>
    <n v="0"/>
    <n v="107"/>
    <s v="_x0000_peopl"/>
  </r>
  <r>
    <x v="7"/>
    <n v="13.6767"/>
    <n v="-89.240099999999998"/>
    <n v="7"/>
    <n v="0"/>
    <n v="0"/>
    <n v="107"/>
    <s v="_x0000_peopl"/>
  </r>
  <r>
    <x v="7"/>
    <n v="13.676600000000001"/>
    <n v="-89.240200000000002"/>
    <n v="5"/>
    <n v="0"/>
    <n v="0"/>
    <n v="107"/>
    <s v="_x0000_peopl"/>
  </r>
  <r>
    <x v="7"/>
    <n v="13.676500000000001"/>
    <n v="-89.240200000000002"/>
    <n v="2"/>
    <n v="0"/>
    <n v="0"/>
    <n v="107"/>
    <s v="_x0000_peopl"/>
  </r>
  <r>
    <x v="7"/>
    <n v="13.676399999999999"/>
    <n v="-89.240399999999994"/>
    <n v="3"/>
    <n v="0"/>
    <n v="0"/>
    <n v="107"/>
    <s v="_x0000_peopl"/>
  </r>
  <r>
    <x v="7"/>
    <n v="13.676299999999999"/>
    <n v="-89.240399999999994"/>
    <n v="11"/>
    <n v="0"/>
    <n v="0"/>
    <n v="107"/>
    <s v="_x0000_peopl"/>
  </r>
  <r>
    <x v="7"/>
    <n v="13.6762"/>
    <n v="-89.240499999999997"/>
    <n v="8"/>
    <n v="0"/>
    <n v="0"/>
    <n v="107"/>
    <s v="_x0000_peopl"/>
  </r>
  <r>
    <x v="7"/>
    <n v="13.6761"/>
    <n v="-89.240499999999997"/>
    <n v="5"/>
    <n v="0"/>
    <n v="0"/>
    <n v="107"/>
    <s v="_x0000_peopl"/>
  </r>
  <r>
    <x v="7"/>
    <n v="13.676"/>
    <n v="-89.240600000000001"/>
    <n v="1"/>
    <n v="0"/>
    <n v="0"/>
    <n v="107"/>
    <s v="_x0000_peopl"/>
  </r>
  <r>
    <x v="7"/>
    <n v="13.676"/>
    <n v="-89.240600000000001"/>
    <n v="1"/>
    <n v="0"/>
    <n v="0"/>
    <n v="107"/>
    <s v="_x0000_peopl"/>
  </r>
  <r>
    <x v="7"/>
    <n v="13.6759"/>
    <n v="-89.240700000000004"/>
    <n v="9"/>
    <n v="0"/>
    <n v="0"/>
    <n v="107"/>
    <s v="_x0000_peopl"/>
  </r>
  <r>
    <x v="7"/>
    <n v="13.675800000000001"/>
    <n v="-89.240799999999993"/>
    <n v="10"/>
    <n v="0"/>
    <n v="0"/>
    <n v="107"/>
    <s v="_x0000_peopl"/>
  </r>
  <r>
    <x v="7"/>
    <n v="13.675800000000001"/>
    <n v="-89.240799999999993"/>
    <n v="3"/>
    <n v="0"/>
    <n v="0"/>
    <n v="107"/>
    <s v="_x0000_peopl"/>
  </r>
  <r>
    <x v="7"/>
    <n v="13.675700000000001"/>
    <n v="-89.240899999999996"/>
    <n v="4"/>
    <n v="0"/>
    <n v="0"/>
    <n v="107"/>
    <s v="_x0000_peopl"/>
  </r>
  <r>
    <x v="7"/>
    <n v="13.6755"/>
    <n v="-89.241"/>
    <n v="5"/>
    <n v="0"/>
    <n v="0"/>
    <n v="107"/>
    <s v="_x0000_peopl"/>
  </r>
  <r>
    <x v="7"/>
    <n v="13.675599999999999"/>
    <n v="-89.241100000000003"/>
    <n v="6"/>
    <n v="0"/>
    <n v="0"/>
    <n v="107"/>
    <s v="_x0000_peopl"/>
  </r>
  <r>
    <x v="7"/>
    <n v="13.689500000000001"/>
    <n v="-89.224500000000006"/>
    <n v="7"/>
    <n v="0"/>
    <n v="0"/>
    <n v="107"/>
    <s v="_x0000_peopl"/>
  </r>
  <r>
    <x v="7"/>
    <n v="13.689399999999999"/>
    <n v="-89.224599999999995"/>
    <n v="8"/>
    <n v="0"/>
    <n v="0"/>
    <n v="107"/>
    <s v="_x0000_peopl"/>
  </r>
  <r>
    <x v="7"/>
    <n v="13.688800000000001"/>
    <n v="-89.226100000000002"/>
    <n v="1"/>
    <n v="0"/>
    <n v="0"/>
    <n v="107"/>
    <s v="_x0000_peopl"/>
  </r>
  <r>
    <x v="7"/>
    <n v="13.689"/>
    <n v="-89.225899999999996"/>
    <n v="5"/>
    <n v="0"/>
    <n v="0"/>
    <n v="107"/>
    <s v="_x0000_peopl"/>
  </r>
  <r>
    <x v="7"/>
    <n v="13.6889"/>
    <n v="-89.2256"/>
    <n v="6"/>
    <n v="0"/>
    <n v="0"/>
    <n v="107"/>
    <s v="_x0000_peopl"/>
  </r>
  <r>
    <x v="7"/>
    <n v="13.6889"/>
    <n v="-89.224999999999994"/>
    <n v="5"/>
    <n v="0"/>
    <n v="0"/>
    <n v="107"/>
    <s v="_x0000_peopl"/>
  </r>
  <r>
    <x v="7"/>
    <n v="13.6892"/>
    <n v="-89.225200000000001"/>
    <n v="9"/>
    <n v="0"/>
    <n v="0"/>
    <n v="107"/>
    <s v="_x0000_peopl"/>
  </r>
  <r>
    <x v="7"/>
    <n v="13.689299999999999"/>
    <n v="-89.224900000000005"/>
    <n v="3"/>
    <n v="0"/>
    <n v="0"/>
    <n v="107"/>
    <s v="_x0000_peopl"/>
  </r>
  <r>
    <x v="7"/>
    <n v="13.689500000000001"/>
    <n v="-89.224299999999999"/>
    <n v="3"/>
    <n v="0"/>
    <n v="0"/>
    <n v="107"/>
    <s v="_x0000_peopl"/>
  </r>
  <r>
    <x v="7"/>
    <n v="13.688800000000001"/>
    <n v="-89.224299999999999"/>
    <n v="10"/>
    <n v="0"/>
    <n v="0"/>
    <n v="107"/>
    <s v="_x0000_peopl"/>
  </r>
  <r>
    <x v="7"/>
    <n v="13.688800000000001"/>
    <n v="-89.2239"/>
    <n v="3"/>
    <n v="0"/>
    <n v="0"/>
    <n v="107"/>
    <s v="_x0000_peopl"/>
  </r>
  <r>
    <x v="7"/>
    <n v="13.688700000000001"/>
    <n v="-89.223399999999998"/>
    <n v="5"/>
    <n v="0"/>
    <n v="0"/>
    <n v="107"/>
    <s v="_x0000_peopl"/>
  </r>
  <r>
    <x v="7"/>
    <n v="13.689"/>
    <n v="-89.223399999999998"/>
    <n v="5"/>
    <n v="0"/>
    <n v="0"/>
    <n v="107"/>
    <s v="_x0000_peopl"/>
  </r>
  <r>
    <x v="7"/>
    <n v="13.689299999999999"/>
    <n v="-89.223399999999998"/>
    <n v="7"/>
    <n v="0"/>
    <n v="0"/>
    <n v="107"/>
    <s v="_x0000_peopl"/>
  </r>
  <r>
    <x v="7"/>
    <n v="13.689399999999999"/>
    <n v="-89.223399999999998"/>
    <n v="5"/>
    <n v="0"/>
    <n v="0"/>
    <n v="107"/>
    <s v="_x0000_peopl"/>
  </r>
  <r>
    <x v="7"/>
    <n v="13.6858"/>
    <n v="-89.229500000000002"/>
    <n v="6"/>
    <n v="0"/>
    <n v="0"/>
    <n v="107"/>
    <s v="_x0000_peopl"/>
  </r>
  <r>
    <x v="7"/>
    <n v="13.685600000000001"/>
    <n v="-89.229500000000002"/>
    <n v="3"/>
    <n v="0"/>
    <n v="0"/>
    <n v="107"/>
    <s v="_x0000_peopl"/>
  </r>
  <r>
    <x v="7"/>
    <n v="13.685499999999999"/>
    <n v="-89.229299999999995"/>
    <n v="8"/>
    <n v="0"/>
    <n v="0"/>
    <n v="107"/>
    <s v="_x0000_peopl"/>
  </r>
  <r>
    <x v="7"/>
    <n v="13.6852"/>
    <n v="-89.229100000000003"/>
    <n v="8"/>
    <n v="0"/>
    <n v="0"/>
    <n v="107"/>
    <s v="_x0000_peopl"/>
  </r>
  <r>
    <x v="7"/>
    <n v="13.6851"/>
    <n v="-89.228899999999996"/>
    <n v="1"/>
    <n v="0"/>
    <n v="0"/>
    <n v="107"/>
    <s v="_x0000_peopl"/>
  </r>
  <r>
    <x v="7"/>
    <n v="13.6851"/>
    <n v="-89.228800000000007"/>
    <n v="4"/>
    <n v="0"/>
    <n v="0"/>
    <n v="107"/>
    <s v="_x0000_peopl"/>
  </r>
  <r>
    <x v="7"/>
    <n v="13.684799999999999"/>
    <n v="-89.228899999999996"/>
    <n v="6"/>
    <n v="0"/>
    <n v="0"/>
    <n v="107"/>
    <s v="_x0000_peopl"/>
  </r>
  <r>
    <x v="7"/>
    <n v="13.686299999999999"/>
    <n v="-89.228499999999997"/>
    <n v="3"/>
    <n v="0"/>
    <n v="0"/>
    <n v="107"/>
    <s v="_x0000_peopl"/>
  </r>
  <r>
    <x v="7"/>
    <n v="13.6861"/>
    <n v="-89.2286"/>
    <n v="8"/>
    <n v="0"/>
    <n v="0"/>
    <n v="107"/>
    <s v="_x0000_peopl"/>
  </r>
  <r>
    <x v="7"/>
    <n v="13.6858"/>
    <n v="-89.228700000000003"/>
    <n v="6"/>
    <n v="0"/>
    <n v="0"/>
    <n v="107"/>
    <s v="_x0000_peopl"/>
  </r>
  <r>
    <x v="7"/>
    <n v="13.685700000000001"/>
    <n v="-89.228800000000007"/>
    <n v="8"/>
    <n v="0"/>
    <n v="0"/>
    <n v="107"/>
    <s v="_x0000_peopl"/>
  </r>
  <r>
    <x v="7"/>
    <n v="13.685600000000001"/>
    <n v="-89.228700000000003"/>
    <n v="2"/>
    <n v="0"/>
    <n v="0"/>
    <n v="107"/>
    <s v="_x0000_peopl"/>
  </r>
  <r>
    <x v="7"/>
    <n v="13.685499999999999"/>
    <n v="-89.228800000000007"/>
    <n v="5"/>
    <n v="0"/>
    <n v="0"/>
    <n v="107"/>
    <s v="_x0000_peopl"/>
  </r>
  <r>
    <x v="7"/>
    <n v="13.685499999999999"/>
    <n v="-89.228800000000007"/>
    <n v="4"/>
    <n v="0"/>
    <n v="0"/>
    <n v="107"/>
    <s v="_x0000_peopl"/>
  </r>
  <r>
    <x v="7"/>
    <n v="13.685499999999999"/>
    <n v="-89.228399999999993"/>
    <n v="3"/>
    <n v="0"/>
    <n v="0"/>
    <n v="107"/>
    <s v="_x0000_peopl"/>
  </r>
  <r>
    <x v="7"/>
    <n v="13.6859"/>
    <n v="-89.228099999999998"/>
    <n v="6"/>
    <n v="0"/>
    <n v="0"/>
    <n v="107"/>
    <s v="_x0000_peopl"/>
  </r>
  <r>
    <x v="7"/>
    <n v="13.686400000000001"/>
    <n v="-89.227800000000002"/>
    <n v="3"/>
    <n v="0"/>
    <n v="0"/>
    <n v="107"/>
    <s v="_x0000_peopl"/>
  </r>
  <r>
    <x v="7"/>
    <n v="13.6866"/>
    <n v="-89.227800000000002"/>
    <n v="6"/>
    <n v="0"/>
    <n v="0"/>
    <n v="107"/>
    <s v="_x0000_peopl"/>
  </r>
  <r>
    <x v="7"/>
    <n v="13.6844"/>
    <n v="-89.228999999999999"/>
    <n v="5"/>
    <n v="0"/>
    <n v="0"/>
    <n v="107"/>
    <s v="_x0000_peopl"/>
  </r>
  <r>
    <x v="7"/>
    <n v="13.6845"/>
    <n v="-89.228899999999996"/>
    <n v="10"/>
    <n v="0"/>
    <n v="0"/>
    <n v="107"/>
    <s v="_x0000_peopl"/>
  </r>
  <r>
    <x v="7"/>
    <n v="13.6846"/>
    <n v="-89.228899999999996"/>
    <n v="4"/>
    <n v="0"/>
    <n v="0"/>
    <n v="107"/>
    <s v="_x0000_peopl"/>
  </r>
  <r>
    <x v="7"/>
    <n v="13.6845"/>
    <n v="-89.228700000000003"/>
    <n v="7"/>
    <n v="0"/>
    <n v="0"/>
    <n v="107"/>
    <s v="_x0000_peopl"/>
  </r>
  <r>
    <x v="7"/>
    <n v="13.6846"/>
    <n v="-89.228700000000003"/>
    <n v="4"/>
    <n v="0"/>
    <n v="0"/>
    <n v="107"/>
    <s v="_x0000_peopl"/>
  </r>
  <r>
    <x v="7"/>
    <n v="13.6846"/>
    <n v="-89.2286"/>
    <n v="5"/>
    <n v="0"/>
    <n v="0"/>
    <n v="107"/>
    <s v="_x0000_peopl"/>
  </r>
  <r>
    <x v="7"/>
    <n v="13.684699999999999"/>
    <n v="-89.2286"/>
    <n v="6"/>
    <n v="0"/>
    <n v="0"/>
    <n v="107"/>
    <s v="_x0000_peopl"/>
  </r>
  <r>
    <x v="7"/>
    <n v="13.684799999999999"/>
    <n v="-89.2286"/>
    <n v="7"/>
    <n v="0"/>
    <n v="0"/>
    <n v="107"/>
    <s v="_x0000_peopl"/>
  </r>
  <r>
    <x v="7"/>
    <n v="13.684799999999999"/>
    <n v="-89.228499999999997"/>
    <n v="3"/>
    <n v="0"/>
    <n v="0"/>
    <n v="107"/>
    <s v="_x0000_peopl"/>
  </r>
  <r>
    <x v="7"/>
    <n v="13.684799999999999"/>
    <n v="-89.228399999999993"/>
    <n v="5"/>
    <n v="0"/>
    <n v="0"/>
    <n v="107"/>
    <s v="_x0000_peopl"/>
  </r>
  <r>
    <x v="7"/>
    <n v="13.684799999999999"/>
    <n v="-89.228300000000004"/>
    <n v="2"/>
    <n v="0"/>
    <n v="0"/>
    <n v="107"/>
    <s v="_x0000_peopl"/>
  </r>
  <r>
    <x v="7"/>
    <n v="13.684799999999999"/>
    <n v="-89.228200000000001"/>
    <n v="6"/>
    <n v="0"/>
    <n v="0"/>
    <n v="107"/>
    <s v="_x0000_peopl"/>
  </r>
  <r>
    <x v="7"/>
    <n v="13.684699999999999"/>
    <n v="-89.228099999999998"/>
    <n v="4"/>
    <n v="0"/>
    <n v="0"/>
    <n v="107"/>
    <s v="_x0000_peopl"/>
  </r>
  <r>
    <x v="7"/>
    <n v="13.684699999999999"/>
    <n v="-89.227900000000005"/>
    <n v="8"/>
    <n v="0"/>
    <n v="0"/>
    <n v="107"/>
    <s v="_x0000_peopl"/>
  </r>
  <r>
    <x v="7"/>
    <n v="13.684699999999999"/>
    <n v="-89.227800000000002"/>
    <n v="1"/>
    <n v="0"/>
    <n v="0"/>
    <n v="107"/>
    <s v="_x0000_peopl"/>
  </r>
  <r>
    <x v="7"/>
    <n v="13.6851"/>
    <n v="-89.228399999999993"/>
    <n v="2"/>
    <n v="0"/>
    <n v="0"/>
    <n v="107"/>
    <s v="_x0000_peopl"/>
  </r>
  <r>
    <x v="7"/>
    <n v="13.6851"/>
    <n v="-89.228200000000001"/>
    <n v="6"/>
    <n v="0"/>
    <n v="0"/>
    <n v="107"/>
    <s v="_x0000_peopl"/>
  </r>
  <r>
    <x v="7"/>
    <n v="13.6851"/>
    <n v="-89.228200000000001"/>
    <n v="4"/>
    <n v="0"/>
    <n v="0"/>
    <n v="107"/>
    <s v="_x0000_peopl"/>
  </r>
  <r>
    <x v="7"/>
    <n v="13.6851"/>
    <n v="-89.228099999999998"/>
    <n v="14"/>
    <n v="0"/>
    <n v="0"/>
    <n v="107"/>
    <s v="_x0000_peopl"/>
  </r>
  <r>
    <x v="7"/>
    <n v="13.6851"/>
    <n v="-89.228099999999998"/>
    <n v="6"/>
    <n v="0"/>
    <n v="0"/>
    <n v="107"/>
    <s v="_x0000_peopl"/>
  </r>
  <r>
    <x v="7"/>
    <n v="13.6851"/>
    <n v="-89.227999999999994"/>
    <n v="4"/>
    <n v="0"/>
    <n v="0"/>
    <n v="107"/>
    <s v="_x0000_peopl"/>
  </r>
  <r>
    <x v="7"/>
    <n v="13.685"/>
    <n v="-89.227900000000005"/>
    <n v="7"/>
    <n v="0"/>
    <n v="0"/>
    <n v="107"/>
    <s v="_x0000_peopl"/>
  </r>
  <r>
    <x v="7"/>
    <n v="13.6851"/>
    <n v="-89.227900000000005"/>
    <n v="10"/>
    <n v="0"/>
    <n v="0"/>
    <n v="107"/>
    <s v="_x0000_peopl"/>
  </r>
  <r>
    <x v="7"/>
    <n v="13.6852"/>
    <n v="-89.227900000000005"/>
    <n v="3"/>
    <n v="0"/>
    <n v="0"/>
    <n v="107"/>
    <s v="_x0000_peopl"/>
  </r>
  <r>
    <x v="7"/>
    <n v="13.6852"/>
    <n v="-89.227900000000005"/>
    <n v="3"/>
    <n v="0"/>
    <n v="0"/>
    <n v="107"/>
    <s v="_x0000_peopl"/>
  </r>
  <r>
    <x v="7"/>
    <n v="13.6854"/>
    <n v="-89.227900000000005"/>
    <n v="2"/>
    <n v="0"/>
    <n v="0"/>
    <n v="107"/>
    <s v="_x0000_peopl"/>
  </r>
  <r>
    <x v="7"/>
    <n v="13.685600000000001"/>
    <n v="-89.227699999999999"/>
    <n v="6"/>
    <n v="0"/>
    <n v="0"/>
    <n v="107"/>
    <s v="_x0000_peopl"/>
  </r>
  <r>
    <x v="7"/>
    <n v="13.685"/>
    <n v="-89.227800000000002"/>
    <n v="1"/>
    <n v="0"/>
    <n v="0"/>
    <n v="107"/>
    <s v="_x0000_peopl"/>
  </r>
  <r>
    <x v="7"/>
    <n v="13.684699999999999"/>
    <n v="-89.229299999999995"/>
    <n v="4"/>
    <n v="0"/>
    <n v="0"/>
    <n v="107"/>
    <s v="_x0000_peopl"/>
  </r>
  <r>
    <x v="7"/>
    <n v="13.683999999999999"/>
    <n v="-89.229500000000002"/>
    <n v="4"/>
    <n v="0"/>
    <n v="0"/>
    <n v="107"/>
    <s v="_x0000_peopl"/>
  </r>
  <r>
    <x v="7"/>
    <n v="13.684100000000001"/>
    <n v="-89.229399999999998"/>
    <n v="6"/>
    <n v="0"/>
    <n v="0"/>
    <n v="107"/>
    <s v="_x0000_peopl"/>
  </r>
  <r>
    <x v="7"/>
    <n v="13.6843"/>
    <n v="-89.229500000000002"/>
    <n v="9"/>
    <n v="0"/>
    <n v="0"/>
    <n v="107"/>
    <s v="_x0000_peopl"/>
  </r>
  <r>
    <x v="7"/>
    <n v="13.6844"/>
    <n v="-89.229399999999998"/>
    <n v="11"/>
    <n v="0"/>
    <n v="0"/>
    <n v="107"/>
    <s v="_x0000_peopl"/>
  </r>
  <r>
    <x v="7"/>
    <n v="13.683999999999999"/>
    <n v="-89.229299999999995"/>
    <n v="6"/>
    <n v="0"/>
    <n v="0"/>
    <n v="107"/>
    <s v="_x0000_peopl"/>
  </r>
  <r>
    <x v="7"/>
    <n v="13.683999999999999"/>
    <n v="-89.229299999999995"/>
    <n v="7"/>
    <n v="0"/>
    <n v="0"/>
    <n v="107"/>
    <s v="_x0000_peopl"/>
  </r>
  <r>
    <x v="7"/>
    <n v="13.684200000000001"/>
    <n v="-89.229200000000006"/>
    <n v="8"/>
    <n v="0"/>
    <n v="0"/>
    <n v="107"/>
    <s v="_x0000_peopl"/>
  </r>
  <r>
    <x v="7"/>
    <n v="13.6843"/>
    <n v="-89.229100000000003"/>
    <n v="4"/>
    <n v="0"/>
    <n v="0"/>
    <n v="107"/>
    <s v="_x0000_peopl"/>
  </r>
  <r>
    <x v="7"/>
    <n v="13.684100000000001"/>
    <n v="-89.228800000000007"/>
    <n v="3"/>
    <n v="0"/>
    <n v="0"/>
    <n v="107"/>
    <s v="_x0000_peopl"/>
  </r>
  <r>
    <x v="7"/>
    <n v="13.684100000000001"/>
    <n v="-89.2286"/>
    <n v="5"/>
    <n v="0"/>
    <n v="0"/>
    <n v="107"/>
    <s v="_x0000_peopl"/>
  </r>
  <r>
    <x v="7"/>
    <n v="13.684200000000001"/>
    <n v="-89.228499999999997"/>
    <n v="5"/>
    <n v="0"/>
    <n v="0"/>
    <n v="107"/>
    <s v="_x0000_peopl"/>
  </r>
  <r>
    <x v="7"/>
    <n v="13.684100000000001"/>
    <n v="-89.228399999999993"/>
    <n v="9"/>
    <n v="0"/>
    <n v="0"/>
    <n v="107"/>
    <s v="_x0000_peopl"/>
  </r>
  <r>
    <x v="7"/>
    <n v="13.684100000000001"/>
    <n v="-89.228200000000001"/>
    <n v="7"/>
    <n v="0"/>
    <n v="0"/>
    <n v="107"/>
    <s v="_x0000_peopl"/>
  </r>
  <r>
    <x v="7"/>
    <n v="13.684100000000001"/>
    <n v="-89.228099999999998"/>
    <n v="5"/>
    <n v="0"/>
    <n v="0"/>
    <n v="107"/>
    <s v="_x0000_peopl"/>
  </r>
  <r>
    <x v="7"/>
    <n v="13.684200000000001"/>
    <n v="-89.227999999999994"/>
    <n v="6"/>
    <n v="0"/>
    <n v="0"/>
    <n v="107"/>
    <s v="_x0000_peopl"/>
  </r>
  <r>
    <x v="7"/>
    <n v="13.6843"/>
    <n v="-89.227800000000002"/>
    <n v="8"/>
    <n v="0"/>
    <n v="0"/>
    <n v="107"/>
    <s v="_x0000_peopl"/>
  </r>
  <r>
    <x v="7"/>
    <n v="13.6882"/>
    <n v="-89.220500000000001"/>
    <n v="5"/>
    <n v="0"/>
    <n v="0"/>
    <n v="107"/>
    <s v="_x0000_peopl"/>
  </r>
  <r>
    <x v="7"/>
    <n v="13.6882"/>
    <n v="-89.220500000000001"/>
    <n v="4"/>
    <n v="0"/>
    <n v="0"/>
    <n v="107"/>
    <s v="_x0000_peopl"/>
  </r>
  <r>
    <x v="7"/>
    <n v="13.6881"/>
    <n v="-89.220399999999998"/>
    <n v="5"/>
    <n v="0"/>
    <n v="0"/>
    <n v="107"/>
    <s v="_x0000_peopl"/>
  </r>
  <r>
    <x v="7"/>
    <n v="13.688000000000001"/>
    <n v="-89.220399999999998"/>
    <n v="3"/>
    <n v="0"/>
    <n v="0"/>
    <n v="107"/>
    <s v="_x0000_peopl"/>
  </r>
  <r>
    <x v="7"/>
    <n v="13.688000000000001"/>
    <n v="-89.220299999999995"/>
    <n v="3"/>
    <n v="0"/>
    <n v="0"/>
    <n v="107"/>
    <s v="_x0000_peopl"/>
  </r>
  <r>
    <x v="7"/>
    <n v="13.688000000000001"/>
    <n v="-89.220600000000005"/>
    <n v="7"/>
    <n v="0"/>
    <n v="0"/>
    <n v="107"/>
    <s v="_x0000_peopl"/>
  </r>
  <r>
    <x v="7"/>
    <n v="13.688000000000001"/>
    <n v="-89.219899999999996"/>
    <n v="3"/>
    <n v="0"/>
    <n v="0"/>
    <n v="107"/>
    <s v="_x0000_peopl"/>
  </r>
  <r>
    <x v="7"/>
    <n v="13.688000000000001"/>
    <n v="-89.219899999999996"/>
    <n v="9"/>
    <n v="0"/>
    <n v="0"/>
    <n v="107"/>
    <s v="_x0000_peopl"/>
  </r>
  <r>
    <x v="7"/>
    <n v="13.688000000000001"/>
    <n v="-89.219899999999996"/>
    <n v="5"/>
    <n v="0"/>
    <n v="0"/>
    <n v="107"/>
    <s v="_x0000_peopl"/>
  </r>
  <r>
    <x v="7"/>
    <n v="13.688000000000001"/>
    <n v="-89.221000000000004"/>
    <n v="4"/>
    <n v="0"/>
    <n v="0"/>
    <n v="107"/>
    <s v="_x0000_peopl"/>
  </r>
  <r>
    <x v="7"/>
    <n v="13.6881"/>
    <n v="-89.220799999999997"/>
    <n v="4"/>
    <n v="0"/>
    <n v="0"/>
    <n v="107"/>
    <s v="_x0000_peopl"/>
  </r>
  <r>
    <x v="7"/>
    <n v="13.688000000000001"/>
    <n v="-89.220699999999994"/>
    <n v="5"/>
    <n v="0"/>
    <n v="0"/>
    <n v="107"/>
    <s v="_x0000_peopl"/>
  </r>
  <r>
    <x v="7"/>
    <n v="13.688000000000001"/>
    <n v="-89.220699999999994"/>
    <n v="3"/>
    <n v="0"/>
    <n v="0"/>
    <n v="107"/>
    <s v="_x0000_peopl"/>
  </r>
  <r>
    <x v="7"/>
    <n v="13.6882"/>
    <n v="-89.221900000000005"/>
    <n v="5"/>
    <n v="0"/>
    <n v="0"/>
    <n v="107"/>
    <s v="_x0000_peopl"/>
  </r>
  <r>
    <x v="7"/>
    <n v="13.688000000000001"/>
    <n v="-89.221699999999998"/>
    <n v="8"/>
    <n v="0"/>
    <n v="0"/>
    <n v="107"/>
    <s v="_x0000_peopl"/>
  </r>
  <r>
    <x v="7"/>
    <n v="13.6882"/>
    <n v="-89.221500000000006"/>
    <n v="4"/>
    <n v="0"/>
    <n v="0"/>
    <n v="107"/>
    <s v="_x0000_peopl"/>
  </r>
  <r>
    <x v="7"/>
    <n v="13.6881"/>
    <n v="-89.221299999999999"/>
    <n v="3"/>
    <n v="0"/>
    <n v="0"/>
    <n v="107"/>
    <s v="_x0000_peopl"/>
  </r>
  <r>
    <x v="7"/>
    <n v="13.684799999999999"/>
    <n v="-89.245699999999999"/>
    <n v="10"/>
    <n v="0"/>
    <n v="0"/>
    <n v="107"/>
    <s v="_x0000_peopl"/>
  </r>
  <r>
    <x v="7"/>
    <n v="13.6869"/>
    <n v="-89.245000000000005"/>
    <n v="4"/>
    <n v="0"/>
    <n v="0"/>
    <n v="107"/>
    <s v="_x0000_peopl"/>
  </r>
  <r>
    <x v="7"/>
    <n v="13.686999999999999"/>
    <n v="-89.245000000000005"/>
    <n v="7"/>
    <n v="0"/>
    <n v="0"/>
    <n v="107"/>
    <s v="_x0000_peopl"/>
  </r>
  <r>
    <x v="7"/>
    <n v="13.687099999999999"/>
    <n v="-89.245199999999997"/>
    <n v="5"/>
    <n v="0"/>
    <n v="0"/>
    <n v="107"/>
    <s v="_x0000_peopl"/>
  </r>
  <r>
    <x v="7"/>
    <n v="13.687200000000001"/>
    <n v="-89.245199999999997"/>
    <n v="11"/>
    <n v="0"/>
    <n v="0"/>
    <n v="107"/>
    <s v="_x0000_peopl"/>
  </r>
  <r>
    <x v="7"/>
    <n v="13.687200000000001"/>
    <n v="-89.245400000000004"/>
    <n v="8"/>
    <n v="0"/>
    <n v="0"/>
    <n v="107"/>
    <s v="_x0000_peopl"/>
  </r>
  <r>
    <x v="7"/>
    <n v="13.687099999999999"/>
    <n v="-89.245400000000004"/>
    <n v="13"/>
    <n v="0"/>
    <n v="0"/>
    <n v="107"/>
    <s v="_x0000_peopl"/>
  </r>
  <r>
    <x v="7"/>
    <n v="13.686999999999999"/>
    <n v="-89.245400000000004"/>
    <n v="4"/>
    <n v="0"/>
    <n v="0"/>
    <n v="107"/>
    <s v="_x0000_peopl"/>
  </r>
  <r>
    <x v="7"/>
    <n v="13.6869"/>
    <n v="-89.245400000000004"/>
    <n v="4"/>
    <n v="0"/>
    <n v="0"/>
    <n v="107"/>
    <s v="_x0000_peopl"/>
  </r>
  <r>
    <x v="7"/>
    <n v="13.6868"/>
    <n v="-89.245400000000004"/>
    <n v="6"/>
    <n v="0"/>
    <n v="0"/>
    <n v="107"/>
    <s v="_x0000_peopl"/>
  </r>
  <r>
    <x v="7"/>
    <n v="13.6867"/>
    <n v="-89.245400000000004"/>
    <n v="6"/>
    <n v="0"/>
    <n v="0"/>
    <n v="107"/>
    <s v="_x0000_peopl"/>
  </r>
  <r>
    <x v="7"/>
    <n v="13.6867"/>
    <n v="-89.245400000000004"/>
    <n v="5"/>
    <n v="0"/>
    <n v="0"/>
    <n v="107"/>
    <s v="_x0000_peopl"/>
  </r>
  <r>
    <x v="7"/>
    <n v="13.6866"/>
    <n v="-89.245400000000004"/>
    <n v="7"/>
    <n v="0"/>
    <n v="0"/>
    <n v="107"/>
    <s v="_x0000_peopl"/>
  </r>
  <r>
    <x v="7"/>
    <n v="13.686299999999999"/>
    <n v="-89.245400000000004"/>
    <n v="5"/>
    <n v="0"/>
    <n v="0"/>
    <n v="107"/>
    <s v="_x0000_peopl"/>
  </r>
  <r>
    <x v="7"/>
    <n v="13.686500000000001"/>
    <n v="-89.245199999999997"/>
    <n v="5"/>
    <n v="0"/>
    <n v="0"/>
    <n v="107"/>
    <s v="_x0000_peopl"/>
  </r>
  <r>
    <x v="7"/>
    <n v="13.6866"/>
    <n v="-89.245199999999997"/>
    <n v="3"/>
    <n v="0"/>
    <n v="0"/>
    <n v="107"/>
    <s v="_x0000_peopl"/>
  </r>
  <r>
    <x v="7"/>
    <n v="13.6867"/>
    <n v="-89.245199999999997"/>
    <n v="6"/>
    <n v="0"/>
    <n v="0"/>
    <n v="107"/>
    <s v="_x0000_peopl"/>
  </r>
  <r>
    <x v="7"/>
    <n v="13.6868"/>
    <n v="-89.245199999999997"/>
    <n v="7"/>
    <n v="0"/>
    <n v="0"/>
    <n v="107"/>
    <s v="_x0000_peopl"/>
  </r>
  <r>
    <x v="7"/>
    <n v="13.6869"/>
    <n v="-89.245199999999997"/>
    <n v="4"/>
    <n v="0"/>
    <n v="0"/>
    <n v="107"/>
    <s v="_x0000_peopl"/>
  </r>
  <r>
    <x v="7"/>
    <n v="13.6896"/>
    <n v="-89.240099999999998"/>
    <n v="5"/>
    <n v="0"/>
    <n v="0"/>
    <n v="107"/>
    <s v="_x0000_peopl"/>
  </r>
  <r>
    <x v="7"/>
    <n v="13.689500000000001"/>
    <n v="-89.240099999999998"/>
    <n v="4"/>
    <n v="0"/>
    <n v="0"/>
    <n v="107"/>
    <s v="_x0000_peopl"/>
  </r>
  <r>
    <x v="7"/>
    <n v="13.689399999999999"/>
    <n v="-89.240099999999998"/>
    <n v="3"/>
    <n v="0"/>
    <n v="0"/>
    <n v="107"/>
    <s v="_x0000_peopl"/>
  </r>
  <r>
    <x v="7"/>
    <n v="13.6897"/>
    <n v="-89.239900000000006"/>
    <n v="8"/>
    <n v="0"/>
    <n v="0"/>
    <n v="107"/>
    <s v="_x0000_peopl"/>
  </r>
  <r>
    <x v="7"/>
    <n v="13.6898"/>
    <n v="-89.239900000000006"/>
    <n v="6"/>
    <n v="0"/>
    <n v="0"/>
    <n v="107"/>
    <s v="_x0000_peopl"/>
  </r>
  <r>
    <x v="7"/>
    <n v="13.6897"/>
    <n v="-89.239400000000003"/>
    <n v="5"/>
    <n v="0"/>
    <n v="0"/>
    <n v="107"/>
    <s v="_x0000_peopl"/>
  </r>
  <r>
    <x v="7"/>
    <n v="13.69"/>
    <n v="-89.2393"/>
    <n v="5"/>
    <n v="0"/>
    <n v="0"/>
    <n v="107"/>
    <s v="_x0000_peopl"/>
  </r>
  <r>
    <x v="7"/>
    <n v="13.6897"/>
    <n v="-89.201899999999995"/>
    <n v="1"/>
    <n v="0"/>
    <n v="0"/>
    <n v="107"/>
    <s v="_x0000_peopl"/>
  </r>
  <r>
    <x v="7"/>
    <n v="13.689500000000001"/>
    <n v="-89.201899999999995"/>
    <n v="6"/>
    <n v="0"/>
    <n v="0"/>
    <n v="107"/>
    <s v="_x0000_peopl"/>
  </r>
  <r>
    <x v="7"/>
    <n v="13.689500000000001"/>
    <n v="-89.201800000000006"/>
    <n v="4"/>
    <n v="0"/>
    <n v="0"/>
    <n v="107"/>
    <s v="_x0000_peopl"/>
  </r>
  <r>
    <x v="7"/>
    <n v="13.685700000000001"/>
    <n v="-89.234200000000001"/>
    <n v="3"/>
    <n v="0"/>
    <n v="0"/>
    <n v="107"/>
    <s v="_x0000_peopl"/>
  </r>
  <r>
    <x v="7"/>
    <n v="13.685700000000001"/>
    <n v="-89.234200000000001"/>
    <n v="3"/>
    <n v="0"/>
    <n v="0"/>
    <n v="107"/>
    <s v="_x0000_peopl"/>
  </r>
  <r>
    <x v="7"/>
    <n v="13.685700000000001"/>
    <n v="-89.234200000000001"/>
    <n v="5"/>
    <n v="0"/>
    <n v="0"/>
    <n v="107"/>
    <s v="_x0000_peopl"/>
  </r>
  <r>
    <x v="7"/>
    <n v="13.6858"/>
    <n v="-89.234099999999998"/>
    <n v="5"/>
    <n v="0"/>
    <n v="0"/>
    <n v="107"/>
    <s v="_x0000_peopl"/>
  </r>
  <r>
    <x v="7"/>
    <n v="13.6858"/>
    <n v="-89.234099999999998"/>
    <n v="0"/>
    <n v="0"/>
    <n v="0"/>
    <n v="107"/>
    <s v="_x0000_peopl"/>
  </r>
  <r>
    <x v="7"/>
    <n v="13.6858"/>
    <n v="-89.233999999999995"/>
    <n v="11"/>
    <n v="0"/>
    <n v="0"/>
    <n v="107"/>
    <s v="_x0000_peopl"/>
  </r>
  <r>
    <x v="7"/>
    <n v="13.6858"/>
    <n v="-89.233999999999995"/>
    <n v="4"/>
    <n v="0"/>
    <n v="0"/>
    <n v="107"/>
    <s v="_x0000_peopl"/>
  </r>
  <r>
    <x v="7"/>
    <n v="13.6858"/>
    <n v="-89.233999999999995"/>
    <n v="7"/>
    <n v="0"/>
    <n v="0"/>
    <n v="107"/>
    <s v="_x0000_peopl"/>
  </r>
  <r>
    <x v="7"/>
    <n v="13.6858"/>
    <n v="-89.233900000000006"/>
    <n v="5"/>
    <n v="0"/>
    <n v="0"/>
    <n v="107"/>
    <s v="_x0000_peopl"/>
  </r>
  <r>
    <x v="7"/>
    <n v="13.6858"/>
    <n v="-89.233900000000006"/>
    <n v="8"/>
    <n v="0"/>
    <n v="0"/>
    <n v="107"/>
    <s v="_x0000_peopl"/>
  </r>
  <r>
    <x v="7"/>
    <n v="13.6858"/>
    <n v="-89.233800000000002"/>
    <n v="2"/>
    <n v="0"/>
    <n v="0"/>
    <n v="107"/>
    <s v="_x0000_peopl"/>
  </r>
  <r>
    <x v="7"/>
    <n v="13.6858"/>
    <n v="-89.233800000000002"/>
    <n v="5"/>
    <n v="0"/>
    <n v="0"/>
    <n v="107"/>
    <s v="_x0000_peopl"/>
  </r>
  <r>
    <x v="7"/>
    <n v="13.6858"/>
    <n v="-89.233800000000002"/>
    <n v="4"/>
    <n v="0"/>
    <n v="0"/>
    <n v="107"/>
    <s v="_x0000_peopl"/>
  </r>
  <r>
    <x v="7"/>
    <n v="13.6859"/>
    <n v="-89.233699999999999"/>
    <n v="8"/>
    <n v="0"/>
    <n v="0"/>
    <n v="107"/>
    <s v="_x0000_peopl"/>
  </r>
  <r>
    <x v="7"/>
    <n v="13.6859"/>
    <n v="-89.233699999999999"/>
    <n v="5"/>
    <n v="0"/>
    <n v="0"/>
    <n v="107"/>
    <s v="_x0000_peopl"/>
  </r>
  <r>
    <x v="7"/>
    <n v="13.6859"/>
    <n v="-89.233599999999996"/>
    <n v="3"/>
    <n v="0"/>
    <n v="0"/>
    <n v="107"/>
    <s v="_x0000_peopl"/>
  </r>
  <r>
    <x v="7"/>
    <n v="13.6859"/>
    <n v="-89.233599999999996"/>
    <n v="4"/>
    <n v="0"/>
    <n v="0"/>
    <n v="107"/>
    <s v="_x0000_peopl"/>
  </r>
  <r>
    <x v="7"/>
    <n v="13.6854"/>
    <n v="-89.234399999999994"/>
    <n v="5"/>
    <n v="0"/>
    <n v="0"/>
    <n v="107"/>
    <s v="_x0000_peopl"/>
  </r>
  <r>
    <x v="7"/>
    <n v="13.685499999999999"/>
    <n v="-89.234300000000005"/>
    <n v="4"/>
    <n v="0"/>
    <n v="0"/>
    <n v="107"/>
    <s v="_x0000_peopl"/>
  </r>
  <r>
    <x v="7"/>
    <n v="13.685499999999999"/>
    <n v="-89.234200000000001"/>
    <n v="5"/>
    <n v="0"/>
    <n v="0"/>
    <n v="107"/>
    <s v="_x0000_peopl"/>
  </r>
  <r>
    <x v="7"/>
    <n v="13.685499999999999"/>
    <n v="-89.234099999999998"/>
    <n v="4"/>
    <n v="0"/>
    <n v="0"/>
    <n v="107"/>
    <s v="_x0000_peopl"/>
  </r>
  <r>
    <x v="7"/>
    <n v="13.685600000000001"/>
    <n v="-89.233999999999995"/>
    <n v="4"/>
    <n v="0"/>
    <n v="0"/>
    <n v="107"/>
    <s v="_x0000_peopl"/>
  </r>
  <r>
    <x v="7"/>
    <n v="13.685600000000001"/>
    <n v="-89.233900000000006"/>
    <n v="7"/>
    <n v="0"/>
    <n v="0"/>
    <n v="107"/>
    <s v="_x0000_peopl"/>
  </r>
  <r>
    <x v="7"/>
    <n v="13.685600000000001"/>
    <n v="-89.233699999999999"/>
    <n v="9"/>
    <n v="0"/>
    <n v="0"/>
    <n v="107"/>
    <s v="_x0000_peopl"/>
  </r>
  <r>
    <x v="7"/>
    <n v="13.685700000000001"/>
    <n v="-89.233599999999996"/>
    <n v="4"/>
    <n v="0"/>
    <n v="0"/>
    <n v="107"/>
    <s v="_x0000_peopl"/>
  </r>
  <r>
    <x v="7"/>
    <n v="13.6853"/>
    <n v="-89.234099999999998"/>
    <n v="2"/>
    <n v="0"/>
    <n v="0"/>
    <n v="107"/>
    <s v="_x0000_peopl"/>
  </r>
  <r>
    <x v="7"/>
    <n v="13.6853"/>
    <n v="-89.233999999999995"/>
    <n v="4"/>
    <n v="0"/>
    <n v="0"/>
    <n v="107"/>
    <s v="_x0000_peopl"/>
  </r>
  <r>
    <x v="7"/>
    <n v="13.6853"/>
    <n v="-89.233900000000006"/>
    <n v="7"/>
    <n v="0"/>
    <n v="0"/>
    <n v="107"/>
    <s v="_x0000_peopl"/>
  </r>
  <r>
    <x v="7"/>
    <n v="13.6854"/>
    <n v="-89.233800000000002"/>
    <n v="10"/>
    <n v="0"/>
    <n v="0"/>
    <n v="107"/>
    <s v="_x0000_peopl"/>
  </r>
  <r>
    <x v="7"/>
    <n v="13.6854"/>
    <n v="-89.233699999999999"/>
    <n v="5"/>
    <n v="0"/>
    <n v="0"/>
    <n v="107"/>
    <s v="_x0000_peopl"/>
  </r>
  <r>
    <x v="7"/>
    <n v="13.686"/>
    <n v="-89.233699999999999"/>
    <n v="5"/>
    <n v="0"/>
    <n v="0"/>
    <n v="107"/>
    <s v="_x0000_peopl"/>
  </r>
  <r>
    <x v="7"/>
    <n v="13.686"/>
    <n v="-89.233699999999999"/>
    <n v="4"/>
    <n v="0"/>
    <n v="0"/>
    <n v="107"/>
    <s v="_x0000_peopl"/>
  </r>
  <r>
    <x v="7"/>
    <n v="13.686"/>
    <n v="-89.233599999999996"/>
    <n v="8"/>
    <n v="0"/>
    <n v="0"/>
    <n v="107"/>
    <s v="_x0000_peopl"/>
  </r>
  <r>
    <x v="7"/>
    <n v="13.686"/>
    <n v="-89.233599999999996"/>
    <n v="4"/>
    <n v="0"/>
    <n v="0"/>
    <n v="107"/>
    <s v="_x0000_peopl"/>
  </r>
  <r>
    <x v="7"/>
    <n v="13.686"/>
    <n v="-89.233500000000006"/>
    <n v="8"/>
    <n v="0"/>
    <n v="0"/>
    <n v="107"/>
    <s v="_x0000_peopl"/>
  </r>
  <r>
    <x v="7"/>
    <n v="13.686"/>
    <n v="-89.233500000000006"/>
    <n v="2"/>
    <n v="0"/>
    <n v="0"/>
    <n v="107"/>
    <s v="_x0000_peopl"/>
  </r>
  <r>
    <x v="7"/>
    <n v="13.6861"/>
    <n v="-89.233400000000003"/>
    <n v="6"/>
    <n v="0"/>
    <n v="0"/>
    <n v="107"/>
    <s v="_x0000_peopl"/>
  </r>
  <r>
    <x v="7"/>
    <n v="13.6861"/>
    <n v="-89.233400000000003"/>
    <n v="12"/>
    <n v="0"/>
    <n v="0"/>
    <n v="107"/>
    <s v="_x0000_peopl"/>
  </r>
  <r>
    <x v="7"/>
    <n v="13.6861"/>
    <n v="-89.233400000000003"/>
    <n v="5"/>
    <n v="0"/>
    <n v="0"/>
    <n v="107"/>
    <s v="_x0000_peopl"/>
  </r>
  <r>
    <x v="7"/>
    <n v="13.6861"/>
    <n v="-89.2333"/>
    <n v="6"/>
    <n v="0"/>
    <n v="0"/>
    <n v="107"/>
    <s v="_x0000_peopl"/>
  </r>
  <r>
    <x v="7"/>
    <n v="13.6861"/>
    <n v="-89.2333"/>
    <n v="6"/>
    <n v="0"/>
    <n v="0"/>
    <n v="107"/>
    <s v="_x0000_peopl"/>
  </r>
  <r>
    <x v="7"/>
    <n v="13.6861"/>
    <n v="-89.233199999999997"/>
    <n v="2"/>
    <n v="0"/>
    <n v="0"/>
    <n v="107"/>
    <s v="_x0000_peopl"/>
  </r>
  <r>
    <x v="7"/>
    <n v="13.6861"/>
    <n v="-89.233199999999997"/>
    <n v="8"/>
    <n v="0"/>
    <n v="0"/>
    <n v="107"/>
    <s v="_x0000_peopl"/>
  </r>
  <r>
    <x v="7"/>
    <n v="13.686199999999999"/>
    <n v="-89.233099999999993"/>
    <n v="4"/>
    <n v="0"/>
    <n v="0"/>
    <n v="107"/>
    <s v="_x0000_peopl"/>
  </r>
  <r>
    <x v="7"/>
    <n v="13.686199999999999"/>
    <n v="-89.233099999999993"/>
    <n v="4"/>
    <n v="0"/>
    <n v="0"/>
    <n v="107"/>
    <s v="_x0000_peopl"/>
  </r>
  <r>
    <x v="7"/>
    <n v="13.686199999999999"/>
    <n v="-89.233099999999993"/>
    <n v="4"/>
    <n v="0"/>
    <n v="0"/>
    <n v="107"/>
    <s v="_x0000_peopl"/>
  </r>
  <r>
    <x v="7"/>
    <n v="13.686199999999999"/>
    <n v="-89.233000000000004"/>
    <n v="4"/>
    <n v="0"/>
    <n v="0"/>
    <n v="107"/>
    <s v="_x0000_peopl"/>
  </r>
  <r>
    <x v="7"/>
    <n v="13.686199999999999"/>
    <n v="-89.233000000000004"/>
    <n v="6"/>
    <n v="0"/>
    <n v="0"/>
    <n v="107"/>
    <s v="_x0000_peopl"/>
  </r>
  <r>
    <x v="7"/>
    <n v="13.686199999999999"/>
    <n v="-89.232900000000001"/>
    <n v="9"/>
    <n v="0"/>
    <n v="0"/>
    <n v="107"/>
    <s v="_x0000_peopl"/>
  </r>
  <r>
    <x v="7"/>
    <n v="13.686199999999999"/>
    <n v="-89.232900000000001"/>
    <n v="4"/>
    <n v="0"/>
    <n v="0"/>
    <n v="107"/>
    <s v="_x0000_peopl"/>
  </r>
  <r>
    <x v="7"/>
    <n v="13.686199999999999"/>
    <n v="-89.232799999999997"/>
    <n v="4"/>
    <n v="0"/>
    <n v="0"/>
    <n v="107"/>
    <s v="_x0000_peopl"/>
  </r>
  <r>
    <x v="7"/>
    <n v="13.686299999999999"/>
    <n v="-89.232799999999997"/>
    <n v="3"/>
    <n v="0"/>
    <n v="0"/>
    <n v="107"/>
    <s v="_x0000_peopl"/>
  </r>
  <r>
    <x v="7"/>
    <n v="13.686299999999999"/>
    <n v="-89.232699999999994"/>
    <n v="7"/>
    <n v="0"/>
    <n v="0"/>
    <n v="107"/>
    <s v="_x0000_peopl"/>
  </r>
  <r>
    <x v="7"/>
    <n v="13.686299999999999"/>
    <n v="-89.232699999999994"/>
    <n v="6"/>
    <n v="0"/>
    <n v="0"/>
    <n v="107"/>
    <s v="_x0000_peopl"/>
  </r>
  <r>
    <x v="7"/>
    <n v="13.6859"/>
    <n v="-89.233599999999996"/>
    <n v="4"/>
    <n v="0"/>
    <n v="0"/>
    <n v="107"/>
    <s v="_x0000_peopl"/>
  </r>
  <r>
    <x v="7"/>
    <n v="13.685700000000001"/>
    <n v="-89.233500000000006"/>
    <n v="6"/>
    <n v="0"/>
    <n v="0"/>
    <n v="107"/>
    <s v="_x0000_peopl"/>
  </r>
  <r>
    <x v="7"/>
    <n v="13.6858"/>
    <n v="-89.2333"/>
    <n v="5"/>
    <n v="0"/>
    <n v="0"/>
    <n v="107"/>
    <s v="_x0000_peopl"/>
  </r>
  <r>
    <x v="7"/>
    <n v="13.6858"/>
    <n v="-89.233199999999997"/>
    <n v="4"/>
    <n v="0"/>
    <n v="0"/>
    <n v="107"/>
    <s v="_x0000_peopl"/>
  </r>
  <r>
    <x v="7"/>
    <n v="13.6859"/>
    <n v="-89.233500000000006"/>
    <n v="6"/>
    <n v="0"/>
    <n v="0"/>
    <n v="107"/>
    <s v="_x0000_peopl"/>
  </r>
  <r>
    <x v="7"/>
    <n v="13.6859"/>
    <n v="-89.233500000000006"/>
    <n v="6"/>
    <n v="0"/>
    <n v="0"/>
    <n v="107"/>
    <s v="_x0000_peopl"/>
  </r>
  <r>
    <x v="7"/>
    <n v="13.6859"/>
    <n v="-89.233400000000003"/>
    <n v="5"/>
    <n v="0"/>
    <n v="0"/>
    <n v="107"/>
    <s v="_x0000_peopl"/>
  </r>
  <r>
    <x v="7"/>
    <n v="13.686"/>
    <n v="-89.233400000000003"/>
    <n v="7"/>
    <n v="0"/>
    <n v="0"/>
    <n v="107"/>
    <s v="_x0000_peopl"/>
  </r>
  <r>
    <x v="7"/>
    <n v="13.686"/>
    <n v="-89.233400000000003"/>
    <n v="5"/>
    <n v="0"/>
    <n v="0"/>
    <n v="107"/>
    <s v="_x0000_peopl"/>
  </r>
  <r>
    <x v="7"/>
    <n v="13.686"/>
    <n v="-89.2333"/>
    <n v="6"/>
    <n v="0"/>
    <n v="0"/>
    <n v="107"/>
    <s v="_x0000_peopl"/>
  </r>
  <r>
    <x v="7"/>
    <n v="13.686"/>
    <n v="-89.2333"/>
    <n v="4"/>
    <n v="0"/>
    <n v="0"/>
    <n v="107"/>
    <s v="_x0000_peopl"/>
  </r>
  <r>
    <x v="7"/>
    <n v="13.686"/>
    <n v="-89.233199999999997"/>
    <n v="2"/>
    <n v="0"/>
    <n v="0"/>
    <n v="107"/>
    <s v="_x0000_peopl"/>
  </r>
  <r>
    <x v="7"/>
    <n v="13.6861"/>
    <n v="-89.233199999999997"/>
    <n v="4"/>
    <n v="0"/>
    <n v="0"/>
    <n v="107"/>
    <s v="_x0000_peopl"/>
  </r>
  <r>
    <x v="7"/>
    <n v="13.686"/>
    <n v="-89.233099999999993"/>
    <n v="4"/>
    <n v="0"/>
    <n v="0"/>
    <n v="107"/>
    <s v="_x0000_peopl"/>
  </r>
  <r>
    <x v="7"/>
    <n v="13.686"/>
    <n v="-89.233099999999993"/>
    <n v="7"/>
    <n v="0"/>
    <n v="0"/>
    <n v="107"/>
    <s v="_x0000_peopl"/>
  </r>
  <r>
    <x v="7"/>
    <n v="13.686"/>
    <n v="-89.233099999999993"/>
    <n v="2"/>
    <n v="0"/>
    <n v="0"/>
    <n v="107"/>
    <s v="_x0000_peopl"/>
  </r>
  <r>
    <x v="7"/>
    <n v="13.6859"/>
    <n v="-89.233099999999993"/>
    <n v="2"/>
    <n v="0"/>
    <n v="0"/>
    <n v="107"/>
    <s v="_x0000_peopl"/>
  </r>
  <r>
    <x v="7"/>
    <n v="13.6859"/>
    <n v="-89.233099999999993"/>
    <n v="6"/>
    <n v="0"/>
    <n v="0"/>
    <n v="107"/>
    <s v="_x0000_peopl"/>
  </r>
  <r>
    <x v="7"/>
    <n v="13.6858"/>
    <n v="-89.233099999999993"/>
    <n v="6"/>
    <n v="0"/>
    <n v="0"/>
    <n v="107"/>
    <s v="_x0000_peopl"/>
  </r>
  <r>
    <x v="7"/>
    <n v="13.6858"/>
    <n v="-89.233099999999993"/>
    <n v="4"/>
    <n v="0"/>
    <n v="0"/>
    <n v="107"/>
    <s v="_x0000_peopl"/>
  </r>
  <r>
    <x v="7"/>
    <n v="13.6861"/>
    <n v="-89.233099999999993"/>
    <n v="4"/>
    <n v="0"/>
    <n v="0"/>
    <n v="107"/>
    <s v="_x0000_peopl"/>
  </r>
  <r>
    <x v="7"/>
    <n v="13.6861"/>
    <n v="-89.233099999999993"/>
    <n v="7"/>
    <n v="0"/>
    <n v="0"/>
    <n v="107"/>
    <s v="_x0000_peopl"/>
  </r>
  <r>
    <x v="7"/>
    <n v="13.6861"/>
    <n v="-89.233000000000004"/>
    <n v="3"/>
    <n v="0"/>
    <n v="0"/>
    <n v="107"/>
    <s v="_x0000_peopl"/>
  </r>
  <r>
    <x v="7"/>
    <n v="13.6861"/>
    <n v="-89.233000000000004"/>
    <n v="7"/>
    <n v="0"/>
    <n v="0"/>
    <n v="107"/>
    <s v="_x0000_peopl"/>
  </r>
  <r>
    <x v="7"/>
    <n v="13.6861"/>
    <n v="-89.232900000000001"/>
    <n v="8"/>
    <n v="0"/>
    <n v="0"/>
    <n v="107"/>
    <s v="_x0000_peopl"/>
  </r>
  <r>
    <x v="7"/>
    <n v="13.6861"/>
    <n v="-89.232799999999997"/>
    <n v="3"/>
    <n v="0"/>
    <n v="0"/>
    <n v="107"/>
    <s v="_x0000_peopl"/>
  </r>
  <r>
    <x v="7"/>
    <n v="13.6861"/>
    <n v="-89.232799999999997"/>
    <n v="3"/>
    <n v="0"/>
    <n v="0"/>
    <n v="107"/>
    <s v="_x0000_peopl"/>
  </r>
  <r>
    <x v="7"/>
    <n v="13.686199999999999"/>
    <n v="-89.232699999999994"/>
    <n v="10"/>
    <n v="0"/>
    <n v="0"/>
    <n v="107"/>
    <s v="_x0000_peopl"/>
  </r>
  <r>
    <x v="7"/>
    <n v="13.686199999999999"/>
    <n v="-89.232699999999994"/>
    <n v="4"/>
    <n v="0"/>
    <n v="0"/>
    <n v="107"/>
    <s v="_x0000_peopl"/>
  </r>
  <r>
    <x v="7"/>
    <n v="13.6859"/>
    <n v="-89.232799999999997"/>
    <n v="5"/>
    <n v="0"/>
    <n v="0"/>
    <n v="107"/>
    <s v="_x0000_peopl"/>
  </r>
  <r>
    <x v="7"/>
    <n v="13.6859"/>
    <n v="-89.232799999999997"/>
    <n v="3"/>
    <n v="0"/>
    <n v="0"/>
    <n v="107"/>
    <s v="_x0000_peopl"/>
  </r>
  <r>
    <x v="7"/>
    <n v="13.6859"/>
    <n v="-89.232799999999997"/>
    <n v="4"/>
    <n v="0"/>
    <n v="0"/>
    <n v="107"/>
    <s v="_x0000_peopl"/>
  </r>
  <r>
    <x v="7"/>
    <n v="13.686"/>
    <n v="-89.232900000000001"/>
    <n v="5"/>
    <n v="0"/>
    <n v="0"/>
    <n v="107"/>
    <s v="_x0000_peopl"/>
  </r>
  <r>
    <x v="7"/>
    <n v="13.686"/>
    <n v="-89.232900000000001"/>
    <n v="6"/>
    <n v="0"/>
    <n v="0"/>
    <n v="107"/>
    <s v="_x0000_peopl"/>
  </r>
  <r>
    <x v="7"/>
    <n v="13.686"/>
    <n v="-89.232900000000001"/>
    <n v="5"/>
    <n v="0"/>
    <n v="0"/>
    <n v="107"/>
    <s v="_x0000_peopl"/>
  </r>
  <r>
    <x v="7"/>
    <n v="13.686299999999999"/>
    <n v="-89.232699999999994"/>
    <n v="2"/>
    <n v="0"/>
    <n v="0"/>
    <n v="107"/>
    <s v="_x0000_peopl"/>
  </r>
  <r>
    <x v="7"/>
    <n v="13.686299999999999"/>
    <n v="-89.232600000000005"/>
    <n v="3"/>
    <n v="0"/>
    <n v="0"/>
    <n v="107"/>
    <s v="_x0000_peopl"/>
  </r>
  <r>
    <x v="7"/>
    <n v="13.686299999999999"/>
    <n v="-89.232500000000002"/>
    <n v="1"/>
    <n v="0"/>
    <n v="0"/>
    <n v="107"/>
    <s v="_x0000_peopl"/>
  </r>
  <r>
    <x v="7"/>
    <n v="13.686400000000001"/>
    <n v="-89.232399999999998"/>
    <n v="1"/>
    <n v="0"/>
    <n v="0"/>
    <n v="107"/>
    <s v="_x0000_peopl"/>
  </r>
  <r>
    <x v="7"/>
    <n v="13.686400000000001"/>
    <n v="-89.232399999999998"/>
    <n v="4"/>
    <n v="0"/>
    <n v="0"/>
    <n v="107"/>
    <s v="_x0000_peopl"/>
  </r>
  <r>
    <x v="7"/>
    <n v="13.686400000000001"/>
    <n v="-89.232399999999998"/>
    <n v="3"/>
    <n v="0"/>
    <n v="0"/>
    <n v="107"/>
    <s v="_x0000_peopl"/>
  </r>
  <r>
    <x v="7"/>
    <n v="13.686400000000001"/>
    <n v="-89.232299999999995"/>
    <n v="3"/>
    <n v="0"/>
    <n v="0"/>
    <n v="107"/>
    <s v="_x0000_peopl"/>
  </r>
  <r>
    <x v="7"/>
    <n v="13.686400000000001"/>
    <n v="-89.232200000000006"/>
    <n v="5"/>
    <n v="0"/>
    <n v="0"/>
    <n v="107"/>
    <s v="_x0000_peopl"/>
  </r>
  <r>
    <x v="7"/>
    <n v="13.686400000000001"/>
    <n v="-89.232200000000006"/>
    <n v="3"/>
    <n v="0"/>
    <n v="0"/>
    <n v="107"/>
    <s v="_x0000_peopl"/>
  </r>
  <r>
    <x v="7"/>
    <n v="13.686400000000001"/>
    <n v="-89.232200000000006"/>
    <n v="2"/>
    <n v="0"/>
    <n v="0"/>
    <n v="107"/>
    <s v="_x0000_peopl"/>
  </r>
  <r>
    <x v="7"/>
    <n v="13.686400000000001"/>
    <n v="-89.232100000000003"/>
    <n v="3"/>
    <n v="0"/>
    <n v="0"/>
    <n v="107"/>
    <s v="_x0000_peopl"/>
  </r>
  <r>
    <x v="7"/>
    <n v="13.686299999999999"/>
    <n v="-89.232100000000003"/>
    <n v="6"/>
    <n v="0"/>
    <n v="0"/>
    <n v="107"/>
    <s v="_x0000_peopl"/>
  </r>
  <r>
    <x v="7"/>
    <n v="13.686299999999999"/>
    <n v="-89.231999999999999"/>
    <n v="3"/>
    <n v="0"/>
    <n v="0"/>
    <n v="107"/>
    <s v="_x0000_peopl"/>
  </r>
  <r>
    <x v="7"/>
    <n v="13.686299999999999"/>
    <n v="-89.231999999999999"/>
    <n v="8"/>
    <n v="0"/>
    <n v="0"/>
    <n v="107"/>
    <s v="_x0000_peopl"/>
  </r>
  <r>
    <x v="7"/>
    <n v="13.686299999999999"/>
    <n v="-89.231899999999996"/>
    <n v="4"/>
    <n v="0"/>
    <n v="0"/>
    <n v="107"/>
    <s v="_x0000_peopl"/>
  </r>
  <r>
    <x v="7"/>
    <n v="13.686299999999999"/>
    <n v="-89.231899999999996"/>
    <n v="2"/>
    <n v="0"/>
    <n v="0"/>
    <n v="107"/>
    <s v="_x0000_peopl"/>
  </r>
  <r>
    <x v="7"/>
    <n v="13.686299999999999"/>
    <n v="-89.231800000000007"/>
    <n v="8"/>
    <n v="0"/>
    <n v="0"/>
    <n v="107"/>
    <s v="_x0000_peopl"/>
  </r>
  <r>
    <x v="7"/>
    <n v="13.686299999999999"/>
    <n v="-89.231800000000007"/>
    <n v="7"/>
    <n v="0"/>
    <n v="0"/>
    <n v="107"/>
    <s v="_x0000_peopl"/>
  </r>
  <r>
    <x v="7"/>
    <n v="13.686299999999999"/>
    <n v="-89.231700000000004"/>
    <n v="1"/>
    <n v="0"/>
    <n v="0"/>
    <n v="107"/>
    <s v="_x0000_peopl"/>
  </r>
  <r>
    <x v="7"/>
    <n v="13.686299999999999"/>
    <n v="-89.2316"/>
    <n v="6"/>
    <n v="0"/>
    <n v="0"/>
    <n v="107"/>
    <s v="_x0000_peopl"/>
  </r>
  <r>
    <x v="7"/>
    <n v="13.686199999999999"/>
    <n v="-89.232600000000005"/>
    <n v="5"/>
    <n v="0"/>
    <n v="0"/>
    <n v="107"/>
    <s v="_x0000_peopl"/>
  </r>
  <r>
    <x v="7"/>
    <n v="13.686199999999999"/>
    <n v="-89.232600000000005"/>
    <n v="2"/>
    <n v="0"/>
    <n v="0"/>
    <n v="107"/>
    <s v="_x0000_peopl"/>
  </r>
  <r>
    <x v="7"/>
    <n v="13.686199999999999"/>
    <n v="-89.232500000000002"/>
    <n v="4"/>
    <n v="0"/>
    <n v="0"/>
    <n v="107"/>
    <s v="_x0000_peopl"/>
  </r>
  <r>
    <x v="7"/>
    <n v="13.686199999999999"/>
    <n v="-89.232399999999998"/>
    <n v="5"/>
    <n v="0"/>
    <n v="0"/>
    <n v="107"/>
    <s v="_x0000_peopl"/>
  </r>
  <r>
    <x v="7"/>
    <n v="13.686199999999999"/>
    <n v="-89.232299999999995"/>
    <n v="6"/>
    <n v="0"/>
    <n v="0"/>
    <n v="107"/>
    <s v="_x0000_peopl"/>
  </r>
  <r>
    <x v="7"/>
    <n v="13.686199999999999"/>
    <n v="-89.232299999999995"/>
    <n v="5"/>
    <n v="0"/>
    <n v="0"/>
    <n v="107"/>
    <s v="_x0000_peopl"/>
  </r>
  <r>
    <x v="7"/>
    <n v="13.686199999999999"/>
    <n v="-89.232200000000006"/>
    <n v="6"/>
    <n v="0"/>
    <n v="0"/>
    <n v="107"/>
    <s v="_x0000_peopl"/>
  </r>
  <r>
    <x v="7"/>
    <n v="13.686199999999999"/>
    <n v="-89.232100000000003"/>
    <n v="7"/>
    <n v="0"/>
    <n v="0"/>
    <n v="107"/>
    <s v="_x0000_peopl"/>
  </r>
  <r>
    <x v="7"/>
    <n v="13.686199999999999"/>
    <n v="-89.231999999999999"/>
    <n v="8"/>
    <n v="0"/>
    <n v="0"/>
    <n v="107"/>
    <s v="_x0000_peopl"/>
  </r>
  <r>
    <x v="7"/>
    <n v="13.686199999999999"/>
    <n v="-89.231999999999999"/>
    <n v="2"/>
    <n v="0"/>
    <n v="0"/>
    <n v="107"/>
    <s v="_x0000_peopl"/>
  </r>
  <r>
    <x v="7"/>
    <n v="13.686199999999999"/>
    <n v="-89.231899999999996"/>
    <n v="7"/>
    <n v="0"/>
    <n v="0"/>
    <n v="107"/>
    <s v="_x0000_peopl"/>
  </r>
  <r>
    <x v="7"/>
    <n v="13.6861"/>
    <n v="-89.231800000000007"/>
    <n v="4"/>
    <n v="0"/>
    <n v="0"/>
    <n v="107"/>
    <s v="_x0000_peopl"/>
  </r>
  <r>
    <x v="7"/>
    <n v="13.6861"/>
    <n v="-89.231800000000007"/>
    <n v="5"/>
    <n v="0"/>
    <n v="0"/>
    <n v="107"/>
    <s v="_x0000_peopl"/>
  </r>
  <r>
    <x v="7"/>
    <n v="13.6861"/>
    <n v="-89.231700000000004"/>
    <n v="2"/>
    <n v="0"/>
    <n v="0"/>
    <n v="107"/>
    <s v="_x0000_peopl"/>
  </r>
  <r>
    <x v="7"/>
    <n v="13.686"/>
    <n v="-89.232100000000003"/>
    <n v="4"/>
    <n v="0"/>
    <n v="0"/>
    <n v="107"/>
    <s v="_x0000_peopl"/>
  </r>
  <r>
    <x v="7"/>
    <n v="13.686"/>
    <n v="-89.232200000000006"/>
    <n v="4"/>
    <n v="0"/>
    <n v="0"/>
    <n v="107"/>
    <s v="_x0000_peopl"/>
  </r>
  <r>
    <x v="7"/>
    <n v="13.686"/>
    <n v="-89.232299999999995"/>
    <n v="11"/>
    <n v="0"/>
    <n v="0"/>
    <n v="107"/>
    <s v="_x0000_peopl"/>
  </r>
  <r>
    <x v="7"/>
    <n v="13.686"/>
    <n v="-89.232399999999998"/>
    <n v="3"/>
    <n v="0"/>
    <n v="0"/>
    <n v="107"/>
    <s v="_x0000_peopl"/>
  </r>
  <r>
    <x v="7"/>
    <n v="13.685700000000001"/>
    <n v="-89.232699999999994"/>
    <n v="4"/>
    <n v="0"/>
    <n v="0"/>
    <n v="107"/>
    <s v="_x0000_peopl"/>
  </r>
  <r>
    <x v="7"/>
    <n v="13.685700000000001"/>
    <n v="-89.232600000000005"/>
    <n v="2"/>
    <n v="0"/>
    <n v="0"/>
    <n v="107"/>
    <s v="_x0000_peopl"/>
  </r>
  <r>
    <x v="7"/>
    <n v="13.6858"/>
    <n v="-89.232500000000002"/>
    <n v="6"/>
    <n v="0"/>
    <n v="0"/>
    <n v="107"/>
    <s v="_x0000_peopl"/>
  </r>
  <r>
    <x v="7"/>
    <n v="13.686"/>
    <n v="-89.232600000000005"/>
    <n v="2"/>
    <n v="0"/>
    <n v="0"/>
    <n v="107"/>
    <s v="_x0000_peopl"/>
  </r>
  <r>
    <x v="7"/>
    <n v="13.686"/>
    <n v="-89.232500000000002"/>
    <n v="5"/>
    <n v="0"/>
    <n v="0"/>
    <n v="107"/>
    <s v="_x0000_peopl"/>
  </r>
  <r>
    <x v="7"/>
    <n v="13.686"/>
    <n v="-89.231999999999999"/>
    <n v="8"/>
    <n v="0"/>
    <n v="0"/>
    <n v="107"/>
    <s v="_x0000_peopl"/>
  </r>
  <r>
    <x v="7"/>
    <n v="13.686"/>
    <n v="-89.231899999999996"/>
    <n v="8"/>
    <n v="0"/>
    <n v="0"/>
    <n v="107"/>
    <s v="_x0000_peopl"/>
  </r>
  <r>
    <x v="7"/>
    <n v="13.6859"/>
    <n v="-89.231800000000007"/>
    <n v="1"/>
    <n v="0"/>
    <n v="0"/>
    <n v="107"/>
    <s v="_x0000_peopl"/>
  </r>
  <r>
    <x v="7"/>
    <n v="13.6858"/>
    <n v="-89.232399999999998"/>
    <n v="2"/>
    <n v="0"/>
    <n v="0"/>
    <n v="107"/>
    <s v="_x0000_peopl"/>
  </r>
  <r>
    <x v="7"/>
    <n v="13.6858"/>
    <n v="-89.232299999999995"/>
    <n v="5"/>
    <n v="0"/>
    <n v="0"/>
    <n v="107"/>
    <s v="_x0000_peopl"/>
  </r>
  <r>
    <x v="7"/>
    <n v="13.6858"/>
    <n v="-89.232200000000006"/>
    <n v="8"/>
    <n v="0"/>
    <n v="0"/>
    <n v="107"/>
    <s v="_x0000_peopl"/>
  </r>
  <r>
    <x v="7"/>
    <n v="13.6858"/>
    <n v="-89.232100000000003"/>
    <n v="5"/>
    <n v="0"/>
    <n v="0"/>
    <n v="107"/>
    <s v="_x0000_peopl"/>
  </r>
  <r>
    <x v="7"/>
    <n v="13.6858"/>
    <n v="-89.231999999999999"/>
    <n v="3"/>
    <n v="0"/>
    <n v="0"/>
    <n v="107"/>
    <s v="_x0000_peopl"/>
  </r>
  <r>
    <x v="7"/>
    <n v="13.6854"/>
    <n v="-89.232699999999994"/>
    <n v="1"/>
    <n v="0"/>
    <n v="0"/>
    <n v="107"/>
    <s v="_x0000_peopl"/>
  </r>
  <r>
    <x v="7"/>
    <n v="13.685499999999999"/>
    <n v="-89.232600000000005"/>
    <n v="6"/>
    <n v="0"/>
    <n v="0"/>
    <n v="107"/>
    <s v="_x0000_peopl"/>
  </r>
  <r>
    <x v="7"/>
    <n v="13.685499999999999"/>
    <n v="-89.232500000000002"/>
    <n v="8"/>
    <n v="0"/>
    <n v="0"/>
    <n v="107"/>
    <s v="_x0000_peopl"/>
  </r>
  <r>
    <x v="7"/>
    <n v="13.685499999999999"/>
    <n v="-89.232299999999995"/>
    <n v="3"/>
    <n v="0"/>
    <n v="0"/>
    <n v="107"/>
    <s v="_x0000_peopl"/>
  </r>
  <r>
    <x v="7"/>
    <n v="13.685499999999999"/>
    <n v="-89.232200000000006"/>
    <n v="8"/>
    <n v="0"/>
    <n v="0"/>
    <n v="107"/>
    <s v="_x0000_peopl"/>
  </r>
  <r>
    <x v="7"/>
    <n v="13.685499999999999"/>
    <n v="-89.232100000000003"/>
    <n v="6"/>
    <n v="0"/>
    <n v="0"/>
    <n v="107"/>
    <s v="_x0000_peopl"/>
  </r>
  <r>
    <x v="7"/>
    <n v="13.685499999999999"/>
    <n v="-89.231999999999999"/>
    <n v="6"/>
    <n v="0"/>
    <n v="0"/>
    <n v="107"/>
    <s v="_x0000_peopl"/>
  </r>
  <r>
    <x v="7"/>
    <n v="13.685499999999999"/>
    <n v="-89.231800000000007"/>
    <n v="3"/>
    <n v="0"/>
    <n v="0"/>
    <n v="107"/>
    <s v="_x0000_peopl"/>
  </r>
  <r>
    <x v="7"/>
    <n v="13.685499999999999"/>
    <n v="-89.231700000000004"/>
    <n v="3"/>
    <n v="0"/>
    <n v="0"/>
    <n v="107"/>
    <s v="_x0000_peopl"/>
  </r>
  <r>
    <x v="7"/>
    <n v="13.6861"/>
    <n v="-89.2316"/>
    <n v="6"/>
    <n v="0"/>
    <n v="0"/>
    <n v="107"/>
    <s v="_x0000_peopl"/>
  </r>
  <r>
    <x v="7"/>
    <n v="13.6861"/>
    <n v="-89.231499999999997"/>
    <n v="3"/>
    <n v="0"/>
    <n v="0"/>
    <n v="107"/>
    <s v="_x0000_peopl"/>
  </r>
  <r>
    <x v="7"/>
    <n v="13.6861"/>
    <n v="-89.231499999999997"/>
    <n v="6"/>
    <n v="0"/>
    <n v="0"/>
    <n v="107"/>
    <s v="_x0000_peopl"/>
  </r>
  <r>
    <x v="7"/>
    <n v="13.686"/>
    <n v="-89.231399999999994"/>
    <n v="6"/>
    <n v="0"/>
    <n v="0"/>
    <n v="107"/>
    <s v="_x0000_peopl"/>
  </r>
  <r>
    <x v="7"/>
    <n v="13.686"/>
    <n v="-89.231300000000005"/>
    <n v="2"/>
    <n v="0"/>
    <n v="0"/>
    <n v="107"/>
    <s v="_x0000_peopl"/>
  </r>
  <r>
    <x v="7"/>
    <n v="13.686"/>
    <n v="-89.231200000000001"/>
    <n v="5"/>
    <n v="0"/>
    <n v="0"/>
    <n v="107"/>
    <s v="_x0000_peopl"/>
  </r>
  <r>
    <x v="7"/>
    <n v="13.686"/>
    <n v="-89.231099999999998"/>
    <n v="6"/>
    <n v="0"/>
    <n v="0"/>
    <n v="107"/>
    <s v="_x0000_peopl"/>
  </r>
  <r>
    <x v="7"/>
    <n v="13.6859"/>
    <n v="-89.2316"/>
    <n v="4"/>
    <n v="0"/>
    <n v="0"/>
    <n v="107"/>
    <s v="_x0000_peopl"/>
  </r>
  <r>
    <x v="7"/>
    <n v="13.6859"/>
    <n v="-89.231499999999997"/>
    <n v="7"/>
    <n v="0"/>
    <n v="0"/>
    <n v="107"/>
    <s v="_x0000_peopl"/>
  </r>
  <r>
    <x v="7"/>
    <n v="13.6859"/>
    <n v="-89.231399999999994"/>
    <n v="10"/>
    <n v="0"/>
    <n v="0"/>
    <n v="107"/>
    <s v="_x0000_peopl"/>
  </r>
  <r>
    <x v="7"/>
    <n v="13.6859"/>
    <n v="-89.231300000000005"/>
    <n v="7"/>
    <n v="0"/>
    <n v="0"/>
    <n v="107"/>
    <s v="_x0000_peopl"/>
  </r>
  <r>
    <x v="7"/>
    <n v="13.685499999999999"/>
    <n v="-89.2316"/>
    <n v="6"/>
    <n v="0"/>
    <n v="0"/>
    <n v="107"/>
    <s v="_x0000_peopl"/>
  </r>
  <r>
    <x v="7"/>
    <n v="13.685499999999999"/>
    <n v="-89.231499999999997"/>
    <n v="10"/>
    <n v="0"/>
    <n v="0"/>
    <n v="107"/>
    <s v="_x0000_peopl"/>
  </r>
  <r>
    <x v="7"/>
    <n v="13.6854"/>
    <n v="-89.231399999999994"/>
    <n v="6"/>
    <n v="0"/>
    <n v="0"/>
    <n v="107"/>
    <s v="_x0000_peopl"/>
  </r>
  <r>
    <x v="7"/>
    <n v="13.6852"/>
    <n v="-89.231800000000007"/>
    <n v="4"/>
    <n v="0"/>
    <n v="0"/>
    <n v="107"/>
    <s v="_x0000_peopl"/>
  </r>
  <r>
    <x v="7"/>
    <n v="13.685"/>
    <n v="-89.231800000000007"/>
    <n v="3"/>
    <n v="0"/>
    <n v="0"/>
    <n v="107"/>
    <s v="_x0000_peopl"/>
  </r>
  <r>
    <x v="7"/>
    <n v="13.684900000000001"/>
    <n v="-89.231800000000007"/>
    <n v="3"/>
    <n v="0"/>
    <n v="0"/>
    <n v="107"/>
    <s v="_x0000_peopl"/>
  </r>
  <r>
    <x v="7"/>
    <n v="13.684799999999999"/>
    <n v="-89.231800000000007"/>
    <n v="2"/>
    <n v="0"/>
    <n v="0"/>
    <n v="107"/>
    <s v="_x0000_peopl"/>
  </r>
  <r>
    <x v="7"/>
    <n v="13.6851"/>
    <n v="-89.230800000000002"/>
    <n v="2"/>
    <n v="0"/>
    <n v="0"/>
    <n v="107"/>
    <s v="_x0000_peopl"/>
  </r>
  <r>
    <x v="7"/>
    <n v="13.685"/>
    <n v="-89.230800000000002"/>
    <n v="4"/>
    <n v="0"/>
    <n v="0"/>
    <n v="107"/>
    <s v="_x0000_peopl"/>
  </r>
  <r>
    <x v="7"/>
    <n v="13.684900000000001"/>
    <n v="-89.230800000000002"/>
    <n v="7"/>
    <n v="0"/>
    <n v="0"/>
    <n v="107"/>
    <s v="_x0000_peopl"/>
  </r>
  <r>
    <x v="7"/>
    <n v="13.6854"/>
    <n v="-89.230699999999999"/>
    <n v="4"/>
    <n v="0"/>
    <n v="0"/>
    <n v="107"/>
    <s v="_x0000_peopl"/>
  </r>
  <r>
    <x v="7"/>
    <n v="13.6853"/>
    <n v="-89.230800000000002"/>
    <n v="7"/>
    <n v="0"/>
    <n v="0"/>
    <n v="107"/>
    <s v="_x0000_peopl"/>
  </r>
  <r>
    <x v="7"/>
    <n v="13.6852"/>
    <n v="-89.230800000000002"/>
    <n v="5"/>
    <n v="0"/>
    <n v="0"/>
    <n v="107"/>
    <s v="_x0000_peopl"/>
  </r>
  <r>
    <x v="7"/>
    <n v="13.685"/>
    <n v="-89.230599999999995"/>
    <n v="4"/>
    <n v="0"/>
    <n v="0"/>
    <n v="107"/>
    <s v="_x0000_peopl"/>
  </r>
  <r>
    <x v="7"/>
    <n v="13.6851"/>
    <n v="-89.230500000000006"/>
    <n v="3"/>
    <n v="0"/>
    <n v="0"/>
    <n v="107"/>
    <s v="_x0000_peopl"/>
  </r>
  <r>
    <x v="7"/>
    <n v="13.6852"/>
    <n v="-89.230500000000006"/>
    <n v="7"/>
    <n v="0"/>
    <n v="0"/>
    <n v="107"/>
    <s v="_x0000_peopl"/>
  </r>
  <r>
    <x v="7"/>
    <n v="13.6852"/>
    <n v="-89.230500000000006"/>
    <n v="7"/>
    <n v="0"/>
    <n v="0"/>
    <n v="107"/>
    <s v="_x0000_peopl"/>
  </r>
  <r>
    <x v="7"/>
    <n v="13.6853"/>
    <n v="-89.230500000000006"/>
    <n v="2"/>
    <n v="0"/>
    <n v="0"/>
    <n v="107"/>
    <s v="_x0000_peopl"/>
  </r>
  <r>
    <x v="7"/>
    <n v="13.6854"/>
    <n v="-89.230500000000006"/>
    <n v="4"/>
    <n v="0"/>
    <n v="0"/>
    <n v="107"/>
    <s v="_x0000_peopl"/>
  </r>
  <r>
    <x v="7"/>
    <n v="13.685499999999999"/>
    <n v="-89.230400000000003"/>
    <n v="7"/>
    <n v="0"/>
    <n v="0"/>
    <n v="107"/>
    <s v="_x0000_peopl"/>
  </r>
  <r>
    <x v="7"/>
    <n v="13.685600000000001"/>
    <n v="-89.230400000000003"/>
    <n v="3"/>
    <n v="0"/>
    <n v="0"/>
    <n v="107"/>
    <s v="_x0000_peopl"/>
  </r>
  <r>
    <x v="7"/>
    <n v="13.6858"/>
    <n v="-89.230400000000003"/>
    <n v="5"/>
    <n v="0"/>
    <n v="0"/>
    <n v="107"/>
    <s v="_x0000_peopl"/>
  </r>
  <r>
    <x v="7"/>
    <n v="13.6859"/>
    <n v="-89.2303"/>
    <n v="1"/>
    <n v="0"/>
    <n v="0"/>
    <n v="107"/>
    <s v="_x0000_peopl"/>
  </r>
  <r>
    <x v="7"/>
    <n v="13.686"/>
    <n v="-89.2303"/>
    <n v="4"/>
    <n v="0"/>
    <n v="0"/>
    <n v="107"/>
    <s v="_x0000_peopl"/>
  </r>
  <r>
    <x v="7"/>
    <n v="13.6861"/>
    <n v="-89.2303"/>
    <n v="4"/>
    <n v="0"/>
    <n v="0"/>
    <n v="107"/>
    <s v="_x0000_peopl"/>
  </r>
  <r>
    <x v="7"/>
    <n v="13.685"/>
    <n v="-89.230199999999996"/>
    <n v="7"/>
    <n v="0"/>
    <n v="0"/>
    <n v="107"/>
    <s v="_x0000_peopl"/>
  </r>
  <r>
    <x v="7"/>
    <n v="13.6852"/>
    <n v="-89.230199999999996"/>
    <n v="7"/>
    <n v="0"/>
    <n v="0"/>
    <n v="107"/>
    <s v="_x0000_peopl"/>
  </r>
  <r>
    <x v="7"/>
    <n v="13.6853"/>
    <n v="-89.230199999999996"/>
    <n v="5"/>
    <n v="0"/>
    <n v="0"/>
    <n v="107"/>
    <s v="_x0000_peopl"/>
  </r>
  <r>
    <x v="7"/>
    <n v="13.6854"/>
    <n v="-89.230199999999996"/>
    <n v="3"/>
    <n v="0"/>
    <n v="0"/>
    <n v="107"/>
    <s v="_x0000_peopl"/>
  </r>
  <r>
    <x v="7"/>
    <n v="13.685499999999999"/>
    <n v="-89.230099999999993"/>
    <n v="3"/>
    <n v="0"/>
    <n v="0"/>
    <n v="107"/>
    <s v="_x0000_peopl"/>
  </r>
  <r>
    <x v="7"/>
    <n v="13.685600000000001"/>
    <n v="-89.230099999999993"/>
    <n v="2"/>
    <n v="0"/>
    <n v="0"/>
    <n v="107"/>
    <s v="_x0000_peopl"/>
  </r>
  <r>
    <x v="7"/>
    <n v="13.685700000000001"/>
    <n v="-89.230099999999993"/>
    <n v="3"/>
    <n v="0"/>
    <n v="0"/>
    <n v="107"/>
    <s v="_x0000_peopl"/>
  </r>
  <r>
    <x v="7"/>
    <n v="13.685700000000001"/>
    <n v="-89.23"/>
    <n v="9"/>
    <n v="0"/>
    <n v="0"/>
    <n v="107"/>
    <s v="_x0000_peopl"/>
  </r>
  <r>
    <x v="7"/>
    <n v="13.684699999999999"/>
    <n v="-89.23"/>
    <n v="4"/>
    <n v="0"/>
    <n v="0"/>
    <n v="107"/>
    <s v="_x0000_peopl"/>
  </r>
  <r>
    <x v="7"/>
    <n v="13.684900000000001"/>
    <n v="-89.23"/>
    <n v="7"/>
    <n v="0"/>
    <n v="0"/>
    <n v="107"/>
    <s v="_x0000_peopl"/>
  </r>
  <r>
    <x v="7"/>
    <n v="13.685"/>
    <n v="-89.2303"/>
    <n v="4"/>
    <n v="0"/>
    <n v="0"/>
    <n v="107"/>
    <s v="_x0000_peopl"/>
  </r>
  <r>
    <x v="7"/>
    <n v="13.684799999999999"/>
    <n v="-89.2303"/>
    <n v="4"/>
    <n v="0"/>
    <n v="0"/>
    <n v="107"/>
    <s v="_x0000_peopl"/>
  </r>
  <r>
    <x v="7"/>
    <n v="13.684799999999999"/>
    <n v="-89.2303"/>
    <n v="5"/>
    <n v="0"/>
    <n v="0"/>
    <n v="107"/>
    <s v="_x0000_peopl"/>
  </r>
  <r>
    <x v="7"/>
    <n v="13.684900000000001"/>
    <n v="-89.230599999999995"/>
    <n v="10"/>
    <n v="0"/>
    <n v="0"/>
    <n v="107"/>
    <s v="_x0000_peopl"/>
  </r>
  <r>
    <x v="7"/>
    <n v="13.685"/>
    <n v="-89.23"/>
    <n v="7"/>
    <n v="0"/>
    <n v="0"/>
    <n v="107"/>
    <s v="_x0000_peopl"/>
  </r>
  <r>
    <x v="7"/>
    <n v="13.6852"/>
    <n v="-89.229900000000001"/>
    <n v="3"/>
    <n v="0"/>
    <n v="0"/>
    <n v="107"/>
    <s v="_x0000_peopl"/>
  </r>
  <r>
    <x v="7"/>
    <n v="13.6852"/>
    <n v="-89.229600000000005"/>
    <n v="3"/>
    <n v="0"/>
    <n v="0"/>
    <n v="107"/>
    <s v="_x0000_peopl"/>
  </r>
  <r>
    <x v="7"/>
    <n v="13.685"/>
    <n v="-89.229600000000005"/>
    <n v="6"/>
    <n v="0"/>
    <n v="0"/>
    <n v="107"/>
    <s v="_x0000_peopl"/>
  </r>
  <r>
    <x v="7"/>
    <n v="13.684799999999999"/>
    <n v="-89.229699999999994"/>
    <n v="2"/>
    <n v="0"/>
    <n v="0"/>
    <n v="107"/>
    <s v="_x0000_peopl"/>
  </r>
  <r>
    <x v="7"/>
    <n v="13.6838"/>
    <n v="-89.227900000000005"/>
    <n v="1"/>
    <n v="0"/>
    <n v="0"/>
    <n v="107"/>
    <s v="_x0000_peopl"/>
  </r>
  <r>
    <x v="7"/>
    <n v="13.6838"/>
    <n v="-89.227999999999994"/>
    <n v="7"/>
    <n v="0"/>
    <n v="0"/>
    <n v="107"/>
    <s v="_x0000_peopl"/>
  </r>
  <r>
    <x v="7"/>
    <n v="13.6838"/>
    <n v="-89.228099999999998"/>
    <n v="7"/>
    <n v="0"/>
    <n v="0"/>
    <n v="107"/>
    <s v="_x0000_peopl"/>
  </r>
  <r>
    <x v="7"/>
    <n v="13.6838"/>
    <n v="-89.228300000000004"/>
    <n v="7"/>
    <n v="0"/>
    <n v="0"/>
    <n v="107"/>
    <s v="_x0000_peopl"/>
  </r>
  <r>
    <x v="7"/>
    <n v="13.6838"/>
    <n v="-89.228399999999993"/>
    <n v="7"/>
    <n v="0"/>
    <n v="0"/>
    <n v="107"/>
    <s v="_x0000_peopl"/>
  </r>
  <r>
    <x v="7"/>
    <n v="13.6838"/>
    <n v="-89.2286"/>
    <n v="2"/>
    <n v="0"/>
    <n v="0"/>
    <n v="107"/>
    <s v="_x0000_peopl"/>
  </r>
  <r>
    <x v="7"/>
    <n v="13.6838"/>
    <n v="-89.228700000000003"/>
    <n v="5"/>
    <n v="0"/>
    <n v="0"/>
    <n v="107"/>
    <s v="_x0000_peopl"/>
  </r>
  <r>
    <x v="7"/>
    <n v="13.6838"/>
    <n v="-89.228899999999996"/>
    <n v="2"/>
    <n v="0"/>
    <n v="0"/>
    <n v="107"/>
    <s v="_x0000_peopl"/>
  </r>
  <r>
    <x v="7"/>
    <n v="13.6838"/>
    <n v="-89.228999999999999"/>
    <n v="10"/>
    <n v="0"/>
    <n v="0"/>
    <n v="107"/>
    <s v="_x0000_peopl"/>
  </r>
  <r>
    <x v="7"/>
    <n v="13.6836"/>
    <n v="-89.229100000000003"/>
    <n v="6"/>
    <n v="0"/>
    <n v="0"/>
    <n v="107"/>
    <s v="_x0000_peopl"/>
  </r>
  <r>
    <x v="7"/>
    <n v="13.6835"/>
    <n v="-89.229500000000002"/>
    <n v="5"/>
    <n v="0"/>
    <n v="0"/>
    <n v="107"/>
    <s v="_x0000_peopl"/>
  </r>
  <r>
    <x v="7"/>
    <n v="13.6835"/>
    <n v="-89.227999999999994"/>
    <n v="5"/>
    <n v="0"/>
    <n v="0"/>
    <n v="107"/>
    <s v="_x0000_peopl"/>
  </r>
  <r>
    <x v="7"/>
    <n v="13.6835"/>
    <n v="-89.227800000000002"/>
    <n v="8"/>
    <n v="0"/>
    <n v="0"/>
    <n v="107"/>
    <s v="_x0000_peopl"/>
  </r>
  <r>
    <x v="7"/>
    <n v="13.683400000000001"/>
    <n v="-89.229299999999995"/>
    <n v="6"/>
    <n v="0"/>
    <n v="0"/>
    <n v="107"/>
    <s v="_x0000_peopl"/>
  </r>
  <r>
    <x v="7"/>
    <n v="13.683299999999999"/>
    <n v="-89.229200000000006"/>
    <n v="5"/>
    <n v="0"/>
    <n v="0"/>
    <n v="107"/>
    <s v="_x0000_peopl"/>
  </r>
  <r>
    <x v="7"/>
    <n v="13.6831"/>
    <n v="-89.229299999999995"/>
    <n v="0"/>
    <n v="0"/>
    <n v="0"/>
    <n v="107"/>
    <s v="_x0000_peopl"/>
  </r>
  <r>
    <x v="7"/>
    <n v="13.6831"/>
    <n v="-89.229200000000006"/>
    <n v="3"/>
    <n v="0"/>
    <n v="0"/>
    <n v="107"/>
    <s v="_x0000_peopl"/>
  </r>
  <r>
    <x v="7"/>
    <n v="13.6831"/>
    <n v="-89.229100000000003"/>
    <n v="1"/>
    <n v="0"/>
    <n v="0"/>
    <n v="107"/>
    <s v="_x0000_peopl"/>
  </r>
  <r>
    <x v="7"/>
    <n v="13.6831"/>
    <n v="-89.229100000000003"/>
    <n v="1"/>
    <n v="0"/>
    <n v="0"/>
    <n v="107"/>
    <s v="_x0000_peopl"/>
  </r>
  <r>
    <x v="7"/>
    <n v="13.683199999999999"/>
    <n v="-89.228999999999999"/>
    <n v="8"/>
    <n v="0"/>
    <n v="0"/>
    <n v="107"/>
    <s v="_x0000_peopl"/>
  </r>
  <r>
    <x v="7"/>
    <n v="13.683199999999999"/>
    <n v="-89.228899999999996"/>
    <n v="4"/>
    <n v="0"/>
    <n v="0"/>
    <n v="107"/>
    <s v="_x0000_peopl"/>
  </r>
  <r>
    <x v="7"/>
    <n v="13.683299999999999"/>
    <n v="-89.228700000000003"/>
    <n v="5"/>
    <n v="0"/>
    <n v="0"/>
    <n v="107"/>
    <s v="_x0000_peopl"/>
  </r>
  <r>
    <x v="7"/>
    <n v="13.683400000000001"/>
    <n v="-89.228499999999997"/>
    <n v="3"/>
    <n v="0"/>
    <n v="0"/>
    <n v="107"/>
    <s v="_x0000_peopl"/>
  </r>
  <r>
    <x v="7"/>
    <n v="13.683400000000001"/>
    <n v="-89.228399999999993"/>
    <n v="3"/>
    <n v="0"/>
    <n v="0"/>
    <n v="107"/>
    <s v="_x0000_peopl"/>
  </r>
  <r>
    <x v="7"/>
    <n v="13.683400000000001"/>
    <n v="-89.228200000000001"/>
    <n v="4"/>
    <n v="0"/>
    <n v="0"/>
    <n v="107"/>
    <s v="_x0000_peopl"/>
  </r>
  <r>
    <x v="7"/>
    <n v="13.683400000000001"/>
    <n v="-89.228099999999998"/>
    <n v="5"/>
    <n v="0"/>
    <n v="0"/>
    <n v="107"/>
    <s v="_x0000_peopl"/>
  </r>
  <r>
    <x v="7"/>
    <n v="13.6828"/>
    <n v="-89.229399999999998"/>
    <n v="9"/>
    <n v="0"/>
    <n v="0"/>
    <n v="107"/>
    <s v="_x0000_peopl"/>
  </r>
  <r>
    <x v="7"/>
    <n v="13.6829"/>
    <n v="-89.229299999999995"/>
    <n v="4"/>
    <n v="0"/>
    <n v="0"/>
    <n v="107"/>
    <s v="_x0000_peopl"/>
  </r>
  <r>
    <x v="7"/>
    <n v="13.6829"/>
    <n v="-89.229200000000006"/>
    <n v="6"/>
    <n v="0"/>
    <n v="0"/>
    <n v="107"/>
    <s v="_x0000_peopl"/>
  </r>
  <r>
    <x v="7"/>
    <n v="13.683"/>
    <n v="-89.228300000000004"/>
    <n v="9"/>
    <n v="0"/>
    <n v="0"/>
    <n v="107"/>
    <s v="_x0000_peopl"/>
  </r>
  <r>
    <x v="7"/>
    <n v="13.6831"/>
    <n v="-89.228200000000001"/>
    <n v="4"/>
    <n v="0"/>
    <n v="0"/>
    <n v="107"/>
    <s v="_x0000_peopl"/>
  </r>
  <r>
    <x v="7"/>
    <n v="13.6831"/>
    <n v="-89.227900000000005"/>
    <n v="9"/>
    <n v="0"/>
    <n v="0"/>
    <n v="107"/>
    <s v="_x0000_peopl"/>
  </r>
  <r>
    <x v="7"/>
    <n v="13.6831"/>
    <n v="-89.227800000000002"/>
    <n v="8"/>
    <n v="0"/>
    <n v="0"/>
    <n v="107"/>
    <s v="_x0000_peopl"/>
  </r>
  <r>
    <x v="7"/>
    <n v="13.683199999999999"/>
    <n v="-89.227699999999999"/>
    <n v="6"/>
    <n v="0"/>
    <n v="0"/>
    <n v="107"/>
    <s v="_x0000_peopl"/>
  </r>
  <r>
    <x v="7"/>
    <n v="13.683199999999999"/>
    <n v="-89.227599999999995"/>
    <n v="2"/>
    <n v="0"/>
    <n v="0"/>
    <n v="107"/>
    <s v="_x0000_peopl"/>
  </r>
  <r>
    <x v="7"/>
    <n v="13.683199999999999"/>
    <n v="-89.227500000000006"/>
    <n v="3"/>
    <n v="0"/>
    <n v="0"/>
    <n v="107"/>
    <s v="_x0000_peopl"/>
  </r>
  <r>
    <x v="7"/>
    <n v="13.683199999999999"/>
    <n v="-89.227400000000003"/>
    <n v="3"/>
    <n v="0"/>
    <n v="0"/>
    <n v="107"/>
    <s v="_x0000_peopl"/>
  </r>
  <r>
    <x v="7"/>
    <n v="13.683199999999999"/>
    <n v="-89.227199999999996"/>
    <n v="8"/>
    <n v="0"/>
    <n v="0"/>
    <n v="107"/>
    <s v="_x0000_peopl"/>
  </r>
  <r>
    <x v="7"/>
    <n v="13.683199999999999"/>
    <n v="-89.227099999999993"/>
    <n v="5"/>
    <n v="0"/>
    <n v="0"/>
    <n v="107"/>
    <s v="_x0000_peopl"/>
  </r>
  <r>
    <x v="7"/>
    <n v="13.6942"/>
    <n v="-89.180099999999996"/>
    <n v="4"/>
    <n v="0"/>
    <n v="0"/>
    <n v="107"/>
    <s v="_x0000_peopl"/>
  </r>
  <r>
    <x v="7"/>
    <n v="13.6942"/>
    <n v="-89.180099999999996"/>
    <n v="5"/>
    <n v="0"/>
    <n v="0"/>
    <n v="107"/>
    <s v="_x0000_peopl"/>
  </r>
  <r>
    <x v="7"/>
    <n v="13.6942"/>
    <n v="-89.180099999999996"/>
    <n v="7"/>
    <n v="0"/>
    <n v="0"/>
    <n v="107"/>
    <s v="_x0000_peopl"/>
  </r>
  <r>
    <x v="7"/>
    <n v="13.6942"/>
    <n v="-89.180099999999996"/>
    <n v="4"/>
    <n v="0"/>
    <n v="0"/>
    <n v="107"/>
    <s v="_x0000_peopl"/>
  </r>
  <r>
    <x v="7"/>
    <n v="13.694100000000001"/>
    <n v="-89.180099999999996"/>
    <n v="6"/>
    <n v="0"/>
    <n v="0"/>
    <n v="107"/>
    <s v="_x0000_peopl"/>
  </r>
  <r>
    <x v="7"/>
    <n v="13.6942"/>
    <n v="-89.180099999999996"/>
    <n v="6"/>
    <n v="0"/>
    <n v="0"/>
    <n v="107"/>
    <s v="_x0000_peopl"/>
  </r>
  <r>
    <x v="7"/>
    <n v="13.6942"/>
    <n v="-89.180099999999996"/>
    <n v="4"/>
    <n v="0"/>
    <n v="0"/>
    <n v="107"/>
    <s v="_x0000_peopl"/>
  </r>
  <r>
    <x v="7"/>
    <n v="13.6942"/>
    <n v="-89.18"/>
    <n v="4"/>
    <n v="0"/>
    <n v="0"/>
    <n v="107"/>
    <s v="_x0000_peopl"/>
  </r>
  <r>
    <x v="7"/>
    <n v="13.6942"/>
    <n v="-89.18"/>
    <n v="3"/>
    <n v="0"/>
    <n v="0"/>
    <n v="107"/>
    <s v="_x0000_peopl"/>
  </r>
  <r>
    <x v="7"/>
    <n v="13.694100000000001"/>
    <n v="-89.18"/>
    <n v="10"/>
    <n v="0"/>
    <n v="0"/>
    <n v="107"/>
    <s v="_x0000_peopl"/>
  </r>
  <r>
    <x v="7"/>
    <n v="13.694100000000001"/>
    <n v="-89.18"/>
    <n v="6"/>
    <n v="0"/>
    <n v="0"/>
    <n v="107"/>
    <s v="_x0000_peopl"/>
  </r>
  <r>
    <x v="7"/>
    <n v="13.694100000000001"/>
    <n v="-89.18"/>
    <n v="9"/>
    <n v="0"/>
    <n v="0"/>
    <n v="107"/>
    <s v="_x0000_peopl"/>
  </r>
  <r>
    <x v="7"/>
    <n v="13.694100000000001"/>
    <n v="-89.18"/>
    <n v="4"/>
    <n v="0"/>
    <n v="0"/>
    <n v="107"/>
    <s v="_x0000_peopl"/>
  </r>
  <r>
    <x v="7"/>
    <n v="13.694000000000001"/>
    <n v="-89.18"/>
    <n v="3"/>
    <n v="0"/>
    <n v="0"/>
    <n v="107"/>
    <s v="_x0000_peopl"/>
  </r>
  <r>
    <x v="7"/>
    <n v="13.686199999999999"/>
    <n v="-89.2316"/>
    <n v="5"/>
    <n v="0"/>
    <n v="0"/>
    <n v="107"/>
    <s v="_x0000_peopl"/>
  </r>
  <r>
    <x v="7"/>
    <n v="13.686199999999999"/>
    <n v="-89.231499999999997"/>
    <n v="7"/>
    <n v="0"/>
    <n v="0"/>
    <n v="107"/>
    <s v="_x0000_peopl"/>
  </r>
  <r>
    <x v="7"/>
    <n v="13.686199999999999"/>
    <n v="-89.231499999999997"/>
    <n v="5"/>
    <n v="0"/>
    <n v="0"/>
    <n v="107"/>
    <s v="_x0000_peopl"/>
  </r>
  <r>
    <x v="7"/>
    <n v="13.686199999999999"/>
    <n v="-89.231399999999994"/>
    <n v="5"/>
    <n v="0"/>
    <n v="0"/>
    <n v="107"/>
    <s v="_x0000_peopl"/>
  </r>
  <r>
    <x v="7"/>
    <n v="13.686199999999999"/>
    <n v="-89.231399999999994"/>
    <n v="8"/>
    <n v="0"/>
    <n v="0"/>
    <n v="107"/>
    <s v="_x0000_peopl"/>
  </r>
  <r>
    <x v="7"/>
    <n v="13.686199999999999"/>
    <n v="-89.231300000000005"/>
    <n v="10"/>
    <n v="0"/>
    <n v="0"/>
    <n v="107"/>
    <s v="_x0000_peopl"/>
  </r>
  <r>
    <x v="7"/>
    <n v="13.686199999999999"/>
    <n v="-89.231300000000005"/>
    <n v="6"/>
    <n v="0"/>
    <n v="0"/>
    <n v="107"/>
    <s v="_x0000_peopl"/>
  </r>
  <r>
    <x v="7"/>
    <n v="13.686199999999999"/>
    <n v="-89.231300000000005"/>
    <n v="1"/>
    <n v="0"/>
    <n v="0"/>
    <n v="107"/>
    <s v="_x0000_peopl"/>
  </r>
  <r>
    <x v="7"/>
    <n v="13.686199999999999"/>
    <n v="-89.231200000000001"/>
    <n v="3"/>
    <n v="0"/>
    <n v="0"/>
    <n v="107"/>
    <s v="_x0000_peopl"/>
  </r>
  <r>
    <x v="7"/>
    <n v="13.686199999999999"/>
    <n v="-89.231200000000001"/>
    <n v="9"/>
    <n v="0"/>
    <n v="0"/>
    <n v="107"/>
    <s v="_x0000_peopl"/>
  </r>
  <r>
    <x v="7"/>
    <n v="13.686199999999999"/>
    <n v="-89.231099999999998"/>
    <n v="3"/>
    <n v="0"/>
    <n v="0"/>
    <n v="107"/>
    <s v="_x0000_peopl"/>
  </r>
  <r>
    <x v="7"/>
    <n v="13.678599999999999"/>
    <n v="-89.239900000000006"/>
    <n v="6"/>
    <n v="0"/>
    <n v="0"/>
    <n v="107"/>
    <s v="_x0000_peop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2" applyNumberFormats="0" applyBorderFormats="0" applyFontFormats="0" applyPatternFormats="0" applyAlignmentFormats="0" applyWidthHeightFormats="1" dataCaption="Data" showMissing="0" showItems="0" showMultipleLabel="0" showMemberPropertyTips="0" useAutoFormatting="1" subtotalHiddenItems="1" itemPrintTitles="1" indent="0" compact="0" compactData="0" gridDropZones="1">
  <location ref="A3:G13" firstHeaderRow="1" firstDataRow="2" firstDataCol="1" colPageCount="1"/>
  <pivotFields count="8">
    <pivotField axis="axisRow" compact="0" outline="0" subtotalTop="0" showAll="0" includeNewItemsInFilter="1">
      <items count="9">
        <item x="0"/>
        <item x="1"/>
        <item x="2"/>
        <item x="3"/>
        <item x="4"/>
        <item x="5"/>
        <item x="6"/>
        <item x="7"/>
        <item t="default"/>
      </items>
    </pivotField>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compact="0" outline="0" subtotalTop="0" showAll="0" includeNewItemsInFilter="1"/>
  </pivotFields>
  <rowFields count="1">
    <field x="0"/>
  </rowFields>
  <rowItems count="9">
    <i>
      <x/>
    </i>
    <i>
      <x v="1"/>
    </i>
    <i>
      <x v="2"/>
    </i>
    <i>
      <x v="3"/>
    </i>
    <i>
      <x v="4"/>
    </i>
    <i>
      <x v="5"/>
    </i>
    <i>
      <x v="6"/>
    </i>
    <i>
      <x v="7"/>
    </i>
    <i t="grand">
      <x/>
    </i>
  </rowItems>
  <colFields count="1">
    <field x="-2"/>
  </colFields>
  <colItems count="6">
    <i>
      <x/>
    </i>
    <i i="1">
      <x v="1"/>
    </i>
    <i i="2">
      <x v="2"/>
    </i>
    <i i="3">
      <x v="3"/>
    </i>
    <i i="4">
      <x v="4"/>
    </i>
    <i i="5">
      <x v="5"/>
    </i>
  </colItems>
  <dataFields count="6">
    <dataField name="Sum of Value" fld="3" baseField="0" baseItem="0"/>
    <dataField name="Sum of Latitude" fld="1" baseField="0" baseItem="0"/>
    <dataField name="Sum of Longitude" fld="2" baseField="0" baseItem="0"/>
    <dataField name="Sum of DamageFunID" fld="6" baseField="0" baseItem="0"/>
    <dataField name="Sum of Deductible" fld="4" baseField="0" baseItem="0"/>
    <dataField name="Sum of Cover" fld="5" baseField="0" baseItem="0"/>
  </dataFields>
  <pivotTableStyleInfo showRowHeaders="1" showColHeaders="1" showRowStripes="0" showColStripes="0" showLastColumn="1"/>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1302"/>
  <sheetViews>
    <sheetView topLeftCell="A1023" workbookViewId="0">
      <selection activeCell="E1303" sqref="E1303"/>
    </sheetView>
  </sheetViews>
  <sheetFormatPr baseColWidth="10" defaultColWidth="8.7109375" defaultRowHeight="12.75"/>
  <cols>
    <col min="3" max="3" width="12.5703125" customWidth="1"/>
    <col min="4" max="4" width="9.5703125" customWidth="1"/>
    <col min="10" max="10" width="5.7109375" customWidth="1"/>
    <col min="11" max="11" width="9.28515625" customWidth="1"/>
    <col min="12" max="12" width="19.28515625" customWidth="1"/>
  </cols>
  <sheetData>
    <row r="1" spans="1:15">
      <c r="A1" s="4" t="s">
        <v>0</v>
      </c>
      <c r="B1" s="15" t="s">
        <v>1</v>
      </c>
      <c r="C1" s="15" t="s">
        <v>2</v>
      </c>
      <c r="D1" s="15" t="s">
        <v>3</v>
      </c>
      <c r="E1" s="15" t="s">
        <v>4</v>
      </c>
      <c r="F1" s="16" t="s">
        <v>5</v>
      </c>
      <c r="G1" s="16" t="s">
        <v>6</v>
      </c>
      <c r="H1" s="16" t="s">
        <v>7</v>
      </c>
      <c r="I1" s="16" t="s">
        <v>8</v>
      </c>
      <c r="J1" s="3"/>
      <c r="K1" s="3"/>
      <c r="L1" s="3"/>
      <c r="M1" s="3"/>
      <c r="N1" s="3"/>
      <c r="O1" s="3"/>
    </row>
    <row r="2" spans="1:15" ht="15.75" thickBot="1">
      <c r="A2" s="72">
        <v>2</v>
      </c>
      <c r="B2" s="70">
        <v>13.6866137339</v>
      </c>
      <c r="C2" s="69">
        <v>-89.194873249099999</v>
      </c>
      <c r="D2" s="71">
        <v>2250</v>
      </c>
      <c r="E2" s="19">
        <v>0</v>
      </c>
      <c r="F2" s="19">
        <f>D2</f>
        <v>2250</v>
      </c>
      <c r="G2" s="20">
        <v>102</v>
      </c>
      <c r="H2" s="19" t="str">
        <f>IF(OR(A2&lt;17,A2=21),"USD","people")</f>
        <v>USD</v>
      </c>
      <c r="I2" t="s">
        <v>9</v>
      </c>
      <c r="J2" s="5"/>
      <c r="K2" s="3"/>
      <c r="L2" s="3"/>
      <c r="M2" s="3"/>
      <c r="N2" s="3"/>
      <c r="O2" s="3"/>
    </row>
    <row r="3" spans="1:15" ht="15">
      <c r="A3" s="72">
        <v>2</v>
      </c>
      <c r="B3" s="70">
        <v>13.686614860100001</v>
      </c>
      <c r="C3" s="69">
        <v>-89.194827728800007</v>
      </c>
      <c r="D3" s="71">
        <v>2250</v>
      </c>
      <c r="E3" s="19">
        <v>0</v>
      </c>
      <c r="F3" s="19">
        <f t="shared" ref="F3:F66" si="0">D3</f>
        <v>2250</v>
      </c>
      <c r="G3" s="20">
        <v>102</v>
      </c>
      <c r="H3" s="19" t="str">
        <f t="shared" ref="H3:H66" si="1">IF(OR(A3&lt;17,A3=21),"USD","people")</f>
        <v>USD</v>
      </c>
      <c r="J3" s="5"/>
      <c r="K3" s="6" t="s">
        <v>10</v>
      </c>
      <c r="L3" s="7"/>
      <c r="M3" s="8" t="s">
        <v>11</v>
      </c>
      <c r="N3" s="3"/>
      <c r="O3" s="3"/>
    </row>
    <row r="4" spans="1:15" ht="15">
      <c r="A4" s="72">
        <v>2</v>
      </c>
      <c r="B4" s="70">
        <v>13.6866107944</v>
      </c>
      <c r="C4" s="69">
        <v>-89.194783099000006</v>
      </c>
      <c r="D4" s="71">
        <v>2250</v>
      </c>
      <c r="E4" s="19">
        <v>0</v>
      </c>
      <c r="F4" s="19">
        <f t="shared" si="0"/>
        <v>2250</v>
      </c>
      <c r="G4" s="20">
        <v>102</v>
      </c>
      <c r="H4" s="19" t="str">
        <f t="shared" si="1"/>
        <v>USD</v>
      </c>
      <c r="J4" s="5"/>
      <c r="K4" s="9">
        <v>1</v>
      </c>
      <c r="L4" s="10" t="s">
        <v>12</v>
      </c>
      <c r="M4" s="12" t="s">
        <v>13</v>
      </c>
      <c r="N4" s="3"/>
      <c r="O4" s="3"/>
    </row>
    <row r="5" spans="1:15" ht="15">
      <c r="A5" s="72">
        <v>2</v>
      </c>
      <c r="B5" s="70">
        <v>13.686606746100001</v>
      </c>
      <c r="C5" s="69">
        <v>-89.194730078899994</v>
      </c>
      <c r="D5" s="71">
        <v>2250</v>
      </c>
      <c r="E5" s="19">
        <v>0</v>
      </c>
      <c r="F5" s="19">
        <f t="shared" si="0"/>
        <v>2250</v>
      </c>
      <c r="G5" s="20">
        <v>102</v>
      </c>
      <c r="H5" s="19" t="str">
        <f t="shared" si="1"/>
        <v>USD</v>
      </c>
      <c r="J5" s="5"/>
      <c r="K5" s="9">
        <v>2</v>
      </c>
      <c r="L5" s="10" t="s">
        <v>14</v>
      </c>
      <c r="M5" s="12" t="s">
        <v>13</v>
      </c>
      <c r="N5" s="3"/>
      <c r="O5" s="3"/>
    </row>
    <row r="6" spans="1:15" ht="15">
      <c r="A6" s="72">
        <v>2</v>
      </c>
      <c r="B6" s="70">
        <v>13.6866033878</v>
      </c>
      <c r="C6" s="69">
        <v>-89.194671041199996</v>
      </c>
      <c r="D6" s="71">
        <v>2250</v>
      </c>
      <c r="E6" s="19">
        <v>0</v>
      </c>
      <c r="F6" s="19">
        <f t="shared" si="0"/>
        <v>2250</v>
      </c>
      <c r="G6" s="20">
        <v>102</v>
      </c>
      <c r="H6" s="19" t="str">
        <f t="shared" si="1"/>
        <v>USD</v>
      </c>
      <c r="J6" s="5"/>
      <c r="K6" s="9">
        <v>3</v>
      </c>
      <c r="L6" s="10" t="s">
        <v>15</v>
      </c>
      <c r="M6" s="12" t="s">
        <v>13</v>
      </c>
      <c r="N6" s="3"/>
      <c r="O6" s="3"/>
    </row>
    <row r="7" spans="1:15" ht="15">
      <c r="A7" s="72">
        <v>2</v>
      </c>
      <c r="B7" s="70">
        <v>13.6866007028</v>
      </c>
      <c r="C7" s="69">
        <v>-89.1946143511</v>
      </c>
      <c r="D7" s="71">
        <v>2250</v>
      </c>
      <c r="E7" s="19">
        <v>0</v>
      </c>
      <c r="F7" s="19">
        <f t="shared" si="0"/>
        <v>2250</v>
      </c>
      <c r="G7" s="20">
        <v>102</v>
      </c>
      <c r="H7" s="19" t="str">
        <f t="shared" si="1"/>
        <v>USD</v>
      </c>
      <c r="J7" s="5"/>
      <c r="K7" s="9">
        <v>4</v>
      </c>
      <c r="L7" s="10" t="s">
        <v>16</v>
      </c>
      <c r="M7" s="12" t="s">
        <v>13</v>
      </c>
      <c r="N7" s="3"/>
      <c r="O7" s="3"/>
    </row>
    <row r="8" spans="1:15" ht="15">
      <c r="A8" s="72">
        <v>2</v>
      </c>
      <c r="B8" s="70">
        <v>13.68659985</v>
      </c>
      <c r="C8" s="69">
        <v>-89.194552018799996</v>
      </c>
      <c r="D8" s="71">
        <v>2250</v>
      </c>
      <c r="E8" s="19">
        <v>0</v>
      </c>
      <c r="F8" s="19">
        <f t="shared" si="0"/>
        <v>2250</v>
      </c>
      <c r="G8" s="20">
        <v>102</v>
      </c>
      <c r="H8" s="19" t="str">
        <f t="shared" si="1"/>
        <v>USD</v>
      </c>
      <c r="J8" s="5"/>
      <c r="K8" s="9">
        <v>5</v>
      </c>
      <c r="L8" s="10" t="s">
        <v>17</v>
      </c>
      <c r="M8" s="12" t="s">
        <v>13</v>
      </c>
      <c r="N8" s="3"/>
      <c r="O8" s="3"/>
    </row>
    <row r="9" spans="1:15" ht="15">
      <c r="A9" s="72">
        <v>2</v>
      </c>
      <c r="B9" s="70">
        <v>13.686595093799999</v>
      </c>
      <c r="C9" s="69">
        <v>-89.194501363800001</v>
      </c>
      <c r="D9" s="71">
        <v>2250</v>
      </c>
      <c r="E9" s="19">
        <v>0</v>
      </c>
      <c r="F9" s="19">
        <f t="shared" si="0"/>
        <v>2250</v>
      </c>
      <c r="G9" s="20">
        <v>102</v>
      </c>
      <c r="H9" s="19" t="str">
        <f t="shared" si="1"/>
        <v>USD</v>
      </c>
      <c r="J9" s="5"/>
      <c r="K9" s="9">
        <v>6</v>
      </c>
      <c r="L9" s="10" t="s">
        <v>18</v>
      </c>
      <c r="M9" s="12" t="s">
        <v>13</v>
      </c>
      <c r="N9" s="3"/>
      <c r="O9" s="3"/>
    </row>
    <row r="10" spans="1:15" ht="15">
      <c r="A10" s="72">
        <v>2</v>
      </c>
      <c r="B10" s="70">
        <v>13.6866734246</v>
      </c>
      <c r="C10" s="69">
        <v>-89.194485970700001</v>
      </c>
      <c r="D10" s="71">
        <v>2250</v>
      </c>
      <c r="E10" s="19">
        <v>0</v>
      </c>
      <c r="F10" s="19">
        <f t="shared" si="0"/>
        <v>2250</v>
      </c>
      <c r="G10" s="20">
        <v>102</v>
      </c>
      <c r="H10" s="19" t="str">
        <f t="shared" si="1"/>
        <v>USD</v>
      </c>
      <c r="J10" s="5"/>
      <c r="K10" s="9">
        <v>7</v>
      </c>
      <c r="L10" s="10" t="s">
        <v>19</v>
      </c>
      <c r="M10" s="12" t="s">
        <v>20</v>
      </c>
      <c r="N10" s="3"/>
      <c r="O10" s="3"/>
    </row>
    <row r="11" spans="1:15" ht="15.75" thickBot="1">
      <c r="A11" s="72">
        <v>2</v>
      </c>
      <c r="B11" s="70">
        <v>13.6866765542</v>
      </c>
      <c r="C11" s="69">
        <v>-89.194545058299994</v>
      </c>
      <c r="D11" s="71">
        <v>2250</v>
      </c>
      <c r="E11" s="19">
        <v>0</v>
      </c>
      <c r="F11" s="19">
        <f t="shared" si="0"/>
        <v>2250</v>
      </c>
      <c r="G11" s="20">
        <v>102</v>
      </c>
      <c r="H11" s="19" t="str">
        <f t="shared" si="1"/>
        <v>USD</v>
      </c>
      <c r="J11" s="5"/>
      <c r="K11" s="13">
        <v>8</v>
      </c>
      <c r="L11" s="14" t="s">
        <v>21</v>
      </c>
      <c r="M11" s="11" t="s">
        <v>20</v>
      </c>
      <c r="N11" s="3"/>
      <c r="O11" s="3"/>
    </row>
    <row r="12" spans="1:15" ht="15">
      <c r="A12" s="72">
        <v>2</v>
      </c>
      <c r="B12" s="70">
        <v>13.6866765065</v>
      </c>
      <c r="C12" s="69">
        <v>-89.194604265199999</v>
      </c>
      <c r="D12" s="71">
        <v>2250</v>
      </c>
      <c r="E12" s="19">
        <v>0</v>
      </c>
      <c r="F12" s="19">
        <f t="shared" si="0"/>
        <v>2250</v>
      </c>
      <c r="G12" s="20">
        <v>102</v>
      </c>
      <c r="H12" s="19" t="str">
        <f t="shared" si="1"/>
        <v>USD</v>
      </c>
      <c r="J12" s="5"/>
      <c r="K12" s="3"/>
      <c r="L12" s="3"/>
      <c r="M12" s="3"/>
      <c r="N12" s="3"/>
      <c r="O12" s="3"/>
    </row>
    <row r="13" spans="1:15" ht="15">
      <c r="A13" s="72">
        <v>2</v>
      </c>
      <c r="B13" s="70">
        <v>13.686682554600001</v>
      </c>
      <c r="C13" s="69">
        <v>-89.1946579942</v>
      </c>
      <c r="D13" s="71">
        <v>2250</v>
      </c>
      <c r="E13" s="19">
        <v>0</v>
      </c>
      <c r="F13" s="19">
        <f t="shared" si="0"/>
        <v>2250</v>
      </c>
      <c r="G13" s="20">
        <v>102</v>
      </c>
      <c r="H13" s="19" t="str">
        <f t="shared" si="1"/>
        <v>USD</v>
      </c>
      <c r="J13" s="5"/>
      <c r="K13" s="17" t="s">
        <v>22</v>
      </c>
      <c r="L13" s="18">
        <f>COUNT(A2:A1299)</f>
        <v>1298</v>
      </c>
      <c r="M13" s="3"/>
      <c r="N13" s="3"/>
      <c r="O13" s="3"/>
    </row>
    <row r="14" spans="1:15" ht="15">
      <c r="A14" s="72">
        <v>2</v>
      </c>
      <c r="B14" s="70">
        <v>13.686690211</v>
      </c>
      <c r="C14" s="69">
        <v>-89.194810732199997</v>
      </c>
      <c r="D14" s="71">
        <v>2250</v>
      </c>
      <c r="E14" s="19">
        <v>0</v>
      </c>
      <c r="F14" s="19">
        <f t="shared" si="0"/>
        <v>2250</v>
      </c>
      <c r="G14" s="20">
        <v>102</v>
      </c>
      <c r="H14" s="19" t="str">
        <f t="shared" si="1"/>
        <v>USD</v>
      </c>
      <c r="J14" s="5"/>
      <c r="K14" s="3"/>
      <c r="L14" s="3"/>
      <c r="M14" s="3"/>
      <c r="N14" s="3"/>
      <c r="O14" s="3"/>
    </row>
    <row r="15" spans="1:15" ht="15">
      <c r="A15" s="72">
        <v>2</v>
      </c>
      <c r="B15" s="70">
        <v>13.686687062400001</v>
      </c>
      <c r="C15" s="69">
        <v>-89.194766499799996</v>
      </c>
      <c r="D15" s="71">
        <v>2250</v>
      </c>
      <c r="E15" s="19">
        <v>0</v>
      </c>
      <c r="F15" s="19">
        <f t="shared" si="0"/>
        <v>2250</v>
      </c>
      <c r="G15" s="20">
        <v>102</v>
      </c>
      <c r="H15" s="19" t="str">
        <f t="shared" si="1"/>
        <v>USD</v>
      </c>
      <c r="J15" s="5"/>
      <c r="K15" s="3"/>
      <c r="L15" s="3"/>
      <c r="M15" s="3"/>
      <c r="N15" s="3"/>
      <c r="O15" s="3"/>
    </row>
    <row r="16" spans="1:15" ht="15">
      <c r="A16" s="72">
        <v>2</v>
      </c>
      <c r="B16" s="70">
        <v>13.6866861939</v>
      </c>
      <c r="C16" s="69">
        <v>-89.194713758700004</v>
      </c>
      <c r="D16" s="71">
        <v>2250</v>
      </c>
      <c r="E16" s="19">
        <v>0</v>
      </c>
      <c r="F16" s="19">
        <f t="shared" si="0"/>
        <v>2250</v>
      </c>
      <c r="G16" s="20">
        <v>102</v>
      </c>
      <c r="H16" s="19" t="str">
        <f t="shared" si="1"/>
        <v>USD</v>
      </c>
      <c r="J16" s="5"/>
      <c r="K16" s="3"/>
      <c r="L16" s="3"/>
      <c r="M16" s="3"/>
      <c r="N16" s="3"/>
      <c r="O16" s="3"/>
    </row>
    <row r="17" spans="1:15" ht="15">
      <c r="A17" s="72">
        <v>2</v>
      </c>
      <c r="B17" s="70">
        <v>13.686768818199999</v>
      </c>
      <c r="C17" s="69">
        <v>-89.194693948500003</v>
      </c>
      <c r="D17" s="71">
        <v>2250</v>
      </c>
      <c r="E17" s="19">
        <v>0</v>
      </c>
      <c r="F17" s="19">
        <f t="shared" si="0"/>
        <v>2250</v>
      </c>
      <c r="G17" s="20">
        <v>102</v>
      </c>
      <c r="H17" s="19" t="str">
        <f t="shared" si="1"/>
        <v>USD</v>
      </c>
      <c r="J17" s="5"/>
      <c r="K17" s="3"/>
      <c r="L17" s="3"/>
      <c r="M17" s="3"/>
      <c r="N17" s="3"/>
      <c r="O17" s="3"/>
    </row>
    <row r="18" spans="1:15" ht="15">
      <c r="A18" s="72">
        <v>2</v>
      </c>
      <c r="B18" s="70">
        <v>13.6867643223</v>
      </c>
      <c r="C18" s="69">
        <v>-89.194640048799997</v>
      </c>
      <c r="D18" s="71">
        <v>2250</v>
      </c>
      <c r="E18" s="19">
        <v>0</v>
      </c>
      <c r="F18" s="19">
        <f t="shared" si="0"/>
        <v>2250</v>
      </c>
      <c r="G18" s="20">
        <v>102</v>
      </c>
      <c r="H18" s="19" t="str">
        <f t="shared" si="1"/>
        <v>USD</v>
      </c>
      <c r="J18" s="5"/>
      <c r="K18" s="3"/>
      <c r="L18" s="3"/>
      <c r="M18" s="3"/>
      <c r="N18" s="3"/>
      <c r="O18" s="3"/>
    </row>
    <row r="19" spans="1:15" ht="15">
      <c r="A19" s="72">
        <v>2</v>
      </c>
      <c r="B19" s="70">
        <v>13.6864500548</v>
      </c>
      <c r="C19" s="69">
        <v>-89.194859058000006</v>
      </c>
      <c r="D19" s="71">
        <v>2250</v>
      </c>
      <c r="E19" s="19">
        <v>0</v>
      </c>
      <c r="F19" s="19">
        <f t="shared" si="0"/>
        <v>2250</v>
      </c>
      <c r="G19" s="20">
        <v>102</v>
      </c>
      <c r="H19" s="19" t="str">
        <f t="shared" si="1"/>
        <v>USD</v>
      </c>
      <c r="J19" s="5"/>
      <c r="K19" s="3"/>
      <c r="L19" s="3"/>
      <c r="M19" s="3"/>
      <c r="N19" s="3"/>
      <c r="O19" s="3"/>
    </row>
    <row r="20" spans="1:15" ht="15">
      <c r="A20" s="72">
        <v>2</v>
      </c>
      <c r="B20" s="70">
        <v>13.686440710099999</v>
      </c>
      <c r="C20" s="69">
        <v>-89.194766528700001</v>
      </c>
      <c r="D20" s="71">
        <v>2250</v>
      </c>
      <c r="E20" s="19">
        <v>0</v>
      </c>
      <c r="F20" s="19">
        <f t="shared" si="0"/>
        <v>2250</v>
      </c>
      <c r="G20" s="20">
        <v>102</v>
      </c>
      <c r="H20" s="19" t="str">
        <f t="shared" si="1"/>
        <v>USD</v>
      </c>
      <c r="J20" s="5"/>
      <c r="K20" s="3"/>
      <c r="L20" s="3"/>
      <c r="M20" s="3"/>
      <c r="N20" s="3"/>
      <c r="O20" s="3"/>
    </row>
    <row r="21" spans="1:15" ht="15">
      <c r="A21" s="72">
        <v>2</v>
      </c>
      <c r="B21" s="70">
        <v>13.686440394</v>
      </c>
      <c r="C21" s="69">
        <v>-89.194725048899997</v>
      </c>
      <c r="D21" s="71">
        <v>2250</v>
      </c>
      <c r="E21" s="19">
        <v>0</v>
      </c>
      <c r="F21" s="19">
        <f t="shared" si="0"/>
        <v>2250</v>
      </c>
      <c r="G21" s="20">
        <v>102</v>
      </c>
      <c r="H21" s="19" t="str">
        <f t="shared" si="1"/>
        <v>USD</v>
      </c>
      <c r="J21" s="5"/>
      <c r="K21" s="3"/>
      <c r="L21" s="3"/>
      <c r="M21" s="3"/>
      <c r="N21" s="3"/>
      <c r="O21" s="3"/>
    </row>
    <row r="22" spans="1:15" ht="15">
      <c r="A22" s="72">
        <v>2</v>
      </c>
      <c r="B22" s="70">
        <v>13.686438947899999</v>
      </c>
      <c r="C22" s="69">
        <v>-89.194672312999998</v>
      </c>
      <c r="D22" s="71">
        <v>2250</v>
      </c>
      <c r="E22" s="19">
        <v>0</v>
      </c>
      <c r="F22" s="19">
        <f t="shared" si="0"/>
        <v>2250</v>
      </c>
      <c r="G22" s="20">
        <v>102</v>
      </c>
      <c r="H22" s="19" t="str">
        <f t="shared" si="1"/>
        <v>USD</v>
      </c>
      <c r="J22" s="5"/>
      <c r="K22" s="3"/>
      <c r="L22" s="3"/>
      <c r="M22" s="3"/>
      <c r="N22" s="3"/>
      <c r="O22" s="3"/>
    </row>
    <row r="23" spans="1:15" ht="15">
      <c r="A23" s="72">
        <v>2</v>
      </c>
      <c r="B23" s="70">
        <v>13.686435556899999</v>
      </c>
      <c r="C23" s="69">
        <v>-89.194623710499997</v>
      </c>
      <c r="D23" s="71">
        <v>2250</v>
      </c>
      <c r="E23" s="19">
        <v>0</v>
      </c>
      <c r="F23" s="19">
        <f t="shared" si="0"/>
        <v>2250</v>
      </c>
      <c r="G23" s="20">
        <v>102</v>
      </c>
      <c r="H23" s="19" t="str">
        <f t="shared" si="1"/>
        <v>USD</v>
      </c>
      <c r="J23" s="5"/>
      <c r="K23" s="3"/>
      <c r="L23" s="3"/>
      <c r="M23" s="3"/>
      <c r="N23" s="3"/>
      <c r="O23" s="3"/>
    </row>
    <row r="24" spans="1:15" ht="15">
      <c r="A24" s="72">
        <v>2</v>
      </c>
      <c r="B24" s="70">
        <v>13.686434013</v>
      </c>
      <c r="C24" s="69">
        <v>-89.194580268899998</v>
      </c>
      <c r="D24" s="71">
        <v>2250</v>
      </c>
      <c r="E24" s="19">
        <v>0</v>
      </c>
      <c r="F24" s="19">
        <f t="shared" si="0"/>
        <v>2250</v>
      </c>
      <c r="G24" s="20">
        <v>102</v>
      </c>
      <c r="H24" s="19" t="str">
        <f t="shared" si="1"/>
        <v>USD</v>
      </c>
      <c r="J24" s="5"/>
      <c r="K24" s="3"/>
      <c r="L24" s="3"/>
      <c r="M24" s="3"/>
      <c r="N24" s="3"/>
      <c r="O24" s="3"/>
    </row>
    <row r="25" spans="1:15" ht="15">
      <c r="A25" s="72">
        <v>2</v>
      </c>
      <c r="B25" s="70">
        <v>13.686507131500001</v>
      </c>
      <c r="C25" s="69">
        <v>-89.194534276699997</v>
      </c>
      <c r="D25" s="71">
        <v>2250</v>
      </c>
      <c r="E25" s="19">
        <v>0</v>
      </c>
      <c r="F25" s="19">
        <f t="shared" si="0"/>
        <v>2250</v>
      </c>
      <c r="G25" s="20">
        <v>102</v>
      </c>
      <c r="H25" s="19" t="str">
        <f t="shared" si="1"/>
        <v>USD</v>
      </c>
      <c r="J25" s="5"/>
      <c r="K25" s="3"/>
      <c r="L25" s="3"/>
      <c r="M25" s="3"/>
      <c r="N25" s="3"/>
      <c r="O25" s="3"/>
    </row>
    <row r="26" spans="1:15" ht="15">
      <c r="A26" s="72">
        <v>2</v>
      </c>
      <c r="B26" s="70">
        <v>13.6865109213</v>
      </c>
      <c r="C26" s="69">
        <v>-89.194581565799993</v>
      </c>
      <c r="D26" s="71">
        <v>2250</v>
      </c>
      <c r="E26" s="19">
        <v>0</v>
      </c>
      <c r="F26" s="19">
        <f t="shared" si="0"/>
        <v>2250</v>
      </c>
      <c r="G26" s="20">
        <v>102</v>
      </c>
      <c r="H26" s="19" t="str">
        <f t="shared" si="1"/>
        <v>USD</v>
      </c>
      <c r="J26" s="5"/>
      <c r="K26" s="3"/>
      <c r="L26" s="3"/>
      <c r="M26" s="3"/>
      <c r="N26" s="3"/>
      <c r="O26" s="3"/>
    </row>
    <row r="27" spans="1:15" ht="15">
      <c r="A27" s="72">
        <v>2</v>
      </c>
      <c r="B27" s="70">
        <v>13.6865161548</v>
      </c>
      <c r="C27" s="69">
        <v>-89.194628724899999</v>
      </c>
      <c r="D27" s="71">
        <v>2250</v>
      </c>
      <c r="E27" s="19">
        <v>0</v>
      </c>
      <c r="F27" s="19">
        <f t="shared" si="0"/>
        <v>2250</v>
      </c>
      <c r="G27" s="20">
        <v>102</v>
      </c>
      <c r="H27" s="19" t="str">
        <f t="shared" si="1"/>
        <v>USD</v>
      </c>
      <c r="J27" s="5"/>
      <c r="K27" s="3"/>
      <c r="L27" s="3"/>
      <c r="M27" s="3"/>
      <c r="N27" s="3"/>
      <c r="O27" s="3"/>
    </row>
    <row r="28" spans="1:15" ht="15">
      <c r="A28" s="72">
        <v>2</v>
      </c>
      <c r="B28" s="70">
        <v>13.6865233266</v>
      </c>
      <c r="C28" s="69">
        <v>-89.194735975399993</v>
      </c>
      <c r="D28" s="71">
        <v>2250</v>
      </c>
      <c r="E28" s="19">
        <v>0</v>
      </c>
      <c r="F28" s="19">
        <f t="shared" si="0"/>
        <v>2250</v>
      </c>
      <c r="G28" s="20">
        <v>102</v>
      </c>
      <c r="H28" s="19" t="str">
        <f t="shared" si="1"/>
        <v>USD</v>
      </c>
      <c r="J28" s="5"/>
      <c r="K28" s="3"/>
      <c r="L28" s="3"/>
      <c r="M28" s="3"/>
      <c r="N28" s="3"/>
      <c r="O28" s="3"/>
    </row>
    <row r="29" spans="1:15" ht="15">
      <c r="A29" s="72">
        <v>2</v>
      </c>
      <c r="B29" s="70">
        <v>13.6865292149</v>
      </c>
      <c r="C29" s="69">
        <v>-89.194858974799999</v>
      </c>
      <c r="D29" s="71">
        <v>2250</v>
      </c>
      <c r="E29" s="19">
        <v>0</v>
      </c>
      <c r="F29" s="19">
        <f t="shared" si="0"/>
        <v>2250</v>
      </c>
      <c r="G29" s="20">
        <v>102</v>
      </c>
      <c r="H29" s="19" t="str">
        <f t="shared" si="1"/>
        <v>USD</v>
      </c>
      <c r="J29" s="5"/>
      <c r="K29" s="3"/>
      <c r="L29" s="3"/>
      <c r="M29" s="3"/>
      <c r="N29" s="3"/>
      <c r="O29" s="3"/>
    </row>
    <row r="30" spans="1:15" ht="15">
      <c r="A30" s="72">
        <v>2</v>
      </c>
      <c r="B30" s="70">
        <v>13.6865262494</v>
      </c>
      <c r="C30" s="69">
        <v>-89.194801600399998</v>
      </c>
      <c r="D30" s="71">
        <v>2250</v>
      </c>
      <c r="E30" s="19">
        <v>0</v>
      </c>
      <c r="F30" s="19">
        <f t="shared" si="0"/>
        <v>2250</v>
      </c>
      <c r="G30" s="20">
        <v>102</v>
      </c>
      <c r="H30" s="19" t="str">
        <f t="shared" si="1"/>
        <v>USD</v>
      </c>
      <c r="J30" s="5"/>
      <c r="K30" s="3"/>
      <c r="L30" s="3"/>
      <c r="M30" s="3"/>
      <c r="N30" s="3"/>
      <c r="O30" s="3"/>
    </row>
    <row r="31" spans="1:15" ht="15">
      <c r="A31" s="72">
        <v>2</v>
      </c>
      <c r="B31" s="70">
        <v>13.6866957241</v>
      </c>
      <c r="C31" s="69">
        <v>-89.195015980400001</v>
      </c>
      <c r="D31" s="71">
        <v>2250</v>
      </c>
      <c r="E31" s="19">
        <v>0</v>
      </c>
      <c r="F31" s="19">
        <f t="shared" si="0"/>
        <v>2250</v>
      </c>
      <c r="G31" s="20">
        <v>102</v>
      </c>
      <c r="H31" s="19" t="str">
        <f t="shared" si="1"/>
        <v>USD</v>
      </c>
      <c r="J31" s="5"/>
      <c r="K31" s="3"/>
      <c r="L31" s="3"/>
      <c r="M31" s="3"/>
      <c r="N31" s="3"/>
      <c r="O31" s="3"/>
    </row>
    <row r="32" spans="1:15" ht="15">
      <c r="A32" s="72">
        <v>2</v>
      </c>
      <c r="B32" s="70">
        <v>13.6867436905</v>
      </c>
      <c r="C32" s="69">
        <v>-89.195031082400007</v>
      </c>
      <c r="D32" s="71">
        <v>2250</v>
      </c>
      <c r="E32" s="19">
        <v>0</v>
      </c>
      <c r="F32" s="19">
        <f t="shared" si="0"/>
        <v>2250</v>
      </c>
      <c r="G32" s="20">
        <v>102</v>
      </c>
      <c r="H32" s="19" t="str">
        <f t="shared" si="1"/>
        <v>USD</v>
      </c>
      <c r="J32" s="5"/>
      <c r="K32" s="3"/>
      <c r="L32" s="3"/>
      <c r="M32" s="3"/>
      <c r="N32" s="3"/>
      <c r="O32" s="3"/>
    </row>
    <row r="33" spans="1:15" ht="15">
      <c r="A33" s="72">
        <v>2</v>
      </c>
      <c r="B33" s="70">
        <v>13.6867938669</v>
      </c>
      <c r="C33" s="69">
        <v>-89.1950462824</v>
      </c>
      <c r="D33" s="71">
        <v>2250</v>
      </c>
      <c r="E33" s="19">
        <v>0</v>
      </c>
      <c r="F33" s="19">
        <f t="shared" si="0"/>
        <v>2250</v>
      </c>
      <c r="G33" s="20">
        <v>102</v>
      </c>
      <c r="H33" s="19" t="str">
        <f t="shared" si="1"/>
        <v>USD</v>
      </c>
      <c r="J33" s="5"/>
      <c r="K33" s="3"/>
      <c r="L33" s="3"/>
      <c r="M33" s="3"/>
      <c r="N33" s="3"/>
      <c r="O33" s="3"/>
    </row>
    <row r="34" spans="1:15" ht="15">
      <c r="A34" s="72">
        <v>2</v>
      </c>
      <c r="B34" s="70">
        <v>13.686833869000001</v>
      </c>
      <c r="C34" s="69">
        <v>-89.195056726900006</v>
      </c>
      <c r="D34" s="71">
        <v>2250</v>
      </c>
      <c r="E34" s="19">
        <v>0</v>
      </c>
      <c r="F34" s="19">
        <f t="shared" si="0"/>
        <v>2250</v>
      </c>
      <c r="G34" s="20">
        <v>102</v>
      </c>
      <c r="H34" s="19" t="str">
        <f t="shared" si="1"/>
        <v>USD</v>
      </c>
      <c r="J34" s="5"/>
      <c r="K34" s="3"/>
      <c r="L34" s="3"/>
      <c r="M34" s="3"/>
      <c r="N34" s="3"/>
      <c r="O34" s="3"/>
    </row>
    <row r="35" spans="1:15" ht="15">
      <c r="A35" s="72">
        <v>2</v>
      </c>
      <c r="B35" s="70">
        <v>13.6868786823</v>
      </c>
      <c r="C35" s="69">
        <v>-89.195068646999999</v>
      </c>
      <c r="D35" s="71">
        <v>2250</v>
      </c>
      <c r="E35" s="19">
        <v>0</v>
      </c>
      <c r="F35" s="19">
        <f t="shared" si="0"/>
        <v>2250</v>
      </c>
      <c r="G35" s="20">
        <v>102</v>
      </c>
      <c r="H35" s="19" t="str">
        <f t="shared" si="1"/>
        <v>USD</v>
      </c>
      <c r="J35" s="5"/>
      <c r="K35" s="3"/>
      <c r="L35" s="3"/>
      <c r="M35" s="3"/>
      <c r="N35" s="3"/>
      <c r="O35" s="3"/>
    </row>
    <row r="36" spans="1:15" ht="15">
      <c r="A36" s="72">
        <v>2</v>
      </c>
      <c r="B36" s="70">
        <v>13.686599745500001</v>
      </c>
      <c r="C36" s="69">
        <v>-89.194993263599997</v>
      </c>
      <c r="D36" s="71">
        <v>2250</v>
      </c>
      <c r="E36" s="19">
        <v>0</v>
      </c>
      <c r="F36" s="19">
        <f t="shared" si="0"/>
        <v>2250</v>
      </c>
      <c r="G36" s="20">
        <v>102</v>
      </c>
      <c r="H36" s="19" t="str">
        <f t="shared" si="1"/>
        <v>USD</v>
      </c>
      <c r="J36" s="5"/>
      <c r="K36" s="3"/>
      <c r="L36" s="3"/>
      <c r="M36" s="3"/>
      <c r="N36" s="3"/>
      <c r="O36" s="3"/>
    </row>
    <row r="37" spans="1:15" ht="15">
      <c r="A37" s="72">
        <v>2</v>
      </c>
      <c r="B37" s="70">
        <v>13.686649600000001</v>
      </c>
      <c r="C37" s="69">
        <v>-89.195007516700002</v>
      </c>
      <c r="D37" s="71">
        <v>2250</v>
      </c>
      <c r="E37" s="19">
        <v>0</v>
      </c>
      <c r="F37" s="19">
        <f t="shared" si="0"/>
        <v>2250</v>
      </c>
      <c r="G37" s="20">
        <v>102</v>
      </c>
      <c r="H37" s="19" t="str">
        <f t="shared" si="1"/>
        <v>USD</v>
      </c>
      <c r="J37" s="5"/>
      <c r="K37" s="3"/>
      <c r="L37" s="3"/>
      <c r="M37" s="3"/>
      <c r="N37" s="3"/>
      <c r="O37" s="3"/>
    </row>
    <row r="38" spans="1:15" ht="15">
      <c r="A38" s="72">
        <v>2</v>
      </c>
      <c r="B38" s="70">
        <v>13.6865511706</v>
      </c>
      <c r="C38" s="69">
        <v>-89.194982879600005</v>
      </c>
      <c r="D38" s="71">
        <v>2250</v>
      </c>
      <c r="E38" s="19">
        <v>0</v>
      </c>
      <c r="F38" s="19">
        <f t="shared" si="0"/>
        <v>2250</v>
      </c>
      <c r="G38" s="20">
        <v>102</v>
      </c>
      <c r="H38" s="19" t="str">
        <f t="shared" si="1"/>
        <v>USD</v>
      </c>
      <c r="J38" s="5"/>
      <c r="K38" s="3"/>
      <c r="L38" s="3"/>
      <c r="M38" s="3"/>
      <c r="N38" s="3"/>
      <c r="O38" s="3"/>
    </row>
    <row r="39" spans="1:15" ht="15">
      <c r="A39" s="72">
        <v>2</v>
      </c>
      <c r="B39" s="70">
        <v>13.6865007668</v>
      </c>
      <c r="C39" s="69">
        <v>-89.194967194100002</v>
      </c>
      <c r="D39" s="71">
        <v>2250</v>
      </c>
      <c r="E39" s="19">
        <v>0</v>
      </c>
      <c r="F39" s="19">
        <f t="shared" si="0"/>
        <v>2250</v>
      </c>
      <c r="G39" s="20">
        <v>102</v>
      </c>
      <c r="H39" s="19" t="str">
        <f t="shared" si="1"/>
        <v>USD</v>
      </c>
      <c r="J39" s="5"/>
      <c r="K39" s="3"/>
      <c r="L39" s="3"/>
      <c r="M39" s="3"/>
      <c r="N39" s="3"/>
      <c r="O39" s="3"/>
    </row>
    <row r="40" spans="1:15" ht="15">
      <c r="A40" s="72">
        <v>2</v>
      </c>
      <c r="B40" s="70">
        <v>13.6866145964</v>
      </c>
      <c r="C40" s="69">
        <v>-89.194870852700006</v>
      </c>
      <c r="D40" s="71">
        <v>2250</v>
      </c>
      <c r="E40" s="19">
        <v>0</v>
      </c>
      <c r="F40" s="19">
        <f t="shared" si="0"/>
        <v>2250</v>
      </c>
      <c r="G40" s="20">
        <v>102</v>
      </c>
      <c r="H40" s="19" t="str">
        <f t="shared" si="1"/>
        <v>USD</v>
      </c>
      <c r="J40" s="5"/>
      <c r="K40" s="3"/>
      <c r="L40" s="3"/>
      <c r="M40" s="3"/>
      <c r="N40" s="3"/>
      <c r="O40" s="3"/>
    </row>
    <row r="41" spans="1:15" ht="15">
      <c r="A41" s="72">
        <v>2</v>
      </c>
      <c r="B41" s="70">
        <v>13.686614172300001</v>
      </c>
      <c r="C41" s="69">
        <v>-89.194826524600003</v>
      </c>
      <c r="D41" s="71">
        <v>2250</v>
      </c>
      <c r="E41" s="19">
        <v>0</v>
      </c>
      <c r="F41" s="19">
        <f t="shared" si="0"/>
        <v>2250</v>
      </c>
      <c r="G41" s="20">
        <v>102</v>
      </c>
      <c r="H41" s="19" t="str">
        <f t="shared" si="1"/>
        <v>USD</v>
      </c>
      <c r="J41" s="5"/>
      <c r="K41" s="3"/>
      <c r="L41" s="3"/>
      <c r="M41" s="3"/>
      <c r="N41" s="3"/>
      <c r="O41" s="3"/>
    </row>
    <row r="42" spans="1:15" ht="15">
      <c r="A42" s="72">
        <v>2</v>
      </c>
      <c r="B42" s="70">
        <v>13.6866101266</v>
      </c>
      <c r="C42" s="69">
        <v>-89.194782826700006</v>
      </c>
      <c r="D42" s="71">
        <v>2250</v>
      </c>
      <c r="E42" s="19">
        <v>0</v>
      </c>
      <c r="F42" s="19">
        <f t="shared" si="0"/>
        <v>2250</v>
      </c>
      <c r="G42" s="20">
        <v>102</v>
      </c>
      <c r="H42" s="19" t="str">
        <f t="shared" si="1"/>
        <v>USD</v>
      </c>
      <c r="J42" s="5"/>
      <c r="K42" s="3"/>
      <c r="L42" s="3"/>
      <c r="M42" s="3"/>
      <c r="N42" s="3"/>
      <c r="O42" s="3"/>
    </row>
    <row r="43" spans="1:15" ht="15">
      <c r="A43" s="72">
        <v>2</v>
      </c>
      <c r="B43" s="70">
        <v>13.686606747200001</v>
      </c>
      <c r="C43" s="69">
        <v>-89.194728684799998</v>
      </c>
      <c r="D43" s="71">
        <v>2250</v>
      </c>
      <c r="E43" s="19">
        <v>0</v>
      </c>
      <c r="F43" s="19">
        <f t="shared" si="0"/>
        <v>2250</v>
      </c>
      <c r="G43" s="20">
        <v>102</v>
      </c>
      <c r="H43" s="19" t="str">
        <f t="shared" si="1"/>
        <v>USD</v>
      </c>
      <c r="J43" s="5"/>
      <c r="K43" s="3"/>
      <c r="L43" s="3"/>
      <c r="M43" s="3"/>
      <c r="N43" s="3"/>
      <c r="O43" s="3"/>
    </row>
    <row r="44" spans="1:15" ht="15">
      <c r="A44" s="72">
        <v>2</v>
      </c>
      <c r="B44" s="70">
        <v>13.6866038374</v>
      </c>
      <c r="C44" s="69">
        <v>-89.194670561699994</v>
      </c>
      <c r="D44" s="71">
        <v>2250</v>
      </c>
      <c r="E44" s="19">
        <v>0</v>
      </c>
      <c r="F44" s="19">
        <f t="shared" si="0"/>
        <v>2250</v>
      </c>
      <c r="G44" s="20">
        <v>102</v>
      </c>
      <c r="H44" s="19" t="str">
        <f t="shared" si="1"/>
        <v>USD</v>
      </c>
      <c r="J44" s="5"/>
      <c r="K44" s="3"/>
      <c r="L44" s="3"/>
      <c r="M44" s="3"/>
      <c r="N44" s="3"/>
      <c r="O44" s="3"/>
    </row>
    <row r="45" spans="1:15" ht="15">
      <c r="A45" s="72">
        <v>2</v>
      </c>
      <c r="B45" s="70">
        <v>13.6866009391</v>
      </c>
      <c r="C45" s="69">
        <v>-89.194613916799995</v>
      </c>
      <c r="D45" s="71">
        <v>2250</v>
      </c>
      <c r="E45" s="19">
        <v>0</v>
      </c>
      <c r="F45" s="19">
        <f t="shared" si="0"/>
        <v>2250</v>
      </c>
      <c r="G45" s="20">
        <v>102</v>
      </c>
      <c r="H45" s="19" t="str">
        <f t="shared" si="1"/>
        <v>USD</v>
      </c>
      <c r="J45" s="5"/>
      <c r="K45" s="3"/>
      <c r="L45" s="3"/>
      <c r="M45" s="3"/>
      <c r="N45" s="3"/>
      <c r="O45" s="3"/>
    </row>
    <row r="46" spans="1:15" ht="15">
      <c r="A46" s="72">
        <v>2</v>
      </c>
      <c r="B46" s="70">
        <v>13.6865993919</v>
      </c>
      <c r="C46" s="69">
        <v>-89.194550624399994</v>
      </c>
      <c r="D46" s="71">
        <v>2250</v>
      </c>
      <c r="E46" s="19">
        <v>0</v>
      </c>
      <c r="F46" s="19">
        <f t="shared" si="0"/>
        <v>2250</v>
      </c>
      <c r="G46" s="20">
        <v>102</v>
      </c>
      <c r="H46" s="19" t="str">
        <f t="shared" si="1"/>
        <v>USD</v>
      </c>
      <c r="J46" s="5"/>
      <c r="K46" s="3"/>
      <c r="L46" s="3"/>
      <c r="M46" s="3"/>
      <c r="N46" s="3"/>
      <c r="O46" s="3"/>
    </row>
    <row r="47" spans="1:15" ht="15">
      <c r="A47" s="72">
        <v>2</v>
      </c>
      <c r="B47" s="70">
        <v>13.6865958121</v>
      </c>
      <c r="C47" s="69">
        <v>-89.194500655400006</v>
      </c>
      <c r="D47" s="71">
        <v>2250</v>
      </c>
      <c r="E47" s="19">
        <v>0</v>
      </c>
      <c r="F47" s="19">
        <f t="shared" si="0"/>
        <v>2250</v>
      </c>
      <c r="G47" s="20">
        <v>102</v>
      </c>
      <c r="H47" s="19" t="str">
        <f t="shared" si="1"/>
        <v>USD</v>
      </c>
      <c r="J47" s="5"/>
      <c r="K47" s="3"/>
      <c r="L47" s="3"/>
      <c r="M47" s="3"/>
      <c r="N47" s="3"/>
      <c r="O47" s="3"/>
    </row>
    <row r="48" spans="1:15" ht="15">
      <c r="A48" s="72">
        <v>2</v>
      </c>
      <c r="B48" s="70">
        <v>13.6866733787</v>
      </c>
      <c r="C48" s="69">
        <v>-89.194485648099999</v>
      </c>
      <c r="D48" s="71">
        <v>2250</v>
      </c>
      <c r="E48" s="19">
        <v>0</v>
      </c>
      <c r="F48" s="19">
        <f t="shared" si="0"/>
        <v>2250</v>
      </c>
      <c r="G48" s="20">
        <v>102</v>
      </c>
      <c r="H48" s="19" t="str">
        <f t="shared" si="1"/>
        <v>USD</v>
      </c>
      <c r="J48" s="5"/>
      <c r="K48" s="3"/>
      <c r="L48" s="3"/>
      <c r="M48" s="3"/>
      <c r="N48" s="3"/>
      <c r="O48" s="3"/>
    </row>
    <row r="49" spans="1:15" ht="15">
      <c r="A49" s="72">
        <v>2</v>
      </c>
      <c r="B49" s="70">
        <v>13.6866767868</v>
      </c>
      <c r="C49" s="69">
        <v>-89.194544765399996</v>
      </c>
      <c r="D49" s="71">
        <v>2250</v>
      </c>
      <c r="E49" s="19">
        <v>0</v>
      </c>
      <c r="F49" s="19">
        <f t="shared" si="0"/>
        <v>2250</v>
      </c>
      <c r="G49" s="20">
        <v>102</v>
      </c>
      <c r="H49" s="19" t="str">
        <f t="shared" si="1"/>
        <v>USD</v>
      </c>
      <c r="J49" s="5"/>
      <c r="K49" s="3"/>
      <c r="L49" s="3"/>
      <c r="M49" s="3"/>
      <c r="N49" s="3"/>
      <c r="O49" s="3"/>
    </row>
    <row r="50" spans="1:15" ht="15">
      <c r="A50" s="72">
        <v>2</v>
      </c>
      <c r="B50" s="70">
        <v>13.686676282000001</v>
      </c>
      <c r="C50" s="69">
        <v>-89.194603570699996</v>
      </c>
      <c r="D50" s="71">
        <v>2250</v>
      </c>
      <c r="E50" s="19">
        <v>0</v>
      </c>
      <c r="F50" s="19">
        <f t="shared" si="0"/>
        <v>2250</v>
      </c>
      <c r="G50" s="20">
        <v>102</v>
      </c>
      <c r="H50" s="19" t="str">
        <f t="shared" si="1"/>
        <v>USD</v>
      </c>
      <c r="J50" s="5"/>
      <c r="K50" s="3"/>
      <c r="L50" s="3"/>
      <c r="M50" s="3"/>
      <c r="N50" s="3"/>
      <c r="O50" s="3"/>
    </row>
    <row r="51" spans="1:15" ht="15">
      <c r="A51" s="72">
        <v>2</v>
      </c>
      <c r="B51" s="70">
        <v>13.6866826034</v>
      </c>
      <c r="C51" s="69">
        <v>-89.194657996999993</v>
      </c>
      <c r="D51" s="71">
        <v>2250</v>
      </c>
      <c r="E51" s="19">
        <v>0</v>
      </c>
      <c r="F51" s="19">
        <f t="shared" si="0"/>
        <v>2250</v>
      </c>
      <c r="G51" s="20">
        <v>102</v>
      </c>
      <c r="H51" s="19" t="str">
        <f t="shared" si="1"/>
        <v>USD</v>
      </c>
      <c r="J51" s="5"/>
      <c r="K51" s="3"/>
      <c r="L51" s="3"/>
      <c r="M51" s="3"/>
      <c r="N51" s="3"/>
      <c r="O51" s="3"/>
    </row>
    <row r="52" spans="1:15" ht="15">
      <c r="A52" s="72">
        <v>2</v>
      </c>
      <c r="B52" s="70">
        <v>13.686752094599999</v>
      </c>
      <c r="C52" s="69">
        <v>-89.194939461700002</v>
      </c>
      <c r="D52" s="71">
        <v>2250</v>
      </c>
      <c r="E52" s="19">
        <v>0</v>
      </c>
      <c r="F52" s="19">
        <f t="shared" si="0"/>
        <v>2250</v>
      </c>
      <c r="G52" s="20">
        <v>102</v>
      </c>
      <c r="H52" s="19" t="str">
        <f t="shared" si="1"/>
        <v>USD</v>
      </c>
      <c r="J52" s="5"/>
      <c r="K52" s="3"/>
      <c r="L52" s="3"/>
      <c r="M52" s="3"/>
      <c r="N52" s="3"/>
      <c r="O52" s="3"/>
    </row>
    <row r="53" spans="1:15" ht="15">
      <c r="A53" s="72">
        <v>2</v>
      </c>
      <c r="B53" s="70">
        <v>13.6867253538</v>
      </c>
      <c r="C53" s="69">
        <v>-89.194895091399999</v>
      </c>
      <c r="D53" s="71">
        <v>2250</v>
      </c>
      <c r="E53" s="19">
        <v>0</v>
      </c>
      <c r="F53" s="19">
        <f t="shared" si="0"/>
        <v>2250</v>
      </c>
      <c r="G53" s="20">
        <v>102</v>
      </c>
      <c r="H53" s="19" t="str">
        <f t="shared" si="1"/>
        <v>USD</v>
      </c>
      <c r="J53" s="5"/>
      <c r="K53" s="3"/>
      <c r="L53" s="3"/>
      <c r="M53" s="3"/>
      <c r="N53" s="3"/>
      <c r="O53" s="3"/>
    </row>
    <row r="54" spans="1:15" ht="15">
      <c r="A54" s="72">
        <v>2</v>
      </c>
      <c r="B54" s="70">
        <v>13.686697677</v>
      </c>
      <c r="C54" s="69">
        <v>-89.194851121499994</v>
      </c>
      <c r="D54" s="71">
        <v>2250</v>
      </c>
      <c r="E54" s="19">
        <v>0</v>
      </c>
      <c r="F54" s="19">
        <f t="shared" si="0"/>
        <v>2250</v>
      </c>
      <c r="G54" s="20">
        <v>102</v>
      </c>
      <c r="H54" s="19" t="str">
        <f t="shared" si="1"/>
        <v>USD</v>
      </c>
      <c r="J54" s="5"/>
      <c r="K54" s="3"/>
      <c r="L54" s="3"/>
      <c r="M54" s="3"/>
      <c r="N54" s="3"/>
      <c r="O54" s="3"/>
    </row>
    <row r="55" spans="1:15" ht="15">
      <c r="A55" s="72">
        <v>2</v>
      </c>
      <c r="B55" s="70">
        <v>13.686689073</v>
      </c>
      <c r="C55" s="69">
        <v>-89.1948106822</v>
      </c>
      <c r="D55" s="71">
        <v>2250</v>
      </c>
      <c r="E55" s="19">
        <v>0</v>
      </c>
      <c r="F55" s="19">
        <f t="shared" si="0"/>
        <v>2250</v>
      </c>
      <c r="G55" s="20">
        <v>102</v>
      </c>
      <c r="H55" s="19" t="str">
        <f t="shared" si="1"/>
        <v>USD</v>
      </c>
      <c r="J55" s="5"/>
      <c r="K55" s="3"/>
      <c r="L55" s="3"/>
      <c r="M55" s="3"/>
      <c r="N55" s="3"/>
      <c r="O55" s="3"/>
    </row>
    <row r="56" spans="1:15" ht="15">
      <c r="A56" s="72">
        <v>2</v>
      </c>
      <c r="B56" s="70">
        <v>13.6866875216</v>
      </c>
      <c r="C56" s="69">
        <v>-89.194766536200007</v>
      </c>
      <c r="D56" s="71">
        <v>2250</v>
      </c>
      <c r="E56" s="19">
        <v>0</v>
      </c>
      <c r="F56" s="19">
        <f t="shared" si="0"/>
        <v>2250</v>
      </c>
      <c r="G56" s="20">
        <v>102</v>
      </c>
      <c r="H56" s="19" t="str">
        <f t="shared" si="1"/>
        <v>USD</v>
      </c>
      <c r="J56" s="5"/>
      <c r="K56" s="3"/>
      <c r="L56" s="3"/>
      <c r="M56" s="3"/>
      <c r="N56" s="3"/>
      <c r="O56" s="3"/>
    </row>
    <row r="57" spans="1:15" ht="15">
      <c r="A57" s="72">
        <v>2</v>
      </c>
      <c r="B57" s="70">
        <v>13.6866861968</v>
      </c>
      <c r="C57" s="69">
        <v>-89.194713521099999</v>
      </c>
      <c r="D57" s="71">
        <v>2250</v>
      </c>
      <c r="E57" s="19">
        <v>0</v>
      </c>
      <c r="F57" s="19">
        <f t="shared" si="0"/>
        <v>2250</v>
      </c>
      <c r="G57" s="20">
        <v>102</v>
      </c>
      <c r="H57" s="19" t="str">
        <f t="shared" si="1"/>
        <v>USD</v>
      </c>
      <c r="J57" s="5"/>
      <c r="K57" s="3"/>
      <c r="L57" s="3"/>
      <c r="M57" s="3"/>
      <c r="N57" s="3"/>
      <c r="O57" s="3"/>
    </row>
    <row r="58" spans="1:15" ht="15">
      <c r="A58" s="72">
        <v>2</v>
      </c>
      <c r="B58" s="70">
        <v>13.6867724192</v>
      </c>
      <c r="C58" s="69">
        <v>-89.194744452799995</v>
      </c>
      <c r="D58" s="71">
        <v>2250</v>
      </c>
      <c r="E58" s="19">
        <v>0</v>
      </c>
      <c r="F58" s="19">
        <f t="shared" si="0"/>
        <v>2250</v>
      </c>
      <c r="G58" s="20">
        <v>102</v>
      </c>
      <c r="H58" s="19" t="str">
        <f t="shared" si="1"/>
        <v>USD</v>
      </c>
      <c r="J58" s="5"/>
      <c r="K58" s="3"/>
      <c r="L58" s="3"/>
      <c r="M58" s="3"/>
      <c r="N58" s="3"/>
      <c r="O58" s="3"/>
    </row>
    <row r="59" spans="1:15" ht="15">
      <c r="A59" s="72">
        <v>2</v>
      </c>
      <c r="B59" s="70">
        <v>13.6867725387</v>
      </c>
      <c r="C59" s="69">
        <v>-89.194744271700003</v>
      </c>
      <c r="D59" s="71">
        <v>2250</v>
      </c>
      <c r="E59" s="19">
        <v>0</v>
      </c>
      <c r="F59" s="19">
        <f t="shared" si="0"/>
        <v>2250</v>
      </c>
      <c r="G59" s="20">
        <v>102</v>
      </c>
      <c r="H59" s="19" t="str">
        <f t="shared" si="1"/>
        <v>USD</v>
      </c>
      <c r="J59" s="5"/>
      <c r="K59" s="3"/>
      <c r="L59" s="3"/>
      <c r="M59" s="3"/>
      <c r="N59" s="3"/>
      <c r="O59" s="3"/>
    </row>
    <row r="60" spans="1:15" ht="15">
      <c r="A60" s="72">
        <v>2</v>
      </c>
      <c r="B60" s="70">
        <v>13.686769051800001</v>
      </c>
      <c r="C60" s="69">
        <v>-89.194693490099993</v>
      </c>
      <c r="D60" s="71">
        <v>2250</v>
      </c>
      <c r="E60" s="19">
        <v>0</v>
      </c>
      <c r="F60" s="19">
        <f t="shared" si="0"/>
        <v>2250</v>
      </c>
      <c r="G60" s="20">
        <v>102</v>
      </c>
      <c r="H60" s="19" t="str">
        <f t="shared" si="1"/>
        <v>USD</v>
      </c>
      <c r="J60" s="5"/>
      <c r="K60" s="3"/>
      <c r="L60" s="3"/>
      <c r="M60" s="3"/>
      <c r="N60" s="3"/>
      <c r="O60" s="3"/>
    </row>
    <row r="61" spans="1:15" ht="15">
      <c r="A61" s="72">
        <v>2</v>
      </c>
      <c r="B61" s="70">
        <v>13.686764547399999</v>
      </c>
      <c r="C61" s="69">
        <v>-89.194639968499999</v>
      </c>
      <c r="D61" s="71">
        <v>2250</v>
      </c>
      <c r="E61" s="19">
        <v>0</v>
      </c>
      <c r="F61" s="19">
        <f t="shared" si="0"/>
        <v>2250</v>
      </c>
      <c r="G61" s="20">
        <v>102</v>
      </c>
      <c r="H61" s="19" t="str">
        <f t="shared" si="1"/>
        <v>USD</v>
      </c>
      <c r="J61" s="5"/>
      <c r="K61" s="3"/>
      <c r="L61" s="3"/>
      <c r="M61" s="3"/>
      <c r="N61" s="3"/>
      <c r="O61" s="3"/>
    </row>
    <row r="62" spans="1:15" ht="15">
      <c r="A62" s="72">
        <v>2</v>
      </c>
      <c r="B62" s="70">
        <v>13.686755956500001</v>
      </c>
      <c r="C62" s="69">
        <v>-89.194588629899997</v>
      </c>
      <c r="D62" s="71">
        <v>2250</v>
      </c>
      <c r="E62" s="19">
        <v>0</v>
      </c>
      <c r="F62" s="19">
        <f t="shared" si="0"/>
        <v>2250</v>
      </c>
      <c r="G62" s="20">
        <v>102</v>
      </c>
      <c r="H62" s="19" t="str">
        <f t="shared" si="1"/>
        <v>USD</v>
      </c>
      <c r="J62" s="5"/>
      <c r="K62" s="3"/>
      <c r="L62" s="3"/>
      <c r="M62" s="3"/>
      <c r="N62" s="3"/>
      <c r="O62" s="3"/>
    </row>
    <row r="63" spans="1:15" ht="15">
      <c r="A63" s="72">
        <v>2</v>
      </c>
      <c r="B63" s="70">
        <v>13.6864149488</v>
      </c>
      <c r="C63" s="69">
        <v>-89.194975856300005</v>
      </c>
      <c r="D63" s="71">
        <v>2250</v>
      </c>
      <c r="E63" s="19">
        <v>0</v>
      </c>
      <c r="F63" s="19">
        <f t="shared" si="0"/>
        <v>2250</v>
      </c>
      <c r="G63" s="20">
        <v>102</v>
      </c>
      <c r="H63" s="19" t="str">
        <f t="shared" si="1"/>
        <v>USD</v>
      </c>
      <c r="J63" s="5"/>
      <c r="K63" s="3"/>
      <c r="L63" s="3"/>
      <c r="M63" s="3"/>
      <c r="N63" s="3"/>
      <c r="O63" s="3"/>
    </row>
    <row r="64" spans="1:15" ht="15">
      <c r="A64" s="72">
        <v>2</v>
      </c>
      <c r="B64" s="70">
        <v>13.6864538732</v>
      </c>
      <c r="C64" s="69">
        <v>-89.194899818699994</v>
      </c>
      <c r="D64" s="71">
        <v>2250</v>
      </c>
      <c r="E64" s="19">
        <v>0</v>
      </c>
      <c r="F64" s="19">
        <f t="shared" si="0"/>
        <v>2250</v>
      </c>
      <c r="G64" s="20">
        <v>102</v>
      </c>
      <c r="H64" s="19" t="str">
        <f t="shared" si="1"/>
        <v>USD</v>
      </c>
      <c r="J64" s="5"/>
      <c r="K64" s="3"/>
      <c r="L64" s="3"/>
      <c r="M64" s="3"/>
      <c r="N64" s="3"/>
      <c r="O64" s="3"/>
    </row>
    <row r="65" spans="1:15" ht="15">
      <c r="A65" s="72">
        <v>2</v>
      </c>
      <c r="B65" s="70">
        <v>13.6864451407</v>
      </c>
      <c r="C65" s="69">
        <v>-89.194812751499995</v>
      </c>
      <c r="D65" s="71">
        <v>2250</v>
      </c>
      <c r="E65" s="19">
        <v>0</v>
      </c>
      <c r="F65" s="19">
        <f t="shared" si="0"/>
        <v>2250</v>
      </c>
      <c r="G65" s="20">
        <v>102</v>
      </c>
      <c r="H65" s="19" t="str">
        <f t="shared" si="1"/>
        <v>USD</v>
      </c>
      <c r="J65" s="5"/>
      <c r="K65" s="3"/>
      <c r="L65" s="3"/>
      <c r="M65" s="3"/>
      <c r="N65" s="3"/>
      <c r="O65" s="3"/>
    </row>
    <row r="66" spans="1:15" ht="15">
      <c r="A66" s="72">
        <v>2</v>
      </c>
      <c r="B66" s="70">
        <v>13.6864505233</v>
      </c>
      <c r="C66" s="69">
        <v>-89.194856367300005</v>
      </c>
      <c r="D66" s="71">
        <v>2250</v>
      </c>
      <c r="E66" s="19">
        <v>0</v>
      </c>
      <c r="F66" s="19">
        <f t="shared" si="0"/>
        <v>2250</v>
      </c>
      <c r="G66" s="20">
        <v>102</v>
      </c>
      <c r="H66" s="19" t="str">
        <f t="shared" si="1"/>
        <v>USD</v>
      </c>
      <c r="J66" s="5"/>
      <c r="K66" s="3"/>
      <c r="L66" s="3"/>
      <c r="M66" s="3"/>
      <c r="N66" s="3"/>
      <c r="O66" s="3"/>
    </row>
    <row r="67" spans="1:15" ht="15">
      <c r="A67" s="72">
        <v>2</v>
      </c>
      <c r="B67" s="70">
        <v>13.686440358700001</v>
      </c>
      <c r="C67" s="69">
        <v>-89.194766198400004</v>
      </c>
      <c r="D67" s="71">
        <v>2250</v>
      </c>
      <c r="E67" s="19">
        <v>0</v>
      </c>
      <c r="F67" s="19">
        <f t="shared" ref="F67:F130" si="2">D67</f>
        <v>2250</v>
      </c>
      <c r="G67" s="20">
        <v>102</v>
      </c>
      <c r="H67" s="19" t="str">
        <f t="shared" ref="H67:H130" si="3">IF(OR(A67&lt;17,A67=21),"USD","people")</f>
        <v>USD</v>
      </c>
      <c r="J67" s="5"/>
      <c r="K67" s="3"/>
      <c r="L67" s="3"/>
      <c r="M67" s="3"/>
      <c r="N67" s="3"/>
      <c r="O67" s="3"/>
    </row>
    <row r="68" spans="1:15" ht="15">
      <c r="A68" s="72">
        <v>2</v>
      </c>
      <c r="B68" s="70">
        <v>13.6864403955</v>
      </c>
      <c r="C68" s="69">
        <v>-89.194723189800001</v>
      </c>
      <c r="D68" s="71">
        <v>2250</v>
      </c>
      <c r="E68" s="19">
        <v>0</v>
      </c>
      <c r="F68" s="19">
        <f t="shared" si="2"/>
        <v>2250</v>
      </c>
      <c r="G68" s="20">
        <v>102</v>
      </c>
      <c r="H68" s="19" t="str">
        <f t="shared" si="3"/>
        <v>USD</v>
      </c>
      <c r="J68" s="5"/>
      <c r="K68" s="3"/>
      <c r="L68" s="3"/>
      <c r="M68" s="3"/>
      <c r="N68" s="3"/>
      <c r="O68" s="3"/>
    </row>
    <row r="69" spans="1:15" ht="15">
      <c r="A69" s="72">
        <v>2</v>
      </c>
      <c r="B69" s="70">
        <v>13.686439314699999</v>
      </c>
      <c r="C69" s="69">
        <v>-89.194669103500004</v>
      </c>
      <c r="D69" s="71">
        <v>2250</v>
      </c>
      <c r="E69" s="19">
        <v>0</v>
      </c>
      <c r="F69" s="19">
        <f t="shared" si="2"/>
        <v>2250</v>
      </c>
      <c r="G69" s="20">
        <v>102</v>
      </c>
      <c r="H69" s="19" t="str">
        <f t="shared" si="3"/>
        <v>USD</v>
      </c>
      <c r="J69" s="5"/>
      <c r="K69" s="3"/>
      <c r="L69" s="3"/>
      <c r="M69" s="3"/>
      <c r="N69" s="3"/>
      <c r="O69" s="3"/>
    </row>
    <row r="70" spans="1:15" ht="15">
      <c r="A70" s="72">
        <v>2</v>
      </c>
      <c r="B70" s="70">
        <v>13.6864362038</v>
      </c>
      <c r="C70" s="69">
        <v>-89.194622977899996</v>
      </c>
      <c r="D70" s="71">
        <v>2250</v>
      </c>
      <c r="E70" s="19">
        <v>0</v>
      </c>
      <c r="F70" s="19">
        <f t="shared" si="2"/>
        <v>2250</v>
      </c>
      <c r="G70" s="20">
        <v>102</v>
      </c>
      <c r="H70" s="19" t="str">
        <f t="shared" si="3"/>
        <v>USD</v>
      </c>
      <c r="J70" s="5"/>
      <c r="K70" s="3"/>
      <c r="L70" s="3"/>
      <c r="M70" s="3"/>
      <c r="N70" s="3"/>
      <c r="O70" s="3"/>
    </row>
    <row r="71" spans="1:15" ht="15">
      <c r="A71" s="72">
        <v>2</v>
      </c>
      <c r="B71" s="70">
        <v>13.6864339977</v>
      </c>
      <c r="C71" s="69">
        <v>-89.194579066200006</v>
      </c>
      <c r="D71" s="71">
        <v>2250</v>
      </c>
      <c r="E71" s="19">
        <v>0</v>
      </c>
      <c r="F71" s="19">
        <f t="shared" si="2"/>
        <v>2250</v>
      </c>
      <c r="G71" s="20">
        <v>102</v>
      </c>
      <c r="H71" s="19" t="str">
        <f t="shared" si="3"/>
        <v>USD</v>
      </c>
      <c r="J71" s="5"/>
      <c r="K71" s="3"/>
      <c r="L71" s="3"/>
      <c r="M71" s="3"/>
      <c r="N71" s="3"/>
      <c r="O71" s="3"/>
    </row>
    <row r="72" spans="1:15" ht="15">
      <c r="A72" s="72">
        <v>2</v>
      </c>
      <c r="B72" s="70">
        <v>13.6865065466</v>
      </c>
      <c r="C72" s="69">
        <v>-89.194533212099998</v>
      </c>
      <c r="D72" s="71">
        <v>2250</v>
      </c>
      <c r="E72" s="19">
        <v>0</v>
      </c>
      <c r="F72" s="19">
        <f t="shared" si="2"/>
        <v>2250</v>
      </c>
      <c r="G72" s="20">
        <v>102</v>
      </c>
      <c r="H72" s="19" t="str">
        <f t="shared" si="3"/>
        <v>USD</v>
      </c>
      <c r="J72" s="5"/>
      <c r="K72" s="3"/>
      <c r="L72" s="3"/>
      <c r="M72" s="3"/>
      <c r="N72" s="3"/>
      <c r="O72" s="3"/>
    </row>
    <row r="73" spans="1:15" ht="15">
      <c r="A73" s="72">
        <v>2</v>
      </c>
      <c r="B73" s="70">
        <v>13.686510229</v>
      </c>
      <c r="C73" s="69">
        <v>-89.194579168100006</v>
      </c>
      <c r="D73" s="71">
        <v>2250</v>
      </c>
      <c r="E73" s="19">
        <v>0</v>
      </c>
      <c r="F73" s="19">
        <f t="shared" si="2"/>
        <v>2250</v>
      </c>
      <c r="G73" s="20">
        <v>102</v>
      </c>
      <c r="H73" s="19" t="str">
        <f t="shared" si="3"/>
        <v>USD</v>
      </c>
      <c r="J73" s="5"/>
      <c r="K73" s="3"/>
      <c r="L73" s="3"/>
      <c r="M73" s="3"/>
      <c r="N73" s="3"/>
      <c r="O73" s="3"/>
    </row>
    <row r="74" spans="1:15" ht="15">
      <c r="A74" s="72">
        <v>2</v>
      </c>
      <c r="B74" s="70">
        <v>13.686516150499999</v>
      </c>
      <c r="C74" s="69">
        <v>-89.194628428100003</v>
      </c>
      <c r="D74" s="71">
        <v>2250</v>
      </c>
      <c r="E74" s="19">
        <v>0</v>
      </c>
      <c r="F74" s="19">
        <f t="shared" si="2"/>
        <v>2250</v>
      </c>
      <c r="G74" s="20">
        <v>102</v>
      </c>
      <c r="H74" s="19" t="str">
        <f t="shared" si="3"/>
        <v>USD</v>
      </c>
      <c r="J74" s="5"/>
      <c r="K74" s="3"/>
      <c r="L74" s="3"/>
      <c r="M74" s="3"/>
      <c r="N74" s="3"/>
      <c r="O74" s="3"/>
    </row>
    <row r="75" spans="1:15" ht="15">
      <c r="A75" s="72">
        <v>2</v>
      </c>
      <c r="B75" s="70">
        <v>13.6865206625</v>
      </c>
      <c r="C75" s="69">
        <v>-89.194676891</v>
      </c>
      <c r="D75" s="71">
        <v>2250</v>
      </c>
      <c r="E75" s="19">
        <v>0</v>
      </c>
      <c r="F75" s="19">
        <f t="shared" si="2"/>
        <v>2250</v>
      </c>
      <c r="G75" s="20">
        <v>102</v>
      </c>
      <c r="H75" s="19" t="str">
        <f t="shared" si="3"/>
        <v>USD</v>
      </c>
      <c r="J75" s="5"/>
      <c r="K75" s="3"/>
      <c r="L75" s="3"/>
      <c r="M75" s="3"/>
      <c r="N75" s="3"/>
      <c r="O75" s="3"/>
    </row>
    <row r="76" spans="1:15" ht="15">
      <c r="A76" s="72">
        <v>2</v>
      </c>
      <c r="B76" s="70">
        <v>13.6865233339</v>
      </c>
      <c r="C76" s="69">
        <v>-89.194735831200006</v>
      </c>
      <c r="D76" s="71">
        <v>2250</v>
      </c>
      <c r="E76" s="19">
        <v>0</v>
      </c>
      <c r="F76" s="19">
        <f t="shared" si="2"/>
        <v>2250</v>
      </c>
      <c r="G76" s="20">
        <v>102</v>
      </c>
      <c r="H76" s="19" t="str">
        <f t="shared" si="3"/>
        <v>USD</v>
      </c>
      <c r="J76" s="5"/>
      <c r="K76" s="3"/>
      <c r="L76" s="3"/>
      <c r="M76" s="3"/>
      <c r="N76" s="3"/>
      <c r="O76" s="3"/>
    </row>
    <row r="77" spans="1:15" ht="15">
      <c r="A77" s="72">
        <v>2</v>
      </c>
      <c r="B77" s="70">
        <v>13.6865286952</v>
      </c>
      <c r="C77" s="69">
        <v>-89.194857795600001</v>
      </c>
      <c r="D77" s="71">
        <v>2250</v>
      </c>
      <c r="E77" s="19">
        <v>0</v>
      </c>
      <c r="F77" s="19">
        <f t="shared" si="2"/>
        <v>2250</v>
      </c>
      <c r="G77" s="20">
        <v>102</v>
      </c>
      <c r="H77" s="19" t="str">
        <f t="shared" si="3"/>
        <v>USD</v>
      </c>
      <c r="J77" s="5"/>
      <c r="K77" s="3"/>
      <c r="L77" s="3"/>
      <c r="M77" s="3"/>
      <c r="N77" s="3"/>
      <c r="O77" s="3"/>
    </row>
    <row r="78" spans="1:15" ht="15">
      <c r="A78" s="72">
        <v>2</v>
      </c>
      <c r="B78" s="70">
        <v>13.6865262468</v>
      </c>
      <c r="C78" s="69">
        <v>-89.194801533900005</v>
      </c>
      <c r="D78" s="71">
        <v>2250</v>
      </c>
      <c r="E78" s="19">
        <v>0</v>
      </c>
      <c r="F78" s="19">
        <f t="shared" si="2"/>
        <v>2250</v>
      </c>
      <c r="G78" s="20">
        <v>102</v>
      </c>
      <c r="H78" s="19" t="str">
        <f t="shared" si="3"/>
        <v>USD</v>
      </c>
      <c r="J78" s="5"/>
      <c r="K78" s="3"/>
      <c r="L78" s="3"/>
      <c r="M78" s="3"/>
      <c r="N78" s="3"/>
      <c r="O78" s="3"/>
    </row>
    <row r="79" spans="1:15" ht="15">
      <c r="A79" s="72">
        <v>2</v>
      </c>
      <c r="B79" s="70">
        <v>13.686695717599999</v>
      </c>
      <c r="C79" s="69">
        <v>-89.195016187500002</v>
      </c>
      <c r="D79" s="71">
        <v>2250</v>
      </c>
      <c r="E79" s="19">
        <v>0</v>
      </c>
      <c r="F79" s="19">
        <f t="shared" si="2"/>
        <v>2250</v>
      </c>
      <c r="G79" s="20">
        <v>102</v>
      </c>
      <c r="H79" s="19" t="str">
        <f t="shared" si="3"/>
        <v>USD</v>
      </c>
      <c r="J79" s="5"/>
      <c r="K79" s="3"/>
      <c r="L79" s="3"/>
      <c r="M79" s="3"/>
      <c r="N79" s="3"/>
      <c r="O79" s="3"/>
    </row>
    <row r="80" spans="1:15" ht="15">
      <c r="A80" s="72">
        <v>1</v>
      </c>
      <c r="B80" s="70">
        <v>13.6867443713</v>
      </c>
      <c r="C80" s="69">
        <v>-89.195032025000003</v>
      </c>
      <c r="D80" s="71">
        <v>2250</v>
      </c>
      <c r="E80" s="19">
        <v>0</v>
      </c>
      <c r="F80" s="19">
        <f t="shared" si="2"/>
        <v>2250</v>
      </c>
      <c r="G80" s="20">
        <v>101</v>
      </c>
      <c r="H80" s="19" t="str">
        <f t="shared" si="3"/>
        <v>USD</v>
      </c>
      <c r="J80" s="5"/>
      <c r="K80" s="3"/>
      <c r="L80" s="3"/>
      <c r="M80" s="3"/>
      <c r="N80" s="3"/>
      <c r="O80" s="3"/>
    </row>
    <row r="81" spans="1:15" ht="15">
      <c r="A81" s="72">
        <v>2</v>
      </c>
      <c r="B81" s="70">
        <v>13.6867938879</v>
      </c>
      <c r="C81" s="69">
        <v>-89.195045989400001</v>
      </c>
      <c r="D81" s="71">
        <v>2250</v>
      </c>
      <c r="E81" s="19">
        <v>0</v>
      </c>
      <c r="F81" s="19">
        <f t="shared" si="2"/>
        <v>2250</v>
      </c>
      <c r="G81" s="20">
        <v>102</v>
      </c>
      <c r="H81" s="19" t="str">
        <f t="shared" si="3"/>
        <v>USD</v>
      </c>
      <c r="J81" s="5"/>
      <c r="K81" s="3"/>
      <c r="L81" s="3"/>
      <c r="M81" s="3"/>
      <c r="N81" s="3"/>
      <c r="O81" s="3"/>
    </row>
    <row r="82" spans="1:15" ht="15">
      <c r="A82" s="72">
        <v>2</v>
      </c>
      <c r="B82" s="70">
        <v>13.686833871699999</v>
      </c>
      <c r="C82" s="69">
        <v>-89.195056704699994</v>
      </c>
      <c r="D82" s="71">
        <v>2250</v>
      </c>
      <c r="E82" s="19">
        <v>0</v>
      </c>
      <c r="F82" s="19">
        <f t="shared" si="2"/>
        <v>2250</v>
      </c>
      <c r="G82" s="20">
        <v>102</v>
      </c>
      <c r="H82" s="19" t="str">
        <f t="shared" si="3"/>
        <v>USD</v>
      </c>
      <c r="J82" s="5"/>
      <c r="K82" s="3"/>
      <c r="L82" s="3"/>
      <c r="M82" s="3"/>
      <c r="N82" s="3"/>
      <c r="O82" s="3"/>
    </row>
    <row r="83" spans="1:15" ht="15">
      <c r="A83" s="72">
        <v>2</v>
      </c>
      <c r="B83" s="70">
        <v>13.6868798063</v>
      </c>
      <c r="C83" s="69">
        <v>-89.195068085900004</v>
      </c>
      <c r="D83" s="71">
        <v>2250</v>
      </c>
      <c r="E83" s="19">
        <v>0</v>
      </c>
      <c r="F83" s="19">
        <f t="shared" si="2"/>
        <v>2250</v>
      </c>
      <c r="G83" s="20">
        <v>102</v>
      </c>
      <c r="H83" s="19" t="str">
        <f t="shared" si="3"/>
        <v>USD</v>
      </c>
      <c r="J83" s="5"/>
      <c r="K83" s="3"/>
      <c r="L83" s="3"/>
      <c r="M83" s="3"/>
      <c r="N83" s="3"/>
      <c r="O83" s="3"/>
    </row>
    <row r="84" spans="1:15" ht="15">
      <c r="A84" s="72">
        <v>2</v>
      </c>
      <c r="B84" s="70">
        <v>13.686600734900001</v>
      </c>
      <c r="C84" s="69">
        <v>-89.194992605300001</v>
      </c>
      <c r="D84" s="71">
        <v>2250</v>
      </c>
      <c r="E84" s="19">
        <v>0</v>
      </c>
      <c r="F84" s="19">
        <f t="shared" si="2"/>
        <v>2250</v>
      </c>
      <c r="G84" s="20">
        <v>102</v>
      </c>
      <c r="H84" s="19" t="str">
        <f t="shared" si="3"/>
        <v>USD</v>
      </c>
      <c r="J84" s="5"/>
      <c r="K84" s="3"/>
      <c r="L84" s="3"/>
      <c r="M84" s="3"/>
      <c r="N84" s="3"/>
      <c r="O84" s="3"/>
    </row>
    <row r="85" spans="1:15" ht="15">
      <c r="A85" s="72">
        <v>2</v>
      </c>
      <c r="B85" s="70">
        <v>13.6866493724</v>
      </c>
      <c r="C85" s="69">
        <v>-89.195007281700001</v>
      </c>
      <c r="D85" s="71">
        <v>2250</v>
      </c>
      <c r="E85" s="19">
        <v>0</v>
      </c>
      <c r="F85" s="19">
        <f t="shared" si="2"/>
        <v>2250</v>
      </c>
      <c r="G85" s="20">
        <v>102</v>
      </c>
      <c r="H85" s="19" t="str">
        <f t="shared" si="3"/>
        <v>USD</v>
      </c>
      <c r="J85" s="5"/>
      <c r="K85" s="3"/>
      <c r="L85" s="3"/>
      <c r="M85" s="3"/>
      <c r="N85" s="3"/>
      <c r="O85" s="3"/>
    </row>
    <row r="86" spans="1:15" ht="15">
      <c r="A86" s="72">
        <v>2</v>
      </c>
      <c r="B86" s="70">
        <v>13.686550539800001</v>
      </c>
      <c r="C86" s="69">
        <v>-89.194981661599996</v>
      </c>
      <c r="D86" s="71">
        <v>2250</v>
      </c>
      <c r="E86" s="19">
        <v>0</v>
      </c>
      <c r="F86" s="19">
        <f t="shared" si="2"/>
        <v>2250</v>
      </c>
      <c r="G86" s="20">
        <v>102</v>
      </c>
      <c r="H86" s="19" t="str">
        <f t="shared" si="3"/>
        <v>USD</v>
      </c>
      <c r="J86" s="5"/>
      <c r="K86" s="3"/>
      <c r="L86" s="3"/>
      <c r="M86" s="3"/>
      <c r="N86" s="3"/>
      <c r="O86" s="3"/>
    </row>
    <row r="87" spans="1:15" ht="15">
      <c r="A87" s="72">
        <v>2</v>
      </c>
      <c r="B87" s="70">
        <v>13.6865005455</v>
      </c>
      <c r="C87" s="69">
        <v>-89.194966949000005</v>
      </c>
      <c r="D87" s="71">
        <v>2250</v>
      </c>
      <c r="E87" s="19">
        <v>0</v>
      </c>
      <c r="F87" s="19">
        <f t="shared" si="2"/>
        <v>2250</v>
      </c>
      <c r="G87" s="20">
        <v>102</v>
      </c>
      <c r="H87" s="19" t="str">
        <f t="shared" si="3"/>
        <v>USD</v>
      </c>
      <c r="J87" s="5"/>
      <c r="K87" s="3"/>
      <c r="L87" s="3"/>
      <c r="M87" s="3"/>
      <c r="N87" s="3"/>
      <c r="O87" s="3"/>
    </row>
    <row r="88" spans="1:15" ht="15">
      <c r="A88" s="72">
        <v>1</v>
      </c>
      <c r="B88" s="70">
        <v>13.6866908999</v>
      </c>
      <c r="C88" s="69">
        <v>-89.194899541799998</v>
      </c>
      <c r="D88" s="71">
        <v>2250</v>
      </c>
      <c r="E88" s="19">
        <v>0</v>
      </c>
      <c r="F88" s="19">
        <f t="shared" si="2"/>
        <v>2250</v>
      </c>
      <c r="G88" s="20">
        <v>101</v>
      </c>
      <c r="H88" s="19" t="str">
        <f t="shared" si="3"/>
        <v>USD</v>
      </c>
      <c r="J88" s="5"/>
      <c r="K88" s="3"/>
      <c r="L88" s="3"/>
      <c r="M88" s="3"/>
      <c r="N88" s="3"/>
      <c r="O88" s="3"/>
    </row>
    <row r="89" spans="1:15" ht="15">
      <c r="A89" s="72">
        <v>2</v>
      </c>
      <c r="B89" s="70">
        <v>13.688748363</v>
      </c>
      <c r="C89" s="69">
        <v>-89.192253300700003</v>
      </c>
      <c r="D89" s="71">
        <v>4200</v>
      </c>
      <c r="E89" s="19">
        <v>0</v>
      </c>
      <c r="F89" s="19">
        <f t="shared" si="2"/>
        <v>4200</v>
      </c>
      <c r="G89" s="20">
        <v>102</v>
      </c>
      <c r="H89" s="19" t="str">
        <f t="shared" si="3"/>
        <v>USD</v>
      </c>
      <c r="J89" s="5"/>
      <c r="K89" s="3"/>
      <c r="L89" s="3"/>
      <c r="M89" s="3"/>
      <c r="N89" s="3"/>
      <c r="O89" s="3"/>
    </row>
    <row r="90" spans="1:15" ht="15">
      <c r="A90" s="72">
        <v>2</v>
      </c>
      <c r="B90" s="70">
        <v>13.688789981299999</v>
      </c>
      <c r="C90" s="69">
        <v>-89.192293872600004</v>
      </c>
      <c r="D90" s="71">
        <v>4200</v>
      </c>
      <c r="E90" s="19">
        <v>0</v>
      </c>
      <c r="F90" s="19">
        <f t="shared" si="2"/>
        <v>4200</v>
      </c>
      <c r="G90" s="20">
        <v>102</v>
      </c>
      <c r="H90" s="19" t="str">
        <f t="shared" si="3"/>
        <v>USD</v>
      </c>
      <c r="J90" s="5"/>
      <c r="K90" s="3"/>
      <c r="L90" s="3"/>
      <c r="M90" s="3"/>
      <c r="N90" s="3"/>
      <c r="O90" s="3"/>
    </row>
    <row r="91" spans="1:15" ht="15">
      <c r="A91" s="72">
        <v>2</v>
      </c>
      <c r="B91" s="70">
        <v>13.688822499800001</v>
      </c>
      <c r="C91" s="69">
        <v>-89.192336842499998</v>
      </c>
      <c r="D91" s="71">
        <v>4200</v>
      </c>
      <c r="E91" s="19">
        <v>0</v>
      </c>
      <c r="F91" s="19">
        <f t="shared" si="2"/>
        <v>4200</v>
      </c>
      <c r="G91" s="20">
        <v>102</v>
      </c>
      <c r="H91" s="19" t="str">
        <f t="shared" si="3"/>
        <v>USD</v>
      </c>
      <c r="J91" s="5"/>
      <c r="K91" s="3"/>
      <c r="L91" s="3"/>
      <c r="M91" s="3"/>
      <c r="N91" s="3"/>
      <c r="O91" s="3"/>
    </row>
    <row r="92" spans="1:15" ht="15">
      <c r="A92" s="72">
        <v>2</v>
      </c>
      <c r="B92" s="70">
        <v>13.6888759965</v>
      </c>
      <c r="C92" s="69">
        <v>-89.1923832576</v>
      </c>
      <c r="D92" s="71">
        <v>4200</v>
      </c>
      <c r="E92" s="19">
        <v>0</v>
      </c>
      <c r="F92" s="19">
        <f t="shared" si="2"/>
        <v>4200</v>
      </c>
      <c r="G92" s="20">
        <v>102</v>
      </c>
      <c r="H92" s="19" t="str">
        <f t="shared" si="3"/>
        <v>USD</v>
      </c>
      <c r="J92" s="5"/>
      <c r="K92" s="3"/>
      <c r="L92" s="3"/>
      <c r="M92" s="3"/>
      <c r="N92" s="3"/>
      <c r="O92" s="3"/>
    </row>
    <row r="93" spans="1:15" ht="15">
      <c r="A93" s="72">
        <v>2</v>
      </c>
      <c r="B93" s="70">
        <v>13.688896989</v>
      </c>
      <c r="C93" s="69">
        <v>-89.192414636400002</v>
      </c>
      <c r="D93" s="71">
        <v>4200</v>
      </c>
      <c r="E93" s="19">
        <v>0</v>
      </c>
      <c r="F93" s="19">
        <f t="shared" si="2"/>
        <v>4200</v>
      </c>
      <c r="G93" s="20">
        <v>102</v>
      </c>
      <c r="H93" s="19" t="str">
        <f t="shared" si="3"/>
        <v>USD</v>
      </c>
      <c r="J93" s="5"/>
      <c r="K93" s="3"/>
      <c r="L93" s="3"/>
      <c r="M93" s="3"/>
      <c r="N93" s="3"/>
      <c r="O93" s="3"/>
    </row>
    <row r="94" spans="1:15" ht="15">
      <c r="A94" s="72">
        <v>2</v>
      </c>
      <c r="B94" s="70">
        <v>13.6889254146</v>
      </c>
      <c r="C94" s="69">
        <v>-89.192457531800002</v>
      </c>
      <c r="D94" s="71">
        <v>4200</v>
      </c>
      <c r="E94" s="19">
        <v>0</v>
      </c>
      <c r="F94" s="19">
        <f t="shared" si="2"/>
        <v>4200</v>
      </c>
      <c r="G94" s="20">
        <v>102</v>
      </c>
      <c r="H94" s="19" t="str">
        <f t="shared" si="3"/>
        <v>USD</v>
      </c>
      <c r="J94" s="5"/>
      <c r="K94" s="3"/>
      <c r="L94" s="3"/>
      <c r="M94" s="3"/>
      <c r="N94" s="3"/>
      <c r="O94" s="3"/>
    </row>
    <row r="95" spans="1:15" ht="15">
      <c r="A95" s="72">
        <v>2</v>
      </c>
      <c r="B95" s="70">
        <v>13.688806702899999</v>
      </c>
      <c r="C95" s="69">
        <v>-89.192310235500003</v>
      </c>
      <c r="D95" s="71">
        <v>4200</v>
      </c>
      <c r="E95" s="19">
        <v>0</v>
      </c>
      <c r="F95" s="19">
        <f t="shared" si="2"/>
        <v>4200</v>
      </c>
      <c r="G95" s="20">
        <v>102</v>
      </c>
      <c r="H95" s="19" t="str">
        <f t="shared" si="3"/>
        <v>USD</v>
      </c>
      <c r="J95" s="5"/>
      <c r="K95" s="3"/>
      <c r="L95" s="3"/>
      <c r="M95" s="3"/>
      <c r="N95" s="3"/>
      <c r="O95" s="3"/>
    </row>
    <row r="96" spans="1:15" ht="15">
      <c r="A96" s="72">
        <v>2</v>
      </c>
      <c r="B96" s="70">
        <v>13.688748607000001</v>
      </c>
      <c r="C96" s="69">
        <v>-89.192253371099994</v>
      </c>
      <c r="D96" s="71">
        <v>4200</v>
      </c>
      <c r="E96" s="19">
        <v>0</v>
      </c>
      <c r="F96" s="19">
        <f t="shared" si="2"/>
        <v>4200</v>
      </c>
      <c r="G96" s="20">
        <v>102</v>
      </c>
      <c r="H96" s="19" t="str">
        <f t="shared" si="3"/>
        <v>USD</v>
      </c>
      <c r="J96" s="5"/>
      <c r="K96" s="3"/>
      <c r="L96" s="3"/>
      <c r="M96" s="3"/>
      <c r="N96" s="3"/>
      <c r="O96" s="3"/>
    </row>
    <row r="97" spans="1:15" ht="15">
      <c r="A97" s="72">
        <v>2</v>
      </c>
      <c r="B97" s="70">
        <v>13.688790000299999</v>
      </c>
      <c r="C97" s="69">
        <v>-89.192293879999994</v>
      </c>
      <c r="D97" s="71">
        <v>4200</v>
      </c>
      <c r="E97" s="19">
        <v>0</v>
      </c>
      <c r="F97" s="19">
        <f t="shared" si="2"/>
        <v>4200</v>
      </c>
      <c r="G97" s="20">
        <v>102</v>
      </c>
      <c r="H97" s="19" t="str">
        <f t="shared" si="3"/>
        <v>USD</v>
      </c>
      <c r="J97" s="5"/>
      <c r="K97" s="3"/>
      <c r="L97" s="3"/>
      <c r="M97" s="3"/>
      <c r="N97" s="3"/>
      <c r="O97" s="3"/>
    </row>
    <row r="98" spans="1:15" ht="15">
      <c r="A98" s="72">
        <v>2</v>
      </c>
      <c r="B98" s="70">
        <v>13.688806831200001</v>
      </c>
      <c r="C98" s="69">
        <v>-89.192310260499994</v>
      </c>
      <c r="D98" s="71">
        <v>4200</v>
      </c>
      <c r="E98" s="19">
        <v>0</v>
      </c>
      <c r="F98" s="19">
        <f t="shared" si="2"/>
        <v>4200</v>
      </c>
      <c r="G98" s="20">
        <v>102</v>
      </c>
      <c r="H98" s="19" t="str">
        <f t="shared" si="3"/>
        <v>USD</v>
      </c>
      <c r="J98" s="5"/>
      <c r="K98" s="3"/>
      <c r="L98" s="3"/>
      <c r="M98" s="3"/>
      <c r="N98" s="3"/>
      <c r="O98" s="3"/>
    </row>
    <row r="99" spans="1:15" ht="15">
      <c r="A99" s="72">
        <v>2</v>
      </c>
      <c r="B99" s="70">
        <v>13.688822674200001</v>
      </c>
      <c r="C99" s="69">
        <v>-89.192336895400004</v>
      </c>
      <c r="D99" s="71">
        <v>4200</v>
      </c>
      <c r="E99" s="19">
        <v>0</v>
      </c>
      <c r="F99" s="19">
        <f t="shared" si="2"/>
        <v>4200</v>
      </c>
      <c r="G99" s="20">
        <v>102</v>
      </c>
      <c r="H99" s="19" t="str">
        <f t="shared" si="3"/>
        <v>USD</v>
      </c>
      <c r="J99" s="5"/>
      <c r="K99" s="3"/>
      <c r="L99" s="3"/>
      <c r="M99" s="3"/>
      <c r="N99" s="3"/>
      <c r="O99" s="3"/>
    </row>
    <row r="100" spans="1:15" ht="15">
      <c r="A100" s="72">
        <v>2</v>
      </c>
      <c r="B100" s="70">
        <v>13.6888759911</v>
      </c>
      <c r="C100" s="69">
        <v>-89.192383254800006</v>
      </c>
      <c r="D100" s="71">
        <v>4200</v>
      </c>
      <c r="E100" s="19">
        <v>0</v>
      </c>
      <c r="F100" s="19">
        <f t="shared" si="2"/>
        <v>4200</v>
      </c>
      <c r="G100" s="20">
        <v>102</v>
      </c>
      <c r="H100" s="19" t="str">
        <f t="shared" si="3"/>
        <v>USD</v>
      </c>
      <c r="J100" s="5"/>
      <c r="K100" s="3"/>
      <c r="L100" s="3"/>
      <c r="M100" s="3"/>
      <c r="N100" s="3"/>
      <c r="O100" s="3"/>
    </row>
    <row r="101" spans="1:15" ht="15">
      <c r="A101" s="72">
        <v>2</v>
      </c>
      <c r="B101" s="70">
        <v>13.688897317</v>
      </c>
      <c r="C101" s="69">
        <v>-89.192414845599998</v>
      </c>
      <c r="D101" s="71">
        <v>4200</v>
      </c>
      <c r="E101" s="19">
        <v>0</v>
      </c>
      <c r="F101" s="19">
        <f t="shared" si="2"/>
        <v>4200</v>
      </c>
      <c r="G101" s="20">
        <v>102</v>
      </c>
      <c r="H101" s="19" t="str">
        <f t="shared" si="3"/>
        <v>USD</v>
      </c>
      <c r="J101" s="5"/>
      <c r="K101" s="3"/>
      <c r="L101" s="3"/>
      <c r="M101" s="3"/>
      <c r="N101" s="3"/>
      <c r="O101" s="3"/>
    </row>
    <row r="102" spans="1:15" ht="15">
      <c r="A102" s="72">
        <v>2</v>
      </c>
      <c r="B102" s="70">
        <v>13.688926718299999</v>
      </c>
      <c r="C102" s="69">
        <v>-89.192458302999995</v>
      </c>
      <c r="D102" s="71">
        <v>4200</v>
      </c>
      <c r="E102" s="19">
        <v>0</v>
      </c>
      <c r="F102" s="19">
        <f t="shared" si="2"/>
        <v>4200</v>
      </c>
      <c r="G102" s="20">
        <v>102</v>
      </c>
      <c r="H102" s="19" t="str">
        <f t="shared" si="3"/>
        <v>USD</v>
      </c>
      <c r="J102" s="5"/>
      <c r="K102" s="3"/>
      <c r="L102" s="3"/>
      <c r="M102" s="3"/>
      <c r="N102" s="3"/>
      <c r="O102" s="3"/>
    </row>
    <row r="103" spans="1:15" ht="15">
      <c r="A103" s="72">
        <v>2</v>
      </c>
      <c r="B103" s="70">
        <v>13.687534329</v>
      </c>
      <c r="C103" s="69">
        <v>-89.191980582799999</v>
      </c>
      <c r="D103" s="71">
        <v>3150</v>
      </c>
      <c r="E103" s="19">
        <v>0</v>
      </c>
      <c r="F103" s="19">
        <f t="shared" si="2"/>
        <v>3150</v>
      </c>
      <c r="G103" s="20">
        <v>102</v>
      </c>
      <c r="H103" s="19" t="str">
        <f t="shared" si="3"/>
        <v>USD</v>
      </c>
      <c r="J103" s="5"/>
      <c r="K103" s="3"/>
      <c r="L103" s="3"/>
      <c r="M103" s="3"/>
      <c r="N103" s="3"/>
      <c r="O103" s="3"/>
    </row>
    <row r="104" spans="1:15" ht="15">
      <c r="A104" s="72">
        <v>2</v>
      </c>
      <c r="B104" s="70">
        <v>13.6875337306</v>
      </c>
      <c r="C104" s="69">
        <v>-89.191980601699996</v>
      </c>
      <c r="D104" s="71">
        <v>3150</v>
      </c>
      <c r="E104" s="19">
        <v>0</v>
      </c>
      <c r="F104" s="19">
        <f t="shared" si="2"/>
        <v>3150</v>
      </c>
      <c r="G104" s="20">
        <v>102</v>
      </c>
      <c r="H104" s="19" t="str">
        <f t="shared" si="3"/>
        <v>USD</v>
      </c>
      <c r="J104" s="5"/>
      <c r="K104" s="3"/>
      <c r="L104" s="3"/>
      <c r="M104" s="3"/>
      <c r="N104" s="3"/>
      <c r="O104" s="3"/>
    </row>
    <row r="105" spans="1:15" ht="15">
      <c r="A105" s="72">
        <v>2</v>
      </c>
      <c r="B105" s="70">
        <v>13.6876882581</v>
      </c>
      <c r="C105" s="69">
        <v>-89.192134302400007</v>
      </c>
      <c r="D105" s="71">
        <v>3150</v>
      </c>
      <c r="E105" s="19">
        <v>0</v>
      </c>
      <c r="F105" s="19">
        <f t="shared" si="2"/>
        <v>3150</v>
      </c>
      <c r="G105" s="20">
        <v>102</v>
      </c>
      <c r="H105" s="19" t="str">
        <f t="shared" si="3"/>
        <v>USD</v>
      </c>
      <c r="J105" s="5"/>
      <c r="K105" s="3"/>
      <c r="L105" s="3"/>
      <c r="M105" s="3"/>
      <c r="N105" s="3"/>
      <c r="O105" s="3"/>
    </row>
    <row r="106" spans="1:15" ht="15">
      <c r="A106" s="72">
        <v>2</v>
      </c>
      <c r="B106" s="70">
        <v>13.687671547100001</v>
      </c>
      <c r="C106" s="69">
        <v>-89.192002616600007</v>
      </c>
      <c r="D106" s="71">
        <v>3150</v>
      </c>
      <c r="E106" s="19">
        <v>0</v>
      </c>
      <c r="F106" s="19">
        <f t="shared" si="2"/>
        <v>3150</v>
      </c>
      <c r="G106" s="20">
        <v>102</v>
      </c>
      <c r="H106" s="19" t="str">
        <f t="shared" si="3"/>
        <v>USD</v>
      </c>
      <c r="J106" s="5"/>
      <c r="K106" s="3"/>
      <c r="L106" s="3"/>
      <c r="M106" s="3"/>
      <c r="N106" s="3"/>
      <c r="O106" s="3"/>
    </row>
    <row r="107" spans="1:15" ht="15">
      <c r="A107" s="72">
        <v>2</v>
      </c>
      <c r="B107" s="70">
        <v>13.6876715966</v>
      </c>
      <c r="C107" s="69">
        <v>-89.192000549599996</v>
      </c>
      <c r="D107" s="71">
        <v>3150</v>
      </c>
      <c r="E107" s="19">
        <v>0</v>
      </c>
      <c r="F107" s="19">
        <f t="shared" si="2"/>
        <v>3150</v>
      </c>
      <c r="G107" s="20">
        <v>102</v>
      </c>
      <c r="H107" s="19" t="str">
        <f t="shared" si="3"/>
        <v>USD</v>
      </c>
      <c r="J107" s="5"/>
      <c r="K107" s="3"/>
      <c r="L107" s="3"/>
      <c r="M107" s="3"/>
      <c r="N107" s="3"/>
      <c r="O107" s="3"/>
    </row>
    <row r="108" spans="1:15" ht="15">
      <c r="A108" s="72">
        <v>2</v>
      </c>
      <c r="B108" s="70">
        <v>13.687652136000001</v>
      </c>
      <c r="C108" s="69">
        <v>-89.192003028800002</v>
      </c>
      <c r="D108" s="71">
        <v>3150</v>
      </c>
      <c r="E108" s="19">
        <v>0</v>
      </c>
      <c r="F108" s="19">
        <f t="shared" si="2"/>
        <v>3150</v>
      </c>
      <c r="G108" s="20">
        <v>102</v>
      </c>
      <c r="H108" s="19" t="str">
        <f t="shared" si="3"/>
        <v>USD</v>
      </c>
      <c r="J108" s="5"/>
      <c r="K108" s="3"/>
      <c r="L108" s="3"/>
      <c r="M108" s="3"/>
      <c r="N108" s="3"/>
      <c r="O108" s="3"/>
    </row>
    <row r="109" spans="1:15" ht="15">
      <c r="A109" s="72">
        <v>2</v>
      </c>
      <c r="B109" s="70">
        <v>13.687633380099999</v>
      </c>
      <c r="C109" s="69">
        <v>-89.192002339499993</v>
      </c>
      <c r="D109" s="71">
        <v>3150</v>
      </c>
      <c r="E109" s="19">
        <v>0</v>
      </c>
      <c r="F109" s="19">
        <f t="shared" si="2"/>
        <v>3150</v>
      </c>
      <c r="G109" s="20">
        <v>102</v>
      </c>
      <c r="H109" s="19" t="str">
        <f t="shared" si="3"/>
        <v>USD</v>
      </c>
      <c r="J109" s="5"/>
      <c r="K109" s="3"/>
      <c r="L109" s="3"/>
      <c r="M109" s="3"/>
      <c r="N109" s="3"/>
      <c r="O109" s="3"/>
    </row>
    <row r="110" spans="1:15" ht="15">
      <c r="A110" s="72">
        <v>2</v>
      </c>
      <c r="B110" s="70">
        <v>13.687645398200001</v>
      </c>
      <c r="C110" s="69">
        <v>-89.192140674800001</v>
      </c>
      <c r="D110" s="71">
        <v>3150</v>
      </c>
      <c r="E110" s="19">
        <v>0</v>
      </c>
      <c r="F110" s="19">
        <f t="shared" si="2"/>
        <v>3150</v>
      </c>
      <c r="G110" s="20">
        <v>102</v>
      </c>
      <c r="H110" s="19" t="str">
        <f t="shared" si="3"/>
        <v>USD</v>
      </c>
      <c r="J110" s="5"/>
      <c r="K110" s="3"/>
      <c r="L110" s="3"/>
      <c r="M110" s="3"/>
      <c r="N110" s="3"/>
      <c r="O110" s="3"/>
    </row>
    <row r="111" spans="1:15" ht="15">
      <c r="A111" s="72">
        <v>2</v>
      </c>
      <c r="B111" s="70">
        <v>13.687600293999999</v>
      </c>
      <c r="C111" s="69">
        <v>-89.192144468899997</v>
      </c>
      <c r="D111" s="71">
        <v>3150</v>
      </c>
      <c r="E111" s="19">
        <v>0</v>
      </c>
      <c r="F111" s="19">
        <f t="shared" si="2"/>
        <v>3150</v>
      </c>
      <c r="G111" s="20">
        <v>102</v>
      </c>
      <c r="H111" s="19" t="str">
        <f t="shared" si="3"/>
        <v>USD</v>
      </c>
      <c r="J111" s="5"/>
      <c r="K111" s="3"/>
      <c r="L111" s="3"/>
      <c r="M111" s="3"/>
      <c r="N111" s="3"/>
      <c r="O111" s="3"/>
    </row>
    <row r="112" spans="1:15" ht="15">
      <c r="A112" s="72">
        <v>2</v>
      </c>
      <c r="B112" s="70">
        <v>13.6875531109</v>
      </c>
      <c r="C112" s="69">
        <v>-89.192147049400006</v>
      </c>
      <c r="D112" s="71">
        <v>3150</v>
      </c>
      <c r="E112" s="19">
        <v>0</v>
      </c>
      <c r="F112" s="19">
        <f t="shared" si="2"/>
        <v>3150</v>
      </c>
      <c r="G112" s="20">
        <v>102</v>
      </c>
      <c r="H112" s="19" t="str">
        <f t="shared" si="3"/>
        <v>USD</v>
      </c>
      <c r="J112" s="5"/>
      <c r="K112" s="3"/>
      <c r="L112" s="3"/>
      <c r="M112" s="3"/>
      <c r="N112" s="3"/>
      <c r="O112" s="3"/>
    </row>
    <row r="113" spans="1:15" ht="15">
      <c r="A113" s="72">
        <v>2</v>
      </c>
      <c r="B113" s="70">
        <v>13.6875478969</v>
      </c>
      <c r="C113" s="69">
        <v>-89.192047738499994</v>
      </c>
      <c r="D113" s="71">
        <v>3150</v>
      </c>
      <c r="E113" s="19">
        <v>0</v>
      </c>
      <c r="F113" s="19">
        <f t="shared" si="2"/>
        <v>3150</v>
      </c>
      <c r="G113" s="20">
        <v>102</v>
      </c>
      <c r="H113" s="19" t="str">
        <f t="shared" si="3"/>
        <v>USD</v>
      </c>
      <c r="J113" s="5"/>
      <c r="K113" s="3"/>
      <c r="L113" s="3"/>
      <c r="M113" s="3"/>
      <c r="N113" s="3"/>
      <c r="O113" s="3"/>
    </row>
    <row r="114" spans="1:15" ht="15">
      <c r="A114" s="72">
        <v>2</v>
      </c>
      <c r="B114" s="70">
        <v>13.6875484121</v>
      </c>
      <c r="C114" s="69">
        <v>-89.192047725999998</v>
      </c>
      <c r="D114" s="71">
        <v>3150</v>
      </c>
      <c r="E114" s="19">
        <v>0</v>
      </c>
      <c r="F114" s="19">
        <f t="shared" si="2"/>
        <v>3150</v>
      </c>
      <c r="G114" s="20">
        <v>102</v>
      </c>
      <c r="H114" s="19" t="str">
        <f t="shared" si="3"/>
        <v>USD</v>
      </c>
      <c r="J114" s="5"/>
      <c r="K114" s="3"/>
      <c r="L114" s="3"/>
      <c r="M114" s="3"/>
      <c r="N114" s="3"/>
      <c r="O114" s="3"/>
    </row>
    <row r="115" spans="1:15" ht="15">
      <c r="A115" s="72">
        <v>2</v>
      </c>
      <c r="B115" s="70">
        <v>13.6875350783</v>
      </c>
      <c r="C115" s="69">
        <v>-89.191980658299997</v>
      </c>
      <c r="D115" s="71">
        <v>3150</v>
      </c>
      <c r="E115" s="19">
        <v>0</v>
      </c>
      <c r="F115" s="19">
        <f t="shared" si="2"/>
        <v>3150</v>
      </c>
      <c r="G115" s="20">
        <v>102</v>
      </c>
      <c r="H115" s="19" t="str">
        <f t="shared" si="3"/>
        <v>USD</v>
      </c>
      <c r="J115" s="5"/>
      <c r="K115" s="3"/>
      <c r="L115" s="3"/>
      <c r="M115" s="3"/>
      <c r="N115" s="3"/>
      <c r="O115" s="3"/>
    </row>
    <row r="116" spans="1:15" ht="15">
      <c r="A116" s="72">
        <v>2</v>
      </c>
      <c r="B116" s="70">
        <v>13.6875565749</v>
      </c>
      <c r="C116" s="69">
        <v>-89.191909482100002</v>
      </c>
      <c r="D116" s="71">
        <v>3150</v>
      </c>
      <c r="E116" s="19">
        <v>0</v>
      </c>
      <c r="F116" s="19">
        <f t="shared" si="2"/>
        <v>3150</v>
      </c>
      <c r="G116" s="20">
        <v>102</v>
      </c>
      <c r="H116" s="19" t="str">
        <f t="shared" si="3"/>
        <v>USD</v>
      </c>
      <c r="J116" s="5"/>
      <c r="K116" s="3"/>
      <c r="L116" s="3"/>
      <c r="M116" s="3"/>
      <c r="N116" s="3"/>
      <c r="O116" s="3"/>
    </row>
    <row r="117" spans="1:15" ht="15">
      <c r="A117" s="72">
        <v>1</v>
      </c>
      <c r="B117" s="70">
        <v>13.6876333825</v>
      </c>
      <c r="C117" s="69">
        <v>-89.191999274899999</v>
      </c>
      <c r="D117" s="71">
        <v>3150</v>
      </c>
      <c r="E117" s="19">
        <v>0</v>
      </c>
      <c r="F117" s="19">
        <f t="shared" si="2"/>
        <v>3150</v>
      </c>
      <c r="G117" s="20">
        <v>101</v>
      </c>
      <c r="H117" s="19" t="str">
        <f t="shared" si="3"/>
        <v>USD</v>
      </c>
      <c r="J117" s="5"/>
      <c r="K117" s="3"/>
      <c r="L117" s="3"/>
      <c r="M117" s="3"/>
      <c r="N117" s="3"/>
      <c r="O117" s="3"/>
    </row>
    <row r="118" spans="1:15" ht="15">
      <c r="A118" s="72">
        <v>1</v>
      </c>
      <c r="B118" s="70">
        <v>13.687682820099999</v>
      </c>
      <c r="C118" s="69">
        <v>-89.1920694959</v>
      </c>
      <c r="D118" s="71">
        <v>3150</v>
      </c>
      <c r="E118" s="19">
        <v>0</v>
      </c>
      <c r="F118" s="19">
        <f t="shared" si="2"/>
        <v>3150</v>
      </c>
      <c r="G118" s="20">
        <v>101</v>
      </c>
      <c r="H118" s="19" t="str">
        <f t="shared" si="3"/>
        <v>USD</v>
      </c>
      <c r="J118" s="5"/>
      <c r="K118" s="3"/>
      <c r="L118" s="3"/>
      <c r="M118" s="3"/>
      <c r="N118" s="3"/>
      <c r="O118" s="3"/>
    </row>
    <row r="119" spans="1:15" ht="15">
      <c r="A119" s="72">
        <v>2</v>
      </c>
      <c r="B119" s="70">
        <v>13.687688763400001</v>
      </c>
      <c r="C119" s="69">
        <v>-89.192134328700007</v>
      </c>
      <c r="D119" s="71">
        <v>3150</v>
      </c>
      <c r="E119" s="19">
        <v>0</v>
      </c>
      <c r="F119" s="19">
        <f t="shared" si="2"/>
        <v>3150</v>
      </c>
      <c r="G119" s="20">
        <v>102</v>
      </c>
      <c r="H119" s="19" t="str">
        <f t="shared" si="3"/>
        <v>USD</v>
      </c>
      <c r="J119" s="5"/>
      <c r="K119" s="3"/>
      <c r="L119" s="3"/>
      <c r="M119" s="3"/>
      <c r="N119" s="3"/>
      <c r="O119" s="3"/>
    </row>
    <row r="120" spans="1:15" ht="15">
      <c r="A120" s="72">
        <v>2</v>
      </c>
      <c r="B120" s="70">
        <v>13.687671652600001</v>
      </c>
      <c r="C120" s="69">
        <v>-89.1920052949</v>
      </c>
      <c r="D120" s="71">
        <v>3150</v>
      </c>
      <c r="E120" s="19">
        <v>0</v>
      </c>
      <c r="F120" s="19">
        <f t="shared" si="2"/>
        <v>3150</v>
      </c>
      <c r="G120" s="20">
        <v>102</v>
      </c>
      <c r="H120" s="19" t="str">
        <f t="shared" si="3"/>
        <v>USD</v>
      </c>
      <c r="J120" s="5"/>
      <c r="K120" s="3"/>
      <c r="L120" s="3"/>
      <c r="M120" s="3"/>
      <c r="N120" s="3"/>
      <c r="O120" s="3"/>
    </row>
    <row r="121" spans="1:15" ht="15">
      <c r="A121" s="72">
        <v>2</v>
      </c>
      <c r="B121" s="70">
        <v>13.687651801299999</v>
      </c>
      <c r="C121" s="69">
        <v>-89.191999843700003</v>
      </c>
      <c r="D121" s="71">
        <v>3150</v>
      </c>
      <c r="E121" s="19">
        <v>0</v>
      </c>
      <c r="F121" s="19">
        <f t="shared" si="2"/>
        <v>3150</v>
      </c>
      <c r="G121" s="20">
        <v>102</v>
      </c>
      <c r="H121" s="19" t="str">
        <f t="shared" si="3"/>
        <v>USD</v>
      </c>
      <c r="J121" s="5"/>
      <c r="K121" s="3"/>
      <c r="L121" s="3"/>
      <c r="M121" s="3"/>
      <c r="N121" s="3"/>
      <c r="O121" s="3"/>
    </row>
    <row r="122" spans="1:15" ht="15">
      <c r="A122" s="72">
        <v>2</v>
      </c>
      <c r="B122" s="70">
        <v>13.6876139318</v>
      </c>
      <c r="C122" s="69">
        <v>-89.192001672800004</v>
      </c>
      <c r="D122" s="71">
        <v>3150</v>
      </c>
      <c r="E122" s="19">
        <v>0</v>
      </c>
      <c r="F122" s="19">
        <f t="shared" si="2"/>
        <v>3150</v>
      </c>
      <c r="G122" s="20">
        <v>102</v>
      </c>
      <c r="H122" s="19" t="str">
        <f t="shared" si="3"/>
        <v>USD</v>
      </c>
      <c r="J122" s="5"/>
      <c r="K122" s="3"/>
      <c r="L122" s="3"/>
      <c r="M122" s="3"/>
      <c r="N122" s="3"/>
      <c r="O122" s="3"/>
    </row>
    <row r="123" spans="1:15" ht="15">
      <c r="A123" s="72">
        <v>2</v>
      </c>
      <c r="B123" s="70">
        <v>13.687614144299999</v>
      </c>
      <c r="C123" s="69">
        <v>-89.191999268499998</v>
      </c>
      <c r="D123" s="71">
        <v>3150</v>
      </c>
      <c r="E123" s="19">
        <v>0</v>
      </c>
      <c r="F123" s="19">
        <f t="shared" si="2"/>
        <v>3150</v>
      </c>
      <c r="G123" s="20">
        <v>102</v>
      </c>
      <c r="H123" s="19" t="str">
        <f t="shared" si="3"/>
        <v>USD</v>
      </c>
      <c r="J123" s="5"/>
      <c r="K123" s="3"/>
      <c r="L123" s="3"/>
      <c r="M123" s="3"/>
      <c r="N123" s="3"/>
      <c r="O123" s="3"/>
    </row>
    <row r="124" spans="1:15" ht="15">
      <c r="A124" s="72">
        <v>2</v>
      </c>
      <c r="B124" s="70">
        <v>13.687614294099999</v>
      </c>
      <c r="C124" s="69">
        <v>-89.191997324499994</v>
      </c>
      <c r="D124" s="71">
        <v>3150</v>
      </c>
      <c r="E124" s="19">
        <v>0</v>
      </c>
      <c r="F124" s="19">
        <f t="shared" si="2"/>
        <v>3150</v>
      </c>
      <c r="G124" s="20">
        <v>102</v>
      </c>
      <c r="H124" s="19" t="str">
        <f t="shared" si="3"/>
        <v>USD</v>
      </c>
      <c r="J124" s="5"/>
      <c r="K124" s="3"/>
      <c r="L124" s="3"/>
      <c r="M124" s="3"/>
      <c r="N124" s="3"/>
      <c r="O124" s="3"/>
    </row>
    <row r="125" spans="1:15" ht="15">
      <c r="A125" s="72">
        <v>2</v>
      </c>
      <c r="B125" s="70">
        <v>13.6876459938</v>
      </c>
      <c r="C125" s="69">
        <v>-89.192140723400001</v>
      </c>
      <c r="D125" s="71">
        <v>3150</v>
      </c>
      <c r="E125" s="19">
        <v>0</v>
      </c>
      <c r="F125" s="19">
        <f t="shared" si="2"/>
        <v>3150</v>
      </c>
      <c r="G125" s="20">
        <v>102</v>
      </c>
      <c r="H125" s="19" t="str">
        <f t="shared" si="3"/>
        <v>USD</v>
      </c>
      <c r="J125" s="5"/>
      <c r="K125" s="3"/>
      <c r="L125" s="3"/>
      <c r="M125" s="3"/>
      <c r="N125" s="3"/>
      <c r="O125" s="3"/>
    </row>
    <row r="126" spans="1:15" ht="15">
      <c r="A126" s="72">
        <v>2</v>
      </c>
      <c r="B126" s="70">
        <v>13.687600464899999</v>
      </c>
      <c r="C126" s="69">
        <v>-89.192144458000001</v>
      </c>
      <c r="D126" s="71">
        <v>3150</v>
      </c>
      <c r="E126" s="19">
        <v>0</v>
      </c>
      <c r="F126" s="19">
        <f t="shared" si="2"/>
        <v>3150</v>
      </c>
      <c r="G126" s="20">
        <v>102</v>
      </c>
      <c r="H126" s="19" t="str">
        <f t="shared" si="3"/>
        <v>USD</v>
      </c>
      <c r="J126" s="5"/>
      <c r="K126" s="3"/>
      <c r="L126" s="3"/>
      <c r="M126" s="3"/>
      <c r="N126" s="3"/>
      <c r="O126" s="3"/>
    </row>
    <row r="127" spans="1:15" ht="15">
      <c r="A127" s="72">
        <v>2</v>
      </c>
      <c r="B127" s="70">
        <v>13.6875556455</v>
      </c>
      <c r="C127" s="69">
        <v>-89.192147019999993</v>
      </c>
      <c r="D127" s="71">
        <v>3150</v>
      </c>
      <c r="E127" s="19">
        <v>0</v>
      </c>
      <c r="F127" s="19">
        <f t="shared" si="2"/>
        <v>3150</v>
      </c>
      <c r="G127" s="20">
        <v>102</v>
      </c>
      <c r="H127" s="19" t="str">
        <f t="shared" si="3"/>
        <v>USD</v>
      </c>
      <c r="J127" s="5"/>
      <c r="K127" s="3"/>
      <c r="L127" s="3"/>
      <c r="M127" s="3"/>
      <c r="N127" s="3"/>
      <c r="O127" s="3"/>
    </row>
    <row r="128" spans="1:15" ht="15">
      <c r="A128" s="72">
        <v>2</v>
      </c>
      <c r="B128" s="70">
        <v>13.6875073216</v>
      </c>
      <c r="C128" s="69">
        <v>-89.192148406000001</v>
      </c>
      <c r="D128" s="71">
        <v>3150</v>
      </c>
      <c r="E128" s="19">
        <v>0</v>
      </c>
      <c r="F128" s="19">
        <f t="shared" si="2"/>
        <v>3150</v>
      </c>
      <c r="G128" s="20">
        <v>102</v>
      </c>
      <c r="H128" s="19" t="str">
        <f t="shared" si="3"/>
        <v>USD</v>
      </c>
      <c r="J128" s="5"/>
      <c r="K128" s="3"/>
      <c r="L128" s="3"/>
      <c r="M128" s="3"/>
      <c r="N128" s="3"/>
      <c r="O128" s="3"/>
    </row>
    <row r="129" spans="1:15" ht="15">
      <c r="A129" s="72">
        <v>1</v>
      </c>
      <c r="B129" s="70">
        <v>13.687548893000001</v>
      </c>
      <c r="C129" s="69">
        <v>-89.192047738400007</v>
      </c>
      <c r="D129" s="71">
        <v>3150</v>
      </c>
      <c r="E129" s="19">
        <v>0</v>
      </c>
      <c r="F129" s="19">
        <f t="shared" si="2"/>
        <v>3150</v>
      </c>
      <c r="G129" s="20">
        <v>101</v>
      </c>
      <c r="H129" s="19" t="str">
        <f t="shared" si="3"/>
        <v>USD</v>
      </c>
      <c r="J129" s="5"/>
      <c r="K129" s="3"/>
      <c r="L129" s="3"/>
      <c r="M129" s="3"/>
      <c r="N129" s="3"/>
      <c r="O129" s="3"/>
    </row>
    <row r="130" spans="1:15" ht="15">
      <c r="A130" s="72">
        <v>2</v>
      </c>
      <c r="B130" s="70">
        <v>13.6873358455</v>
      </c>
      <c r="C130" s="69">
        <v>-89.192120967500003</v>
      </c>
      <c r="D130" s="71">
        <v>3600</v>
      </c>
      <c r="E130" s="19">
        <v>0</v>
      </c>
      <c r="F130" s="19">
        <f t="shared" si="2"/>
        <v>3600</v>
      </c>
      <c r="G130" s="20">
        <v>102</v>
      </c>
      <c r="H130" s="19" t="str">
        <f t="shared" si="3"/>
        <v>USD</v>
      </c>
      <c r="J130" s="5"/>
      <c r="K130" s="3"/>
      <c r="L130" s="3"/>
      <c r="M130" s="3"/>
      <c r="N130" s="3"/>
      <c r="O130" s="3"/>
    </row>
    <row r="131" spans="1:15" ht="15">
      <c r="A131" s="72">
        <v>2</v>
      </c>
      <c r="B131" s="70">
        <v>13.687318164000001</v>
      </c>
      <c r="C131" s="69">
        <v>-89.192068707100006</v>
      </c>
      <c r="D131" s="71">
        <v>3600</v>
      </c>
      <c r="E131" s="19">
        <v>0</v>
      </c>
      <c r="F131" s="19">
        <f t="shared" ref="F131:F194" si="4">D131</f>
        <v>3600</v>
      </c>
      <c r="G131" s="20">
        <v>102</v>
      </c>
      <c r="H131" s="19" t="str">
        <f t="shared" ref="H131:H194" si="5">IF(OR(A131&lt;17,A131=21),"USD","people")</f>
        <v>USD</v>
      </c>
      <c r="J131" s="5"/>
      <c r="K131" s="3"/>
      <c r="L131" s="3"/>
      <c r="M131" s="3"/>
      <c r="N131" s="3"/>
      <c r="O131" s="3"/>
    </row>
    <row r="132" spans="1:15" ht="15">
      <c r="A132" s="72">
        <v>2</v>
      </c>
      <c r="B132" s="70">
        <v>13.687289916599999</v>
      </c>
      <c r="C132" s="69">
        <v>-89.192144842100006</v>
      </c>
      <c r="D132" s="71">
        <v>3600</v>
      </c>
      <c r="E132" s="19">
        <v>0</v>
      </c>
      <c r="F132" s="19">
        <f t="shared" si="4"/>
        <v>3600</v>
      </c>
      <c r="G132" s="20">
        <v>102</v>
      </c>
      <c r="H132" s="19" t="str">
        <f t="shared" si="5"/>
        <v>USD</v>
      </c>
      <c r="J132" s="5"/>
      <c r="K132" s="3"/>
      <c r="L132" s="3"/>
      <c r="M132" s="3"/>
      <c r="N132" s="3"/>
      <c r="O132" s="3"/>
    </row>
    <row r="133" spans="1:15" ht="15">
      <c r="A133" s="72">
        <v>2</v>
      </c>
      <c r="B133" s="70">
        <v>13.6873290409</v>
      </c>
      <c r="C133" s="69">
        <v>-89.192185579899999</v>
      </c>
      <c r="D133" s="71">
        <v>3600</v>
      </c>
      <c r="E133" s="19">
        <v>0</v>
      </c>
      <c r="F133" s="19">
        <f t="shared" si="4"/>
        <v>3600</v>
      </c>
      <c r="G133" s="20">
        <v>102</v>
      </c>
      <c r="H133" s="19" t="str">
        <f t="shared" si="5"/>
        <v>USD</v>
      </c>
      <c r="J133" s="5"/>
      <c r="K133" s="3"/>
      <c r="L133" s="3"/>
      <c r="M133" s="3"/>
      <c r="N133" s="3"/>
      <c r="O133" s="3"/>
    </row>
    <row r="134" spans="1:15" ht="15">
      <c r="A134" s="72">
        <v>2</v>
      </c>
      <c r="B134" s="70">
        <v>13.6873279893</v>
      </c>
      <c r="C134" s="69">
        <v>-89.192184776600001</v>
      </c>
      <c r="D134" s="71">
        <v>3600</v>
      </c>
      <c r="E134" s="19">
        <v>0</v>
      </c>
      <c r="F134" s="19">
        <f t="shared" si="4"/>
        <v>3600</v>
      </c>
      <c r="G134" s="20">
        <v>102</v>
      </c>
      <c r="H134" s="19" t="str">
        <f t="shared" si="5"/>
        <v>USD</v>
      </c>
      <c r="J134" s="5"/>
      <c r="K134" s="3"/>
      <c r="L134" s="3"/>
      <c r="M134" s="3"/>
      <c r="N134" s="3"/>
      <c r="O134" s="3"/>
    </row>
    <row r="135" spans="1:15" ht="15">
      <c r="A135" s="72">
        <v>2</v>
      </c>
      <c r="B135" s="70">
        <v>13.687328691599999</v>
      </c>
      <c r="C135" s="69">
        <v>-89.192184875199999</v>
      </c>
      <c r="D135" s="71">
        <v>3600</v>
      </c>
      <c r="E135" s="19">
        <v>0</v>
      </c>
      <c r="F135" s="19">
        <f t="shared" si="4"/>
        <v>3600</v>
      </c>
      <c r="G135" s="20">
        <v>102</v>
      </c>
      <c r="H135" s="19" t="str">
        <f t="shared" si="5"/>
        <v>USD</v>
      </c>
      <c r="J135" s="5"/>
      <c r="K135" s="3"/>
      <c r="L135" s="3"/>
      <c r="M135" s="3"/>
      <c r="N135" s="3"/>
      <c r="O135" s="3"/>
    </row>
    <row r="136" spans="1:15" ht="15">
      <c r="A136" s="72">
        <v>3</v>
      </c>
      <c r="B136" s="70">
        <v>13.6876278963</v>
      </c>
      <c r="C136" s="69">
        <v>-89.192426487600002</v>
      </c>
      <c r="D136" s="71">
        <v>3600</v>
      </c>
      <c r="E136" s="19">
        <v>0</v>
      </c>
      <c r="F136" s="19">
        <f t="shared" si="4"/>
        <v>3600</v>
      </c>
      <c r="G136" s="20">
        <v>103</v>
      </c>
      <c r="H136" s="19" t="str">
        <f t="shared" si="5"/>
        <v>USD</v>
      </c>
      <c r="J136" s="5"/>
      <c r="K136" s="3"/>
      <c r="L136" s="3"/>
      <c r="M136" s="3"/>
      <c r="N136" s="3"/>
      <c r="O136" s="3"/>
    </row>
    <row r="137" spans="1:15" ht="15">
      <c r="A137" s="72">
        <v>3</v>
      </c>
      <c r="B137" s="70">
        <v>13.687663773300001</v>
      </c>
      <c r="C137" s="69">
        <v>-89.192422542700001</v>
      </c>
      <c r="D137" s="71">
        <v>3600</v>
      </c>
      <c r="E137" s="19">
        <v>0</v>
      </c>
      <c r="F137" s="19">
        <f t="shared" si="4"/>
        <v>3600</v>
      </c>
      <c r="G137" s="20">
        <v>103</v>
      </c>
      <c r="H137" s="19" t="str">
        <f t="shared" si="5"/>
        <v>USD</v>
      </c>
      <c r="J137" s="5"/>
      <c r="K137" s="3"/>
      <c r="L137" s="3"/>
      <c r="M137" s="3"/>
      <c r="N137" s="3"/>
      <c r="O137" s="3"/>
    </row>
    <row r="138" spans="1:15" ht="15">
      <c r="A138" s="72">
        <v>3</v>
      </c>
      <c r="B138" s="70">
        <v>13.687697558</v>
      </c>
      <c r="C138" s="69">
        <v>-89.192419512300006</v>
      </c>
      <c r="D138" s="71">
        <v>3600</v>
      </c>
      <c r="E138" s="19">
        <v>0</v>
      </c>
      <c r="F138" s="19">
        <f t="shared" si="4"/>
        <v>3600</v>
      </c>
      <c r="G138" s="20">
        <v>103</v>
      </c>
      <c r="H138" s="19" t="str">
        <f t="shared" si="5"/>
        <v>USD</v>
      </c>
      <c r="J138" s="5"/>
      <c r="K138" s="3"/>
      <c r="L138" s="3"/>
      <c r="M138" s="3"/>
      <c r="N138" s="3"/>
      <c r="O138" s="3"/>
    </row>
    <row r="139" spans="1:15" ht="15">
      <c r="A139" s="72">
        <v>3</v>
      </c>
      <c r="B139" s="70">
        <v>13.6877334365</v>
      </c>
      <c r="C139" s="69">
        <v>-89.192413733199999</v>
      </c>
      <c r="D139" s="71">
        <v>3600</v>
      </c>
      <c r="E139" s="19">
        <v>0</v>
      </c>
      <c r="F139" s="19">
        <f t="shared" si="4"/>
        <v>3600</v>
      </c>
      <c r="G139" s="20">
        <v>103</v>
      </c>
      <c r="H139" s="19" t="str">
        <f t="shared" si="5"/>
        <v>USD</v>
      </c>
      <c r="J139" s="5"/>
      <c r="K139" s="3"/>
      <c r="L139" s="3"/>
      <c r="M139" s="3"/>
      <c r="N139" s="3"/>
      <c r="O139" s="3"/>
    </row>
    <row r="140" spans="1:15" ht="15">
      <c r="A140" s="72">
        <v>3</v>
      </c>
      <c r="B140" s="70">
        <v>13.6876886302</v>
      </c>
      <c r="C140" s="69">
        <v>-89.192367222900003</v>
      </c>
      <c r="D140" s="71">
        <v>3600</v>
      </c>
      <c r="E140" s="19">
        <v>0</v>
      </c>
      <c r="F140" s="19">
        <f t="shared" si="4"/>
        <v>3600</v>
      </c>
      <c r="G140" s="20">
        <v>103</v>
      </c>
      <c r="H140" s="19" t="str">
        <f t="shared" si="5"/>
        <v>USD</v>
      </c>
      <c r="J140" s="5"/>
      <c r="K140" s="3"/>
      <c r="L140" s="3"/>
      <c r="M140" s="3"/>
      <c r="N140" s="3"/>
      <c r="O140" s="3"/>
    </row>
    <row r="141" spans="1:15" ht="15">
      <c r="A141" s="72">
        <v>3</v>
      </c>
      <c r="B141" s="70">
        <v>13.6877347165</v>
      </c>
      <c r="C141" s="69">
        <v>-89.192306111099995</v>
      </c>
      <c r="D141" s="71">
        <v>3600</v>
      </c>
      <c r="E141" s="19">
        <v>0</v>
      </c>
      <c r="F141" s="19">
        <f t="shared" si="4"/>
        <v>3600</v>
      </c>
      <c r="G141" s="20">
        <v>103</v>
      </c>
      <c r="H141" s="19" t="str">
        <f t="shared" si="5"/>
        <v>USD</v>
      </c>
      <c r="J141" s="5"/>
      <c r="K141" s="3"/>
      <c r="L141" s="3"/>
      <c r="M141" s="3"/>
      <c r="N141" s="3"/>
      <c r="O141" s="3"/>
    </row>
    <row r="142" spans="1:15" ht="15">
      <c r="A142" s="72">
        <v>3</v>
      </c>
      <c r="B142" s="70">
        <v>13.6875577357</v>
      </c>
      <c r="C142" s="69">
        <v>-89.192430942499996</v>
      </c>
      <c r="D142" s="71">
        <v>3600</v>
      </c>
      <c r="E142" s="19">
        <v>0</v>
      </c>
      <c r="F142" s="19">
        <f t="shared" si="4"/>
        <v>3600</v>
      </c>
      <c r="G142" s="20">
        <v>103</v>
      </c>
      <c r="H142" s="19" t="str">
        <f t="shared" si="5"/>
        <v>USD</v>
      </c>
      <c r="J142" s="5"/>
      <c r="K142" s="3"/>
      <c r="L142" s="3"/>
      <c r="M142" s="3"/>
      <c r="N142" s="3"/>
      <c r="O142" s="3"/>
    </row>
    <row r="143" spans="1:15" ht="15">
      <c r="A143" s="72">
        <v>3</v>
      </c>
      <c r="B143" s="70">
        <v>13.6874949772</v>
      </c>
      <c r="C143" s="69">
        <v>-89.192433435300003</v>
      </c>
      <c r="D143" s="71">
        <v>3600</v>
      </c>
      <c r="E143" s="19">
        <v>0</v>
      </c>
      <c r="F143" s="19">
        <f t="shared" si="4"/>
        <v>3600</v>
      </c>
      <c r="G143" s="20">
        <v>103</v>
      </c>
      <c r="H143" s="19" t="str">
        <f t="shared" si="5"/>
        <v>USD</v>
      </c>
      <c r="J143" s="5"/>
      <c r="K143" s="3"/>
      <c r="L143" s="3"/>
      <c r="M143" s="3"/>
      <c r="N143" s="3"/>
      <c r="O143" s="3"/>
    </row>
    <row r="144" spans="1:15" ht="15">
      <c r="A144" s="72">
        <v>3</v>
      </c>
      <c r="B144" s="70">
        <v>13.6877498144</v>
      </c>
      <c r="C144" s="69">
        <v>-89.192362098700002</v>
      </c>
      <c r="D144" s="71">
        <v>3600</v>
      </c>
      <c r="E144" s="19">
        <v>0</v>
      </c>
      <c r="F144" s="19">
        <f t="shared" si="4"/>
        <v>3600</v>
      </c>
      <c r="G144" s="20">
        <v>103</v>
      </c>
      <c r="H144" s="19" t="str">
        <f t="shared" si="5"/>
        <v>USD</v>
      </c>
      <c r="J144" s="5"/>
      <c r="K144" s="3"/>
      <c r="L144" s="3"/>
      <c r="M144" s="3"/>
      <c r="N144" s="3"/>
      <c r="O144" s="3"/>
    </row>
    <row r="145" spans="1:15" ht="15">
      <c r="A145" s="72">
        <v>2</v>
      </c>
      <c r="B145" s="70">
        <v>13.687725518700001</v>
      </c>
      <c r="C145" s="69">
        <v>-89.192268489</v>
      </c>
      <c r="D145" s="71">
        <v>3600</v>
      </c>
      <c r="E145" s="19">
        <v>0</v>
      </c>
      <c r="F145" s="19">
        <f t="shared" si="4"/>
        <v>3600</v>
      </c>
      <c r="G145" s="20">
        <v>102</v>
      </c>
      <c r="H145" s="19" t="str">
        <f t="shared" si="5"/>
        <v>USD</v>
      </c>
      <c r="J145" s="5"/>
      <c r="K145" s="3"/>
      <c r="L145" s="3"/>
      <c r="M145" s="3"/>
      <c r="N145" s="3"/>
      <c r="O145" s="3"/>
    </row>
    <row r="146" spans="1:15" ht="15">
      <c r="A146" s="72">
        <v>2</v>
      </c>
      <c r="B146" s="70">
        <v>13.6877650829</v>
      </c>
      <c r="C146" s="69">
        <v>-89.192411317600005</v>
      </c>
      <c r="D146" s="71">
        <v>3600</v>
      </c>
      <c r="E146" s="19">
        <v>0</v>
      </c>
      <c r="F146" s="19">
        <f t="shared" si="4"/>
        <v>3600</v>
      </c>
      <c r="G146" s="20">
        <v>102</v>
      </c>
      <c r="H146" s="19" t="str">
        <f t="shared" si="5"/>
        <v>USD</v>
      </c>
      <c r="J146" s="5"/>
      <c r="K146" s="3"/>
      <c r="L146" s="3"/>
      <c r="M146" s="3"/>
      <c r="N146" s="3"/>
      <c r="O146" s="3"/>
    </row>
    <row r="147" spans="1:15" ht="15">
      <c r="A147" s="72">
        <v>2</v>
      </c>
      <c r="B147" s="70">
        <v>13.6876857659</v>
      </c>
      <c r="C147" s="69">
        <v>-89.192204963500004</v>
      </c>
      <c r="D147" s="71">
        <v>3600</v>
      </c>
      <c r="E147" s="19">
        <v>0</v>
      </c>
      <c r="F147" s="19">
        <f t="shared" si="4"/>
        <v>3600</v>
      </c>
      <c r="G147" s="20">
        <v>102</v>
      </c>
      <c r="H147" s="19" t="str">
        <f t="shared" si="5"/>
        <v>USD</v>
      </c>
      <c r="J147" s="5"/>
      <c r="K147" s="3"/>
      <c r="L147" s="3"/>
      <c r="M147" s="3"/>
      <c r="N147" s="3"/>
      <c r="O147" s="3"/>
    </row>
    <row r="148" spans="1:15" ht="15">
      <c r="A148" s="72">
        <v>2</v>
      </c>
      <c r="B148" s="70">
        <v>13.687685799700001</v>
      </c>
      <c r="C148" s="69">
        <v>-89.192204536399998</v>
      </c>
      <c r="D148" s="71">
        <v>3600</v>
      </c>
      <c r="E148" s="19">
        <v>0</v>
      </c>
      <c r="F148" s="19">
        <f t="shared" si="4"/>
        <v>3600</v>
      </c>
      <c r="G148" s="20">
        <v>102</v>
      </c>
      <c r="H148" s="19" t="str">
        <f t="shared" si="5"/>
        <v>USD</v>
      </c>
      <c r="J148" s="5"/>
      <c r="K148" s="3"/>
      <c r="L148" s="3"/>
      <c r="M148" s="3"/>
      <c r="N148" s="3"/>
      <c r="O148" s="3"/>
    </row>
    <row r="149" spans="1:15" ht="15">
      <c r="A149" s="72">
        <v>2</v>
      </c>
      <c r="B149" s="70">
        <v>13.6876858354</v>
      </c>
      <c r="C149" s="69">
        <v>-89.192204024299997</v>
      </c>
      <c r="D149" s="71">
        <v>3600</v>
      </c>
      <c r="E149" s="19">
        <v>0</v>
      </c>
      <c r="F149" s="19">
        <f t="shared" si="4"/>
        <v>3600</v>
      </c>
      <c r="G149" s="20">
        <v>102</v>
      </c>
      <c r="H149" s="19" t="str">
        <f t="shared" si="5"/>
        <v>USD</v>
      </c>
      <c r="J149" s="5"/>
      <c r="K149" s="3"/>
      <c r="L149" s="3"/>
      <c r="M149" s="3"/>
      <c r="N149" s="3"/>
      <c r="O149" s="3"/>
    </row>
    <row r="150" spans="1:15" ht="15">
      <c r="A150" s="72">
        <v>2</v>
      </c>
      <c r="B150" s="70">
        <v>13.687648401400001</v>
      </c>
      <c r="C150" s="69">
        <v>-89.192204920899997</v>
      </c>
      <c r="D150" s="71">
        <v>3600</v>
      </c>
      <c r="E150" s="19">
        <v>0</v>
      </c>
      <c r="F150" s="19">
        <f t="shared" si="4"/>
        <v>3600</v>
      </c>
      <c r="G150" s="20">
        <v>102</v>
      </c>
      <c r="H150" s="19" t="str">
        <f t="shared" si="5"/>
        <v>USD</v>
      </c>
      <c r="J150" s="5"/>
      <c r="K150" s="3"/>
      <c r="L150" s="3"/>
      <c r="M150" s="3"/>
      <c r="N150" s="3"/>
      <c r="O150" s="3"/>
    </row>
    <row r="151" spans="1:15" ht="15">
      <c r="A151" s="72">
        <v>2</v>
      </c>
      <c r="B151" s="70">
        <v>13.6876480672</v>
      </c>
      <c r="C151" s="69">
        <v>-89.192203550599999</v>
      </c>
      <c r="D151" s="71">
        <v>3600</v>
      </c>
      <c r="E151" s="19">
        <v>0</v>
      </c>
      <c r="F151" s="19">
        <f t="shared" si="4"/>
        <v>3600</v>
      </c>
      <c r="G151" s="20">
        <v>102</v>
      </c>
      <c r="H151" s="19" t="str">
        <f t="shared" si="5"/>
        <v>USD</v>
      </c>
      <c r="J151" s="5"/>
      <c r="K151" s="3"/>
      <c r="L151" s="3"/>
      <c r="M151" s="3"/>
      <c r="N151" s="3"/>
      <c r="O151" s="3"/>
    </row>
    <row r="152" spans="1:15" ht="15">
      <c r="A152" s="72">
        <v>2</v>
      </c>
      <c r="B152" s="70">
        <v>13.687647864500001</v>
      </c>
      <c r="C152" s="69">
        <v>-89.192202682399994</v>
      </c>
      <c r="D152" s="71">
        <v>3600</v>
      </c>
      <c r="E152" s="19">
        <v>0</v>
      </c>
      <c r="F152" s="19">
        <f t="shared" si="4"/>
        <v>3600</v>
      </c>
      <c r="G152" s="20">
        <v>102</v>
      </c>
      <c r="H152" s="19" t="str">
        <f t="shared" si="5"/>
        <v>USD</v>
      </c>
      <c r="J152" s="5"/>
      <c r="K152" s="3"/>
      <c r="L152" s="3"/>
      <c r="M152" s="3"/>
      <c r="N152" s="3"/>
      <c r="O152" s="3"/>
    </row>
    <row r="153" spans="1:15" ht="15">
      <c r="A153" s="72">
        <v>2</v>
      </c>
      <c r="B153" s="70">
        <v>13.6876107124</v>
      </c>
      <c r="C153" s="69">
        <v>-89.192207193000002</v>
      </c>
      <c r="D153" s="71">
        <v>3600</v>
      </c>
      <c r="E153" s="19">
        <v>0</v>
      </c>
      <c r="F153" s="19">
        <f t="shared" si="4"/>
        <v>3600</v>
      </c>
      <c r="G153" s="20">
        <v>102</v>
      </c>
      <c r="H153" s="19" t="str">
        <f t="shared" si="5"/>
        <v>USD</v>
      </c>
      <c r="J153" s="5"/>
      <c r="K153" s="3"/>
      <c r="L153" s="3"/>
      <c r="M153" s="3"/>
      <c r="N153" s="3"/>
      <c r="O153" s="3"/>
    </row>
    <row r="154" spans="1:15" ht="15">
      <c r="A154" s="72">
        <v>2</v>
      </c>
      <c r="B154" s="70">
        <v>13.6876107185</v>
      </c>
      <c r="C154" s="69">
        <v>-89.192207500799995</v>
      </c>
      <c r="D154" s="71">
        <v>3600</v>
      </c>
      <c r="E154" s="19">
        <v>0</v>
      </c>
      <c r="F154" s="19">
        <f t="shared" si="4"/>
        <v>3600</v>
      </c>
      <c r="G154" s="20">
        <v>102</v>
      </c>
      <c r="H154" s="19" t="str">
        <f t="shared" si="5"/>
        <v>USD</v>
      </c>
      <c r="J154" s="5"/>
      <c r="K154" s="3"/>
      <c r="L154" s="3"/>
      <c r="M154" s="3"/>
      <c r="N154" s="3"/>
      <c r="O154" s="3"/>
    </row>
    <row r="155" spans="1:15" ht="15">
      <c r="A155" s="72">
        <v>2</v>
      </c>
      <c r="B155" s="70">
        <v>13.687610705599999</v>
      </c>
      <c r="C155" s="69">
        <v>-89.192207790200001</v>
      </c>
      <c r="D155" s="71">
        <v>3600</v>
      </c>
      <c r="E155" s="19">
        <v>0</v>
      </c>
      <c r="F155" s="19">
        <f t="shared" si="4"/>
        <v>3600</v>
      </c>
      <c r="G155" s="20">
        <v>102</v>
      </c>
      <c r="H155" s="19" t="str">
        <f t="shared" si="5"/>
        <v>USD</v>
      </c>
      <c r="J155" s="5"/>
      <c r="K155" s="3"/>
      <c r="L155" s="3"/>
      <c r="M155" s="3"/>
      <c r="N155" s="3"/>
      <c r="O155" s="3"/>
    </row>
    <row r="156" spans="1:15" ht="15">
      <c r="A156" s="72">
        <v>2</v>
      </c>
      <c r="B156" s="70">
        <v>13.6874567876</v>
      </c>
      <c r="C156" s="69">
        <v>-89.192395037899999</v>
      </c>
      <c r="D156" s="71">
        <v>3600</v>
      </c>
      <c r="E156" s="19">
        <v>0</v>
      </c>
      <c r="F156" s="19">
        <f t="shared" si="4"/>
        <v>3600</v>
      </c>
      <c r="G156" s="20">
        <v>102</v>
      </c>
      <c r="H156" s="19" t="str">
        <f t="shared" si="5"/>
        <v>USD</v>
      </c>
      <c r="J156" s="5"/>
      <c r="K156" s="3"/>
      <c r="L156" s="3"/>
      <c r="M156" s="3"/>
      <c r="N156" s="3"/>
      <c r="O156" s="3"/>
    </row>
    <row r="157" spans="1:15" ht="15">
      <c r="A157" s="72">
        <v>2</v>
      </c>
      <c r="B157" s="70">
        <v>13.6874565453</v>
      </c>
      <c r="C157" s="69">
        <v>-89.192393841500007</v>
      </c>
      <c r="D157" s="71">
        <v>3600</v>
      </c>
      <c r="E157" s="19">
        <v>0</v>
      </c>
      <c r="F157" s="19">
        <f t="shared" si="4"/>
        <v>3600</v>
      </c>
      <c r="G157" s="20">
        <v>102</v>
      </c>
      <c r="H157" s="19" t="str">
        <f t="shared" si="5"/>
        <v>USD</v>
      </c>
      <c r="J157" s="5"/>
      <c r="K157" s="3"/>
      <c r="L157" s="3"/>
      <c r="M157" s="3"/>
      <c r="N157" s="3"/>
      <c r="O157" s="3"/>
    </row>
    <row r="158" spans="1:15" ht="15">
      <c r="A158" s="72">
        <v>2</v>
      </c>
      <c r="B158" s="70">
        <v>13.6874513075</v>
      </c>
      <c r="C158" s="69">
        <v>-89.192356369699993</v>
      </c>
      <c r="D158" s="71">
        <v>3600</v>
      </c>
      <c r="E158" s="19">
        <v>0</v>
      </c>
      <c r="F158" s="19">
        <f t="shared" si="4"/>
        <v>3600</v>
      </c>
      <c r="G158" s="20">
        <v>102</v>
      </c>
      <c r="H158" s="19" t="str">
        <f t="shared" si="5"/>
        <v>USD</v>
      </c>
      <c r="J158" s="5"/>
      <c r="K158" s="3"/>
      <c r="L158" s="3"/>
      <c r="M158" s="3"/>
      <c r="N158" s="3"/>
      <c r="O158" s="3"/>
    </row>
    <row r="159" spans="1:15" ht="15">
      <c r="A159" s="72">
        <v>2</v>
      </c>
      <c r="B159" s="70">
        <v>13.687451294400001</v>
      </c>
      <c r="C159" s="69">
        <v>-89.192355834400004</v>
      </c>
      <c r="D159" s="71">
        <v>3600</v>
      </c>
      <c r="E159" s="19">
        <v>0</v>
      </c>
      <c r="F159" s="19">
        <f t="shared" si="4"/>
        <v>3600</v>
      </c>
      <c r="G159" s="20">
        <v>102</v>
      </c>
      <c r="H159" s="19" t="str">
        <f t="shared" si="5"/>
        <v>USD</v>
      </c>
      <c r="J159" s="5"/>
      <c r="K159" s="3"/>
      <c r="L159" s="3"/>
      <c r="M159" s="3"/>
      <c r="N159" s="3"/>
      <c r="O159" s="3"/>
    </row>
    <row r="160" spans="1:15" ht="15">
      <c r="A160" s="72">
        <v>2</v>
      </c>
      <c r="B160" s="70">
        <v>13.687451322799999</v>
      </c>
      <c r="C160" s="69">
        <v>-89.192355320399997</v>
      </c>
      <c r="D160" s="71">
        <v>3600</v>
      </c>
      <c r="E160" s="19">
        <v>0</v>
      </c>
      <c r="F160" s="19">
        <f t="shared" si="4"/>
        <v>3600</v>
      </c>
      <c r="G160" s="20">
        <v>102</v>
      </c>
      <c r="H160" s="19" t="str">
        <f t="shared" si="5"/>
        <v>USD</v>
      </c>
      <c r="J160" s="5"/>
      <c r="K160" s="3"/>
      <c r="L160" s="3"/>
      <c r="M160" s="3"/>
      <c r="N160" s="3"/>
      <c r="O160" s="3"/>
    </row>
    <row r="161" spans="1:15" ht="15">
      <c r="A161" s="72">
        <v>2</v>
      </c>
      <c r="B161" s="70">
        <v>13.6874453171</v>
      </c>
      <c r="C161" s="69">
        <v>-89.192316060099998</v>
      </c>
      <c r="D161" s="71">
        <v>3600</v>
      </c>
      <c r="E161" s="19">
        <v>0</v>
      </c>
      <c r="F161" s="19">
        <f t="shared" si="4"/>
        <v>3600</v>
      </c>
      <c r="G161" s="20">
        <v>102</v>
      </c>
      <c r="H161" s="19" t="str">
        <f t="shared" si="5"/>
        <v>USD</v>
      </c>
      <c r="J161" s="5"/>
      <c r="K161" s="3"/>
      <c r="L161" s="3"/>
      <c r="M161" s="3"/>
      <c r="N161" s="3"/>
      <c r="O161" s="3"/>
    </row>
    <row r="162" spans="1:15" ht="15">
      <c r="A162" s="72">
        <v>2</v>
      </c>
      <c r="B162" s="70">
        <v>13.687445246199999</v>
      </c>
      <c r="C162" s="69">
        <v>-89.192315392599994</v>
      </c>
      <c r="D162" s="71">
        <v>3600</v>
      </c>
      <c r="E162" s="19">
        <v>0</v>
      </c>
      <c r="F162" s="19">
        <f t="shared" si="4"/>
        <v>3600</v>
      </c>
      <c r="G162" s="20">
        <v>102</v>
      </c>
      <c r="H162" s="19" t="str">
        <f t="shared" si="5"/>
        <v>USD</v>
      </c>
      <c r="J162" s="5"/>
      <c r="K162" s="3"/>
      <c r="L162" s="3"/>
      <c r="M162" s="3"/>
      <c r="N162" s="3"/>
      <c r="O162" s="3"/>
    </row>
    <row r="163" spans="1:15" ht="15">
      <c r="A163" s="72">
        <v>2</v>
      </c>
      <c r="B163" s="70">
        <v>13.6874399559</v>
      </c>
      <c r="C163" s="69">
        <v>-89.192269862200007</v>
      </c>
      <c r="D163" s="71">
        <v>3600</v>
      </c>
      <c r="E163" s="19">
        <v>0</v>
      </c>
      <c r="F163" s="19">
        <f t="shared" si="4"/>
        <v>3600</v>
      </c>
      <c r="G163" s="20">
        <v>102</v>
      </c>
      <c r="H163" s="19" t="str">
        <f t="shared" si="5"/>
        <v>USD</v>
      </c>
      <c r="J163" s="5"/>
      <c r="K163" s="3"/>
      <c r="L163" s="3"/>
      <c r="M163" s="3"/>
      <c r="N163" s="3"/>
      <c r="O163" s="3"/>
    </row>
    <row r="164" spans="1:15" ht="15">
      <c r="A164" s="72">
        <v>2</v>
      </c>
      <c r="B164" s="70">
        <v>13.6874399281</v>
      </c>
      <c r="C164" s="69">
        <v>-89.192269507199995</v>
      </c>
      <c r="D164" s="71">
        <v>3600</v>
      </c>
      <c r="E164" s="19">
        <v>0</v>
      </c>
      <c r="F164" s="19">
        <f t="shared" si="4"/>
        <v>3600</v>
      </c>
      <c r="G164" s="20">
        <v>102</v>
      </c>
      <c r="H164" s="19" t="str">
        <f t="shared" si="5"/>
        <v>USD</v>
      </c>
      <c r="J164" s="5"/>
      <c r="K164" s="3"/>
      <c r="L164" s="3"/>
      <c r="M164" s="3"/>
      <c r="N164" s="3"/>
      <c r="O164" s="3"/>
    </row>
    <row r="165" spans="1:15" ht="15">
      <c r="A165" s="72">
        <v>2</v>
      </c>
      <c r="B165" s="70">
        <v>13.687439961899999</v>
      </c>
      <c r="C165" s="69">
        <v>-89.192269134699998</v>
      </c>
      <c r="D165" s="71">
        <v>3600</v>
      </c>
      <c r="E165" s="19">
        <v>0</v>
      </c>
      <c r="F165" s="19">
        <f t="shared" si="4"/>
        <v>3600</v>
      </c>
      <c r="G165" s="20">
        <v>102</v>
      </c>
      <c r="H165" s="19" t="str">
        <f t="shared" si="5"/>
        <v>USD</v>
      </c>
      <c r="J165" s="5"/>
      <c r="K165" s="3"/>
      <c r="L165" s="3"/>
      <c r="M165" s="3"/>
      <c r="N165" s="3"/>
      <c r="O165" s="3"/>
    </row>
    <row r="166" spans="1:15" ht="15">
      <c r="A166" s="72">
        <v>2</v>
      </c>
      <c r="B166" s="70">
        <v>13.6873735304</v>
      </c>
      <c r="C166" s="69">
        <v>-89.1923135941</v>
      </c>
      <c r="D166" s="71">
        <v>3600</v>
      </c>
      <c r="E166" s="19">
        <v>0</v>
      </c>
      <c r="F166" s="19">
        <f t="shared" si="4"/>
        <v>3600</v>
      </c>
      <c r="G166" s="20">
        <v>102</v>
      </c>
      <c r="H166" s="19" t="str">
        <f t="shared" si="5"/>
        <v>USD</v>
      </c>
      <c r="J166" s="5"/>
      <c r="K166" s="3"/>
      <c r="L166" s="3"/>
      <c r="M166" s="3"/>
      <c r="N166" s="3"/>
      <c r="O166" s="3"/>
    </row>
    <row r="167" spans="1:15" ht="15">
      <c r="A167" s="72">
        <v>2</v>
      </c>
      <c r="B167" s="70">
        <v>13.687373191100001</v>
      </c>
      <c r="C167" s="69">
        <v>-89.192312910699997</v>
      </c>
      <c r="D167" s="71">
        <v>3600</v>
      </c>
      <c r="E167" s="19">
        <v>0</v>
      </c>
      <c r="F167" s="19">
        <f t="shared" si="4"/>
        <v>3600</v>
      </c>
      <c r="G167" s="20">
        <v>102</v>
      </c>
      <c r="H167" s="19" t="str">
        <f t="shared" si="5"/>
        <v>USD</v>
      </c>
      <c r="J167" s="5"/>
      <c r="K167" s="3"/>
      <c r="L167" s="3"/>
      <c r="M167" s="3"/>
      <c r="N167" s="3"/>
      <c r="O167" s="3"/>
    </row>
    <row r="168" spans="1:15" ht="15">
      <c r="A168" s="72">
        <v>2</v>
      </c>
      <c r="B168" s="70">
        <v>13.687373193899999</v>
      </c>
      <c r="C168" s="69">
        <v>-89.192312705399999</v>
      </c>
      <c r="D168" s="71">
        <v>3600</v>
      </c>
      <c r="E168" s="19">
        <v>0</v>
      </c>
      <c r="F168" s="19">
        <f t="shared" si="4"/>
        <v>3600</v>
      </c>
      <c r="G168" s="20">
        <v>102</v>
      </c>
      <c r="H168" s="19" t="str">
        <f t="shared" si="5"/>
        <v>USD</v>
      </c>
      <c r="J168" s="5"/>
      <c r="K168" s="3"/>
      <c r="L168" s="3"/>
      <c r="M168" s="3"/>
      <c r="N168" s="3"/>
      <c r="O168" s="3"/>
    </row>
    <row r="169" spans="1:15" ht="15">
      <c r="A169" s="72">
        <v>2</v>
      </c>
      <c r="B169" s="70">
        <v>13.687382787800001</v>
      </c>
      <c r="C169" s="69">
        <v>-89.192406781800003</v>
      </c>
      <c r="D169" s="71">
        <v>3600</v>
      </c>
      <c r="E169" s="19">
        <v>0</v>
      </c>
      <c r="F169" s="19">
        <f t="shared" si="4"/>
        <v>3600</v>
      </c>
      <c r="G169" s="20">
        <v>102</v>
      </c>
      <c r="H169" s="19" t="str">
        <f t="shared" si="5"/>
        <v>USD</v>
      </c>
      <c r="J169" s="5"/>
      <c r="K169" s="3"/>
      <c r="L169" s="3"/>
      <c r="M169" s="3"/>
      <c r="N169" s="3"/>
      <c r="O169" s="3"/>
    </row>
    <row r="170" spans="1:15" ht="15">
      <c r="A170" s="72">
        <v>2</v>
      </c>
      <c r="B170" s="70">
        <v>13.6873842168</v>
      </c>
      <c r="C170" s="69">
        <v>-89.192405728200001</v>
      </c>
      <c r="D170" s="71">
        <v>3600</v>
      </c>
      <c r="E170" s="19">
        <v>0</v>
      </c>
      <c r="F170" s="19">
        <f t="shared" si="4"/>
        <v>3600</v>
      </c>
      <c r="G170" s="20">
        <v>102</v>
      </c>
      <c r="H170" s="19" t="str">
        <f t="shared" si="5"/>
        <v>USD</v>
      </c>
      <c r="J170" s="5"/>
      <c r="K170" s="3"/>
      <c r="L170" s="3"/>
      <c r="M170" s="3"/>
      <c r="N170" s="3"/>
      <c r="O170" s="3"/>
    </row>
    <row r="171" spans="1:15" ht="15">
      <c r="A171" s="72">
        <v>2</v>
      </c>
      <c r="B171" s="70">
        <v>13.6873827979</v>
      </c>
      <c r="C171" s="69">
        <v>-89.192406605299993</v>
      </c>
      <c r="D171" s="71">
        <v>3600</v>
      </c>
      <c r="E171" s="19">
        <v>0</v>
      </c>
      <c r="F171" s="19">
        <f t="shared" si="4"/>
        <v>3600</v>
      </c>
      <c r="G171" s="20">
        <v>102</v>
      </c>
      <c r="H171" s="19" t="str">
        <f t="shared" si="5"/>
        <v>USD</v>
      </c>
      <c r="J171" s="5"/>
      <c r="K171" s="3"/>
      <c r="L171" s="3"/>
      <c r="M171" s="3"/>
      <c r="N171" s="3"/>
      <c r="O171" s="3"/>
    </row>
    <row r="172" spans="1:15" ht="15">
      <c r="A172" s="72">
        <v>2</v>
      </c>
      <c r="B172" s="70">
        <v>13.687379738300001</v>
      </c>
      <c r="C172" s="69">
        <v>-89.192361270000006</v>
      </c>
      <c r="D172" s="71">
        <v>3600</v>
      </c>
      <c r="E172" s="19">
        <v>0</v>
      </c>
      <c r="F172" s="19">
        <f t="shared" si="4"/>
        <v>3600</v>
      </c>
      <c r="G172" s="20">
        <v>102</v>
      </c>
      <c r="H172" s="19" t="str">
        <f t="shared" si="5"/>
        <v>USD</v>
      </c>
      <c r="J172" s="5"/>
      <c r="K172" s="3"/>
      <c r="L172" s="3"/>
      <c r="M172" s="3"/>
      <c r="N172" s="3"/>
      <c r="O172" s="3"/>
    </row>
    <row r="173" spans="1:15" ht="15">
      <c r="A173" s="72">
        <v>2</v>
      </c>
      <c r="B173" s="70">
        <v>13.6873797324</v>
      </c>
      <c r="C173" s="69">
        <v>-89.192360799400006</v>
      </c>
      <c r="D173" s="71">
        <v>3600</v>
      </c>
      <c r="E173" s="19">
        <v>0</v>
      </c>
      <c r="F173" s="19">
        <f t="shared" si="4"/>
        <v>3600</v>
      </c>
      <c r="G173" s="20">
        <v>102</v>
      </c>
      <c r="H173" s="19" t="str">
        <f t="shared" si="5"/>
        <v>USD</v>
      </c>
      <c r="J173" s="5"/>
      <c r="K173" s="3"/>
      <c r="L173" s="3"/>
      <c r="M173" s="3"/>
      <c r="N173" s="3"/>
      <c r="O173" s="3"/>
    </row>
    <row r="174" spans="1:15" ht="15">
      <c r="A174" s="72">
        <v>2</v>
      </c>
      <c r="B174" s="70">
        <v>13.6873793852</v>
      </c>
      <c r="C174" s="69">
        <v>-89.192360921200006</v>
      </c>
      <c r="D174" s="71">
        <v>3600</v>
      </c>
      <c r="E174" s="19">
        <v>0</v>
      </c>
      <c r="F174" s="19">
        <f t="shared" si="4"/>
        <v>3600</v>
      </c>
      <c r="G174" s="20">
        <v>102</v>
      </c>
      <c r="H174" s="19" t="str">
        <f t="shared" si="5"/>
        <v>USD</v>
      </c>
      <c r="J174" s="5"/>
      <c r="K174" s="3"/>
      <c r="L174" s="3"/>
      <c r="M174" s="3"/>
      <c r="N174" s="3"/>
      <c r="O174" s="3"/>
    </row>
    <row r="175" spans="1:15" ht="15">
      <c r="A175" s="72">
        <v>2</v>
      </c>
      <c r="B175" s="70">
        <v>13.687373598300001</v>
      </c>
      <c r="C175" s="69">
        <v>-89.192268433300001</v>
      </c>
      <c r="D175" s="71">
        <v>3600</v>
      </c>
      <c r="E175" s="19">
        <v>0</v>
      </c>
      <c r="F175" s="19">
        <f t="shared" si="4"/>
        <v>3600</v>
      </c>
      <c r="G175" s="20">
        <v>102</v>
      </c>
      <c r="H175" s="19" t="str">
        <f t="shared" si="5"/>
        <v>USD</v>
      </c>
      <c r="J175" s="5"/>
      <c r="K175" s="3"/>
      <c r="L175" s="3"/>
      <c r="M175" s="3"/>
      <c r="N175" s="3"/>
      <c r="O175" s="3"/>
    </row>
    <row r="176" spans="1:15" ht="15">
      <c r="A176" s="72">
        <v>2</v>
      </c>
      <c r="B176" s="70">
        <v>13.6873749906</v>
      </c>
      <c r="C176" s="69">
        <v>-89.192268096999996</v>
      </c>
      <c r="D176" s="71">
        <v>3600</v>
      </c>
      <c r="E176" s="19">
        <v>0</v>
      </c>
      <c r="F176" s="19">
        <f t="shared" si="4"/>
        <v>3600</v>
      </c>
      <c r="G176" s="20">
        <v>102</v>
      </c>
      <c r="H176" s="19" t="str">
        <f t="shared" si="5"/>
        <v>USD</v>
      </c>
      <c r="J176" s="5"/>
      <c r="K176" s="3"/>
      <c r="L176" s="3"/>
      <c r="M176" s="3"/>
      <c r="N176" s="3"/>
      <c r="O176" s="3"/>
    </row>
    <row r="177" spans="1:15" ht="15">
      <c r="A177" s="72">
        <v>2</v>
      </c>
      <c r="B177" s="70">
        <v>13.687371455799999</v>
      </c>
      <c r="C177" s="69">
        <v>-89.192174987000001</v>
      </c>
      <c r="D177" s="71">
        <v>3600</v>
      </c>
      <c r="E177" s="19">
        <v>0</v>
      </c>
      <c r="F177" s="19">
        <f t="shared" si="4"/>
        <v>3600</v>
      </c>
      <c r="G177" s="20">
        <v>102</v>
      </c>
      <c r="H177" s="19" t="str">
        <f t="shared" si="5"/>
        <v>USD</v>
      </c>
      <c r="J177" s="5"/>
      <c r="K177" s="3"/>
      <c r="L177" s="3"/>
      <c r="M177" s="3"/>
      <c r="N177" s="3"/>
      <c r="O177" s="3"/>
    </row>
    <row r="178" spans="1:15" ht="15">
      <c r="A178" s="72">
        <v>2</v>
      </c>
      <c r="B178" s="70">
        <v>13.687371839000001</v>
      </c>
      <c r="C178" s="69">
        <v>-89.192173930699994</v>
      </c>
      <c r="D178" s="71">
        <v>3600</v>
      </c>
      <c r="E178" s="19">
        <v>0</v>
      </c>
      <c r="F178" s="19">
        <f t="shared" si="4"/>
        <v>3600</v>
      </c>
      <c r="G178" s="20">
        <v>102</v>
      </c>
      <c r="H178" s="19" t="str">
        <f t="shared" si="5"/>
        <v>USD</v>
      </c>
      <c r="J178" s="5"/>
      <c r="K178" s="3"/>
      <c r="L178" s="3"/>
      <c r="M178" s="3"/>
      <c r="N178" s="3"/>
      <c r="O178" s="3"/>
    </row>
    <row r="179" spans="1:15" ht="15">
      <c r="A179" s="72">
        <v>2</v>
      </c>
      <c r="B179" s="70">
        <v>13.687418730699999</v>
      </c>
      <c r="C179" s="69">
        <v>-89.192169543600002</v>
      </c>
      <c r="D179" s="71">
        <v>3600</v>
      </c>
      <c r="E179" s="19">
        <v>0</v>
      </c>
      <c r="F179" s="19">
        <f t="shared" si="4"/>
        <v>3600</v>
      </c>
      <c r="G179" s="20">
        <v>102</v>
      </c>
      <c r="H179" s="19" t="str">
        <f t="shared" si="5"/>
        <v>USD</v>
      </c>
      <c r="J179" s="5"/>
      <c r="K179" s="3"/>
      <c r="L179" s="3"/>
      <c r="M179" s="3"/>
      <c r="N179" s="3"/>
      <c r="O179" s="3"/>
    </row>
    <row r="180" spans="1:15" ht="15">
      <c r="A180" s="72">
        <v>2</v>
      </c>
      <c r="B180" s="70">
        <v>13.6874186335</v>
      </c>
      <c r="C180" s="69">
        <v>-89.192168907500005</v>
      </c>
      <c r="D180" s="71">
        <v>3600</v>
      </c>
      <c r="E180" s="19">
        <v>0</v>
      </c>
      <c r="F180" s="19">
        <f t="shared" si="4"/>
        <v>3600</v>
      </c>
      <c r="G180" s="20">
        <v>102</v>
      </c>
      <c r="H180" s="19" t="str">
        <f t="shared" si="5"/>
        <v>USD</v>
      </c>
      <c r="J180" s="5"/>
      <c r="K180" s="3"/>
      <c r="L180" s="3"/>
      <c r="M180" s="3"/>
      <c r="N180" s="3"/>
      <c r="O180" s="3"/>
    </row>
    <row r="181" spans="1:15" ht="15">
      <c r="A181" s="72">
        <v>2</v>
      </c>
      <c r="B181" s="70">
        <v>13.687418645999999</v>
      </c>
      <c r="C181" s="69">
        <v>-89.192167990399994</v>
      </c>
      <c r="D181" s="71">
        <v>3600</v>
      </c>
      <c r="E181" s="19">
        <v>0</v>
      </c>
      <c r="F181" s="19">
        <f t="shared" si="4"/>
        <v>3600</v>
      </c>
      <c r="G181" s="20">
        <v>102</v>
      </c>
      <c r="H181" s="19" t="str">
        <f t="shared" si="5"/>
        <v>USD</v>
      </c>
      <c r="J181" s="5"/>
      <c r="K181" s="3"/>
      <c r="L181" s="3"/>
      <c r="M181" s="3"/>
      <c r="N181" s="3"/>
      <c r="O181" s="3"/>
    </row>
    <row r="182" spans="1:15" ht="15">
      <c r="A182" s="72">
        <v>2</v>
      </c>
      <c r="B182" s="70">
        <v>13.6874621703</v>
      </c>
      <c r="C182" s="69">
        <v>-89.192150055400006</v>
      </c>
      <c r="D182" s="71">
        <v>3600</v>
      </c>
      <c r="E182" s="19">
        <v>0</v>
      </c>
      <c r="F182" s="19">
        <f t="shared" si="4"/>
        <v>3600</v>
      </c>
      <c r="G182" s="20">
        <v>102</v>
      </c>
      <c r="H182" s="19" t="str">
        <f t="shared" si="5"/>
        <v>USD</v>
      </c>
      <c r="J182" s="5"/>
      <c r="K182" s="3"/>
      <c r="L182" s="3"/>
      <c r="M182" s="3"/>
      <c r="N182" s="3"/>
      <c r="O182" s="3"/>
    </row>
    <row r="183" spans="1:15" ht="15">
      <c r="A183" s="72">
        <v>2</v>
      </c>
      <c r="B183" s="70">
        <v>13.687462160999999</v>
      </c>
      <c r="C183" s="69">
        <v>-89.192149184499996</v>
      </c>
      <c r="D183" s="71">
        <v>3600</v>
      </c>
      <c r="E183" s="19">
        <v>0</v>
      </c>
      <c r="F183" s="19">
        <f t="shared" si="4"/>
        <v>3600</v>
      </c>
      <c r="G183" s="20">
        <v>102</v>
      </c>
      <c r="H183" s="19" t="str">
        <f t="shared" si="5"/>
        <v>USD</v>
      </c>
      <c r="J183" s="5"/>
      <c r="K183" s="3"/>
      <c r="L183" s="3"/>
      <c r="M183" s="3"/>
      <c r="N183" s="3"/>
      <c r="O183" s="3"/>
    </row>
    <row r="184" spans="1:15" ht="15">
      <c r="A184" s="72">
        <v>2</v>
      </c>
      <c r="B184" s="70">
        <v>13.687522470299999</v>
      </c>
      <c r="C184" s="69">
        <v>-89.192436455800006</v>
      </c>
      <c r="D184" s="71">
        <v>3600</v>
      </c>
      <c r="E184" s="19">
        <v>0</v>
      </c>
      <c r="F184" s="19">
        <f t="shared" si="4"/>
        <v>3600</v>
      </c>
      <c r="G184" s="20">
        <v>102</v>
      </c>
      <c r="H184" s="19" t="str">
        <f t="shared" si="5"/>
        <v>USD</v>
      </c>
      <c r="J184" s="5"/>
      <c r="K184" s="3"/>
      <c r="L184" s="3"/>
      <c r="M184" s="3"/>
      <c r="N184" s="3"/>
      <c r="O184" s="3"/>
    </row>
    <row r="185" spans="1:15" ht="15">
      <c r="A185" s="72">
        <v>2</v>
      </c>
      <c r="B185" s="70">
        <v>13.6875294943</v>
      </c>
      <c r="C185" s="69">
        <v>-89.192390739499999</v>
      </c>
      <c r="D185" s="71">
        <v>3600</v>
      </c>
      <c r="E185" s="19">
        <v>0</v>
      </c>
      <c r="F185" s="19">
        <f t="shared" si="4"/>
        <v>3600</v>
      </c>
      <c r="G185" s="20">
        <v>102</v>
      </c>
      <c r="H185" s="19" t="str">
        <f t="shared" si="5"/>
        <v>USD</v>
      </c>
      <c r="J185" s="5"/>
      <c r="K185" s="3"/>
      <c r="L185" s="3"/>
      <c r="M185" s="3"/>
      <c r="N185" s="3"/>
      <c r="O185" s="3"/>
    </row>
    <row r="186" spans="1:15" ht="15">
      <c r="A186" s="72">
        <v>2</v>
      </c>
      <c r="B186" s="70">
        <v>13.687529107</v>
      </c>
      <c r="C186" s="69">
        <v>-89.192390180800004</v>
      </c>
      <c r="D186" s="71">
        <v>3600</v>
      </c>
      <c r="E186" s="19">
        <v>0</v>
      </c>
      <c r="F186" s="19">
        <f t="shared" si="4"/>
        <v>3600</v>
      </c>
      <c r="G186" s="20">
        <v>102</v>
      </c>
      <c r="H186" s="19" t="str">
        <f t="shared" si="5"/>
        <v>USD</v>
      </c>
      <c r="J186" s="5"/>
      <c r="K186" s="3"/>
      <c r="L186" s="3"/>
      <c r="M186" s="3"/>
      <c r="N186" s="3"/>
      <c r="O186" s="3"/>
    </row>
    <row r="187" spans="1:15" ht="15">
      <c r="A187" s="72">
        <v>2</v>
      </c>
      <c r="B187" s="70">
        <v>13.6875251427</v>
      </c>
      <c r="C187" s="69">
        <v>-89.192347012599996</v>
      </c>
      <c r="D187" s="71">
        <v>3600</v>
      </c>
      <c r="E187" s="19">
        <v>0</v>
      </c>
      <c r="F187" s="19">
        <f t="shared" si="4"/>
        <v>3600</v>
      </c>
      <c r="G187" s="20">
        <v>102</v>
      </c>
      <c r="H187" s="19" t="str">
        <f t="shared" si="5"/>
        <v>USD</v>
      </c>
      <c r="J187" s="5"/>
      <c r="K187" s="3"/>
      <c r="L187" s="3"/>
      <c r="M187" s="3"/>
      <c r="N187" s="3"/>
      <c r="O187" s="3"/>
    </row>
    <row r="188" spans="1:15" ht="15">
      <c r="A188" s="72">
        <v>2</v>
      </c>
      <c r="B188" s="70">
        <v>13.687525124</v>
      </c>
      <c r="C188" s="69">
        <v>-89.192346617799998</v>
      </c>
      <c r="D188" s="71">
        <v>3600</v>
      </c>
      <c r="E188" s="19">
        <v>0</v>
      </c>
      <c r="F188" s="19">
        <f t="shared" si="4"/>
        <v>3600</v>
      </c>
      <c r="G188" s="20">
        <v>102</v>
      </c>
      <c r="H188" s="19" t="str">
        <f t="shared" si="5"/>
        <v>USD</v>
      </c>
      <c r="J188" s="5"/>
      <c r="K188" s="3"/>
      <c r="L188" s="3"/>
      <c r="M188" s="3"/>
      <c r="N188" s="3"/>
      <c r="O188" s="3"/>
    </row>
    <row r="189" spans="1:15" ht="15">
      <c r="A189" s="72">
        <v>2</v>
      </c>
      <c r="B189" s="70">
        <v>13.687519873999999</v>
      </c>
      <c r="C189" s="69">
        <v>-89.192311949900002</v>
      </c>
      <c r="D189" s="71">
        <v>3600</v>
      </c>
      <c r="E189" s="19">
        <v>0</v>
      </c>
      <c r="F189" s="19">
        <f t="shared" si="4"/>
        <v>3600</v>
      </c>
      <c r="G189" s="20">
        <v>102</v>
      </c>
      <c r="H189" s="19" t="str">
        <f t="shared" si="5"/>
        <v>USD</v>
      </c>
      <c r="J189" s="5"/>
      <c r="K189" s="3"/>
      <c r="L189" s="3"/>
      <c r="M189" s="3"/>
      <c r="N189" s="3"/>
      <c r="O189" s="3"/>
    </row>
    <row r="190" spans="1:15" ht="15">
      <c r="A190" s="72">
        <v>2</v>
      </c>
      <c r="B190" s="70">
        <v>13.687519802300001</v>
      </c>
      <c r="C190" s="69">
        <v>-89.192311198300004</v>
      </c>
      <c r="D190" s="71">
        <v>3600</v>
      </c>
      <c r="E190" s="19">
        <v>0</v>
      </c>
      <c r="F190" s="19">
        <f t="shared" si="4"/>
        <v>3600</v>
      </c>
      <c r="G190" s="20">
        <v>102</v>
      </c>
      <c r="H190" s="19" t="str">
        <f t="shared" si="5"/>
        <v>USD</v>
      </c>
      <c r="J190" s="5"/>
      <c r="K190" s="3"/>
      <c r="L190" s="3"/>
      <c r="M190" s="3"/>
      <c r="N190" s="3"/>
      <c r="O190" s="3"/>
    </row>
    <row r="191" spans="1:15" ht="15">
      <c r="A191" s="72">
        <v>2</v>
      </c>
      <c r="B191" s="70">
        <v>13.687514266000001</v>
      </c>
      <c r="C191" s="69">
        <v>-89.192258871099995</v>
      </c>
      <c r="D191" s="71">
        <v>3600</v>
      </c>
      <c r="E191" s="19">
        <v>0</v>
      </c>
      <c r="F191" s="19">
        <f t="shared" si="4"/>
        <v>3600</v>
      </c>
      <c r="G191" s="20">
        <v>102</v>
      </c>
      <c r="H191" s="19" t="str">
        <f t="shared" si="5"/>
        <v>USD</v>
      </c>
      <c r="J191" s="5"/>
      <c r="K191" s="3"/>
      <c r="L191" s="3"/>
      <c r="M191" s="3"/>
      <c r="N191" s="3"/>
      <c r="O191" s="3"/>
    </row>
    <row r="192" spans="1:15" ht="15">
      <c r="A192" s="72">
        <v>2</v>
      </c>
      <c r="B192" s="70">
        <v>13.687514241100001</v>
      </c>
      <c r="C192" s="69">
        <v>-89.192258349599996</v>
      </c>
      <c r="D192" s="71">
        <v>3600</v>
      </c>
      <c r="E192" s="19">
        <v>0</v>
      </c>
      <c r="F192" s="19">
        <f t="shared" si="4"/>
        <v>3600</v>
      </c>
      <c r="G192" s="20">
        <v>102</v>
      </c>
      <c r="H192" s="19" t="str">
        <f t="shared" si="5"/>
        <v>USD</v>
      </c>
      <c r="J192" s="5"/>
      <c r="K192" s="3"/>
      <c r="L192" s="3"/>
      <c r="M192" s="3"/>
      <c r="N192" s="3"/>
      <c r="O192" s="3"/>
    </row>
    <row r="193" spans="1:15" ht="15">
      <c r="A193" s="72">
        <v>2</v>
      </c>
      <c r="B193" s="70">
        <v>13.6875142768</v>
      </c>
      <c r="C193" s="69">
        <v>-89.192257827299997</v>
      </c>
      <c r="D193" s="71">
        <v>3600</v>
      </c>
      <c r="E193" s="19">
        <v>0</v>
      </c>
      <c r="F193" s="19">
        <f t="shared" si="4"/>
        <v>3600</v>
      </c>
      <c r="G193" s="20">
        <v>102</v>
      </c>
      <c r="H193" s="19" t="str">
        <f t="shared" si="5"/>
        <v>USD</v>
      </c>
      <c r="J193" s="5"/>
      <c r="K193" s="3"/>
      <c r="L193" s="3"/>
      <c r="M193" s="3"/>
      <c r="N193" s="3"/>
      <c r="O193" s="3"/>
    </row>
    <row r="194" spans="1:15" ht="15">
      <c r="A194" s="72">
        <v>2</v>
      </c>
      <c r="B194" s="70">
        <v>13.6875905359</v>
      </c>
      <c r="C194" s="69">
        <v>-89.192426960000006</v>
      </c>
      <c r="D194" s="71">
        <v>3600</v>
      </c>
      <c r="E194" s="19">
        <v>0</v>
      </c>
      <c r="F194" s="19">
        <f t="shared" si="4"/>
        <v>3600</v>
      </c>
      <c r="G194" s="20">
        <v>102</v>
      </c>
      <c r="H194" s="19" t="str">
        <f t="shared" si="5"/>
        <v>USD</v>
      </c>
      <c r="J194" s="5"/>
      <c r="K194" s="3"/>
      <c r="L194" s="3"/>
      <c r="M194" s="3"/>
      <c r="N194" s="3"/>
      <c r="O194" s="3"/>
    </row>
    <row r="195" spans="1:15" ht="15">
      <c r="A195" s="72">
        <v>2</v>
      </c>
      <c r="B195" s="70">
        <v>13.687623964</v>
      </c>
      <c r="C195" s="69">
        <v>-89.1923747349</v>
      </c>
      <c r="D195" s="71">
        <v>3600</v>
      </c>
      <c r="E195" s="19">
        <v>0</v>
      </c>
      <c r="F195" s="19">
        <f t="shared" ref="F195:F258" si="6">D195</f>
        <v>3600</v>
      </c>
      <c r="G195" s="20">
        <v>102</v>
      </c>
      <c r="H195" s="19" t="str">
        <f t="shared" ref="H195:H258" si="7">IF(OR(A195&lt;17,A195=21),"USD","people")</f>
        <v>USD</v>
      </c>
      <c r="J195" s="5"/>
      <c r="K195" s="3"/>
      <c r="L195" s="3"/>
      <c r="M195" s="3"/>
      <c r="N195" s="3"/>
      <c r="O195" s="3"/>
    </row>
    <row r="196" spans="1:15" ht="15">
      <c r="A196" s="72">
        <v>3</v>
      </c>
      <c r="B196" s="70">
        <v>13.6887536612</v>
      </c>
      <c r="C196" s="69">
        <v>-89.193107944999994</v>
      </c>
      <c r="D196" s="71">
        <v>1750</v>
      </c>
      <c r="E196" s="19">
        <v>0</v>
      </c>
      <c r="F196" s="19">
        <f t="shared" si="6"/>
        <v>1750</v>
      </c>
      <c r="G196" s="20">
        <v>103</v>
      </c>
      <c r="H196" s="19" t="str">
        <f t="shared" si="7"/>
        <v>USD</v>
      </c>
      <c r="J196" s="5"/>
      <c r="K196" s="3"/>
      <c r="L196" s="3"/>
      <c r="M196" s="3"/>
      <c r="N196" s="3"/>
      <c r="O196" s="3"/>
    </row>
    <row r="197" spans="1:15" ht="15">
      <c r="A197" s="72">
        <v>2</v>
      </c>
      <c r="B197" s="70">
        <v>13.689178893899999</v>
      </c>
      <c r="C197" s="69">
        <v>-89.192738480000003</v>
      </c>
      <c r="D197" s="71">
        <v>1750</v>
      </c>
      <c r="E197" s="19">
        <v>0</v>
      </c>
      <c r="F197" s="19">
        <f t="shared" si="6"/>
        <v>1750</v>
      </c>
      <c r="G197" s="20">
        <v>102</v>
      </c>
      <c r="H197" s="19" t="str">
        <f t="shared" si="7"/>
        <v>USD</v>
      </c>
      <c r="J197" s="5"/>
      <c r="K197" s="3"/>
      <c r="L197" s="3"/>
      <c r="M197" s="3"/>
      <c r="N197" s="3"/>
      <c r="O197" s="3"/>
    </row>
    <row r="198" spans="1:15" ht="15">
      <c r="A198" s="72">
        <v>1</v>
      </c>
      <c r="B198" s="70">
        <v>13.689183531299999</v>
      </c>
      <c r="C198" s="69">
        <v>-89.192924868700004</v>
      </c>
      <c r="D198" s="71">
        <v>1750</v>
      </c>
      <c r="E198" s="19">
        <v>0</v>
      </c>
      <c r="F198" s="19">
        <f t="shared" si="6"/>
        <v>1750</v>
      </c>
      <c r="G198" s="20">
        <v>101</v>
      </c>
      <c r="H198" s="19" t="str">
        <f t="shared" si="7"/>
        <v>USD</v>
      </c>
      <c r="J198" s="5"/>
      <c r="K198" s="3"/>
      <c r="L198" s="3"/>
      <c r="M198" s="3"/>
      <c r="N198" s="3"/>
      <c r="O198" s="3"/>
    </row>
    <row r="199" spans="1:15" ht="15">
      <c r="A199" s="72">
        <v>2</v>
      </c>
      <c r="B199" s="70">
        <v>13.6888443675</v>
      </c>
      <c r="C199" s="69">
        <v>-89.193420270299995</v>
      </c>
      <c r="D199" s="71">
        <v>1750</v>
      </c>
      <c r="E199" s="19">
        <v>0</v>
      </c>
      <c r="F199" s="19">
        <f t="shared" si="6"/>
        <v>1750</v>
      </c>
      <c r="G199" s="20">
        <v>102</v>
      </c>
      <c r="H199" s="19" t="str">
        <f t="shared" si="7"/>
        <v>USD</v>
      </c>
      <c r="J199" s="5"/>
      <c r="K199" s="3"/>
      <c r="L199" s="3"/>
      <c r="M199" s="3"/>
      <c r="N199" s="3"/>
      <c r="O199" s="3"/>
    </row>
    <row r="200" spans="1:15" ht="15">
      <c r="A200" s="72">
        <v>1</v>
      </c>
      <c r="B200" s="70">
        <v>13.688980235000001</v>
      </c>
      <c r="C200" s="69">
        <v>-89.193238766700006</v>
      </c>
      <c r="D200" s="71">
        <v>1750</v>
      </c>
      <c r="E200" s="19">
        <v>0</v>
      </c>
      <c r="F200" s="19">
        <f t="shared" si="6"/>
        <v>1750</v>
      </c>
      <c r="G200" s="20">
        <v>101</v>
      </c>
      <c r="H200" s="19" t="str">
        <f t="shared" si="7"/>
        <v>USD</v>
      </c>
      <c r="J200" s="5"/>
      <c r="K200" s="3"/>
      <c r="L200" s="3"/>
      <c r="M200" s="3"/>
      <c r="N200" s="3"/>
      <c r="O200" s="3"/>
    </row>
    <row r="201" spans="1:15" ht="15">
      <c r="A201" s="72">
        <v>2</v>
      </c>
      <c r="B201" s="70">
        <v>13.689042480499999</v>
      </c>
      <c r="C201" s="69">
        <v>-89.193158711699994</v>
      </c>
      <c r="D201" s="71">
        <v>1750</v>
      </c>
      <c r="E201" s="19">
        <v>0</v>
      </c>
      <c r="F201" s="19">
        <f t="shared" si="6"/>
        <v>1750</v>
      </c>
      <c r="G201" s="20">
        <v>102</v>
      </c>
      <c r="H201" s="19" t="str">
        <f t="shared" si="7"/>
        <v>USD</v>
      </c>
      <c r="J201" s="5"/>
      <c r="K201" s="3"/>
      <c r="L201" s="3"/>
      <c r="M201" s="3"/>
      <c r="N201" s="3"/>
      <c r="O201" s="3"/>
    </row>
    <row r="202" spans="1:15" ht="15">
      <c r="A202" s="72">
        <v>2</v>
      </c>
      <c r="B202" s="70">
        <v>13.689021582700001</v>
      </c>
      <c r="C202" s="69">
        <v>-89.193122005199996</v>
      </c>
      <c r="D202" s="71">
        <v>1750</v>
      </c>
      <c r="E202" s="19">
        <v>0</v>
      </c>
      <c r="F202" s="19">
        <f t="shared" si="6"/>
        <v>1750</v>
      </c>
      <c r="G202" s="20">
        <v>102</v>
      </c>
      <c r="H202" s="19" t="str">
        <f t="shared" si="7"/>
        <v>USD</v>
      </c>
      <c r="J202" s="5"/>
      <c r="K202" s="3"/>
      <c r="L202" s="3"/>
      <c r="M202" s="3"/>
      <c r="N202" s="3"/>
      <c r="O202" s="3"/>
    </row>
    <row r="203" spans="1:15" ht="15">
      <c r="A203" s="72">
        <v>2</v>
      </c>
      <c r="B203" s="70">
        <v>13.6890521043</v>
      </c>
      <c r="C203" s="69">
        <v>-89.193086563099996</v>
      </c>
      <c r="D203" s="71">
        <v>1750</v>
      </c>
      <c r="E203" s="19">
        <v>0</v>
      </c>
      <c r="F203" s="19">
        <f t="shared" si="6"/>
        <v>1750</v>
      </c>
      <c r="G203" s="20">
        <v>102</v>
      </c>
      <c r="H203" s="19" t="str">
        <f t="shared" si="7"/>
        <v>USD</v>
      </c>
      <c r="J203" s="5"/>
      <c r="K203" s="3"/>
      <c r="L203" s="3"/>
      <c r="M203" s="3"/>
      <c r="N203" s="3"/>
      <c r="O203" s="3"/>
    </row>
    <row r="204" spans="1:15" ht="15">
      <c r="A204" s="72">
        <v>2</v>
      </c>
      <c r="B204" s="70">
        <v>13.688999491300001</v>
      </c>
      <c r="C204" s="69">
        <v>-89.193082239600002</v>
      </c>
      <c r="D204" s="71">
        <v>1750</v>
      </c>
      <c r="E204" s="19">
        <v>0</v>
      </c>
      <c r="F204" s="19">
        <f t="shared" si="6"/>
        <v>1750</v>
      </c>
      <c r="G204" s="20">
        <v>102</v>
      </c>
      <c r="H204" s="19" t="str">
        <f t="shared" si="7"/>
        <v>USD</v>
      </c>
      <c r="J204" s="5"/>
      <c r="K204" s="3"/>
      <c r="L204" s="3"/>
      <c r="M204" s="3"/>
      <c r="N204" s="3"/>
      <c r="O204" s="3"/>
    </row>
    <row r="205" spans="1:15" ht="15">
      <c r="A205" s="72">
        <v>2</v>
      </c>
      <c r="B205" s="70">
        <v>13.6889393289</v>
      </c>
      <c r="C205" s="69">
        <v>-89.193132867599999</v>
      </c>
      <c r="D205" s="71">
        <v>1750</v>
      </c>
      <c r="E205" s="19">
        <v>0</v>
      </c>
      <c r="F205" s="19">
        <f t="shared" si="6"/>
        <v>1750</v>
      </c>
      <c r="G205" s="20">
        <v>102</v>
      </c>
      <c r="H205" s="19" t="str">
        <f t="shared" si="7"/>
        <v>USD</v>
      </c>
      <c r="J205" s="5"/>
      <c r="K205" s="3"/>
      <c r="L205" s="3"/>
      <c r="M205" s="3"/>
      <c r="N205" s="3"/>
      <c r="O205" s="3"/>
    </row>
    <row r="206" spans="1:15" ht="15">
      <c r="A206" s="72">
        <v>2</v>
      </c>
      <c r="B206" s="70">
        <v>13.6889786006</v>
      </c>
      <c r="C206" s="69">
        <v>-89.193036359600001</v>
      </c>
      <c r="D206" s="71">
        <v>1750</v>
      </c>
      <c r="E206" s="19">
        <v>0</v>
      </c>
      <c r="F206" s="19">
        <f t="shared" si="6"/>
        <v>1750</v>
      </c>
      <c r="G206" s="20">
        <v>102</v>
      </c>
      <c r="H206" s="19" t="str">
        <f t="shared" si="7"/>
        <v>USD</v>
      </c>
      <c r="J206" s="5"/>
      <c r="K206" s="3"/>
      <c r="L206" s="3"/>
      <c r="M206" s="3"/>
      <c r="N206" s="3"/>
      <c r="O206" s="3"/>
    </row>
    <row r="207" spans="1:15" ht="15">
      <c r="A207" s="72">
        <v>2</v>
      </c>
      <c r="B207" s="70">
        <v>13.688928906199999</v>
      </c>
      <c r="C207" s="69">
        <v>-89.193109372099997</v>
      </c>
      <c r="D207" s="71">
        <v>1750</v>
      </c>
      <c r="E207" s="19">
        <v>0</v>
      </c>
      <c r="F207" s="19">
        <f t="shared" si="6"/>
        <v>1750</v>
      </c>
      <c r="G207" s="20">
        <v>102</v>
      </c>
      <c r="H207" s="19" t="str">
        <f t="shared" si="7"/>
        <v>USD</v>
      </c>
      <c r="J207" s="5"/>
      <c r="K207" s="3"/>
      <c r="L207" s="3"/>
      <c r="M207" s="3"/>
      <c r="N207" s="3"/>
      <c r="O207" s="3"/>
    </row>
    <row r="208" spans="1:15" ht="15">
      <c r="A208" s="72">
        <v>2</v>
      </c>
      <c r="B208" s="70">
        <v>13.6889176383</v>
      </c>
      <c r="C208" s="69">
        <v>-89.193083533199996</v>
      </c>
      <c r="D208" s="71">
        <v>1750</v>
      </c>
      <c r="E208" s="19">
        <v>0</v>
      </c>
      <c r="F208" s="19">
        <f t="shared" si="6"/>
        <v>1750</v>
      </c>
      <c r="G208" s="20">
        <v>102</v>
      </c>
      <c r="H208" s="19" t="str">
        <f t="shared" si="7"/>
        <v>USD</v>
      </c>
      <c r="J208" s="5"/>
      <c r="K208" s="3"/>
      <c r="L208" s="3"/>
      <c r="M208" s="3"/>
      <c r="N208" s="3"/>
      <c r="O208" s="3"/>
    </row>
    <row r="209" spans="1:15" ht="15">
      <c r="A209" s="72">
        <v>2</v>
      </c>
      <c r="B209" s="70">
        <v>13.689118738099999</v>
      </c>
      <c r="C209" s="69">
        <v>-89.193007905800002</v>
      </c>
      <c r="D209" s="71">
        <v>1750</v>
      </c>
      <c r="E209" s="19">
        <v>0</v>
      </c>
      <c r="F209" s="19">
        <f t="shared" si="6"/>
        <v>1750</v>
      </c>
      <c r="G209" s="20">
        <v>102</v>
      </c>
      <c r="H209" s="19" t="str">
        <f t="shared" si="7"/>
        <v>USD</v>
      </c>
      <c r="J209" s="5"/>
      <c r="K209" s="3"/>
      <c r="L209" s="3"/>
      <c r="M209" s="3"/>
      <c r="N209" s="3"/>
      <c r="O209" s="3"/>
    </row>
    <row r="210" spans="1:15" ht="15">
      <c r="A210" s="72">
        <v>2</v>
      </c>
      <c r="B210" s="70">
        <v>13.6890092709</v>
      </c>
      <c r="C210" s="69">
        <v>-89.192919760400002</v>
      </c>
      <c r="D210" s="71">
        <v>1750</v>
      </c>
      <c r="E210" s="19">
        <v>0</v>
      </c>
      <c r="F210" s="19">
        <f t="shared" si="6"/>
        <v>1750</v>
      </c>
      <c r="G210" s="20">
        <v>102</v>
      </c>
      <c r="H210" s="19" t="str">
        <f t="shared" si="7"/>
        <v>USD</v>
      </c>
      <c r="J210" s="5"/>
      <c r="K210" s="3"/>
      <c r="L210" s="3"/>
      <c r="M210" s="3"/>
      <c r="N210" s="3"/>
      <c r="O210" s="3"/>
    </row>
    <row r="211" spans="1:15" ht="15">
      <c r="A211" s="72">
        <v>2</v>
      </c>
      <c r="B211" s="70">
        <v>13.6891140808</v>
      </c>
      <c r="C211" s="69">
        <v>-89.192846955799993</v>
      </c>
      <c r="D211" s="71">
        <v>1750</v>
      </c>
      <c r="E211" s="19">
        <v>0</v>
      </c>
      <c r="F211" s="19">
        <f t="shared" si="6"/>
        <v>1750</v>
      </c>
      <c r="G211" s="20">
        <v>102</v>
      </c>
      <c r="H211" s="19" t="str">
        <f t="shared" si="7"/>
        <v>USD</v>
      </c>
      <c r="J211" s="5"/>
      <c r="K211" s="3"/>
      <c r="L211" s="3"/>
      <c r="M211" s="3"/>
      <c r="N211" s="3"/>
      <c r="O211" s="3"/>
    </row>
    <row r="212" spans="1:15" ht="15">
      <c r="A212" s="72">
        <v>2</v>
      </c>
      <c r="B212" s="70">
        <v>13.6886709237</v>
      </c>
      <c r="C212" s="69">
        <v>-89.1930707052</v>
      </c>
      <c r="D212" s="71">
        <v>1750</v>
      </c>
      <c r="E212" s="19">
        <v>0</v>
      </c>
      <c r="F212" s="19">
        <f t="shared" si="6"/>
        <v>1750</v>
      </c>
      <c r="G212" s="20">
        <v>102</v>
      </c>
      <c r="H212" s="19" t="str">
        <f t="shared" si="7"/>
        <v>USD</v>
      </c>
      <c r="J212" s="5"/>
      <c r="K212" s="3"/>
      <c r="L212" s="3"/>
      <c r="M212" s="3"/>
      <c r="N212" s="3"/>
      <c r="O212" s="3"/>
    </row>
    <row r="213" spans="1:15" ht="15">
      <c r="A213" s="72">
        <v>2</v>
      </c>
      <c r="B213" s="70">
        <v>13.6886455407</v>
      </c>
      <c r="C213" s="69">
        <v>-89.193034912100003</v>
      </c>
      <c r="D213" s="71">
        <v>1750</v>
      </c>
      <c r="E213" s="19">
        <v>0</v>
      </c>
      <c r="F213" s="19">
        <f t="shared" si="6"/>
        <v>1750</v>
      </c>
      <c r="G213" s="20">
        <v>102</v>
      </c>
      <c r="H213" s="19" t="str">
        <f t="shared" si="7"/>
        <v>USD</v>
      </c>
      <c r="J213" s="5"/>
      <c r="K213" s="3"/>
      <c r="L213" s="3"/>
      <c r="M213" s="3"/>
      <c r="N213" s="3"/>
      <c r="O213" s="3"/>
    </row>
    <row r="214" spans="1:15" ht="15">
      <c r="A214" s="72">
        <v>2</v>
      </c>
      <c r="B214" s="70">
        <v>13.688668223700001</v>
      </c>
      <c r="C214" s="69">
        <v>-89.193235196000003</v>
      </c>
      <c r="D214" s="71">
        <v>1750</v>
      </c>
      <c r="E214" s="19">
        <v>0</v>
      </c>
      <c r="F214" s="19">
        <f t="shared" si="6"/>
        <v>1750</v>
      </c>
      <c r="G214" s="20">
        <v>102</v>
      </c>
      <c r="H214" s="19" t="str">
        <f t="shared" si="7"/>
        <v>USD</v>
      </c>
      <c r="J214" s="5"/>
      <c r="K214" s="3"/>
      <c r="L214" s="3"/>
      <c r="M214" s="3"/>
      <c r="N214" s="3"/>
      <c r="O214" s="3"/>
    </row>
    <row r="215" spans="1:15" ht="15">
      <c r="A215" s="72">
        <v>2</v>
      </c>
      <c r="B215" s="70">
        <v>13.688657149300001</v>
      </c>
      <c r="C215" s="69">
        <v>-89.193205835100002</v>
      </c>
      <c r="D215" s="71">
        <v>1750</v>
      </c>
      <c r="E215" s="19">
        <v>0</v>
      </c>
      <c r="F215" s="19">
        <f t="shared" si="6"/>
        <v>1750</v>
      </c>
      <c r="G215" s="20">
        <v>102</v>
      </c>
      <c r="H215" s="19" t="str">
        <f t="shared" si="7"/>
        <v>USD</v>
      </c>
      <c r="J215" s="5"/>
      <c r="K215" s="3"/>
      <c r="L215" s="3"/>
      <c r="M215" s="3"/>
      <c r="N215" s="3"/>
      <c r="O215" s="3"/>
    </row>
    <row r="216" spans="1:15" ht="15">
      <c r="A216" s="72">
        <v>2</v>
      </c>
      <c r="B216" s="70">
        <v>13.6886428243</v>
      </c>
      <c r="C216" s="69">
        <v>-89.193174319400001</v>
      </c>
      <c r="D216" s="71">
        <v>1750</v>
      </c>
      <c r="E216" s="19">
        <v>0</v>
      </c>
      <c r="F216" s="19">
        <f t="shared" si="6"/>
        <v>1750</v>
      </c>
      <c r="G216" s="20">
        <v>102</v>
      </c>
      <c r="H216" s="19" t="str">
        <f t="shared" si="7"/>
        <v>USD</v>
      </c>
      <c r="J216" s="5"/>
      <c r="K216" s="3"/>
      <c r="L216" s="3"/>
      <c r="M216" s="3"/>
      <c r="N216" s="3"/>
      <c r="O216" s="3"/>
    </row>
    <row r="217" spans="1:15" ht="15">
      <c r="A217" s="72">
        <v>2</v>
      </c>
      <c r="B217" s="70">
        <v>13.6886342335</v>
      </c>
      <c r="C217" s="69">
        <v>-89.193150047900005</v>
      </c>
      <c r="D217" s="71">
        <v>1750</v>
      </c>
      <c r="E217" s="19">
        <v>0</v>
      </c>
      <c r="F217" s="19">
        <f t="shared" si="6"/>
        <v>1750</v>
      </c>
      <c r="G217" s="20">
        <v>102</v>
      </c>
      <c r="H217" s="19" t="str">
        <f t="shared" si="7"/>
        <v>USD</v>
      </c>
      <c r="J217" s="5"/>
      <c r="K217" s="3"/>
      <c r="L217" s="3"/>
      <c r="M217" s="3"/>
      <c r="N217" s="3"/>
      <c r="O217" s="3"/>
    </row>
    <row r="218" spans="1:15" ht="15">
      <c r="A218" s="72">
        <v>2</v>
      </c>
      <c r="B218" s="70">
        <v>13.688629283199999</v>
      </c>
      <c r="C218" s="69">
        <v>-89.193118343799995</v>
      </c>
      <c r="D218" s="71">
        <v>1750</v>
      </c>
      <c r="E218" s="19">
        <v>0</v>
      </c>
      <c r="F218" s="19">
        <f t="shared" si="6"/>
        <v>1750</v>
      </c>
      <c r="G218" s="20">
        <v>102</v>
      </c>
      <c r="H218" s="19" t="str">
        <f t="shared" si="7"/>
        <v>USD</v>
      </c>
      <c r="J218" s="5"/>
      <c r="K218" s="3"/>
      <c r="L218" s="3"/>
      <c r="M218" s="3"/>
      <c r="N218" s="3"/>
      <c r="O218" s="3"/>
    </row>
    <row r="219" spans="1:15" ht="15">
      <c r="A219" s="72">
        <v>2</v>
      </c>
      <c r="B219" s="70">
        <v>13.688620309299999</v>
      </c>
      <c r="C219" s="69">
        <v>-89.193095051</v>
      </c>
      <c r="D219" s="71">
        <v>1750</v>
      </c>
      <c r="E219" s="19">
        <v>0</v>
      </c>
      <c r="F219" s="19">
        <f t="shared" si="6"/>
        <v>1750</v>
      </c>
      <c r="G219" s="20">
        <v>102</v>
      </c>
      <c r="H219" s="19" t="str">
        <f t="shared" si="7"/>
        <v>USD</v>
      </c>
      <c r="J219" s="5"/>
      <c r="K219" s="3"/>
      <c r="L219" s="3"/>
      <c r="M219" s="3"/>
      <c r="N219" s="3"/>
      <c r="O219" s="3"/>
    </row>
    <row r="220" spans="1:15" ht="15">
      <c r="A220" s="72">
        <v>2</v>
      </c>
      <c r="B220" s="70">
        <v>13.688605985700001</v>
      </c>
      <c r="C220" s="69">
        <v>-89.193061773300002</v>
      </c>
      <c r="D220" s="71">
        <v>1750</v>
      </c>
      <c r="E220" s="19">
        <v>0</v>
      </c>
      <c r="F220" s="19">
        <f t="shared" si="6"/>
        <v>1750</v>
      </c>
      <c r="G220" s="20">
        <v>102</v>
      </c>
      <c r="H220" s="19" t="str">
        <f t="shared" si="7"/>
        <v>USD</v>
      </c>
      <c r="J220" s="5"/>
      <c r="K220" s="3"/>
      <c r="L220" s="3"/>
      <c r="M220" s="3"/>
      <c r="N220" s="3"/>
      <c r="O220" s="3"/>
    </row>
    <row r="221" spans="1:15" ht="15">
      <c r="A221" s="72">
        <v>1</v>
      </c>
      <c r="B221" s="70">
        <v>13.688599164699999</v>
      </c>
      <c r="C221" s="69">
        <v>-89.193362012999998</v>
      </c>
      <c r="D221" s="71">
        <v>1750</v>
      </c>
      <c r="E221" s="19">
        <v>0</v>
      </c>
      <c r="F221" s="19">
        <f t="shared" si="6"/>
        <v>1750</v>
      </c>
      <c r="G221" s="20">
        <v>101</v>
      </c>
      <c r="H221" s="19" t="str">
        <f t="shared" si="7"/>
        <v>USD</v>
      </c>
      <c r="J221" s="5"/>
      <c r="K221" s="3"/>
      <c r="L221" s="3"/>
      <c r="M221" s="3"/>
      <c r="N221" s="3"/>
      <c r="O221" s="3"/>
    </row>
    <row r="222" spans="1:15" ht="15">
      <c r="A222" s="72">
        <v>2</v>
      </c>
      <c r="B222" s="70">
        <v>13.688541296</v>
      </c>
      <c r="C222" s="69">
        <v>-89.193351202800002</v>
      </c>
      <c r="D222" s="71">
        <v>1750</v>
      </c>
      <c r="E222" s="19">
        <v>0</v>
      </c>
      <c r="F222" s="19">
        <f t="shared" si="6"/>
        <v>1750</v>
      </c>
      <c r="G222" s="20">
        <v>102</v>
      </c>
      <c r="H222" s="19" t="str">
        <f t="shared" si="7"/>
        <v>USD</v>
      </c>
      <c r="J222" s="5"/>
      <c r="K222" s="3"/>
      <c r="L222" s="3"/>
      <c r="M222" s="3"/>
      <c r="N222" s="3"/>
      <c r="O222" s="3"/>
    </row>
    <row r="223" spans="1:15" ht="15">
      <c r="A223" s="72">
        <v>2</v>
      </c>
      <c r="B223" s="70">
        <v>13.688523202600001</v>
      </c>
      <c r="C223" s="69">
        <v>-89.193244787400005</v>
      </c>
      <c r="D223" s="71">
        <v>1750</v>
      </c>
      <c r="E223" s="19">
        <v>0</v>
      </c>
      <c r="F223" s="19">
        <f t="shared" si="6"/>
        <v>1750</v>
      </c>
      <c r="G223" s="20">
        <v>102</v>
      </c>
      <c r="H223" s="19" t="str">
        <f t="shared" si="7"/>
        <v>USD</v>
      </c>
      <c r="J223" s="5"/>
      <c r="K223" s="3"/>
      <c r="L223" s="3"/>
      <c r="M223" s="3"/>
      <c r="N223" s="3"/>
      <c r="O223" s="3"/>
    </row>
    <row r="224" spans="1:15" ht="15">
      <c r="A224" s="72">
        <v>1</v>
      </c>
      <c r="B224" s="70">
        <v>13.688433379299999</v>
      </c>
      <c r="C224" s="69">
        <v>-89.193267339000002</v>
      </c>
      <c r="D224" s="71">
        <v>1750</v>
      </c>
      <c r="E224" s="19">
        <v>0</v>
      </c>
      <c r="F224" s="19">
        <f t="shared" si="6"/>
        <v>1750</v>
      </c>
      <c r="G224" s="20">
        <v>101</v>
      </c>
      <c r="H224" s="19" t="str">
        <f t="shared" si="7"/>
        <v>USD</v>
      </c>
      <c r="J224" s="5"/>
      <c r="K224" s="3"/>
      <c r="L224" s="3"/>
      <c r="M224" s="3"/>
      <c r="N224" s="3"/>
      <c r="O224" s="3"/>
    </row>
    <row r="225" spans="1:15" ht="15">
      <c r="A225" s="72">
        <v>2</v>
      </c>
      <c r="B225" s="70">
        <v>13.6868638708</v>
      </c>
      <c r="C225" s="69">
        <v>-89.193740699700001</v>
      </c>
      <c r="D225" s="71">
        <v>2800</v>
      </c>
      <c r="E225" s="19">
        <v>0</v>
      </c>
      <c r="F225" s="19">
        <f t="shared" si="6"/>
        <v>2800</v>
      </c>
      <c r="G225" s="20">
        <v>102</v>
      </c>
      <c r="H225" s="19" t="str">
        <f t="shared" si="7"/>
        <v>USD</v>
      </c>
      <c r="J225" s="5"/>
      <c r="K225" s="3"/>
      <c r="L225" s="3"/>
      <c r="M225" s="3"/>
      <c r="N225" s="3"/>
      <c r="O225" s="3"/>
    </row>
    <row r="226" spans="1:15" ht="15">
      <c r="A226" s="72">
        <v>2</v>
      </c>
      <c r="B226" s="70">
        <v>13.6867778212</v>
      </c>
      <c r="C226" s="69">
        <v>-89.193607323699993</v>
      </c>
      <c r="D226" s="71">
        <v>2800</v>
      </c>
      <c r="E226" s="19">
        <v>0</v>
      </c>
      <c r="F226" s="19">
        <f t="shared" si="6"/>
        <v>2800</v>
      </c>
      <c r="G226" s="20">
        <v>102</v>
      </c>
      <c r="H226" s="19" t="str">
        <f t="shared" si="7"/>
        <v>USD</v>
      </c>
      <c r="J226" s="5"/>
      <c r="K226" s="3"/>
      <c r="L226" s="3"/>
      <c r="M226" s="3"/>
      <c r="N226" s="3"/>
      <c r="O226" s="3"/>
    </row>
    <row r="227" spans="1:15" ht="15">
      <c r="A227" s="72">
        <v>2</v>
      </c>
      <c r="B227" s="70">
        <v>13.6867520358</v>
      </c>
      <c r="C227" s="69">
        <v>-89.193551167400003</v>
      </c>
      <c r="D227" s="71">
        <v>2800</v>
      </c>
      <c r="E227" s="19">
        <v>0</v>
      </c>
      <c r="F227" s="19">
        <f t="shared" si="6"/>
        <v>2800</v>
      </c>
      <c r="G227" s="20">
        <v>102</v>
      </c>
      <c r="H227" s="19" t="str">
        <f t="shared" si="7"/>
        <v>USD</v>
      </c>
      <c r="J227" s="5"/>
      <c r="K227" s="3"/>
      <c r="L227" s="3"/>
      <c r="M227" s="3"/>
      <c r="N227" s="3"/>
      <c r="O227" s="3"/>
    </row>
    <row r="228" spans="1:15" ht="15">
      <c r="A228" s="72">
        <v>2</v>
      </c>
      <c r="B228" s="70">
        <v>13.686720151399999</v>
      </c>
      <c r="C228" s="69">
        <v>-89.193495373199994</v>
      </c>
      <c r="D228" s="71">
        <v>2800</v>
      </c>
      <c r="E228" s="19">
        <v>0</v>
      </c>
      <c r="F228" s="19">
        <f t="shared" si="6"/>
        <v>2800</v>
      </c>
      <c r="G228" s="20">
        <v>102</v>
      </c>
      <c r="H228" s="19" t="str">
        <f t="shared" si="7"/>
        <v>USD</v>
      </c>
      <c r="J228" s="5"/>
      <c r="K228" s="3"/>
      <c r="L228" s="3"/>
      <c r="M228" s="3"/>
      <c r="N228" s="3"/>
      <c r="O228" s="3"/>
    </row>
    <row r="229" spans="1:15" ht="15">
      <c r="A229" s="72">
        <v>2</v>
      </c>
      <c r="B229" s="70">
        <v>13.6866975746</v>
      </c>
      <c r="C229" s="69">
        <v>-89.193464902000002</v>
      </c>
      <c r="D229" s="71">
        <v>2800</v>
      </c>
      <c r="E229" s="19">
        <v>0</v>
      </c>
      <c r="F229" s="19">
        <f t="shared" si="6"/>
        <v>2800</v>
      </c>
      <c r="G229" s="20">
        <v>102</v>
      </c>
      <c r="H229" s="19" t="str">
        <f t="shared" si="7"/>
        <v>USD</v>
      </c>
      <c r="J229" s="5"/>
      <c r="K229" s="3"/>
      <c r="L229" s="3"/>
      <c r="M229" s="3"/>
      <c r="N229" s="3"/>
      <c r="O229" s="3"/>
    </row>
    <row r="230" spans="1:15" ht="15">
      <c r="A230" s="72">
        <v>2</v>
      </c>
      <c r="B230" s="70">
        <v>13.686744952</v>
      </c>
      <c r="C230" s="69">
        <v>-89.193435956499997</v>
      </c>
      <c r="D230" s="71">
        <v>2800</v>
      </c>
      <c r="E230" s="19">
        <v>0</v>
      </c>
      <c r="F230" s="19">
        <f t="shared" si="6"/>
        <v>2800</v>
      </c>
      <c r="G230" s="20">
        <v>102</v>
      </c>
      <c r="H230" s="19" t="str">
        <f t="shared" si="7"/>
        <v>USD</v>
      </c>
      <c r="J230" s="5"/>
      <c r="K230" s="3"/>
      <c r="L230" s="3"/>
      <c r="M230" s="3"/>
      <c r="N230" s="3"/>
      <c r="O230" s="3"/>
    </row>
    <row r="231" spans="1:15" ht="15">
      <c r="A231" s="72">
        <v>2</v>
      </c>
      <c r="B231" s="70">
        <v>13.686759989800001</v>
      </c>
      <c r="C231" s="69">
        <v>-89.193472658800005</v>
      </c>
      <c r="D231" s="71">
        <v>2800</v>
      </c>
      <c r="E231" s="19">
        <v>0</v>
      </c>
      <c r="F231" s="19">
        <f t="shared" si="6"/>
        <v>2800</v>
      </c>
      <c r="G231" s="20">
        <v>102</v>
      </c>
      <c r="H231" s="19" t="str">
        <f t="shared" si="7"/>
        <v>USD</v>
      </c>
      <c r="J231" s="5"/>
      <c r="K231" s="3"/>
      <c r="L231" s="3"/>
      <c r="M231" s="3"/>
      <c r="N231" s="3"/>
      <c r="O231" s="3"/>
    </row>
    <row r="232" spans="1:15" ht="15">
      <c r="A232" s="72">
        <v>2</v>
      </c>
      <c r="B232" s="70">
        <v>13.6867783134</v>
      </c>
      <c r="C232" s="69">
        <v>-89.193437818000007</v>
      </c>
      <c r="D232" s="71">
        <v>2800</v>
      </c>
      <c r="E232" s="19">
        <v>0</v>
      </c>
      <c r="F232" s="19">
        <f t="shared" si="6"/>
        <v>2800</v>
      </c>
      <c r="G232" s="20">
        <v>102</v>
      </c>
      <c r="H232" s="19" t="str">
        <f t="shared" si="7"/>
        <v>USD</v>
      </c>
      <c r="J232" s="5"/>
      <c r="K232" s="3"/>
      <c r="L232" s="3"/>
      <c r="M232" s="3"/>
      <c r="N232" s="3"/>
      <c r="O232" s="3"/>
    </row>
    <row r="233" spans="1:15" ht="15">
      <c r="A233" s="72">
        <v>2</v>
      </c>
      <c r="B233" s="70">
        <v>13.6868138551</v>
      </c>
      <c r="C233" s="69">
        <v>-89.1934051944</v>
      </c>
      <c r="D233" s="71">
        <v>2800</v>
      </c>
      <c r="E233" s="19">
        <v>0</v>
      </c>
      <c r="F233" s="19">
        <f t="shared" si="6"/>
        <v>2800</v>
      </c>
      <c r="G233" s="20">
        <v>102</v>
      </c>
      <c r="H233" s="19" t="str">
        <f t="shared" si="7"/>
        <v>USD</v>
      </c>
      <c r="J233" s="5"/>
      <c r="K233" s="3"/>
      <c r="L233" s="3"/>
      <c r="M233" s="3"/>
      <c r="N233" s="3"/>
      <c r="O233" s="3"/>
    </row>
    <row r="234" spans="1:15" ht="15">
      <c r="A234" s="72">
        <v>2</v>
      </c>
      <c r="B234" s="70">
        <v>13.6870032953</v>
      </c>
      <c r="C234" s="69">
        <v>-89.193375631600006</v>
      </c>
      <c r="D234" s="71">
        <v>2800</v>
      </c>
      <c r="E234" s="19">
        <v>0</v>
      </c>
      <c r="F234" s="19">
        <f t="shared" si="6"/>
        <v>2800</v>
      </c>
      <c r="G234" s="20">
        <v>102</v>
      </c>
      <c r="H234" s="19" t="str">
        <f t="shared" si="7"/>
        <v>USD</v>
      </c>
      <c r="J234" s="5"/>
      <c r="K234" s="3"/>
      <c r="L234" s="3"/>
      <c r="M234" s="3"/>
      <c r="N234" s="3"/>
      <c r="O234" s="3"/>
    </row>
    <row r="235" spans="1:15" ht="15">
      <c r="A235" s="72">
        <v>2</v>
      </c>
      <c r="B235" s="70">
        <v>13.686960667199999</v>
      </c>
      <c r="C235" s="69">
        <v>-89.193296346400004</v>
      </c>
      <c r="D235" s="71">
        <v>2800</v>
      </c>
      <c r="E235" s="19">
        <v>0</v>
      </c>
      <c r="F235" s="19">
        <f t="shared" si="6"/>
        <v>2800</v>
      </c>
      <c r="G235" s="20">
        <v>102</v>
      </c>
      <c r="H235" s="19" t="str">
        <f t="shared" si="7"/>
        <v>USD</v>
      </c>
      <c r="J235" s="5"/>
      <c r="K235" s="3"/>
      <c r="L235" s="3"/>
      <c r="M235" s="3"/>
      <c r="N235" s="3"/>
      <c r="O235" s="3"/>
    </row>
    <row r="236" spans="1:15" ht="15">
      <c r="A236" s="72">
        <v>2</v>
      </c>
      <c r="B236" s="70">
        <v>13.6869358821</v>
      </c>
      <c r="C236" s="69">
        <v>-89.193335951099996</v>
      </c>
      <c r="D236" s="71">
        <v>2800</v>
      </c>
      <c r="E236" s="19">
        <v>0</v>
      </c>
      <c r="F236" s="19">
        <f t="shared" si="6"/>
        <v>2800</v>
      </c>
      <c r="G236" s="20">
        <v>102</v>
      </c>
      <c r="H236" s="19" t="str">
        <f t="shared" si="7"/>
        <v>USD</v>
      </c>
      <c r="J236" s="5"/>
      <c r="K236" s="3"/>
      <c r="L236" s="3"/>
      <c r="M236" s="3"/>
      <c r="N236" s="3"/>
      <c r="O236" s="3"/>
    </row>
    <row r="237" spans="1:15" ht="15">
      <c r="A237" s="72">
        <v>2</v>
      </c>
      <c r="B237" s="70">
        <v>13.687089905300001</v>
      </c>
      <c r="C237" s="69">
        <v>-89.193333448600001</v>
      </c>
      <c r="D237" s="71">
        <v>2800</v>
      </c>
      <c r="E237" s="19">
        <v>0</v>
      </c>
      <c r="F237" s="19">
        <f t="shared" si="6"/>
        <v>2800</v>
      </c>
      <c r="G237" s="20">
        <v>102</v>
      </c>
      <c r="H237" s="19" t="str">
        <f t="shared" si="7"/>
        <v>USD</v>
      </c>
      <c r="J237" s="5"/>
      <c r="K237" s="3"/>
      <c r="L237" s="3"/>
      <c r="M237" s="3"/>
      <c r="N237" s="3"/>
      <c r="O237" s="3"/>
    </row>
    <row r="238" spans="1:15" ht="15">
      <c r="A238" s="72">
        <v>2</v>
      </c>
      <c r="B238" s="70">
        <v>13.687275788799999</v>
      </c>
      <c r="C238" s="69">
        <v>-89.193417376100001</v>
      </c>
      <c r="D238" s="71">
        <v>2800</v>
      </c>
      <c r="E238" s="19">
        <v>0</v>
      </c>
      <c r="F238" s="19">
        <f t="shared" si="6"/>
        <v>2800</v>
      </c>
      <c r="G238" s="20">
        <v>102</v>
      </c>
      <c r="H238" s="19" t="str">
        <f t="shared" si="7"/>
        <v>USD</v>
      </c>
      <c r="J238" s="5"/>
      <c r="K238" s="3"/>
      <c r="L238" s="3"/>
      <c r="M238" s="3"/>
      <c r="N238" s="3"/>
      <c r="O238" s="3"/>
    </row>
    <row r="239" spans="1:15" ht="15">
      <c r="A239" s="72">
        <v>2</v>
      </c>
      <c r="B239" s="70">
        <v>13.687193212</v>
      </c>
      <c r="C239" s="69">
        <v>-89.193501082799997</v>
      </c>
      <c r="D239" s="71">
        <v>2800</v>
      </c>
      <c r="E239" s="19">
        <v>0</v>
      </c>
      <c r="F239" s="19">
        <f t="shared" si="6"/>
        <v>2800</v>
      </c>
      <c r="G239" s="20">
        <v>102</v>
      </c>
      <c r="H239" s="19" t="str">
        <f t="shared" si="7"/>
        <v>USD</v>
      </c>
      <c r="J239" s="5"/>
      <c r="K239" s="3"/>
      <c r="L239" s="3"/>
      <c r="M239" s="3"/>
      <c r="N239" s="3"/>
      <c r="O239" s="3"/>
    </row>
    <row r="240" spans="1:15" ht="15">
      <c r="A240" s="72">
        <v>2</v>
      </c>
      <c r="B240" s="70">
        <v>13.6872213044</v>
      </c>
      <c r="C240" s="69">
        <v>-89.193513335600002</v>
      </c>
      <c r="D240" s="71">
        <v>2800</v>
      </c>
      <c r="E240" s="19">
        <v>0</v>
      </c>
      <c r="F240" s="19">
        <f t="shared" si="6"/>
        <v>2800</v>
      </c>
      <c r="G240" s="20">
        <v>102</v>
      </c>
      <c r="H240" s="19" t="str">
        <f t="shared" si="7"/>
        <v>USD</v>
      </c>
      <c r="J240" s="5"/>
      <c r="K240" s="3"/>
      <c r="L240" s="3"/>
      <c r="M240" s="3"/>
      <c r="N240" s="3"/>
      <c r="O240" s="3"/>
    </row>
    <row r="241" spans="1:15" ht="15">
      <c r="A241" s="72">
        <v>2</v>
      </c>
      <c r="B241" s="70">
        <v>13.6872571408</v>
      </c>
      <c r="C241" s="69">
        <v>-89.193561061699995</v>
      </c>
      <c r="D241" s="71">
        <v>2800</v>
      </c>
      <c r="E241" s="19">
        <v>0</v>
      </c>
      <c r="F241" s="19">
        <f t="shared" si="6"/>
        <v>2800</v>
      </c>
      <c r="G241" s="20">
        <v>102</v>
      </c>
      <c r="H241" s="19" t="str">
        <f t="shared" si="7"/>
        <v>USD</v>
      </c>
      <c r="J241" s="5"/>
      <c r="K241" s="3"/>
      <c r="L241" s="3"/>
      <c r="M241" s="3"/>
      <c r="N241" s="3"/>
      <c r="O241" s="3"/>
    </row>
    <row r="242" spans="1:15" ht="15">
      <c r="A242" s="72">
        <v>2</v>
      </c>
      <c r="B242" s="70">
        <v>13.687223640399999</v>
      </c>
      <c r="C242" s="69">
        <v>-89.193583047399997</v>
      </c>
      <c r="D242" s="71">
        <v>2800</v>
      </c>
      <c r="E242" s="19">
        <v>0</v>
      </c>
      <c r="F242" s="19">
        <f t="shared" si="6"/>
        <v>2800</v>
      </c>
      <c r="G242" s="20">
        <v>102</v>
      </c>
      <c r="H242" s="19" t="str">
        <f t="shared" si="7"/>
        <v>USD</v>
      </c>
      <c r="J242" s="5"/>
      <c r="K242" s="3"/>
      <c r="L242" s="3"/>
      <c r="M242" s="3"/>
      <c r="N242" s="3"/>
      <c r="O242" s="3"/>
    </row>
    <row r="243" spans="1:15" ht="15">
      <c r="A243" s="72">
        <v>2</v>
      </c>
      <c r="B243" s="70">
        <v>13.6871973124</v>
      </c>
      <c r="C243" s="69">
        <v>-89.193608709100005</v>
      </c>
      <c r="D243" s="71">
        <v>2800</v>
      </c>
      <c r="E243" s="19">
        <v>0</v>
      </c>
      <c r="F243" s="19">
        <f t="shared" si="6"/>
        <v>2800</v>
      </c>
      <c r="G243" s="20">
        <v>102</v>
      </c>
      <c r="H243" s="19" t="str">
        <f t="shared" si="7"/>
        <v>USD</v>
      </c>
      <c r="J243" s="5"/>
      <c r="K243" s="3"/>
      <c r="L243" s="3"/>
      <c r="M243" s="3"/>
      <c r="N243" s="3"/>
      <c r="O243" s="3"/>
    </row>
    <row r="244" spans="1:15" ht="15">
      <c r="A244" s="72">
        <v>2</v>
      </c>
      <c r="B244" s="70">
        <v>13.6871572496</v>
      </c>
      <c r="C244" s="69">
        <v>-89.193612344300007</v>
      </c>
      <c r="D244" s="71">
        <v>2800</v>
      </c>
      <c r="E244" s="19">
        <v>0</v>
      </c>
      <c r="F244" s="19">
        <f t="shared" si="6"/>
        <v>2800</v>
      </c>
      <c r="G244" s="20">
        <v>102</v>
      </c>
      <c r="H244" s="19" t="str">
        <f t="shared" si="7"/>
        <v>USD</v>
      </c>
      <c r="J244" s="5"/>
      <c r="K244" s="3"/>
      <c r="L244" s="3"/>
      <c r="M244" s="3"/>
      <c r="N244" s="3"/>
      <c r="O244" s="3"/>
    </row>
    <row r="245" spans="1:15" ht="15">
      <c r="A245" s="72">
        <v>2</v>
      </c>
      <c r="B245" s="70">
        <v>13.6870843169</v>
      </c>
      <c r="C245" s="69">
        <v>-89.193596997399993</v>
      </c>
      <c r="D245" s="71">
        <v>2800</v>
      </c>
      <c r="E245" s="19">
        <v>0</v>
      </c>
      <c r="F245" s="19">
        <f t="shared" si="6"/>
        <v>2800</v>
      </c>
      <c r="G245" s="20">
        <v>102</v>
      </c>
      <c r="H245" s="19" t="str">
        <f t="shared" si="7"/>
        <v>USD</v>
      </c>
      <c r="J245" s="5"/>
      <c r="K245" s="3"/>
      <c r="L245" s="3"/>
      <c r="M245" s="3"/>
      <c r="N245" s="3"/>
      <c r="O245" s="3"/>
    </row>
    <row r="246" spans="1:15" ht="15">
      <c r="A246" s="72">
        <v>2</v>
      </c>
      <c r="B246" s="70">
        <v>13.687142854999999</v>
      </c>
      <c r="C246" s="69">
        <v>-89.193669201600002</v>
      </c>
      <c r="D246" s="71">
        <v>2800</v>
      </c>
      <c r="E246" s="19">
        <v>0</v>
      </c>
      <c r="F246" s="19">
        <f t="shared" si="6"/>
        <v>2800</v>
      </c>
      <c r="G246" s="20">
        <v>102</v>
      </c>
      <c r="H246" s="19" t="str">
        <f t="shared" si="7"/>
        <v>USD</v>
      </c>
      <c r="J246" s="5"/>
      <c r="K246" s="3"/>
      <c r="L246" s="3"/>
      <c r="M246" s="3"/>
      <c r="N246" s="3"/>
      <c r="O246" s="3"/>
    </row>
    <row r="247" spans="1:15" ht="15">
      <c r="A247" s="72">
        <v>2</v>
      </c>
      <c r="B247" s="70">
        <v>13.687095615300001</v>
      </c>
      <c r="C247" s="69">
        <v>-89.193675889100007</v>
      </c>
      <c r="D247" s="71">
        <v>2800</v>
      </c>
      <c r="E247" s="19">
        <v>0</v>
      </c>
      <c r="F247" s="19">
        <f t="shared" si="6"/>
        <v>2800</v>
      </c>
      <c r="G247" s="20">
        <v>102</v>
      </c>
      <c r="H247" s="19" t="str">
        <f t="shared" si="7"/>
        <v>USD</v>
      </c>
      <c r="J247" s="5"/>
      <c r="K247" s="3"/>
      <c r="L247" s="3"/>
      <c r="M247" s="3"/>
      <c r="N247" s="3"/>
      <c r="O247" s="3"/>
    </row>
    <row r="248" spans="1:15" ht="15">
      <c r="A248" s="72">
        <v>2</v>
      </c>
      <c r="B248" s="70">
        <v>13.687062620500001</v>
      </c>
      <c r="C248" s="69">
        <v>-89.193637704799997</v>
      </c>
      <c r="D248" s="71">
        <v>2800</v>
      </c>
      <c r="E248" s="19">
        <v>0</v>
      </c>
      <c r="F248" s="19">
        <f t="shared" si="6"/>
        <v>2800</v>
      </c>
      <c r="G248" s="20">
        <v>102</v>
      </c>
      <c r="H248" s="19" t="str">
        <f t="shared" si="7"/>
        <v>USD</v>
      </c>
      <c r="J248" s="5"/>
      <c r="K248" s="3"/>
      <c r="L248" s="3"/>
      <c r="M248" s="3"/>
      <c r="N248" s="3"/>
      <c r="O248" s="3"/>
    </row>
    <row r="249" spans="1:15" ht="15">
      <c r="A249" s="72">
        <v>2</v>
      </c>
      <c r="B249" s="70">
        <v>13.6870085546</v>
      </c>
      <c r="C249" s="69">
        <v>-89.193631483999994</v>
      </c>
      <c r="D249" s="71">
        <v>2800</v>
      </c>
      <c r="E249" s="19">
        <v>0</v>
      </c>
      <c r="F249" s="19">
        <f t="shared" si="6"/>
        <v>2800</v>
      </c>
      <c r="G249" s="20">
        <v>102</v>
      </c>
      <c r="H249" s="19" t="str">
        <f t="shared" si="7"/>
        <v>USD</v>
      </c>
      <c r="J249" s="5"/>
      <c r="K249" s="3"/>
      <c r="L249" s="3"/>
      <c r="M249" s="3"/>
      <c r="N249" s="3"/>
      <c r="O249" s="3"/>
    </row>
    <row r="250" spans="1:15" ht="15">
      <c r="A250" s="72">
        <v>2</v>
      </c>
      <c r="B250" s="70">
        <v>13.6869381969</v>
      </c>
      <c r="C250" s="69">
        <v>-89.193687683999997</v>
      </c>
      <c r="D250" s="71">
        <v>2800</v>
      </c>
      <c r="E250" s="19">
        <v>0</v>
      </c>
      <c r="F250" s="19">
        <f t="shared" si="6"/>
        <v>2800</v>
      </c>
      <c r="G250" s="20">
        <v>102</v>
      </c>
      <c r="H250" s="19" t="str">
        <f t="shared" si="7"/>
        <v>USD</v>
      </c>
      <c r="J250" s="5"/>
      <c r="K250" s="3"/>
      <c r="L250" s="3"/>
      <c r="M250" s="3"/>
      <c r="N250" s="3"/>
      <c r="O250" s="3"/>
    </row>
    <row r="251" spans="1:15" ht="15">
      <c r="A251" s="72">
        <v>2</v>
      </c>
      <c r="B251" s="70">
        <v>13.686869267300001</v>
      </c>
      <c r="C251" s="69">
        <v>-89.193371916000004</v>
      </c>
      <c r="D251" s="71">
        <v>2800</v>
      </c>
      <c r="E251" s="19">
        <v>0</v>
      </c>
      <c r="F251" s="19">
        <f t="shared" si="6"/>
        <v>2800</v>
      </c>
      <c r="G251" s="20">
        <v>102</v>
      </c>
      <c r="H251" s="19" t="str">
        <f t="shared" si="7"/>
        <v>USD</v>
      </c>
      <c r="J251" s="5"/>
      <c r="K251" s="3"/>
      <c r="L251" s="3"/>
      <c r="M251" s="3"/>
      <c r="N251" s="3"/>
      <c r="O251" s="3"/>
    </row>
    <row r="252" spans="1:15" ht="15">
      <c r="A252" s="72">
        <v>1</v>
      </c>
      <c r="B252" s="70">
        <v>13.687025439399999</v>
      </c>
      <c r="C252" s="69">
        <v>-89.193678036099996</v>
      </c>
      <c r="D252" s="71">
        <v>2800</v>
      </c>
      <c r="E252" s="19">
        <v>0</v>
      </c>
      <c r="F252" s="19">
        <f t="shared" si="6"/>
        <v>2800</v>
      </c>
      <c r="G252" s="20">
        <v>101</v>
      </c>
      <c r="H252" s="19" t="str">
        <f t="shared" si="7"/>
        <v>USD</v>
      </c>
      <c r="J252" s="5"/>
      <c r="K252" s="3"/>
      <c r="L252" s="3"/>
      <c r="M252" s="3"/>
      <c r="N252" s="3"/>
      <c r="O252" s="3"/>
    </row>
    <row r="253" spans="1:15" ht="15">
      <c r="A253" s="72">
        <v>2</v>
      </c>
      <c r="B253" s="70">
        <v>13.686942905800001</v>
      </c>
      <c r="C253" s="69">
        <v>-89.194852265799994</v>
      </c>
      <c r="D253" s="71">
        <v>1500</v>
      </c>
      <c r="E253" s="19">
        <v>0</v>
      </c>
      <c r="F253" s="19">
        <f t="shared" si="6"/>
        <v>1500</v>
      </c>
      <c r="G253" s="20">
        <v>102</v>
      </c>
      <c r="H253" s="19" t="str">
        <f t="shared" si="7"/>
        <v>USD</v>
      </c>
      <c r="J253" s="5"/>
      <c r="K253" s="3"/>
      <c r="L253" s="3"/>
      <c r="M253" s="3"/>
      <c r="N253" s="3"/>
      <c r="O253" s="3"/>
    </row>
    <row r="254" spans="1:15" ht="15">
      <c r="A254" s="72">
        <v>2</v>
      </c>
      <c r="B254" s="70">
        <v>13.6869581651</v>
      </c>
      <c r="C254" s="69">
        <v>-89.1948132367</v>
      </c>
      <c r="D254" s="71">
        <v>1500</v>
      </c>
      <c r="E254" s="19">
        <v>0</v>
      </c>
      <c r="F254" s="19">
        <f t="shared" si="6"/>
        <v>1500</v>
      </c>
      <c r="G254" s="20">
        <v>102</v>
      </c>
      <c r="H254" s="19" t="str">
        <f t="shared" si="7"/>
        <v>USD</v>
      </c>
      <c r="J254" s="5"/>
      <c r="K254" s="3"/>
      <c r="L254" s="3"/>
      <c r="M254" s="3"/>
      <c r="N254" s="3"/>
      <c r="O254" s="3"/>
    </row>
    <row r="255" spans="1:15" ht="15">
      <c r="A255" s="72">
        <v>2</v>
      </c>
      <c r="B255" s="70">
        <v>13.6869583822</v>
      </c>
      <c r="C255" s="69">
        <v>-89.194813002000004</v>
      </c>
      <c r="D255" s="71">
        <v>1500</v>
      </c>
      <c r="E255" s="19">
        <v>0</v>
      </c>
      <c r="F255" s="19">
        <f t="shared" si="6"/>
        <v>1500</v>
      </c>
      <c r="G255" s="20">
        <v>102</v>
      </c>
      <c r="H255" s="19" t="str">
        <f t="shared" si="7"/>
        <v>USD</v>
      </c>
      <c r="J255" s="5"/>
      <c r="K255" s="3"/>
      <c r="L255" s="3"/>
      <c r="M255" s="3"/>
      <c r="N255" s="3"/>
      <c r="O255" s="3"/>
    </row>
    <row r="256" spans="1:15" ht="15">
      <c r="A256" s="72">
        <v>2</v>
      </c>
      <c r="B256" s="70">
        <v>13.686926385</v>
      </c>
      <c r="C256" s="69">
        <v>-89.194758385300005</v>
      </c>
      <c r="D256" s="71">
        <v>1500</v>
      </c>
      <c r="E256" s="19">
        <v>0</v>
      </c>
      <c r="F256" s="19">
        <f t="shared" si="6"/>
        <v>1500</v>
      </c>
      <c r="G256" s="20">
        <v>102</v>
      </c>
      <c r="H256" s="19" t="str">
        <f t="shared" si="7"/>
        <v>USD</v>
      </c>
      <c r="J256" s="5"/>
      <c r="K256" s="3"/>
      <c r="L256" s="3"/>
      <c r="M256" s="3"/>
      <c r="N256" s="3"/>
      <c r="O256" s="3"/>
    </row>
    <row r="257" spans="1:15" ht="15">
      <c r="A257" s="72">
        <v>2</v>
      </c>
      <c r="B257" s="70">
        <v>13.686949777600001</v>
      </c>
      <c r="C257" s="69">
        <v>-89.194734486100003</v>
      </c>
      <c r="D257" s="71">
        <v>1500</v>
      </c>
      <c r="E257" s="19">
        <v>0</v>
      </c>
      <c r="F257" s="19">
        <f t="shared" si="6"/>
        <v>1500</v>
      </c>
      <c r="G257" s="20">
        <v>102</v>
      </c>
      <c r="H257" s="19" t="str">
        <f t="shared" si="7"/>
        <v>USD</v>
      </c>
      <c r="J257" s="5"/>
      <c r="K257" s="3"/>
      <c r="L257" s="3"/>
      <c r="M257" s="3"/>
      <c r="N257" s="3"/>
      <c r="O257" s="3"/>
    </row>
    <row r="258" spans="1:15" ht="15">
      <c r="A258" s="72">
        <v>2</v>
      </c>
      <c r="B258" s="70">
        <v>13.686949584000001</v>
      </c>
      <c r="C258" s="69">
        <v>-89.194734660699993</v>
      </c>
      <c r="D258" s="71">
        <v>1500</v>
      </c>
      <c r="E258" s="19">
        <v>0</v>
      </c>
      <c r="F258" s="19">
        <f t="shared" si="6"/>
        <v>1500</v>
      </c>
      <c r="G258" s="20">
        <v>102</v>
      </c>
      <c r="H258" s="19" t="str">
        <f t="shared" si="7"/>
        <v>USD</v>
      </c>
      <c r="J258" s="5"/>
      <c r="K258" s="3"/>
      <c r="L258" s="3"/>
      <c r="M258" s="3"/>
      <c r="N258" s="3"/>
      <c r="O258" s="3"/>
    </row>
    <row r="259" spans="1:15" ht="15">
      <c r="A259" s="72">
        <v>2</v>
      </c>
      <c r="B259" s="70">
        <v>13.686903368899999</v>
      </c>
      <c r="C259" s="69">
        <v>-89.194777225199999</v>
      </c>
      <c r="D259" s="71">
        <v>1500</v>
      </c>
      <c r="E259" s="19">
        <v>0</v>
      </c>
      <c r="F259" s="19">
        <f t="shared" ref="F259:F322" si="8">D259</f>
        <v>1500</v>
      </c>
      <c r="G259" s="20">
        <v>102</v>
      </c>
      <c r="H259" s="19" t="str">
        <f t="shared" ref="H259:H322" si="9">IF(OR(A259&lt;17,A259=21),"USD","people")</f>
        <v>USD</v>
      </c>
      <c r="J259" s="5"/>
      <c r="K259" s="3"/>
      <c r="L259" s="3"/>
      <c r="M259" s="3"/>
      <c r="N259" s="3"/>
      <c r="O259" s="3"/>
    </row>
    <row r="260" spans="1:15" ht="15">
      <c r="A260" s="72">
        <v>2</v>
      </c>
      <c r="B260" s="70">
        <v>13.686903812100001</v>
      </c>
      <c r="C260" s="69">
        <v>-89.194776852100006</v>
      </c>
      <c r="D260" s="71">
        <v>1500</v>
      </c>
      <c r="E260" s="19">
        <v>0</v>
      </c>
      <c r="F260" s="19">
        <f t="shared" si="8"/>
        <v>1500</v>
      </c>
      <c r="G260" s="20">
        <v>102</v>
      </c>
      <c r="H260" s="19" t="str">
        <f t="shared" si="9"/>
        <v>USD</v>
      </c>
      <c r="J260" s="5"/>
      <c r="K260" s="3"/>
      <c r="L260" s="3"/>
      <c r="M260" s="3"/>
      <c r="N260" s="3"/>
      <c r="O260" s="3"/>
    </row>
    <row r="261" spans="1:15" ht="15">
      <c r="A261" s="72">
        <v>2</v>
      </c>
      <c r="B261" s="70">
        <v>13.686929730599999</v>
      </c>
      <c r="C261" s="69">
        <v>-89.194891718199997</v>
      </c>
      <c r="D261" s="71">
        <v>1500</v>
      </c>
      <c r="E261" s="19">
        <v>0</v>
      </c>
      <c r="F261" s="19">
        <f t="shared" si="8"/>
        <v>1500</v>
      </c>
      <c r="G261" s="20">
        <v>102</v>
      </c>
      <c r="H261" s="19" t="str">
        <f t="shared" si="9"/>
        <v>USD</v>
      </c>
      <c r="J261" s="5"/>
      <c r="K261" s="3"/>
      <c r="L261" s="3"/>
      <c r="M261" s="3"/>
      <c r="N261" s="3"/>
      <c r="O261" s="3"/>
    </row>
    <row r="262" spans="1:15" ht="15">
      <c r="A262" s="72">
        <v>2</v>
      </c>
      <c r="B262" s="70">
        <v>13.686930049900001</v>
      </c>
      <c r="C262" s="69">
        <v>-89.194891411599997</v>
      </c>
      <c r="D262" s="71">
        <v>1500</v>
      </c>
      <c r="E262" s="19">
        <v>0</v>
      </c>
      <c r="F262" s="19">
        <f t="shared" si="8"/>
        <v>1500</v>
      </c>
      <c r="G262" s="20">
        <v>102</v>
      </c>
      <c r="H262" s="19" t="str">
        <f t="shared" si="9"/>
        <v>USD</v>
      </c>
      <c r="J262" s="5"/>
      <c r="K262" s="3"/>
      <c r="L262" s="3"/>
      <c r="M262" s="3"/>
      <c r="N262" s="3"/>
      <c r="O262" s="3"/>
    </row>
    <row r="263" spans="1:15" ht="15">
      <c r="A263" s="72">
        <v>2</v>
      </c>
      <c r="B263" s="70">
        <v>13.686914348</v>
      </c>
      <c r="C263" s="69">
        <v>-89.194930092700005</v>
      </c>
      <c r="D263" s="71">
        <v>1500</v>
      </c>
      <c r="E263" s="19">
        <v>0</v>
      </c>
      <c r="F263" s="19">
        <f t="shared" si="8"/>
        <v>1500</v>
      </c>
      <c r="G263" s="20">
        <v>102</v>
      </c>
      <c r="H263" s="19" t="str">
        <f t="shared" si="9"/>
        <v>USD</v>
      </c>
      <c r="J263" s="5"/>
      <c r="K263" s="3"/>
      <c r="L263" s="3"/>
      <c r="M263" s="3"/>
      <c r="N263" s="3"/>
      <c r="O263" s="3"/>
    </row>
    <row r="264" spans="1:15" ht="15">
      <c r="A264" s="72">
        <v>2</v>
      </c>
      <c r="B264" s="70">
        <v>13.68691555</v>
      </c>
      <c r="C264" s="69">
        <v>-89.194929220099993</v>
      </c>
      <c r="D264" s="71">
        <v>1500</v>
      </c>
      <c r="E264" s="19">
        <v>0</v>
      </c>
      <c r="F264" s="19">
        <f t="shared" si="8"/>
        <v>1500</v>
      </c>
      <c r="G264" s="20">
        <v>102</v>
      </c>
      <c r="H264" s="19" t="str">
        <f t="shared" si="9"/>
        <v>USD</v>
      </c>
      <c r="J264" s="5"/>
      <c r="K264" s="3"/>
      <c r="L264" s="3"/>
      <c r="M264" s="3"/>
      <c r="N264" s="3"/>
      <c r="O264" s="3"/>
    </row>
    <row r="265" spans="1:15" ht="15">
      <c r="A265" s="72">
        <v>2</v>
      </c>
      <c r="B265" s="70">
        <v>13.6870067533</v>
      </c>
      <c r="C265" s="69">
        <v>-89.194901504599997</v>
      </c>
      <c r="D265" s="71">
        <v>1500</v>
      </c>
      <c r="E265" s="19">
        <v>0</v>
      </c>
      <c r="F265" s="19">
        <f t="shared" si="8"/>
        <v>1500</v>
      </c>
      <c r="G265" s="20">
        <v>102</v>
      </c>
      <c r="H265" s="19" t="str">
        <f t="shared" si="9"/>
        <v>USD</v>
      </c>
      <c r="J265" s="5"/>
      <c r="K265" s="3"/>
      <c r="L265" s="3"/>
      <c r="M265" s="3"/>
      <c r="N265" s="3"/>
      <c r="O265" s="3"/>
    </row>
    <row r="266" spans="1:15" ht="15">
      <c r="A266" s="72">
        <v>2</v>
      </c>
      <c r="B266" s="70">
        <v>13.687006006100001</v>
      </c>
      <c r="C266" s="69">
        <v>-89.194902208399995</v>
      </c>
      <c r="D266" s="71">
        <v>1500</v>
      </c>
      <c r="E266" s="19">
        <v>0</v>
      </c>
      <c r="F266" s="19">
        <f t="shared" si="8"/>
        <v>1500</v>
      </c>
      <c r="G266" s="20">
        <v>102</v>
      </c>
      <c r="H266" s="19" t="str">
        <f t="shared" si="9"/>
        <v>USD</v>
      </c>
      <c r="J266" s="5"/>
      <c r="K266" s="3"/>
      <c r="L266" s="3"/>
      <c r="M266" s="3"/>
      <c r="N266" s="3"/>
      <c r="O266" s="3"/>
    </row>
    <row r="267" spans="1:15" ht="15">
      <c r="A267" s="72">
        <v>2</v>
      </c>
      <c r="B267" s="70">
        <v>13.687007528600001</v>
      </c>
      <c r="C267" s="69">
        <v>-89.194900727800004</v>
      </c>
      <c r="D267" s="71">
        <v>1500</v>
      </c>
      <c r="E267" s="19">
        <v>0</v>
      </c>
      <c r="F267" s="19">
        <f t="shared" si="8"/>
        <v>1500</v>
      </c>
      <c r="G267" s="20">
        <v>102</v>
      </c>
      <c r="H267" s="19" t="str">
        <f t="shared" si="9"/>
        <v>USD</v>
      </c>
      <c r="J267" s="5"/>
      <c r="K267" s="3"/>
      <c r="L267" s="3"/>
      <c r="M267" s="3"/>
      <c r="N267" s="3"/>
      <c r="O267" s="3"/>
    </row>
    <row r="268" spans="1:15" ht="15">
      <c r="A268" s="72">
        <v>2</v>
      </c>
      <c r="B268" s="70">
        <v>13.6869896549</v>
      </c>
      <c r="C268" s="69">
        <v>-89.194943440599999</v>
      </c>
      <c r="D268" s="71">
        <v>1500</v>
      </c>
      <c r="E268" s="19">
        <v>0</v>
      </c>
      <c r="F268" s="19">
        <f t="shared" si="8"/>
        <v>1500</v>
      </c>
      <c r="G268" s="20">
        <v>102</v>
      </c>
      <c r="H268" s="19" t="str">
        <f t="shared" si="9"/>
        <v>USD</v>
      </c>
      <c r="J268" s="5"/>
      <c r="K268" s="3"/>
      <c r="L268" s="3"/>
      <c r="M268" s="3"/>
      <c r="N268" s="3"/>
      <c r="O268" s="3"/>
    </row>
    <row r="269" spans="1:15" ht="15">
      <c r="A269" s="72">
        <v>2</v>
      </c>
      <c r="B269" s="70">
        <v>13.6869893391</v>
      </c>
      <c r="C269" s="69">
        <v>-89.194943822100001</v>
      </c>
      <c r="D269" s="71">
        <v>1500</v>
      </c>
      <c r="E269" s="19">
        <v>0</v>
      </c>
      <c r="F269" s="19">
        <f t="shared" si="8"/>
        <v>1500</v>
      </c>
      <c r="G269" s="20">
        <v>102</v>
      </c>
      <c r="H269" s="19" t="str">
        <f t="shared" si="9"/>
        <v>USD</v>
      </c>
      <c r="J269" s="5"/>
      <c r="K269" s="3"/>
      <c r="L269" s="3"/>
      <c r="M269" s="3"/>
      <c r="N269" s="3"/>
      <c r="O269" s="3"/>
    </row>
    <row r="270" spans="1:15" ht="15">
      <c r="A270" s="72">
        <v>2</v>
      </c>
      <c r="B270" s="70">
        <v>13.6869900069</v>
      </c>
      <c r="C270" s="69">
        <v>-89.194942919499994</v>
      </c>
      <c r="D270" s="71">
        <v>1500</v>
      </c>
      <c r="E270" s="19">
        <v>0</v>
      </c>
      <c r="F270" s="19">
        <f t="shared" si="8"/>
        <v>1500</v>
      </c>
      <c r="G270" s="20">
        <v>102</v>
      </c>
      <c r="H270" s="19" t="str">
        <f t="shared" si="9"/>
        <v>USD</v>
      </c>
      <c r="J270" s="5"/>
      <c r="K270" s="3"/>
      <c r="L270" s="3"/>
      <c r="M270" s="3"/>
      <c r="N270" s="3"/>
      <c r="O270" s="3"/>
    </row>
    <row r="271" spans="1:15" ht="15">
      <c r="A271" s="72">
        <v>2</v>
      </c>
      <c r="B271" s="70">
        <v>13.6870234941</v>
      </c>
      <c r="C271" s="69">
        <v>-89.194859129199997</v>
      </c>
      <c r="D271" s="71">
        <v>1500</v>
      </c>
      <c r="E271" s="19">
        <v>0</v>
      </c>
      <c r="F271" s="19">
        <f t="shared" si="8"/>
        <v>1500</v>
      </c>
      <c r="G271" s="20">
        <v>102</v>
      </c>
      <c r="H271" s="19" t="str">
        <f t="shared" si="9"/>
        <v>USD</v>
      </c>
      <c r="J271" s="5"/>
      <c r="K271" s="3"/>
      <c r="L271" s="3"/>
      <c r="M271" s="3"/>
      <c r="N271" s="3"/>
      <c r="O271" s="3"/>
    </row>
    <row r="272" spans="1:15" ht="15">
      <c r="A272" s="72">
        <v>2</v>
      </c>
      <c r="B272" s="70">
        <v>13.6870228455</v>
      </c>
      <c r="C272" s="69">
        <v>-89.194859671299994</v>
      </c>
      <c r="D272" s="71">
        <v>1500</v>
      </c>
      <c r="E272" s="19">
        <v>0</v>
      </c>
      <c r="F272" s="19">
        <f t="shared" si="8"/>
        <v>1500</v>
      </c>
      <c r="G272" s="20">
        <v>102</v>
      </c>
      <c r="H272" s="19" t="str">
        <f t="shared" si="9"/>
        <v>USD</v>
      </c>
      <c r="J272" s="5"/>
      <c r="K272" s="3"/>
      <c r="L272" s="3"/>
      <c r="M272" s="3"/>
      <c r="N272" s="3"/>
      <c r="O272" s="3"/>
    </row>
    <row r="273" spans="1:15" ht="15">
      <c r="A273" s="72">
        <v>2</v>
      </c>
      <c r="B273" s="70">
        <v>13.687022130100001</v>
      </c>
      <c r="C273" s="69">
        <v>-89.194860198599997</v>
      </c>
      <c r="D273" s="71">
        <v>1500</v>
      </c>
      <c r="E273" s="19">
        <v>0</v>
      </c>
      <c r="F273" s="19">
        <f t="shared" si="8"/>
        <v>1500</v>
      </c>
      <c r="G273" s="20">
        <v>102</v>
      </c>
      <c r="H273" s="19" t="str">
        <f t="shared" si="9"/>
        <v>USD</v>
      </c>
      <c r="J273" s="5"/>
      <c r="K273" s="3"/>
      <c r="L273" s="3"/>
      <c r="M273" s="3"/>
      <c r="N273" s="3"/>
      <c r="O273" s="3"/>
    </row>
    <row r="274" spans="1:15" ht="15">
      <c r="A274" s="72">
        <v>2</v>
      </c>
      <c r="B274" s="70">
        <v>13.687039694599999</v>
      </c>
      <c r="C274" s="69">
        <v>-89.194820871800005</v>
      </c>
      <c r="D274" s="71">
        <v>1500</v>
      </c>
      <c r="E274" s="19">
        <v>0</v>
      </c>
      <c r="F274" s="19">
        <f t="shared" si="8"/>
        <v>1500</v>
      </c>
      <c r="G274" s="20">
        <v>102</v>
      </c>
      <c r="H274" s="19" t="str">
        <f t="shared" si="9"/>
        <v>USD</v>
      </c>
      <c r="J274" s="5"/>
      <c r="K274" s="3"/>
      <c r="L274" s="3"/>
      <c r="M274" s="3"/>
      <c r="N274" s="3"/>
      <c r="O274" s="3"/>
    </row>
    <row r="275" spans="1:15" ht="15">
      <c r="A275" s="72">
        <v>2</v>
      </c>
      <c r="B275" s="70">
        <v>13.6870399669</v>
      </c>
      <c r="C275" s="69">
        <v>-89.194820616000001</v>
      </c>
      <c r="D275" s="71">
        <v>1500</v>
      </c>
      <c r="E275" s="19">
        <v>0</v>
      </c>
      <c r="F275" s="19">
        <f t="shared" si="8"/>
        <v>1500</v>
      </c>
      <c r="G275" s="20">
        <v>102</v>
      </c>
      <c r="H275" s="19" t="str">
        <f t="shared" si="9"/>
        <v>USD</v>
      </c>
      <c r="J275" s="5"/>
      <c r="K275" s="3"/>
      <c r="L275" s="3"/>
      <c r="M275" s="3"/>
      <c r="N275" s="3"/>
      <c r="O275" s="3"/>
    </row>
    <row r="276" spans="1:15" ht="15">
      <c r="A276" s="72">
        <v>2</v>
      </c>
      <c r="B276" s="70">
        <v>13.687040194</v>
      </c>
      <c r="C276" s="69">
        <v>-89.194820380400003</v>
      </c>
      <c r="D276" s="71">
        <v>1500</v>
      </c>
      <c r="E276" s="19">
        <v>0</v>
      </c>
      <c r="F276" s="19">
        <f t="shared" si="8"/>
        <v>1500</v>
      </c>
      <c r="G276" s="20">
        <v>102</v>
      </c>
      <c r="H276" s="19" t="str">
        <f t="shared" si="9"/>
        <v>USD</v>
      </c>
      <c r="J276" s="5"/>
      <c r="K276" s="3"/>
      <c r="L276" s="3"/>
      <c r="M276" s="3"/>
      <c r="N276" s="3"/>
      <c r="O276" s="3"/>
    </row>
    <row r="277" spans="1:15" ht="15">
      <c r="A277" s="72">
        <v>2</v>
      </c>
      <c r="B277" s="70">
        <v>13.6870520226</v>
      </c>
      <c r="C277" s="69">
        <v>-89.1947829219</v>
      </c>
      <c r="D277" s="71">
        <v>1500</v>
      </c>
      <c r="E277" s="19">
        <v>0</v>
      </c>
      <c r="F277" s="19">
        <f t="shared" si="8"/>
        <v>1500</v>
      </c>
      <c r="G277" s="20">
        <v>102</v>
      </c>
      <c r="H277" s="19" t="str">
        <f t="shared" si="9"/>
        <v>USD</v>
      </c>
      <c r="J277" s="5"/>
      <c r="K277" s="3"/>
      <c r="L277" s="3"/>
      <c r="M277" s="3"/>
      <c r="N277" s="3"/>
      <c r="O277" s="3"/>
    </row>
    <row r="278" spans="1:15" ht="15">
      <c r="A278" s="72">
        <v>2</v>
      </c>
      <c r="B278" s="70">
        <v>13.687052274999999</v>
      </c>
      <c r="C278" s="69">
        <v>-89.194782654899996</v>
      </c>
      <c r="D278" s="71">
        <v>1500</v>
      </c>
      <c r="E278" s="19">
        <v>0</v>
      </c>
      <c r="F278" s="19">
        <f t="shared" si="8"/>
        <v>1500</v>
      </c>
      <c r="G278" s="20">
        <v>102</v>
      </c>
      <c r="H278" s="19" t="str">
        <f t="shared" si="9"/>
        <v>USD</v>
      </c>
      <c r="J278" s="5"/>
      <c r="K278" s="3"/>
      <c r="L278" s="3"/>
      <c r="M278" s="3"/>
      <c r="N278" s="3"/>
      <c r="O278" s="3"/>
    </row>
    <row r="279" spans="1:15" ht="15">
      <c r="A279" s="72">
        <v>2</v>
      </c>
      <c r="B279" s="70">
        <v>13.6870525175</v>
      </c>
      <c r="C279" s="69">
        <v>-89.194782332499997</v>
      </c>
      <c r="D279" s="71">
        <v>1500</v>
      </c>
      <c r="E279" s="19">
        <v>0</v>
      </c>
      <c r="F279" s="19">
        <f t="shared" si="8"/>
        <v>1500</v>
      </c>
      <c r="G279" s="20">
        <v>102</v>
      </c>
      <c r="H279" s="19" t="str">
        <f t="shared" si="9"/>
        <v>USD</v>
      </c>
      <c r="J279" s="5"/>
      <c r="K279" s="3"/>
      <c r="L279" s="3"/>
      <c r="M279" s="3"/>
      <c r="N279" s="3"/>
      <c r="O279" s="3"/>
    </row>
    <row r="280" spans="1:15" ht="15">
      <c r="A280" s="72">
        <v>2</v>
      </c>
      <c r="B280" s="70">
        <v>13.687017039000001</v>
      </c>
      <c r="C280" s="69">
        <v>-89.1945898962</v>
      </c>
      <c r="D280" s="71">
        <v>1500</v>
      </c>
      <c r="E280" s="19">
        <v>0</v>
      </c>
      <c r="F280" s="19">
        <f t="shared" si="8"/>
        <v>1500</v>
      </c>
      <c r="G280" s="20">
        <v>102</v>
      </c>
      <c r="H280" s="19" t="str">
        <f t="shared" si="9"/>
        <v>USD</v>
      </c>
      <c r="J280" s="5"/>
      <c r="K280" s="3"/>
      <c r="L280" s="3"/>
      <c r="M280" s="3"/>
      <c r="N280" s="3"/>
      <c r="O280" s="3"/>
    </row>
    <row r="281" spans="1:15" ht="15">
      <c r="A281" s="72">
        <v>2</v>
      </c>
      <c r="B281" s="70">
        <v>13.6867838619</v>
      </c>
      <c r="C281" s="69">
        <v>-89.194803901300006</v>
      </c>
      <c r="D281" s="71">
        <v>1500</v>
      </c>
      <c r="E281" s="19">
        <v>0</v>
      </c>
      <c r="F281" s="19">
        <f t="shared" si="8"/>
        <v>1500</v>
      </c>
      <c r="G281" s="20">
        <v>102</v>
      </c>
      <c r="H281" s="19" t="str">
        <f t="shared" si="9"/>
        <v>USD</v>
      </c>
      <c r="J281" s="5"/>
      <c r="K281" s="3"/>
      <c r="L281" s="3"/>
      <c r="M281" s="3"/>
      <c r="N281" s="3"/>
      <c r="O281" s="3"/>
    </row>
    <row r="282" spans="1:15" ht="15">
      <c r="A282" s="72">
        <v>2</v>
      </c>
      <c r="B282" s="70">
        <v>13.6869442128</v>
      </c>
      <c r="C282" s="69">
        <v>-89.1948500556</v>
      </c>
      <c r="D282" s="71">
        <v>1500</v>
      </c>
      <c r="E282" s="19">
        <v>0</v>
      </c>
      <c r="F282" s="19">
        <f t="shared" si="8"/>
        <v>1500</v>
      </c>
      <c r="G282" s="20">
        <v>102</v>
      </c>
      <c r="H282" s="19" t="str">
        <f t="shared" si="9"/>
        <v>USD</v>
      </c>
      <c r="J282" s="5"/>
      <c r="K282" s="3"/>
      <c r="L282" s="3"/>
      <c r="M282" s="3"/>
      <c r="N282" s="3"/>
      <c r="O282" s="3"/>
    </row>
    <row r="283" spans="1:15" ht="15">
      <c r="A283" s="72">
        <v>2</v>
      </c>
      <c r="B283" s="70">
        <v>13.6869586102</v>
      </c>
      <c r="C283" s="69">
        <v>-89.194812757199998</v>
      </c>
      <c r="D283" s="71">
        <v>1500</v>
      </c>
      <c r="E283" s="19">
        <v>0</v>
      </c>
      <c r="F283" s="19">
        <f t="shared" si="8"/>
        <v>1500</v>
      </c>
      <c r="G283" s="20">
        <v>102</v>
      </c>
      <c r="H283" s="19" t="str">
        <f t="shared" si="9"/>
        <v>USD</v>
      </c>
      <c r="J283" s="5"/>
      <c r="K283" s="3"/>
      <c r="L283" s="3"/>
      <c r="M283" s="3"/>
      <c r="N283" s="3"/>
      <c r="O283" s="3"/>
    </row>
    <row r="284" spans="1:15" ht="15">
      <c r="A284" s="72">
        <v>2</v>
      </c>
      <c r="B284" s="70">
        <v>13.6869268447</v>
      </c>
      <c r="C284" s="69">
        <v>-89.1947577838</v>
      </c>
      <c r="D284" s="71">
        <v>1500</v>
      </c>
      <c r="E284" s="19">
        <v>0</v>
      </c>
      <c r="F284" s="19">
        <f t="shared" si="8"/>
        <v>1500</v>
      </c>
      <c r="G284" s="20">
        <v>102</v>
      </c>
      <c r="H284" s="19" t="str">
        <f t="shared" si="9"/>
        <v>USD</v>
      </c>
      <c r="J284" s="5"/>
      <c r="K284" s="3"/>
      <c r="L284" s="3"/>
      <c r="M284" s="3"/>
      <c r="N284" s="3"/>
      <c r="O284" s="3"/>
    </row>
    <row r="285" spans="1:15" ht="15">
      <c r="A285" s="72">
        <v>2</v>
      </c>
      <c r="B285" s="70">
        <v>13.686951016</v>
      </c>
      <c r="C285" s="69">
        <v>-89.194733320400005</v>
      </c>
      <c r="D285" s="71">
        <v>1500</v>
      </c>
      <c r="E285" s="19">
        <v>0</v>
      </c>
      <c r="F285" s="19">
        <f t="shared" si="8"/>
        <v>1500</v>
      </c>
      <c r="G285" s="20">
        <v>102</v>
      </c>
      <c r="H285" s="19" t="str">
        <f t="shared" si="9"/>
        <v>USD</v>
      </c>
      <c r="J285" s="5"/>
      <c r="K285" s="3"/>
      <c r="L285" s="3"/>
      <c r="M285" s="3"/>
      <c r="N285" s="3"/>
      <c r="O285" s="3"/>
    </row>
    <row r="286" spans="1:15" ht="15">
      <c r="A286" s="72">
        <v>2</v>
      </c>
      <c r="B286" s="70">
        <v>13.686904091700001</v>
      </c>
      <c r="C286" s="69">
        <v>-89.194776454800007</v>
      </c>
      <c r="D286" s="71">
        <v>1500</v>
      </c>
      <c r="E286" s="19">
        <v>0</v>
      </c>
      <c r="F286" s="19">
        <f t="shared" si="8"/>
        <v>1500</v>
      </c>
      <c r="G286" s="20">
        <v>102</v>
      </c>
      <c r="H286" s="19" t="str">
        <f t="shared" si="9"/>
        <v>USD</v>
      </c>
      <c r="J286" s="5"/>
      <c r="K286" s="3"/>
      <c r="L286" s="3"/>
      <c r="M286" s="3"/>
      <c r="N286" s="3"/>
      <c r="O286" s="3"/>
    </row>
    <row r="287" spans="1:15" ht="15">
      <c r="A287" s="72">
        <v>2</v>
      </c>
      <c r="B287" s="70">
        <v>13.686930370900001</v>
      </c>
      <c r="C287" s="69">
        <v>-89.194891290699999</v>
      </c>
      <c r="D287" s="71">
        <v>1500</v>
      </c>
      <c r="E287" s="19">
        <v>0</v>
      </c>
      <c r="F287" s="19">
        <f t="shared" si="8"/>
        <v>1500</v>
      </c>
      <c r="G287" s="20">
        <v>102</v>
      </c>
      <c r="H287" s="19" t="str">
        <f t="shared" si="9"/>
        <v>USD</v>
      </c>
      <c r="J287" s="5"/>
      <c r="K287" s="3"/>
      <c r="L287" s="3"/>
      <c r="M287" s="3"/>
      <c r="N287" s="3"/>
      <c r="O287" s="3"/>
    </row>
    <row r="288" spans="1:15" ht="15">
      <c r="A288" s="72">
        <v>2</v>
      </c>
      <c r="B288" s="70">
        <v>13.686916220700001</v>
      </c>
      <c r="C288" s="69">
        <v>-89.194928034599997</v>
      </c>
      <c r="D288" s="71">
        <v>1500</v>
      </c>
      <c r="E288" s="19">
        <v>0</v>
      </c>
      <c r="F288" s="19">
        <f t="shared" si="8"/>
        <v>1500</v>
      </c>
      <c r="G288" s="20">
        <v>102</v>
      </c>
      <c r="H288" s="19" t="str">
        <f t="shared" si="9"/>
        <v>USD</v>
      </c>
      <c r="J288" s="5"/>
      <c r="K288" s="3"/>
      <c r="L288" s="3"/>
      <c r="M288" s="3"/>
      <c r="N288" s="3"/>
      <c r="O288" s="3"/>
    </row>
    <row r="289" spans="1:15" ht="15">
      <c r="A289" s="72">
        <v>2</v>
      </c>
      <c r="B289" s="70">
        <v>13.687008323000001</v>
      </c>
      <c r="C289" s="69">
        <v>-89.194899769800003</v>
      </c>
      <c r="D289" s="71">
        <v>1500</v>
      </c>
      <c r="E289" s="19">
        <v>0</v>
      </c>
      <c r="F289" s="19">
        <f t="shared" si="8"/>
        <v>1500</v>
      </c>
      <c r="G289" s="20">
        <v>102</v>
      </c>
      <c r="H289" s="19" t="str">
        <f t="shared" si="9"/>
        <v>USD</v>
      </c>
      <c r="J289" s="5"/>
      <c r="K289" s="3"/>
      <c r="L289" s="3"/>
      <c r="M289" s="3"/>
      <c r="N289" s="3"/>
      <c r="O289" s="3"/>
    </row>
    <row r="290" spans="1:15" ht="15">
      <c r="A290" s="72">
        <v>2</v>
      </c>
      <c r="B290" s="70">
        <v>13.6869902585</v>
      </c>
      <c r="C290" s="69">
        <v>-89.194942583200003</v>
      </c>
      <c r="D290" s="71">
        <v>1500</v>
      </c>
      <c r="E290" s="19">
        <v>0</v>
      </c>
      <c r="F290" s="19">
        <f t="shared" si="8"/>
        <v>1500</v>
      </c>
      <c r="G290" s="20">
        <v>102</v>
      </c>
      <c r="H290" s="19" t="str">
        <f t="shared" si="9"/>
        <v>USD</v>
      </c>
      <c r="J290" s="5"/>
      <c r="K290" s="3"/>
      <c r="L290" s="3"/>
      <c r="M290" s="3"/>
      <c r="N290" s="3"/>
      <c r="O290" s="3"/>
    </row>
    <row r="291" spans="1:15" ht="15">
      <c r="A291" s="72">
        <v>2</v>
      </c>
      <c r="B291" s="70">
        <v>13.6870244873</v>
      </c>
      <c r="C291" s="69">
        <v>-89.194858273099996</v>
      </c>
      <c r="D291" s="71">
        <v>1500</v>
      </c>
      <c r="E291" s="19">
        <v>0</v>
      </c>
      <c r="F291" s="19">
        <f t="shared" si="8"/>
        <v>1500</v>
      </c>
      <c r="G291" s="20">
        <v>102</v>
      </c>
      <c r="H291" s="19" t="str">
        <f t="shared" si="9"/>
        <v>USD</v>
      </c>
      <c r="J291" s="5"/>
      <c r="K291" s="3"/>
      <c r="L291" s="3"/>
      <c r="M291" s="3"/>
      <c r="N291" s="3"/>
      <c r="O291" s="3"/>
    </row>
    <row r="292" spans="1:15" ht="15">
      <c r="A292" s="72">
        <v>2</v>
      </c>
      <c r="B292" s="70">
        <v>13.6870403315</v>
      </c>
      <c r="C292" s="69">
        <v>-89.194820250199996</v>
      </c>
      <c r="D292" s="71">
        <v>1500</v>
      </c>
      <c r="E292" s="19">
        <v>0</v>
      </c>
      <c r="F292" s="19">
        <f t="shared" si="8"/>
        <v>1500</v>
      </c>
      <c r="G292" s="20">
        <v>102</v>
      </c>
      <c r="H292" s="19" t="str">
        <f t="shared" si="9"/>
        <v>USD</v>
      </c>
      <c r="J292" s="5"/>
      <c r="K292" s="3"/>
      <c r="L292" s="3"/>
      <c r="M292" s="3"/>
      <c r="N292" s="3"/>
      <c r="O292" s="3"/>
    </row>
    <row r="293" spans="1:15" ht="15">
      <c r="A293" s="72">
        <v>1</v>
      </c>
      <c r="B293" s="70">
        <v>13.6870527618</v>
      </c>
      <c r="C293" s="69">
        <v>-89.194781997999996</v>
      </c>
      <c r="D293" s="71">
        <v>1500</v>
      </c>
      <c r="E293" s="19">
        <v>0</v>
      </c>
      <c r="F293" s="19">
        <f t="shared" si="8"/>
        <v>1500</v>
      </c>
      <c r="G293" s="20">
        <v>101</v>
      </c>
      <c r="H293" s="19" t="str">
        <f t="shared" si="9"/>
        <v>USD</v>
      </c>
      <c r="J293" s="5"/>
      <c r="K293" s="3"/>
      <c r="L293" s="3"/>
      <c r="M293" s="3"/>
      <c r="N293" s="3"/>
      <c r="O293" s="3"/>
    </row>
    <row r="294" spans="1:15" ht="15">
      <c r="A294" s="72">
        <v>2</v>
      </c>
      <c r="B294" s="70">
        <v>13.687071530300001</v>
      </c>
      <c r="C294" s="69">
        <v>-89.194642280500005</v>
      </c>
      <c r="D294" s="71">
        <v>1500</v>
      </c>
      <c r="E294" s="19">
        <v>0</v>
      </c>
      <c r="F294" s="19">
        <f t="shared" si="8"/>
        <v>1500</v>
      </c>
      <c r="G294" s="20">
        <v>102</v>
      </c>
      <c r="H294" s="19" t="str">
        <f t="shared" si="9"/>
        <v>USD</v>
      </c>
      <c r="J294" s="5"/>
      <c r="K294" s="3"/>
      <c r="L294" s="3"/>
      <c r="M294" s="3"/>
      <c r="N294" s="3"/>
      <c r="O294" s="3"/>
    </row>
    <row r="295" spans="1:15" ht="15">
      <c r="A295" s="72">
        <v>2</v>
      </c>
      <c r="B295" s="70">
        <v>13.6870177427</v>
      </c>
      <c r="C295" s="69">
        <v>-89.194589334699998</v>
      </c>
      <c r="D295" s="71">
        <v>1500</v>
      </c>
      <c r="E295" s="19">
        <v>0</v>
      </c>
      <c r="F295" s="19">
        <f t="shared" si="8"/>
        <v>1500</v>
      </c>
      <c r="G295" s="20">
        <v>102</v>
      </c>
      <c r="H295" s="19" t="str">
        <f t="shared" si="9"/>
        <v>USD</v>
      </c>
      <c r="J295" s="5"/>
      <c r="K295" s="3"/>
      <c r="L295" s="3"/>
      <c r="M295" s="3"/>
      <c r="N295" s="3"/>
      <c r="O295" s="3"/>
    </row>
    <row r="296" spans="1:15" ht="15">
      <c r="A296" s="72">
        <v>2</v>
      </c>
      <c r="B296" s="70">
        <v>13.687356703100001</v>
      </c>
      <c r="C296" s="69">
        <v>-89.194584265299994</v>
      </c>
      <c r="D296" s="71">
        <v>1500</v>
      </c>
      <c r="E296" s="19">
        <v>0</v>
      </c>
      <c r="F296" s="19">
        <f t="shared" si="8"/>
        <v>1500</v>
      </c>
      <c r="G296" s="20">
        <v>102</v>
      </c>
      <c r="H296" s="19" t="str">
        <f t="shared" si="9"/>
        <v>USD</v>
      </c>
      <c r="J296" s="5"/>
      <c r="K296" s="3"/>
      <c r="L296" s="3"/>
      <c r="M296" s="3"/>
      <c r="N296" s="3"/>
      <c r="O296" s="3"/>
    </row>
    <row r="297" spans="1:15" ht="15">
      <c r="A297" s="72">
        <v>2</v>
      </c>
      <c r="B297" s="70">
        <v>13.6873660499</v>
      </c>
      <c r="C297" s="69">
        <v>-89.194560057700002</v>
      </c>
      <c r="D297" s="71">
        <v>1500</v>
      </c>
      <c r="E297" s="19">
        <v>0</v>
      </c>
      <c r="F297" s="19">
        <f t="shared" si="8"/>
        <v>1500</v>
      </c>
      <c r="G297" s="20">
        <v>102</v>
      </c>
      <c r="H297" s="19" t="str">
        <f t="shared" si="9"/>
        <v>USD</v>
      </c>
      <c r="J297" s="5"/>
      <c r="K297" s="3"/>
      <c r="L297" s="3"/>
      <c r="M297" s="3"/>
      <c r="N297" s="3"/>
      <c r="O297" s="3"/>
    </row>
    <row r="298" spans="1:15" ht="15">
      <c r="A298" s="72">
        <v>2</v>
      </c>
      <c r="B298" s="70">
        <v>13.6873804173</v>
      </c>
      <c r="C298" s="69">
        <v>-89.194537689300006</v>
      </c>
      <c r="D298" s="71">
        <v>1500</v>
      </c>
      <c r="E298" s="19">
        <v>0</v>
      </c>
      <c r="F298" s="19">
        <f t="shared" si="8"/>
        <v>1500</v>
      </c>
      <c r="G298" s="20">
        <v>102</v>
      </c>
      <c r="H298" s="19" t="str">
        <f t="shared" si="9"/>
        <v>USD</v>
      </c>
      <c r="J298" s="5"/>
      <c r="K298" s="3"/>
      <c r="L298" s="3"/>
      <c r="M298" s="3"/>
      <c r="N298" s="3"/>
      <c r="O298" s="3"/>
    </row>
    <row r="299" spans="1:15" ht="15">
      <c r="A299" s="72">
        <v>2</v>
      </c>
      <c r="B299" s="70">
        <v>13.687405572999999</v>
      </c>
      <c r="C299" s="69">
        <v>-89.194482308999994</v>
      </c>
      <c r="D299" s="71">
        <v>1500</v>
      </c>
      <c r="E299" s="19">
        <v>0</v>
      </c>
      <c r="F299" s="19">
        <f t="shared" si="8"/>
        <v>1500</v>
      </c>
      <c r="G299" s="20">
        <v>102</v>
      </c>
      <c r="H299" s="19" t="str">
        <f t="shared" si="9"/>
        <v>USD</v>
      </c>
      <c r="J299" s="5"/>
      <c r="K299" s="3"/>
      <c r="L299" s="3"/>
      <c r="M299" s="3"/>
      <c r="N299" s="3"/>
      <c r="O299" s="3"/>
    </row>
    <row r="300" spans="1:15" ht="15">
      <c r="A300" s="72">
        <v>1</v>
      </c>
      <c r="B300" s="70">
        <v>13.687330834100001</v>
      </c>
      <c r="C300" s="69">
        <v>-89.194634141700007</v>
      </c>
      <c r="D300" s="71">
        <v>1500</v>
      </c>
      <c r="E300" s="19">
        <v>0</v>
      </c>
      <c r="F300" s="19">
        <f t="shared" si="8"/>
        <v>1500</v>
      </c>
      <c r="G300" s="20">
        <v>101</v>
      </c>
      <c r="H300" s="19" t="str">
        <f t="shared" si="9"/>
        <v>USD</v>
      </c>
      <c r="J300" s="5"/>
      <c r="K300" s="3"/>
      <c r="L300" s="3"/>
      <c r="M300" s="3"/>
      <c r="N300" s="3"/>
      <c r="O300" s="3"/>
    </row>
    <row r="301" spans="1:15" ht="15">
      <c r="A301" s="72">
        <v>1</v>
      </c>
      <c r="B301" s="70">
        <v>13.687341616799999</v>
      </c>
      <c r="C301" s="69">
        <v>-89.194608101200004</v>
      </c>
      <c r="D301" s="71">
        <v>1500</v>
      </c>
      <c r="E301" s="19">
        <v>0</v>
      </c>
      <c r="F301" s="19">
        <f t="shared" si="8"/>
        <v>1500</v>
      </c>
      <c r="G301" s="20">
        <v>101</v>
      </c>
      <c r="H301" s="19" t="str">
        <f t="shared" si="9"/>
        <v>USD</v>
      </c>
      <c r="J301" s="5"/>
      <c r="K301" s="3"/>
      <c r="L301" s="3"/>
      <c r="M301" s="3"/>
      <c r="N301" s="3"/>
      <c r="O301" s="3"/>
    </row>
    <row r="302" spans="1:15" ht="15">
      <c r="A302" s="72">
        <v>1</v>
      </c>
      <c r="B302" s="70">
        <v>13.687389764600001</v>
      </c>
      <c r="C302" s="69">
        <v>-89.194511647599995</v>
      </c>
      <c r="D302" s="71">
        <v>1500</v>
      </c>
      <c r="E302" s="19">
        <v>0</v>
      </c>
      <c r="F302" s="19">
        <f t="shared" si="8"/>
        <v>1500</v>
      </c>
      <c r="G302" s="20">
        <v>101</v>
      </c>
      <c r="H302" s="19" t="str">
        <f t="shared" si="9"/>
        <v>USD</v>
      </c>
      <c r="J302" s="5"/>
      <c r="K302" s="3"/>
      <c r="L302" s="3"/>
      <c r="M302" s="3"/>
      <c r="N302" s="3"/>
      <c r="O302" s="3"/>
    </row>
    <row r="303" spans="1:15" ht="15">
      <c r="A303" s="72">
        <v>2</v>
      </c>
      <c r="B303" s="70">
        <v>13.687418853200001</v>
      </c>
      <c r="C303" s="69">
        <v>-89.194473391499997</v>
      </c>
      <c r="D303" s="71">
        <v>1500</v>
      </c>
      <c r="E303" s="19">
        <v>0</v>
      </c>
      <c r="F303" s="19">
        <f t="shared" si="8"/>
        <v>1500</v>
      </c>
      <c r="G303" s="20">
        <v>102</v>
      </c>
      <c r="H303" s="19" t="str">
        <f t="shared" si="9"/>
        <v>USD</v>
      </c>
      <c r="J303" s="5"/>
      <c r="K303" s="3"/>
      <c r="L303" s="3"/>
      <c r="M303" s="3"/>
      <c r="N303" s="3"/>
      <c r="O303" s="3"/>
    </row>
    <row r="304" spans="1:15" ht="15">
      <c r="A304" s="72">
        <v>2</v>
      </c>
      <c r="B304" s="70">
        <v>13.6874425544</v>
      </c>
      <c r="C304" s="69">
        <v>-89.194443326400005</v>
      </c>
      <c r="D304" s="71">
        <v>1500</v>
      </c>
      <c r="E304" s="19">
        <v>0</v>
      </c>
      <c r="F304" s="19">
        <f t="shared" si="8"/>
        <v>1500</v>
      </c>
      <c r="G304" s="20">
        <v>102</v>
      </c>
      <c r="H304" s="19" t="str">
        <f t="shared" si="9"/>
        <v>USD</v>
      </c>
      <c r="J304" s="5"/>
      <c r="K304" s="3"/>
      <c r="L304" s="3"/>
      <c r="M304" s="3"/>
      <c r="N304" s="3"/>
      <c r="O304" s="3"/>
    </row>
    <row r="305" spans="1:15" ht="15">
      <c r="A305" s="72">
        <v>3</v>
      </c>
      <c r="B305" s="70">
        <v>13.6812873097</v>
      </c>
      <c r="C305" s="69">
        <v>-89.195700712100006</v>
      </c>
      <c r="D305" s="71">
        <v>2450</v>
      </c>
      <c r="E305" s="19">
        <v>0</v>
      </c>
      <c r="F305" s="19">
        <f t="shared" si="8"/>
        <v>2450</v>
      </c>
      <c r="G305" s="20">
        <v>103</v>
      </c>
      <c r="H305" s="19" t="str">
        <f t="shared" si="9"/>
        <v>USD</v>
      </c>
      <c r="J305" s="5"/>
      <c r="K305" s="3"/>
      <c r="L305" s="3"/>
      <c r="M305" s="3"/>
      <c r="N305" s="3"/>
      <c r="O305" s="3"/>
    </row>
    <row r="306" spans="1:15" ht="15">
      <c r="A306" s="72">
        <v>3</v>
      </c>
      <c r="B306" s="70">
        <v>13.6820047824</v>
      </c>
      <c r="C306" s="69">
        <v>-89.195121299700006</v>
      </c>
      <c r="D306" s="71">
        <v>2450</v>
      </c>
      <c r="E306" s="19">
        <v>0</v>
      </c>
      <c r="F306" s="19">
        <f t="shared" si="8"/>
        <v>2450</v>
      </c>
      <c r="G306" s="20">
        <v>103</v>
      </c>
      <c r="H306" s="19" t="str">
        <f t="shared" si="9"/>
        <v>USD</v>
      </c>
      <c r="J306" s="5"/>
      <c r="K306" s="3"/>
      <c r="L306" s="3"/>
      <c r="M306" s="3"/>
      <c r="N306" s="3"/>
      <c r="O306" s="3"/>
    </row>
    <row r="307" spans="1:15" ht="15">
      <c r="A307" s="72">
        <v>1</v>
      </c>
      <c r="B307" s="70">
        <v>13.6814966288</v>
      </c>
      <c r="C307" s="69">
        <v>-89.195782022399996</v>
      </c>
      <c r="D307" s="71">
        <v>2450</v>
      </c>
      <c r="E307" s="19">
        <v>0</v>
      </c>
      <c r="F307" s="19">
        <f t="shared" si="8"/>
        <v>2450</v>
      </c>
      <c r="G307" s="20">
        <v>101</v>
      </c>
      <c r="H307" s="19" t="str">
        <f t="shared" si="9"/>
        <v>USD</v>
      </c>
      <c r="J307" s="5"/>
      <c r="K307" s="3"/>
      <c r="L307" s="3"/>
      <c r="M307" s="3"/>
      <c r="N307" s="3"/>
      <c r="O307" s="3"/>
    </row>
    <row r="308" spans="1:15" ht="15">
      <c r="A308" s="72">
        <v>2</v>
      </c>
      <c r="B308" s="70">
        <v>13.681683893400001</v>
      </c>
      <c r="C308" s="69">
        <v>-89.195782178399995</v>
      </c>
      <c r="D308" s="71">
        <v>2450</v>
      </c>
      <c r="E308" s="19">
        <v>0</v>
      </c>
      <c r="F308" s="19">
        <f t="shared" si="8"/>
        <v>2450</v>
      </c>
      <c r="G308" s="20">
        <v>102</v>
      </c>
      <c r="H308" s="19" t="str">
        <f t="shared" si="9"/>
        <v>USD</v>
      </c>
      <c r="J308" s="5"/>
      <c r="K308" s="3"/>
      <c r="L308" s="3"/>
      <c r="M308" s="3"/>
      <c r="N308" s="3"/>
      <c r="O308" s="3"/>
    </row>
    <row r="309" spans="1:15" ht="15">
      <c r="A309" s="72">
        <v>2</v>
      </c>
      <c r="B309" s="70">
        <v>13.681762213100001</v>
      </c>
      <c r="C309" s="69">
        <v>-89.195639891900001</v>
      </c>
      <c r="D309" s="71">
        <v>2450</v>
      </c>
      <c r="E309" s="19">
        <v>0</v>
      </c>
      <c r="F309" s="19">
        <f t="shared" si="8"/>
        <v>2450</v>
      </c>
      <c r="G309" s="20">
        <v>102</v>
      </c>
      <c r="H309" s="19" t="str">
        <f t="shared" si="9"/>
        <v>USD</v>
      </c>
      <c r="J309" s="5"/>
      <c r="K309" s="3"/>
      <c r="L309" s="3"/>
      <c r="M309" s="3"/>
      <c r="N309" s="3"/>
      <c r="O309" s="3"/>
    </row>
    <row r="310" spans="1:15" ht="15">
      <c r="A310" s="72">
        <v>2</v>
      </c>
      <c r="B310" s="70">
        <v>13.681646715999999</v>
      </c>
      <c r="C310" s="69">
        <v>-89.195616315099997</v>
      </c>
      <c r="D310" s="71">
        <v>2450</v>
      </c>
      <c r="E310" s="19">
        <v>0</v>
      </c>
      <c r="F310" s="19">
        <f t="shared" si="8"/>
        <v>2450</v>
      </c>
      <c r="G310" s="20">
        <v>102</v>
      </c>
      <c r="H310" s="19" t="str">
        <f t="shared" si="9"/>
        <v>USD</v>
      </c>
      <c r="J310" s="5"/>
      <c r="K310" s="3"/>
      <c r="L310" s="3"/>
      <c r="M310" s="3"/>
      <c r="N310" s="3"/>
      <c r="O310" s="3"/>
    </row>
    <row r="311" spans="1:15" ht="15">
      <c r="A311" s="72">
        <v>2</v>
      </c>
      <c r="B311" s="70">
        <v>13.681546301199999</v>
      </c>
      <c r="C311" s="69">
        <v>-89.195572938300003</v>
      </c>
      <c r="D311" s="71">
        <v>2450</v>
      </c>
      <c r="E311" s="19">
        <v>0</v>
      </c>
      <c r="F311" s="19">
        <f t="shared" si="8"/>
        <v>2450</v>
      </c>
      <c r="G311" s="20">
        <v>102</v>
      </c>
      <c r="H311" s="19" t="str">
        <f t="shared" si="9"/>
        <v>USD</v>
      </c>
      <c r="J311" s="5"/>
      <c r="K311" s="3"/>
      <c r="L311" s="3"/>
      <c r="M311" s="3"/>
      <c r="N311" s="3"/>
      <c r="O311" s="3"/>
    </row>
    <row r="312" spans="1:15" ht="15">
      <c r="A312" s="72">
        <v>2</v>
      </c>
      <c r="B312" s="70">
        <v>13.6815163397</v>
      </c>
      <c r="C312" s="69">
        <v>-89.195355716500003</v>
      </c>
      <c r="D312" s="71">
        <v>2450</v>
      </c>
      <c r="E312" s="19">
        <v>0</v>
      </c>
      <c r="F312" s="19">
        <f t="shared" si="8"/>
        <v>2450</v>
      </c>
      <c r="G312" s="20">
        <v>102</v>
      </c>
      <c r="H312" s="19" t="str">
        <f t="shared" si="9"/>
        <v>USD</v>
      </c>
      <c r="J312" s="5"/>
      <c r="K312" s="3"/>
      <c r="L312" s="3"/>
      <c r="M312" s="3"/>
      <c r="N312" s="3"/>
      <c r="O312" s="3"/>
    </row>
    <row r="313" spans="1:15" ht="15">
      <c r="A313" s="72">
        <v>2</v>
      </c>
      <c r="B313" s="70">
        <v>13.6816146003</v>
      </c>
      <c r="C313" s="69">
        <v>-89.195400558599999</v>
      </c>
      <c r="D313" s="71">
        <v>2450</v>
      </c>
      <c r="E313" s="19">
        <v>0</v>
      </c>
      <c r="F313" s="19">
        <f t="shared" si="8"/>
        <v>2450</v>
      </c>
      <c r="G313" s="20">
        <v>102</v>
      </c>
      <c r="H313" s="19" t="str">
        <f t="shared" si="9"/>
        <v>USD</v>
      </c>
      <c r="J313" s="5"/>
      <c r="K313" s="3"/>
      <c r="L313" s="3"/>
      <c r="M313" s="3"/>
      <c r="N313" s="3"/>
      <c r="O313" s="3"/>
    </row>
    <row r="314" spans="1:15" ht="15">
      <c r="A314" s="72">
        <v>2</v>
      </c>
      <c r="B314" s="70">
        <v>13.6817100142</v>
      </c>
      <c r="C314" s="69">
        <v>-89.195416046399998</v>
      </c>
      <c r="D314" s="71">
        <v>2450</v>
      </c>
      <c r="E314" s="19">
        <v>0</v>
      </c>
      <c r="F314" s="19">
        <f t="shared" si="8"/>
        <v>2450</v>
      </c>
      <c r="G314" s="20">
        <v>102</v>
      </c>
      <c r="H314" s="19" t="str">
        <f t="shared" si="9"/>
        <v>USD</v>
      </c>
      <c r="J314" s="5"/>
      <c r="K314" s="3"/>
      <c r="L314" s="3"/>
      <c r="M314" s="3"/>
      <c r="N314" s="3"/>
      <c r="O314" s="3"/>
    </row>
    <row r="315" spans="1:15" ht="15">
      <c r="A315" s="72">
        <v>2</v>
      </c>
      <c r="B315" s="70">
        <v>13.6813088222</v>
      </c>
      <c r="C315" s="69">
        <v>-89.1957983848</v>
      </c>
      <c r="D315" s="71">
        <v>2450</v>
      </c>
      <c r="E315" s="19">
        <v>0</v>
      </c>
      <c r="F315" s="19">
        <f t="shared" si="8"/>
        <v>2450</v>
      </c>
      <c r="G315" s="20">
        <v>102</v>
      </c>
      <c r="H315" s="19" t="str">
        <f t="shared" si="9"/>
        <v>USD</v>
      </c>
      <c r="J315" s="5"/>
      <c r="K315" s="3"/>
      <c r="L315" s="3"/>
      <c r="M315" s="3"/>
      <c r="N315" s="3"/>
      <c r="O315" s="3"/>
    </row>
    <row r="316" spans="1:15" ht="15">
      <c r="A316" s="72">
        <v>2</v>
      </c>
      <c r="B316" s="70">
        <v>13.6811624406</v>
      </c>
      <c r="C316" s="69">
        <v>-89.195815873499996</v>
      </c>
      <c r="D316" s="71">
        <v>2450</v>
      </c>
      <c r="E316" s="19">
        <v>0</v>
      </c>
      <c r="F316" s="19">
        <f t="shared" si="8"/>
        <v>2450</v>
      </c>
      <c r="G316" s="20">
        <v>102</v>
      </c>
      <c r="H316" s="19" t="str">
        <f t="shared" si="9"/>
        <v>USD</v>
      </c>
      <c r="J316" s="5"/>
      <c r="K316" s="3"/>
      <c r="L316" s="3"/>
      <c r="M316" s="3"/>
      <c r="N316" s="3"/>
      <c r="O316" s="3"/>
    </row>
    <row r="317" spans="1:15" ht="15">
      <c r="A317" s="72">
        <v>2</v>
      </c>
      <c r="B317" s="70">
        <v>13.681009105499999</v>
      </c>
      <c r="C317" s="69">
        <v>-89.1955545223</v>
      </c>
      <c r="D317" s="71">
        <v>2450</v>
      </c>
      <c r="E317" s="19">
        <v>0</v>
      </c>
      <c r="F317" s="19">
        <f t="shared" si="8"/>
        <v>2450</v>
      </c>
      <c r="G317" s="20">
        <v>102</v>
      </c>
      <c r="H317" s="19" t="str">
        <f t="shared" si="9"/>
        <v>USD</v>
      </c>
      <c r="J317" s="5"/>
      <c r="K317" s="3"/>
      <c r="L317" s="3"/>
      <c r="M317" s="3"/>
      <c r="N317" s="3"/>
      <c r="O317" s="3"/>
    </row>
    <row r="318" spans="1:15" ht="15">
      <c r="A318" s="72">
        <v>2</v>
      </c>
      <c r="B318" s="70">
        <v>13.6810106203</v>
      </c>
      <c r="C318" s="69">
        <v>-89.195454730600005</v>
      </c>
      <c r="D318" s="71">
        <v>2450</v>
      </c>
      <c r="E318" s="19">
        <v>0</v>
      </c>
      <c r="F318" s="19">
        <f t="shared" si="8"/>
        <v>2450</v>
      </c>
      <c r="G318" s="20">
        <v>102</v>
      </c>
      <c r="H318" s="19" t="str">
        <f t="shared" si="9"/>
        <v>USD</v>
      </c>
      <c r="J318" s="5"/>
      <c r="K318" s="3"/>
      <c r="L318" s="3"/>
      <c r="M318" s="3"/>
      <c r="N318" s="3"/>
      <c r="O318" s="3"/>
    </row>
    <row r="319" spans="1:15" ht="15">
      <c r="A319" s="72">
        <v>2</v>
      </c>
      <c r="B319" s="70">
        <v>13.6811224878</v>
      </c>
      <c r="C319" s="69">
        <v>-89.195531135899998</v>
      </c>
      <c r="D319" s="71">
        <v>2450</v>
      </c>
      <c r="E319" s="19">
        <v>0</v>
      </c>
      <c r="F319" s="19">
        <f t="shared" si="8"/>
        <v>2450</v>
      </c>
      <c r="G319" s="20">
        <v>102</v>
      </c>
      <c r="H319" s="19" t="str">
        <f t="shared" si="9"/>
        <v>USD</v>
      </c>
      <c r="J319" s="5"/>
      <c r="K319" s="3"/>
      <c r="L319" s="3"/>
      <c r="M319" s="3"/>
      <c r="N319" s="3"/>
      <c r="O319" s="3"/>
    </row>
    <row r="320" spans="1:15" ht="15">
      <c r="A320" s="72">
        <v>2</v>
      </c>
      <c r="B320" s="70">
        <v>13.6812315483</v>
      </c>
      <c r="C320" s="69">
        <v>-89.195528291499997</v>
      </c>
      <c r="D320" s="71">
        <v>2450</v>
      </c>
      <c r="E320" s="19">
        <v>0</v>
      </c>
      <c r="F320" s="19">
        <f t="shared" si="8"/>
        <v>2450</v>
      </c>
      <c r="G320" s="20">
        <v>102</v>
      </c>
      <c r="H320" s="19" t="str">
        <f t="shared" si="9"/>
        <v>USD</v>
      </c>
      <c r="J320" s="5"/>
      <c r="K320" s="3"/>
      <c r="L320" s="3"/>
      <c r="M320" s="3"/>
      <c r="N320" s="3"/>
      <c r="O320" s="3"/>
    </row>
    <row r="321" spans="1:15" ht="15">
      <c r="A321" s="72">
        <v>2</v>
      </c>
      <c r="B321" s="70">
        <v>13.6812817006</v>
      </c>
      <c r="C321" s="69">
        <v>-89.195619320899993</v>
      </c>
      <c r="D321" s="71">
        <v>2450</v>
      </c>
      <c r="E321" s="19">
        <v>0</v>
      </c>
      <c r="F321" s="19">
        <f t="shared" si="8"/>
        <v>2450</v>
      </c>
      <c r="G321" s="20">
        <v>102</v>
      </c>
      <c r="H321" s="19" t="str">
        <f t="shared" si="9"/>
        <v>USD</v>
      </c>
      <c r="J321" s="5"/>
      <c r="K321" s="3"/>
      <c r="L321" s="3"/>
      <c r="M321" s="3"/>
      <c r="N321" s="3"/>
      <c r="O321" s="3"/>
    </row>
    <row r="322" spans="1:15" ht="15">
      <c r="A322" s="72">
        <v>2</v>
      </c>
      <c r="B322" s="70">
        <v>13.6813637399</v>
      </c>
      <c r="C322" s="69">
        <v>-89.195309736699997</v>
      </c>
      <c r="D322" s="71">
        <v>2450</v>
      </c>
      <c r="E322" s="19">
        <v>0</v>
      </c>
      <c r="F322" s="19">
        <f t="shared" si="8"/>
        <v>2450</v>
      </c>
      <c r="G322" s="20">
        <v>102</v>
      </c>
      <c r="H322" s="19" t="str">
        <f t="shared" si="9"/>
        <v>USD</v>
      </c>
      <c r="J322" s="5"/>
      <c r="K322" s="3"/>
      <c r="L322" s="3"/>
      <c r="M322" s="3"/>
      <c r="N322" s="3"/>
      <c r="O322" s="3"/>
    </row>
    <row r="323" spans="1:15" ht="15">
      <c r="A323" s="72">
        <v>2</v>
      </c>
      <c r="B323" s="70">
        <v>13.6812460939</v>
      </c>
      <c r="C323" s="69">
        <v>-89.195281756100002</v>
      </c>
      <c r="D323" s="71">
        <v>2450</v>
      </c>
      <c r="E323" s="19">
        <v>0</v>
      </c>
      <c r="F323" s="19">
        <f t="shared" ref="F323:F386" si="10">D323</f>
        <v>2450</v>
      </c>
      <c r="G323" s="20">
        <v>102</v>
      </c>
      <c r="H323" s="19" t="str">
        <f t="shared" ref="H323:H386" si="11">IF(OR(A323&lt;17,A323=21),"USD","people")</f>
        <v>USD</v>
      </c>
      <c r="J323" s="5"/>
      <c r="K323" s="3"/>
      <c r="L323" s="3"/>
      <c r="M323" s="3"/>
      <c r="N323" s="3"/>
      <c r="O323" s="3"/>
    </row>
    <row r="324" spans="1:15" ht="15">
      <c r="A324" s="72">
        <v>2</v>
      </c>
      <c r="B324" s="70">
        <v>13.6811585797</v>
      </c>
      <c r="C324" s="69">
        <v>-89.195256734799997</v>
      </c>
      <c r="D324" s="71">
        <v>2450</v>
      </c>
      <c r="E324" s="19">
        <v>0</v>
      </c>
      <c r="F324" s="19">
        <f t="shared" si="10"/>
        <v>2450</v>
      </c>
      <c r="G324" s="20">
        <v>102</v>
      </c>
      <c r="H324" s="19" t="str">
        <f t="shared" si="11"/>
        <v>USD</v>
      </c>
      <c r="J324" s="5"/>
      <c r="K324" s="3"/>
      <c r="L324" s="3"/>
      <c r="M324" s="3"/>
      <c r="N324" s="3"/>
      <c r="O324" s="3"/>
    </row>
    <row r="325" spans="1:15" ht="15">
      <c r="A325" s="72">
        <v>2</v>
      </c>
      <c r="B325" s="70">
        <v>13.6809979288</v>
      </c>
      <c r="C325" s="69">
        <v>-89.195172951000004</v>
      </c>
      <c r="D325" s="71">
        <v>2450</v>
      </c>
      <c r="E325" s="19">
        <v>0</v>
      </c>
      <c r="F325" s="19">
        <f t="shared" si="10"/>
        <v>2450</v>
      </c>
      <c r="G325" s="20">
        <v>102</v>
      </c>
      <c r="H325" s="19" t="str">
        <f t="shared" si="11"/>
        <v>USD</v>
      </c>
      <c r="J325" s="5"/>
      <c r="K325" s="3"/>
      <c r="L325" s="3"/>
      <c r="M325" s="3"/>
      <c r="N325" s="3"/>
      <c r="O325" s="3"/>
    </row>
    <row r="326" spans="1:15" ht="15">
      <c r="A326" s="72">
        <v>2</v>
      </c>
      <c r="B326" s="70">
        <v>13.680983682600001</v>
      </c>
      <c r="C326" s="69">
        <v>-89.195042328300005</v>
      </c>
      <c r="D326" s="71">
        <v>2450</v>
      </c>
      <c r="E326" s="19">
        <v>0</v>
      </c>
      <c r="F326" s="19">
        <f t="shared" si="10"/>
        <v>2450</v>
      </c>
      <c r="G326" s="20">
        <v>102</v>
      </c>
      <c r="H326" s="19" t="str">
        <f t="shared" si="11"/>
        <v>USD</v>
      </c>
      <c r="J326" s="5"/>
      <c r="K326" s="3"/>
      <c r="L326" s="3"/>
      <c r="M326" s="3"/>
      <c r="N326" s="3"/>
      <c r="O326" s="3"/>
    </row>
    <row r="327" spans="1:15" ht="15">
      <c r="A327" s="72">
        <v>2</v>
      </c>
      <c r="B327" s="70">
        <v>13.680969423600001</v>
      </c>
      <c r="C327" s="69">
        <v>-89.194927847200006</v>
      </c>
      <c r="D327" s="71">
        <v>2450</v>
      </c>
      <c r="E327" s="19">
        <v>0</v>
      </c>
      <c r="F327" s="19">
        <f t="shared" si="10"/>
        <v>2450</v>
      </c>
      <c r="G327" s="20">
        <v>102</v>
      </c>
      <c r="H327" s="19" t="str">
        <f t="shared" si="11"/>
        <v>USD</v>
      </c>
      <c r="J327" s="5"/>
      <c r="K327" s="3"/>
      <c r="L327" s="3"/>
      <c r="M327" s="3"/>
      <c r="N327" s="3"/>
      <c r="O327" s="3"/>
    </row>
    <row r="328" spans="1:15" ht="15">
      <c r="A328" s="72">
        <v>2</v>
      </c>
      <c r="B328" s="70">
        <v>13.680982424</v>
      </c>
      <c r="C328" s="69">
        <v>-89.194819259900001</v>
      </c>
      <c r="D328" s="71">
        <v>2450</v>
      </c>
      <c r="E328" s="19">
        <v>0</v>
      </c>
      <c r="F328" s="19">
        <f t="shared" si="10"/>
        <v>2450</v>
      </c>
      <c r="G328" s="20">
        <v>102</v>
      </c>
      <c r="H328" s="19" t="str">
        <f t="shared" si="11"/>
        <v>USD</v>
      </c>
      <c r="J328" s="5"/>
      <c r="K328" s="3"/>
      <c r="L328" s="3"/>
      <c r="M328" s="3"/>
      <c r="N328" s="3"/>
      <c r="O328" s="3"/>
    </row>
    <row r="329" spans="1:15" ht="15">
      <c r="A329" s="72">
        <v>2</v>
      </c>
      <c r="B329" s="70">
        <v>13.6811230328</v>
      </c>
      <c r="C329" s="69">
        <v>-89.194844325099993</v>
      </c>
      <c r="D329" s="71">
        <v>2450</v>
      </c>
      <c r="E329" s="19">
        <v>0</v>
      </c>
      <c r="F329" s="19">
        <f t="shared" si="10"/>
        <v>2450</v>
      </c>
      <c r="G329" s="20">
        <v>102</v>
      </c>
      <c r="H329" s="19" t="str">
        <f t="shared" si="11"/>
        <v>USD</v>
      </c>
      <c r="J329" s="5"/>
      <c r="K329" s="3"/>
      <c r="L329" s="3"/>
      <c r="M329" s="3"/>
      <c r="N329" s="3"/>
      <c r="O329" s="3"/>
    </row>
    <row r="330" spans="1:15" ht="15">
      <c r="A330" s="72">
        <v>2</v>
      </c>
      <c r="B330" s="70">
        <v>13.681243548799999</v>
      </c>
      <c r="C330" s="69">
        <v>-89.194872307799997</v>
      </c>
      <c r="D330" s="71">
        <v>2450</v>
      </c>
      <c r="E330" s="19">
        <v>0</v>
      </c>
      <c r="F330" s="19">
        <f t="shared" si="10"/>
        <v>2450</v>
      </c>
      <c r="G330" s="20">
        <v>102</v>
      </c>
      <c r="H330" s="19" t="str">
        <f t="shared" si="11"/>
        <v>USD</v>
      </c>
      <c r="J330" s="5"/>
      <c r="K330" s="3"/>
      <c r="L330" s="3"/>
      <c r="M330" s="3"/>
      <c r="N330" s="3"/>
      <c r="O330" s="3"/>
    </row>
    <row r="331" spans="1:15" ht="15">
      <c r="A331" s="72">
        <v>2</v>
      </c>
      <c r="B331" s="70">
        <v>13.6813411097</v>
      </c>
      <c r="C331" s="69">
        <v>-89.194894402299994</v>
      </c>
      <c r="D331" s="71">
        <v>2450</v>
      </c>
      <c r="E331" s="19">
        <v>0</v>
      </c>
      <c r="F331" s="19">
        <f t="shared" si="10"/>
        <v>2450</v>
      </c>
      <c r="G331" s="20">
        <v>102</v>
      </c>
      <c r="H331" s="19" t="str">
        <f t="shared" si="11"/>
        <v>USD</v>
      </c>
      <c r="J331" s="5"/>
      <c r="K331" s="3"/>
      <c r="L331" s="3"/>
      <c r="M331" s="3"/>
      <c r="N331" s="3"/>
      <c r="O331" s="3"/>
    </row>
    <row r="332" spans="1:15" ht="15">
      <c r="A332" s="72">
        <v>2</v>
      </c>
      <c r="B332" s="70">
        <v>13.6814357926</v>
      </c>
      <c r="C332" s="69">
        <v>-89.194926766799995</v>
      </c>
      <c r="D332" s="71">
        <v>2450</v>
      </c>
      <c r="E332" s="19">
        <v>0</v>
      </c>
      <c r="F332" s="19">
        <f t="shared" si="10"/>
        <v>2450</v>
      </c>
      <c r="G332" s="20">
        <v>102</v>
      </c>
      <c r="H332" s="19" t="str">
        <f t="shared" si="11"/>
        <v>USD</v>
      </c>
      <c r="J332" s="5"/>
      <c r="K332" s="3"/>
      <c r="L332" s="3"/>
      <c r="M332" s="3"/>
      <c r="N332" s="3"/>
      <c r="O332" s="3"/>
    </row>
    <row r="333" spans="1:15" ht="15">
      <c r="A333" s="72">
        <v>2</v>
      </c>
      <c r="B333" s="70">
        <v>13.6814098559</v>
      </c>
      <c r="C333" s="69">
        <v>-89.195061759400005</v>
      </c>
      <c r="D333" s="71">
        <v>2450</v>
      </c>
      <c r="E333" s="19">
        <v>0</v>
      </c>
      <c r="F333" s="19">
        <f t="shared" si="10"/>
        <v>2450</v>
      </c>
      <c r="G333" s="20">
        <v>102</v>
      </c>
      <c r="H333" s="19" t="str">
        <f t="shared" si="11"/>
        <v>USD</v>
      </c>
      <c r="J333" s="5"/>
      <c r="K333" s="3"/>
      <c r="L333" s="3"/>
      <c r="M333" s="3"/>
      <c r="N333" s="3"/>
      <c r="O333" s="3"/>
    </row>
    <row r="334" spans="1:15" ht="15">
      <c r="A334" s="72">
        <v>2</v>
      </c>
      <c r="B334" s="70">
        <v>13.6813696265</v>
      </c>
      <c r="C334" s="69">
        <v>-89.195124831000001</v>
      </c>
      <c r="D334" s="71">
        <v>2450</v>
      </c>
      <c r="E334" s="19">
        <v>0</v>
      </c>
      <c r="F334" s="19">
        <f t="shared" si="10"/>
        <v>2450</v>
      </c>
      <c r="G334" s="20">
        <v>102</v>
      </c>
      <c r="H334" s="19" t="str">
        <f t="shared" si="11"/>
        <v>USD</v>
      </c>
      <c r="J334" s="5"/>
      <c r="K334" s="3"/>
      <c r="L334" s="3"/>
      <c r="M334" s="3"/>
      <c r="N334" s="3"/>
      <c r="O334" s="3"/>
    </row>
    <row r="335" spans="1:15" ht="15">
      <c r="A335" s="72">
        <v>2</v>
      </c>
      <c r="B335" s="70">
        <v>13.681487586299999</v>
      </c>
      <c r="C335" s="69">
        <v>-89.194758041499995</v>
      </c>
      <c r="D335" s="71">
        <v>2450</v>
      </c>
      <c r="E335" s="19">
        <v>0</v>
      </c>
      <c r="F335" s="19">
        <f t="shared" si="10"/>
        <v>2450</v>
      </c>
      <c r="G335" s="20">
        <v>102</v>
      </c>
      <c r="H335" s="19" t="str">
        <f t="shared" si="11"/>
        <v>USD</v>
      </c>
      <c r="J335" s="5"/>
      <c r="K335" s="3"/>
      <c r="L335" s="3"/>
      <c r="M335" s="3"/>
      <c r="N335" s="3"/>
      <c r="O335" s="3"/>
    </row>
    <row r="336" spans="1:15" ht="15">
      <c r="A336" s="72">
        <v>2</v>
      </c>
      <c r="B336" s="70">
        <v>13.681494849</v>
      </c>
      <c r="C336" s="69">
        <v>-89.194646513999999</v>
      </c>
      <c r="D336" s="71">
        <v>2450</v>
      </c>
      <c r="E336" s="19">
        <v>0</v>
      </c>
      <c r="F336" s="19">
        <f t="shared" si="10"/>
        <v>2450</v>
      </c>
      <c r="G336" s="20">
        <v>102</v>
      </c>
      <c r="H336" s="19" t="str">
        <f t="shared" si="11"/>
        <v>USD</v>
      </c>
      <c r="J336" s="5"/>
      <c r="K336" s="3"/>
      <c r="L336" s="3"/>
      <c r="M336" s="3"/>
      <c r="N336" s="3"/>
      <c r="O336" s="3"/>
    </row>
    <row r="337" spans="1:15" ht="15">
      <c r="A337" s="72">
        <v>2</v>
      </c>
      <c r="B337" s="70">
        <v>13.681388593399999</v>
      </c>
      <c r="C337" s="69">
        <v>-89.194731543700001</v>
      </c>
      <c r="D337" s="71">
        <v>2450</v>
      </c>
      <c r="E337" s="19">
        <v>0</v>
      </c>
      <c r="F337" s="19">
        <f t="shared" si="10"/>
        <v>2450</v>
      </c>
      <c r="G337" s="20">
        <v>102</v>
      </c>
      <c r="H337" s="19" t="str">
        <f t="shared" si="11"/>
        <v>USD</v>
      </c>
      <c r="J337" s="5"/>
      <c r="K337" s="3"/>
      <c r="L337" s="3"/>
      <c r="M337" s="3"/>
      <c r="N337" s="3"/>
      <c r="O337" s="3"/>
    </row>
    <row r="338" spans="1:15" ht="15">
      <c r="A338" s="72">
        <v>2</v>
      </c>
      <c r="B338" s="70">
        <v>13.681309666900001</v>
      </c>
      <c r="C338" s="69">
        <v>-89.194734413399999</v>
      </c>
      <c r="D338" s="71">
        <v>2450</v>
      </c>
      <c r="E338" s="19">
        <v>0</v>
      </c>
      <c r="F338" s="19">
        <f t="shared" si="10"/>
        <v>2450</v>
      </c>
      <c r="G338" s="20">
        <v>102</v>
      </c>
      <c r="H338" s="19" t="str">
        <f t="shared" si="11"/>
        <v>USD</v>
      </c>
      <c r="J338" s="5"/>
      <c r="K338" s="3"/>
      <c r="L338" s="3"/>
      <c r="M338" s="3"/>
      <c r="N338" s="3"/>
      <c r="O338" s="3"/>
    </row>
    <row r="339" spans="1:15" ht="15">
      <c r="A339" s="72">
        <v>2</v>
      </c>
      <c r="B339" s="70">
        <v>13.6812264685</v>
      </c>
      <c r="C339" s="69">
        <v>-89.194696188400002</v>
      </c>
      <c r="D339" s="71">
        <v>2450</v>
      </c>
      <c r="E339" s="19">
        <v>0</v>
      </c>
      <c r="F339" s="19">
        <f t="shared" si="10"/>
        <v>2450</v>
      </c>
      <c r="G339" s="20">
        <v>102</v>
      </c>
      <c r="H339" s="19" t="str">
        <f t="shared" si="11"/>
        <v>USD</v>
      </c>
      <c r="J339" s="5"/>
      <c r="K339" s="3"/>
      <c r="L339" s="3"/>
      <c r="M339" s="3"/>
      <c r="N339" s="3"/>
      <c r="O339" s="3"/>
    </row>
    <row r="340" spans="1:15" ht="15">
      <c r="A340" s="72">
        <v>2</v>
      </c>
      <c r="B340" s="70">
        <v>13.681094466999999</v>
      </c>
      <c r="C340" s="69">
        <v>-89.194675533500003</v>
      </c>
      <c r="D340" s="71">
        <v>2450</v>
      </c>
      <c r="E340" s="19">
        <v>0</v>
      </c>
      <c r="F340" s="19">
        <f t="shared" si="10"/>
        <v>2450</v>
      </c>
      <c r="G340" s="20">
        <v>102</v>
      </c>
      <c r="H340" s="19" t="str">
        <f t="shared" si="11"/>
        <v>USD</v>
      </c>
      <c r="J340" s="5"/>
      <c r="K340" s="3"/>
      <c r="L340" s="3"/>
      <c r="M340" s="3"/>
      <c r="N340" s="3"/>
      <c r="O340" s="3"/>
    </row>
    <row r="341" spans="1:15" ht="15">
      <c r="A341" s="72">
        <v>2</v>
      </c>
      <c r="B341" s="70">
        <v>13.681230900699999</v>
      </c>
      <c r="C341" s="69">
        <v>-89.194534761300005</v>
      </c>
      <c r="D341" s="71">
        <v>2450</v>
      </c>
      <c r="E341" s="19">
        <v>0</v>
      </c>
      <c r="F341" s="19">
        <f t="shared" si="10"/>
        <v>2450</v>
      </c>
      <c r="G341" s="20">
        <v>102</v>
      </c>
      <c r="H341" s="19" t="str">
        <f t="shared" si="11"/>
        <v>USD</v>
      </c>
      <c r="J341" s="5"/>
      <c r="K341" s="3"/>
      <c r="L341" s="3"/>
      <c r="M341" s="3"/>
      <c r="N341" s="3"/>
      <c r="O341" s="3"/>
    </row>
    <row r="342" spans="1:15" ht="15">
      <c r="A342" s="72">
        <v>2</v>
      </c>
      <c r="B342" s="70">
        <v>13.6811663528</v>
      </c>
      <c r="C342" s="69">
        <v>-89.194502421899998</v>
      </c>
      <c r="D342" s="71">
        <v>2450</v>
      </c>
      <c r="E342" s="19">
        <v>0</v>
      </c>
      <c r="F342" s="19">
        <f t="shared" si="10"/>
        <v>2450</v>
      </c>
      <c r="G342" s="20">
        <v>102</v>
      </c>
      <c r="H342" s="19" t="str">
        <f t="shared" si="11"/>
        <v>USD</v>
      </c>
      <c r="J342" s="5"/>
      <c r="K342" s="3"/>
      <c r="L342" s="3"/>
      <c r="M342" s="3"/>
      <c r="N342" s="3"/>
      <c r="O342" s="3"/>
    </row>
    <row r="343" spans="1:15" ht="15">
      <c r="A343" s="72">
        <v>2</v>
      </c>
      <c r="B343" s="70">
        <v>13.6818024821</v>
      </c>
      <c r="C343" s="69">
        <v>-89.195444145799996</v>
      </c>
      <c r="D343" s="71">
        <v>2450</v>
      </c>
      <c r="E343" s="19">
        <v>0</v>
      </c>
      <c r="F343" s="19">
        <f t="shared" si="10"/>
        <v>2450</v>
      </c>
      <c r="G343" s="20">
        <v>102</v>
      </c>
      <c r="H343" s="19" t="str">
        <f t="shared" si="11"/>
        <v>USD</v>
      </c>
      <c r="J343" s="5"/>
      <c r="K343" s="3"/>
      <c r="L343" s="3"/>
      <c r="M343" s="3"/>
      <c r="N343" s="3"/>
      <c r="O343" s="3"/>
    </row>
    <row r="344" spans="1:15" ht="15">
      <c r="A344" s="72">
        <v>2</v>
      </c>
      <c r="B344" s="70">
        <v>13.6819172701</v>
      </c>
      <c r="C344" s="69">
        <v>-89.195456959599994</v>
      </c>
      <c r="D344" s="71">
        <v>2450</v>
      </c>
      <c r="E344" s="19">
        <v>0</v>
      </c>
      <c r="F344" s="19">
        <f t="shared" si="10"/>
        <v>2450</v>
      </c>
      <c r="G344" s="20">
        <v>102</v>
      </c>
      <c r="H344" s="19" t="str">
        <f t="shared" si="11"/>
        <v>USD</v>
      </c>
      <c r="J344" s="5"/>
      <c r="K344" s="3"/>
      <c r="L344" s="3"/>
      <c r="M344" s="3"/>
      <c r="N344" s="3"/>
      <c r="O344" s="3"/>
    </row>
    <row r="345" spans="1:15" ht="15">
      <c r="A345" s="72">
        <v>2</v>
      </c>
      <c r="B345" s="70">
        <v>13.6819881698</v>
      </c>
      <c r="C345" s="69">
        <v>-89.195322004100007</v>
      </c>
      <c r="D345" s="71">
        <v>2450</v>
      </c>
      <c r="E345" s="19">
        <v>0</v>
      </c>
      <c r="F345" s="19">
        <f t="shared" si="10"/>
        <v>2450</v>
      </c>
      <c r="G345" s="20">
        <v>102</v>
      </c>
      <c r="H345" s="19" t="str">
        <f t="shared" si="11"/>
        <v>USD</v>
      </c>
      <c r="J345" s="5"/>
      <c r="K345" s="3"/>
      <c r="L345" s="3"/>
      <c r="M345" s="3"/>
      <c r="N345" s="3"/>
      <c r="O345" s="3"/>
    </row>
    <row r="346" spans="1:15" ht="15">
      <c r="A346" s="72">
        <v>2</v>
      </c>
      <c r="B346" s="70">
        <v>13.682105942</v>
      </c>
      <c r="C346" s="69">
        <v>-89.195191000500003</v>
      </c>
      <c r="D346" s="71">
        <v>2450</v>
      </c>
      <c r="E346" s="19">
        <v>0</v>
      </c>
      <c r="F346" s="19">
        <f t="shared" si="10"/>
        <v>2450</v>
      </c>
      <c r="G346" s="20">
        <v>102</v>
      </c>
      <c r="H346" s="19" t="str">
        <f t="shared" si="11"/>
        <v>USD</v>
      </c>
      <c r="J346" s="5"/>
      <c r="K346" s="3"/>
      <c r="L346" s="3"/>
      <c r="M346" s="3"/>
      <c r="N346" s="3"/>
      <c r="O346" s="3"/>
    </row>
    <row r="347" spans="1:15" ht="15">
      <c r="A347" s="72">
        <v>2</v>
      </c>
      <c r="B347" s="70">
        <v>13.6820102741</v>
      </c>
      <c r="C347" s="69">
        <v>-89.195194834299997</v>
      </c>
      <c r="D347" s="71">
        <v>2450</v>
      </c>
      <c r="E347" s="19">
        <v>0</v>
      </c>
      <c r="F347" s="19">
        <f t="shared" si="10"/>
        <v>2450</v>
      </c>
      <c r="G347" s="20">
        <v>102</v>
      </c>
      <c r="H347" s="19" t="str">
        <f t="shared" si="11"/>
        <v>USD</v>
      </c>
      <c r="J347" s="5"/>
      <c r="K347" s="3"/>
      <c r="L347" s="3"/>
      <c r="M347" s="3"/>
      <c r="N347" s="3"/>
      <c r="O347" s="3"/>
    </row>
    <row r="348" spans="1:15" ht="15">
      <c r="A348" s="72">
        <v>2</v>
      </c>
      <c r="B348" s="70">
        <v>13.681907985100001</v>
      </c>
      <c r="C348" s="69">
        <v>-89.195102783300001</v>
      </c>
      <c r="D348" s="71">
        <v>2450</v>
      </c>
      <c r="E348" s="19">
        <v>0</v>
      </c>
      <c r="F348" s="19">
        <f t="shared" si="10"/>
        <v>2450</v>
      </c>
      <c r="G348" s="20">
        <v>102</v>
      </c>
      <c r="H348" s="19" t="str">
        <f t="shared" si="11"/>
        <v>USD</v>
      </c>
      <c r="J348" s="5"/>
      <c r="K348" s="3"/>
      <c r="L348" s="3"/>
      <c r="M348" s="3"/>
      <c r="N348" s="3"/>
      <c r="O348" s="3"/>
    </row>
    <row r="349" spans="1:15" ht="15">
      <c r="A349" s="72">
        <v>2</v>
      </c>
      <c r="B349" s="70">
        <v>13.6818180927</v>
      </c>
      <c r="C349" s="69">
        <v>-89.195060638399994</v>
      </c>
      <c r="D349" s="71">
        <v>2450</v>
      </c>
      <c r="E349" s="19">
        <v>0</v>
      </c>
      <c r="F349" s="19">
        <f t="shared" si="10"/>
        <v>2450</v>
      </c>
      <c r="G349" s="20">
        <v>102</v>
      </c>
      <c r="H349" s="19" t="str">
        <f t="shared" si="11"/>
        <v>USD</v>
      </c>
      <c r="J349" s="5"/>
      <c r="K349" s="3"/>
      <c r="L349" s="3"/>
      <c r="M349" s="3"/>
      <c r="N349" s="3"/>
      <c r="O349" s="3"/>
    </row>
    <row r="350" spans="1:15" ht="15">
      <c r="A350" s="72">
        <v>2</v>
      </c>
      <c r="B350" s="70">
        <v>13.6817234068</v>
      </c>
      <c r="C350" s="69">
        <v>-89.195032187899997</v>
      </c>
      <c r="D350" s="71">
        <v>2450</v>
      </c>
      <c r="E350" s="19">
        <v>0</v>
      </c>
      <c r="F350" s="19">
        <f t="shared" si="10"/>
        <v>2450</v>
      </c>
      <c r="G350" s="20">
        <v>102</v>
      </c>
      <c r="H350" s="19" t="str">
        <f t="shared" si="11"/>
        <v>USD</v>
      </c>
      <c r="J350" s="5"/>
      <c r="K350" s="3"/>
      <c r="L350" s="3"/>
      <c r="M350" s="3"/>
      <c r="N350" s="3"/>
      <c r="O350" s="3"/>
    </row>
    <row r="351" spans="1:15" ht="15">
      <c r="A351" s="72">
        <v>2</v>
      </c>
      <c r="B351" s="70">
        <v>13.681577561599999</v>
      </c>
      <c r="C351" s="69">
        <v>-89.195176864499999</v>
      </c>
      <c r="D351" s="71">
        <v>2450</v>
      </c>
      <c r="E351" s="19">
        <v>0</v>
      </c>
      <c r="F351" s="19">
        <f t="shared" si="10"/>
        <v>2450</v>
      </c>
      <c r="G351" s="20">
        <v>102</v>
      </c>
      <c r="H351" s="19" t="str">
        <f t="shared" si="11"/>
        <v>USD</v>
      </c>
      <c r="J351" s="5"/>
      <c r="K351" s="3"/>
      <c r="L351" s="3"/>
      <c r="M351" s="3"/>
      <c r="N351" s="3"/>
      <c r="O351" s="3"/>
    </row>
    <row r="352" spans="1:15" ht="15">
      <c r="A352" s="72">
        <v>2</v>
      </c>
      <c r="B352" s="70">
        <v>13.6816178699</v>
      </c>
      <c r="C352" s="69">
        <v>-89.195015467800005</v>
      </c>
      <c r="D352" s="71">
        <v>2450</v>
      </c>
      <c r="E352" s="19">
        <v>0</v>
      </c>
      <c r="F352" s="19">
        <f t="shared" si="10"/>
        <v>2450</v>
      </c>
      <c r="G352" s="20">
        <v>102</v>
      </c>
      <c r="H352" s="19" t="str">
        <f t="shared" si="11"/>
        <v>USD</v>
      </c>
      <c r="J352" s="5"/>
      <c r="K352" s="3"/>
      <c r="L352" s="3"/>
      <c r="M352" s="3"/>
      <c r="N352" s="3"/>
      <c r="O352" s="3"/>
    </row>
    <row r="353" spans="1:15" ht="15">
      <c r="A353" s="72">
        <v>2</v>
      </c>
      <c r="B353" s="70">
        <v>13.687302070399999</v>
      </c>
      <c r="C353" s="69">
        <v>-89.194715202400005</v>
      </c>
      <c r="D353" s="71">
        <v>2250</v>
      </c>
      <c r="E353" s="19">
        <v>0</v>
      </c>
      <c r="F353" s="19">
        <f t="shared" si="10"/>
        <v>2250</v>
      </c>
      <c r="G353" s="20">
        <v>102</v>
      </c>
      <c r="H353" s="19" t="str">
        <f t="shared" si="11"/>
        <v>USD</v>
      </c>
      <c r="J353" s="5"/>
      <c r="K353" s="3"/>
      <c r="L353" s="3"/>
      <c r="M353" s="3"/>
      <c r="N353" s="3"/>
      <c r="O353" s="3"/>
    </row>
    <row r="354" spans="1:15" ht="15">
      <c r="A354" s="72">
        <v>1</v>
      </c>
      <c r="B354" s="70">
        <v>13.6871622531</v>
      </c>
      <c r="C354" s="69">
        <v>-89.195006618899995</v>
      </c>
      <c r="D354" s="71">
        <v>2250</v>
      </c>
      <c r="E354" s="19">
        <v>0</v>
      </c>
      <c r="F354" s="19">
        <f t="shared" si="10"/>
        <v>2250</v>
      </c>
      <c r="G354" s="20">
        <v>101</v>
      </c>
      <c r="H354" s="19" t="str">
        <f t="shared" si="11"/>
        <v>USD</v>
      </c>
      <c r="J354" s="5"/>
      <c r="K354" s="3"/>
      <c r="L354" s="3"/>
      <c r="M354" s="3"/>
      <c r="N354" s="3"/>
      <c r="O354" s="3"/>
    </row>
    <row r="355" spans="1:15" ht="15">
      <c r="A355" s="72">
        <v>1</v>
      </c>
      <c r="B355" s="70">
        <v>13.6871562994</v>
      </c>
      <c r="C355" s="69">
        <v>-89.194823532900003</v>
      </c>
      <c r="D355" s="71">
        <v>2250</v>
      </c>
      <c r="E355" s="19">
        <v>0</v>
      </c>
      <c r="F355" s="19">
        <f t="shared" si="10"/>
        <v>2250</v>
      </c>
      <c r="G355" s="20">
        <v>101</v>
      </c>
      <c r="H355" s="19" t="str">
        <f t="shared" si="11"/>
        <v>USD</v>
      </c>
      <c r="J355" s="5"/>
      <c r="K355" s="3"/>
      <c r="L355" s="3"/>
      <c r="M355" s="3"/>
      <c r="N355" s="3"/>
      <c r="O355" s="3"/>
    </row>
    <row r="356" spans="1:15" ht="15">
      <c r="A356" s="72">
        <v>1</v>
      </c>
      <c r="B356" s="70">
        <v>13.687231959</v>
      </c>
      <c r="C356" s="69">
        <v>-89.194868723200003</v>
      </c>
      <c r="D356" s="71">
        <v>2250</v>
      </c>
      <c r="E356" s="19">
        <v>0</v>
      </c>
      <c r="F356" s="19">
        <f t="shared" si="10"/>
        <v>2250</v>
      </c>
      <c r="G356" s="20">
        <v>101</v>
      </c>
      <c r="H356" s="19" t="str">
        <f t="shared" si="11"/>
        <v>USD</v>
      </c>
      <c r="J356" s="5"/>
      <c r="K356" s="3"/>
      <c r="L356" s="3"/>
      <c r="M356" s="3"/>
      <c r="N356" s="3"/>
      <c r="O356" s="3"/>
    </row>
    <row r="357" spans="1:15" ht="15">
      <c r="A357" s="72">
        <v>2</v>
      </c>
      <c r="B357" s="70">
        <v>13.6871895524</v>
      </c>
      <c r="C357" s="69">
        <v>-89.194963347200002</v>
      </c>
      <c r="D357" s="71">
        <v>2250</v>
      </c>
      <c r="E357" s="19">
        <v>0</v>
      </c>
      <c r="F357" s="19">
        <f t="shared" si="10"/>
        <v>2250</v>
      </c>
      <c r="G357" s="20">
        <v>102</v>
      </c>
      <c r="H357" s="19" t="str">
        <f t="shared" si="11"/>
        <v>USD</v>
      </c>
      <c r="J357" s="5"/>
      <c r="K357" s="3"/>
      <c r="L357" s="3"/>
      <c r="M357" s="3"/>
      <c r="N357" s="3"/>
      <c r="O357" s="3"/>
    </row>
    <row r="358" spans="1:15" ht="15">
      <c r="A358" s="72">
        <v>2</v>
      </c>
      <c r="B358" s="70">
        <v>13.687213272499999</v>
      </c>
      <c r="C358" s="69">
        <v>-89.194909432900005</v>
      </c>
      <c r="D358" s="71">
        <v>2250</v>
      </c>
      <c r="E358" s="19">
        <v>0</v>
      </c>
      <c r="F358" s="19">
        <f t="shared" si="10"/>
        <v>2250</v>
      </c>
      <c r="G358" s="20">
        <v>102</v>
      </c>
      <c r="H358" s="19" t="str">
        <f t="shared" si="11"/>
        <v>USD</v>
      </c>
      <c r="J358" s="5"/>
      <c r="K358" s="3"/>
      <c r="L358" s="3"/>
      <c r="M358" s="3"/>
      <c r="N358" s="3"/>
      <c r="O358" s="3"/>
    </row>
    <row r="359" spans="1:15" ht="15">
      <c r="A359" s="72">
        <v>2</v>
      </c>
      <c r="B359" s="70">
        <v>13.687212693799999</v>
      </c>
      <c r="C359" s="69">
        <v>-89.194736267099998</v>
      </c>
      <c r="D359" s="71">
        <v>2250</v>
      </c>
      <c r="E359" s="19">
        <v>0</v>
      </c>
      <c r="F359" s="19">
        <f t="shared" si="10"/>
        <v>2250</v>
      </c>
      <c r="G359" s="20">
        <v>102</v>
      </c>
      <c r="H359" s="19" t="str">
        <f t="shared" si="11"/>
        <v>USD</v>
      </c>
      <c r="J359" s="5"/>
      <c r="K359" s="3"/>
      <c r="L359" s="3"/>
      <c r="M359" s="3"/>
      <c r="N359" s="3"/>
      <c r="O359" s="3"/>
    </row>
    <row r="360" spans="1:15" ht="15">
      <c r="A360" s="72">
        <v>2</v>
      </c>
      <c r="B360" s="70">
        <v>13.687147577899999</v>
      </c>
      <c r="C360" s="69">
        <v>-89.194696258899995</v>
      </c>
      <c r="D360" s="71">
        <v>2250</v>
      </c>
      <c r="E360" s="19">
        <v>0</v>
      </c>
      <c r="F360" s="19">
        <f t="shared" si="10"/>
        <v>2250</v>
      </c>
      <c r="G360" s="20">
        <v>102</v>
      </c>
      <c r="H360" s="19" t="str">
        <f t="shared" si="11"/>
        <v>USD</v>
      </c>
      <c r="J360" s="5"/>
      <c r="K360" s="3"/>
      <c r="L360" s="3"/>
      <c r="M360" s="3"/>
      <c r="N360" s="3"/>
      <c r="O360" s="3"/>
    </row>
    <row r="361" spans="1:15" ht="15">
      <c r="A361" s="72">
        <v>2</v>
      </c>
      <c r="B361" s="70">
        <v>13.6871171847</v>
      </c>
      <c r="C361" s="69">
        <v>-89.194675339100002</v>
      </c>
      <c r="D361" s="71">
        <v>2250</v>
      </c>
      <c r="E361" s="19">
        <v>0</v>
      </c>
      <c r="F361" s="19">
        <f t="shared" si="10"/>
        <v>2250</v>
      </c>
      <c r="G361" s="20">
        <v>102</v>
      </c>
      <c r="H361" s="19" t="str">
        <f t="shared" si="11"/>
        <v>USD</v>
      </c>
      <c r="J361" s="5"/>
      <c r="K361" s="3"/>
      <c r="L361" s="3"/>
      <c r="M361" s="3"/>
      <c r="N361" s="3"/>
      <c r="O361" s="3"/>
    </row>
    <row r="362" spans="1:15" ht="15">
      <c r="A362" s="72">
        <v>2</v>
      </c>
      <c r="B362" s="70">
        <v>13.6789088183</v>
      </c>
      <c r="C362" s="69">
        <v>-89.194216542500001</v>
      </c>
      <c r="D362" s="71">
        <v>6525</v>
      </c>
      <c r="E362" s="19">
        <v>0</v>
      </c>
      <c r="F362" s="19">
        <f t="shared" si="10"/>
        <v>6525</v>
      </c>
      <c r="G362" s="20">
        <v>102</v>
      </c>
      <c r="H362" s="19" t="str">
        <f t="shared" si="11"/>
        <v>USD</v>
      </c>
      <c r="J362" s="5"/>
      <c r="K362" s="3"/>
      <c r="L362" s="3"/>
      <c r="M362" s="3"/>
      <c r="N362" s="3"/>
      <c r="O362" s="3"/>
    </row>
    <row r="363" spans="1:15" ht="15">
      <c r="A363" s="72">
        <v>2</v>
      </c>
      <c r="B363" s="70">
        <v>13.6789250029</v>
      </c>
      <c r="C363" s="69">
        <v>-89.194165191899998</v>
      </c>
      <c r="D363" s="71">
        <v>6525</v>
      </c>
      <c r="E363" s="19">
        <v>0</v>
      </c>
      <c r="F363" s="19">
        <f t="shared" si="10"/>
        <v>6525</v>
      </c>
      <c r="G363" s="20">
        <v>102</v>
      </c>
      <c r="H363" s="19" t="str">
        <f t="shared" si="11"/>
        <v>USD</v>
      </c>
      <c r="J363" s="5"/>
      <c r="K363" s="3"/>
      <c r="L363" s="3"/>
      <c r="M363" s="3"/>
      <c r="N363" s="3"/>
      <c r="O363" s="3"/>
    </row>
    <row r="364" spans="1:15" ht="15">
      <c r="A364" s="72">
        <v>2</v>
      </c>
      <c r="B364" s="70">
        <v>13.6789314883</v>
      </c>
      <c r="C364" s="69">
        <v>-89.194128875499999</v>
      </c>
      <c r="D364" s="71">
        <v>6525</v>
      </c>
      <c r="E364" s="19">
        <v>0</v>
      </c>
      <c r="F364" s="19">
        <f t="shared" si="10"/>
        <v>6525</v>
      </c>
      <c r="G364" s="20">
        <v>102</v>
      </c>
      <c r="H364" s="19" t="str">
        <f t="shared" si="11"/>
        <v>USD</v>
      </c>
      <c r="J364" s="5"/>
      <c r="K364" s="3"/>
      <c r="L364" s="3"/>
      <c r="M364" s="3"/>
      <c r="N364" s="3"/>
      <c r="O364" s="3"/>
    </row>
    <row r="365" spans="1:15" ht="15">
      <c r="A365" s="72">
        <v>2</v>
      </c>
      <c r="B365" s="70">
        <v>13.6789419261</v>
      </c>
      <c r="C365" s="69">
        <v>-89.194086326299995</v>
      </c>
      <c r="D365" s="71">
        <v>6525</v>
      </c>
      <c r="E365" s="19">
        <v>0</v>
      </c>
      <c r="F365" s="19">
        <f t="shared" si="10"/>
        <v>6525</v>
      </c>
      <c r="G365" s="20">
        <v>102</v>
      </c>
      <c r="H365" s="19" t="str">
        <f t="shared" si="11"/>
        <v>USD</v>
      </c>
      <c r="J365" s="5"/>
      <c r="K365" s="3"/>
      <c r="L365" s="3"/>
      <c r="M365" s="3"/>
      <c r="N365" s="3"/>
      <c r="O365" s="3"/>
    </row>
    <row r="366" spans="1:15" ht="15">
      <c r="A366" s="72">
        <v>2</v>
      </c>
      <c r="B366" s="70">
        <v>13.678952002000001</v>
      </c>
      <c r="C366" s="69">
        <v>-89.194046343799997</v>
      </c>
      <c r="D366" s="71">
        <v>6525</v>
      </c>
      <c r="E366" s="19">
        <v>0</v>
      </c>
      <c r="F366" s="19">
        <f t="shared" si="10"/>
        <v>6525</v>
      </c>
      <c r="G366" s="20">
        <v>102</v>
      </c>
      <c r="H366" s="19" t="str">
        <f t="shared" si="11"/>
        <v>USD</v>
      </c>
      <c r="J366" s="5"/>
      <c r="K366" s="3"/>
      <c r="L366" s="3"/>
      <c r="M366" s="3"/>
      <c r="N366" s="3"/>
      <c r="O366" s="3"/>
    </row>
    <row r="367" spans="1:15" ht="15">
      <c r="A367" s="72">
        <v>2</v>
      </c>
      <c r="B367" s="70">
        <v>13.6788905733</v>
      </c>
      <c r="C367" s="69">
        <v>-89.194031397800003</v>
      </c>
      <c r="D367" s="71">
        <v>6525</v>
      </c>
      <c r="E367" s="19">
        <v>0</v>
      </c>
      <c r="F367" s="19">
        <f t="shared" si="10"/>
        <v>6525</v>
      </c>
      <c r="G367" s="20">
        <v>102</v>
      </c>
      <c r="H367" s="19" t="str">
        <f t="shared" si="11"/>
        <v>USD</v>
      </c>
      <c r="J367" s="5"/>
      <c r="K367" s="3"/>
      <c r="L367" s="3"/>
      <c r="M367" s="3"/>
      <c r="N367" s="3"/>
      <c r="O367" s="3"/>
    </row>
    <row r="368" spans="1:15" ht="15">
      <c r="A368" s="72">
        <v>2</v>
      </c>
      <c r="B368" s="70">
        <v>13.678890541099999</v>
      </c>
      <c r="C368" s="69">
        <v>-89.194029779100006</v>
      </c>
      <c r="D368" s="71">
        <v>6525</v>
      </c>
      <c r="E368" s="19">
        <v>0</v>
      </c>
      <c r="F368" s="19">
        <f t="shared" si="10"/>
        <v>6525</v>
      </c>
      <c r="G368" s="20">
        <v>102</v>
      </c>
      <c r="H368" s="19" t="str">
        <f t="shared" si="11"/>
        <v>USD</v>
      </c>
      <c r="J368" s="5"/>
      <c r="K368" s="3"/>
      <c r="L368" s="3"/>
      <c r="M368" s="3"/>
      <c r="N368" s="3"/>
      <c r="O368" s="3"/>
    </row>
    <row r="369" spans="1:15" ht="15">
      <c r="A369" s="72">
        <v>2</v>
      </c>
      <c r="B369" s="70">
        <v>13.6788569711</v>
      </c>
      <c r="C369" s="69">
        <v>-89.194019589199996</v>
      </c>
      <c r="D369" s="71">
        <v>6525</v>
      </c>
      <c r="E369" s="19">
        <v>0</v>
      </c>
      <c r="F369" s="19">
        <f t="shared" si="10"/>
        <v>6525</v>
      </c>
      <c r="G369" s="20">
        <v>102</v>
      </c>
      <c r="H369" s="19" t="str">
        <f t="shared" si="11"/>
        <v>USD</v>
      </c>
      <c r="J369" s="5"/>
      <c r="K369" s="3"/>
      <c r="L369" s="3"/>
      <c r="M369" s="3"/>
      <c r="N369" s="3"/>
      <c r="O369" s="3"/>
    </row>
    <row r="370" spans="1:15" ht="15">
      <c r="A370" s="72">
        <v>1</v>
      </c>
      <c r="B370" s="70">
        <v>13.6788563924</v>
      </c>
      <c r="C370" s="69">
        <v>-89.194018666100007</v>
      </c>
      <c r="D370" s="71">
        <v>6525</v>
      </c>
      <c r="E370" s="19">
        <v>0</v>
      </c>
      <c r="F370" s="19">
        <f t="shared" si="10"/>
        <v>6525</v>
      </c>
      <c r="G370" s="20">
        <v>101</v>
      </c>
      <c r="H370" s="19" t="str">
        <f t="shared" si="11"/>
        <v>USD</v>
      </c>
      <c r="J370" s="5"/>
      <c r="K370" s="3"/>
      <c r="L370" s="3"/>
      <c r="M370" s="3"/>
      <c r="N370" s="3"/>
      <c r="O370" s="3"/>
    </row>
    <row r="371" spans="1:15" ht="15">
      <c r="A371" s="72">
        <v>2</v>
      </c>
      <c r="B371" s="70">
        <v>13.6788208122</v>
      </c>
      <c r="C371" s="69">
        <v>-89.194008358999994</v>
      </c>
      <c r="D371" s="71">
        <v>6525</v>
      </c>
      <c r="E371" s="19">
        <v>0</v>
      </c>
      <c r="F371" s="19">
        <f t="shared" si="10"/>
        <v>6525</v>
      </c>
      <c r="G371" s="20">
        <v>102</v>
      </c>
      <c r="H371" s="19" t="str">
        <f t="shared" si="11"/>
        <v>USD</v>
      </c>
      <c r="J371" s="5"/>
      <c r="K371" s="3"/>
      <c r="L371" s="3"/>
      <c r="M371" s="3"/>
      <c r="N371" s="3"/>
      <c r="O371" s="3"/>
    </row>
    <row r="372" spans="1:15" ht="15">
      <c r="A372" s="72">
        <v>2</v>
      </c>
      <c r="B372" s="70">
        <v>13.6787887169</v>
      </c>
      <c r="C372" s="69">
        <v>-89.193993140399996</v>
      </c>
      <c r="D372" s="71">
        <v>6525</v>
      </c>
      <c r="E372" s="19">
        <v>0</v>
      </c>
      <c r="F372" s="19">
        <f t="shared" si="10"/>
        <v>6525</v>
      </c>
      <c r="G372" s="20">
        <v>102</v>
      </c>
      <c r="H372" s="19" t="str">
        <f t="shared" si="11"/>
        <v>USD</v>
      </c>
      <c r="J372" s="5"/>
      <c r="K372" s="3"/>
      <c r="L372" s="3"/>
      <c r="M372" s="3"/>
      <c r="N372" s="3"/>
      <c r="O372" s="3"/>
    </row>
    <row r="373" spans="1:15" ht="15">
      <c r="A373" s="72">
        <v>2</v>
      </c>
      <c r="B373" s="70">
        <v>13.678960974200001</v>
      </c>
      <c r="C373" s="69">
        <v>-89.194014486200004</v>
      </c>
      <c r="D373" s="71">
        <v>6525</v>
      </c>
      <c r="E373" s="19">
        <v>0</v>
      </c>
      <c r="F373" s="19">
        <f t="shared" si="10"/>
        <v>6525</v>
      </c>
      <c r="G373" s="20">
        <v>102</v>
      </c>
      <c r="H373" s="19" t="str">
        <f t="shared" si="11"/>
        <v>USD</v>
      </c>
      <c r="J373" s="5"/>
      <c r="K373" s="3"/>
      <c r="L373" s="3"/>
      <c r="M373" s="3"/>
      <c r="N373" s="3"/>
      <c r="O373" s="3"/>
    </row>
    <row r="374" spans="1:15" ht="15">
      <c r="A374" s="72">
        <v>2</v>
      </c>
      <c r="B374" s="70">
        <v>13.678960994100001</v>
      </c>
      <c r="C374" s="69">
        <v>-89.194013233600003</v>
      </c>
      <c r="D374" s="71">
        <v>6525</v>
      </c>
      <c r="E374" s="19">
        <v>0</v>
      </c>
      <c r="F374" s="19">
        <f t="shared" si="10"/>
        <v>6525</v>
      </c>
      <c r="G374" s="20">
        <v>102</v>
      </c>
      <c r="H374" s="19" t="str">
        <f t="shared" si="11"/>
        <v>USD</v>
      </c>
      <c r="J374" s="5"/>
      <c r="K374" s="3"/>
      <c r="L374" s="3"/>
      <c r="M374" s="3"/>
      <c r="N374" s="3"/>
      <c r="O374" s="3"/>
    </row>
    <row r="375" spans="1:15" ht="15">
      <c r="A375" s="72">
        <v>1</v>
      </c>
      <c r="B375" s="70">
        <v>13.678878604099999</v>
      </c>
      <c r="C375" s="69">
        <v>-89.193567172599998</v>
      </c>
      <c r="D375" s="71">
        <v>6525</v>
      </c>
      <c r="E375" s="19">
        <v>0</v>
      </c>
      <c r="F375" s="19">
        <f t="shared" si="10"/>
        <v>6525</v>
      </c>
      <c r="G375" s="20">
        <v>101</v>
      </c>
      <c r="H375" s="19" t="str">
        <f t="shared" si="11"/>
        <v>USD</v>
      </c>
      <c r="J375" s="5"/>
      <c r="K375" s="3"/>
      <c r="L375" s="3"/>
      <c r="M375" s="3"/>
      <c r="N375" s="3"/>
      <c r="O375" s="3"/>
    </row>
    <row r="376" spans="1:15" ht="15">
      <c r="A376" s="72">
        <v>2</v>
      </c>
      <c r="B376" s="70">
        <v>13.677341391800001</v>
      </c>
      <c r="C376" s="69">
        <v>-89.194924892499998</v>
      </c>
      <c r="D376" s="71">
        <v>6525</v>
      </c>
      <c r="E376" s="19">
        <v>0</v>
      </c>
      <c r="F376" s="19">
        <f t="shared" si="10"/>
        <v>6525</v>
      </c>
      <c r="G376" s="20">
        <v>102</v>
      </c>
      <c r="H376" s="19" t="str">
        <f t="shared" si="11"/>
        <v>USD</v>
      </c>
      <c r="J376" s="5"/>
      <c r="K376" s="3"/>
      <c r="L376" s="3"/>
      <c r="M376" s="3"/>
      <c r="N376" s="3"/>
      <c r="O376" s="3"/>
    </row>
    <row r="377" spans="1:15" ht="15">
      <c r="A377" s="72">
        <v>2</v>
      </c>
      <c r="B377" s="70">
        <v>13.6771318652</v>
      </c>
      <c r="C377" s="69">
        <v>-89.194989779500006</v>
      </c>
      <c r="D377" s="71">
        <v>6525</v>
      </c>
      <c r="E377" s="19">
        <v>0</v>
      </c>
      <c r="F377" s="19">
        <f t="shared" si="10"/>
        <v>6525</v>
      </c>
      <c r="G377" s="20">
        <v>102</v>
      </c>
      <c r="H377" s="19" t="str">
        <f t="shared" si="11"/>
        <v>USD</v>
      </c>
      <c r="J377" s="5"/>
      <c r="K377" s="3"/>
      <c r="L377" s="3"/>
      <c r="M377" s="3"/>
      <c r="N377" s="3"/>
      <c r="O377" s="3"/>
    </row>
    <row r="378" spans="1:15" ht="15">
      <c r="A378" s="72">
        <v>2</v>
      </c>
      <c r="B378" s="70">
        <v>13.677001280800001</v>
      </c>
      <c r="C378" s="69">
        <v>-89.194991138299997</v>
      </c>
      <c r="D378" s="71">
        <v>6525</v>
      </c>
      <c r="E378" s="19">
        <v>0</v>
      </c>
      <c r="F378" s="19">
        <f t="shared" si="10"/>
        <v>6525</v>
      </c>
      <c r="G378" s="20">
        <v>102</v>
      </c>
      <c r="H378" s="19" t="str">
        <f t="shared" si="11"/>
        <v>USD</v>
      </c>
      <c r="J378" s="5"/>
      <c r="K378" s="3"/>
      <c r="L378" s="3"/>
      <c r="M378" s="3"/>
      <c r="N378" s="3"/>
      <c r="O378" s="3"/>
    </row>
    <row r="379" spans="1:15" ht="15">
      <c r="A379" s="72">
        <v>2</v>
      </c>
      <c r="B379" s="70">
        <v>13.6768879137</v>
      </c>
      <c r="C379" s="69">
        <v>-89.194995447300002</v>
      </c>
      <c r="D379" s="71">
        <v>6525</v>
      </c>
      <c r="E379" s="19">
        <v>0</v>
      </c>
      <c r="F379" s="19">
        <f t="shared" si="10"/>
        <v>6525</v>
      </c>
      <c r="G379" s="20">
        <v>102</v>
      </c>
      <c r="H379" s="19" t="str">
        <f t="shared" si="11"/>
        <v>USD</v>
      </c>
      <c r="J379" s="5"/>
      <c r="K379" s="3"/>
      <c r="L379" s="3"/>
      <c r="M379" s="3"/>
      <c r="N379" s="3"/>
      <c r="O379" s="3"/>
    </row>
    <row r="380" spans="1:15" ht="15">
      <c r="A380" s="72">
        <v>2</v>
      </c>
      <c r="B380" s="70">
        <v>13.6768665697</v>
      </c>
      <c r="C380" s="69">
        <v>-89.194767963999993</v>
      </c>
      <c r="D380" s="71">
        <v>6525</v>
      </c>
      <c r="E380" s="19">
        <v>0</v>
      </c>
      <c r="F380" s="19">
        <f t="shared" si="10"/>
        <v>6525</v>
      </c>
      <c r="G380" s="20">
        <v>102</v>
      </c>
      <c r="H380" s="19" t="str">
        <f t="shared" si="11"/>
        <v>USD</v>
      </c>
      <c r="J380" s="5"/>
      <c r="K380" s="3"/>
      <c r="L380" s="3"/>
      <c r="M380" s="3"/>
      <c r="N380" s="3"/>
      <c r="O380" s="3"/>
    </row>
    <row r="381" spans="1:15" ht="15">
      <c r="A381" s="72">
        <v>2</v>
      </c>
      <c r="B381" s="70">
        <v>13.676858058600001</v>
      </c>
      <c r="C381" s="69">
        <v>-89.194643217600003</v>
      </c>
      <c r="D381" s="71">
        <v>6525</v>
      </c>
      <c r="E381" s="19">
        <v>0</v>
      </c>
      <c r="F381" s="19">
        <f t="shared" si="10"/>
        <v>6525</v>
      </c>
      <c r="G381" s="20">
        <v>102</v>
      </c>
      <c r="H381" s="19" t="str">
        <f t="shared" si="11"/>
        <v>USD</v>
      </c>
      <c r="J381" s="5"/>
      <c r="K381" s="3"/>
      <c r="L381" s="3"/>
      <c r="M381" s="3"/>
      <c r="N381" s="3"/>
      <c r="O381" s="3"/>
    </row>
    <row r="382" spans="1:15" ht="15">
      <c r="A382" s="72">
        <v>2</v>
      </c>
      <c r="B382" s="70">
        <v>13.676945548699999</v>
      </c>
      <c r="C382" s="69">
        <v>-89.194697587700006</v>
      </c>
      <c r="D382" s="71">
        <v>6525</v>
      </c>
      <c r="E382" s="19">
        <v>0</v>
      </c>
      <c r="F382" s="19">
        <f t="shared" si="10"/>
        <v>6525</v>
      </c>
      <c r="G382" s="20">
        <v>102</v>
      </c>
      <c r="H382" s="19" t="str">
        <f t="shared" si="11"/>
        <v>USD</v>
      </c>
      <c r="J382" s="5"/>
      <c r="K382" s="3"/>
      <c r="L382" s="3"/>
      <c r="M382" s="3"/>
      <c r="N382" s="3"/>
      <c r="O382" s="3"/>
    </row>
    <row r="383" spans="1:15" ht="15">
      <c r="A383" s="72">
        <v>2</v>
      </c>
      <c r="B383" s="70">
        <v>13.6770876688</v>
      </c>
      <c r="C383" s="69">
        <v>-89.194625797399993</v>
      </c>
      <c r="D383" s="71">
        <v>6525</v>
      </c>
      <c r="E383" s="19">
        <v>0</v>
      </c>
      <c r="F383" s="19">
        <f t="shared" si="10"/>
        <v>6525</v>
      </c>
      <c r="G383" s="20">
        <v>102</v>
      </c>
      <c r="H383" s="19" t="str">
        <f t="shared" si="11"/>
        <v>USD</v>
      </c>
      <c r="J383" s="5"/>
      <c r="K383" s="3"/>
      <c r="L383" s="3"/>
      <c r="M383" s="3"/>
      <c r="N383" s="3"/>
      <c r="O383" s="3"/>
    </row>
    <row r="384" spans="1:15" ht="15">
      <c r="A384" s="72">
        <v>2</v>
      </c>
      <c r="B384" s="70">
        <v>13.6772125714</v>
      </c>
      <c r="C384" s="69">
        <v>-89.194551056899996</v>
      </c>
      <c r="D384" s="71">
        <v>6525</v>
      </c>
      <c r="E384" s="19">
        <v>0</v>
      </c>
      <c r="F384" s="19">
        <f t="shared" si="10"/>
        <v>6525</v>
      </c>
      <c r="G384" s="20">
        <v>102</v>
      </c>
      <c r="H384" s="19" t="str">
        <f t="shared" si="11"/>
        <v>USD</v>
      </c>
      <c r="J384" s="5"/>
      <c r="K384" s="3"/>
      <c r="L384" s="3"/>
      <c r="M384" s="3"/>
      <c r="N384" s="3"/>
      <c r="O384" s="3"/>
    </row>
    <row r="385" spans="1:15" ht="15">
      <c r="A385" s="72">
        <v>2</v>
      </c>
      <c r="B385" s="70">
        <v>13.6773561178</v>
      </c>
      <c r="C385" s="69">
        <v>-89.194489539800003</v>
      </c>
      <c r="D385" s="71">
        <v>6525</v>
      </c>
      <c r="E385" s="19">
        <v>0</v>
      </c>
      <c r="F385" s="19">
        <f t="shared" si="10"/>
        <v>6525</v>
      </c>
      <c r="G385" s="20">
        <v>102</v>
      </c>
      <c r="H385" s="19" t="str">
        <f t="shared" si="11"/>
        <v>USD</v>
      </c>
      <c r="J385" s="5"/>
      <c r="K385" s="3"/>
      <c r="L385" s="3"/>
      <c r="M385" s="3"/>
      <c r="N385" s="3"/>
      <c r="O385" s="3"/>
    </row>
    <row r="386" spans="1:15" ht="15">
      <c r="A386" s="72">
        <v>2</v>
      </c>
      <c r="B386" s="70">
        <v>13.6774136457</v>
      </c>
      <c r="C386" s="69">
        <v>-89.194326692199994</v>
      </c>
      <c r="D386" s="71">
        <v>6525</v>
      </c>
      <c r="E386" s="19">
        <v>0</v>
      </c>
      <c r="F386" s="19">
        <f t="shared" si="10"/>
        <v>6525</v>
      </c>
      <c r="G386" s="20">
        <v>102</v>
      </c>
      <c r="H386" s="19" t="str">
        <f t="shared" si="11"/>
        <v>USD</v>
      </c>
      <c r="J386" s="5"/>
      <c r="K386" s="3"/>
      <c r="L386" s="3"/>
      <c r="M386" s="3"/>
      <c r="N386" s="3"/>
      <c r="O386" s="3"/>
    </row>
    <row r="387" spans="1:15" ht="15">
      <c r="A387" s="72">
        <v>2</v>
      </c>
      <c r="B387" s="70">
        <v>13.6769831692</v>
      </c>
      <c r="C387" s="69">
        <v>-89.194304324100003</v>
      </c>
      <c r="D387" s="71">
        <v>6525</v>
      </c>
      <c r="E387" s="19">
        <v>0</v>
      </c>
      <c r="F387" s="19">
        <f t="shared" ref="F387:F450" si="12">D387</f>
        <v>6525</v>
      </c>
      <c r="G387" s="20">
        <v>102</v>
      </c>
      <c r="H387" s="19" t="str">
        <f t="shared" ref="H387:H450" si="13">IF(OR(A387&lt;17,A387=21),"USD","people")</f>
        <v>USD</v>
      </c>
      <c r="J387" s="5"/>
      <c r="K387" s="3"/>
      <c r="L387" s="3"/>
      <c r="M387" s="3"/>
      <c r="N387" s="3"/>
      <c r="O387" s="3"/>
    </row>
    <row r="388" spans="1:15" ht="15">
      <c r="A388" s="72">
        <v>2</v>
      </c>
      <c r="B388" s="70">
        <v>13.676866890099999</v>
      </c>
      <c r="C388" s="69">
        <v>-89.194362928700002</v>
      </c>
      <c r="D388" s="71">
        <v>6525</v>
      </c>
      <c r="E388" s="19">
        <v>0</v>
      </c>
      <c r="F388" s="19">
        <f t="shared" si="12"/>
        <v>6525</v>
      </c>
      <c r="G388" s="20">
        <v>102</v>
      </c>
      <c r="H388" s="19" t="str">
        <f t="shared" si="13"/>
        <v>USD</v>
      </c>
      <c r="J388" s="5"/>
      <c r="K388" s="3"/>
      <c r="L388" s="3"/>
      <c r="M388" s="3"/>
      <c r="N388" s="3"/>
      <c r="O388" s="3"/>
    </row>
    <row r="389" spans="1:15" ht="15">
      <c r="A389" s="72">
        <v>2</v>
      </c>
      <c r="B389" s="70">
        <v>13.676760698200001</v>
      </c>
      <c r="C389" s="69">
        <v>-89.194714873799995</v>
      </c>
      <c r="D389" s="71">
        <v>6525</v>
      </c>
      <c r="E389" s="19">
        <v>0</v>
      </c>
      <c r="F389" s="19">
        <f t="shared" si="12"/>
        <v>6525</v>
      </c>
      <c r="G389" s="20">
        <v>102</v>
      </c>
      <c r="H389" s="19" t="str">
        <f t="shared" si="13"/>
        <v>USD</v>
      </c>
      <c r="J389" s="5"/>
      <c r="K389" s="3"/>
      <c r="L389" s="3"/>
      <c r="M389" s="3"/>
      <c r="N389" s="3"/>
      <c r="O389" s="3"/>
    </row>
    <row r="390" spans="1:15" ht="15">
      <c r="A390" s="72">
        <v>2</v>
      </c>
      <c r="B390" s="70">
        <v>13.676686604</v>
      </c>
      <c r="C390" s="69">
        <v>-89.194656111800001</v>
      </c>
      <c r="D390" s="71">
        <v>6525</v>
      </c>
      <c r="E390" s="19">
        <v>0</v>
      </c>
      <c r="F390" s="19">
        <f t="shared" si="12"/>
        <v>6525</v>
      </c>
      <c r="G390" s="20">
        <v>102</v>
      </c>
      <c r="H390" s="19" t="str">
        <f t="shared" si="13"/>
        <v>USD</v>
      </c>
      <c r="J390" s="5"/>
      <c r="K390" s="3"/>
      <c r="L390" s="3"/>
      <c r="M390" s="3"/>
      <c r="N390" s="3"/>
      <c r="O390" s="3"/>
    </row>
    <row r="391" spans="1:15" ht="15">
      <c r="A391" s="72">
        <v>2</v>
      </c>
      <c r="B391" s="70">
        <v>13.6766939178</v>
      </c>
      <c r="C391" s="69">
        <v>-89.194480016</v>
      </c>
      <c r="D391" s="71">
        <v>6525</v>
      </c>
      <c r="E391" s="19">
        <v>0</v>
      </c>
      <c r="F391" s="19">
        <f t="shared" si="12"/>
        <v>6525</v>
      </c>
      <c r="G391" s="20">
        <v>102</v>
      </c>
      <c r="H391" s="19" t="str">
        <f t="shared" si="13"/>
        <v>USD</v>
      </c>
      <c r="J391" s="5"/>
      <c r="K391" s="3"/>
      <c r="L391" s="3"/>
      <c r="M391" s="3"/>
      <c r="N391" s="3"/>
      <c r="O391" s="3"/>
    </row>
    <row r="392" spans="1:15" ht="15">
      <c r="A392" s="72">
        <v>2</v>
      </c>
      <c r="B392" s="70">
        <v>13.676671387100001</v>
      </c>
      <c r="C392" s="69">
        <v>-89.194240302799997</v>
      </c>
      <c r="D392" s="71">
        <v>6525</v>
      </c>
      <c r="E392" s="19">
        <v>0</v>
      </c>
      <c r="F392" s="19">
        <f t="shared" si="12"/>
        <v>6525</v>
      </c>
      <c r="G392" s="20">
        <v>102</v>
      </c>
      <c r="H392" s="19" t="str">
        <f t="shared" si="13"/>
        <v>USD</v>
      </c>
      <c r="J392" s="5"/>
      <c r="K392" s="3"/>
      <c r="L392" s="3"/>
      <c r="M392" s="3"/>
      <c r="N392" s="3"/>
      <c r="O392" s="3"/>
    </row>
    <row r="393" spans="1:15" ht="15">
      <c r="A393" s="72">
        <v>2</v>
      </c>
      <c r="B393" s="70">
        <v>13.6769070256</v>
      </c>
      <c r="C393" s="69">
        <v>-89.194161006599998</v>
      </c>
      <c r="D393" s="71">
        <v>6525</v>
      </c>
      <c r="E393" s="19">
        <v>0</v>
      </c>
      <c r="F393" s="19">
        <f t="shared" si="12"/>
        <v>6525</v>
      </c>
      <c r="G393" s="20">
        <v>102</v>
      </c>
      <c r="H393" s="19" t="str">
        <f t="shared" si="13"/>
        <v>USD</v>
      </c>
      <c r="J393" s="5"/>
      <c r="K393" s="3"/>
      <c r="L393" s="3"/>
      <c r="M393" s="3"/>
      <c r="N393" s="3"/>
      <c r="O393" s="3"/>
    </row>
    <row r="394" spans="1:15" ht="15">
      <c r="A394" s="72">
        <v>2</v>
      </c>
      <c r="B394" s="70">
        <v>13.677824696</v>
      </c>
      <c r="C394" s="69">
        <v>-89.194684977999998</v>
      </c>
      <c r="D394" s="71">
        <v>6525</v>
      </c>
      <c r="E394" s="19">
        <v>0</v>
      </c>
      <c r="F394" s="19">
        <f t="shared" si="12"/>
        <v>6525</v>
      </c>
      <c r="G394" s="20">
        <v>102</v>
      </c>
      <c r="H394" s="19" t="str">
        <f t="shared" si="13"/>
        <v>USD</v>
      </c>
      <c r="J394" s="5"/>
      <c r="K394" s="3"/>
      <c r="L394" s="3"/>
      <c r="M394" s="3"/>
      <c r="N394" s="3"/>
      <c r="O394" s="3"/>
    </row>
    <row r="395" spans="1:15" ht="15">
      <c r="A395" s="72">
        <v>2</v>
      </c>
      <c r="B395" s="70">
        <v>13.678010027299999</v>
      </c>
      <c r="C395" s="69">
        <v>-89.194408502000002</v>
      </c>
      <c r="D395" s="71">
        <v>6525</v>
      </c>
      <c r="E395" s="19">
        <v>0</v>
      </c>
      <c r="F395" s="19">
        <f t="shared" si="12"/>
        <v>6525</v>
      </c>
      <c r="G395" s="20">
        <v>102</v>
      </c>
      <c r="H395" s="19" t="str">
        <f t="shared" si="13"/>
        <v>USD</v>
      </c>
      <c r="J395" s="5"/>
      <c r="K395" s="3"/>
      <c r="L395" s="3"/>
      <c r="M395" s="3"/>
      <c r="N395" s="3"/>
      <c r="O395" s="3"/>
    </row>
    <row r="396" spans="1:15" ht="15">
      <c r="A396" s="72">
        <v>2</v>
      </c>
      <c r="B396" s="70">
        <v>13.677810581899999</v>
      </c>
      <c r="C396" s="69">
        <v>-89.194387058800004</v>
      </c>
      <c r="D396" s="71">
        <v>6525</v>
      </c>
      <c r="E396" s="19">
        <v>0</v>
      </c>
      <c r="F396" s="19">
        <f t="shared" si="12"/>
        <v>6525</v>
      </c>
      <c r="G396" s="20">
        <v>102</v>
      </c>
      <c r="H396" s="19" t="str">
        <f t="shared" si="13"/>
        <v>USD</v>
      </c>
      <c r="J396" s="5"/>
      <c r="K396" s="3"/>
      <c r="L396" s="3"/>
      <c r="M396" s="3"/>
      <c r="N396" s="3"/>
      <c r="O396" s="3"/>
    </row>
    <row r="397" spans="1:15" ht="15">
      <c r="A397" s="72">
        <v>2</v>
      </c>
      <c r="B397" s="70">
        <v>13.6780130422</v>
      </c>
      <c r="C397" s="69">
        <v>-89.194225064500003</v>
      </c>
      <c r="D397" s="71">
        <v>6525</v>
      </c>
      <c r="E397" s="19">
        <v>0</v>
      </c>
      <c r="F397" s="19">
        <f t="shared" si="12"/>
        <v>6525</v>
      </c>
      <c r="G397" s="20">
        <v>102</v>
      </c>
      <c r="H397" s="19" t="str">
        <f t="shared" si="13"/>
        <v>USD</v>
      </c>
      <c r="J397" s="5"/>
      <c r="K397" s="3"/>
      <c r="L397" s="3"/>
      <c r="M397" s="3"/>
      <c r="N397" s="3"/>
      <c r="O397" s="3"/>
    </row>
    <row r="398" spans="1:15" ht="15">
      <c r="A398" s="72">
        <v>2</v>
      </c>
      <c r="B398" s="70">
        <v>13.6780015965</v>
      </c>
      <c r="C398" s="69">
        <v>-89.194181762400007</v>
      </c>
      <c r="D398" s="71">
        <v>6525</v>
      </c>
      <c r="E398" s="19">
        <v>0</v>
      </c>
      <c r="F398" s="19">
        <f t="shared" si="12"/>
        <v>6525</v>
      </c>
      <c r="G398" s="20">
        <v>102</v>
      </c>
      <c r="H398" s="19" t="str">
        <f t="shared" si="13"/>
        <v>USD</v>
      </c>
      <c r="J398" s="5"/>
      <c r="K398" s="3"/>
      <c r="L398" s="3"/>
      <c r="M398" s="3"/>
      <c r="N398" s="3"/>
      <c r="O398" s="3"/>
    </row>
    <row r="399" spans="1:15" ht="15">
      <c r="A399" s="72">
        <v>2</v>
      </c>
      <c r="B399" s="70">
        <v>13.677478001400001</v>
      </c>
      <c r="C399" s="69">
        <v>-89.194794021500002</v>
      </c>
      <c r="D399" s="71">
        <v>6525</v>
      </c>
      <c r="E399" s="19">
        <v>0</v>
      </c>
      <c r="F399" s="19">
        <f t="shared" si="12"/>
        <v>6525</v>
      </c>
      <c r="G399" s="20">
        <v>102</v>
      </c>
      <c r="H399" s="19" t="str">
        <f t="shared" si="13"/>
        <v>USD</v>
      </c>
      <c r="J399" s="5"/>
      <c r="K399" s="3"/>
      <c r="L399" s="3"/>
      <c r="M399" s="3"/>
      <c r="N399" s="3"/>
      <c r="O399" s="3"/>
    </row>
    <row r="400" spans="1:15" ht="15">
      <c r="A400" s="72">
        <v>2</v>
      </c>
      <c r="B400" s="70">
        <v>13.677620105200001</v>
      </c>
      <c r="C400" s="69">
        <v>-89.194742775500004</v>
      </c>
      <c r="D400" s="71">
        <v>6525</v>
      </c>
      <c r="E400" s="19">
        <v>0</v>
      </c>
      <c r="F400" s="19">
        <f t="shared" si="12"/>
        <v>6525</v>
      </c>
      <c r="G400" s="20">
        <v>102</v>
      </c>
      <c r="H400" s="19" t="str">
        <f t="shared" si="13"/>
        <v>USD</v>
      </c>
      <c r="J400" s="5"/>
      <c r="K400" s="3"/>
      <c r="L400" s="3"/>
      <c r="M400" s="3"/>
      <c r="N400" s="3"/>
      <c r="O400" s="3"/>
    </row>
    <row r="401" spans="1:15" ht="15">
      <c r="A401" s="72">
        <v>2</v>
      </c>
      <c r="B401" s="70">
        <v>13.6776662932</v>
      </c>
      <c r="C401" s="69">
        <v>-89.194403081800004</v>
      </c>
      <c r="D401" s="71">
        <v>6525</v>
      </c>
      <c r="E401" s="19">
        <v>0</v>
      </c>
      <c r="F401" s="19">
        <f t="shared" si="12"/>
        <v>6525</v>
      </c>
      <c r="G401" s="20">
        <v>102</v>
      </c>
      <c r="H401" s="19" t="str">
        <f t="shared" si="13"/>
        <v>USD</v>
      </c>
      <c r="J401" s="5"/>
      <c r="K401" s="3"/>
      <c r="L401" s="3"/>
      <c r="M401" s="3"/>
      <c r="N401" s="3"/>
      <c r="O401" s="3"/>
    </row>
    <row r="402" spans="1:15" ht="15">
      <c r="A402" s="72">
        <v>1</v>
      </c>
      <c r="B402" s="70">
        <v>13.677616969800001</v>
      </c>
      <c r="C402" s="69">
        <v>-89.194171905700003</v>
      </c>
      <c r="D402" s="71">
        <v>6525</v>
      </c>
      <c r="E402" s="19">
        <v>0</v>
      </c>
      <c r="F402" s="19">
        <f t="shared" si="12"/>
        <v>6525</v>
      </c>
      <c r="G402" s="20">
        <v>101</v>
      </c>
      <c r="H402" s="19" t="str">
        <f t="shared" si="13"/>
        <v>USD</v>
      </c>
      <c r="J402" s="5"/>
      <c r="K402" s="3"/>
      <c r="L402" s="3"/>
      <c r="M402" s="3"/>
      <c r="N402" s="3"/>
      <c r="O402" s="3"/>
    </row>
    <row r="403" spans="1:15" ht="15">
      <c r="A403" s="72">
        <v>2</v>
      </c>
      <c r="B403" s="70">
        <v>13.6781198942</v>
      </c>
      <c r="C403" s="69">
        <v>-89.194216836600006</v>
      </c>
      <c r="D403" s="71">
        <v>6525</v>
      </c>
      <c r="E403" s="19">
        <v>0</v>
      </c>
      <c r="F403" s="19">
        <f t="shared" si="12"/>
        <v>6525</v>
      </c>
      <c r="G403" s="20">
        <v>102</v>
      </c>
      <c r="H403" s="19" t="str">
        <f t="shared" si="13"/>
        <v>USD</v>
      </c>
      <c r="J403" s="5"/>
      <c r="K403" s="3"/>
      <c r="L403" s="3"/>
      <c r="M403" s="3"/>
      <c r="N403" s="3"/>
      <c r="O403" s="3"/>
    </row>
    <row r="404" spans="1:15" ht="15">
      <c r="A404" s="72">
        <v>2</v>
      </c>
      <c r="B404" s="70">
        <v>13.677981370199999</v>
      </c>
      <c r="C404" s="69">
        <v>-89.193975803300006</v>
      </c>
      <c r="D404" s="71">
        <v>6525</v>
      </c>
      <c r="E404" s="19">
        <v>0</v>
      </c>
      <c r="F404" s="19">
        <f t="shared" si="12"/>
        <v>6525</v>
      </c>
      <c r="G404" s="20">
        <v>102</v>
      </c>
      <c r="H404" s="19" t="str">
        <f t="shared" si="13"/>
        <v>USD</v>
      </c>
      <c r="J404" s="5"/>
      <c r="K404" s="3"/>
      <c r="L404" s="3"/>
      <c r="M404" s="3"/>
      <c r="N404" s="3"/>
      <c r="O404" s="3"/>
    </row>
    <row r="405" spans="1:15" ht="15">
      <c r="A405" s="72">
        <v>2</v>
      </c>
      <c r="B405" s="70">
        <v>13.6777300606</v>
      </c>
      <c r="C405" s="69">
        <v>-89.194214068600004</v>
      </c>
      <c r="D405" s="71">
        <v>6525</v>
      </c>
      <c r="E405" s="19">
        <v>0</v>
      </c>
      <c r="F405" s="19">
        <f t="shared" si="12"/>
        <v>6525</v>
      </c>
      <c r="G405" s="20">
        <v>102</v>
      </c>
      <c r="H405" s="19" t="str">
        <f t="shared" si="13"/>
        <v>USD</v>
      </c>
      <c r="J405" s="5"/>
      <c r="K405" s="3"/>
      <c r="L405" s="3"/>
      <c r="M405" s="3"/>
      <c r="N405" s="3"/>
      <c r="O405" s="3"/>
    </row>
    <row r="406" spans="1:15" ht="15">
      <c r="A406" s="72">
        <v>2</v>
      </c>
      <c r="B406" s="70">
        <v>13.6776140003</v>
      </c>
      <c r="C406" s="69">
        <v>-89.194044870799999</v>
      </c>
      <c r="D406" s="71">
        <v>6525</v>
      </c>
      <c r="E406" s="19">
        <v>0</v>
      </c>
      <c r="F406" s="19">
        <f t="shared" si="12"/>
        <v>6525</v>
      </c>
      <c r="G406" s="20">
        <v>102</v>
      </c>
      <c r="H406" s="19" t="str">
        <f t="shared" si="13"/>
        <v>USD</v>
      </c>
      <c r="J406" s="5"/>
      <c r="K406" s="3"/>
      <c r="L406" s="3"/>
      <c r="M406" s="3"/>
      <c r="N406" s="3"/>
      <c r="O406" s="3"/>
    </row>
    <row r="407" spans="1:15" ht="15">
      <c r="A407" s="72">
        <v>2</v>
      </c>
      <c r="B407" s="70">
        <v>13.6777305582</v>
      </c>
      <c r="C407" s="69">
        <v>-89.194390936199994</v>
      </c>
      <c r="D407" s="71">
        <v>6525</v>
      </c>
      <c r="E407" s="19">
        <v>0</v>
      </c>
      <c r="F407" s="19">
        <f t="shared" si="12"/>
        <v>6525</v>
      </c>
      <c r="G407" s="20">
        <v>102</v>
      </c>
      <c r="H407" s="19" t="str">
        <f t="shared" si="13"/>
        <v>USD</v>
      </c>
      <c r="J407" s="5"/>
      <c r="K407" s="3"/>
      <c r="L407" s="3"/>
      <c r="M407" s="3"/>
      <c r="N407" s="3"/>
      <c r="O407" s="3"/>
    </row>
    <row r="408" spans="1:15" ht="15">
      <c r="A408" s="72">
        <v>2</v>
      </c>
      <c r="B408" s="70">
        <v>13.6785021505</v>
      </c>
      <c r="C408" s="69">
        <v>-89.194628433399998</v>
      </c>
      <c r="D408" s="71">
        <v>6525</v>
      </c>
      <c r="E408" s="19">
        <v>0</v>
      </c>
      <c r="F408" s="19">
        <f t="shared" si="12"/>
        <v>6525</v>
      </c>
      <c r="G408" s="20">
        <v>102</v>
      </c>
      <c r="H408" s="19" t="str">
        <f t="shared" si="13"/>
        <v>USD</v>
      </c>
      <c r="J408" s="5"/>
      <c r="K408" s="3"/>
      <c r="L408" s="3"/>
      <c r="M408" s="3"/>
      <c r="N408" s="3"/>
      <c r="O408" s="3"/>
    </row>
    <row r="409" spans="1:15" ht="15">
      <c r="A409" s="72">
        <v>2</v>
      </c>
      <c r="B409" s="70">
        <v>13.678395783599999</v>
      </c>
      <c r="C409" s="69">
        <v>-89.194552522999999</v>
      </c>
      <c r="D409" s="71">
        <v>6525</v>
      </c>
      <c r="E409" s="19">
        <v>0</v>
      </c>
      <c r="F409" s="19">
        <f t="shared" si="12"/>
        <v>6525</v>
      </c>
      <c r="G409" s="20">
        <v>102</v>
      </c>
      <c r="H409" s="19" t="str">
        <f t="shared" si="13"/>
        <v>USD</v>
      </c>
      <c r="J409" s="5"/>
      <c r="K409" s="3"/>
      <c r="L409" s="3"/>
      <c r="M409" s="3"/>
      <c r="N409" s="3"/>
      <c r="O409" s="3"/>
    </row>
    <row r="410" spans="1:15" ht="15">
      <c r="A410" s="72">
        <v>2</v>
      </c>
      <c r="B410" s="70">
        <v>13.6784281308</v>
      </c>
      <c r="C410" s="69">
        <v>-89.194475504400003</v>
      </c>
      <c r="D410" s="71">
        <v>6525</v>
      </c>
      <c r="E410" s="19">
        <v>0</v>
      </c>
      <c r="F410" s="19">
        <f t="shared" si="12"/>
        <v>6525</v>
      </c>
      <c r="G410" s="20">
        <v>102</v>
      </c>
      <c r="H410" s="19" t="str">
        <f t="shared" si="13"/>
        <v>USD</v>
      </c>
      <c r="J410" s="5"/>
      <c r="K410" s="3"/>
      <c r="L410" s="3"/>
      <c r="M410" s="3"/>
      <c r="N410" s="3"/>
      <c r="O410" s="3"/>
    </row>
    <row r="411" spans="1:15" ht="15">
      <c r="A411" s="72">
        <v>2</v>
      </c>
      <c r="B411" s="70">
        <v>13.678428185</v>
      </c>
      <c r="C411" s="69">
        <v>-89.194407020200003</v>
      </c>
      <c r="D411" s="71">
        <v>6525</v>
      </c>
      <c r="E411" s="19">
        <v>0</v>
      </c>
      <c r="F411" s="19">
        <f t="shared" si="12"/>
        <v>6525</v>
      </c>
      <c r="G411" s="20">
        <v>102</v>
      </c>
      <c r="H411" s="19" t="str">
        <f t="shared" si="13"/>
        <v>USD</v>
      </c>
      <c r="J411" s="5"/>
      <c r="K411" s="3"/>
      <c r="L411" s="3"/>
      <c r="M411" s="3"/>
      <c r="N411" s="3"/>
      <c r="O411" s="3"/>
    </row>
    <row r="412" spans="1:15" ht="15">
      <c r="A412" s="72">
        <v>2</v>
      </c>
      <c r="B412" s="70">
        <v>13.678351752999999</v>
      </c>
      <c r="C412" s="69">
        <v>-89.194280993800007</v>
      </c>
      <c r="D412" s="71">
        <v>6525</v>
      </c>
      <c r="E412" s="19">
        <v>0</v>
      </c>
      <c r="F412" s="19">
        <f t="shared" si="12"/>
        <v>6525</v>
      </c>
      <c r="G412" s="20">
        <v>102</v>
      </c>
      <c r="H412" s="19" t="str">
        <f t="shared" si="13"/>
        <v>USD</v>
      </c>
      <c r="J412" s="5"/>
      <c r="K412" s="3"/>
      <c r="L412" s="3"/>
      <c r="M412" s="3"/>
      <c r="N412" s="3"/>
      <c r="O412" s="3"/>
    </row>
    <row r="413" spans="1:15" ht="15">
      <c r="A413" s="72">
        <v>2</v>
      </c>
      <c r="B413" s="70">
        <v>13.678472710199999</v>
      </c>
      <c r="C413" s="69">
        <v>-89.194052403599997</v>
      </c>
      <c r="D413" s="71">
        <v>6525</v>
      </c>
      <c r="E413" s="19">
        <v>0</v>
      </c>
      <c r="F413" s="19">
        <f t="shared" si="12"/>
        <v>6525</v>
      </c>
      <c r="G413" s="20">
        <v>102</v>
      </c>
      <c r="H413" s="19" t="str">
        <f t="shared" si="13"/>
        <v>USD</v>
      </c>
      <c r="J413" s="5"/>
      <c r="K413" s="3"/>
      <c r="L413" s="3"/>
      <c r="M413" s="3"/>
      <c r="N413" s="3"/>
      <c r="O413" s="3"/>
    </row>
    <row r="414" spans="1:15" ht="15">
      <c r="A414" s="72">
        <v>2</v>
      </c>
      <c r="B414" s="70">
        <v>13.6784441843</v>
      </c>
      <c r="C414" s="69">
        <v>-89.193832251000003</v>
      </c>
      <c r="D414" s="71">
        <v>6525</v>
      </c>
      <c r="E414" s="19">
        <v>0</v>
      </c>
      <c r="F414" s="19">
        <f t="shared" si="12"/>
        <v>6525</v>
      </c>
      <c r="G414" s="20">
        <v>102</v>
      </c>
      <c r="H414" s="19" t="str">
        <f t="shared" si="13"/>
        <v>USD</v>
      </c>
      <c r="J414" s="5"/>
      <c r="K414" s="3"/>
      <c r="L414" s="3"/>
      <c r="M414" s="3"/>
      <c r="N414" s="3"/>
      <c r="O414" s="3"/>
    </row>
    <row r="415" spans="1:15" ht="15">
      <c r="A415" s="72">
        <v>1</v>
      </c>
      <c r="B415" s="70">
        <v>13.678576959400001</v>
      </c>
      <c r="C415" s="69">
        <v>-89.193782219599996</v>
      </c>
      <c r="D415" s="71">
        <v>6525</v>
      </c>
      <c r="E415" s="19">
        <v>0</v>
      </c>
      <c r="F415" s="19">
        <f t="shared" si="12"/>
        <v>6525</v>
      </c>
      <c r="G415" s="20">
        <v>101</v>
      </c>
      <c r="H415" s="19" t="str">
        <f t="shared" si="13"/>
        <v>USD</v>
      </c>
      <c r="J415" s="5"/>
      <c r="K415" s="3"/>
      <c r="L415" s="3"/>
      <c r="M415" s="3"/>
      <c r="N415" s="3"/>
      <c r="O415" s="3"/>
    </row>
    <row r="416" spans="1:15" ht="15">
      <c r="A416" s="72">
        <v>2</v>
      </c>
      <c r="B416" s="70">
        <v>13.678686255200001</v>
      </c>
      <c r="C416" s="69">
        <v>-89.194239690299995</v>
      </c>
      <c r="D416" s="71">
        <v>6525</v>
      </c>
      <c r="E416" s="19">
        <v>0</v>
      </c>
      <c r="F416" s="19">
        <f t="shared" si="12"/>
        <v>6525</v>
      </c>
      <c r="G416" s="20">
        <v>102</v>
      </c>
      <c r="H416" s="19" t="str">
        <f t="shared" si="13"/>
        <v>USD</v>
      </c>
      <c r="J416" s="5"/>
      <c r="K416" s="3"/>
      <c r="L416" s="3"/>
      <c r="M416" s="3"/>
      <c r="N416" s="3"/>
      <c r="O416" s="3"/>
    </row>
    <row r="417" spans="1:15" ht="15">
      <c r="A417" s="72">
        <v>2</v>
      </c>
      <c r="B417" s="70">
        <v>13.678689515</v>
      </c>
      <c r="C417" s="69">
        <v>-89.194200436299994</v>
      </c>
      <c r="D417" s="71">
        <v>6525</v>
      </c>
      <c r="E417" s="19">
        <v>0</v>
      </c>
      <c r="F417" s="19">
        <f t="shared" si="12"/>
        <v>6525</v>
      </c>
      <c r="G417" s="20">
        <v>102</v>
      </c>
      <c r="H417" s="19" t="str">
        <f t="shared" si="13"/>
        <v>USD</v>
      </c>
      <c r="J417" s="5"/>
      <c r="K417" s="3"/>
      <c r="L417" s="3"/>
      <c r="M417" s="3"/>
      <c r="N417" s="3"/>
      <c r="O417" s="3"/>
    </row>
    <row r="418" spans="1:15" ht="15">
      <c r="A418" s="72">
        <v>2</v>
      </c>
      <c r="B418" s="70">
        <v>13.678690619899999</v>
      </c>
      <c r="C418" s="69">
        <v>-89.1941644825</v>
      </c>
      <c r="D418" s="71">
        <v>6525</v>
      </c>
      <c r="E418" s="19">
        <v>0</v>
      </c>
      <c r="F418" s="19">
        <f t="shared" si="12"/>
        <v>6525</v>
      </c>
      <c r="G418" s="20">
        <v>102</v>
      </c>
      <c r="H418" s="19" t="str">
        <f t="shared" si="13"/>
        <v>USD</v>
      </c>
      <c r="J418" s="5"/>
      <c r="K418" s="3"/>
      <c r="L418" s="3"/>
      <c r="M418" s="3"/>
      <c r="N418" s="3"/>
      <c r="O418" s="3"/>
    </row>
    <row r="419" spans="1:15" ht="15">
      <c r="A419" s="72">
        <v>2</v>
      </c>
      <c r="B419" s="70">
        <v>13.678696389400001</v>
      </c>
      <c r="C419" s="69">
        <v>-89.1941270656</v>
      </c>
      <c r="D419" s="71">
        <v>6525</v>
      </c>
      <c r="E419" s="19">
        <v>0</v>
      </c>
      <c r="F419" s="19">
        <f t="shared" si="12"/>
        <v>6525</v>
      </c>
      <c r="G419" s="20">
        <v>102</v>
      </c>
      <c r="H419" s="19" t="str">
        <f t="shared" si="13"/>
        <v>USD</v>
      </c>
      <c r="J419" s="5"/>
      <c r="K419" s="3"/>
      <c r="L419" s="3"/>
      <c r="M419" s="3"/>
      <c r="N419" s="3"/>
      <c r="O419" s="3"/>
    </row>
    <row r="420" spans="1:15" ht="15">
      <c r="A420" s="72">
        <v>2</v>
      </c>
      <c r="B420" s="70">
        <v>13.678697553399999</v>
      </c>
      <c r="C420" s="69">
        <v>-89.194090683799999</v>
      </c>
      <c r="D420" s="71">
        <v>6525</v>
      </c>
      <c r="E420" s="19">
        <v>0</v>
      </c>
      <c r="F420" s="19">
        <f t="shared" si="12"/>
        <v>6525</v>
      </c>
      <c r="G420" s="20">
        <v>102</v>
      </c>
      <c r="H420" s="19" t="str">
        <f t="shared" si="13"/>
        <v>USD</v>
      </c>
      <c r="J420" s="5"/>
      <c r="K420" s="3"/>
      <c r="L420" s="3"/>
      <c r="M420" s="3"/>
      <c r="N420" s="3"/>
      <c r="O420" s="3"/>
    </row>
    <row r="421" spans="1:15" ht="15">
      <c r="A421" s="72">
        <v>2</v>
      </c>
      <c r="B421" s="70">
        <v>13.678697504700001</v>
      </c>
      <c r="C421" s="69">
        <v>-89.194089391399999</v>
      </c>
      <c r="D421" s="71">
        <v>6525</v>
      </c>
      <c r="E421" s="19">
        <v>0</v>
      </c>
      <c r="F421" s="19">
        <f t="shared" si="12"/>
        <v>6525</v>
      </c>
      <c r="G421" s="20">
        <v>102</v>
      </c>
      <c r="H421" s="19" t="str">
        <f t="shared" si="13"/>
        <v>USD</v>
      </c>
      <c r="J421" s="5"/>
      <c r="K421" s="3"/>
      <c r="L421" s="3"/>
      <c r="M421" s="3"/>
      <c r="N421" s="3"/>
      <c r="O421" s="3"/>
    </row>
    <row r="422" spans="1:15" ht="15">
      <c r="A422" s="72">
        <v>2</v>
      </c>
      <c r="B422" s="70">
        <v>13.6787019844</v>
      </c>
      <c r="C422" s="69">
        <v>-89.194055184899995</v>
      </c>
      <c r="D422" s="71">
        <v>6525</v>
      </c>
      <c r="E422" s="19">
        <v>0</v>
      </c>
      <c r="F422" s="19">
        <f t="shared" si="12"/>
        <v>6525</v>
      </c>
      <c r="G422" s="20">
        <v>102</v>
      </c>
      <c r="H422" s="19" t="str">
        <f t="shared" si="13"/>
        <v>USD</v>
      </c>
      <c r="J422" s="5"/>
      <c r="K422" s="3"/>
      <c r="L422" s="3"/>
      <c r="M422" s="3"/>
      <c r="N422" s="3"/>
      <c r="O422" s="3"/>
    </row>
    <row r="423" spans="1:15" ht="15">
      <c r="A423" s="72">
        <v>2</v>
      </c>
      <c r="B423" s="70">
        <v>13.6787020762</v>
      </c>
      <c r="C423" s="69">
        <v>-89.194053503399999</v>
      </c>
      <c r="D423" s="71">
        <v>6525</v>
      </c>
      <c r="E423" s="19">
        <v>0</v>
      </c>
      <c r="F423" s="19">
        <f t="shared" si="12"/>
        <v>6525</v>
      </c>
      <c r="G423" s="20">
        <v>102</v>
      </c>
      <c r="H423" s="19" t="str">
        <f t="shared" si="13"/>
        <v>USD</v>
      </c>
      <c r="J423" s="5"/>
      <c r="K423" s="3"/>
      <c r="L423" s="3"/>
      <c r="M423" s="3"/>
      <c r="N423" s="3"/>
      <c r="O423" s="3"/>
    </row>
    <row r="424" spans="1:15" ht="15">
      <c r="A424" s="72">
        <v>2</v>
      </c>
      <c r="B424" s="70">
        <v>13.678706049800001</v>
      </c>
      <c r="C424" s="69">
        <v>-89.194015646799997</v>
      </c>
      <c r="D424" s="71">
        <v>6525</v>
      </c>
      <c r="E424" s="19">
        <v>0</v>
      </c>
      <c r="F424" s="19">
        <f t="shared" si="12"/>
        <v>6525</v>
      </c>
      <c r="G424" s="20">
        <v>102</v>
      </c>
      <c r="H424" s="19" t="str">
        <f t="shared" si="13"/>
        <v>USD</v>
      </c>
      <c r="J424" s="5"/>
      <c r="K424" s="3"/>
      <c r="L424" s="3"/>
      <c r="M424" s="3"/>
      <c r="N424" s="3"/>
      <c r="O424" s="3"/>
    </row>
    <row r="425" spans="1:15" ht="15">
      <c r="A425" s="72">
        <v>2</v>
      </c>
      <c r="B425" s="70">
        <v>13.678706053799999</v>
      </c>
      <c r="C425" s="69">
        <v>-89.1940152576</v>
      </c>
      <c r="D425" s="71">
        <v>6525</v>
      </c>
      <c r="E425" s="19">
        <v>0</v>
      </c>
      <c r="F425" s="19">
        <f t="shared" si="12"/>
        <v>6525</v>
      </c>
      <c r="G425" s="20">
        <v>102</v>
      </c>
      <c r="H425" s="19" t="str">
        <f t="shared" si="13"/>
        <v>USD</v>
      </c>
      <c r="J425" s="5"/>
      <c r="K425" s="3"/>
      <c r="L425" s="3"/>
      <c r="M425" s="3"/>
      <c r="N425" s="3"/>
      <c r="O425" s="3"/>
    </row>
    <row r="426" spans="1:15" ht="15">
      <c r="A426" s="72">
        <v>2</v>
      </c>
      <c r="B426" s="70">
        <v>13.678709848</v>
      </c>
      <c r="C426" s="69">
        <v>-89.193980311800004</v>
      </c>
      <c r="D426" s="71">
        <v>6525</v>
      </c>
      <c r="E426" s="19">
        <v>0</v>
      </c>
      <c r="F426" s="19">
        <f t="shared" si="12"/>
        <v>6525</v>
      </c>
      <c r="G426" s="20">
        <v>102</v>
      </c>
      <c r="H426" s="19" t="str">
        <f t="shared" si="13"/>
        <v>USD</v>
      </c>
      <c r="J426" s="5"/>
      <c r="K426" s="3"/>
      <c r="L426" s="3"/>
      <c r="M426" s="3"/>
      <c r="N426" s="3"/>
      <c r="O426" s="3"/>
    </row>
    <row r="427" spans="1:15" ht="15">
      <c r="A427" s="72">
        <v>2</v>
      </c>
      <c r="B427" s="70">
        <v>13.678712986100001</v>
      </c>
      <c r="C427" s="69">
        <v>-89.193940552000001</v>
      </c>
      <c r="D427" s="71">
        <v>6525</v>
      </c>
      <c r="E427" s="19">
        <v>0</v>
      </c>
      <c r="F427" s="19">
        <f t="shared" si="12"/>
        <v>6525</v>
      </c>
      <c r="G427" s="20">
        <v>102</v>
      </c>
      <c r="H427" s="19" t="str">
        <f t="shared" si="13"/>
        <v>USD</v>
      </c>
      <c r="J427" s="5"/>
      <c r="K427" s="3"/>
      <c r="L427" s="3"/>
      <c r="M427" s="3"/>
      <c r="N427" s="3"/>
      <c r="O427" s="3"/>
    </row>
    <row r="428" spans="1:15" ht="15">
      <c r="A428" s="72">
        <v>3</v>
      </c>
      <c r="B428" s="70">
        <v>13.678190603699999</v>
      </c>
      <c r="C428" s="69">
        <v>-89.193955477700001</v>
      </c>
      <c r="D428" s="71">
        <v>6525</v>
      </c>
      <c r="E428" s="19">
        <v>0</v>
      </c>
      <c r="F428" s="19">
        <f t="shared" si="12"/>
        <v>6525</v>
      </c>
      <c r="G428" s="20">
        <v>103</v>
      </c>
      <c r="H428" s="19" t="str">
        <f t="shared" si="13"/>
        <v>USD</v>
      </c>
      <c r="J428" s="5"/>
      <c r="K428" s="3"/>
      <c r="L428" s="3"/>
      <c r="M428" s="3"/>
      <c r="N428" s="3"/>
      <c r="O428" s="3"/>
    </row>
    <row r="429" spans="1:15" ht="15">
      <c r="A429" s="72">
        <v>2</v>
      </c>
      <c r="B429" s="70">
        <v>13.6824567866</v>
      </c>
      <c r="C429" s="69">
        <v>-89.1965363586</v>
      </c>
      <c r="D429" s="71">
        <v>6000</v>
      </c>
      <c r="E429" s="19">
        <v>0</v>
      </c>
      <c r="F429" s="19">
        <f t="shared" si="12"/>
        <v>6000</v>
      </c>
      <c r="G429" s="20">
        <v>102</v>
      </c>
      <c r="H429" s="19" t="str">
        <f t="shared" si="13"/>
        <v>USD</v>
      </c>
      <c r="J429" s="5"/>
      <c r="K429" s="3"/>
      <c r="L429" s="3"/>
      <c r="M429" s="3"/>
      <c r="N429" s="3"/>
      <c r="O429" s="3"/>
    </row>
    <row r="430" spans="1:15" ht="15">
      <c r="A430" s="72">
        <v>1</v>
      </c>
      <c r="B430" s="70">
        <v>13.682382153800001</v>
      </c>
      <c r="C430" s="69">
        <v>-89.196553906899993</v>
      </c>
      <c r="D430" s="71">
        <v>6000</v>
      </c>
      <c r="E430" s="19">
        <v>0</v>
      </c>
      <c r="F430" s="19">
        <f t="shared" si="12"/>
        <v>6000</v>
      </c>
      <c r="G430" s="20">
        <v>101</v>
      </c>
      <c r="H430" s="19" t="str">
        <f t="shared" si="13"/>
        <v>USD</v>
      </c>
      <c r="J430" s="5"/>
      <c r="K430" s="3"/>
      <c r="L430" s="3"/>
      <c r="M430" s="3"/>
      <c r="N430" s="3"/>
      <c r="O430" s="3"/>
    </row>
    <row r="431" spans="1:15" ht="15">
      <c r="A431" s="72">
        <v>2</v>
      </c>
      <c r="B431" s="70">
        <v>13.6822196934</v>
      </c>
      <c r="C431" s="69">
        <v>-89.196938269200004</v>
      </c>
      <c r="D431" s="71">
        <v>6000</v>
      </c>
      <c r="E431" s="19">
        <v>0</v>
      </c>
      <c r="F431" s="19">
        <f t="shared" si="12"/>
        <v>6000</v>
      </c>
      <c r="G431" s="20">
        <v>102</v>
      </c>
      <c r="H431" s="19" t="str">
        <f t="shared" si="13"/>
        <v>USD</v>
      </c>
      <c r="J431" s="5"/>
      <c r="K431" s="3"/>
      <c r="L431" s="3"/>
      <c r="M431" s="3"/>
      <c r="N431" s="3"/>
      <c r="O431" s="3"/>
    </row>
    <row r="432" spans="1:15" ht="15">
      <c r="A432" s="72">
        <v>2</v>
      </c>
      <c r="B432" s="70">
        <v>13.682164013</v>
      </c>
      <c r="C432" s="69">
        <v>-89.196583075500001</v>
      </c>
      <c r="D432" s="71">
        <v>6000</v>
      </c>
      <c r="E432" s="19">
        <v>0</v>
      </c>
      <c r="F432" s="19">
        <f t="shared" si="12"/>
        <v>6000</v>
      </c>
      <c r="G432" s="20">
        <v>102</v>
      </c>
      <c r="H432" s="19" t="str">
        <f t="shared" si="13"/>
        <v>USD</v>
      </c>
      <c r="J432" s="5"/>
      <c r="K432" s="3"/>
      <c r="L432" s="3"/>
      <c r="M432" s="3"/>
      <c r="N432" s="3"/>
      <c r="O432" s="3"/>
    </row>
    <row r="433" spans="1:15" ht="15">
      <c r="A433" s="72">
        <v>2</v>
      </c>
      <c r="B433" s="70">
        <v>13.682252993000001</v>
      </c>
      <c r="C433" s="69">
        <v>-89.196569941500002</v>
      </c>
      <c r="D433" s="71">
        <v>6000</v>
      </c>
      <c r="E433" s="19">
        <v>0</v>
      </c>
      <c r="F433" s="19">
        <f t="shared" si="12"/>
        <v>6000</v>
      </c>
      <c r="G433" s="20">
        <v>102</v>
      </c>
      <c r="H433" s="19" t="str">
        <f t="shared" si="13"/>
        <v>USD</v>
      </c>
      <c r="J433" s="5"/>
      <c r="K433" s="3"/>
      <c r="L433" s="3"/>
      <c r="M433" s="3"/>
      <c r="N433" s="3"/>
      <c r="O433" s="3"/>
    </row>
    <row r="434" spans="1:15" ht="15">
      <c r="A434" s="72">
        <v>2</v>
      </c>
      <c r="B434" s="70">
        <v>13.6820812516</v>
      </c>
      <c r="C434" s="69">
        <v>-89.196596702799994</v>
      </c>
      <c r="D434" s="71">
        <v>6000</v>
      </c>
      <c r="E434" s="19">
        <v>0</v>
      </c>
      <c r="F434" s="19">
        <f t="shared" si="12"/>
        <v>6000</v>
      </c>
      <c r="G434" s="20">
        <v>102</v>
      </c>
      <c r="H434" s="19" t="str">
        <f t="shared" si="13"/>
        <v>USD</v>
      </c>
      <c r="J434" s="5"/>
      <c r="K434" s="3"/>
      <c r="L434" s="3"/>
      <c r="M434" s="3"/>
      <c r="N434" s="3"/>
      <c r="O434" s="3"/>
    </row>
    <row r="435" spans="1:15" ht="15">
      <c r="A435" s="72">
        <v>2</v>
      </c>
      <c r="B435" s="70">
        <v>13.6820737684</v>
      </c>
      <c r="C435" s="69">
        <v>-89.196982663499995</v>
      </c>
      <c r="D435" s="71">
        <v>6000</v>
      </c>
      <c r="E435" s="19">
        <v>0</v>
      </c>
      <c r="F435" s="19">
        <f t="shared" si="12"/>
        <v>6000</v>
      </c>
      <c r="G435" s="20">
        <v>102</v>
      </c>
      <c r="H435" s="19" t="str">
        <f t="shared" si="13"/>
        <v>USD</v>
      </c>
      <c r="J435" s="5"/>
      <c r="K435" s="3"/>
      <c r="L435" s="3"/>
      <c r="M435" s="3"/>
      <c r="N435" s="3"/>
      <c r="O435" s="3"/>
    </row>
    <row r="436" spans="1:15" ht="15">
      <c r="A436" s="72">
        <v>2</v>
      </c>
      <c r="B436" s="70">
        <v>13.6819489238</v>
      </c>
      <c r="C436" s="69">
        <v>-89.196984025999996</v>
      </c>
      <c r="D436" s="71">
        <v>6000</v>
      </c>
      <c r="E436" s="19">
        <v>0</v>
      </c>
      <c r="F436" s="19">
        <f t="shared" si="12"/>
        <v>6000</v>
      </c>
      <c r="G436" s="20">
        <v>102</v>
      </c>
      <c r="H436" s="19" t="str">
        <f t="shared" si="13"/>
        <v>USD</v>
      </c>
      <c r="J436" s="5"/>
      <c r="K436" s="3"/>
      <c r="L436" s="3"/>
      <c r="M436" s="3"/>
      <c r="N436" s="3"/>
      <c r="O436" s="3"/>
    </row>
    <row r="437" spans="1:15" ht="15">
      <c r="A437" s="72">
        <v>2</v>
      </c>
      <c r="B437" s="70">
        <v>13.6818427344</v>
      </c>
      <c r="C437" s="69">
        <v>-89.196985405000007</v>
      </c>
      <c r="D437" s="71">
        <v>6000</v>
      </c>
      <c r="E437" s="19">
        <v>0</v>
      </c>
      <c r="F437" s="19">
        <f t="shared" si="12"/>
        <v>6000</v>
      </c>
      <c r="G437" s="20">
        <v>102</v>
      </c>
      <c r="H437" s="19" t="str">
        <f t="shared" si="13"/>
        <v>USD</v>
      </c>
      <c r="J437" s="5"/>
      <c r="K437" s="3"/>
      <c r="L437" s="3"/>
      <c r="M437" s="3"/>
      <c r="N437" s="3"/>
      <c r="O437" s="3"/>
    </row>
    <row r="438" spans="1:15" ht="15">
      <c r="A438" s="72">
        <v>2</v>
      </c>
      <c r="B438" s="70">
        <v>13.6816819926</v>
      </c>
      <c r="C438" s="69">
        <v>-89.197014621299999</v>
      </c>
      <c r="D438" s="71">
        <v>6000</v>
      </c>
      <c r="E438" s="19">
        <v>0</v>
      </c>
      <c r="F438" s="19">
        <f t="shared" si="12"/>
        <v>6000</v>
      </c>
      <c r="G438" s="20">
        <v>102</v>
      </c>
      <c r="H438" s="19" t="str">
        <f t="shared" si="13"/>
        <v>USD</v>
      </c>
      <c r="J438" s="5"/>
      <c r="K438" s="3"/>
      <c r="L438" s="3"/>
      <c r="M438" s="3"/>
      <c r="N438" s="3"/>
      <c r="O438" s="3"/>
    </row>
    <row r="439" spans="1:15" ht="15">
      <c r="A439" s="72">
        <v>2</v>
      </c>
      <c r="B439" s="70">
        <v>13.6816578663</v>
      </c>
      <c r="C439" s="69">
        <v>-89.196679999500006</v>
      </c>
      <c r="D439" s="71">
        <v>6000</v>
      </c>
      <c r="E439" s="19">
        <v>0</v>
      </c>
      <c r="F439" s="19">
        <f t="shared" si="12"/>
        <v>6000</v>
      </c>
      <c r="G439" s="20">
        <v>102</v>
      </c>
      <c r="H439" s="19" t="str">
        <f t="shared" si="13"/>
        <v>USD</v>
      </c>
      <c r="J439" s="5"/>
      <c r="K439" s="3"/>
      <c r="L439" s="3"/>
      <c r="M439" s="3"/>
      <c r="N439" s="3"/>
      <c r="O439" s="3"/>
    </row>
    <row r="440" spans="1:15" ht="15">
      <c r="A440" s="72">
        <v>2</v>
      </c>
      <c r="B440" s="70">
        <v>13.683165776399999</v>
      </c>
      <c r="C440" s="69">
        <v>-89.196758062699999</v>
      </c>
      <c r="D440" s="71">
        <v>6000</v>
      </c>
      <c r="E440" s="19">
        <v>0</v>
      </c>
      <c r="F440" s="19">
        <f t="shared" si="12"/>
        <v>6000</v>
      </c>
      <c r="G440" s="20">
        <v>102</v>
      </c>
      <c r="H440" s="19" t="str">
        <f t="shared" si="13"/>
        <v>USD</v>
      </c>
      <c r="J440" s="5"/>
      <c r="K440" s="3"/>
      <c r="L440" s="3"/>
      <c r="M440" s="3"/>
      <c r="N440" s="3"/>
      <c r="O440" s="3"/>
    </row>
    <row r="441" spans="1:15" ht="15">
      <c r="A441" s="72">
        <v>2</v>
      </c>
      <c r="B441" s="70">
        <v>13.6830368421</v>
      </c>
      <c r="C441" s="69">
        <v>-89.196490859700006</v>
      </c>
      <c r="D441" s="71">
        <v>6000</v>
      </c>
      <c r="E441" s="19">
        <v>0</v>
      </c>
      <c r="F441" s="19">
        <f t="shared" si="12"/>
        <v>6000</v>
      </c>
      <c r="G441" s="20">
        <v>102</v>
      </c>
      <c r="H441" s="19" t="str">
        <f t="shared" si="13"/>
        <v>USD</v>
      </c>
      <c r="J441" s="5"/>
      <c r="K441" s="3"/>
      <c r="L441" s="3"/>
      <c r="M441" s="3"/>
      <c r="N441" s="3"/>
      <c r="O441" s="3"/>
    </row>
    <row r="442" spans="1:15" ht="15">
      <c r="A442" s="72">
        <v>2</v>
      </c>
      <c r="B442" s="70">
        <v>13.6829794368</v>
      </c>
      <c r="C442" s="69">
        <v>-89.196498638999998</v>
      </c>
      <c r="D442" s="71">
        <v>6000</v>
      </c>
      <c r="E442" s="19">
        <v>0</v>
      </c>
      <c r="F442" s="19">
        <f t="shared" si="12"/>
        <v>6000</v>
      </c>
      <c r="G442" s="20">
        <v>102</v>
      </c>
      <c r="H442" s="19" t="str">
        <f t="shared" si="13"/>
        <v>USD</v>
      </c>
      <c r="J442" s="5"/>
      <c r="K442" s="3"/>
      <c r="L442" s="3"/>
      <c r="M442" s="3"/>
      <c r="N442" s="3"/>
      <c r="O442" s="3"/>
    </row>
    <row r="443" spans="1:15" ht="15">
      <c r="A443" s="72">
        <v>2</v>
      </c>
      <c r="B443" s="70">
        <v>13.682873255500001</v>
      </c>
      <c r="C443" s="69">
        <v>-89.196488766000002</v>
      </c>
      <c r="D443" s="71">
        <v>6000</v>
      </c>
      <c r="E443" s="19">
        <v>0</v>
      </c>
      <c r="F443" s="19">
        <f t="shared" si="12"/>
        <v>6000</v>
      </c>
      <c r="G443" s="20">
        <v>102</v>
      </c>
      <c r="H443" s="19" t="str">
        <f t="shared" si="13"/>
        <v>USD</v>
      </c>
      <c r="J443" s="5"/>
      <c r="K443" s="3"/>
      <c r="L443" s="3"/>
      <c r="M443" s="3"/>
      <c r="N443" s="3"/>
      <c r="O443" s="3"/>
    </row>
    <row r="444" spans="1:15" ht="15">
      <c r="A444" s="72">
        <v>2</v>
      </c>
      <c r="B444" s="70">
        <v>13.682911302300001</v>
      </c>
      <c r="C444" s="69">
        <v>-89.196763720000007</v>
      </c>
      <c r="D444" s="71">
        <v>6000</v>
      </c>
      <c r="E444" s="19">
        <v>0</v>
      </c>
      <c r="F444" s="19">
        <f t="shared" si="12"/>
        <v>6000</v>
      </c>
      <c r="G444" s="20">
        <v>102</v>
      </c>
      <c r="H444" s="19" t="str">
        <f t="shared" si="13"/>
        <v>USD</v>
      </c>
      <c r="J444" s="5"/>
      <c r="K444" s="3"/>
      <c r="L444" s="3"/>
      <c r="M444" s="3"/>
      <c r="N444" s="3"/>
      <c r="O444" s="3"/>
    </row>
    <row r="445" spans="1:15" ht="15">
      <c r="A445" s="72">
        <v>1</v>
      </c>
      <c r="B445" s="70">
        <v>13.6830040995</v>
      </c>
      <c r="C445" s="69">
        <v>-89.1967608625</v>
      </c>
      <c r="D445" s="71">
        <v>6000</v>
      </c>
      <c r="E445" s="19">
        <v>0</v>
      </c>
      <c r="F445" s="19">
        <f t="shared" si="12"/>
        <v>6000</v>
      </c>
      <c r="G445" s="20">
        <v>101</v>
      </c>
      <c r="H445" s="19" t="str">
        <f t="shared" si="13"/>
        <v>USD</v>
      </c>
      <c r="J445" s="5"/>
      <c r="K445" s="3"/>
      <c r="L445" s="3"/>
      <c r="M445" s="3"/>
      <c r="N445" s="3"/>
      <c r="O445" s="3"/>
    </row>
    <row r="446" spans="1:15" ht="15">
      <c r="A446" s="72">
        <v>2</v>
      </c>
      <c r="B446" s="70">
        <v>13.682937456599999</v>
      </c>
      <c r="C446" s="69">
        <v>-89.196501147099994</v>
      </c>
      <c r="D446" s="71">
        <v>6000</v>
      </c>
      <c r="E446" s="19">
        <v>0</v>
      </c>
      <c r="F446" s="19">
        <f t="shared" si="12"/>
        <v>6000</v>
      </c>
      <c r="G446" s="20">
        <v>102</v>
      </c>
      <c r="H446" s="19" t="str">
        <f t="shared" si="13"/>
        <v>USD</v>
      </c>
      <c r="J446" s="5"/>
      <c r="K446" s="3"/>
      <c r="L446" s="3"/>
      <c r="M446" s="3"/>
      <c r="N446" s="3"/>
      <c r="O446" s="3"/>
    </row>
    <row r="447" spans="1:15" ht="15">
      <c r="A447" s="72">
        <v>3</v>
      </c>
      <c r="B447" s="70">
        <v>13.6823967373</v>
      </c>
      <c r="C447" s="69">
        <v>-89.196864101599999</v>
      </c>
      <c r="D447" s="71">
        <v>6000</v>
      </c>
      <c r="E447" s="19">
        <v>0</v>
      </c>
      <c r="F447" s="19">
        <f t="shared" si="12"/>
        <v>6000</v>
      </c>
      <c r="G447" s="20">
        <v>103</v>
      </c>
      <c r="H447" s="19" t="str">
        <f t="shared" si="13"/>
        <v>USD</v>
      </c>
      <c r="J447" s="5"/>
      <c r="K447" s="3"/>
      <c r="L447" s="3"/>
      <c r="M447" s="3"/>
      <c r="N447" s="3"/>
      <c r="O447" s="3"/>
    </row>
    <row r="448" spans="1:15" ht="15">
      <c r="A448" s="72">
        <v>2</v>
      </c>
      <c r="B448" s="70">
        <v>13.6827263342</v>
      </c>
      <c r="C448" s="69">
        <v>-89.196822757299998</v>
      </c>
      <c r="D448" s="71">
        <v>6000</v>
      </c>
      <c r="E448" s="19">
        <v>0</v>
      </c>
      <c r="F448" s="19">
        <f t="shared" si="12"/>
        <v>6000</v>
      </c>
      <c r="G448" s="20">
        <v>102</v>
      </c>
      <c r="H448" s="19" t="str">
        <f t="shared" si="13"/>
        <v>USD</v>
      </c>
      <c r="J448" s="5"/>
      <c r="K448" s="3"/>
      <c r="L448" s="3"/>
      <c r="M448" s="3"/>
      <c r="N448" s="3"/>
      <c r="O448" s="3"/>
    </row>
    <row r="449" spans="1:15" ht="15">
      <c r="A449" s="72">
        <v>2</v>
      </c>
      <c r="B449" s="70">
        <v>13.6826043549</v>
      </c>
      <c r="C449" s="69">
        <v>-89.1968299925</v>
      </c>
      <c r="D449" s="71">
        <v>6000</v>
      </c>
      <c r="E449" s="19">
        <v>0</v>
      </c>
      <c r="F449" s="19">
        <f t="shared" si="12"/>
        <v>6000</v>
      </c>
      <c r="G449" s="20">
        <v>102</v>
      </c>
      <c r="H449" s="19" t="str">
        <f t="shared" si="13"/>
        <v>USD</v>
      </c>
      <c r="J449" s="5"/>
      <c r="K449" s="3"/>
      <c r="L449" s="3"/>
      <c r="M449" s="3"/>
      <c r="N449" s="3"/>
      <c r="O449" s="3"/>
    </row>
    <row r="450" spans="1:15" ht="15">
      <c r="A450" s="72">
        <v>1</v>
      </c>
      <c r="B450" s="70">
        <v>13.6827294705</v>
      </c>
      <c r="C450" s="69">
        <v>-89.196489623900007</v>
      </c>
      <c r="D450" s="71">
        <v>6000</v>
      </c>
      <c r="E450" s="19">
        <v>0</v>
      </c>
      <c r="F450" s="19">
        <f t="shared" si="12"/>
        <v>6000</v>
      </c>
      <c r="G450" s="20">
        <v>101</v>
      </c>
      <c r="H450" s="19" t="str">
        <f t="shared" si="13"/>
        <v>USD</v>
      </c>
      <c r="J450" s="5"/>
      <c r="K450" s="3"/>
      <c r="L450" s="3"/>
      <c r="M450" s="3"/>
      <c r="N450" s="3"/>
      <c r="O450" s="3"/>
    </row>
    <row r="451" spans="1:15" ht="15">
      <c r="A451" s="72">
        <v>2</v>
      </c>
      <c r="B451" s="70">
        <v>13.682643349999999</v>
      </c>
      <c r="C451" s="69">
        <v>-89.1965159688</v>
      </c>
      <c r="D451" s="71">
        <v>6000</v>
      </c>
      <c r="E451" s="19">
        <v>0</v>
      </c>
      <c r="F451" s="19">
        <f t="shared" ref="F451:F514" si="14">D451</f>
        <v>6000</v>
      </c>
      <c r="G451" s="20">
        <v>102</v>
      </c>
      <c r="H451" s="19" t="str">
        <f t="shared" ref="H451:H514" si="15">IF(OR(A451&lt;17,A451=21),"USD","people")</f>
        <v>USD</v>
      </c>
      <c r="J451" s="5"/>
      <c r="K451" s="3"/>
      <c r="L451" s="3"/>
      <c r="M451" s="3"/>
      <c r="N451" s="3"/>
      <c r="O451" s="3"/>
    </row>
    <row r="452" spans="1:15" ht="15">
      <c r="A452" s="72">
        <v>2</v>
      </c>
      <c r="B452" s="70">
        <v>13.6825414683</v>
      </c>
      <c r="C452" s="69">
        <v>-89.196514415699994</v>
      </c>
      <c r="D452" s="71">
        <v>6000</v>
      </c>
      <c r="E452" s="19">
        <v>0</v>
      </c>
      <c r="F452" s="19">
        <f t="shared" si="14"/>
        <v>6000</v>
      </c>
      <c r="G452" s="20">
        <v>102</v>
      </c>
      <c r="H452" s="19" t="str">
        <f t="shared" si="15"/>
        <v>USD</v>
      </c>
      <c r="J452" s="5"/>
      <c r="K452" s="3"/>
      <c r="L452" s="3"/>
      <c r="M452" s="3"/>
      <c r="N452" s="3"/>
      <c r="O452" s="3"/>
    </row>
    <row r="453" spans="1:15" ht="15">
      <c r="A453" s="72">
        <v>2</v>
      </c>
      <c r="B453" s="70">
        <v>13.688902350399999</v>
      </c>
      <c r="C453" s="69">
        <v>-89.191222966200002</v>
      </c>
      <c r="D453" s="71">
        <v>1800</v>
      </c>
      <c r="E453" s="19">
        <v>0</v>
      </c>
      <c r="F453" s="19">
        <f t="shared" si="14"/>
        <v>1800</v>
      </c>
      <c r="G453" s="20">
        <v>102</v>
      </c>
      <c r="H453" s="19" t="str">
        <f t="shared" si="15"/>
        <v>USD</v>
      </c>
      <c r="J453" s="5"/>
      <c r="K453" s="3"/>
      <c r="L453" s="3"/>
      <c r="M453" s="3"/>
      <c r="N453" s="3"/>
      <c r="O453" s="3"/>
    </row>
    <row r="454" spans="1:15" ht="15">
      <c r="A454" s="72">
        <v>2</v>
      </c>
      <c r="B454" s="70">
        <v>13.688901728499999</v>
      </c>
      <c r="C454" s="69">
        <v>-89.191222956499999</v>
      </c>
      <c r="D454" s="71">
        <v>1800</v>
      </c>
      <c r="E454" s="19">
        <v>0</v>
      </c>
      <c r="F454" s="19">
        <f t="shared" si="14"/>
        <v>1800</v>
      </c>
      <c r="G454" s="20">
        <v>102</v>
      </c>
      <c r="H454" s="19" t="str">
        <f t="shared" si="15"/>
        <v>USD</v>
      </c>
      <c r="J454" s="5"/>
      <c r="K454" s="3"/>
      <c r="L454" s="3"/>
      <c r="M454" s="3"/>
      <c r="N454" s="3"/>
      <c r="O454" s="3"/>
    </row>
    <row r="455" spans="1:15" ht="15">
      <c r="A455" s="72">
        <v>2</v>
      </c>
      <c r="B455" s="70">
        <v>13.688900997199999</v>
      </c>
      <c r="C455" s="69">
        <v>-89.191222979900004</v>
      </c>
      <c r="D455" s="71">
        <v>1800</v>
      </c>
      <c r="E455" s="19">
        <v>0</v>
      </c>
      <c r="F455" s="19">
        <f t="shared" si="14"/>
        <v>1800</v>
      </c>
      <c r="G455" s="20">
        <v>102</v>
      </c>
      <c r="H455" s="19" t="str">
        <f t="shared" si="15"/>
        <v>USD</v>
      </c>
      <c r="J455" s="5"/>
      <c r="K455" s="3"/>
      <c r="L455" s="3"/>
      <c r="M455" s="3"/>
      <c r="N455" s="3"/>
      <c r="O455" s="3"/>
    </row>
    <row r="456" spans="1:15" ht="15">
      <c r="A456" s="72">
        <v>2</v>
      </c>
      <c r="B456" s="70">
        <v>13.688900417799999</v>
      </c>
      <c r="C456" s="69">
        <v>-89.191222999800004</v>
      </c>
      <c r="D456" s="71">
        <v>1800</v>
      </c>
      <c r="E456" s="19">
        <v>0</v>
      </c>
      <c r="F456" s="19">
        <f t="shared" si="14"/>
        <v>1800</v>
      </c>
      <c r="G456" s="20">
        <v>102</v>
      </c>
      <c r="H456" s="19" t="str">
        <f t="shared" si="15"/>
        <v>USD</v>
      </c>
      <c r="J456" s="5"/>
      <c r="K456" s="3"/>
      <c r="L456" s="3"/>
      <c r="M456" s="3"/>
      <c r="N456" s="3"/>
      <c r="O456" s="3"/>
    </row>
    <row r="457" spans="1:15" ht="15">
      <c r="A457" s="72">
        <v>2</v>
      </c>
      <c r="B457" s="70">
        <v>13.6889472987</v>
      </c>
      <c r="C457" s="69">
        <v>-89.191141661700001</v>
      </c>
      <c r="D457" s="71">
        <v>1800</v>
      </c>
      <c r="E457" s="19">
        <v>0</v>
      </c>
      <c r="F457" s="19">
        <f t="shared" si="14"/>
        <v>1800</v>
      </c>
      <c r="G457" s="20">
        <v>102</v>
      </c>
      <c r="H457" s="19" t="str">
        <f t="shared" si="15"/>
        <v>USD</v>
      </c>
      <c r="J457" s="5"/>
      <c r="K457" s="3"/>
      <c r="L457" s="3"/>
      <c r="M457" s="3"/>
      <c r="N457" s="3"/>
      <c r="O457" s="3"/>
    </row>
    <row r="458" spans="1:15" ht="15">
      <c r="A458" s="72">
        <v>2</v>
      </c>
      <c r="B458" s="70">
        <v>13.688946249600001</v>
      </c>
      <c r="C458" s="69">
        <v>-89.191141234599996</v>
      </c>
      <c r="D458" s="71">
        <v>1800</v>
      </c>
      <c r="E458" s="19">
        <v>0</v>
      </c>
      <c r="F458" s="19">
        <f t="shared" si="14"/>
        <v>1800</v>
      </c>
      <c r="G458" s="20">
        <v>102</v>
      </c>
      <c r="H458" s="19" t="str">
        <f t="shared" si="15"/>
        <v>USD</v>
      </c>
      <c r="J458" s="5"/>
      <c r="K458" s="3"/>
      <c r="L458" s="3"/>
      <c r="M458" s="3"/>
      <c r="N458" s="3"/>
      <c r="O458" s="3"/>
    </row>
    <row r="459" spans="1:15" ht="15">
      <c r="A459" s="72">
        <v>2</v>
      </c>
      <c r="B459" s="70">
        <v>13.6889451399</v>
      </c>
      <c r="C459" s="69">
        <v>-89.191140813100006</v>
      </c>
      <c r="D459" s="71">
        <v>1800</v>
      </c>
      <c r="E459" s="19">
        <v>0</v>
      </c>
      <c r="F459" s="19">
        <f t="shared" si="14"/>
        <v>1800</v>
      </c>
      <c r="G459" s="20">
        <v>102</v>
      </c>
      <c r="H459" s="19" t="str">
        <f t="shared" si="15"/>
        <v>USD</v>
      </c>
      <c r="J459" s="5"/>
      <c r="K459" s="3"/>
      <c r="L459" s="3"/>
      <c r="M459" s="3"/>
      <c r="N459" s="3"/>
      <c r="O459" s="3"/>
    </row>
    <row r="460" spans="1:15" ht="15">
      <c r="A460" s="72">
        <v>2</v>
      </c>
      <c r="B460" s="70">
        <v>13.688823985699999</v>
      </c>
      <c r="C460" s="69">
        <v>-89.191172945199995</v>
      </c>
      <c r="D460" s="71">
        <v>1800</v>
      </c>
      <c r="E460" s="19">
        <v>0</v>
      </c>
      <c r="F460" s="19">
        <f t="shared" si="14"/>
        <v>1800</v>
      </c>
      <c r="G460" s="20">
        <v>102</v>
      </c>
      <c r="H460" s="19" t="str">
        <f t="shared" si="15"/>
        <v>USD</v>
      </c>
      <c r="J460" s="5"/>
      <c r="K460" s="3"/>
      <c r="L460" s="3"/>
      <c r="M460" s="3"/>
      <c r="N460" s="3"/>
      <c r="O460" s="3"/>
    </row>
    <row r="461" spans="1:15" ht="15">
      <c r="A461" s="72">
        <v>2</v>
      </c>
      <c r="B461" s="70">
        <v>13.688823190300001</v>
      </c>
      <c r="C461" s="69">
        <v>-89.191172926099995</v>
      </c>
      <c r="D461" s="71">
        <v>1800</v>
      </c>
      <c r="E461" s="19">
        <v>0</v>
      </c>
      <c r="F461" s="19">
        <f t="shared" si="14"/>
        <v>1800</v>
      </c>
      <c r="G461" s="20">
        <v>102</v>
      </c>
      <c r="H461" s="19" t="str">
        <f t="shared" si="15"/>
        <v>USD</v>
      </c>
      <c r="J461" s="5"/>
      <c r="K461" s="3"/>
      <c r="L461" s="3"/>
      <c r="M461" s="3"/>
      <c r="N461" s="3"/>
      <c r="O461" s="3"/>
    </row>
    <row r="462" spans="1:15" ht="15">
      <c r="A462" s="72">
        <v>1</v>
      </c>
      <c r="B462" s="70">
        <v>13.6888224971</v>
      </c>
      <c r="C462" s="69">
        <v>-89.191172832199996</v>
      </c>
      <c r="D462" s="71">
        <v>1800</v>
      </c>
      <c r="E462" s="19">
        <v>0</v>
      </c>
      <c r="F462" s="19">
        <f t="shared" si="14"/>
        <v>1800</v>
      </c>
      <c r="G462" s="20">
        <v>101</v>
      </c>
      <c r="H462" s="19" t="str">
        <f t="shared" si="15"/>
        <v>USD</v>
      </c>
      <c r="J462" s="5"/>
      <c r="K462" s="3"/>
      <c r="L462" s="3"/>
      <c r="M462" s="3"/>
      <c r="N462" s="3"/>
      <c r="O462" s="3"/>
    </row>
    <row r="463" spans="1:15" ht="15">
      <c r="A463" s="72">
        <v>2</v>
      </c>
      <c r="B463" s="70">
        <v>13.688821755899999</v>
      </c>
      <c r="C463" s="69">
        <v>-89.191172795499995</v>
      </c>
      <c r="D463" s="71">
        <v>1800</v>
      </c>
      <c r="E463" s="19">
        <v>0</v>
      </c>
      <c r="F463" s="19">
        <f t="shared" si="14"/>
        <v>1800</v>
      </c>
      <c r="G463" s="20">
        <v>102</v>
      </c>
      <c r="H463" s="19" t="str">
        <f t="shared" si="15"/>
        <v>USD</v>
      </c>
      <c r="J463" s="5"/>
      <c r="K463" s="3"/>
      <c r="L463" s="3"/>
      <c r="M463" s="3"/>
      <c r="N463" s="3"/>
      <c r="O463" s="3"/>
    </row>
    <row r="464" spans="1:15" ht="15">
      <c r="A464" s="72">
        <v>2</v>
      </c>
      <c r="B464" s="70">
        <v>13.688870619999999</v>
      </c>
      <c r="C464" s="69">
        <v>-89.191096214500007</v>
      </c>
      <c r="D464" s="71">
        <v>1800</v>
      </c>
      <c r="E464" s="19">
        <v>0</v>
      </c>
      <c r="F464" s="19">
        <f t="shared" si="14"/>
        <v>1800</v>
      </c>
      <c r="G464" s="20">
        <v>102</v>
      </c>
      <c r="H464" s="19" t="str">
        <f t="shared" si="15"/>
        <v>USD</v>
      </c>
      <c r="J464" s="5"/>
      <c r="K464" s="3"/>
      <c r="L464" s="3"/>
      <c r="M464" s="3"/>
      <c r="N464" s="3"/>
      <c r="O464" s="3"/>
    </row>
    <row r="465" spans="1:15" ht="15">
      <c r="A465" s="72">
        <v>2</v>
      </c>
      <c r="B465" s="70">
        <v>13.688870016199999</v>
      </c>
      <c r="C465" s="69">
        <v>-89.191096098399996</v>
      </c>
      <c r="D465" s="71">
        <v>1800</v>
      </c>
      <c r="E465" s="19">
        <v>0</v>
      </c>
      <c r="F465" s="19">
        <f t="shared" si="14"/>
        <v>1800</v>
      </c>
      <c r="G465" s="20">
        <v>102</v>
      </c>
      <c r="H465" s="19" t="str">
        <f t="shared" si="15"/>
        <v>USD</v>
      </c>
      <c r="J465" s="5"/>
      <c r="K465" s="3"/>
      <c r="L465" s="3"/>
      <c r="M465" s="3"/>
      <c r="N465" s="3"/>
      <c r="O465" s="3"/>
    </row>
    <row r="466" spans="1:15" ht="15">
      <c r="A466" s="72">
        <v>2</v>
      </c>
      <c r="B466" s="70">
        <v>13.688869521000001</v>
      </c>
      <c r="C466" s="69">
        <v>-89.191095960300004</v>
      </c>
      <c r="D466" s="71">
        <v>1800</v>
      </c>
      <c r="E466" s="19">
        <v>0</v>
      </c>
      <c r="F466" s="19">
        <f t="shared" si="14"/>
        <v>1800</v>
      </c>
      <c r="G466" s="20">
        <v>102</v>
      </c>
      <c r="H466" s="19" t="str">
        <f t="shared" si="15"/>
        <v>USD</v>
      </c>
      <c r="J466" s="5"/>
      <c r="K466" s="3"/>
      <c r="L466" s="3"/>
      <c r="M466" s="3"/>
      <c r="N466" s="3"/>
      <c r="O466" s="3"/>
    </row>
    <row r="467" spans="1:15" ht="15">
      <c r="A467" s="72">
        <v>2</v>
      </c>
      <c r="B467" s="70">
        <v>13.688868945299999</v>
      </c>
      <c r="C467" s="69">
        <v>-89.191095820200005</v>
      </c>
      <c r="D467" s="71">
        <v>1800</v>
      </c>
      <c r="E467" s="19">
        <v>0</v>
      </c>
      <c r="F467" s="19">
        <f t="shared" si="14"/>
        <v>1800</v>
      </c>
      <c r="G467" s="20">
        <v>102</v>
      </c>
      <c r="H467" s="19" t="str">
        <f t="shared" si="15"/>
        <v>USD</v>
      </c>
      <c r="J467" s="5"/>
      <c r="K467" s="3"/>
      <c r="L467" s="3"/>
      <c r="M467" s="3"/>
      <c r="N467" s="3"/>
      <c r="O467" s="3"/>
    </row>
    <row r="468" spans="1:15" ht="15">
      <c r="A468" s="72">
        <v>2</v>
      </c>
      <c r="B468" s="70">
        <v>13.6889030491</v>
      </c>
      <c r="C468" s="69">
        <v>-89.191222974200002</v>
      </c>
      <c r="D468" s="71">
        <v>1800</v>
      </c>
      <c r="E468" s="19">
        <v>0</v>
      </c>
      <c r="F468" s="19">
        <f t="shared" si="14"/>
        <v>1800</v>
      </c>
      <c r="G468" s="20">
        <v>102</v>
      </c>
      <c r="H468" s="19" t="str">
        <f t="shared" si="15"/>
        <v>USD</v>
      </c>
      <c r="J468" s="5"/>
      <c r="K468" s="3"/>
      <c r="L468" s="3"/>
      <c r="M468" s="3"/>
      <c r="N468" s="3"/>
      <c r="O468" s="3"/>
    </row>
    <row r="469" spans="1:15" ht="15">
      <c r="A469" s="72">
        <v>2</v>
      </c>
      <c r="B469" s="70">
        <v>13.6889483243</v>
      </c>
      <c r="C469" s="69">
        <v>-89.191142119199995</v>
      </c>
      <c r="D469" s="71">
        <v>1800</v>
      </c>
      <c r="E469" s="19">
        <v>0</v>
      </c>
      <c r="F469" s="19">
        <f t="shared" si="14"/>
        <v>1800</v>
      </c>
      <c r="G469" s="20">
        <v>102</v>
      </c>
      <c r="H469" s="19" t="str">
        <f t="shared" si="15"/>
        <v>USD</v>
      </c>
      <c r="J469" s="5"/>
      <c r="K469" s="3"/>
      <c r="L469" s="3"/>
      <c r="M469" s="3"/>
      <c r="N469" s="3"/>
      <c r="O469" s="3"/>
    </row>
    <row r="470" spans="1:15" ht="15">
      <c r="A470" s="72">
        <v>2</v>
      </c>
      <c r="B470" s="70">
        <v>13.6888249185</v>
      </c>
      <c r="C470" s="69">
        <v>-89.191173019999994</v>
      </c>
      <c r="D470" s="71">
        <v>1800</v>
      </c>
      <c r="E470" s="19">
        <v>0</v>
      </c>
      <c r="F470" s="19">
        <f t="shared" si="14"/>
        <v>1800</v>
      </c>
      <c r="G470" s="20">
        <v>102</v>
      </c>
      <c r="H470" s="19" t="str">
        <f t="shared" si="15"/>
        <v>USD</v>
      </c>
      <c r="J470" s="5"/>
      <c r="K470" s="3"/>
      <c r="L470" s="3"/>
      <c r="M470" s="3"/>
      <c r="N470" s="3"/>
      <c r="O470" s="3"/>
    </row>
    <row r="471" spans="1:15" ht="15">
      <c r="A471" s="72">
        <v>2</v>
      </c>
      <c r="B471" s="70">
        <v>13.6888710384</v>
      </c>
      <c r="C471" s="69">
        <v>-89.191096348900004</v>
      </c>
      <c r="D471" s="71">
        <v>1800</v>
      </c>
      <c r="E471" s="19">
        <v>0</v>
      </c>
      <c r="F471" s="19">
        <f t="shared" si="14"/>
        <v>1800</v>
      </c>
      <c r="G471" s="20">
        <v>102</v>
      </c>
      <c r="H471" s="19" t="str">
        <f t="shared" si="15"/>
        <v>USD</v>
      </c>
      <c r="J471" s="5"/>
      <c r="K471" s="3"/>
      <c r="L471" s="3"/>
      <c r="M471" s="3"/>
      <c r="N471" s="3"/>
      <c r="O471" s="3"/>
    </row>
    <row r="472" spans="1:15" ht="15">
      <c r="A472" s="72">
        <v>2</v>
      </c>
      <c r="B472" s="70">
        <v>13.687108867499999</v>
      </c>
      <c r="C472" s="69">
        <v>-89.194256056200004</v>
      </c>
      <c r="D472" s="71">
        <v>2625</v>
      </c>
      <c r="E472" s="19">
        <v>0</v>
      </c>
      <c r="F472" s="19">
        <f t="shared" si="14"/>
        <v>2625</v>
      </c>
      <c r="G472" s="20">
        <v>102</v>
      </c>
      <c r="H472" s="19" t="str">
        <f t="shared" si="15"/>
        <v>USD</v>
      </c>
      <c r="J472" s="5"/>
      <c r="K472" s="3"/>
      <c r="L472" s="3"/>
      <c r="M472" s="3"/>
      <c r="N472" s="3"/>
      <c r="O472" s="3"/>
    </row>
    <row r="473" spans="1:15" ht="15">
      <c r="A473" s="72">
        <v>2</v>
      </c>
      <c r="B473" s="70">
        <v>13.6871406941</v>
      </c>
      <c r="C473" s="69">
        <v>-89.194243023499993</v>
      </c>
      <c r="D473" s="71">
        <v>2625</v>
      </c>
      <c r="E473" s="19">
        <v>0</v>
      </c>
      <c r="F473" s="19">
        <f t="shared" si="14"/>
        <v>2625</v>
      </c>
      <c r="G473" s="20">
        <v>102</v>
      </c>
      <c r="H473" s="19" t="str">
        <f t="shared" si="15"/>
        <v>USD</v>
      </c>
      <c r="J473" s="5"/>
      <c r="K473" s="3"/>
      <c r="L473" s="3"/>
      <c r="M473" s="3"/>
      <c r="N473" s="3"/>
      <c r="O473" s="3"/>
    </row>
    <row r="474" spans="1:15" ht="15">
      <c r="A474" s="72">
        <v>2</v>
      </c>
      <c r="B474" s="70">
        <v>13.6871748078</v>
      </c>
      <c r="C474" s="69">
        <v>-89.194228485899998</v>
      </c>
      <c r="D474" s="71">
        <v>2625</v>
      </c>
      <c r="E474" s="19">
        <v>0</v>
      </c>
      <c r="F474" s="19">
        <f t="shared" si="14"/>
        <v>2625</v>
      </c>
      <c r="G474" s="20">
        <v>102</v>
      </c>
      <c r="H474" s="19" t="str">
        <f t="shared" si="15"/>
        <v>USD</v>
      </c>
      <c r="J474" s="5"/>
      <c r="K474" s="3"/>
      <c r="L474" s="3"/>
      <c r="M474" s="3"/>
      <c r="N474" s="3"/>
      <c r="O474" s="3"/>
    </row>
    <row r="475" spans="1:15" ht="15">
      <c r="A475" s="72">
        <v>2</v>
      </c>
      <c r="B475" s="70">
        <v>13.6871748126</v>
      </c>
      <c r="C475" s="69">
        <v>-89.194228175299997</v>
      </c>
      <c r="D475" s="71">
        <v>2625</v>
      </c>
      <c r="E475" s="19">
        <v>0</v>
      </c>
      <c r="F475" s="19">
        <f t="shared" si="14"/>
        <v>2625</v>
      </c>
      <c r="G475" s="20">
        <v>102</v>
      </c>
      <c r="H475" s="19" t="str">
        <f t="shared" si="15"/>
        <v>USD</v>
      </c>
      <c r="J475" s="5"/>
      <c r="K475" s="3"/>
      <c r="L475" s="3"/>
      <c r="M475" s="3"/>
      <c r="N475" s="3"/>
      <c r="O475" s="3"/>
    </row>
    <row r="476" spans="1:15" ht="15">
      <c r="A476" s="72">
        <v>2</v>
      </c>
      <c r="B476" s="70">
        <v>13.686800166599999</v>
      </c>
      <c r="C476" s="69">
        <v>-89.194362092700004</v>
      </c>
      <c r="D476" s="71">
        <v>2625</v>
      </c>
      <c r="E476" s="19">
        <v>0</v>
      </c>
      <c r="F476" s="19">
        <f t="shared" si="14"/>
        <v>2625</v>
      </c>
      <c r="G476" s="20">
        <v>102</v>
      </c>
      <c r="H476" s="19" t="str">
        <f t="shared" si="15"/>
        <v>USD</v>
      </c>
      <c r="J476" s="5"/>
      <c r="K476" s="3"/>
      <c r="L476" s="3"/>
      <c r="M476" s="3"/>
      <c r="N476" s="3"/>
      <c r="O476" s="3"/>
    </row>
    <row r="477" spans="1:15" ht="15">
      <c r="A477" s="72">
        <v>2</v>
      </c>
      <c r="B477" s="70">
        <v>13.6867994699</v>
      </c>
      <c r="C477" s="69">
        <v>-89.194362913899994</v>
      </c>
      <c r="D477" s="71">
        <v>2625</v>
      </c>
      <c r="E477" s="19">
        <v>0</v>
      </c>
      <c r="F477" s="19">
        <f t="shared" si="14"/>
        <v>2625</v>
      </c>
      <c r="G477" s="20">
        <v>102</v>
      </c>
      <c r="H477" s="19" t="str">
        <f t="shared" si="15"/>
        <v>USD</v>
      </c>
      <c r="J477" s="5"/>
      <c r="K477" s="3"/>
      <c r="L477" s="3"/>
      <c r="M477" s="3"/>
      <c r="N477" s="3"/>
      <c r="O477" s="3"/>
    </row>
    <row r="478" spans="1:15" ht="15">
      <c r="A478" s="72">
        <v>2</v>
      </c>
      <c r="B478" s="70">
        <v>13.686841514099999</v>
      </c>
      <c r="C478" s="69">
        <v>-89.194345719500006</v>
      </c>
      <c r="D478" s="71">
        <v>2625</v>
      </c>
      <c r="E478" s="19">
        <v>0</v>
      </c>
      <c r="F478" s="19">
        <f t="shared" si="14"/>
        <v>2625</v>
      </c>
      <c r="G478" s="20">
        <v>102</v>
      </c>
      <c r="H478" s="19" t="str">
        <f t="shared" si="15"/>
        <v>USD</v>
      </c>
      <c r="J478" s="5"/>
      <c r="K478" s="3"/>
      <c r="L478" s="3"/>
      <c r="M478" s="3"/>
      <c r="N478" s="3"/>
      <c r="O478" s="3"/>
    </row>
    <row r="479" spans="1:15" ht="15">
      <c r="A479" s="72">
        <v>2</v>
      </c>
      <c r="B479" s="70">
        <v>13.6868415413</v>
      </c>
      <c r="C479" s="69">
        <v>-89.194345578099998</v>
      </c>
      <c r="D479" s="71">
        <v>2625</v>
      </c>
      <c r="E479" s="19">
        <v>0</v>
      </c>
      <c r="F479" s="19">
        <f t="shared" si="14"/>
        <v>2625</v>
      </c>
      <c r="G479" s="20">
        <v>102</v>
      </c>
      <c r="H479" s="19" t="str">
        <f t="shared" si="15"/>
        <v>USD</v>
      </c>
      <c r="J479" s="5"/>
      <c r="K479" s="3"/>
      <c r="L479" s="3"/>
      <c r="M479" s="3"/>
      <c r="N479" s="3"/>
      <c r="O479" s="3"/>
    </row>
    <row r="480" spans="1:15" ht="15">
      <c r="A480" s="72">
        <v>2</v>
      </c>
      <c r="B480" s="70">
        <v>13.686886100000001</v>
      </c>
      <c r="C480" s="69">
        <v>-89.194326352900006</v>
      </c>
      <c r="D480" s="71">
        <v>2625</v>
      </c>
      <c r="E480" s="19">
        <v>0</v>
      </c>
      <c r="F480" s="19">
        <f t="shared" si="14"/>
        <v>2625</v>
      </c>
      <c r="G480" s="20">
        <v>102</v>
      </c>
      <c r="H480" s="19" t="str">
        <f t="shared" si="15"/>
        <v>USD</v>
      </c>
      <c r="J480" s="5"/>
      <c r="K480" s="3"/>
      <c r="L480" s="3"/>
      <c r="M480" s="3"/>
      <c r="N480" s="3"/>
      <c r="O480" s="3"/>
    </row>
    <row r="481" spans="1:15" ht="15">
      <c r="A481" s="72">
        <v>2</v>
      </c>
      <c r="B481" s="70">
        <v>13.686886100800001</v>
      </c>
      <c r="C481" s="69">
        <v>-89.194325345300001</v>
      </c>
      <c r="D481" s="71">
        <v>2625</v>
      </c>
      <c r="E481" s="19">
        <v>0</v>
      </c>
      <c r="F481" s="19">
        <f t="shared" si="14"/>
        <v>2625</v>
      </c>
      <c r="G481" s="20">
        <v>102</v>
      </c>
      <c r="H481" s="19" t="str">
        <f t="shared" si="15"/>
        <v>USD</v>
      </c>
      <c r="J481" s="5"/>
      <c r="K481" s="3"/>
      <c r="L481" s="3"/>
      <c r="M481" s="3"/>
      <c r="N481" s="3"/>
      <c r="O481" s="3"/>
    </row>
    <row r="482" spans="1:15" ht="15">
      <c r="A482" s="72">
        <v>2</v>
      </c>
      <c r="B482" s="70">
        <v>13.686926576899999</v>
      </c>
      <c r="C482" s="69">
        <v>-89.194310110299995</v>
      </c>
      <c r="D482" s="71">
        <v>2625</v>
      </c>
      <c r="E482" s="19">
        <v>0</v>
      </c>
      <c r="F482" s="19">
        <f t="shared" si="14"/>
        <v>2625</v>
      </c>
      <c r="G482" s="20">
        <v>102</v>
      </c>
      <c r="H482" s="19" t="str">
        <f t="shared" si="15"/>
        <v>USD</v>
      </c>
      <c r="J482" s="5"/>
      <c r="K482" s="3"/>
      <c r="L482" s="3"/>
      <c r="M482" s="3"/>
      <c r="N482" s="3"/>
      <c r="O482" s="3"/>
    </row>
    <row r="483" spans="1:15" ht="15">
      <c r="A483" s="72">
        <v>2</v>
      </c>
      <c r="B483" s="70">
        <v>13.686927020000001</v>
      </c>
      <c r="C483" s="69">
        <v>-89.194309890699998</v>
      </c>
      <c r="D483" s="71">
        <v>2625</v>
      </c>
      <c r="E483" s="19">
        <v>0</v>
      </c>
      <c r="F483" s="19">
        <f t="shared" si="14"/>
        <v>2625</v>
      </c>
      <c r="G483" s="20">
        <v>102</v>
      </c>
      <c r="H483" s="19" t="str">
        <f t="shared" si="15"/>
        <v>USD</v>
      </c>
      <c r="J483" s="5"/>
      <c r="K483" s="3"/>
      <c r="L483" s="3"/>
      <c r="M483" s="3"/>
      <c r="N483" s="3"/>
      <c r="O483" s="3"/>
    </row>
    <row r="484" spans="1:15" ht="15">
      <c r="A484" s="72">
        <v>1</v>
      </c>
      <c r="B484" s="70">
        <v>13.686965213600001</v>
      </c>
      <c r="C484" s="69">
        <v>-89.194294818399996</v>
      </c>
      <c r="D484" s="71">
        <v>2625</v>
      </c>
      <c r="E484" s="19">
        <v>0</v>
      </c>
      <c r="F484" s="19">
        <f t="shared" si="14"/>
        <v>2625</v>
      </c>
      <c r="G484" s="20">
        <v>101</v>
      </c>
      <c r="H484" s="19" t="str">
        <f t="shared" si="15"/>
        <v>USD</v>
      </c>
      <c r="J484" s="5"/>
      <c r="K484" s="3"/>
      <c r="L484" s="3"/>
      <c r="M484" s="3"/>
      <c r="N484" s="3"/>
      <c r="O484" s="3"/>
    </row>
    <row r="485" spans="1:15" ht="15">
      <c r="A485" s="72">
        <v>2</v>
      </c>
      <c r="B485" s="70">
        <v>13.6869563985</v>
      </c>
      <c r="C485" s="69">
        <v>-89.194228445099995</v>
      </c>
      <c r="D485" s="71">
        <v>2625</v>
      </c>
      <c r="E485" s="19">
        <v>0</v>
      </c>
      <c r="F485" s="19">
        <f t="shared" si="14"/>
        <v>2625</v>
      </c>
      <c r="G485" s="20">
        <v>102</v>
      </c>
      <c r="H485" s="19" t="str">
        <f t="shared" si="15"/>
        <v>USD</v>
      </c>
      <c r="J485" s="5"/>
      <c r="K485" s="3"/>
      <c r="L485" s="3"/>
      <c r="M485" s="3"/>
      <c r="N485" s="3"/>
      <c r="O485" s="3"/>
    </row>
    <row r="486" spans="1:15" ht="15">
      <c r="A486" s="72">
        <v>2</v>
      </c>
      <c r="B486" s="70">
        <v>13.6869118501</v>
      </c>
      <c r="C486" s="69">
        <v>-89.194238172400006</v>
      </c>
      <c r="D486" s="71">
        <v>2625</v>
      </c>
      <c r="E486" s="19">
        <v>0</v>
      </c>
      <c r="F486" s="19">
        <f t="shared" si="14"/>
        <v>2625</v>
      </c>
      <c r="G486" s="20">
        <v>102</v>
      </c>
      <c r="H486" s="19" t="str">
        <f t="shared" si="15"/>
        <v>USD</v>
      </c>
      <c r="J486" s="5"/>
      <c r="K486" s="3"/>
      <c r="L486" s="3"/>
      <c r="M486" s="3"/>
      <c r="N486" s="3"/>
      <c r="O486" s="3"/>
    </row>
    <row r="487" spans="1:15" ht="15">
      <c r="A487" s="72">
        <v>2</v>
      </c>
      <c r="B487" s="70">
        <v>13.686867768600001</v>
      </c>
      <c r="C487" s="69">
        <v>-89.194255229299998</v>
      </c>
      <c r="D487" s="71">
        <v>2625</v>
      </c>
      <c r="E487" s="19">
        <v>0</v>
      </c>
      <c r="F487" s="19">
        <f t="shared" si="14"/>
        <v>2625</v>
      </c>
      <c r="G487" s="20">
        <v>102</v>
      </c>
      <c r="H487" s="19" t="str">
        <f t="shared" si="15"/>
        <v>USD</v>
      </c>
      <c r="J487" s="5"/>
      <c r="K487" s="3"/>
      <c r="L487" s="3"/>
      <c r="M487" s="3"/>
      <c r="N487" s="3"/>
      <c r="O487" s="3"/>
    </row>
    <row r="488" spans="1:15" ht="15">
      <c r="A488" s="72">
        <v>2</v>
      </c>
      <c r="B488" s="70">
        <v>13.6868677426</v>
      </c>
      <c r="C488" s="69">
        <v>-89.194254877000006</v>
      </c>
      <c r="D488" s="71">
        <v>2625</v>
      </c>
      <c r="E488" s="19">
        <v>0</v>
      </c>
      <c r="F488" s="19">
        <f t="shared" si="14"/>
        <v>2625</v>
      </c>
      <c r="G488" s="20">
        <v>102</v>
      </c>
      <c r="H488" s="19" t="str">
        <f t="shared" si="15"/>
        <v>USD</v>
      </c>
      <c r="J488" s="5"/>
      <c r="K488" s="3"/>
      <c r="L488" s="3"/>
      <c r="M488" s="3"/>
      <c r="N488" s="3"/>
      <c r="O488" s="3"/>
    </row>
    <row r="489" spans="1:15" ht="15">
      <c r="A489" s="72">
        <v>2</v>
      </c>
      <c r="B489" s="70">
        <v>13.686827689799999</v>
      </c>
      <c r="C489" s="69">
        <v>-89.194269747099995</v>
      </c>
      <c r="D489" s="71">
        <v>2625</v>
      </c>
      <c r="E489" s="19">
        <v>0</v>
      </c>
      <c r="F489" s="19">
        <f t="shared" si="14"/>
        <v>2625</v>
      </c>
      <c r="G489" s="20">
        <v>102</v>
      </c>
      <c r="H489" s="19" t="str">
        <f t="shared" si="15"/>
        <v>USD</v>
      </c>
      <c r="J489" s="5"/>
      <c r="K489" s="3"/>
      <c r="L489" s="3"/>
      <c r="M489" s="3"/>
      <c r="N489" s="3"/>
      <c r="O489" s="3"/>
    </row>
    <row r="490" spans="1:15" ht="15">
      <c r="A490" s="72">
        <v>2</v>
      </c>
      <c r="B490" s="70">
        <v>13.686827733099999</v>
      </c>
      <c r="C490" s="69">
        <v>-89.194268701599995</v>
      </c>
      <c r="D490" s="71">
        <v>2625</v>
      </c>
      <c r="E490" s="19">
        <v>0</v>
      </c>
      <c r="F490" s="19">
        <f t="shared" si="14"/>
        <v>2625</v>
      </c>
      <c r="G490" s="20">
        <v>102</v>
      </c>
      <c r="H490" s="19" t="str">
        <f t="shared" si="15"/>
        <v>USD</v>
      </c>
      <c r="J490" s="5"/>
      <c r="K490" s="3"/>
      <c r="L490" s="3"/>
      <c r="M490" s="3"/>
      <c r="N490" s="3"/>
      <c r="O490" s="3"/>
    </row>
    <row r="491" spans="1:15" ht="15">
      <c r="A491" s="72">
        <v>2</v>
      </c>
      <c r="B491" s="70">
        <v>13.6870156801</v>
      </c>
      <c r="C491" s="69">
        <v>-89.194278104299997</v>
      </c>
      <c r="D491" s="71">
        <v>2625</v>
      </c>
      <c r="E491" s="19">
        <v>0</v>
      </c>
      <c r="F491" s="19">
        <f t="shared" si="14"/>
        <v>2625</v>
      </c>
      <c r="G491" s="20">
        <v>102</v>
      </c>
      <c r="H491" s="19" t="str">
        <f t="shared" si="15"/>
        <v>USD</v>
      </c>
      <c r="J491" s="5"/>
      <c r="K491" s="3"/>
      <c r="L491" s="3"/>
      <c r="M491" s="3"/>
      <c r="N491" s="3"/>
      <c r="O491" s="3"/>
    </row>
    <row r="492" spans="1:15" ht="15">
      <c r="A492" s="72">
        <v>2</v>
      </c>
      <c r="B492" s="70">
        <v>13.687015687100001</v>
      </c>
      <c r="C492" s="69">
        <v>-89.194278451900004</v>
      </c>
      <c r="D492" s="71">
        <v>2625</v>
      </c>
      <c r="E492" s="19">
        <v>0</v>
      </c>
      <c r="F492" s="19">
        <f t="shared" si="14"/>
        <v>2625</v>
      </c>
      <c r="G492" s="20">
        <v>102</v>
      </c>
      <c r="H492" s="19" t="str">
        <f t="shared" si="15"/>
        <v>USD</v>
      </c>
      <c r="J492" s="5"/>
      <c r="K492" s="3"/>
      <c r="L492" s="3"/>
      <c r="M492" s="3"/>
      <c r="N492" s="3"/>
      <c r="O492" s="3"/>
    </row>
    <row r="493" spans="1:15" ht="15">
      <c r="A493" s="72">
        <v>2</v>
      </c>
      <c r="B493" s="70">
        <v>13.687000275300001</v>
      </c>
      <c r="C493" s="69">
        <v>-89.194202801700001</v>
      </c>
      <c r="D493" s="71">
        <v>2625</v>
      </c>
      <c r="E493" s="19">
        <v>0</v>
      </c>
      <c r="F493" s="19">
        <f t="shared" si="14"/>
        <v>2625</v>
      </c>
      <c r="G493" s="20">
        <v>102</v>
      </c>
      <c r="H493" s="19" t="str">
        <f t="shared" si="15"/>
        <v>USD</v>
      </c>
      <c r="J493" s="5"/>
      <c r="K493" s="3"/>
      <c r="L493" s="3"/>
      <c r="M493" s="3"/>
      <c r="N493" s="3"/>
      <c r="O493" s="3"/>
    </row>
    <row r="494" spans="1:15" ht="15">
      <c r="A494" s="72">
        <v>2</v>
      </c>
      <c r="B494" s="70">
        <v>13.687000286</v>
      </c>
      <c r="C494" s="69">
        <v>-89.194201764400006</v>
      </c>
      <c r="D494" s="71">
        <v>2625</v>
      </c>
      <c r="E494" s="19">
        <v>0</v>
      </c>
      <c r="F494" s="19">
        <f t="shared" si="14"/>
        <v>2625</v>
      </c>
      <c r="G494" s="20">
        <v>102</v>
      </c>
      <c r="H494" s="19" t="str">
        <f t="shared" si="15"/>
        <v>USD</v>
      </c>
      <c r="J494" s="5"/>
      <c r="K494" s="3"/>
      <c r="L494" s="3"/>
      <c r="M494" s="3"/>
      <c r="N494" s="3"/>
      <c r="O494" s="3"/>
    </row>
    <row r="495" spans="1:15" ht="15">
      <c r="A495" s="72">
        <v>2</v>
      </c>
      <c r="B495" s="70">
        <v>13.687078527300001</v>
      </c>
      <c r="C495" s="69">
        <v>-89.194159975999995</v>
      </c>
      <c r="D495" s="71">
        <v>2625</v>
      </c>
      <c r="E495" s="19">
        <v>0</v>
      </c>
      <c r="F495" s="19">
        <f t="shared" si="14"/>
        <v>2625</v>
      </c>
      <c r="G495" s="20">
        <v>102</v>
      </c>
      <c r="H495" s="19" t="str">
        <f t="shared" si="15"/>
        <v>USD</v>
      </c>
      <c r="J495" s="5"/>
      <c r="K495" s="3"/>
      <c r="L495" s="3"/>
      <c r="M495" s="3"/>
      <c r="N495" s="3"/>
      <c r="O495" s="3"/>
    </row>
    <row r="496" spans="1:15" ht="15">
      <c r="A496" s="72">
        <v>2</v>
      </c>
      <c r="B496" s="70">
        <v>13.6871132724</v>
      </c>
      <c r="C496" s="69">
        <v>-89.194146026799999</v>
      </c>
      <c r="D496" s="71">
        <v>2625</v>
      </c>
      <c r="E496" s="19">
        <v>0</v>
      </c>
      <c r="F496" s="19">
        <f t="shared" si="14"/>
        <v>2625</v>
      </c>
      <c r="G496" s="20">
        <v>102</v>
      </c>
      <c r="H496" s="19" t="str">
        <f t="shared" si="15"/>
        <v>USD</v>
      </c>
      <c r="J496" s="5"/>
      <c r="K496" s="3"/>
      <c r="L496" s="3"/>
      <c r="M496" s="3"/>
      <c r="N496" s="3"/>
      <c r="O496" s="3"/>
    </row>
    <row r="497" spans="1:15" ht="15">
      <c r="A497" s="72">
        <v>2</v>
      </c>
      <c r="B497" s="70">
        <v>13.6871132734</v>
      </c>
      <c r="C497" s="69">
        <v>-89.194144812100006</v>
      </c>
      <c r="D497" s="71">
        <v>2625</v>
      </c>
      <c r="E497" s="19">
        <v>0</v>
      </c>
      <c r="F497" s="19">
        <f t="shared" si="14"/>
        <v>2625</v>
      </c>
      <c r="G497" s="20">
        <v>102</v>
      </c>
      <c r="H497" s="19" t="str">
        <f t="shared" si="15"/>
        <v>USD</v>
      </c>
      <c r="J497" s="5"/>
      <c r="K497" s="3"/>
      <c r="L497" s="3"/>
      <c r="M497" s="3"/>
      <c r="N497" s="3"/>
      <c r="O497" s="3"/>
    </row>
    <row r="498" spans="1:15" ht="15">
      <c r="A498" s="72">
        <v>2</v>
      </c>
      <c r="B498" s="70">
        <v>13.6871514739</v>
      </c>
      <c r="C498" s="69">
        <v>-89.1941313003</v>
      </c>
      <c r="D498" s="71">
        <v>2625</v>
      </c>
      <c r="E498" s="19">
        <v>0</v>
      </c>
      <c r="F498" s="19">
        <f t="shared" si="14"/>
        <v>2625</v>
      </c>
      <c r="G498" s="20">
        <v>102</v>
      </c>
      <c r="H498" s="19" t="str">
        <f t="shared" si="15"/>
        <v>USD</v>
      </c>
      <c r="J498" s="5"/>
      <c r="K498" s="3"/>
      <c r="L498" s="3"/>
      <c r="M498" s="3"/>
      <c r="N498" s="3"/>
      <c r="O498" s="3"/>
    </row>
    <row r="499" spans="1:15" ht="15">
      <c r="A499" s="72">
        <v>2</v>
      </c>
      <c r="B499" s="70">
        <v>13.6871514678</v>
      </c>
      <c r="C499" s="69">
        <v>-89.194130994299996</v>
      </c>
      <c r="D499" s="71">
        <v>2625</v>
      </c>
      <c r="E499" s="19">
        <v>0</v>
      </c>
      <c r="F499" s="19">
        <f t="shared" si="14"/>
        <v>2625</v>
      </c>
      <c r="G499" s="20">
        <v>102</v>
      </c>
      <c r="H499" s="19" t="str">
        <f t="shared" si="15"/>
        <v>USD</v>
      </c>
      <c r="J499" s="5"/>
      <c r="K499" s="3"/>
      <c r="L499" s="3"/>
      <c r="M499" s="3"/>
      <c r="N499" s="3"/>
      <c r="O499" s="3"/>
    </row>
    <row r="500" spans="1:15" ht="15">
      <c r="A500" s="72">
        <v>2</v>
      </c>
      <c r="B500" s="70">
        <v>13.6871844429</v>
      </c>
      <c r="C500" s="69">
        <v>-89.194114976600005</v>
      </c>
      <c r="D500" s="71">
        <v>2625</v>
      </c>
      <c r="E500" s="19">
        <v>0</v>
      </c>
      <c r="F500" s="19">
        <f t="shared" si="14"/>
        <v>2625</v>
      </c>
      <c r="G500" s="20">
        <v>102</v>
      </c>
      <c r="H500" s="19" t="str">
        <f t="shared" si="15"/>
        <v>USD</v>
      </c>
      <c r="J500" s="5"/>
      <c r="K500" s="3"/>
      <c r="L500" s="3"/>
      <c r="M500" s="3"/>
      <c r="N500" s="3"/>
      <c r="O500" s="3"/>
    </row>
    <row r="501" spans="1:15" ht="15">
      <c r="A501" s="72">
        <v>2</v>
      </c>
      <c r="B501" s="70">
        <v>13.6872134519</v>
      </c>
      <c r="C501" s="69">
        <v>-89.194210736700001</v>
      </c>
      <c r="D501" s="71">
        <v>2625</v>
      </c>
      <c r="E501" s="19">
        <v>0</v>
      </c>
      <c r="F501" s="19">
        <f t="shared" si="14"/>
        <v>2625</v>
      </c>
      <c r="G501" s="20">
        <v>102</v>
      </c>
      <c r="H501" s="19" t="str">
        <f t="shared" si="15"/>
        <v>USD</v>
      </c>
      <c r="J501" s="5"/>
      <c r="K501" s="3"/>
      <c r="L501" s="3"/>
      <c r="M501" s="3"/>
      <c r="N501" s="3"/>
      <c r="O501" s="3"/>
    </row>
    <row r="502" spans="1:15" ht="15">
      <c r="A502" s="72">
        <v>2</v>
      </c>
      <c r="B502" s="70">
        <v>13.6872134529</v>
      </c>
      <c r="C502" s="69">
        <v>-89.194209504400007</v>
      </c>
      <c r="D502" s="71">
        <v>2625</v>
      </c>
      <c r="E502" s="19">
        <v>0</v>
      </c>
      <c r="F502" s="19">
        <f t="shared" si="14"/>
        <v>2625</v>
      </c>
      <c r="G502" s="20">
        <v>102</v>
      </c>
      <c r="H502" s="19" t="str">
        <f t="shared" si="15"/>
        <v>USD</v>
      </c>
      <c r="J502" s="5"/>
      <c r="K502" s="3"/>
      <c r="L502" s="3"/>
      <c r="M502" s="3"/>
      <c r="N502" s="3"/>
      <c r="O502" s="3"/>
    </row>
    <row r="503" spans="1:15" ht="15">
      <c r="A503" s="72">
        <v>2</v>
      </c>
      <c r="B503" s="70">
        <v>13.6872693853</v>
      </c>
      <c r="C503" s="69">
        <v>-89.194190596400006</v>
      </c>
      <c r="D503" s="71">
        <v>2625</v>
      </c>
      <c r="E503" s="19">
        <v>0</v>
      </c>
      <c r="F503" s="19">
        <f t="shared" si="14"/>
        <v>2625</v>
      </c>
      <c r="G503" s="20">
        <v>102</v>
      </c>
      <c r="H503" s="19" t="str">
        <f t="shared" si="15"/>
        <v>USD</v>
      </c>
      <c r="J503" s="5"/>
      <c r="K503" s="3"/>
      <c r="L503" s="3"/>
      <c r="M503" s="3"/>
      <c r="N503" s="3"/>
      <c r="O503" s="3"/>
    </row>
    <row r="504" spans="1:15" ht="15">
      <c r="A504" s="72">
        <v>2</v>
      </c>
      <c r="B504" s="70">
        <v>13.687237637400001</v>
      </c>
      <c r="C504" s="69">
        <v>-89.194095966399999</v>
      </c>
      <c r="D504" s="71">
        <v>2625</v>
      </c>
      <c r="E504" s="19">
        <v>0</v>
      </c>
      <c r="F504" s="19">
        <f t="shared" si="14"/>
        <v>2625</v>
      </c>
      <c r="G504" s="20">
        <v>102</v>
      </c>
      <c r="H504" s="19" t="str">
        <f t="shared" si="15"/>
        <v>USD</v>
      </c>
      <c r="J504" s="5"/>
      <c r="K504" s="3"/>
      <c r="L504" s="3"/>
      <c r="M504" s="3"/>
      <c r="N504" s="3"/>
      <c r="O504" s="3"/>
    </row>
    <row r="505" spans="1:15" ht="15">
      <c r="A505" s="72">
        <v>2</v>
      </c>
      <c r="B505" s="70">
        <v>13.6867890901</v>
      </c>
      <c r="C505" s="69">
        <v>-89.194282903599998</v>
      </c>
      <c r="D505" s="71">
        <v>2625</v>
      </c>
      <c r="E505" s="19">
        <v>0</v>
      </c>
      <c r="F505" s="19">
        <f t="shared" si="14"/>
        <v>2625</v>
      </c>
      <c r="G505" s="20">
        <v>102</v>
      </c>
      <c r="H505" s="19" t="str">
        <f t="shared" si="15"/>
        <v>USD</v>
      </c>
      <c r="J505" s="5"/>
      <c r="K505" s="3"/>
      <c r="L505" s="3"/>
      <c r="M505" s="3"/>
      <c r="N505" s="3"/>
      <c r="O505" s="3"/>
    </row>
    <row r="506" spans="1:15" ht="15">
      <c r="A506" s="72">
        <v>2</v>
      </c>
      <c r="B506" s="70">
        <v>13.686789093</v>
      </c>
      <c r="C506" s="69">
        <v>-89.194282700200006</v>
      </c>
      <c r="D506" s="71">
        <v>2625</v>
      </c>
      <c r="E506" s="19">
        <v>0</v>
      </c>
      <c r="F506" s="19">
        <f t="shared" si="14"/>
        <v>2625</v>
      </c>
      <c r="G506" s="20">
        <v>102</v>
      </c>
      <c r="H506" s="19" t="str">
        <f t="shared" si="15"/>
        <v>USD</v>
      </c>
      <c r="J506" s="5"/>
      <c r="K506" s="3"/>
      <c r="L506" s="3"/>
      <c r="M506" s="3"/>
      <c r="N506" s="3"/>
      <c r="O506" s="3"/>
    </row>
    <row r="507" spans="1:15" ht="15">
      <c r="A507" s="72">
        <v>2</v>
      </c>
      <c r="B507" s="70">
        <v>13.687050707799999</v>
      </c>
      <c r="C507" s="69">
        <v>-89.194516295400007</v>
      </c>
      <c r="D507" s="71">
        <v>2625</v>
      </c>
      <c r="E507" s="19">
        <v>0</v>
      </c>
      <c r="F507" s="19">
        <f t="shared" si="14"/>
        <v>2625</v>
      </c>
      <c r="G507" s="20">
        <v>102</v>
      </c>
      <c r="H507" s="19" t="str">
        <f t="shared" si="15"/>
        <v>USD</v>
      </c>
      <c r="J507" s="5"/>
      <c r="K507" s="3"/>
      <c r="L507" s="3"/>
      <c r="M507" s="3"/>
      <c r="N507" s="3"/>
      <c r="O507" s="3"/>
    </row>
    <row r="508" spans="1:15" ht="15">
      <c r="A508" s="72">
        <v>2</v>
      </c>
      <c r="B508" s="70">
        <v>13.6870513882</v>
      </c>
      <c r="C508" s="69">
        <v>-89.194515484299998</v>
      </c>
      <c r="D508" s="71">
        <v>2625</v>
      </c>
      <c r="E508" s="19">
        <v>0</v>
      </c>
      <c r="F508" s="19">
        <f t="shared" si="14"/>
        <v>2625</v>
      </c>
      <c r="G508" s="20">
        <v>102</v>
      </c>
      <c r="H508" s="19" t="str">
        <f t="shared" si="15"/>
        <v>USD</v>
      </c>
      <c r="J508" s="5"/>
      <c r="K508" s="3"/>
      <c r="L508" s="3"/>
      <c r="M508" s="3"/>
      <c r="N508" s="3"/>
      <c r="O508" s="3"/>
    </row>
    <row r="509" spans="1:15" ht="15">
      <c r="A509" s="72">
        <v>2</v>
      </c>
      <c r="B509" s="70">
        <v>13.686988098600001</v>
      </c>
      <c r="C509" s="69">
        <v>-89.194560658399993</v>
      </c>
      <c r="D509" s="71">
        <v>2625</v>
      </c>
      <c r="E509" s="19">
        <v>0</v>
      </c>
      <c r="F509" s="19">
        <f t="shared" si="14"/>
        <v>2625</v>
      </c>
      <c r="G509" s="20">
        <v>102</v>
      </c>
      <c r="H509" s="19" t="str">
        <f t="shared" si="15"/>
        <v>USD</v>
      </c>
      <c r="J509" s="5"/>
      <c r="K509" s="3"/>
      <c r="L509" s="3"/>
      <c r="M509" s="3"/>
      <c r="N509" s="3"/>
      <c r="O509" s="3"/>
    </row>
    <row r="510" spans="1:15" ht="15">
      <c r="A510" s="72">
        <v>2</v>
      </c>
      <c r="B510" s="70">
        <v>13.686988464900001</v>
      </c>
      <c r="C510" s="69">
        <v>-89.1945605043</v>
      </c>
      <c r="D510" s="71">
        <v>2625</v>
      </c>
      <c r="E510" s="19">
        <v>0</v>
      </c>
      <c r="F510" s="19">
        <f t="shared" si="14"/>
        <v>2625</v>
      </c>
      <c r="G510" s="20">
        <v>102</v>
      </c>
      <c r="H510" s="19" t="str">
        <f t="shared" si="15"/>
        <v>USD</v>
      </c>
      <c r="J510" s="5"/>
      <c r="K510" s="3"/>
      <c r="L510" s="3"/>
      <c r="M510" s="3"/>
      <c r="N510" s="3"/>
      <c r="O510" s="3"/>
    </row>
    <row r="511" spans="1:15" ht="15">
      <c r="A511" s="72">
        <v>2</v>
      </c>
      <c r="B511" s="70">
        <v>13.686955755</v>
      </c>
      <c r="C511" s="69">
        <v>-89.194538361400006</v>
      </c>
      <c r="D511" s="71">
        <v>2625</v>
      </c>
      <c r="E511" s="19">
        <v>0</v>
      </c>
      <c r="F511" s="19">
        <f t="shared" si="14"/>
        <v>2625</v>
      </c>
      <c r="G511" s="20">
        <v>102</v>
      </c>
      <c r="H511" s="19" t="str">
        <f t="shared" si="15"/>
        <v>USD</v>
      </c>
      <c r="J511" s="5"/>
      <c r="K511" s="3"/>
      <c r="L511" s="3"/>
      <c r="M511" s="3"/>
      <c r="N511" s="3"/>
      <c r="O511" s="3"/>
    </row>
    <row r="512" spans="1:15" ht="15">
      <c r="A512" s="72">
        <v>2</v>
      </c>
      <c r="B512" s="70">
        <v>13.686955038500001</v>
      </c>
      <c r="C512" s="69">
        <v>-89.194537910600005</v>
      </c>
      <c r="D512" s="71">
        <v>2625</v>
      </c>
      <c r="E512" s="19">
        <v>0</v>
      </c>
      <c r="F512" s="19">
        <f t="shared" si="14"/>
        <v>2625</v>
      </c>
      <c r="G512" s="20">
        <v>102</v>
      </c>
      <c r="H512" s="19" t="str">
        <f t="shared" si="15"/>
        <v>USD</v>
      </c>
      <c r="J512" s="5"/>
      <c r="K512" s="3"/>
      <c r="L512" s="3"/>
      <c r="M512" s="3"/>
      <c r="N512" s="3"/>
      <c r="O512" s="3"/>
    </row>
    <row r="513" spans="1:15" ht="15">
      <c r="A513" s="72">
        <v>2</v>
      </c>
      <c r="B513" s="70">
        <v>13.686907787499999</v>
      </c>
      <c r="C513" s="69">
        <v>-89.194503936399997</v>
      </c>
      <c r="D513" s="71">
        <v>2625</v>
      </c>
      <c r="E513" s="19">
        <v>0</v>
      </c>
      <c r="F513" s="19">
        <f t="shared" si="14"/>
        <v>2625</v>
      </c>
      <c r="G513" s="20">
        <v>102</v>
      </c>
      <c r="H513" s="19" t="str">
        <f t="shared" si="15"/>
        <v>USD</v>
      </c>
      <c r="J513" s="5"/>
      <c r="K513" s="3"/>
      <c r="L513" s="3"/>
      <c r="M513" s="3"/>
      <c r="N513" s="3"/>
      <c r="O513" s="3"/>
    </row>
    <row r="514" spans="1:15" ht="15">
      <c r="A514" s="72">
        <v>2</v>
      </c>
      <c r="B514" s="70">
        <v>13.6869071939</v>
      </c>
      <c r="C514" s="69">
        <v>-89.194503543899998</v>
      </c>
      <c r="D514" s="71">
        <v>2625</v>
      </c>
      <c r="E514" s="19">
        <v>0</v>
      </c>
      <c r="F514" s="19">
        <f t="shared" si="14"/>
        <v>2625</v>
      </c>
      <c r="G514" s="20">
        <v>102</v>
      </c>
      <c r="H514" s="19" t="str">
        <f t="shared" si="15"/>
        <v>USD</v>
      </c>
      <c r="J514" s="5"/>
      <c r="K514" s="3"/>
      <c r="L514" s="3"/>
      <c r="M514" s="3"/>
      <c r="N514" s="3"/>
      <c r="O514" s="3"/>
    </row>
    <row r="515" spans="1:15" ht="15">
      <c r="A515" s="72">
        <v>2</v>
      </c>
      <c r="B515" s="70">
        <v>13.687020436999999</v>
      </c>
      <c r="C515" s="69">
        <v>-89.194473112899999</v>
      </c>
      <c r="D515" s="71">
        <v>2625</v>
      </c>
      <c r="E515" s="19">
        <v>0</v>
      </c>
      <c r="F515" s="19">
        <f t="shared" ref="F515:F578" si="16">D515</f>
        <v>2625</v>
      </c>
      <c r="G515" s="20">
        <v>102</v>
      </c>
      <c r="H515" s="19" t="str">
        <f t="shared" ref="H515:H578" si="17">IF(OR(A515&lt;17,A515=21),"USD","people")</f>
        <v>USD</v>
      </c>
      <c r="J515" s="5"/>
      <c r="K515" s="3"/>
      <c r="L515" s="3"/>
      <c r="M515" s="3"/>
      <c r="N515" s="3"/>
      <c r="O515" s="3"/>
    </row>
    <row r="516" spans="1:15" ht="15">
      <c r="A516" s="72">
        <v>2</v>
      </c>
      <c r="B516" s="70">
        <v>13.6870208501</v>
      </c>
      <c r="C516" s="69">
        <v>-89.194471920699996</v>
      </c>
      <c r="D516" s="71">
        <v>2625</v>
      </c>
      <c r="E516" s="19">
        <v>0</v>
      </c>
      <c r="F516" s="19">
        <f t="shared" si="16"/>
        <v>2625</v>
      </c>
      <c r="G516" s="20">
        <v>102</v>
      </c>
      <c r="H516" s="19" t="str">
        <f t="shared" si="17"/>
        <v>USD</v>
      </c>
      <c r="J516" s="5"/>
      <c r="K516" s="3"/>
      <c r="L516" s="3"/>
      <c r="M516" s="3"/>
      <c r="N516" s="3"/>
      <c r="O516" s="3"/>
    </row>
    <row r="517" spans="1:15" ht="15">
      <c r="A517" s="72">
        <v>2</v>
      </c>
      <c r="B517" s="70">
        <v>13.6869930029</v>
      </c>
      <c r="C517" s="69">
        <v>-89.194452599499996</v>
      </c>
      <c r="D517" s="71">
        <v>2625</v>
      </c>
      <c r="E517" s="19">
        <v>0</v>
      </c>
      <c r="F517" s="19">
        <f t="shared" si="16"/>
        <v>2625</v>
      </c>
      <c r="G517" s="20">
        <v>102</v>
      </c>
      <c r="H517" s="19" t="str">
        <f t="shared" si="17"/>
        <v>USD</v>
      </c>
      <c r="J517" s="5"/>
      <c r="K517" s="3"/>
      <c r="L517" s="3"/>
      <c r="M517" s="3"/>
      <c r="N517" s="3"/>
      <c r="O517" s="3"/>
    </row>
    <row r="518" spans="1:15" ht="15">
      <c r="A518" s="72">
        <v>2</v>
      </c>
      <c r="B518" s="70">
        <v>13.6869921668</v>
      </c>
      <c r="C518" s="69">
        <v>-89.194451455299998</v>
      </c>
      <c r="D518" s="71">
        <v>2625</v>
      </c>
      <c r="E518" s="19">
        <v>0</v>
      </c>
      <c r="F518" s="19">
        <f t="shared" si="16"/>
        <v>2625</v>
      </c>
      <c r="G518" s="20">
        <v>102</v>
      </c>
      <c r="H518" s="19" t="str">
        <f t="shared" si="17"/>
        <v>USD</v>
      </c>
      <c r="J518" s="5"/>
      <c r="K518" s="3"/>
      <c r="L518" s="3"/>
      <c r="M518" s="3"/>
      <c r="N518" s="3"/>
      <c r="O518" s="3"/>
    </row>
    <row r="519" spans="1:15" ht="15">
      <c r="A519" s="72">
        <v>2</v>
      </c>
      <c r="B519" s="70">
        <v>13.6869478964</v>
      </c>
      <c r="C519" s="69">
        <v>-89.194418192699999</v>
      </c>
      <c r="D519" s="71">
        <v>2625</v>
      </c>
      <c r="E519" s="19">
        <v>0</v>
      </c>
      <c r="F519" s="19">
        <f t="shared" si="16"/>
        <v>2625</v>
      </c>
      <c r="G519" s="20">
        <v>102</v>
      </c>
      <c r="H519" s="19" t="str">
        <f t="shared" si="17"/>
        <v>USD</v>
      </c>
      <c r="J519" s="5"/>
      <c r="K519" s="3"/>
      <c r="L519" s="3"/>
      <c r="M519" s="3"/>
      <c r="N519" s="3"/>
      <c r="O519" s="3"/>
    </row>
    <row r="520" spans="1:15" ht="15">
      <c r="A520" s="72">
        <v>2</v>
      </c>
      <c r="B520" s="70">
        <v>13.686947762799999</v>
      </c>
      <c r="C520" s="69">
        <v>-89.194417957699997</v>
      </c>
      <c r="D520" s="71">
        <v>2625</v>
      </c>
      <c r="E520" s="19">
        <v>0</v>
      </c>
      <c r="F520" s="19">
        <f t="shared" si="16"/>
        <v>2625</v>
      </c>
      <c r="G520" s="20">
        <v>102</v>
      </c>
      <c r="H520" s="19" t="str">
        <f t="shared" si="17"/>
        <v>USD</v>
      </c>
      <c r="J520" s="5"/>
      <c r="K520" s="3"/>
      <c r="L520" s="3"/>
      <c r="M520" s="3"/>
      <c r="N520" s="3"/>
      <c r="O520" s="3"/>
    </row>
    <row r="521" spans="1:15" ht="15">
      <c r="A521" s="72">
        <v>2</v>
      </c>
      <c r="B521" s="70">
        <v>13.6870382017</v>
      </c>
      <c r="C521" s="69">
        <v>-89.194385197499997</v>
      </c>
      <c r="D521" s="71">
        <v>2625</v>
      </c>
      <c r="E521" s="19">
        <v>0</v>
      </c>
      <c r="F521" s="19">
        <f t="shared" si="16"/>
        <v>2625</v>
      </c>
      <c r="G521" s="20">
        <v>102</v>
      </c>
      <c r="H521" s="19" t="str">
        <f t="shared" si="17"/>
        <v>USD</v>
      </c>
      <c r="J521" s="5"/>
      <c r="K521" s="3"/>
      <c r="L521" s="3"/>
      <c r="M521" s="3"/>
      <c r="N521" s="3"/>
      <c r="O521" s="3"/>
    </row>
    <row r="522" spans="1:15" ht="15">
      <c r="A522" s="72">
        <v>2</v>
      </c>
      <c r="B522" s="70">
        <v>13.687038087299999</v>
      </c>
      <c r="C522" s="69">
        <v>-89.194384625200001</v>
      </c>
      <c r="D522" s="71">
        <v>2625</v>
      </c>
      <c r="E522" s="19">
        <v>0</v>
      </c>
      <c r="F522" s="19">
        <f t="shared" si="16"/>
        <v>2625</v>
      </c>
      <c r="G522" s="20">
        <v>102</v>
      </c>
      <c r="H522" s="19" t="str">
        <f t="shared" si="17"/>
        <v>USD</v>
      </c>
      <c r="J522" s="5"/>
      <c r="K522" s="3"/>
      <c r="L522" s="3"/>
      <c r="M522" s="3"/>
      <c r="N522" s="3"/>
      <c r="O522" s="3"/>
    </row>
    <row r="523" spans="1:15" ht="15">
      <c r="A523" s="72">
        <v>2</v>
      </c>
      <c r="B523" s="70">
        <v>13.687073266100001</v>
      </c>
      <c r="C523" s="69">
        <v>-89.194414492199996</v>
      </c>
      <c r="D523" s="71">
        <v>2625</v>
      </c>
      <c r="E523" s="19">
        <v>0</v>
      </c>
      <c r="F523" s="19">
        <f t="shared" si="16"/>
        <v>2625</v>
      </c>
      <c r="G523" s="20">
        <v>102</v>
      </c>
      <c r="H523" s="19" t="str">
        <f t="shared" si="17"/>
        <v>USD</v>
      </c>
      <c r="J523" s="5"/>
      <c r="K523" s="3"/>
      <c r="L523" s="3"/>
      <c r="M523" s="3"/>
      <c r="N523" s="3"/>
      <c r="O523" s="3"/>
    </row>
    <row r="524" spans="1:15" ht="15">
      <c r="A524" s="72">
        <v>2</v>
      </c>
      <c r="B524" s="70">
        <v>13.687073123799999</v>
      </c>
      <c r="C524" s="69">
        <v>-89.194413793199999</v>
      </c>
      <c r="D524" s="71">
        <v>2625</v>
      </c>
      <c r="E524" s="19">
        <v>0</v>
      </c>
      <c r="F524" s="19">
        <f t="shared" si="16"/>
        <v>2625</v>
      </c>
      <c r="G524" s="20">
        <v>102</v>
      </c>
      <c r="H524" s="19" t="str">
        <f t="shared" si="17"/>
        <v>USD</v>
      </c>
      <c r="J524" s="5"/>
      <c r="K524" s="3"/>
      <c r="L524" s="3"/>
      <c r="M524" s="3"/>
      <c r="N524" s="3"/>
      <c r="O524" s="3"/>
    </row>
    <row r="525" spans="1:15" ht="15">
      <c r="A525" s="72">
        <v>2</v>
      </c>
      <c r="B525" s="70">
        <v>13.6879918552</v>
      </c>
      <c r="C525" s="69">
        <v>-89.193068945799993</v>
      </c>
      <c r="D525" s="71">
        <v>3412.5</v>
      </c>
      <c r="E525" s="19">
        <v>0</v>
      </c>
      <c r="F525" s="19">
        <f t="shared" si="16"/>
        <v>3412.5</v>
      </c>
      <c r="G525" s="20">
        <v>102</v>
      </c>
      <c r="H525" s="19" t="str">
        <f t="shared" si="17"/>
        <v>USD</v>
      </c>
      <c r="J525" s="5"/>
      <c r="K525" s="3"/>
      <c r="L525" s="3"/>
      <c r="M525" s="3"/>
      <c r="N525" s="3"/>
      <c r="O525" s="3"/>
    </row>
    <row r="526" spans="1:15" ht="15">
      <c r="A526" s="72">
        <v>2</v>
      </c>
      <c r="B526" s="70">
        <v>13.6879722333</v>
      </c>
      <c r="C526" s="69">
        <v>-89.193021086800002</v>
      </c>
      <c r="D526" s="71">
        <v>3412.5</v>
      </c>
      <c r="E526" s="19">
        <v>0</v>
      </c>
      <c r="F526" s="19">
        <f t="shared" si="16"/>
        <v>3412.5</v>
      </c>
      <c r="G526" s="20">
        <v>102</v>
      </c>
      <c r="H526" s="19" t="str">
        <f t="shared" si="17"/>
        <v>USD</v>
      </c>
      <c r="J526" s="5"/>
      <c r="K526" s="3"/>
      <c r="L526" s="3"/>
      <c r="M526" s="3"/>
      <c r="N526" s="3"/>
      <c r="O526" s="3"/>
    </row>
    <row r="527" spans="1:15" ht="15">
      <c r="A527" s="72">
        <v>2</v>
      </c>
      <c r="B527" s="70">
        <v>13.687990188000001</v>
      </c>
      <c r="C527" s="69">
        <v>-89.192999087299995</v>
      </c>
      <c r="D527" s="71">
        <v>3412.5</v>
      </c>
      <c r="E527" s="19">
        <v>0</v>
      </c>
      <c r="F527" s="19">
        <f t="shared" si="16"/>
        <v>3412.5</v>
      </c>
      <c r="G527" s="20">
        <v>102</v>
      </c>
      <c r="H527" s="19" t="str">
        <f t="shared" si="17"/>
        <v>USD</v>
      </c>
      <c r="J527" s="5"/>
      <c r="K527" s="3"/>
      <c r="L527" s="3"/>
      <c r="M527" s="3"/>
      <c r="N527" s="3"/>
      <c r="O527" s="3"/>
    </row>
    <row r="528" spans="1:15" ht="15">
      <c r="A528" s="72">
        <v>2</v>
      </c>
      <c r="B528" s="70">
        <v>13.6880143103</v>
      </c>
      <c r="C528" s="69">
        <v>-89.192980469000005</v>
      </c>
      <c r="D528" s="71">
        <v>3412.5</v>
      </c>
      <c r="E528" s="19">
        <v>0</v>
      </c>
      <c r="F528" s="19">
        <f t="shared" si="16"/>
        <v>3412.5</v>
      </c>
      <c r="G528" s="20">
        <v>102</v>
      </c>
      <c r="H528" s="19" t="str">
        <f t="shared" si="17"/>
        <v>USD</v>
      </c>
      <c r="J528" s="5"/>
      <c r="K528" s="3"/>
      <c r="L528" s="3"/>
      <c r="M528" s="3"/>
      <c r="N528" s="3"/>
      <c r="O528" s="3"/>
    </row>
    <row r="529" spans="1:15" ht="15">
      <c r="A529" s="72">
        <v>2</v>
      </c>
      <c r="B529" s="70">
        <v>13.6881675118</v>
      </c>
      <c r="C529" s="69">
        <v>-89.193240327599995</v>
      </c>
      <c r="D529" s="71">
        <v>3412.5</v>
      </c>
      <c r="E529" s="19">
        <v>0</v>
      </c>
      <c r="F529" s="19">
        <f t="shared" si="16"/>
        <v>3412.5</v>
      </c>
      <c r="G529" s="20">
        <v>102</v>
      </c>
      <c r="H529" s="19" t="str">
        <f t="shared" si="17"/>
        <v>USD</v>
      </c>
      <c r="J529" s="5"/>
      <c r="K529" s="3"/>
      <c r="L529" s="3"/>
      <c r="M529" s="3"/>
      <c r="N529" s="3"/>
      <c r="O529" s="3"/>
    </row>
    <row r="530" spans="1:15" ht="15">
      <c r="A530" s="72">
        <v>2</v>
      </c>
      <c r="B530" s="70">
        <v>13.688072482899999</v>
      </c>
      <c r="C530" s="69">
        <v>-89.193191451700002</v>
      </c>
      <c r="D530" s="71">
        <v>3412.5</v>
      </c>
      <c r="E530" s="19">
        <v>0</v>
      </c>
      <c r="F530" s="19">
        <f t="shared" si="16"/>
        <v>3412.5</v>
      </c>
      <c r="G530" s="20">
        <v>102</v>
      </c>
      <c r="H530" s="19" t="str">
        <f t="shared" si="17"/>
        <v>USD</v>
      </c>
      <c r="J530" s="5"/>
      <c r="K530" s="3"/>
      <c r="L530" s="3"/>
      <c r="M530" s="3"/>
      <c r="N530" s="3"/>
      <c r="O530" s="3"/>
    </row>
    <row r="531" spans="1:15" ht="15">
      <c r="A531" s="72">
        <v>2</v>
      </c>
      <c r="B531" s="70">
        <v>13.6882242193</v>
      </c>
      <c r="C531" s="69">
        <v>-89.193192090400004</v>
      </c>
      <c r="D531" s="71">
        <v>3412.5</v>
      </c>
      <c r="E531" s="19">
        <v>0</v>
      </c>
      <c r="F531" s="19">
        <f t="shared" si="16"/>
        <v>3412.5</v>
      </c>
      <c r="G531" s="20">
        <v>102</v>
      </c>
      <c r="H531" s="19" t="str">
        <f t="shared" si="17"/>
        <v>USD</v>
      </c>
      <c r="J531" s="5"/>
      <c r="K531" s="3"/>
      <c r="L531" s="3"/>
      <c r="M531" s="3"/>
      <c r="N531" s="3"/>
      <c r="O531" s="3"/>
    </row>
    <row r="532" spans="1:15" ht="15">
      <c r="A532" s="72">
        <v>2</v>
      </c>
      <c r="B532" s="70">
        <v>13.688328586300001</v>
      </c>
      <c r="C532" s="69">
        <v>-89.192831442400006</v>
      </c>
      <c r="D532" s="71">
        <v>3412.5</v>
      </c>
      <c r="E532" s="19">
        <v>0</v>
      </c>
      <c r="F532" s="19">
        <f t="shared" si="16"/>
        <v>3412.5</v>
      </c>
      <c r="G532" s="20">
        <v>102</v>
      </c>
      <c r="H532" s="19" t="str">
        <f t="shared" si="17"/>
        <v>USD</v>
      </c>
      <c r="J532" s="5"/>
      <c r="K532" s="3"/>
      <c r="L532" s="3"/>
      <c r="M532" s="3"/>
      <c r="N532" s="3"/>
      <c r="O532" s="3"/>
    </row>
    <row r="533" spans="1:15" ht="15">
      <c r="A533" s="72">
        <v>2</v>
      </c>
      <c r="B533" s="70">
        <v>13.6882899116</v>
      </c>
      <c r="C533" s="69">
        <v>-89.192741887400004</v>
      </c>
      <c r="D533" s="71">
        <v>3412.5</v>
      </c>
      <c r="E533" s="19">
        <v>0</v>
      </c>
      <c r="F533" s="19">
        <f t="shared" si="16"/>
        <v>3412.5</v>
      </c>
      <c r="G533" s="20">
        <v>102</v>
      </c>
      <c r="H533" s="19" t="str">
        <f t="shared" si="17"/>
        <v>USD</v>
      </c>
      <c r="J533" s="5"/>
      <c r="K533" s="3"/>
      <c r="L533" s="3"/>
      <c r="M533" s="3"/>
      <c r="N533" s="3"/>
      <c r="O533" s="3"/>
    </row>
    <row r="534" spans="1:15" ht="15">
      <c r="A534" s="72">
        <v>2</v>
      </c>
      <c r="B534" s="70">
        <v>13.688385632099999</v>
      </c>
      <c r="C534" s="69">
        <v>-89.192672010600006</v>
      </c>
      <c r="D534" s="71">
        <v>3412.5</v>
      </c>
      <c r="E534" s="19">
        <v>0</v>
      </c>
      <c r="F534" s="19">
        <f t="shared" si="16"/>
        <v>3412.5</v>
      </c>
      <c r="G534" s="20">
        <v>102</v>
      </c>
      <c r="H534" s="19" t="str">
        <f t="shared" si="17"/>
        <v>USD</v>
      </c>
      <c r="J534" s="5"/>
      <c r="K534" s="3"/>
      <c r="L534" s="3"/>
      <c r="M534" s="3"/>
      <c r="N534" s="3"/>
      <c r="O534" s="3"/>
    </row>
    <row r="535" spans="1:15" ht="15">
      <c r="A535" s="72">
        <v>2</v>
      </c>
      <c r="B535" s="70">
        <v>13.6884674407</v>
      </c>
      <c r="C535" s="69">
        <v>-89.192795420799996</v>
      </c>
      <c r="D535" s="71">
        <v>3412.5</v>
      </c>
      <c r="E535" s="19">
        <v>0</v>
      </c>
      <c r="F535" s="19">
        <f t="shared" si="16"/>
        <v>3412.5</v>
      </c>
      <c r="G535" s="20">
        <v>102</v>
      </c>
      <c r="H535" s="19" t="str">
        <f t="shared" si="17"/>
        <v>USD</v>
      </c>
      <c r="J535" s="5"/>
      <c r="K535" s="3"/>
      <c r="L535" s="3"/>
      <c r="M535" s="3"/>
      <c r="N535" s="3"/>
      <c r="O535" s="3"/>
    </row>
    <row r="536" spans="1:15" ht="15">
      <c r="A536" s="72">
        <v>2</v>
      </c>
      <c r="B536" s="70">
        <v>13.6885136592</v>
      </c>
      <c r="C536" s="69">
        <v>-89.1928714063</v>
      </c>
      <c r="D536" s="71">
        <v>3412.5</v>
      </c>
      <c r="E536" s="19">
        <v>0</v>
      </c>
      <c r="F536" s="19">
        <f t="shared" si="16"/>
        <v>3412.5</v>
      </c>
      <c r="G536" s="20">
        <v>102</v>
      </c>
      <c r="H536" s="19" t="str">
        <f t="shared" si="17"/>
        <v>USD</v>
      </c>
      <c r="J536" s="5"/>
      <c r="K536" s="3"/>
      <c r="L536" s="3"/>
      <c r="M536" s="3"/>
      <c r="N536" s="3"/>
      <c r="O536" s="3"/>
    </row>
    <row r="537" spans="1:15" ht="15">
      <c r="A537" s="72">
        <v>2</v>
      </c>
      <c r="B537" s="70">
        <v>13.6888174089</v>
      </c>
      <c r="C537" s="69">
        <v>-89.192734092899997</v>
      </c>
      <c r="D537" s="71">
        <v>3412.5</v>
      </c>
      <c r="E537" s="19">
        <v>0</v>
      </c>
      <c r="F537" s="19">
        <f t="shared" si="16"/>
        <v>3412.5</v>
      </c>
      <c r="G537" s="20">
        <v>102</v>
      </c>
      <c r="H537" s="19" t="str">
        <f t="shared" si="17"/>
        <v>USD</v>
      </c>
      <c r="J537" s="5"/>
      <c r="K537" s="3"/>
      <c r="L537" s="3"/>
      <c r="M537" s="3"/>
      <c r="N537" s="3"/>
      <c r="O537" s="3"/>
    </row>
    <row r="538" spans="1:15" ht="15">
      <c r="A538" s="72">
        <v>1</v>
      </c>
      <c r="B538" s="70">
        <v>13.688860979599999</v>
      </c>
      <c r="C538" s="69">
        <v>-89.192678849199993</v>
      </c>
      <c r="D538" s="71">
        <v>3412.5</v>
      </c>
      <c r="E538" s="19">
        <v>0</v>
      </c>
      <c r="F538" s="19">
        <f t="shared" si="16"/>
        <v>3412.5</v>
      </c>
      <c r="G538" s="20">
        <v>101</v>
      </c>
      <c r="H538" s="19" t="str">
        <f t="shared" si="17"/>
        <v>USD</v>
      </c>
      <c r="J538" s="5"/>
      <c r="K538" s="3"/>
      <c r="L538" s="3"/>
      <c r="M538" s="3"/>
      <c r="N538" s="3"/>
      <c r="O538" s="3"/>
    </row>
    <row r="539" spans="1:15" ht="15">
      <c r="A539" s="72">
        <v>1</v>
      </c>
      <c r="B539" s="70">
        <v>13.6886733743</v>
      </c>
      <c r="C539" s="69">
        <v>-89.192807843400004</v>
      </c>
      <c r="D539" s="71">
        <v>3412.5</v>
      </c>
      <c r="E539" s="19">
        <v>0</v>
      </c>
      <c r="F539" s="19">
        <f t="shared" si="16"/>
        <v>3412.5</v>
      </c>
      <c r="G539" s="20">
        <v>101</v>
      </c>
      <c r="H539" s="19" t="str">
        <f t="shared" si="17"/>
        <v>USD</v>
      </c>
      <c r="J539" s="5"/>
      <c r="K539" s="3"/>
      <c r="L539" s="3"/>
      <c r="M539" s="3"/>
      <c r="N539" s="3"/>
      <c r="O539" s="3"/>
    </row>
    <row r="540" spans="1:15" ht="15">
      <c r="A540" s="72">
        <v>2</v>
      </c>
      <c r="B540" s="70">
        <v>13.688338700299999</v>
      </c>
      <c r="C540" s="69">
        <v>-89.192123339099993</v>
      </c>
      <c r="D540" s="71">
        <v>3412.5</v>
      </c>
      <c r="E540" s="19">
        <v>0</v>
      </c>
      <c r="F540" s="19">
        <f t="shared" si="16"/>
        <v>3412.5</v>
      </c>
      <c r="G540" s="20">
        <v>102</v>
      </c>
      <c r="H540" s="19" t="str">
        <f t="shared" si="17"/>
        <v>USD</v>
      </c>
      <c r="J540" s="5"/>
      <c r="K540" s="3"/>
      <c r="L540" s="3"/>
      <c r="M540" s="3"/>
      <c r="N540" s="3"/>
      <c r="O540" s="3"/>
    </row>
    <row r="541" spans="1:15" ht="15">
      <c r="A541" s="72">
        <v>2</v>
      </c>
      <c r="B541" s="70">
        <v>13.688295695200001</v>
      </c>
      <c r="C541" s="69">
        <v>-89.192065579399994</v>
      </c>
      <c r="D541" s="71">
        <v>3412.5</v>
      </c>
      <c r="E541" s="19">
        <v>0</v>
      </c>
      <c r="F541" s="19">
        <f t="shared" si="16"/>
        <v>3412.5</v>
      </c>
      <c r="G541" s="20">
        <v>102</v>
      </c>
      <c r="H541" s="19" t="str">
        <f t="shared" si="17"/>
        <v>USD</v>
      </c>
      <c r="J541" s="5"/>
      <c r="K541" s="3"/>
      <c r="L541" s="3"/>
      <c r="M541" s="3"/>
      <c r="N541" s="3"/>
      <c r="O541" s="3"/>
    </row>
    <row r="542" spans="1:15" ht="15">
      <c r="A542" s="72">
        <v>2</v>
      </c>
      <c r="B542" s="70">
        <v>13.688210700899999</v>
      </c>
      <c r="C542" s="69">
        <v>-89.1920601379</v>
      </c>
      <c r="D542" s="71">
        <v>3412.5</v>
      </c>
      <c r="E542" s="19">
        <v>0</v>
      </c>
      <c r="F542" s="19">
        <f t="shared" si="16"/>
        <v>3412.5</v>
      </c>
      <c r="G542" s="20">
        <v>102</v>
      </c>
      <c r="H542" s="19" t="str">
        <f t="shared" si="17"/>
        <v>USD</v>
      </c>
      <c r="J542" s="5"/>
      <c r="K542" s="3"/>
      <c r="L542" s="3"/>
      <c r="M542" s="3"/>
      <c r="N542" s="3"/>
      <c r="O542" s="3"/>
    </row>
    <row r="543" spans="1:15" ht="15">
      <c r="A543" s="72">
        <v>2</v>
      </c>
      <c r="B543" s="70">
        <v>13.688093789</v>
      </c>
      <c r="C543" s="69">
        <v>-89.1920108785</v>
      </c>
      <c r="D543" s="71">
        <v>3412.5</v>
      </c>
      <c r="E543" s="19">
        <v>0</v>
      </c>
      <c r="F543" s="19">
        <f t="shared" si="16"/>
        <v>3412.5</v>
      </c>
      <c r="G543" s="20">
        <v>102</v>
      </c>
      <c r="H543" s="19" t="str">
        <f t="shared" si="17"/>
        <v>USD</v>
      </c>
      <c r="J543" s="5"/>
      <c r="K543" s="3"/>
      <c r="L543" s="3"/>
      <c r="M543" s="3"/>
      <c r="N543" s="3"/>
      <c r="O543" s="3"/>
    </row>
    <row r="544" spans="1:15" ht="15">
      <c r="A544" s="72">
        <v>2</v>
      </c>
      <c r="B544" s="70">
        <v>13.6881175391</v>
      </c>
      <c r="C544" s="69">
        <v>-89.191917706400005</v>
      </c>
      <c r="D544" s="71">
        <v>3412.5</v>
      </c>
      <c r="E544" s="19">
        <v>0</v>
      </c>
      <c r="F544" s="19">
        <f t="shared" si="16"/>
        <v>3412.5</v>
      </c>
      <c r="G544" s="20">
        <v>102</v>
      </c>
      <c r="H544" s="19" t="str">
        <f t="shared" si="17"/>
        <v>USD</v>
      </c>
      <c r="J544" s="5"/>
      <c r="K544" s="3"/>
      <c r="L544" s="3"/>
      <c r="M544" s="3"/>
      <c r="N544" s="3"/>
      <c r="O544" s="3"/>
    </row>
    <row r="545" spans="1:15" ht="15">
      <c r="A545" s="72">
        <v>2</v>
      </c>
      <c r="B545" s="70">
        <v>13.688224462799999</v>
      </c>
      <c r="C545" s="69">
        <v>-89.191895045300001</v>
      </c>
      <c r="D545" s="71">
        <v>3412.5</v>
      </c>
      <c r="E545" s="19">
        <v>0</v>
      </c>
      <c r="F545" s="19">
        <f t="shared" si="16"/>
        <v>3412.5</v>
      </c>
      <c r="G545" s="20">
        <v>102</v>
      </c>
      <c r="H545" s="19" t="str">
        <f t="shared" si="17"/>
        <v>USD</v>
      </c>
      <c r="J545" s="5"/>
      <c r="K545" s="3"/>
      <c r="L545" s="3"/>
      <c r="M545" s="3"/>
      <c r="N545" s="3"/>
      <c r="O545" s="3"/>
    </row>
    <row r="546" spans="1:15" ht="15">
      <c r="A546" s="72">
        <v>2</v>
      </c>
      <c r="B546" s="70">
        <v>13.6882898026</v>
      </c>
      <c r="C546" s="69">
        <v>-89.191832725899999</v>
      </c>
      <c r="D546" s="71">
        <v>3412.5</v>
      </c>
      <c r="E546" s="19">
        <v>0</v>
      </c>
      <c r="F546" s="19">
        <f t="shared" si="16"/>
        <v>3412.5</v>
      </c>
      <c r="G546" s="20">
        <v>102</v>
      </c>
      <c r="H546" s="19" t="str">
        <f t="shared" si="17"/>
        <v>USD</v>
      </c>
      <c r="J546" s="5"/>
      <c r="K546" s="3"/>
      <c r="L546" s="3"/>
      <c r="M546" s="3"/>
      <c r="N546" s="3"/>
      <c r="O546" s="3"/>
    </row>
    <row r="547" spans="1:15" ht="15">
      <c r="A547" s="72">
        <v>2</v>
      </c>
      <c r="B547" s="70">
        <v>13.687982590300001</v>
      </c>
      <c r="C547" s="69">
        <v>-89.191994643800001</v>
      </c>
      <c r="D547" s="71">
        <v>3412.5</v>
      </c>
      <c r="E547" s="19">
        <v>0</v>
      </c>
      <c r="F547" s="19">
        <f t="shared" si="16"/>
        <v>3412.5</v>
      </c>
      <c r="G547" s="20">
        <v>102</v>
      </c>
      <c r="H547" s="19" t="str">
        <f t="shared" si="17"/>
        <v>USD</v>
      </c>
      <c r="J547" s="5"/>
      <c r="K547" s="3"/>
      <c r="L547" s="3"/>
      <c r="M547" s="3"/>
      <c r="N547" s="3"/>
      <c r="O547" s="3"/>
    </row>
    <row r="548" spans="1:15" ht="15">
      <c r="A548" s="72">
        <v>2</v>
      </c>
      <c r="B548" s="70">
        <v>13.687836697</v>
      </c>
      <c r="C548" s="69">
        <v>-89.192091087600005</v>
      </c>
      <c r="D548" s="71">
        <v>3412.5</v>
      </c>
      <c r="E548" s="19">
        <v>0</v>
      </c>
      <c r="F548" s="19">
        <f t="shared" si="16"/>
        <v>3412.5</v>
      </c>
      <c r="G548" s="20">
        <v>102</v>
      </c>
      <c r="H548" s="19" t="str">
        <f t="shared" si="17"/>
        <v>USD</v>
      </c>
      <c r="J548" s="5"/>
      <c r="K548" s="3"/>
      <c r="L548" s="3"/>
      <c r="M548" s="3"/>
      <c r="N548" s="3"/>
      <c r="O548" s="3"/>
    </row>
    <row r="549" spans="1:15" ht="15">
      <c r="A549" s="72">
        <v>2</v>
      </c>
      <c r="B549" s="70">
        <v>13.687837099199999</v>
      </c>
      <c r="C549" s="69">
        <v>-89.192089933299997</v>
      </c>
      <c r="D549" s="71">
        <v>3412.5</v>
      </c>
      <c r="E549" s="19">
        <v>0</v>
      </c>
      <c r="F549" s="19">
        <f t="shared" si="16"/>
        <v>3412.5</v>
      </c>
      <c r="G549" s="20">
        <v>102</v>
      </c>
      <c r="H549" s="19" t="str">
        <f t="shared" si="17"/>
        <v>USD</v>
      </c>
      <c r="J549" s="5"/>
      <c r="K549" s="3"/>
      <c r="L549" s="3"/>
      <c r="M549" s="3"/>
      <c r="N549" s="3"/>
      <c r="O549" s="3"/>
    </row>
    <row r="550" spans="1:15" ht="15">
      <c r="A550" s="72">
        <v>2</v>
      </c>
      <c r="B550" s="70">
        <v>13.687875331400001</v>
      </c>
      <c r="C550" s="69">
        <v>-89.192080856700002</v>
      </c>
      <c r="D550" s="71">
        <v>3412.5</v>
      </c>
      <c r="E550" s="19">
        <v>0</v>
      </c>
      <c r="F550" s="19">
        <f t="shared" si="16"/>
        <v>3412.5</v>
      </c>
      <c r="G550" s="20">
        <v>102</v>
      </c>
      <c r="H550" s="19" t="str">
        <f t="shared" si="17"/>
        <v>USD</v>
      </c>
      <c r="J550" s="5"/>
      <c r="K550" s="3"/>
      <c r="L550" s="3"/>
      <c r="M550" s="3"/>
      <c r="N550" s="3"/>
      <c r="O550" s="3"/>
    </row>
    <row r="551" spans="1:15" ht="15">
      <c r="A551" s="72">
        <v>2</v>
      </c>
      <c r="B551" s="70">
        <v>13.6878756842</v>
      </c>
      <c r="C551" s="69">
        <v>-89.192080483500007</v>
      </c>
      <c r="D551" s="71">
        <v>3412.5</v>
      </c>
      <c r="E551" s="19">
        <v>0</v>
      </c>
      <c r="F551" s="19">
        <f t="shared" si="16"/>
        <v>3412.5</v>
      </c>
      <c r="G551" s="20">
        <v>102</v>
      </c>
      <c r="H551" s="19" t="str">
        <f t="shared" si="17"/>
        <v>USD</v>
      </c>
      <c r="J551" s="5"/>
      <c r="K551" s="3"/>
      <c r="L551" s="3"/>
      <c r="M551" s="3"/>
      <c r="N551" s="3"/>
      <c r="O551" s="3"/>
    </row>
    <row r="552" spans="1:15" ht="15">
      <c r="A552" s="72">
        <v>2</v>
      </c>
      <c r="B552" s="70">
        <v>13.687824319100001</v>
      </c>
      <c r="C552" s="69">
        <v>-89.192019860599999</v>
      </c>
      <c r="D552" s="71">
        <v>3412.5</v>
      </c>
      <c r="E552" s="19">
        <v>0</v>
      </c>
      <c r="F552" s="19">
        <f t="shared" si="16"/>
        <v>3412.5</v>
      </c>
      <c r="G552" s="20">
        <v>102</v>
      </c>
      <c r="H552" s="19" t="str">
        <f t="shared" si="17"/>
        <v>USD</v>
      </c>
      <c r="J552" s="5"/>
      <c r="K552" s="3"/>
      <c r="L552" s="3"/>
      <c r="M552" s="3"/>
      <c r="N552" s="3"/>
      <c r="O552" s="3"/>
    </row>
    <row r="553" spans="1:15" ht="15">
      <c r="A553" s="72">
        <v>2</v>
      </c>
      <c r="B553" s="70">
        <v>13.6878250232</v>
      </c>
      <c r="C553" s="69">
        <v>-89.192017674799999</v>
      </c>
      <c r="D553" s="71">
        <v>3412.5</v>
      </c>
      <c r="E553" s="19">
        <v>0</v>
      </c>
      <c r="F553" s="19">
        <f t="shared" si="16"/>
        <v>3412.5</v>
      </c>
      <c r="G553" s="20">
        <v>102</v>
      </c>
      <c r="H553" s="19" t="str">
        <f t="shared" si="17"/>
        <v>USD</v>
      </c>
      <c r="J553" s="5"/>
      <c r="K553" s="3"/>
      <c r="L553" s="3"/>
      <c r="M553" s="3"/>
      <c r="N553" s="3"/>
      <c r="O553" s="3"/>
    </row>
    <row r="554" spans="1:15" ht="15">
      <c r="A554" s="72">
        <v>2</v>
      </c>
      <c r="B554" s="70">
        <v>13.6878524174</v>
      </c>
      <c r="C554" s="69">
        <v>-89.192015379500006</v>
      </c>
      <c r="D554" s="71">
        <v>3412.5</v>
      </c>
      <c r="E554" s="19">
        <v>0</v>
      </c>
      <c r="F554" s="19">
        <f t="shared" si="16"/>
        <v>3412.5</v>
      </c>
      <c r="G554" s="20">
        <v>102</v>
      </c>
      <c r="H554" s="19" t="str">
        <f t="shared" si="17"/>
        <v>USD</v>
      </c>
      <c r="J554" s="5"/>
      <c r="K554" s="3"/>
      <c r="L554" s="3"/>
      <c r="M554" s="3"/>
      <c r="N554" s="3"/>
      <c r="O554" s="3"/>
    </row>
    <row r="555" spans="1:15" ht="15">
      <c r="A555" s="72">
        <v>2</v>
      </c>
      <c r="B555" s="70">
        <v>13.687851412000001</v>
      </c>
      <c r="C555" s="69">
        <v>-89.192016870800003</v>
      </c>
      <c r="D555" s="71">
        <v>3412.5</v>
      </c>
      <c r="E555" s="19">
        <v>0</v>
      </c>
      <c r="F555" s="19">
        <f t="shared" si="16"/>
        <v>3412.5</v>
      </c>
      <c r="G555" s="20">
        <v>102</v>
      </c>
      <c r="H555" s="19" t="str">
        <f t="shared" si="17"/>
        <v>USD</v>
      </c>
      <c r="J555" s="5"/>
      <c r="K555" s="3"/>
      <c r="L555" s="3"/>
      <c r="M555" s="3"/>
      <c r="N555" s="3"/>
      <c r="O555" s="3"/>
    </row>
    <row r="556" spans="1:15" ht="15">
      <c r="A556" s="72">
        <v>2</v>
      </c>
      <c r="B556" s="70">
        <v>13.687897618799999</v>
      </c>
      <c r="C556" s="69">
        <v>-89.192019042200002</v>
      </c>
      <c r="D556" s="71">
        <v>3412.5</v>
      </c>
      <c r="E556" s="19">
        <v>0</v>
      </c>
      <c r="F556" s="19">
        <f t="shared" si="16"/>
        <v>3412.5</v>
      </c>
      <c r="G556" s="20">
        <v>102</v>
      </c>
      <c r="H556" s="19" t="str">
        <f t="shared" si="17"/>
        <v>USD</v>
      </c>
      <c r="J556" s="5"/>
      <c r="K556" s="3"/>
      <c r="L556" s="3"/>
      <c r="M556" s="3"/>
      <c r="N556" s="3"/>
      <c r="O556" s="3"/>
    </row>
    <row r="557" spans="1:15" ht="15">
      <c r="A557" s="72">
        <v>1</v>
      </c>
      <c r="B557" s="70">
        <v>13.687809506800001</v>
      </c>
      <c r="C557" s="69">
        <v>-89.191893295</v>
      </c>
      <c r="D557" s="71">
        <v>3412.5</v>
      </c>
      <c r="E557" s="19">
        <v>0</v>
      </c>
      <c r="F557" s="19">
        <f t="shared" si="16"/>
        <v>3412.5</v>
      </c>
      <c r="G557" s="20">
        <v>101</v>
      </c>
      <c r="H557" s="19" t="str">
        <f t="shared" si="17"/>
        <v>USD</v>
      </c>
      <c r="J557" s="5"/>
      <c r="K557" s="3"/>
      <c r="L557" s="3"/>
      <c r="M557" s="3"/>
      <c r="N557" s="3"/>
      <c r="O557" s="3"/>
    </row>
    <row r="558" spans="1:15" ht="15">
      <c r="A558" s="72">
        <v>1</v>
      </c>
      <c r="B558" s="70">
        <v>13.687938175699999</v>
      </c>
      <c r="C558" s="69">
        <v>-89.191894379000004</v>
      </c>
      <c r="D558" s="71">
        <v>3412.5</v>
      </c>
      <c r="E558" s="19">
        <v>0</v>
      </c>
      <c r="F558" s="19">
        <f t="shared" si="16"/>
        <v>3412.5</v>
      </c>
      <c r="G558" s="20">
        <v>101</v>
      </c>
      <c r="H558" s="19" t="str">
        <f t="shared" si="17"/>
        <v>USD</v>
      </c>
      <c r="J558" s="5"/>
      <c r="K558" s="3"/>
      <c r="L558" s="3"/>
      <c r="M558" s="3"/>
      <c r="N558" s="3"/>
      <c r="O558" s="3"/>
    </row>
    <row r="559" spans="1:15" ht="15">
      <c r="A559" s="72">
        <v>1</v>
      </c>
      <c r="B559" s="70">
        <v>13.688549306500001</v>
      </c>
      <c r="C559" s="69">
        <v>-89.191806699400004</v>
      </c>
      <c r="D559" s="71">
        <v>3412.5</v>
      </c>
      <c r="E559" s="19">
        <v>0</v>
      </c>
      <c r="F559" s="19">
        <f t="shared" si="16"/>
        <v>3412.5</v>
      </c>
      <c r="G559" s="20">
        <v>101</v>
      </c>
      <c r="H559" s="19" t="str">
        <f t="shared" si="17"/>
        <v>USD</v>
      </c>
      <c r="J559" s="5"/>
      <c r="K559" s="3"/>
      <c r="L559" s="3"/>
      <c r="M559" s="3"/>
      <c r="N559" s="3"/>
      <c r="O559" s="3"/>
    </row>
    <row r="560" spans="1:15" ht="15">
      <c r="A560" s="72">
        <v>1</v>
      </c>
      <c r="B560" s="70">
        <v>13.6884675044</v>
      </c>
      <c r="C560" s="69">
        <v>-89.191816906300005</v>
      </c>
      <c r="D560" s="71">
        <v>3412.5</v>
      </c>
      <c r="E560" s="19">
        <v>0</v>
      </c>
      <c r="F560" s="19">
        <f t="shared" si="16"/>
        <v>3412.5</v>
      </c>
      <c r="G560" s="20">
        <v>101</v>
      </c>
      <c r="H560" s="19" t="str">
        <f t="shared" si="17"/>
        <v>USD</v>
      </c>
      <c r="J560" s="5"/>
      <c r="K560" s="3"/>
      <c r="L560" s="3"/>
      <c r="M560" s="3"/>
      <c r="N560" s="3"/>
      <c r="O560" s="3"/>
    </row>
    <row r="561" spans="1:15" ht="15">
      <c r="A561" s="72">
        <v>2</v>
      </c>
      <c r="B561" s="70">
        <v>13.6885115153</v>
      </c>
      <c r="C561" s="69">
        <v>-89.191810092799997</v>
      </c>
      <c r="D561" s="71">
        <v>3412.5</v>
      </c>
      <c r="E561" s="19">
        <v>0</v>
      </c>
      <c r="F561" s="19">
        <f t="shared" si="16"/>
        <v>3412.5</v>
      </c>
      <c r="G561" s="20">
        <v>102</v>
      </c>
      <c r="H561" s="19" t="str">
        <f t="shared" si="17"/>
        <v>USD</v>
      </c>
      <c r="J561" s="5"/>
      <c r="K561" s="3"/>
      <c r="L561" s="3"/>
      <c r="M561" s="3"/>
      <c r="N561" s="3"/>
      <c r="O561" s="3"/>
    </row>
    <row r="562" spans="1:15" ht="15">
      <c r="A562" s="72">
        <v>2</v>
      </c>
      <c r="B562" s="70">
        <v>13.688486533900001</v>
      </c>
      <c r="C562" s="69">
        <v>-89.191949982899999</v>
      </c>
      <c r="D562" s="71">
        <v>3412.5</v>
      </c>
      <c r="E562" s="19">
        <v>0</v>
      </c>
      <c r="F562" s="19">
        <f t="shared" si="16"/>
        <v>3412.5</v>
      </c>
      <c r="G562" s="20">
        <v>102</v>
      </c>
      <c r="H562" s="19" t="str">
        <f t="shared" si="17"/>
        <v>USD</v>
      </c>
      <c r="J562" s="5"/>
      <c r="K562" s="3"/>
      <c r="L562" s="3"/>
      <c r="M562" s="3"/>
      <c r="N562" s="3"/>
      <c r="O562" s="3"/>
    </row>
    <row r="563" spans="1:15" ht="15">
      <c r="A563" s="72">
        <v>2</v>
      </c>
      <c r="B563" s="70">
        <v>13.688449203099999</v>
      </c>
      <c r="C563" s="69">
        <v>-89.191977348099996</v>
      </c>
      <c r="D563" s="71">
        <v>3412.5</v>
      </c>
      <c r="E563" s="19">
        <v>0</v>
      </c>
      <c r="F563" s="19">
        <f t="shared" si="16"/>
        <v>3412.5</v>
      </c>
      <c r="G563" s="20">
        <v>102</v>
      </c>
      <c r="H563" s="19" t="str">
        <f t="shared" si="17"/>
        <v>USD</v>
      </c>
      <c r="J563" s="5"/>
      <c r="K563" s="3"/>
      <c r="L563" s="3"/>
      <c r="M563" s="3"/>
      <c r="N563" s="3"/>
      <c r="O563" s="3"/>
    </row>
    <row r="564" spans="1:15" ht="15">
      <c r="A564" s="72">
        <v>2</v>
      </c>
      <c r="B564" s="70">
        <v>13.6883568718</v>
      </c>
      <c r="C564" s="69">
        <v>-89.191994883800007</v>
      </c>
      <c r="D564" s="71">
        <v>3412.5</v>
      </c>
      <c r="E564" s="19">
        <v>0</v>
      </c>
      <c r="F564" s="19">
        <f t="shared" si="16"/>
        <v>3412.5</v>
      </c>
      <c r="G564" s="20">
        <v>102</v>
      </c>
      <c r="H564" s="19" t="str">
        <f t="shared" si="17"/>
        <v>USD</v>
      </c>
      <c r="J564" s="5"/>
      <c r="K564" s="3"/>
      <c r="L564" s="3"/>
      <c r="M564" s="3"/>
      <c r="N564" s="3"/>
      <c r="O564" s="3"/>
    </row>
    <row r="565" spans="1:15" ht="15">
      <c r="A565" s="72">
        <v>2</v>
      </c>
      <c r="B565" s="70">
        <v>13.6883936709</v>
      </c>
      <c r="C565" s="69">
        <v>-89.1920360063</v>
      </c>
      <c r="D565" s="71">
        <v>3412.5</v>
      </c>
      <c r="E565" s="19">
        <v>0</v>
      </c>
      <c r="F565" s="19">
        <f t="shared" si="16"/>
        <v>3412.5</v>
      </c>
      <c r="G565" s="20">
        <v>102</v>
      </c>
      <c r="H565" s="19" t="str">
        <f t="shared" si="17"/>
        <v>USD</v>
      </c>
      <c r="J565" s="5"/>
      <c r="K565" s="3"/>
      <c r="L565" s="3"/>
      <c r="M565" s="3"/>
      <c r="N565" s="3"/>
      <c r="O565" s="3"/>
    </row>
    <row r="566" spans="1:15" ht="15">
      <c r="A566" s="72">
        <v>2</v>
      </c>
      <c r="B566" s="70">
        <v>13.688318538400001</v>
      </c>
      <c r="C566" s="69">
        <v>-89.192041089599996</v>
      </c>
      <c r="D566" s="71">
        <v>3412.5</v>
      </c>
      <c r="E566" s="19">
        <v>0</v>
      </c>
      <c r="F566" s="19">
        <f t="shared" si="16"/>
        <v>3412.5</v>
      </c>
      <c r="G566" s="20">
        <v>102</v>
      </c>
      <c r="H566" s="19" t="str">
        <f t="shared" si="17"/>
        <v>USD</v>
      </c>
      <c r="J566" s="5"/>
      <c r="K566" s="3"/>
      <c r="L566" s="3"/>
      <c r="M566" s="3"/>
      <c r="N566" s="3"/>
      <c r="O566" s="3"/>
    </row>
    <row r="567" spans="1:15" ht="15">
      <c r="A567" s="72">
        <v>2</v>
      </c>
      <c r="B567" s="70">
        <v>13.688429884</v>
      </c>
      <c r="C567" s="69">
        <v>-89.192952872700005</v>
      </c>
      <c r="D567" s="71">
        <v>3412.5</v>
      </c>
      <c r="E567" s="19">
        <v>0</v>
      </c>
      <c r="F567" s="19">
        <f t="shared" si="16"/>
        <v>3412.5</v>
      </c>
      <c r="G567" s="20">
        <v>102</v>
      </c>
      <c r="H567" s="19" t="str">
        <f t="shared" si="17"/>
        <v>USD</v>
      </c>
      <c r="J567" s="5"/>
      <c r="K567" s="3"/>
      <c r="L567" s="3"/>
      <c r="M567" s="3"/>
      <c r="N567" s="3"/>
      <c r="O567" s="3"/>
    </row>
    <row r="568" spans="1:15" ht="15">
      <c r="A568" s="72">
        <v>2</v>
      </c>
      <c r="B568" s="70">
        <v>13.688033605099999</v>
      </c>
      <c r="C568" s="69">
        <v>-89.192955438300004</v>
      </c>
      <c r="D568" s="71">
        <v>3412.5</v>
      </c>
      <c r="E568" s="19">
        <v>0</v>
      </c>
      <c r="F568" s="19">
        <f t="shared" si="16"/>
        <v>3412.5</v>
      </c>
      <c r="G568" s="20">
        <v>102</v>
      </c>
      <c r="H568" s="19" t="str">
        <f t="shared" si="17"/>
        <v>USD</v>
      </c>
      <c r="J568" s="5"/>
      <c r="K568" s="3"/>
      <c r="L568" s="3"/>
      <c r="M568" s="3"/>
      <c r="N568" s="3"/>
      <c r="O568" s="3"/>
    </row>
    <row r="569" spans="1:15" ht="15">
      <c r="A569" s="72">
        <v>2</v>
      </c>
      <c r="B569" s="70">
        <v>13.6872690329</v>
      </c>
      <c r="C569" s="69">
        <v>-89.192089789999997</v>
      </c>
      <c r="D569" s="71">
        <v>3412.5</v>
      </c>
      <c r="E569" s="19">
        <v>0</v>
      </c>
      <c r="F569" s="19">
        <f t="shared" si="16"/>
        <v>3412.5</v>
      </c>
      <c r="G569" s="20">
        <v>102</v>
      </c>
      <c r="H569" s="19" t="str">
        <f t="shared" si="17"/>
        <v>USD</v>
      </c>
      <c r="J569" s="5"/>
      <c r="K569" s="3"/>
      <c r="L569" s="3"/>
      <c r="M569" s="3"/>
      <c r="N569" s="3"/>
      <c r="O569" s="3"/>
    </row>
    <row r="570" spans="1:15" ht="15">
      <c r="A570" s="72">
        <v>2</v>
      </c>
      <c r="B570" s="70">
        <v>13.687002080999999</v>
      </c>
      <c r="C570" s="69">
        <v>-89.192144343400003</v>
      </c>
      <c r="D570" s="71">
        <v>3412.5</v>
      </c>
      <c r="E570" s="19">
        <v>0</v>
      </c>
      <c r="F570" s="19">
        <f t="shared" si="16"/>
        <v>3412.5</v>
      </c>
      <c r="G570" s="20">
        <v>102</v>
      </c>
      <c r="H570" s="19" t="str">
        <f t="shared" si="17"/>
        <v>USD</v>
      </c>
      <c r="J570" s="5"/>
      <c r="K570" s="3"/>
      <c r="L570" s="3"/>
      <c r="M570" s="3"/>
      <c r="N570" s="3"/>
      <c r="O570" s="3"/>
    </row>
    <row r="571" spans="1:15" ht="15">
      <c r="A571" s="72">
        <v>2</v>
      </c>
      <c r="B571" s="70">
        <v>13.6869796324</v>
      </c>
      <c r="C571" s="69">
        <v>-89.192102253800002</v>
      </c>
      <c r="D571" s="71">
        <v>3412.5</v>
      </c>
      <c r="E571" s="19">
        <v>0</v>
      </c>
      <c r="F571" s="19">
        <f t="shared" si="16"/>
        <v>3412.5</v>
      </c>
      <c r="G571" s="20">
        <v>102</v>
      </c>
      <c r="H571" s="19" t="str">
        <f t="shared" si="17"/>
        <v>USD</v>
      </c>
      <c r="J571" s="5"/>
      <c r="K571" s="3"/>
      <c r="L571" s="3"/>
      <c r="M571" s="3"/>
      <c r="N571" s="3"/>
      <c r="O571" s="3"/>
    </row>
    <row r="572" spans="1:15" ht="15">
      <c r="A572" s="72">
        <v>2</v>
      </c>
      <c r="B572" s="70">
        <v>13.687005255600001</v>
      </c>
      <c r="C572" s="69">
        <v>-89.192060938500006</v>
      </c>
      <c r="D572" s="71">
        <v>3412.5</v>
      </c>
      <c r="E572" s="19">
        <v>0</v>
      </c>
      <c r="F572" s="19">
        <f t="shared" si="16"/>
        <v>3412.5</v>
      </c>
      <c r="G572" s="20">
        <v>102</v>
      </c>
      <c r="H572" s="19" t="str">
        <f t="shared" si="17"/>
        <v>USD</v>
      </c>
      <c r="J572" s="5"/>
      <c r="K572" s="3"/>
      <c r="L572" s="3"/>
      <c r="M572" s="3"/>
      <c r="N572" s="3"/>
      <c r="O572" s="3"/>
    </row>
    <row r="573" spans="1:15" ht="15">
      <c r="A573" s="72">
        <v>2</v>
      </c>
      <c r="B573" s="70">
        <v>13.687201545500001</v>
      </c>
      <c r="C573" s="69">
        <v>-89.192141449199994</v>
      </c>
      <c r="D573" s="71">
        <v>3412.5</v>
      </c>
      <c r="E573" s="19">
        <v>0</v>
      </c>
      <c r="F573" s="19">
        <f t="shared" si="16"/>
        <v>3412.5</v>
      </c>
      <c r="G573" s="20">
        <v>102</v>
      </c>
      <c r="H573" s="19" t="str">
        <f t="shared" si="17"/>
        <v>USD</v>
      </c>
      <c r="J573" s="5"/>
      <c r="K573" s="3"/>
      <c r="L573" s="3"/>
      <c r="M573" s="3"/>
      <c r="N573" s="3"/>
      <c r="O573" s="3"/>
    </row>
    <row r="574" spans="1:15" ht="15">
      <c r="A574" s="72">
        <v>2</v>
      </c>
      <c r="B574" s="70">
        <v>13.687138044799999</v>
      </c>
      <c r="C574" s="69">
        <v>-89.192075661700002</v>
      </c>
      <c r="D574" s="71">
        <v>3412.5</v>
      </c>
      <c r="E574" s="19">
        <v>0</v>
      </c>
      <c r="F574" s="19">
        <f t="shared" si="16"/>
        <v>3412.5</v>
      </c>
      <c r="G574" s="20">
        <v>102</v>
      </c>
      <c r="H574" s="19" t="str">
        <f t="shared" si="17"/>
        <v>USD</v>
      </c>
      <c r="J574" s="5"/>
      <c r="K574" s="3"/>
      <c r="L574" s="3"/>
      <c r="M574" s="3"/>
      <c r="N574" s="3"/>
      <c r="O574" s="3"/>
    </row>
    <row r="575" spans="1:15" ht="15">
      <c r="A575" s="72">
        <v>1</v>
      </c>
      <c r="B575" s="70">
        <v>13.6870741555</v>
      </c>
      <c r="C575" s="69">
        <v>-89.191963400399999</v>
      </c>
      <c r="D575" s="71">
        <v>3412.5</v>
      </c>
      <c r="E575" s="19">
        <v>0</v>
      </c>
      <c r="F575" s="19">
        <f t="shared" si="16"/>
        <v>3412.5</v>
      </c>
      <c r="G575" s="20">
        <v>101</v>
      </c>
      <c r="H575" s="19" t="str">
        <f t="shared" si="17"/>
        <v>USD</v>
      </c>
      <c r="J575" s="5"/>
      <c r="K575" s="3"/>
      <c r="L575" s="3"/>
      <c r="M575" s="3"/>
      <c r="N575" s="3"/>
      <c r="O575" s="3"/>
    </row>
    <row r="576" spans="1:15" ht="15">
      <c r="A576" s="72">
        <v>3</v>
      </c>
      <c r="B576" s="70">
        <v>13.688392823699999</v>
      </c>
      <c r="C576" s="69">
        <v>-89.192879559900007</v>
      </c>
      <c r="D576" s="71">
        <v>3412.5</v>
      </c>
      <c r="E576" s="19">
        <v>0</v>
      </c>
      <c r="F576" s="19">
        <f t="shared" si="16"/>
        <v>3412.5</v>
      </c>
      <c r="G576" s="20">
        <v>103</v>
      </c>
      <c r="H576" s="19" t="str">
        <f t="shared" si="17"/>
        <v>USD</v>
      </c>
      <c r="J576" s="5"/>
      <c r="K576" s="3"/>
      <c r="L576" s="3"/>
      <c r="M576" s="3"/>
      <c r="N576" s="3"/>
      <c r="O576" s="3"/>
    </row>
    <row r="577" spans="1:15" ht="15">
      <c r="A577" s="72">
        <v>3</v>
      </c>
      <c r="B577" s="70">
        <v>13.6885461897</v>
      </c>
      <c r="C577" s="69">
        <v>-89.191882089900005</v>
      </c>
      <c r="D577" s="71">
        <v>3412.5</v>
      </c>
      <c r="E577" s="19">
        <v>0</v>
      </c>
      <c r="F577" s="19">
        <f t="shared" si="16"/>
        <v>3412.5</v>
      </c>
      <c r="G577" s="20">
        <v>103</v>
      </c>
      <c r="H577" s="19" t="str">
        <f t="shared" si="17"/>
        <v>USD</v>
      </c>
      <c r="J577" s="5"/>
      <c r="K577" s="3"/>
      <c r="L577" s="3"/>
      <c r="M577" s="3"/>
      <c r="N577" s="3"/>
      <c r="O577" s="3"/>
    </row>
    <row r="578" spans="1:15" ht="15">
      <c r="A578" s="72">
        <v>3</v>
      </c>
      <c r="B578" s="70">
        <v>13.688013160900001</v>
      </c>
      <c r="C578" s="69">
        <v>-89.192409925899995</v>
      </c>
      <c r="D578" s="71">
        <v>3412.5</v>
      </c>
      <c r="E578" s="19">
        <v>0</v>
      </c>
      <c r="F578" s="19">
        <f t="shared" si="16"/>
        <v>3412.5</v>
      </c>
      <c r="G578" s="20">
        <v>103</v>
      </c>
      <c r="H578" s="19" t="str">
        <f t="shared" si="17"/>
        <v>USD</v>
      </c>
      <c r="J578" s="5"/>
      <c r="K578" s="3"/>
      <c r="L578" s="3"/>
      <c r="M578" s="3"/>
      <c r="N578" s="3"/>
      <c r="O578" s="3"/>
    </row>
    <row r="579" spans="1:15" ht="15">
      <c r="A579" s="72">
        <v>3</v>
      </c>
      <c r="B579" s="70">
        <v>13.6879937422</v>
      </c>
      <c r="C579" s="69">
        <v>-89.192393399099998</v>
      </c>
      <c r="D579" s="71">
        <v>3412.5</v>
      </c>
      <c r="E579" s="19">
        <v>0</v>
      </c>
      <c r="F579" s="19">
        <f t="shared" ref="F579:F642" si="18">D579</f>
        <v>3412.5</v>
      </c>
      <c r="G579" s="20">
        <v>103</v>
      </c>
      <c r="H579" s="19" t="str">
        <f t="shared" ref="H579:H642" si="19">IF(OR(A579&lt;17,A579=21),"USD","people")</f>
        <v>USD</v>
      </c>
      <c r="J579" s="5"/>
      <c r="K579" s="3"/>
      <c r="L579" s="3"/>
      <c r="M579" s="3"/>
      <c r="N579" s="3"/>
      <c r="O579" s="3"/>
    </row>
    <row r="580" spans="1:15" ht="15">
      <c r="A580" s="72">
        <v>3</v>
      </c>
      <c r="B580" s="70">
        <v>13.6879860632</v>
      </c>
      <c r="C580" s="69">
        <v>-89.192273539799999</v>
      </c>
      <c r="D580" s="71">
        <v>3412.5</v>
      </c>
      <c r="E580" s="19">
        <v>0</v>
      </c>
      <c r="F580" s="19">
        <f t="shared" si="18"/>
        <v>3412.5</v>
      </c>
      <c r="G580" s="20">
        <v>103</v>
      </c>
      <c r="H580" s="19" t="str">
        <f t="shared" si="19"/>
        <v>USD</v>
      </c>
      <c r="J580" s="5"/>
      <c r="K580" s="3"/>
      <c r="L580" s="3"/>
      <c r="M580" s="3"/>
      <c r="N580" s="3"/>
      <c r="O580" s="3"/>
    </row>
    <row r="581" spans="1:15" ht="15">
      <c r="A581" s="72">
        <v>3</v>
      </c>
      <c r="B581" s="70">
        <v>13.6880049085</v>
      </c>
      <c r="C581" s="69">
        <v>-89.192259185300003</v>
      </c>
      <c r="D581" s="71">
        <v>3412.5</v>
      </c>
      <c r="E581" s="19">
        <v>0</v>
      </c>
      <c r="F581" s="19">
        <f t="shared" si="18"/>
        <v>3412.5</v>
      </c>
      <c r="G581" s="20">
        <v>103</v>
      </c>
      <c r="H581" s="19" t="str">
        <f t="shared" si="19"/>
        <v>USD</v>
      </c>
      <c r="J581" s="5"/>
      <c r="K581" s="3"/>
      <c r="L581" s="3"/>
      <c r="M581" s="3"/>
      <c r="N581" s="3"/>
      <c r="O581" s="3"/>
    </row>
    <row r="582" spans="1:15" ht="15">
      <c r="A582" s="72">
        <v>3</v>
      </c>
      <c r="B582" s="70">
        <v>13.6878608741</v>
      </c>
      <c r="C582" s="69">
        <v>-89.192256621400006</v>
      </c>
      <c r="D582" s="71">
        <v>3412.5</v>
      </c>
      <c r="E582" s="19">
        <v>0</v>
      </c>
      <c r="F582" s="19">
        <f t="shared" si="18"/>
        <v>3412.5</v>
      </c>
      <c r="G582" s="20">
        <v>103</v>
      </c>
      <c r="H582" s="19" t="str">
        <f t="shared" si="19"/>
        <v>USD</v>
      </c>
      <c r="J582" s="5"/>
      <c r="K582" s="3"/>
      <c r="L582" s="3"/>
      <c r="M582" s="3"/>
      <c r="N582" s="3"/>
      <c r="O582" s="3"/>
    </row>
    <row r="583" spans="1:15" ht="15">
      <c r="A583" s="72">
        <v>3</v>
      </c>
      <c r="B583" s="70">
        <v>13.687496459</v>
      </c>
      <c r="C583" s="69">
        <v>-89.192587802199995</v>
      </c>
      <c r="D583" s="71">
        <v>3412.5</v>
      </c>
      <c r="E583" s="19">
        <v>0</v>
      </c>
      <c r="F583" s="19">
        <f t="shared" si="18"/>
        <v>3412.5</v>
      </c>
      <c r="G583" s="20">
        <v>103</v>
      </c>
      <c r="H583" s="19" t="str">
        <f t="shared" si="19"/>
        <v>USD</v>
      </c>
      <c r="J583" s="5"/>
      <c r="K583" s="3"/>
      <c r="L583" s="3"/>
      <c r="M583" s="3"/>
      <c r="N583" s="3"/>
      <c r="O583" s="3"/>
    </row>
    <row r="584" spans="1:15" ht="15">
      <c r="A584" s="72">
        <v>3</v>
      </c>
      <c r="B584" s="70">
        <v>13.687527212099999</v>
      </c>
      <c r="C584" s="69">
        <v>-89.192561410899998</v>
      </c>
      <c r="D584" s="71">
        <v>3412.5</v>
      </c>
      <c r="E584" s="19">
        <v>0</v>
      </c>
      <c r="F584" s="19">
        <f t="shared" si="18"/>
        <v>3412.5</v>
      </c>
      <c r="G584" s="20">
        <v>103</v>
      </c>
      <c r="H584" s="19" t="str">
        <f t="shared" si="19"/>
        <v>USD</v>
      </c>
      <c r="J584" s="5"/>
      <c r="K584" s="3"/>
      <c r="L584" s="3"/>
      <c r="M584" s="3"/>
      <c r="N584" s="3"/>
      <c r="O584" s="3"/>
    </row>
    <row r="585" spans="1:15" ht="15">
      <c r="A585" s="72">
        <v>3</v>
      </c>
      <c r="B585" s="70">
        <v>13.6873971418</v>
      </c>
      <c r="C585" s="69">
        <v>-89.192670394499999</v>
      </c>
      <c r="D585" s="71">
        <v>3412.5</v>
      </c>
      <c r="E585" s="19">
        <v>0</v>
      </c>
      <c r="F585" s="19">
        <f t="shared" si="18"/>
        <v>3412.5</v>
      </c>
      <c r="G585" s="20">
        <v>103</v>
      </c>
      <c r="H585" s="19" t="str">
        <f t="shared" si="19"/>
        <v>USD</v>
      </c>
      <c r="J585" s="5"/>
      <c r="K585" s="3"/>
      <c r="L585" s="3"/>
      <c r="M585" s="3"/>
      <c r="N585" s="3"/>
      <c r="O585" s="3"/>
    </row>
    <row r="586" spans="1:15" ht="15">
      <c r="A586" s="72">
        <v>3</v>
      </c>
      <c r="B586" s="70">
        <v>13.687560744400001</v>
      </c>
      <c r="C586" s="69">
        <v>-89.192528637500004</v>
      </c>
      <c r="D586" s="71">
        <v>3412.5</v>
      </c>
      <c r="E586" s="19">
        <v>0</v>
      </c>
      <c r="F586" s="19">
        <f t="shared" si="18"/>
        <v>3412.5</v>
      </c>
      <c r="G586" s="20">
        <v>103</v>
      </c>
      <c r="H586" s="19" t="str">
        <f t="shared" si="19"/>
        <v>USD</v>
      </c>
      <c r="J586" s="5"/>
      <c r="K586" s="3"/>
      <c r="L586" s="3"/>
      <c r="M586" s="3"/>
      <c r="N586" s="3"/>
      <c r="O586" s="3"/>
    </row>
    <row r="587" spans="1:15" ht="15">
      <c r="A587" s="72">
        <v>3</v>
      </c>
      <c r="B587" s="70">
        <v>13.687243086000001</v>
      </c>
      <c r="C587" s="69">
        <v>-89.192571532200006</v>
      </c>
      <c r="D587" s="71">
        <v>3412.5</v>
      </c>
      <c r="E587" s="19">
        <v>0</v>
      </c>
      <c r="F587" s="19">
        <f t="shared" si="18"/>
        <v>3412.5</v>
      </c>
      <c r="G587" s="20">
        <v>103</v>
      </c>
      <c r="H587" s="19" t="str">
        <f t="shared" si="19"/>
        <v>USD</v>
      </c>
      <c r="J587" s="5"/>
      <c r="K587" s="3"/>
      <c r="L587" s="3"/>
      <c r="M587" s="3"/>
      <c r="N587" s="3"/>
      <c r="O587" s="3"/>
    </row>
    <row r="588" spans="1:15" ht="15">
      <c r="A588" s="72">
        <v>3</v>
      </c>
      <c r="B588" s="70">
        <v>13.6872341013</v>
      </c>
      <c r="C588" s="69">
        <v>-89.192561937199997</v>
      </c>
      <c r="D588" s="71">
        <v>3412.5</v>
      </c>
      <c r="E588" s="19">
        <v>0</v>
      </c>
      <c r="F588" s="19">
        <f t="shared" si="18"/>
        <v>3412.5</v>
      </c>
      <c r="G588" s="20">
        <v>103</v>
      </c>
      <c r="H588" s="19" t="str">
        <f t="shared" si="19"/>
        <v>USD</v>
      </c>
      <c r="J588" s="5"/>
      <c r="K588" s="3"/>
      <c r="L588" s="3"/>
      <c r="M588" s="3"/>
      <c r="N588" s="3"/>
      <c r="O588" s="3"/>
    </row>
    <row r="589" spans="1:15" ht="15">
      <c r="A589" s="72">
        <v>3</v>
      </c>
      <c r="B589" s="70">
        <v>13.687222632199999</v>
      </c>
      <c r="C589" s="69">
        <v>-89.192548230100002</v>
      </c>
      <c r="D589" s="71">
        <v>3412.5</v>
      </c>
      <c r="E589" s="19">
        <v>0</v>
      </c>
      <c r="F589" s="19">
        <f t="shared" si="18"/>
        <v>3412.5</v>
      </c>
      <c r="G589" s="20">
        <v>103</v>
      </c>
      <c r="H589" s="19" t="str">
        <f t="shared" si="19"/>
        <v>USD</v>
      </c>
      <c r="J589" s="5"/>
      <c r="K589" s="3"/>
      <c r="L589" s="3"/>
      <c r="M589" s="3"/>
      <c r="N589" s="3"/>
      <c r="O589" s="3"/>
    </row>
    <row r="590" spans="1:15" ht="15">
      <c r="A590" s="72">
        <v>3</v>
      </c>
      <c r="B590" s="70">
        <v>13.6872136509</v>
      </c>
      <c r="C590" s="69">
        <v>-89.192534330000001</v>
      </c>
      <c r="D590" s="71">
        <v>3412.5</v>
      </c>
      <c r="E590" s="19">
        <v>0</v>
      </c>
      <c r="F590" s="19">
        <f t="shared" si="18"/>
        <v>3412.5</v>
      </c>
      <c r="G590" s="20">
        <v>103</v>
      </c>
      <c r="H590" s="19" t="str">
        <f t="shared" si="19"/>
        <v>USD</v>
      </c>
      <c r="J590" s="5"/>
      <c r="K590" s="3"/>
      <c r="L590" s="3"/>
      <c r="M590" s="3"/>
      <c r="N590" s="3"/>
      <c r="O590" s="3"/>
    </row>
    <row r="591" spans="1:15" ht="15">
      <c r="A591" s="72">
        <v>3</v>
      </c>
      <c r="B591" s="70">
        <v>13.687205432100001</v>
      </c>
      <c r="C591" s="69">
        <v>-89.192523169599994</v>
      </c>
      <c r="D591" s="71">
        <v>3412.5</v>
      </c>
      <c r="E591" s="19">
        <v>0</v>
      </c>
      <c r="F591" s="19">
        <f t="shared" si="18"/>
        <v>3412.5</v>
      </c>
      <c r="G591" s="20">
        <v>103</v>
      </c>
      <c r="H591" s="19" t="str">
        <f t="shared" si="19"/>
        <v>USD</v>
      </c>
      <c r="J591" s="5"/>
      <c r="K591" s="3"/>
      <c r="L591" s="3"/>
      <c r="M591" s="3"/>
      <c r="N591" s="3"/>
      <c r="O591" s="3"/>
    </row>
    <row r="592" spans="1:15" ht="15">
      <c r="A592" s="72">
        <v>3</v>
      </c>
      <c r="B592" s="70">
        <v>13.6871954882</v>
      </c>
      <c r="C592" s="69">
        <v>-89.192516117099998</v>
      </c>
      <c r="D592" s="71">
        <v>3412.5</v>
      </c>
      <c r="E592" s="19">
        <v>0</v>
      </c>
      <c r="F592" s="19">
        <f t="shared" si="18"/>
        <v>3412.5</v>
      </c>
      <c r="G592" s="20">
        <v>103</v>
      </c>
      <c r="H592" s="19" t="str">
        <f t="shared" si="19"/>
        <v>USD</v>
      </c>
      <c r="J592" s="5"/>
      <c r="K592" s="3"/>
      <c r="L592" s="3"/>
      <c r="M592" s="3"/>
      <c r="N592" s="3"/>
      <c r="O592" s="3"/>
    </row>
    <row r="593" spans="1:15" ht="15">
      <c r="A593" s="72">
        <v>3</v>
      </c>
      <c r="B593" s="70">
        <v>13.687187077100001</v>
      </c>
      <c r="C593" s="69">
        <v>-89.192506912699997</v>
      </c>
      <c r="D593" s="71">
        <v>3412.5</v>
      </c>
      <c r="E593" s="19">
        <v>0</v>
      </c>
      <c r="F593" s="19">
        <f t="shared" si="18"/>
        <v>3412.5</v>
      </c>
      <c r="G593" s="20">
        <v>103</v>
      </c>
      <c r="H593" s="19" t="str">
        <f t="shared" si="19"/>
        <v>USD</v>
      </c>
      <c r="J593" s="5"/>
      <c r="K593" s="3"/>
      <c r="L593" s="3"/>
      <c r="M593" s="3"/>
      <c r="N593" s="3"/>
      <c r="O593" s="3"/>
    </row>
    <row r="594" spans="1:15" ht="15">
      <c r="A594" s="72">
        <v>2</v>
      </c>
      <c r="B594" s="70">
        <v>13.6880263803</v>
      </c>
      <c r="C594" s="69">
        <v>-89.192118051999998</v>
      </c>
      <c r="D594" s="71">
        <v>3412.5</v>
      </c>
      <c r="E594" s="19">
        <v>0</v>
      </c>
      <c r="F594" s="19">
        <f t="shared" si="18"/>
        <v>3412.5</v>
      </c>
      <c r="G594" s="20">
        <v>102</v>
      </c>
      <c r="H594" s="19" t="str">
        <f t="shared" si="19"/>
        <v>USD</v>
      </c>
      <c r="J594" s="5"/>
      <c r="K594" s="3"/>
      <c r="L594" s="3"/>
      <c r="M594" s="3"/>
      <c r="N594" s="3"/>
      <c r="O594" s="3"/>
    </row>
    <row r="595" spans="1:15" ht="15">
      <c r="A595" s="72">
        <v>2</v>
      </c>
      <c r="B595" s="70">
        <v>13.6881418599</v>
      </c>
      <c r="C595" s="69">
        <v>-89.192164375100006</v>
      </c>
      <c r="D595" s="71">
        <v>3412.5</v>
      </c>
      <c r="E595" s="19">
        <v>0</v>
      </c>
      <c r="F595" s="19">
        <f t="shared" si="18"/>
        <v>3412.5</v>
      </c>
      <c r="G595" s="20">
        <v>102</v>
      </c>
      <c r="H595" s="19" t="str">
        <f t="shared" si="19"/>
        <v>USD</v>
      </c>
      <c r="J595" s="5"/>
      <c r="K595" s="3"/>
      <c r="L595" s="3"/>
      <c r="M595" s="3"/>
      <c r="N595" s="3"/>
      <c r="O595" s="3"/>
    </row>
    <row r="596" spans="1:15" ht="15">
      <c r="A596" s="72">
        <v>1</v>
      </c>
      <c r="B596" s="70">
        <v>13.6877134633</v>
      </c>
      <c r="C596" s="69">
        <v>-89.192509787999995</v>
      </c>
      <c r="D596" s="71">
        <v>3412.5</v>
      </c>
      <c r="E596" s="19">
        <v>0</v>
      </c>
      <c r="F596" s="19">
        <f t="shared" si="18"/>
        <v>3412.5</v>
      </c>
      <c r="G596" s="20">
        <v>101</v>
      </c>
      <c r="H596" s="19" t="str">
        <f t="shared" si="19"/>
        <v>USD</v>
      </c>
      <c r="J596" s="5"/>
      <c r="K596" s="3"/>
      <c r="L596" s="3"/>
      <c r="M596" s="3"/>
      <c r="N596" s="3"/>
      <c r="O596" s="3"/>
    </row>
    <row r="597" spans="1:15" ht="15">
      <c r="A597" s="72">
        <v>1</v>
      </c>
      <c r="B597" s="70">
        <v>13.6876859483</v>
      </c>
      <c r="C597" s="69">
        <v>-89.192638532900006</v>
      </c>
      <c r="D597" s="71">
        <v>3412.5</v>
      </c>
      <c r="E597" s="19">
        <v>0</v>
      </c>
      <c r="F597" s="19">
        <f t="shared" si="18"/>
        <v>3412.5</v>
      </c>
      <c r="G597" s="20">
        <v>101</v>
      </c>
      <c r="H597" s="19" t="str">
        <f t="shared" si="19"/>
        <v>USD</v>
      </c>
      <c r="J597" s="5"/>
      <c r="K597" s="3"/>
      <c r="L597" s="3"/>
      <c r="M597" s="3"/>
      <c r="N597" s="3"/>
      <c r="O597" s="3"/>
    </row>
    <row r="598" spans="1:15" ht="15">
      <c r="A598" s="72">
        <v>1</v>
      </c>
      <c r="B598" s="70">
        <v>13.6874772889</v>
      </c>
      <c r="C598" s="69">
        <v>-89.192853852200003</v>
      </c>
      <c r="D598" s="71">
        <v>3412.5</v>
      </c>
      <c r="E598" s="19">
        <v>0</v>
      </c>
      <c r="F598" s="19">
        <f t="shared" si="18"/>
        <v>3412.5</v>
      </c>
      <c r="G598" s="20">
        <v>101</v>
      </c>
      <c r="H598" s="19" t="str">
        <f t="shared" si="19"/>
        <v>USD</v>
      </c>
      <c r="J598" s="5"/>
      <c r="K598" s="3"/>
      <c r="L598" s="3"/>
      <c r="M598" s="3"/>
      <c r="N598" s="3"/>
      <c r="O598" s="3"/>
    </row>
    <row r="599" spans="1:15" ht="15">
      <c r="A599" s="72">
        <v>1</v>
      </c>
      <c r="B599" s="70">
        <v>13.687551023799999</v>
      </c>
      <c r="C599" s="69">
        <v>-89.192761454399999</v>
      </c>
      <c r="D599" s="71">
        <v>3412.5</v>
      </c>
      <c r="E599" s="19">
        <v>0</v>
      </c>
      <c r="F599" s="19">
        <f t="shared" si="18"/>
        <v>3412.5</v>
      </c>
      <c r="G599" s="20">
        <v>101</v>
      </c>
      <c r="H599" s="19" t="str">
        <f t="shared" si="19"/>
        <v>USD</v>
      </c>
      <c r="J599" s="5"/>
      <c r="K599" s="3"/>
      <c r="L599" s="3"/>
      <c r="M599" s="3"/>
      <c r="N599" s="3"/>
      <c r="O599" s="3"/>
    </row>
    <row r="600" spans="1:15" ht="15">
      <c r="A600" s="72">
        <v>2</v>
      </c>
      <c r="B600" s="70">
        <v>13.687637953099999</v>
      </c>
      <c r="C600" s="69">
        <v>-89.194138229499998</v>
      </c>
      <c r="D600" s="71">
        <v>3412.5</v>
      </c>
      <c r="E600" s="19">
        <v>0</v>
      </c>
      <c r="F600" s="19">
        <f t="shared" si="18"/>
        <v>3412.5</v>
      </c>
      <c r="G600" s="20">
        <v>102</v>
      </c>
      <c r="H600" s="19" t="str">
        <f t="shared" si="19"/>
        <v>USD</v>
      </c>
      <c r="J600" s="5"/>
      <c r="K600" s="3"/>
      <c r="L600" s="3"/>
      <c r="M600" s="3"/>
      <c r="N600" s="3"/>
      <c r="O600" s="3"/>
    </row>
    <row r="601" spans="1:15" ht="15">
      <c r="A601" s="72">
        <v>1</v>
      </c>
      <c r="B601" s="70">
        <v>13.6892542393</v>
      </c>
      <c r="C601" s="69">
        <v>-89.192407318500003</v>
      </c>
      <c r="D601" s="71">
        <v>3412.5</v>
      </c>
      <c r="E601" s="19">
        <v>0</v>
      </c>
      <c r="F601" s="19">
        <f t="shared" si="18"/>
        <v>3412.5</v>
      </c>
      <c r="G601" s="20">
        <v>101</v>
      </c>
      <c r="H601" s="19" t="str">
        <f t="shared" si="19"/>
        <v>USD</v>
      </c>
      <c r="J601" s="5"/>
      <c r="K601" s="3"/>
      <c r="L601" s="3"/>
      <c r="M601" s="3"/>
      <c r="N601" s="3"/>
      <c r="O601" s="3"/>
    </row>
    <row r="602" spans="1:15" ht="15">
      <c r="A602" s="72">
        <v>1</v>
      </c>
      <c r="B602" s="70">
        <v>13.6892177174</v>
      </c>
      <c r="C602" s="69">
        <v>-89.1923170309</v>
      </c>
      <c r="D602" s="71">
        <v>3412.5</v>
      </c>
      <c r="E602" s="19">
        <v>0</v>
      </c>
      <c r="F602" s="19">
        <f t="shared" si="18"/>
        <v>3412.5</v>
      </c>
      <c r="G602" s="20">
        <v>101</v>
      </c>
      <c r="H602" s="19" t="str">
        <f t="shared" si="19"/>
        <v>USD</v>
      </c>
      <c r="J602" s="5"/>
      <c r="K602" s="3"/>
      <c r="L602" s="3"/>
      <c r="M602" s="3"/>
      <c r="N602" s="3"/>
      <c r="O602" s="3"/>
    </row>
    <row r="603" spans="1:15" ht="15">
      <c r="A603" s="72">
        <v>2</v>
      </c>
      <c r="B603" s="70">
        <v>13.689160660100001</v>
      </c>
      <c r="C603" s="69">
        <v>-89.192262560800003</v>
      </c>
      <c r="D603" s="71">
        <v>3412.5</v>
      </c>
      <c r="E603" s="19">
        <v>0</v>
      </c>
      <c r="F603" s="19">
        <f t="shared" si="18"/>
        <v>3412.5</v>
      </c>
      <c r="G603" s="20">
        <v>102</v>
      </c>
      <c r="H603" s="19" t="str">
        <f t="shared" si="19"/>
        <v>USD</v>
      </c>
      <c r="J603" s="5"/>
      <c r="K603" s="3"/>
      <c r="L603" s="3"/>
      <c r="M603" s="3"/>
      <c r="N603" s="3"/>
      <c r="O603" s="3"/>
    </row>
    <row r="604" spans="1:15" ht="15">
      <c r="A604" s="72">
        <v>2</v>
      </c>
      <c r="B604" s="70">
        <v>13.689199244299999</v>
      </c>
      <c r="C604" s="69">
        <v>-89.192237826699994</v>
      </c>
      <c r="D604" s="71">
        <v>3412.5</v>
      </c>
      <c r="E604" s="19">
        <v>0</v>
      </c>
      <c r="F604" s="19">
        <f t="shared" si="18"/>
        <v>3412.5</v>
      </c>
      <c r="G604" s="20">
        <v>102</v>
      </c>
      <c r="H604" s="19" t="str">
        <f t="shared" si="19"/>
        <v>USD</v>
      </c>
      <c r="J604" s="5"/>
      <c r="K604" s="3"/>
      <c r="L604" s="3"/>
      <c r="M604" s="3"/>
      <c r="N604" s="3"/>
      <c r="O604" s="3"/>
    </row>
    <row r="605" spans="1:15" ht="15">
      <c r="A605" s="72">
        <v>2</v>
      </c>
      <c r="B605" s="70">
        <v>13.689234235200001</v>
      </c>
      <c r="C605" s="69">
        <v>-89.192220428200002</v>
      </c>
      <c r="D605" s="71">
        <v>3412.5</v>
      </c>
      <c r="E605" s="19">
        <v>0</v>
      </c>
      <c r="F605" s="19">
        <f t="shared" si="18"/>
        <v>3412.5</v>
      </c>
      <c r="G605" s="20">
        <v>102</v>
      </c>
      <c r="H605" s="19" t="str">
        <f t="shared" si="19"/>
        <v>USD</v>
      </c>
      <c r="J605" s="5"/>
      <c r="K605" s="3"/>
      <c r="L605" s="3"/>
      <c r="M605" s="3"/>
      <c r="N605" s="3"/>
      <c r="O605" s="3"/>
    </row>
    <row r="606" spans="1:15" ht="15">
      <c r="A606" s="72">
        <v>2</v>
      </c>
      <c r="B606" s="70">
        <v>13.6893048184</v>
      </c>
      <c r="C606" s="69">
        <v>-89.192182878500006</v>
      </c>
      <c r="D606" s="71">
        <v>3412.5</v>
      </c>
      <c r="E606" s="19">
        <v>0</v>
      </c>
      <c r="F606" s="19">
        <f t="shared" si="18"/>
        <v>3412.5</v>
      </c>
      <c r="G606" s="20">
        <v>102</v>
      </c>
      <c r="H606" s="19" t="str">
        <f t="shared" si="19"/>
        <v>USD</v>
      </c>
      <c r="J606" s="5"/>
      <c r="K606" s="3"/>
      <c r="L606" s="3"/>
      <c r="M606" s="3"/>
      <c r="N606" s="3"/>
      <c r="O606" s="3"/>
    </row>
    <row r="607" spans="1:15" ht="15">
      <c r="A607" s="72">
        <v>1</v>
      </c>
      <c r="B607" s="70">
        <v>13.689338237399999</v>
      </c>
      <c r="C607" s="69">
        <v>-89.192263705299993</v>
      </c>
      <c r="D607" s="71">
        <v>3412.5</v>
      </c>
      <c r="E607" s="19">
        <v>0</v>
      </c>
      <c r="F607" s="19">
        <f t="shared" si="18"/>
        <v>3412.5</v>
      </c>
      <c r="G607" s="20">
        <v>101</v>
      </c>
      <c r="H607" s="19" t="str">
        <f t="shared" si="19"/>
        <v>USD</v>
      </c>
      <c r="J607" s="5"/>
      <c r="K607" s="3"/>
      <c r="L607" s="3"/>
      <c r="M607" s="3"/>
      <c r="N607" s="3"/>
      <c r="O607" s="3"/>
    </row>
    <row r="608" spans="1:15" ht="15">
      <c r="A608" s="72">
        <v>2</v>
      </c>
      <c r="B608" s="70">
        <v>13.6891685961</v>
      </c>
      <c r="C608" s="69">
        <v>-89.192079137899995</v>
      </c>
      <c r="D608" s="71">
        <v>3412.5</v>
      </c>
      <c r="E608" s="19">
        <v>0</v>
      </c>
      <c r="F608" s="19">
        <f t="shared" si="18"/>
        <v>3412.5</v>
      </c>
      <c r="G608" s="20">
        <v>102</v>
      </c>
      <c r="H608" s="19" t="str">
        <f t="shared" si="19"/>
        <v>USD</v>
      </c>
      <c r="J608" s="5"/>
      <c r="K608" s="3"/>
      <c r="L608" s="3"/>
      <c r="M608" s="3"/>
      <c r="N608" s="3"/>
      <c r="O608" s="3"/>
    </row>
    <row r="609" spans="1:15" ht="15">
      <c r="A609" s="72">
        <v>1</v>
      </c>
      <c r="B609" s="70">
        <v>13.689358782599999</v>
      </c>
      <c r="C609" s="69">
        <v>-89.192548068500003</v>
      </c>
      <c r="D609" s="71">
        <v>3412.5</v>
      </c>
      <c r="E609" s="19">
        <v>0</v>
      </c>
      <c r="F609" s="19">
        <f t="shared" si="18"/>
        <v>3412.5</v>
      </c>
      <c r="G609" s="20">
        <v>101</v>
      </c>
      <c r="H609" s="19" t="str">
        <f t="shared" si="19"/>
        <v>USD</v>
      </c>
      <c r="J609" s="5"/>
      <c r="K609" s="3"/>
      <c r="L609" s="3"/>
      <c r="M609" s="3"/>
      <c r="N609" s="3"/>
      <c r="O609" s="3"/>
    </row>
    <row r="610" spans="1:15" ht="15">
      <c r="A610" s="72">
        <v>1</v>
      </c>
      <c r="B610" s="70">
        <v>13.6893356934</v>
      </c>
      <c r="C610" s="69">
        <v>-89.192626933599996</v>
      </c>
      <c r="D610" s="71">
        <v>3412.5</v>
      </c>
      <c r="E610" s="19">
        <v>0</v>
      </c>
      <c r="F610" s="19">
        <f t="shared" si="18"/>
        <v>3412.5</v>
      </c>
      <c r="G610" s="20">
        <v>101</v>
      </c>
      <c r="H610" s="19" t="str">
        <f t="shared" si="19"/>
        <v>USD</v>
      </c>
      <c r="J610" s="5"/>
      <c r="K610" s="3"/>
      <c r="L610" s="3"/>
      <c r="M610" s="3"/>
      <c r="N610" s="3"/>
      <c r="O610" s="3"/>
    </row>
    <row r="611" spans="1:15" ht="15">
      <c r="A611" s="72">
        <v>1</v>
      </c>
      <c r="B611" s="70">
        <v>13.689306117499999</v>
      </c>
      <c r="C611" s="69">
        <v>-89.192677174599993</v>
      </c>
      <c r="D611" s="71">
        <v>3412.5</v>
      </c>
      <c r="E611" s="19">
        <v>0</v>
      </c>
      <c r="F611" s="19">
        <f t="shared" si="18"/>
        <v>3412.5</v>
      </c>
      <c r="G611" s="20">
        <v>101</v>
      </c>
      <c r="H611" s="19" t="str">
        <f t="shared" si="19"/>
        <v>USD</v>
      </c>
      <c r="J611" s="5"/>
      <c r="K611" s="3"/>
      <c r="L611" s="3"/>
      <c r="M611" s="3"/>
      <c r="N611" s="3"/>
      <c r="O611" s="3"/>
    </row>
    <row r="612" spans="1:15" ht="15">
      <c r="A612" s="72">
        <v>2</v>
      </c>
      <c r="B612" s="70">
        <v>13.689231191599999</v>
      </c>
      <c r="C612" s="69">
        <v>-89.192611071000002</v>
      </c>
      <c r="D612" s="71">
        <v>3412.5</v>
      </c>
      <c r="E612" s="19">
        <v>0</v>
      </c>
      <c r="F612" s="19">
        <f t="shared" si="18"/>
        <v>3412.5</v>
      </c>
      <c r="G612" s="20">
        <v>102</v>
      </c>
      <c r="H612" s="19" t="str">
        <f t="shared" si="19"/>
        <v>USD</v>
      </c>
      <c r="J612" s="5"/>
      <c r="K612" s="3"/>
      <c r="L612" s="3"/>
      <c r="M612" s="3"/>
      <c r="N612" s="3"/>
      <c r="O612" s="3"/>
    </row>
    <row r="613" spans="1:15" ht="15">
      <c r="A613" s="72">
        <v>2</v>
      </c>
      <c r="B613" s="70">
        <v>13.6874385743</v>
      </c>
      <c r="C613" s="69">
        <v>-89.192781860300002</v>
      </c>
      <c r="D613" s="71">
        <v>3412.5</v>
      </c>
      <c r="E613" s="19">
        <v>0</v>
      </c>
      <c r="F613" s="19">
        <f t="shared" si="18"/>
        <v>3412.5</v>
      </c>
      <c r="G613" s="20">
        <v>102</v>
      </c>
      <c r="H613" s="19" t="str">
        <f t="shared" si="19"/>
        <v>USD</v>
      </c>
      <c r="J613" s="5"/>
      <c r="K613" s="3"/>
      <c r="L613" s="3"/>
      <c r="M613" s="3"/>
      <c r="N613" s="3"/>
      <c r="O613" s="3"/>
    </row>
    <row r="614" spans="1:15" ht="15">
      <c r="A614" s="72">
        <v>2</v>
      </c>
      <c r="B614" s="70">
        <v>13.687617532999999</v>
      </c>
      <c r="C614" s="69">
        <v>-89.1926998223</v>
      </c>
      <c r="D614" s="71">
        <v>3412.5</v>
      </c>
      <c r="E614" s="19">
        <v>0</v>
      </c>
      <c r="F614" s="19">
        <f t="shared" si="18"/>
        <v>3412.5</v>
      </c>
      <c r="G614" s="20">
        <v>102</v>
      </c>
      <c r="H614" s="19" t="str">
        <f t="shared" si="19"/>
        <v>USD</v>
      </c>
      <c r="J614" s="5"/>
      <c r="K614" s="3"/>
      <c r="L614" s="3"/>
      <c r="M614" s="3"/>
      <c r="N614" s="3"/>
      <c r="O614" s="3"/>
    </row>
    <row r="615" spans="1:15" ht="15">
      <c r="A615" s="72">
        <v>2</v>
      </c>
      <c r="B615" s="70">
        <v>13.6877821732</v>
      </c>
      <c r="C615" s="69">
        <v>-89.192576680100004</v>
      </c>
      <c r="D615" s="71">
        <v>3412.5</v>
      </c>
      <c r="E615" s="19">
        <v>0</v>
      </c>
      <c r="F615" s="19">
        <f t="shared" si="18"/>
        <v>3412.5</v>
      </c>
      <c r="G615" s="20">
        <v>102</v>
      </c>
      <c r="H615" s="19" t="str">
        <f t="shared" si="19"/>
        <v>USD</v>
      </c>
      <c r="J615" s="5"/>
      <c r="K615" s="3"/>
      <c r="L615" s="3"/>
      <c r="M615" s="3"/>
      <c r="N615" s="3"/>
      <c r="O615" s="3"/>
    </row>
    <row r="616" spans="1:15" ht="15">
      <c r="A616" s="72">
        <v>2</v>
      </c>
      <c r="B616" s="70">
        <v>13.6879517505</v>
      </c>
      <c r="C616" s="69">
        <v>-89.193048687399994</v>
      </c>
      <c r="D616" s="71">
        <v>3412.5</v>
      </c>
      <c r="E616" s="19">
        <v>0</v>
      </c>
      <c r="F616" s="19">
        <f t="shared" si="18"/>
        <v>3412.5</v>
      </c>
      <c r="G616" s="20">
        <v>102</v>
      </c>
      <c r="H616" s="19" t="str">
        <f t="shared" si="19"/>
        <v>USD</v>
      </c>
      <c r="J616" s="5"/>
      <c r="K616" s="3"/>
      <c r="L616" s="3"/>
      <c r="M616" s="3"/>
      <c r="N616" s="3"/>
      <c r="O616" s="3"/>
    </row>
    <row r="617" spans="1:15" ht="15">
      <c r="A617" s="72">
        <v>2</v>
      </c>
      <c r="B617" s="70">
        <v>13.6878678274</v>
      </c>
      <c r="C617" s="69">
        <v>-89.193019021799998</v>
      </c>
      <c r="D617" s="71">
        <v>3412.5</v>
      </c>
      <c r="E617" s="19">
        <v>0</v>
      </c>
      <c r="F617" s="19">
        <f t="shared" si="18"/>
        <v>3412.5</v>
      </c>
      <c r="G617" s="20">
        <v>102</v>
      </c>
      <c r="H617" s="19" t="str">
        <f t="shared" si="19"/>
        <v>USD</v>
      </c>
      <c r="J617" s="5"/>
      <c r="K617" s="3"/>
      <c r="L617" s="3"/>
      <c r="M617" s="3"/>
      <c r="N617" s="3"/>
      <c r="O617" s="3"/>
    </row>
    <row r="618" spans="1:15" ht="15">
      <c r="A618" s="72">
        <v>2</v>
      </c>
      <c r="B618" s="70">
        <v>13.687887937399999</v>
      </c>
      <c r="C618" s="69">
        <v>-89.192993110800003</v>
      </c>
      <c r="D618" s="71">
        <v>3412.5</v>
      </c>
      <c r="E618" s="19">
        <v>0</v>
      </c>
      <c r="F618" s="19">
        <f t="shared" si="18"/>
        <v>3412.5</v>
      </c>
      <c r="G618" s="20">
        <v>102</v>
      </c>
      <c r="H618" s="19" t="str">
        <f t="shared" si="19"/>
        <v>USD</v>
      </c>
      <c r="J618" s="5"/>
      <c r="K618" s="3"/>
      <c r="L618" s="3"/>
      <c r="M618" s="3"/>
      <c r="N618" s="3"/>
      <c r="O618" s="3"/>
    </row>
    <row r="619" spans="1:15" ht="15">
      <c r="A619" s="72">
        <v>2</v>
      </c>
      <c r="B619" s="70">
        <v>13.687906611900001</v>
      </c>
      <c r="C619" s="69">
        <v>-89.192968421700002</v>
      </c>
      <c r="D619" s="71">
        <v>3412.5</v>
      </c>
      <c r="E619" s="19">
        <v>0</v>
      </c>
      <c r="F619" s="19">
        <f t="shared" si="18"/>
        <v>3412.5</v>
      </c>
      <c r="G619" s="20">
        <v>102</v>
      </c>
      <c r="H619" s="19" t="str">
        <f t="shared" si="19"/>
        <v>USD</v>
      </c>
      <c r="J619" s="5"/>
      <c r="K619" s="3"/>
      <c r="L619" s="3"/>
      <c r="M619" s="3"/>
      <c r="N619" s="3"/>
      <c r="O619" s="3"/>
    </row>
    <row r="620" spans="1:15" ht="15">
      <c r="A620" s="72">
        <v>2</v>
      </c>
      <c r="B620" s="70">
        <v>13.6879360544</v>
      </c>
      <c r="C620" s="69">
        <v>-89.192935180899994</v>
      </c>
      <c r="D620" s="71">
        <v>3412.5</v>
      </c>
      <c r="E620" s="19">
        <v>0</v>
      </c>
      <c r="F620" s="19">
        <f t="shared" si="18"/>
        <v>3412.5</v>
      </c>
      <c r="G620" s="20">
        <v>102</v>
      </c>
      <c r="H620" s="19" t="str">
        <f t="shared" si="19"/>
        <v>USD</v>
      </c>
      <c r="J620" s="5"/>
      <c r="K620" s="3"/>
      <c r="L620" s="3"/>
      <c r="M620" s="3"/>
      <c r="N620" s="3"/>
      <c r="O620" s="3"/>
    </row>
    <row r="621" spans="1:15" ht="15">
      <c r="A621" s="72">
        <v>2</v>
      </c>
      <c r="B621" s="70">
        <v>13.6881920582</v>
      </c>
      <c r="C621" s="69">
        <v>-89.192198171100003</v>
      </c>
      <c r="D621" s="71">
        <v>3412.5</v>
      </c>
      <c r="E621" s="19">
        <v>0</v>
      </c>
      <c r="F621" s="19">
        <f t="shared" si="18"/>
        <v>3412.5</v>
      </c>
      <c r="G621" s="20">
        <v>102</v>
      </c>
      <c r="H621" s="19" t="str">
        <f t="shared" si="19"/>
        <v>USD</v>
      </c>
      <c r="J621" s="5"/>
      <c r="K621" s="3"/>
      <c r="L621" s="3"/>
      <c r="M621" s="3"/>
      <c r="N621" s="3"/>
      <c r="O621" s="3"/>
    </row>
    <row r="622" spans="1:15" ht="15">
      <c r="A622" s="72">
        <v>2</v>
      </c>
      <c r="B622" s="70">
        <v>13.6879085149</v>
      </c>
      <c r="C622" s="69">
        <v>-89.192370381399996</v>
      </c>
      <c r="D622" s="71">
        <v>3412.5</v>
      </c>
      <c r="E622" s="19">
        <v>0</v>
      </c>
      <c r="F622" s="19">
        <f t="shared" si="18"/>
        <v>3412.5</v>
      </c>
      <c r="G622" s="20">
        <v>102</v>
      </c>
      <c r="H622" s="19" t="str">
        <f t="shared" si="19"/>
        <v>USD</v>
      </c>
      <c r="J622" s="5"/>
      <c r="K622" s="3"/>
      <c r="L622" s="3"/>
      <c r="M622" s="3"/>
      <c r="N622" s="3"/>
      <c r="O622" s="3"/>
    </row>
    <row r="623" spans="1:15" ht="15">
      <c r="A623" s="72">
        <v>2</v>
      </c>
      <c r="B623" s="70">
        <v>13.687971659600001</v>
      </c>
      <c r="C623" s="69">
        <v>-89.192363094699999</v>
      </c>
      <c r="D623" s="71">
        <v>3412.5</v>
      </c>
      <c r="E623" s="19">
        <v>0</v>
      </c>
      <c r="F623" s="19">
        <f t="shared" si="18"/>
        <v>3412.5</v>
      </c>
      <c r="G623" s="20">
        <v>102</v>
      </c>
      <c r="H623" s="19" t="str">
        <f t="shared" si="19"/>
        <v>USD</v>
      </c>
      <c r="J623" s="5"/>
      <c r="K623" s="3"/>
      <c r="L623" s="3"/>
      <c r="M623" s="3"/>
      <c r="N623" s="3"/>
      <c r="O623" s="3"/>
    </row>
    <row r="624" spans="1:15" ht="15">
      <c r="A624" s="72">
        <v>2</v>
      </c>
      <c r="B624" s="70">
        <v>13.6880542018</v>
      </c>
      <c r="C624" s="69">
        <v>-89.192324270900002</v>
      </c>
      <c r="D624" s="71">
        <v>3412.5</v>
      </c>
      <c r="E624" s="19">
        <v>0</v>
      </c>
      <c r="F624" s="19">
        <f t="shared" si="18"/>
        <v>3412.5</v>
      </c>
      <c r="G624" s="20">
        <v>102</v>
      </c>
      <c r="H624" s="19" t="str">
        <f t="shared" si="19"/>
        <v>USD</v>
      </c>
      <c r="J624" s="5"/>
      <c r="K624" s="3"/>
      <c r="L624" s="3"/>
      <c r="M624" s="3"/>
      <c r="N624" s="3"/>
      <c r="O624" s="3"/>
    </row>
    <row r="625" spans="1:15" ht="15">
      <c r="A625" s="72">
        <v>2</v>
      </c>
      <c r="B625" s="70">
        <v>13.687965978799999</v>
      </c>
      <c r="C625" s="69">
        <v>-89.192287509600007</v>
      </c>
      <c r="D625" s="71">
        <v>3412.5</v>
      </c>
      <c r="E625" s="19">
        <v>0</v>
      </c>
      <c r="F625" s="19">
        <f t="shared" si="18"/>
        <v>3412.5</v>
      </c>
      <c r="G625" s="20">
        <v>102</v>
      </c>
      <c r="H625" s="19" t="str">
        <f t="shared" si="19"/>
        <v>USD</v>
      </c>
      <c r="J625" s="5"/>
      <c r="K625" s="3"/>
      <c r="L625" s="3"/>
      <c r="M625" s="3"/>
      <c r="N625" s="3"/>
      <c r="O625" s="3"/>
    </row>
    <row r="626" spans="1:15" ht="15">
      <c r="A626" s="72">
        <v>2</v>
      </c>
      <c r="B626" s="70">
        <v>13.6879408452</v>
      </c>
      <c r="C626" s="69">
        <v>-89.192315372699994</v>
      </c>
      <c r="D626" s="71">
        <v>3412.5</v>
      </c>
      <c r="E626" s="19">
        <v>0</v>
      </c>
      <c r="F626" s="19">
        <f t="shared" si="18"/>
        <v>3412.5</v>
      </c>
      <c r="G626" s="20">
        <v>102</v>
      </c>
      <c r="H626" s="19" t="str">
        <f t="shared" si="19"/>
        <v>USD</v>
      </c>
      <c r="J626" s="5"/>
      <c r="K626" s="3"/>
      <c r="L626" s="3"/>
      <c r="M626" s="3"/>
      <c r="N626" s="3"/>
      <c r="O626" s="3"/>
    </row>
    <row r="627" spans="1:15" ht="15">
      <c r="A627" s="72">
        <v>2</v>
      </c>
      <c r="B627" s="70">
        <v>13.6879223168</v>
      </c>
      <c r="C627" s="69">
        <v>-89.192153189099997</v>
      </c>
      <c r="D627" s="71">
        <v>3412.5</v>
      </c>
      <c r="E627" s="19">
        <v>0</v>
      </c>
      <c r="F627" s="19">
        <f t="shared" si="18"/>
        <v>3412.5</v>
      </c>
      <c r="G627" s="20">
        <v>102</v>
      </c>
      <c r="H627" s="19" t="str">
        <f t="shared" si="19"/>
        <v>USD</v>
      </c>
      <c r="J627" s="5"/>
      <c r="K627" s="3"/>
      <c r="L627" s="3"/>
      <c r="M627" s="3"/>
      <c r="N627" s="3"/>
      <c r="O627" s="3"/>
    </row>
    <row r="628" spans="1:15" ht="15">
      <c r="A628" s="72">
        <v>2</v>
      </c>
      <c r="B628" s="70">
        <v>13.6880141195</v>
      </c>
      <c r="C628" s="69">
        <v>-89.192200226899999</v>
      </c>
      <c r="D628" s="71">
        <v>3412.5</v>
      </c>
      <c r="E628" s="19">
        <v>0</v>
      </c>
      <c r="F628" s="19">
        <f t="shared" si="18"/>
        <v>3412.5</v>
      </c>
      <c r="G628" s="20">
        <v>102</v>
      </c>
      <c r="H628" s="19" t="str">
        <f t="shared" si="19"/>
        <v>USD</v>
      </c>
      <c r="J628" s="5"/>
      <c r="K628" s="3"/>
      <c r="L628" s="3"/>
      <c r="M628" s="3"/>
      <c r="N628" s="3"/>
      <c r="O628" s="3"/>
    </row>
    <row r="629" spans="1:15" ht="15">
      <c r="A629" s="72">
        <v>2</v>
      </c>
      <c r="B629" s="70">
        <v>13.687951633200001</v>
      </c>
      <c r="C629" s="69">
        <v>-89.193633649999995</v>
      </c>
      <c r="D629" s="71">
        <v>3412.5</v>
      </c>
      <c r="E629" s="19">
        <v>0</v>
      </c>
      <c r="F629" s="19">
        <f t="shared" si="18"/>
        <v>3412.5</v>
      </c>
      <c r="G629" s="20">
        <v>102</v>
      </c>
      <c r="H629" s="19" t="str">
        <f t="shared" si="19"/>
        <v>USD</v>
      </c>
      <c r="J629" s="5"/>
      <c r="K629" s="3"/>
      <c r="L629" s="3"/>
      <c r="M629" s="3"/>
      <c r="N629" s="3"/>
      <c r="O629" s="3"/>
    </row>
    <row r="630" spans="1:15" ht="15">
      <c r="A630" s="72">
        <v>2</v>
      </c>
      <c r="B630" s="70">
        <v>13.6879418765</v>
      </c>
      <c r="C630" s="69">
        <v>-89.1936322719</v>
      </c>
      <c r="D630" s="71">
        <v>3412.5</v>
      </c>
      <c r="E630" s="19">
        <v>0</v>
      </c>
      <c r="F630" s="19">
        <f t="shared" si="18"/>
        <v>3412.5</v>
      </c>
      <c r="G630" s="20">
        <v>102</v>
      </c>
      <c r="H630" s="19" t="str">
        <f t="shared" si="19"/>
        <v>USD</v>
      </c>
      <c r="J630" s="5"/>
      <c r="K630" s="3"/>
      <c r="L630" s="3"/>
      <c r="M630" s="3"/>
      <c r="N630" s="3"/>
      <c r="O630" s="3"/>
    </row>
    <row r="631" spans="1:15" ht="15">
      <c r="A631" s="72">
        <v>2</v>
      </c>
      <c r="B631" s="70">
        <v>13.687931976</v>
      </c>
      <c r="C631" s="69">
        <v>-89.193630918699995</v>
      </c>
      <c r="D631" s="71">
        <v>3412.5</v>
      </c>
      <c r="E631" s="19">
        <v>0</v>
      </c>
      <c r="F631" s="19">
        <f t="shared" si="18"/>
        <v>3412.5</v>
      </c>
      <c r="G631" s="20">
        <v>102</v>
      </c>
      <c r="H631" s="19" t="str">
        <f t="shared" si="19"/>
        <v>USD</v>
      </c>
      <c r="J631" s="5"/>
      <c r="K631" s="3"/>
      <c r="L631" s="3"/>
      <c r="M631" s="3"/>
      <c r="N631" s="3"/>
      <c r="O631" s="3"/>
    </row>
    <row r="632" spans="1:15" ht="15">
      <c r="A632" s="72">
        <v>2</v>
      </c>
      <c r="B632" s="70">
        <v>13.6879208568</v>
      </c>
      <c r="C632" s="69">
        <v>-89.193628708399999</v>
      </c>
      <c r="D632" s="71">
        <v>3412.5</v>
      </c>
      <c r="E632" s="19">
        <v>0</v>
      </c>
      <c r="F632" s="19">
        <f t="shared" si="18"/>
        <v>3412.5</v>
      </c>
      <c r="G632" s="20">
        <v>102</v>
      </c>
      <c r="H632" s="19" t="str">
        <f t="shared" si="19"/>
        <v>USD</v>
      </c>
      <c r="J632" s="5"/>
      <c r="K632" s="3"/>
      <c r="L632" s="3"/>
      <c r="M632" s="3"/>
      <c r="N632" s="3"/>
      <c r="O632" s="3"/>
    </row>
    <row r="633" spans="1:15" ht="15">
      <c r="A633" s="72">
        <v>2</v>
      </c>
      <c r="B633" s="70">
        <v>13.687909017899999</v>
      </c>
      <c r="C633" s="69">
        <v>-89.193628991699995</v>
      </c>
      <c r="D633" s="71">
        <v>3412.5</v>
      </c>
      <c r="E633" s="19">
        <v>0</v>
      </c>
      <c r="F633" s="19">
        <f t="shared" si="18"/>
        <v>3412.5</v>
      </c>
      <c r="G633" s="20">
        <v>102</v>
      </c>
      <c r="H633" s="19" t="str">
        <f t="shared" si="19"/>
        <v>USD</v>
      </c>
      <c r="J633" s="5"/>
      <c r="K633" s="3"/>
      <c r="L633" s="3"/>
      <c r="M633" s="3"/>
      <c r="N633" s="3"/>
      <c r="O633" s="3"/>
    </row>
    <row r="634" spans="1:15" ht="15">
      <c r="A634" s="72">
        <v>2</v>
      </c>
      <c r="B634" s="70">
        <v>13.687912541899999</v>
      </c>
      <c r="C634" s="69">
        <v>-89.193709810300007</v>
      </c>
      <c r="D634" s="71">
        <v>3412.5</v>
      </c>
      <c r="E634" s="19">
        <v>0</v>
      </c>
      <c r="F634" s="19">
        <f t="shared" si="18"/>
        <v>3412.5</v>
      </c>
      <c r="G634" s="20">
        <v>102</v>
      </c>
      <c r="H634" s="19" t="str">
        <f t="shared" si="19"/>
        <v>USD</v>
      </c>
      <c r="J634" s="5"/>
      <c r="K634" s="3"/>
      <c r="L634" s="3"/>
      <c r="M634" s="3"/>
      <c r="N634" s="3"/>
      <c r="O634" s="3"/>
    </row>
    <row r="635" spans="1:15" ht="15">
      <c r="A635" s="72">
        <v>2</v>
      </c>
      <c r="B635" s="70">
        <v>13.687901351000001</v>
      </c>
      <c r="C635" s="69">
        <v>-89.193706791899999</v>
      </c>
      <c r="D635" s="71">
        <v>3412.5</v>
      </c>
      <c r="E635" s="19">
        <v>0</v>
      </c>
      <c r="F635" s="19">
        <f t="shared" si="18"/>
        <v>3412.5</v>
      </c>
      <c r="G635" s="20">
        <v>102</v>
      </c>
      <c r="H635" s="19" t="str">
        <f t="shared" si="19"/>
        <v>USD</v>
      </c>
      <c r="J635" s="5"/>
      <c r="K635" s="3"/>
      <c r="L635" s="3"/>
      <c r="M635" s="3"/>
      <c r="N635" s="3"/>
      <c r="O635" s="3"/>
    </row>
    <row r="636" spans="1:15" ht="15">
      <c r="A636" s="72">
        <v>2</v>
      </c>
      <c r="B636" s="70">
        <v>13.687890020999999</v>
      </c>
      <c r="C636" s="69">
        <v>-89.193699005100001</v>
      </c>
      <c r="D636" s="71">
        <v>3412.5</v>
      </c>
      <c r="E636" s="19">
        <v>0</v>
      </c>
      <c r="F636" s="19">
        <f t="shared" si="18"/>
        <v>3412.5</v>
      </c>
      <c r="G636" s="20">
        <v>102</v>
      </c>
      <c r="H636" s="19" t="str">
        <f t="shared" si="19"/>
        <v>USD</v>
      </c>
      <c r="J636" s="5"/>
      <c r="K636" s="3"/>
      <c r="L636" s="3"/>
      <c r="M636" s="3"/>
      <c r="N636" s="3"/>
      <c r="O636" s="3"/>
    </row>
    <row r="637" spans="1:15" ht="15">
      <c r="A637" s="72">
        <v>2</v>
      </c>
      <c r="B637" s="70">
        <v>13.687893834</v>
      </c>
      <c r="C637" s="69">
        <v>-89.193686093500006</v>
      </c>
      <c r="D637" s="71">
        <v>3412.5</v>
      </c>
      <c r="E637" s="19">
        <v>0</v>
      </c>
      <c r="F637" s="19">
        <f t="shared" si="18"/>
        <v>3412.5</v>
      </c>
      <c r="G637" s="20">
        <v>102</v>
      </c>
      <c r="H637" s="19" t="str">
        <f t="shared" si="19"/>
        <v>USD</v>
      </c>
      <c r="J637" s="5"/>
      <c r="K637" s="3"/>
      <c r="L637" s="3"/>
      <c r="M637" s="3"/>
      <c r="N637" s="3"/>
      <c r="O637" s="3"/>
    </row>
    <row r="638" spans="1:15" ht="15">
      <c r="A638" s="72">
        <v>2</v>
      </c>
      <c r="B638" s="70">
        <v>13.687896284900001</v>
      </c>
      <c r="C638" s="69">
        <v>-89.193671859700004</v>
      </c>
      <c r="D638" s="71">
        <v>3412.5</v>
      </c>
      <c r="E638" s="19">
        <v>0</v>
      </c>
      <c r="F638" s="19">
        <f t="shared" si="18"/>
        <v>3412.5</v>
      </c>
      <c r="G638" s="20">
        <v>102</v>
      </c>
      <c r="H638" s="19" t="str">
        <f t="shared" si="19"/>
        <v>USD</v>
      </c>
      <c r="J638" s="5"/>
      <c r="K638" s="3"/>
      <c r="L638" s="3"/>
      <c r="M638" s="3"/>
      <c r="N638" s="3"/>
      <c r="O638" s="3"/>
    </row>
    <row r="639" spans="1:15" ht="15">
      <c r="A639" s="72">
        <v>2</v>
      </c>
      <c r="B639" s="70">
        <v>13.6878988059</v>
      </c>
      <c r="C639" s="69">
        <v>-89.193659314000001</v>
      </c>
      <c r="D639" s="71">
        <v>3412.5</v>
      </c>
      <c r="E639" s="19">
        <v>0</v>
      </c>
      <c r="F639" s="19">
        <f t="shared" si="18"/>
        <v>3412.5</v>
      </c>
      <c r="G639" s="20">
        <v>102</v>
      </c>
      <c r="H639" s="19" t="str">
        <f t="shared" si="19"/>
        <v>USD</v>
      </c>
      <c r="J639" s="5"/>
      <c r="K639" s="3"/>
      <c r="L639" s="3"/>
      <c r="M639" s="3"/>
      <c r="N639" s="3"/>
      <c r="O639" s="3"/>
    </row>
    <row r="640" spans="1:15" ht="15">
      <c r="A640" s="72">
        <v>2</v>
      </c>
      <c r="B640" s="70">
        <v>13.687970893099999</v>
      </c>
      <c r="C640" s="69">
        <v>-89.193730054200003</v>
      </c>
      <c r="D640" s="71">
        <v>3412.5</v>
      </c>
      <c r="E640" s="19">
        <v>0</v>
      </c>
      <c r="F640" s="19">
        <f t="shared" si="18"/>
        <v>3412.5</v>
      </c>
      <c r="G640" s="20">
        <v>102</v>
      </c>
      <c r="H640" s="19" t="str">
        <f t="shared" si="19"/>
        <v>USD</v>
      </c>
      <c r="J640" s="5"/>
      <c r="K640" s="3"/>
      <c r="L640" s="3"/>
      <c r="M640" s="3"/>
      <c r="N640" s="3"/>
      <c r="O640" s="3"/>
    </row>
    <row r="641" spans="1:15" ht="15">
      <c r="A641" s="72">
        <v>2</v>
      </c>
      <c r="B641" s="70">
        <v>13.687975015799999</v>
      </c>
      <c r="C641" s="69">
        <v>-89.193718707900004</v>
      </c>
      <c r="D641" s="71">
        <v>3412.5</v>
      </c>
      <c r="E641" s="19">
        <v>0</v>
      </c>
      <c r="F641" s="19">
        <f t="shared" si="18"/>
        <v>3412.5</v>
      </c>
      <c r="G641" s="20">
        <v>102</v>
      </c>
      <c r="H641" s="19" t="str">
        <f t="shared" si="19"/>
        <v>USD</v>
      </c>
      <c r="J641" s="5"/>
      <c r="K641" s="3"/>
      <c r="L641" s="3"/>
      <c r="M641" s="3"/>
      <c r="N641" s="3"/>
      <c r="O641" s="3"/>
    </row>
    <row r="642" spans="1:15" ht="15">
      <c r="A642" s="72">
        <v>2</v>
      </c>
      <c r="B642" s="70">
        <v>13.687979616</v>
      </c>
      <c r="C642" s="69">
        <v>-89.193708145100004</v>
      </c>
      <c r="D642" s="71">
        <v>3412.5</v>
      </c>
      <c r="E642" s="19">
        <v>0</v>
      </c>
      <c r="F642" s="19">
        <f t="shared" si="18"/>
        <v>3412.5</v>
      </c>
      <c r="G642" s="20">
        <v>102</v>
      </c>
      <c r="H642" s="19" t="str">
        <f t="shared" si="19"/>
        <v>USD</v>
      </c>
      <c r="J642" s="5"/>
      <c r="K642" s="3"/>
      <c r="L642" s="3"/>
      <c r="M642" s="3"/>
      <c r="N642" s="3"/>
      <c r="O642" s="3"/>
    </row>
    <row r="643" spans="1:15" ht="15">
      <c r="A643" s="72">
        <v>2</v>
      </c>
      <c r="B643" s="70">
        <v>13.6879844096</v>
      </c>
      <c r="C643" s="69">
        <v>-89.193695430299996</v>
      </c>
      <c r="D643" s="71">
        <v>3412.5</v>
      </c>
      <c r="E643" s="19">
        <v>0</v>
      </c>
      <c r="F643" s="19">
        <f t="shared" ref="F643:F706" si="20">D643</f>
        <v>3412.5</v>
      </c>
      <c r="G643" s="20">
        <v>102</v>
      </c>
      <c r="H643" s="19" t="str">
        <f t="shared" ref="H643:H706" si="21">IF(OR(A643&lt;17,A643=21),"USD","people")</f>
        <v>USD</v>
      </c>
      <c r="J643" s="5"/>
      <c r="K643" s="3"/>
      <c r="L643" s="3"/>
      <c r="M643" s="3"/>
      <c r="N643" s="3"/>
      <c r="O643" s="3"/>
    </row>
    <row r="644" spans="1:15" ht="15">
      <c r="A644" s="72">
        <v>1</v>
      </c>
      <c r="B644" s="70">
        <v>13.687929032</v>
      </c>
      <c r="C644" s="69">
        <v>-89.193760537200006</v>
      </c>
      <c r="D644" s="71">
        <v>3412.5</v>
      </c>
      <c r="E644" s="19">
        <v>0</v>
      </c>
      <c r="F644" s="19">
        <f t="shared" si="20"/>
        <v>3412.5</v>
      </c>
      <c r="G644" s="20">
        <v>101</v>
      </c>
      <c r="H644" s="19" t="str">
        <f t="shared" si="21"/>
        <v>USD</v>
      </c>
      <c r="J644" s="5"/>
      <c r="K644" s="3"/>
      <c r="L644" s="3"/>
      <c r="M644" s="3"/>
      <c r="N644" s="3"/>
      <c r="O644" s="3"/>
    </row>
    <row r="645" spans="1:15" ht="15">
      <c r="A645" s="72">
        <v>2</v>
      </c>
      <c r="B645" s="70">
        <v>13.687959792999999</v>
      </c>
      <c r="C645" s="69">
        <v>-89.193724239399998</v>
      </c>
      <c r="D645" s="71">
        <v>3412.5</v>
      </c>
      <c r="E645" s="19">
        <v>0</v>
      </c>
      <c r="F645" s="19">
        <f t="shared" si="20"/>
        <v>3412.5</v>
      </c>
      <c r="G645" s="20">
        <v>102</v>
      </c>
      <c r="H645" s="19" t="str">
        <f t="shared" si="21"/>
        <v>USD</v>
      </c>
      <c r="J645" s="5"/>
      <c r="K645" s="3"/>
      <c r="L645" s="3"/>
      <c r="M645" s="3"/>
      <c r="N645" s="3"/>
      <c r="O645" s="3"/>
    </row>
    <row r="646" spans="1:15" ht="15">
      <c r="A646" s="72">
        <v>2</v>
      </c>
      <c r="B646" s="70">
        <v>13.6879455658</v>
      </c>
      <c r="C646" s="69">
        <v>-89.193720069400001</v>
      </c>
      <c r="D646" s="71">
        <v>3412.5</v>
      </c>
      <c r="E646" s="19">
        <v>0</v>
      </c>
      <c r="F646" s="19">
        <f t="shared" si="20"/>
        <v>3412.5</v>
      </c>
      <c r="G646" s="20">
        <v>102</v>
      </c>
      <c r="H646" s="19" t="str">
        <f t="shared" si="21"/>
        <v>USD</v>
      </c>
      <c r="J646" s="5"/>
      <c r="K646" s="3"/>
      <c r="L646" s="3"/>
      <c r="M646" s="3"/>
      <c r="N646" s="3"/>
      <c r="O646" s="3"/>
    </row>
    <row r="647" spans="1:15" ht="15">
      <c r="A647" s="72">
        <v>2</v>
      </c>
      <c r="B647" s="70">
        <v>13.6879342064</v>
      </c>
      <c r="C647" s="69">
        <v>-89.193718715000003</v>
      </c>
      <c r="D647" s="71">
        <v>3412.5</v>
      </c>
      <c r="E647" s="19">
        <v>0</v>
      </c>
      <c r="F647" s="19">
        <f t="shared" si="20"/>
        <v>3412.5</v>
      </c>
      <c r="G647" s="20">
        <v>102</v>
      </c>
      <c r="H647" s="19" t="str">
        <f t="shared" si="21"/>
        <v>USD</v>
      </c>
      <c r="J647" s="5"/>
      <c r="K647" s="3"/>
      <c r="L647" s="3"/>
      <c r="M647" s="3"/>
      <c r="N647" s="3"/>
      <c r="O647" s="3"/>
    </row>
    <row r="648" spans="1:15" ht="15">
      <c r="A648" s="72">
        <v>2</v>
      </c>
      <c r="B648" s="70">
        <v>13.687921894</v>
      </c>
      <c r="C648" s="69">
        <v>-89.1937130795</v>
      </c>
      <c r="D648" s="71">
        <v>3412.5</v>
      </c>
      <c r="E648" s="19">
        <v>0</v>
      </c>
      <c r="F648" s="19">
        <f t="shared" si="20"/>
        <v>3412.5</v>
      </c>
      <c r="G648" s="20">
        <v>102</v>
      </c>
      <c r="H648" s="19" t="str">
        <f t="shared" si="21"/>
        <v>USD</v>
      </c>
      <c r="J648" s="5"/>
      <c r="K648" s="3"/>
      <c r="L648" s="3"/>
      <c r="M648" s="3"/>
      <c r="N648" s="3"/>
      <c r="O648" s="3"/>
    </row>
    <row r="649" spans="1:15" ht="15">
      <c r="A649" s="72">
        <v>2</v>
      </c>
      <c r="B649" s="70">
        <v>13.687904773</v>
      </c>
      <c r="C649" s="69">
        <v>-89.193816102400007</v>
      </c>
      <c r="D649" s="71">
        <v>3412.5</v>
      </c>
      <c r="E649" s="19">
        <v>0</v>
      </c>
      <c r="F649" s="19">
        <f t="shared" si="20"/>
        <v>3412.5</v>
      </c>
      <c r="G649" s="20">
        <v>102</v>
      </c>
      <c r="H649" s="19" t="str">
        <f t="shared" si="21"/>
        <v>USD</v>
      </c>
      <c r="J649" s="5"/>
      <c r="K649" s="3"/>
      <c r="L649" s="3"/>
      <c r="M649" s="3"/>
      <c r="N649" s="3"/>
      <c r="O649" s="3"/>
    </row>
    <row r="650" spans="1:15" ht="15">
      <c r="A650" s="72">
        <v>2</v>
      </c>
      <c r="B650" s="70">
        <v>13.687885725199999</v>
      </c>
      <c r="C650" s="69">
        <v>-89.193859013199997</v>
      </c>
      <c r="D650" s="71">
        <v>3412.5</v>
      </c>
      <c r="E650" s="19">
        <v>0</v>
      </c>
      <c r="F650" s="19">
        <f t="shared" si="20"/>
        <v>3412.5</v>
      </c>
      <c r="G650" s="20">
        <v>102</v>
      </c>
      <c r="H650" s="19" t="str">
        <f t="shared" si="21"/>
        <v>USD</v>
      </c>
      <c r="J650" s="5"/>
      <c r="K650" s="3"/>
      <c r="L650" s="3"/>
      <c r="M650" s="3"/>
      <c r="N650" s="3"/>
      <c r="O650" s="3"/>
    </row>
    <row r="651" spans="1:15" ht="15">
      <c r="A651" s="72">
        <v>2</v>
      </c>
      <c r="B651" s="70">
        <v>13.6878627352</v>
      </c>
      <c r="C651" s="69">
        <v>-89.193897518499995</v>
      </c>
      <c r="D651" s="71">
        <v>3412.5</v>
      </c>
      <c r="E651" s="19">
        <v>0</v>
      </c>
      <c r="F651" s="19">
        <f t="shared" si="20"/>
        <v>3412.5</v>
      </c>
      <c r="G651" s="20">
        <v>102</v>
      </c>
      <c r="H651" s="19" t="str">
        <f t="shared" si="21"/>
        <v>USD</v>
      </c>
      <c r="J651" s="5"/>
      <c r="K651" s="3"/>
      <c r="L651" s="3"/>
      <c r="M651" s="3"/>
      <c r="N651" s="3"/>
      <c r="O651" s="3"/>
    </row>
    <row r="652" spans="1:15" ht="15">
      <c r="A652" s="72">
        <v>2</v>
      </c>
      <c r="B652" s="70">
        <v>13.687808588399999</v>
      </c>
      <c r="C652" s="69">
        <v>-89.193867755100001</v>
      </c>
      <c r="D652" s="71">
        <v>3412.5</v>
      </c>
      <c r="E652" s="19">
        <v>0</v>
      </c>
      <c r="F652" s="19">
        <f t="shared" si="20"/>
        <v>3412.5</v>
      </c>
      <c r="G652" s="20">
        <v>102</v>
      </c>
      <c r="H652" s="19" t="str">
        <f t="shared" si="21"/>
        <v>USD</v>
      </c>
      <c r="J652" s="5"/>
      <c r="K652" s="3"/>
      <c r="L652" s="3"/>
      <c r="M652" s="3"/>
      <c r="N652" s="3"/>
      <c r="O652" s="3"/>
    </row>
    <row r="653" spans="1:15" ht="15">
      <c r="A653" s="72">
        <v>2</v>
      </c>
      <c r="B653" s="70">
        <v>13.687780975900001</v>
      </c>
      <c r="C653" s="69">
        <v>-89.193854524599999</v>
      </c>
      <c r="D653" s="71">
        <v>3412.5</v>
      </c>
      <c r="E653" s="19">
        <v>0</v>
      </c>
      <c r="F653" s="19">
        <f t="shared" si="20"/>
        <v>3412.5</v>
      </c>
      <c r="G653" s="20">
        <v>102</v>
      </c>
      <c r="H653" s="19" t="str">
        <f t="shared" si="21"/>
        <v>USD</v>
      </c>
      <c r="J653" s="5"/>
      <c r="K653" s="3"/>
      <c r="L653" s="3"/>
      <c r="M653" s="3"/>
      <c r="N653" s="3"/>
      <c r="O653" s="3"/>
    </row>
    <row r="654" spans="1:15" ht="15">
      <c r="A654" s="72">
        <v>2</v>
      </c>
      <c r="B654" s="70">
        <v>13.687767211000001</v>
      </c>
      <c r="C654" s="69">
        <v>-89.194021817899994</v>
      </c>
      <c r="D654" s="71">
        <v>3412.5</v>
      </c>
      <c r="E654" s="19">
        <v>0</v>
      </c>
      <c r="F654" s="19">
        <f t="shared" si="20"/>
        <v>3412.5</v>
      </c>
      <c r="G654" s="20">
        <v>102</v>
      </c>
      <c r="H654" s="19" t="str">
        <f t="shared" si="21"/>
        <v>USD</v>
      </c>
      <c r="J654" s="5"/>
      <c r="K654" s="3"/>
      <c r="L654" s="3"/>
      <c r="M654" s="3"/>
      <c r="N654" s="3"/>
      <c r="O654" s="3"/>
    </row>
    <row r="655" spans="1:15" ht="15">
      <c r="A655" s="72">
        <v>2</v>
      </c>
      <c r="B655" s="70">
        <v>13.6877281355</v>
      </c>
      <c r="C655" s="69">
        <v>-89.193987235700007</v>
      </c>
      <c r="D655" s="71">
        <v>3412.5</v>
      </c>
      <c r="E655" s="19">
        <v>0</v>
      </c>
      <c r="F655" s="19">
        <f t="shared" si="20"/>
        <v>3412.5</v>
      </c>
      <c r="G655" s="20">
        <v>102</v>
      </c>
      <c r="H655" s="19" t="str">
        <f t="shared" si="21"/>
        <v>USD</v>
      </c>
      <c r="J655" s="5"/>
      <c r="K655" s="3"/>
      <c r="L655" s="3"/>
      <c r="M655" s="3"/>
      <c r="N655" s="3"/>
      <c r="O655" s="3"/>
    </row>
    <row r="656" spans="1:15" ht="15">
      <c r="A656" s="72">
        <v>2</v>
      </c>
      <c r="B656" s="70">
        <v>13.6877003498</v>
      </c>
      <c r="C656" s="69">
        <v>-89.193965505500003</v>
      </c>
      <c r="D656" s="71">
        <v>3412.5</v>
      </c>
      <c r="E656" s="19">
        <v>0</v>
      </c>
      <c r="F656" s="19">
        <f t="shared" si="20"/>
        <v>3412.5</v>
      </c>
      <c r="G656" s="20">
        <v>102</v>
      </c>
      <c r="H656" s="19" t="str">
        <f t="shared" si="21"/>
        <v>USD</v>
      </c>
      <c r="J656" s="5"/>
      <c r="K656" s="3"/>
      <c r="L656" s="3"/>
      <c r="M656" s="3"/>
      <c r="N656" s="3"/>
      <c r="O656" s="3"/>
    </row>
    <row r="657" spans="1:15" ht="15">
      <c r="A657" s="72">
        <v>2</v>
      </c>
      <c r="B657" s="70">
        <v>13.6876791384</v>
      </c>
      <c r="C657" s="69">
        <v>-89.193947142900001</v>
      </c>
      <c r="D657" s="71">
        <v>3412.5</v>
      </c>
      <c r="E657" s="19">
        <v>0</v>
      </c>
      <c r="F657" s="19">
        <f t="shared" si="20"/>
        <v>3412.5</v>
      </c>
      <c r="G657" s="20">
        <v>102</v>
      </c>
      <c r="H657" s="19" t="str">
        <f t="shared" si="21"/>
        <v>USD</v>
      </c>
      <c r="J657" s="5"/>
      <c r="K657" s="3"/>
      <c r="L657" s="3"/>
      <c r="M657" s="3"/>
      <c r="N657" s="3"/>
      <c r="O657" s="3"/>
    </row>
    <row r="658" spans="1:15" ht="15">
      <c r="A658" s="72">
        <v>2</v>
      </c>
      <c r="B658" s="70">
        <v>13.6876384936</v>
      </c>
      <c r="C658" s="69">
        <v>-89.193930904499993</v>
      </c>
      <c r="D658" s="71">
        <v>3412.5</v>
      </c>
      <c r="E658" s="19">
        <v>0</v>
      </c>
      <c r="F658" s="19">
        <f t="shared" si="20"/>
        <v>3412.5</v>
      </c>
      <c r="G658" s="20">
        <v>102</v>
      </c>
      <c r="H658" s="19" t="str">
        <f t="shared" si="21"/>
        <v>USD</v>
      </c>
      <c r="J658" s="5"/>
      <c r="K658" s="3"/>
      <c r="L658" s="3"/>
      <c r="M658" s="3"/>
      <c r="N658" s="3"/>
      <c r="O658" s="3"/>
    </row>
    <row r="659" spans="1:15" ht="15">
      <c r="A659" s="72">
        <v>2</v>
      </c>
      <c r="B659" s="70">
        <v>13.687729159</v>
      </c>
      <c r="C659" s="69">
        <v>-89.193826414200004</v>
      </c>
      <c r="D659" s="71">
        <v>3412.5</v>
      </c>
      <c r="E659" s="19">
        <v>0</v>
      </c>
      <c r="F659" s="19">
        <f t="shared" si="20"/>
        <v>3412.5</v>
      </c>
      <c r="G659" s="20">
        <v>102</v>
      </c>
      <c r="H659" s="19" t="str">
        <f t="shared" si="21"/>
        <v>USD</v>
      </c>
      <c r="J659" s="5"/>
      <c r="K659" s="3"/>
      <c r="L659" s="3"/>
      <c r="M659" s="3"/>
      <c r="N659" s="3"/>
      <c r="O659" s="3"/>
    </row>
    <row r="660" spans="1:15" ht="15">
      <c r="A660" s="72">
        <v>2</v>
      </c>
      <c r="B660" s="70">
        <v>13.6876664225</v>
      </c>
      <c r="C660" s="69">
        <v>-89.193771021399996</v>
      </c>
      <c r="D660" s="71">
        <v>3412.5</v>
      </c>
      <c r="E660" s="19">
        <v>0</v>
      </c>
      <c r="F660" s="19">
        <f t="shared" si="20"/>
        <v>3412.5</v>
      </c>
      <c r="G660" s="20">
        <v>102</v>
      </c>
      <c r="H660" s="19" t="str">
        <f t="shared" si="21"/>
        <v>USD</v>
      </c>
      <c r="J660" s="5"/>
      <c r="K660" s="3"/>
      <c r="L660" s="3"/>
      <c r="M660" s="3"/>
      <c r="N660" s="3"/>
      <c r="O660" s="3"/>
    </row>
    <row r="661" spans="1:15" ht="15">
      <c r="A661" s="72">
        <v>2</v>
      </c>
      <c r="B661" s="70">
        <v>13.687588716300001</v>
      </c>
      <c r="C661" s="69">
        <v>-89.193919596100002</v>
      </c>
      <c r="D661" s="71">
        <v>3412.5</v>
      </c>
      <c r="E661" s="19">
        <v>0</v>
      </c>
      <c r="F661" s="19">
        <f t="shared" si="20"/>
        <v>3412.5</v>
      </c>
      <c r="G661" s="20">
        <v>102</v>
      </c>
      <c r="H661" s="19" t="str">
        <f t="shared" si="21"/>
        <v>USD</v>
      </c>
      <c r="J661" s="5"/>
      <c r="K661" s="3"/>
      <c r="L661" s="3"/>
      <c r="M661" s="3"/>
      <c r="N661" s="3"/>
      <c r="O661" s="3"/>
    </row>
    <row r="662" spans="1:15" ht="15">
      <c r="A662" s="72">
        <v>2</v>
      </c>
      <c r="B662" s="70">
        <v>13.6875532047</v>
      </c>
      <c r="C662" s="69">
        <v>-89.193915163599996</v>
      </c>
      <c r="D662" s="71">
        <v>3412.5</v>
      </c>
      <c r="E662" s="19">
        <v>0</v>
      </c>
      <c r="F662" s="19">
        <f t="shared" si="20"/>
        <v>3412.5</v>
      </c>
      <c r="G662" s="20">
        <v>102</v>
      </c>
      <c r="H662" s="19" t="str">
        <f t="shared" si="21"/>
        <v>USD</v>
      </c>
      <c r="J662" s="5"/>
      <c r="K662" s="3"/>
      <c r="L662" s="3"/>
      <c r="M662" s="3"/>
      <c r="N662" s="3"/>
      <c r="O662" s="3"/>
    </row>
    <row r="663" spans="1:15" ht="15">
      <c r="A663" s="72">
        <v>2</v>
      </c>
      <c r="B663" s="70">
        <v>13.6875266638</v>
      </c>
      <c r="C663" s="69">
        <v>-89.193907070199998</v>
      </c>
      <c r="D663" s="71">
        <v>3412.5</v>
      </c>
      <c r="E663" s="19">
        <v>0</v>
      </c>
      <c r="F663" s="19">
        <f t="shared" si="20"/>
        <v>3412.5</v>
      </c>
      <c r="G663" s="20">
        <v>102</v>
      </c>
      <c r="H663" s="19" t="str">
        <f t="shared" si="21"/>
        <v>USD</v>
      </c>
      <c r="J663" s="5"/>
      <c r="K663" s="3"/>
      <c r="L663" s="3"/>
      <c r="M663" s="3"/>
      <c r="N663" s="3"/>
      <c r="O663" s="3"/>
    </row>
    <row r="664" spans="1:15" ht="15">
      <c r="A664" s="72">
        <v>2</v>
      </c>
      <c r="B664" s="70">
        <v>13.6874850542</v>
      </c>
      <c r="C664" s="69">
        <v>-89.193900431599999</v>
      </c>
      <c r="D664" s="71">
        <v>3412.5</v>
      </c>
      <c r="E664" s="19">
        <v>0</v>
      </c>
      <c r="F664" s="19">
        <f t="shared" si="20"/>
        <v>3412.5</v>
      </c>
      <c r="G664" s="20">
        <v>102</v>
      </c>
      <c r="H664" s="19" t="str">
        <f t="shared" si="21"/>
        <v>USD</v>
      </c>
      <c r="J664" s="5"/>
      <c r="K664" s="3"/>
      <c r="L664" s="3"/>
      <c r="M664" s="3"/>
      <c r="N664" s="3"/>
      <c r="O664" s="3"/>
    </row>
    <row r="665" spans="1:15" ht="15">
      <c r="A665" s="72">
        <v>2</v>
      </c>
      <c r="B665" s="70">
        <v>13.6875335546</v>
      </c>
      <c r="C665" s="69">
        <v>-89.193812783599995</v>
      </c>
      <c r="D665" s="71">
        <v>3412.5</v>
      </c>
      <c r="E665" s="19">
        <v>0</v>
      </c>
      <c r="F665" s="19">
        <f t="shared" si="20"/>
        <v>3412.5</v>
      </c>
      <c r="G665" s="20">
        <v>102</v>
      </c>
      <c r="H665" s="19" t="str">
        <f t="shared" si="21"/>
        <v>USD</v>
      </c>
      <c r="J665" s="5"/>
      <c r="K665" s="3"/>
      <c r="L665" s="3"/>
      <c r="M665" s="3"/>
      <c r="N665" s="3"/>
      <c r="O665" s="3"/>
    </row>
    <row r="666" spans="1:15" ht="15">
      <c r="A666" s="72">
        <v>2</v>
      </c>
      <c r="B666" s="70">
        <v>13.6876297625</v>
      </c>
      <c r="C666" s="69">
        <v>-89.1937303112</v>
      </c>
      <c r="D666" s="71">
        <v>3412.5</v>
      </c>
      <c r="E666" s="19">
        <v>0</v>
      </c>
      <c r="F666" s="19">
        <f t="shared" si="20"/>
        <v>3412.5</v>
      </c>
      <c r="G666" s="20">
        <v>102</v>
      </c>
      <c r="H666" s="19" t="str">
        <f t="shared" si="21"/>
        <v>USD</v>
      </c>
      <c r="J666" s="5"/>
      <c r="K666" s="3"/>
      <c r="L666" s="3"/>
      <c r="M666" s="3"/>
      <c r="N666" s="3"/>
      <c r="O666" s="3"/>
    </row>
    <row r="667" spans="1:15" ht="15">
      <c r="A667" s="72">
        <v>2</v>
      </c>
      <c r="B667" s="70">
        <v>13.687586012600001</v>
      </c>
      <c r="C667" s="69">
        <v>-89.193708627899994</v>
      </c>
      <c r="D667" s="71">
        <v>3412.5</v>
      </c>
      <c r="E667" s="19">
        <v>0</v>
      </c>
      <c r="F667" s="19">
        <f t="shared" si="20"/>
        <v>3412.5</v>
      </c>
      <c r="G667" s="20">
        <v>102</v>
      </c>
      <c r="H667" s="19" t="str">
        <f t="shared" si="21"/>
        <v>USD</v>
      </c>
      <c r="J667" s="5"/>
      <c r="K667" s="3"/>
      <c r="L667" s="3"/>
      <c r="M667" s="3"/>
      <c r="N667" s="3"/>
      <c r="O667" s="3"/>
    </row>
    <row r="668" spans="1:15" ht="15">
      <c r="A668" s="72">
        <v>2</v>
      </c>
      <c r="B668" s="70">
        <v>13.687504879900001</v>
      </c>
      <c r="C668" s="69">
        <v>-89.193780106099993</v>
      </c>
      <c r="D668" s="71">
        <v>3412.5</v>
      </c>
      <c r="E668" s="19">
        <v>0</v>
      </c>
      <c r="F668" s="19">
        <f t="shared" si="20"/>
        <v>3412.5</v>
      </c>
      <c r="G668" s="20">
        <v>102</v>
      </c>
      <c r="H668" s="19" t="str">
        <f t="shared" si="21"/>
        <v>USD</v>
      </c>
      <c r="J668" s="5"/>
      <c r="K668" s="3"/>
      <c r="L668" s="3"/>
      <c r="M668" s="3"/>
      <c r="N668" s="3"/>
      <c r="O668" s="3"/>
    </row>
    <row r="669" spans="1:15" ht="15">
      <c r="A669" s="72">
        <v>2</v>
      </c>
      <c r="B669" s="70">
        <v>13.6875049611</v>
      </c>
      <c r="C669" s="69">
        <v>-89.1936770083</v>
      </c>
      <c r="D669" s="71">
        <v>3412.5</v>
      </c>
      <c r="E669" s="19">
        <v>0</v>
      </c>
      <c r="F669" s="19">
        <f t="shared" si="20"/>
        <v>3412.5</v>
      </c>
      <c r="G669" s="20">
        <v>102</v>
      </c>
      <c r="H669" s="19" t="str">
        <f t="shared" si="21"/>
        <v>USD</v>
      </c>
      <c r="J669" s="5"/>
      <c r="K669" s="3"/>
      <c r="L669" s="3"/>
      <c r="M669" s="3"/>
      <c r="N669" s="3"/>
      <c r="O669" s="3"/>
    </row>
    <row r="670" spans="1:15" ht="15">
      <c r="A670" s="72">
        <v>2</v>
      </c>
      <c r="B670" s="70">
        <v>13.687440158699999</v>
      </c>
      <c r="C670" s="69">
        <v>-89.193891833999999</v>
      </c>
      <c r="D670" s="71">
        <v>3412.5</v>
      </c>
      <c r="E670" s="19">
        <v>0</v>
      </c>
      <c r="F670" s="19">
        <f t="shared" si="20"/>
        <v>3412.5</v>
      </c>
      <c r="G670" s="20">
        <v>102</v>
      </c>
      <c r="H670" s="19" t="str">
        <f t="shared" si="21"/>
        <v>USD</v>
      </c>
      <c r="J670" s="5"/>
      <c r="K670" s="3"/>
      <c r="L670" s="3"/>
      <c r="M670" s="3"/>
      <c r="N670" s="3"/>
      <c r="O670" s="3"/>
    </row>
    <row r="671" spans="1:15" ht="15">
      <c r="A671" s="72">
        <v>2</v>
      </c>
      <c r="B671" s="70">
        <v>13.6874189381</v>
      </c>
      <c r="C671" s="69">
        <v>-89.193885090199998</v>
      </c>
      <c r="D671" s="71">
        <v>3412.5</v>
      </c>
      <c r="E671" s="19">
        <v>0</v>
      </c>
      <c r="F671" s="19">
        <f t="shared" si="20"/>
        <v>3412.5</v>
      </c>
      <c r="G671" s="20">
        <v>102</v>
      </c>
      <c r="H671" s="19" t="str">
        <f t="shared" si="21"/>
        <v>USD</v>
      </c>
      <c r="J671" s="5"/>
      <c r="K671" s="3"/>
      <c r="L671" s="3"/>
      <c r="M671" s="3"/>
      <c r="N671" s="3"/>
      <c r="O671" s="3"/>
    </row>
    <row r="672" spans="1:15" ht="15">
      <c r="A672" s="72">
        <v>2</v>
      </c>
      <c r="B672" s="70">
        <v>13.687478243499999</v>
      </c>
      <c r="C672" s="69">
        <v>-89.193741743000004</v>
      </c>
      <c r="D672" s="71">
        <v>3412.5</v>
      </c>
      <c r="E672" s="19">
        <v>0</v>
      </c>
      <c r="F672" s="19">
        <f t="shared" si="20"/>
        <v>3412.5</v>
      </c>
      <c r="G672" s="20">
        <v>102</v>
      </c>
      <c r="H672" s="19" t="str">
        <f t="shared" si="21"/>
        <v>USD</v>
      </c>
      <c r="J672" s="5"/>
      <c r="K672" s="3"/>
      <c r="L672" s="3"/>
      <c r="M672" s="3"/>
      <c r="N672" s="3"/>
      <c r="O672" s="3"/>
    </row>
    <row r="673" spans="1:15" ht="15">
      <c r="A673" s="72">
        <v>2</v>
      </c>
      <c r="B673" s="70">
        <v>13.687751412900001</v>
      </c>
      <c r="C673" s="69">
        <v>-89.193836342799997</v>
      </c>
      <c r="D673" s="71">
        <v>3412.5</v>
      </c>
      <c r="E673" s="19">
        <v>0</v>
      </c>
      <c r="F673" s="19">
        <f t="shared" si="20"/>
        <v>3412.5</v>
      </c>
      <c r="G673" s="20">
        <v>102</v>
      </c>
      <c r="H673" s="19" t="str">
        <f t="shared" si="21"/>
        <v>USD</v>
      </c>
      <c r="J673" s="5"/>
      <c r="K673" s="3"/>
      <c r="L673" s="3"/>
      <c r="M673" s="3"/>
      <c r="N673" s="3"/>
      <c r="O673" s="3"/>
    </row>
    <row r="674" spans="1:15" ht="15">
      <c r="A674" s="72">
        <v>2</v>
      </c>
      <c r="B674" s="70">
        <v>13.6879019919</v>
      </c>
      <c r="C674" s="69">
        <v>-89.193647049899994</v>
      </c>
      <c r="D674" s="71">
        <v>3412.5</v>
      </c>
      <c r="E674" s="19">
        <v>0</v>
      </c>
      <c r="F674" s="19">
        <f t="shared" si="20"/>
        <v>3412.5</v>
      </c>
      <c r="G674" s="20">
        <v>102</v>
      </c>
      <c r="H674" s="19" t="str">
        <f t="shared" si="21"/>
        <v>USD</v>
      </c>
      <c r="J674" s="5"/>
      <c r="K674" s="3"/>
      <c r="L674" s="3"/>
      <c r="M674" s="3"/>
      <c r="N674" s="3"/>
      <c r="O674" s="3"/>
    </row>
    <row r="675" spans="1:15" ht="15">
      <c r="A675" s="72">
        <v>2</v>
      </c>
      <c r="B675" s="70">
        <v>13.6880431669</v>
      </c>
      <c r="C675" s="69">
        <v>-89.1934995875</v>
      </c>
      <c r="D675" s="71">
        <v>3412.5</v>
      </c>
      <c r="E675" s="19">
        <v>0</v>
      </c>
      <c r="F675" s="19">
        <f t="shared" si="20"/>
        <v>3412.5</v>
      </c>
      <c r="G675" s="20">
        <v>102</v>
      </c>
      <c r="H675" s="19" t="str">
        <f t="shared" si="21"/>
        <v>USD</v>
      </c>
      <c r="J675" s="5"/>
      <c r="K675" s="3"/>
      <c r="L675" s="3"/>
      <c r="M675" s="3"/>
      <c r="N675" s="3"/>
      <c r="O675" s="3"/>
    </row>
    <row r="676" spans="1:15" ht="15">
      <c r="A676" s="72">
        <v>2</v>
      </c>
      <c r="B676" s="70">
        <v>13.6880061387</v>
      </c>
      <c r="C676" s="69">
        <v>-89.193506308400003</v>
      </c>
      <c r="D676" s="71">
        <v>3412.5</v>
      </c>
      <c r="E676" s="19">
        <v>0</v>
      </c>
      <c r="F676" s="19">
        <f t="shared" si="20"/>
        <v>3412.5</v>
      </c>
      <c r="G676" s="20">
        <v>102</v>
      </c>
      <c r="H676" s="19" t="str">
        <f t="shared" si="21"/>
        <v>USD</v>
      </c>
      <c r="J676" s="5"/>
      <c r="K676" s="3"/>
      <c r="L676" s="3"/>
      <c r="M676" s="3"/>
      <c r="N676" s="3"/>
      <c r="O676" s="3"/>
    </row>
    <row r="677" spans="1:15" ht="15">
      <c r="A677" s="72">
        <v>2</v>
      </c>
      <c r="B677" s="70">
        <v>13.6880067604</v>
      </c>
      <c r="C677" s="69">
        <v>-89.193445697399994</v>
      </c>
      <c r="D677" s="71">
        <v>3412.5</v>
      </c>
      <c r="E677" s="19">
        <v>0</v>
      </c>
      <c r="F677" s="19">
        <f t="shared" si="20"/>
        <v>3412.5</v>
      </c>
      <c r="G677" s="20">
        <v>102</v>
      </c>
      <c r="H677" s="19" t="str">
        <f t="shared" si="21"/>
        <v>USD</v>
      </c>
      <c r="J677" s="5"/>
      <c r="K677" s="3"/>
      <c r="L677" s="3"/>
      <c r="M677" s="3"/>
      <c r="N677" s="3"/>
      <c r="O677" s="3"/>
    </row>
    <row r="678" spans="1:15" ht="15">
      <c r="A678" s="72">
        <v>2</v>
      </c>
      <c r="B678" s="70">
        <v>13.6880010249</v>
      </c>
      <c r="C678" s="69">
        <v>-89.193440115399994</v>
      </c>
      <c r="D678" s="71">
        <v>3412.5</v>
      </c>
      <c r="E678" s="19">
        <v>0</v>
      </c>
      <c r="F678" s="19">
        <f t="shared" si="20"/>
        <v>3412.5</v>
      </c>
      <c r="G678" s="20">
        <v>102</v>
      </c>
      <c r="H678" s="19" t="str">
        <f t="shared" si="21"/>
        <v>USD</v>
      </c>
      <c r="J678" s="5"/>
      <c r="K678" s="3"/>
      <c r="L678" s="3"/>
      <c r="M678" s="3"/>
      <c r="N678" s="3"/>
      <c r="O678" s="3"/>
    </row>
    <row r="679" spans="1:15" ht="15">
      <c r="A679" s="72">
        <v>2</v>
      </c>
      <c r="B679" s="70">
        <v>13.6879896842</v>
      </c>
      <c r="C679" s="69">
        <v>-89.1934459764</v>
      </c>
      <c r="D679" s="71">
        <v>3412.5</v>
      </c>
      <c r="E679" s="19">
        <v>0</v>
      </c>
      <c r="F679" s="19">
        <f t="shared" si="20"/>
        <v>3412.5</v>
      </c>
      <c r="G679" s="20">
        <v>102</v>
      </c>
      <c r="H679" s="19" t="str">
        <f t="shared" si="21"/>
        <v>USD</v>
      </c>
      <c r="J679" s="5"/>
      <c r="K679" s="3"/>
      <c r="L679" s="3"/>
      <c r="M679" s="3"/>
      <c r="N679" s="3"/>
      <c r="O679" s="3"/>
    </row>
    <row r="680" spans="1:15" ht="15">
      <c r="A680" s="72">
        <v>2</v>
      </c>
      <c r="B680" s="70">
        <v>13.6879876922</v>
      </c>
      <c r="C680" s="69">
        <v>-89.193439865900004</v>
      </c>
      <c r="D680" s="71">
        <v>3412.5</v>
      </c>
      <c r="E680" s="19">
        <v>0</v>
      </c>
      <c r="F680" s="19">
        <f t="shared" si="20"/>
        <v>3412.5</v>
      </c>
      <c r="G680" s="20">
        <v>102</v>
      </c>
      <c r="H680" s="19" t="str">
        <f t="shared" si="21"/>
        <v>USD</v>
      </c>
      <c r="J680" s="5"/>
      <c r="K680" s="3"/>
      <c r="L680" s="3"/>
      <c r="M680" s="3"/>
      <c r="N680" s="3"/>
      <c r="O680" s="3"/>
    </row>
    <row r="681" spans="1:15" ht="15">
      <c r="A681" s="72">
        <v>2</v>
      </c>
      <c r="B681" s="70">
        <v>13.687964498199999</v>
      </c>
      <c r="C681" s="69">
        <v>-89.193494251499999</v>
      </c>
      <c r="D681" s="71">
        <v>3412.5</v>
      </c>
      <c r="E681" s="19">
        <v>0</v>
      </c>
      <c r="F681" s="19">
        <f t="shared" si="20"/>
        <v>3412.5</v>
      </c>
      <c r="G681" s="20">
        <v>102</v>
      </c>
      <c r="H681" s="19" t="str">
        <f t="shared" si="21"/>
        <v>USD</v>
      </c>
      <c r="J681" s="5"/>
      <c r="K681" s="3"/>
      <c r="L681" s="3"/>
      <c r="M681" s="3"/>
      <c r="N681" s="3"/>
      <c r="O681" s="3"/>
    </row>
    <row r="682" spans="1:15" ht="15">
      <c r="A682" s="72">
        <v>2</v>
      </c>
      <c r="B682" s="70">
        <v>13.6879694471</v>
      </c>
      <c r="C682" s="69">
        <v>-89.193465539900004</v>
      </c>
      <c r="D682" s="71">
        <v>3412.5</v>
      </c>
      <c r="E682" s="19">
        <v>0</v>
      </c>
      <c r="F682" s="19">
        <f t="shared" si="20"/>
        <v>3412.5</v>
      </c>
      <c r="G682" s="20">
        <v>102</v>
      </c>
      <c r="H682" s="19" t="str">
        <f t="shared" si="21"/>
        <v>USD</v>
      </c>
      <c r="J682" s="5"/>
      <c r="K682" s="3"/>
      <c r="L682" s="3"/>
      <c r="M682" s="3"/>
      <c r="N682" s="3"/>
      <c r="O682" s="3"/>
    </row>
    <row r="683" spans="1:15" ht="15">
      <c r="A683" s="72">
        <v>2</v>
      </c>
      <c r="B683" s="70">
        <v>13.6879788889</v>
      </c>
      <c r="C683" s="69">
        <v>-89.1935030689</v>
      </c>
      <c r="D683" s="71">
        <v>3412.5</v>
      </c>
      <c r="E683" s="19">
        <v>0</v>
      </c>
      <c r="F683" s="19">
        <f t="shared" si="20"/>
        <v>3412.5</v>
      </c>
      <c r="G683" s="20">
        <v>102</v>
      </c>
      <c r="H683" s="19" t="str">
        <f t="shared" si="21"/>
        <v>USD</v>
      </c>
      <c r="J683" s="5"/>
      <c r="K683" s="3"/>
      <c r="L683" s="3"/>
      <c r="M683" s="3"/>
      <c r="N683" s="3"/>
      <c r="O683" s="3"/>
    </row>
    <row r="684" spans="1:15" ht="15">
      <c r="A684" s="72">
        <v>2</v>
      </c>
      <c r="B684" s="70">
        <v>13.6879730087</v>
      </c>
      <c r="C684" s="69">
        <v>-89.193437805200006</v>
      </c>
      <c r="D684" s="71">
        <v>3412.5</v>
      </c>
      <c r="E684" s="19">
        <v>0</v>
      </c>
      <c r="F684" s="19">
        <f t="shared" si="20"/>
        <v>3412.5</v>
      </c>
      <c r="G684" s="20">
        <v>102</v>
      </c>
      <c r="H684" s="19" t="str">
        <f t="shared" si="21"/>
        <v>USD</v>
      </c>
      <c r="J684" s="5"/>
      <c r="K684" s="3"/>
      <c r="L684" s="3"/>
      <c r="M684" s="3"/>
      <c r="N684" s="3"/>
      <c r="O684" s="3"/>
    </row>
    <row r="685" spans="1:15" ht="15">
      <c r="A685" s="72">
        <v>2</v>
      </c>
      <c r="B685" s="70">
        <v>13.687970994100001</v>
      </c>
      <c r="C685" s="69">
        <v>-89.193445581999995</v>
      </c>
      <c r="D685" s="71">
        <v>3412.5</v>
      </c>
      <c r="E685" s="19">
        <v>0</v>
      </c>
      <c r="F685" s="19">
        <f t="shared" si="20"/>
        <v>3412.5</v>
      </c>
      <c r="G685" s="20">
        <v>102</v>
      </c>
      <c r="H685" s="19" t="str">
        <f t="shared" si="21"/>
        <v>USD</v>
      </c>
      <c r="J685" s="5"/>
      <c r="K685" s="3"/>
      <c r="L685" s="3"/>
      <c r="M685" s="3"/>
      <c r="N685" s="3"/>
      <c r="O685" s="3"/>
    </row>
    <row r="686" spans="1:15" ht="15">
      <c r="A686" s="72">
        <v>2</v>
      </c>
      <c r="B686" s="70">
        <v>13.6879447335</v>
      </c>
      <c r="C686" s="69">
        <v>-89.193445413399999</v>
      </c>
      <c r="D686" s="71">
        <v>3412.5</v>
      </c>
      <c r="E686" s="19">
        <v>0</v>
      </c>
      <c r="F686" s="19">
        <f t="shared" si="20"/>
        <v>3412.5</v>
      </c>
      <c r="G686" s="20">
        <v>102</v>
      </c>
      <c r="H686" s="19" t="str">
        <f t="shared" si="21"/>
        <v>USD</v>
      </c>
      <c r="J686" s="5"/>
      <c r="K686" s="3"/>
      <c r="L686" s="3"/>
      <c r="M686" s="3"/>
      <c r="N686" s="3"/>
      <c r="O686" s="3"/>
    </row>
    <row r="687" spans="1:15" ht="15">
      <c r="A687" s="72">
        <v>2</v>
      </c>
      <c r="B687" s="70">
        <v>13.6879446939</v>
      </c>
      <c r="C687" s="69">
        <v>-89.193495752199993</v>
      </c>
      <c r="D687" s="71">
        <v>3412.5</v>
      </c>
      <c r="E687" s="19">
        <v>0</v>
      </c>
      <c r="F687" s="19">
        <f t="shared" si="20"/>
        <v>3412.5</v>
      </c>
      <c r="G687" s="20">
        <v>102</v>
      </c>
      <c r="H687" s="19" t="str">
        <f t="shared" si="21"/>
        <v>USD</v>
      </c>
      <c r="J687" s="5"/>
      <c r="K687" s="3"/>
      <c r="L687" s="3"/>
      <c r="M687" s="3"/>
      <c r="N687" s="3"/>
      <c r="O687" s="3"/>
    </row>
    <row r="688" spans="1:15" ht="15">
      <c r="A688" s="72">
        <v>2</v>
      </c>
      <c r="B688" s="70">
        <v>13.687935034300001</v>
      </c>
      <c r="C688" s="69">
        <v>-89.193492589100003</v>
      </c>
      <c r="D688" s="71">
        <v>3412.5</v>
      </c>
      <c r="E688" s="19">
        <v>0</v>
      </c>
      <c r="F688" s="19">
        <f t="shared" si="20"/>
        <v>3412.5</v>
      </c>
      <c r="G688" s="20">
        <v>102</v>
      </c>
      <c r="H688" s="19" t="str">
        <f t="shared" si="21"/>
        <v>USD</v>
      </c>
      <c r="J688" s="5"/>
      <c r="K688" s="3"/>
      <c r="L688" s="3"/>
      <c r="M688" s="3"/>
      <c r="N688" s="3"/>
      <c r="O688" s="3"/>
    </row>
    <row r="689" spans="1:15" ht="15">
      <c r="A689" s="72">
        <v>2</v>
      </c>
      <c r="B689" s="70">
        <v>13.6879383565</v>
      </c>
      <c r="C689" s="69">
        <v>-89.193464707199993</v>
      </c>
      <c r="D689" s="71">
        <v>3412.5</v>
      </c>
      <c r="E689" s="19">
        <v>0</v>
      </c>
      <c r="F689" s="19">
        <f t="shared" si="20"/>
        <v>3412.5</v>
      </c>
      <c r="G689" s="20">
        <v>102</v>
      </c>
      <c r="H689" s="19" t="str">
        <f t="shared" si="21"/>
        <v>USD</v>
      </c>
      <c r="J689" s="5"/>
      <c r="K689" s="3"/>
      <c r="L689" s="3"/>
      <c r="M689" s="3"/>
      <c r="N689" s="3"/>
      <c r="O689" s="3"/>
    </row>
    <row r="690" spans="1:15" ht="15">
      <c r="A690" s="72">
        <v>2</v>
      </c>
      <c r="B690" s="70">
        <v>13.6879426312</v>
      </c>
      <c r="C690" s="69">
        <v>-89.193442834300001</v>
      </c>
      <c r="D690" s="71">
        <v>3412.5</v>
      </c>
      <c r="E690" s="19">
        <v>0</v>
      </c>
      <c r="F690" s="19">
        <f t="shared" si="20"/>
        <v>3412.5</v>
      </c>
      <c r="G690" s="20">
        <v>102</v>
      </c>
      <c r="H690" s="19" t="str">
        <f t="shared" si="21"/>
        <v>USD</v>
      </c>
      <c r="J690" s="5"/>
      <c r="K690" s="3"/>
      <c r="L690" s="3"/>
      <c r="M690" s="3"/>
      <c r="N690" s="3"/>
      <c r="O690" s="3"/>
    </row>
    <row r="691" spans="1:15" ht="15">
      <c r="A691" s="72">
        <v>2</v>
      </c>
      <c r="B691" s="70">
        <v>13.6880549579</v>
      </c>
      <c r="C691" s="69">
        <v>-89.193450934400005</v>
      </c>
      <c r="D691" s="71">
        <v>3412.5</v>
      </c>
      <c r="E691" s="19">
        <v>0</v>
      </c>
      <c r="F691" s="19">
        <f t="shared" si="20"/>
        <v>3412.5</v>
      </c>
      <c r="G691" s="20">
        <v>102</v>
      </c>
      <c r="H691" s="19" t="str">
        <f t="shared" si="21"/>
        <v>USD</v>
      </c>
      <c r="J691" s="5"/>
      <c r="K691" s="3"/>
      <c r="L691" s="3"/>
      <c r="M691" s="3"/>
      <c r="N691" s="3"/>
      <c r="O691" s="3"/>
    </row>
    <row r="692" spans="1:15" ht="15">
      <c r="A692" s="72">
        <v>1</v>
      </c>
      <c r="B692" s="70">
        <v>13.6880896872</v>
      </c>
      <c r="C692" s="69">
        <v>-89.193387062100001</v>
      </c>
      <c r="D692" s="71">
        <v>3412.5</v>
      </c>
      <c r="E692" s="19">
        <v>0</v>
      </c>
      <c r="F692" s="19">
        <f t="shared" si="20"/>
        <v>3412.5</v>
      </c>
      <c r="G692" s="20">
        <v>101</v>
      </c>
      <c r="H692" s="19" t="str">
        <f t="shared" si="21"/>
        <v>USD</v>
      </c>
      <c r="J692" s="5"/>
      <c r="K692" s="3"/>
      <c r="L692" s="3"/>
      <c r="M692" s="3"/>
      <c r="N692" s="3"/>
      <c r="O692" s="3"/>
    </row>
    <row r="693" spans="1:15" ht="15">
      <c r="A693" s="72">
        <v>2</v>
      </c>
      <c r="B693" s="70">
        <v>13.687857453499999</v>
      </c>
      <c r="C693" s="69">
        <v>-89.193318934199993</v>
      </c>
      <c r="D693" s="71">
        <v>3412.5</v>
      </c>
      <c r="E693" s="19">
        <v>0</v>
      </c>
      <c r="F693" s="19">
        <f t="shared" si="20"/>
        <v>3412.5</v>
      </c>
      <c r="G693" s="20">
        <v>102</v>
      </c>
      <c r="H693" s="19" t="str">
        <f t="shared" si="21"/>
        <v>USD</v>
      </c>
      <c r="J693" s="5"/>
      <c r="K693" s="3"/>
      <c r="L693" s="3"/>
      <c r="M693" s="3"/>
      <c r="N693" s="3"/>
      <c r="O693" s="3"/>
    </row>
    <row r="694" spans="1:15" ht="15">
      <c r="A694" s="72">
        <v>1</v>
      </c>
      <c r="B694" s="70">
        <v>13.687991456900001</v>
      </c>
      <c r="C694" s="69">
        <v>-89.193303267399997</v>
      </c>
      <c r="D694" s="71">
        <v>3412.5</v>
      </c>
      <c r="E694" s="19">
        <v>0</v>
      </c>
      <c r="F694" s="19">
        <f t="shared" si="20"/>
        <v>3412.5</v>
      </c>
      <c r="G694" s="20">
        <v>101</v>
      </c>
      <c r="H694" s="19" t="str">
        <f t="shared" si="21"/>
        <v>USD</v>
      </c>
      <c r="J694" s="5"/>
      <c r="K694" s="3"/>
      <c r="L694" s="3"/>
      <c r="M694" s="3"/>
      <c r="N694" s="3"/>
      <c r="O694" s="3"/>
    </row>
    <row r="695" spans="1:15" ht="15">
      <c r="A695" s="72">
        <v>2</v>
      </c>
      <c r="B695" s="70">
        <v>13.686998646499999</v>
      </c>
      <c r="C695" s="69">
        <v>-89.193128184100004</v>
      </c>
      <c r="D695" s="71">
        <v>3412.5</v>
      </c>
      <c r="E695" s="19">
        <v>0</v>
      </c>
      <c r="F695" s="19">
        <f t="shared" si="20"/>
        <v>3412.5</v>
      </c>
      <c r="G695" s="20">
        <v>102</v>
      </c>
      <c r="H695" s="19" t="str">
        <f t="shared" si="21"/>
        <v>USD</v>
      </c>
      <c r="J695" s="5"/>
      <c r="K695" s="3"/>
      <c r="L695" s="3"/>
      <c r="M695" s="3"/>
      <c r="N695" s="3"/>
      <c r="O695" s="3"/>
    </row>
    <row r="696" spans="1:15" ht="15">
      <c r="A696" s="72">
        <v>2</v>
      </c>
      <c r="B696" s="70">
        <v>13.6869513823</v>
      </c>
      <c r="C696" s="69">
        <v>-89.193166057400006</v>
      </c>
      <c r="D696" s="71">
        <v>3412.5</v>
      </c>
      <c r="E696" s="19">
        <v>0</v>
      </c>
      <c r="F696" s="19">
        <f t="shared" si="20"/>
        <v>3412.5</v>
      </c>
      <c r="G696" s="20">
        <v>102</v>
      </c>
      <c r="H696" s="19" t="str">
        <f t="shared" si="21"/>
        <v>USD</v>
      </c>
      <c r="J696" s="5"/>
      <c r="K696" s="3"/>
      <c r="L696" s="3"/>
      <c r="M696" s="3"/>
      <c r="N696" s="3"/>
      <c r="O696" s="3"/>
    </row>
    <row r="697" spans="1:15" ht="15">
      <c r="A697" s="72">
        <v>2</v>
      </c>
      <c r="B697" s="70">
        <v>13.6868922149</v>
      </c>
      <c r="C697" s="69">
        <v>-89.193132988000002</v>
      </c>
      <c r="D697" s="71">
        <v>3412.5</v>
      </c>
      <c r="E697" s="19">
        <v>0</v>
      </c>
      <c r="F697" s="19">
        <f t="shared" si="20"/>
        <v>3412.5</v>
      </c>
      <c r="G697" s="20">
        <v>102</v>
      </c>
      <c r="H697" s="19" t="str">
        <f t="shared" si="21"/>
        <v>USD</v>
      </c>
      <c r="J697" s="5"/>
      <c r="K697" s="3"/>
      <c r="L697" s="3"/>
      <c r="M697" s="3"/>
      <c r="N697" s="3"/>
      <c r="O697" s="3"/>
    </row>
    <row r="698" spans="1:15" ht="15">
      <c r="A698" s="72">
        <v>2</v>
      </c>
      <c r="B698" s="70">
        <v>13.6868976392</v>
      </c>
      <c r="C698" s="69">
        <v>-89.193077958499998</v>
      </c>
      <c r="D698" s="71">
        <v>3412.5</v>
      </c>
      <c r="E698" s="19">
        <v>0</v>
      </c>
      <c r="F698" s="19">
        <f t="shared" si="20"/>
        <v>3412.5</v>
      </c>
      <c r="G698" s="20">
        <v>102</v>
      </c>
      <c r="H698" s="19" t="str">
        <f t="shared" si="21"/>
        <v>USD</v>
      </c>
      <c r="J698" s="5"/>
      <c r="K698" s="3"/>
      <c r="L698" s="3"/>
      <c r="M698" s="3"/>
      <c r="N698" s="3"/>
      <c r="O698" s="3"/>
    </row>
    <row r="699" spans="1:15" ht="15">
      <c r="A699" s="72">
        <v>2</v>
      </c>
      <c r="B699" s="70">
        <v>13.6869694407</v>
      </c>
      <c r="C699" s="69">
        <v>-89.193011975900006</v>
      </c>
      <c r="D699" s="71">
        <v>3412.5</v>
      </c>
      <c r="E699" s="19">
        <v>0</v>
      </c>
      <c r="F699" s="19">
        <f t="shared" si="20"/>
        <v>3412.5</v>
      </c>
      <c r="G699" s="20">
        <v>102</v>
      </c>
      <c r="H699" s="19" t="str">
        <f t="shared" si="21"/>
        <v>USD</v>
      </c>
      <c r="J699" s="5"/>
      <c r="K699" s="3"/>
      <c r="L699" s="3"/>
      <c r="M699" s="3"/>
      <c r="N699" s="3"/>
      <c r="O699" s="3"/>
    </row>
    <row r="700" spans="1:15" ht="15">
      <c r="A700" s="72">
        <v>2</v>
      </c>
      <c r="B700" s="70">
        <v>13.6869378067</v>
      </c>
      <c r="C700" s="69">
        <v>-89.192941016999995</v>
      </c>
      <c r="D700" s="71">
        <v>3412.5</v>
      </c>
      <c r="E700" s="19">
        <v>0</v>
      </c>
      <c r="F700" s="19">
        <f t="shared" si="20"/>
        <v>3412.5</v>
      </c>
      <c r="G700" s="20">
        <v>102</v>
      </c>
      <c r="H700" s="19" t="str">
        <f t="shared" si="21"/>
        <v>USD</v>
      </c>
      <c r="J700" s="5"/>
      <c r="K700" s="3"/>
      <c r="L700" s="3"/>
      <c r="M700" s="3"/>
      <c r="N700" s="3"/>
      <c r="O700" s="3"/>
    </row>
    <row r="701" spans="1:15" ht="15">
      <c r="A701" s="72">
        <v>2</v>
      </c>
      <c r="B701" s="70">
        <v>13.6869229314</v>
      </c>
      <c r="C701" s="69">
        <v>-89.192849280900006</v>
      </c>
      <c r="D701" s="71">
        <v>3412.5</v>
      </c>
      <c r="E701" s="19">
        <v>0</v>
      </c>
      <c r="F701" s="19">
        <f t="shared" si="20"/>
        <v>3412.5</v>
      </c>
      <c r="G701" s="20">
        <v>102</v>
      </c>
      <c r="H701" s="19" t="str">
        <f t="shared" si="21"/>
        <v>USD</v>
      </c>
      <c r="J701" s="5"/>
      <c r="K701" s="3"/>
      <c r="L701" s="3"/>
      <c r="M701" s="3"/>
      <c r="N701" s="3"/>
      <c r="O701" s="3"/>
    </row>
    <row r="702" spans="1:15" ht="15">
      <c r="A702" s="72">
        <v>2</v>
      </c>
      <c r="B702" s="70">
        <v>13.686877562699999</v>
      </c>
      <c r="C702" s="69">
        <v>-89.192756908700005</v>
      </c>
      <c r="D702" s="71">
        <v>3412.5</v>
      </c>
      <c r="E702" s="19">
        <v>0</v>
      </c>
      <c r="F702" s="19">
        <f t="shared" si="20"/>
        <v>3412.5</v>
      </c>
      <c r="G702" s="20">
        <v>102</v>
      </c>
      <c r="H702" s="19" t="str">
        <f t="shared" si="21"/>
        <v>USD</v>
      </c>
      <c r="J702" s="5"/>
      <c r="K702" s="3"/>
      <c r="L702" s="3"/>
      <c r="M702" s="3"/>
      <c r="N702" s="3"/>
      <c r="O702" s="3"/>
    </row>
    <row r="703" spans="1:15" ht="15">
      <c r="A703" s="72">
        <v>2</v>
      </c>
      <c r="B703" s="70">
        <v>13.6868752495</v>
      </c>
      <c r="C703" s="69">
        <v>-89.192656621400005</v>
      </c>
      <c r="D703" s="71">
        <v>3412.5</v>
      </c>
      <c r="E703" s="19">
        <v>0</v>
      </c>
      <c r="F703" s="19">
        <f t="shared" si="20"/>
        <v>3412.5</v>
      </c>
      <c r="G703" s="20">
        <v>102</v>
      </c>
      <c r="H703" s="19" t="str">
        <f t="shared" si="21"/>
        <v>USD</v>
      </c>
      <c r="J703" s="5"/>
      <c r="K703" s="3"/>
      <c r="L703" s="3"/>
      <c r="M703" s="3"/>
      <c r="N703" s="3"/>
      <c r="O703" s="3"/>
    </row>
    <row r="704" spans="1:15" ht="15">
      <c r="A704" s="72">
        <v>2</v>
      </c>
      <c r="B704" s="70">
        <v>13.686922948599999</v>
      </c>
      <c r="C704" s="69">
        <v>-89.192623150700001</v>
      </c>
      <c r="D704" s="71">
        <v>3412.5</v>
      </c>
      <c r="E704" s="19">
        <v>0</v>
      </c>
      <c r="F704" s="19">
        <f t="shared" si="20"/>
        <v>3412.5</v>
      </c>
      <c r="G704" s="20">
        <v>102</v>
      </c>
      <c r="H704" s="19" t="str">
        <f t="shared" si="21"/>
        <v>USD</v>
      </c>
      <c r="J704" s="5"/>
      <c r="K704" s="3"/>
      <c r="L704" s="3"/>
      <c r="M704" s="3"/>
      <c r="N704" s="3"/>
      <c r="O704" s="3"/>
    </row>
    <row r="705" spans="1:15" ht="15">
      <c r="A705" s="72">
        <v>2</v>
      </c>
      <c r="B705" s="70">
        <v>13.686871587400001</v>
      </c>
      <c r="C705" s="69">
        <v>-89.192548506600005</v>
      </c>
      <c r="D705" s="71">
        <v>3412.5</v>
      </c>
      <c r="E705" s="19">
        <v>0</v>
      </c>
      <c r="F705" s="19">
        <f t="shared" si="20"/>
        <v>3412.5</v>
      </c>
      <c r="G705" s="20">
        <v>102</v>
      </c>
      <c r="H705" s="19" t="str">
        <f t="shared" si="21"/>
        <v>USD</v>
      </c>
      <c r="J705" s="5"/>
      <c r="K705" s="3"/>
      <c r="L705" s="3"/>
      <c r="M705" s="3"/>
      <c r="N705" s="3"/>
      <c r="O705" s="3"/>
    </row>
    <row r="706" spans="1:15" ht="15">
      <c r="A706" s="72">
        <v>2</v>
      </c>
      <c r="B706" s="70">
        <v>13.686927236600001</v>
      </c>
      <c r="C706" s="69">
        <v>-89.1924929061</v>
      </c>
      <c r="D706" s="71">
        <v>3412.5</v>
      </c>
      <c r="E706" s="19">
        <v>0</v>
      </c>
      <c r="F706" s="19">
        <f t="shared" si="20"/>
        <v>3412.5</v>
      </c>
      <c r="G706" s="20">
        <v>102</v>
      </c>
      <c r="H706" s="19" t="str">
        <f t="shared" si="21"/>
        <v>USD</v>
      </c>
      <c r="J706" s="5"/>
      <c r="K706" s="3"/>
      <c r="L706" s="3"/>
      <c r="M706" s="3"/>
      <c r="N706" s="3"/>
      <c r="O706" s="3"/>
    </row>
    <row r="707" spans="1:15" ht="15">
      <c r="A707" s="72">
        <v>2</v>
      </c>
      <c r="B707" s="70">
        <v>13.686964357700001</v>
      </c>
      <c r="C707" s="69">
        <v>-89.192427507000005</v>
      </c>
      <c r="D707" s="71">
        <v>3412.5</v>
      </c>
      <c r="E707" s="19">
        <v>0</v>
      </c>
      <c r="F707" s="19">
        <f t="shared" ref="F707:F770" si="22">D707</f>
        <v>3412.5</v>
      </c>
      <c r="G707" s="20">
        <v>102</v>
      </c>
      <c r="H707" s="19" t="str">
        <f t="shared" ref="H707:H770" si="23">IF(OR(A707&lt;17,A707=21),"USD","people")</f>
        <v>USD</v>
      </c>
      <c r="J707" s="5"/>
      <c r="K707" s="3"/>
      <c r="L707" s="3"/>
      <c r="M707" s="3"/>
      <c r="N707" s="3"/>
      <c r="O707" s="3"/>
    </row>
    <row r="708" spans="1:15" ht="15">
      <c r="A708" s="72">
        <v>2</v>
      </c>
      <c r="B708" s="70">
        <v>13.6870193922</v>
      </c>
      <c r="C708" s="69">
        <v>-89.192392697100004</v>
      </c>
      <c r="D708" s="71">
        <v>3412.5</v>
      </c>
      <c r="E708" s="19">
        <v>0</v>
      </c>
      <c r="F708" s="19">
        <f t="shared" si="22"/>
        <v>3412.5</v>
      </c>
      <c r="G708" s="20">
        <v>102</v>
      </c>
      <c r="H708" s="19" t="str">
        <f t="shared" si="23"/>
        <v>USD</v>
      </c>
      <c r="J708" s="5"/>
      <c r="K708" s="3"/>
      <c r="L708" s="3"/>
      <c r="M708" s="3"/>
      <c r="N708" s="3"/>
      <c r="O708" s="3"/>
    </row>
    <row r="709" spans="1:15" ht="15">
      <c r="A709" s="72">
        <v>2</v>
      </c>
      <c r="B709" s="70">
        <v>13.687142617399999</v>
      </c>
      <c r="C709" s="69">
        <v>-89.193135680500006</v>
      </c>
      <c r="D709" s="71">
        <v>3412.5</v>
      </c>
      <c r="E709" s="19">
        <v>0</v>
      </c>
      <c r="F709" s="19">
        <f t="shared" si="22"/>
        <v>3412.5</v>
      </c>
      <c r="G709" s="20">
        <v>102</v>
      </c>
      <c r="H709" s="19" t="str">
        <f t="shared" si="23"/>
        <v>USD</v>
      </c>
      <c r="J709" s="5"/>
      <c r="K709" s="3"/>
      <c r="L709" s="3"/>
      <c r="M709" s="3"/>
      <c r="N709" s="3"/>
      <c r="O709" s="3"/>
    </row>
    <row r="710" spans="1:15" ht="15">
      <c r="A710" s="72">
        <v>2</v>
      </c>
      <c r="B710" s="70">
        <v>13.6871146779</v>
      </c>
      <c r="C710" s="69">
        <v>-89.193080623499995</v>
      </c>
      <c r="D710" s="71">
        <v>3412.5</v>
      </c>
      <c r="E710" s="19">
        <v>0</v>
      </c>
      <c r="F710" s="19">
        <f t="shared" si="22"/>
        <v>3412.5</v>
      </c>
      <c r="G710" s="20">
        <v>102</v>
      </c>
      <c r="H710" s="19" t="str">
        <f t="shared" si="23"/>
        <v>USD</v>
      </c>
      <c r="J710" s="5"/>
      <c r="K710" s="3"/>
      <c r="L710" s="3"/>
      <c r="M710" s="3"/>
      <c r="N710" s="3"/>
      <c r="O710" s="3"/>
    </row>
    <row r="711" spans="1:15" ht="15">
      <c r="A711" s="72">
        <v>2</v>
      </c>
      <c r="B711" s="70">
        <v>13.6871284331</v>
      </c>
      <c r="C711" s="69">
        <v>-89.193106904199993</v>
      </c>
      <c r="D711" s="71">
        <v>3412.5</v>
      </c>
      <c r="E711" s="19">
        <v>0</v>
      </c>
      <c r="F711" s="19">
        <f t="shared" si="22"/>
        <v>3412.5</v>
      </c>
      <c r="G711" s="20">
        <v>102</v>
      </c>
      <c r="H711" s="19" t="str">
        <f t="shared" si="23"/>
        <v>USD</v>
      </c>
      <c r="J711" s="5"/>
      <c r="K711" s="3"/>
      <c r="L711" s="3"/>
      <c r="M711" s="3"/>
      <c r="N711" s="3"/>
      <c r="O711" s="3"/>
    </row>
    <row r="712" spans="1:15" ht="15">
      <c r="A712" s="72">
        <v>2</v>
      </c>
      <c r="B712" s="70">
        <v>13.6872969648</v>
      </c>
      <c r="C712" s="69">
        <v>-89.193024124000004</v>
      </c>
      <c r="D712" s="71">
        <v>3412.5</v>
      </c>
      <c r="E712" s="19">
        <v>0</v>
      </c>
      <c r="F712" s="19">
        <f t="shared" si="22"/>
        <v>3412.5</v>
      </c>
      <c r="G712" s="20">
        <v>102</v>
      </c>
      <c r="H712" s="19" t="str">
        <f t="shared" si="23"/>
        <v>USD</v>
      </c>
      <c r="J712" s="5"/>
      <c r="K712" s="3"/>
      <c r="L712" s="3"/>
      <c r="M712" s="3"/>
      <c r="N712" s="3"/>
      <c r="O712" s="3"/>
    </row>
    <row r="713" spans="1:15" ht="15">
      <c r="A713" s="72">
        <v>2</v>
      </c>
      <c r="B713" s="70">
        <v>13.687366597</v>
      </c>
      <c r="C713" s="69">
        <v>-89.1929786866</v>
      </c>
      <c r="D713" s="71">
        <v>3412.5</v>
      </c>
      <c r="E713" s="19">
        <v>0</v>
      </c>
      <c r="F713" s="19">
        <f t="shared" si="22"/>
        <v>3412.5</v>
      </c>
      <c r="G713" s="20">
        <v>102</v>
      </c>
      <c r="H713" s="19" t="str">
        <f t="shared" si="23"/>
        <v>USD</v>
      </c>
      <c r="J713" s="5"/>
      <c r="K713" s="3"/>
      <c r="L713" s="3"/>
      <c r="M713" s="3"/>
      <c r="N713" s="3"/>
      <c r="O713" s="3"/>
    </row>
    <row r="714" spans="1:15" ht="15">
      <c r="A714" s="72">
        <v>2</v>
      </c>
      <c r="B714" s="70">
        <v>13.6872985395</v>
      </c>
      <c r="C714" s="69">
        <v>-89.192846547499997</v>
      </c>
      <c r="D714" s="71">
        <v>3412.5</v>
      </c>
      <c r="E714" s="19">
        <v>0</v>
      </c>
      <c r="F714" s="19">
        <f t="shared" si="22"/>
        <v>3412.5</v>
      </c>
      <c r="G714" s="20">
        <v>102</v>
      </c>
      <c r="H714" s="19" t="str">
        <f t="shared" si="23"/>
        <v>USD</v>
      </c>
      <c r="J714" s="5"/>
      <c r="K714" s="3"/>
      <c r="L714" s="3"/>
      <c r="M714" s="3"/>
      <c r="N714" s="3"/>
      <c r="O714" s="3"/>
    </row>
    <row r="715" spans="1:15" ht="15">
      <c r="A715" s="72">
        <v>2</v>
      </c>
      <c r="B715" s="70">
        <v>13.687113395500001</v>
      </c>
      <c r="C715" s="69">
        <v>-89.1928867548</v>
      </c>
      <c r="D715" s="71">
        <v>3412.5</v>
      </c>
      <c r="E715" s="19">
        <v>0</v>
      </c>
      <c r="F715" s="19">
        <f t="shared" si="22"/>
        <v>3412.5</v>
      </c>
      <c r="G715" s="20">
        <v>102</v>
      </c>
      <c r="H715" s="19" t="str">
        <f t="shared" si="23"/>
        <v>USD</v>
      </c>
      <c r="J715" s="5"/>
      <c r="K715" s="3"/>
      <c r="L715" s="3"/>
      <c r="M715" s="3"/>
      <c r="N715" s="3"/>
      <c r="O715" s="3"/>
    </row>
    <row r="716" spans="1:15" ht="15">
      <c r="A716" s="72">
        <v>2</v>
      </c>
      <c r="B716" s="70">
        <v>13.6871342926</v>
      </c>
      <c r="C716" s="69">
        <v>-89.192772299699996</v>
      </c>
      <c r="D716" s="71">
        <v>3412.5</v>
      </c>
      <c r="E716" s="19">
        <v>0</v>
      </c>
      <c r="F716" s="19">
        <f t="shared" si="22"/>
        <v>3412.5</v>
      </c>
      <c r="G716" s="20">
        <v>102</v>
      </c>
      <c r="H716" s="19" t="str">
        <f t="shared" si="23"/>
        <v>USD</v>
      </c>
      <c r="J716" s="5"/>
      <c r="K716" s="3"/>
      <c r="L716" s="3"/>
      <c r="M716" s="3"/>
      <c r="N716" s="3"/>
      <c r="O716" s="3"/>
    </row>
    <row r="717" spans="1:15" ht="15">
      <c r="A717" s="72">
        <v>2</v>
      </c>
      <c r="B717" s="70">
        <v>13.6873531675</v>
      </c>
      <c r="C717" s="69">
        <v>-89.192720380200001</v>
      </c>
      <c r="D717" s="71">
        <v>3412.5</v>
      </c>
      <c r="E717" s="19">
        <v>0</v>
      </c>
      <c r="F717" s="19">
        <f t="shared" si="22"/>
        <v>3412.5</v>
      </c>
      <c r="G717" s="20">
        <v>102</v>
      </c>
      <c r="H717" s="19" t="str">
        <f t="shared" si="23"/>
        <v>USD</v>
      </c>
      <c r="J717" s="5"/>
      <c r="K717" s="3"/>
      <c r="L717" s="3"/>
      <c r="M717" s="3"/>
      <c r="N717" s="3"/>
      <c r="O717" s="3"/>
    </row>
    <row r="718" spans="1:15" ht="15">
      <c r="A718" s="72">
        <v>2</v>
      </c>
      <c r="B718" s="70">
        <v>13.6873374789</v>
      </c>
      <c r="C718" s="69">
        <v>-89.1925970904</v>
      </c>
      <c r="D718" s="71">
        <v>3412.5</v>
      </c>
      <c r="E718" s="19">
        <v>0</v>
      </c>
      <c r="F718" s="19">
        <f t="shared" si="22"/>
        <v>3412.5</v>
      </c>
      <c r="G718" s="20">
        <v>102</v>
      </c>
      <c r="H718" s="19" t="str">
        <f t="shared" si="23"/>
        <v>USD</v>
      </c>
      <c r="J718" s="5"/>
      <c r="K718" s="3"/>
      <c r="L718" s="3"/>
      <c r="M718" s="3"/>
      <c r="N718" s="3"/>
      <c r="O718" s="3"/>
    </row>
    <row r="719" spans="1:15" ht="15">
      <c r="A719" s="72">
        <v>2</v>
      </c>
      <c r="B719" s="70">
        <v>13.6866148496</v>
      </c>
      <c r="C719" s="69">
        <v>-89.193376112799996</v>
      </c>
      <c r="D719" s="71">
        <v>3412.5</v>
      </c>
      <c r="E719" s="19">
        <v>0</v>
      </c>
      <c r="F719" s="19">
        <f t="shared" si="22"/>
        <v>3412.5</v>
      </c>
      <c r="G719" s="20">
        <v>102</v>
      </c>
      <c r="H719" s="19" t="str">
        <f t="shared" si="23"/>
        <v>USD</v>
      </c>
      <c r="J719" s="5"/>
      <c r="K719" s="3"/>
      <c r="L719" s="3"/>
      <c r="M719" s="3"/>
      <c r="N719" s="3"/>
      <c r="O719" s="3"/>
    </row>
    <row r="720" spans="1:15" ht="15">
      <c r="A720" s="72">
        <v>2</v>
      </c>
      <c r="B720" s="70">
        <v>13.686685773600001</v>
      </c>
      <c r="C720" s="69">
        <v>-89.193208867199999</v>
      </c>
      <c r="D720" s="71">
        <v>3412.5</v>
      </c>
      <c r="E720" s="19">
        <v>0</v>
      </c>
      <c r="F720" s="19">
        <f t="shared" si="22"/>
        <v>3412.5</v>
      </c>
      <c r="G720" s="20">
        <v>102</v>
      </c>
      <c r="H720" s="19" t="str">
        <f t="shared" si="23"/>
        <v>USD</v>
      </c>
      <c r="J720" s="5"/>
      <c r="K720" s="3"/>
      <c r="L720" s="3"/>
      <c r="M720" s="3"/>
      <c r="N720" s="3"/>
      <c r="O720" s="3"/>
    </row>
    <row r="721" spans="1:15" ht="15">
      <c r="A721" s="72">
        <v>2</v>
      </c>
      <c r="B721" s="70">
        <v>13.6866896106</v>
      </c>
      <c r="C721" s="69">
        <v>-89.193126166400006</v>
      </c>
      <c r="D721" s="71">
        <v>3412.5</v>
      </c>
      <c r="E721" s="19">
        <v>0</v>
      </c>
      <c r="F721" s="19">
        <f t="shared" si="22"/>
        <v>3412.5</v>
      </c>
      <c r="G721" s="20">
        <v>102</v>
      </c>
      <c r="H721" s="19" t="str">
        <f t="shared" si="23"/>
        <v>USD</v>
      </c>
      <c r="J721" s="5"/>
      <c r="K721" s="3"/>
      <c r="L721" s="3"/>
      <c r="M721" s="3"/>
      <c r="N721" s="3"/>
      <c r="O721" s="3"/>
    </row>
    <row r="722" spans="1:15" ht="15">
      <c r="A722" s="72">
        <v>2</v>
      </c>
      <c r="B722" s="70">
        <v>13.6866895893</v>
      </c>
      <c r="C722" s="69">
        <v>-89.193125674599997</v>
      </c>
      <c r="D722" s="71">
        <v>3412.5</v>
      </c>
      <c r="E722" s="19">
        <v>0</v>
      </c>
      <c r="F722" s="19">
        <f t="shared" si="22"/>
        <v>3412.5</v>
      </c>
      <c r="G722" s="20">
        <v>102</v>
      </c>
      <c r="H722" s="19" t="str">
        <f t="shared" si="23"/>
        <v>USD</v>
      </c>
      <c r="J722" s="5"/>
      <c r="K722" s="3"/>
      <c r="L722" s="3"/>
      <c r="M722" s="3"/>
      <c r="N722" s="3"/>
      <c r="O722" s="3"/>
    </row>
    <row r="723" spans="1:15" ht="15">
      <c r="A723" s="72">
        <v>2</v>
      </c>
      <c r="B723" s="70">
        <v>13.6866693799</v>
      </c>
      <c r="C723" s="69">
        <v>-89.193130804500001</v>
      </c>
      <c r="D723" s="71">
        <v>3412.5</v>
      </c>
      <c r="E723" s="19">
        <v>0</v>
      </c>
      <c r="F723" s="19">
        <f t="shared" si="22"/>
        <v>3412.5</v>
      </c>
      <c r="G723" s="20">
        <v>102</v>
      </c>
      <c r="H723" s="19" t="str">
        <f t="shared" si="23"/>
        <v>USD</v>
      </c>
      <c r="J723" s="5"/>
      <c r="K723" s="3"/>
      <c r="L723" s="3"/>
      <c r="M723" s="3"/>
      <c r="N723" s="3"/>
      <c r="O723" s="3"/>
    </row>
    <row r="724" spans="1:15" ht="15">
      <c r="A724" s="72">
        <v>2</v>
      </c>
      <c r="B724" s="70">
        <v>13.6866697462</v>
      </c>
      <c r="C724" s="69">
        <v>-89.193130448800005</v>
      </c>
      <c r="D724" s="71">
        <v>3412.5</v>
      </c>
      <c r="E724" s="19">
        <v>0</v>
      </c>
      <c r="F724" s="19">
        <f t="shared" si="22"/>
        <v>3412.5</v>
      </c>
      <c r="G724" s="20">
        <v>102</v>
      </c>
      <c r="H724" s="19" t="str">
        <f t="shared" si="23"/>
        <v>USD</v>
      </c>
      <c r="J724" s="5"/>
      <c r="K724" s="3"/>
      <c r="L724" s="3"/>
      <c r="M724" s="3"/>
      <c r="N724" s="3"/>
      <c r="O724" s="3"/>
    </row>
    <row r="725" spans="1:15" ht="15">
      <c r="A725" s="72">
        <v>2</v>
      </c>
      <c r="B725" s="70">
        <v>13.6866468254</v>
      </c>
      <c r="C725" s="69">
        <v>-89.193138619799996</v>
      </c>
      <c r="D725" s="71">
        <v>3412.5</v>
      </c>
      <c r="E725" s="19">
        <v>0</v>
      </c>
      <c r="F725" s="19">
        <f t="shared" si="22"/>
        <v>3412.5</v>
      </c>
      <c r="G725" s="20">
        <v>102</v>
      </c>
      <c r="H725" s="19" t="str">
        <f t="shared" si="23"/>
        <v>USD</v>
      </c>
      <c r="J725" s="5"/>
      <c r="K725" s="3"/>
      <c r="L725" s="3"/>
      <c r="M725" s="3"/>
      <c r="N725" s="3"/>
      <c r="O725" s="3"/>
    </row>
    <row r="726" spans="1:15" ht="15">
      <c r="A726" s="72">
        <v>2</v>
      </c>
      <c r="B726" s="70">
        <v>13.6866392</v>
      </c>
      <c r="C726" s="69">
        <v>-89.193079812400001</v>
      </c>
      <c r="D726" s="71">
        <v>3412.5</v>
      </c>
      <c r="E726" s="19">
        <v>0</v>
      </c>
      <c r="F726" s="19">
        <f t="shared" si="22"/>
        <v>3412.5</v>
      </c>
      <c r="G726" s="20">
        <v>102</v>
      </c>
      <c r="H726" s="19" t="str">
        <f t="shared" si="23"/>
        <v>USD</v>
      </c>
      <c r="J726" s="5"/>
      <c r="K726" s="3"/>
      <c r="L726" s="3"/>
      <c r="M726" s="3"/>
      <c r="N726" s="3"/>
      <c r="O726" s="3"/>
    </row>
    <row r="727" spans="1:15" ht="15">
      <c r="A727" s="72">
        <v>2</v>
      </c>
      <c r="B727" s="70">
        <v>13.6866392251</v>
      </c>
      <c r="C727" s="69">
        <v>-89.193080091599995</v>
      </c>
      <c r="D727" s="71">
        <v>3412.5</v>
      </c>
      <c r="E727" s="19">
        <v>0</v>
      </c>
      <c r="F727" s="19">
        <f t="shared" si="22"/>
        <v>3412.5</v>
      </c>
      <c r="G727" s="20">
        <v>102</v>
      </c>
      <c r="H727" s="19" t="str">
        <f t="shared" si="23"/>
        <v>USD</v>
      </c>
      <c r="J727" s="5"/>
      <c r="K727" s="3"/>
      <c r="L727" s="3"/>
      <c r="M727" s="3"/>
      <c r="N727" s="3"/>
      <c r="O727" s="3"/>
    </row>
    <row r="728" spans="1:15" ht="15">
      <c r="A728" s="72">
        <v>2</v>
      </c>
      <c r="B728" s="70">
        <v>13.686666323300001</v>
      </c>
      <c r="C728" s="69">
        <v>-89.193078361100007</v>
      </c>
      <c r="D728" s="71">
        <v>3412.5</v>
      </c>
      <c r="E728" s="19">
        <v>0</v>
      </c>
      <c r="F728" s="19">
        <f t="shared" si="22"/>
        <v>3412.5</v>
      </c>
      <c r="G728" s="20">
        <v>102</v>
      </c>
      <c r="H728" s="19" t="str">
        <f t="shared" si="23"/>
        <v>USD</v>
      </c>
      <c r="J728" s="5"/>
      <c r="K728" s="3"/>
      <c r="L728" s="3"/>
      <c r="M728" s="3"/>
      <c r="N728" s="3"/>
      <c r="O728" s="3"/>
    </row>
    <row r="729" spans="1:15" ht="15">
      <c r="A729" s="72">
        <v>2</v>
      </c>
      <c r="B729" s="70">
        <v>13.6866663192</v>
      </c>
      <c r="C729" s="69">
        <v>-89.193077836000001</v>
      </c>
      <c r="D729" s="71">
        <v>3412.5</v>
      </c>
      <c r="E729" s="19">
        <v>0</v>
      </c>
      <c r="F729" s="19">
        <f t="shared" si="22"/>
        <v>3412.5</v>
      </c>
      <c r="G729" s="20">
        <v>102</v>
      </c>
      <c r="H729" s="19" t="str">
        <f t="shared" si="23"/>
        <v>USD</v>
      </c>
      <c r="J729" s="5"/>
      <c r="K729" s="3"/>
      <c r="L729" s="3"/>
      <c r="M729" s="3"/>
      <c r="N729" s="3"/>
      <c r="O729" s="3"/>
    </row>
    <row r="730" spans="1:15" ht="15">
      <c r="A730" s="72">
        <v>2</v>
      </c>
      <c r="B730" s="70">
        <v>13.6866232041</v>
      </c>
      <c r="C730" s="69">
        <v>-89.1931432513</v>
      </c>
      <c r="D730" s="71">
        <v>3412.5</v>
      </c>
      <c r="E730" s="19">
        <v>0</v>
      </c>
      <c r="F730" s="19">
        <f t="shared" si="22"/>
        <v>3412.5</v>
      </c>
      <c r="G730" s="20">
        <v>102</v>
      </c>
      <c r="H730" s="19" t="str">
        <f t="shared" si="23"/>
        <v>USD</v>
      </c>
      <c r="J730" s="5"/>
      <c r="K730" s="3"/>
      <c r="L730" s="3"/>
      <c r="M730" s="3"/>
      <c r="N730" s="3"/>
      <c r="O730" s="3"/>
    </row>
    <row r="731" spans="1:15" ht="15">
      <c r="A731" s="72">
        <v>2</v>
      </c>
      <c r="B731" s="70">
        <v>13.686615933300001</v>
      </c>
      <c r="C731" s="69">
        <v>-89.193112811299997</v>
      </c>
      <c r="D731" s="71">
        <v>3412.5</v>
      </c>
      <c r="E731" s="19">
        <v>0</v>
      </c>
      <c r="F731" s="19">
        <f t="shared" si="22"/>
        <v>3412.5</v>
      </c>
      <c r="G731" s="20">
        <v>102</v>
      </c>
      <c r="H731" s="19" t="str">
        <f t="shared" si="23"/>
        <v>USD</v>
      </c>
      <c r="J731" s="5"/>
      <c r="K731" s="3"/>
      <c r="L731" s="3"/>
      <c r="M731" s="3"/>
      <c r="N731" s="3"/>
      <c r="O731" s="3"/>
    </row>
    <row r="732" spans="1:15" ht="15">
      <c r="A732" s="72">
        <v>2</v>
      </c>
      <c r="B732" s="70">
        <v>13.686609387700001</v>
      </c>
      <c r="C732" s="69">
        <v>-89.193078646199993</v>
      </c>
      <c r="D732" s="71">
        <v>3412.5</v>
      </c>
      <c r="E732" s="19">
        <v>0</v>
      </c>
      <c r="F732" s="19">
        <f t="shared" si="22"/>
        <v>3412.5</v>
      </c>
      <c r="G732" s="20">
        <v>102</v>
      </c>
      <c r="H732" s="19" t="str">
        <f t="shared" si="23"/>
        <v>USD</v>
      </c>
      <c r="J732" s="5"/>
      <c r="K732" s="3"/>
      <c r="L732" s="3"/>
      <c r="M732" s="3"/>
      <c r="N732" s="3"/>
      <c r="O732" s="3"/>
    </row>
    <row r="733" spans="1:15" ht="15">
      <c r="A733" s="72">
        <v>2</v>
      </c>
      <c r="B733" s="70">
        <v>13.686608657600001</v>
      </c>
      <c r="C733" s="69">
        <v>-89.193078291600003</v>
      </c>
      <c r="D733" s="71">
        <v>3412.5</v>
      </c>
      <c r="E733" s="19">
        <v>0</v>
      </c>
      <c r="F733" s="19">
        <f t="shared" si="22"/>
        <v>3412.5</v>
      </c>
      <c r="G733" s="20">
        <v>102</v>
      </c>
      <c r="H733" s="19" t="str">
        <f t="shared" si="23"/>
        <v>USD</v>
      </c>
      <c r="J733" s="5"/>
      <c r="K733" s="3"/>
      <c r="L733" s="3"/>
      <c r="M733" s="3"/>
      <c r="N733" s="3"/>
      <c r="O733" s="3"/>
    </row>
    <row r="734" spans="1:15" ht="15">
      <c r="A734" s="72">
        <v>2</v>
      </c>
      <c r="B734" s="70">
        <v>13.686545584499999</v>
      </c>
      <c r="C734" s="69">
        <v>-89.192986300599998</v>
      </c>
      <c r="D734" s="71">
        <v>3412.5</v>
      </c>
      <c r="E734" s="19">
        <v>0</v>
      </c>
      <c r="F734" s="19">
        <f t="shared" si="22"/>
        <v>3412.5</v>
      </c>
      <c r="G734" s="20">
        <v>102</v>
      </c>
      <c r="H734" s="19" t="str">
        <f t="shared" si="23"/>
        <v>USD</v>
      </c>
      <c r="J734" s="5"/>
      <c r="K734" s="3"/>
      <c r="L734" s="3"/>
      <c r="M734" s="3"/>
      <c r="N734" s="3"/>
      <c r="O734" s="3"/>
    </row>
    <row r="735" spans="1:15" ht="15">
      <c r="A735" s="72">
        <v>2</v>
      </c>
      <c r="B735" s="70">
        <v>13.686590446</v>
      </c>
      <c r="C735" s="69">
        <v>-89.192978443399994</v>
      </c>
      <c r="D735" s="71">
        <v>3412.5</v>
      </c>
      <c r="E735" s="19">
        <v>0</v>
      </c>
      <c r="F735" s="19">
        <f t="shared" si="22"/>
        <v>3412.5</v>
      </c>
      <c r="G735" s="20">
        <v>102</v>
      </c>
      <c r="H735" s="19" t="str">
        <f t="shared" si="23"/>
        <v>USD</v>
      </c>
      <c r="J735" s="5"/>
      <c r="K735" s="3"/>
      <c r="L735" s="3"/>
      <c r="M735" s="3"/>
      <c r="N735" s="3"/>
      <c r="O735" s="3"/>
    </row>
    <row r="736" spans="1:15" ht="15">
      <c r="A736" s="72">
        <v>2</v>
      </c>
      <c r="B736" s="70">
        <v>13.686485014100001</v>
      </c>
      <c r="C736" s="69">
        <v>-89.193111172900004</v>
      </c>
      <c r="D736" s="71">
        <v>3412.5</v>
      </c>
      <c r="E736" s="19">
        <v>0</v>
      </c>
      <c r="F736" s="19">
        <f t="shared" si="22"/>
        <v>3412.5</v>
      </c>
      <c r="G736" s="20">
        <v>102</v>
      </c>
      <c r="H736" s="19" t="str">
        <f t="shared" si="23"/>
        <v>USD</v>
      </c>
      <c r="J736" s="5"/>
      <c r="K736" s="3"/>
      <c r="L736" s="3"/>
      <c r="M736" s="3"/>
      <c r="N736" s="3"/>
      <c r="O736" s="3"/>
    </row>
    <row r="737" spans="1:15" ht="15">
      <c r="A737" s="72">
        <v>1</v>
      </c>
      <c r="B737" s="70">
        <v>13.686519972099999</v>
      </c>
      <c r="C737" s="69">
        <v>-89.193181792299995</v>
      </c>
      <c r="D737" s="71">
        <v>3412.5</v>
      </c>
      <c r="E737" s="19">
        <v>0</v>
      </c>
      <c r="F737" s="19">
        <f t="shared" si="22"/>
        <v>3412.5</v>
      </c>
      <c r="G737" s="20">
        <v>101</v>
      </c>
      <c r="H737" s="19" t="str">
        <f t="shared" si="23"/>
        <v>USD</v>
      </c>
      <c r="J737" s="5"/>
      <c r="K737" s="3"/>
      <c r="L737" s="3"/>
      <c r="M737" s="3"/>
      <c r="N737" s="3"/>
      <c r="O737" s="3"/>
    </row>
    <row r="738" spans="1:15" ht="15">
      <c r="A738" s="72">
        <v>2</v>
      </c>
      <c r="B738" s="70">
        <v>13.6865499728</v>
      </c>
      <c r="C738" s="69">
        <v>-89.193230760500001</v>
      </c>
      <c r="D738" s="71">
        <v>3412.5</v>
      </c>
      <c r="E738" s="19">
        <v>0</v>
      </c>
      <c r="F738" s="19">
        <f t="shared" si="22"/>
        <v>3412.5</v>
      </c>
      <c r="G738" s="20">
        <v>102</v>
      </c>
      <c r="H738" s="19" t="str">
        <f t="shared" si="23"/>
        <v>USD</v>
      </c>
      <c r="J738" s="5"/>
      <c r="K738" s="3"/>
      <c r="L738" s="3"/>
      <c r="M738" s="3"/>
      <c r="N738" s="3"/>
      <c r="O738" s="3"/>
    </row>
    <row r="739" spans="1:15" ht="15">
      <c r="A739" s="72">
        <v>2</v>
      </c>
      <c r="B739" s="70">
        <v>13.686475315899999</v>
      </c>
      <c r="C739" s="69">
        <v>-89.193005278399994</v>
      </c>
      <c r="D739" s="71">
        <v>3412.5</v>
      </c>
      <c r="E739" s="19">
        <v>0</v>
      </c>
      <c r="F739" s="19">
        <f t="shared" si="22"/>
        <v>3412.5</v>
      </c>
      <c r="G739" s="20">
        <v>102</v>
      </c>
      <c r="H739" s="19" t="str">
        <f t="shared" si="23"/>
        <v>USD</v>
      </c>
      <c r="J739" s="5"/>
      <c r="K739" s="3"/>
      <c r="L739" s="3"/>
      <c r="M739" s="3"/>
      <c r="N739" s="3"/>
      <c r="O739" s="3"/>
    </row>
    <row r="740" spans="1:15" ht="15">
      <c r="A740" s="72">
        <v>2</v>
      </c>
      <c r="B740" s="70">
        <v>13.686414317700001</v>
      </c>
      <c r="C740" s="69">
        <v>-89.192897777699997</v>
      </c>
      <c r="D740" s="71">
        <v>3412.5</v>
      </c>
      <c r="E740" s="19">
        <v>0</v>
      </c>
      <c r="F740" s="19">
        <f t="shared" si="22"/>
        <v>3412.5</v>
      </c>
      <c r="G740" s="20">
        <v>102</v>
      </c>
      <c r="H740" s="19" t="str">
        <f t="shared" si="23"/>
        <v>USD</v>
      </c>
      <c r="J740" s="5"/>
      <c r="K740" s="3"/>
      <c r="L740" s="3"/>
      <c r="M740" s="3"/>
      <c r="N740" s="3"/>
      <c r="O740" s="3"/>
    </row>
    <row r="741" spans="1:15" ht="15">
      <c r="A741" s="72">
        <v>2</v>
      </c>
      <c r="B741" s="70">
        <v>13.6864589052</v>
      </c>
      <c r="C741" s="69">
        <v>-89.192888812800007</v>
      </c>
      <c r="D741" s="71">
        <v>3412.5</v>
      </c>
      <c r="E741" s="19">
        <v>0</v>
      </c>
      <c r="F741" s="19">
        <f t="shared" si="22"/>
        <v>3412.5</v>
      </c>
      <c r="G741" s="20">
        <v>102</v>
      </c>
      <c r="H741" s="19" t="str">
        <f t="shared" si="23"/>
        <v>USD</v>
      </c>
      <c r="J741" s="5"/>
      <c r="K741" s="3"/>
      <c r="L741" s="3"/>
      <c r="M741" s="3"/>
      <c r="N741" s="3"/>
      <c r="O741" s="3"/>
    </row>
    <row r="742" spans="1:15" ht="15">
      <c r="A742" s="72">
        <v>2</v>
      </c>
      <c r="B742" s="70">
        <v>13.686509855100001</v>
      </c>
      <c r="C742" s="69">
        <v>-89.192878151299993</v>
      </c>
      <c r="D742" s="71">
        <v>3412.5</v>
      </c>
      <c r="E742" s="19">
        <v>0</v>
      </c>
      <c r="F742" s="19">
        <f t="shared" si="22"/>
        <v>3412.5</v>
      </c>
      <c r="G742" s="20">
        <v>102</v>
      </c>
      <c r="H742" s="19" t="str">
        <f t="shared" si="23"/>
        <v>USD</v>
      </c>
      <c r="J742" s="5"/>
      <c r="K742" s="3"/>
      <c r="L742" s="3"/>
      <c r="M742" s="3"/>
      <c r="N742" s="3"/>
      <c r="O742" s="3"/>
    </row>
    <row r="743" spans="1:15" ht="15">
      <c r="A743" s="72">
        <v>2</v>
      </c>
      <c r="B743" s="70">
        <v>13.6865594149</v>
      </c>
      <c r="C743" s="69">
        <v>-89.192871734600004</v>
      </c>
      <c r="D743" s="71">
        <v>3412.5</v>
      </c>
      <c r="E743" s="19">
        <v>0</v>
      </c>
      <c r="F743" s="19">
        <f t="shared" si="22"/>
        <v>3412.5</v>
      </c>
      <c r="G743" s="20">
        <v>102</v>
      </c>
      <c r="H743" s="19" t="str">
        <f t="shared" si="23"/>
        <v>USD</v>
      </c>
      <c r="J743" s="5"/>
      <c r="K743" s="3"/>
      <c r="L743" s="3"/>
      <c r="M743" s="3"/>
      <c r="N743" s="3"/>
      <c r="O743" s="3"/>
    </row>
    <row r="744" spans="1:15" ht="15">
      <c r="A744" s="72">
        <v>2</v>
      </c>
      <c r="B744" s="70">
        <v>13.6865711241</v>
      </c>
      <c r="C744" s="69">
        <v>-89.1928224336</v>
      </c>
      <c r="D744" s="71">
        <v>3412.5</v>
      </c>
      <c r="E744" s="19">
        <v>0</v>
      </c>
      <c r="F744" s="19">
        <f t="shared" si="22"/>
        <v>3412.5</v>
      </c>
      <c r="G744" s="20">
        <v>102</v>
      </c>
      <c r="H744" s="19" t="str">
        <f t="shared" si="23"/>
        <v>USD</v>
      </c>
      <c r="J744" s="5"/>
      <c r="K744" s="3"/>
      <c r="L744" s="3"/>
      <c r="M744" s="3"/>
      <c r="N744" s="3"/>
      <c r="O744" s="3"/>
    </row>
    <row r="745" spans="1:15" ht="15">
      <c r="A745" s="72">
        <v>2</v>
      </c>
      <c r="B745" s="70">
        <v>13.686523860199999</v>
      </c>
      <c r="C745" s="69">
        <v>-89.192830026199999</v>
      </c>
      <c r="D745" s="71">
        <v>3412.5</v>
      </c>
      <c r="E745" s="19">
        <v>0</v>
      </c>
      <c r="F745" s="19">
        <f t="shared" si="22"/>
        <v>3412.5</v>
      </c>
      <c r="G745" s="20">
        <v>102</v>
      </c>
      <c r="H745" s="19" t="str">
        <f t="shared" si="23"/>
        <v>USD</v>
      </c>
      <c r="J745" s="5"/>
      <c r="K745" s="3"/>
      <c r="L745" s="3"/>
      <c r="M745" s="3"/>
      <c r="N745" s="3"/>
      <c r="O745" s="3"/>
    </row>
    <row r="746" spans="1:15" ht="15">
      <c r="A746" s="72">
        <v>1</v>
      </c>
      <c r="B746" s="70">
        <v>13.686693630100001</v>
      </c>
      <c r="C746" s="69">
        <v>-89.1929041832</v>
      </c>
      <c r="D746" s="71">
        <v>3412.5</v>
      </c>
      <c r="E746" s="19">
        <v>0</v>
      </c>
      <c r="F746" s="19">
        <f t="shared" si="22"/>
        <v>3412.5</v>
      </c>
      <c r="G746" s="20">
        <v>101</v>
      </c>
      <c r="H746" s="19" t="str">
        <f t="shared" si="23"/>
        <v>USD</v>
      </c>
      <c r="J746" s="5"/>
      <c r="K746" s="3"/>
      <c r="L746" s="3"/>
      <c r="M746" s="3"/>
      <c r="N746" s="3"/>
      <c r="O746" s="3"/>
    </row>
    <row r="747" spans="1:15" ht="15">
      <c r="A747" s="72">
        <v>2</v>
      </c>
      <c r="B747" s="70">
        <v>13.6867157517</v>
      </c>
      <c r="C747" s="69">
        <v>-89.1927532853</v>
      </c>
      <c r="D747" s="71">
        <v>3412.5</v>
      </c>
      <c r="E747" s="19">
        <v>0</v>
      </c>
      <c r="F747" s="19">
        <f t="shared" si="22"/>
        <v>3412.5</v>
      </c>
      <c r="G747" s="20">
        <v>102</v>
      </c>
      <c r="H747" s="19" t="str">
        <f t="shared" si="23"/>
        <v>USD</v>
      </c>
      <c r="J747" s="5"/>
      <c r="K747" s="3"/>
      <c r="L747" s="3"/>
      <c r="M747" s="3"/>
      <c r="N747" s="3"/>
      <c r="O747" s="3"/>
    </row>
    <row r="748" spans="1:15" ht="15">
      <c r="A748" s="72">
        <v>2</v>
      </c>
      <c r="B748" s="70">
        <v>13.6866268154</v>
      </c>
      <c r="C748" s="69">
        <v>-89.1927108971</v>
      </c>
      <c r="D748" s="71">
        <v>3412.5</v>
      </c>
      <c r="E748" s="19">
        <v>0</v>
      </c>
      <c r="F748" s="19">
        <f t="shared" si="22"/>
        <v>3412.5</v>
      </c>
      <c r="G748" s="20">
        <v>102</v>
      </c>
      <c r="H748" s="19" t="str">
        <f t="shared" si="23"/>
        <v>USD</v>
      </c>
      <c r="J748" s="5"/>
      <c r="K748" s="3"/>
      <c r="L748" s="3"/>
      <c r="M748" s="3"/>
      <c r="N748" s="3"/>
      <c r="O748" s="3"/>
    </row>
    <row r="749" spans="1:15" ht="15">
      <c r="A749" s="72">
        <v>2</v>
      </c>
      <c r="B749" s="70">
        <v>13.6866512419</v>
      </c>
      <c r="C749" s="69">
        <v>-89.192670802999999</v>
      </c>
      <c r="D749" s="71">
        <v>3412.5</v>
      </c>
      <c r="E749" s="19">
        <v>0</v>
      </c>
      <c r="F749" s="19">
        <f t="shared" si="22"/>
        <v>3412.5</v>
      </c>
      <c r="G749" s="20">
        <v>102</v>
      </c>
      <c r="H749" s="19" t="str">
        <f t="shared" si="23"/>
        <v>USD</v>
      </c>
      <c r="J749" s="5"/>
      <c r="K749" s="3"/>
      <c r="L749" s="3"/>
      <c r="M749" s="3"/>
      <c r="N749" s="3"/>
      <c r="O749" s="3"/>
    </row>
    <row r="750" spans="1:15" ht="15">
      <c r="A750" s="72">
        <v>2</v>
      </c>
      <c r="B750" s="70">
        <v>13.686394532</v>
      </c>
      <c r="C750" s="69">
        <v>-89.192833983200003</v>
      </c>
      <c r="D750" s="71">
        <v>3412.5</v>
      </c>
      <c r="E750" s="19">
        <v>0</v>
      </c>
      <c r="F750" s="19">
        <f t="shared" si="22"/>
        <v>3412.5</v>
      </c>
      <c r="G750" s="20">
        <v>102</v>
      </c>
      <c r="H750" s="19" t="str">
        <f t="shared" si="23"/>
        <v>USD</v>
      </c>
      <c r="J750" s="5"/>
      <c r="K750" s="3"/>
      <c r="L750" s="3"/>
      <c r="M750" s="3"/>
      <c r="N750" s="3"/>
      <c r="O750" s="3"/>
    </row>
    <row r="751" spans="1:15" ht="15">
      <c r="A751" s="72">
        <v>2</v>
      </c>
      <c r="B751" s="70">
        <v>13.686446274</v>
      </c>
      <c r="C751" s="69">
        <v>-89.192728360100006</v>
      </c>
      <c r="D751" s="71">
        <v>3412.5</v>
      </c>
      <c r="E751" s="19">
        <v>0</v>
      </c>
      <c r="F751" s="19">
        <f t="shared" si="22"/>
        <v>3412.5</v>
      </c>
      <c r="G751" s="20">
        <v>102</v>
      </c>
      <c r="H751" s="19" t="str">
        <f t="shared" si="23"/>
        <v>USD</v>
      </c>
      <c r="J751" s="5"/>
      <c r="K751" s="3"/>
      <c r="L751" s="3"/>
      <c r="M751" s="3"/>
      <c r="N751" s="3"/>
      <c r="O751" s="3"/>
    </row>
    <row r="752" spans="1:15" ht="15">
      <c r="A752" s="72">
        <v>2</v>
      </c>
      <c r="B752" s="70">
        <v>13.686534182300001</v>
      </c>
      <c r="C752" s="69">
        <v>-89.192707518999995</v>
      </c>
      <c r="D752" s="71">
        <v>3412.5</v>
      </c>
      <c r="E752" s="19">
        <v>0</v>
      </c>
      <c r="F752" s="19">
        <f t="shared" si="22"/>
        <v>3412.5</v>
      </c>
      <c r="G752" s="20">
        <v>102</v>
      </c>
      <c r="H752" s="19" t="str">
        <f t="shared" si="23"/>
        <v>USD</v>
      </c>
      <c r="J752" s="5"/>
      <c r="K752" s="3"/>
      <c r="L752" s="3"/>
      <c r="M752" s="3"/>
      <c r="N752" s="3"/>
      <c r="O752" s="3"/>
    </row>
    <row r="753" spans="1:15" ht="15">
      <c r="A753" s="72">
        <v>2</v>
      </c>
      <c r="B753" s="70">
        <v>13.686713511500001</v>
      </c>
      <c r="C753" s="69">
        <v>-89.193068202199996</v>
      </c>
      <c r="D753" s="71">
        <v>3412.5</v>
      </c>
      <c r="E753" s="19">
        <v>0</v>
      </c>
      <c r="F753" s="19">
        <f t="shared" si="22"/>
        <v>3412.5</v>
      </c>
      <c r="G753" s="20">
        <v>102</v>
      </c>
      <c r="H753" s="19" t="str">
        <f t="shared" si="23"/>
        <v>USD</v>
      </c>
      <c r="J753" s="5"/>
      <c r="K753" s="3"/>
      <c r="L753" s="3"/>
      <c r="M753" s="3"/>
      <c r="N753" s="3"/>
      <c r="O753" s="3"/>
    </row>
    <row r="754" spans="1:15" ht="15">
      <c r="A754" s="72">
        <v>3</v>
      </c>
      <c r="B754" s="70">
        <v>13.687222048600001</v>
      </c>
      <c r="C754" s="69">
        <v>-89.193079409999996</v>
      </c>
      <c r="D754" s="71">
        <v>3412.5</v>
      </c>
      <c r="E754" s="19">
        <v>0</v>
      </c>
      <c r="F754" s="19">
        <f t="shared" si="22"/>
        <v>3412.5</v>
      </c>
      <c r="G754" s="20">
        <v>103</v>
      </c>
      <c r="H754" s="19" t="str">
        <f t="shared" si="23"/>
        <v>USD</v>
      </c>
      <c r="J754" s="5"/>
      <c r="K754" s="3"/>
      <c r="L754" s="3"/>
      <c r="M754" s="3"/>
      <c r="N754" s="3"/>
      <c r="O754" s="3"/>
    </row>
    <row r="755" spans="1:15" ht="15">
      <c r="A755" s="72">
        <v>3</v>
      </c>
      <c r="B755" s="70">
        <v>13.6872155579</v>
      </c>
      <c r="C755" s="69">
        <v>-89.192816217200004</v>
      </c>
      <c r="D755" s="71">
        <v>3412.5</v>
      </c>
      <c r="E755" s="19">
        <v>0</v>
      </c>
      <c r="F755" s="19">
        <f t="shared" si="22"/>
        <v>3412.5</v>
      </c>
      <c r="G755" s="20">
        <v>103</v>
      </c>
      <c r="H755" s="19" t="str">
        <f t="shared" si="23"/>
        <v>USD</v>
      </c>
      <c r="J755" s="5"/>
      <c r="K755" s="3"/>
      <c r="L755" s="3"/>
      <c r="M755" s="3"/>
      <c r="N755" s="3"/>
      <c r="O755" s="3"/>
    </row>
    <row r="756" spans="1:15" ht="15">
      <c r="A756" s="72">
        <v>3</v>
      </c>
      <c r="B756" s="70">
        <v>13.687139327200001</v>
      </c>
      <c r="C756" s="69">
        <v>-89.192736905299995</v>
      </c>
      <c r="D756" s="71">
        <v>3412.5</v>
      </c>
      <c r="E756" s="19">
        <v>0</v>
      </c>
      <c r="F756" s="19">
        <f t="shared" si="22"/>
        <v>3412.5</v>
      </c>
      <c r="G756" s="20">
        <v>103</v>
      </c>
      <c r="H756" s="19" t="str">
        <f t="shared" si="23"/>
        <v>USD</v>
      </c>
      <c r="J756" s="5"/>
      <c r="K756" s="3"/>
      <c r="L756" s="3"/>
      <c r="M756" s="3"/>
      <c r="N756" s="3"/>
      <c r="O756" s="3"/>
    </row>
    <row r="757" spans="1:15" ht="15">
      <c r="A757" s="72">
        <v>3</v>
      </c>
      <c r="B757" s="70">
        <v>13.687142225100001</v>
      </c>
      <c r="C757" s="69">
        <v>-89.1927011967</v>
      </c>
      <c r="D757" s="71">
        <v>3412.5</v>
      </c>
      <c r="E757" s="19">
        <v>0</v>
      </c>
      <c r="F757" s="19">
        <f t="shared" si="22"/>
        <v>3412.5</v>
      </c>
      <c r="G757" s="20">
        <v>103</v>
      </c>
      <c r="H757" s="19" t="str">
        <f t="shared" si="23"/>
        <v>USD</v>
      </c>
      <c r="J757" s="5"/>
      <c r="K757" s="3"/>
      <c r="L757" s="3"/>
      <c r="M757" s="3"/>
      <c r="N757" s="3"/>
      <c r="O757" s="3"/>
    </row>
    <row r="758" spans="1:15" ht="15">
      <c r="A758" s="72">
        <v>3</v>
      </c>
      <c r="B758" s="70">
        <v>13.686991364300001</v>
      </c>
      <c r="C758" s="69">
        <v>-89.192636254500002</v>
      </c>
      <c r="D758" s="71">
        <v>3412.5</v>
      </c>
      <c r="E758" s="19">
        <v>0</v>
      </c>
      <c r="F758" s="19">
        <f t="shared" si="22"/>
        <v>3412.5</v>
      </c>
      <c r="G758" s="20">
        <v>103</v>
      </c>
      <c r="H758" s="19" t="str">
        <f t="shared" si="23"/>
        <v>USD</v>
      </c>
      <c r="J758" s="5"/>
      <c r="K758" s="3"/>
      <c r="L758" s="3"/>
      <c r="M758" s="3"/>
      <c r="N758" s="3"/>
      <c r="O758" s="3"/>
    </row>
    <row r="759" spans="1:15" ht="15">
      <c r="A759" s="72">
        <v>3</v>
      </c>
      <c r="B759" s="70">
        <v>13.687317413000001</v>
      </c>
      <c r="C759" s="69">
        <v>-89.192566744299995</v>
      </c>
      <c r="D759" s="71">
        <v>3412.5</v>
      </c>
      <c r="E759" s="19">
        <v>0</v>
      </c>
      <c r="F759" s="19">
        <f t="shared" si="22"/>
        <v>3412.5</v>
      </c>
      <c r="G759" s="20">
        <v>103</v>
      </c>
      <c r="H759" s="19" t="str">
        <f t="shared" si="23"/>
        <v>USD</v>
      </c>
      <c r="J759" s="5"/>
      <c r="K759" s="3"/>
      <c r="L759" s="3"/>
      <c r="M759" s="3"/>
      <c r="N759" s="3"/>
      <c r="O759" s="3"/>
    </row>
    <row r="760" spans="1:15" ht="15">
      <c r="A760" s="72">
        <v>3</v>
      </c>
      <c r="B760" s="70">
        <v>13.6867129032</v>
      </c>
      <c r="C760" s="69">
        <v>-89.193123440799994</v>
      </c>
      <c r="D760" s="71">
        <v>3412.5</v>
      </c>
      <c r="E760" s="19">
        <v>0</v>
      </c>
      <c r="F760" s="19">
        <f t="shared" si="22"/>
        <v>3412.5</v>
      </c>
      <c r="G760" s="20">
        <v>103</v>
      </c>
      <c r="H760" s="19" t="str">
        <f t="shared" si="23"/>
        <v>USD</v>
      </c>
      <c r="J760" s="5"/>
      <c r="K760" s="3"/>
      <c r="L760" s="3"/>
      <c r="M760" s="3"/>
      <c r="N760" s="3"/>
      <c r="O760" s="3"/>
    </row>
    <row r="761" spans="1:15" ht="15">
      <c r="A761" s="72">
        <v>3</v>
      </c>
      <c r="B761" s="70">
        <v>13.6867135278</v>
      </c>
      <c r="C761" s="69">
        <v>-89.193122311699994</v>
      </c>
      <c r="D761" s="71">
        <v>3412.5</v>
      </c>
      <c r="E761" s="19">
        <v>0</v>
      </c>
      <c r="F761" s="19">
        <f t="shared" si="22"/>
        <v>3412.5</v>
      </c>
      <c r="G761" s="20">
        <v>103</v>
      </c>
      <c r="H761" s="19" t="str">
        <f t="shared" si="23"/>
        <v>USD</v>
      </c>
      <c r="J761" s="5"/>
      <c r="K761" s="3"/>
      <c r="L761" s="3"/>
      <c r="M761" s="3"/>
      <c r="N761" s="3"/>
      <c r="O761" s="3"/>
    </row>
    <row r="762" spans="1:15" ht="15">
      <c r="A762" s="72">
        <v>3</v>
      </c>
      <c r="B762" s="70">
        <v>13.6866469218</v>
      </c>
      <c r="C762" s="69">
        <v>-89.193133237699996</v>
      </c>
      <c r="D762" s="71">
        <v>3412.5</v>
      </c>
      <c r="E762" s="19">
        <v>0</v>
      </c>
      <c r="F762" s="19">
        <f t="shared" si="22"/>
        <v>3412.5</v>
      </c>
      <c r="G762" s="20">
        <v>103</v>
      </c>
      <c r="H762" s="19" t="str">
        <f t="shared" si="23"/>
        <v>USD</v>
      </c>
      <c r="J762" s="5"/>
      <c r="K762" s="3"/>
      <c r="L762" s="3"/>
      <c r="M762" s="3"/>
      <c r="N762" s="3"/>
      <c r="O762" s="3"/>
    </row>
    <row r="763" spans="1:15" ht="15">
      <c r="A763" s="72">
        <v>3</v>
      </c>
      <c r="B763" s="70">
        <v>13.686622847300001</v>
      </c>
      <c r="C763" s="69">
        <v>-89.193139455199997</v>
      </c>
      <c r="D763" s="71">
        <v>3412.5</v>
      </c>
      <c r="E763" s="19">
        <v>0</v>
      </c>
      <c r="F763" s="19">
        <f t="shared" si="22"/>
        <v>3412.5</v>
      </c>
      <c r="G763" s="20">
        <v>103</v>
      </c>
      <c r="H763" s="19" t="str">
        <f t="shared" si="23"/>
        <v>USD</v>
      </c>
      <c r="J763" s="5"/>
      <c r="K763" s="3"/>
      <c r="L763" s="3"/>
      <c r="M763" s="3"/>
      <c r="N763" s="3"/>
      <c r="O763" s="3"/>
    </row>
    <row r="764" spans="1:15" ht="15">
      <c r="A764" s="72">
        <v>2</v>
      </c>
      <c r="B764" s="70">
        <v>13.679280759799999</v>
      </c>
      <c r="C764" s="69">
        <v>-89.193107798699998</v>
      </c>
      <c r="D764" s="71">
        <v>0</v>
      </c>
      <c r="E764" s="19">
        <v>0</v>
      </c>
      <c r="F764" s="19">
        <f t="shared" si="22"/>
        <v>0</v>
      </c>
      <c r="G764" s="20">
        <v>102</v>
      </c>
      <c r="H764" s="19" t="str">
        <f t="shared" si="23"/>
        <v>USD</v>
      </c>
      <c r="J764" s="5"/>
      <c r="K764" s="3"/>
      <c r="L764" s="3"/>
      <c r="M764" s="3"/>
      <c r="N764" s="3"/>
      <c r="O764" s="3"/>
    </row>
    <row r="765" spans="1:15" ht="15">
      <c r="A765" s="72">
        <v>2</v>
      </c>
      <c r="B765" s="70">
        <v>13.6791528146</v>
      </c>
      <c r="C765" s="69">
        <v>-89.193099132399993</v>
      </c>
      <c r="D765" s="71">
        <v>0</v>
      </c>
      <c r="E765" s="19">
        <v>0</v>
      </c>
      <c r="F765" s="19">
        <f t="shared" si="22"/>
        <v>0</v>
      </c>
      <c r="G765" s="20">
        <v>102</v>
      </c>
      <c r="H765" s="19" t="str">
        <f t="shared" si="23"/>
        <v>USD</v>
      </c>
      <c r="J765" s="5"/>
      <c r="K765" s="3"/>
      <c r="L765" s="3"/>
      <c r="M765" s="3"/>
      <c r="N765" s="3"/>
      <c r="O765" s="3"/>
    </row>
    <row r="766" spans="1:15" ht="15">
      <c r="A766" s="72">
        <v>2</v>
      </c>
      <c r="B766" s="70">
        <v>13.6797309992</v>
      </c>
      <c r="C766" s="69">
        <v>-89.1930238538</v>
      </c>
      <c r="D766" s="71">
        <v>0</v>
      </c>
      <c r="E766" s="19">
        <v>0</v>
      </c>
      <c r="F766" s="19">
        <f t="shared" si="22"/>
        <v>0</v>
      </c>
      <c r="G766" s="20">
        <v>102</v>
      </c>
      <c r="H766" s="19" t="str">
        <f t="shared" si="23"/>
        <v>USD</v>
      </c>
      <c r="J766" s="5"/>
      <c r="K766" s="3"/>
      <c r="L766" s="3"/>
      <c r="M766" s="3"/>
      <c r="N766" s="3"/>
      <c r="O766" s="3"/>
    </row>
    <row r="767" spans="1:15" ht="15">
      <c r="A767" s="72">
        <v>2</v>
      </c>
      <c r="B767" s="70">
        <v>13.679592296599999</v>
      </c>
      <c r="C767" s="69">
        <v>-89.193009064600005</v>
      </c>
      <c r="D767" s="71">
        <v>0</v>
      </c>
      <c r="E767" s="19">
        <v>0</v>
      </c>
      <c r="F767" s="19">
        <f t="shared" si="22"/>
        <v>0</v>
      </c>
      <c r="G767" s="20">
        <v>102</v>
      </c>
      <c r="H767" s="19" t="str">
        <f t="shared" si="23"/>
        <v>USD</v>
      </c>
      <c r="J767" s="5"/>
      <c r="K767" s="3"/>
      <c r="L767" s="3"/>
      <c r="M767" s="3"/>
      <c r="N767" s="3"/>
      <c r="O767" s="3"/>
    </row>
    <row r="768" spans="1:15" ht="15">
      <c r="A768" s="72">
        <v>2</v>
      </c>
      <c r="B768" s="70">
        <v>13.679499503900001</v>
      </c>
      <c r="C768" s="69">
        <v>-89.193005075299993</v>
      </c>
      <c r="D768" s="71">
        <v>0</v>
      </c>
      <c r="E768" s="19">
        <v>0</v>
      </c>
      <c r="F768" s="19">
        <f t="shared" si="22"/>
        <v>0</v>
      </c>
      <c r="G768" s="20">
        <v>102</v>
      </c>
      <c r="H768" s="19" t="str">
        <f t="shared" si="23"/>
        <v>USD</v>
      </c>
      <c r="J768" s="5"/>
      <c r="K768" s="3"/>
      <c r="L768" s="3"/>
      <c r="M768" s="3"/>
      <c r="N768" s="3"/>
      <c r="O768" s="3"/>
    </row>
    <row r="769" spans="1:15" ht="15">
      <c r="A769" s="72">
        <v>2</v>
      </c>
      <c r="B769" s="70">
        <v>13.679356974899999</v>
      </c>
      <c r="C769" s="69">
        <v>-89.192989304999998</v>
      </c>
      <c r="D769" s="71">
        <v>0</v>
      </c>
      <c r="E769" s="19">
        <v>0</v>
      </c>
      <c r="F769" s="19">
        <f t="shared" si="22"/>
        <v>0</v>
      </c>
      <c r="G769" s="20">
        <v>102</v>
      </c>
      <c r="H769" s="19" t="str">
        <f t="shared" si="23"/>
        <v>USD</v>
      </c>
      <c r="J769" s="5"/>
      <c r="K769" s="3"/>
      <c r="L769" s="3"/>
      <c r="M769" s="3"/>
      <c r="N769" s="3"/>
      <c r="O769" s="3"/>
    </row>
    <row r="770" spans="1:15" ht="15">
      <c r="A770" s="72">
        <v>2</v>
      </c>
      <c r="B770" s="70">
        <v>13.688236144099999</v>
      </c>
      <c r="C770" s="69">
        <v>-89.192371768000001</v>
      </c>
      <c r="D770" s="71">
        <v>0</v>
      </c>
      <c r="E770" s="19">
        <v>0</v>
      </c>
      <c r="F770" s="19">
        <f t="shared" si="22"/>
        <v>0</v>
      </c>
      <c r="G770" s="20">
        <v>102</v>
      </c>
      <c r="H770" s="19" t="str">
        <f t="shared" si="23"/>
        <v>USD</v>
      </c>
      <c r="J770" s="5"/>
      <c r="K770" s="3"/>
      <c r="L770" s="3"/>
      <c r="M770" s="3"/>
      <c r="N770" s="3"/>
      <c r="O770" s="3"/>
    </row>
    <row r="771" spans="1:15" ht="15">
      <c r="A771" s="72">
        <v>2</v>
      </c>
      <c r="B771" s="70">
        <v>13.6883108187</v>
      </c>
      <c r="C771" s="69">
        <v>-89.192300405899999</v>
      </c>
      <c r="D771" s="71">
        <v>0</v>
      </c>
      <c r="E771" s="19">
        <v>0</v>
      </c>
      <c r="F771" s="19">
        <f t="shared" ref="F771:F834" si="24">D771</f>
        <v>0</v>
      </c>
      <c r="G771" s="20">
        <v>102</v>
      </c>
      <c r="H771" s="19" t="str">
        <f t="shared" ref="H771:H834" si="25">IF(OR(A771&lt;17,A771=21),"USD","people")</f>
        <v>USD</v>
      </c>
      <c r="J771" s="5"/>
      <c r="K771" s="3"/>
      <c r="L771" s="3"/>
      <c r="M771" s="3"/>
      <c r="N771" s="3"/>
      <c r="O771" s="3"/>
    </row>
    <row r="772" spans="1:15" ht="15">
      <c r="A772" s="72">
        <v>2</v>
      </c>
      <c r="B772" s="70">
        <v>13.6884313919</v>
      </c>
      <c r="C772" s="69">
        <v>-89.192255498700007</v>
      </c>
      <c r="D772" s="71">
        <v>0</v>
      </c>
      <c r="E772" s="19">
        <v>0</v>
      </c>
      <c r="F772" s="19">
        <f t="shared" si="24"/>
        <v>0</v>
      </c>
      <c r="G772" s="20">
        <v>102</v>
      </c>
      <c r="H772" s="19" t="str">
        <f t="shared" si="25"/>
        <v>USD</v>
      </c>
      <c r="J772" s="5"/>
      <c r="K772" s="3"/>
      <c r="L772" s="3"/>
      <c r="M772" s="3"/>
      <c r="N772" s="3"/>
      <c r="O772" s="3"/>
    </row>
    <row r="773" spans="1:15" ht="15">
      <c r="A773" s="72">
        <v>2</v>
      </c>
      <c r="B773" s="70">
        <v>13.6884745215</v>
      </c>
      <c r="C773" s="69">
        <v>-89.192152801800006</v>
      </c>
      <c r="D773" s="71">
        <v>0</v>
      </c>
      <c r="E773" s="19">
        <v>0</v>
      </c>
      <c r="F773" s="19">
        <f t="shared" si="24"/>
        <v>0</v>
      </c>
      <c r="G773" s="20">
        <v>102</v>
      </c>
      <c r="H773" s="19" t="str">
        <f t="shared" si="25"/>
        <v>USD</v>
      </c>
      <c r="J773" s="5"/>
      <c r="K773" s="3"/>
      <c r="L773" s="3"/>
      <c r="M773" s="3"/>
      <c r="N773" s="3"/>
      <c r="O773" s="3"/>
    </row>
    <row r="774" spans="1:15" ht="15">
      <c r="A774" s="72">
        <v>2</v>
      </c>
      <c r="B774" s="70">
        <v>13.6885664065</v>
      </c>
      <c r="C774" s="69">
        <v>-89.192093195200002</v>
      </c>
      <c r="D774" s="71">
        <v>0</v>
      </c>
      <c r="E774" s="19">
        <v>0</v>
      </c>
      <c r="F774" s="19">
        <f t="shared" si="24"/>
        <v>0</v>
      </c>
      <c r="G774" s="20">
        <v>102</v>
      </c>
      <c r="H774" s="19" t="str">
        <f t="shared" si="25"/>
        <v>USD</v>
      </c>
      <c r="J774" s="5"/>
      <c r="K774" s="3"/>
      <c r="L774" s="3"/>
      <c r="M774" s="3"/>
      <c r="N774" s="3"/>
      <c r="O774" s="3"/>
    </row>
    <row r="775" spans="1:15" ht="15">
      <c r="A775" s="72">
        <v>2</v>
      </c>
      <c r="B775" s="70">
        <v>13.68834661</v>
      </c>
      <c r="C775" s="69">
        <v>-89.192284781200001</v>
      </c>
      <c r="D775" s="71">
        <v>0</v>
      </c>
      <c r="E775" s="19">
        <v>0</v>
      </c>
      <c r="F775" s="19">
        <f t="shared" si="24"/>
        <v>0</v>
      </c>
      <c r="G775" s="20">
        <v>102</v>
      </c>
      <c r="H775" s="19" t="str">
        <f t="shared" si="25"/>
        <v>USD</v>
      </c>
      <c r="J775" s="5"/>
      <c r="K775" s="3"/>
      <c r="L775" s="3"/>
      <c r="M775" s="3"/>
      <c r="N775" s="3"/>
      <c r="O775" s="3"/>
    </row>
    <row r="776" spans="1:15" ht="15">
      <c r="A776" s="72">
        <v>1</v>
      </c>
      <c r="B776" s="70">
        <v>13.6882822721</v>
      </c>
      <c r="C776" s="69">
        <v>-89.192327925100003</v>
      </c>
      <c r="D776" s="71">
        <v>0</v>
      </c>
      <c r="E776" s="19">
        <v>0</v>
      </c>
      <c r="F776" s="19">
        <f t="shared" si="24"/>
        <v>0</v>
      </c>
      <c r="G776" s="20">
        <v>101</v>
      </c>
      <c r="H776" s="19" t="str">
        <f t="shared" si="25"/>
        <v>USD</v>
      </c>
      <c r="J776" s="5"/>
      <c r="K776" s="3"/>
      <c r="L776" s="3"/>
      <c r="M776" s="3"/>
      <c r="N776" s="3"/>
      <c r="O776" s="3"/>
    </row>
    <row r="777" spans="1:15" ht="15">
      <c r="A777" s="72">
        <v>2</v>
      </c>
      <c r="B777" s="70">
        <v>13.6886771498</v>
      </c>
      <c r="C777" s="69">
        <v>-89.192002764700007</v>
      </c>
      <c r="D777" s="71">
        <v>0</v>
      </c>
      <c r="E777" s="19">
        <v>0</v>
      </c>
      <c r="F777" s="19">
        <f t="shared" si="24"/>
        <v>0</v>
      </c>
      <c r="G777" s="20">
        <v>102</v>
      </c>
      <c r="H777" s="19" t="str">
        <f t="shared" si="25"/>
        <v>USD</v>
      </c>
      <c r="J777" s="5"/>
      <c r="K777" s="3"/>
      <c r="L777" s="3"/>
      <c r="M777" s="3"/>
      <c r="N777" s="3"/>
      <c r="O777" s="3"/>
    </row>
    <row r="778" spans="1:15" ht="15">
      <c r="A778" s="72">
        <v>2</v>
      </c>
      <c r="B778" s="70">
        <v>13.688679341</v>
      </c>
      <c r="C778" s="69">
        <v>-89.191952868399994</v>
      </c>
      <c r="D778" s="71">
        <v>0</v>
      </c>
      <c r="E778" s="19">
        <v>0</v>
      </c>
      <c r="F778" s="19">
        <f t="shared" si="24"/>
        <v>0</v>
      </c>
      <c r="G778" s="20">
        <v>102</v>
      </c>
      <c r="H778" s="19" t="str">
        <f t="shared" si="25"/>
        <v>USD</v>
      </c>
      <c r="J778" s="5"/>
      <c r="K778" s="3"/>
      <c r="L778" s="3"/>
      <c r="M778" s="3"/>
      <c r="N778" s="3"/>
      <c r="O778" s="3"/>
    </row>
    <row r="779" spans="1:15" ht="15">
      <c r="A779" s="72">
        <v>1</v>
      </c>
      <c r="B779" s="70">
        <v>13.68860682</v>
      </c>
      <c r="C779" s="69">
        <v>-89.1920225195</v>
      </c>
      <c r="D779" s="71">
        <v>0</v>
      </c>
      <c r="E779" s="19">
        <v>0</v>
      </c>
      <c r="F779" s="19">
        <f t="shared" si="24"/>
        <v>0</v>
      </c>
      <c r="G779" s="20">
        <v>101</v>
      </c>
      <c r="H779" s="19" t="str">
        <f t="shared" si="25"/>
        <v>USD</v>
      </c>
      <c r="J779" s="5"/>
      <c r="K779" s="3"/>
      <c r="L779" s="3"/>
      <c r="M779" s="3"/>
      <c r="N779" s="3"/>
      <c r="O779" s="3"/>
    </row>
    <row r="780" spans="1:15" ht="15">
      <c r="A780" s="72">
        <v>1</v>
      </c>
      <c r="B780" s="70">
        <v>13.6887669368</v>
      </c>
      <c r="C780" s="69">
        <v>-89.191873689100007</v>
      </c>
      <c r="D780" s="71">
        <v>0</v>
      </c>
      <c r="E780" s="19">
        <v>0</v>
      </c>
      <c r="F780" s="19">
        <f t="shared" si="24"/>
        <v>0</v>
      </c>
      <c r="G780" s="20">
        <v>101</v>
      </c>
      <c r="H780" s="19" t="str">
        <f t="shared" si="25"/>
        <v>USD</v>
      </c>
      <c r="J780" s="5"/>
      <c r="K780" s="3"/>
      <c r="L780" s="3"/>
      <c r="M780" s="3"/>
      <c r="N780" s="3"/>
      <c r="O780" s="3"/>
    </row>
    <row r="781" spans="1:15" ht="15">
      <c r="A781" s="72">
        <v>1</v>
      </c>
      <c r="B781" s="70">
        <v>13.6879726629</v>
      </c>
      <c r="C781" s="69">
        <v>-89.192593016100005</v>
      </c>
      <c r="D781" s="71">
        <v>0</v>
      </c>
      <c r="E781" s="19">
        <v>0</v>
      </c>
      <c r="F781" s="19">
        <f t="shared" si="24"/>
        <v>0</v>
      </c>
      <c r="G781" s="20">
        <v>101</v>
      </c>
      <c r="H781" s="19" t="str">
        <f t="shared" si="25"/>
        <v>USD</v>
      </c>
      <c r="J781" s="5"/>
      <c r="K781" s="3"/>
      <c r="L781" s="3"/>
      <c r="M781" s="3"/>
      <c r="N781" s="3"/>
      <c r="O781" s="3"/>
    </row>
    <row r="782" spans="1:15" ht="15">
      <c r="A782" s="72">
        <v>2</v>
      </c>
      <c r="B782" s="70">
        <v>13.6878135755</v>
      </c>
      <c r="C782" s="69">
        <v>-89.192789995200002</v>
      </c>
      <c r="D782" s="71">
        <v>0</v>
      </c>
      <c r="E782" s="19">
        <v>0</v>
      </c>
      <c r="F782" s="19">
        <f t="shared" si="24"/>
        <v>0</v>
      </c>
      <c r="G782" s="20">
        <v>102</v>
      </c>
      <c r="H782" s="19" t="str">
        <f t="shared" si="25"/>
        <v>USD</v>
      </c>
      <c r="J782" s="5"/>
      <c r="K782" s="3"/>
      <c r="L782" s="3"/>
      <c r="M782" s="3"/>
      <c r="N782" s="3"/>
      <c r="O782" s="3"/>
    </row>
    <row r="783" spans="1:15" ht="15">
      <c r="A783" s="72">
        <v>2</v>
      </c>
      <c r="B783" s="70">
        <v>13.6877798068</v>
      </c>
      <c r="C783" s="69">
        <v>-89.192821178299994</v>
      </c>
      <c r="D783" s="71">
        <v>0</v>
      </c>
      <c r="E783" s="19">
        <v>0</v>
      </c>
      <c r="F783" s="19">
        <f t="shared" si="24"/>
        <v>0</v>
      </c>
      <c r="G783" s="20">
        <v>102</v>
      </c>
      <c r="H783" s="19" t="str">
        <f t="shared" si="25"/>
        <v>USD</v>
      </c>
      <c r="J783" s="5"/>
      <c r="K783" s="3"/>
      <c r="L783" s="3"/>
      <c r="M783" s="3"/>
      <c r="N783" s="3"/>
      <c r="O783" s="3"/>
    </row>
    <row r="784" spans="1:15" ht="15">
      <c r="A784" s="72">
        <v>2</v>
      </c>
      <c r="B784" s="70">
        <v>13.687837328800001</v>
      </c>
      <c r="C784" s="69">
        <v>-89.192766989999996</v>
      </c>
      <c r="D784" s="71">
        <v>0</v>
      </c>
      <c r="E784" s="19">
        <v>0</v>
      </c>
      <c r="F784" s="19">
        <f t="shared" si="24"/>
        <v>0</v>
      </c>
      <c r="G784" s="20">
        <v>102</v>
      </c>
      <c r="H784" s="19" t="str">
        <f t="shared" si="25"/>
        <v>USD</v>
      </c>
      <c r="J784" s="5"/>
      <c r="K784" s="3"/>
      <c r="L784" s="3"/>
      <c r="M784" s="3"/>
      <c r="N784" s="3"/>
      <c r="O784" s="3"/>
    </row>
    <row r="785" spans="1:15" ht="15">
      <c r="A785" s="72">
        <v>2</v>
      </c>
      <c r="B785" s="70">
        <v>13.687863050400001</v>
      </c>
      <c r="C785" s="69">
        <v>-89.192721369400005</v>
      </c>
      <c r="D785" s="71">
        <v>0</v>
      </c>
      <c r="E785" s="19">
        <v>0</v>
      </c>
      <c r="F785" s="19">
        <f t="shared" si="24"/>
        <v>0</v>
      </c>
      <c r="G785" s="20">
        <v>102</v>
      </c>
      <c r="H785" s="19" t="str">
        <f t="shared" si="25"/>
        <v>USD</v>
      </c>
      <c r="J785" s="5"/>
      <c r="K785" s="3"/>
      <c r="L785" s="3"/>
      <c r="M785" s="3"/>
      <c r="N785" s="3"/>
      <c r="O785" s="3"/>
    </row>
    <row r="786" spans="1:15" ht="15">
      <c r="A786" s="72">
        <v>2</v>
      </c>
      <c r="B786" s="70">
        <v>13.6878916397</v>
      </c>
      <c r="C786" s="69">
        <v>-89.192678539300005</v>
      </c>
      <c r="D786" s="71">
        <v>0</v>
      </c>
      <c r="E786" s="19">
        <v>0</v>
      </c>
      <c r="F786" s="19">
        <f t="shared" si="24"/>
        <v>0</v>
      </c>
      <c r="G786" s="20">
        <v>102</v>
      </c>
      <c r="H786" s="19" t="str">
        <f t="shared" si="25"/>
        <v>USD</v>
      </c>
      <c r="J786" s="5"/>
      <c r="K786" s="3"/>
      <c r="L786" s="3"/>
      <c r="M786" s="3"/>
      <c r="N786" s="3"/>
      <c r="O786" s="3"/>
    </row>
    <row r="787" spans="1:15" ht="15">
      <c r="A787" s="72">
        <v>2</v>
      </c>
      <c r="B787" s="70">
        <v>13.688189017799999</v>
      </c>
      <c r="C787" s="69">
        <v>-89.192416105600003</v>
      </c>
      <c r="D787" s="71">
        <v>0</v>
      </c>
      <c r="E787" s="19">
        <v>0</v>
      </c>
      <c r="F787" s="19">
        <f t="shared" si="24"/>
        <v>0</v>
      </c>
      <c r="G787" s="20">
        <v>102</v>
      </c>
      <c r="H787" s="19" t="str">
        <f t="shared" si="25"/>
        <v>USD</v>
      </c>
      <c r="J787" s="5"/>
      <c r="K787" s="3"/>
      <c r="L787" s="3"/>
      <c r="M787" s="3"/>
      <c r="N787" s="3"/>
      <c r="O787" s="3"/>
    </row>
    <row r="788" spans="1:15" ht="15">
      <c r="A788" s="72">
        <v>2</v>
      </c>
      <c r="B788" s="70">
        <v>13.688138047100001</v>
      </c>
      <c r="C788" s="69">
        <v>-89.1924534881</v>
      </c>
      <c r="D788" s="71">
        <v>0</v>
      </c>
      <c r="E788" s="19">
        <v>0</v>
      </c>
      <c r="F788" s="19">
        <f t="shared" si="24"/>
        <v>0</v>
      </c>
      <c r="G788" s="20">
        <v>102</v>
      </c>
      <c r="H788" s="19" t="str">
        <f t="shared" si="25"/>
        <v>USD</v>
      </c>
      <c r="J788" s="5"/>
      <c r="K788" s="3"/>
      <c r="L788" s="3"/>
      <c r="M788" s="3"/>
      <c r="N788" s="3"/>
      <c r="O788" s="3"/>
    </row>
    <row r="789" spans="1:15" ht="15">
      <c r="A789" s="72">
        <v>2</v>
      </c>
      <c r="B789" s="70">
        <v>13.688087789200001</v>
      </c>
      <c r="C789" s="69">
        <v>-89.192496006499994</v>
      </c>
      <c r="D789" s="71">
        <v>0</v>
      </c>
      <c r="E789" s="19">
        <v>0</v>
      </c>
      <c r="F789" s="19">
        <f t="shared" si="24"/>
        <v>0</v>
      </c>
      <c r="G789" s="20">
        <v>102</v>
      </c>
      <c r="H789" s="19" t="str">
        <f t="shared" si="25"/>
        <v>USD</v>
      </c>
      <c r="J789" s="5"/>
      <c r="K789" s="3"/>
      <c r="L789" s="3"/>
      <c r="M789" s="3"/>
      <c r="N789" s="3"/>
      <c r="O789" s="3"/>
    </row>
    <row r="790" spans="1:15" ht="15">
      <c r="A790" s="72">
        <v>2</v>
      </c>
      <c r="B790" s="70">
        <v>13.688029634499999</v>
      </c>
      <c r="C790" s="69">
        <v>-89.192544389700004</v>
      </c>
      <c r="D790" s="71">
        <v>0</v>
      </c>
      <c r="E790" s="19">
        <v>0</v>
      </c>
      <c r="F790" s="19">
        <f t="shared" si="24"/>
        <v>0</v>
      </c>
      <c r="G790" s="20">
        <v>102</v>
      </c>
      <c r="H790" s="19" t="str">
        <f t="shared" si="25"/>
        <v>USD</v>
      </c>
      <c r="J790" s="5"/>
      <c r="K790" s="3"/>
      <c r="L790" s="3"/>
      <c r="M790" s="3"/>
      <c r="N790" s="3"/>
      <c r="O790" s="3"/>
    </row>
    <row r="791" spans="1:15" ht="15">
      <c r="A791" s="72">
        <v>2</v>
      </c>
      <c r="B791" s="70">
        <v>13.6869455358</v>
      </c>
      <c r="C791" s="69">
        <v>-89.193904646899995</v>
      </c>
      <c r="D791" s="71">
        <v>0</v>
      </c>
      <c r="E791" s="19">
        <v>0</v>
      </c>
      <c r="F791" s="19">
        <f t="shared" si="24"/>
        <v>0</v>
      </c>
      <c r="G791" s="20">
        <v>102</v>
      </c>
      <c r="H791" s="19" t="str">
        <f t="shared" si="25"/>
        <v>USD</v>
      </c>
      <c r="J791" s="5"/>
      <c r="K791" s="3"/>
      <c r="L791" s="3"/>
      <c r="M791" s="3"/>
      <c r="N791" s="3"/>
      <c r="O791" s="3"/>
    </row>
    <row r="792" spans="1:15" ht="15">
      <c r="A792" s="72">
        <v>2</v>
      </c>
      <c r="B792" s="70">
        <v>13.6868977457</v>
      </c>
      <c r="C792" s="69">
        <v>-89.1938503075</v>
      </c>
      <c r="D792" s="71">
        <v>0</v>
      </c>
      <c r="E792" s="19">
        <v>0</v>
      </c>
      <c r="F792" s="19">
        <f t="shared" si="24"/>
        <v>0</v>
      </c>
      <c r="G792" s="20">
        <v>102</v>
      </c>
      <c r="H792" s="19" t="str">
        <f t="shared" si="25"/>
        <v>USD</v>
      </c>
      <c r="J792" s="5"/>
      <c r="K792" s="3"/>
      <c r="L792" s="3"/>
      <c r="M792" s="3"/>
      <c r="N792" s="3"/>
      <c r="O792" s="3"/>
    </row>
    <row r="793" spans="1:15" ht="15">
      <c r="A793" s="72">
        <v>2</v>
      </c>
      <c r="B793" s="70">
        <v>13.6868546822</v>
      </c>
      <c r="C793" s="69">
        <v>-89.193868371999997</v>
      </c>
      <c r="D793" s="71">
        <v>0</v>
      </c>
      <c r="E793" s="19">
        <v>0</v>
      </c>
      <c r="F793" s="19">
        <f t="shared" si="24"/>
        <v>0</v>
      </c>
      <c r="G793" s="20">
        <v>102</v>
      </c>
      <c r="H793" s="19" t="str">
        <f t="shared" si="25"/>
        <v>USD</v>
      </c>
      <c r="J793" s="5"/>
      <c r="K793" s="3"/>
      <c r="L793" s="3"/>
      <c r="M793" s="3"/>
      <c r="N793" s="3"/>
      <c r="O793" s="3"/>
    </row>
    <row r="794" spans="1:15" ht="15">
      <c r="A794" s="72">
        <v>2</v>
      </c>
      <c r="B794" s="70">
        <v>13.686881425299999</v>
      </c>
      <c r="C794" s="69">
        <v>-89.193922694899996</v>
      </c>
      <c r="D794" s="71">
        <v>0</v>
      </c>
      <c r="E794" s="19">
        <v>0</v>
      </c>
      <c r="F794" s="19">
        <f t="shared" si="24"/>
        <v>0</v>
      </c>
      <c r="G794" s="20">
        <v>102</v>
      </c>
      <c r="H794" s="19" t="str">
        <f t="shared" si="25"/>
        <v>USD</v>
      </c>
      <c r="J794" s="5"/>
      <c r="K794" s="3"/>
      <c r="L794" s="3"/>
      <c r="M794" s="3"/>
      <c r="N794" s="3"/>
      <c r="O794" s="3"/>
    </row>
    <row r="795" spans="1:15" ht="15">
      <c r="A795" s="72">
        <v>2</v>
      </c>
      <c r="B795" s="70">
        <v>13.686943577399999</v>
      </c>
      <c r="C795" s="69">
        <v>-89.193961392299997</v>
      </c>
      <c r="D795" s="71">
        <v>0</v>
      </c>
      <c r="E795" s="19">
        <v>0</v>
      </c>
      <c r="F795" s="19">
        <f t="shared" si="24"/>
        <v>0</v>
      </c>
      <c r="G795" s="20">
        <v>102</v>
      </c>
      <c r="H795" s="19" t="str">
        <f t="shared" si="25"/>
        <v>USD</v>
      </c>
      <c r="J795" s="5"/>
      <c r="K795" s="3"/>
      <c r="L795" s="3"/>
      <c r="M795" s="3"/>
      <c r="N795" s="3"/>
      <c r="O795" s="3"/>
    </row>
    <row r="796" spans="1:15" ht="15">
      <c r="A796" s="72">
        <v>2</v>
      </c>
      <c r="B796" s="70">
        <v>13.6868957079</v>
      </c>
      <c r="C796" s="69">
        <v>-89.194007826299995</v>
      </c>
      <c r="D796" s="71">
        <v>0</v>
      </c>
      <c r="E796" s="19">
        <v>0</v>
      </c>
      <c r="F796" s="19">
        <f t="shared" si="24"/>
        <v>0</v>
      </c>
      <c r="G796" s="20">
        <v>102</v>
      </c>
      <c r="H796" s="19" t="str">
        <f t="shared" si="25"/>
        <v>USD</v>
      </c>
      <c r="J796" s="5"/>
      <c r="K796" s="3"/>
      <c r="L796" s="3"/>
      <c r="M796" s="3"/>
      <c r="N796" s="3"/>
      <c r="O796" s="3"/>
    </row>
    <row r="797" spans="1:15" ht="15">
      <c r="A797" s="72">
        <v>2</v>
      </c>
      <c r="B797" s="70">
        <v>13.686820575900001</v>
      </c>
      <c r="C797" s="69">
        <v>-89.194052280700006</v>
      </c>
      <c r="D797" s="71">
        <v>0</v>
      </c>
      <c r="E797" s="19">
        <v>0</v>
      </c>
      <c r="F797" s="19">
        <f t="shared" si="24"/>
        <v>0</v>
      </c>
      <c r="G797" s="20">
        <v>102</v>
      </c>
      <c r="H797" s="19" t="str">
        <f t="shared" si="25"/>
        <v>USD</v>
      </c>
      <c r="J797" s="5"/>
      <c r="K797" s="3"/>
      <c r="L797" s="3"/>
      <c r="M797" s="3"/>
      <c r="N797" s="3"/>
      <c r="O797" s="3"/>
    </row>
    <row r="798" spans="1:15" ht="15">
      <c r="A798" s="72">
        <v>2</v>
      </c>
      <c r="B798" s="70">
        <v>13.686797670300001</v>
      </c>
      <c r="C798" s="69">
        <v>-89.193983775099994</v>
      </c>
      <c r="D798" s="71">
        <v>0</v>
      </c>
      <c r="E798" s="19">
        <v>0</v>
      </c>
      <c r="F798" s="19">
        <f t="shared" si="24"/>
        <v>0</v>
      </c>
      <c r="G798" s="20">
        <v>102</v>
      </c>
      <c r="H798" s="19" t="str">
        <f t="shared" si="25"/>
        <v>USD</v>
      </c>
      <c r="J798" s="5"/>
      <c r="K798" s="3"/>
      <c r="L798" s="3"/>
      <c r="M798" s="3"/>
      <c r="N798" s="3"/>
      <c r="O798" s="3"/>
    </row>
    <row r="799" spans="1:15" ht="15">
      <c r="A799" s="72">
        <v>2</v>
      </c>
      <c r="B799" s="70">
        <v>13.686763266</v>
      </c>
      <c r="C799" s="69">
        <v>-89.193939229400002</v>
      </c>
      <c r="D799" s="71">
        <v>0</v>
      </c>
      <c r="E799" s="19">
        <v>0</v>
      </c>
      <c r="F799" s="19">
        <f t="shared" si="24"/>
        <v>0</v>
      </c>
      <c r="G799" s="20">
        <v>102</v>
      </c>
      <c r="H799" s="19" t="str">
        <f t="shared" si="25"/>
        <v>USD</v>
      </c>
      <c r="J799" s="5"/>
      <c r="K799" s="3"/>
      <c r="L799" s="3"/>
      <c r="M799" s="3"/>
      <c r="N799" s="3"/>
      <c r="O799" s="3"/>
    </row>
    <row r="800" spans="1:15" ht="15">
      <c r="A800" s="72">
        <v>2</v>
      </c>
      <c r="B800" s="70">
        <v>13.6867617681</v>
      </c>
      <c r="C800" s="69">
        <v>-89.194018478399997</v>
      </c>
      <c r="D800" s="71">
        <v>0</v>
      </c>
      <c r="E800" s="19">
        <v>0</v>
      </c>
      <c r="F800" s="19">
        <f t="shared" si="24"/>
        <v>0</v>
      </c>
      <c r="G800" s="20">
        <v>102</v>
      </c>
      <c r="H800" s="19" t="str">
        <f t="shared" si="25"/>
        <v>USD</v>
      </c>
      <c r="J800" s="5"/>
      <c r="K800" s="3"/>
      <c r="L800" s="3"/>
      <c r="M800" s="3"/>
      <c r="N800" s="3"/>
      <c r="O800" s="3"/>
    </row>
    <row r="801" spans="1:15" ht="15">
      <c r="A801" s="72">
        <v>2</v>
      </c>
      <c r="B801" s="70">
        <v>13.686835974599999</v>
      </c>
      <c r="C801" s="69">
        <v>-89.193934887099999</v>
      </c>
      <c r="D801" s="71">
        <v>0</v>
      </c>
      <c r="E801" s="19">
        <v>0</v>
      </c>
      <c r="F801" s="19">
        <f t="shared" si="24"/>
        <v>0</v>
      </c>
      <c r="G801" s="20">
        <v>102</v>
      </c>
      <c r="H801" s="19" t="str">
        <f t="shared" si="25"/>
        <v>USD</v>
      </c>
      <c r="J801" s="5"/>
      <c r="K801" s="3"/>
      <c r="L801" s="3"/>
      <c r="M801" s="3"/>
      <c r="N801" s="3"/>
      <c r="O801" s="3"/>
    </row>
    <row r="802" spans="1:15" ht="15">
      <c r="A802" s="72">
        <v>2</v>
      </c>
      <c r="B802" s="70">
        <v>13.686806349599999</v>
      </c>
      <c r="C802" s="69">
        <v>-89.193895726600005</v>
      </c>
      <c r="D802" s="71">
        <v>0</v>
      </c>
      <c r="E802" s="19">
        <v>0</v>
      </c>
      <c r="F802" s="19">
        <f t="shared" si="24"/>
        <v>0</v>
      </c>
      <c r="G802" s="20">
        <v>102</v>
      </c>
      <c r="H802" s="19" t="str">
        <f t="shared" si="25"/>
        <v>USD</v>
      </c>
      <c r="J802" s="5"/>
      <c r="K802" s="3"/>
      <c r="L802" s="3"/>
      <c r="M802" s="3"/>
      <c r="N802" s="3"/>
      <c r="O802" s="3"/>
    </row>
    <row r="803" spans="1:15" ht="15">
      <c r="A803" s="72">
        <v>2</v>
      </c>
      <c r="B803" s="70">
        <v>13.6867705191</v>
      </c>
      <c r="C803" s="69">
        <v>-89.193839440100007</v>
      </c>
      <c r="D803" s="71">
        <v>0</v>
      </c>
      <c r="E803" s="19">
        <v>0</v>
      </c>
      <c r="F803" s="19">
        <f t="shared" si="24"/>
        <v>0</v>
      </c>
      <c r="G803" s="20">
        <v>102</v>
      </c>
      <c r="H803" s="19" t="str">
        <f t="shared" si="25"/>
        <v>USD</v>
      </c>
      <c r="J803" s="5"/>
      <c r="K803" s="3"/>
      <c r="L803" s="3"/>
      <c r="M803" s="3"/>
      <c r="N803" s="3"/>
      <c r="O803" s="3"/>
    </row>
    <row r="804" spans="1:15" ht="15">
      <c r="A804" s="72">
        <v>2</v>
      </c>
      <c r="B804" s="70">
        <v>13.686911179999999</v>
      </c>
      <c r="C804" s="69">
        <v>-89.193798463799993</v>
      </c>
      <c r="D804" s="71">
        <v>0</v>
      </c>
      <c r="E804" s="19">
        <v>0</v>
      </c>
      <c r="F804" s="19">
        <f t="shared" si="24"/>
        <v>0</v>
      </c>
      <c r="G804" s="20">
        <v>102</v>
      </c>
      <c r="H804" s="19" t="str">
        <f t="shared" si="25"/>
        <v>USD</v>
      </c>
      <c r="J804" s="5"/>
      <c r="K804" s="3"/>
      <c r="L804" s="3"/>
      <c r="M804" s="3"/>
      <c r="N804" s="3"/>
      <c r="O804" s="3"/>
    </row>
    <row r="805" spans="1:15" ht="15">
      <c r="A805" s="72">
        <v>2</v>
      </c>
      <c r="B805" s="70">
        <v>13.686958069099999</v>
      </c>
      <c r="C805" s="69">
        <v>-89.193781380499999</v>
      </c>
      <c r="D805" s="71">
        <v>0</v>
      </c>
      <c r="E805" s="19">
        <v>0</v>
      </c>
      <c r="F805" s="19">
        <f t="shared" si="24"/>
        <v>0</v>
      </c>
      <c r="G805" s="20">
        <v>102</v>
      </c>
      <c r="H805" s="19" t="str">
        <f t="shared" si="25"/>
        <v>USD</v>
      </c>
      <c r="J805" s="5"/>
      <c r="K805" s="3"/>
      <c r="L805" s="3"/>
      <c r="M805" s="3"/>
      <c r="N805" s="3"/>
      <c r="O805" s="3"/>
    </row>
    <row r="806" spans="1:15" ht="15">
      <c r="A806" s="72">
        <v>2</v>
      </c>
      <c r="B806" s="70">
        <v>13.6869776181</v>
      </c>
      <c r="C806" s="69">
        <v>-89.193860645900003</v>
      </c>
      <c r="D806" s="71">
        <v>0</v>
      </c>
      <c r="E806" s="19">
        <v>0</v>
      </c>
      <c r="F806" s="19">
        <f t="shared" si="24"/>
        <v>0</v>
      </c>
      <c r="G806" s="20">
        <v>102</v>
      </c>
      <c r="H806" s="19" t="str">
        <f t="shared" si="25"/>
        <v>USD</v>
      </c>
      <c r="J806" s="5"/>
      <c r="K806" s="3"/>
      <c r="L806" s="3"/>
      <c r="M806" s="3"/>
      <c r="N806" s="3"/>
      <c r="O806" s="3"/>
    </row>
    <row r="807" spans="1:15" ht="15">
      <c r="A807" s="72">
        <v>2</v>
      </c>
      <c r="B807" s="70">
        <v>13.6866012999</v>
      </c>
      <c r="C807" s="69">
        <v>-89.194065699500001</v>
      </c>
      <c r="D807" s="71">
        <v>0</v>
      </c>
      <c r="E807" s="19">
        <v>0</v>
      </c>
      <c r="F807" s="19">
        <f t="shared" si="24"/>
        <v>0</v>
      </c>
      <c r="G807" s="20">
        <v>102</v>
      </c>
      <c r="H807" s="19" t="str">
        <f t="shared" si="25"/>
        <v>USD</v>
      </c>
      <c r="J807" s="5"/>
      <c r="K807" s="3"/>
      <c r="L807" s="3"/>
      <c r="M807" s="3"/>
      <c r="N807" s="3"/>
      <c r="O807" s="3"/>
    </row>
    <row r="808" spans="1:15" ht="15">
      <c r="A808" s="72">
        <v>2</v>
      </c>
      <c r="B808" s="70">
        <v>13.686651553100001</v>
      </c>
      <c r="C808" s="69">
        <v>-89.194029541000006</v>
      </c>
      <c r="D808" s="71">
        <v>0</v>
      </c>
      <c r="E808" s="19">
        <v>0</v>
      </c>
      <c r="F808" s="19">
        <f t="shared" si="24"/>
        <v>0</v>
      </c>
      <c r="G808" s="20">
        <v>102</v>
      </c>
      <c r="H808" s="19" t="str">
        <f t="shared" si="25"/>
        <v>USD</v>
      </c>
      <c r="J808" s="5"/>
      <c r="K808" s="3"/>
      <c r="L808" s="3"/>
      <c r="M808" s="3"/>
      <c r="N808" s="3"/>
      <c r="O808" s="3"/>
    </row>
    <row r="809" spans="1:15" ht="15">
      <c r="A809" s="72">
        <v>2</v>
      </c>
      <c r="B809" s="70">
        <v>13.6867003627</v>
      </c>
      <c r="C809" s="69">
        <v>-89.194003653899998</v>
      </c>
      <c r="D809" s="71">
        <v>0</v>
      </c>
      <c r="E809" s="19">
        <v>0</v>
      </c>
      <c r="F809" s="19">
        <f t="shared" si="24"/>
        <v>0</v>
      </c>
      <c r="G809" s="20">
        <v>102</v>
      </c>
      <c r="H809" s="19" t="str">
        <f t="shared" si="25"/>
        <v>USD</v>
      </c>
      <c r="J809" s="5"/>
      <c r="K809" s="3"/>
      <c r="L809" s="3"/>
      <c r="M809" s="3"/>
      <c r="N809" s="3"/>
      <c r="O809" s="3"/>
    </row>
    <row r="810" spans="1:15" ht="15">
      <c r="A810" s="72">
        <v>2</v>
      </c>
      <c r="B810" s="70">
        <v>13.686728133700001</v>
      </c>
      <c r="C810" s="69">
        <v>-89.193968454900002</v>
      </c>
      <c r="D810" s="71">
        <v>0</v>
      </c>
      <c r="E810" s="19">
        <v>0</v>
      </c>
      <c r="F810" s="19">
        <f t="shared" si="24"/>
        <v>0</v>
      </c>
      <c r="G810" s="20">
        <v>102</v>
      </c>
      <c r="H810" s="19" t="str">
        <f t="shared" si="25"/>
        <v>USD</v>
      </c>
      <c r="J810" s="5"/>
      <c r="K810" s="3"/>
      <c r="L810" s="3"/>
      <c r="M810" s="3"/>
      <c r="N810" s="3"/>
      <c r="O810" s="3"/>
    </row>
    <row r="811" spans="1:15" ht="15">
      <c r="A811" s="72">
        <v>2</v>
      </c>
      <c r="B811" s="70">
        <v>13.6872307088</v>
      </c>
      <c r="C811" s="69">
        <v>-89.193790051999997</v>
      </c>
      <c r="D811" s="71">
        <v>0</v>
      </c>
      <c r="E811" s="19">
        <v>0</v>
      </c>
      <c r="F811" s="19">
        <f t="shared" si="24"/>
        <v>0</v>
      </c>
      <c r="G811" s="20">
        <v>102</v>
      </c>
      <c r="H811" s="19" t="str">
        <f t="shared" si="25"/>
        <v>USD</v>
      </c>
      <c r="J811" s="5"/>
      <c r="K811" s="3"/>
      <c r="L811" s="3"/>
      <c r="M811" s="3"/>
      <c r="N811" s="3"/>
      <c r="O811" s="3"/>
    </row>
    <row r="812" spans="1:15" ht="15">
      <c r="A812" s="72">
        <v>2</v>
      </c>
      <c r="B812" s="70">
        <v>13.687220134</v>
      </c>
      <c r="C812" s="69">
        <v>-89.193855105899999</v>
      </c>
      <c r="D812" s="71">
        <v>0</v>
      </c>
      <c r="E812" s="19">
        <v>0</v>
      </c>
      <c r="F812" s="19">
        <f t="shared" si="24"/>
        <v>0</v>
      </c>
      <c r="G812" s="20">
        <v>102</v>
      </c>
      <c r="H812" s="19" t="str">
        <f t="shared" si="25"/>
        <v>USD</v>
      </c>
      <c r="J812" s="5"/>
      <c r="K812" s="3"/>
      <c r="L812" s="3"/>
      <c r="M812" s="3"/>
      <c r="N812" s="3"/>
      <c r="O812" s="3"/>
    </row>
    <row r="813" spans="1:15" ht="15">
      <c r="A813" s="72">
        <v>2</v>
      </c>
      <c r="B813" s="70">
        <v>13.687172308499999</v>
      </c>
      <c r="C813" s="69">
        <v>-89.193845771900001</v>
      </c>
      <c r="D813" s="71">
        <v>0</v>
      </c>
      <c r="E813" s="19">
        <v>0</v>
      </c>
      <c r="F813" s="19">
        <f t="shared" si="24"/>
        <v>0</v>
      </c>
      <c r="G813" s="20">
        <v>102</v>
      </c>
      <c r="H813" s="19" t="str">
        <f t="shared" si="25"/>
        <v>USD</v>
      </c>
      <c r="J813" s="5"/>
      <c r="K813" s="3"/>
      <c r="L813" s="3"/>
      <c r="M813" s="3"/>
      <c r="N813" s="3"/>
      <c r="O813" s="3"/>
    </row>
    <row r="814" spans="1:15" ht="15">
      <c r="A814" s="72">
        <v>2</v>
      </c>
      <c r="B814" s="70">
        <v>13.6871560287</v>
      </c>
      <c r="C814" s="69">
        <v>-89.193867772700003</v>
      </c>
      <c r="D814" s="71">
        <v>0</v>
      </c>
      <c r="E814" s="19">
        <v>0</v>
      </c>
      <c r="F814" s="19">
        <f t="shared" si="24"/>
        <v>0</v>
      </c>
      <c r="G814" s="20">
        <v>102</v>
      </c>
      <c r="H814" s="19" t="str">
        <f t="shared" si="25"/>
        <v>USD</v>
      </c>
      <c r="J814" s="5"/>
      <c r="K814" s="3"/>
      <c r="L814" s="3"/>
      <c r="M814" s="3"/>
      <c r="N814" s="3"/>
      <c r="O814" s="3"/>
    </row>
    <row r="815" spans="1:15" ht="15">
      <c r="A815" s="72">
        <v>2</v>
      </c>
      <c r="B815" s="70">
        <v>13.687140680800001</v>
      </c>
      <c r="C815" s="69">
        <v>-89.193919614899997</v>
      </c>
      <c r="D815" s="71">
        <v>0</v>
      </c>
      <c r="E815" s="19">
        <v>0</v>
      </c>
      <c r="F815" s="19">
        <f t="shared" si="24"/>
        <v>0</v>
      </c>
      <c r="G815" s="20">
        <v>102</v>
      </c>
      <c r="H815" s="19" t="str">
        <f t="shared" si="25"/>
        <v>USD</v>
      </c>
      <c r="J815" s="5"/>
      <c r="K815" s="3"/>
      <c r="L815" s="3"/>
      <c r="M815" s="3"/>
      <c r="N815" s="3"/>
      <c r="O815" s="3"/>
    </row>
    <row r="816" spans="1:15" ht="15">
      <c r="A816" s="72">
        <v>2</v>
      </c>
      <c r="B816" s="70">
        <v>13.687156591700001</v>
      </c>
      <c r="C816" s="69">
        <v>-89.193760150200006</v>
      </c>
      <c r="D816" s="71">
        <v>0</v>
      </c>
      <c r="E816" s="19">
        <v>0</v>
      </c>
      <c r="F816" s="19">
        <f t="shared" si="24"/>
        <v>0</v>
      </c>
      <c r="G816" s="20">
        <v>102</v>
      </c>
      <c r="H816" s="19" t="str">
        <f t="shared" si="25"/>
        <v>USD</v>
      </c>
      <c r="J816" s="5"/>
      <c r="K816" s="3"/>
      <c r="L816" s="3"/>
      <c r="M816" s="3"/>
      <c r="N816" s="3"/>
      <c r="O816" s="3"/>
    </row>
    <row r="817" spans="1:15" ht="15">
      <c r="A817" s="72">
        <v>2</v>
      </c>
      <c r="B817" s="70">
        <v>13.6870910618</v>
      </c>
      <c r="C817" s="69">
        <v>-89.193759118200006</v>
      </c>
      <c r="D817" s="71">
        <v>0</v>
      </c>
      <c r="E817" s="19">
        <v>0</v>
      </c>
      <c r="F817" s="19">
        <f t="shared" si="24"/>
        <v>0</v>
      </c>
      <c r="G817" s="20">
        <v>102</v>
      </c>
      <c r="H817" s="19" t="str">
        <f t="shared" si="25"/>
        <v>USD</v>
      </c>
      <c r="J817" s="5"/>
      <c r="K817" s="3"/>
      <c r="L817" s="3"/>
      <c r="M817" s="3"/>
      <c r="N817" s="3"/>
      <c r="O817" s="3"/>
    </row>
    <row r="818" spans="1:15" ht="15">
      <c r="A818" s="72">
        <v>2</v>
      </c>
      <c r="B818" s="70">
        <v>13.6871417302</v>
      </c>
      <c r="C818" s="69">
        <v>-89.193802698300004</v>
      </c>
      <c r="D818" s="71">
        <v>0</v>
      </c>
      <c r="E818" s="19">
        <v>0</v>
      </c>
      <c r="F818" s="19">
        <f t="shared" si="24"/>
        <v>0</v>
      </c>
      <c r="G818" s="20">
        <v>102</v>
      </c>
      <c r="H818" s="19" t="str">
        <f t="shared" si="25"/>
        <v>USD</v>
      </c>
      <c r="J818" s="5"/>
      <c r="K818" s="3"/>
      <c r="L818" s="3"/>
      <c r="M818" s="3"/>
      <c r="N818" s="3"/>
      <c r="O818" s="3"/>
    </row>
    <row r="819" spans="1:15" ht="15">
      <c r="A819" s="72">
        <v>2</v>
      </c>
      <c r="B819" s="70">
        <v>13.6870871906</v>
      </c>
      <c r="C819" s="69">
        <v>-89.193814883000002</v>
      </c>
      <c r="D819" s="71">
        <v>0</v>
      </c>
      <c r="E819" s="19">
        <v>0</v>
      </c>
      <c r="F819" s="19">
        <f t="shared" si="24"/>
        <v>0</v>
      </c>
      <c r="G819" s="20">
        <v>102</v>
      </c>
      <c r="H819" s="19" t="str">
        <f t="shared" si="25"/>
        <v>USD</v>
      </c>
      <c r="J819" s="5"/>
      <c r="K819" s="3"/>
      <c r="L819" s="3"/>
      <c r="M819" s="3"/>
      <c r="N819" s="3"/>
      <c r="O819" s="3"/>
    </row>
    <row r="820" spans="1:15" ht="15">
      <c r="A820" s="72">
        <v>2</v>
      </c>
      <c r="B820" s="70">
        <v>13.6870632554</v>
      </c>
      <c r="C820" s="69">
        <v>-89.193839322700001</v>
      </c>
      <c r="D820" s="71">
        <v>0</v>
      </c>
      <c r="E820" s="19">
        <v>0</v>
      </c>
      <c r="F820" s="19">
        <f t="shared" si="24"/>
        <v>0</v>
      </c>
      <c r="G820" s="20">
        <v>102</v>
      </c>
      <c r="H820" s="19" t="str">
        <f t="shared" si="25"/>
        <v>USD</v>
      </c>
      <c r="J820" s="5"/>
      <c r="K820" s="3"/>
      <c r="L820" s="3"/>
      <c r="M820" s="3"/>
      <c r="N820" s="3"/>
      <c r="O820" s="3"/>
    </row>
    <row r="821" spans="1:15" ht="15">
      <c r="A821" s="72">
        <v>2</v>
      </c>
      <c r="B821" s="70">
        <v>13.6870938087</v>
      </c>
      <c r="C821" s="69">
        <v>-89.193915172999994</v>
      </c>
      <c r="D821" s="71">
        <v>0</v>
      </c>
      <c r="E821" s="19">
        <v>0</v>
      </c>
      <c r="F821" s="19">
        <f t="shared" si="24"/>
        <v>0</v>
      </c>
      <c r="G821" s="20">
        <v>102</v>
      </c>
      <c r="H821" s="19" t="str">
        <f t="shared" si="25"/>
        <v>USD</v>
      </c>
      <c r="J821" s="5"/>
      <c r="K821" s="3"/>
      <c r="L821" s="3"/>
      <c r="M821" s="3"/>
      <c r="N821" s="3"/>
      <c r="O821" s="3"/>
    </row>
    <row r="822" spans="1:15" ht="15">
      <c r="A822" s="72">
        <v>2</v>
      </c>
      <c r="B822" s="70">
        <v>13.687024210800001</v>
      </c>
      <c r="C822" s="69">
        <v>-89.193936363399999</v>
      </c>
      <c r="D822" s="71">
        <v>0</v>
      </c>
      <c r="E822" s="19">
        <v>0</v>
      </c>
      <c r="F822" s="19">
        <f t="shared" si="24"/>
        <v>0</v>
      </c>
      <c r="G822" s="20">
        <v>102</v>
      </c>
      <c r="H822" s="19" t="str">
        <f t="shared" si="25"/>
        <v>USD</v>
      </c>
      <c r="J822" s="5"/>
      <c r="K822" s="3"/>
      <c r="L822" s="3"/>
      <c r="M822" s="3"/>
      <c r="N822" s="3"/>
      <c r="O822" s="3"/>
    </row>
    <row r="823" spans="1:15" ht="15">
      <c r="A823" s="72">
        <v>2</v>
      </c>
      <c r="B823" s="70">
        <v>13.687044569099999</v>
      </c>
      <c r="C823" s="69">
        <v>-89.193899445300005</v>
      </c>
      <c r="D823" s="71">
        <v>0</v>
      </c>
      <c r="E823" s="19">
        <v>0</v>
      </c>
      <c r="F823" s="19">
        <f t="shared" si="24"/>
        <v>0</v>
      </c>
      <c r="G823" s="20">
        <v>102</v>
      </c>
      <c r="H823" s="19" t="str">
        <f t="shared" si="25"/>
        <v>USD</v>
      </c>
      <c r="J823" s="5"/>
      <c r="K823" s="3"/>
      <c r="L823" s="3"/>
      <c r="M823" s="3"/>
      <c r="N823" s="3"/>
      <c r="O823" s="3"/>
    </row>
    <row r="824" spans="1:15" ht="15">
      <c r="A824" s="72">
        <v>2</v>
      </c>
      <c r="B824" s="70">
        <v>13.6870278534</v>
      </c>
      <c r="C824" s="69">
        <v>-89.193866655700006</v>
      </c>
      <c r="D824" s="71">
        <v>0</v>
      </c>
      <c r="E824" s="19">
        <v>0</v>
      </c>
      <c r="F824" s="19">
        <f t="shared" si="24"/>
        <v>0</v>
      </c>
      <c r="G824" s="20">
        <v>102</v>
      </c>
      <c r="H824" s="19" t="str">
        <f t="shared" si="25"/>
        <v>USD</v>
      </c>
      <c r="J824" s="5"/>
      <c r="K824" s="3"/>
      <c r="L824" s="3"/>
      <c r="M824" s="3"/>
      <c r="N824" s="3"/>
      <c r="O824" s="3"/>
    </row>
    <row r="825" spans="1:15" ht="15">
      <c r="A825" s="72">
        <v>2</v>
      </c>
      <c r="B825" s="70">
        <v>13.686993982900001</v>
      </c>
      <c r="C825" s="69">
        <v>-89.1937514225</v>
      </c>
      <c r="D825" s="71">
        <v>0</v>
      </c>
      <c r="E825" s="19">
        <v>0</v>
      </c>
      <c r="F825" s="19">
        <f t="shared" si="24"/>
        <v>0</v>
      </c>
      <c r="G825" s="20">
        <v>102</v>
      </c>
      <c r="H825" s="19" t="str">
        <f t="shared" si="25"/>
        <v>USD</v>
      </c>
      <c r="J825" s="5"/>
      <c r="K825" s="3"/>
      <c r="L825" s="3"/>
      <c r="M825" s="3"/>
      <c r="N825" s="3"/>
      <c r="O825" s="3"/>
    </row>
    <row r="826" spans="1:15" ht="15">
      <c r="A826" s="72">
        <v>2</v>
      </c>
      <c r="B826" s="70">
        <v>13.685461267399999</v>
      </c>
      <c r="C826" s="69">
        <v>-89.194263835100003</v>
      </c>
      <c r="D826" s="71">
        <v>0</v>
      </c>
      <c r="E826" s="19">
        <v>0</v>
      </c>
      <c r="F826" s="19">
        <f t="shared" si="24"/>
        <v>0</v>
      </c>
      <c r="G826" s="20">
        <v>102</v>
      </c>
      <c r="H826" s="19" t="str">
        <f t="shared" si="25"/>
        <v>USD</v>
      </c>
      <c r="J826" s="5"/>
      <c r="K826" s="3"/>
      <c r="L826" s="3"/>
      <c r="M826" s="3"/>
      <c r="N826" s="3"/>
      <c r="O826" s="3"/>
    </row>
    <row r="827" spans="1:15" ht="15">
      <c r="A827" s="72">
        <v>2</v>
      </c>
      <c r="B827" s="70">
        <v>13.6854548131</v>
      </c>
      <c r="C827" s="69">
        <v>-89.194108511400003</v>
      </c>
      <c r="D827" s="71">
        <v>0</v>
      </c>
      <c r="E827" s="19">
        <v>0</v>
      </c>
      <c r="F827" s="19">
        <f t="shared" si="24"/>
        <v>0</v>
      </c>
      <c r="G827" s="20">
        <v>102</v>
      </c>
      <c r="H827" s="19" t="str">
        <f t="shared" si="25"/>
        <v>USD</v>
      </c>
      <c r="J827" s="5"/>
      <c r="K827" s="3"/>
      <c r="L827" s="3"/>
      <c r="M827" s="3"/>
      <c r="N827" s="3"/>
      <c r="O827" s="3"/>
    </row>
    <row r="828" spans="1:15" ht="15">
      <c r="A828" s="72">
        <v>2</v>
      </c>
      <c r="B828" s="70">
        <v>13.685420864299999</v>
      </c>
      <c r="C828" s="69">
        <v>-89.1939415473</v>
      </c>
      <c r="D828" s="71">
        <v>0</v>
      </c>
      <c r="E828" s="19">
        <v>0</v>
      </c>
      <c r="F828" s="19">
        <f t="shared" si="24"/>
        <v>0</v>
      </c>
      <c r="G828" s="20">
        <v>102</v>
      </c>
      <c r="H828" s="19" t="str">
        <f t="shared" si="25"/>
        <v>USD</v>
      </c>
      <c r="J828" s="5"/>
      <c r="K828" s="3"/>
      <c r="L828" s="3"/>
      <c r="M828" s="3"/>
      <c r="N828" s="3"/>
      <c r="O828" s="3"/>
    </row>
    <row r="829" spans="1:15" ht="15">
      <c r="A829" s="72">
        <v>2</v>
      </c>
      <c r="B829" s="70">
        <v>13.685493085599999</v>
      </c>
      <c r="C829" s="69">
        <v>-89.193948822300001</v>
      </c>
      <c r="D829" s="71">
        <v>0</v>
      </c>
      <c r="E829" s="19">
        <v>0</v>
      </c>
      <c r="F829" s="19">
        <f t="shared" si="24"/>
        <v>0</v>
      </c>
      <c r="G829" s="20">
        <v>102</v>
      </c>
      <c r="H829" s="19" t="str">
        <f t="shared" si="25"/>
        <v>USD</v>
      </c>
      <c r="J829" s="5"/>
      <c r="K829" s="3"/>
      <c r="L829" s="3"/>
      <c r="M829" s="3"/>
      <c r="N829" s="3"/>
      <c r="O829" s="3"/>
    </row>
    <row r="830" spans="1:15" ht="15">
      <c r="A830" s="72">
        <v>2</v>
      </c>
      <c r="B830" s="70">
        <v>13.6855099077</v>
      </c>
      <c r="C830" s="69">
        <v>-89.1938465952</v>
      </c>
      <c r="D830" s="71">
        <v>0</v>
      </c>
      <c r="E830" s="19">
        <v>0</v>
      </c>
      <c r="F830" s="19">
        <f t="shared" si="24"/>
        <v>0</v>
      </c>
      <c r="G830" s="20">
        <v>102</v>
      </c>
      <c r="H830" s="19" t="str">
        <f t="shared" si="25"/>
        <v>USD</v>
      </c>
      <c r="J830" s="5"/>
      <c r="K830" s="3"/>
      <c r="L830" s="3"/>
      <c r="M830" s="3"/>
      <c r="N830" s="3"/>
      <c r="O830" s="3"/>
    </row>
    <row r="831" spans="1:15" ht="15">
      <c r="A831" s="72">
        <v>2</v>
      </c>
      <c r="B831" s="70">
        <v>13.685582605700001</v>
      </c>
      <c r="C831" s="69">
        <v>-89.193856927699997</v>
      </c>
      <c r="D831" s="71">
        <v>0</v>
      </c>
      <c r="E831" s="19">
        <v>0</v>
      </c>
      <c r="F831" s="19">
        <f t="shared" si="24"/>
        <v>0</v>
      </c>
      <c r="G831" s="20">
        <v>102</v>
      </c>
      <c r="H831" s="19" t="str">
        <f t="shared" si="25"/>
        <v>USD</v>
      </c>
      <c r="J831" s="5"/>
      <c r="K831" s="3"/>
      <c r="L831" s="3"/>
      <c r="M831" s="3"/>
      <c r="N831" s="3"/>
      <c r="O831" s="3"/>
    </row>
    <row r="832" spans="1:15" ht="15">
      <c r="A832" s="72">
        <v>2</v>
      </c>
      <c r="B832" s="70">
        <v>13.6858712717</v>
      </c>
      <c r="C832" s="69">
        <v>-89.193982757599997</v>
      </c>
      <c r="D832" s="71">
        <v>0</v>
      </c>
      <c r="E832" s="19">
        <v>0</v>
      </c>
      <c r="F832" s="19">
        <f t="shared" si="24"/>
        <v>0</v>
      </c>
      <c r="G832" s="20">
        <v>102</v>
      </c>
      <c r="H832" s="19" t="str">
        <f t="shared" si="25"/>
        <v>USD</v>
      </c>
      <c r="J832" s="5"/>
      <c r="K832" s="3"/>
      <c r="L832" s="3"/>
      <c r="M832" s="3"/>
      <c r="N832" s="3"/>
      <c r="O832" s="3"/>
    </row>
    <row r="833" spans="1:15" ht="15">
      <c r="A833" s="72">
        <v>2</v>
      </c>
      <c r="B833" s="70">
        <v>13.685780128399999</v>
      </c>
      <c r="C833" s="69">
        <v>-89.194011300699998</v>
      </c>
      <c r="D833" s="71">
        <v>0</v>
      </c>
      <c r="E833" s="19">
        <v>0</v>
      </c>
      <c r="F833" s="19">
        <f t="shared" si="24"/>
        <v>0</v>
      </c>
      <c r="G833" s="20">
        <v>102</v>
      </c>
      <c r="H833" s="19" t="str">
        <f t="shared" si="25"/>
        <v>USD</v>
      </c>
      <c r="J833" s="5"/>
      <c r="K833" s="3"/>
      <c r="L833" s="3"/>
      <c r="M833" s="3"/>
      <c r="N833" s="3"/>
      <c r="O833" s="3"/>
    </row>
    <row r="834" spans="1:15" ht="15">
      <c r="A834" s="72">
        <v>2</v>
      </c>
      <c r="B834" s="70">
        <v>13.6856624227</v>
      </c>
      <c r="C834" s="69">
        <v>-89.194058898999998</v>
      </c>
      <c r="D834" s="71">
        <v>0</v>
      </c>
      <c r="E834" s="19">
        <v>0</v>
      </c>
      <c r="F834" s="19">
        <f t="shared" si="24"/>
        <v>0</v>
      </c>
      <c r="G834" s="20">
        <v>102</v>
      </c>
      <c r="H834" s="19" t="str">
        <f t="shared" si="25"/>
        <v>USD</v>
      </c>
      <c r="J834" s="5"/>
      <c r="K834" s="3"/>
      <c r="L834" s="3"/>
      <c r="M834" s="3"/>
      <c r="N834" s="3"/>
      <c r="O834" s="3"/>
    </row>
    <row r="835" spans="1:15" ht="15">
      <c r="A835" s="72">
        <v>2</v>
      </c>
      <c r="B835" s="70">
        <v>13.685625870699999</v>
      </c>
      <c r="C835" s="69">
        <v>-89.194007504300004</v>
      </c>
      <c r="D835" s="71">
        <v>0</v>
      </c>
      <c r="E835" s="19">
        <v>0</v>
      </c>
      <c r="F835" s="19">
        <f t="shared" ref="F835:F898" si="26">D835</f>
        <v>0</v>
      </c>
      <c r="G835" s="20">
        <v>102</v>
      </c>
      <c r="H835" s="19" t="str">
        <f t="shared" ref="H835:H898" si="27">IF(OR(A835&lt;17,A835=21),"USD","people")</f>
        <v>USD</v>
      </c>
      <c r="J835" s="5"/>
      <c r="K835" s="3"/>
      <c r="L835" s="3"/>
      <c r="M835" s="3"/>
      <c r="N835" s="3"/>
      <c r="O835" s="3"/>
    </row>
    <row r="836" spans="1:15" ht="15">
      <c r="A836" s="72">
        <v>2</v>
      </c>
      <c r="B836" s="70">
        <v>13.6858656244</v>
      </c>
      <c r="C836" s="69">
        <v>-89.193865347100001</v>
      </c>
      <c r="D836" s="71">
        <v>0</v>
      </c>
      <c r="E836" s="19">
        <v>0</v>
      </c>
      <c r="F836" s="19">
        <f t="shared" si="26"/>
        <v>0</v>
      </c>
      <c r="G836" s="20">
        <v>102</v>
      </c>
      <c r="H836" s="19" t="str">
        <f t="shared" si="27"/>
        <v>USD</v>
      </c>
      <c r="J836" s="5"/>
      <c r="K836" s="3"/>
      <c r="L836" s="3"/>
      <c r="M836" s="3"/>
      <c r="N836" s="3"/>
      <c r="O836" s="3"/>
    </row>
    <row r="837" spans="1:15" ht="15">
      <c r="A837" s="72">
        <v>2</v>
      </c>
      <c r="B837" s="70">
        <v>13.685802491800001</v>
      </c>
      <c r="C837" s="69">
        <v>-89.193857223600006</v>
      </c>
      <c r="D837" s="71">
        <v>0</v>
      </c>
      <c r="E837" s="19">
        <v>0</v>
      </c>
      <c r="F837" s="19">
        <f t="shared" si="26"/>
        <v>0</v>
      </c>
      <c r="G837" s="20">
        <v>102</v>
      </c>
      <c r="H837" s="19" t="str">
        <f t="shared" si="27"/>
        <v>USD</v>
      </c>
      <c r="J837" s="5"/>
      <c r="K837" s="3"/>
      <c r="L837" s="3"/>
      <c r="M837" s="3"/>
      <c r="N837" s="3"/>
      <c r="O837" s="3"/>
    </row>
    <row r="838" spans="1:15" ht="15">
      <c r="A838" s="72">
        <v>1</v>
      </c>
      <c r="B838" s="70">
        <v>13.6857429278</v>
      </c>
      <c r="C838" s="69">
        <v>-89.193873317300003</v>
      </c>
      <c r="D838" s="71">
        <v>0</v>
      </c>
      <c r="E838" s="19">
        <v>0</v>
      </c>
      <c r="F838" s="19">
        <f t="shared" si="26"/>
        <v>0</v>
      </c>
      <c r="G838" s="20">
        <v>101</v>
      </c>
      <c r="H838" s="19" t="str">
        <f t="shared" si="27"/>
        <v>USD</v>
      </c>
      <c r="J838" s="5"/>
      <c r="K838" s="3"/>
      <c r="L838" s="3"/>
      <c r="M838" s="3"/>
      <c r="N838" s="3"/>
      <c r="O838" s="3"/>
    </row>
    <row r="839" spans="1:15" ht="15">
      <c r="A839" s="72">
        <v>2</v>
      </c>
      <c r="B839" s="70">
        <v>13.6856432032</v>
      </c>
      <c r="C839" s="69">
        <v>-89.1938644297</v>
      </c>
      <c r="D839" s="71">
        <v>0</v>
      </c>
      <c r="E839" s="19">
        <v>0</v>
      </c>
      <c r="F839" s="19">
        <f t="shared" si="26"/>
        <v>0</v>
      </c>
      <c r="G839" s="20">
        <v>102</v>
      </c>
      <c r="H839" s="19" t="str">
        <f t="shared" si="27"/>
        <v>USD</v>
      </c>
      <c r="J839" s="5"/>
      <c r="K839" s="3"/>
      <c r="L839" s="3"/>
      <c r="M839" s="3"/>
      <c r="N839" s="3"/>
      <c r="O839" s="3"/>
    </row>
    <row r="840" spans="1:15" ht="15">
      <c r="A840" s="72">
        <v>2</v>
      </c>
      <c r="B840" s="70">
        <v>13.686297207400001</v>
      </c>
      <c r="C840" s="69">
        <v>-89.194124576799993</v>
      </c>
      <c r="D840" s="71">
        <v>0</v>
      </c>
      <c r="E840" s="19">
        <v>0</v>
      </c>
      <c r="F840" s="19">
        <f t="shared" si="26"/>
        <v>0</v>
      </c>
      <c r="G840" s="20">
        <v>102</v>
      </c>
      <c r="H840" s="19" t="str">
        <f t="shared" si="27"/>
        <v>USD</v>
      </c>
      <c r="J840" s="5"/>
      <c r="K840" s="3"/>
      <c r="L840" s="3"/>
      <c r="M840" s="3"/>
      <c r="N840" s="3"/>
      <c r="O840" s="3"/>
    </row>
    <row r="841" spans="1:15" ht="15">
      <c r="A841" s="72">
        <v>2</v>
      </c>
      <c r="B841" s="70">
        <v>13.686206413300001</v>
      </c>
      <c r="C841" s="69">
        <v>-89.194164125900002</v>
      </c>
      <c r="D841" s="71">
        <v>0</v>
      </c>
      <c r="E841" s="19">
        <v>0</v>
      </c>
      <c r="F841" s="19">
        <f t="shared" si="26"/>
        <v>0</v>
      </c>
      <c r="G841" s="20">
        <v>102</v>
      </c>
      <c r="H841" s="19" t="str">
        <f t="shared" si="27"/>
        <v>USD</v>
      </c>
      <c r="J841" s="5"/>
      <c r="K841" s="3"/>
      <c r="L841" s="3"/>
      <c r="M841" s="3"/>
      <c r="N841" s="3"/>
      <c r="O841" s="3"/>
    </row>
    <row r="842" spans="1:15" ht="15">
      <c r="A842" s="72">
        <v>2</v>
      </c>
      <c r="B842" s="70">
        <v>13.6861802495</v>
      </c>
      <c r="C842" s="69">
        <v>-89.194132918700006</v>
      </c>
      <c r="D842" s="71">
        <v>0</v>
      </c>
      <c r="E842" s="19">
        <v>0</v>
      </c>
      <c r="F842" s="19">
        <f t="shared" si="26"/>
        <v>0</v>
      </c>
      <c r="G842" s="20">
        <v>102</v>
      </c>
      <c r="H842" s="19" t="str">
        <f t="shared" si="27"/>
        <v>USD</v>
      </c>
      <c r="J842" s="5"/>
      <c r="K842" s="3"/>
      <c r="L842" s="3"/>
      <c r="M842" s="3"/>
      <c r="N842" s="3"/>
      <c r="O842" s="3"/>
    </row>
    <row r="843" spans="1:15" ht="15">
      <c r="A843" s="72">
        <v>2</v>
      </c>
      <c r="B843" s="70">
        <v>13.686268179400001</v>
      </c>
      <c r="C843" s="69">
        <v>-89.194086028800001</v>
      </c>
      <c r="D843" s="71">
        <v>0</v>
      </c>
      <c r="E843" s="19">
        <v>0</v>
      </c>
      <c r="F843" s="19">
        <f t="shared" si="26"/>
        <v>0</v>
      </c>
      <c r="G843" s="20">
        <v>102</v>
      </c>
      <c r="H843" s="19" t="str">
        <f t="shared" si="27"/>
        <v>USD</v>
      </c>
      <c r="J843" s="5"/>
      <c r="K843" s="3"/>
      <c r="L843" s="3"/>
      <c r="M843" s="3"/>
      <c r="N843" s="3"/>
      <c r="O843" s="3"/>
    </row>
    <row r="844" spans="1:15" ht="15">
      <c r="A844" s="72">
        <v>2</v>
      </c>
      <c r="B844" s="70">
        <v>13.6863141392</v>
      </c>
      <c r="C844" s="69">
        <v>-89.194034701199996</v>
      </c>
      <c r="D844" s="71">
        <v>0</v>
      </c>
      <c r="E844" s="19">
        <v>0</v>
      </c>
      <c r="F844" s="19">
        <f t="shared" si="26"/>
        <v>0</v>
      </c>
      <c r="G844" s="20">
        <v>102</v>
      </c>
      <c r="H844" s="19" t="str">
        <f t="shared" si="27"/>
        <v>USD</v>
      </c>
      <c r="J844" s="5"/>
      <c r="K844" s="3"/>
      <c r="L844" s="3"/>
      <c r="M844" s="3"/>
      <c r="N844" s="3"/>
      <c r="O844" s="3"/>
    </row>
    <row r="845" spans="1:15" ht="15">
      <c r="A845" s="72">
        <v>2</v>
      </c>
      <c r="B845" s="70">
        <v>13.686271508100001</v>
      </c>
      <c r="C845" s="69">
        <v>-89.193959453100007</v>
      </c>
      <c r="D845" s="71">
        <v>0</v>
      </c>
      <c r="E845" s="19">
        <v>0</v>
      </c>
      <c r="F845" s="19">
        <f t="shared" si="26"/>
        <v>0</v>
      </c>
      <c r="G845" s="20">
        <v>102</v>
      </c>
      <c r="H845" s="19" t="str">
        <f t="shared" si="27"/>
        <v>USD</v>
      </c>
      <c r="J845" s="5"/>
      <c r="K845" s="3"/>
      <c r="L845" s="3"/>
      <c r="M845" s="3"/>
      <c r="N845" s="3"/>
      <c r="O845" s="3"/>
    </row>
    <row r="846" spans="1:15" ht="15">
      <c r="A846" s="72">
        <v>2</v>
      </c>
      <c r="B846" s="70">
        <v>13.6862456085</v>
      </c>
      <c r="C846" s="69">
        <v>-89.194048219300001</v>
      </c>
      <c r="D846" s="71">
        <v>0</v>
      </c>
      <c r="E846" s="19">
        <v>0</v>
      </c>
      <c r="F846" s="19">
        <f t="shared" si="26"/>
        <v>0</v>
      </c>
      <c r="G846" s="20">
        <v>102</v>
      </c>
      <c r="H846" s="19" t="str">
        <f t="shared" si="27"/>
        <v>USD</v>
      </c>
      <c r="J846" s="5"/>
      <c r="K846" s="3"/>
      <c r="L846" s="3"/>
      <c r="M846" s="3"/>
      <c r="N846" s="3"/>
      <c r="O846" s="3"/>
    </row>
    <row r="847" spans="1:15" ht="15">
      <c r="A847" s="72">
        <v>2</v>
      </c>
      <c r="B847" s="70">
        <v>13.6862298456</v>
      </c>
      <c r="C847" s="69">
        <v>-89.194019955900004</v>
      </c>
      <c r="D847" s="71">
        <v>0</v>
      </c>
      <c r="E847" s="19">
        <v>0</v>
      </c>
      <c r="F847" s="19">
        <f t="shared" si="26"/>
        <v>0</v>
      </c>
      <c r="G847" s="20">
        <v>102</v>
      </c>
      <c r="H847" s="19" t="str">
        <f t="shared" si="27"/>
        <v>USD</v>
      </c>
      <c r="J847" s="5"/>
      <c r="K847" s="3"/>
      <c r="L847" s="3"/>
      <c r="M847" s="3"/>
      <c r="N847" s="3"/>
      <c r="O847" s="3"/>
    </row>
    <row r="848" spans="1:15" ht="15">
      <c r="A848" s="72">
        <v>2</v>
      </c>
      <c r="B848" s="70">
        <v>13.686211933099999</v>
      </c>
      <c r="C848" s="69">
        <v>-89.193988388400001</v>
      </c>
      <c r="D848" s="71">
        <v>0</v>
      </c>
      <c r="E848" s="19">
        <v>0</v>
      </c>
      <c r="F848" s="19">
        <f t="shared" si="26"/>
        <v>0</v>
      </c>
      <c r="G848" s="20">
        <v>102</v>
      </c>
      <c r="H848" s="19" t="str">
        <f t="shared" si="27"/>
        <v>USD</v>
      </c>
      <c r="J848" s="5"/>
      <c r="K848" s="3"/>
      <c r="L848" s="3"/>
      <c r="M848" s="3"/>
      <c r="N848" s="3"/>
      <c r="O848" s="3"/>
    </row>
    <row r="849" spans="1:15" ht="15">
      <c r="A849" s="72">
        <v>2</v>
      </c>
      <c r="B849" s="70">
        <v>13.686190785699999</v>
      </c>
      <c r="C849" s="69">
        <v>-89.193965622899995</v>
      </c>
      <c r="D849" s="71">
        <v>0</v>
      </c>
      <c r="E849" s="19">
        <v>0</v>
      </c>
      <c r="F849" s="19">
        <f t="shared" si="26"/>
        <v>0</v>
      </c>
      <c r="G849" s="20">
        <v>102</v>
      </c>
      <c r="H849" s="19" t="str">
        <f t="shared" si="27"/>
        <v>USD</v>
      </c>
      <c r="J849" s="5"/>
      <c r="K849" s="3"/>
      <c r="L849" s="3"/>
      <c r="M849" s="3"/>
      <c r="N849" s="3"/>
      <c r="O849" s="3"/>
    </row>
    <row r="850" spans="1:15" ht="15">
      <c r="A850" s="72">
        <v>2</v>
      </c>
      <c r="B850" s="70">
        <v>13.6861735975</v>
      </c>
      <c r="C850" s="69">
        <v>-89.193925617600001</v>
      </c>
      <c r="D850" s="71">
        <v>0</v>
      </c>
      <c r="E850" s="19">
        <v>0</v>
      </c>
      <c r="F850" s="19">
        <f t="shared" si="26"/>
        <v>0</v>
      </c>
      <c r="G850" s="20">
        <v>102</v>
      </c>
      <c r="H850" s="19" t="str">
        <f t="shared" si="27"/>
        <v>USD</v>
      </c>
      <c r="J850" s="5"/>
      <c r="K850" s="3"/>
      <c r="L850" s="3"/>
      <c r="M850" s="3"/>
      <c r="N850" s="3"/>
      <c r="O850" s="3"/>
    </row>
    <row r="851" spans="1:15" ht="15">
      <c r="A851" s="72">
        <v>2</v>
      </c>
      <c r="B851" s="70">
        <v>13.686159994900001</v>
      </c>
      <c r="C851" s="69">
        <v>-89.193887082499998</v>
      </c>
      <c r="D851" s="71">
        <v>0</v>
      </c>
      <c r="E851" s="19">
        <v>0</v>
      </c>
      <c r="F851" s="19">
        <f t="shared" si="26"/>
        <v>0</v>
      </c>
      <c r="G851" s="20">
        <v>102</v>
      </c>
      <c r="H851" s="19" t="str">
        <f t="shared" si="27"/>
        <v>USD</v>
      </c>
      <c r="J851" s="5"/>
      <c r="K851" s="3"/>
      <c r="L851" s="3"/>
      <c r="M851" s="3"/>
      <c r="N851" s="3"/>
      <c r="O851" s="3"/>
    </row>
    <row r="852" spans="1:15" ht="15">
      <c r="A852" s="72">
        <v>2</v>
      </c>
      <c r="B852" s="70">
        <v>13.6861583946</v>
      </c>
      <c r="C852" s="69">
        <v>-89.194097311799993</v>
      </c>
      <c r="D852" s="71">
        <v>0</v>
      </c>
      <c r="E852" s="19">
        <v>0</v>
      </c>
      <c r="F852" s="19">
        <f t="shared" si="26"/>
        <v>0</v>
      </c>
      <c r="G852" s="20">
        <v>102</v>
      </c>
      <c r="H852" s="19" t="str">
        <f t="shared" si="27"/>
        <v>USD</v>
      </c>
      <c r="J852" s="5"/>
      <c r="K852" s="3"/>
      <c r="L852" s="3"/>
      <c r="M852" s="3"/>
      <c r="N852" s="3"/>
      <c r="O852" s="3"/>
    </row>
    <row r="853" spans="1:15" ht="15">
      <c r="A853" s="72">
        <v>2</v>
      </c>
      <c r="B853" s="70">
        <v>13.686145210299999</v>
      </c>
      <c r="C853" s="69">
        <v>-89.194060244100001</v>
      </c>
      <c r="D853" s="71">
        <v>0</v>
      </c>
      <c r="E853" s="19">
        <v>0</v>
      </c>
      <c r="F853" s="19">
        <f t="shared" si="26"/>
        <v>0</v>
      </c>
      <c r="G853" s="20">
        <v>102</v>
      </c>
      <c r="H853" s="19" t="str">
        <f t="shared" si="27"/>
        <v>USD</v>
      </c>
      <c r="J853" s="5"/>
      <c r="K853" s="3"/>
      <c r="L853" s="3"/>
      <c r="M853" s="3"/>
      <c r="N853" s="3"/>
      <c r="O853" s="3"/>
    </row>
    <row r="854" spans="1:15" ht="15">
      <c r="A854" s="72">
        <v>2</v>
      </c>
      <c r="B854" s="70">
        <v>13.6861251481</v>
      </c>
      <c r="C854" s="69">
        <v>-89.194025372799999</v>
      </c>
      <c r="D854" s="71">
        <v>0</v>
      </c>
      <c r="E854" s="19">
        <v>0</v>
      </c>
      <c r="F854" s="19">
        <f t="shared" si="26"/>
        <v>0</v>
      </c>
      <c r="G854" s="20">
        <v>102</v>
      </c>
      <c r="H854" s="19" t="str">
        <f t="shared" si="27"/>
        <v>USD</v>
      </c>
      <c r="J854" s="5"/>
      <c r="K854" s="3"/>
      <c r="L854" s="3"/>
      <c r="M854" s="3"/>
      <c r="N854" s="3"/>
      <c r="O854" s="3"/>
    </row>
    <row r="855" spans="1:15" ht="15">
      <c r="A855" s="72">
        <v>2</v>
      </c>
      <c r="B855" s="70">
        <v>13.686111542700001</v>
      </c>
      <c r="C855" s="69">
        <v>-89.193990506700004</v>
      </c>
      <c r="D855" s="71">
        <v>0</v>
      </c>
      <c r="E855" s="19">
        <v>0</v>
      </c>
      <c r="F855" s="19">
        <f t="shared" si="26"/>
        <v>0</v>
      </c>
      <c r="G855" s="20">
        <v>102</v>
      </c>
      <c r="H855" s="19" t="str">
        <f t="shared" si="27"/>
        <v>USD</v>
      </c>
      <c r="J855" s="5"/>
      <c r="K855" s="3"/>
      <c r="L855" s="3"/>
      <c r="M855" s="3"/>
      <c r="N855" s="3"/>
      <c r="O855" s="3"/>
    </row>
    <row r="856" spans="1:15" ht="15">
      <c r="A856" s="72">
        <v>2</v>
      </c>
      <c r="B856" s="70">
        <v>13.6860943556</v>
      </c>
      <c r="C856" s="69">
        <v>-89.193949033500004</v>
      </c>
      <c r="D856" s="71">
        <v>0</v>
      </c>
      <c r="E856" s="19">
        <v>0</v>
      </c>
      <c r="F856" s="19">
        <f t="shared" si="26"/>
        <v>0</v>
      </c>
      <c r="G856" s="20">
        <v>102</v>
      </c>
      <c r="H856" s="19" t="str">
        <f t="shared" si="27"/>
        <v>USD</v>
      </c>
      <c r="J856" s="5"/>
      <c r="K856" s="3"/>
      <c r="L856" s="3"/>
      <c r="M856" s="3"/>
      <c r="N856" s="3"/>
      <c r="O856" s="3"/>
    </row>
    <row r="857" spans="1:15" ht="15">
      <c r="A857" s="72">
        <v>2</v>
      </c>
      <c r="B857" s="70">
        <v>13.6860657146</v>
      </c>
      <c r="C857" s="69">
        <v>-89.193874897100002</v>
      </c>
      <c r="D857" s="71">
        <v>0</v>
      </c>
      <c r="E857" s="19">
        <v>0</v>
      </c>
      <c r="F857" s="19">
        <f t="shared" si="26"/>
        <v>0</v>
      </c>
      <c r="G857" s="20">
        <v>102</v>
      </c>
      <c r="H857" s="19" t="str">
        <f t="shared" si="27"/>
        <v>USD</v>
      </c>
      <c r="J857" s="5"/>
      <c r="K857" s="3"/>
      <c r="L857" s="3"/>
      <c r="M857" s="3"/>
      <c r="N857" s="3"/>
      <c r="O857" s="3"/>
    </row>
    <row r="858" spans="1:15" ht="15">
      <c r="A858" s="72">
        <v>2</v>
      </c>
      <c r="B858" s="70">
        <v>13.686020854800001</v>
      </c>
      <c r="C858" s="69">
        <v>-89.193896507199995</v>
      </c>
      <c r="D858" s="71">
        <v>0</v>
      </c>
      <c r="E858" s="19">
        <v>0</v>
      </c>
      <c r="F858" s="19">
        <f t="shared" si="26"/>
        <v>0</v>
      </c>
      <c r="G858" s="20">
        <v>102</v>
      </c>
      <c r="H858" s="19" t="str">
        <f t="shared" si="27"/>
        <v>USD</v>
      </c>
      <c r="J858" s="5"/>
      <c r="K858" s="3"/>
      <c r="L858" s="3"/>
      <c r="M858" s="3"/>
      <c r="N858" s="3"/>
      <c r="O858" s="3"/>
    </row>
    <row r="859" spans="1:15" ht="15">
      <c r="A859" s="72">
        <v>2</v>
      </c>
      <c r="B859" s="70">
        <v>13.686018085200001</v>
      </c>
      <c r="C859" s="69">
        <v>-89.1937691925</v>
      </c>
      <c r="D859" s="71">
        <v>0</v>
      </c>
      <c r="E859" s="19">
        <v>0</v>
      </c>
      <c r="F859" s="19">
        <f t="shared" si="26"/>
        <v>0</v>
      </c>
      <c r="G859" s="20">
        <v>102</v>
      </c>
      <c r="H859" s="19" t="str">
        <f t="shared" si="27"/>
        <v>USD</v>
      </c>
      <c r="J859" s="5"/>
      <c r="K859" s="3"/>
      <c r="L859" s="3"/>
      <c r="M859" s="3"/>
      <c r="N859" s="3"/>
      <c r="O859" s="3"/>
    </row>
    <row r="860" spans="1:15" ht="15">
      <c r="A860" s="72">
        <v>2</v>
      </c>
      <c r="B860" s="70">
        <v>13.6860543365</v>
      </c>
      <c r="C860" s="69">
        <v>-89.193745741200004</v>
      </c>
      <c r="D860" s="71">
        <v>0</v>
      </c>
      <c r="E860" s="19">
        <v>0</v>
      </c>
      <c r="F860" s="19">
        <f t="shared" si="26"/>
        <v>0</v>
      </c>
      <c r="G860" s="20">
        <v>102</v>
      </c>
      <c r="H860" s="19" t="str">
        <f t="shared" si="27"/>
        <v>USD</v>
      </c>
      <c r="J860" s="5"/>
      <c r="K860" s="3"/>
      <c r="L860" s="3"/>
      <c r="M860" s="3"/>
      <c r="N860" s="3"/>
      <c r="O860" s="3"/>
    </row>
    <row r="861" spans="1:15" ht="15">
      <c r="A861" s="72">
        <v>2</v>
      </c>
      <c r="B861" s="70">
        <v>13.686126118300001</v>
      </c>
      <c r="C861" s="69">
        <v>-89.193703974200005</v>
      </c>
      <c r="D861" s="71">
        <v>0</v>
      </c>
      <c r="E861" s="19">
        <v>0</v>
      </c>
      <c r="F861" s="19">
        <f t="shared" si="26"/>
        <v>0</v>
      </c>
      <c r="G861" s="20">
        <v>102</v>
      </c>
      <c r="H861" s="19" t="str">
        <f t="shared" si="27"/>
        <v>USD</v>
      </c>
      <c r="J861" s="5"/>
      <c r="K861" s="3"/>
      <c r="L861" s="3"/>
      <c r="M861" s="3"/>
      <c r="N861" s="3"/>
      <c r="O861" s="3"/>
    </row>
    <row r="862" spans="1:15" ht="15">
      <c r="A862" s="72">
        <v>1</v>
      </c>
      <c r="B862" s="70">
        <v>13.686131399300001</v>
      </c>
      <c r="C862" s="69">
        <v>-89.193830923999997</v>
      </c>
      <c r="D862" s="71">
        <v>0</v>
      </c>
      <c r="E862" s="19">
        <v>0</v>
      </c>
      <c r="F862" s="19">
        <f t="shared" si="26"/>
        <v>0</v>
      </c>
      <c r="G862" s="20">
        <v>101</v>
      </c>
      <c r="H862" s="19" t="str">
        <f t="shared" si="27"/>
        <v>USD</v>
      </c>
      <c r="J862" s="5"/>
      <c r="K862" s="3"/>
      <c r="L862" s="3"/>
      <c r="M862" s="3"/>
      <c r="N862" s="3"/>
      <c r="O862" s="3"/>
    </row>
    <row r="863" spans="1:15" ht="15">
      <c r="A863" s="72">
        <v>2</v>
      </c>
      <c r="B863" s="70">
        <v>13.687374141599999</v>
      </c>
      <c r="C863" s="69">
        <v>-89.193360216200006</v>
      </c>
      <c r="D863" s="71">
        <v>0</v>
      </c>
      <c r="E863" s="19">
        <v>0</v>
      </c>
      <c r="F863" s="19">
        <f t="shared" si="26"/>
        <v>0</v>
      </c>
      <c r="G863" s="20">
        <v>102</v>
      </c>
      <c r="H863" s="19" t="str">
        <f t="shared" si="27"/>
        <v>USD</v>
      </c>
      <c r="J863" s="5"/>
      <c r="K863" s="3"/>
      <c r="L863" s="3"/>
      <c r="M863" s="3"/>
      <c r="N863" s="3"/>
      <c r="O863" s="3"/>
    </row>
    <row r="864" spans="1:15" ht="15">
      <c r="A864" s="72">
        <v>2</v>
      </c>
      <c r="B864" s="70">
        <v>13.6873537365</v>
      </c>
      <c r="C864" s="69">
        <v>-89.193275078699997</v>
      </c>
      <c r="D864" s="71">
        <v>0</v>
      </c>
      <c r="E864" s="19">
        <v>0</v>
      </c>
      <c r="F864" s="19">
        <f t="shared" si="26"/>
        <v>0</v>
      </c>
      <c r="G864" s="20">
        <v>102</v>
      </c>
      <c r="H864" s="19" t="str">
        <f t="shared" si="27"/>
        <v>USD</v>
      </c>
      <c r="J864" s="5"/>
      <c r="K864" s="3"/>
      <c r="L864" s="3"/>
      <c r="M864" s="3"/>
      <c r="N864" s="3"/>
      <c r="O864" s="3"/>
    </row>
    <row r="865" spans="1:15" ht="15">
      <c r="A865" s="72">
        <v>2</v>
      </c>
      <c r="B865" s="70">
        <v>13.687362971100001</v>
      </c>
      <c r="C865" s="69">
        <v>-89.193210512600004</v>
      </c>
      <c r="D865" s="71">
        <v>0</v>
      </c>
      <c r="E865" s="19">
        <v>0</v>
      </c>
      <c r="F865" s="19">
        <f t="shared" si="26"/>
        <v>0</v>
      </c>
      <c r="G865" s="20">
        <v>102</v>
      </c>
      <c r="H865" s="19" t="str">
        <f t="shared" si="27"/>
        <v>USD</v>
      </c>
      <c r="J865" s="5"/>
      <c r="K865" s="3"/>
      <c r="L865" s="3"/>
      <c r="M865" s="3"/>
      <c r="N865" s="3"/>
      <c r="O865" s="3"/>
    </row>
    <row r="866" spans="1:15" ht="15">
      <c r="A866" s="72">
        <v>1</v>
      </c>
      <c r="B866" s="70">
        <v>13.687319517000001</v>
      </c>
      <c r="C866" s="69">
        <v>-89.193239046499997</v>
      </c>
      <c r="D866" s="71">
        <v>0</v>
      </c>
      <c r="E866" s="19">
        <v>0</v>
      </c>
      <c r="F866" s="19">
        <f t="shared" si="26"/>
        <v>0</v>
      </c>
      <c r="G866" s="20">
        <v>101</v>
      </c>
      <c r="H866" s="19" t="str">
        <f t="shared" si="27"/>
        <v>USD</v>
      </c>
      <c r="J866" s="5"/>
      <c r="K866" s="3"/>
      <c r="L866" s="3"/>
      <c r="M866" s="3"/>
      <c r="N866" s="3"/>
      <c r="O866" s="3"/>
    </row>
    <row r="867" spans="1:15" ht="15">
      <c r="A867" s="72">
        <v>2</v>
      </c>
      <c r="B867" s="70">
        <v>13.6874467561</v>
      </c>
      <c r="C867" s="69">
        <v>-89.193127026799999</v>
      </c>
      <c r="D867" s="71">
        <v>0</v>
      </c>
      <c r="E867" s="19">
        <v>0</v>
      </c>
      <c r="F867" s="19">
        <f t="shared" si="26"/>
        <v>0</v>
      </c>
      <c r="G867" s="20">
        <v>102</v>
      </c>
      <c r="H867" s="19" t="str">
        <f t="shared" si="27"/>
        <v>USD</v>
      </c>
      <c r="J867" s="5"/>
      <c r="K867" s="3"/>
      <c r="L867" s="3"/>
      <c r="M867" s="3"/>
      <c r="N867" s="3"/>
      <c r="O867" s="3"/>
    </row>
    <row r="868" spans="1:15" ht="15">
      <c r="A868" s="72">
        <v>2</v>
      </c>
      <c r="B868" s="70">
        <v>13.6874883449</v>
      </c>
      <c r="C868" s="69">
        <v>-89.193083033500002</v>
      </c>
      <c r="D868" s="71">
        <v>0</v>
      </c>
      <c r="E868" s="19">
        <v>0</v>
      </c>
      <c r="F868" s="19">
        <f t="shared" si="26"/>
        <v>0</v>
      </c>
      <c r="G868" s="20">
        <v>102</v>
      </c>
      <c r="H868" s="19" t="str">
        <f t="shared" si="27"/>
        <v>USD</v>
      </c>
      <c r="J868" s="5"/>
      <c r="K868" s="3"/>
      <c r="L868" s="3"/>
      <c r="M868" s="3"/>
      <c r="N868" s="3"/>
      <c r="O868" s="3"/>
    </row>
    <row r="869" spans="1:15" ht="15">
      <c r="A869" s="72">
        <v>2</v>
      </c>
      <c r="B869" s="70">
        <v>13.687514396099999</v>
      </c>
      <c r="C869" s="69">
        <v>-89.193029854800002</v>
      </c>
      <c r="D869" s="71">
        <v>0</v>
      </c>
      <c r="E869" s="19">
        <v>0</v>
      </c>
      <c r="F869" s="19">
        <f t="shared" si="26"/>
        <v>0</v>
      </c>
      <c r="G869" s="20">
        <v>102</v>
      </c>
      <c r="H869" s="19" t="str">
        <f t="shared" si="27"/>
        <v>USD</v>
      </c>
      <c r="J869" s="5"/>
      <c r="K869" s="3"/>
      <c r="L869" s="3"/>
      <c r="M869" s="3"/>
      <c r="N869" s="3"/>
      <c r="O869" s="3"/>
    </row>
    <row r="870" spans="1:15" ht="15">
      <c r="A870" s="72">
        <v>2</v>
      </c>
      <c r="B870" s="70">
        <v>13.687555660899999</v>
      </c>
      <c r="C870" s="69">
        <v>-89.193017353000002</v>
      </c>
      <c r="D870" s="71">
        <v>0</v>
      </c>
      <c r="E870" s="19">
        <v>0</v>
      </c>
      <c r="F870" s="19">
        <f t="shared" si="26"/>
        <v>0</v>
      </c>
      <c r="G870" s="20">
        <v>102</v>
      </c>
      <c r="H870" s="19" t="str">
        <f t="shared" si="27"/>
        <v>USD</v>
      </c>
      <c r="J870" s="5"/>
      <c r="K870" s="3"/>
      <c r="L870" s="3"/>
      <c r="M870" s="3"/>
      <c r="N870" s="3"/>
      <c r="O870" s="3"/>
    </row>
    <row r="871" spans="1:15" ht="15">
      <c r="A871" s="72">
        <v>2</v>
      </c>
      <c r="B871" s="70">
        <v>13.687724427399999</v>
      </c>
      <c r="C871" s="69">
        <v>-89.192869102299994</v>
      </c>
      <c r="D871" s="71">
        <v>0</v>
      </c>
      <c r="E871" s="19">
        <v>0</v>
      </c>
      <c r="F871" s="19">
        <f t="shared" si="26"/>
        <v>0</v>
      </c>
      <c r="G871" s="20">
        <v>102</v>
      </c>
      <c r="H871" s="19" t="str">
        <f t="shared" si="27"/>
        <v>USD</v>
      </c>
      <c r="J871" s="5"/>
      <c r="K871" s="3"/>
      <c r="L871" s="3"/>
      <c r="M871" s="3"/>
      <c r="N871" s="3"/>
      <c r="O871" s="3"/>
    </row>
    <row r="872" spans="1:15" ht="15">
      <c r="A872" s="72">
        <v>2</v>
      </c>
      <c r="B872" s="70">
        <v>13.6877543425</v>
      </c>
      <c r="C872" s="69">
        <v>-89.192844055400002</v>
      </c>
      <c r="D872" s="71">
        <v>0</v>
      </c>
      <c r="E872" s="19">
        <v>0</v>
      </c>
      <c r="F872" s="19">
        <f t="shared" si="26"/>
        <v>0</v>
      </c>
      <c r="G872" s="20">
        <v>102</v>
      </c>
      <c r="H872" s="19" t="str">
        <f t="shared" si="27"/>
        <v>USD</v>
      </c>
      <c r="J872" s="5"/>
      <c r="K872" s="3"/>
      <c r="L872" s="3"/>
      <c r="M872" s="3"/>
      <c r="N872" s="3"/>
      <c r="O872" s="3"/>
    </row>
    <row r="873" spans="1:15" ht="15">
      <c r="A873" s="72">
        <v>2</v>
      </c>
      <c r="B873" s="70">
        <v>13.6873936413</v>
      </c>
      <c r="C873" s="69">
        <v>-89.193178124400006</v>
      </c>
      <c r="D873" s="71">
        <v>0</v>
      </c>
      <c r="E873" s="19">
        <v>0</v>
      </c>
      <c r="F873" s="19">
        <f t="shared" si="26"/>
        <v>0</v>
      </c>
      <c r="G873" s="20">
        <v>102</v>
      </c>
      <c r="H873" s="19" t="str">
        <f t="shared" si="27"/>
        <v>USD</v>
      </c>
      <c r="J873" s="5"/>
      <c r="K873" s="3"/>
      <c r="L873" s="3"/>
      <c r="M873" s="3"/>
      <c r="N873" s="3"/>
      <c r="O873" s="3"/>
    </row>
    <row r="874" spans="1:15" ht="15">
      <c r="A874" s="72">
        <v>2</v>
      </c>
      <c r="B874" s="70">
        <v>13.687271366999999</v>
      </c>
      <c r="C874" s="69">
        <v>-89.193789211899997</v>
      </c>
      <c r="D874" s="71">
        <v>0</v>
      </c>
      <c r="E874" s="19">
        <v>0</v>
      </c>
      <c r="F874" s="19">
        <f t="shared" si="26"/>
        <v>0</v>
      </c>
      <c r="G874" s="20">
        <v>102</v>
      </c>
      <c r="H874" s="19" t="str">
        <f t="shared" si="27"/>
        <v>USD</v>
      </c>
      <c r="J874" s="5"/>
      <c r="K874" s="3"/>
      <c r="L874" s="3"/>
      <c r="M874" s="3"/>
      <c r="N874" s="3"/>
      <c r="O874" s="3"/>
    </row>
    <row r="875" spans="1:15" ht="15">
      <c r="A875" s="72">
        <v>2</v>
      </c>
      <c r="B875" s="70">
        <v>13.687278275200001</v>
      </c>
      <c r="C875" s="69">
        <v>-89.193747330299999</v>
      </c>
      <c r="D875" s="71">
        <v>0</v>
      </c>
      <c r="E875" s="19">
        <v>0</v>
      </c>
      <c r="F875" s="19">
        <f t="shared" si="26"/>
        <v>0</v>
      </c>
      <c r="G875" s="20">
        <v>102</v>
      </c>
      <c r="H875" s="19" t="str">
        <f t="shared" si="27"/>
        <v>USD</v>
      </c>
      <c r="J875" s="5"/>
      <c r="K875" s="3"/>
      <c r="L875" s="3"/>
      <c r="M875" s="3"/>
      <c r="N875" s="3"/>
      <c r="O875" s="3"/>
    </row>
    <row r="876" spans="1:15" ht="15">
      <c r="A876" s="72">
        <v>1</v>
      </c>
      <c r="B876" s="70">
        <v>13.6873052056</v>
      </c>
      <c r="C876" s="69">
        <v>-89.193716472700004</v>
      </c>
      <c r="D876" s="71">
        <v>0</v>
      </c>
      <c r="E876" s="19">
        <v>0</v>
      </c>
      <c r="F876" s="19">
        <f t="shared" si="26"/>
        <v>0</v>
      </c>
      <c r="G876" s="20">
        <v>101</v>
      </c>
      <c r="H876" s="19" t="str">
        <f t="shared" si="27"/>
        <v>USD</v>
      </c>
      <c r="J876" s="5"/>
      <c r="K876" s="3"/>
      <c r="L876" s="3"/>
      <c r="M876" s="3"/>
      <c r="N876" s="3"/>
      <c r="O876" s="3"/>
    </row>
    <row r="877" spans="1:15" ht="15">
      <c r="A877" s="72">
        <v>2</v>
      </c>
      <c r="B877" s="70">
        <v>13.6873091363</v>
      </c>
      <c r="C877" s="69">
        <v>-89.193660829799995</v>
      </c>
      <c r="D877" s="71">
        <v>0</v>
      </c>
      <c r="E877" s="19">
        <v>0</v>
      </c>
      <c r="F877" s="19">
        <f t="shared" si="26"/>
        <v>0</v>
      </c>
      <c r="G877" s="20">
        <v>102</v>
      </c>
      <c r="H877" s="19" t="str">
        <f t="shared" si="27"/>
        <v>USD</v>
      </c>
      <c r="J877" s="5"/>
      <c r="K877" s="3"/>
      <c r="L877" s="3"/>
      <c r="M877" s="3"/>
      <c r="N877" s="3"/>
      <c r="O877" s="3"/>
    </row>
    <row r="878" spans="1:15" ht="15">
      <c r="A878" s="72">
        <v>2</v>
      </c>
      <c r="B878" s="70">
        <v>13.687320229599999</v>
      </c>
      <c r="C878" s="69">
        <v>-89.193620174700001</v>
      </c>
      <c r="D878" s="71">
        <v>0</v>
      </c>
      <c r="E878" s="19">
        <v>0</v>
      </c>
      <c r="F878" s="19">
        <f t="shared" si="26"/>
        <v>0</v>
      </c>
      <c r="G878" s="20">
        <v>102</v>
      </c>
      <c r="H878" s="19" t="str">
        <f t="shared" si="27"/>
        <v>USD</v>
      </c>
      <c r="J878" s="5"/>
      <c r="K878" s="3"/>
      <c r="L878" s="3"/>
      <c r="M878" s="3"/>
      <c r="N878" s="3"/>
      <c r="O878" s="3"/>
    </row>
    <row r="879" spans="1:15" ht="15">
      <c r="A879" s="72">
        <v>2</v>
      </c>
      <c r="B879" s="70">
        <v>13.6873322223</v>
      </c>
      <c r="C879" s="69">
        <v>-89.193576157099997</v>
      </c>
      <c r="D879" s="71">
        <v>0</v>
      </c>
      <c r="E879" s="19">
        <v>0</v>
      </c>
      <c r="F879" s="19">
        <f t="shared" si="26"/>
        <v>0</v>
      </c>
      <c r="G879" s="20">
        <v>102</v>
      </c>
      <c r="H879" s="19" t="str">
        <f t="shared" si="27"/>
        <v>USD</v>
      </c>
      <c r="J879" s="5"/>
      <c r="K879" s="3"/>
      <c r="L879" s="3"/>
      <c r="M879" s="3"/>
      <c r="N879" s="3"/>
      <c r="O879" s="3"/>
    </row>
    <row r="880" spans="1:15" ht="15">
      <c r="A880" s="72">
        <v>2</v>
      </c>
      <c r="B880" s="70">
        <v>13.687336760899999</v>
      </c>
      <c r="C880" s="69">
        <v>-89.193522091899993</v>
      </c>
      <c r="D880" s="71">
        <v>0</v>
      </c>
      <c r="E880" s="19">
        <v>0</v>
      </c>
      <c r="F880" s="19">
        <f t="shared" si="26"/>
        <v>0</v>
      </c>
      <c r="G880" s="20">
        <v>102</v>
      </c>
      <c r="H880" s="19" t="str">
        <f t="shared" si="27"/>
        <v>USD</v>
      </c>
      <c r="J880" s="5"/>
      <c r="K880" s="3"/>
      <c r="L880" s="3"/>
      <c r="M880" s="3"/>
      <c r="N880" s="3"/>
      <c r="O880" s="3"/>
    </row>
    <row r="881" spans="1:15" ht="15">
      <c r="A881" s="72">
        <v>2</v>
      </c>
      <c r="B881" s="70">
        <v>13.687337750399999</v>
      </c>
      <c r="C881" s="69">
        <v>-89.193480022299994</v>
      </c>
      <c r="D881" s="71">
        <v>0</v>
      </c>
      <c r="E881" s="19">
        <v>0</v>
      </c>
      <c r="F881" s="19">
        <f t="shared" si="26"/>
        <v>0</v>
      </c>
      <c r="G881" s="20">
        <v>102</v>
      </c>
      <c r="H881" s="19" t="str">
        <f t="shared" si="27"/>
        <v>USD</v>
      </c>
      <c r="J881" s="5"/>
      <c r="K881" s="3"/>
      <c r="L881" s="3"/>
      <c r="M881" s="3"/>
      <c r="N881" s="3"/>
      <c r="O881" s="3"/>
    </row>
    <row r="882" spans="1:15" ht="15">
      <c r="A882" s="72">
        <v>2</v>
      </c>
      <c r="B882" s="70">
        <v>13.686454167200001</v>
      </c>
      <c r="C882" s="69">
        <v>-89.193716456600001</v>
      </c>
      <c r="D882" s="71">
        <v>0</v>
      </c>
      <c r="E882" s="19">
        <v>0</v>
      </c>
      <c r="F882" s="19">
        <f t="shared" si="26"/>
        <v>0</v>
      </c>
      <c r="G882" s="20">
        <v>102</v>
      </c>
      <c r="H882" s="19" t="str">
        <f t="shared" si="27"/>
        <v>USD</v>
      </c>
      <c r="J882" s="5"/>
      <c r="K882" s="3"/>
      <c r="L882" s="3"/>
      <c r="M882" s="3"/>
      <c r="N882" s="3"/>
      <c r="O882" s="3"/>
    </row>
    <row r="883" spans="1:15" ht="15">
      <c r="A883" s="72">
        <v>2</v>
      </c>
      <c r="B883" s="70">
        <v>13.686459037400001</v>
      </c>
      <c r="C883" s="69">
        <v>-89.193606391900005</v>
      </c>
      <c r="D883" s="71">
        <v>0</v>
      </c>
      <c r="E883" s="19">
        <v>0</v>
      </c>
      <c r="F883" s="19">
        <f t="shared" si="26"/>
        <v>0</v>
      </c>
      <c r="G883" s="20">
        <v>102</v>
      </c>
      <c r="H883" s="19" t="str">
        <f t="shared" si="27"/>
        <v>USD</v>
      </c>
      <c r="J883" s="5"/>
      <c r="K883" s="3"/>
      <c r="L883" s="3"/>
      <c r="M883" s="3"/>
      <c r="N883" s="3"/>
      <c r="O883" s="3"/>
    </row>
    <row r="884" spans="1:15" ht="15">
      <c r="A884" s="72">
        <v>2</v>
      </c>
      <c r="B884" s="70">
        <v>13.686488350799999</v>
      </c>
      <c r="C884" s="69">
        <v>-89.193585624899995</v>
      </c>
      <c r="D884" s="71">
        <v>0</v>
      </c>
      <c r="E884" s="19">
        <v>0</v>
      </c>
      <c r="F884" s="19">
        <f t="shared" si="26"/>
        <v>0</v>
      </c>
      <c r="G884" s="20">
        <v>102</v>
      </c>
      <c r="H884" s="19" t="str">
        <f t="shared" si="27"/>
        <v>USD</v>
      </c>
      <c r="J884" s="5"/>
      <c r="K884" s="3"/>
      <c r="L884" s="3"/>
      <c r="M884" s="3"/>
      <c r="N884" s="3"/>
      <c r="O884" s="3"/>
    </row>
    <row r="885" spans="1:15" ht="15">
      <c r="A885" s="72">
        <v>2</v>
      </c>
      <c r="B885" s="70">
        <v>13.6865690332</v>
      </c>
      <c r="C885" s="69">
        <v>-89.193630330700003</v>
      </c>
      <c r="D885" s="71">
        <v>0</v>
      </c>
      <c r="E885" s="19">
        <v>0</v>
      </c>
      <c r="F885" s="19">
        <f t="shared" si="26"/>
        <v>0</v>
      </c>
      <c r="G885" s="20">
        <v>102</v>
      </c>
      <c r="H885" s="19" t="str">
        <f t="shared" si="27"/>
        <v>USD</v>
      </c>
      <c r="J885" s="5"/>
      <c r="K885" s="3"/>
      <c r="L885" s="3"/>
      <c r="M885" s="3"/>
      <c r="N885" s="3"/>
      <c r="O885" s="3"/>
    </row>
    <row r="886" spans="1:15" ht="15">
      <c r="A886" s="72">
        <v>2</v>
      </c>
      <c r="B886" s="70">
        <v>13.6865982998</v>
      </c>
      <c r="C886" s="69">
        <v>-89.193670101899997</v>
      </c>
      <c r="D886" s="71">
        <v>0</v>
      </c>
      <c r="E886" s="19">
        <v>0</v>
      </c>
      <c r="F886" s="19">
        <f t="shared" si="26"/>
        <v>0</v>
      </c>
      <c r="G886" s="20">
        <v>102</v>
      </c>
      <c r="H886" s="19" t="str">
        <f t="shared" si="27"/>
        <v>USD</v>
      </c>
      <c r="J886" s="5"/>
      <c r="K886" s="3"/>
      <c r="L886" s="3"/>
      <c r="M886" s="3"/>
      <c r="N886" s="3"/>
      <c r="O886" s="3"/>
    </row>
    <row r="887" spans="1:15" ht="15">
      <c r="A887" s="72">
        <v>2</v>
      </c>
      <c r="B887" s="70">
        <v>13.6866209876</v>
      </c>
      <c r="C887" s="69">
        <v>-89.193711089800004</v>
      </c>
      <c r="D887" s="71">
        <v>0</v>
      </c>
      <c r="E887" s="19">
        <v>0</v>
      </c>
      <c r="F887" s="19">
        <f t="shared" si="26"/>
        <v>0</v>
      </c>
      <c r="G887" s="20">
        <v>102</v>
      </c>
      <c r="H887" s="19" t="str">
        <f t="shared" si="27"/>
        <v>USD</v>
      </c>
      <c r="J887" s="5"/>
      <c r="K887" s="3"/>
      <c r="L887" s="3"/>
      <c r="M887" s="3"/>
      <c r="N887" s="3"/>
      <c r="O887" s="3"/>
    </row>
    <row r="888" spans="1:15" ht="15">
      <c r="A888" s="72">
        <v>2</v>
      </c>
      <c r="B888" s="70">
        <v>13.6866400728</v>
      </c>
      <c r="C888" s="69">
        <v>-89.193772254699994</v>
      </c>
      <c r="D888" s="71">
        <v>0</v>
      </c>
      <c r="E888" s="19">
        <v>0</v>
      </c>
      <c r="F888" s="19">
        <f t="shared" si="26"/>
        <v>0</v>
      </c>
      <c r="G888" s="20">
        <v>102</v>
      </c>
      <c r="H888" s="19" t="str">
        <f t="shared" si="27"/>
        <v>USD</v>
      </c>
      <c r="J888" s="5"/>
      <c r="K888" s="3"/>
      <c r="L888" s="3"/>
      <c r="M888" s="3"/>
      <c r="N888" s="3"/>
      <c r="O888" s="3"/>
    </row>
    <row r="889" spans="1:15" ht="15">
      <c r="A889" s="72">
        <v>2</v>
      </c>
      <c r="B889" s="70">
        <v>13.6866340408</v>
      </c>
      <c r="C889" s="69">
        <v>-89.193838902300001</v>
      </c>
      <c r="D889" s="71">
        <v>0</v>
      </c>
      <c r="E889" s="19">
        <v>0</v>
      </c>
      <c r="F889" s="19">
        <f t="shared" si="26"/>
        <v>0</v>
      </c>
      <c r="G889" s="20">
        <v>102</v>
      </c>
      <c r="H889" s="19" t="str">
        <f t="shared" si="27"/>
        <v>USD</v>
      </c>
      <c r="J889" s="5"/>
      <c r="K889" s="3"/>
      <c r="L889" s="3"/>
      <c r="M889" s="3"/>
      <c r="N889" s="3"/>
      <c r="O889" s="3"/>
    </row>
    <row r="890" spans="1:15" ht="15">
      <c r="A890" s="72">
        <v>2</v>
      </c>
      <c r="B890" s="70">
        <v>13.686504701500001</v>
      </c>
      <c r="C890" s="69">
        <v>-89.194081558299999</v>
      </c>
      <c r="D890" s="71">
        <v>0</v>
      </c>
      <c r="E890" s="19">
        <v>0</v>
      </c>
      <c r="F890" s="19">
        <f t="shared" si="26"/>
        <v>0</v>
      </c>
      <c r="G890" s="20">
        <v>102</v>
      </c>
      <c r="H890" s="19" t="str">
        <f t="shared" si="27"/>
        <v>USD</v>
      </c>
      <c r="J890" s="5"/>
      <c r="K890" s="3"/>
      <c r="L890" s="3"/>
      <c r="M890" s="3"/>
      <c r="N890" s="3"/>
      <c r="O890" s="3"/>
    </row>
    <row r="891" spans="1:15" ht="15">
      <c r="A891" s="72">
        <v>2</v>
      </c>
      <c r="B891" s="70">
        <v>13.686424065500001</v>
      </c>
      <c r="C891" s="69">
        <v>-89.193978149399996</v>
      </c>
      <c r="D891" s="71">
        <v>0</v>
      </c>
      <c r="E891" s="19">
        <v>0</v>
      </c>
      <c r="F891" s="19">
        <f t="shared" si="26"/>
        <v>0</v>
      </c>
      <c r="G891" s="20">
        <v>102</v>
      </c>
      <c r="H891" s="19" t="str">
        <f t="shared" si="27"/>
        <v>USD</v>
      </c>
      <c r="J891" s="5"/>
      <c r="K891" s="3"/>
      <c r="L891" s="3"/>
      <c r="M891" s="3"/>
      <c r="N891" s="3"/>
      <c r="O891" s="3"/>
    </row>
    <row r="892" spans="1:15" ht="15">
      <c r="A892" s="72">
        <v>2</v>
      </c>
      <c r="B892" s="70">
        <v>13.686555555</v>
      </c>
      <c r="C892" s="69">
        <v>-89.194041853200005</v>
      </c>
      <c r="D892" s="71">
        <v>0</v>
      </c>
      <c r="E892" s="19">
        <v>0</v>
      </c>
      <c r="F892" s="19">
        <f t="shared" si="26"/>
        <v>0</v>
      </c>
      <c r="G892" s="20">
        <v>102</v>
      </c>
      <c r="H892" s="19" t="str">
        <f t="shared" si="27"/>
        <v>USD</v>
      </c>
      <c r="J892" s="5"/>
      <c r="K892" s="3"/>
      <c r="L892" s="3"/>
      <c r="M892" s="3"/>
      <c r="N892" s="3"/>
      <c r="O892" s="3"/>
    </row>
    <row r="893" spans="1:15" ht="15">
      <c r="A893" s="72">
        <v>2</v>
      </c>
      <c r="B893" s="70">
        <v>13.686597433899999</v>
      </c>
      <c r="C893" s="69">
        <v>-89.194009479100004</v>
      </c>
      <c r="D893" s="71">
        <v>0</v>
      </c>
      <c r="E893" s="19">
        <v>0</v>
      </c>
      <c r="F893" s="19">
        <f t="shared" si="26"/>
        <v>0</v>
      </c>
      <c r="G893" s="20">
        <v>102</v>
      </c>
      <c r="H893" s="19" t="str">
        <f t="shared" si="27"/>
        <v>USD</v>
      </c>
      <c r="J893" s="5"/>
      <c r="K893" s="3"/>
      <c r="L893" s="3"/>
      <c r="M893" s="3"/>
      <c r="N893" s="3"/>
      <c r="O893" s="3"/>
    </row>
    <row r="894" spans="1:15" ht="15">
      <c r="A894" s="72">
        <v>2</v>
      </c>
      <c r="B894" s="70">
        <v>13.686639916600001</v>
      </c>
      <c r="C894" s="69">
        <v>-89.193970378100005</v>
      </c>
      <c r="D894" s="71">
        <v>0</v>
      </c>
      <c r="E894" s="19">
        <v>0</v>
      </c>
      <c r="F894" s="19">
        <f t="shared" si="26"/>
        <v>0</v>
      </c>
      <c r="G894" s="20">
        <v>102</v>
      </c>
      <c r="H894" s="19" t="str">
        <f t="shared" si="27"/>
        <v>USD</v>
      </c>
      <c r="J894" s="5"/>
      <c r="K894" s="3"/>
      <c r="L894" s="3"/>
      <c r="M894" s="3"/>
      <c r="N894" s="3"/>
      <c r="O894" s="3"/>
    </row>
    <row r="895" spans="1:15" ht="15">
      <c r="A895" s="72">
        <v>2</v>
      </c>
      <c r="B895" s="70">
        <v>13.6866699388</v>
      </c>
      <c r="C895" s="69">
        <v>-89.193931096699998</v>
      </c>
      <c r="D895" s="71">
        <v>0</v>
      </c>
      <c r="E895" s="19">
        <v>0</v>
      </c>
      <c r="F895" s="19">
        <f t="shared" si="26"/>
        <v>0</v>
      </c>
      <c r="G895" s="20">
        <v>102</v>
      </c>
      <c r="H895" s="19" t="str">
        <f t="shared" si="27"/>
        <v>USD</v>
      </c>
      <c r="J895" s="5"/>
      <c r="K895" s="3"/>
      <c r="L895" s="3"/>
      <c r="M895" s="3"/>
      <c r="N895" s="3"/>
      <c r="O895" s="3"/>
    </row>
    <row r="896" spans="1:15" ht="15">
      <c r="A896" s="72">
        <v>2</v>
      </c>
      <c r="B896" s="70">
        <v>13.686667830099999</v>
      </c>
      <c r="C896" s="69">
        <v>-89.193874739999998</v>
      </c>
      <c r="D896" s="71">
        <v>0</v>
      </c>
      <c r="E896" s="19">
        <v>0</v>
      </c>
      <c r="F896" s="19">
        <f t="shared" si="26"/>
        <v>0</v>
      </c>
      <c r="G896" s="20">
        <v>102</v>
      </c>
      <c r="H896" s="19" t="str">
        <f t="shared" si="27"/>
        <v>USD</v>
      </c>
      <c r="J896" s="5"/>
      <c r="K896" s="3"/>
      <c r="L896" s="3"/>
      <c r="M896" s="3"/>
      <c r="N896" s="3"/>
      <c r="O896" s="3"/>
    </row>
    <row r="897" spans="1:15" ht="15">
      <c r="A897" s="72">
        <v>2</v>
      </c>
      <c r="B897" s="70">
        <v>13.686648332500001</v>
      </c>
      <c r="C897" s="69">
        <v>-89.193851828800007</v>
      </c>
      <c r="D897" s="71">
        <v>0</v>
      </c>
      <c r="E897" s="19">
        <v>0</v>
      </c>
      <c r="F897" s="19">
        <f t="shared" si="26"/>
        <v>0</v>
      </c>
      <c r="G897" s="20">
        <v>102</v>
      </c>
      <c r="H897" s="19" t="str">
        <f t="shared" si="27"/>
        <v>USD</v>
      </c>
      <c r="J897" s="5"/>
      <c r="K897" s="3"/>
      <c r="L897" s="3"/>
      <c r="M897" s="3"/>
      <c r="N897" s="3"/>
      <c r="O897" s="3"/>
    </row>
    <row r="898" spans="1:15" ht="15">
      <c r="A898" s="72">
        <v>2</v>
      </c>
      <c r="B898" s="70">
        <v>13.6867224973</v>
      </c>
      <c r="C898" s="69">
        <v>-89.193881926499998</v>
      </c>
      <c r="D898" s="71">
        <v>0</v>
      </c>
      <c r="E898" s="19">
        <v>0</v>
      </c>
      <c r="F898" s="19">
        <f t="shared" si="26"/>
        <v>0</v>
      </c>
      <c r="G898" s="20">
        <v>102</v>
      </c>
      <c r="H898" s="19" t="str">
        <f t="shared" si="27"/>
        <v>USD</v>
      </c>
      <c r="J898" s="5"/>
      <c r="K898" s="3"/>
      <c r="L898" s="3"/>
      <c r="M898" s="3"/>
      <c r="N898" s="3"/>
      <c r="O898" s="3"/>
    </row>
    <row r="899" spans="1:15" ht="15">
      <c r="A899" s="72">
        <v>2</v>
      </c>
      <c r="B899" s="70">
        <v>13.6867125209</v>
      </c>
      <c r="C899" s="69">
        <v>-89.193795575699994</v>
      </c>
      <c r="D899" s="71">
        <v>0</v>
      </c>
      <c r="E899" s="19">
        <v>0</v>
      </c>
      <c r="F899" s="19">
        <f t="shared" ref="F899:F960" si="28">D899</f>
        <v>0</v>
      </c>
      <c r="G899" s="20">
        <v>102</v>
      </c>
      <c r="H899" s="19" t="str">
        <f t="shared" ref="H899:H960" si="29">IF(OR(A899&lt;17,A899=21),"USD","people")</f>
        <v>USD</v>
      </c>
      <c r="J899" s="5"/>
      <c r="K899" s="3"/>
      <c r="L899" s="3"/>
      <c r="M899" s="3"/>
      <c r="N899" s="3"/>
      <c r="O899" s="3"/>
    </row>
    <row r="900" spans="1:15" ht="15">
      <c r="A900" s="72">
        <v>2</v>
      </c>
      <c r="B900" s="70">
        <v>13.686685002300001</v>
      </c>
      <c r="C900" s="69">
        <v>-89.193814631999999</v>
      </c>
      <c r="D900" s="71">
        <v>0</v>
      </c>
      <c r="E900" s="19">
        <v>0</v>
      </c>
      <c r="F900" s="19">
        <f t="shared" si="28"/>
        <v>0</v>
      </c>
      <c r="G900" s="20">
        <v>102</v>
      </c>
      <c r="H900" s="19" t="str">
        <f t="shared" si="29"/>
        <v>USD</v>
      </c>
      <c r="J900" s="5"/>
      <c r="K900" s="3"/>
      <c r="L900" s="3"/>
      <c r="M900" s="3"/>
      <c r="N900" s="3"/>
      <c r="O900" s="3"/>
    </row>
    <row r="901" spans="1:15" ht="15">
      <c r="A901" s="72">
        <v>2</v>
      </c>
      <c r="B901" s="70">
        <v>13.6863431851</v>
      </c>
      <c r="C901" s="69">
        <v>-89.194083797199994</v>
      </c>
      <c r="D901" s="71">
        <v>0</v>
      </c>
      <c r="E901" s="19">
        <v>0</v>
      </c>
      <c r="F901" s="19">
        <f t="shared" si="28"/>
        <v>0</v>
      </c>
      <c r="G901" s="20">
        <v>102</v>
      </c>
      <c r="H901" s="19" t="str">
        <f t="shared" si="29"/>
        <v>USD</v>
      </c>
      <c r="J901" s="5"/>
      <c r="K901" s="3"/>
      <c r="L901" s="3"/>
      <c r="M901" s="3"/>
      <c r="N901" s="3"/>
      <c r="O901" s="3"/>
    </row>
    <row r="902" spans="1:15" ht="15">
      <c r="A902" s="72">
        <v>2</v>
      </c>
      <c r="B902" s="70">
        <v>13.686269791100001</v>
      </c>
      <c r="C902" s="69">
        <v>-89.193743259100003</v>
      </c>
      <c r="D902" s="71">
        <v>0</v>
      </c>
      <c r="E902" s="19">
        <v>0</v>
      </c>
      <c r="F902" s="19">
        <f t="shared" si="28"/>
        <v>0</v>
      </c>
      <c r="G902" s="20">
        <v>102</v>
      </c>
      <c r="H902" s="19" t="str">
        <f t="shared" si="29"/>
        <v>USD</v>
      </c>
      <c r="J902" s="5"/>
      <c r="K902" s="3"/>
      <c r="L902" s="3"/>
      <c r="M902" s="3"/>
      <c r="N902" s="3"/>
      <c r="O902" s="3"/>
    </row>
    <row r="903" spans="1:15" ht="15">
      <c r="A903" s="72">
        <v>2</v>
      </c>
      <c r="B903" s="70">
        <v>13.6862162981</v>
      </c>
      <c r="C903" s="69">
        <v>-89.193641951800004</v>
      </c>
      <c r="D903" s="71">
        <v>0</v>
      </c>
      <c r="E903" s="19">
        <v>0</v>
      </c>
      <c r="F903" s="19">
        <f t="shared" si="28"/>
        <v>0</v>
      </c>
      <c r="G903" s="20">
        <v>102</v>
      </c>
      <c r="H903" s="19" t="str">
        <f t="shared" si="29"/>
        <v>USD</v>
      </c>
      <c r="J903" s="5"/>
      <c r="K903" s="3"/>
      <c r="L903" s="3"/>
      <c r="M903" s="3"/>
      <c r="N903" s="3"/>
      <c r="O903" s="3"/>
    </row>
    <row r="904" spans="1:15" ht="15">
      <c r="A904" s="72">
        <v>2</v>
      </c>
      <c r="B904" s="70">
        <v>13.6862940867</v>
      </c>
      <c r="C904" s="69">
        <v>-89.193565416300004</v>
      </c>
      <c r="D904" s="71">
        <v>0</v>
      </c>
      <c r="E904" s="19">
        <v>0</v>
      </c>
      <c r="F904" s="19">
        <f t="shared" si="28"/>
        <v>0</v>
      </c>
      <c r="G904" s="20">
        <v>102</v>
      </c>
      <c r="H904" s="19" t="str">
        <f t="shared" si="29"/>
        <v>USD</v>
      </c>
      <c r="J904" s="5"/>
      <c r="K904" s="3"/>
      <c r="L904" s="3"/>
      <c r="M904" s="3"/>
      <c r="N904" s="3"/>
      <c r="O904" s="3"/>
    </row>
    <row r="905" spans="1:15" ht="15">
      <c r="A905" s="72">
        <v>2</v>
      </c>
      <c r="B905" s="70">
        <v>13.686337138800001</v>
      </c>
      <c r="C905" s="69">
        <v>-89.1935617826</v>
      </c>
      <c r="D905" s="71">
        <v>0</v>
      </c>
      <c r="E905" s="19">
        <v>0</v>
      </c>
      <c r="F905" s="19">
        <f t="shared" si="28"/>
        <v>0</v>
      </c>
      <c r="G905" s="20">
        <v>102</v>
      </c>
      <c r="H905" s="19" t="str">
        <f t="shared" si="29"/>
        <v>USD</v>
      </c>
      <c r="J905" s="5"/>
      <c r="K905" s="3"/>
      <c r="L905" s="3"/>
      <c r="M905" s="3"/>
      <c r="N905" s="3"/>
      <c r="O905" s="3"/>
    </row>
    <row r="906" spans="1:15" ht="15">
      <c r="A906" s="72">
        <v>1</v>
      </c>
      <c r="B906" s="70">
        <v>13.6863931432</v>
      </c>
      <c r="C906" s="69">
        <v>-89.193511197099994</v>
      </c>
      <c r="D906" s="71">
        <v>0</v>
      </c>
      <c r="E906" s="19">
        <v>0</v>
      </c>
      <c r="F906" s="19">
        <f t="shared" si="28"/>
        <v>0</v>
      </c>
      <c r="G906" s="20">
        <v>101</v>
      </c>
      <c r="H906" s="19" t="str">
        <f t="shared" si="29"/>
        <v>USD</v>
      </c>
      <c r="J906" s="5"/>
      <c r="K906" s="3"/>
      <c r="L906" s="3"/>
      <c r="M906" s="3"/>
      <c r="N906" s="3"/>
      <c r="O906" s="3"/>
    </row>
    <row r="907" spans="1:15" ht="15">
      <c r="A907" s="72">
        <v>1</v>
      </c>
      <c r="B907" s="70">
        <v>13.6864507408</v>
      </c>
      <c r="C907" s="69">
        <v>-89.193319676499996</v>
      </c>
      <c r="D907" s="71">
        <v>0</v>
      </c>
      <c r="E907" s="19">
        <v>0</v>
      </c>
      <c r="F907" s="19">
        <f t="shared" si="28"/>
        <v>0</v>
      </c>
      <c r="G907" s="20">
        <v>101</v>
      </c>
      <c r="H907" s="19" t="str">
        <f t="shared" si="29"/>
        <v>USD</v>
      </c>
      <c r="J907" s="5"/>
      <c r="K907" s="3"/>
      <c r="L907" s="3"/>
      <c r="M907" s="3"/>
      <c r="N907" s="3"/>
      <c r="O907" s="3"/>
    </row>
    <row r="908" spans="1:15" ht="15">
      <c r="A908" s="72">
        <v>1</v>
      </c>
      <c r="B908" s="70">
        <v>13.686467354199999</v>
      </c>
      <c r="C908" s="69">
        <v>-89.193360782300005</v>
      </c>
      <c r="D908" s="71">
        <v>0</v>
      </c>
      <c r="E908" s="19">
        <v>0</v>
      </c>
      <c r="F908" s="19">
        <f t="shared" si="28"/>
        <v>0</v>
      </c>
      <c r="G908" s="20">
        <v>101</v>
      </c>
      <c r="H908" s="19" t="str">
        <f t="shared" si="29"/>
        <v>USD</v>
      </c>
      <c r="J908" s="5"/>
      <c r="K908" s="3"/>
      <c r="L908" s="3"/>
      <c r="M908" s="3"/>
      <c r="N908" s="3"/>
      <c r="O908" s="3"/>
    </row>
    <row r="909" spans="1:15" ht="15">
      <c r="A909" s="72">
        <v>2</v>
      </c>
      <c r="B909" s="70">
        <v>13.686479182999999</v>
      </c>
      <c r="C909" s="69">
        <v>-89.193403254200007</v>
      </c>
      <c r="D909" s="71">
        <v>0</v>
      </c>
      <c r="E909" s="19">
        <v>0</v>
      </c>
      <c r="F909" s="19">
        <f t="shared" si="28"/>
        <v>0</v>
      </c>
      <c r="G909" s="20">
        <v>102</v>
      </c>
      <c r="H909" s="19" t="str">
        <f t="shared" si="29"/>
        <v>USD</v>
      </c>
      <c r="J909" s="5"/>
      <c r="K909" s="3"/>
      <c r="L909" s="3"/>
      <c r="M909" s="3"/>
      <c r="N909" s="3"/>
      <c r="O909" s="3"/>
    </row>
    <row r="910" spans="1:15" ht="15">
      <c r="A910" s="72">
        <v>2</v>
      </c>
      <c r="B910" s="70">
        <v>13.686492057300001</v>
      </c>
      <c r="C910" s="69">
        <v>-89.193455236899993</v>
      </c>
      <c r="D910" s="71">
        <v>0</v>
      </c>
      <c r="E910" s="19">
        <v>0</v>
      </c>
      <c r="F910" s="19">
        <f t="shared" si="28"/>
        <v>0</v>
      </c>
      <c r="G910" s="20">
        <v>102</v>
      </c>
      <c r="H910" s="19" t="str">
        <f t="shared" si="29"/>
        <v>USD</v>
      </c>
      <c r="J910" s="5"/>
      <c r="K910" s="3"/>
      <c r="L910" s="3"/>
      <c r="M910" s="3"/>
      <c r="N910" s="3"/>
      <c r="O910" s="3"/>
    </row>
    <row r="911" spans="1:15" ht="15">
      <c r="A911" s="72">
        <v>2</v>
      </c>
      <c r="B911" s="70">
        <v>13.686452343899999</v>
      </c>
      <c r="C911" s="69">
        <v>-89.1934708581</v>
      </c>
      <c r="D911" s="71">
        <v>0</v>
      </c>
      <c r="E911" s="19">
        <v>0</v>
      </c>
      <c r="F911" s="19">
        <f t="shared" si="28"/>
        <v>0</v>
      </c>
      <c r="G911" s="20">
        <v>102</v>
      </c>
      <c r="H911" s="19" t="str">
        <f t="shared" si="29"/>
        <v>USD</v>
      </c>
      <c r="J911" s="5"/>
      <c r="K911" s="3"/>
      <c r="L911" s="3"/>
      <c r="M911" s="3"/>
      <c r="N911" s="3"/>
      <c r="O911" s="3"/>
    </row>
    <row r="912" spans="1:15" ht="15">
      <c r="A912" s="72">
        <v>2</v>
      </c>
      <c r="B912" s="70">
        <v>13.6864077245</v>
      </c>
      <c r="C912" s="69">
        <v>-89.193236253199998</v>
      </c>
      <c r="D912" s="71">
        <v>0</v>
      </c>
      <c r="E912" s="19">
        <v>0</v>
      </c>
      <c r="F912" s="19">
        <f t="shared" si="28"/>
        <v>0</v>
      </c>
      <c r="G912" s="20">
        <v>102</v>
      </c>
      <c r="H912" s="19" t="str">
        <f t="shared" si="29"/>
        <v>USD</v>
      </c>
      <c r="J912" s="5"/>
      <c r="K912" s="3"/>
      <c r="L912" s="3"/>
      <c r="M912" s="3"/>
      <c r="N912" s="3"/>
      <c r="O912" s="3"/>
    </row>
    <row r="913" spans="1:15" ht="15">
      <c r="A913" s="72">
        <v>2</v>
      </c>
      <c r="B913" s="70">
        <v>13.686374303799999</v>
      </c>
      <c r="C913" s="69">
        <v>-89.1931579556</v>
      </c>
      <c r="D913" s="71">
        <v>0</v>
      </c>
      <c r="E913" s="19">
        <v>0</v>
      </c>
      <c r="F913" s="19">
        <f t="shared" si="28"/>
        <v>0</v>
      </c>
      <c r="G913" s="20">
        <v>102</v>
      </c>
      <c r="H913" s="19" t="str">
        <f t="shared" si="29"/>
        <v>USD</v>
      </c>
      <c r="J913" s="5"/>
      <c r="K913" s="3"/>
      <c r="L913" s="3"/>
      <c r="M913" s="3"/>
      <c r="N913" s="3"/>
      <c r="O913" s="3"/>
    </row>
    <row r="914" spans="1:15" ht="15">
      <c r="A914" s="72">
        <v>2</v>
      </c>
      <c r="B914" s="70">
        <v>13.6863533003</v>
      </c>
      <c r="C914" s="69">
        <v>-89.193102659499999</v>
      </c>
      <c r="D914" s="71">
        <v>0</v>
      </c>
      <c r="E914" s="19">
        <v>0</v>
      </c>
      <c r="F914" s="19">
        <f t="shared" si="28"/>
        <v>0</v>
      </c>
      <c r="G914" s="20">
        <v>102</v>
      </c>
      <c r="H914" s="19" t="str">
        <f t="shared" si="29"/>
        <v>USD</v>
      </c>
      <c r="J914" s="5"/>
      <c r="K914" s="3"/>
      <c r="L914" s="3"/>
      <c r="M914" s="3"/>
      <c r="N914" s="3"/>
      <c r="O914" s="3"/>
    </row>
    <row r="915" spans="1:15" ht="15">
      <c r="A915" s="72">
        <v>2</v>
      </c>
      <c r="B915" s="70">
        <v>13.6863332652</v>
      </c>
      <c r="C915" s="69">
        <v>-89.193033177499998</v>
      </c>
      <c r="D915" s="71">
        <v>0</v>
      </c>
      <c r="E915" s="19">
        <v>0</v>
      </c>
      <c r="F915" s="19">
        <f t="shared" si="28"/>
        <v>0</v>
      </c>
      <c r="G915" s="20">
        <v>102</v>
      </c>
      <c r="H915" s="19" t="str">
        <f t="shared" si="29"/>
        <v>USD</v>
      </c>
      <c r="J915" s="5"/>
      <c r="K915" s="3"/>
      <c r="L915" s="3"/>
      <c r="M915" s="3"/>
      <c r="N915" s="3"/>
      <c r="O915" s="3"/>
    </row>
    <row r="916" spans="1:15" ht="15">
      <c r="A916" s="72">
        <v>2</v>
      </c>
      <c r="B916" s="70">
        <v>13.686307001199999</v>
      </c>
      <c r="C916" s="69">
        <v>-89.192977388100005</v>
      </c>
      <c r="D916" s="71">
        <v>0</v>
      </c>
      <c r="E916" s="19">
        <v>0</v>
      </c>
      <c r="F916" s="19">
        <f t="shared" si="28"/>
        <v>0</v>
      </c>
      <c r="G916" s="20">
        <v>102</v>
      </c>
      <c r="H916" s="19" t="str">
        <f t="shared" si="29"/>
        <v>USD</v>
      </c>
      <c r="J916" s="5"/>
      <c r="K916" s="3"/>
      <c r="L916" s="3"/>
      <c r="M916" s="3"/>
      <c r="N916" s="3"/>
      <c r="O916" s="3"/>
    </row>
    <row r="917" spans="1:15" ht="15">
      <c r="A917" s="72">
        <v>2</v>
      </c>
      <c r="B917" s="70">
        <v>13.6862726163</v>
      </c>
      <c r="C917" s="69">
        <v>-89.192907894300006</v>
      </c>
      <c r="D917" s="71">
        <v>0</v>
      </c>
      <c r="E917" s="19">
        <v>0</v>
      </c>
      <c r="F917" s="19">
        <f t="shared" si="28"/>
        <v>0</v>
      </c>
      <c r="G917" s="20">
        <v>102</v>
      </c>
      <c r="H917" s="19" t="str">
        <f t="shared" si="29"/>
        <v>USD</v>
      </c>
      <c r="J917" s="5"/>
      <c r="K917" s="3"/>
      <c r="L917" s="3"/>
      <c r="M917" s="3"/>
      <c r="N917" s="3"/>
      <c r="O917" s="3"/>
    </row>
    <row r="918" spans="1:15" ht="15">
      <c r="A918" s="72">
        <v>1</v>
      </c>
      <c r="B918" s="70">
        <v>13.686254483000001</v>
      </c>
      <c r="C918" s="69">
        <v>-89.192852111500002</v>
      </c>
      <c r="D918" s="71">
        <v>0</v>
      </c>
      <c r="E918" s="19">
        <v>0</v>
      </c>
      <c r="F918" s="19">
        <f t="shared" si="28"/>
        <v>0</v>
      </c>
      <c r="G918" s="20">
        <v>101</v>
      </c>
      <c r="H918" s="19" t="str">
        <f t="shared" si="29"/>
        <v>USD</v>
      </c>
      <c r="J918" s="5"/>
      <c r="K918" s="3"/>
      <c r="L918" s="3"/>
      <c r="M918" s="3"/>
      <c r="N918" s="3"/>
      <c r="O918" s="3"/>
    </row>
    <row r="919" spans="1:15" ht="15">
      <c r="A919" s="72">
        <v>3</v>
      </c>
      <c r="B919" s="70">
        <v>13.6866170226</v>
      </c>
      <c r="C919" s="69">
        <v>-89.193817195899996</v>
      </c>
      <c r="D919" s="71">
        <v>0</v>
      </c>
      <c r="E919" s="19">
        <v>0</v>
      </c>
      <c r="F919" s="19">
        <f t="shared" si="28"/>
        <v>0</v>
      </c>
      <c r="G919" s="20">
        <v>103</v>
      </c>
      <c r="H919" s="19" t="str">
        <f t="shared" si="29"/>
        <v>USD</v>
      </c>
      <c r="J919" s="5"/>
      <c r="K919" s="3"/>
      <c r="L919" s="3"/>
      <c r="M919" s="3"/>
      <c r="N919" s="3"/>
      <c r="O919" s="3"/>
    </row>
    <row r="920" spans="1:15" ht="15">
      <c r="A920" s="72">
        <v>3</v>
      </c>
      <c r="B920" s="70">
        <v>13.6865994609</v>
      </c>
      <c r="C920" s="69">
        <v>-89.193795779200002</v>
      </c>
      <c r="D920" s="71">
        <v>0</v>
      </c>
      <c r="E920" s="19">
        <v>0</v>
      </c>
      <c r="F920" s="19">
        <f t="shared" si="28"/>
        <v>0</v>
      </c>
      <c r="G920" s="20">
        <v>103</v>
      </c>
      <c r="H920" s="19" t="str">
        <f t="shared" si="29"/>
        <v>USD</v>
      </c>
      <c r="J920" s="5"/>
      <c r="K920" s="3"/>
      <c r="L920" s="3"/>
      <c r="M920" s="3"/>
      <c r="N920" s="3"/>
      <c r="O920" s="3"/>
    </row>
    <row r="921" spans="1:15" ht="15">
      <c r="A921" s="72">
        <v>3</v>
      </c>
      <c r="B921" s="70">
        <v>13.686512327899999</v>
      </c>
      <c r="C921" s="69">
        <v>-89.194134249499996</v>
      </c>
      <c r="D921" s="71">
        <v>0</v>
      </c>
      <c r="E921" s="19">
        <v>0</v>
      </c>
      <c r="F921" s="19">
        <f t="shared" si="28"/>
        <v>0</v>
      </c>
      <c r="G921" s="20">
        <v>103</v>
      </c>
      <c r="H921" s="19" t="str">
        <f t="shared" si="29"/>
        <v>USD</v>
      </c>
      <c r="J921" s="5"/>
      <c r="K921" s="3"/>
      <c r="L921" s="3"/>
      <c r="M921" s="3"/>
      <c r="N921" s="3"/>
      <c r="O921" s="3"/>
    </row>
    <row r="922" spans="1:15" ht="15">
      <c r="A922" s="72">
        <v>3</v>
      </c>
      <c r="B922" s="70">
        <v>13.686164224700001</v>
      </c>
      <c r="C922" s="69">
        <v>-89.193680113100001</v>
      </c>
      <c r="D922" s="71">
        <v>0</v>
      </c>
      <c r="E922" s="19">
        <v>0</v>
      </c>
      <c r="F922" s="19">
        <f t="shared" si="28"/>
        <v>0</v>
      </c>
      <c r="G922" s="20">
        <v>103</v>
      </c>
      <c r="H922" s="19" t="str">
        <f t="shared" si="29"/>
        <v>USD</v>
      </c>
      <c r="J922" s="5"/>
      <c r="K922" s="3"/>
      <c r="L922" s="3"/>
      <c r="M922" s="3"/>
      <c r="N922" s="3"/>
      <c r="O922" s="3"/>
    </row>
    <row r="923" spans="1:15" ht="15">
      <c r="A923" s="72">
        <v>3</v>
      </c>
      <c r="B923" s="70">
        <v>13.685967655700001</v>
      </c>
      <c r="C923" s="69">
        <v>-89.193954571899994</v>
      </c>
      <c r="D923" s="71">
        <v>0</v>
      </c>
      <c r="E923" s="19">
        <v>0</v>
      </c>
      <c r="F923" s="19">
        <f t="shared" si="28"/>
        <v>0</v>
      </c>
      <c r="G923" s="20">
        <v>103</v>
      </c>
      <c r="H923" s="19" t="str">
        <f t="shared" si="29"/>
        <v>USD</v>
      </c>
      <c r="J923" s="5"/>
      <c r="K923" s="3"/>
      <c r="L923" s="3"/>
      <c r="M923" s="3"/>
      <c r="N923" s="3"/>
      <c r="O923" s="3"/>
    </row>
    <row r="924" spans="1:15" ht="15">
      <c r="A924" s="72">
        <v>3</v>
      </c>
      <c r="B924" s="70">
        <v>13.685914199699999</v>
      </c>
      <c r="C924" s="69">
        <v>-89.193958929999994</v>
      </c>
      <c r="D924" s="71">
        <v>0</v>
      </c>
      <c r="E924" s="19">
        <v>0</v>
      </c>
      <c r="F924" s="19">
        <f t="shared" si="28"/>
        <v>0</v>
      </c>
      <c r="G924" s="20">
        <v>103</v>
      </c>
      <c r="H924" s="19" t="str">
        <f t="shared" si="29"/>
        <v>USD</v>
      </c>
      <c r="J924" s="5"/>
      <c r="K924" s="3"/>
      <c r="L924" s="3"/>
      <c r="M924" s="3"/>
      <c r="N924" s="3"/>
      <c r="O924" s="3"/>
    </row>
    <row r="925" spans="1:15" ht="15">
      <c r="A925" s="72">
        <v>3</v>
      </c>
      <c r="B925" s="70">
        <v>13.6859541396</v>
      </c>
      <c r="C925" s="69">
        <v>-89.193807436300006</v>
      </c>
      <c r="D925" s="71">
        <v>0</v>
      </c>
      <c r="E925" s="19">
        <v>0</v>
      </c>
      <c r="F925" s="19">
        <f t="shared" si="28"/>
        <v>0</v>
      </c>
      <c r="G925" s="20">
        <v>103</v>
      </c>
      <c r="H925" s="19" t="str">
        <f t="shared" si="29"/>
        <v>USD</v>
      </c>
      <c r="J925" s="5"/>
      <c r="K925" s="3"/>
      <c r="L925" s="3"/>
      <c r="M925" s="3"/>
      <c r="N925" s="3"/>
      <c r="O925" s="3"/>
    </row>
    <row r="926" spans="1:15" ht="15">
      <c r="A926" s="72">
        <v>1</v>
      </c>
      <c r="B926" s="70">
        <v>13.687775326200001</v>
      </c>
      <c r="C926" s="69">
        <v>-89.194397485699994</v>
      </c>
      <c r="D926" s="71">
        <v>0</v>
      </c>
      <c r="E926" s="19">
        <v>0</v>
      </c>
      <c r="F926" s="19">
        <f t="shared" si="28"/>
        <v>0</v>
      </c>
      <c r="G926" s="20">
        <v>101</v>
      </c>
      <c r="H926" s="19" t="str">
        <f t="shared" si="29"/>
        <v>USD</v>
      </c>
      <c r="J926" s="5"/>
      <c r="K926" s="3"/>
      <c r="L926" s="3"/>
      <c r="M926" s="3"/>
      <c r="N926" s="3"/>
      <c r="O926" s="3"/>
    </row>
    <row r="927" spans="1:15" ht="15">
      <c r="A927" s="72">
        <v>1</v>
      </c>
      <c r="B927" s="70">
        <v>13.6880248266</v>
      </c>
      <c r="C927" s="69">
        <v>-89.194083101499999</v>
      </c>
      <c r="D927" s="71">
        <v>0</v>
      </c>
      <c r="E927" s="19">
        <v>0</v>
      </c>
      <c r="F927" s="19">
        <f t="shared" si="28"/>
        <v>0</v>
      </c>
      <c r="G927" s="20">
        <v>101</v>
      </c>
      <c r="H927" s="19" t="str">
        <f t="shared" si="29"/>
        <v>USD</v>
      </c>
      <c r="J927" s="5"/>
      <c r="K927" s="3"/>
      <c r="L927" s="3"/>
      <c r="M927" s="3"/>
      <c r="N927" s="3"/>
      <c r="O927" s="3"/>
    </row>
    <row r="928" spans="1:15" ht="15">
      <c r="A928" s="72">
        <v>1</v>
      </c>
      <c r="B928" s="70">
        <v>13.6887685413</v>
      </c>
      <c r="C928" s="69">
        <v>-89.193741591399998</v>
      </c>
      <c r="D928" s="71">
        <v>0</v>
      </c>
      <c r="E928" s="19">
        <v>0</v>
      </c>
      <c r="F928" s="19">
        <f t="shared" si="28"/>
        <v>0</v>
      </c>
      <c r="G928" s="20">
        <v>101</v>
      </c>
      <c r="H928" s="19" t="str">
        <f t="shared" si="29"/>
        <v>USD</v>
      </c>
      <c r="J928" s="5"/>
      <c r="K928" s="3"/>
      <c r="L928" s="3"/>
      <c r="M928" s="3"/>
      <c r="N928" s="3"/>
      <c r="O928" s="3"/>
    </row>
    <row r="929" spans="1:15" ht="15">
      <c r="A929" s="72">
        <v>1</v>
      </c>
      <c r="B929" s="70">
        <v>13.688739311200001</v>
      </c>
      <c r="C929" s="69">
        <v>-89.1936565691</v>
      </c>
      <c r="D929" s="71">
        <v>0</v>
      </c>
      <c r="E929" s="19">
        <v>0</v>
      </c>
      <c r="F929" s="19">
        <f t="shared" si="28"/>
        <v>0</v>
      </c>
      <c r="G929" s="20">
        <v>101</v>
      </c>
      <c r="H929" s="19" t="str">
        <f t="shared" si="29"/>
        <v>USD</v>
      </c>
      <c r="J929" s="5"/>
      <c r="K929" s="3"/>
      <c r="L929" s="3"/>
      <c r="M929" s="3"/>
      <c r="N929" s="3"/>
      <c r="O929" s="3"/>
    </row>
    <row r="930" spans="1:15" ht="15">
      <c r="A930" s="72">
        <v>2</v>
      </c>
      <c r="B930" s="70">
        <v>13.6886329865</v>
      </c>
      <c r="C930" s="69">
        <v>-89.193525621500001</v>
      </c>
      <c r="D930" s="71">
        <v>0</v>
      </c>
      <c r="E930" s="19">
        <v>0</v>
      </c>
      <c r="F930" s="19">
        <f t="shared" si="28"/>
        <v>0</v>
      </c>
      <c r="G930" s="20">
        <v>102</v>
      </c>
      <c r="H930" s="19" t="str">
        <f t="shared" si="29"/>
        <v>USD</v>
      </c>
      <c r="J930" s="5"/>
      <c r="K930" s="3"/>
      <c r="L930" s="3"/>
      <c r="M930" s="3"/>
      <c r="N930" s="3"/>
      <c r="O930" s="3"/>
    </row>
    <row r="931" spans="1:15" ht="15">
      <c r="A931" s="72">
        <v>2</v>
      </c>
      <c r="B931" s="70">
        <v>13.6885666283</v>
      </c>
      <c r="C931" s="69">
        <v>-89.193513337100001</v>
      </c>
      <c r="D931" s="71">
        <v>0</v>
      </c>
      <c r="E931" s="19">
        <v>0</v>
      </c>
      <c r="F931" s="19">
        <f t="shared" si="28"/>
        <v>0</v>
      </c>
      <c r="G931" s="20">
        <v>102</v>
      </c>
      <c r="H931" s="19" t="str">
        <f t="shared" si="29"/>
        <v>USD</v>
      </c>
      <c r="J931" s="5"/>
      <c r="K931" s="3"/>
      <c r="L931" s="3"/>
      <c r="M931" s="3"/>
      <c r="N931" s="3"/>
      <c r="O931" s="3"/>
    </row>
    <row r="932" spans="1:15" ht="15">
      <c r="A932" s="72">
        <v>2</v>
      </c>
      <c r="B932" s="70">
        <v>13.687710152499999</v>
      </c>
      <c r="C932" s="69">
        <v>-89.194460406199994</v>
      </c>
      <c r="D932" s="71">
        <v>0</v>
      </c>
      <c r="E932" s="19">
        <v>0</v>
      </c>
      <c r="F932" s="19">
        <f t="shared" si="28"/>
        <v>0</v>
      </c>
      <c r="G932" s="20">
        <v>102</v>
      </c>
      <c r="H932" s="19" t="str">
        <f t="shared" si="29"/>
        <v>USD</v>
      </c>
      <c r="J932" s="5"/>
      <c r="K932" s="3"/>
      <c r="L932" s="3"/>
      <c r="M932" s="3"/>
      <c r="N932" s="3"/>
      <c r="O932" s="3"/>
    </row>
    <row r="933" spans="1:15" ht="15">
      <c r="A933" s="72">
        <v>2</v>
      </c>
      <c r="B933" s="70">
        <v>13.687709959099999</v>
      </c>
      <c r="C933" s="69">
        <v>-89.194460320000005</v>
      </c>
      <c r="D933" s="71">
        <v>0</v>
      </c>
      <c r="E933" s="19">
        <v>0</v>
      </c>
      <c r="F933" s="19">
        <f t="shared" si="28"/>
        <v>0</v>
      </c>
      <c r="G933" s="20">
        <v>102</v>
      </c>
      <c r="H933" s="19" t="str">
        <f t="shared" si="29"/>
        <v>USD</v>
      </c>
      <c r="J933" s="5"/>
      <c r="K933" s="3"/>
      <c r="L933" s="3"/>
      <c r="M933" s="3"/>
      <c r="N933" s="3"/>
      <c r="O933" s="3"/>
    </row>
    <row r="934" spans="1:15" ht="15">
      <c r="A934" s="72">
        <v>2</v>
      </c>
      <c r="B934" s="70">
        <v>13.6877097712</v>
      </c>
      <c r="C934" s="69">
        <v>-89.194460257000003</v>
      </c>
      <c r="D934" s="71">
        <v>0</v>
      </c>
      <c r="E934" s="19">
        <v>0</v>
      </c>
      <c r="F934" s="19">
        <f t="shared" si="28"/>
        <v>0</v>
      </c>
      <c r="G934" s="20">
        <v>102</v>
      </c>
      <c r="H934" s="19" t="str">
        <f t="shared" si="29"/>
        <v>USD</v>
      </c>
      <c r="J934" s="5"/>
      <c r="K934" s="3"/>
      <c r="L934" s="3"/>
      <c r="M934" s="3"/>
      <c r="N934" s="3"/>
      <c r="O934" s="3"/>
    </row>
    <row r="935" spans="1:15" ht="15">
      <c r="A935" s="72">
        <v>2</v>
      </c>
      <c r="B935" s="70">
        <v>13.6877444632</v>
      </c>
      <c r="C935" s="69">
        <v>-89.194478016900007</v>
      </c>
      <c r="D935" s="71">
        <v>0</v>
      </c>
      <c r="E935" s="19">
        <v>0</v>
      </c>
      <c r="F935" s="19">
        <f t="shared" si="28"/>
        <v>0</v>
      </c>
      <c r="G935" s="20">
        <v>102</v>
      </c>
      <c r="H935" s="19" t="str">
        <f t="shared" si="29"/>
        <v>USD</v>
      </c>
      <c r="J935" s="5"/>
      <c r="K935" s="3"/>
      <c r="L935" s="3"/>
      <c r="M935" s="3"/>
      <c r="N935" s="3"/>
      <c r="O935" s="3"/>
    </row>
    <row r="936" spans="1:15" ht="15">
      <c r="A936" s="72">
        <v>2</v>
      </c>
      <c r="B936" s="70">
        <v>13.6877441018</v>
      </c>
      <c r="C936" s="69">
        <v>-89.194477862200003</v>
      </c>
      <c r="D936" s="71">
        <v>0</v>
      </c>
      <c r="E936" s="19">
        <v>0</v>
      </c>
      <c r="F936" s="19">
        <f t="shared" si="28"/>
        <v>0</v>
      </c>
      <c r="G936" s="20">
        <v>102</v>
      </c>
      <c r="H936" s="19" t="str">
        <f t="shared" si="29"/>
        <v>USD</v>
      </c>
      <c r="J936" s="5"/>
      <c r="K936" s="3"/>
      <c r="L936" s="3"/>
      <c r="M936" s="3"/>
      <c r="N936" s="3"/>
      <c r="O936" s="3"/>
    </row>
    <row r="937" spans="1:15" ht="15">
      <c r="A937" s="72">
        <v>1</v>
      </c>
      <c r="B937" s="70">
        <v>13.687744848199999</v>
      </c>
      <c r="C937" s="69">
        <v>-89.194478180900006</v>
      </c>
      <c r="D937" s="71">
        <v>0</v>
      </c>
      <c r="E937" s="19">
        <v>0</v>
      </c>
      <c r="F937" s="19">
        <f t="shared" si="28"/>
        <v>0</v>
      </c>
      <c r="G937" s="20">
        <v>101</v>
      </c>
      <c r="H937" s="19" t="str">
        <f t="shared" si="29"/>
        <v>USD</v>
      </c>
      <c r="J937" s="5"/>
      <c r="K937" s="3"/>
      <c r="L937" s="3"/>
      <c r="M937" s="3"/>
      <c r="N937" s="3"/>
      <c r="O937" s="3"/>
    </row>
    <row r="938" spans="1:15" ht="15">
      <c r="A938" s="72">
        <v>2</v>
      </c>
      <c r="B938" s="70">
        <v>13.687796928899999</v>
      </c>
      <c r="C938" s="69">
        <v>-89.194500655100001</v>
      </c>
      <c r="D938" s="71">
        <v>0</v>
      </c>
      <c r="E938" s="19">
        <v>0</v>
      </c>
      <c r="F938" s="19">
        <f t="shared" si="28"/>
        <v>0</v>
      </c>
      <c r="G938" s="20">
        <v>102</v>
      </c>
      <c r="H938" s="19" t="str">
        <f t="shared" si="29"/>
        <v>USD</v>
      </c>
      <c r="J938" s="5"/>
      <c r="K938" s="3"/>
      <c r="L938" s="3"/>
      <c r="M938" s="3"/>
      <c r="N938" s="3"/>
      <c r="O938" s="3"/>
    </row>
    <row r="939" spans="1:15" ht="15">
      <c r="A939" s="72">
        <v>2</v>
      </c>
      <c r="B939" s="70">
        <v>13.6877976093</v>
      </c>
      <c r="C939" s="69">
        <v>-89.194500941300007</v>
      </c>
      <c r="D939" s="71">
        <v>0</v>
      </c>
      <c r="E939" s="19">
        <v>0</v>
      </c>
      <c r="F939" s="19">
        <f t="shared" si="28"/>
        <v>0</v>
      </c>
      <c r="G939" s="20">
        <v>102</v>
      </c>
      <c r="H939" s="19" t="str">
        <f t="shared" si="29"/>
        <v>USD</v>
      </c>
      <c r="J939" s="5"/>
      <c r="K939" s="3"/>
      <c r="L939" s="3"/>
      <c r="M939" s="3"/>
      <c r="N939" s="3"/>
      <c r="O939" s="3"/>
    </row>
    <row r="940" spans="1:15" ht="15">
      <c r="A940" s="72">
        <v>2</v>
      </c>
      <c r="B940" s="70">
        <v>13.6877972777</v>
      </c>
      <c r="C940" s="69">
        <v>-89.194500780200002</v>
      </c>
      <c r="D940" s="71">
        <v>0</v>
      </c>
      <c r="E940" s="19">
        <v>0</v>
      </c>
      <c r="F940" s="19">
        <f t="shared" si="28"/>
        <v>0</v>
      </c>
      <c r="G940" s="20">
        <v>102</v>
      </c>
      <c r="H940" s="19" t="str">
        <f t="shared" si="29"/>
        <v>USD</v>
      </c>
      <c r="J940" s="5"/>
      <c r="K940" s="3"/>
      <c r="L940" s="3"/>
      <c r="M940" s="3"/>
      <c r="N940" s="3"/>
      <c r="O940" s="3"/>
    </row>
    <row r="941" spans="1:15" ht="15">
      <c r="A941" s="72">
        <v>2</v>
      </c>
      <c r="B941" s="70">
        <v>13.6878309844</v>
      </c>
      <c r="C941" s="69">
        <v>-89.194519787299996</v>
      </c>
      <c r="D941" s="71">
        <v>0</v>
      </c>
      <c r="E941" s="19">
        <v>0</v>
      </c>
      <c r="F941" s="19">
        <f t="shared" si="28"/>
        <v>0</v>
      </c>
      <c r="G941" s="20">
        <v>102</v>
      </c>
      <c r="H941" s="19" t="str">
        <f t="shared" si="29"/>
        <v>USD</v>
      </c>
      <c r="J941" s="5"/>
      <c r="K941" s="3"/>
      <c r="L941" s="3"/>
      <c r="M941" s="3"/>
      <c r="N941" s="3"/>
      <c r="O941" s="3"/>
    </row>
    <row r="942" spans="1:15" ht="15">
      <c r="A942" s="72">
        <v>2</v>
      </c>
      <c r="B942" s="70">
        <v>13.687830506299999</v>
      </c>
      <c r="C942" s="69">
        <v>-89.194519612199997</v>
      </c>
      <c r="D942" s="71">
        <v>0</v>
      </c>
      <c r="E942" s="19">
        <v>0</v>
      </c>
      <c r="F942" s="19">
        <f t="shared" si="28"/>
        <v>0</v>
      </c>
      <c r="G942" s="20">
        <v>102</v>
      </c>
      <c r="H942" s="19" t="str">
        <f t="shared" si="29"/>
        <v>USD</v>
      </c>
      <c r="J942" s="5"/>
      <c r="K942" s="3"/>
      <c r="L942" s="3"/>
      <c r="M942" s="3"/>
      <c r="N942" s="3"/>
      <c r="O942" s="3"/>
    </row>
    <row r="943" spans="1:15" ht="15">
      <c r="A943" s="72">
        <v>2</v>
      </c>
      <c r="B943" s="70">
        <v>13.688267361499999</v>
      </c>
      <c r="C943" s="69">
        <v>-89.193518894600004</v>
      </c>
      <c r="D943" s="71">
        <v>0</v>
      </c>
      <c r="E943" s="19">
        <v>0</v>
      </c>
      <c r="F943" s="19">
        <f t="shared" si="28"/>
        <v>0</v>
      </c>
      <c r="G943" s="20">
        <v>102</v>
      </c>
      <c r="H943" s="19" t="str">
        <f t="shared" si="29"/>
        <v>USD</v>
      </c>
      <c r="J943" s="5"/>
      <c r="K943" s="3"/>
      <c r="L943" s="3"/>
      <c r="M943" s="3"/>
      <c r="N943" s="3"/>
      <c r="O943" s="3"/>
    </row>
    <row r="944" spans="1:15" ht="15">
      <c r="A944" s="72">
        <v>1</v>
      </c>
      <c r="B944" s="70">
        <v>13.6882835746</v>
      </c>
      <c r="C944" s="69">
        <v>-89.1934311503</v>
      </c>
      <c r="D944" s="71">
        <v>0</v>
      </c>
      <c r="E944" s="19">
        <v>0</v>
      </c>
      <c r="F944" s="19">
        <f t="shared" si="28"/>
        <v>0</v>
      </c>
      <c r="G944" s="20">
        <v>101</v>
      </c>
      <c r="H944" s="19" t="str">
        <f t="shared" si="29"/>
        <v>USD</v>
      </c>
      <c r="J944" s="5"/>
      <c r="K944" s="3"/>
      <c r="L944" s="3"/>
      <c r="M944" s="3"/>
      <c r="N944" s="3"/>
      <c r="O944" s="3"/>
    </row>
    <row r="945" spans="1:15" ht="15">
      <c r="A945" s="72">
        <v>2</v>
      </c>
      <c r="B945" s="70">
        <v>13.6883788587</v>
      </c>
      <c r="C945" s="69">
        <v>-89.193460060000007</v>
      </c>
      <c r="D945" s="71">
        <v>0</v>
      </c>
      <c r="E945" s="19">
        <v>0</v>
      </c>
      <c r="F945" s="19">
        <f t="shared" si="28"/>
        <v>0</v>
      </c>
      <c r="G945" s="20">
        <v>102</v>
      </c>
      <c r="H945" s="19" t="str">
        <f t="shared" si="29"/>
        <v>USD</v>
      </c>
      <c r="J945" s="5"/>
      <c r="K945" s="3"/>
      <c r="L945" s="3"/>
      <c r="M945" s="3"/>
      <c r="N945" s="3"/>
      <c r="O945" s="3"/>
    </row>
    <row r="946" spans="1:15" ht="15">
      <c r="A946" s="72">
        <v>2</v>
      </c>
      <c r="B946" s="70">
        <v>13.688336055000001</v>
      </c>
      <c r="C946" s="69">
        <v>-89.1934512192</v>
      </c>
      <c r="D946" s="71">
        <v>0</v>
      </c>
      <c r="E946" s="19">
        <v>0</v>
      </c>
      <c r="F946" s="19">
        <f t="shared" si="28"/>
        <v>0</v>
      </c>
      <c r="G946" s="20">
        <v>102</v>
      </c>
      <c r="H946" s="19" t="str">
        <f t="shared" si="29"/>
        <v>USD</v>
      </c>
      <c r="J946" s="5"/>
      <c r="K946" s="3"/>
      <c r="L946" s="3"/>
      <c r="M946" s="3"/>
      <c r="N946" s="3"/>
      <c r="O946" s="3"/>
    </row>
    <row r="947" spans="1:15" ht="15">
      <c r="A947" s="72">
        <v>2</v>
      </c>
      <c r="B947" s="70">
        <v>13.6884281754</v>
      </c>
      <c r="C947" s="69">
        <v>-89.193746452799999</v>
      </c>
      <c r="D947" s="71">
        <v>0</v>
      </c>
      <c r="E947" s="19">
        <v>0</v>
      </c>
      <c r="F947" s="19">
        <f t="shared" si="28"/>
        <v>0</v>
      </c>
      <c r="G947" s="20">
        <v>102</v>
      </c>
      <c r="H947" s="19" t="str">
        <f t="shared" si="29"/>
        <v>USD</v>
      </c>
      <c r="J947" s="5"/>
      <c r="K947" s="3"/>
      <c r="L947" s="3"/>
      <c r="M947" s="3"/>
      <c r="N947" s="3"/>
      <c r="O947" s="3"/>
    </row>
    <row r="948" spans="1:15" ht="15">
      <c r="A948" s="72">
        <v>2</v>
      </c>
      <c r="B948" s="70">
        <v>13.6884016537</v>
      </c>
      <c r="C948" s="69">
        <v>-89.193728966899997</v>
      </c>
      <c r="D948" s="71">
        <v>0</v>
      </c>
      <c r="E948" s="19">
        <v>0</v>
      </c>
      <c r="F948" s="19">
        <f t="shared" si="28"/>
        <v>0</v>
      </c>
      <c r="G948" s="20">
        <v>102</v>
      </c>
      <c r="H948" s="19" t="str">
        <f t="shared" si="29"/>
        <v>USD</v>
      </c>
      <c r="J948" s="5"/>
      <c r="K948" s="3"/>
      <c r="L948" s="3"/>
      <c r="M948" s="3"/>
      <c r="N948" s="3"/>
      <c r="O948" s="3"/>
    </row>
    <row r="949" spans="1:15" ht="15">
      <c r="A949" s="72">
        <v>2</v>
      </c>
      <c r="B949" s="70">
        <v>13.6884354115</v>
      </c>
      <c r="C949" s="69">
        <v>-89.193684232999999</v>
      </c>
      <c r="D949" s="71">
        <v>0</v>
      </c>
      <c r="E949" s="19">
        <v>0</v>
      </c>
      <c r="F949" s="19">
        <f t="shared" si="28"/>
        <v>0</v>
      </c>
      <c r="G949" s="20">
        <v>102</v>
      </c>
      <c r="H949" s="19" t="str">
        <f t="shared" si="29"/>
        <v>USD</v>
      </c>
      <c r="J949" s="5"/>
      <c r="K949" s="3"/>
      <c r="L949" s="3"/>
      <c r="M949" s="3"/>
      <c r="N949" s="3"/>
      <c r="O949" s="3"/>
    </row>
    <row r="950" spans="1:15" ht="15">
      <c r="A950" s="72">
        <v>2</v>
      </c>
      <c r="B950" s="70">
        <v>13.688421358199999</v>
      </c>
      <c r="C950" s="69">
        <v>-89.193671599699996</v>
      </c>
      <c r="D950" s="71">
        <v>0</v>
      </c>
      <c r="E950" s="19">
        <v>0</v>
      </c>
      <c r="F950" s="19">
        <f t="shared" si="28"/>
        <v>0</v>
      </c>
      <c r="G950" s="20">
        <v>102</v>
      </c>
      <c r="H950" s="19" t="str">
        <f t="shared" si="29"/>
        <v>USD</v>
      </c>
      <c r="J950" s="5"/>
      <c r="K950" s="3"/>
      <c r="L950" s="3"/>
      <c r="M950" s="3"/>
      <c r="N950" s="3"/>
      <c r="O950" s="3"/>
    </row>
    <row r="951" spans="1:15" ht="15">
      <c r="A951" s="72">
        <v>2</v>
      </c>
      <c r="B951" s="70">
        <v>13.688403858499999</v>
      </c>
      <c r="C951" s="69">
        <v>-89.193663366799996</v>
      </c>
      <c r="D951" s="71">
        <v>0</v>
      </c>
      <c r="E951" s="19">
        <v>0</v>
      </c>
      <c r="F951" s="19">
        <f t="shared" si="28"/>
        <v>0</v>
      </c>
      <c r="G951" s="20">
        <v>102</v>
      </c>
      <c r="H951" s="19" t="str">
        <f t="shared" si="29"/>
        <v>USD</v>
      </c>
      <c r="J951" s="5"/>
      <c r="K951" s="3"/>
      <c r="L951" s="3"/>
      <c r="M951" s="3"/>
      <c r="N951" s="3"/>
      <c r="O951" s="3"/>
    </row>
    <row r="952" spans="1:15" ht="15">
      <c r="A952" s="72">
        <v>2</v>
      </c>
      <c r="B952" s="70">
        <v>13.688376270799999</v>
      </c>
      <c r="C952" s="69">
        <v>-89.193709230899998</v>
      </c>
      <c r="D952" s="71">
        <v>0</v>
      </c>
      <c r="E952" s="19">
        <v>0</v>
      </c>
      <c r="F952" s="19">
        <f t="shared" si="28"/>
        <v>0</v>
      </c>
      <c r="G952" s="20">
        <v>102</v>
      </c>
      <c r="H952" s="19" t="str">
        <f t="shared" si="29"/>
        <v>USD</v>
      </c>
      <c r="J952" s="5"/>
      <c r="K952" s="3"/>
      <c r="L952" s="3"/>
      <c r="M952" s="3"/>
      <c r="N952" s="3"/>
      <c r="O952" s="3"/>
    </row>
    <row r="953" spans="1:15" ht="15">
      <c r="A953" s="72">
        <v>2</v>
      </c>
      <c r="B953" s="70">
        <v>13.688384061700001</v>
      </c>
      <c r="C953" s="69">
        <v>-89.193655230000005</v>
      </c>
      <c r="D953" s="71">
        <v>0</v>
      </c>
      <c r="E953" s="19">
        <v>0</v>
      </c>
      <c r="F953" s="19">
        <f t="shared" si="28"/>
        <v>0</v>
      </c>
      <c r="G953" s="20">
        <v>102</v>
      </c>
      <c r="H953" s="19" t="str">
        <f t="shared" si="29"/>
        <v>USD</v>
      </c>
      <c r="J953" s="5"/>
      <c r="K953" s="3"/>
      <c r="L953" s="3"/>
      <c r="M953" s="3"/>
      <c r="N953" s="3"/>
      <c r="O953" s="3"/>
    </row>
    <row r="954" spans="1:15" ht="15">
      <c r="A954" s="72">
        <v>2</v>
      </c>
      <c r="B954" s="70">
        <v>13.6883473</v>
      </c>
      <c r="C954" s="69">
        <v>-89.193688660700005</v>
      </c>
      <c r="D954" s="71">
        <v>0</v>
      </c>
      <c r="E954" s="19">
        <v>0</v>
      </c>
      <c r="F954" s="19">
        <f t="shared" si="28"/>
        <v>0</v>
      </c>
      <c r="G954" s="20">
        <v>102</v>
      </c>
      <c r="H954" s="19" t="str">
        <f t="shared" si="29"/>
        <v>USD</v>
      </c>
      <c r="J954" s="5"/>
      <c r="K954" s="3"/>
      <c r="L954" s="3"/>
      <c r="M954" s="3"/>
      <c r="N954" s="3"/>
      <c r="O954" s="3"/>
    </row>
    <row r="955" spans="1:15" ht="15">
      <c r="A955" s="72">
        <v>2</v>
      </c>
      <c r="B955" s="70">
        <v>13.6879230099</v>
      </c>
      <c r="C955" s="69">
        <v>-89.194327852300006</v>
      </c>
      <c r="D955" s="71">
        <v>0</v>
      </c>
      <c r="E955" s="19">
        <v>0</v>
      </c>
      <c r="F955" s="19">
        <f t="shared" si="28"/>
        <v>0</v>
      </c>
      <c r="G955" s="20">
        <v>102</v>
      </c>
      <c r="H955" s="19" t="str">
        <f t="shared" si="29"/>
        <v>USD</v>
      </c>
      <c r="J955" s="5"/>
      <c r="K955" s="3"/>
      <c r="L955" s="3"/>
      <c r="M955" s="3"/>
      <c r="N955" s="3"/>
      <c r="O955" s="3"/>
    </row>
    <row r="956" spans="1:15" ht="15">
      <c r="A956" s="72">
        <v>2</v>
      </c>
      <c r="B956" s="70">
        <v>13.687922023200001</v>
      </c>
      <c r="C956" s="69">
        <v>-89.194327393899997</v>
      </c>
      <c r="D956" s="71">
        <v>0</v>
      </c>
      <c r="E956" s="19">
        <v>0</v>
      </c>
      <c r="F956" s="19">
        <f t="shared" si="28"/>
        <v>0</v>
      </c>
      <c r="G956" s="20">
        <v>102</v>
      </c>
      <c r="H956" s="19" t="str">
        <f t="shared" si="29"/>
        <v>USD</v>
      </c>
      <c r="J956" s="5"/>
      <c r="K956" s="3"/>
      <c r="L956" s="3"/>
      <c r="M956" s="3"/>
      <c r="N956" s="3"/>
      <c r="O956" s="3"/>
    </row>
    <row r="957" spans="1:15" ht="15">
      <c r="A957" s="72">
        <v>2</v>
      </c>
      <c r="B957" s="70">
        <v>13.6878870484</v>
      </c>
      <c r="C957" s="69">
        <v>-89.194355052700004</v>
      </c>
      <c r="D957" s="71">
        <v>0</v>
      </c>
      <c r="E957" s="19">
        <v>0</v>
      </c>
      <c r="F957" s="19">
        <f t="shared" si="28"/>
        <v>0</v>
      </c>
      <c r="G957" s="20">
        <v>102</v>
      </c>
      <c r="H957" s="19" t="str">
        <f t="shared" si="29"/>
        <v>USD</v>
      </c>
      <c r="J957" s="5"/>
      <c r="K957" s="3"/>
      <c r="L957" s="3"/>
      <c r="M957" s="3"/>
      <c r="N957" s="3"/>
      <c r="O957" s="3"/>
    </row>
    <row r="958" spans="1:15" ht="15">
      <c r="A958" s="72">
        <v>2</v>
      </c>
      <c r="B958" s="70">
        <v>13.6878614254</v>
      </c>
      <c r="C958" s="69">
        <v>-89.194335072399994</v>
      </c>
      <c r="D958" s="71">
        <v>0</v>
      </c>
      <c r="E958" s="19">
        <v>0</v>
      </c>
      <c r="F958" s="19">
        <f t="shared" si="28"/>
        <v>0</v>
      </c>
      <c r="G958" s="20">
        <v>102</v>
      </c>
      <c r="H958" s="19" t="str">
        <f t="shared" si="29"/>
        <v>USD</v>
      </c>
      <c r="J958" s="5"/>
      <c r="K958" s="3"/>
      <c r="L958" s="3"/>
      <c r="M958" s="3"/>
      <c r="N958" s="3"/>
      <c r="O958" s="3"/>
    </row>
    <row r="959" spans="1:15" ht="15">
      <c r="A959" s="72">
        <v>2</v>
      </c>
      <c r="B959" s="70">
        <v>13.687836561699999</v>
      </c>
      <c r="C959" s="69">
        <v>-89.194317186600003</v>
      </c>
      <c r="D959" s="71">
        <v>0</v>
      </c>
      <c r="E959" s="19">
        <v>0</v>
      </c>
      <c r="F959" s="19">
        <f t="shared" si="28"/>
        <v>0</v>
      </c>
      <c r="G959" s="20">
        <v>102</v>
      </c>
      <c r="H959" s="19" t="str">
        <f t="shared" si="29"/>
        <v>USD</v>
      </c>
      <c r="J959" s="5"/>
      <c r="K959" s="3"/>
      <c r="L959" s="3"/>
      <c r="M959" s="3"/>
      <c r="N959" s="3"/>
      <c r="O959" s="3"/>
    </row>
    <row r="960" spans="1:15" ht="15">
      <c r="A960" s="72">
        <v>2</v>
      </c>
      <c r="B960" s="70">
        <v>13.6878095035</v>
      </c>
      <c r="C960" s="69">
        <v>-89.194298030599995</v>
      </c>
      <c r="D960" s="71">
        <v>0</v>
      </c>
      <c r="E960" s="19">
        <v>0</v>
      </c>
      <c r="F960" s="19">
        <f t="shared" si="28"/>
        <v>0</v>
      </c>
      <c r="G960" s="20">
        <v>102</v>
      </c>
      <c r="H960" s="19" t="str">
        <f t="shared" si="29"/>
        <v>USD</v>
      </c>
      <c r="J960" s="5"/>
      <c r="K960" s="3"/>
      <c r="L960" s="3"/>
      <c r="M960" s="3"/>
      <c r="N960" s="3"/>
      <c r="O960" s="3"/>
    </row>
    <row r="961" spans="1:15" ht="15">
      <c r="A961" s="72">
        <v>2</v>
      </c>
      <c r="B961" s="70">
        <v>13.6877796554</v>
      </c>
      <c r="C961" s="69">
        <v>-89.194278115200007</v>
      </c>
      <c r="D961" s="71">
        <v>0</v>
      </c>
      <c r="E961" s="19">
        <v>0</v>
      </c>
      <c r="F961" s="19">
        <f t="shared" ref="F961:F1024" si="30">D961</f>
        <v>0</v>
      </c>
      <c r="G961" s="20">
        <v>102</v>
      </c>
      <c r="H961" s="19" t="str">
        <f t="shared" ref="H961:H1024" si="31">IF(OR(A961&lt;17,A961=21),"USD","people")</f>
        <v>USD</v>
      </c>
      <c r="J961" s="5"/>
      <c r="K961" s="3"/>
      <c r="L961" s="3"/>
      <c r="M961" s="3"/>
      <c r="N961" s="3"/>
      <c r="O961" s="3"/>
    </row>
    <row r="962" spans="1:15" ht="15">
      <c r="A962" s="72">
        <v>2</v>
      </c>
      <c r="B962" s="70">
        <v>13.6877820605</v>
      </c>
      <c r="C962" s="69">
        <v>-89.194215499600006</v>
      </c>
      <c r="D962" s="71">
        <v>0</v>
      </c>
      <c r="E962" s="19">
        <v>0</v>
      </c>
      <c r="F962" s="19">
        <f t="shared" si="30"/>
        <v>0</v>
      </c>
      <c r="G962" s="20">
        <v>102</v>
      </c>
      <c r="H962" s="19" t="str">
        <f t="shared" si="31"/>
        <v>USD</v>
      </c>
      <c r="J962" s="5"/>
      <c r="K962" s="3"/>
      <c r="L962" s="3"/>
      <c r="M962" s="3"/>
      <c r="N962" s="3"/>
      <c r="O962" s="3"/>
    </row>
    <row r="963" spans="1:15" ht="15">
      <c r="A963" s="72">
        <v>2</v>
      </c>
      <c r="B963" s="70">
        <v>13.6878125839</v>
      </c>
      <c r="C963" s="69">
        <v>-89.194246782700006</v>
      </c>
      <c r="D963" s="71">
        <v>0</v>
      </c>
      <c r="E963" s="19">
        <v>0</v>
      </c>
      <c r="F963" s="19">
        <f t="shared" si="30"/>
        <v>0</v>
      </c>
      <c r="G963" s="20">
        <v>102</v>
      </c>
      <c r="H963" s="19" t="str">
        <f t="shared" si="31"/>
        <v>USD</v>
      </c>
      <c r="J963" s="5"/>
      <c r="K963" s="3"/>
      <c r="L963" s="3"/>
      <c r="M963" s="3"/>
      <c r="N963" s="3"/>
      <c r="O963" s="3"/>
    </row>
    <row r="964" spans="1:15" ht="15">
      <c r="A964" s="72">
        <v>2</v>
      </c>
      <c r="B964" s="70">
        <v>13.687811802200001</v>
      </c>
      <c r="C964" s="69">
        <v>-89.194246444699999</v>
      </c>
      <c r="D964" s="71">
        <v>0</v>
      </c>
      <c r="E964" s="19">
        <v>0</v>
      </c>
      <c r="F964" s="19">
        <f t="shared" si="30"/>
        <v>0</v>
      </c>
      <c r="G964" s="20">
        <v>102</v>
      </c>
      <c r="H964" s="19" t="str">
        <f t="shared" si="31"/>
        <v>USD</v>
      </c>
      <c r="J964" s="5"/>
      <c r="K964" s="3"/>
      <c r="L964" s="3"/>
      <c r="M964" s="3"/>
      <c r="N964" s="3"/>
      <c r="O964" s="3"/>
    </row>
    <row r="965" spans="1:15" ht="15">
      <c r="A965" s="72">
        <v>2</v>
      </c>
      <c r="B965" s="70">
        <v>13.687855620800001</v>
      </c>
      <c r="C965" s="69">
        <v>-89.194276200499999</v>
      </c>
      <c r="D965" s="71">
        <v>0</v>
      </c>
      <c r="E965" s="19">
        <v>0</v>
      </c>
      <c r="F965" s="19">
        <f t="shared" si="30"/>
        <v>0</v>
      </c>
      <c r="G965" s="20">
        <v>102</v>
      </c>
      <c r="H965" s="19" t="str">
        <f t="shared" si="31"/>
        <v>USD</v>
      </c>
      <c r="J965" s="5"/>
      <c r="K965" s="3"/>
      <c r="L965" s="3"/>
      <c r="M965" s="3"/>
      <c r="N965" s="3"/>
      <c r="O965" s="3"/>
    </row>
    <row r="966" spans="1:15" ht="15">
      <c r="A966" s="72">
        <v>2</v>
      </c>
      <c r="B966" s="70">
        <v>13.687857773899999</v>
      </c>
      <c r="C966" s="69">
        <v>-89.194277350500002</v>
      </c>
      <c r="D966" s="71">
        <v>0</v>
      </c>
      <c r="E966" s="19">
        <v>0</v>
      </c>
      <c r="F966" s="19">
        <f t="shared" si="30"/>
        <v>0</v>
      </c>
      <c r="G966" s="20">
        <v>102</v>
      </c>
      <c r="H966" s="19" t="str">
        <f t="shared" si="31"/>
        <v>USD</v>
      </c>
      <c r="J966" s="5"/>
      <c r="K966" s="3"/>
      <c r="L966" s="3"/>
      <c r="M966" s="3"/>
      <c r="N966" s="3"/>
      <c r="O966" s="3"/>
    </row>
    <row r="967" spans="1:15" ht="15">
      <c r="A967" s="72">
        <v>1</v>
      </c>
      <c r="B967" s="70">
        <v>13.6877546251</v>
      </c>
      <c r="C967" s="69">
        <v>-89.194257257100006</v>
      </c>
      <c r="D967" s="71">
        <v>0</v>
      </c>
      <c r="E967" s="19">
        <v>0</v>
      </c>
      <c r="F967" s="19">
        <f t="shared" si="30"/>
        <v>0</v>
      </c>
      <c r="G967" s="20">
        <v>101</v>
      </c>
      <c r="H967" s="19" t="str">
        <f t="shared" si="31"/>
        <v>USD</v>
      </c>
      <c r="J967" s="5"/>
      <c r="K967" s="3"/>
      <c r="L967" s="3"/>
      <c r="M967" s="3"/>
      <c r="N967" s="3"/>
      <c r="O967" s="3"/>
    </row>
    <row r="968" spans="1:15" ht="15">
      <c r="A968" s="72">
        <v>2</v>
      </c>
      <c r="B968" s="70">
        <v>13.687807304</v>
      </c>
      <c r="C968" s="69">
        <v>-89.194587653799999</v>
      </c>
      <c r="D968" s="71">
        <v>0</v>
      </c>
      <c r="E968" s="19">
        <v>0</v>
      </c>
      <c r="F968" s="19">
        <f t="shared" si="30"/>
        <v>0</v>
      </c>
      <c r="G968" s="20">
        <v>102</v>
      </c>
      <c r="H968" s="19" t="str">
        <f t="shared" si="31"/>
        <v>USD</v>
      </c>
      <c r="J968" s="5"/>
      <c r="K968" s="3"/>
      <c r="L968" s="3"/>
      <c r="M968" s="3"/>
      <c r="N968" s="3"/>
      <c r="O968" s="3"/>
    </row>
    <row r="969" spans="1:15" ht="15">
      <c r="A969" s="72">
        <v>2</v>
      </c>
      <c r="B969" s="70">
        <v>13.687806673200001</v>
      </c>
      <c r="C969" s="69">
        <v>-89.194587415699999</v>
      </c>
      <c r="D969" s="71">
        <v>0</v>
      </c>
      <c r="E969" s="19">
        <v>0</v>
      </c>
      <c r="F969" s="19">
        <f t="shared" si="30"/>
        <v>0</v>
      </c>
      <c r="G969" s="20">
        <v>102</v>
      </c>
      <c r="H969" s="19" t="str">
        <f t="shared" si="31"/>
        <v>USD</v>
      </c>
      <c r="J969" s="5"/>
      <c r="K969" s="3"/>
      <c r="L969" s="3"/>
      <c r="M969" s="3"/>
      <c r="N969" s="3"/>
      <c r="O969" s="3"/>
    </row>
    <row r="970" spans="1:15" ht="15">
      <c r="A970" s="72">
        <v>2</v>
      </c>
      <c r="B970" s="70">
        <v>13.687807021999999</v>
      </c>
      <c r="C970" s="69">
        <v>-89.194587526899994</v>
      </c>
      <c r="D970" s="71">
        <v>0</v>
      </c>
      <c r="E970" s="19">
        <v>0</v>
      </c>
      <c r="F970" s="19">
        <f t="shared" si="30"/>
        <v>0</v>
      </c>
      <c r="G970" s="20">
        <v>102</v>
      </c>
      <c r="H970" s="19" t="str">
        <f t="shared" si="31"/>
        <v>USD</v>
      </c>
      <c r="J970" s="5"/>
      <c r="K970" s="3"/>
      <c r="L970" s="3"/>
      <c r="M970" s="3"/>
      <c r="N970" s="3"/>
      <c r="O970" s="3"/>
    </row>
    <row r="971" spans="1:15" ht="15">
      <c r="A971" s="72">
        <v>2</v>
      </c>
      <c r="B971" s="70">
        <v>13.6877679534</v>
      </c>
      <c r="C971" s="69">
        <v>-89.194568434900006</v>
      </c>
      <c r="D971" s="71">
        <v>0</v>
      </c>
      <c r="E971" s="19">
        <v>0</v>
      </c>
      <c r="F971" s="19">
        <f t="shared" si="30"/>
        <v>0</v>
      </c>
      <c r="G971" s="20">
        <v>102</v>
      </c>
      <c r="H971" s="19" t="str">
        <f t="shared" si="31"/>
        <v>USD</v>
      </c>
      <c r="J971" s="5"/>
      <c r="K971" s="3"/>
      <c r="L971" s="3"/>
      <c r="M971" s="3"/>
      <c r="N971" s="3"/>
      <c r="O971" s="3"/>
    </row>
    <row r="972" spans="1:15" ht="15">
      <c r="A972" s="72">
        <v>2</v>
      </c>
      <c r="B972" s="70">
        <v>13.6877674581</v>
      </c>
      <c r="C972" s="69">
        <v>-89.194568327300004</v>
      </c>
      <c r="D972" s="71">
        <v>0</v>
      </c>
      <c r="E972" s="19">
        <v>0</v>
      </c>
      <c r="F972" s="19">
        <f t="shared" si="30"/>
        <v>0</v>
      </c>
      <c r="G972" s="20">
        <v>102</v>
      </c>
      <c r="H972" s="19" t="str">
        <f t="shared" si="31"/>
        <v>USD</v>
      </c>
      <c r="J972" s="5"/>
      <c r="K972" s="3"/>
      <c r="L972" s="3"/>
      <c r="M972" s="3"/>
      <c r="N972" s="3"/>
      <c r="O972" s="3"/>
    </row>
    <row r="973" spans="1:15" ht="15">
      <c r="A973" s="72">
        <v>2</v>
      </c>
      <c r="B973" s="70">
        <v>13.6877669845</v>
      </c>
      <c r="C973" s="69">
        <v>-89.194568191900004</v>
      </c>
      <c r="D973" s="71">
        <v>0</v>
      </c>
      <c r="E973" s="19">
        <v>0</v>
      </c>
      <c r="F973" s="19">
        <f t="shared" si="30"/>
        <v>0</v>
      </c>
      <c r="G973" s="20">
        <v>102</v>
      </c>
      <c r="H973" s="19" t="str">
        <f t="shared" si="31"/>
        <v>USD</v>
      </c>
      <c r="J973" s="5"/>
      <c r="K973" s="3"/>
      <c r="L973" s="3"/>
      <c r="M973" s="3"/>
      <c r="N973" s="3"/>
      <c r="O973" s="3"/>
    </row>
    <row r="974" spans="1:15" ht="15">
      <c r="A974" s="72">
        <v>2</v>
      </c>
      <c r="B974" s="70">
        <v>13.687719809100001</v>
      </c>
      <c r="C974" s="69">
        <v>-89.194533577100003</v>
      </c>
      <c r="D974" s="71">
        <v>0</v>
      </c>
      <c r="E974" s="19">
        <v>0</v>
      </c>
      <c r="F974" s="19">
        <f t="shared" si="30"/>
        <v>0</v>
      </c>
      <c r="G974" s="20">
        <v>102</v>
      </c>
      <c r="H974" s="19" t="str">
        <f t="shared" si="31"/>
        <v>USD</v>
      </c>
      <c r="J974" s="5"/>
      <c r="K974" s="3"/>
      <c r="L974" s="3"/>
      <c r="M974" s="3"/>
      <c r="N974" s="3"/>
      <c r="O974" s="3"/>
    </row>
    <row r="975" spans="1:15" ht="15">
      <c r="A975" s="72">
        <v>2</v>
      </c>
      <c r="B975" s="70">
        <v>13.687719454</v>
      </c>
      <c r="C975" s="69">
        <v>-89.194533378000003</v>
      </c>
      <c r="D975" s="71">
        <v>0</v>
      </c>
      <c r="E975" s="19">
        <v>0</v>
      </c>
      <c r="F975" s="19">
        <f t="shared" si="30"/>
        <v>0</v>
      </c>
      <c r="G975" s="20">
        <v>102</v>
      </c>
      <c r="H975" s="19" t="str">
        <f t="shared" si="31"/>
        <v>USD</v>
      </c>
      <c r="J975" s="5"/>
      <c r="K975" s="3"/>
      <c r="L975" s="3"/>
      <c r="M975" s="3"/>
      <c r="N975" s="3"/>
      <c r="O975" s="3"/>
    </row>
    <row r="976" spans="1:15" ht="15">
      <c r="A976" s="72">
        <v>2</v>
      </c>
      <c r="B976" s="70">
        <v>13.687719147699999</v>
      </c>
      <c r="C976" s="69">
        <v>-89.194533176199997</v>
      </c>
      <c r="D976" s="71">
        <v>0</v>
      </c>
      <c r="E976" s="19">
        <v>0</v>
      </c>
      <c r="F976" s="19">
        <f t="shared" si="30"/>
        <v>0</v>
      </c>
      <c r="G976" s="20">
        <v>102</v>
      </c>
      <c r="H976" s="19" t="str">
        <f t="shared" si="31"/>
        <v>USD</v>
      </c>
      <c r="J976" s="5"/>
      <c r="K976" s="3"/>
      <c r="L976" s="3"/>
      <c r="M976" s="3"/>
      <c r="N976" s="3"/>
      <c r="O976" s="3"/>
    </row>
    <row r="977" spans="1:15" ht="15">
      <c r="A977" s="72">
        <v>2</v>
      </c>
      <c r="B977" s="70">
        <v>13.6876847163</v>
      </c>
      <c r="C977" s="69">
        <v>-89.194516155200006</v>
      </c>
      <c r="D977" s="71">
        <v>0</v>
      </c>
      <c r="E977" s="19">
        <v>0</v>
      </c>
      <c r="F977" s="19">
        <f t="shared" si="30"/>
        <v>0</v>
      </c>
      <c r="G977" s="20">
        <v>102</v>
      </c>
      <c r="H977" s="19" t="str">
        <f t="shared" si="31"/>
        <v>USD</v>
      </c>
      <c r="J977" s="5"/>
      <c r="K977" s="3"/>
      <c r="L977" s="3"/>
      <c r="M977" s="3"/>
      <c r="N977" s="3"/>
      <c r="O977" s="3"/>
    </row>
    <row r="978" spans="1:15" ht="15">
      <c r="A978" s="72">
        <v>2</v>
      </c>
      <c r="B978" s="70">
        <v>13.6878300211</v>
      </c>
      <c r="C978" s="69">
        <v>-89.194519439800004</v>
      </c>
      <c r="D978" s="71">
        <v>0</v>
      </c>
      <c r="E978" s="19">
        <v>0</v>
      </c>
      <c r="F978" s="19">
        <f t="shared" si="30"/>
        <v>0</v>
      </c>
      <c r="G978" s="20">
        <v>102</v>
      </c>
      <c r="H978" s="19" t="str">
        <f t="shared" si="31"/>
        <v>USD</v>
      </c>
      <c r="J978" s="5"/>
      <c r="K978" s="3"/>
      <c r="L978" s="3"/>
      <c r="M978" s="3"/>
      <c r="N978" s="3"/>
      <c r="O978" s="3"/>
    </row>
    <row r="979" spans="1:15" ht="15">
      <c r="A979" s="72">
        <v>2</v>
      </c>
      <c r="B979" s="70">
        <v>13.6883739852</v>
      </c>
      <c r="C979" s="69">
        <v>-89.1939380508</v>
      </c>
      <c r="D979" s="71">
        <v>0</v>
      </c>
      <c r="E979" s="19">
        <v>0</v>
      </c>
      <c r="F979" s="19">
        <f t="shared" si="30"/>
        <v>0</v>
      </c>
      <c r="G979" s="20">
        <v>102</v>
      </c>
      <c r="H979" s="19" t="str">
        <f t="shared" si="31"/>
        <v>USD</v>
      </c>
      <c r="J979" s="5"/>
      <c r="K979" s="3"/>
      <c r="L979" s="3"/>
      <c r="M979" s="3"/>
      <c r="N979" s="3"/>
      <c r="O979" s="3"/>
    </row>
    <row r="980" spans="1:15" ht="15">
      <c r="A980" s="72">
        <v>2</v>
      </c>
      <c r="B980" s="70">
        <v>13.688345294699999</v>
      </c>
      <c r="C980" s="69">
        <v>-89.193926678400004</v>
      </c>
      <c r="D980" s="71">
        <v>0</v>
      </c>
      <c r="E980" s="19">
        <v>0</v>
      </c>
      <c r="F980" s="19">
        <f t="shared" si="30"/>
        <v>0</v>
      </c>
      <c r="G980" s="20">
        <v>102</v>
      </c>
      <c r="H980" s="19" t="str">
        <f t="shared" si="31"/>
        <v>USD</v>
      </c>
      <c r="J980" s="5"/>
      <c r="K980" s="3"/>
      <c r="L980" s="3"/>
      <c r="M980" s="3"/>
      <c r="N980" s="3"/>
      <c r="O980" s="3"/>
    </row>
    <row r="981" spans="1:15" ht="15">
      <c r="A981" s="72">
        <v>2</v>
      </c>
      <c r="B981" s="70">
        <v>13.688321011499999</v>
      </c>
      <c r="C981" s="69">
        <v>-89.1939074812</v>
      </c>
      <c r="D981" s="71">
        <v>0</v>
      </c>
      <c r="E981" s="19">
        <v>0</v>
      </c>
      <c r="F981" s="19">
        <f t="shared" si="30"/>
        <v>0</v>
      </c>
      <c r="G981" s="20">
        <v>102</v>
      </c>
      <c r="H981" s="19" t="str">
        <f t="shared" si="31"/>
        <v>USD</v>
      </c>
      <c r="J981" s="5"/>
      <c r="K981" s="3"/>
      <c r="L981" s="3"/>
      <c r="M981" s="3"/>
      <c r="N981" s="3"/>
      <c r="O981" s="3"/>
    </row>
    <row r="982" spans="1:15" ht="15">
      <c r="A982" s="72">
        <v>2</v>
      </c>
      <c r="B982" s="70">
        <v>13.6882960091</v>
      </c>
      <c r="C982" s="69">
        <v>-89.193889018500002</v>
      </c>
      <c r="D982" s="71">
        <v>0</v>
      </c>
      <c r="E982" s="19">
        <v>0</v>
      </c>
      <c r="F982" s="19">
        <f t="shared" si="30"/>
        <v>0</v>
      </c>
      <c r="G982" s="20">
        <v>102</v>
      </c>
      <c r="H982" s="19" t="str">
        <f t="shared" si="31"/>
        <v>USD</v>
      </c>
      <c r="J982" s="5"/>
      <c r="K982" s="3"/>
      <c r="L982" s="3"/>
      <c r="M982" s="3"/>
      <c r="N982" s="3"/>
      <c r="O982" s="3"/>
    </row>
    <row r="983" spans="1:15" ht="15">
      <c r="A983" s="72">
        <v>2</v>
      </c>
      <c r="B983" s="70">
        <v>13.688266371599999</v>
      </c>
      <c r="C983" s="69">
        <v>-89.193865707699999</v>
      </c>
      <c r="D983" s="71">
        <v>0</v>
      </c>
      <c r="E983" s="19">
        <v>0</v>
      </c>
      <c r="F983" s="19">
        <f t="shared" si="30"/>
        <v>0</v>
      </c>
      <c r="G983" s="20">
        <v>102</v>
      </c>
      <c r="H983" s="19" t="str">
        <f t="shared" si="31"/>
        <v>USD</v>
      </c>
      <c r="J983" s="5"/>
      <c r="K983" s="3"/>
      <c r="L983" s="3"/>
      <c r="M983" s="3"/>
      <c r="N983" s="3"/>
      <c r="O983" s="3"/>
    </row>
    <row r="984" spans="1:15" ht="15">
      <c r="A984" s="72">
        <v>2</v>
      </c>
      <c r="B984" s="70">
        <v>13.688311754500001</v>
      </c>
      <c r="C984" s="69">
        <v>-89.194101003</v>
      </c>
      <c r="D984" s="71">
        <v>0</v>
      </c>
      <c r="E984" s="19">
        <v>0</v>
      </c>
      <c r="F984" s="19">
        <f t="shared" si="30"/>
        <v>0</v>
      </c>
      <c r="G984" s="20">
        <v>102</v>
      </c>
      <c r="H984" s="19" t="str">
        <f t="shared" si="31"/>
        <v>USD</v>
      </c>
      <c r="J984" s="5"/>
      <c r="K984" s="3"/>
      <c r="L984" s="3"/>
      <c r="M984" s="3"/>
      <c r="N984" s="3"/>
      <c r="O984" s="3"/>
    </row>
    <row r="985" spans="1:15" ht="15">
      <c r="A985" s="72">
        <v>2</v>
      </c>
      <c r="B985" s="70">
        <v>13.688268778399999</v>
      </c>
      <c r="C985" s="69">
        <v>-89.194008215899999</v>
      </c>
      <c r="D985" s="71">
        <v>0</v>
      </c>
      <c r="E985" s="19">
        <v>0</v>
      </c>
      <c r="F985" s="19">
        <f t="shared" si="30"/>
        <v>0</v>
      </c>
      <c r="G985" s="20">
        <v>102</v>
      </c>
      <c r="H985" s="19" t="str">
        <f t="shared" si="31"/>
        <v>USD</v>
      </c>
      <c r="J985" s="5"/>
      <c r="K985" s="3"/>
      <c r="L985" s="3"/>
      <c r="M985" s="3"/>
      <c r="N985" s="3"/>
      <c r="O985" s="3"/>
    </row>
    <row r="986" spans="1:15" ht="15">
      <c r="A986" s="72">
        <v>2</v>
      </c>
      <c r="B986" s="70">
        <v>13.6882963097</v>
      </c>
      <c r="C986" s="69">
        <v>-89.194033873099997</v>
      </c>
      <c r="D986" s="71">
        <v>0</v>
      </c>
      <c r="E986" s="19">
        <v>0</v>
      </c>
      <c r="F986" s="19">
        <f t="shared" si="30"/>
        <v>0</v>
      </c>
      <c r="G986" s="20">
        <v>102</v>
      </c>
      <c r="H986" s="19" t="str">
        <f t="shared" si="31"/>
        <v>USD</v>
      </c>
      <c r="J986" s="5"/>
      <c r="K986" s="3"/>
      <c r="L986" s="3"/>
      <c r="M986" s="3"/>
      <c r="N986" s="3"/>
      <c r="O986" s="3"/>
    </row>
    <row r="987" spans="1:15" ht="15">
      <c r="A987" s="72">
        <v>2</v>
      </c>
      <c r="B987" s="70">
        <v>13.6882602849</v>
      </c>
      <c r="C987" s="69">
        <v>-89.194102526500004</v>
      </c>
      <c r="D987" s="71">
        <v>0</v>
      </c>
      <c r="E987" s="19">
        <v>0</v>
      </c>
      <c r="F987" s="19">
        <f t="shared" si="30"/>
        <v>0</v>
      </c>
      <c r="G987" s="20">
        <v>102</v>
      </c>
      <c r="H987" s="19" t="str">
        <f t="shared" si="31"/>
        <v>USD</v>
      </c>
      <c r="J987" s="5"/>
      <c r="K987" s="3"/>
      <c r="L987" s="3"/>
      <c r="M987" s="3"/>
      <c r="N987" s="3"/>
      <c r="O987" s="3"/>
    </row>
    <row r="988" spans="1:15" ht="15">
      <c r="A988" s="72">
        <v>2</v>
      </c>
      <c r="B988" s="70">
        <v>13.688239013600001</v>
      </c>
      <c r="C988" s="69">
        <v>-89.194084408899997</v>
      </c>
      <c r="D988" s="71">
        <v>0</v>
      </c>
      <c r="E988" s="19">
        <v>0</v>
      </c>
      <c r="F988" s="19">
        <f t="shared" si="30"/>
        <v>0</v>
      </c>
      <c r="G988" s="20">
        <v>102</v>
      </c>
      <c r="H988" s="19" t="str">
        <f t="shared" si="31"/>
        <v>USD</v>
      </c>
      <c r="J988" s="5"/>
      <c r="K988" s="3"/>
      <c r="L988" s="3"/>
      <c r="M988" s="3"/>
      <c r="N988" s="3"/>
      <c r="O988" s="3"/>
    </row>
    <row r="989" spans="1:15" ht="15">
      <c r="A989" s="72">
        <v>2</v>
      </c>
      <c r="B989" s="70">
        <v>13.688209472</v>
      </c>
      <c r="C989" s="69">
        <v>-89.194061049200002</v>
      </c>
      <c r="D989" s="71">
        <v>0</v>
      </c>
      <c r="E989" s="19">
        <v>0</v>
      </c>
      <c r="F989" s="19">
        <f t="shared" si="30"/>
        <v>0</v>
      </c>
      <c r="G989" s="20">
        <v>102</v>
      </c>
      <c r="H989" s="19" t="str">
        <f t="shared" si="31"/>
        <v>USD</v>
      </c>
      <c r="J989" s="5"/>
      <c r="K989" s="3"/>
      <c r="L989" s="3"/>
      <c r="M989" s="3"/>
      <c r="N989" s="3"/>
      <c r="O989" s="3"/>
    </row>
    <row r="990" spans="1:15" ht="15">
      <c r="A990" s="72">
        <v>2</v>
      </c>
      <c r="B990" s="70">
        <v>13.688234684399999</v>
      </c>
      <c r="C990" s="69">
        <v>-89.193980524099999</v>
      </c>
      <c r="D990" s="71">
        <v>0</v>
      </c>
      <c r="E990" s="19">
        <v>0</v>
      </c>
      <c r="F990" s="19">
        <f t="shared" si="30"/>
        <v>0</v>
      </c>
      <c r="G990" s="20">
        <v>102</v>
      </c>
      <c r="H990" s="19" t="str">
        <f t="shared" si="31"/>
        <v>USD</v>
      </c>
      <c r="J990" s="5"/>
      <c r="K990" s="3"/>
      <c r="L990" s="3"/>
      <c r="M990" s="3"/>
      <c r="N990" s="3"/>
      <c r="O990" s="3"/>
    </row>
    <row r="991" spans="1:15" ht="15">
      <c r="A991" s="72">
        <v>2</v>
      </c>
      <c r="B991" s="70">
        <v>13.688208274000001</v>
      </c>
      <c r="C991" s="69">
        <v>-89.193959344099994</v>
      </c>
      <c r="D991" s="71">
        <v>0</v>
      </c>
      <c r="E991" s="19">
        <v>0</v>
      </c>
      <c r="F991" s="19">
        <f t="shared" si="30"/>
        <v>0</v>
      </c>
      <c r="G991" s="20">
        <v>102</v>
      </c>
      <c r="H991" s="19" t="str">
        <f t="shared" si="31"/>
        <v>USD</v>
      </c>
      <c r="J991" s="5"/>
      <c r="K991" s="3"/>
      <c r="L991" s="3"/>
      <c r="M991" s="3"/>
      <c r="N991" s="3"/>
      <c r="O991" s="3"/>
    </row>
    <row r="992" spans="1:15" ht="15">
      <c r="A992" s="72">
        <v>2</v>
      </c>
      <c r="B992" s="70">
        <v>13.688185966100001</v>
      </c>
      <c r="C992" s="69">
        <v>-89.194041853599998</v>
      </c>
      <c r="D992" s="71">
        <v>0</v>
      </c>
      <c r="E992" s="19">
        <v>0</v>
      </c>
      <c r="F992" s="19">
        <f t="shared" si="30"/>
        <v>0</v>
      </c>
      <c r="G992" s="20">
        <v>102</v>
      </c>
      <c r="H992" s="19" t="str">
        <f t="shared" si="31"/>
        <v>USD</v>
      </c>
      <c r="J992" s="5"/>
      <c r="K992" s="3"/>
      <c r="L992" s="3"/>
      <c r="M992" s="3"/>
      <c r="N992" s="3"/>
      <c r="O992" s="3"/>
    </row>
    <row r="993" spans="1:15" ht="15">
      <c r="A993" s="72">
        <v>2</v>
      </c>
      <c r="B993" s="70">
        <v>13.688163666399999</v>
      </c>
      <c r="C993" s="69">
        <v>-89.194024664200001</v>
      </c>
      <c r="D993" s="71">
        <v>0</v>
      </c>
      <c r="E993" s="19">
        <v>0</v>
      </c>
      <c r="F993" s="19">
        <f t="shared" si="30"/>
        <v>0</v>
      </c>
      <c r="G993" s="20">
        <v>102</v>
      </c>
      <c r="H993" s="19" t="str">
        <f t="shared" si="31"/>
        <v>USD</v>
      </c>
      <c r="J993" s="5"/>
      <c r="K993" s="3"/>
      <c r="L993" s="3"/>
      <c r="M993" s="3"/>
      <c r="N993" s="3"/>
      <c r="O993" s="3"/>
    </row>
    <row r="994" spans="1:15" ht="15">
      <c r="A994" s="72">
        <v>2</v>
      </c>
      <c r="B994" s="70">
        <v>13.6880803505</v>
      </c>
      <c r="C994" s="69">
        <v>-89.193957641099999</v>
      </c>
      <c r="D994" s="71">
        <v>0</v>
      </c>
      <c r="E994" s="19">
        <v>0</v>
      </c>
      <c r="F994" s="19">
        <f t="shared" si="30"/>
        <v>0</v>
      </c>
      <c r="G994" s="20">
        <v>102</v>
      </c>
      <c r="H994" s="19" t="str">
        <f t="shared" si="31"/>
        <v>USD</v>
      </c>
      <c r="J994" s="5"/>
      <c r="K994" s="3"/>
      <c r="L994" s="3"/>
      <c r="M994" s="3"/>
      <c r="N994" s="3"/>
      <c r="O994" s="3"/>
    </row>
    <row r="995" spans="1:15" ht="15">
      <c r="A995" s="72">
        <v>2</v>
      </c>
      <c r="B995" s="70">
        <v>13.6881138869</v>
      </c>
      <c r="C995" s="69">
        <v>-89.193889963800004</v>
      </c>
      <c r="D995" s="71">
        <v>0</v>
      </c>
      <c r="E995" s="19">
        <v>0</v>
      </c>
      <c r="F995" s="19">
        <f t="shared" si="30"/>
        <v>0</v>
      </c>
      <c r="G995" s="20">
        <v>102</v>
      </c>
      <c r="H995" s="19" t="str">
        <f t="shared" si="31"/>
        <v>USD</v>
      </c>
      <c r="J995" s="5"/>
      <c r="K995" s="3"/>
      <c r="L995" s="3"/>
      <c r="M995" s="3"/>
      <c r="N995" s="3"/>
      <c r="O995" s="3"/>
    </row>
    <row r="996" spans="1:15" ht="15">
      <c r="A996" s="72">
        <v>2</v>
      </c>
      <c r="B996" s="70">
        <v>13.688124955399999</v>
      </c>
      <c r="C996" s="69">
        <v>-89.193834962699995</v>
      </c>
      <c r="D996" s="71">
        <v>0</v>
      </c>
      <c r="E996" s="19">
        <v>0</v>
      </c>
      <c r="F996" s="19">
        <f t="shared" si="30"/>
        <v>0</v>
      </c>
      <c r="G996" s="20">
        <v>102</v>
      </c>
      <c r="H996" s="19" t="str">
        <f t="shared" si="31"/>
        <v>USD</v>
      </c>
      <c r="J996" s="5"/>
      <c r="K996" s="3"/>
      <c r="L996" s="3"/>
      <c r="M996" s="3"/>
      <c r="N996" s="3"/>
      <c r="O996" s="3"/>
    </row>
    <row r="997" spans="1:15" ht="15">
      <c r="A997" s="72">
        <v>2</v>
      </c>
      <c r="B997" s="70">
        <v>13.688211364500001</v>
      </c>
      <c r="C997" s="69">
        <v>-89.193820664</v>
      </c>
      <c r="D997" s="71">
        <v>0</v>
      </c>
      <c r="E997" s="19">
        <v>0</v>
      </c>
      <c r="F997" s="19">
        <f t="shared" si="30"/>
        <v>0</v>
      </c>
      <c r="G997" s="20">
        <v>102</v>
      </c>
      <c r="H997" s="19" t="str">
        <f t="shared" si="31"/>
        <v>USD</v>
      </c>
      <c r="J997" s="5"/>
      <c r="K997" s="3"/>
      <c r="L997" s="3"/>
      <c r="M997" s="3"/>
      <c r="N997" s="3"/>
      <c r="O997" s="3"/>
    </row>
    <row r="998" spans="1:15" ht="15">
      <c r="A998" s="72">
        <v>2</v>
      </c>
      <c r="B998" s="70">
        <v>13.6881829791</v>
      </c>
      <c r="C998" s="69">
        <v>-89.1938016836</v>
      </c>
      <c r="D998" s="71">
        <v>0</v>
      </c>
      <c r="E998" s="19">
        <v>0</v>
      </c>
      <c r="F998" s="19">
        <f t="shared" si="30"/>
        <v>0</v>
      </c>
      <c r="G998" s="20">
        <v>102</v>
      </c>
      <c r="H998" s="19" t="str">
        <f t="shared" si="31"/>
        <v>USD</v>
      </c>
      <c r="J998" s="5"/>
      <c r="K998" s="3"/>
      <c r="L998" s="3"/>
      <c r="M998" s="3"/>
      <c r="N998" s="3"/>
      <c r="O998" s="3"/>
    </row>
    <row r="999" spans="1:15" ht="15">
      <c r="A999" s="72">
        <v>2</v>
      </c>
      <c r="B999" s="70">
        <v>13.6881554953</v>
      </c>
      <c r="C999" s="69">
        <v>-89.193776590300004</v>
      </c>
      <c r="D999" s="71">
        <v>0</v>
      </c>
      <c r="E999" s="19">
        <v>0</v>
      </c>
      <c r="F999" s="19">
        <f t="shared" si="30"/>
        <v>0</v>
      </c>
      <c r="G999" s="20">
        <v>102</v>
      </c>
      <c r="H999" s="19" t="str">
        <f t="shared" si="31"/>
        <v>USD</v>
      </c>
      <c r="J999" s="5"/>
      <c r="K999" s="3"/>
      <c r="L999" s="3"/>
      <c r="M999" s="3"/>
      <c r="N999" s="3"/>
      <c r="O999" s="3"/>
    </row>
    <row r="1000" spans="1:15" ht="15">
      <c r="A1000" s="72">
        <v>2</v>
      </c>
      <c r="B1000" s="70">
        <v>13.688133086700001</v>
      </c>
      <c r="C1000" s="69">
        <v>-89.1937597549</v>
      </c>
      <c r="D1000" s="71">
        <v>0</v>
      </c>
      <c r="E1000" s="19">
        <v>0</v>
      </c>
      <c r="F1000" s="19">
        <f t="shared" si="30"/>
        <v>0</v>
      </c>
      <c r="G1000" s="20">
        <v>102</v>
      </c>
      <c r="H1000" s="19" t="str">
        <f t="shared" si="31"/>
        <v>USD</v>
      </c>
      <c r="J1000" s="5"/>
      <c r="K1000" s="3"/>
      <c r="L1000" s="3"/>
      <c r="M1000" s="3"/>
      <c r="N1000" s="3"/>
      <c r="O1000" s="3"/>
    </row>
    <row r="1001" spans="1:15" ht="15">
      <c r="A1001" s="72">
        <v>2</v>
      </c>
      <c r="B1001" s="70">
        <v>13.688100223199999</v>
      </c>
      <c r="C1001" s="69">
        <v>-89.193732822300007</v>
      </c>
      <c r="D1001" s="71">
        <v>0</v>
      </c>
      <c r="E1001" s="19">
        <v>0</v>
      </c>
      <c r="F1001" s="19">
        <f t="shared" si="30"/>
        <v>0</v>
      </c>
      <c r="G1001" s="20">
        <v>102</v>
      </c>
      <c r="H1001" s="19" t="str">
        <f t="shared" si="31"/>
        <v>USD</v>
      </c>
      <c r="J1001" s="5"/>
      <c r="K1001" s="3"/>
      <c r="L1001" s="3"/>
      <c r="M1001" s="3"/>
      <c r="N1001" s="3"/>
      <c r="O1001" s="3"/>
    </row>
    <row r="1002" spans="1:15" ht="15">
      <c r="A1002" s="72">
        <v>2</v>
      </c>
      <c r="B1002" s="70">
        <v>13.6882367706</v>
      </c>
      <c r="C1002" s="69">
        <v>-89.193841903299997</v>
      </c>
      <c r="D1002" s="71">
        <v>0</v>
      </c>
      <c r="E1002" s="19">
        <v>0</v>
      </c>
      <c r="F1002" s="19">
        <f t="shared" si="30"/>
        <v>0</v>
      </c>
      <c r="G1002" s="20">
        <v>102</v>
      </c>
      <c r="H1002" s="19" t="str">
        <f t="shared" si="31"/>
        <v>USD</v>
      </c>
      <c r="J1002" s="5"/>
      <c r="K1002" s="3"/>
      <c r="L1002" s="3"/>
      <c r="M1002" s="3"/>
      <c r="N1002" s="3"/>
      <c r="O1002" s="3"/>
    </row>
    <row r="1003" spans="1:15" ht="15">
      <c r="A1003" s="72">
        <v>2</v>
      </c>
      <c r="B1003" s="70">
        <v>13.688413929499999</v>
      </c>
      <c r="C1003" s="69">
        <v>-89.193934715899999</v>
      </c>
      <c r="D1003" s="71">
        <v>0</v>
      </c>
      <c r="E1003" s="19">
        <v>0</v>
      </c>
      <c r="F1003" s="19">
        <f t="shared" si="30"/>
        <v>0</v>
      </c>
      <c r="G1003" s="20">
        <v>102</v>
      </c>
      <c r="H1003" s="19" t="str">
        <f t="shared" si="31"/>
        <v>USD</v>
      </c>
      <c r="J1003" s="5"/>
      <c r="K1003" s="3"/>
      <c r="L1003" s="3"/>
      <c r="M1003" s="3"/>
      <c r="N1003" s="3"/>
      <c r="O1003" s="3"/>
    </row>
    <row r="1004" spans="1:15" ht="15">
      <c r="A1004" s="72">
        <v>3</v>
      </c>
      <c r="B1004" s="70">
        <v>13.688235709600001</v>
      </c>
      <c r="C1004" s="69">
        <v>-89.193613213899994</v>
      </c>
      <c r="D1004" s="71">
        <v>0</v>
      </c>
      <c r="E1004" s="19">
        <v>0</v>
      </c>
      <c r="F1004" s="19">
        <f t="shared" si="30"/>
        <v>0</v>
      </c>
      <c r="G1004" s="20">
        <v>103</v>
      </c>
      <c r="H1004" s="19" t="str">
        <f t="shared" si="31"/>
        <v>USD</v>
      </c>
      <c r="J1004" s="5"/>
      <c r="K1004" s="3"/>
      <c r="L1004" s="3"/>
      <c r="M1004" s="3"/>
      <c r="N1004" s="3"/>
      <c r="O1004" s="3"/>
    </row>
    <row r="1005" spans="1:15" ht="15">
      <c r="A1005" s="72">
        <v>2</v>
      </c>
      <c r="B1005" s="70">
        <v>13.6880818765</v>
      </c>
      <c r="C1005" s="69">
        <v>-89.191645439200002</v>
      </c>
      <c r="D1005" s="71">
        <v>0</v>
      </c>
      <c r="E1005" s="19">
        <v>0</v>
      </c>
      <c r="F1005" s="19">
        <f t="shared" si="30"/>
        <v>0</v>
      </c>
      <c r="G1005" s="20">
        <v>102</v>
      </c>
      <c r="H1005" s="19" t="str">
        <f t="shared" si="31"/>
        <v>USD</v>
      </c>
      <c r="J1005" s="5"/>
      <c r="K1005" s="3"/>
      <c r="L1005" s="3"/>
      <c r="M1005" s="3"/>
      <c r="N1005" s="3"/>
      <c r="O1005" s="3"/>
    </row>
    <row r="1006" spans="1:15" ht="15">
      <c r="A1006" s="72">
        <v>2</v>
      </c>
      <c r="B1006" s="70">
        <v>13.6881744493</v>
      </c>
      <c r="C1006" s="69">
        <v>-89.191624234399995</v>
      </c>
      <c r="D1006" s="71">
        <v>0</v>
      </c>
      <c r="E1006" s="19">
        <v>0</v>
      </c>
      <c r="F1006" s="19">
        <f t="shared" si="30"/>
        <v>0</v>
      </c>
      <c r="G1006" s="20">
        <v>102</v>
      </c>
      <c r="H1006" s="19" t="str">
        <f t="shared" si="31"/>
        <v>USD</v>
      </c>
      <c r="J1006" s="5"/>
      <c r="K1006" s="3"/>
      <c r="L1006" s="3"/>
      <c r="M1006" s="3"/>
      <c r="N1006" s="3"/>
      <c r="O1006" s="3"/>
    </row>
    <row r="1007" spans="1:15" ht="15">
      <c r="A1007" s="72">
        <v>2</v>
      </c>
      <c r="B1007" s="70">
        <v>13.6882232482</v>
      </c>
      <c r="C1007" s="69">
        <v>-89.191611799399993</v>
      </c>
      <c r="D1007" s="71">
        <v>0</v>
      </c>
      <c r="E1007" s="19">
        <v>0</v>
      </c>
      <c r="F1007" s="19">
        <f t="shared" si="30"/>
        <v>0</v>
      </c>
      <c r="G1007" s="20">
        <v>102</v>
      </c>
      <c r="H1007" s="19" t="str">
        <f t="shared" si="31"/>
        <v>USD</v>
      </c>
      <c r="J1007" s="5"/>
      <c r="K1007" s="3"/>
      <c r="L1007" s="3"/>
      <c r="M1007" s="3"/>
      <c r="N1007" s="3"/>
      <c r="O1007" s="3"/>
    </row>
    <row r="1008" spans="1:15" ht="15">
      <c r="A1008" s="72">
        <v>2</v>
      </c>
      <c r="B1008" s="70">
        <v>13.6881767432</v>
      </c>
      <c r="C1008" s="69">
        <v>-89.191442254500004</v>
      </c>
      <c r="D1008" s="71">
        <v>0</v>
      </c>
      <c r="E1008" s="19">
        <v>0</v>
      </c>
      <c r="F1008" s="19">
        <f t="shared" si="30"/>
        <v>0</v>
      </c>
      <c r="G1008" s="20">
        <v>102</v>
      </c>
      <c r="H1008" s="19" t="str">
        <f t="shared" si="31"/>
        <v>USD</v>
      </c>
      <c r="J1008" s="5"/>
      <c r="K1008" s="3"/>
      <c r="L1008" s="3"/>
      <c r="M1008" s="3"/>
      <c r="N1008" s="3"/>
      <c r="O1008" s="3"/>
    </row>
    <row r="1009" spans="1:15" ht="15">
      <c r="A1009" s="72">
        <v>2</v>
      </c>
      <c r="B1009" s="70">
        <v>13.688259239600001</v>
      </c>
      <c r="C1009" s="69">
        <v>-89.191462134800005</v>
      </c>
      <c r="D1009" s="71">
        <v>0</v>
      </c>
      <c r="E1009" s="19">
        <v>0</v>
      </c>
      <c r="F1009" s="19">
        <f t="shared" si="30"/>
        <v>0</v>
      </c>
      <c r="G1009" s="20">
        <v>102</v>
      </c>
      <c r="H1009" s="19" t="str">
        <f t="shared" si="31"/>
        <v>USD</v>
      </c>
      <c r="J1009" s="5"/>
      <c r="K1009" s="3"/>
      <c r="L1009" s="3"/>
      <c r="M1009" s="3"/>
      <c r="N1009" s="3"/>
      <c r="O1009" s="3"/>
    </row>
    <row r="1010" spans="1:15" ht="15">
      <c r="A1010" s="72">
        <v>2</v>
      </c>
      <c r="B1010" s="70">
        <v>13.688319209799999</v>
      </c>
      <c r="C1010" s="69">
        <v>-89.1915695621</v>
      </c>
      <c r="D1010" s="71">
        <v>0</v>
      </c>
      <c r="E1010" s="19">
        <v>0</v>
      </c>
      <c r="F1010" s="19">
        <f t="shared" si="30"/>
        <v>0</v>
      </c>
      <c r="G1010" s="20">
        <v>102</v>
      </c>
      <c r="H1010" s="19" t="str">
        <f t="shared" si="31"/>
        <v>USD</v>
      </c>
      <c r="J1010" s="5"/>
      <c r="K1010" s="3"/>
      <c r="L1010" s="3"/>
      <c r="M1010" s="3"/>
      <c r="N1010" s="3"/>
      <c r="O1010" s="3"/>
    </row>
    <row r="1011" spans="1:15" ht="15">
      <c r="A1011" s="72">
        <v>2</v>
      </c>
      <c r="B1011" s="70">
        <v>13.6883371839</v>
      </c>
      <c r="C1011" s="69">
        <v>-89.191522491900002</v>
      </c>
      <c r="D1011" s="71">
        <v>0</v>
      </c>
      <c r="E1011" s="19">
        <v>0</v>
      </c>
      <c r="F1011" s="19">
        <f t="shared" si="30"/>
        <v>0</v>
      </c>
      <c r="G1011" s="20">
        <v>102</v>
      </c>
      <c r="H1011" s="19" t="str">
        <f t="shared" si="31"/>
        <v>USD</v>
      </c>
      <c r="J1011" s="5"/>
      <c r="K1011" s="3"/>
      <c r="L1011" s="3"/>
      <c r="M1011" s="3"/>
      <c r="N1011" s="3"/>
      <c r="O1011" s="3"/>
    </row>
    <row r="1012" spans="1:15" ht="15">
      <c r="A1012" s="72">
        <v>2</v>
      </c>
      <c r="B1012" s="70">
        <v>13.688361153700001</v>
      </c>
      <c r="C1012" s="69">
        <v>-89.191453412200005</v>
      </c>
      <c r="D1012" s="71">
        <v>0</v>
      </c>
      <c r="E1012" s="19">
        <v>0</v>
      </c>
      <c r="F1012" s="19">
        <f t="shared" si="30"/>
        <v>0</v>
      </c>
      <c r="G1012" s="20">
        <v>102</v>
      </c>
      <c r="H1012" s="19" t="str">
        <f t="shared" si="31"/>
        <v>USD</v>
      </c>
      <c r="J1012" s="5"/>
      <c r="K1012" s="3"/>
      <c r="L1012" s="3"/>
      <c r="M1012" s="3"/>
      <c r="N1012" s="3"/>
      <c r="O1012" s="3"/>
    </row>
    <row r="1013" spans="1:15" ht="15">
      <c r="A1013" s="72">
        <v>2</v>
      </c>
      <c r="B1013" s="70">
        <v>13.688315747400001</v>
      </c>
      <c r="C1013" s="69">
        <v>-89.191408735600007</v>
      </c>
      <c r="D1013" s="71">
        <v>0</v>
      </c>
      <c r="E1013" s="19">
        <v>0</v>
      </c>
      <c r="F1013" s="19">
        <f t="shared" si="30"/>
        <v>0</v>
      </c>
      <c r="G1013" s="20">
        <v>102</v>
      </c>
      <c r="H1013" s="19" t="str">
        <f t="shared" si="31"/>
        <v>USD</v>
      </c>
      <c r="J1013" s="5"/>
      <c r="K1013" s="3"/>
      <c r="L1013" s="3"/>
      <c r="M1013" s="3"/>
      <c r="N1013" s="3"/>
      <c r="O1013" s="3"/>
    </row>
    <row r="1014" spans="1:15" ht="15">
      <c r="A1014" s="72">
        <v>2</v>
      </c>
      <c r="B1014" s="70">
        <v>13.688255403799999</v>
      </c>
      <c r="C1014" s="69">
        <v>-89.191351206099995</v>
      </c>
      <c r="D1014" s="71">
        <v>0</v>
      </c>
      <c r="E1014" s="19">
        <v>0</v>
      </c>
      <c r="F1014" s="19">
        <f t="shared" si="30"/>
        <v>0</v>
      </c>
      <c r="G1014" s="20">
        <v>102</v>
      </c>
      <c r="H1014" s="19" t="str">
        <f t="shared" si="31"/>
        <v>USD</v>
      </c>
      <c r="J1014" s="5"/>
      <c r="K1014" s="3"/>
      <c r="L1014" s="3"/>
      <c r="M1014" s="3"/>
      <c r="N1014" s="3"/>
      <c r="O1014" s="3"/>
    </row>
    <row r="1015" spans="1:15" ht="15">
      <c r="A1015" s="72">
        <v>2</v>
      </c>
      <c r="B1015" s="70">
        <v>13.6882350979</v>
      </c>
      <c r="C1015" s="69">
        <v>-89.191321225799996</v>
      </c>
      <c r="D1015" s="71">
        <v>0</v>
      </c>
      <c r="E1015" s="19">
        <v>0</v>
      </c>
      <c r="F1015" s="19">
        <f t="shared" si="30"/>
        <v>0</v>
      </c>
      <c r="G1015" s="20">
        <v>102</v>
      </c>
      <c r="H1015" s="19" t="str">
        <f t="shared" si="31"/>
        <v>USD</v>
      </c>
      <c r="J1015" s="5"/>
      <c r="K1015" s="3"/>
      <c r="L1015" s="3"/>
      <c r="M1015" s="3"/>
      <c r="N1015" s="3"/>
      <c r="O1015" s="3"/>
    </row>
    <row r="1016" spans="1:15" ht="15">
      <c r="A1016" s="72">
        <v>2</v>
      </c>
      <c r="B1016" s="70">
        <v>13.6881644846</v>
      </c>
      <c r="C1016" s="69">
        <v>-89.191398828900006</v>
      </c>
      <c r="D1016" s="71">
        <v>0</v>
      </c>
      <c r="E1016" s="19">
        <v>0</v>
      </c>
      <c r="F1016" s="19">
        <f t="shared" si="30"/>
        <v>0</v>
      </c>
      <c r="G1016" s="20">
        <v>102</v>
      </c>
      <c r="H1016" s="19" t="str">
        <f t="shared" si="31"/>
        <v>USD</v>
      </c>
      <c r="J1016" s="5"/>
      <c r="K1016" s="3"/>
      <c r="L1016" s="3"/>
      <c r="M1016" s="3"/>
      <c r="N1016" s="3"/>
      <c r="O1016" s="3"/>
    </row>
    <row r="1017" spans="1:15" ht="15">
      <c r="A1017" s="72">
        <v>2</v>
      </c>
      <c r="B1017" s="70">
        <v>13.6881377594</v>
      </c>
      <c r="C1017" s="69">
        <v>-89.191319557400007</v>
      </c>
      <c r="D1017" s="71">
        <v>0</v>
      </c>
      <c r="E1017" s="19">
        <v>0</v>
      </c>
      <c r="F1017" s="19">
        <f t="shared" si="30"/>
        <v>0</v>
      </c>
      <c r="G1017" s="20">
        <v>102</v>
      </c>
      <c r="H1017" s="19" t="str">
        <f t="shared" si="31"/>
        <v>USD</v>
      </c>
      <c r="J1017" s="5"/>
      <c r="K1017" s="3"/>
      <c r="L1017" s="3"/>
      <c r="M1017" s="3"/>
      <c r="N1017" s="3"/>
      <c r="O1017" s="3"/>
    </row>
    <row r="1018" spans="1:15" ht="15">
      <c r="A1018" s="72">
        <v>2</v>
      </c>
      <c r="B1018" s="70">
        <v>13.6881525504</v>
      </c>
      <c r="C1018" s="69">
        <v>-89.191367021299996</v>
      </c>
      <c r="D1018" s="71">
        <v>0</v>
      </c>
      <c r="E1018" s="19">
        <v>0</v>
      </c>
      <c r="F1018" s="19">
        <f t="shared" si="30"/>
        <v>0</v>
      </c>
      <c r="G1018" s="20">
        <v>102</v>
      </c>
      <c r="H1018" s="19" t="str">
        <f t="shared" si="31"/>
        <v>USD</v>
      </c>
      <c r="J1018" s="5"/>
      <c r="K1018" s="3"/>
      <c r="L1018" s="3"/>
      <c r="M1018" s="3"/>
      <c r="N1018" s="3"/>
      <c r="O1018" s="3"/>
    </row>
    <row r="1019" spans="1:15" ht="15">
      <c r="A1019" s="72">
        <v>1</v>
      </c>
      <c r="B1019" s="70">
        <v>13.6881035577</v>
      </c>
      <c r="C1019" s="69">
        <v>-89.1914960533</v>
      </c>
      <c r="D1019" s="71">
        <v>0</v>
      </c>
      <c r="E1019" s="19">
        <v>0</v>
      </c>
      <c r="F1019" s="19">
        <f t="shared" si="30"/>
        <v>0</v>
      </c>
      <c r="G1019" s="20">
        <v>101</v>
      </c>
      <c r="H1019" s="19" t="str">
        <f t="shared" si="31"/>
        <v>USD</v>
      </c>
      <c r="J1019" s="5"/>
      <c r="K1019" s="3"/>
      <c r="L1019" s="3"/>
      <c r="M1019" s="3"/>
      <c r="N1019" s="3"/>
      <c r="O1019" s="3"/>
    </row>
    <row r="1020" spans="1:15" ht="15">
      <c r="A1020" s="72">
        <v>1</v>
      </c>
      <c r="B1020" s="70">
        <v>13.6880173344</v>
      </c>
      <c r="C1020" s="69">
        <v>-89.1916561954</v>
      </c>
      <c r="D1020" s="71">
        <v>0</v>
      </c>
      <c r="E1020" s="19">
        <v>0</v>
      </c>
      <c r="F1020" s="19">
        <f t="shared" si="30"/>
        <v>0</v>
      </c>
      <c r="G1020" s="20">
        <v>101</v>
      </c>
      <c r="H1020" s="19" t="str">
        <f t="shared" si="31"/>
        <v>USD</v>
      </c>
      <c r="J1020" s="5"/>
      <c r="K1020" s="3"/>
      <c r="L1020" s="3"/>
      <c r="M1020" s="3"/>
      <c r="N1020" s="3"/>
      <c r="O1020" s="3"/>
    </row>
    <row r="1021" spans="1:15" ht="15">
      <c r="A1021" s="72">
        <v>2</v>
      </c>
      <c r="B1021" s="70">
        <v>13.6764543033</v>
      </c>
      <c r="C1021" s="69">
        <v>-89.195499138900004</v>
      </c>
      <c r="D1021" s="71">
        <v>0</v>
      </c>
      <c r="E1021" s="19">
        <v>0</v>
      </c>
      <c r="F1021" s="19">
        <f t="shared" si="30"/>
        <v>0</v>
      </c>
      <c r="G1021" s="20">
        <v>102</v>
      </c>
      <c r="H1021" s="19" t="str">
        <f t="shared" si="31"/>
        <v>USD</v>
      </c>
      <c r="J1021" s="5"/>
      <c r="K1021" s="3"/>
      <c r="L1021" s="3"/>
      <c r="M1021" s="3"/>
      <c r="N1021" s="3"/>
      <c r="O1021" s="3"/>
    </row>
    <row r="1022" spans="1:15" ht="15">
      <c r="A1022" s="72">
        <v>2</v>
      </c>
      <c r="B1022" s="70">
        <v>13.6764414685</v>
      </c>
      <c r="C1022" s="69">
        <v>-89.195397869299995</v>
      </c>
      <c r="D1022" s="71">
        <v>0</v>
      </c>
      <c r="E1022" s="19">
        <v>0</v>
      </c>
      <c r="F1022" s="19">
        <f t="shared" si="30"/>
        <v>0</v>
      </c>
      <c r="G1022" s="20">
        <v>102</v>
      </c>
      <c r="H1022" s="19" t="str">
        <f t="shared" si="31"/>
        <v>USD</v>
      </c>
      <c r="J1022" s="5"/>
      <c r="K1022" s="3"/>
      <c r="L1022" s="3"/>
      <c r="M1022" s="3"/>
      <c r="N1022" s="3"/>
      <c r="O1022" s="3"/>
    </row>
    <row r="1023" spans="1:15" ht="15">
      <c r="A1023" s="72">
        <v>2</v>
      </c>
      <c r="B1023" s="70">
        <v>13.6763625254</v>
      </c>
      <c r="C1023" s="69">
        <v>-89.195422751899997</v>
      </c>
      <c r="D1023" s="71">
        <v>0</v>
      </c>
      <c r="E1023" s="19">
        <v>0</v>
      </c>
      <c r="F1023" s="19">
        <f t="shared" si="30"/>
        <v>0</v>
      </c>
      <c r="G1023" s="20">
        <v>102</v>
      </c>
      <c r="H1023" s="19" t="str">
        <f t="shared" si="31"/>
        <v>USD</v>
      </c>
      <c r="J1023" s="5"/>
      <c r="K1023" s="3"/>
      <c r="L1023" s="3"/>
      <c r="M1023" s="3"/>
      <c r="N1023" s="3"/>
      <c r="O1023" s="3"/>
    </row>
    <row r="1024" spans="1:15" ht="15">
      <c r="A1024" s="72">
        <v>2</v>
      </c>
      <c r="B1024" s="70">
        <v>13.6762891492</v>
      </c>
      <c r="C1024" s="69">
        <v>-89.195664097100007</v>
      </c>
      <c r="D1024" s="71">
        <v>0</v>
      </c>
      <c r="E1024" s="19">
        <v>0</v>
      </c>
      <c r="F1024" s="19">
        <f t="shared" si="30"/>
        <v>0</v>
      </c>
      <c r="G1024" s="20">
        <v>102</v>
      </c>
      <c r="H1024" s="19" t="str">
        <f t="shared" si="31"/>
        <v>USD</v>
      </c>
      <c r="J1024" s="5"/>
      <c r="K1024" s="3"/>
      <c r="L1024" s="3"/>
      <c r="M1024" s="3"/>
      <c r="N1024" s="3"/>
      <c r="O1024" s="3"/>
    </row>
    <row r="1025" spans="1:15" ht="15">
      <c r="A1025" s="72">
        <v>2</v>
      </c>
      <c r="B1025" s="70">
        <v>13.676324235699999</v>
      </c>
      <c r="C1025" s="69">
        <v>-89.195752911100001</v>
      </c>
      <c r="D1025" s="71">
        <v>0</v>
      </c>
      <c r="E1025" s="19">
        <v>0</v>
      </c>
      <c r="F1025" s="19">
        <f t="shared" ref="F1025:F1088" si="32">D1025</f>
        <v>0</v>
      </c>
      <c r="G1025" s="20">
        <v>102</v>
      </c>
      <c r="H1025" s="19" t="str">
        <f t="shared" ref="H1025:H1088" si="33">IF(OR(A1025&lt;17,A1025=21),"USD","people")</f>
        <v>USD</v>
      </c>
      <c r="J1025" s="5"/>
      <c r="K1025" s="3"/>
      <c r="L1025" s="3"/>
      <c r="M1025" s="3"/>
      <c r="N1025" s="3"/>
      <c r="O1025" s="3"/>
    </row>
    <row r="1026" spans="1:15" ht="15">
      <c r="A1026" s="72">
        <v>2</v>
      </c>
      <c r="B1026" s="70">
        <v>13.6763823601</v>
      </c>
      <c r="C1026" s="69">
        <v>-89.195743420400007</v>
      </c>
      <c r="D1026" s="71">
        <v>0</v>
      </c>
      <c r="E1026" s="19">
        <v>0</v>
      </c>
      <c r="F1026" s="19">
        <f t="shared" si="32"/>
        <v>0</v>
      </c>
      <c r="G1026" s="20">
        <v>102</v>
      </c>
      <c r="H1026" s="19" t="str">
        <f t="shared" si="33"/>
        <v>USD</v>
      </c>
      <c r="J1026" s="5"/>
      <c r="K1026" s="3"/>
      <c r="L1026" s="3"/>
      <c r="M1026" s="3"/>
      <c r="N1026" s="3"/>
      <c r="O1026" s="3"/>
    </row>
    <row r="1027" spans="1:15" ht="15">
      <c r="A1027" s="72">
        <v>2</v>
      </c>
      <c r="B1027" s="70">
        <v>13.676425437400001</v>
      </c>
      <c r="C1027" s="69">
        <v>-89.1957082359</v>
      </c>
      <c r="D1027" s="71">
        <v>0</v>
      </c>
      <c r="E1027" s="19">
        <v>0</v>
      </c>
      <c r="F1027" s="19">
        <f t="shared" si="32"/>
        <v>0</v>
      </c>
      <c r="G1027" s="20">
        <v>102</v>
      </c>
      <c r="H1027" s="19" t="str">
        <f t="shared" si="33"/>
        <v>USD</v>
      </c>
      <c r="J1027" s="5"/>
      <c r="K1027" s="3"/>
      <c r="L1027" s="3"/>
      <c r="M1027" s="3"/>
      <c r="N1027" s="3"/>
      <c r="O1027" s="3"/>
    </row>
    <row r="1028" spans="1:15" ht="15">
      <c r="A1028" s="72">
        <v>2</v>
      </c>
      <c r="B1028" s="70">
        <v>13.6764312287</v>
      </c>
      <c r="C1028" s="69">
        <v>-89.195643670099997</v>
      </c>
      <c r="D1028" s="71">
        <v>0</v>
      </c>
      <c r="E1028" s="19">
        <v>0</v>
      </c>
      <c r="F1028" s="19">
        <f t="shared" si="32"/>
        <v>0</v>
      </c>
      <c r="G1028" s="20">
        <v>102</v>
      </c>
      <c r="H1028" s="19" t="str">
        <f t="shared" si="33"/>
        <v>USD</v>
      </c>
      <c r="J1028" s="5"/>
      <c r="K1028" s="3"/>
      <c r="L1028" s="3"/>
      <c r="M1028" s="3"/>
      <c r="N1028" s="3"/>
      <c r="O1028" s="3"/>
    </row>
    <row r="1029" spans="1:15" ht="15">
      <c r="A1029" s="72">
        <v>2</v>
      </c>
      <c r="B1029" s="70">
        <v>13.6764082989</v>
      </c>
      <c r="C1029" s="69">
        <v>-89.195606229700005</v>
      </c>
      <c r="D1029" s="71">
        <v>0</v>
      </c>
      <c r="E1029" s="19">
        <v>0</v>
      </c>
      <c r="F1029" s="19">
        <f t="shared" si="32"/>
        <v>0</v>
      </c>
      <c r="G1029" s="20">
        <v>102</v>
      </c>
      <c r="H1029" s="19" t="str">
        <f t="shared" si="33"/>
        <v>USD</v>
      </c>
      <c r="J1029" s="5"/>
      <c r="K1029" s="3"/>
      <c r="L1029" s="3"/>
      <c r="M1029" s="3"/>
      <c r="N1029" s="3"/>
      <c r="O1029" s="3"/>
    </row>
    <row r="1030" spans="1:15" ht="15">
      <c r="A1030" s="72">
        <v>2</v>
      </c>
      <c r="B1030" s="70">
        <v>13.676336596100001</v>
      </c>
      <c r="C1030" s="69">
        <v>-89.195548202500007</v>
      </c>
      <c r="D1030" s="71">
        <v>0</v>
      </c>
      <c r="E1030" s="19">
        <v>0</v>
      </c>
      <c r="F1030" s="19">
        <f t="shared" si="32"/>
        <v>0</v>
      </c>
      <c r="G1030" s="20">
        <v>102</v>
      </c>
      <c r="H1030" s="19" t="str">
        <f t="shared" si="33"/>
        <v>USD</v>
      </c>
      <c r="J1030" s="5"/>
      <c r="K1030" s="3"/>
      <c r="L1030" s="3"/>
      <c r="M1030" s="3"/>
      <c r="N1030" s="3"/>
      <c r="O1030" s="3"/>
    </row>
    <row r="1031" spans="1:15" ht="15">
      <c r="A1031" s="72">
        <v>2</v>
      </c>
      <c r="B1031" s="70">
        <v>13.676304393500001</v>
      </c>
      <c r="C1031" s="69">
        <v>-89.195441780799996</v>
      </c>
      <c r="D1031" s="71">
        <v>0</v>
      </c>
      <c r="E1031" s="19">
        <v>0</v>
      </c>
      <c r="F1031" s="19">
        <f t="shared" si="32"/>
        <v>0</v>
      </c>
      <c r="G1031" s="20">
        <v>102</v>
      </c>
      <c r="H1031" s="19" t="str">
        <f t="shared" si="33"/>
        <v>USD</v>
      </c>
      <c r="J1031" s="5"/>
      <c r="K1031" s="3"/>
      <c r="L1031" s="3"/>
      <c r="M1031" s="3"/>
      <c r="N1031" s="3"/>
      <c r="O1031" s="3"/>
    </row>
    <row r="1032" spans="1:15" ht="15">
      <c r="A1032" s="72">
        <v>2</v>
      </c>
      <c r="B1032" s="70">
        <v>13.6763397028</v>
      </c>
      <c r="C1032" s="69">
        <v>-89.195250299400001</v>
      </c>
      <c r="D1032" s="71">
        <v>0</v>
      </c>
      <c r="E1032" s="19">
        <v>0</v>
      </c>
      <c r="F1032" s="19">
        <f t="shared" si="32"/>
        <v>0</v>
      </c>
      <c r="G1032" s="20">
        <v>102</v>
      </c>
      <c r="H1032" s="19" t="str">
        <f t="shared" si="33"/>
        <v>USD</v>
      </c>
      <c r="J1032" s="5"/>
      <c r="K1032" s="3"/>
      <c r="L1032" s="3"/>
      <c r="M1032" s="3"/>
      <c r="N1032" s="3"/>
      <c r="O1032" s="3"/>
    </row>
    <row r="1033" spans="1:15" ht="15">
      <c r="A1033" s="72">
        <v>2</v>
      </c>
      <c r="B1033" s="70">
        <v>13.676187318</v>
      </c>
      <c r="C1033" s="69">
        <v>-89.195597973800005</v>
      </c>
      <c r="D1033" s="71">
        <v>0</v>
      </c>
      <c r="E1033" s="19">
        <v>0</v>
      </c>
      <c r="F1033" s="19">
        <f t="shared" si="32"/>
        <v>0</v>
      </c>
      <c r="G1033" s="20">
        <v>102</v>
      </c>
      <c r="H1033" s="19" t="str">
        <f t="shared" si="33"/>
        <v>USD</v>
      </c>
      <c r="J1033" s="5"/>
      <c r="K1033" s="3"/>
      <c r="L1033" s="3"/>
      <c r="M1033" s="3"/>
      <c r="N1033" s="3"/>
      <c r="O1033" s="3"/>
    </row>
    <row r="1034" spans="1:15" ht="15">
      <c r="A1034" s="72">
        <v>2</v>
      </c>
      <c r="B1034" s="70">
        <v>13.6762504739</v>
      </c>
      <c r="C1034" s="69">
        <v>-89.195576747199993</v>
      </c>
      <c r="D1034" s="71">
        <v>0</v>
      </c>
      <c r="E1034" s="19">
        <v>0</v>
      </c>
      <c r="F1034" s="19">
        <f t="shared" si="32"/>
        <v>0</v>
      </c>
      <c r="G1034" s="20">
        <v>102</v>
      </c>
      <c r="H1034" s="19" t="str">
        <f t="shared" si="33"/>
        <v>USD</v>
      </c>
      <c r="J1034" s="5"/>
      <c r="K1034" s="3"/>
      <c r="L1034" s="3"/>
      <c r="M1034" s="3"/>
      <c r="N1034" s="3"/>
      <c r="O1034" s="3"/>
    </row>
    <row r="1035" spans="1:15" ht="15">
      <c r="A1035" s="72">
        <v>2</v>
      </c>
      <c r="B1035" s="70">
        <v>13.6762419124</v>
      </c>
      <c r="C1035" s="69">
        <v>-89.1955158385</v>
      </c>
      <c r="D1035" s="71">
        <v>0</v>
      </c>
      <c r="E1035" s="19">
        <v>0</v>
      </c>
      <c r="F1035" s="19">
        <f t="shared" si="32"/>
        <v>0</v>
      </c>
      <c r="G1035" s="20">
        <v>102</v>
      </c>
      <c r="H1035" s="19" t="str">
        <f t="shared" si="33"/>
        <v>USD</v>
      </c>
      <c r="J1035" s="5"/>
      <c r="K1035" s="3"/>
      <c r="L1035" s="3"/>
      <c r="M1035" s="3"/>
      <c r="N1035" s="3"/>
      <c r="O1035" s="3"/>
    </row>
    <row r="1036" spans="1:15" ht="15">
      <c r="A1036" s="72">
        <v>2</v>
      </c>
      <c r="B1036" s="70">
        <v>13.6762304886</v>
      </c>
      <c r="C1036" s="69">
        <v>-89.195445388400003</v>
      </c>
      <c r="D1036" s="71">
        <v>0</v>
      </c>
      <c r="E1036" s="19">
        <v>0</v>
      </c>
      <c r="F1036" s="19">
        <f t="shared" si="32"/>
        <v>0</v>
      </c>
      <c r="G1036" s="20">
        <v>102</v>
      </c>
      <c r="H1036" s="19" t="str">
        <f t="shared" si="33"/>
        <v>USD</v>
      </c>
      <c r="J1036" s="5"/>
      <c r="K1036" s="3"/>
      <c r="L1036" s="3"/>
      <c r="M1036" s="3"/>
      <c r="N1036" s="3"/>
      <c r="O1036" s="3"/>
    </row>
    <row r="1037" spans="1:15" ht="15">
      <c r="A1037" s="72">
        <v>2</v>
      </c>
      <c r="B1037" s="70">
        <v>13.676177389699999</v>
      </c>
      <c r="C1037" s="69">
        <v>-89.195451948300004</v>
      </c>
      <c r="D1037" s="71">
        <v>0</v>
      </c>
      <c r="E1037" s="19">
        <v>0</v>
      </c>
      <c r="F1037" s="19">
        <f t="shared" si="32"/>
        <v>0</v>
      </c>
      <c r="G1037" s="20">
        <v>102</v>
      </c>
      <c r="H1037" s="19" t="str">
        <f t="shared" si="33"/>
        <v>USD</v>
      </c>
      <c r="J1037" s="5"/>
      <c r="K1037" s="3"/>
      <c r="L1037" s="3"/>
      <c r="M1037" s="3"/>
      <c r="N1037" s="3"/>
      <c r="O1037" s="3"/>
    </row>
    <row r="1038" spans="1:15" ht="15">
      <c r="A1038" s="72">
        <v>2</v>
      </c>
      <c r="B1038" s="70">
        <v>13.676163126800001</v>
      </c>
      <c r="C1038" s="69">
        <v>-89.195342606500006</v>
      </c>
      <c r="D1038" s="71">
        <v>0</v>
      </c>
      <c r="E1038" s="19">
        <v>0</v>
      </c>
      <c r="F1038" s="19">
        <f t="shared" si="32"/>
        <v>0</v>
      </c>
      <c r="G1038" s="20">
        <v>102</v>
      </c>
      <c r="H1038" s="19" t="str">
        <f t="shared" si="33"/>
        <v>USD</v>
      </c>
      <c r="J1038" s="5"/>
      <c r="K1038" s="3"/>
      <c r="L1038" s="3"/>
      <c r="M1038" s="3"/>
      <c r="N1038" s="3"/>
      <c r="O1038" s="3"/>
    </row>
    <row r="1039" spans="1:15" ht="15">
      <c r="A1039" s="72">
        <v>2</v>
      </c>
      <c r="B1039" s="70">
        <v>13.676207747499999</v>
      </c>
      <c r="C1039" s="69">
        <v>-89.195170210200004</v>
      </c>
      <c r="D1039" s="71">
        <v>0</v>
      </c>
      <c r="E1039" s="19">
        <v>0</v>
      </c>
      <c r="F1039" s="19">
        <f t="shared" si="32"/>
        <v>0</v>
      </c>
      <c r="G1039" s="20">
        <v>102</v>
      </c>
      <c r="H1039" s="19" t="str">
        <f t="shared" si="33"/>
        <v>USD</v>
      </c>
      <c r="J1039" s="5"/>
      <c r="K1039" s="3"/>
      <c r="L1039" s="3"/>
      <c r="M1039" s="3"/>
      <c r="N1039" s="3"/>
      <c r="O1039" s="3"/>
    </row>
    <row r="1040" spans="1:15" ht="15">
      <c r="A1040" s="72">
        <v>2</v>
      </c>
      <c r="B1040" s="70">
        <v>13.6762479414</v>
      </c>
      <c r="C1040" s="69">
        <v>-89.195151899400003</v>
      </c>
      <c r="D1040" s="71">
        <v>0</v>
      </c>
      <c r="E1040" s="19">
        <v>0</v>
      </c>
      <c r="F1040" s="19">
        <f t="shared" si="32"/>
        <v>0</v>
      </c>
      <c r="G1040" s="20">
        <v>102</v>
      </c>
      <c r="H1040" s="19" t="str">
        <f t="shared" si="33"/>
        <v>USD</v>
      </c>
      <c r="J1040" s="5"/>
      <c r="K1040" s="3"/>
      <c r="L1040" s="3"/>
      <c r="M1040" s="3"/>
      <c r="N1040" s="3"/>
      <c r="O1040" s="3"/>
    </row>
    <row r="1041" spans="1:15" ht="15">
      <c r="A1041" s="72">
        <v>2</v>
      </c>
      <c r="B1041" s="70">
        <v>13.676302482500001</v>
      </c>
      <c r="C1041" s="69">
        <v>-89.195138003500006</v>
      </c>
      <c r="D1041" s="71">
        <v>0</v>
      </c>
      <c r="E1041" s="19">
        <v>0</v>
      </c>
      <c r="F1041" s="19">
        <f t="shared" si="32"/>
        <v>0</v>
      </c>
      <c r="G1041" s="20">
        <v>102</v>
      </c>
      <c r="H1041" s="19" t="str">
        <f t="shared" si="33"/>
        <v>USD</v>
      </c>
      <c r="J1041" s="5"/>
      <c r="K1041" s="3"/>
      <c r="L1041" s="3"/>
      <c r="M1041" s="3"/>
      <c r="N1041" s="3"/>
      <c r="O1041" s="3"/>
    </row>
    <row r="1042" spans="1:15" ht="15">
      <c r="A1042" s="72">
        <v>2</v>
      </c>
      <c r="B1042" s="70">
        <v>13.676134359800001</v>
      </c>
      <c r="C1042" s="69">
        <v>-89.195602576799999</v>
      </c>
      <c r="D1042" s="71">
        <v>0</v>
      </c>
      <c r="E1042" s="19">
        <v>0</v>
      </c>
      <c r="F1042" s="19">
        <f t="shared" si="32"/>
        <v>0</v>
      </c>
      <c r="G1042" s="20">
        <v>102</v>
      </c>
      <c r="H1042" s="19" t="str">
        <f t="shared" si="33"/>
        <v>USD</v>
      </c>
      <c r="J1042" s="5"/>
      <c r="K1042" s="3"/>
      <c r="L1042" s="3"/>
      <c r="M1042" s="3"/>
      <c r="N1042" s="3"/>
      <c r="O1042" s="3"/>
    </row>
    <row r="1043" spans="1:15" ht="15">
      <c r="A1043" s="72">
        <v>2</v>
      </c>
      <c r="B1043" s="70">
        <v>13.676085926000001</v>
      </c>
      <c r="C1043" s="69">
        <v>-89.195606817500007</v>
      </c>
      <c r="D1043" s="71">
        <v>0</v>
      </c>
      <c r="E1043" s="19">
        <v>0</v>
      </c>
      <c r="F1043" s="19">
        <f t="shared" si="32"/>
        <v>0</v>
      </c>
      <c r="G1043" s="20">
        <v>102</v>
      </c>
      <c r="H1043" s="19" t="str">
        <f t="shared" si="33"/>
        <v>USD</v>
      </c>
      <c r="J1043" s="5"/>
      <c r="K1043" s="3"/>
      <c r="L1043" s="3"/>
      <c r="M1043" s="3"/>
      <c r="N1043" s="3"/>
      <c r="O1043" s="3"/>
    </row>
    <row r="1044" spans="1:15" ht="15">
      <c r="A1044" s="72">
        <v>2</v>
      </c>
      <c r="B1044" s="70">
        <v>13.6760656921</v>
      </c>
      <c r="C1044" s="69">
        <v>-89.195486952799996</v>
      </c>
      <c r="D1044" s="71">
        <v>0</v>
      </c>
      <c r="E1044" s="19">
        <v>0</v>
      </c>
      <c r="F1044" s="19">
        <f t="shared" si="32"/>
        <v>0</v>
      </c>
      <c r="G1044" s="20">
        <v>102</v>
      </c>
      <c r="H1044" s="19" t="str">
        <f t="shared" si="33"/>
        <v>USD</v>
      </c>
      <c r="J1044" s="5"/>
      <c r="K1044" s="3"/>
      <c r="L1044" s="3"/>
      <c r="M1044" s="3"/>
      <c r="N1044" s="3"/>
      <c r="O1044" s="3"/>
    </row>
    <row r="1045" spans="1:15" ht="15">
      <c r="A1045" s="72">
        <v>2</v>
      </c>
      <c r="B1045" s="70">
        <v>13.676108152199999</v>
      </c>
      <c r="C1045" s="69">
        <v>-89.195476593999999</v>
      </c>
      <c r="D1045" s="71">
        <v>0</v>
      </c>
      <c r="E1045" s="19">
        <v>0</v>
      </c>
      <c r="F1045" s="19">
        <f t="shared" si="32"/>
        <v>0</v>
      </c>
      <c r="G1045" s="20">
        <v>102</v>
      </c>
      <c r="H1045" s="19" t="str">
        <f t="shared" si="33"/>
        <v>USD</v>
      </c>
      <c r="J1045" s="5"/>
      <c r="K1045" s="3"/>
      <c r="L1045" s="3"/>
      <c r="M1045" s="3"/>
      <c r="N1045" s="3"/>
      <c r="O1045" s="3"/>
    </row>
    <row r="1046" spans="1:15" ht="15">
      <c r="A1046" s="72">
        <v>2</v>
      </c>
      <c r="B1046" s="70">
        <v>13.6761476211</v>
      </c>
      <c r="C1046" s="69">
        <v>-89.195467454699994</v>
      </c>
      <c r="D1046" s="71">
        <v>0</v>
      </c>
      <c r="E1046" s="19">
        <v>0</v>
      </c>
      <c r="F1046" s="19">
        <f t="shared" si="32"/>
        <v>0</v>
      </c>
      <c r="G1046" s="20">
        <v>102</v>
      </c>
      <c r="H1046" s="19" t="str">
        <f t="shared" si="33"/>
        <v>USD</v>
      </c>
      <c r="J1046" s="5"/>
      <c r="K1046" s="3"/>
      <c r="L1046" s="3"/>
      <c r="M1046" s="3"/>
      <c r="N1046" s="3"/>
      <c r="O1046" s="3"/>
    </row>
    <row r="1047" spans="1:15" ht="15">
      <c r="A1047" s="72">
        <v>2</v>
      </c>
      <c r="B1047" s="70">
        <v>13.676117790799999</v>
      </c>
      <c r="C1047" s="69">
        <v>-89.195385493299995</v>
      </c>
      <c r="D1047" s="71">
        <v>0</v>
      </c>
      <c r="E1047" s="19">
        <v>0</v>
      </c>
      <c r="F1047" s="19">
        <f t="shared" si="32"/>
        <v>0</v>
      </c>
      <c r="G1047" s="20">
        <v>102</v>
      </c>
      <c r="H1047" s="19" t="str">
        <f t="shared" si="33"/>
        <v>USD</v>
      </c>
      <c r="J1047" s="5"/>
      <c r="K1047" s="3"/>
      <c r="L1047" s="3"/>
      <c r="M1047" s="3"/>
      <c r="N1047" s="3"/>
      <c r="O1047" s="3"/>
    </row>
    <row r="1048" spans="1:15" ht="15">
      <c r="A1048" s="72">
        <v>2</v>
      </c>
      <c r="B1048" s="70">
        <v>13.676099305399999</v>
      </c>
      <c r="C1048" s="69">
        <v>-89.195323108400004</v>
      </c>
      <c r="D1048" s="71">
        <v>0</v>
      </c>
      <c r="E1048" s="19">
        <v>0</v>
      </c>
      <c r="F1048" s="19">
        <f t="shared" si="32"/>
        <v>0</v>
      </c>
      <c r="G1048" s="20">
        <v>102</v>
      </c>
      <c r="H1048" s="19" t="str">
        <f t="shared" si="33"/>
        <v>USD</v>
      </c>
      <c r="J1048" s="5"/>
      <c r="K1048" s="3"/>
      <c r="L1048" s="3"/>
      <c r="M1048" s="3"/>
      <c r="N1048" s="3"/>
      <c r="O1048" s="3"/>
    </row>
    <row r="1049" spans="1:15" ht="15">
      <c r="A1049" s="72">
        <v>2</v>
      </c>
      <c r="B1049" s="70">
        <v>13.6760706496</v>
      </c>
      <c r="C1049" s="69">
        <v>-89.195268053099994</v>
      </c>
      <c r="D1049" s="71">
        <v>0</v>
      </c>
      <c r="E1049" s="19">
        <v>0</v>
      </c>
      <c r="F1049" s="19">
        <f t="shared" si="32"/>
        <v>0</v>
      </c>
      <c r="G1049" s="20">
        <v>102</v>
      </c>
      <c r="H1049" s="19" t="str">
        <f t="shared" si="33"/>
        <v>USD</v>
      </c>
      <c r="J1049" s="5"/>
      <c r="K1049" s="3"/>
      <c r="L1049" s="3"/>
      <c r="M1049" s="3"/>
      <c r="N1049" s="3"/>
      <c r="O1049" s="3"/>
    </row>
    <row r="1050" spans="1:15" ht="15">
      <c r="A1050" s="72">
        <v>2</v>
      </c>
      <c r="B1050" s="70">
        <v>13.676151369999999</v>
      </c>
      <c r="C1050" s="69">
        <v>-89.195264451200003</v>
      </c>
      <c r="D1050" s="71">
        <v>0</v>
      </c>
      <c r="E1050" s="19">
        <v>0</v>
      </c>
      <c r="F1050" s="19">
        <f t="shared" si="32"/>
        <v>0</v>
      </c>
      <c r="G1050" s="20">
        <v>102</v>
      </c>
      <c r="H1050" s="19" t="str">
        <f t="shared" si="33"/>
        <v>USD</v>
      </c>
      <c r="J1050" s="5"/>
      <c r="K1050" s="3"/>
      <c r="L1050" s="3"/>
      <c r="M1050" s="3"/>
      <c r="N1050" s="3"/>
      <c r="O1050" s="3"/>
    </row>
    <row r="1051" spans="1:15" ht="15">
      <c r="A1051" s="72">
        <v>2</v>
      </c>
      <c r="B1051" s="70">
        <v>13.676117939899999</v>
      </c>
      <c r="C1051" s="69">
        <v>-89.195197773900006</v>
      </c>
      <c r="D1051" s="71">
        <v>0</v>
      </c>
      <c r="E1051" s="19">
        <v>0</v>
      </c>
      <c r="F1051" s="19">
        <f t="shared" si="32"/>
        <v>0</v>
      </c>
      <c r="G1051" s="20">
        <v>102</v>
      </c>
      <c r="H1051" s="19" t="str">
        <f t="shared" si="33"/>
        <v>USD</v>
      </c>
      <c r="J1051" s="5"/>
      <c r="K1051" s="3"/>
      <c r="L1051" s="3"/>
      <c r="M1051" s="3"/>
      <c r="N1051" s="3"/>
      <c r="O1051" s="3"/>
    </row>
    <row r="1052" spans="1:15" ht="15">
      <c r="A1052" s="72">
        <v>2</v>
      </c>
      <c r="B1052" s="70">
        <v>13.676209441199999</v>
      </c>
      <c r="C1052" s="69">
        <v>-89.195723260999998</v>
      </c>
      <c r="D1052" s="71">
        <v>0</v>
      </c>
      <c r="E1052" s="19">
        <v>0</v>
      </c>
      <c r="F1052" s="19">
        <f t="shared" si="32"/>
        <v>0</v>
      </c>
      <c r="G1052" s="20">
        <v>102</v>
      </c>
      <c r="H1052" s="19" t="str">
        <f t="shared" si="33"/>
        <v>USD</v>
      </c>
      <c r="J1052" s="5"/>
      <c r="K1052" s="3"/>
      <c r="L1052" s="3"/>
      <c r="M1052" s="3"/>
      <c r="N1052" s="3"/>
      <c r="O1052" s="3"/>
    </row>
    <row r="1053" spans="1:15" ht="15">
      <c r="A1053" s="72">
        <v>2</v>
      </c>
      <c r="B1053" s="70">
        <v>13.6761529888</v>
      </c>
      <c r="C1053" s="69">
        <v>-89.195735443100006</v>
      </c>
      <c r="D1053" s="71">
        <v>0</v>
      </c>
      <c r="E1053" s="19">
        <v>0</v>
      </c>
      <c r="F1053" s="19">
        <f t="shared" si="32"/>
        <v>0</v>
      </c>
      <c r="G1053" s="20">
        <v>102</v>
      </c>
      <c r="H1053" s="19" t="str">
        <f t="shared" si="33"/>
        <v>USD</v>
      </c>
      <c r="J1053" s="5"/>
      <c r="K1053" s="3"/>
      <c r="L1053" s="3"/>
      <c r="M1053" s="3"/>
      <c r="N1053" s="3"/>
      <c r="O1053" s="3"/>
    </row>
    <row r="1054" spans="1:15" ht="15">
      <c r="A1054" s="72">
        <v>2</v>
      </c>
      <c r="B1054" s="70">
        <v>13.676096079600001</v>
      </c>
      <c r="C1054" s="69">
        <v>-89.195720720599994</v>
      </c>
      <c r="D1054" s="71">
        <v>0</v>
      </c>
      <c r="E1054" s="19">
        <v>0</v>
      </c>
      <c r="F1054" s="19">
        <f t="shared" si="32"/>
        <v>0</v>
      </c>
      <c r="G1054" s="20">
        <v>102</v>
      </c>
      <c r="H1054" s="19" t="str">
        <f t="shared" si="33"/>
        <v>USD</v>
      </c>
      <c r="J1054" s="5"/>
      <c r="K1054" s="3"/>
      <c r="L1054" s="3"/>
      <c r="M1054" s="3"/>
      <c r="N1054" s="3"/>
      <c r="O1054" s="3"/>
    </row>
    <row r="1055" spans="1:15" ht="15">
      <c r="A1055" s="72">
        <v>2</v>
      </c>
      <c r="B1055" s="70">
        <v>13.676040176900001</v>
      </c>
      <c r="C1055" s="69">
        <v>-89.195151393200007</v>
      </c>
      <c r="D1055" s="71">
        <v>0</v>
      </c>
      <c r="E1055" s="19">
        <v>0</v>
      </c>
      <c r="F1055" s="19">
        <f t="shared" si="32"/>
        <v>0</v>
      </c>
      <c r="G1055" s="20">
        <v>102</v>
      </c>
      <c r="H1055" s="19" t="str">
        <f t="shared" si="33"/>
        <v>USD</v>
      </c>
      <c r="J1055" s="5"/>
      <c r="K1055" s="3"/>
      <c r="L1055" s="3"/>
      <c r="M1055" s="3"/>
      <c r="N1055" s="3"/>
      <c r="O1055" s="3"/>
    </row>
    <row r="1056" spans="1:15" ht="15">
      <c r="A1056" s="72">
        <v>2</v>
      </c>
      <c r="B1056" s="70">
        <v>13.676114912499999</v>
      </c>
      <c r="C1056" s="69">
        <v>-89.195155735300006</v>
      </c>
      <c r="D1056" s="71">
        <v>0</v>
      </c>
      <c r="E1056" s="19">
        <v>0</v>
      </c>
      <c r="F1056" s="19">
        <f t="shared" si="32"/>
        <v>0</v>
      </c>
      <c r="G1056" s="20">
        <v>102</v>
      </c>
      <c r="H1056" s="19" t="str">
        <f t="shared" si="33"/>
        <v>USD</v>
      </c>
      <c r="J1056" s="5"/>
      <c r="K1056" s="3"/>
      <c r="L1056" s="3"/>
      <c r="M1056" s="3"/>
      <c r="N1056" s="3"/>
      <c r="O1056" s="3"/>
    </row>
    <row r="1057" spans="1:15" ht="15">
      <c r="A1057" s="72">
        <v>2</v>
      </c>
      <c r="B1057" s="70">
        <v>13.676101789800001</v>
      </c>
      <c r="C1057" s="69">
        <v>-89.195115368100005</v>
      </c>
      <c r="D1057" s="71">
        <v>0</v>
      </c>
      <c r="E1057" s="19">
        <v>0</v>
      </c>
      <c r="F1057" s="19">
        <f t="shared" si="32"/>
        <v>0</v>
      </c>
      <c r="G1057" s="20">
        <v>102</v>
      </c>
      <c r="H1057" s="19" t="str">
        <f t="shared" si="33"/>
        <v>USD</v>
      </c>
      <c r="J1057" s="5"/>
      <c r="K1057" s="3"/>
      <c r="L1057" s="3"/>
      <c r="M1057" s="3"/>
      <c r="N1057" s="3"/>
      <c r="O1057" s="3"/>
    </row>
    <row r="1058" spans="1:15" ht="15">
      <c r="A1058" s="72">
        <v>2</v>
      </c>
      <c r="B1058" s="70">
        <v>13.676020492699999</v>
      </c>
      <c r="C1058" s="69">
        <v>-89.195092676399995</v>
      </c>
      <c r="D1058" s="71">
        <v>0</v>
      </c>
      <c r="E1058" s="19">
        <v>0</v>
      </c>
      <c r="F1058" s="19">
        <f t="shared" si="32"/>
        <v>0</v>
      </c>
      <c r="G1058" s="20">
        <v>102</v>
      </c>
      <c r="H1058" s="19" t="str">
        <f t="shared" si="33"/>
        <v>USD</v>
      </c>
      <c r="J1058" s="5"/>
      <c r="K1058" s="3"/>
      <c r="L1058" s="3"/>
      <c r="M1058" s="3"/>
      <c r="N1058" s="3"/>
      <c r="O1058" s="3"/>
    </row>
    <row r="1059" spans="1:15" ht="15">
      <c r="A1059" s="72">
        <v>2</v>
      </c>
      <c r="B1059" s="70">
        <v>13.676071934099999</v>
      </c>
      <c r="C1059" s="69">
        <v>-89.195065202899997</v>
      </c>
      <c r="D1059" s="71">
        <v>0</v>
      </c>
      <c r="E1059" s="19">
        <v>0</v>
      </c>
      <c r="F1059" s="19">
        <f t="shared" si="32"/>
        <v>0</v>
      </c>
      <c r="G1059" s="20">
        <v>102</v>
      </c>
      <c r="H1059" s="19" t="str">
        <f t="shared" si="33"/>
        <v>USD</v>
      </c>
      <c r="J1059" s="5"/>
      <c r="K1059" s="3"/>
      <c r="L1059" s="3"/>
      <c r="M1059" s="3"/>
      <c r="N1059" s="3"/>
      <c r="O1059" s="3"/>
    </row>
    <row r="1060" spans="1:15" ht="15">
      <c r="A1060" s="72">
        <v>2</v>
      </c>
      <c r="B1060" s="70">
        <v>13.676048656300001</v>
      </c>
      <c r="C1060" s="69">
        <v>-89.195015043300003</v>
      </c>
      <c r="D1060" s="71">
        <v>0</v>
      </c>
      <c r="E1060" s="19">
        <v>0</v>
      </c>
      <c r="F1060" s="19">
        <f t="shared" si="32"/>
        <v>0</v>
      </c>
      <c r="G1060" s="20">
        <v>102</v>
      </c>
      <c r="H1060" s="19" t="str">
        <f t="shared" si="33"/>
        <v>USD</v>
      </c>
      <c r="J1060" s="5"/>
      <c r="K1060" s="3"/>
      <c r="L1060" s="3"/>
      <c r="M1060" s="3"/>
      <c r="N1060" s="3"/>
      <c r="O1060" s="3"/>
    </row>
    <row r="1061" spans="1:15" ht="15">
      <c r="A1061" s="72">
        <v>2</v>
      </c>
      <c r="B1061" s="70">
        <v>13.6759978454</v>
      </c>
      <c r="C1061" s="69">
        <v>-89.194999714999994</v>
      </c>
      <c r="D1061" s="71">
        <v>0</v>
      </c>
      <c r="E1061" s="19">
        <v>0</v>
      </c>
      <c r="F1061" s="19">
        <f t="shared" si="32"/>
        <v>0</v>
      </c>
      <c r="G1061" s="20">
        <v>102</v>
      </c>
      <c r="H1061" s="19" t="str">
        <f t="shared" si="33"/>
        <v>USD</v>
      </c>
      <c r="J1061" s="5"/>
      <c r="K1061" s="3"/>
      <c r="L1061" s="3"/>
      <c r="M1061" s="3"/>
      <c r="N1061" s="3"/>
      <c r="O1061" s="3"/>
    </row>
    <row r="1062" spans="1:15" ht="15">
      <c r="A1062" s="72">
        <v>2</v>
      </c>
      <c r="B1062" s="70">
        <v>13.676046901299999</v>
      </c>
      <c r="C1062" s="69">
        <v>-89.194965513400007</v>
      </c>
      <c r="D1062" s="71">
        <v>0</v>
      </c>
      <c r="E1062" s="19">
        <v>0</v>
      </c>
      <c r="F1062" s="19">
        <f t="shared" si="32"/>
        <v>0</v>
      </c>
      <c r="G1062" s="20">
        <v>102</v>
      </c>
      <c r="H1062" s="19" t="str">
        <f t="shared" si="33"/>
        <v>USD</v>
      </c>
      <c r="J1062" s="5"/>
      <c r="K1062" s="3"/>
      <c r="L1062" s="3"/>
      <c r="M1062" s="3"/>
      <c r="N1062" s="3"/>
      <c r="O1062" s="3"/>
    </row>
    <row r="1063" spans="1:15" ht="15">
      <c r="A1063" s="72">
        <v>2</v>
      </c>
      <c r="B1063" s="70">
        <v>13.6759811465</v>
      </c>
      <c r="C1063" s="69">
        <v>-89.194947114800001</v>
      </c>
      <c r="D1063" s="71">
        <v>0</v>
      </c>
      <c r="E1063" s="19">
        <v>0</v>
      </c>
      <c r="F1063" s="19">
        <f t="shared" si="32"/>
        <v>0</v>
      </c>
      <c r="G1063" s="20">
        <v>102</v>
      </c>
      <c r="H1063" s="19" t="str">
        <f t="shared" si="33"/>
        <v>USD</v>
      </c>
      <c r="J1063" s="5"/>
      <c r="K1063" s="3"/>
      <c r="L1063" s="3"/>
      <c r="M1063" s="3"/>
      <c r="N1063" s="3"/>
      <c r="O1063" s="3"/>
    </row>
    <row r="1064" spans="1:15" ht="15">
      <c r="A1064" s="72">
        <v>2</v>
      </c>
      <c r="B1064" s="70">
        <v>13.6759530842</v>
      </c>
      <c r="C1064" s="69">
        <v>-89.194896951100006</v>
      </c>
      <c r="D1064" s="71">
        <v>0</v>
      </c>
      <c r="E1064" s="19">
        <v>0</v>
      </c>
      <c r="F1064" s="19">
        <f t="shared" si="32"/>
        <v>0</v>
      </c>
      <c r="G1064" s="20">
        <v>102</v>
      </c>
      <c r="H1064" s="19" t="str">
        <f t="shared" si="33"/>
        <v>USD</v>
      </c>
      <c r="J1064" s="5"/>
      <c r="K1064" s="3"/>
      <c r="L1064" s="3"/>
      <c r="M1064" s="3"/>
      <c r="N1064" s="3"/>
      <c r="O1064" s="3"/>
    </row>
    <row r="1065" spans="1:15" ht="15">
      <c r="A1065" s="72">
        <v>2</v>
      </c>
      <c r="B1065" s="70">
        <v>13.676017075700001</v>
      </c>
      <c r="C1065" s="69">
        <v>-89.194877438000006</v>
      </c>
      <c r="D1065" s="71">
        <v>0</v>
      </c>
      <c r="E1065" s="19">
        <v>0</v>
      </c>
      <c r="F1065" s="19">
        <f t="shared" si="32"/>
        <v>0</v>
      </c>
      <c r="G1065" s="20">
        <v>102</v>
      </c>
      <c r="H1065" s="19" t="str">
        <f t="shared" si="33"/>
        <v>USD</v>
      </c>
      <c r="J1065" s="5"/>
      <c r="K1065" s="3"/>
      <c r="L1065" s="3"/>
      <c r="M1065" s="3"/>
      <c r="N1065" s="3"/>
      <c r="O1065" s="3"/>
    </row>
    <row r="1066" spans="1:15" ht="15">
      <c r="A1066" s="72">
        <v>2</v>
      </c>
      <c r="B1066" s="70">
        <v>13.6765556648</v>
      </c>
      <c r="C1066" s="69">
        <v>-89.194836019199997</v>
      </c>
      <c r="D1066" s="71">
        <v>0</v>
      </c>
      <c r="E1066" s="19">
        <v>0</v>
      </c>
      <c r="F1066" s="19">
        <f t="shared" si="32"/>
        <v>0</v>
      </c>
      <c r="G1066" s="20">
        <v>102</v>
      </c>
      <c r="H1066" s="19" t="str">
        <f t="shared" si="33"/>
        <v>USD</v>
      </c>
      <c r="J1066" s="5"/>
      <c r="K1066" s="3"/>
      <c r="L1066" s="3"/>
      <c r="M1066" s="3"/>
      <c r="N1066" s="3"/>
      <c r="O1066" s="3"/>
    </row>
    <row r="1067" spans="1:15" ht="15">
      <c r="A1067" s="72">
        <v>2</v>
      </c>
      <c r="B1067" s="70">
        <v>13.676295061399999</v>
      </c>
      <c r="C1067" s="69">
        <v>-89.195030738100002</v>
      </c>
      <c r="D1067" s="71">
        <v>0</v>
      </c>
      <c r="E1067" s="19">
        <v>0</v>
      </c>
      <c r="F1067" s="19">
        <f t="shared" si="32"/>
        <v>0</v>
      </c>
      <c r="G1067" s="20">
        <v>102</v>
      </c>
      <c r="H1067" s="19" t="str">
        <f t="shared" si="33"/>
        <v>USD</v>
      </c>
      <c r="J1067" s="5"/>
      <c r="K1067" s="3"/>
      <c r="L1067" s="3"/>
      <c r="M1067" s="3"/>
      <c r="N1067" s="3"/>
      <c r="O1067" s="3"/>
    </row>
    <row r="1068" spans="1:15" ht="15">
      <c r="A1068" s="72">
        <v>2</v>
      </c>
      <c r="B1068" s="70">
        <v>13.676216721999999</v>
      </c>
      <c r="C1068" s="69">
        <v>-89.195047794199994</v>
      </c>
      <c r="D1068" s="71">
        <v>0</v>
      </c>
      <c r="E1068" s="19">
        <v>0</v>
      </c>
      <c r="F1068" s="19">
        <f t="shared" si="32"/>
        <v>0</v>
      </c>
      <c r="G1068" s="20">
        <v>102</v>
      </c>
      <c r="H1068" s="19" t="str">
        <f t="shared" si="33"/>
        <v>USD</v>
      </c>
      <c r="J1068" s="5"/>
      <c r="K1068" s="3"/>
      <c r="L1068" s="3"/>
      <c r="M1068" s="3"/>
      <c r="N1068" s="3"/>
      <c r="O1068" s="3"/>
    </row>
    <row r="1069" spans="1:15" ht="15">
      <c r="A1069" s="72">
        <v>2</v>
      </c>
      <c r="B1069" s="70">
        <v>13.676169466699999</v>
      </c>
      <c r="C1069" s="69">
        <v>-89.195074048199999</v>
      </c>
      <c r="D1069" s="71">
        <v>0</v>
      </c>
      <c r="E1069" s="19">
        <v>0</v>
      </c>
      <c r="F1069" s="19">
        <f t="shared" si="32"/>
        <v>0</v>
      </c>
      <c r="G1069" s="20">
        <v>102</v>
      </c>
      <c r="H1069" s="19" t="str">
        <f t="shared" si="33"/>
        <v>USD</v>
      </c>
      <c r="J1069" s="5"/>
      <c r="K1069" s="3"/>
      <c r="L1069" s="3"/>
      <c r="M1069" s="3"/>
      <c r="N1069" s="3"/>
      <c r="O1069" s="3"/>
    </row>
    <row r="1070" spans="1:15" ht="15">
      <c r="A1070" s="72">
        <v>2</v>
      </c>
      <c r="B1070" s="70">
        <v>13.6761432012</v>
      </c>
      <c r="C1070" s="69">
        <v>-89.195019606000002</v>
      </c>
      <c r="D1070" s="71">
        <v>0</v>
      </c>
      <c r="E1070" s="19">
        <v>0</v>
      </c>
      <c r="F1070" s="19">
        <f t="shared" si="32"/>
        <v>0</v>
      </c>
      <c r="G1070" s="20">
        <v>102</v>
      </c>
      <c r="H1070" s="19" t="str">
        <f t="shared" si="33"/>
        <v>USD</v>
      </c>
      <c r="J1070" s="5"/>
      <c r="K1070" s="3"/>
      <c r="L1070" s="3"/>
      <c r="M1070" s="3"/>
      <c r="N1070" s="3"/>
      <c r="O1070" s="3"/>
    </row>
    <row r="1071" spans="1:15" ht="15">
      <c r="A1071" s="72">
        <v>2</v>
      </c>
      <c r="B1071" s="70">
        <v>13.676219160900001</v>
      </c>
      <c r="C1071" s="69">
        <v>-89.194988483800003</v>
      </c>
      <c r="D1071" s="71">
        <v>0</v>
      </c>
      <c r="E1071" s="19">
        <v>0</v>
      </c>
      <c r="F1071" s="19">
        <f t="shared" si="32"/>
        <v>0</v>
      </c>
      <c r="G1071" s="20">
        <v>102</v>
      </c>
      <c r="H1071" s="19" t="str">
        <f t="shared" si="33"/>
        <v>USD</v>
      </c>
      <c r="J1071" s="5"/>
      <c r="K1071" s="3"/>
      <c r="L1071" s="3"/>
      <c r="M1071" s="3"/>
      <c r="N1071" s="3"/>
      <c r="O1071" s="3"/>
    </row>
    <row r="1072" spans="1:15" ht="15">
      <c r="A1072" s="72">
        <v>2</v>
      </c>
      <c r="B1072" s="70">
        <v>13.676133675699999</v>
      </c>
      <c r="C1072" s="69">
        <v>-89.194968234699999</v>
      </c>
      <c r="D1072" s="71">
        <v>0</v>
      </c>
      <c r="E1072" s="19">
        <v>0</v>
      </c>
      <c r="F1072" s="19">
        <f t="shared" si="32"/>
        <v>0</v>
      </c>
      <c r="G1072" s="20">
        <v>102</v>
      </c>
      <c r="H1072" s="19" t="str">
        <f t="shared" si="33"/>
        <v>USD</v>
      </c>
      <c r="J1072" s="5"/>
      <c r="K1072" s="3"/>
      <c r="L1072" s="3"/>
      <c r="M1072" s="3"/>
      <c r="N1072" s="3"/>
      <c r="O1072" s="3"/>
    </row>
    <row r="1073" spans="1:15" ht="15">
      <c r="A1073" s="72">
        <v>2</v>
      </c>
      <c r="B1073" s="70">
        <v>13.6761743749</v>
      </c>
      <c r="C1073" s="69">
        <v>-89.194915683000005</v>
      </c>
      <c r="D1073" s="71">
        <v>0</v>
      </c>
      <c r="E1073" s="19">
        <v>0</v>
      </c>
      <c r="F1073" s="19">
        <f t="shared" si="32"/>
        <v>0</v>
      </c>
      <c r="G1073" s="20">
        <v>102</v>
      </c>
      <c r="H1073" s="19" t="str">
        <f t="shared" si="33"/>
        <v>USD</v>
      </c>
      <c r="J1073" s="5"/>
      <c r="K1073" s="3"/>
      <c r="L1073" s="3"/>
      <c r="M1073" s="3"/>
      <c r="N1073" s="3"/>
      <c r="O1073" s="3"/>
    </row>
    <row r="1074" spans="1:15" ht="15">
      <c r="A1074" s="72">
        <v>2</v>
      </c>
      <c r="B1074" s="70">
        <v>13.6760954686</v>
      </c>
      <c r="C1074" s="69">
        <v>-89.194894216400002</v>
      </c>
      <c r="D1074" s="71">
        <v>0</v>
      </c>
      <c r="E1074" s="19">
        <v>0</v>
      </c>
      <c r="F1074" s="19">
        <f t="shared" si="32"/>
        <v>0</v>
      </c>
      <c r="G1074" s="20">
        <v>102</v>
      </c>
      <c r="H1074" s="19" t="str">
        <f t="shared" si="33"/>
        <v>USD</v>
      </c>
      <c r="J1074" s="5"/>
      <c r="K1074" s="3"/>
      <c r="L1074" s="3"/>
      <c r="M1074" s="3"/>
      <c r="N1074" s="3"/>
      <c r="O1074" s="3"/>
    </row>
    <row r="1075" spans="1:15" ht="15">
      <c r="A1075" s="72">
        <v>1</v>
      </c>
      <c r="B1075" s="70">
        <v>13.6764822989</v>
      </c>
      <c r="C1075" s="69">
        <v>-89.195366954600004</v>
      </c>
      <c r="D1075" s="71">
        <v>0</v>
      </c>
      <c r="E1075" s="19">
        <v>0</v>
      </c>
      <c r="F1075" s="19">
        <f t="shared" si="32"/>
        <v>0</v>
      </c>
      <c r="G1075" s="20">
        <v>101</v>
      </c>
      <c r="H1075" s="19" t="str">
        <f t="shared" si="33"/>
        <v>USD</v>
      </c>
      <c r="J1075" s="5"/>
      <c r="K1075" s="3"/>
      <c r="L1075" s="3"/>
      <c r="M1075" s="3"/>
      <c r="N1075" s="3"/>
      <c r="O1075" s="3"/>
    </row>
    <row r="1076" spans="1:15" ht="15">
      <c r="A1076" s="72">
        <v>1</v>
      </c>
      <c r="B1076" s="70">
        <v>13.676273956999999</v>
      </c>
      <c r="C1076" s="69">
        <v>-89.195344622299999</v>
      </c>
      <c r="D1076" s="71">
        <v>0</v>
      </c>
      <c r="E1076" s="19">
        <v>0</v>
      </c>
      <c r="F1076" s="19">
        <f t="shared" si="32"/>
        <v>0</v>
      </c>
      <c r="G1076" s="20">
        <v>101</v>
      </c>
      <c r="H1076" s="19" t="str">
        <f t="shared" si="33"/>
        <v>USD</v>
      </c>
      <c r="J1076" s="5"/>
      <c r="K1076" s="3"/>
      <c r="L1076" s="3"/>
      <c r="M1076" s="3"/>
      <c r="N1076" s="3"/>
      <c r="O1076" s="3"/>
    </row>
    <row r="1077" spans="1:15" ht="15">
      <c r="A1077" s="72">
        <v>2</v>
      </c>
      <c r="B1077" s="70">
        <v>13.676787927299999</v>
      </c>
      <c r="C1077" s="69">
        <v>-89.195015786699997</v>
      </c>
      <c r="D1077" s="71">
        <v>0</v>
      </c>
      <c r="E1077" s="19">
        <v>0</v>
      </c>
      <c r="F1077" s="19">
        <f t="shared" si="32"/>
        <v>0</v>
      </c>
      <c r="G1077" s="20">
        <v>102</v>
      </c>
      <c r="H1077" s="19" t="str">
        <f t="shared" si="33"/>
        <v>USD</v>
      </c>
      <c r="J1077" s="5"/>
      <c r="K1077" s="3"/>
      <c r="L1077" s="3"/>
      <c r="M1077" s="3"/>
      <c r="N1077" s="3"/>
      <c r="O1077" s="3"/>
    </row>
    <row r="1078" spans="1:15" ht="15">
      <c r="A1078" s="72">
        <v>2</v>
      </c>
      <c r="B1078" s="70">
        <v>13.676055980099999</v>
      </c>
      <c r="C1078" s="69">
        <v>-89.195791779499999</v>
      </c>
      <c r="D1078" s="71">
        <v>0</v>
      </c>
      <c r="E1078" s="19">
        <v>0</v>
      </c>
      <c r="F1078" s="19">
        <f t="shared" si="32"/>
        <v>0</v>
      </c>
      <c r="G1078" s="20">
        <v>102</v>
      </c>
      <c r="H1078" s="19" t="str">
        <f t="shared" si="33"/>
        <v>USD</v>
      </c>
      <c r="J1078" s="5"/>
      <c r="K1078" s="3"/>
      <c r="L1078" s="3"/>
      <c r="M1078" s="3"/>
      <c r="N1078" s="3"/>
      <c r="O1078" s="3"/>
    </row>
    <row r="1079" spans="1:15" ht="15">
      <c r="A1079" s="72">
        <v>3</v>
      </c>
      <c r="B1079" s="70">
        <v>13.6762269658</v>
      </c>
      <c r="C1079" s="69">
        <v>-89.195812712000006</v>
      </c>
      <c r="D1079" s="71">
        <v>0</v>
      </c>
      <c r="E1079" s="19">
        <v>0</v>
      </c>
      <c r="F1079" s="19">
        <f t="shared" si="32"/>
        <v>0</v>
      </c>
      <c r="G1079" s="20">
        <v>103</v>
      </c>
      <c r="H1079" s="19" t="str">
        <f t="shared" si="33"/>
        <v>USD</v>
      </c>
      <c r="J1079" s="5"/>
      <c r="K1079" s="3"/>
      <c r="L1079" s="3"/>
      <c r="M1079" s="3"/>
      <c r="N1079" s="3"/>
      <c r="O1079" s="3"/>
    </row>
    <row r="1080" spans="1:15" ht="15">
      <c r="A1080" s="72">
        <v>3</v>
      </c>
      <c r="B1080" s="70">
        <v>13.676175069599999</v>
      </c>
      <c r="C1080" s="69">
        <v>-89.195809488799995</v>
      </c>
      <c r="D1080" s="71">
        <v>0</v>
      </c>
      <c r="E1080" s="19">
        <v>0</v>
      </c>
      <c r="F1080" s="19">
        <f t="shared" si="32"/>
        <v>0</v>
      </c>
      <c r="G1080" s="20">
        <v>103</v>
      </c>
      <c r="H1080" s="19" t="str">
        <f t="shared" si="33"/>
        <v>USD</v>
      </c>
      <c r="J1080" s="5"/>
      <c r="K1080" s="3"/>
      <c r="L1080" s="3"/>
      <c r="M1080" s="3"/>
      <c r="N1080" s="3"/>
      <c r="O1080" s="3"/>
    </row>
    <row r="1081" spans="1:15" ht="15">
      <c r="A1081" s="72">
        <v>2</v>
      </c>
      <c r="B1081" s="70">
        <v>13.6810029072</v>
      </c>
      <c r="C1081" s="69">
        <v>-89.196357831</v>
      </c>
      <c r="D1081" s="71">
        <v>0</v>
      </c>
      <c r="E1081" s="19">
        <v>0</v>
      </c>
      <c r="F1081" s="19">
        <f t="shared" si="32"/>
        <v>0</v>
      </c>
      <c r="G1081" s="20">
        <v>102</v>
      </c>
      <c r="H1081" s="19" t="str">
        <f t="shared" si="33"/>
        <v>USD</v>
      </c>
      <c r="J1081" s="5"/>
      <c r="K1081" s="3"/>
      <c r="L1081" s="3"/>
      <c r="M1081" s="3"/>
      <c r="N1081" s="3"/>
      <c r="O1081" s="3"/>
    </row>
    <row r="1082" spans="1:15" ht="15">
      <c r="A1082" s="72">
        <v>1</v>
      </c>
      <c r="B1082" s="70">
        <v>13.6810191163</v>
      </c>
      <c r="C1082" s="69">
        <v>-89.196275295199996</v>
      </c>
      <c r="D1082" s="71">
        <v>0</v>
      </c>
      <c r="E1082" s="19">
        <v>0</v>
      </c>
      <c r="F1082" s="19">
        <f t="shared" si="32"/>
        <v>0</v>
      </c>
      <c r="G1082" s="20">
        <v>101</v>
      </c>
      <c r="H1082" s="19" t="str">
        <f t="shared" si="33"/>
        <v>USD</v>
      </c>
      <c r="J1082" s="5"/>
      <c r="K1082" s="3"/>
      <c r="L1082" s="3"/>
      <c r="M1082" s="3"/>
      <c r="N1082" s="3"/>
      <c r="O1082" s="3"/>
    </row>
    <row r="1083" spans="1:15" ht="15">
      <c r="A1083" s="72">
        <v>2</v>
      </c>
      <c r="B1083" s="70">
        <v>13.681100084300001</v>
      </c>
      <c r="C1083" s="69">
        <v>-89.195961185499996</v>
      </c>
      <c r="D1083" s="71">
        <v>0</v>
      </c>
      <c r="E1083" s="19">
        <v>0</v>
      </c>
      <c r="F1083" s="19">
        <f t="shared" si="32"/>
        <v>0</v>
      </c>
      <c r="G1083" s="20">
        <v>102</v>
      </c>
      <c r="H1083" s="19" t="str">
        <f t="shared" si="33"/>
        <v>USD</v>
      </c>
      <c r="J1083" s="5"/>
      <c r="K1083" s="3"/>
      <c r="L1083" s="3"/>
      <c r="M1083" s="3"/>
      <c r="N1083" s="3"/>
      <c r="O1083" s="3"/>
    </row>
    <row r="1084" spans="1:15" ht="15">
      <c r="A1084" s="72">
        <v>2</v>
      </c>
      <c r="B1084" s="70">
        <v>13.681031259299999</v>
      </c>
      <c r="C1084" s="69">
        <v>-89.1958936212</v>
      </c>
      <c r="D1084" s="71">
        <v>0</v>
      </c>
      <c r="E1084" s="19">
        <v>0</v>
      </c>
      <c r="F1084" s="19">
        <f t="shared" si="32"/>
        <v>0</v>
      </c>
      <c r="G1084" s="20">
        <v>102</v>
      </c>
      <c r="H1084" s="19" t="str">
        <f t="shared" si="33"/>
        <v>USD</v>
      </c>
      <c r="J1084" s="5"/>
      <c r="K1084" s="3"/>
      <c r="L1084" s="3"/>
      <c r="M1084" s="3"/>
      <c r="N1084" s="3"/>
      <c r="O1084" s="3"/>
    </row>
    <row r="1085" spans="1:15" ht="15">
      <c r="A1085" s="72">
        <v>3</v>
      </c>
      <c r="B1085" s="70">
        <v>13.6823223352</v>
      </c>
      <c r="C1085" s="69">
        <v>-89.195191516600005</v>
      </c>
      <c r="D1085" s="71">
        <v>0</v>
      </c>
      <c r="E1085" s="19">
        <v>0</v>
      </c>
      <c r="F1085" s="19">
        <f t="shared" si="32"/>
        <v>0</v>
      </c>
      <c r="G1085" s="20">
        <v>103</v>
      </c>
      <c r="H1085" s="19" t="str">
        <f t="shared" si="33"/>
        <v>USD</v>
      </c>
      <c r="J1085" s="5"/>
      <c r="K1085" s="3"/>
      <c r="L1085" s="3"/>
      <c r="M1085" s="3"/>
      <c r="N1085" s="3"/>
      <c r="O1085" s="3"/>
    </row>
    <row r="1086" spans="1:15" ht="15">
      <c r="A1086" s="72">
        <v>3</v>
      </c>
      <c r="B1086" s="70">
        <v>13.6800735167</v>
      </c>
      <c r="C1086" s="69">
        <v>-89.196748952500002</v>
      </c>
      <c r="D1086" s="71">
        <v>0</v>
      </c>
      <c r="E1086" s="19">
        <v>0</v>
      </c>
      <c r="F1086" s="19">
        <f t="shared" si="32"/>
        <v>0</v>
      </c>
      <c r="G1086" s="20">
        <v>103</v>
      </c>
      <c r="H1086" s="19" t="str">
        <f t="shared" si="33"/>
        <v>USD</v>
      </c>
      <c r="J1086" s="5"/>
      <c r="K1086" s="3"/>
      <c r="L1086" s="3"/>
      <c r="M1086" s="3"/>
      <c r="N1086" s="3"/>
      <c r="O1086" s="3"/>
    </row>
    <row r="1087" spans="1:15" ht="15">
      <c r="A1087" s="72">
        <v>3</v>
      </c>
      <c r="B1087" s="70">
        <v>13.681045727200001</v>
      </c>
      <c r="C1087" s="69">
        <v>-89.196391485800007</v>
      </c>
      <c r="D1087" s="71">
        <v>0</v>
      </c>
      <c r="E1087" s="19">
        <v>0</v>
      </c>
      <c r="F1087" s="19">
        <f t="shared" si="32"/>
        <v>0</v>
      </c>
      <c r="G1087" s="20">
        <v>103</v>
      </c>
      <c r="H1087" s="19" t="str">
        <f t="shared" si="33"/>
        <v>USD</v>
      </c>
      <c r="J1087" s="5"/>
      <c r="K1087" s="3"/>
      <c r="L1087" s="3"/>
      <c r="M1087" s="3"/>
      <c r="N1087" s="3"/>
      <c r="O1087" s="3"/>
    </row>
    <row r="1088" spans="1:15" ht="15">
      <c r="A1088" s="72">
        <v>2</v>
      </c>
      <c r="B1088" s="70">
        <v>13.6776476572</v>
      </c>
      <c r="C1088" s="69">
        <v>-89.195486252699993</v>
      </c>
      <c r="D1088" s="71">
        <v>0</v>
      </c>
      <c r="E1088" s="19">
        <v>0</v>
      </c>
      <c r="F1088" s="19">
        <f t="shared" si="32"/>
        <v>0</v>
      </c>
      <c r="G1088" s="20">
        <v>102</v>
      </c>
      <c r="H1088" s="19" t="str">
        <f t="shared" si="33"/>
        <v>USD</v>
      </c>
      <c r="J1088" s="5"/>
      <c r="K1088" s="3"/>
      <c r="L1088" s="3"/>
      <c r="M1088" s="3"/>
      <c r="N1088" s="3"/>
      <c r="O1088" s="3"/>
    </row>
    <row r="1089" spans="1:15" ht="15">
      <c r="A1089" s="72">
        <v>2</v>
      </c>
      <c r="B1089" s="70">
        <v>13.6776787674</v>
      </c>
      <c r="C1089" s="69">
        <v>-89.195462431199999</v>
      </c>
      <c r="D1089" s="71">
        <v>0</v>
      </c>
      <c r="E1089" s="19">
        <v>0</v>
      </c>
      <c r="F1089" s="19">
        <f t="shared" ref="F1089:F1152" si="34">D1089</f>
        <v>0</v>
      </c>
      <c r="G1089" s="20">
        <v>102</v>
      </c>
      <c r="H1089" s="19" t="str">
        <f t="shared" ref="H1089:H1152" si="35">IF(OR(A1089&lt;17,A1089=21),"USD","people")</f>
        <v>USD</v>
      </c>
      <c r="J1089" s="5"/>
      <c r="K1089" s="3"/>
      <c r="L1089" s="3"/>
      <c r="M1089" s="3"/>
      <c r="N1089" s="3"/>
      <c r="O1089" s="3"/>
    </row>
    <row r="1090" spans="1:15" ht="15">
      <c r="A1090" s="72">
        <v>2</v>
      </c>
      <c r="B1090" s="70">
        <v>13.677771507099999</v>
      </c>
      <c r="C1090" s="69">
        <v>-89.195381794100001</v>
      </c>
      <c r="D1090" s="71">
        <v>0</v>
      </c>
      <c r="E1090" s="19">
        <v>0</v>
      </c>
      <c r="F1090" s="19">
        <f t="shared" si="34"/>
        <v>0</v>
      </c>
      <c r="G1090" s="20">
        <v>102</v>
      </c>
      <c r="H1090" s="19" t="str">
        <f t="shared" si="35"/>
        <v>USD</v>
      </c>
      <c r="J1090" s="5"/>
      <c r="K1090" s="3"/>
      <c r="L1090" s="3"/>
      <c r="M1090" s="3"/>
      <c r="N1090" s="3"/>
      <c r="O1090" s="3"/>
    </row>
    <row r="1091" spans="1:15" ht="15">
      <c r="A1091" s="72">
        <v>2</v>
      </c>
      <c r="B1091" s="70">
        <v>13.678134846100001</v>
      </c>
      <c r="C1091" s="69">
        <v>-89.195017415899997</v>
      </c>
      <c r="D1091" s="71">
        <v>0</v>
      </c>
      <c r="E1091" s="19">
        <v>0</v>
      </c>
      <c r="F1091" s="19">
        <f t="shared" si="34"/>
        <v>0</v>
      </c>
      <c r="G1091" s="20">
        <v>102</v>
      </c>
      <c r="H1091" s="19" t="str">
        <f t="shared" si="35"/>
        <v>USD</v>
      </c>
      <c r="J1091" s="5"/>
      <c r="K1091" s="3"/>
      <c r="L1091" s="3"/>
      <c r="M1091" s="3"/>
      <c r="N1091" s="3"/>
      <c r="O1091" s="3"/>
    </row>
    <row r="1092" spans="1:15" ht="15">
      <c r="A1092" s="72">
        <v>2</v>
      </c>
      <c r="B1092" s="70">
        <v>13.6781556596</v>
      </c>
      <c r="C1092" s="69">
        <v>-89.195009655000007</v>
      </c>
      <c r="D1092" s="71">
        <v>0</v>
      </c>
      <c r="E1092" s="19">
        <v>0</v>
      </c>
      <c r="F1092" s="19">
        <f t="shared" si="34"/>
        <v>0</v>
      </c>
      <c r="G1092" s="20">
        <v>102</v>
      </c>
      <c r="H1092" s="19" t="str">
        <f t="shared" si="35"/>
        <v>USD</v>
      </c>
      <c r="J1092" s="5"/>
      <c r="K1092" s="3"/>
      <c r="L1092" s="3"/>
      <c r="M1092" s="3"/>
      <c r="N1092" s="3"/>
      <c r="O1092" s="3"/>
    </row>
    <row r="1093" spans="1:15" ht="15">
      <c r="A1093" s="72">
        <v>2</v>
      </c>
      <c r="B1093" s="70">
        <v>13.678172311899999</v>
      </c>
      <c r="C1093" s="69">
        <v>-89.195001450700005</v>
      </c>
      <c r="D1093" s="71">
        <v>0</v>
      </c>
      <c r="E1093" s="19">
        <v>0</v>
      </c>
      <c r="F1093" s="19">
        <f t="shared" si="34"/>
        <v>0</v>
      </c>
      <c r="G1093" s="20">
        <v>102</v>
      </c>
      <c r="H1093" s="19" t="str">
        <f t="shared" si="35"/>
        <v>USD</v>
      </c>
      <c r="J1093" s="5"/>
      <c r="K1093" s="3"/>
      <c r="L1093" s="3"/>
      <c r="M1093" s="3"/>
      <c r="N1093" s="3"/>
      <c r="O1093" s="3"/>
    </row>
    <row r="1094" spans="1:15" ht="15">
      <c r="A1094" s="72">
        <v>2</v>
      </c>
      <c r="B1094" s="70">
        <v>13.6805846269</v>
      </c>
      <c r="C1094" s="69">
        <v>-89.196857624000003</v>
      </c>
      <c r="D1094" s="71">
        <v>0</v>
      </c>
      <c r="E1094" s="19">
        <v>0</v>
      </c>
      <c r="F1094" s="19">
        <f t="shared" si="34"/>
        <v>0</v>
      </c>
      <c r="G1094" s="20">
        <v>102</v>
      </c>
      <c r="H1094" s="19" t="str">
        <f t="shared" si="35"/>
        <v>USD</v>
      </c>
      <c r="J1094" s="5"/>
      <c r="K1094" s="3"/>
      <c r="L1094" s="3"/>
      <c r="M1094" s="3"/>
      <c r="N1094" s="3"/>
      <c r="O1094" s="3"/>
    </row>
    <row r="1095" spans="1:15" ht="15">
      <c r="A1095" s="72">
        <v>2</v>
      </c>
      <c r="B1095" s="70">
        <v>13.680491373900001</v>
      </c>
      <c r="C1095" s="69">
        <v>-89.196832597300002</v>
      </c>
      <c r="D1095" s="71">
        <v>0</v>
      </c>
      <c r="E1095" s="19">
        <v>0</v>
      </c>
      <c r="F1095" s="19">
        <f t="shared" si="34"/>
        <v>0</v>
      </c>
      <c r="G1095" s="20">
        <v>102</v>
      </c>
      <c r="H1095" s="19" t="str">
        <f t="shared" si="35"/>
        <v>USD</v>
      </c>
      <c r="J1095" s="5"/>
      <c r="K1095" s="3"/>
      <c r="L1095" s="3"/>
      <c r="M1095" s="3"/>
      <c r="N1095" s="3"/>
      <c r="O1095" s="3"/>
    </row>
    <row r="1096" spans="1:15" ht="15">
      <c r="A1096" s="72">
        <v>2</v>
      </c>
      <c r="B1096" s="70">
        <v>13.680428969899999</v>
      </c>
      <c r="C1096" s="69">
        <v>-89.196809798499999</v>
      </c>
      <c r="D1096" s="71">
        <v>0</v>
      </c>
      <c r="E1096" s="19">
        <v>0</v>
      </c>
      <c r="F1096" s="19">
        <f t="shared" si="34"/>
        <v>0</v>
      </c>
      <c r="G1096" s="20">
        <v>102</v>
      </c>
      <c r="H1096" s="19" t="str">
        <f t="shared" si="35"/>
        <v>USD</v>
      </c>
      <c r="J1096" s="5"/>
      <c r="K1096" s="3"/>
      <c r="L1096" s="3"/>
      <c r="M1096" s="3"/>
      <c r="N1096" s="3"/>
      <c r="O1096" s="3"/>
    </row>
    <row r="1097" spans="1:15" ht="15">
      <c r="A1097" s="72">
        <v>2</v>
      </c>
      <c r="B1097" s="70">
        <v>13.680463354800001</v>
      </c>
      <c r="C1097" s="69">
        <v>-89.196878068000004</v>
      </c>
      <c r="D1097" s="71">
        <v>0</v>
      </c>
      <c r="E1097" s="19">
        <v>0</v>
      </c>
      <c r="F1097" s="19">
        <f t="shared" si="34"/>
        <v>0</v>
      </c>
      <c r="G1097" s="20">
        <v>102</v>
      </c>
      <c r="H1097" s="19" t="str">
        <f t="shared" si="35"/>
        <v>USD</v>
      </c>
      <c r="J1097" s="5"/>
      <c r="K1097" s="3"/>
      <c r="L1097" s="3"/>
      <c r="M1097" s="3"/>
      <c r="N1097" s="3"/>
      <c r="O1097" s="3"/>
    </row>
    <row r="1098" spans="1:15" ht="15">
      <c r="A1098" s="72">
        <v>2</v>
      </c>
      <c r="B1098" s="70">
        <v>13.680568791000001</v>
      </c>
      <c r="C1098" s="69">
        <v>-89.196922182500003</v>
      </c>
      <c r="D1098" s="71">
        <v>0</v>
      </c>
      <c r="E1098" s="19">
        <v>0</v>
      </c>
      <c r="F1098" s="19">
        <f t="shared" si="34"/>
        <v>0</v>
      </c>
      <c r="G1098" s="20">
        <v>102</v>
      </c>
      <c r="H1098" s="19" t="str">
        <f t="shared" si="35"/>
        <v>USD</v>
      </c>
      <c r="J1098" s="5"/>
      <c r="K1098" s="3"/>
      <c r="L1098" s="3"/>
      <c r="M1098" s="3"/>
      <c r="N1098" s="3"/>
      <c r="O1098" s="3"/>
    </row>
    <row r="1099" spans="1:15" ht="15">
      <c r="A1099" s="72">
        <v>1</v>
      </c>
      <c r="B1099" s="70">
        <v>13.6805128182</v>
      </c>
      <c r="C1099" s="69">
        <v>-89.196932408899997</v>
      </c>
      <c r="D1099" s="71">
        <v>0</v>
      </c>
      <c r="E1099" s="19">
        <v>0</v>
      </c>
      <c r="F1099" s="19">
        <f t="shared" si="34"/>
        <v>0</v>
      </c>
      <c r="G1099" s="20">
        <v>101</v>
      </c>
      <c r="H1099" s="19" t="str">
        <f t="shared" si="35"/>
        <v>USD</v>
      </c>
      <c r="J1099" s="5"/>
      <c r="K1099" s="3"/>
      <c r="L1099" s="3"/>
      <c r="M1099" s="3"/>
      <c r="N1099" s="3"/>
      <c r="O1099" s="3"/>
    </row>
    <row r="1100" spans="1:15" ht="15">
      <c r="A1100" s="72">
        <v>2</v>
      </c>
      <c r="B1100" s="70">
        <v>13.680667182800001</v>
      </c>
      <c r="C1100" s="69">
        <v>-89.1968026606</v>
      </c>
      <c r="D1100" s="71">
        <v>0</v>
      </c>
      <c r="E1100" s="19">
        <v>0</v>
      </c>
      <c r="F1100" s="19">
        <f t="shared" si="34"/>
        <v>0</v>
      </c>
      <c r="G1100" s="20">
        <v>102</v>
      </c>
      <c r="H1100" s="19" t="str">
        <f t="shared" si="35"/>
        <v>USD</v>
      </c>
      <c r="J1100" s="5"/>
      <c r="K1100" s="3"/>
      <c r="L1100" s="3"/>
      <c r="M1100" s="3"/>
      <c r="N1100" s="3"/>
      <c r="O1100" s="3"/>
    </row>
    <row r="1101" spans="1:15" ht="15">
      <c r="A1101" s="72">
        <v>2</v>
      </c>
      <c r="B1101" s="70">
        <v>13.68065575</v>
      </c>
      <c r="C1101" s="69">
        <v>-89.1967439485</v>
      </c>
      <c r="D1101" s="71">
        <v>0</v>
      </c>
      <c r="E1101" s="19">
        <v>0</v>
      </c>
      <c r="F1101" s="19">
        <f t="shared" si="34"/>
        <v>0</v>
      </c>
      <c r="G1101" s="20">
        <v>102</v>
      </c>
      <c r="H1101" s="19" t="str">
        <f t="shared" si="35"/>
        <v>USD</v>
      </c>
      <c r="J1101" s="5"/>
      <c r="K1101" s="3"/>
      <c r="L1101" s="3"/>
      <c r="M1101" s="3"/>
      <c r="N1101" s="3"/>
      <c r="O1101" s="3"/>
    </row>
    <row r="1102" spans="1:15" ht="15">
      <c r="A1102" s="72">
        <v>2</v>
      </c>
      <c r="B1102" s="70">
        <v>13.680628519600001</v>
      </c>
      <c r="C1102" s="69">
        <v>-89.196700633500001</v>
      </c>
      <c r="D1102" s="71">
        <v>0</v>
      </c>
      <c r="E1102" s="19">
        <v>0</v>
      </c>
      <c r="F1102" s="19">
        <f t="shared" si="34"/>
        <v>0</v>
      </c>
      <c r="G1102" s="20">
        <v>102</v>
      </c>
      <c r="H1102" s="19" t="str">
        <f t="shared" si="35"/>
        <v>USD</v>
      </c>
      <c r="J1102" s="5"/>
      <c r="K1102" s="3"/>
      <c r="L1102" s="3"/>
      <c r="M1102" s="3"/>
      <c r="N1102" s="3"/>
      <c r="O1102" s="3"/>
    </row>
    <row r="1103" spans="1:15" ht="15">
      <c r="A1103" s="72">
        <v>2</v>
      </c>
      <c r="B1103" s="70">
        <v>13.680560358999999</v>
      </c>
      <c r="C1103" s="69">
        <v>-89.196699842499996</v>
      </c>
      <c r="D1103" s="71">
        <v>0</v>
      </c>
      <c r="E1103" s="19">
        <v>0</v>
      </c>
      <c r="F1103" s="19">
        <f t="shared" si="34"/>
        <v>0</v>
      </c>
      <c r="G1103" s="20">
        <v>102</v>
      </c>
      <c r="H1103" s="19" t="str">
        <f t="shared" si="35"/>
        <v>USD</v>
      </c>
      <c r="J1103" s="5"/>
      <c r="K1103" s="3"/>
      <c r="L1103" s="3"/>
      <c r="M1103" s="3"/>
      <c r="N1103" s="3"/>
      <c r="O1103" s="3"/>
    </row>
    <row r="1104" spans="1:15" ht="15">
      <c r="A1104" s="72">
        <v>2</v>
      </c>
      <c r="B1104" s="70">
        <v>13.680596892000001</v>
      </c>
      <c r="C1104" s="69">
        <v>-89.196773250999996</v>
      </c>
      <c r="D1104" s="71">
        <v>0</v>
      </c>
      <c r="E1104" s="19">
        <v>0</v>
      </c>
      <c r="F1104" s="19">
        <f t="shared" si="34"/>
        <v>0</v>
      </c>
      <c r="G1104" s="20">
        <v>102</v>
      </c>
      <c r="H1104" s="19" t="str">
        <f t="shared" si="35"/>
        <v>USD</v>
      </c>
      <c r="J1104" s="5"/>
      <c r="K1104" s="3"/>
      <c r="L1104" s="3"/>
      <c r="M1104" s="3"/>
      <c r="N1104" s="3"/>
      <c r="O1104" s="3"/>
    </row>
    <row r="1105" spans="1:15" ht="15">
      <c r="A1105" s="72">
        <v>2</v>
      </c>
      <c r="B1105" s="70">
        <v>13.6805438115</v>
      </c>
      <c r="C1105" s="69">
        <v>-89.196755596100004</v>
      </c>
      <c r="D1105" s="71">
        <v>0</v>
      </c>
      <c r="E1105" s="19">
        <v>0</v>
      </c>
      <c r="F1105" s="19">
        <f t="shared" si="34"/>
        <v>0</v>
      </c>
      <c r="G1105" s="20">
        <v>102</v>
      </c>
      <c r="H1105" s="19" t="str">
        <f t="shared" si="35"/>
        <v>USD</v>
      </c>
      <c r="J1105" s="5"/>
      <c r="K1105" s="3"/>
      <c r="L1105" s="3"/>
      <c r="M1105" s="3"/>
      <c r="N1105" s="3"/>
      <c r="O1105" s="3"/>
    </row>
    <row r="1106" spans="1:15" ht="15">
      <c r="A1106" s="72">
        <v>1</v>
      </c>
      <c r="B1106" s="70">
        <v>13.6804835701</v>
      </c>
      <c r="C1106" s="69">
        <v>-89.196721057800005</v>
      </c>
      <c r="D1106" s="71">
        <v>0</v>
      </c>
      <c r="E1106" s="19">
        <v>0</v>
      </c>
      <c r="F1106" s="19">
        <f t="shared" si="34"/>
        <v>0</v>
      </c>
      <c r="G1106" s="20">
        <v>101</v>
      </c>
      <c r="H1106" s="19" t="str">
        <f t="shared" si="35"/>
        <v>USD</v>
      </c>
      <c r="J1106" s="5"/>
      <c r="K1106" s="3"/>
      <c r="L1106" s="3"/>
      <c r="M1106" s="3"/>
      <c r="N1106" s="3"/>
      <c r="O1106" s="3"/>
    </row>
    <row r="1107" spans="1:15" ht="15">
      <c r="A1107" s="72">
        <v>2</v>
      </c>
      <c r="B1107" s="70">
        <v>13.680574056799999</v>
      </c>
      <c r="C1107" s="69">
        <v>-89.196617671699997</v>
      </c>
      <c r="D1107" s="71">
        <v>0</v>
      </c>
      <c r="E1107" s="19">
        <v>0</v>
      </c>
      <c r="F1107" s="19">
        <f t="shared" si="34"/>
        <v>0</v>
      </c>
      <c r="G1107" s="20">
        <v>102</v>
      </c>
      <c r="H1107" s="19" t="str">
        <f t="shared" si="35"/>
        <v>USD</v>
      </c>
      <c r="J1107" s="5"/>
      <c r="K1107" s="3"/>
      <c r="L1107" s="3"/>
      <c r="M1107" s="3"/>
      <c r="N1107" s="3"/>
      <c r="O1107" s="3"/>
    </row>
    <row r="1108" spans="1:15" ht="15">
      <c r="A1108" s="72">
        <v>2</v>
      </c>
      <c r="B1108" s="70">
        <v>13.680590594</v>
      </c>
      <c r="C1108" s="69">
        <v>-89.1965736593</v>
      </c>
      <c r="D1108" s="71">
        <v>0</v>
      </c>
      <c r="E1108" s="19">
        <v>0</v>
      </c>
      <c r="F1108" s="19">
        <f t="shared" si="34"/>
        <v>0</v>
      </c>
      <c r="G1108" s="20">
        <v>102</v>
      </c>
      <c r="H1108" s="19" t="str">
        <f t="shared" si="35"/>
        <v>USD</v>
      </c>
      <c r="J1108" s="5"/>
      <c r="K1108" s="3"/>
      <c r="L1108" s="3"/>
      <c r="M1108" s="3"/>
      <c r="N1108" s="3"/>
      <c r="O1108" s="3"/>
    </row>
    <row r="1109" spans="1:15" ht="15">
      <c r="A1109" s="72">
        <v>2</v>
      </c>
      <c r="B1109" s="70">
        <v>13.680604263299999</v>
      </c>
      <c r="C1109" s="69">
        <v>-89.196528177499999</v>
      </c>
      <c r="D1109" s="71">
        <v>0</v>
      </c>
      <c r="E1109" s="19">
        <v>0</v>
      </c>
      <c r="F1109" s="19">
        <f t="shared" si="34"/>
        <v>0</v>
      </c>
      <c r="G1109" s="20">
        <v>102</v>
      </c>
      <c r="H1109" s="19" t="str">
        <f t="shared" si="35"/>
        <v>USD</v>
      </c>
      <c r="J1109" s="5"/>
      <c r="K1109" s="3"/>
      <c r="L1109" s="3"/>
      <c r="M1109" s="3"/>
      <c r="N1109" s="3"/>
      <c r="O1109" s="3"/>
    </row>
    <row r="1110" spans="1:15" ht="15">
      <c r="A1110" s="72">
        <v>2</v>
      </c>
      <c r="B1110" s="70">
        <v>13.680648081599999</v>
      </c>
      <c r="C1110" s="69">
        <v>-89.196462908300006</v>
      </c>
      <c r="D1110" s="71">
        <v>0</v>
      </c>
      <c r="E1110" s="19">
        <v>0</v>
      </c>
      <c r="F1110" s="19">
        <f t="shared" si="34"/>
        <v>0</v>
      </c>
      <c r="G1110" s="20">
        <v>102</v>
      </c>
      <c r="H1110" s="19" t="str">
        <f t="shared" si="35"/>
        <v>USD</v>
      </c>
      <c r="J1110" s="5"/>
      <c r="K1110" s="3"/>
      <c r="L1110" s="3"/>
      <c r="M1110" s="3"/>
      <c r="N1110" s="3"/>
      <c r="O1110" s="3"/>
    </row>
    <row r="1111" spans="1:15" ht="15">
      <c r="A1111" s="72">
        <v>2</v>
      </c>
      <c r="B1111" s="70">
        <v>13.6805383455</v>
      </c>
      <c r="C1111" s="69">
        <v>-89.196412920300006</v>
      </c>
      <c r="D1111" s="71">
        <v>0</v>
      </c>
      <c r="E1111" s="19">
        <v>0</v>
      </c>
      <c r="F1111" s="19">
        <f t="shared" si="34"/>
        <v>0</v>
      </c>
      <c r="G1111" s="20">
        <v>102</v>
      </c>
      <c r="H1111" s="19" t="str">
        <f t="shared" si="35"/>
        <v>USD</v>
      </c>
      <c r="J1111" s="5"/>
      <c r="K1111" s="3"/>
      <c r="L1111" s="3"/>
      <c r="M1111" s="3"/>
      <c r="N1111" s="3"/>
      <c r="O1111" s="3"/>
    </row>
    <row r="1112" spans="1:15" ht="15">
      <c r="A1112" s="72">
        <v>2</v>
      </c>
      <c r="B1112" s="70">
        <v>13.680531841300001</v>
      </c>
      <c r="C1112" s="69">
        <v>-89.196472349499999</v>
      </c>
      <c r="D1112" s="71">
        <v>0</v>
      </c>
      <c r="E1112" s="19">
        <v>0</v>
      </c>
      <c r="F1112" s="19">
        <f t="shared" si="34"/>
        <v>0</v>
      </c>
      <c r="G1112" s="20">
        <v>102</v>
      </c>
      <c r="H1112" s="19" t="str">
        <f t="shared" si="35"/>
        <v>USD</v>
      </c>
      <c r="J1112" s="5"/>
      <c r="K1112" s="3"/>
      <c r="L1112" s="3"/>
      <c r="M1112" s="3"/>
      <c r="N1112" s="3"/>
      <c r="O1112" s="3"/>
    </row>
    <row r="1113" spans="1:15" ht="15">
      <c r="A1113" s="72">
        <v>2</v>
      </c>
      <c r="B1113" s="70">
        <v>13.680521043700001</v>
      </c>
      <c r="C1113" s="69">
        <v>-89.196515633600001</v>
      </c>
      <c r="D1113" s="71">
        <v>0</v>
      </c>
      <c r="E1113" s="19">
        <v>0</v>
      </c>
      <c r="F1113" s="19">
        <f t="shared" si="34"/>
        <v>0</v>
      </c>
      <c r="G1113" s="20">
        <v>102</v>
      </c>
      <c r="H1113" s="19" t="str">
        <f t="shared" si="35"/>
        <v>USD</v>
      </c>
      <c r="J1113" s="5"/>
      <c r="K1113" s="3"/>
      <c r="L1113" s="3"/>
      <c r="M1113" s="3"/>
      <c r="N1113" s="3"/>
      <c r="O1113" s="3"/>
    </row>
    <row r="1114" spans="1:15" ht="15">
      <c r="A1114" s="72">
        <v>2</v>
      </c>
      <c r="B1114" s="70">
        <v>13.6805145571</v>
      </c>
      <c r="C1114" s="69">
        <v>-89.196553050199995</v>
      </c>
      <c r="D1114" s="71">
        <v>0</v>
      </c>
      <c r="E1114" s="19">
        <v>0</v>
      </c>
      <c r="F1114" s="19">
        <f t="shared" si="34"/>
        <v>0</v>
      </c>
      <c r="G1114" s="20">
        <v>102</v>
      </c>
      <c r="H1114" s="19" t="str">
        <f t="shared" si="35"/>
        <v>USD</v>
      </c>
      <c r="J1114" s="5"/>
      <c r="K1114" s="3"/>
      <c r="L1114" s="3"/>
      <c r="M1114" s="3"/>
      <c r="N1114" s="3"/>
      <c r="O1114" s="3"/>
    </row>
    <row r="1115" spans="1:15" ht="15">
      <c r="A1115" s="72">
        <v>2</v>
      </c>
      <c r="B1115" s="70">
        <v>13.680450710400001</v>
      </c>
      <c r="C1115" s="69">
        <v>-89.196540522500001</v>
      </c>
      <c r="D1115" s="71">
        <v>0</v>
      </c>
      <c r="E1115" s="19">
        <v>0</v>
      </c>
      <c r="F1115" s="19">
        <f t="shared" si="34"/>
        <v>0</v>
      </c>
      <c r="G1115" s="20">
        <v>102</v>
      </c>
      <c r="H1115" s="19" t="str">
        <f t="shared" si="35"/>
        <v>USD</v>
      </c>
      <c r="J1115" s="5"/>
      <c r="K1115" s="3"/>
      <c r="L1115" s="3"/>
      <c r="M1115" s="3"/>
      <c r="N1115" s="3"/>
      <c r="O1115" s="3"/>
    </row>
    <row r="1116" spans="1:15" ht="15">
      <c r="A1116" s="72">
        <v>2</v>
      </c>
      <c r="B1116" s="70">
        <v>13.6804048005</v>
      </c>
      <c r="C1116" s="69">
        <v>-89.196528743800002</v>
      </c>
      <c r="D1116" s="71">
        <v>0</v>
      </c>
      <c r="E1116" s="19">
        <v>0</v>
      </c>
      <c r="F1116" s="19">
        <f t="shared" si="34"/>
        <v>0</v>
      </c>
      <c r="G1116" s="20">
        <v>102</v>
      </c>
      <c r="H1116" s="19" t="str">
        <f t="shared" si="35"/>
        <v>USD</v>
      </c>
      <c r="J1116" s="5"/>
      <c r="K1116" s="3"/>
      <c r="L1116" s="3"/>
      <c r="M1116" s="3"/>
      <c r="N1116" s="3"/>
      <c r="O1116" s="3"/>
    </row>
    <row r="1117" spans="1:15" ht="15">
      <c r="A1117" s="72">
        <v>2</v>
      </c>
      <c r="B1117" s="70">
        <v>13.680363203900001</v>
      </c>
      <c r="C1117" s="69">
        <v>-89.196505962399996</v>
      </c>
      <c r="D1117" s="71">
        <v>0</v>
      </c>
      <c r="E1117" s="19">
        <v>0</v>
      </c>
      <c r="F1117" s="19">
        <f t="shared" si="34"/>
        <v>0</v>
      </c>
      <c r="G1117" s="20">
        <v>102</v>
      </c>
      <c r="H1117" s="19" t="str">
        <f t="shared" si="35"/>
        <v>USD</v>
      </c>
      <c r="J1117" s="5"/>
      <c r="K1117" s="3"/>
      <c r="L1117" s="3"/>
      <c r="M1117" s="3"/>
      <c r="N1117" s="3"/>
      <c r="O1117" s="3"/>
    </row>
    <row r="1118" spans="1:15" ht="15">
      <c r="A1118" s="72">
        <v>2</v>
      </c>
      <c r="B1118" s="70">
        <v>13.680344611500001</v>
      </c>
      <c r="C1118" s="69">
        <v>-89.196427433799997</v>
      </c>
      <c r="D1118" s="71">
        <v>0</v>
      </c>
      <c r="E1118" s="19">
        <v>0</v>
      </c>
      <c r="F1118" s="19">
        <f t="shared" si="34"/>
        <v>0</v>
      </c>
      <c r="G1118" s="20">
        <v>102</v>
      </c>
      <c r="H1118" s="19" t="str">
        <f t="shared" si="35"/>
        <v>USD</v>
      </c>
      <c r="J1118" s="5"/>
      <c r="K1118" s="3"/>
      <c r="L1118" s="3"/>
      <c r="M1118" s="3"/>
      <c r="N1118" s="3"/>
      <c r="O1118" s="3"/>
    </row>
    <row r="1119" spans="1:15" ht="15">
      <c r="A1119" s="72">
        <v>2</v>
      </c>
      <c r="B1119" s="70">
        <v>13.6804514976</v>
      </c>
      <c r="C1119" s="69">
        <v>-89.196452470799997</v>
      </c>
      <c r="D1119" s="71">
        <v>0</v>
      </c>
      <c r="E1119" s="19">
        <v>0</v>
      </c>
      <c r="F1119" s="19">
        <f t="shared" si="34"/>
        <v>0</v>
      </c>
      <c r="G1119" s="20">
        <v>102</v>
      </c>
      <c r="H1119" s="19" t="str">
        <f t="shared" si="35"/>
        <v>USD</v>
      </c>
      <c r="J1119" s="5"/>
      <c r="K1119" s="3"/>
      <c r="L1119" s="3"/>
      <c r="M1119" s="3"/>
      <c r="N1119" s="3"/>
      <c r="O1119" s="3"/>
    </row>
    <row r="1120" spans="1:15" ht="15">
      <c r="A1120" s="72">
        <v>2</v>
      </c>
      <c r="B1120" s="70">
        <v>13.6803791274</v>
      </c>
      <c r="C1120" s="69">
        <v>-89.196332806200004</v>
      </c>
      <c r="D1120" s="71">
        <v>0</v>
      </c>
      <c r="E1120" s="19">
        <v>0</v>
      </c>
      <c r="F1120" s="19">
        <f t="shared" si="34"/>
        <v>0</v>
      </c>
      <c r="G1120" s="20">
        <v>102</v>
      </c>
      <c r="H1120" s="19" t="str">
        <f t="shared" si="35"/>
        <v>USD</v>
      </c>
      <c r="J1120" s="5"/>
      <c r="K1120" s="3"/>
      <c r="L1120" s="3"/>
      <c r="M1120" s="3"/>
      <c r="N1120" s="3"/>
      <c r="O1120" s="3"/>
    </row>
    <row r="1121" spans="1:15" ht="15">
      <c r="A1121" s="72">
        <v>2</v>
      </c>
      <c r="B1121" s="70">
        <v>13.680364562499999</v>
      </c>
      <c r="C1121" s="69">
        <v>-89.196602087100004</v>
      </c>
      <c r="D1121" s="71">
        <v>0</v>
      </c>
      <c r="E1121" s="19">
        <v>0</v>
      </c>
      <c r="F1121" s="19">
        <f t="shared" si="34"/>
        <v>0</v>
      </c>
      <c r="G1121" s="20">
        <v>102</v>
      </c>
      <c r="H1121" s="19" t="str">
        <f t="shared" si="35"/>
        <v>USD</v>
      </c>
      <c r="J1121" s="5"/>
      <c r="K1121" s="3"/>
      <c r="L1121" s="3"/>
      <c r="M1121" s="3"/>
      <c r="N1121" s="3"/>
      <c r="O1121" s="3"/>
    </row>
    <row r="1122" spans="1:15" ht="15">
      <c r="A1122" s="72">
        <v>2</v>
      </c>
      <c r="B1122" s="70">
        <v>13.6804370018</v>
      </c>
      <c r="C1122" s="69">
        <v>-89.196635167599993</v>
      </c>
      <c r="D1122" s="71">
        <v>0</v>
      </c>
      <c r="E1122" s="19">
        <v>0</v>
      </c>
      <c r="F1122" s="19">
        <f t="shared" si="34"/>
        <v>0</v>
      </c>
      <c r="G1122" s="20">
        <v>102</v>
      </c>
      <c r="H1122" s="19" t="str">
        <f t="shared" si="35"/>
        <v>USD</v>
      </c>
      <c r="J1122" s="5"/>
      <c r="K1122" s="3"/>
      <c r="L1122" s="3"/>
      <c r="M1122" s="3"/>
      <c r="N1122" s="3"/>
      <c r="O1122" s="3"/>
    </row>
    <row r="1123" spans="1:15" ht="15">
      <c r="A1123" s="72">
        <v>2</v>
      </c>
      <c r="B1123" s="70">
        <v>13.6804972635</v>
      </c>
      <c r="C1123" s="69">
        <v>-89.196645491200002</v>
      </c>
      <c r="D1123" s="71">
        <v>0</v>
      </c>
      <c r="E1123" s="19">
        <v>0</v>
      </c>
      <c r="F1123" s="19">
        <f t="shared" si="34"/>
        <v>0</v>
      </c>
      <c r="G1123" s="20">
        <v>102</v>
      </c>
      <c r="H1123" s="19" t="str">
        <f t="shared" si="35"/>
        <v>USD</v>
      </c>
      <c r="J1123" s="5"/>
      <c r="K1123" s="3"/>
      <c r="L1123" s="3"/>
      <c r="M1123" s="3"/>
      <c r="N1123" s="3"/>
      <c r="O1123" s="3"/>
    </row>
    <row r="1124" spans="1:15" ht="15">
      <c r="A1124" s="72">
        <v>2</v>
      </c>
      <c r="B1124" s="70">
        <v>13.680443391300001</v>
      </c>
      <c r="C1124" s="69">
        <v>-89.196720290200005</v>
      </c>
      <c r="D1124" s="71">
        <v>0</v>
      </c>
      <c r="E1124" s="19">
        <v>0</v>
      </c>
      <c r="F1124" s="19">
        <f t="shared" si="34"/>
        <v>0</v>
      </c>
      <c r="G1124" s="20">
        <v>102</v>
      </c>
      <c r="H1124" s="19" t="str">
        <f t="shared" si="35"/>
        <v>USD</v>
      </c>
      <c r="J1124" s="5"/>
      <c r="K1124" s="3"/>
      <c r="L1124" s="3"/>
      <c r="M1124" s="3"/>
      <c r="N1124" s="3"/>
      <c r="O1124" s="3"/>
    </row>
    <row r="1125" spans="1:15" ht="15">
      <c r="A1125" s="72">
        <v>2</v>
      </c>
      <c r="B1125" s="70">
        <v>13.680407763</v>
      </c>
      <c r="C1125" s="69">
        <v>-89.196711455100001</v>
      </c>
      <c r="D1125" s="71">
        <v>0</v>
      </c>
      <c r="E1125" s="19">
        <v>0</v>
      </c>
      <c r="F1125" s="19">
        <f t="shared" si="34"/>
        <v>0</v>
      </c>
      <c r="G1125" s="20">
        <v>102</v>
      </c>
      <c r="H1125" s="19" t="str">
        <f t="shared" si="35"/>
        <v>USD</v>
      </c>
      <c r="J1125" s="5"/>
      <c r="K1125" s="3"/>
      <c r="L1125" s="3"/>
      <c r="M1125" s="3"/>
      <c r="N1125" s="3"/>
      <c r="O1125" s="3"/>
    </row>
    <row r="1126" spans="1:15" ht="15">
      <c r="A1126" s="72">
        <v>2</v>
      </c>
      <c r="B1126" s="70">
        <v>13.680319383100001</v>
      </c>
      <c r="C1126" s="69">
        <v>-89.196872811399999</v>
      </c>
      <c r="D1126" s="71">
        <v>0</v>
      </c>
      <c r="E1126" s="19">
        <v>0</v>
      </c>
      <c r="F1126" s="19">
        <f t="shared" si="34"/>
        <v>0</v>
      </c>
      <c r="G1126" s="20">
        <v>102</v>
      </c>
      <c r="H1126" s="19" t="str">
        <f t="shared" si="35"/>
        <v>USD</v>
      </c>
      <c r="J1126" s="5"/>
      <c r="K1126" s="3"/>
      <c r="L1126" s="3"/>
      <c r="M1126" s="3"/>
      <c r="N1126" s="3"/>
      <c r="O1126" s="3"/>
    </row>
    <row r="1127" spans="1:15" ht="15">
      <c r="A1127" s="72">
        <v>2</v>
      </c>
      <c r="B1127" s="70">
        <v>13.6802698902</v>
      </c>
      <c r="C1127" s="69">
        <v>-89.196855159500004</v>
      </c>
      <c r="D1127" s="71">
        <v>0</v>
      </c>
      <c r="E1127" s="19">
        <v>0</v>
      </c>
      <c r="F1127" s="19">
        <f t="shared" si="34"/>
        <v>0</v>
      </c>
      <c r="G1127" s="20">
        <v>102</v>
      </c>
      <c r="H1127" s="19" t="str">
        <f t="shared" si="35"/>
        <v>USD</v>
      </c>
      <c r="J1127" s="5"/>
      <c r="K1127" s="3"/>
      <c r="L1127" s="3"/>
      <c r="M1127" s="3"/>
      <c r="N1127" s="3"/>
      <c r="O1127" s="3"/>
    </row>
    <row r="1128" spans="1:15" ht="15">
      <c r="A1128" s="72">
        <v>2</v>
      </c>
      <c r="B1128" s="70">
        <v>13.6802311572</v>
      </c>
      <c r="C1128" s="69">
        <v>-89.196840451699998</v>
      </c>
      <c r="D1128" s="71">
        <v>0</v>
      </c>
      <c r="E1128" s="19">
        <v>0</v>
      </c>
      <c r="F1128" s="19">
        <f t="shared" si="34"/>
        <v>0</v>
      </c>
      <c r="G1128" s="20">
        <v>102</v>
      </c>
      <c r="H1128" s="19" t="str">
        <f t="shared" si="35"/>
        <v>USD</v>
      </c>
      <c r="J1128" s="5"/>
      <c r="K1128" s="3"/>
      <c r="L1128" s="3"/>
      <c r="M1128" s="3"/>
      <c r="N1128" s="3"/>
      <c r="O1128" s="3"/>
    </row>
    <row r="1129" spans="1:15" ht="15">
      <c r="A1129" s="72">
        <v>2</v>
      </c>
      <c r="B1129" s="70">
        <v>13.6801838222</v>
      </c>
      <c r="C1129" s="69">
        <v>-89.196816931399994</v>
      </c>
      <c r="D1129" s="71">
        <v>0</v>
      </c>
      <c r="E1129" s="19">
        <v>0</v>
      </c>
      <c r="F1129" s="19">
        <f t="shared" si="34"/>
        <v>0</v>
      </c>
      <c r="G1129" s="20">
        <v>102</v>
      </c>
      <c r="H1129" s="19" t="str">
        <f t="shared" si="35"/>
        <v>USD</v>
      </c>
      <c r="J1129" s="5"/>
      <c r="K1129" s="3"/>
      <c r="L1129" s="3"/>
      <c r="M1129" s="3"/>
      <c r="N1129" s="3"/>
      <c r="O1129" s="3"/>
    </row>
    <row r="1130" spans="1:15" ht="15">
      <c r="A1130" s="72">
        <v>2</v>
      </c>
      <c r="B1130" s="70">
        <v>13.680144389600001</v>
      </c>
      <c r="C1130" s="69">
        <v>-89.196779475499994</v>
      </c>
      <c r="D1130" s="71">
        <v>0</v>
      </c>
      <c r="E1130" s="19">
        <v>0</v>
      </c>
      <c r="F1130" s="19">
        <f t="shared" si="34"/>
        <v>0</v>
      </c>
      <c r="G1130" s="20">
        <v>102</v>
      </c>
      <c r="H1130" s="19" t="str">
        <f t="shared" si="35"/>
        <v>USD</v>
      </c>
      <c r="J1130" s="5"/>
      <c r="K1130" s="3"/>
      <c r="L1130" s="3"/>
      <c r="M1130" s="3"/>
      <c r="N1130" s="3"/>
      <c r="O1130" s="3"/>
    </row>
    <row r="1131" spans="1:15" ht="15">
      <c r="A1131" s="72">
        <v>2</v>
      </c>
      <c r="B1131" s="70">
        <v>13.6800712761</v>
      </c>
      <c r="C1131" s="69">
        <v>-89.196692096099994</v>
      </c>
      <c r="D1131" s="71">
        <v>0</v>
      </c>
      <c r="E1131" s="19">
        <v>0</v>
      </c>
      <c r="F1131" s="19">
        <f t="shared" si="34"/>
        <v>0</v>
      </c>
      <c r="G1131" s="20">
        <v>102</v>
      </c>
      <c r="H1131" s="19" t="str">
        <f t="shared" si="35"/>
        <v>USD</v>
      </c>
      <c r="J1131" s="5"/>
      <c r="K1131" s="3"/>
      <c r="L1131" s="3"/>
      <c r="M1131" s="3"/>
      <c r="N1131" s="3"/>
      <c r="O1131" s="3"/>
    </row>
    <row r="1132" spans="1:15" ht="15">
      <c r="A1132" s="72">
        <v>2</v>
      </c>
      <c r="B1132" s="70">
        <v>13.680141569</v>
      </c>
      <c r="C1132" s="69">
        <v>-89.196717836600001</v>
      </c>
      <c r="D1132" s="71">
        <v>0</v>
      </c>
      <c r="E1132" s="19">
        <v>0</v>
      </c>
      <c r="F1132" s="19">
        <f t="shared" si="34"/>
        <v>0</v>
      </c>
      <c r="G1132" s="20">
        <v>102</v>
      </c>
      <c r="H1132" s="19" t="str">
        <f t="shared" si="35"/>
        <v>USD</v>
      </c>
      <c r="J1132" s="5"/>
      <c r="K1132" s="3"/>
      <c r="L1132" s="3"/>
      <c r="M1132" s="3"/>
      <c r="N1132" s="3"/>
      <c r="O1132" s="3"/>
    </row>
    <row r="1133" spans="1:15" ht="15">
      <c r="A1133" s="72">
        <v>2</v>
      </c>
      <c r="B1133" s="70">
        <v>13.6802111333</v>
      </c>
      <c r="C1133" s="69">
        <v>-89.196758252799995</v>
      </c>
      <c r="D1133" s="71">
        <v>0</v>
      </c>
      <c r="E1133" s="19">
        <v>0</v>
      </c>
      <c r="F1133" s="19">
        <f t="shared" si="34"/>
        <v>0</v>
      </c>
      <c r="G1133" s="20">
        <v>102</v>
      </c>
      <c r="H1133" s="19" t="str">
        <f t="shared" si="35"/>
        <v>USD</v>
      </c>
      <c r="J1133" s="5"/>
      <c r="K1133" s="3"/>
      <c r="L1133" s="3"/>
      <c r="M1133" s="3"/>
      <c r="N1133" s="3"/>
      <c r="O1133" s="3"/>
    </row>
    <row r="1134" spans="1:15" ht="15">
      <c r="A1134" s="72">
        <v>2</v>
      </c>
      <c r="B1134" s="70">
        <v>13.6802505841</v>
      </c>
      <c r="C1134" s="69">
        <v>-89.196772961199997</v>
      </c>
      <c r="D1134" s="71">
        <v>0</v>
      </c>
      <c r="E1134" s="19">
        <v>0</v>
      </c>
      <c r="F1134" s="19">
        <f t="shared" si="34"/>
        <v>0</v>
      </c>
      <c r="G1134" s="20">
        <v>102</v>
      </c>
      <c r="H1134" s="19" t="str">
        <f t="shared" si="35"/>
        <v>USD</v>
      </c>
      <c r="J1134" s="5"/>
      <c r="K1134" s="3"/>
      <c r="L1134" s="3"/>
      <c r="M1134" s="3"/>
      <c r="N1134" s="3"/>
      <c r="O1134" s="3"/>
    </row>
    <row r="1135" spans="1:15" ht="15">
      <c r="A1135" s="72">
        <v>2</v>
      </c>
      <c r="B1135" s="70">
        <v>13.6802929068</v>
      </c>
      <c r="C1135" s="69">
        <v>-89.196784002900003</v>
      </c>
      <c r="D1135" s="71">
        <v>0</v>
      </c>
      <c r="E1135" s="19">
        <v>0</v>
      </c>
      <c r="F1135" s="19">
        <f t="shared" si="34"/>
        <v>0</v>
      </c>
      <c r="G1135" s="20">
        <v>102</v>
      </c>
      <c r="H1135" s="19" t="str">
        <f t="shared" si="35"/>
        <v>USD</v>
      </c>
      <c r="J1135" s="5"/>
      <c r="K1135" s="3"/>
      <c r="L1135" s="3"/>
      <c r="M1135" s="3"/>
      <c r="N1135" s="3"/>
      <c r="O1135" s="3"/>
    </row>
    <row r="1136" spans="1:15" ht="15">
      <c r="A1136" s="72">
        <v>2</v>
      </c>
      <c r="B1136" s="70">
        <v>13.680293731900001</v>
      </c>
      <c r="C1136" s="69">
        <v>-89.196649723099995</v>
      </c>
      <c r="D1136" s="71">
        <v>0</v>
      </c>
      <c r="E1136" s="19">
        <v>0</v>
      </c>
      <c r="F1136" s="19">
        <f t="shared" si="34"/>
        <v>0</v>
      </c>
      <c r="G1136" s="20">
        <v>102</v>
      </c>
      <c r="H1136" s="19" t="str">
        <f t="shared" si="35"/>
        <v>USD</v>
      </c>
      <c r="J1136" s="5"/>
      <c r="K1136" s="3"/>
      <c r="L1136" s="3"/>
      <c r="M1136" s="3"/>
      <c r="N1136" s="3"/>
      <c r="O1136" s="3"/>
    </row>
    <row r="1137" spans="1:15" ht="15">
      <c r="A1137" s="72">
        <v>2</v>
      </c>
      <c r="B1137" s="70">
        <v>13.6802873224</v>
      </c>
      <c r="C1137" s="69">
        <v>-89.196589549199999</v>
      </c>
      <c r="D1137" s="71">
        <v>0</v>
      </c>
      <c r="E1137" s="19">
        <v>0</v>
      </c>
      <c r="F1137" s="19">
        <f t="shared" si="34"/>
        <v>0</v>
      </c>
      <c r="G1137" s="20">
        <v>102</v>
      </c>
      <c r="H1137" s="19" t="str">
        <f t="shared" si="35"/>
        <v>USD</v>
      </c>
      <c r="J1137" s="5"/>
      <c r="K1137" s="3"/>
      <c r="L1137" s="3"/>
      <c r="M1137" s="3"/>
      <c r="N1137" s="3"/>
      <c r="O1137" s="3"/>
    </row>
    <row r="1138" spans="1:15" ht="15">
      <c r="A1138" s="72">
        <v>1</v>
      </c>
      <c r="B1138" s="70">
        <v>13.6802543421</v>
      </c>
      <c r="C1138" s="69">
        <v>-89.196558702800004</v>
      </c>
      <c r="D1138" s="71">
        <v>0</v>
      </c>
      <c r="E1138" s="19">
        <v>0</v>
      </c>
      <c r="F1138" s="19">
        <f t="shared" si="34"/>
        <v>0</v>
      </c>
      <c r="G1138" s="20">
        <v>101</v>
      </c>
      <c r="H1138" s="19" t="str">
        <f t="shared" si="35"/>
        <v>USD</v>
      </c>
      <c r="J1138" s="5"/>
      <c r="K1138" s="3"/>
      <c r="L1138" s="3"/>
      <c r="M1138" s="3"/>
      <c r="N1138" s="3"/>
      <c r="O1138" s="3"/>
    </row>
    <row r="1139" spans="1:15" ht="15">
      <c r="A1139" s="72">
        <v>2</v>
      </c>
      <c r="B1139" s="70">
        <v>13.6801983791</v>
      </c>
      <c r="C1139" s="69">
        <v>-89.196557922099998</v>
      </c>
      <c r="D1139" s="71">
        <v>0</v>
      </c>
      <c r="E1139" s="19">
        <v>0</v>
      </c>
      <c r="F1139" s="19">
        <f t="shared" si="34"/>
        <v>0</v>
      </c>
      <c r="G1139" s="20">
        <v>102</v>
      </c>
      <c r="H1139" s="19" t="str">
        <f t="shared" si="35"/>
        <v>USD</v>
      </c>
      <c r="J1139" s="5"/>
      <c r="K1139" s="3"/>
      <c r="L1139" s="3"/>
      <c r="M1139" s="3"/>
      <c r="N1139" s="3"/>
      <c r="O1139" s="3"/>
    </row>
    <row r="1140" spans="1:15" ht="15">
      <c r="A1140" s="72">
        <v>2</v>
      </c>
      <c r="B1140" s="70">
        <v>13.680154612100001</v>
      </c>
      <c r="C1140" s="69">
        <v>-89.196557885499999</v>
      </c>
      <c r="D1140" s="71">
        <v>0</v>
      </c>
      <c r="E1140" s="19">
        <v>0</v>
      </c>
      <c r="F1140" s="19">
        <f t="shared" si="34"/>
        <v>0</v>
      </c>
      <c r="G1140" s="20">
        <v>102</v>
      </c>
      <c r="H1140" s="19" t="str">
        <f t="shared" si="35"/>
        <v>USD</v>
      </c>
      <c r="J1140" s="5"/>
      <c r="K1140" s="3"/>
      <c r="L1140" s="3"/>
      <c r="M1140" s="3"/>
      <c r="N1140" s="3"/>
      <c r="O1140" s="3"/>
    </row>
    <row r="1141" spans="1:15" ht="15">
      <c r="A1141" s="72">
        <v>2</v>
      </c>
      <c r="B1141" s="70">
        <v>13.680091486</v>
      </c>
      <c r="C1141" s="69">
        <v>-89.196541690299995</v>
      </c>
      <c r="D1141" s="71">
        <v>0</v>
      </c>
      <c r="E1141" s="19">
        <v>0</v>
      </c>
      <c r="F1141" s="19">
        <f t="shared" si="34"/>
        <v>0</v>
      </c>
      <c r="G1141" s="20">
        <v>102</v>
      </c>
      <c r="H1141" s="19" t="str">
        <f t="shared" si="35"/>
        <v>USD</v>
      </c>
      <c r="J1141" s="5"/>
      <c r="K1141" s="3"/>
      <c r="L1141" s="3"/>
      <c r="M1141" s="3"/>
      <c r="N1141" s="3"/>
      <c r="O1141" s="3"/>
    </row>
    <row r="1142" spans="1:15" ht="15">
      <c r="A1142" s="72">
        <v>2</v>
      </c>
      <c r="B1142" s="70">
        <v>13.680141641100001</v>
      </c>
      <c r="C1142" s="69">
        <v>-89.1966275833</v>
      </c>
      <c r="D1142" s="71">
        <v>0</v>
      </c>
      <c r="E1142" s="19">
        <v>0</v>
      </c>
      <c r="F1142" s="19">
        <f t="shared" si="34"/>
        <v>0</v>
      </c>
      <c r="G1142" s="20">
        <v>102</v>
      </c>
      <c r="H1142" s="19" t="str">
        <f t="shared" si="35"/>
        <v>USD</v>
      </c>
      <c r="J1142" s="5"/>
      <c r="K1142" s="3"/>
      <c r="L1142" s="3"/>
      <c r="M1142" s="3"/>
      <c r="N1142" s="3"/>
      <c r="O1142" s="3"/>
    </row>
    <row r="1143" spans="1:15" ht="15">
      <c r="A1143" s="72">
        <v>2</v>
      </c>
      <c r="B1143" s="70">
        <v>13.6802033321</v>
      </c>
      <c r="C1143" s="69">
        <v>-89.196644511399995</v>
      </c>
      <c r="D1143" s="71">
        <v>0</v>
      </c>
      <c r="E1143" s="19">
        <v>0</v>
      </c>
      <c r="F1143" s="19">
        <f t="shared" si="34"/>
        <v>0</v>
      </c>
      <c r="G1143" s="20">
        <v>102</v>
      </c>
      <c r="H1143" s="19" t="str">
        <f t="shared" si="35"/>
        <v>USD</v>
      </c>
      <c r="J1143" s="5"/>
      <c r="K1143" s="3"/>
      <c r="L1143" s="3"/>
      <c r="M1143" s="3"/>
      <c r="N1143" s="3"/>
      <c r="O1143" s="3"/>
    </row>
    <row r="1144" spans="1:15" ht="15">
      <c r="A1144" s="72">
        <v>2</v>
      </c>
      <c r="B1144" s="70">
        <v>13.6802127834</v>
      </c>
      <c r="C1144" s="69">
        <v>-89.196489693399997</v>
      </c>
      <c r="D1144" s="71">
        <v>0</v>
      </c>
      <c r="E1144" s="19">
        <v>0</v>
      </c>
      <c r="F1144" s="19">
        <f t="shared" si="34"/>
        <v>0</v>
      </c>
      <c r="G1144" s="20">
        <v>102</v>
      </c>
      <c r="H1144" s="19" t="str">
        <f t="shared" si="35"/>
        <v>USD</v>
      </c>
      <c r="J1144" s="5"/>
      <c r="K1144" s="3"/>
      <c r="L1144" s="3"/>
      <c r="M1144" s="3"/>
      <c r="N1144" s="3"/>
      <c r="O1144" s="3"/>
    </row>
    <row r="1145" spans="1:15" ht="15">
      <c r="A1145" s="72">
        <v>2</v>
      </c>
      <c r="B1145" s="70">
        <v>13.680136738</v>
      </c>
      <c r="C1145" s="69">
        <v>-89.196478623499999</v>
      </c>
      <c r="D1145" s="71">
        <v>0</v>
      </c>
      <c r="E1145" s="19">
        <v>0</v>
      </c>
      <c r="F1145" s="19">
        <f t="shared" si="34"/>
        <v>0</v>
      </c>
      <c r="G1145" s="20">
        <v>102</v>
      </c>
      <c r="H1145" s="19" t="str">
        <f t="shared" si="35"/>
        <v>USD</v>
      </c>
      <c r="J1145" s="5"/>
      <c r="K1145" s="3"/>
      <c r="L1145" s="3"/>
      <c r="M1145" s="3"/>
      <c r="N1145" s="3"/>
      <c r="O1145" s="3"/>
    </row>
    <row r="1146" spans="1:15" ht="15">
      <c r="A1146" s="72">
        <v>2</v>
      </c>
      <c r="B1146" s="70">
        <v>13.6801303173</v>
      </c>
      <c r="C1146" s="69">
        <v>-89.196432391000002</v>
      </c>
      <c r="D1146" s="71">
        <v>0</v>
      </c>
      <c r="E1146" s="19">
        <v>0</v>
      </c>
      <c r="F1146" s="19">
        <f t="shared" si="34"/>
        <v>0</v>
      </c>
      <c r="G1146" s="20">
        <v>102</v>
      </c>
      <c r="H1146" s="19" t="str">
        <f t="shared" si="35"/>
        <v>USD</v>
      </c>
      <c r="J1146" s="5"/>
      <c r="K1146" s="3"/>
      <c r="L1146" s="3"/>
      <c r="M1146" s="3"/>
      <c r="N1146" s="3"/>
      <c r="O1146" s="3"/>
    </row>
    <row r="1147" spans="1:15" ht="15">
      <c r="A1147" s="72">
        <v>1</v>
      </c>
      <c r="B1147" s="70">
        <v>13.6801841642</v>
      </c>
      <c r="C1147" s="69">
        <v>-89.196389142900003</v>
      </c>
      <c r="D1147" s="71">
        <v>0</v>
      </c>
      <c r="E1147" s="19">
        <v>0</v>
      </c>
      <c r="F1147" s="19">
        <f t="shared" si="34"/>
        <v>0</v>
      </c>
      <c r="G1147" s="20">
        <v>101</v>
      </c>
      <c r="H1147" s="19" t="str">
        <f t="shared" si="35"/>
        <v>USD</v>
      </c>
      <c r="J1147" s="5"/>
      <c r="K1147" s="3"/>
      <c r="L1147" s="3"/>
      <c r="M1147" s="3"/>
      <c r="N1147" s="3"/>
      <c r="O1147" s="3"/>
    </row>
    <row r="1148" spans="1:15" ht="15">
      <c r="A1148" s="72">
        <v>2</v>
      </c>
      <c r="B1148" s="70">
        <v>13.6801174616</v>
      </c>
      <c r="C1148" s="69">
        <v>-89.196359003400005</v>
      </c>
      <c r="D1148" s="71">
        <v>0</v>
      </c>
      <c r="E1148" s="19">
        <v>0</v>
      </c>
      <c r="F1148" s="19">
        <f t="shared" si="34"/>
        <v>0</v>
      </c>
      <c r="G1148" s="20">
        <v>102</v>
      </c>
      <c r="H1148" s="19" t="str">
        <f t="shared" si="35"/>
        <v>USD</v>
      </c>
      <c r="J1148" s="5"/>
      <c r="K1148" s="3"/>
      <c r="L1148" s="3"/>
      <c r="M1148" s="3"/>
      <c r="N1148" s="3"/>
      <c r="O1148" s="3"/>
    </row>
    <row r="1149" spans="1:15" ht="15">
      <c r="A1149" s="72">
        <v>2</v>
      </c>
      <c r="B1149" s="70">
        <v>13.6800615064</v>
      </c>
      <c r="C1149" s="69">
        <v>-89.196347216299998</v>
      </c>
      <c r="D1149" s="71">
        <v>0</v>
      </c>
      <c r="E1149" s="19">
        <v>0</v>
      </c>
      <c r="F1149" s="19">
        <f t="shared" si="34"/>
        <v>0</v>
      </c>
      <c r="G1149" s="20">
        <v>102</v>
      </c>
      <c r="H1149" s="19" t="str">
        <f t="shared" si="35"/>
        <v>USD</v>
      </c>
      <c r="J1149" s="5"/>
      <c r="K1149" s="3"/>
      <c r="L1149" s="3"/>
      <c r="M1149" s="3"/>
      <c r="N1149" s="3"/>
      <c r="O1149" s="3"/>
    </row>
    <row r="1150" spans="1:15" ht="15">
      <c r="A1150" s="72">
        <v>2</v>
      </c>
      <c r="B1150" s="70">
        <v>13.6800478117</v>
      </c>
      <c r="C1150" s="69">
        <v>-89.196425717899999</v>
      </c>
      <c r="D1150" s="71">
        <v>0</v>
      </c>
      <c r="E1150" s="19">
        <v>0</v>
      </c>
      <c r="F1150" s="19">
        <f t="shared" si="34"/>
        <v>0</v>
      </c>
      <c r="G1150" s="20">
        <v>102</v>
      </c>
      <c r="H1150" s="19" t="str">
        <f t="shared" si="35"/>
        <v>USD</v>
      </c>
      <c r="J1150" s="5"/>
      <c r="K1150" s="3"/>
      <c r="L1150" s="3"/>
      <c r="M1150" s="3"/>
      <c r="N1150" s="3"/>
      <c r="O1150" s="3"/>
    </row>
    <row r="1151" spans="1:15" ht="15">
      <c r="A1151" s="72">
        <v>2</v>
      </c>
      <c r="B1151" s="70">
        <v>13.680064267900001</v>
      </c>
      <c r="C1151" s="69">
        <v>-89.196482966000005</v>
      </c>
      <c r="D1151" s="71">
        <v>0</v>
      </c>
      <c r="E1151" s="19">
        <v>0</v>
      </c>
      <c r="F1151" s="19">
        <f t="shared" si="34"/>
        <v>0</v>
      </c>
      <c r="G1151" s="20">
        <v>102</v>
      </c>
      <c r="H1151" s="19" t="str">
        <f t="shared" si="35"/>
        <v>USD</v>
      </c>
      <c r="J1151" s="5"/>
      <c r="K1151" s="3"/>
      <c r="L1151" s="3"/>
      <c r="M1151" s="3"/>
      <c r="N1151" s="3"/>
      <c r="O1151" s="3"/>
    </row>
    <row r="1152" spans="1:15" ht="15">
      <c r="A1152" s="72">
        <v>2</v>
      </c>
      <c r="B1152" s="70">
        <v>13.6800319004</v>
      </c>
      <c r="C1152" s="69">
        <v>-89.196583465499998</v>
      </c>
      <c r="D1152" s="71">
        <v>0</v>
      </c>
      <c r="E1152" s="19">
        <v>0</v>
      </c>
      <c r="F1152" s="19">
        <f t="shared" si="34"/>
        <v>0</v>
      </c>
      <c r="G1152" s="20">
        <v>102</v>
      </c>
      <c r="H1152" s="19" t="str">
        <f t="shared" si="35"/>
        <v>USD</v>
      </c>
      <c r="J1152" s="5"/>
      <c r="K1152" s="3"/>
      <c r="L1152" s="3"/>
      <c r="M1152" s="3"/>
      <c r="N1152" s="3"/>
      <c r="O1152" s="3"/>
    </row>
    <row r="1153" spans="1:15" ht="15">
      <c r="A1153" s="72">
        <v>2</v>
      </c>
      <c r="B1153" s="70">
        <v>13.679996068099999</v>
      </c>
      <c r="C1153" s="69">
        <v>-89.196531337300001</v>
      </c>
      <c r="D1153" s="71">
        <v>0</v>
      </c>
      <c r="E1153" s="19">
        <v>0</v>
      </c>
      <c r="F1153" s="19">
        <f t="shared" ref="F1153:F1216" si="36">D1153</f>
        <v>0</v>
      </c>
      <c r="G1153" s="20">
        <v>102</v>
      </c>
      <c r="H1153" s="19" t="str">
        <f t="shared" ref="H1153:H1216" si="37">IF(OR(A1153&lt;17,A1153=21),"USD","people")</f>
        <v>USD</v>
      </c>
      <c r="J1153" s="5"/>
      <c r="K1153" s="3"/>
      <c r="L1153" s="3"/>
      <c r="M1153" s="3"/>
      <c r="N1153" s="3"/>
      <c r="O1153" s="3"/>
    </row>
    <row r="1154" spans="1:15" ht="15">
      <c r="A1154" s="72">
        <v>2</v>
      </c>
      <c r="B1154" s="70">
        <v>13.679985394499999</v>
      </c>
      <c r="C1154" s="69">
        <v>-89.196420529600005</v>
      </c>
      <c r="D1154" s="71">
        <v>0</v>
      </c>
      <c r="E1154" s="19">
        <v>0</v>
      </c>
      <c r="F1154" s="19">
        <f t="shared" si="36"/>
        <v>0</v>
      </c>
      <c r="G1154" s="20">
        <v>102</v>
      </c>
      <c r="H1154" s="19" t="str">
        <f t="shared" si="37"/>
        <v>USD</v>
      </c>
      <c r="J1154" s="5"/>
      <c r="K1154" s="3"/>
      <c r="L1154" s="3"/>
      <c r="M1154" s="3"/>
      <c r="N1154" s="3"/>
      <c r="O1154" s="3"/>
    </row>
    <row r="1155" spans="1:15" ht="15">
      <c r="A1155" s="72">
        <v>2</v>
      </c>
      <c r="B1155" s="70">
        <v>13.680279584499999</v>
      </c>
      <c r="C1155" s="69">
        <v>-89.196396560699995</v>
      </c>
      <c r="D1155" s="71">
        <v>0</v>
      </c>
      <c r="E1155" s="19">
        <v>0</v>
      </c>
      <c r="F1155" s="19">
        <f t="shared" si="36"/>
        <v>0</v>
      </c>
      <c r="G1155" s="20">
        <v>102</v>
      </c>
      <c r="H1155" s="19" t="str">
        <f t="shared" si="37"/>
        <v>USD</v>
      </c>
      <c r="J1155" s="5"/>
      <c r="K1155" s="3"/>
      <c r="L1155" s="3"/>
      <c r="M1155" s="3"/>
      <c r="N1155" s="3"/>
      <c r="O1155" s="3"/>
    </row>
    <row r="1156" spans="1:15" ht="15">
      <c r="A1156" s="72">
        <v>2</v>
      </c>
      <c r="B1156" s="70">
        <v>13.680301031300001</v>
      </c>
      <c r="C1156" s="69">
        <v>-89.196493436200001</v>
      </c>
      <c r="D1156" s="71">
        <v>0</v>
      </c>
      <c r="E1156" s="19">
        <v>0</v>
      </c>
      <c r="F1156" s="19">
        <f t="shared" si="36"/>
        <v>0</v>
      </c>
      <c r="G1156" s="20">
        <v>102</v>
      </c>
      <c r="H1156" s="19" t="str">
        <f t="shared" si="37"/>
        <v>USD</v>
      </c>
      <c r="J1156" s="5"/>
      <c r="K1156" s="3"/>
      <c r="L1156" s="3"/>
      <c r="M1156" s="3"/>
      <c r="N1156" s="3"/>
      <c r="O1156" s="3"/>
    </row>
    <row r="1157" spans="1:15" ht="15">
      <c r="A1157" s="72">
        <v>2</v>
      </c>
      <c r="B1157" s="70">
        <v>13.680254530899999</v>
      </c>
      <c r="C1157" s="69">
        <v>-89.196322428900004</v>
      </c>
      <c r="D1157" s="71">
        <v>0</v>
      </c>
      <c r="E1157" s="19">
        <v>0</v>
      </c>
      <c r="F1157" s="19">
        <f t="shared" si="36"/>
        <v>0</v>
      </c>
      <c r="G1157" s="20">
        <v>102</v>
      </c>
      <c r="H1157" s="19" t="str">
        <f t="shared" si="37"/>
        <v>USD</v>
      </c>
      <c r="J1157" s="5"/>
      <c r="K1157" s="3"/>
      <c r="L1157" s="3"/>
      <c r="M1157" s="3"/>
      <c r="N1157" s="3"/>
      <c r="O1157" s="3"/>
    </row>
    <row r="1158" spans="1:15" ht="15">
      <c r="A1158" s="72">
        <v>2</v>
      </c>
      <c r="B1158" s="70">
        <v>13.679886747699999</v>
      </c>
      <c r="C1158" s="69">
        <v>-89.196559618600006</v>
      </c>
      <c r="D1158" s="71">
        <v>0</v>
      </c>
      <c r="E1158" s="19">
        <v>0</v>
      </c>
      <c r="F1158" s="19">
        <f t="shared" si="36"/>
        <v>0</v>
      </c>
      <c r="G1158" s="20">
        <v>102</v>
      </c>
      <c r="H1158" s="19" t="str">
        <f t="shared" si="37"/>
        <v>USD</v>
      </c>
      <c r="J1158" s="5"/>
      <c r="K1158" s="3"/>
      <c r="L1158" s="3"/>
      <c r="M1158" s="3"/>
      <c r="N1158" s="3"/>
      <c r="O1158" s="3"/>
    </row>
    <row r="1159" spans="1:15" ht="15">
      <c r="A1159" s="72">
        <v>2</v>
      </c>
      <c r="B1159" s="70">
        <v>13.6798664463</v>
      </c>
      <c r="C1159" s="69">
        <v>-89.196524747799998</v>
      </c>
      <c r="D1159" s="71">
        <v>0</v>
      </c>
      <c r="E1159" s="19">
        <v>0</v>
      </c>
      <c r="F1159" s="19">
        <f t="shared" si="36"/>
        <v>0</v>
      </c>
      <c r="G1159" s="20">
        <v>102</v>
      </c>
      <c r="H1159" s="19" t="str">
        <f t="shared" si="37"/>
        <v>USD</v>
      </c>
      <c r="J1159" s="5"/>
      <c r="K1159" s="3"/>
      <c r="L1159" s="3"/>
      <c r="M1159" s="3"/>
      <c r="N1159" s="3"/>
      <c r="O1159" s="3"/>
    </row>
    <row r="1160" spans="1:15" ht="15">
      <c r="A1160" s="72">
        <v>2</v>
      </c>
      <c r="B1160" s="70">
        <v>13.679847931399999</v>
      </c>
      <c r="C1160" s="69">
        <v>-89.196499661700003</v>
      </c>
      <c r="D1160" s="71">
        <v>0</v>
      </c>
      <c r="E1160" s="19">
        <v>0</v>
      </c>
      <c r="F1160" s="19">
        <f t="shared" si="36"/>
        <v>0</v>
      </c>
      <c r="G1160" s="20">
        <v>102</v>
      </c>
      <c r="H1160" s="19" t="str">
        <f t="shared" si="37"/>
        <v>USD</v>
      </c>
      <c r="J1160" s="5"/>
      <c r="K1160" s="3"/>
      <c r="L1160" s="3"/>
      <c r="M1160" s="3"/>
      <c r="N1160" s="3"/>
      <c r="O1160" s="3"/>
    </row>
    <row r="1161" spans="1:15" ht="15">
      <c r="A1161" s="72">
        <v>2</v>
      </c>
      <c r="B1161" s="70">
        <v>13.679833604100001</v>
      </c>
      <c r="C1161" s="69">
        <v>-89.196471521999996</v>
      </c>
      <c r="D1161" s="71">
        <v>0</v>
      </c>
      <c r="E1161" s="19">
        <v>0</v>
      </c>
      <c r="F1161" s="19">
        <f t="shared" si="36"/>
        <v>0</v>
      </c>
      <c r="G1161" s="20">
        <v>102</v>
      </c>
      <c r="H1161" s="19" t="str">
        <f t="shared" si="37"/>
        <v>USD</v>
      </c>
      <c r="J1161" s="5"/>
      <c r="K1161" s="3"/>
      <c r="L1161" s="3"/>
      <c r="M1161" s="3"/>
      <c r="N1161" s="3"/>
      <c r="O1161" s="3"/>
    </row>
    <row r="1162" spans="1:15" ht="15">
      <c r="A1162" s="72">
        <v>2</v>
      </c>
      <c r="B1162" s="70">
        <v>13.6798037151</v>
      </c>
      <c r="C1162" s="69">
        <v>-89.196463547899995</v>
      </c>
      <c r="D1162" s="71">
        <v>0</v>
      </c>
      <c r="E1162" s="19">
        <v>0</v>
      </c>
      <c r="F1162" s="19">
        <f t="shared" si="36"/>
        <v>0</v>
      </c>
      <c r="G1162" s="20">
        <v>102</v>
      </c>
      <c r="H1162" s="19" t="str">
        <f t="shared" si="37"/>
        <v>USD</v>
      </c>
      <c r="J1162" s="5"/>
      <c r="K1162" s="3"/>
      <c r="L1162" s="3"/>
      <c r="M1162" s="3"/>
      <c r="N1162" s="3"/>
      <c r="O1162" s="3"/>
    </row>
    <row r="1163" spans="1:15" ht="15">
      <c r="A1163" s="72">
        <v>2</v>
      </c>
      <c r="B1163" s="70">
        <v>13.6798593798</v>
      </c>
      <c r="C1163" s="69">
        <v>-89.196389605600004</v>
      </c>
      <c r="D1163" s="71">
        <v>0</v>
      </c>
      <c r="E1163" s="19">
        <v>0</v>
      </c>
      <c r="F1163" s="19">
        <f t="shared" si="36"/>
        <v>0</v>
      </c>
      <c r="G1163" s="20">
        <v>102</v>
      </c>
      <c r="H1163" s="19" t="str">
        <f t="shared" si="37"/>
        <v>USD</v>
      </c>
      <c r="J1163" s="5"/>
      <c r="K1163" s="3"/>
      <c r="L1163" s="3"/>
      <c r="M1163" s="3"/>
      <c r="N1163" s="3"/>
      <c r="O1163" s="3"/>
    </row>
    <row r="1164" spans="1:15" ht="15">
      <c r="A1164" s="72">
        <v>2</v>
      </c>
      <c r="B1164" s="70">
        <v>13.6797631157</v>
      </c>
      <c r="C1164" s="69">
        <v>-89.196390748300004</v>
      </c>
      <c r="D1164" s="71">
        <v>0</v>
      </c>
      <c r="E1164" s="19">
        <v>0</v>
      </c>
      <c r="F1164" s="19">
        <f t="shared" si="36"/>
        <v>0</v>
      </c>
      <c r="G1164" s="20">
        <v>102</v>
      </c>
      <c r="H1164" s="19" t="str">
        <f t="shared" si="37"/>
        <v>USD</v>
      </c>
      <c r="J1164" s="5"/>
      <c r="K1164" s="3"/>
      <c r="L1164" s="3"/>
      <c r="M1164" s="3"/>
      <c r="N1164" s="3"/>
      <c r="O1164" s="3"/>
    </row>
    <row r="1165" spans="1:15" ht="15">
      <c r="A1165" s="72">
        <v>2</v>
      </c>
      <c r="B1165" s="70">
        <v>13.6796776087</v>
      </c>
      <c r="C1165" s="69">
        <v>-89.196398015</v>
      </c>
      <c r="D1165" s="71">
        <v>0</v>
      </c>
      <c r="E1165" s="19">
        <v>0</v>
      </c>
      <c r="F1165" s="19">
        <f t="shared" si="36"/>
        <v>0</v>
      </c>
      <c r="G1165" s="20">
        <v>102</v>
      </c>
      <c r="H1165" s="19" t="str">
        <f t="shared" si="37"/>
        <v>USD</v>
      </c>
      <c r="J1165" s="5"/>
      <c r="K1165" s="3"/>
      <c r="L1165" s="3"/>
      <c r="M1165" s="3"/>
      <c r="N1165" s="3"/>
      <c r="O1165" s="3"/>
    </row>
    <row r="1166" spans="1:15" ht="15">
      <c r="A1166" s="72">
        <v>2</v>
      </c>
      <c r="B1166" s="70">
        <v>13.6796716761</v>
      </c>
      <c r="C1166" s="69">
        <v>-89.196339308700004</v>
      </c>
      <c r="D1166" s="71">
        <v>0</v>
      </c>
      <c r="E1166" s="19">
        <v>0</v>
      </c>
      <c r="F1166" s="19">
        <f t="shared" si="36"/>
        <v>0</v>
      </c>
      <c r="G1166" s="20">
        <v>102</v>
      </c>
      <c r="H1166" s="19" t="str">
        <f t="shared" si="37"/>
        <v>USD</v>
      </c>
      <c r="J1166" s="5"/>
      <c r="K1166" s="3"/>
      <c r="L1166" s="3"/>
      <c r="M1166" s="3"/>
      <c r="N1166" s="3"/>
      <c r="O1166" s="3"/>
    </row>
    <row r="1167" spans="1:15" ht="15">
      <c r="A1167" s="72">
        <v>2</v>
      </c>
      <c r="B1167" s="70">
        <v>13.6797464093</v>
      </c>
      <c r="C1167" s="69">
        <v>-89.196346708299998</v>
      </c>
      <c r="D1167" s="71">
        <v>0</v>
      </c>
      <c r="E1167" s="19">
        <v>0</v>
      </c>
      <c r="F1167" s="19">
        <f t="shared" si="36"/>
        <v>0</v>
      </c>
      <c r="G1167" s="20">
        <v>102</v>
      </c>
      <c r="H1167" s="19" t="str">
        <f t="shared" si="37"/>
        <v>USD</v>
      </c>
      <c r="J1167" s="5"/>
      <c r="K1167" s="3"/>
      <c r="L1167" s="3"/>
      <c r="M1167" s="3"/>
      <c r="N1167" s="3"/>
      <c r="O1167" s="3"/>
    </row>
    <row r="1168" spans="1:15" ht="15">
      <c r="A1168" s="72">
        <v>2</v>
      </c>
      <c r="B1168" s="70">
        <v>13.679825946999999</v>
      </c>
      <c r="C1168" s="69">
        <v>-89.196326596199995</v>
      </c>
      <c r="D1168" s="71">
        <v>0</v>
      </c>
      <c r="E1168" s="19">
        <v>0</v>
      </c>
      <c r="F1168" s="19">
        <f t="shared" si="36"/>
        <v>0</v>
      </c>
      <c r="G1168" s="20">
        <v>102</v>
      </c>
      <c r="H1168" s="19" t="str">
        <f t="shared" si="37"/>
        <v>USD</v>
      </c>
      <c r="J1168" s="5"/>
      <c r="K1168" s="3"/>
      <c r="L1168" s="3"/>
      <c r="M1168" s="3"/>
      <c r="N1168" s="3"/>
      <c r="O1168" s="3"/>
    </row>
    <row r="1169" spans="1:15" ht="15">
      <c r="A1169" s="72">
        <v>2</v>
      </c>
      <c r="B1169" s="70">
        <v>13.679925285099999</v>
      </c>
      <c r="C1169" s="69">
        <v>-89.196407394100007</v>
      </c>
      <c r="D1169" s="71">
        <v>0</v>
      </c>
      <c r="E1169" s="19">
        <v>0</v>
      </c>
      <c r="F1169" s="19">
        <f t="shared" si="36"/>
        <v>0</v>
      </c>
      <c r="G1169" s="20">
        <v>102</v>
      </c>
      <c r="H1169" s="19" t="str">
        <f t="shared" si="37"/>
        <v>USD</v>
      </c>
      <c r="J1169" s="5"/>
      <c r="K1169" s="3"/>
      <c r="L1169" s="3"/>
      <c r="M1169" s="3"/>
      <c r="N1169" s="3"/>
      <c r="O1169" s="3"/>
    </row>
    <row r="1170" spans="1:15" ht="15">
      <c r="A1170" s="72">
        <v>2</v>
      </c>
      <c r="B1170" s="70">
        <v>13.679967792599999</v>
      </c>
      <c r="C1170" s="69">
        <v>-89.196336497900006</v>
      </c>
      <c r="D1170" s="71">
        <v>0</v>
      </c>
      <c r="E1170" s="19">
        <v>0</v>
      </c>
      <c r="F1170" s="19">
        <f t="shared" si="36"/>
        <v>0</v>
      </c>
      <c r="G1170" s="20">
        <v>102</v>
      </c>
      <c r="H1170" s="19" t="str">
        <f t="shared" si="37"/>
        <v>USD</v>
      </c>
      <c r="J1170" s="5"/>
      <c r="K1170" s="3"/>
      <c r="L1170" s="3"/>
      <c r="M1170" s="3"/>
      <c r="N1170" s="3"/>
      <c r="O1170" s="3"/>
    </row>
    <row r="1171" spans="1:15" ht="15">
      <c r="A1171" s="72">
        <v>1</v>
      </c>
      <c r="B1171" s="70">
        <v>13.679893056499999</v>
      </c>
      <c r="C1171" s="69">
        <v>-89.196333989400003</v>
      </c>
      <c r="D1171" s="71">
        <v>0</v>
      </c>
      <c r="E1171" s="19">
        <v>0</v>
      </c>
      <c r="F1171" s="19">
        <f t="shared" si="36"/>
        <v>0</v>
      </c>
      <c r="G1171" s="20">
        <v>101</v>
      </c>
      <c r="H1171" s="19" t="str">
        <f t="shared" si="37"/>
        <v>USD</v>
      </c>
      <c r="J1171" s="5"/>
      <c r="K1171" s="3"/>
      <c r="L1171" s="3"/>
      <c r="M1171" s="3"/>
      <c r="N1171" s="3"/>
      <c r="O1171" s="3"/>
    </row>
    <row r="1172" spans="1:15" ht="15">
      <c r="A1172" s="72">
        <v>1</v>
      </c>
      <c r="B1172" s="70">
        <v>13.680192629800001</v>
      </c>
      <c r="C1172" s="69">
        <v>-89.196307131500006</v>
      </c>
      <c r="D1172" s="71">
        <v>0</v>
      </c>
      <c r="E1172" s="19">
        <v>0</v>
      </c>
      <c r="F1172" s="19">
        <f t="shared" si="36"/>
        <v>0</v>
      </c>
      <c r="G1172" s="20">
        <v>101</v>
      </c>
      <c r="H1172" s="19" t="str">
        <f t="shared" si="37"/>
        <v>USD</v>
      </c>
      <c r="J1172" s="5"/>
      <c r="K1172" s="3"/>
      <c r="L1172" s="3"/>
      <c r="M1172" s="3"/>
      <c r="N1172" s="3"/>
      <c r="O1172" s="3"/>
    </row>
    <row r="1173" spans="1:15" ht="15">
      <c r="A1173" s="72">
        <v>2</v>
      </c>
      <c r="B1173" s="70">
        <v>13.680759910200001</v>
      </c>
      <c r="C1173" s="69">
        <v>-89.196824872899995</v>
      </c>
      <c r="D1173" s="71">
        <v>0</v>
      </c>
      <c r="E1173" s="19">
        <v>0</v>
      </c>
      <c r="F1173" s="19">
        <f t="shared" si="36"/>
        <v>0</v>
      </c>
      <c r="G1173" s="20">
        <v>102</v>
      </c>
      <c r="H1173" s="19" t="str">
        <f t="shared" si="37"/>
        <v>USD</v>
      </c>
      <c r="J1173" s="5"/>
      <c r="K1173" s="3"/>
      <c r="L1173" s="3"/>
      <c r="M1173" s="3"/>
      <c r="N1173" s="3"/>
      <c r="O1173" s="3"/>
    </row>
    <row r="1174" spans="1:15" ht="15">
      <c r="A1174" s="72">
        <v>2</v>
      </c>
      <c r="B1174" s="70">
        <v>13.680786733</v>
      </c>
      <c r="C1174" s="69">
        <v>-89.196779891000006</v>
      </c>
      <c r="D1174" s="71">
        <v>0</v>
      </c>
      <c r="E1174" s="19">
        <v>0</v>
      </c>
      <c r="F1174" s="19">
        <f t="shared" si="36"/>
        <v>0</v>
      </c>
      <c r="G1174" s="20">
        <v>102</v>
      </c>
      <c r="H1174" s="19" t="str">
        <f t="shared" si="37"/>
        <v>USD</v>
      </c>
      <c r="J1174" s="5"/>
      <c r="K1174" s="3"/>
      <c r="L1174" s="3"/>
      <c r="M1174" s="3"/>
      <c r="N1174" s="3"/>
      <c r="O1174" s="3"/>
    </row>
    <row r="1175" spans="1:15" ht="15">
      <c r="A1175" s="72">
        <v>2</v>
      </c>
      <c r="B1175" s="70">
        <v>13.680846107400001</v>
      </c>
      <c r="C1175" s="69">
        <v>-89.196701671499994</v>
      </c>
      <c r="D1175" s="71">
        <v>0</v>
      </c>
      <c r="E1175" s="19">
        <v>0</v>
      </c>
      <c r="F1175" s="19">
        <f t="shared" si="36"/>
        <v>0</v>
      </c>
      <c r="G1175" s="20">
        <v>102</v>
      </c>
      <c r="H1175" s="19" t="str">
        <f t="shared" si="37"/>
        <v>USD</v>
      </c>
      <c r="J1175" s="5"/>
      <c r="K1175" s="3"/>
      <c r="L1175" s="3"/>
      <c r="M1175" s="3"/>
      <c r="N1175" s="3"/>
      <c r="O1175" s="3"/>
    </row>
    <row r="1176" spans="1:15" ht="15">
      <c r="A1176" s="72">
        <v>3</v>
      </c>
      <c r="B1176" s="70">
        <v>13.6783453149</v>
      </c>
      <c r="C1176" s="69">
        <v>-89.194897269899997</v>
      </c>
      <c r="D1176" s="71">
        <v>0</v>
      </c>
      <c r="E1176" s="19">
        <v>0</v>
      </c>
      <c r="F1176" s="19">
        <f t="shared" si="36"/>
        <v>0</v>
      </c>
      <c r="G1176" s="20">
        <v>103</v>
      </c>
      <c r="H1176" s="19" t="str">
        <f t="shared" si="37"/>
        <v>USD</v>
      </c>
      <c r="J1176" s="5"/>
      <c r="K1176" s="3"/>
      <c r="L1176" s="3"/>
      <c r="M1176" s="3"/>
      <c r="N1176" s="3"/>
      <c r="O1176" s="3"/>
    </row>
    <row r="1177" spans="1:15" ht="15">
      <c r="A1177" s="72">
        <v>2</v>
      </c>
      <c r="B1177" s="70">
        <v>13.6808911</v>
      </c>
      <c r="C1177" s="69">
        <v>-89.196664531099998</v>
      </c>
      <c r="D1177" s="71">
        <v>0</v>
      </c>
      <c r="E1177" s="19">
        <v>0</v>
      </c>
      <c r="F1177" s="19">
        <f t="shared" si="36"/>
        <v>0</v>
      </c>
      <c r="G1177" s="20">
        <v>102</v>
      </c>
      <c r="H1177" s="19" t="str">
        <f t="shared" si="37"/>
        <v>USD</v>
      </c>
      <c r="J1177" s="5"/>
      <c r="K1177" s="3"/>
      <c r="L1177" s="3"/>
      <c r="M1177" s="3"/>
      <c r="N1177" s="3"/>
      <c r="O1177" s="3"/>
    </row>
    <row r="1178" spans="1:15" ht="15">
      <c r="A1178" s="72">
        <v>2</v>
      </c>
      <c r="B1178" s="70">
        <v>13.680913157299999</v>
      </c>
      <c r="C1178" s="69">
        <v>-89.196597042600004</v>
      </c>
      <c r="D1178" s="71">
        <v>0</v>
      </c>
      <c r="E1178" s="19">
        <v>0</v>
      </c>
      <c r="F1178" s="19">
        <f t="shared" si="36"/>
        <v>0</v>
      </c>
      <c r="G1178" s="20">
        <v>102</v>
      </c>
      <c r="H1178" s="19" t="str">
        <f t="shared" si="37"/>
        <v>USD</v>
      </c>
      <c r="J1178" s="5"/>
      <c r="K1178" s="3"/>
      <c r="L1178" s="3"/>
      <c r="M1178" s="3"/>
      <c r="N1178" s="3"/>
      <c r="O1178" s="3"/>
    </row>
    <row r="1179" spans="1:15" ht="15">
      <c r="A1179" s="72">
        <v>2</v>
      </c>
      <c r="B1179" s="70">
        <v>13.6809562504</v>
      </c>
      <c r="C1179" s="69">
        <v>-89.196542291</v>
      </c>
      <c r="D1179" s="71">
        <v>0</v>
      </c>
      <c r="E1179" s="19">
        <v>0</v>
      </c>
      <c r="F1179" s="19">
        <f t="shared" si="36"/>
        <v>0</v>
      </c>
      <c r="G1179" s="20">
        <v>102</v>
      </c>
      <c r="H1179" s="19" t="str">
        <f t="shared" si="37"/>
        <v>USD</v>
      </c>
      <c r="J1179" s="5"/>
      <c r="K1179" s="3"/>
      <c r="L1179" s="3"/>
      <c r="M1179" s="3"/>
      <c r="N1179" s="3"/>
      <c r="O1179" s="3"/>
    </row>
    <row r="1180" spans="1:15" ht="15">
      <c r="A1180" s="72">
        <v>2</v>
      </c>
      <c r="B1180" s="70">
        <v>13.6808184434</v>
      </c>
      <c r="C1180" s="69">
        <v>-89.196603812600003</v>
      </c>
      <c r="D1180" s="71">
        <v>0</v>
      </c>
      <c r="E1180" s="19">
        <v>0</v>
      </c>
      <c r="F1180" s="19">
        <f t="shared" si="36"/>
        <v>0</v>
      </c>
      <c r="G1180" s="20">
        <v>102</v>
      </c>
      <c r="H1180" s="19" t="str">
        <f t="shared" si="37"/>
        <v>USD</v>
      </c>
      <c r="J1180" s="5"/>
      <c r="K1180" s="3"/>
      <c r="L1180" s="3"/>
      <c r="M1180" s="3"/>
      <c r="N1180" s="3"/>
      <c r="O1180" s="3"/>
    </row>
    <row r="1181" spans="1:15" ht="15">
      <c r="A1181" s="72">
        <v>2</v>
      </c>
      <c r="B1181" s="70">
        <v>13.680752503100001</v>
      </c>
      <c r="C1181" s="69">
        <v>-89.196516682999999</v>
      </c>
      <c r="D1181" s="71">
        <v>0</v>
      </c>
      <c r="E1181" s="19">
        <v>0</v>
      </c>
      <c r="F1181" s="19">
        <f t="shared" si="36"/>
        <v>0</v>
      </c>
      <c r="G1181" s="20">
        <v>102</v>
      </c>
      <c r="H1181" s="19" t="str">
        <f t="shared" si="37"/>
        <v>USD</v>
      </c>
      <c r="J1181" s="5"/>
      <c r="K1181" s="3"/>
      <c r="L1181" s="3"/>
      <c r="M1181" s="3"/>
      <c r="N1181" s="3"/>
      <c r="O1181" s="3"/>
    </row>
    <row r="1182" spans="1:15" ht="15">
      <c r="A1182" s="72">
        <v>2</v>
      </c>
      <c r="B1182" s="70">
        <v>13.6807379985</v>
      </c>
      <c r="C1182" s="69">
        <v>-89.196710386299998</v>
      </c>
      <c r="D1182" s="71">
        <v>0</v>
      </c>
      <c r="E1182" s="19">
        <v>0</v>
      </c>
      <c r="F1182" s="19">
        <f t="shared" si="36"/>
        <v>0</v>
      </c>
      <c r="G1182" s="20">
        <v>102</v>
      </c>
      <c r="H1182" s="19" t="str">
        <f t="shared" si="37"/>
        <v>USD</v>
      </c>
      <c r="J1182" s="5"/>
      <c r="K1182" s="3"/>
      <c r="L1182" s="3"/>
      <c r="M1182" s="3"/>
      <c r="N1182" s="3"/>
      <c r="O1182" s="3"/>
    </row>
    <row r="1183" spans="1:15" ht="15">
      <c r="A1183" s="72">
        <v>2</v>
      </c>
      <c r="B1183" s="70">
        <v>13.680669162699999</v>
      </c>
      <c r="C1183" s="69">
        <v>-89.196656519200005</v>
      </c>
      <c r="D1183" s="71">
        <v>0</v>
      </c>
      <c r="E1183" s="19">
        <v>0</v>
      </c>
      <c r="F1183" s="19">
        <f t="shared" si="36"/>
        <v>0</v>
      </c>
      <c r="G1183" s="20">
        <v>102</v>
      </c>
      <c r="H1183" s="19" t="str">
        <f t="shared" si="37"/>
        <v>USD</v>
      </c>
      <c r="J1183" s="5"/>
      <c r="K1183" s="3"/>
      <c r="L1183" s="3"/>
      <c r="M1183" s="3"/>
      <c r="N1183" s="3"/>
      <c r="O1183" s="3"/>
    </row>
    <row r="1184" spans="1:15" ht="15">
      <c r="A1184" s="72">
        <v>2</v>
      </c>
      <c r="B1184" s="70">
        <v>13.6806711232</v>
      </c>
      <c r="C1184" s="69">
        <v>-89.196597819299996</v>
      </c>
      <c r="D1184" s="71">
        <v>0</v>
      </c>
      <c r="E1184" s="19">
        <v>0</v>
      </c>
      <c r="F1184" s="19">
        <f t="shared" si="36"/>
        <v>0</v>
      </c>
      <c r="G1184" s="20">
        <v>102</v>
      </c>
      <c r="H1184" s="19" t="str">
        <f t="shared" si="37"/>
        <v>USD</v>
      </c>
      <c r="J1184" s="5"/>
      <c r="K1184" s="3"/>
      <c r="L1184" s="3"/>
      <c r="M1184" s="3"/>
      <c r="N1184" s="3"/>
      <c r="O1184" s="3"/>
    </row>
    <row r="1185" spans="1:15" ht="15">
      <c r="A1185" s="72">
        <v>1</v>
      </c>
      <c r="B1185" s="70">
        <v>13.680882610599999</v>
      </c>
      <c r="C1185" s="69">
        <v>-89.196513856699994</v>
      </c>
      <c r="D1185" s="71">
        <v>0</v>
      </c>
      <c r="E1185" s="19">
        <v>0</v>
      </c>
      <c r="F1185" s="19">
        <f t="shared" si="36"/>
        <v>0</v>
      </c>
      <c r="G1185" s="20">
        <v>101</v>
      </c>
      <c r="H1185" s="19" t="str">
        <f t="shared" si="37"/>
        <v>USD</v>
      </c>
      <c r="J1185" s="5"/>
      <c r="K1185" s="3"/>
      <c r="L1185" s="3"/>
      <c r="M1185" s="3"/>
      <c r="N1185" s="3"/>
      <c r="O1185" s="3"/>
    </row>
    <row r="1186" spans="1:15" ht="15">
      <c r="A1186" s="72">
        <v>2</v>
      </c>
      <c r="B1186" s="70">
        <v>13.680962388599999</v>
      </c>
      <c r="C1186" s="69">
        <v>-89.196342342500003</v>
      </c>
      <c r="D1186" s="71">
        <v>0</v>
      </c>
      <c r="E1186" s="19">
        <v>0</v>
      </c>
      <c r="F1186" s="19">
        <f t="shared" si="36"/>
        <v>0</v>
      </c>
      <c r="G1186" s="20">
        <v>102</v>
      </c>
      <c r="H1186" s="19" t="str">
        <f t="shared" si="37"/>
        <v>USD</v>
      </c>
      <c r="J1186" s="5"/>
      <c r="K1186" s="3"/>
      <c r="L1186" s="3"/>
      <c r="M1186" s="3"/>
      <c r="N1186" s="3"/>
      <c r="O1186" s="3"/>
    </row>
    <row r="1187" spans="1:15" ht="15">
      <c r="A1187" s="72">
        <v>2</v>
      </c>
      <c r="B1187" s="70">
        <v>13.6809236696</v>
      </c>
      <c r="C1187" s="69">
        <v>-89.196311125199998</v>
      </c>
      <c r="D1187" s="71">
        <v>0</v>
      </c>
      <c r="E1187" s="19">
        <v>0</v>
      </c>
      <c r="F1187" s="19">
        <f t="shared" si="36"/>
        <v>0</v>
      </c>
      <c r="G1187" s="20">
        <v>102</v>
      </c>
      <c r="H1187" s="19" t="str">
        <f t="shared" si="37"/>
        <v>USD</v>
      </c>
      <c r="J1187" s="5"/>
      <c r="K1187" s="3"/>
      <c r="L1187" s="3"/>
      <c r="M1187" s="3"/>
      <c r="N1187" s="3"/>
      <c r="O1187" s="3"/>
    </row>
    <row r="1188" spans="1:15" ht="15">
      <c r="A1188" s="72">
        <v>2</v>
      </c>
      <c r="B1188" s="70">
        <v>13.6808899616</v>
      </c>
      <c r="C1188" s="69">
        <v>-89.196293853599997</v>
      </c>
      <c r="D1188" s="71">
        <v>0</v>
      </c>
      <c r="E1188" s="19">
        <v>0</v>
      </c>
      <c r="F1188" s="19">
        <f t="shared" si="36"/>
        <v>0</v>
      </c>
      <c r="G1188" s="20">
        <v>102</v>
      </c>
      <c r="H1188" s="19" t="str">
        <f t="shared" si="37"/>
        <v>USD</v>
      </c>
      <c r="J1188" s="5"/>
      <c r="K1188" s="3"/>
      <c r="L1188" s="3"/>
      <c r="M1188" s="3"/>
      <c r="N1188" s="3"/>
      <c r="O1188" s="3"/>
    </row>
    <row r="1189" spans="1:15" ht="15">
      <c r="A1189" s="72">
        <v>2</v>
      </c>
      <c r="B1189" s="70">
        <v>13.6809348561</v>
      </c>
      <c r="C1189" s="69">
        <v>-89.196228952200002</v>
      </c>
      <c r="D1189" s="71">
        <v>0</v>
      </c>
      <c r="E1189" s="19">
        <v>0</v>
      </c>
      <c r="F1189" s="19">
        <f t="shared" si="36"/>
        <v>0</v>
      </c>
      <c r="G1189" s="20">
        <v>102</v>
      </c>
      <c r="H1189" s="19" t="str">
        <f t="shared" si="37"/>
        <v>USD</v>
      </c>
      <c r="J1189" s="5"/>
      <c r="K1189" s="3"/>
      <c r="L1189" s="3"/>
      <c r="M1189" s="3"/>
      <c r="N1189" s="3"/>
      <c r="O1189" s="3"/>
    </row>
    <row r="1190" spans="1:15" ht="15">
      <c r="A1190" s="72">
        <v>2</v>
      </c>
      <c r="B1190" s="70">
        <v>13.680882134200001</v>
      </c>
      <c r="C1190" s="69">
        <v>-89.1962116638</v>
      </c>
      <c r="D1190" s="71">
        <v>0</v>
      </c>
      <c r="E1190" s="19">
        <v>0</v>
      </c>
      <c r="F1190" s="19">
        <f t="shared" si="36"/>
        <v>0</v>
      </c>
      <c r="G1190" s="20">
        <v>102</v>
      </c>
      <c r="H1190" s="19" t="str">
        <f t="shared" si="37"/>
        <v>USD</v>
      </c>
      <c r="J1190" s="5"/>
      <c r="K1190" s="3"/>
      <c r="L1190" s="3"/>
      <c r="M1190" s="3"/>
      <c r="N1190" s="3"/>
      <c r="O1190" s="3"/>
    </row>
    <row r="1191" spans="1:15" ht="15">
      <c r="A1191" s="72">
        <v>2</v>
      </c>
      <c r="B1191" s="70">
        <v>13.6807452752</v>
      </c>
      <c r="C1191" s="69">
        <v>-89.196164711199998</v>
      </c>
      <c r="D1191" s="71">
        <v>0</v>
      </c>
      <c r="E1191" s="19">
        <v>0</v>
      </c>
      <c r="F1191" s="19">
        <f t="shared" si="36"/>
        <v>0</v>
      </c>
      <c r="G1191" s="20">
        <v>102</v>
      </c>
      <c r="H1191" s="19" t="str">
        <f t="shared" si="37"/>
        <v>USD</v>
      </c>
      <c r="J1191" s="5"/>
      <c r="K1191" s="3"/>
      <c r="L1191" s="3"/>
      <c r="M1191" s="3"/>
      <c r="N1191" s="3"/>
      <c r="O1191" s="3"/>
    </row>
    <row r="1192" spans="1:15" ht="15">
      <c r="A1192" s="72">
        <v>2</v>
      </c>
      <c r="B1192" s="70">
        <v>13.680383385200001</v>
      </c>
      <c r="C1192" s="69">
        <v>-89.196897751600005</v>
      </c>
      <c r="D1192" s="71">
        <v>0</v>
      </c>
      <c r="E1192" s="19">
        <v>0</v>
      </c>
      <c r="F1192" s="19">
        <f t="shared" si="36"/>
        <v>0</v>
      </c>
      <c r="G1192" s="20">
        <v>102</v>
      </c>
      <c r="H1192" s="19" t="str">
        <f t="shared" si="37"/>
        <v>USD</v>
      </c>
      <c r="J1192" s="5"/>
      <c r="K1192" s="3"/>
      <c r="L1192" s="3"/>
      <c r="M1192" s="3"/>
      <c r="N1192" s="3"/>
      <c r="O1192" s="3"/>
    </row>
    <row r="1193" spans="1:15" ht="15">
      <c r="A1193" s="72">
        <v>2</v>
      </c>
      <c r="B1193" s="70">
        <v>13.680340773199999</v>
      </c>
      <c r="C1193" s="69">
        <v>-89.196798657299993</v>
      </c>
      <c r="D1193" s="71">
        <v>0</v>
      </c>
      <c r="E1193" s="19">
        <v>0</v>
      </c>
      <c r="F1193" s="19">
        <f t="shared" si="36"/>
        <v>0</v>
      </c>
      <c r="G1193" s="20">
        <v>102</v>
      </c>
      <c r="H1193" s="19" t="str">
        <f t="shared" si="37"/>
        <v>USD</v>
      </c>
      <c r="J1193" s="5"/>
      <c r="K1193" s="3"/>
      <c r="L1193" s="3"/>
      <c r="M1193" s="3"/>
      <c r="N1193" s="3"/>
      <c r="O1193" s="3"/>
    </row>
    <row r="1194" spans="1:15" ht="15">
      <c r="A1194" s="72">
        <v>2</v>
      </c>
      <c r="B1194" s="70">
        <v>13.6814107137</v>
      </c>
      <c r="C1194" s="69">
        <v>-89.197043899299999</v>
      </c>
      <c r="D1194" s="71">
        <v>0</v>
      </c>
      <c r="E1194" s="19">
        <v>0</v>
      </c>
      <c r="F1194" s="19">
        <f t="shared" si="36"/>
        <v>0</v>
      </c>
      <c r="G1194" s="20">
        <v>102</v>
      </c>
      <c r="H1194" s="19" t="str">
        <f t="shared" si="37"/>
        <v>USD</v>
      </c>
      <c r="J1194" s="5"/>
      <c r="K1194" s="3"/>
      <c r="L1194" s="3"/>
      <c r="M1194" s="3"/>
      <c r="N1194" s="3"/>
      <c r="O1194" s="3"/>
    </row>
    <row r="1195" spans="1:15" ht="15">
      <c r="A1195" s="72">
        <v>2</v>
      </c>
      <c r="B1195" s="70">
        <v>13.681186247599999</v>
      </c>
      <c r="C1195" s="69">
        <v>-89.196609562299997</v>
      </c>
      <c r="D1195" s="71">
        <v>0</v>
      </c>
      <c r="E1195" s="19">
        <v>0</v>
      </c>
      <c r="F1195" s="19">
        <f t="shared" si="36"/>
        <v>0</v>
      </c>
      <c r="G1195" s="20">
        <v>102</v>
      </c>
      <c r="H1195" s="19" t="str">
        <f t="shared" si="37"/>
        <v>USD</v>
      </c>
      <c r="J1195" s="5"/>
      <c r="K1195" s="3"/>
      <c r="L1195" s="3"/>
      <c r="M1195" s="3"/>
      <c r="N1195" s="3"/>
      <c r="O1195" s="3"/>
    </row>
    <row r="1196" spans="1:15" ht="15">
      <c r="A1196" s="72">
        <v>2</v>
      </c>
      <c r="B1196" s="70">
        <v>13.681111101700001</v>
      </c>
      <c r="C1196" s="69">
        <v>-89.196371022500003</v>
      </c>
      <c r="D1196" s="71">
        <v>0</v>
      </c>
      <c r="E1196" s="19">
        <v>0</v>
      </c>
      <c r="F1196" s="19">
        <f t="shared" si="36"/>
        <v>0</v>
      </c>
      <c r="G1196" s="20">
        <v>102</v>
      </c>
      <c r="H1196" s="19" t="str">
        <f t="shared" si="37"/>
        <v>USD</v>
      </c>
      <c r="J1196" s="5"/>
      <c r="K1196" s="3"/>
      <c r="L1196" s="3"/>
      <c r="M1196" s="3"/>
      <c r="N1196" s="3"/>
      <c r="O1196" s="3"/>
    </row>
    <row r="1197" spans="1:15" ht="15">
      <c r="A1197" s="72">
        <v>2</v>
      </c>
      <c r="B1197" s="70">
        <v>13.6809672952</v>
      </c>
      <c r="C1197" s="69">
        <v>-89.196757356500001</v>
      </c>
      <c r="D1197" s="71">
        <v>0</v>
      </c>
      <c r="E1197" s="19">
        <v>0</v>
      </c>
      <c r="F1197" s="19">
        <f t="shared" si="36"/>
        <v>0</v>
      </c>
      <c r="G1197" s="20">
        <v>102</v>
      </c>
      <c r="H1197" s="19" t="str">
        <f t="shared" si="37"/>
        <v>USD</v>
      </c>
      <c r="J1197" s="5"/>
      <c r="K1197" s="3"/>
      <c r="L1197" s="3"/>
      <c r="M1197" s="3"/>
      <c r="N1197" s="3"/>
      <c r="O1197" s="3"/>
    </row>
    <row r="1198" spans="1:15" ht="15">
      <c r="A1198" s="72">
        <v>2</v>
      </c>
      <c r="B1198" s="70">
        <v>13.681014874400001</v>
      </c>
      <c r="C1198" s="69">
        <v>-89.197074141499996</v>
      </c>
      <c r="D1198" s="71">
        <v>0</v>
      </c>
      <c r="E1198" s="19">
        <v>0</v>
      </c>
      <c r="F1198" s="19">
        <f t="shared" si="36"/>
        <v>0</v>
      </c>
      <c r="G1198" s="20">
        <v>102</v>
      </c>
      <c r="H1198" s="19" t="str">
        <f t="shared" si="37"/>
        <v>USD</v>
      </c>
      <c r="J1198" s="5"/>
      <c r="K1198" s="3"/>
      <c r="L1198" s="3"/>
      <c r="M1198" s="3"/>
      <c r="N1198" s="3"/>
      <c r="O1198" s="3"/>
    </row>
    <row r="1199" spans="1:15" ht="15">
      <c r="A1199" s="72">
        <v>2</v>
      </c>
      <c r="B1199" s="70">
        <v>13.681161960700001</v>
      </c>
      <c r="C1199" s="69">
        <v>-89.197073041699994</v>
      </c>
      <c r="D1199" s="71">
        <v>0</v>
      </c>
      <c r="E1199" s="19">
        <v>0</v>
      </c>
      <c r="F1199" s="19">
        <f t="shared" si="36"/>
        <v>0</v>
      </c>
      <c r="G1199" s="20">
        <v>102</v>
      </c>
      <c r="H1199" s="19" t="str">
        <f t="shared" si="37"/>
        <v>USD</v>
      </c>
      <c r="J1199" s="5"/>
      <c r="K1199" s="3"/>
      <c r="L1199" s="3"/>
      <c r="M1199" s="3"/>
      <c r="N1199" s="3"/>
      <c r="O1199" s="3"/>
    </row>
    <row r="1200" spans="1:15" ht="15">
      <c r="A1200" s="72">
        <v>2</v>
      </c>
      <c r="B1200" s="70">
        <v>13.679979644099999</v>
      </c>
      <c r="C1200" s="69">
        <v>-89.196490293599993</v>
      </c>
      <c r="D1200" s="71">
        <v>0</v>
      </c>
      <c r="E1200" s="19">
        <v>0</v>
      </c>
      <c r="F1200" s="19">
        <f t="shared" si="36"/>
        <v>0</v>
      </c>
      <c r="G1200" s="20">
        <v>102</v>
      </c>
      <c r="H1200" s="19" t="str">
        <f t="shared" si="37"/>
        <v>USD</v>
      </c>
      <c r="J1200" s="5"/>
      <c r="K1200" s="3"/>
      <c r="L1200" s="3"/>
      <c r="M1200" s="3"/>
      <c r="N1200" s="3"/>
      <c r="O1200" s="3"/>
    </row>
    <row r="1201" spans="1:15" ht="15">
      <c r="A1201" s="72">
        <v>1</v>
      </c>
      <c r="B1201" s="70">
        <v>13.682288446399999</v>
      </c>
      <c r="C1201" s="69">
        <v>-89.195225496899994</v>
      </c>
      <c r="D1201" s="71">
        <v>0</v>
      </c>
      <c r="E1201" s="19">
        <v>0</v>
      </c>
      <c r="F1201" s="19">
        <f t="shared" si="36"/>
        <v>0</v>
      </c>
      <c r="G1201" s="20">
        <v>101</v>
      </c>
      <c r="H1201" s="19" t="str">
        <f t="shared" si="37"/>
        <v>USD</v>
      </c>
      <c r="J1201" s="5"/>
      <c r="K1201" s="3"/>
      <c r="L1201" s="3"/>
      <c r="M1201" s="3"/>
      <c r="N1201" s="3"/>
      <c r="O1201" s="3"/>
    </row>
    <row r="1202" spans="1:15" ht="15">
      <c r="A1202" s="72">
        <v>1</v>
      </c>
      <c r="B1202" s="70">
        <v>13.682192669599999</v>
      </c>
      <c r="C1202" s="69">
        <v>-89.195365324099996</v>
      </c>
      <c r="D1202" s="71">
        <v>0</v>
      </c>
      <c r="E1202" s="19">
        <v>0</v>
      </c>
      <c r="F1202" s="19">
        <f t="shared" si="36"/>
        <v>0</v>
      </c>
      <c r="G1202" s="20">
        <v>101</v>
      </c>
      <c r="H1202" s="19" t="str">
        <f t="shared" si="37"/>
        <v>USD</v>
      </c>
      <c r="J1202" s="5"/>
      <c r="K1202" s="3"/>
      <c r="L1202" s="3"/>
      <c r="M1202" s="3"/>
      <c r="N1202" s="3"/>
      <c r="O1202" s="3"/>
    </row>
    <row r="1203" spans="1:15" ht="15">
      <c r="A1203" s="72">
        <v>1</v>
      </c>
      <c r="B1203" s="70">
        <v>13.6820691295</v>
      </c>
      <c r="C1203" s="69">
        <v>-89.195531544000005</v>
      </c>
      <c r="D1203" s="71">
        <v>0</v>
      </c>
      <c r="E1203" s="19">
        <v>0</v>
      </c>
      <c r="F1203" s="19">
        <f t="shared" si="36"/>
        <v>0</v>
      </c>
      <c r="G1203" s="20">
        <v>101</v>
      </c>
      <c r="H1203" s="19" t="str">
        <f t="shared" si="37"/>
        <v>USD</v>
      </c>
      <c r="J1203" s="5"/>
      <c r="K1203" s="3"/>
      <c r="L1203" s="3"/>
      <c r="M1203" s="3"/>
      <c r="N1203" s="3"/>
      <c r="O1203" s="3"/>
    </row>
    <row r="1204" spans="1:15" ht="15">
      <c r="A1204" s="72">
        <v>2</v>
      </c>
      <c r="B1204" s="70">
        <v>13.6822530235</v>
      </c>
      <c r="C1204" s="69">
        <v>-89.195259710599998</v>
      </c>
      <c r="D1204" s="71">
        <v>0</v>
      </c>
      <c r="E1204" s="19">
        <v>0</v>
      </c>
      <c r="F1204" s="19">
        <f t="shared" si="36"/>
        <v>0</v>
      </c>
      <c r="G1204" s="20">
        <v>102</v>
      </c>
      <c r="H1204" s="19" t="str">
        <f t="shared" si="37"/>
        <v>USD</v>
      </c>
      <c r="J1204" s="5"/>
      <c r="K1204" s="3"/>
      <c r="L1204" s="3"/>
      <c r="M1204" s="3"/>
      <c r="N1204" s="3"/>
      <c r="O1204" s="3"/>
    </row>
    <row r="1205" spans="1:15" ht="15">
      <c r="A1205" s="72">
        <v>2</v>
      </c>
      <c r="B1205" s="70">
        <v>13.682223325500001</v>
      </c>
      <c r="C1205" s="69">
        <v>-89.1953115397</v>
      </c>
      <c r="D1205" s="71">
        <v>0</v>
      </c>
      <c r="E1205" s="19">
        <v>0</v>
      </c>
      <c r="F1205" s="19">
        <f t="shared" si="36"/>
        <v>0</v>
      </c>
      <c r="G1205" s="20">
        <v>102</v>
      </c>
      <c r="H1205" s="19" t="str">
        <f t="shared" si="37"/>
        <v>USD</v>
      </c>
      <c r="J1205" s="5"/>
      <c r="K1205" s="3"/>
      <c r="L1205" s="3"/>
      <c r="M1205" s="3"/>
      <c r="N1205" s="3"/>
      <c r="O1205" s="3"/>
    </row>
    <row r="1206" spans="1:15" ht="15">
      <c r="A1206" s="72">
        <v>2</v>
      </c>
      <c r="B1206" s="70">
        <v>13.682249071899999</v>
      </c>
      <c r="C1206" s="69">
        <v>-89.195416245700002</v>
      </c>
      <c r="D1206" s="71">
        <v>0</v>
      </c>
      <c r="E1206" s="19">
        <v>0</v>
      </c>
      <c r="F1206" s="19">
        <f t="shared" si="36"/>
        <v>0</v>
      </c>
      <c r="G1206" s="20">
        <v>102</v>
      </c>
      <c r="H1206" s="19" t="str">
        <f t="shared" si="37"/>
        <v>USD</v>
      </c>
      <c r="J1206" s="5"/>
      <c r="K1206" s="3"/>
      <c r="L1206" s="3"/>
      <c r="M1206" s="3"/>
      <c r="N1206" s="3"/>
      <c r="O1206" s="3"/>
    </row>
    <row r="1207" spans="1:15" ht="15">
      <c r="A1207" s="72">
        <v>2</v>
      </c>
      <c r="B1207" s="70">
        <v>13.6821246843</v>
      </c>
      <c r="C1207" s="69">
        <v>-89.195445494300003</v>
      </c>
      <c r="D1207" s="71">
        <v>0</v>
      </c>
      <c r="E1207" s="19">
        <v>0</v>
      </c>
      <c r="F1207" s="19">
        <f t="shared" si="36"/>
        <v>0</v>
      </c>
      <c r="G1207" s="20">
        <v>102</v>
      </c>
      <c r="H1207" s="19" t="str">
        <f t="shared" si="37"/>
        <v>USD</v>
      </c>
      <c r="J1207" s="5"/>
      <c r="K1207" s="3"/>
      <c r="L1207" s="3"/>
      <c r="M1207" s="3"/>
      <c r="N1207" s="3"/>
      <c r="O1207" s="3"/>
    </row>
    <row r="1208" spans="1:15" ht="15">
      <c r="A1208" s="72">
        <v>2</v>
      </c>
      <c r="B1208" s="70">
        <v>13.682159282200001</v>
      </c>
      <c r="C1208" s="69">
        <v>-89.195471326900005</v>
      </c>
      <c r="D1208" s="71">
        <v>0</v>
      </c>
      <c r="E1208" s="19">
        <v>0</v>
      </c>
      <c r="F1208" s="19">
        <f t="shared" si="36"/>
        <v>0</v>
      </c>
      <c r="G1208" s="20">
        <v>102</v>
      </c>
      <c r="H1208" s="19" t="str">
        <f t="shared" si="37"/>
        <v>USD</v>
      </c>
      <c r="J1208" s="5"/>
      <c r="K1208" s="3"/>
      <c r="L1208" s="3"/>
      <c r="M1208" s="3"/>
      <c r="N1208" s="3"/>
      <c r="O1208" s="3"/>
    </row>
    <row r="1209" spans="1:15" ht="15">
      <c r="A1209" s="72">
        <v>2</v>
      </c>
      <c r="B1209" s="70">
        <v>13.682188557</v>
      </c>
      <c r="C1209" s="69">
        <v>-89.195500396300005</v>
      </c>
      <c r="D1209" s="71">
        <v>0</v>
      </c>
      <c r="E1209" s="19">
        <v>0</v>
      </c>
      <c r="F1209" s="19">
        <f t="shared" si="36"/>
        <v>0</v>
      </c>
      <c r="G1209" s="20">
        <v>102</v>
      </c>
      <c r="H1209" s="19" t="str">
        <f t="shared" si="37"/>
        <v>USD</v>
      </c>
      <c r="J1209" s="5"/>
      <c r="K1209" s="3"/>
      <c r="L1209" s="3"/>
      <c r="M1209" s="3"/>
      <c r="N1209" s="3"/>
      <c r="O1209" s="3"/>
    </row>
    <row r="1210" spans="1:15" ht="15">
      <c r="A1210" s="72">
        <v>2</v>
      </c>
      <c r="B1210" s="70">
        <v>13.6821556449</v>
      </c>
      <c r="C1210" s="69">
        <v>-89.195533694999995</v>
      </c>
      <c r="D1210" s="71">
        <v>0</v>
      </c>
      <c r="E1210" s="19">
        <v>0</v>
      </c>
      <c r="F1210" s="19">
        <f t="shared" si="36"/>
        <v>0</v>
      </c>
      <c r="G1210" s="20">
        <v>102</v>
      </c>
      <c r="H1210" s="19" t="str">
        <f t="shared" si="37"/>
        <v>USD</v>
      </c>
      <c r="J1210" s="5"/>
      <c r="K1210" s="3"/>
      <c r="L1210" s="3"/>
      <c r="M1210" s="3"/>
      <c r="N1210" s="3"/>
      <c r="O1210" s="3"/>
    </row>
    <row r="1211" spans="1:15" ht="15">
      <c r="A1211" s="72">
        <v>2</v>
      </c>
      <c r="B1211" s="70">
        <v>13.6822040397</v>
      </c>
      <c r="C1211" s="69">
        <v>-89.1955795959</v>
      </c>
      <c r="D1211" s="71">
        <v>0</v>
      </c>
      <c r="E1211" s="19">
        <v>0</v>
      </c>
      <c r="F1211" s="19">
        <f t="shared" si="36"/>
        <v>0</v>
      </c>
      <c r="G1211" s="20">
        <v>102</v>
      </c>
      <c r="H1211" s="19" t="str">
        <f t="shared" si="37"/>
        <v>USD</v>
      </c>
      <c r="J1211" s="5"/>
      <c r="K1211" s="3"/>
      <c r="L1211" s="3"/>
      <c r="M1211" s="3"/>
      <c r="N1211" s="3"/>
      <c r="O1211" s="3"/>
    </row>
    <row r="1212" spans="1:15" ht="15">
      <c r="A1212" s="72">
        <v>2</v>
      </c>
      <c r="B1212" s="70">
        <v>13.6821570384</v>
      </c>
      <c r="C1212" s="69">
        <v>-89.195661495500005</v>
      </c>
      <c r="D1212" s="71">
        <v>0</v>
      </c>
      <c r="E1212" s="19">
        <v>0</v>
      </c>
      <c r="F1212" s="19">
        <f t="shared" si="36"/>
        <v>0</v>
      </c>
      <c r="G1212" s="20">
        <v>102</v>
      </c>
      <c r="H1212" s="19" t="str">
        <f t="shared" si="37"/>
        <v>USD</v>
      </c>
      <c r="J1212" s="5"/>
      <c r="K1212" s="3"/>
      <c r="L1212" s="3"/>
      <c r="M1212" s="3"/>
      <c r="N1212" s="3"/>
      <c r="O1212" s="3"/>
    </row>
    <row r="1213" spans="1:15" ht="15">
      <c r="A1213" s="72">
        <v>2</v>
      </c>
      <c r="B1213" s="70">
        <v>13.6818266952</v>
      </c>
      <c r="C1213" s="69">
        <v>-89.195935265200006</v>
      </c>
      <c r="D1213" s="71">
        <v>0</v>
      </c>
      <c r="E1213" s="19">
        <v>0</v>
      </c>
      <c r="F1213" s="19">
        <f t="shared" si="36"/>
        <v>0</v>
      </c>
      <c r="G1213" s="20">
        <v>102</v>
      </c>
      <c r="H1213" s="19" t="str">
        <f t="shared" si="37"/>
        <v>USD</v>
      </c>
      <c r="J1213" s="5"/>
      <c r="K1213" s="3"/>
      <c r="L1213" s="3"/>
      <c r="M1213" s="3"/>
      <c r="N1213" s="3"/>
      <c r="O1213" s="3"/>
    </row>
    <row r="1214" spans="1:15" ht="15">
      <c r="A1214" s="72">
        <v>2</v>
      </c>
      <c r="B1214" s="70">
        <v>13.6818678548</v>
      </c>
      <c r="C1214" s="69">
        <v>-89.195906437600001</v>
      </c>
      <c r="D1214" s="71">
        <v>0</v>
      </c>
      <c r="E1214" s="19">
        <v>0</v>
      </c>
      <c r="F1214" s="19">
        <f t="shared" si="36"/>
        <v>0</v>
      </c>
      <c r="G1214" s="20">
        <v>102</v>
      </c>
      <c r="H1214" s="19" t="str">
        <f t="shared" si="37"/>
        <v>USD</v>
      </c>
      <c r="J1214" s="5"/>
      <c r="K1214" s="3"/>
      <c r="L1214" s="3"/>
      <c r="M1214" s="3"/>
      <c r="N1214" s="3"/>
      <c r="O1214" s="3"/>
    </row>
    <row r="1215" spans="1:15" ht="15">
      <c r="A1215" s="72">
        <v>2</v>
      </c>
      <c r="B1215" s="70">
        <v>13.6819123612</v>
      </c>
      <c r="C1215" s="69">
        <v>-89.195878102699993</v>
      </c>
      <c r="D1215" s="71">
        <v>0</v>
      </c>
      <c r="E1215" s="19">
        <v>0</v>
      </c>
      <c r="F1215" s="19">
        <f t="shared" si="36"/>
        <v>0</v>
      </c>
      <c r="G1215" s="20">
        <v>102</v>
      </c>
      <c r="H1215" s="19" t="str">
        <f t="shared" si="37"/>
        <v>USD</v>
      </c>
      <c r="J1215" s="5"/>
      <c r="K1215" s="3"/>
      <c r="L1215" s="3"/>
      <c r="M1215" s="3"/>
      <c r="N1215" s="3"/>
      <c r="O1215" s="3"/>
    </row>
    <row r="1216" spans="1:15" ht="15">
      <c r="A1216" s="72">
        <v>2</v>
      </c>
      <c r="B1216" s="70">
        <v>13.681982228100001</v>
      </c>
      <c r="C1216" s="69">
        <v>-89.195839514599996</v>
      </c>
      <c r="D1216" s="71">
        <v>0</v>
      </c>
      <c r="E1216" s="19">
        <v>0</v>
      </c>
      <c r="F1216" s="19">
        <f t="shared" si="36"/>
        <v>0</v>
      </c>
      <c r="G1216" s="20">
        <v>102</v>
      </c>
      <c r="H1216" s="19" t="str">
        <f t="shared" si="37"/>
        <v>USD</v>
      </c>
      <c r="J1216" s="5"/>
      <c r="K1216" s="3"/>
      <c r="L1216" s="3"/>
      <c r="M1216" s="3"/>
      <c r="N1216" s="3"/>
      <c r="O1216" s="3"/>
    </row>
    <row r="1217" spans="1:15" ht="15">
      <c r="A1217" s="72">
        <v>2</v>
      </c>
      <c r="B1217" s="70">
        <v>13.681803307299999</v>
      </c>
      <c r="C1217" s="69">
        <v>-89.195872630599993</v>
      </c>
      <c r="D1217" s="71">
        <v>0</v>
      </c>
      <c r="E1217" s="19">
        <v>0</v>
      </c>
      <c r="F1217" s="19">
        <f t="shared" ref="F1217:F1280" si="38">D1217</f>
        <v>0</v>
      </c>
      <c r="G1217" s="20">
        <v>102</v>
      </c>
      <c r="H1217" s="19" t="str">
        <f t="shared" ref="H1217:H1280" si="39">IF(OR(A1217&lt;17,A1217=21),"USD","people")</f>
        <v>USD</v>
      </c>
      <c r="J1217" s="5"/>
      <c r="K1217" s="3"/>
      <c r="L1217" s="3"/>
      <c r="M1217" s="3"/>
      <c r="N1217" s="3"/>
      <c r="O1217" s="3"/>
    </row>
    <row r="1218" spans="1:15" ht="15">
      <c r="A1218" s="72">
        <v>2</v>
      </c>
      <c r="B1218" s="70">
        <v>13.6818655382</v>
      </c>
      <c r="C1218" s="69">
        <v>-89.195812023499997</v>
      </c>
      <c r="D1218" s="71">
        <v>0</v>
      </c>
      <c r="E1218" s="19">
        <v>0</v>
      </c>
      <c r="F1218" s="19">
        <f t="shared" si="38"/>
        <v>0</v>
      </c>
      <c r="G1218" s="20">
        <v>102</v>
      </c>
      <c r="H1218" s="19" t="str">
        <f t="shared" si="39"/>
        <v>USD</v>
      </c>
      <c r="J1218" s="5"/>
      <c r="K1218" s="3"/>
      <c r="L1218" s="3"/>
      <c r="M1218" s="3"/>
      <c r="N1218" s="3"/>
      <c r="O1218" s="3"/>
    </row>
    <row r="1219" spans="1:15" ht="15">
      <c r="A1219" s="72">
        <v>2</v>
      </c>
      <c r="B1219" s="70">
        <v>13.6819186482</v>
      </c>
      <c r="C1219" s="69">
        <v>-89.195791522099995</v>
      </c>
      <c r="D1219" s="71">
        <v>0</v>
      </c>
      <c r="E1219" s="19">
        <v>0</v>
      </c>
      <c r="F1219" s="19">
        <f t="shared" si="38"/>
        <v>0</v>
      </c>
      <c r="G1219" s="20">
        <v>102</v>
      </c>
      <c r="H1219" s="19" t="str">
        <f t="shared" si="39"/>
        <v>USD</v>
      </c>
      <c r="J1219" s="5"/>
      <c r="K1219" s="3"/>
      <c r="L1219" s="3"/>
      <c r="M1219" s="3"/>
      <c r="N1219" s="3"/>
      <c r="O1219" s="3"/>
    </row>
    <row r="1220" spans="1:15" ht="15">
      <c r="A1220" s="72">
        <v>2</v>
      </c>
      <c r="B1220" s="70">
        <v>13.681892830000001</v>
      </c>
      <c r="C1220" s="69">
        <v>-89.195777314099999</v>
      </c>
      <c r="D1220" s="71">
        <v>0</v>
      </c>
      <c r="E1220" s="19">
        <v>0</v>
      </c>
      <c r="F1220" s="19">
        <f t="shared" si="38"/>
        <v>0</v>
      </c>
      <c r="G1220" s="20">
        <v>102</v>
      </c>
      <c r="H1220" s="19" t="str">
        <f t="shared" si="39"/>
        <v>USD</v>
      </c>
      <c r="J1220" s="5"/>
      <c r="K1220" s="3"/>
      <c r="L1220" s="3"/>
      <c r="M1220" s="3"/>
      <c r="N1220" s="3"/>
      <c r="O1220" s="3"/>
    </row>
    <row r="1221" spans="1:15" ht="15">
      <c r="A1221" s="72">
        <v>2</v>
      </c>
      <c r="B1221" s="70">
        <v>13.6819239512</v>
      </c>
      <c r="C1221" s="69">
        <v>-89.195739672800002</v>
      </c>
      <c r="D1221" s="71">
        <v>0</v>
      </c>
      <c r="E1221" s="19">
        <v>0</v>
      </c>
      <c r="F1221" s="19">
        <f t="shared" si="38"/>
        <v>0</v>
      </c>
      <c r="G1221" s="20">
        <v>102</v>
      </c>
      <c r="H1221" s="19" t="str">
        <f t="shared" si="39"/>
        <v>USD</v>
      </c>
      <c r="J1221" s="5"/>
      <c r="K1221" s="3"/>
      <c r="L1221" s="3"/>
      <c r="M1221" s="3"/>
      <c r="N1221" s="3"/>
      <c r="O1221" s="3"/>
    </row>
    <row r="1222" spans="1:15" ht="15">
      <c r="A1222" s="72">
        <v>2</v>
      </c>
      <c r="B1222" s="70">
        <v>13.681953633299999</v>
      </c>
      <c r="C1222" s="69">
        <v>-89.195707900499997</v>
      </c>
      <c r="D1222" s="71">
        <v>0</v>
      </c>
      <c r="E1222" s="19">
        <v>0</v>
      </c>
      <c r="F1222" s="19">
        <f t="shared" si="38"/>
        <v>0</v>
      </c>
      <c r="G1222" s="20">
        <v>102</v>
      </c>
      <c r="H1222" s="19" t="str">
        <f t="shared" si="39"/>
        <v>USD</v>
      </c>
      <c r="J1222" s="5"/>
      <c r="K1222" s="3"/>
      <c r="L1222" s="3"/>
      <c r="M1222" s="3"/>
      <c r="N1222" s="3"/>
      <c r="O1222" s="3"/>
    </row>
    <row r="1223" spans="1:15" ht="15">
      <c r="A1223" s="72">
        <v>2</v>
      </c>
      <c r="B1223" s="70">
        <v>13.6819914723</v>
      </c>
      <c r="C1223" s="69">
        <v>-89.195643359800002</v>
      </c>
      <c r="D1223" s="71">
        <v>0</v>
      </c>
      <c r="E1223" s="19">
        <v>0</v>
      </c>
      <c r="F1223" s="19">
        <f t="shared" si="38"/>
        <v>0</v>
      </c>
      <c r="G1223" s="20">
        <v>102</v>
      </c>
      <c r="H1223" s="19" t="str">
        <f t="shared" si="39"/>
        <v>USD</v>
      </c>
      <c r="J1223" s="5"/>
      <c r="K1223" s="3"/>
      <c r="L1223" s="3"/>
      <c r="M1223" s="3"/>
      <c r="N1223" s="3"/>
      <c r="O1223" s="3"/>
    </row>
    <row r="1224" spans="1:15" ht="15">
      <c r="A1224" s="72">
        <v>2</v>
      </c>
      <c r="B1224" s="70">
        <v>13.6817740555</v>
      </c>
      <c r="C1224" s="69">
        <v>-89.195897487600007</v>
      </c>
      <c r="D1224" s="71">
        <v>0</v>
      </c>
      <c r="E1224" s="19">
        <v>0</v>
      </c>
      <c r="F1224" s="19">
        <f t="shared" si="38"/>
        <v>0</v>
      </c>
      <c r="G1224" s="20">
        <v>102</v>
      </c>
      <c r="H1224" s="19" t="str">
        <f t="shared" si="39"/>
        <v>USD</v>
      </c>
      <c r="J1224" s="5"/>
      <c r="K1224" s="3"/>
      <c r="L1224" s="3"/>
      <c r="M1224" s="3"/>
      <c r="N1224" s="3"/>
      <c r="O1224" s="3"/>
    </row>
    <row r="1225" spans="1:15" ht="15">
      <c r="A1225" s="72">
        <v>2</v>
      </c>
      <c r="B1225" s="70">
        <v>13.6817548647</v>
      </c>
      <c r="C1225" s="69">
        <v>-89.195969625900005</v>
      </c>
      <c r="D1225" s="71">
        <v>0</v>
      </c>
      <c r="E1225" s="19">
        <v>0</v>
      </c>
      <c r="F1225" s="19">
        <f t="shared" si="38"/>
        <v>0</v>
      </c>
      <c r="G1225" s="20">
        <v>102</v>
      </c>
      <c r="H1225" s="19" t="str">
        <f t="shared" si="39"/>
        <v>USD</v>
      </c>
      <c r="J1225" s="5"/>
      <c r="K1225" s="3"/>
      <c r="L1225" s="3"/>
      <c r="M1225" s="3"/>
      <c r="N1225" s="3"/>
      <c r="O1225" s="3"/>
    </row>
    <row r="1226" spans="1:15" ht="15">
      <c r="A1226" s="72">
        <v>2</v>
      </c>
      <c r="B1226" s="70">
        <v>13.6817040227</v>
      </c>
      <c r="C1226" s="69">
        <v>-89.195994654299994</v>
      </c>
      <c r="D1226" s="71">
        <v>0</v>
      </c>
      <c r="E1226" s="19">
        <v>0</v>
      </c>
      <c r="F1226" s="19">
        <f t="shared" si="38"/>
        <v>0</v>
      </c>
      <c r="G1226" s="20">
        <v>102</v>
      </c>
      <c r="H1226" s="19" t="str">
        <f t="shared" si="39"/>
        <v>USD</v>
      </c>
      <c r="J1226" s="5"/>
      <c r="K1226" s="3"/>
      <c r="L1226" s="3"/>
      <c r="M1226" s="3"/>
      <c r="N1226" s="3"/>
      <c r="O1226" s="3"/>
    </row>
    <row r="1227" spans="1:15" ht="15">
      <c r="A1227" s="72">
        <v>2</v>
      </c>
      <c r="B1227" s="70">
        <v>13.681604758500001</v>
      </c>
      <c r="C1227" s="69">
        <v>-89.196009247099994</v>
      </c>
      <c r="D1227" s="71">
        <v>0</v>
      </c>
      <c r="E1227" s="19">
        <v>0</v>
      </c>
      <c r="F1227" s="19">
        <f t="shared" si="38"/>
        <v>0</v>
      </c>
      <c r="G1227" s="20">
        <v>102</v>
      </c>
      <c r="H1227" s="19" t="str">
        <f t="shared" si="39"/>
        <v>USD</v>
      </c>
      <c r="J1227" s="5"/>
      <c r="K1227" s="3"/>
      <c r="L1227" s="3"/>
      <c r="M1227" s="3"/>
      <c r="N1227" s="3"/>
      <c r="O1227" s="3"/>
    </row>
    <row r="1228" spans="1:15" ht="15">
      <c r="A1228" s="72">
        <v>2</v>
      </c>
      <c r="B1228" s="70">
        <v>13.680992768299999</v>
      </c>
      <c r="C1228" s="69">
        <v>-89.195948291700006</v>
      </c>
      <c r="D1228" s="71">
        <v>0</v>
      </c>
      <c r="E1228" s="19">
        <v>0</v>
      </c>
      <c r="F1228" s="19">
        <f t="shared" si="38"/>
        <v>0</v>
      </c>
      <c r="G1228" s="20">
        <v>102</v>
      </c>
      <c r="H1228" s="19" t="str">
        <f t="shared" si="39"/>
        <v>USD</v>
      </c>
      <c r="J1228" s="5"/>
      <c r="K1228" s="3"/>
      <c r="L1228" s="3"/>
      <c r="M1228" s="3"/>
      <c r="N1228" s="3"/>
      <c r="O1228" s="3"/>
    </row>
    <row r="1229" spans="1:15" ht="15">
      <c r="A1229" s="72">
        <v>2</v>
      </c>
      <c r="B1229" s="70">
        <v>13.6809318032</v>
      </c>
      <c r="C1229" s="69">
        <v>-89.195921092099994</v>
      </c>
      <c r="D1229" s="71">
        <v>0</v>
      </c>
      <c r="E1229" s="19">
        <v>0</v>
      </c>
      <c r="F1229" s="19">
        <f t="shared" si="38"/>
        <v>0</v>
      </c>
      <c r="G1229" s="20">
        <v>102</v>
      </c>
      <c r="H1229" s="19" t="str">
        <f t="shared" si="39"/>
        <v>USD</v>
      </c>
      <c r="J1229" s="5"/>
      <c r="K1229" s="3"/>
      <c r="L1229" s="3"/>
      <c r="M1229" s="3"/>
      <c r="N1229" s="3"/>
      <c r="O1229" s="3"/>
    </row>
    <row r="1230" spans="1:15" ht="15">
      <c r="A1230" s="72">
        <v>2</v>
      </c>
      <c r="B1230" s="70">
        <v>13.6809002647</v>
      </c>
      <c r="C1230" s="69">
        <v>-89.195882175700007</v>
      </c>
      <c r="D1230" s="71">
        <v>0</v>
      </c>
      <c r="E1230" s="19">
        <v>0</v>
      </c>
      <c r="F1230" s="19">
        <f t="shared" si="38"/>
        <v>0</v>
      </c>
      <c r="G1230" s="20">
        <v>102</v>
      </c>
      <c r="H1230" s="19" t="str">
        <f t="shared" si="39"/>
        <v>USD</v>
      </c>
      <c r="J1230" s="5"/>
      <c r="K1230" s="3"/>
      <c r="L1230" s="3"/>
      <c r="M1230" s="3"/>
      <c r="N1230" s="3"/>
      <c r="O1230" s="3"/>
    </row>
    <row r="1231" spans="1:15" ht="15">
      <c r="A1231" s="72">
        <v>2</v>
      </c>
      <c r="B1231" s="70">
        <v>13.6809512762</v>
      </c>
      <c r="C1231" s="69">
        <v>-89.195794165699994</v>
      </c>
      <c r="D1231" s="71">
        <v>0</v>
      </c>
      <c r="E1231" s="19">
        <v>0</v>
      </c>
      <c r="F1231" s="19">
        <f t="shared" si="38"/>
        <v>0</v>
      </c>
      <c r="G1231" s="20">
        <v>102</v>
      </c>
      <c r="H1231" s="19" t="str">
        <f t="shared" si="39"/>
        <v>USD</v>
      </c>
      <c r="J1231" s="5"/>
      <c r="K1231" s="3"/>
      <c r="L1231" s="3"/>
      <c r="M1231" s="3"/>
      <c r="N1231" s="3"/>
      <c r="O1231" s="3"/>
    </row>
    <row r="1232" spans="1:15" ht="15">
      <c r="A1232" s="72">
        <v>2</v>
      </c>
      <c r="B1232" s="70">
        <v>13.680935870600001</v>
      </c>
      <c r="C1232" s="69">
        <v>-89.195769204200005</v>
      </c>
      <c r="D1232" s="71">
        <v>0</v>
      </c>
      <c r="E1232" s="19">
        <v>0</v>
      </c>
      <c r="F1232" s="19">
        <f t="shared" si="38"/>
        <v>0</v>
      </c>
      <c r="G1232" s="20">
        <v>102</v>
      </c>
      <c r="H1232" s="19" t="str">
        <f t="shared" si="39"/>
        <v>USD</v>
      </c>
      <c r="J1232" s="5"/>
      <c r="K1232" s="3"/>
      <c r="L1232" s="3"/>
      <c r="M1232" s="3"/>
      <c r="N1232" s="3"/>
      <c r="O1232" s="3"/>
    </row>
    <row r="1233" spans="1:15" ht="15">
      <c r="A1233" s="72">
        <v>2</v>
      </c>
      <c r="B1233" s="70">
        <v>13.680919752299999</v>
      </c>
      <c r="C1233" s="69">
        <v>-89.1957369048</v>
      </c>
      <c r="D1233" s="71">
        <v>0</v>
      </c>
      <c r="E1233" s="19">
        <v>0</v>
      </c>
      <c r="F1233" s="19">
        <f t="shared" si="38"/>
        <v>0</v>
      </c>
      <c r="G1233" s="20">
        <v>102</v>
      </c>
      <c r="H1233" s="19" t="str">
        <f t="shared" si="39"/>
        <v>USD</v>
      </c>
      <c r="J1233" s="5"/>
      <c r="K1233" s="3"/>
      <c r="L1233" s="3"/>
      <c r="M1233" s="3"/>
      <c r="N1233" s="3"/>
      <c r="O1233" s="3"/>
    </row>
    <row r="1234" spans="1:15" ht="15">
      <c r="A1234" s="72">
        <v>2</v>
      </c>
      <c r="B1234" s="70">
        <v>13.6808978999</v>
      </c>
      <c r="C1234" s="69">
        <v>-89.1956983635</v>
      </c>
      <c r="D1234" s="71">
        <v>0</v>
      </c>
      <c r="E1234" s="19">
        <v>0</v>
      </c>
      <c r="F1234" s="19">
        <f t="shared" si="38"/>
        <v>0</v>
      </c>
      <c r="G1234" s="20">
        <v>102</v>
      </c>
      <c r="H1234" s="19" t="str">
        <f t="shared" si="39"/>
        <v>USD</v>
      </c>
      <c r="J1234" s="5"/>
      <c r="K1234" s="3"/>
      <c r="L1234" s="3"/>
      <c r="M1234" s="3"/>
      <c r="N1234" s="3"/>
      <c r="O1234" s="3"/>
    </row>
    <row r="1235" spans="1:15" ht="15">
      <c r="A1235" s="72">
        <v>2</v>
      </c>
      <c r="B1235" s="70">
        <v>13.680886448100001</v>
      </c>
      <c r="C1235" s="69">
        <v>-89.195663132999996</v>
      </c>
      <c r="D1235" s="71">
        <v>0</v>
      </c>
      <c r="E1235" s="19">
        <v>0</v>
      </c>
      <c r="F1235" s="19">
        <f t="shared" si="38"/>
        <v>0</v>
      </c>
      <c r="G1235" s="20">
        <v>102</v>
      </c>
      <c r="H1235" s="19" t="str">
        <f t="shared" si="39"/>
        <v>USD</v>
      </c>
      <c r="J1235" s="5"/>
      <c r="K1235" s="3"/>
      <c r="L1235" s="3"/>
      <c r="M1235" s="3"/>
      <c r="N1235" s="3"/>
      <c r="O1235" s="3"/>
    </row>
    <row r="1236" spans="1:15" ht="15">
      <c r="A1236" s="72">
        <v>2</v>
      </c>
      <c r="B1236" s="70">
        <v>13.6808753452</v>
      </c>
      <c r="C1236" s="69">
        <v>-89.195640377100005</v>
      </c>
      <c r="D1236" s="71">
        <v>0</v>
      </c>
      <c r="E1236" s="19">
        <v>0</v>
      </c>
      <c r="F1236" s="19">
        <f t="shared" si="38"/>
        <v>0</v>
      </c>
      <c r="G1236" s="20">
        <v>102</v>
      </c>
      <c r="H1236" s="19" t="str">
        <f t="shared" si="39"/>
        <v>USD</v>
      </c>
      <c r="J1236" s="5"/>
      <c r="K1236" s="3"/>
      <c r="L1236" s="3"/>
      <c r="M1236" s="3"/>
      <c r="N1236" s="3"/>
      <c r="O1236" s="3"/>
    </row>
    <row r="1237" spans="1:15" ht="15">
      <c r="A1237" s="72">
        <v>2</v>
      </c>
      <c r="B1237" s="70">
        <v>13.6808739387</v>
      </c>
      <c r="C1237" s="69">
        <v>-89.195604053899999</v>
      </c>
      <c r="D1237" s="71">
        <v>0</v>
      </c>
      <c r="E1237" s="19">
        <v>0</v>
      </c>
      <c r="F1237" s="19">
        <f t="shared" si="38"/>
        <v>0</v>
      </c>
      <c r="G1237" s="20">
        <v>102</v>
      </c>
      <c r="H1237" s="19" t="str">
        <f t="shared" si="39"/>
        <v>USD</v>
      </c>
      <c r="J1237" s="5"/>
      <c r="K1237" s="3"/>
      <c r="L1237" s="3"/>
      <c r="M1237" s="3"/>
      <c r="N1237" s="3"/>
      <c r="O1237" s="3"/>
    </row>
    <row r="1238" spans="1:15" ht="15">
      <c r="A1238" s="72">
        <v>2</v>
      </c>
      <c r="B1238" s="70">
        <v>13.680830845399999</v>
      </c>
      <c r="C1238" s="69">
        <v>-89.195659417599998</v>
      </c>
      <c r="D1238" s="71">
        <v>0</v>
      </c>
      <c r="E1238" s="19">
        <v>0</v>
      </c>
      <c r="F1238" s="19">
        <f t="shared" si="38"/>
        <v>0</v>
      </c>
      <c r="G1238" s="20">
        <v>102</v>
      </c>
      <c r="H1238" s="19" t="str">
        <f t="shared" si="39"/>
        <v>USD</v>
      </c>
      <c r="J1238" s="5"/>
      <c r="K1238" s="3"/>
      <c r="L1238" s="3"/>
      <c r="M1238" s="3"/>
      <c r="N1238" s="3"/>
      <c r="O1238" s="3"/>
    </row>
    <row r="1239" spans="1:15" ht="15">
      <c r="A1239" s="72">
        <v>2</v>
      </c>
      <c r="B1239" s="70">
        <v>13.680842589699999</v>
      </c>
      <c r="C1239" s="69">
        <v>-89.195777931799995</v>
      </c>
      <c r="D1239" s="71">
        <v>0</v>
      </c>
      <c r="E1239" s="19">
        <v>0</v>
      </c>
      <c r="F1239" s="19">
        <f t="shared" si="38"/>
        <v>0</v>
      </c>
      <c r="G1239" s="20">
        <v>102</v>
      </c>
      <c r="H1239" s="19" t="str">
        <f t="shared" si="39"/>
        <v>USD</v>
      </c>
      <c r="J1239" s="5"/>
      <c r="K1239" s="3"/>
      <c r="L1239" s="3"/>
      <c r="M1239" s="3"/>
      <c r="N1239" s="3"/>
      <c r="O1239" s="3"/>
    </row>
    <row r="1240" spans="1:15" ht="15">
      <c r="A1240" s="72">
        <v>2</v>
      </c>
      <c r="B1240" s="70">
        <v>13.6807379201</v>
      </c>
      <c r="C1240" s="69">
        <v>-89.195822075099997</v>
      </c>
      <c r="D1240" s="71">
        <v>0</v>
      </c>
      <c r="E1240" s="19">
        <v>0</v>
      </c>
      <c r="F1240" s="19">
        <f t="shared" si="38"/>
        <v>0</v>
      </c>
      <c r="G1240" s="20">
        <v>102</v>
      </c>
      <c r="H1240" s="19" t="str">
        <f t="shared" si="39"/>
        <v>USD</v>
      </c>
      <c r="J1240" s="5"/>
      <c r="K1240" s="3"/>
      <c r="L1240" s="3"/>
      <c r="M1240" s="3"/>
      <c r="N1240" s="3"/>
      <c r="O1240" s="3"/>
    </row>
    <row r="1241" spans="1:15" ht="15">
      <c r="A1241" s="72">
        <v>2</v>
      </c>
      <c r="B1241" s="70">
        <v>13.6807360658</v>
      </c>
      <c r="C1241" s="69">
        <v>-89.195748695600003</v>
      </c>
      <c r="D1241" s="71">
        <v>0</v>
      </c>
      <c r="E1241" s="19">
        <v>0</v>
      </c>
      <c r="F1241" s="19">
        <f t="shared" si="38"/>
        <v>0</v>
      </c>
      <c r="G1241" s="20">
        <v>102</v>
      </c>
      <c r="H1241" s="19" t="str">
        <f t="shared" si="39"/>
        <v>USD</v>
      </c>
      <c r="J1241" s="5"/>
      <c r="K1241" s="3"/>
      <c r="L1241" s="3"/>
      <c r="M1241" s="3"/>
      <c r="N1241" s="3"/>
      <c r="O1241" s="3"/>
    </row>
    <row r="1242" spans="1:15" ht="15">
      <c r="A1242" s="72">
        <v>2</v>
      </c>
      <c r="B1242" s="70">
        <v>13.680746060100001</v>
      </c>
      <c r="C1242" s="69">
        <v>-89.195511696300002</v>
      </c>
      <c r="D1242" s="71">
        <v>0</v>
      </c>
      <c r="E1242" s="19">
        <v>0</v>
      </c>
      <c r="F1242" s="19">
        <f t="shared" si="38"/>
        <v>0</v>
      </c>
      <c r="G1242" s="20">
        <v>102</v>
      </c>
      <c r="H1242" s="19" t="str">
        <f t="shared" si="39"/>
        <v>USD</v>
      </c>
      <c r="J1242" s="5"/>
      <c r="K1242" s="3"/>
      <c r="L1242" s="3"/>
      <c r="M1242" s="3"/>
      <c r="N1242" s="3"/>
      <c r="O1242" s="3"/>
    </row>
    <row r="1243" spans="1:15" ht="15">
      <c r="A1243" s="72">
        <v>2</v>
      </c>
      <c r="B1243" s="70">
        <v>13.6808601352</v>
      </c>
      <c r="C1243" s="69">
        <v>-89.195518394399997</v>
      </c>
      <c r="D1243" s="71">
        <v>0</v>
      </c>
      <c r="E1243" s="19">
        <v>0</v>
      </c>
      <c r="F1243" s="19">
        <f t="shared" si="38"/>
        <v>0</v>
      </c>
      <c r="G1243" s="20">
        <v>102</v>
      </c>
      <c r="H1243" s="19" t="str">
        <f t="shared" si="39"/>
        <v>USD</v>
      </c>
      <c r="J1243" s="5"/>
      <c r="K1243" s="3"/>
      <c r="L1243" s="3"/>
      <c r="M1243" s="3"/>
      <c r="N1243" s="3"/>
      <c r="O1243" s="3"/>
    </row>
    <row r="1244" spans="1:15" ht="15">
      <c r="A1244" s="72">
        <v>1</v>
      </c>
      <c r="B1244" s="70">
        <v>13.680792780999999</v>
      </c>
      <c r="C1244" s="69">
        <v>-89.195406071199997</v>
      </c>
      <c r="D1244" s="71">
        <v>0</v>
      </c>
      <c r="E1244" s="19">
        <v>0</v>
      </c>
      <c r="F1244" s="19">
        <f t="shared" si="38"/>
        <v>0</v>
      </c>
      <c r="G1244" s="20">
        <v>101</v>
      </c>
      <c r="H1244" s="19" t="str">
        <f t="shared" si="39"/>
        <v>USD</v>
      </c>
      <c r="J1244" s="5"/>
      <c r="K1244" s="3"/>
      <c r="L1244" s="3"/>
      <c r="M1244" s="3"/>
      <c r="N1244" s="3"/>
      <c r="O1244" s="3"/>
    </row>
    <row r="1245" spans="1:15" ht="15">
      <c r="A1245" s="72">
        <v>2</v>
      </c>
      <c r="B1245" s="70">
        <v>13.680835867600001</v>
      </c>
      <c r="C1245" s="69">
        <v>-89.195359145699996</v>
      </c>
      <c r="D1245" s="71">
        <v>0</v>
      </c>
      <c r="E1245" s="19">
        <v>0</v>
      </c>
      <c r="F1245" s="19">
        <f t="shared" si="38"/>
        <v>0</v>
      </c>
      <c r="G1245" s="20">
        <v>102</v>
      </c>
      <c r="H1245" s="19" t="str">
        <f t="shared" si="39"/>
        <v>USD</v>
      </c>
      <c r="J1245" s="5"/>
      <c r="K1245" s="3"/>
      <c r="L1245" s="3"/>
      <c r="M1245" s="3"/>
      <c r="N1245" s="3"/>
      <c r="O1245" s="3"/>
    </row>
    <row r="1246" spans="1:15" ht="15">
      <c r="A1246" s="72">
        <v>2</v>
      </c>
      <c r="B1246" s="70">
        <v>13.680838056000001</v>
      </c>
      <c r="C1246" s="69">
        <v>-89.195313654200007</v>
      </c>
      <c r="D1246" s="71">
        <v>0</v>
      </c>
      <c r="E1246" s="19">
        <v>0</v>
      </c>
      <c r="F1246" s="19">
        <f t="shared" si="38"/>
        <v>0</v>
      </c>
      <c r="G1246" s="20">
        <v>102</v>
      </c>
      <c r="H1246" s="19" t="str">
        <f t="shared" si="39"/>
        <v>USD</v>
      </c>
      <c r="J1246" s="5"/>
      <c r="K1246" s="3"/>
      <c r="L1246" s="3"/>
      <c r="M1246" s="3"/>
      <c r="N1246" s="3"/>
      <c r="O1246" s="3"/>
    </row>
    <row r="1247" spans="1:15" ht="15">
      <c r="A1247" s="72">
        <v>2</v>
      </c>
      <c r="B1247" s="70">
        <v>13.680838095</v>
      </c>
      <c r="C1247" s="69">
        <v>-89.195264490900001</v>
      </c>
      <c r="D1247" s="71">
        <v>0</v>
      </c>
      <c r="E1247" s="19">
        <v>0</v>
      </c>
      <c r="F1247" s="19">
        <f t="shared" si="38"/>
        <v>0</v>
      </c>
      <c r="G1247" s="20">
        <v>102</v>
      </c>
      <c r="H1247" s="19" t="str">
        <f t="shared" si="39"/>
        <v>USD</v>
      </c>
      <c r="J1247" s="5"/>
      <c r="K1247" s="3"/>
      <c r="L1247" s="3"/>
      <c r="M1247" s="3"/>
      <c r="N1247" s="3"/>
      <c r="O1247" s="3"/>
    </row>
    <row r="1248" spans="1:15" ht="15">
      <c r="A1248" s="72">
        <v>2</v>
      </c>
      <c r="B1248" s="70">
        <v>13.6808366986</v>
      </c>
      <c r="C1248" s="69">
        <v>-89.195215327300005</v>
      </c>
      <c r="D1248" s="71">
        <v>0</v>
      </c>
      <c r="E1248" s="19">
        <v>0</v>
      </c>
      <c r="F1248" s="19">
        <f t="shared" si="38"/>
        <v>0</v>
      </c>
      <c r="G1248" s="20">
        <v>102</v>
      </c>
      <c r="H1248" s="19" t="str">
        <f t="shared" si="39"/>
        <v>USD</v>
      </c>
      <c r="J1248" s="5"/>
      <c r="K1248" s="3"/>
      <c r="L1248" s="3"/>
      <c r="M1248" s="3"/>
      <c r="N1248" s="3"/>
      <c r="O1248" s="3"/>
    </row>
    <row r="1249" spans="1:15" ht="15">
      <c r="A1249" s="72">
        <v>2</v>
      </c>
      <c r="B1249" s="70">
        <v>13.680836744</v>
      </c>
      <c r="C1249" s="69">
        <v>-89.1951580928</v>
      </c>
      <c r="D1249" s="71">
        <v>0</v>
      </c>
      <c r="E1249" s="19">
        <v>0</v>
      </c>
      <c r="F1249" s="19">
        <f t="shared" si="38"/>
        <v>0</v>
      </c>
      <c r="G1249" s="20">
        <v>102</v>
      </c>
      <c r="H1249" s="19" t="str">
        <f t="shared" si="39"/>
        <v>USD</v>
      </c>
      <c r="J1249" s="5"/>
      <c r="K1249" s="3"/>
      <c r="L1249" s="3"/>
      <c r="M1249" s="3"/>
      <c r="N1249" s="3"/>
      <c r="O1249" s="3"/>
    </row>
    <row r="1250" spans="1:15" ht="15">
      <c r="A1250" s="72">
        <v>1</v>
      </c>
      <c r="B1250" s="70">
        <v>13.6808375054</v>
      </c>
      <c r="C1250" s="69">
        <v>-89.195103060799994</v>
      </c>
      <c r="D1250" s="71">
        <v>0</v>
      </c>
      <c r="E1250" s="19">
        <v>0</v>
      </c>
      <c r="F1250" s="19">
        <f t="shared" si="38"/>
        <v>0</v>
      </c>
      <c r="G1250" s="20">
        <v>101</v>
      </c>
      <c r="H1250" s="19" t="str">
        <f t="shared" si="39"/>
        <v>USD</v>
      </c>
      <c r="J1250" s="5"/>
      <c r="K1250" s="3"/>
      <c r="L1250" s="3"/>
      <c r="M1250" s="3"/>
      <c r="N1250" s="3"/>
      <c r="O1250" s="3"/>
    </row>
    <row r="1251" spans="1:15" ht="15">
      <c r="A1251" s="72">
        <v>2</v>
      </c>
      <c r="B1251" s="70">
        <v>13.6808332589</v>
      </c>
      <c r="C1251" s="69">
        <v>-89.195029973299995</v>
      </c>
      <c r="D1251" s="71">
        <v>0</v>
      </c>
      <c r="E1251" s="19">
        <v>0</v>
      </c>
      <c r="F1251" s="19">
        <f t="shared" si="38"/>
        <v>0</v>
      </c>
      <c r="G1251" s="20">
        <v>102</v>
      </c>
      <c r="H1251" s="19" t="str">
        <f t="shared" si="39"/>
        <v>USD</v>
      </c>
      <c r="J1251" s="5"/>
      <c r="K1251" s="3"/>
      <c r="L1251" s="3"/>
      <c r="M1251" s="3"/>
      <c r="N1251" s="3"/>
      <c r="O1251" s="3"/>
    </row>
    <row r="1252" spans="1:15" ht="15">
      <c r="A1252" s="72">
        <v>2</v>
      </c>
      <c r="B1252" s="70">
        <v>13.6808318625</v>
      </c>
      <c r="C1252" s="69">
        <v>-89.194980809699999</v>
      </c>
      <c r="D1252" s="71">
        <v>0</v>
      </c>
      <c r="E1252" s="19">
        <v>0</v>
      </c>
      <c r="F1252" s="19">
        <f t="shared" si="38"/>
        <v>0</v>
      </c>
      <c r="G1252" s="20">
        <v>102</v>
      </c>
      <c r="H1252" s="19" t="str">
        <f t="shared" si="39"/>
        <v>USD</v>
      </c>
      <c r="J1252" s="5"/>
      <c r="K1252" s="3"/>
      <c r="L1252" s="3"/>
      <c r="M1252" s="3"/>
      <c r="N1252" s="3"/>
      <c r="O1252" s="3"/>
    </row>
    <row r="1253" spans="1:15" ht="15">
      <c r="A1253" s="72">
        <v>2</v>
      </c>
      <c r="B1253" s="70">
        <v>13.6808326197</v>
      </c>
      <c r="C1253" s="69">
        <v>-89.194930913899995</v>
      </c>
      <c r="D1253" s="71">
        <v>0</v>
      </c>
      <c r="E1253" s="19">
        <v>0</v>
      </c>
      <c r="F1253" s="19">
        <f t="shared" si="38"/>
        <v>0</v>
      </c>
      <c r="G1253" s="20">
        <v>102</v>
      </c>
      <c r="H1253" s="19" t="str">
        <f t="shared" si="39"/>
        <v>USD</v>
      </c>
      <c r="J1253" s="5"/>
      <c r="K1253" s="3"/>
      <c r="L1253" s="3"/>
      <c r="M1253" s="3"/>
      <c r="N1253" s="3"/>
      <c r="O1253" s="3"/>
    </row>
    <row r="1254" spans="1:15" ht="15">
      <c r="A1254" s="72">
        <v>2</v>
      </c>
      <c r="B1254" s="70">
        <v>13.6808290728</v>
      </c>
      <c r="C1254" s="69">
        <v>-89.194879546500005</v>
      </c>
      <c r="D1254" s="71">
        <v>0</v>
      </c>
      <c r="E1254" s="19">
        <v>0</v>
      </c>
      <c r="F1254" s="19">
        <f t="shared" si="38"/>
        <v>0</v>
      </c>
      <c r="G1254" s="20">
        <v>102</v>
      </c>
      <c r="H1254" s="19" t="str">
        <f t="shared" si="39"/>
        <v>USD</v>
      </c>
      <c r="J1254" s="5"/>
      <c r="K1254" s="3"/>
      <c r="L1254" s="3"/>
      <c r="M1254" s="3"/>
      <c r="N1254" s="3"/>
      <c r="O1254" s="3"/>
    </row>
    <row r="1255" spans="1:15" ht="15">
      <c r="A1255" s="72">
        <v>2</v>
      </c>
      <c r="B1255" s="70">
        <v>13.681078852400001</v>
      </c>
      <c r="C1255" s="69">
        <v>-89.194459791200003</v>
      </c>
      <c r="D1255" s="71">
        <v>0</v>
      </c>
      <c r="E1255" s="19">
        <v>0</v>
      </c>
      <c r="F1255" s="19">
        <f t="shared" si="38"/>
        <v>0</v>
      </c>
      <c r="G1255" s="20">
        <v>102</v>
      </c>
      <c r="H1255" s="19" t="str">
        <f t="shared" si="39"/>
        <v>USD</v>
      </c>
      <c r="J1255" s="5"/>
      <c r="K1255" s="3"/>
      <c r="L1255" s="3"/>
      <c r="M1255" s="3"/>
      <c r="N1255" s="3"/>
      <c r="O1255" s="3"/>
    </row>
    <row r="1256" spans="1:15" ht="15">
      <c r="A1256" s="72">
        <v>2</v>
      </c>
      <c r="B1256" s="70">
        <v>13.6811019186</v>
      </c>
      <c r="C1256" s="69">
        <v>-89.194506820699999</v>
      </c>
      <c r="D1256" s="71">
        <v>0</v>
      </c>
      <c r="E1256" s="19">
        <v>0</v>
      </c>
      <c r="F1256" s="19">
        <f t="shared" si="38"/>
        <v>0</v>
      </c>
      <c r="G1256" s="20">
        <v>102</v>
      </c>
      <c r="H1256" s="19" t="str">
        <f t="shared" si="39"/>
        <v>USD</v>
      </c>
      <c r="J1256" s="5"/>
      <c r="K1256" s="3"/>
      <c r="L1256" s="3"/>
      <c r="M1256" s="3"/>
      <c r="N1256" s="3"/>
      <c r="O1256" s="3"/>
    </row>
    <row r="1257" spans="1:15" ht="15">
      <c r="A1257" s="72">
        <v>2</v>
      </c>
      <c r="B1257" s="70">
        <v>13.6807608667</v>
      </c>
      <c r="C1257" s="69">
        <v>-89.1945126528</v>
      </c>
      <c r="D1257" s="71">
        <v>0</v>
      </c>
      <c r="E1257" s="19">
        <v>0</v>
      </c>
      <c r="F1257" s="19">
        <f t="shared" si="38"/>
        <v>0</v>
      </c>
      <c r="G1257" s="20">
        <v>102</v>
      </c>
      <c r="H1257" s="19" t="str">
        <f t="shared" si="39"/>
        <v>USD</v>
      </c>
      <c r="J1257" s="5"/>
      <c r="K1257" s="3"/>
      <c r="L1257" s="3"/>
      <c r="M1257" s="3"/>
      <c r="N1257" s="3"/>
      <c r="O1257" s="3"/>
    </row>
    <row r="1258" spans="1:15" ht="15">
      <c r="A1258" s="72">
        <v>1</v>
      </c>
      <c r="B1258" s="70">
        <v>13.6808678682</v>
      </c>
      <c r="C1258" s="69">
        <v>-89.1945439271</v>
      </c>
      <c r="D1258" s="71">
        <v>0</v>
      </c>
      <c r="E1258" s="19">
        <v>0</v>
      </c>
      <c r="F1258" s="19">
        <f t="shared" si="38"/>
        <v>0</v>
      </c>
      <c r="G1258" s="20">
        <v>101</v>
      </c>
      <c r="H1258" s="19" t="str">
        <f t="shared" si="39"/>
        <v>USD</v>
      </c>
      <c r="J1258" s="5"/>
      <c r="K1258" s="3"/>
      <c r="L1258" s="3"/>
      <c r="M1258" s="3"/>
      <c r="N1258" s="3"/>
      <c r="O1258" s="3"/>
    </row>
    <row r="1259" spans="1:15" ht="15">
      <c r="A1259" s="72">
        <v>2</v>
      </c>
      <c r="B1259" s="70">
        <v>13.681048433300001</v>
      </c>
      <c r="C1259" s="69">
        <v>-89.194547133599997</v>
      </c>
      <c r="D1259" s="71">
        <v>0</v>
      </c>
      <c r="E1259" s="19">
        <v>0</v>
      </c>
      <c r="F1259" s="19">
        <f t="shared" si="38"/>
        <v>0</v>
      </c>
      <c r="G1259" s="20">
        <v>102</v>
      </c>
      <c r="H1259" s="19" t="str">
        <f t="shared" si="39"/>
        <v>USD</v>
      </c>
      <c r="J1259" s="5"/>
      <c r="K1259" s="3"/>
      <c r="L1259" s="3"/>
      <c r="M1259" s="3"/>
      <c r="N1259" s="3"/>
      <c r="O1259" s="3"/>
    </row>
    <row r="1260" spans="1:15" ht="15">
      <c r="A1260" s="72">
        <v>2</v>
      </c>
      <c r="B1260" s="70">
        <v>13.6809808623</v>
      </c>
      <c r="C1260" s="69">
        <v>-89.194557473000003</v>
      </c>
      <c r="D1260" s="71">
        <v>0</v>
      </c>
      <c r="E1260" s="19">
        <v>0</v>
      </c>
      <c r="F1260" s="19">
        <f t="shared" si="38"/>
        <v>0</v>
      </c>
      <c r="G1260" s="20">
        <v>102</v>
      </c>
      <c r="H1260" s="19" t="str">
        <f t="shared" si="39"/>
        <v>USD</v>
      </c>
      <c r="J1260" s="5"/>
      <c r="K1260" s="3"/>
      <c r="L1260" s="3"/>
      <c r="M1260" s="3"/>
      <c r="N1260" s="3"/>
      <c r="O1260" s="3"/>
    </row>
    <row r="1261" spans="1:15" ht="15">
      <c r="A1261" s="72">
        <v>2</v>
      </c>
      <c r="B1261" s="70">
        <v>13.6809025351</v>
      </c>
      <c r="C1261" s="69">
        <v>-89.194558019300004</v>
      </c>
      <c r="D1261" s="71">
        <v>0</v>
      </c>
      <c r="E1261" s="19">
        <v>0</v>
      </c>
      <c r="F1261" s="19">
        <f t="shared" si="38"/>
        <v>0</v>
      </c>
      <c r="G1261" s="20">
        <v>102</v>
      </c>
      <c r="H1261" s="19" t="str">
        <f t="shared" si="39"/>
        <v>USD</v>
      </c>
      <c r="J1261" s="5"/>
      <c r="K1261" s="3"/>
      <c r="L1261" s="3"/>
      <c r="M1261" s="3"/>
      <c r="N1261" s="3"/>
      <c r="O1261" s="3"/>
    </row>
    <row r="1262" spans="1:15" ht="15">
      <c r="A1262" s="72">
        <v>2</v>
      </c>
      <c r="B1262" s="70">
        <v>13.6809139624</v>
      </c>
      <c r="C1262" s="69">
        <v>-89.194473645299993</v>
      </c>
      <c r="D1262" s="71">
        <v>0</v>
      </c>
      <c r="E1262" s="19">
        <v>0</v>
      </c>
      <c r="F1262" s="19">
        <f t="shared" si="38"/>
        <v>0</v>
      </c>
      <c r="G1262" s="20">
        <v>102</v>
      </c>
      <c r="H1262" s="19" t="str">
        <f t="shared" si="39"/>
        <v>USD</v>
      </c>
      <c r="J1262" s="5"/>
      <c r="K1262" s="3"/>
      <c r="L1262" s="3"/>
      <c r="M1262" s="3"/>
      <c r="N1262" s="3"/>
      <c r="O1262" s="3"/>
    </row>
    <row r="1263" spans="1:15" ht="15">
      <c r="A1263" s="72">
        <v>2</v>
      </c>
      <c r="B1263" s="70">
        <v>13.6808559755</v>
      </c>
      <c r="C1263" s="69">
        <v>-89.194460144900006</v>
      </c>
      <c r="D1263" s="71">
        <v>0</v>
      </c>
      <c r="E1263" s="19">
        <v>0</v>
      </c>
      <c r="F1263" s="19">
        <f t="shared" si="38"/>
        <v>0</v>
      </c>
      <c r="G1263" s="20">
        <v>102</v>
      </c>
      <c r="H1263" s="19" t="str">
        <f t="shared" si="39"/>
        <v>USD</v>
      </c>
      <c r="J1263" s="5"/>
      <c r="K1263" s="3"/>
      <c r="L1263" s="3"/>
      <c r="M1263" s="3"/>
      <c r="N1263" s="3"/>
      <c r="O1263" s="3"/>
    </row>
    <row r="1264" spans="1:15" ht="15">
      <c r="A1264" s="72">
        <v>2</v>
      </c>
      <c r="B1264" s="70">
        <v>13.680799799900001</v>
      </c>
      <c r="C1264" s="69">
        <v>-89.194425244499996</v>
      </c>
      <c r="D1264" s="71">
        <v>0</v>
      </c>
      <c r="E1264" s="19">
        <v>0</v>
      </c>
      <c r="F1264" s="19">
        <f t="shared" si="38"/>
        <v>0</v>
      </c>
      <c r="G1264" s="20">
        <v>102</v>
      </c>
      <c r="H1264" s="19" t="str">
        <f t="shared" si="39"/>
        <v>USD</v>
      </c>
      <c r="J1264" s="5"/>
      <c r="K1264" s="3"/>
      <c r="L1264" s="3"/>
      <c r="M1264" s="3"/>
      <c r="N1264" s="3"/>
      <c r="O1264" s="3"/>
    </row>
    <row r="1265" spans="1:15" ht="15">
      <c r="A1265" s="72">
        <v>2</v>
      </c>
      <c r="B1265" s="70">
        <v>13.6808182546</v>
      </c>
      <c r="C1265" s="69">
        <v>-89.194526764599999</v>
      </c>
      <c r="D1265" s="71">
        <v>0</v>
      </c>
      <c r="E1265" s="19">
        <v>0</v>
      </c>
      <c r="F1265" s="19">
        <f t="shared" si="38"/>
        <v>0</v>
      </c>
      <c r="G1265" s="20">
        <v>102</v>
      </c>
      <c r="H1265" s="19" t="str">
        <f t="shared" si="39"/>
        <v>USD</v>
      </c>
      <c r="J1265" s="5"/>
      <c r="K1265" s="3"/>
      <c r="L1265" s="3"/>
      <c r="M1265" s="3"/>
      <c r="N1265" s="3"/>
      <c r="O1265" s="3"/>
    </row>
    <row r="1266" spans="1:15" ht="15">
      <c r="A1266" s="72">
        <v>2</v>
      </c>
      <c r="B1266" s="70">
        <v>13.680774657600001</v>
      </c>
      <c r="C1266" s="69">
        <v>-89.194463746799997</v>
      </c>
      <c r="D1266" s="71">
        <v>0</v>
      </c>
      <c r="E1266" s="19">
        <v>0</v>
      </c>
      <c r="F1266" s="19">
        <f t="shared" si="38"/>
        <v>0</v>
      </c>
      <c r="G1266" s="20">
        <v>102</v>
      </c>
      <c r="H1266" s="19" t="str">
        <f t="shared" si="39"/>
        <v>USD</v>
      </c>
      <c r="J1266" s="5"/>
      <c r="K1266" s="3"/>
      <c r="L1266" s="3"/>
      <c r="M1266" s="3"/>
      <c r="N1266" s="3"/>
      <c r="O1266" s="3"/>
    </row>
    <row r="1267" spans="1:15" ht="15">
      <c r="A1267" s="72">
        <v>2</v>
      </c>
      <c r="B1267" s="70">
        <v>13.6812598759</v>
      </c>
      <c r="C1267" s="69">
        <v>-89.196026188299996</v>
      </c>
      <c r="D1267" s="71">
        <v>0</v>
      </c>
      <c r="E1267" s="19">
        <v>0</v>
      </c>
      <c r="F1267" s="19">
        <f t="shared" si="38"/>
        <v>0</v>
      </c>
      <c r="G1267" s="20">
        <v>102</v>
      </c>
      <c r="H1267" s="19" t="str">
        <f t="shared" si="39"/>
        <v>USD</v>
      </c>
      <c r="J1267" s="5"/>
      <c r="K1267" s="3"/>
      <c r="L1267" s="3"/>
      <c r="M1267" s="3"/>
      <c r="N1267" s="3"/>
      <c r="O1267" s="3"/>
    </row>
    <row r="1268" spans="1:15" ht="15">
      <c r="A1268" s="72">
        <v>2</v>
      </c>
      <c r="B1268" s="70">
        <v>13.681313679700001</v>
      </c>
      <c r="C1268" s="69">
        <v>-89.196035772399995</v>
      </c>
      <c r="D1268" s="71">
        <v>0</v>
      </c>
      <c r="E1268" s="19">
        <v>0</v>
      </c>
      <c r="F1268" s="19">
        <f t="shared" si="38"/>
        <v>0</v>
      </c>
      <c r="G1268" s="20">
        <v>102</v>
      </c>
      <c r="H1268" s="19" t="str">
        <f t="shared" si="39"/>
        <v>USD</v>
      </c>
      <c r="J1268" s="5"/>
      <c r="K1268" s="3"/>
      <c r="L1268" s="3"/>
      <c r="M1268" s="3"/>
      <c r="N1268" s="3"/>
      <c r="O1268" s="3"/>
    </row>
    <row r="1269" spans="1:15" ht="15">
      <c r="A1269" s="72">
        <v>2</v>
      </c>
      <c r="B1269" s="70">
        <v>13.681379676300001</v>
      </c>
      <c r="C1269" s="69">
        <v>-89.196051236900004</v>
      </c>
      <c r="D1269" s="71">
        <v>0</v>
      </c>
      <c r="E1269" s="19">
        <v>0</v>
      </c>
      <c r="F1269" s="19">
        <f t="shared" si="38"/>
        <v>0</v>
      </c>
      <c r="G1269" s="20">
        <v>102</v>
      </c>
      <c r="H1269" s="19" t="str">
        <f t="shared" si="39"/>
        <v>USD</v>
      </c>
      <c r="J1269" s="5"/>
      <c r="K1269" s="3"/>
      <c r="L1269" s="3"/>
      <c r="M1269" s="3"/>
      <c r="N1269" s="3"/>
      <c r="O1269" s="3"/>
    </row>
    <row r="1270" spans="1:15" ht="15">
      <c r="A1270" s="72">
        <v>1</v>
      </c>
      <c r="B1270" s="70">
        <v>13.6814779771</v>
      </c>
      <c r="C1270" s="69">
        <v>-89.196045448700005</v>
      </c>
      <c r="D1270" s="71">
        <v>0</v>
      </c>
      <c r="E1270" s="19">
        <v>0</v>
      </c>
      <c r="F1270" s="19">
        <f t="shared" si="38"/>
        <v>0</v>
      </c>
      <c r="G1270" s="20">
        <v>101</v>
      </c>
      <c r="H1270" s="19" t="str">
        <f t="shared" si="39"/>
        <v>USD</v>
      </c>
      <c r="J1270" s="5"/>
      <c r="K1270" s="3"/>
      <c r="L1270" s="3"/>
      <c r="M1270" s="3"/>
      <c r="N1270" s="3"/>
      <c r="O1270" s="3"/>
    </row>
    <row r="1271" spans="1:15" ht="15">
      <c r="A1271" s="72">
        <v>2</v>
      </c>
      <c r="B1271" s="70">
        <v>13.6815472511</v>
      </c>
      <c r="C1271" s="69">
        <v>-89.196029485899999</v>
      </c>
      <c r="D1271" s="71">
        <v>0</v>
      </c>
      <c r="E1271" s="19">
        <v>0</v>
      </c>
      <c r="F1271" s="19">
        <f t="shared" si="38"/>
        <v>0</v>
      </c>
      <c r="G1271" s="20">
        <v>102</v>
      </c>
      <c r="H1271" s="19" t="str">
        <f t="shared" si="39"/>
        <v>USD</v>
      </c>
      <c r="J1271" s="5"/>
      <c r="K1271" s="3"/>
      <c r="L1271" s="3"/>
      <c r="M1271" s="3"/>
      <c r="N1271" s="3"/>
      <c r="O1271" s="3"/>
    </row>
    <row r="1272" spans="1:15" ht="15">
      <c r="A1272" s="72">
        <v>2</v>
      </c>
      <c r="B1272" s="70">
        <v>13.682052365600001</v>
      </c>
      <c r="C1272" s="69">
        <v>-89.195764191400002</v>
      </c>
      <c r="D1272" s="71">
        <v>0</v>
      </c>
      <c r="E1272" s="19">
        <v>0</v>
      </c>
      <c r="F1272" s="19">
        <f t="shared" si="38"/>
        <v>0</v>
      </c>
      <c r="G1272" s="20">
        <v>102</v>
      </c>
      <c r="H1272" s="19" t="str">
        <f t="shared" si="39"/>
        <v>USD</v>
      </c>
      <c r="J1272" s="5"/>
      <c r="K1272" s="3"/>
      <c r="L1272" s="3"/>
      <c r="M1272" s="3"/>
      <c r="N1272" s="3"/>
      <c r="O1272" s="3"/>
    </row>
    <row r="1273" spans="1:15" ht="15">
      <c r="A1273" s="72">
        <v>2</v>
      </c>
      <c r="B1273" s="70">
        <v>13.682007180699999</v>
      </c>
      <c r="C1273" s="69">
        <v>-89.195742140999997</v>
      </c>
      <c r="D1273" s="71">
        <v>0</v>
      </c>
      <c r="E1273" s="19">
        <v>0</v>
      </c>
      <c r="F1273" s="19">
        <f t="shared" si="38"/>
        <v>0</v>
      </c>
      <c r="G1273" s="20">
        <v>102</v>
      </c>
      <c r="H1273" s="19" t="str">
        <f t="shared" si="39"/>
        <v>USD</v>
      </c>
      <c r="J1273" s="5"/>
      <c r="K1273" s="3"/>
      <c r="L1273" s="3"/>
      <c r="M1273" s="3"/>
      <c r="N1273" s="3"/>
      <c r="O1273" s="3"/>
    </row>
    <row r="1274" spans="1:15" ht="15">
      <c r="A1274" s="72">
        <v>2</v>
      </c>
      <c r="B1274" s="70">
        <v>13.6820919469</v>
      </c>
      <c r="C1274" s="69">
        <v>-89.195613800299995</v>
      </c>
      <c r="D1274" s="71">
        <v>0</v>
      </c>
      <c r="E1274" s="19">
        <v>0</v>
      </c>
      <c r="F1274" s="19">
        <f t="shared" si="38"/>
        <v>0</v>
      </c>
      <c r="G1274" s="20">
        <v>102</v>
      </c>
      <c r="H1274" s="19" t="str">
        <f t="shared" si="39"/>
        <v>USD</v>
      </c>
      <c r="J1274" s="5"/>
      <c r="K1274" s="3"/>
      <c r="L1274" s="3"/>
      <c r="M1274" s="3"/>
      <c r="N1274" s="3"/>
      <c r="O1274" s="3"/>
    </row>
    <row r="1275" spans="1:15" ht="15">
      <c r="A1275" s="72">
        <v>2</v>
      </c>
      <c r="B1275" s="70">
        <v>13.6820431892</v>
      </c>
      <c r="C1275" s="69">
        <v>-89.195574136399998</v>
      </c>
      <c r="D1275" s="71">
        <v>0</v>
      </c>
      <c r="E1275" s="19">
        <v>0</v>
      </c>
      <c r="F1275" s="19">
        <f t="shared" si="38"/>
        <v>0</v>
      </c>
      <c r="G1275" s="20">
        <v>102</v>
      </c>
      <c r="H1275" s="19" t="str">
        <f t="shared" si="39"/>
        <v>USD</v>
      </c>
      <c r="J1275" s="5"/>
      <c r="K1275" s="3"/>
      <c r="L1275" s="3"/>
      <c r="M1275" s="3"/>
      <c r="N1275" s="3"/>
      <c r="O1275" s="3"/>
    </row>
    <row r="1276" spans="1:15" ht="15">
      <c r="A1276" s="72">
        <v>2</v>
      </c>
      <c r="B1276" s="70">
        <v>13.679760164499999</v>
      </c>
      <c r="C1276" s="69">
        <v>-89.193649049499996</v>
      </c>
      <c r="D1276" s="71">
        <v>0</v>
      </c>
      <c r="E1276" s="19">
        <v>0</v>
      </c>
      <c r="F1276" s="19">
        <f t="shared" si="38"/>
        <v>0</v>
      </c>
      <c r="G1276" s="20">
        <v>102</v>
      </c>
      <c r="H1276" s="19" t="str">
        <f t="shared" si="39"/>
        <v>USD</v>
      </c>
      <c r="J1276" s="5"/>
      <c r="K1276" s="3"/>
      <c r="L1276" s="3"/>
      <c r="M1276" s="3"/>
      <c r="N1276" s="3"/>
      <c r="O1276" s="3"/>
    </row>
    <row r="1277" spans="1:15" ht="15">
      <c r="A1277" s="72">
        <v>2</v>
      </c>
      <c r="B1277" s="70">
        <v>13.680380980600001</v>
      </c>
      <c r="C1277" s="69">
        <v>-89.194018158399999</v>
      </c>
      <c r="D1277" s="71">
        <v>0</v>
      </c>
      <c r="E1277" s="19">
        <v>0</v>
      </c>
      <c r="F1277" s="19">
        <f t="shared" si="38"/>
        <v>0</v>
      </c>
      <c r="G1277" s="20">
        <v>102</v>
      </c>
      <c r="H1277" s="19" t="str">
        <f t="shared" si="39"/>
        <v>USD</v>
      </c>
      <c r="J1277" s="5"/>
      <c r="K1277" s="3"/>
      <c r="L1277" s="3"/>
      <c r="M1277" s="3"/>
      <c r="N1277" s="3"/>
      <c r="O1277" s="3"/>
    </row>
    <row r="1278" spans="1:15" ht="15">
      <c r="A1278" s="72">
        <v>2</v>
      </c>
      <c r="B1278" s="70">
        <v>13.6803116515</v>
      </c>
      <c r="C1278" s="69">
        <v>-89.193982635300003</v>
      </c>
      <c r="D1278" s="71">
        <v>0</v>
      </c>
      <c r="E1278" s="19">
        <v>0</v>
      </c>
      <c r="F1278" s="19">
        <f t="shared" si="38"/>
        <v>0</v>
      </c>
      <c r="G1278" s="20">
        <v>102</v>
      </c>
      <c r="H1278" s="19" t="str">
        <f t="shared" si="39"/>
        <v>USD</v>
      </c>
      <c r="J1278" s="5"/>
      <c r="K1278" s="3"/>
      <c r="L1278" s="3"/>
      <c r="M1278" s="3"/>
      <c r="N1278" s="3"/>
      <c r="O1278" s="3"/>
    </row>
    <row r="1279" spans="1:15" ht="15">
      <c r="A1279" s="72">
        <v>2</v>
      </c>
      <c r="B1279" s="70">
        <v>13.6802148382</v>
      </c>
      <c r="C1279" s="69">
        <v>-89.193921407900007</v>
      </c>
      <c r="D1279" s="71">
        <v>0</v>
      </c>
      <c r="E1279" s="19">
        <v>0</v>
      </c>
      <c r="F1279" s="19">
        <f t="shared" si="38"/>
        <v>0</v>
      </c>
      <c r="G1279" s="20">
        <v>102</v>
      </c>
      <c r="H1279" s="19" t="str">
        <f t="shared" si="39"/>
        <v>USD</v>
      </c>
      <c r="J1279" s="5"/>
      <c r="K1279" s="3"/>
      <c r="L1279" s="3"/>
      <c r="M1279" s="3"/>
      <c r="N1279" s="3"/>
      <c r="O1279" s="3"/>
    </row>
    <row r="1280" spans="1:15" ht="15">
      <c r="A1280" s="72">
        <v>2</v>
      </c>
      <c r="B1280" s="70">
        <v>13.680150314800001</v>
      </c>
      <c r="C1280" s="69">
        <v>-89.193857761100006</v>
      </c>
      <c r="D1280" s="71">
        <v>0</v>
      </c>
      <c r="E1280" s="19">
        <v>0</v>
      </c>
      <c r="F1280" s="19">
        <f t="shared" si="38"/>
        <v>0</v>
      </c>
      <c r="G1280" s="20">
        <v>102</v>
      </c>
      <c r="H1280" s="19" t="str">
        <f t="shared" si="39"/>
        <v>USD</v>
      </c>
      <c r="J1280" s="5"/>
      <c r="K1280" s="3"/>
      <c r="L1280" s="3"/>
      <c r="M1280" s="3"/>
      <c r="N1280" s="3"/>
      <c r="O1280" s="3"/>
    </row>
    <row r="1281" spans="1:15" ht="15">
      <c r="A1281" s="72">
        <v>2</v>
      </c>
      <c r="B1281" s="70">
        <v>13.6800427316</v>
      </c>
      <c r="C1281" s="69">
        <v>-89.193806308999996</v>
      </c>
      <c r="D1281" s="71">
        <v>0</v>
      </c>
      <c r="E1281" s="19">
        <v>0</v>
      </c>
      <c r="F1281" s="19">
        <f t="shared" ref="F1281:F1298" si="40">D1281</f>
        <v>0</v>
      </c>
      <c r="G1281" s="20">
        <v>102</v>
      </c>
      <c r="H1281" s="19" t="str">
        <f t="shared" ref="H1281:H1302" si="41">IF(OR(A1281&lt;17,A1281=21),"USD","people")</f>
        <v>USD</v>
      </c>
      <c r="J1281" s="5"/>
      <c r="K1281" s="3"/>
      <c r="L1281" s="3"/>
      <c r="M1281" s="3"/>
      <c r="N1281" s="3"/>
      <c r="O1281" s="3"/>
    </row>
    <row r="1282" spans="1:15" ht="15">
      <c r="A1282" s="72">
        <v>2</v>
      </c>
      <c r="B1282" s="70">
        <v>13.679853891200001</v>
      </c>
      <c r="C1282" s="69">
        <v>-89.193681412399997</v>
      </c>
      <c r="D1282" s="71">
        <v>0</v>
      </c>
      <c r="E1282" s="19">
        <v>0</v>
      </c>
      <c r="F1282" s="19">
        <f t="shared" si="40"/>
        <v>0</v>
      </c>
      <c r="G1282" s="20">
        <v>102</v>
      </c>
      <c r="H1282" s="19" t="str">
        <f t="shared" si="41"/>
        <v>USD</v>
      </c>
      <c r="J1282" s="5"/>
      <c r="K1282" s="3"/>
      <c r="L1282" s="3"/>
      <c r="M1282" s="3"/>
      <c r="N1282" s="3"/>
      <c r="O1282" s="3"/>
    </row>
    <row r="1283" spans="1:15" ht="15">
      <c r="A1283" s="72">
        <v>2</v>
      </c>
      <c r="B1283" s="70">
        <v>13.680130046</v>
      </c>
      <c r="C1283" s="69">
        <v>-89.193907274500006</v>
      </c>
      <c r="D1283" s="71">
        <v>0</v>
      </c>
      <c r="E1283" s="19">
        <v>0</v>
      </c>
      <c r="F1283" s="19">
        <f t="shared" si="40"/>
        <v>0</v>
      </c>
      <c r="G1283" s="20">
        <v>102</v>
      </c>
      <c r="H1283" s="19" t="str">
        <f t="shared" si="41"/>
        <v>USD</v>
      </c>
      <c r="J1283" s="5"/>
      <c r="K1283" s="3"/>
      <c r="L1283" s="3"/>
      <c r="M1283" s="3"/>
      <c r="N1283" s="3"/>
      <c r="O1283" s="3"/>
    </row>
    <row r="1284" spans="1:15" ht="15">
      <c r="A1284" s="72">
        <v>2</v>
      </c>
      <c r="B1284" s="70">
        <v>13.679824590200001</v>
      </c>
      <c r="C1284" s="69">
        <v>-89.193750656000006</v>
      </c>
      <c r="D1284" s="71">
        <v>0</v>
      </c>
      <c r="E1284" s="19">
        <v>0</v>
      </c>
      <c r="F1284" s="19">
        <f t="shared" si="40"/>
        <v>0</v>
      </c>
      <c r="G1284" s="20">
        <v>102</v>
      </c>
      <c r="H1284" s="19" t="str">
        <f t="shared" si="41"/>
        <v>USD</v>
      </c>
      <c r="J1284" s="5"/>
      <c r="K1284" s="3"/>
      <c r="L1284" s="3"/>
      <c r="M1284" s="3"/>
      <c r="N1284" s="3"/>
      <c r="O1284" s="3"/>
    </row>
    <row r="1285" spans="1:15" ht="15">
      <c r="A1285" s="72">
        <v>2</v>
      </c>
      <c r="B1285" s="70">
        <v>13.679833947500001</v>
      </c>
      <c r="C1285" s="69">
        <v>-89.193712874699997</v>
      </c>
      <c r="D1285" s="71">
        <v>0</v>
      </c>
      <c r="E1285" s="19">
        <v>0</v>
      </c>
      <c r="F1285" s="19">
        <f t="shared" si="40"/>
        <v>0</v>
      </c>
      <c r="G1285" s="20">
        <v>102</v>
      </c>
      <c r="H1285" s="19" t="str">
        <f t="shared" si="41"/>
        <v>USD</v>
      </c>
      <c r="J1285" s="5"/>
      <c r="K1285" s="3"/>
      <c r="L1285" s="3"/>
      <c r="M1285" s="3"/>
      <c r="N1285" s="3"/>
      <c r="O1285" s="3"/>
    </row>
    <row r="1286" spans="1:15" ht="15">
      <c r="A1286" s="72">
        <v>2</v>
      </c>
      <c r="B1286" s="70">
        <v>13.680737993799999</v>
      </c>
      <c r="C1286" s="69">
        <v>-89.194399451600006</v>
      </c>
      <c r="D1286" s="71">
        <v>0</v>
      </c>
      <c r="E1286" s="19">
        <v>0</v>
      </c>
      <c r="F1286" s="19">
        <f t="shared" si="40"/>
        <v>0</v>
      </c>
      <c r="G1286" s="20">
        <v>102</v>
      </c>
      <c r="H1286" s="19" t="str">
        <f t="shared" si="41"/>
        <v>USD</v>
      </c>
      <c r="J1286" s="5"/>
      <c r="K1286" s="3"/>
      <c r="L1286" s="3"/>
      <c r="M1286" s="3"/>
      <c r="N1286" s="3"/>
      <c r="O1286" s="3"/>
    </row>
    <row r="1287" spans="1:15" ht="15">
      <c r="A1287" s="72">
        <v>2</v>
      </c>
      <c r="B1287" s="70">
        <v>13.680675712599999</v>
      </c>
      <c r="C1287" s="69">
        <v>-89.194524141499997</v>
      </c>
      <c r="D1287" s="71">
        <v>0</v>
      </c>
      <c r="E1287" s="19">
        <v>0</v>
      </c>
      <c r="F1287" s="19">
        <f t="shared" si="40"/>
        <v>0</v>
      </c>
      <c r="G1287" s="20">
        <v>102</v>
      </c>
      <c r="H1287" s="19" t="str">
        <f t="shared" si="41"/>
        <v>USD</v>
      </c>
      <c r="J1287" s="5"/>
      <c r="K1287" s="3"/>
      <c r="L1287" s="3"/>
      <c r="M1287" s="3"/>
      <c r="N1287" s="3"/>
      <c r="O1287" s="3"/>
    </row>
    <row r="1288" spans="1:15" ht="15">
      <c r="A1288" s="72">
        <v>1</v>
      </c>
      <c r="B1288" s="70">
        <v>13.680632854700001</v>
      </c>
      <c r="C1288" s="69">
        <v>-89.194281961399994</v>
      </c>
      <c r="D1288" s="71">
        <v>0</v>
      </c>
      <c r="E1288" s="19">
        <v>0</v>
      </c>
      <c r="F1288" s="19">
        <f t="shared" si="40"/>
        <v>0</v>
      </c>
      <c r="G1288" s="20">
        <v>101</v>
      </c>
      <c r="H1288" s="19" t="str">
        <f t="shared" si="41"/>
        <v>USD</v>
      </c>
      <c r="J1288" s="5"/>
      <c r="K1288" s="3"/>
      <c r="L1288" s="3"/>
      <c r="M1288" s="3"/>
      <c r="N1288" s="3"/>
      <c r="O1288" s="3"/>
    </row>
    <row r="1289" spans="1:15" ht="15">
      <c r="A1289" s="72">
        <v>2</v>
      </c>
      <c r="B1289" s="70">
        <v>13.6804297323</v>
      </c>
      <c r="C1289" s="69">
        <v>-89.194071445999995</v>
      </c>
      <c r="D1289" s="71">
        <v>0</v>
      </c>
      <c r="E1289" s="19">
        <v>0</v>
      </c>
      <c r="F1289" s="19">
        <f t="shared" si="40"/>
        <v>0</v>
      </c>
      <c r="G1289" s="20">
        <v>102</v>
      </c>
      <c r="H1289" s="19" t="str">
        <f t="shared" si="41"/>
        <v>USD</v>
      </c>
      <c r="J1289" s="5"/>
      <c r="K1289" s="3"/>
      <c r="L1289" s="3"/>
      <c r="M1289" s="3"/>
      <c r="N1289" s="3"/>
      <c r="O1289" s="3"/>
    </row>
    <row r="1290" spans="1:15" ht="15">
      <c r="A1290" s="72">
        <v>2</v>
      </c>
      <c r="B1290" s="70">
        <v>13.680664480200001</v>
      </c>
      <c r="C1290" s="69">
        <v>-89.194362090799999</v>
      </c>
      <c r="D1290" s="71">
        <v>0</v>
      </c>
      <c r="E1290" s="19">
        <v>0</v>
      </c>
      <c r="F1290" s="19">
        <f t="shared" si="40"/>
        <v>0</v>
      </c>
      <c r="G1290" s="20">
        <v>102</v>
      </c>
      <c r="H1290" s="19" t="str">
        <f t="shared" si="41"/>
        <v>USD</v>
      </c>
      <c r="J1290" s="5"/>
      <c r="K1290" s="3"/>
      <c r="L1290" s="3"/>
      <c r="M1290" s="3"/>
      <c r="N1290" s="3"/>
      <c r="O1290" s="3"/>
    </row>
    <row r="1291" spans="1:15" ht="15">
      <c r="A1291" s="72">
        <v>2</v>
      </c>
      <c r="B1291" s="70">
        <v>13.680627959000001</v>
      </c>
      <c r="C1291" s="69">
        <v>-89.194423819299999</v>
      </c>
      <c r="D1291" s="71">
        <v>0</v>
      </c>
      <c r="E1291" s="19">
        <v>0</v>
      </c>
      <c r="F1291" s="19">
        <f t="shared" si="40"/>
        <v>0</v>
      </c>
      <c r="G1291" s="20">
        <v>102</v>
      </c>
      <c r="H1291" s="19" t="str">
        <f t="shared" si="41"/>
        <v>USD</v>
      </c>
      <c r="J1291" s="5"/>
      <c r="K1291" s="3"/>
      <c r="L1291" s="3"/>
      <c r="M1291" s="3"/>
      <c r="N1291" s="3"/>
      <c r="O1291" s="3"/>
    </row>
    <row r="1292" spans="1:15" ht="15">
      <c r="A1292" s="72">
        <v>2</v>
      </c>
      <c r="B1292" s="70">
        <v>13.6806404738</v>
      </c>
      <c r="C1292" s="69">
        <v>-89.194476417000004</v>
      </c>
      <c r="D1292" s="71">
        <v>0</v>
      </c>
      <c r="E1292" s="19">
        <v>0</v>
      </c>
      <c r="F1292" s="19">
        <f t="shared" si="40"/>
        <v>0</v>
      </c>
      <c r="G1292" s="20">
        <v>102</v>
      </c>
      <c r="H1292" s="19" t="str">
        <f t="shared" si="41"/>
        <v>USD</v>
      </c>
      <c r="J1292" s="5"/>
      <c r="K1292" s="3"/>
      <c r="L1292" s="3"/>
      <c r="M1292" s="3"/>
      <c r="N1292" s="3"/>
      <c r="O1292" s="3"/>
    </row>
    <row r="1293" spans="1:15" ht="15">
      <c r="A1293" s="72">
        <v>2</v>
      </c>
      <c r="B1293" s="70">
        <v>13.6805855884</v>
      </c>
      <c r="C1293" s="69">
        <v>-89.1943222795</v>
      </c>
      <c r="D1293" s="71">
        <v>0</v>
      </c>
      <c r="E1293" s="19">
        <v>0</v>
      </c>
      <c r="F1293" s="19">
        <f t="shared" si="40"/>
        <v>0</v>
      </c>
      <c r="G1293" s="20">
        <v>102</v>
      </c>
      <c r="H1293" s="19" t="str">
        <f t="shared" si="41"/>
        <v>USD</v>
      </c>
      <c r="J1293" s="5"/>
      <c r="K1293" s="3"/>
      <c r="L1293" s="3"/>
      <c r="M1293" s="3"/>
      <c r="N1293" s="3"/>
      <c r="O1293" s="3"/>
    </row>
    <row r="1294" spans="1:15" ht="15">
      <c r="A1294" s="72">
        <v>2</v>
      </c>
      <c r="B1294" s="70">
        <v>13.680563493799999</v>
      </c>
      <c r="C1294" s="69">
        <v>-89.194286795300002</v>
      </c>
      <c r="D1294" s="71">
        <v>0</v>
      </c>
      <c r="E1294" s="19">
        <v>0</v>
      </c>
      <c r="F1294" s="19">
        <f t="shared" si="40"/>
        <v>0</v>
      </c>
      <c r="G1294" s="20">
        <v>102</v>
      </c>
      <c r="H1294" s="19" t="str">
        <f t="shared" si="41"/>
        <v>USD</v>
      </c>
      <c r="J1294" s="5"/>
      <c r="K1294" s="3"/>
      <c r="L1294" s="3"/>
      <c r="M1294" s="3"/>
      <c r="N1294" s="3"/>
      <c r="O1294" s="3"/>
    </row>
    <row r="1295" spans="1:15" ht="15">
      <c r="A1295" s="72">
        <v>1</v>
      </c>
      <c r="B1295" s="70">
        <v>13.6805479844</v>
      </c>
      <c r="C1295" s="69">
        <v>-89.194240922199995</v>
      </c>
      <c r="D1295" s="71">
        <v>0</v>
      </c>
      <c r="E1295" s="19">
        <v>0</v>
      </c>
      <c r="F1295" s="19">
        <f t="shared" si="40"/>
        <v>0</v>
      </c>
      <c r="G1295" s="20">
        <v>101</v>
      </c>
      <c r="H1295" s="19" t="str">
        <f t="shared" si="41"/>
        <v>USD</v>
      </c>
      <c r="J1295" s="5"/>
      <c r="K1295" s="3"/>
      <c r="L1295" s="3"/>
      <c r="M1295" s="3"/>
      <c r="N1295" s="3"/>
      <c r="O1295" s="3"/>
    </row>
    <row r="1296" spans="1:15" ht="15">
      <c r="A1296" s="72">
        <v>2</v>
      </c>
      <c r="B1296" s="70">
        <v>13.6805276875</v>
      </c>
      <c r="C1296" s="69">
        <v>-89.194199936299995</v>
      </c>
      <c r="D1296" s="71">
        <v>0</v>
      </c>
      <c r="E1296" s="19">
        <v>0</v>
      </c>
      <c r="F1296" s="19">
        <f t="shared" si="40"/>
        <v>0</v>
      </c>
      <c r="G1296" s="20">
        <v>102</v>
      </c>
      <c r="H1296" s="19" t="str">
        <f t="shared" si="41"/>
        <v>USD</v>
      </c>
      <c r="J1296" s="5"/>
      <c r="K1296" s="3"/>
      <c r="L1296" s="3"/>
      <c r="M1296" s="3"/>
      <c r="N1296" s="3"/>
      <c r="O1296" s="3"/>
    </row>
    <row r="1297" spans="1:15" ht="15">
      <c r="A1297" s="72">
        <v>2</v>
      </c>
      <c r="B1297" s="70">
        <v>13.6804966305</v>
      </c>
      <c r="C1297" s="69">
        <v>-89.1941564965</v>
      </c>
      <c r="D1297" s="71">
        <v>0</v>
      </c>
      <c r="E1297" s="19">
        <v>0</v>
      </c>
      <c r="F1297" s="19">
        <f t="shared" si="40"/>
        <v>0</v>
      </c>
      <c r="G1297" s="20">
        <v>102</v>
      </c>
      <c r="H1297" s="19" t="str">
        <f t="shared" si="41"/>
        <v>USD</v>
      </c>
      <c r="J1297" s="5"/>
      <c r="K1297" s="3"/>
      <c r="L1297" s="3"/>
      <c r="M1297" s="3"/>
      <c r="N1297" s="3"/>
      <c r="O1297" s="3"/>
    </row>
    <row r="1298" spans="1:15" ht="15">
      <c r="A1298" s="72">
        <v>2</v>
      </c>
      <c r="B1298" s="70">
        <v>13.6804691626</v>
      </c>
      <c r="C1298" s="69">
        <v>-89.194111224599993</v>
      </c>
      <c r="D1298" s="71">
        <v>0</v>
      </c>
      <c r="E1298" s="19">
        <v>0</v>
      </c>
      <c r="F1298" s="19">
        <f t="shared" si="40"/>
        <v>0</v>
      </c>
      <c r="G1298" s="20">
        <v>102</v>
      </c>
      <c r="H1298" s="19" t="str">
        <f t="shared" si="41"/>
        <v>USD</v>
      </c>
      <c r="J1298" s="5"/>
      <c r="K1298" s="3"/>
      <c r="L1298" s="3"/>
      <c r="M1298" s="3"/>
      <c r="N1298" s="3"/>
      <c r="O1298" s="3"/>
    </row>
    <row r="1299" spans="1:15" ht="15">
      <c r="A1299" s="72">
        <v>2</v>
      </c>
      <c r="B1299" s="70">
        <v>13.6811020318</v>
      </c>
      <c r="C1299" s="69">
        <v>-89.1945488004</v>
      </c>
      <c r="D1299" s="71">
        <v>0</v>
      </c>
      <c r="E1299" s="19">
        <v>0</v>
      </c>
      <c r="F1299" s="19">
        <f>D1299</f>
        <v>0</v>
      </c>
      <c r="G1299" s="72">
        <v>102</v>
      </c>
      <c r="H1299" s="19" t="str">
        <f t="shared" si="41"/>
        <v>USD</v>
      </c>
    </row>
    <row r="1300" spans="1:15" ht="15">
      <c r="A1300" s="72">
        <v>4</v>
      </c>
      <c r="B1300">
        <v>13.685882165300001</v>
      </c>
      <c r="C1300">
        <v>-89.193425607400002</v>
      </c>
      <c r="D1300" s="71">
        <v>144900</v>
      </c>
      <c r="E1300" s="19">
        <v>0</v>
      </c>
      <c r="F1300" s="19">
        <f>D1300</f>
        <v>144900</v>
      </c>
      <c r="G1300" s="72">
        <v>104</v>
      </c>
      <c r="H1300" s="19" t="str">
        <f t="shared" si="41"/>
        <v>USD</v>
      </c>
    </row>
    <row r="1301" spans="1:15">
      <c r="A1301" s="72">
        <v>4</v>
      </c>
      <c r="B1301">
        <v>13.6859174356</v>
      </c>
      <c r="C1301">
        <v>-89.195700378799998</v>
      </c>
      <c r="D1301">
        <v>563500</v>
      </c>
      <c r="E1301" s="19">
        <v>0</v>
      </c>
      <c r="F1301" s="19">
        <f>D1301</f>
        <v>563500</v>
      </c>
      <c r="G1301" s="72">
        <v>104</v>
      </c>
      <c r="H1301" s="19" t="str">
        <f t="shared" si="41"/>
        <v>USD</v>
      </c>
    </row>
    <row r="1302" spans="1:15">
      <c r="A1302" s="72">
        <v>4</v>
      </c>
      <c r="B1302">
        <v>13.686435562</v>
      </c>
      <c r="C1302">
        <v>-89.195124907999997</v>
      </c>
      <c r="D1302">
        <v>690000</v>
      </c>
      <c r="E1302" s="19">
        <v>0</v>
      </c>
      <c r="F1302" s="19">
        <f>D1302</f>
        <v>690000</v>
      </c>
      <c r="G1302" s="72">
        <v>104</v>
      </c>
      <c r="H1302" s="19" t="str">
        <f t="shared" si="41"/>
        <v>USD</v>
      </c>
    </row>
  </sheetData>
  <pageMargins left="0.7" right="0.7" top="0.75" bottom="0.75" header="0.3" footer="0.3"/>
  <headerFooter alignWithMargins="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193"/>
  <sheetViews>
    <sheetView tabSelected="1" topLeftCell="A154" zoomScale="85" workbookViewId="0">
      <selection activeCell="B2" sqref="B2:D193"/>
    </sheetView>
  </sheetViews>
  <sheetFormatPr baseColWidth="10" defaultRowHeight="15"/>
  <cols>
    <col min="1" max="1" width="18.140625" style="38" customWidth="1"/>
    <col min="2" max="5" width="11.42578125" style="38"/>
    <col min="6" max="6" width="24.7109375" style="38" customWidth="1"/>
    <col min="7" max="16384" width="11.42578125" style="38"/>
  </cols>
  <sheetData>
    <row r="1" spans="1:7">
      <c r="A1" s="43" t="s">
        <v>6</v>
      </c>
      <c r="B1" s="43" t="s">
        <v>23</v>
      </c>
      <c r="C1" s="43" t="s">
        <v>24</v>
      </c>
      <c r="D1" s="43" t="s">
        <v>25</v>
      </c>
      <c r="E1" s="43" t="s">
        <v>26</v>
      </c>
      <c r="F1" s="42" t="s">
        <v>27</v>
      </c>
      <c r="G1" s="42" t="s">
        <v>28</v>
      </c>
    </row>
    <row r="2" spans="1:7">
      <c r="A2" s="38">
        <v>101</v>
      </c>
      <c r="B2" s="38">
        <v>0</v>
      </c>
      <c r="C2" s="38">
        <v>0</v>
      </c>
      <c r="D2" s="38">
        <v>1</v>
      </c>
      <c r="E2" s="38" t="s">
        <v>29</v>
      </c>
      <c r="F2" s="38" t="s">
        <v>30</v>
      </c>
      <c r="G2" s="38" t="s">
        <v>31</v>
      </c>
    </row>
    <row r="3" spans="1:7">
      <c r="A3" s="38">
        <v>101</v>
      </c>
      <c r="B3" s="38">
        <v>9.6600000000000005E-2</v>
      </c>
      <c r="C3" s="38">
        <v>5.0000000000000001E-4</v>
      </c>
      <c r="D3" s="38">
        <v>1</v>
      </c>
      <c r="E3" s="38" t="s">
        <v>29</v>
      </c>
      <c r="F3" s="38" t="s">
        <v>30</v>
      </c>
      <c r="G3" s="38" t="s">
        <v>31</v>
      </c>
    </row>
    <row r="4" spans="1:7">
      <c r="A4" s="38">
        <v>101</v>
      </c>
      <c r="B4" s="38">
        <v>0.19309999999999999</v>
      </c>
      <c r="C4" s="38">
        <v>3.0000000000000001E-3</v>
      </c>
      <c r="D4" s="38">
        <v>1</v>
      </c>
      <c r="E4" s="38" t="s">
        <v>29</v>
      </c>
      <c r="F4" s="38" t="s">
        <v>30</v>
      </c>
      <c r="G4" s="38" t="s">
        <v>31</v>
      </c>
    </row>
    <row r="5" spans="1:7">
      <c r="A5" s="38">
        <v>101</v>
      </c>
      <c r="B5" s="38">
        <v>0.28970000000000001</v>
      </c>
      <c r="C5" s="38">
        <v>1.0500000000000001E-2</v>
      </c>
      <c r="D5" s="38">
        <v>1</v>
      </c>
      <c r="E5" s="38" t="s">
        <v>29</v>
      </c>
      <c r="F5" s="38" t="s">
        <v>30</v>
      </c>
      <c r="G5" s="38" t="s">
        <v>31</v>
      </c>
    </row>
    <row r="6" spans="1:7">
      <c r="A6" s="38">
        <v>101</v>
      </c>
      <c r="B6" s="38">
        <v>0.38619999999999999</v>
      </c>
      <c r="C6" s="38">
        <v>2.4E-2</v>
      </c>
      <c r="D6" s="38">
        <v>1</v>
      </c>
      <c r="E6" s="38" t="s">
        <v>29</v>
      </c>
      <c r="F6" s="38" t="s">
        <v>30</v>
      </c>
      <c r="G6" s="38" t="s">
        <v>31</v>
      </c>
    </row>
    <row r="7" spans="1:7">
      <c r="A7" s="38">
        <v>101</v>
      </c>
      <c r="B7" s="38">
        <v>0.48280000000000001</v>
      </c>
      <c r="C7" s="38">
        <v>4.5999999999999999E-2</v>
      </c>
      <c r="D7" s="38">
        <v>1</v>
      </c>
      <c r="E7" s="38" t="s">
        <v>29</v>
      </c>
      <c r="F7" s="38" t="s">
        <v>30</v>
      </c>
      <c r="G7" s="38" t="s">
        <v>31</v>
      </c>
    </row>
    <row r="8" spans="1:7">
      <c r="A8" s="38">
        <v>101</v>
      </c>
      <c r="B8" s="38">
        <v>0.57930000000000004</v>
      </c>
      <c r="C8" s="38">
        <v>7.6999999999999999E-2</v>
      </c>
      <c r="D8" s="38">
        <v>1</v>
      </c>
      <c r="E8" s="38" t="s">
        <v>29</v>
      </c>
      <c r="F8" s="38" t="s">
        <v>30</v>
      </c>
      <c r="G8" s="38" t="s">
        <v>31</v>
      </c>
    </row>
    <row r="9" spans="1:7">
      <c r="A9" s="38">
        <v>101</v>
      </c>
      <c r="B9" s="38">
        <v>0.67589999999999995</v>
      </c>
      <c r="C9" s="38">
        <v>0.11700000000000001</v>
      </c>
      <c r="D9" s="38">
        <v>1</v>
      </c>
      <c r="E9" s="38" t="s">
        <v>29</v>
      </c>
      <c r="F9" s="38" t="s">
        <v>30</v>
      </c>
      <c r="G9" s="38" t="s">
        <v>31</v>
      </c>
    </row>
    <row r="10" spans="1:7">
      <c r="A10" s="38">
        <v>101</v>
      </c>
      <c r="B10" s="38">
        <v>0.77239999999999998</v>
      </c>
      <c r="C10" s="38">
        <v>0.16400000000000001</v>
      </c>
      <c r="D10" s="38">
        <v>1</v>
      </c>
      <c r="E10" s="38" t="s">
        <v>29</v>
      </c>
      <c r="F10" s="38" t="s">
        <v>30</v>
      </c>
      <c r="G10" s="38" t="s">
        <v>31</v>
      </c>
    </row>
    <row r="11" spans="1:7">
      <c r="A11" s="38">
        <v>101</v>
      </c>
      <c r="B11" s="38">
        <v>0.86899999999999999</v>
      </c>
      <c r="C11" s="38">
        <v>0.216</v>
      </c>
      <c r="D11" s="38">
        <v>1</v>
      </c>
      <c r="E11" s="38" t="s">
        <v>29</v>
      </c>
      <c r="F11" s="38" t="s">
        <v>30</v>
      </c>
      <c r="G11" s="38" t="s">
        <v>31</v>
      </c>
    </row>
    <row r="12" spans="1:7">
      <c r="A12" s="38">
        <v>101</v>
      </c>
      <c r="B12" s="38">
        <v>0.96550000000000002</v>
      </c>
      <c r="C12" s="38">
        <v>0.27</v>
      </c>
      <c r="D12" s="38">
        <v>1</v>
      </c>
      <c r="E12" s="38" t="s">
        <v>29</v>
      </c>
      <c r="F12" s="38" t="s">
        <v>30</v>
      </c>
      <c r="G12" s="38" t="s">
        <v>31</v>
      </c>
    </row>
    <row r="13" spans="1:7">
      <c r="A13" s="38">
        <v>101</v>
      </c>
      <c r="B13" s="38">
        <v>1.0621</v>
      </c>
      <c r="C13" s="38">
        <v>0.32200000000000001</v>
      </c>
      <c r="D13" s="38">
        <v>1</v>
      </c>
      <c r="E13" s="38" t="s">
        <v>29</v>
      </c>
      <c r="F13" s="38" t="s">
        <v>30</v>
      </c>
      <c r="G13" s="38" t="s">
        <v>31</v>
      </c>
    </row>
    <row r="14" spans="1:7">
      <c r="A14" s="38">
        <v>101</v>
      </c>
      <c r="B14" s="38">
        <v>1.1586000000000001</v>
      </c>
      <c r="C14" s="38">
        <v>0.36899999999999999</v>
      </c>
      <c r="D14" s="38">
        <v>1</v>
      </c>
      <c r="E14" s="38" t="s">
        <v>29</v>
      </c>
      <c r="F14" s="38" t="s">
        <v>30</v>
      </c>
      <c r="G14" s="38" t="s">
        <v>31</v>
      </c>
    </row>
    <row r="15" spans="1:7">
      <c r="A15" s="38">
        <v>101</v>
      </c>
      <c r="B15" s="38">
        <v>1.2552000000000001</v>
      </c>
      <c r="C15" s="38">
        <v>0.40899999999999997</v>
      </c>
      <c r="D15" s="38">
        <v>1</v>
      </c>
      <c r="E15" s="38" t="s">
        <v>29</v>
      </c>
      <c r="F15" s="38" t="s">
        <v>30</v>
      </c>
      <c r="G15" s="38" t="s">
        <v>31</v>
      </c>
    </row>
    <row r="16" spans="1:7">
      <c r="A16" s="38">
        <v>101</v>
      </c>
      <c r="B16" s="38">
        <v>1.3516999999999999</v>
      </c>
      <c r="C16" s="38">
        <v>0.4405</v>
      </c>
      <c r="D16" s="38">
        <v>1</v>
      </c>
      <c r="E16" s="38" t="s">
        <v>29</v>
      </c>
      <c r="F16" s="38" t="s">
        <v>30</v>
      </c>
      <c r="G16" s="38" t="s">
        <v>31</v>
      </c>
    </row>
    <row r="17" spans="1:7">
      <c r="A17" s="38">
        <v>101</v>
      </c>
      <c r="B17" s="38">
        <v>1.4482999999999999</v>
      </c>
      <c r="C17" s="38">
        <v>0.46350000000000002</v>
      </c>
      <c r="D17" s="38">
        <v>1</v>
      </c>
      <c r="E17" s="38" t="s">
        <v>29</v>
      </c>
      <c r="F17" s="38" t="s">
        <v>30</v>
      </c>
      <c r="G17" s="38" t="s">
        <v>31</v>
      </c>
    </row>
    <row r="18" spans="1:7">
      <c r="A18" s="38">
        <v>101</v>
      </c>
      <c r="B18" s="38">
        <v>1.5448</v>
      </c>
      <c r="C18" s="38">
        <v>0.47899999999999998</v>
      </c>
      <c r="D18" s="38">
        <v>1</v>
      </c>
      <c r="E18" s="38" t="s">
        <v>29</v>
      </c>
      <c r="F18" s="38" t="s">
        <v>30</v>
      </c>
      <c r="G18" s="38" t="s">
        <v>31</v>
      </c>
    </row>
    <row r="19" spans="1:7">
      <c r="A19" s="38">
        <v>101</v>
      </c>
      <c r="B19" s="38">
        <v>1.6414</v>
      </c>
      <c r="C19" s="38">
        <v>0.48899999999999999</v>
      </c>
      <c r="D19" s="38">
        <v>1</v>
      </c>
      <c r="E19" s="38" t="s">
        <v>29</v>
      </c>
      <c r="F19" s="38" t="s">
        <v>30</v>
      </c>
      <c r="G19" s="38" t="s">
        <v>31</v>
      </c>
    </row>
    <row r="20" spans="1:7">
      <c r="A20" s="38">
        <v>101</v>
      </c>
      <c r="B20" s="38">
        <v>1.7379</v>
      </c>
      <c r="C20" s="38">
        <v>0.4945</v>
      </c>
      <c r="D20" s="38">
        <v>1</v>
      </c>
      <c r="E20" s="38" t="s">
        <v>29</v>
      </c>
      <c r="F20" s="38" t="s">
        <v>30</v>
      </c>
      <c r="G20" s="38" t="s">
        <v>31</v>
      </c>
    </row>
    <row r="21" spans="1:7">
      <c r="A21" s="38">
        <v>101</v>
      </c>
      <c r="B21" s="38">
        <v>1.8345</v>
      </c>
      <c r="C21" s="38">
        <v>0.4975</v>
      </c>
      <c r="D21" s="38">
        <v>1</v>
      </c>
      <c r="E21" s="38" t="s">
        <v>29</v>
      </c>
      <c r="F21" s="38" t="s">
        <v>30</v>
      </c>
      <c r="G21" s="38" t="s">
        <v>31</v>
      </c>
    </row>
    <row r="22" spans="1:7">
      <c r="A22" s="38">
        <v>101</v>
      </c>
      <c r="B22" s="38">
        <v>1.931</v>
      </c>
      <c r="C22" s="38">
        <v>0.499</v>
      </c>
      <c r="D22" s="38">
        <v>1</v>
      </c>
      <c r="E22" s="38" t="s">
        <v>29</v>
      </c>
      <c r="F22" s="38" t="s">
        <v>30</v>
      </c>
      <c r="G22" s="38" t="s">
        <v>31</v>
      </c>
    </row>
    <row r="23" spans="1:7">
      <c r="A23" s="38">
        <v>101</v>
      </c>
      <c r="B23" s="38">
        <v>2.0276000000000001</v>
      </c>
      <c r="C23" s="38">
        <v>0.4995</v>
      </c>
      <c r="D23" s="38">
        <v>1</v>
      </c>
      <c r="E23" s="38" t="s">
        <v>29</v>
      </c>
      <c r="F23" s="38" t="s">
        <v>30</v>
      </c>
      <c r="G23" s="38" t="s">
        <v>31</v>
      </c>
    </row>
    <row r="24" spans="1:7">
      <c r="A24" s="38">
        <v>101</v>
      </c>
      <c r="B24" s="38">
        <v>2.1240999999999999</v>
      </c>
      <c r="C24" s="38">
        <v>0.5</v>
      </c>
      <c r="D24" s="38">
        <v>1</v>
      </c>
      <c r="E24" s="38" t="s">
        <v>29</v>
      </c>
      <c r="F24" s="38" t="s">
        <v>30</v>
      </c>
      <c r="G24" s="38" t="s">
        <v>31</v>
      </c>
    </row>
    <row r="25" spans="1:7">
      <c r="A25" s="38">
        <v>101</v>
      </c>
      <c r="B25" s="38">
        <v>2.2206999999999999</v>
      </c>
      <c r="C25" s="38">
        <v>0.5</v>
      </c>
      <c r="D25" s="38">
        <v>1</v>
      </c>
      <c r="E25" s="38" t="s">
        <v>29</v>
      </c>
      <c r="F25" s="38" t="s">
        <v>30</v>
      </c>
      <c r="G25" s="38" t="s">
        <v>31</v>
      </c>
    </row>
    <row r="26" spans="1:7">
      <c r="A26" s="38">
        <v>101</v>
      </c>
      <c r="B26" s="38">
        <v>2.3172000000000001</v>
      </c>
      <c r="C26" s="38">
        <v>0.5</v>
      </c>
      <c r="D26" s="38">
        <v>1</v>
      </c>
      <c r="E26" s="38" t="s">
        <v>29</v>
      </c>
      <c r="F26" s="38" t="s">
        <v>30</v>
      </c>
      <c r="G26" s="38" t="s">
        <v>31</v>
      </c>
    </row>
    <row r="27" spans="1:7">
      <c r="A27" s="38">
        <v>101</v>
      </c>
      <c r="B27" s="38">
        <v>2.4138000000000002</v>
      </c>
      <c r="C27" s="38">
        <v>0.5</v>
      </c>
      <c r="D27" s="38">
        <v>1</v>
      </c>
      <c r="E27" s="38" t="s">
        <v>29</v>
      </c>
      <c r="F27" s="38" t="s">
        <v>30</v>
      </c>
      <c r="G27" s="38" t="s">
        <v>31</v>
      </c>
    </row>
    <row r="28" spans="1:7">
      <c r="A28" s="38">
        <v>101</v>
      </c>
      <c r="B28" s="38">
        <v>2.5103</v>
      </c>
      <c r="C28" s="38">
        <v>0.5</v>
      </c>
      <c r="D28" s="38">
        <v>1</v>
      </c>
      <c r="E28" s="38" t="s">
        <v>29</v>
      </c>
      <c r="F28" s="38" t="s">
        <v>30</v>
      </c>
      <c r="G28" s="38" t="s">
        <v>31</v>
      </c>
    </row>
    <row r="29" spans="1:7">
      <c r="A29" s="38">
        <v>101</v>
      </c>
      <c r="B29" s="38">
        <v>2.6069</v>
      </c>
      <c r="C29" s="38">
        <v>0.5</v>
      </c>
      <c r="D29" s="38">
        <v>1</v>
      </c>
      <c r="E29" s="38" t="s">
        <v>29</v>
      </c>
      <c r="F29" s="38" t="s">
        <v>30</v>
      </c>
      <c r="G29" s="38" t="s">
        <v>31</v>
      </c>
    </row>
    <row r="30" spans="1:7">
      <c r="A30" s="38">
        <v>101</v>
      </c>
      <c r="B30" s="38">
        <v>2.7033999999999998</v>
      </c>
      <c r="C30" s="38">
        <v>0.5</v>
      </c>
      <c r="D30" s="38">
        <v>1</v>
      </c>
      <c r="E30" s="38" t="s">
        <v>29</v>
      </c>
      <c r="F30" s="38" t="s">
        <v>30</v>
      </c>
      <c r="G30" s="38" t="s">
        <v>31</v>
      </c>
    </row>
    <row r="31" spans="1:7">
      <c r="A31" s="38">
        <v>101</v>
      </c>
      <c r="B31" s="38">
        <v>2.8</v>
      </c>
      <c r="C31" s="38">
        <v>0.5</v>
      </c>
      <c r="D31" s="38">
        <v>1</v>
      </c>
      <c r="E31" s="38" t="s">
        <v>29</v>
      </c>
      <c r="F31" s="38" t="s">
        <v>30</v>
      </c>
      <c r="G31" s="38" t="s">
        <v>31</v>
      </c>
    </row>
    <row r="32" spans="1:7">
      <c r="A32" s="40">
        <v>103</v>
      </c>
      <c r="B32" s="40">
        <v>0</v>
      </c>
      <c r="C32" s="40">
        <v>0</v>
      </c>
      <c r="D32" s="40">
        <v>1</v>
      </c>
      <c r="E32" s="40" t="s">
        <v>29</v>
      </c>
      <c r="F32" s="40" t="s">
        <v>32</v>
      </c>
      <c r="G32" s="40" t="s">
        <v>31</v>
      </c>
    </row>
    <row r="33" spans="1:7">
      <c r="A33" s="40">
        <v>103</v>
      </c>
      <c r="B33" s="40">
        <v>0.1077</v>
      </c>
      <c r="C33" s="40">
        <v>0.10815</v>
      </c>
      <c r="D33" s="40">
        <v>1</v>
      </c>
      <c r="E33" s="40" t="s">
        <v>29</v>
      </c>
      <c r="F33" s="40" t="s">
        <v>32</v>
      </c>
      <c r="G33" s="40" t="s">
        <v>31</v>
      </c>
    </row>
    <row r="34" spans="1:7">
      <c r="A34" s="40">
        <v>103</v>
      </c>
      <c r="B34" s="40">
        <v>0.21540000000000001</v>
      </c>
      <c r="C34" s="40">
        <v>0.18304999999999999</v>
      </c>
      <c r="D34" s="40">
        <v>1</v>
      </c>
      <c r="E34" s="40" t="s">
        <v>29</v>
      </c>
      <c r="F34" s="40" t="s">
        <v>32</v>
      </c>
      <c r="G34" s="40" t="s">
        <v>31</v>
      </c>
    </row>
    <row r="35" spans="1:7">
      <c r="A35" s="40">
        <v>103</v>
      </c>
      <c r="B35" s="40">
        <v>0.3231</v>
      </c>
      <c r="C35" s="40">
        <v>0.23449999999999999</v>
      </c>
      <c r="D35" s="40">
        <v>1</v>
      </c>
      <c r="E35" s="40" t="s">
        <v>29</v>
      </c>
      <c r="F35" s="40" t="s">
        <v>32</v>
      </c>
      <c r="G35" s="40" t="s">
        <v>31</v>
      </c>
    </row>
    <row r="36" spans="1:7">
      <c r="A36" s="40">
        <v>103</v>
      </c>
      <c r="B36" s="40">
        <v>0.43080000000000002</v>
      </c>
      <c r="C36" s="40">
        <v>0.2702</v>
      </c>
      <c r="D36" s="40">
        <v>1</v>
      </c>
      <c r="E36" s="40" t="s">
        <v>29</v>
      </c>
      <c r="F36" s="40" t="s">
        <v>32</v>
      </c>
      <c r="G36" s="40" t="s">
        <v>31</v>
      </c>
    </row>
    <row r="37" spans="1:7">
      <c r="A37" s="40">
        <v>103</v>
      </c>
      <c r="B37" s="40">
        <v>0.53849999999999998</v>
      </c>
      <c r="C37" s="40">
        <v>0.29504999999999998</v>
      </c>
      <c r="D37" s="40">
        <v>1</v>
      </c>
      <c r="E37" s="40" t="s">
        <v>29</v>
      </c>
      <c r="F37" s="40" t="s">
        <v>32</v>
      </c>
      <c r="G37" s="40" t="s">
        <v>31</v>
      </c>
    </row>
    <row r="38" spans="1:7">
      <c r="A38" s="40">
        <v>103</v>
      </c>
      <c r="B38" s="40">
        <v>0.6462</v>
      </c>
      <c r="C38" s="40">
        <v>0.31184999999999996</v>
      </c>
      <c r="D38" s="40">
        <v>1</v>
      </c>
      <c r="E38" s="40" t="s">
        <v>29</v>
      </c>
      <c r="F38" s="40" t="s">
        <v>32</v>
      </c>
      <c r="G38" s="40" t="s">
        <v>31</v>
      </c>
    </row>
    <row r="39" spans="1:7">
      <c r="A39" s="40">
        <v>103</v>
      </c>
      <c r="B39" s="40">
        <v>0.75380000000000003</v>
      </c>
      <c r="C39" s="40">
        <v>0.32374999999999998</v>
      </c>
      <c r="D39" s="40">
        <v>1</v>
      </c>
      <c r="E39" s="40" t="s">
        <v>29</v>
      </c>
      <c r="F39" s="40" t="s">
        <v>32</v>
      </c>
      <c r="G39" s="40" t="s">
        <v>31</v>
      </c>
    </row>
    <row r="40" spans="1:7">
      <c r="A40" s="40">
        <v>103</v>
      </c>
      <c r="B40" s="40">
        <v>0.86150000000000004</v>
      </c>
      <c r="C40" s="40">
        <v>0.33179999999999998</v>
      </c>
      <c r="D40" s="40">
        <v>1</v>
      </c>
      <c r="E40" s="40" t="s">
        <v>29</v>
      </c>
      <c r="F40" s="40" t="s">
        <v>32</v>
      </c>
      <c r="G40" s="40" t="s">
        <v>31</v>
      </c>
    </row>
    <row r="41" spans="1:7">
      <c r="A41" s="40">
        <v>103</v>
      </c>
      <c r="B41" s="40">
        <v>0.96919999999999995</v>
      </c>
      <c r="C41" s="40">
        <v>0.33739999999999998</v>
      </c>
      <c r="D41" s="40">
        <v>1</v>
      </c>
      <c r="E41" s="40" t="s">
        <v>29</v>
      </c>
      <c r="F41" s="40" t="s">
        <v>32</v>
      </c>
      <c r="G41" s="40" t="s">
        <v>31</v>
      </c>
    </row>
    <row r="42" spans="1:7">
      <c r="A42" s="40">
        <v>103</v>
      </c>
      <c r="B42" s="40">
        <v>1.0769</v>
      </c>
      <c r="C42" s="40">
        <v>0.34125</v>
      </c>
      <c r="D42" s="40">
        <v>1</v>
      </c>
      <c r="E42" s="40" t="s">
        <v>29</v>
      </c>
      <c r="F42" s="40" t="s">
        <v>32</v>
      </c>
      <c r="G42" s="40" t="s">
        <v>31</v>
      </c>
    </row>
    <row r="43" spans="1:7">
      <c r="A43" s="40">
        <v>103</v>
      </c>
      <c r="B43" s="40">
        <v>1.1846000000000001</v>
      </c>
      <c r="C43" s="40">
        <v>0.34404999999999997</v>
      </c>
      <c r="D43" s="40">
        <v>1</v>
      </c>
      <c r="E43" s="40" t="s">
        <v>29</v>
      </c>
      <c r="F43" s="40" t="s">
        <v>32</v>
      </c>
      <c r="G43" s="40" t="s">
        <v>31</v>
      </c>
    </row>
    <row r="44" spans="1:7">
      <c r="A44" s="40">
        <v>103</v>
      </c>
      <c r="B44" s="40">
        <v>1.2923</v>
      </c>
      <c r="C44" s="40">
        <v>0.3458</v>
      </c>
      <c r="D44" s="40">
        <v>1</v>
      </c>
      <c r="E44" s="40" t="s">
        <v>29</v>
      </c>
      <c r="F44" s="40" t="s">
        <v>32</v>
      </c>
      <c r="G44" s="40" t="s">
        <v>31</v>
      </c>
    </row>
    <row r="45" spans="1:7">
      <c r="A45" s="40">
        <v>103</v>
      </c>
      <c r="B45" s="40">
        <v>1.4</v>
      </c>
      <c r="C45" s="40">
        <v>0.34719999999999995</v>
      </c>
      <c r="D45" s="40">
        <v>1</v>
      </c>
      <c r="E45" s="40" t="s">
        <v>29</v>
      </c>
      <c r="F45" s="40" t="s">
        <v>32</v>
      </c>
      <c r="G45" s="40" t="s">
        <v>31</v>
      </c>
    </row>
    <row r="46" spans="1:7">
      <c r="A46" s="40">
        <v>103</v>
      </c>
      <c r="B46" s="40">
        <v>1.5077</v>
      </c>
      <c r="C46" s="40">
        <v>0.34789999999999999</v>
      </c>
      <c r="D46" s="40">
        <v>1</v>
      </c>
      <c r="E46" s="40" t="s">
        <v>29</v>
      </c>
      <c r="F46" s="40" t="s">
        <v>32</v>
      </c>
      <c r="G46" s="40" t="s">
        <v>31</v>
      </c>
    </row>
    <row r="47" spans="1:7">
      <c r="A47" s="40">
        <v>103</v>
      </c>
      <c r="B47" s="40">
        <v>1.6153999999999999</v>
      </c>
      <c r="C47" s="40">
        <v>0.34859999999999997</v>
      </c>
      <c r="D47" s="40">
        <v>1</v>
      </c>
      <c r="E47" s="40" t="s">
        <v>29</v>
      </c>
      <c r="F47" s="40" t="s">
        <v>32</v>
      </c>
      <c r="G47" s="40" t="s">
        <v>31</v>
      </c>
    </row>
    <row r="48" spans="1:7">
      <c r="A48" s="40">
        <v>103</v>
      </c>
      <c r="B48" s="40">
        <v>1.7231000000000001</v>
      </c>
      <c r="C48" s="40">
        <v>0.34894999999999998</v>
      </c>
      <c r="D48" s="40">
        <v>1</v>
      </c>
      <c r="E48" s="40" t="s">
        <v>29</v>
      </c>
      <c r="F48" s="40" t="s">
        <v>32</v>
      </c>
      <c r="G48" s="40" t="s">
        <v>31</v>
      </c>
    </row>
    <row r="49" spans="1:7">
      <c r="A49" s="40">
        <v>103</v>
      </c>
      <c r="B49" s="40">
        <v>1.8308</v>
      </c>
      <c r="C49" s="40">
        <v>0.3493</v>
      </c>
      <c r="D49" s="40">
        <v>1</v>
      </c>
      <c r="E49" s="40" t="s">
        <v>29</v>
      </c>
      <c r="F49" s="40" t="s">
        <v>32</v>
      </c>
      <c r="G49" s="40" t="s">
        <v>31</v>
      </c>
    </row>
    <row r="50" spans="1:7">
      <c r="A50" s="40">
        <v>103</v>
      </c>
      <c r="B50" s="40">
        <v>1.9384999999999999</v>
      </c>
      <c r="C50" s="40">
        <v>0.34964999999999996</v>
      </c>
      <c r="D50" s="40">
        <v>1</v>
      </c>
      <c r="E50" s="40" t="s">
        <v>29</v>
      </c>
      <c r="F50" s="40" t="s">
        <v>32</v>
      </c>
      <c r="G50" s="40" t="s">
        <v>31</v>
      </c>
    </row>
    <row r="51" spans="1:7">
      <c r="A51" s="40">
        <v>103</v>
      </c>
      <c r="B51" s="40">
        <v>2.0461999999999998</v>
      </c>
      <c r="C51" s="40">
        <v>0.34964999999999996</v>
      </c>
      <c r="D51" s="40">
        <v>1</v>
      </c>
      <c r="E51" s="40" t="s">
        <v>29</v>
      </c>
      <c r="F51" s="40" t="s">
        <v>32</v>
      </c>
      <c r="G51" s="40" t="s">
        <v>31</v>
      </c>
    </row>
    <row r="52" spans="1:7">
      <c r="A52" s="40">
        <v>103</v>
      </c>
      <c r="B52" s="40">
        <v>2.1537999999999999</v>
      </c>
      <c r="C52" s="40">
        <v>0.34964999999999996</v>
      </c>
      <c r="D52" s="40">
        <v>1</v>
      </c>
      <c r="E52" s="40" t="s">
        <v>29</v>
      </c>
      <c r="F52" s="40" t="s">
        <v>32</v>
      </c>
      <c r="G52" s="40" t="s">
        <v>31</v>
      </c>
    </row>
    <row r="53" spans="1:7">
      <c r="A53" s="40">
        <v>103</v>
      </c>
      <c r="B53" s="40">
        <v>2.2614999999999998</v>
      </c>
      <c r="C53" s="40">
        <v>0.35</v>
      </c>
      <c r="D53" s="40">
        <v>1</v>
      </c>
      <c r="E53" s="40" t="s">
        <v>29</v>
      </c>
      <c r="F53" s="40" t="s">
        <v>32</v>
      </c>
      <c r="G53" s="40" t="s">
        <v>31</v>
      </c>
    </row>
    <row r="54" spans="1:7">
      <c r="A54" s="40">
        <v>103</v>
      </c>
      <c r="B54" s="40">
        <v>2.3692000000000002</v>
      </c>
      <c r="C54" s="40">
        <v>0.35</v>
      </c>
      <c r="D54" s="40">
        <v>1</v>
      </c>
      <c r="E54" s="40" t="s">
        <v>29</v>
      </c>
      <c r="F54" s="40" t="s">
        <v>32</v>
      </c>
      <c r="G54" s="40" t="s">
        <v>31</v>
      </c>
    </row>
    <row r="55" spans="1:7">
      <c r="A55" s="40">
        <v>103</v>
      </c>
      <c r="B55" s="40">
        <v>2.4769000000000001</v>
      </c>
      <c r="C55" s="40">
        <v>0.35</v>
      </c>
      <c r="D55" s="40">
        <v>1</v>
      </c>
      <c r="E55" s="40" t="s">
        <v>29</v>
      </c>
      <c r="F55" s="40" t="s">
        <v>32</v>
      </c>
      <c r="G55" s="40" t="s">
        <v>31</v>
      </c>
    </row>
    <row r="56" spans="1:7">
      <c r="A56" s="40">
        <v>103</v>
      </c>
      <c r="B56" s="40">
        <v>2.5846</v>
      </c>
      <c r="C56" s="40">
        <v>0.35</v>
      </c>
      <c r="D56" s="40">
        <v>1</v>
      </c>
      <c r="E56" s="40" t="s">
        <v>29</v>
      </c>
      <c r="F56" s="40" t="s">
        <v>32</v>
      </c>
      <c r="G56" s="40" t="s">
        <v>31</v>
      </c>
    </row>
    <row r="57" spans="1:7">
      <c r="A57" s="40">
        <v>103</v>
      </c>
      <c r="B57" s="40">
        <v>2.6922999999999999</v>
      </c>
      <c r="C57" s="40">
        <v>0.35</v>
      </c>
      <c r="D57" s="40">
        <v>1</v>
      </c>
      <c r="E57" s="40" t="s">
        <v>29</v>
      </c>
      <c r="F57" s="40" t="s">
        <v>32</v>
      </c>
      <c r="G57" s="40" t="s">
        <v>31</v>
      </c>
    </row>
    <row r="58" spans="1:7">
      <c r="A58" s="40">
        <v>103</v>
      </c>
      <c r="B58" s="40">
        <v>2.8</v>
      </c>
      <c r="C58" s="40">
        <v>0.35</v>
      </c>
      <c r="D58" s="40">
        <v>1</v>
      </c>
      <c r="E58" s="40" t="s">
        <v>29</v>
      </c>
      <c r="F58" s="40" t="s">
        <v>32</v>
      </c>
      <c r="G58" s="40" t="s">
        <v>31</v>
      </c>
    </row>
    <row r="59" spans="1:7">
      <c r="A59" s="41">
        <v>104</v>
      </c>
      <c r="B59" s="38">
        <v>0</v>
      </c>
      <c r="C59" s="38">
        <v>0</v>
      </c>
      <c r="D59" s="38">
        <v>1</v>
      </c>
      <c r="E59" s="38" t="s">
        <v>29</v>
      </c>
      <c r="F59" s="41" t="s">
        <v>33</v>
      </c>
      <c r="G59" s="38" t="s">
        <v>31</v>
      </c>
    </row>
    <row r="60" spans="1:7">
      <c r="A60" s="41">
        <v>104</v>
      </c>
      <c r="B60" s="38">
        <v>0.1077</v>
      </c>
      <c r="C60" s="38">
        <v>3.2339999999999994E-2</v>
      </c>
      <c r="D60" s="38">
        <v>1</v>
      </c>
      <c r="E60" s="38" t="s">
        <v>29</v>
      </c>
      <c r="F60" s="41" t="s">
        <v>33</v>
      </c>
      <c r="G60" s="38" t="s">
        <v>31</v>
      </c>
    </row>
    <row r="61" spans="1:7">
      <c r="A61" s="41">
        <v>104</v>
      </c>
      <c r="B61" s="38">
        <v>0.21540000000000001</v>
      </c>
      <c r="C61" s="38">
        <v>8.5679999999999992E-2</v>
      </c>
      <c r="D61" s="38">
        <v>1</v>
      </c>
      <c r="E61" s="38" t="s">
        <v>29</v>
      </c>
      <c r="F61" s="41" t="s">
        <v>33</v>
      </c>
      <c r="G61" s="38" t="s">
        <v>31</v>
      </c>
    </row>
    <row r="62" spans="1:7">
      <c r="A62" s="41">
        <v>104</v>
      </c>
      <c r="B62" s="38">
        <v>0.3231</v>
      </c>
      <c r="C62" s="38">
        <v>0.14405999999999999</v>
      </c>
      <c r="D62" s="38">
        <v>1</v>
      </c>
      <c r="E62" s="38" t="s">
        <v>29</v>
      </c>
      <c r="F62" s="41" t="s">
        <v>33</v>
      </c>
      <c r="G62" s="38" t="s">
        <v>31</v>
      </c>
    </row>
    <row r="63" spans="1:7">
      <c r="A63" s="41">
        <v>104</v>
      </c>
      <c r="B63" s="38">
        <v>0.43080000000000002</v>
      </c>
      <c r="C63" s="38">
        <v>0.19992000000000001</v>
      </c>
      <c r="D63" s="38">
        <v>1</v>
      </c>
      <c r="E63" s="38" t="s">
        <v>29</v>
      </c>
      <c r="F63" s="41" t="s">
        <v>33</v>
      </c>
      <c r="G63" s="38" t="s">
        <v>31</v>
      </c>
    </row>
    <row r="64" spans="1:7">
      <c r="A64" s="41">
        <v>104</v>
      </c>
      <c r="B64" s="38">
        <v>0.53849999999999998</v>
      </c>
      <c r="C64" s="38">
        <v>0.24989999999999998</v>
      </c>
      <c r="D64" s="38">
        <v>1</v>
      </c>
      <c r="E64" s="38" t="s">
        <v>29</v>
      </c>
      <c r="F64" s="41" t="s">
        <v>33</v>
      </c>
      <c r="G64" s="38" t="s">
        <v>31</v>
      </c>
    </row>
    <row r="65" spans="1:7">
      <c r="A65" s="41">
        <v>104</v>
      </c>
      <c r="B65" s="38">
        <v>0.6462</v>
      </c>
      <c r="C65" s="38">
        <v>0.29189999999999999</v>
      </c>
      <c r="D65" s="38">
        <v>1</v>
      </c>
      <c r="E65" s="38" t="s">
        <v>29</v>
      </c>
      <c r="F65" s="41" t="s">
        <v>33</v>
      </c>
      <c r="G65" s="38" t="s">
        <v>31</v>
      </c>
    </row>
    <row r="66" spans="1:7">
      <c r="A66" s="41">
        <v>104</v>
      </c>
      <c r="B66" s="38">
        <v>0.75380000000000003</v>
      </c>
      <c r="C66" s="38">
        <v>0.32591999999999999</v>
      </c>
      <c r="D66" s="38">
        <v>1</v>
      </c>
      <c r="E66" s="38" t="s">
        <v>29</v>
      </c>
      <c r="F66" s="41" t="s">
        <v>33</v>
      </c>
      <c r="G66" s="38" t="s">
        <v>31</v>
      </c>
    </row>
    <row r="67" spans="1:7">
      <c r="A67" s="41">
        <v>104</v>
      </c>
      <c r="B67" s="38">
        <v>0.86150000000000004</v>
      </c>
      <c r="C67" s="38">
        <v>0.3528</v>
      </c>
      <c r="D67" s="38">
        <v>1</v>
      </c>
      <c r="E67" s="38" t="s">
        <v>29</v>
      </c>
      <c r="F67" s="41" t="s">
        <v>33</v>
      </c>
      <c r="G67" s="38" t="s">
        <v>31</v>
      </c>
    </row>
    <row r="68" spans="1:7">
      <c r="A68" s="41">
        <v>104</v>
      </c>
      <c r="B68" s="38">
        <v>0.96919999999999995</v>
      </c>
      <c r="C68" s="38">
        <v>0.37296000000000001</v>
      </c>
      <c r="D68" s="38">
        <v>1</v>
      </c>
      <c r="E68" s="38" t="s">
        <v>29</v>
      </c>
      <c r="F68" s="41" t="s">
        <v>33</v>
      </c>
      <c r="G68" s="38" t="s">
        <v>31</v>
      </c>
    </row>
    <row r="69" spans="1:7">
      <c r="A69" s="41">
        <v>104</v>
      </c>
      <c r="B69" s="38">
        <v>1.0769</v>
      </c>
      <c r="C69" s="38">
        <v>0.38765999999999995</v>
      </c>
      <c r="D69" s="38">
        <v>1</v>
      </c>
      <c r="E69" s="38" t="s">
        <v>29</v>
      </c>
      <c r="F69" s="41" t="s">
        <v>33</v>
      </c>
      <c r="G69" s="38" t="s">
        <v>31</v>
      </c>
    </row>
    <row r="70" spans="1:7">
      <c r="A70" s="41">
        <v>104</v>
      </c>
      <c r="B70" s="38">
        <v>1.1846000000000001</v>
      </c>
      <c r="C70" s="38">
        <v>0.39815999999999996</v>
      </c>
      <c r="D70" s="38">
        <v>1</v>
      </c>
      <c r="E70" s="38" t="s">
        <v>29</v>
      </c>
      <c r="F70" s="41" t="s">
        <v>33</v>
      </c>
      <c r="G70" s="38" t="s">
        <v>31</v>
      </c>
    </row>
    <row r="71" spans="1:7">
      <c r="A71" s="41">
        <v>104</v>
      </c>
      <c r="B71" s="38">
        <v>1.2923</v>
      </c>
      <c r="C71" s="38">
        <v>0.40571999999999997</v>
      </c>
      <c r="D71" s="38">
        <v>1</v>
      </c>
      <c r="E71" s="38" t="s">
        <v>29</v>
      </c>
      <c r="F71" s="41" t="s">
        <v>33</v>
      </c>
      <c r="G71" s="38" t="s">
        <v>31</v>
      </c>
    </row>
    <row r="72" spans="1:7">
      <c r="A72" s="41">
        <v>104</v>
      </c>
      <c r="B72" s="38">
        <v>1.4</v>
      </c>
      <c r="C72" s="38">
        <v>0.41075999999999996</v>
      </c>
      <c r="D72" s="38">
        <v>1</v>
      </c>
      <c r="E72" s="38" t="s">
        <v>29</v>
      </c>
      <c r="F72" s="41" t="s">
        <v>33</v>
      </c>
      <c r="G72" s="38" t="s">
        <v>31</v>
      </c>
    </row>
    <row r="73" spans="1:7">
      <c r="A73" s="41">
        <v>104</v>
      </c>
      <c r="B73" s="38">
        <v>1.5077</v>
      </c>
      <c r="C73" s="38">
        <v>0.41411999999999999</v>
      </c>
      <c r="D73" s="38">
        <v>1</v>
      </c>
      <c r="E73" s="38" t="s">
        <v>29</v>
      </c>
      <c r="F73" s="41" t="s">
        <v>33</v>
      </c>
      <c r="G73" s="38" t="s">
        <v>31</v>
      </c>
    </row>
    <row r="74" spans="1:7">
      <c r="A74" s="41">
        <v>104</v>
      </c>
      <c r="B74" s="38">
        <v>1.6153999999999999</v>
      </c>
      <c r="C74" s="38">
        <v>0.41621999999999998</v>
      </c>
      <c r="D74" s="38">
        <v>1</v>
      </c>
      <c r="E74" s="38" t="s">
        <v>29</v>
      </c>
      <c r="F74" s="41" t="s">
        <v>33</v>
      </c>
      <c r="G74" s="38" t="s">
        <v>31</v>
      </c>
    </row>
    <row r="75" spans="1:7">
      <c r="A75" s="41">
        <v>104</v>
      </c>
      <c r="B75" s="38">
        <v>1.7231000000000001</v>
      </c>
      <c r="C75" s="38">
        <v>0.41748000000000002</v>
      </c>
      <c r="D75" s="38">
        <v>1</v>
      </c>
      <c r="E75" s="38" t="s">
        <v>29</v>
      </c>
      <c r="F75" s="41" t="s">
        <v>33</v>
      </c>
      <c r="G75" s="38" t="s">
        <v>31</v>
      </c>
    </row>
    <row r="76" spans="1:7">
      <c r="A76" s="41">
        <v>104</v>
      </c>
      <c r="B76" s="38">
        <v>1.8308</v>
      </c>
      <c r="C76" s="38">
        <v>0.41873999999999995</v>
      </c>
      <c r="D76" s="38">
        <v>1</v>
      </c>
      <c r="E76" s="38" t="s">
        <v>29</v>
      </c>
      <c r="F76" s="41" t="s">
        <v>33</v>
      </c>
      <c r="G76" s="38" t="s">
        <v>31</v>
      </c>
    </row>
    <row r="77" spans="1:7">
      <c r="A77" s="41">
        <v>104</v>
      </c>
      <c r="B77" s="38">
        <v>1.9384999999999999</v>
      </c>
      <c r="C77" s="38">
        <v>0.41915999999999998</v>
      </c>
      <c r="D77" s="38">
        <v>1</v>
      </c>
      <c r="E77" s="38" t="s">
        <v>29</v>
      </c>
      <c r="F77" s="41" t="s">
        <v>33</v>
      </c>
      <c r="G77" s="38" t="s">
        <v>31</v>
      </c>
    </row>
    <row r="78" spans="1:7">
      <c r="A78" s="41">
        <v>104</v>
      </c>
      <c r="B78" s="38">
        <v>2.0461999999999998</v>
      </c>
      <c r="C78" s="38">
        <v>0.41958000000000001</v>
      </c>
      <c r="D78" s="38">
        <v>1</v>
      </c>
      <c r="E78" s="38" t="s">
        <v>29</v>
      </c>
      <c r="F78" s="41" t="s">
        <v>33</v>
      </c>
      <c r="G78" s="38" t="s">
        <v>31</v>
      </c>
    </row>
    <row r="79" spans="1:7">
      <c r="A79" s="41">
        <v>104</v>
      </c>
      <c r="B79" s="38">
        <v>2.1537999999999999</v>
      </c>
      <c r="C79" s="38">
        <v>0.41958000000000001</v>
      </c>
      <c r="D79" s="38">
        <v>1</v>
      </c>
      <c r="E79" s="38" t="s">
        <v>29</v>
      </c>
      <c r="F79" s="41" t="s">
        <v>33</v>
      </c>
      <c r="G79" s="38" t="s">
        <v>31</v>
      </c>
    </row>
    <row r="80" spans="1:7">
      <c r="A80" s="41">
        <v>104</v>
      </c>
      <c r="B80" s="38">
        <v>2.2614999999999998</v>
      </c>
      <c r="C80" s="38">
        <v>0.42</v>
      </c>
      <c r="D80" s="38">
        <v>1</v>
      </c>
      <c r="E80" s="38" t="s">
        <v>29</v>
      </c>
      <c r="F80" s="41" t="s">
        <v>33</v>
      </c>
      <c r="G80" s="38" t="s">
        <v>31</v>
      </c>
    </row>
    <row r="81" spans="1:7">
      <c r="A81" s="41">
        <v>104</v>
      </c>
      <c r="B81" s="38">
        <v>2.3692000000000002</v>
      </c>
      <c r="C81" s="38">
        <v>0.42</v>
      </c>
      <c r="D81" s="38">
        <v>1</v>
      </c>
      <c r="E81" s="38" t="s">
        <v>29</v>
      </c>
      <c r="F81" s="41" t="s">
        <v>33</v>
      </c>
      <c r="G81" s="38" t="s">
        <v>31</v>
      </c>
    </row>
    <row r="82" spans="1:7">
      <c r="A82" s="41">
        <v>104</v>
      </c>
      <c r="B82" s="38">
        <v>2.4769000000000001</v>
      </c>
      <c r="C82" s="38">
        <v>0.42</v>
      </c>
      <c r="D82" s="38">
        <v>1</v>
      </c>
      <c r="E82" s="38" t="s">
        <v>29</v>
      </c>
      <c r="F82" s="41" t="s">
        <v>33</v>
      </c>
      <c r="G82" s="38" t="s">
        <v>31</v>
      </c>
    </row>
    <row r="83" spans="1:7">
      <c r="A83" s="41">
        <v>104</v>
      </c>
      <c r="B83" s="38">
        <v>2.5846</v>
      </c>
      <c r="C83" s="38">
        <v>0.42</v>
      </c>
      <c r="D83" s="38">
        <v>1</v>
      </c>
      <c r="E83" s="38" t="s">
        <v>29</v>
      </c>
      <c r="F83" s="41" t="s">
        <v>33</v>
      </c>
      <c r="G83" s="38" t="s">
        <v>31</v>
      </c>
    </row>
    <row r="84" spans="1:7">
      <c r="A84" s="41">
        <v>104</v>
      </c>
      <c r="B84" s="38">
        <v>2.6922999999999999</v>
      </c>
      <c r="C84" s="38">
        <v>0.42</v>
      </c>
      <c r="D84" s="38">
        <v>1</v>
      </c>
      <c r="E84" s="38" t="s">
        <v>29</v>
      </c>
      <c r="F84" s="41" t="s">
        <v>33</v>
      </c>
      <c r="G84" s="38" t="s">
        <v>31</v>
      </c>
    </row>
    <row r="85" spans="1:7">
      <c r="A85" s="41">
        <v>104</v>
      </c>
      <c r="B85" s="38">
        <v>2.8</v>
      </c>
      <c r="C85" s="38">
        <v>0.42</v>
      </c>
      <c r="D85" s="38">
        <v>1</v>
      </c>
      <c r="E85" s="38" t="s">
        <v>29</v>
      </c>
      <c r="F85" s="41" t="s">
        <v>33</v>
      </c>
      <c r="G85" s="38" t="s">
        <v>31</v>
      </c>
    </row>
    <row r="86" spans="1:7">
      <c r="A86" s="40">
        <v>102</v>
      </c>
      <c r="B86" s="40">
        <v>0</v>
      </c>
      <c r="C86" s="40">
        <v>0</v>
      </c>
      <c r="D86" s="40">
        <v>1</v>
      </c>
      <c r="E86" s="40" t="s">
        <v>29</v>
      </c>
      <c r="F86" s="40" t="s">
        <v>34</v>
      </c>
      <c r="G86" s="40" t="s">
        <v>31</v>
      </c>
    </row>
    <row r="87" spans="1:7">
      <c r="A87" s="40">
        <v>102</v>
      </c>
      <c r="B87" s="40">
        <v>0.1077</v>
      </c>
      <c r="C87" s="40">
        <v>7.7999999999999996E-3</v>
      </c>
      <c r="D87" s="40">
        <v>1</v>
      </c>
      <c r="E87" s="40" t="s">
        <v>29</v>
      </c>
      <c r="F87" s="40" t="s">
        <v>34</v>
      </c>
      <c r="G87" s="40" t="s">
        <v>31</v>
      </c>
    </row>
    <row r="88" spans="1:7">
      <c r="A88" s="40">
        <v>102</v>
      </c>
      <c r="B88" s="40">
        <v>0.21540000000000001</v>
      </c>
      <c r="C88" s="40">
        <v>2.8199999999999999E-2</v>
      </c>
      <c r="D88" s="40">
        <v>1</v>
      </c>
      <c r="E88" s="40" t="s">
        <v>29</v>
      </c>
      <c r="F88" s="40" t="s">
        <v>34</v>
      </c>
      <c r="G88" s="40" t="s">
        <v>31</v>
      </c>
    </row>
    <row r="89" spans="1:7">
      <c r="A89" s="40">
        <v>102</v>
      </c>
      <c r="B89" s="40">
        <v>0.3231</v>
      </c>
      <c r="C89" s="40">
        <v>5.7599999999999998E-2</v>
      </c>
      <c r="D89" s="40">
        <v>1</v>
      </c>
      <c r="E89" s="40" t="s">
        <v>29</v>
      </c>
      <c r="F89" s="40" t="s">
        <v>34</v>
      </c>
      <c r="G89" s="40" t="s">
        <v>31</v>
      </c>
    </row>
    <row r="90" spans="1:7">
      <c r="A90" s="40">
        <v>102</v>
      </c>
      <c r="B90" s="40">
        <v>0.43080000000000002</v>
      </c>
      <c r="C90" s="40">
        <v>9.2700000000000005E-2</v>
      </c>
      <c r="D90" s="40">
        <v>1</v>
      </c>
      <c r="E90" s="40" t="s">
        <v>29</v>
      </c>
      <c r="F90" s="40" t="s">
        <v>34</v>
      </c>
      <c r="G90" s="40" t="s">
        <v>31</v>
      </c>
    </row>
    <row r="91" spans="1:7">
      <c r="A91" s="40">
        <v>102</v>
      </c>
      <c r="B91" s="40">
        <v>0.53849999999999998</v>
      </c>
      <c r="C91" s="40">
        <v>0.12959999999999999</v>
      </c>
      <c r="D91" s="40">
        <v>1</v>
      </c>
      <c r="E91" s="40" t="s">
        <v>29</v>
      </c>
      <c r="F91" s="40" t="s">
        <v>34</v>
      </c>
      <c r="G91" s="40" t="s">
        <v>31</v>
      </c>
    </row>
    <row r="92" spans="1:7">
      <c r="A92" s="40">
        <v>102</v>
      </c>
      <c r="B92" s="40">
        <v>0.6462</v>
      </c>
      <c r="C92" s="40">
        <v>0.1653</v>
      </c>
      <c r="D92" s="40">
        <v>1</v>
      </c>
      <c r="E92" s="40" t="s">
        <v>29</v>
      </c>
      <c r="F92" s="40" t="s">
        <v>34</v>
      </c>
      <c r="G92" s="40" t="s">
        <v>31</v>
      </c>
    </row>
    <row r="93" spans="1:7">
      <c r="A93" s="40">
        <v>102</v>
      </c>
      <c r="B93" s="40">
        <v>0.75380000000000003</v>
      </c>
      <c r="C93" s="40">
        <v>0.19739999999999999</v>
      </c>
      <c r="D93" s="40">
        <v>1</v>
      </c>
      <c r="E93" s="40" t="s">
        <v>29</v>
      </c>
      <c r="F93" s="40" t="s">
        <v>34</v>
      </c>
      <c r="G93" s="40" t="s">
        <v>31</v>
      </c>
    </row>
    <row r="94" spans="1:7">
      <c r="A94" s="40">
        <v>102</v>
      </c>
      <c r="B94" s="40">
        <v>0.86150000000000004</v>
      </c>
      <c r="C94" s="40">
        <v>0.22500000000000001</v>
      </c>
      <c r="D94" s="40">
        <v>1</v>
      </c>
      <c r="E94" s="40" t="s">
        <v>29</v>
      </c>
      <c r="F94" s="40" t="s">
        <v>34</v>
      </c>
      <c r="G94" s="40" t="s">
        <v>31</v>
      </c>
    </row>
    <row r="95" spans="1:7">
      <c r="A95" s="40">
        <v>102</v>
      </c>
      <c r="B95" s="40">
        <v>0.96919999999999995</v>
      </c>
      <c r="C95" s="40">
        <v>0.24690000000000001</v>
      </c>
      <c r="D95" s="40">
        <v>1</v>
      </c>
      <c r="E95" s="40" t="s">
        <v>29</v>
      </c>
      <c r="F95" s="40" t="s">
        <v>34</v>
      </c>
      <c r="G95" s="40" t="s">
        <v>31</v>
      </c>
    </row>
    <row r="96" spans="1:7">
      <c r="A96" s="40">
        <v>102</v>
      </c>
      <c r="B96" s="40">
        <v>1.0769</v>
      </c>
      <c r="C96" s="40">
        <v>0.26400000000000001</v>
      </c>
      <c r="D96" s="40">
        <v>1</v>
      </c>
      <c r="E96" s="40" t="s">
        <v>29</v>
      </c>
      <c r="F96" s="40" t="s">
        <v>34</v>
      </c>
      <c r="G96" s="40" t="s">
        <v>31</v>
      </c>
    </row>
    <row r="97" spans="1:7">
      <c r="A97" s="40">
        <v>102</v>
      </c>
      <c r="B97" s="40">
        <v>1.1846000000000001</v>
      </c>
      <c r="C97" s="40">
        <v>0.27629999999999999</v>
      </c>
      <c r="D97" s="40">
        <v>1</v>
      </c>
      <c r="E97" s="40" t="s">
        <v>29</v>
      </c>
      <c r="F97" s="40" t="s">
        <v>34</v>
      </c>
      <c r="G97" s="40" t="s">
        <v>31</v>
      </c>
    </row>
    <row r="98" spans="1:7">
      <c r="A98" s="40">
        <v>102</v>
      </c>
      <c r="B98" s="40">
        <v>1.2923</v>
      </c>
      <c r="C98" s="40">
        <v>0.28499999999999998</v>
      </c>
      <c r="D98" s="40">
        <v>1</v>
      </c>
      <c r="E98" s="40" t="s">
        <v>29</v>
      </c>
      <c r="F98" s="40" t="s">
        <v>34</v>
      </c>
      <c r="G98" s="40" t="s">
        <v>31</v>
      </c>
    </row>
    <row r="99" spans="1:7">
      <c r="A99" s="40">
        <v>102</v>
      </c>
      <c r="B99" s="40">
        <v>1.4</v>
      </c>
      <c r="C99" s="40">
        <v>0.29099999999999998</v>
      </c>
      <c r="D99" s="40">
        <v>1</v>
      </c>
      <c r="E99" s="40" t="s">
        <v>29</v>
      </c>
      <c r="F99" s="40" t="s">
        <v>34</v>
      </c>
      <c r="G99" s="40" t="s">
        <v>31</v>
      </c>
    </row>
    <row r="100" spans="1:7">
      <c r="A100" s="40">
        <v>102</v>
      </c>
      <c r="B100" s="40">
        <v>1.5077</v>
      </c>
      <c r="C100" s="40">
        <v>0.29459999999999997</v>
      </c>
      <c r="D100" s="40">
        <v>1</v>
      </c>
      <c r="E100" s="40" t="s">
        <v>29</v>
      </c>
      <c r="F100" s="40" t="s">
        <v>34</v>
      </c>
      <c r="G100" s="40" t="s">
        <v>31</v>
      </c>
    </row>
    <row r="101" spans="1:7">
      <c r="A101" s="40">
        <v>102</v>
      </c>
      <c r="B101" s="40">
        <v>1.6153999999999999</v>
      </c>
      <c r="C101" s="40">
        <v>0.29699999999999999</v>
      </c>
      <c r="D101" s="40">
        <v>1</v>
      </c>
      <c r="E101" s="40" t="s">
        <v>29</v>
      </c>
      <c r="F101" s="40" t="s">
        <v>34</v>
      </c>
      <c r="G101" s="40" t="s">
        <v>31</v>
      </c>
    </row>
    <row r="102" spans="1:7">
      <c r="A102" s="40">
        <v>102</v>
      </c>
      <c r="B102" s="40">
        <v>1.7231000000000001</v>
      </c>
      <c r="C102" s="40">
        <v>0.29820000000000002</v>
      </c>
      <c r="D102" s="40">
        <v>1</v>
      </c>
      <c r="E102" s="40" t="s">
        <v>29</v>
      </c>
      <c r="F102" s="40" t="s">
        <v>34</v>
      </c>
      <c r="G102" s="40" t="s">
        <v>31</v>
      </c>
    </row>
    <row r="103" spans="1:7">
      <c r="A103" s="40">
        <v>102</v>
      </c>
      <c r="B103" s="40">
        <v>1.8308</v>
      </c>
      <c r="C103" s="40">
        <v>0.29909999999999998</v>
      </c>
      <c r="D103" s="40">
        <v>1</v>
      </c>
      <c r="E103" s="40" t="s">
        <v>29</v>
      </c>
      <c r="F103" s="40" t="s">
        <v>34</v>
      </c>
      <c r="G103" s="40" t="s">
        <v>31</v>
      </c>
    </row>
    <row r="104" spans="1:7">
      <c r="A104" s="40">
        <v>102</v>
      </c>
      <c r="B104" s="40">
        <v>1.9384999999999999</v>
      </c>
      <c r="C104" s="40">
        <v>0.29970000000000002</v>
      </c>
      <c r="D104" s="40">
        <v>1</v>
      </c>
      <c r="E104" s="40" t="s">
        <v>29</v>
      </c>
      <c r="F104" s="40" t="s">
        <v>34</v>
      </c>
      <c r="G104" s="40" t="s">
        <v>31</v>
      </c>
    </row>
    <row r="105" spans="1:7">
      <c r="A105" s="40">
        <v>102</v>
      </c>
      <c r="B105" s="40">
        <v>2.0461999999999998</v>
      </c>
      <c r="C105" s="40">
        <v>0.29970000000000002</v>
      </c>
      <c r="D105" s="40">
        <v>1</v>
      </c>
      <c r="E105" s="40" t="s">
        <v>29</v>
      </c>
      <c r="F105" s="40" t="s">
        <v>34</v>
      </c>
      <c r="G105" s="40" t="s">
        <v>31</v>
      </c>
    </row>
    <row r="106" spans="1:7">
      <c r="A106" s="40">
        <v>102</v>
      </c>
      <c r="B106" s="40">
        <v>2.1537999999999999</v>
      </c>
      <c r="C106" s="40">
        <v>0.3</v>
      </c>
      <c r="D106" s="40">
        <v>1</v>
      </c>
      <c r="E106" s="40" t="s">
        <v>29</v>
      </c>
      <c r="F106" s="40" t="s">
        <v>34</v>
      </c>
      <c r="G106" s="40" t="s">
        <v>31</v>
      </c>
    </row>
    <row r="107" spans="1:7">
      <c r="A107" s="40">
        <v>102</v>
      </c>
      <c r="B107" s="40">
        <v>2.2614999999999998</v>
      </c>
      <c r="C107" s="40">
        <v>0.3</v>
      </c>
      <c r="D107" s="40">
        <v>1</v>
      </c>
      <c r="E107" s="40" t="s">
        <v>29</v>
      </c>
      <c r="F107" s="40" t="s">
        <v>34</v>
      </c>
      <c r="G107" s="40" t="s">
        <v>31</v>
      </c>
    </row>
    <row r="108" spans="1:7">
      <c r="A108" s="40">
        <v>102</v>
      </c>
      <c r="B108" s="40">
        <v>2.3692000000000002</v>
      </c>
      <c r="C108" s="40">
        <v>0.3</v>
      </c>
      <c r="D108" s="40">
        <v>1</v>
      </c>
      <c r="E108" s="40" t="s">
        <v>29</v>
      </c>
      <c r="F108" s="40" t="s">
        <v>34</v>
      </c>
      <c r="G108" s="40" t="s">
        <v>31</v>
      </c>
    </row>
    <row r="109" spans="1:7">
      <c r="A109" s="40">
        <v>102</v>
      </c>
      <c r="B109" s="40">
        <v>2.4769000000000001</v>
      </c>
      <c r="C109" s="40">
        <v>0.3</v>
      </c>
      <c r="D109" s="40">
        <v>1</v>
      </c>
      <c r="E109" s="40" t="s">
        <v>29</v>
      </c>
      <c r="F109" s="40" t="s">
        <v>34</v>
      </c>
      <c r="G109" s="40" t="s">
        <v>31</v>
      </c>
    </row>
    <row r="110" spans="1:7">
      <c r="A110" s="40">
        <v>102</v>
      </c>
      <c r="B110" s="40">
        <v>2.5846</v>
      </c>
      <c r="C110" s="40">
        <v>0.3</v>
      </c>
      <c r="D110" s="40">
        <v>1</v>
      </c>
      <c r="E110" s="40" t="s">
        <v>29</v>
      </c>
      <c r="F110" s="40" t="s">
        <v>34</v>
      </c>
      <c r="G110" s="40" t="s">
        <v>31</v>
      </c>
    </row>
    <row r="111" spans="1:7">
      <c r="A111" s="40">
        <v>102</v>
      </c>
      <c r="B111" s="40">
        <v>2.6922999999999999</v>
      </c>
      <c r="C111" s="40">
        <v>0.3</v>
      </c>
      <c r="D111" s="40">
        <v>1</v>
      </c>
      <c r="E111" s="40" t="s">
        <v>29</v>
      </c>
      <c r="F111" s="40" t="s">
        <v>34</v>
      </c>
      <c r="G111" s="40" t="s">
        <v>31</v>
      </c>
    </row>
    <row r="112" spans="1:7">
      <c r="A112" s="40">
        <v>102</v>
      </c>
      <c r="B112" s="40">
        <v>2.8</v>
      </c>
      <c r="C112" s="40">
        <v>0.3</v>
      </c>
      <c r="D112" s="40">
        <v>1</v>
      </c>
      <c r="E112" s="40" t="s">
        <v>29</v>
      </c>
      <c r="F112" s="40" t="s">
        <v>34</v>
      </c>
      <c r="G112" s="40" t="s">
        <v>31</v>
      </c>
    </row>
    <row r="113" spans="1:7">
      <c r="A113" s="38">
        <v>106</v>
      </c>
      <c r="B113" s="38">
        <v>0</v>
      </c>
      <c r="C113" s="38">
        <v>0</v>
      </c>
      <c r="D113" s="38">
        <v>1</v>
      </c>
      <c r="E113" s="38" t="s">
        <v>29</v>
      </c>
      <c r="F113" s="38" t="s">
        <v>35</v>
      </c>
      <c r="G113" s="38" t="s">
        <v>31</v>
      </c>
    </row>
    <row r="114" spans="1:7">
      <c r="A114" s="38">
        <v>106</v>
      </c>
      <c r="B114" s="38">
        <v>0.1077</v>
      </c>
      <c r="C114" s="38">
        <v>6.2399999999999999E-3</v>
      </c>
      <c r="D114" s="38">
        <v>1</v>
      </c>
      <c r="E114" s="38" t="s">
        <v>29</v>
      </c>
      <c r="F114" s="38" t="s">
        <v>35</v>
      </c>
      <c r="G114" s="38" t="s">
        <v>31</v>
      </c>
    </row>
    <row r="115" spans="1:7">
      <c r="A115" s="38">
        <v>106</v>
      </c>
      <c r="B115" s="38">
        <v>0.21540000000000001</v>
      </c>
      <c r="C115" s="38">
        <v>2.256E-2</v>
      </c>
      <c r="D115" s="38">
        <v>1</v>
      </c>
      <c r="E115" s="38" t="s">
        <v>29</v>
      </c>
      <c r="F115" s="38" t="s">
        <v>35</v>
      </c>
      <c r="G115" s="38" t="s">
        <v>31</v>
      </c>
    </row>
    <row r="116" spans="1:7">
      <c r="A116" s="38">
        <v>106</v>
      </c>
      <c r="B116" s="38">
        <v>0.3231</v>
      </c>
      <c r="C116" s="38">
        <v>4.6080000000000003E-2</v>
      </c>
      <c r="D116" s="38">
        <v>1</v>
      </c>
      <c r="E116" s="38" t="s">
        <v>29</v>
      </c>
      <c r="F116" s="38" t="s">
        <v>35</v>
      </c>
      <c r="G116" s="38" t="s">
        <v>31</v>
      </c>
    </row>
    <row r="117" spans="1:7">
      <c r="A117" s="38">
        <v>106</v>
      </c>
      <c r="B117" s="38">
        <v>0.43080000000000002</v>
      </c>
      <c r="C117" s="38">
        <v>7.4160000000000004E-2</v>
      </c>
      <c r="D117" s="38">
        <v>1</v>
      </c>
      <c r="E117" s="38" t="s">
        <v>29</v>
      </c>
      <c r="F117" s="38" t="s">
        <v>35</v>
      </c>
      <c r="G117" s="38" t="s">
        <v>31</v>
      </c>
    </row>
    <row r="118" spans="1:7">
      <c r="A118" s="38">
        <v>106</v>
      </c>
      <c r="B118" s="38">
        <v>0.53849999999999998</v>
      </c>
      <c r="C118" s="38">
        <v>0.10367999999999999</v>
      </c>
      <c r="D118" s="38">
        <v>1</v>
      </c>
      <c r="E118" s="38" t="s">
        <v>29</v>
      </c>
      <c r="F118" s="38" t="s">
        <v>35</v>
      </c>
      <c r="G118" s="38" t="s">
        <v>31</v>
      </c>
    </row>
    <row r="119" spans="1:7">
      <c r="A119" s="38">
        <v>106</v>
      </c>
      <c r="B119" s="38">
        <v>0.6462</v>
      </c>
      <c r="C119" s="38">
        <v>0.13224</v>
      </c>
      <c r="D119" s="38">
        <v>1</v>
      </c>
      <c r="E119" s="38" t="s">
        <v>29</v>
      </c>
      <c r="F119" s="38" t="s">
        <v>35</v>
      </c>
      <c r="G119" s="38" t="s">
        <v>31</v>
      </c>
    </row>
    <row r="120" spans="1:7">
      <c r="A120" s="38">
        <v>106</v>
      </c>
      <c r="B120" s="38">
        <v>0.75380000000000003</v>
      </c>
      <c r="C120" s="38">
        <v>0.15792</v>
      </c>
      <c r="D120" s="38">
        <v>1</v>
      </c>
      <c r="E120" s="38" t="s">
        <v>29</v>
      </c>
      <c r="F120" s="38" t="s">
        <v>35</v>
      </c>
      <c r="G120" s="38" t="s">
        <v>31</v>
      </c>
    </row>
    <row r="121" spans="1:7">
      <c r="A121" s="38">
        <v>106</v>
      </c>
      <c r="B121" s="38">
        <v>0.86150000000000004</v>
      </c>
      <c r="C121" s="38">
        <v>0.18000000000000002</v>
      </c>
      <c r="D121" s="38">
        <v>1</v>
      </c>
      <c r="E121" s="38" t="s">
        <v>29</v>
      </c>
      <c r="F121" s="38" t="s">
        <v>35</v>
      </c>
      <c r="G121" s="38" t="s">
        <v>31</v>
      </c>
    </row>
    <row r="122" spans="1:7">
      <c r="A122" s="38">
        <v>106</v>
      </c>
      <c r="B122" s="38">
        <v>0.96919999999999995</v>
      </c>
      <c r="C122" s="38">
        <v>0.19752000000000003</v>
      </c>
      <c r="D122" s="38">
        <v>1</v>
      </c>
      <c r="E122" s="38" t="s">
        <v>29</v>
      </c>
      <c r="F122" s="38" t="s">
        <v>35</v>
      </c>
      <c r="G122" s="38" t="s">
        <v>31</v>
      </c>
    </row>
    <row r="123" spans="1:7">
      <c r="A123" s="38">
        <v>106</v>
      </c>
      <c r="B123" s="38">
        <v>1.0769</v>
      </c>
      <c r="C123" s="38">
        <v>0.21120000000000003</v>
      </c>
      <c r="D123" s="38">
        <v>1</v>
      </c>
      <c r="E123" s="38" t="s">
        <v>29</v>
      </c>
      <c r="F123" s="38" t="s">
        <v>35</v>
      </c>
      <c r="G123" s="38" t="s">
        <v>31</v>
      </c>
    </row>
    <row r="124" spans="1:7">
      <c r="A124" s="38">
        <v>106</v>
      </c>
      <c r="B124" s="38">
        <v>1.1846000000000001</v>
      </c>
      <c r="C124" s="38">
        <v>0.22104000000000001</v>
      </c>
      <c r="D124" s="38">
        <v>1</v>
      </c>
      <c r="E124" s="38" t="s">
        <v>29</v>
      </c>
      <c r="F124" s="38" t="s">
        <v>35</v>
      </c>
      <c r="G124" s="38" t="s">
        <v>31</v>
      </c>
    </row>
    <row r="125" spans="1:7">
      <c r="A125" s="38">
        <v>106</v>
      </c>
      <c r="B125" s="38">
        <v>1.2923</v>
      </c>
      <c r="C125" s="38">
        <v>0.22799999999999998</v>
      </c>
      <c r="D125" s="38">
        <v>1</v>
      </c>
      <c r="E125" s="38" t="s">
        <v>29</v>
      </c>
      <c r="F125" s="38" t="s">
        <v>35</v>
      </c>
      <c r="G125" s="38" t="s">
        <v>31</v>
      </c>
    </row>
    <row r="126" spans="1:7">
      <c r="A126" s="38">
        <v>106</v>
      </c>
      <c r="B126" s="38">
        <v>1.4</v>
      </c>
      <c r="C126" s="38">
        <v>0.23280000000000001</v>
      </c>
      <c r="D126" s="38">
        <v>1</v>
      </c>
      <c r="E126" s="38" t="s">
        <v>29</v>
      </c>
      <c r="F126" s="38" t="s">
        <v>35</v>
      </c>
      <c r="G126" s="38" t="s">
        <v>31</v>
      </c>
    </row>
    <row r="127" spans="1:7">
      <c r="A127" s="38">
        <v>106</v>
      </c>
      <c r="B127" s="38">
        <v>1.5077</v>
      </c>
      <c r="C127" s="38">
        <v>0.23568</v>
      </c>
      <c r="D127" s="38">
        <v>1</v>
      </c>
      <c r="E127" s="38" t="s">
        <v>29</v>
      </c>
      <c r="F127" s="38" t="s">
        <v>35</v>
      </c>
      <c r="G127" s="38" t="s">
        <v>31</v>
      </c>
    </row>
    <row r="128" spans="1:7">
      <c r="A128" s="38">
        <v>106</v>
      </c>
      <c r="B128" s="38">
        <v>1.6153999999999999</v>
      </c>
      <c r="C128" s="38">
        <v>0.23760000000000001</v>
      </c>
      <c r="D128" s="38">
        <v>1</v>
      </c>
      <c r="E128" s="38" t="s">
        <v>29</v>
      </c>
      <c r="F128" s="38" t="s">
        <v>35</v>
      </c>
      <c r="G128" s="38" t="s">
        <v>31</v>
      </c>
    </row>
    <row r="129" spans="1:7">
      <c r="A129" s="38">
        <v>106</v>
      </c>
      <c r="B129" s="38">
        <v>1.7231000000000001</v>
      </c>
      <c r="C129" s="38">
        <v>0.23856000000000002</v>
      </c>
      <c r="D129" s="38">
        <v>1</v>
      </c>
      <c r="E129" s="38" t="s">
        <v>29</v>
      </c>
      <c r="F129" s="38" t="s">
        <v>35</v>
      </c>
      <c r="G129" s="38" t="s">
        <v>31</v>
      </c>
    </row>
    <row r="130" spans="1:7">
      <c r="A130" s="38">
        <v>106</v>
      </c>
      <c r="B130" s="38">
        <v>1.8308</v>
      </c>
      <c r="C130" s="38">
        <v>0.23927999999999999</v>
      </c>
      <c r="D130" s="38">
        <v>1</v>
      </c>
      <c r="E130" s="38" t="s">
        <v>29</v>
      </c>
      <c r="F130" s="38" t="s">
        <v>35</v>
      </c>
      <c r="G130" s="38" t="s">
        <v>31</v>
      </c>
    </row>
    <row r="131" spans="1:7">
      <c r="A131" s="38">
        <v>106</v>
      </c>
      <c r="B131" s="38">
        <v>1.9384999999999999</v>
      </c>
      <c r="C131" s="38">
        <v>0.23976000000000003</v>
      </c>
      <c r="D131" s="38">
        <v>1</v>
      </c>
      <c r="E131" s="38" t="s">
        <v>29</v>
      </c>
      <c r="F131" s="38" t="s">
        <v>35</v>
      </c>
      <c r="G131" s="38" t="s">
        <v>31</v>
      </c>
    </row>
    <row r="132" spans="1:7">
      <c r="A132" s="38">
        <v>106</v>
      </c>
      <c r="B132" s="38">
        <v>2.0461999999999998</v>
      </c>
      <c r="C132" s="38">
        <v>0.23976000000000003</v>
      </c>
      <c r="D132" s="38">
        <v>1</v>
      </c>
      <c r="E132" s="38" t="s">
        <v>29</v>
      </c>
      <c r="F132" s="38" t="s">
        <v>35</v>
      </c>
      <c r="G132" s="38" t="s">
        <v>31</v>
      </c>
    </row>
    <row r="133" spans="1:7">
      <c r="A133" s="38">
        <v>106</v>
      </c>
      <c r="B133" s="38">
        <v>2.1537999999999999</v>
      </c>
      <c r="C133" s="38">
        <v>0.24</v>
      </c>
      <c r="D133" s="38">
        <v>1</v>
      </c>
      <c r="E133" s="38" t="s">
        <v>29</v>
      </c>
      <c r="F133" s="38" t="s">
        <v>35</v>
      </c>
      <c r="G133" s="38" t="s">
        <v>31</v>
      </c>
    </row>
    <row r="134" spans="1:7">
      <c r="A134" s="38">
        <v>106</v>
      </c>
      <c r="B134" s="38">
        <v>2.2614999999999998</v>
      </c>
      <c r="C134" s="38">
        <v>0.24</v>
      </c>
      <c r="D134" s="38">
        <v>1</v>
      </c>
      <c r="E134" s="38" t="s">
        <v>29</v>
      </c>
      <c r="F134" s="38" t="s">
        <v>35</v>
      </c>
      <c r="G134" s="38" t="s">
        <v>31</v>
      </c>
    </row>
    <row r="135" spans="1:7">
      <c r="A135" s="38">
        <v>106</v>
      </c>
      <c r="B135" s="38">
        <v>2.3692000000000002</v>
      </c>
      <c r="C135" s="38">
        <v>0.24</v>
      </c>
      <c r="D135" s="38">
        <v>1</v>
      </c>
      <c r="E135" s="38" t="s">
        <v>29</v>
      </c>
      <c r="F135" s="38" t="s">
        <v>35</v>
      </c>
      <c r="G135" s="38" t="s">
        <v>31</v>
      </c>
    </row>
    <row r="136" spans="1:7">
      <c r="A136" s="38">
        <v>106</v>
      </c>
      <c r="B136" s="38">
        <v>2.4769000000000001</v>
      </c>
      <c r="C136" s="38">
        <v>0.24</v>
      </c>
      <c r="D136" s="38">
        <v>1</v>
      </c>
      <c r="E136" s="38" t="s">
        <v>29</v>
      </c>
      <c r="F136" s="38" t="s">
        <v>35</v>
      </c>
      <c r="G136" s="38" t="s">
        <v>31</v>
      </c>
    </row>
    <row r="137" spans="1:7">
      <c r="A137" s="38">
        <v>106</v>
      </c>
      <c r="B137" s="38">
        <v>2.5846</v>
      </c>
      <c r="C137" s="38">
        <v>0.24</v>
      </c>
      <c r="D137" s="38">
        <v>1</v>
      </c>
      <c r="E137" s="38" t="s">
        <v>29</v>
      </c>
      <c r="F137" s="38" t="s">
        <v>35</v>
      </c>
      <c r="G137" s="38" t="s">
        <v>31</v>
      </c>
    </row>
    <row r="138" spans="1:7">
      <c r="A138" s="38">
        <v>106</v>
      </c>
      <c r="B138" s="38">
        <v>2.6922999999999999</v>
      </c>
      <c r="C138" s="38">
        <v>0.24</v>
      </c>
      <c r="D138" s="38">
        <v>1</v>
      </c>
      <c r="E138" s="38" t="s">
        <v>29</v>
      </c>
      <c r="F138" s="38" t="s">
        <v>35</v>
      </c>
      <c r="G138" s="38" t="s">
        <v>31</v>
      </c>
    </row>
    <row r="139" spans="1:7">
      <c r="A139" s="38">
        <v>106</v>
      </c>
      <c r="B139" s="38">
        <v>2.8</v>
      </c>
      <c r="C139" s="38">
        <v>0.24</v>
      </c>
      <c r="D139" s="38">
        <v>1</v>
      </c>
      <c r="E139" s="38" t="s">
        <v>29</v>
      </c>
      <c r="F139" s="38" t="s">
        <v>35</v>
      </c>
      <c r="G139" s="38" t="s">
        <v>31</v>
      </c>
    </row>
    <row r="140" spans="1:7">
      <c r="A140" s="40">
        <v>105</v>
      </c>
      <c r="B140" s="40">
        <v>0</v>
      </c>
      <c r="C140" s="40">
        <v>0</v>
      </c>
      <c r="D140" s="40">
        <v>1</v>
      </c>
      <c r="E140" s="40" t="s">
        <v>29</v>
      </c>
      <c r="F140" s="40" t="s">
        <v>36</v>
      </c>
      <c r="G140" s="40" t="s">
        <v>31</v>
      </c>
    </row>
    <row r="141" spans="1:7">
      <c r="A141" s="40">
        <v>105</v>
      </c>
      <c r="B141" s="40">
        <v>8.4599999999999995E-2</v>
      </c>
      <c r="C141" s="40">
        <v>2E-3</v>
      </c>
      <c r="D141" s="40">
        <v>1</v>
      </c>
      <c r="E141" s="40" t="s">
        <v>29</v>
      </c>
      <c r="F141" s="40" t="s">
        <v>36</v>
      </c>
      <c r="G141" s="40" t="s">
        <v>31</v>
      </c>
    </row>
    <row r="142" spans="1:7">
      <c r="A142" s="40">
        <v>105</v>
      </c>
      <c r="B142" s="40">
        <v>0.16919999999999999</v>
      </c>
      <c r="C142" s="40">
        <v>2.76E-2</v>
      </c>
      <c r="D142" s="40">
        <v>1</v>
      </c>
      <c r="E142" s="40" t="s">
        <v>29</v>
      </c>
      <c r="F142" s="40" t="s">
        <v>36</v>
      </c>
      <c r="G142" s="40" t="s">
        <v>31</v>
      </c>
    </row>
    <row r="143" spans="1:7">
      <c r="A143" s="40">
        <v>105</v>
      </c>
      <c r="B143" s="40">
        <v>0.25380000000000003</v>
      </c>
      <c r="C143" s="40">
        <v>0.11</v>
      </c>
      <c r="D143" s="40">
        <v>1</v>
      </c>
      <c r="E143" s="40" t="s">
        <v>29</v>
      </c>
      <c r="F143" s="40" t="s">
        <v>36</v>
      </c>
      <c r="G143" s="40" t="s">
        <v>31</v>
      </c>
    </row>
    <row r="144" spans="1:7">
      <c r="A144" s="40">
        <v>105</v>
      </c>
      <c r="B144" s="40">
        <v>0.33850000000000002</v>
      </c>
      <c r="C144" s="40">
        <v>0.24279999999999999</v>
      </c>
      <c r="D144" s="40">
        <v>1</v>
      </c>
      <c r="E144" s="40" t="s">
        <v>29</v>
      </c>
      <c r="F144" s="40" t="s">
        <v>36</v>
      </c>
      <c r="G144" s="40" t="s">
        <v>31</v>
      </c>
    </row>
    <row r="145" spans="1:7">
      <c r="A145" s="40">
        <v>105</v>
      </c>
      <c r="B145" s="40">
        <v>0.42309999999999998</v>
      </c>
      <c r="C145" s="40">
        <v>0.3528</v>
      </c>
      <c r="D145" s="40">
        <v>1</v>
      </c>
      <c r="E145" s="40" t="s">
        <v>29</v>
      </c>
      <c r="F145" s="40" t="s">
        <v>36</v>
      </c>
      <c r="G145" s="40" t="s">
        <v>31</v>
      </c>
    </row>
    <row r="146" spans="1:7">
      <c r="A146" s="40">
        <v>105</v>
      </c>
      <c r="B146" s="40">
        <v>0.50770000000000004</v>
      </c>
      <c r="C146" s="40">
        <v>0.39400000000000002</v>
      </c>
      <c r="D146" s="40">
        <v>1</v>
      </c>
      <c r="E146" s="40" t="s">
        <v>29</v>
      </c>
      <c r="F146" s="40" t="s">
        <v>36</v>
      </c>
      <c r="G146" s="40" t="s">
        <v>31</v>
      </c>
    </row>
    <row r="147" spans="1:7">
      <c r="A147" s="40">
        <v>105</v>
      </c>
      <c r="B147" s="40">
        <v>0.59230000000000005</v>
      </c>
      <c r="C147" s="40">
        <v>0.39960000000000001</v>
      </c>
      <c r="D147" s="40">
        <v>1</v>
      </c>
      <c r="E147" s="40" t="s">
        <v>29</v>
      </c>
      <c r="F147" s="40" t="s">
        <v>36</v>
      </c>
      <c r="G147" s="40" t="s">
        <v>31</v>
      </c>
    </row>
    <row r="148" spans="1:7">
      <c r="A148" s="40">
        <v>105</v>
      </c>
      <c r="B148" s="40">
        <v>0.67689999999999995</v>
      </c>
      <c r="C148" s="40">
        <v>0.4</v>
      </c>
      <c r="D148" s="40">
        <v>1</v>
      </c>
      <c r="E148" s="40" t="s">
        <v>29</v>
      </c>
      <c r="F148" s="40" t="s">
        <v>36</v>
      </c>
      <c r="G148" s="40" t="s">
        <v>31</v>
      </c>
    </row>
    <row r="149" spans="1:7">
      <c r="A149" s="40">
        <v>105</v>
      </c>
      <c r="B149" s="40">
        <v>0.76149999999999995</v>
      </c>
      <c r="C149" s="40">
        <v>0.4</v>
      </c>
      <c r="D149" s="40">
        <v>1</v>
      </c>
      <c r="E149" s="40" t="s">
        <v>29</v>
      </c>
      <c r="F149" s="40" t="s">
        <v>36</v>
      </c>
      <c r="G149" s="40" t="s">
        <v>31</v>
      </c>
    </row>
    <row r="150" spans="1:7">
      <c r="A150" s="40">
        <v>105</v>
      </c>
      <c r="B150" s="40">
        <v>0.84619999999999995</v>
      </c>
      <c r="C150" s="40">
        <v>0.4</v>
      </c>
      <c r="D150" s="40">
        <v>1</v>
      </c>
      <c r="E150" s="40" t="s">
        <v>29</v>
      </c>
      <c r="F150" s="40" t="s">
        <v>36</v>
      </c>
      <c r="G150" s="40" t="s">
        <v>31</v>
      </c>
    </row>
    <row r="151" spans="1:7">
      <c r="A151" s="40">
        <v>105</v>
      </c>
      <c r="B151" s="40">
        <v>0.93079999999999996</v>
      </c>
      <c r="C151" s="40">
        <v>0.4</v>
      </c>
      <c r="D151" s="40">
        <v>1</v>
      </c>
      <c r="E151" s="40" t="s">
        <v>29</v>
      </c>
      <c r="F151" s="40" t="s">
        <v>36</v>
      </c>
      <c r="G151" s="40" t="s">
        <v>31</v>
      </c>
    </row>
    <row r="152" spans="1:7">
      <c r="A152" s="40">
        <v>105</v>
      </c>
      <c r="B152" s="40">
        <v>1.0154000000000001</v>
      </c>
      <c r="C152" s="40">
        <v>0.4</v>
      </c>
      <c r="D152" s="40">
        <v>1</v>
      </c>
      <c r="E152" s="40" t="s">
        <v>29</v>
      </c>
      <c r="F152" s="40" t="s">
        <v>36</v>
      </c>
      <c r="G152" s="40" t="s">
        <v>31</v>
      </c>
    </row>
    <row r="153" spans="1:7">
      <c r="A153" s="40">
        <v>105</v>
      </c>
      <c r="B153" s="40">
        <v>1.1000000000000001</v>
      </c>
      <c r="C153" s="40">
        <v>0.4</v>
      </c>
      <c r="D153" s="40">
        <v>1</v>
      </c>
      <c r="E153" s="40" t="s">
        <v>29</v>
      </c>
      <c r="F153" s="40" t="s">
        <v>36</v>
      </c>
      <c r="G153" s="40" t="s">
        <v>31</v>
      </c>
    </row>
    <row r="154" spans="1:7">
      <c r="A154" s="40">
        <v>105</v>
      </c>
      <c r="B154" s="40">
        <v>1.1846000000000001</v>
      </c>
      <c r="C154" s="40">
        <v>0.4</v>
      </c>
      <c r="D154" s="40">
        <v>1</v>
      </c>
      <c r="E154" s="40" t="s">
        <v>29</v>
      </c>
      <c r="F154" s="40" t="s">
        <v>36</v>
      </c>
      <c r="G154" s="40" t="s">
        <v>31</v>
      </c>
    </row>
    <row r="155" spans="1:7">
      <c r="A155" s="40">
        <v>105</v>
      </c>
      <c r="B155" s="40">
        <v>1.2692000000000001</v>
      </c>
      <c r="C155" s="40">
        <v>0.4</v>
      </c>
      <c r="D155" s="40">
        <v>1</v>
      </c>
      <c r="E155" s="40" t="s">
        <v>29</v>
      </c>
      <c r="F155" s="40" t="s">
        <v>36</v>
      </c>
      <c r="G155" s="40" t="s">
        <v>31</v>
      </c>
    </row>
    <row r="156" spans="1:7">
      <c r="A156" s="40">
        <v>105</v>
      </c>
      <c r="B156" s="40">
        <v>1.3537999999999999</v>
      </c>
      <c r="C156" s="40">
        <v>0.4</v>
      </c>
      <c r="D156" s="40">
        <v>1</v>
      </c>
      <c r="E156" s="40" t="s">
        <v>29</v>
      </c>
      <c r="F156" s="40" t="s">
        <v>36</v>
      </c>
      <c r="G156" s="40" t="s">
        <v>31</v>
      </c>
    </row>
    <row r="157" spans="1:7">
      <c r="A157" s="40">
        <v>105</v>
      </c>
      <c r="B157" s="40">
        <v>1.4384999999999999</v>
      </c>
      <c r="C157" s="40">
        <v>0.4</v>
      </c>
      <c r="D157" s="40">
        <v>1</v>
      </c>
      <c r="E157" s="40" t="s">
        <v>29</v>
      </c>
      <c r="F157" s="40" t="s">
        <v>36</v>
      </c>
      <c r="G157" s="40" t="s">
        <v>31</v>
      </c>
    </row>
    <row r="158" spans="1:7">
      <c r="A158" s="40">
        <v>105</v>
      </c>
      <c r="B158" s="40">
        <v>1.5230999999999999</v>
      </c>
      <c r="C158" s="40">
        <v>0.4</v>
      </c>
      <c r="D158" s="40">
        <v>1</v>
      </c>
      <c r="E158" s="40" t="s">
        <v>29</v>
      </c>
      <c r="F158" s="40" t="s">
        <v>36</v>
      </c>
      <c r="G158" s="40" t="s">
        <v>31</v>
      </c>
    </row>
    <row r="159" spans="1:7">
      <c r="A159" s="40">
        <v>105</v>
      </c>
      <c r="B159" s="40">
        <v>1.6076999999999999</v>
      </c>
      <c r="C159" s="40">
        <v>0.4</v>
      </c>
      <c r="D159" s="40">
        <v>1</v>
      </c>
      <c r="E159" s="40" t="s">
        <v>29</v>
      </c>
      <c r="F159" s="40" t="s">
        <v>36</v>
      </c>
      <c r="G159" s="40" t="s">
        <v>31</v>
      </c>
    </row>
    <row r="160" spans="1:7">
      <c r="A160" s="40">
        <v>105</v>
      </c>
      <c r="B160" s="40">
        <v>1.6922999999999999</v>
      </c>
      <c r="C160" s="40">
        <v>0.4</v>
      </c>
      <c r="D160" s="40">
        <v>1</v>
      </c>
      <c r="E160" s="40" t="s">
        <v>29</v>
      </c>
      <c r="F160" s="40" t="s">
        <v>36</v>
      </c>
      <c r="G160" s="40" t="s">
        <v>31</v>
      </c>
    </row>
    <row r="161" spans="1:7">
      <c r="A161" s="40">
        <v>105</v>
      </c>
      <c r="B161" s="40">
        <v>1.7768999999999999</v>
      </c>
      <c r="C161" s="40">
        <v>0.4</v>
      </c>
      <c r="D161" s="40">
        <v>1</v>
      </c>
      <c r="E161" s="40" t="s">
        <v>29</v>
      </c>
      <c r="F161" s="40" t="s">
        <v>36</v>
      </c>
      <c r="G161" s="40" t="s">
        <v>31</v>
      </c>
    </row>
    <row r="162" spans="1:7">
      <c r="A162" s="40">
        <v>105</v>
      </c>
      <c r="B162" s="40">
        <v>1.8614999999999999</v>
      </c>
      <c r="C162" s="40">
        <v>0.4</v>
      </c>
      <c r="D162" s="40">
        <v>1</v>
      </c>
      <c r="E162" s="40" t="s">
        <v>29</v>
      </c>
      <c r="F162" s="40" t="s">
        <v>36</v>
      </c>
      <c r="G162" s="40" t="s">
        <v>31</v>
      </c>
    </row>
    <row r="163" spans="1:7">
      <c r="A163" s="40">
        <v>105</v>
      </c>
      <c r="B163" s="40">
        <v>1.9461999999999999</v>
      </c>
      <c r="C163" s="40">
        <v>0.4</v>
      </c>
      <c r="D163" s="40">
        <v>1</v>
      </c>
      <c r="E163" s="40" t="s">
        <v>29</v>
      </c>
      <c r="F163" s="40" t="s">
        <v>36</v>
      </c>
      <c r="G163" s="40" t="s">
        <v>31</v>
      </c>
    </row>
    <row r="164" spans="1:7">
      <c r="A164" s="40">
        <v>105</v>
      </c>
      <c r="B164" s="40">
        <v>2.0308000000000002</v>
      </c>
      <c r="C164" s="40">
        <v>0.4</v>
      </c>
      <c r="D164" s="40">
        <v>1</v>
      </c>
      <c r="E164" s="40" t="s">
        <v>29</v>
      </c>
      <c r="F164" s="40" t="s">
        <v>36</v>
      </c>
      <c r="G164" s="40" t="s">
        <v>31</v>
      </c>
    </row>
    <row r="165" spans="1:7">
      <c r="A165" s="40">
        <v>105</v>
      </c>
      <c r="B165" s="40">
        <v>2.1154000000000002</v>
      </c>
      <c r="C165" s="40">
        <v>0.4</v>
      </c>
      <c r="D165" s="40">
        <v>1</v>
      </c>
      <c r="E165" s="40" t="s">
        <v>29</v>
      </c>
      <c r="F165" s="40" t="s">
        <v>36</v>
      </c>
      <c r="G165" s="40" t="s">
        <v>31</v>
      </c>
    </row>
    <row r="166" spans="1:7">
      <c r="A166" s="40">
        <v>105</v>
      </c>
      <c r="B166" s="40">
        <v>2.2000000000000002</v>
      </c>
      <c r="C166" s="40">
        <v>0.4</v>
      </c>
      <c r="D166" s="40">
        <v>1</v>
      </c>
      <c r="E166" s="40" t="s">
        <v>29</v>
      </c>
      <c r="F166" s="40" t="s">
        <v>36</v>
      </c>
      <c r="G166" s="40" t="s">
        <v>31</v>
      </c>
    </row>
    <row r="167" spans="1:7">
      <c r="A167" s="38">
        <v>107</v>
      </c>
      <c r="B167" s="38">
        <v>0</v>
      </c>
      <c r="C167" s="39">
        <v>0</v>
      </c>
      <c r="D167" s="38">
        <v>1</v>
      </c>
      <c r="E167" s="38" t="s">
        <v>29</v>
      </c>
      <c r="F167" s="38" t="s">
        <v>37</v>
      </c>
      <c r="G167" s="38" t="s">
        <v>31</v>
      </c>
    </row>
    <row r="168" spans="1:7">
      <c r="A168" s="38">
        <v>107</v>
      </c>
      <c r="B168" s="38">
        <v>0.3</v>
      </c>
      <c r="C168" s="39">
        <v>0</v>
      </c>
      <c r="D168" s="38">
        <v>1</v>
      </c>
      <c r="E168" s="38" t="s">
        <v>29</v>
      </c>
      <c r="F168" s="38" t="s">
        <v>37</v>
      </c>
      <c r="G168" s="38" t="s">
        <v>31</v>
      </c>
    </row>
    <row r="169" spans="1:7">
      <c r="A169" s="38">
        <v>107</v>
      </c>
      <c r="B169" s="38">
        <v>0.6</v>
      </c>
      <c r="C169" s="39">
        <v>0</v>
      </c>
      <c r="D169" s="38">
        <v>1</v>
      </c>
      <c r="E169" s="38" t="s">
        <v>29</v>
      </c>
      <c r="F169" s="38" t="s">
        <v>37</v>
      </c>
      <c r="G169" s="38" t="s">
        <v>31</v>
      </c>
    </row>
    <row r="170" spans="1:7">
      <c r="A170" s="38">
        <v>107</v>
      </c>
      <c r="B170" s="38">
        <v>0.9</v>
      </c>
      <c r="C170" s="39">
        <v>0</v>
      </c>
      <c r="D170" s="38">
        <v>1</v>
      </c>
      <c r="E170" s="38" t="s">
        <v>29</v>
      </c>
      <c r="F170" s="38" t="s">
        <v>37</v>
      </c>
      <c r="G170" s="38" t="s">
        <v>31</v>
      </c>
    </row>
    <row r="171" spans="1:7">
      <c r="A171" s="38">
        <v>107</v>
      </c>
      <c r="B171" s="38">
        <v>1.2</v>
      </c>
      <c r="C171" s="39">
        <v>0</v>
      </c>
      <c r="D171" s="38">
        <v>1</v>
      </c>
      <c r="E171" s="38" t="s">
        <v>29</v>
      </c>
      <c r="F171" s="38" t="s">
        <v>37</v>
      </c>
      <c r="G171" s="38" t="s">
        <v>31</v>
      </c>
    </row>
    <row r="172" spans="1:7">
      <c r="A172" s="38">
        <v>107</v>
      </c>
      <c r="B172" s="38">
        <v>1.5</v>
      </c>
      <c r="C172" s="39">
        <v>0</v>
      </c>
      <c r="D172" s="38">
        <v>1</v>
      </c>
      <c r="E172" s="38" t="s">
        <v>29</v>
      </c>
      <c r="F172" s="38" t="s">
        <v>37</v>
      </c>
      <c r="G172" s="38" t="s">
        <v>31</v>
      </c>
    </row>
    <row r="173" spans="1:7">
      <c r="A173" s="38">
        <v>107</v>
      </c>
      <c r="B173" s="38">
        <v>1.8</v>
      </c>
      <c r="C173" s="39">
        <v>5.0000000000000001E-3</v>
      </c>
      <c r="D173" s="38">
        <v>1</v>
      </c>
      <c r="E173" s="38" t="s">
        <v>29</v>
      </c>
      <c r="F173" s="38" t="s">
        <v>37</v>
      </c>
      <c r="G173" s="38" t="s">
        <v>31</v>
      </c>
    </row>
    <row r="174" spans="1:7">
      <c r="A174" s="38">
        <v>107</v>
      </c>
      <c r="B174" s="38">
        <v>2.1</v>
      </c>
      <c r="C174" s="39">
        <v>7.0000000000000001E-3</v>
      </c>
      <c r="D174" s="38">
        <v>1</v>
      </c>
      <c r="E174" s="38" t="s">
        <v>29</v>
      </c>
      <c r="F174" s="38" t="s">
        <v>37</v>
      </c>
      <c r="G174" s="38" t="s">
        <v>31</v>
      </c>
    </row>
    <row r="175" spans="1:7">
      <c r="A175" s="38">
        <v>107</v>
      </c>
      <c r="B175" s="38">
        <v>2.4</v>
      </c>
      <c r="C175" s="39">
        <v>0.03</v>
      </c>
      <c r="D175" s="38">
        <v>1</v>
      </c>
      <c r="E175" s="38" t="s">
        <v>29</v>
      </c>
      <c r="F175" s="38" t="s">
        <v>37</v>
      </c>
      <c r="G175" s="38" t="s">
        <v>31</v>
      </c>
    </row>
    <row r="176" spans="1:7">
      <c r="A176" s="38">
        <v>107</v>
      </c>
      <c r="B176" s="38">
        <v>2.7</v>
      </c>
      <c r="C176" s="39">
        <v>0.06</v>
      </c>
      <c r="D176" s="38">
        <v>1</v>
      </c>
      <c r="E176" s="38" t="s">
        <v>29</v>
      </c>
      <c r="F176" s="38" t="s">
        <v>37</v>
      </c>
      <c r="G176" s="38" t="s">
        <v>31</v>
      </c>
    </row>
    <row r="177" spans="1:7">
      <c r="A177" s="38">
        <v>107</v>
      </c>
      <c r="B177" s="38">
        <v>3</v>
      </c>
      <c r="C177" s="39">
        <v>0.1</v>
      </c>
      <c r="D177" s="38">
        <v>1</v>
      </c>
      <c r="E177" s="38" t="s">
        <v>29</v>
      </c>
      <c r="F177" s="38" t="s">
        <v>37</v>
      </c>
      <c r="G177" s="38" t="s">
        <v>31</v>
      </c>
    </row>
    <row r="178" spans="1:7">
      <c r="A178" s="38">
        <v>107</v>
      </c>
      <c r="B178" s="38">
        <v>3.3</v>
      </c>
      <c r="C178" s="39">
        <v>0.16</v>
      </c>
      <c r="D178" s="38">
        <v>1</v>
      </c>
      <c r="E178" s="38" t="s">
        <v>29</v>
      </c>
      <c r="F178" s="38" t="s">
        <v>37</v>
      </c>
      <c r="G178" s="38" t="s">
        <v>31</v>
      </c>
    </row>
    <row r="179" spans="1:7">
      <c r="A179" s="38">
        <v>107</v>
      </c>
      <c r="B179" s="38">
        <v>3.6</v>
      </c>
      <c r="C179" s="39">
        <v>0.22</v>
      </c>
      <c r="D179" s="38">
        <v>1</v>
      </c>
      <c r="E179" s="38" t="s">
        <v>29</v>
      </c>
      <c r="F179" s="38" t="s">
        <v>37</v>
      </c>
      <c r="G179" s="38" t="s">
        <v>31</v>
      </c>
    </row>
    <row r="180" spans="1:7">
      <c r="A180" s="38">
        <v>107</v>
      </c>
      <c r="B180" s="38">
        <v>3.9</v>
      </c>
      <c r="C180" s="39">
        <v>0.28000000000000003</v>
      </c>
      <c r="D180" s="38">
        <v>1</v>
      </c>
      <c r="E180" s="38" t="s">
        <v>29</v>
      </c>
      <c r="F180" s="38" t="s">
        <v>37</v>
      </c>
      <c r="G180" s="38" t="s">
        <v>31</v>
      </c>
    </row>
    <row r="181" spans="1:7">
      <c r="A181" s="38">
        <v>107</v>
      </c>
      <c r="B181" s="38">
        <v>4.2</v>
      </c>
      <c r="C181" s="39">
        <v>0.35</v>
      </c>
      <c r="D181" s="38">
        <v>1</v>
      </c>
      <c r="E181" s="38" t="s">
        <v>29</v>
      </c>
      <c r="F181" s="38" t="s">
        <v>37</v>
      </c>
      <c r="G181" s="38" t="s">
        <v>31</v>
      </c>
    </row>
    <row r="182" spans="1:7">
      <c r="A182" s="38">
        <v>107</v>
      </c>
      <c r="B182" s="38">
        <v>4.5</v>
      </c>
      <c r="C182" s="39">
        <v>0.41</v>
      </c>
      <c r="D182" s="38">
        <v>1</v>
      </c>
      <c r="E182" s="38" t="s">
        <v>29</v>
      </c>
      <c r="F182" s="38" t="s">
        <v>37</v>
      </c>
      <c r="G182" s="38" t="s">
        <v>31</v>
      </c>
    </row>
    <row r="183" spans="1:7">
      <c r="A183" s="38">
        <v>107</v>
      </c>
      <c r="B183" s="38">
        <v>4.8</v>
      </c>
      <c r="C183" s="39">
        <v>0.5</v>
      </c>
      <c r="D183" s="38">
        <v>1</v>
      </c>
      <c r="E183" s="38" t="s">
        <v>29</v>
      </c>
      <c r="F183" s="38" t="s">
        <v>37</v>
      </c>
      <c r="G183" s="38" t="s">
        <v>31</v>
      </c>
    </row>
    <row r="184" spans="1:7">
      <c r="A184" s="38">
        <v>107</v>
      </c>
      <c r="B184" s="38">
        <v>5.0999999999999996</v>
      </c>
      <c r="C184" s="39">
        <v>0.6</v>
      </c>
      <c r="D184" s="38">
        <v>1</v>
      </c>
      <c r="E184" s="38" t="s">
        <v>29</v>
      </c>
      <c r="F184" s="38" t="s">
        <v>37</v>
      </c>
      <c r="G184" s="38" t="s">
        <v>31</v>
      </c>
    </row>
    <row r="185" spans="1:7">
      <c r="A185" s="38">
        <v>107</v>
      </c>
      <c r="B185" s="38">
        <v>5.4</v>
      </c>
      <c r="C185" s="39">
        <v>0.68</v>
      </c>
      <c r="D185" s="38">
        <v>1</v>
      </c>
      <c r="E185" s="38" t="s">
        <v>29</v>
      </c>
      <c r="F185" s="38" t="s">
        <v>37</v>
      </c>
      <c r="G185" s="38" t="s">
        <v>31</v>
      </c>
    </row>
    <row r="186" spans="1:7">
      <c r="A186" s="38">
        <v>107</v>
      </c>
      <c r="B186" s="38">
        <v>5.7</v>
      </c>
      <c r="C186" s="39">
        <v>0.77</v>
      </c>
      <c r="D186" s="38">
        <v>1</v>
      </c>
      <c r="E186" s="38" t="s">
        <v>29</v>
      </c>
      <c r="F186" s="38" t="s">
        <v>37</v>
      </c>
      <c r="G186" s="38" t="s">
        <v>31</v>
      </c>
    </row>
    <row r="187" spans="1:7">
      <c r="A187" s="38">
        <v>107</v>
      </c>
      <c r="B187" s="38">
        <v>6</v>
      </c>
      <c r="C187" s="39">
        <v>0.85</v>
      </c>
      <c r="D187" s="38">
        <v>1</v>
      </c>
      <c r="E187" s="38" t="s">
        <v>29</v>
      </c>
      <c r="F187" s="38" t="s">
        <v>37</v>
      </c>
      <c r="G187" s="38" t="s">
        <v>31</v>
      </c>
    </row>
    <row r="188" spans="1:7">
      <c r="A188" s="38">
        <v>107</v>
      </c>
      <c r="B188" s="38">
        <v>6.3</v>
      </c>
      <c r="C188" s="39">
        <v>0.91</v>
      </c>
      <c r="D188" s="38">
        <v>1</v>
      </c>
      <c r="E188" s="38" t="s">
        <v>29</v>
      </c>
      <c r="F188" s="38" t="s">
        <v>37</v>
      </c>
      <c r="G188" s="38" t="s">
        <v>31</v>
      </c>
    </row>
    <row r="189" spans="1:7">
      <c r="A189" s="38">
        <v>107</v>
      </c>
      <c r="B189" s="38">
        <v>6.6</v>
      </c>
      <c r="C189" s="39">
        <v>0.94</v>
      </c>
      <c r="D189" s="38">
        <v>1</v>
      </c>
      <c r="E189" s="38" t="s">
        <v>29</v>
      </c>
      <c r="F189" s="38" t="s">
        <v>37</v>
      </c>
      <c r="G189" s="38" t="s">
        <v>31</v>
      </c>
    </row>
    <row r="190" spans="1:7">
      <c r="A190" s="38">
        <v>107</v>
      </c>
      <c r="B190" s="38">
        <v>6.9</v>
      </c>
      <c r="C190" s="39">
        <v>0.97</v>
      </c>
      <c r="D190" s="38">
        <v>1</v>
      </c>
      <c r="E190" s="38" t="s">
        <v>29</v>
      </c>
      <c r="F190" s="38" t="s">
        <v>37</v>
      </c>
      <c r="G190" s="38" t="s">
        <v>31</v>
      </c>
    </row>
    <row r="191" spans="1:7">
      <c r="A191" s="38">
        <v>107</v>
      </c>
      <c r="B191" s="38">
        <v>7.2</v>
      </c>
      <c r="C191" s="39">
        <v>0.98</v>
      </c>
      <c r="D191" s="38">
        <v>1</v>
      </c>
      <c r="E191" s="38" t="s">
        <v>29</v>
      </c>
      <c r="F191" s="38" t="s">
        <v>37</v>
      </c>
      <c r="G191" s="38" t="s">
        <v>31</v>
      </c>
    </row>
    <row r="192" spans="1:7">
      <c r="A192" s="38">
        <v>107</v>
      </c>
      <c r="B192" s="38">
        <v>7.5</v>
      </c>
      <c r="C192" s="39">
        <v>0.99</v>
      </c>
      <c r="D192" s="38">
        <v>1</v>
      </c>
      <c r="E192" s="38" t="s">
        <v>29</v>
      </c>
      <c r="F192" s="38" t="s">
        <v>37</v>
      </c>
      <c r="G192" s="38" t="s">
        <v>31</v>
      </c>
    </row>
    <row r="193" spans="1:7">
      <c r="A193" s="38">
        <v>107</v>
      </c>
      <c r="B193" s="38">
        <v>7.8</v>
      </c>
      <c r="C193" s="39">
        <v>0.99562756707767397</v>
      </c>
      <c r="D193" s="38">
        <v>1</v>
      </c>
      <c r="E193" s="38" t="s">
        <v>29</v>
      </c>
      <c r="F193" s="38" t="s">
        <v>37</v>
      </c>
      <c r="G193" s="38" t="s">
        <v>31</v>
      </c>
    </row>
  </sheetData>
  <pageMargins left="0.7" right="0.7" top="0.78740157499999996" bottom="0.78740157499999996" header="0.3" footer="0.3"/>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13"/>
  <sheetViews>
    <sheetView zoomScale="90" workbookViewId="0">
      <selection activeCell="C2" sqref="C2:C13"/>
    </sheetView>
  </sheetViews>
  <sheetFormatPr baseColWidth="10" defaultRowHeight="15"/>
  <cols>
    <col min="1" max="1" width="33.28515625" style="61" customWidth="1"/>
    <col min="2" max="2" width="16.7109375" style="61" customWidth="1"/>
    <col min="3" max="3" width="15.42578125" style="61" customWidth="1"/>
    <col min="4" max="6" width="17.28515625" style="61" customWidth="1"/>
    <col min="7" max="8" width="13.7109375" style="59" customWidth="1"/>
    <col min="9" max="9" width="9" style="59" customWidth="1"/>
    <col min="10" max="10" width="9" style="38" customWidth="1"/>
    <col min="11" max="13" width="7.42578125" style="61" customWidth="1"/>
    <col min="14" max="14" width="6.42578125" style="61" customWidth="1"/>
    <col min="15" max="15" width="6.7109375" style="61" customWidth="1"/>
    <col min="16" max="16" width="6.42578125" style="61" customWidth="1"/>
    <col min="17" max="17" width="8.7109375" style="61" customWidth="1"/>
    <col min="18" max="18" width="11" style="61" customWidth="1"/>
    <col min="19" max="19" width="7.7109375" style="61" customWidth="1"/>
    <col min="20" max="20" width="4.7109375" style="61" customWidth="1"/>
    <col min="21" max="16384" width="11.42578125" style="61"/>
  </cols>
  <sheetData>
    <row r="1" spans="1:23" s="53" customFormat="1" ht="51">
      <c r="A1" s="44" t="s">
        <v>38</v>
      </c>
      <c r="B1" s="44" t="s">
        <v>39</v>
      </c>
      <c r="C1" s="45" t="s">
        <v>40</v>
      </c>
      <c r="D1" s="46" t="s">
        <v>41</v>
      </c>
      <c r="E1" s="46" t="s">
        <v>42</v>
      </c>
      <c r="F1" s="46" t="s">
        <v>43</v>
      </c>
      <c r="G1" s="47" t="s">
        <v>44</v>
      </c>
      <c r="H1" s="47" t="s">
        <v>45</v>
      </c>
      <c r="I1" s="47" t="s">
        <v>46</v>
      </c>
      <c r="J1" s="48" t="s">
        <v>47</v>
      </c>
      <c r="K1" s="49" t="s">
        <v>48</v>
      </c>
      <c r="L1" s="49" t="s">
        <v>49</v>
      </c>
      <c r="M1" s="49" t="s">
        <v>50</v>
      </c>
      <c r="N1" s="49" t="s">
        <v>51</v>
      </c>
      <c r="O1" s="49" t="s">
        <v>52</v>
      </c>
      <c r="P1" s="50" t="s">
        <v>53</v>
      </c>
      <c r="Q1" s="51" t="s">
        <v>54</v>
      </c>
      <c r="R1" s="51" t="s">
        <v>55</v>
      </c>
      <c r="S1" s="52" t="s">
        <v>26</v>
      </c>
    </row>
    <row r="2" spans="1:23" ht="12.75">
      <c r="A2" s="54" t="s">
        <v>56</v>
      </c>
      <c r="B2" s="55" t="s">
        <v>57</v>
      </c>
      <c r="C2" s="56">
        <v>273234</v>
      </c>
      <c r="D2" s="57">
        <f>1+G2</f>
        <v>0.98499999999999999</v>
      </c>
      <c r="E2" s="57">
        <f>1+H2/$V$4</f>
        <v>0.98557692307692313</v>
      </c>
      <c r="F2" s="57">
        <f>1+H2/$W$4</f>
        <v>0.98636363636363633</v>
      </c>
      <c r="G2" s="58">
        <f t="shared" ref="G2:G9" si="0">H2/2</f>
        <v>-1.4999999999999999E-2</v>
      </c>
      <c r="H2" s="59">
        <v>-0.03</v>
      </c>
      <c r="I2" s="59">
        <v>0.2</v>
      </c>
      <c r="J2" s="60" t="s">
        <v>58</v>
      </c>
      <c r="K2" s="61">
        <v>1</v>
      </c>
      <c r="L2" s="62">
        <v>0</v>
      </c>
      <c r="M2" s="62">
        <v>1</v>
      </c>
      <c r="N2" s="62">
        <v>0</v>
      </c>
      <c r="O2" s="62" t="s">
        <v>58</v>
      </c>
      <c r="P2" s="62" t="s">
        <v>58</v>
      </c>
      <c r="Q2" s="62">
        <v>0</v>
      </c>
      <c r="R2" s="62">
        <v>0</v>
      </c>
      <c r="S2" s="62" t="s">
        <v>29</v>
      </c>
      <c r="U2" s="61">
        <v>2015</v>
      </c>
      <c r="V2" s="59" t="s">
        <v>59</v>
      </c>
      <c r="W2" s="59" t="s">
        <v>60</v>
      </c>
    </row>
    <row r="3" spans="1:23" ht="12.75">
      <c r="A3" s="63" t="s">
        <v>61</v>
      </c>
      <c r="B3" s="55" t="s">
        <v>62</v>
      </c>
      <c r="C3" s="56">
        <v>93099</v>
      </c>
      <c r="D3" s="57">
        <f t="shared" ref="D3:D9" si="1">1+G3</f>
        <v>0.99</v>
      </c>
      <c r="E3" s="57">
        <f t="shared" ref="E3:E13" si="2">1+H3/$V$4</f>
        <v>0.99038461538461542</v>
      </c>
      <c r="F3" s="57">
        <f t="shared" ref="F3:F13" si="3">1+H3/$W$4</f>
        <v>0.99090909090909096</v>
      </c>
      <c r="G3" s="58">
        <f t="shared" si="0"/>
        <v>-0.01</v>
      </c>
      <c r="H3" s="59">
        <v>-0.02</v>
      </c>
      <c r="I3" s="59">
        <v>0.2</v>
      </c>
      <c r="J3" s="64" t="s">
        <v>58</v>
      </c>
      <c r="K3" s="61">
        <v>1</v>
      </c>
      <c r="L3" s="62">
        <v>0</v>
      </c>
      <c r="M3" s="62">
        <v>1</v>
      </c>
      <c r="N3" s="62">
        <v>0</v>
      </c>
      <c r="O3" s="62" t="s">
        <v>58</v>
      </c>
      <c r="P3" s="62" t="s">
        <v>58</v>
      </c>
      <c r="Q3" s="62">
        <v>0</v>
      </c>
      <c r="R3" s="62">
        <v>0</v>
      </c>
      <c r="S3" s="62" t="s">
        <v>29</v>
      </c>
      <c r="V3" s="59">
        <v>0.04</v>
      </c>
      <c r="W3" s="59">
        <v>0.1</v>
      </c>
    </row>
    <row r="4" spans="1:23" ht="12.75">
      <c r="A4" s="54" t="s">
        <v>63</v>
      </c>
      <c r="B4" s="55" t="s">
        <v>57</v>
      </c>
      <c r="C4" s="56">
        <v>409851</v>
      </c>
      <c r="D4" s="57">
        <f t="shared" si="1"/>
        <v>0.98</v>
      </c>
      <c r="E4" s="57">
        <f t="shared" si="2"/>
        <v>0.98076923076923073</v>
      </c>
      <c r="F4" s="57">
        <f t="shared" si="3"/>
        <v>0.98181818181818181</v>
      </c>
      <c r="G4" s="58">
        <f t="shared" si="0"/>
        <v>-0.02</v>
      </c>
      <c r="H4" s="59">
        <v>-0.04</v>
      </c>
      <c r="I4" s="59">
        <v>0.2</v>
      </c>
      <c r="J4" s="60" t="s">
        <v>58</v>
      </c>
      <c r="K4" s="61">
        <v>1</v>
      </c>
      <c r="L4" s="62">
        <v>0</v>
      </c>
      <c r="M4" s="62">
        <v>1</v>
      </c>
      <c r="N4" s="62">
        <v>0</v>
      </c>
      <c r="O4" s="62" t="s">
        <v>58</v>
      </c>
      <c r="P4" s="62" t="s">
        <v>58</v>
      </c>
      <c r="Q4" s="62">
        <v>0</v>
      </c>
      <c r="R4" s="62">
        <v>0</v>
      </c>
      <c r="S4" s="62" t="s">
        <v>29</v>
      </c>
      <c r="U4" s="65">
        <v>2</v>
      </c>
      <c r="V4" s="66">
        <f>V3*U4+U4</f>
        <v>2.08</v>
      </c>
      <c r="W4" s="66">
        <f>W3*U4+U4</f>
        <v>2.2000000000000002</v>
      </c>
    </row>
    <row r="5" spans="1:23" ht="12.75">
      <c r="A5" s="54" t="s">
        <v>64</v>
      </c>
      <c r="B5" s="55" t="s">
        <v>65</v>
      </c>
      <c r="C5" s="56">
        <v>139648</v>
      </c>
      <c r="D5" s="57">
        <f t="shared" si="1"/>
        <v>0.98</v>
      </c>
      <c r="E5" s="57">
        <f t="shared" si="2"/>
        <v>0.98076923076923073</v>
      </c>
      <c r="F5" s="57">
        <f t="shared" si="3"/>
        <v>0.98181818181818181</v>
      </c>
      <c r="G5" s="58">
        <f t="shared" si="0"/>
        <v>-0.02</v>
      </c>
      <c r="H5" s="59">
        <v>-0.04</v>
      </c>
      <c r="I5" s="59">
        <v>0.2</v>
      </c>
      <c r="J5" s="60" t="s">
        <v>58</v>
      </c>
      <c r="K5" s="61">
        <v>1</v>
      </c>
      <c r="L5" s="62">
        <v>0</v>
      </c>
      <c r="M5" s="62">
        <v>1</v>
      </c>
      <c r="N5" s="62">
        <v>0</v>
      </c>
      <c r="O5" s="62" t="s">
        <v>58</v>
      </c>
      <c r="P5" s="62" t="s">
        <v>58</v>
      </c>
      <c r="Q5" s="62">
        <v>0</v>
      </c>
      <c r="R5" s="62">
        <v>0</v>
      </c>
      <c r="S5" s="62" t="s">
        <v>29</v>
      </c>
    </row>
    <row r="6" spans="1:23" ht="12.75">
      <c r="A6" s="54" t="s">
        <v>66</v>
      </c>
      <c r="B6" s="55" t="s">
        <v>67</v>
      </c>
      <c r="C6" s="56">
        <v>122955</v>
      </c>
      <c r="D6" s="57">
        <f t="shared" si="1"/>
        <v>0.96499999999999997</v>
      </c>
      <c r="E6" s="57">
        <f t="shared" si="2"/>
        <v>0.96634615384615385</v>
      </c>
      <c r="F6" s="57">
        <f t="shared" si="3"/>
        <v>0.96818181818181814</v>
      </c>
      <c r="G6" s="58">
        <f t="shared" si="0"/>
        <v>-3.5000000000000003E-2</v>
      </c>
      <c r="H6" s="59">
        <v>-7.0000000000000007E-2</v>
      </c>
      <c r="I6" s="59">
        <v>0.2</v>
      </c>
      <c r="J6" s="60" t="s">
        <v>58</v>
      </c>
      <c r="K6" s="61">
        <v>1</v>
      </c>
      <c r="L6" s="62">
        <v>0</v>
      </c>
      <c r="M6" s="62">
        <v>1</v>
      </c>
      <c r="N6" s="62">
        <v>0</v>
      </c>
      <c r="O6" s="62" t="s">
        <v>58</v>
      </c>
      <c r="P6" s="62" t="s">
        <v>58</v>
      </c>
      <c r="Q6" s="62">
        <v>0</v>
      </c>
      <c r="R6" s="62">
        <v>0</v>
      </c>
      <c r="S6" s="62" t="s">
        <v>29</v>
      </c>
    </row>
    <row r="7" spans="1:23" ht="12.75">
      <c r="A7" s="54" t="s">
        <v>68</v>
      </c>
      <c r="B7" s="55" t="s">
        <v>69</v>
      </c>
      <c r="C7" s="56">
        <v>41894</v>
      </c>
      <c r="D7" s="57">
        <f t="shared" si="1"/>
        <v>0.96499999999999997</v>
      </c>
      <c r="E7" s="57">
        <f t="shared" si="2"/>
        <v>0.96634615384615385</v>
      </c>
      <c r="F7" s="57">
        <f t="shared" si="3"/>
        <v>0.96818181818181814</v>
      </c>
      <c r="G7" s="58">
        <f t="shared" si="0"/>
        <v>-3.5000000000000003E-2</v>
      </c>
      <c r="H7" s="59">
        <v>-7.0000000000000007E-2</v>
      </c>
      <c r="I7" s="59">
        <v>0.2</v>
      </c>
      <c r="J7" s="60" t="s">
        <v>58</v>
      </c>
      <c r="K7" s="61">
        <v>1</v>
      </c>
      <c r="L7" s="62">
        <v>0</v>
      </c>
      <c r="M7" s="62">
        <v>1</v>
      </c>
      <c r="N7" s="62">
        <v>0</v>
      </c>
      <c r="O7" s="62" t="s">
        <v>58</v>
      </c>
      <c r="P7" s="62" t="s">
        <v>58</v>
      </c>
      <c r="Q7" s="62">
        <v>0</v>
      </c>
      <c r="R7" s="62">
        <v>0</v>
      </c>
      <c r="S7" s="62" t="s">
        <v>29</v>
      </c>
    </row>
    <row r="8" spans="1:23" ht="12.75">
      <c r="A8" s="54" t="s">
        <v>70</v>
      </c>
      <c r="B8" s="55" t="s">
        <v>71</v>
      </c>
      <c r="C8" s="56">
        <v>307388</v>
      </c>
      <c r="D8" s="57">
        <f t="shared" si="1"/>
        <v>0.99</v>
      </c>
      <c r="E8" s="57">
        <f t="shared" si="2"/>
        <v>0.99038461538461542</v>
      </c>
      <c r="F8" s="57">
        <f t="shared" si="3"/>
        <v>0.99090909090909096</v>
      </c>
      <c r="G8" s="58">
        <f t="shared" si="0"/>
        <v>-0.01</v>
      </c>
      <c r="H8" s="59">
        <v>-0.02</v>
      </c>
      <c r="I8" s="59">
        <v>0.2</v>
      </c>
      <c r="J8" s="60" t="s">
        <v>58</v>
      </c>
      <c r="K8" s="61">
        <v>1</v>
      </c>
      <c r="L8" s="62">
        <v>0</v>
      </c>
      <c r="M8" s="62">
        <v>1</v>
      </c>
      <c r="N8" s="62">
        <v>0</v>
      </c>
      <c r="O8" s="62" t="s">
        <v>58</v>
      </c>
      <c r="P8" s="62" t="s">
        <v>58</v>
      </c>
      <c r="Q8" s="62">
        <v>0</v>
      </c>
      <c r="R8" s="62">
        <v>0</v>
      </c>
      <c r="S8" s="62" t="s">
        <v>29</v>
      </c>
    </row>
    <row r="9" spans="1:23" ht="12.75">
      <c r="A9" s="54" t="s">
        <v>72</v>
      </c>
      <c r="B9" s="55" t="s">
        <v>73</v>
      </c>
      <c r="C9" s="56">
        <v>257366</v>
      </c>
      <c r="D9" s="57">
        <f t="shared" si="1"/>
        <v>0.98499999999999999</v>
      </c>
      <c r="E9" s="57">
        <f t="shared" si="2"/>
        <v>0.98557692307692313</v>
      </c>
      <c r="F9" s="57">
        <f t="shared" si="3"/>
        <v>0.98636363636363633</v>
      </c>
      <c r="G9" s="58">
        <f t="shared" si="0"/>
        <v>-1.4999999999999999E-2</v>
      </c>
      <c r="H9" s="59">
        <v>-0.03</v>
      </c>
      <c r="I9" s="59">
        <v>0.2</v>
      </c>
      <c r="J9" s="60" t="s">
        <v>58</v>
      </c>
      <c r="K9" s="61">
        <v>1</v>
      </c>
      <c r="L9" s="62">
        <v>0</v>
      </c>
      <c r="M9" s="62">
        <v>1</v>
      </c>
      <c r="N9" s="62">
        <v>0</v>
      </c>
      <c r="O9" s="62" t="s">
        <v>58</v>
      </c>
      <c r="P9" s="62" t="s">
        <v>58</v>
      </c>
      <c r="Q9" s="62">
        <v>0</v>
      </c>
      <c r="R9" s="62">
        <v>0</v>
      </c>
      <c r="S9" s="62" t="s">
        <v>29</v>
      </c>
    </row>
    <row r="10" spans="1:23" ht="12.75">
      <c r="A10" s="54" t="s">
        <v>74</v>
      </c>
      <c r="B10" s="55" t="s">
        <v>75</v>
      </c>
      <c r="C10" s="56">
        <v>1112062</v>
      </c>
      <c r="D10" s="57">
        <f>1+G10</f>
        <v>0.98499999999999999</v>
      </c>
      <c r="E10" s="57">
        <f t="shared" si="2"/>
        <v>0.98557692307692313</v>
      </c>
      <c r="F10" s="57">
        <f t="shared" si="3"/>
        <v>0.98636363636363633</v>
      </c>
      <c r="G10" s="58">
        <f>H10/2</f>
        <v>-1.4999999999999999E-2</v>
      </c>
      <c r="H10" s="59">
        <v>-0.03</v>
      </c>
      <c r="I10" s="59">
        <v>0.2</v>
      </c>
      <c r="J10" s="60" t="s">
        <v>58</v>
      </c>
      <c r="K10" s="61">
        <v>1</v>
      </c>
      <c r="L10" s="62">
        <v>0</v>
      </c>
      <c r="M10" s="62">
        <v>1</v>
      </c>
      <c r="N10" s="62">
        <v>0</v>
      </c>
      <c r="O10" s="62" t="s">
        <v>58</v>
      </c>
      <c r="P10" s="62" t="s">
        <v>58</v>
      </c>
      <c r="Q10" s="62">
        <v>0</v>
      </c>
      <c r="R10" s="62">
        <v>0</v>
      </c>
      <c r="S10" s="62" t="s">
        <v>29</v>
      </c>
    </row>
    <row r="11" spans="1:23" ht="12.75">
      <c r="A11" s="54" t="s">
        <v>76</v>
      </c>
      <c r="B11" s="55" t="s">
        <v>77</v>
      </c>
      <c r="C11" s="56">
        <v>378912</v>
      </c>
      <c r="D11" s="57">
        <f>1+G11</f>
        <v>0.98</v>
      </c>
      <c r="E11" s="57">
        <f t="shared" si="2"/>
        <v>0.98076923076923073</v>
      </c>
      <c r="F11" s="57">
        <f t="shared" si="3"/>
        <v>0.98181818181818181</v>
      </c>
      <c r="G11" s="58">
        <f>H11/2</f>
        <v>-0.02</v>
      </c>
      <c r="H11" s="59">
        <v>-0.04</v>
      </c>
      <c r="I11" s="59">
        <v>0.2</v>
      </c>
      <c r="J11" s="60" t="s">
        <v>58</v>
      </c>
      <c r="K11" s="61">
        <v>1</v>
      </c>
      <c r="L11" s="62">
        <v>0</v>
      </c>
      <c r="M11" s="62">
        <v>1</v>
      </c>
      <c r="N11" s="62">
        <v>0</v>
      </c>
      <c r="O11" s="62" t="s">
        <v>58</v>
      </c>
      <c r="P11" s="62" t="s">
        <v>58</v>
      </c>
      <c r="Q11" s="62">
        <v>0</v>
      </c>
      <c r="R11" s="62">
        <v>0</v>
      </c>
      <c r="S11" s="62" t="s">
        <v>29</v>
      </c>
    </row>
    <row r="12" spans="1:23" s="67" customFormat="1" ht="12.75">
      <c r="A12" s="54" t="s">
        <v>78</v>
      </c>
      <c r="B12" s="55" t="s">
        <v>79</v>
      </c>
      <c r="C12" s="56">
        <v>5307949</v>
      </c>
      <c r="D12" s="57">
        <f>1+G12</f>
        <v>0.91</v>
      </c>
      <c r="E12" s="57">
        <f t="shared" si="2"/>
        <v>0.91346153846153844</v>
      </c>
      <c r="F12" s="57">
        <f t="shared" si="3"/>
        <v>0.91818181818181821</v>
      </c>
      <c r="G12" s="58">
        <f>H12/2</f>
        <v>-0.09</v>
      </c>
      <c r="H12" s="59">
        <v>-0.18</v>
      </c>
      <c r="I12" s="59">
        <v>0.2</v>
      </c>
      <c r="J12" s="60" t="s">
        <v>58</v>
      </c>
      <c r="K12" s="61">
        <v>1</v>
      </c>
      <c r="L12" s="62">
        <v>0</v>
      </c>
      <c r="M12" s="62">
        <v>1</v>
      </c>
      <c r="N12" s="62">
        <v>0</v>
      </c>
      <c r="O12" s="62" t="s">
        <v>58</v>
      </c>
      <c r="P12" s="62" t="s">
        <v>58</v>
      </c>
      <c r="Q12" s="62">
        <v>0</v>
      </c>
      <c r="R12" s="62">
        <v>0</v>
      </c>
      <c r="S12" s="62" t="s">
        <v>29</v>
      </c>
    </row>
    <row r="13" spans="1:23" s="67" customFormat="1" ht="12.75">
      <c r="A13" s="54" t="s">
        <v>80</v>
      </c>
      <c r="B13" s="55" t="s">
        <v>81</v>
      </c>
      <c r="C13" s="56">
        <v>1808573</v>
      </c>
      <c r="D13" s="57">
        <f>1+G13</f>
        <v>0.98</v>
      </c>
      <c r="E13" s="57">
        <f t="shared" si="2"/>
        <v>0.98076923076923073</v>
      </c>
      <c r="F13" s="57">
        <f t="shared" si="3"/>
        <v>0.98181818181818181</v>
      </c>
      <c r="G13" s="58">
        <f>H13/2</f>
        <v>-0.02</v>
      </c>
      <c r="H13" s="59">
        <v>-0.04</v>
      </c>
      <c r="I13" s="59">
        <v>0.2</v>
      </c>
      <c r="J13" s="60" t="s">
        <v>58</v>
      </c>
      <c r="K13" s="61">
        <v>1</v>
      </c>
      <c r="L13" s="62">
        <v>0</v>
      </c>
      <c r="M13" s="62">
        <v>1</v>
      </c>
      <c r="N13" s="62">
        <v>0</v>
      </c>
      <c r="O13" s="62" t="s">
        <v>58</v>
      </c>
      <c r="P13" s="62" t="s">
        <v>58</v>
      </c>
      <c r="Q13" s="62">
        <v>0</v>
      </c>
      <c r="R13" s="62">
        <v>0</v>
      </c>
      <c r="S13" s="62" t="s">
        <v>29</v>
      </c>
    </row>
  </sheetData>
  <pageMargins left="0.7" right="0.7" top="0.75" bottom="0.75" header="0.3" footer="0.3"/>
  <pageSetup paperSize="9" orientation="portrait"/>
  <headerFooter alignWithMargins="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27"/>
  <sheetViews>
    <sheetView workbookViewId="0">
      <selection activeCell="C22" sqref="C22"/>
    </sheetView>
  </sheetViews>
  <sheetFormatPr baseColWidth="10" defaultRowHeight="12.75"/>
  <cols>
    <col min="1" max="1" width="7.28515625" style="1" customWidth="1"/>
    <col min="2" max="2" width="5.140625" style="1" customWidth="1"/>
    <col min="3" max="3" width="11.28515625" style="1" customWidth="1"/>
    <col min="4" max="16384" width="11.42578125" style="1"/>
  </cols>
  <sheetData>
    <row r="1" spans="1:3">
      <c r="A1" s="1" t="s">
        <v>82</v>
      </c>
      <c r="B1" s="1" t="s">
        <v>83</v>
      </c>
      <c r="C1" s="1" t="s">
        <v>84</v>
      </c>
    </row>
    <row r="2" spans="1:3">
      <c r="A2" s="1">
        <v>1</v>
      </c>
      <c r="B2" s="1">
        <v>2015</v>
      </c>
      <c r="C2" s="2">
        <v>0.02</v>
      </c>
    </row>
    <row r="3" spans="1:3">
      <c r="A3" s="1">
        <v>1</v>
      </c>
      <c r="B3" s="1">
        <v>2016</v>
      </c>
      <c r="C3" s="2">
        <v>0.02</v>
      </c>
    </row>
    <row r="4" spans="1:3">
      <c r="A4" s="1">
        <v>1</v>
      </c>
      <c r="B4" s="1">
        <v>2017</v>
      </c>
      <c r="C4" s="2">
        <v>0.02</v>
      </c>
    </row>
    <row r="5" spans="1:3">
      <c r="A5" s="1">
        <v>1</v>
      </c>
      <c r="B5" s="1">
        <v>2018</v>
      </c>
      <c r="C5" s="2">
        <v>0.02</v>
      </c>
    </row>
    <row r="6" spans="1:3">
      <c r="A6" s="1">
        <v>1</v>
      </c>
      <c r="B6" s="1">
        <v>2019</v>
      </c>
      <c r="C6" s="2">
        <v>0.02</v>
      </c>
    </row>
    <row r="7" spans="1:3">
      <c r="A7" s="1">
        <v>1</v>
      </c>
      <c r="B7" s="1">
        <v>2020</v>
      </c>
      <c r="C7" s="2">
        <v>0.02</v>
      </c>
    </row>
    <row r="8" spans="1:3">
      <c r="A8" s="1">
        <v>1</v>
      </c>
      <c r="B8" s="1">
        <v>2021</v>
      </c>
      <c r="C8" s="2">
        <v>0.02</v>
      </c>
    </row>
    <row r="9" spans="1:3">
      <c r="A9" s="1">
        <v>1</v>
      </c>
      <c r="B9" s="1">
        <v>2022</v>
      </c>
      <c r="C9" s="2">
        <v>0.02</v>
      </c>
    </row>
    <row r="10" spans="1:3">
      <c r="A10" s="1">
        <v>1</v>
      </c>
      <c r="B10" s="1">
        <v>2023</v>
      </c>
      <c r="C10" s="2">
        <v>0.02</v>
      </c>
    </row>
    <row r="11" spans="1:3">
      <c r="A11" s="1">
        <v>1</v>
      </c>
      <c r="B11" s="1">
        <v>2024</v>
      </c>
      <c r="C11" s="2">
        <v>0.02</v>
      </c>
    </row>
    <row r="12" spans="1:3">
      <c r="A12" s="1">
        <v>1</v>
      </c>
      <c r="B12" s="1">
        <v>2025</v>
      </c>
      <c r="C12" s="2">
        <v>0.02</v>
      </c>
    </row>
    <row r="13" spans="1:3">
      <c r="A13" s="1">
        <v>1</v>
      </c>
      <c r="B13" s="1">
        <v>2026</v>
      </c>
      <c r="C13" s="2">
        <v>0.02</v>
      </c>
    </row>
    <row r="14" spans="1:3">
      <c r="A14" s="1">
        <v>1</v>
      </c>
      <c r="B14" s="1">
        <v>2027</v>
      </c>
      <c r="C14" s="2">
        <v>0.02</v>
      </c>
    </row>
    <row r="15" spans="1:3">
      <c r="A15" s="1">
        <v>1</v>
      </c>
      <c r="B15" s="1">
        <v>2028</v>
      </c>
      <c r="C15" s="2">
        <v>0.02</v>
      </c>
    </row>
    <row r="16" spans="1:3">
      <c r="A16" s="1">
        <v>1</v>
      </c>
      <c r="B16" s="1">
        <v>2029</v>
      </c>
      <c r="C16" s="2">
        <v>0.02</v>
      </c>
    </row>
    <row r="17" spans="1:3">
      <c r="A17" s="1">
        <v>1</v>
      </c>
      <c r="B17" s="1">
        <v>2030</v>
      </c>
      <c r="C17" s="2">
        <v>0.02</v>
      </c>
    </row>
    <row r="18" spans="1:3">
      <c r="A18" s="1">
        <v>1</v>
      </c>
      <c r="B18" s="1">
        <v>2031</v>
      </c>
      <c r="C18" s="2">
        <v>0.02</v>
      </c>
    </row>
    <row r="19" spans="1:3">
      <c r="A19" s="1">
        <v>1</v>
      </c>
      <c r="B19" s="1">
        <v>2032</v>
      </c>
      <c r="C19" s="2">
        <v>0.02</v>
      </c>
    </row>
    <row r="20" spans="1:3">
      <c r="A20" s="1">
        <v>1</v>
      </c>
      <c r="B20" s="1">
        <v>2033</v>
      </c>
      <c r="C20" s="2">
        <v>0.02</v>
      </c>
    </row>
    <row r="21" spans="1:3">
      <c r="A21" s="1">
        <v>1</v>
      </c>
      <c r="B21" s="1">
        <v>2034</v>
      </c>
      <c r="C21" s="2">
        <v>0.02</v>
      </c>
    </row>
    <row r="22" spans="1:3">
      <c r="A22" s="1">
        <v>1</v>
      </c>
      <c r="B22" s="1">
        <v>2035</v>
      </c>
      <c r="C22" s="2">
        <v>0.02</v>
      </c>
    </row>
    <row r="23" spans="1:3">
      <c r="A23" s="1">
        <v>1</v>
      </c>
      <c r="B23" s="1">
        <v>2036</v>
      </c>
      <c r="C23" s="2">
        <v>0.02</v>
      </c>
    </row>
    <row r="24" spans="1:3">
      <c r="A24" s="1">
        <v>1</v>
      </c>
      <c r="B24" s="1">
        <v>2037</v>
      </c>
      <c r="C24" s="2">
        <v>0.02</v>
      </c>
    </row>
    <row r="25" spans="1:3">
      <c r="A25" s="1">
        <v>1</v>
      </c>
      <c r="B25" s="1">
        <v>2038</v>
      </c>
      <c r="C25" s="2">
        <v>0.02</v>
      </c>
    </row>
    <row r="26" spans="1:3">
      <c r="A26" s="1">
        <v>1</v>
      </c>
      <c r="B26" s="1">
        <v>2039</v>
      </c>
      <c r="C26" s="2">
        <v>0.02</v>
      </c>
    </row>
    <row r="27" spans="1:3">
      <c r="A27" s="1">
        <v>1</v>
      </c>
      <c r="B27" s="1">
        <v>2040</v>
      </c>
      <c r="C27" s="2">
        <v>0.02</v>
      </c>
    </row>
  </sheetData>
  <pageMargins left="0.78740157499999996" right="0.78740157499999996" top="0.984251969" bottom="0.984251969" header="0.5" footer="0.5"/>
  <headerFooter alignWithMargins="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3"/>
  <sheetViews>
    <sheetView workbookViewId="0">
      <selection activeCell="G19" sqref="G19"/>
    </sheetView>
  </sheetViews>
  <sheetFormatPr baseColWidth="10" defaultColWidth="8.7109375" defaultRowHeight="12.75"/>
  <cols>
    <col min="1" max="1" width="10.7109375" customWidth="1"/>
    <col min="2" max="2" width="12.140625" customWidth="1"/>
    <col min="3" max="3" width="14.140625" customWidth="1"/>
    <col min="4" max="4" width="15.42578125" customWidth="1"/>
    <col min="5" max="5" width="19.42578125" customWidth="1"/>
    <col min="6" max="6" width="16.28515625" customWidth="1"/>
    <col min="7" max="7" width="12" customWidth="1"/>
    <col min="9" max="9" width="5" customWidth="1"/>
    <col min="10" max="10" width="27.42578125" customWidth="1"/>
  </cols>
  <sheetData>
    <row r="3" spans="1:11" ht="13.5" thickBot="1">
      <c r="A3" s="21"/>
      <c r="B3" s="24" t="s">
        <v>85</v>
      </c>
      <c r="C3" s="22"/>
      <c r="D3" s="22"/>
      <c r="E3" s="22"/>
      <c r="F3" s="22"/>
      <c r="G3" s="23"/>
    </row>
    <row r="4" spans="1:11">
      <c r="A4" s="24" t="s">
        <v>0</v>
      </c>
      <c r="B4" s="21" t="s">
        <v>86</v>
      </c>
      <c r="C4" s="28" t="s">
        <v>87</v>
      </c>
      <c r="D4" s="28" t="s">
        <v>88</v>
      </c>
      <c r="E4" s="28" t="s">
        <v>89</v>
      </c>
      <c r="F4" s="28" t="s">
        <v>90</v>
      </c>
      <c r="G4" s="27" t="s">
        <v>91</v>
      </c>
      <c r="I4" s="6" t="s">
        <v>10</v>
      </c>
      <c r="J4" s="7"/>
      <c r="K4" s="8" t="s">
        <v>11</v>
      </c>
    </row>
    <row r="5" spans="1:11">
      <c r="A5" s="21">
        <v>1</v>
      </c>
      <c r="B5" s="29">
        <v>111689903.09999983</v>
      </c>
      <c r="C5" s="30">
        <v>148414.47840000031</v>
      </c>
      <c r="D5" s="30">
        <v>-967133.64900000067</v>
      </c>
      <c r="E5" s="30">
        <v>1095042</v>
      </c>
      <c r="F5" s="30">
        <v>0</v>
      </c>
      <c r="G5" s="31">
        <v>0</v>
      </c>
      <c r="I5" s="9">
        <v>1</v>
      </c>
      <c r="J5" s="10" t="s">
        <v>12</v>
      </c>
      <c r="K5" s="12" t="s">
        <v>92</v>
      </c>
    </row>
    <row r="6" spans="1:11">
      <c r="A6" s="26">
        <v>2</v>
      </c>
      <c r="B6" s="32">
        <v>259298330</v>
      </c>
      <c r="C6" s="33">
        <v>132631.86179999952</v>
      </c>
      <c r="D6" s="33">
        <v>-864382.68859999697</v>
      </c>
      <c r="E6" s="33">
        <v>988380</v>
      </c>
      <c r="F6" s="33">
        <v>0</v>
      </c>
      <c r="G6" s="34">
        <v>0</v>
      </c>
      <c r="I6" s="9">
        <v>2</v>
      </c>
      <c r="J6" s="10" t="s">
        <v>14</v>
      </c>
      <c r="K6" s="12" t="s">
        <v>92</v>
      </c>
    </row>
    <row r="7" spans="1:11">
      <c r="A7" s="26">
        <v>3</v>
      </c>
      <c r="B7" s="32">
        <v>517500</v>
      </c>
      <c r="C7" s="33">
        <v>54.741900000000001</v>
      </c>
      <c r="D7" s="33">
        <v>-356.82970000000006</v>
      </c>
      <c r="E7" s="33">
        <v>412</v>
      </c>
      <c r="F7" s="33">
        <v>0</v>
      </c>
      <c r="G7" s="34">
        <v>0</v>
      </c>
      <c r="I7" s="9">
        <v>3</v>
      </c>
      <c r="J7" s="10" t="s">
        <v>15</v>
      </c>
      <c r="K7" s="12" t="s">
        <v>92</v>
      </c>
    </row>
    <row r="8" spans="1:11">
      <c r="A8" s="26">
        <v>4</v>
      </c>
      <c r="B8" s="32">
        <v>6536105</v>
      </c>
      <c r="C8" s="33">
        <v>287.40369999999996</v>
      </c>
      <c r="D8" s="33">
        <v>-1873.3900999999998</v>
      </c>
      <c r="E8" s="33">
        <v>2184</v>
      </c>
      <c r="F8" s="33">
        <v>0</v>
      </c>
      <c r="G8" s="34">
        <v>0</v>
      </c>
      <c r="I8" s="9">
        <v>4</v>
      </c>
      <c r="J8" s="10" t="s">
        <v>16</v>
      </c>
      <c r="K8" s="12" t="s">
        <v>92</v>
      </c>
    </row>
    <row r="9" spans="1:11">
      <c r="A9" s="26">
        <v>5</v>
      </c>
      <c r="B9" s="32">
        <v>1537339.0200000007</v>
      </c>
      <c r="C9" s="33">
        <v>60148.297900000085</v>
      </c>
      <c r="D9" s="33">
        <v>-391954.23429999937</v>
      </c>
      <c r="E9" s="33">
        <v>461370</v>
      </c>
      <c r="F9" s="33">
        <v>0</v>
      </c>
      <c r="G9" s="34">
        <v>0</v>
      </c>
      <c r="I9" s="9">
        <v>5</v>
      </c>
      <c r="J9" s="10" t="s">
        <v>17</v>
      </c>
      <c r="K9" s="12" t="s">
        <v>92</v>
      </c>
    </row>
    <row r="10" spans="1:11">
      <c r="A10" s="26">
        <v>6</v>
      </c>
      <c r="B10" s="32">
        <v>34463100</v>
      </c>
      <c r="C10" s="33">
        <v>643.31550000000016</v>
      </c>
      <c r="D10" s="33">
        <v>-4192.8005000000012</v>
      </c>
      <c r="E10" s="33">
        <v>4982</v>
      </c>
      <c r="F10" s="33">
        <v>0</v>
      </c>
      <c r="G10" s="34">
        <v>0</v>
      </c>
      <c r="I10" s="9">
        <v>6</v>
      </c>
      <c r="J10" s="10" t="s">
        <v>18</v>
      </c>
      <c r="K10" s="12" t="s">
        <v>92</v>
      </c>
    </row>
    <row r="11" spans="1:11">
      <c r="A11" s="26">
        <v>7</v>
      </c>
      <c r="B11" s="32">
        <v>54185</v>
      </c>
      <c r="C11" s="33">
        <v>148414.47840000031</v>
      </c>
      <c r="D11" s="33">
        <v>-967133.64900000067</v>
      </c>
      <c r="E11" s="33">
        <v>1160094</v>
      </c>
      <c r="F11" s="33">
        <v>0</v>
      </c>
      <c r="G11" s="34">
        <v>0</v>
      </c>
      <c r="I11" s="9">
        <v>7</v>
      </c>
      <c r="J11" s="10" t="s">
        <v>93</v>
      </c>
      <c r="K11" s="12" t="s">
        <v>94</v>
      </c>
    </row>
    <row r="12" spans="1:11" ht="13.5" thickBot="1">
      <c r="A12" s="26">
        <v>8</v>
      </c>
      <c r="B12" s="32">
        <v>48477</v>
      </c>
      <c r="C12" s="33">
        <v>132631.86179999952</v>
      </c>
      <c r="D12" s="33">
        <v>-864382.68859999697</v>
      </c>
      <c r="E12" s="33">
        <v>1036830</v>
      </c>
      <c r="F12" s="33">
        <v>0</v>
      </c>
      <c r="G12" s="34">
        <v>0</v>
      </c>
      <c r="I12" s="13">
        <v>8</v>
      </c>
      <c r="J12" s="14" t="s">
        <v>95</v>
      </c>
      <c r="K12" s="11" t="s">
        <v>94</v>
      </c>
    </row>
    <row r="13" spans="1:11">
      <c r="A13" s="25" t="s">
        <v>96</v>
      </c>
      <c r="B13" s="35">
        <v>414144939.11999983</v>
      </c>
      <c r="C13" s="36">
        <v>623226.4393999998</v>
      </c>
      <c r="D13" s="36">
        <v>-4061409.9297999945</v>
      </c>
      <c r="E13" s="36">
        <v>4749294</v>
      </c>
      <c r="F13" s="36">
        <v>0</v>
      </c>
      <c r="G13" s="37">
        <v>0</v>
      </c>
    </row>
  </sheetData>
  <pageMargins left="0.7" right="0.7" top="0.75" bottom="0.75" header="0.3" footer="0.3"/>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
  <sheetViews>
    <sheetView workbookViewId="0">
      <selection activeCell="A27" sqref="A27"/>
    </sheetView>
  </sheetViews>
  <sheetFormatPr baseColWidth="10" defaultRowHeight="12.75"/>
  <sheetData>
    <row r="1" spans="1:3">
      <c r="A1" t="s">
        <v>97</v>
      </c>
    </row>
    <row r="3" spans="1:3" ht="13.5">
      <c r="A3" s="68" t="s">
        <v>98</v>
      </c>
    </row>
    <row r="4" spans="1:3" ht="13.5">
      <c r="A4" s="68" t="s">
        <v>99</v>
      </c>
    </row>
    <row r="5" spans="1:3" ht="13.5">
      <c r="A5" s="68" t="s">
        <v>100</v>
      </c>
    </row>
    <row r="6" spans="1:3" ht="13.5">
      <c r="A6" s="68" t="s">
        <v>101</v>
      </c>
    </row>
    <row r="9" spans="1:3">
      <c r="A9" t="s">
        <v>102</v>
      </c>
    </row>
    <row r="11" spans="1:3">
      <c r="A11" t="s">
        <v>103</v>
      </c>
    </row>
    <row r="12" spans="1:3">
      <c r="A12" t="s">
        <v>104</v>
      </c>
    </row>
    <row r="13" spans="1:3">
      <c r="A13" t="s">
        <v>105</v>
      </c>
      <c r="C13" t="s">
        <v>106</v>
      </c>
    </row>
    <row r="14" spans="1:3">
      <c r="A14" t="s">
        <v>107</v>
      </c>
    </row>
    <row r="15" spans="1:3">
      <c r="A15" t="s">
        <v>108</v>
      </c>
    </row>
    <row r="16" spans="1:3">
      <c r="A16" t="s">
        <v>109</v>
      </c>
    </row>
    <row r="17" spans="1:1">
      <c r="A17" t="s">
        <v>110</v>
      </c>
    </row>
    <row r="18" spans="1:1">
      <c r="A18" t="s">
        <v>111</v>
      </c>
    </row>
    <row r="19" spans="1:1">
      <c r="A19" t="s">
        <v>112</v>
      </c>
    </row>
    <row r="20" spans="1:1">
      <c r="A20" t="s">
        <v>113</v>
      </c>
    </row>
    <row r="21" spans="1:1">
      <c r="A21" t="s">
        <v>114</v>
      </c>
    </row>
    <row r="22" spans="1:1">
      <c r="A22" t="s">
        <v>115</v>
      </c>
    </row>
    <row r="23" spans="1:1">
      <c r="A23" t="s">
        <v>116</v>
      </c>
    </row>
    <row r="24" spans="1:1">
      <c r="A24" t="s">
        <v>117</v>
      </c>
    </row>
    <row r="25" spans="1:1">
      <c r="A25" t="s">
        <v>118</v>
      </c>
    </row>
    <row r="26" spans="1:1">
      <c r="A26" t="s">
        <v>119</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assets</vt:lpstr>
      <vt:lpstr>damagefunctions</vt:lpstr>
      <vt:lpstr>measures</vt:lpstr>
      <vt:lpstr>discount</vt:lpstr>
      <vt:lpstr>_pivot_assets</vt:lpstr>
      <vt:lpstr>_readme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 Müller</dc:creator>
  <cp:lastModifiedBy>Carlos Anibal Juarez</cp:lastModifiedBy>
  <dcterms:created xsi:type="dcterms:W3CDTF">1996-10-14T23:33:28Z</dcterms:created>
  <dcterms:modified xsi:type="dcterms:W3CDTF">2016-10-20T14:44:47Z</dcterms:modified>
</cp:coreProperties>
</file>